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4092" documentId="8_{B3461D10-0AC6-4053-8C6A-2E967DC7521E}" xr6:coauthVersionLast="47" xr6:coauthVersionMax="47" xr10:uidLastSave="{2F657FD8-B24F-4548-8663-1EBCBE27AE86}"/>
  <bookViews>
    <workbookView xWindow="-108" yWindow="-108" windowWidth="27288" windowHeight="17664" firstSheet="7" activeTab="10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  <sheet name="Temp&amp;Hum_Download" sheetId="15" r:id="rId9"/>
    <sheet name="Temp&amp;Hum_Summary" sheetId="12" r:id="rId10"/>
    <sheet name="Power_Download" sheetId="13" r:id="rId11"/>
    <sheet name="Power_Summary" sheetId="14" r:id="rId12"/>
  </sheets>
  <definedNames>
    <definedName name="_xlnm._FilterDatabase" localSheetId="4" hidden="1">ShipmentDownload!$A$1:$L$3480</definedName>
    <definedName name="_xlnm.Print_Area" localSheetId="11">Power_Summary!$A$1:$C$6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" i="13" l="1"/>
  <c r="M1" i="15"/>
  <c r="J91" i="15"/>
  <c r="O3" i="15" s="1" a="1"/>
  <c r="O3" i="15" s="1"/>
  <c r="B4" i="12" s="1"/>
  <c r="I91" i="15"/>
  <c r="H91" i="15"/>
  <c r="D4" i="12"/>
  <c r="E4" i="12"/>
  <c r="F4" i="12"/>
  <c r="G4" i="12"/>
  <c r="H4" i="12"/>
  <c r="I4" i="12"/>
  <c r="J4" i="12"/>
  <c r="K4" i="12"/>
  <c r="L4" i="12"/>
  <c r="M4" i="12"/>
  <c r="D3" i="12"/>
  <c r="E3" i="12"/>
  <c r="F3" i="12"/>
  <c r="G3" i="12"/>
  <c r="H3" i="12"/>
  <c r="I3" i="12"/>
  <c r="J3" i="12"/>
  <c r="K3" i="12"/>
  <c r="L3" i="12"/>
  <c r="M3" i="12"/>
  <c r="J2027" i="15"/>
  <c r="I2027" i="15"/>
  <c r="H2027" i="15"/>
  <c r="G2027" i="15"/>
  <c r="F2027" i="15"/>
  <c r="E2027" i="15"/>
  <c r="D2027" i="15"/>
  <c r="B2028" i="15" s="1"/>
  <c r="C2027" i="15"/>
  <c r="B2027" i="15" s="1"/>
  <c r="J1950" i="15"/>
  <c r="I1950" i="15"/>
  <c r="H1950" i="15"/>
  <c r="J1905" i="15"/>
  <c r="I1905" i="15"/>
  <c r="H1905" i="15"/>
  <c r="B1859" i="15"/>
  <c r="J1858" i="15"/>
  <c r="I1858" i="15"/>
  <c r="H1858" i="15"/>
  <c r="G1858" i="15"/>
  <c r="F1858" i="15"/>
  <c r="E1858" i="15"/>
  <c r="D1858" i="15"/>
  <c r="C1858" i="15"/>
  <c r="B1858" i="15" s="1"/>
  <c r="J1781" i="15"/>
  <c r="I1781" i="15"/>
  <c r="H1781" i="15"/>
  <c r="J1736" i="15"/>
  <c r="I1736" i="15"/>
  <c r="H1736" i="15"/>
  <c r="B1690" i="15"/>
  <c r="J1689" i="15"/>
  <c r="I1689" i="15"/>
  <c r="H1689" i="15"/>
  <c r="G1689" i="15"/>
  <c r="F1689" i="15"/>
  <c r="E1689" i="15"/>
  <c r="D1689" i="15"/>
  <c r="C1689" i="15"/>
  <c r="B1689" i="15" s="1"/>
  <c r="J1612" i="15"/>
  <c r="I1612" i="15"/>
  <c r="H1612" i="15"/>
  <c r="J1567" i="15"/>
  <c r="I1567" i="15"/>
  <c r="H1567" i="15"/>
  <c r="B1521" i="15"/>
  <c r="J1520" i="15"/>
  <c r="I1520" i="15"/>
  <c r="H1520" i="15"/>
  <c r="G1520" i="15"/>
  <c r="F1520" i="15"/>
  <c r="E1520" i="15"/>
  <c r="D1520" i="15"/>
  <c r="C1520" i="15"/>
  <c r="B1520" i="15" s="1"/>
  <c r="J1443" i="15"/>
  <c r="I1443" i="15"/>
  <c r="H1443" i="15"/>
  <c r="J1398" i="15"/>
  <c r="I1398" i="15"/>
  <c r="H1398" i="15"/>
  <c r="B1352" i="15"/>
  <c r="J1351" i="15"/>
  <c r="I1351" i="15"/>
  <c r="H1351" i="15"/>
  <c r="G1351" i="15"/>
  <c r="F1351" i="15"/>
  <c r="E1351" i="15"/>
  <c r="D1351" i="15"/>
  <c r="C1351" i="15"/>
  <c r="B1351" i="15" s="1"/>
  <c r="J1274" i="15"/>
  <c r="I1274" i="15"/>
  <c r="H1274" i="15"/>
  <c r="J1229" i="15"/>
  <c r="I1229" i="15"/>
  <c r="H1229" i="15"/>
  <c r="B1183" i="15"/>
  <c r="J1182" i="15"/>
  <c r="I1182" i="15"/>
  <c r="H1182" i="15"/>
  <c r="G1182" i="15"/>
  <c r="F1182" i="15"/>
  <c r="E1182" i="15"/>
  <c r="D1182" i="15"/>
  <c r="C1182" i="15"/>
  <c r="B1182" i="15" s="1"/>
  <c r="J1105" i="15"/>
  <c r="I1105" i="15"/>
  <c r="H1105" i="15"/>
  <c r="J1060" i="15"/>
  <c r="I1060" i="15"/>
  <c r="H1060" i="15"/>
  <c r="B1014" i="15"/>
  <c r="J1013" i="15"/>
  <c r="I1013" i="15"/>
  <c r="H1013" i="15"/>
  <c r="G1013" i="15"/>
  <c r="F1013" i="15"/>
  <c r="E1013" i="15"/>
  <c r="D1013" i="15"/>
  <c r="C1013" i="15"/>
  <c r="B1013" i="15" s="1"/>
  <c r="J936" i="15"/>
  <c r="I936" i="15"/>
  <c r="H936" i="15"/>
  <c r="J891" i="15"/>
  <c r="I891" i="15"/>
  <c r="H891" i="15"/>
  <c r="B845" i="15"/>
  <c r="J844" i="15"/>
  <c r="I844" i="15"/>
  <c r="H844" i="15"/>
  <c r="G844" i="15"/>
  <c r="F844" i="15"/>
  <c r="E844" i="15"/>
  <c r="D844" i="15"/>
  <c r="C844" i="15"/>
  <c r="B844" i="15" s="1"/>
  <c r="J767" i="15"/>
  <c r="I767" i="15"/>
  <c r="H767" i="15"/>
  <c r="J722" i="15"/>
  <c r="I722" i="15"/>
  <c r="H722" i="15"/>
  <c r="J675" i="15"/>
  <c r="I675" i="15"/>
  <c r="H675" i="15"/>
  <c r="G675" i="15"/>
  <c r="F675" i="15"/>
  <c r="E675" i="15"/>
  <c r="D675" i="15"/>
  <c r="B676" i="15" s="1"/>
  <c r="C675" i="15"/>
  <c r="B675" i="15" s="1"/>
  <c r="J598" i="15"/>
  <c r="I598" i="15"/>
  <c r="H598" i="15"/>
  <c r="J553" i="15"/>
  <c r="I553" i="15"/>
  <c r="H553" i="15"/>
  <c r="J506" i="15"/>
  <c r="I506" i="15"/>
  <c r="H506" i="15"/>
  <c r="G506" i="15"/>
  <c r="F506" i="15"/>
  <c r="E506" i="15"/>
  <c r="D506" i="15"/>
  <c r="B507" i="15" s="1"/>
  <c r="C506" i="15"/>
  <c r="B506" i="15"/>
  <c r="J429" i="15"/>
  <c r="I429" i="15"/>
  <c r="H429" i="15"/>
  <c r="J384" i="15"/>
  <c r="I384" i="15"/>
  <c r="H384" i="15"/>
  <c r="J337" i="15"/>
  <c r="I337" i="15"/>
  <c r="H337" i="15"/>
  <c r="G337" i="15"/>
  <c r="F337" i="15"/>
  <c r="E337" i="15"/>
  <c r="D337" i="15"/>
  <c r="B338" i="15" s="1"/>
  <c r="C337" i="15"/>
  <c r="B337" i="15"/>
  <c r="J260" i="15"/>
  <c r="P3" i="15" s="1" a="1"/>
  <c r="P3" i="15" s="1"/>
  <c r="C4" i="12" s="1"/>
  <c r="I260" i="15"/>
  <c r="H260" i="15"/>
  <c r="J215" i="15"/>
  <c r="I215" i="15"/>
  <c r="H215" i="15"/>
  <c r="J168" i="15"/>
  <c r="I168" i="15"/>
  <c r="H168" i="15"/>
  <c r="G168" i="15"/>
  <c r="F168" i="15"/>
  <c r="E168" i="15"/>
  <c r="D168" i="15"/>
  <c r="B169" i="15" s="1"/>
  <c r="C168" i="15"/>
  <c r="B168" i="15"/>
  <c r="J46" i="15"/>
  <c r="I46" i="15"/>
  <c r="H46" i="15"/>
  <c r="Z3" i="15" a="1"/>
  <c r="Z3" i="15" s="1"/>
  <c r="Y3" i="15" a="1"/>
  <c r="Y3" i="15" s="1"/>
  <c r="X3" i="15" a="1"/>
  <c r="X3" i="15" s="1"/>
  <c r="W3" i="15"/>
  <c r="W3" i="15" a="1"/>
  <c r="V3" i="15" a="1"/>
  <c r="V3" i="15" s="1"/>
  <c r="U3" i="15" a="1"/>
  <c r="U3" i="15" s="1"/>
  <c r="T3" i="15" a="1"/>
  <c r="T3" i="15" s="1"/>
  <c r="S3" i="15"/>
  <c r="S3" i="15" a="1"/>
  <c r="R3" i="15" a="1"/>
  <c r="R3" i="15" s="1"/>
  <c r="Q3" i="15" a="1"/>
  <c r="Q3" i="15" s="1"/>
  <c r="Z2" i="15" a="1"/>
  <c r="Z2" i="15" s="1"/>
  <c r="Y2" i="15" a="1"/>
  <c r="Y2" i="15" s="1"/>
  <c r="X2" i="15" a="1"/>
  <c r="X2" i="15" s="1"/>
  <c r="W2" i="15"/>
  <c r="W2" i="15" a="1"/>
  <c r="V2" i="15" a="1"/>
  <c r="V2" i="15" s="1"/>
  <c r="U2" i="15" a="1"/>
  <c r="U2" i="15" s="1"/>
  <c r="T2" i="15" a="1"/>
  <c r="T2" i="15" s="1"/>
  <c r="S2" i="15"/>
  <c r="S2" i="15" a="1"/>
  <c r="R2" i="15" a="1"/>
  <c r="R2" i="15" s="1"/>
  <c r="Q2" i="15" a="1"/>
  <c r="Q2" i="15" s="1"/>
  <c r="P2" i="15" a="1"/>
  <c r="P2" i="15" s="1"/>
  <c r="C3" i="12" s="1"/>
  <c r="O2" i="15" a="1"/>
  <c r="O2" i="15" s="1"/>
  <c r="B3" i="12" s="1"/>
  <c r="Q2" i="13" l="1"/>
  <c r="S2" i="13"/>
  <c r="C4" i="14" s="1"/>
  <c r="O2" i="13"/>
  <c r="P2" i="13"/>
  <c r="C3" i="14" s="1"/>
  <c r="R2" i="13"/>
  <c r="C2" i="14" s="1"/>
  <c r="F3" i="8"/>
  <c r="F4" i="8"/>
  <c r="F5" i="8"/>
  <c r="F6" i="8"/>
  <c r="F2" i="8"/>
  <c r="J3" i="8"/>
  <c r="J4" i="8"/>
  <c r="J5" i="8"/>
  <c r="J6" i="8"/>
  <c r="J2" i="8"/>
  <c r="I3" i="8"/>
  <c r="I4" i="8"/>
  <c r="I5" i="8"/>
  <c r="I6" i="8"/>
  <c r="H3" i="8"/>
  <c r="H4" i="8"/>
  <c r="H5" i="8"/>
  <c r="H6" i="8"/>
  <c r="I2" i="8"/>
  <c r="H2" i="8"/>
  <c r="D3" i="8"/>
  <c r="D4" i="8"/>
  <c r="D5" i="8"/>
  <c r="D6" i="8"/>
  <c r="D2" i="8"/>
  <c r="C3" i="8"/>
  <c r="C4" i="8"/>
  <c r="C5" i="8"/>
  <c r="C6" i="8"/>
  <c r="C2" i="8"/>
  <c r="B3" i="8"/>
  <c r="B4" i="8"/>
  <c r="B5" i="8"/>
  <c r="B6" i="8"/>
  <c r="B2" i="8"/>
  <c r="A3" i="8"/>
  <c r="A4" i="8"/>
  <c r="A5" i="8"/>
  <c r="A6" i="8"/>
  <c r="A2" i="8"/>
  <c r="E3" i="8"/>
  <c r="E4" i="8"/>
  <c r="E5" i="8"/>
  <c r="E6" i="8"/>
  <c r="E2" i="8"/>
  <c r="A3" i="4"/>
  <c r="A4" i="4"/>
  <c r="A5" i="4"/>
  <c r="A6" i="4"/>
  <c r="A2" i="4"/>
  <c r="E3" i="4"/>
  <c r="E4" i="4"/>
  <c r="E5" i="4"/>
  <c r="E6" i="4"/>
  <c r="E2" i="4"/>
  <c r="D3" i="4"/>
  <c r="D4" i="4"/>
  <c r="D5" i="4"/>
  <c r="D6" i="4"/>
  <c r="D2" i="4"/>
  <c r="C3" i="4"/>
  <c r="C4" i="4"/>
  <c r="C5" i="4"/>
  <c r="C6" i="4"/>
  <c r="C2" i="4"/>
  <c r="B3" i="4"/>
  <c r="B4" i="4"/>
  <c r="B5" i="4"/>
  <c r="B6" i="4"/>
  <c r="B2" i="4"/>
  <c r="D2" i="10"/>
  <c r="B2" i="10"/>
  <c r="N1" i="5"/>
  <c r="E6" i="6"/>
  <c r="D6" i="6"/>
  <c r="C6" i="6"/>
  <c r="B6" i="6"/>
  <c r="A6" i="6"/>
  <c r="E3" i="10"/>
  <c r="E4" i="10"/>
  <c r="E5" i="10"/>
  <c r="E6" i="10"/>
  <c r="D3" i="10"/>
  <c r="D4" i="10"/>
  <c r="D5" i="10"/>
  <c r="D6" i="10"/>
  <c r="C3" i="10"/>
  <c r="C4" i="10"/>
  <c r="C5" i="10"/>
  <c r="C6" i="10"/>
  <c r="B3" i="10"/>
  <c r="B4" i="10"/>
  <c r="B5" i="10"/>
  <c r="B6" i="10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N1" i="7"/>
  <c r="N1" i="3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" i="3"/>
  <c r="O2" i="7" l="1" a="1"/>
  <c r="Q2" i="9" a="1"/>
  <c r="O2" i="5" a="1"/>
  <c r="O2" i="3" a="1"/>
  <c r="Q2" i="9" l="1"/>
  <c r="E2" i="10"/>
  <c r="C2" i="10"/>
  <c r="C5" i="6"/>
  <c r="B5" i="6"/>
  <c r="E5" i="6"/>
  <c r="A5" i="6"/>
  <c r="D5" i="6"/>
  <c r="D4" i="6"/>
  <c r="A4" i="6"/>
  <c r="C4" i="6"/>
  <c r="E4" i="6"/>
  <c r="B4" i="6"/>
  <c r="D3" i="6"/>
  <c r="B3" i="6"/>
  <c r="E3" i="6"/>
  <c r="C3" i="6"/>
  <c r="A3" i="6"/>
  <c r="O2" i="5"/>
  <c r="E2" i="6"/>
  <c r="C2" i="6"/>
  <c r="A2" i="6"/>
  <c r="B2" i="6"/>
  <c r="O2" i="7"/>
  <c r="D2" i="6"/>
  <c r="O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이현상</author>
  </authors>
  <commentList>
    <comment ref="A115" authorId="0" shapeId="0" xr:uid="{AB197BF1-6619-41C2-B3F7-7BB7BFE42825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참고하세요</t>
        </r>
      </text>
    </comment>
    <comment ref="C948" authorId="0" shapeId="0" xr:uid="{CB21DCD8-7C4C-4995-BCCA-61B3BD992F98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인터넷에서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어마무시하게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중이라함
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(21.05.27)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<sst xmlns="http://schemas.openxmlformats.org/spreadsheetml/2006/main" count="5903" uniqueCount="1696">
  <si>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</si>
  <si>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</si>
  <si>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</si>
  <si>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</si>
  <si>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</si>
  <si>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</si>
  <si>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</si>
  <si>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</si>
  <si>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Severity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</si>
  <si>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</si>
  <si>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</si>
  <si>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</si>
  <si>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</si>
  <si>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</si>
  <si>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</si>
  <si>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</si>
  <si>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</si>
  <si>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</si>
  <si>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ID</t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</si>
  <si>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</si>
  <si>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</si>
  <si>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</si>
  <si>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</si>
  <si>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</si>
  <si>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</si>
  <si>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</si>
  <si>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</si>
  <si>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</si>
  <si>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</si>
  <si>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</si>
  <si>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</si>
  <si>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</si>
  <si>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</si>
  <si>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</si>
  <si>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</si>
  <si>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</si>
  <si>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</si>
  <si>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</si>
  <si>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06</t>
    <phoneticPr fontId="1" type="noConversion"/>
  </si>
  <si>
    <t>unchecked
​</t>
  </si>
  <si>
    <t>Lumen Korea Shipment to SEL1 (코레이트빌딩8층)</t>
  </si>
  <si>
    <t>S-4</t>
  </si>
  <si>
    <t>박용서</t>
  </si>
  <si>
    <t>Inbound</t>
  </si>
  <si>
    <t>Completed</t>
  </si>
  <si>
    <t>Lumen Korea Shipment going to SEL1</t>
  </si>
  <si>
    <t>S-3</t>
  </si>
  <si>
    <t>[Lumen Korea] Juniper Module</t>
  </si>
  <si>
    <t>[PUS1-텔스트라] Site access (나무유통) 10/17</t>
  </si>
  <si>
    <t>김수헌 과장</t>
  </si>
  <si>
    <t>Work Visits</t>
  </si>
  <si>
    <t>황우승</t>
  </si>
  <si>
    <t>Cancelled</t>
  </si>
  <si>
    <t>최경석</t>
  </si>
  <si>
    <t>[PUS1-텔스트라] Site access (나무유통) 8/18</t>
  </si>
  <si>
    <t>[PUS1-텔스트라]SiteAccess(센츄리냉동공조)8/17</t>
  </si>
  <si>
    <t>김정수 매니저</t>
  </si>
  <si>
    <t>진복의</t>
  </si>
  <si>
    <t>[PUS1-텔스트라]SiteAccess(화랑디자인)7/20</t>
  </si>
  <si>
    <t>전성규, 백광현</t>
  </si>
  <si>
    <t>[PUS1-텔스트라]SiteAccess(에어텍)7/21</t>
  </si>
  <si>
    <t>윤호성, 김의진</t>
  </si>
  <si>
    <t>[PUS1-텔스트라]Siteaccess(화랑디자인)7/12</t>
  </si>
  <si>
    <t>전성규, 김현상</t>
  </si>
  <si>
    <t>[PUS1-텔스트라]SiteAccess(화랑디자인)7/11</t>
  </si>
  <si>
    <t>[PUS1-텔스트라]SiteAccess(나무유통)7/3</t>
  </si>
  <si>
    <t>[PUS1-텔스트라]SiteAccess(이화전기)6/28</t>
  </si>
  <si>
    <t>오상현, 김현우, 이용호, 이광범</t>
  </si>
  <si>
    <t>[PUS1-텔스트라]SiteAccess(SKB)6/29</t>
  </si>
  <si>
    <t>한승민, 이호열, 선진국</t>
  </si>
  <si>
    <t>[PUS1-텔스트라]SiteAccess(Corelight)5/25</t>
  </si>
  <si>
    <t>신석헌</t>
  </si>
  <si>
    <t>[PUS1-텔스트라]SiteAccess(나무유통(풀무원))5/9</t>
  </si>
  <si>
    <t>[PUS1-텔스트라]Site access(세방전지)5/11</t>
  </si>
  <si>
    <t>이외식, 이강욱, 이하수</t>
  </si>
  <si>
    <t>[PUS1-텔스트라]SiteAccess(이화전기)5/11</t>
  </si>
  <si>
    <t>김성오, 신현수, 이덕주</t>
  </si>
  <si>
    <t>[시스원] 서버 리부팅 요청 건</t>
  </si>
  <si>
    <t>이찬주</t>
  </si>
  <si>
    <t>Regular Remote Hands</t>
  </si>
  <si>
    <t>Closed</t>
  </si>
  <si>
    <t>[시스원] 유앤아이티 서버 재부팅 요청</t>
  </si>
  <si>
    <t>[시스원] 한국방사선진흥협회 서버 재부팅 요청</t>
  </si>
  <si>
    <t>Scheduled Remote Hands</t>
  </si>
  <si>
    <t>Customer</t>
    <phoneticPr fontId="1" type="noConversion"/>
  </si>
  <si>
    <t>Stage</t>
    <phoneticPr fontId="1" type="noConversion"/>
  </si>
  <si>
    <t>Site Visit Date Start</t>
    <phoneticPr fontId="1" type="noConversion"/>
  </si>
  <si>
    <t>Site Visit Date End</t>
    <phoneticPr fontId="1" type="noConversion"/>
  </si>
  <si>
    <t>Replacement of aging network equipment (ANEXIA)</t>
  </si>
  <si>
    <t>P3</t>
  </si>
  <si>
    <t>Incident Management</t>
  </si>
  <si>
    <t>Data Center - location</t>
    <phoneticPr fontId="1" type="noConversion"/>
  </si>
  <si>
    <t>Month in 2023</t>
    <phoneticPr fontId="1" type="noConversion"/>
  </si>
  <si>
    <t>Ave. Temp (°C)</t>
  </si>
  <si>
    <t>Ave. Hum (%)</t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</si>
  <si>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</si>
  <si>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</si>
  <si>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</si>
  <si>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</si>
  <si>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</si>
  <si>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Jun</t>
    <phoneticPr fontId="1" type="noConversion"/>
  </si>
  <si>
    <t>Jul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</si>
  <si>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</si>
  <si>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</si>
  <si>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</si>
  <si>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</si>
  <si>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</si>
  <si>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Baseline: Average 22 to 26 degrees celcius</t>
  </si>
  <si>
    <t>No. of CRACs (Running)</t>
  </si>
  <si>
    <t>No. of CRACs (N)</t>
  </si>
  <si>
    <t>Cooling Cap (Kw)</t>
  </si>
  <si>
    <t>Min Avg Temperature</t>
  </si>
  <si>
    <t>Maximum Avg Temperature</t>
  </si>
  <si>
    <t>Average Temperature</t>
  </si>
  <si>
    <t>7-CRACRm-CRAC-01</t>
  </si>
  <si>
    <t>7-CRACRm-CRAC-02</t>
  </si>
  <si>
    <t>7-CRACRm-CRAC-03</t>
  </si>
  <si>
    <t>Main CRAC 7F-3</t>
  </si>
  <si>
    <t>7-CRACRm-CRAC-04</t>
  </si>
  <si>
    <t>Main CRAC 7F-4</t>
  </si>
  <si>
    <t>6-CRACRm-CRAC-01</t>
  </si>
  <si>
    <t>6-CRACRm-CRAC-02</t>
  </si>
  <si>
    <t>6-CRACRm-CRAC-03</t>
  </si>
  <si>
    <t>Main CRAC 6F-3</t>
  </si>
  <si>
    <t>6-CRACRm-CRAC-04</t>
  </si>
  <si>
    <t>Main CRAC 6F-4</t>
  </si>
  <si>
    <t>6-DaHall 1-CRAC-01</t>
  </si>
  <si>
    <t>6-DaHall 1-CRAC-02</t>
  </si>
  <si>
    <t>Aux. CRAC 6F-2</t>
  </si>
  <si>
    <t>6-DaHall 1-CRAC-03</t>
  </si>
  <si>
    <t>Aux. CRAC 6F-3</t>
  </si>
  <si>
    <t>5-CRACRm-CRAC-01</t>
  </si>
  <si>
    <t>5-CRACRm-CRAC-02</t>
  </si>
  <si>
    <t>Main CRAC 5F-2</t>
  </si>
  <si>
    <t>5-CRACRm-CRAC-03</t>
  </si>
  <si>
    <t>Main CRAC 5F-3</t>
  </si>
  <si>
    <t>5-CRACRm-CRAC-04</t>
  </si>
  <si>
    <t>Main CRAC 5F-4</t>
  </si>
  <si>
    <t>5-DaHall 1-CRAC-13</t>
  </si>
  <si>
    <t>5-DaHall 1-CRAC-14</t>
  </si>
  <si>
    <t>CF CRAC-#02</t>
  </si>
  <si>
    <t>5-DaHall 1-CRAC-01</t>
  </si>
  <si>
    <t>5-DaHall 1-CRAC-02</t>
  </si>
  <si>
    <t>LG CRAC-#02</t>
  </si>
  <si>
    <t>5-DaHall 1-CRAC-03</t>
  </si>
  <si>
    <t>LG CRAC-#03</t>
  </si>
  <si>
    <t>5-DaHall 1-CRAC-04</t>
  </si>
  <si>
    <t>LG CRAC-#04</t>
  </si>
  <si>
    <t>5-DaHall 1-CRAC-05</t>
  </si>
  <si>
    <t>LG CRAC-#05</t>
  </si>
  <si>
    <t>5-DaHall 1-CRAC-06</t>
  </si>
  <si>
    <t>LG CRAC-#06</t>
  </si>
  <si>
    <t>5-DaHall 1-CRAC-07</t>
  </si>
  <si>
    <t>LG CRAC-#07</t>
  </si>
  <si>
    <t>5-DaHall 1-CRAC-08</t>
  </si>
  <si>
    <t>LG CRAC-#08</t>
  </si>
  <si>
    <t>5-DaHall 1-CRAC-09</t>
  </si>
  <si>
    <t>LG CRAC-#09</t>
  </si>
  <si>
    <t>5-DaHall 1-CRAC-10</t>
  </si>
  <si>
    <t>LG CRAC-#10</t>
  </si>
  <si>
    <t>5-DaHall 1-CRAC-11</t>
  </si>
  <si>
    <t>LG CRAC-#11</t>
  </si>
  <si>
    <t>5-DaHall 1-CRAC-12</t>
  </si>
  <si>
    <t>LG CRAC-#12</t>
  </si>
  <si>
    <t>5-DaHall 1-CRAC-15</t>
  </si>
  <si>
    <t>5-DaHall 1-CRAC-16</t>
  </si>
  <si>
    <t>Aux. CRAC 5F-2</t>
  </si>
  <si>
    <t>4-CRACRm-CRAC-01</t>
  </si>
  <si>
    <t>4-CRACRm-CRAC-02</t>
  </si>
  <si>
    <t>Main CRAC 4F-2</t>
  </si>
  <si>
    <t>4-CRACRm-CRAC-03</t>
  </si>
  <si>
    <t>Main CRAC 4F-3</t>
  </si>
  <si>
    <t>4-CRACRm-CRAC-04</t>
  </si>
  <si>
    <t>Main CRAC 4F-4</t>
  </si>
  <si>
    <t>4-DaHall 1-CRAC-05</t>
  </si>
  <si>
    <t>4-DaHall 1-CRAC-06</t>
  </si>
  <si>
    <t>Aux.E_CRAC 4F-2</t>
  </si>
  <si>
    <t>4-DaHall 1-CRAC-02</t>
  </si>
  <si>
    <t>4-DaHall 1-CRAC-03</t>
  </si>
  <si>
    <t>Aux. CRAC 4F-2</t>
  </si>
  <si>
    <t>4-DaHall 1-CRAC-04</t>
  </si>
  <si>
    <t>Aux. CRAC 4F-3</t>
  </si>
  <si>
    <t>Aux. CRAC 4F-4</t>
  </si>
  <si>
    <t>Baseline: Average 30 to 70 % RH</t>
  </si>
  <si>
    <t>Min Avg Humidity</t>
  </si>
  <si>
    <t>Maximum Avg Humidity</t>
  </si>
  <si>
    <t>Average Humidity</t>
  </si>
  <si>
    <t>4/F</t>
  </si>
  <si>
    <t>5/F</t>
  </si>
  <si>
    <t>6/F</t>
  </si>
  <si>
    <t>7/F</t>
  </si>
  <si>
    <t>Average Temp.</t>
  </si>
  <si>
    <t>Ave Hum.</t>
  </si>
  <si>
    <t>TH-01-02</t>
  </si>
  <si>
    <t>TH-01-03</t>
  </si>
  <si>
    <t>TH-01-04</t>
  </si>
  <si>
    <t>TH-01-05</t>
  </si>
  <si>
    <t>TH-01-06</t>
  </si>
  <si>
    <t>TH-01-07</t>
  </si>
  <si>
    <t>TH-01-08</t>
  </si>
  <si>
    <t>TH-01-09</t>
  </si>
  <si>
    <t>TH-01-10</t>
  </si>
  <si>
    <t>TH-01-11</t>
  </si>
  <si>
    <t>TH-01-12</t>
  </si>
  <si>
    <t>TH-01-13</t>
  </si>
  <si>
    <t>TH-01-14</t>
  </si>
  <si>
    <t>TH-01-15</t>
  </si>
  <si>
    <t>TH-01-16</t>
  </si>
  <si>
    <t>TH-02-02</t>
  </si>
  <si>
    <t>TH-02-03</t>
  </si>
  <si>
    <t>TH-02-04</t>
  </si>
  <si>
    <t>TH-02-05</t>
  </si>
  <si>
    <t>TH-02-06</t>
  </si>
  <si>
    <t>TH-02-07</t>
  </si>
  <si>
    <t>TH-02-08</t>
  </si>
  <si>
    <t>TH-02-09</t>
  </si>
  <si>
    <t>TH-02-10</t>
  </si>
  <si>
    <t>TH-02-11</t>
  </si>
  <si>
    <t>TH-02-12</t>
  </si>
  <si>
    <t>TH-02-13</t>
  </si>
  <si>
    <t>TH-02-14</t>
  </si>
  <si>
    <t>TH-02-16</t>
  </si>
  <si>
    <t>TH-03-02</t>
  </si>
  <si>
    <t>TH-03-03</t>
  </si>
  <si>
    <t>TH-03-04</t>
  </si>
  <si>
    <t>TH-03-05</t>
  </si>
  <si>
    <t>TH-03-06</t>
  </si>
  <si>
    <t>TH-03-07</t>
  </si>
  <si>
    <t>TH-03-08</t>
  </si>
  <si>
    <t>TH-03-09</t>
  </si>
  <si>
    <t>TH-03-10</t>
  </si>
  <si>
    <t>TH-03-11</t>
  </si>
  <si>
    <t>TH-03-12</t>
  </si>
  <si>
    <t>TH-03-13</t>
  </si>
  <si>
    <t>TH-03-14</t>
  </si>
  <si>
    <t>TH-03-15</t>
  </si>
  <si>
    <t>TH-03-16</t>
  </si>
  <si>
    <t>TH-04-02</t>
  </si>
  <si>
    <t>TH-04-03</t>
  </si>
  <si>
    <t>TH-04-04</t>
  </si>
  <si>
    <t>TH-04-05</t>
  </si>
  <si>
    <t>TH-04-06</t>
  </si>
  <si>
    <t>TH-04-07</t>
  </si>
  <si>
    <t>TH-04-08</t>
  </si>
  <si>
    <t>TH-04-09</t>
  </si>
  <si>
    <t>TH-04-10</t>
  </si>
  <si>
    <t>TH-04-11</t>
  </si>
  <si>
    <t>TH-04-12</t>
  </si>
  <si>
    <t>TH-04-13</t>
  </si>
  <si>
    <t>TH-05-02</t>
  </si>
  <si>
    <t>TH-05-03</t>
  </si>
  <si>
    <t>TH-05-04</t>
  </si>
  <si>
    <t>TH-05-05</t>
  </si>
  <si>
    <t>TH-05-06</t>
  </si>
  <si>
    <t>TH-05-07</t>
  </si>
  <si>
    <t>TH-05-08</t>
  </si>
  <si>
    <t>TH-05-09</t>
  </si>
  <si>
    <t>TH-05-10</t>
  </si>
  <si>
    <t>TH-05-11</t>
  </si>
  <si>
    <t>TH-05-12</t>
  </si>
  <si>
    <t>Power</t>
    <phoneticPr fontId="1" type="noConversion"/>
  </si>
  <si>
    <t>Subscribed Power</t>
    <phoneticPr fontId="1" type="noConversion"/>
  </si>
  <si>
    <t>Remaining Power</t>
    <phoneticPr fontId="1" type="noConversion"/>
  </si>
  <si>
    <t>Attachments</t>
    <phoneticPr fontId="1" type="noConversion"/>
  </si>
  <si>
    <t>총 평균온도</t>
    <phoneticPr fontId="1" type="noConversion"/>
  </si>
  <si>
    <t>총 평균습도</t>
    <phoneticPr fontId="1" type="noConversion"/>
  </si>
  <si>
    <t>총 평균온도:</t>
    <phoneticPr fontId="1" type="noConversion"/>
  </si>
  <si>
    <t>총 평균습도:</t>
    <phoneticPr fontId="1" type="noConversion"/>
  </si>
  <si>
    <t>평균온도</t>
    <phoneticPr fontId="1" type="noConversion"/>
  </si>
  <si>
    <t>평균습도</t>
    <phoneticPr fontId="1" type="noConversion"/>
  </si>
  <si>
    <t>Floor</t>
  </si>
  <si>
    <t>DEK Name</t>
  </si>
  <si>
    <t>Equipment Name</t>
  </si>
  <si>
    <t>(N+1)</t>
  </si>
  <si>
    <t>7F</t>
  </si>
  <si>
    <t>Main CRAC 7F-1</t>
  </si>
  <si>
    <t>N+1</t>
  </si>
  <si>
    <t>Main CRAC 7F-2</t>
  </si>
  <si>
    <t>6F</t>
  </si>
  <si>
    <t>Main CRAC 6F-1</t>
  </si>
  <si>
    <t>Main CRAC 6F-2</t>
  </si>
  <si>
    <t>Aux. CRAC 6F-1</t>
  </si>
  <si>
    <t>5F</t>
  </si>
  <si>
    <t>Main CRAC 5F-1</t>
  </si>
  <si>
    <t>CF CRAC-#01</t>
  </si>
  <si>
    <t>Dedicated CRAC</t>
  </si>
  <si>
    <t>LG CRAC-#01</t>
  </si>
  <si>
    <t>Aux. CRAC 5F-1</t>
  </si>
  <si>
    <t>4F</t>
  </si>
  <si>
    <t>Main CRAC 4F-1</t>
  </si>
  <si>
    <t>Aux.E_CRAC 4F-1</t>
  </si>
  <si>
    <t>Aux. CRAC 4F-1</t>
  </si>
  <si>
    <t>4-DaHall 1-CRAC-01</t>
  </si>
  <si>
    <t>Device Name</t>
  </si>
  <si>
    <t>Sensor</t>
  </si>
  <si>
    <t>TH-01-01</t>
  </si>
  <si>
    <t>TH-02-01</t>
  </si>
  <si>
    <t>TH-02-15</t>
  </si>
  <si>
    <t>TH-03-01</t>
  </si>
  <si>
    <t>TH-04-01</t>
  </si>
  <si>
    <t>TH-05-01</t>
  </si>
  <si>
    <t>Ave. Temp (°C)</t>
    <phoneticPr fontId="1" type="noConversion"/>
  </si>
  <si>
    <t>Date : 2023-11-01 ~ 2023-11-30</t>
  </si>
  <si>
    <t>월간 사용전력량[kWh]</t>
    <phoneticPr fontId="22" type="noConversion"/>
  </si>
  <si>
    <t>열 구분
(부스바명)</t>
    <phoneticPr fontId="22" type="noConversion"/>
  </si>
  <si>
    <t>정류기</t>
    <phoneticPr fontId="22" type="noConversion"/>
  </si>
  <si>
    <t>항온항습기</t>
    <phoneticPr fontId="22" type="noConversion"/>
  </si>
  <si>
    <t>101~111Bay
/POP B열</t>
    <phoneticPr fontId="22" type="noConversion"/>
  </si>
  <si>
    <t>201~211Bay
/POP C열</t>
    <phoneticPr fontId="22" type="noConversion"/>
  </si>
  <si>
    <t>301~311Bay
/POP D열</t>
    <phoneticPr fontId="22" type="noConversion"/>
  </si>
  <si>
    <t>401~411Bay
/POP E열</t>
    <phoneticPr fontId="22" type="noConversion"/>
  </si>
  <si>
    <t>501~511Bay
/POP F열</t>
    <phoneticPr fontId="22" type="noConversion"/>
  </si>
  <si>
    <t>601~611Bay
/1구역 B열</t>
    <phoneticPr fontId="22" type="noConversion"/>
  </si>
  <si>
    <t>1구역 D열</t>
    <phoneticPr fontId="22" type="noConversion"/>
  </si>
  <si>
    <t>1구역 E열</t>
    <phoneticPr fontId="22" type="noConversion"/>
  </si>
  <si>
    <t>1구역 F열</t>
    <phoneticPr fontId="22" type="noConversion"/>
  </si>
  <si>
    <t>1구역 G열</t>
    <phoneticPr fontId="22" type="noConversion"/>
  </si>
  <si>
    <t>1구역 H열</t>
    <phoneticPr fontId="22" type="noConversion"/>
  </si>
  <si>
    <t>2구역 J열</t>
    <phoneticPr fontId="22" type="noConversion"/>
  </si>
  <si>
    <t>2구역 K열</t>
    <phoneticPr fontId="22" type="noConversion"/>
  </si>
  <si>
    <t>2구역 L열</t>
    <phoneticPr fontId="22" type="noConversion"/>
  </si>
  <si>
    <t>2구역 M열</t>
    <phoneticPr fontId="22" type="noConversion"/>
  </si>
  <si>
    <t>3구역 Z열</t>
    <phoneticPr fontId="22" type="noConversion"/>
  </si>
  <si>
    <t>3구역 O열</t>
    <phoneticPr fontId="22" type="noConversion"/>
  </si>
  <si>
    <t>3구역 P열</t>
    <phoneticPr fontId="22" type="noConversion"/>
  </si>
  <si>
    <t>3구역 Q열</t>
    <phoneticPr fontId="22" type="noConversion"/>
  </si>
  <si>
    <t>3구역 R열</t>
    <phoneticPr fontId="22" type="noConversion"/>
  </si>
  <si>
    <t>3구역 S열</t>
    <phoneticPr fontId="22" type="noConversion"/>
  </si>
  <si>
    <t>K 1-1</t>
    <phoneticPr fontId="22" type="noConversion"/>
  </si>
  <si>
    <t>K 1-2</t>
    <phoneticPr fontId="22" type="noConversion"/>
  </si>
  <si>
    <t>K 2-1</t>
    <phoneticPr fontId="22" type="noConversion"/>
  </si>
  <si>
    <t>K 2-2</t>
    <phoneticPr fontId="22" type="noConversion"/>
  </si>
  <si>
    <t>K 2-3</t>
    <phoneticPr fontId="22" type="noConversion"/>
  </si>
  <si>
    <t>K 2-4</t>
    <phoneticPr fontId="22" type="noConversion"/>
  </si>
  <si>
    <t>K 3-1</t>
    <phoneticPr fontId="22" type="noConversion"/>
  </si>
  <si>
    <t>K 3-2</t>
    <phoneticPr fontId="22" type="noConversion"/>
  </si>
  <si>
    <t>K 3-3</t>
    <phoneticPr fontId="22" type="noConversion"/>
  </si>
  <si>
    <t>K 3-4</t>
    <phoneticPr fontId="22" type="noConversion"/>
  </si>
  <si>
    <t>DEKR No.</t>
    <phoneticPr fontId="22" type="noConversion"/>
  </si>
  <si>
    <t>C1001</t>
    <phoneticPr fontId="22" type="noConversion"/>
  </si>
  <si>
    <t>C1002</t>
  </si>
  <si>
    <t>C1003</t>
  </si>
  <si>
    <t>C1004</t>
  </si>
  <si>
    <t>C1005</t>
  </si>
  <si>
    <t>C1006</t>
  </si>
  <si>
    <t>C1007</t>
  </si>
  <si>
    <t>C1008</t>
  </si>
  <si>
    <t>C1009</t>
  </si>
  <si>
    <t>C1010</t>
  </si>
  <si>
    <t>C1011</t>
  </si>
  <si>
    <t>C1012</t>
  </si>
  <si>
    <t>C901</t>
    <phoneticPr fontId="22" type="noConversion"/>
  </si>
  <si>
    <t>C902</t>
  </si>
  <si>
    <t>C903</t>
  </si>
  <si>
    <t>C904</t>
  </si>
  <si>
    <t>C905</t>
  </si>
  <si>
    <t>C906</t>
  </si>
  <si>
    <t>C907</t>
  </si>
  <si>
    <t>C908</t>
  </si>
  <si>
    <t>C909</t>
  </si>
  <si>
    <t>C910</t>
  </si>
  <si>
    <t>C911</t>
  </si>
  <si>
    <t>C912</t>
  </si>
  <si>
    <t>C801</t>
    <phoneticPr fontId="22" type="noConversion"/>
  </si>
  <si>
    <t>C802</t>
  </si>
  <si>
    <t>C803</t>
  </si>
  <si>
    <t>C804</t>
  </si>
  <si>
    <t>C805</t>
  </si>
  <si>
    <t>C806</t>
  </si>
  <si>
    <t>C807</t>
  </si>
  <si>
    <t>C808</t>
  </si>
  <si>
    <t>C809</t>
  </si>
  <si>
    <t>C810</t>
  </si>
  <si>
    <t>C811</t>
  </si>
  <si>
    <t>C812</t>
  </si>
  <si>
    <t>C701</t>
    <phoneticPr fontId="22" type="noConversion"/>
  </si>
  <si>
    <t>C702</t>
  </si>
  <si>
    <t>C703</t>
  </si>
  <si>
    <t>C704</t>
  </si>
  <si>
    <t>C705</t>
  </si>
  <si>
    <t>C706</t>
  </si>
  <si>
    <t>C707</t>
  </si>
  <si>
    <t>C708</t>
  </si>
  <si>
    <t>C709</t>
  </si>
  <si>
    <t>C710</t>
  </si>
  <si>
    <t>C711</t>
  </si>
  <si>
    <t>C712</t>
  </si>
  <si>
    <t>C601</t>
    <phoneticPr fontId="22" type="noConversion"/>
  </si>
  <si>
    <t>C602</t>
  </si>
  <si>
    <t>C603</t>
  </si>
  <si>
    <t>C604</t>
  </si>
  <si>
    <t>C605</t>
  </si>
  <si>
    <t>C606</t>
  </si>
  <si>
    <t>C607</t>
  </si>
  <si>
    <t>C608</t>
  </si>
  <si>
    <t>C609</t>
  </si>
  <si>
    <t>C610</t>
  </si>
  <si>
    <t>C611</t>
  </si>
  <si>
    <t>C501</t>
    <phoneticPr fontId="22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</si>
  <si>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</si>
  <si>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</si>
  <si>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</si>
  <si>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</si>
  <si>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</si>
  <si>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</si>
  <si>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</si>
  <si>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</si>
  <si>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</si>
  <si>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C401</t>
    <phoneticPr fontId="22" type="noConversion"/>
  </si>
  <si>
    <t>C402</t>
  </si>
  <si>
    <t>C403</t>
  </si>
  <si>
    <t>C404</t>
  </si>
  <si>
    <t>C405</t>
  </si>
  <si>
    <t>C406</t>
  </si>
  <si>
    <t>C407</t>
  </si>
  <si>
    <t>C408</t>
  </si>
  <si>
    <t>C409</t>
  </si>
  <si>
    <t>C410</t>
  </si>
  <si>
    <t>C301</t>
    <phoneticPr fontId="22" type="noConversion"/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</si>
  <si>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</si>
  <si>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</si>
  <si>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</si>
  <si>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</si>
  <si>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</si>
  <si>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</si>
  <si>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</si>
  <si>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</si>
  <si>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</si>
  <si>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C201</t>
    <phoneticPr fontId="22" type="noConversion"/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</si>
  <si>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</si>
  <si>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</si>
  <si>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</si>
  <si>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</si>
  <si>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</si>
  <si>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</si>
  <si>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</si>
  <si>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</si>
  <si>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</si>
  <si>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</si>
  <si>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C101</t>
    <phoneticPr fontId="22" type="noConversion"/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</si>
  <si>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</si>
  <si>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</si>
  <si>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</si>
  <si>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</si>
  <si>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</si>
  <si>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</si>
  <si>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</si>
  <si>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</si>
  <si>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</si>
  <si>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</si>
  <si>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G3202</t>
    <phoneticPr fontId="22" type="noConversion"/>
  </si>
  <si>
    <t>G3101</t>
    <phoneticPr fontId="22" type="noConversion"/>
  </si>
  <si>
    <t>G3102</t>
  </si>
  <si>
    <t>B515</t>
    <phoneticPr fontId="22" type="noConversion"/>
  </si>
  <si>
    <t>B516</t>
  </si>
  <si>
    <t>B517</t>
  </si>
  <si>
    <t>B518</t>
  </si>
  <si>
    <t>B519</t>
  </si>
  <si>
    <t>B520</t>
  </si>
  <si>
    <t>B521</t>
  </si>
  <si>
    <t>B522</t>
  </si>
  <si>
    <t>B523</t>
  </si>
  <si>
    <t>B524</t>
  </si>
  <si>
    <t>B415</t>
    <phoneticPr fontId="22" type="noConversion"/>
  </si>
  <si>
    <t>B416</t>
  </si>
  <si>
    <t>B417</t>
  </si>
  <si>
    <t>B418</t>
  </si>
  <si>
    <t>B419</t>
  </si>
  <si>
    <t>B420</t>
  </si>
  <si>
    <t>B421</t>
  </si>
  <si>
    <t>B422</t>
  </si>
  <si>
    <t>B423</t>
  </si>
  <si>
    <t>B424</t>
  </si>
  <si>
    <t>B315</t>
    <phoneticPr fontId="22" type="noConversion"/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</si>
  <si>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</si>
  <si>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</si>
  <si>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</si>
  <si>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</si>
  <si>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</si>
  <si>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</si>
  <si>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</si>
  <si>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</si>
  <si>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</si>
  <si>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B115</t>
    <phoneticPr fontId="22" type="noConversion"/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</si>
  <si>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</si>
  <si>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</si>
  <si>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</si>
  <si>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</si>
  <si>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</si>
  <si>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</si>
  <si>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</si>
  <si>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</si>
  <si>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</si>
  <si>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G3201</t>
    <phoneticPr fontId="22" type="noConversion"/>
  </si>
  <si>
    <t>G2306</t>
    <phoneticPr fontId="22" type="noConversion"/>
  </si>
  <si>
    <t>G2305</t>
    <phoneticPr fontId="22" type="noConversion"/>
  </si>
  <si>
    <t>G2304</t>
    <phoneticPr fontId="22" type="noConversion"/>
  </si>
  <si>
    <t>G2303</t>
    <phoneticPr fontId="22" type="noConversion"/>
  </si>
  <si>
    <t>G2302</t>
    <phoneticPr fontId="22" type="noConversion"/>
  </si>
  <si>
    <t>G2301</t>
    <phoneticPr fontId="22" type="noConversion"/>
  </si>
  <si>
    <t>G2205</t>
    <phoneticPr fontId="22" type="noConversion"/>
  </si>
  <si>
    <t>G2203</t>
    <phoneticPr fontId="22" type="noConversion"/>
  </si>
  <si>
    <t>G2201</t>
    <phoneticPr fontId="22" type="noConversion"/>
  </si>
  <si>
    <t>G2206</t>
    <phoneticPr fontId="22" type="noConversion"/>
  </si>
  <si>
    <t>G2204</t>
    <phoneticPr fontId="22" type="noConversion"/>
  </si>
  <si>
    <t>G2202</t>
    <phoneticPr fontId="22" type="noConversion"/>
  </si>
  <si>
    <t>G2106</t>
    <phoneticPr fontId="22" type="noConversion"/>
  </si>
  <si>
    <t>G2105</t>
    <phoneticPr fontId="22" type="noConversion"/>
  </si>
  <si>
    <t>G2104</t>
    <phoneticPr fontId="22" type="noConversion"/>
  </si>
  <si>
    <t>G2103</t>
    <phoneticPr fontId="22" type="noConversion"/>
  </si>
  <si>
    <t>G1101</t>
    <phoneticPr fontId="22" type="noConversion"/>
  </si>
  <si>
    <t>G1102</t>
  </si>
  <si>
    <t>G1103</t>
  </si>
  <si>
    <t>G1104</t>
  </si>
  <si>
    <t>G1105</t>
  </si>
  <si>
    <t>G1106</t>
  </si>
  <si>
    <t>G1203</t>
    <phoneticPr fontId="22" type="noConversion"/>
  </si>
  <si>
    <t>G1204</t>
  </si>
  <si>
    <t>G1205</t>
  </si>
  <si>
    <t>G1206</t>
  </si>
  <si>
    <t>G1207</t>
  </si>
  <si>
    <t>G1201</t>
    <phoneticPr fontId="22" type="noConversion"/>
  </si>
  <si>
    <t>G1202</t>
  </si>
  <si>
    <t>G1302</t>
    <phoneticPr fontId="22" type="noConversion"/>
  </si>
  <si>
    <t>G1301</t>
    <phoneticPr fontId="22" type="noConversion"/>
  </si>
  <si>
    <t>G1303</t>
    <phoneticPr fontId="22" type="noConversion"/>
  </si>
  <si>
    <t>G1304</t>
  </si>
  <si>
    <t>G1305</t>
  </si>
  <si>
    <t>G1306</t>
  </si>
  <si>
    <t>G1307</t>
  </si>
  <si>
    <t>고객명</t>
    <phoneticPr fontId="22" type="noConversion"/>
  </si>
  <si>
    <t>비 고</t>
    <phoneticPr fontId="22" type="noConversion"/>
  </si>
  <si>
    <t>4층 랙별 전기공급계통</t>
    <phoneticPr fontId="1" type="noConversion"/>
  </si>
  <si>
    <t>2023 in Month:</t>
    <phoneticPr fontId="1" type="noConversion"/>
  </si>
  <si>
    <t>계약전력량</t>
    <phoneticPr fontId="22" type="noConversion"/>
  </si>
  <si>
    <t>남은 전력량</t>
    <phoneticPr fontId="22" type="noConversion"/>
  </si>
  <si>
    <t>Power Usage Total</t>
    <phoneticPr fontId="22" type="noConversion"/>
  </si>
  <si>
    <t>Remaining Power</t>
    <phoneticPr fontId="22" type="noConversion"/>
  </si>
  <si>
    <t>A501</t>
    <phoneticPr fontId="22" type="noConversion"/>
  </si>
  <si>
    <t>A502</t>
  </si>
  <si>
    <t>A503</t>
  </si>
  <si>
    <t>A504</t>
    <phoneticPr fontId="22" type="noConversion"/>
  </si>
  <si>
    <t>A505</t>
    <phoneticPr fontId="22" type="noConversion"/>
  </si>
  <si>
    <t>A506</t>
  </si>
  <si>
    <t>A507</t>
  </si>
  <si>
    <t>A508</t>
  </si>
  <si>
    <t>A509</t>
    <phoneticPr fontId="22" type="noConversion"/>
  </si>
  <si>
    <t>A510</t>
  </si>
  <si>
    <t>A601</t>
    <phoneticPr fontId="22" type="noConversion"/>
  </si>
  <si>
    <t>A602</t>
  </si>
  <si>
    <t>A603</t>
  </si>
  <si>
    <t>A604</t>
  </si>
  <si>
    <t>A605</t>
  </si>
  <si>
    <t>A606</t>
  </si>
  <si>
    <t>A607</t>
    <phoneticPr fontId="22" type="noConversion"/>
  </si>
  <si>
    <t>A608</t>
  </si>
  <si>
    <t>A609</t>
    <phoneticPr fontId="22" type="noConversion"/>
  </si>
  <si>
    <t>A610</t>
  </si>
  <si>
    <t>A702</t>
    <phoneticPr fontId="22" type="noConversion"/>
  </si>
  <si>
    <t>A703</t>
    <phoneticPr fontId="22" type="noConversion"/>
  </si>
  <si>
    <t>A704</t>
    <phoneticPr fontId="22" type="noConversion"/>
  </si>
  <si>
    <t>A705</t>
    <phoneticPr fontId="22" type="noConversion"/>
  </si>
  <si>
    <t>A706</t>
    <phoneticPr fontId="22" type="noConversion"/>
  </si>
  <si>
    <t>A707</t>
    <phoneticPr fontId="22" type="noConversion"/>
  </si>
  <si>
    <t>A708</t>
    <phoneticPr fontId="22" type="noConversion"/>
  </si>
  <si>
    <t>A709</t>
    <phoneticPr fontId="22" type="noConversion"/>
  </si>
  <si>
    <t>A710</t>
    <phoneticPr fontId="22" type="noConversion"/>
  </si>
  <si>
    <t>A804</t>
    <phoneticPr fontId="22" type="noConversion"/>
  </si>
  <si>
    <t>A805</t>
    <phoneticPr fontId="22" type="noConversion"/>
  </si>
  <si>
    <t>A806</t>
    <phoneticPr fontId="22" type="noConversion"/>
  </si>
  <si>
    <t>A807</t>
    <phoneticPr fontId="22" type="noConversion"/>
  </si>
  <si>
    <t>A808</t>
    <phoneticPr fontId="22" type="noConversion"/>
  </si>
  <si>
    <t>A809</t>
    <phoneticPr fontId="22" type="noConversion"/>
  </si>
  <si>
    <t>A810</t>
    <phoneticPr fontId="22" type="noConversion"/>
  </si>
  <si>
    <t>A905</t>
    <phoneticPr fontId="22" type="noConversion"/>
  </si>
  <si>
    <t>A906</t>
    <phoneticPr fontId="22" type="noConversion"/>
  </si>
  <si>
    <t>A907</t>
    <phoneticPr fontId="22" type="noConversion"/>
  </si>
  <si>
    <t>A908</t>
    <phoneticPr fontId="22" type="noConversion"/>
  </si>
  <si>
    <t>A909</t>
    <phoneticPr fontId="22" type="noConversion"/>
  </si>
  <si>
    <t>A910</t>
    <phoneticPr fontId="22" type="noConversion"/>
  </si>
  <si>
    <t>A1005</t>
    <phoneticPr fontId="22" type="noConversion"/>
  </si>
  <si>
    <t>A1006</t>
  </si>
  <si>
    <t>A1007</t>
  </si>
  <si>
    <t>A1008</t>
  </si>
  <si>
    <t>B116</t>
    <phoneticPr fontId="22" type="noConversion"/>
  </si>
  <si>
    <t>B117</t>
    <phoneticPr fontId="22" type="noConversion"/>
  </si>
  <si>
    <t>B216</t>
    <phoneticPr fontId="22" type="noConversion"/>
  </si>
  <si>
    <t>B217</t>
  </si>
  <si>
    <t>B218</t>
  </si>
  <si>
    <t>B219</t>
  </si>
  <si>
    <t>B220</t>
  </si>
  <si>
    <t>B221</t>
  </si>
  <si>
    <t>B222</t>
  </si>
  <si>
    <t>B316</t>
    <phoneticPr fontId="22" type="noConversion"/>
  </si>
  <si>
    <t>B317</t>
    <phoneticPr fontId="22" type="noConversion"/>
  </si>
  <si>
    <t>B416</t>
    <phoneticPr fontId="22" type="noConversion"/>
  </si>
  <si>
    <t>B417</t>
    <phoneticPr fontId="22" type="noConversion"/>
  </si>
  <si>
    <t>B418</t>
    <phoneticPr fontId="22" type="noConversion"/>
  </si>
  <si>
    <t>B425</t>
    <phoneticPr fontId="22" type="noConversion"/>
  </si>
  <si>
    <t>C1002</t>
    <phoneticPr fontId="22" type="noConversion"/>
  </si>
  <si>
    <t>G1102</t>
    <phoneticPr fontId="22" type="noConversion"/>
  </si>
  <si>
    <t>G1103</t>
    <phoneticPr fontId="22" type="noConversion"/>
  </si>
  <si>
    <t>G1104</t>
    <phoneticPr fontId="22" type="noConversion"/>
  </si>
  <si>
    <t>G1105</t>
    <phoneticPr fontId="22" type="noConversion"/>
  </si>
  <si>
    <t>G1203</t>
  </si>
  <si>
    <t>G2101</t>
    <phoneticPr fontId="22" type="noConversion"/>
  </si>
  <si>
    <t>G2102</t>
  </si>
  <si>
    <t>G2103</t>
  </si>
  <si>
    <t>G2104</t>
  </si>
  <si>
    <t>G2204</t>
  </si>
  <si>
    <t>G3103</t>
  </si>
  <si>
    <t xml:space="preserve"> </t>
    <phoneticPr fontId="22" type="noConversion"/>
  </si>
  <si>
    <t>5F-A11</t>
  </si>
  <si>
    <t>5F-A12</t>
  </si>
  <si>
    <t>5F-A13</t>
  </si>
  <si>
    <t>5F-A14</t>
  </si>
  <si>
    <t>5F-A15</t>
  </si>
  <si>
    <t>5F-A16</t>
  </si>
  <si>
    <t>5F-A17</t>
  </si>
  <si>
    <t>5F-A18</t>
  </si>
  <si>
    <t>5F-A19</t>
  </si>
  <si>
    <t>5F-B11</t>
  </si>
  <si>
    <t>5F-B12</t>
  </si>
  <si>
    <t>5F-B13</t>
  </si>
  <si>
    <t>5F-B14</t>
  </si>
  <si>
    <t>5F-B15</t>
  </si>
  <si>
    <t>5F-B16</t>
  </si>
  <si>
    <t>5F-B17</t>
  </si>
  <si>
    <t>5F-B18</t>
  </si>
  <si>
    <t>5F-B19</t>
  </si>
  <si>
    <t>5F-C13</t>
  </si>
  <si>
    <t>5F-C14</t>
  </si>
  <si>
    <t>5F-C15</t>
  </si>
  <si>
    <t>5F-C16</t>
  </si>
  <si>
    <t>5F-C17</t>
  </si>
  <si>
    <t>5F-C18</t>
  </si>
  <si>
    <t>5F-C19</t>
  </si>
  <si>
    <t>5F-D13</t>
  </si>
  <si>
    <t>5F-D14</t>
  </si>
  <si>
    <t>5F-D15</t>
  </si>
  <si>
    <t>5F-D16</t>
  </si>
  <si>
    <t>5F-D17</t>
  </si>
  <si>
    <t>5F-D18</t>
  </si>
  <si>
    <t>5F-D19</t>
  </si>
  <si>
    <t>5F-E13</t>
  </si>
  <si>
    <t>5F-E14</t>
  </si>
  <si>
    <t>5F-E15</t>
  </si>
  <si>
    <t>5F-E16</t>
  </si>
  <si>
    <t>5F-E17</t>
  </si>
  <si>
    <t>5F-E18</t>
  </si>
  <si>
    <t>5F-E19</t>
  </si>
  <si>
    <t>5F-F13</t>
  </si>
  <si>
    <t>5F-F14</t>
  </si>
  <si>
    <t>5F-F15</t>
  </si>
  <si>
    <t>5F-F16</t>
  </si>
  <si>
    <t>5F-F17</t>
  </si>
  <si>
    <t>KG이니시스</t>
  </si>
  <si>
    <t>R17</t>
  </si>
  <si>
    <t>R18</t>
  </si>
  <si>
    <t>R19</t>
  </si>
  <si>
    <t>R20</t>
  </si>
  <si>
    <t>5F-O18</t>
  </si>
  <si>
    <t>5F-O19</t>
  </si>
  <si>
    <t>5F-O20</t>
  </si>
  <si>
    <t>5F-O21</t>
  </si>
  <si>
    <t>5F-O22</t>
  </si>
  <si>
    <t>5F-O23</t>
  </si>
  <si>
    <t>5F-O24</t>
  </si>
  <si>
    <t>5F-N18</t>
  </si>
  <si>
    <t>5F-N19</t>
  </si>
  <si>
    <t>5F-N20</t>
  </si>
  <si>
    <t>5F-N21</t>
  </si>
  <si>
    <t>5F-N22</t>
  </si>
  <si>
    <t>5F-N23</t>
  </si>
  <si>
    <t>5F-N24</t>
  </si>
  <si>
    <t>5F-M12</t>
  </si>
  <si>
    <t>5F-M13</t>
  </si>
  <si>
    <t>5F-M14</t>
  </si>
  <si>
    <t>5F-M15</t>
  </si>
  <si>
    <t>5F-M16</t>
  </si>
  <si>
    <t>5F-K12</t>
  </si>
  <si>
    <t>5F-K13</t>
  </si>
  <si>
    <t>5F-K14</t>
  </si>
  <si>
    <t>5F-K15</t>
  </si>
  <si>
    <t>5F-K16</t>
  </si>
  <si>
    <t>5F-K17</t>
  </si>
  <si>
    <t>5F-K18</t>
  </si>
  <si>
    <t>5F-J12</t>
  </si>
  <si>
    <t>5F-J13</t>
  </si>
  <si>
    <t>5F-J14</t>
  </si>
  <si>
    <t>5F-J15</t>
  </si>
  <si>
    <t>5F-J16</t>
  </si>
  <si>
    <t>5F-J17</t>
  </si>
  <si>
    <t>5F-J18</t>
  </si>
  <si>
    <t>5F-I12</t>
  </si>
  <si>
    <t>5F-I13</t>
  </si>
  <si>
    <t>5F-I14</t>
  </si>
  <si>
    <t>5F-I15</t>
  </si>
  <si>
    <t>5F-I16</t>
  </si>
  <si>
    <t>5F-I17</t>
  </si>
  <si>
    <t>5F-I18</t>
  </si>
  <si>
    <t>예비Rack#04/R-6-4</t>
  </si>
  <si>
    <t>LG CNS</t>
  </si>
  <si>
    <t>예비Rack#03/R6-3</t>
  </si>
  <si>
    <t>예비Rack#02/R6-2</t>
  </si>
  <si>
    <t>예비Rack#01/R6-1</t>
  </si>
  <si>
    <t>5F-H12</t>
  </si>
  <si>
    <t>5F-H13</t>
  </si>
  <si>
    <t>5F-H14</t>
  </si>
  <si>
    <t>5F-H15</t>
  </si>
  <si>
    <t>5F-H16</t>
  </si>
  <si>
    <t>5F-H17</t>
  </si>
  <si>
    <t>5F-H18</t>
  </si>
  <si>
    <t>5F-G12</t>
  </si>
  <si>
    <t>5F-G13</t>
  </si>
  <si>
    <t>5F-G14</t>
  </si>
  <si>
    <t>5F-G15</t>
  </si>
  <si>
    <t>5F-G16</t>
  </si>
  <si>
    <t>5F-G17</t>
  </si>
  <si>
    <t>5F-G18</t>
  </si>
  <si>
    <t>5F-R13</t>
  </si>
  <si>
    <t>5F-R14</t>
  </si>
  <si>
    <t>5F-R15</t>
  </si>
  <si>
    <t>Cloudflare</t>
  </si>
  <si>
    <t>5F-R16</t>
  </si>
  <si>
    <t>5F-R17</t>
  </si>
  <si>
    <t>5F-R18</t>
  </si>
  <si>
    <t>5F-R19</t>
  </si>
  <si>
    <t>5F-Q13</t>
  </si>
  <si>
    <t>5F-Q14</t>
  </si>
  <si>
    <t>5F-Q15</t>
  </si>
  <si>
    <t>5F-Q16</t>
  </si>
  <si>
    <t>5F-Q17</t>
  </si>
  <si>
    <t>5F-Q18</t>
  </si>
  <si>
    <t>5F-Q19</t>
  </si>
  <si>
    <t>5F-N13</t>
  </si>
  <si>
    <t>5F-N14</t>
  </si>
  <si>
    <t>5F-N15</t>
  </si>
  <si>
    <t>5F-N16</t>
  </si>
  <si>
    <t>5F-N17</t>
  </si>
  <si>
    <t>5F-O16</t>
  </si>
  <si>
    <t>5F-O17</t>
  </si>
  <si>
    <t>5F-P13</t>
  </si>
  <si>
    <t>5F-P14</t>
  </si>
  <si>
    <t>5F-P15</t>
  </si>
  <si>
    <t>5F-P16</t>
  </si>
  <si>
    <t>5F-P17</t>
  </si>
  <si>
    <t>5F-P18</t>
  </si>
  <si>
    <t>5F-P19</t>
  </si>
  <si>
    <t>5F-P20</t>
  </si>
  <si>
    <t>5F-P21</t>
  </si>
  <si>
    <t>5F-P22</t>
  </si>
  <si>
    <t>5F-P23</t>
  </si>
  <si>
    <t>5F-P24</t>
  </si>
  <si>
    <t>5F-Q20</t>
  </si>
  <si>
    <t>5F-Q21</t>
  </si>
  <si>
    <t>5F-Q24</t>
  </si>
  <si>
    <t>5F-R24</t>
  </si>
  <si>
    <t>single-2</t>
  </si>
  <si>
    <t>KT Rack #3 (소형 임시정류기)</t>
  </si>
  <si>
    <t>KT Rack #4 (소형 임시정류기)</t>
  </si>
  <si>
    <t>Telstra</t>
  </si>
  <si>
    <t>신규 BMS(4F TPS실) Rack</t>
  </si>
  <si>
    <t>신규 BMS(5F TPS실) Rack</t>
  </si>
  <si>
    <t>4층</t>
    <phoneticPr fontId="1" type="noConversion"/>
  </si>
  <si>
    <t>비 고</t>
    <phoneticPr fontId="1" type="noConversion"/>
  </si>
  <si>
    <t>총 월간 사용전력량[kWh]</t>
    <phoneticPr fontId="1" type="noConversion"/>
  </si>
  <si>
    <t>Total :</t>
    <phoneticPr fontId="1" type="noConversion"/>
  </si>
  <si>
    <t>4-Sejong-Rect-1</t>
  </si>
  <si>
    <t>Sejong Telecom Inc.</t>
  </si>
  <si>
    <t>4-Sejong-Rect-2</t>
  </si>
  <si>
    <t>G4601-G4611</t>
  </si>
  <si>
    <t>G4501-G4511</t>
  </si>
  <si>
    <t>G4401-G4411</t>
  </si>
  <si>
    <t>G4301-G4311</t>
  </si>
  <si>
    <t>G4201-G4211</t>
  </si>
  <si>
    <t>G4101-G4111</t>
  </si>
  <si>
    <t>Media Player</t>
  </si>
  <si>
    <t>Settle Bank Co., Ltd.</t>
  </si>
  <si>
    <t>Suntech Solution</t>
  </si>
  <si>
    <t>Sysone Co., Ltd.</t>
  </si>
  <si>
    <t xml:space="preserve">Digital Edge Korea </t>
  </si>
  <si>
    <t>Ellis Information Technology Co., Ltd.</t>
  </si>
  <si>
    <t>SCG Lab</t>
  </si>
  <si>
    <t>Netoz Co., Ltd.</t>
  </si>
  <si>
    <t>Hi Auto Club Co., Ltd.</t>
  </si>
  <si>
    <t>Daerim I&amp;T</t>
  </si>
  <si>
    <t>Oriental Moon Co., Ltd.</t>
  </si>
  <si>
    <t>Singapore Telecom Korea Limited</t>
  </si>
  <si>
    <t>CASTIS CO.,LTD.</t>
  </si>
  <si>
    <t>TNC Technology</t>
  </si>
  <si>
    <t>Plus Eye Co., Ltd.</t>
  </si>
  <si>
    <t>Hecto Financial Co., Ltd.</t>
  </si>
  <si>
    <t>BS Printech</t>
  </si>
  <si>
    <t>Jongro Hakpyung</t>
  </si>
  <si>
    <t>JS Data Systems Korea</t>
  </si>
  <si>
    <t>CoinNet</t>
  </si>
  <si>
    <t>Winnet System Co., Ltd.</t>
  </si>
  <si>
    <t>ANEXIA</t>
  </si>
  <si>
    <t>Shoot</t>
  </si>
  <si>
    <t>MS Information Communication Co., Ltd.</t>
  </si>
  <si>
    <t>Kyungdong Corporation</t>
  </si>
  <si>
    <t>Wiz Communication Co., Ltd.</t>
  </si>
  <si>
    <t>Spark &amp; ​​Associates Co., Ltd.</t>
  </si>
  <si>
    <t xml:space="preserve"> </t>
    <phoneticPr fontId="1" type="noConversion"/>
  </si>
  <si>
    <t>2구역 I열</t>
    <phoneticPr fontId="22" type="noConversion"/>
  </si>
  <si>
    <t>B115</t>
  </si>
  <si>
    <t>B315</t>
  </si>
  <si>
    <t>B415</t>
  </si>
  <si>
    <t>B515</t>
  </si>
  <si>
    <t>CRAC 4E-1호기(20RT)</t>
  </si>
  <si>
    <t>CRAC 4E-2호기(20RT)</t>
  </si>
  <si>
    <t>PCCW Global Korea Limited</t>
  </si>
  <si>
    <t>Lumen Technologies Korea</t>
  </si>
  <si>
    <t>Dakos Co., Ltd.</t>
  </si>
  <si>
    <t>Ebiz Networks</t>
  </si>
  <si>
    <t>NTT KOREA Co., Ltd.</t>
  </si>
  <si>
    <t>Zeus Networks Co., Ltd.</t>
  </si>
  <si>
    <t>한비로</t>
  </si>
  <si>
    <t>CHANEL KOREA</t>
  </si>
  <si>
    <t>한국보안기술</t>
  </si>
  <si>
    <t>Onse Telink</t>
  </si>
  <si>
    <t>ITNEST</t>
  </si>
  <si>
    <t>Lumen Technology</t>
  </si>
  <si>
    <t>KG이니시스</t>
    <phoneticPr fontId="22" type="noConversion"/>
  </si>
  <si>
    <t>LG CNS</t>
    <phoneticPr fontId="22" type="noConversion"/>
  </si>
  <si>
    <t>Cloudflare</t>
    <phoneticPr fontId="22" type="noConversion"/>
  </si>
  <si>
    <t>LG U Plus</t>
  </si>
  <si>
    <t>Vodafone Enterprise Global Limited</t>
  </si>
  <si>
    <t>싱텔
분전반(A)</t>
    <phoneticPr fontId="22" type="noConversion"/>
  </si>
  <si>
    <t>싱텔
분전반(B)</t>
    <phoneticPr fontId="22" type="noConversion"/>
  </si>
  <si>
    <t>싱텔 SKB CWDM</t>
    <phoneticPr fontId="22" type="noConversion"/>
  </si>
  <si>
    <t>single-2</t>
    <phoneticPr fontId="22" type="noConversion"/>
  </si>
  <si>
    <t>KT Rack #2 (소형 임시정류기)</t>
    <phoneticPr fontId="22" type="noConversion"/>
  </si>
  <si>
    <t>Telstra</t>
    <phoneticPr fontId="22" type="noConversion"/>
  </si>
  <si>
    <t>랙 No.</t>
    <phoneticPr fontId="22" type="noConversion"/>
  </si>
  <si>
    <t>5F-A10</t>
    <phoneticPr fontId="22" type="noConversion"/>
  </si>
  <si>
    <t>5F-B10</t>
    <phoneticPr fontId="22" type="noConversion"/>
  </si>
  <si>
    <t>5F-C12</t>
    <phoneticPr fontId="22" type="noConversion"/>
  </si>
  <si>
    <t>5F-D12</t>
    <phoneticPr fontId="22" type="noConversion"/>
  </si>
  <si>
    <t>5F-E12</t>
    <phoneticPr fontId="22" type="noConversion"/>
  </si>
  <si>
    <t>5F-F12</t>
    <phoneticPr fontId="22" type="noConversion"/>
  </si>
  <si>
    <t>R12</t>
    <phoneticPr fontId="22" type="noConversion"/>
  </si>
  <si>
    <t>R11</t>
    <phoneticPr fontId="22" type="noConversion"/>
  </si>
  <si>
    <t>R10</t>
    <phoneticPr fontId="22" type="noConversion"/>
  </si>
  <si>
    <t>R9</t>
    <phoneticPr fontId="22" type="noConversion"/>
  </si>
  <si>
    <t>R8</t>
    <phoneticPr fontId="22" type="noConversion"/>
  </si>
  <si>
    <t>R7</t>
    <phoneticPr fontId="22" type="noConversion"/>
  </si>
  <si>
    <t>R6</t>
    <phoneticPr fontId="22" type="noConversion"/>
  </si>
  <si>
    <t>R5</t>
    <phoneticPr fontId="22" type="noConversion"/>
  </si>
  <si>
    <t>R4</t>
    <phoneticPr fontId="22" type="noConversion"/>
  </si>
  <si>
    <t>R3</t>
    <phoneticPr fontId="22" type="noConversion"/>
  </si>
  <si>
    <t>R2</t>
    <phoneticPr fontId="22" type="noConversion"/>
  </si>
  <si>
    <t>R1</t>
    <phoneticPr fontId="22" type="noConversion"/>
  </si>
  <si>
    <t>R13</t>
    <phoneticPr fontId="22" type="noConversion"/>
  </si>
  <si>
    <t>R14</t>
    <phoneticPr fontId="22" type="noConversion"/>
  </si>
  <si>
    <t>R15</t>
    <phoneticPr fontId="22" type="noConversion"/>
  </si>
  <si>
    <t>R16</t>
    <phoneticPr fontId="22" type="noConversion"/>
  </si>
  <si>
    <t>R21</t>
    <phoneticPr fontId="22" type="noConversion"/>
  </si>
  <si>
    <t>R22</t>
    <phoneticPr fontId="22" type="noConversion"/>
  </si>
  <si>
    <t>R23</t>
    <phoneticPr fontId="22" type="noConversion"/>
  </si>
  <si>
    <t>R24</t>
    <phoneticPr fontId="22" type="noConversion"/>
  </si>
  <si>
    <t>5F-M-08</t>
    <phoneticPr fontId="22" type="noConversion"/>
  </si>
  <si>
    <t>5F-M11</t>
    <phoneticPr fontId="22" type="noConversion"/>
  </si>
  <si>
    <t>5F-K11</t>
    <phoneticPr fontId="22" type="noConversion"/>
  </si>
  <si>
    <t>5F-J11</t>
    <phoneticPr fontId="22" type="noConversion"/>
  </si>
  <si>
    <t>5F-I11</t>
    <phoneticPr fontId="22" type="noConversion"/>
  </si>
  <si>
    <t>R5-4</t>
    <phoneticPr fontId="22" type="noConversion"/>
  </si>
  <si>
    <r>
      <t>DGX Rack#3 /</t>
    </r>
    <r>
      <rPr>
        <sz val="11"/>
        <color theme="1"/>
        <rFont val="맑은 고딕"/>
        <family val="2"/>
        <charset val="129"/>
        <scheme val="minor"/>
      </rPr>
      <t xml:space="preserve"> R5-3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</si>
  <si>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Rack#2 /</t>
    </r>
    <r>
      <rPr>
        <sz val="11"/>
        <color theme="1"/>
        <rFont val="맑은 고딕"/>
        <family val="2"/>
        <charset val="129"/>
        <scheme val="minor"/>
      </rPr>
      <t xml:space="preserve"> R5-2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</si>
  <si>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R5-1</t>
    </r>
    <phoneticPr fontId="22" type="noConversion"/>
  </si>
  <si>
    <t>NetApp AFF#2 / R4-4</t>
    <phoneticPr fontId="22" type="noConversion"/>
  </si>
  <si>
    <t>NetApp FAS#1 / R4-3</t>
    <phoneticPr fontId="22" type="noConversion"/>
  </si>
  <si>
    <r>
      <t>A40 Rack#2 /</t>
    </r>
    <r>
      <rPr>
        <sz val="11"/>
        <color theme="1"/>
        <rFont val="맑은 고딕"/>
        <family val="2"/>
        <charset val="129"/>
        <scheme val="minor"/>
      </rPr>
      <t xml:space="preserve"> R4-2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</si>
  <si>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A40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R4-1</t>
    </r>
    <phoneticPr fontId="22" type="noConversion"/>
  </si>
  <si>
    <t>R3-4</t>
    <phoneticPr fontId="22" type="noConversion"/>
  </si>
  <si>
    <t>NW/Mgmt Rack /
 R3-3</t>
    <phoneticPr fontId="22" type="noConversion"/>
  </si>
  <si>
    <r>
      <t>RTX Rack#9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</si>
  <si>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Rack#8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</si>
  <si>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Rack#7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4</t>
    </r>
    <phoneticPr fontId="22" type="noConversion"/>
  </si>
  <si>
    <r>
      <t>RTX Rack#6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</si>
  <si>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Rack#5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</si>
  <si>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</si>
  <si>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R1-4</t>
    </r>
    <phoneticPr fontId="22" type="noConversion"/>
  </si>
  <si>
    <r>
      <t>RTX Rack#3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</si>
  <si>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Rack#2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</si>
  <si>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R1-1</t>
    </r>
    <phoneticPr fontId="22" type="noConversion"/>
  </si>
  <si>
    <t>5F-H11</t>
    <phoneticPr fontId="22" type="noConversion"/>
  </si>
  <si>
    <t>5F-G11</t>
    <phoneticPr fontId="22" type="noConversion"/>
  </si>
  <si>
    <t>5F-R12</t>
    <phoneticPr fontId="22" type="noConversion"/>
  </si>
  <si>
    <t>번호없음</t>
    <phoneticPr fontId="22" type="noConversion"/>
  </si>
  <si>
    <t>5F-Q12</t>
    <phoneticPr fontId="22" type="noConversion"/>
  </si>
  <si>
    <t>5F-P-12</t>
    <phoneticPr fontId="22" type="noConversion"/>
  </si>
  <si>
    <t>5F-P-13</t>
    <phoneticPr fontId="22" type="noConversion"/>
  </si>
  <si>
    <t>5F-P-14</t>
    <phoneticPr fontId="22" type="noConversion"/>
  </si>
  <si>
    <t>5F-P-15</t>
    <phoneticPr fontId="22" type="noConversion"/>
  </si>
  <si>
    <t>5F-O12</t>
    <phoneticPr fontId="22" type="noConversion"/>
  </si>
  <si>
    <t>5F-O-14</t>
    <phoneticPr fontId="22" type="noConversion"/>
  </si>
  <si>
    <t>5F-O-15</t>
    <phoneticPr fontId="22" type="noConversion"/>
  </si>
  <si>
    <t>시스템박스</t>
    <phoneticPr fontId="22" type="noConversion"/>
  </si>
  <si>
    <t>지문인식기</t>
    <phoneticPr fontId="22" type="noConversion"/>
  </si>
  <si>
    <t>5F-M-04</t>
    <phoneticPr fontId="22" type="noConversion"/>
  </si>
  <si>
    <t>5F-M-05</t>
    <phoneticPr fontId="22" type="noConversion"/>
  </si>
  <si>
    <t>5F-M-06</t>
    <phoneticPr fontId="22" type="noConversion"/>
  </si>
  <si>
    <t>5F-N12</t>
    <phoneticPr fontId="22" type="noConversion"/>
  </si>
  <si>
    <t>5F-P12</t>
    <phoneticPr fontId="22" type="noConversion"/>
  </si>
  <si>
    <t>pacnet
내
분전반2식</t>
    <phoneticPr fontId="44" type="noConversion"/>
  </si>
  <si>
    <t>싱텔</t>
    <phoneticPr fontId="22" type="noConversion"/>
  </si>
  <si>
    <t>텔스트라</t>
    <phoneticPr fontId="44" type="noConversion"/>
  </si>
  <si>
    <t>A101</t>
    <phoneticPr fontId="22" type="noConversion"/>
  </si>
  <si>
    <t>A102</t>
    <phoneticPr fontId="22" type="noConversion"/>
  </si>
  <si>
    <t>A103</t>
    <phoneticPr fontId="22" type="noConversion"/>
  </si>
  <si>
    <t>A104</t>
    <phoneticPr fontId="22" type="noConversion"/>
  </si>
  <si>
    <t>A105</t>
    <phoneticPr fontId="22" type="noConversion"/>
  </si>
  <si>
    <t>A106</t>
    <phoneticPr fontId="22" type="noConversion"/>
  </si>
  <si>
    <t>A107</t>
    <phoneticPr fontId="22" type="noConversion"/>
  </si>
  <si>
    <t>A108</t>
    <phoneticPr fontId="22" type="noConversion"/>
  </si>
  <si>
    <t>A109</t>
    <phoneticPr fontId="22" type="noConversion"/>
  </si>
  <si>
    <t>A110</t>
    <phoneticPr fontId="22" type="noConversion"/>
  </si>
  <si>
    <t>A201</t>
    <phoneticPr fontId="22" type="noConversion"/>
  </si>
  <si>
    <t>A202</t>
    <phoneticPr fontId="22" type="noConversion"/>
  </si>
  <si>
    <t>A203</t>
    <phoneticPr fontId="22" type="noConversion"/>
  </si>
  <si>
    <t>A204</t>
    <phoneticPr fontId="22" type="noConversion"/>
  </si>
  <si>
    <t>A205</t>
    <phoneticPr fontId="22" type="noConversion"/>
  </si>
  <si>
    <t>A206</t>
    <phoneticPr fontId="22" type="noConversion"/>
  </si>
  <si>
    <t>A207</t>
    <phoneticPr fontId="22" type="noConversion"/>
  </si>
  <si>
    <t>A208</t>
    <phoneticPr fontId="22" type="noConversion"/>
  </si>
  <si>
    <t>A209</t>
    <phoneticPr fontId="22" type="noConversion"/>
  </si>
  <si>
    <t>A210</t>
    <phoneticPr fontId="22" type="noConversion"/>
  </si>
  <si>
    <t>A303</t>
    <phoneticPr fontId="22" type="noConversion"/>
  </si>
  <si>
    <t>A304</t>
    <phoneticPr fontId="22" type="noConversion"/>
  </si>
  <si>
    <t>A305</t>
    <phoneticPr fontId="22" type="noConversion"/>
  </si>
  <si>
    <t>A306</t>
    <phoneticPr fontId="22" type="noConversion"/>
  </si>
  <si>
    <t>A307</t>
    <phoneticPr fontId="22" type="noConversion"/>
  </si>
  <si>
    <t>A308</t>
    <phoneticPr fontId="22" type="noConversion"/>
  </si>
  <si>
    <t>A309</t>
    <phoneticPr fontId="22" type="noConversion"/>
  </si>
  <si>
    <t>A310</t>
    <phoneticPr fontId="22" type="noConversion"/>
  </si>
  <si>
    <t>A403</t>
    <phoneticPr fontId="22" type="noConversion"/>
  </si>
  <si>
    <t>A404</t>
    <phoneticPr fontId="22" type="noConversion"/>
  </si>
  <si>
    <t>A405</t>
    <phoneticPr fontId="22" type="noConversion"/>
  </si>
  <si>
    <t>A406</t>
    <phoneticPr fontId="22" type="noConversion"/>
  </si>
  <si>
    <t>A407</t>
    <phoneticPr fontId="22" type="noConversion"/>
  </si>
  <si>
    <t>A408</t>
    <phoneticPr fontId="22" type="noConversion"/>
  </si>
  <si>
    <t>A409</t>
    <phoneticPr fontId="22" type="noConversion"/>
  </si>
  <si>
    <t>A410</t>
    <phoneticPr fontId="22" type="noConversion"/>
  </si>
  <si>
    <t>A503</t>
    <phoneticPr fontId="22" type="noConversion"/>
  </si>
  <si>
    <t>A506</t>
    <phoneticPr fontId="22" type="noConversion"/>
  </si>
  <si>
    <t>A507</t>
    <phoneticPr fontId="22" type="noConversion"/>
  </si>
  <si>
    <t>A508</t>
    <phoneticPr fontId="22" type="noConversion"/>
  </si>
  <si>
    <t>A510</t>
    <phoneticPr fontId="22" type="noConversion"/>
  </si>
  <si>
    <t>A603</t>
    <phoneticPr fontId="22" type="noConversion"/>
  </si>
  <si>
    <t>A604</t>
    <phoneticPr fontId="22" type="noConversion"/>
  </si>
  <si>
    <t>A605</t>
    <phoneticPr fontId="22" type="noConversion"/>
  </si>
  <si>
    <t>A606</t>
    <phoneticPr fontId="22" type="noConversion"/>
  </si>
  <si>
    <t>A608</t>
    <phoneticPr fontId="22" type="noConversion"/>
  </si>
  <si>
    <t>A610</t>
    <phoneticPr fontId="22" type="noConversion"/>
  </si>
  <si>
    <t>B119</t>
    <phoneticPr fontId="22" type="noConversion"/>
  </si>
  <si>
    <t>B120</t>
    <phoneticPr fontId="22" type="noConversion"/>
  </si>
  <si>
    <t>B121</t>
    <phoneticPr fontId="22" type="noConversion"/>
  </si>
  <si>
    <t>B125</t>
  </si>
  <si>
    <t>B201</t>
    <phoneticPr fontId="22" type="noConversion"/>
  </si>
  <si>
    <t>B202</t>
    <phoneticPr fontId="22" type="noConversion"/>
  </si>
  <si>
    <t>B203</t>
    <phoneticPr fontId="22" type="noConversion"/>
  </si>
  <si>
    <t>B204</t>
  </si>
  <si>
    <t>B205</t>
  </si>
  <si>
    <t>B206</t>
  </si>
  <si>
    <t>B207</t>
  </si>
  <si>
    <t>B208</t>
  </si>
  <si>
    <t>B209</t>
  </si>
  <si>
    <t>B210</t>
    <phoneticPr fontId="22" type="noConversion"/>
  </si>
  <si>
    <t>B211</t>
  </si>
  <si>
    <t>B215</t>
    <phoneticPr fontId="22" type="noConversion"/>
  </si>
  <si>
    <t>B216</t>
  </si>
  <si>
    <t>B223</t>
  </si>
  <si>
    <t>B224</t>
  </si>
  <si>
    <t>B225</t>
  </si>
  <si>
    <t>B301</t>
    <phoneticPr fontId="22" type="noConversion"/>
  </si>
  <si>
    <t>B302</t>
    <phoneticPr fontId="22" type="noConversion"/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</si>
  <si>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</si>
  <si>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</si>
  <si>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</si>
  <si>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</si>
  <si>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</si>
  <si>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</si>
  <si>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</si>
  <si>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</si>
  <si>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</si>
  <si>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B325</t>
  </si>
  <si>
    <t>B401</t>
    <phoneticPr fontId="22" type="noConversion"/>
  </si>
  <si>
    <t>B402</t>
  </si>
  <si>
    <t>B403</t>
  </si>
  <si>
    <t>B404</t>
  </si>
  <si>
    <t>B405</t>
  </si>
  <si>
    <t>B406</t>
  </si>
  <si>
    <t>B407</t>
    <phoneticPr fontId="22" type="noConversion"/>
  </si>
  <si>
    <t>B408</t>
  </si>
  <si>
    <t>B409</t>
  </si>
  <si>
    <t>B410</t>
  </si>
  <si>
    <t>B411</t>
  </si>
  <si>
    <t>B425</t>
  </si>
  <si>
    <t>C305</t>
    <phoneticPr fontId="22" type="noConversion"/>
  </si>
  <si>
    <t>C306</t>
    <phoneticPr fontId="22" type="noConversion"/>
  </si>
  <si>
    <t>G2105</t>
  </si>
  <si>
    <t>G2106</t>
  </si>
  <si>
    <t>G2107</t>
  </si>
  <si>
    <t>G2108</t>
  </si>
  <si>
    <t>6F-AE19</t>
  </si>
  <si>
    <t>6F-AE18</t>
  </si>
  <si>
    <t>6F-AE17</t>
  </si>
  <si>
    <t>6F-AE16</t>
  </si>
  <si>
    <t>6F-AE15</t>
  </si>
  <si>
    <t>6F-AE14</t>
  </si>
  <si>
    <t>6F-AE13</t>
  </si>
  <si>
    <t>6F-AE12</t>
  </si>
  <si>
    <t>6F-AE11</t>
    <phoneticPr fontId="22" type="noConversion"/>
  </si>
  <si>
    <t>6F-AD19</t>
  </si>
  <si>
    <t>6F-AD18</t>
  </si>
  <si>
    <t>6F-AD17</t>
  </si>
  <si>
    <t>6F-AD16</t>
  </si>
  <si>
    <t>6F-AD15</t>
  </si>
  <si>
    <t>6F-AD14</t>
  </si>
  <si>
    <t>6F-AD13</t>
  </si>
  <si>
    <t>6F-AD12</t>
  </si>
  <si>
    <t>6F-AD11</t>
    <phoneticPr fontId="22" type="noConversion"/>
  </si>
  <si>
    <t>6F-AC18</t>
  </si>
  <si>
    <t>6F-AC17</t>
  </si>
  <si>
    <t>6F-AC16</t>
  </si>
  <si>
    <t>6F-AC15</t>
  </si>
  <si>
    <t>6F-AC14</t>
  </si>
  <si>
    <t>6F-AC13</t>
  </si>
  <si>
    <t>6F-AC12</t>
  </si>
  <si>
    <t>6F-AC11</t>
    <phoneticPr fontId="22" type="noConversion"/>
  </si>
  <si>
    <t>6F-AB18</t>
  </si>
  <si>
    <t>6F-AB17</t>
  </si>
  <si>
    <t>6F-AB16</t>
  </si>
  <si>
    <t>6F-AB15</t>
  </si>
  <si>
    <t>6F-AB14</t>
  </si>
  <si>
    <t>6F-AB13</t>
  </si>
  <si>
    <t>6F-AB12</t>
  </si>
  <si>
    <t>6F-AB11</t>
    <phoneticPr fontId="22" type="noConversion"/>
  </si>
  <si>
    <t>6F-V18</t>
    <phoneticPr fontId="22" type="noConversion"/>
  </si>
  <si>
    <t>6F-V17</t>
    <phoneticPr fontId="22" type="noConversion"/>
  </si>
  <si>
    <t>6F-V16</t>
    <phoneticPr fontId="22" type="noConversion"/>
  </si>
  <si>
    <t>6F-V15</t>
    <phoneticPr fontId="22" type="noConversion"/>
  </si>
  <si>
    <t>6F-V14</t>
    <phoneticPr fontId="22" type="noConversion"/>
  </si>
  <si>
    <t>6F-V13</t>
    <phoneticPr fontId="22" type="noConversion"/>
  </si>
  <si>
    <t>6F-V12</t>
    <phoneticPr fontId="22" type="noConversion"/>
  </si>
  <si>
    <t>6F-V11</t>
    <phoneticPr fontId="22" type="noConversion"/>
  </si>
  <si>
    <t>6F-W19</t>
    <phoneticPr fontId="22" type="noConversion"/>
  </si>
  <si>
    <t>6F-W18</t>
    <phoneticPr fontId="22" type="noConversion"/>
  </si>
  <si>
    <t>6F-W17</t>
    <phoneticPr fontId="22" type="noConversion"/>
  </si>
  <si>
    <t>6F-W16</t>
    <phoneticPr fontId="22" type="noConversion"/>
  </si>
  <si>
    <t>6F-W15</t>
    <phoneticPr fontId="22" type="noConversion"/>
  </si>
  <si>
    <t>6F-W14</t>
    <phoneticPr fontId="22" type="noConversion"/>
  </si>
  <si>
    <t>6F-W13</t>
    <phoneticPr fontId="22" type="noConversion"/>
  </si>
  <si>
    <t>6F-W12</t>
    <phoneticPr fontId="22" type="noConversion"/>
  </si>
  <si>
    <t>6F-W11</t>
    <phoneticPr fontId="22" type="noConversion"/>
  </si>
  <si>
    <t>6F-X19</t>
  </si>
  <si>
    <t>6F-X18</t>
  </si>
  <si>
    <t>6F-X17</t>
  </si>
  <si>
    <t>6F-X16</t>
  </si>
  <si>
    <t>6F-X15</t>
  </si>
  <si>
    <t>6F-X14</t>
  </si>
  <si>
    <t>6F-X13</t>
  </si>
  <si>
    <t>6F-X12</t>
  </si>
  <si>
    <t>6F-Y19</t>
  </si>
  <si>
    <t>6F-Y18</t>
  </si>
  <si>
    <t>6F-Y17</t>
  </si>
  <si>
    <t>6F-Y16</t>
  </si>
  <si>
    <t>6F-Y15</t>
  </si>
  <si>
    <t>6F-Y14</t>
  </si>
  <si>
    <t>6F-Y13</t>
  </si>
  <si>
    <t>6F-Y12</t>
  </si>
  <si>
    <t>6F-Y11</t>
    <phoneticPr fontId="22" type="noConversion"/>
  </si>
  <si>
    <t>6F-S11</t>
    <phoneticPr fontId="22" type="noConversion"/>
  </si>
  <si>
    <t>6F-S12</t>
    <phoneticPr fontId="22" type="noConversion"/>
  </si>
  <si>
    <t>6F-S13</t>
    <phoneticPr fontId="22" type="noConversion"/>
  </si>
  <si>
    <t>6F-S14</t>
    <phoneticPr fontId="22" type="noConversion"/>
  </si>
  <si>
    <t>6F-S15</t>
    <phoneticPr fontId="22" type="noConversion"/>
  </si>
  <si>
    <t>6F-S16</t>
    <phoneticPr fontId="22" type="noConversion"/>
  </si>
  <si>
    <t>6F-S17</t>
    <phoneticPr fontId="22" type="noConversion"/>
  </si>
  <si>
    <t>6F-S18</t>
    <phoneticPr fontId="22" type="noConversion"/>
  </si>
  <si>
    <t>6F-S19</t>
    <phoneticPr fontId="22" type="noConversion"/>
  </si>
  <si>
    <t>6F-AA11</t>
    <phoneticPr fontId="22" type="noConversion"/>
  </si>
  <si>
    <t>6F-AA12</t>
  </si>
  <si>
    <t>6F-AA13</t>
  </si>
  <si>
    <t>6F-AA14</t>
  </si>
  <si>
    <t>6F-AA15</t>
  </si>
  <si>
    <t>6F-AA16</t>
  </si>
  <si>
    <t>6F-AA17</t>
  </si>
  <si>
    <t>6F-AA18</t>
  </si>
  <si>
    <t>6F-AA19</t>
  </si>
  <si>
    <t>6F-R11</t>
    <phoneticPr fontId="22" type="noConversion"/>
  </si>
  <si>
    <t>6F-R12</t>
    <phoneticPr fontId="22" type="noConversion"/>
  </si>
  <si>
    <t>6F-R13</t>
    <phoneticPr fontId="22" type="noConversion"/>
  </si>
  <si>
    <t>6F-R14</t>
    <phoneticPr fontId="22" type="noConversion"/>
  </si>
  <si>
    <t>6F-R15</t>
    <phoneticPr fontId="22" type="noConversion"/>
  </si>
  <si>
    <t>6F-R16</t>
    <phoneticPr fontId="22" type="noConversion"/>
  </si>
  <si>
    <t>6F-R17</t>
    <phoneticPr fontId="22" type="noConversion"/>
  </si>
  <si>
    <t>6F-R18</t>
    <phoneticPr fontId="22" type="noConversion"/>
  </si>
  <si>
    <t>6F-R19</t>
    <phoneticPr fontId="22" type="noConversion"/>
  </si>
  <si>
    <t>6F-U10</t>
    <phoneticPr fontId="22" type="noConversion"/>
  </si>
  <si>
    <t>6F-U11</t>
    <phoneticPr fontId="22" type="noConversion"/>
  </si>
  <si>
    <t>6F-U12</t>
    <phoneticPr fontId="22" type="noConversion"/>
  </si>
  <si>
    <t>6F-U13</t>
    <phoneticPr fontId="22" type="noConversion"/>
  </si>
  <si>
    <t>6F-U14</t>
    <phoneticPr fontId="22" type="noConversion"/>
  </si>
  <si>
    <t>6F-U15</t>
    <phoneticPr fontId="22" type="noConversion"/>
  </si>
  <si>
    <t>6F-U16</t>
    <phoneticPr fontId="22" type="noConversion"/>
  </si>
  <si>
    <t>6F-U17</t>
    <phoneticPr fontId="22" type="noConversion"/>
  </si>
  <si>
    <t>6F-U18</t>
    <phoneticPr fontId="22" type="noConversion"/>
  </si>
  <si>
    <t>6F-Q11</t>
    <phoneticPr fontId="22" type="noConversion"/>
  </si>
  <si>
    <t>6F-Q12</t>
    <phoneticPr fontId="22" type="noConversion"/>
  </si>
  <si>
    <t>6F-Q13</t>
    <phoneticPr fontId="22" type="noConversion"/>
  </si>
  <si>
    <t>6F-Q14</t>
    <phoneticPr fontId="22" type="noConversion"/>
  </si>
  <si>
    <t>6F-Q15</t>
    <phoneticPr fontId="22" type="noConversion"/>
  </si>
  <si>
    <t>6F-Q16</t>
    <phoneticPr fontId="22" type="noConversion"/>
  </si>
  <si>
    <t>6F-Q17</t>
    <phoneticPr fontId="22" type="noConversion"/>
  </si>
  <si>
    <t>6F-Q18</t>
    <phoneticPr fontId="22" type="noConversion"/>
  </si>
  <si>
    <t>6F-Q19</t>
    <phoneticPr fontId="22" type="noConversion"/>
  </si>
  <si>
    <t>6F-T11</t>
    <phoneticPr fontId="22" type="noConversion"/>
  </si>
  <si>
    <t>6F-T12</t>
    <phoneticPr fontId="22" type="noConversion"/>
  </si>
  <si>
    <t>6F-T13</t>
    <phoneticPr fontId="22" type="noConversion"/>
  </si>
  <si>
    <t>6F-T14</t>
    <phoneticPr fontId="22" type="noConversion"/>
  </si>
  <si>
    <t>6F-T15</t>
    <phoneticPr fontId="22" type="noConversion"/>
  </si>
  <si>
    <t>6F-T16</t>
    <phoneticPr fontId="22" type="noConversion"/>
  </si>
  <si>
    <t>6F-T17</t>
    <phoneticPr fontId="22" type="noConversion"/>
  </si>
  <si>
    <t>6F-T18</t>
    <phoneticPr fontId="22" type="noConversion"/>
  </si>
  <si>
    <t>6F-T19</t>
    <phoneticPr fontId="22" type="noConversion"/>
  </si>
  <si>
    <t>6F-P11</t>
    <phoneticPr fontId="22" type="noConversion"/>
  </si>
  <si>
    <t>6F-P12</t>
    <phoneticPr fontId="22" type="noConversion"/>
  </si>
  <si>
    <t>6F-P13</t>
    <phoneticPr fontId="22" type="noConversion"/>
  </si>
  <si>
    <t>6F-P14</t>
    <phoneticPr fontId="22" type="noConversion"/>
  </si>
  <si>
    <t>6F-P15</t>
    <phoneticPr fontId="22" type="noConversion"/>
  </si>
  <si>
    <t>6F-P16</t>
    <phoneticPr fontId="22" type="noConversion"/>
  </si>
  <si>
    <t>6F-P17</t>
    <phoneticPr fontId="22" type="noConversion"/>
  </si>
  <si>
    <t>6F-P18</t>
    <phoneticPr fontId="22" type="noConversion"/>
  </si>
  <si>
    <t>6F-P19</t>
    <phoneticPr fontId="22" type="noConversion"/>
  </si>
  <si>
    <t>6F-O11</t>
    <phoneticPr fontId="22" type="noConversion"/>
  </si>
  <si>
    <t>6F-O12</t>
    <phoneticPr fontId="22" type="noConversion"/>
  </si>
  <si>
    <t>6F-O13</t>
    <phoneticPr fontId="22" type="noConversion"/>
  </si>
  <si>
    <t>6F-O14</t>
    <phoneticPr fontId="22" type="noConversion"/>
  </si>
  <si>
    <t>6F-O15</t>
    <phoneticPr fontId="22" type="noConversion"/>
  </si>
  <si>
    <t>6F-O16</t>
    <phoneticPr fontId="22" type="noConversion"/>
  </si>
  <si>
    <t>6F-O17</t>
    <phoneticPr fontId="22" type="noConversion"/>
  </si>
  <si>
    <t>6F-O18</t>
    <phoneticPr fontId="22" type="noConversion"/>
  </si>
  <si>
    <t>6F-O19</t>
    <phoneticPr fontId="22" type="noConversion"/>
  </si>
  <si>
    <t>6F-N11</t>
    <phoneticPr fontId="22" type="noConversion"/>
  </si>
  <si>
    <t>6F-N12</t>
    <phoneticPr fontId="22" type="noConversion"/>
  </si>
  <si>
    <t>6F-N13</t>
    <phoneticPr fontId="22" type="noConversion"/>
  </si>
  <si>
    <t>6F-N14</t>
    <phoneticPr fontId="22" type="noConversion"/>
  </si>
  <si>
    <t>6F-N15</t>
    <phoneticPr fontId="22" type="noConversion"/>
  </si>
  <si>
    <t>6F-N16</t>
    <phoneticPr fontId="22" type="noConversion"/>
  </si>
  <si>
    <t>6F-N17</t>
    <phoneticPr fontId="22" type="noConversion"/>
  </si>
  <si>
    <t>6F-N18</t>
    <phoneticPr fontId="22" type="noConversion"/>
  </si>
  <si>
    <t>6F-N19</t>
    <phoneticPr fontId="22" type="noConversion"/>
  </si>
  <si>
    <t>6F-M11</t>
    <phoneticPr fontId="22" type="noConversion"/>
  </si>
  <si>
    <t>6F-M12</t>
    <phoneticPr fontId="22" type="noConversion"/>
  </si>
  <si>
    <t>6F-M13</t>
    <phoneticPr fontId="22" type="noConversion"/>
  </si>
  <si>
    <t>6F-M14</t>
    <phoneticPr fontId="22" type="noConversion"/>
  </si>
  <si>
    <t>6F-M15</t>
    <phoneticPr fontId="22" type="noConversion"/>
  </si>
  <si>
    <t>6F-M16</t>
    <phoneticPr fontId="22" type="noConversion"/>
  </si>
  <si>
    <t>6F-M17</t>
    <phoneticPr fontId="22" type="noConversion"/>
  </si>
  <si>
    <t>6F-M18</t>
    <phoneticPr fontId="22" type="noConversion"/>
  </si>
  <si>
    <t>6F-M19</t>
    <phoneticPr fontId="22" type="noConversion"/>
  </si>
  <si>
    <t>6F-L11</t>
    <phoneticPr fontId="22" type="noConversion"/>
  </si>
  <si>
    <t>6F-L12</t>
    <phoneticPr fontId="22" type="noConversion"/>
  </si>
  <si>
    <t>6F-L13</t>
    <phoneticPr fontId="22" type="noConversion"/>
  </si>
  <si>
    <t>6F-L14</t>
    <phoneticPr fontId="22" type="noConversion"/>
  </si>
  <si>
    <t>6F-L15</t>
    <phoneticPr fontId="22" type="noConversion"/>
  </si>
  <si>
    <t>6F-L16</t>
    <phoneticPr fontId="22" type="noConversion"/>
  </si>
  <si>
    <t>6F-L17</t>
    <phoneticPr fontId="22" type="noConversion"/>
  </si>
  <si>
    <t>6F-L18</t>
    <phoneticPr fontId="22" type="noConversion"/>
  </si>
  <si>
    <t>6F-L19</t>
    <phoneticPr fontId="22" type="noConversion"/>
  </si>
  <si>
    <t>6F-K11</t>
    <phoneticPr fontId="22" type="noConversion"/>
  </si>
  <si>
    <t>6F-K12</t>
    <phoneticPr fontId="22" type="noConversion"/>
  </si>
  <si>
    <t>6F-K13</t>
    <phoneticPr fontId="22" type="noConversion"/>
  </si>
  <si>
    <t>6F-K14</t>
    <phoneticPr fontId="22" type="noConversion"/>
  </si>
  <si>
    <t>6F-K15</t>
    <phoneticPr fontId="22" type="noConversion"/>
  </si>
  <si>
    <t>6F-K16</t>
    <phoneticPr fontId="22" type="noConversion"/>
  </si>
  <si>
    <t>6F-K17</t>
    <phoneticPr fontId="22" type="noConversion"/>
  </si>
  <si>
    <t>6F-K18</t>
    <phoneticPr fontId="22" type="noConversion"/>
  </si>
  <si>
    <t>6F-K19</t>
    <phoneticPr fontId="22" type="noConversion"/>
  </si>
  <si>
    <t>6F-AF11</t>
    <phoneticPr fontId="22" type="noConversion"/>
  </si>
  <si>
    <t>6F-AF12</t>
  </si>
  <si>
    <t>6F-AF13</t>
  </si>
  <si>
    <t>6F-AF14</t>
  </si>
  <si>
    <t>6F-AF15</t>
  </si>
  <si>
    <t>6F-AF16</t>
  </si>
  <si>
    <t>6F-AF17</t>
  </si>
  <si>
    <t>6F-AF18</t>
  </si>
  <si>
    <t>6F-AF19</t>
  </si>
  <si>
    <t>6F-AG10</t>
    <phoneticPr fontId="22" type="noConversion"/>
  </si>
  <si>
    <t>6F-AG11</t>
  </si>
  <si>
    <t>6F-AG12</t>
    <phoneticPr fontId="22" type="noConversion"/>
  </si>
  <si>
    <t>6F-AG13</t>
    <phoneticPr fontId="22" type="noConversion"/>
  </si>
  <si>
    <t>6F-AG14</t>
    <phoneticPr fontId="22" type="noConversion"/>
  </si>
  <si>
    <t>6F-AG15</t>
    <phoneticPr fontId="22" type="noConversion"/>
  </si>
  <si>
    <t>6F-AG16</t>
    <phoneticPr fontId="22" type="noConversion"/>
  </si>
  <si>
    <t>6F-AG17</t>
    <phoneticPr fontId="22" type="noConversion"/>
  </si>
  <si>
    <t>6F-AG18</t>
    <phoneticPr fontId="22" type="noConversion"/>
  </si>
  <si>
    <t>6F-AG19</t>
    <phoneticPr fontId="22" type="noConversion"/>
  </si>
  <si>
    <t>6F-AG20</t>
  </si>
  <si>
    <t>DE운용실 사무#1</t>
    <phoneticPr fontId="22" type="noConversion"/>
  </si>
  <si>
    <t>DE 출입통제Desk</t>
    <phoneticPr fontId="22" type="noConversion"/>
  </si>
  <si>
    <t>DE운용실 감시모니터</t>
    <phoneticPr fontId="22" type="noConversion"/>
  </si>
  <si>
    <t>DE운용실 사무#2</t>
    <phoneticPr fontId="22" type="noConversion"/>
  </si>
  <si>
    <t>6층 사무실</t>
    <phoneticPr fontId="22" type="noConversion"/>
  </si>
  <si>
    <t>6층 인터넷장비</t>
    <phoneticPr fontId="22" type="noConversion"/>
  </si>
  <si>
    <t>FMS 6층 전원</t>
    <phoneticPr fontId="22" type="noConversion"/>
  </si>
  <si>
    <t>신규 BMS(6F TPS실) Rack</t>
  </si>
  <si>
    <t>주식회사 씨엘엠앤에스</t>
    <phoneticPr fontId="22" type="noConversion"/>
  </si>
  <si>
    <t>Pyler</t>
    <phoneticPr fontId="22" type="noConversion"/>
  </si>
  <si>
    <t>Servis</t>
  </si>
  <si>
    <t>Terrapin Tech Co., Ltd.</t>
  </si>
  <si>
    <t>Net Target</t>
  </si>
  <si>
    <t>Piolink</t>
  </si>
  <si>
    <t>RXN Co., Ltd.</t>
  </si>
  <si>
    <t>에네이</t>
    <phoneticPr fontId="22" type="noConversion"/>
  </si>
  <si>
    <t>DVS Network Korea Co., Ltd.</t>
  </si>
  <si>
    <t>Du System Co., Ltd.</t>
  </si>
  <si>
    <t>Piolink Co., Ltd.</t>
  </si>
  <si>
    <t>주식회사 메타넷티플랫폼</t>
  </si>
  <si>
    <t>U.I.WINS</t>
  </si>
  <si>
    <t>ETSIN Co., Ltd.</t>
  </si>
  <si>
    <t>Dongyang &amp; I&amp;C Co., Ltd.</t>
  </si>
  <si>
    <t>ELIMNET Co., Ltd.</t>
  </si>
  <si>
    <t>MarkPro</t>
  </si>
  <si>
    <t>Enei</t>
  </si>
  <si>
    <t>피플펀드</t>
  </si>
  <si>
    <t>삼성물산(주)패션부문</t>
  </si>
  <si>
    <t>DEK 사무실</t>
    <phoneticPr fontId="22" type="noConversion"/>
  </si>
  <si>
    <t>정류기실</t>
    <phoneticPr fontId="22" type="noConversion"/>
  </si>
  <si>
    <t>A111</t>
    <phoneticPr fontId="22" type="noConversion"/>
  </si>
  <si>
    <t>A402</t>
    <phoneticPr fontId="22" type="noConversion"/>
  </si>
  <si>
    <t>A411</t>
    <phoneticPr fontId="22" type="noConversion"/>
  </si>
  <si>
    <t>A502</t>
    <phoneticPr fontId="22" type="noConversion"/>
  </si>
  <si>
    <t>B204</t>
    <phoneticPr fontId="22" type="noConversion"/>
  </si>
  <si>
    <t>B207</t>
    <phoneticPr fontId="22" type="noConversion"/>
  </si>
  <si>
    <t>B208</t>
    <phoneticPr fontId="22" type="noConversion"/>
  </si>
  <si>
    <t>B209</t>
    <phoneticPr fontId="22" type="noConversion"/>
  </si>
  <si>
    <t>B211</t>
    <phoneticPr fontId="22" type="noConversion"/>
  </si>
  <si>
    <t>B217</t>
    <phoneticPr fontId="22" type="noConversion"/>
  </si>
  <si>
    <t>B218</t>
    <phoneticPr fontId="22" type="noConversion"/>
  </si>
  <si>
    <t>B219</t>
    <phoneticPr fontId="22" type="noConversion"/>
  </si>
  <si>
    <t>B222</t>
    <phoneticPr fontId="22" type="noConversion"/>
  </si>
  <si>
    <t>B223</t>
    <phoneticPr fontId="22" type="noConversion"/>
  </si>
  <si>
    <t>B224</t>
    <phoneticPr fontId="22" type="noConversion"/>
  </si>
  <si>
    <t>B225</t>
    <phoneticPr fontId="22" type="noConversion"/>
  </si>
  <si>
    <t>B306</t>
    <phoneticPr fontId="22" type="noConversion"/>
  </si>
  <si>
    <t>B307</t>
    <phoneticPr fontId="22" type="noConversion"/>
  </si>
  <si>
    <t>B308</t>
    <phoneticPr fontId="22" type="noConversion"/>
  </si>
  <si>
    <t>B309</t>
    <phoneticPr fontId="22" type="noConversion"/>
  </si>
  <si>
    <t>B310</t>
    <phoneticPr fontId="22" type="noConversion"/>
  </si>
  <si>
    <t>B319</t>
    <phoneticPr fontId="22" type="noConversion"/>
  </si>
  <si>
    <t>B320</t>
    <phoneticPr fontId="22" type="noConversion"/>
  </si>
  <si>
    <t>B322</t>
    <phoneticPr fontId="22" type="noConversion"/>
  </si>
  <si>
    <t>B323</t>
    <phoneticPr fontId="22" type="noConversion"/>
  </si>
  <si>
    <t>B402</t>
    <phoneticPr fontId="22" type="noConversion"/>
  </si>
  <si>
    <t>B403</t>
    <phoneticPr fontId="22" type="noConversion"/>
  </si>
  <si>
    <t>B404</t>
    <phoneticPr fontId="22" type="noConversion"/>
  </si>
  <si>
    <t>B405</t>
    <phoneticPr fontId="22" type="noConversion"/>
  </si>
  <si>
    <t>B406</t>
    <phoneticPr fontId="22" type="noConversion"/>
  </si>
  <si>
    <t>B408</t>
    <phoneticPr fontId="22" type="noConversion"/>
  </si>
  <si>
    <t>B409</t>
    <phoneticPr fontId="22" type="noConversion"/>
  </si>
  <si>
    <t>B410</t>
    <phoneticPr fontId="22" type="noConversion"/>
  </si>
  <si>
    <t>B411</t>
    <phoneticPr fontId="22" type="noConversion"/>
  </si>
  <si>
    <t>B419</t>
    <phoneticPr fontId="22" type="noConversion"/>
  </si>
  <si>
    <t>B420</t>
    <phoneticPr fontId="22" type="noConversion"/>
  </si>
  <si>
    <t>B421</t>
    <phoneticPr fontId="22" type="noConversion"/>
  </si>
  <si>
    <t>B502</t>
    <phoneticPr fontId="22" type="noConversion"/>
  </si>
  <si>
    <t>B503</t>
    <phoneticPr fontId="22" type="noConversion"/>
  </si>
  <si>
    <t>B504</t>
    <phoneticPr fontId="22" type="noConversion"/>
  </si>
  <si>
    <t>B505</t>
    <phoneticPr fontId="22" type="noConversion"/>
  </si>
  <si>
    <t>B506</t>
    <phoneticPr fontId="22" type="noConversion"/>
  </si>
  <si>
    <t>B507</t>
    <phoneticPr fontId="22" type="noConversion"/>
  </si>
  <si>
    <t>B508</t>
    <phoneticPr fontId="22" type="noConversion"/>
  </si>
  <si>
    <t>B509</t>
    <phoneticPr fontId="22" type="noConversion"/>
  </si>
  <si>
    <t>B510</t>
    <phoneticPr fontId="22" type="noConversion"/>
  </si>
  <si>
    <t>B516</t>
    <phoneticPr fontId="22" type="noConversion"/>
  </si>
  <si>
    <t>B517</t>
    <phoneticPr fontId="22" type="noConversion"/>
  </si>
  <si>
    <t>B524</t>
    <phoneticPr fontId="22" type="noConversion"/>
  </si>
  <si>
    <t>B615</t>
    <phoneticPr fontId="22" type="noConversion"/>
  </si>
  <si>
    <t>B616</t>
    <phoneticPr fontId="22" type="noConversion"/>
  </si>
  <si>
    <t>B617</t>
    <phoneticPr fontId="22" type="noConversion"/>
  </si>
  <si>
    <t>B618</t>
    <phoneticPr fontId="22" type="noConversion"/>
  </si>
  <si>
    <t>B619</t>
    <phoneticPr fontId="22" type="noConversion"/>
  </si>
  <si>
    <t>B620</t>
    <phoneticPr fontId="22" type="noConversion"/>
  </si>
  <si>
    <t>B621</t>
    <phoneticPr fontId="22" type="noConversion"/>
  </si>
  <si>
    <t>B622</t>
    <phoneticPr fontId="22" type="noConversion"/>
  </si>
  <si>
    <t>B623</t>
    <phoneticPr fontId="22" type="noConversion"/>
  </si>
  <si>
    <t>B624</t>
    <phoneticPr fontId="22" type="noConversion"/>
  </si>
  <si>
    <t>B625</t>
    <phoneticPr fontId="22" type="noConversion"/>
  </si>
  <si>
    <t>C104</t>
    <phoneticPr fontId="22" type="noConversion"/>
  </si>
  <si>
    <t>C105</t>
    <phoneticPr fontId="22" type="noConversion"/>
  </si>
  <si>
    <t>C107</t>
    <phoneticPr fontId="22" type="noConversion"/>
  </si>
  <si>
    <t>C108</t>
    <phoneticPr fontId="22" type="noConversion"/>
  </si>
  <si>
    <t>C109</t>
    <phoneticPr fontId="22" type="noConversion"/>
  </si>
  <si>
    <t>C110</t>
    <phoneticPr fontId="22" type="noConversion"/>
  </si>
  <si>
    <t>C202</t>
    <phoneticPr fontId="22" type="noConversion"/>
  </si>
  <si>
    <t>C203</t>
    <phoneticPr fontId="22" type="noConversion"/>
  </si>
  <si>
    <t>C204</t>
    <phoneticPr fontId="22" type="noConversion"/>
  </si>
  <si>
    <t>C205</t>
    <phoneticPr fontId="22" type="noConversion"/>
  </si>
  <si>
    <t>C206</t>
    <phoneticPr fontId="22" type="noConversion"/>
  </si>
  <si>
    <t>C207</t>
    <phoneticPr fontId="22" type="noConversion"/>
  </si>
  <si>
    <t>C208</t>
    <phoneticPr fontId="22" type="noConversion"/>
  </si>
  <si>
    <t>C304</t>
    <phoneticPr fontId="22" type="noConversion"/>
  </si>
  <si>
    <t>C307</t>
    <phoneticPr fontId="22" type="noConversion"/>
  </si>
  <si>
    <t>C308</t>
    <phoneticPr fontId="22" type="noConversion"/>
  </si>
  <si>
    <t>C309</t>
    <phoneticPr fontId="22" type="noConversion"/>
  </si>
  <si>
    <t>C310</t>
    <phoneticPr fontId="22" type="noConversion"/>
  </si>
  <si>
    <t>C402</t>
    <phoneticPr fontId="22" type="noConversion"/>
  </si>
  <si>
    <t>C403</t>
    <phoneticPr fontId="22" type="noConversion"/>
  </si>
  <si>
    <t>C404</t>
    <phoneticPr fontId="22" type="noConversion"/>
  </si>
  <si>
    <t>C405</t>
    <phoneticPr fontId="22" type="noConversion"/>
  </si>
  <si>
    <t>C406</t>
    <phoneticPr fontId="22" type="noConversion"/>
  </si>
  <si>
    <t>C407</t>
    <phoneticPr fontId="22" type="noConversion"/>
  </si>
  <si>
    <t>C408</t>
    <phoneticPr fontId="22" type="noConversion"/>
  </si>
  <si>
    <t>C409</t>
    <phoneticPr fontId="22" type="noConversion"/>
  </si>
  <si>
    <t>C502</t>
    <phoneticPr fontId="22" type="noConversion"/>
  </si>
  <si>
    <t>C503</t>
    <phoneticPr fontId="22" type="noConversion"/>
  </si>
  <si>
    <t>C504</t>
    <phoneticPr fontId="22" type="noConversion"/>
  </si>
  <si>
    <t>C505</t>
    <phoneticPr fontId="22" type="noConversion"/>
  </si>
  <si>
    <t>C506</t>
    <phoneticPr fontId="22" type="noConversion"/>
  </si>
  <si>
    <t>C507</t>
    <phoneticPr fontId="22" type="noConversion"/>
  </si>
  <si>
    <t>C508</t>
    <phoneticPr fontId="22" type="noConversion"/>
  </si>
  <si>
    <t>C509</t>
    <phoneticPr fontId="22" type="noConversion"/>
  </si>
  <si>
    <t>C510</t>
    <phoneticPr fontId="22" type="noConversion"/>
  </si>
  <si>
    <t>C602</t>
    <phoneticPr fontId="22" type="noConversion"/>
  </si>
  <si>
    <t>C603</t>
    <phoneticPr fontId="22" type="noConversion"/>
  </si>
  <si>
    <t>C604</t>
    <phoneticPr fontId="22" type="noConversion"/>
  </si>
  <si>
    <t>C605</t>
    <phoneticPr fontId="22" type="noConversion"/>
  </si>
  <si>
    <t>C606</t>
    <phoneticPr fontId="22" type="noConversion"/>
  </si>
  <si>
    <t>C607</t>
    <phoneticPr fontId="22" type="noConversion"/>
  </si>
  <si>
    <t>C608</t>
    <phoneticPr fontId="22" type="noConversion"/>
  </si>
  <si>
    <t>C609</t>
    <phoneticPr fontId="22" type="noConversion"/>
  </si>
  <si>
    <t>C610</t>
    <phoneticPr fontId="22" type="noConversion"/>
  </si>
  <si>
    <t>C702</t>
    <phoneticPr fontId="22" type="noConversion"/>
  </si>
  <si>
    <t>C703</t>
    <phoneticPr fontId="22" type="noConversion"/>
  </si>
  <si>
    <t>C704</t>
    <phoneticPr fontId="22" type="noConversion"/>
  </si>
  <si>
    <t>C705</t>
    <phoneticPr fontId="22" type="noConversion"/>
  </si>
  <si>
    <t>C706</t>
    <phoneticPr fontId="22" type="noConversion"/>
  </si>
  <si>
    <t>C707</t>
    <phoneticPr fontId="22" type="noConversion"/>
  </si>
  <si>
    <t>C708</t>
    <phoneticPr fontId="22" type="noConversion"/>
  </si>
  <si>
    <t>C709</t>
    <phoneticPr fontId="22" type="noConversion"/>
  </si>
  <si>
    <t>C710</t>
    <phoneticPr fontId="22" type="noConversion"/>
  </si>
  <si>
    <t>C802</t>
    <phoneticPr fontId="22" type="noConversion"/>
  </si>
  <si>
    <t>C803</t>
    <phoneticPr fontId="22" type="noConversion"/>
  </si>
  <si>
    <t>C804</t>
    <phoneticPr fontId="22" type="noConversion"/>
  </si>
  <si>
    <t>C805</t>
    <phoneticPr fontId="22" type="noConversion"/>
  </si>
  <si>
    <t>C806</t>
    <phoneticPr fontId="22" type="noConversion"/>
  </si>
  <si>
    <t>C807</t>
    <phoneticPr fontId="22" type="noConversion"/>
  </si>
  <si>
    <t>C808</t>
    <phoneticPr fontId="22" type="noConversion"/>
  </si>
  <si>
    <t>C902</t>
    <phoneticPr fontId="22" type="noConversion"/>
  </si>
  <si>
    <t>C903</t>
    <phoneticPr fontId="22" type="noConversion"/>
  </si>
  <si>
    <t>C904</t>
    <phoneticPr fontId="22" type="noConversion"/>
  </si>
  <si>
    <t>C907</t>
    <phoneticPr fontId="22" type="noConversion"/>
  </si>
  <si>
    <t>C908</t>
    <phoneticPr fontId="22" type="noConversion"/>
  </si>
  <si>
    <t>C909</t>
    <phoneticPr fontId="22" type="noConversion"/>
  </si>
  <si>
    <t>C910</t>
    <phoneticPr fontId="22" type="noConversion"/>
  </si>
  <si>
    <t>C1003</t>
    <phoneticPr fontId="22" type="noConversion"/>
  </si>
  <si>
    <t>C1004</t>
    <phoneticPr fontId="22" type="noConversion"/>
  </si>
  <si>
    <t>C1005</t>
    <phoneticPr fontId="22" type="noConversion"/>
  </si>
  <si>
    <t>C1006</t>
    <phoneticPr fontId="22" type="noConversion"/>
  </si>
  <si>
    <t>C1007</t>
    <phoneticPr fontId="22" type="noConversion"/>
  </si>
  <si>
    <t>C1008</t>
    <phoneticPr fontId="22" type="noConversion"/>
  </si>
  <si>
    <t>C1009</t>
    <phoneticPr fontId="22" type="noConversion"/>
  </si>
  <si>
    <t>C1101</t>
    <phoneticPr fontId="22" type="noConversion"/>
  </si>
  <si>
    <t>C1102</t>
    <phoneticPr fontId="22" type="noConversion"/>
  </si>
  <si>
    <t>C1103</t>
    <phoneticPr fontId="22" type="noConversion"/>
  </si>
  <si>
    <t>C1104</t>
    <phoneticPr fontId="22" type="noConversion"/>
  </si>
  <si>
    <t>C1105</t>
    <phoneticPr fontId="22" type="noConversion"/>
  </si>
  <si>
    <t>C1106</t>
    <phoneticPr fontId="22" type="noConversion"/>
  </si>
  <si>
    <t>C1107</t>
    <phoneticPr fontId="22" type="noConversion"/>
  </si>
  <si>
    <t>C1108</t>
    <phoneticPr fontId="22" type="noConversion"/>
  </si>
  <si>
    <t>C1109</t>
    <phoneticPr fontId="22" type="noConversion"/>
  </si>
  <si>
    <t>SJT 정류기1</t>
    <phoneticPr fontId="22" type="noConversion"/>
  </si>
  <si>
    <t>SJT 정류기2</t>
    <phoneticPr fontId="22" type="noConversion"/>
  </si>
  <si>
    <t>TEST_BED</t>
  </si>
  <si>
    <t>538B_NOKIA1830</t>
  </si>
  <si>
    <t>537B_NOKIA1830</t>
  </si>
  <si>
    <t>536B_NOKIA1830</t>
  </si>
  <si>
    <t>536B_NOKIA1830, PSS-8</t>
    <phoneticPr fontId="22" type="noConversion"/>
  </si>
  <si>
    <t>440B_CN6500</t>
  </si>
  <si>
    <t>439B_CN6500</t>
  </si>
  <si>
    <t>437B(上)_코위버P7200</t>
    <phoneticPr fontId="22" type="noConversion"/>
  </si>
  <si>
    <t>437B(下)_텔레필드_FM700</t>
    <phoneticPr fontId="22" type="noConversion"/>
  </si>
  <si>
    <t>436B_코위버P7200</t>
  </si>
  <si>
    <t>Sejong Telecom Inc.</t>
    <phoneticPr fontId="22" type="noConversion"/>
  </si>
  <si>
    <t>339B_CN4200</t>
  </si>
  <si>
    <t>336B_CN4200</t>
  </si>
  <si>
    <t>335B_CN4200</t>
  </si>
  <si>
    <t>334B_CN4200</t>
  </si>
  <si>
    <t>244B_코위버CWDM</t>
  </si>
  <si>
    <t>243B_코위버CWDM</t>
  </si>
  <si>
    <t>240B_코위버CWDM</t>
  </si>
  <si>
    <t>239B_OSN7500</t>
  </si>
  <si>
    <t>238B_동원DWDM</t>
  </si>
  <si>
    <t>237B_CN4200</t>
  </si>
  <si>
    <t>236B_CN4200</t>
  </si>
  <si>
    <t>532B_코위버1664</t>
  </si>
  <si>
    <t>531B_코위버1664</t>
  </si>
  <si>
    <t>530B_코위버1664</t>
  </si>
  <si>
    <t>Sejong Telecom Inc.('23.10.12 투입)</t>
    <phoneticPr fontId="22" type="noConversion"/>
  </si>
  <si>
    <t>527B_코위버1664</t>
  </si>
  <si>
    <t>526B_코위버1664</t>
  </si>
  <si>
    <t>525B_코위버1664</t>
  </si>
  <si>
    <t>524B_코위버1664</t>
  </si>
  <si>
    <t>523B_코위버3264</t>
  </si>
  <si>
    <t>514B_LGU+장비</t>
  </si>
  <si>
    <t>513B_SKB장비</t>
  </si>
  <si>
    <t>Digital Edge</t>
    <phoneticPr fontId="22" type="noConversion"/>
  </si>
  <si>
    <t>511B_LGU+장비</t>
  </si>
  <si>
    <t>427B_ZTE POTN</t>
  </si>
  <si>
    <t>426B_ZTE POTN</t>
  </si>
  <si>
    <t>425B_ZTE POTN</t>
  </si>
  <si>
    <t>424B_ZTE385</t>
  </si>
  <si>
    <t>423B_코위버1664</t>
  </si>
  <si>
    <t>420B_DOTS</t>
  </si>
  <si>
    <t>418B_SKB장비</t>
  </si>
  <si>
    <t>416B_Patch</t>
  </si>
  <si>
    <t>415B_Patch</t>
  </si>
  <si>
    <t>414B_드림라인</t>
  </si>
  <si>
    <t>코위버 ROADM</t>
    <phoneticPr fontId="22" type="noConversion"/>
  </si>
  <si>
    <t>329B_ZTE385</t>
  </si>
  <si>
    <t>328B_ZTE385</t>
  </si>
  <si>
    <t>327B_ZTE385</t>
  </si>
  <si>
    <t>326B_코위버1664</t>
  </si>
  <si>
    <t>325B_코위버CWDM</t>
  </si>
  <si>
    <t>　</t>
  </si>
  <si>
    <t>231B_ZTE385</t>
  </si>
  <si>
    <t>230B_ZTE385</t>
  </si>
  <si>
    <t>229B_ZTE385</t>
  </si>
  <si>
    <t>228B_ZTE385</t>
  </si>
  <si>
    <t>227B_ZTE385</t>
  </si>
  <si>
    <t>226B_코위버155M</t>
  </si>
  <si>
    <t>225B_코위버622M</t>
  </si>
  <si>
    <t>224B_우리넷</t>
  </si>
  <si>
    <t>223B_코위버155M</t>
  </si>
  <si>
    <t>219B_코위버PTN</t>
  </si>
  <si>
    <t>DEKR, Network Rack#2</t>
  </si>
  <si>
    <t>DEKR, Network Rack#1</t>
    <phoneticPr fontId="22" type="noConversion"/>
  </si>
  <si>
    <t>212B_코위버155M</t>
  </si>
  <si>
    <t>121B_ZTE325</t>
  </si>
  <si>
    <t>120B_ZTE325</t>
  </si>
  <si>
    <t>119B_우리넷</t>
  </si>
  <si>
    <t>118B_ZTE385</t>
  </si>
  <si>
    <t>117B_ZTE385</t>
  </si>
  <si>
    <t>116B_ZTE385</t>
  </si>
  <si>
    <t>115B_ZTE325</t>
  </si>
  <si>
    <t>114B_ZTE325</t>
  </si>
  <si>
    <t>113B_ZTE325</t>
  </si>
  <si>
    <t>112B_ZTE325</t>
  </si>
  <si>
    <t>111B_ZTE325</t>
  </si>
  <si>
    <t>506B_KT장비</t>
  </si>
  <si>
    <t>504B_KT장비</t>
  </si>
  <si>
    <t>503B_KT장비</t>
  </si>
  <si>
    <t>502B_KT장비</t>
  </si>
  <si>
    <t>501B_LGU+장비</t>
  </si>
  <si>
    <t>LGU+PDP</t>
    <phoneticPr fontId="22" type="noConversion"/>
  </si>
  <si>
    <t>306B_SKB장비</t>
  </si>
  <si>
    <t>305B_LGU+장비</t>
  </si>
  <si>
    <t>304B_KT장비</t>
  </si>
  <si>
    <t>303B_NDCS</t>
  </si>
  <si>
    <t>302B_SKB</t>
    <phoneticPr fontId="22" type="noConversion"/>
  </si>
  <si>
    <t>Shinhan financial Investment</t>
    <phoneticPr fontId="22" type="noConversion"/>
  </si>
  <si>
    <t>Quad Miner</t>
    <phoneticPr fontId="22" type="noConversion"/>
  </si>
  <si>
    <t>7F-G07 랙</t>
    <phoneticPr fontId="22" type="noConversion"/>
  </si>
  <si>
    <t>7F-G02 랙</t>
    <phoneticPr fontId="22" type="noConversion"/>
  </si>
  <si>
    <t>7F-G01 랙</t>
    <phoneticPr fontId="22" type="noConversion"/>
  </si>
  <si>
    <t>CARANG</t>
  </si>
  <si>
    <t>Delphicom Co., Ltd.</t>
  </si>
  <si>
    <t>Feather-IT</t>
    <phoneticPr fontId="22" type="noConversion"/>
  </si>
  <si>
    <t>7F-F03 랙</t>
  </si>
  <si>
    <t>7F-F02 랙</t>
  </si>
  <si>
    <t>7F-F01 랙</t>
  </si>
  <si>
    <t>eBID</t>
    <phoneticPr fontId="22" type="noConversion"/>
  </si>
  <si>
    <t>Exanet</t>
  </si>
  <si>
    <t>Net People Co., Ltd.</t>
  </si>
  <si>
    <t>7F-E01 랙</t>
  </si>
  <si>
    <t>Needs Telecom</t>
    <phoneticPr fontId="22" type="noConversion"/>
  </si>
  <si>
    <t>NTT KOREA Co., Ltd.</t>
    <phoneticPr fontId="22" type="noConversion"/>
  </si>
  <si>
    <t>UNSYS Co., Ltd.</t>
    <phoneticPr fontId="22" type="noConversion"/>
  </si>
  <si>
    <t>IT Train</t>
    <phoneticPr fontId="22" type="noConversion"/>
  </si>
  <si>
    <t>7F-C04 랙</t>
    <phoneticPr fontId="22" type="noConversion"/>
  </si>
  <si>
    <t>7F-C03 랙</t>
    <phoneticPr fontId="22" type="noConversion"/>
  </si>
  <si>
    <t>7F-B04 랙</t>
    <phoneticPr fontId="22" type="noConversion"/>
  </si>
  <si>
    <t>7F-B03 랙</t>
    <phoneticPr fontId="22" type="noConversion"/>
  </si>
  <si>
    <t>7F-B02 랙</t>
    <phoneticPr fontId="22" type="noConversion"/>
  </si>
  <si>
    <t>7F-B01 랙</t>
    <phoneticPr fontId="22" type="noConversion"/>
  </si>
  <si>
    <t>LG Hello Vision Co., Ltd.</t>
    <phoneticPr fontId="22" type="noConversion"/>
  </si>
  <si>
    <t>신규BMS(20F TPS실) Rack</t>
  </si>
  <si>
    <t>신규BMS(7F TPS실) Rack</t>
  </si>
  <si>
    <t>8층 Office 분전반(창고)</t>
  </si>
  <si>
    <t>538 BAY</t>
  </si>
  <si>
    <t>537 BAY</t>
  </si>
  <si>
    <t>536 BAY</t>
  </si>
  <si>
    <t>535 BAY</t>
    <phoneticPr fontId="22" type="noConversion"/>
  </si>
  <si>
    <t>443 BAY</t>
  </si>
  <si>
    <t>442 BAY</t>
  </si>
  <si>
    <t>441 BAY</t>
  </si>
  <si>
    <t>440 BAY</t>
  </si>
  <si>
    <t>439 BAY</t>
  </si>
  <si>
    <t>437 BAY</t>
  </si>
  <si>
    <t>436 BAY</t>
  </si>
  <si>
    <t>343 BAY</t>
  </si>
  <si>
    <t>342 BAY</t>
  </si>
  <si>
    <t>341 BAY</t>
  </si>
  <si>
    <t>340 BAY</t>
  </si>
  <si>
    <t>339 BAY</t>
  </si>
  <si>
    <t>338 BAY</t>
  </si>
  <si>
    <t>337 BAY</t>
  </si>
  <si>
    <t>336 BAY</t>
  </si>
  <si>
    <t>335 BAY</t>
  </si>
  <si>
    <t>334 BAY</t>
  </si>
  <si>
    <t>244 BAY</t>
  </si>
  <si>
    <t>243 BAY</t>
  </si>
  <si>
    <t>242 BAY</t>
  </si>
  <si>
    <t>241 BAY</t>
  </si>
  <si>
    <t>240 BAY</t>
  </si>
  <si>
    <t>239 BAY</t>
  </si>
  <si>
    <t>238 BAY</t>
  </si>
  <si>
    <t>237 BAY</t>
  </si>
  <si>
    <t>236 BAY</t>
  </si>
  <si>
    <t>532 BAY</t>
  </si>
  <si>
    <t>531 BAY</t>
  </si>
  <si>
    <t>530 BAY</t>
  </si>
  <si>
    <t>527 BAY</t>
  </si>
  <si>
    <t>526 BAY</t>
  </si>
  <si>
    <t>525 BAY</t>
  </si>
  <si>
    <t>524 BAY</t>
  </si>
  <si>
    <t>523 BAY</t>
  </si>
  <si>
    <t>514 BAY</t>
  </si>
  <si>
    <t>513 BAY</t>
  </si>
  <si>
    <t>512 BAY</t>
  </si>
  <si>
    <t>511 BAY</t>
  </si>
  <si>
    <t>427 BAY</t>
  </si>
  <si>
    <t>426 BAY</t>
  </si>
  <si>
    <t>425 BAY</t>
  </si>
  <si>
    <t>424 BAY</t>
  </si>
  <si>
    <t>423 BAY</t>
  </si>
  <si>
    <t>420 BAY</t>
  </si>
  <si>
    <t>419 BAY</t>
  </si>
  <si>
    <t>418 BAY</t>
  </si>
  <si>
    <t>416 BAY</t>
  </si>
  <si>
    <t>415 BAY</t>
  </si>
  <si>
    <t>414 BAY</t>
  </si>
  <si>
    <t>413 BAY</t>
  </si>
  <si>
    <t>331 BAY</t>
  </si>
  <si>
    <t>330 BAY</t>
  </si>
  <si>
    <t>329 BAY</t>
  </si>
  <si>
    <t>328 BAY</t>
  </si>
  <si>
    <t>327 BAY</t>
  </si>
  <si>
    <t>326 BAY</t>
  </si>
  <si>
    <t>325 BAY</t>
  </si>
  <si>
    <t>324 BAY</t>
  </si>
  <si>
    <t>323 BAY</t>
  </si>
  <si>
    <t>322 BAY</t>
  </si>
  <si>
    <t>318 BAY</t>
  </si>
  <si>
    <t>317 BAY</t>
  </si>
  <si>
    <t>316 BAY</t>
  </si>
  <si>
    <t>315 BAY</t>
  </si>
  <si>
    <t>314 BAY</t>
  </si>
  <si>
    <t>313 BAY</t>
  </si>
  <si>
    <t>312 BAY</t>
  </si>
  <si>
    <t>311 BAY</t>
  </si>
  <si>
    <t>231 BAY</t>
  </si>
  <si>
    <t>230 BAY</t>
  </si>
  <si>
    <t>229 BAY</t>
  </si>
  <si>
    <t>228 BAY</t>
  </si>
  <si>
    <t>227 BAY</t>
  </si>
  <si>
    <t>226 BAY</t>
  </si>
  <si>
    <t>225 BAY</t>
  </si>
  <si>
    <t>224 BAY</t>
  </si>
  <si>
    <t>223 BAY</t>
  </si>
  <si>
    <t>219 BAY</t>
  </si>
  <si>
    <t>218 BAY</t>
  </si>
  <si>
    <t>217 BAY</t>
  </si>
  <si>
    <t>216 BAY</t>
  </si>
  <si>
    <t>215 BAY</t>
  </si>
  <si>
    <t>214 BAY</t>
  </si>
  <si>
    <t>213 BAY</t>
  </si>
  <si>
    <t>212 BAY</t>
  </si>
  <si>
    <t>121 BAY</t>
  </si>
  <si>
    <t>120 BAY</t>
  </si>
  <si>
    <t>119 BAY</t>
  </si>
  <si>
    <t>118 BAY</t>
  </si>
  <si>
    <t>117 BAY</t>
  </si>
  <si>
    <t>116 BAY</t>
  </si>
  <si>
    <t>115 BAY</t>
  </si>
  <si>
    <t>114 BAY</t>
  </si>
  <si>
    <t>113 BAY</t>
  </si>
  <si>
    <t>112 BAY</t>
  </si>
  <si>
    <t>111 BAY</t>
  </si>
  <si>
    <t>508 BAY</t>
  </si>
  <si>
    <t>507 BAY</t>
  </si>
  <si>
    <t>506 BAY</t>
  </si>
  <si>
    <t>505 BAY</t>
  </si>
  <si>
    <t>504 BAY</t>
  </si>
  <si>
    <t>503 BAY</t>
  </si>
  <si>
    <t>502 BAY</t>
  </si>
  <si>
    <t>501 BAY</t>
  </si>
  <si>
    <t>410 BAY</t>
  </si>
  <si>
    <t>409 BAY</t>
  </si>
  <si>
    <t>408 BAY</t>
  </si>
  <si>
    <t>407 BAY</t>
  </si>
  <si>
    <t>406 BAY</t>
  </si>
  <si>
    <t>405 BAY</t>
  </si>
  <si>
    <t>404 BAY</t>
  </si>
  <si>
    <t>403 BAY</t>
  </si>
  <si>
    <t>307 BAY</t>
  </si>
  <si>
    <t>306 BAY</t>
  </si>
  <si>
    <t>305 BAY</t>
  </si>
  <si>
    <t>304 BAY</t>
  </si>
  <si>
    <t>303 BAY</t>
  </si>
  <si>
    <t>302 BAY</t>
  </si>
  <si>
    <t>301 BAY</t>
  </si>
  <si>
    <t>210 BAY</t>
  </si>
  <si>
    <t>209 BAY</t>
  </si>
  <si>
    <t>208 BAY</t>
  </si>
  <si>
    <t>207 BAY</t>
  </si>
  <si>
    <t>206 BAY</t>
  </si>
  <si>
    <t>205 BAY</t>
  </si>
  <si>
    <t>204 BAY</t>
  </si>
  <si>
    <t>203 BAY</t>
  </si>
  <si>
    <t>202 BAY</t>
  </si>
  <si>
    <t>G10</t>
  </si>
  <si>
    <t>G09</t>
  </si>
  <si>
    <t>G08</t>
  </si>
  <si>
    <t>G07</t>
  </si>
  <si>
    <t>G06</t>
  </si>
  <si>
    <t>G05</t>
  </si>
  <si>
    <t>G04</t>
  </si>
  <si>
    <t>G03</t>
  </si>
  <si>
    <t>G02</t>
  </si>
  <si>
    <t>G01</t>
  </si>
  <si>
    <t>F09</t>
  </si>
  <si>
    <t>F08</t>
  </si>
  <si>
    <t>F07</t>
  </si>
  <si>
    <t>F06</t>
  </si>
  <si>
    <t>F05</t>
  </si>
  <si>
    <t>F04</t>
  </si>
  <si>
    <t>F03</t>
  </si>
  <si>
    <t>F02</t>
  </si>
  <si>
    <t>F01</t>
  </si>
  <si>
    <t>E09</t>
  </si>
  <si>
    <t>E08</t>
  </si>
  <si>
    <t>E07</t>
  </si>
  <si>
    <t>E06</t>
  </si>
  <si>
    <t>E05</t>
  </si>
  <si>
    <t>E04</t>
  </si>
  <si>
    <t>E03</t>
  </si>
  <si>
    <t>E02</t>
  </si>
  <si>
    <t>E01</t>
  </si>
  <si>
    <t>D07</t>
    <phoneticPr fontId="22" type="noConversion"/>
  </si>
  <si>
    <t>D06</t>
    <phoneticPr fontId="22" type="noConversion"/>
  </si>
  <si>
    <t>D05</t>
    <phoneticPr fontId="22" type="noConversion"/>
  </si>
  <si>
    <t>D04</t>
    <phoneticPr fontId="22" type="noConversion"/>
  </si>
  <si>
    <t>D03</t>
    <phoneticPr fontId="22" type="noConversion"/>
  </si>
  <si>
    <t>D02</t>
    <phoneticPr fontId="22" type="noConversion"/>
  </si>
  <si>
    <t>D01</t>
    <phoneticPr fontId="22" type="noConversion"/>
  </si>
  <si>
    <t>QDF</t>
    <phoneticPr fontId="22" type="noConversion"/>
  </si>
  <si>
    <t>C08</t>
    <phoneticPr fontId="22" type="noConversion"/>
  </si>
  <si>
    <t>C07</t>
  </si>
  <si>
    <t>C06</t>
    <phoneticPr fontId="22" type="noConversion"/>
  </si>
  <si>
    <t>C04</t>
    <phoneticPr fontId="22" type="noConversion"/>
  </si>
  <si>
    <t>C03</t>
    <phoneticPr fontId="22" type="noConversion"/>
  </si>
  <si>
    <t>C02</t>
  </si>
  <si>
    <t>C01</t>
  </si>
  <si>
    <t>B08</t>
    <phoneticPr fontId="22" type="noConversion"/>
  </si>
  <si>
    <t>B07</t>
    <phoneticPr fontId="22" type="noConversion"/>
  </si>
  <si>
    <t>B06</t>
    <phoneticPr fontId="22" type="noConversion"/>
  </si>
  <si>
    <t>B05</t>
    <phoneticPr fontId="22" type="noConversion"/>
  </si>
  <si>
    <t>B04</t>
    <phoneticPr fontId="22" type="noConversion"/>
  </si>
  <si>
    <t>B03</t>
    <phoneticPr fontId="22" type="noConversion"/>
  </si>
  <si>
    <t>B02</t>
    <phoneticPr fontId="22" type="noConversion"/>
  </si>
  <si>
    <t>B01</t>
    <phoneticPr fontId="22" type="noConversion"/>
  </si>
  <si>
    <t>A08</t>
    <phoneticPr fontId="22" type="noConversion"/>
  </si>
  <si>
    <t>A07</t>
    <phoneticPr fontId="22" type="noConversion"/>
  </si>
  <si>
    <t>A06</t>
    <phoneticPr fontId="22" type="noConversion"/>
  </si>
  <si>
    <t>A05</t>
    <phoneticPr fontId="22" type="noConversion"/>
  </si>
  <si>
    <t>A04</t>
    <phoneticPr fontId="22" type="noConversion"/>
  </si>
  <si>
    <t>A03</t>
    <phoneticPr fontId="22" type="noConversion"/>
  </si>
  <si>
    <t>A02</t>
    <phoneticPr fontId="22" type="noConversion"/>
  </si>
  <si>
    <t>A01</t>
    <phoneticPr fontId="22" type="noConversion"/>
  </si>
  <si>
    <t>=E5:E233</t>
    <phoneticPr fontId="1" type="noConversion"/>
  </si>
  <si>
    <t>Sejong Telecom Inc.</t>
    <phoneticPr fontId="1" type="noConversion"/>
  </si>
  <si>
    <t>Settle Bank Co., Ltd.</t>
    <phoneticPr fontId="1" type="noConversion"/>
  </si>
  <si>
    <t>총 계약전력량</t>
    <phoneticPr fontId="22" type="noConversion"/>
  </si>
  <si>
    <t>총 남은 전력량</t>
    <phoneticPr fontId="22" type="noConversion"/>
  </si>
  <si>
    <t>Subscribed Power</t>
  </si>
  <si>
    <t>총 월간 사용전력량[kWh]</t>
    <phoneticPr fontId="22" type="noConversion"/>
  </si>
  <si>
    <t>고객사명 검색:</t>
    <phoneticPr fontId="1" type="noConversion"/>
  </si>
  <si>
    <t>Description</t>
    <phoneticPr fontId="1" type="noConversion"/>
  </si>
  <si>
    <t>Total Power Usage for 
Settle Bank Inc</t>
    <phoneticPr fontId="1" type="noConversion"/>
  </si>
  <si>
    <t>Power Usage Total</t>
  </si>
  <si>
    <t>end: 1035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</si>
</sst>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0_);[Red]\(0\)"/>
    <numFmt numFmtId="178" formatCode="yyyy/mm/dd\ hh:mm:ss"/>
    <numFmt numFmtId="179" formatCode="_-* #,##0.00&quot; ℃&quot;"/>
    <numFmt numFmtId="180" formatCode="_-* #,##0.00&quot; %&quot;"/>
    <numFmt numFmtId="181" formatCode="_(* #,##0.00&quot; %&quot;"/>
    <numFmt numFmtId="182" formatCode="_-* #,##0.0&quot; ㎾h&quot;"/>
    <numFmt numFmtId="183" formatCode="0.0_ "/>
    <numFmt numFmtId="184" formatCode="0.0_);[Red]\(0.0\)"/>
    <numFmt numFmtId="185" formatCode="_-* #,##0.0&quot; kW&quot;"/>
    <numFmt numFmtId="186" formatCode="_-* #,##0.0&quot; KVA&quot;"/>
  </numFmts>
  <fonts count="4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F2F2F2"/>
      <name val="Noto Sans"/>
      <family val="2"/>
    </font>
    <font>
      <b/>
      <sz val="11"/>
      <color theme="0"/>
      <name val="맑은 고딕"/>
      <family val="2"/>
      <scheme val="minor"/>
    </font>
    <font>
      <sz val="11"/>
      <color rgb="FF3333FF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"/>
      <color rgb="FF010028"/>
      <name val="Noto Sans"/>
      <family val="2"/>
    </font>
    <font>
      <b/>
      <sz val="7"/>
      <color rgb="FF010028"/>
      <name val="Noto Sans"/>
      <family val="2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sz val="10"/>
      <color rgb="FFFF0000"/>
      <name val="돋움"/>
      <family val="3"/>
      <charset val="129"/>
    </font>
    <font>
      <b/>
      <sz val="10"/>
      <name val="돋움"/>
      <family val="3"/>
      <charset val="129"/>
    </font>
    <font>
      <sz val="11"/>
      <color rgb="FFFF0000"/>
      <name val="돋움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0000CC"/>
      <name val="돋움"/>
      <family val="3"/>
      <charset val="129"/>
    </font>
    <font>
      <sz val="9"/>
      <name val="돋움"/>
      <family val="3"/>
      <charset val="129"/>
    </font>
    <font>
      <b/>
      <sz val="9"/>
      <name val="돋움"/>
      <family val="3"/>
      <charset val="129"/>
    </font>
    <font>
      <b/>
      <sz val="9"/>
      <color rgb="FF0000CC"/>
      <name val="돋움"/>
      <family val="3"/>
      <charset val="129"/>
    </font>
    <font>
      <b/>
      <sz val="10"/>
      <color rgb="FFFF0000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color rgb="FF0000CC"/>
      <name val="맑은 고딕"/>
      <family val="2"/>
      <charset val="129"/>
      <scheme val="minor"/>
    </font>
    <font>
      <sz val="10"/>
      <color rgb="FF0000CC"/>
      <name val="돋움"/>
      <family val="3"/>
      <charset val="129"/>
    </font>
    <font>
      <sz val="11"/>
      <color rgb="FF0000CC"/>
      <name val="돋움"/>
      <family val="3"/>
      <charset val="129"/>
    </font>
    <font>
      <sz val="11"/>
      <color rgb="FF3333FF"/>
      <name val="돋움"/>
      <family val="3"/>
      <charset val="129"/>
    </font>
    <font>
      <sz val="11"/>
      <name val="맑은 고딕"/>
      <family val="3"/>
      <charset val="129"/>
    </font>
    <font>
      <sz val="11"/>
      <color rgb="FF3333FF"/>
      <name val="맑은 고딕"/>
      <family val="3"/>
      <charset val="129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0000CC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</fonts>
  <fills count="27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24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/>
      <top style="medium">
        <color rgb="FF042AA6"/>
      </top>
      <bottom style="medium">
        <color rgb="FF042AA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medium">
        <color rgb="FF042AA6"/>
      </left>
      <right style="medium">
        <color rgb="FF042AA6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theme="4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ck">
        <color rgb="FF0000CC"/>
      </left>
      <right style="thick">
        <color rgb="FF0000CC"/>
      </right>
      <top/>
      <bottom style="medium">
        <color indexed="64"/>
      </bottom>
      <diagonal/>
    </border>
    <border>
      <left style="thick">
        <color rgb="FF0000CC"/>
      </left>
      <right style="thick">
        <color rgb="FF0000CC"/>
      </right>
      <top style="medium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 style="thin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 style="thin">
        <color indexed="64"/>
      </top>
      <bottom style="double">
        <color indexed="64"/>
      </bottom>
      <diagonal/>
    </border>
    <border>
      <left style="thick">
        <color rgb="FF0000CC"/>
      </left>
      <right style="thick">
        <color rgb="FF0000CC"/>
      </right>
      <top style="double">
        <color indexed="64"/>
      </top>
      <bottom/>
      <diagonal/>
    </border>
    <border>
      <left style="thick">
        <color rgb="FF0000CC"/>
      </left>
      <right style="thick">
        <color rgb="FF0000CC"/>
      </right>
      <top/>
      <bottom/>
      <diagonal/>
    </border>
    <border>
      <left style="thick">
        <color rgb="FF0000CC"/>
      </left>
      <right style="thick">
        <color rgb="FF0000CC"/>
      </right>
      <top/>
      <bottom style="double">
        <color indexed="64"/>
      </bottom>
      <diagonal/>
    </border>
    <border>
      <left style="thick">
        <color rgb="FF0000CC"/>
      </left>
      <right style="thick">
        <color rgb="FF0000CC"/>
      </right>
      <top/>
      <bottom style="thin">
        <color indexed="64"/>
      </bottom>
      <diagonal/>
    </border>
    <border diagonalUp="1">
      <left style="thick">
        <color rgb="FF0000CC"/>
      </left>
      <right style="thick">
        <color rgb="FF0000CC"/>
      </right>
      <top style="thin">
        <color indexed="64"/>
      </top>
      <bottom/>
      <diagonal style="thin">
        <color indexed="64"/>
      </diagonal>
    </border>
    <border diagonalUp="1">
      <left style="thick">
        <color rgb="FF0000CC"/>
      </left>
      <right style="thick">
        <color rgb="FF0000CC"/>
      </right>
      <top/>
      <bottom/>
      <diagonal style="thin">
        <color indexed="64"/>
      </diagonal>
    </border>
    <border diagonalUp="1">
      <left style="thick">
        <color rgb="FF0000CC"/>
      </left>
      <right style="thick">
        <color rgb="FF0000CC"/>
      </right>
      <top/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CC"/>
      </left>
      <right style="thick">
        <color rgb="FF0000CC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ck">
        <color rgb="FF0000CC"/>
      </right>
      <top style="medium">
        <color indexed="64"/>
      </top>
      <bottom/>
      <diagonal/>
    </border>
    <border>
      <left style="thick">
        <color rgb="FF0000CC"/>
      </left>
      <right style="medium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Up="1"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 style="thin">
        <color indexed="64"/>
      </diagonal>
    </border>
    <border diagonalUp="1"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ck">
        <color rgb="FF0000CC"/>
      </left>
      <right style="thick">
        <color rgb="FF0000CC"/>
      </right>
      <top style="double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 style="thin">
        <color indexed="64"/>
      </top>
      <bottom/>
      <diagonal/>
    </border>
    <border diagonalUp="1">
      <left style="thick">
        <color rgb="FF0000CC"/>
      </left>
      <right style="thick">
        <color rgb="FF0000CC"/>
      </right>
      <top style="double">
        <color indexed="64"/>
      </top>
      <bottom style="thin">
        <color indexed="64"/>
      </bottom>
      <diagonal style="thin">
        <color indexed="64"/>
      </diagonal>
    </border>
    <border diagonalUp="1">
      <left style="thick">
        <color rgb="FF0000CC"/>
      </left>
      <right style="thick">
        <color rgb="FF0000CC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ck">
        <color rgb="FF0000CC"/>
      </left>
      <right style="thick">
        <color rgb="FF0000CC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thick">
        <color rgb="FF0000CC"/>
      </left>
      <right style="thick">
        <color rgb="FF0000CC"/>
      </right>
      <top style="double">
        <color indexed="64"/>
      </top>
      <bottom style="double">
        <color indexed="64"/>
      </bottom>
      <diagonal/>
    </border>
    <border diagonalUp="1">
      <left/>
      <right style="double">
        <color indexed="64"/>
      </right>
      <top style="double">
        <color indexed="64"/>
      </top>
      <bottom style="thin">
        <color indexed="64"/>
      </bottom>
      <diagonal style="thin">
        <color indexed="64"/>
      </diagonal>
    </border>
    <border diagonalUp="1">
      <left/>
      <right style="double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 diagonalUp="1">
      <left/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/>
      <right style="double">
        <color indexed="64"/>
      </right>
      <top/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 diagonalUp="1">
      <left style="thin">
        <color indexed="64"/>
      </left>
      <right/>
      <top style="thin">
        <color indexed="64"/>
      </top>
      <bottom style="double">
        <color indexed="64"/>
      </bottom>
      <diagonal style="thin">
        <color indexed="64"/>
      </diagonal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/>
      <top style="double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rgb="FF0000CC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6" fillId="0" borderId="0"/>
    <xf numFmtId="176" fontId="12" fillId="0" borderId="0" applyFont="0" applyFill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76" fontId="12" fillId="0" borderId="0" applyFont="0" applyFill="0" applyBorder="0" applyAlignment="0" applyProtection="0">
      <alignment vertical="center"/>
    </xf>
  </cellStyleXfs>
  <cellXfs count="602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6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7" fontId="7" fillId="5" borderId="0" xfId="1" applyNumberFormat="1" applyFont="1" applyFill="1" applyAlignment="1">
      <alignment horizontal="center"/>
    </xf>
    <xf numFmtId="177" fontId="0" fillId="5" borderId="0" xfId="0" applyNumberFormat="1" applyFill="1" applyAlignment="1">
      <alignment horizontal="center" vertical="center"/>
    </xf>
    <xf numFmtId="177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78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49" fontId="7" fillId="0" borderId="0" xfId="1" applyNumberFormat="1" applyFont="1" applyFill="1" applyAlignment="1">
      <alignment horizontal="center"/>
    </xf>
    <xf numFmtId="22" fontId="0" fillId="0" borderId="0" xfId="0" applyNumberFormat="1" applyFill="1">
      <alignment vertical="center"/>
    </xf>
    <xf numFmtId="22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22" fontId="7" fillId="4" borderId="0" xfId="1" applyNumberFormat="1" applyFont="1" applyFill="1" applyAlignment="1">
      <alignment horizont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79" fontId="15" fillId="0" borderId="13" xfId="2" applyNumberFormat="1" applyFont="1" applyFill="1" applyBorder="1">
      <alignment vertical="center"/>
    </xf>
    <xf numFmtId="179" fontId="15" fillId="0" borderId="13" xfId="2" applyNumberFormat="1" applyFont="1" applyFill="1" applyBorder="1" applyAlignment="1">
      <alignment vertical="center" wrapText="1"/>
    </xf>
    <xf numFmtId="179" fontId="0" fillId="0" borderId="12" xfId="2" applyNumberFormat="1" applyFont="1" applyFill="1" applyBorder="1" applyAlignment="1">
      <alignment horizontal="center" vertical="center" wrapText="1"/>
    </xf>
    <xf numFmtId="179" fontId="15" fillId="0" borderId="12" xfId="2" applyNumberFormat="1" applyFont="1" applyFill="1" applyBorder="1" applyAlignment="1">
      <alignment horizontal="center" vertical="center" wrapText="1"/>
    </xf>
    <xf numFmtId="179" fontId="0" fillId="0" borderId="12" xfId="2" applyNumberFormat="1" applyFont="1" applyBorder="1" applyAlignment="1">
      <alignment horizontal="center" vertical="center" wrapText="1"/>
    </xf>
    <xf numFmtId="180" fontId="15" fillId="0" borderId="13" xfId="2" applyNumberFormat="1" applyFont="1" applyFill="1" applyBorder="1">
      <alignment vertical="center"/>
    </xf>
    <xf numFmtId="180" fontId="15" fillId="0" borderId="13" xfId="2" applyNumberFormat="1" applyFont="1" applyFill="1" applyBorder="1" applyAlignment="1">
      <alignment vertical="center" wrapText="1"/>
    </xf>
    <xf numFmtId="180" fontId="0" fillId="0" borderId="15" xfId="2" applyNumberFormat="1" applyFont="1" applyFill="1" applyBorder="1" applyAlignment="1">
      <alignment horizontal="center" vertical="center" wrapText="1"/>
    </xf>
    <xf numFmtId="180" fontId="0" fillId="0" borderId="16" xfId="2" applyNumberFormat="1" applyFont="1" applyFill="1" applyBorder="1" applyAlignment="1">
      <alignment horizontal="center" vertical="center" wrapText="1"/>
    </xf>
    <xf numFmtId="180" fontId="0" fillId="0" borderId="12" xfId="2" applyNumberFormat="1" applyFont="1" applyFill="1" applyBorder="1" applyAlignment="1">
      <alignment horizontal="center" vertical="center" wrapText="1"/>
    </xf>
    <xf numFmtId="180" fontId="15" fillId="0" borderId="12" xfId="2" applyNumberFormat="1" applyFont="1" applyFill="1" applyBorder="1" applyAlignment="1">
      <alignment horizontal="center" vertical="center" wrapText="1"/>
    </xf>
    <xf numFmtId="180" fontId="0" fillId="0" borderId="12" xfId="2" applyNumberFormat="1" applyFont="1" applyBorder="1" applyAlignment="1">
      <alignment horizontal="center" vertical="center" wrapText="1"/>
    </xf>
    <xf numFmtId="22" fontId="5" fillId="0" borderId="3" xfId="0" applyNumberFormat="1" applyFont="1" applyBorder="1" applyAlignment="1">
      <alignment horizontal="center" vertical="center" wrapText="1"/>
    </xf>
    <xf numFmtId="180" fontId="0" fillId="0" borderId="0" xfId="2" applyNumberFormat="1" applyFont="1" applyFill="1" applyBorder="1" applyAlignment="1">
      <alignment horizontal="center" vertical="center" wrapText="1"/>
    </xf>
    <xf numFmtId="179" fontId="8" fillId="0" borderId="0" xfId="2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179" fontId="15" fillId="0" borderId="13" xfId="3" applyNumberFormat="1" applyFont="1" applyFill="1" applyBorder="1">
      <alignment vertical="center"/>
    </xf>
    <xf numFmtId="179" fontId="15" fillId="0" borderId="13" xfId="3" applyNumberFormat="1" applyFont="1" applyFill="1" applyBorder="1" applyAlignment="1">
      <alignment vertical="center" wrapText="1"/>
    </xf>
    <xf numFmtId="179" fontId="0" fillId="0" borderId="15" xfId="3" applyNumberFormat="1" applyFont="1" applyFill="1" applyBorder="1" applyAlignment="1">
      <alignment horizontal="center" vertical="center" wrapText="1"/>
    </xf>
    <xf numFmtId="179" fontId="0" fillId="0" borderId="16" xfId="3" applyNumberFormat="1" applyFont="1" applyFill="1" applyBorder="1" applyAlignment="1">
      <alignment horizontal="center" vertical="center" wrapText="1"/>
    </xf>
    <xf numFmtId="179" fontId="0" fillId="0" borderId="12" xfId="3" applyNumberFormat="1" applyFont="1" applyFill="1" applyBorder="1" applyAlignment="1">
      <alignment horizontal="center" vertical="center" wrapText="1"/>
    </xf>
    <xf numFmtId="179" fontId="15" fillId="0" borderId="12" xfId="3" applyNumberFormat="1" applyFont="1" applyFill="1" applyBorder="1" applyAlignment="1">
      <alignment horizontal="center" vertical="center" wrapText="1"/>
    </xf>
    <xf numFmtId="179" fontId="0" fillId="0" borderId="12" xfId="3" applyNumberFormat="1" applyFont="1" applyBorder="1" applyAlignment="1">
      <alignment horizontal="center" vertical="center" wrapText="1"/>
    </xf>
    <xf numFmtId="0" fontId="14" fillId="8" borderId="12" xfId="0" applyFont="1" applyFill="1" applyBorder="1" applyAlignment="1">
      <alignment horizontal="center" vertical="center" wrapText="1"/>
    </xf>
    <xf numFmtId="9" fontId="14" fillId="8" borderId="12" xfId="0" quotePrefix="1" applyNumberFormat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9" borderId="23" xfId="0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180" fontId="15" fillId="0" borderId="13" xfId="3" applyNumberFormat="1" applyFont="1" applyFill="1" applyBorder="1">
      <alignment vertical="center"/>
    </xf>
    <xf numFmtId="180" fontId="15" fillId="0" borderId="13" xfId="3" applyNumberFormat="1" applyFont="1" applyFill="1" applyBorder="1" applyAlignment="1">
      <alignment vertical="center" wrapText="1"/>
    </xf>
    <xf numFmtId="180" fontId="0" fillId="0" borderId="15" xfId="3" applyNumberFormat="1" applyFont="1" applyFill="1" applyBorder="1" applyAlignment="1">
      <alignment horizontal="center" vertical="center" wrapText="1"/>
    </xf>
    <xf numFmtId="180" fontId="0" fillId="0" borderId="16" xfId="3" applyNumberFormat="1" applyFont="1" applyFill="1" applyBorder="1" applyAlignment="1">
      <alignment horizontal="center" vertical="center" wrapText="1"/>
    </xf>
    <xf numFmtId="180" fontId="0" fillId="0" borderId="12" xfId="3" applyNumberFormat="1" applyFont="1" applyFill="1" applyBorder="1" applyAlignment="1">
      <alignment horizontal="center" vertical="center" wrapText="1"/>
    </xf>
    <xf numFmtId="180" fontId="15" fillId="0" borderId="12" xfId="3" applyNumberFormat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/>
    </xf>
    <xf numFmtId="0" fontId="8" fillId="10" borderId="12" xfId="0" applyFont="1" applyFill="1" applyBorder="1" applyAlignment="1">
      <alignment horizontal="center"/>
    </xf>
    <xf numFmtId="0" fontId="0" fillId="9" borderId="12" xfId="0" applyFill="1" applyBorder="1" applyAlignment="1">
      <alignment horizontal="center" vertical="center"/>
    </xf>
    <xf numFmtId="180" fontId="0" fillId="0" borderId="0" xfId="0" applyNumberFormat="1">
      <alignment vertical="center"/>
    </xf>
    <xf numFmtId="181" fontId="0" fillId="0" borderId="13" xfId="0" applyNumberFormat="1" applyBorder="1" applyAlignment="1"/>
    <xf numFmtId="180" fontId="0" fillId="0" borderId="12" xfId="3" applyNumberFormat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3" borderId="13" xfId="0" applyFill="1" applyBorder="1" applyAlignment="1">
      <alignment horizontal="center" vertical="center"/>
    </xf>
    <xf numFmtId="180" fontId="0" fillId="0" borderId="17" xfId="3" applyNumberFormat="1" applyFont="1" applyBorder="1" applyAlignment="1">
      <alignment horizontal="center" vertical="center" wrapText="1"/>
    </xf>
    <xf numFmtId="181" fontId="0" fillId="0" borderId="18" xfId="0" applyNumberFormat="1" applyBorder="1" applyAlignment="1"/>
    <xf numFmtId="0" fontId="0" fillId="0" borderId="25" xfId="0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 wrapText="1"/>
    </xf>
    <xf numFmtId="0" fontId="14" fillId="8" borderId="26" xfId="0" applyFont="1" applyFill="1" applyBorder="1" applyAlignment="1">
      <alignment horizontal="center" vertical="center" wrapText="1"/>
    </xf>
    <xf numFmtId="180" fontId="8" fillId="0" borderId="0" xfId="0" applyNumberFormat="1" applyFont="1">
      <alignment vertical="center"/>
    </xf>
    <xf numFmtId="0" fontId="2" fillId="7" borderId="2" xfId="0" applyFont="1" applyFill="1" applyBorder="1" applyAlignment="1">
      <alignment horizontal="center" vertical="center" wrapText="1"/>
    </xf>
    <xf numFmtId="0" fontId="0" fillId="0" borderId="29" xfId="0" applyBorder="1">
      <alignment vertical="center"/>
    </xf>
    <xf numFmtId="179" fontId="5" fillId="0" borderId="4" xfId="0" applyNumberFormat="1" applyFont="1" applyBorder="1" applyAlignment="1">
      <alignment horizontal="center" vertical="center" wrapText="1"/>
    </xf>
    <xf numFmtId="179" fontId="3" fillId="0" borderId="4" xfId="0" applyNumberFormat="1" applyFont="1" applyBorder="1" applyAlignment="1">
      <alignment horizontal="right" vertical="center" wrapText="1"/>
    </xf>
    <xf numFmtId="0" fontId="8" fillId="10" borderId="0" xfId="0" applyFont="1" applyFill="1" applyAlignment="1">
      <alignment horizontal="center"/>
    </xf>
    <xf numFmtId="180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 wrapText="1"/>
    </xf>
    <xf numFmtId="179" fontId="0" fillId="0" borderId="15" xfId="2" applyNumberFormat="1" applyFont="1" applyFill="1" applyBorder="1" applyAlignment="1">
      <alignment horizontal="center" vertical="center" wrapText="1"/>
    </xf>
    <xf numFmtId="179" fontId="0" fillId="0" borderId="16" xfId="2" applyNumberFormat="1" applyFont="1" applyFill="1" applyBorder="1" applyAlignment="1">
      <alignment horizontal="center" vertical="center" wrapText="1"/>
    </xf>
    <xf numFmtId="179" fontId="8" fillId="10" borderId="0" xfId="0" applyNumberFormat="1" applyFont="1" applyFill="1">
      <alignment vertical="center"/>
    </xf>
    <xf numFmtId="180" fontId="8" fillId="10" borderId="0" xfId="0" applyNumberFormat="1" applyFont="1" applyFill="1">
      <alignment vertical="center"/>
    </xf>
    <xf numFmtId="0" fontId="8" fillId="0" borderId="0" xfId="0" applyFont="1" applyAlignment="1">
      <alignment horizontal="center"/>
    </xf>
    <xf numFmtId="180" fontId="17" fillId="14" borderId="0" xfId="0" applyNumberFormat="1" applyFont="1" applyFill="1" applyAlignment="1"/>
    <xf numFmtId="181" fontId="0" fillId="0" borderId="0" xfId="0" applyNumberFormat="1" applyAlignment="1">
      <alignment horizontal="center"/>
    </xf>
    <xf numFmtId="180" fontId="0" fillId="10" borderId="0" xfId="0" applyNumberFormat="1" applyFill="1">
      <alignment vertical="center"/>
    </xf>
    <xf numFmtId="179" fontId="8" fillId="10" borderId="0" xfId="0" applyNumberFormat="1" applyFont="1" applyFill="1" applyAlignment="1">
      <alignment horizontal="right" vertical="center"/>
    </xf>
    <xf numFmtId="180" fontId="8" fillId="10" borderId="0" xfId="0" applyNumberFormat="1" applyFont="1" applyFill="1" applyAlignment="1">
      <alignment horizontal="right" vertical="center"/>
    </xf>
    <xf numFmtId="180" fontId="18" fillId="12" borderId="0" xfId="0" applyNumberFormat="1" applyFont="1" applyFill="1" applyAlignment="1"/>
    <xf numFmtId="180" fontId="18" fillId="10" borderId="0" xfId="0" applyNumberFormat="1" applyFont="1" applyFill="1" applyAlignment="1"/>
    <xf numFmtId="0" fontId="2" fillId="7" borderId="30" xfId="0" applyFont="1" applyFill="1" applyBorder="1" applyAlignment="1">
      <alignment horizontal="center" vertical="center" wrapText="1"/>
    </xf>
    <xf numFmtId="0" fontId="2" fillId="7" borderId="30" xfId="0" applyFont="1" applyFill="1" applyBorder="1" applyAlignment="1">
      <alignment horizontal="center" vertical="center" textRotation="90" wrapText="1"/>
    </xf>
    <xf numFmtId="179" fontId="20" fillId="0" borderId="30" xfId="0" applyNumberFormat="1" applyFont="1" applyBorder="1" applyAlignment="1">
      <alignment horizontal="center" vertical="center" wrapText="1"/>
    </xf>
    <xf numFmtId="179" fontId="19" fillId="0" borderId="30" xfId="0" applyNumberFormat="1" applyFont="1" applyBorder="1" applyAlignment="1">
      <alignment horizontal="center" vertical="center" wrapText="1"/>
    </xf>
    <xf numFmtId="180" fontId="20" fillId="0" borderId="30" xfId="0" applyNumberFormat="1" applyFont="1" applyBorder="1" applyAlignment="1">
      <alignment horizontal="center" vertical="center" wrapText="1"/>
    </xf>
    <xf numFmtId="180" fontId="19" fillId="0" borderId="30" xfId="0" applyNumberFormat="1" applyFont="1" applyBorder="1" applyAlignment="1">
      <alignment horizontal="center" vertical="center" wrapText="1"/>
    </xf>
    <xf numFmtId="0" fontId="20" fillId="0" borderId="30" xfId="0" applyFont="1" applyBorder="1" applyAlignment="1">
      <alignment horizontal="center" vertical="center" wrapText="1"/>
    </xf>
    <xf numFmtId="0" fontId="8" fillId="10" borderId="0" xfId="0" applyFont="1" applyFill="1" applyAlignment="1">
      <alignment horizontal="left" vertical="center"/>
    </xf>
    <xf numFmtId="49" fontId="8" fillId="10" borderId="0" xfId="0" applyNumberFormat="1" applyFont="1" applyFill="1" applyAlignment="1">
      <alignment horizontal="left" vertical="center"/>
    </xf>
    <xf numFmtId="0" fontId="8" fillId="15" borderId="0" xfId="0" applyNumberFormat="1" applyFont="1" applyFill="1" applyAlignment="1">
      <alignment horizontal="center" vertical="center"/>
    </xf>
    <xf numFmtId="0" fontId="25" fillId="10" borderId="46" xfId="0" applyFont="1" applyFill="1" applyBorder="1" applyAlignment="1">
      <alignment horizontal="center" vertical="center" wrapText="1"/>
    </xf>
    <xf numFmtId="0" fontId="25" fillId="0" borderId="47" xfId="0" applyFont="1" applyBorder="1" applyAlignment="1">
      <alignment horizontal="center" vertical="center" wrapText="1"/>
    </xf>
    <xf numFmtId="0" fontId="25" fillId="10" borderId="12" xfId="0" applyFont="1" applyFill="1" applyBorder="1" applyAlignment="1">
      <alignment horizontal="center" vertical="center" wrapText="1"/>
    </xf>
    <xf numFmtId="0" fontId="25" fillId="0" borderId="52" xfId="0" applyFont="1" applyBorder="1" applyAlignment="1">
      <alignment horizontal="center" vertical="center" wrapText="1"/>
    </xf>
    <xf numFmtId="0" fontId="31" fillId="0" borderId="49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1" fillId="0" borderId="52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51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50" xfId="0" applyFont="1" applyBorder="1" applyAlignment="1">
      <alignment horizontal="center" vertical="center"/>
    </xf>
    <xf numFmtId="0" fontId="32" fillId="10" borderId="51" xfId="0" applyFont="1" applyFill="1" applyBorder="1" applyAlignment="1">
      <alignment horizontal="center" vertical="center" wrapText="1"/>
    </xf>
    <xf numFmtId="0" fontId="32" fillId="10" borderId="12" xfId="0" applyFont="1" applyFill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0" borderId="52" xfId="0" applyFont="1" applyBorder="1" applyAlignment="1">
      <alignment horizontal="center" vertical="center" wrapText="1"/>
    </xf>
    <xf numFmtId="0" fontId="34" fillId="0" borderId="51" xfId="0" applyFont="1" applyBorder="1" applyAlignment="1">
      <alignment horizontal="center" vertical="center" wrapText="1"/>
    </xf>
    <xf numFmtId="0" fontId="34" fillId="0" borderId="12" xfId="0" applyFont="1" applyBorder="1" applyAlignment="1">
      <alignment horizontal="center" vertical="center" wrapText="1"/>
    </xf>
    <xf numFmtId="0" fontId="34" fillId="0" borderId="52" xfId="0" applyFont="1" applyBorder="1" applyAlignment="1">
      <alignment horizontal="center" vertical="center" wrapText="1"/>
    </xf>
    <xf numFmtId="0" fontId="34" fillId="0" borderId="24" xfId="0" applyFont="1" applyBorder="1" applyAlignment="1">
      <alignment horizontal="center" vertical="center" wrapText="1"/>
    </xf>
    <xf numFmtId="0" fontId="34" fillId="0" borderId="49" xfId="0" applyFont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 wrapText="1"/>
    </xf>
    <xf numFmtId="182" fontId="23" fillId="16" borderId="32" xfId="2" applyNumberFormat="1" applyFont="1" applyFill="1" applyBorder="1" applyAlignment="1">
      <alignment horizontal="center" vertical="center"/>
    </xf>
    <xf numFmtId="0" fontId="0" fillId="0" borderId="54" xfId="0" applyBorder="1" applyAlignment="1">
      <alignment vertical="center" wrapText="1"/>
    </xf>
    <xf numFmtId="0" fontId="0" fillId="0" borderId="58" xfId="0" applyBorder="1" applyAlignment="1">
      <alignment vertical="center" wrapText="1"/>
    </xf>
    <xf numFmtId="0" fontId="36" fillId="0" borderId="60" xfId="0" applyFont="1" applyBorder="1" applyAlignment="1">
      <alignment horizontal="center" vertical="center"/>
    </xf>
    <xf numFmtId="0" fontId="36" fillId="0" borderId="61" xfId="0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82" fontId="21" fillId="16" borderId="67" xfId="2" applyNumberFormat="1" applyFont="1" applyFill="1" applyBorder="1" applyAlignment="1">
      <alignment horizontal="center" vertical="center" wrapText="1"/>
    </xf>
    <xf numFmtId="0" fontId="21" fillId="0" borderId="68" xfId="0" applyFont="1" applyBorder="1" applyAlignment="1">
      <alignment horizontal="center" vertical="center" wrapText="1"/>
    </xf>
    <xf numFmtId="0" fontId="21" fillId="0" borderId="69" xfId="0" applyFont="1" applyBorder="1" applyAlignment="1">
      <alignment horizontal="center" vertical="center" wrapText="1"/>
    </xf>
    <xf numFmtId="0" fontId="35" fillId="0" borderId="71" xfId="0" applyFont="1" applyBorder="1" applyAlignment="1">
      <alignment horizontal="center" vertical="center" wrapText="1"/>
    </xf>
    <xf numFmtId="0" fontId="0" fillId="0" borderId="68" xfId="0" applyBorder="1" applyAlignment="1">
      <alignment vertical="center" wrapText="1"/>
    </xf>
    <xf numFmtId="0" fontId="0" fillId="0" borderId="69" xfId="0" applyBorder="1" applyAlignment="1">
      <alignment vertical="center" wrapText="1"/>
    </xf>
    <xf numFmtId="0" fontId="0" fillId="0" borderId="71" xfId="0" applyBorder="1" applyAlignment="1">
      <alignment vertical="center" wrapText="1"/>
    </xf>
    <xf numFmtId="183" fontId="0" fillId="0" borderId="69" xfId="0" applyNumberForma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68" xfId="0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wrapText="1"/>
    </xf>
    <xf numFmtId="0" fontId="26" fillId="0" borderId="69" xfId="0" applyFont="1" applyBorder="1" applyAlignment="1">
      <alignment horizontal="left" vertical="center" wrapText="1"/>
    </xf>
    <xf numFmtId="0" fontId="26" fillId="0" borderId="71" xfId="0" applyFont="1" applyBorder="1" applyAlignment="1">
      <alignment horizontal="left" vertical="center" wrapText="1"/>
    </xf>
    <xf numFmtId="0" fontId="26" fillId="0" borderId="69" xfId="0" applyFont="1" applyBorder="1" applyAlignment="1">
      <alignment horizontal="center" vertical="center" wrapText="1"/>
    </xf>
    <xf numFmtId="0" fontId="32" fillId="0" borderId="68" xfId="0" applyFont="1" applyBorder="1" applyAlignment="1">
      <alignment vertical="center" wrapText="1"/>
    </xf>
    <xf numFmtId="0" fontId="32" fillId="0" borderId="69" xfId="0" applyFont="1" applyBorder="1" applyAlignment="1">
      <alignment vertical="center" wrapText="1"/>
    </xf>
    <xf numFmtId="182" fontId="21" fillId="16" borderId="12" xfId="2" applyNumberFormat="1" applyFont="1" applyFill="1" applyBorder="1" applyAlignment="1">
      <alignment horizontal="center" vertical="center" wrapText="1"/>
    </xf>
    <xf numFmtId="0" fontId="26" fillId="0" borderId="68" xfId="0" applyFont="1" applyBorder="1" applyAlignment="1">
      <alignment horizontal="left" vertical="center" wrapText="1"/>
    </xf>
    <xf numFmtId="0" fontId="31" fillId="0" borderId="74" xfId="0" applyFont="1" applyBorder="1" applyAlignment="1">
      <alignment horizontal="center" vertical="center"/>
    </xf>
    <xf numFmtId="0" fontId="31" fillId="0" borderId="76" xfId="0" applyFont="1" applyBorder="1" applyAlignment="1">
      <alignment horizontal="center" vertical="center"/>
    </xf>
    <xf numFmtId="0" fontId="31" fillId="0" borderId="77" xfId="0" applyFont="1" applyBorder="1" applyAlignment="1">
      <alignment horizontal="center" vertical="center"/>
    </xf>
    <xf numFmtId="0" fontId="31" fillId="12" borderId="74" xfId="0" applyFont="1" applyFill="1" applyBorder="1" applyAlignment="1">
      <alignment horizontal="center" vertical="center" wrapText="1"/>
    </xf>
    <xf numFmtId="0" fontId="31" fillId="12" borderId="46" xfId="0" applyFont="1" applyFill="1" applyBorder="1" applyAlignment="1">
      <alignment horizontal="center" vertical="center" wrapText="1"/>
    </xf>
    <xf numFmtId="0" fontId="31" fillId="12" borderId="75" xfId="0" applyFont="1" applyFill="1" applyBorder="1" applyAlignment="1">
      <alignment horizontal="center" vertical="center" wrapText="1"/>
    </xf>
    <xf numFmtId="0" fontId="31" fillId="0" borderId="47" xfId="0" applyFont="1" applyBorder="1" applyAlignment="1">
      <alignment horizontal="center" vertical="center"/>
    </xf>
    <xf numFmtId="0" fontId="31" fillId="0" borderId="78" xfId="0" applyFont="1" applyBorder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0" fillId="0" borderId="53" xfId="0" applyBorder="1">
      <alignment vertical="center"/>
    </xf>
    <xf numFmtId="0" fontId="0" fillId="0" borderId="54" xfId="0" applyBorder="1">
      <alignment vertical="center"/>
    </xf>
    <xf numFmtId="0" fontId="39" fillId="0" borderId="54" xfId="0" applyFont="1" applyBorder="1">
      <alignment vertical="center"/>
    </xf>
    <xf numFmtId="0" fontId="0" fillId="0" borderId="58" xfId="0" applyBorder="1">
      <alignment vertical="center"/>
    </xf>
    <xf numFmtId="0" fontId="40" fillId="0" borderId="53" xfId="0" applyFont="1" applyBorder="1">
      <alignment vertical="center"/>
    </xf>
    <xf numFmtId="0" fontId="26" fillId="0" borderId="54" xfId="0" quotePrefix="1" applyFont="1" applyBorder="1">
      <alignment vertical="center"/>
    </xf>
    <xf numFmtId="0" fontId="26" fillId="0" borderId="85" xfId="0" applyFont="1" applyBorder="1" applyAlignment="1">
      <alignment horizontal="center" vertical="center"/>
    </xf>
    <xf numFmtId="0" fontId="23" fillId="0" borderId="54" xfId="0" quotePrefix="1" applyFont="1" applyBorder="1" applyAlignment="1">
      <alignment vertical="center" wrapText="1"/>
    </xf>
    <xf numFmtId="0" fontId="23" fillId="0" borderId="54" xfId="0" applyFont="1" applyBorder="1" applyAlignment="1">
      <alignment vertical="center" wrapText="1"/>
    </xf>
    <xf numFmtId="0" fontId="26" fillId="0" borderId="54" xfId="0" quotePrefix="1" applyFont="1" applyBorder="1" applyAlignment="1">
      <alignment horizontal="left" vertical="center" wrapText="1"/>
    </xf>
    <xf numFmtId="0" fontId="26" fillId="0" borderId="86" xfId="0" applyFont="1" applyBorder="1" applyAlignment="1">
      <alignment horizontal="center" vertical="center"/>
    </xf>
    <xf numFmtId="0" fontId="26" fillId="0" borderId="54" xfId="0" applyFont="1" applyBorder="1" applyAlignment="1">
      <alignment vertical="center" wrapText="1"/>
    </xf>
    <xf numFmtId="0" fontId="0" fillId="0" borderId="57" xfId="0" applyBorder="1">
      <alignment vertical="center"/>
    </xf>
    <xf numFmtId="0" fontId="0" fillId="0" borderId="87" xfId="0" applyBorder="1">
      <alignment vertical="center"/>
    </xf>
    <xf numFmtId="0" fontId="0" fillId="0" borderId="88" xfId="0" applyBorder="1">
      <alignment vertical="center"/>
    </xf>
    <xf numFmtId="0" fontId="0" fillId="0" borderId="89" xfId="0" applyBorder="1">
      <alignment vertical="center"/>
    </xf>
    <xf numFmtId="0" fontId="0" fillId="0" borderId="90" xfId="0" applyBorder="1">
      <alignment vertical="center"/>
    </xf>
    <xf numFmtId="0" fontId="0" fillId="0" borderId="91" xfId="0" applyBorder="1">
      <alignment vertical="center"/>
    </xf>
    <xf numFmtId="0" fontId="21" fillId="0" borderId="59" xfId="0" applyFont="1" applyBorder="1" applyAlignment="1">
      <alignment vertical="center" wrapText="1"/>
    </xf>
    <xf numFmtId="0" fontId="0" fillId="0" borderId="86" xfId="0" applyBorder="1">
      <alignment vertical="center"/>
    </xf>
    <xf numFmtId="0" fontId="0" fillId="9" borderId="92" xfId="0" applyFill="1" applyBorder="1">
      <alignment vertical="center"/>
    </xf>
    <xf numFmtId="0" fontId="0" fillId="9" borderId="86" xfId="0" applyFill="1" applyBorder="1">
      <alignment vertical="center"/>
    </xf>
    <xf numFmtId="0" fontId="0" fillId="0" borderId="92" xfId="0" applyBorder="1">
      <alignment vertical="center"/>
    </xf>
    <xf numFmtId="0" fontId="12" fillId="0" borderId="87" xfId="4" applyBorder="1">
      <alignment vertical="center"/>
    </xf>
    <xf numFmtId="0" fontId="12" fillId="0" borderId="90" xfId="4" applyBorder="1">
      <alignment vertical="center"/>
    </xf>
    <xf numFmtId="0" fontId="12" fillId="0" borderId="89" xfId="4" applyBorder="1">
      <alignment vertical="center"/>
    </xf>
    <xf numFmtId="0" fontId="12" fillId="0" borderId="93" xfId="4" applyBorder="1">
      <alignment vertical="center"/>
    </xf>
    <xf numFmtId="0" fontId="12" fillId="0" borderId="94" xfId="4" applyBorder="1">
      <alignment vertical="center"/>
    </xf>
    <xf numFmtId="0" fontId="12" fillId="0" borderId="91" xfId="4" applyBorder="1">
      <alignment vertical="center"/>
    </xf>
    <xf numFmtId="0" fontId="21" fillId="0" borderId="53" xfId="0" applyFont="1" applyBorder="1">
      <alignment vertical="center"/>
    </xf>
    <xf numFmtId="0" fontId="21" fillId="0" borderId="54" xfId="0" applyFont="1" applyBorder="1">
      <alignment vertical="center"/>
    </xf>
    <xf numFmtId="0" fontId="0" fillId="0" borderId="85" xfId="0" applyBorder="1">
      <alignment vertical="center"/>
    </xf>
    <xf numFmtId="0" fontId="21" fillId="0" borderId="86" xfId="0" applyFont="1" applyBorder="1">
      <alignment vertical="center"/>
    </xf>
    <xf numFmtId="0" fontId="0" fillId="0" borderId="95" xfId="0" applyBorder="1">
      <alignment vertical="center"/>
    </xf>
    <xf numFmtId="0" fontId="12" fillId="0" borderId="54" xfId="4" applyBorder="1" applyAlignment="1">
      <alignment horizontal="center" vertical="center" wrapText="1"/>
    </xf>
    <xf numFmtId="0" fontId="12" fillId="0" borderId="58" xfId="4" applyBorder="1" applyAlignment="1">
      <alignment horizontal="center" vertical="center" wrapText="1"/>
    </xf>
    <xf numFmtId="0" fontId="12" fillId="0" borderId="53" xfId="4" applyBorder="1">
      <alignment vertical="center"/>
    </xf>
    <xf numFmtId="0" fontId="12" fillId="0" borderId="54" xfId="4" applyBorder="1">
      <alignment vertical="center"/>
    </xf>
    <xf numFmtId="0" fontId="12" fillId="0" borderId="58" xfId="4" applyBorder="1">
      <alignment vertical="center"/>
    </xf>
    <xf numFmtId="0" fontId="12" fillId="0" borderId="56" xfId="4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2" fillId="0" borderId="55" xfId="4" quotePrefix="1" applyBorder="1" applyAlignment="1">
      <alignment horizontal="center" vertical="center" wrapText="1"/>
    </xf>
    <xf numFmtId="0" fontId="12" fillId="0" borderId="57" xfId="4" applyBorder="1" applyAlignment="1">
      <alignment horizontal="center" vertical="center" wrapText="1"/>
    </xf>
    <xf numFmtId="0" fontId="12" fillId="0" borderId="53" xfId="4" applyBorder="1" applyAlignment="1">
      <alignment horizontal="center" vertical="center" wrapText="1"/>
    </xf>
    <xf numFmtId="0" fontId="12" fillId="0" borderId="55" xfId="4" applyBorder="1" applyAlignment="1">
      <alignment horizontal="center" vertical="center" wrapText="1"/>
    </xf>
    <xf numFmtId="0" fontId="32" fillId="0" borderId="55" xfId="0" applyFont="1" applyBorder="1" applyAlignment="1">
      <alignment horizontal="center" vertical="center" wrapText="1"/>
    </xf>
    <xf numFmtId="0" fontId="32" fillId="0" borderId="57" xfId="0" applyFont="1" applyBorder="1" applyAlignment="1">
      <alignment horizontal="center" vertical="center" wrapText="1"/>
    </xf>
    <xf numFmtId="0" fontId="0" fillId="0" borderId="54" xfId="0" quotePrefix="1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26" fillId="0" borderId="54" xfId="0" applyFont="1" applyBorder="1" applyAlignment="1">
      <alignment horizontal="center" vertical="center"/>
    </xf>
    <xf numFmtId="0" fontId="37" fillId="0" borderId="46" xfId="4" applyFont="1" applyBorder="1" applyAlignment="1">
      <alignment horizontal="center" vertical="center"/>
    </xf>
    <xf numFmtId="0" fontId="37" fillId="0" borderId="74" xfId="4" applyFont="1" applyBorder="1" applyAlignment="1">
      <alignment horizontal="center" vertical="center"/>
    </xf>
    <xf numFmtId="0" fontId="31" fillId="0" borderId="46" xfId="0" applyFont="1" applyBorder="1" applyAlignment="1">
      <alignment horizontal="center" vertical="center"/>
    </xf>
    <xf numFmtId="0" fontId="31" fillId="0" borderId="75" xfId="0" applyFont="1" applyBorder="1" applyAlignment="1">
      <alignment horizontal="center" vertical="center"/>
    </xf>
    <xf numFmtId="0" fontId="37" fillId="0" borderId="42" xfId="4" applyFont="1" applyBorder="1" applyAlignment="1">
      <alignment horizontal="center" vertical="center"/>
    </xf>
    <xf numFmtId="0" fontId="37" fillId="0" borderId="48" xfId="4" applyFont="1" applyBorder="1" applyAlignment="1">
      <alignment horizontal="center" vertical="center"/>
    </xf>
    <xf numFmtId="0" fontId="37" fillId="0" borderId="43" xfId="4" applyFont="1" applyBorder="1" applyAlignment="1">
      <alignment horizontal="center" vertical="center"/>
    </xf>
    <xf numFmtId="0" fontId="37" fillId="0" borderId="44" xfId="4" applyFont="1" applyBorder="1" applyAlignment="1">
      <alignment horizontal="center" vertical="center"/>
    </xf>
    <xf numFmtId="0" fontId="37" fillId="0" borderId="45" xfId="4" applyFont="1" applyBorder="1" applyAlignment="1">
      <alignment horizontal="center" vertical="center"/>
    </xf>
    <xf numFmtId="0" fontId="31" fillId="12" borderId="45" xfId="0" applyFont="1" applyFill="1" applyBorder="1" applyAlignment="1">
      <alignment horizontal="center" vertical="center" wrapText="1"/>
    </xf>
    <xf numFmtId="0" fontId="31" fillId="12" borderId="44" xfId="0" applyFont="1" applyFill="1" applyBorder="1" applyAlignment="1">
      <alignment horizontal="center" vertical="center" wrapText="1"/>
    </xf>
    <xf numFmtId="0" fontId="37" fillId="0" borderId="75" xfId="4" applyFont="1" applyBorder="1" applyAlignment="1">
      <alignment horizontal="center" vertical="center"/>
    </xf>
    <xf numFmtId="0" fontId="31" fillId="0" borderId="45" xfId="0" applyFont="1" applyBorder="1" applyAlignment="1">
      <alignment horizontal="center" vertical="center"/>
    </xf>
    <xf numFmtId="0" fontId="31" fillId="0" borderId="43" xfId="0" applyFont="1" applyBorder="1" applyAlignment="1">
      <alignment horizontal="center" vertical="center"/>
    </xf>
    <xf numFmtId="0" fontId="31" fillId="0" borderId="44" xfId="0" applyFont="1" applyBorder="1" applyAlignment="1">
      <alignment horizontal="center" vertical="center"/>
    </xf>
    <xf numFmtId="0" fontId="31" fillId="12" borderId="48" xfId="0" applyFont="1" applyFill="1" applyBorder="1" applyAlignment="1">
      <alignment horizontal="center" vertical="center" wrapText="1"/>
    </xf>
    <xf numFmtId="0" fontId="31" fillId="12" borderId="43" xfId="0" applyFont="1" applyFill="1" applyBorder="1" applyAlignment="1">
      <alignment horizontal="center" vertical="center" wrapText="1"/>
    </xf>
    <xf numFmtId="0" fontId="31" fillId="12" borderId="42" xfId="0" applyFont="1" applyFill="1" applyBorder="1" applyAlignment="1">
      <alignment horizontal="center" vertical="center" wrapText="1"/>
    </xf>
    <xf numFmtId="0" fontId="31" fillId="0" borderId="48" xfId="0" applyFont="1" applyBorder="1" applyAlignment="1">
      <alignment horizontal="center" vertical="center"/>
    </xf>
    <xf numFmtId="0" fontId="0" fillId="0" borderId="73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8" fillId="19" borderId="0" xfId="0" applyFont="1" applyFill="1" applyAlignment="1">
      <alignment horizontal="center" vertical="center"/>
    </xf>
    <xf numFmtId="0" fontId="8" fillId="19" borderId="0" xfId="0" applyFont="1" applyFill="1" applyAlignment="1">
      <alignment horizontal="center" vertical="center" wrapText="1"/>
    </xf>
    <xf numFmtId="182" fontId="21" fillId="16" borderId="63" xfId="2" applyNumberFormat="1" applyFont="1" applyFill="1" applyBorder="1" applyAlignment="1">
      <alignment horizontal="center" vertical="center" wrapText="1"/>
    </xf>
    <xf numFmtId="0" fontId="0" fillId="10" borderId="51" xfId="0" quotePrefix="1" applyFill="1" applyBorder="1" applyAlignment="1">
      <alignment horizontal="center" vertical="center" wrapText="1"/>
    </xf>
    <xf numFmtId="0" fontId="0" fillId="10" borderId="12" xfId="0" quotePrefix="1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41" fillId="0" borderId="51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 wrapText="1"/>
    </xf>
    <xf numFmtId="0" fontId="41" fillId="0" borderId="52" xfId="0" applyFont="1" applyBorder="1" applyAlignment="1">
      <alignment horizontal="center" vertical="center" wrapText="1"/>
    </xf>
    <xf numFmtId="0" fontId="42" fillId="0" borderId="51" xfId="0" applyFont="1" applyBorder="1" applyAlignment="1">
      <alignment horizontal="center" vertical="center" wrapText="1"/>
    </xf>
    <xf numFmtId="0" fontId="41" fillId="0" borderId="22" xfId="0" applyFont="1" applyBorder="1" applyAlignment="1">
      <alignment horizontal="center" vertical="center" wrapText="1"/>
    </xf>
    <xf numFmtId="0" fontId="41" fillId="0" borderId="23" xfId="0" applyFont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1" fillId="0" borderId="15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98" xfId="0" applyBorder="1" applyAlignment="1">
      <alignment horizontal="center" vertical="center" wrapText="1"/>
    </xf>
    <xf numFmtId="0" fontId="41" fillId="0" borderId="16" xfId="0" applyFont="1" applyBorder="1" applyAlignment="1">
      <alignment horizontal="center" vertical="center" wrapText="1"/>
    </xf>
    <xf numFmtId="0" fontId="41" fillId="0" borderId="99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10" borderId="50" xfId="0" applyFill="1" applyBorder="1" applyAlignment="1">
      <alignment horizontal="center" vertical="center" wrapText="1"/>
    </xf>
    <xf numFmtId="0" fontId="0" fillId="9" borderId="100" xfId="0" applyFill="1" applyBorder="1" applyAlignment="1">
      <alignment horizontal="center" vertical="center" wrapText="1"/>
    </xf>
    <xf numFmtId="0" fontId="0" fillId="9" borderId="16" xfId="0" applyFill="1" applyBorder="1" applyAlignment="1">
      <alignment horizontal="center" vertical="center" wrapText="1"/>
    </xf>
    <xf numFmtId="0" fontId="0" fillId="0" borderId="100" xfId="0" applyBorder="1" applyAlignment="1">
      <alignment horizontal="center" vertical="center" wrapText="1"/>
    </xf>
    <xf numFmtId="184" fontId="12" fillId="0" borderId="12" xfId="4" applyNumberFormat="1" applyBorder="1" applyAlignment="1">
      <alignment horizontal="center" vertical="center" wrapText="1"/>
    </xf>
    <xf numFmtId="0" fontId="21" fillId="0" borderId="51" xfId="0" applyFont="1" applyBorder="1" applyAlignment="1">
      <alignment horizontal="center" vertical="center" wrapText="1"/>
    </xf>
    <xf numFmtId="0" fontId="41" fillId="10" borderId="12" xfId="0" applyFont="1" applyFill="1" applyBorder="1" applyAlignment="1">
      <alignment horizontal="center" vertical="center" wrapText="1"/>
    </xf>
    <xf numFmtId="0" fontId="41" fillId="10" borderId="52" xfId="0" applyFont="1" applyFill="1" applyBorder="1" applyAlignment="1">
      <alignment horizontal="center" vertical="center" wrapText="1"/>
    </xf>
    <xf numFmtId="0" fontId="0" fillId="0" borderId="101" xfId="0" applyBorder="1" applyAlignment="1">
      <alignment horizontal="center" vertical="center" wrapText="1"/>
    </xf>
    <xf numFmtId="184" fontId="43" fillId="0" borderId="51" xfId="4" applyNumberFormat="1" applyFont="1" applyBorder="1" applyAlignment="1">
      <alignment horizontal="center" vertical="center" wrapText="1"/>
    </xf>
    <xf numFmtId="184" fontId="43" fillId="0" borderId="22" xfId="4" applyNumberFormat="1" applyFont="1" applyBorder="1" applyAlignment="1">
      <alignment horizontal="center" vertical="center" wrapText="1"/>
    </xf>
    <xf numFmtId="184" fontId="43" fillId="0" borderId="12" xfId="4" applyNumberFormat="1" applyFont="1" applyBorder="1" applyAlignment="1">
      <alignment horizontal="center" vertical="center" wrapText="1"/>
    </xf>
    <xf numFmtId="184" fontId="43" fillId="0" borderId="52" xfId="4" applyNumberFormat="1" applyFont="1" applyBorder="1" applyAlignment="1">
      <alignment horizontal="center" vertical="center" wrapText="1"/>
    </xf>
    <xf numFmtId="184" fontId="12" fillId="0" borderId="51" xfId="4" applyNumberFormat="1" applyBorder="1" applyAlignment="1">
      <alignment horizontal="center" vertical="center" wrapText="1"/>
    </xf>
    <xf numFmtId="0" fontId="0" fillId="0" borderId="102" xfId="0" applyBorder="1" applyAlignment="1">
      <alignment horizontal="center" vertical="center" wrapText="1"/>
    </xf>
    <xf numFmtId="184" fontId="12" fillId="0" borderId="103" xfId="4" applyNumberFormat="1" applyBorder="1" applyAlignment="1">
      <alignment horizontal="center" vertical="center" wrapText="1"/>
    </xf>
    <xf numFmtId="184" fontId="12" fillId="0" borderId="104" xfId="4" applyNumberFormat="1" applyBorder="1" applyAlignment="1">
      <alignment horizontal="center" vertical="center" wrapText="1"/>
    </xf>
    <xf numFmtId="184" fontId="12" fillId="0" borderId="105" xfId="4" applyNumberFormat="1" applyBorder="1" applyAlignment="1">
      <alignment horizontal="center" vertical="center" wrapText="1"/>
    </xf>
    <xf numFmtId="184" fontId="12" fillId="0" borderId="14" xfId="4" applyNumberFormat="1" applyBorder="1" applyAlignment="1">
      <alignment horizontal="center" vertical="center" wrapText="1"/>
    </xf>
    <xf numFmtId="184" fontId="12" fillId="0" borderId="97" xfId="4" applyNumberFormat="1" applyBorder="1" applyAlignment="1">
      <alignment horizontal="center" vertical="center" wrapText="1"/>
    </xf>
    <xf numFmtId="0" fontId="0" fillId="0" borderId="0" xfId="0" quotePrefix="1">
      <alignment vertical="center"/>
    </xf>
    <xf numFmtId="0" fontId="0" fillId="0" borderId="0" xfId="0" quotePrefix="1" applyAlignment="1">
      <alignment horizontal="left" vertical="center"/>
    </xf>
    <xf numFmtId="0" fontId="0" fillId="10" borderId="108" xfId="0" applyFill="1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0" fillId="10" borderId="109" xfId="0" applyFill="1" applyBorder="1" applyAlignment="1">
      <alignment horizontal="center" vertical="center"/>
    </xf>
    <xf numFmtId="0" fontId="25" fillId="10" borderId="110" xfId="0" applyFont="1" applyFill="1" applyBorder="1" applyAlignment="1">
      <alignment horizontal="center" vertical="center" wrapText="1"/>
    </xf>
    <xf numFmtId="0" fontId="25" fillId="0" borderId="111" xfId="0" applyFont="1" applyBorder="1" applyAlignment="1">
      <alignment horizontal="center" vertical="center" wrapText="1"/>
    </xf>
    <xf numFmtId="0" fontId="0" fillId="0" borderId="108" xfId="0" applyBorder="1" applyAlignment="1">
      <alignment horizontal="center" vertical="center"/>
    </xf>
    <xf numFmtId="0" fontId="0" fillId="0" borderId="106" xfId="0" applyBorder="1" applyAlignment="1">
      <alignment horizontal="center" vertical="center"/>
    </xf>
    <xf numFmtId="0" fontId="0" fillId="0" borderId="107" xfId="0" applyBorder="1" applyAlignment="1">
      <alignment horizontal="center" vertical="center"/>
    </xf>
    <xf numFmtId="0" fontId="26" fillId="0" borderId="108" xfId="0" applyFont="1" applyBorder="1" applyAlignment="1">
      <alignment horizontal="center" vertical="center"/>
    </xf>
    <xf numFmtId="0" fontId="26" fillId="0" borderId="106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0" fontId="0" fillId="10" borderId="51" xfId="0" applyFill="1" applyBorder="1" applyAlignment="1">
      <alignment horizontal="center" vertical="center"/>
    </xf>
    <xf numFmtId="0" fontId="0" fillId="20" borderId="12" xfId="0" applyFill="1" applyBorder="1" applyAlignment="1">
      <alignment horizontal="center" vertical="center"/>
    </xf>
    <xf numFmtId="0" fontId="39" fillId="20" borderId="12" xfId="0" applyFont="1" applyFill="1" applyBorder="1" applyAlignment="1">
      <alignment horizontal="center" vertical="center"/>
    </xf>
    <xf numFmtId="0" fontId="0" fillId="10" borderId="52" xfId="0" applyFill="1" applyBorder="1" applyAlignment="1">
      <alignment horizontal="center" vertical="center"/>
    </xf>
    <xf numFmtId="0" fontId="0" fillId="0" borderId="98" xfId="0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10" borderId="50" xfId="0" applyFill="1" applyBorder="1" applyAlignment="1">
      <alignment horizontal="center" vertical="center"/>
    </xf>
    <xf numFmtId="0" fontId="0" fillId="9" borderId="100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184" fontId="12" fillId="10" borderId="22" xfId="4" applyNumberFormat="1" applyFill="1" applyBorder="1" applyAlignment="1">
      <alignment horizontal="center" vertical="center" wrapText="1"/>
    </xf>
    <xf numFmtId="184" fontId="12" fillId="10" borderId="50" xfId="4" applyNumberFormat="1" applyFill="1" applyBorder="1" applyAlignment="1">
      <alignment horizontal="center" vertical="center" wrapText="1"/>
    </xf>
    <xf numFmtId="184" fontId="12" fillId="10" borderId="24" xfId="4" applyNumberFormat="1" applyFill="1" applyBorder="1" applyAlignment="1">
      <alignment horizontal="center" vertical="center" wrapText="1"/>
    </xf>
    <xf numFmtId="184" fontId="12" fillId="10" borderId="12" xfId="4" applyNumberFormat="1" applyFill="1" applyBorder="1" applyAlignment="1">
      <alignment horizontal="center" vertical="center" wrapText="1"/>
    </xf>
    <xf numFmtId="184" fontId="12" fillId="13" borderId="22" xfId="4" applyNumberFormat="1" applyFill="1" applyBorder="1" applyAlignment="1">
      <alignment horizontal="center" vertical="center" wrapText="1"/>
    </xf>
    <xf numFmtId="184" fontId="12" fillId="13" borderId="24" xfId="4" applyNumberFormat="1" applyFill="1" applyBorder="1" applyAlignment="1">
      <alignment horizontal="center" vertical="center" wrapText="1"/>
    </xf>
    <xf numFmtId="184" fontId="12" fillId="10" borderId="49" xfId="4" applyNumberFormat="1" applyFill="1" applyBorder="1" applyAlignment="1">
      <alignment horizontal="center" vertical="center" wrapText="1"/>
    </xf>
    <xf numFmtId="0" fontId="0" fillId="10" borderId="51" xfId="0" applyFill="1" applyBorder="1" applyAlignment="1">
      <alignment horizontal="center" vertical="center" wrapText="1"/>
    </xf>
    <xf numFmtId="0" fontId="0" fillId="10" borderId="52" xfId="0" applyFill="1" applyBorder="1" applyAlignment="1">
      <alignment horizontal="center" vertical="center" wrapText="1"/>
    </xf>
    <xf numFmtId="0" fontId="21" fillId="0" borderId="51" xfId="0" applyFont="1" applyBorder="1" applyAlignment="1">
      <alignment horizontal="center" vertical="center"/>
    </xf>
    <xf numFmtId="0" fontId="0" fillId="10" borderId="101" xfId="0" applyFill="1" applyBorder="1" applyAlignment="1">
      <alignment horizontal="center" vertical="center"/>
    </xf>
    <xf numFmtId="184" fontId="43" fillId="10" borderId="51" xfId="4" applyNumberFormat="1" applyFont="1" applyFill="1" applyBorder="1" applyAlignment="1">
      <alignment horizontal="center" vertical="center" wrapText="1"/>
    </xf>
    <xf numFmtId="184" fontId="43" fillId="10" borderId="22" xfId="4" applyNumberFormat="1" applyFont="1" applyFill="1" applyBorder="1" applyAlignment="1">
      <alignment horizontal="center" vertical="center"/>
    </xf>
    <xf numFmtId="184" fontId="43" fillId="0" borderId="12" xfId="4" applyNumberFormat="1" applyFont="1" applyBorder="1" applyAlignment="1">
      <alignment horizontal="center" vertical="center"/>
    </xf>
    <xf numFmtId="184" fontId="43" fillId="0" borderId="52" xfId="4" applyNumberFormat="1" applyFont="1" applyBorder="1" applyAlignment="1">
      <alignment horizontal="center" vertical="center"/>
    </xf>
    <xf numFmtId="184" fontId="12" fillId="10" borderId="23" xfId="4" applyNumberFormat="1" applyFill="1" applyBorder="1" applyAlignment="1">
      <alignment horizontal="center" vertical="center" wrapText="1"/>
    </xf>
    <xf numFmtId="184" fontId="12" fillId="10" borderId="52" xfId="4" applyNumberFormat="1" applyFill="1" applyBorder="1" applyAlignment="1">
      <alignment horizontal="center" vertical="center" wrapText="1"/>
    </xf>
    <xf numFmtId="0" fontId="31" fillId="22" borderId="48" xfId="0" applyFont="1" applyFill="1" applyBorder="1" applyAlignment="1">
      <alignment horizontal="center" vertical="center"/>
    </xf>
    <xf numFmtId="0" fontId="31" fillId="0" borderId="46" xfId="0" applyFont="1" applyBorder="1" applyAlignment="1">
      <alignment horizontal="center" vertical="center" wrapText="1"/>
    </xf>
    <xf numFmtId="0" fontId="31" fillId="0" borderId="112" xfId="0" applyFont="1" applyBorder="1" applyAlignment="1">
      <alignment horizontal="center" vertical="center"/>
    </xf>
    <xf numFmtId="0" fontId="26" fillId="10" borderId="12" xfId="0" applyFont="1" applyFill="1" applyBorder="1" applyAlignment="1">
      <alignment horizontal="center" vertical="center"/>
    </xf>
    <xf numFmtId="0" fontId="39" fillId="10" borderId="12" xfId="0" applyFont="1" applyFill="1" applyBorder="1" applyAlignment="1">
      <alignment horizontal="center" vertical="center"/>
    </xf>
    <xf numFmtId="0" fontId="0" fillId="10" borderId="101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45" fillId="0" borderId="113" xfId="0" applyFont="1" applyBorder="1" applyAlignment="1">
      <alignment horizontal="center" vertical="center"/>
    </xf>
    <xf numFmtId="0" fontId="45" fillId="0" borderId="23" xfId="0" applyFont="1" applyBorder="1" applyAlignment="1">
      <alignment horizontal="center" vertical="center"/>
    </xf>
    <xf numFmtId="0" fontId="45" fillId="0" borderId="115" xfId="0" applyFont="1" applyBorder="1" applyAlignment="1">
      <alignment horizontal="center" vertical="center"/>
    </xf>
    <xf numFmtId="0" fontId="45" fillId="0" borderId="12" xfId="0" applyFont="1" applyBorder="1" applyAlignment="1">
      <alignment horizontal="center" vertical="center"/>
    </xf>
    <xf numFmtId="0" fontId="45" fillId="10" borderId="12" xfId="0" applyFont="1" applyFill="1" applyBorder="1" applyAlignment="1">
      <alignment horizontal="center" vertical="center"/>
    </xf>
    <xf numFmtId="0" fontId="45" fillId="0" borderId="24" xfId="0" applyFont="1" applyBorder="1" applyAlignment="1">
      <alignment horizontal="center" vertical="center"/>
    </xf>
    <xf numFmtId="0" fontId="45" fillId="0" borderId="116" xfId="0" applyFont="1" applyBorder="1" applyAlignment="1">
      <alignment horizontal="center" vertical="center"/>
    </xf>
    <xf numFmtId="0" fontId="45" fillId="7" borderId="116" xfId="0" applyFont="1" applyFill="1" applyBorder="1" applyAlignment="1">
      <alignment horizontal="center" vertical="center"/>
    </xf>
    <xf numFmtId="0" fontId="45" fillId="0" borderId="16" xfId="0" applyFont="1" applyBorder="1" applyAlignment="1">
      <alignment horizontal="center" vertical="center"/>
    </xf>
    <xf numFmtId="0" fontId="45" fillId="0" borderId="115" xfId="0" applyFont="1" applyBorder="1" applyAlignment="1">
      <alignment horizontal="center" vertical="center" wrapText="1"/>
    </xf>
    <xf numFmtId="0" fontId="45" fillId="0" borderId="117" xfId="0" applyFont="1" applyBorder="1" applyAlignment="1">
      <alignment horizontal="center" vertical="center"/>
    </xf>
    <xf numFmtId="0" fontId="46" fillId="0" borderId="16" xfId="0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7" fillId="10" borderId="12" xfId="0" applyFont="1" applyFill="1" applyBorder="1" applyAlignment="1">
      <alignment horizontal="center" vertical="center"/>
    </xf>
    <xf numFmtId="0" fontId="45" fillId="10" borderId="12" xfId="0" applyFont="1" applyFill="1" applyBorder="1" applyAlignment="1">
      <alignment horizontal="center" vertical="center" wrapText="1"/>
    </xf>
    <xf numFmtId="0" fontId="45" fillId="22" borderId="12" xfId="0" applyFont="1" applyFill="1" applyBorder="1" applyAlignment="1">
      <alignment horizontal="center" vertical="center"/>
    </xf>
    <xf numFmtId="0" fontId="45" fillId="23" borderId="12" xfId="0" applyFont="1" applyFill="1" applyBorder="1" applyAlignment="1">
      <alignment horizontal="center" vertical="center"/>
    </xf>
    <xf numFmtId="0" fontId="45" fillId="21" borderId="12" xfId="0" applyFont="1" applyFill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115" xfId="0" applyFont="1" applyBorder="1" applyAlignment="1">
      <alignment horizontal="center" vertical="center"/>
    </xf>
    <xf numFmtId="0" fontId="47" fillId="0" borderId="118" xfId="0" applyFont="1" applyBorder="1" applyAlignment="1">
      <alignment horizontal="center" vertical="center"/>
    </xf>
    <xf numFmtId="0" fontId="47" fillId="0" borderId="12" xfId="0" applyFont="1" applyBorder="1" applyAlignment="1">
      <alignment horizontal="center" vertical="center"/>
    </xf>
    <xf numFmtId="0" fontId="47" fillId="0" borderId="117" xfId="0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/>
    </xf>
    <xf numFmtId="0" fontId="47" fillId="22" borderId="12" xfId="0" applyFont="1" applyFill="1" applyBorder="1" applyAlignment="1">
      <alignment horizontal="center" vertical="center"/>
    </xf>
    <xf numFmtId="0" fontId="45" fillId="0" borderId="118" xfId="0" applyFont="1" applyBorder="1" applyAlignment="1">
      <alignment horizontal="center" vertical="center"/>
    </xf>
    <xf numFmtId="0" fontId="46" fillId="0" borderId="116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115" xfId="0" applyFont="1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2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97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120" xfId="0" applyBorder="1" applyAlignment="1">
      <alignment horizontal="center" vertical="center" wrapText="1"/>
    </xf>
    <xf numFmtId="0" fontId="0" fillId="0" borderId="102" xfId="0" applyBorder="1" applyAlignment="1">
      <alignment horizontal="center" vertical="center"/>
    </xf>
    <xf numFmtId="0" fontId="39" fillId="0" borderId="14" xfId="0" applyFont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 wrapText="1"/>
    </xf>
    <xf numFmtId="0" fontId="0" fillId="0" borderId="96" xfId="0" applyBorder="1" applyAlignment="1">
      <alignment horizontal="center" vertical="center" wrapText="1"/>
    </xf>
    <xf numFmtId="0" fontId="0" fillId="0" borderId="96" xfId="0" applyBorder="1" applyAlignment="1">
      <alignment horizontal="center" vertical="center"/>
    </xf>
    <xf numFmtId="0" fontId="0" fillId="0" borderId="105" xfId="0" applyBorder="1" applyAlignment="1">
      <alignment horizontal="center" vertical="center" wrapText="1"/>
    </xf>
    <xf numFmtId="0" fontId="46" fillId="0" borderId="12" xfId="0" applyFont="1" applyBorder="1" applyAlignment="1">
      <alignment horizontal="center" vertical="center"/>
    </xf>
    <xf numFmtId="0" fontId="45" fillId="12" borderId="115" xfId="0" applyFont="1" applyFill="1" applyBorder="1" applyAlignment="1">
      <alignment horizontal="center" vertical="center"/>
    </xf>
    <xf numFmtId="0" fontId="45" fillId="12" borderId="12" xfId="0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24" borderId="12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0" borderId="110" xfId="0" applyFont="1" applyBorder="1" applyAlignment="1">
      <alignment horizontal="center" vertical="center"/>
    </xf>
    <xf numFmtId="0" fontId="45" fillId="12" borderId="24" xfId="0" applyFont="1" applyFill="1" applyBorder="1" applyAlignment="1">
      <alignment horizontal="center" vertical="center"/>
    </xf>
    <xf numFmtId="0" fontId="45" fillId="12" borderId="116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5" fillId="24" borderId="22" xfId="0" applyFont="1" applyFill="1" applyBorder="1" applyAlignment="1">
      <alignment horizontal="center" vertical="center"/>
    </xf>
    <xf numFmtId="0" fontId="45" fillId="24" borderId="116" xfId="0" applyFont="1" applyFill="1" applyBorder="1" applyAlignment="1">
      <alignment horizontal="center" vertical="center"/>
    </xf>
    <xf numFmtId="0" fontId="45" fillId="10" borderId="116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47" fillId="24" borderId="12" xfId="0" applyFont="1" applyFill="1" applyBorder="1" applyAlignment="1">
      <alignment horizontal="center" vertical="center"/>
    </xf>
    <xf numFmtId="0" fontId="47" fillId="24" borderId="115" xfId="0" applyFont="1" applyFill="1" applyBorder="1" applyAlignment="1">
      <alignment horizontal="center" vertical="center"/>
    </xf>
    <xf numFmtId="182" fontId="21" fillId="25" borderId="66" xfId="2" applyNumberFormat="1" applyFont="1" applyFill="1" applyBorder="1" applyAlignment="1">
      <alignment horizontal="center" vertical="center" wrapText="1"/>
    </xf>
    <xf numFmtId="182" fontId="21" fillId="25" borderId="12" xfId="2" applyNumberFormat="1" applyFont="1" applyFill="1" applyBorder="1" applyAlignment="1">
      <alignment horizontal="center" vertical="center" wrapText="1"/>
    </xf>
    <xf numFmtId="182" fontId="23" fillId="25" borderId="32" xfId="2" applyNumberFormat="1" applyFont="1" applyFill="1" applyBorder="1" applyAlignment="1">
      <alignment horizontal="right" vertical="center"/>
    </xf>
    <xf numFmtId="182" fontId="23" fillId="8" borderId="32" xfId="2" applyNumberFormat="1" applyFont="1" applyFill="1" applyBorder="1" applyAlignment="1">
      <alignment horizontal="center" vertical="center"/>
    </xf>
    <xf numFmtId="182" fontId="23" fillId="8" borderId="33" xfId="2" applyNumberFormat="1" applyFont="1" applyFill="1" applyBorder="1" applyAlignment="1">
      <alignment horizontal="center" vertical="center"/>
    </xf>
    <xf numFmtId="182" fontId="23" fillId="8" borderId="34" xfId="2" applyNumberFormat="1" applyFont="1" applyFill="1" applyBorder="1" applyAlignment="1">
      <alignment horizontal="center" vertical="center"/>
    </xf>
    <xf numFmtId="182" fontId="23" fillId="8" borderId="35" xfId="2" applyNumberFormat="1" applyFont="1" applyFill="1" applyBorder="1" applyAlignment="1">
      <alignment vertical="center"/>
    </xf>
    <xf numFmtId="182" fontId="23" fillId="8" borderId="36" xfId="2" applyNumberFormat="1" applyFont="1" applyFill="1" applyBorder="1" applyAlignment="1">
      <alignment vertical="center"/>
    </xf>
    <xf numFmtId="182" fontId="23" fillId="8" borderId="35" xfId="2" applyNumberFormat="1" applyFont="1" applyFill="1" applyBorder="1" applyAlignment="1">
      <alignment horizontal="center" vertical="center"/>
    </xf>
    <xf numFmtId="182" fontId="23" fillId="8" borderId="36" xfId="2" applyNumberFormat="1" applyFont="1" applyFill="1" applyBorder="1" applyAlignment="1">
      <alignment horizontal="center" vertical="center"/>
    </xf>
    <xf numFmtId="182" fontId="24" fillId="8" borderId="35" xfId="2" applyNumberFormat="1" applyFont="1" applyFill="1" applyBorder="1" applyAlignment="1">
      <alignment horizontal="center" vertical="center"/>
    </xf>
    <xf numFmtId="182" fontId="24" fillId="8" borderId="36" xfId="2" applyNumberFormat="1" applyFont="1" applyFill="1" applyBorder="1" applyAlignment="1">
      <alignment horizontal="center" vertical="center"/>
    </xf>
    <xf numFmtId="182" fontId="23" fillId="8" borderId="38" xfId="2" applyNumberFormat="1" applyFont="1" applyFill="1" applyBorder="1" applyAlignment="1">
      <alignment horizontal="center" vertical="center"/>
    </xf>
    <xf numFmtId="182" fontId="23" fillId="8" borderId="39" xfId="2" applyNumberFormat="1" applyFont="1" applyFill="1" applyBorder="1" applyAlignment="1">
      <alignment horizontal="center" vertical="center"/>
    </xf>
    <xf numFmtId="182" fontId="23" fillId="8" borderId="40" xfId="2" applyNumberFormat="1" applyFont="1" applyFill="1" applyBorder="1" applyAlignment="1">
      <alignment horizontal="center" vertical="center"/>
    </xf>
    <xf numFmtId="182" fontId="23" fillId="8" borderId="41" xfId="2" applyNumberFormat="1" applyFont="1" applyFill="1" applyBorder="1" applyAlignment="1">
      <alignment horizontal="center" vertical="center"/>
    </xf>
    <xf numFmtId="182" fontId="23" fillId="8" borderId="37" xfId="2" applyNumberFormat="1" applyFont="1" applyFill="1" applyBorder="1" applyAlignment="1">
      <alignment horizontal="center" vertical="center"/>
    </xf>
    <xf numFmtId="182" fontId="23" fillId="8" borderId="79" xfId="2" applyNumberFormat="1" applyFont="1" applyFill="1" applyBorder="1">
      <alignment vertical="center"/>
    </xf>
    <xf numFmtId="182" fontId="23" fillId="8" borderId="33" xfId="2" applyNumberFormat="1" applyFont="1" applyFill="1" applyBorder="1">
      <alignment vertical="center"/>
    </xf>
    <xf numFmtId="182" fontId="38" fillId="8" borderId="80" xfId="2" applyNumberFormat="1" applyFont="1" applyFill="1" applyBorder="1" applyAlignment="1">
      <alignment horizontal="center" vertical="center"/>
    </xf>
    <xf numFmtId="182" fontId="38" fillId="8" borderId="38" xfId="2" applyNumberFormat="1" applyFont="1" applyFill="1" applyBorder="1" applyAlignment="1">
      <alignment horizontal="center" vertical="center"/>
    </xf>
    <xf numFmtId="182" fontId="23" fillId="8" borderId="80" xfId="2" applyNumberFormat="1" applyFont="1" applyFill="1" applyBorder="1" applyAlignment="1">
      <alignment horizontal="center" vertical="center"/>
    </xf>
    <xf numFmtId="182" fontId="23" fillId="8" borderId="34" xfId="2" applyNumberFormat="1" applyFont="1" applyFill="1" applyBorder="1">
      <alignment vertical="center"/>
    </xf>
    <xf numFmtId="182" fontId="23" fillId="8" borderId="81" xfId="2" applyNumberFormat="1" applyFont="1" applyFill="1" applyBorder="1">
      <alignment vertical="center"/>
    </xf>
    <xf numFmtId="182" fontId="23" fillId="8" borderId="82" xfId="2" applyNumberFormat="1" applyFont="1" applyFill="1" applyBorder="1">
      <alignment vertical="center"/>
    </xf>
    <xf numFmtId="182" fontId="23" fillId="8" borderId="38" xfId="2" applyNumberFormat="1" applyFont="1" applyFill="1" applyBorder="1">
      <alignment vertical="center"/>
    </xf>
    <xf numFmtId="182" fontId="23" fillId="8" borderId="37" xfId="2" applyNumberFormat="1" applyFont="1" applyFill="1" applyBorder="1">
      <alignment vertical="center"/>
    </xf>
    <xf numFmtId="182" fontId="23" fillId="8" borderId="83" xfId="2" applyNumberFormat="1" applyFont="1" applyFill="1" applyBorder="1">
      <alignment vertical="center"/>
    </xf>
    <xf numFmtId="0" fontId="0" fillId="8" borderId="0" xfId="0" applyFill="1" applyAlignment="1">
      <alignment horizontal="center" vertical="center"/>
    </xf>
    <xf numFmtId="182" fontId="23" fillId="8" borderId="12" xfId="2" applyNumberFormat="1" applyFont="1" applyFill="1" applyBorder="1">
      <alignment vertical="center"/>
    </xf>
    <xf numFmtId="182" fontId="23" fillId="8" borderId="84" xfId="2" applyNumberFormat="1" applyFont="1" applyFill="1" applyBorder="1">
      <alignment vertical="center"/>
    </xf>
    <xf numFmtId="182" fontId="23" fillId="8" borderId="80" xfId="2" applyNumberFormat="1" applyFont="1" applyFill="1" applyBorder="1">
      <alignment vertical="center"/>
    </xf>
    <xf numFmtId="182" fontId="23" fillId="8" borderId="36" xfId="2" applyNumberFormat="1" applyFont="1" applyFill="1" applyBorder="1">
      <alignment vertical="center"/>
    </xf>
    <xf numFmtId="182" fontId="0" fillId="0" borderId="0" xfId="0" applyNumberFormat="1">
      <alignment vertical="center"/>
    </xf>
    <xf numFmtId="185" fontId="5" fillId="0" borderId="3" xfId="0" applyNumberFormat="1" applyFont="1" applyBorder="1" applyAlignment="1">
      <alignment horizontal="left" vertical="center" wrapText="1"/>
    </xf>
    <xf numFmtId="186" fontId="5" fillId="0" borderId="3" xfId="0" applyNumberFormat="1" applyFont="1" applyBorder="1" applyAlignment="1">
      <alignment horizontal="left" vertical="center" wrapText="1"/>
    </xf>
    <xf numFmtId="182" fontId="21" fillId="26" borderId="67" xfId="2" applyNumberFormat="1" applyFont="1" applyFill="1" applyBorder="1" applyAlignment="1">
      <alignment horizontal="center" vertical="center" wrapText="1"/>
    </xf>
    <xf numFmtId="182" fontId="21" fillId="26" borderId="12" xfId="2" applyNumberFormat="1" applyFont="1" applyFill="1" applyBorder="1" applyAlignment="1">
      <alignment horizontal="center" vertical="center" wrapText="1"/>
    </xf>
    <xf numFmtId="182" fontId="21" fillId="16" borderId="36" xfId="2" applyNumberFormat="1" applyFont="1" applyFill="1" applyBorder="1" applyAlignment="1">
      <alignment horizontal="center" vertical="center" wrapText="1"/>
    </xf>
    <xf numFmtId="182" fontId="21" fillId="26" borderId="122" xfId="2" applyNumberFormat="1" applyFont="1" applyFill="1" applyBorder="1" applyAlignment="1">
      <alignment horizontal="center" vertical="center" wrapText="1"/>
    </xf>
    <xf numFmtId="0" fontId="8" fillId="10" borderId="12" xfId="0" applyFont="1" applyFill="1" applyBorder="1" applyAlignment="1">
      <alignment horizontal="center" vertical="center"/>
    </xf>
    <xf numFmtId="0" fontId="8" fillId="10" borderId="12" xfId="0" applyFont="1" applyFill="1" applyBorder="1">
      <alignment vertical="center"/>
    </xf>
    <xf numFmtId="0" fontId="8" fillId="25" borderId="0" xfId="0" applyNumberFormat="1" applyFont="1" applyFill="1" applyAlignment="1">
      <alignment horizontal="center" vertical="center"/>
    </xf>
    <xf numFmtId="0" fontId="0" fillId="8" borderId="123" xfId="0" applyFill="1" applyBorder="1" applyAlignment="1">
      <alignment horizontal="center" vertical="center"/>
    </xf>
    <xf numFmtId="0" fontId="8" fillId="0" borderId="110" xfId="0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 wrapText="1"/>
    </xf>
    <xf numFmtId="0" fontId="0" fillId="0" borderId="123" xfId="0" applyFill="1" applyBorder="1" applyAlignment="1">
      <alignment horizontal="center" vertical="center"/>
    </xf>
    <xf numFmtId="0" fontId="45" fillId="6" borderId="116" xfId="0" applyFont="1" applyFill="1" applyBorder="1" applyAlignment="1">
      <alignment horizontal="center" vertical="center" wrapText="1"/>
    </xf>
    <xf numFmtId="182" fontId="23" fillId="6" borderId="12" xfId="2" applyNumberFormat="1" applyFont="1" applyFill="1" applyBorder="1">
      <alignment vertical="center"/>
    </xf>
    <xf numFmtId="0" fontId="0" fillId="6" borderId="0" xfId="0" applyFill="1">
      <alignment vertical="center"/>
    </xf>
    <xf numFmtId="182" fontId="23" fillId="6" borderId="32" xfId="2" applyNumberFormat="1" applyFont="1" applyFill="1" applyBorder="1" applyAlignment="1">
      <alignment horizontal="right" vertical="center"/>
    </xf>
    <xf numFmtId="182" fontId="23" fillId="6" borderId="32" xfId="2" applyNumberFormat="1" applyFont="1" applyFill="1" applyBorder="1" applyAlignment="1">
      <alignment horizontal="center" vertical="center"/>
    </xf>
    <xf numFmtId="0" fontId="31" fillId="6" borderId="74" xfId="0" applyFont="1" applyFill="1" applyBorder="1" applyAlignment="1">
      <alignment horizontal="center" vertical="center"/>
    </xf>
    <xf numFmtId="0" fontId="0" fillId="6" borderId="98" xfId="0" applyFill="1" applyBorder="1" applyAlignment="1">
      <alignment horizontal="center" vertical="center"/>
    </xf>
    <xf numFmtId="0" fontId="0" fillId="6" borderId="119" xfId="0" applyFill="1" applyBorder="1" applyAlignment="1">
      <alignment horizontal="center" vertical="center"/>
    </xf>
    <xf numFmtId="0" fontId="0" fillId="6" borderId="51" xfId="0" applyFill="1" applyBorder="1" applyAlignment="1">
      <alignment horizontal="center" vertical="center"/>
    </xf>
    <xf numFmtId="0" fontId="41" fillId="6" borderId="51" xfId="0" applyFont="1" applyFill="1" applyBorder="1" applyAlignment="1">
      <alignment horizontal="center" vertical="center" wrapText="1"/>
    </xf>
    <xf numFmtId="182" fontId="23" fillId="6" borderId="79" xfId="2" applyNumberFormat="1" applyFont="1" applyFill="1" applyBorder="1">
      <alignment vertical="center"/>
    </xf>
    <xf numFmtId="0" fontId="0" fillId="6" borderId="53" xfId="0" applyFill="1" applyBorder="1">
      <alignment vertical="center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4" fillId="8" borderId="20" xfId="0" applyFont="1" applyFill="1" applyBorder="1" applyAlignment="1">
      <alignment horizontal="center" vertical="center" wrapText="1"/>
    </xf>
    <xf numFmtId="0" fontId="14" fillId="8" borderId="21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0" fillId="10" borderId="24" xfId="0" applyFill="1" applyBorder="1" applyAlignment="1">
      <alignment horizontal="center" vertical="center"/>
    </xf>
    <xf numFmtId="0" fontId="16" fillId="8" borderId="12" xfId="0" applyFont="1" applyFill="1" applyBorder="1" applyAlignment="1">
      <alignment horizontal="center" vertical="center"/>
    </xf>
    <xf numFmtId="0" fontId="14" fillId="8" borderId="26" xfId="0" applyFont="1" applyFill="1" applyBorder="1" applyAlignment="1">
      <alignment horizontal="center" vertical="center" wrapText="1"/>
    </xf>
    <xf numFmtId="0" fontId="14" fillId="8" borderId="13" xfId="0" applyFont="1" applyFill="1" applyBorder="1" applyAlignment="1">
      <alignment horizontal="center" vertical="center" wrapText="1"/>
    </xf>
    <xf numFmtId="0" fontId="13" fillId="2" borderId="30" xfId="0" applyFont="1" applyFill="1" applyBorder="1" applyAlignment="1">
      <alignment horizontal="center" vertical="center" wrapText="1"/>
    </xf>
    <xf numFmtId="0" fontId="47" fillId="0" borderId="12" xfId="0" applyFont="1" applyBorder="1" applyAlignment="1">
      <alignment horizontal="center" vertical="center"/>
    </xf>
    <xf numFmtId="0" fontId="45" fillId="0" borderId="12" xfId="0" applyFont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24" xfId="0" applyFont="1" applyFill="1" applyBorder="1" applyAlignment="1">
      <alignment horizontal="center" vertical="center"/>
    </xf>
    <xf numFmtId="0" fontId="46" fillId="0" borderId="12" xfId="0" applyFont="1" applyBorder="1" applyAlignment="1">
      <alignment horizontal="center" vertical="center"/>
    </xf>
    <xf numFmtId="0" fontId="47" fillId="24" borderId="12" xfId="0" applyFont="1" applyFill="1" applyBorder="1" applyAlignment="1">
      <alignment horizontal="center" vertical="center"/>
    </xf>
    <xf numFmtId="0" fontId="47" fillId="24" borderId="115" xfId="0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24" xfId="0" applyFont="1" applyBorder="1" applyAlignment="1">
      <alignment horizontal="center" vertical="center"/>
    </xf>
    <xf numFmtId="0" fontId="45" fillId="0" borderId="23" xfId="0" applyFont="1" applyBorder="1" applyAlignment="1">
      <alignment horizontal="center" vertical="center"/>
    </xf>
    <xf numFmtId="0" fontId="46" fillId="22" borderId="22" xfId="0" applyFont="1" applyFill="1" applyBorder="1" applyAlignment="1">
      <alignment horizontal="center" vertical="center"/>
    </xf>
    <xf numFmtId="0" fontId="46" fillId="22" borderId="24" xfId="0" applyFont="1" applyFill="1" applyBorder="1" applyAlignment="1">
      <alignment horizontal="center" vertical="center"/>
    </xf>
    <xf numFmtId="0" fontId="45" fillId="22" borderId="22" xfId="0" applyFont="1" applyFill="1" applyBorder="1" applyAlignment="1">
      <alignment horizontal="center" vertical="center"/>
    </xf>
    <xf numFmtId="0" fontId="45" fillId="22" borderId="24" xfId="0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 wrapText="1"/>
    </xf>
    <xf numFmtId="0" fontId="47" fillId="0" borderId="16" xfId="0" applyFont="1" applyBorder="1" applyAlignment="1">
      <alignment horizontal="center" vertical="center"/>
    </xf>
    <xf numFmtId="0" fontId="45" fillId="0" borderId="115" xfId="0" applyFont="1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6" fillId="24" borderId="22" xfId="0" applyFont="1" applyFill="1" applyBorder="1" applyAlignment="1">
      <alignment horizontal="center" vertical="center"/>
    </xf>
    <xf numFmtId="0" fontId="46" fillId="24" borderId="114" xfId="0" applyFont="1" applyFill="1" applyBorder="1" applyAlignment="1">
      <alignment horizontal="center" vertical="center"/>
    </xf>
    <xf numFmtId="0" fontId="45" fillId="24" borderId="22" xfId="0" applyFont="1" applyFill="1" applyBorder="1" applyAlignment="1">
      <alignment horizontal="center" vertical="center"/>
    </xf>
    <xf numFmtId="0" fontId="45" fillId="24" borderId="24" xfId="0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4" xfId="0" applyFont="1" applyFill="1" applyBorder="1" applyAlignment="1">
      <alignment horizontal="center" vertical="center"/>
    </xf>
    <xf numFmtId="0" fontId="46" fillId="24" borderId="24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45" fillId="10" borderId="24" xfId="0" applyFont="1" applyFill="1" applyBorder="1" applyAlignment="1">
      <alignment horizontal="center" vertical="center"/>
    </xf>
    <xf numFmtId="0" fontId="0" fillId="22" borderId="96" xfId="0" applyFill="1" applyBorder="1" applyAlignment="1">
      <alignment horizontal="center" vertical="center"/>
    </xf>
    <xf numFmtId="0" fontId="0" fillId="22" borderId="14" xfId="0" applyFill="1" applyBorder="1" applyAlignment="1">
      <alignment horizontal="center" vertical="center"/>
    </xf>
    <xf numFmtId="0" fontId="0" fillId="22" borderId="97" xfId="0" applyFill="1" applyBorder="1" applyAlignment="1">
      <alignment horizontal="center" vertical="center"/>
    </xf>
    <xf numFmtId="0" fontId="45" fillId="0" borderId="113" xfId="0" applyFont="1" applyBorder="1" applyAlignment="1">
      <alignment horizontal="center" vertical="center" wrapText="1"/>
    </xf>
    <xf numFmtId="0" fontId="45" fillId="0" borderId="114" xfId="0" applyFont="1" applyBorder="1" applyAlignment="1">
      <alignment horizontal="center" vertical="center" wrapText="1"/>
    </xf>
    <xf numFmtId="0" fontId="45" fillId="0" borderId="114" xfId="0" applyFont="1" applyBorder="1" applyAlignment="1">
      <alignment horizontal="center" vertical="center"/>
    </xf>
    <xf numFmtId="0" fontId="46" fillId="0" borderId="113" xfId="0" applyFont="1" applyBorder="1" applyAlignment="1">
      <alignment horizontal="center" vertical="center"/>
    </xf>
    <xf numFmtId="0" fontId="46" fillId="0" borderId="114" xfId="0" applyFont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31" fillId="0" borderId="45" xfId="0" applyFont="1" applyBorder="1" applyAlignment="1">
      <alignment horizontal="center" vertical="center"/>
    </xf>
    <xf numFmtId="0" fontId="31" fillId="0" borderId="4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39" fillId="0" borderId="14" xfId="0" applyFont="1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05" xfId="0" applyBorder="1" applyAlignment="1">
      <alignment horizontal="center" vertical="center" wrapText="1"/>
    </xf>
    <xf numFmtId="0" fontId="0" fillId="0" borderId="52" xfId="0" applyBorder="1" applyAlignment="1">
      <alignment horizontal="center" vertical="center"/>
    </xf>
    <xf numFmtId="0" fontId="39" fillId="10" borderId="22" xfId="0" applyFont="1" applyFill="1" applyBorder="1" applyAlignment="1">
      <alignment horizontal="center" vertical="center"/>
    </xf>
    <xf numFmtId="0" fontId="39" fillId="10" borderId="23" xfId="0" applyFont="1" applyFill="1" applyBorder="1" applyAlignment="1">
      <alignment horizontal="center" vertical="center"/>
    </xf>
    <xf numFmtId="0" fontId="39" fillId="10" borderId="24" xfId="0" applyFont="1" applyFill="1" applyBorder="1" applyAlignment="1">
      <alignment horizontal="center" vertical="center"/>
    </xf>
    <xf numFmtId="0" fontId="39" fillId="10" borderId="50" xfId="0" applyFont="1" applyFill="1" applyBorder="1" applyAlignment="1">
      <alignment horizontal="center" vertical="center"/>
    </xf>
    <xf numFmtId="0" fontId="31" fillId="0" borderId="43" xfId="0" applyFont="1" applyBorder="1" applyAlignment="1">
      <alignment horizontal="center" vertical="center"/>
    </xf>
    <xf numFmtId="0" fontId="31" fillId="0" borderId="48" xfId="0" applyFont="1" applyBorder="1" applyAlignment="1">
      <alignment horizontal="center" vertical="center"/>
    </xf>
    <xf numFmtId="0" fontId="31" fillId="0" borderId="46" xfId="0" applyFont="1" applyBorder="1" applyAlignment="1">
      <alignment horizontal="center" vertical="center"/>
    </xf>
    <xf numFmtId="0" fontId="31" fillId="0" borderId="75" xfId="0" applyFont="1" applyBorder="1" applyAlignment="1">
      <alignment horizontal="center" vertical="center"/>
    </xf>
    <xf numFmtId="0" fontId="37" fillId="0" borderId="46" xfId="4" applyFont="1" applyBorder="1" applyAlignment="1">
      <alignment horizontal="center" vertical="center"/>
    </xf>
    <xf numFmtId="0" fontId="37" fillId="0" borderId="74" xfId="4" applyFont="1" applyBorder="1" applyAlignment="1">
      <alignment horizontal="center" vertical="center"/>
    </xf>
    <xf numFmtId="0" fontId="21" fillId="17" borderId="48" xfId="0" applyFont="1" applyFill="1" applyBorder="1" applyAlignment="1">
      <alignment horizontal="center" vertical="center" wrapText="1"/>
    </xf>
    <xf numFmtId="0" fontId="21" fillId="17" borderId="43" xfId="0" applyFont="1" applyFill="1" applyBorder="1" applyAlignment="1">
      <alignment horizontal="center" vertical="center" wrapText="1"/>
    </xf>
    <xf numFmtId="0" fontId="37" fillId="0" borderId="44" xfId="4" applyFont="1" applyBorder="1" applyAlignment="1">
      <alignment horizontal="center" vertical="center"/>
    </xf>
    <xf numFmtId="0" fontId="37" fillId="0" borderId="45" xfId="4" applyFont="1" applyBorder="1" applyAlignment="1">
      <alignment horizontal="center" vertical="center"/>
    </xf>
    <xf numFmtId="0" fontId="31" fillId="12" borderId="45" xfId="0" applyFont="1" applyFill="1" applyBorder="1" applyAlignment="1">
      <alignment horizontal="center" vertical="center" wrapText="1"/>
    </xf>
    <xf numFmtId="0" fontId="31" fillId="12" borderId="48" xfId="0" applyFont="1" applyFill="1" applyBorder="1" applyAlignment="1">
      <alignment horizontal="center" vertical="center" wrapText="1"/>
    </xf>
    <xf numFmtId="0" fontId="31" fillId="12" borderId="43" xfId="0" applyFont="1" applyFill="1" applyBorder="1" applyAlignment="1">
      <alignment horizontal="center" vertical="center" wrapText="1"/>
    </xf>
    <xf numFmtId="0" fontId="31" fillId="12" borderId="42" xfId="0" applyFont="1" applyFill="1" applyBorder="1" applyAlignment="1">
      <alignment horizontal="center" vertical="center" wrapText="1"/>
    </xf>
    <xf numFmtId="0" fontId="31" fillId="12" borderId="44" xfId="0" applyFont="1" applyFill="1" applyBorder="1" applyAlignment="1">
      <alignment horizontal="center" vertical="center" wrapText="1"/>
    </xf>
    <xf numFmtId="0" fontId="26" fillId="0" borderId="42" xfId="0" applyFont="1" applyBorder="1" applyAlignment="1">
      <alignment horizontal="center" vertical="center"/>
    </xf>
    <xf numFmtId="0" fontId="26" fillId="0" borderId="48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37" fillId="0" borderId="75" xfId="4" applyFont="1" applyBorder="1" applyAlignment="1">
      <alignment horizontal="center" vertical="center"/>
    </xf>
    <xf numFmtId="0" fontId="21" fillId="13" borderId="64" xfId="0" applyFont="1" applyFill="1" applyBorder="1" applyAlignment="1">
      <alignment horizontal="center" vertical="center" wrapText="1"/>
    </xf>
    <xf numFmtId="0" fontId="21" fillId="13" borderId="65" xfId="0" applyFont="1" applyFill="1" applyBorder="1" applyAlignment="1">
      <alignment horizontal="center" vertical="center" wrapText="1"/>
    </xf>
    <xf numFmtId="0" fontId="0" fillId="10" borderId="42" xfId="0" applyFill="1" applyBorder="1" applyAlignment="1">
      <alignment horizontal="center" vertical="center"/>
    </xf>
    <xf numFmtId="0" fontId="0" fillId="10" borderId="44" xfId="0" applyFill="1" applyBorder="1" applyAlignment="1">
      <alignment horizontal="center" vertical="center"/>
    </xf>
    <xf numFmtId="0" fontId="0" fillId="10" borderId="45" xfId="0" applyFill="1" applyBorder="1" applyAlignment="1">
      <alignment horizontal="center" vertical="center"/>
    </xf>
    <xf numFmtId="182" fontId="21" fillId="16" borderId="63" xfId="2" applyNumberFormat="1" applyFont="1" applyFill="1" applyBorder="1" applyAlignment="1">
      <alignment horizontal="center" vertical="center" wrapText="1"/>
    </xf>
    <xf numFmtId="182" fontId="21" fillId="16" borderId="31" xfId="2" applyNumberFormat="1" applyFont="1" applyFill="1" applyBorder="1" applyAlignment="1">
      <alignment horizontal="center" vertical="center" wrapText="1"/>
    </xf>
    <xf numFmtId="22" fontId="5" fillId="0" borderId="10" xfId="0" applyNumberFormat="1" applyFont="1" applyBorder="1" applyAlignment="1">
      <alignment horizontal="center" vertical="center" wrapText="1"/>
    </xf>
    <xf numFmtId="22" fontId="5" fillId="0" borderId="19" xfId="0" applyNumberFormat="1" applyFont="1" applyBorder="1" applyAlignment="1">
      <alignment horizontal="center" vertical="center" wrapText="1"/>
    </xf>
    <xf numFmtId="22" fontId="5" fillId="0" borderId="3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6">
    <cellStyle name="쉼표 [0]" xfId="2" builtinId="6"/>
    <cellStyle name="쉼표 [0] 2" xfId="3" xr:uid="{AB8328A8-8369-40C7-B151-BF0E06103612}"/>
    <cellStyle name="쉼표 [0] 3" xfId="5" xr:uid="{B94B028B-E4B0-4FF3-961A-B3FF10918608}"/>
    <cellStyle name="표준" xfId="0" builtinId="0"/>
    <cellStyle name="표준 2" xfId="1" xr:uid="{A8C323DC-9615-4B2F-A148-ED59CF98E267}"/>
    <cellStyle name="표준 3" xfId="4" xr:uid="{FFD30C6F-E7ED-4A8B-9FDD-C787323C05FB}"/>
  </cellStyles>
  <dxfs count="0"/>
  <tableStyles count="0" defaultTableStyle="TableStyleMedium2" defaultPivotStyle="PivotStyleLight16"/>
  <colors>
    <mruColors>
      <color rgb="FFFFFF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D200"/>
  <sheetViews>
    <sheetView workbookViewId="0">
      <selection activeCell="N2" sqref="N2"/>
    </sheetView>
  </sheetViews>
  <sheetFormatPr defaultRowHeight="17.399999999999999"/>
  <cols>
    <col min="2" max="2" width="9.6992187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bestFit="1" customWidth="1"/>
    <col min="18" max="18" width="36.8984375" customWidth="1"/>
    <col min="19" max="19" width="40" customWidth="1"/>
    <col min="20" max="21" width="19" bestFit="1" customWidth="1"/>
    <col min="22" max="22" width="16.5" bestFit="1" customWidth="1"/>
    <col min="23" max="23" width="15.5" bestFit="1" customWidth="1"/>
    <col min="24" max="24" width="64.19921875" bestFit="1" customWidth="1"/>
    <col min="25" max="25" width="21" bestFit="1" customWidth="1"/>
    <col min="26" max="27" width="13.19921875" bestFit="1" customWidth="1"/>
    <col min="28" max="28" width="22.69921875" bestFit="1" customWidth="1"/>
    <col min="29" max="29" width="11.59765625" bestFit="1" customWidth="1"/>
  </cols>
  <sheetData>
    <row r="1" spans="1:30">
      <c r="A1" s="11" t="s">
        <v>34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9</v>
      </c>
      <c r="I1" s="10" t="s">
        <v>10</v>
      </c>
      <c r="J1" s="10" t="s">
        <v>11</v>
      </c>
      <c r="K1" s="10" t="s">
        <v>14</v>
      </c>
      <c r="L1" s="10" t="s">
        <v>12</v>
      </c>
      <c r="M1" s="10" t="s">
        <v>7</v>
      </c>
      <c r="N1" s="10" t="s">
        <v>5</v>
      </c>
      <c r="P1" s="28" t="s">
        <v>38</v>
      </c>
      <c r="Q1" s="9" t="s">
        <v>33</v>
      </c>
      <c r="R1" s="9" t="s">
        <v>37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8</v>
      </c>
      <c r="X1" s="9" t="s">
        <v>9</v>
      </c>
      <c r="Y1" s="9" t="s">
        <v>10</v>
      </c>
      <c r="Z1" s="9" t="s">
        <v>11</v>
      </c>
      <c r="AA1" s="9" t="s">
        <v>14</v>
      </c>
      <c r="AB1" s="9" t="s">
        <v>12</v>
      </c>
      <c r="AC1" s="9" t="s">
        <v>7</v>
      </c>
      <c r="AD1" s="9" t="s">
        <v>5</v>
      </c>
    </row>
    <row r="2" spans="1:30" ht="34.799999999999997">
      <c r="A2" s="12" t="str">
        <f>TEXT(N2,"MM")</f>
        <v>06</v>
      </c>
      <c r="B2" s="46" t="s">
        <v>39</v>
      </c>
      <c r="C2">
        <v>5730</v>
      </c>
      <c r="D2" t="s">
        <v>88</v>
      </c>
      <c r="G2" t="s">
        <v>89</v>
      </c>
      <c r="J2" t="s">
        <v>90</v>
      </c>
      <c r="L2" t="s">
        <v>80</v>
      </c>
      <c r="N2" s="1">
        <v>45078.478032407409</v>
      </c>
      <c r="P2" s="4"/>
      <c r="Q2" s="4" t="str" cm="1">
        <f t="array" ref="Q2:AD2">IF(_xlfn._xlws.FILTER($A$2:$N$200,($A$2:$A$200=P1),"결과값 없음")=0,"",_xlfn._xlws.FILTER($A$2:$N$200,($A$2:$A$200=P1),"결과값 없음"))</f>
        <v>06</v>
      </c>
      <c r="R2" s="4" t="str">
        <v>unchecked
​</v>
      </c>
      <c r="S2" s="4">
        <v>5730</v>
      </c>
      <c r="T2" s="4" t="str">
        <v>Replacement of aging network equipment (ANEXIA)</v>
      </c>
      <c r="U2" s="4" t="str">
        <v/>
      </c>
      <c r="V2" s="4" t="str">
        <v/>
      </c>
      <c r="W2" s="4" t="str">
        <v>P3</v>
      </c>
      <c r="X2" s="4" t="str">
        <v/>
      </c>
      <c r="Y2" s="4" t="str">
        <v/>
      </c>
      <c r="Z2" s="4" t="str">
        <v>Incident Management</v>
      </c>
      <c r="AA2" s="4" t="str">
        <v/>
      </c>
      <c r="AB2" s="27" t="str">
        <v>Closed</v>
      </c>
      <c r="AC2" t="str">
        <v/>
      </c>
      <c r="AD2">
        <v>45078.478032407409</v>
      </c>
    </row>
    <row r="3" spans="1:30">
      <c r="A3" s="12" t="str">
        <f t="shared" ref="A3:A66" si="0">TEXT(N3,"MM")</f>
        <v>01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30">
      <c r="A4" s="12" t="str">
        <f t="shared" si="0"/>
        <v>01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30">
      <c r="A5" s="12" t="str">
        <f t="shared" si="0"/>
        <v>01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30">
      <c r="A6" s="12" t="str">
        <f t="shared" si="0"/>
        <v>01</v>
      </c>
    </row>
    <row r="7" spans="1:30">
      <c r="A7" s="12" t="str">
        <f t="shared" si="0"/>
        <v>01</v>
      </c>
    </row>
    <row r="8" spans="1:30">
      <c r="A8" s="12" t="str">
        <f t="shared" si="0"/>
        <v>01</v>
      </c>
    </row>
    <row r="9" spans="1:30">
      <c r="A9" s="12" t="str">
        <f t="shared" si="0"/>
        <v>01</v>
      </c>
    </row>
    <row r="10" spans="1:30">
      <c r="A10" s="12" t="str">
        <f t="shared" si="0"/>
        <v>01</v>
      </c>
    </row>
    <row r="11" spans="1:30">
      <c r="A11" s="12" t="str">
        <f t="shared" si="0"/>
        <v>01</v>
      </c>
    </row>
    <row r="12" spans="1:30">
      <c r="A12" s="12" t="str">
        <f t="shared" si="0"/>
        <v>01</v>
      </c>
    </row>
    <row r="13" spans="1:30">
      <c r="A13" s="12" t="str">
        <f t="shared" si="0"/>
        <v>01</v>
      </c>
    </row>
    <row r="14" spans="1:30">
      <c r="A14" s="12" t="str">
        <f t="shared" si="0"/>
        <v>01</v>
      </c>
    </row>
    <row r="15" spans="1:30">
      <c r="A15" s="12" t="str">
        <f t="shared" si="0"/>
        <v>01</v>
      </c>
    </row>
    <row r="16" spans="1:30">
      <c r="A16" s="12" t="str">
        <f t="shared" si="0"/>
        <v>01</v>
      </c>
    </row>
    <row r="17" spans="1:1">
      <c r="A17" s="12" t="str">
        <f t="shared" si="0"/>
        <v>01</v>
      </c>
    </row>
    <row r="18" spans="1:1">
      <c r="A18" s="12" t="str">
        <f t="shared" si="0"/>
        <v>01</v>
      </c>
    </row>
    <row r="19" spans="1:1">
      <c r="A19" s="12" t="str">
        <f t="shared" si="0"/>
        <v>01</v>
      </c>
    </row>
    <row r="20" spans="1:1">
      <c r="A20" s="12" t="str">
        <f t="shared" si="0"/>
        <v>01</v>
      </c>
    </row>
    <row r="21" spans="1:1">
      <c r="A21" s="12" t="str">
        <f t="shared" si="0"/>
        <v>01</v>
      </c>
    </row>
    <row r="22" spans="1:1">
      <c r="A22" s="12" t="str">
        <f t="shared" si="0"/>
        <v>01</v>
      </c>
    </row>
    <row r="23" spans="1:1">
      <c r="A23" s="12" t="str">
        <f t="shared" si="0"/>
        <v>01</v>
      </c>
    </row>
    <row r="24" spans="1:1">
      <c r="A24" s="12" t="str">
        <f t="shared" si="0"/>
        <v>01</v>
      </c>
    </row>
    <row r="25" spans="1:1">
      <c r="A25" s="12" t="str">
        <f t="shared" si="0"/>
        <v>01</v>
      </c>
    </row>
    <row r="26" spans="1:1">
      <c r="A26" s="12" t="str">
        <f t="shared" si="0"/>
        <v>01</v>
      </c>
    </row>
    <row r="27" spans="1:1">
      <c r="A27" s="12" t="str">
        <f t="shared" si="0"/>
        <v>01</v>
      </c>
    </row>
    <row r="28" spans="1:1">
      <c r="A28" s="12" t="str">
        <f t="shared" si="0"/>
        <v>01</v>
      </c>
    </row>
    <row r="29" spans="1:1">
      <c r="A29" s="12" t="str">
        <f t="shared" si="0"/>
        <v>01</v>
      </c>
    </row>
    <row r="30" spans="1:1">
      <c r="A30" s="12" t="str">
        <f t="shared" si="0"/>
        <v>01</v>
      </c>
    </row>
    <row r="31" spans="1:1">
      <c r="A31" s="12" t="str">
        <f t="shared" si="0"/>
        <v>01</v>
      </c>
    </row>
    <row r="32" spans="1:1">
      <c r="A32" s="12" t="str">
        <f t="shared" si="0"/>
        <v>01</v>
      </c>
    </row>
    <row r="33" spans="1:1">
      <c r="A33" s="12" t="str">
        <f t="shared" si="0"/>
        <v>01</v>
      </c>
    </row>
    <row r="34" spans="1:1">
      <c r="A34" s="12" t="str">
        <f t="shared" si="0"/>
        <v>01</v>
      </c>
    </row>
    <row r="35" spans="1:1">
      <c r="A35" s="12" t="str">
        <f t="shared" si="0"/>
        <v>01</v>
      </c>
    </row>
    <row r="36" spans="1:1">
      <c r="A36" s="12" t="str">
        <f t="shared" si="0"/>
        <v>01</v>
      </c>
    </row>
    <row r="37" spans="1:1">
      <c r="A37" s="12" t="str">
        <f t="shared" si="0"/>
        <v>01</v>
      </c>
    </row>
    <row r="38" spans="1:1">
      <c r="A38" s="12" t="str">
        <f t="shared" si="0"/>
        <v>01</v>
      </c>
    </row>
    <row r="39" spans="1:1">
      <c r="A39" s="12" t="str">
        <f t="shared" si="0"/>
        <v>01</v>
      </c>
    </row>
    <row r="40" spans="1:1">
      <c r="A40" s="12" t="str">
        <f t="shared" si="0"/>
        <v>01</v>
      </c>
    </row>
    <row r="41" spans="1:1">
      <c r="A41" s="12" t="str">
        <f t="shared" si="0"/>
        <v>01</v>
      </c>
    </row>
    <row r="42" spans="1:1">
      <c r="A42" s="12" t="str">
        <f t="shared" si="0"/>
        <v>01</v>
      </c>
    </row>
    <row r="43" spans="1:1">
      <c r="A43" s="12" t="str">
        <f t="shared" si="0"/>
        <v>01</v>
      </c>
    </row>
    <row r="44" spans="1:1">
      <c r="A44" s="12" t="str">
        <f t="shared" si="0"/>
        <v>01</v>
      </c>
    </row>
    <row r="45" spans="1:1">
      <c r="A45" s="12" t="str">
        <f t="shared" si="0"/>
        <v>01</v>
      </c>
    </row>
    <row r="46" spans="1:1">
      <c r="A46" s="12" t="str">
        <f t="shared" si="0"/>
        <v>01</v>
      </c>
    </row>
    <row r="47" spans="1:1">
      <c r="A47" s="12" t="str">
        <f t="shared" si="0"/>
        <v>01</v>
      </c>
    </row>
    <row r="48" spans="1:1">
      <c r="A48" s="12" t="str">
        <f t="shared" si="0"/>
        <v>01</v>
      </c>
    </row>
    <row r="49" spans="1:1">
      <c r="A49" s="12" t="str">
        <f t="shared" si="0"/>
        <v>01</v>
      </c>
    </row>
    <row r="50" spans="1:1">
      <c r="A50" s="12" t="str">
        <f t="shared" si="0"/>
        <v>01</v>
      </c>
    </row>
    <row r="51" spans="1:1">
      <c r="A51" s="12" t="str">
        <f t="shared" si="0"/>
        <v>01</v>
      </c>
    </row>
    <row r="52" spans="1:1">
      <c r="A52" s="12" t="str">
        <f t="shared" si="0"/>
        <v>01</v>
      </c>
    </row>
    <row r="53" spans="1:1">
      <c r="A53" s="12" t="str">
        <f t="shared" si="0"/>
        <v>01</v>
      </c>
    </row>
    <row r="54" spans="1:1">
      <c r="A54" s="12" t="str">
        <f t="shared" si="0"/>
        <v>01</v>
      </c>
    </row>
    <row r="55" spans="1:1">
      <c r="A55" s="12" t="str">
        <f t="shared" si="0"/>
        <v>01</v>
      </c>
    </row>
    <row r="56" spans="1:1">
      <c r="A56" s="12" t="str">
        <f t="shared" si="0"/>
        <v>01</v>
      </c>
    </row>
    <row r="57" spans="1:1">
      <c r="A57" s="12" t="str">
        <f t="shared" si="0"/>
        <v>01</v>
      </c>
    </row>
    <row r="58" spans="1:1">
      <c r="A58" s="12" t="str">
        <f t="shared" si="0"/>
        <v>01</v>
      </c>
    </row>
    <row r="59" spans="1:1">
      <c r="A59" s="12" t="str">
        <f t="shared" si="0"/>
        <v>01</v>
      </c>
    </row>
    <row r="60" spans="1:1">
      <c r="A60" s="12" t="str">
        <f t="shared" si="0"/>
        <v>01</v>
      </c>
    </row>
    <row r="61" spans="1:1">
      <c r="A61" s="12" t="str">
        <f t="shared" si="0"/>
        <v>01</v>
      </c>
    </row>
    <row r="62" spans="1:1">
      <c r="A62" s="12" t="str">
        <f t="shared" si="0"/>
        <v>01</v>
      </c>
    </row>
    <row r="63" spans="1:1">
      <c r="A63" s="12" t="str">
        <f t="shared" si="0"/>
        <v>01</v>
      </c>
    </row>
    <row r="64" spans="1:1">
      <c r="A64" s="12" t="str">
        <f t="shared" si="0"/>
        <v>01</v>
      </c>
    </row>
    <row r="65" spans="1:1">
      <c r="A65" s="12" t="str">
        <f t="shared" si="0"/>
        <v>01</v>
      </c>
    </row>
    <row r="66" spans="1:1">
      <c r="A66" s="12" t="str">
        <f t="shared" si="0"/>
        <v>01</v>
      </c>
    </row>
    <row r="67" spans="1:1">
      <c r="A67" s="12" t="str">
        <f t="shared" ref="A67:A130" si="1">TEXT(N67,"MM")</f>
        <v>01</v>
      </c>
    </row>
    <row r="68" spans="1:1">
      <c r="A68" s="12" t="str">
        <f t="shared" si="1"/>
        <v>01</v>
      </c>
    </row>
    <row r="69" spans="1:1">
      <c r="A69" s="12" t="str">
        <f t="shared" si="1"/>
        <v>01</v>
      </c>
    </row>
    <row r="70" spans="1:1">
      <c r="A70" s="12" t="str">
        <f t="shared" si="1"/>
        <v>01</v>
      </c>
    </row>
    <row r="71" spans="1:1">
      <c r="A71" s="12" t="str">
        <f t="shared" si="1"/>
        <v>01</v>
      </c>
    </row>
    <row r="72" spans="1:1">
      <c r="A72" s="12" t="str">
        <f t="shared" si="1"/>
        <v>01</v>
      </c>
    </row>
    <row r="73" spans="1:1">
      <c r="A73" s="12" t="str">
        <f t="shared" si="1"/>
        <v>01</v>
      </c>
    </row>
    <row r="74" spans="1:1">
      <c r="A74" s="12" t="str">
        <f t="shared" si="1"/>
        <v>01</v>
      </c>
    </row>
    <row r="75" spans="1:1">
      <c r="A75" s="12" t="str">
        <f t="shared" si="1"/>
        <v>01</v>
      </c>
    </row>
    <row r="76" spans="1:1">
      <c r="A76" s="12" t="str">
        <f t="shared" si="1"/>
        <v>01</v>
      </c>
    </row>
    <row r="77" spans="1:1">
      <c r="A77" s="12" t="str">
        <f t="shared" si="1"/>
        <v>01</v>
      </c>
    </row>
    <row r="78" spans="1:1">
      <c r="A78" s="12" t="str">
        <f t="shared" si="1"/>
        <v>01</v>
      </c>
    </row>
    <row r="79" spans="1:1">
      <c r="A79" s="12" t="str">
        <f t="shared" si="1"/>
        <v>01</v>
      </c>
    </row>
    <row r="80" spans="1:1">
      <c r="A80" s="12" t="str">
        <f t="shared" si="1"/>
        <v>01</v>
      </c>
    </row>
    <row r="81" spans="1:1">
      <c r="A81" s="12" t="str">
        <f t="shared" si="1"/>
        <v>01</v>
      </c>
    </row>
    <row r="82" spans="1:1">
      <c r="A82" s="12" t="str">
        <f t="shared" si="1"/>
        <v>01</v>
      </c>
    </row>
    <row r="83" spans="1:1">
      <c r="A83" s="12" t="str">
        <f t="shared" si="1"/>
        <v>01</v>
      </c>
    </row>
    <row r="84" spans="1:1">
      <c r="A84" s="12" t="str">
        <f t="shared" si="1"/>
        <v>01</v>
      </c>
    </row>
    <row r="85" spans="1:1">
      <c r="A85" s="12" t="str">
        <f t="shared" si="1"/>
        <v>01</v>
      </c>
    </row>
    <row r="86" spans="1:1">
      <c r="A86" s="12" t="str">
        <f t="shared" si="1"/>
        <v>01</v>
      </c>
    </row>
    <row r="87" spans="1:1">
      <c r="A87" s="12" t="str">
        <f t="shared" si="1"/>
        <v>01</v>
      </c>
    </row>
    <row r="88" spans="1:1">
      <c r="A88" s="12" t="str">
        <f t="shared" si="1"/>
        <v>01</v>
      </c>
    </row>
    <row r="89" spans="1:1">
      <c r="A89" s="12" t="str">
        <f t="shared" si="1"/>
        <v>01</v>
      </c>
    </row>
    <row r="90" spans="1:1">
      <c r="A90" s="12" t="str">
        <f t="shared" si="1"/>
        <v>01</v>
      </c>
    </row>
    <row r="91" spans="1:1">
      <c r="A91" s="12" t="str">
        <f t="shared" si="1"/>
        <v>01</v>
      </c>
    </row>
    <row r="92" spans="1:1">
      <c r="A92" s="12" t="str">
        <f t="shared" si="1"/>
        <v>01</v>
      </c>
    </row>
    <row r="93" spans="1:1">
      <c r="A93" s="12" t="str">
        <f t="shared" si="1"/>
        <v>01</v>
      </c>
    </row>
    <row r="94" spans="1:1">
      <c r="A94" s="12" t="str">
        <f t="shared" si="1"/>
        <v>01</v>
      </c>
    </row>
    <row r="95" spans="1:1">
      <c r="A95" s="12" t="str">
        <f t="shared" si="1"/>
        <v>01</v>
      </c>
    </row>
    <row r="96" spans="1:1">
      <c r="A96" s="12" t="str">
        <f t="shared" si="1"/>
        <v>01</v>
      </c>
    </row>
    <row r="97" spans="1:1">
      <c r="A97" s="12" t="str">
        <f t="shared" si="1"/>
        <v>01</v>
      </c>
    </row>
    <row r="98" spans="1:1">
      <c r="A98" s="12" t="str">
        <f t="shared" si="1"/>
        <v>01</v>
      </c>
    </row>
    <row r="99" spans="1:1">
      <c r="A99" s="12" t="str">
        <f t="shared" si="1"/>
        <v>01</v>
      </c>
    </row>
    <row r="100" spans="1:1">
      <c r="A100" s="12" t="str">
        <f t="shared" si="1"/>
        <v>01</v>
      </c>
    </row>
    <row r="101" spans="1:1">
      <c r="A101" s="12" t="str">
        <f t="shared" si="1"/>
        <v>01</v>
      </c>
    </row>
    <row r="102" spans="1:1">
      <c r="A102" s="12" t="str">
        <f t="shared" si="1"/>
        <v>01</v>
      </c>
    </row>
    <row r="103" spans="1:1">
      <c r="A103" s="12" t="str">
        <f t="shared" si="1"/>
        <v>01</v>
      </c>
    </row>
    <row r="104" spans="1:1">
      <c r="A104" s="12" t="str">
        <f t="shared" si="1"/>
        <v>01</v>
      </c>
    </row>
    <row r="105" spans="1:1">
      <c r="A105" s="12" t="str">
        <f t="shared" si="1"/>
        <v>01</v>
      </c>
    </row>
    <row r="106" spans="1:1">
      <c r="A106" s="12" t="str">
        <f t="shared" si="1"/>
        <v>01</v>
      </c>
    </row>
    <row r="107" spans="1:1">
      <c r="A107" s="12" t="str">
        <f t="shared" si="1"/>
        <v>01</v>
      </c>
    </row>
    <row r="108" spans="1:1">
      <c r="A108" s="12" t="str">
        <f t="shared" si="1"/>
        <v>01</v>
      </c>
    </row>
    <row r="109" spans="1:1">
      <c r="A109" s="12" t="str">
        <f t="shared" si="1"/>
        <v>01</v>
      </c>
    </row>
    <row r="110" spans="1:1">
      <c r="A110" s="12" t="str">
        <f t="shared" si="1"/>
        <v>01</v>
      </c>
    </row>
    <row r="111" spans="1:1">
      <c r="A111" s="12" t="str">
        <f t="shared" si="1"/>
        <v>01</v>
      </c>
    </row>
    <row r="112" spans="1:1">
      <c r="A112" s="12" t="str">
        <f t="shared" si="1"/>
        <v>01</v>
      </c>
    </row>
    <row r="113" spans="1:1">
      <c r="A113" s="12" t="str">
        <f t="shared" si="1"/>
        <v>01</v>
      </c>
    </row>
    <row r="114" spans="1:1">
      <c r="A114" s="12" t="str">
        <f t="shared" si="1"/>
        <v>01</v>
      </c>
    </row>
    <row r="115" spans="1:1">
      <c r="A115" s="12" t="str">
        <f t="shared" si="1"/>
        <v>01</v>
      </c>
    </row>
    <row r="116" spans="1:1">
      <c r="A116" s="12" t="str">
        <f t="shared" si="1"/>
        <v>01</v>
      </c>
    </row>
    <row r="117" spans="1:1">
      <c r="A117" s="12" t="str">
        <f t="shared" si="1"/>
        <v>01</v>
      </c>
    </row>
    <row r="118" spans="1:1">
      <c r="A118" s="12" t="str">
        <f t="shared" si="1"/>
        <v>01</v>
      </c>
    </row>
    <row r="119" spans="1:1">
      <c r="A119" s="12" t="str">
        <f t="shared" si="1"/>
        <v>01</v>
      </c>
    </row>
    <row r="120" spans="1:1">
      <c r="A120" s="12" t="str">
        <f t="shared" si="1"/>
        <v>01</v>
      </c>
    </row>
    <row r="121" spans="1:1">
      <c r="A121" s="12" t="str">
        <f t="shared" si="1"/>
        <v>01</v>
      </c>
    </row>
    <row r="122" spans="1:1">
      <c r="A122" s="12" t="str">
        <f t="shared" si="1"/>
        <v>01</v>
      </c>
    </row>
    <row r="123" spans="1:1">
      <c r="A123" s="12" t="str">
        <f t="shared" si="1"/>
        <v>01</v>
      </c>
    </row>
    <row r="124" spans="1:1">
      <c r="A124" s="12" t="str">
        <f t="shared" si="1"/>
        <v>01</v>
      </c>
    </row>
    <row r="125" spans="1:1">
      <c r="A125" s="12" t="str">
        <f t="shared" si="1"/>
        <v>01</v>
      </c>
    </row>
    <row r="126" spans="1:1">
      <c r="A126" s="12" t="str">
        <f t="shared" si="1"/>
        <v>01</v>
      </c>
    </row>
    <row r="127" spans="1:1">
      <c r="A127" s="12" t="str">
        <f t="shared" si="1"/>
        <v>01</v>
      </c>
    </row>
    <row r="128" spans="1:1">
      <c r="A128" s="12" t="str">
        <f t="shared" si="1"/>
        <v>01</v>
      </c>
    </row>
    <row r="129" spans="1:1">
      <c r="A129" s="12" t="str">
        <f t="shared" si="1"/>
        <v>01</v>
      </c>
    </row>
    <row r="130" spans="1:1">
      <c r="A130" s="12" t="str">
        <f t="shared" si="1"/>
        <v>01</v>
      </c>
    </row>
    <row r="131" spans="1:1">
      <c r="A131" s="12" t="str">
        <f t="shared" ref="A131:A194" si="2">TEXT(N131,"MM")</f>
        <v>01</v>
      </c>
    </row>
    <row r="132" spans="1:1">
      <c r="A132" s="12" t="str">
        <f t="shared" si="2"/>
        <v>01</v>
      </c>
    </row>
    <row r="133" spans="1:1">
      <c r="A133" s="12" t="str">
        <f t="shared" si="2"/>
        <v>01</v>
      </c>
    </row>
    <row r="134" spans="1:1">
      <c r="A134" s="12" t="str">
        <f t="shared" si="2"/>
        <v>01</v>
      </c>
    </row>
    <row r="135" spans="1:1">
      <c r="A135" s="12" t="str">
        <f t="shared" si="2"/>
        <v>01</v>
      </c>
    </row>
    <row r="136" spans="1:1">
      <c r="A136" s="12" t="str">
        <f t="shared" si="2"/>
        <v>01</v>
      </c>
    </row>
    <row r="137" spans="1:1">
      <c r="A137" s="12" t="str">
        <f t="shared" si="2"/>
        <v>01</v>
      </c>
    </row>
    <row r="138" spans="1:1">
      <c r="A138" s="12" t="str">
        <f t="shared" si="2"/>
        <v>01</v>
      </c>
    </row>
    <row r="139" spans="1:1">
      <c r="A139" s="12" t="str">
        <f t="shared" si="2"/>
        <v>01</v>
      </c>
    </row>
    <row r="140" spans="1:1">
      <c r="A140" s="12" t="str">
        <f t="shared" si="2"/>
        <v>01</v>
      </c>
    </row>
    <row r="141" spans="1:1">
      <c r="A141" s="12" t="str">
        <f t="shared" si="2"/>
        <v>01</v>
      </c>
    </row>
    <row r="142" spans="1:1">
      <c r="A142" s="12" t="str">
        <f t="shared" si="2"/>
        <v>01</v>
      </c>
    </row>
    <row r="143" spans="1:1">
      <c r="A143" s="12" t="str">
        <f t="shared" si="2"/>
        <v>01</v>
      </c>
    </row>
    <row r="144" spans="1:1">
      <c r="A144" s="12" t="str">
        <f t="shared" si="2"/>
        <v>01</v>
      </c>
    </row>
    <row r="145" spans="1:1">
      <c r="A145" s="12" t="str">
        <f t="shared" si="2"/>
        <v>01</v>
      </c>
    </row>
    <row r="146" spans="1:1">
      <c r="A146" s="12" t="str">
        <f t="shared" si="2"/>
        <v>01</v>
      </c>
    </row>
    <row r="147" spans="1:1">
      <c r="A147" s="12" t="str">
        <f t="shared" si="2"/>
        <v>01</v>
      </c>
    </row>
    <row r="148" spans="1:1">
      <c r="A148" s="12" t="str">
        <f t="shared" si="2"/>
        <v>01</v>
      </c>
    </row>
    <row r="149" spans="1:1">
      <c r="A149" s="12" t="str">
        <f t="shared" si="2"/>
        <v>01</v>
      </c>
    </row>
    <row r="150" spans="1:1">
      <c r="A150" s="12" t="str">
        <f t="shared" si="2"/>
        <v>01</v>
      </c>
    </row>
    <row r="151" spans="1:1">
      <c r="A151" s="12" t="str">
        <f t="shared" si="2"/>
        <v>01</v>
      </c>
    </row>
    <row r="152" spans="1:1">
      <c r="A152" s="12" t="str">
        <f t="shared" si="2"/>
        <v>01</v>
      </c>
    </row>
    <row r="153" spans="1:1">
      <c r="A153" s="12" t="str">
        <f t="shared" si="2"/>
        <v>01</v>
      </c>
    </row>
    <row r="154" spans="1:1">
      <c r="A154" s="12" t="str">
        <f t="shared" si="2"/>
        <v>01</v>
      </c>
    </row>
    <row r="155" spans="1:1">
      <c r="A155" s="12" t="str">
        <f t="shared" si="2"/>
        <v>01</v>
      </c>
    </row>
    <row r="156" spans="1:1">
      <c r="A156" s="12" t="str">
        <f t="shared" si="2"/>
        <v>01</v>
      </c>
    </row>
    <row r="157" spans="1:1">
      <c r="A157" s="12" t="str">
        <f t="shared" si="2"/>
        <v>01</v>
      </c>
    </row>
    <row r="158" spans="1:1">
      <c r="A158" s="12" t="str">
        <f t="shared" si="2"/>
        <v>01</v>
      </c>
    </row>
    <row r="159" spans="1:1">
      <c r="A159" s="12" t="str">
        <f t="shared" si="2"/>
        <v>01</v>
      </c>
    </row>
    <row r="160" spans="1:1">
      <c r="A160" s="12" t="str">
        <f t="shared" si="2"/>
        <v>01</v>
      </c>
    </row>
    <row r="161" spans="1:1">
      <c r="A161" s="12" t="str">
        <f t="shared" si="2"/>
        <v>01</v>
      </c>
    </row>
    <row r="162" spans="1:1">
      <c r="A162" s="12" t="str">
        <f t="shared" si="2"/>
        <v>01</v>
      </c>
    </row>
    <row r="163" spans="1:1">
      <c r="A163" s="12" t="str">
        <f t="shared" si="2"/>
        <v>01</v>
      </c>
    </row>
    <row r="164" spans="1:1">
      <c r="A164" s="12" t="str">
        <f t="shared" si="2"/>
        <v>01</v>
      </c>
    </row>
    <row r="165" spans="1:1">
      <c r="A165" s="12" t="str">
        <f t="shared" si="2"/>
        <v>01</v>
      </c>
    </row>
    <row r="166" spans="1:1">
      <c r="A166" s="12" t="str">
        <f t="shared" si="2"/>
        <v>01</v>
      </c>
    </row>
    <row r="167" spans="1:1">
      <c r="A167" s="12" t="str">
        <f t="shared" si="2"/>
        <v>01</v>
      </c>
    </row>
    <row r="168" spans="1:1">
      <c r="A168" s="12" t="str">
        <f t="shared" si="2"/>
        <v>01</v>
      </c>
    </row>
    <row r="169" spans="1:1">
      <c r="A169" s="12" t="str">
        <f t="shared" si="2"/>
        <v>01</v>
      </c>
    </row>
    <row r="170" spans="1:1">
      <c r="A170" s="12" t="str">
        <f t="shared" si="2"/>
        <v>01</v>
      </c>
    </row>
    <row r="171" spans="1:1">
      <c r="A171" s="12" t="str">
        <f t="shared" si="2"/>
        <v>01</v>
      </c>
    </row>
    <row r="172" spans="1:1">
      <c r="A172" s="12" t="str">
        <f t="shared" si="2"/>
        <v>01</v>
      </c>
    </row>
    <row r="173" spans="1:1">
      <c r="A173" s="12" t="str">
        <f t="shared" si="2"/>
        <v>01</v>
      </c>
    </row>
    <row r="174" spans="1:1">
      <c r="A174" s="12" t="str">
        <f t="shared" si="2"/>
        <v>01</v>
      </c>
    </row>
    <row r="175" spans="1:1">
      <c r="A175" s="12" t="str">
        <f t="shared" si="2"/>
        <v>01</v>
      </c>
    </row>
    <row r="176" spans="1:1">
      <c r="A176" s="12" t="str">
        <f t="shared" si="2"/>
        <v>01</v>
      </c>
    </row>
    <row r="177" spans="1:1">
      <c r="A177" s="12" t="str">
        <f t="shared" si="2"/>
        <v>01</v>
      </c>
    </row>
    <row r="178" spans="1:1">
      <c r="A178" s="12" t="str">
        <f t="shared" si="2"/>
        <v>01</v>
      </c>
    </row>
    <row r="179" spans="1:1">
      <c r="A179" s="12" t="str">
        <f t="shared" si="2"/>
        <v>01</v>
      </c>
    </row>
    <row r="180" spans="1:1">
      <c r="A180" s="12" t="str">
        <f t="shared" si="2"/>
        <v>01</v>
      </c>
    </row>
    <row r="181" spans="1:1">
      <c r="A181" s="12" t="str">
        <f t="shared" si="2"/>
        <v>01</v>
      </c>
    </row>
    <row r="182" spans="1:1">
      <c r="A182" s="12" t="str">
        <f t="shared" si="2"/>
        <v>01</v>
      </c>
    </row>
    <row r="183" spans="1:1">
      <c r="A183" s="12" t="str">
        <f t="shared" si="2"/>
        <v>01</v>
      </c>
    </row>
    <row r="184" spans="1:1">
      <c r="A184" s="12" t="str">
        <f t="shared" si="2"/>
        <v>01</v>
      </c>
    </row>
    <row r="185" spans="1:1">
      <c r="A185" s="12" t="str">
        <f t="shared" si="2"/>
        <v>01</v>
      </c>
    </row>
    <row r="186" spans="1:1">
      <c r="A186" s="12" t="str">
        <f t="shared" si="2"/>
        <v>01</v>
      </c>
    </row>
    <row r="187" spans="1:1">
      <c r="A187" s="12" t="str">
        <f t="shared" si="2"/>
        <v>01</v>
      </c>
    </row>
    <row r="188" spans="1:1">
      <c r="A188" s="12" t="str">
        <f t="shared" si="2"/>
        <v>01</v>
      </c>
    </row>
    <row r="189" spans="1:1">
      <c r="A189" s="12" t="str">
        <f t="shared" si="2"/>
        <v>01</v>
      </c>
    </row>
    <row r="190" spans="1:1">
      <c r="A190" s="12" t="str">
        <f t="shared" si="2"/>
        <v>01</v>
      </c>
    </row>
    <row r="191" spans="1:1">
      <c r="A191" s="12" t="str">
        <f t="shared" si="2"/>
        <v>01</v>
      </c>
    </row>
    <row r="192" spans="1:1">
      <c r="A192" s="12" t="str">
        <f t="shared" si="2"/>
        <v>01</v>
      </c>
    </row>
    <row r="193" spans="1:1">
      <c r="A193" s="12" t="str">
        <f t="shared" si="2"/>
        <v>01</v>
      </c>
    </row>
    <row r="194" spans="1:1">
      <c r="A194" s="12" t="str">
        <f t="shared" si="2"/>
        <v>01</v>
      </c>
    </row>
    <row r="195" spans="1:1">
      <c r="A195" s="12" t="str">
        <f t="shared" ref="A195:A200" si="3">TEXT(N195,"MM")</f>
        <v>01</v>
      </c>
    </row>
    <row r="196" spans="1:1">
      <c r="A196" s="12" t="str">
        <f t="shared" si="3"/>
        <v>01</v>
      </c>
    </row>
    <row r="197" spans="1:1">
      <c r="A197" s="12" t="str">
        <f t="shared" si="3"/>
        <v>01</v>
      </c>
    </row>
    <row r="198" spans="1:1">
      <c r="A198" s="12" t="str">
        <f t="shared" si="3"/>
        <v>01</v>
      </c>
    </row>
    <row r="199" spans="1:1">
      <c r="A199" s="12" t="str">
        <f t="shared" si="3"/>
        <v>01</v>
      </c>
    </row>
    <row r="200" spans="1:1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F15"/>
  <sheetViews>
    <sheetView workbookViewId="0">
      <selection activeCell="G1" sqref="G1"/>
    </sheetView>
  </sheetViews>
  <sheetFormatPr defaultRowHeight="17.399999999999999"/>
  <cols>
    <col min="1" max="1" width="5.19921875" customWidth="1"/>
    <col min="2" max="2" width="9.796875" customWidth="1"/>
    <col min="3" max="3" width="14.296875" customWidth="1"/>
    <col min="4" max="5" width="11.69921875" customWidth="1"/>
    <col min="6" max="6" width="8.69921875" customWidth="1"/>
  </cols>
  <sheetData>
    <row r="1" spans="1:6" ht="24">
      <c r="A1" s="22" t="s">
        <v>27</v>
      </c>
      <c r="B1" s="23" t="s">
        <v>29</v>
      </c>
      <c r="C1" s="22" t="s">
        <v>28</v>
      </c>
      <c r="D1" s="24" t="s">
        <v>35</v>
      </c>
      <c r="E1" s="24" t="s">
        <v>36</v>
      </c>
      <c r="F1" s="23" t="s">
        <v>30</v>
      </c>
    </row>
    <row r="2" spans="1:6" s="42" customFormat="1" ht="25.05" customHeight="1" thickBot="1">
      <c r="A2" s="25">
        <v>1</v>
      </c>
      <c r="B2" s="6">
        <f>IF(IncidentDownload!C2="","",IncidentDownload!C2)</f>
        <v>5730</v>
      </c>
      <c r="C2" s="21" t="str">
        <f>IF(IncidentDownload!T2="","",IncidentDownload!T2)</f>
        <v>Replacement of aging network equipment (ANEXIA)</v>
      </c>
      <c r="D2" s="45">
        <f>IF(IncidentDownload!N2="","",IncidentDownload!N2)</f>
        <v>45078.478032407409</v>
      </c>
      <c r="E2" s="35" t="str">
        <f>IF(IncidentDownload!V2="","",IncidentDownload!V2)</f>
        <v/>
      </c>
      <c r="F2" s="21"/>
    </row>
    <row r="3" spans="1:6" s="42" customFormat="1" ht="25.05" customHeight="1" thickBot="1">
      <c r="A3" s="25">
        <v>2</v>
      </c>
      <c r="B3" s="21" t="str">
        <f>IF(MID(IncidentDownload!S3,28,4)="","",MID(IncidentDownload!S3,28,4))</f>
        <v/>
      </c>
      <c r="C3" s="21" t="str">
        <f>IF(IncidentDownload!T3="","",IncidentDownload!T3)</f>
        <v/>
      </c>
      <c r="D3" s="35" t="str">
        <f>IF(IncidentDownload!U3="","",IncidentDownload!U3)</f>
        <v/>
      </c>
      <c r="E3" s="35" t="str">
        <f>IF(IncidentDownload!V3="","",IncidentDownload!V3)</f>
        <v/>
      </c>
      <c r="F3" s="21"/>
    </row>
    <row r="4" spans="1:6" s="42" customFormat="1" ht="25.05" customHeight="1" thickBot="1">
      <c r="A4" s="25">
        <v>3</v>
      </c>
      <c r="B4" s="21" t="str">
        <f>IF(MID(IncidentDownload!S4,28,4)="","",MID(IncidentDownload!S4,28,4))</f>
        <v/>
      </c>
      <c r="C4" s="21" t="str">
        <f>IF(IncidentDownload!T4="","",IncidentDownload!T4)</f>
        <v/>
      </c>
      <c r="D4" s="35" t="str">
        <f>IF(IncidentDownload!U4="","",IncidentDownload!U4)</f>
        <v/>
      </c>
      <c r="E4" s="35" t="str">
        <f>IF(IncidentDownload!V4="","",IncidentDownload!V4)</f>
        <v/>
      </c>
      <c r="F4" s="21"/>
    </row>
    <row r="5" spans="1:6" s="42" customFormat="1" ht="25.05" customHeight="1" thickBot="1">
      <c r="A5" s="25">
        <v>4</v>
      </c>
      <c r="B5" s="21" t="str">
        <f>IF(MID(IncidentDownload!S5,28,4)="","",MID(IncidentDownload!S5,28,4))</f>
        <v/>
      </c>
      <c r="C5" s="21" t="str">
        <f>IF(IncidentDownload!T5="","",IncidentDownload!T5)</f>
        <v/>
      </c>
      <c r="D5" s="35" t="str">
        <f>IF(IncidentDownload!U5="","",IncidentDownload!U5)</f>
        <v/>
      </c>
      <c r="E5" s="35" t="str">
        <f>IF(IncidentDownload!V5="","",IncidentDownload!V5)</f>
        <v/>
      </c>
      <c r="F5" s="21"/>
    </row>
    <row r="6" spans="1:6" s="42" customFormat="1" ht="25.05" customHeight="1" thickBot="1">
      <c r="A6" s="25">
        <v>5</v>
      </c>
      <c r="B6" s="21" t="str">
        <f>IF(MID(IncidentDownload!S6,28,4)="","",MID(IncidentDownload!S6,28,4))</f>
        <v/>
      </c>
      <c r="C6" s="21" t="str">
        <f>IF(IncidentDownload!T6="","",IncidentDownload!T6)</f>
        <v/>
      </c>
      <c r="D6" s="35" t="str">
        <f>IF(IncidentDownload!U6="","",IncidentDownload!U6)</f>
        <v/>
      </c>
      <c r="E6" s="35" t="str">
        <f>IF(IncidentDownload!V6="","",IncidentDownload!V6)</f>
        <v/>
      </c>
      <c r="F6" s="21"/>
    </row>
    <row r="7" spans="1:6" ht="4.95" customHeight="1">
      <c r="A7" s="484" t="s">
        <v>32</v>
      </c>
      <c r="B7" s="485"/>
      <c r="C7" s="485"/>
      <c r="D7" s="485"/>
      <c r="E7" s="485"/>
      <c r="F7" s="486"/>
    </row>
    <row r="8" spans="1:6" ht="4.95" customHeight="1" thickBot="1">
      <c r="A8" s="487"/>
      <c r="B8" s="488"/>
      <c r="C8" s="488"/>
      <c r="D8" s="488"/>
      <c r="E8" s="488"/>
      <c r="F8" s="489"/>
    </row>
    <row r="15" spans="1:6" ht="25.05" customHeight="1"/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Z1515"/>
  <sheetViews>
    <sheetView workbookViewId="0">
      <selection activeCell="J2" sqref="J2:J16"/>
    </sheetView>
  </sheetViews>
  <sheetFormatPr defaultRowHeight="17.399999999999999"/>
  <cols>
    <col min="2" max="2" width="12.19921875" customWidth="1"/>
    <col min="4" max="4" width="46" bestFit="1" customWidth="1"/>
    <col min="5" max="6" width="19.19921875" bestFit="1" customWidth="1"/>
    <col min="7" max="7" width="9.199218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5" max="15" width="11.59765625" style="4" bestFit="1" customWidth="1"/>
    <col min="16" max="16" width="38.796875" bestFit="1" customWidth="1"/>
    <col min="17" max="17" width="35.19921875" customWidth="1"/>
    <col min="18" max="18" width="37.8984375" style="27" bestFit="1" customWidth="1"/>
    <col min="19" max="19" width="20.09765625" style="27" bestFit="1" customWidth="1"/>
    <col min="20" max="20" width="19" style="38" bestFit="1" customWidth="1"/>
    <col min="21" max="21" width="14.796875" customWidth="1"/>
    <col min="22" max="22" width="21" bestFit="1" customWidth="1"/>
    <col min="23" max="23" width="22.296875" style="4" customWidth="1"/>
    <col min="24" max="24" width="22.69921875" style="27" bestFit="1" customWidth="1"/>
    <col min="25" max="25" width="14.09765625" bestFit="1" customWidth="1"/>
    <col min="26" max="26" width="16.59765625" style="1" bestFit="1" customWidth="1"/>
  </cols>
  <sheetData>
    <row r="1" spans="1:26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06</v>
      </c>
      <c r="O1" s="8" t="s">
        <v>33</v>
      </c>
      <c r="P1" s="9" t="s">
        <v>37</v>
      </c>
      <c r="Q1" s="9" t="s">
        <v>18</v>
      </c>
      <c r="R1" s="9" t="s">
        <v>19</v>
      </c>
      <c r="S1" s="9" t="s">
        <v>20</v>
      </c>
      <c r="T1" s="43" t="s">
        <v>21</v>
      </c>
      <c r="U1" s="9" t="s">
        <v>8</v>
      </c>
      <c r="V1" s="9" t="s">
        <v>10</v>
      </c>
      <c r="W1" s="9" t="s">
        <v>14</v>
      </c>
      <c r="X1" s="9" t="s">
        <v>12</v>
      </c>
      <c r="Y1" s="9" t="s">
        <v>7</v>
      </c>
      <c r="Z1" s="43" t="s">
        <v>5</v>
      </c>
    </row>
    <row r="2" spans="1:26" ht="34.799999999999997">
      <c r="A2" s="12" t="str">
        <f>TEXT(L2,"MM")</f>
        <v>Completed</v>
      </c>
      <c r="B2" s="46" t="s">
        <v>39</v>
      </c>
      <c r="C2">
        <v>11147</v>
      </c>
      <c r="D2" t="s">
        <v>48</v>
      </c>
      <c r="E2" s="1">
        <v>45216.736805555556</v>
      </c>
      <c r="F2" s="1">
        <v>45216.77847222222</v>
      </c>
      <c r="G2" t="s">
        <v>41</v>
      </c>
      <c r="H2" t="s">
        <v>49</v>
      </c>
      <c r="J2" t="s">
        <v>50</v>
      </c>
      <c r="L2" t="s">
        <v>44</v>
      </c>
      <c r="M2" t="s">
        <v>51</v>
      </c>
      <c r="N2" s="1">
        <v>45216.738252314812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P2" s="4"/>
      <c r="Q2" s="4"/>
      <c r="U2" s="4"/>
      <c r="V2" s="4"/>
      <c r="W2" s="27"/>
    </row>
    <row r="3" spans="1:26" ht="34.799999999999997">
      <c r="A3" s="12" t="str">
        <f t="shared" ref="A3:A66" si="0">TEXT(L3,"MM")</f>
        <v>Cancelled</v>
      </c>
      <c r="B3" s="46" t="s">
        <v>39</v>
      </c>
      <c r="C3">
        <v>11129</v>
      </c>
      <c r="D3" t="s">
        <v>48</v>
      </c>
      <c r="E3" s="1">
        <v>45216.666666666664</v>
      </c>
      <c r="F3" s="1">
        <v>45216.75</v>
      </c>
      <c r="G3" t="s">
        <v>41</v>
      </c>
      <c r="H3" t="s">
        <v>49</v>
      </c>
      <c r="J3" t="s">
        <v>50</v>
      </c>
      <c r="L3" t="s">
        <v>52</v>
      </c>
      <c r="M3" t="s">
        <v>53</v>
      </c>
      <c r="N3" s="1">
        <v>45216.546400462961</v>
      </c>
      <c r="P3" s="4"/>
      <c r="Q3" s="4"/>
      <c r="U3" s="4"/>
      <c r="V3" s="4"/>
      <c r="W3" s="27"/>
    </row>
    <row r="4" spans="1:26" ht="34.799999999999997">
      <c r="A4" s="12" t="str">
        <f t="shared" si="0"/>
        <v>Completed</v>
      </c>
      <c r="B4" s="46" t="s">
        <v>39</v>
      </c>
      <c r="C4">
        <v>8681</v>
      </c>
      <c r="D4" t="s">
        <v>54</v>
      </c>
      <c r="E4" s="1">
        <v>45156.416666666664</v>
      </c>
      <c r="F4" s="1">
        <v>45156.583333333336</v>
      </c>
      <c r="G4" t="s">
        <v>41</v>
      </c>
      <c r="H4" t="s">
        <v>49</v>
      </c>
      <c r="J4" t="s">
        <v>50</v>
      </c>
      <c r="L4" t="s">
        <v>44</v>
      </c>
      <c r="M4" t="s">
        <v>53</v>
      </c>
      <c r="N4" s="1">
        <v>45155.701608796298</v>
      </c>
      <c r="P4" s="4"/>
      <c r="Q4" s="4"/>
      <c r="U4" s="4"/>
      <c r="V4" s="4"/>
      <c r="W4" s="27"/>
    </row>
    <row r="5" spans="1:26" ht="34.799999999999997">
      <c r="A5" s="12" t="str">
        <f t="shared" si="0"/>
        <v>Completed</v>
      </c>
      <c r="B5" s="46" t="s">
        <v>39</v>
      </c>
      <c r="C5">
        <v>8612</v>
      </c>
      <c r="D5" t="s">
        <v>55</v>
      </c>
      <c r="E5" s="1">
        <v>45155.375</v>
      </c>
      <c r="F5" s="1">
        <v>45155.708333333336</v>
      </c>
      <c r="G5" t="s">
        <v>41</v>
      </c>
      <c r="H5" t="s">
        <v>56</v>
      </c>
      <c r="J5" t="s">
        <v>50</v>
      </c>
      <c r="L5" t="s">
        <v>44</v>
      </c>
      <c r="M5" t="s">
        <v>57</v>
      </c>
      <c r="N5" s="1">
        <v>45154.590069444443</v>
      </c>
      <c r="P5" s="4"/>
      <c r="Q5" s="4"/>
      <c r="U5" s="4"/>
      <c r="V5" s="4"/>
    </row>
    <row r="6" spans="1:26" ht="34.799999999999997">
      <c r="A6" s="12" t="str">
        <f t="shared" si="0"/>
        <v>Completed</v>
      </c>
      <c r="B6" s="46" t="s">
        <v>39</v>
      </c>
      <c r="C6">
        <v>7605</v>
      </c>
      <c r="D6" t="s">
        <v>58</v>
      </c>
      <c r="E6" s="1">
        <v>45127.583333333336</v>
      </c>
      <c r="F6" s="1">
        <v>45127.618055555555</v>
      </c>
      <c r="G6" t="s">
        <v>41</v>
      </c>
      <c r="H6" t="s">
        <v>56</v>
      </c>
      <c r="J6" t="s">
        <v>50</v>
      </c>
      <c r="L6" t="s">
        <v>44</v>
      </c>
      <c r="M6" t="s">
        <v>59</v>
      </c>
      <c r="N6" s="1">
        <v>45126.494456018518</v>
      </c>
    </row>
    <row r="7" spans="1:26" ht="34.799999999999997">
      <c r="A7" s="12" t="str">
        <f t="shared" si="0"/>
        <v>Completed</v>
      </c>
      <c r="B7" s="46" t="s">
        <v>39</v>
      </c>
      <c r="C7">
        <v>7594</v>
      </c>
      <c r="D7" t="s">
        <v>60</v>
      </c>
      <c r="E7" s="1">
        <v>45128.429166666669</v>
      </c>
      <c r="F7" s="1">
        <v>45128.45416666667</v>
      </c>
      <c r="G7" t="s">
        <v>41</v>
      </c>
      <c r="H7" t="s">
        <v>56</v>
      </c>
      <c r="J7" t="s">
        <v>50</v>
      </c>
      <c r="L7" t="s">
        <v>44</v>
      </c>
      <c r="M7" t="s">
        <v>61</v>
      </c>
      <c r="N7" s="1">
        <v>45126.392083333332</v>
      </c>
    </row>
    <row r="8" spans="1:26" ht="34.799999999999997">
      <c r="A8" s="12" t="str">
        <f t="shared" si="0"/>
        <v>Cancelled</v>
      </c>
      <c r="B8" s="46" t="s">
        <v>39</v>
      </c>
      <c r="C8">
        <v>7272</v>
      </c>
      <c r="D8" t="s">
        <v>62</v>
      </c>
      <c r="E8" s="1">
        <v>45119.375</v>
      </c>
      <c r="F8" s="1">
        <v>45119.708333333336</v>
      </c>
      <c r="G8" t="s">
        <v>41</v>
      </c>
      <c r="H8" t="s">
        <v>56</v>
      </c>
      <c r="J8" t="s">
        <v>50</v>
      </c>
      <c r="L8" t="s">
        <v>52</v>
      </c>
      <c r="M8" t="s">
        <v>63</v>
      </c>
      <c r="N8" s="1">
        <v>45118.451319444444</v>
      </c>
    </row>
    <row r="9" spans="1:26" ht="34.799999999999997">
      <c r="A9" s="12" t="str">
        <f t="shared" si="0"/>
        <v>Cancelled</v>
      </c>
      <c r="B9" s="46" t="s">
        <v>39</v>
      </c>
      <c r="C9">
        <v>7148</v>
      </c>
      <c r="D9" t="s">
        <v>64</v>
      </c>
      <c r="E9" s="1">
        <v>45118.375</v>
      </c>
      <c r="F9" s="1">
        <v>45118.75</v>
      </c>
      <c r="G9" t="s">
        <v>41</v>
      </c>
      <c r="H9" t="s">
        <v>56</v>
      </c>
      <c r="J9" t="s">
        <v>50</v>
      </c>
      <c r="L9" t="s">
        <v>52</v>
      </c>
      <c r="M9" t="s">
        <v>63</v>
      </c>
      <c r="N9" s="1">
        <v>45114.406967592593</v>
      </c>
    </row>
    <row r="10" spans="1:26" ht="34.799999999999997">
      <c r="A10" s="12" t="str">
        <f t="shared" si="0"/>
        <v>Completed</v>
      </c>
      <c r="B10" s="46" t="s">
        <v>39</v>
      </c>
      <c r="C10">
        <v>6906</v>
      </c>
      <c r="D10" t="s">
        <v>65</v>
      </c>
      <c r="E10" s="1">
        <v>45110.645833333336</v>
      </c>
      <c r="F10" s="1">
        <v>45110.651388888888</v>
      </c>
      <c r="G10" t="s">
        <v>41</v>
      </c>
      <c r="H10" t="s">
        <v>49</v>
      </c>
      <c r="J10" t="s">
        <v>50</v>
      </c>
      <c r="L10" t="s">
        <v>44</v>
      </c>
      <c r="M10" t="s">
        <v>53</v>
      </c>
      <c r="N10" s="1">
        <v>45107.481203703705</v>
      </c>
    </row>
    <row r="11" spans="1:26" ht="34.799999999999997">
      <c r="A11" s="12" t="str">
        <f t="shared" si="0"/>
        <v>Completed</v>
      </c>
      <c r="B11" s="46" t="s">
        <v>39</v>
      </c>
      <c r="C11">
        <v>6560</v>
      </c>
      <c r="D11" t="s">
        <v>66</v>
      </c>
      <c r="E11" s="1">
        <v>45105.548611111109</v>
      </c>
      <c r="F11" s="1">
        <v>45105.579861111109</v>
      </c>
      <c r="G11" t="s">
        <v>41</v>
      </c>
      <c r="H11" t="s">
        <v>56</v>
      </c>
      <c r="J11" t="s">
        <v>50</v>
      </c>
      <c r="L11" t="s">
        <v>44</v>
      </c>
      <c r="M11" t="s">
        <v>67</v>
      </c>
      <c r="N11" s="1">
        <v>45099.635439814818</v>
      </c>
    </row>
    <row r="12" spans="1:26" ht="34.799999999999997">
      <c r="A12" s="12" t="str">
        <f t="shared" si="0"/>
        <v>Completed</v>
      </c>
      <c r="B12" s="46" t="s">
        <v>39</v>
      </c>
      <c r="C12">
        <v>6473</v>
      </c>
      <c r="D12" t="s">
        <v>68</v>
      </c>
      <c r="E12" s="1">
        <v>45106.5625</v>
      </c>
      <c r="F12" s="1">
        <v>45106.586111111108</v>
      </c>
      <c r="G12" t="s">
        <v>41</v>
      </c>
      <c r="H12" t="s">
        <v>56</v>
      </c>
      <c r="J12" t="s">
        <v>50</v>
      </c>
      <c r="L12" t="s">
        <v>44</v>
      </c>
      <c r="M12" t="s">
        <v>69</v>
      </c>
      <c r="N12" s="1">
        <v>45097.63212962963</v>
      </c>
    </row>
    <row r="13" spans="1:26" ht="34.799999999999997">
      <c r="A13" s="12" t="str">
        <f t="shared" si="0"/>
        <v>Completed</v>
      </c>
      <c r="B13" s="46" t="s">
        <v>39</v>
      </c>
      <c r="C13">
        <v>5321</v>
      </c>
      <c r="D13" t="s">
        <v>70</v>
      </c>
      <c r="E13" s="1">
        <v>45071.701388888891</v>
      </c>
      <c r="F13" s="1">
        <v>45071.98333333333</v>
      </c>
      <c r="G13" t="s">
        <v>41</v>
      </c>
      <c r="H13" t="s">
        <v>56</v>
      </c>
      <c r="J13" t="s">
        <v>50</v>
      </c>
      <c r="L13" t="s">
        <v>44</v>
      </c>
      <c r="M13" t="s">
        <v>71</v>
      </c>
      <c r="N13" s="1">
        <v>45068.416863425926</v>
      </c>
    </row>
    <row r="14" spans="1:26" ht="34.799999999999997">
      <c r="A14" s="12" t="str">
        <f t="shared" si="0"/>
        <v>Completed</v>
      </c>
      <c r="B14" s="46" t="s">
        <v>39</v>
      </c>
      <c r="C14">
        <v>4807</v>
      </c>
      <c r="D14" t="s">
        <v>72</v>
      </c>
      <c r="E14" s="1">
        <v>45055.625</v>
      </c>
      <c r="F14" s="1">
        <v>45055.635416666664</v>
      </c>
      <c r="G14" t="s">
        <v>41</v>
      </c>
      <c r="J14" t="s">
        <v>50</v>
      </c>
      <c r="L14" t="s">
        <v>44</v>
      </c>
      <c r="M14" t="s">
        <v>53</v>
      </c>
      <c r="N14" s="1">
        <v>45055.654699074075</v>
      </c>
    </row>
    <row r="15" spans="1:26" ht="34.799999999999997">
      <c r="A15" s="12" t="str">
        <f t="shared" si="0"/>
        <v>Completed</v>
      </c>
      <c r="B15" s="46" t="s">
        <v>39</v>
      </c>
      <c r="C15">
        <v>4780</v>
      </c>
      <c r="D15" t="s">
        <v>73</v>
      </c>
      <c r="E15" s="1">
        <v>45057.375</v>
      </c>
      <c r="F15" s="1">
        <v>45057.427083333336</v>
      </c>
      <c r="G15" t="s">
        <v>41</v>
      </c>
      <c r="H15" t="s">
        <v>56</v>
      </c>
      <c r="J15" t="s">
        <v>50</v>
      </c>
      <c r="L15" t="s">
        <v>44</v>
      </c>
      <c r="M15" t="s">
        <v>74</v>
      </c>
      <c r="N15" s="1">
        <v>45055.474652777775</v>
      </c>
    </row>
    <row r="16" spans="1:26" ht="34.799999999999997">
      <c r="A16" s="12" t="str">
        <f t="shared" si="0"/>
        <v>Completed</v>
      </c>
      <c r="B16" s="46" t="s">
        <v>39</v>
      </c>
      <c r="C16">
        <v>4712</v>
      </c>
      <c r="D16" t="s">
        <v>75</v>
      </c>
      <c r="E16" s="1">
        <v>45057.552777777775</v>
      </c>
      <c r="F16" s="1">
        <v>45057.574999999997</v>
      </c>
      <c r="G16" t="s">
        <v>41</v>
      </c>
      <c r="H16" t="s">
        <v>56</v>
      </c>
      <c r="J16" t="s">
        <v>50</v>
      </c>
      <c r="L16" t="s">
        <v>44</v>
      </c>
      <c r="M16" t="s">
        <v>76</v>
      </c>
      <c r="N16" s="1">
        <v>45054.576805555553</v>
      </c>
    </row>
    <row r="17" spans="1:1">
      <c r="A17" s="12" t="str">
        <f t="shared" si="0"/>
        <v>01</v>
      </c>
    </row>
    <row r="18" spans="1:1">
      <c r="A18" s="12" t="str">
        <f t="shared" si="0"/>
        <v>01</v>
      </c>
    </row>
    <row r="19" spans="1:1">
      <c r="A19" s="12" t="str">
        <f t="shared" si="0"/>
        <v>01</v>
      </c>
    </row>
    <row r="20" spans="1:1">
      <c r="A20" s="12" t="str">
        <f t="shared" si="0"/>
        <v>01</v>
      </c>
    </row>
    <row r="21" spans="1:1">
      <c r="A21" s="12" t="str">
        <f t="shared" si="0"/>
        <v>01</v>
      </c>
    </row>
    <row r="22" spans="1:1">
      <c r="A22" s="12" t="str">
        <f t="shared" si="0"/>
        <v>01</v>
      </c>
    </row>
    <row r="23" spans="1:1">
      <c r="A23" s="12" t="str">
        <f t="shared" si="0"/>
        <v>01</v>
      </c>
    </row>
    <row r="24" spans="1:1">
      <c r="A24" s="12" t="str">
        <f t="shared" si="0"/>
        <v>01</v>
      </c>
    </row>
    <row r="25" spans="1:1">
      <c r="A25" s="12" t="str">
        <f t="shared" si="0"/>
        <v>01</v>
      </c>
    </row>
    <row r="26" spans="1:1">
      <c r="A26" s="12" t="str">
        <f t="shared" si="0"/>
        <v>01</v>
      </c>
    </row>
    <row r="27" spans="1:1">
      <c r="A27" s="12" t="str">
        <f t="shared" si="0"/>
        <v>01</v>
      </c>
    </row>
    <row r="28" spans="1:1">
      <c r="A28" s="12" t="str">
        <f t="shared" si="0"/>
        <v>01</v>
      </c>
    </row>
    <row r="29" spans="1:1">
      <c r="A29" s="12" t="str">
        <f t="shared" si="0"/>
        <v>01</v>
      </c>
    </row>
    <row r="30" spans="1:1">
      <c r="A30" s="12" t="str">
        <f t="shared" si="0"/>
        <v>01</v>
      </c>
    </row>
    <row r="31" spans="1:1">
      <c r="A31" s="12" t="str">
        <f t="shared" si="0"/>
        <v>01</v>
      </c>
    </row>
    <row r="32" spans="1:1">
      <c r="A32" s="12" t="str">
        <f t="shared" si="0"/>
        <v>01</v>
      </c>
    </row>
    <row r="33" spans="1:1">
      <c r="A33" s="12" t="str">
        <f t="shared" si="0"/>
        <v>01</v>
      </c>
    </row>
    <row r="34" spans="1:1">
      <c r="A34" s="12" t="str">
        <f t="shared" si="0"/>
        <v>01</v>
      </c>
    </row>
    <row r="35" spans="1:1">
      <c r="A35" s="12" t="str">
        <f t="shared" si="0"/>
        <v>01</v>
      </c>
    </row>
    <row r="36" spans="1:1">
      <c r="A36" s="12" t="str">
        <f t="shared" si="0"/>
        <v>01</v>
      </c>
    </row>
    <row r="37" spans="1:1">
      <c r="A37" s="12" t="str">
        <f t="shared" si="0"/>
        <v>01</v>
      </c>
    </row>
    <row r="38" spans="1:1">
      <c r="A38" s="12" t="str">
        <f t="shared" si="0"/>
        <v>01</v>
      </c>
    </row>
    <row r="39" spans="1:1">
      <c r="A39" s="12" t="str">
        <f t="shared" si="0"/>
        <v>01</v>
      </c>
    </row>
    <row r="40" spans="1:1">
      <c r="A40" s="12" t="str">
        <f t="shared" si="0"/>
        <v>01</v>
      </c>
    </row>
    <row r="41" spans="1:1">
      <c r="A41" s="12" t="str">
        <f t="shared" si="0"/>
        <v>01</v>
      </c>
    </row>
    <row r="42" spans="1:1">
      <c r="A42" s="12" t="str">
        <f t="shared" si="0"/>
        <v>01</v>
      </c>
    </row>
    <row r="43" spans="1:1">
      <c r="A43" s="12" t="str">
        <f t="shared" si="0"/>
        <v>01</v>
      </c>
    </row>
    <row r="44" spans="1:1">
      <c r="A44" s="12" t="str">
        <f t="shared" si="0"/>
        <v>01</v>
      </c>
    </row>
    <row r="45" spans="1:1">
      <c r="A45" s="12" t="str">
        <f t="shared" si="0"/>
        <v>01</v>
      </c>
    </row>
    <row r="46" spans="1:1">
      <c r="A46" s="12" t="str">
        <f t="shared" si="0"/>
        <v>01</v>
      </c>
    </row>
    <row r="47" spans="1:1">
      <c r="A47" s="12" t="str">
        <f t="shared" si="0"/>
        <v>01</v>
      </c>
    </row>
    <row r="48" spans="1:1">
      <c r="A48" s="12" t="str">
        <f t="shared" si="0"/>
        <v>01</v>
      </c>
    </row>
    <row r="49" spans="1:1">
      <c r="A49" s="12" t="str">
        <f t="shared" si="0"/>
        <v>01</v>
      </c>
    </row>
    <row r="50" spans="1:1">
      <c r="A50" s="12" t="str">
        <f t="shared" si="0"/>
        <v>01</v>
      </c>
    </row>
    <row r="51" spans="1:1">
      <c r="A51" s="12" t="str">
        <f t="shared" si="0"/>
        <v>01</v>
      </c>
    </row>
    <row r="52" spans="1:1">
      <c r="A52" s="12" t="str">
        <f t="shared" si="0"/>
        <v>01</v>
      </c>
    </row>
    <row r="53" spans="1:1">
      <c r="A53" s="12" t="str">
        <f t="shared" si="0"/>
        <v>01</v>
      </c>
    </row>
    <row r="54" spans="1:1">
      <c r="A54" s="12" t="str">
        <f t="shared" si="0"/>
        <v>01</v>
      </c>
    </row>
    <row r="55" spans="1:1">
      <c r="A55" s="12" t="str">
        <f t="shared" si="0"/>
        <v>01</v>
      </c>
    </row>
    <row r="56" spans="1:1">
      <c r="A56" s="12" t="str">
        <f t="shared" si="0"/>
        <v>01</v>
      </c>
    </row>
    <row r="57" spans="1:1">
      <c r="A57" s="12" t="str">
        <f t="shared" si="0"/>
        <v>01</v>
      </c>
    </row>
    <row r="58" spans="1:1">
      <c r="A58" s="12" t="str">
        <f t="shared" si="0"/>
        <v>01</v>
      </c>
    </row>
    <row r="59" spans="1:1">
      <c r="A59" s="12" t="str">
        <f t="shared" si="0"/>
        <v>01</v>
      </c>
    </row>
    <row r="60" spans="1:1">
      <c r="A60" s="12" t="str">
        <f t="shared" si="0"/>
        <v>01</v>
      </c>
    </row>
    <row r="61" spans="1:1">
      <c r="A61" s="12" t="str">
        <f t="shared" si="0"/>
        <v>01</v>
      </c>
    </row>
    <row r="62" spans="1:1">
      <c r="A62" s="12" t="str">
        <f t="shared" si="0"/>
        <v>01</v>
      </c>
    </row>
    <row r="63" spans="1:1">
      <c r="A63" s="12" t="str">
        <f t="shared" si="0"/>
        <v>01</v>
      </c>
    </row>
    <row r="64" spans="1:1">
      <c r="A64" s="12" t="str">
        <f t="shared" si="0"/>
        <v>01</v>
      </c>
    </row>
    <row r="65" spans="1:1">
      <c r="A65" s="12" t="str">
        <f t="shared" si="0"/>
        <v>01</v>
      </c>
    </row>
    <row r="66" spans="1:1">
      <c r="A66" s="12" t="str">
        <f t="shared" si="0"/>
        <v>01</v>
      </c>
    </row>
    <row r="67" spans="1:1">
      <c r="A67" s="12" t="str">
        <f t="shared" ref="A67:A130" si="1">TEXT(L67,"MM")</f>
        <v>01</v>
      </c>
    </row>
    <row r="68" spans="1:1">
      <c r="A68" s="12" t="str">
        <f t="shared" si="1"/>
        <v>01</v>
      </c>
    </row>
    <row r="69" spans="1:1">
      <c r="A69" s="12" t="str">
        <f t="shared" si="1"/>
        <v>01</v>
      </c>
    </row>
    <row r="70" spans="1:1">
      <c r="A70" s="12" t="str">
        <f t="shared" si="1"/>
        <v>01</v>
      </c>
    </row>
    <row r="71" spans="1:1">
      <c r="A71" s="12" t="str">
        <f t="shared" si="1"/>
        <v>01</v>
      </c>
    </row>
    <row r="72" spans="1:1">
      <c r="A72" s="12" t="str">
        <f t="shared" si="1"/>
        <v>01</v>
      </c>
    </row>
    <row r="73" spans="1:1">
      <c r="A73" s="12" t="str">
        <f t="shared" si="1"/>
        <v>01</v>
      </c>
    </row>
    <row r="74" spans="1:1">
      <c r="A74" s="12" t="str">
        <f t="shared" si="1"/>
        <v>01</v>
      </c>
    </row>
    <row r="75" spans="1:1">
      <c r="A75" s="12" t="str">
        <f t="shared" si="1"/>
        <v>01</v>
      </c>
    </row>
    <row r="76" spans="1:1">
      <c r="A76" s="12" t="str">
        <f t="shared" si="1"/>
        <v>01</v>
      </c>
    </row>
    <row r="77" spans="1:1">
      <c r="A77" s="12" t="str">
        <f t="shared" si="1"/>
        <v>01</v>
      </c>
    </row>
    <row r="78" spans="1:1">
      <c r="A78" s="12" t="str">
        <f t="shared" si="1"/>
        <v>01</v>
      </c>
    </row>
    <row r="79" spans="1:1">
      <c r="A79" s="12" t="str">
        <f t="shared" si="1"/>
        <v>01</v>
      </c>
    </row>
    <row r="80" spans="1:1">
      <c r="A80" s="12" t="str">
        <f t="shared" si="1"/>
        <v>01</v>
      </c>
    </row>
    <row r="81" spans="1:1">
      <c r="A81" s="12" t="str">
        <f t="shared" si="1"/>
        <v>01</v>
      </c>
    </row>
    <row r="82" spans="1:1">
      <c r="A82" s="12" t="str">
        <f t="shared" si="1"/>
        <v>01</v>
      </c>
    </row>
    <row r="83" spans="1:1">
      <c r="A83" s="12" t="str">
        <f t="shared" si="1"/>
        <v>01</v>
      </c>
    </row>
    <row r="84" spans="1:1">
      <c r="A84" s="12" t="str">
        <f t="shared" si="1"/>
        <v>01</v>
      </c>
    </row>
    <row r="85" spans="1:1">
      <c r="A85" s="12" t="str">
        <f t="shared" si="1"/>
        <v>01</v>
      </c>
    </row>
    <row r="86" spans="1:1">
      <c r="A86" s="12" t="str">
        <f t="shared" si="1"/>
        <v>01</v>
      </c>
    </row>
    <row r="87" spans="1:1">
      <c r="A87" s="12" t="str">
        <f t="shared" si="1"/>
        <v>01</v>
      </c>
    </row>
    <row r="88" spans="1:1">
      <c r="A88" s="12" t="str">
        <f t="shared" si="1"/>
        <v>01</v>
      </c>
    </row>
    <row r="89" spans="1:1">
      <c r="A89" s="12" t="str">
        <f t="shared" si="1"/>
        <v>01</v>
      </c>
    </row>
    <row r="90" spans="1:1">
      <c r="A90" s="12" t="str">
        <f t="shared" si="1"/>
        <v>01</v>
      </c>
    </row>
    <row r="91" spans="1:1">
      <c r="A91" s="12" t="str">
        <f t="shared" si="1"/>
        <v>01</v>
      </c>
    </row>
    <row r="92" spans="1:1">
      <c r="A92" s="12" t="str">
        <f t="shared" si="1"/>
        <v>01</v>
      </c>
    </row>
    <row r="93" spans="1:1">
      <c r="A93" s="12" t="str">
        <f t="shared" si="1"/>
        <v>01</v>
      </c>
    </row>
    <row r="94" spans="1:1">
      <c r="A94" s="12" t="str">
        <f t="shared" si="1"/>
        <v>01</v>
      </c>
    </row>
    <row r="95" spans="1:1">
      <c r="A95" s="12" t="str">
        <f t="shared" si="1"/>
        <v>01</v>
      </c>
    </row>
    <row r="96" spans="1:1">
      <c r="A96" s="12" t="str">
        <f t="shared" si="1"/>
        <v>01</v>
      </c>
    </row>
    <row r="97" spans="1:1">
      <c r="A97" s="12" t="str">
        <f t="shared" si="1"/>
        <v>01</v>
      </c>
    </row>
    <row r="98" spans="1:1">
      <c r="A98" s="12" t="str">
        <f t="shared" si="1"/>
        <v>01</v>
      </c>
    </row>
    <row r="99" spans="1:1">
      <c r="A99" s="12" t="str">
        <f t="shared" si="1"/>
        <v>01</v>
      </c>
    </row>
    <row r="100" spans="1:1">
      <c r="A100" s="12" t="str">
        <f t="shared" si="1"/>
        <v>01</v>
      </c>
    </row>
    <row r="101" spans="1:1">
      <c r="A101" s="12" t="str">
        <f t="shared" si="1"/>
        <v>01</v>
      </c>
    </row>
    <row r="102" spans="1:1">
      <c r="A102" s="12" t="str">
        <f t="shared" si="1"/>
        <v>01</v>
      </c>
    </row>
    <row r="103" spans="1:1">
      <c r="A103" s="12" t="str">
        <f t="shared" si="1"/>
        <v>01</v>
      </c>
    </row>
    <row r="104" spans="1:1">
      <c r="A104" s="12" t="str">
        <f t="shared" si="1"/>
        <v>01</v>
      </c>
    </row>
    <row r="105" spans="1:1">
      <c r="A105" s="12" t="str">
        <f t="shared" si="1"/>
        <v>01</v>
      </c>
    </row>
    <row r="106" spans="1:1">
      <c r="A106" s="12" t="str">
        <f t="shared" si="1"/>
        <v>01</v>
      </c>
    </row>
    <row r="107" spans="1:1">
      <c r="A107" s="12" t="str">
        <f t="shared" si="1"/>
        <v>01</v>
      </c>
    </row>
    <row r="108" spans="1:1">
      <c r="A108" s="12" t="str">
        <f t="shared" si="1"/>
        <v>01</v>
      </c>
    </row>
    <row r="109" spans="1:1">
      <c r="A109" s="12" t="str">
        <f t="shared" si="1"/>
        <v>01</v>
      </c>
    </row>
    <row r="110" spans="1:1">
      <c r="A110" s="12" t="str">
        <f t="shared" si="1"/>
        <v>01</v>
      </c>
    </row>
    <row r="111" spans="1:1">
      <c r="A111" s="12" t="str">
        <f t="shared" si="1"/>
        <v>01</v>
      </c>
    </row>
    <row r="112" spans="1:1">
      <c r="A112" s="12" t="str">
        <f t="shared" si="1"/>
        <v>01</v>
      </c>
    </row>
    <row r="113" spans="1:1">
      <c r="A113" s="12" t="str">
        <f t="shared" si="1"/>
        <v>01</v>
      </c>
    </row>
    <row r="114" spans="1:1">
      <c r="A114" s="12" t="str">
        <f t="shared" si="1"/>
        <v>01</v>
      </c>
    </row>
    <row r="115" spans="1:1">
      <c r="A115" s="12" t="str">
        <f t="shared" si="1"/>
        <v>01</v>
      </c>
    </row>
    <row r="116" spans="1:1">
      <c r="A116" s="12" t="str">
        <f t="shared" si="1"/>
        <v>01</v>
      </c>
    </row>
    <row r="117" spans="1:1">
      <c r="A117" s="12" t="str">
        <f t="shared" si="1"/>
        <v>01</v>
      </c>
    </row>
    <row r="118" spans="1:1">
      <c r="A118" s="12" t="str">
        <f t="shared" si="1"/>
        <v>01</v>
      </c>
    </row>
    <row r="119" spans="1:1">
      <c r="A119" s="12" t="str">
        <f t="shared" si="1"/>
        <v>01</v>
      </c>
    </row>
    <row r="120" spans="1:1">
      <c r="A120" s="12" t="str">
        <f t="shared" si="1"/>
        <v>01</v>
      </c>
    </row>
    <row r="121" spans="1:1">
      <c r="A121" s="12" t="str">
        <f t="shared" si="1"/>
        <v>01</v>
      </c>
    </row>
    <row r="122" spans="1:1">
      <c r="A122" s="12" t="str">
        <f t="shared" si="1"/>
        <v>01</v>
      </c>
    </row>
    <row r="123" spans="1:1">
      <c r="A123" s="12" t="str">
        <f t="shared" si="1"/>
        <v>01</v>
      </c>
    </row>
    <row r="124" spans="1:1">
      <c r="A124" s="12" t="str">
        <f t="shared" si="1"/>
        <v>01</v>
      </c>
    </row>
    <row r="125" spans="1:1">
      <c r="A125" s="12" t="str">
        <f t="shared" si="1"/>
        <v>01</v>
      </c>
    </row>
    <row r="126" spans="1:1">
      <c r="A126" s="12" t="str">
        <f t="shared" si="1"/>
        <v>01</v>
      </c>
    </row>
    <row r="127" spans="1:1">
      <c r="A127" s="12" t="str">
        <f t="shared" si="1"/>
        <v>01</v>
      </c>
    </row>
    <row r="128" spans="1:1">
      <c r="A128" s="12" t="str">
        <f t="shared" si="1"/>
        <v>01</v>
      </c>
    </row>
    <row r="129" spans="1:1">
      <c r="A129" s="12" t="str">
        <f t="shared" si="1"/>
        <v>01</v>
      </c>
    </row>
    <row r="130" spans="1:1">
      <c r="A130" s="12" t="str">
        <f t="shared" si="1"/>
        <v>01</v>
      </c>
    </row>
    <row r="131" spans="1:1">
      <c r="A131" s="12" t="str">
        <f t="shared" ref="A131:A194" si="2">TEXT(L131,"MM")</f>
        <v>01</v>
      </c>
    </row>
    <row r="132" spans="1:1">
      <c r="A132" s="12" t="str">
        <f t="shared" si="2"/>
        <v>01</v>
      </c>
    </row>
    <row r="133" spans="1:1">
      <c r="A133" s="12" t="str">
        <f t="shared" si="2"/>
        <v>01</v>
      </c>
    </row>
    <row r="134" spans="1:1">
      <c r="A134" s="12" t="str">
        <f t="shared" si="2"/>
        <v>01</v>
      </c>
    </row>
    <row r="135" spans="1:1">
      <c r="A135" s="12" t="str">
        <f t="shared" si="2"/>
        <v>01</v>
      </c>
    </row>
    <row r="136" spans="1:1">
      <c r="A136" s="12" t="str">
        <f t="shared" si="2"/>
        <v>01</v>
      </c>
    </row>
    <row r="137" spans="1:1">
      <c r="A137" s="12" t="str">
        <f t="shared" si="2"/>
        <v>01</v>
      </c>
    </row>
    <row r="138" spans="1:1">
      <c r="A138" s="12" t="str">
        <f t="shared" si="2"/>
        <v>01</v>
      </c>
    </row>
    <row r="139" spans="1:1">
      <c r="A139" s="12" t="str">
        <f t="shared" si="2"/>
        <v>01</v>
      </c>
    </row>
    <row r="140" spans="1:1">
      <c r="A140" s="12" t="str">
        <f t="shared" si="2"/>
        <v>01</v>
      </c>
    </row>
    <row r="141" spans="1:1">
      <c r="A141" s="12" t="str">
        <f t="shared" si="2"/>
        <v>01</v>
      </c>
    </row>
    <row r="142" spans="1:1">
      <c r="A142" s="12" t="str">
        <f t="shared" si="2"/>
        <v>01</v>
      </c>
    </row>
    <row r="143" spans="1:1">
      <c r="A143" s="12" t="str">
        <f t="shared" si="2"/>
        <v>01</v>
      </c>
    </row>
    <row r="144" spans="1:1">
      <c r="A144" s="12" t="str">
        <f t="shared" si="2"/>
        <v>01</v>
      </c>
    </row>
    <row r="145" spans="1:1">
      <c r="A145" s="12" t="str">
        <f t="shared" si="2"/>
        <v>01</v>
      </c>
    </row>
    <row r="146" spans="1:1">
      <c r="A146" s="12" t="str">
        <f t="shared" si="2"/>
        <v>01</v>
      </c>
    </row>
    <row r="147" spans="1:1">
      <c r="A147" s="12" t="str">
        <f t="shared" si="2"/>
        <v>01</v>
      </c>
    </row>
    <row r="148" spans="1:1">
      <c r="A148" s="12" t="str">
        <f t="shared" si="2"/>
        <v>01</v>
      </c>
    </row>
    <row r="149" spans="1:1">
      <c r="A149" s="12" t="str">
        <f t="shared" si="2"/>
        <v>01</v>
      </c>
    </row>
    <row r="150" spans="1:1">
      <c r="A150" s="12" t="str">
        <f t="shared" si="2"/>
        <v>01</v>
      </c>
    </row>
    <row r="151" spans="1:1">
      <c r="A151" s="12" t="str">
        <f t="shared" si="2"/>
        <v>01</v>
      </c>
    </row>
    <row r="152" spans="1:1">
      <c r="A152" s="12" t="str">
        <f t="shared" si="2"/>
        <v>01</v>
      </c>
    </row>
    <row r="153" spans="1:1">
      <c r="A153" s="12" t="str">
        <f t="shared" si="2"/>
        <v>01</v>
      </c>
    </row>
    <row r="154" spans="1:1">
      <c r="A154" s="12" t="str">
        <f t="shared" si="2"/>
        <v>01</v>
      </c>
    </row>
    <row r="155" spans="1:1">
      <c r="A155" s="12" t="str">
        <f t="shared" si="2"/>
        <v>01</v>
      </c>
    </row>
    <row r="156" spans="1:1">
      <c r="A156" s="12" t="str">
        <f t="shared" si="2"/>
        <v>01</v>
      </c>
    </row>
    <row r="157" spans="1:1">
      <c r="A157" s="12" t="str">
        <f t="shared" si="2"/>
        <v>01</v>
      </c>
    </row>
    <row r="158" spans="1:1">
      <c r="A158" s="12" t="str">
        <f t="shared" si="2"/>
        <v>01</v>
      </c>
    </row>
    <row r="159" spans="1:1">
      <c r="A159" s="12" t="str">
        <f t="shared" si="2"/>
        <v>01</v>
      </c>
    </row>
    <row r="160" spans="1:1">
      <c r="A160" s="12" t="str">
        <f t="shared" si="2"/>
        <v>01</v>
      </c>
    </row>
    <row r="161" spans="1:1">
      <c r="A161" s="12" t="str">
        <f t="shared" si="2"/>
        <v>01</v>
      </c>
    </row>
    <row r="162" spans="1:1">
      <c r="A162" s="12" t="str">
        <f t="shared" si="2"/>
        <v>01</v>
      </c>
    </row>
    <row r="163" spans="1:1">
      <c r="A163" s="12" t="str">
        <f t="shared" si="2"/>
        <v>01</v>
      </c>
    </row>
    <row r="164" spans="1:1">
      <c r="A164" s="12" t="str">
        <f t="shared" si="2"/>
        <v>01</v>
      </c>
    </row>
    <row r="165" spans="1:1">
      <c r="A165" s="12" t="str">
        <f t="shared" si="2"/>
        <v>01</v>
      </c>
    </row>
    <row r="166" spans="1:1">
      <c r="A166" s="12" t="str">
        <f t="shared" si="2"/>
        <v>01</v>
      </c>
    </row>
    <row r="167" spans="1:1">
      <c r="A167" s="12" t="str">
        <f t="shared" si="2"/>
        <v>01</v>
      </c>
    </row>
    <row r="168" spans="1:1">
      <c r="A168" s="12" t="str">
        <f t="shared" si="2"/>
        <v>01</v>
      </c>
    </row>
    <row r="169" spans="1:1">
      <c r="A169" s="12" t="str">
        <f t="shared" si="2"/>
        <v>01</v>
      </c>
    </row>
    <row r="170" spans="1:1">
      <c r="A170" s="12" t="str">
        <f t="shared" si="2"/>
        <v>01</v>
      </c>
    </row>
    <row r="171" spans="1:1">
      <c r="A171" s="12" t="str">
        <f t="shared" si="2"/>
        <v>01</v>
      </c>
    </row>
    <row r="172" spans="1:1">
      <c r="A172" s="12" t="str">
        <f t="shared" si="2"/>
        <v>01</v>
      </c>
    </row>
    <row r="173" spans="1:1">
      <c r="A173" s="12" t="str">
        <f t="shared" si="2"/>
        <v>01</v>
      </c>
    </row>
    <row r="174" spans="1:1">
      <c r="A174" s="12" t="str">
        <f t="shared" si="2"/>
        <v>01</v>
      </c>
    </row>
    <row r="175" spans="1:1">
      <c r="A175" s="12" t="str">
        <f t="shared" si="2"/>
        <v>01</v>
      </c>
    </row>
    <row r="176" spans="1:1">
      <c r="A176" s="12" t="str">
        <f t="shared" si="2"/>
        <v>01</v>
      </c>
    </row>
    <row r="177" spans="1:1">
      <c r="A177" s="12" t="str">
        <f t="shared" si="2"/>
        <v>01</v>
      </c>
    </row>
    <row r="178" spans="1:1">
      <c r="A178" s="12" t="str">
        <f t="shared" si="2"/>
        <v>01</v>
      </c>
    </row>
    <row r="179" spans="1:1">
      <c r="A179" s="12" t="str">
        <f t="shared" si="2"/>
        <v>01</v>
      </c>
    </row>
    <row r="180" spans="1:1">
      <c r="A180" s="12" t="str">
        <f t="shared" si="2"/>
        <v>01</v>
      </c>
    </row>
    <row r="181" spans="1:1">
      <c r="A181" s="12" t="str">
        <f t="shared" si="2"/>
        <v>01</v>
      </c>
    </row>
    <row r="182" spans="1:1">
      <c r="A182" s="12" t="str">
        <f t="shared" si="2"/>
        <v>01</v>
      </c>
    </row>
    <row r="183" spans="1:1">
      <c r="A183" s="12" t="str">
        <f t="shared" si="2"/>
        <v>01</v>
      </c>
    </row>
    <row r="184" spans="1:1">
      <c r="A184" s="12" t="str">
        <f t="shared" si="2"/>
        <v>01</v>
      </c>
    </row>
    <row r="185" spans="1:1">
      <c r="A185" s="12" t="str">
        <f t="shared" si="2"/>
        <v>01</v>
      </c>
    </row>
    <row r="186" spans="1:1">
      <c r="A186" s="12" t="str">
        <f t="shared" si="2"/>
        <v>01</v>
      </c>
    </row>
    <row r="187" spans="1:1">
      <c r="A187" s="12" t="str">
        <f t="shared" si="2"/>
        <v>01</v>
      </c>
    </row>
    <row r="188" spans="1:1">
      <c r="A188" s="12" t="str">
        <f t="shared" si="2"/>
        <v>01</v>
      </c>
    </row>
    <row r="189" spans="1:1">
      <c r="A189" s="12" t="str">
        <f t="shared" si="2"/>
        <v>01</v>
      </c>
    </row>
    <row r="190" spans="1:1">
      <c r="A190" s="12" t="str">
        <f t="shared" si="2"/>
        <v>01</v>
      </c>
    </row>
    <row r="191" spans="1:1">
      <c r="A191" s="12" t="str">
        <f t="shared" si="2"/>
        <v>01</v>
      </c>
    </row>
    <row r="192" spans="1:1">
      <c r="A192" s="12" t="str">
        <f t="shared" si="2"/>
        <v>01</v>
      </c>
    </row>
    <row r="193" spans="1:1">
      <c r="A193" s="12" t="str">
        <f t="shared" si="2"/>
        <v>01</v>
      </c>
    </row>
    <row r="194" spans="1:1">
      <c r="A194" s="12" t="str">
        <f t="shared" si="2"/>
        <v>01</v>
      </c>
    </row>
    <row r="195" spans="1:1">
      <c r="A195" s="12" t="str">
        <f t="shared" ref="A195:A258" si="3">TEXT(L195,"MM")</f>
        <v>01</v>
      </c>
    </row>
    <row r="196" spans="1:1">
      <c r="A196" s="12" t="str">
        <f t="shared" si="3"/>
        <v>01</v>
      </c>
    </row>
    <row r="197" spans="1:1">
      <c r="A197" s="12" t="str">
        <f t="shared" si="3"/>
        <v>01</v>
      </c>
    </row>
    <row r="198" spans="1:1">
      <c r="A198" s="12" t="str">
        <f t="shared" si="3"/>
        <v>01</v>
      </c>
    </row>
    <row r="199" spans="1:1">
      <c r="A199" s="12" t="str">
        <f t="shared" si="3"/>
        <v>01</v>
      </c>
    </row>
    <row r="200" spans="1:1">
      <c r="A200" s="12" t="str">
        <f t="shared" si="3"/>
        <v>01</v>
      </c>
    </row>
    <row r="201" spans="1:1">
      <c r="A201" s="12" t="str">
        <f t="shared" si="3"/>
        <v>01</v>
      </c>
    </row>
    <row r="202" spans="1:1">
      <c r="A202" s="12" t="str">
        <f t="shared" si="3"/>
        <v>01</v>
      </c>
    </row>
    <row r="203" spans="1:1">
      <c r="A203" s="12" t="str">
        <f t="shared" si="3"/>
        <v>01</v>
      </c>
    </row>
    <row r="204" spans="1:1">
      <c r="A204" s="12" t="str">
        <f t="shared" si="3"/>
        <v>01</v>
      </c>
    </row>
    <row r="205" spans="1:1">
      <c r="A205" s="12" t="str">
        <f t="shared" si="3"/>
        <v>01</v>
      </c>
    </row>
    <row r="206" spans="1:1">
      <c r="A206" s="12" t="str">
        <f t="shared" si="3"/>
        <v>01</v>
      </c>
    </row>
    <row r="207" spans="1:1">
      <c r="A207" s="12" t="str">
        <f t="shared" si="3"/>
        <v>01</v>
      </c>
    </row>
    <row r="208" spans="1:1">
      <c r="A208" s="12" t="str">
        <f t="shared" si="3"/>
        <v>01</v>
      </c>
    </row>
    <row r="209" spans="1:1">
      <c r="A209" s="12" t="str">
        <f t="shared" si="3"/>
        <v>01</v>
      </c>
    </row>
    <row r="210" spans="1:1">
      <c r="A210" s="12" t="str">
        <f t="shared" si="3"/>
        <v>01</v>
      </c>
    </row>
    <row r="211" spans="1:1">
      <c r="A211" s="12" t="str">
        <f t="shared" si="3"/>
        <v>01</v>
      </c>
    </row>
    <row r="212" spans="1:1">
      <c r="A212" s="12" t="str">
        <f t="shared" si="3"/>
        <v>01</v>
      </c>
    </row>
    <row r="213" spans="1:1">
      <c r="A213" s="12" t="str">
        <f t="shared" si="3"/>
        <v>01</v>
      </c>
    </row>
    <row r="214" spans="1:1">
      <c r="A214" s="12" t="str">
        <f t="shared" si="3"/>
        <v>01</v>
      </c>
    </row>
    <row r="215" spans="1:1">
      <c r="A215" s="12" t="str">
        <f t="shared" si="3"/>
        <v>01</v>
      </c>
    </row>
    <row r="216" spans="1:1">
      <c r="A216" s="12" t="str">
        <f t="shared" si="3"/>
        <v>01</v>
      </c>
    </row>
    <row r="217" spans="1:1">
      <c r="A217" s="12" t="str">
        <f t="shared" si="3"/>
        <v>01</v>
      </c>
    </row>
    <row r="218" spans="1:1">
      <c r="A218" s="12" t="str">
        <f t="shared" si="3"/>
        <v>01</v>
      </c>
    </row>
    <row r="219" spans="1:1">
      <c r="A219" s="12" t="str">
        <f t="shared" si="3"/>
        <v>01</v>
      </c>
    </row>
    <row r="220" spans="1:1">
      <c r="A220" s="12" t="str">
        <f t="shared" si="3"/>
        <v>01</v>
      </c>
    </row>
    <row r="221" spans="1:1">
      <c r="A221" s="12" t="str">
        <f t="shared" si="3"/>
        <v>01</v>
      </c>
    </row>
    <row r="222" spans="1:1">
      <c r="A222" s="12" t="str">
        <f t="shared" si="3"/>
        <v>01</v>
      </c>
    </row>
    <row r="223" spans="1:1">
      <c r="A223" s="12" t="str">
        <f t="shared" si="3"/>
        <v>01</v>
      </c>
    </row>
    <row r="224" spans="1:1">
      <c r="A224" s="12" t="str">
        <f t="shared" si="3"/>
        <v>01</v>
      </c>
    </row>
    <row r="225" spans="1:1">
      <c r="A225" s="12" t="str">
        <f t="shared" si="3"/>
        <v>01</v>
      </c>
    </row>
    <row r="226" spans="1:1">
      <c r="A226" s="12" t="str">
        <f t="shared" si="3"/>
        <v>01</v>
      </c>
    </row>
    <row r="227" spans="1:1">
      <c r="A227" s="12" t="str">
        <f t="shared" si="3"/>
        <v>01</v>
      </c>
    </row>
    <row r="228" spans="1:1">
      <c r="A228" s="12" t="str">
        <f t="shared" si="3"/>
        <v>01</v>
      </c>
    </row>
    <row r="229" spans="1:1">
      <c r="A229" s="12" t="str">
        <f t="shared" si="3"/>
        <v>01</v>
      </c>
    </row>
    <row r="230" spans="1:1">
      <c r="A230" s="12" t="str">
        <f t="shared" si="3"/>
        <v>01</v>
      </c>
    </row>
    <row r="231" spans="1:1">
      <c r="A231" s="12" t="str">
        <f t="shared" si="3"/>
        <v>01</v>
      </c>
    </row>
    <row r="232" spans="1:1">
      <c r="A232" s="12" t="str">
        <f t="shared" si="3"/>
        <v>01</v>
      </c>
    </row>
    <row r="233" spans="1:1">
      <c r="A233" s="12" t="str">
        <f t="shared" si="3"/>
        <v>01</v>
      </c>
    </row>
    <row r="234" spans="1:1">
      <c r="A234" s="12" t="str">
        <f t="shared" si="3"/>
        <v>01</v>
      </c>
    </row>
    <row r="235" spans="1:1">
      <c r="A235" s="12" t="str">
        <f t="shared" si="3"/>
        <v>01</v>
      </c>
    </row>
    <row r="236" spans="1:1">
      <c r="A236" s="12" t="str">
        <f t="shared" si="3"/>
        <v>01</v>
      </c>
    </row>
    <row r="237" spans="1:1">
      <c r="A237" s="12" t="str">
        <f t="shared" si="3"/>
        <v>01</v>
      </c>
    </row>
    <row r="238" spans="1:1">
      <c r="A238" s="12" t="str">
        <f t="shared" si="3"/>
        <v>01</v>
      </c>
    </row>
    <row r="239" spans="1:1">
      <c r="A239" s="12" t="str">
        <f t="shared" si="3"/>
        <v>01</v>
      </c>
    </row>
    <row r="240" spans="1:1">
      <c r="A240" s="12" t="str">
        <f t="shared" si="3"/>
        <v>01</v>
      </c>
    </row>
    <row r="241" spans="1:1">
      <c r="A241" s="12" t="str">
        <f t="shared" si="3"/>
        <v>01</v>
      </c>
    </row>
    <row r="242" spans="1:1">
      <c r="A242" s="12" t="str">
        <f t="shared" si="3"/>
        <v>01</v>
      </c>
    </row>
    <row r="243" spans="1:1">
      <c r="A243" s="12" t="str">
        <f t="shared" si="3"/>
        <v>01</v>
      </c>
    </row>
    <row r="244" spans="1:1">
      <c r="A244" s="12" t="str">
        <f t="shared" si="3"/>
        <v>01</v>
      </c>
    </row>
    <row r="245" spans="1:1">
      <c r="A245" s="12" t="str">
        <f t="shared" si="3"/>
        <v>01</v>
      </c>
    </row>
    <row r="246" spans="1:1">
      <c r="A246" s="12" t="str">
        <f t="shared" si="3"/>
        <v>01</v>
      </c>
    </row>
    <row r="247" spans="1:1">
      <c r="A247" s="12" t="str">
        <f t="shared" si="3"/>
        <v>01</v>
      </c>
    </row>
    <row r="248" spans="1:1">
      <c r="A248" s="12" t="str">
        <f t="shared" si="3"/>
        <v>01</v>
      </c>
    </row>
    <row r="249" spans="1:1">
      <c r="A249" s="12" t="str">
        <f t="shared" si="3"/>
        <v>01</v>
      </c>
    </row>
    <row r="250" spans="1:1">
      <c r="A250" s="12" t="str">
        <f t="shared" si="3"/>
        <v>01</v>
      </c>
    </row>
    <row r="251" spans="1:1">
      <c r="A251" s="12" t="str">
        <f t="shared" si="3"/>
        <v>01</v>
      </c>
    </row>
    <row r="252" spans="1:1">
      <c r="A252" s="12" t="str">
        <f t="shared" si="3"/>
        <v>01</v>
      </c>
    </row>
    <row r="253" spans="1:1">
      <c r="A253" s="12" t="str">
        <f t="shared" si="3"/>
        <v>01</v>
      </c>
    </row>
    <row r="254" spans="1:1">
      <c r="A254" s="12" t="str">
        <f t="shared" si="3"/>
        <v>01</v>
      </c>
    </row>
    <row r="255" spans="1:1">
      <c r="A255" s="12" t="str">
        <f t="shared" si="3"/>
        <v>01</v>
      </c>
    </row>
    <row r="256" spans="1:1">
      <c r="A256" s="12" t="str">
        <f t="shared" si="3"/>
        <v>01</v>
      </c>
    </row>
    <row r="257" spans="1:1">
      <c r="A257" s="12" t="str">
        <f t="shared" si="3"/>
        <v>01</v>
      </c>
    </row>
    <row r="258" spans="1:1">
      <c r="A258" s="12" t="str">
        <f t="shared" si="3"/>
        <v>01</v>
      </c>
    </row>
    <row r="259" spans="1:1">
      <c r="A259" s="12" t="str">
        <f t="shared" ref="A259:A322" si="4">TEXT(L259,"MM")</f>
        <v>01</v>
      </c>
    </row>
    <row r="260" spans="1:1">
      <c r="A260" s="12" t="str">
        <f t="shared" si="4"/>
        <v>01</v>
      </c>
    </row>
    <row r="261" spans="1:1">
      <c r="A261" s="12" t="str">
        <f t="shared" si="4"/>
        <v>01</v>
      </c>
    </row>
    <row r="262" spans="1:1">
      <c r="A262" s="12" t="str">
        <f t="shared" si="4"/>
        <v>01</v>
      </c>
    </row>
    <row r="263" spans="1:1">
      <c r="A263" s="12" t="str">
        <f t="shared" si="4"/>
        <v>01</v>
      </c>
    </row>
    <row r="264" spans="1:1">
      <c r="A264" s="12" t="str">
        <f t="shared" si="4"/>
        <v>01</v>
      </c>
    </row>
    <row r="265" spans="1:1">
      <c r="A265" s="12" t="str">
        <f t="shared" si="4"/>
        <v>01</v>
      </c>
    </row>
    <row r="266" spans="1:1">
      <c r="A266" s="12" t="str">
        <f t="shared" si="4"/>
        <v>01</v>
      </c>
    </row>
    <row r="267" spans="1:1">
      <c r="A267" s="12" t="str">
        <f t="shared" si="4"/>
        <v>01</v>
      </c>
    </row>
    <row r="268" spans="1:1">
      <c r="A268" s="12" t="str">
        <f t="shared" si="4"/>
        <v>01</v>
      </c>
    </row>
    <row r="269" spans="1:1">
      <c r="A269" s="12" t="str">
        <f t="shared" si="4"/>
        <v>01</v>
      </c>
    </row>
    <row r="270" spans="1:1">
      <c r="A270" s="12" t="str">
        <f t="shared" si="4"/>
        <v>01</v>
      </c>
    </row>
    <row r="271" spans="1:1">
      <c r="A271" s="12" t="str">
        <f t="shared" si="4"/>
        <v>01</v>
      </c>
    </row>
    <row r="272" spans="1:1">
      <c r="A272" s="12" t="str">
        <f t="shared" si="4"/>
        <v>01</v>
      </c>
    </row>
    <row r="273" spans="1:1">
      <c r="A273" s="12" t="str">
        <f t="shared" si="4"/>
        <v>01</v>
      </c>
    </row>
    <row r="274" spans="1:1">
      <c r="A274" s="12" t="str">
        <f t="shared" si="4"/>
        <v>01</v>
      </c>
    </row>
    <row r="275" spans="1:1">
      <c r="A275" s="12" t="str">
        <f t="shared" si="4"/>
        <v>01</v>
      </c>
    </row>
    <row r="276" spans="1:1">
      <c r="A276" s="12" t="str">
        <f t="shared" si="4"/>
        <v>01</v>
      </c>
    </row>
    <row r="277" spans="1:1">
      <c r="A277" s="12" t="str">
        <f t="shared" si="4"/>
        <v>01</v>
      </c>
    </row>
    <row r="278" spans="1:1">
      <c r="A278" s="12" t="str">
        <f t="shared" si="4"/>
        <v>01</v>
      </c>
    </row>
    <row r="279" spans="1:1">
      <c r="A279" s="12" t="str">
        <f t="shared" si="4"/>
        <v>01</v>
      </c>
    </row>
    <row r="280" spans="1:1">
      <c r="A280" s="12" t="str">
        <f t="shared" si="4"/>
        <v>01</v>
      </c>
    </row>
    <row r="281" spans="1:1">
      <c r="A281" s="12" t="str">
        <f t="shared" si="4"/>
        <v>01</v>
      </c>
    </row>
    <row r="282" spans="1:1">
      <c r="A282" s="12" t="str">
        <f t="shared" si="4"/>
        <v>01</v>
      </c>
    </row>
    <row r="283" spans="1:1">
      <c r="A283" s="12" t="str">
        <f t="shared" si="4"/>
        <v>01</v>
      </c>
    </row>
    <row r="284" spans="1:1">
      <c r="A284" s="12" t="str">
        <f t="shared" si="4"/>
        <v>01</v>
      </c>
    </row>
    <row r="285" spans="1:1">
      <c r="A285" s="12" t="str">
        <f t="shared" si="4"/>
        <v>01</v>
      </c>
    </row>
    <row r="286" spans="1:1">
      <c r="A286" s="12" t="str">
        <f t="shared" si="4"/>
        <v>01</v>
      </c>
    </row>
    <row r="287" spans="1:1">
      <c r="A287" s="12" t="str">
        <f t="shared" si="4"/>
        <v>01</v>
      </c>
    </row>
    <row r="288" spans="1:1">
      <c r="A288" s="12" t="str">
        <f t="shared" si="4"/>
        <v>01</v>
      </c>
    </row>
    <row r="289" spans="1:1">
      <c r="A289" s="12" t="str">
        <f t="shared" si="4"/>
        <v>01</v>
      </c>
    </row>
    <row r="290" spans="1:1">
      <c r="A290" s="12" t="str">
        <f t="shared" si="4"/>
        <v>01</v>
      </c>
    </row>
    <row r="291" spans="1:1">
      <c r="A291" s="12" t="str">
        <f t="shared" si="4"/>
        <v>01</v>
      </c>
    </row>
    <row r="292" spans="1:1">
      <c r="A292" s="12" t="str">
        <f t="shared" si="4"/>
        <v>01</v>
      </c>
    </row>
    <row r="293" spans="1:1">
      <c r="A293" s="12" t="str">
        <f t="shared" si="4"/>
        <v>01</v>
      </c>
    </row>
    <row r="294" spans="1:1">
      <c r="A294" s="12" t="str">
        <f t="shared" si="4"/>
        <v>01</v>
      </c>
    </row>
    <row r="295" spans="1:1">
      <c r="A295" s="12" t="str">
        <f t="shared" si="4"/>
        <v>01</v>
      </c>
    </row>
    <row r="296" spans="1:1">
      <c r="A296" s="12" t="str">
        <f t="shared" si="4"/>
        <v>01</v>
      </c>
    </row>
    <row r="297" spans="1:1">
      <c r="A297" s="12" t="str">
        <f t="shared" si="4"/>
        <v>01</v>
      </c>
    </row>
    <row r="298" spans="1:1">
      <c r="A298" s="12" t="str">
        <f t="shared" si="4"/>
        <v>01</v>
      </c>
    </row>
    <row r="299" spans="1:1">
      <c r="A299" s="12" t="str">
        <f t="shared" si="4"/>
        <v>01</v>
      </c>
    </row>
    <row r="300" spans="1:1">
      <c r="A300" s="12" t="str">
        <f t="shared" si="4"/>
        <v>01</v>
      </c>
    </row>
    <row r="301" spans="1:1">
      <c r="A301" s="12" t="str">
        <f t="shared" si="4"/>
        <v>01</v>
      </c>
    </row>
    <row r="302" spans="1:1">
      <c r="A302" s="12" t="str">
        <f t="shared" si="4"/>
        <v>01</v>
      </c>
    </row>
    <row r="303" spans="1:1">
      <c r="A303" s="12" t="str">
        <f t="shared" si="4"/>
        <v>01</v>
      </c>
    </row>
    <row r="304" spans="1:1">
      <c r="A304" s="12" t="str">
        <f t="shared" si="4"/>
        <v>01</v>
      </c>
    </row>
    <row r="305" spans="1:1">
      <c r="A305" s="12" t="str">
        <f t="shared" si="4"/>
        <v>01</v>
      </c>
    </row>
    <row r="306" spans="1:1">
      <c r="A306" s="12" t="str">
        <f t="shared" si="4"/>
        <v>01</v>
      </c>
    </row>
    <row r="307" spans="1:1">
      <c r="A307" s="12" t="str">
        <f t="shared" si="4"/>
        <v>01</v>
      </c>
    </row>
    <row r="308" spans="1:1">
      <c r="A308" s="12" t="str">
        <f t="shared" si="4"/>
        <v>01</v>
      </c>
    </row>
    <row r="309" spans="1:1">
      <c r="A309" s="12" t="str">
        <f t="shared" si="4"/>
        <v>01</v>
      </c>
    </row>
    <row r="310" spans="1:1">
      <c r="A310" s="12" t="str">
        <f t="shared" si="4"/>
        <v>01</v>
      </c>
    </row>
    <row r="311" spans="1:1">
      <c r="A311" s="12" t="str">
        <f t="shared" si="4"/>
        <v>01</v>
      </c>
    </row>
    <row r="312" spans="1:1">
      <c r="A312" s="12" t="str">
        <f t="shared" si="4"/>
        <v>01</v>
      </c>
    </row>
    <row r="313" spans="1:1">
      <c r="A313" s="12" t="str">
        <f t="shared" si="4"/>
        <v>01</v>
      </c>
    </row>
    <row r="314" spans="1:1">
      <c r="A314" s="12" t="str">
        <f t="shared" si="4"/>
        <v>01</v>
      </c>
    </row>
    <row r="315" spans="1:1">
      <c r="A315" s="12" t="str">
        <f t="shared" si="4"/>
        <v>01</v>
      </c>
    </row>
    <row r="316" spans="1:1">
      <c r="A316" s="12" t="str">
        <f t="shared" si="4"/>
        <v>01</v>
      </c>
    </row>
    <row r="317" spans="1:1">
      <c r="A317" s="12" t="str">
        <f t="shared" si="4"/>
        <v>01</v>
      </c>
    </row>
    <row r="318" spans="1:1">
      <c r="A318" s="12" t="str">
        <f t="shared" si="4"/>
        <v>01</v>
      </c>
    </row>
    <row r="319" spans="1:1">
      <c r="A319" s="12" t="str">
        <f t="shared" si="4"/>
        <v>01</v>
      </c>
    </row>
    <row r="320" spans="1:1">
      <c r="A320" s="12" t="str">
        <f t="shared" si="4"/>
        <v>01</v>
      </c>
    </row>
    <row r="321" spans="1:1">
      <c r="A321" s="12" t="str">
        <f t="shared" si="4"/>
        <v>01</v>
      </c>
    </row>
    <row r="322" spans="1:1">
      <c r="A322" s="12" t="str">
        <f t="shared" si="4"/>
        <v>01</v>
      </c>
    </row>
    <row r="323" spans="1:1">
      <c r="A323" s="12" t="str">
        <f t="shared" ref="A323:A386" si="5">TEXT(L323,"MM")</f>
        <v>01</v>
      </c>
    </row>
    <row r="324" spans="1:1">
      <c r="A324" s="12" t="str">
        <f t="shared" si="5"/>
        <v>01</v>
      </c>
    </row>
    <row r="325" spans="1:1">
      <c r="A325" s="12" t="str">
        <f t="shared" si="5"/>
        <v>01</v>
      </c>
    </row>
    <row r="326" spans="1:1">
      <c r="A326" s="12" t="str">
        <f t="shared" si="5"/>
        <v>01</v>
      </c>
    </row>
    <row r="327" spans="1:1">
      <c r="A327" s="12" t="str">
        <f t="shared" si="5"/>
        <v>01</v>
      </c>
    </row>
    <row r="328" spans="1:1">
      <c r="A328" s="12" t="str">
        <f t="shared" si="5"/>
        <v>01</v>
      </c>
    </row>
    <row r="329" spans="1:1">
      <c r="A329" s="12" t="str">
        <f t="shared" si="5"/>
        <v>01</v>
      </c>
    </row>
    <row r="330" spans="1:1">
      <c r="A330" s="12" t="str">
        <f t="shared" si="5"/>
        <v>01</v>
      </c>
    </row>
    <row r="331" spans="1:1">
      <c r="A331" s="12" t="str">
        <f t="shared" si="5"/>
        <v>01</v>
      </c>
    </row>
    <row r="332" spans="1:1">
      <c r="A332" s="12" t="str">
        <f t="shared" si="5"/>
        <v>01</v>
      </c>
    </row>
    <row r="333" spans="1:1">
      <c r="A333" s="12" t="str">
        <f t="shared" si="5"/>
        <v>01</v>
      </c>
    </row>
    <row r="334" spans="1:1">
      <c r="A334" s="12" t="str">
        <f t="shared" si="5"/>
        <v>01</v>
      </c>
    </row>
    <row r="335" spans="1:1">
      <c r="A335" s="12" t="str">
        <f t="shared" si="5"/>
        <v>01</v>
      </c>
    </row>
    <row r="336" spans="1:1">
      <c r="A336" s="12" t="str">
        <f t="shared" si="5"/>
        <v>01</v>
      </c>
    </row>
    <row r="337" spans="1:1">
      <c r="A337" s="12" t="str">
        <f t="shared" si="5"/>
        <v>01</v>
      </c>
    </row>
    <row r="338" spans="1:1">
      <c r="A338" s="12" t="str">
        <f t="shared" si="5"/>
        <v>01</v>
      </c>
    </row>
    <row r="339" spans="1:1">
      <c r="A339" s="12" t="str">
        <f t="shared" si="5"/>
        <v>01</v>
      </c>
    </row>
    <row r="340" spans="1:1">
      <c r="A340" s="12" t="str">
        <f t="shared" si="5"/>
        <v>01</v>
      </c>
    </row>
    <row r="341" spans="1:1">
      <c r="A341" s="12" t="str">
        <f t="shared" si="5"/>
        <v>01</v>
      </c>
    </row>
    <row r="342" spans="1:1">
      <c r="A342" s="12" t="str">
        <f t="shared" si="5"/>
        <v>01</v>
      </c>
    </row>
    <row r="343" spans="1:1">
      <c r="A343" s="12" t="str">
        <f t="shared" si="5"/>
        <v>01</v>
      </c>
    </row>
    <row r="344" spans="1:1">
      <c r="A344" s="12" t="str">
        <f t="shared" si="5"/>
        <v>01</v>
      </c>
    </row>
    <row r="345" spans="1:1">
      <c r="A345" s="12" t="str">
        <f t="shared" si="5"/>
        <v>01</v>
      </c>
    </row>
    <row r="346" spans="1:1">
      <c r="A346" s="12" t="str">
        <f t="shared" si="5"/>
        <v>01</v>
      </c>
    </row>
    <row r="347" spans="1:1">
      <c r="A347" s="12" t="str">
        <f t="shared" si="5"/>
        <v>01</v>
      </c>
    </row>
    <row r="348" spans="1:1">
      <c r="A348" s="12" t="str">
        <f t="shared" si="5"/>
        <v>01</v>
      </c>
    </row>
    <row r="349" spans="1:1">
      <c r="A349" s="12" t="str">
        <f t="shared" si="5"/>
        <v>01</v>
      </c>
    </row>
    <row r="350" spans="1:1">
      <c r="A350" s="12" t="str">
        <f t="shared" si="5"/>
        <v>01</v>
      </c>
    </row>
    <row r="351" spans="1:1">
      <c r="A351" s="12" t="str">
        <f t="shared" si="5"/>
        <v>01</v>
      </c>
    </row>
    <row r="352" spans="1:1">
      <c r="A352" s="12" t="str">
        <f t="shared" si="5"/>
        <v>01</v>
      </c>
    </row>
    <row r="353" spans="1:1">
      <c r="A353" s="12" t="str">
        <f t="shared" si="5"/>
        <v>01</v>
      </c>
    </row>
    <row r="354" spans="1:1">
      <c r="A354" s="12" t="str">
        <f t="shared" si="5"/>
        <v>01</v>
      </c>
    </row>
    <row r="355" spans="1:1">
      <c r="A355" s="12" t="str">
        <f t="shared" si="5"/>
        <v>01</v>
      </c>
    </row>
    <row r="356" spans="1:1">
      <c r="A356" s="12" t="str">
        <f t="shared" si="5"/>
        <v>01</v>
      </c>
    </row>
    <row r="357" spans="1:1">
      <c r="A357" s="12" t="str">
        <f t="shared" si="5"/>
        <v>01</v>
      </c>
    </row>
    <row r="358" spans="1:1">
      <c r="A358" s="12" t="str">
        <f t="shared" si="5"/>
        <v>01</v>
      </c>
    </row>
    <row r="359" spans="1:1">
      <c r="A359" s="12" t="str">
        <f t="shared" si="5"/>
        <v>01</v>
      </c>
    </row>
    <row r="360" spans="1:1">
      <c r="A360" s="12" t="str">
        <f t="shared" si="5"/>
        <v>01</v>
      </c>
    </row>
    <row r="361" spans="1:1">
      <c r="A361" s="12" t="str">
        <f t="shared" si="5"/>
        <v>01</v>
      </c>
    </row>
    <row r="362" spans="1:1">
      <c r="A362" s="12" t="str">
        <f t="shared" si="5"/>
        <v>01</v>
      </c>
    </row>
    <row r="363" spans="1:1">
      <c r="A363" s="12" t="str">
        <f t="shared" si="5"/>
        <v>01</v>
      </c>
    </row>
    <row r="364" spans="1:1">
      <c r="A364" s="12" t="str">
        <f t="shared" si="5"/>
        <v>01</v>
      </c>
    </row>
    <row r="365" spans="1:1">
      <c r="A365" s="12" t="str">
        <f t="shared" si="5"/>
        <v>01</v>
      </c>
    </row>
    <row r="366" spans="1:1">
      <c r="A366" s="12" t="str">
        <f t="shared" si="5"/>
        <v>01</v>
      </c>
    </row>
    <row r="367" spans="1:1">
      <c r="A367" s="12" t="str">
        <f t="shared" si="5"/>
        <v>01</v>
      </c>
    </row>
    <row r="368" spans="1:1">
      <c r="A368" s="12" t="str">
        <f t="shared" si="5"/>
        <v>01</v>
      </c>
    </row>
    <row r="369" spans="1:1">
      <c r="A369" s="12" t="str">
        <f t="shared" si="5"/>
        <v>01</v>
      </c>
    </row>
    <row r="370" spans="1:1">
      <c r="A370" s="12" t="str">
        <f t="shared" si="5"/>
        <v>01</v>
      </c>
    </row>
    <row r="371" spans="1:1">
      <c r="A371" s="12" t="str">
        <f t="shared" si="5"/>
        <v>01</v>
      </c>
    </row>
    <row r="372" spans="1:1">
      <c r="A372" s="12" t="str">
        <f t="shared" si="5"/>
        <v>01</v>
      </c>
    </row>
    <row r="373" spans="1:1">
      <c r="A373" s="12" t="str">
        <f t="shared" si="5"/>
        <v>01</v>
      </c>
    </row>
    <row r="374" spans="1:1">
      <c r="A374" s="12" t="str">
        <f t="shared" si="5"/>
        <v>01</v>
      </c>
    </row>
    <row r="375" spans="1:1">
      <c r="A375" s="12" t="str">
        <f t="shared" si="5"/>
        <v>01</v>
      </c>
    </row>
    <row r="376" spans="1:1">
      <c r="A376" s="12" t="str">
        <f t="shared" si="5"/>
        <v>01</v>
      </c>
    </row>
    <row r="377" spans="1:1">
      <c r="A377" s="12" t="str">
        <f t="shared" si="5"/>
        <v>01</v>
      </c>
    </row>
    <row r="378" spans="1:1">
      <c r="A378" s="12" t="str">
        <f t="shared" si="5"/>
        <v>01</v>
      </c>
    </row>
    <row r="379" spans="1:1">
      <c r="A379" s="12" t="str">
        <f t="shared" si="5"/>
        <v>01</v>
      </c>
    </row>
    <row r="380" spans="1:1">
      <c r="A380" s="12" t="str">
        <f t="shared" si="5"/>
        <v>01</v>
      </c>
    </row>
    <row r="381" spans="1:1">
      <c r="A381" s="12" t="str">
        <f t="shared" si="5"/>
        <v>01</v>
      </c>
    </row>
    <row r="382" spans="1:1">
      <c r="A382" s="12" t="str">
        <f t="shared" si="5"/>
        <v>01</v>
      </c>
    </row>
    <row r="383" spans="1:1">
      <c r="A383" s="12" t="str">
        <f t="shared" si="5"/>
        <v>01</v>
      </c>
    </row>
    <row r="384" spans="1:1">
      <c r="A384" s="12" t="str">
        <f t="shared" si="5"/>
        <v>01</v>
      </c>
    </row>
    <row r="385" spans="1:1">
      <c r="A385" s="12" t="str">
        <f t="shared" si="5"/>
        <v>01</v>
      </c>
    </row>
    <row r="386" spans="1:1">
      <c r="A386" s="12" t="str">
        <f t="shared" si="5"/>
        <v>01</v>
      </c>
    </row>
    <row r="387" spans="1:1">
      <c r="A387" s="12" t="str">
        <f t="shared" ref="A387:A450" si="6">TEXT(L387,"MM")</f>
        <v>01</v>
      </c>
    </row>
    <row r="388" spans="1:1">
      <c r="A388" s="12" t="str">
        <f t="shared" si="6"/>
        <v>01</v>
      </c>
    </row>
    <row r="389" spans="1:1">
      <c r="A389" s="12" t="str">
        <f t="shared" si="6"/>
        <v>01</v>
      </c>
    </row>
    <row r="390" spans="1:1">
      <c r="A390" s="12" t="str">
        <f t="shared" si="6"/>
        <v>01</v>
      </c>
    </row>
    <row r="391" spans="1:1">
      <c r="A391" s="12" t="str">
        <f t="shared" si="6"/>
        <v>01</v>
      </c>
    </row>
    <row r="392" spans="1:1">
      <c r="A392" s="12" t="str">
        <f t="shared" si="6"/>
        <v>01</v>
      </c>
    </row>
    <row r="393" spans="1:1">
      <c r="A393" s="12" t="str">
        <f t="shared" si="6"/>
        <v>01</v>
      </c>
    </row>
    <row r="394" spans="1:1">
      <c r="A394" s="12" t="str">
        <f t="shared" si="6"/>
        <v>01</v>
      </c>
    </row>
    <row r="395" spans="1:1">
      <c r="A395" s="12" t="str">
        <f t="shared" si="6"/>
        <v>01</v>
      </c>
    </row>
    <row r="396" spans="1:1">
      <c r="A396" s="12" t="str">
        <f t="shared" si="6"/>
        <v>01</v>
      </c>
    </row>
    <row r="397" spans="1:1">
      <c r="A397" s="12" t="str">
        <f t="shared" si="6"/>
        <v>01</v>
      </c>
    </row>
    <row r="398" spans="1:1">
      <c r="A398" s="12" t="str">
        <f t="shared" si="6"/>
        <v>01</v>
      </c>
    </row>
    <row r="399" spans="1:1">
      <c r="A399" s="12" t="str">
        <f t="shared" si="6"/>
        <v>01</v>
      </c>
    </row>
    <row r="400" spans="1:1">
      <c r="A400" s="12" t="str">
        <f t="shared" si="6"/>
        <v>01</v>
      </c>
    </row>
    <row r="401" spans="1:1">
      <c r="A401" s="12" t="str">
        <f t="shared" si="6"/>
        <v>01</v>
      </c>
    </row>
    <row r="402" spans="1:1">
      <c r="A402" s="12" t="str">
        <f t="shared" si="6"/>
        <v>01</v>
      </c>
    </row>
    <row r="403" spans="1:1">
      <c r="A403" s="12" t="str">
        <f t="shared" si="6"/>
        <v>01</v>
      </c>
    </row>
    <row r="404" spans="1:1">
      <c r="A404" s="12" t="str">
        <f t="shared" si="6"/>
        <v>01</v>
      </c>
    </row>
    <row r="405" spans="1:1">
      <c r="A405" s="12" t="str">
        <f t="shared" si="6"/>
        <v>01</v>
      </c>
    </row>
    <row r="406" spans="1:1">
      <c r="A406" s="12" t="str">
        <f t="shared" si="6"/>
        <v>01</v>
      </c>
    </row>
    <row r="407" spans="1:1">
      <c r="A407" s="12" t="str">
        <f t="shared" si="6"/>
        <v>01</v>
      </c>
    </row>
    <row r="408" spans="1:1">
      <c r="A408" s="12" t="str">
        <f t="shared" si="6"/>
        <v>01</v>
      </c>
    </row>
    <row r="409" spans="1:1">
      <c r="A409" s="12" t="str">
        <f t="shared" si="6"/>
        <v>01</v>
      </c>
    </row>
    <row r="410" spans="1:1">
      <c r="A410" s="12" t="str">
        <f t="shared" si="6"/>
        <v>01</v>
      </c>
    </row>
    <row r="411" spans="1:1">
      <c r="A411" s="12" t="str">
        <f t="shared" si="6"/>
        <v>01</v>
      </c>
    </row>
    <row r="412" spans="1:1">
      <c r="A412" s="12" t="str">
        <f t="shared" si="6"/>
        <v>01</v>
      </c>
    </row>
    <row r="413" spans="1:1">
      <c r="A413" s="12" t="str">
        <f t="shared" si="6"/>
        <v>01</v>
      </c>
    </row>
    <row r="414" spans="1:1">
      <c r="A414" s="12" t="str">
        <f t="shared" si="6"/>
        <v>01</v>
      </c>
    </row>
    <row r="415" spans="1:1">
      <c r="A415" s="12" t="str">
        <f t="shared" si="6"/>
        <v>01</v>
      </c>
    </row>
    <row r="416" spans="1:1">
      <c r="A416" s="12" t="str">
        <f t="shared" si="6"/>
        <v>01</v>
      </c>
    </row>
    <row r="417" spans="1:1">
      <c r="A417" s="12" t="str">
        <f t="shared" si="6"/>
        <v>01</v>
      </c>
    </row>
    <row r="418" spans="1:1">
      <c r="A418" s="12" t="str">
        <f t="shared" si="6"/>
        <v>01</v>
      </c>
    </row>
    <row r="419" spans="1:1">
      <c r="A419" s="12" t="str">
        <f t="shared" si="6"/>
        <v>01</v>
      </c>
    </row>
    <row r="420" spans="1:1">
      <c r="A420" s="12" t="str">
        <f t="shared" si="6"/>
        <v>01</v>
      </c>
    </row>
    <row r="421" spans="1:1">
      <c r="A421" s="12" t="str">
        <f t="shared" si="6"/>
        <v>01</v>
      </c>
    </row>
    <row r="422" spans="1:1">
      <c r="A422" s="12" t="str">
        <f t="shared" si="6"/>
        <v>01</v>
      </c>
    </row>
    <row r="423" spans="1:1">
      <c r="A423" s="12" t="str">
        <f t="shared" si="6"/>
        <v>01</v>
      </c>
    </row>
    <row r="424" spans="1:1">
      <c r="A424" s="12" t="str">
        <f t="shared" si="6"/>
        <v>01</v>
      </c>
    </row>
    <row r="425" spans="1:1">
      <c r="A425" s="12" t="str">
        <f t="shared" si="6"/>
        <v>01</v>
      </c>
    </row>
    <row r="426" spans="1:1">
      <c r="A426" s="12" t="str">
        <f t="shared" si="6"/>
        <v>01</v>
      </c>
    </row>
    <row r="427" spans="1:1">
      <c r="A427" s="12" t="str">
        <f t="shared" si="6"/>
        <v>01</v>
      </c>
    </row>
    <row r="428" spans="1:1">
      <c r="A428" s="12" t="str">
        <f t="shared" si="6"/>
        <v>01</v>
      </c>
    </row>
    <row r="429" spans="1:1">
      <c r="A429" s="12" t="str">
        <f t="shared" si="6"/>
        <v>01</v>
      </c>
    </row>
    <row r="430" spans="1:1">
      <c r="A430" s="12" t="str">
        <f t="shared" si="6"/>
        <v>01</v>
      </c>
    </row>
    <row r="431" spans="1:1">
      <c r="A431" s="12" t="str">
        <f t="shared" si="6"/>
        <v>01</v>
      </c>
    </row>
    <row r="432" spans="1:1">
      <c r="A432" s="12" t="str">
        <f t="shared" si="6"/>
        <v>01</v>
      </c>
    </row>
    <row r="433" spans="1:1">
      <c r="A433" s="12" t="str">
        <f t="shared" si="6"/>
        <v>01</v>
      </c>
    </row>
    <row r="434" spans="1:1">
      <c r="A434" s="12" t="str">
        <f t="shared" si="6"/>
        <v>01</v>
      </c>
    </row>
    <row r="435" spans="1:1">
      <c r="A435" s="12" t="str">
        <f t="shared" si="6"/>
        <v>01</v>
      </c>
    </row>
    <row r="436" spans="1:1">
      <c r="A436" s="12" t="str">
        <f t="shared" si="6"/>
        <v>01</v>
      </c>
    </row>
    <row r="437" spans="1:1">
      <c r="A437" s="12" t="str">
        <f t="shared" si="6"/>
        <v>01</v>
      </c>
    </row>
    <row r="438" spans="1:1">
      <c r="A438" s="12" t="str">
        <f t="shared" si="6"/>
        <v>01</v>
      </c>
    </row>
    <row r="439" spans="1:1">
      <c r="A439" s="12" t="str">
        <f t="shared" si="6"/>
        <v>01</v>
      </c>
    </row>
    <row r="440" spans="1:1">
      <c r="A440" s="12" t="str">
        <f t="shared" si="6"/>
        <v>01</v>
      </c>
    </row>
    <row r="441" spans="1:1">
      <c r="A441" s="12" t="str">
        <f t="shared" si="6"/>
        <v>01</v>
      </c>
    </row>
    <row r="442" spans="1:1">
      <c r="A442" s="12" t="str">
        <f t="shared" si="6"/>
        <v>01</v>
      </c>
    </row>
    <row r="443" spans="1:1">
      <c r="A443" s="12" t="str">
        <f t="shared" si="6"/>
        <v>01</v>
      </c>
    </row>
    <row r="444" spans="1:1">
      <c r="A444" s="12" t="str">
        <f t="shared" si="6"/>
        <v>01</v>
      </c>
    </row>
    <row r="445" spans="1:1">
      <c r="A445" s="12" t="str">
        <f t="shared" si="6"/>
        <v>01</v>
      </c>
    </row>
    <row r="446" spans="1:1">
      <c r="A446" s="12" t="str">
        <f t="shared" si="6"/>
        <v>01</v>
      </c>
    </row>
    <row r="447" spans="1:1">
      <c r="A447" s="12" t="str">
        <f t="shared" si="6"/>
        <v>01</v>
      </c>
    </row>
    <row r="448" spans="1:1">
      <c r="A448" s="12" t="str">
        <f t="shared" si="6"/>
        <v>01</v>
      </c>
    </row>
    <row r="449" spans="1:1">
      <c r="A449" s="12" t="str">
        <f t="shared" si="6"/>
        <v>01</v>
      </c>
    </row>
    <row r="450" spans="1:1">
      <c r="A450" s="12" t="str">
        <f t="shared" si="6"/>
        <v>01</v>
      </c>
    </row>
    <row r="451" spans="1:1">
      <c r="A451" s="12" t="str">
        <f t="shared" ref="A451:A514" si="7">TEXT(L451,"MM")</f>
        <v>01</v>
      </c>
    </row>
    <row r="452" spans="1:1">
      <c r="A452" s="12" t="str">
        <f t="shared" si="7"/>
        <v>01</v>
      </c>
    </row>
    <row r="453" spans="1:1">
      <c r="A453" s="12" t="str">
        <f t="shared" si="7"/>
        <v>01</v>
      </c>
    </row>
    <row r="454" spans="1:1">
      <c r="A454" s="12" t="str">
        <f t="shared" si="7"/>
        <v>01</v>
      </c>
    </row>
    <row r="455" spans="1:1">
      <c r="A455" s="12" t="str">
        <f t="shared" si="7"/>
        <v>01</v>
      </c>
    </row>
    <row r="456" spans="1:1">
      <c r="A456" s="12" t="str">
        <f t="shared" si="7"/>
        <v>01</v>
      </c>
    </row>
    <row r="457" spans="1:1">
      <c r="A457" s="12" t="str">
        <f t="shared" si="7"/>
        <v>01</v>
      </c>
    </row>
    <row r="458" spans="1:1">
      <c r="A458" s="12" t="str">
        <f t="shared" si="7"/>
        <v>01</v>
      </c>
    </row>
    <row r="459" spans="1:1">
      <c r="A459" s="12" t="str">
        <f t="shared" si="7"/>
        <v>01</v>
      </c>
    </row>
    <row r="460" spans="1:1">
      <c r="A460" s="12" t="str">
        <f t="shared" si="7"/>
        <v>01</v>
      </c>
    </row>
    <row r="461" spans="1:1">
      <c r="A461" s="12" t="str">
        <f t="shared" si="7"/>
        <v>01</v>
      </c>
    </row>
    <row r="462" spans="1:1">
      <c r="A462" s="12" t="str">
        <f t="shared" si="7"/>
        <v>01</v>
      </c>
    </row>
    <row r="463" spans="1:1">
      <c r="A463" s="12" t="str">
        <f t="shared" si="7"/>
        <v>01</v>
      </c>
    </row>
    <row r="464" spans="1:1">
      <c r="A464" s="12" t="str">
        <f t="shared" si="7"/>
        <v>01</v>
      </c>
    </row>
    <row r="465" spans="1:1">
      <c r="A465" s="12" t="str">
        <f t="shared" si="7"/>
        <v>01</v>
      </c>
    </row>
    <row r="466" spans="1:1">
      <c r="A466" s="12" t="str">
        <f t="shared" si="7"/>
        <v>01</v>
      </c>
    </row>
    <row r="467" spans="1:1">
      <c r="A467" s="12" t="str">
        <f t="shared" si="7"/>
        <v>01</v>
      </c>
    </row>
    <row r="468" spans="1:1">
      <c r="A468" s="12" t="str">
        <f t="shared" si="7"/>
        <v>01</v>
      </c>
    </row>
    <row r="469" spans="1:1">
      <c r="A469" s="12" t="str">
        <f t="shared" si="7"/>
        <v>01</v>
      </c>
    </row>
    <row r="470" spans="1:1">
      <c r="A470" s="12" t="str">
        <f t="shared" si="7"/>
        <v>01</v>
      </c>
    </row>
    <row r="471" spans="1:1">
      <c r="A471" s="12" t="str">
        <f t="shared" si="7"/>
        <v>01</v>
      </c>
    </row>
    <row r="472" spans="1:1">
      <c r="A472" s="12" t="str">
        <f t="shared" si="7"/>
        <v>01</v>
      </c>
    </row>
    <row r="473" spans="1:1">
      <c r="A473" s="12" t="str">
        <f t="shared" si="7"/>
        <v>01</v>
      </c>
    </row>
    <row r="474" spans="1:1">
      <c r="A474" s="12" t="str">
        <f t="shared" si="7"/>
        <v>01</v>
      </c>
    </row>
    <row r="475" spans="1:1">
      <c r="A475" s="12" t="str">
        <f t="shared" si="7"/>
        <v>01</v>
      </c>
    </row>
    <row r="476" spans="1:1">
      <c r="A476" s="12" t="str">
        <f t="shared" si="7"/>
        <v>01</v>
      </c>
    </row>
    <row r="477" spans="1:1">
      <c r="A477" s="12" t="str">
        <f t="shared" si="7"/>
        <v>01</v>
      </c>
    </row>
    <row r="478" spans="1:1">
      <c r="A478" s="12" t="str">
        <f t="shared" si="7"/>
        <v>01</v>
      </c>
    </row>
    <row r="479" spans="1:1">
      <c r="A479" s="12" t="str">
        <f t="shared" si="7"/>
        <v>01</v>
      </c>
    </row>
    <row r="480" spans="1:1">
      <c r="A480" s="12" t="str">
        <f t="shared" si="7"/>
        <v>01</v>
      </c>
    </row>
    <row r="481" spans="1:1">
      <c r="A481" s="12" t="str">
        <f t="shared" si="7"/>
        <v>01</v>
      </c>
    </row>
    <row r="482" spans="1:1">
      <c r="A482" s="12" t="str">
        <f t="shared" si="7"/>
        <v>01</v>
      </c>
    </row>
    <row r="483" spans="1:1">
      <c r="A483" s="12" t="str">
        <f t="shared" si="7"/>
        <v>01</v>
      </c>
    </row>
    <row r="484" spans="1:1">
      <c r="A484" s="12" t="str">
        <f t="shared" si="7"/>
        <v>01</v>
      </c>
    </row>
    <row r="485" spans="1:1">
      <c r="A485" s="12" t="str">
        <f t="shared" si="7"/>
        <v>01</v>
      </c>
    </row>
    <row r="486" spans="1:1">
      <c r="A486" s="12" t="str">
        <f t="shared" si="7"/>
        <v>01</v>
      </c>
    </row>
    <row r="487" spans="1:1">
      <c r="A487" s="12" t="str">
        <f t="shared" si="7"/>
        <v>01</v>
      </c>
    </row>
    <row r="488" spans="1:1">
      <c r="A488" s="12" t="str">
        <f t="shared" si="7"/>
        <v>01</v>
      </c>
    </row>
    <row r="489" spans="1:1">
      <c r="A489" s="12" t="str">
        <f t="shared" si="7"/>
        <v>01</v>
      </c>
    </row>
    <row r="490" spans="1:1">
      <c r="A490" s="12" t="str">
        <f t="shared" si="7"/>
        <v>01</v>
      </c>
    </row>
    <row r="491" spans="1:1">
      <c r="A491" s="12" t="str">
        <f t="shared" si="7"/>
        <v>01</v>
      </c>
    </row>
    <row r="492" spans="1:1">
      <c r="A492" s="12" t="str">
        <f t="shared" si="7"/>
        <v>01</v>
      </c>
    </row>
    <row r="493" spans="1:1">
      <c r="A493" s="12" t="str">
        <f t="shared" si="7"/>
        <v>01</v>
      </c>
    </row>
    <row r="494" spans="1:1">
      <c r="A494" s="12" t="str">
        <f t="shared" si="7"/>
        <v>01</v>
      </c>
    </row>
    <row r="495" spans="1:1">
      <c r="A495" s="12" t="str">
        <f t="shared" si="7"/>
        <v>01</v>
      </c>
    </row>
    <row r="496" spans="1:1">
      <c r="A496" s="12" t="str">
        <f t="shared" si="7"/>
        <v>01</v>
      </c>
    </row>
    <row r="497" spans="1:1">
      <c r="A497" s="12" t="str">
        <f t="shared" si="7"/>
        <v>01</v>
      </c>
    </row>
    <row r="498" spans="1:1">
      <c r="A498" s="12" t="str">
        <f t="shared" si="7"/>
        <v>01</v>
      </c>
    </row>
    <row r="499" spans="1:1">
      <c r="A499" s="12" t="str">
        <f t="shared" si="7"/>
        <v>01</v>
      </c>
    </row>
    <row r="500" spans="1:1">
      <c r="A500" s="12" t="str">
        <f t="shared" si="7"/>
        <v>01</v>
      </c>
    </row>
    <row r="501" spans="1:1">
      <c r="A501" s="12" t="str">
        <f t="shared" si="7"/>
        <v>01</v>
      </c>
    </row>
    <row r="502" spans="1:1">
      <c r="A502" s="12" t="str">
        <f t="shared" si="7"/>
        <v>01</v>
      </c>
    </row>
    <row r="503" spans="1:1">
      <c r="A503" s="12" t="str">
        <f t="shared" si="7"/>
        <v>01</v>
      </c>
    </row>
    <row r="504" spans="1:1">
      <c r="A504" s="12" t="str">
        <f t="shared" si="7"/>
        <v>01</v>
      </c>
    </row>
    <row r="505" spans="1:1">
      <c r="A505" s="12" t="str">
        <f t="shared" si="7"/>
        <v>01</v>
      </c>
    </row>
    <row r="506" spans="1:1">
      <c r="A506" s="12" t="str">
        <f t="shared" si="7"/>
        <v>01</v>
      </c>
    </row>
    <row r="507" spans="1:1">
      <c r="A507" s="12" t="str">
        <f t="shared" si="7"/>
        <v>01</v>
      </c>
    </row>
    <row r="508" spans="1:1">
      <c r="A508" s="12" t="str">
        <f t="shared" si="7"/>
        <v>01</v>
      </c>
    </row>
    <row r="509" spans="1:1">
      <c r="A509" s="12" t="str">
        <f t="shared" si="7"/>
        <v>01</v>
      </c>
    </row>
    <row r="510" spans="1:1">
      <c r="A510" s="12" t="str">
        <f t="shared" si="7"/>
        <v>01</v>
      </c>
    </row>
    <row r="511" spans="1:1">
      <c r="A511" s="12" t="str">
        <f t="shared" si="7"/>
        <v>01</v>
      </c>
    </row>
    <row r="512" spans="1:1">
      <c r="A512" s="12" t="str">
        <f t="shared" si="7"/>
        <v>01</v>
      </c>
    </row>
    <row r="513" spans="1:1">
      <c r="A513" s="12" t="str">
        <f t="shared" si="7"/>
        <v>01</v>
      </c>
    </row>
    <row r="514" spans="1:1">
      <c r="A514" s="12" t="str">
        <f t="shared" si="7"/>
        <v>01</v>
      </c>
    </row>
    <row r="515" spans="1:1">
      <c r="A515" s="12" t="str">
        <f t="shared" ref="A515:A578" si="8">TEXT(L515,"MM")</f>
        <v>01</v>
      </c>
    </row>
    <row r="516" spans="1:1">
      <c r="A516" s="12" t="str">
        <f t="shared" si="8"/>
        <v>01</v>
      </c>
    </row>
    <row r="517" spans="1:1">
      <c r="A517" s="12" t="str">
        <f t="shared" si="8"/>
        <v>01</v>
      </c>
    </row>
    <row r="518" spans="1:1">
      <c r="A518" s="12" t="str">
        <f t="shared" si="8"/>
        <v>01</v>
      </c>
    </row>
    <row r="519" spans="1:1">
      <c r="A519" s="12" t="str">
        <f t="shared" si="8"/>
        <v>01</v>
      </c>
    </row>
    <row r="520" spans="1:1">
      <c r="A520" s="12" t="str">
        <f t="shared" si="8"/>
        <v>01</v>
      </c>
    </row>
    <row r="521" spans="1:1">
      <c r="A521" s="12" t="str">
        <f t="shared" si="8"/>
        <v>01</v>
      </c>
    </row>
    <row r="522" spans="1:1">
      <c r="A522" s="12" t="str">
        <f t="shared" si="8"/>
        <v>01</v>
      </c>
    </row>
    <row r="523" spans="1:1">
      <c r="A523" s="12" t="str">
        <f t="shared" si="8"/>
        <v>01</v>
      </c>
    </row>
    <row r="524" spans="1:1">
      <c r="A524" s="12" t="str">
        <f t="shared" si="8"/>
        <v>01</v>
      </c>
    </row>
    <row r="525" spans="1:1">
      <c r="A525" s="12" t="str">
        <f t="shared" si="8"/>
        <v>01</v>
      </c>
    </row>
    <row r="526" spans="1:1">
      <c r="A526" s="12" t="str">
        <f t="shared" si="8"/>
        <v>01</v>
      </c>
    </row>
    <row r="527" spans="1:1">
      <c r="A527" s="12" t="str">
        <f t="shared" si="8"/>
        <v>01</v>
      </c>
    </row>
    <row r="528" spans="1:1">
      <c r="A528" s="12" t="str">
        <f t="shared" si="8"/>
        <v>01</v>
      </c>
    </row>
    <row r="529" spans="1:1">
      <c r="A529" s="12" t="str">
        <f t="shared" si="8"/>
        <v>01</v>
      </c>
    </row>
    <row r="530" spans="1:1">
      <c r="A530" s="12" t="str">
        <f t="shared" si="8"/>
        <v>01</v>
      </c>
    </row>
    <row r="531" spans="1:1">
      <c r="A531" s="12" t="str">
        <f t="shared" si="8"/>
        <v>01</v>
      </c>
    </row>
    <row r="532" spans="1:1">
      <c r="A532" s="12" t="str">
        <f t="shared" si="8"/>
        <v>01</v>
      </c>
    </row>
    <row r="533" spans="1:1">
      <c r="A533" s="12" t="str">
        <f t="shared" si="8"/>
        <v>01</v>
      </c>
    </row>
    <row r="534" spans="1:1">
      <c r="A534" s="12" t="str">
        <f t="shared" si="8"/>
        <v>01</v>
      </c>
    </row>
    <row r="535" spans="1:1">
      <c r="A535" s="12" t="str">
        <f t="shared" si="8"/>
        <v>01</v>
      </c>
    </row>
    <row r="536" spans="1:1">
      <c r="A536" s="12" t="str">
        <f t="shared" si="8"/>
        <v>01</v>
      </c>
    </row>
    <row r="537" spans="1:1">
      <c r="A537" s="12" t="str">
        <f t="shared" si="8"/>
        <v>01</v>
      </c>
    </row>
    <row r="538" spans="1:1">
      <c r="A538" s="12" t="str">
        <f t="shared" si="8"/>
        <v>01</v>
      </c>
    </row>
    <row r="539" spans="1:1">
      <c r="A539" s="12" t="str">
        <f t="shared" si="8"/>
        <v>01</v>
      </c>
    </row>
    <row r="540" spans="1:1">
      <c r="A540" s="12" t="str">
        <f t="shared" si="8"/>
        <v>01</v>
      </c>
    </row>
    <row r="541" spans="1:1">
      <c r="A541" s="12" t="str">
        <f t="shared" si="8"/>
        <v>01</v>
      </c>
    </row>
    <row r="542" spans="1:1">
      <c r="A542" s="12" t="str">
        <f t="shared" si="8"/>
        <v>01</v>
      </c>
    </row>
    <row r="543" spans="1:1">
      <c r="A543" s="12" t="str">
        <f t="shared" si="8"/>
        <v>01</v>
      </c>
    </row>
    <row r="544" spans="1:1">
      <c r="A544" s="12" t="str">
        <f t="shared" si="8"/>
        <v>01</v>
      </c>
    </row>
    <row r="545" spans="1:1">
      <c r="A545" s="12" t="str">
        <f t="shared" si="8"/>
        <v>01</v>
      </c>
    </row>
    <row r="546" spans="1:1">
      <c r="A546" s="12" t="str">
        <f t="shared" si="8"/>
        <v>01</v>
      </c>
    </row>
    <row r="547" spans="1:1">
      <c r="A547" s="12" t="str">
        <f t="shared" si="8"/>
        <v>01</v>
      </c>
    </row>
    <row r="548" spans="1:1">
      <c r="A548" s="12" t="str">
        <f t="shared" si="8"/>
        <v>01</v>
      </c>
    </row>
    <row r="549" spans="1:1">
      <c r="A549" s="12" t="str">
        <f t="shared" si="8"/>
        <v>01</v>
      </c>
    </row>
    <row r="550" spans="1:1">
      <c r="A550" s="12" t="str">
        <f t="shared" si="8"/>
        <v>01</v>
      </c>
    </row>
    <row r="551" spans="1:1">
      <c r="A551" s="12" t="str">
        <f t="shared" si="8"/>
        <v>01</v>
      </c>
    </row>
    <row r="552" spans="1:1">
      <c r="A552" s="12" t="str">
        <f t="shared" si="8"/>
        <v>01</v>
      </c>
    </row>
    <row r="553" spans="1:1">
      <c r="A553" s="12" t="str">
        <f t="shared" si="8"/>
        <v>01</v>
      </c>
    </row>
    <row r="554" spans="1:1">
      <c r="A554" s="12" t="str">
        <f t="shared" si="8"/>
        <v>01</v>
      </c>
    </row>
    <row r="555" spans="1:1">
      <c r="A555" s="12" t="str">
        <f t="shared" si="8"/>
        <v>01</v>
      </c>
    </row>
    <row r="556" spans="1:1">
      <c r="A556" s="12" t="str">
        <f t="shared" si="8"/>
        <v>01</v>
      </c>
    </row>
    <row r="557" spans="1:1">
      <c r="A557" s="12" t="str">
        <f t="shared" si="8"/>
        <v>01</v>
      </c>
    </row>
    <row r="558" spans="1:1">
      <c r="A558" s="12" t="str">
        <f t="shared" si="8"/>
        <v>01</v>
      </c>
    </row>
    <row r="559" spans="1:1">
      <c r="A559" s="12" t="str">
        <f t="shared" si="8"/>
        <v>01</v>
      </c>
    </row>
    <row r="560" spans="1:1">
      <c r="A560" s="12" t="str">
        <f t="shared" si="8"/>
        <v>01</v>
      </c>
    </row>
    <row r="561" spans="1:1">
      <c r="A561" s="12" t="str">
        <f t="shared" si="8"/>
        <v>01</v>
      </c>
    </row>
    <row r="562" spans="1:1">
      <c r="A562" s="12" t="str">
        <f t="shared" si="8"/>
        <v>01</v>
      </c>
    </row>
    <row r="563" spans="1:1">
      <c r="A563" s="12" t="str">
        <f t="shared" si="8"/>
        <v>01</v>
      </c>
    </row>
    <row r="564" spans="1:1">
      <c r="A564" s="12" t="str">
        <f t="shared" si="8"/>
        <v>01</v>
      </c>
    </row>
    <row r="565" spans="1:1">
      <c r="A565" s="12" t="str">
        <f t="shared" si="8"/>
        <v>01</v>
      </c>
    </row>
    <row r="566" spans="1:1">
      <c r="A566" s="12" t="str">
        <f t="shared" si="8"/>
        <v>01</v>
      </c>
    </row>
    <row r="567" spans="1:1">
      <c r="A567" s="12" t="str">
        <f t="shared" si="8"/>
        <v>01</v>
      </c>
    </row>
    <row r="568" spans="1:1">
      <c r="A568" s="12" t="str">
        <f t="shared" si="8"/>
        <v>01</v>
      </c>
    </row>
    <row r="569" spans="1:1">
      <c r="A569" s="12" t="str">
        <f t="shared" si="8"/>
        <v>01</v>
      </c>
    </row>
    <row r="570" spans="1:1">
      <c r="A570" s="12" t="str">
        <f t="shared" si="8"/>
        <v>01</v>
      </c>
    </row>
    <row r="571" spans="1:1">
      <c r="A571" s="12" t="str">
        <f t="shared" si="8"/>
        <v>01</v>
      </c>
    </row>
    <row r="572" spans="1:1">
      <c r="A572" s="12" t="str">
        <f t="shared" si="8"/>
        <v>01</v>
      </c>
    </row>
    <row r="573" spans="1:1">
      <c r="A573" s="12" t="str">
        <f t="shared" si="8"/>
        <v>01</v>
      </c>
    </row>
    <row r="574" spans="1:1">
      <c r="A574" s="12" t="str">
        <f t="shared" si="8"/>
        <v>01</v>
      </c>
    </row>
    <row r="575" spans="1:1">
      <c r="A575" s="12" t="str">
        <f t="shared" si="8"/>
        <v>01</v>
      </c>
    </row>
    <row r="576" spans="1:1">
      <c r="A576" s="12" t="str">
        <f t="shared" si="8"/>
        <v>01</v>
      </c>
    </row>
    <row r="577" spans="1:1">
      <c r="A577" s="12" t="str">
        <f t="shared" si="8"/>
        <v>01</v>
      </c>
    </row>
    <row r="578" spans="1:1">
      <c r="A578" s="12" t="str">
        <f t="shared" si="8"/>
        <v>01</v>
      </c>
    </row>
    <row r="579" spans="1:1">
      <c r="A579" s="12" t="str">
        <f t="shared" ref="A579:A642" si="9">TEXT(L579,"MM")</f>
        <v>01</v>
      </c>
    </row>
    <row r="580" spans="1:1">
      <c r="A580" s="12" t="str">
        <f t="shared" si="9"/>
        <v>01</v>
      </c>
    </row>
    <row r="581" spans="1:1">
      <c r="A581" s="12" t="str">
        <f t="shared" si="9"/>
        <v>01</v>
      </c>
    </row>
    <row r="582" spans="1:1">
      <c r="A582" s="12" t="str">
        <f t="shared" si="9"/>
        <v>01</v>
      </c>
    </row>
    <row r="583" spans="1:1">
      <c r="A583" s="12" t="str">
        <f t="shared" si="9"/>
        <v>01</v>
      </c>
    </row>
    <row r="584" spans="1:1">
      <c r="A584" s="12" t="str">
        <f t="shared" si="9"/>
        <v>01</v>
      </c>
    </row>
    <row r="585" spans="1:1">
      <c r="A585" s="12" t="str">
        <f t="shared" si="9"/>
        <v>01</v>
      </c>
    </row>
    <row r="586" spans="1:1">
      <c r="A586" s="12" t="str">
        <f t="shared" si="9"/>
        <v>01</v>
      </c>
    </row>
    <row r="587" spans="1:1">
      <c r="A587" s="12" t="str">
        <f t="shared" si="9"/>
        <v>01</v>
      </c>
    </row>
    <row r="588" spans="1:1">
      <c r="A588" s="12" t="str">
        <f t="shared" si="9"/>
        <v>01</v>
      </c>
    </row>
    <row r="589" spans="1:1">
      <c r="A589" s="12" t="str">
        <f t="shared" si="9"/>
        <v>01</v>
      </c>
    </row>
    <row r="590" spans="1:1">
      <c r="A590" s="12" t="str">
        <f t="shared" si="9"/>
        <v>01</v>
      </c>
    </row>
    <row r="591" spans="1:1">
      <c r="A591" s="12" t="str">
        <f t="shared" si="9"/>
        <v>01</v>
      </c>
    </row>
    <row r="592" spans="1:1">
      <c r="A592" s="12" t="str">
        <f t="shared" si="9"/>
        <v>01</v>
      </c>
    </row>
    <row r="593" spans="1:1">
      <c r="A593" s="12" t="str">
        <f t="shared" si="9"/>
        <v>01</v>
      </c>
    </row>
    <row r="594" spans="1:1">
      <c r="A594" s="12" t="str">
        <f t="shared" si="9"/>
        <v>01</v>
      </c>
    </row>
    <row r="595" spans="1:1">
      <c r="A595" s="12" t="str">
        <f t="shared" si="9"/>
        <v>01</v>
      </c>
    </row>
    <row r="596" spans="1:1">
      <c r="A596" s="12" t="str">
        <f t="shared" si="9"/>
        <v>01</v>
      </c>
    </row>
    <row r="597" spans="1:1">
      <c r="A597" s="12" t="str">
        <f t="shared" si="9"/>
        <v>01</v>
      </c>
    </row>
    <row r="598" spans="1:1">
      <c r="A598" s="12" t="str">
        <f t="shared" si="9"/>
        <v>01</v>
      </c>
    </row>
    <row r="599" spans="1:1">
      <c r="A599" s="12" t="str">
        <f t="shared" si="9"/>
        <v>01</v>
      </c>
    </row>
    <row r="600" spans="1:1">
      <c r="A600" s="12" t="str">
        <f t="shared" si="9"/>
        <v>01</v>
      </c>
    </row>
    <row r="601" spans="1:1">
      <c r="A601" s="12" t="str">
        <f t="shared" si="9"/>
        <v>01</v>
      </c>
    </row>
    <row r="602" spans="1:1">
      <c r="A602" s="12" t="str">
        <f t="shared" si="9"/>
        <v>01</v>
      </c>
    </row>
    <row r="603" spans="1:1">
      <c r="A603" s="12" t="str">
        <f t="shared" si="9"/>
        <v>01</v>
      </c>
    </row>
    <row r="604" spans="1:1">
      <c r="A604" s="12" t="str">
        <f t="shared" si="9"/>
        <v>01</v>
      </c>
    </row>
    <row r="605" spans="1:1">
      <c r="A605" s="12" t="str">
        <f t="shared" si="9"/>
        <v>01</v>
      </c>
    </row>
    <row r="606" spans="1:1">
      <c r="A606" s="12" t="str">
        <f t="shared" si="9"/>
        <v>01</v>
      </c>
    </row>
    <row r="607" spans="1:1">
      <c r="A607" s="12" t="str">
        <f t="shared" si="9"/>
        <v>01</v>
      </c>
    </row>
    <row r="608" spans="1:1">
      <c r="A608" s="12" t="str">
        <f t="shared" si="9"/>
        <v>01</v>
      </c>
    </row>
    <row r="609" spans="1:1">
      <c r="A609" s="12" t="str">
        <f t="shared" si="9"/>
        <v>01</v>
      </c>
    </row>
    <row r="610" spans="1:1">
      <c r="A610" s="12" t="str">
        <f t="shared" si="9"/>
        <v>01</v>
      </c>
    </row>
    <row r="611" spans="1:1">
      <c r="A611" s="12" t="str">
        <f t="shared" si="9"/>
        <v>01</v>
      </c>
    </row>
    <row r="612" spans="1:1">
      <c r="A612" s="12" t="str">
        <f t="shared" si="9"/>
        <v>01</v>
      </c>
    </row>
    <row r="613" spans="1:1">
      <c r="A613" s="12" t="str">
        <f t="shared" si="9"/>
        <v>01</v>
      </c>
    </row>
    <row r="614" spans="1:1">
      <c r="A614" s="12" t="str">
        <f t="shared" si="9"/>
        <v>01</v>
      </c>
    </row>
    <row r="615" spans="1:1">
      <c r="A615" s="12" t="str">
        <f t="shared" si="9"/>
        <v>01</v>
      </c>
    </row>
    <row r="616" spans="1:1">
      <c r="A616" s="12" t="str">
        <f t="shared" si="9"/>
        <v>01</v>
      </c>
    </row>
    <row r="617" spans="1:1">
      <c r="A617" s="12" t="str">
        <f t="shared" si="9"/>
        <v>01</v>
      </c>
    </row>
    <row r="618" spans="1:1">
      <c r="A618" s="12" t="str">
        <f t="shared" si="9"/>
        <v>01</v>
      </c>
    </row>
    <row r="619" spans="1:1">
      <c r="A619" s="12" t="str">
        <f t="shared" si="9"/>
        <v>01</v>
      </c>
    </row>
    <row r="620" spans="1:1">
      <c r="A620" s="12" t="str">
        <f t="shared" si="9"/>
        <v>01</v>
      </c>
    </row>
    <row r="621" spans="1:1">
      <c r="A621" s="12" t="str">
        <f t="shared" si="9"/>
        <v>01</v>
      </c>
    </row>
    <row r="622" spans="1:1">
      <c r="A622" s="12" t="str">
        <f t="shared" si="9"/>
        <v>01</v>
      </c>
    </row>
    <row r="623" spans="1:1">
      <c r="A623" s="12" t="str">
        <f t="shared" si="9"/>
        <v>01</v>
      </c>
    </row>
    <row r="624" spans="1:1">
      <c r="A624" s="12" t="str">
        <f t="shared" si="9"/>
        <v>01</v>
      </c>
    </row>
    <row r="625" spans="1:1">
      <c r="A625" s="12" t="str">
        <f t="shared" si="9"/>
        <v>01</v>
      </c>
    </row>
    <row r="626" spans="1:1">
      <c r="A626" s="12" t="str">
        <f t="shared" si="9"/>
        <v>01</v>
      </c>
    </row>
    <row r="627" spans="1:1">
      <c r="A627" s="12" t="str">
        <f t="shared" si="9"/>
        <v>01</v>
      </c>
    </row>
    <row r="628" spans="1:1">
      <c r="A628" s="12" t="str">
        <f t="shared" si="9"/>
        <v>01</v>
      </c>
    </row>
    <row r="629" spans="1:1">
      <c r="A629" s="12" t="str">
        <f t="shared" si="9"/>
        <v>01</v>
      </c>
    </row>
    <row r="630" spans="1:1">
      <c r="A630" s="12" t="str">
        <f t="shared" si="9"/>
        <v>01</v>
      </c>
    </row>
    <row r="631" spans="1:1">
      <c r="A631" s="12" t="str">
        <f t="shared" si="9"/>
        <v>01</v>
      </c>
    </row>
    <row r="632" spans="1:1">
      <c r="A632" s="12" t="str">
        <f t="shared" si="9"/>
        <v>01</v>
      </c>
    </row>
    <row r="633" spans="1:1">
      <c r="A633" s="12" t="str">
        <f t="shared" si="9"/>
        <v>01</v>
      </c>
    </row>
    <row r="634" spans="1:1">
      <c r="A634" s="12" t="str">
        <f t="shared" si="9"/>
        <v>01</v>
      </c>
    </row>
    <row r="635" spans="1:1">
      <c r="A635" s="12" t="str">
        <f t="shared" si="9"/>
        <v>01</v>
      </c>
    </row>
    <row r="636" spans="1:1">
      <c r="A636" s="12" t="str">
        <f t="shared" si="9"/>
        <v>01</v>
      </c>
    </row>
    <row r="637" spans="1:1">
      <c r="A637" s="12" t="str">
        <f t="shared" si="9"/>
        <v>01</v>
      </c>
    </row>
    <row r="638" spans="1:1">
      <c r="A638" s="12" t="str">
        <f t="shared" si="9"/>
        <v>01</v>
      </c>
    </row>
    <row r="639" spans="1:1">
      <c r="A639" s="12" t="str">
        <f t="shared" si="9"/>
        <v>01</v>
      </c>
    </row>
    <row r="640" spans="1:1">
      <c r="A640" s="12" t="str">
        <f t="shared" si="9"/>
        <v>01</v>
      </c>
    </row>
    <row r="641" spans="1:1">
      <c r="A641" s="12" t="str">
        <f t="shared" si="9"/>
        <v>01</v>
      </c>
    </row>
    <row r="642" spans="1:1">
      <c r="A642" s="12" t="str">
        <f t="shared" si="9"/>
        <v>01</v>
      </c>
    </row>
    <row r="643" spans="1:1">
      <c r="A643" s="12" t="str">
        <f t="shared" ref="A643:A706" si="10">TEXT(L643,"MM")</f>
        <v>01</v>
      </c>
    </row>
    <row r="644" spans="1:1">
      <c r="A644" s="12" t="str">
        <f t="shared" si="10"/>
        <v>01</v>
      </c>
    </row>
    <row r="645" spans="1:1">
      <c r="A645" s="12" t="str">
        <f t="shared" si="10"/>
        <v>01</v>
      </c>
    </row>
    <row r="646" spans="1:1">
      <c r="A646" s="12" t="str">
        <f t="shared" si="10"/>
        <v>01</v>
      </c>
    </row>
    <row r="647" spans="1:1">
      <c r="A647" s="12" t="str">
        <f t="shared" si="10"/>
        <v>01</v>
      </c>
    </row>
    <row r="648" spans="1:1">
      <c r="A648" s="12" t="str">
        <f t="shared" si="10"/>
        <v>01</v>
      </c>
    </row>
    <row r="649" spans="1:1">
      <c r="A649" s="12" t="str">
        <f t="shared" si="10"/>
        <v>01</v>
      </c>
    </row>
    <row r="650" spans="1:1">
      <c r="A650" s="12" t="str">
        <f t="shared" si="10"/>
        <v>01</v>
      </c>
    </row>
    <row r="651" spans="1:1">
      <c r="A651" s="12" t="str">
        <f t="shared" si="10"/>
        <v>01</v>
      </c>
    </row>
    <row r="652" spans="1:1">
      <c r="A652" s="12" t="str">
        <f t="shared" si="10"/>
        <v>01</v>
      </c>
    </row>
    <row r="653" spans="1:1">
      <c r="A653" s="12" t="str">
        <f t="shared" si="10"/>
        <v>01</v>
      </c>
    </row>
    <row r="654" spans="1:1">
      <c r="A654" s="12" t="str">
        <f t="shared" si="10"/>
        <v>01</v>
      </c>
    </row>
    <row r="655" spans="1:1">
      <c r="A655" s="12" t="str">
        <f t="shared" si="10"/>
        <v>01</v>
      </c>
    </row>
    <row r="656" spans="1:1">
      <c r="A656" s="12" t="str">
        <f t="shared" si="10"/>
        <v>01</v>
      </c>
    </row>
    <row r="657" spans="1:1">
      <c r="A657" s="12" t="str">
        <f t="shared" si="10"/>
        <v>01</v>
      </c>
    </row>
    <row r="658" spans="1:1">
      <c r="A658" s="12" t="str">
        <f t="shared" si="10"/>
        <v>01</v>
      </c>
    </row>
    <row r="659" spans="1:1">
      <c r="A659" s="12" t="str">
        <f t="shared" si="10"/>
        <v>01</v>
      </c>
    </row>
    <row r="660" spans="1:1">
      <c r="A660" s="12" t="str">
        <f t="shared" si="10"/>
        <v>01</v>
      </c>
    </row>
    <row r="661" spans="1:1">
      <c r="A661" s="12" t="str">
        <f t="shared" si="10"/>
        <v>01</v>
      </c>
    </row>
    <row r="662" spans="1:1">
      <c r="A662" s="12" t="str">
        <f t="shared" si="10"/>
        <v>01</v>
      </c>
    </row>
    <row r="663" spans="1:1">
      <c r="A663" s="12" t="str">
        <f t="shared" si="10"/>
        <v>01</v>
      </c>
    </row>
    <row r="664" spans="1:1">
      <c r="A664" s="12" t="str">
        <f t="shared" si="10"/>
        <v>01</v>
      </c>
    </row>
    <row r="665" spans="1:1">
      <c r="A665" s="12" t="str">
        <f t="shared" si="10"/>
        <v>01</v>
      </c>
    </row>
    <row r="666" spans="1:1">
      <c r="A666" s="12" t="str">
        <f t="shared" si="10"/>
        <v>01</v>
      </c>
    </row>
    <row r="667" spans="1:1">
      <c r="A667" s="12" t="str">
        <f t="shared" si="10"/>
        <v>01</v>
      </c>
    </row>
    <row r="668" spans="1:1">
      <c r="A668" s="12" t="str">
        <f t="shared" si="10"/>
        <v>01</v>
      </c>
    </row>
    <row r="669" spans="1:1">
      <c r="A669" s="12" t="str">
        <f t="shared" si="10"/>
        <v>01</v>
      </c>
    </row>
    <row r="670" spans="1:1">
      <c r="A670" s="12" t="str">
        <f t="shared" si="10"/>
        <v>01</v>
      </c>
    </row>
    <row r="671" spans="1:1">
      <c r="A671" s="12" t="str">
        <f t="shared" si="10"/>
        <v>01</v>
      </c>
    </row>
    <row r="672" spans="1:1">
      <c r="A672" s="12" t="str">
        <f t="shared" si="10"/>
        <v>01</v>
      </c>
    </row>
    <row r="673" spans="1:1">
      <c r="A673" s="12" t="str">
        <f t="shared" si="10"/>
        <v>01</v>
      </c>
    </row>
    <row r="674" spans="1:1">
      <c r="A674" s="12" t="str">
        <f t="shared" si="10"/>
        <v>01</v>
      </c>
    </row>
    <row r="675" spans="1:1">
      <c r="A675" s="12" t="str">
        <f t="shared" si="10"/>
        <v>01</v>
      </c>
    </row>
    <row r="676" spans="1:1">
      <c r="A676" s="12" t="str">
        <f t="shared" si="10"/>
        <v>01</v>
      </c>
    </row>
    <row r="677" spans="1:1">
      <c r="A677" s="12" t="str">
        <f t="shared" si="10"/>
        <v>01</v>
      </c>
    </row>
    <row r="678" spans="1:1">
      <c r="A678" s="12" t="str">
        <f t="shared" si="10"/>
        <v>01</v>
      </c>
    </row>
    <row r="679" spans="1:1">
      <c r="A679" s="12" t="str">
        <f t="shared" si="10"/>
        <v>01</v>
      </c>
    </row>
    <row r="680" spans="1:1">
      <c r="A680" s="12" t="str">
        <f t="shared" si="10"/>
        <v>01</v>
      </c>
    </row>
    <row r="681" spans="1:1">
      <c r="A681" s="12" t="str">
        <f t="shared" si="10"/>
        <v>01</v>
      </c>
    </row>
    <row r="682" spans="1:1">
      <c r="A682" s="12" t="str">
        <f t="shared" si="10"/>
        <v>01</v>
      </c>
    </row>
    <row r="683" spans="1:1">
      <c r="A683" s="12" t="str">
        <f t="shared" si="10"/>
        <v>01</v>
      </c>
    </row>
    <row r="684" spans="1:1">
      <c r="A684" s="12" t="str">
        <f t="shared" si="10"/>
        <v>01</v>
      </c>
    </row>
    <row r="685" spans="1:1">
      <c r="A685" s="12" t="str">
        <f t="shared" si="10"/>
        <v>01</v>
      </c>
    </row>
    <row r="686" spans="1:1">
      <c r="A686" s="12" t="str">
        <f t="shared" si="10"/>
        <v>01</v>
      </c>
    </row>
    <row r="687" spans="1:1">
      <c r="A687" s="12" t="str">
        <f t="shared" si="10"/>
        <v>01</v>
      </c>
    </row>
    <row r="688" spans="1:1">
      <c r="A688" s="12" t="str">
        <f t="shared" si="10"/>
        <v>01</v>
      </c>
    </row>
    <row r="689" spans="1:1">
      <c r="A689" s="12" t="str">
        <f t="shared" si="10"/>
        <v>01</v>
      </c>
    </row>
    <row r="690" spans="1:1">
      <c r="A690" s="12" t="str">
        <f t="shared" si="10"/>
        <v>01</v>
      </c>
    </row>
    <row r="691" spans="1:1">
      <c r="A691" s="12" t="str">
        <f t="shared" si="10"/>
        <v>01</v>
      </c>
    </row>
    <row r="692" spans="1:1">
      <c r="A692" s="12" t="str">
        <f t="shared" si="10"/>
        <v>01</v>
      </c>
    </row>
    <row r="693" spans="1:1">
      <c r="A693" s="12" t="str">
        <f t="shared" si="10"/>
        <v>01</v>
      </c>
    </row>
    <row r="694" spans="1:1">
      <c r="A694" s="12" t="str">
        <f t="shared" si="10"/>
        <v>01</v>
      </c>
    </row>
    <row r="695" spans="1:1">
      <c r="A695" s="12" t="str">
        <f t="shared" si="10"/>
        <v>01</v>
      </c>
    </row>
    <row r="696" spans="1:1">
      <c r="A696" s="12" t="str">
        <f t="shared" si="10"/>
        <v>01</v>
      </c>
    </row>
    <row r="697" spans="1:1">
      <c r="A697" s="12" t="str">
        <f t="shared" si="10"/>
        <v>01</v>
      </c>
    </row>
    <row r="698" spans="1:1">
      <c r="A698" s="12" t="str">
        <f t="shared" si="10"/>
        <v>01</v>
      </c>
    </row>
    <row r="699" spans="1:1">
      <c r="A699" s="12" t="str">
        <f t="shared" si="10"/>
        <v>01</v>
      </c>
    </row>
    <row r="700" spans="1:1">
      <c r="A700" s="12" t="str">
        <f t="shared" si="10"/>
        <v>01</v>
      </c>
    </row>
    <row r="701" spans="1:1">
      <c r="A701" s="12" t="str">
        <f t="shared" si="10"/>
        <v>01</v>
      </c>
    </row>
    <row r="702" spans="1:1">
      <c r="A702" s="12" t="str">
        <f t="shared" si="10"/>
        <v>01</v>
      </c>
    </row>
    <row r="703" spans="1:1">
      <c r="A703" s="12" t="str">
        <f t="shared" si="10"/>
        <v>01</v>
      </c>
    </row>
    <row r="704" spans="1:1">
      <c r="A704" s="12" t="str">
        <f t="shared" si="10"/>
        <v>01</v>
      </c>
    </row>
    <row r="705" spans="1:1">
      <c r="A705" s="12" t="str">
        <f t="shared" si="10"/>
        <v>01</v>
      </c>
    </row>
    <row r="706" spans="1:1">
      <c r="A706" s="12" t="str">
        <f t="shared" si="10"/>
        <v>01</v>
      </c>
    </row>
    <row r="707" spans="1:1">
      <c r="A707" s="12" t="str">
        <f t="shared" ref="A707:A770" si="11">TEXT(L707,"MM")</f>
        <v>01</v>
      </c>
    </row>
    <row r="708" spans="1:1">
      <c r="A708" s="12" t="str">
        <f t="shared" si="11"/>
        <v>01</v>
      </c>
    </row>
    <row r="709" spans="1:1">
      <c r="A709" s="12" t="str">
        <f t="shared" si="11"/>
        <v>01</v>
      </c>
    </row>
    <row r="710" spans="1:1">
      <c r="A710" s="12" t="str">
        <f t="shared" si="11"/>
        <v>01</v>
      </c>
    </row>
    <row r="711" spans="1:1">
      <c r="A711" s="12" t="str">
        <f t="shared" si="11"/>
        <v>01</v>
      </c>
    </row>
    <row r="712" spans="1:1">
      <c r="A712" s="12" t="str">
        <f t="shared" si="11"/>
        <v>01</v>
      </c>
    </row>
    <row r="713" spans="1:1">
      <c r="A713" s="12" t="str">
        <f t="shared" si="11"/>
        <v>01</v>
      </c>
    </row>
    <row r="714" spans="1:1">
      <c r="A714" s="12" t="str">
        <f t="shared" si="11"/>
        <v>01</v>
      </c>
    </row>
    <row r="715" spans="1:1">
      <c r="A715" s="12" t="str">
        <f t="shared" si="11"/>
        <v>01</v>
      </c>
    </row>
    <row r="716" spans="1:1">
      <c r="A716" s="12" t="str">
        <f t="shared" si="11"/>
        <v>01</v>
      </c>
    </row>
    <row r="717" spans="1:1">
      <c r="A717" s="12" t="str">
        <f t="shared" si="11"/>
        <v>01</v>
      </c>
    </row>
    <row r="718" spans="1:1">
      <c r="A718" s="12" t="str">
        <f t="shared" si="11"/>
        <v>01</v>
      </c>
    </row>
    <row r="719" spans="1:1">
      <c r="A719" s="12" t="str">
        <f t="shared" si="11"/>
        <v>01</v>
      </c>
    </row>
    <row r="720" spans="1:1">
      <c r="A720" s="12" t="str">
        <f t="shared" si="11"/>
        <v>01</v>
      </c>
    </row>
    <row r="721" spans="1:1">
      <c r="A721" s="12" t="str">
        <f t="shared" si="11"/>
        <v>01</v>
      </c>
    </row>
    <row r="722" spans="1:1">
      <c r="A722" s="12" t="str">
        <f t="shared" si="11"/>
        <v>01</v>
      </c>
    </row>
    <row r="723" spans="1:1">
      <c r="A723" s="12" t="str">
        <f t="shared" si="11"/>
        <v>01</v>
      </c>
    </row>
    <row r="724" spans="1:1">
      <c r="A724" s="12" t="str">
        <f t="shared" si="11"/>
        <v>01</v>
      </c>
    </row>
    <row r="725" spans="1:1">
      <c r="A725" s="12" t="str">
        <f t="shared" si="11"/>
        <v>01</v>
      </c>
    </row>
    <row r="726" spans="1:1">
      <c r="A726" s="12" t="str">
        <f t="shared" si="11"/>
        <v>01</v>
      </c>
    </row>
    <row r="727" spans="1:1">
      <c r="A727" s="12" t="str">
        <f t="shared" si="11"/>
        <v>01</v>
      </c>
    </row>
    <row r="728" spans="1:1">
      <c r="A728" s="12" t="str">
        <f t="shared" si="11"/>
        <v>01</v>
      </c>
    </row>
    <row r="729" spans="1:1">
      <c r="A729" s="12" t="str">
        <f t="shared" si="11"/>
        <v>01</v>
      </c>
    </row>
    <row r="730" spans="1:1">
      <c r="A730" s="12" t="str">
        <f t="shared" si="11"/>
        <v>01</v>
      </c>
    </row>
    <row r="731" spans="1:1">
      <c r="A731" s="12" t="str">
        <f t="shared" si="11"/>
        <v>01</v>
      </c>
    </row>
    <row r="732" spans="1:1">
      <c r="A732" s="12" t="str">
        <f t="shared" si="11"/>
        <v>01</v>
      </c>
    </row>
    <row r="733" spans="1:1">
      <c r="A733" s="12" t="str">
        <f t="shared" si="11"/>
        <v>01</v>
      </c>
    </row>
    <row r="734" spans="1:1">
      <c r="A734" s="12" t="str">
        <f t="shared" si="11"/>
        <v>01</v>
      </c>
    </row>
    <row r="735" spans="1:1">
      <c r="A735" s="12" t="str">
        <f t="shared" si="11"/>
        <v>01</v>
      </c>
    </row>
    <row r="736" spans="1:1">
      <c r="A736" s="12" t="str">
        <f t="shared" si="11"/>
        <v>01</v>
      </c>
    </row>
    <row r="737" spans="1:1">
      <c r="A737" s="12" t="str">
        <f t="shared" si="11"/>
        <v>01</v>
      </c>
    </row>
    <row r="738" spans="1:1">
      <c r="A738" s="12" t="str">
        <f t="shared" si="11"/>
        <v>01</v>
      </c>
    </row>
    <row r="739" spans="1:1">
      <c r="A739" s="12" t="str">
        <f t="shared" si="11"/>
        <v>01</v>
      </c>
    </row>
    <row r="740" spans="1:1">
      <c r="A740" s="12" t="str">
        <f t="shared" si="11"/>
        <v>01</v>
      </c>
    </row>
    <row r="741" spans="1:1">
      <c r="A741" s="12" t="str">
        <f t="shared" si="11"/>
        <v>01</v>
      </c>
    </row>
    <row r="742" spans="1:1">
      <c r="A742" s="12" t="str">
        <f t="shared" si="11"/>
        <v>01</v>
      </c>
    </row>
    <row r="743" spans="1:1">
      <c r="A743" s="12" t="str">
        <f t="shared" si="11"/>
        <v>01</v>
      </c>
    </row>
    <row r="744" spans="1:1">
      <c r="A744" s="12" t="str">
        <f t="shared" si="11"/>
        <v>01</v>
      </c>
    </row>
    <row r="745" spans="1:1">
      <c r="A745" s="12" t="str">
        <f t="shared" si="11"/>
        <v>01</v>
      </c>
    </row>
    <row r="746" spans="1:1">
      <c r="A746" s="12" t="str">
        <f t="shared" si="11"/>
        <v>01</v>
      </c>
    </row>
    <row r="747" spans="1:1">
      <c r="A747" s="12" t="str">
        <f t="shared" si="11"/>
        <v>01</v>
      </c>
    </row>
    <row r="748" spans="1:1">
      <c r="A748" s="12" t="str">
        <f t="shared" si="11"/>
        <v>01</v>
      </c>
    </row>
    <row r="749" spans="1:1">
      <c r="A749" s="12" t="str">
        <f t="shared" si="11"/>
        <v>01</v>
      </c>
    </row>
    <row r="750" spans="1:1">
      <c r="A750" s="12" t="str">
        <f t="shared" si="11"/>
        <v>01</v>
      </c>
    </row>
    <row r="751" spans="1:1">
      <c r="A751" s="12" t="str">
        <f t="shared" si="11"/>
        <v>01</v>
      </c>
    </row>
    <row r="752" spans="1:1">
      <c r="A752" s="12" t="str">
        <f t="shared" si="11"/>
        <v>01</v>
      </c>
    </row>
    <row r="753" spans="1:1">
      <c r="A753" s="12" t="str">
        <f t="shared" si="11"/>
        <v>01</v>
      </c>
    </row>
    <row r="754" spans="1:1">
      <c r="A754" s="12" t="str">
        <f t="shared" si="11"/>
        <v>01</v>
      </c>
    </row>
    <row r="755" spans="1:1">
      <c r="A755" s="12" t="str">
        <f t="shared" si="11"/>
        <v>01</v>
      </c>
    </row>
    <row r="756" spans="1:1">
      <c r="A756" s="12" t="str">
        <f t="shared" si="11"/>
        <v>01</v>
      </c>
    </row>
    <row r="757" spans="1:1">
      <c r="A757" s="12" t="str">
        <f t="shared" si="11"/>
        <v>01</v>
      </c>
    </row>
    <row r="758" spans="1:1">
      <c r="A758" s="12" t="str">
        <f t="shared" si="11"/>
        <v>01</v>
      </c>
    </row>
    <row r="759" spans="1:1">
      <c r="A759" s="12" t="str">
        <f t="shared" si="11"/>
        <v>01</v>
      </c>
    </row>
    <row r="760" spans="1:1">
      <c r="A760" s="12" t="str">
        <f t="shared" si="11"/>
        <v>01</v>
      </c>
    </row>
    <row r="761" spans="1:1">
      <c r="A761" s="12" t="str">
        <f t="shared" si="11"/>
        <v>01</v>
      </c>
    </row>
    <row r="762" spans="1:1">
      <c r="A762" s="12" t="str">
        <f t="shared" si="11"/>
        <v>01</v>
      </c>
    </row>
    <row r="763" spans="1:1">
      <c r="A763" s="12" t="str">
        <f t="shared" si="11"/>
        <v>01</v>
      </c>
    </row>
    <row r="764" spans="1:1">
      <c r="A764" s="12" t="str">
        <f t="shared" si="11"/>
        <v>01</v>
      </c>
    </row>
    <row r="765" spans="1:1">
      <c r="A765" s="12" t="str">
        <f t="shared" si="11"/>
        <v>01</v>
      </c>
    </row>
    <row r="766" spans="1:1">
      <c r="A766" s="12" t="str">
        <f t="shared" si="11"/>
        <v>01</v>
      </c>
    </row>
    <row r="767" spans="1:1">
      <c r="A767" s="12" t="str">
        <f t="shared" si="11"/>
        <v>01</v>
      </c>
    </row>
    <row r="768" spans="1:1">
      <c r="A768" s="12" t="str">
        <f t="shared" si="11"/>
        <v>01</v>
      </c>
    </row>
    <row r="769" spans="1:1">
      <c r="A769" s="12" t="str">
        <f t="shared" si="11"/>
        <v>01</v>
      </c>
    </row>
    <row r="770" spans="1:1">
      <c r="A770" s="12" t="str">
        <f t="shared" si="11"/>
        <v>01</v>
      </c>
    </row>
    <row r="771" spans="1:1">
      <c r="A771" s="12" t="str">
        <f t="shared" ref="A771:A834" si="12">TEXT(L771,"MM")</f>
        <v>01</v>
      </c>
    </row>
    <row r="772" spans="1:1">
      <c r="A772" s="12" t="str">
        <f t="shared" si="12"/>
        <v>01</v>
      </c>
    </row>
    <row r="773" spans="1:1">
      <c r="A773" s="12" t="str">
        <f t="shared" si="12"/>
        <v>01</v>
      </c>
    </row>
    <row r="774" spans="1:1">
      <c r="A774" s="12" t="str">
        <f t="shared" si="12"/>
        <v>01</v>
      </c>
    </row>
    <row r="775" spans="1:1">
      <c r="A775" s="12" t="str">
        <f t="shared" si="12"/>
        <v>01</v>
      </c>
    </row>
    <row r="776" spans="1:1">
      <c r="A776" s="12" t="str">
        <f t="shared" si="12"/>
        <v>01</v>
      </c>
    </row>
    <row r="777" spans="1:1">
      <c r="A777" s="12" t="str">
        <f t="shared" si="12"/>
        <v>01</v>
      </c>
    </row>
    <row r="778" spans="1:1">
      <c r="A778" s="12" t="str">
        <f t="shared" si="12"/>
        <v>01</v>
      </c>
    </row>
    <row r="779" spans="1:1">
      <c r="A779" s="12" t="str">
        <f t="shared" si="12"/>
        <v>01</v>
      </c>
    </row>
    <row r="780" spans="1:1">
      <c r="A780" s="12" t="str">
        <f t="shared" si="12"/>
        <v>01</v>
      </c>
    </row>
    <row r="781" spans="1:1">
      <c r="A781" s="12" t="str">
        <f t="shared" si="12"/>
        <v>01</v>
      </c>
    </row>
    <row r="782" spans="1:1">
      <c r="A782" s="12" t="str">
        <f t="shared" si="12"/>
        <v>01</v>
      </c>
    </row>
    <row r="783" spans="1:1">
      <c r="A783" s="12" t="str">
        <f t="shared" si="12"/>
        <v>01</v>
      </c>
    </row>
    <row r="784" spans="1:1">
      <c r="A784" s="12" t="str">
        <f t="shared" si="12"/>
        <v>01</v>
      </c>
    </row>
    <row r="785" spans="1:1">
      <c r="A785" s="12" t="str">
        <f t="shared" si="12"/>
        <v>01</v>
      </c>
    </row>
    <row r="786" spans="1:1">
      <c r="A786" s="12" t="str">
        <f t="shared" si="12"/>
        <v>01</v>
      </c>
    </row>
    <row r="787" spans="1:1">
      <c r="A787" s="12" t="str">
        <f t="shared" si="12"/>
        <v>01</v>
      </c>
    </row>
    <row r="788" spans="1:1">
      <c r="A788" s="12" t="str">
        <f t="shared" si="12"/>
        <v>01</v>
      </c>
    </row>
    <row r="789" spans="1:1">
      <c r="A789" s="12" t="str">
        <f t="shared" si="12"/>
        <v>01</v>
      </c>
    </row>
    <row r="790" spans="1:1">
      <c r="A790" s="12" t="str">
        <f t="shared" si="12"/>
        <v>01</v>
      </c>
    </row>
    <row r="791" spans="1:1">
      <c r="A791" s="12" t="str">
        <f t="shared" si="12"/>
        <v>01</v>
      </c>
    </row>
    <row r="792" spans="1:1">
      <c r="A792" s="12" t="str">
        <f t="shared" si="12"/>
        <v>01</v>
      </c>
    </row>
    <row r="793" spans="1:1">
      <c r="A793" s="12" t="str">
        <f t="shared" si="12"/>
        <v>01</v>
      </c>
    </row>
    <row r="794" spans="1:1">
      <c r="A794" s="12" t="str">
        <f t="shared" si="12"/>
        <v>01</v>
      </c>
    </row>
    <row r="795" spans="1:1">
      <c r="A795" s="12" t="str">
        <f t="shared" si="12"/>
        <v>01</v>
      </c>
    </row>
    <row r="796" spans="1:1">
      <c r="A796" s="12" t="str">
        <f t="shared" si="12"/>
        <v>01</v>
      </c>
    </row>
    <row r="797" spans="1:1">
      <c r="A797" s="12" t="str">
        <f t="shared" si="12"/>
        <v>01</v>
      </c>
    </row>
    <row r="798" spans="1:1">
      <c r="A798" s="12" t="str">
        <f t="shared" si="12"/>
        <v>01</v>
      </c>
    </row>
    <row r="799" spans="1:1">
      <c r="A799" s="12" t="str">
        <f t="shared" si="12"/>
        <v>01</v>
      </c>
    </row>
    <row r="800" spans="1:1">
      <c r="A800" s="12" t="str">
        <f t="shared" si="12"/>
        <v>01</v>
      </c>
    </row>
    <row r="801" spans="1:1">
      <c r="A801" s="12" t="str">
        <f t="shared" si="12"/>
        <v>01</v>
      </c>
    </row>
    <row r="802" spans="1:1">
      <c r="A802" s="12" t="str">
        <f t="shared" si="12"/>
        <v>01</v>
      </c>
    </row>
    <row r="803" spans="1:1">
      <c r="A803" s="12" t="str">
        <f t="shared" si="12"/>
        <v>01</v>
      </c>
    </row>
    <row r="804" spans="1:1">
      <c r="A804" s="12" t="str">
        <f t="shared" si="12"/>
        <v>01</v>
      </c>
    </row>
    <row r="805" spans="1:1">
      <c r="A805" s="12" t="str">
        <f t="shared" si="12"/>
        <v>01</v>
      </c>
    </row>
    <row r="806" spans="1:1">
      <c r="A806" s="12" t="str">
        <f t="shared" si="12"/>
        <v>01</v>
      </c>
    </row>
    <row r="807" spans="1:1">
      <c r="A807" s="12" t="str">
        <f t="shared" si="12"/>
        <v>01</v>
      </c>
    </row>
    <row r="808" spans="1:1">
      <c r="A808" s="12" t="str">
        <f t="shared" si="12"/>
        <v>01</v>
      </c>
    </row>
    <row r="809" spans="1:1">
      <c r="A809" s="12" t="str">
        <f t="shared" si="12"/>
        <v>01</v>
      </c>
    </row>
    <row r="810" spans="1:1">
      <c r="A810" s="12" t="str">
        <f t="shared" si="12"/>
        <v>01</v>
      </c>
    </row>
    <row r="811" spans="1:1">
      <c r="A811" s="12" t="str">
        <f t="shared" si="12"/>
        <v>01</v>
      </c>
    </row>
    <row r="812" spans="1:1">
      <c r="A812" s="12" t="str">
        <f t="shared" si="12"/>
        <v>01</v>
      </c>
    </row>
    <row r="813" spans="1:1">
      <c r="A813" s="12" t="str">
        <f t="shared" si="12"/>
        <v>01</v>
      </c>
    </row>
    <row r="814" spans="1:1">
      <c r="A814" s="12" t="str">
        <f t="shared" si="12"/>
        <v>01</v>
      </c>
    </row>
    <row r="815" spans="1:1">
      <c r="A815" s="12" t="str">
        <f t="shared" si="12"/>
        <v>01</v>
      </c>
    </row>
    <row r="816" spans="1:1">
      <c r="A816" s="12" t="str">
        <f t="shared" si="12"/>
        <v>01</v>
      </c>
    </row>
    <row r="817" spans="1:1">
      <c r="A817" s="12" t="str">
        <f t="shared" si="12"/>
        <v>01</v>
      </c>
    </row>
    <row r="818" spans="1:1">
      <c r="A818" s="12" t="str">
        <f t="shared" si="12"/>
        <v>01</v>
      </c>
    </row>
    <row r="819" spans="1:1">
      <c r="A819" s="12" t="str">
        <f t="shared" si="12"/>
        <v>01</v>
      </c>
    </row>
    <row r="820" spans="1:1">
      <c r="A820" s="12" t="str">
        <f t="shared" si="12"/>
        <v>01</v>
      </c>
    </row>
    <row r="821" spans="1:1">
      <c r="A821" s="12" t="str">
        <f t="shared" si="12"/>
        <v>01</v>
      </c>
    </row>
    <row r="822" spans="1:1">
      <c r="A822" s="12" t="str">
        <f t="shared" si="12"/>
        <v>01</v>
      </c>
    </row>
    <row r="823" spans="1:1">
      <c r="A823" s="12" t="str">
        <f t="shared" si="12"/>
        <v>01</v>
      </c>
    </row>
    <row r="824" spans="1:1">
      <c r="A824" s="12" t="str">
        <f t="shared" si="12"/>
        <v>01</v>
      </c>
    </row>
    <row r="825" spans="1:1">
      <c r="A825" s="12" t="str">
        <f t="shared" si="12"/>
        <v>01</v>
      </c>
    </row>
    <row r="826" spans="1:1">
      <c r="A826" s="12" t="str">
        <f t="shared" si="12"/>
        <v>01</v>
      </c>
    </row>
    <row r="827" spans="1:1">
      <c r="A827" s="12" t="str">
        <f t="shared" si="12"/>
        <v>01</v>
      </c>
    </row>
    <row r="828" spans="1:1">
      <c r="A828" s="12" t="str">
        <f t="shared" si="12"/>
        <v>01</v>
      </c>
    </row>
    <row r="829" spans="1:1">
      <c r="A829" s="12" t="str">
        <f t="shared" si="12"/>
        <v>01</v>
      </c>
    </row>
    <row r="830" spans="1:1">
      <c r="A830" s="12" t="str">
        <f t="shared" si="12"/>
        <v>01</v>
      </c>
    </row>
    <row r="831" spans="1:1">
      <c r="A831" s="12" t="str">
        <f t="shared" si="12"/>
        <v>01</v>
      </c>
    </row>
    <row r="832" spans="1:1">
      <c r="A832" s="12" t="str">
        <f t="shared" si="12"/>
        <v>01</v>
      </c>
    </row>
    <row r="833" spans="1:1">
      <c r="A833" s="12" t="str">
        <f t="shared" si="12"/>
        <v>01</v>
      </c>
    </row>
    <row r="834" spans="1:1">
      <c r="A834" s="12" t="str">
        <f t="shared" si="12"/>
        <v>01</v>
      </c>
    </row>
    <row r="835" spans="1:1">
      <c r="A835" s="12" t="str">
        <f t="shared" ref="A835:A898" si="13">TEXT(L835,"MM")</f>
        <v>01</v>
      </c>
    </row>
    <row r="836" spans="1:1">
      <c r="A836" s="12" t="str">
        <f t="shared" si="13"/>
        <v>01</v>
      </c>
    </row>
    <row r="837" spans="1:1">
      <c r="A837" s="12" t="str">
        <f t="shared" si="13"/>
        <v>01</v>
      </c>
    </row>
    <row r="838" spans="1:1">
      <c r="A838" s="12" t="str">
        <f t="shared" si="13"/>
        <v>01</v>
      </c>
    </row>
    <row r="839" spans="1:1">
      <c r="A839" s="12" t="str">
        <f t="shared" si="13"/>
        <v>01</v>
      </c>
    </row>
    <row r="840" spans="1:1">
      <c r="A840" s="12" t="str">
        <f t="shared" si="13"/>
        <v>01</v>
      </c>
    </row>
    <row r="841" spans="1:1">
      <c r="A841" s="12" t="str">
        <f t="shared" si="13"/>
        <v>01</v>
      </c>
    </row>
    <row r="842" spans="1:1">
      <c r="A842" s="12" t="str">
        <f t="shared" si="13"/>
        <v>01</v>
      </c>
    </row>
    <row r="843" spans="1:1">
      <c r="A843" s="12" t="str">
        <f t="shared" si="13"/>
        <v>01</v>
      </c>
    </row>
    <row r="844" spans="1:1">
      <c r="A844" s="12" t="str">
        <f t="shared" si="13"/>
        <v>01</v>
      </c>
    </row>
    <row r="845" spans="1:1">
      <c r="A845" s="12" t="str">
        <f t="shared" si="13"/>
        <v>01</v>
      </c>
    </row>
    <row r="846" spans="1:1">
      <c r="A846" s="12" t="str">
        <f t="shared" si="13"/>
        <v>01</v>
      </c>
    </row>
    <row r="847" spans="1:1">
      <c r="A847" s="12" t="str">
        <f t="shared" si="13"/>
        <v>01</v>
      </c>
    </row>
    <row r="848" spans="1:1">
      <c r="A848" s="12" t="str">
        <f t="shared" si="13"/>
        <v>01</v>
      </c>
    </row>
    <row r="849" spans="1:1">
      <c r="A849" s="12" t="str">
        <f t="shared" si="13"/>
        <v>01</v>
      </c>
    </row>
    <row r="850" spans="1:1">
      <c r="A850" s="12" t="str">
        <f t="shared" si="13"/>
        <v>01</v>
      </c>
    </row>
    <row r="851" spans="1:1">
      <c r="A851" s="12" t="str">
        <f t="shared" si="13"/>
        <v>01</v>
      </c>
    </row>
    <row r="852" spans="1:1">
      <c r="A852" s="12" t="str">
        <f t="shared" si="13"/>
        <v>01</v>
      </c>
    </row>
    <row r="853" spans="1:1">
      <c r="A853" s="12" t="str">
        <f t="shared" si="13"/>
        <v>01</v>
      </c>
    </row>
    <row r="854" spans="1:1">
      <c r="A854" s="12" t="str">
        <f t="shared" si="13"/>
        <v>01</v>
      </c>
    </row>
    <row r="855" spans="1:1">
      <c r="A855" s="12" t="str">
        <f t="shared" si="13"/>
        <v>01</v>
      </c>
    </row>
    <row r="856" spans="1:1">
      <c r="A856" s="12" t="str">
        <f t="shared" si="13"/>
        <v>01</v>
      </c>
    </row>
    <row r="857" spans="1:1">
      <c r="A857" s="12" t="str">
        <f t="shared" si="13"/>
        <v>01</v>
      </c>
    </row>
    <row r="858" spans="1:1">
      <c r="A858" s="12" t="str">
        <f t="shared" si="13"/>
        <v>01</v>
      </c>
    </row>
    <row r="859" spans="1:1">
      <c r="A859" s="12" t="str">
        <f t="shared" si="13"/>
        <v>01</v>
      </c>
    </row>
    <row r="860" spans="1:1">
      <c r="A860" s="12" t="str">
        <f t="shared" si="13"/>
        <v>01</v>
      </c>
    </row>
    <row r="861" spans="1:1">
      <c r="A861" s="12" t="str">
        <f t="shared" si="13"/>
        <v>01</v>
      </c>
    </row>
    <row r="862" spans="1:1">
      <c r="A862" s="12" t="str">
        <f t="shared" si="13"/>
        <v>01</v>
      </c>
    </row>
    <row r="863" spans="1:1">
      <c r="A863" s="12" t="str">
        <f t="shared" si="13"/>
        <v>01</v>
      </c>
    </row>
    <row r="864" spans="1:1">
      <c r="A864" s="12" t="str">
        <f t="shared" si="13"/>
        <v>01</v>
      </c>
    </row>
    <row r="865" spans="1:1">
      <c r="A865" s="12" t="str">
        <f t="shared" si="13"/>
        <v>01</v>
      </c>
    </row>
    <row r="866" spans="1:1">
      <c r="A866" s="12" t="str">
        <f t="shared" si="13"/>
        <v>01</v>
      </c>
    </row>
    <row r="867" spans="1:1">
      <c r="A867" s="12" t="str">
        <f t="shared" si="13"/>
        <v>01</v>
      </c>
    </row>
    <row r="868" spans="1:1">
      <c r="A868" s="12" t="str">
        <f t="shared" si="13"/>
        <v>01</v>
      </c>
    </row>
    <row r="869" spans="1:1">
      <c r="A869" s="12" t="str">
        <f t="shared" si="13"/>
        <v>01</v>
      </c>
    </row>
    <row r="870" spans="1:1">
      <c r="A870" s="12" t="str">
        <f t="shared" si="13"/>
        <v>01</v>
      </c>
    </row>
    <row r="871" spans="1:1">
      <c r="A871" s="12" t="str">
        <f t="shared" si="13"/>
        <v>01</v>
      </c>
    </row>
    <row r="872" spans="1:1">
      <c r="A872" s="12" t="str">
        <f t="shared" si="13"/>
        <v>01</v>
      </c>
    </row>
    <row r="873" spans="1:1">
      <c r="A873" s="12" t="str">
        <f t="shared" si="13"/>
        <v>01</v>
      </c>
    </row>
    <row r="874" spans="1:1">
      <c r="A874" s="12" t="str">
        <f t="shared" si="13"/>
        <v>01</v>
      </c>
    </row>
    <row r="875" spans="1:1">
      <c r="A875" s="12" t="str">
        <f t="shared" si="13"/>
        <v>01</v>
      </c>
    </row>
    <row r="876" spans="1:1">
      <c r="A876" s="12" t="str">
        <f t="shared" si="13"/>
        <v>01</v>
      </c>
    </row>
    <row r="877" spans="1:1">
      <c r="A877" s="12" t="str">
        <f t="shared" si="13"/>
        <v>01</v>
      </c>
    </row>
    <row r="878" spans="1:1">
      <c r="A878" s="12" t="str">
        <f t="shared" si="13"/>
        <v>01</v>
      </c>
    </row>
    <row r="879" spans="1:1">
      <c r="A879" s="12" t="str">
        <f t="shared" si="13"/>
        <v>01</v>
      </c>
    </row>
    <row r="880" spans="1:1">
      <c r="A880" s="12" t="str">
        <f t="shared" si="13"/>
        <v>01</v>
      </c>
    </row>
    <row r="881" spans="1:1">
      <c r="A881" s="12" t="str">
        <f t="shared" si="13"/>
        <v>01</v>
      </c>
    </row>
    <row r="882" spans="1:1">
      <c r="A882" s="12" t="str">
        <f t="shared" si="13"/>
        <v>01</v>
      </c>
    </row>
    <row r="883" spans="1:1">
      <c r="A883" s="12" t="str">
        <f t="shared" si="13"/>
        <v>01</v>
      </c>
    </row>
    <row r="884" spans="1:1">
      <c r="A884" s="12" t="str">
        <f t="shared" si="13"/>
        <v>01</v>
      </c>
    </row>
    <row r="885" spans="1:1">
      <c r="A885" s="12" t="str">
        <f t="shared" si="13"/>
        <v>01</v>
      </c>
    </row>
    <row r="886" spans="1:1">
      <c r="A886" s="12" t="str">
        <f t="shared" si="13"/>
        <v>01</v>
      </c>
    </row>
    <row r="887" spans="1:1">
      <c r="A887" s="12" t="str">
        <f t="shared" si="13"/>
        <v>01</v>
      </c>
    </row>
    <row r="888" spans="1:1">
      <c r="A888" s="12" t="str">
        <f t="shared" si="13"/>
        <v>01</v>
      </c>
    </row>
    <row r="889" spans="1:1">
      <c r="A889" s="12" t="str">
        <f t="shared" si="13"/>
        <v>01</v>
      </c>
    </row>
    <row r="890" spans="1:1">
      <c r="A890" s="12" t="str">
        <f t="shared" si="13"/>
        <v>01</v>
      </c>
    </row>
    <row r="891" spans="1:1">
      <c r="A891" s="12" t="str">
        <f t="shared" si="13"/>
        <v>01</v>
      </c>
    </row>
    <row r="892" spans="1:1">
      <c r="A892" s="12" t="str">
        <f t="shared" si="13"/>
        <v>01</v>
      </c>
    </row>
    <row r="893" spans="1:1">
      <c r="A893" s="12" t="str">
        <f t="shared" si="13"/>
        <v>01</v>
      </c>
    </row>
    <row r="894" spans="1:1">
      <c r="A894" s="12" t="str">
        <f t="shared" si="13"/>
        <v>01</v>
      </c>
    </row>
    <row r="895" spans="1:1">
      <c r="A895" s="12" t="str">
        <f t="shared" si="13"/>
        <v>01</v>
      </c>
    </row>
    <row r="896" spans="1:1">
      <c r="A896" s="12" t="str">
        <f t="shared" si="13"/>
        <v>01</v>
      </c>
    </row>
    <row r="897" spans="1:1">
      <c r="A897" s="12" t="str">
        <f t="shared" si="13"/>
        <v>01</v>
      </c>
    </row>
    <row r="898" spans="1:1">
      <c r="A898" s="12" t="str">
        <f t="shared" si="13"/>
        <v>01</v>
      </c>
    </row>
    <row r="899" spans="1:1">
      <c r="A899" s="12" t="str">
        <f t="shared" ref="A899:A962" si="14">TEXT(L899,"MM")</f>
        <v>01</v>
      </c>
    </row>
    <row r="900" spans="1:1">
      <c r="A900" s="12" t="str">
        <f t="shared" si="14"/>
        <v>01</v>
      </c>
    </row>
    <row r="901" spans="1:1">
      <c r="A901" s="12" t="str">
        <f t="shared" si="14"/>
        <v>01</v>
      </c>
    </row>
    <row r="902" spans="1:1">
      <c r="A902" s="12" t="str">
        <f t="shared" si="14"/>
        <v>01</v>
      </c>
    </row>
    <row r="903" spans="1:1">
      <c r="A903" s="12" t="str">
        <f t="shared" si="14"/>
        <v>01</v>
      </c>
    </row>
    <row r="904" spans="1:1">
      <c r="A904" s="12" t="str">
        <f t="shared" si="14"/>
        <v>01</v>
      </c>
    </row>
    <row r="905" spans="1:1">
      <c r="A905" s="12" t="str">
        <f t="shared" si="14"/>
        <v>01</v>
      </c>
    </row>
    <row r="906" spans="1:1">
      <c r="A906" s="12" t="str">
        <f t="shared" si="14"/>
        <v>01</v>
      </c>
    </row>
    <row r="907" spans="1:1">
      <c r="A907" s="12" t="str">
        <f t="shared" si="14"/>
        <v>01</v>
      </c>
    </row>
    <row r="908" spans="1:1">
      <c r="A908" s="12" t="str">
        <f t="shared" si="14"/>
        <v>01</v>
      </c>
    </row>
    <row r="909" spans="1:1">
      <c r="A909" s="12" t="str">
        <f t="shared" si="14"/>
        <v>01</v>
      </c>
    </row>
    <row r="910" spans="1:1">
      <c r="A910" s="12" t="str">
        <f t="shared" si="14"/>
        <v>01</v>
      </c>
    </row>
    <row r="911" spans="1:1">
      <c r="A911" s="12" t="str">
        <f t="shared" si="14"/>
        <v>01</v>
      </c>
    </row>
    <row r="912" spans="1:1">
      <c r="A912" s="12" t="str">
        <f t="shared" si="14"/>
        <v>01</v>
      </c>
    </row>
    <row r="913" spans="1:1">
      <c r="A913" s="12" t="str">
        <f t="shared" si="14"/>
        <v>01</v>
      </c>
    </row>
    <row r="914" spans="1:1">
      <c r="A914" s="12" t="str">
        <f t="shared" si="14"/>
        <v>01</v>
      </c>
    </row>
    <row r="915" spans="1:1">
      <c r="A915" s="12" t="str">
        <f t="shared" si="14"/>
        <v>01</v>
      </c>
    </row>
    <row r="916" spans="1:1">
      <c r="A916" s="12" t="str">
        <f t="shared" si="14"/>
        <v>01</v>
      </c>
    </row>
    <row r="917" spans="1:1">
      <c r="A917" s="12" t="str">
        <f t="shared" si="14"/>
        <v>01</v>
      </c>
    </row>
    <row r="918" spans="1:1">
      <c r="A918" s="12" t="str">
        <f t="shared" si="14"/>
        <v>01</v>
      </c>
    </row>
    <row r="919" spans="1:1">
      <c r="A919" s="12" t="str">
        <f t="shared" si="14"/>
        <v>01</v>
      </c>
    </row>
    <row r="920" spans="1:1">
      <c r="A920" s="12" t="str">
        <f t="shared" si="14"/>
        <v>01</v>
      </c>
    </row>
    <row r="921" spans="1:1">
      <c r="A921" s="12" t="str">
        <f t="shared" si="14"/>
        <v>01</v>
      </c>
    </row>
    <row r="922" spans="1:1">
      <c r="A922" s="12" t="str">
        <f t="shared" si="14"/>
        <v>01</v>
      </c>
    </row>
    <row r="923" spans="1:1">
      <c r="A923" s="12" t="str">
        <f t="shared" si="14"/>
        <v>01</v>
      </c>
    </row>
    <row r="924" spans="1:1">
      <c r="A924" s="12" t="str">
        <f t="shared" si="14"/>
        <v>01</v>
      </c>
    </row>
    <row r="925" spans="1:1">
      <c r="A925" s="12" t="str">
        <f t="shared" si="14"/>
        <v>01</v>
      </c>
    </row>
    <row r="926" spans="1:1">
      <c r="A926" s="12" t="str">
        <f t="shared" si="14"/>
        <v>01</v>
      </c>
    </row>
    <row r="927" spans="1:1">
      <c r="A927" s="12" t="str">
        <f t="shared" si="14"/>
        <v>01</v>
      </c>
    </row>
    <row r="928" spans="1:1">
      <c r="A928" s="12" t="str">
        <f t="shared" si="14"/>
        <v>01</v>
      </c>
    </row>
    <row r="929" spans="1:1">
      <c r="A929" s="12" t="str">
        <f t="shared" si="14"/>
        <v>01</v>
      </c>
    </row>
    <row r="930" spans="1:1">
      <c r="A930" s="12" t="str">
        <f t="shared" si="14"/>
        <v>01</v>
      </c>
    </row>
    <row r="931" spans="1:1">
      <c r="A931" s="12" t="str">
        <f t="shared" si="14"/>
        <v>01</v>
      </c>
    </row>
    <row r="932" spans="1:1">
      <c r="A932" s="12" t="str">
        <f t="shared" si="14"/>
        <v>01</v>
      </c>
    </row>
    <row r="933" spans="1:1">
      <c r="A933" s="12" t="str">
        <f t="shared" si="14"/>
        <v>01</v>
      </c>
    </row>
    <row r="934" spans="1:1">
      <c r="A934" s="12" t="str">
        <f t="shared" si="14"/>
        <v>01</v>
      </c>
    </row>
    <row r="935" spans="1:1">
      <c r="A935" s="12" t="str">
        <f t="shared" si="14"/>
        <v>01</v>
      </c>
    </row>
    <row r="936" spans="1:1">
      <c r="A936" s="12" t="str">
        <f t="shared" si="14"/>
        <v>01</v>
      </c>
    </row>
    <row r="937" spans="1:1">
      <c r="A937" s="12" t="str">
        <f t="shared" si="14"/>
        <v>01</v>
      </c>
    </row>
    <row r="938" spans="1:1">
      <c r="A938" s="12" t="str">
        <f t="shared" si="14"/>
        <v>01</v>
      </c>
    </row>
    <row r="939" spans="1:1">
      <c r="A939" s="12" t="str">
        <f t="shared" si="14"/>
        <v>01</v>
      </c>
    </row>
    <row r="940" spans="1:1">
      <c r="A940" s="12" t="str">
        <f t="shared" si="14"/>
        <v>01</v>
      </c>
    </row>
    <row r="941" spans="1:1">
      <c r="A941" s="12" t="str">
        <f t="shared" si="14"/>
        <v>01</v>
      </c>
    </row>
    <row r="942" spans="1:1">
      <c r="A942" s="12" t="str">
        <f t="shared" si="14"/>
        <v>01</v>
      </c>
    </row>
    <row r="943" spans="1:1">
      <c r="A943" s="12" t="str">
        <f t="shared" si="14"/>
        <v>01</v>
      </c>
    </row>
    <row r="944" spans="1:1">
      <c r="A944" s="12" t="str">
        <f t="shared" si="14"/>
        <v>01</v>
      </c>
    </row>
    <row r="945" spans="1:1">
      <c r="A945" s="12" t="str">
        <f t="shared" si="14"/>
        <v>01</v>
      </c>
    </row>
    <row r="946" spans="1:1">
      <c r="A946" s="12" t="str">
        <f t="shared" si="14"/>
        <v>01</v>
      </c>
    </row>
    <row r="947" spans="1:1">
      <c r="A947" s="12" t="str">
        <f t="shared" si="14"/>
        <v>01</v>
      </c>
    </row>
    <row r="948" spans="1:1">
      <c r="A948" s="12" t="str">
        <f t="shared" si="14"/>
        <v>01</v>
      </c>
    </row>
    <row r="949" spans="1:1">
      <c r="A949" s="12" t="str">
        <f t="shared" si="14"/>
        <v>01</v>
      </c>
    </row>
    <row r="950" spans="1:1">
      <c r="A950" s="12" t="str">
        <f t="shared" si="14"/>
        <v>01</v>
      </c>
    </row>
    <row r="951" spans="1:1">
      <c r="A951" s="12" t="str">
        <f t="shared" si="14"/>
        <v>01</v>
      </c>
    </row>
    <row r="952" spans="1:1">
      <c r="A952" s="12" t="str">
        <f t="shared" si="14"/>
        <v>01</v>
      </c>
    </row>
    <row r="953" spans="1:1">
      <c r="A953" s="12" t="str">
        <f t="shared" si="14"/>
        <v>01</v>
      </c>
    </row>
    <row r="954" spans="1:1">
      <c r="A954" s="12" t="str">
        <f t="shared" si="14"/>
        <v>01</v>
      </c>
    </row>
    <row r="955" spans="1:1">
      <c r="A955" s="12" t="str">
        <f t="shared" si="14"/>
        <v>01</v>
      </c>
    </row>
    <row r="956" spans="1:1">
      <c r="A956" s="12" t="str">
        <f t="shared" si="14"/>
        <v>01</v>
      </c>
    </row>
    <row r="957" spans="1:1">
      <c r="A957" s="12" t="str">
        <f t="shared" si="14"/>
        <v>01</v>
      </c>
    </row>
    <row r="958" spans="1:1">
      <c r="A958" s="12" t="str">
        <f t="shared" si="14"/>
        <v>01</v>
      </c>
    </row>
    <row r="959" spans="1:1">
      <c r="A959" s="12" t="str">
        <f t="shared" si="14"/>
        <v>01</v>
      </c>
    </row>
    <row r="960" spans="1:1">
      <c r="A960" s="12" t="str">
        <f t="shared" si="14"/>
        <v>01</v>
      </c>
    </row>
    <row r="961" spans="1:1">
      <c r="A961" s="12" t="str">
        <f t="shared" si="14"/>
        <v>01</v>
      </c>
    </row>
    <row r="962" spans="1:1">
      <c r="A962" s="12" t="str">
        <f t="shared" si="14"/>
        <v>01</v>
      </c>
    </row>
    <row r="963" spans="1:1">
      <c r="A963" s="12" t="str">
        <f t="shared" ref="A963:A1026" si="15">TEXT(L963,"MM")</f>
        <v>01</v>
      </c>
    </row>
    <row r="964" spans="1:1">
      <c r="A964" s="12" t="str">
        <f t="shared" si="15"/>
        <v>01</v>
      </c>
    </row>
    <row r="965" spans="1:1">
      <c r="A965" s="12" t="str">
        <f t="shared" si="15"/>
        <v>01</v>
      </c>
    </row>
    <row r="966" spans="1:1">
      <c r="A966" s="12" t="str">
        <f t="shared" si="15"/>
        <v>01</v>
      </c>
    </row>
    <row r="967" spans="1:1">
      <c r="A967" s="12" t="str">
        <f t="shared" si="15"/>
        <v>01</v>
      </c>
    </row>
    <row r="968" spans="1:1">
      <c r="A968" s="12" t="str">
        <f t="shared" si="15"/>
        <v>01</v>
      </c>
    </row>
    <row r="969" spans="1:1">
      <c r="A969" s="12" t="str">
        <f t="shared" si="15"/>
        <v>01</v>
      </c>
    </row>
    <row r="970" spans="1:1">
      <c r="A970" s="12" t="str">
        <f t="shared" si="15"/>
        <v>01</v>
      </c>
    </row>
    <row r="971" spans="1:1">
      <c r="A971" s="12" t="str">
        <f t="shared" si="15"/>
        <v>01</v>
      </c>
    </row>
    <row r="972" spans="1:1">
      <c r="A972" s="12" t="str">
        <f t="shared" si="15"/>
        <v>01</v>
      </c>
    </row>
    <row r="973" spans="1:1">
      <c r="A973" s="12" t="str">
        <f t="shared" si="15"/>
        <v>01</v>
      </c>
    </row>
    <row r="974" spans="1:1">
      <c r="A974" s="12" t="str">
        <f t="shared" si="15"/>
        <v>01</v>
      </c>
    </row>
    <row r="975" spans="1:1">
      <c r="A975" s="12" t="str">
        <f t="shared" si="15"/>
        <v>01</v>
      </c>
    </row>
    <row r="976" spans="1:1">
      <c r="A976" s="12" t="str">
        <f t="shared" si="15"/>
        <v>01</v>
      </c>
    </row>
    <row r="977" spans="1:1">
      <c r="A977" s="12" t="str">
        <f t="shared" si="15"/>
        <v>01</v>
      </c>
    </row>
    <row r="978" spans="1:1">
      <c r="A978" s="12" t="str">
        <f t="shared" si="15"/>
        <v>01</v>
      </c>
    </row>
    <row r="979" spans="1:1">
      <c r="A979" s="12" t="str">
        <f t="shared" si="15"/>
        <v>01</v>
      </c>
    </row>
    <row r="980" spans="1:1">
      <c r="A980" s="12" t="str">
        <f t="shared" si="15"/>
        <v>01</v>
      </c>
    </row>
    <row r="981" spans="1:1">
      <c r="A981" s="12" t="str">
        <f t="shared" si="15"/>
        <v>01</v>
      </c>
    </row>
    <row r="982" spans="1:1">
      <c r="A982" s="12" t="str">
        <f t="shared" si="15"/>
        <v>01</v>
      </c>
    </row>
    <row r="983" spans="1:1">
      <c r="A983" s="12" t="str">
        <f t="shared" si="15"/>
        <v>01</v>
      </c>
    </row>
    <row r="984" spans="1:1">
      <c r="A984" s="12" t="str">
        <f t="shared" si="15"/>
        <v>01</v>
      </c>
    </row>
    <row r="985" spans="1:1">
      <c r="A985" s="12" t="str">
        <f t="shared" si="15"/>
        <v>01</v>
      </c>
    </row>
    <row r="986" spans="1:1">
      <c r="A986" s="12" t="str">
        <f t="shared" si="15"/>
        <v>01</v>
      </c>
    </row>
    <row r="987" spans="1:1">
      <c r="A987" s="12" t="str">
        <f t="shared" si="15"/>
        <v>01</v>
      </c>
    </row>
    <row r="988" spans="1:1">
      <c r="A988" s="12" t="str">
        <f t="shared" si="15"/>
        <v>01</v>
      </c>
    </row>
    <row r="989" spans="1:1">
      <c r="A989" s="12" t="str">
        <f t="shared" si="15"/>
        <v>01</v>
      </c>
    </row>
    <row r="990" spans="1:1">
      <c r="A990" s="12" t="str">
        <f t="shared" si="15"/>
        <v>01</v>
      </c>
    </row>
    <row r="991" spans="1:1">
      <c r="A991" s="12" t="str">
        <f t="shared" si="15"/>
        <v>01</v>
      </c>
    </row>
    <row r="992" spans="1:1">
      <c r="A992" s="12" t="str">
        <f t="shared" si="15"/>
        <v>01</v>
      </c>
    </row>
    <row r="993" spans="1:1">
      <c r="A993" s="12" t="str">
        <f t="shared" si="15"/>
        <v>01</v>
      </c>
    </row>
    <row r="994" spans="1:1">
      <c r="A994" s="12" t="str">
        <f t="shared" si="15"/>
        <v>01</v>
      </c>
    </row>
    <row r="995" spans="1:1">
      <c r="A995" s="12" t="str">
        <f t="shared" si="15"/>
        <v>01</v>
      </c>
    </row>
    <row r="996" spans="1:1">
      <c r="A996" s="12" t="str">
        <f t="shared" si="15"/>
        <v>01</v>
      </c>
    </row>
    <row r="997" spans="1:1">
      <c r="A997" s="12" t="str">
        <f t="shared" si="15"/>
        <v>01</v>
      </c>
    </row>
    <row r="998" spans="1:1">
      <c r="A998" s="12" t="str">
        <f t="shared" si="15"/>
        <v>01</v>
      </c>
    </row>
    <row r="999" spans="1:1">
      <c r="A999" s="12" t="str">
        <f t="shared" si="15"/>
        <v>01</v>
      </c>
    </row>
    <row r="1000" spans="1:1">
      <c r="A1000" s="12" t="str">
        <f t="shared" si="15"/>
        <v>01</v>
      </c>
    </row>
    <row r="1001" spans="1:1">
      <c r="A1001" s="12" t="str">
        <f t="shared" si="15"/>
        <v>01</v>
      </c>
    </row>
    <row r="1002" spans="1:1">
      <c r="A1002" s="12" t="str">
        <f t="shared" si="15"/>
        <v>01</v>
      </c>
    </row>
    <row r="1003" spans="1:1">
      <c r="A1003" s="12" t="str">
        <f t="shared" si="15"/>
        <v>01</v>
      </c>
    </row>
    <row r="1004" spans="1:1">
      <c r="A1004" s="12" t="str">
        <f t="shared" si="15"/>
        <v>01</v>
      </c>
    </row>
    <row r="1005" spans="1:1">
      <c r="A1005" s="12" t="str">
        <f t="shared" si="15"/>
        <v>01</v>
      </c>
    </row>
    <row r="1006" spans="1:1">
      <c r="A1006" s="12" t="str">
        <f t="shared" si="15"/>
        <v>01</v>
      </c>
    </row>
    <row r="1007" spans="1:1">
      <c r="A1007" s="12" t="str">
        <f t="shared" si="15"/>
        <v>01</v>
      </c>
    </row>
    <row r="1008" spans="1:1">
      <c r="A1008" s="12" t="str">
        <f t="shared" si="15"/>
        <v>01</v>
      </c>
    </row>
    <row r="1009" spans="1:1">
      <c r="A1009" s="12" t="str">
        <f t="shared" si="15"/>
        <v>01</v>
      </c>
    </row>
    <row r="1010" spans="1:1">
      <c r="A1010" s="12" t="str">
        <f t="shared" si="15"/>
        <v>01</v>
      </c>
    </row>
    <row r="1011" spans="1:1">
      <c r="A1011" s="12" t="str">
        <f t="shared" si="15"/>
        <v>01</v>
      </c>
    </row>
    <row r="1012" spans="1:1">
      <c r="A1012" s="12" t="str">
        <f t="shared" si="15"/>
        <v>01</v>
      </c>
    </row>
    <row r="1013" spans="1:1">
      <c r="A1013" s="12" t="str">
        <f t="shared" si="15"/>
        <v>01</v>
      </c>
    </row>
    <row r="1014" spans="1:1">
      <c r="A1014" s="12" t="str">
        <f t="shared" si="15"/>
        <v>01</v>
      </c>
    </row>
    <row r="1015" spans="1:1">
      <c r="A1015" s="12" t="str">
        <f t="shared" si="15"/>
        <v>01</v>
      </c>
    </row>
    <row r="1016" spans="1:1">
      <c r="A1016" s="12" t="str">
        <f t="shared" si="15"/>
        <v>01</v>
      </c>
    </row>
    <row r="1017" spans="1:1">
      <c r="A1017" s="12" t="str">
        <f t="shared" si="15"/>
        <v>01</v>
      </c>
    </row>
    <row r="1018" spans="1:1">
      <c r="A1018" s="12" t="str">
        <f t="shared" si="15"/>
        <v>01</v>
      </c>
    </row>
    <row r="1019" spans="1:1">
      <c r="A1019" s="12" t="str">
        <f t="shared" si="15"/>
        <v>01</v>
      </c>
    </row>
    <row r="1020" spans="1:1">
      <c r="A1020" s="12" t="str">
        <f t="shared" si="15"/>
        <v>01</v>
      </c>
    </row>
    <row r="1021" spans="1:1">
      <c r="A1021" s="12" t="str">
        <f t="shared" si="15"/>
        <v>01</v>
      </c>
    </row>
    <row r="1022" spans="1:1">
      <c r="A1022" s="12" t="str">
        <f t="shared" si="15"/>
        <v>01</v>
      </c>
    </row>
    <row r="1023" spans="1:1">
      <c r="A1023" s="12" t="str">
        <f t="shared" si="15"/>
        <v>01</v>
      </c>
    </row>
    <row r="1024" spans="1:1">
      <c r="A1024" s="12" t="str">
        <f t="shared" si="15"/>
        <v>01</v>
      </c>
    </row>
    <row r="1025" spans="1:1">
      <c r="A1025" s="12" t="str">
        <f t="shared" si="15"/>
        <v>01</v>
      </c>
    </row>
    <row r="1026" spans="1:1">
      <c r="A1026" s="12" t="str">
        <f t="shared" si="15"/>
        <v>01</v>
      </c>
    </row>
    <row r="1027" spans="1:1">
      <c r="A1027" s="12" t="str">
        <f t="shared" ref="A1027:A1090" si="16">TEXT(L1027,"MM")</f>
        <v>01</v>
      </c>
    </row>
    <row r="1028" spans="1:1">
      <c r="A1028" s="12" t="str">
        <f t="shared" si="16"/>
        <v>01</v>
      </c>
    </row>
    <row r="1029" spans="1:1">
      <c r="A1029" s="12" t="str">
        <f t="shared" si="16"/>
        <v>01</v>
      </c>
    </row>
    <row r="1030" spans="1:1">
      <c r="A1030" s="12" t="str">
        <f t="shared" si="16"/>
        <v>01</v>
      </c>
    </row>
    <row r="1031" spans="1:1">
      <c r="A1031" s="12" t="str">
        <f t="shared" si="16"/>
        <v>01</v>
      </c>
    </row>
    <row r="1032" spans="1:1">
      <c r="A1032" s="12" t="str">
        <f t="shared" si="16"/>
        <v>01</v>
      </c>
    </row>
    <row r="1033" spans="1:1">
      <c r="A1033" s="12" t="str">
        <f t="shared" si="16"/>
        <v>01</v>
      </c>
    </row>
    <row r="1034" spans="1:1">
      <c r="A1034" s="12" t="str">
        <f t="shared" si="16"/>
        <v>01</v>
      </c>
    </row>
    <row r="1035" spans="1:1">
      <c r="A1035" s="12" t="str">
        <f t="shared" si="16"/>
        <v>01</v>
      </c>
    </row>
    <row r="1036" spans="1:1">
      <c r="A1036" s="12" t="str">
        <f t="shared" si="16"/>
        <v>01</v>
      </c>
    </row>
    <row r="1037" spans="1:1">
      <c r="A1037" s="12" t="str">
        <f t="shared" si="16"/>
        <v>01</v>
      </c>
    </row>
    <row r="1038" spans="1:1">
      <c r="A1038" s="12" t="str">
        <f t="shared" si="16"/>
        <v>01</v>
      </c>
    </row>
    <row r="1039" spans="1:1">
      <c r="A1039" s="12" t="str">
        <f t="shared" si="16"/>
        <v>01</v>
      </c>
    </row>
    <row r="1040" spans="1:1">
      <c r="A1040" s="12" t="str">
        <f t="shared" si="16"/>
        <v>01</v>
      </c>
    </row>
    <row r="1041" spans="1:1">
      <c r="A1041" s="12" t="str">
        <f t="shared" si="16"/>
        <v>01</v>
      </c>
    </row>
    <row r="1042" spans="1:1">
      <c r="A1042" s="12" t="str">
        <f t="shared" si="16"/>
        <v>01</v>
      </c>
    </row>
    <row r="1043" spans="1:1">
      <c r="A1043" s="12" t="str">
        <f t="shared" si="16"/>
        <v>01</v>
      </c>
    </row>
    <row r="1044" spans="1:1">
      <c r="A1044" s="12" t="str">
        <f t="shared" si="16"/>
        <v>01</v>
      </c>
    </row>
    <row r="1045" spans="1:1">
      <c r="A1045" s="12" t="str">
        <f t="shared" si="16"/>
        <v>01</v>
      </c>
    </row>
    <row r="1046" spans="1:1">
      <c r="A1046" s="12" t="str">
        <f t="shared" si="16"/>
        <v>01</v>
      </c>
    </row>
    <row r="1047" spans="1:1">
      <c r="A1047" s="12" t="str">
        <f t="shared" si="16"/>
        <v>01</v>
      </c>
    </row>
    <row r="1048" spans="1:1">
      <c r="A1048" s="12" t="str">
        <f t="shared" si="16"/>
        <v>01</v>
      </c>
    </row>
    <row r="1049" spans="1:1">
      <c r="A1049" s="12" t="str">
        <f t="shared" si="16"/>
        <v>01</v>
      </c>
    </row>
    <row r="1050" spans="1:1">
      <c r="A1050" s="12" t="str">
        <f t="shared" si="16"/>
        <v>01</v>
      </c>
    </row>
    <row r="1051" spans="1:1">
      <c r="A1051" s="12" t="str">
        <f t="shared" si="16"/>
        <v>01</v>
      </c>
    </row>
    <row r="1052" spans="1:1">
      <c r="A1052" s="12" t="str">
        <f t="shared" si="16"/>
        <v>01</v>
      </c>
    </row>
    <row r="1053" spans="1:1">
      <c r="A1053" s="12" t="str">
        <f t="shared" si="16"/>
        <v>01</v>
      </c>
    </row>
    <row r="1054" spans="1:1">
      <c r="A1054" s="12" t="str">
        <f t="shared" si="16"/>
        <v>01</v>
      </c>
    </row>
    <row r="1055" spans="1:1">
      <c r="A1055" s="12" t="str">
        <f t="shared" si="16"/>
        <v>01</v>
      </c>
    </row>
    <row r="1056" spans="1:1">
      <c r="A1056" s="12" t="str">
        <f t="shared" si="16"/>
        <v>01</v>
      </c>
    </row>
    <row r="1057" spans="1:1">
      <c r="A1057" s="12" t="str">
        <f t="shared" si="16"/>
        <v>01</v>
      </c>
    </row>
    <row r="1058" spans="1:1">
      <c r="A1058" s="12" t="str">
        <f t="shared" si="16"/>
        <v>01</v>
      </c>
    </row>
    <row r="1059" spans="1:1">
      <c r="A1059" s="12" t="str">
        <f t="shared" si="16"/>
        <v>01</v>
      </c>
    </row>
    <row r="1060" spans="1:1">
      <c r="A1060" s="12" t="str">
        <f t="shared" si="16"/>
        <v>01</v>
      </c>
    </row>
    <row r="1061" spans="1:1">
      <c r="A1061" s="12" t="str">
        <f t="shared" si="16"/>
        <v>01</v>
      </c>
    </row>
    <row r="1062" spans="1:1">
      <c r="A1062" s="12" t="str">
        <f t="shared" si="16"/>
        <v>01</v>
      </c>
    </row>
    <row r="1063" spans="1:1">
      <c r="A1063" s="12" t="str">
        <f t="shared" si="16"/>
        <v>01</v>
      </c>
    </row>
    <row r="1064" spans="1:1">
      <c r="A1064" s="12" t="str">
        <f t="shared" si="16"/>
        <v>01</v>
      </c>
    </row>
    <row r="1065" spans="1:1">
      <c r="A1065" s="12" t="str">
        <f t="shared" si="16"/>
        <v>01</v>
      </c>
    </row>
    <row r="1066" spans="1:1">
      <c r="A1066" s="12" t="str">
        <f t="shared" si="16"/>
        <v>01</v>
      </c>
    </row>
    <row r="1067" spans="1:1">
      <c r="A1067" s="12" t="str">
        <f t="shared" si="16"/>
        <v>01</v>
      </c>
    </row>
    <row r="1068" spans="1:1">
      <c r="A1068" s="12" t="str">
        <f t="shared" si="16"/>
        <v>01</v>
      </c>
    </row>
    <row r="1069" spans="1:1">
      <c r="A1069" s="12" t="str">
        <f t="shared" si="16"/>
        <v>01</v>
      </c>
    </row>
    <row r="1070" spans="1:1">
      <c r="A1070" s="12" t="str">
        <f t="shared" si="16"/>
        <v>01</v>
      </c>
    </row>
    <row r="1071" spans="1:1">
      <c r="A1071" s="12" t="str">
        <f t="shared" si="16"/>
        <v>01</v>
      </c>
    </row>
    <row r="1072" spans="1:1">
      <c r="A1072" s="12" t="str">
        <f t="shared" si="16"/>
        <v>01</v>
      </c>
    </row>
    <row r="1073" spans="1:1">
      <c r="A1073" s="12" t="str">
        <f t="shared" si="16"/>
        <v>01</v>
      </c>
    </row>
    <row r="1074" spans="1:1">
      <c r="A1074" s="12" t="str">
        <f t="shared" si="16"/>
        <v>01</v>
      </c>
    </row>
    <row r="1075" spans="1:1">
      <c r="A1075" s="12" t="str">
        <f t="shared" si="16"/>
        <v>01</v>
      </c>
    </row>
    <row r="1076" spans="1:1">
      <c r="A1076" s="12" t="str">
        <f t="shared" si="16"/>
        <v>01</v>
      </c>
    </row>
    <row r="1077" spans="1:1">
      <c r="A1077" s="12" t="str">
        <f t="shared" si="16"/>
        <v>01</v>
      </c>
    </row>
    <row r="1078" spans="1:1">
      <c r="A1078" s="12" t="str">
        <f t="shared" si="16"/>
        <v>01</v>
      </c>
    </row>
    <row r="1079" spans="1:1">
      <c r="A1079" s="12" t="str">
        <f t="shared" si="16"/>
        <v>01</v>
      </c>
    </row>
    <row r="1080" spans="1:1">
      <c r="A1080" s="12" t="str">
        <f t="shared" si="16"/>
        <v>01</v>
      </c>
    </row>
    <row r="1081" spans="1:1">
      <c r="A1081" s="12" t="str">
        <f t="shared" si="16"/>
        <v>01</v>
      </c>
    </row>
    <row r="1082" spans="1:1">
      <c r="A1082" s="12" t="str">
        <f t="shared" si="16"/>
        <v>01</v>
      </c>
    </row>
    <row r="1083" spans="1:1">
      <c r="A1083" s="12" t="str">
        <f t="shared" si="16"/>
        <v>01</v>
      </c>
    </row>
    <row r="1084" spans="1:1">
      <c r="A1084" s="12" t="str">
        <f t="shared" si="16"/>
        <v>01</v>
      </c>
    </row>
    <row r="1085" spans="1:1">
      <c r="A1085" s="12" t="str">
        <f t="shared" si="16"/>
        <v>01</v>
      </c>
    </row>
    <row r="1086" spans="1:1">
      <c r="A1086" s="12" t="str">
        <f t="shared" si="16"/>
        <v>01</v>
      </c>
    </row>
    <row r="1087" spans="1:1">
      <c r="A1087" s="12" t="str">
        <f t="shared" si="16"/>
        <v>01</v>
      </c>
    </row>
    <row r="1088" spans="1:1">
      <c r="A1088" s="12" t="str">
        <f t="shared" si="16"/>
        <v>01</v>
      </c>
    </row>
    <row r="1089" spans="1:1">
      <c r="A1089" s="12" t="str">
        <f t="shared" si="16"/>
        <v>01</v>
      </c>
    </row>
    <row r="1090" spans="1:1">
      <c r="A1090" s="12" t="str">
        <f t="shared" si="16"/>
        <v>01</v>
      </c>
    </row>
    <row r="1091" spans="1:1">
      <c r="A1091" s="12" t="str">
        <f t="shared" ref="A1091:A1154" si="17">TEXT(L1091,"MM")</f>
        <v>01</v>
      </c>
    </row>
    <row r="1092" spans="1:1">
      <c r="A1092" s="12" t="str">
        <f t="shared" si="17"/>
        <v>01</v>
      </c>
    </row>
    <row r="1093" spans="1:1">
      <c r="A1093" s="12" t="str">
        <f t="shared" si="17"/>
        <v>01</v>
      </c>
    </row>
    <row r="1094" spans="1:1">
      <c r="A1094" s="12" t="str">
        <f t="shared" si="17"/>
        <v>01</v>
      </c>
    </row>
    <row r="1095" spans="1:1">
      <c r="A1095" s="12" t="str">
        <f t="shared" si="17"/>
        <v>01</v>
      </c>
    </row>
    <row r="1096" spans="1:1">
      <c r="A1096" s="12" t="str">
        <f t="shared" si="17"/>
        <v>01</v>
      </c>
    </row>
    <row r="1097" spans="1:1">
      <c r="A1097" s="12" t="str">
        <f t="shared" si="17"/>
        <v>01</v>
      </c>
    </row>
    <row r="1098" spans="1:1">
      <c r="A1098" s="12" t="str">
        <f t="shared" si="17"/>
        <v>01</v>
      </c>
    </row>
    <row r="1099" spans="1:1">
      <c r="A1099" s="12" t="str">
        <f t="shared" si="17"/>
        <v>01</v>
      </c>
    </row>
    <row r="1100" spans="1:1">
      <c r="A1100" s="12" t="str">
        <f t="shared" si="17"/>
        <v>01</v>
      </c>
    </row>
    <row r="1101" spans="1:1">
      <c r="A1101" s="12" t="str">
        <f t="shared" si="17"/>
        <v>01</v>
      </c>
    </row>
    <row r="1102" spans="1:1">
      <c r="A1102" s="12" t="str">
        <f t="shared" si="17"/>
        <v>01</v>
      </c>
    </row>
    <row r="1103" spans="1:1">
      <c r="A1103" s="12" t="str">
        <f t="shared" si="17"/>
        <v>01</v>
      </c>
    </row>
    <row r="1104" spans="1:1">
      <c r="A1104" s="12" t="str">
        <f t="shared" si="17"/>
        <v>01</v>
      </c>
    </row>
    <row r="1105" spans="1:1">
      <c r="A1105" s="12" t="str">
        <f t="shared" si="17"/>
        <v>01</v>
      </c>
    </row>
    <row r="1106" spans="1:1">
      <c r="A1106" s="12" t="str">
        <f t="shared" si="17"/>
        <v>01</v>
      </c>
    </row>
    <row r="1107" spans="1:1">
      <c r="A1107" s="12" t="str">
        <f t="shared" si="17"/>
        <v>01</v>
      </c>
    </row>
    <row r="1108" spans="1:1">
      <c r="A1108" s="12" t="str">
        <f t="shared" si="17"/>
        <v>01</v>
      </c>
    </row>
    <row r="1109" spans="1:1">
      <c r="A1109" s="12" t="str">
        <f t="shared" si="17"/>
        <v>01</v>
      </c>
    </row>
    <row r="1110" spans="1:1">
      <c r="A1110" s="12" t="str">
        <f t="shared" si="17"/>
        <v>01</v>
      </c>
    </row>
    <row r="1111" spans="1:1">
      <c r="A1111" s="12" t="str">
        <f t="shared" si="17"/>
        <v>01</v>
      </c>
    </row>
    <row r="1112" spans="1:1">
      <c r="A1112" s="12" t="str">
        <f t="shared" si="17"/>
        <v>01</v>
      </c>
    </row>
    <row r="1113" spans="1:1">
      <c r="A1113" s="12" t="str">
        <f t="shared" si="17"/>
        <v>01</v>
      </c>
    </row>
    <row r="1114" spans="1:1">
      <c r="A1114" s="12" t="str">
        <f t="shared" si="17"/>
        <v>01</v>
      </c>
    </row>
    <row r="1115" spans="1:1">
      <c r="A1115" s="12" t="str">
        <f t="shared" si="17"/>
        <v>01</v>
      </c>
    </row>
    <row r="1116" spans="1:1">
      <c r="A1116" s="12" t="str">
        <f t="shared" si="17"/>
        <v>01</v>
      </c>
    </row>
    <row r="1117" spans="1:1">
      <c r="A1117" s="12" t="str">
        <f t="shared" si="17"/>
        <v>01</v>
      </c>
    </row>
    <row r="1118" spans="1:1">
      <c r="A1118" s="12" t="str">
        <f t="shared" si="17"/>
        <v>01</v>
      </c>
    </row>
    <row r="1119" spans="1:1">
      <c r="A1119" s="12" t="str">
        <f t="shared" si="17"/>
        <v>01</v>
      </c>
    </row>
    <row r="1120" spans="1:1">
      <c r="A1120" s="12" t="str">
        <f t="shared" si="17"/>
        <v>01</v>
      </c>
    </row>
    <row r="1121" spans="1:1">
      <c r="A1121" s="12" t="str">
        <f t="shared" si="17"/>
        <v>01</v>
      </c>
    </row>
    <row r="1122" spans="1:1">
      <c r="A1122" s="12" t="str">
        <f t="shared" si="17"/>
        <v>01</v>
      </c>
    </row>
    <row r="1123" spans="1:1">
      <c r="A1123" s="12" t="str">
        <f t="shared" si="17"/>
        <v>01</v>
      </c>
    </row>
    <row r="1124" spans="1:1">
      <c r="A1124" s="12" t="str">
        <f t="shared" si="17"/>
        <v>01</v>
      </c>
    </row>
    <row r="1125" spans="1:1">
      <c r="A1125" s="12" t="str">
        <f t="shared" si="17"/>
        <v>01</v>
      </c>
    </row>
    <row r="1126" spans="1:1">
      <c r="A1126" s="12" t="str">
        <f t="shared" si="17"/>
        <v>01</v>
      </c>
    </row>
    <row r="1127" spans="1:1">
      <c r="A1127" s="12" t="str">
        <f t="shared" si="17"/>
        <v>01</v>
      </c>
    </row>
    <row r="1128" spans="1:1">
      <c r="A1128" s="12" t="str">
        <f t="shared" si="17"/>
        <v>01</v>
      </c>
    </row>
    <row r="1129" spans="1:1">
      <c r="A1129" s="12" t="str">
        <f t="shared" si="17"/>
        <v>01</v>
      </c>
    </row>
    <row r="1130" spans="1:1">
      <c r="A1130" s="12" t="str">
        <f t="shared" si="17"/>
        <v>01</v>
      </c>
    </row>
    <row r="1131" spans="1:1">
      <c r="A1131" s="12" t="str">
        <f t="shared" si="17"/>
        <v>01</v>
      </c>
    </row>
    <row r="1132" spans="1:1">
      <c r="A1132" s="12" t="str">
        <f t="shared" si="17"/>
        <v>01</v>
      </c>
    </row>
    <row r="1133" spans="1:1">
      <c r="A1133" s="12" t="str">
        <f t="shared" si="17"/>
        <v>01</v>
      </c>
    </row>
    <row r="1134" spans="1:1">
      <c r="A1134" s="12" t="str">
        <f t="shared" si="17"/>
        <v>01</v>
      </c>
    </row>
    <row r="1135" spans="1:1">
      <c r="A1135" s="12" t="str">
        <f t="shared" si="17"/>
        <v>01</v>
      </c>
    </row>
    <row r="1136" spans="1:1">
      <c r="A1136" s="12" t="str">
        <f t="shared" si="17"/>
        <v>01</v>
      </c>
    </row>
    <row r="1137" spans="1:1">
      <c r="A1137" s="12" t="str">
        <f t="shared" si="17"/>
        <v>01</v>
      </c>
    </row>
    <row r="1138" spans="1:1">
      <c r="A1138" s="12" t="str">
        <f t="shared" si="17"/>
        <v>01</v>
      </c>
    </row>
    <row r="1139" spans="1:1">
      <c r="A1139" s="12" t="str">
        <f t="shared" si="17"/>
        <v>01</v>
      </c>
    </row>
    <row r="1140" spans="1:1">
      <c r="A1140" s="12" t="str">
        <f t="shared" si="17"/>
        <v>01</v>
      </c>
    </row>
    <row r="1141" spans="1:1">
      <c r="A1141" s="12" t="str">
        <f t="shared" si="17"/>
        <v>01</v>
      </c>
    </row>
    <row r="1142" spans="1:1">
      <c r="A1142" s="12" t="str">
        <f t="shared" si="17"/>
        <v>01</v>
      </c>
    </row>
    <row r="1143" spans="1:1">
      <c r="A1143" s="12" t="str">
        <f t="shared" si="17"/>
        <v>01</v>
      </c>
    </row>
    <row r="1144" spans="1:1">
      <c r="A1144" s="12" t="str">
        <f t="shared" si="17"/>
        <v>01</v>
      </c>
    </row>
    <row r="1145" spans="1:1">
      <c r="A1145" s="12" t="str">
        <f t="shared" si="17"/>
        <v>01</v>
      </c>
    </row>
    <row r="1146" spans="1:1">
      <c r="A1146" s="12" t="str">
        <f t="shared" si="17"/>
        <v>01</v>
      </c>
    </row>
    <row r="1147" spans="1:1">
      <c r="A1147" s="12" t="str">
        <f t="shared" si="17"/>
        <v>01</v>
      </c>
    </row>
    <row r="1148" spans="1:1">
      <c r="A1148" s="12" t="str">
        <f t="shared" si="17"/>
        <v>01</v>
      </c>
    </row>
    <row r="1149" spans="1:1">
      <c r="A1149" s="12" t="str">
        <f t="shared" si="17"/>
        <v>01</v>
      </c>
    </row>
    <row r="1150" spans="1:1">
      <c r="A1150" s="12" t="str">
        <f t="shared" si="17"/>
        <v>01</v>
      </c>
    </row>
    <row r="1151" spans="1:1">
      <c r="A1151" s="12" t="str">
        <f t="shared" si="17"/>
        <v>01</v>
      </c>
    </row>
    <row r="1152" spans="1:1">
      <c r="A1152" s="12" t="str">
        <f t="shared" si="17"/>
        <v>01</v>
      </c>
    </row>
    <row r="1153" spans="1:1">
      <c r="A1153" s="12" t="str">
        <f t="shared" si="17"/>
        <v>01</v>
      </c>
    </row>
    <row r="1154" spans="1:1">
      <c r="A1154" s="12" t="str">
        <f t="shared" si="17"/>
        <v>01</v>
      </c>
    </row>
    <row r="1155" spans="1:1">
      <c r="A1155" s="12" t="str">
        <f t="shared" ref="A1155:A1218" si="18">TEXT(L1155,"MM")</f>
        <v>01</v>
      </c>
    </row>
    <row r="1156" spans="1:1">
      <c r="A1156" s="12" t="str">
        <f t="shared" si="18"/>
        <v>01</v>
      </c>
    </row>
    <row r="1157" spans="1:1">
      <c r="A1157" s="12" t="str">
        <f t="shared" si="18"/>
        <v>01</v>
      </c>
    </row>
    <row r="1158" spans="1:1">
      <c r="A1158" s="12" t="str">
        <f t="shared" si="18"/>
        <v>01</v>
      </c>
    </row>
    <row r="1159" spans="1:1">
      <c r="A1159" s="12" t="str">
        <f t="shared" si="18"/>
        <v>01</v>
      </c>
    </row>
    <row r="1160" spans="1:1">
      <c r="A1160" s="12" t="str">
        <f t="shared" si="18"/>
        <v>01</v>
      </c>
    </row>
    <row r="1161" spans="1:1">
      <c r="A1161" s="12" t="str">
        <f t="shared" si="18"/>
        <v>01</v>
      </c>
    </row>
    <row r="1162" spans="1:1">
      <c r="A1162" s="12" t="str">
        <f t="shared" si="18"/>
        <v>01</v>
      </c>
    </row>
    <row r="1163" spans="1:1">
      <c r="A1163" s="12" t="str">
        <f t="shared" si="18"/>
        <v>01</v>
      </c>
    </row>
    <row r="1164" spans="1:1">
      <c r="A1164" s="12" t="str">
        <f t="shared" si="18"/>
        <v>01</v>
      </c>
    </row>
    <row r="1165" spans="1:1">
      <c r="A1165" s="12" t="str">
        <f t="shared" si="18"/>
        <v>01</v>
      </c>
    </row>
    <row r="1166" spans="1:1">
      <c r="A1166" s="12" t="str">
        <f t="shared" si="18"/>
        <v>01</v>
      </c>
    </row>
    <row r="1167" spans="1:1">
      <c r="A1167" s="12" t="str">
        <f t="shared" si="18"/>
        <v>01</v>
      </c>
    </row>
    <row r="1168" spans="1:1">
      <c r="A1168" s="12" t="str">
        <f t="shared" si="18"/>
        <v>01</v>
      </c>
    </row>
    <row r="1169" spans="1:1">
      <c r="A1169" s="12" t="str">
        <f t="shared" si="18"/>
        <v>01</v>
      </c>
    </row>
    <row r="1170" spans="1:1">
      <c r="A1170" s="12" t="str">
        <f t="shared" si="18"/>
        <v>01</v>
      </c>
    </row>
    <row r="1171" spans="1:1">
      <c r="A1171" s="12" t="str">
        <f t="shared" si="18"/>
        <v>01</v>
      </c>
    </row>
    <row r="1172" spans="1:1">
      <c r="A1172" s="12" t="str">
        <f t="shared" si="18"/>
        <v>01</v>
      </c>
    </row>
    <row r="1173" spans="1:1">
      <c r="A1173" s="12" t="str">
        <f t="shared" si="18"/>
        <v>01</v>
      </c>
    </row>
    <row r="1174" spans="1:1">
      <c r="A1174" s="12" t="str">
        <f t="shared" si="18"/>
        <v>01</v>
      </c>
    </row>
    <row r="1175" spans="1:1">
      <c r="A1175" s="12" t="str">
        <f t="shared" si="18"/>
        <v>01</v>
      </c>
    </row>
    <row r="1176" spans="1:1">
      <c r="A1176" s="12" t="str">
        <f t="shared" si="18"/>
        <v>01</v>
      </c>
    </row>
    <row r="1177" spans="1:1">
      <c r="A1177" s="12" t="str">
        <f t="shared" si="18"/>
        <v>01</v>
      </c>
    </row>
    <row r="1178" spans="1:1">
      <c r="A1178" s="12" t="str">
        <f t="shared" si="18"/>
        <v>01</v>
      </c>
    </row>
    <row r="1179" spans="1:1">
      <c r="A1179" s="12" t="str">
        <f t="shared" si="18"/>
        <v>01</v>
      </c>
    </row>
    <row r="1180" spans="1:1">
      <c r="A1180" s="12" t="str">
        <f t="shared" si="18"/>
        <v>01</v>
      </c>
    </row>
    <row r="1181" spans="1:1">
      <c r="A1181" s="12" t="str">
        <f t="shared" si="18"/>
        <v>01</v>
      </c>
    </row>
    <row r="1182" spans="1:1">
      <c r="A1182" s="12" t="str">
        <f t="shared" si="18"/>
        <v>01</v>
      </c>
    </row>
    <row r="1183" spans="1:1">
      <c r="A1183" s="12" t="str">
        <f t="shared" si="18"/>
        <v>01</v>
      </c>
    </row>
    <row r="1184" spans="1:1">
      <c r="A1184" s="12" t="str">
        <f t="shared" si="18"/>
        <v>01</v>
      </c>
    </row>
    <row r="1185" spans="1:1">
      <c r="A1185" s="12" t="str">
        <f t="shared" si="18"/>
        <v>01</v>
      </c>
    </row>
    <row r="1186" spans="1:1">
      <c r="A1186" s="12" t="str">
        <f t="shared" si="18"/>
        <v>01</v>
      </c>
    </row>
    <row r="1187" spans="1:1">
      <c r="A1187" s="12" t="str">
        <f t="shared" si="18"/>
        <v>01</v>
      </c>
    </row>
    <row r="1188" spans="1:1">
      <c r="A1188" s="12" t="str">
        <f t="shared" si="18"/>
        <v>01</v>
      </c>
    </row>
    <row r="1189" spans="1:1">
      <c r="A1189" s="12" t="str">
        <f t="shared" si="18"/>
        <v>01</v>
      </c>
    </row>
    <row r="1190" spans="1:1">
      <c r="A1190" s="12" t="str">
        <f t="shared" si="18"/>
        <v>01</v>
      </c>
    </row>
    <row r="1191" spans="1:1">
      <c r="A1191" s="12" t="str">
        <f t="shared" si="18"/>
        <v>01</v>
      </c>
    </row>
    <row r="1192" spans="1:1">
      <c r="A1192" s="12" t="str">
        <f t="shared" si="18"/>
        <v>01</v>
      </c>
    </row>
    <row r="1193" spans="1:1">
      <c r="A1193" s="12" t="str">
        <f t="shared" si="18"/>
        <v>01</v>
      </c>
    </row>
    <row r="1194" spans="1:1">
      <c r="A1194" s="12" t="str">
        <f t="shared" si="18"/>
        <v>01</v>
      </c>
    </row>
    <row r="1195" spans="1:1">
      <c r="A1195" s="12" t="str">
        <f t="shared" si="18"/>
        <v>01</v>
      </c>
    </row>
    <row r="1196" spans="1:1">
      <c r="A1196" s="12" t="str">
        <f t="shared" si="18"/>
        <v>01</v>
      </c>
    </row>
    <row r="1197" spans="1:1">
      <c r="A1197" s="12" t="str">
        <f t="shared" si="18"/>
        <v>01</v>
      </c>
    </row>
    <row r="1198" spans="1:1">
      <c r="A1198" s="12" t="str">
        <f t="shared" si="18"/>
        <v>01</v>
      </c>
    </row>
    <row r="1199" spans="1:1">
      <c r="A1199" s="12" t="str">
        <f t="shared" si="18"/>
        <v>01</v>
      </c>
    </row>
    <row r="1200" spans="1:1">
      <c r="A1200" s="12" t="str">
        <f t="shared" si="18"/>
        <v>01</v>
      </c>
    </row>
    <row r="1201" spans="1:1">
      <c r="A1201" s="12" t="str">
        <f t="shared" si="18"/>
        <v>01</v>
      </c>
    </row>
    <row r="1202" spans="1:1">
      <c r="A1202" s="12" t="str">
        <f t="shared" si="18"/>
        <v>01</v>
      </c>
    </row>
    <row r="1203" spans="1:1">
      <c r="A1203" s="12" t="str">
        <f t="shared" si="18"/>
        <v>01</v>
      </c>
    </row>
    <row r="1204" spans="1:1">
      <c r="A1204" s="12" t="str">
        <f t="shared" si="18"/>
        <v>01</v>
      </c>
    </row>
    <row r="1205" spans="1:1">
      <c r="A1205" s="12" t="str">
        <f t="shared" si="18"/>
        <v>01</v>
      </c>
    </row>
    <row r="1206" spans="1:1">
      <c r="A1206" s="12" t="str">
        <f t="shared" si="18"/>
        <v>01</v>
      </c>
    </row>
    <row r="1207" spans="1:1">
      <c r="A1207" s="12" t="str">
        <f t="shared" si="18"/>
        <v>01</v>
      </c>
    </row>
    <row r="1208" spans="1:1">
      <c r="A1208" s="12" t="str">
        <f t="shared" si="18"/>
        <v>01</v>
      </c>
    </row>
    <row r="1209" spans="1:1">
      <c r="A1209" s="12" t="str">
        <f t="shared" si="18"/>
        <v>01</v>
      </c>
    </row>
    <row r="1210" spans="1:1">
      <c r="A1210" s="12" t="str">
        <f t="shared" si="18"/>
        <v>01</v>
      </c>
    </row>
    <row r="1211" spans="1:1">
      <c r="A1211" s="12" t="str">
        <f t="shared" si="18"/>
        <v>01</v>
      </c>
    </row>
    <row r="1212" spans="1:1">
      <c r="A1212" s="12" t="str">
        <f t="shared" si="18"/>
        <v>01</v>
      </c>
    </row>
    <row r="1213" spans="1:1">
      <c r="A1213" s="12" t="str">
        <f t="shared" si="18"/>
        <v>01</v>
      </c>
    </row>
    <row r="1214" spans="1:1">
      <c r="A1214" s="12" t="str">
        <f t="shared" si="18"/>
        <v>01</v>
      </c>
    </row>
    <row r="1215" spans="1:1">
      <c r="A1215" s="12" t="str">
        <f t="shared" si="18"/>
        <v>01</v>
      </c>
    </row>
    <row r="1216" spans="1:1">
      <c r="A1216" s="12" t="str">
        <f t="shared" si="18"/>
        <v>01</v>
      </c>
    </row>
    <row r="1217" spans="1:1">
      <c r="A1217" s="12" t="str">
        <f t="shared" si="18"/>
        <v>01</v>
      </c>
    </row>
    <row r="1218" spans="1:1">
      <c r="A1218" s="12" t="str">
        <f t="shared" si="18"/>
        <v>01</v>
      </c>
    </row>
    <row r="1219" spans="1:1">
      <c r="A1219" s="12" t="str">
        <f t="shared" ref="A1219:A1282" si="19">TEXT(L1219,"MM")</f>
        <v>01</v>
      </c>
    </row>
    <row r="1220" spans="1:1">
      <c r="A1220" s="12" t="str">
        <f t="shared" si="19"/>
        <v>01</v>
      </c>
    </row>
    <row r="1221" spans="1:1">
      <c r="A1221" s="12" t="str">
        <f t="shared" si="19"/>
        <v>01</v>
      </c>
    </row>
    <row r="1222" spans="1:1">
      <c r="A1222" s="12" t="str">
        <f t="shared" si="19"/>
        <v>01</v>
      </c>
    </row>
    <row r="1223" spans="1:1">
      <c r="A1223" s="12" t="str">
        <f t="shared" si="19"/>
        <v>01</v>
      </c>
    </row>
    <row r="1224" spans="1:1">
      <c r="A1224" s="12" t="str">
        <f t="shared" si="19"/>
        <v>01</v>
      </c>
    </row>
    <row r="1225" spans="1:1">
      <c r="A1225" s="12" t="str">
        <f t="shared" si="19"/>
        <v>01</v>
      </c>
    </row>
    <row r="1226" spans="1:1">
      <c r="A1226" s="12" t="str">
        <f t="shared" si="19"/>
        <v>01</v>
      </c>
    </row>
    <row r="1227" spans="1:1">
      <c r="A1227" s="12" t="str">
        <f t="shared" si="19"/>
        <v>01</v>
      </c>
    </row>
    <row r="1228" spans="1:1">
      <c r="A1228" s="12" t="str">
        <f t="shared" si="19"/>
        <v>01</v>
      </c>
    </row>
    <row r="1229" spans="1:1">
      <c r="A1229" s="12" t="str">
        <f t="shared" si="19"/>
        <v>01</v>
      </c>
    </row>
    <row r="1230" spans="1:1">
      <c r="A1230" s="12" t="str">
        <f t="shared" si="19"/>
        <v>01</v>
      </c>
    </row>
    <row r="1231" spans="1:1">
      <c r="A1231" s="12" t="str">
        <f t="shared" si="19"/>
        <v>01</v>
      </c>
    </row>
    <row r="1232" spans="1:1">
      <c r="A1232" s="12" t="str">
        <f t="shared" si="19"/>
        <v>01</v>
      </c>
    </row>
    <row r="1233" spans="1:1">
      <c r="A1233" s="12" t="str">
        <f t="shared" si="19"/>
        <v>01</v>
      </c>
    </row>
    <row r="1234" spans="1:1">
      <c r="A1234" s="12" t="str">
        <f t="shared" si="19"/>
        <v>01</v>
      </c>
    </row>
    <row r="1235" spans="1:1">
      <c r="A1235" s="12" t="str">
        <f t="shared" si="19"/>
        <v>01</v>
      </c>
    </row>
    <row r="1236" spans="1:1">
      <c r="A1236" s="12" t="str">
        <f t="shared" si="19"/>
        <v>01</v>
      </c>
    </row>
    <row r="1237" spans="1:1">
      <c r="A1237" s="12" t="str">
        <f t="shared" si="19"/>
        <v>01</v>
      </c>
    </row>
    <row r="1238" spans="1:1">
      <c r="A1238" s="12" t="str">
        <f t="shared" si="19"/>
        <v>01</v>
      </c>
    </row>
    <row r="1239" spans="1:1">
      <c r="A1239" s="12" t="str">
        <f t="shared" si="19"/>
        <v>01</v>
      </c>
    </row>
    <row r="1240" spans="1:1">
      <c r="A1240" s="12" t="str">
        <f t="shared" si="19"/>
        <v>01</v>
      </c>
    </row>
    <row r="1241" spans="1:1">
      <c r="A1241" s="12" t="str">
        <f t="shared" si="19"/>
        <v>01</v>
      </c>
    </row>
    <row r="1242" spans="1:1">
      <c r="A1242" s="12" t="str">
        <f t="shared" si="19"/>
        <v>01</v>
      </c>
    </row>
    <row r="1243" spans="1:1">
      <c r="A1243" s="12" t="str">
        <f t="shared" si="19"/>
        <v>01</v>
      </c>
    </row>
    <row r="1244" spans="1:1">
      <c r="A1244" s="12" t="str">
        <f t="shared" si="19"/>
        <v>01</v>
      </c>
    </row>
    <row r="1245" spans="1:1">
      <c r="A1245" s="12" t="str">
        <f t="shared" si="19"/>
        <v>01</v>
      </c>
    </row>
    <row r="1246" spans="1:1">
      <c r="A1246" s="12" t="str">
        <f t="shared" si="19"/>
        <v>01</v>
      </c>
    </row>
    <row r="1247" spans="1:1">
      <c r="A1247" s="12" t="str">
        <f t="shared" si="19"/>
        <v>01</v>
      </c>
    </row>
    <row r="1248" spans="1:1">
      <c r="A1248" s="12" t="str">
        <f t="shared" si="19"/>
        <v>01</v>
      </c>
    </row>
    <row r="1249" spans="1:1">
      <c r="A1249" s="12" t="str">
        <f t="shared" si="19"/>
        <v>01</v>
      </c>
    </row>
    <row r="1250" spans="1:1">
      <c r="A1250" s="12" t="str">
        <f t="shared" si="19"/>
        <v>01</v>
      </c>
    </row>
    <row r="1251" spans="1:1">
      <c r="A1251" s="12" t="str">
        <f t="shared" si="19"/>
        <v>01</v>
      </c>
    </row>
    <row r="1252" spans="1:1">
      <c r="A1252" s="12" t="str">
        <f t="shared" si="19"/>
        <v>01</v>
      </c>
    </row>
    <row r="1253" spans="1:1">
      <c r="A1253" s="12" t="str">
        <f t="shared" si="19"/>
        <v>01</v>
      </c>
    </row>
    <row r="1254" spans="1:1">
      <c r="A1254" s="12" t="str">
        <f t="shared" si="19"/>
        <v>01</v>
      </c>
    </row>
    <row r="1255" spans="1:1">
      <c r="A1255" s="12" t="str">
        <f t="shared" si="19"/>
        <v>01</v>
      </c>
    </row>
    <row r="1256" spans="1:1">
      <c r="A1256" s="12" t="str">
        <f t="shared" si="19"/>
        <v>01</v>
      </c>
    </row>
    <row r="1257" spans="1:1">
      <c r="A1257" s="12" t="str">
        <f t="shared" si="19"/>
        <v>01</v>
      </c>
    </row>
    <row r="1258" spans="1:1">
      <c r="A1258" s="12" t="str">
        <f t="shared" si="19"/>
        <v>01</v>
      </c>
    </row>
    <row r="1259" spans="1:1">
      <c r="A1259" s="12" t="str">
        <f t="shared" si="19"/>
        <v>01</v>
      </c>
    </row>
    <row r="1260" spans="1:1">
      <c r="A1260" s="12" t="str">
        <f t="shared" si="19"/>
        <v>01</v>
      </c>
    </row>
    <row r="1261" spans="1:1">
      <c r="A1261" s="12" t="str">
        <f t="shared" si="19"/>
        <v>01</v>
      </c>
    </row>
    <row r="1262" spans="1:1">
      <c r="A1262" s="12" t="str">
        <f t="shared" si="19"/>
        <v>01</v>
      </c>
    </row>
    <row r="1263" spans="1:1">
      <c r="A1263" s="12" t="str">
        <f t="shared" si="19"/>
        <v>01</v>
      </c>
    </row>
    <row r="1264" spans="1:1">
      <c r="A1264" s="12" t="str">
        <f t="shared" si="19"/>
        <v>01</v>
      </c>
    </row>
    <row r="1265" spans="1:1">
      <c r="A1265" s="12" t="str">
        <f t="shared" si="19"/>
        <v>01</v>
      </c>
    </row>
    <row r="1266" spans="1:1">
      <c r="A1266" s="12" t="str">
        <f t="shared" si="19"/>
        <v>01</v>
      </c>
    </row>
    <row r="1267" spans="1:1">
      <c r="A1267" s="12" t="str">
        <f t="shared" si="19"/>
        <v>01</v>
      </c>
    </row>
    <row r="1268" spans="1:1">
      <c r="A1268" s="12" t="str">
        <f t="shared" si="19"/>
        <v>01</v>
      </c>
    </row>
    <row r="1269" spans="1:1">
      <c r="A1269" s="12" t="str">
        <f t="shared" si="19"/>
        <v>01</v>
      </c>
    </row>
    <row r="1270" spans="1:1">
      <c r="A1270" s="12" t="str">
        <f t="shared" si="19"/>
        <v>01</v>
      </c>
    </row>
    <row r="1271" spans="1:1">
      <c r="A1271" s="12" t="str">
        <f t="shared" si="19"/>
        <v>01</v>
      </c>
    </row>
    <row r="1272" spans="1:1">
      <c r="A1272" s="12" t="str">
        <f t="shared" si="19"/>
        <v>01</v>
      </c>
    </row>
    <row r="1273" spans="1:1">
      <c r="A1273" s="12" t="str">
        <f t="shared" si="19"/>
        <v>01</v>
      </c>
    </row>
    <row r="1274" spans="1:1">
      <c r="A1274" s="12" t="str">
        <f t="shared" si="19"/>
        <v>01</v>
      </c>
    </row>
    <row r="1275" spans="1:1">
      <c r="A1275" s="12" t="str">
        <f t="shared" si="19"/>
        <v>01</v>
      </c>
    </row>
    <row r="1276" spans="1:1">
      <c r="A1276" s="12" t="str">
        <f t="shared" si="19"/>
        <v>01</v>
      </c>
    </row>
    <row r="1277" spans="1:1">
      <c r="A1277" s="12" t="str">
        <f t="shared" si="19"/>
        <v>01</v>
      </c>
    </row>
    <row r="1278" spans="1:1">
      <c r="A1278" s="12" t="str">
        <f t="shared" si="19"/>
        <v>01</v>
      </c>
    </row>
    <row r="1279" spans="1:1">
      <c r="A1279" s="12" t="str">
        <f t="shared" si="19"/>
        <v>01</v>
      </c>
    </row>
    <row r="1280" spans="1:1">
      <c r="A1280" s="12" t="str">
        <f t="shared" si="19"/>
        <v>01</v>
      </c>
    </row>
    <row r="1281" spans="1:1">
      <c r="A1281" s="12" t="str">
        <f t="shared" si="19"/>
        <v>01</v>
      </c>
    </row>
    <row r="1282" spans="1:1">
      <c r="A1282" s="12" t="str">
        <f t="shared" si="19"/>
        <v>01</v>
      </c>
    </row>
    <row r="1283" spans="1:1">
      <c r="A1283" s="12" t="str">
        <f t="shared" ref="A1283:A1346" si="20">TEXT(L1283,"MM")</f>
        <v>01</v>
      </c>
    </row>
    <row r="1284" spans="1:1">
      <c r="A1284" s="12" t="str">
        <f t="shared" si="20"/>
        <v>01</v>
      </c>
    </row>
    <row r="1285" spans="1:1">
      <c r="A1285" s="12" t="str">
        <f t="shared" si="20"/>
        <v>01</v>
      </c>
    </row>
    <row r="1286" spans="1:1">
      <c r="A1286" s="12" t="str">
        <f t="shared" si="20"/>
        <v>01</v>
      </c>
    </row>
    <row r="1287" spans="1:1">
      <c r="A1287" s="12" t="str">
        <f t="shared" si="20"/>
        <v>01</v>
      </c>
    </row>
    <row r="1288" spans="1:1">
      <c r="A1288" s="12" t="str">
        <f t="shared" si="20"/>
        <v>01</v>
      </c>
    </row>
    <row r="1289" spans="1:1">
      <c r="A1289" s="12" t="str">
        <f t="shared" si="20"/>
        <v>01</v>
      </c>
    </row>
    <row r="1290" spans="1:1">
      <c r="A1290" s="12" t="str">
        <f t="shared" si="20"/>
        <v>01</v>
      </c>
    </row>
    <row r="1291" spans="1:1">
      <c r="A1291" s="12" t="str">
        <f t="shared" si="20"/>
        <v>01</v>
      </c>
    </row>
    <row r="1292" spans="1:1">
      <c r="A1292" s="12" t="str">
        <f t="shared" si="20"/>
        <v>01</v>
      </c>
    </row>
    <row r="1293" spans="1:1">
      <c r="A1293" s="12" t="str">
        <f t="shared" si="20"/>
        <v>01</v>
      </c>
    </row>
    <row r="1294" spans="1:1">
      <c r="A1294" s="12" t="str">
        <f t="shared" si="20"/>
        <v>01</v>
      </c>
    </row>
    <row r="1295" spans="1:1">
      <c r="A1295" s="12" t="str">
        <f t="shared" si="20"/>
        <v>01</v>
      </c>
    </row>
    <row r="1296" spans="1:1">
      <c r="A1296" s="12" t="str">
        <f t="shared" si="20"/>
        <v>01</v>
      </c>
    </row>
    <row r="1297" spans="1:1">
      <c r="A1297" s="12" t="str">
        <f t="shared" si="20"/>
        <v>01</v>
      </c>
    </row>
    <row r="1298" spans="1:1">
      <c r="A1298" s="12" t="str">
        <f t="shared" si="20"/>
        <v>01</v>
      </c>
    </row>
    <row r="1299" spans="1:1">
      <c r="A1299" s="12" t="str">
        <f t="shared" si="20"/>
        <v>01</v>
      </c>
    </row>
    <row r="1300" spans="1:1">
      <c r="A1300" s="12" t="str">
        <f t="shared" si="20"/>
        <v>01</v>
      </c>
    </row>
    <row r="1301" spans="1:1">
      <c r="A1301" s="12" t="str">
        <f t="shared" si="20"/>
        <v>01</v>
      </c>
    </row>
    <row r="1302" spans="1:1">
      <c r="A1302" s="12" t="str">
        <f t="shared" si="20"/>
        <v>01</v>
      </c>
    </row>
    <row r="1303" spans="1:1">
      <c r="A1303" s="12" t="str">
        <f t="shared" si="20"/>
        <v>01</v>
      </c>
    </row>
    <row r="1304" spans="1:1">
      <c r="A1304" s="12" t="str">
        <f t="shared" si="20"/>
        <v>01</v>
      </c>
    </row>
    <row r="1305" spans="1:1">
      <c r="A1305" s="12" t="str">
        <f t="shared" si="20"/>
        <v>01</v>
      </c>
    </row>
    <row r="1306" spans="1:1">
      <c r="A1306" s="12" t="str">
        <f t="shared" si="20"/>
        <v>01</v>
      </c>
    </row>
    <row r="1307" spans="1:1">
      <c r="A1307" s="12" t="str">
        <f t="shared" si="20"/>
        <v>01</v>
      </c>
    </row>
    <row r="1308" spans="1:1">
      <c r="A1308" s="12" t="str">
        <f t="shared" si="20"/>
        <v>01</v>
      </c>
    </row>
    <row r="1309" spans="1:1">
      <c r="A1309" s="12" t="str">
        <f t="shared" si="20"/>
        <v>01</v>
      </c>
    </row>
    <row r="1310" spans="1:1">
      <c r="A1310" s="12" t="str">
        <f t="shared" si="20"/>
        <v>01</v>
      </c>
    </row>
    <row r="1311" spans="1:1">
      <c r="A1311" s="12" t="str">
        <f t="shared" si="20"/>
        <v>01</v>
      </c>
    </row>
    <row r="1312" spans="1:1">
      <c r="A1312" s="12" t="str">
        <f t="shared" si="20"/>
        <v>01</v>
      </c>
    </row>
    <row r="1313" spans="1:1">
      <c r="A1313" s="12" t="str">
        <f t="shared" si="20"/>
        <v>01</v>
      </c>
    </row>
    <row r="1314" spans="1:1">
      <c r="A1314" s="12" t="str">
        <f t="shared" si="20"/>
        <v>01</v>
      </c>
    </row>
    <row r="1315" spans="1:1">
      <c r="A1315" s="12" t="str">
        <f t="shared" si="20"/>
        <v>01</v>
      </c>
    </row>
    <row r="1316" spans="1:1">
      <c r="A1316" s="12" t="str">
        <f t="shared" si="20"/>
        <v>01</v>
      </c>
    </row>
    <row r="1317" spans="1:1">
      <c r="A1317" s="12" t="str">
        <f t="shared" si="20"/>
        <v>01</v>
      </c>
    </row>
    <row r="1318" spans="1:1">
      <c r="A1318" s="12" t="str">
        <f t="shared" si="20"/>
        <v>01</v>
      </c>
    </row>
    <row r="1319" spans="1:1">
      <c r="A1319" s="12" t="str">
        <f t="shared" si="20"/>
        <v>01</v>
      </c>
    </row>
    <row r="1320" spans="1:1">
      <c r="A1320" s="12" t="str">
        <f t="shared" si="20"/>
        <v>01</v>
      </c>
    </row>
    <row r="1321" spans="1:1">
      <c r="A1321" s="12" t="str">
        <f t="shared" si="20"/>
        <v>01</v>
      </c>
    </row>
    <row r="1322" spans="1:1">
      <c r="A1322" s="12" t="str">
        <f t="shared" si="20"/>
        <v>01</v>
      </c>
    </row>
    <row r="1323" spans="1:1">
      <c r="A1323" s="12" t="str">
        <f t="shared" si="20"/>
        <v>01</v>
      </c>
    </row>
    <row r="1324" spans="1:1">
      <c r="A1324" s="12" t="str">
        <f t="shared" si="20"/>
        <v>01</v>
      </c>
    </row>
    <row r="1325" spans="1:1">
      <c r="A1325" s="12" t="str">
        <f t="shared" si="20"/>
        <v>01</v>
      </c>
    </row>
    <row r="1326" spans="1:1">
      <c r="A1326" s="12" t="str">
        <f t="shared" si="20"/>
        <v>01</v>
      </c>
    </row>
    <row r="1327" spans="1:1">
      <c r="A1327" s="12" t="str">
        <f t="shared" si="20"/>
        <v>01</v>
      </c>
    </row>
    <row r="1328" spans="1:1">
      <c r="A1328" s="12" t="str">
        <f t="shared" si="20"/>
        <v>01</v>
      </c>
    </row>
    <row r="1329" spans="1:1">
      <c r="A1329" s="12" t="str">
        <f t="shared" si="20"/>
        <v>01</v>
      </c>
    </row>
    <row r="1330" spans="1:1">
      <c r="A1330" s="12" t="str">
        <f t="shared" si="20"/>
        <v>01</v>
      </c>
    </row>
    <row r="1331" spans="1:1">
      <c r="A1331" s="12" t="str">
        <f t="shared" si="20"/>
        <v>01</v>
      </c>
    </row>
    <row r="1332" spans="1:1">
      <c r="A1332" s="12" t="str">
        <f t="shared" si="20"/>
        <v>01</v>
      </c>
    </row>
    <row r="1333" spans="1:1">
      <c r="A1333" s="12" t="str">
        <f t="shared" si="20"/>
        <v>01</v>
      </c>
    </row>
    <row r="1334" spans="1:1">
      <c r="A1334" s="12" t="str">
        <f t="shared" si="20"/>
        <v>01</v>
      </c>
    </row>
    <row r="1335" spans="1:1">
      <c r="A1335" s="12" t="str">
        <f t="shared" si="20"/>
        <v>01</v>
      </c>
    </row>
    <row r="1336" spans="1:1">
      <c r="A1336" s="12" t="str">
        <f t="shared" si="20"/>
        <v>01</v>
      </c>
    </row>
    <row r="1337" spans="1:1">
      <c r="A1337" s="12" t="str">
        <f t="shared" si="20"/>
        <v>01</v>
      </c>
    </row>
    <row r="1338" spans="1:1">
      <c r="A1338" s="12" t="str">
        <f t="shared" si="20"/>
        <v>01</v>
      </c>
    </row>
    <row r="1339" spans="1:1">
      <c r="A1339" s="12" t="str">
        <f t="shared" si="20"/>
        <v>01</v>
      </c>
    </row>
    <row r="1340" spans="1:1">
      <c r="A1340" s="12" t="str">
        <f t="shared" si="20"/>
        <v>01</v>
      </c>
    </row>
    <row r="1341" spans="1:1">
      <c r="A1341" s="12" t="str">
        <f t="shared" si="20"/>
        <v>01</v>
      </c>
    </row>
    <row r="1342" spans="1:1">
      <c r="A1342" s="12" t="str">
        <f t="shared" si="20"/>
        <v>01</v>
      </c>
    </row>
    <row r="1343" spans="1:1">
      <c r="A1343" s="12" t="str">
        <f t="shared" si="20"/>
        <v>01</v>
      </c>
    </row>
    <row r="1344" spans="1:1">
      <c r="A1344" s="12" t="str">
        <f t="shared" si="20"/>
        <v>01</v>
      </c>
    </row>
    <row r="1345" spans="1:1">
      <c r="A1345" s="12" t="str">
        <f t="shared" si="20"/>
        <v>01</v>
      </c>
    </row>
    <row r="1346" spans="1:1">
      <c r="A1346" s="12" t="str">
        <f t="shared" si="20"/>
        <v>01</v>
      </c>
    </row>
    <row r="1347" spans="1:1">
      <c r="A1347" s="12" t="str">
        <f t="shared" ref="A1347:A1410" si="21">TEXT(L1347,"MM")</f>
        <v>01</v>
      </c>
    </row>
    <row r="1348" spans="1:1">
      <c r="A1348" s="12" t="str">
        <f t="shared" si="21"/>
        <v>01</v>
      </c>
    </row>
    <row r="1349" spans="1:1">
      <c r="A1349" s="12" t="str">
        <f t="shared" si="21"/>
        <v>01</v>
      </c>
    </row>
    <row r="1350" spans="1:1">
      <c r="A1350" s="12" t="str">
        <f t="shared" si="21"/>
        <v>01</v>
      </c>
    </row>
    <row r="1351" spans="1:1">
      <c r="A1351" s="12" t="str">
        <f t="shared" si="21"/>
        <v>01</v>
      </c>
    </row>
    <row r="1352" spans="1:1">
      <c r="A1352" s="12" t="str">
        <f t="shared" si="21"/>
        <v>01</v>
      </c>
    </row>
    <row r="1353" spans="1:1">
      <c r="A1353" s="12" t="str">
        <f t="shared" si="21"/>
        <v>01</v>
      </c>
    </row>
    <row r="1354" spans="1:1">
      <c r="A1354" s="12" t="str">
        <f t="shared" si="21"/>
        <v>01</v>
      </c>
    </row>
    <row r="1355" spans="1:1">
      <c r="A1355" s="12" t="str">
        <f t="shared" si="21"/>
        <v>01</v>
      </c>
    </row>
    <row r="1356" spans="1:1">
      <c r="A1356" s="12" t="str">
        <f t="shared" si="21"/>
        <v>01</v>
      </c>
    </row>
    <row r="1357" spans="1:1">
      <c r="A1357" s="12" t="str">
        <f t="shared" si="21"/>
        <v>01</v>
      </c>
    </row>
    <row r="1358" spans="1:1">
      <c r="A1358" s="12" t="str">
        <f t="shared" si="21"/>
        <v>01</v>
      </c>
    </row>
    <row r="1359" spans="1:1">
      <c r="A1359" s="12" t="str">
        <f t="shared" si="21"/>
        <v>01</v>
      </c>
    </row>
    <row r="1360" spans="1:1">
      <c r="A1360" s="12" t="str">
        <f t="shared" si="21"/>
        <v>01</v>
      </c>
    </row>
    <row r="1361" spans="1:1">
      <c r="A1361" s="12" t="str">
        <f t="shared" si="21"/>
        <v>01</v>
      </c>
    </row>
    <row r="1362" spans="1:1">
      <c r="A1362" s="12" t="str">
        <f t="shared" si="21"/>
        <v>01</v>
      </c>
    </row>
    <row r="1363" spans="1:1">
      <c r="A1363" s="12" t="str">
        <f t="shared" si="21"/>
        <v>01</v>
      </c>
    </row>
    <row r="1364" spans="1:1">
      <c r="A1364" s="12" t="str">
        <f t="shared" si="21"/>
        <v>01</v>
      </c>
    </row>
    <row r="1365" spans="1:1">
      <c r="A1365" s="12" t="str">
        <f t="shared" si="21"/>
        <v>01</v>
      </c>
    </row>
    <row r="1366" spans="1:1">
      <c r="A1366" s="12" t="str">
        <f t="shared" si="21"/>
        <v>01</v>
      </c>
    </row>
    <row r="1367" spans="1:1">
      <c r="A1367" s="12" t="str">
        <f t="shared" si="21"/>
        <v>01</v>
      </c>
    </row>
    <row r="1368" spans="1:1">
      <c r="A1368" s="12" t="str">
        <f t="shared" si="21"/>
        <v>01</v>
      </c>
    </row>
    <row r="1369" spans="1:1">
      <c r="A1369" s="12" t="str">
        <f t="shared" si="21"/>
        <v>01</v>
      </c>
    </row>
    <row r="1370" spans="1:1">
      <c r="A1370" s="12" t="str">
        <f t="shared" si="21"/>
        <v>01</v>
      </c>
    </row>
    <row r="1371" spans="1:1">
      <c r="A1371" s="12" t="str">
        <f t="shared" si="21"/>
        <v>01</v>
      </c>
    </row>
    <row r="1372" spans="1:1">
      <c r="A1372" s="12" t="str">
        <f t="shared" si="21"/>
        <v>01</v>
      </c>
    </row>
    <row r="1373" spans="1:1">
      <c r="A1373" s="12" t="str">
        <f t="shared" si="21"/>
        <v>01</v>
      </c>
    </row>
    <row r="1374" spans="1:1">
      <c r="A1374" s="12" t="str">
        <f t="shared" si="21"/>
        <v>01</v>
      </c>
    </row>
    <row r="1375" spans="1:1">
      <c r="A1375" s="12" t="str">
        <f t="shared" si="21"/>
        <v>01</v>
      </c>
    </row>
    <row r="1376" spans="1:1">
      <c r="A1376" s="12" t="str">
        <f t="shared" si="21"/>
        <v>01</v>
      </c>
    </row>
    <row r="1377" spans="1:1">
      <c r="A1377" s="12" t="str">
        <f t="shared" si="21"/>
        <v>01</v>
      </c>
    </row>
    <row r="1378" spans="1:1">
      <c r="A1378" s="12" t="str">
        <f t="shared" si="21"/>
        <v>01</v>
      </c>
    </row>
    <row r="1379" spans="1:1">
      <c r="A1379" s="12" t="str">
        <f t="shared" si="21"/>
        <v>01</v>
      </c>
    </row>
    <row r="1380" spans="1:1">
      <c r="A1380" s="12" t="str">
        <f t="shared" si="21"/>
        <v>01</v>
      </c>
    </row>
    <row r="1381" spans="1:1">
      <c r="A1381" s="12" t="str">
        <f t="shared" si="21"/>
        <v>01</v>
      </c>
    </row>
    <row r="1382" spans="1:1">
      <c r="A1382" s="12" t="str">
        <f t="shared" si="21"/>
        <v>01</v>
      </c>
    </row>
    <row r="1383" spans="1:1">
      <c r="A1383" s="12" t="str">
        <f t="shared" si="21"/>
        <v>01</v>
      </c>
    </row>
    <row r="1384" spans="1:1">
      <c r="A1384" s="12" t="str">
        <f t="shared" si="21"/>
        <v>01</v>
      </c>
    </row>
    <row r="1385" spans="1:1">
      <c r="A1385" s="12" t="str">
        <f t="shared" si="21"/>
        <v>01</v>
      </c>
    </row>
    <row r="1386" spans="1:1">
      <c r="A1386" s="12" t="str">
        <f t="shared" si="21"/>
        <v>01</v>
      </c>
    </row>
    <row r="1387" spans="1:1">
      <c r="A1387" s="12" t="str">
        <f t="shared" si="21"/>
        <v>01</v>
      </c>
    </row>
    <row r="1388" spans="1:1">
      <c r="A1388" s="12" t="str">
        <f t="shared" si="21"/>
        <v>01</v>
      </c>
    </row>
    <row r="1389" spans="1:1">
      <c r="A1389" s="12" t="str">
        <f t="shared" si="21"/>
        <v>01</v>
      </c>
    </row>
    <row r="1390" spans="1:1">
      <c r="A1390" s="12" t="str">
        <f t="shared" si="21"/>
        <v>01</v>
      </c>
    </row>
    <row r="1391" spans="1:1">
      <c r="A1391" s="12" t="str">
        <f t="shared" si="21"/>
        <v>01</v>
      </c>
    </row>
    <row r="1392" spans="1:1">
      <c r="A1392" s="12" t="str">
        <f t="shared" si="21"/>
        <v>01</v>
      </c>
    </row>
    <row r="1393" spans="1:1">
      <c r="A1393" s="12" t="str">
        <f t="shared" si="21"/>
        <v>01</v>
      </c>
    </row>
    <row r="1394" spans="1:1">
      <c r="A1394" s="12" t="str">
        <f t="shared" si="21"/>
        <v>01</v>
      </c>
    </row>
    <row r="1395" spans="1:1">
      <c r="A1395" s="12" t="str">
        <f t="shared" si="21"/>
        <v>01</v>
      </c>
    </row>
    <row r="1396" spans="1:1">
      <c r="A1396" s="12" t="str">
        <f t="shared" si="21"/>
        <v>01</v>
      </c>
    </row>
    <row r="1397" spans="1:1">
      <c r="A1397" s="12" t="str">
        <f t="shared" si="21"/>
        <v>01</v>
      </c>
    </row>
    <row r="1398" spans="1:1">
      <c r="A1398" s="12" t="str">
        <f t="shared" si="21"/>
        <v>01</v>
      </c>
    </row>
    <row r="1399" spans="1:1">
      <c r="A1399" s="12" t="str">
        <f t="shared" si="21"/>
        <v>01</v>
      </c>
    </row>
    <row r="1400" spans="1:1">
      <c r="A1400" s="12" t="str">
        <f t="shared" si="21"/>
        <v>01</v>
      </c>
    </row>
    <row r="1401" spans="1:1">
      <c r="A1401" s="12" t="str">
        <f t="shared" si="21"/>
        <v>01</v>
      </c>
    </row>
    <row r="1402" spans="1:1">
      <c r="A1402" s="12" t="str">
        <f t="shared" si="21"/>
        <v>01</v>
      </c>
    </row>
    <row r="1403" spans="1:1">
      <c r="A1403" s="12" t="str">
        <f t="shared" si="21"/>
        <v>01</v>
      </c>
    </row>
    <row r="1404" spans="1:1">
      <c r="A1404" s="12" t="str">
        <f t="shared" si="21"/>
        <v>01</v>
      </c>
    </row>
    <row r="1405" spans="1:1">
      <c r="A1405" s="12" t="str">
        <f t="shared" si="21"/>
        <v>01</v>
      </c>
    </row>
    <row r="1406" spans="1:1">
      <c r="A1406" s="12" t="str">
        <f t="shared" si="21"/>
        <v>01</v>
      </c>
    </row>
    <row r="1407" spans="1:1">
      <c r="A1407" s="12" t="str">
        <f t="shared" si="21"/>
        <v>01</v>
      </c>
    </row>
    <row r="1408" spans="1:1">
      <c r="A1408" s="12" t="str">
        <f t="shared" si="21"/>
        <v>01</v>
      </c>
    </row>
    <row r="1409" spans="1:1">
      <c r="A1409" s="12" t="str">
        <f t="shared" si="21"/>
        <v>01</v>
      </c>
    </row>
    <row r="1410" spans="1:1">
      <c r="A1410" s="12" t="str">
        <f t="shared" si="21"/>
        <v>01</v>
      </c>
    </row>
    <row r="1411" spans="1:1">
      <c r="A1411" s="12" t="str">
        <f t="shared" ref="A1411:A1474" si="22">TEXT(L1411,"MM")</f>
        <v>01</v>
      </c>
    </row>
    <row r="1412" spans="1:1">
      <c r="A1412" s="12" t="str">
        <f t="shared" si="22"/>
        <v>01</v>
      </c>
    </row>
    <row r="1413" spans="1:1">
      <c r="A1413" s="12" t="str">
        <f t="shared" si="22"/>
        <v>01</v>
      </c>
    </row>
    <row r="1414" spans="1:1">
      <c r="A1414" s="12" t="str">
        <f t="shared" si="22"/>
        <v>01</v>
      </c>
    </row>
    <row r="1415" spans="1:1">
      <c r="A1415" s="12" t="str">
        <f t="shared" si="22"/>
        <v>01</v>
      </c>
    </row>
    <row r="1416" spans="1:1">
      <c r="A1416" s="12" t="str">
        <f t="shared" si="22"/>
        <v>01</v>
      </c>
    </row>
    <row r="1417" spans="1:1">
      <c r="A1417" s="12" t="str">
        <f t="shared" si="22"/>
        <v>01</v>
      </c>
    </row>
    <row r="1418" spans="1:1">
      <c r="A1418" s="12" t="str">
        <f t="shared" si="22"/>
        <v>01</v>
      </c>
    </row>
    <row r="1419" spans="1:1">
      <c r="A1419" s="12" t="str">
        <f t="shared" si="22"/>
        <v>01</v>
      </c>
    </row>
    <row r="1420" spans="1:1">
      <c r="A1420" s="12" t="str">
        <f t="shared" si="22"/>
        <v>01</v>
      </c>
    </row>
    <row r="1421" spans="1:1">
      <c r="A1421" s="12" t="str">
        <f t="shared" si="22"/>
        <v>01</v>
      </c>
    </row>
    <row r="1422" spans="1:1">
      <c r="A1422" s="12" t="str">
        <f t="shared" si="22"/>
        <v>01</v>
      </c>
    </row>
    <row r="1423" spans="1:1">
      <c r="A1423" s="12" t="str">
        <f t="shared" si="22"/>
        <v>01</v>
      </c>
    </row>
    <row r="1424" spans="1:1">
      <c r="A1424" s="12" t="str">
        <f t="shared" si="22"/>
        <v>01</v>
      </c>
    </row>
    <row r="1425" spans="1:1">
      <c r="A1425" s="12" t="str">
        <f t="shared" si="22"/>
        <v>01</v>
      </c>
    </row>
    <row r="1426" spans="1:1">
      <c r="A1426" s="12" t="str">
        <f t="shared" si="22"/>
        <v>01</v>
      </c>
    </row>
    <row r="1427" spans="1:1">
      <c r="A1427" s="12" t="str">
        <f t="shared" si="22"/>
        <v>01</v>
      </c>
    </row>
    <row r="1428" spans="1:1">
      <c r="A1428" s="12" t="str">
        <f t="shared" si="22"/>
        <v>01</v>
      </c>
    </row>
    <row r="1429" spans="1:1">
      <c r="A1429" s="12" t="str">
        <f t="shared" si="22"/>
        <v>01</v>
      </c>
    </row>
    <row r="1430" spans="1:1">
      <c r="A1430" s="12" t="str">
        <f t="shared" si="22"/>
        <v>01</v>
      </c>
    </row>
    <row r="1431" spans="1:1">
      <c r="A1431" s="12" t="str">
        <f t="shared" si="22"/>
        <v>01</v>
      </c>
    </row>
    <row r="1432" spans="1:1">
      <c r="A1432" s="12" t="str">
        <f t="shared" si="22"/>
        <v>01</v>
      </c>
    </row>
    <row r="1433" spans="1:1">
      <c r="A1433" s="12" t="str">
        <f t="shared" si="22"/>
        <v>01</v>
      </c>
    </row>
    <row r="1434" spans="1:1">
      <c r="A1434" s="12" t="str">
        <f t="shared" si="22"/>
        <v>01</v>
      </c>
    </row>
    <row r="1435" spans="1:1">
      <c r="A1435" s="12" t="str">
        <f t="shared" si="22"/>
        <v>01</v>
      </c>
    </row>
    <row r="1436" spans="1:1">
      <c r="A1436" s="12" t="str">
        <f t="shared" si="22"/>
        <v>01</v>
      </c>
    </row>
    <row r="1437" spans="1:1">
      <c r="A1437" s="12" t="str">
        <f t="shared" si="22"/>
        <v>01</v>
      </c>
    </row>
    <row r="1438" spans="1:1">
      <c r="A1438" s="12" t="str">
        <f t="shared" si="22"/>
        <v>01</v>
      </c>
    </row>
    <row r="1439" spans="1:1">
      <c r="A1439" s="12" t="str">
        <f t="shared" si="22"/>
        <v>01</v>
      </c>
    </row>
    <row r="1440" spans="1:1">
      <c r="A1440" s="12" t="str">
        <f t="shared" si="22"/>
        <v>01</v>
      </c>
    </row>
    <row r="1441" spans="1:1">
      <c r="A1441" s="12" t="str">
        <f t="shared" si="22"/>
        <v>01</v>
      </c>
    </row>
    <row r="1442" spans="1:1">
      <c r="A1442" s="12" t="str">
        <f t="shared" si="22"/>
        <v>01</v>
      </c>
    </row>
    <row r="1443" spans="1:1">
      <c r="A1443" s="12" t="str">
        <f t="shared" si="22"/>
        <v>01</v>
      </c>
    </row>
    <row r="1444" spans="1:1">
      <c r="A1444" s="12" t="str">
        <f t="shared" si="22"/>
        <v>01</v>
      </c>
    </row>
    <row r="1445" spans="1:1">
      <c r="A1445" s="12" t="str">
        <f t="shared" si="22"/>
        <v>01</v>
      </c>
    </row>
    <row r="1446" spans="1:1">
      <c r="A1446" s="12" t="str">
        <f t="shared" si="22"/>
        <v>01</v>
      </c>
    </row>
    <row r="1447" spans="1:1">
      <c r="A1447" s="12" t="str">
        <f t="shared" si="22"/>
        <v>01</v>
      </c>
    </row>
    <row r="1448" spans="1:1">
      <c r="A1448" s="12" t="str">
        <f t="shared" si="22"/>
        <v>01</v>
      </c>
    </row>
    <row r="1449" spans="1:1">
      <c r="A1449" s="12" t="str">
        <f t="shared" si="22"/>
        <v>01</v>
      </c>
    </row>
    <row r="1450" spans="1:1">
      <c r="A1450" s="12" t="str">
        <f t="shared" si="22"/>
        <v>01</v>
      </c>
    </row>
    <row r="1451" spans="1:1">
      <c r="A1451" s="12" t="str">
        <f t="shared" si="22"/>
        <v>01</v>
      </c>
    </row>
    <row r="1452" spans="1:1">
      <c r="A1452" s="12" t="str">
        <f t="shared" si="22"/>
        <v>01</v>
      </c>
    </row>
    <row r="1453" spans="1:1">
      <c r="A1453" s="12" t="str">
        <f t="shared" si="22"/>
        <v>01</v>
      </c>
    </row>
    <row r="1454" spans="1:1">
      <c r="A1454" s="12" t="str">
        <f t="shared" si="22"/>
        <v>01</v>
      </c>
    </row>
    <row r="1455" spans="1:1">
      <c r="A1455" s="12" t="str">
        <f t="shared" si="22"/>
        <v>01</v>
      </c>
    </row>
    <row r="1456" spans="1:1">
      <c r="A1456" s="12" t="str">
        <f t="shared" si="22"/>
        <v>01</v>
      </c>
    </row>
    <row r="1457" spans="1:1">
      <c r="A1457" s="12" t="str">
        <f t="shared" si="22"/>
        <v>01</v>
      </c>
    </row>
    <row r="1458" spans="1:1">
      <c r="A1458" s="12" t="str">
        <f t="shared" si="22"/>
        <v>01</v>
      </c>
    </row>
    <row r="1459" spans="1:1">
      <c r="A1459" s="12" t="str">
        <f t="shared" si="22"/>
        <v>01</v>
      </c>
    </row>
    <row r="1460" spans="1:1">
      <c r="A1460" s="12" t="str">
        <f t="shared" si="22"/>
        <v>01</v>
      </c>
    </row>
    <row r="1461" spans="1:1">
      <c r="A1461" s="12" t="str">
        <f t="shared" si="22"/>
        <v>01</v>
      </c>
    </row>
    <row r="1462" spans="1:1">
      <c r="A1462" s="12" t="str">
        <f t="shared" si="22"/>
        <v>01</v>
      </c>
    </row>
    <row r="1463" spans="1:1">
      <c r="A1463" s="12" t="str">
        <f t="shared" si="22"/>
        <v>01</v>
      </c>
    </row>
    <row r="1464" spans="1:1">
      <c r="A1464" s="12" t="str">
        <f t="shared" si="22"/>
        <v>01</v>
      </c>
    </row>
    <row r="1465" spans="1:1">
      <c r="A1465" s="12" t="str">
        <f t="shared" si="22"/>
        <v>01</v>
      </c>
    </row>
    <row r="1466" spans="1:1">
      <c r="A1466" s="12" t="str">
        <f t="shared" si="22"/>
        <v>01</v>
      </c>
    </row>
    <row r="1467" spans="1:1">
      <c r="A1467" s="12" t="str">
        <f t="shared" si="22"/>
        <v>01</v>
      </c>
    </row>
    <row r="1468" spans="1:1">
      <c r="A1468" s="12" t="str">
        <f t="shared" si="22"/>
        <v>01</v>
      </c>
    </row>
    <row r="1469" spans="1:1">
      <c r="A1469" s="12" t="str">
        <f t="shared" si="22"/>
        <v>01</v>
      </c>
    </row>
    <row r="1470" spans="1:1">
      <c r="A1470" s="12" t="str">
        <f t="shared" si="22"/>
        <v>01</v>
      </c>
    </row>
    <row r="1471" spans="1:1">
      <c r="A1471" s="12" t="str">
        <f t="shared" si="22"/>
        <v>01</v>
      </c>
    </row>
    <row r="1472" spans="1:1">
      <c r="A1472" s="12" t="str">
        <f t="shared" si="22"/>
        <v>01</v>
      </c>
    </row>
    <row r="1473" spans="1:1">
      <c r="A1473" s="12" t="str">
        <f t="shared" si="22"/>
        <v>01</v>
      </c>
    </row>
    <row r="1474" spans="1:1">
      <c r="A1474" s="12" t="str">
        <f t="shared" si="22"/>
        <v>01</v>
      </c>
    </row>
    <row r="1475" spans="1:1">
      <c r="A1475" s="12" t="str">
        <f t="shared" ref="A1475:A1515" si="23">TEXT(L1475,"MM")</f>
        <v>01</v>
      </c>
    </row>
    <row r="1476" spans="1:1">
      <c r="A1476" s="12" t="str">
        <f t="shared" si="23"/>
        <v>01</v>
      </c>
    </row>
    <row r="1477" spans="1:1">
      <c r="A1477" s="12" t="str">
        <f t="shared" si="23"/>
        <v>01</v>
      </c>
    </row>
    <row r="1478" spans="1:1">
      <c r="A1478" s="12" t="str">
        <f t="shared" si="23"/>
        <v>01</v>
      </c>
    </row>
    <row r="1479" spans="1:1">
      <c r="A1479" s="12" t="str">
        <f t="shared" si="23"/>
        <v>01</v>
      </c>
    </row>
    <row r="1480" spans="1:1">
      <c r="A1480" s="12" t="str">
        <f t="shared" si="23"/>
        <v>01</v>
      </c>
    </row>
    <row r="1481" spans="1:1">
      <c r="A1481" s="12" t="str">
        <f t="shared" si="23"/>
        <v>01</v>
      </c>
    </row>
    <row r="1482" spans="1:1">
      <c r="A1482" s="12" t="str">
        <f t="shared" si="23"/>
        <v>01</v>
      </c>
    </row>
    <row r="1483" spans="1:1">
      <c r="A1483" s="12" t="str">
        <f t="shared" si="23"/>
        <v>01</v>
      </c>
    </row>
    <row r="1484" spans="1:1">
      <c r="A1484" s="12" t="str">
        <f t="shared" si="23"/>
        <v>01</v>
      </c>
    </row>
    <row r="1485" spans="1:1">
      <c r="A1485" s="12" t="str">
        <f t="shared" si="23"/>
        <v>01</v>
      </c>
    </row>
    <row r="1486" spans="1:1">
      <c r="A1486" s="12" t="str">
        <f t="shared" si="23"/>
        <v>01</v>
      </c>
    </row>
    <row r="1487" spans="1:1">
      <c r="A1487" s="12" t="str">
        <f t="shared" si="23"/>
        <v>01</v>
      </c>
    </row>
    <row r="1488" spans="1:1">
      <c r="A1488" s="12" t="str">
        <f t="shared" si="23"/>
        <v>01</v>
      </c>
    </row>
    <row r="1489" spans="1:1">
      <c r="A1489" s="12" t="str">
        <f t="shared" si="23"/>
        <v>01</v>
      </c>
    </row>
    <row r="1490" spans="1:1">
      <c r="A1490" s="12" t="str">
        <f t="shared" si="23"/>
        <v>01</v>
      </c>
    </row>
    <row r="1491" spans="1:1">
      <c r="A1491" s="12" t="str">
        <f t="shared" si="23"/>
        <v>01</v>
      </c>
    </row>
    <row r="1492" spans="1:1">
      <c r="A1492" s="12" t="str">
        <f t="shared" si="23"/>
        <v>01</v>
      </c>
    </row>
    <row r="1493" spans="1:1">
      <c r="A1493" s="12" t="str">
        <f t="shared" si="23"/>
        <v>01</v>
      </c>
    </row>
    <row r="1494" spans="1:1">
      <c r="A1494" s="12" t="str">
        <f t="shared" si="23"/>
        <v>01</v>
      </c>
    </row>
    <row r="1495" spans="1:1">
      <c r="A1495" s="12" t="str">
        <f t="shared" si="23"/>
        <v>01</v>
      </c>
    </row>
    <row r="1496" spans="1:1">
      <c r="A1496" s="12" t="str">
        <f t="shared" si="23"/>
        <v>01</v>
      </c>
    </row>
    <row r="1497" spans="1:1">
      <c r="A1497" s="12" t="str">
        <f t="shared" si="23"/>
        <v>01</v>
      </c>
    </row>
    <row r="1498" spans="1:1">
      <c r="A1498" s="12" t="str">
        <f t="shared" si="23"/>
        <v>01</v>
      </c>
    </row>
    <row r="1499" spans="1:1">
      <c r="A1499" s="12" t="str">
        <f t="shared" si="23"/>
        <v>01</v>
      </c>
    </row>
    <row r="1500" spans="1:1">
      <c r="A1500" s="12" t="str">
        <f t="shared" si="23"/>
        <v>01</v>
      </c>
    </row>
    <row r="1501" spans="1:1">
      <c r="A1501" s="12" t="str">
        <f t="shared" si="23"/>
        <v>01</v>
      </c>
    </row>
    <row r="1502" spans="1:1">
      <c r="A1502" s="12" t="str">
        <f t="shared" si="23"/>
        <v>01</v>
      </c>
    </row>
    <row r="1503" spans="1:1">
      <c r="A1503" s="12" t="str">
        <f t="shared" si="23"/>
        <v>01</v>
      </c>
    </row>
    <row r="1504" spans="1:1">
      <c r="A1504" s="12" t="str">
        <f t="shared" si="23"/>
        <v>01</v>
      </c>
    </row>
    <row r="1505" spans="1:1">
      <c r="A1505" s="12" t="str">
        <f t="shared" si="23"/>
        <v>01</v>
      </c>
    </row>
    <row r="1506" spans="1:1">
      <c r="A1506" s="12" t="str">
        <f t="shared" si="23"/>
        <v>01</v>
      </c>
    </row>
    <row r="1507" spans="1:1">
      <c r="A1507" s="12" t="str">
        <f t="shared" si="23"/>
        <v>01</v>
      </c>
    </row>
    <row r="1508" spans="1:1">
      <c r="A1508" s="12" t="str">
        <f t="shared" si="23"/>
        <v>01</v>
      </c>
    </row>
    <row r="1509" spans="1:1">
      <c r="A1509" s="12" t="str">
        <f t="shared" si="23"/>
        <v>01</v>
      </c>
    </row>
    <row r="1510" spans="1:1">
      <c r="A1510" s="12" t="str">
        <f t="shared" si="23"/>
        <v>01</v>
      </c>
    </row>
    <row r="1511" spans="1:1">
      <c r="A1511" s="12" t="str">
        <f t="shared" si="23"/>
        <v>01</v>
      </c>
    </row>
    <row r="1512" spans="1:1">
      <c r="A1512" s="12" t="str">
        <f t="shared" si="23"/>
        <v>01</v>
      </c>
    </row>
    <row r="1513" spans="1:1">
      <c r="A1513" s="12" t="str">
        <f t="shared" si="23"/>
        <v>01</v>
      </c>
    </row>
    <row r="1514" spans="1:1">
      <c r="A1514" s="12" t="str">
        <f t="shared" si="23"/>
        <v>01</v>
      </c>
    </row>
    <row r="1515" spans="1:1">
      <c r="A1515" s="12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E8"/>
  <sheetViews>
    <sheetView workbookViewId="0">
      <selection activeCell="E1" sqref="E1:E1048576"/>
    </sheetView>
  </sheetViews>
  <sheetFormatPr defaultRowHeight="17.399999999999999"/>
  <cols>
    <col min="1" max="1" width="15.19921875" customWidth="1"/>
    <col min="2" max="2" width="13.3984375" customWidth="1"/>
    <col min="3" max="3" width="9.09765625" bestFit="1" customWidth="1"/>
    <col min="4" max="4" width="13.69921875" customWidth="1"/>
    <col min="5" max="5" width="10.3984375" customWidth="1"/>
  </cols>
  <sheetData>
    <row r="1" spans="1:5" ht="22.95" customHeight="1" thickBot="1">
      <c r="A1" s="2" t="s">
        <v>13</v>
      </c>
      <c r="B1" s="3" t="s">
        <v>0</v>
      </c>
      <c r="C1" s="3" t="s">
        <v>14</v>
      </c>
      <c r="D1" s="3" t="s">
        <v>15</v>
      </c>
      <c r="E1" s="3" t="s">
        <v>16</v>
      </c>
    </row>
    <row r="2" spans="1:5" ht="25.05" customHeight="1" thickBot="1">
      <c r="A2" s="17" t="str">
        <f>IF(SiteAccessDownload!Z2="","",SiteAccessDownload!Z2)</f>
        <v/>
      </c>
      <c r="B2" s="20" t="str">
        <f>IF(SiteAccessDownload!Q2="","",SiteAccessDownload!Q2)</f>
        <v/>
      </c>
      <c r="C2" s="20" t="str">
        <f>IF(SiteAccessDownload!W2="","",SiteAccessDownload!W2)</f>
        <v/>
      </c>
      <c r="D2" s="34" t="str">
        <f>IF(SiteAccessDownload!S2="","",SiteAccessDownload!S2)</f>
        <v/>
      </c>
      <c r="E2" s="20" t="str">
        <f>IF(SiteAccessDownload!Y2="","",SiteAccessDownload!Y2)</f>
        <v/>
      </c>
    </row>
    <row r="3" spans="1:5" ht="25.05" customHeight="1" thickBot="1">
      <c r="A3" s="17" t="str">
        <f>IF(SiteAccessDownload!Z3="","",SiteAccessDownload!Z3)</f>
        <v/>
      </c>
      <c r="B3" s="20" t="str">
        <f>IF(SiteAccessDownload!Q3="","",SiteAccessDownload!Q3)</f>
        <v/>
      </c>
      <c r="C3" s="20" t="str">
        <f>IF(SiteAccessDownload!W3="","",SiteAccessDownload!W3)</f>
        <v/>
      </c>
      <c r="D3" s="34" t="str">
        <f>IF(SiteAccessDownload!S3="","",SiteAccessDownload!S3)</f>
        <v/>
      </c>
      <c r="E3" s="20" t="str">
        <f>IF(SiteAccessDownload!Y3="","",SiteAccessDownload!Y3)</f>
        <v/>
      </c>
    </row>
    <row r="4" spans="1:5" ht="25.05" customHeight="1" thickBot="1">
      <c r="A4" s="17" t="str">
        <f>IF(SiteAccessDownload!Z4="","",SiteAccessDownload!Z4)</f>
        <v/>
      </c>
      <c r="B4" s="20" t="str">
        <f>IF(SiteAccessDownload!Q4="","",SiteAccessDownload!Q4)</f>
        <v/>
      </c>
      <c r="C4" s="20" t="str">
        <f>IF(SiteAccessDownload!W4="","",SiteAccessDownload!W4)</f>
        <v/>
      </c>
      <c r="D4" s="34" t="str">
        <f>IF(SiteAccessDownload!S4="","",SiteAccessDownload!S4)</f>
        <v/>
      </c>
      <c r="E4" s="20" t="str">
        <f>IF(SiteAccessDownload!Y4="","",SiteAccessDownload!Y4)</f>
        <v/>
      </c>
    </row>
    <row r="5" spans="1:5" ht="25.05" customHeight="1" thickBot="1">
      <c r="A5" s="17" t="str">
        <f>IF(SiteAccessDownload!Z5="","",SiteAccessDownload!Z5)</f>
        <v/>
      </c>
      <c r="B5" s="20" t="str">
        <f>IF(SiteAccessDownload!Q5="","",SiteAccessDownload!Q5)</f>
        <v/>
      </c>
      <c r="C5" s="20" t="str">
        <f>IF(SiteAccessDownload!W5="","",SiteAccessDownload!W5)</f>
        <v/>
      </c>
      <c r="D5" s="34" t="str">
        <f>IF(SiteAccessDownload!S5="","",SiteAccessDownload!S5)</f>
        <v/>
      </c>
      <c r="E5" s="20" t="str">
        <f>IF(SiteAccessDownload!Y5="","",SiteAccessDownload!Y5)</f>
        <v/>
      </c>
    </row>
    <row r="6" spans="1:5" ht="25.05" customHeight="1" thickBot="1">
      <c r="A6" s="17" t="str">
        <f>IF(SiteAccessDownload!Z6="","",SiteAccessDownload!Z6)</f>
        <v/>
      </c>
      <c r="B6" s="20" t="str">
        <f>IF(SiteAccessDownload!Q6="","",SiteAccessDownload!Q6)</f>
        <v/>
      </c>
      <c r="C6" s="20" t="str">
        <f>IF(SiteAccessDownload!W6="","",SiteAccessDownload!W6)</f>
        <v/>
      </c>
      <c r="D6" s="34" t="str">
        <f>IF(SiteAccessDownload!S6="","",SiteAccessDownload!S6)</f>
        <v/>
      </c>
      <c r="E6" s="20" t="str">
        <f>IF(SiteAccessDownload!Y6="","",SiteAccessDownload!Y6)</f>
        <v/>
      </c>
    </row>
    <row r="7" spans="1:5" ht="4.95" customHeight="1">
      <c r="A7" s="490" t="s">
        <v>2</v>
      </c>
      <c r="B7" s="491"/>
      <c r="C7" s="491"/>
      <c r="D7" s="491"/>
      <c r="E7" s="492"/>
    </row>
    <row r="8" spans="1:5" ht="4.95" customHeight="1" thickBot="1">
      <c r="A8" s="493"/>
      <c r="B8" s="494"/>
      <c r="C8" s="494"/>
      <c r="D8" s="494"/>
      <c r="E8" s="495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C3480"/>
  <sheetViews>
    <sheetView topLeftCell="K1" workbookViewId="0">
      <selection activeCell="L2" sqref="L2"/>
    </sheetView>
  </sheetViews>
  <sheetFormatPr defaultRowHeight="17.399999999999999"/>
  <cols>
    <col min="1" max="1" width="8.796875" style="15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3" width="19.5" customWidth="1"/>
    <col min="14" max="14" width="15.5" bestFit="1" customWidth="1"/>
    <col min="15" max="15" width="11.59765625" style="4" bestFit="1" customWidth="1"/>
    <col min="16" max="16" width="39.69921875" bestFit="1" customWidth="1"/>
    <col min="17" max="17" width="49.5" customWidth="1"/>
    <col min="18" max="18" width="36.59765625" style="38" bestFit="1" customWidth="1"/>
    <col min="19" max="19" width="19" style="39" bestFit="1" customWidth="1"/>
    <col min="20" max="20" width="19" style="4" bestFit="1" customWidth="1"/>
    <col min="21" max="21" width="16.5" bestFit="1" customWidth="1"/>
    <col min="22" max="22" width="23.19921875" style="4" bestFit="1" customWidth="1"/>
    <col min="23" max="23" width="21.19921875" style="4" bestFit="1" customWidth="1"/>
    <col min="24" max="24" width="21" style="4" bestFit="1" customWidth="1"/>
    <col min="25" max="25" width="18.5" style="1" customWidth="1"/>
    <col min="26" max="26" width="11.59765625" bestFit="1" customWidth="1"/>
  </cols>
  <sheetData>
    <row r="1" spans="1:29">
      <c r="A1" s="13" t="s">
        <v>6</v>
      </c>
      <c r="B1" s="32" t="s">
        <v>37</v>
      </c>
      <c r="C1" s="32" t="s">
        <v>18</v>
      </c>
      <c r="D1" s="32" t="s">
        <v>19</v>
      </c>
      <c r="E1" s="32" t="s">
        <v>20</v>
      </c>
      <c r="F1" s="32" t="s">
        <v>21</v>
      </c>
      <c r="G1" s="32" t="s">
        <v>8</v>
      </c>
      <c r="H1" s="32" t="s">
        <v>10</v>
      </c>
      <c r="I1" s="32" t="s">
        <v>14</v>
      </c>
      <c r="J1" s="32" t="s">
        <v>12</v>
      </c>
      <c r="K1" s="32" t="s">
        <v>7</v>
      </c>
      <c r="L1" s="32" t="s">
        <v>5</v>
      </c>
      <c r="M1" s="36"/>
      <c r="N1" s="41" t="str">
        <f>IncidentDownload!P1</f>
        <v>06</v>
      </c>
      <c r="O1" s="8" t="s">
        <v>33</v>
      </c>
      <c r="P1" s="33" t="s">
        <v>37</v>
      </c>
      <c r="Q1" s="33" t="s">
        <v>18</v>
      </c>
      <c r="R1" s="33" t="s">
        <v>19</v>
      </c>
      <c r="S1" s="33" t="s">
        <v>20</v>
      </c>
      <c r="T1" s="33" t="s">
        <v>21</v>
      </c>
      <c r="U1" s="33" t="s">
        <v>8</v>
      </c>
      <c r="V1" s="33" t="s">
        <v>84</v>
      </c>
      <c r="W1" s="33" t="s">
        <v>1</v>
      </c>
      <c r="X1" s="33" t="s">
        <v>85</v>
      </c>
      <c r="Y1" s="33" t="s">
        <v>7</v>
      </c>
      <c r="Z1" s="33" t="s">
        <v>5</v>
      </c>
      <c r="AA1" s="29"/>
      <c r="AB1" s="29"/>
      <c r="AC1" s="30"/>
    </row>
    <row r="2" spans="1:29" ht="34.799999999999997">
      <c r="A2" s="14" t="str">
        <f>TEXT(L2,"MM")</f>
        <v>Completed</v>
      </c>
      <c r="B2" s="46" t="s">
        <v>39</v>
      </c>
      <c r="C2">
        <v>11561</v>
      </c>
      <c r="D2" t="s">
        <v>40</v>
      </c>
      <c r="G2" t="s">
        <v>41</v>
      </c>
      <c r="H2" t="s">
        <v>42</v>
      </c>
      <c r="J2" t="s">
        <v>43</v>
      </c>
      <c r="L2" t="s">
        <v>44</v>
      </c>
      <c r="N2" s="1">
        <v>45229.539768518516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U2" s="4"/>
      <c r="Y2" s="40"/>
      <c r="Z2" s="47"/>
      <c r="AA2" s="29"/>
      <c r="AB2" s="30"/>
      <c r="AC2" s="30"/>
    </row>
    <row r="3" spans="1:29" ht="34.799999999999997">
      <c r="A3" s="14" t="str">
        <f t="shared" ref="A3:A66" si="0">TEXT(L3,"MM")</f>
        <v>Completed</v>
      </c>
      <c r="B3" s="46" t="s">
        <v>39</v>
      </c>
      <c r="C3">
        <v>7603</v>
      </c>
      <c r="D3" t="s">
        <v>45</v>
      </c>
      <c r="G3" t="s">
        <v>46</v>
      </c>
      <c r="H3" t="s">
        <v>42</v>
      </c>
      <c r="J3" t="s">
        <v>43</v>
      </c>
      <c r="L3" t="s">
        <v>44</v>
      </c>
      <c r="N3" s="1">
        <v>45126.479108796295</v>
      </c>
      <c r="Y3" s="40"/>
      <c r="Z3" s="29"/>
      <c r="AA3" s="29"/>
      <c r="AB3" s="30"/>
      <c r="AC3" s="30"/>
    </row>
    <row r="4" spans="1:29" ht="34.799999999999997">
      <c r="A4" s="14" t="str">
        <f t="shared" si="0"/>
        <v>Completed</v>
      </c>
      <c r="B4" s="46" t="s">
        <v>39</v>
      </c>
      <c r="C4">
        <v>7397</v>
      </c>
      <c r="D4" t="s">
        <v>47</v>
      </c>
      <c r="G4" t="s">
        <v>41</v>
      </c>
      <c r="H4" t="s">
        <v>42</v>
      </c>
      <c r="J4" t="s">
        <v>43</v>
      </c>
      <c r="L4" t="s">
        <v>44</v>
      </c>
      <c r="N4" s="1">
        <v>45120.443287037036</v>
      </c>
      <c r="Y4" s="37"/>
      <c r="Z4" s="29"/>
      <c r="AA4" s="29"/>
      <c r="AB4" s="30"/>
      <c r="AC4" s="30"/>
    </row>
    <row r="5" spans="1:29" ht="34.799999999999997">
      <c r="A5" s="14" t="str">
        <f t="shared" si="0"/>
        <v>Completed</v>
      </c>
      <c r="B5" s="46" t="s">
        <v>39</v>
      </c>
      <c r="C5">
        <v>6448</v>
      </c>
      <c r="D5" t="s">
        <v>45</v>
      </c>
      <c r="G5" t="s">
        <v>41</v>
      </c>
      <c r="H5" t="s">
        <v>42</v>
      </c>
      <c r="J5" t="s">
        <v>43</v>
      </c>
      <c r="L5" t="s">
        <v>44</v>
      </c>
      <c r="N5" s="1">
        <v>45097.502754629626</v>
      </c>
      <c r="Y5" s="37"/>
      <c r="Z5" s="29"/>
      <c r="AA5" s="29"/>
      <c r="AB5" s="30"/>
      <c r="AC5" s="30"/>
    </row>
    <row r="6" spans="1:29">
      <c r="A6" s="14" t="str">
        <f t="shared" si="0"/>
        <v>01</v>
      </c>
      <c r="Y6" s="37"/>
      <c r="Z6" s="29"/>
      <c r="AA6" s="29"/>
      <c r="AB6" s="30"/>
      <c r="AC6" s="30"/>
    </row>
    <row r="7" spans="1:29">
      <c r="A7" s="14" t="str">
        <f t="shared" si="0"/>
        <v>01</v>
      </c>
      <c r="Y7" s="37"/>
      <c r="Z7" s="29"/>
      <c r="AA7" s="29"/>
      <c r="AB7" s="30"/>
      <c r="AC7" s="30"/>
    </row>
    <row r="8" spans="1:29">
      <c r="A8" s="14" t="str">
        <f t="shared" si="0"/>
        <v>01</v>
      </c>
      <c r="Y8" s="37"/>
      <c r="Z8" s="29"/>
      <c r="AA8" s="29"/>
      <c r="AB8" s="30"/>
      <c r="AC8" s="30"/>
    </row>
    <row r="9" spans="1:29">
      <c r="A9" s="14" t="str">
        <f t="shared" si="0"/>
        <v>01</v>
      </c>
      <c r="Y9" s="37"/>
      <c r="Z9" s="29"/>
      <c r="AA9" s="29"/>
      <c r="AB9" s="30"/>
      <c r="AC9" s="30"/>
    </row>
    <row r="10" spans="1:29">
      <c r="A10" s="14" t="str">
        <f t="shared" si="0"/>
        <v>01</v>
      </c>
      <c r="Y10" s="37"/>
      <c r="Z10" s="29"/>
      <c r="AA10" s="29"/>
      <c r="AB10" s="30"/>
      <c r="AC10" s="30"/>
    </row>
    <row r="11" spans="1:29">
      <c r="A11" s="14" t="str">
        <f t="shared" si="0"/>
        <v>01</v>
      </c>
      <c r="Y11" s="37"/>
      <c r="Z11" s="29"/>
      <c r="AA11" s="29"/>
      <c r="AB11" s="30"/>
      <c r="AC11" s="30"/>
    </row>
    <row r="12" spans="1:29">
      <c r="A12" s="14" t="str">
        <f t="shared" si="0"/>
        <v>01</v>
      </c>
      <c r="Y12" s="37"/>
      <c r="Z12" s="29"/>
      <c r="AA12" s="29"/>
      <c r="AB12" s="30"/>
      <c r="AC12" s="30"/>
    </row>
    <row r="13" spans="1:29">
      <c r="A13" s="14" t="str">
        <f t="shared" si="0"/>
        <v>01</v>
      </c>
      <c r="Y13" s="37"/>
      <c r="Z13" s="30"/>
      <c r="AA13" s="30"/>
      <c r="AB13" s="30"/>
      <c r="AC13" s="30"/>
    </row>
    <row r="14" spans="1:29">
      <c r="A14" s="14" t="str">
        <f t="shared" si="0"/>
        <v>01</v>
      </c>
      <c r="Y14" s="37"/>
      <c r="Z14" s="30"/>
      <c r="AA14" s="30"/>
      <c r="AB14" s="30"/>
      <c r="AC14" s="30"/>
    </row>
    <row r="15" spans="1:29">
      <c r="A15" s="14" t="str">
        <f t="shared" si="0"/>
        <v>01</v>
      </c>
      <c r="Y15" s="37"/>
      <c r="Z15" s="30"/>
      <c r="AA15" s="30"/>
      <c r="AB15" s="30"/>
      <c r="AC15" s="30"/>
    </row>
    <row r="16" spans="1:29">
      <c r="A16" s="14" t="str">
        <f t="shared" si="0"/>
        <v>01</v>
      </c>
      <c r="Y16" s="37"/>
      <c r="Z16" s="30"/>
      <c r="AA16" s="30"/>
      <c r="AB16" s="30"/>
      <c r="AC16" s="30"/>
    </row>
    <row r="17" spans="1:29">
      <c r="A17" s="14" t="str">
        <f t="shared" si="0"/>
        <v>01</v>
      </c>
      <c r="Y17" s="37"/>
      <c r="Z17" s="30"/>
      <c r="AA17" s="30"/>
      <c r="AB17" s="30"/>
      <c r="AC17" s="30"/>
    </row>
    <row r="18" spans="1:29">
      <c r="A18" s="14" t="str">
        <f t="shared" si="0"/>
        <v>01</v>
      </c>
      <c r="Y18" s="37"/>
      <c r="Z18" s="30"/>
      <c r="AA18" s="30"/>
      <c r="AB18" s="30"/>
      <c r="AC18" s="30"/>
    </row>
    <row r="19" spans="1:29">
      <c r="A19" s="14" t="str">
        <f t="shared" si="0"/>
        <v>01</v>
      </c>
    </row>
    <row r="20" spans="1:29">
      <c r="A20" s="14" t="str">
        <f t="shared" si="0"/>
        <v>01</v>
      </c>
    </row>
    <row r="21" spans="1:29">
      <c r="A21" s="14" t="str">
        <f t="shared" si="0"/>
        <v>01</v>
      </c>
    </row>
    <row r="22" spans="1:29">
      <c r="A22" s="14" t="str">
        <f t="shared" si="0"/>
        <v>01</v>
      </c>
    </row>
    <row r="23" spans="1:29">
      <c r="A23" s="14" t="str">
        <f t="shared" si="0"/>
        <v>01</v>
      </c>
    </row>
    <row r="24" spans="1:29">
      <c r="A24" s="14" t="str">
        <f t="shared" si="0"/>
        <v>01</v>
      </c>
    </row>
    <row r="25" spans="1:29">
      <c r="A25" s="14" t="str">
        <f t="shared" si="0"/>
        <v>01</v>
      </c>
    </row>
    <row r="26" spans="1:29">
      <c r="A26" s="14" t="str">
        <f t="shared" si="0"/>
        <v>01</v>
      </c>
    </row>
    <row r="27" spans="1:29">
      <c r="A27" s="14" t="str">
        <f t="shared" si="0"/>
        <v>01</v>
      </c>
    </row>
    <row r="28" spans="1:29">
      <c r="A28" s="14" t="str">
        <f t="shared" si="0"/>
        <v>01</v>
      </c>
    </row>
    <row r="29" spans="1:29">
      <c r="A29" s="14" t="str">
        <f t="shared" si="0"/>
        <v>01</v>
      </c>
    </row>
    <row r="30" spans="1:29">
      <c r="A30" s="14" t="str">
        <f t="shared" si="0"/>
        <v>01</v>
      </c>
    </row>
    <row r="31" spans="1:29">
      <c r="A31" s="14" t="str">
        <f t="shared" si="0"/>
        <v>01</v>
      </c>
    </row>
    <row r="32" spans="1:29">
      <c r="A32" s="14" t="str">
        <f t="shared" si="0"/>
        <v>01</v>
      </c>
    </row>
    <row r="33" spans="1:1">
      <c r="A33" s="14" t="str">
        <f t="shared" si="0"/>
        <v>01</v>
      </c>
    </row>
    <row r="34" spans="1:1">
      <c r="A34" s="14" t="str">
        <f t="shared" si="0"/>
        <v>01</v>
      </c>
    </row>
    <row r="35" spans="1:1">
      <c r="A35" s="14" t="str">
        <f t="shared" si="0"/>
        <v>01</v>
      </c>
    </row>
    <row r="36" spans="1:1">
      <c r="A36" s="14" t="str">
        <f t="shared" si="0"/>
        <v>01</v>
      </c>
    </row>
    <row r="37" spans="1:1">
      <c r="A37" s="14" t="str">
        <f t="shared" si="0"/>
        <v>01</v>
      </c>
    </row>
    <row r="38" spans="1:1">
      <c r="A38" s="14" t="str">
        <f t="shared" si="0"/>
        <v>01</v>
      </c>
    </row>
    <row r="39" spans="1:1">
      <c r="A39" s="14" t="str">
        <f t="shared" si="0"/>
        <v>01</v>
      </c>
    </row>
    <row r="40" spans="1:1">
      <c r="A40" s="14" t="str">
        <f t="shared" si="0"/>
        <v>01</v>
      </c>
    </row>
    <row r="41" spans="1:1">
      <c r="A41" s="14" t="str">
        <f t="shared" si="0"/>
        <v>01</v>
      </c>
    </row>
    <row r="42" spans="1:1">
      <c r="A42" s="14" t="str">
        <f t="shared" si="0"/>
        <v>01</v>
      </c>
    </row>
    <row r="43" spans="1:1">
      <c r="A43" s="14" t="str">
        <f t="shared" si="0"/>
        <v>01</v>
      </c>
    </row>
    <row r="44" spans="1:1">
      <c r="A44" s="14" t="str">
        <f t="shared" si="0"/>
        <v>01</v>
      </c>
    </row>
    <row r="45" spans="1:1">
      <c r="A45" s="14" t="str">
        <f t="shared" si="0"/>
        <v>01</v>
      </c>
    </row>
    <row r="46" spans="1:1">
      <c r="A46" s="14" t="str">
        <f t="shared" si="0"/>
        <v>01</v>
      </c>
    </row>
    <row r="47" spans="1:1">
      <c r="A47" s="14" t="str">
        <f t="shared" si="0"/>
        <v>01</v>
      </c>
    </row>
    <row r="48" spans="1:1">
      <c r="A48" s="14" t="str">
        <f t="shared" si="0"/>
        <v>01</v>
      </c>
    </row>
    <row r="49" spans="1:1">
      <c r="A49" s="14" t="str">
        <f t="shared" si="0"/>
        <v>01</v>
      </c>
    </row>
    <row r="50" spans="1:1">
      <c r="A50" s="14" t="str">
        <f t="shared" si="0"/>
        <v>01</v>
      </c>
    </row>
    <row r="51" spans="1:1">
      <c r="A51" s="14" t="str">
        <f t="shared" si="0"/>
        <v>01</v>
      </c>
    </row>
    <row r="52" spans="1:1">
      <c r="A52" s="14" t="str">
        <f t="shared" si="0"/>
        <v>01</v>
      </c>
    </row>
    <row r="53" spans="1:1">
      <c r="A53" s="14" t="str">
        <f t="shared" si="0"/>
        <v>01</v>
      </c>
    </row>
    <row r="54" spans="1:1">
      <c r="A54" s="14" t="str">
        <f t="shared" si="0"/>
        <v>01</v>
      </c>
    </row>
    <row r="55" spans="1:1">
      <c r="A55" s="14" t="str">
        <f t="shared" si="0"/>
        <v>01</v>
      </c>
    </row>
    <row r="56" spans="1:1">
      <c r="A56" s="14" t="str">
        <f t="shared" si="0"/>
        <v>01</v>
      </c>
    </row>
    <row r="57" spans="1:1">
      <c r="A57" s="14" t="str">
        <f t="shared" si="0"/>
        <v>01</v>
      </c>
    </row>
    <row r="58" spans="1:1">
      <c r="A58" s="14" t="str">
        <f t="shared" si="0"/>
        <v>01</v>
      </c>
    </row>
    <row r="59" spans="1:1">
      <c r="A59" s="14" t="str">
        <f t="shared" si="0"/>
        <v>01</v>
      </c>
    </row>
    <row r="60" spans="1:1">
      <c r="A60" s="14" t="str">
        <f t="shared" si="0"/>
        <v>01</v>
      </c>
    </row>
    <row r="61" spans="1:1">
      <c r="A61" s="14" t="str">
        <f t="shared" si="0"/>
        <v>01</v>
      </c>
    </row>
    <row r="62" spans="1:1">
      <c r="A62" s="14" t="str">
        <f t="shared" si="0"/>
        <v>01</v>
      </c>
    </row>
    <row r="63" spans="1:1">
      <c r="A63" s="14" t="str">
        <f t="shared" si="0"/>
        <v>01</v>
      </c>
    </row>
    <row r="64" spans="1:1">
      <c r="A64" s="14" t="str">
        <f t="shared" si="0"/>
        <v>01</v>
      </c>
    </row>
    <row r="65" spans="1:1">
      <c r="A65" s="14" t="str">
        <f t="shared" si="0"/>
        <v>01</v>
      </c>
    </row>
    <row r="66" spans="1:1">
      <c r="A66" s="14" t="str">
        <f t="shared" si="0"/>
        <v>01</v>
      </c>
    </row>
    <row r="67" spans="1:1">
      <c r="A67" s="14" t="str">
        <f t="shared" ref="A67:A130" si="1">TEXT(L67,"MM")</f>
        <v>01</v>
      </c>
    </row>
    <row r="68" spans="1:1">
      <c r="A68" s="14" t="str">
        <f t="shared" si="1"/>
        <v>01</v>
      </c>
    </row>
    <row r="69" spans="1:1">
      <c r="A69" s="14" t="str">
        <f t="shared" si="1"/>
        <v>01</v>
      </c>
    </row>
    <row r="70" spans="1:1">
      <c r="A70" s="14" t="str">
        <f t="shared" si="1"/>
        <v>01</v>
      </c>
    </row>
    <row r="71" spans="1:1">
      <c r="A71" s="14" t="str">
        <f t="shared" si="1"/>
        <v>01</v>
      </c>
    </row>
    <row r="72" spans="1:1">
      <c r="A72" s="14" t="str">
        <f t="shared" si="1"/>
        <v>01</v>
      </c>
    </row>
    <row r="73" spans="1:1">
      <c r="A73" s="14" t="str">
        <f t="shared" si="1"/>
        <v>01</v>
      </c>
    </row>
    <row r="74" spans="1:1">
      <c r="A74" s="14" t="str">
        <f t="shared" si="1"/>
        <v>01</v>
      </c>
    </row>
    <row r="75" spans="1:1">
      <c r="A75" s="14" t="str">
        <f t="shared" si="1"/>
        <v>01</v>
      </c>
    </row>
    <row r="76" spans="1:1">
      <c r="A76" s="14" t="str">
        <f t="shared" si="1"/>
        <v>01</v>
      </c>
    </row>
    <row r="77" spans="1:1">
      <c r="A77" s="14" t="str">
        <f t="shared" si="1"/>
        <v>01</v>
      </c>
    </row>
    <row r="78" spans="1:1">
      <c r="A78" s="14" t="str">
        <f t="shared" si="1"/>
        <v>01</v>
      </c>
    </row>
    <row r="79" spans="1:1">
      <c r="A79" s="14" t="str">
        <f t="shared" si="1"/>
        <v>01</v>
      </c>
    </row>
    <row r="80" spans="1:1">
      <c r="A80" s="14" t="str">
        <f t="shared" si="1"/>
        <v>01</v>
      </c>
    </row>
    <row r="81" spans="1:1">
      <c r="A81" s="14" t="str">
        <f t="shared" si="1"/>
        <v>01</v>
      </c>
    </row>
    <row r="82" spans="1:1">
      <c r="A82" s="14" t="str">
        <f t="shared" si="1"/>
        <v>01</v>
      </c>
    </row>
    <row r="83" spans="1:1">
      <c r="A83" s="14" t="str">
        <f t="shared" si="1"/>
        <v>01</v>
      </c>
    </row>
    <row r="84" spans="1:1">
      <c r="A84" s="14" t="str">
        <f t="shared" si="1"/>
        <v>01</v>
      </c>
    </row>
    <row r="85" spans="1:1">
      <c r="A85" s="14" t="str">
        <f t="shared" si="1"/>
        <v>01</v>
      </c>
    </row>
    <row r="86" spans="1:1">
      <c r="A86" s="14" t="str">
        <f t="shared" si="1"/>
        <v>01</v>
      </c>
    </row>
    <row r="87" spans="1:1">
      <c r="A87" s="14" t="str">
        <f t="shared" si="1"/>
        <v>01</v>
      </c>
    </row>
    <row r="88" spans="1:1">
      <c r="A88" s="14" t="str">
        <f t="shared" si="1"/>
        <v>01</v>
      </c>
    </row>
    <row r="89" spans="1:1">
      <c r="A89" s="14" t="str">
        <f t="shared" si="1"/>
        <v>01</v>
      </c>
    </row>
    <row r="90" spans="1:1">
      <c r="A90" s="14" t="str">
        <f t="shared" si="1"/>
        <v>01</v>
      </c>
    </row>
    <row r="91" spans="1:1">
      <c r="A91" s="14" t="str">
        <f t="shared" si="1"/>
        <v>01</v>
      </c>
    </row>
    <row r="92" spans="1:1">
      <c r="A92" s="14" t="str">
        <f t="shared" si="1"/>
        <v>01</v>
      </c>
    </row>
    <row r="93" spans="1:1">
      <c r="A93" s="14" t="str">
        <f t="shared" si="1"/>
        <v>01</v>
      </c>
    </row>
    <row r="94" spans="1:1">
      <c r="A94" s="14" t="str">
        <f t="shared" si="1"/>
        <v>01</v>
      </c>
    </row>
    <row r="95" spans="1:1">
      <c r="A95" s="14" t="str">
        <f t="shared" si="1"/>
        <v>01</v>
      </c>
    </row>
    <row r="96" spans="1:1">
      <c r="A96" s="14" t="str">
        <f t="shared" si="1"/>
        <v>01</v>
      </c>
    </row>
    <row r="97" spans="1:1">
      <c r="A97" s="14" t="str">
        <f t="shared" si="1"/>
        <v>01</v>
      </c>
    </row>
    <row r="98" spans="1:1">
      <c r="A98" s="14" t="str">
        <f t="shared" si="1"/>
        <v>01</v>
      </c>
    </row>
    <row r="99" spans="1:1">
      <c r="A99" s="14" t="str">
        <f t="shared" si="1"/>
        <v>01</v>
      </c>
    </row>
    <row r="100" spans="1:1">
      <c r="A100" s="14" t="str">
        <f t="shared" si="1"/>
        <v>01</v>
      </c>
    </row>
    <row r="101" spans="1:1">
      <c r="A101" s="14" t="str">
        <f t="shared" si="1"/>
        <v>01</v>
      </c>
    </row>
    <row r="102" spans="1:1">
      <c r="A102" s="14" t="str">
        <f t="shared" si="1"/>
        <v>01</v>
      </c>
    </row>
    <row r="103" spans="1:1">
      <c r="A103" s="14" t="str">
        <f t="shared" si="1"/>
        <v>01</v>
      </c>
    </row>
    <row r="104" spans="1:1">
      <c r="A104" s="14" t="str">
        <f t="shared" si="1"/>
        <v>01</v>
      </c>
    </row>
    <row r="105" spans="1:1">
      <c r="A105" s="14" t="str">
        <f t="shared" si="1"/>
        <v>01</v>
      </c>
    </row>
    <row r="106" spans="1:1">
      <c r="A106" s="14" t="str">
        <f t="shared" si="1"/>
        <v>01</v>
      </c>
    </row>
    <row r="107" spans="1:1">
      <c r="A107" s="14" t="str">
        <f t="shared" si="1"/>
        <v>01</v>
      </c>
    </row>
    <row r="108" spans="1:1">
      <c r="A108" s="14" t="str">
        <f t="shared" si="1"/>
        <v>01</v>
      </c>
    </row>
    <row r="109" spans="1:1">
      <c r="A109" s="14" t="str">
        <f t="shared" si="1"/>
        <v>01</v>
      </c>
    </row>
    <row r="110" spans="1:1">
      <c r="A110" s="14" t="str">
        <f t="shared" si="1"/>
        <v>01</v>
      </c>
    </row>
    <row r="111" spans="1:1">
      <c r="A111" s="14" t="str">
        <f t="shared" si="1"/>
        <v>01</v>
      </c>
    </row>
    <row r="112" spans="1:1">
      <c r="A112" s="14" t="str">
        <f t="shared" si="1"/>
        <v>01</v>
      </c>
    </row>
    <row r="113" spans="1:1">
      <c r="A113" s="14" t="str">
        <f t="shared" si="1"/>
        <v>01</v>
      </c>
    </row>
    <row r="114" spans="1:1">
      <c r="A114" s="14" t="str">
        <f t="shared" si="1"/>
        <v>01</v>
      </c>
    </row>
    <row r="115" spans="1:1">
      <c r="A115" s="14" t="str">
        <f t="shared" si="1"/>
        <v>01</v>
      </c>
    </row>
    <row r="116" spans="1:1">
      <c r="A116" s="14" t="str">
        <f t="shared" si="1"/>
        <v>01</v>
      </c>
    </row>
    <row r="117" spans="1:1">
      <c r="A117" s="14" t="str">
        <f t="shared" si="1"/>
        <v>01</v>
      </c>
    </row>
    <row r="118" spans="1:1">
      <c r="A118" s="14" t="str">
        <f t="shared" si="1"/>
        <v>01</v>
      </c>
    </row>
    <row r="119" spans="1:1">
      <c r="A119" s="14" t="str">
        <f t="shared" si="1"/>
        <v>01</v>
      </c>
    </row>
    <row r="120" spans="1:1">
      <c r="A120" s="14" t="str">
        <f t="shared" si="1"/>
        <v>01</v>
      </c>
    </row>
    <row r="121" spans="1:1">
      <c r="A121" s="14" t="str">
        <f t="shared" si="1"/>
        <v>01</v>
      </c>
    </row>
    <row r="122" spans="1:1">
      <c r="A122" s="14" t="str">
        <f t="shared" si="1"/>
        <v>01</v>
      </c>
    </row>
    <row r="123" spans="1:1">
      <c r="A123" s="14" t="str">
        <f t="shared" si="1"/>
        <v>01</v>
      </c>
    </row>
    <row r="124" spans="1:1">
      <c r="A124" s="14" t="str">
        <f t="shared" si="1"/>
        <v>01</v>
      </c>
    </row>
    <row r="125" spans="1:1">
      <c r="A125" s="14" t="str">
        <f t="shared" si="1"/>
        <v>01</v>
      </c>
    </row>
    <row r="126" spans="1:1">
      <c r="A126" s="14" t="str">
        <f t="shared" si="1"/>
        <v>01</v>
      </c>
    </row>
    <row r="127" spans="1:1">
      <c r="A127" s="14" t="str">
        <f t="shared" si="1"/>
        <v>01</v>
      </c>
    </row>
    <row r="128" spans="1:1">
      <c r="A128" s="14" t="str">
        <f t="shared" si="1"/>
        <v>01</v>
      </c>
    </row>
    <row r="129" spans="1:1">
      <c r="A129" s="14" t="str">
        <f t="shared" si="1"/>
        <v>01</v>
      </c>
    </row>
    <row r="130" spans="1:1">
      <c r="A130" s="14" t="str">
        <f t="shared" si="1"/>
        <v>01</v>
      </c>
    </row>
    <row r="131" spans="1:1">
      <c r="A131" s="14" t="str">
        <f t="shared" ref="A131:A194" si="2">TEXT(L131,"MM")</f>
        <v>01</v>
      </c>
    </row>
    <row r="132" spans="1:1">
      <c r="A132" s="14" t="str">
        <f t="shared" si="2"/>
        <v>01</v>
      </c>
    </row>
    <row r="133" spans="1:1">
      <c r="A133" s="14" t="str">
        <f t="shared" si="2"/>
        <v>01</v>
      </c>
    </row>
    <row r="134" spans="1:1">
      <c r="A134" s="14" t="str">
        <f t="shared" si="2"/>
        <v>01</v>
      </c>
    </row>
    <row r="135" spans="1:1">
      <c r="A135" s="14" t="str">
        <f t="shared" si="2"/>
        <v>01</v>
      </c>
    </row>
    <row r="136" spans="1:1">
      <c r="A136" s="14" t="str">
        <f t="shared" si="2"/>
        <v>01</v>
      </c>
    </row>
    <row r="137" spans="1:1">
      <c r="A137" s="14" t="str">
        <f t="shared" si="2"/>
        <v>01</v>
      </c>
    </row>
    <row r="138" spans="1:1">
      <c r="A138" s="14" t="str">
        <f t="shared" si="2"/>
        <v>01</v>
      </c>
    </row>
    <row r="139" spans="1:1">
      <c r="A139" s="14" t="str">
        <f t="shared" si="2"/>
        <v>01</v>
      </c>
    </row>
    <row r="140" spans="1:1">
      <c r="A140" s="14" t="str">
        <f t="shared" si="2"/>
        <v>01</v>
      </c>
    </row>
    <row r="141" spans="1:1">
      <c r="A141" s="14" t="str">
        <f t="shared" si="2"/>
        <v>01</v>
      </c>
    </row>
    <row r="142" spans="1:1">
      <c r="A142" s="14" t="str">
        <f t="shared" si="2"/>
        <v>01</v>
      </c>
    </row>
    <row r="143" spans="1:1">
      <c r="A143" s="14" t="str">
        <f t="shared" si="2"/>
        <v>01</v>
      </c>
    </row>
    <row r="144" spans="1:1">
      <c r="A144" s="14" t="str">
        <f t="shared" si="2"/>
        <v>01</v>
      </c>
    </row>
    <row r="145" spans="1:1">
      <c r="A145" s="14" t="str">
        <f t="shared" si="2"/>
        <v>01</v>
      </c>
    </row>
    <row r="146" spans="1:1">
      <c r="A146" s="14" t="str">
        <f t="shared" si="2"/>
        <v>01</v>
      </c>
    </row>
    <row r="147" spans="1:1">
      <c r="A147" s="14" t="str">
        <f t="shared" si="2"/>
        <v>01</v>
      </c>
    </row>
    <row r="148" spans="1:1">
      <c r="A148" s="14" t="str">
        <f t="shared" si="2"/>
        <v>01</v>
      </c>
    </row>
    <row r="149" spans="1:1">
      <c r="A149" s="14" t="str">
        <f t="shared" si="2"/>
        <v>01</v>
      </c>
    </row>
    <row r="150" spans="1:1">
      <c r="A150" s="14" t="str">
        <f t="shared" si="2"/>
        <v>01</v>
      </c>
    </row>
    <row r="151" spans="1:1">
      <c r="A151" s="14" t="str">
        <f t="shared" si="2"/>
        <v>01</v>
      </c>
    </row>
    <row r="152" spans="1:1">
      <c r="A152" s="14" t="str">
        <f t="shared" si="2"/>
        <v>01</v>
      </c>
    </row>
    <row r="153" spans="1:1">
      <c r="A153" s="14" t="str">
        <f t="shared" si="2"/>
        <v>01</v>
      </c>
    </row>
    <row r="154" spans="1:1">
      <c r="A154" s="14" t="str">
        <f t="shared" si="2"/>
        <v>01</v>
      </c>
    </row>
    <row r="155" spans="1:1">
      <c r="A155" s="14" t="str">
        <f t="shared" si="2"/>
        <v>01</v>
      </c>
    </row>
    <row r="156" spans="1:1">
      <c r="A156" s="14" t="str">
        <f t="shared" si="2"/>
        <v>01</v>
      </c>
    </row>
    <row r="157" spans="1:1">
      <c r="A157" s="14" t="str">
        <f t="shared" si="2"/>
        <v>01</v>
      </c>
    </row>
    <row r="158" spans="1:1">
      <c r="A158" s="14" t="str">
        <f t="shared" si="2"/>
        <v>01</v>
      </c>
    </row>
    <row r="159" spans="1:1">
      <c r="A159" s="14" t="str">
        <f t="shared" si="2"/>
        <v>01</v>
      </c>
    </row>
    <row r="160" spans="1:1">
      <c r="A160" s="14" t="str">
        <f t="shared" si="2"/>
        <v>01</v>
      </c>
    </row>
    <row r="161" spans="1:1">
      <c r="A161" s="14" t="str">
        <f t="shared" si="2"/>
        <v>01</v>
      </c>
    </row>
    <row r="162" spans="1:1">
      <c r="A162" s="14" t="str">
        <f t="shared" si="2"/>
        <v>01</v>
      </c>
    </row>
    <row r="163" spans="1:1">
      <c r="A163" s="14" t="str">
        <f t="shared" si="2"/>
        <v>01</v>
      </c>
    </row>
    <row r="164" spans="1:1">
      <c r="A164" s="14" t="str">
        <f t="shared" si="2"/>
        <v>01</v>
      </c>
    </row>
    <row r="165" spans="1:1">
      <c r="A165" s="14" t="str">
        <f t="shared" si="2"/>
        <v>01</v>
      </c>
    </row>
    <row r="166" spans="1:1">
      <c r="A166" s="14" t="str">
        <f t="shared" si="2"/>
        <v>01</v>
      </c>
    </row>
    <row r="167" spans="1:1">
      <c r="A167" s="14" t="str">
        <f t="shared" si="2"/>
        <v>01</v>
      </c>
    </row>
    <row r="168" spans="1:1">
      <c r="A168" s="14" t="str">
        <f t="shared" si="2"/>
        <v>01</v>
      </c>
    </row>
    <row r="169" spans="1:1">
      <c r="A169" s="14" t="str">
        <f t="shared" si="2"/>
        <v>01</v>
      </c>
    </row>
    <row r="170" spans="1:1">
      <c r="A170" s="14" t="str">
        <f t="shared" si="2"/>
        <v>01</v>
      </c>
    </row>
    <row r="171" spans="1:1">
      <c r="A171" s="14" t="str">
        <f t="shared" si="2"/>
        <v>01</v>
      </c>
    </row>
    <row r="172" spans="1:1">
      <c r="A172" s="14" t="str">
        <f t="shared" si="2"/>
        <v>01</v>
      </c>
    </row>
    <row r="173" spans="1:1">
      <c r="A173" s="14" t="str">
        <f t="shared" si="2"/>
        <v>01</v>
      </c>
    </row>
    <row r="174" spans="1:1">
      <c r="A174" s="14" t="str">
        <f t="shared" si="2"/>
        <v>01</v>
      </c>
    </row>
    <row r="175" spans="1:1">
      <c r="A175" s="14" t="str">
        <f t="shared" si="2"/>
        <v>01</v>
      </c>
    </row>
    <row r="176" spans="1:1">
      <c r="A176" s="14" t="str">
        <f t="shared" si="2"/>
        <v>01</v>
      </c>
    </row>
    <row r="177" spans="1:1">
      <c r="A177" s="14" t="str">
        <f t="shared" si="2"/>
        <v>01</v>
      </c>
    </row>
    <row r="178" spans="1:1">
      <c r="A178" s="14" t="str">
        <f t="shared" si="2"/>
        <v>01</v>
      </c>
    </row>
    <row r="179" spans="1:1">
      <c r="A179" s="14" t="str">
        <f t="shared" si="2"/>
        <v>01</v>
      </c>
    </row>
    <row r="180" spans="1:1">
      <c r="A180" s="14" t="str">
        <f t="shared" si="2"/>
        <v>01</v>
      </c>
    </row>
    <row r="181" spans="1:1">
      <c r="A181" s="14" t="str">
        <f t="shared" si="2"/>
        <v>01</v>
      </c>
    </row>
    <row r="182" spans="1:1">
      <c r="A182" s="14" t="str">
        <f t="shared" si="2"/>
        <v>01</v>
      </c>
    </row>
    <row r="183" spans="1:1">
      <c r="A183" s="14" t="str">
        <f t="shared" si="2"/>
        <v>01</v>
      </c>
    </row>
    <row r="184" spans="1:1">
      <c r="A184" s="14" t="str">
        <f t="shared" si="2"/>
        <v>01</v>
      </c>
    </row>
    <row r="185" spans="1:1">
      <c r="A185" s="14" t="str">
        <f t="shared" si="2"/>
        <v>01</v>
      </c>
    </row>
    <row r="186" spans="1:1">
      <c r="A186" s="14" t="str">
        <f t="shared" si="2"/>
        <v>01</v>
      </c>
    </row>
    <row r="187" spans="1:1">
      <c r="A187" s="14" t="str">
        <f t="shared" si="2"/>
        <v>01</v>
      </c>
    </row>
    <row r="188" spans="1:1">
      <c r="A188" s="14" t="str">
        <f t="shared" si="2"/>
        <v>01</v>
      </c>
    </row>
    <row r="189" spans="1:1">
      <c r="A189" s="14" t="str">
        <f t="shared" si="2"/>
        <v>01</v>
      </c>
    </row>
    <row r="190" spans="1:1">
      <c r="A190" s="14" t="str">
        <f t="shared" si="2"/>
        <v>01</v>
      </c>
    </row>
    <row r="191" spans="1:1">
      <c r="A191" s="14" t="str">
        <f t="shared" si="2"/>
        <v>01</v>
      </c>
    </row>
    <row r="192" spans="1:1">
      <c r="A192" s="14" t="str">
        <f t="shared" si="2"/>
        <v>01</v>
      </c>
    </row>
    <row r="193" spans="1:1">
      <c r="A193" s="14" t="str">
        <f t="shared" si="2"/>
        <v>01</v>
      </c>
    </row>
    <row r="194" spans="1:1">
      <c r="A194" s="14" t="str">
        <f t="shared" si="2"/>
        <v>01</v>
      </c>
    </row>
    <row r="195" spans="1:1">
      <c r="A195" s="14" t="str">
        <f t="shared" ref="A195:A258" si="3">TEXT(L195,"MM")</f>
        <v>01</v>
      </c>
    </row>
    <row r="196" spans="1:1">
      <c r="A196" s="14" t="str">
        <f t="shared" si="3"/>
        <v>01</v>
      </c>
    </row>
    <row r="197" spans="1:1">
      <c r="A197" s="14" t="str">
        <f t="shared" si="3"/>
        <v>01</v>
      </c>
    </row>
    <row r="198" spans="1:1">
      <c r="A198" s="14" t="str">
        <f t="shared" si="3"/>
        <v>01</v>
      </c>
    </row>
    <row r="199" spans="1:1">
      <c r="A199" s="14" t="str">
        <f t="shared" si="3"/>
        <v>01</v>
      </c>
    </row>
    <row r="200" spans="1:1">
      <c r="A200" s="14" t="str">
        <f t="shared" si="3"/>
        <v>01</v>
      </c>
    </row>
    <row r="201" spans="1:1">
      <c r="A201" s="14" t="str">
        <f t="shared" si="3"/>
        <v>01</v>
      </c>
    </row>
    <row r="202" spans="1:1">
      <c r="A202" s="14" t="str">
        <f t="shared" si="3"/>
        <v>01</v>
      </c>
    </row>
    <row r="203" spans="1:1">
      <c r="A203" s="14" t="str">
        <f t="shared" si="3"/>
        <v>01</v>
      </c>
    </row>
    <row r="204" spans="1:1">
      <c r="A204" s="14" t="str">
        <f t="shared" si="3"/>
        <v>01</v>
      </c>
    </row>
    <row r="205" spans="1:1">
      <c r="A205" s="14" t="str">
        <f t="shared" si="3"/>
        <v>01</v>
      </c>
    </row>
    <row r="206" spans="1:1">
      <c r="A206" s="14" t="str">
        <f t="shared" si="3"/>
        <v>01</v>
      </c>
    </row>
    <row r="207" spans="1:1">
      <c r="A207" s="14" t="str">
        <f t="shared" si="3"/>
        <v>01</v>
      </c>
    </row>
    <row r="208" spans="1:1">
      <c r="A208" s="14" t="str">
        <f t="shared" si="3"/>
        <v>01</v>
      </c>
    </row>
    <row r="209" spans="1:1">
      <c r="A209" s="14" t="str">
        <f t="shared" si="3"/>
        <v>01</v>
      </c>
    </row>
    <row r="210" spans="1:1">
      <c r="A210" s="14" t="str">
        <f t="shared" si="3"/>
        <v>01</v>
      </c>
    </row>
    <row r="211" spans="1:1">
      <c r="A211" s="14" t="str">
        <f t="shared" si="3"/>
        <v>01</v>
      </c>
    </row>
    <row r="212" spans="1:1">
      <c r="A212" s="14" t="str">
        <f t="shared" si="3"/>
        <v>01</v>
      </c>
    </row>
    <row r="213" spans="1:1">
      <c r="A213" s="14" t="str">
        <f t="shared" si="3"/>
        <v>01</v>
      </c>
    </row>
    <row r="214" spans="1:1">
      <c r="A214" s="14" t="str">
        <f t="shared" si="3"/>
        <v>01</v>
      </c>
    </row>
    <row r="215" spans="1:1">
      <c r="A215" s="14" t="str">
        <f t="shared" si="3"/>
        <v>01</v>
      </c>
    </row>
    <row r="216" spans="1:1">
      <c r="A216" s="14" t="str">
        <f t="shared" si="3"/>
        <v>01</v>
      </c>
    </row>
    <row r="217" spans="1:1">
      <c r="A217" s="14" t="str">
        <f t="shared" si="3"/>
        <v>01</v>
      </c>
    </row>
    <row r="218" spans="1:1">
      <c r="A218" s="14" t="str">
        <f t="shared" si="3"/>
        <v>01</v>
      </c>
    </row>
    <row r="219" spans="1:1">
      <c r="A219" s="14" t="str">
        <f t="shared" si="3"/>
        <v>01</v>
      </c>
    </row>
    <row r="220" spans="1:1">
      <c r="A220" s="14" t="str">
        <f t="shared" si="3"/>
        <v>01</v>
      </c>
    </row>
    <row r="221" spans="1:1">
      <c r="A221" s="14" t="str">
        <f t="shared" si="3"/>
        <v>01</v>
      </c>
    </row>
    <row r="222" spans="1:1">
      <c r="A222" s="14" t="str">
        <f t="shared" si="3"/>
        <v>01</v>
      </c>
    </row>
    <row r="223" spans="1:1">
      <c r="A223" s="14" t="str">
        <f t="shared" si="3"/>
        <v>01</v>
      </c>
    </row>
    <row r="224" spans="1:1">
      <c r="A224" s="14" t="str">
        <f t="shared" si="3"/>
        <v>01</v>
      </c>
    </row>
    <row r="225" spans="1:1">
      <c r="A225" s="14" t="str">
        <f t="shared" si="3"/>
        <v>01</v>
      </c>
    </row>
    <row r="226" spans="1:1">
      <c r="A226" s="14" t="str">
        <f t="shared" si="3"/>
        <v>01</v>
      </c>
    </row>
    <row r="227" spans="1:1">
      <c r="A227" s="14" t="str">
        <f t="shared" si="3"/>
        <v>01</v>
      </c>
    </row>
    <row r="228" spans="1:1">
      <c r="A228" s="14" t="str">
        <f t="shared" si="3"/>
        <v>01</v>
      </c>
    </row>
    <row r="229" spans="1:1">
      <c r="A229" s="14" t="str">
        <f t="shared" si="3"/>
        <v>01</v>
      </c>
    </row>
    <row r="230" spans="1:1">
      <c r="A230" s="14" t="str">
        <f t="shared" si="3"/>
        <v>01</v>
      </c>
    </row>
    <row r="231" spans="1:1">
      <c r="A231" s="14" t="str">
        <f t="shared" si="3"/>
        <v>01</v>
      </c>
    </row>
    <row r="232" spans="1:1">
      <c r="A232" s="14" t="str">
        <f t="shared" si="3"/>
        <v>01</v>
      </c>
    </row>
    <row r="233" spans="1:1">
      <c r="A233" s="14" t="str">
        <f t="shared" si="3"/>
        <v>01</v>
      </c>
    </row>
    <row r="234" spans="1:1">
      <c r="A234" s="14" t="str">
        <f t="shared" si="3"/>
        <v>01</v>
      </c>
    </row>
    <row r="235" spans="1:1">
      <c r="A235" s="14" t="str">
        <f t="shared" si="3"/>
        <v>01</v>
      </c>
    </row>
    <row r="236" spans="1:1">
      <c r="A236" s="14" t="str">
        <f t="shared" si="3"/>
        <v>01</v>
      </c>
    </row>
    <row r="237" spans="1:1">
      <c r="A237" s="14" t="str">
        <f t="shared" si="3"/>
        <v>01</v>
      </c>
    </row>
    <row r="238" spans="1:1">
      <c r="A238" s="14" t="str">
        <f t="shared" si="3"/>
        <v>01</v>
      </c>
    </row>
    <row r="239" spans="1:1">
      <c r="A239" s="14" t="str">
        <f t="shared" si="3"/>
        <v>01</v>
      </c>
    </row>
    <row r="240" spans="1:1">
      <c r="A240" s="14" t="str">
        <f t="shared" si="3"/>
        <v>01</v>
      </c>
    </row>
    <row r="241" spans="1:1">
      <c r="A241" s="14" t="str">
        <f t="shared" si="3"/>
        <v>01</v>
      </c>
    </row>
    <row r="242" spans="1:1">
      <c r="A242" s="14" t="str">
        <f t="shared" si="3"/>
        <v>01</v>
      </c>
    </row>
    <row r="243" spans="1:1">
      <c r="A243" s="14" t="str">
        <f t="shared" si="3"/>
        <v>01</v>
      </c>
    </row>
    <row r="244" spans="1:1">
      <c r="A244" s="14" t="str">
        <f t="shared" si="3"/>
        <v>01</v>
      </c>
    </row>
    <row r="245" spans="1:1">
      <c r="A245" s="14" t="str">
        <f t="shared" si="3"/>
        <v>01</v>
      </c>
    </row>
    <row r="246" spans="1:1">
      <c r="A246" s="14" t="str">
        <f t="shared" si="3"/>
        <v>01</v>
      </c>
    </row>
    <row r="247" spans="1:1">
      <c r="A247" s="14" t="str">
        <f t="shared" si="3"/>
        <v>01</v>
      </c>
    </row>
    <row r="248" spans="1:1">
      <c r="A248" s="14" t="str">
        <f t="shared" si="3"/>
        <v>01</v>
      </c>
    </row>
    <row r="249" spans="1:1">
      <c r="A249" s="14" t="str">
        <f t="shared" si="3"/>
        <v>01</v>
      </c>
    </row>
    <row r="250" spans="1:1">
      <c r="A250" s="14" t="str">
        <f t="shared" si="3"/>
        <v>01</v>
      </c>
    </row>
    <row r="251" spans="1:1">
      <c r="A251" s="14" t="str">
        <f t="shared" si="3"/>
        <v>01</v>
      </c>
    </row>
    <row r="252" spans="1:1">
      <c r="A252" s="14" t="str">
        <f t="shared" si="3"/>
        <v>01</v>
      </c>
    </row>
    <row r="253" spans="1:1">
      <c r="A253" s="14" t="str">
        <f t="shared" si="3"/>
        <v>01</v>
      </c>
    </row>
    <row r="254" spans="1:1">
      <c r="A254" s="14" t="str">
        <f t="shared" si="3"/>
        <v>01</v>
      </c>
    </row>
    <row r="255" spans="1:1">
      <c r="A255" s="14" t="str">
        <f t="shared" si="3"/>
        <v>01</v>
      </c>
    </row>
    <row r="256" spans="1:1">
      <c r="A256" s="14" t="str">
        <f t="shared" si="3"/>
        <v>01</v>
      </c>
    </row>
    <row r="257" spans="1:1">
      <c r="A257" s="14" t="str">
        <f t="shared" si="3"/>
        <v>01</v>
      </c>
    </row>
    <row r="258" spans="1:1">
      <c r="A258" s="14" t="str">
        <f t="shared" si="3"/>
        <v>01</v>
      </c>
    </row>
    <row r="259" spans="1:1">
      <c r="A259" s="14" t="str">
        <f t="shared" ref="A259:A322" si="4">TEXT(L259,"MM")</f>
        <v>01</v>
      </c>
    </row>
    <row r="260" spans="1:1">
      <c r="A260" s="14" t="str">
        <f t="shared" si="4"/>
        <v>01</v>
      </c>
    </row>
    <row r="261" spans="1:1">
      <c r="A261" s="14" t="str">
        <f t="shared" si="4"/>
        <v>01</v>
      </c>
    </row>
    <row r="262" spans="1:1">
      <c r="A262" s="14" t="str">
        <f t="shared" si="4"/>
        <v>01</v>
      </c>
    </row>
    <row r="263" spans="1:1">
      <c r="A263" s="14" t="str">
        <f t="shared" si="4"/>
        <v>01</v>
      </c>
    </row>
    <row r="264" spans="1:1">
      <c r="A264" s="14" t="str">
        <f t="shared" si="4"/>
        <v>01</v>
      </c>
    </row>
    <row r="265" spans="1:1">
      <c r="A265" s="14" t="str">
        <f t="shared" si="4"/>
        <v>01</v>
      </c>
    </row>
    <row r="266" spans="1:1">
      <c r="A266" s="14" t="str">
        <f t="shared" si="4"/>
        <v>01</v>
      </c>
    </row>
    <row r="267" spans="1:1">
      <c r="A267" s="14" t="str">
        <f t="shared" si="4"/>
        <v>01</v>
      </c>
    </row>
    <row r="268" spans="1:1">
      <c r="A268" s="14" t="str">
        <f t="shared" si="4"/>
        <v>01</v>
      </c>
    </row>
    <row r="269" spans="1:1">
      <c r="A269" s="14" t="str">
        <f t="shared" si="4"/>
        <v>01</v>
      </c>
    </row>
    <row r="270" spans="1:1">
      <c r="A270" s="14" t="str">
        <f t="shared" si="4"/>
        <v>01</v>
      </c>
    </row>
    <row r="271" spans="1:1">
      <c r="A271" s="14" t="str">
        <f t="shared" si="4"/>
        <v>01</v>
      </c>
    </row>
    <row r="272" spans="1:1">
      <c r="A272" s="14" t="str">
        <f t="shared" si="4"/>
        <v>01</v>
      </c>
    </row>
    <row r="273" spans="1:1">
      <c r="A273" s="14" t="str">
        <f t="shared" si="4"/>
        <v>01</v>
      </c>
    </row>
    <row r="274" spans="1:1">
      <c r="A274" s="14" t="str">
        <f t="shared" si="4"/>
        <v>01</v>
      </c>
    </row>
    <row r="275" spans="1:1">
      <c r="A275" s="14" t="str">
        <f t="shared" si="4"/>
        <v>01</v>
      </c>
    </row>
    <row r="276" spans="1:1">
      <c r="A276" s="14" t="str">
        <f t="shared" si="4"/>
        <v>01</v>
      </c>
    </row>
    <row r="277" spans="1:1">
      <c r="A277" s="14" t="str">
        <f t="shared" si="4"/>
        <v>01</v>
      </c>
    </row>
    <row r="278" spans="1:1">
      <c r="A278" s="14" t="str">
        <f t="shared" si="4"/>
        <v>01</v>
      </c>
    </row>
    <row r="279" spans="1:1">
      <c r="A279" s="14" t="str">
        <f t="shared" si="4"/>
        <v>01</v>
      </c>
    </row>
    <row r="280" spans="1:1">
      <c r="A280" s="14" t="str">
        <f t="shared" si="4"/>
        <v>01</v>
      </c>
    </row>
    <row r="281" spans="1:1">
      <c r="A281" s="14" t="str">
        <f t="shared" si="4"/>
        <v>01</v>
      </c>
    </row>
    <row r="282" spans="1:1">
      <c r="A282" s="14" t="str">
        <f t="shared" si="4"/>
        <v>01</v>
      </c>
    </row>
    <row r="283" spans="1:1">
      <c r="A283" s="14" t="str">
        <f t="shared" si="4"/>
        <v>01</v>
      </c>
    </row>
    <row r="284" spans="1:1">
      <c r="A284" s="14" t="str">
        <f t="shared" si="4"/>
        <v>01</v>
      </c>
    </row>
    <row r="285" spans="1:1">
      <c r="A285" s="14" t="str">
        <f t="shared" si="4"/>
        <v>01</v>
      </c>
    </row>
    <row r="286" spans="1:1">
      <c r="A286" s="14" t="str">
        <f t="shared" si="4"/>
        <v>01</v>
      </c>
    </row>
    <row r="287" spans="1:1">
      <c r="A287" s="14" t="str">
        <f t="shared" si="4"/>
        <v>01</v>
      </c>
    </row>
    <row r="288" spans="1:1">
      <c r="A288" s="14" t="str">
        <f t="shared" si="4"/>
        <v>01</v>
      </c>
    </row>
    <row r="289" spans="1:1">
      <c r="A289" s="14" t="str">
        <f t="shared" si="4"/>
        <v>01</v>
      </c>
    </row>
    <row r="290" spans="1:1">
      <c r="A290" s="14" t="str">
        <f t="shared" si="4"/>
        <v>01</v>
      </c>
    </row>
    <row r="291" spans="1:1">
      <c r="A291" s="14" t="str">
        <f t="shared" si="4"/>
        <v>01</v>
      </c>
    </row>
    <row r="292" spans="1:1">
      <c r="A292" s="14" t="str">
        <f t="shared" si="4"/>
        <v>01</v>
      </c>
    </row>
    <row r="293" spans="1:1">
      <c r="A293" s="14" t="str">
        <f t="shared" si="4"/>
        <v>01</v>
      </c>
    </row>
    <row r="294" spans="1:1">
      <c r="A294" s="14" t="str">
        <f t="shared" si="4"/>
        <v>01</v>
      </c>
    </row>
    <row r="295" spans="1:1">
      <c r="A295" s="14" t="str">
        <f t="shared" si="4"/>
        <v>01</v>
      </c>
    </row>
    <row r="296" spans="1:1">
      <c r="A296" s="14" t="str">
        <f t="shared" si="4"/>
        <v>01</v>
      </c>
    </row>
    <row r="297" spans="1:1">
      <c r="A297" s="14" t="str">
        <f t="shared" si="4"/>
        <v>01</v>
      </c>
    </row>
    <row r="298" spans="1:1">
      <c r="A298" s="14" t="str">
        <f t="shared" si="4"/>
        <v>01</v>
      </c>
    </row>
    <row r="299" spans="1:1">
      <c r="A299" s="14" t="str">
        <f t="shared" si="4"/>
        <v>01</v>
      </c>
    </row>
    <row r="300" spans="1:1">
      <c r="A300" s="14" t="str">
        <f t="shared" si="4"/>
        <v>01</v>
      </c>
    </row>
    <row r="301" spans="1:1">
      <c r="A301" s="14" t="str">
        <f t="shared" si="4"/>
        <v>01</v>
      </c>
    </row>
    <row r="302" spans="1:1">
      <c r="A302" s="14" t="str">
        <f t="shared" si="4"/>
        <v>01</v>
      </c>
    </row>
    <row r="303" spans="1:1">
      <c r="A303" s="14" t="str">
        <f t="shared" si="4"/>
        <v>01</v>
      </c>
    </row>
    <row r="304" spans="1:1">
      <c r="A304" s="14" t="str">
        <f t="shared" si="4"/>
        <v>01</v>
      </c>
    </row>
    <row r="305" spans="1:1">
      <c r="A305" s="14" t="str">
        <f t="shared" si="4"/>
        <v>01</v>
      </c>
    </row>
    <row r="306" spans="1:1">
      <c r="A306" s="14" t="str">
        <f t="shared" si="4"/>
        <v>01</v>
      </c>
    </row>
    <row r="307" spans="1:1">
      <c r="A307" s="14" t="str">
        <f t="shared" si="4"/>
        <v>01</v>
      </c>
    </row>
    <row r="308" spans="1:1">
      <c r="A308" s="14" t="str">
        <f t="shared" si="4"/>
        <v>01</v>
      </c>
    </row>
    <row r="309" spans="1:1">
      <c r="A309" s="14" t="str">
        <f t="shared" si="4"/>
        <v>01</v>
      </c>
    </row>
    <row r="310" spans="1:1">
      <c r="A310" s="14" t="str">
        <f t="shared" si="4"/>
        <v>01</v>
      </c>
    </row>
    <row r="311" spans="1:1">
      <c r="A311" s="14" t="str">
        <f t="shared" si="4"/>
        <v>01</v>
      </c>
    </row>
    <row r="312" spans="1:1">
      <c r="A312" s="14" t="str">
        <f t="shared" si="4"/>
        <v>01</v>
      </c>
    </row>
    <row r="313" spans="1:1">
      <c r="A313" s="14" t="str">
        <f t="shared" si="4"/>
        <v>01</v>
      </c>
    </row>
    <row r="314" spans="1:1">
      <c r="A314" s="14" t="str">
        <f t="shared" si="4"/>
        <v>01</v>
      </c>
    </row>
    <row r="315" spans="1:1">
      <c r="A315" s="14" t="str">
        <f t="shared" si="4"/>
        <v>01</v>
      </c>
    </row>
    <row r="316" spans="1:1">
      <c r="A316" s="14" t="str">
        <f t="shared" si="4"/>
        <v>01</v>
      </c>
    </row>
    <row r="317" spans="1:1">
      <c r="A317" s="14" t="str">
        <f t="shared" si="4"/>
        <v>01</v>
      </c>
    </row>
    <row r="318" spans="1:1">
      <c r="A318" s="14" t="str">
        <f t="shared" si="4"/>
        <v>01</v>
      </c>
    </row>
    <row r="319" spans="1:1">
      <c r="A319" s="14" t="str">
        <f t="shared" si="4"/>
        <v>01</v>
      </c>
    </row>
    <row r="320" spans="1:1">
      <c r="A320" s="14" t="str">
        <f t="shared" si="4"/>
        <v>01</v>
      </c>
    </row>
    <row r="321" spans="1:1">
      <c r="A321" s="14" t="str">
        <f t="shared" si="4"/>
        <v>01</v>
      </c>
    </row>
    <row r="322" spans="1:1">
      <c r="A322" s="14" t="str">
        <f t="shared" si="4"/>
        <v>01</v>
      </c>
    </row>
    <row r="323" spans="1:1">
      <c r="A323" s="14" t="str">
        <f t="shared" ref="A323:A386" si="5">TEXT(L323,"MM")</f>
        <v>01</v>
      </c>
    </row>
    <row r="324" spans="1:1">
      <c r="A324" s="14" t="str">
        <f t="shared" si="5"/>
        <v>01</v>
      </c>
    </row>
    <row r="325" spans="1:1">
      <c r="A325" s="14" t="str">
        <f t="shared" si="5"/>
        <v>01</v>
      </c>
    </row>
    <row r="326" spans="1:1">
      <c r="A326" s="14" t="str">
        <f t="shared" si="5"/>
        <v>01</v>
      </c>
    </row>
    <row r="327" spans="1:1">
      <c r="A327" s="14" t="str">
        <f t="shared" si="5"/>
        <v>01</v>
      </c>
    </row>
    <row r="328" spans="1:1">
      <c r="A328" s="14" t="str">
        <f t="shared" si="5"/>
        <v>01</v>
      </c>
    </row>
    <row r="329" spans="1:1">
      <c r="A329" s="14" t="str">
        <f t="shared" si="5"/>
        <v>01</v>
      </c>
    </row>
    <row r="330" spans="1:1">
      <c r="A330" s="14" t="str">
        <f t="shared" si="5"/>
        <v>01</v>
      </c>
    </row>
    <row r="331" spans="1:1">
      <c r="A331" s="14" t="str">
        <f t="shared" si="5"/>
        <v>01</v>
      </c>
    </row>
    <row r="332" spans="1:1">
      <c r="A332" s="14" t="str">
        <f t="shared" si="5"/>
        <v>01</v>
      </c>
    </row>
    <row r="333" spans="1:1">
      <c r="A333" s="14" t="str">
        <f t="shared" si="5"/>
        <v>01</v>
      </c>
    </row>
    <row r="334" spans="1:1">
      <c r="A334" s="14" t="str">
        <f t="shared" si="5"/>
        <v>01</v>
      </c>
    </row>
    <row r="335" spans="1:1">
      <c r="A335" s="14" t="str">
        <f t="shared" si="5"/>
        <v>01</v>
      </c>
    </row>
    <row r="336" spans="1:1">
      <c r="A336" s="14" t="str">
        <f t="shared" si="5"/>
        <v>01</v>
      </c>
    </row>
    <row r="337" spans="1:1">
      <c r="A337" s="14" t="str">
        <f t="shared" si="5"/>
        <v>01</v>
      </c>
    </row>
    <row r="338" spans="1:1">
      <c r="A338" s="14" t="str">
        <f t="shared" si="5"/>
        <v>01</v>
      </c>
    </row>
    <row r="339" spans="1:1">
      <c r="A339" s="14" t="str">
        <f t="shared" si="5"/>
        <v>01</v>
      </c>
    </row>
    <row r="340" spans="1:1">
      <c r="A340" s="14" t="str">
        <f t="shared" si="5"/>
        <v>01</v>
      </c>
    </row>
    <row r="341" spans="1:1">
      <c r="A341" s="14" t="str">
        <f t="shared" si="5"/>
        <v>01</v>
      </c>
    </row>
    <row r="342" spans="1:1">
      <c r="A342" s="14" t="str">
        <f t="shared" si="5"/>
        <v>01</v>
      </c>
    </row>
    <row r="343" spans="1:1">
      <c r="A343" s="14" t="str">
        <f t="shared" si="5"/>
        <v>01</v>
      </c>
    </row>
    <row r="344" spans="1:1">
      <c r="A344" s="14" t="str">
        <f t="shared" si="5"/>
        <v>01</v>
      </c>
    </row>
    <row r="345" spans="1:1">
      <c r="A345" s="14" t="str">
        <f t="shared" si="5"/>
        <v>01</v>
      </c>
    </row>
    <row r="346" spans="1:1">
      <c r="A346" s="14" t="str">
        <f t="shared" si="5"/>
        <v>01</v>
      </c>
    </row>
    <row r="347" spans="1:1">
      <c r="A347" s="14" t="str">
        <f t="shared" si="5"/>
        <v>01</v>
      </c>
    </row>
    <row r="348" spans="1:1">
      <c r="A348" s="14" t="str">
        <f t="shared" si="5"/>
        <v>01</v>
      </c>
    </row>
    <row r="349" spans="1:1">
      <c r="A349" s="14" t="str">
        <f t="shared" si="5"/>
        <v>01</v>
      </c>
    </row>
    <row r="350" spans="1:1">
      <c r="A350" s="14" t="str">
        <f t="shared" si="5"/>
        <v>01</v>
      </c>
    </row>
    <row r="351" spans="1:1">
      <c r="A351" s="14" t="str">
        <f t="shared" si="5"/>
        <v>01</v>
      </c>
    </row>
    <row r="352" spans="1:1">
      <c r="A352" s="14" t="str">
        <f t="shared" si="5"/>
        <v>01</v>
      </c>
    </row>
    <row r="353" spans="1:1">
      <c r="A353" s="14" t="str">
        <f t="shared" si="5"/>
        <v>01</v>
      </c>
    </row>
    <row r="354" spans="1:1">
      <c r="A354" s="14" t="str">
        <f t="shared" si="5"/>
        <v>01</v>
      </c>
    </row>
    <row r="355" spans="1:1">
      <c r="A355" s="14" t="str">
        <f t="shared" si="5"/>
        <v>01</v>
      </c>
    </row>
    <row r="356" spans="1:1">
      <c r="A356" s="14" t="str">
        <f t="shared" si="5"/>
        <v>01</v>
      </c>
    </row>
    <row r="357" spans="1:1">
      <c r="A357" s="14" t="str">
        <f t="shared" si="5"/>
        <v>01</v>
      </c>
    </row>
    <row r="358" spans="1:1">
      <c r="A358" s="14" t="str">
        <f t="shared" si="5"/>
        <v>01</v>
      </c>
    </row>
    <row r="359" spans="1:1">
      <c r="A359" s="14" t="str">
        <f t="shared" si="5"/>
        <v>01</v>
      </c>
    </row>
    <row r="360" spans="1:1">
      <c r="A360" s="14" t="str">
        <f t="shared" si="5"/>
        <v>01</v>
      </c>
    </row>
    <row r="361" spans="1:1">
      <c r="A361" s="14" t="str">
        <f t="shared" si="5"/>
        <v>01</v>
      </c>
    </row>
    <row r="362" spans="1:1">
      <c r="A362" s="14" t="str">
        <f t="shared" si="5"/>
        <v>01</v>
      </c>
    </row>
    <row r="363" spans="1:1">
      <c r="A363" s="14" t="str">
        <f t="shared" si="5"/>
        <v>01</v>
      </c>
    </row>
    <row r="364" spans="1:1">
      <c r="A364" s="14" t="str">
        <f t="shared" si="5"/>
        <v>01</v>
      </c>
    </row>
    <row r="365" spans="1:1">
      <c r="A365" s="14" t="str">
        <f t="shared" si="5"/>
        <v>01</v>
      </c>
    </row>
    <row r="366" spans="1:1">
      <c r="A366" s="14" t="str">
        <f t="shared" si="5"/>
        <v>01</v>
      </c>
    </row>
    <row r="367" spans="1:1">
      <c r="A367" s="14" t="str">
        <f t="shared" si="5"/>
        <v>01</v>
      </c>
    </row>
    <row r="368" spans="1:1">
      <c r="A368" s="14" t="str">
        <f t="shared" si="5"/>
        <v>01</v>
      </c>
    </row>
    <row r="369" spans="1:1">
      <c r="A369" s="14" t="str">
        <f t="shared" si="5"/>
        <v>01</v>
      </c>
    </row>
    <row r="370" spans="1:1">
      <c r="A370" s="14" t="str">
        <f t="shared" si="5"/>
        <v>01</v>
      </c>
    </row>
    <row r="371" spans="1:1">
      <c r="A371" s="14" t="str">
        <f t="shared" si="5"/>
        <v>01</v>
      </c>
    </row>
    <row r="372" spans="1:1">
      <c r="A372" s="14" t="str">
        <f t="shared" si="5"/>
        <v>01</v>
      </c>
    </row>
    <row r="373" spans="1:1">
      <c r="A373" s="14" t="str">
        <f t="shared" si="5"/>
        <v>01</v>
      </c>
    </row>
    <row r="374" spans="1:1">
      <c r="A374" s="14" t="str">
        <f t="shared" si="5"/>
        <v>01</v>
      </c>
    </row>
    <row r="375" spans="1:1">
      <c r="A375" s="14" t="str">
        <f t="shared" si="5"/>
        <v>01</v>
      </c>
    </row>
    <row r="376" spans="1:1">
      <c r="A376" s="14" t="str">
        <f t="shared" si="5"/>
        <v>01</v>
      </c>
    </row>
    <row r="377" spans="1:1">
      <c r="A377" s="14" t="str">
        <f t="shared" si="5"/>
        <v>01</v>
      </c>
    </row>
    <row r="378" spans="1:1">
      <c r="A378" s="14" t="str">
        <f t="shared" si="5"/>
        <v>01</v>
      </c>
    </row>
    <row r="379" spans="1:1">
      <c r="A379" s="14" t="str">
        <f t="shared" si="5"/>
        <v>01</v>
      </c>
    </row>
    <row r="380" spans="1:1">
      <c r="A380" s="14" t="str">
        <f t="shared" si="5"/>
        <v>01</v>
      </c>
    </row>
    <row r="381" spans="1:1">
      <c r="A381" s="14" t="str">
        <f t="shared" si="5"/>
        <v>01</v>
      </c>
    </row>
    <row r="382" spans="1:1">
      <c r="A382" s="14" t="str">
        <f t="shared" si="5"/>
        <v>01</v>
      </c>
    </row>
    <row r="383" spans="1:1">
      <c r="A383" s="14" t="str">
        <f t="shared" si="5"/>
        <v>01</v>
      </c>
    </row>
    <row r="384" spans="1:1">
      <c r="A384" s="14" t="str">
        <f t="shared" si="5"/>
        <v>01</v>
      </c>
    </row>
    <row r="385" spans="1:1">
      <c r="A385" s="14" t="str">
        <f t="shared" si="5"/>
        <v>01</v>
      </c>
    </row>
    <row r="386" spans="1:1">
      <c r="A386" s="14" t="str">
        <f t="shared" si="5"/>
        <v>01</v>
      </c>
    </row>
    <row r="387" spans="1:1">
      <c r="A387" s="14" t="str">
        <f t="shared" ref="A387:A450" si="6">TEXT(L387,"MM")</f>
        <v>01</v>
      </c>
    </row>
    <row r="388" spans="1:1">
      <c r="A388" s="14" t="str">
        <f t="shared" si="6"/>
        <v>01</v>
      </c>
    </row>
    <row r="389" spans="1:1">
      <c r="A389" s="14" t="str">
        <f t="shared" si="6"/>
        <v>01</v>
      </c>
    </row>
    <row r="390" spans="1:1">
      <c r="A390" s="14" t="str">
        <f t="shared" si="6"/>
        <v>01</v>
      </c>
    </row>
    <row r="391" spans="1:1">
      <c r="A391" s="14" t="str">
        <f t="shared" si="6"/>
        <v>01</v>
      </c>
    </row>
    <row r="392" spans="1:1">
      <c r="A392" s="14" t="str">
        <f t="shared" si="6"/>
        <v>01</v>
      </c>
    </row>
    <row r="393" spans="1:1">
      <c r="A393" s="14" t="str">
        <f t="shared" si="6"/>
        <v>01</v>
      </c>
    </row>
    <row r="394" spans="1:1">
      <c r="A394" s="14" t="str">
        <f t="shared" si="6"/>
        <v>01</v>
      </c>
    </row>
    <row r="395" spans="1:1">
      <c r="A395" s="14" t="str">
        <f t="shared" si="6"/>
        <v>01</v>
      </c>
    </row>
    <row r="396" spans="1:1">
      <c r="A396" s="14" t="str">
        <f t="shared" si="6"/>
        <v>01</v>
      </c>
    </row>
    <row r="397" spans="1:1">
      <c r="A397" s="14" t="str">
        <f t="shared" si="6"/>
        <v>01</v>
      </c>
    </row>
    <row r="398" spans="1:1">
      <c r="A398" s="14" t="str">
        <f t="shared" si="6"/>
        <v>01</v>
      </c>
    </row>
    <row r="399" spans="1:1">
      <c r="A399" s="14" t="str">
        <f t="shared" si="6"/>
        <v>01</v>
      </c>
    </row>
    <row r="400" spans="1:1">
      <c r="A400" s="14" t="str">
        <f t="shared" si="6"/>
        <v>01</v>
      </c>
    </row>
    <row r="401" spans="1:1">
      <c r="A401" s="14" t="str">
        <f t="shared" si="6"/>
        <v>01</v>
      </c>
    </row>
    <row r="402" spans="1:1">
      <c r="A402" s="14" t="str">
        <f t="shared" si="6"/>
        <v>01</v>
      </c>
    </row>
    <row r="403" spans="1:1">
      <c r="A403" s="14" t="str">
        <f t="shared" si="6"/>
        <v>01</v>
      </c>
    </row>
    <row r="404" spans="1:1">
      <c r="A404" s="14" t="str">
        <f t="shared" si="6"/>
        <v>01</v>
      </c>
    </row>
    <row r="405" spans="1:1">
      <c r="A405" s="14" t="str">
        <f t="shared" si="6"/>
        <v>01</v>
      </c>
    </row>
    <row r="406" spans="1:1">
      <c r="A406" s="14" t="str">
        <f t="shared" si="6"/>
        <v>01</v>
      </c>
    </row>
    <row r="407" spans="1:1">
      <c r="A407" s="14" t="str">
        <f t="shared" si="6"/>
        <v>01</v>
      </c>
    </row>
    <row r="408" spans="1:1">
      <c r="A408" s="14" t="str">
        <f t="shared" si="6"/>
        <v>01</v>
      </c>
    </row>
    <row r="409" spans="1:1">
      <c r="A409" s="14" t="str">
        <f t="shared" si="6"/>
        <v>01</v>
      </c>
    </row>
    <row r="410" spans="1:1">
      <c r="A410" s="14" t="str">
        <f t="shared" si="6"/>
        <v>01</v>
      </c>
    </row>
    <row r="411" spans="1:1">
      <c r="A411" s="14" t="str">
        <f t="shared" si="6"/>
        <v>01</v>
      </c>
    </row>
    <row r="412" spans="1:1">
      <c r="A412" s="14" t="str">
        <f t="shared" si="6"/>
        <v>01</v>
      </c>
    </row>
    <row r="413" spans="1:1">
      <c r="A413" s="14" t="str">
        <f t="shared" si="6"/>
        <v>01</v>
      </c>
    </row>
    <row r="414" spans="1:1">
      <c r="A414" s="14" t="str">
        <f t="shared" si="6"/>
        <v>01</v>
      </c>
    </row>
    <row r="415" spans="1:1">
      <c r="A415" s="14" t="str">
        <f t="shared" si="6"/>
        <v>01</v>
      </c>
    </row>
    <row r="416" spans="1:1">
      <c r="A416" s="14" t="str">
        <f t="shared" si="6"/>
        <v>01</v>
      </c>
    </row>
    <row r="417" spans="1:1">
      <c r="A417" s="14" t="str">
        <f t="shared" si="6"/>
        <v>01</v>
      </c>
    </row>
    <row r="418" spans="1:1">
      <c r="A418" s="14" t="str">
        <f t="shared" si="6"/>
        <v>01</v>
      </c>
    </row>
    <row r="419" spans="1:1">
      <c r="A419" s="14" t="str">
        <f t="shared" si="6"/>
        <v>01</v>
      </c>
    </row>
    <row r="420" spans="1:1">
      <c r="A420" s="14" t="str">
        <f t="shared" si="6"/>
        <v>01</v>
      </c>
    </row>
    <row r="421" spans="1:1">
      <c r="A421" s="14" t="str">
        <f t="shared" si="6"/>
        <v>01</v>
      </c>
    </row>
    <row r="422" spans="1:1">
      <c r="A422" s="14" t="str">
        <f t="shared" si="6"/>
        <v>01</v>
      </c>
    </row>
    <row r="423" spans="1:1">
      <c r="A423" s="14" t="str">
        <f t="shared" si="6"/>
        <v>01</v>
      </c>
    </row>
    <row r="424" spans="1:1">
      <c r="A424" s="14" t="str">
        <f t="shared" si="6"/>
        <v>01</v>
      </c>
    </row>
    <row r="425" spans="1:1">
      <c r="A425" s="14" t="str">
        <f t="shared" si="6"/>
        <v>01</v>
      </c>
    </row>
    <row r="426" spans="1:1">
      <c r="A426" s="14" t="str">
        <f t="shared" si="6"/>
        <v>01</v>
      </c>
    </row>
    <row r="427" spans="1:1">
      <c r="A427" s="14" t="str">
        <f t="shared" si="6"/>
        <v>01</v>
      </c>
    </row>
    <row r="428" spans="1:1">
      <c r="A428" s="14" t="str">
        <f t="shared" si="6"/>
        <v>01</v>
      </c>
    </row>
    <row r="429" spans="1:1">
      <c r="A429" s="14" t="str">
        <f t="shared" si="6"/>
        <v>01</v>
      </c>
    </row>
    <row r="430" spans="1:1">
      <c r="A430" s="14" t="str">
        <f t="shared" si="6"/>
        <v>01</v>
      </c>
    </row>
    <row r="431" spans="1:1">
      <c r="A431" s="14" t="str">
        <f t="shared" si="6"/>
        <v>01</v>
      </c>
    </row>
    <row r="432" spans="1:1">
      <c r="A432" s="14" t="str">
        <f t="shared" si="6"/>
        <v>01</v>
      </c>
    </row>
    <row r="433" spans="1:1">
      <c r="A433" s="14" t="str">
        <f t="shared" si="6"/>
        <v>01</v>
      </c>
    </row>
    <row r="434" spans="1:1">
      <c r="A434" s="14" t="str">
        <f t="shared" si="6"/>
        <v>01</v>
      </c>
    </row>
    <row r="435" spans="1:1">
      <c r="A435" s="14" t="str">
        <f t="shared" si="6"/>
        <v>01</v>
      </c>
    </row>
    <row r="436" spans="1:1">
      <c r="A436" s="14" t="str">
        <f t="shared" si="6"/>
        <v>01</v>
      </c>
    </row>
    <row r="437" spans="1:1">
      <c r="A437" s="14" t="str">
        <f t="shared" si="6"/>
        <v>01</v>
      </c>
    </row>
    <row r="438" spans="1:1">
      <c r="A438" s="14" t="str">
        <f t="shared" si="6"/>
        <v>01</v>
      </c>
    </row>
    <row r="439" spans="1:1">
      <c r="A439" s="14" t="str">
        <f t="shared" si="6"/>
        <v>01</v>
      </c>
    </row>
    <row r="440" spans="1:1">
      <c r="A440" s="14" t="str">
        <f t="shared" si="6"/>
        <v>01</v>
      </c>
    </row>
    <row r="441" spans="1:1">
      <c r="A441" s="14" t="str">
        <f t="shared" si="6"/>
        <v>01</v>
      </c>
    </row>
    <row r="442" spans="1:1">
      <c r="A442" s="14" t="str">
        <f t="shared" si="6"/>
        <v>01</v>
      </c>
    </row>
    <row r="443" spans="1:1">
      <c r="A443" s="14" t="str">
        <f t="shared" si="6"/>
        <v>01</v>
      </c>
    </row>
    <row r="444" spans="1:1">
      <c r="A444" s="14" t="str">
        <f t="shared" si="6"/>
        <v>01</v>
      </c>
    </row>
    <row r="445" spans="1:1">
      <c r="A445" s="14" t="str">
        <f t="shared" si="6"/>
        <v>01</v>
      </c>
    </row>
    <row r="446" spans="1:1">
      <c r="A446" s="14" t="str">
        <f t="shared" si="6"/>
        <v>01</v>
      </c>
    </row>
    <row r="447" spans="1:1">
      <c r="A447" s="14" t="str">
        <f t="shared" si="6"/>
        <v>01</v>
      </c>
    </row>
    <row r="448" spans="1:1">
      <c r="A448" s="14" t="str">
        <f t="shared" si="6"/>
        <v>01</v>
      </c>
    </row>
    <row r="449" spans="1:1">
      <c r="A449" s="14" t="str">
        <f t="shared" si="6"/>
        <v>01</v>
      </c>
    </row>
    <row r="450" spans="1:1">
      <c r="A450" s="14" t="str">
        <f t="shared" si="6"/>
        <v>01</v>
      </c>
    </row>
    <row r="451" spans="1:1">
      <c r="A451" s="14" t="str">
        <f t="shared" ref="A451:A514" si="7">TEXT(L451,"MM")</f>
        <v>01</v>
      </c>
    </row>
    <row r="452" spans="1:1">
      <c r="A452" s="14" t="str">
        <f t="shared" si="7"/>
        <v>01</v>
      </c>
    </row>
    <row r="453" spans="1:1">
      <c r="A453" s="14" t="str">
        <f t="shared" si="7"/>
        <v>01</v>
      </c>
    </row>
    <row r="454" spans="1:1">
      <c r="A454" s="14" t="str">
        <f t="shared" si="7"/>
        <v>01</v>
      </c>
    </row>
    <row r="455" spans="1:1">
      <c r="A455" s="14" t="str">
        <f t="shared" si="7"/>
        <v>01</v>
      </c>
    </row>
    <row r="456" spans="1:1">
      <c r="A456" s="14" t="str">
        <f t="shared" si="7"/>
        <v>01</v>
      </c>
    </row>
    <row r="457" spans="1:1">
      <c r="A457" s="14" t="str">
        <f t="shared" si="7"/>
        <v>01</v>
      </c>
    </row>
    <row r="458" spans="1:1">
      <c r="A458" s="14" t="str">
        <f t="shared" si="7"/>
        <v>01</v>
      </c>
    </row>
    <row r="459" spans="1:1">
      <c r="A459" s="14" t="str">
        <f t="shared" si="7"/>
        <v>01</v>
      </c>
    </row>
    <row r="460" spans="1:1">
      <c r="A460" s="14" t="str">
        <f t="shared" si="7"/>
        <v>01</v>
      </c>
    </row>
    <row r="461" spans="1:1">
      <c r="A461" s="14" t="str">
        <f t="shared" si="7"/>
        <v>01</v>
      </c>
    </row>
    <row r="462" spans="1:1">
      <c r="A462" s="14" t="str">
        <f t="shared" si="7"/>
        <v>01</v>
      </c>
    </row>
    <row r="463" spans="1:1">
      <c r="A463" s="14" t="str">
        <f t="shared" si="7"/>
        <v>01</v>
      </c>
    </row>
    <row r="464" spans="1:1">
      <c r="A464" s="14" t="str">
        <f t="shared" si="7"/>
        <v>01</v>
      </c>
    </row>
    <row r="465" spans="1:1">
      <c r="A465" s="14" t="str">
        <f t="shared" si="7"/>
        <v>01</v>
      </c>
    </row>
    <row r="466" spans="1:1">
      <c r="A466" s="14" t="str">
        <f t="shared" si="7"/>
        <v>01</v>
      </c>
    </row>
    <row r="467" spans="1:1">
      <c r="A467" s="14" t="str">
        <f t="shared" si="7"/>
        <v>01</v>
      </c>
    </row>
    <row r="468" spans="1:1">
      <c r="A468" s="14" t="str">
        <f t="shared" si="7"/>
        <v>01</v>
      </c>
    </row>
    <row r="469" spans="1:1">
      <c r="A469" s="14" t="str">
        <f t="shared" si="7"/>
        <v>01</v>
      </c>
    </row>
    <row r="470" spans="1:1">
      <c r="A470" s="14" t="str">
        <f t="shared" si="7"/>
        <v>01</v>
      </c>
    </row>
    <row r="471" spans="1:1">
      <c r="A471" s="14" t="str">
        <f t="shared" si="7"/>
        <v>01</v>
      </c>
    </row>
    <row r="472" spans="1:1">
      <c r="A472" s="14" t="str">
        <f t="shared" si="7"/>
        <v>01</v>
      </c>
    </row>
    <row r="473" spans="1:1">
      <c r="A473" s="14" t="str">
        <f t="shared" si="7"/>
        <v>01</v>
      </c>
    </row>
    <row r="474" spans="1:1">
      <c r="A474" s="14" t="str">
        <f t="shared" si="7"/>
        <v>01</v>
      </c>
    </row>
    <row r="475" spans="1:1">
      <c r="A475" s="14" t="str">
        <f t="shared" si="7"/>
        <v>01</v>
      </c>
    </row>
    <row r="476" spans="1:1">
      <c r="A476" s="14" t="str">
        <f t="shared" si="7"/>
        <v>01</v>
      </c>
    </row>
    <row r="477" spans="1:1">
      <c r="A477" s="14" t="str">
        <f t="shared" si="7"/>
        <v>01</v>
      </c>
    </row>
    <row r="478" spans="1:1">
      <c r="A478" s="14" t="str">
        <f t="shared" si="7"/>
        <v>01</v>
      </c>
    </row>
    <row r="479" spans="1:1">
      <c r="A479" s="14" t="str">
        <f t="shared" si="7"/>
        <v>01</v>
      </c>
    </row>
    <row r="480" spans="1:1">
      <c r="A480" s="14" t="str">
        <f t="shared" si="7"/>
        <v>01</v>
      </c>
    </row>
    <row r="481" spans="1:1">
      <c r="A481" s="14" t="str">
        <f t="shared" si="7"/>
        <v>01</v>
      </c>
    </row>
    <row r="482" spans="1:1">
      <c r="A482" s="14" t="str">
        <f t="shared" si="7"/>
        <v>01</v>
      </c>
    </row>
    <row r="483" spans="1:1">
      <c r="A483" s="14" t="str">
        <f t="shared" si="7"/>
        <v>01</v>
      </c>
    </row>
    <row r="484" spans="1:1">
      <c r="A484" s="14" t="str">
        <f t="shared" si="7"/>
        <v>01</v>
      </c>
    </row>
    <row r="485" spans="1:1">
      <c r="A485" s="14" t="str">
        <f t="shared" si="7"/>
        <v>01</v>
      </c>
    </row>
    <row r="486" spans="1:1">
      <c r="A486" s="14" t="str">
        <f t="shared" si="7"/>
        <v>01</v>
      </c>
    </row>
    <row r="487" spans="1:1">
      <c r="A487" s="14" t="str">
        <f t="shared" si="7"/>
        <v>01</v>
      </c>
    </row>
    <row r="488" spans="1:1">
      <c r="A488" s="14" t="str">
        <f t="shared" si="7"/>
        <v>01</v>
      </c>
    </row>
    <row r="489" spans="1:1">
      <c r="A489" s="14" t="str">
        <f t="shared" si="7"/>
        <v>01</v>
      </c>
    </row>
    <row r="490" spans="1:1">
      <c r="A490" s="14" t="str">
        <f t="shared" si="7"/>
        <v>01</v>
      </c>
    </row>
    <row r="491" spans="1:1">
      <c r="A491" s="14" t="str">
        <f t="shared" si="7"/>
        <v>01</v>
      </c>
    </row>
    <row r="492" spans="1:1">
      <c r="A492" s="14" t="str">
        <f t="shared" si="7"/>
        <v>01</v>
      </c>
    </row>
    <row r="493" spans="1:1">
      <c r="A493" s="14" t="str">
        <f t="shared" si="7"/>
        <v>01</v>
      </c>
    </row>
    <row r="494" spans="1:1">
      <c r="A494" s="14" t="str">
        <f t="shared" si="7"/>
        <v>01</v>
      </c>
    </row>
    <row r="495" spans="1:1">
      <c r="A495" s="14" t="str">
        <f t="shared" si="7"/>
        <v>01</v>
      </c>
    </row>
    <row r="496" spans="1:1">
      <c r="A496" s="14" t="str">
        <f t="shared" si="7"/>
        <v>01</v>
      </c>
    </row>
    <row r="497" spans="1:1">
      <c r="A497" s="14" t="str">
        <f t="shared" si="7"/>
        <v>01</v>
      </c>
    </row>
    <row r="498" spans="1:1">
      <c r="A498" s="14" t="str">
        <f t="shared" si="7"/>
        <v>01</v>
      </c>
    </row>
    <row r="499" spans="1:1">
      <c r="A499" s="14" t="str">
        <f t="shared" si="7"/>
        <v>01</v>
      </c>
    </row>
    <row r="500" spans="1:1">
      <c r="A500" s="14" t="str">
        <f t="shared" si="7"/>
        <v>01</v>
      </c>
    </row>
    <row r="501" spans="1:1">
      <c r="A501" s="14" t="str">
        <f t="shared" si="7"/>
        <v>01</v>
      </c>
    </row>
    <row r="502" spans="1:1">
      <c r="A502" s="14" t="str">
        <f t="shared" si="7"/>
        <v>01</v>
      </c>
    </row>
    <row r="503" spans="1:1">
      <c r="A503" s="14" t="str">
        <f t="shared" si="7"/>
        <v>01</v>
      </c>
    </row>
    <row r="504" spans="1:1">
      <c r="A504" s="14" t="str">
        <f t="shared" si="7"/>
        <v>01</v>
      </c>
    </row>
    <row r="505" spans="1:1">
      <c r="A505" s="14" t="str">
        <f t="shared" si="7"/>
        <v>01</v>
      </c>
    </row>
    <row r="506" spans="1:1">
      <c r="A506" s="14" t="str">
        <f t="shared" si="7"/>
        <v>01</v>
      </c>
    </row>
    <row r="507" spans="1:1">
      <c r="A507" s="14" t="str">
        <f t="shared" si="7"/>
        <v>01</v>
      </c>
    </row>
    <row r="508" spans="1:1">
      <c r="A508" s="14" t="str">
        <f t="shared" si="7"/>
        <v>01</v>
      </c>
    </row>
    <row r="509" spans="1:1">
      <c r="A509" s="14" t="str">
        <f t="shared" si="7"/>
        <v>01</v>
      </c>
    </row>
    <row r="510" spans="1:1">
      <c r="A510" s="14" t="str">
        <f t="shared" si="7"/>
        <v>01</v>
      </c>
    </row>
    <row r="511" spans="1:1">
      <c r="A511" s="14" t="str">
        <f t="shared" si="7"/>
        <v>01</v>
      </c>
    </row>
    <row r="512" spans="1:1">
      <c r="A512" s="14" t="str">
        <f t="shared" si="7"/>
        <v>01</v>
      </c>
    </row>
    <row r="513" spans="1:1">
      <c r="A513" s="14" t="str">
        <f t="shared" si="7"/>
        <v>01</v>
      </c>
    </row>
    <row r="514" spans="1:1">
      <c r="A514" s="14" t="str">
        <f t="shared" si="7"/>
        <v>01</v>
      </c>
    </row>
    <row r="515" spans="1:1">
      <c r="A515" s="14" t="str">
        <f t="shared" ref="A515:A578" si="8">TEXT(L515,"MM")</f>
        <v>01</v>
      </c>
    </row>
    <row r="516" spans="1:1">
      <c r="A516" s="14" t="str">
        <f t="shared" si="8"/>
        <v>01</v>
      </c>
    </row>
    <row r="517" spans="1:1">
      <c r="A517" s="14" t="str">
        <f t="shared" si="8"/>
        <v>01</v>
      </c>
    </row>
    <row r="518" spans="1:1">
      <c r="A518" s="14" t="str">
        <f t="shared" si="8"/>
        <v>01</v>
      </c>
    </row>
    <row r="519" spans="1:1">
      <c r="A519" s="14" t="str">
        <f t="shared" si="8"/>
        <v>01</v>
      </c>
    </row>
    <row r="520" spans="1:1">
      <c r="A520" s="14" t="str">
        <f t="shared" si="8"/>
        <v>01</v>
      </c>
    </row>
    <row r="521" spans="1:1">
      <c r="A521" s="14" t="str">
        <f t="shared" si="8"/>
        <v>01</v>
      </c>
    </row>
    <row r="522" spans="1:1">
      <c r="A522" s="14" t="str">
        <f t="shared" si="8"/>
        <v>01</v>
      </c>
    </row>
    <row r="523" spans="1:1">
      <c r="A523" s="14" t="str">
        <f t="shared" si="8"/>
        <v>01</v>
      </c>
    </row>
    <row r="524" spans="1:1">
      <c r="A524" s="14" t="str">
        <f t="shared" si="8"/>
        <v>01</v>
      </c>
    </row>
    <row r="525" spans="1:1">
      <c r="A525" s="14" t="str">
        <f t="shared" si="8"/>
        <v>01</v>
      </c>
    </row>
    <row r="526" spans="1:1">
      <c r="A526" s="14" t="str">
        <f t="shared" si="8"/>
        <v>01</v>
      </c>
    </row>
    <row r="527" spans="1:1">
      <c r="A527" s="14" t="str">
        <f t="shared" si="8"/>
        <v>01</v>
      </c>
    </row>
    <row r="528" spans="1:1">
      <c r="A528" s="14" t="str">
        <f t="shared" si="8"/>
        <v>01</v>
      </c>
    </row>
    <row r="529" spans="1:1">
      <c r="A529" s="14" t="str">
        <f t="shared" si="8"/>
        <v>01</v>
      </c>
    </row>
    <row r="530" spans="1:1">
      <c r="A530" s="14" t="str">
        <f t="shared" si="8"/>
        <v>01</v>
      </c>
    </row>
    <row r="531" spans="1:1">
      <c r="A531" s="14" t="str">
        <f t="shared" si="8"/>
        <v>01</v>
      </c>
    </row>
    <row r="532" spans="1:1">
      <c r="A532" s="14" t="str">
        <f t="shared" si="8"/>
        <v>01</v>
      </c>
    </row>
    <row r="533" spans="1:1">
      <c r="A533" s="14" t="str">
        <f t="shared" si="8"/>
        <v>01</v>
      </c>
    </row>
    <row r="534" spans="1:1">
      <c r="A534" s="14" t="str">
        <f t="shared" si="8"/>
        <v>01</v>
      </c>
    </row>
    <row r="535" spans="1:1">
      <c r="A535" s="14" t="str">
        <f t="shared" si="8"/>
        <v>01</v>
      </c>
    </row>
    <row r="536" spans="1:1">
      <c r="A536" s="14" t="str">
        <f t="shared" si="8"/>
        <v>01</v>
      </c>
    </row>
    <row r="537" spans="1:1">
      <c r="A537" s="14" t="str">
        <f t="shared" si="8"/>
        <v>01</v>
      </c>
    </row>
    <row r="538" spans="1:1">
      <c r="A538" s="14" t="str">
        <f t="shared" si="8"/>
        <v>01</v>
      </c>
    </row>
    <row r="539" spans="1:1">
      <c r="A539" s="14" t="str">
        <f t="shared" si="8"/>
        <v>01</v>
      </c>
    </row>
    <row r="540" spans="1:1">
      <c r="A540" s="14" t="str">
        <f t="shared" si="8"/>
        <v>01</v>
      </c>
    </row>
    <row r="541" spans="1:1">
      <c r="A541" s="14" t="str">
        <f t="shared" si="8"/>
        <v>01</v>
      </c>
    </row>
    <row r="542" spans="1:1">
      <c r="A542" s="14" t="str">
        <f t="shared" si="8"/>
        <v>01</v>
      </c>
    </row>
    <row r="543" spans="1:1">
      <c r="A543" s="14" t="str">
        <f t="shared" si="8"/>
        <v>01</v>
      </c>
    </row>
    <row r="544" spans="1:1">
      <c r="A544" s="14" t="str">
        <f t="shared" si="8"/>
        <v>01</v>
      </c>
    </row>
    <row r="545" spans="1:1">
      <c r="A545" s="14" t="str">
        <f t="shared" si="8"/>
        <v>01</v>
      </c>
    </row>
    <row r="546" spans="1:1">
      <c r="A546" s="14" t="str">
        <f t="shared" si="8"/>
        <v>01</v>
      </c>
    </row>
    <row r="547" spans="1:1">
      <c r="A547" s="14" t="str">
        <f t="shared" si="8"/>
        <v>01</v>
      </c>
    </row>
    <row r="548" spans="1:1">
      <c r="A548" s="14" t="str">
        <f t="shared" si="8"/>
        <v>01</v>
      </c>
    </row>
    <row r="549" spans="1:1">
      <c r="A549" s="14" t="str">
        <f t="shared" si="8"/>
        <v>01</v>
      </c>
    </row>
    <row r="550" spans="1:1">
      <c r="A550" s="14" t="str">
        <f t="shared" si="8"/>
        <v>01</v>
      </c>
    </row>
    <row r="551" spans="1:1">
      <c r="A551" s="14" t="str">
        <f t="shared" si="8"/>
        <v>01</v>
      </c>
    </row>
    <row r="552" spans="1:1">
      <c r="A552" s="14" t="str">
        <f t="shared" si="8"/>
        <v>01</v>
      </c>
    </row>
    <row r="553" spans="1:1">
      <c r="A553" s="14" t="str">
        <f t="shared" si="8"/>
        <v>01</v>
      </c>
    </row>
    <row r="554" spans="1:1">
      <c r="A554" s="14" t="str">
        <f t="shared" si="8"/>
        <v>01</v>
      </c>
    </row>
    <row r="555" spans="1:1">
      <c r="A555" s="14" t="str">
        <f t="shared" si="8"/>
        <v>01</v>
      </c>
    </row>
    <row r="556" spans="1:1">
      <c r="A556" s="14" t="str">
        <f t="shared" si="8"/>
        <v>01</v>
      </c>
    </row>
    <row r="557" spans="1:1">
      <c r="A557" s="14" t="str">
        <f t="shared" si="8"/>
        <v>01</v>
      </c>
    </row>
    <row r="558" spans="1:1">
      <c r="A558" s="14" t="str">
        <f t="shared" si="8"/>
        <v>01</v>
      </c>
    </row>
    <row r="559" spans="1:1">
      <c r="A559" s="14" t="str">
        <f t="shared" si="8"/>
        <v>01</v>
      </c>
    </row>
    <row r="560" spans="1:1">
      <c r="A560" s="14" t="str">
        <f t="shared" si="8"/>
        <v>01</v>
      </c>
    </row>
    <row r="561" spans="1:1">
      <c r="A561" s="14" t="str">
        <f t="shared" si="8"/>
        <v>01</v>
      </c>
    </row>
    <row r="562" spans="1:1">
      <c r="A562" s="14" t="str">
        <f t="shared" si="8"/>
        <v>01</v>
      </c>
    </row>
    <row r="563" spans="1:1">
      <c r="A563" s="14" t="str">
        <f t="shared" si="8"/>
        <v>01</v>
      </c>
    </row>
    <row r="564" spans="1:1">
      <c r="A564" s="14" t="str">
        <f t="shared" si="8"/>
        <v>01</v>
      </c>
    </row>
    <row r="565" spans="1:1">
      <c r="A565" s="14" t="str">
        <f t="shared" si="8"/>
        <v>01</v>
      </c>
    </row>
    <row r="566" spans="1:1">
      <c r="A566" s="14" t="str">
        <f t="shared" si="8"/>
        <v>01</v>
      </c>
    </row>
    <row r="567" spans="1:1">
      <c r="A567" s="14" t="str">
        <f t="shared" si="8"/>
        <v>01</v>
      </c>
    </row>
    <row r="568" spans="1:1">
      <c r="A568" s="14" t="str">
        <f t="shared" si="8"/>
        <v>01</v>
      </c>
    </row>
    <row r="569" spans="1:1">
      <c r="A569" s="14" t="str">
        <f t="shared" si="8"/>
        <v>01</v>
      </c>
    </row>
    <row r="570" spans="1:1">
      <c r="A570" s="14" t="str">
        <f t="shared" si="8"/>
        <v>01</v>
      </c>
    </row>
    <row r="571" spans="1:1">
      <c r="A571" s="14" t="str">
        <f t="shared" si="8"/>
        <v>01</v>
      </c>
    </row>
    <row r="572" spans="1:1">
      <c r="A572" s="14" t="str">
        <f t="shared" si="8"/>
        <v>01</v>
      </c>
    </row>
    <row r="573" spans="1:1">
      <c r="A573" s="14" t="str">
        <f t="shared" si="8"/>
        <v>01</v>
      </c>
    </row>
    <row r="574" spans="1:1">
      <c r="A574" s="14" t="str">
        <f t="shared" si="8"/>
        <v>01</v>
      </c>
    </row>
    <row r="575" spans="1:1">
      <c r="A575" s="14" t="str">
        <f t="shared" si="8"/>
        <v>01</v>
      </c>
    </row>
    <row r="576" spans="1:1">
      <c r="A576" s="14" t="str">
        <f t="shared" si="8"/>
        <v>01</v>
      </c>
    </row>
    <row r="577" spans="1:1">
      <c r="A577" s="14" t="str">
        <f t="shared" si="8"/>
        <v>01</v>
      </c>
    </row>
    <row r="578" spans="1:1">
      <c r="A578" s="14" t="str">
        <f t="shared" si="8"/>
        <v>01</v>
      </c>
    </row>
    <row r="579" spans="1:1">
      <c r="A579" s="14" t="str">
        <f t="shared" ref="A579:A642" si="9">TEXT(L579,"MM")</f>
        <v>01</v>
      </c>
    </row>
    <row r="580" spans="1:1">
      <c r="A580" s="14" t="str">
        <f t="shared" si="9"/>
        <v>01</v>
      </c>
    </row>
    <row r="581" spans="1:1">
      <c r="A581" s="14" t="str">
        <f t="shared" si="9"/>
        <v>01</v>
      </c>
    </row>
    <row r="582" spans="1:1">
      <c r="A582" s="14" t="str">
        <f t="shared" si="9"/>
        <v>01</v>
      </c>
    </row>
    <row r="583" spans="1:1">
      <c r="A583" s="14" t="str">
        <f t="shared" si="9"/>
        <v>01</v>
      </c>
    </row>
    <row r="584" spans="1:1">
      <c r="A584" s="14" t="str">
        <f t="shared" si="9"/>
        <v>01</v>
      </c>
    </row>
    <row r="585" spans="1:1">
      <c r="A585" s="14" t="str">
        <f t="shared" si="9"/>
        <v>01</v>
      </c>
    </row>
    <row r="586" spans="1:1">
      <c r="A586" s="14" t="str">
        <f t="shared" si="9"/>
        <v>01</v>
      </c>
    </row>
    <row r="587" spans="1:1">
      <c r="A587" s="14" t="str">
        <f t="shared" si="9"/>
        <v>01</v>
      </c>
    </row>
    <row r="588" spans="1:1">
      <c r="A588" s="14" t="str">
        <f t="shared" si="9"/>
        <v>01</v>
      </c>
    </row>
    <row r="589" spans="1:1">
      <c r="A589" s="14" t="str">
        <f t="shared" si="9"/>
        <v>01</v>
      </c>
    </row>
    <row r="590" spans="1:1">
      <c r="A590" s="14" t="str">
        <f t="shared" si="9"/>
        <v>01</v>
      </c>
    </row>
    <row r="591" spans="1:1">
      <c r="A591" s="14" t="str">
        <f t="shared" si="9"/>
        <v>01</v>
      </c>
    </row>
    <row r="592" spans="1:1">
      <c r="A592" s="14" t="str">
        <f t="shared" si="9"/>
        <v>01</v>
      </c>
    </row>
    <row r="593" spans="1:1">
      <c r="A593" s="14" t="str">
        <f t="shared" si="9"/>
        <v>01</v>
      </c>
    </row>
    <row r="594" spans="1:1">
      <c r="A594" s="14" t="str">
        <f t="shared" si="9"/>
        <v>01</v>
      </c>
    </row>
    <row r="595" spans="1:1">
      <c r="A595" s="14" t="str">
        <f t="shared" si="9"/>
        <v>01</v>
      </c>
    </row>
    <row r="596" spans="1:1">
      <c r="A596" s="14" t="str">
        <f t="shared" si="9"/>
        <v>01</v>
      </c>
    </row>
    <row r="597" spans="1:1">
      <c r="A597" s="14" t="str">
        <f t="shared" si="9"/>
        <v>01</v>
      </c>
    </row>
    <row r="598" spans="1:1">
      <c r="A598" s="14" t="str">
        <f t="shared" si="9"/>
        <v>01</v>
      </c>
    </row>
    <row r="599" spans="1:1">
      <c r="A599" s="14" t="str">
        <f t="shared" si="9"/>
        <v>01</v>
      </c>
    </row>
    <row r="600" spans="1:1">
      <c r="A600" s="14" t="str">
        <f t="shared" si="9"/>
        <v>01</v>
      </c>
    </row>
    <row r="601" spans="1:1">
      <c r="A601" s="14" t="str">
        <f t="shared" si="9"/>
        <v>01</v>
      </c>
    </row>
    <row r="602" spans="1:1">
      <c r="A602" s="14" t="str">
        <f t="shared" si="9"/>
        <v>01</v>
      </c>
    </row>
    <row r="603" spans="1:1">
      <c r="A603" s="14" t="str">
        <f t="shared" si="9"/>
        <v>01</v>
      </c>
    </row>
    <row r="604" spans="1:1">
      <c r="A604" s="14" t="str">
        <f t="shared" si="9"/>
        <v>01</v>
      </c>
    </row>
    <row r="605" spans="1:1">
      <c r="A605" s="14" t="str">
        <f t="shared" si="9"/>
        <v>01</v>
      </c>
    </row>
    <row r="606" spans="1:1">
      <c r="A606" s="14" t="str">
        <f t="shared" si="9"/>
        <v>01</v>
      </c>
    </row>
    <row r="607" spans="1:1">
      <c r="A607" s="14" t="str">
        <f t="shared" si="9"/>
        <v>01</v>
      </c>
    </row>
    <row r="608" spans="1:1">
      <c r="A608" s="14" t="str">
        <f t="shared" si="9"/>
        <v>01</v>
      </c>
    </row>
    <row r="609" spans="1:1">
      <c r="A609" s="14" t="str">
        <f t="shared" si="9"/>
        <v>01</v>
      </c>
    </row>
    <row r="610" spans="1:1">
      <c r="A610" s="14" t="str">
        <f t="shared" si="9"/>
        <v>01</v>
      </c>
    </row>
    <row r="611" spans="1:1">
      <c r="A611" s="14" t="str">
        <f t="shared" si="9"/>
        <v>01</v>
      </c>
    </row>
    <row r="612" spans="1:1">
      <c r="A612" s="14" t="str">
        <f t="shared" si="9"/>
        <v>01</v>
      </c>
    </row>
    <row r="613" spans="1:1">
      <c r="A613" s="14" t="str">
        <f t="shared" si="9"/>
        <v>01</v>
      </c>
    </row>
    <row r="614" spans="1:1">
      <c r="A614" s="14" t="str">
        <f t="shared" si="9"/>
        <v>01</v>
      </c>
    </row>
    <row r="615" spans="1:1">
      <c r="A615" s="14" t="str">
        <f t="shared" si="9"/>
        <v>01</v>
      </c>
    </row>
    <row r="616" spans="1:1">
      <c r="A616" s="14" t="str">
        <f t="shared" si="9"/>
        <v>01</v>
      </c>
    </row>
    <row r="617" spans="1:1">
      <c r="A617" s="14" t="str">
        <f t="shared" si="9"/>
        <v>01</v>
      </c>
    </row>
    <row r="618" spans="1:1">
      <c r="A618" s="14" t="str">
        <f t="shared" si="9"/>
        <v>01</v>
      </c>
    </row>
    <row r="619" spans="1:1">
      <c r="A619" s="14" t="str">
        <f t="shared" si="9"/>
        <v>01</v>
      </c>
    </row>
    <row r="620" spans="1:1">
      <c r="A620" s="14" t="str">
        <f t="shared" si="9"/>
        <v>01</v>
      </c>
    </row>
    <row r="621" spans="1:1">
      <c r="A621" s="14" t="str">
        <f t="shared" si="9"/>
        <v>01</v>
      </c>
    </row>
    <row r="622" spans="1:1">
      <c r="A622" s="14" t="str">
        <f t="shared" si="9"/>
        <v>01</v>
      </c>
    </row>
    <row r="623" spans="1:1">
      <c r="A623" s="14" t="str">
        <f t="shared" si="9"/>
        <v>01</v>
      </c>
    </row>
    <row r="624" spans="1:1">
      <c r="A624" s="14" t="str">
        <f t="shared" si="9"/>
        <v>01</v>
      </c>
    </row>
    <row r="625" spans="1:1">
      <c r="A625" s="14" t="str">
        <f t="shared" si="9"/>
        <v>01</v>
      </c>
    </row>
    <row r="626" spans="1:1">
      <c r="A626" s="14" t="str">
        <f t="shared" si="9"/>
        <v>01</v>
      </c>
    </row>
    <row r="627" spans="1:1">
      <c r="A627" s="14" t="str">
        <f t="shared" si="9"/>
        <v>01</v>
      </c>
    </row>
    <row r="628" spans="1:1">
      <c r="A628" s="14" t="str">
        <f t="shared" si="9"/>
        <v>01</v>
      </c>
    </row>
    <row r="629" spans="1:1">
      <c r="A629" s="14" t="str">
        <f t="shared" si="9"/>
        <v>01</v>
      </c>
    </row>
    <row r="630" spans="1:1">
      <c r="A630" s="14" t="str">
        <f t="shared" si="9"/>
        <v>01</v>
      </c>
    </row>
    <row r="631" spans="1:1">
      <c r="A631" s="14" t="str">
        <f t="shared" si="9"/>
        <v>01</v>
      </c>
    </row>
    <row r="632" spans="1:1">
      <c r="A632" s="14" t="str">
        <f t="shared" si="9"/>
        <v>01</v>
      </c>
    </row>
    <row r="633" spans="1:1">
      <c r="A633" s="14" t="str">
        <f t="shared" si="9"/>
        <v>01</v>
      </c>
    </row>
    <row r="634" spans="1:1">
      <c r="A634" s="14" t="str">
        <f t="shared" si="9"/>
        <v>01</v>
      </c>
    </row>
    <row r="635" spans="1:1">
      <c r="A635" s="14" t="str">
        <f t="shared" si="9"/>
        <v>01</v>
      </c>
    </row>
    <row r="636" spans="1:1">
      <c r="A636" s="14" t="str">
        <f t="shared" si="9"/>
        <v>01</v>
      </c>
    </row>
    <row r="637" spans="1:1">
      <c r="A637" s="14" t="str">
        <f t="shared" si="9"/>
        <v>01</v>
      </c>
    </row>
    <row r="638" spans="1:1">
      <c r="A638" s="14" t="str">
        <f t="shared" si="9"/>
        <v>01</v>
      </c>
    </row>
    <row r="639" spans="1:1">
      <c r="A639" s="14" t="str">
        <f t="shared" si="9"/>
        <v>01</v>
      </c>
    </row>
    <row r="640" spans="1:1">
      <c r="A640" s="14" t="str">
        <f t="shared" si="9"/>
        <v>01</v>
      </c>
    </row>
    <row r="641" spans="1:1">
      <c r="A641" s="14" t="str">
        <f t="shared" si="9"/>
        <v>01</v>
      </c>
    </row>
    <row r="642" spans="1:1">
      <c r="A642" s="14" t="str">
        <f t="shared" si="9"/>
        <v>01</v>
      </c>
    </row>
    <row r="643" spans="1:1">
      <c r="A643" s="14" t="str">
        <f t="shared" ref="A643:A706" si="10">TEXT(L643,"MM")</f>
        <v>01</v>
      </c>
    </row>
    <row r="644" spans="1:1">
      <c r="A644" s="14" t="str">
        <f t="shared" si="10"/>
        <v>01</v>
      </c>
    </row>
    <row r="645" spans="1:1">
      <c r="A645" s="14" t="str">
        <f t="shared" si="10"/>
        <v>01</v>
      </c>
    </row>
    <row r="646" spans="1:1">
      <c r="A646" s="14" t="str">
        <f t="shared" si="10"/>
        <v>01</v>
      </c>
    </row>
    <row r="647" spans="1:1">
      <c r="A647" s="14" t="str">
        <f t="shared" si="10"/>
        <v>01</v>
      </c>
    </row>
    <row r="648" spans="1:1">
      <c r="A648" s="14" t="str">
        <f t="shared" si="10"/>
        <v>01</v>
      </c>
    </row>
    <row r="649" spans="1:1">
      <c r="A649" s="14" t="str">
        <f t="shared" si="10"/>
        <v>01</v>
      </c>
    </row>
    <row r="650" spans="1:1">
      <c r="A650" s="14" t="str">
        <f t="shared" si="10"/>
        <v>01</v>
      </c>
    </row>
    <row r="651" spans="1:1">
      <c r="A651" s="14" t="str">
        <f t="shared" si="10"/>
        <v>01</v>
      </c>
    </row>
    <row r="652" spans="1:1">
      <c r="A652" s="14" t="str">
        <f t="shared" si="10"/>
        <v>01</v>
      </c>
    </row>
    <row r="653" spans="1:1">
      <c r="A653" s="14" t="str">
        <f t="shared" si="10"/>
        <v>01</v>
      </c>
    </row>
    <row r="654" spans="1:1">
      <c r="A654" s="14" t="str">
        <f t="shared" si="10"/>
        <v>01</v>
      </c>
    </row>
    <row r="655" spans="1:1">
      <c r="A655" s="14" t="str">
        <f t="shared" si="10"/>
        <v>01</v>
      </c>
    </row>
    <row r="656" spans="1:1">
      <c r="A656" s="14" t="str">
        <f t="shared" si="10"/>
        <v>01</v>
      </c>
    </row>
    <row r="657" spans="1:1">
      <c r="A657" s="14" t="str">
        <f t="shared" si="10"/>
        <v>01</v>
      </c>
    </row>
    <row r="658" spans="1:1">
      <c r="A658" s="14" t="str">
        <f t="shared" si="10"/>
        <v>01</v>
      </c>
    </row>
    <row r="659" spans="1:1">
      <c r="A659" s="14" t="str">
        <f t="shared" si="10"/>
        <v>01</v>
      </c>
    </row>
    <row r="660" spans="1:1">
      <c r="A660" s="14" t="str">
        <f t="shared" si="10"/>
        <v>01</v>
      </c>
    </row>
    <row r="661" spans="1:1">
      <c r="A661" s="14" t="str">
        <f t="shared" si="10"/>
        <v>01</v>
      </c>
    </row>
    <row r="662" spans="1:1">
      <c r="A662" s="14" t="str">
        <f t="shared" si="10"/>
        <v>01</v>
      </c>
    </row>
    <row r="663" spans="1:1">
      <c r="A663" s="14" t="str">
        <f t="shared" si="10"/>
        <v>01</v>
      </c>
    </row>
    <row r="664" spans="1:1">
      <c r="A664" s="14" t="str">
        <f t="shared" si="10"/>
        <v>01</v>
      </c>
    </row>
    <row r="665" spans="1:1">
      <c r="A665" s="14" t="str">
        <f t="shared" si="10"/>
        <v>01</v>
      </c>
    </row>
    <row r="666" spans="1:1">
      <c r="A666" s="14" t="str">
        <f t="shared" si="10"/>
        <v>01</v>
      </c>
    </row>
    <row r="667" spans="1:1">
      <c r="A667" s="14" t="str">
        <f t="shared" si="10"/>
        <v>01</v>
      </c>
    </row>
    <row r="668" spans="1:1">
      <c r="A668" s="14" t="str">
        <f t="shared" si="10"/>
        <v>01</v>
      </c>
    </row>
    <row r="669" spans="1:1">
      <c r="A669" s="14" t="str">
        <f t="shared" si="10"/>
        <v>01</v>
      </c>
    </row>
    <row r="670" spans="1:1">
      <c r="A670" s="14" t="str">
        <f t="shared" si="10"/>
        <v>01</v>
      </c>
    </row>
    <row r="671" spans="1:1">
      <c r="A671" s="14" t="str">
        <f t="shared" si="10"/>
        <v>01</v>
      </c>
    </row>
    <row r="672" spans="1:1">
      <c r="A672" s="14" t="str">
        <f t="shared" si="10"/>
        <v>01</v>
      </c>
    </row>
    <row r="673" spans="1:1">
      <c r="A673" s="14" t="str">
        <f t="shared" si="10"/>
        <v>01</v>
      </c>
    </row>
    <row r="674" spans="1:1">
      <c r="A674" s="14" t="str">
        <f t="shared" si="10"/>
        <v>01</v>
      </c>
    </row>
    <row r="675" spans="1:1">
      <c r="A675" s="14" t="str">
        <f t="shared" si="10"/>
        <v>01</v>
      </c>
    </row>
    <row r="676" spans="1:1">
      <c r="A676" s="14" t="str">
        <f t="shared" si="10"/>
        <v>01</v>
      </c>
    </row>
    <row r="677" spans="1:1">
      <c r="A677" s="14" t="str">
        <f t="shared" si="10"/>
        <v>01</v>
      </c>
    </row>
    <row r="678" spans="1:1">
      <c r="A678" s="14" t="str">
        <f t="shared" si="10"/>
        <v>01</v>
      </c>
    </row>
    <row r="679" spans="1:1">
      <c r="A679" s="14" t="str">
        <f t="shared" si="10"/>
        <v>01</v>
      </c>
    </row>
    <row r="680" spans="1:1">
      <c r="A680" s="14" t="str">
        <f t="shared" si="10"/>
        <v>01</v>
      </c>
    </row>
    <row r="681" spans="1:1">
      <c r="A681" s="14" t="str">
        <f t="shared" si="10"/>
        <v>01</v>
      </c>
    </row>
    <row r="682" spans="1:1">
      <c r="A682" s="14" t="str">
        <f t="shared" si="10"/>
        <v>01</v>
      </c>
    </row>
    <row r="683" spans="1:1">
      <c r="A683" s="14" t="str">
        <f t="shared" si="10"/>
        <v>01</v>
      </c>
    </row>
    <row r="684" spans="1:1">
      <c r="A684" s="14" t="str">
        <f t="shared" si="10"/>
        <v>01</v>
      </c>
    </row>
    <row r="685" spans="1:1">
      <c r="A685" s="14" t="str">
        <f t="shared" si="10"/>
        <v>01</v>
      </c>
    </row>
    <row r="686" spans="1:1">
      <c r="A686" s="14" t="str">
        <f t="shared" si="10"/>
        <v>01</v>
      </c>
    </row>
    <row r="687" spans="1:1">
      <c r="A687" s="14" t="str">
        <f t="shared" si="10"/>
        <v>01</v>
      </c>
    </row>
    <row r="688" spans="1:1">
      <c r="A688" s="14" t="str">
        <f t="shared" si="10"/>
        <v>01</v>
      </c>
    </row>
    <row r="689" spans="1:1">
      <c r="A689" s="14" t="str">
        <f t="shared" si="10"/>
        <v>01</v>
      </c>
    </row>
    <row r="690" spans="1:1">
      <c r="A690" s="14" t="str">
        <f t="shared" si="10"/>
        <v>01</v>
      </c>
    </row>
    <row r="691" spans="1:1">
      <c r="A691" s="14" t="str">
        <f t="shared" si="10"/>
        <v>01</v>
      </c>
    </row>
    <row r="692" spans="1:1">
      <c r="A692" s="14" t="str">
        <f t="shared" si="10"/>
        <v>01</v>
      </c>
    </row>
    <row r="693" spans="1:1">
      <c r="A693" s="14" t="str">
        <f t="shared" si="10"/>
        <v>01</v>
      </c>
    </row>
    <row r="694" spans="1:1">
      <c r="A694" s="14" t="str">
        <f t="shared" si="10"/>
        <v>01</v>
      </c>
    </row>
    <row r="695" spans="1:1">
      <c r="A695" s="14" t="str">
        <f t="shared" si="10"/>
        <v>01</v>
      </c>
    </row>
    <row r="696" spans="1:1">
      <c r="A696" s="14" t="str">
        <f t="shared" si="10"/>
        <v>01</v>
      </c>
    </row>
    <row r="697" spans="1:1">
      <c r="A697" s="14" t="str">
        <f t="shared" si="10"/>
        <v>01</v>
      </c>
    </row>
    <row r="698" spans="1:1">
      <c r="A698" s="14" t="str">
        <f t="shared" si="10"/>
        <v>01</v>
      </c>
    </row>
    <row r="699" spans="1:1">
      <c r="A699" s="14" t="str">
        <f t="shared" si="10"/>
        <v>01</v>
      </c>
    </row>
    <row r="700" spans="1:1">
      <c r="A700" s="14" t="str">
        <f t="shared" si="10"/>
        <v>01</v>
      </c>
    </row>
    <row r="701" spans="1:1">
      <c r="A701" s="14" t="str">
        <f t="shared" si="10"/>
        <v>01</v>
      </c>
    </row>
    <row r="702" spans="1:1">
      <c r="A702" s="14" t="str">
        <f t="shared" si="10"/>
        <v>01</v>
      </c>
    </row>
    <row r="703" spans="1:1">
      <c r="A703" s="14" t="str">
        <f t="shared" si="10"/>
        <v>01</v>
      </c>
    </row>
    <row r="704" spans="1:1">
      <c r="A704" s="14" t="str">
        <f t="shared" si="10"/>
        <v>01</v>
      </c>
    </row>
    <row r="705" spans="1:1">
      <c r="A705" s="14" t="str">
        <f t="shared" si="10"/>
        <v>01</v>
      </c>
    </row>
    <row r="706" spans="1:1">
      <c r="A706" s="14" t="str">
        <f t="shared" si="10"/>
        <v>01</v>
      </c>
    </row>
    <row r="707" spans="1:1">
      <c r="A707" s="14" t="str">
        <f t="shared" ref="A707:A770" si="11">TEXT(L707,"MM")</f>
        <v>01</v>
      </c>
    </row>
    <row r="708" spans="1:1">
      <c r="A708" s="14" t="str">
        <f t="shared" si="11"/>
        <v>01</v>
      </c>
    </row>
    <row r="709" spans="1:1">
      <c r="A709" s="14" t="str">
        <f t="shared" si="11"/>
        <v>01</v>
      </c>
    </row>
    <row r="710" spans="1:1">
      <c r="A710" s="14" t="str">
        <f t="shared" si="11"/>
        <v>01</v>
      </c>
    </row>
    <row r="711" spans="1:1">
      <c r="A711" s="14" t="str">
        <f t="shared" si="11"/>
        <v>01</v>
      </c>
    </row>
    <row r="712" spans="1:1">
      <c r="A712" s="14" t="str">
        <f t="shared" si="11"/>
        <v>01</v>
      </c>
    </row>
    <row r="713" spans="1:1">
      <c r="A713" s="14" t="str">
        <f t="shared" si="11"/>
        <v>01</v>
      </c>
    </row>
    <row r="714" spans="1:1">
      <c r="A714" s="14" t="str">
        <f t="shared" si="11"/>
        <v>01</v>
      </c>
    </row>
    <row r="715" spans="1:1">
      <c r="A715" s="14" t="str">
        <f t="shared" si="11"/>
        <v>01</v>
      </c>
    </row>
    <row r="716" spans="1:1">
      <c r="A716" s="14" t="str">
        <f t="shared" si="11"/>
        <v>01</v>
      </c>
    </row>
    <row r="717" spans="1:1">
      <c r="A717" s="14" t="str">
        <f t="shared" si="11"/>
        <v>01</v>
      </c>
    </row>
    <row r="718" spans="1:1">
      <c r="A718" s="14" t="str">
        <f t="shared" si="11"/>
        <v>01</v>
      </c>
    </row>
    <row r="719" spans="1:1">
      <c r="A719" s="14" t="str">
        <f t="shared" si="11"/>
        <v>01</v>
      </c>
    </row>
    <row r="720" spans="1:1">
      <c r="A720" s="14" t="str">
        <f t="shared" si="11"/>
        <v>01</v>
      </c>
    </row>
    <row r="721" spans="1:1">
      <c r="A721" s="14" t="str">
        <f t="shared" si="11"/>
        <v>01</v>
      </c>
    </row>
    <row r="722" spans="1:1">
      <c r="A722" s="14" t="str">
        <f t="shared" si="11"/>
        <v>01</v>
      </c>
    </row>
    <row r="723" spans="1:1">
      <c r="A723" s="14" t="str">
        <f t="shared" si="11"/>
        <v>01</v>
      </c>
    </row>
    <row r="724" spans="1:1">
      <c r="A724" s="14" t="str">
        <f t="shared" si="11"/>
        <v>01</v>
      </c>
    </row>
    <row r="725" spans="1:1">
      <c r="A725" s="14" t="str">
        <f t="shared" si="11"/>
        <v>01</v>
      </c>
    </row>
    <row r="726" spans="1:1">
      <c r="A726" s="14" t="str">
        <f t="shared" si="11"/>
        <v>01</v>
      </c>
    </row>
    <row r="727" spans="1:1">
      <c r="A727" s="14" t="str">
        <f t="shared" si="11"/>
        <v>01</v>
      </c>
    </row>
    <row r="728" spans="1:1">
      <c r="A728" s="14" t="str">
        <f t="shared" si="11"/>
        <v>01</v>
      </c>
    </row>
    <row r="729" spans="1:1">
      <c r="A729" s="14" t="str">
        <f t="shared" si="11"/>
        <v>01</v>
      </c>
    </row>
    <row r="730" spans="1:1">
      <c r="A730" s="14" t="str">
        <f t="shared" si="11"/>
        <v>01</v>
      </c>
    </row>
    <row r="731" spans="1:1">
      <c r="A731" s="14" t="str">
        <f t="shared" si="11"/>
        <v>01</v>
      </c>
    </row>
    <row r="732" spans="1:1">
      <c r="A732" s="14" t="str">
        <f t="shared" si="11"/>
        <v>01</v>
      </c>
    </row>
    <row r="733" spans="1:1">
      <c r="A733" s="14" t="str">
        <f t="shared" si="11"/>
        <v>01</v>
      </c>
    </row>
    <row r="734" spans="1:1">
      <c r="A734" s="14" t="str">
        <f t="shared" si="11"/>
        <v>01</v>
      </c>
    </row>
    <row r="735" spans="1:1">
      <c r="A735" s="14" t="str">
        <f t="shared" si="11"/>
        <v>01</v>
      </c>
    </row>
    <row r="736" spans="1:1">
      <c r="A736" s="14" t="str">
        <f t="shared" si="11"/>
        <v>01</v>
      </c>
    </row>
    <row r="737" spans="1:1">
      <c r="A737" s="14" t="str">
        <f t="shared" si="11"/>
        <v>01</v>
      </c>
    </row>
    <row r="738" spans="1:1">
      <c r="A738" s="14" t="str">
        <f t="shared" si="11"/>
        <v>01</v>
      </c>
    </row>
    <row r="739" spans="1:1">
      <c r="A739" s="14" t="str">
        <f t="shared" si="11"/>
        <v>01</v>
      </c>
    </row>
    <row r="740" spans="1:1">
      <c r="A740" s="14" t="str">
        <f t="shared" si="11"/>
        <v>01</v>
      </c>
    </row>
    <row r="741" spans="1:1">
      <c r="A741" s="14" t="str">
        <f t="shared" si="11"/>
        <v>01</v>
      </c>
    </row>
    <row r="742" spans="1:1">
      <c r="A742" s="14" t="str">
        <f t="shared" si="11"/>
        <v>01</v>
      </c>
    </row>
    <row r="743" spans="1:1">
      <c r="A743" s="14" t="str">
        <f t="shared" si="11"/>
        <v>01</v>
      </c>
    </row>
    <row r="744" spans="1:1">
      <c r="A744" s="14" t="str">
        <f t="shared" si="11"/>
        <v>01</v>
      </c>
    </row>
    <row r="745" spans="1:1">
      <c r="A745" s="14" t="str">
        <f t="shared" si="11"/>
        <v>01</v>
      </c>
    </row>
    <row r="746" spans="1:1">
      <c r="A746" s="14" t="str">
        <f t="shared" si="11"/>
        <v>01</v>
      </c>
    </row>
    <row r="747" spans="1:1">
      <c r="A747" s="14" t="str">
        <f t="shared" si="11"/>
        <v>01</v>
      </c>
    </row>
    <row r="748" spans="1:1">
      <c r="A748" s="14" t="str">
        <f t="shared" si="11"/>
        <v>01</v>
      </c>
    </row>
    <row r="749" spans="1:1">
      <c r="A749" s="14" t="str">
        <f t="shared" si="11"/>
        <v>01</v>
      </c>
    </row>
    <row r="750" spans="1:1">
      <c r="A750" s="14" t="str">
        <f t="shared" si="11"/>
        <v>01</v>
      </c>
    </row>
    <row r="751" spans="1:1">
      <c r="A751" s="14" t="str">
        <f t="shared" si="11"/>
        <v>01</v>
      </c>
    </row>
    <row r="752" spans="1:1">
      <c r="A752" s="14" t="str">
        <f t="shared" si="11"/>
        <v>01</v>
      </c>
    </row>
    <row r="753" spans="1:1">
      <c r="A753" s="14" t="str">
        <f t="shared" si="11"/>
        <v>01</v>
      </c>
    </row>
    <row r="754" spans="1:1">
      <c r="A754" s="14" t="str">
        <f t="shared" si="11"/>
        <v>01</v>
      </c>
    </row>
    <row r="755" spans="1:1">
      <c r="A755" s="14" t="str">
        <f t="shared" si="11"/>
        <v>01</v>
      </c>
    </row>
    <row r="756" spans="1:1">
      <c r="A756" s="14" t="str">
        <f t="shared" si="11"/>
        <v>01</v>
      </c>
    </row>
    <row r="757" spans="1:1">
      <c r="A757" s="14" t="str">
        <f t="shared" si="11"/>
        <v>01</v>
      </c>
    </row>
    <row r="758" spans="1:1">
      <c r="A758" s="14" t="str">
        <f t="shared" si="11"/>
        <v>01</v>
      </c>
    </row>
    <row r="759" spans="1:1">
      <c r="A759" s="14" t="str">
        <f t="shared" si="11"/>
        <v>01</v>
      </c>
    </row>
    <row r="760" spans="1:1">
      <c r="A760" s="14" t="str">
        <f t="shared" si="11"/>
        <v>01</v>
      </c>
    </row>
    <row r="761" spans="1:1">
      <c r="A761" s="14" t="str">
        <f t="shared" si="11"/>
        <v>01</v>
      </c>
    </row>
    <row r="762" spans="1:1">
      <c r="A762" s="14" t="str">
        <f t="shared" si="11"/>
        <v>01</v>
      </c>
    </row>
    <row r="763" spans="1:1">
      <c r="A763" s="14" t="str">
        <f t="shared" si="11"/>
        <v>01</v>
      </c>
    </row>
    <row r="764" spans="1:1">
      <c r="A764" s="14" t="str">
        <f t="shared" si="11"/>
        <v>01</v>
      </c>
    </row>
    <row r="765" spans="1:1">
      <c r="A765" s="14" t="str">
        <f t="shared" si="11"/>
        <v>01</v>
      </c>
    </row>
    <row r="766" spans="1:1">
      <c r="A766" s="14" t="str">
        <f t="shared" si="11"/>
        <v>01</v>
      </c>
    </row>
    <row r="767" spans="1:1">
      <c r="A767" s="14" t="str">
        <f t="shared" si="11"/>
        <v>01</v>
      </c>
    </row>
    <row r="768" spans="1:1">
      <c r="A768" s="14" t="str">
        <f t="shared" si="11"/>
        <v>01</v>
      </c>
    </row>
    <row r="769" spans="1:1">
      <c r="A769" s="14" t="str">
        <f t="shared" si="11"/>
        <v>01</v>
      </c>
    </row>
    <row r="770" spans="1:1">
      <c r="A770" s="14" t="str">
        <f t="shared" si="11"/>
        <v>01</v>
      </c>
    </row>
    <row r="771" spans="1:1">
      <c r="A771" s="14" t="str">
        <f t="shared" ref="A771:A834" si="12">TEXT(L771,"MM")</f>
        <v>01</v>
      </c>
    </row>
    <row r="772" spans="1:1">
      <c r="A772" s="14" t="str">
        <f t="shared" si="12"/>
        <v>01</v>
      </c>
    </row>
    <row r="773" spans="1:1">
      <c r="A773" s="14" t="str">
        <f t="shared" si="12"/>
        <v>01</v>
      </c>
    </row>
    <row r="774" spans="1:1">
      <c r="A774" s="14" t="str">
        <f t="shared" si="12"/>
        <v>01</v>
      </c>
    </row>
    <row r="775" spans="1:1">
      <c r="A775" s="14" t="str">
        <f t="shared" si="12"/>
        <v>01</v>
      </c>
    </row>
    <row r="776" spans="1:1">
      <c r="A776" s="14" t="str">
        <f t="shared" si="12"/>
        <v>01</v>
      </c>
    </row>
    <row r="777" spans="1:1">
      <c r="A777" s="14" t="str">
        <f t="shared" si="12"/>
        <v>01</v>
      </c>
    </row>
    <row r="778" spans="1:1">
      <c r="A778" s="14" t="str">
        <f t="shared" si="12"/>
        <v>01</v>
      </c>
    </row>
    <row r="779" spans="1:1">
      <c r="A779" s="14" t="str">
        <f t="shared" si="12"/>
        <v>01</v>
      </c>
    </row>
    <row r="780" spans="1:1">
      <c r="A780" s="14" t="str">
        <f t="shared" si="12"/>
        <v>01</v>
      </c>
    </row>
    <row r="781" spans="1:1">
      <c r="A781" s="14" t="str">
        <f t="shared" si="12"/>
        <v>01</v>
      </c>
    </row>
    <row r="782" spans="1:1">
      <c r="A782" s="14" t="str">
        <f t="shared" si="12"/>
        <v>01</v>
      </c>
    </row>
    <row r="783" spans="1:1">
      <c r="A783" s="14" t="str">
        <f t="shared" si="12"/>
        <v>01</v>
      </c>
    </row>
    <row r="784" spans="1:1">
      <c r="A784" s="14" t="str">
        <f t="shared" si="12"/>
        <v>01</v>
      </c>
    </row>
    <row r="785" spans="1:1">
      <c r="A785" s="14" t="str">
        <f t="shared" si="12"/>
        <v>01</v>
      </c>
    </row>
    <row r="786" spans="1:1">
      <c r="A786" s="14" t="str">
        <f t="shared" si="12"/>
        <v>01</v>
      </c>
    </row>
    <row r="787" spans="1:1">
      <c r="A787" s="14" t="str">
        <f t="shared" si="12"/>
        <v>01</v>
      </c>
    </row>
    <row r="788" spans="1:1">
      <c r="A788" s="14" t="str">
        <f t="shared" si="12"/>
        <v>01</v>
      </c>
    </row>
    <row r="789" spans="1:1">
      <c r="A789" s="14" t="str">
        <f t="shared" si="12"/>
        <v>01</v>
      </c>
    </row>
    <row r="790" spans="1:1">
      <c r="A790" s="14" t="str">
        <f t="shared" si="12"/>
        <v>01</v>
      </c>
    </row>
    <row r="791" spans="1:1">
      <c r="A791" s="14" t="str">
        <f t="shared" si="12"/>
        <v>01</v>
      </c>
    </row>
    <row r="792" spans="1:1">
      <c r="A792" s="14" t="str">
        <f t="shared" si="12"/>
        <v>01</v>
      </c>
    </row>
    <row r="793" spans="1:1">
      <c r="A793" s="14" t="str">
        <f t="shared" si="12"/>
        <v>01</v>
      </c>
    </row>
    <row r="794" spans="1:1">
      <c r="A794" s="14" t="str">
        <f t="shared" si="12"/>
        <v>01</v>
      </c>
    </row>
    <row r="795" spans="1:1">
      <c r="A795" s="14" t="str">
        <f t="shared" si="12"/>
        <v>01</v>
      </c>
    </row>
    <row r="796" spans="1:1">
      <c r="A796" s="14" t="str">
        <f t="shared" si="12"/>
        <v>01</v>
      </c>
    </row>
    <row r="797" spans="1:1">
      <c r="A797" s="14" t="str">
        <f t="shared" si="12"/>
        <v>01</v>
      </c>
    </row>
    <row r="798" spans="1:1">
      <c r="A798" s="14" t="str">
        <f t="shared" si="12"/>
        <v>01</v>
      </c>
    </row>
    <row r="799" spans="1:1">
      <c r="A799" s="14" t="str">
        <f t="shared" si="12"/>
        <v>01</v>
      </c>
    </row>
    <row r="800" spans="1:1">
      <c r="A800" s="14" t="str">
        <f t="shared" si="12"/>
        <v>01</v>
      </c>
    </row>
    <row r="801" spans="1:1">
      <c r="A801" s="14" t="str">
        <f t="shared" si="12"/>
        <v>01</v>
      </c>
    </row>
    <row r="802" spans="1:1">
      <c r="A802" s="14" t="str">
        <f t="shared" si="12"/>
        <v>01</v>
      </c>
    </row>
    <row r="803" spans="1:1">
      <c r="A803" s="14" t="str">
        <f t="shared" si="12"/>
        <v>01</v>
      </c>
    </row>
    <row r="804" spans="1:1">
      <c r="A804" s="14" t="str">
        <f t="shared" si="12"/>
        <v>01</v>
      </c>
    </row>
    <row r="805" spans="1:1">
      <c r="A805" s="14" t="str">
        <f t="shared" si="12"/>
        <v>01</v>
      </c>
    </row>
    <row r="806" spans="1:1">
      <c r="A806" s="14" t="str">
        <f t="shared" si="12"/>
        <v>01</v>
      </c>
    </row>
    <row r="807" spans="1:1">
      <c r="A807" s="14" t="str">
        <f t="shared" si="12"/>
        <v>01</v>
      </c>
    </row>
    <row r="808" spans="1:1">
      <c r="A808" s="14" t="str">
        <f t="shared" si="12"/>
        <v>01</v>
      </c>
    </row>
    <row r="809" spans="1:1">
      <c r="A809" s="14" t="str">
        <f t="shared" si="12"/>
        <v>01</v>
      </c>
    </row>
    <row r="810" spans="1:1">
      <c r="A810" s="14" t="str">
        <f t="shared" si="12"/>
        <v>01</v>
      </c>
    </row>
    <row r="811" spans="1:1">
      <c r="A811" s="14" t="str">
        <f t="shared" si="12"/>
        <v>01</v>
      </c>
    </row>
    <row r="812" spans="1:1">
      <c r="A812" s="14" t="str">
        <f t="shared" si="12"/>
        <v>01</v>
      </c>
    </row>
    <row r="813" spans="1:1">
      <c r="A813" s="14" t="str">
        <f t="shared" si="12"/>
        <v>01</v>
      </c>
    </row>
    <row r="814" spans="1:1">
      <c r="A814" s="14" t="str">
        <f t="shared" si="12"/>
        <v>01</v>
      </c>
    </row>
    <row r="815" spans="1:1">
      <c r="A815" s="14" t="str">
        <f t="shared" si="12"/>
        <v>01</v>
      </c>
    </row>
    <row r="816" spans="1:1">
      <c r="A816" s="14" t="str">
        <f t="shared" si="12"/>
        <v>01</v>
      </c>
    </row>
    <row r="817" spans="1:1">
      <c r="A817" s="14" t="str">
        <f t="shared" si="12"/>
        <v>01</v>
      </c>
    </row>
    <row r="818" spans="1:1">
      <c r="A818" s="14" t="str">
        <f t="shared" si="12"/>
        <v>01</v>
      </c>
    </row>
    <row r="819" spans="1:1">
      <c r="A819" s="14" t="str">
        <f t="shared" si="12"/>
        <v>01</v>
      </c>
    </row>
    <row r="820" spans="1:1">
      <c r="A820" s="14" t="str">
        <f t="shared" si="12"/>
        <v>01</v>
      </c>
    </row>
    <row r="821" spans="1:1">
      <c r="A821" s="14" t="str">
        <f t="shared" si="12"/>
        <v>01</v>
      </c>
    </row>
    <row r="822" spans="1:1">
      <c r="A822" s="14" t="str">
        <f t="shared" si="12"/>
        <v>01</v>
      </c>
    </row>
    <row r="823" spans="1:1">
      <c r="A823" s="14" t="str">
        <f t="shared" si="12"/>
        <v>01</v>
      </c>
    </row>
    <row r="824" spans="1:1">
      <c r="A824" s="14" t="str">
        <f t="shared" si="12"/>
        <v>01</v>
      </c>
    </row>
    <row r="825" spans="1:1">
      <c r="A825" s="14" t="str">
        <f t="shared" si="12"/>
        <v>01</v>
      </c>
    </row>
    <row r="826" spans="1:1">
      <c r="A826" s="14" t="str">
        <f t="shared" si="12"/>
        <v>01</v>
      </c>
    </row>
    <row r="827" spans="1:1">
      <c r="A827" s="14" t="str">
        <f t="shared" si="12"/>
        <v>01</v>
      </c>
    </row>
    <row r="828" spans="1:1">
      <c r="A828" s="14" t="str">
        <f t="shared" si="12"/>
        <v>01</v>
      </c>
    </row>
    <row r="829" spans="1:1">
      <c r="A829" s="14" t="str">
        <f t="shared" si="12"/>
        <v>01</v>
      </c>
    </row>
    <row r="830" spans="1:1">
      <c r="A830" s="14" t="str">
        <f t="shared" si="12"/>
        <v>01</v>
      </c>
    </row>
    <row r="831" spans="1:1">
      <c r="A831" s="14" t="str">
        <f t="shared" si="12"/>
        <v>01</v>
      </c>
    </row>
    <row r="832" spans="1:1">
      <c r="A832" s="14" t="str">
        <f t="shared" si="12"/>
        <v>01</v>
      </c>
    </row>
    <row r="833" spans="1:1">
      <c r="A833" s="14" t="str">
        <f t="shared" si="12"/>
        <v>01</v>
      </c>
    </row>
    <row r="834" spans="1:1">
      <c r="A834" s="14" t="str">
        <f t="shared" si="12"/>
        <v>01</v>
      </c>
    </row>
    <row r="835" spans="1:1">
      <c r="A835" s="14" t="str">
        <f t="shared" ref="A835:A898" si="13">TEXT(L835,"MM")</f>
        <v>01</v>
      </c>
    </row>
    <row r="836" spans="1:1">
      <c r="A836" s="14" t="str">
        <f t="shared" si="13"/>
        <v>01</v>
      </c>
    </row>
    <row r="837" spans="1:1">
      <c r="A837" s="14" t="str">
        <f t="shared" si="13"/>
        <v>01</v>
      </c>
    </row>
    <row r="838" spans="1:1">
      <c r="A838" s="14" t="str">
        <f t="shared" si="13"/>
        <v>01</v>
      </c>
    </row>
    <row r="839" spans="1:1">
      <c r="A839" s="14" t="str">
        <f t="shared" si="13"/>
        <v>01</v>
      </c>
    </row>
    <row r="840" spans="1:1">
      <c r="A840" s="14" t="str">
        <f t="shared" si="13"/>
        <v>01</v>
      </c>
    </row>
    <row r="841" spans="1:1">
      <c r="A841" s="14" t="str">
        <f t="shared" si="13"/>
        <v>01</v>
      </c>
    </row>
    <row r="842" spans="1:1">
      <c r="A842" s="14" t="str">
        <f t="shared" si="13"/>
        <v>01</v>
      </c>
    </row>
    <row r="843" spans="1:1">
      <c r="A843" s="14" t="str">
        <f t="shared" si="13"/>
        <v>01</v>
      </c>
    </row>
    <row r="844" spans="1:1">
      <c r="A844" s="14" t="str">
        <f t="shared" si="13"/>
        <v>01</v>
      </c>
    </row>
    <row r="845" spans="1:1">
      <c r="A845" s="14" t="str">
        <f t="shared" si="13"/>
        <v>01</v>
      </c>
    </row>
    <row r="846" spans="1:1">
      <c r="A846" s="14" t="str">
        <f t="shared" si="13"/>
        <v>01</v>
      </c>
    </row>
    <row r="847" spans="1:1">
      <c r="A847" s="14" t="str">
        <f t="shared" si="13"/>
        <v>01</v>
      </c>
    </row>
    <row r="848" spans="1:1">
      <c r="A848" s="14" t="str">
        <f t="shared" si="13"/>
        <v>01</v>
      </c>
    </row>
    <row r="849" spans="1:1">
      <c r="A849" s="14" t="str">
        <f t="shared" si="13"/>
        <v>01</v>
      </c>
    </row>
    <row r="850" spans="1:1">
      <c r="A850" s="14" t="str">
        <f t="shared" si="13"/>
        <v>01</v>
      </c>
    </row>
    <row r="851" spans="1:1">
      <c r="A851" s="14" t="str">
        <f t="shared" si="13"/>
        <v>01</v>
      </c>
    </row>
    <row r="852" spans="1:1">
      <c r="A852" s="14" t="str">
        <f t="shared" si="13"/>
        <v>01</v>
      </c>
    </row>
    <row r="853" spans="1:1">
      <c r="A853" s="14" t="str">
        <f t="shared" si="13"/>
        <v>01</v>
      </c>
    </row>
    <row r="854" spans="1:1">
      <c r="A854" s="14" t="str">
        <f t="shared" si="13"/>
        <v>01</v>
      </c>
    </row>
    <row r="855" spans="1:1">
      <c r="A855" s="14" t="str">
        <f t="shared" si="13"/>
        <v>01</v>
      </c>
    </row>
    <row r="856" spans="1:1">
      <c r="A856" s="14" t="str">
        <f t="shared" si="13"/>
        <v>01</v>
      </c>
    </row>
    <row r="857" spans="1:1">
      <c r="A857" s="14" t="str">
        <f t="shared" si="13"/>
        <v>01</v>
      </c>
    </row>
    <row r="858" spans="1:1">
      <c r="A858" s="14" t="str">
        <f t="shared" si="13"/>
        <v>01</v>
      </c>
    </row>
    <row r="859" spans="1:1">
      <c r="A859" s="14" t="str">
        <f t="shared" si="13"/>
        <v>01</v>
      </c>
    </row>
    <row r="860" spans="1:1">
      <c r="A860" s="14" t="str">
        <f t="shared" si="13"/>
        <v>01</v>
      </c>
    </row>
    <row r="861" spans="1:1">
      <c r="A861" s="14" t="str">
        <f t="shared" si="13"/>
        <v>01</v>
      </c>
    </row>
    <row r="862" spans="1:1">
      <c r="A862" s="14" t="str">
        <f t="shared" si="13"/>
        <v>01</v>
      </c>
    </row>
    <row r="863" spans="1:1">
      <c r="A863" s="14" t="str">
        <f t="shared" si="13"/>
        <v>01</v>
      </c>
    </row>
    <row r="864" spans="1:1">
      <c r="A864" s="14" t="str">
        <f t="shared" si="13"/>
        <v>01</v>
      </c>
    </row>
    <row r="865" spans="1:1">
      <c r="A865" s="14" t="str">
        <f t="shared" si="13"/>
        <v>01</v>
      </c>
    </row>
    <row r="866" spans="1:1">
      <c r="A866" s="14" t="str">
        <f t="shared" si="13"/>
        <v>01</v>
      </c>
    </row>
    <row r="867" spans="1:1">
      <c r="A867" s="14" t="str">
        <f t="shared" si="13"/>
        <v>01</v>
      </c>
    </row>
    <row r="868" spans="1:1">
      <c r="A868" s="14" t="str">
        <f t="shared" si="13"/>
        <v>01</v>
      </c>
    </row>
    <row r="869" spans="1:1">
      <c r="A869" s="14" t="str">
        <f t="shared" si="13"/>
        <v>01</v>
      </c>
    </row>
    <row r="870" spans="1:1">
      <c r="A870" s="14" t="str">
        <f t="shared" si="13"/>
        <v>01</v>
      </c>
    </row>
    <row r="871" spans="1:1">
      <c r="A871" s="14" t="str">
        <f t="shared" si="13"/>
        <v>01</v>
      </c>
    </row>
    <row r="872" spans="1:1">
      <c r="A872" s="14" t="str">
        <f t="shared" si="13"/>
        <v>01</v>
      </c>
    </row>
    <row r="873" spans="1:1">
      <c r="A873" s="14" t="str">
        <f t="shared" si="13"/>
        <v>01</v>
      </c>
    </row>
    <row r="874" spans="1:1">
      <c r="A874" s="14" t="str">
        <f t="shared" si="13"/>
        <v>01</v>
      </c>
    </row>
    <row r="875" spans="1:1">
      <c r="A875" s="14" t="str">
        <f t="shared" si="13"/>
        <v>01</v>
      </c>
    </row>
    <row r="876" spans="1:1">
      <c r="A876" s="14" t="str">
        <f t="shared" si="13"/>
        <v>01</v>
      </c>
    </row>
    <row r="877" spans="1:1">
      <c r="A877" s="14" t="str">
        <f t="shared" si="13"/>
        <v>01</v>
      </c>
    </row>
    <row r="878" spans="1:1">
      <c r="A878" s="14" t="str">
        <f t="shared" si="13"/>
        <v>01</v>
      </c>
    </row>
    <row r="879" spans="1:1">
      <c r="A879" s="14" t="str">
        <f t="shared" si="13"/>
        <v>01</v>
      </c>
    </row>
    <row r="880" spans="1:1">
      <c r="A880" s="14" t="str">
        <f t="shared" si="13"/>
        <v>01</v>
      </c>
    </row>
    <row r="881" spans="1:1">
      <c r="A881" s="14" t="str">
        <f t="shared" si="13"/>
        <v>01</v>
      </c>
    </row>
    <row r="882" spans="1:1">
      <c r="A882" s="14" t="str">
        <f t="shared" si="13"/>
        <v>01</v>
      </c>
    </row>
    <row r="883" spans="1:1">
      <c r="A883" s="14" t="str">
        <f t="shared" si="13"/>
        <v>01</v>
      </c>
    </row>
    <row r="884" spans="1:1">
      <c r="A884" s="14" t="str">
        <f t="shared" si="13"/>
        <v>01</v>
      </c>
    </row>
    <row r="885" spans="1:1">
      <c r="A885" s="14" t="str">
        <f t="shared" si="13"/>
        <v>01</v>
      </c>
    </row>
    <row r="886" spans="1:1">
      <c r="A886" s="14" t="str">
        <f t="shared" si="13"/>
        <v>01</v>
      </c>
    </row>
    <row r="887" spans="1:1">
      <c r="A887" s="14" t="str">
        <f t="shared" si="13"/>
        <v>01</v>
      </c>
    </row>
    <row r="888" spans="1:1">
      <c r="A888" s="14" t="str">
        <f t="shared" si="13"/>
        <v>01</v>
      </c>
    </row>
    <row r="889" spans="1:1">
      <c r="A889" s="14" t="str">
        <f t="shared" si="13"/>
        <v>01</v>
      </c>
    </row>
    <row r="890" spans="1:1">
      <c r="A890" s="14" t="str">
        <f t="shared" si="13"/>
        <v>01</v>
      </c>
    </row>
    <row r="891" spans="1:1">
      <c r="A891" s="14" t="str">
        <f t="shared" si="13"/>
        <v>01</v>
      </c>
    </row>
    <row r="892" spans="1:1">
      <c r="A892" s="14" t="str">
        <f t="shared" si="13"/>
        <v>01</v>
      </c>
    </row>
    <row r="893" spans="1:1">
      <c r="A893" s="14" t="str">
        <f t="shared" si="13"/>
        <v>01</v>
      </c>
    </row>
    <row r="894" spans="1:1">
      <c r="A894" s="14" t="str">
        <f t="shared" si="13"/>
        <v>01</v>
      </c>
    </row>
    <row r="895" spans="1:1">
      <c r="A895" s="14" t="str">
        <f t="shared" si="13"/>
        <v>01</v>
      </c>
    </row>
    <row r="896" spans="1:1">
      <c r="A896" s="14" t="str">
        <f t="shared" si="13"/>
        <v>01</v>
      </c>
    </row>
    <row r="897" spans="1:1">
      <c r="A897" s="14" t="str">
        <f t="shared" si="13"/>
        <v>01</v>
      </c>
    </row>
    <row r="898" spans="1:1">
      <c r="A898" s="14" t="str">
        <f t="shared" si="13"/>
        <v>01</v>
      </c>
    </row>
    <row r="899" spans="1:1">
      <c r="A899" s="14" t="str">
        <f t="shared" ref="A899:A962" si="14">TEXT(L899,"MM")</f>
        <v>01</v>
      </c>
    </row>
    <row r="900" spans="1:1">
      <c r="A900" s="14" t="str">
        <f t="shared" si="14"/>
        <v>01</v>
      </c>
    </row>
    <row r="901" spans="1:1">
      <c r="A901" s="14" t="str">
        <f t="shared" si="14"/>
        <v>01</v>
      </c>
    </row>
    <row r="902" spans="1:1">
      <c r="A902" s="14" t="str">
        <f t="shared" si="14"/>
        <v>01</v>
      </c>
    </row>
    <row r="903" spans="1:1">
      <c r="A903" s="14" t="str">
        <f t="shared" si="14"/>
        <v>01</v>
      </c>
    </row>
    <row r="904" spans="1:1">
      <c r="A904" s="14" t="str">
        <f t="shared" si="14"/>
        <v>01</v>
      </c>
    </row>
    <row r="905" spans="1:1">
      <c r="A905" s="14" t="str">
        <f t="shared" si="14"/>
        <v>01</v>
      </c>
    </row>
    <row r="906" spans="1:1">
      <c r="A906" s="14" t="str">
        <f t="shared" si="14"/>
        <v>01</v>
      </c>
    </row>
    <row r="907" spans="1:1">
      <c r="A907" s="14" t="str">
        <f t="shared" si="14"/>
        <v>01</v>
      </c>
    </row>
    <row r="908" spans="1:1">
      <c r="A908" s="14" t="str">
        <f t="shared" si="14"/>
        <v>01</v>
      </c>
    </row>
    <row r="909" spans="1:1">
      <c r="A909" s="14" t="str">
        <f t="shared" si="14"/>
        <v>01</v>
      </c>
    </row>
    <row r="910" spans="1:1">
      <c r="A910" s="14" t="str">
        <f t="shared" si="14"/>
        <v>01</v>
      </c>
    </row>
    <row r="911" spans="1:1">
      <c r="A911" s="14" t="str">
        <f t="shared" si="14"/>
        <v>01</v>
      </c>
    </row>
    <row r="912" spans="1:1">
      <c r="A912" s="14" t="str">
        <f t="shared" si="14"/>
        <v>01</v>
      </c>
    </row>
    <row r="913" spans="1:1">
      <c r="A913" s="14" t="str">
        <f t="shared" si="14"/>
        <v>01</v>
      </c>
    </row>
    <row r="914" spans="1:1">
      <c r="A914" s="14" t="str">
        <f t="shared" si="14"/>
        <v>01</v>
      </c>
    </row>
    <row r="915" spans="1:1">
      <c r="A915" s="14" t="str">
        <f t="shared" si="14"/>
        <v>01</v>
      </c>
    </row>
    <row r="916" spans="1:1">
      <c r="A916" s="14" t="str">
        <f t="shared" si="14"/>
        <v>01</v>
      </c>
    </row>
    <row r="917" spans="1:1">
      <c r="A917" s="14" t="str">
        <f t="shared" si="14"/>
        <v>01</v>
      </c>
    </row>
    <row r="918" spans="1:1">
      <c r="A918" s="14" t="str">
        <f t="shared" si="14"/>
        <v>01</v>
      </c>
    </row>
    <row r="919" spans="1:1">
      <c r="A919" s="14" t="str">
        <f t="shared" si="14"/>
        <v>01</v>
      </c>
    </row>
    <row r="920" spans="1:1">
      <c r="A920" s="14" t="str">
        <f t="shared" si="14"/>
        <v>01</v>
      </c>
    </row>
    <row r="921" spans="1:1">
      <c r="A921" s="14" t="str">
        <f t="shared" si="14"/>
        <v>01</v>
      </c>
    </row>
    <row r="922" spans="1:1">
      <c r="A922" s="14" t="str">
        <f t="shared" si="14"/>
        <v>01</v>
      </c>
    </row>
    <row r="923" spans="1:1">
      <c r="A923" s="14" t="str">
        <f t="shared" si="14"/>
        <v>01</v>
      </c>
    </row>
    <row r="924" spans="1:1">
      <c r="A924" s="14" t="str">
        <f t="shared" si="14"/>
        <v>01</v>
      </c>
    </row>
    <row r="925" spans="1:1">
      <c r="A925" s="14" t="str">
        <f t="shared" si="14"/>
        <v>01</v>
      </c>
    </row>
    <row r="926" spans="1:1">
      <c r="A926" s="14" t="str">
        <f t="shared" si="14"/>
        <v>01</v>
      </c>
    </row>
    <row r="927" spans="1:1">
      <c r="A927" s="14" t="str">
        <f t="shared" si="14"/>
        <v>01</v>
      </c>
    </row>
    <row r="928" spans="1:1">
      <c r="A928" s="14" t="str">
        <f t="shared" si="14"/>
        <v>01</v>
      </c>
    </row>
    <row r="929" spans="1:1">
      <c r="A929" s="14" t="str">
        <f t="shared" si="14"/>
        <v>01</v>
      </c>
    </row>
    <row r="930" spans="1:1">
      <c r="A930" s="14" t="str">
        <f t="shared" si="14"/>
        <v>01</v>
      </c>
    </row>
    <row r="931" spans="1:1">
      <c r="A931" s="14" t="str">
        <f t="shared" si="14"/>
        <v>01</v>
      </c>
    </row>
    <row r="932" spans="1:1">
      <c r="A932" s="14" t="str">
        <f t="shared" si="14"/>
        <v>01</v>
      </c>
    </row>
    <row r="933" spans="1:1">
      <c r="A933" s="14" t="str">
        <f t="shared" si="14"/>
        <v>01</v>
      </c>
    </row>
    <row r="934" spans="1:1">
      <c r="A934" s="14" t="str">
        <f t="shared" si="14"/>
        <v>01</v>
      </c>
    </row>
    <row r="935" spans="1:1">
      <c r="A935" s="14" t="str">
        <f t="shared" si="14"/>
        <v>01</v>
      </c>
    </row>
    <row r="936" spans="1:1">
      <c r="A936" s="14" t="str">
        <f t="shared" si="14"/>
        <v>01</v>
      </c>
    </row>
    <row r="937" spans="1:1">
      <c r="A937" s="14" t="str">
        <f t="shared" si="14"/>
        <v>01</v>
      </c>
    </row>
    <row r="938" spans="1:1">
      <c r="A938" s="14" t="str">
        <f t="shared" si="14"/>
        <v>01</v>
      </c>
    </row>
    <row r="939" spans="1:1">
      <c r="A939" s="14" t="str">
        <f t="shared" si="14"/>
        <v>01</v>
      </c>
    </row>
    <row r="940" spans="1:1">
      <c r="A940" s="14" t="str">
        <f t="shared" si="14"/>
        <v>01</v>
      </c>
    </row>
    <row r="941" spans="1:1">
      <c r="A941" s="14" t="str">
        <f t="shared" si="14"/>
        <v>01</v>
      </c>
    </row>
    <row r="942" spans="1:1">
      <c r="A942" s="14" t="str">
        <f t="shared" si="14"/>
        <v>01</v>
      </c>
    </row>
    <row r="943" spans="1:1">
      <c r="A943" s="14" t="str">
        <f t="shared" si="14"/>
        <v>01</v>
      </c>
    </row>
    <row r="944" spans="1:1">
      <c r="A944" s="14" t="str">
        <f t="shared" si="14"/>
        <v>01</v>
      </c>
    </row>
    <row r="945" spans="1:1">
      <c r="A945" s="14" t="str">
        <f t="shared" si="14"/>
        <v>01</v>
      </c>
    </row>
    <row r="946" spans="1:1">
      <c r="A946" s="14" t="str">
        <f t="shared" si="14"/>
        <v>01</v>
      </c>
    </row>
    <row r="947" spans="1:1">
      <c r="A947" s="14" t="str">
        <f t="shared" si="14"/>
        <v>01</v>
      </c>
    </row>
    <row r="948" spans="1:1">
      <c r="A948" s="14" t="str">
        <f t="shared" si="14"/>
        <v>01</v>
      </c>
    </row>
    <row r="949" spans="1:1">
      <c r="A949" s="14" t="str">
        <f t="shared" si="14"/>
        <v>01</v>
      </c>
    </row>
    <row r="950" spans="1:1">
      <c r="A950" s="14" t="str">
        <f t="shared" si="14"/>
        <v>01</v>
      </c>
    </row>
    <row r="951" spans="1:1">
      <c r="A951" s="14" t="str">
        <f t="shared" si="14"/>
        <v>01</v>
      </c>
    </row>
    <row r="952" spans="1:1">
      <c r="A952" s="14" t="str">
        <f t="shared" si="14"/>
        <v>01</v>
      </c>
    </row>
    <row r="953" spans="1:1">
      <c r="A953" s="14" t="str">
        <f t="shared" si="14"/>
        <v>01</v>
      </c>
    </row>
    <row r="954" spans="1:1">
      <c r="A954" s="14" t="str">
        <f t="shared" si="14"/>
        <v>01</v>
      </c>
    </row>
    <row r="955" spans="1:1">
      <c r="A955" s="14" t="str">
        <f t="shared" si="14"/>
        <v>01</v>
      </c>
    </row>
    <row r="956" spans="1:1">
      <c r="A956" s="14" t="str">
        <f t="shared" si="14"/>
        <v>01</v>
      </c>
    </row>
    <row r="957" spans="1:1">
      <c r="A957" s="14" t="str">
        <f t="shared" si="14"/>
        <v>01</v>
      </c>
    </row>
    <row r="958" spans="1:1">
      <c r="A958" s="14" t="str">
        <f t="shared" si="14"/>
        <v>01</v>
      </c>
    </row>
    <row r="959" spans="1:1">
      <c r="A959" s="14" t="str">
        <f t="shared" si="14"/>
        <v>01</v>
      </c>
    </row>
    <row r="960" spans="1:1">
      <c r="A960" s="14" t="str">
        <f t="shared" si="14"/>
        <v>01</v>
      </c>
    </row>
    <row r="961" spans="1:1">
      <c r="A961" s="14" t="str">
        <f t="shared" si="14"/>
        <v>01</v>
      </c>
    </row>
    <row r="962" spans="1:1">
      <c r="A962" s="14" t="str">
        <f t="shared" si="14"/>
        <v>01</v>
      </c>
    </row>
    <row r="963" spans="1:1">
      <c r="A963" s="14" t="str">
        <f t="shared" ref="A963:A1026" si="15">TEXT(L963,"MM")</f>
        <v>01</v>
      </c>
    </row>
    <row r="964" spans="1:1">
      <c r="A964" s="14" t="str">
        <f t="shared" si="15"/>
        <v>01</v>
      </c>
    </row>
    <row r="965" spans="1:1">
      <c r="A965" s="14" t="str">
        <f t="shared" si="15"/>
        <v>01</v>
      </c>
    </row>
    <row r="966" spans="1:1">
      <c r="A966" s="14" t="str">
        <f t="shared" si="15"/>
        <v>01</v>
      </c>
    </row>
    <row r="967" spans="1:1">
      <c r="A967" s="14" t="str">
        <f t="shared" si="15"/>
        <v>01</v>
      </c>
    </row>
    <row r="968" spans="1:1">
      <c r="A968" s="14" t="str">
        <f t="shared" si="15"/>
        <v>01</v>
      </c>
    </row>
    <row r="969" spans="1:1">
      <c r="A969" s="14" t="str">
        <f t="shared" si="15"/>
        <v>01</v>
      </c>
    </row>
    <row r="970" spans="1:1">
      <c r="A970" s="14" t="str">
        <f t="shared" si="15"/>
        <v>01</v>
      </c>
    </row>
    <row r="971" spans="1:1">
      <c r="A971" s="14" t="str">
        <f t="shared" si="15"/>
        <v>01</v>
      </c>
    </row>
    <row r="972" spans="1:1">
      <c r="A972" s="14" t="str">
        <f t="shared" si="15"/>
        <v>01</v>
      </c>
    </row>
    <row r="973" spans="1:1">
      <c r="A973" s="14" t="str">
        <f t="shared" si="15"/>
        <v>01</v>
      </c>
    </row>
    <row r="974" spans="1:1">
      <c r="A974" s="14" t="str">
        <f t="shared" si="15"/>
        <v>01</v>
      </c>
    </row>
    <row r="975" spans="1:1">
      <c r="A975" s="14" t="str">
        <f t="shared" si="15"/>
        <v>01</v>
      </c>
    </row>
    <row r="976" spans="1:1">
      <c r="A976" s="14" t="str">
        <f t="shared" si="15"/>
        <v>01</v>
      </c>
    </row>
    <row r="977" spans="1:1">
      <c r="A977" s="14" t="str">
        <f t="shared" si="15"/>
        <v>01</v>
      </c>
    </row>
    <row r="978" spans="1:1">
      <c r="A978" s="14" t="str">
        <f t="shared" si="15"/>
        <v>01</v>
      </c>
    </row>
    <row r="979" spans="1:1">
      <c r="A979" s="14" t="str">
        <f t="shared" si="15"/>
        <v>01</v>
      </c>
    </row>
    <row r="980" spans="1:1">
      <c r="A980" s="14" t="str">
        <f t="shared" si="15"/>
        <v>01</v>
      </c>
    </row>
    <row r="981" spans="1:1">
      <c r="A981" s="14" t="str">
        <f t="shared" si="15"/>
        <v>01</v>
      </c>
    </row>
    <row r="982" spans="1:1">
      <c r="A982" s="14" t="str">
        <f t="shared" si="15"/>
        <v>01</v>
      </c>
    </row>
    <row r="983" spans="1:1">
      <c r="A983" s="14" t="str">
        <f t="shared" si="15"/>
        <v>01</v>
      </c>
    </row>
    <row r="984" spans="1:1">
      <c r="A984" s="14" t="str">
        <f t="shared" si="15"/>
        <v>01</v>
      </c>
    </row>
    <row r="985" spans="1:1">
      <c r="A985" s="14" t="str">
        <f t="shared" si="15"/>
        <v>01</v>
      </c>
    </row>
    <row r="986" spans="1:1">
      <c r="A986" s="14" t="str">
        <f t="shared" si="15"/>
        <v>01</v>
      </c>
    </row>
    <row r="987" spans="1:1">
      <c r="A987" s="14" t="str">
        <f t="shared" si="15"/>
        <v>01</v>
      </c>
    </row>
    <row r="988" spans="1:1">
      <c r="A988" s="14" t="str">
        <f t="shared" si="15"/>
        <v>01</v>
      </c>
    </row>
    <row r="989" spans="1:1">
      <c r="A989" s="14" t="str">
        <f t="shared" si="15"/>
        <v>01</v>
      </c>
    </row>
    <row r="990" spans="1:1">
      <c r="A990" s="14" t="str">
        <f t="shared" si="15"/>
        <v>01</v>
      </c>
    </row>
    <row r="991" spans="1:1">
      <c r="A991" s="14" t="str">
        <f t="shared" si="15"/>
        <v>01</v>
      </c>
    </row>
    <row r="992" spans="1:1">
      <c r="A992" s="14" t="str">
        <f t="shared" si="15"/>
        <v>01</v>
      </c>
    </row>
    <row r="993" spans="1:1">
      <c r="A993" s="14" t="str">
        <f t="shared" si="15"/>
        <v>01</v>
      </c>
    </row>
    <row r="994" spans="1:1">
      <c r="A994" s="14" t="str">
        <f t="shared" si="15"/>
        <v>01</v>
      </c>
    </row>
    <row r="995" spans="1:1">
      <c r="A995" s="14" t="str">
        <f t="shared" si="15"/>
        <v>01</v>
      </c>
    </row>
    <row r="996" spans="1:1">
      <c r="A996" s="14" t="str">
        <f t="shared" si="15"/>
        <v>01</v>
      </c>
    </row>
    <row r="997" spans="1:1">
      <c r="A997" s="14" t="str">
        <f t="shared" si="15"/>
        <v>01</v>
      </c>
    </row>
    <row r="998" spans="1:1">
      <c r="A998" s="14" t="str">
        <f t="shared" si="15"/>
        <v>01</v>
      </c>
    </row>
    <row r="999" spans="1:1">
      <c r="A999" s="14" t="str">
        <f t="shared" si="15"/>
        <v>01</v>
      </c>
    </row>
    <row r="1000" spans="1:1">
      <c r="A1000" s="14" t="str">
        <f t="shared" si="15"/>
        <v>01</v>
      </c>
    </row>
    <row r="1001" spans="1:1">
      <c r="A1001" s="14" t="str">
        <f t="shared" si="15"/>
        <v>01</v>
      </c>
    </row>
    <row r="1002" spans="1:1">
      <c r="A1002" s="14" t="str">
        <f t="shared" si="15"/>
        <v>01</v>
      </c>
    </row>
    <row r="1003" spans="1:1">
      <c r="A1003" s="14" t="str">
        <f t="shared" si="15"/>
        <v>01</v>
      </c>
    </row>
    <row r="1004" spans="1:1">
      <c r="A1004" s="14" t="str">
        <f t="shared" si="15"/>
        <v>01</v>
      </c>
    </row>
    <row r="1005" spans="1:1">
      <c r="A1005" s="14" t="str">
        <f t="shared" si="15"/>
        <v>01</v>
      </c>
    </row>
    <row r="1006" spans="1:1">
      <c r="A1006" s="14" t="str">
        <f t="shared" si="15"/>
        <v>01</v>
      </c>
    </row>
    <row r="1007" spans="1:1">
      <c r="A1007" s="14" t="str">
        <f t="shared" si="15"/>
        <v>01</v>
      </c>
    </row>
    <row r="1008" spans="1:1">
      <c r="A1008" s="14" t="str">
        <f t="shared" si="15"/>
        <v>01</v>
      </c>
    </row>
    <row r="1009" spans="1:1">
      <c r="A1009" s="14" t="str">
        <f t="shared" si="15"/>
        <v>01</v>
      </c>
    </row>
    <row r="1010" spans="1:1">
      <c r="A1010" s="14" t="str">
        <f t="shared" si="15"/>
        <v>01</v>
      </c>
    </row>
    <row r="1011" spans="1:1">
      <c r="A1011" s="14" t="str">
        <f t="shared" si="15"/>
        <v>01</v>
      </c>
    </row>
    <row r="1012" spans="1:1">
      <c r="A1012" s="14" t="str">
        <f t="shared" si="15"/>
        <v>01</v>
      </c>
    </row>
    <row r="1013" spans="1:1">
      <c r="A1013" s="14" t="str">
        <f t="shared" si="15"/>
        <v>01</v>
      </c>
    </row>
    <row r="1014" spans="1:1">
      <c r="A1014" s="14" t="str">
        <f t="shared" si="15"/>
        <v>01</v>
      </c>
    </row>
    <row r="1015" spans="1:1">
      <c r="A1015" s="14" t="str">
        <f t="shared" si="15"/>
        <v>01</v>
      </c>
    </row>
    <row r="1016" spans="1:1">
      <c r="A1016" s="14" t="str">
        <f t="shared" si="15"/>
        <v>01</v>
      </c>
    </row>
    <row r="1017" spans="1:1">
      <c r="A1017" s="14" t="str">
        <f t="shared" si="15"/>
        <v>01</v>
      </c>
    </row>
    <row r="1018" spans="1:1">
      <c r="A1018" s="14" t="str">
        <f t="shared" si="15"/>
        <v>01</v>
      </c>
    </row>
    <row r="1019" spans="1:1">
      <c r="A1019" s="14" t="str">
        <f t="shared" si="15"/>
        <v>01</v>
      </c>
    </row>
    <row r="1020" spans="1:1">
      <c r="A1020" s="14" t="str">
        <f t="shared" si="15"/>
        <v>01</v>
      </c>
    </row>
    <row r="1021" spans="1:1">
      <c r="A1021" s="14" t="str">
        <f t="shared" si="15"/>
        <v>01</v>
      </c>
    </row>
    <row r="1022" spans="1:1">
      <c r="A1022" s="14" t="str">
        <f t="shared" si="15"/>
        <v>01</v>
      </c>
    </row>
    <row r="1023" spans="1:1">
      <c r="A1023" s="14" t="str">
        <f t="shared" si="15"/>
        <v>01</v>
      </c>
    </row>
    <row r="1024" spans="1:1">
      <c r="A1024" s="14" t="str">
        <f t="shared" si="15"/>
        <v>01</v>
      </c>
    </row>
    <row r="1025" spans="1:1">
      <c r="A1025" s="14" t="str">
        <f t="shared" si="15"/>
        <v>01</v>
      </c>
    </row>
    <row r="1026" spans="1:1">
      <c r="A1026" s="14" t="str">
        <f t="shared" si="15"/>
        <v>01</v>
      </c>
    </row>
    <row r="1027" spans="1:1">
      <c r="A1027" s="14" t="str">
        <f t="shared" ref="A1027:A1090" si="16">TEXT(L1027,"MM")</f>
        <v>01</v>
      </c>
    </row>
    <row r="1028" spans="1:1">
      <c r="A1028" s="14" t="str">
        <f t="shared" si="16"/>
        <v>01</v>
      </c>
    </row>
    <row r="1029" spans="1:1">
      <c r="A1029" s="14" t="str">
        <f t="shared" si="16"/>
        <v>01</v>
      </c>
    </row>
    <row r="1030" spans="1:1">
      <c r="A1030" s="14" t="str">
        <f t="shared" si="16"/>
        <v>01</v>
      </c>
    </row>
    <row r="1031" spans="1:1">
      <c r="A1031" s="14" t="str">
        <f t="shared" si="16"/>
        <v>01</v>
      </c>
    </row>
    <row r="1032" spans="1:1">
      <c r="A1032" s="14" t="str">
        <f t="shared" si="16"/>
        <v>01</v>
      </c>
    </row>
    <row r="1033" spans="1:1">
      <c r="A1033" s="14" t="str">
        <f t="shared" si="16"/>
        <v>01</v>
      </c>
    </row>
    <row r="1034" spans="1:1">
      <c r="A1034" s="14" t="str">
        <f t="shared" si="16"/>
        <v>01</v>
      </c>
    </row>
    <row r="1035" spans="1:1">
      <c r="A1035" s="14" t="str">
        <f t="shared" si="16"/>
        <v>01</v>
      </c>
    </row>
    <row r="1036" spans="1:1">
      <c r="A1036" s="14" t="str">
        <f t="shared" si="16"/>
        <v>01</v>
      </c>
    </row>
    <row r="1037" spans="1:1">
      <c r="A1037" s="14" t="str">
        <f t="shared" si="16"/>
        <v>01</v>
      </c>
    </row>
    <row r="1038" spans="1:1">
      <c r="A1038" s="14" t="str">
        <f t="shared" si="16"/>
        <v>01</v>
      </c>
    </row>
    <row r="1039" spans="1:1">
      <c r="A1039" s="14" t="str">
        <f t="shared" si="16"/>
        <v>01</v>
      </c>
    </row>
    <row r="1040" spans="1:1">
      <c r="A1040" s="14" t="str">
        <f t="shared" si="16"/>
        <v>01</v>
      </c>
    </row>
    <row r="1041" spans="1:1">
      <c r="A1041" s="14" t="str">
        <f t="shared" si="16"/>
        <v>01</v>
      </c>
    </row>
    <row r="1042" spans="1:1">
      <c r="A1042" s="14" t="str">
        <f t="shared" si="16"/>
        <v>01</v>
      </c>
    </row>
    <row r="1043" spans="1:1">
      <c r="A1043" s="14" t="str">
        <f t="shared" si="16"/>
        <v>01</v>
      </c>
    </row>
    <row r="1044" spans="1:1">
      <c r="A1044" s="14" t="str">
        <f t="shared" si="16"/>
        <v>01</v>
      </c>
    </row>
    <row r="1045" spans="1:1">
      <c r="A1045" s="14" t="str">
        <f t="shared" si="16"/>
        <v>01</v>
      </c>
    </row>
    <row r="1046" spans="1:1">
      <c r="A1046" s="14" t="str">
        <f t="shared" si="16"/>
        <v>01</v>
      </c>
    </row>
    <row r="1047" spans="1:1">
      <c r="A1047" s="14" t="str">
        <f t="shared" si="16"/>
        <v>01</v>
      </c>
    </row>
    <row r="1048" spans="1:1">
      <c r="A1048" s="14" t="str">
        <f t="shared" si="16"/>
        <v>01</v>
      </c>
    </row>
    <row r="1049" spans="1:1">
      <c r="A1049" s="14" t="str">
        <f t="shared" si="16"/>
        <v>01</v>
      </c>
    </row>
    <row r="1050" spans="1:1">
      <c r="A1050" s="14" t="str">
        <f t="shared" si="16"/>
        <v>01</v>
      </c>
    </row>
    <row r="1051" spans="1:1">
      <c r="A1051" s="14" t="str">
        <f t="shared" si="16"/>
        <v>01</v>
      </c>
    </row>
    <row r="1052" spans="1:1">
      <c r="A1052" s="14" t="str">
        <f t="shared" si="16"/>
        <v>01</v>
      </c>
    </row>
    <row r="1053" spans="1:1">
      <c r="A1053" s="14" t="str">
        <f t="shared" si="16"/>
        <v>01</v>
      </c>
    </row>
    <row r="1054" spans="1:1">
      <c r="A1054" s="14" t="str">
        <f t="shared" si="16"/>
        <v>01</v>
      </c>
    </row>
    <row r="1055" spans="1:1">
      <c r="A1055" s="14" t="str">
        <f t="shared" si="16"/>
        <v>01</v>
      </c>
    </row>
    <row r="1056" spans="1:1">
      <c r="A1056" s="14" t="str">
        <f t="shared" si="16"/>
        <v>01</v>
      </c>
    </row>
    <row r="1057" spans="1:1">
      <c r="A1057" s="14" t="str">
        <f t="shared" si="16"/>
        <v>01</v>
      </c>
    </row>
    <row r="1058" spans="1:1">
      <c r="A1058" s="14" t="str">
        <f t="shared" si="16"/>
        <v>01</v>
      </c>
    </row>
    <row r="1059" spans="1:1">
      <c r="A1059" s="14" t="str">
        <f t="shared" si="16"/>
        <v>01</v>
      </c>
    </row>
    <row r="1060" spans="1:1">
      <c r="A1060" s="14" t="str">
        <f t="shared" si="16"/>
        <v>01</v>
      </c>
    </row>
    <row r="1061" spans="1:1">
      <c r="A1061" s="14" t="str">
        <f t="shared" si="16"/>
        <v>01</v>
      </c>
    </row>
    <row r="1062" spans="1:1">
      <c r="A1062" s="14" t="str">
        <f t="shared" si="16"/>
        <v>01</v>
      </c>
    </row>
    <row r="1063" spans="1:1">
      <c r="A1063" s="14" t="str">
        <f t="shared" si="16"/>
        <v>01</v>
      </c>
    </row>
    <row r="1064" spans="1:1">
      <c r="A1064" s="14" t="str">
        <f t="shared" si="16"/>
        <v>01</v>
      </c>
    </row>
    <row r="1065" spans="1:1">
      <c r="A1065" s="14" t="str">
        <f t="shared" si="16"/>
        <v>01</v>
      </c>
    </row>
    <row r="1066" spans="1:1">
      <c r="A1066" s="14" t="str">
        <f t="shared" si="16"/>
        <v>01</v>
      </c>
    </row>
    <row r="1067" spans="1:1">
      <c r="A1067" s="14" t="str">
        <f t="shared" si="16"/>
        <v>01</v>
      </c>
    </row>
    <row r="1068" spans="1:1">
      <c r="A1068" s="14" t="str">
        <f t="shared" si="16"/>
        <v>01</v>
      </c>
    </row>
    <row r="1069" spans="1:1">
      <c r="A1069" s="14" t="str">
        <f t="shared" si="16"/>
        <v>01</v>
      </c>
    </row>
    <row r="1070" spans="1:1">
      <c r="A1070" s="14" t="str">
        <f t="shared" si="16"/>
        <v>01</v>
      </c>
    </row>
    <row r="1071" spans="1:1">
      <c r="A1071" s="14" t="str">
        <f t="shared" si="16"/>
        <v>01</v>
      </c>
    </row>
    <row r="1072" spans="1:1">
      <c r="A1072" s="14" t="str">
        <f t="shared" si="16"/>
        <v>01</v>
      </c>
    </row>
    <row r="1073" spans="1:1">
      <c r="A1073" s="14" t="str">
        <f t="shared" si="16"/>
        <v>01</v>
      </c>
    </row>
    <row r="1074" spans="1:1">
      <c r="A1074" s="14" t="str">
        <f t="shared" si="16"/>
        <v>01</v>
      </c>
    </row>
    <row r="1075" spans="1:1">
      <c r="A1075" s="14" t="str">
        <f t="shared" si="16"/>
        <v>01</v>
      </c>
    </row>
    <row r="1076" spans="1:1">
      <c r="A1076" s="14" t="str">
        <f t="shared" si="16"/>
        <v>01</v>
      </c>
    </row>
    <row r="1077" spans="1:1">
      <c r="A1077" s="14" t="str">
        <f t="shared" si="16"/>
        <v>01</v>
      </c>
    </row>
    <row r="1078" spans="1:1">
      <c r="A1078" s="14" t="str">
        <f t="shared" si="16"/>
        <v>01</v>
      </c>
    </row>
    <row r="1079" spans="1:1">
      <c r="A1079" s="14" t="str">
        <f t="shared" si="16"/>
        <v>01</v>
      </c>
    </row>
    <row r="1080" spans="1:1">
      <c r="A1080" s="14" t="str">
        <f t="shared" si="16"/>
        <v>01</v>
      </c>
    </row>
    <row r="1081" spans="1:1">
      <c r="A1081" s="14" t="str">
        <f t="shared" si="16"/>
        <v>01</v>
      </c>
    </row>
    <row r="1082" spans="1:1">
      <c r="A1082" s="14" t="str">
        <f t="shared" si="16"/>
        <v>01</v>
      </c>
    </row>
    <row r="1083" spans="1:1">
      <c r="A1083" s="14" t="str">
        <f t="shared" si="16"/>
        <v>01</v>
      </c>
    </row>
    <row r="1084" spans="1:1">
      <c r="A1084" s="14" t="str">
        <f t="shared" si="16"/>
        <v>01</v>
      </c>
    </row>
    <row r="1085" spans="1:1">
      <c r="A1085" s="14" t="str">
        <f t="shared" si="16"/>
        <v>01</v>
      </c>
    </row>
    <row r="1086" spans="1:1">
      <c r="A1086" s="14" t="str">
        <f t="shared" si="16"/>
        <v>01</v>
      </c>
    </row>
    <row r="1087" spans="1:1">
      <c r="A1087" s="14" t="str">
        <f t="shared" si="16"/>
        <v>01</v>
      </c>
    </row>
    <row r="1088" spans="1:1">
      <c r="A1088" s="14" t="str">
        <f t="shared" si="16"/>
        <v>01</v>
      </c>
    </row>
    <row r="1089" spans="1:1">
      <c r="A1089" s="14" t="str">
        <f t="shared" si="16"/>
        <v>01</v>
      </c>
    </row>
    <row r="1090" spans="1:1">
      <c r="A1090" s="14" t="str">
        <f t="shared" si="16"/>
        <v>01</v>
      </c>
    </row>
    <row r="1091" spans="1:1">
      <c r="A1091" s="14" t="str">
        <f t="shared" ref="A1091:A1154" si="17">TEXT(L1091,"MM")</f>
        <v>01</v>
      </c>
    </row>
    <row r="1092" spans="1:1">
      <c r="A1092" s="14" t="str">
        <f t="shared" si="17"/>
        <v>01</v>
      </c>
    </row>
    <row r="1093" spans="1:1">
      <c r="A1093" s="14" t="str">
        <f t="shared" si="17"/>
        <v>01</v>
      </c>
    </row>
    <row r="1094" spans="1:1">
      <c r="A1094" s="14" t="str">
        <f t="shared" si="17"/>
        <v>01</v>
      </c>
    </row>
    <row r="1095" spans="1:1">
      <c r="A1095" s="14" t="str">
        <f t="shared" si="17"/>
        <v>01</v>
      </c>
    </row>
    <row r="1096" spans="1:1">
      <c r="A1096" s="14" t="str">
        <f t="shared" si="17"/>
        <v>01</v>
      </c>
    </row>
    <row r="1097" spans="1:1">
      <c r="A1097" s="14" t="str">
        <f t="shared" si="17"/>
        <v>01</v>
      </c>
    </row>
    <row r="1098" spans="1:1">
      <c r="A1098" s="14" t="str">
        <f t="shared" si="17"/>
        <v>01</v>
      </c>
    </row>
    <row r="1099" spans="1:1">
      <c r="A1099" s="14" t="str">
        <f t="shared" si="17"/>
        <v>01</v>
      </c>
    </row>
    <row r="1100" spans="1:1">
      <c r="A1100" s="14" t="str">
        <f t="shared" si="17"/>
        <v>01</v>
      </c>
    </row>
    <row r="1101" spans="1:1">
      <c r="A1101" s="14" t="str">
        <f t="shared" si="17"/>
        <v>01</v>
      </c>
    </row>
    <row r="1102" spans="1:1">
      <c r="A1102" s="14" t="str">
        <f t="shared" si="17"/>
        <v>01</v>
      </c>
    </row>
    <row r="1103" spans="1:1">
      <c r="A1103" s="14" t="str">
        <f t="shared" si="17"/>
        <v>01</v>
      </c>
    </row>
    <row r="1104" spans="1:1">
      <c r="A1104" s="14" t="str">
        <f t="shared" si="17"/>
        <v>01</v>
      </c>
    </row>
    <row r="1105" spans="1:1">
      <c r="A1105" s="14" t="str">
        <f t="shared" si="17"/>
        <v>01</v>
      </c>
    </row>
    <row r="1106" spans="1:1">
      <c r="A1106" s="14" t="str">
        <f t="shared" si="17"/>
        <v>01</v>
      </c>
    </row>
    <row r="1107" spans="1:1">
      <c r="A1107" s="14" t="str">
        <f t="shared" si="17"/>
        <v>01</v>
      </c>
    </row>
    <row r="1108" spans="1:1">
      <c r="A1108" s="14" t="str">
        <f t="shared" si="17"/>
        <v>01</v>
      </c>
    </row>
    <row r="1109" spans="1:1">
      <c r="A1109" s="14" t="str">
        <f t="shared" si="17"/>
        <v>01</v>
      </c>
    </row>
    <row r="1110" spans="1:1">
      <c r="A1110" s="14" t="str">
        <f t="shared" si="17"/>
        <v>01</v>
      </c>
    </row>
    <row r="1111" spans="1:1">
      <c r="A1111" s="14" t="str">
        <f t="shared" si="17"/>
        <v>01</v>
      </c>
    </row>
    <row r="1112" spans="1:1">
      <c r="A1112" s="14" t="str">
        <f t="shared" si="17"/>
        <v>01</v>
      </c>
    </row>
    <row r="1113" spans="1:1">
      <c r="A1113" s="14" t="str">
        <f t="shared" si="17"/>
        <v>01</v>
      </c>
    </row>
    <row r="1114" spans="1:1">
      <c r="A1114" s="14" t="str">
        <f t="shared" si="17"/>
        <v>01</v>
      </c>
    </row>
    <row r="1115" spans="1:1">
      <c r="A1115" s="14" t="str">
        <f t="shared" si="17"/>
        <v>01</v>
      </c>
    </row>
    <row r="1116" spans="1:1">
      <c r="A1116" s="14" t="str">
        <f t="shared" si="17"/>
        <v>01</v>
      </c>
    </row>
    <row r="1117" spans="1:1">
      <c r="A1117" s="14" t="str">
        <f t="shared" si="17"/>
        <v>01</v>
      </c>
    </row>
    <row r="1118" spans="1:1">
      <c r="A1118" s="14" t="str">
        <f t="shared" si="17"/>
        <v>01</v>
      </c>
    </row>
    <row r="1119" spans="1:1">
      <c r="A1119" s="14" t="str">
        <f t="shared" si="17"/>
        <v>01</v>
      </c>
    </row>
    <row r="1120" spans="1:1">
      <c r="A1120" s="14" t="str">
        <f t="shared" si="17"/>
        <v>01</v>
      </c>
    </row>
    <row r="1121" spans="1:1">
      <c r="A1121" s="14" t="str">
        <f t="shared" si="17"/>
        <v>01</v>
      </c>
    </row>
    <row r="1122" spans="1:1">
      <c r="A1122" s="14" t="str">
        <f t="shared" si="17"/>
        <v>01</v>
      </c>
    </row>
    <row r="1123" spans="1:1">
      <c r="A1123" s="14" t="str">
        <f t="shared" si="17"/>
        <v>01</v>
      </c>
    </row>
    <row r="1124" spans="1:1">
      <c r="A1124" s="14" t="str">
        <f t="shared" si="17"/>
        <v>01</v>
      </c>
    </row>
    <row r="1125" spans="1:1">
      <c r="A1125" s="14" t="str">
        <f t="shared" si="17"/>
        <v>01</v>
      </c>
    </row>
    <row r="1126" spans="1:1">
      <c r="A1126" s="14" t="str">
        <f t="shared" si="17"/>
        <v>01</v>
      </c>
    </row>
    <row r="1127" spans="1:1">
      <c r="A1127" s="14" t="str">
        <f t="shared" si="17"/>
        <v>01</v>
      </c>
    </row>
    <row r="1128" spans="1:1">
      <c r="A1128" s="14" t="str">
        <f t="shared" si="17"/>
        <v>01</v>
      </c>
    </row>
    <row r="1129" spans="1:1">
      <c r="A1129" s="14" t="str">
        <f t="shared" si="17"/>
        <v>01</v>
      </c>
    </row>
    <row r="1130" spans="1:1">
      <c r="A1130" s="14" t="str">
        <f t="shared" si="17"/>
        <v>01</v>
      </c>
    </row>
    <row r="1131" spans="1:1">
      <c r="A1131" s="14" t="str">
        <f t="shared" si="17"/>
        <v>01</v>
      </c>
    </row>
    <row r="1132" spans="1:1">
      <c r="A1132" s="14" t="str">
        <f t="shared" si="17"/>
        <v>01</v>
      </c>
    </row>
    <row r="1133" spans="1:1">
      <c r="A1133" s="14" t="str">
        <f t="shared" si="17"/>
        <v>01</v>
      </c>
    </row>
    <row r="1134" spans="1:1">
      <c r="A1134" s="14" t="str">
        <f t="shared" si="17"/>
        <v>01</v>
      </c>
    </row>
    <row r="1135" spans="1:1">
      <c r="A1135" s="14" t="str">
        <f t="shared" si="17"/>
        <v>01</v>
      </c>
    </row>
    <row r="1136" spans="1:1">
      <c r="A1136" s="14" t="str">
        <f t="shared" si="17"/>
        <v>01</v>
      </c>
    </row>
    <row r="1137" spans="1:1">
      <c r="A1137" s="14" t="str">
        <f t="shared" si="17"/>
        <v>01</v>
      </c>
    </row>
    <row r="1138" spans="1:1">
      <c r="A1138" s="14" t="str">
        <f t="shared" si="17"/>
        <v>01</v>
      </c>
    </row>
    <row r="1139" spans="1:1">
      <c r="A1139" s="14" t="str">
        <f t="shared" si="17"/>
        <v>01</v>
      </c>
    </row>
    <row r="1140" spans="1:1">
      <c r="A1140" s="14" t="str">
        <f t="shared" si="17"/>
        <v>01</v>
      </c>
    </row>
    <row r="1141" spans="1:1">
      <c r="A1141" s="14" t="str">
        <f t="shared" si="17"/>
        <v>01</v>
      </c>
    </row>
    <row r="1142" spans="1:1">
      <c r="A1142" s="14" t="str">
        <f t="shared" si="17"/>
        <v>01</v>
      </c>
    </row>
    <row r="1143" spans="1:1">
      <c r="A1143" s="14" t="str">
        <f t="shared" si="17"/>
        <v>01</v>
      </c>
    </row>
    <row r="1144" spans="1:1">
      <c r="A1144" s="14" t="str">
        <f t="shared" si="17"/>
        <v>01</v>
      </c>
    </row>
    <row r="1145" spans="1:1">
      <c r="A1145" s="14" t="str">
        <f t="shared" si="17"/>
        <v>01</v>
      </c>
    </row>
    <row r="1146" spans="1:1">
      <c r="A1146" s="14" t="str">
        <f t="shared" si="17"/>
        <v>01</v>
      </c>
    </row>
    <row r="1147" spans="1:1">
      <c r="A1147" s="14" t="str">
        <f t="shared" si="17"/>
        <v>01</v>
      </c>
    </row>
    <row r="1148" spans="1:1">
      <c r="A1148" s="14" t="str">
        <f t="shared" si="17"/>
        <v>01</v>
      </c>
    </row>
    <row r="1149" spans="1:1">
      <c r="A1149" s="14" t="str">
        <f t="shared" si="17"/>
        <v>01</v>
      </c>
    </row>
    <row r="1150" spans="1:1">
      <c r="A1150" s="14" t="str">
        <f t="shared" si="17"/>
        <v>01</v>
      </c>
    </row>
    <row r="1151" spans="1:1">
      <c r="A1151" s="14" t="str">
        <f t="shared" si="17"/>
        <v>01</v>
      </c>
    </row>
    <row r="1152" spans="1:1">
      <c r="A1152" s="14" t="str">
        <f t="shared" si="17"/>
        <v>01</v>
      </c>
    </row>
    <row r="1153" spans="1:1">
      <c r="A1153" s="14" t="str">
        <f t="shared" si="17"/>
        <v>01</v>
      </c>
    </row>
    <row r="1154" spans="1:1">
      <c r="A1154" s="14" t="str">
        <f t="shared" si="17"/>
        <v>01</v>
      </c>
    </row>
    <row r="1155" spans="1:1">
      <c r="A1155" s="14" t="str">
        <f t="shared" ref="A1155:A1218" si="18">TEXT(L1155,"MM")</f>
        <v>01</v>
      </c>
    </row>
    <row r="1156" spans="1:1">
      <c r="A1156" s="14" t="str">
        <f t="shared" si="18"/>
        <v>01</v>
      </c>
    </row>
    <row r="1157" spans="1:1">
      <c r="A1157" s="14" t="str">
        <f t="shared" si="18"/>
        <v>01</v>
      </c>
    </row>
    <row r="1158" spans="1:1">
      <c r="A1158" s="14" t="str">
        <f t="shared" si="18"/>
        <v>01</v>
      </c>
    </row>
    <row r="1159" spans="1:1">
      <c r="A1159" s="14" t="str">
        <f t="shared" si="18"/>
        <v>01</v>
      </c>
    </row>
    <row r="1160" spans="1:1">
      <c r="A1160" s="14" t="str">
        <f t="shared" si="18"/>
        <v>01</v>
      </c>
    </row>
    <row r="1161" spans="1:1">
      <c r="A1161" s="14" t="str">
        <f t="shared" si="18"/>
        <v>01</v>
      </c>
    </row>
    <row r="1162" spans="1:1">
      <c r="A1162" s="14" t="str">
        <f t="shared" si="18"/>
        <v>01</v>
      </c>
    </row>
    <row r="1163" spans="1:1">
      <c r="A1163" s="14" t="str">
        <f t="shared" si="18"/>
        <v>01</v>
      </c>
    </row>
    <row r="1164" spans="1:1">
      <c r="A1164" s="14" t="str">
        <f t="shared" si="18"/>
        <v>01</v>
      </c>
    </row>
    <row r="1165" spans="1:1">
      <c r="A1165" s="14" t="str">
        <f t="shared" si="18"/>
        <v>01</v>
      </c>
    </row>
    <row r="1166" spans="1:1">
      <c r="A1166" s="14" t="str">
        <f t="shared" si="18"/>
        <v>01</v>
      </c>
    </row>
    <row r="1167" spans="1:1">
      <c r="A1167" s="14" t="str">
        <f t="shared" si="18"/>
        <v>01</v>
      </c>
    </row>
    <row r="1168" spans="1:1">
      <c r="A1168" s="14" t="str">
        <f t="shared" si="18"/>
        <v>01</v>
      </c>
    </row>
    <row r="1169" spans="1:1">
      <c r="A1169" s="14" t="str">
        <f t="shared" si="18"/>
        <v>01</v>
      </c>
    </row>
    <row r="1170" spans="1:1">
      <c r="A1170" s="14" t="str">
        <f t="shared" si="18"/>
        <v>01</v>
      </c>
    </row>
    <row r="1171" spans="1:1">
      <c r="A1171" s="14" t="str">
        <f t="shared" si="18"/>
        <v>01</v>
      </c>
    </row>
    <row r="1172" spans="1:1">
      <c r="A1172" s="14" t="str">
        <f t="shared" si="18"/>
        <v>01</v>
      </c>
    </row>
    <row r="1173" spans="1:1">
      <c r="A1173" s="14" t="str">
        <f t="shared" si="18"/>
        <v>01</v>
      </c>
    </row>
    <row r="1174" spans="1:1">
      <c r="A1174" s="14" t="str">
        <f t="shared" si="18"/>
        <v>01</v>
      </c>
    </row>
    <row r="1175" spans="1:1">
      <c r="A1175" s="14" t="str">
        <f t="shared" si="18"/>
        <v>01</v>
      </c>
    </row>
    <row r="1176" spans="1:1">
      <c r="A1176" s="14" t="str">
        <f t="shared" si="18"/>
        <v>01</v>
      </c>
    </row>
    <row r="1177" spans="1:1">
      <c r="A1177" s="14" t="str">
        <f t="shared" si="18"/>
        <v>01</v>
      </c>
    </row>
    <row r="1178" spans="1:1">
      <c r="A1178" s="14" t="str">
        <f t="shared" si="18"/>
        <v>01</v>
      </c>
    </row>
    <row r="1179" spans="1:1">
      <c r="A1179" s="14" t="str">
        <f t="shared" si="18"/>
        <v>01</v>
      </c>
    </row>
    <row r="1180" spans="1:1">
      <c r="A1180" s="14" t="str">
        <f t="shared" si="18"/>
        <v>01</v>
      </c>
    </row>
    <row r="1181" spans="1:1">
      <c r="A1181" s="14" t="str">
        <f t="shared" si="18"/>
        <v>01</v>
      </c>
    </row>
    <row r="1182" spans="1:1">
      <c r="A1182" s="14" t="str">
        <f t="shared" si="18"/>
        <v>01</v>
      </c>
    </row>
    <row r="1183" spans="1:1">
      <c r="A1183" s="14" t="str">
        <f t="shared" si="18"/>
        <v>01</v>
      </c>
    </row>
    <row r="1184" spans="1:1">
      <c r="A1184" s="14" t="str">
        <f t="shared" si="18"/>
        <v>01</v>
      </c>
    </row>
    <row r="1185" spans="1:1">
      <c r="A1185" s="14" t="str">
        <f t="shared" si="18"/>
        <v>01</v>
      </c>
    </row>
    <row r="1186" spans="1:1">
      <c r="A1186" s="14" t="str">
        <f t="shared" si="18"/>
        <v>01</v>
      </c>
    </row>
    <row r="1187" spans="1:1">
      <c r="A1187" s="14" t="str">
        <f t="shared" si="18"/>
        <v>01</v>
      </c>
    </row>
    <row r="1188" spans="1:1">
      <c r="A1188" s="14" t="str">
        <f t="shared" si="18"/>
        <v>01</v>
      </c>
    </row>
    <row r="1189" spans="1:1">
      <c r="A1189" s="14" t="str">
        <f t="shared" si="18"/>
        <v>01</v>
      </c>
    </row>
    <row r="1190" spans="1:1">
      <c r="A1190" s="14" t="str">
        <f t="shared" si="18"/>
        <v>01</v>
      </c>
    </row>
    <row r="1191" spans="1:1">
      <c r="A1191" s="14" t="str">
        <f t="shared" si="18"/>
        <v>01</v>
      </c>
    </row>
    <row r="1192" spans="1:1">
      <c r="A1192" s="14" t="str">
        <f t="shared" si="18"/>
        <v>01</v>
      </c>
    </row>
    <row r="1193" spans="1:1">
      <c r="A1193" s="14" t="str">
        <f t="shared" si="18"/>
        <v>01</v>
      </c>
    </row>
    <row r="1194" spans="1:1">
      <c r="A1194" s="14" t="str">
        <f t="shared" si="18"/>
        <v>01</v>
      </c>
    </row>
    <row r="1195" spans="1:1">
      <c r="A1195" s="14" t="str">
        <f t="shared" si="18"/>
        <v>01</v>
      </c>
    </row>
    <row r="1196" spans="1:1">
      <c r="A1196" s="14" t="str">
        <f t="shared" si="18"/>
        <v>01</v>
      </c>
    </row>
    <row r="1197" spans="1:1">
      <c r="A1197" s="14" t="str">
        <f t="shared" si="18"/>
        <v>01</v>
      </c>
    </row>
    <row r="1198" spans="1:1">
      <c r="A1198" s="14" t="str">
        <f t="shared" si="18"/>
        <v>01</v>
      </c>
    </row>
    <row r="1199" spans="1:1">
      <c r="A1199" s="14" t="str">
        <f t="shared" si="18"/>
        <v>01</v>
      </c>
    </row>
    <row r="1200" spans="1:1">
      <c r="A1200" s="14" t="str">
        <f t="shared" si="18"/>
        <v>01</v>
      </c>
    </row>
    <row r="1201" spans="1:1">
      <c r="A1201" s="14" t="str">
        <f t="shared" si="18"/>
        <v>01</v>
      </c>
    </row>
    <row r="1202" spans="1:1">
      <c r="A1202" s="14" t="str">
        <f t="shared" si="18"/>
        <v>01</v>
      </c>
    </row>
    <row r="1203" spans="1:1">
      <c r="A1203" s="14" t="str">
        <f t="shared" si="18"/>
        <v>01</v>
      </c>
    </row>
    <row r="1204" spans="1:1">
      <c r="A1204" s="14" t="str">
        <f t="shared" si="18"/>
        <v>01</v>
      </c>
    </row>
    <row r="1205" spans="1:1">
      <c r="A1205" s="14" t="str">
        <f t="shared" si="18"/>
        <v>01</v>
      </c>
    </row>
    <row r="1206" spans="1:1">
      <c r="A1206" s="14" t="str">
        <f t="shared" si="18"/>
        <v>01</v>
      </c>
    </row>
    <row r="1207" spans="1:1">
      <c r="A1207" s="14" t="str">
        <f t="shared" si="18"/>
        <v>01</v>
      </c>
    </row>
    <row r="1208" spans="1:1">
      <c r="A1208" s="14" t="str">
        <f t="shared" si="18"/>
        <v>01</v>
      </c>
    </row>
    <row r="1209" spans="1:1">
      <c r="A1209" s="14" t="str">
        <f t="shared" si="18"/>
        <v>01</v>
      </c>
    </row>
    <row r="1210" spans="1:1">
      <c r="A1210" s="14" t="str">
        <f t="shared" si="18"/>
        <v>01</v>
      </c>
    </row>
    <row r="1211" spans="1:1">
      <c r="A1211" s="14" t="str">
        <f t="shared" si="18"/>
        <v>01</v>
      </c>
    </row>
    <row r="1212" spans="1:1">
      <c r="A1212" s="14" t="str">
        <f t="shared" si="18"/>
        <v>01</v>
      </c>
    </row>
    <row r="1213" spans="1:1">
      <c r="A1213" s="14" t="str">
        <f t="shared" si="18"/>
        <v>01</v>
      </c>
    </row>
    <row r="1214" spans="1:1">
      <c r="A1214" s="14" t="str">
        <f t="shared" si="18"/>
        <v>01</v>
      </c>
    </row>
    <row r="1215" spans="1:1">
      <c r="A1215" s="14" t="str">
        <f t="shared" si="18"/>
        <v>01</v>
      </c>
    </row>
    <row r="1216" spans="1:1">
      <c r="A1216" s="14" t="str">
        <f t="shared" si="18"/>
        <v>01</v>
      </c>
    </row>
    <row r="1217" spans="1:1">
      <c r="A1217" s="14" t="str">
        <f t="shared" si="18"/>
        <v>01</v>
      </c>
    </row>
    <row r="1218" spans="1:1">
      <c r="A1218" s="14" t="str">
        <f t="shared" si="18"/>
        <v>01</v>
      </c>
    </row>
    <row r="1219" spans="1:1">
      <c r="A1219" s="14" t="str">
        <f t="shared" ref="A1219:A1282" si="19">TEXT(L1219,"MM")</f>
        <v>01</v>
      </c>
    </row>
    <row r="1220" spans="1:1">
      <c r="A1220" s="14" t="str">
        <f t="shared" si="19"/>
        <v>01</v>
      </c>
    </row>
    <row r="1221" spans="1:1">
      <c r="A1221" s="14" t="str">
        <f t="shared" si="19"/>
        <v>01</v>
      </c>
    </row>
    <row r="1222" spans="1:1">
      <c r="A1222" s="14" t="str">
        <f t="shared" si="19"/>
        <v>01</v>
      </c>
    </row>
    <row r="1223" spans="1:1">
      <c r="A1223" s="14" t="str">
        <f t="shared" si="19"/>
        <v>01</v>
      </c>
    </row>
    <row r="1224" spans="1:1">
      <c r="A1224" s="14" t="str">
        <f t="shared" si="19"/>
        <v>01</v>
      </c>
    </row>
    <row r="1225" spans="1:1">
      <c r="A1225" s="14" t="str">
        <f t="shared" si="19"/>
        <v>01</v>
      </c>
    </row>
    <row r="1226" spans="1:1">
      <c r="A1226" s="14" t="str">
        <f t="shared" si="19"/>
        <v>01</v>
      </c>
    </row>
    <row r="1227" spans="1:1">
      <c r="A1227" s="14" t="str">
        <f t="shared" si="19"/>
        <v>01</v>
      </c>
    </row>
    <row r="1228" spans="1:1">
      <c r="A1228" s="14" t="str">
        <f t="shared" si="19"/>
        <v>01</v>
      </c>
    </row>
    <row r="1229" spans="1:1">
      <c r="A1229" s="14" t="str">
        <f t="shared" si="19"/>
        <v>01</v>
      </c>
    </row>
    <row r="1230" spans="1:1">
      <c r="A1230" s="14" t="str">
        <f t="shared" si="19"/>
        <v>01</v>
      </c>
    </row>
    <row r="1231" spans="1:1">
      <c r="A1231" s="14" t="str">
        <f t="shared" si="19"/>
        <v>01</v>
      </c>
    </row>
    <row r="1232" spans="1:1">
      <c r="A1232" s="14" t="str">
        <f t="shared" si="19"/>
        <v>01</v>
      </c>
    </row>
    <row r="1233" spans="1:1">
      <c r="A1233" s="14" t="str">
        <f t="shared" si="19"/>
        <v>01</v>
      </c>
    </row>
    <row r="1234" spans="1:1">
      <c r="A1234" s="14" t="str">
        <f t="shared" si="19"/>
        <v>01</v>
      </c>
    </row>
    <row r="1235" spans="1:1">
      <c r="A1235" s="14" t="str">
        <f t="shared" si="19"/>
        <v>01</v>
      </c>
    </row>
    <row r="1236" spans="1:1">
      <c r="A1236" s="14" t="str">
        <f t="shared" si="19"/>
        <v>01</v>
      </c>
    </row>
    <row r="1237" spans="1:1">
      <c r="A1237" s="14" t="str">
        <f t="shared" si="19"/>
        <v>01</v>
      </c>
    </row>
    <row r="1238" spans="1:1">
      <c r="A1238" s="14" t="str">
        <f t="shared" si="19"/>
        <v>01</v>
      </c>
    </row>
    <row r="1239" spans="1:1">
      <c r="A1239" s="14" t="str">
        <f t="shared" si="19"/>
        <v>01</v>
      </c>
    </row>
    <row r="1240" spans="1:1">
      <c r="A1240" s="14" t="str">
        <f t="shared" si="19"/>
        <v>01</v>
      </c>
    </row>
    <row r="1241" spans="1:1">
      <c r="A1241" s="14" t="str">
        <f t="shared" si="19"/>
        <v>01</v>
      </c>
    </row>
    <row r="1242" spans="1:1">
      <c r="A1242" s="14" t="str">
        <f t="shared" si="19"/>
        <v>01</v>
      </c>
    </row>
    <row r="1243" spans="1:1">
      <c r="A1243" s="14" t="str">
        <f t="shared" si="19"/>
        <v>01</v>
      </c>
    </row>
    <row r="1244" spans="1:1">
      <c r="A1244" s="14" t="str">
        <f t="shared" si="19"/>
        <v>01</v>
      </c>
    </row>
    <row r="1245" spans="1:1">
      <c r="A1245" s="14" t="str">
        <f t="shared" si="19"/>
        <v>01</v>
      </c>
    </row>
    <row r="1246" spans="1:1">
      <c r="A1246" s="14" t="str">
        <f t="shared" si="19"/>
        <v>01</v>
      </c>
    </row>
    <row r="1247" spans="1:1">
      <c r="A1247" s="14" t="str">
        <f t="shared" si="19"/>
        <v>01</v>
      </c>
    </row>
    <row r="1248" spans="1:1">
      <c r="A1248" s="14" t="str">
        <f t="shared" si="19"/>
        <v>01</v>
      </c>
    </row>
    <row r="1249" spans="1:1">
      <c r="A1249" s="14" t="str">
        <f t="shared" si="19"/>
        <v>01</v>
      </c>
    </row>
    <row r="1250" spans="1:1">
      <c r="A1250" s="14" t="str">
        <f t="shared" si="19"/>
        <v>01</v>
      </c>
    </row>
    <row r="1251" spans="1:1">
      <c r="A1251" s="14" t="str">
        <f t="shared" si="19"/>
        <v>01</v>
      </c>
    </row>
    <row r="1252" spans="1:1">
      <c r="A1252" s="14" t="str">
        <f t="shared" si="19"/>
        <v>01</v>
      </c>
    </row>
    <row r="1253" spans="1:1">
      <c r="A1253" s="14" t="str">
        <f t="shared" si="19"/>
        <v>01</v>
      </c>
    </row>
    <row r="1254" spans="1:1">
      <c r="A1254" s="14" t="str">
        <f t="shared" si="19"/>
        <v>01</v>
      </c>
    </row>
    <row r="1255" spans="1:1">
      <c r="A1255" s="14" t="str">
        <f t="shared" si="19"/>
        <v>01</v>
      </c>
    </row>
    <row r="1256" spans="1:1">
      <c r="A1256" s="14" t="str">
        <f t="shared" si="19"/>
        <v>01</v>
      </c>
    </row>
    <row r="1257" spans="1:1">
      <c r="A1257" s="14" t="str">
        <f t="shared" si="19"/>
        <v>01</v>
      </c>
    </row>
    <row r="1258" spans="1:1">
      <c r="A1258" s="14" t="str">
        <f t="shared" si="19"/>
        <v>01</v>
      </c>
    </row>
    <row r="1259" spans="1:1">
      <c r="A1259" s="14" t="str">
        <f t="shared" si="19"/>
        <v>01</v>
      </c>
    </row>
    <row r="1260" spans="1:1">
      <c r="A1260" s="14" t="str">
        <f t="shared" si="19"/>
        <v>01</v>
      </c>
    </row>
    <row r="1261" spans="1:1">
      <c r="A1261" s="14" t="str">
        <f t="shared" si="19"/>
        <v>01</v>
      </c>
    </row>
    <row r="1262" spans="1:1">
      <c r="A1262" s="14" t="str">
        <f t="shared" si="19"/>
        <v>01</v>
      </c>
    </row>
    <row r="1263" spans="1:1">
      <c r="A1263" s="14" t="str">
        <f t="shared" si="19"/>
        <v>01</v>
      </c>
    </row>
    <row r="1264" spans="1:1">
      <c r="A1264" s="14" t="str">
        <f t="shared" si="19"/>
        <v>01</v>
      </c>
    </row>
    <row r="1265" spans="1:1">
      <c r="A1265" s="14" t="str">
        <f t="shared" si="19"/>
        <v>01</v>
      </c>
    </row>
    <row r="1266" spans="1:1">
      <c r="A1266" s="14" t="str">
        <f t="shared" si="19"/>
        <v>01</v>
      </c>
    </row>
    <row r="1267" spans="1:1">
      <c r="A1267" s="14" t="str">
        <f t="shared" si="19"/>
        <v>01</v>
      </c>
    </row>
    <row r="1268" spans="1:1">
      <c r="A1268" s="14" t="str">
        <f t="shared" si="19"/>
        <v>01</v>
      </c>
    </row>
    <row r="1269" spans="1:1">
      <c r="A1269" s="14" t="str">
        <f t="shared" si="19"/>
        <v>01</v>
      </c>
    </row>
    <row r="1270" spans="1:1">
      <c r="A1270" s="14" t="str">
        <f t="shared" si="19"/>
        <v>01</v>
      </c>
    </row>
    <row r="1271" spans="1:1">
      <c r="A1271" s="14" t="str">
        <f t="shared" si="19"/>
        <v>01</v>
      </c>
    </row>
    <row r="1272" spans="1:1">
      <c r="A1272" s="14" t="str">
        <f t="shared" si="19"/>
        <v>01</v>
      </c>
    </row>
    <row r="1273" spans="1:1">
      <c r="A1273" s="14" t="str">
        <f t="shared" si="19"/>
        <v>01</v>
      </c>
    </row>
    <row r="1274" spans="1:1">
      <c r="A1274" s="14" t="str">
        <f t="shared" si="19"/>
        <v>01</v>
      </c>
    </row>
    <row r="1275" spans="1:1">
      <c r="A1275" s="14" t="str">
        <f t="shared" si="19"/>
        <v>01</v>
      </c>
    </row>
    <row r="1276" spans="1:1">
      <c r="A1276" s="14" t="str">
        <f t="shared" si="19"/>
        <v>01</v>
      </c>
    </row>
    <row r="1277" spans="1:1">
      <c r="A1277" s="14" t="str">
        <f t="shared" si="19"/>
        <v>01</v>
      </c>
    </row>
    <row r="1278" spans="1:1">
      <c r="A1278" s="14" t="str">
        <f t="shared" si="19"/>
        <v>01</v>
      </c>
    </row>
    <row r="1279" spans="1:1">
      <c r="A1279" s="14" t="str">
        <f t="shared" si="19"/>
        <v>01</v>
      </c>
    </row>
    <row r="1280" spans="1:1">
      <c r="A1280" s="14" t="str">
        <f t="shared" si="19"/>
        <v>01</v>
      </c>
    </row>
    <row r="1281" spans="1:1">
      <c r="A1281" s="14" t="str">
        <f t="shared" si="19"/>
        <v>01</v>
      </c>
    </row>
    <row r="1282" spans="1:1">
      <c r="A1282" s="14" t="str">
        <f t="shared" si="19"/>
        <v>01</v>
      </c>
    </row>
    <row r="1283" spans="1:1">
      <c r="A1283" s="14" t="str">
        <f t="shared" ref="A1283:A1346" si="20">TEXT(L1283,"MM")</f>
        <v>01</v>
      </c>
    </row>
    <row r="1284" spans="1:1">
      <c r="A1284" s="14" t="str">
        <f t="shared" si="20"/>
        <v>01</v>
      </c>
    </row>
    <row r="1285" spans="1:1">
      <c r="A1285" s="14" t="str">
        <f t="shared" si="20"/>
        <v>01</v>
      </c>
    </row>
    <row r="1286" spans="1:1">
      <c r="A1286" s="14" t="str">
        <f t="shared" si="20"/>
        <v>01</v>
      </c>
    </row>
    <row r="1287" spans="1:1">
      <c r="A1287" s="14" t="str">
        <f t="shared" si="20"/>
        <v>01</v>
      </c>
    </row>
    <row r="1288" spans="1:1">
      <c r="A1288" s="14" t="str">
        <f t="shared" si="20"/>
        <v>01</v>
      </c>
    </row>
    <row r="1289" spans="1:1">
      <c r="A1289" s="14" t="str">
        <f t="shared" si="20"/>
        <v>01</v>
      </c>
    </row>
    <row r="1290" spans="1:1">
      <c r="A1290" s="14" t="str">
        <f t="shared" si="20"/>
        <v>01</v>
      </c>
    </row>
    <row r="1291" spans="1:1">
      <c r="A1291" s="14" t="str">
        <f t="shared" si="20"/>
        <v>01</v>
      </c>
    </row>
    <row r="1292" spans="1:1">
      <c r="A1292" s="14" t="str">
        <f t="shared" si="20"/>
        <v>01</v>
      </c>
    </row>
    <row r="1293" spans="1:1">
      <c r="A1293" s="14" t="str">
        <f t="shared" si="20"/>
        <v>01</v>
      </c>
    </row>
    <row r="1294" spans="1:1">
      <c r="A1294" s="14" t="str">
        <f t="shared" si="20"/>
        <v>01</v>
      </c>
    </row>
    <row r="1295" spans="1:1">
      <c r="A1295" s="14" t="str">
        <f t="shared" si="20"/>
        <v>01</v>
      </c>
    </row>
    <row r="1296" spans="1:1">
      <c r="A1296" s="14" t="str">
        <f t="shared" si="20"/>
        <v>01</v>
      </c>
    </row>
    <row r="1297" spans="1:1">
      <c r="A1297" s="14" t="str">
        <f t="shared" si="20"/>
        <v>01</v>
      </c>
    </row>
    <row r="1298" spans="1:1">
      <c r="A1298" s="14" t="str">
        <f t="shared" si="20"/>
        <v>01</v>
      </c>
    </row>
    <row r="1299" spans="1:1">
      <c r="A1299" s="14" t="str">
        <f t="shared" si="20"/>
        <v>01</v>
      </c>
    </row>
    <row r="1300" spans="1:1">
      <c r="A1300" s="14" t="str">
        <f t="shared" si="20"/>
        <v>01</v>
      </c>
    </row>
    <row r="1301" spans="1:1">
      <c r="A1301" s="14" t="str">
        <f t="shared" si="20"/>
        <v>01</v>
      </c>
    </row>
    <row r="1302" spans="1:1">
      <c r="A1302" s="14" t="str">
        <f t="shared" si="20"/>
        <v>01</v>
      </c>
    </row>
    <row r="1303" spans="1:1">
      <c r="A1303" s="14" t="str">
        <f t="shared" si="20"/>
        <v>01</v>
      </c>
    </row>
    <row r="1304" spans="1:1">
      <c r="A1304" s="14" t="str">
        <f t="shared" si="20"/>
        <v>01</v>
      </c>
    </row>
    <row r="1305" spans="1:1">
      <c r="A1305" s="14" t="str">
        <f t="shared" si="20"/>
        <v>01</v>
      </c>
    </row>
    <row r="1306" spans="1:1">
      <c r="A1306" s="14" t="str">
        <f t="shared" si="20"/>
        <v>01</v>
      </c>
    </row>
    <row r="1307" spans="1:1">
      <c r="A1307" s="14" t="str">
        <f t="shared" si="20"/>
        <v>01</v>
      </c>
    </row>
    <row r="1308" spans="1:1">
      <c r="A1308" s="14" t="str">
        <f t="shared" si="20"/>
        <v>01</v>
      </c>
    </row>
    <row r="1309" spans="1:1">
      <c r="A1309" s="14" t="str">
        <f t="shared" si="20"/>
        <v>01</v>
      </c>
    </row>
    <row r="1310" spans="1:1">
      <c r="A1310" s="14" t="str">
        <f t="shared" si="20"/>
        <v>01</v>
      </c>
    </row>
    <row r="1311" spans="1:1">
      <c r="A1311" s="14" t="str">
        <f t="shared" si="20"/>
        <v>01</v>
      </c>
    </row>
    <row r="1312" spans="1:1">
      <c r="A1312" s="14" t="str">
        <f t="shared" si="20"/>
        <v>01</v>
      </c>
    </row>
    <row r="1313" spans="1:1">
      <c r="A1313" s="14" t="str">
        <f t="shared" si="20"/>
        <v>01</v>
      </c>
    </row>
    <row r="1314" spans="1:1">
      <c r="A1314" s="14" t="str">
        <f t="shared" si="20"/>
        <v>01</v>
      </c>
    </row>
    <row r="1315" spans="1:1">
      <c r="A1315" s="14" t="str">
        <f t="shared" si="20"/>
        <v>01</v>
      </c>
    </row>
    <row r="1316" spans="1:1">
      <c r="A1316" s="14" t="str">
        <f t="shared" si="20"/>
        <v>01</v>
      </c>
    </row>
    <row r="1317" spans="1:1">
      <c r="A1317" s="14" t="str">
        <f t="shared" si="20"/>
        <v>01</v>
      </c>
    </row>
    <row r="1318" spans="1:1">
      <c r="A1318" s="14" t="str">
        <f t="shared" si="20"/>
        <v>01</v>
      </c>
    </row>
    <row r="1319" spans="1:1">
      <c r="A1319" s="14" t="str">
        <f t="shared" si="20"/>
        <v>01</v>
      </c>
    </row>
    <row r="1320" spans="1:1">
      <c r="A1320" s="14" t="str">
        <f t="shared" si="20"/>
        <v>01</v>
      </c>
    </row>
    <row r="1321" spans="1:1">
      <c r="A1321" s="14" t="str">
        <f t="shared" si="20"/>
        <v>01</v>
      </c>
    </row>
    <row r="1322" spans="1:1">
      <c r="A1322" s="14" t="str">
        <f t="shared" si="20"/>
        <v>01</v>
      </c>
    </row>
    <row r="1323" spans="1:1">
      <c r="A1323" s="14" t="str">
        <f t="shared" si="20"/>
        <v>01</v>
      </c>
    </row>
    <row r="1324" spans="1:1">
      <c r="A1324" s="14" t="str">
        <f t="shared" si="20"/>
        <v>01</v>
      </c>
    </row>
    <row r="1325" spans="1:1">
      <c r="A1325" s="14" t="str">
        <f t="shared" si="20"/>
        <v>01</v>
      </c>
    </row>
    <row r="1326" spans="1:1">
      <c r="A1326" s="14" t="str">
        <f t="shared" si="20"/>
        <v>01</v>
      </c>
    </row>
    <row r="1327" spans="1:1">
      <c r="A1327" s="14" t="str">
        <f t="shared" si="20"/>
        <v>01</v>
      </c>
    </row>
    <row r="1328" spans="1:1">
      <c r="A1328" s="14" t="str">
        <f t="shared" si="20"/>
        <v>01</v>
      </c>
    </row>
    <row r="1329" spans="1:1">
      <c r="A1329" s="14" t="str">
        <f t="shared" si="20"/>
        <v>01</v>
      </c>
    </row>
    <row r="1330" spans="1:1">
      <c r="A1330" s="14" t="str">
        <f t="shared" si="20"/>
        <v>01</v>
      </c>
    </row>
    <row r="1331" spans="1:1">
      <c r="A1331" s="14" t="str">
        <f t="shared" si="20"/>
        <v>01</v>
      </c>
    </row>
    <row r="1332" spans="1:1">
      <c r="A1332" s="14" t="str">
        <f t="shared" si="20"/>
        <v>01</v>
      </c>
    </row>
    <row r="1333" spans="1:1">
      <c r="A1333" s="14" t="str">
        <f t="shared" si="20"/>
        <v>01</v>
      </c>
    </row>
    <row r="1334" spans="1:1">
      <c r="A1334" s="14" t="str">
        <f t="shared" si="20"/>
        <v>01</v>
      </c>
    </row>
    <row r="1335" spans="1:1">
      <c r="A1335" s="14" t="str">
        <f t="shared" si="20"/>
        <v>01</v>
      </c>
    </row>
    <row r="1336" spans="1:1">
      <c r="A1336" s="14" t="str">
        <f t="shared" si="20"/>
        <v>01</v>
      </c>
    </row>
    <row r="1337" spans="1:1">
      <c r="A1337" s="14" t="str">
        <f t="shared" si="20"/>
        <v>01</v>
      </c>
    </row>
    <row r="1338" spans="1:1">
      <c r="A1338" s="14" t="str">
        <f t="shared" si="20"/>
        <v>01</v>
      </c>
    </row>
    <row r="1339" spans="1:1">
      <c r="A1339" s="14" t="str">
        <f t="shared" si="20"/>
        <v>01</v>
      </c>
    </row>
    <row r="1340" spans="1:1">
      <c r="A1340" s="14" t="str">
        <f t="shared" si="20"/>
        <v>01</v>
      </c>
    </row>
    <row r="1341" spans="1:1">
      <c r="A1341" s="14" t="str">
        <f t="shared" si="20"/>
        <v>01</v>
      </c>
    </row>
    <row r="1342" spans="1:1">
      <c r="A1342" s="14" t="str">
        <f t="shared" si="20"/>
        <v>01</v>
      </c>
    </row>
    <row r="1343" spans="1:1">
      <c r="A1343" s="14" t="str">
        <f t="shared" si="20"/>
        <v>01</v>
      </c>
    </row>
    <row r="1344" spans="1:1">
      <c r="A1344" s="14" t="str">
        <f t="shared" si="20"/>
        <v>01</v>
      </c>
    </row>
    <row r="1345" spans="1:1">
      <c r="A1345" s="14" t="str">
        <f t="shared" si="20"/>
        <v>01</v>
      </c>
    </row>
    <row r="1346" spans="1:1">
      <c r="A1346" s="14" t="str">
        <f t="shared" si="20"/>
        <v>01</v>
      </c>
    </row>
    <row r="1347" spans="1:1">
      <c r="A1347" s="14" t="str">
        <f t="shared" ref="A1347:A1410" si="21">TEXT(L1347,"MM")</f>
        <v>01</v>
      </c>
    </row>
    <row r="1348" spans="1:1">
      <c r="A1348" s="14" t="str">
        <f t="shared" si="21"/>
        <v>01</v>
      </c>
    </row>
    <row r="1349" spans="1:1">
      <c r="A1349" s="14" t="str">
        <f t="shared" si="21"/>
        <v>01</v>
      </c>
    </row>
    <row r="1350" spans="1:1">
      <c r="A1350" s="14" t="str">
        <f t="shared" si="21"/>
        <v>01</v>
      </c>
    </row>
    <row r="1351" spans="1:1">
      <c r="A1351" s="14" t="str">
        <f t="shared" si="21"/>
        <v>01</v>
      </c>
    </row>
    <row r="1352" spans="1:1">
      <c r="A1352" s="14" t="str">
        <f t="shared" si="21"/>
        <v>01</v>
      </c>
    </row>
    <row r="1353" spans="1:1">
      <c r="A1353" s="14" t="str">
        <f t="shared" si="21"/>
        <v>01</v>
      </c>
    </row>
    <row r="1354" spans="1:1">
      <c r="A1354" s="14" t="str">
        <f t="shared" si="21"/>
        <v>01</v>
      </c>
    </row>
    <row r="1355" spans="1:1">
      <c r="A1355" s="14" t="str">
        <f t="shared" si="21"/>
        <v>01</v>
      </c>
    </row>
    <row r="1356" spans="1:1">
      <c r="A1356" s="14" t="str">
        <f t="shared" si="21"/>
        <v>01</v>
      </c>
    </row>
    <row r="1357" spans="1:1">
      <c r="A1357" s="14" t="str">
        <f t="shared" si="21"/>
        <v>01</v>
      </c>
    </row>
    <row r="1358" spans="1:1">
      <c r="A1358" s="14" t="str">
        <f t="shared" si="21"/>
        <v>01</v>
      </c>
    </row>
    <row r="1359" spans="1:1">
      <c r="A1359" s="14" t="str">
        <f t="shared" si="21"/>
        <v>01</v>
      </c>
    </row>
    <row r="1360" spans="1:1">
      <c r="A1360" s="14" t="str">
        <f t="shared" si="21"/>
        <v>01</v>
      </c>
    </row>
    <row r="1361" spans="1:1">
      <c r="A1361" s="14" t="str">
        <f t="shared" si="21"/>
        <v>01</v>
      </c>
    </row>
    <row r="1362" spans="1:1">
      <c r="A1362" s="14" t="str">
        <f t="shared" si="21"/>
        <v>01</v>
      </c>
    </row>
    <row r="1363" spans="1:1">
      <c r="A1363" s="14" t="str">
        <f t="shared" si="21"/>
        <v>01</v>
      </c>
    </row>
    <row r="1364" spans="1:1">
      <c r="A1364" s="14" t="str">
        <f t="shared" si="21"/>
        <v>01</v>
      </c>
    </row>
    <row r="1365" spans="1:1">
      <c r="A1365" s="14" t="str">
        <f t="shared" si="21"/>
        <v>01</v>
      </c>
    </row>
    <row r="1366" spans="1:1">
      <c r="A1366" s="14" t="str">
        <f t="shared" si="21"/>
        <v>01</v>
      </c>
    </row>
    <row r="1367" spans="1:1">
      <c r="A1367" s="14" t="str">
        <f t="shared" si="21"/>
        <v>01</v>
      </c>
    </row>
    <row r="1368" spans="1:1">
      <c r="A1368" s="14" t="str">
        <f t="shared" si="21"/>
        <v>01</v>
      </c>
    </row>
    <row r="1369" spans="1:1">
      <c r="A1369" s="14" t="str">
        <f t="shared" si="21"/>
        <v>01</v>
      </c>
    </row>
    <row r="1370" spans="1:1">
      <c r="A1370" s="14" t="str">
        <f t="shared" si="21"/>
        <v>01</v>
      </c>
    </row>
    <row r="1371" spans="1:1">
      <c r="A1371" s="14" t="str">
        <f t="shared" si="21"/>
        <v>01</v>
      </c>
    </row>
    <row r="1372" spans="1:1">
      <c r="A1372" s="14" t="str">
        <f t="shared" si="21"/>
        <v>01</v>
      </c>
    </row>
    <row r="1373" spans="1:1">
      <c r="A1373" s="14" t="str">
        <f t="shared" si="21"/>
        <v>01</v>
      </c>
    </row>
    <row r="1374" spans="1:1">
      <c r="A1374" s="14" t="str">
        <f t="shared" si="21"/>
        <v>01</v>
      </c>
    </row>
    <row r="1375" spans="1:1">
      <c r="A1375" s="14" t="str">
        <f t="shared" si="21"/>
        <v>01</v>
      </c>
    </row>
    <row r="1376" spans="1:1">
      <c r="A1376" s="14" t="str">
        <f t="shared" si="21"/>
        <v>01</v>
      </c>
    </row>
    <row r="1377" spans="1:1">
      <c r="A1377" s="14" t="str">
        <f t="shared" si="21"/>
        <v>01</v>
      </c>
    </row>
    <row r="1378" spans="1:1">
      <c r="A1378" s="14" t="str">
        <f t="shared" si="21"/>
        <v>01</v>
      </c>
    </row>
    <row r="1379" spans="1:1">
      <c r="A1379" s="14" t="str">
        <f t="shared" si="21"/>
        <v>01</v>
      </c>
    </row>
    <row r="1380" spans="1:1">
      <c r="A1380" s="14" t="str">
        <f t="shared" si="21"/>
        <v>01</v>
      </c>
    </row>
    <row r="1381" spans="1:1">
      <c r="A1381" s="14" t="str">
        <f t="shared" si="21"/>
        <v>01</v>
      </c>
    </row>
    <row r="1382" spans="1:1">
      <c r="A1382" s="14" t="str">
        <f t="shared" si="21"/>
        <v>01</v>
      </c>
    </row>
    <row r="1383" spans="1:1">
      <c r="A1383" s="14" t="str">
        <f t="shared" si="21"/>
        <v>01</v>
      </c>
    </row>
    <row r="1384" spans="1:1">
      <c r="A1384" s="14" t="str">
        <f t="shared" si="21"/>
        <v>01</v>
      </c>
    </row>
    <row r="1385" spans="1:1">
      <c r="A1385" s="14" t="str">
        <f t="shared" si="21"/>
        <v>01</v>
      </c>
    </row>
    <row r="1386" spans="1:1">
      <c r="A1386" s="14" t="str">
        <f t="shared" si="21"/>
        <v>01</v>
      </c>
    </row>
    <row r="1387" spans="1:1">
      <c r="A1387" s="14" t="str">
        <f t="shared" si="21"/>
        <v>01</v>
      </c>
    </row>
    <row r="1388" spans="1:1">
      <c r="A1388" s="14" t="str">
        <f t="shared" si="21"/>
        <v>01</v>
      </c>
    </row>
    <row r="1389" spans="1:1">
      <c r="A1389" s="14" t="str">
        <f t="shared" si="21"/>
        <v>01</v>
      </c>
    </row>
    <row r="1390" spans="1:1">
      <c r="A1390" s="14" t="str">
        <f t="shared" si="21"/>
        <v>01</v>
      </c>
    </row>
    <row r="1391" spans="1:1">
      <c r="A1391" s="14" t="str">
        <f t="shared" si="21"/>
        <v>01</v>
      </c>
    </row>
    <row r="1392" spans="1:1">
      <c r="A1392" s="14" t="str">
        <f t="shared" si="21"/>
        <v>01</v>
      </c>
    </row>
    <row r="1393" spans="1:1">
      <c r="A1393" s="14" t="str">
        <f t="shared" si="21"/>
        <v>01</v>
      </c>
    </row>
    <row r="1394" spans="1:1">
      <c r="A1394" s="14" t="str">
        <f t="shared" si="21"/>
        <v>01</v>
      </c>
    </row>
    <row r="1395" spans="1:1">
      <c r="A1395" s="14" t="str">
        <f t="shared" si="21"/>
        <v>01</v>
      </c>
    </row>
    <row r="1396" spans="1:1">
      <c r="A1396" s="14" t="str">
        <f t="shared" si="21"/>
        <v>01</v>
      </c>
    </row>
    <row r="1397" spans="1:1">
      <c r="A1397" s="14" t="str">
        <f t="shared" si="21"/>
        <v>01</v>
      </c>
    </row>
    <row r="1398" spans="1:1">
      <c r="A1398" s="14" t="str">
        <f t="shared" si="21"/>
        <v>01</v>
      </c>
    </row>
    <row r="1399" spans="1:1">
      <c r="A1399" s="14" t="str">
        <f t="shared" si="21"/>
        <v>01</v>
      </c>
    </row>
    <row r="1400" spans="1:1">
      <c r="A1400" s="14" t="str">
        <f t="shared" si="21"/>
        <v>01</v>
      </c>
    </row>
    <row r="1401" spans="1:1">
      <c r="A1401" s="14" t="str">
        <f t="shared" si="21"/>
        <v>01</v>
      </c>
    </row>
    <row r="1402" spans="1:1">
      <c r="A1402" s="14" t="str">
        <f t="shared" si="21"/>
        <v>01</v>
      </c>
    </row>
    <row r="1403" spans="1:1">
      <c r="A1403" s="14" t="str">
        <f t="shared" si="21"/>
        <v>01</v>
      </c>
    </row>
    <row r="1404" spans="1:1">
      <c r="A1404" s="14" t="str">
        <f t="shared" si="21"/>
        <v>01</v>
      </c>
    </row>
    <row r="1405" spans="1:1">
      <c r="A1405" s="14" t="str">
        <f t="shared" si="21"/>
        <v>01</v>
      </c>
    </row>
    <row r="1406" spans="1:1">
      <c r="A1406" s="14" t="str">
        <f t="shared" si="21"/>
        <v>01</v>
      </c>
    </row>
    <row r="1407" spans="1:1">
      <c r="A1407" s="14" t="str">
        <f t="shared" si="21"/>
        <v>01</v>
      </c>
    </row>
    <row r="1408" spans="1:1">
      <c r="A1408" s="14" t="str">
        <f t="shared" si="21"/>
        <v>01</v>
      </c>
    </row>
    <row r="1409" spans="1:1">
      <c r="A1409" s="14" t="str">
        <f t="shared" si="21"/>
        <v>01</v>
      </c>
    </row>
    <row r="1410" spans="1:1">
      <c r="A1410" s="14" t="str">
        <f t="shared" si="21"/>
        <v>01</v>
      </c>
    </row>
    <row r="1411" spans="1:1">
      <c r="A1411" s="14" t="str">
        <f t="shared" ref="A1411:A1474" si="22">TEXT(L1411,"MM")</f>
        <v>01</v>
      </c>
    </row>
    <row r="1412" spans="1:1">
      <c r="A1412" s="14" t="str">
        <f t="shared" si="22"/>
        <v>01</v>
      </c>
    </row>
    <row r="1413" spans="1:1">
      <c r="A1413" s="14" t="str">
        <f t="shared" si="22"/>
        <v>01</v>
      </c>
    </row>
    <row r="1414" spans="1:1">
      <c r="A1414" s="14" t="str">
        <f t="shared" si="22"/>
        <v>01</v>
      </c>
    </row>
    <row r="1415" spans="1:1">
      <c r="A1415" s="14" t="str">
        <f t="shared" si="22"/>
        <v>01</v>
      </c>
    </row>
    <row r="1416" spans="1:1">
      <c r="A1416" s="14" t="str">
        <f t="shared" si="22"/>
        <v>01</v>
      </c>
    </row>
    <row r="1417" spans="1:1">
      <c r="A1417" s="14" t="str">
        <f t="shared" si="22"/>
        <v>01</v>
      </c>
    </row>
    <row r="1418" spans="1:1">
      <c r="A1418" s="14" t="str">
        <f t="shared" si="22"/>
        <v>01</v>
      </c>
    </row>
    <row r="1419" spans="1:1">
      <c r="A1419" s="14" t="str">
        <f t="shared" si="22"/>
        <v>01</v>
      </c>
    </row>
    <row r="1420" spans="1:1">
      <c r="A1420" s="14" t="str">
        <f t="shared" si="22"/>
        <v>01</v>
      </c>
    </row>
    <row r="1421" spans="1:1">
      <c r="A1421" s="14" t="str">
        <f t="shared" si="22"/>
        <v>01</v>
      </c>
    </row>
    <row r="1422" spans="1:1">
      <c r="A1422" s="14" t="str">
        <f t="shared" si="22"/>
        <v>01</v>
      </c>
    </row>
    <row r="1423" spans="1:1">
      <c r="A1423" s="14" t="str">
        <f t="shared" si="22"/>
        <v>01</v>
      </c>
    </row>
    <row r="1424" spans="1:1">
      <c r="A1424" s="14" t="str">
        <f t="shared" si="22"/>
        <v>01</v>
      </c>
    </row>
    <row r="1425" spans="1:1">
      <c r="A1425" s="14" t="str">
        <f t="shared" si="22"/>
        <v>01</v>
      </c>
    </row>
    <row r="1426" spans="1:1">
      <c r="A1426" s="14" t="str">
        <f t="shared" si="22"/>
        <v>01</v>
      </c>
    </row>
    <row r="1427" spans="1:1">
      <c r="A1427" s="14" t="str">
        <f t="shared" si="22"/>
        <v>01</v>
      </c>
    </row>
    <row r="1428" spans="1:1">
      <c r="A1428" s="14" t="str">
        <f t="shared" si="22"/>
        <v>01</v>
      </c>
    </row>
    <row r="1429" spans="1:1">
      <c r="A1429" s="14" t="str">
        <f t="shared" si="22"/>
        <v>01</v>
      </c>
    </row>
    <row r="1430" spans="1:1">
      <c r="A1430" s="14" t="str">
        <f t="shared" si="22"/>
        <v>01</v>
      </c>
    </row>
    <row r="1431" spans="1:1">
      <c r="A1431" s="14" t="str">
        <f t="shared" si="22"/>
        <v>01</v>
      </c>
    </row>
    <row r="1432" spans="1:1">
      <c r="A1432" s="14" t="str">
        <f t="shared" si="22"/>
        <v>01</v>
      </c>
    </row>
    <row r="1433" spans="1:1">
      <c r="A1433" s="14" t="str">
        <f t="shared" si="22"/>
        <v>01</v>
      </c>
    </row>
    <row r="1434" spans="1:1">
      <c r="A1434" s="14" t="str">
        <f t="shared" si="22"/>
        <v>01</v>
      </c>
    </row>
    <row r="1435" spans="1:1">
      <c r="A1435" s="14" t="str">
        <f t="shared" si="22"/>
        <v>01</v>
      </c>
    </row>
    <row r="1436" spans="1:1">
      <c r="A1436" s="14" t="str">
        <f t="shared" si="22"/>
        <v>01</v>
      </c>
    </row>
    <row r="1437" spans="1:1">
      <c r="A1437" s="14" t="str">
        <f t="shared" si="22"/>
        <v>01</v>
      </c>
    </row>
    <row r="1438" spans="1:1">
      <c r="A1438" s="14" t="str">
        <f t="shared" si="22"/>
        <v>01</v>
      </c>
    </row>
    <row r="1439" spans="1:1">
      <c r="A1439" s="14" t="str">
        <f t="shared" si="22"/>
        <v>01</v>
      </c>
    </row>
    <row r="1440" spans="1:1">
      <c r="A1440" s="14" t="str">
        <f t="shared" si="22"/>
        <v>01</v>
      </c>
    </row>
    <row r="1441" spans="1:1">
      <c r="A1441" s="14" t="str">
        <f t="shared" si="22"/>
        <v>01</v>
      </c>
    </row>
    <row r="1442" spans="1:1">
      <c r="A1442" s="14" t="str">
        <f t="shared" si="22"/>
        <v>01</v>
      </c>
    </row>
    <row r="1443" spans="1:1">
      <c r="A1443" s="14" t="str">
        <f t="shared" si="22"/>
        <v>01</v>
      </c>
    </row>
    <row r="1444" spans="1:1">
      <c r="A1444" s="14" t="str">
        <f t="shared" si="22"/>
        <v>01</v>
      </c>
    </row>
    <row r="1445" spans="1:1">
      <c r="A1445" s="14" t="str">
        <f t="shared" si="22"/>
        <v>01</v>
      </c>
    </row>
    <row r="1446" spans="1:1">
      <c r="A1446" s="14" t="str">
        <f t="shared" si="22"/>
        <v>01</v>
      </c>
    </row>
    <row r="1447" spans="1:1">
      <c r="A1447" s="14" t="str">
        <f t="shared" si="22"/>
        <v>01</v>
      </c>
    </row>
    <row r="1448" spans="1:1">
      <c r="A1448" s="14" t="str">
        <f t="shared" si="22"/>
        <v>01</v>
      </c>
    </row>
    <row r="1449" spans="1:1">
      <c r="A1449" s="14" t="str">
        <f t="shared" si="22"/>
        <v>01</v>
      </c>
    </row>
    <row r="1450" spans="1:1">
      <c r="A1450" s="14" t="str">
        <f t="shared" si="22"/>
        <v>01</v>
      </c>
    </row>
    <row r="1451" spans="1:1">
      <c r="A1451" s="14" t="str">
        <f t="shared" si="22"/>
        <v>01</v>
      </c>
    </row>
    <row r="1452" spans="1:1">
      <c r="A1452" s="14" t="str">
        <f t="shared" si="22"/>
        <v>01</v>
      </c>
    </row>
    <row r="1453" spans="1:1">
      <c r="A1453" s="14" t="str">
        <f t="shared" si="22"/>
        <v>01</v>
      </c>
    </row>
    <row r="1454" spans="1:1">
      <c r="A1454" s="14" t="str">
        <f t="shared" si="22"/>
        <v>01</v>
      </c>
    </row>
    <row r="1455" spans="1:1">
      <c r="A1455" s="14" t="str">
        <f t="shared" si="22"/>
        <v>01</v>
      </c>
    </row>
    <row r="1456" spans="1:1">
      <c r="A1456" s="14" t="str">
        <f t="shared" si="22"/>
        <v>01</v>
      </c>
    </row>
    <row r="1457" spans="1:1">
      <c r="A1457" s="14" t="str">
        <f t="shared" si="22"/>
        <v>01</v>
      </c>
    </row>
    <row r="1458" spans="1:1">
      <c r="A1458" s="14" t="str">
        <f t="shared" si="22"/>
        <v>01</v>
      </c>
    </row>
    <row r="1459" spans="1:1">
      <c r="A1459" s="14" t="str">
        <f t="shared" si="22"/>
        <v>01</v>
      </c>
    </row>
    <row r="1460" spans="1:1">
      <c r="A1460" s="14" t="str">
        <f t="shared" si="22"/>
        <v>01</v>
      </c>
    </row>
    <row r="1461" spans="1:1">
      <c r="A1461" s="14" t="str">
        <f t="shared" si="22"/>
        <v>01</v>
      </c>
    </row>
    <row r="1462" spans="1:1">
      <c r="A1462" s="14" t="str">
        <f t="shared" si="22"/>
        <v>01</v>
      </c>
    </row>
    <row r="1463" spans="1:1">
      <c r="A1463" s="14" t="str">
        <f t="shared" si="22"/>
        <v>01</v>
      </c>
    </row>
    <row r="1464" spans="1:1">
      <c r="A1464" s="14" t="str">
        <f t="shared" si="22"/>
        <v>01</v>
      </c>
    </row>
    <row r="1465" spans="1:1">
      <c r="A1465" s="14" t="str">
        <f t="shared" si="22"/>
        <v>01</v>
      </c>
    </row>
    <row r="1466" spans="1:1">
      <c r="A1466" s="14" t="str">
        <f t="shared" si="22"/>
        <v>01</v>
      </c>
    </row>
    <row r="1467" spans="1:1">
      <c r="A1467" s="14" t="str">
        <f t="shared" si="22"/>
        <v>01</v>
      </c>
    </row>
    <row r="1468" spans="1:1">
      <c r="A1468" s="14" t="str">
        <f t="shared" si="22"/>
        <v>01</v>
      </c>
    </row>
    <row r="1469" spans="1:1">
      <c r="A1469" s="14" t="str">
        <f t="shared" si="22"/>
        <v>01</v>
      </c>
    </row>
    <row r="1470" spans="1:1">
      <c r="A1470" s="14" t="str">
        <f t="shared" si="22"/>
        <v>01</v>
      </c>
    </row>
    <row r="1471" spans="1:1">
      <c r="A1471" s="14" t="str">
        <f t="shared" si="22"/>
        <v>01</v>
      </c>
    </row>
    <row r="1472" spans="1:1">
      <c r="A1472" s="14" t="str">
        <f t="shared" si="22"/>
        <v>01</v>
      </c>
    </row>
    <row r="1473" spans="1:1">
      <c r="A1473" s="14" t="str">
        <f t="shared" si="22"/>
        <v>01</v>
      </c>
    </row>
    <row r="1474" spans="1:1">
      <c r="A1474" s="14" t="str">
        <f t="shared" si="22"/>
        <v>01</v>
      </c>
    </row>
    <row r="1475" spans="1:1">
      <c r="A1475" s="14" t="str">
        <f t="shared" ref="A1475:A1538" si="23">TEXT(L1475,"MM")</f>
        <v>01</v>
      </c>
    </row>
    <row r="1476" spans="1:1">
      <c r="A1476" s="14" t="str">
        <f t="shared" si="23"/>
        <v>01</v>
      </c>
    </row>
    <row r="1477" spans="1:1">
      <c r="A1477" s="14" t="str">
        <f t="shared" si="23"/>
        <v>01</v>
      </c>
    </row>
    <row r="1478" spans="1:1">
      <c r="A1478" s="14" t="str">
        <f t="shared" si="23"/>
        <v>01</v>
      </c>
    </row>
    <row r="1479" spans="1:1">
      <c r="A1479" s="14" t="str">
        <f t="shared" si="23"/>
        <v>01</v>
      </c>
    </row>
    <row r="1480" spans="1:1">
      <c r="A1480" s="14" t="str">
        <f t="shared" si="23"/>
        <v>01</v>
      </c>
    </row>
    <row r="1481" spans="1:1">
      <c r="A1481" s="14" t="str">
        <f t="shared" si="23"/>
        <v>01</v>
      </c>
    </row>
    <row r="1482" spans="1:1">
      <c r="A1482" s="14" t="str">
        <f t="shared" si="23"/>
        <v>01</v>
      </c>
    </row>
    <row r="1483" spans="1:1">
      <c r="A1483" s="14" t="str">
        <f t="shared" si="23"/>
        <v>01</v>
      </c>
    </row>
    <row r="1484" spans="1:1">
      <c r="A1484" s="14" t="str">
        <f t="shared" si="23"/>
        <v>01</v>
      </c>
    </row>
    <row r="1485" spans="1:1">
      <c r="A1485" s="14" t="str">
        <f t="shared" si="23"/>
        <v>01</v>
      </c>
    </row>
    <row r="1486" spans="1:1">
      <c r="A1486" s="14" t="str">
        <f t="shared" si="23"/>
        <v>01</v>
      </c>
    </row>
    <row r="1487" spans="1:1">
      <c r="A1487" s="14" t="str">
        <f t="shared" si="23"/>
        <v>01</v>
      </c>
    </row>
    <row r="1488" spans="1:1">
      <c r="A1488" s="14" t="str">
        <f t="shared" si="23"/>
        <v>01</v>
      </c>
    </row>
    <row r="1489" spans="1:1">
      <c r="A1489" s="14" t="str">
        <f t="shared" si="23"/>
        <v>01</v>
      </c>
    </row>
    <row r="1490" spans="1:1">
      <c r="A1490" s="14" t="str">
        <f t="shared" si="23"/>
        <v>01</v>
      </c>
    </row>
    <row r="1491" spans="1:1">
      <c r="A1491" s="14" t="str">
        <f t="shared" si="23"/>
        <v>01</v>
      </c>
    </row>
    <row r="1492" spans="1:1">
      <c r="A1492" s="14" t="str">
        <f t="shared" si="23"/>
        <v>01</v>
      </c>
    </row>
    <row r="1493" spans="1:1">
      <c r="A1493" s="14" t="str">
        <f t="shared" si="23"/>
        <v>01</v>
      </c>
    </row>
    <row r="1494" spans="1:1">
      <c r="A1494" s="14" t="str">
        <f t="shared" si="23"/>
        <v>01</v>
      </c>
    </row>
    <row r="1495" spans="1:1">
      <c r="A1495" s="14" t="str">
        <f t="shared" si="23"/>
        <v>01</v>
      </c>
    </row>
    <row r="1496" spans="1:1">
      <c r="A1496" s="14" t="str">
        <f t="shared" si="23"/>
        <v>01</v>
      </c>
    </row>
    <row r="1497" spans="1:1">
      <c r="A1497" s="14" t="str">
        <f t="shared" si="23"/>
        <v>01</v>
      </c>
    </row>
    <row r="1498" spans="1:1">
      <c r="A1498" s="14" t="str">
        <f t="shared" si="23"/>
        <v>01</v>
      </c>
    </row>
    <row r="1499" spans="1:1">
      <c r="A1499" s="14" t="str">
        <f t="shared" si="23"/>
        <v>01</v>
      </c>
    </row>
    <row r="1500" spans="1:1">
      <c r="A1500" s="14" t="str">
        <f t="shared" si="23"/>
        <v>01</v>
      </c>
    </row>
    <row r="1501" spans="1:1">
      <c r="A1501" s="14" t="str">
        <f t="shared" si="23"/>
        <v>01</v>
      </c>
    </row>
    <row r="1502" spans="1:1">
      <c r="A1502" s="14" t="str">
        <f t="shared" si="23"/>
        <v>01</v>
      </c>
    </row>
    <row r="1503" spans="1:1">
      <c r="A1503" s="14" t="str">
        <f t="shared" si="23"/>
        <v>01</v>
      </c>
    </row>
    <row r="1504" spans="1:1">
      <c r="A1504" s="14" t="str">
        <f t="shared" si="23"/>
        <v>01</v>
      </c>
    </row>
    <row r="1505" spans="1:1">
      <c r="A1505" s="14" t="str">
        <f t="shared" si="23"/>
        <v>01</v>
      </c>
    </row>
    <row r="1506" spans="1:1">
      <c r="A1506" s="14" t="str">
        <f t="shared" si="23"/>
        <v>01</v>
      </c>
    </row>
    <row r="1507" spans="1:1">
      <c r="A1507" s="14" t="str">
        <f t="shared" si="23"/>
        <v>01</v>
      </c>
    </row>
    <row r="1508" spans="1:1">
      <c r="A1508" s="14" t="str">
        <f t="shared" si="23"/>
        <v>01</v>
      </c>
    </row>
    <row r="1509" spans="1:1">
      <c r="A1509" s="14" t="str">
        <f t="shared" si="23"/>
        <v>01</v>
      </c>
    </row>
    <row r="1510" spans="1:1">
      <c r="A1510" s="14" t="str">
        <f t="shared" si="23"/>
        <v>01</v>
      </c>
    </row>
    <row r="1511" spans="1:1">
      <c r="A1511" s="14" t="str">
        <f t="shared" si="23"/>
        <v>01</v>
      </c>
    </row>
    <row r="1512" spans="1:1">
      <c r="A1512" s="14" t="str">
        <f t="shared" si="23"/>
        <v>01</v>
      </c>
    </row>
    <row r="1513" spans="1:1">
      <c r="A1513" s="14" t="str">
        <f t="shared" si="23"/>
        <v>01</v>
      </c>
    </row>
    <row r="1514" spans="1:1">
      <c r="A1514" s="14" t="str">
        <f t="shared" si="23"/>
        <v>01</v>
      </c>
    </row>
    <row r="1515" spans="1:1">
      <c r="A1515" s="14" t="str">
        <f t="shared" si="23"/>
        <v>01</v>
      </c>
    </row>
    <row r="1516" spans="1:1">
      <c r="A1516" s="14" t="str">
        <f t="shared" si="23"/>
        <v>01</v>
      </c>
    </row>
    <row r="1517" spans="1:1">
      <c r="A1517" s="14" t="str">
        <f t="shared" si="23"/>
        <v>01</v>
      </c>
    </row>
    <row r="1518" spans="1:1">
      <c r="A1518" s="14" t="str">
        <f t="shared" si="23"/>
        <v>01</v>
      </c>
    </row>
    <row r="1519" spans="1:1">
      <c r="A1519" s="14" t="str">
        <f t="shared" si="23"/>
        <v>01</v>
      </c>
    </row>
    <row r="1520" spans="1:1">
      <c r="A1520" s="14" t="str">
        <f t="shared" si="23"/>
        <v>01</v>
      </c>
    </row>
    <row r="1521" spans="1:1">
      <c r="A1521" s="14" t="str">
        <f t="shared" si="23"/>
        <v>01</v>
      </c>
    </row>
    <row r="1522" spans="1:1">
      <c r="A1522" s="14" t="str">
        <f t="shared" si="23"/>
        <v>01</v>
      </c>
    </row>
    <row r="1523" spans="1:1">
      <c r="A1523" s="14" t="str">
        <f t="shared" si="23"/>
        <v>01</v>
      </c>
    </row>
    <row r="1524" spans="1:1">
      <c r="A1524" s="14" t="str">
        <f t="shared" si="23"/>
        <v>01</v>
      </c>
    </row>
    <row r="1525" spans="1:1">
      <c r="A1525" s="14" t="str">
        <f t="shared" si="23"/>
        <v>01</v>
      </c>
    </row>
    <row r="1526" spans="1:1">
      <c r="A1526" s="14" t="str">
        <f t="shared" si="23"/>
        <v>01</v>
      </c>
    </row>
    <row r="1527" spans="1:1">
      <c r="A1527" s="14" t="str">
        <f t="shared" si="23"/>
        <v>01</v>
      </c>
    </row>
    <row r="1528" spans="1:1">
      <c r="A1528" s="14" t="str">
        <f t="shared" si="23"/>
        <v>01</v>
      </c>
    </row>
    <row r="1529" spans="1:1">
      <c r="A1529" s="14" t="str">
        <f t="shared" si="23"/>
        <v>01</v>
      </c>
    </row>
    <row r="1530" spans="1:1">
      <c r="A1530" s="14" t="str">
        <f t="shared" si="23"/>
        <v>01</v>
      </c>
    </row>
    <row r="1531" spans="1:1">
      <c r="A1531" s="14" t="str">
        <f t="shared" si="23"/>
        <v>01</v>
      </c>
    </row>
    <row r="1532" spans="1:1">
      <c r="A1532" s="14" t="str">
        <f t="shared" si="23"/>
        <v>01</v>
      </c>
    </row>
    <row r="1533" spans="1:1">
      <c r="A1533" s="14" t="str">
        <f t="shared" si="23"/>
        <v>01</v>
      </c>
    </row>
    <row r="1534" spans="1:1">
      <c r="A1534" s="14" t="str">
        <f t="shared" si="23"/>
        <v>01</v>
      </c>
    </row>
    <row r="1535" spans="1:1">
      <c r="A1535" s="14" t="str">
        <f t="shared" si="23"/>
        <v>01</v>
      </c>
    </row>
    <row r="1536" spans="1:1">
      <c r="A1536" s="14" t="str">
        <f t="shared" si="23"/>
        <v>01</v>
      </c>
    </row>
    <row r="1537" spans="1:1">
      <c r="A1537" s="14" t="str">
        <f t="shared" si="23"/>
        <v>01</v>
      </c>
    </row>
    <row r="1538" spans="1:1">
      <c r="A1538" s="14" t="str">
        <f t="shared" si="23"/>
        <v>01</v>
      </c>
    </row>
    <row r="1539" spans="1:1">
      <c r="A1539" s="14" t="str">
        <f t="shared" ref="A1539:A1602" si="24">TEXT(L1539,"MM")</f>
        <v>01</v>
      </c>
    </row>
    <row r="1540" spans="1:1">
      <c r="A1540" s="14" t="str">
        <f t="shared" si="24"/>
        <v>01</v>
      </c>
    </row>
    <row r="1541" spans="1:1">
      <c r="A1541" s="14" t="str">
        <f t="shared" si="24"/>
        <v>01</v>
      </c>
    </row>
    <row r="1542" spans="1:1">
      <c r="A1542" s="14" t="str">
        <f t="shared" si="24"/>
        <v>01</v>
      </c>
    </row>
    <row r="1543" spans="1:1">
      <c r="A1543" s="14" t="str">
        <f t="shared" si="24"/>
        <v>01</v>
      </c>
    </row>
    <row r="1544" spans="1:1">
      <c r="A1544" s="14" t="str">
        <f t="shared" si="24"/>
        <v>01</v>
      </c>
    </row>
    <row r="1545" spans="1:1">
      <c r="A1545" s="14" t="str">
        <f t="shared" si="24"/>
        <v>01</v>
      </c>
    </row>
    <row r="1546" spans="1:1">
      <c r="A1546" s="14" t="str">
        <f t="shared" si="24"/>
        <v>01</v>
      </c>
    </row>
    <row r="1547" spans="1:1">
      <c r="A1547" s="14" t="str">
        <f t="shared" si="24"/>
        <v>01</v>
      </c>
    </row>
    <row r="1548" spans="1:1">
      <c r="A1548" s="14" t="str">
        <f t="shared" si="24"/>
        <v>01</v>
      </c>
    </row>
    <row r="1549" spans="1:1">
      <c r="A1549" s="14" t="str">
        <f t="shared" si="24"/>
        <v>01</v>
      </c>
    </row>
    <row r="1550" spans="1:1">
      <c r="A1550" s="14" t="str">
        <f t="shared" si="24"/>
        <v>01</v>
      </c>
    </row>
    <row r="1551" spans="1:1">
      <c r="A1551" s="14" t="str">
        <f t="shared" si="24"/>
        <v>01</v>
      </c>
    </row>
    <row r="1552" spans="1:1">
      <c r="A1552" s="14" t="str">
        <f t="shared" si="24"/>
        <v>01</v>
      </c>
    </row>
    <row r="1553" spans="1:1">
      <c r="A1553" s="14" t="str">
        <f t="shared" si="24"/>
        <v>01</v>
      </c>
    </row>
    <row r="1554" spans="1:1">
      <c r="A1554" s="14" t="str">
        <f t="shared" si="24"/>
        <v>01</v>
      </c>
    </row>
    <row r="1555" spans="1:1">
      <c r="A1555" s="14" t="str">
        <f t="shared" si="24"/>
        <v>01</v>
      </c>
    </row>
    <row r="1556" spans="1:1">
      <c r="A1556" s="14" t="str">
        <f t="shared" si="24"/>
        <v>01</v>
      </c>
    </row>
    <row r="1557" spans="1:1">
      <c r="A1557" s="14" t="str">
        <f t="shared" si="24"/>
        <v>01</v>
      </c>
    </row>
    <row r="1558" spans="1:1">
      <c r="A1558" s="14" t="str">
        <f t="shared" si="24"/>
        <v>01</v>
      </c>
    </row>
    <row r="1559" spans="1:1">
      <c r="A1559" s="14" t="str">
        <f t="shared" si="24"/>
        <v>01</v>
      </c>
    </row>
    <row r="1560" spans="1:1">
      <c r="A1560" s="14" t="str">
        <f t="shared" si="24"/>
        <v>01</v>
      </c>
    </row>
    <row r="1561" spans="1:1">
      <c r="A1561" s="14" t="str">
        <f t="shared" si="24"/>
        <v>01</v>
      </c>
    </row>
    <row r="1562" spans="1:1">
      <c r="A1562" s="14" t="str">
        <f t="shared" si="24"/>
        <v>01</v>
      </c>
    </row>
    <row r="1563" spans="1:1">
      <c r="A1563" s="14" t="str">
        <f t="shared" si="24"/>
        <v>01</v>
      </c>
    </row>
    <row r="1564" spans="1:1">
      <c r="A1564" s="14" t="str">
        <f t="shared" si="24"/>
        <v>01</v>
      </c>
    </row>
    <row r="1565" spans="1:1">
      <c r="A1565" s="14" t="str">
        <f t="shared" si="24"/>
        <v>01</v>
      </c>
    </row>
    <row r="1566" spans="1:1">
      <c r="A1566" s="14" t="str">
        <f t="shared" si="24"/>
        <v>01</v>
      </c>
    </row>
    <row r="1567" spans="1:1">
      <c r="A1567" s="14" t="str">
        <f t="shared" si="24"/>
        <v>01</v>
      </c>
    </row>
    <row r="1568" spans="1:1">
      <c r="A1568" s="14" t="str">
        <f t="shared" si="24"/>
        <v>01</v>
      </c>
    </row>
    <row r="1569" spans="1:1">
      <c r="A1569" s="14" t="str">
        <f t="shared" si="24"/>
        <v>01</v>
      </c>
    </row>
    <row r="1570" spans="1:1">
      <c r="A1570" s="14" t="str">
        <f t="shared" si="24"/>
        <v>01</v>
      </c>
    </row>
    <row r="1571" spans="1:1">
      <c r="A1571" s="14" t="str">
        <f t="shared" si="24"/>
        <v>01</v>
      </c>
    </row>
    <row r="1572" spans="1:1">
      <c r="A1572" s="14" t="str">
        <f t="shared" si="24"/>
        <v>01</v>
      </c>
    </row>
    <row r="1573" spans="1:1">
      <c r="A1573" s="14" t="str">
        <f t="shared" si="24"/>
        <v>01</v>
      </c>
    </row>
    <row r="1574" spans="1:1">
      <c r="A1574" s="14" t="str">
        <f t="shared" si="24"/>
        <v>01</v>
      </c>
    </row>
    <row r="1575" spans="1:1">
      <c r="A1575" s="14" t="str">
        <f t="shared" si="24"/>
        <v>01</v>
      </c>
    </row>
    <row r="1576" spans="1:1">
      <c r="A1576" s="14" t="str">
        <f t="shared" si="24"/>
        <v>01</v>
      </c>
    </row>
    <row r="1577" spans="1:1">
      <c r="A1577" s="14" t="str">
        <f t="shared" si="24"/>
        <v>01</v>
      </c>
    </row>
    <row r="1578" spans="1:1">
      <c r="A1578" s="14" t="str">
        <f t="shared" si="24"/>
        <v>01</v>
      </c>
    </row>
    <row r="1579" spans="1:1">
      <c r="A1579" s="14" t="str">
        <f t="shared" si="24"/>
        <v>01</v>
      </c>
    </row>
    <row r="1580" spans="1:1">
      <c r="A1580" s="14" t="str">
        <f t="shared" si="24"/>
        <v>01</v>
      </c>
    </row>
    <row r="1581" spans="1:1">
      <c r="A1581" s="14" t="str">
        <f t="shared" si="24"/>
        <v>01</v>
      </c>
    </row>
    <row r="1582" spans="1:1">
      <c r="A1582" s="14" t="str">
        <f t="shared" si="24"/>
        <v>01</v>
      </c>
    </row>
    <row r="1583" spans="1:1">
      <c r="A1583" s="14" t="str">
        <f t="shared" si="24"/>
        <v>01</v>
      </c>
    </row>
    <row r="1584" spans="1:1">
      <c r="A1584" s="14" t="str">
        <f t="shared" si="24"/>
        <v>01</v>
      </c>
    </row>
    <row r="1585" spans="1:1">
      <c r="A1585" s="14" t="str">
        <f t="shared" si="24"/>
        <v>01</v>
      </c>
    </row>
    <row r="1586" spans="1:1">
      <c r="A1586" s="14" t="str">
        <f t="shared" si="24"/>
        <v>01</v>
      </c>
    </row>
    <row r="1587" spans="1:1">
      <c r="A1587" s="14" t="str">
        <f t="shared" si="24"/>
        <v>01</v>
      </c>
    </row>
    <row r="1588" spans="1:1">
      <c r="A1588" s="14" t="str">
        <f t="shared" si="24"/>
        <v>01</v>
      </c>
    </row>
    <row r="1589" spans="1:1">
      <c r="A1589" s="14" t="str">
        <f t="shared" si="24"/>
        <v>01</v>
      </c>
    </row>
    <row r="1590" spans="1:1">
      <c r="A1590" s="14" t="str">
        <f t="shared" si="24"/>
        <v>01</v>
      </c>
    </row>
    <row r="1591" spans="1:1">
      <c r="A1591" s="14" t="str">
        <f t="shared" si="24"/>
        <v>01</v>
      </c>
    </row>
    <row r="1592" spans="1:1">
      <c r="A1592" s="14" t="str">
        <f t="shared" si="24"/>
        <v>01</v>
      </c>
    </row>
    <row r="1593" spans="1:1">
      <c r="A1593" s="14" t="str">
        <f t="shared" si="24"/>
        <v>01</v>
      </c>
    </row>
    <row r="1594" spans="1:1">
      <c r="A1594" s="14" t="str">
        <f t="shared" si="24"/>
        <v>01</v>
      </c>
    </row>
    <row r="1595" spans="1:1">
      <c r="A1595" s="14" t="str">
        <f t="shared" si="24"/>
        <v>01</v>
      </c>
    </row>
    <row r="1596" spans="1:1">
      <c r="A1596" s="14" t="str">
        <f t="shared" si="24"/>
        <v>01</v>
      </c>
    </row>
    <row r="1597" spans="1:1">
      <c r="A1597" s="14" t="str">
        <f t="shared" si="24"/>
        <v>01</v>
      </c>
    </row>
    <row r="1598" spans="1:1">
      <c r="A1598" s="14" t="str">
        <f t="shared" si="24"/>
        <v>01</v>
      </c>
    </row>
    <row r="1599" spans="1:1">
      <c r="A1599" s="14" t="str">
        <f t="shared" si="24"/>
        <v>01</v>
      </c>
    </row>
    <row r="1600" spans="1:1">
      <c r="A1600" s="14" t="str">
        <f t="shared" si="24"/>
        <v>01</v>
      </c>
    </row>
    <row r="1601" spans="1:1">
      <c r="A1601" s="14" t="str">
        <f t="shared" si="24"/>
        <v>01</v>
      </c>
    </row>
    <row r="1602" spans="1:1">
      <c r="A1602" s="14" t="str">
        <f t="shared" si="24"/>
        <v>01</v>
      </c>
    </row>
    <row r="1603" spans="1:1">
      <c r="A1603" s="14" t="str">
        <f t="shared" ref="A1603:A1666" si="25">TEXT(L1603,"MM")</f>
        <v>01</v>
      </c>
    </row>
    <row r="1604" spans="1:1">
      <c r="A1604" s="14" t="str">
        <f t="shared" si="25"/>
        <v>01</v>
      </c>
    </row>
    <row r="1605" spans="1:1">
      <c r="A1605" s="14" t="str">
        <f t="shared" si="25"/>
        <v>01</v>
      </c>
    </row>
    <row r="1606" spans="1:1">
      <c r="A1606" s="14" t="str">
        <f t="shared" si="25"/>
        <v>01</v>
      </c>
    </row>
    <row r="1607" spans="1:1">
      <c r="A1607" s="14" t="str">
        <f t="shared" si="25"/>
        <v>01</v>
      </c>
    </row>
    <row r="1608" spans="1:1">
      <c r="A1608" s="14" t="str">
        <f t="shared" si="25"/>
        <v>01</v>
      </c>
    </row>
    <row r="1609" spans="1:1">
      <c r="A1609" s="14" t="str">
        <f t="shared" si="25"/>
        <v>01</v>
      </c>
    </row>
    <row r="1610" spans="1:1">
      <c r="A1610" s="14" t="str">
        <f t="shared" si="25"/>
        <v>01</v>
      </c>
    </row>
    <row r="1611" spans="1:1">
      <c r="A1611" s="14" t="str">
        <f t="shared" si="25"/>
        <v>01</v>
      </c>
    </row>
    <row r="1612" spans="1:1">
      <c r="A1612" s="14" t="str">
        <f t="shared" si="25"/>
        <v>01</v>
      </c>
    </row>
    <row r="1613" spans="1:1">
      <c r="A1613" s="14" t="str">
        <f t="shared" si="25"/>
        <v>01</v>
      </c>
    </row>
    <row r="1614" spans="1:1">
      <c r="A1614" s="14" t="str">
        <f t="shared" si="25"/>
        <v>01</v>
      </c>
    </row>
    <row r="1615" spans="1:1">
      <c r="A1615" s="14" t="str">
        <f t="shared" si="25"/>
        <v>01</v>
      </c>
    </row>
    <row r="1616" spans="1:1">
      <c r="A1616" s="14" t="str">
        <f t="shared" si="25"/>
        <v>01</v>
      </c>
    </row>
    <row r="1617" spans="1:1">
      <c r="A1617" s="14" t="str">
        <f t="shared" si="25"/>
        <v>01</v>
      </c>
    </row>
    <row r="1618" spans="1:1">
      <c r="A1618" s="14" t="str">
        <f t="shared" si="25"/>
        <v>01</v>
      </c>
    </row>
    <row r="1619" spans="1:1">
      <c r="A1619" s="14" t="str">
        <f t="shared" si="25"/>
        <v>01</v>
      </c>
    </row>
    <row r="1620" spans="1:1">
      <c r="A1620" s="14" t="str">
        <f t="shared" si="25"/>
        <v>01</v>
      </c>
    </row>
    <row r="1621" spans="1:1">
      <c r="A1621" s="14" t="str">
        <f t="shared" si="25"/>
        <v>01</v>
      </c>
    </row>
    <row r="1622" spans="1:1">
      <c r="A1622" s="14" t="str">
        <f t="shared" si="25"/>
        <v>01</v>
      </c>
    </row>
    <row r="1623" spans="1:1">
      <c r="A1623" s="14" t="str">
        <f t="shared" si="25"/>
        <v>01</v>
      </c>
    </row>
    <row r="1624" spans="1:1">
      <c r="A1624" s="14" t="str">
        <f t="shared" si="25"/>
        <v>01</v>
      </c>
    </row>
    <row r="1625" spans="1:1">
      <c r="A1625" s="14" t="str">
        <f t="shared" si="25"/>
        <v>01</v>
      </c>
    </row>
    <row r="1626" spans="1:1">
      <c r="A1626" s="14" t="str">
        <f t="shared" si="25"/>
        <v>01</v>
      </c>
    </row>
    <row r="1627" spans="1:1">
      <c r="A1627" s="14" t="str">
        <f t="shared" si="25"/>
        <v>01</v>
      </c>
    </row>
    <row r="1628" spans="1:1">
      <c r="A1628" s="14" t="str">
        <f t="shared" si="25"/>
        <v>01</v>
      </c>
    </row>
    <row r="1629" spans="1:1">
      <c r="A1629" s="14" t="str">
        <f t="shared" si="25"/>
        <v>01</v>
      </c>
    </row>
    <row r="1630" spans="1:1">
      <c r="A1630" s="14" t="str">
        <f t="shared" si="25"/>
        <v>01</v>
      </c>
    </row>
    <row r="1631" spans="1:1">
      <c r="A1631" s="14" t="str">
        <f t="shared" si="25"/>
        <v>01</v>
      </c>
    </row>
    <row r="1632" spans="1:1">
      <c r="A1632" s="14" t="str">
        <f t="shared" si="25"/>
        <v>01</v>
      </c>
    </row>
    <row r="1633" spans="1:1">
      <c r="A1633" s="14" t="str">
        <f t="shared" si="25"/>
        <v>01</v>
      </c>
    </row>
    <row r="1634" spans="1:1">
      <c r="A1634" s="14" t="str">
        <f t="shared" si="25"/>
        <v>01</v>
      </c>
    </row>
    <row r="1635" spans="1:1">
      <c r="A1635" s="14" t="str">
        <f t="shared" si="25"/>
        <v>01</v>
      </c>
    </row>
    <row r="1636" spans="1:1">
      <c r="A1636" s="14" t="str">
        <f t="shared" si="25"/>
        <v>01</v>
      </c>
    </row>
    <row r="1637" spans="1:1">
      <c r="A1637" s="14" t="str">
        <f t="shared" si="25"/>
        <v>01</v>
      </c>
    </row>
    <row r="1638" spans="1:1">
      <c r="A1638" s="14" t="str">
        <f t="shared" si="25"/>
        <v>01</v>
      </c>
    </row>
    <row r="1639" spans="1:1">
      <c r="A1639" s="14" t="str">
        <f t="shared" si="25"/>
        <v>01</v>
      </c>
    </row>
    <row r="1640" spans="1:1">
      <c r="A1640" s="14" t="str">
        <f t="shared" si="25"/>
        <v>01</v>
      </c>
    </row>
    <row r="1641" spans="1:1">
      <c r="A1641" s="14" t="str">
        <f t="shared" si="25"/>
        <v>01</v>
      </c>
    </row>
    <row r="1642" spans="1:1">
      <c r="A1642" s="14" t="str">
        <f t="shared" si="25"/>
        <v>01</v>
      </c>
    </row>
    <row r="1643" spans="1:1">
      <c r="A1643" s="14" t="str">
        <f t="shared" si="25"/>
        <v>01</v>
      </c>
    </row>
    <row r="1644" spans="1:1">
      <c r="A1644" s="14" t="str">
        <f t="shared" si="25"/>
        <v>01</v>
      </c>
    </row>
    <row r="1645" spans="1:1">
      <c r="A1645" s="14" t="str">
        <f t="shared" si="25"/>
        <v>01</v>
      </c>
    </row>
    <row r="1646" spans="1:1">
      <c r="A1646" s="14" t="str">
        <f t="shared" si="25"/>
        <v>01</v>
      </c>
    </row>
    <row r="1647" spans="1:1">
      <c r="A1647" s="14" t="str">
        <f t="shared" si="25"/>
        <v>01</v>
      </c>
    </row>
    <row r="1648" spans="1:1">
      <c r="A1648" s="14" t="str">
        <f t="shared" si="25"/>
        <v>01</v>
      </c>
    </row>
    <row r="1649" spans="1:1">
      <c r="A1649" s="14" t="str">
        <f t="shared" si="25"/>
        <v>01</v>
      </c>
    </row>
    <row r="1650" spans="1:1">
      <c r="A1650" s="14" t="str">
        <f t="shared" si="25"/>
        <v>01</v>
      </c>
    </row>
    <row r="1651" spans="1:1">
      <c r="A1651" s="14" t="str">
        <f t="shared" si="25"/>
        <v>01</v>
      </c>
    </row>
    <row r="1652" spans="1:1">
      <c r="A1652" s="14" t="str">
        <f t="shared" si="25"/>
        <v>01</v>
      </c>
    </row>
    <row r="1653" spans="1:1">
      <c r="A1653" s="14" t="str">
        <f t="shared" si="25"/>
        <v>01</v>
      </c>
    </row>
    <row r="1654" spans="1:1">
      <c r="A1654" s="14" t="str">
        <f t="shared" si="25"/>
        <v>01</v>
      </c>
    </row>
    <row r="1655" spans="1:1">
      <c r="A1655" s="14" t="str">
        <f t="shared" si="25"/>
        <v>01</v>
      </c>
    </row>
    <row r="1656" spans="1:1">
      <c r="A1656" s="14" t="str">
        <f t="shared" si="25"/>
        <v>01</v>
      </c>
    </row>
    <row r="1657" spans="1:1">
      <c r="A1657" s="14" t="str">
        <f t="shared" si="25"/>
        <v>01</v>
      </c>
    </row>
    <row r="1658" spans="1:1">
      <c r="A1658" s="14" t="str">
        <f t="shared" si="25"/>
        <v>01</v>
      </c>
    </row>
    <row r="1659" spans="1:1">
      <c r="A1659" s="14" t="str">
        <f t="shared" si="25"/>
        <v>01</v>
      </c>
    </row>
    <row r="1660" spans="1:1">
      <c r="A1660" s="14" t="str">
        <f t="shared" si="25"/>
        <v>01</v>
      </c>
    </row>
    <row r="1661" spans="1:1">
      <c r="A1661" s="14" t="str">
        <f t="shared" si="25"/>
        <v>01</v>
      </c>
    </row>
    <row r="1662" spans="1:1">
      <c r="A1662" s="14" t="str">
        <f t="shared" si="25"/>
        <v>01</v>
      </c>
    </row>
    <row r="1663" spans="1:1">
      <c r="A1663" s="14" t="str">
        <f t="shared" si="25"/>
        <v>01</v>
      </c>
    </row>
    <row r="1664" spans="1:1">
      <c r="A1664" s="14" t="str">
        <f t="shared" si="25"/>
        <v>01</v>
      </c>
    </row>
    <row r="1665" spans="1:1">
      <c r="A1665" s="14" t="str">
        <f t="shared" si="25"/>
        <v>01</v>
      </c>
    </row>
    <row r="1666" spans="1:1">
      <c r="A1666" s="14" t="str">
        <f t="shared" si="25"/>
        <v>01</v>
      </c>
    </row>
    <row r="1667" spans="1:1">
      <c r="A1667" s="14" t="str">
        <f t="shared" ref="A1667:A1730" si="26">TEXT(L1667,"MM")</f>
        <v>01</v>
      </c>
    </row>
    <row r="1668" spans="1:1">
      <c r="A1668" s="14" t="str">
        <f t="shared" si="26"/>
        <v>01</v>
      </c>
    </row>
    <row r="1669" spans="1:1">
      <c r="A1669" s="14" t="str">
        <f t="shared" si="26"/>
        <v>01</v>
      </c>
    </row>
    <row r="1670" spans="1:1">
      <c r="A1670" s="14" t="str">
        <f t="shared" si="26"/>
        <v>01</v>
      </c>
    </row>
    <row r="1671" spans="1:1">
      <c r="A1671" s="14" t="str">
        <f t="shared" si="26"/>
        <v>01</v>
      </c>
    </row>
    <row r="1672" spans="1:1">
      <c r="A1672" s="14" t="str">
        <f t="shared" si="26"/>
        <v>01</v>
      </c>
    </row>
    <row r="1673" spans="1:1">
      <c r="A1673" s="14" t="str">
        <f t="shared" si="26"/>
        <v>01</v>
      </c>
    </row>
    <row r="1674" spans="1:1">
      <c r="A1674" s="14" t="str">
        <f t="shared" si="26"/>
        <v>01</v>
      </c>
    </row>
    <row r="1675" spans="1:1">
      <c r="A1675" s="14" t="str">
        <f t="shared" si="26"/>
        <v>01</v>
      </c>
    </row>
    <row r="1676" spans="1:1">
      <c r="A1676" s="14" t="str">
        <f t="shared" si="26"/>
        <v>01</v>
      </c>
    </row>
    <row r="1677" spans="1:1">
      <c r="A1677" s="14" t="str">
        <f t="shared" si="26"/>
        <v>01</v>
      </c>
    </row>
    <row r="1678" spans="1:1">
      <c r="A1678" s="14" t="str">
        <f t="shared" si="26"/>
        <v>01</v>
      </c>
    </row>
    <row r="1679" spans="1:1">
      <c r="A1679" s="14" t="str">
        <f t="shared" si="26"/>
        <v>01</v>
      </c>
    </row>
    <row r="1680" spans="1:1">
      <c r="A1680" s="14" t="str">
        <f t="shared" si="26"/>
        <v>01</v>
      </c>
    </row>
    <row r="1681" spans="1:1">
      <c r="A1681" s="14" t="str">
        <f t="shared" si="26"/>
        <v>01</v>
      </c>
    </row>
    <row r="1682" spans="1:1">
      <c r="A1682" s="14" t="str">
        <f t="shared" si="26"/>
        <v>01</v>
      </c>
    </row>
    <row r="1683" spans="1:1">
      <c r="A1683" s="14" t="str">
        <f t="shared" si="26"/>
        <v>01</v>
      </c>
    </row>
    <row r="1684" spans="1:1">
      <c r="A1684" s="14" t="str">
        <f t="shared" si="26"/>
        <v>01</v>
      </c>
    </row>
    <row r="1685" spans="1:1">
      <c r="A1685" s="14" t="str">
        <f t="shared" si="26"/>
        <v>01</v>
      </c>
    </row>
    <row r="1686" spans="1:1">
      <c r="A1686" s="14" t="str">
        <f t="shared" si="26"/>
        <v>01</v>
      </c>
    </row>
    <row r="1687" spans="1:1">
      <c r="A1687" s="14" t="str">
        <f t="shared" si="26"/>
        <v>01</v>
      </c>
    </row>
    <row r="1688" spans="1:1">
      <c r="A1688" s="14" t="str">
        <f t="shared" si="26"/>
        <v>01</v>
      </c>
    </row>
    <row r="1689" spans="1:1">
      <c r="A1689" s="14" t="str">
        <f t="shared" si="26"/>
        <v>01</v>
      </c>
    </row>
    <row r="1690" spans="1:1">
      <c r="A1690" s="14" t="str">
        <f t="shared" si="26"/>
        <v>01</v>
      </c>
    </row>
    <row r="1691" spans="1:1">
      <c r="A1691" s="14" t="str">
        <f t="shared" si="26"/>
        <v>01</v>
      </c>
    </row>
    <row r="1692" spans="1:1">
      <c r="A1692" s="14" t="str">
        <f t="shared" si="26"/>
        <v>01</v>
      </c>
    </row>
    <row r="1693" spans="1:1">
      <c r="A1693" s="14" t="str">
        <f t="shared" si="26"/>
        <v>01</v>
      </c>
    </row>
    <row r="1694" spans="1:1">
      <c r="A1694" s="14" t="str">
        <f t="shared" si="26"/>
        <v>01</v>
      </c>
    </row>
    <row r="1695" spans="1:1">
      <c r="A1695" s="14" t="str">
        <f t="shared" si="26"/>
        <v>01</v>
      </c>
    </row>
    <row r="1696" spans="1:1">
      <c r="A1696" s="14" t="str">
        <f t="shared" si="26"/>
        <v>01</v>
      </c>
    </row>
    <row r="1697" spans="1:1">
      <c r="A1697" s="14" t="str">
        <f t="shared" si="26"/>
        <v>01</v>
      </c>
    </row>
    <row r="1698" spans="1:1">
      <c r="A1698" s="14" t="str">
        <f t="shared" si="26"/>
        <v>01</v>
      </c>
    </row>
    <row r="1699" spans="1:1">
      <c r="A1699" s="14" t="str">
        <f t="shared" si="26"/>
        <v>01</v>
      </c>
    </row>
    <row r="1700" spans="1:1">
      <c r="A1700" s="14" t="str">
        <f t="shared" si="26"/>
        <v>01</v>
      </c>
    </row>
    <row r="1701" spans="1:1">
      <c r="A1701" s="14" t="str">
        <f t="shared" si="26"/>
        <v>01</v>
      </c>
    </row>
    <row r="1702" spans="1:1">
      <c r="A1702" s="14" t="str">
        <f t="shared" si="26"/>
        <v>01</v>
      </c>
    </row>
    <row r="1703" spans="1:1">
      <c r="A1703" s="14" t="str">
        <f t="shared" si="26"/>
        <v>01</v>
      </c>
    </row>
    <row r="1704" spans="1:1">
      <c r="A1704" s="14" t="str">
        <f t="shared" si="26"/>
        <v>01</v>
      </c>
    </row>
    <row r="1705" spans="1:1">
      <c r="A1705" s="14" t="str">
        <f t="shared" si="26"/>
        <v>01</v>
      </c>
    </row>
    <row r="1706" spans="1:1">
      <c r="A1706" s="14" t="str">
        <f t="shared" si="26"/>
        <v>01</v>
      </c>
    </row>
    <row r="1707" spans="1:1">
      <c r="A1707" s="14" t="str">
        <f t="shared" si="26"/>
        <v>01</v>
      </c>
    </row>
    <row r="1708" spans="1:1">
      <c r="A1708" s="14" t="str">
        <f t="shared" si="26"/>
        <v>01</v>
      </c>
    </row>
    <row r="1709" spans="1:1">
      <c r="A1709" s="14" t="str">
        <f t="shared" si="26"/>
        <v>01</v>
      </c>
    </row>
    <row r="1710" spans="1:1">
      <c r="A1710" s="14" t="str">
        <f t="shared" si="26"/>
        <v>01</v>
      </c>
    </row>
    <row r="1711" spans="1:1">
      <c r="A1711" s="14" t="str">
        <f t="shared" si="26"/>
        <v>01</v>
      </c>
    </row>
    <row r="1712" spans="1:1">
      <c r="A1712" s="14" t="str">
        <f t="shared" si="26"/>
        <v>01</v>
      </c>
    </row>
    <row r="1713" spans="1:1">
      <c r="A1713" s="14" t="str">
        <f t="shared" si="26"/>
        <v>01</v>
      </c>
    </row>
    <row r="1714" spans="1:1">
      <c r="A1714" s="14" t="str">
        <f t="shared" si="26"/>
        <v>01</v>
      </c>
    </row>
    <row r="1715" spans="1:1">
      <c r="A1715" s="14" t="str">
        <f t="shared" si="26"/>
        <v>01</v>
      </c>
    </row>
    <row r="1716" spans="1:1">
      <c r="A1716" s="14" t="str">
        <f t="shared" si="26"/>
        <v>01</v>
      </c>
    </row>
    <row r="1717" spans="1:1">
      <c r="A1717" s="14" t="str">
        <f t="shared" si="26"/>
        <v>01</v>
      </c>
    </row>
    <row r="1718" spans="1:1">
      <c r="A1718" s="14" t="str">
        <f t="shared" si="26"/>
        <v>01</v>
      </c>
    </row>
    <row r="1719" spans="1:1">
      <c r="A1719" s="14" t="str">
        <f t="shared" si="26"/>
        <v>01</v>
      </c>
    </row>
    <row r="1720" spans="1:1">
      <c r="A1720" s="14" t="str">
        <f t="shared" si="26"/>
        <v>01</v>
      </c>
    </row>
    <row r="1721" spans="1:1">
      <c r="A1721" s="14" t="str">
        <f t="shared" si="26"/>
        <v>01</v>
      </c>
    </row>
    <row r="1722" spans="1:1">
      <c r="A1722" s="14" t="str">
        <f t="shared" si="26"/>
        <v>01</v>
      </c>
    </row>
    <row r="1723" spans="1:1">
      <c r="A1723" s="14" t="str">
        <f t="shared" si="26"/>
        <v>01</v>
      </c>
    </row>
    <row r="1724" spans="1:1">
      <c r="A1724" s="14" t="str">
        <f t="shared" si="26"/>
        <v>01</v>
      </c>
    </row>
    <row r="1725" spans="1:1">
      <c r="A1725" s="14" t="str">
        <f t="shared" si="26"/>
        <v>01</v>
      </c>
    </row>
    <row r="1726" spans="1:1">
      <c r="A1726" s="14" t="str">
        <f t="shared" si="26"/>
        <v>01</v>
      </c>
    </row>
    <row r="1727" spans="1:1">
      <c r="A1727" s="14" t="str">
        <f t="shared" si="26"/>
        <v>01</v>
      </c>
    </row>
    <row r="1728" spans="1:1">
      <c r="A1728" s="14" t="str">
        <f t="shared" si="26"/>
        <v>01</v>
      </c>
    </row>
    <row r="1729" spans="1:1">
      <c r="A1729" s="14" t="str">
        <f t="shared" si="26"/>
        <v>01</v>
      </c>
    </row>
    <row r="1730" spans="1:1">
      <c r="A1730" s="14" t="str">
        <f t="shared" si="26"/>
        <v>01</v>
      </c>
    </row>
    <row r="1731" spans="1:1">
      <c r="A1731" s="14" t="str">
        <f t="shared" ref="A1731:A1794" si="27">TEXT(L1731,"MM")</f>
        <v>01</v>
      </c>
    </row>
    <row r="1732" spans="1:1">
      <c r="A1732" s="14" t="str">
        <f t="shared" si="27"/>
        <v>01</v>
      </c>
    </row>
    <row r="1733" spans="1:1">
      <c r="A1733" s="14" t="str">
        <f t="shared" si="27"/>
        <v>01</v>
      </c>
    </row>
    <row r="1734" spans="1:1">
      <c r="A1734" s="14" t="str">
        <f t="shared" si="27"/>
        <v>01</v>
      </c>
    </row>
    <row r="1735" spans="1:1">
      <c r="A1735" s="14" t="str">
        <f t="shared" si="27"/>
        <v>01</v>
      </c>
    </row>
    <row r="1736" spans="1:1">
      <c r="A1736" s="14" t="str">
        <f t="shared" si="27"/>
        <v>01</v>
      </c>
    </row>
    <row r="1737" spans="1:1">
      <c r="A1737" s="14" t="str">
        <f t="shared" si="27"/>
        <v>01</v>
      </c>
    </row>
    <row r="1738" spans="1:1">
      <c r="A1738" s="14" t="str">
        <f t="shared" si="27"/>
        <v>01</v>
      </c>
    </row>
    <row r="1739" spans="1:1">
      <c r="A1739" s="14" t="str">
        <f t="shared" si="27"/>
        <v>01</v>
      </c>
    </row>
    <row r="1740" spans="1:1">
      <c r="A1740" s="14" t="str">
        <f t="shared" si="27"/>
        <v>01</v>
      </c>
    </row>
    <row r="1741" spans="1:1">
      <c r="A1741" s="14" t="str">
        <f t="shared" si="27"/>
        <v>01</v>
      </c>
    </row>
    <row r="1742" spans="1:1">
      <c r="A1742" s="14" t="str">
        <f t="shared" si="27"/>
        <v>01</v>
      </c>
    </row>
    <row r="1743" spans="1:1">
      <c r="A1743" s="14" t="str">
        <f t="shared" si="27"/>
        <v>01</v>
      </c>
    </row>
    <row r="1744" spans="1:1">
      <c r="A1744" s="14" t="str">
        <f t="shared" si="27"/>
        <v>01</v>
      </c>
    </row>
    <row r="1745" spans="1:1">
      <c r="A1745" s="14" t="str">
        <f t="shared" si="27"/>
        <v>01</v>
      </c>
    </row>
    <row r="1746" spans="1:1">
      <c r="A1746" s="14" t="str">
        <f t="shared" si="27"/>
        <v>01</v>
      </c>
    </row>
    <row r="1747" spans="1:1">
      <c r="A1747" s="14" t="str">
        <f t="shared" si="27"/>
        <v>01</v>
      </c>
    </row>
    <row r="1748" spans="1:1">
      <c r="A1748" s="14" t="str">
        <f t="shared" si="27"/>
        <v>01</v>
      </c>
    </row>
    <row r="1749" spans="1:1">
      <c r="A1749" s="14" t="str">
        <f t="shared" si="27"/>
        <v>01</v>
      </c>
    </row>
    <row r="1750" spans="1:1">
      <c r="A1750" s="14" t="str">
        <f t="shared" si="27"/>
        <v>01</v>
      </c>
    </row>
    <row r="1751" spans="1:1">
      <c r="A1751" s="14" t="str">
        <f t="shared" si="27"/>
        <v>01</v>
      </c>
    </row>
    <row r="1752" spans="1:1">
      <c r="A1752" s="14" t="str">
        <f t="shared" si="27"/>
        <v>01</v>
      </c>
    </row>
    <row r="1753" spans="1:1">
      <c r="A1753" s="14" t="str">
        <f t="shared" si="27"/>
        <v>01</v>
      </c>
    </row>
    <row r="1754" spans="1:1">
      <c r="A1754" s="14" t="str">
        <f t="shared" si="27"/>
        <v>01</v>
      </c>
    </row>
    <row r="1755" spans="1:1">
      <c r="A1755" s="14" t="str">
        <f t="shared" si="27"/>
        <v>01</v>
      </c>
    </row>
    <row r="1756" spans="1:1">
      <c r="A1756" s="14" t="str">
        <f t="shared" si="27"/>
        <v>01</v>
      </c>
    </row>
    <row r="1757" spans="1:1">
      <c r="A1757" s="14" t="str">
        <f t="shared" si="27"/>
        <v>01</v>
      </c>
    </row>
    <row r="1758" spans="1:1">
      <c r="A1758" s="14" t="str">
        <f t="shared" si="27"/>
        <v>01</v>
      </c>
    </row>
    <row r="1759" spans="1:1">
      <c r="A1759" s="14" t="str">
        <f t="shared" si="27"/>
        <v>01</v>
      </c>
    </row>
    <row r="1760" spans="1:1">
      <c r="A1760" s="14" t="str">
        <f t="shared" si="27"/>
        <v>01</v>
      </c>
    </row>
    <row r="1761" spans="1:1">
      <c r="A1761" s="14" t="str">
        <f t="shared" si="27"/>
        <v>01</v>
      </c>
    </row>
    <row r="1762" spans="1:1">
      <c r="A1762" s="14" t="str">
        <f t="shared" si="27"/>
        <v>01</v>
      </c>
    </row>
    <row r="1763" spans="1:1">
      <c r="A1763" s="14" t="str">
        <f t="shared" si="27"/>
        <v>01</v>
      </c>
    </row>
    <row r="1764" spans="1:1">
      <c r="A1764" s="14" t="str">
        <f t="shared" si="27"/>
        <v>01</v>
      </c>
    </row>
    <row r="1765" spans="1:1">
      <c r="A1765" s="14" t="str">
        <f t="shared" si="27"/>
        <v>01</v>
      </c>
    </row>
    <row r="1766" spans="1:1">
      <c r="A1766" s="14" t="str">
        <f t="shared" si="27"/>
        <v>01</v>
      </c>
    </row>
    <row r="1767" spans="1:1">
      <c r="A1767" s="14" t="str">
        <f t="shared" si="27"/>
        <v>01</v>
      </c>
    </row>
    <row r="1768" spans="1:1">
      <c r="A1768" s="14" t="str">
        <f t="shared" si="27"/>
        <v>01</v>
      </c>
    </row>
    <row r="1769" spans="1:1">
      <c r="A1769" s="14" t="str">
        <f t="shared" si="27"/>
        <v>01</v>
      </c>
    </row>
    <row r="1770" spans="1:1">
      <c r="A1770" s="14" t="str">
        <f t="shared" si="27"/>
        <v>01</v>
      </c>
    </row>
    <row r="1771" spans="1:1">
      <c r="A1771" s="14" t="str">
        <f t="shared" si="27"/>
        <v>01</v>
      </c>
    </row>
    <row r="1772" spans="1:1">
      <c r="A1772" s="14" t="str">
        <f t="shared" si="27"/>
        <v>01</v>
      </c>
    </row>
    <row r="1773" spans="1:1">
      <c r="A1773" s="14" t="str">
        <f t="shared" si="27"/>
        <v>01</v>
      </c>
    </row>
    <row r="1774" spans="1:1">
      <c r="A1774" s="14" t="str">
        <f t="shared" si="27"/>
        <v>01</v>
      </c>
    </row>
    <row r="1775" spans="1:1">
      <c r="A1775" s="14" t="str">
        <f t="shared" si="27"/>
        <v>01</v>
      </c>
    </row>
    <row r="1776" spans="1:1">
      <c r="A1776" s="14" t="str">
        <f t="shared" si="27"/>
        <v>01</v>
      </c>
    </row>
    <row r="1777" spans="1:1">
      <c r="A1777" s="14" t="str">
        <f t="shared" si="27"/>
        <v>01</v>
      </c>
    </row>
    <row r="1778" spans="1:1">
      <c r="A1778" s="14" t="str">
        <f t="shared" si="27"/>
        <v>01</v>
      </c>
    </row>
    <row r="1779" spans="1:1">
      <c r="A1779" s="14" t="str">
        <f t="shared" si="27"/>
        <v>01</v>
      </c>
    </row>
    <row r="1780" spans="1:1">
      <c r="A1780" s="14" t="str">
        <f t="shared" si="27"/>
        <v>01</v>
      </c>
    </row>
    <row r="1781" spans="1:1">
      <c r="A1781" s="14" t="str">
        <f t="shared" si="27"/>
        <v>01</v>
      </c>
    </row>
    <row r="1782" spans="1:1">
      <c r="A1782" s="14" t="str">
        <f t="shared" si="27"/>
        <v>01</v>
      </c>
    </row>
    <row r="1783" spans="1:1">
      <c r="A1783" s="14" t="str">
        <f t="shared" si="27"/>
        <v>01</v>
      </c>
    </row>
    <row r="1784" spans="1:1">
      <c r="A1784" s="14" t="str">
        <f t="shared" si="27"/>
        <v>01</v>
      </c>
    </row>
    <row r="1785" spans="1:1">
      <c r="A1785" s="14" t="str">
        <f t="shared" si="27"/>
        <v>01</v>
      </c>
    </row>
    <row r="1786" spans="1:1">
      <c r="A1786" s="14" t="str">
        <f t="shared" si="27"/>
        <v>01</v>
      </c>
    </row>
    <row r="1787" spans="1:1">
      <c r="A1787" s="14" t="str">
        <f t="shared" si="27"/>
        <v>01</v>
      </c>
    </row>
    <row r="1788" spans="1:1">
      <c r="A1788" s="14" t="str">
        <f t="shared" si="27"/>
        <v>01</v>
      </c>
    </row>
    <row r="1789" spans="1:1">
      <c r="A1789" s="14" t="str">
        <f t="shared" si="27"/>
        <v>01</v>
      </c>
    </row>
    <row r="1790" spans="1:1">
      <c r="A1790" s="14" t="str">
        <f t="shared" si="27"/>
        <v>01</v>
      </c>
    </row>
    <row r="1791" spans="1:1">
      <c r="A1791" s="14" t="str">
        <f t="shared" si="27"/>
        <v>01</v>
      </c>
    </row>
    <row r="1792" spans="1:1">
      <c r="A1792" s="14" t="str">
        <f t="shared" si="27"/>
        <v>01</v>
      </c>
    </row>
    <row r="1793" spans="1:1">
      <c r="A1793" s="14" t="str">
        <f t="shared" si="27"/>
        <v>01</v>
      </c>
    </row>
    <row r="1794" spans="1:1">
      <c r="A1794" s="14" t="str">
        <f t="shared" si="27"/>
        <v>01</v>
      </c>
    </row>
    <row r="1795" spans="1:1">
      <c r="A1795" s="14" t="str">
        <f t="shared" ref="A1795:A1858" si="28">TEXT(L1795,"MM")</f>
        <v>01</v>
      </c>
    </row>
    <row r="1796" spans="1:1">
      <c r="A1796" s="14" t="str">
        <f t="shared" si="28"/>
        <v>01</v>
      </c>
    </row>
    <row r="1797" spans="1:1">
      <c r="A1797" s="14" t="str">
        <f t="shared" si="28"/>
        <v>01</v>
      </c>
    </row>
    <row r="1798" spans="1:1">
      <c r="A1798" s="14" t="str">
        <f t="shared" si="28"/>
        <v>01</v>
      </c>
    </row>
    <row r="1799" spans="1:1">
      <c r="A1799" s="14" t="str">
        <f t="shared" si="28"/>
        <v>01</v>
      </c>
    </row>
    <row r="1800" spans="1:1">
      <c r="A1800" s="14" t="str">
        <f t="shared" si="28"/>
        <v>01</v>
      </c>
    </row>
    <row r="1801" spans="1:1">
      <c r="A1801" s="14" t="str">
        <f t="shared" si="28"/>
        <v>01</v>
      </c>
    </row>
    <row r="1802" spans="1:1">
      <c r="A1802" s="14" t="str">
        <f t="shared" si="28"/>
        <v>01</v>
      </c>
    </row>
    <row r="1803" spans="1:1">
      <c r="A1803" s="14" t="str">
        <f t="shared" si="28"/>
        <v>01</v>
      </c>
    </row>
    <row r="1804" spans="1:1">
      <c r="A1804" s="14" t="str">
        <f t="shared" si="28"/>
        <v>01</v>
      </c>
    </row>
    <row r="1805" spans="1:1">
      <c r="A1805" s="14" t="str">
        <f t="shared" si="28"/>
        <v>01</v>
      </c>
    </row>
    <row r="1806" spans="1:1">
      <c r="A1806" s="14" t="str">
        <f t="shared" si="28"/>
        <v>01</v>
      </c>
    </row>
    <row r="1807" spans="1:1">
      <c r="A1807" s="14" t="str">
        <f t="shared" si="28"/>
        <v>01</v>
      </c>
    </row>
    <row r="1808" spans="1:1">
      <c r="A1808" s="14" t="str">
        <f t="shared" si="28"/>
        <v>01</v>
      </c>
    </row>
    <row r="1809" spans="1:1">
      <c r="A1809" s="14" t="str">
        <f t="shared" si="28"/>
        <v>01</v>
      </c>
    </row>
    <row r="1810" spans="1:1">
      <c r="A1810" s="14" t="str">
        <f t="shared" si="28"/>
        <v>01</v>
      </c>
    </row>
    <row r="1811" spans="1:1">
      <c r="A1811" s="14" t="str">
        <f t="shared" si="28"/>
        <v>01</v>
      </c>
    </row>
    <row r="1812" spans="1:1">
      <c r="A1812" s="14" t="str">
        <f t="shared" si="28"/>
        <v>01</v>
      </c>
    </row>
    <row r="1813" spans="1:1">
      <c r="A1813" s="14" t="str">
        <f t="shared" si="28"/>
        <v>01</v>
      </c>
    </row>
    <row r="1814" spans="1:1">
      <c r="A1814" s="14" t="str">
        <f t="shared" si="28"/>
        <v>01</v>
      </c>
    </row>
    <row r="1815" spans="1:1">
      <c r="A1815" s="14" t="str">
        <f t="shared" si="28"/>
        <v>01</v>
      </c>
    </row>
    <row r="1816" spans="1:1">
      <c r="A1816" s="14" t="str">
        <f t="shared" si="28"/>
        <v>01</v>
      </c>
    </row>
    <row r="1817" spans="1:1">
      <c r="A1817" s="14" t="str">
        <f t="shared" si="28"/>
        <v>01</v>
      </c>
    </row>
    <row r="1818" spans="1:1">
      <c r="A1818" s="14" t="str">
        <f t="shared" si="28"/>
        <v>01</v>
      </c>
    </row>
    <row r="1819" spans="1:1">
      <c r="A1819" s="14" t="str">
        <f t="shared" si="28"/>
        <v>01</v>
      </c>
    </row>
    <row r="1820" spans="1:1">
      <c r="A1820" s="14" t="str">
        <f t="shared" si="28"/>
        <v>01</v>
      </c>
    </row>
    <row r="1821" spans="1:1">
      <c r="A1821" s="14" t="str">
        <f t="shared" si="28"/>
        <v>01</v>
      </c>
    </row>
    <row r="1822" spans="1:1">
      <c r="A1822" s="14" t="str">
        <f t="shared" si="28"/>
        <v>01</v>
      </c>
    </row>
    <row r="1823" spans="1:1">
      <c r="A1823" s="14" t="str">
        <f t="shared" si="28"/>
        <v>01</v>
      </c>
    </row>
    <row r="1824" spans="1:1">
      <c r="A1824" s="14" t="str">
        <f t="shared" si="28"/>
        <v>01</v>
      </c>
    </row>
    <row r="1825" spans="1:1">
      <c r="A1825" s="14" t="str">
        <f t="shared" si="28"/>
        <v>01</v>
      </c>
    </row>
    <row r="1826" spans="1:1">
      <c r="A1826" s="14" t="str">
        <f t="shared" si="28"/>
        <v>01</v>
      </c>
    </row>
    <row r="1827" spans="1:1">
      <c r="A1827" s="14" t="str">
        <f t="shared" si="28"/>
        <v>01</v>
      </c>
    </row>
    <row r="1828" spans="1:1">
      <c r="A1828" s="14" t="str">
        <f t="shared" si="28"/>
        <v>01</v>
      </c>
    </row>
    <row r="1829" spans="1:1">
      <c r="A1829" s="14" t="str">
        <f t="shared" si="28"/>
        <v>01</v>
      </c>
    </row>
    <row r="1830" spans="1:1">
      <c r="A1830" s="14" t="str">
        <f t="shared" si="28"/>
        <v>01</v>
      </c>
    </row>
    <row r="1831" spans="1:1">
      <c r="A1831" s="14" t="str">
        <f t="shared" si="28"/>
        <v>01</v>
      </c>
    </row>
    <row r="1832" spans="1:1">
      <c r="A1832" s="14" t="str">
        <f t="shared" si="28"/>
        <v>01</v>
      </c>
    </row>
    <row r="1833" spans="1:1">
      <c r="A1833" s="14" t="str">
        <f t="shared" si="28"/>
        <v>01</v>
      </c>
    </row>
    <row r="1834" spans="1:1">
      <c r="A1834" s="14" t="str">
        <f t="shared" si="28"/>
        <v>01</v>
      </c>
    </row>
    <row r="1835" spans="1:1">
      <c r="A1835" s="14" t="str">
        <f t="shared" si="28"/>
        <v>01</v>
      </c>
    </row>
    <row r="1836" spans="1:1">
      <c r="A1836" s="14" t="str">
        <f t="shared" si="28"/>
        <v>01</v>
      </c>
    </row>
    <row r="1837" spans="1:1">
      <c r="A1837" s="14" t="str">
        <f t="shared" si="28"/>
        <v>01</v>
      </c>
    </row>
    <row r="1838" spans="1:1">
      <c r="A1838" s="14" t="str">
        <f t="shared" si="28"/>
        <v>01</v>
      </c>
    </row>
    <row r="1839" spans="1:1">
      <c r="A1839" s="14" t="str">
        <f t="shared" si="28"/>
        <v>01</v>
      </c>
    </row>
    <row r="1840" spans="1:1">
      <c r="A1840" s="14" t="str">
        <f t="shared" si="28"/>
        <v>01</v>
      </c>
    </row>
    <row r="1841" spans="1:1">
      <c r="A1841" s="14" t="str">
        <f t="shared" si="28"/>
        <v>01</v>
      </c>
    </row>
    <row r="1842" spans="1:1">
      <c r="A1842" s="14" t="str">
        <f t="shared" si="28"/>
        <v>01</v>
      </c>
    </row>
    <row r="1843" spans="1:1">
      <c r="A1843" s="14" t="str">
        <f t="shared" si="28"/>
        <v>01</v>
      </c>
    </row>
    <row r="1844" spans="1:1">
      <c r="A1844" s="14" t="str">
        <f t="shared" si="28"/>
        <v>01</v>
      </c>
    </row>
    <row r="1845" spans="1:1">
      <c r="A1845" s="14" t="str">
        <f t="shared" si="28"/>
        <v>01</v>
      </c>
    </row>
    <row r="1846" spans="1:1">
      <c r="A1846" s="14" t="str">
        <f t="shared" si="28"/>
        <v>01</v>
      </c>
    </row>
    <row r="1847" spans="1:1">
      <c r="A1847" s="14" t="str">
        <f t="shared" si="28"/>
        <v>01</v>
      </c>
    </row>
    <row r="1848" spans="1:1">
      <c r="A1848" s="14" t="str">
        <f t="shared" si="28"/>
        <v>01</v>
      </c>
    </row>
    <row r="1849" spans="1:1">
      <c r="A1849" s="14" t="str">
        <f t="shared" si="28"/>
        <v>01</v>
      </c>
    </row>
    <row r="1850" spans="1:1">
      <c r="A1850" s="14" t="str">
        <f t="shared" si="28"/>
        <v>01</v>
      </c>
    </row>
    <row r="1851" spans="1:1">
      <c r="A1851" s="14" t="str">
        <f t="shared" si="28"/>
        <v>01</v>
      </c>
    </row>
    <row r="1852" spans="1:1">
      <c r="A1852" s="14" t="str">
        <f t="shared" si="28"/>
        <v>01</v>
      </c>
    </row>
    <row r="1853" spans="1:1">
      <c r="A1853" s="14" t="str">
        <f t="shared" si="28"/>
        <v>01</v>
      </c>
    </row>
    <row r="1854" spans="1:1">
      <c r="A1854" s="14" t="str">
        <f t="shared" si="28"/>
        <v>01</v>
      </c>
    </row>
    <row r="1855" spans="1:1">
      <c r="A1855" s="14" t="str">
        <f t="shared" si="28"/>
        <v>01</v>
      </c>
    </row>
    <row r="1856" spans="1:1">
      <c r="A1856" s="14" t="str">
        <f t="shared" si="28"/>
        <v>01</v>
      </c>
    </row>
    <row r="1857" spans="1:1">
      <c r="A1857" s="14" t="str">
        <f t="shared" si="28"/>
        <v>01</v>
      </c>
    </row>
    <row r="1858" spans="1:1">
      <c r="A1858" s="14" t="str">
        <f t="shared" si="28"/>
        <v>01</v>
      </c>
    </row>
    <row r="1859" spans="1:1">
      <c r="A1859" s="14" t="str">
        <f t="shared" ref="A1859:A1922" si="29">TEXT(L1859,"MM")</f>
        <v>01</v>
      </c>
    </row>
    <row r="1860" spans="1:1">
      <c r="A1860" s="14" t="str">
        <f t="shared" si="29"/>
        <v>01</v>
      </c>
    </row>
    <row r="1861" spans="1:1">
      <c r="A1861" s="14" t="str">
        <f t="shared" si="29"/>
        <v>01</v>
      </c>
    </row>
    <row r="1862" spans="1:1">
      <c r="A1862" s="14" t="str">
        <f t="shared" si="29"/>
        <v>01</v>
      </c>
    </row>
    <row r="1863" spans="1:1">
      <c r="A1863" s="14" t="str">
        <f t="shared" si="29"/>
        <v>01</v>
      </c>
    </row>
    <row r="1864" spans="1:1">
      <c r="A1864" s="14" t="str">
        <f t="shared" si="29"/>
        <v>01</v>
      </c>
    </row>
    <row r="1865" spans="1:1">
      <c r="A1865" s="14" t="str">
        <f t="shared" si="29"/>
        <v>01</v>
      </c>
    </row>
    <row r="1866" spans="1:1">
      <c r="A1866" s="14" t="str">
        <f t="shared" si="29"/>
        <v>01</v>
      </c>
    </row>
    <row r="1867" spans="1:1">
      <c r="A1867" s="14" t="str">
        <f t="shared" si="29"/>
        <v>01</v>
      </c>
    </row>
    <row r="1868" spans="1:1">
      <c r="A1868" s="14" t="str">
        <f t="shared" si="29"/>
        <v>01</v>
      </c>
    </row>
    <row r="1869" spans="1:1">
      <c r="A1869" s="14" t="str">
        <f t="shared" si="29"/>
        <v>01</v>
      </c>
    </row>
    <row r="1870" spans="1:1">
      <c r="A1870" s="14" t="str">
        <f t="shared" si="29"/>
        <v>01</v>
      </c>
    </row>
    <row r="1871" spans="1:1">
      <c r="A1871" s="14" t="str">
        <f t="shared" si="29"/>
        <v>01</v>
      </c>
    </row>
    <row r="1872" spans="1:1">
      <c r="A1872" s="14" t="str">
        <f t="shared" si="29"/>
        <v>01</v>
      </c>
    </row>
    <row r="1873" spans="1:1">
      <c r="A1873" s="14" t="str">
        <f t="shared" si="29"/>
        <v>01</v>
      </c>
    </row>
    <row r="1874" spans="1:1">
      <c r="A1874" s="14" t="str">
        <f t="shared" si="29"/>
        <v>01</v>
      </c>
    </row>
    <row r="1875" spans="1:1">
      <c r="A1875" s="14" t="str">
        <f t="shared" si="29"/>
        <v>01</v>
      </c>
    </row>
    <row r="1876" spans="1:1">
      <c r="A1876" s="14" t="str">
        <f t="shared" si="29"/>
        <v>01</v>
      </c>
    </row>
    <row r="1877" spans="1:1">
      <c r="A1877" s="14" t="str">
        <f t="shared" si="29"/>
        <v>01</v>
      </c>
    </row>
    <row r="1878" spans="1:1">
      <c r="A1878" s="14" t="str">
        <f t="shared" si="29"/>
        <v>01</v>
      </c>
    </row>
    <row r="1879" spans="1:1">
      <c r="A1879" s="14" t="str">
        <f t="shared" si="29"/>
        <v>01</v>
      </c>
    </row>
    <row r="1880" spans="1:1">
      <c r="A1880" s="14" t="str">
        <f t="shared" si="29"/>
        <v>01</v>
      </c>
    </row>
    <row r="1881" spans="1:1">
      <c r="A1881" s="14" t="str">
        <f t="shared" si="29"/>
        <v>01</v>
      </c>
    </row>
    <row r="1882" spans="1:1">
      <c r="A1882" s="14" t="str">
        <f t="shared" si="29"/>
        <v>01</v>
      </c>
    </row>
    <row r="1883" spans="1:1">
      <c r="A1883" s="14" t="str">
        <f t="shared" si="29"/>
        <v>01</v>
      </c>
    </row>
    <row r="1884" spans="1:1">
      <c r="A1884" s="14" t="str">
        <f t="shared" si="29"/>
        <v>01</v>
      </c>
    </row>
    <row r="1885" spans="1:1">
      <c r="A1885" s="14" t="str">
        <f t="shared" si="29"/>
        <v>01</v>
      </c>
    </row>
    <row r="1886" spans="1:1">
      <c r="A1886" s="14" t="str">
        <f t="shared" si="29"/>
        <v>01</v>
      </c>
    </row>
    <row r="1887" spans="1:1">
      <c r="A1887" s="14" t="str">
        <f t="shared" si="29"/>
        <v>01</v>
      </c>
    </row>
    <row r="1888" spans="1:1">
      <c r="A1888" s="14" t="str">
        <f t="shared" si="29"/>
        <v>01</v>
      </c>
    </row>
    <row r="1889" spans="1:1">
      <c r="A1889" s="14" t="str">
        <f t="shared" si="29"/>
        <v>01</v>
      </c>
    </row>
    <row r="1890" spans="1:1">
      <c r="A1890" s="14" t="str">
        <f t="shared" si="29"/>
        <v>01</v>
      </c>
    </row>
    <row r="1891" spans="1:1">
      <c r="A1891" s="14" t="str">
        <f t="shared" si="29"/>
        <v>01</v>
      </c>
    </row>
    <row r="1892" spans="1:1">
      <c r="A1892" s="14" t="str">
        <f t="shared" si="29"/>
        <v>01</v>
      </c>
    </row>
    <row r="1893" spans="1:1">
      <c r="A1893" s="14" t="str">
        <f t="shared" si="29"/>
        <v>01</v>
      </c>
    </row>
    <row r="1894" spans="1:1">
      <c r="A1894" s="14" t="str">
        <f t="shared" si="29"/>
        <v>01</v>
      </c>
    </row>
    <row r="1895" spans="1:1">
      <c r="A1895" s="14" t="str">
        <f t="shared" si="29"/>
        <v>01</v>
      </c>
    </row>
    <row r="1896" spans="1:1">
      <c r="A1896" s="14" t="str">
        <f t="shared" si="29"/>
        <v>01</v>
      </c>
    </row>
    <row r="1897" spans="1:1">
      <c r="A1897" s="14" t="str">
        <f t="shared" si="29"/>
        <v>01</v>
      </c>
    </row>
    <row r="1898" spans="1:1">
      <c r="A1898" s="14" t="str">
        <f t="shared" si="29"/>
        <v>01</v>
      </c>
    </row>
    <row r="1899" spans="1:1">
      <c r="A1899" s="14" t="str">
        <f t="shared" si="29"/>
        <v>01</v>
      </c>
    </row>
    <row r="1900" spans="1:1">
      <c r="A1900" s="14" t="str">
        <f t="shared" si="29"/>
        <v>01</v>
      </c>
    </row>
    <row r="1901" spans="1:1">
      <c r="A1901" s="14" t="str">
        <f t="shared" si="29"/>
        <v>01</v>
      </c>
    </row>
    <row r="1902" spans="1:1">
      <c r="A1902" s="14" t="str">
        <f t="shared" si="29"/>
        <v>01</v>
      </c>
    </row>
    <row r="1903" spans="1:1">
      <c r="A1903" s="14" t="str">
        <f t="shared" si="29"/>
        <v>01</v>
      </c>
    </row>
    <row r="1904" spans="1:1">
      <c r="A1904" s="14" t="str">
        <f t="shared" si="29"/>
        <v>01</v>
      </c>
    </row>
    <row r="1905" spans="1:1">
      <c r="A1905" s="14" t="str">
        <f t="shared" si="29"/>
        <v>01</v>
      </c>
    </row>
    <row r="1906" spans="1:1">
      <c r="A1906" s="14" t="str">
        <f t="shared" si="29"/>
        <v>01</v>
      </c>
    </row>
    <row r="1907" spans="1:1">
      <c r="A1907" s="14" t="str">
        <f t="shared" si="29"/>
        <v>01</v>
      </c>
    </row>
    <row r="1908" spans="1:1">
      <c r="A1908" s="14" t="str">
        <f t="shared" si="29"/>
        <v>01</v>
      </c>
    </row>
    <row r="1909" spans="1:1">
      <c r="A1909" s="14" t="str">
        <f t="shared" si="29"/>
        <v>01</v>
      </c>
    </row>
    <row r="1910" spans="1:1">
      <c r="A1910" s="14" t="str">
        <f t="shared" si="29"/>
        <v>01</v>
      </c>
    </row>
    <row r="1911" spans="1:1">
      <c r="A1911" s="14" t="str">
        <f t="shared" si="29"/>
        <v>01</v>
      </c>
    </row>
    <row r="1912" spans="1:1">
      <c r="A1912" s="14" t="str">
        <f t="shared" si="29"/>
        <v>01</v>
      </c>
    </row>
    <row r="1913" spans="1:1">
      <c r="A1913" s="14" t="str">
        <f t="shared" si="29"/>
        <v>01</v>
      </c>
    </row>
    <row r="1914" spans="1:1">
      <c r="A1914" s="14" t="str">
        <f t="shared" si="29"/>
        <v>01</v>
      </c>
    </row>
    <row r="1915" spans="1:1">
      <c r="A1915" s="14" t="str">
        <f t="shared" si="29"/>
        <v>01</v>
      </c>
    </row>
    <row r="1916" spans="1:1">
      <c r="A1916" s="14" t="str">
        <f t="shared" si="29"/>
        <v>01</v>
      </c>
    </row>
    <row r="1917" spans="1:1">
      <c r="A1917" s="14" t="str">
        <f t="shared" si="29"/>
        <v>01</v>
      </c>
    </row>
    <row r="1918" spans="1:1">
      <c r="A1918" s="14" t="str">
        <f t="shared" si="29"/>
        <v>01</v>
      </c>
    </row>
    <row r="1919" spans="1:1">
      <c r="A1919" s="14" t="str">
        <f t="shared" si="29"/>
        <v>01</v>
      </c>
    </row>
    <row r="1920" spans="1:1">
      <c r="A1920" s="14" t="str">
        <f t="shared" si="29"/>
        <v>01</v>
      </c>
    </row>
    <row r="1921" spans="1:1">
      <c r="A1921" s="14" t="str">
        <f t="shared" si="29"/>
        <v>01</v>
      </c>
    </row>
    <row r="1922" spans="1:1">
      <c r="A1922" s="14" t="str">
        <f t="shared" si="29"/>
        <v>01</v>
      </c>
    </row>
    <row r="1923" spans="1:1">
      <c r="A1923" s="14" t="str">
        <f t="shared" ref="A1923:A1986" si="30">TEXT(L1923,"MM")</f>
        <v>01</v>
      </c>
    </row>
    <row r="1924" spans="1:1">
      <c r="A1924" s="14" t="str">
        <f t="shared" si="30"/>
        <v>01</v>
      </c>
    </row>
    <row r="1925" spans="1:1">
      <c r="A1925" s="14" t="str">
        <f t="shared" si="30"/>
        <v>01</v>
      </c>
    </row>
    <row r="1926" spans="1:1">
      <c r="A1926" s="14" t="str">
        <f t="shared" si="30"/>
        <v>01</v>
      </c>
    </row>
    <row r="1927" spans="1:1">
      <c r="A1927" s="14" t="str">
        <f t="shared" si="30"/>
        <v>01</v>
      </c>
    </row>
    <row r="1928" spans="1:1">
      <c r="A1928" s="14" t="str">
        <f t="shared" si="30"/>
        <v>01</v>
      </c>
    </row>
    <row r="1929" spans="1:1">
      <c r="A1929" s="14" t="str">
        <f t="shared" si="30"/>
        <v>01</v>
      </c>
    </row>
    <row r="1930" spans="1:1">
      <c r="A1930" s="14" t="str">
        <f t="shared" si="30"/>
        <v>01</v>
      </c>
    </row>
    <row r="1931" spans="1:1">
      <c r="A1931" s="14" t="str">
        <f t="shared" si="30"/>
        <v>01</v>
      </c>
    </row>
    <row r="1932" spans="1:1">
      <c r="A1932" s="14" t="str">
        <f t="shared" si="30"/>
        <v>01</v>
      </c>
    </row>
    <row r="1933" spans="1:1">
      <c r="A1933" s="14" t="str">
        <f t="shared" si="30"/>
        <v>01</v>
      </c>
    </row>
    <row r="1934" spans="1:1">
      <c r="A1934" s="14" t="str">
        <f t="shared" si="30"/>
        <v>01</v>
      </c>
    </row>
    <row r="1935" spans="1:1">
      <c r="A1935" s="14" t="str">
        <f t="shared" si="30"/>
        <v>01</v>
      </c>
    </row>
    <row r="1936" spans="1:1">
      <c r="A1936" s="14" t="str">
        <f t="shared" si="30"/>
        <v>01</v>
      </c>
    </row>
    <row r="1937" spans="1:1">
      <c r="A1937" s="14" t="str">
        <f t="shared" si="30"/>
        <v>01</v>
      </c>
    </row>
    <row r="1938" spans="1:1">
      <c r="A1938" s="14" t="str">
        <f t="shared" si="30"/>
        <v>01</v>
      </c>
    </row>
    <row r="1939" spans="1:1">
      <c r="A1939" s="14" t="str">
        <f t="shared" si="30"/>
        <v>01</v>
      </c>
    </row>
    <row r="1940" spans="1:1">
      <c r="A1940" s="14" t="str">
        <f t="shared" si="30"/>
        <v>01</v>
      </c>
    </row>
    <row r="1941" spans="1:1">
      <c r="A1941" s="14" t="str">
        <f t="shared" si="30"/>
        <v>01</v>
      </c>
    </row>
    <row r="1942" spans="1:1">
      <c r="A1942" s="14" t="str">
        <f t="shared" si="30"/>
        <v>01</v>
      </c>
    </row>
    <row r="1943" spans="1:1">
      <c r="A1943" s="14" t="str">
        <f t="shared" si="30"/>
        <v>01</v>
      </c>
    </row>
    <row r="1944" spans="1:1">
      <c r="A1944" s="14" t="str">
        <f t="shared" si="30"/>
        <v>01</v>
      </c>
    </row>
    <row r="1945" spans="1:1">
      <c r="A1945" s="14" t="str">
        <f t="shared" si="30"/>
        <v>01</v>
      </c>
    </row>
    <row r="1946" spans="1:1">
      <c r="A1946" s="14" t="str">
        <f t="shared" si="30"/>
        <v>01</v>
      </c>
    </row>
    <row r="1947" spans="1:1">
      <c r="A1947" s="14" t="str">
        <f t="shared" si="30"/>
        <v>01</v>
      </c>
    </row>
    <row r="1948" spans="1:1">
      <c r="A1948" s="14" t="str">
        <f t="shared" si="30"/>
        <v>01</v>
      </c>
    </row>
    <row r="1949" spans="1:1">
      <c r="A1949" s="14" t="str">
        <f t="shared" si="30"/>
        <v>01</v>
      </c>
    </row>
    <row r="1950" spans="1:1">
      <c r="A1950" s="14" t="str">
        <f t="shared" si="30"/>
        <v>01</v>
      </c>
    </row>
    <row r="1951" spans="1:1">
      <c r="A1951" s="14" t="str">
        <f t="shared" si="30"/>
        <v>01</v>
      </c>
    </row>
    <row r="1952" spans="1:1">
      <c r="A1952" s="14" t="str">
        <f t="shared" si="30"/>
        <v>01</v>
      </c>
    </row>
    <row r="1953" spans="1:1">
      <c r="A1953" s="14" t="str">
        <f t="shared" si="30"/>
        <v>01</v>
      </c>
    </row>
    <row r="1954" spans="1:1">
      <c r="A1954" s="14" t="str">
        <f t="shared" si="30"/>
        <v>01</v>
      </c>
    </row>
    <row r="1955" spans="1:1">
      <c r="A1955" s="14" t="str">
        <f t="shared" si="30"/>
        <v>01</v>
      </c>
    </row>
    <row r="1956" spans="1:1">
      <c r="A1956" s="14" t="str">
        <f t="shared" si="30"/>
        <v>01</v>
      </c>
    </row>
    <row r="1957" spans="1:1">
      <c r="A1957" s="14" t="str">
        <f t="shared" si="30"/>
        <v>01</v>
      </c>
    </row>
    <row r="1958" spans="1:1">
      <c r="A1958" s="14" t="str">
        <f t="shared" si="30"/>
        <v>01</v>
      </c>
    </row>
    <row r="1959" spans="1:1">
      <c r="A1959" s="14" t="str">
        <f t="shared" si="30"/>
        <v>01</v>
      </c>
    </row>
    <row r="1960" spans="1:1">
      <c r="A1960" s="14" t="str">
        <f t="shared" si="30"/>
        <v>01</v>
      </c>
    </row>
    <row r="1961" spans="1:1">
      <c r="A1961" s="14" t="str">
        <f t="shared" si="30"/>
        <v>01</v>
      </c>
    </row>
    <row r="1962" spans="1:1">
      <c r="A1962" s="14" t="str">
        <f t="shared" si="30"/>
        <v>01</v>
      </c>
    </row>
    <row r="1963" spans="1:1">
      <c r="A1963" s="14" t="str">
        <f t="shared" si="30"/>
        <v>01</v>
      </c>
    </row>
    <row r="1964" spans="1:1">
      <c r="A1964" s="14" t="str">
        <f t="shared" si="30"/>
        <v>01</v>
      </c>
    </row>
    <row r="1965" spans="1:1">
      <c r="A1965" s="14" t="str">
        <f t="shared" si="30"/>
        <v>01</v>
      </c>
    </row>
    <row r="1966" spans="1:1">
      <c r="A1966" s="14" t="str">
        <f t="shared" si="30"/>
        <v>01</v>
      </c>
    </row>
    <row r="1967" spans="1:1">
      <c r="A1967" s="14" t="str">
        <f t="shared" si="30"/>
        <v>01</v>
      </c>
    </row>
    <row r="1968" spans="1:1">
      <c r="A1968" s="14" t="str">
        <f t="shared" si="30"/>
        <v>01</v>
      </c>
    </row>
    <row r="1969" spans="1:1">
      <c r="A1969" s="14" t="str">
        <f t="shared" si="30"/>
        <v>01</v>
      </c>
    </row>
    <row r="1970" spans="1:1">
      <c r="A1970" s="14" t="str">
        <f t="shared" si="30"/>
        <v>01</v>
      </c>
    </row>
    <row r="1971" spans="1:1">
      <c r="A1971" s="14" t="str">
        <f t="shared" si="30"/>
        <v>01</v>
      </c>
    </row>
    <row r="1972" spans="1:1">
      <c r="A1972" s="14" t="str">
        <f t="shared" si="30"/>
        <v>01</v>
      </c>
    </row>
    <row r="1973" spans="1:1">
      <c r="A1973" s="14" t="str">
        <f t="shared" si="30"/>
        <v>01</v>
      </c>
    </row>
    <row r="1974" spans="1:1">
      <c r="A1974" s="14" t="str">
        <f t="shared" si="30"/>
        <v>01</v>
      </c>
    </row>
    <row r="1975" spans="1:1">
      <c r="A1975" s="14" t="str">
        <f t="shared" si="30"/>
        <v>01</v>
      </c>
    </row>
    <row r="1976" spans="1:1">
      <c r="A1976" s="14" t="str">
        <f t="shared" si="30"/>
        <v>01</v>
      </c>
    </row>
    <row r="1977" spans="1:1">
      <c r="A1977" s="14" t="str">
        <f t="shared" si="30"/>
        <v>01</v>
      </c>
    </row>
    <row r="1978" spans="1:1">
      <c r="A1978" s="14" t="str">
        <f t="shared" si="30"/>
        <v>01</v>
      </c>
    </row>
    <row r="1979" spans="1:1">
      <c r="A1979" s="14" t="str">
        <f t="shared" si="30"/>
        <v>01</v>
      </c>
    </row>
    <row r="1980" spans="1:1">
      <c r="A1980" s="14" t="str">
        <f t="shared" si="30"/>
        <v>01</v>
      </c>
    </row>
    <row r="1981" spans="1:1">
      <c r="A1981" s="14" t="str">
        <f t="shared" si="30"/>
        <v>01</v>
      </c>
    </row>
    <row r="1982" spans="1:1">
      <c r="A1982" s="14" t="str">
        <f t="shared" si="30"/>
        <v>01</v>
      </c>
    </row>
    <row r="1983" spans="1:1">
      <c r="A1983" s="14" t="str">
        <f t="shared" si="30"/>
        <v>01</v>
      </c>
    </row>
    <row r="1984" spans="1:1">
      <c r="A1984" s="14" t="str">
        <f t="shared" si="30"/>
        <v>01</v>
      </c>
    </row>
    <row r="1985" spans="1:1">
      <c r="A1985" s="14" t="str">
        <f t="shared" si="30"/>
        <v>01</v>
      </c>
    </row>
    <row r="1986" spans="1:1">
      <c r="A1986" s="14" t="str">
        <f t="shared" si="30"/>
        <v>01</v>
      </c>
    </row>
    <row r="1987" spans="1:1">
      <c r="A1987" s="14" t="str">
        <f t="shared" ref="A1987:A2050" si="31">TEXT(L1987,"MM")</f>
        <v>01</v>
      </c>
    </row>
    <row r="1988" spans="1:1">
      <c r="A1988" s="14" t="str">
        <f t="shared" si="31"/>
        <v>01</v>
      </c>
    </row>
    <row r="1989" spans="1:1">
      <c r="A1989" s="14" t="str">
        <f t="shared" si="31"/>
        <v>01</v>
      </c>
    </row>
    <row r="1990" spans="1:1">
      <c r="A1990" s="14" t="str">
        <f t="shared" si="31"/>
        <v>01</v>
      </c>
    </row>
    <row r="1991" spans="1:1">
      <c r="A1991" s="14" t="str">
        <f t="shared" si="31"/>
        <v>01</v>
      </c>
    </row>
    <row r="1992" spans="1:1">
      <c r="A1992" s="14" t="str">
        <f t="shared" si="31"/>
        <v>01</v>
      </c>
    </row>
    <row r="1993" spans="1:1">
      <c r="A1993" s="14" t="str">
        <f t="shared" si="31"/>
        <v>01</v>
      </c>
    </row>
    <row r="1994" spans="1:1">
      <c r="A1994" s="14" t="str">
        <f t="shared" si="31"/>
        <v>01</v>
      </c>
    </row>
    <row r="1995" spans="1:1">
      <c r="A1995" s="14" t="str">
        <f t="shared" si="31"/>
        <v>01</v>
      </c>
    </row>
    <row r="1996" spans="1:1">
      <c r="A1996" s="14" t="str">
        <f t="shared" si="31"/>
        <v>01</v>
      </c>
    </row>
    <row r="1997" spans="1:1">
      <c r="A1997" s="14" t="str">
        <f t="shared" si="31"/>
        <v>01</v>
      </c>
    </row>
    <row r="1998" spans="1:1">
      <c r="A1998" s="14" t="str">
        <f t="shared" si="31"/>
        <v>01</v>
      </c>
    </row>
    <row r="1999" spans="1:1">
      <c r="A1999" s="14" t="str">
        <f t="shared" si="31"/>
        <v>01</v>
      </c>
    </row>
    <row r="2000" spans="1:1">
      <c r="A2000" s="14" t="str">
        <f t="shared" si="31"/>
        <v>01</v>
      </c>
    </row>
    <row r="2001" spans="1:1">
      <c r="A2001" s="14" t="str">
        <f t="shared" si="31"/>
        <v>01</v>
      </c>
    </row>
    <row r="2002" spans="1:1">
      <c r="A2002" s="14" t="str">
        <f t="shared" si="31"/>
        <v>01</v>
      </c>
    </row>
    <row r="2003" spans="1:1">
      <c r="A2003" s="14" t="str">
        <f t="shared" si="31"/>
        <v>01</v>
      </c>
    </row>
    <row r="2004" spans="1:1">
      <c r="A2004" s="14" t="str">
        <f t="shared" si="31"/>
        <v>01</v>
      </c>
    </row>
    <row r="2005" spans="1:1">
      <c r="A2005" s="14" t="str">
        <f t="shared" si="31"/>
        <v>01</v>
      </c>
    </row>
    <row r="2006" spans="1:1">
      <c r="A2006" s="14" t="str">
        <f t="shared" si="31"/>
        <v>01</v>
      </c>
    </row>
    <row r="2007" spans="1:1">
      <c r="A2007" s="14" t="str">
        <f t="shared" si="31"/>
        <v>01</v>
      </c>
    </row>
    <row r="2008" spans="1:1">
      <c r="A2008" s="14" t="str">
        <f t="shared" si="31"/>
        <v>01</v>
      </c>
    </row>
    <row r="2009" spans="1:1">
      <c r="A2009" s="14" t="str">
        <f t="shared" si="31"/>
        <v>01</v>
      </c>
    </row>
    <row r="2010" spans="1:1">
      <c r="A2010" s="14" t="str">
        <f t="shared" si="31"/>
        <v>01</v>
      </c>
    </row>
    <row r="2011" spans="1:1">
      <c r="A2011" s="14" t="str">
        <f t="shared" si="31"/>
        <v>01</v>
      </c>
    </row>
    <row r="2012" spans="1:1">
      <c r="A2012" s="14" t="str">
        <f t="shared" si="31"/>
        <v>01</v>
      </c>
    </row>
    <row r="2013" spans="1:1">
      <c r="A2013" s="14" t="str">
        <f t="shared" si="31"/>
        <v>01</v>
      </c>
    </row>
    <row r="2014" spans="1:1">
      <c r="A2014" s="14" t="str">
        <f t="shared" si="31"/>
        <v>01</v>
      </c>
    </row>
    <row r="2015" spans="1:1">
      <c r="A2015" s="14" t="str">
        <f t="shared" si="31"/>
        <v>01</v>
      </c>
    </row>
    <row r="2016" spans="1:1">
      <c r="A2016" s="14" t="str">
        <f t="shared" si="31"/>
        <v>01</v>
      </c>
    </row>
    <row r="2017" spans="1:1">
      <c r="A2017" s="14" t="str">
        <f t="shared" si="31"/>
        <v>01</v>
      </c>
    </row>
    <row r="2018" spans="1:1">
      <c r="A2018" s="14" t="str">
        <f t="shared" si="31"/>
        <v>01</v>
      </c>
    </row>
    <row r="2019" spans="1:1">
      <c r="A2019" s="14" t="str">
        <f t="shared" si="31"/>
        <v>01</v>
      </c>
    </row>
    <row r="2020" spans="1:1">
      <c r="A2020" s="14" t="str">
        <f t="shared" si="31"/>
        <v>01</v>
      </c>
    </row>
    <row r="2021" spans="1:1">
      <c r="A2021" s="14" t="str">
        <f t="shared" si="31"/>
        <v>01</v>
      </c>
    </row>
    <row r="2022" spans="1:1">
      <c r="A2022" s="14" t="str">
        <f t="shared" si="31"/>
        <v>01</v>
      </c>
    </row>
    <row r="2023" spans="1:1">
      <c r="A2023" s="14" t="str">
        <f t="shared" si="31"/>
        <v>01</v>
      </c>
    </row>
    <row r="2024" spans="1:1">
      <c r="A2024" s="14" t="str">
        <f t="shared" si="31"/>
        <v>01</v>
      </c>
    </row>
    <row r="2025" spans="1:1">
      <c r="A2025" s="14" t="str">
        <f t="shared" si="31"/>
        <v>01</v>
      </c>
    </row>
    <row r="2026" spans="1:1">
      <c r="A2026" s="14" t="str">
        <f t="shared" si="31"/>
        <v>01</v>
      </c>
    </row>
    <row r="2027" spans="1:1">
      <c r="A2027" s="14" t="str">
        <f t="shared" si="31"/>
        <v>01</v>
      </c>
    </row>
    <row r="2028" spans="1:1">
      <c r="A2028" s="14" t="str">
        <f t="shared" si="31"/>
        <v>01</v>
      </c>
    </row>
    <row r="2029" spans="1:1">
      <c r="A2029" s="14" t="str">
        <f t="shared" si="31"/>
        <v>01</v>
      </c>
    </row>
    <row r="2030" spans="1:1">
      <c r="A2030" s="14" t="str">
        <f t="shared" si="31"/>
        <v>01</v>
      </c>
    </row>
    <row r="2031" spans="1:1">
      <c r="A2031" s="14" t="str">
        <f t="shared" si="31"/>
        <v>01</v>
      </c>
    </row>
    <row r="2032" spans="1:1">
      <c r="A2032" s="14" t="str">
        <f t="shared" si="31"/>
        <v>01</v>
      </c>
    </row>
    <row r="2033" spans="1:1">
      <c r="A2033" s="14" t="str">
        <f t="shared" si="31"/>
        <v>01</v>
      </c>
    </row>
    <row r="2034" spans="1:1">
      <c r="A2034" s="14" t="str">
        <f t="shared" si="31"/>
        <v>01</v>
      </c>
    </row>
    <row r="2035" spans="1:1">
      <c r="A2035" s="14" t="str">
        <f t="shared" si="31"/>
        <v>01</v>
      </c>
    </row>
    <row r="2036" spans="1:1">
      <c r="A2036" s="14" t="str">
        <f t="shared" si="31"/>
        <v>01</v>
      </c>
    </row>
    <row r="2037" spans="1:1">
      <c r="A2037" s="14" t="str">
        <f t="shared" si="31"/>
        <v>01</v>
      </c>
    </row>
    <row r="2038" spans="1:1">
      <c r="A2038" s="14" t="str">
        <f t="shared" si="31"/>
        <v>01</v>
      </c>
    </row>
    <row r="2039" spans="1:1">
      <c r="A2039" s="14" t="str">
        <f t="shared" si="31"/>
        <v>01</v>
      </c>
    </row>
    <row r="2040" spans="1:1">
      <c r="A2040" s="14" t="str">
        <f t="shared" si="31"/>
        <v>01</v>
      </c>
    </row>
    <row r="2041" spans="1:1">
      <c r="A2041" s="14" t="str">
        <f t="shared" si="31"/>
        <v>01</v>
      </c>
    </row>
    <row r="2042" spans="1:1">
      <c r="A2042" s="14" t="str">
        <f t="shared" si="31"/>
        <v>01</v>
      </c>
    </row>
    <row r="2043" spans="1:1">
      <c r="A2043" s="14" t="str">
        <f t="shared" si="31"/>
        <v>01</v>
      </c>
    </row>
    <row r="2044" spans="1:1">
      <c r="A2044" s="14" t="str">
        <f t="shared" si="31"/>
        <v>01</v>
      </c>
    </row>
    <row r="2045" spans="1:1">
      <c r="A2045" s="14" t="str">
        <f t="shared" si="31"/>
        <v>01</v>
      </c>
    </row>
    <row r="2046" spans="1:1">
      <c r="A2046" s="14" t="str">
        <f t="shared" si="31"/>
        <v>01</v>
      </c>
    </row>
    <row r="2047" spans="1:1">
      <c r="A2047" s="14" t="str">
        <f t="shared" si="31"/>
        <v>01</v>
      </c>
    </row>
    <row r="2048" spans="1:1">
      <c r="A2048" s="14" t="str">
        <f t="shared" si="31"/>
        <v>01</v>
      </c>
    </row>
    <row r="2049" spans="1:1">
      <c r="A2049" s="14" t="str">
        <f t="shared" si="31"/>
        <v>01</v>
      </c>
    </row>
    <row r="2050" spans="1:1">
      <c r="A2050" s="14" t="str">
        <f t="shared" si="31"/>
        <v>01</v>
      </c>
    </row>
    <row r="2051" spans="1:1">
      <c r="A2051" s="14" t="str">
        <f t="shared" ref="A2051:A2114" si="32">TEXT(L2051,"MM")</f>
        <v>01</v>
      </c>
    </row>
    <row r="2052" spans="1:1">
      <c r="A2052" s="14" t="str">
        <f t="shared" si="32"/>
        <v>01</v>
      </c>
    </row>
    <row r="2053" spans="1:1">
      <c r="A2053" s="14" t="str">
        <f t="shared" si="32"/>
        <v>01</v>
      </c>
    </row>
    <row r="2054" spans="1:1">
      <c r="A2054" s="14" t="str">
        <f t="shared" si="32"/>
        <v>01</v>
      </c>
    </row>
    <row r="2055" spans="1:1">
      <c r="A2055" s="14" t="str">
        <f t="shared" si="32"/>
        <v>01</v>
      </c>
    </row>
    <row r="2056" spans="1:1">
      <c r="A2056" s="14" t="str">
        <f t="shared" si="32"/>
        <v>01</v>
      </c>
    </row>
    <row r="2057" spans="1:1">
      <c r="A2057" s="14" t="str">
        <f t="shared" si="32"/>
        <v>01</v>
      </c>
    </row>
    <row r="2058" spans="1:1">
      <c r="A2058" s="14" t="str">
        <f t="shared" si="32"/>
        <v>01</v>
      </c>
    </row>
    <row r="2059" spans="1:1">
      <c r="A2059" s="14" t="str">
        <f t="shared" si="32"/>
        <v>01</v>
      </c>
    </row>
    <row r="2060" spans="1:1">
      <c r="A2060" s="14" t="str">
        <f t="shared" si="32"/>
        <v>01</v>
      </c>
    </row>
    <row r="2061" spans="1:1">
      <c r="A2061" s="14" t="str">
        <f t="shared" si="32"/>
        <v>01</v>
      </c>
    </row>
    <row r="2062" spans="1:1">
      <c r="A2062" s="14" t="str">
        <f t="shared" si="32"/>
        <v>01</v>
      </c>
    </row>
    <row r="2063" spans="1:1">
      <c r="A2063" s="14" t="str">
        <f t="shared" si="32"/>
        <v>01</v>
      </c>
    </row>
    <row r="2064" spans="1:1">
      <c r="A2064" s="14" t="str">
        <f t="shared" si="32"/>
        <v>01</v>
      </c>
    </row>
    <row r="2065" spans="1:1">
      <c r="A2065" s="14" t="str">
        <f t="shared" si="32"/>
        <v>01</v>
      </c>
    </row>
    <row r="2066" spans="1:1">
      <c r="A2066" s="14" t="str">
        <f t="shared" si="32"/>
        <v>01</v>
      </c>
    </row>
    <row r="2067" spans="1:1">
      <c r="A2067" s="14" t="str">
        <f t="shared" si="32"/>
        <v>01</v>
      </c>
    </row>
    <row r="2068" spans="1:1">
      <c r="A2068" s="14" t="str">
        <f t="shared" si="32"/>
        <v>01</v>
      </c>
    </row>
    <row r="2069" spans="1:1">
      <c r="A2069" s="14" t="str">
        <f t="shared" si="32"/>
        <v>01</v>
      </c>
    </row>
    <row r="2070" spans="1:1">
      <c r="A2070" s="14" t="str">
        <f t="shared" si="32"/>
        <v>01</v>
      </c>
    </row>
    <row r="2071" spans="1:1">
      <c r="A2071" s="14" t="str">
        <f t="shared" si="32"/>
        <v>01</v>
      </c>
    </row>
    <row r="2072" spans="1:1">
      <c r="A2072" s="14" t="str">
        <f t="shared" si="32"/>
        <v>01</v>
      </c>
    </row>
    <row r="2073" spans="1:1">
      <c r="A2073" s="14" t="str">
        <f t="shared" si="32"/>
        <v>01</v>
      </c>
    </row>
    <row r="2074" spans="1:1">
      <c r="A2074" s="14" t="str">
        <f t="shared" si="32"/>
        <v>01</v>
      </c>
    </row>
    <row r="2075" spans="1:1">
      <c r="A2075" s="14" t="str">
        <f t="shared" si="32"/>
        <v>01</v>
      </c>
    </row>
    <row r="2076" spans="1:1">
      <c r="A2076" s="14" t="str">
        <f t="shared" si="32"/>
        <v>01</v>
      </c>
    </row>
    <row r="2077" spans="1:1">
      <c r="A2077" s="14" t="str">
        <f t="shared" si="32"/>
        <v>01</v>
      </c>
    </row>
    <row r="2078" spans="1:1">
      <c r="A2078" s="14" t="str">
        <f t="shared" si="32"/>
        <v>01</v>
      </c>
    </row>
    <row r="2079" spans="1:1">
      <c r="A2079" s="14" t="str">
        <f t="shared" si="32"/>
        <v>01</v>
      </c>
    </row>
    <row r="2080" spans="1:1">
      <c r="A2080" s="14" t="str">
        <f t="shared" si="32"/>
        <v>01</v>
      </c>
    </row>
    <row r="2081" spans="1:1">
      <c r="A2081" s="14" t="str">
        <f t="shared" si="32"/>
        <v>01</v>
      </c>
    </row>
    <row r="2082" spans="1:1">
      <c r="A2082" s="14" t="str">
        <f t="shared" si="32"/>
        <v>01</v>
      </c>
    </row>
    <row r="2083" spans="1:1">
      <c r="A2083" s="14" t="str">
        <f t="shared" si="32"/>
        <v>01</v>
      </c>
    </row>
    <row r="2084" spans="1:1">
      <c r="A2084" s="14" t="str">
        <f t="shared" si="32"/>
        <v>01</v>
      </c>
    </row>
    <row r="2085" spans="1:1">
      <c r="A2085" s="14" t="str">
        <f t="shared" si="32"/>
        <v>01</v>
      </c>
    </row>
    <row r="2086" spans="1:1">
      <c r="A2086" s="14" t="str">
        <f t="shared" si="32"/>
        <v>01</v>
      </c>
    </row>
    <row r="2087" spans="1:1">
      <c r="A2087" s="14" t="str">
        <f t="shared" si="32"/>
        <v>01</v>
      </c>
    </row>
    <row r="2088" spans="1:1">
      <c r="A2088" s="14" t="str">
        <f t="shared" si="32"/>
        <v>01</v>
      </c>
    </row>
    <row r="2089" spans="1:1">
      <c r="A2089" s="14" t="str">
        <f t="shared" si="32"/>
        <v>01</v>
      </c>
    </row>
    <row r="2090" spans="1:1">
      <c r="A2090" s="14" t="str">
        <f t="shared" si="32"/>
        <v>01</v>
      </c>
    </row>
    <row r="2091" spans="1:1">
      <c r="A2091" s="14" t="str">
        <f t="shared" si="32"/>
        <v>01</v>
      </c>
    </row>
    <row r="2092" spans="1:1">
      <c r="A2092" s="14" t="str">
        <f t="shared" si="32"/>
        <v>01</v>
      </c>
    </row>
    <row r="2093" spans="1:1">
      <c r="A2093" s="14" t="str">
        <f t="shared" si="32"/>
        <v>01</v>
      </c>
    </row>
    <row r="2094" spans="1:1">
      <c r="A2094" s="14" t="str">
        <f t="shared" si="32"/>
        <v>01</v>
      </c>
    </row>
    <row r="2095" spans="1:1">
      <c r="A2095" s="14" t="str">
        <f t="shared" si="32"/>
        <v>01</v>
      </c>
    </row>
    <row r="2096" spans="1:1">
      <c r="A2096" s="14" t="str">
        <f t="shared" si="32"/>
        <v>01</v>
      </c>
    </row>
    <row r="2097" spans="1:1">
      <c r="A2097" s="14" t="str">
        <f t="shared" si="32"/>
        <v>01</v>
      </c>
    </row>
    <row r="2098" spans="1:1">
      <c r="A2098" s="14" t="str">
        <f t="shared" si="32"/>
        <v>01</v>
      </c>
    </row>
    <row r="2099" spans="1:1">
      <c r="A2099" s="14" t="str">
        <f t="shared" si="32"/>
        <v>01</v>
      </c>
    </row>
    <row r="2100" spans="1:1">
      <c r="A2100" s="14" t="str">
        <f t="shared" si="32"/>
        <v>01</v>
      </c>
    </row>
    <row r="2101" spans="1:1">
      <c r="A2101" s="14" t="str">
        <f t="shared" si="32"/>
        <v>01</v>
      </c>
    </row>
    <row r="2102" spans="1:1">
      <c r="A2102" s="14" t="str">
        <f t="shared" si="32"/>
        <v>01</v>
      </c>
    </row>
    <row r="2103" spans="1:1">
      <c r="A2103" s="14" t="str">
        <f t="shared" si="32"/>
        <v>01</v>
      </c>
    </row>
    <row r="2104" spans="1:1">
      <c r="A2104" s="14" t="str">
        <f t="shared" si="32"/>
        <v>01</v>
      </c>
    </row>
    <row r="2105" spans="1:1">
      <c r="A2105" s="14" t="str">
        <f t="shared" si="32"/>
        <v>01</v>
      </c>
    </row>
    <row r="2106" spans="1:1">
      <c r="A2106" s="14" t="str">
        <f t="shared" si="32"/>
        <v>01</v>
      </c>
    </row>
    <row r="2107" spans="1:1">
      <c r="A2107" s="14" t="str">
        <f t="shared" si="32"/>
        <v>01</v>
      </c>
    </row>
    <row r="2108" spans="1:1">
      <c r="A2108" s="14" t="str">
        <f t="shared" si="32"/>
        <v>01</v>
      </c>
    </row>
    <row r="2109" spans="1:1">
      <c r="A2109" s="14" t="str">
        <f t="shared" si="32"/>
        <v>01</v>
      </c>
    </row>
    <row r="2110" spans="1:1">
      <c r="A2110" s="14" t="str">
        <f t="shared" si="32"/>
        <v>01</v>
      </c>
    </row>
    <row r="2111" spans="1:1">
      <c r="A2111" s="14" t="str">
        <f t="shared" si="32"/>
        <v>01</v>
      </c>
    </row>
    <row r="2112" spans="1:1">
      <c r="A2112" s="14" t="str">
        <f t="shared" si="32"/>
        <v>01</v>
      </c>
    </row>
    <row r="2113" spans="1:1">
      <c r="A2113" s="14" t="str">
        <f t="shared" si="32"/>
        <v>01</v>
      </c>
    </row>
    <row r="2114" spans="1:1">
      <c r="A2114" s="14" t="str">
        <f t="shared" si="32"/>
        <v>01</v>
      </c>
    </row>
    <row r="2115" spans="1:1">
      <c r="A2115" s="14" t="str">
        <f t="shared" ref="A2115:A2178" si="33">TEXT(L2115,"MM")</f>
        <v>01</v>
      </c>
    </row>
    <row r="2116" spans="1:1">
      <c r="A2116" s="14" t="str">
        <f t="shared" si="33"/>
        <v>01</v>
      </c>
    </row>
    <row r="2117" spans="1:1">
      <c r="A2117" s="14" t="str">
        <f t="shared" si="33"/>
        <v>01</v>
      </c>
    </row>
    <row r="2118" spans="1:1">
      <c r="A2118" s="14" t="str">
        <f t="shared" si="33"/>
        <v>01</v>
      </c>
    </row>
    <row r="2119" spans="1:1">
      <c r="A2119" s="14" t="str">
        <f t="shared" si="33"/>
        <v>01</v>
      </c>
    </row>
    <row r="2120" spans="1:1">
      <c r="A2120" s="14" t="str">
        <f t="shared" si="33"/>
        <v>01</v>
      </c>
    </row>
    <row r="2121" spans="1:1">
      <c r="A2121" s="14" t="str">
        <f t="shared" si="33"/>
        <v>01</v>
      </c>
    </row>
    <row r="2122" spans="1:1">
      <c r="A2122" s="14" t="str">
        <f t="shared" si="33"/>
        <v>01</v>
      </c>
    </row>
    <row r="2123" spans="1:1">
      <c r="A2123" s="14" t="str">
        <f t="shared" si="33"/>
        <v>01</v>
      </c>
    </row>
    <row r="2124" spans="1:1">
      <c r="A2124" s="14" t="str">
        <f t="shared" si="33"/>
        <v>01</v>
      </c>
    </row>
    <row r="2125" spans="1:1">
      <c r="A2125" s="14" t="str">
        <f t="shared" si="33"/>
        <v>01</v>
      </c>
    </row>
    <row r="2126" spans="1:1">
      <c r="A2126" s="14" t="str">
        <f t="shared" si="33"/>
        <v>01</v>
      </c>
    </row>
    <row r="2127" spans="1:1">
      <c r="A2127" s="14" t="str">
        <f t="shared" si="33"/>
        <v>01</v>
      </c>
    </row>
    <row r="2128" spans="1:1">
      <c r="A2128" s="14" t="str">
        <f t="shared" si="33"/>
        <v>01</v>
      </c>
    </row>
    <row r="2129" spans="1:1">
      <c r="A2129" s="14" t="str">
        <f t="shared" si="33"/>
        <v>01</v>
      </c>
    </row>
    <row r="2130" spans="1:1">
      <c r="A2130" s="14" t="str">
        <f t="shared" si="33"/>
        <v>01</v>
      </c>
    </row>
    <row r="2131" spans="1:1">
      <c r="A2131" s="14" t="str">
        <f t="shared" si="33"/>
        <v>01</v>
      </c>
    </row>
    <row r="2132" spans="1:1">
      <c r="A2132" s="14" t="str">
        <f t="shared" si="33"/>
        <v>01</v>
      </c>
    </row>
    <row r="2133" spans="1:1">
      <c r="A2133" s="14" t="str">
        <f t="shared" si="33"/>
        <v>01</v>
      </c>
    </row>
    <row r="2134" spans="1:1">
      <c r="A2134" s="14" t="str">
        <f t="shared" si="33"/>
        <v>01</v>
      </c>
    </row>
    <row r="2135" spans="1:1">
      <c r="A2135" s="14" t="str">
        <f t="shared" si="33"/>
        <v>01</v>
      </c>
    </row>
    <row r="2136" spans="1:1">
      <c r="A2136" s="14" t="str">
        <f t="shared" si="33"/>
        <v>01</v>
      </c>
    </row>
    <row r="2137" spans="1:1">
      <c r="A2137" s="14" t="str">
        <f t="shared" si="33"/>
        <v>01</v>
      </c>
    </row>
    <row r="2138" spans="1:1">
      <c r="A2138" s="14" t="str">
        <f t="shared" si="33"/>
        <v>01</v>
      </c>
    </row>
    <row r="2139" spans="1:1">
      <c r="A2139" s="14" t="str">
        <f t="shared" si="33"/>
        <v>01</v>
      </c>
    </row>
    <row r="2140" spans="1:1">
      <c r="A2140" s="14" t="str">
        <f t="shared" si="33"/>
        <v>01</v>
      </c>
    </row>
    <row r="2141" spans="1:1">
      <c r="A2141" s="14" t="str">
        <f t="shared" si="33"/>
        <v>01</v>
      </c>
    </row>
    <row r="2142" spans="1:1">
      <c r="A2142" s="14" t="str">
        <f t="shared" si="33"/>
        <v>01</v>
      </c>
    </row>
    <row r="2143" spans="1:1">
      <c r="A2143" s="14" t="str">
        <f t="shared" si="33"/>
        <v>01</v>
      </c>
    </row>
    <row r="2144" spans="1:1">
      <c r="A2144" s="14" t="str">
        <f t="shared" si="33"/>
        <v>01</v>
      </c>
    </row>
    <row r="2145" spans="1:1">
      <c r="A2145" s="14" t="str">
        <f t="shared" si="33"/>
        <v>01</v>
      </c>
    </row>
    <row r="2146" spans="1:1">
      <c r="A2146" s="14" t="str">
        <f t="shared" si="33"/>
        <v>01</v>
      </c>
    </row>
    <row r="2147" spans="1:1">
      <c r="A2147" s="14" t="str">
        <f t="shared" si="33"/>
        <v>01</v>
      </c>
    </row>
    <row r="2148" spans="1:1">
      <c r="A2148" s="14" t="str">
        <f t="shared" si="33"/>
        <v>01</v>
      </c>
    </row>
    <row r="2149" spans="1:1">
      <c r="A2149" s="14" t="str">
        <f t="shared" si="33"/>
        <v>01</v>
      </c>
    </row>
    <row r="2150" spans="1:1">
      <c r="A2150" s="14" t="str">
        <f t="shared" si="33"/>
        <v>01</v>
      </c>
    </row>
    <row r="2151" spans="1:1">
      <c r="A2151" s="14" t="str">
        <f t="shared" si="33"/>
        <v>01</v>
      </c>
    </row>
    <row r="2152" spans="1:1">
      <c r="A2152" s="14" t="str">
        <f t="shared" si="33"/>
        <v>01</v>
      </c>
    </row>
    <row r="2153" spans="1:1">
      <c r="A2153" s="14" t="str">
        <f t="shared" si="33"/>
        <v>01</v>
      </c>
    </row>
    <row r="2154" spans="1:1">
      <c r="A2154" s="14" t="str">
        <f t="shared" si="33"/>
        <v>01</v>
      </c>
    </row>
    <row r="2155" spans="1:1">
      <c r="A2155" s="14" t="str">
        <f t="shared" si="33"/>
        <v>01</v>
      </c>
    </row>
    <row r="2156" spans="1:1">
      <c r="A2156" s="14" t="str">
        <f t="shared" si="33"/>
        <v>01</v>
      </c>
    </row>
    <row r="2157" spans="1:1">
      <c r="A2157" s="14" t="str">
        <f t="shared" si="33"/>
        <v>01</v>
      </c>
    </row>
    <row r="2158" spans="1:1">
      <c r="A2158" s="14" t="str">
        <f t="shared" si="33"/>
        <v>01</v>
      </c>
    </row>
    <row r="2159" spans="1:1">
      <c r="A2159" s="14" t="str">
        <f t="shared" si="33"/>
        <v>01</v>
      </c>
    </row>
    <row r="2160" spans="1:1">
      <c r="A2160" s="14" t="str">
        <f t="shared" si="33"/>
        <v>01</v>
      </c>
    </row>
    <row r="2161" spans="1:1">
      <c r="A2161" s="14" t="str">
        <f t="shared" si="33"/>
        <v>01</v>
      </c>
    </row>
    <row r="2162" spans="1:1">
      <c r="A2162" s="14" t="str">
        <f t="shared" si="33"/>
        <v>01</v>
      </c>
    </row>
    <row r="2163" spans="1:1">
      <c r="A2163" s="14" t="str">
        <f t="shared" si="33"/>
        <v>01</v>
      </c>
    </row>
    <row r="2164" spans="1:1">
      <c r="A2164" s="14" t="str">
        <f t="shared" si="33"/>
        <v>01</v>
      </c>
    </row>
    <row r="2165" spans="1:1">
      <c r="A2165" s="14" t="str">
        <f t="shared" si="33"/>
        <v>01</v>
      </c>
    </row>
    <row r="2166" spans="1:1">
      <c r="A2166" s="14" t="str">
        <f t="shared" si="33"/>
        <v>01</v>
      </c>
    </row>
    <row r="2167" spans="1:1">
      <c r="A2167" s="14" t="str">
        <f t="shared" si="33"/>
        <v>01</v>
      </c>
    </row>
    <row r="2168" spans="1:1">
      <c r="A2168" s="14" t="str">
        <f t="shared" si="33"/>
        <v>01</v>
      </c>
    </row>
    <row r="2169" spans="1:1">
      <c r="A2169" s="14" t="str">
        <f t="shared" si="33"/>
        <v>01</v>
      </c>
    </row>
    <row r="2170" spans="1:1">
      <c r="A2170" s="14" t="str">
        <f t="shared" si="33"/>
        <v>01</v>
      </c>
    </row>
    <row r="2171" spans="1:1">
      <c r="A2171" s="14" t="str">
        <f t="shared" si="33"/>
        <v>01</v>
      </c>
    </row>
    <row r="2172" spans="1:1">
      <c r="A2172" s="14" t="str">
        <f t="shared" si="33"/>
        <v>01</v>
      </c>
    </row>
    <row r="2173" spans="1:1">
      <c r="A2173" s="14" t="str">
        <f t="shared" si="33"/>
        <v>01</v>
      </c>
    </row>
    <row r="2174" spans="1:1">
      <c r="A2174" s="14" t="str">
        <f t="shared" si="33"/>
        <v>01</v>
      </c>
    </row>
    <row r="2175" spans="1:1">
      <c r="A2175" s="14" t="str">
        <f t="shared" si="33"/>
        <v>01</v>
      </c>
    </row>
    <row r="2176" spans="1:1">
      <c r="A2176" s="14" t="str">
        <f t="shared" si="33"/>
        <v>01</v>
      </c>
    </row>
    <row r="2177" spans="1:1">
      <c r="A2177" s="14" t="str">
        <f t="shared" si="33"/>
        <v>01</v>
      </c>
    </row>
    <row r="2178" spans="1:1">
      <c r="A2178" s="14" t="str">
        <f t="shared" si="33"/>
        <v>01</v>
      </c>
    </row>
    <row r="2179" spans="1:1">
      <c r="A2179" s="14" t="str">
        <f t="shared" ref="A2179:A2242" si="34">TEXT(L2179,"MM")</f>
        <v>01</v>
      </c>
    </row>
    <row r="2180" spans="1:1">
      <c r="A2180" s="14" t="str">
        <f t="shared" si="34"/>
        <v>01</v>
      </c>
    </row>
    <row r="2181" spans="1:1">
      <c r="A2181" s="14" t="str">
        <f t="shared" si="34"/>
        <v>01</v>
      </c>
    </row>
    <row r="2182" spans="1:1">
      <c r="A2182" s="14" t="str">
        <f t="shared" si="34"/>
        <v>01</v>
      </c>
    </row>
    <row r="2183" spans="1:1">
      <c r="A2183" s="14" t="str">
        <f t="shared" si="34"/>
        <v>01</v>
      </c>
    </row>
    <row r="2184" spans="1:1">
      <c r="A2184" s="14" t="str">
        <f t="shared" si="34"/>
        <v>01</v>
      </c>
    </row>
    <row r="2185" spans="1:1">
      <c r="A2185" s="14" t="str">
        <f t="shared" si="34"/>
        <v>01</v>
      </c>
    </row>
    <row r="2186" spans="1:1">
      <c r="A2186" s="14" t="str">
        <f t="shared" si="34"/>
        <v>01</v>
      </c>
    </row>
    <row r="2187" spans="1:1">
      <c r="A2187" s="14" t="str">
        <f t="shared" si="34"/>
        <v>01</v>
      </c>
    </row>
    <row r="2188" spans="1:1">
      <c r="A2188" s="14" t="str">
        <f t="shared" si="34"/>
        <v>01</v>
      </c>
    </row>
    <row r="2189" spans="1:1">
      <c r="A2189" s="14" t="str">
        <f t="shared" si="34"/>
        <v>01</v>
      </c>
    </row>
    <row r="2190" spans="1:1">
      <c r="A2190" s="14" t="str">
        <f t="shared" si="34"/>
        <v>01</v>
      </c>
    </row>
    <row r="2191" spans="1:1">
      <c r="A2191" s="14" t="str">
        <f t="shared" si="34"/>
        <v>01</v>
      </c>
    </row>
    <row r="2192" spans="1:1">
      <c r="A2192" s="14" t="str">
        <f t="shared" si="34"/>
        <v>01</v>
      </c>
    </row>
    <row r="2193" spans="1:1">
      <c r="A2193" s="14" t="str">
        <f t="shared" si="34"/>
        <v>01</v>
      </c>
    </row>
    <row r="2194" spans="1:1">
      <c r="A2194" s="14" t="str">
        <f t="shared" si="34"/>
        <v>01</v>
      </c>
    </row>
    <row r="2195" spans="1:1">
      <c r="A2195" s="14" t="str">
        <f t="shared" si="34"/>
        <v>01</v>
      </c>
    </row>
    <row r="2196" spans="1:1">
      <c r="A2196" s="14" t="str">
        <f t="shared" si="34"/>
        <v>01</v>
      </c>
    </row>
    <row r="2197" spans="1:1">
      <c r="A2197" s="14" t="str">
        <f t="shared" si="34"/>
        <v>01</v>
      </c>
    </row>
    <row r="2198" spans="1:1">
      <c r="A2198" s="14" t="str">
        <f t="shared" si="34"/>
        <v>01</v>
      </c>
    </row>
    <row r="2199" spans="1:1">
      <c r="A2199" s="14" t="str">
        <f t="shared" si="34"/>
        <v>01</v>
      </c>
    </row>
    <row r="2200" spans="1:1">
      <c r="A2200" s="14" t="str">
        <f t="shared" si="34"/>
        <v>01</v>
      </c>
    </row>
    <row r="2201" spans="1:1">
      <c r="A2201" s="14" t="str">
        <f t="shared" si="34"/>
        <v>01</v>
      </c>
    </row>
    <row r="2202" spans="1:1">
      <c r="A2202" s="14" t="str">
        <f t="shared" si="34"/>
        <v>01</v>
      </c>
    </row>
    <row r="2203" spans="1:1">
      <c r="A2203" s="14" t="str">
        <f t="shared" si="34"/>
        <v>01</v>
      </c>
    </row>
    <row r="2204" spans="1:1">
      <c r="A2204" s="14" t="str">
        <f t="shared" si="34"/>
        <v>01</v>
      </c>
    </row>
    <row r="2205" spans="1:1">
      <c r="A2205" s="14" t="str">
        <f t="shared" si="34"/>
        <v>01</v>
      </c>
    </row>
    <row r="2206" spans="1:1">
      <c r="A2206" s="14" t="str">
        <f t="shared" si="34"/>
        <v>01</v>
      </c>
    </row>
    <row r="2207" spans="1:1">
      <c r="A2207" s="14" t="str">
        <f t="shared" si="34"/>
        <v>01</v>
      </c>
    </row>
    <row r="2208" spans="1:1">
      <c r="A2208" s="14" t="str">
        <f t="shared" si="34"/>
        <v>01</v>
      </c>
    </row>
    <row r="2209" spans="1:1">
      <c r="A2209" s="14" t="str">
        <f t="shared" si="34"/>
        <v>01</v>
      </c>
    </row>
    <row r="2210" spans="1:1">
      <c r="A2210" s="14" t="str">
        <f t="shared" si="34"/>
        <v>01</v>
      </c>
    </row>
    <row r="2211" spans="1:1">
      <c r="A2211" s="14" t="str">
        <f t="shared" si="34"/>
        <v>01</v>
      </c>
    </row>
    <row r="2212" spans="1:1">
      <c r="A2212" s="14" t="str">
        <f t="shared" si="34"/>
        <v>01</v>
      </c>
    </row>
    <row r="2213" spans="1:1">
      <c r="A2213" s="14" t="str">
        <f t="shared" si="34"/>
        <v>01</v>
      </c>
    </row>
    <row r="2214" spans="1:1">
      <c r="A2214" s="14" t="str">
        <f t="shared" si="34"/>
        <v>01</v>
      </c>
    </row>
    <row r="2215" spans="1:1">
      <c r="A2215" s="14" t="str">
        <f t="shared" si="34"/>
        <v>01</v>
      </c>
    </row>
    <row r="2216" spans="1:1">
      <c r="A2216" s="14" t="str">
        <f t="shared" si="34"/>
        <v>01</v>
      </c>
    </row>
    <row r="2217" spans="1:1">
      <c r="A2217" s="14" t="str">
        <f t="shared" si="34"/>
        <v>01</v>
      </c>
    </row>
    <row r="2218" spans="1:1">
      <c r="A2218" s="14" t="str">
        <f t="shared" si="34"/>
        <v>01</v>
      </c>
    </row>
    <row r="2219" spans="1:1">
      <c r="A2219" s="14" t="str">
        <f t="shared" si="34"/>
        <v>01</v>
      </c>
    </row>
    <row r="2220" spans="1:1">
      <c r="A2220" s="14" t="str">
        <f t="shared" si="34"/>
        <v>01</v>
      </c>
    </row>
    <row r="2221" spans="1:1">
      <c r="A2221" s="14" t="str">
        <f t="shared" si="34"/>
        <v>01</v>
      </c>
    </row>
    <row r="2222" spans="1:1">
      <c r="A2222" s="14" t="str">
        <f t="shared" si="34"/>
        <v>01</v>
      </c>
    </row>
    <row r="2223" spans="1:1">
      <c r="A2223" s="14" t="str">
        <f t="shared" si="34"/>
        <v>01</v>
      </c>
    </row>
    <row r="2224" spans="1:1">
      <c r="A2224" s="14" t="str">
        <f t="shared" si="34"/>
        <v>01</v>
      </c>
    </row>
    <row r="2225" spans="1:1">
      <c r="A2225" s="14" t="str">
        <f t="shared" si="34"/>
        <v>01</v>
      </c>
    </row>
    <row r="2226" spans="1:1">
      <c r="A2226" s="14" t="str">
        <f t="shared" si="34"/>
        <v>01</v>
      </c>
    </row>
    <row r="2227" spans="1:1">
      <c r="A2227" s="14" t="str">
        <f t="shared" si="34"/>
        <v>01</v>
      </c>
    </row>
    <row r="2228" spans="1:1">
      <c r="A2228" s="14" t="str">
        <f t="shared" si="34"/>
        <v>01</v>
      </c>
    </row>
    <row r="2229" spans="1:1">
      <c r="A2229" s="14" t="str">
        <f t="shared" si="34"/>
        <v>01</v>
      </c>
    </row>
    <row r="2230" spans="1:1">
      <c r="A2230" s="14" t="str">
        <f t="shared" si="34"/>
        <v>01</v>
      </c>
    </row>
    <row r="2231" spans="1:1">
      <c r="A2231" s="14" t="str">
        <f t="shared" si="34"/>
        <v>01</v>
      </c>
    </row>
    <row r="2232" spans="1:1">
      <c r="A2232" s="14" t="str">
        <f t="shared" si="34"/>
        <v>01</v>
      </c>
    </row>
    <row r="2233" spans="1:1">
      <c r="A2233" s="14" t="str">
        <f t="shared" si="34"/>
        <v>01</v>
      </c>
    </row>
    <row r="2234" spans="1:1">
      <c r="A2234" s="14" t="str">
        <f t="shared" si="34"/>
        <v>01</v>
      </c>
    </row>
    <row r="2235" spans="1:1">
      <c r="A2235" s="14" t="str">
        <f t="shared" si="34"/>
        <v>01</v>
      </c>
    </row>
    <row r="2236" spans="1:1">
      <c r="A2236" s="14" t="str">
        <f t="shared" si="34"/>
        <v>01</v>
      </c>
    </row>
    <row r="2237" spans="1:1">
      <c r="A2237" s="14" t="str">
        <f t="shared" si="34"/>
        <v>01</v>
      </c>
    </row>
    <row r="2238" spans="1:1">
      <c r="A2238" s="14" t="str">
        <f t="shared" si="34"/>
        <v>01</v>
      </c>
    </row>
    <row r="2239" spans="1:1">
      <c r="A2239" s="14" t="str">
        <f t="shared" si="34"/>
        <v>01</v>
      </c>
    </row>
    <row r="2240" spans="1:1">
      <c r="A2240" s="14" t="str">
        <f t="shared" si="34"/>
        <v>01</v>
      </c>
    </row>
    <row r="2241" spans="1:1">
      <c r="A2241" s="14" t="str">
        <f t="shared" si="34"/>
        <v>01</v>
      </c>
    </row>
    <row r="2242" spans="1:1">
      <c r="A2242" s="14" t="str">
        <f t="shared" si="34"/>
        <v>01</v>
      </c>
    </row>
    <row r="2243" spans="1:1">
      <c r="A2243" s="14" t="str">
        <f t="shared" ref="A2243:A2306" si="35">TEXT(L2243,"MM")</f>
        <v>01</v>
      </c>
    </row>
    <row r="2244" spans="1:1">
      <c r="A2244" s="14" t="str">
        <f t="shared" si="35"/>
        <v>01</v>
      </c>
    </row>
    <row r="2245" spans="1:1">
      <c r="A2245" s="14" t="str">
        <f t="shared" si="35"/>
        <v>01</v>
      </c>
    </row>
    <row r="2246" spans="1:1">
      <c r="A2246" s="14" t="str">
        <f t="shared" si="35"/>
        <v>01</v>
      </c>
    </row>
    <row r="2247" spans="1:1">
      <c r="A2247" s="14" t="str">
        <f t="shared" si="35"/>
        <v>01</v>
      </c>
    </row>
    <row r="2248" spans="1:1">
      <c r="A2248" s="14" t="str">
        <f t="shared" si="35"/>
        <v>01</v>
      </c>
    </row>
    <row r="2249" spans="1:1">
      <c r="A2249" s="14" t="str">
        <f t="shared" si="35"/>
        <v>01</v>
      </c>
    </row>
    <row r="2250" spans="1:1">
      <c r="A2250" s="14" t="str">
        <f t="shared" si="35"/>
        <v>01</v>
      </c>
    </row>
    <row r="2251" spans="1:1">
      <c r="A2251" s="14" t="str">
        <f t="shared" si="35"/>
        <v>01</v>
      </c>
    </row>
    <row r="2252" spans="1:1">
      <c r="A2252" s="14" t="str">
        <f t="shared" si="35"/>
        <v>01</v>
      </c>
    </row>
    <row r="2253" spans="1:1">
      <c r="A2253" s="14" t="str">
        <f t="shared" si="35"/>
        <v>01</v>
      </c>
    </row>
    <row r="2254" spans="1:1">
      <c r="A2254" s="14" t="str">
        <f t="shared" si="35"/>
        <v>01</v>
      </c>
    </row>
    <row r="2255" spans="1:1">
      <c r="A2255" s="14" t="str">
        <f t="shared" si="35"/>
        <v>01</v>
      </c>
    </row>
    <row r="2256" spans="1:1">
      <c r="A2256" s="14" t="str">
        <f t="shared" si="35"/>
        <v>01</v>
      </c>
    </row>
    <row r="2257" spans="1:1">
      <c r="A2257" s="14" t="str">
        <f t="shared" si="35"/>
        <v>01</v>
      </c>
    </row>
    <row r="2258" spans="1:1">
      <c r="A2258" s="14" t="str">
        <f t="shared" si="35"/>
        <v>01</v>
      </c>
    </row>
    <row r="2259" spans="1:1">
      <c r="A2259" s="14" t="str">
        <f t="shared" si="35"/>
        <v>01</v>
      </c>
    </row>
    <row r="2260" spans="1:1">
      <c r="A2260" s="14" t="str">
        <f t="shared" si="35"/>
        <v>01</v>
      </c>
    </row>
    <row r="2261" spans="1:1">
      <c r="A2261" s="14" t="str">
        <f t="shared" si="35"/>
        <v>01</v>
      </c>
    </row>
    <row r="2262" spans="1:1">
      <c r="A2262" s="14" t="str">
        <f t="shared" si="35"/>
        <v>01</v>
      </c>
    </row>
    <row r="2263" spans="1:1">
      <c r="A2263" s="14" t="str">
        <f t="shared" si="35"/>
        <v>01</v>
      </c>
    </row>
    <row r="2264" spans="1:1">
      <c r="A2264" s="14" t="str">
        <f t="shared" si="35"/>
        <v>01</v>
      </c>
    </row>
    <row r="2265" spans="1:1">
      <c r="A2265" s="14" t="str">
        <f t="shared" si="35"/>
        <v>01</v>
      </c>
    </row>
    <row r="2266" spans="1:1">
      <c r="A2266" s="14" t="str">
        <f t="shared" si="35"/>
        <v>01</v>
      </c>
    </row>
    <row r="2267" spans="1:1">
      <c r="A2267" s="14" t="str">
        <f t="shared" si="35"/>
        <v>01</v>
      </c>
    </row>
    <row r="2268" spans="1:1">
      <c r="A2268" s="14" t="str">
        <f t="shared" si="35"/>
        <v>01</v>
      </c>
    </row>
    <row r="2269" spans="1:1">
      <c r="A2269" s="14" t="str">
        <f t="shared" si="35"/>
        <v>01</v>
      </c>
    </row>
    <row r="2270" spans="1:1">
      <c r="A2270" s="14" t="str">
        <f t="shared" si="35"/>
        <v>01</v>
      </c>
    </row>
    <row r="2271" spans="1:1">
      <c r="A2271" s="14" t="str">
        <f t="shared" si="35"/>
        <v>01</v>
      </c>
    </row>
    <row r="2272" spans="1:1">
      <c r="A2272" s="14" t="str">
        <f t="shared" si="35"/>
        <v>01</v>
      </c>
    </row>
    <row r="2273" spans="1:1">
      <c r="A2273" s="14" t="str">
        <f t="shared" si="35"/>
        <v>01</v>
      </c>
    </row>
    <row r="2274" spans="1:1">
      <c r="A2274" s="14" t="str">
        <f t="shared" si="35"/>
        <v>01</v>
      </c>
    </row>
    <row r="2275" spans="1:1">
      <c r="A2275" s="14" t="str">
        <f t="shared" si="35"/>
        <v>01</v>
      </c>
    </row>
    <row r="2276" spans="1:1">
      <c r="A2276" s="14" t="str">
        <f t="shared" si="35"/>
        <v>01</v>
      </c>
    </row>
    <row r="2277" spans="1:1">
      <c r="A2277" s="14" t="str">
        <f t="shared" si="35"/>
        <v>01</v>
      </c>
    </row>
    <row r="2278" spans="1:1">
      <c r="A2278" s="14" t="str">
        <f t="shared" si="35"/>
        <v>01</v>
      </c>
    </row>
    <row r="2279" spans="1:1">
      <c r="A2279" s="14" t="str">
        <f t="shared" si="35"/>
        <v>01</v>
      </c>
    </row>
    <row r="2280" spans="1:1">
      <c r="A2280" s="14" t="str">
        <f t="shared" si="35"/>
        <v>01</v>
      </c>
    </row>
    <row r="2281" spans="1:1">
      <c r="A2281" s="14" t="str">
        <f t="shared" si="35"/>
        <v>01</v>
      </c>
    </row>
    <row r="2282" spans="1:1">
      <c r="A2282" s="14" t="str">
        <f t="shared" si="35"/>
        <v>01</v>
      </c>
    </row>
    <row r="2283" spans="1:1">
      <c r="A2283" s="14" t="str">
        <f t="shared" si="35"/>
        <v>01</v>
      </c>
    </row>
    <row r="2284" spans="1:1">
      <c r="A2284" s="14" t="str">
        <f t="shared" si="35"/>
        <v>01</v>
      </c>
    </row>
    <row r="2285" spans="1:1">
      <c r="A2285" s="14" t="str">
        <f t="shared" si="35"/>
        <v>01</v>
      </c>
    </row>
    <row r="2286" spans="1:1">
      <c r="A2286" s="14" t="str">
        <f t="shared" si="35"/>
        <v>01</v>
      </c>
    </row>
    <row r="2287" spans="1:1">
      <c r="A2287" s="14" t="str">
        <f t="shared" si="35"/>
        <v>01</v>
      </c>
    </row>
    <row r="2288" spans="1:1">
      <c r="A2288" s="14" t="str">
        <f t="shared" si="35"/>
        <v>01</v>
      </c>
    </row>
    <row r="2289" spans="1:1">
      <c r="A2289" s="14" t="str">
        <f t="shared" si="35"/>
        <v>01</v>
      </c>
    </row>
    <row r="2290" spans="1:1">
      <c r="A2290" s="14" t="str">
        <f t="shared" si="35"/>
        <v>01</v>
      </c>
    </row>
    <row r="2291" spans="1:1">
      <c r="A2291" s="14" t="str">
        <f t="shared" si="35"/>
        <v>01</v>
      </c>
    </row>
    <row r="2292" spans="1:1">
      <c r="A2292" s="14" t="str">
        <f t="shared" si="35"/>
        <v>01</v>
      </c>
    </row>
    <row r="2293" spans="1:1">
      <c r="A2293" s="14" t="str">
        <f t="shared" si="35"/>
        <v>01</v>
      </c>
    </row>
    <row r="2294" spans="1:1">
      <c r="A2294" s="14" t="str">
        <f t="shared" si="35"/>
        <v>01</v>
      </c>
    </row>
    <row r="2295" spans="1:1">
      <c r="A2295" s="14" t="str">
        <f t="shared" si="35"/>
        <v>01</v>
      </c>
    </row>
    <row r="2296" spans="1:1">
      <c r="A2296" s="14" t="str">
        <f t="shared" si="35"/>
        <v>01</v>
      </c>
    </row>
    <row r="2297" spans="1:1">
      <c r="A2297" s="14" t="str">
        <f t="shared" si="35"/>
        <v>01</v>
      </c>
    </row>
    <row r="2298" spans="1:1">
      <c r="A2298" s="14" t="str">
        <f t="shared" si="35"/>
        <v>01</v>
      </c>
    </row>
    <row r="2299" spans="1:1">
      <c r="A2299" s="14" t="str">
        <f t="shared" si="35"/>
        <v>01</v>
      </c>
    </row>
    <row r="2300" spans="1:1">
      <c r="A2300" s="14" t="str">
        <f t="shared" si="35"/>
        <v>01</v>
      </c>
    </row>
    <row r="2301" spans="1:1">
      <c r="A2301" s="14" t="str">
        <f t="shared" si="35"/>
        <v>01</v>
      </c>
    </row>
    <row r="2302" spans="1:1">
      <c r="A2302" s="14" t="str">
        <f t="shared" si="35"/>
        <v>01</v>
      </c>
    </row>
    <row r="2303" spans="1:1">
      <c r="A2303" s="14" t="str">
        <f t="shared" si="35"/>
        <v>01</v>
      </c>
    </row>
    <row r="2304" spans="1:1">
      <c r="A2304" s="14" t="str">
        <f t="shared" si="35"/>
        <v>01</v>
      </c>
    </row>
    <row r="2305" spans="1:1">
      <c r="A2305" s="14" t="str">
        <f t="shared" si="35"/>
        <v>01</v>
      </c>
    </row>
    <row r="2306" spans="1:1">
      <c r="A2306" s="14" t="str">
        <f t="shared" si="35"/>
        <v>01</v>
      </c>
    </row>
    <row r="2307" spans="1:1">
      <c r="A2307" s="14" t="str">
        <f t="shared" ref="A2307:A2370" si="36">TEXT(L2307,"MM")</f>
        <v>01</v>
      </c>
    </row>
    <row r="2308" spans="1:1">
      <c r="A2308" s="14" t="str">
        <f t="shared" si="36"/>
        <v>01</v>
      </c>
    </row>
    <row r="2309" spans="1:1">
      <c r="A2309" s="14" t="str">
        <f t="shared" si="36"/>
        <v>01</v>
      </c>
    </row>
    <row r="2310" spans="1:1">
      <c r="A2310" s="14" t="str">
        <f t="shared" si="36"/>
        <v>01</v>
      </c>
    </row>
    <row r="2311" spans="1:1">
      <c r="A2311" s="14" t="str">
        <f t="shared" si="36"/>
        <v>01</v>
      </c>
    </row>
    <row r="2312" spans="1:1">
      <c r="A2312" s="14" t="str">
        <f t="shared" si="36"/>
        <v>01</v>
      </c>
    </row>
    <row r="2313" spans="1:1">
      <c r="A2313" s="14" t="str">
        <f t="shared" si="36"/>
        <v>01</v>
      </c>
    </row>
    <row r="2314" spans="1:1">
      <c r="A2314" s="14" t="str">
        <f t="shared" si="36"/>
        <v>01</v>
      </c>
    </row>
    <row r="2315" spans="1:1">
      <c r="A2315" s="14" t="str">
        <f t="shared" si="36"/>
        <v>01</v>
      </c>
    </row>
    <row r="2316" spans="1:1">
      <c r="A2316" s="14" t="str">
        <f t="shared" si="36"/>
        <v>01</v>
      </c>
    </row>
    <row r="2317" spans="1:1">
      <c r="A2317" s="14" t="str">
        <f t="shared" si="36"/>
        <v>01</v>
      </c>
    </row>
    <row r="2318" spans="1:1">
      <c r="A2318" s="14" t="str">
        <f t="shared" si="36"/>
        <v>01</v>
      </c>
    </row>
    <row r="2319" spans="1:1">
      <c r="A2319" s="14" t="str">
        <f t="shared" si="36"/>
        <v>01</v>
      </c>
    </row>
    <row r="2320" spans="1:1">
      <c r="A2320" s="14" t="str">
        <f t="shared" si="36"/>
        <v>01</v>
      </c>
    </row>
    <row r="2321" spans="1:1">
      <c r="A2321" s="14" t="str">
        <f t="shared" si="36"/>
        <v>01</v>
      </c>
    </row>
    <row r="2322" spans="1:1">
      <c r="A2322" s="14" t="str">
        <f t="shared" si="36"/>
        <v>01</v>
      </c>
    </row>
    <row r="2323" spans="1:1">
      <c r="A2323" s="14" t="str">
        <f t="shared" si="36"/>
        <v>01</v>
      </c>
    </row>
    <row r="2324" spans="1:1">
      <c r="A2324" s="14" t="str">
        <f t="shared" si="36"/>
        <v>01</v>
      </c>
    </row>
    <row r="2325" spans="1:1">
      <c r="A2325" s="14" t="str">
        <f t="shared" si="36"/>
        <v>01</v>
      </c>
    </row>
    <row r="2326" spans="1:1">
      <c r="A2326" s="14" t="str">
        <f t="shared" si="36"/>
        <v>01</v>
      </c>
    </row>
    <row r="2327" spans="1:1">
      <c r="A2327" s="14" t="str">
        <f t="shared" si="36"/>
        <v>01</v>
      </c>
    </row>
    <row r="2328" spans="1:1">
      <c r="A2328" s="14" t="str">
        <f t="shared" si="36"/>
        <v>01</v>
      </c>
    </row>
    <row r="2329" spans="1:1">
      <c r="A2329" s="14" t="str">
        <f t="shared" si="36"/>
        <v>01</v>
      </c>
    </row>
    <row r="2330" spans="1:1">
      <c r="A2330" s="14" t="str">
        <f t="shared" si="36"/>
        <v>01</v>
      </c>
    </row>
    <row r="2331" spans="1:1">
      <c r="A2331" s="14" t="str">
        <f t="shared" si="36"/>
        <v>01</v>
      </c>
    </row>
    <row r="2332" spans="1:1">
      <c r="A2332" s="14" t="str">
        <f t="shared" si="36"/>
        <v>01</v>
      </c>
    </row>
    <row r="2333" spans="1:1">
      <c r="A2333" s="14" t="str">
        <f t="shared" si="36"/>
        <v>01</v>
      </c>
    </row>
    <row r="2334" spans="1:1">
      <c r="A2334" s="14" t="str">
        <f t="shared" si="36"/>
        <v>01</v>
      </c>
    </row>
    <row r="2335" spans="1:1">
      <c r="A2335" s="14" t="str">
        <f t="shared" si="36"/>
        <v>01</v>
      </c>
    </row>
    <row r="2336" spans="1:1">
      <c r="A2336" s="14" t="str">
        <f t="shared" si="36"/>
        <v>01</v>
      </c>
    </row>
    <row r="2337" spans="1:1">
      <c r="A2337" s="14" t="str">
        <f t="shared" si="36"/>
        <v>01</v>
      </c>
    </row>
    <row r="2338" spans="1:1">
      <c r="A2338" s="14" t="str">
        <f t="shared" si="36"/>
        <v>01</v>
      </c>
    </row>
    <row r="2339" spans="1:1">
      <c r="A2339" s="14" t="str">
        <f t="shared" si="36"/>
        <v>01</v>
      </c>
    </row>
    <row r="2340" spans="1:1">
      <c r="A2340" s="14" t="str">
        <f t="shared" si="36"/>
        <v>01</v>
      </c>
    </row>
    <row r="2341" spans="1:1">
      <c r="A2341" s="14" t="str">
        <f t="shared" si="36"/>
        <v>01</v>
      </c>
    </row>
    <row r="2342" spans="1:1">
      <c r="A2342" s="14" t="str">
        <f t="shared" si="36"/>
        <v>01</v>
      </c>
    </row>
    <row r="2343" spans="1:1">
      <c r="A2343" s="14" t="str">
        <f t="shared" si="36"/>
        <v>01</v>
      </c>
    </row>
    <row r="2344" spans="1:1">
      <c r="A2344" s="14" t="str">
        <f t="shared" si="36"/>
        <v>01</v>
      </c>
    </row>
    <row r="2345" spans="1:1">
      <c r="A2345" s="14" t="str">
        <f t="shared" si="36"/>
        <v>01</v>
      </c>
    </row>
    <row r="2346" spans="1:1">
      <c r="A2346" s="14" t="str">
        <f t="shared" si="36"/>
        <v>01</v>
      </c>
    </row>
    <row r="2347" spans="1:1">
      <c r="A2347" s="14" t="str">
        <f t="shared" si="36"/>
        <v>01</v>
      </c>
    </row>
    <row r="2348" spans="1:1">
      <c r="A2348" s="14" t="str">
        <f t="shared" si="36"/>
        <v>01</v>
      </c>
    </row>
    <row r="2349" spans="1:1">
      <c r="A2349" s="14" t="str">
        <f t="shared" si="36"/>
        <v>01</v>
      </c>
    </row>
    <row r="2350" spans="1:1">
      <c r="A2350" s="14" t="str">
        <f t="shared" si="36"/>
        <v>01</v>
      </c>
    </row>
    <row r="2351" spans="1:1">
      <c r="A2351" s="14" t="str">
        <f t="shared" si="36"/>
        <v>01</v>
      </c>
    </row>
    <row r="2352" spans="1:1">
      <c r="A2352" s="14" t="str">
        <f t="shared" si="36"/>
        <v>01</v>
      </c>
    </row>
    <row r="2353" spans="1:1">
      <c r="A2353" s="14" t="str">
        <f t="shared" si="36"/>
        <v>01</v>
      </c>
    </row>
    <row r="2354" spans="1:1">
      <c r="A2354" s="14" t="str">
        <f t="shared" si="36"/>
        <v>01</v>
      </c>
    </row>
    <row r="2355" spans="1:1">
      <c r="A2355" s="14" t="str">
        <f t="shared" si="36"/>
        <v>01</v>
      </c>
    </row>
    <row r="2356" spans="1:1">
      <c r="A2356" s="14" t="str">
        <f t="shared" si="36"/>
        <v>01</v>
      </c>
    </row>
    <row r="2357" spans="1:1">
      <c r="A2357" s="14" t="str">
        <f t="shared" si="36"/>
        <v>01</v>
      </c>
    </row>
    <row r="2358" spans="1:1">
      <c r="A2358" s="14" t="str">
        <f t="shared" si="36"/>
        <v>01</v>
      </c>
    </row>
    <row r="2359" spans="1:1">
      <c r="A2359" s="14" t="str">
        <f t="shared" si="36"/>
        <v>01</v>
      </c>
    </row>
    <row r="2360" spans="1:1">
      <c r="A2360" s="14" t="str">
        <f t="shared" si="36"/>
        <v>01</v>
      </c>
    </row>
    <row r="2361" spans="1:1">
      <c r="A2361" s="14" t="str">
        <f t="shared" si="36"/>
        <v>01</v>
      </c>
    </row>
    <row r="2362" spans="1:1">
      <c r="A2362" s="14" t="str">
        <f t="shared" si="36"/>
        <v>01</v>
      </c>
    </row>
    <row r="2363" spans="1:1">
      <c r="A2363" s="14" t="str">
        <f t="shared" si="36"/>
        <v>01</v>
      </c>
    </row>
    <row r="2364" spans="1:1">
      <c r="A2364" s="14" t="str">
        <f t="shared" si="36"/>
        <v>01</v>
      </c>
    </row>
    <row r="2365" spans="1:1">
      <c r="A2365" s="14" t="str">
        <f t="shared" si="36"/>
        <v>01</v>
      </c>
    </row>
    <row r="2366" spans="1:1">
      <c r="A2366" s="14" t="str">
        <f t="shared" si="36"/>
        <v>01</v>
      </c>
    </row>
    <row r="2367" spans="1:1">
      <c r="A2367" s="14" t="str">
        <f t="shared" si="36"/>
        <v>01</v>
      </c>
    </row>
    <row r="2368" spans="1:1">
      <c r="A2368" s="14" t="str">
        <f t="shared" si="36"/>
        <v>01</v>
      </c>
    </row>
    <row r="2369" spans="1:1">
      <c r="A2369" s="14" t="str">
        <f t="shared" si="36"/>
        <v>01</v>
      </c>
    </row>
    <row r="2370" spans="1:1">
      <c r="A2370" s="14" t="str">
        <f t="shared" si="36"/>
        <v>01</v>
      </c>
    </row>
    <row r="2371" spans="1:1">
      <c r="A2371" s="14" t="str">
        <f t="shared" ref="A2371:A2434" si="37">TEXT(L2371,"MM")</f>
        <v>01</v>
      </c>
    </row>
    <row r="2372" spans="1:1">
      <c r="A2372" s="14" t="str">
        <f t="shared" si="37"/>
        <v>01</v>
      </c>
    </row>
    <row r="2373" spans="1:1">
      <c r="A2373" s="14" t="str">
        <f t="shared" si="37"/>
        <v>01</v>
      </c>
    </row>
    <row r="2374" spans="1:1">
      <c r="A2374" s="14" t="str">
        <f t="shared" si="37"/>
        <v>01</v>
      </c>
    </row>
    <row r="2375" spans="1:1">
      <c r="A2375" s="14" t="str">
        <f t="shared" si="37"/>
        <v>01</v>
      </c>
    </row>
    <row r="2376" spans="1:1">
      <c r="A2376" s="14" t="str">
        <f t="shared" si="37"/>
        <v>01</v>
      </c>
    </row>
    <row r="2377" spans="1:1">
      <c r="A2377" s="14" t="str">
        <f t="shared" si="37"/>
        <v>01</v>
      </c>
    </row>
    <row r="2378" spans="1:1">
      <c r="A2378" s="14" t="str">
        <f t="shared" si="37"/>
        <v>01</v>
      </c>
    </row>
    <row r="2379" spans="1:1">
      <c r="A2379" s="14" t="str">
        <f t="shared" si="37"/>
        <v>01</v>
      </c>
    </row>
    <row r="2380" spans="1:1">
      <c r="A2380" s="14" t="str">
        <f t="shared" si="37"/>
        <v>01</v>
      </c>
    </row>
    <row r="2381" spans="1:1">
      <c r="A2381" s="14" t="str">
        <f t="shared" si="37"/>
        <v>01</v>
      </c>
    </row>
    <row r="2382" spans="1:1">
      <c r="A2382" s="14" t="str">
        <f t="shared" si="37"/>
        <v>01</v>
      </c>
    </row>
    <row r="2383" spans="1:1">
      <c r="A2383" s="14" t="str">
        <f t="shared" si="37"/>
        <v>01</v>
      </c>
    </row>
    <row r="2384" spans="1:1">
      <c r="A2384" s="14" t="str">
        <f t="shared" si="37"/>
        <v>01</v>
      </c>
    </row>
    <row r="2385" spans="1:1">
      <c r="A2385" s="14" t="str">
        <f t="shared" si="37"/>
        <v>01</v>
      </c>
    </row>
    <row r="2386" spans="1:1">
      <c r="A2386" s="14" t="str">
        <f t="shared" si="37"/>
        <v>01</v>
      </c>
    </row>
    <row r="2387" spans="1:1">
      <c r="A2387" s="14" t="str">
        <f t="shared" si="37"/>
        <v>01</v>
      </c>
    </row>
    <row r="2388" spans="1:1">
      <c r="A2388" s="14" t="str">
        <f t="shared" si="37"/>
        <v>01</v>
      </c>
    </row>
    <row r="2389" spans="1:1">
      <c r="A2389" s="14" t="str">
        <f t="shared" si="37"/>
        <v>01</v>
      </c>
    </row>
    <row r="2390" spans="1:1">
      <c r="A2390" s="14" t="str">
        <f t="shared" si="37"/>
        <v>01</v>
      </c>
    </row>
    <row r="2391" spans="1:1">
      <c r="A2391" s="14" t="str">
        <f t="shared" si="37"/>
        <v>01</v>
      </c>
    </row>
    <row r="2392" spans="1:1">
      <c r="A2392" s="14" t="str">
        <f t="shared" si="37"/>
        <v>01</v>
      </c>
    </row>
    <row r="2393" spans="1:1">
      <c r="A2393" s="14" t="str">
        <f t="shared" si="37"/>
        <v>01</v>
      </c>
    </row>
    <row r="2394" spans="1:1">
      <c r="A2394" s="14" t="str">
        <f t="shared" si="37"/>
        <v>01</v>
      </c>
    </row>
    <row r="2395" spans="1:1">
      <c r="A2395" s="14" t="str">
        <f t="shared" si="37"/>
        <v>01</v>
      </c>
    </row>
    <row r="2396" spans="1:1">
      <c r="A2396" s="14" t="str">
        <f t="shared" si="37"/>
        <v>01</v>
      </c>
    </row>
    <row r="2397" spans="1:1">
      <c r="A2397" s="14" t="str">
        <f t="shared" si="37"/>
        <v>01</v>
      </c>
    </row>
    <row r="2398" spans="1:1">
      <c r="A2398" s="14" t="str">
        <f t="shared" si="37"/>
        <v>01</v>
      </c>
    </row>
    <row r="2399" spans="1:1">
      <c r="A2399" s="14" t="str">
        <f t="shared" si="37"/>
        <v>01</v>
      </c>
    </row>
    <row r="2400" spans="1:1">
      <c r="A2400" s="14" t="str">
        <f t="shared" si="37"/>
        <v>01</v>
      </c>
    </row>
    <row r="2401" spans="1:1">
      <c r="A2401" s="14" t="str">
        <f t="shared" si="37"/>
        <v>01</v>
      </c>
    </row>
    <row r="2402" spans="1:1">
      <c r="A2402" s="14" t="str">
        <f t="shared" si="37"/>
        <v>01</v>
      </c>
    </row>
    <row r="2403" spans="1:1">
      <c r="A2403" s="14" t="str">
        <f t="shared" si="37"/>
        <v>01</v>
      </c>
    </row>
    <row r="2404" spans="1:1">
      <c r="A2404" s="14" t="str">
        <f t="shared" si="37"/>
        <v>01</v>
      </c>
    </row>
    <row r="2405" spans="1:1">
      <c r="A2405" s="14" t="str">
        <f t="shared" si="37"/>
        <v>01</v>
      </c>
    </row>
    <row r="2406" spans="1:1">
      <c r="A2406" s="14" t="str">
        <f t="shared" si="37"/>
        <v>01</v>
      </c>
    </row>
    <row r="2407" spans="1:1">
      <c r="A2407" s="14" t="str">
        <f t="shared" si="37"/>
        <v>01</v>
      </c>
    </row>
    <row r="2408" spans="1:1">
      <c r="A2408" s="14" t="str">
        <f t="shared" si="37"/>
        <v>01</v>
      </c>
    </row>
    <row r="2409" spans="1:1">
      <c r="A2409" s="14" t="str">
        <f t="shared" si="37"/>
        <v>01</v>
      </c>
    </row>
    <row r="2410" spans="1:1">
      <c r="A2410" s="14" t="str">
        <f t="shared" si="37"/>
        <v>01</v>
      </c>
    </row>
    <row r="2411" spans="1:1">
      <c r="A2411" s="14" t="str">
        <f t="shared" si="37"/>
        <v>01</v>
      </c>
    </row>
    <row r="2412" spans="1:1">
      <c r="A2412" s="14" t="str">
        <f t="shared" si="37"/>
        <v>01</v>
      </c>
    </row>
    <row r="2413" spans="1:1">
      <c r="A2413" s="14" t="str">
        <f t="shared" si="37"/>
        <v>01</v>
      </c>
    </row>
    <row r="2414" spans="1:1">
      <c r="A2414" s="14" t="str">
        <f t="shared" si="37"/>
        <v>01</v>
      </c>
    </row>
    <row r="2415" spans="1:1">
      <c r="A2415" s="14" t="str">
        <f t="shared" si="37"/>
        <v>01</v>
      </c>
    </row>
    <row r="2416" spans="1:1">
      <c r="A2416" s="14" t="str">
        <f t="shared" si="37"/>
        <v>01</v>
      </c>
    </row>
    <row r="2417" spans="1:1">
      <c r="A2417" s="14" t="str">
        <f t="shared" si="37"/>
        <v>01</v>
      </c>
    </row>
    <row r="2418" spans="1:1">
      <c r="A2418" s="14" t="str">
        <f t="shared" si="37"/>
        <v>01</v>
      </c>
    </row>
    <row r="2419" spans="1:1">
      <c r="A2419" s="14" t="str">
        <f t="shared" si="37"/>
        <v>01</v>
      </c>
    </row>
    <row r="2420" spans="1:1">
      <c r="A2420" s="14" t="str">
        <f t="shared" si="37"/>
        <v>01</v>
      </c>
    </row>
    <row r="2421" spans="1:1">
      <c r="A2421" s="14" t="str">
        <f t="shared" si="37"/>
        <v>01</v>
      </c>
    </row>
    <row r="2422" spans="1:1">
      <c r="A2422" s="14" t="str">
        <f t="shared" si="37"/>
        <v>01</v>
      </c>
    </row>
    <row r="2423" spans="1:1">
      <c r="A2423" s="14" t="str">
        <f t="shared" si="37"/>
        <v>01</v>
      </c>
    </row>
    <row r="2424" spans="1:1">
      <c r="A2424" s="14" t="str">
        <f t="shared" si="37"/>
        <v>01</v>
      </c>
    </row>
    <row r="2425" spans="1:1">
      <c r="A2425" s="14" t="str">
        <f t="shared" si="37"/>
        <v>01</v>
      </c>
    </row>
    <row r="2426" spans="1:1">
      <c r="A2426" s="14" t="str">
        <f t="shared" si="37"/>
        <v>01</v>
      </c>
    </row>
    <row r="2427" spans="1:1">
      <c r="A2427" s="14" t="str">
        <f t="shared" si="37"/>
        <v>01</v>
      </c>
    </row>
    <row r="2428" spans="1:1">
      <c r="A2428" s="14" t="str">
        <f t="shared" si="37"/>
        <v>01</v>
      </c>
    </row>
    <row r="2429" spans="1:1">
      <c r="A2429" s="14" t="str">
        <f t="shared" si="37"/>
        <v>01</v>
      </c>
    </row>
    <row r="2430" spans="1:1">
      <c r="A2430" s="14" t="str">
        <f t="shared" si="37"/>
        <v>01</v>
      </c>
    </row>
    <row r="2431" spans="1:1">
      <c r="A2431" s="14" t="str">
        <f t="shared" si="37"/>
        <v>01</v>
      </c>
    </row>
    <row r="2432" spans="1:1">
      <c r="A2432" s="14" t="str">
        <f t="shared" si="37"/>
        <v>01</v>
      </c>
    </row>
    <row r="2433" spans="1:1">
      <c r="A2433" s="14" t="str">
        <f t="shared" si="37"/>
        <v>01</v>
      </c>
    </row>
    <row r="2434" spans="1:1">
      <c r="A2434" s="14" t="str">
        <f t="shared" si="37"/>
        <v>01</v>
      </c>
    </row>
    <row r="2435" spans="1:1">
      <c r="A2435" s="14" t="str">
        <f t="shared" ref="A2435:A2498" si="38">TEXT(L2435,"MM")</f>
        <v>01</v>
      </c>
    </row>
    <row r="2436" spans="1:1">
      <c r="A2436" s="14" t="str">
        <f t="shared" si="38"/>
        <v>01</v>
      </c>
    </row>
    <row r="2437" spans="1:1">
      <c r="A2437" s="14" t="str">
        <f t="shared" si="38"/>
        <v>01</v>
      </c>
    </row>
    <row r="2438" spans="1:1">
      <c r="A2438" s="14" t="str">
        <f t="shared" si="38"/>
        <v>01</v>
      </c>
    </row>
    <row r="2439" spans="1:1">
      <c r="A2439" s="14" t="str">
        <f t="shared" si="38"/>
        <v>01</v>
      </c>
    </row>
    <row r="2440" spans="1:1">
      <c r="A2440" s="14" t="str">
        <f t="shared" si="38"/>
        <v>01</v>
      </c>
    </row>
    <row r="2441" spans="1:1">
      <c r="A2441" s="14" t="str">
        <f t="shared" si="38"/>
        <v>01</v>
      </c>
    </row>
    <row r="2442" spans="1:1">
      <c r="A2442" s="14" t="str">
        <f t="shared" si="38"/>
        <v>01</v>
      </c>
    </row>
    <row r="2443" spans="1:1">
      <c r="A2443" s="14" t="str">
        <f t="shared" si="38"/>
        <v>01</v>
      </c>
    </row>
    <row r="2444" spans="1:1">
      <c r="A2444" s="14" t="str">
        <f t="shared" si="38"/>
        <v>01</v>
      </c>
    </row>
    <row r="2445" spans="1:1">
      <c r="A2445" s="14" t="str">
        <f t="shared" si="38"/>
        <v>01</v>
      </c>
    </row>
    <row r="2446" spans="1:1">
      <c r="A2446" s="14" t="str">
        <f t="shared" si="38"/>
        <v>01</v>
      </c>
    </row>
    <row r="2447" spans="1:1">
      <c r="A2447" s="14" t="str">
        <f t="shared" si="38"/>
        <v>01</v>
      </c>
    </row>
    <row r="2448" spans="1:1">
      <c r="A2448" s="14" t="str">
        <f t="shared" si="38"/>
        <v>01</v>
      </c>
    </row>
    <row r="2449" spans="1:1">
      <c r="A2449" s="14" t="str">
        <f t="shared" si="38"/>
        <v>01</v>
      </c>
    </row>
    <row r="2450" spans="1:1">
      <c r="A2450" s="14" t="str">
        <f t="shared" si="38"/>
        <v>01</v>
      </c>
    </row>
    <row r="2451" spans="1:1">
      <c r="A2451" s="14" t="str">
        <f t="shared" si="38"/>
        <v>01</v>
      </c>
    </row>
    <row r="2452" spans="1:1">
      <c r="A2452" s="14" t="str">
        <f t="shared" si="38"/>
        <v>01</v>
      </c>
    </row>
    <row r="2453" spans="1:1">
      <c r="A2453" s="14" t="str">
        <f t="shared" si="38"/>
        <v>01</v>
      </c>
    </row>
    <row r="2454" spans="1:1">
      <c r="A2454" s="14" t="str">
        <f t="shared" si="38"/>
        <v>01</v>
      </c>
    </row>
    <row r="2455" spans="1:1">
      <c r="A2455" s="14" t="str">
        <f t="shared" si="38"/>
        <v>01</v>
      </c>
    </row>
    <row r="2456" spans="1:1">
      <c r="A2456" s="14" t="str">
        <f t="shared" si="38"/>
        <v>01</v>
      </c>
    </row>
    <row r="2457" spans="1:1">
      <c r="A2457" s="14" t="str">
        <f t="shared" si="38"/>
        <v>01</v>
      </c>
    </row>
    <row r="2458" spans="1:1">
      <c r="A2458" s="14" t="str">
        <f t="shared" si="38"/>
        <v>01</v>
      </c>
    </row>
    <row r="2459" spans="1:1">
      <c r="A2459" s="14" t="str">
        <f t="shared" si="38"/>
        <v>01</v>
      </c>
    </row>
    <row r="2460" spans="1:1">
      <c r="A2460" s="14" t="str">
        <f t="shared" si="38"/>
        <v>01</v>
      </c>
    </row>
    <row r="2461" spans="1:1">
      <c r="A2461" s="14" t="str">
        <f t="shared" si="38"/>
        <v>01</v>
      </c>
    </row>
    <row r="2462" spans="1:1">
      <c r="A2462" s="14" t="str">
        <f t="shared" si="38"/>
        <v>01</v>
      </c>
    </row>
    <row r="2463" spans="1:1">
      <c r="A2463" s="14" t="str">
        <f t="shared" si="38"/>
        <v>01</v>
      </c>
    </row>
    <row r="2464" spans="1:1">
      <c r="A2464" s="14" t="str">
        <f t="shared" si="38"/>
        <v>01</v>
      </c>
    </row>
    <row r="2465" spans="1:1">
      <c r="A2465" s="14" t="str">
        <f t="shared" si="38"/>
        <v>01</v>
      </c>
    </row>
    <row r="2466" spans="1:1">
      <c r="A2466" s="14" t="str">
        <f t="shared" si="38"/>
        <v>01</v>
      </c>
    </row>
    <row r="2467" spans="1:1">
      <c r="A2467" s="14" t="str">
        <f t="shared" si="38"/>
        <v>01</v>
      </c>
    </row>
    <row r="2468" spans="1:1">
      <c r="A2468" s="14" t="str">
        <f t="shared" si="38"/>
        <v>01</v>
      </c>
    </row>
    <row r="2469" spans="1:1">
      <c r="A2469" s="14" t="str">
        <f t="shared" si="38"/>
        <v>01</v>
      </c>
    </row>
    <row r="2470" spans="1:1">
      <c r="A2470" s="14" t="str">
        <f t="shared" si="38"/>
        <v>01</v>
      </c>
    </row>
    <row r="2471" spans="1:1">
      <c r="A2471" s="14" t="str">
        <f t="shared" si="38"/>
        <v>01</v>
      </c>
    </row>
    <row r="2472" spans="1:1">
      <c r="A2472" s="14" t="str">
        <f t="shared" si="38"/>
        <v>01</v>
      </c>
    </row>
    <row r="2473" spans="1:1">
      <c r="A2473" s="14" t="str">
        <f t="shared" si="38"/>
        <v>01</v>
      </c>
    </row>
    <row r="2474" spans="1:1">
      <c r="A2474" s="14" t="str">
        <f t="shared" si="38"/>
        <v>01</v>
      </c>
    </row>
    <row r="2475" spans="1:1">
      <c r="A2475" s="14" t="str">
        <f t="shared" si="38"/>
        <v>01</v>
      </c>
    </row>
    <row r="2476" spans="1:1">
      <c r="A2476" s="14" t="str">
        <f t="shared" si="38"/>
        <v>01</v>
      </c>
    </row>
    <row r="2477" spans="1:1">
      <c r="A2477" s="14" t="str">
        <f t="shared" si="38"/>
        <v>01</v>
      </c>
    </row>
    <row r="2478" spans="1:1">
      <c r="A2478" s="14" t="str">
        <f t="shared" si="38"/>
        <v>01</v>
      </c>
    </row>
    <row r="2479" spans="1:1">
      <c r="A2479" s="14" t="str">
        <f t="shared" si="38"/>
        <v>01</v>
      </c>
    </row>
    <row r="2480" spans="1:1">
      <c r="A2480" s="14" t="str">
        <f t="shared" si="38"/>
        <v>01</v>
      </c>
    </row>
    <row r="2481" spans="1:1">
      <c r="A2481" s="14" t="str">
        <f t="shared" si="38"/>
        <v>01</v>
      </c>
    </row>
    <row r="2482" spans="1:1">
      <c r="A2482" s="14" t="str">
        <f t="shared" si="38"/>
        <v>01</v>
      </c>
    </row>
    <row r="2483" spans="1:1">
      <c r="A2483" s="14" t="str">
        <f t="shared" si="38"/>
        <v>01</v>
      </c>
    </row>
    <row r="2484" spans="1:1">
      <c r="A2484" s="14" t="str">
        <f t="shared" si="38"/>
        <v>01</v>
      </c>
    </row>
    <row r="2485" spans="1:1">
      <c r="A2485" s="14" t="str">
        <f t="shared" si="38"/>
        <v>01</v>
      </c>
    </row>
    <row r="2486" spans="1:1">
      <c r="A2486" s="14" t="str">
        <f t="shared" si="38"/>
        <v>01</v>
      </c>
    </row>
    <row r="2487" spans="1:1">
      <c r="A2487" s="14" t="str">
        <f t="shared" si="38"/>
        <v>01</v>
      </c>
    </row>
    <row r="2488" spans="1:1">
      <c r="A2488" s="14" t="str">
        <f t="shared" si="38"/>
        <v>01</v>
      </c>
    </row>
    <row r="2489" spans="1:1">
      <c r="A2489" s="14" t="str">
        <f t="shared" si="38"/>
        <v>01</v>
      </c>
    </row>
    <row r="2490" spans="1:1">
      <c r="A2490" s="14" t="str">
        <f t="shared" si="38"/>
        <v>01</v>
      </c>
    </row>
    <row r="2491" spans="1:1">
      <c r="A2491" s="14" t="str">
        <f t="shared" si="38"/>
        <v>01</v>
      </c>
    </row>
    <row r="2492" spans="1:1">
      <c r="A2492" s="14" t="str">
        <f t="shared" si="38"/>
        <v>01</v>
      </c>
    </row>
    <row r="2493" spans="1:1">
      <c r="A2493" s="14" t="str">
        <f t="shared" si="38"/>
        <v>01</v>
      </c>
    </row>
    <row r="2494" spans="1:1">
      <c r="A2494" s="14" t="str">
        <f t="shared" si="38"/>
        <v>01</v>
      </c>
    </row>
    <row r="2495" spans="1:1">
      <c r="A2495" s="14" t="str">
        <f t="shared" si="38"/>
        <v>01</v>
      </c>
    </row>
    <row r="2496" spans="1:1">
      <c r="A2496" s="14" t="str">
        <f t="shared" si="38"/>
        <v>01</v>
      </c>
    </row>
    <row r="2497" spans="1:1">
      <c r="A2497" s="14" t="str">
        <f t="shared" si="38"/>
        <v>01</v>
      </c>
    </row>
    <row r="2498" spans="1:1">
      <c r="A2498" s="14" t="str">
        <f t="shared" si="38"/>
        <v>01</v>
      </c>
    </row>
    <row r="2499" spans="1:1">
      <c r="A2499" s="14" t="str">
        <f t="shared" ref="A2499:A2562" si="39">TEXT(L2499,"MM")</f>
        <v>01</v>
      </c>
    </row>
    <row r="2500" spans="1:1">
      <c r="A2500" s="14" t="str">
        <f t="shared" si="39"/>
        <v>01</v>
      </c>
    </row>
    <row r="2501" spans="1:1">
      <c r="A2501" s="14" t="str">
        <f t="shared" si="39"/>
        <v>01</v>
      </c>
    </row>
    <row r="2502" spans="1:1">
      <c r="A2502" s="14" t="str">
        <f t="shared" si="39"/>
        <v>01</v>
      </c>
    </row>
    <row r="2503" spans="1:1">
      <c r="A2503" s="14" t="str">
        <f t="shared" si="39"/>
        <v>01</v>
      </c>
    </row>
    <row r="2504" spans="1:1">
      <c r="A2504" s="14" t="str">
        <f t="shared" si="39"/>
        <v>01</v>
      </c>
    </row>
    <row r="2505" spans="1:1">
      <c r="A2505" s="14" t="str">
        <f t="shared" si="39"/>
        <v>01</v>
      </c>
    </row>
    <row r="2506" spans="1:1">
      <c r="A2506" s="14" t="str">
        <f t="shared" si="39"/>
        <v>01</v>
      </c>
    </row>
    <row r="2507" spans="1:1">
      <c r="A2507" s="14" t="str">
        <f t="shared" si="39"/>
        <v>01</v>
      </c>
    </row>
    <row r="2508" spans="1:1">
      <c r="A2508" s="14" t="str">
        <f t="shared" si="39"/>
        <v>01</v>
      </c>
    </row>
    <row r="2509" spans="1:1">
      <c r="A2509" s="14" t="str">
        <f t="shared" si="39"/>
        <v>01</v>
      </c>
    </row>
    <row r="2510" spans="1:1">
      <c r="A2510" s="14" t="str">
        <f t="shared" si="39"/>
        <v>01</v>
      </c>
    </row>
    <row r="2511" spans="1:1">
      <c r="A2511" s="14" t="str">
        <f t="shared" si="39"/>
        <v>01</v>
      </c>
    </row>
    <row r="2512" spans="1:1">
      <c r="A2512" s="14" t="str">
        <f t="shared" si="39"/>
        <v>01</v>
      </c>
    </row>
    <row r="2513" spans="1:1">
      <c r="A2513" s="14" t="str">
        <f t="shared" si="39"/>
        <v>01</v>
      </c>
    </row>
    <row r="2514" spans="1:1">
      <c r="A2514" s="14" t="str">
        <f t="shared" si="39"/>
        <v>01</v>
      </c>
    </row>
    <row r="2515" spans="1:1">
      <c r="A2515" s="14" t="str">
        <f t="shared" si="39"/>
        <v>01</v>
      </c>
    </row>
    <row r="2516" spans="1:1">
      <c r="A2516" s="14" t="str">
        <f t="shared" si="39"/>
        <v>01</v>
      </c>
    </row>
    <row r="2517" spans="1:1">
      <c r="A2517" s="14" t="str">
        <f t="shared" si="39"/>
        <v>01</v>
      </c>
    </row>
    <row r="2518" spans="1:1">
      <c r="A2518" s="14" t="str">
        <f t="shared" si="39"/>
        <v>01</v>
      </c>
    </row>
    <row r="2519" spans="1:1">
      <c r="A2519" s="14" t="str">
        <f t="shared" si="39"/>
        <v>01</v>
      </c>
    </row>
    <row r="2520" spans="1:1">
      <c r="A2520" s="14" t="str">
        <f t="shared" si="39"/>
        <v>01</v>
      </c>
    </row>
    <row r="2521" spans="1:1">
      <c r="A2521" s="14" t="str">
        <f t="shared" si="39"/>
        <v>01</v>
      </c>
    </row>
    <row r="2522" spans="1:1">
      <c r="A2522" s="14" t="str">
        <f t="shared" si="39"/>
        <v>01</v>
      </c>
    </row>
    <row r="2523" spans="1:1">
      <c r="A2523" s="14" t="str">
        <f t="shared" si="39"/>
        <v>01</v>
      </c>
    </row>
    <row r="2524" spans="1:1">
      <c r="A2524" s="14" t="str">
        <f t="shared" si="39"/>
        <v>01</v>
      </c>
    </row>
    <row r="2525" spans="1:1">
      <c r="A2525" s="14" t="str">
        <f t="shared" si="39"/>
        <v>01</v>
      </c>
    </row>
    <row r="2526" spans="1:1">
      <c r="A2526" s="14" t="str">
        <f t="shared" si="39"/>
        <v>01</v>
      </c>
    </row>
    <row r="2527" spans="1:1">
      <c r="A2527" s="14" t="str">
        <f t="shared" si="39"/>
        <v>01</v>
      </c>
    </row>
    <row r="2528" spans="1:1">
      <c r="A2528" s="14" t="str">
        <f t="shared" si="39"/>
        <v>01</v>
      </c>
    </row>
    <row r="2529" spans="1:1">
      <c r="A2529" s="14" t="str">
        <f t="shared" si="39"/>
        <v>01</v>
      </c>
    </row>
    <row r="2530" spans="1:1">
      <c r="A2530" s="14" t="str">
        <f t="shared" si="39"/>
        <v>01</v>
      </c>
    </row>
    <row r="2531" spans="1:1">
      <c r="A2531" s="14" t="str">
        <f t="shared" si="39"/>
        <v>01</v>
      </c>
    </row>
    <row r="2532" spans="1:1">
      <c r="A2532" s="14" t="str">
        <f t="shared" si="39"/>
        <v>01</v>
      </c>
    </row>
    <row r="2533" spans="1:1">
      <c r="A2533" s="14" t="str">
        <f t="shared" si="39"/>
        <v>01</v>
      </c>
    </row>
    <row r="2534" spans="1:1">
      <c r="A2534" s="14" t="str">
        <f t="shared" si="39"/>
        <v>01</v>
      </c>
    </row>
    <row r="2535" spans="1:1">
      <c r="A2535" s="14" t="str">
        <f t="shared" si="39"/>
        <v>01</v>
      </c>
    </row>
    <row r="2536" spans="1:1">
      <c r="A2536" s="14" t="str">
        <f t="shared" si="39"/>
        <v>01</v>
      </c>
    </row>
    <row r="2537" spans="1:1">
      <c r="A2537" s="14" t="str">
        <f t="shared" si="39"/>
        <v>01</v>
      </c>
    </row>
    <row r="2538" spans="1:1">
      <c r="A2538" s="14" t="str">
        <f t="shared" si="39"/>
        <v>01</v>
      </c>
    </row>
    <row r="2539" spans="1:1">
      <c r="A2539" s="14" t="str">
        <f t="shared" si="39"/>
        <v>01</v>
      </c>
    </row>
    <row r="2540" spans="1:1">
      <c r="A2540" s="14" t="str">
        <f t="shared" si="39"/>
        <v>01</v>
      </c>
    </row>
    <row r="2541" spans="1:1">
      <c r="A2541" s="14" t="str">
        <f t="shared" si="39"/>
        <v>01</v>
      </c>
    </row>
    <row r="2542" spans="1:1">
      <c r="A2542" s="14" t="str">
        <f t="shared" si="39"/>
        <v>01</v>
      </c>
    </row>
    <row r="2543" spans="1:1">
      <c r="A2543" s="14" t="str">
        <f t="shared" si="39"/>
        <v>01</v>
      </c>
    </row>
    <row r="2544" spans="1:1">
      <c r="A2544" s="14" t="str">
        <f t="shared" si="39"/>
        <v>01</v>
      </c>
    </row>
    <row r="2545" spans="1:1">
      <c r="A2545" s="14" t="str">
        <f t="shared" si="39"/>
        <v>01</v>
      </c>
    </row>
    <row r="2546" spans="1:1">
      <c r="A2546" s="14" t="str">
        <f t="shared" si="39"/>
        <v>01</v>
      </c>
    </row>
    <row r="2547" spans="1:1">
      <c r="A2547" s="14" t="str">
        <f t="shared" si="39"/>
        <v>01</v>
      </c>
    </row>
    <row r="2548" spans="1:1">
      <c r="A2548" s="14" t="str">
        <f t="shared" si="39"/>
        <v>01</v>
      </c>
    </row>
    <row r="2549" spans="1:1">
      <c r="A2549" s="14" t="str">
        <f t="shared" si="39"/>
        <v>01</v>
      </c>
    </row>
    <row r="2550" spans="1:1">
      <c r="A2550" s="14" t="str">
        <f t="shared" si="39"/>
        <v>01</v>
      </c>
    </row>
    <row r="2551" spans="1:1">
      <c r="A2551" s="14" t="str">
        <f t="shared" si="39"/>
        <v>01</v>
      </c>
    </row>
    <row r="2552" spans="1:1">
      <c r="A2552" s="14" t="str">
        <f t="shared" si="39"/>
        <v>01</v>
      </c>
    </row>
    <row r="2553" spans="1:1">
      <c r="A2553" s="14" t="str">
        <f t="shared" si="39"/>
        <v>01</v>
      </c>
    </row>
    <row r="2554" spans="1:1">
      <c r="A2554" s="14" t="str">
        <f t="shared" si="39"/>
        <v>01</v>
      </c>
    </row>
    <row r="2555" spans="1:1">
      <c r="A2555" s="14" t="str">
        <f t="shared" si="39"/>
        <v>01</v>
      </c>
    </row>
    <row r="2556" spans="1:1">
      <c r="A2556" s="14" t="str">
        <f t="shared" si="39"/>
        <v>01</v>
      </c>
    </row>
    <row r="2557" spans="1:1">
      <c r="A2557" s="14" t="str">
        <f t="shared" si="39"/>
        <v>01</v>
      </c>
    </row>
    <row r="2558" spans="1:1">
      <c r="A2558" s="14" t="str">
        <f t="shared" si="39"/>
        <v>01</v>
      </c>
    </row>
    <row r="2559" spans="1:1">
      <c r="A2559" s="14" t="str">
        <f t="shared" si="39"/>
        <v>01</v>
      </c>
    </row>
    <row r="2560" spans="1:1">
      <c r="A2560" s="14" t="str">
        <f t="shared" si="39"/>
        <v>01</v>
      </c>
    </row>
    <row r="2561" spans="1:1">
      <c r="A2561" s="14" t="str">
        <f t="shared" si="39"/>
        <v>01</v>
      </c>
    </row>
    <row r="2562" spans="1:1">
      <c r="A2562" s="14" t="str">
        <f t="shared" si="39"/>
        <v>01</v>
      </c>
    </row>
    <row r="2563" spans="1:1">
      <c r="A2563" s="14" t="str">
        <f t="shared" ref="A2563:A2626" si="40">TEXT(L2563,"MM")</f>
        <v>01</v>
      </c>
    </row>
    <row r="2564" spans="1:1">
      <c r="A2564" s="14" t="str">
        <f t="shared" si="40"/>
        <v>01</v>
      </c>
    </row>
    <row r="2565" spans="1:1">
      <c r="A2565" s="14" t="str">
        <f t="shared" si="40"/>
        <v>01</v>
      </c>
    </row>
    <row r="2566" spans="1:1">
      <c r="A2566" s="14" t="str">
        <f t="shared" si="40"/>
        <v>01</v>
      </c>
    </row>
    <row r="2567" spans="1:1">
      <c r="A2567" s="14" t="str">
        <f t="shared" si="40"/>
        <v>01</v>
      </c>
    </row>
    <row r="2568" spans="1:1">
      <c r="A2568" s="14" t="str">
        <f t="shared" si="40"/>
        <v>01</v>
      </c>
    </row>
    <row r="2569" spans="1:1">
      <c r="A2569" s="14" t="str">
        <f t="shared" si="40"/>
        <v>01</v>
      </c>
    </row>
    <row r="2570" spans="1:1">
      <c r="A2570" s="14" t="str">
        <f t="shared" si="40"/>
        <v>01</v>
      </c>
    </row>
    <row r="2571" spans="1:1">
      <c r="A2571" s="14" t="str">
        <f t="shared" si="40"/>
        <v>01</v>
      </c>
    </row>
    <row r="2572" spans="1:1">
      <c r="A2572" s="14" t="str">
        <f t="shared" si="40"/>
        <v>01</v>
      </c>
    </row>
    <row r="2573" spans="1:1">
      <c r="A2573" s="14" t="str">
        <f t="shared" si="40"/>
        <v>01</v>
      </c>
    </row>
    <row r="2574" spans="1:1">
      <c r="A2574" s="14" t="str">
        <f t="shared" si="40"/>
        <v>01</v>
      </c>
    </row>
    <row r="2575" spans="1:1">
      <c r="A2575" s="14" t="str">
        <f t="shared" si="40"/>
        <v>01</v>
      </c>
    </row>
    <row r="2576" spans="1:1">
      <c r="A2576" s="14" t="str">
        <f t="shared" si="40"/>
        <v>01</v>
      </c>
    </row>
    <row r="2577" spans="1:1">
      <c r="A2577" s="14" t="str">
        <f t="shared" si="40"/>
        <v>01</v>
      </c>
    </row>
    <row r="2578" spans="1:1">
      <c r="A2578" s="14" t="str">
        <f t="shared" si="40"/>
        <v>01</v>
      </c>
    </row>
    <row r="2579" spans="1:1">
      <c r="A2579" s="14" t="str">
        <f t="shared" si="40"/>
        <v>01</v>
      </c>
    </row>
    <row r="2580" spans="1:1">
      <c r="A2580" s="14" t="str">
        <f t="shared" si="40"/>
        <v>01</v>
      </c>
    </row>
    <row r="2581" spans="1:1">
      <c r="A2581" s="14" t="str">
        <f t="shared" si="40"/>
        <v>01</v>
      </c>
    </row>
    <row r="2582" spans="1:1">
      <c r="A2582" s="14" t="str">
        <f t="shared" si="40"/>
        <v>01</v>
      </c>
    </row>
    <row r="2583" spans="1:1">
      <c r="A2583" s="14" t="str">
        <f t="shared" si="40"/>
        <v>01</v>
      </c>
    </row>
    <row r="2584" spans="1:1">
      <c r="A2584" s="14" t="str">
        <f t="shared" si="40"/>
        <v>01</v>
      </c>
    </row>
    <row r="2585" spans="1:1">
      <c r="A2585" s="14" t="str">
        <f t="shared" si="40"/>
        <v>01</v>
      </c>
    </row>
    <row r="2586" spans="1:1">
      <c r="A2586" s="14" t="str">
        <f t="shared" si="40"/>
        <v>01</v>
      </c>
    </row>
    <row r="2587" spans="1:1">
      <c r="A2587" s="14" t="str">
        <f t="shared" si="40"/>
        <v>01</v>
      </c>
    </row>
    <row r="2588" spans="1:1">
      <c r="A2588" s="14" t="str">
        <f t="shared" si="40"/>
        <v>01</v>
      </c>
    </row>
    <row r="2589" spans="1:1">
      <c r="A2589" s="14" t="str">
        <f t="shared" si="40"/>
        <v>01</v>
      </c>
    </row>
    <row r="2590" spans="1:1">
      <c r="A2590" s="14" t="str">
        <f t="shared" si="40"/>
        <v>01</v>
      </c>
    </row>
    <row r="2591" spans="1:1">
      <c r="A2591" s="14" t="str">
        <f t="shared" si="40"/>
        <v>01</v>
      </c>
    </row>
    <row r="2592" spans="1:1">
      <c r="A2592" s="14" t="str">
        <f t="shared" si="40"/>
        <v>01</v>
      </c>
    </row>
    <row r="2593" spans="1:1">
      <c r="A2593" s="14" t="str">
        <f t="shared" si="40"/>
        <v>01</v>
      </c>
    </row>
    <row r="2594" spans="1:1">
      <c r="A2594" s="14" t="str">
        <f t="shared" si="40"/>
        <v>01</v>
      </c>
    </row>
    <row r="2595" spans="1:1">
      <c r="A2595" s="14" t="str">
        <f t="shared" si="40"/>
        <v>01</v>
      </c>
    </row>
    <row r="2596" spans="1:1">
      <c r="A2596" s="14" t="str">
        <f t="shared" si="40"/>
        <v>01</v>
      </c>
    </row>
    <row r="2597" spans="1:1">
      <c r="A2597" s="14" t="str">
        <f t="shared" si="40"/>
        <v>01</v>
      </c>
    </row>
    <row r="2598" spans="1:1">
      <c r="A2598" s="14" t="str">
        <f t="shared" si="40"/>
        <v>01</v>
      </c>
    </row>
    <row r="2599" spans="1:1">
      <c r="A2599" s="14" t="str">
        <f t="shared" si="40"/>
        <v>01</v>
      </c>
    </row>
    <row r="2600" spans="1:1">
      <c r="A2600" s="14" t="str">
        <f t="shared" si="40"/>
        <v>01</v>
      </c>
    </row>
    <row r="2601" spans="1:1">
      <c r="A2601" s="14" t="str">
        <f t="shared" si="40"/>
        <v>01</v>
      </c>
    </row>
    <row r="2602" spans="1:1">
      <c r="A2602" s="14" t="str">
        <f t="shared" si="40"/>
        <v>01</v>
      </c>
    </row>
    <row r="2603" spans="1:1">
      <c r="A2603" s="14" t="str">
        <f t="shared" si="40"/>
        <v>01</v>
      </c>
    </row>
    <row r="2604" spans="1:1">
      <c r="A2604" s="14" t="str">
        <f t="shared" si="40"/>
        <v>01</v>
      </c>
    </row>
    <row r="2605" spans="1:1">
      <c r="A2605" s="14" t="str">
        <f t="shared" si="40"/>
        <v>01</v>
      </c>
    </row>
    <row r="2606" spans="1:1">
      <c r="A2606" s="14" t="str">
        <f t="shared" si="40"/>
        <v>01</v>
      </c>
    </row>
    <row r="2607" spans="1:1">
      <c r="A2607" s="14" t="str">
        <f t="shared" si="40"/>
        <v>01</v>
      </c>
    </row>
    <row r="2608" spans="1:1">
      <c r="A2608" s="14" t="str">
        <f t="shared" si="40"/>
        <v>01</v>
      </c>
    </row>
    <row r="2609" spans="1:1">
      <c r="A2609" s="14" t="str">
        <f t="shared" si="40"/>
        <v>01</v>
      </c>
    </row>
    <row r="2610" spans="1:1">
      <c r="A2610" s="14" t="str">
        <f t="shared" si="40"/>
        <v>01</v>
      </c>
    </row>
    <row r="2611" spans="1:1">
      <c r="A2611" s="14" t="str">
        <f t="shared" si="40"/>
        <v>01</v>
      </c>
    </row>
    <row r="2612" spans="1:1">
      <c r="A2612" s="14" t="str">
        <f t="shared" si="40"/>
        <v>01</v>
      </c>
    </row>
    <row r="2613" spans="1:1">
      <c r="A2613" s="14" t="str">
        <f t="shared" si="40"/>
        <v>01</v>
      </c>
    </row>
    <row r="2614" spans="1:1">
      <c r="A2614" s="14" t="str">
        <f t="shared" si="40"/>
        <v>01</v>
      </c>
    </row>
    <row r="2615" spans="1:1">
      <c r="A2615" s="14" t="str">
        <f t="shared" si="40"/>
        <v>01</v>
      </c>
    </row>
    <row r="2616" spans="1:1">
      <c r="A2616" s="14" t="str">
        <f t="shared" si="40"/>
        <v>01</v>
      </c>
    </row>
    <row r="2617" spans="1:1">
      <c r="A2617" s="14" t="str">
        <f t="shared" si="40"/>
        <v>01</v>
      </c>
    </row>
    <row r="2618" spans="1:1">
      <c r="A2618" s="14" t="str">
        <f t="shared" si="40"/>
        <v>01</v>
      </c>
    </row>
    <row r="2619" spans="1:1">
      <c r="A2619" s="14" t="str">
        <f t="shared" si="40"/>
        <v>01</v>
      </c>
    </row>
    <row r="2620" spans="1:1">
      <c r="A2620" s="14" t="str">
        <f t="shared" si="40"/>
        <v>01</v>
      </c>
    </row>
    <row r="2621" spans="1:1">
      <c r="A2621" s="14" t="str">
        <f t="shared" si="40"/>
        <v>01</v>
      </c>
    </row>
    <row r="2622" spans="1:1">
      <c r="A2622" s="14" t="str">
        <f t="shared" si="40"/>
        <v>01</v>
      </c>
    </row>
    <row r="2623" spans="1:1">
      <c r="A2623" s="14" t="str">
        <f t="shared" si="40"/>
        <v>01</v>
      </c>
    </row>
    <row r="2624" spans="1:1">
      <c r="A2624" s="14" t="str">
        <f t="shared" si="40"/>
        <v>01</v>
      </c>
    </row>
    <row r="2625" spans="1:1">
      <c r="A2625" s="14" t="str">
        <f t="shared" si="40"/>
        <v>01</v>
      </c>
    </row>
    <row r="2626" spans="1:1">
      <c r="A2626" s="14" t="str">
        <f t="shared" si="40"/>
        <v>01</v>
      </c>
    </row>
    <row r="2627" spans="1:1">
      <c r="A2627" s="14" t="str">
        <f t="shared" ref="A2627:A2690" si="41">TEXT(L2627,"MM")</f>
        <v>01</v>
      </c>
    </row>
    <row r="2628" spans="1:1">
      <c r="A2628" s="14" t="str">
        <f t="shared" si="41"/>
        <v>01</v>
      </c>
    </row>
    <row r="2629" spans="1:1">
      <c r="A2629" s="14" t="str">
        <f t="shared" si="41"/>
        <v>01</v>
      </c>
    </row>
    <row r="2630" spans="1:1">
      <c r="A2630" s="14" t="str">
        <f t="shared" si="41"/>
        <v>01</v>
      </c>
    </row>
    <row r="2631" spans="1:1">
      <c r="A2631" s="14" t="str">
        <f t="shared" si="41"/>
        <v>01</v>
      </c>
    </row>
    <row r="2632" spans="1:1">
      <c r="A2632" s="14" t="str">
        <f t="shared" si="41"/>
        <v>01</v>
      </c>
    </row>
    <row r="2633" spans="1:1">
      <c r="A2633" s="14" t="str">
        <f t="shared" si="41"/>
        <v>01</v>
      </c>
    </row>
    <row r="2634" spans="1:1">
      <c r="A2634" s="14" t="str">
        <f t="shared" si="41"/>
        <v>01</v>
      </c>
    </row>
    <row r="2635" spans="1:1">
      <c r="A2635" s="14" t="str">
        <f t="shared" si="41"/>
        <v>01</v>
      </c>
    </row>
    <row r="2636" spans="1:1">
      <c r="A2636" s="14" t="str">
        <f t="shared" si="41"/>
        <v>01</v>
      </c>
    </row>
    <row r="2637" spans="1:1">
      <c r="A2637" s="14" t="str">
        <f t="shared" si="41"/>
        <v>01</v>
      </c>
    </row>
    <row r="2638" spans="1:1">
      <c r="A2638" s="14" t="str">
        <f t="shared" si="41"/>
        <v>01</v>
      </c>
    </row>
    <row r="2639" spans="1:1">
      <c r="A2639" s="14" t="str">
        <f t="shared" si="41"/>
        <v>01</v>
      </c>
    </row>
    <row r="2640" spans="1:1">
      <c r="A2640" s="14" t="str">
        <f t="shared" si="41"/>
        <v>01</v>
      </c>
    </row>
    <row r="2641" spans="1:1">
      <c r="A2641" s="14" t="str">
        <f t="shared" si="41"/>
        <v>01</v>
      </c>
    </row>
    <row r="2642" spans="1:1">
      <c r="A2642" s="14" t="str">
        <f t="shared" si="41"/>
        <v>01</v>
      </c>
    </row>
    <row r="2643" spans="1:1">
      <c r="A2643" s="14" t="str">
        <f t="shared" si="41"/>
        <v>01</v>
      </c>
    </row>
    <row r="2644" spans="1:1">
      <c r="A2644" s="14" t="str">
        <f t="shared" si="41"/>
        <v>01</v>
      </c>
    </row>
    <row r="2645" spans="1:1">
      <c r="A2645" s="14" t="str">
        <f t="shared" si="41"/>
        <v>01</v>
      </c>
    </row>
    <row r="2646" spans="1:1">
      <c r="A2646" s="14" t="str">
        <f t="shared" si="41"/>
        <v>01</v>
      </c>
    </row>
    <row r="2647" spans="1:1">
      <c r="A2647" s="14" t="str">
        <f t="shared" si="41"/>
        <v>01</v>
      </c>
    </row>
    <row r="2648" spans="1:1">
      <c r="A2648" s="14" t="str">
        <f t="shared" si="41"/>
        <v>01</v>
      </c>
    </row>
    <row r="2649" spans="1:1">
      <c r="A2649" s="14" t="str">
        <f t="shared" si="41"/>
        <v>01</v>
      </c>
    </row>
    <row r="2650" spans="1:1">
      <c r="A2650" s="14" t="str">
        <f t="shared" si="41"/>
        <v>01</v>
      </c>
    </row>
    <row r="2651" spans="1:1">
      <c r="A2651" s="14" t="str">
        <f t="shared" si="41"/>
        <v>01</v>
      </c>
    </row>
    <row r="2652" spans="1:1">
      <c r="A2652" s="14" t="str">
        <f t="shared" si="41"/>
        <v>01</v>
      </c>
    </row>
    <row r="2653" spans="1:1">
      <c r="A2653" s="14" t="str">
        <f t="shared" si="41"/>
        <v>01</v>
      </c>
    </row>
    <row r="2654" spans="1:1">
      <c r="A2654" s="14" t="str">
        <f t="shared" si="41"/>
        <v>01</v>
      </c>
    </row>
    <row r="2655" spans="1:1">
      <c r="A2655" s="14" t="str">
        <f t="shared" si="41"/>
        <v>01</v>
      </c>
    </row>
    <row r="2656" spans="1:1">
      <c r="A2656" s="14" t="str">
        <f t="shared" si="41"/>
        <v>01</v>
      </c>
    </row>
    <row r="2657" spans="1:1">
      <c r="A2657" s="14" t="str">
        <f t="shared" si="41"/>
        <v>01</v>
      </c>
    </row>
    <row r="2658" spans="1:1">
      <c r="A2658" s="14" t="str">
        <f t="shared" si="41"/>
        <v>01</v>
      </c>
    </row>
    <row r="2659" spans="1:1">
      <c r="A2659" s="14" t="str">
        <f t="shared" si="41"/>
        <v>01</v>
      </c>
    </row>
    <row r="2660" spans="1:1">
      <c r="A2660" s="14" t="str">
        <f t="shared" si="41"/>
        <v>01</v>
      </c>
    </row>
    <row r="2661" spans="1:1">
      <c r="A2661" s="14" t="str">
        <f t="shared" si="41"/>
        <v>01</v>
      </c>
    </row>
    <row r="2662" spans="1:1">
      <c r="A2662" s="14" t="str">
        <f t="shared" si="41"/>
        <v>01</v>
      </c>
    </row>
    <row r="2663" spans="1:1">
      <c r="A2663" s="14" t="str">
        <f t="shared" si="41"/>
        <v>01</v>
      </c>
    </row>
    <row r="2664" spans="1:1">
      <c r="A2664" s="14" t="str">
        <f t="shared" si="41"/>
        <v>01</v>
      </c>
    </row>
    <row r="2665" spans="1:1">
      <c r="A2665" s="14" t="str">
        <f t="shared" si="41"/>
        <v>01</v>
      </c>
    </row>
    <row r="2666" spans="1:1">
      <c r="A2666" s="14" t="str">
        <f t="shared" si="41"/>
        <v>01</v>
      </c>
    </row>
    <row r="2667" spans="1:1">
      <c r="A2667" s="14" t="str">
        <f t="shared" si="41"/>
        <v>01</v>
      </c>
    </row>
    <row r="2668" spans="1:1">
      <c r="A2668" s="14" t="str">
        <f t="shared" si="41"/>
        <v>01</v>
      </c>
    </row>
    <row r="2669" spans="1:1">
      <c r="A2669" s="14" t="str">
        <f t="shared" si="41"/>
        <v>01</v>
      </c>
    </row>
    <row r="2670" spans="1:1">
      <c r="A2670" s="14" t="str">
        <f t="shared" si="41"/>
        <v>01</v>
      </c>
    </row>
    <row r="2671" spans="1:1">
      <c r="A2671" s="14" t="str">
        <f t="shared" si="41"/>
        <v>01</v>
      </c>
    </row>
    <row r="2672" spans="1:1">
      <c r="A2672" s="14" t="str">
        <f t="shared" si="41"/>
        <v>01</v>
      </c>
    </row>
    <row r="2673" spans="1:1">
      <c r="A2673" s="14" t="str">
        <f t="shared" si="41"/>
        <v>01</v>
      </c>
    </row>
    <row r="2674" spans="1:1">
      <c r="A2674" s="14" t="str">
        <f t="shared" si="41"/>
        <v>01</v>
      </c>
    </row>
    <row r="2675" spans="1:1">
      <c r="A2675" s="14" t="str">
        <f t="shared" si="41"/>
        <v>01</v>
      </c>
    </row>
    <row r="2676" spans="1:1">
      <c r="A2676" s="14" t="str">
        <f t="shared" si="41"/>
        <v>01</v>
      </c>
    </row>
    <row r="2677" spans="1:1">
      <c r="A2677" s="14" t="str">
        <f t="shared" si="41"/>
        <v>01</v>
      </c>
    </row>
    <row r="2678" spans="1:1">
      <c r="A2678" s="14" t="str">
        <f t="shared" si="41"/>
        <v>01</v>
      </c>
    </row>
    <row r="2679" spans="1:1">
      <c r="A2679" s="14" t="str">
        <f t="shared" si="41"/>
        <v>01</v>
      </c>
    </row>
    <row r="2680" spans="1:1">
      <c r="A2680" s="14" t="str">
        <f t="shared" si="41"/>
        <v>01</v>
      </c>
    </row>
    <row r="2681" spans="1:1">
      <c r="A2681" s="14" t="str">
        <f t="shared" si="41"/>
        <v>01</v>
      </c>
    </row>
    <row r="2682" spans="1:1">
      <c r="A2682" s="14" t="str">
        <f t="shared" si="41"/>
        <v>01</v>
      </c>
    </row>
    <row r="2683" spans="1:1">
      <c r="A2683" s="14" t="str">
        <f t="shared" si="41"/>
        <v>01</v>
      </c>
    </row>
    <row r="2684" spans="1:1">
      <c r="A2684" s="14" t="str">
        <f t="shared" si="41"/>
        <v>01</v>
      </c>
    </row>
    <row r="2685" spans="1:1">
      <c r="A2685" s="14" t="str">
        <f t="shared" si="41"/>
        <v>01</v>
      </c>
    </row>
    <row r="2686" spans="1:1">
      <c r="A2686" s="14" t="str">
        <f t="shared" si="41"/>
        <v>01</v>
      </c>
    </row>
    <row r="2687" spans="1:1">
      <c r="A2687" s="14" t="str">
        <f t="shared" si="41"/>
        <v>01</v>
      </c>
    </row>
    <row r="2688" spans="1:1">
      <c r="A2688" s="14" t="str">
        <f t="shared" si="41"/>
        <v>01</v>
      </c>
    </row>
    <row r="2689" spans="1:1">
      <c r="A2689" s="14" t="str">
        <f t="shared" si="41"/>
        <v>01</v>
      </c>
    </row>
    <row r="2690" spans="1:1">
      <c r="A2690" s="14" t="str">
        <f t="shared" si="41"/>
        <v>01</v>
      </c>
    </row>
    <row r="2691" spans="1:1">
      <c r="A2691" s="14" t="str">
        <f t="shared" ref="A2691:A2754" si="42">TEXT(L2691,"MM")</f>
        <v>01</v>
      </c>
    </row>
    <row r="2692" spans="1:1">
      <c r="A2692" s="14" t="str">
        <f t="shared" si="42"/>
        <v>01</v>
      </c>
    </row>
    <row r="2693" spans="1:1">
      <c r="A2693" s="14" t="str">
        <f t="shared" si="42"/>
        <v>01</v>
      </c>
    </row>
    <row r="2694" spans="1:1">
      <c r="A2694" s="14" t="str">
        <f t="shared" si="42"/>
        <v>01</v>
      </c>
    </row>
    <row r="2695" spans="1:1">
      <c r="A2695" s="14" t="str">
        <f t="shared" si="42"/>
        <v>01</v>
      </c>
    </row>
    <row r="2696" spans="1:1">
      <c r="A2696" s="14" t="str">
        <f t="shared" si="42"/>
        <v>01</v>
      </c>
    </row>
    <row r="2697" spans="1:1">
      <c r="A2697" s="14" t="str">
        <f t="shared" si="42"/>
        <v>01</v>
      </c>
    </row>
    <row r="2698" spans="1:1">
      <c r="A2698" s="14" t="str">
        <f t="shared" si="42"/>
        <v>01</v>
      </c>
    </row>
    <row r="2699" spans="1:1">
      <c r="A2699" s="14" t="str">
        <f t="shared" si="42"/>
        <v>01</v>
      </c>
    </row>
    <row r="2700" spans="1:1">
      <c r="A2700" s="14" t="str">
        <f t="shared" si="42"/>
        <v>01</v>
      </c>
    </row>
    <row r="2701" spans="1:1">
      <c r="A2701" s="14" t="str">
        <f t="shared" si="42"/>
        <v>01</v>
      </c>
    </row>
    <row r="2702" spans="1:1">
      <c r="A2702" s="14" t="str">
        <f t="shared" si="42"/>
        <v>01</v>
      </c>
    </row>
    <row r="2703" spans="1:1">
      <c r="A2703" s="14" t="str">
        <f t="shared" si="42"/>
        <v>01</v>
      </c>
    </row>
    <row r="2704" spans="1:1">
      <c r="A2704" s="14" t="str">
        <f t="shared" si="42"/>
        <v>01</v>
      </c>
    </row>
    <row r="2705" spans="1:1">
      <c r="A2705" s="14" t="str">
        <f t="shared" si="42"/>
        <v>01</v>
      </c>
    </row>
    <row r="2706" spans="1:1">
      <c r="A2706" s="14" t="str">
        <f t="shared" si="42"/>
        <v>01</v>
      </c>
    </row>
    <row r="2707" spans="1:1">
      <c r="A2707" s="14" t="str">
        <f t="shared" si="42"/>
        <v>01</v>
      </c>
    </row>
    <row r="2708" spans="1:1">
      <c r="A2708" s="14" t="str">
        <f t="shared" si="42"/>
        <v>01</v>
      </c>
    </row>
    <row r="2709" spans="1:1">
      <c r="A2709" s="14" t="str">
        <f t="shared" si="42"/>
        <v>01</v>
      </c>
    </row>
    <row r="2710" spans="1:1">
      <c r="A2710" s="14" t="str">
        <f t="shared" si="42"/>
        <v>01</v>
      </c>
    </row>
    <row r="2711" spans="1:1">
      <c r="A2711" s="14" t="str">
        <f t="shared" si="42"/>
        <v>01</v>
      </c>
    </row>
    <row r="2712" spans="1:1">
      <c r="A2712" s="14" t="str">
        <f t="shared" si="42"/>
        <v>01</v>
      </c>
    </row>
    <row r="2713" spans="1:1">
      <c r="A2713" s="14" t="str">
        <f t="shared" si="42"/>
        <v>01</v>
      </c>
    </row>
    <row r="2714" spans="1:1">
      <c r="A2714" s="14" t="str">
        <f t="shared" si="42"/>
        <v>01</v>
      </c>
    </row>
    <row r="2715" spans="1:1">
      <c r="A2715" s="14" t="str">
        <f t="shared" si="42"/>
        <v>01</v>
      </c>
    </row>
    <row r="2716" spans="1:1">
      <c r="A2716" s="14" t="str">
        <f t="shared" si="42"/>
        <v>01</v>
      </c>
    </row>
    <row r="2717" spans="1:1">
      <c r="A2717" s="14" t="str">
        <f t="shared" si="42"/>
        <v>01</v>
      </c>
    </row>
    <row r="2718" spans="1:1">
      <c r="A2718" s="14" t="str">
        <f t="shared" si="42"/>
        <v>01</v>
      </c>
    </row>
    <row r="2719" spans="1:1">
      <c r="A2719" s="14" t="str">
        <f t="shared" si="42"/>
        <v>01</v>
      </c>
    </row>
    <row r="2720" spans="1:1">
      <c r="A2720" s="14" t="str">
        <f t="shared" si="42"/>
        <v>01</v>
      </c>
    </row>
    <row r="2721" spans="1:1">
      <c r="A2721" s="14" t="str">
        <f t="shared" si="42"/>
        <v>01</v>
      </c>
    </row>
    <row r="2722" spans="1:1">
      <c r="A2722" s="14" t="str">
        <f t="shared" si="42"/>
        <v>01</v>
      </c>
    </row>
    <row r="2723" spans="1:1">
      <c r="A2723" s="14" t="str">
        <f t="shared" si="42"/>
        <v>01</v>
      </c>
    </row>
    <row r="2724" spans="1:1">
      <c r="A2724" s="14" t="str">
        <f t="shared" si="42"/>
        <v>01</v>
      </c>
    </row>
    <row r="2725" spans="1:1">
      <c r="A2725" s="14" t="str">
        <f t="shared" si="42"/>
        <v>01</v>
      </c>
    </row>
    <row r="2726" spans="1:1">
      <c r="A2726" s="14" t="str">
        <f t="shared" si="42"/>
        <v>01</v>
      </c>
    </row>
    <row r="2727" spans="1:1">
      <c r="A2727" s="14" t="str">
        <f t="shared" si="42"/>
        <v>01</v>
      </c>
    </row>
    <row r="2728" spans="1:1">
      <c r="A2728" s="14" t="str">
        <f t="shared" si="42"/>
        <v>01</v>
      </c>
    </row>
    <row r="2729" spans="1:1">
      <c r="A2729" s="14" t="str">
        <f t="shared" si="42"/>
        <v>01</v>
      </c>
    </row>
    <row r="2730" spans="1:1">
      <c r="A2730" s="14" t="str">
        <f t="shared" si="42"/>
        <v>01</v>
      </c>
    </row>
    <row r="2731" spans="1:1">
      <c r="A2731" s="14" t="str">
        <f t="shared" si="42"/>
        <v>01</v>
      </c>
    </row>
    <row r="2732" spans="1:1">
      <c r="A2732" s="14" t="str">
        <f t="shared" si="42"/>
        <v>01</v>
      </c>
    </row>
    <row r="2733" spans="1:1">
      <c r="A2733" s="14" t="str">
        <f t="shared" si="42"/>
        <v>01</v>
      </c>
    </row>
    <row r="2734" spans="1:1">
      <c r="A2734" s="14" t="str">
        <f t="shared" si="42"/>
        <v>01</v>
      </c>
    </row>
    <row r="2735" spans="1:1">
      <c r="A2735" s="14" t="str">
        <f t="shared" si="42"/>
        <v>01</v>
      </c>
    </row>
    <row r="2736" spans="1:1">
      <c r="A2736" s="14" t="str">
        <f t="shared" si="42"/>
        <v>01</v>
      </c>
    </row>
    <row r="2737" spans="1:1">
      <c r="A2737" s="14" t="str">
        <f t="shared" si="42"/>
        <v>01</v>
      </c>
    </row>
    <row r="2738" spans="1:1">
      <c r="A2738" s="14" t="str">
        <f t="shared" si="42"/>
        <v>01</v>
      </c>
    </row>
    <row r="2739" spans="1:1">
      <c r="A2739" s="14" t="str">
        <f t="shared" si="42"/>
        <v>01</v>
      </c>
    </row>
    <row r="2740" spans="1:1">
      <c r="A2740" s="14" t="str">
        <f t="shared" si="42"/>
        <v>01</v>
      </c>
    </row>
    <row r="2741" spans="1:1">
      <c r="A2741" s="14" t="str">
        <f t="shared" si="42"/>
        <v>01</v>
      </c>
    </row>
    <row r="2742" spans="1:1">
      <c r="A2742" s="14" t="str">
        <f t="shared" si="42"/>
        <v>01</v>
      </c>
    </row>
    <row r="2743" spans="1:1">
      <c r="A2743" s="14" t="str">
        <f t="shared" si="42"/>
        <v>01</v>
      </c>
    </row>
    <row r="2744" spans="1:1">
      <c r="A2744" s="14" t="str">
        <f t="shared" si="42"/>
        <v>01</v>
      </c>
    </row>
    <row r="2745" spans="1:1">
      <c r="A2745" s="14" t="str">
        <f t="shared" si="42"/>
        <v>01</v>
      </c>
    </row>
    <row r="2746" spans="1:1">
      <c r="A2746" s="14" t="str">
        <f t="shared" si="42"/>
        <v>01</v>
      </c>
    </row>
    <row r="2747" spans="1:1">
      <c r="A2747" s="14" t="str">
        <f t="shared" si="42"/>
        <v>01</v>
      </c>
    </row>
    <row r="2748" spans="1:1">
      <c r="A2748" s="14" t="str">
        <f t="shared" si="42"/>
        <v>01</v>
      </c>
    </row>
    <row r="2749" spans="1:1">
      <c r="A2749" s="14" t="str">
        <f t="shared" si="42"/>
        <v>01</v>
      </c>
    </row>
    <row r="2750" spans="1:1">
      <c r="A2750" s="14" t="str">
        <f t="shared" si="42"/>
        <v>01</v>
      </c>
    </row>
    <row r="2751" spans="1:1">
      <c r="A2751" s="14" t="str">
        <f t="shared" si="42"/>
        <v>01</v>
      </c>
    </row>
    <row r="2752" spans="1:1">
      <c r="A2752" s="14" t="str">
        <f t="shared" si="42"/>
        <v>01</v>
      </c>
    </row>
    <row r="2753" spans="1:1">
      <c r="A2753" s="14" t="str">
        <f t="shared" si="42"/>
        <v>01</v>
      </c>
    </row>
    <row r="2754" spans="1:1">
      <c r="A2754" s="14" t="str">
        <f t="shared" si="42"/>
        <v>01</v>
      </c>
    </row>
    <row r="2755" spans="1:1">
      <c r="A2755" s="14" t="str">
        <f t="shared" ref="A2755:A2818" si="43">TEXT(L2755,"MM")</f>
        <v>01</v>
      </c>
    </row>
    <row r="2756" spans="1:1">
      <c r="A2756" s="14" t="str">
        <f t="shared" si="43"/>
        <v>01</v>
      </c>
    </row>
    <row r="2757" spans="1:1">
      <c r="A2757" s="14" t="str">
        <f t="shared" si="43"/>
        <v>01</v>
      </c>
    </row>
    <row r="2758" spans="1:1">
      <c r="A2758" s="14" t="str">
        <f t="shared" si="43"/>
        <v>01</v>
      </c>
    </row>
    <row r="2759" spans="1:1">
      <c r="A2759" s="14" t="str">
        <f t="shared" si="43"/>
        <v>01</v>
      </c>
    </row>
    <row r="2760" spans="1:1">
      <c r="A2760" s="14" t="str">
        <f t="shared" si="43"/>
        <v>01</v>
      </c>
    </row>
    <row r="2761" spans="1:1">
      <c r="A2761" s="14" t="str">
        <f t="shared" si="43"/>
        <v>01</v>
      </c>
    </row>
    <row r="2762" spans="1:1">
      <c r="A2762" s="14" t="str">
        <f t="shared" si="43"/>
        <v>01</v>
      </c>
    </row>
    <row r="2763" spans="1:1">
      <c r="A2763" s="14" t="str">
        <f t="shared" si="43"/>
        <v>01</v>
      </c>
    </row>
    <row r="2764" spans="1:1">
      <c r="A2764" s="14" t="str">
        <f t="shared" si="43"/>
        <v>01</v>
      </c>
    </row>
    <row r="2765" spans="1:1">
      <c r="A2765" s="14" t="str">
        <f t="shared" si="43"/>
        <v>01</v>
      </c>
    </row>
    <row r="2766" spans="1:1">
      <c r="A2766" s="14" t="str">
        <f t="shared" si="43"/>
        <v>01</v>
      </c>
    </row>
    <row r="2767" spans="1:1">
      <c r="A2767" s="14" t="str">
        <f t="shared" si="43"/>
        <v>01</v>
      </c>
    </row>
    <row r="2768" spans="1:1">
      <c r="A2768" s="14" t="str">
        <f t="shared" si="43"/>
        <v>01</v>
      </c>
    </row>
    <row r="2769" spans="1:1">
      <c r="A2769" s="14" t="str">
        <f t="shared" si="43"/>
        <v>01</v>
      </c>
    </row>
    <row r="2770" spans="1:1">
      <c r="A2770" s="14" t="str">
        <f t="shared" si="43"/>
        <v>01</v>
      </c>
    </row>
    <row r="2771" spans="1:1">
      <c r="A2771" s="14" t="str">
        <f t="shared" si="43"/>
        <v>01</v>
      </c>
    </row>
    <row r="2772" spans="1:1">
      <c r="A2772" s="14" t="str">
        <f t="shared" si="43"/>
        <v>01</v>
      </c>
    </row>
    <row r="2773" spans="1:1">
      <c r="A2773" s="14" t="str">
        <f t="shared" si="43"/>
        <v>01</v>
      </c>
    </row>
    <row r="2774" spans="1:1">
      <c r="A2774" s="14" t="str">
        <f t="shared" si="43"/>
        <v>01</v>
      </c>
    </row>
    <row r="2775" spans="1:1">
      <c r="A2775" s="14" t="str">
        <f t="shared" si="43"/>
        <v>01</v>
      </c>
    </row>
    <row r="2776" spans="1:1">
      <c r="A2776" s="14" t="str">
        <f t="shared" si="43"/>
        <v>01</v>
      </c>
    </row>
    <row r="2777" spans="1:1">
      <c r="A2777" s="14" t="str">
        <f t="shared" si="43"/>
        <v>01</v>
      </c>
    </row>
    <row r="2778" spans="1:1">
      <c r="A2778" s="14" t="str">
        <f t="shared" si="43"/>
        <v>01</v>
      </c>
    </row>
    <row r="2779" spans="1:1">
      <c r="A2779" s="14" t="str">
        <f t="shared" si="43"/>
        <v>01</v>
      </c>
    </row>
    <row r="2780" spans="1:1">
      <c r="A2780" s="14" t="str">
        <f t="shared" si="43"/>
        <v>01</v>
      </c>
    </row>
    <row r="2781" spans="1:1">
      <c r="A2781" s="14" t="str">
        <f t="shared" si="43"/>
        <v>01</v>
      </c>
    </row>
    <row r="2782" spans="1:1">
      <c r="A2782" s="14" t="str">
        <f t="shared" si="43"/>
        <v>01</v>
      </c>
    </row>
    <row r="2783" spans="1:1">
      <c r="A2783" s="14" t="str">
        <f t="shared" si="43"/>
        <v>01</v>
      </c>
    </row>
    <row r="2784" spans="1:1">
      <c r="A2784" s="14" t="str">
        <f t="shared" si="43"/>
        <v>01</v>
      </c>
    </row>
    <row r="2785" spans="1:1">
      <c r="A2785" s="14" t="str">
        <f t="shared" si="43"/>
        <v>01</v>
      </c>
    </row>
    <row r="2786" spans="1:1">
      <c r="A2786" s="14" t="str">
        <f t="shared" si="43"/>
        <v>01</v>
      </c>
    </row>
    <row r="2787" spans="1:1">
      <c r="A2787" s="14" t="str">
        <f t="shared" si="43"/>
        <v>01</v>
      </c>
    </row>
    <row r="2788" spans="1:1">
      <c r="A2788" s="14" t="str">
        <f t="shared" si="43"/>
        <v>01</v>
      </c>
    </row>
    <row r="2789" spans="1:1">
      <c r="A2789" s="14" t="str">
        <f t="shared" si="43"/>
        <v>01</v>
      </c>
    </row>
    <row r="2790" spans="1:1">
      <c r="A2790" s="14" t="str">
        <f t="shared" si="43"/>
        <v>01</v>
      </c>
    </row>
    <row r="2791" spans="1:1">
      <c r="A2791" s="14" t="str">
        <f t="shared" si="43"/>
        <v>01</v>
      </c>
    </row>
    <row r="2792" spans="1:1">
      <c r="A2792" s="14" t="str">
        <f t="shared" si="43"/>
        <v>01</v>
      </c>
    </row>
    <row r="2793" spans="1:1">
      <c r="A2793" s="14" t="str">
        <f t="shared" si="43"/>
        <v>01</v>
      </c>
    </row>
    <row r="2794" spans="1:1">
      <c r="A2794" s="14" t="str">
        <f t="shared" si="43"/>
        <v>01</v>
      </c>
    </row>
    <row r="2795" spans="1:1">
      <c r="A2795" s="14" t="str">
        <f t="shared" si="43"/>
        <v>01</v>
      </c>
    </row>
    <row r="2796" spans="1:1">
      <c r="A2796" s="14" t="str">
        <f t="shared" si="43"/>
        <v>01</v>
      </c>
    </row>
    <row r="2797" spans="1:1">
      <c r="A2797" s="14" t="str">
        <f t="shared" si="43"/>
        <v>01</v>
      </c>
    </row>
    <row r="2798" spans="1:1">
      <c r="A2798" s="14" t="str">
        <f t="shared" si="43"/>
        <v>01</v>
      </c>
    </row>
    <row r="2799" spans="1:1">
      <c r="A2799" s="14" t="str">
        <f t="shared" si="43"/>
        <v>01</v>
      </c>
    </row>
    <row r="2800" spans="1:1">
      <c r="A2800" s="14" t="str">
        <f t="shared" si="43"/>
        <v>01</v>
      </c>
    </row>
    <row r="2801" spans="1:1">
      <c r="A2801" s="14" t="str">
        <f t="shared" si="43"/>
        <v>01</v>
      </c>
    </row>
    <row r="2802" spans="1:1">
      <c r="A2802" s="14" t="str">
        <f t="shared" si="43"/>
        <v>01</v>
      </c>
    </row>
    <row r="2803" spans="1:1">
      <c r="A2803" s="14" t="str">
        <f t="shared" si="43"/>
        <v>01</v>
      </c>
    </row>
    <row r="2804" spans="1:1">
      <c r="A2804" s="14" t="str">
        <f t="shared" si="43"/>
        <v>01</v>
      </c>
    </row>
    <row r="2805" spans="1:1">
      <c r="A2805" s="14" t="str">
        <f t="shared" si="43"/>
        <v>01</v>
      </c>
    </row>
    <row r="2806" spans="1:1">
      <c r="A2806" s="14" t="str">
        <f t="shared" si="43"/>
        <v>01</v>
      </c>
    </row>
    <row r="2807" spans="1:1">
      <c r="A2807" s="14" t="str">
        <f t="shared" si="43"/>
        <v>01</v>
      </c>
    </row>
    <row r="2808" spans="1:1">
      <c r="A2808" s="14" t="str">
        <f t="shared" si="43"/>
        <v>01</v>
      </c>
    </row>
    <row r="2809" spans="1:1">
      <c r="A2809" s="14" t="str">
        <f t="shared" si="43"/>
        <v>01</v>
      </c>
    </row>
    <row r="2810" spans="1:1">
      <c r="A2810" s="14" t="str">
        <f t="shared" si="43"/>
        <v>01</v>
      </c>
    </row>
    <row r="2811" spans="1:1">
      <c r="A2811" s="14" t="str">
        <f t="shared" si="43"/>
        <v>01</v>
      </c>
    </row>
    <row r="2812" spans="1:1">
      <c r="A2812" s="14" t="str">
        <f t="shared" si="43"/>
        <v>01</v>
      </c>
    </row>
    <row r="2813" spans="1:1">
      <c r="A2813" s="14" t="str">
        <f t="shared" si="43"/>
        <v>01</v>
      </c>
    </row>
    <row r="2814" spans="1:1">
      <c r="A2814" s="14" t="str">
        <f t="shared" si="43"/>
        <v>01</v>
      </c>
    </row>
    <row r="2815" spans="1:1">
      <c r="A2815" s="14" t="str">
        <f t="shared" si="43"/>
        <v>01</v>
      </c>
    </row>
    <row r="2816" spans="1:1">
      <c r="A2816" s="14" t="str">
        <f t="shared" si="43"/>
        <v>01</v>
      </c>
    </row>
    <row r="2817" spans="1:1">
      <c r="A2817" s="14" t="str">
        <f t="shared" si="43"/>
        <v>01</v>
      </c>
    </row>
    <row r="2818" spans="1:1">
      <c r="A2818" s="14" t="str">
        <f t="shared" si="43"/>
        <v>01</v>
      </c>
    </row>
    <row r="2819" spans="1:1">
      <c r="A2819" s="14" t="str">
        <f t="shared" ref="A2819:A2882" si="44">TEXT(L2819,"MM")</f>
        <v>01</v>
      </c>
    </row>
    <row r="2820" spans="1:1">
      <c r="A2820" s="14" t="str">
        <f t="shared" si="44"/>
        <v>01</v>
      </c>
    </row>
    <row r="2821" spans="1:1">
      <c r="A2821" s="14" t="str">
        <f t="shared" si="44"/>
        <v>01</v>
      </c>
    </row>
    <row r="2822" spans="1:1">
      <c r="A2822" s="14" t="str">
        <f t="shared" si="44"/>
        <v>01</v>
      </c>
    </row>
    <row r="2823" spans="1:1">
      <c r="A2823" s="14" t="str">
        <f t="shared" si="44"/>
        <v>01</v>
      </c>
    </row>
    <row r="2824" spans="1:1">
      <c r="A2824" s="14" t="str">
        <f t="shared" si="44"/>
        <v>01</v>
      </c>
    </row>
    <row r="2825" spans="1:1">
      <c r="A2825" s="14" t="str">
        <f t="shared" si="44"/>
        <v>01</v>
      </c>
    </row>
    <row r="2826" spans="1:1">
      <c r="A2826" s="14" t="str">
        <f t="shared" si="44"/>
        <v>01</v>
      </c>
    </row>
    <row r="2827" spans="1:1">
      <c r="A2827" s="14" t="str">
        <f t="shared" si="44"/>
        <v>01</v>
      </c>
    </row>
    <row r="2828" spans="1:1">
      <c r="A2828" s="14" t="str">
        <f t="shared" si="44"/>
        <v>01</v>
      </c>
    </row>
    <row r="2829" spans="1:1">
      <c r="A2829" s="14" t="str">
        <f t="shared" si="44"/>
        <v>01</v>
      </c>
    </row>
    <row r="2830" spans="1:1">
      <c r="A2830" s="14" t="str">
        <f t="shared" si="44"/>
        <v>01</v>
      </c>
    </row>
    <row r="2831" spans="1:1">
      <c r="A2831" s="14" t="str">
        <f t="shared" si="44"/>
        <v>01</v>
      </c>
    </row>
    <row r="2832" spans="1:1">
      <c r="A2832" s="14" t="str">
        <f t="shared" si="44"/>
        <v>01</v>
      </c>
    </row>
    <row r="2833" spans="1:1">
      <c r="A2833" s="14" t="str">
        <f t="shared" si="44"/>
        <v>01</v>
      </c>
    </row>
    <row r="2834" spans="1:1">
      <c r="A2834" s="14" t="str">
        <f t="shared" si="44"/>
        <v>01</v>
      </c>
    </row>
    <row r="2835" spans="1:1">
      <c r="A2835" s="14" t="str">
        <f t="shared" si="44"/>
        <v>01</v>
      </c>
    </row>
    <row r="2836" spans="1:1">
      <c r="A2836" s="14" t="str">
        <f t="shared" si="44"/>
        <v>01</v>
      </c>
    </row>
    <row r="2837" spans="1:1">
      <c r="A2837" s="14" t="str">
        <f t="shared" si="44"/>
        <v>01</v>
      </c>
    </row>
    <row r="2838" spans="1:1">
      <c r="A2838" s="14" t="str">
        <f t="shared" si="44"/>
        <v>01</v>
      </c>
    </row>
    <row r="2839" spans="1:1">
      <c r="A2839" s="14" t="str">
        <f t="shared" si="44"/>
        <v>01</v>
      </c>
    </row>
    <row r="2840" spans="1:1">
      <c r="A2840" s="14" t="str">
        <f t="shared" si="44"/>
        <v>01</v>
      </c>
    </row>
    <row r="2841" spans="1:1">
      <c r="A2841" s="14" t="str">
        <f t="shared" si="44"/>
        <v>01</v>
      </c>
    </row>
    <row r="2842" spans="1:1">
      <c r="A2842" s="14" t="str">
        <f t="shared" si="44"/>
        <v>01</v>
      </c>
    </row>
    <row r="2843" spans="1:1">
      <c r="A2843" s="14" t="str">
        <f t="shared" si="44"/>
        <v>01</v>
      </c>
    </row>
    <row r="2844" spans="1:1">
      <c r="A2844" s="14" t="str">
        <f t="shared" si="44"/>
        <v>01</v>
      </c>
    </row>
    <row r="2845" spans="1:1">
      <c r="A2845" s="14" t="str">
        <f t="shared" si="44"/>
        <v>01</v>
      </c>
    </row>
    <row r="2846" spans="1:1">
      <c r="A2846" s="14" t="str">
        <f t="shared" si="44"/>
        <v>01</v>
      </c>
    </row>
    <row r="2847" spans="1:1">
      <c r="A2847" s="14" t="str">
        <f t="shared" si="44"/>
        <v>01</v>
      </c>
    </row>
    <row r="2848" spans="1:1">
      <c r="A2848" s="14" t="str">
        <f t="shared" si="44"/>
        <v>01</v>
      </c>
    </row>
    <row r="2849" spans="1:1">
      <c r="A2849" s="14" t="str">
        <f t="shared" si="44"/>
        <v>01</v>
      </c>
    </row>
    <row r="2850" spans="1:1">
      <c r="A2850" s="14" t="str">
        <f t="shared" si="44"/>
        <v>01</v>
      </c>
    </row>
    <row r="2851" spans="1:1">
      <c r="A2851" s="14" t="str">
        <f t="shared" si="44"/>
        <v>01</v>
      </c>
    </row>
    <row r="2852" spans="1:1">
      <c r="A2852" s="14" t="str">
        <f t="shared" si="44"/>
        <v>01</v>
      </c>
    </row>
    <row r="2853" spans="1:1">
      <c r="A2853" s="14" t="str">
        <f t="shared" si="44"/>
        <v>01</v>
      </c>
    </row>
    <row r="2854" spans="1:1">
      <c r="A2854" s="14" t="str">
        <f t="shared" si="44"/>
        <v>01</v>
      </c>
    </row>
    <row r="2855" spans="1:1">
      <c r="A2855" s="14" t="str">
        <f t="shared" si="44"/>
        <v>01</v>
      </c>
    </row>
    <row r="2856" spans="1:1">
      <c r="A2856" s="14" t="str">
        <f t="shared" si="44"/>
        <v>01</v>
      </c>
    </row>
    <row r="2857" spans="1:1">
      <c r="A2857" s="14" t="str">
        <f t="shared" si="44"/>
        <v>01</v>
      </c>
    </row>
    <row r="2858" spans="1:1">
      <c r="A2858" s="14" t="str">
        <f t="shared" si="44"/>
        <v>01</v>
      </c>
    </row>
    <row r="2859" spans="1:1">
      <c r="A2859" s="14" t="str">
        <f t="shared" si="44"/>
        <v>01</v>
      </c>
    </row>
    <row r="2860" spans="1:1">
      <c r="A2860" s="14" t="str">
        <f t="shared" si="44"/>
        <v>01</v>
      </c>
    </row>
    <row r="2861" spans="1:1">
      <c r="A2861" s="14" t="str">
        <f t="shared" si="44"/>
        <v>01</v>
      </c>
    </row>
    <row r="2862" spans="1:1">
      <c r="A2862" s="14" t="str">
        <f t="shared" si="44"/>
        <v>01</v>
      </c>
    </row>
    <row r="2863" spans="1:1">
      <c r="A2863" s="14" t="str">
        <f t="shared" si="44"/>
        <v>01</v>
      </c>
    </row>
    <row r="2864" spans="1:1">
      <c r="A2864" s="14" t="str">
        <f t="shared" si="44"/>
        <v>01</v>
      </c>
    </row>
    <row r="2865" spans="1:1">
      <c r="A2865" s="14" t="str">
        <f t="shared" si="44"/>
        <v>01</v>
      </c>
    </row>
    <row r="2866" spans="1:1">
      <c r="A2866" s="14" t="str">
        <f t="shared" si="44"/>
        <v>01</v>
      </c>
    </row>
    <row r="2867" spans="1:1">
      <c r="A2867" s="14" t="str">
        <f t="shared" si="44"/>
        <v>01</v>
      </c>
    </row>
    <row r="2868" spans="1:1">
      <c r="A2868" s="14" t="str">
        <f t="shared" si="44"/>
        <v>01</v>
      </c>
    </row>
    <row r="2869" spans="1:1">
      <c r="A2869" s="14" t="str">
        <f t="shared" si="44"/>
        <v>01</v>
      </c>
    </row>
    <row r="2870" spans="1:1">
      <c r="A2870" s="14" t="str">
        <f t="shared" si="44"/>
        <v>01</v>
      </c>
    </row>
    <row r="2871" spans="1:1">
      <c r="A2871" s="14" t="str">
        <f t="shared" si="44"/>
        <v>01</v>
      </c>
    </row>
    <row r="2872" spans="1:1">
      <c r="A2872" s="14" t="str">
        <f t="shared" si="44"/>
        <v>01</v>
      </c>
    </row>
    <row r="2873" spans="1:1">
      <c r="A2873" s="14" t="str">
        <f t="shared" si="44"/>
        <v>01</v>
      </c>
    </row>
    <row r="2874" spans="1:1">
      <c r="A2874" s="14" t="str">
        <f t="shared" si="44"/>
        <v>01</v>
      </c>
    </row>
    <row r="2875" spans="1:1">
      <c r="A2875" s="14" t="str">
        <f t="shared" si="44"/>
        <v>01</v>
      </c>
    </row>
    <row r="2876" spans="1:1">
      <c r="A2876" s="14" t="str">
        <f t="shared" si="44"/>
        <v>01</v>
      </c>
    </row>
    <row r="2877" spans="1:1">
      <c r="A2877" s="14" t="str">
        <f t="shared" si="44"/>
        <v>01</v>
      </c>
    </row>
    <row r="2878" spans="1:1">
      <c r="A2878" s="14" t="str">
        <f t="shared" si="44"/>
        <v>01</v>
      </c>
    </row>
    <row r="2879" spans="1:1">
      <c r="A2879" s="14" t="str">
        <f t="shared" si="44"/>
        <v>01</v>
      </c>
    </row>
    <row r="2880" spans="1:1">
      <c r="A2880" s="14" t="str">
        <f t="shared" si="44"/>
        <v>01</v>
      </c>
    </row>
    <row r="2881" spans="1:1">
      <c r="A2881" s="14" t="str">
        <f t="shared" si="44"/>
        <v>01</v>
      </c>
    </row>
    <row r="2882" spans="1:1">
      <c r="A2882" s="14" t="str">
        <f t="shared" si="44"/>
        <v>01</v>
      </c>
    </row>
    <row r="2883" spans="1:1">
      <c r="A2883" s="14" t="str">
        <f t="shared" ref="A2883:A2946" si="45">TEXT(L2883,"MM")</f>
        <v>01</v>
      </c>
    </row>
    <row r="2884" spans="1:1">
      <c r="A2884" s="14" t="str">
        <f t="shared" si="45"/>
        <v>01</v>
      </c>
    </row>
    <row r="2885" spans="1:1">
      <c r="A2885" s="14" t="str">
        <f t="shared" si="45"/>
        <v>01</v>
      </c>
    </row>
    <row r="2886" spans="1:1">
      <c r="A2886" s="14" t="str">
        <f t="shared" si="45"/>
        <v>01</v>
      </c>
    </row>
    <row r="2887" spans="1:1">
      <c r="A2887" s="14" t="str">
        <f t="shared" si="45"/>
        <v>01</v>
      </c>
    </row>
    <row r="2888" spans="1:1">
      <c r="A2888" s="14" t="str">
        <f t="shared" si="45"/>
        <v>01</v>
      </c>
    </row>
    <row r="2889" spans="1:1">
      <c r="A2889" s="14" t="str">
        <f t="shared" si="45"/>
        <v>01</v>
      </c>
    </row>
    <row r="2890" spans="1:1">
      <c r="A2890" s="14" t="str">
        <f t="shared" si="45"/>
        <v>01</v>
      </c>
    </row>
    <row r="2891" spans="1:1">
      <c r="A2891" s="14" t="str">
        <f t="shared" si="45"/>
        <v>01</v>
      </c>
    </row>
    <row r="2892" spans="1:1">
      <c r="A2892" s="14" t="str">
        <f t="shared" si="45"/>
        <v>01</v>
      </c>
    </row>
    <row r="2893" spans="1:1">
      <c r="A2893" s="14" t="str">
        <f t="shared" si="45"/>
        <v>01</v>
      </c>
    </row>
    <row r="2894" spans="1:1">
      <c r="A2894" s="14" t="str">
        <f t="shared" si="45"/>
        <v>01</v>
      </c>
    </row>
    <row r="2895" spans="1:1">
      <c r="A2895" s="14" t="str">
        <f t="shared" si="45"/>
        <v>01</v>
      </c>
    </row>
    <row r="2896" spans="1:1">
      <c r="A2896" s="14" t="str">
        <f t="shared" si="45"/>
        <v>01</v>
      </c>
    </row>
    <row r="2897" spans="1:1">
      <c r="A2897" s="14" t="str">
        <f t="shared" si="45"/>
        <v>01</v>
      </c>
    </row>
    <row r="2898" spans="1:1">
      <c r="A2898" s="14" t="str">
        <f t="shared" si="45"/>
        <v>01</v>
      </c>
    </row>
    <row r="2899" spans="1:1">
      <c r="A2899" s="14" t="str">
        <f t="shared" si="45"/>
        <v>01</v>
      </c>
    </row>
    <row r="2900" spans="1:1">
      <c r="A2900" s="14" t="str">
        <f t="shared" si="45"/>
        <v>01</v>
      </c>
    </row>
    <row r="2901" spans="1:1">
      <c r="A2901" s="14" t="str">
        <f t="shared" si="45"/>
        <v>01</v>
      </c>
    </row>
    <row r="2902" spans="1:1">
      <c r="A2902" s="14" t="str">
        <f t="shared" si="45"/>
        <v>01</v>
      </c>
    </row>
    <row r="2903" spans="1:1">
      <c r="A2903" s="14" t="str">
        <f t="shared" si="45"/>
        <v>01</v>
      </c>
    </row>
    <row r="2904" spans="1:1">
      <c r="A2904" s="14" t="str">
        <f t="shared" si="45"/>
        <v>01</v>
      </c>
    </row>
    <row r="2905" spans="1:1">
      <c r="A2905" s="14" t="str">
        <f t="shared" si="45"/>
        <v>01</v>
      </c>
    </row>
    <row r="2906" spans="1:1">
      <c r="A2906" s="14" t="str">
        <f t="shared" si="45"/>
        <v>01</v>
      </c>
    </row>
    <row r="2907" spans="1:1">
      <c r="A2907" s="14" t="str">
        <f t="shared" si="45"/>
        <v>01</v>
      </c>
    </row>
    <row r="2908" spans="1:1">
      <c r="A2908" s="14" t="str">
        <f t="shared" si="45"/>
        <v>01</v>
      </c>
    </row>
    <row r="2909" spans="1:1">
      <c r="A2909" s="14" t="str">
        <f t="shared" si="45"/>
        <v>01</v>
      </c>
    </row>
    <row r="2910" spans="1:1">
      <c r="A2910" s="14" t="str">
        <f t="shared" si="45"/>
        <v>01</v>
      </c>
    </row>
    <row r="2911" spans="1:1">
      <c r="A2911" s="14" t="str">
        <f t="shared" si="45"/>
        <v>01</v>
      </c>
    </row>
    <row r="2912" spans="1:1">
      <c r="A2912" s="14" t="str">
        <f t="shared" si="45"/>
        <v>01</v>
      </c>
    </row>
    <row r="2913" spans="1:1">
      <c r="A2913" s="14" t="str">
        <f t="shared" si="45"/>
        <v>01</v>
      </c>
    </row>
    <row r="2914" spans="1:1">
      <c r="A2914" s="14" t="str">
        <f t="shared" si="45"/>
        <v>01</v>
      </c>
    </row>
    <row r="2915" spans="1:1">
      <c r="A2915" s="14" t="str">
        <f t="shared" si="45"/>
        <v>01</v>
      </c>
    </row>
    <row r="2916" spans="1:1">
      <c r="A2916" s="14" t="str">
        <f t="shared" si="45"/>
        <v>01</v>
      </c>
    </row>
    <row r="2917" spans="1:1">
      <c r="A2917" s="14" t="str">
        <f t="shared" si="45"/>
        <v>01</v>
      </c>
    </row>
    <row r="2918" spans="1:1">
      <c r="A2918" s="14" t="str">
        <f t="shared" si="45"/>
        <v>01</v>
      </c>
    </row>
    <row r="2919" spans="1:1">
      <c r="A2919" s="14" t="str">
        <f t="shared" si="45"/>
        <v>01</v>
      </c>
    </row>
    <row r="2920" spans="1:1">
      <c r="A2920" s="14" t="str">
        <f t="shared" si="45"/>
        <v>01</v>
      </c>
    </row>
    <row r="2921" spans="1:1">
      <c r="A2921" s="14" t="str">
        <f t="shared" si="45"/>
        <v>01</v>
      </c>
    </row>
    <row r="2922" spans="1:1">
      <c r="A2922" s="14" t="str">
        <f t="shared" si="45"/>
        <v>01</v>
      </c>
    </row>
    <row r="2923" spans="1:1">
      <c r="A2923" s="14" t="str">
        <f t="shared" si="45"/>
        <v>01</v>
      </c>
    </row>
    <row r="2924" spans="1:1">
      <c r="A2924" s="14" t="str">
        <f t="shared" si="45"/>
        <v>01</v>
      </c>
    </row>
    <row r="2925" spans="1:1">
      <c r="A2925" s="14" t="str">
        <f t="shared" si="45"/>
        <v>01</v>
      </c>
    </row>
    <row r="2926" spans="1:1">
      <c r="A2926" s="14" t="str">
        <f t="shared" si="45"/>
        <v>01</v>
      </c>
    </row>
    <row r="2927" spans="1:1">
      <c r="A2927" s="14" t="str">
        <f t="shared" si="45"/>
        <v>01</v>
      </c>
    </row>
    <row r="2928" spans="1:1">
      <c r="A2928" s="14" t="str">
        <f t="shared" si="45"/>
        <v>01</v>
      </c>
    </row>
    <row r="2929" spans="1:1">
      <c r="A2929" s="14" t="str">
        <f t="shared" si="45"/>
        <v>01</v>
      </c>
    </row>
    <row r="2930" spans="1:1">
      <c r="A2930" s="14" t="str">
        <f t="shared" si="45"/>
        <v>01</v>
      </c>
    </row>
    <row r="2931" spans="1:1">
      <c r="A2931" s="14" t="str">
        <f t="shared" si="45"/>
        <v>01</v>
      </c>
    </row>
    <row r="2932" spans="1:1">
      <c r="A2932" s="14" t="str">
        <f t="shared" si="45"/>
        <v>01</v>
      </c>
    </row>
    <row r="2933" spans="1:1">
      <c r="A2933" s="14" t="str">
        <f t="shared" si="45"/>
        <v>01</v>
      </c>
    </row>
    <row r="2934" spans="1:1">
      <c r="A2934" s="14" t="str">
        <f t="shared" si="45"/>
        <v>01</v>
      </c>
    </row>
    <row r="2935" spans="1:1">
      <c r="A2935" s="14" t="str">
        <f t="shared" si="45"/>
        <v>01</v>
      </c>
    </row>
    <row r="2936" spans="1:1">
      <c r="A2936" s="14" t="str">
        <f t="shared" si="45"/>
        <v>01</v>
      </c>
    </row>
    <row r="2937" spans="1:1">
      <c r="A2937" s="14" t="str">
        <f t="shared" si="45"/>
        <v>01</v>
      </c>
    </row>
    <row r="2938" spans="1:1">
      <c r="A2938" s="14" t="str">
        <f t="shared" si="45"/>
        <v>01</v>
      </c>
    </row>
    <row r="2939" spans="1:1">
      <c r="A2939" s="14" t="str">
        <f t="shared" si="45"/>
        <v>01</v>
      </c>
    </row>
    <row r="2940" spans="1:1">
      <c r="A2940" s="14" t="str">
        <f t="shared" si="45"/>
        <v>01</v>
      </c>
    </row>
    <row r="2941" spans="1:1">
      <c r="A2941" s="14" t="str">
        <f t="shared" si="45"/>
        <v>01</v>
      </c>
    </row>
    <row r="2942" spans="1:1">
      <c r="A2942" s="14" t="str">
        <f t="shared" si="45"/>
        <v>01</v>
      </c>
    </row>
    <row r="2943" spans="1:1">
      <c r="A2943" s="14" t="str">
        <f t="shared" si="45"/>
        <v>01</v>
      </c>
    </row>
    <row r="2944" spans="1:1">
      <c r="A2944" s="14" t="str">
        <f t="shared" si="45"/>
        <v>01</v>
      </c>
    </row>
    <row r="2945" spans="1:1">
      <c r="A2945" s="14" t="str">
        <f t="shared" si="45"/>
        <v>01</v>
      </c>
    </row>
    <row r="2946" spans="1:1">
      <c r="A2946" s="14" t="str">
        <f t="shared" si="45"/>
        <v>01</v>
      </c>
    </row>
    <row r="2947" spans="1:1">
      <c r="A2947" s="14" t="str">
        <f t="shared" ref="A2947:A3010" si="46">TEXT(L2947,"MM")</f>
        <v>01</v>
      </c>
    </row>
    <row r="2948" spans="1:1">
      <c r="A2948" s="14" t="str">
        <f t="shared" si="46"/>
        <v>01</v>
      </c>
    </row>
    <row r="2949" spans="1:1">
      <c r="A2949" s="14" t="str">
        <f t="shared" si="46"/>
        <v>01</v>
      </c>
    </row>
    <row r="2950" spans="1:1">
      <c r="A2950" s="14" t="str">
        <f t="shared" si="46"/>
        <v>01</v>
      </c>
    </row>
    <row r="2951" spans="1:1">
      <c r="A2951" s="14" t="str">
        <f t="shared" si="46"/>
        <v>01</v>
      </c>
    </row>
    <row r="2952" spans="1:1">
      <c r="A2952" s="14" t="str">
        <f t="shared" si="46"/>
        <v>01</v>
      </c>
    </row>
    <row r="2953" spans="1:1">
      <c r="A2953" s="14" t="str">
        <f t="shared" si="46"/>
        <v>01</v>
      </c>
    </row>
    <row r="2954" spans="1:1">
      <c r="A2954" s="14" t="str">
        <f t="shared" si="46"/>
        <v>01</v>
      </c>
    </row>
    <row r="2955" spans="1:1">
      <c r="A2955" s="14" t="str">
        <f t="shared" si="46"/>
        <v>01</v>
      </c>
    </row>
    <row r="2956" spans="1:1">
      <c r="A2956" s="14" t="str">
        <f t="shared" si="46"/>
        <v>01</v>
      </c>
    </row>
    <row r="2957" spans="1:1">
      <c r="A2957" s="14" t="str">
        <f t="shared" si="46"/>
        <v>01</v>
      </c>
    </row>
    <row r="2958" spans="1:1">
      <c r="A2958" s="14" t="str">
        <f t="shared" si="46"/>
        <v>01</v>
      </c>
    </row>
    <row r="2959" spans="1:1">
      <c r="A2959" s="14" t="str">
        <f t="shared" si="46"/>
        <v>01</v>
      </c>
    </row>
    <row r="2960" spans="1:1">
      <c r="A2960" s="14" t="str">
        <f t="shared" si="46"/>
        <v>01</v>
      </c>
    </row>
    <row r="2961" spans="1:1">
      <c r="A2961" s="14" t="str">
        <f t="shared" si="46"/>
        <v>01</v>
      </c>
    </row>
    <row r="2962" spans="1:1">
      <c r="A2962" s="14" t="str">
        <f t="shared" si="46"/>
        <v>01</v>
      </c>
    </row>
    <row r="2963" spans="1:1">
      <c r="A2963" s="14" t="str">
        <f t="shared" si="46"/>
        <v>01</v>
      </c>
    </row>
    <row r="2964" spans="1:1">
      <c r="A2964" s="14" t="str">
        <f t="shared" si="46"/>
        <v>01</v>
      </c>
    </row>
    <row r="2965" spans="1:1">
      <c r="A2965" s="14" t="str">
        <f t="shared" si="46"/>
        <v>01</v>
      </c>
    </row>
    <row r="2966" spans="1:1">
      <c r="A2966" s="14" t="str">
        <f t="shared" si="46"/>
        <v>01</v>
      </c>
    </row>
    <row r="2967" spans="1:1">
      <c r="A2967" s="14" t="str">
        <f t="shared" si="46"/>
        <v>01</v>
      </c>
    </row>
    <row r="2968" spans="1:1">
      <c r="A2968" s="14" t="str">
        <f t="shared" si="46"/>
        <v>01</v>
      </c>
    </row>
    <row r="2969" spans="1:1">
      <c r="A2969" s="14" t="str">
        <f t="shared" si="46"/>
        <v>01</v>
      </c>
    </row>
    <row r="2970" spans="1:1">
      <c r="A2970" s="14" t="str">
        <f t="shared" si="46"/>
        <v>01</v>
      </c>
    </row>
    <row r="2971" spans="1:1">
      <c r="A2971" s="14" t="str">
        <f t="shared" si="46"/>
        <v>01</v>
      </c>
    </row>
    <row r="2972" spans="1:1">
      <c r="A2972" s="14" t="str">
        <f t="shared" si="46"/>
        <v>01</v>
      </c>
    </row>
    <row r="2973" spans="1:1">
      <c r="A2973" s="14" t="str">
        <f t="shared" si="46"/>
        <v>01</v>
      </c>
    </row>
    <row r="2974" spans="1:1">
      <c r="A2974" s="14" t="str">
        <f t="shared" si="46"/>
        <v>01</v>
      </c>
    </row>
    <row r="2975" spans="1:1">
      <c r="A2975" s="14" t="str">
        <f t="shared" si="46"/>
        <v>01</v>
      </c>
    </row>
    <row r="2976" spans="1:1">
      <c r="A2976" s="14" t="str">
        <f t="shared" si="46"/>
        <v>01</v>
      </c>
    </row>
    <row r="2977" spans="1:1">
      <c r="A2977" s="14" t="str">
        <f t="shared" si="46"/>
        <v>01</v>
      </c>
    </row>
    <row r="2978" spans="1:1">
      <c r="A2978" s="14" t="str">
        <f t="shared" si="46"/>
        <v>01</v>
      </c>
    </row>
    <row r="2979" spans="1:1">
      <c r="A2979" s="14" t="str">
        <f t="shared" si="46"/>
        <v>01</v>
      </c>
    </row>
    <row r="2980" spans="1:1">
      <c r="A2980" s="14" t="str">
        <f t="shared" si="46"/>
        <v>01</v>
      </c>
    </row>
    <row r="2981" spans="1:1">
      <c r="A2981" s="14" t="str">
        <f t="shared" si="46"/>
        <v>01</v>
      </c>
    </row>
    <row r="2982" spans="1:1">
      <c r="A2982" s="14" t="str">
        <f t="shared" si="46"/>
        <v>01</v>
      </c>
    </row>
    <row r="2983" spans="1:1">
      <c r="A2983" s="14" t="str">
        <f t="shared" si="46"/>
        <v>01</v>
      </c>
    </row>
    <row r="2984" spans="1:1">
      <c r="A2984" s="14" t="str">
        <f t="shared" si="46"/>
        <v>01</v>
      </c>
    </row>
    <row r="2985" spans="1:1">
      <c r="A2985" s="14" t="str">
        <f t="shared" si="46"/>
        <v>01</v>
      </c>
    </row>
    <row r="2986" spans="1:1">
      <c r="A2986" s="14" t="str">
        <f t="shared" si="46"/>
        <v>01</v>
      </c>
    </row>
    <row r="2987" spans="1:1">
      <c r="A2987" s="14" t="str">
        <f t="shared" si="46"/>
        <v>01</v>
      </c>
    </row>
    <row r="2988" spans="1:1">
      <c r="A2988" s="14" t="str">
        <f t="shared" si="46"/>
        <v>01</v>
      </c>
    </row>
    <row r="2989" spans="1:1">
      <c r="A2989" s="14" t="str">
        <f t="shared" si="46"/>
        <v>01</v>
      </c>
    </row>
    <row r="2990" spans="1:1">
      <c r="A2990" s="14" t="str">
        <f t="shared" si="46"/>
        <v>01</v>
      </c>
    </row>
    <row r="2991" spans="1:1">
      <c r="A2991" s="14" t="str">
        <f t="shared" si="46"/>
        <v>01</v>
      </c>
    </row>
    <row r="2992" spans="1:1">
      <c r="A2992" s="14" t="str">
        <f t="shared" si="46"/>
        <v>01</v>
      </c>
    </row>
    <row r="2993" spans="1:1">
      <c r="A2993" s="14" t="str">
        <f t="shared" si="46"/>
        <v>01</v>
      </c>
    </row>
    <row r="2994" spans="1:1">
      <c r="A2994" s="14" t="str">
        <f t="shared" si="46"/>
        <v>01</v>
      </c>
    </row>
    <row r="2995" spans="1:1">
      <c r="A2995" s="14" t="str">
        <f t="shared" si="46"/>
        <v>01</v>
      </c>
    </row>
    <row r="2996" spans="1:1">
      <c r="A2996" s="14" t="str">
        <f t="shared" si="46"/>
        <v>01</v>
      </c>
    </row>
    <row r="2997" spans="1:1">
      <c r="A2997" s="14" t="str">
        <f t="shared" si="46"/>
        <v>01</v>
      </c>
    </row>
    <row r="2998" spans="1:1">
      <c r="A2998" s="14" t="str">
        <f t="shared" si="46"/>
        <v>01</v>
      </c>
    </row>
    <row r="2999" spans="1:1">
      <c r="A2999" s="14" t="str">
        <f t="shared" si="46"/>
        <v>01</v>
      </c>
    </row>
    <row r="3000" spans="1:1">
      <c r="A3000" s="14" t="str">
        <f t="shared" si="46"/>
        <v>01</v>
      </c>
    </row>
    <row r="3001" spans="1:1">
      <c r="A3001" s="14" t="str">
        <f t="shared" si="46"/>
        <v>01</v>
      </c>
    </row>
    <row r="3002" spans="1:1">
      <c r="A3002" s="14" t="str">
        <f t="shared" si="46"/>
        <v>01</v>
      </c>
    </row>
    <row r="3003" spans="1:1">
      <c r="A3003" s="14" t="str">
        <f t="shared" si="46"/>
        <v>01</v>
      </c>
    </row>
    <row r="3004" spans="1:1">
      <c r="A3004" s="14" t="str">
        <f t="shared" si="46"/>
        <v>01</v>
      </c>
    </row>
    <row r="3005" spans="1:1">
      <c r="A3005" s="14" t="str">
        <f t="shared" si="46"/>
        <v>01</v>
      </c>
    </row>
    <row r="3006" spans="1:1">
      <c r="A3006" s="14" t="str">
        <f t="shared" si="46"/>
        <v>01</v>
      </c>
    </row>
    <row r="3007" spans="1:1">
      <c r="A3007" s="14" t="str">
        <f t="shared" si="46"/>
        <v>01</v>
      </c>
    </row>
    <row r="3008" spans="1:1">
      <c r="A3008" s="14" t="str">
        <f t="shared" si="46"/>
        <v>01</v>
      </c>
    </row>
    <row r="3009" spans="1:1">
      <c r="A3009" s="14" t="str">
        <f t="shared" si="46"/>
        <v>01</v>
      </c>
    </row>
    <row r="3010" spans="1:1">
      <c r="A3010" s="14" t="str">
        <f t="shared" si="46"/>
        <v>01</v>
      </c>
    </row>
    <row r="3011" spans="1:1">
      <c r="A3011" s="14" t="str">
        <f t="shared" ref="A3011:A3074" si="47">TEXT(L3011,"MM")</f>
        <v>01</v>
      </c>
    </row>
    <row r="3012" spans="1:1">
      <c r="A3012" s="14" t="str">
        <f t="shared" si="47"/>
        <v>01</v>
      </c>
    </row>
    <row r="3013" spans="1:1">
      <c r="A3013" s="14" t="str">
        <f t="shared" si="47"/>
        <v>01</v>
      </c>
    </row>
    <row r="3014" spans="1:1">
      <c r="A3014" s="14" t="str">
        <f t="shared" si="47"/>
        <v>01</v>
      </c>
    </row>
    <row r="3015" spans="1:1">
      <c r="A3015" s="14" t="str">
        <f t="shared" si="47"/>
        <v>01</v>
      </c>
    </row>
    <row r="3016" spans="1:1">
      <c r="A3016" s="14" t="str">
        <f t="shared" si="47"/>
        <v>01</v>
      </c>
    </row>
    <row r="3017" spans="1:1">
      <c r="A3017" s="14" t="str">
        <f t="shared" si="47"/>
        <v>01</v>
      </c>
    </row>
    <row r="3018" spans="1:1">
      <c r="A3018" s="14" t="str">
        <f t="shared" si="47"/>
        <v>01</v>
      </c>
    </row>
    <row r="3019" spans="1:1">
      <c r="A3019" s="14" t="str">
        <f t="shared" si="47"/>
        <v>01</v>
      </c>
    </row>
    <row r="3020" spans="1:1">
      <c r="A3020" s="14" t="str">
        <f t="shared" si="47"/>
        <v>01</v>
      </c>
    </row>
    <row r="3021" spans="1:1">
      <c r="A3021" s="14" t="str">
        <f t="shared" si="47"/>
        <v>01</v>
      </c>
    </row>
    <row r="3022" spans="1:1">
      <c r="A3022" s="14" t="str">
        <f t="shared" si="47"/>
        <v>01</v>
      </c>
    </row>
    <row r="3023" spans="1:1">
      <c r="A3023" s="14" t="str">
        <f t="shared" si="47"/>
        <v>01</v>
      </c>
    </row>
    <row r="3024" spans="1:1">
      <c r="A3024" s="14" t="str">
        <f t="shared" si="47"/>
        <v>01</v>
      </c>
    </row>
    <row r="3025" spans="1:1">
      <c r="A3025" s="14" t="str">
        <f t="shared" si="47"/>
        <v>01</v>
      </c>
    </row>
    <row r="3026" spans="1:1">
      <c r="A3026" s="14" t="str">
        <f t="shared" si="47"/>
        <v>01</v>
      </c>
    </row>
    <row r="3027" spans="1:1">
      <c r="A3027" s="14" t="str">
        <f t="shared" si="47"/>
        <v>01</v>
      </c>
    </row>
    <row r="3028" spans="1:1">
      <c r="A3028" s="14" t="str">
        <f t="shared" si="47"/>
        <v>01</v>
      </c>
    </row>
    <row r="3029" spans="1:1">
      <c r="A3029" s="14" t="str">
        <f t="shared" si="47"/>
        <v>01</v>
      </c>
    </row>
    <row r="3030" spans="1:1">
      <c r="A3030" s="14" t="str">
        <f t="shared" si="47"/>
        <v>01</v>
      </c>
    </row>
    <row r="3031" spans="1:1">
      <c r="A3031" s="14" t="str">
        <f t="shared" si="47"/>
        <v>01</v>
      </c>
    </row>
    <row r="3032" spans="1:1">
      <c r="A3032" s="14" t="str">
        <f t="shared" si="47"/>
        <v>01</v>
      </c>
    </row>
    <row r="3033" spans="1:1">
      <c r="A3033" s="14" t="str">
        <f t="shared" si="47"/>
        <v>01</v>
      </c>
    </row>
    <row r="3034" spans="1:1">
      <c r="A3034" s="14" t="str">
        <f t="shared" si="47"/>
        <v>01</v>
      </c>
    </row>
    <row r="3035" spans="1:1">
      <c r="A3035" s="14" t="str">
        <f t="shared" si="47"/>
        <v>01</v>
      </c>
    </row>
    <row r="3036" spans="1:1">
      <c r="A3036" s="14" t="str">
        <f t="shared" si="47"/>
        <v>01</v>
      </c>
    </row>
    <row r="3037" spans="1:1">
      <c r="A3037" s="14" t="str">
        <f t="shared" si="47"/>
        <v>01</v>
      </c>
    </row>
    <row r="3038" spans="1:1">
      <c r="A3038" s="14" t="str">
        <f t="shared" si="47"/>
        <v>01</v>
      </c>
    </row>
    <row r="3039" spans="1:1">
      <c r="A3039" s="14" t="str">
        <f t="shared" si="47"/>
        <v>01</v>
      </c>
    </row>
    <row r="3040" spans="1:1">
      <c r="A3040" s="14" t="str">
        <f t="shared" si="47"/>
        <v>01</v>
      </c>
    </row>
    <row r="3041" spans="1:1">
      <c r="A3041" s="14" t="str">
        <f t="shared" si="47"/>
        <v>01</v>
      </c>
    </row>
    <row r="3042" spans="1:1">
      <c r="A3042" s="14" t="str">
        <f t="shared" si="47"/>
        <v>01</v>
      </c>
    </row>
    <row r="3043" spans="1:1">
      <c r="A3043" s="14" t="str">
        <f t="shared" si="47"/>
        <v>01</v>
      </c>
    </row>
    <row r="3044" spans="1:1">
      <c r="A3044" s="14" t="str">
        <f t="shared" si="47"/>
        <v>01</v>
      </c>
    </row>
    <row r="3045" spans="1:1">
      <c r="A3045" s="14" t="str">
        <f t="shared" si="47"/>
        <v>01</v>
      </c>
    </row>
    <row r="3046" spans="1:1">
      <c r="A3046" s="14" t="str">
        <f t="shared" si="47"/>
        <v>01</v>
      </c>
    </row>
    <row r="3047" spans="1:1">
      <c r="A3047" s="14" t="str">
        <f t="shared" si="47"/>
        <v>01</v>
      </c>
    </row>
    <row r="3048" spans="1:1">
      <c r="A3048" s="14" t="str">
        <f t="shared" si="47"/>
        <v>01</v>
      </c>
    </row>
    <row r="3049" spans="1:1">
      <c r="A3049" s="14" t="str">
        <f t="shared" si="47"/>
        <v>01</v>
      </c>
    </row>
    <row r="3050" spans="1:1">
      <c r="A3050" s="14" t="str">
        <f t="shared" si="47"/>
        <v>01</v>
      </c>
    </row>
    <row r="3051" spans="1:1">
      <c r="A3051" s="14" t="str">
        <f t="shared" si="47"/>
        <v>01</v>
      </c>
    </row>
    <row r="3052" spans="1:1">
      <c r="A3052" s="14" t="str">
        <f t="shared" si="47"/>
        <v>01</v>
      </c>
    </row>
    <row r="3053" spans="1:1">
      <c r="A3053" s="14" t="str">
        <f t="shared" si="47"/>
        <v>01</v>
      </c>
    </row>
    <row r="3054" spans="1:1">
      <c r="A3054" s="14" t="str">
        <f t="shared" si="47"/>
        <v>01</v>
      </c>
    </row>
    <row r="3055" spans="1:1">
      <c r="A3055" s="14" t="str">
        <f t="shared" si="47"/>
        <v>01</v>
      </c>
    </row>
    <row r="3056" spans="1:1">
      <c r="A3056" s="14" t="str">
        <f t="shared" si="47"/>
        <v>01</v>
      </c>
    </row>
    <row r="3057" spans="1:1">
      <c r="A3057" s="14" t="str">
        <f t="shared" si="47"/>
        <v>01</v>
      </c>
    </row>
    <row r="3058" spans="1:1">
      <c r="A3058" s="14" t="str">
        <f t="shared" si="47"/>
        <v>01</v>
      </c>
    </row>
    <row r="3059" spans="1:1">
      <c r="A3059" s="14" t="str">
        <f t="shared" si="47"/>
        <v>01</v>
      </c>
    </row>
    <row r="3060" spans="1:1">
      <c r="A3060" s="14" t="str">
        <f t="shared" si="47"/>
        <v>01</v>
      </c>
    </row>
    <row r="3061" spans="1:1">
      <c r="A3061" s="14" t="str">
        <f t="shared" si="47"/>
        <v>01</v>
      </c>
    </row>
    <row r="3062" spans="1:1">
      <c r="A3062" s="14" t="str">
        <f t="shared" si="47"/>
        <v>01</v>
      </c>
    </row>
    <row r="3063" spans="1:1">
      <c r="A3063" s="14" t="str">
        <f t="shared" si="47"/>
        <v>01</v>
      </c>
    </row>
    <row r="3064" spans="1:1">
      <c r="A3064" s="14" t="str">
        <f t="shared" si="47"/>
        <v>01</v>
      </c>
    </row>
    <row r="3065" spans="1:1">
      <c r="A3065" s="14" t="str">
        <f t="shared" si="47"/>
        <v>01</v>
      </c>
    </row>
    <row r="3066" spans="1:1">
      <c r="A3066" s="14" t="str">
        <f t="shared" si="47"/>
        <v>01</v>
      </c>
    </row>
    <row r="3067" spans="1:1">
      <c r="A3067" s="14" t="str">
        <f t="shared" si="47"/>
        <v>01</v>
      </c>
    </row>
    <row r="3068" spans="1:1">
      <c r="A3068" s="14" t="str">
        <f t="shared" si="47"/>
        <v>01</v>
      </c>
    </row>
    <row r="3069" spans="1:1">
      <c r="A3069" s="14" t="str">
        <f t="shared" si="47"/>
        <v>01</v>
      </c>
    </row>
    <row r="3070" spans="1:1">
      <c r="A3070" s="14" t="str">
        <f t="shared" si="47"/>
        <v>01</v>
      </c>
    </row>
    <row r="3071" spans="1:1">
      <c r="A3071" s="14" t="str">
        <f t="shared" si="47"/>
        <v>01</v>
      </c>
    </row>
    <row r="3072" spans="1:1">
      <c r="A3072" s="14" t="str">
        <f t="shared" si="47"/>
        <v>01</v>
      </c>
    </row>
    <row r="3073" spans="1:1">
      <c r="A3073" s="14" t="str">
        <f t="shared" si="47"/>
        <v>01</v>
      </c>
    </row>
    <row r="3074" spans="1:1">
      <c r="A3074" s="14" t="str">
        <f t="shared" si="47"/>
        <v>01</v>
      </c>
    </row>
    <row r="3075" spans="1:1">
      <c r="A3075" s="14" t="str">
        <f t="shared" ref="A3075:A3138" si="48">TEXT(L3075,"MM")</f>
        <v>01</v>
      </c>
    </row>
    <row r="3076" spans="1:1">
      <c r="A3076" s="14" t="str">
        <f t="shared" si="48"/>
        <v>01</v>
      </c>
    </row>
    <row r="3077" spans="1:1">
      <c r="A3077" s="14" t="str">
        <f t="shared" si="48"/>
        <v>01</v>
      </c>
    </row>
    <row r="3078" spans="1:1">
      <c r="A3078" s="14" t="str">
        <f t="shared" si="48"/>
        <v>01</v>
      </c>
    </row>
    <row r="3079" spans="1:1">
      <c r="A3079" s="14" t="str">
        <f t="shared" si="48"/>
        <v>01</v>
      </c>
    </row>
    <row r="3080" spans="1:1">
      <c r="A3080" s="14" t="str">
        <f t="shared" si="48"/>
        <v>01</v>
      </c>
    </row>
    <row r="3081" spans="1:1">
      <c r="A3081" s="14" t="str">
        <f t="shared" si="48"/>
        <v>01</v>
      </c>
    </row>
    <row r="3082" spans="1:1">
      <c r="A3082" s="14" t="str">
        <f t="shared" si="48"/>
        <v>01</v>
      </c>
    </row>
    <row r="3083" spans="1:1">
      <c r="A3083" s="14" t="str">
        <f t="shared" si="48"/>
        <v>01</v>
      </c>
    </row>
    <row r="3084" spans="1:1">
      <c r="A3084" s="14" t="str">
        <f t="shared" si="48"/>
        <v>01</v>
      </c>
    </row>
    <row r="3085" spans="1:1">
      <c r="A3085" s="14" t="str">
        <f t="shared" si="48"/>
        <v>01</v>
      </c>
    </row>
    <row r="3086" spans="1:1">
      <c r="A3086" s="14" t="str">
        <f t="shared" si="48"/>
        <v>01</v>
      </c>
    </row>
    <row r="3087" spans="1:1">
      <c r="A3087" s="14" t="str">
        <f t="shared" si="48"/>
        <v>01</v>
      </c>
    </row>
    <row r="3088" spans="1:1">
      <c r="A3088" s="14" t="str">
        <f t="shared" si="48"/>
        <v>01</v>
      </c>
    </row>
    <row r="3089" spans="1:1">
      <c r="A3089" s="14" t="str">
        <f t="shared" si="48"/>
        <v>01</v>
      </c>
    </row>
    <row r="3090" spans="1:1">
      <c r="A3090" s="14" t="str">
        <f t="shared" si="48"/>
        <v>01</v>
      </c>
    </row>
    <row r="3091" spans="1:1">
      <c r="A3091" s="14" t="str">
        <f t="shared" si="48"/>
        <v>01</v>
      </c>
    </row>
    <row r="3092" spans="1:1">
      <c r="A3092" s="14" t="str">
        <f t="shared" si="48"/>
        <v>01</v>
      </c>
    </row>
    <row r="3093" spans="1:1">
      <c r="A3093" s="14" t="str">
        <f t="shared" si="48"/>
        <v>01</v>
      </c>
    </row>
    <row r="3094" spans="1:1">
      <c r="A3094" s="14" t="str">
        <f t="shared" si="48"/>
        <v>01</v>
      </c>
    </row>
    <row r="3095" spans="1:1">
      <c r="A3095" s="14" t="str">
        <f t="shared" si="48"/>
        <v>01</v>
      </c>
    </row>
    <row r="3096" spans="1:1">
      <c r="A3096" s="14" t="str">
        <f t="shared" si="48"/>
        <v>01</v>
      </c>
    </row>
    <row r="3097" spans="1:1">
      <c r="A3097" s="14" t="str">
        <f t="shared" si="48"/>
        <v>01</v>
      </c>
    </row>
    <row r="3098" spans="1:1">
      <c r="A3098" s="14" t="str">
        <f t="shared" si="48"/>
        <v>01</v>
      </c>
    </row>
    <row r="3099" spans="1:1">
      <c r="A3099" s="14" t="str">
        <f t="shared" si="48"/>
        <v>01</v>
      </c>
    </row>
    <row r="3100" spans="1:1">
      <c r="A3100" s="14" t="str">
        <f t="shared" si="48"/>
        <v>01</v>
      </c>
    </row>
    <row r="3101" spans="1:1">
      <c r="A3101" s="14" t="str">
        <f t="shared" si="48"/>
        <v>01</v>
      </c>
    </row>
    <row r="3102" spans="1:1">
      <c r="A3102" s="14" t="str">
        <f t="shared" si="48"/>
        <v>01</v>
      </c>
    </row>
    <row r="3103" spans="1:1">
      <c r="A3103" s="14" t="str">
        <f t="shared" si="48"/>
        <v>01</v>
      </c>
    </row>
    <row r="3104" spans="1:1">
      <c r="A3104" s="14" t="str">
        <f t="shared" si="48"/>
        <v>01</v>
      </c>
    </row>
    <row r="3105" spans="1:1">
      <c r="A3105" s="14" t="str">
        <f t="shared" si="48"/>
        <v>01</v>
      </c>
    </row>
    <row r="3106" spans="1:1">
      <c r="A3106" s="14" t="str">
        <f t="shared" si="48"/>
        <v>01</v>
      </c>
    </row>
    <row r="3107" spans="1:1">
      <c r="A3107" s="14" t="str">
        <f t="shared" si="48"/>
        <v>01</v>
      </c>
    </row>
    <row r="3108" spans="1:1">
      <c r="A3108" s="14" t="str">
        <f t="shared" si="48"/>
        <v>01</v>
      </c>
    </row>
    <row r="3109" spans="1:1">
      <c r="A3109" s="14" t="str">
        <f t="shared" si="48"/>
        <v>01</v>
      </c>
    </row>
    <row r="3110" spans="1:1">
      <c r="A3110" s="14" t="str">
        <f t="shared" si="48"/>
        <v>01</v>
      </c>
    </row>
    <row r="3111" spans="1:1">
      <c r="A3111" s="14" t="str">
        <f t="shared" si="48"/>
        <v>01</v>
      </c>
    </row>
    <row r="3112" spans="1:1">
      <c r="A3112" s="14" t="str">
        <f t="shared" si="48"/>
        <v>01</v>
      </c>
    </row>
    <row r="3113" spans="1:1">
      <c r="A3113" s="14" t="str">
        <f t="shared" si="48"/>
        <v>01</v>
      </c>
    </row>
    <row r="3114" spans="1:1">
      <c r="A3114" s="14" t="str">
        <f t="shared" si="48"/>
        <v>01</v>
      </c>
    </row>
    <row r="3115" spans="1:1">
      <c r="A3115" s="14" t="str">
        <f t="shared" si="48"/>
        <v>01</v>
      </c>
    </row>
    <row r="3116" spans="1:1">
      <c r="A3116" s="14" t="str">
        <f t="shared" si="48"/>
        <v>01</v>
      </c>
    </row>
    <row r="3117" spans="1:1">
      <c r="A3117" s="14" t="str">
        <f t="shared" si="48"/>
        <v>01</v>
      </c>
    </row>
    <row r="3118" spans="1:1">
      <c r="A3118" s="14" t="str">
        <f t="shared" si="48"/>
        <v>01</v>
      </c>
    </row>
    <row r="3119" spans="1:1">
      <c r="A3119" s="14" t="str">
        <f t="shared" si="48"/>
        <v>01</v>
      </c>
    </row>
    <row r="3120" spans="1:1">
      <c r="A3120" s="14" t="str">
        <f t="shared" si="48"/>
        <v>01</v>
      </c>
    </row>
    <row r="3121" spans="1:1">
      <c r="A3121" s="14" t="str">
        <f t="shared" si="48"/>
        <v>01</v>
      </c>
    </row>
    <row r="3122" spans="1:1">
      <c r="A3122" s="14" t="str">
        <f t="shared" si="48"/>
        <v>01</v>
      </c>
    </row>
    <row r="3123" spans="1:1">
      <c r="A3123" s="14" t="str">
        <f t="shared" si="48"/>
        <v>01</v>
      </c>
    </row>
    <row r="3124" spans="1:1">
      <c r="A3124" s="14" t="str">
        <f t="shared" si="48"/>
        <v>01</v>
      </c>
    </row>
    <row r="3125" spans="1:1">
      <c r="A3125" s="14" t="str">
        <f t="shared" si="48"/>
        <v>01</v>
      </c>
    </row>
    <row r="3126" spans="1:1">
      <c r="A3126" s="14" t="str">
        <f t="shared" si="48"/>
        <v>01</v>
      </c>
    </row>
    <row r="3127" spans="1:1">
      <c r="A3127" s="14" t="str">
        <f t="shared" si="48"/>
        <v>01</v>
      </c>
    </row>
    <row r="3128" spans="1:1">
      <c r="A3128" s="14" t="str">
        <f t="shared" si="48"/>
        <v>01</v>
      </c>
    </row>
    <row r="3129" spans="1:1">
      <c r="A3129" s="14" t="str">
        <f t="shared" si="48"/>
        <v>01</v>
      </c>
    </row>
    <row r="3130" spans="1:1">
      <c r="A3130" s="14" t="str">
        <f t="shared" si="48"/>
        <v>01</v>
      </c>
    </row>
    <row r="3131" spans="1:1">
      <c r="A3131" s="14" t="str">
        <f t="shared" si="48"/>
        <v>01</v>
      </c>
    </row>
    <row r="3132" spans="1:1">
      <c r="A3132" s="14" t="str">
        <f t="shared" si="48"/>
        <v>01</v>
      </c>
    </row>
    <row r="3133" spans="1:1">
      <c r="A3133" s="14" t="str">
        <f t="shared" si="48"/>
        <v>01</v>
      </c>
    </row>
    <row r="3134" spans="1:1">
      <c r="A3134" s="14" t="str">
        <f t="shared" si="48"/>
        <v>01</v>
      </c>
    </row>
    <row r="3135" spans="1:1">
      <c r="A3135" s="14" t="str">
        <f t="shared" si="48"/>
        <v>01</v>
      </c>
    </row>
    <row r="3136" spans="1:1">
      <c r="A3136" s="14" t="str">
        <f t="shared" si="48"/>
        <v>01</v>
      </c>
    </row>
    <row r="3137" spans="1:1">
      <c r="A3137" s="14" t="str">
        <f t="shared" si="48"/>
        <v>01</v>
      </c>
    </row>
    <row r="3138" spans="1:1">
      <c r="A3138" s="14" t="str">
        <f t="shared" si="48"/>
        <v>01</v>
      </c>
    </row>
    <row r="3139" spans="1:1">
      <c r="A3139" s="14" t="str">
        <f t="shared" ref="A3139:A3202" si="49">TEXT(L3139,"MM")</f>
        <v>01</v>
      </c>
    </row>
    <row r="3140" spans="1:1">
      <c r="A3140" s="14" t="str">
        <f t="shared" si="49"/>
        <v>01</v>
      </c>
    </row>
    <row r="3141" spans="1:1">
      <c r="A3141" s="14" t="str">
        <f t="shared" si="49"/>
        <v>01</v>
      </c>
    </row>
    <row r="3142" spans="1:1">
      <c r="A3142" s="14" t="str">
        <f t="shared" si="49"/>
        <v>01</v>
      </c>
    </row>
    <row r="3143" spans="1:1">
      <c r="A3143" s="14" t="str">
        <f t="shared" si="49"/>
        <v>01</v>
      </c>
    </row>
    <row r="3144" spans="1:1">
      <c r="A3144" s="14" t="str">
        <f t="shared" si="49"/>
        <v>01</v>
      </c>
    </row>
    <row r="3145" spans="1:1">
      <c r="A3145" s="14" t="str">
        <f t="shared" si="49"/>
        <v>01</v>
      </c>
    </row>
    <row r="3146" spans="1:1">
      <c r="A3146" s="14" t="str">
        <f t="shared" si="49"/>
        <v>01</v>
      </c>
    </row>
    <row r="3147" spans="1:1">
      <c r="A3147" s="14" t="str">
        <f t="shared" si="49"/>
        <v>01</v>
      </c>
    </row>
    <row r="3148" spans="1:1">
      <c r="A3148" s="14" t="str">
        <f t="shared" si="49"/>
        <v>01</v>
      </c>
    </row>
    <row r="3149" spans="1:1">
      <c r="A3149" s="14" t="str">
        <f t="shared" si="49"/>
        <v>01</v>
      </c>
    </row>
    <row r="3150" spans="1:1">
      <c r="A3150" s="14" t="str">
        <f t="shared" si="49"/>
        <v>01</v>
      </c>
    </row>
    <row r="3151" spans="1:1">
      <c r="A3151" s="14" t="str">
        <f t="shared" si="49"/>
        <v>01</v>
      </c>
    </row>
    <row r="3152" spans="1:1">
      <c r="A3152" s="14" t="str">
        <f t="shared" si="49"/>
        <v>01</v>
      </c>
    </row>
    <row r="3153" spans="1:1">
      <c r="A3153" s="14" t="str">
        <f t="shared" si="49"/>
        <v>01</v>
      </c>
    </row>
    <row r="3154" spans="1:1">
      <c r="A3154" s="14" t="str">
        <f t="shared" si="49"/>
        <v>01</v>
      </c>
    </row>
    <row r="3155" spans="1:1">
      <c r="A3155" s="14" t="str">
        <f t="shared" si="49"/>
        <v>01</v>
      </c>
    </row>
    <row r="3156" spans="1:1">
      <c r="A3156" s="14" t="str">
        <f t="shared" si="49"/>
        <v>01</v>
      </c>
    </row>
    <row r="3157" spans="1:1">
      <c r="A3157" s="14" t="str">
        <f t="shared" si="49"/>
        <v>01</v>
      </c>
    </row>
    <row r="3158" spans="1:1">
      <c r="A3158" s="14" t="str">
        <f t="shared" si="49"/>
        <v>01</v>
      </c>
    </row>
    <row r="3159" spans="1:1">
      <c r="A3159" s="14" t="str">
        <f t="shared" si="49"/>
        <v>01</v>
      </c>
    </row>
    <row r="3160" spans="1:1">
      <c r="A3160" s="14" t="str">
        <f t="shared" si="49"/>
        <v>01</v>
      </c>
    </row>
    <row r="3161" spans="1:1">
      <c r="A3161" s="14" t="str">
        <f t="shared" si="49"/>
        <v>01</v>
      </c>
    </row>
    <row r="3162" spans="1:1">
      <c r="A3162" s="14" t="str">
        <f t="shared" si="49"/>
        <v>01</v>
      </c>
    </row>
    <row r="3163" spans="1:1">
      <c r="A3163" s="14" t="str">
        <f t="shared" si="49"/>
        <v>01</v>
      </c>
    </row>
    <row r="3164" spans="1:1">
      <c r="A3164" s="14" t="str">
        <f t="shared" si="49"/>
        <v>01</v>
      </c>
    </row>
    <row r="3165" spans="1:1">
      <c r="A3165" s="14" t="str">
        <f t="shared" si="49"/>
        <v>01</v>
      </c>
    </row>
    <row r="3166" spans="1:1">
      <c r="A3166" s="14" t="str">
        <f t="shared" si="49"/>
        <v>01</v>
      </c>
    </row>
    <row r="3167" spans="1:1">
      <c r="A3167" s="14" t="str">
        <f t="shared" si="49"/>
        <v>01</v>
      </c>
    </row>
    <row r="3168" spans="1:1">
      <c r="A3168" s="14" t="str">
        <f t="shared" si="49"/>
        <v>01</v>
      </c>
    </row>
    <row r="3169" spans="1:1">
      <c r="A3169" s="14" t="str">
        <f t="shared" si="49"/>
        <v>01</v>
      </c>
    </row>
    <row r="3170" spans="1:1">
      <c r="A3170" s="14" t="str">
        <f t="shared" si="49"/>
        <v>01</v>
      </c>
    </row>
    <row r="3171" spans="1:1">
      <c r="A3171" s="14" t="str">
        <f t="shared" si="49"/>
        <v>01</v>
      </c>
    </row>
    <row r="3172" spans="1:1">
      <c r="A3172" s="14" t="str">
        <f t="shared" si="49"/>
        <v>01</v>
      </c>
    </row>
    <row r="3173" spans="1:1">
      <c r="A3173" s="14" t="str">
        <f t="shared" si="49"/>
        <v>01</v>
      </c>
    </row>
    <row r="3174" spans="1:1">
      <c r="A3174" s="14" t="str">
        <f t="shared" si="49"/>
        <v>01</v>
      </c>
    </row>
    <row r="3175" spans="1:1">
      <c r="A3175" s="14" t="str">
        <f t="shared" si="49"/>
        <v>01</v>
      </c>
    </row>
    <row r="3176" spans="1:1">
      <c r="A3176" s="14" t="str">
        <f t="shared" si="49"/>
        <v>01</v>
      </c>
    </row>
    <row r="3177" spans="1:1">
      <c r="A3177" s="14" t="str">
        <f t="shared" si="49"/>
        <v>01</v>
      </c>
    </row>
    <row r="3178" spans="1:1">
      <c r="A3178" s="14" t="str">
        <f t="shared" si="49"/>
        <v>01</v>
      </c>
    </row>
    <row r="3179" spans="1:1">
      <c r="A3179" s="14" t="str">
        <f t="shared" si="49"/>
        <v>01</v>
      </c>
    </row>
    <row r="3180" spans="1:1">
      <c r="A3180" s="14" t="str">
        <f t="shared" si="49"/>
        <v>01</v>
      </c>
    </row>
    <row r="3181" spans="1:1">
      <c r="A3181" s="14" t="str">
        <f t="shared" si="49"/>
        <v>01</v>
      </c>
    </row>
    <row r="3182" spans="1:1">
      <c r="A3182" s="14" t="str">
        <f t="shared" si="49"/>
        <v>01</v>
      </c>
    </row>
    <row r="3183" spans="1:1">
      <c r="A3183" s="14" t="str">
        <f t="shared" si="49"/>
        <v>01</v>
      </c>
    </row>
    <row r="3184" spans="1:1">
      <c r="A3184" s="14" t="str">
        <f t="shared" si="49"/>
        <v>01</v>
      </c>
    </row>
    <row r="3185" spans="1:1">
      <c r="A3185" s="14" t="str">
        <f t="shared" si="49"/>
        <v>01</v>
      </c>
    </row>
    <row r="3186" spans="1:1">
      <c r="A3186" s="14" t="str">
        <f t="shared" si="49"/>
        <v>01</v>
      </c>
    </row>
    <row r="3187" spans="1:1">
      <c r="A3187" s="14" t="str">
        <f t="shared" si="49"/>
        <v>01</v>
      </c>
    </row>
    <row r="3188" spans="1:1">
      <c r="A3188" s="14" t="str">
        <f t="shared" si="49"/>
        <v>01</v>
      </c>
    </row>
    <row r="3189" spans="1:1">
      <c r="A3189" s="14" t="str">
        <f t="shared" si="49"/>
        <v>01</v>
      </c>
    </row>
    <row r="3190" spans="1:1">
      <c r="A3190" s="14" t="str">
        <f t="shared" si="49"/>
        <v>01</v>
      </c>
    </row>
    <row r="3191" spans="1:1">
      <c r="A3191" s="14" t="str">
        <f t="shared" si="49"/>
        <v>01</v>
      </c>
    </row>
    <row r="3192" spans="1:1">
      <c r="A3192" s="14" t="str">
        <f t="shared" si="49"/>
        <v>01</v>
      </c>
    </row>
    <row r="3193" spans="1:1">
      <c r="A3193" s="14" t="str">
        <f t="shared" si="49"/>
        <v>01</v>
      </c>
    </row>
    <row r="3194" spans="1:1">
      <c r="A3194" s="14" t="str">
        <f t="shared" si="49"/>
        <v>01</v>
      </c>
    </row>
    <row r="3195" spans="1:1">
      <c r="A3195" s="14" t="str">
        <f t="shared" si="49"/>
        <v>01</v>
      </c>
    </row>
    <row r="3196" spans="1:1">
      <c r="A3196" s="14" t="str">
        <f t="shared" si="49"/>
        <v>01</v>
      </c>
    </row>
    <row r="3197" spans="1:1">
      <c r="A3197" s="14" t="str">
        <f t="shared" si="49"/>
        <v>01</v>
      </c>
    </row>
    <row r="3198" spans="1:1">
      <c r="A3198" s="14" t="str">
        <f t="shared" si="49"/>
        <v>01</v>
      </c>
    </row>
    <row r="3199" spans="1:1">
      <c r="A3199" s="14" t="str">
        <f t="shared" si="49"/>
        <v>01</v>
      </c>
    </row>
    <row r="3200" spans="1:1">
      <c r="A3200" s="14" t="str">
        <f t="shared" si="49"/>
        <v>01</v>
      </c>
    </row>
    <row r="3201" spans="1:1">
      <c r="A3201" s="14" t="str">
        <f t="shared" si="49"/>
        <v>01</v>
      </c>
    </row>
    <row r="3202" spans="1:1">
      <c r="A3202" s="14" t="str">
        <f t="shared" si="49"/>
        <v>01</v>
      </c>
    </row>
    <row r="3203" spans="1:1">
      <c r="A3203" s="14" t="str">
        <f t="shared" ref="A3203:A3266" si="50">TEXT(L3203,"MM")</f>
        <v>01</v>
      </c>
    </row>
    <row r="3204" spans="1:1">
      <c r="A3204" s="14" t="str">
        <f t="shared" si="50"/>
        <v>01</v>
      </c>
    </row>
    <row r="3205" spans="1:1">
      <c r="A3205" s="14" t="str">
        <f t="shared" si="50"/>
        <v>01</v>
      </c>
    </row>
    <row r="3206" spans="1:1">
      <c r="A3206" s="14" t="str">
        <f t="shared" si="50"/>
        <v>01</v>
      </c>
    </row>
    <row r="3207" spans="1:1">
      <c r="A3207" s="14" t="str">
        <f t="shared" si="50"/>
        <v>01</v>
      </c>
    </row>
    <row r="3208" spans="1:1">
      <c r="A3208" s="14" t="str">
        <f t="shared" si="50"/>
        <v>01</v>
      </c>
    </row>
    <row r="3209" spans="1:1">
      <c r="A3209" s="14" t="str">
        <f t="shared" si="50"/>
        <v>01</v>
      </c>
    </row>
    <row r="3210" spans="1:1">
      <c r="A3210" s="14" t="str">
        <f t="shared" si="50"/>
        <v>01</v>
      </c>
    </row>
    <row r="3211" spans="1:1">
      <c r="A3211" s="14" t="str">
        <f t="shared" si="50"/>
        <v>01</v>
      </c>
    </row>
    <row r="3212" spans="1:1">
      <c r="A3212" s="14" t="str">
        <f t="shared" si="50"/>
        <v>01</v>
      </c>
    </row>
    <row r="3213" spans="1:1">
      <c r="A3213" s="14" t="str">
        <f t="shared" si="50"/>
        <v>01</v>
      </c>
    </row>
    <row r="3214" spans="1:1">
      <c r="A3214" s="14" t="str">
        <f t="shared" si="50"/>
        <v>01</v>
      </c>
    </row>
    <row r="3215" spans="1:1">
      <c r="A3215" s="14" t="str">
        <f t="shared" si="50"/>
        <v>01</v>
      </c>
    </row>
    <row r="3216" spans="1:1">
      <c r="A3216" s="14" t="str">
        <f t="shared" si="50"/>
        <v>01</v>
      </c>
    </row>
    <row r="3217" spans="1:25">
      <c r="A3217" s="14" t="str">
        <f t="shared" si="50"/>
        <v>01</v>
      </c>
    </row>
    <row r="3218" spans="1:25">
      <c r="A3218" s="14" t="str">
        <f t="shared" si="50"/>
        <v>01</v>
      </c>
      <c r="R3218"/>
      <c r="S3218"/>
      <c r="T3218"/>
      <c r="V3218"/>
      <c r="W3218"/>
      <c r="X3218"/>
      <c r="Y3218"/>
    </row>
    <row r="3219" spans="1:25">
      <c r="A3219" s="14" t="str">
        <f t="shared" si="50"/>
        <v>01</v>
      </c>
      <c r="R3219"/>
      <c r="S3219"/>
      <c r="T3219"/>
      <c r="V3219"/>
      <c r="W3219"/>
      <c r="X3219"/>
      <c r="Y3219"/>
    </row>
    <row r="3220" spans="1:25">
      <c r="A3220" s="14" t="str">
        <f t="shared" si="50"/>
        <v>01</v>
      </c>
      <c r="R3220"/>
      <c r="S3220"/>
      <c r="T3220"/>
      <c r="V3220"/>
      <c r="W3220"/>
      <c r="X3220"/>
      <c r="Y3220"/>
    </row>
    <row r="3221" spans="1:25">
      <c r="A3221" s="14" t="str">
        <f t="shared" si="50"/>
        <v>01</v>
      </c>
      <c r="R3221"/>
      <c r="S3221"/>
      <c r="T3221"/>
      <c r="V3221"/>
      <c r="W3221"/>
      <c r="X3221"/>
      <c r="Y3221"/>
    </row>
    <row r="3222" spans="1:25">
      <c r="A3222" s="14" t="str">
        <f t="shared" si="50"/>
        <v>01</v>
      </c>
      <c r="R3222"/>
      <c r="S3222"/>
      <c r="T3222"/>
      <c r="V3222"/>
      <c r="W3222"/>
      <c r="X3222"/>
      <c r="Y3222"/>
    </row>
    <row r="3223" spans="1:25">
      <c r="A3223" s="14" t="str">
        <f t="shared" si="50"/>
        <v>01</v>
      </c>
      <c r="R3223"/>
      <c r="S3223"/>
      <c r="T3223"/>
      <c r="V3223"/>
      <c r="W3223"/>
      <c r="X3223"/>
      <c r="Y3223"/>
    </row>
    <row r="3224" spans="1:25">
      <c r="A3224" s="14" t="str">
        <f t="shared" si="50"/>
        <v>01</v>
      </c>
      <c r="R3224"/>
      <c r="S3224"/>
      <c r="T3224"/>
      <c r="V3224"/>
      <c r="W3224"/>
      <c r="X3224"/>
      <c r="Y3224"/>
    </row>
    <row r="3225" spans="1:25">
      <c r="A3225" s="14" t="str">
        <f t="shared" si="50"/>
        <v>01</v>
      </c>
      <c r="R3225"/>
      <c r="S3225"/>
      <c r="T3225"/>
      <c r="V3225"/>
      <c r="W3225"/>
      <c r="X3225"/>
      <c r="Y3225"/>
    </row>
    <row r="3226" spans="1:25">
      <c r="A3226" s="14" t="str">
        <f t="shared" si="50"/>
        <v>01</v>
      </c>
      <c r="R3226"/>
      <c r="S3226"/>
      <c r="T3226"/>
      <c r="V3226"/>
      <c r="W3226"/>
      <c r="X3226"/>
      <c r="Y3226"/>
    </row>
    <row r="3227" spans="1:25">
      <c r="A3227" s="14" t="str">
        <f t="shared" si="50"/>
        <v>01</v>
      </c>
      <c r="R3227"/>
      <c r="S3227"/>
      <c r="T3227"/>
      <c r="V3227"/>
      <c r="W3227"/>
      <c r="X3227"/>
      <c r="Y3227"/>
    </row>
    <row r="3228" spans="1:25">
      <c r="A3228" s="14" t="str">
        <f t="shared" si="50"/>
        <v>01</v>
      </c>
      <c r="R3228"/>
      <c r="S3228"/>
      <c r="T3228"/>
      <c r="V3228"/>
      <c r="W3228"/>
      <c r="X3228"/>
      <c r="Y3228"/>
    </row>
    <row r="3229" spans="1:25">
      <c r="A3229" s="14" t="str">
        <f t="shared" si="50"/>
        <v>01</v>
      </c>
      <c r="R3229"/>
      <c r="S3229"/>
      <c r="T3229"/>
      <c r="V3229"/>
      <c r="W3229"/>
      <c r="X3229"/>
      <c r="Y3229"/>
    </row>
    <row r="3230" spans="1:25">
      <c r="A3230" s="14" t="str">
        <f t="shared" si="50"/>
        <v>01</v>
      </c>
      <c r="R3230"/>
      <c r="S3230"/>
      <c r="T3230"/>
      <c r="V3230"/>
      <c r="W3230"/>
      <c r="X3230"/>
      <c r="Y3230"/>
    </row>
    <row r="3231" spans="1:25">
      <c r="A3231" s="14" t="str">
        <f t="shared" si="50"/>
        <v>01</v>
      </c>
      <c r="R3231"/>
      <c r="S3231"/>
      <c r="T3231"/>
      <c r="V3231"/>
      <c r="W3231"/>
      <c r="X3231"/>
      <c r="Y3231"/>
    </row>
    <row r="3232" spans="1:25">
      <c r="A3232" s="14" t="str">
        <f t="shared" si="50"/>
        <v>01</v>
      </c>
      <c r="R3232"/>
      <c r="S3232"/>
      <c r="T3232"/>
      <c r="V3232"/>
      <c r="W3232"/>
      <c r="X3232"/>
      <c r="Y3232"/>
    </row>
    <row r="3233" spans="1:25">
      <c r="A3233" s="14" t="str">
        <f t="shared" si="50"/>
        <v>01</v>
      </c>
      <c r="R3233"/>
      <c r="S3233"/>
      <c r="T3233"/>
      <c r="V3233"/>
      <c r="W3233"/>
      <c r="X3233"/>
      <c r="Y3233"/>
    </row>
    <row r="3234" spans="1:25">
      <c r="A3234" s="14" t="str">
        <f t="shared" si="50"/>
        <v>01</v>
      </c>
      <c r="R3234"/>
      <c r="S3234"/>
      <c r="T3234"/>
      <c r="V3234"/>
      <c r="W3234"/>
      <c r="X3234"/>
      <c r="Y3234"/>
    </row>
    <row r="3235" spans="1:25">
      <c r="A3235" s="14" t="str">
        <f t="shared" si="50"/>
        <v>01</v>
      </c>
      <c r="R3235"/>
      <c r="S3235"/>
      <c r="T3235"/>
      <c r="V3235"/>
      <c r="W3235"/>
      <c r="X3235"/>
      <c r="Y3235"/>
    </row>
    <row r="3236" spans="1:25">
      <c r="A3236" s="14" t="str">
        <f t="shared" si="50"/>
        <v>01</v>
      </c>
      <c r="R3236"/>
      <c r="S3236"/>
      <c r="T3236"/>
      <c r="V3236"/>
      <c r="W3236"/>
      <c r="X3236"/>
      <c r="Y3236"/>
    </row>
    <row r="3237" spans="1:25">
      <c r="A3237" s="14" t="str">
        <f t="shared" si="50"/>
        <v>01</v>
      </c>
      <c r="R3237"/>
      <c r="S3237"/>
      <c r="T3237"/>
      <c r="V3237"/>
      <c r="W3237"/>
      <c r="X3237"/>
      <c r="Y3237"/>
    </row>
    <row r="3238" spans="1:25">
      <c r="A3238" s="14" t="str">
        <f t="shared" si="50"/>
        <v>01</v>
      </c>
      <c r="R3238"/>
      <c r="S3238"/>
      <c r="T3238"/>
      <c r="V3238"/>
      <c r="W3238"/>
      <c r="X3238"/>
      <c r="Y3238"/>
    </row>
    <row r="3239" spans="1:25">
      <c r="A3239" s="14" t="str">
        <f t="shared" si="50"/>
        <v>01</v>
      </c>
      <c r="R3239"/>
      <c r="S3239"/>
      <c r="T3239"/>
      <c r="V3239"/>
      <c r="W3239"/>
      <c r="X3239"/>
      <c r="Y3239"/>
    </row>
    <row r="3240" spans="1:25">
      <c r="A3240" s="14" t="str">
        <f t="shared" si="50"/>
        <v>01</v>
      </c>
      <c r="R3240"/>
      <c r="S3240"/>
      <c r="T3240"/>
      <c r="V3240"/>
      <c r="W3240"/>
      <c r="X3240"/>
      <c r="Y3240"/>
    </row>
    <row r="3241" spans="1:25">
      <c r="A3241" s="14" t="str">
        <f t="shared" si="50"/>
        <v>01</v>
      </c>
      <c r="R3241"/>
      <c r="S3241"/>
      <c r="T3241"/>
      <c r="V3241"/>
      <c r="W3241"/>
      <c r="X3241"/>
      <c r="Y3241"/>
    </row>
    <row r="3242" spans="1:25">
      <c r="A3242" s="14" t="str">
        <f t="shared" si="50"/>
        <v>01</v>
      </c>
      <c r="R3242"/>
      <c r="S3242"/>
      <c r="T3242"/>
      <c r="V3242"/>
      <c r="W3242"/>
      <c r="X3242"/>
      <c r="Y3242"/>
    </row>
    <row r="3243" spans="1:25">
      <c r="A3243" s="14" t="str">
        <f t="shared" si="50"/>
        <v>01</v>
      </c>
      <c r="R3243"/>
      <c r="S3243"/>
      <c r="T3243"/>
      <c r="V3243"/>
      <c r="W3243"/>
      <c r="X3243"/>
      <c r="Y3243"/>
    </row>
    <row r="3244" spans="1:25">
      <c r="A3244" s="14" t="str">
        <f t="shared" si="50"/>
        <v>01</v>
      </c>
      <c r="R3244"/>
      <c r="S3244"/>
      <c r="T3244"/>
      <c r="V3244"/>
      <c r="W3244"/>
      <c r="X3244"/>
      <c r="Y3244"/>
    </row>
    <row r="3245" spans="1:25">
      <c r="A3245" s="14" t="str">
        <f t="shared" si="50"/>
        <v>01</v>
      </c>
      <c r="R3245"/>
      <c r="S3245"/>
      <c r="T3245"/>
      <c r="V3245"/>
      <c r="W3245"/>
      <c r="X3245"/>
      <c r="Y3245"/>
    </row>
    <row r="3246" spans="1:25">
      <c r="A3246" s="14" t="str">
        <f t="shared" si="50"/>
        <v>01</v>
      </c>
      <c r="R3246"/>
      <c r="S3246"/>
      <c r="T3246"/>
      <c r="V3246"/>
      <c r="W3246"/>
      <c r="X3246"/>
      <c r="Y3246"/>
    </row>
    <row r="3247" spans="1:25">
      <c r="A3247" s="14" t="str">
        <f t="shared" si="50"/>
        <v>01</v>
      </c>
      <c r="R3247"/>
      <c r="S3247"/>
      <c r="T3247"/>
      <c r="V3247"/>
      <c r="W3247"/>
      <c r="X3247"/>
      <c r="Y3247"/>
    </row>
    <row r="3248" spans="1:25">
      <c r="A3248" s="14" t="str">
        <f t="shared" si="50"/>
        <v>01</v>
      </c>
      <c r="R3248"/>
      <c r="S3248"/>
      <c r="T3248"/>
      <c r="V3248"/>
      <c r="W3248"/>
      <c r="X3248"/>
      <c r="Y3248"/>
    </row>
    <row r="3249" spans="1:25">
      <c r="A3249" s="14" t="str">
        <f t="shared" si="50"/>
        <v>01</v>
      </c>
      <c r="R3249"/>
      <c r="S3249"/>
      <c r="T3249"/>
      <c r="V3249"/>
      <c r="W3249"/>
      <c r="X3249"/>
      <c r="Y3249"/>
    </row>
    <row r="3250" spans="1:25">
      <c r="A3250" s="14" t="str">
        <f t="shared" si="50"/>
        <v>01</v>
      </c>
      <c r="R3250"/>
      <c r="S3250"/>
      <c r="T3250"/>
      <c r="V3250"/>
      <c r="W3250"/>
      <c r="X3250"/>
      <c r="Y3250"/>
    </row>
    <row r="3251" spans="1:25">
      <c r="A3251" s="14" t="str">
        <f t="shared" si="50"/>
        <v>01</v>
      </c>
      <c r="R3251"/>
      <c r="S3251"/>
      <c r="T3251"/>
      <c r="V3251"/>
      <c r="W3251"/>
      <c r="X3251"/>
      <c r="Y3251"/>
    </row>
    <row r="3252" spans="1:25">
      <c r="A3252" s="14" t="str">
        <f t="shared" si="50"/>
        <v>01</v>
      </c>
      <c r="R3252"/>
      <c r="S3252"/>
      <c r="T3252"/>
      <c r="V3252"/>
      <c r="W3252"/>
      <c r="X3252"/>
      <c r="Y3252"/>
    </row>
    <row r="3253" spans="1:25">
      <c r="A3253" s="14" t="str">
        <f t="shared" si="50"/>
        <v>01</v>
      </c>
      <c r="R3253"/>
      <c r="S3253"/>
      <c r="T3253"/>
      <c r="V3253"/>
      <c r="W3253"/>
      <c r="X3253"/>
      <c r="Y3253"/>
    </row>
    <row r="3254" spans="1:25">
      <c r="A3254" s="14" t="str">
        <f t="shared" si="50"/>
        <v>01</v>
      </c>
      <c r="R3254"/>
      <c r="S3254"/>
      <c r="T3254"/>
      <c r="V3254"/>
      <c r="W3254"/>
      <c r="X3254"/>
      <c r="Y3254"/>
    </row>
    <row r="3255" spans="1:25">
      <c r="A3255" s="14" t="str">
        <f t="shared" si="50"/>
        <v>01</v>
      </c>
      <c r="R3255"/>
      <c r="S3255"/>
      <c r="T3255"/>
      <c r="V3255"/>
      <c r="W3255"/>
      <c r="X3255"/>
      <c r="Y3255"/>
    </row>
    <row r="3256" spans="1:25">
      <c r="A3256" s="14" t="str">
        <f t="shared" si="50"/>
        <v>01</v>
      </c>
      <c r="R3256"/>
      <c r="S3256"/>
      <c r="T3256"/>
      <c r="V3256"/>
      <c r="W3256"/>
      <c r="X3256"/>
      <c r="Y3256"/>
    </row>
    <row r="3257" spans="1:25">
      <c r="A3257" s="14" t="str">
        <f t="shared" si="50"/>
        <v>01</v>
      </c>
      <c r="R3257"/>
      <c r="S3257"/>
      <c r="T3257"/>
      <c r="V3257"/>
      <c r="W3257"/>
      <c r="X3257"/>
      <c r="Y3257"/>
    </row>
    <row r="3258" spans="1:25">
      <c r="A3258" s="14" t="str">
        <f t="shared" si="50"/>
        <v>01</v>
      </c>
      <c r="R3258"/>
      <c r="S3258"/>
      <c r="T3258"/>
      <c r="V3258"/>
      <c r="W3258"/>
      <c r="X3258"/>
      <c r="Y3258"/>
    </row>
    <row r="3259" spans="1:25">
      <c r="A3259" s="14" t="str">
        <f t="shared" si="50"/>
        <v>01</v>
      </c>
      <c r="R3259"/>
      <c r="S3259"/>
      <c r="T3259"/>
      <c r="V3259"/>
      <c r="W3259"/>
      <c r="X3259"/>
      <c r="Y3259"/>
    </row>
    <row r="3260" spans="1:25">
      <c r="A3260" s="14" t="str">
        <f t="shared" si="50"/>
        <v>01</v>
      </c>
      <c r="R3260"/>
      <c r="S3260"/>
      <c r="T3260"/>
      <c r="V3260"/>
      <c r="W3260"/>
      <c r="X3260"/>
      <c r="Y3260"/>
    </row>
    <row r="3261" spans="1:25">
      <c r="A3261" s="14" t="str">
        <f t="shared" si="50"/>
        <v>01</v>
      </c>
      <c r="R3261"/>
      <c r="S3261"/>
      <c r="T3261"/>
      <c r="V3261"/>
      <c r="W3261"/>
      <c r="X3261"/>
      <c r="Y3261"/>
    </row>
    <row r="3262" spans="1:25">
      <c r="A3262" s="14" t="str">
        <f t="shared" si="50"/>
        <v>01</v>
      </c>
      <c r="R3262"/>
      <c r="S3262"/>
      <c r="T3262"/>
      <c r="V3262"/>
      <c r="W3262"/>
      <c r="X3262"/>
      <c r="Y3262"/>
    </row>
    <row r="3263" spans="1:25">
      <c r="A3263" s="14" t="str">
        <f t="shared" si="50"/>
        <v>01</v>
      </c>
      <c r="R3263"/>
      <c r="S3263"/>
      <c r="T3263"/>
      <c r="V3263"/>
      <c r="W3263"/>
      <c r="X3263"/>
      <c r="Y3263"/>
    </row>
    <row r="3264" spans="1:25">
      <c r="A3264" s="14" t="str">
        <f t="shared" si="50"/>
        <v>01</v>
      </c>
      <c r="R3264"/>
      <c r="S3264"/>
      <c r="T3264"/>
      <c r="V3264"/>
      <c r="W3264"/>
      <c r="X3264"/>
      <c r="Y3264"/>
    </row>
    <row r="3265" spans="1:25">
      <c r="A3265" s="14" t="str">
        <f t="shared" si="50"/>
        <v>01</v>
      </c>
      <c r="R3265"/>
      <c r="S3265"/>
      <c r="T3265"/>
      <c r="V3265"/>
      <c r="W3265"/>
      <c r="X3265"/>
      <c r="Y3265"/>
    </row>
    <row r="3266" spans="1:25">
      <c r="A3266" s="14" t="str">
        <f t="shared" si="50"/>
        <v>01</v>
      </c>
      <c r="R3266"/>
      <c r="S3266"/>
      <c r="T3266"/>
      <c r="V3266"/>
      <c r="W3266"/>
      <c r="X3266"/>
      <c r="Y3266"/>
    </row>
    <row r="3267" spans="1:25">
      <c r="A3267" s="14" t="str">
        <f t="shared" ref="A3267:A3330" si="51">TEXT(L3267,"MM")</f>
        <v>01</v>
      </c>
      <c r="R3267"/>
      <c r="S3267"/>
      <c r="T3267"/>
      <c r="V3267"/>
      <c r="W3267"/>
      <c r="X3267"/>
      <c r="Y3267"/>
    </row>
    <row r="3268" spans="1:25">
      <c r="A3268" s="14" t="str">
        <f t="shared" si="51"/>
        <v>01</v>
      </c>
      <c r="R3268"/>
      <c r="S3268"/>
      <c r="T3268"/>
      <c r="V3268"/>
      <c r="W3268"/>
      <c r="X3268"/>
      <c r="Y3268"/>
    </row>
    <row r="3269" spans="1:25">
      <c r="A3269" s="14" t="str">
        <f t="shared" si="51"/>
        <v>01</v>
      </c>
      <c r="R3269"/>
      <c r="S3269"/>
      <c r="T3269"/>
      <c r="V3269"/>
      <c r="W3269"/>
      <c r="X3269"/>
      <c r="Y3269"/>
    </row>
    <row r="3270" spans="1:25">
      <c r="A3270" s="14" t="str">
        <f t="shared" si="51"/>
        <v>01</v>
      </c>
      <c r="R3270"/>
      <c r="S3270"/>
      <c r="T3270"/>
      <c r="V3270"/>
      <c r="W3270"/>
      <c r="X3270"/>
      <c r="Y3270"/>
    </row>
    <row r="3271" spans="1:25">
      <c r="A3271" s="14" t="str">
        <f t="shared" si="51"/>
        <v>01</v>
      </c>
      <c r="R3271"/>
      <c r="S3271"/>
      <c r="T3271"/>
      <c r="V3271"/>
      <c r="W3271"/>
      <c r="X3271"/>
      <c r="Y3271"/>
    </row>
    <row r="3272" spans="1:25">
      <c r="A3272" s="14" t="str">
        <f t="shared" si="51"/>
        <v>01</v>
      </c>
      <c r="R3272"/>
      <c r="S3272"/>
      <c r="T3272"/>
      <c r="V3272"/>
      <c r="W3272"/>
      <c r="X3272"/>
      <c r="Y3272"/>
    </row>
    <row r="3273" spans="1:25">
      <c r="A3273" s="14" t="str">
        <f t="shared" si="51"/>
        <v>01</v>
      </c>
      <c r="R3273"/>
      <c r="S3273"/>
      <c r="T3273"/>
      <c r="V3273"/>
      <c r="W3273"/>
      <c r="X3273"/>
      <c r="Y3273"/>
    </row>
    <row r="3274" spans="1:25">
      <c r="A3274" s="14" t="str">
        <f t="shared" si="51"/>
        <v>01</v>
      </c>
      <c r="R3274"/>
      <c r="S3274"/>
      <c r="T3274"/>
      <c r="V3274"/>
      <c r="W3274"/>
      <c r="X3274"/>
      <c r="Y3274"/>
    </row>
    <row r="3275" spans="1:25">
      <c r="A3275" s="14" t="str">
        <f t="shared" si="51"/>
        <v>01</v>
      </c>
      <c r="R3275"/>
      <c r="S3275"/>
      <c r="T3275"/>
      <c r="V3275"/>
      <c r="W3275"/>
      <c r="X3275"/>
      <c r="Y3275"/>
    </row>
    <row r="3276" spans="1:25">
      <c r="A3276" s="14" t="str">
        <f t="shared" si="51"/>
        <v>01</v>
      </c>
      <c r="R3276"/>
      <c r="S3276"/>
      <c r="T3276"/>
      <c r="V3276"/>
      <c r="W3276"/>
      <c r="X3276"/>
      <c r="Y3276"/>
    </row>
    <row r="3277" spans="1:25">
      <c r="A3277" s="14" t="str">
        <f t="shared" si="51"/>
        <v>01</v>
      </c>
      <c r="R3277"/>
      <c r="S3277"/>
      <c r="T3277"/>
      <c r="V3277"/>
      <c r="W3277"/>
      <c r="X3277"/>
      <c r="Y3277"/>
    </row>
    <row r="3278" spans="1:25">
      <c r="A3278" s="14" t="str">
        <f t="shared" si="51"/>
        <v>01</v>
      </c>
      <c r="R3278"/>
      <c r="S3278"/>
      <c r="T3278"/>
      <c r="V3278"/>
      <c r="W3278"/>
      <c r="X3278"/>
      <c r="Y3278"/>
    </row>
    <row r="3279" spans="1:25">
      <c r="A3279" s="14" t="str">
        <f t="shared" si="51"/>
        <v>01</v>
      </c>
      <c r="R3279"/>
      <c r="S3279"/>
      <c r="T3279"/>
      <c r="V3279"/>
      <c r="W3279"/>
      <c r="X3279"/>
      <c r="Y3279"/>
    </row>
    <row r="3280" spans="1:25">
      <c r="A3280" s="14" t="str">
        <f t="shared" si="51"/>
        <v>01</v>
      </c>
      <c r="R3280"/>
      <c r="S3280"/>
      <c r="T3280"/>
      <c r="V3280"/>
      <c r="W3280"/>
      <c r="X3280"/>
      <c r="Y3280"/>
    </row>
    <row r="3281" spans="1:25">
      <c r="A3281" s="14" t="str">
        <f t="shared" si="51"/>
        <v>01</v>
      </c>
      <c r="R3281"/>
      <c r="S3281"/>
      <c r="T3281"/>
      <c r="V3281"/>
      <c r="W3281"/>
      <c r="X3281"/>
      <c r="Y3281"/>
    </row>
    <row r="3282" spans="1:25">
      <c r="A3282" s="14" t="str">
        <f t="shared" si="51"/>
        <v>01</v>
      </c>
      <c r="R3282"/>
      <c r="S3282"/>
      <c r="T3282"/>
      <c r="V3282"/>
      <c r="W3282"/>
      <c r="X3282"/>
      <c r="Y3282"/>
    </row>
    <row r="3283" spans="1:25">
      <c r="A3283" s="14" t="str">
        <f t="shared" si="51"/>
        <v>01</v>
      </c>
      <c r="R3283"/>
      <c r="S3283"/>
      <c r="T3283"/>
      <c r="V3283"/>
      <c r="W3283"/>
      <c r="X3283"/>
      <c r="Y3283"/>
    </row>
    <row r="3284" spans="1:25">
      <c r="A3284" s="14" t="str">
        <f t="shared" si="51"/>
        <v>01</v>
      </c>
      <c r="R3284"/>
      <c r="S3284"/>
      <c r="T3284"/>
      <c r="V3284"/>
      <c r="W3284"/>
      <c r="X3284"/>
      <c r="Y3284"/>
    </row>
    <row r="3285" spans="1:25">
      <c r="A3285" s="14" t="str">
        <f t="shared" si="51"/>
        <v>01</v>
      </c>
      <c r="R3285"/>
      <c r="S3285"/>
      <c r="T3285"/>
      <c r="V3285"/>
      <c r="W3285"/>
      <c r="X3285"/>
      <c r="Y3285"/>
    </row>
    <row r="3286" spans="1:25">
      <c r="A3286" s="14" t="str">
        <f t="shared" si="51"/>
        <v>01</v>
      </c>
      <c r="R3286"/>
      <c r="S3286"/>
      <c r="T3286"/>
      <c r="V3286"/>
      <c r="W3286"/>
      <c r="X3286"/>
      <c r="Y3286"/>
    </row>
    <row r="3287" spans="1:25">
      <c r="A3287" s="14" t="str">
        <f t="shared" si="51"/>
        <v>01</v>
      </c>
      <c r="R3287"/>
      <c r="S3287"/>
      <c r="T3287"/>
      <c r="V3287"/>
      <c r="W3287"/>
      <c r="X3287"/>
      <c r="Y3287"/>
    </row>
    <row r="3288" spans="1:25">
      <c r="A3288" s="14" t="str">
        <f t="shared" si="51"/>
        <v>01</v>
      </c>
      <c r="R3288"/>
      <c r="S3288"/>
      <c r="T3288"/>
      <c r="V3288"/>
      <c r="W3288"/>
      <c r="X3288"/>
      <c r="Y3288"/>
    </row>
    <row r="3289" spans="1:25">
      <c r="A3289" s="14" t="str">
        <f t="shared" si="51"/>
        <v>01</v>
      </c>
      <c r="R3289"/>
      <c r="S3289"/>
      <c r="T3289"/>
      <c r="V3289"/>
      <c r="W3289"/>
      <c r="X3289"/>
      <c r="Y3289"/>
    </row>
    <row r="3290" spans="1:25">
      <c r="A3290" s="14" t="str">
        <f t="shared" si="51"/>
        <v>01</v>
      </c>
      <c r="R3290"/>
      <c r="S3290"/>
      <c r="T3290"/>
      <c r="V3290"/>
      <c r="W3290"/>
      <c r="X3290"/>
      <c r="Y3290"/>
    </row>
    <row r="3291" spans="1:25">
      <c r="A3291" s="14" t="str">
        <f t="shared" si="51"/>
        <v>01</v>
      </c>
      <c r="R3291"/>
      <c r="S3291"/>
      <c r="T3291"/>
      <c r="V3291"/>
      <c r="W3291"/>
      <c r="X3291"/>
      <c r="Y3291"/>
    </row>
    <row r="3292" spans="1:25">
      <c r="A3292" s="14" t="str">
        <f t="shared" si="51"/>
        <v>01</v>
      </c>
      <c r="R3292"/>
      <c r="S3292"/>
      <c r="T3292"/>
      <c r="V3292"/>
      <c r="W3292"/>
      <c r="X3292"/>
      <c r="Y3292"/>
    </row>
    <row r="3293" spans="1:25">
      <c r="A3293" s="14" t="str">
        <f t="shared" si="51"/>
        <v>01</v>
      </c>
      <c r="R3293"/>
      <c r="S3293"/>
      <c r="T3293"/>
      <c r="V3293"/>
      <c r="W3293"/>
      <c r="X3293"/>
      <c r="Y3293"/>
    </row>
    <row r="3294" spans="1:25">
      <c r="A3294" s="14" t="str">
        <f t="shared" si="51"/>
        <v>01</v>
      </c>
      <c r="R3294"/>
      <c r="S3294"/>
      <c r="T3294"/>
      <c r="V3294"/>
      <c r="W3294"/>
      <c r="X3294"/>
      <c r="Y3294"/>
    </row>
    <row r="3295" spans="1:25">
      <c r="A3295" s="14" t="str">
        <f t="shared" si="51"/>
        <v>01</v>
      </c>
      <c r="R3295"/>
      <c r="S3295"/>
      <c r="T3295"/>
      <c r="V3295"/>
      <c r="W3295"/>
      <c r="X3295"/>
      <c r="Y3295"/>
    </row>
    <row r="3296" spans="1:25">
      <c r="A3296" s="14" t="str">
        <f t="shared" si="51"/>
        <v>01</v>
      </c>
      <c r="R3296"/>
      <c r="S3296"/>
      <c r="T3296"/>
      <c r="V3296"/>
      <c r="W3296"/>
      <c r="X3296"/>
      <c r="Y3296"/>
    </row>
    <row r="3297" spans="1:25">
      <c r="A3297" s="14" t="str">
        <f t="shared" si="51"/>
        <v>01</v>
      </c>
      <c r="R3297"/>
      <c r="S3297"/>
      <c r="T3297"/>
      <c r="V3297"/>
      <c r="W3297"/>
      <c r="X3297"/>
      <c r="Y3297"/>
    </row>
    <row r="3298" spans="1:25">
      <c r="A3298" s="14" t="str">
        <f t="shared" si="51"/>
        <v>01</v>
      </c>
      <c r="R3298"/>
      <c r="S3298"/>
      <c r="T3298"/>
      <c r="V3298"/>
      <c r="W3298"/>
      <c r="X3298"/>
      <c r="Y3298"/>
    </row>
    <row r="3299" spans="1:25">
      <c r="A3299" s="14" t="str">
        <f t="shared" si="51"/>
        <v>01</v>
      </c>
      <c r="R3299"/>
      <c r="S3299"/>
      <c r="T3299"/>
      <c r="V3299"/>
      <c r="W3299"/>
      <c r="X3299"/>
      <c r="Y3299"/>
    </row>
    <row r="3300" spans="1:25">
      <c r="A3300" s="14" t="str">
        <f t="shared" si="51"/>
        <v>01</v>
      </c>
      <c r="R3300"/>
      <c r="S3300"/>
      <c r="T3300"/>
      <c r="V3300"/>
      <c r="W3300"/>
      <c r="X3300"/>
      <c r="Y3300"/>
    </row>
    <row r="3301" spans="1:25">
      <c r="A3301" s="14" t="str">
        <f t="shared" si="51"/>
        <v>01</v>
      </c>
      <c r="R3301"/>
      <c r="S3301"/>
      <c r="T3301"/>
      <c r="V3301"/>
      <c r="W3301"/>
      <c r="X3301"/>
      <c r="Y3301"/>
    </row>
    <row r="3302" spans="1:25">
      <c r="A3302" s="14" t="str">
        <f t="shared" si="51"/>
        <v>01</v>
      </c>
      <c r="R3302"/>
      <c r="S3302"/>
      <c r="T3302"/>
      <c r="V3302"/>
      <c r="W3302"/>
      <c r="X3302"/>
      <c r="Y3302"/>
    </row>
    <row r="3303" spans="1:25">
      <c r="A3303" s="14" t="str">
        <f t="shared" si="51"/>
        <v>01</v>
      </c>
      <c r="R3303"/>
      <c r="S3303"/>
      <c r="T3303"/>
      <c r="V3303"/>
      <c r="W3303"/>
      <c r="X3303"/>
      <c r="Y3303"/>
    </row>
    <row r="3304" spans="1:25">
      <c r="A3304" s="14" t="str">
        <f t="shared" si="51"/>
        <v>01</v>
      </c>
      <c r="R3304"/>
      <c r="S3304"/>
      <c r="T3304"/>
      <c r="V3304"/>
      <c r="W3304"/>
      <c r="X3304"/>
      <c r="Y3304"/>
    </row>
    <row r="3305" spans="1:25">
      <c r="A3305" s="14" t="str">
        <f t="shared" si="51"/>
        <v>01</v>
      </c>
      <c r="R3305"/>
      <c r="S3305"/>
      <c r="T3305"/>
      <c r="V3305"/>
      <c r="W3305"/>
      <c r="X3305"/>
      <c r="Y3305"/>
    </row>
    <row r="3306" spans="1:25">
      <c r="A3306" s="14" t="str">
        <f t="shared" si="51"/>
        <v>01</v>
      </c>
      <c r="R3306"/>
      <c r="S3306"/>
      <c r="T3306"/>
      <c r="V3306"/>
      <c r="W3306"/>
      <c r="X3306"/>
      <c r="Y3306"/>
    </row>
    <row r="3307" spans="1:25">
      <c r="A3307" s="14" t="str">
        <f t="shared" si="51"/>
        <v>01</v>
      </c>
      <c r="R3307"/>
      <c r="S3307"/>
      <c r="T3307"/>
      <c r="V3307"/>
      <c r="W3307"/>
      <c r="X3307"/>
      <c r="Y3307"/>
    </row>
    <row r="3308" spans="1:25">
      <c r="A3308" s="14" t="str">
        <f t="shared" si="51"/>
        <v>01</v>
      </c>
      <c r="R3308"/>
      <c r="S3308"/>
      <c r="T3308"/>
      <c r="V3308"/>
      <c r="W3308"/>
      <c r="X3308"/>
      <c r="Y3308"/>
    </row>
    <row r="3309" spans="1:25">
      <c r="A3309" s="14" t="str">
        <f t="shared" si="51"/>
        <v>01</v>
      </c>
      <c r="R3309"/>
      <c r="S3309"/>
      <c r="T3309"/>
      <c r="V3309"/>
      <c r="W3309"/>
      <c r="X3309"/>
      <c r="Y3309"/>
    </row>
    <row r="3310" spans="1:25">
      <c r="A3310" s="14" t="str">
        <f t="shared" si="51"/>
        <v>01</v>
      </c>
      <c r="R3310"/>
      <c r="S3310"/>
      <c r="T3310"/>
      <c r="V3310"/>
      <c r="W3310"/>
      <c r="X3310"/>
      <c r="Y3310"/>
    </row>
    <row r="3311" spans="1:25">
      <c r="A3311" s="14" t="str">
        <f t="shared" si="51"/>
        <v>01</v>
      </c>
      <c r="R3311"/>
      <c r="S3311"/>
      <c r="T3311"/>
      <c r="V3311"/>
      <c r="W3311"/>
      <c r="X3311"/>
      <c r="Y3311"/>
    </row>
    <row r="3312" spans="1:25">
      <c r="A3312" s="14" t="str">
        <f t="shared" si="51"/>
        <v>01</v>
      </c>
      <c r="R3312"/>
      <c r="S3312"/>
      <c r="T3312"/>
      <c r="V3312"/>
      <c r="W3312"/>
      <c r="X3312"/>
      <c r="Y3312"/>
    </row>
    <row r="3313" spans="1:25">
      <c r="A3313" s="14" t="str">
        <f t="shared" si="51"/>
        <v>01</v>
      </c>
      <c r="R3313"/>
      <c r="S3313"/>
      <c r="T3313"/>
      <c r="V3313"/>
      <c r="W3313"/>
      <c r="X3313"/>
      <c r="Y3313"/>
    </row>
    <row r="3314" spans="1:25">
      <c r="A3314" s="14" t="str">
        <f t="shared" si="51"/>
        <v>01</v>
      </c>
      <c r="R3314"/>
      <c r="S3314"/>
      <c r="T3314"/>
      <c r="V3314"/>
      <c r="W3314"/>
      <c r="X3314"/>
      <c r="Y3314"/>
    </row>
    <row r="3315" spans="1:25">
      <c r="A3315" s="14" t="str">
        <f t="shared" si="51"/>
        <v>01</v>
      </c>
      <c r="R3315"/>
      <c r="S3315"/>
      <c r="T3315"/>
      <c r="V3315"/>
      <c r="W3315"/>
      <c r="X3315"/>
      <c r="Y3315"/>
    </row>
    <row r="3316" spans="1:25">
      <c r="A3316" s="14" t="str">
        <f t="shared" si="51"/>
        <v>01</v>
      </c>
      <c r="R3316"/>
      <c r="S3316"/>
      <c r="T3316"/>
      <c r="V3316"/>
      <c r="W3316"/>
      <c r="X3316"/>
      <c r="Y3316"/>
    </row>
    <row r="3317" spans="1:25">
      <c r="A3317" s="14" t="str">
        <f t="shared" si="51"/>
        <v>01</v>
      </c>
      <c r="R3317"/>
      <c r="S3317"/>
      <c r="T3317"/>
      <c r="V3317"/>
      <c r="W3317"/>
      <c r="X3317"/>
      <c r="Y3317"/>
    </row>
    <row r="3318" spans="1:25">
      <c r="A3318" s="14" t="str">
        <f t="shared" si="51"/>
        <v>01</v>
      </c>
      <c r="R3318"/>
      <c r="S3318"/>
      <c r="T3318"/>
      <c r="V3318"/>
      <c r="W3318"/>
      <c r="X3318"/>
      <c r="Y3318"/>
    </row>
    <row r="3319" spans="1:25">
      <c r="A3319" s="14" t="str">
        <f t="shared" si="51"/>
        <v>01</v>
      </c>
      <c r="R3319"/>
      <c r="S3319"/>
      <c r="T3319"/>
      <c r="V3319"/>
      <c r="W3319"/>
      <c r="X3319"/>
      <c r="Y3319"/>
    </row>
    <row r="3320" spans="1:25">
      <c r="A3320" s="14" t="str">
        <f t="shared" si="51"/>
        <v>01</v>
      </c>
      <c r="R3320"/>
      <c r="S3320"/>
      <c r="T3320"/>
      <c r="V3320"/>
      <c r="W3320"/>
      <c r="X3320"/>
      <c r="Y3320"/>
    </row>
    <row r="3321" spans="1:25">
      <c r="A3321" s="14" t="str">
        <f t="shared" si="51"/>
        <v>01</v>
      </c>
      <c r="R3321"/>
      <c r="S3321"/>
      <c r="T3321"/>
      <c r="V3321"/>
      <c r="W3321"/>
      <c r="X3321"/>
      <c r="Y3321"/>
    </row>
    <row r="3322" spans="1:25">
      <c r="A3322" s="14" t="str">
        <f t="shared" si="51"/>
        <v>01</v>
      </c>
      <c r="R3322"/>
      <c r="S3322"/>
      <c r="T3322"/>
      <c r="V3322"/>
      <c r="W3322"/>
      <c r="X3322"/>
      <c r="Y3322"/>
    </row>
    <row r="3323" spans="1:25">
      <c r="A3323" s="14" t="str">
        <f t="shared" si="51"/>
        <v>01</v>
      </c>
      <c r="R3323"/>
      <c r="S3323"/>
      <c r="T3323"/>
      <c r="V3323"/>
      <c r="W3323"/>
      <c r="X3323"/>
      <c r="Y3323"/>
    </row>
    <row r="3324" spans="1:25">
      <c r="A3324" s="14" t="str">
        <f t="shared" si="51"/>
        <v>01</v>
      </c>
      <c r="R3324"/>
      <c r="S3324"/>
      <c r="T3324"/>
      <c r="V3324"/>
      <c r="W3324"/>
      <c r="X3324"/>
      <c r="Y3324"/>
    </row>
    <row r="3325" spans="1:25">
      <c r="A3325" s="14" t="str">
        <f t="shared" si="51"/>
        <v>01</v>
      </c>
      <c r="R3325"/>
      <c r="S3325"/>
      <c r="T3325"/>
      <c r="V3325"/>
      <c r="W3325"/>
      <c r="X3325"/>
      <c r="Y3325"/>
    </row>
    <row r="3326" spans="1:25">
      <c r="A3326" s="14" t="str">
        <f t="shared" si="51"/>
        <v>01</v>
      </c>
      <c r="R3326"/>
      <c r="S3326"/>
      <c r="T3326"/>
      <c r="V3326"/>
      <c r="W3326"/>
      <c r="X3326"/>
      <c r="Y3326"/>
    </row>
    <row r="3327" spans="1:25">
      <c r="A3327" s="14" t="str">
        <f t="shared" si="51"/>
        <v>01</v>
      </c>
      <c r="R3327"/>
      <c r="S3327"/>
      <c r="T3327"/>
      <c r="V3327"/>
      <c r="W3327"/>
      <c r="X3327"/>
      <c r="Y3327"/>
    </row>
    <row r="3328" spans="1:25">
      <c r="A3328" s="14" t="str">
        <f t="shared" si="51"/>
        <v>01</v>
      </c>
      <c r="R3328"/>
      <c r="S3328"/>
      <c r="T3328"/>
      <c r="V3328"/>
      <c r="W3328"/>
      <c r="X3328"/>
      <c r="Y3328"/>
    </row>
    <row r="3329" spans="1:25">
      <c r="A3329" s="14" t="str">
        <f t="shared" si="51"/>
        <v>01</v>
      </c>
      <c r="R3329"/>
      <c r="S3329"/>
      <c r="T3329"/>
      <c r="V3329"/>
      <c r="W3329"/>
      <c r="X3329"/>
      <c r="Y3329"/>
    </row>
    <row r="3330" spans="1:25">
      <c r="A3330" s="14" t="str">
        <f t="shared" si="51"/>
        <v>01</v>
      </c>
      <c r="R3330"/>
      <c r="S3330"/>
      <c r="T3330"/>
      <c r="V3330"/>
      <c r="W3330"/>
      <c r="X3330"/>
      <c r="Y3330"/>
    </row>
    <row r="3331" spans="1:25">
      <c r="A3331" s="14" t="str">
        <f t="shared" ref="A3331:A3394" si="52">TEXT(L3331,"MM")</f>
        <v>01</v>
      </c>
      <c r="R3331"/>
      <c r="S3331"/>
      <c r="T3331"/>
      <c r="V3331"/>
      <c r="W3331"/>
      <c r="X3331"/>
      <c r="Y3331"/>
    </row>
    <row r="3332" spans="1:25">
      <c r="A3332" s="14" t="str">
        <f t="shared" si="52"/>
        <v>01</v>
      </c>
      <c r="R3332"/>
      <c r="S3332"/>
      <c r="T3332"/>
      <c r="V3332"/>
      <c r="W3332"/>
      <c r="X3332"/>
      <c r="Y3332"/>
    </row>
    <row r="3333" spans="1:25">
      <c r="A3333" s="14" t="str">
        <f t="shared" si="52"/>
        <v>01</v>
      </c>
      <c r="R3333"/>
      <c r="S3333"/>
      <c r="T3333"/>
      <c r="V3333"/>
      <c r="W3333"/>
      <c r="X3333"/>
      <c r="Y3333"/>
    </row>
    <row r="3334" spans="1:25">
      <c r="A3334" s="14" t="str">
        <f t="shared" si="52"/>
        <v>01</v>
      </c>
      <c r="R3334"/>
      <c r="S3334"/>
      <c r="T3334"/>
      <c r="V3334"/>
      <c r="W3334"/>
      <c r="X3334"/>
      <c r="Y3334"/>
    </row>
    <row r="3335" spans="1:25">
      <c r="A3335" s="14" t="str">
        <f t="shared" si="52"/>
        <v>01</v>
      </c>
      <c r="R3335"/>
      <c r="S3335"/>
      <c r="T3335"/>
      <c r="V3335"/>
      <c r="W3335"/>
      <c r="X3335"/>
      <c r="Y3335"/>
    </row>
    <row r="3336" spans="1:25">
      <c r="A3336" s="14" t="str">
        <f t="shared" si="52"/>
        <v>01</v>
      </c>
      <c r="R3336"/>
      <c r="S3336"/>
      <c r="T3336"/>
      <c r="V3336"/>
      <c r="W3336"/>
      <c r="X3336"/>
      <c r="Y3336"/>
    </row>
    <row r="3337" spans="1:25">
      <c r="A3337" s="14" t="str">
        <f t="shared" si="52"/>
        <v>01</v>
      </c>
      <c r="R3337"/>
      <c r="S3337"/>
      <c r="T3337"/>
      <c r="V3337"/>
      <c r="W3337"/>
      <c r="X3337"/>
      <c r="Y3337"/>
    </row>
    <row r="3338" spans="1:25">
      <c r="A3338" s="14" t="str">
        <f t="shared" si="52"/>
        <v>01</v>
      </c>
      <c r="R3338"/>
      <c r="S3338"/>
      <c r="T3338"/>
      <c r="V3338"/>
      <c r="W3338"/>
      <c r="X3338"/>
      <c r="Y3338"/>
    </row>
    <row r="3339" spans="1:25">
      <c r="A3339" s="14" t="str">
        <f t="shared" si="52"/>
        <v>01</v>
      </c>
      <c r="R3339"/>
      <c r="S3339"/>
      <c r="T3339"/>
      <c r="V3339"/>
      <c r="W3339"/>
      <c r="X3339"/>
      <c r="Y3339"/>
    </row>
    <row r="3340" spans="1:25">
      <c r="A3340" s="14" t="str">
        <f t="shared" si="52"/>
        <v>01</v>
      </c>
      <c r="R3340"/>
      <c r="S3340"/>
      <c r="T3340"/>
      <c r="V3340"/>
      <c r="W3340"/>
      <c r="X3340"/>
      <c r="Y3340"/>
    </row>
    <row r="3341" spans="1:25">
      <c r="A3341" s="14" t="str">
        <f t="shared" si="52"/>
        <v>01</v>
      </c>
      <c r="R3341"/>
      <c r="S3341"/>
      <c r="T3341"/>
      <c r="V3341"/>
      <c r="W3341"/>
      <c r="X3341"/>
      <c r="Y3341"/>
    </row>
    <row r="3342" spans="1:25">
      <c r="A3342" s="14" t="str">
        <f t="shared" si="52"/>
        <v>01</v>
      </c>
      <c r="R3342"/>
      <c r="S3342"/>
      <c r="T3342"/>
      <c r="V3342"/>
      <c r="W3342"/>
      <c r="X3342"/>
      <c r="Y3342"/>
    </row>
    <row r="3343" spans="1:25">
      <c r="A3343" s="14" t="str">
        <f t="shared" si="52"/>
        <v>01</v>
      </c>
      <c r="R3343"/>
      <c r="S3343"/>
      <c r="T3343"/>
      <c r="V3343"/>
      <c r="W3343"/>
      <c r="X3343"/>
      <c r="Y3343"/>
    </row>
    <row r="3344" spans="1:25">
      <c r="A3344" s="14" t="str">
        <f t="shared" si="52"/>
        <v>01</v>
      </c>
      <c r="R3344"/>
      <c r="S3344"/>
      <c r="T3344"/>
      <c r="V3344"/>
      <c r="W3344"/>
      <c r="X3344"/>
      <c r="Y3344"/>
    </row>
    <row r="3345" spans="1:25">
      <c r="A3345" s="14" t="str">
        <f t="shared" si="52"/>
        <v>01</v>
      </c>
      <c r="R3345"/>
      <c r="S3345"/>
      <c r="T3345"/>
      <c r="V3345"/>
      <c r="W3345"/>
      <c r="X3345"/>
      <c r="Y3345"/>
    </row>
    <row r="3346" spans="1:25">
      <c r="A3346" s="14" t="str">
        <f t="shared" si="52"/>
        <v>01</v>
      </c>
      <c r="R3346"/>
      <c r="S3346"/>
      <c r="T3346"/>
      <c r="V3346"/>
      <c r="W3346"/>
      <c r="X3346"/>
      <c r="Y3346"/>
    </row>
    <row r="3347" spans="1:25">
      <c r="A3347" s="14" t="str">
        <f t="shared" si="52"/>
        <v>01</v>
      </c>
      <c r="R3347"/>
      <c r="S3347"/>
      <c r="T3347"/>
      <c r="V3347"/>
      <c r="W3347"/>
      <c r="X3347"/>
      <c r="Y3347"/>
    </row>
    <row r="3348" spans="1:25">
      <c r="A3348" s="14" t="str">
        <f t="shared" si="52"/>
        <v>01</v>
      </c>
      <c r="R3348"/>
      <c r="S3348"/>
      <c r="T3348"/>
      <c r="V3348"/>
      <c r="W3348"/>
      <c r="X3348"/>
      <c r="Y3348"/>
    </row>
    <row r="3349" spans="1:25">
      <c r="A3349" s="14" t="str">
        <f t="shared" si="52"/>
        <v>01</v>
      </c>
      <c r="R3349"/>
      <c r="S3349"/>
      <c r="T3349"/>
      <c r="V3349"/>
      <c r="W3349"/>
      <c r="X3349"/>
      <c r="Y3349"/>
    </row>
    <row r="3350" spans="1:25">
      <c r="A3350" s="14" t="str">
        <f t="shared" si="52"/>
        <v>01</v>
      </c>
      <c r="R3350"/>
      <c r="S3350"/>
      <c r="T3350"/>
      <c r="V3350"/>
      <c r="W3350"/>
      <c r="X3350"/>
      <c r="Y3350"/>
    </row>
    <row r="3351" spans="1:25">
      <c r="A3351" s="14" t="str">
        <f t="shared" si="52"/>
        <v>01</v>
      </c>
      <c r="R3351"/>
      <c r="S3351"/>
      <c r="T3351"/>
      <c r="V3351"/>
      <c r="W3351"/>
      <c r="X3351"/>
      <c r="Y3351"/>
    </row>
    <row r="3352" spans="1:25">
      <c r="A3352" s="14" t="str">
        <f t="shared" si="52"/>
        <v>01</v>
      </c>
      <c r="R3352"/>
      <c r="S3352"/>
      <c r="T3352"/>
      <c r="V3352"/>
      <c r="W3352"/>
      <c r="X3352"/>
      <c r="Y3352"/>
    </row>
    <row r="3353" spans="1:25">
      <c r="A3353" s="14" t="str">
        <f t="shared" si="52"/>
        <v>01</v>
      </c>
      <c r="R3353"/>
      <c r="S3353"/>
      <c r="T3353"/>
      <c r="V3353"/>
      <c r="W3353"/>
      <c r="X3353"/>
      <c r="Y3353"/>
    </row>
    <row r="3354" spans="1:25">
      <c r="A3354" s="14" t="str">
        <f t="shared" si="52"/>
        <v>01</v>
      </c>
      <c r="R3354"/>
      <c r="S3354"/>
      <c r="T3354"/>
      <c r="V3354"/>
      <c r="W3354"/>
      <c r="X3354"/>
      <c r="Y3354"/>
    </row>
    <row r="3355" spans="1:25">
      <c r="A3355" s="14" t="str">
        <f t="shared" si="52"/>
        <v>01</v>
      </c>
      <c r="R3355"/>
      <c r="S3355"/>
      <c r="T3355"/>
      <c r="V3355"/>
      <c r="W3355"/>
      <c r="X3355"/>
      <c r="Y3355"/>
    </row>
    <row r="3356" spans="1:25">
      <c r="A3356" s="14" t="str">
        <f t="shared" si="52"/>
        <v>01</v>
      </c>
      <c r="R3356"/>
      <c r="S3356"/>
      <c r="T3356"/>
      <c r="V3356"/>
      <c r="W3356"/>
      <c r="X3356"/>
      <c r="Y3356"/>
    </row>
    <row r="3357" spans="1:25">
      <c r="A3357" s="14" t="str">
        <f t="shared" si="52"/>
        <v>01</v>
      </c>
      <c r="R3357"/>
      <c r="S3357"/>
      <c r="T3357"/>
      <c r="V3357"/>
      <c r="W3357"/>
      <c r="X3357"/>
      <c r="Y3357"/>
    </row>
    <row r="3358" spans="1:25">
      <c r="A3358" s="14" t="str">
        <f t="shared" si="52"/>
        <v>01</v>
      </c>
      <c r="R3358"/>
      <c r="S3358"/>
      <c r="T3358"/>
      <c r="V3358"/>
      <c r="W3358"/>
      <c r="X3358"/>
      <c r="Y3358"/>
    </row>
    <row r="3359" spans="1:25">
      <c r="A3359" s="14" t="str">
        <f t="shared" si="52"/>
        <v>01</v>
      </c>
      <c r="R3359"/>
      <c r="S3359"/>
      <c r="T3359"/>
      <c r="V3359"/>
      <c r="W3359"/>
      <c r="X3359"/>
      <c r="Y3359"/>
    </row>
    <row r="3360" spans="1:25">
      <c r="A3360" s="14" t="str">
        <f t="shared" si="52"/>
        <v>01</v>
      </c>
      <c r="R3360"/>
      <c r="S3360"/>
      <c r="T3360"/>
      <c r="V3360"/>
      <c r="W3360"/>
      <c r="X3360"/>
      <c r="Y3360"/>
    </row>
    <row r="3361" spans="1:25">
      <c r="A3361" s="14" t="str">
        <f t="shared" si="52"/>
        <v>01</v>
      </c>
      <c r="R3361"/>
      <c r="S3361"/>
      <c r="T3361"/>
      <c r="V3361"/>
      <c r="W3361"/>
      <c r="X3361"/>
      <c r="Y3361"/>
    </row>
    <row r="3362" spans="1:25">
      <c r="A3362" s="14" t="str">
        <f t="shared" si="52"/>
        <v>01</v>
      </c>
      <c r="R3362"/>
      <c r="S3362"/>
      <c r="T3362"/>
      <c r="V3362"/>
      <c r="W3362"/>
      <c r="X3362"/>
      <c r="Y3362"/>
    </row>
    <row r="3363" spans="1:25">
      <c r="A3363" s="14" t="str">
        <f t="shared" si="52"/>
        <v>01</v>
      </c>
      <c r="R3363"/>
      <c r="S3363"/>
      <c r="T3363"/>
      <c r="V3363"/>
      <c r="W3363"/>
      <c r="X3363"/>
      <c r="Y3363"/>
    </row>
    <row r="3364" spans="1:25">
      <c r="A3364" s="14" t="str">
        <f t="shared" si="52"/>
        <v>01</v>
      </c>
      <c r="R3364"/>
      <c r="S3364"/>
      <c r="T3364"/>
      <c r="V3364"/>
      <c r="W3364"/>
      <c r="X3364"/>
      <c r="Y3364"/>
    </row>
    <row r="3365" spans="1:25">
      <c r="A3365" s="14" t="str">
        <f t="shared" si="52"/>
        <v>01</v>
      </c>
      <c r="R3365"/>
      <c r="S3365"/>
      <c r="T3365"/>
      <c r="V3365"/>
      <c r="W3365"/>
      <c r="X3365"/>
      <c r="Y3365"/>
    </row>
    <row r="3366" spans="1:25">
      <c r="A3366" s="14" t="str">
        <f t="shared" si="52"/>
        <v>01</v>
      </c>
      <c r="R3366"/>
      <c r="S3366"/>
      <c r="T3366"/>
      <c r="V3366"/>
      <c r="W3366"/>
      <c r="X3366"/>
      <c r="Y3366"/>
    </row>
    <row r="3367" spans="1:25">
      <c r="A3367" s="14" t="str">
        <f t="shared" si="52"/>
        <v>01</v>
      </c>
      <c r="R3367"/>
      <c r="S3367"/>
      <c r="T3367"/>
      <c r="V3367"/>
      <c r="W3367"/>
      <c r="X3367"/>
      <c r="Y3367"/>
    </row>
    <row r="3368" spans="1:25">
      <c r="A3368" s="14" t="str">
        <f t="shared" si="52"/>
        <v>01</v>
      </c>
      <c r="R3368"/>
      <c r="S3368"/>
      <c r="T3368"/>
      <c r="V3368"/>
      <c r="W3368"/>
      <c r="X3368"/>
      <c r="Y3368"/>
    </row>
    <row r="3369" spans="1:25">
      <c r="A3369" s="14" t="str">
        <f t="shared" si="52"/>
        <v>01</v>
      </c>
      <c r="R3369"/>
      <c r="S3369"/>
      <c r="T3369"/>
      <c r="V3369"/>
      <c r="W3369"/>
      <c r="X3369"/>
      <c r="Y3369"/>
    </row>
    <row r="3370" spans="1:25">
      <c r="A3370" s="14" t="str">
        <f t="shared" si="52"/>
        <v>01</v>
      </c>
      <c r="R3370"/>
      <c r="S3370"/>
      <c r="T3370"/>
      <c r="V3370"/>
      <c r="W3370"/>
      <c r="X3370"/>
      <c r="Y3370"/>
    </row>
    <row r="3371" spans="1:25">
      <c r="A3371" s="14" t="str">
        <f t="shared" si="52"/>
        <v>01</v>
      </c>
      <c r="R3371"/>
      <c r="S3371"/>
      <c r="T3371"/>
      <c r="V3371"/>
      <c r="W3371"/>
      <c r="X3371"/>
      <c r="Y3371"/>
    </row>
    <row r="3372" spans="1:25">
      <c r="A3372" s="14" t="str">
        <f t="shared" si="52"/>
        <v>01</v>
      </c>
      <c r="R3372"/>
      <c r="S3372"/>
      <c r="T3372"/>
      <c r="V3372"/>
      <c r="W3372"/>
      <c r="X3372"/>
      <c r="Y3372"/>
    </row>
    <row r="3373" spans="1:25">
      <c r="A3373" s="14" t="str">
        <f t="shared" si="52"/>
        <v>01</v>
      </c>
      <c r="R3373"/>
      <c r="S3373"/>
      <c r="T3373"/>
      <c r="V3373"/>
      <c r="W3373"/>
      <c r="X3373"/>
      <c r="Y3373"/>
    </row>
    <row r="3374" spans="1:25">
      <c r="A3374" s="14" t="str">
        <f t="shared" si="52"/>
        <v>01</v>
      </c>
      <c r="R3374"/>
      <c r="S3374"/>
      <c r="T3374"/>
      <c r="V3374"/>
      <c r="W3374"/>
      <c r="X3374"/>
      <c r="Y3374"/>
    </row>
    <row r="3375" spans="1:25">
      <c r="A3375" s="14" t="str">
        <f t="shared" si="52"/>
        <v>01</v>
      </c>
      <c r="R3375"/>
      <c r="S3375"/>
      <c r="T3375"/>
      <c r="V3375"/>
      <c r="W3375"/>
      <c r="X3375"/>
      <c r="Y3375"/>
    </row>
    <row r="3376" spans="1:25">
      <c r="A3376" s="14" t="str">
        <f t="shared" si="52"/>
        <v>01</v>
      </c>
      <c r="R3376"/>
      <c r="S3376"/>
      <c r="T3376"/>
      <c r="V3376"/>
      <c r="W3376"/>
      <c r="X3376"/>
      <c r="Y3376"/>
    </row>
    <row r="3377" spans="1:25">
      <c r="A3377" s="14" t="str">
        <f t="shared" si="52"/>
        <v>01</v>
      </c>
      <c r="R3377"/>
      <c r="S3377"/>
      <c r="T3377"/>
      <c r="V3377"/>
      <c r="W3377"/>
      <c r="X3377"/>
      <c r="Y3377"/>
    </row>
    <row r="3378" spans="1:25">
      <c r="A3378" s="14" t="str">
        <f t="shared" si="52"/>
        <v>01</v>
      </c>
      <c r="R3378"/>
      <c r="S3378"/>
      <c r="T3378"/>
      <c r="V3378"/>
      <c r="W3378"/>
      <c r="X3378"/>
      <c r="Y3378"/>
    </row>
    <row r="3379" spans="1:25">
      <c r="A3379" s="14" t="str">
        <f t="shared" si="52"/>
        <v>01</v>
      </c>
      <c r="R3379"/>
      <c r="S3379"/>
      <c r="T3379"/>
      <c r="V3379"/>
      <c r="W3379"/>
      <c r="X3379"/>
      <c r="Y3379"/>
    </row>
    <row r="3380" spans="1:25">
      <c r="A3380" s="14" t="str">
        <f t="shared" si="52"/>
        <v>01</v>
      </c>
      <c r="R3380"/>
      <c r="S3380"/>
      <c r="T3380"/>
      <c r="V3380"/>
      <c r="W3380"/>
      <c r="X3380"/>
      <c r="Y3380"/>
    </row>
    <row r="3381" spans="1:25">
      <c r="A3381" s="14" t="str">
        <f t="shared" si="52"/>
        <v>01</v>
      </c>
      <c r="R3381"/>
      <c r="S3381"/>
      <c r="T3381"/>
      <c r="V3381"/>
      <c r="W3381"/>
      <c r="X3381"/>
      <c r="Y3381"/>
    </row>
    <row r="3382" spans="1:25">
      <c r="A3382" s="14" t="str">
        <f t="shared" si="52"/>
        <v>01</v>
      </c>
      <c r="R3382"/>
      <c r="S3382"/>
      <c r="T3382"/>
      <c r="V3382"/>
      <c r="W3382"/>
      <c r="X3382"/>
      <c r="Y3382"/>
    </row>
    <row r="3383" spans="1:25">
      <c r="A3383" s="14" t="str">
        <f t="shared" si="52"/>
        <v>01</v>
      </c>
      <c r="R3383"/>
      <c r="S3383"/>
      <c r="T3383"/>
      <c r="V3383"/>
      <c r="W3383"/>
      <c r="X3383"/>
      <c r="Y3383"/>
    </row>
    <row r="3384" spans="1:25">
      <c r="A3384" s="14" t="str">
        <f t="shared" si="52"/>
        <v>01</v>
      </c>
      <c r="R3384"/>
      <c r="S3384"/>
      <c r="T3384"/>
      <c r="V3384"/>
      <c r="W3384"/>
      <c r="X3384"/>
      <c r="Y3384"/>
    </row>
    <row r="3385" spans="1:25">
      <c r="A3385" s="14" t="str">
        <f t="shared" si="52"/>
        <v>01</v>
      </c>
      <c r="R3385"/>
      <c r="S3385"/>
      <c r="T3385"/>
      <c r="V3385"/>
      <c r="W3385"/>
      <c r="X3385"/>
      <c r="Y3385"/>
    </row>
    <row r="3386" spans="1:25">
      <c r="A3386" s="14" t="str">
        <f t="shared" si="52"/>
        <v>01</v>
      </c>
      <c r="R3386"/>
      <c r="S3386"/>
      <c r="T3386"/>
      <c r="V3386"/>
      <c r="W3386"/>
      <c r="X3386"/>
      <c r="Y3386"/>
    </row>
    <row r="3387" spans="1:25">
      <c r="A3387" s="14" t="str">
        <f t="shared" si="52"/>
        <v>01</v>
      </c>
      <c r="R3387"/>
      <c r="S3387"/>
      <c r="T3387"/>
      <c r="V3387"/>
      <c r="W3387"/>
      <c r="X3387"/>
      <c r="Y3387"/>
    </row>
    <row r="3388" spans="1:25">
      <c r="A3388" s="14" t="str">
        <f t="shared" si="52"/>
        <v>01</v>
      </c>
      <c r="R3388"/>
      <c r="S3388"/>
      <c r="T3388"/>
      <c r="V3388"/>
      <c r="W3388"/>
      <c r="X3388"/>
      <c r="Y3388"/>
    </row>
    <row r="3389" spans="1:25">
      <c r="A3389" s="14" t="str">
        <f t="shared" si="52"/>
        <v>01</v>
      </c>
      <c r="R3389"/>
      <c r="S3389"/>
      <c r="T3389"/>
      <c r="V3389"/>
      <c r="W3389"/>
      <c r="X3389"/>
      <c r="Y3389"/>
    </row>
    <row r="3390" spans="1:25">
      <c r="A3390" s="14" t="str">
        <f t="shared" si="52"/>
        <v>01</v>
      </c>
      <c r="R3390"/>
      <c r="S3390"/>
      <c r="T3390"/>
      <c r="V3390"/>
      <c r="W3390"/>
      <c r="X3390"/>
      <c r="Y3390"/>
    </row>
    <row r="3391" spans="1:25">
      <c r="A3391" s="14" t="str">
        <f t="shared" si="52"/>
        <v>01</v>
      </c>
      <c r="R3391"/>
      <c r="S3391"/>
      <c r="T3391"/>
      <c r="V3391"/>
      <c r="W3391"/>
      <c r="X3391"/>
      <c r="Y3391"/>
    </row>
    <row r="3392" spans="1:25">
      <c r="A3392" s="14" t="str">
        <f t="shared" si="52"/>
        <v>01</v>
      </c>
      <c r="R3392"/>
      <c r="S3392"/>
      <c r="T3392"/>
      <c r="V3392"/>
      <c r="W3392"/>
      <c r="X3392"/>
      <c r="Y3392"/>
    </row>
    <row r="3393" spans="1:25">
      <c r="A3393" s="14" t="str">
        <f t="shared" si="52"/>
        <v>01</v>
      </c>
      <c r="R3393"/>
      <c r="S3393"/>
      <c r="T3393"/>
      <c r="V3393"/>
      <c r="W3393"/>
      <c r="X3393"/>
      <c r="Y3393"/>
    </row>
    <row r="3394" spans="1:25">
      <c r="A3394" s="14" t="str">
        <f t="shared" si="52"/>
        <v>01</v>
      </c>
      <c r="R3394"/>
      <c r="S3394"/>
      <c r="T3394"/>
      <c r="V3394"/>
      <c r="W3394"/>
      <c r="X3394"/>
      <c r="Y3394"/>
    </row>
    <row r="3395" spans="1:25">
      <c r="A3395" s="14" t="str">
        <f t="shared" ref="A3395:A3458" si="53">TEXT(L3395,"MM")</f>
        <v>01</v>
      </c>
      <c r="R3395"/>
      <c r="S3395"/>
      <c r="T3395"/>
      <c r="V3395"/>
      <c r="W3395"/>
      <c r="X3395"/>
      <c r="Y3395"/>
    </row>
    <row r="3396" spans="1:25">
      <c r="A3396" s="14" t="str">
        <f t="shared" si="53"/>
        <v>01</v>
      </c>
      <c r="R3396"/>
      <c r="S3396"/>
      <c r="T3396"/>
      <c r="V3396"/>
      <c r="W3396"/>
      <c r="X3396"/>
      <c r="Y3396"/>
    </row>
    <row r="3397" spans="1:25">
      <c r="A3397" s="14" t="str">
        <f t="shared" si="53"/>
        <v>01</v>
      </c>
      <c r="R3397"/>
      <c r="S3397"/>
      <c r="T3397"/>
      <c r="V3397"/>
      <c r="W3397"/>
      <c r="X3397"/>
      <c r="Y3397"/>
    </row>
    <row r="3398" spans="1:25">
      <c r="A3398" s="14" t="str">
        <f t="shared" si="53"/>
        <v>01</v>
      </c>
      <c r="R3398"/>
      <c r="S3398"/>
      <c r="T3398"/>
      <c r="V3398"/>
      <c r="W3398"/>
      <c r="X3398"/>
      <c r="Y3398"/>
    </row>
    <row r="3399" spans="1:25">
      <c r="A3399" s="14" t="str">
        <f t="shared" si="53"/>
        <v>01</v>
      </c>
      <c r="R3399"/>
      <c r="S3399"/>
      <c r="T3399"/>
      <c r="V3399"/>
      <c r="W3399"/>
      <c r="X3399"/>
      <c r="Y3399"/>
    </row>
    <row r="3400" spans="1:25">
      <c r="A3400" s="14" t="str">
        <f t="shared" si="53"/>
        <v>01</v>
      </c>
      <c r="R3400"/>
      <c r="S3400"/>
      <c r="T3400"/>
      <c r="V3400"/>
      <c r="W3400"/>
      <c r="X3400"/>
      <c r="Y3400"/>
    </row>
    <row r="3401" spans="1:25">
      <c r="A3401" s="14" t="str">
        <f t="shared" si="53"/>
        <v>01</v>
      </c>
      <c r="R3401"/>
      <c r="S3401"/>
      <c r="T3401"/>
      <c r="V3401"/>
      <c r="W3401"/>
      <c r="X3401"/>
      <c r="Y3401"/>
    </row>
    <row r="3402" spans="1:25">
      <c r="A3402" s="14" t="str">
        <f t="shared" si="53"/>
        <v>01</v>
      </c>
      <c r="R3402"/>
      <c r="S3402"/>
      <c r="T3402"/>
      <c r="V3402"/>
      <c r="W3402"/>
      <c r="X3402"/>
      <c r="Y3402"/>
    </row>
    <row r="3403" spans="1:25">
      <c r="A3403" s="14" t="str">
        <f t="shared" si="53"/>
        <v>01</v>
      </c>
      <c r="R3403"/>
      <c r="S3403"/>
      <c r="T3403"/>
      <c r="V3403"/>
      <c r="W3403"/>
      <c r="X3403"/>
      <c r="Y3403"/>
    </row>
    <row r="3404" spans="1:25">
      <c r="A3404" s="14" t="str">
        <f t="shared" si="53"/>
        <v>01</v>
      </c>
      <c r="R3404"/>
      <c r="S3404"/>
      <c r="T3404"/>
      <c r="V3404"/>
      <c r="W3404"/>
      <c r="X3404"/>
      <c r="Y3404"/>
    </row>
    <row r="3405" spans="1:25">
      <c r="A3405" s="14" t="str">
        <f t="shared" si="53"/>
        <v>01</v>
      </c>
      <c r="R3405"/>
      <c r="S3405"/>
      <c r="T3405"/>
      <c r="V3405"/>
      <c r="W3405"/>
      <c r="X3405"/>
      <c r="Y3405"/>
    </row>
    <row r="3406" spans="1:25">
      <c r="A3406" s="14" t="str">
        <f t="shared" si="53"/>
        <v>01</v>
      </c>
      <c r="R3406"/>
      <c r="S3406"/>
      <c r="T3406"/>
      <c r="V3406"/>
      <c r="W3406"/>
      <c r="X3406"/>
      <c r="Y3406"/>
    </row>
    <row r="3407" spans="1:25">
      <c r="A3407" s="14" t="str">
        <f t="shared" si="53"/>
        <v>01</v>
      </c>
      <c r="R3407"/>
      <c r="S3407"/>
      <c r="T3407"/>
      <c r="V3407"/>
      <c r="W3407"/>
      <c r="X3407"/>
      <c r="Y3407"/>
    </row>
    <row r="3408" spans="1:25">
      <c r="A3408" s="14" t="str">
        <f t="shared" si="53"/>
        <v>01</v>
      </c>
      <c r="R3408"/>
      <c r="S3408"/>
      <c r="T3408"/>
      <c r="V3408"/>
      <c r="W3408"/>
      <c r="X3408"/>
      <c r="Y3408"/>
    </row>
    <row r="3409" spans="1:25">
      <c r="A3409" s="14" t="str">
        <f t="shared" si="53"/>
        <v>01</v>
      </c>
      <c r="R3409"/>
      <c r="S3409"/>
      <c r="T3409"/>
      <c r="V3409"/>
      <c r="W3409"/>
      <c r="X3409"/>
      <c r="Y3409"/>
    </row>
    <row r="3410" spans="1:25">
      <c r="A3410" s="14" t="str">
        <f t="shared" si="53"/>
        <v>01</v>
      </c>
      <c r="R3410"/>
      <c r="S3410"/>
      <c r="T3410"/>
      <c r="V3410"/>
      <c r="W3410"/>
      <c r="X3410"/>
      <c r="Y3410"/>
    </row>
    <row r="3411" spans="1:25">
      <c r="A3411" s="14" t="str">
        <f t="shared" si="53"/>
        <v>01</v>
      </c>
      <c r="R3411"/>
      <c r="S3411"/>
      <c r="T3411"/>
      <c r="V3411"/>
      <c r="W3411"/>
      <c r="X3411"/>
      <c r="Y3411"/>
    </row>
    <row r="3412" spans="1:25">
      <c r="A3412" s="14" t="str">
        <f t="shared" si="53"/>
        <v>01</v>
      </c>
      <c r="R3412"/>
      <c r="S3412"/>
      <c r="T3412"/>
      <c r="V3412"/>
      <c r="W3412"/>
      <c r="X3412"/>
      <c r="Y3412"/>
    </row>
    <row r="3413" spans="1:25">
      <c r="A3413" s="14" t="str">
        <f t="shared" si="53"/>
        <v>01</v>
      </c>
      <c r="R3413"/>
      <c r="S3413"/>
      <c r="T3413"/>
      <c r="V3413"/>
      <c r="W3413"/>
      <c r="X3413"/>
      <c r="Y3413"/>
    </row>
    <row r="3414" spans="1:25">
      <c r="A3414" s="14" t="str">
        <f t="shared" si="53"/>
        <v>01</v>
      </c>
      <c r="R3414"/>
      <c r="S3414"/>
      <c r="T3414"/>
      <c r="V3414"/>
      <c r="W3414"/>
      <c r="X3414"/>
      <c r="Y3414"/>
    </row>
    <row r="3415" spans="1:25">
      <c r="A3415" s="14" t="str">
        <f t="shared" si="53"/>
        <v>01</v>
      </c>
      <c r="R3415"/>
      <c r="S3415"/>
      <c r="T3415"/>
      <c r="V3415"/>
      <c r="W3415"/>
      <c r="X3415"/>
      <c r="Y3415"/>
    </row>
    <row r="3416" spans="1:25">
      <c r="A3416" s="14" t="str">
        <f t="shared" si="53"/>
        <v>01</v>
      </c>
      <c r="R3416"/>
      <c r="S3416"/>
      <c r="T3416"/>
      <c r="V3416"/>
      <c r="W3416"/>
      <c r="X3416"/>
      <c r="Y3416"/>
    </row>
    <row r="3417" spans="1:25">
      <c r="A3417" s="14" t="str">
        <f t="shared" si="53"/>
        <v>01</v>
      </c>
      <c r="R3417"/>
      <c r="S3417"/>
      <c r="T3417"/>
      <c r="V3417"/>
      <c r="W3417"/>
      <c r="X3417"/>
      <c r="Y3417"/>
    </row>
    <row r="3418" spans="1:25">
      <c r="A3418" s="14" t="str">
        <f t="shared" si="53"/>
        <v>01</v>
      </c>
      <c r="R3418"/>
      <c r="S3418"/>
      <c r="T3418"/>
      <c r="V3418"/>
      <c r="W3418"/>
      <c r="X3418"/>
      <c r="Y3418"/>
    </row>
    <row r="3419" spans="1:25">
      <c r="A3419" s="14" t="str">
        <f t="shared" si="53"/>
        <v>01</v>
      </c>
      <c r="R3419"/>
      <c r="S3419"/>
      <c r="T3419"/>
      <c r="V3419"/>
      <c r="W3419"/>
      <c r="X3419"/>
      <c r="Y3419"/>
    </row>
    <row r="3420" spans="1:25">
      <c r="A3420" s="14" t="str">
        <f t="shared" si="53"/>
        <v>01</v>
      </c>
      <c r="R3420"/>
      <c r="S3420"/>
      <c r="T3420"/>
      <c r="V3420"/>
      <c r="W3420"/>
      <c r="X3420"/>
      <c r="Y3420"/>
    </row>
    <row r="3421" spans="1:25">
      <c r="A3421" s="14" t="str">
        <f t="shared" si="53"/>
        <v>01</v>
      </c>
      <c r="R3421"/>
      <c r="S3421"/>
      <c r="T3421"/>
      <c r="V3421"/>
      <c r="W3421"/>
      <c r="X3421"/>
      <c r="Y3421"/>
    </row>
    <row r="3422" spans="1:25">
      <c r="A3422" s="14" t="str">
        <f t="shared" si="53"/>
        <v>01</v>
      </c>
      <c r="R3422"/>
      <c r="S3422"/>
      <c r="T3422"/>
      <c r="V3422"/>
      <c r="W3422"/>
      <c r="X3422"/>
      <c r="Y3422"/>
    </row>
    <row r="3423" spans="1:25">
      <c r="A3423" s="14" t="str">
        <f t="shared" si="53"/>
        <v>01</v>
      </c>
      <c r="R3423"/>
      <c r="S3423"/>
      <c r="T3423"/>
      <c r="V3423"/>
      <c r="W3423"/>
      <c r="X3423"/>
      <c r="Y3423"/>
    </row>
    <row r="3424" spans="1:25">
      <c r="A3424" s="14" t="str">
        <f t="shared" si="53"/>
        <v>01</v>
      </c>
      <c r="R3424"/>
      <c r="S3424"/>
      <c r="T3424"/>
      <c r="V3424"/>
      <c r="W3424"/>
      <c r="X3424"/>
      <c r="Y3424"/>
    </row>
    <row r="3425" spans="1:25">
      <c r="A3425" s="14" t="str">
        <f t="shared" si="53"/>
        <v>01</v>
      </c>
      <c r="R3425"/>
      <c r="S3425"/>
      <c r="T3425"/>
      <c r="V3425"/>
      <c r="W3425"/>
      <c r="X3425"/>
      <c r="Y3425"/>
    </row>
    <row r="3426" spans="1:25">
      <c r="A3426" s="14" t="str">
        <f t="shared" si="53"/>
        <v>01</v>
      </c>
      <c r="R3426"/>
      <c r="S3426"/>
      <c r="T3426"/>
      <c r="V3426"/>
      <c r="W3426"/>
      <c r="X3426"/>
      <c r="Y3426"/>
    </row>
    <row r="3427" spans="1:25">
      <c r="A3427" s="14" t="str">
        <f t="shared" si="53"/>
        <v>01</v>
      </c>
      <c r="R3427"/>
      <c r="S3427"/>
      <c r="T3427"/>
      <c r="V3427"/>
      <c r="W3427"/>
      <c r="X3427"/>
      <c r="Y3427"/>
    </row>
    <row r="3428" spans="1:25">
      <c r="A3428" s="14" t="str">
        <f t="shared" si="53"/>
        <v>01</v>
      </c>
      <c r="R3428"/>
      <c r="S3428"/>
      <c r="T3428"/>
      <c r="V3428"/>
      <c r="W3428"/>
      <c r="X3428"/>
      <c r="Y3428"/>
    </row>
    <row r="3429" spans="1:25">
      <c r="A3429" s="14" t="str">
        <f t="shared" si="53"/>
        <v>01</v>
      </c>
      <c r="R3429"/>
      <c r="S3429"/>
      <c r="T3429"/>
      <c r="V3429"/>
      <c r="W3429"/>
      <c r="X3429"/>
      <c r="Y3429"/>
    </row>
    <row r="3430" spans="1:25">
      <c r="A3430" s="14" t="str">
        <f t="shared" si="53"/>
        <v>01</v>
      </c>
      <c r="R3430"/>
      <c r="S3430"/>
      <c r="T3430"/>
      <c r="V3430"/>
      <c r="W3430"/>
      <c r="X3430"/>
      <c r="Y3430"/>
    </row>
    <row r="3431" spans="1:25">
      <c r="A3431" s="14" t="str">
        <f t="shared" si="53"/>
        <v>01</v>
      </c>
      <c r="R3431"/>
      <c r="S3431"/>
      <c r="T3431"/>
      <c r="V3431"/>
      <c r="W3431"/>
      <c r="X3431"/>
      <c r="Y3431"/>
    </row>
    <row r="3432" spans="1:25">
      <c r="A3432" s="14" t="str">
        <f t="shared" si="53"/>
        <v>01</v>
      </c>
      <c r="R3432"/>
      <c r="S3432"/>
      <c r="T3432"/>
      <c r="V3432"/>
      <c r="W3432"/>
      <c r="X3432"/>
      <c r="Y3432"/>
    </row>
    <row r="3433" spans="1:25">
      <c r="A3433" s="14" t="str">
        <f t="shared" si="53"/>
        <v>01</v>
      </c>
      <c r="R3433"/>
      <c r="S3433"/>
      <c r="T3433"/>
      <c r="V3433"/>
      <c r="W3433"/>
      <c r="X3433"/>
      <c r="Y3433"/>
    </row>
    <row r="3434" spans="1:25">
      <c r="A3434" s="14" t="str">
        <f t="shared" si="53"/>
        <v>01</v>
      </c>
      <c r="R3434"/>
      <c r="S3434"/>
      <c r="T3434"/>
      <c r="V3434"/>
      <c r="W3434"/>
      <c r="X3434"/>
      <c r="Y3434"/>
    </row>
    <row r="3435" spans="1:25">
      <c r="A3435" s="14" t="str">
        <f t="shared" si="53"/>
        <v>01</v>
      </c>
      <c r="R3435"/>
      <c r="S3435"/>
      <c r="T3435"/>
      <c r="V3435"/>
      <c r="W3435"/>
      <c r="X3435"/>
      <c r="Y3435"/>
    </row>
    <row r="3436" spans="1:25">
      <c r="A3436" s="14" t="str">
        <f t="shared" si="53"/>
        <v>01</v>
      </c>
      <c r="R3436"/>
      <c r="S3436"/>
      <c r="T3436"/>
      <c r="V3436"/>
      <c r="W3436"/>
      <c r="X3436"/>
      <c r="Y3436"/>
    </row>
    <row r="3437" spans="1:25">
      <c r="A3437" s="14" t="str">
        <f t="shared" si="53"/>
        <v>01</v>
      </c>
      <c r="R3437"/>
      <c r="S3437"/>
      <c r="T3437"/>
      <c r="V3437"/>
      <c r="W3437"/>
      <c r="X3437"/>
      <c r="Y3437"/>
    </row>
    <row r="3438" spans="1:25">
      <c r="A3438" s="14" t="str">
        <f t="shared" si="53"/>
        <v>01</v>
      </c>
      <c r="R3438"/>
      <c r="S3438"/>
      <c r="T3438"/>
      <c r="V3438"/>
      <c r="W3438"/>
      <c r="X3438"/>
      <c r="Y3438"/>
    </row>
    <row r="3439" spans="1:25">
      <c r="A3439" s="14" t="str">
        <f t="shared" si="53"/>
        <v>01</v>
      </c>
      <c r="R3439"/>
      <c r="S3439"/>
      <c r="T3439"/>
      <c r="V3439"/>
      <c r="W3439"/>
      <c r="X3439"/>
      <c r="Y3439"/>
    </row>
    <row r="3440" spans="1:25">
      <c r="A3440" s="14" t="str">
        <f t="shared" si="53"/>
        <v>01</v>
      </c>
      <c r="R3440"/>
      <c r="S3440"/>
      <c r="T3440"/>
      <c r="V3440"/>
      <c r="W3440"/>
      <c r="X3440"/>
      <c r="Y3440"/>
    </row>
    <row r="3441" spans="1:25">
      <c r="A3441" s="14" t="str">
        <f t="shared" si="53"/>
        <v>01</v>
      </c>
      <c r="R3441"/>
      <c r="S3441"/>
      <c r="T3441"/>
      <c r="V3441"/>
      <c r="W3441"/>
      <c r="X3441"/>
      <c r="Y3441"/>
    </row>
    <row r="3442" spans="1:25">
      <c r="A3442" s="14" t="str">
        <f t="shared" si="53"/>
        <v>01</v>
      </c>
      <c r="R3442"/>
      <c r="S3442"/>
      <c r="T3442"/>
      <c r="V3442"/>
      <c r="W3442"/>
      <c r="X3442"/>
      <c r="Y3442"/>
    </row>
    <row r="3443" spans="1:25">
      <c r="A3443" s="14" t="str">
        <f t="shared" si="53"/>
        <v>01</v>
      </c>
      <c r="R3443"/>
      <c r="S3443"/>
      <c r="T3443"/>
      <c r="V3443"/>
      <c r="W3443"/>
      <c r="X3443"/>
      <c r="Y3443"/>
    </row>
    <row r="3444" spans="1:25">
      <c r="A3444" s="14" t="str">
        <f t="shared" si="53"/>
        <v>01</v>
      </c>
      <c r="R3444"/>
      <c r="S3444"/>
      <c r="T3444"/>
      <c r="V3444"/>
      <c r="W3444"/>
      <c r="X3444"/>
      <c r="Y3444"/>
    </row>
    <row r="3445" spans="1:25">
      <c r="A3445" s="14" t="str">
        <f t="shared" si="53"/>
        <v>01</v>
      </c>
      <c r="R3445"/>
      <c r="S3445"/>
      <c r="T3445"/>
      <c r="V3445"/>
      <c r="W3445"/>
      <c r="X3445"/>
      <c r="Y3445"/>
    </row>
    <row r="3446" spans="1:25">
      <c r="A3446" s="14" t="str">
        <f t="shared" si="53"/>
        <v>01</v>
      </c>
      <c r="R3446"/>
      <c r="S3446"/>
      <c r="T3446"/>
      <c r="V3446"/>
      <c r="W3446"/>
      <c r="X3446"/>
      <c r="Y3446"/>
    </row>
    <row r="3447" spans="1:25">
      <c r="A3447" s="14" t="str">
        <f t="shared" si="53"/>
        <v>01</v>
      </c>
      <c r="R3447"/>
      <c r="S3447"/>
      <c r="T3447"/>
      <c r="V3447"/>
      <c r="W3447"/>
      <c r="X3447"/>
      <c r="Y3447"/>
    </row>
    <row r="3448" spans="1:25">
      <c r="A3448" s="14" t="str">
        <f t="shared" si="53"/>
        <v>01</v>
      </c>
      <c r="R3448"/>
      <c r="S3448"/>
      <c r="T3448"/>
      <c r="V3448"/>
      <c r="W3448"/>
      <c r="X3448"/>
      <c r="Y3448"/>
    </row>
    <row r="3449" spans="1:25">
      <c r="A3449" s="14" t="str">
        <f t="shared" si="53"/>
        <v>01</v>
      </c>
      <c r="R3449"/>
      <c r="S3449"/>
      <c r="T3449"/>
      <c r="V3449"/>
      <c r="W3449"/>
      <c r="X3449"/>
      <c r="Y3449"/>
    </row>
    <row r="3450" spans="1:25">
      <c r="A3450" s="14" t="str">
        <f t="shared" si="53"/>
        <v>01</v>
      </c>
      <c r="R3450"/>
      <c r="S3450"/>
      <c r="T3450"/>
      <c r="V3450"/>
      <c r="W3450"/>
      <c r="X3450"/>
      <c r="Y3450"/>
    </row>
    <row r="3451" spans="1:25">
      <c r="A3451" s="14" t="str">
        <f t="shared" si="53"/>
        <v>01</v>
      </c>
      <c r="R3451"/>
      <c r="S3451"/>
      <c r="T3451"/>
      <c r="V3451"/>
      <c r="W3451"/>
      <c r="X3451"/>
      <c r="Y3451"/>
    </row>
    <row r="3452" spans="1:25">
      <c r="A3452" s="14" t="str">
        <f t="shared" si="53"/>
        <v>01</v>
      </c>
      <c r="R3452"/>
      <c r="S3452"/>
      <c r="T3452"/>
      <c r="V3452"/>
      <c r="W3452"/>
      <c r="X3452"/>
      <c r="Y3452"/>
    </row>
    <row r="3453" spans="1:25">
      <c r="A3453" s="14" t="str">
        <f t="shared" si="53"/>
        <v>01</v>
      </c>
      <c r="R3453"/>
      <c r="S3453"/>
      <c r="T3453"/>
      <c r="V3453"/>
      <c r="W3453"/>
      <c r="X3453"/>
      <c r="Y3453"/>
    </row>
    <row r="3454" spans="1:25">
      <c r="A3454" s="14" t="str">
        <f t="shared" si="53"/>
        <v>01</v>
      </c>
      <c r="R3454"/>
      <c r="S3454"/>
      <c r="T3454"/>
      <c r="V3454"/>
      <c r="W3454"/>
      <c r="X3454"/>
      <c r="Y3454"/>
    </row>
    <row r="3455" spans="1:25">
      <c r="A3455" s="14" t="str">
        <f t="shared" si="53"/>
        <v>01</v>
      </c>
      <c r="R3455"/>
      <c r="S3455"/>
      <c r="T3455"/>
      <c r="V3455"/>
      <c r="W3455"/>
      <c r="X3455"/>
      <c r="Y3455"/>
    </row>
    <row r="3456" spans="1:25">
      <c r="A3456" s="14" t="str">
        <f t="shared" si="53"/>
        <v>01</v>
      </c>
      <c r="R3456"/>
      <c r="S3456"/>
      <c r="T3456"/>
      <c r="V3456"/>
      <c r="W3456"/>
      <c r="X3456"/>
      <c r="Y3456"/>
    </row>
    <row r="3457" spans="1:25">
      <c r="A3457" s="14" t="str">
        <f t="shared" si="53"/>
        <v>01</v>
      </c>
      <c r="R3457"/>
      <c r="S3457"/>
      <c r="T3457"/>
      <c r="V3457"/>
      <c r="W3457"/>
      <c r="X3457"/>
      <c r="Y3457"/>
    </row>
    <row r="3458" spans="1:25">
      <c r="A3458" s="14" t="str">
        <f t="shared" si="53"/>
        <v>01</v>
      </c>
      <c r="R3458"/>
      <c r="S3458"/>
      <c r="T3458"/>
      <c r="V3458"/>
      <c r="W3458"/>
      <c r="X3458"/>
      <c r="Y3458"/>
    </row>
    <row r="3459" spans="1:25">
      <c r="A3459" s="14" t="str">
        <f t="shared" ref="A3459:A3480" si="54">TEXT(L3459,"MM")</f>
        <v>01</v>
      </c>
      <c r="R3459"/>
      <c r="S3459"/>
      <c r="T3459"/>
      <c r="V3459"/>
      <c r="W3459"/>
      <c r="X3459"/>
      <c r="Y3459"/>
    </row>
    <row r="3460" spans="1:25">
      <c r="A3460" s="14" t="str">
        <f t="shared" si="54"/>
        <v>01</v>
      </c>
      <c r="R3460"/>
      <c r="S3460"/>
      <c r="T3460"/>
      <c r="V3460"/>
      <c r="W3460"/>
      <c r="X3460"/>
      <c r="Y3460"/>
    </row>
    <row r="3461" spans="1:25">
      <c r="A3461" s="14" t="str">
        <f t="shared" si="54"/>
        <v>01</v>
      </c>
      <c r="R3461"/>
      <c r="S3461"/>
      <c r="T3461"/>
      <c r="V3461"/>
      <c r="W3461"/>
      <c r="X3461"/>
      <c r="Y3461"/>
    </row>
    <row r="3462" spans="1:25">
      <c r="A3462" s="14" t="str">
        <f t="shared" si="54"/>
        <v>01</v>
      </c>
      <c r="R3462"/>
      <c r="S3462"/>
      <c r="T3462"/>
      <c r="V3462"/>
      <c r="W3462"/>
      <c r="X3462"/>
      <c r="Y3462"/>
    </row>
    <row r="3463" spans="1:25">
      <c r="A3463" s="14" t="str">
        <f t="shared" si="54"/>
        <v>01</v>
      </c>
      <c r="R3463"/>
      <c r="S3463"/>
      <c r="T3463"/>
      <c r="V3463"/>
      <c r="W3463"/>
      <c r="X3463"/>
      <c r="Y3463"/>
    </row>
    <row r="3464" spans="1:25">
      <c r="A3464" s="14" t="str">
        <f t="shared" si="54"/>
        <v>01</v>
      </c>
      <c r="R3464"/>
      <c r="S3464"/>
      <c r="T3464"/>
      <c r="V3464"/>
      <c r="W3464"/>
      <c r="X3464"/>
      <c r="Y3464"/>
    </row>
    <row r="3465" spans="1:25">
      <c r="A3465" s="14" t="str">
        <f t="shared" si="54"/>
        <v>01</v>
      </c>
      <c r="R3465"/>
      <c r="S3465"/>
      <c r="T3465"/>
      <c r="V3465"/>
      <c r="W3465"/>
      <c r="X3465"/>
      <c r="Y3465"/>
    </row>
    <row r="3466" spans="1:25">
      <c r="A3466" s="14" t="str">
        <f t="shared" si="54"/>
        <v>01</v>
      </c>
      <c r="R3466"/>
      <c r="S3466"/>
      <c r="T3466"/>
      <c r="V3466"/>
      <c r="W3466"/>
      <c r="X3466"/>
      <c r="Y3466"/>
    </row>
    <row r="3467" spans="1:25">
      <c r="A3467" s="14" t="str">
        <f t="shared" si="54"/>
        <v>01</v>
      </c>
      <c r="R3467"/>
      <c r="S3467"/>
      <c r="T3467"/>
      <c r="V3467"/>
      <c r="W3467"/>
      <c r="X3467"/>
      <c r="Y3467"/>
    </row>
    <row r="3468" spans="1:25">
      <c r="A3468" s="14" t="str">
        <f t="shared" si="54"/>
        <v>01</v>
      </c>
      <c r="R3468"/>
      <c r="S3468"/>
      <c r="T3468"/>
      <c r="V3468"/>
      <c r="W3468"/>
      <c r="X3468"/>
      <c r="Y3468"/>
    </row>
    <row r="3469" spans="1:25">
      <c r="A3469" s="14" t="str">
        <f t="shared" si="54"/>
        <v>01</v>
      </c>
      <c r="R3469"/>
      <c r="S3469"/>
      <c r="T3469"/>
      <c r="V3469"/>
      <c r="W3469"/>
      <c r="X3469"/>
      <c r="Y3469"/>
    </row>
    <row r="3470" spans="1:25">
      <c r="A3470" s="14" t="str">
        <f t="shared" si="54"/>
        <v>01</v>
      </c>
      <c r="R3470"/>
      <c r="S3470"/>
      <c r="T3470"/>
      <c r="V3470"/>
      <c r="W3470"/>
      <c r="X3470"/>
      <c r="Y3470"/>
    </row>
    <row r="3471" spans="1:25">
      <c r="A3471" s="14" t="str">
        <f t="shared" si="54"/>
        <v>01</v>
      </c>
      <c r="R3471"/>
      <c r="S3471"/>
      <c r="T3471"/>
      <c r="V3471"/>
      <c r="W3471"/>
      <c r="X3471"/>
      <c r="Y3471"/>
    </row>
    <row r="3472" spans="1:25">
      <c r="A3472" s="14" t="str">
        <f t="shared" si="54"/>
        <v>01</v>
      </c>
      <c r="R3472"/>
      <c r="S3472"/>
      <c r="T3472"/>
      <c r="V3472"/>
      <c r="W3472"/>
      <c r="X3472"/>
      <c r="Y3472"/>
    </row>
    <row r="3473" spans="1:25">
      <c r="A3473" s="14" t="str">
        <f t="shared" si="54"/>
        <v>01</v>
      </c>
      <c r="R3473"/>
      <c r="S3473"/>
      <c r="T3473"/>
      <c r="V3473"/>
      <c r="W3473"/>
      <c r="X3473"/>
      <c r="Y3473"/>
    </row>
    <row r="3474" spans="1:25">
      <c r="A3474" s="14" t="str">
        <f t="shared" si="54"/>
        <v>01</v>
      </c>
      <c r="R3474"/>
      <c r="S3474"/>
      <c r="T3474"/>
      <c r="V3474"/>
      <c r="W3474"/>
      <c r="X3474"/>
      <c r="Y3474"/>
    </row>
    <row r="3475" spans="1:25">
      <c r="A3475" s="14" t="str">
        <f t="shared" si="54"/>
        <v>01</v>
      </c>
      <c r="R3475"/>
      <c r="S3475"/>
      <c r="T3475"/>
      <c r="V3475"/>
      <c r="W3475"/>
      <c r="X3475"/>
      <c r="Y3475"/>
    </row>
    <row r="3476" spans="1:25">
      <c r="A3476" s="14" t="str">
        <f t="shared" si="54"/>
        <v>01</v>
      </c>
      <c r="R3476"/>
      <c r="S3476"/>
      <c r="T3476"/>
      <c r="V3476"/>
      <c r="W3476"/>
      <c r="X3476"/>
      <c r="Y3476"/>
    </row>
    <row r="3477" spans="1:25">
      <c r="A3477" s="14" t="str">
        <f t="shared" si="54"/>
        <v>01</v>
      </c>
      <c r="R3477"/>
      <c r="S3477"/>
      <c r="T3477"/>
      <c r="V3477"/>
      <c r="W3477"/>
      <c r="X3477"/>
      <c r="Y3477"/>
    </row>
    <row r="3478" spans="1:25">
      <c r="A3478" s="14" t="str">
        <f t="shared" si="54"/>
        <v>01</v>
      </c>
      <c r="R3478"/>
      <c r="S3478"/>
      <c r="T3478"/>
      <c r="V3478"/>
      <c r="W3478"/>
      <c r="X3478"/>
      <c r="Y3478"/>
    </row>
    <row r="3479" spans="1:25">
      <c r="A3479" s="14" t="str">
        <f t="shared" si="54"/>
        <v>01</v>
      </c>
      <c r="R3479"/>
      <c r="S3479"/>
      <c r="T3479"/>
      <c r="V3479"/>
      <c r="W3479"/>
      <c r="X3479"/>
      <c r="Y3479"/>
    </row>
    <row r="3480" spans="1:25">
      <c r="A3480" s="14" t="str">
        <f t="shared" si="54"/>
        <v>01</v>
      </c>
      <c r="R3480"/>
      <c r="S3480"/>
      <c r="T3480"/>
      <c r="V3480"/>
      <c r="W3480"/>
      <c r="X3480"/>
      <c r="Y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G6" sqref="G6"/>
    </sheetView>
  </sheetViews>
  <sheetFormatPr defaultRowHeight="17.399999999999999"/>
  <cols>
    <col min="1" max="1" width="15.19921875" customWidth="1"/>
    <col min="2" max="2" width="13.3984375" customWidth="1"/>
    <col min="4" max="4" width="12.5" bestFit="1" customWidth="1"/>
    <col min="5" max="5" width="11.59765625" customWidth="1"/>
  </cols>
  <sheetData>
    <row r="1" spans="1:11" ht="22.95" customHeight="1" thickBot="1">
      <c r="A1" s="2" t="s">
        <v>13</v>
      </c>
      <c r="B1" s="3" t="s">
        <v>0</v>
      </c>
      <c r="C1" s="3" t="s">
        <v>3</v>
      </c>
      <c r="D1" s="3" t="s">
        <v>1</v>
      </c>
      <c r="E1" s="3" t="s">
        <v>4</v>
      </c>
    </row>
    <row r="2" spans="1:11" ht="25.05" customHeight="1" thickBot="1">
      <c r="A2" s="17" t="str">
        <f>IF(ShipmentDownload!L2="","",ShipmentDownload!L2)</f>
        <v>Completed</v>
      </c>
      <c r="B2" s="6">
        <f>IF(ShipmentDownload!C2="","",ShipmentDownload!C2)</f>
        <v>11561</v>
      </c>
      <c r="C2" s="7" t="str">
        <f>IF(ShipmentDownload!H2="","",ShipmentDownload!H2)</f>
        <v>박용서</v>
      </c>
      <c r="D2" s="7" t="str">
        <f>IF(ShipmentDownload!I2="","",ShipmentDownload!I2)</f>
        <v/>
      </c>
      <c r="E2" s="7" t="str">
        <f>IF(ShipmentDownload!J2="","",ShipmentDownload!J2)</f>
        <v>Inbound</v>
      </c>
      <c r="K2" s="5"/>
    </row>
    <row r="3" spans="1:11" ht="25.05" customHeight="1" thickBot="1">
      <c r="A3" s="17" t="str">
        <f>IF(ShipmentDownload!L3="","",ShipmentDownload!L3)</f>
        <v>Completed</v>
      </c>
      <c r="B3" s="6">
        <f>IF(ShipmentDownload!C3="","",ShipmentDownload!C3)</f>
        <v>7603</v>
      </c>
      <c r="C3" s="7" t="str">
        <f>IF(ShipmentDownload!H3="","",ShipmentDownload!H3)</f>
        <v>박용서</v>
      </c>
      <c r="D3" s="7" t="str">
        <f>IF(ShipmentDownload!I3="","",ShipmentDownload!I3)</f>
        <v/>
      </c>
      <c r="E3" s="7" t="str">
        <f>IF(ShipmentDownload!J3="","",ShipmentDownload!J3)</f>
        <v>Inbound</v>
      </c>
    </row>
    <row r="4" spans="1:11" ht="25.05" customHeight="1" thickBot="1">
      <c r="A4" s="17" t="str">
        <f>IF(ShipmentDownload!L4="","",ShipmentDownload!L4)</f>
        <v>Completed</v>
      </c>
      <c r="B4" s="6">
        <f>IF(ShipmentDownload!C4="","",ShipmentDownload!C4)</f>
        <v>7397</v>
      </c>
      <c r="C4" s="7" t="str">
        <f>IF(ShipmentDownload!H4="","",ShipmentDownload!H4)</f>
        <v>박용서</v>
      </c>
      <c r="D4" s="7" t="str">
        <f>IF(ShipmentDownload!I4="","",ShipmentDownload!I4)</f>
        <v/>
      </c>
      <c r="E4" s="7" t="str">
        <f>IF(ShipmentDownload!J4="","",ShipmentDownload!J4)</f>
        <v>Inbound</v>
      </c>
    </row>
    <row r="5" spans="1:11" ht="25.05" customHeight="1" thickBot="1">
      <c r="A5" s="17" t="str">
        <f>IF(ShipmentDownload!L5="","",ShipmentDownload!L5)</f>
        <v>Completed</v>
      </c>
      <c r="B5" s="6">
        <f>IF(ShipmentDownload!C5="","",ShipmentDownload!C5)</f>
        <v>6448</v>
      </c>
      <c r="C5" s="7" t="str">
        <f>IF(ShipmentDownload!H5="","",ShipmentDownload!H5)</f>
        <v>박용서</v>
      </c>
      <c r="D5" s="7" t="str">
        <f>IF(ShipmentDownload!I5="","",ShipmentDownload!I5)</f>
        <v/>
      </c>
      <c r="E5" s="7" t="str">
        <f>IF(ShipmentDownload!J5="","",ShipmentDownload!J5)</f>
        <v>Inbound</v>
      </c>
    </row>
    <row r="6" spans="1:11" ht="25.05" customHeight="1" thickBot="1">
      <c r="A6" s="17" t="str">
        <f>IF(ShipmentDownload!L6="","",ShipmentDownload!L6)</f>
        <v/>
      </c>
      <c r="B6" s="6" t="str">
        <f>IF(ShipmentDownload!C6="","",ShipmentDownload!C6)</f>
        <v/>
      </c>
      <c r="C6" s="7" t="str">
        <f>IF(ShipmentDownload!H6="","",ShipmentDownload!H6)</f>
        <v/>
      </c>
      <c r="D6" s="7" t="str">
        <f>IF(ShipmentDownload!I6="","",ShipmentDownload!I6)</f>
        <v/>
      </c>
      <c r="E6" s="7" t="str">
        <f>IF(ShipmentDownload!J6="","",ShipmentDownload!J6)</f>
        <v/>
      </c>
    </row>
    <row r="7" spans="1:11" ht="4.95" customHeight="1">
      <c r="A7" s="490" t="s">
        <v>17</v>
      </c>
      <c r="B7" s="491"/>
      <c r="C7" s="491"/>
      <c r="D7" s="491"/>
      <c r="E7" s="492"/>
    </row>
    <row r="8" spans="1:11" ht="4.95" customHeight="1" thickBot="1">
      <c r="A8" s="493"/>
      <c r="B8" s="494"/>
      <c r="C8" s="494"/>
      <c r="D8" s="494"/>
      <c r="E8" s="495"/>
    </row>
    <row r="10" spans="1:11">
      <c r="A10" s="18"/>
    </row>
    <row r="11" spans="1:11">
      <c r="A11" s="19"/>
    </row>
    <row r="12" spans="1:11">
      <c r="A12" s="18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B200"/>
  <sheetViews>
    <sheetView workbookViewId="0">
      <selection activeCell="E25" sqref="E25"/>
    </sheetView>
  </sheetViews>
  <sheetFormatPr defaultRowHeight="17.399999999999999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4" max="14" width="20.19921875" customWidth="1"/>
    <col min="15" max="15" width="11.59765625" bestFit="1" customWidth="1"/>
    <col min="16" max="16" width="38.69921875" bestFit="1" customWidth="1"/>
    <col min="17" max="17" width="46" bestFit="1" customWidth="1"/>
    <col min="18" max="18" width="20.09765625" bestFit="1" customWidth="1"/>
    <col min="19" max="19" width="19" bestFit="1" customWidth="1"/>
    <col min="20" max="20" width="19" customWidth="1"/>
    <col min="21" max="22" width="16.5" bestFit="1" customWidth="1"/>
    <col min="23" max="23" width="21" bestFit="1" customWidth="1"/>
    <col min="24" max="24" width="22.3984375" bestFit="1" customWidth="1"/>
    <col min="25" max="25" width="13.19921875" bestFit="1" customWidth="1"/>
    <col min="26" max="26" width="22.69921875" style="26" bestFit="1" customWidth="1"/>
    <col min="27" max="27" width="16.59765625" style="38" bestFit="1" customWidth="1"/>
    <col min="28" max="28" width="11.59765625" bestFit="1" customWidth="1"/>
  </cols>
  <sheetData>
    <row r="1" spans="1:28">
      <c r="A1" s="11" t="s">
        <v>6</v>
      </c>
      <c r="B1" s="10" t="s">
        <v>37</v>
      </c>
      <c r="C1" s="10" t="s">
        <v>18</v>
      </c>
      <c r="D1" s="10" t="s">
        <v>19</v>
      </c>
      <c r="E1" s="10" t="s">
        <v>20</v>
      </c>
      <c r="F1" s="10" t="s">
        <v>21</v>
      </c>
      <c r="G1" s="10" t="s">
        <v>8</v>
      </c>
      <c r="H1" s="10" t="s">
        <v>10</v>
      </c>
      <c r="I1" s="10" t="s">
        <v>14</v>
      </c>
      <c r="J1" s="10" t="s">
        <v>12</v>
      </c>
      <c r="K1" s="10" t="s">
        <v>7</v>
      </c>
      <c r="L1" s="10" t="s">
        <v>5</v>
      </c>
      <c r="N1" s="16" t="str">
        <f>IncidentDownload!P1</f>
        <v>06</v>
      </c>
      <c r="O1" s="9" t="s">
        <v>33</v>
      </c>
      <c r="P1" s="9" t="s">
        <v>37</v>
      </c>
      <c r="Q1" s="9" t="s">
        <v>18</v>
      </c>
      <c r="R1" s="9" t="s">
        <v>19</v>
      </c>
      <c r="S1" s="9" t="s">
        <v>86</v>
      </c>
      <c r="T1" s="9" t="s">
        <v>87</v>
      </c>
      <c r="U1" s="9" t="s">
        <v>8</v>
      </c>
      <c r="V1" s="9" t="s">
        <v>9</v>
      </c>
      <c r="W1" s="9" t="s">
        <v>10</v>
      </c>
      <c r="X1" s="9" t="s">
        <v>11</v>
      </c>
      <c r="Y1" s="9" t="s">
        <v>14</v>
      </c>
      <c r="Z1" s="9" t="s">
        <v>12</v>
      </c>
      <c r="AA1" s="9" t="s">
        <v>7</v>
      </c>
      <c r="AB1" s="9" t="s">
        <v>5</v>
      </c>
    </row>
    <row r="2" spans="1:28" ht="34.799999999999997">
      <c r="A2" s="12" t="str">
        <f>TEXT(L2,"MM")</f>
        <v>Closed</v>
      </c>
      <c r="B2" s="46" t="s">
        <v>39</v>
      </c>
      <c r="C2">
        <v>8720</v>
      </c>
      <c r="D2" t="s">
        <v>77</v>
      </c>
      <c r="G2" t="s">
        <v>41</v>
      </c>
      <c r="H2" t="s">
        <v>78</v>
      </c>
      <c r="J2" t="s">
        <v>79</v>
      </c>
      <c r="L2" t="s">
        <v>80</v>
      </c>
      <c r="N2" s="1">
        <v>45156.57707175926</v>
      </c>
      <c r="O2" s="4" t="str" cm="1">
        <f t="array" ref="O2">IF(_xlfn._xlws.FILTER($A$2:$L$200,($A$2:$A$200=N1),"결과값 없음")=0,"",_xlfn._xlws.FILTER($A$2:$L$200,($A$2:$A$200=N1),"결과값 없음"))</f>
        <v>결과값 없음</v>
      </c>
      <c r="P2" s="4"/>
      <c r="Q2" s="4"/>
      <c r="R2" s="4"/>
      <c r="S2" s="4"/>
      <c r="T2" s="4"/>
      <c r="U2" s="4"/>
      <c r="V2" s="4"/>
      <c r="W2" s="4"/>
      <c r="X2" s="4"/>
      <c r="Y2" s="4"/>
      <c r="Z2" s="27"/>
    </row>
    <row r="3" spans="1:28" ht="34.799999999999997">
      <c r="A3" s="12" t="str">
        <f t="shared" ref="A3:A66" si="0">TEXT(L3,"MM")</f>
        <v>Closed</v>
      </c>
      <c r="B3" s="46" t="s">
        <v>39</v>
      </c>
      <c r="C3">
        <v>7739</v>
      </c>
      <c r="D3" t="s">
        <v>81</v>
      </c>
      <c r="G3" t="s">
        <v>41</v>
      </c>
      <c r="H3" t="s">
        <v>78</v>
      </c>
      <c r="J3" t="s">
        <v>79</v>
      </c>
      <c r="L3" t="s">
        <v>80</v>
      </c>
      <c r="N3" s="1">
        <v>45130.295127314814</v>
      </c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27"/>
    </row>
    <row r="4" spans="1:28" ht="34.799999999999997">
      <c r="A4" s="12" t="str">
        <f t="shared" si="0"/>
        <v>Closed</v>
      </c>
      <c r="B4" s="46" t="s">
        <v>39</v>
      </c>
      <c r="C4">
        <v>7107</v>
      </c>
      <c r="D4" t="s">
        <v>82</v>
      </c>
      <c r="G4" t="s">
        <v>41</v>
      </c>
      <c r="H4" t="s">
        <v>78</v>
      </c>
      <c r="J4" t="s">
        <v>83</v>
      </c>
      <c r="L4" t="s">
        <v>80</v>
      </c>
      <c r="N4" s="1">
        <v>45112.961458333331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27"/>
    </row>
    <row r="5" spans="1:28">
      <c r="A5" s="12" t="str">
        <f t="shared" si="0"/>
        <v>01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27"/>
    </row>
    <row r="6" spans="1:28">
      <c r="A6" s="12" t="str">
        <f t="shared" si="0"/>
        <v>01</v>
      </c>
      <c r="O6" s="4"/>
      <c r="T6" s="4"/>
      <c r="U6" s="4"/>
      <c r="V6" s="4"/>
      <c r="W6" s="4"/>
      <c r="X6" s="4"/>
      <c r="Y6" s="4"/>
      <c r="Z6" s="27"/>
    </row>
    <row r="7" spans="1:28">
      <c r="A7" s="12" t="str">
        <f t="shared" si="0"/>
        <v>01</v>
      </c>
      <c r="O7" s="4"/>
      <c r="T7" s="4"/>
      <c r="U7" s="4"/>
      <c r="V7" s="4"/>
      <c r="W7" s="4"/>
      <c r="X7" s="4"/>
      <c r="Y7" s="4"/>
      <c r="Z7" s="27"/>
    </row>
    <row r="8" spans="1:28">
      <c r="A8" s="12" t="str">
        <f t="shared" si="0"/>
        <v>01</v>
      </c>
      <c r="O8" s="4"/>
      <c r="T8" s="4"/>
      <c r="U8" s="4"/>
      <c r="V8" s="4"/>
      <c r="W8" s="4"/>
      <c r="X8" s="4"/>
      <c r="Y8" s="4"/>
      <c r="Z8" s="27"/>
    </row>
    <row r="9" spans="1:28">
      <c r="A9" s="12" t="str">
        <f t="shared" si="0"/>
        <v>01</v>
      </c>
      <c r="O9" s="4"/>
      <c r="T9" s="4"/>
      <c r="U9" s="4"/>
      <c r="V9" s="4"/>
      <c r="W9" s="4"/>
      <c r="X9" s="4"/>
      <c r="Y9" s="4"/>
      <c r="Z9" s="27"/>
    </row>
    <row r="10" spans="1:28">
      <c r="A10" s="12" t="str">
        <f t="shared" si="0"/>
        <v>01</v>
      </c>
    </row>
    <row r="11" spans="1:28">
      <c r="A11" s="12" t="str">
        <f t="shared" si="0"/>
        <v>01</v>
      </c>
    </row>
    <row r="12" spans="1:28">
      <c r="A12" s="12" t="str">
        <f t="shared" si="0"/>
        <v>01</v>
      </c>
    </row>
    <row r="13" spans="1:28">
      <c r="A13" s="12" t="str">
        <f t="shared" si="0"/>
        <v>01</v>
      </c>
    </row>
    <row r="14" spans="1:28">
      <c r="A14" s="12" t="str">
        <f t="shared" si="0"/>
        <v>01</v>
      </c>
    </row>
    <row r="15" spans="1:28">
      <c r="A15" s="12" t="str">
        <f t="shared" si="0"/>
        <v>01</v>
      </c>
    </row>
    <row r="16" spans="1:28">
      <c r="A16" s="12" t="str">
        <f t="shared" si="0"/>
        <v>01</v>
      </c>
    </row>
    <row r="17" spans="1:1">
      <c r="A17" s="12" t="str">
        <f t="shared" si="0"/>
        <v>01</v>
      </c>
    </row>
    <row r="18" spans="1:1">
      <c r="A18" s="12" t="str">
        <f t="shared" si="0"/>
        <v>01</v>
      </c>
    </row>
    <row r="19" spans="1:1">
      <c r="A19" s="12" t="str">
        <f t="shared" si="0"/>
        <v>01</v>
      </c>
    </row>
    <row r="20" spans="1:1">
      <c r="A20" s="12" t="str">
        <f t="shared" si="0"/>
        <v>01</v>
      </c>
    </row>
    <row r="21" spans="1:1">
      <c r="A21" s="12" t="str">
        <f t="shared" si="0"/>
        <v>01</v>
      </c>
    </row>
    <row r="22" spans="1:1">
      <c r="A22" s="12" t="str">
        <f t="shared" si="0"/>
        <v>01</v>
      </c>
    </row>
    <row r="23" spans="1:1">
      <c r="A23" s="12" t="str">
        <f t="shared" si="0"/>
        <v>01</v>
      </c>
    </row>
    <row r="24" spans="1:1">
      <c r="A24" s="12" t="str">
        <f t="shared" si="0"/>
        <v>01</v>
      </c>
    </row>
    <row r="25" spans="1:1">
      <c r="A25" s="12" t="str">
        <f t="shared" si="0"/>
        <v>01</v>
      </c>
    </row>
    <row r="26" spans="1:1">
      <c r="A26" s="12" t="str">
        <f t="shared" si="0"/>
        <v>01</v>
      </c>
    </row>
    <row r="27" spans="1:1">
      <c r="A27" s="12" t="str">
        <f t="shared" si="0"/>
        <v>01</v>
      </c>
    </row>
    <row r="28" spans="1:1">
      <c r="A28" s="12" t="str">
        <f t="shared" si="0"/>
        <v>01</v>
      </c>
    </row>
    <row r="29" spans="1:1">
      <c r="A29" s="12" t="str">
        <f t="shared" si="0"/>
        <v>01</v>
      </c>
    </row>
    <row r="30" spans="1:1">
      <c r="A30" s="12" t="str">
        <f t="shared" si="0"/>
        <v>01</v>
      </c>
    </row>
    <row r="31" spans="1:1">
      <c r="A31" s="12" t="str">
        <f t="shared" si="0"/>
        <v>01</v>
      </c>
    </row>
    <row r="32" spans="1:1">
      <c r="A32" s="12" t="str">
        <f t="shared" si="0"/>
        <v>01</v>
      </c>
    </row>
    <row r="33" spans="1:1">
      <c r="A33" s="12" t="str">
        <f t="shared" si="0"/>
        <v>01</v>
      </c>
    </row>
    <row r="34" spans="1:1">
      <c r="A34" s="12" t="str">
        <f t="shared" si="0"/>
        <v>01</v>
      </c>
    </row>
    <row r="35" spans="1:1">
      <c r="A35" s="12" t="str">
        <f t="shared" si="0"/>
        <v>01</v>
      </c>
    </row>
    <row r="36" spans="1:1">
      <c r="A36" s="12" t="str">
        <f t="shared" si="0"/>
        <v>01</v>
      </c>
    </row>
    <row r="37" spans="1:1">
      <c r="A37" s="12" t="str">
        <f t="shared" si="0"/>
        <v>01</v>
      </c>
    </row>
    <row r="38" spans="1:1">
      <c r="A38" s="12" t="str">
        <f t="shared" si="0"/>
        <v>01</v>
      </c>
    </row>
    <row r="39" spans="1:1">
      <c r="A39" s="12" t="str">
        <f t="shared" si="0"/>
        <v>01</v>
      </c>
    </row>
    <row r="40" spans="1:1">
      <c r="A40" s="12" t="str">
        <f t="shared" si="0"/>
        <v>01</v>
      </c>
    </row>
    <row r="41" spans="1:1">
      <c r="A41" s="12" t="str">
        <f t="shared" si="0"/>
        <v>01</v>
      </c>
    </row>
    <row r="42" spans="1:1">
      <c r="A42" s="12" t="str">
        <f t="shared" si="0"/>
        <v>01</v>
      </c>
    </row>
    <row r="43" spans="1:1">
      <c r="A43" s="12" t="str">
        <f t="shared" si="0"/>
        <v>01</v>
      </c>
    </row>
    <row r="44" spans="1:1">
      <c r="A44" s="12" t="str">
        <f t="shared" si="0"/>
        <v>01</v>
      </c>
    </row>
    <row r="45" spans="1:1">
      <c r="A45" s="12" t="str">
        <f t="shared" si="0"/>
        <v>01</v>
      </c>
    </row>
    <row r="46" spans="1:1">
      <c r="A46" s="12" t="str">
        <f t="shared" si="0"/>
        <v>01</v>
      </c>
    </row>
    <row r="47" spans="1:1">
      <c r="A47" s="12" t="str">
        <f t="shared" si="0"/>
        <v>01</v>
      </c>
    </row>
    <row r="48" spans="1:1">
      <c r="A48" s="12" t="str">
        <f t="shared" si="0"/>
        <v>01</v>
      </c>
    </row>
    <row r="49" spans="1:1">
      <c r="A49" s="12" t="str">
        <f t="shared" si="0"/>
        <v>01</v>
      </c>
    </row>
    <row r="50" spans="1:1">
      <c r="A50" s="12" t="str">
        <f t="shared" si="0"/>
        <v>01</v>
      </c>
    </row>
    <row r="51" spans="1:1">
      <c r="A51" s="12" t="str">
        <f t="shared" si="0"/>
        <v>01</v>
      </c>
    </row>
    <row r="52" spans="1:1">
      <c r="A52" s="12" t="str">
        <f t="shared" si="0"/>
        <v>01</v>
      </c>
    </row>
    <row r="53" spans="1:1">
      <c r="A53" s="12" t="str">
        <f t="shared" si="0"/>
        <v>01</v>
      </c>
    </row>
    <row r="54" spans="1:1">
      <c r="A54" s="12" t="str">
        <f t="shared" si="0"/>
        <v>01</v>
      </c>
    </row>
    <row r="55" spans="1:1">
      <c r="A55" s="12" t="str">
        <f t="shared" si="0"/>
        <v>01</v>
      </c>
    </row>
    <row r="56" spans="1:1">
      <c r="A56" s="12" t="str">
        <f t="shared" si="0"/>
        <v>01</v>
      </c>
    </row>
    <row r="57" spans="1:1">
      <c r="A57" s="12" t="str">
        <f t="shared" si="0"/>
        <v>01</v>
      </c>
    </row>
    <row r="58" spans="1:1">
      <c r="A58" s="12" t="str">
        <f t="shared" si="0"/>
        <v>01</v>
      </c>
    </row>
    <row r="59" spans="1:1">
      <c r="A59" s="12" t="str">
        <f t="shared" si="0"/>
        <v>01</v>
      </c>
    </row>
    <row r="60" spans="1:1">
      <c r="A60" s="12" t="str">
        <f t="shared" si="0"/>
        <v>01</v>
      </c>
    </row>
    <row r="61" spans="1:1">
      <c r="A61" s="12" t="str">
        <f t="shared" si="0"/>
        <v>01</v>
      </c>
    </row>
    <row r="62" spans="1:1">
      <c r="A62" s="12" t="str">
        <f t="shared" si="0"/>
        <v>01</v>
      </c>
    </row>
    <row r="63" spans="1:1">
      <c r="A63" s="12" t="str">
        <f t="shared" si="0"/>
        <v>01</v>
      </c>
    </row>
    <row r="64" spans="1:1">
      <c r="A64" s="12" t="str">
        <f t="shared" si="0"/>
        <v>01</v>
      </c>
    </row>
    <row r="65" spans="1:1">
      <c r="A65" s="12" t="str">
        <f t="shared" si="0"/>
        <v>01</v>
      </c>
    </row>
    <row r="66" spans="1:1">
      <c r="A66" s="12" t="str">
        <f t="shared" si="0"/>
        <v>01</v>
      </c>
    </row>
    <row r="67" spans="1:1">
      <c r="A67" s="12" t="str">
        <f t="shared" ref="A67:A130" si="1">TEXT(L67,"MM")</f>
        <v>01</v>
      </c>
    </row>
    <row r="68" spans="1:1">
      <c r="A68" s="12" t="str">
        <f t="shared" si="1"/>
        <v>01</v>
      </c>
    </row>
    <row r="69" spans="1:1">
      <c r="A69" s="12" t="str">
        <f t="shared" si="1"/>
        <v>01</v>
      </c>
    </row>
    <row r="70" spans="1:1">
      <c r="A70" s="12" t="str">
        <f t="shared" si="1"/>
        <v>01</v>
      </c>
    </row>
    <row r="71" spans="1:1">
      <c r="A71" s="12" t="str">
        <f t="shared" si="1"/>
        <v>01</v>
      </c>
    </row>
    <row r="72" spans="1:1">
      <c r="A72" s="12" t="str">
        <f t="shared" si="1"/>
        <v>01</v>
      </c>
    </row>
    <row r="73" spans="1:1">
      <c r="A73" s="12" t="str">
        <f t="shared" si="1"/>
        <v>01</v>
      </c>
    </row>
    <row r="74" spans="1:1">
      <c r="A74" s="12" t="str">
        <f t="shared" si="1"/>
        <v>01</v>
      </c>
    </row>
    <row r="75" spans="1:1">
      <c r="A75" s="12" t="str">
        <f t="shared" si="1"/>
        <v>01</v>
      </c>
    </row>
    <row r="76" spans="1:1">
      <c r="A76" s="12" t="str">
        <f t="shared" si="1"/>
        <v>01</v>
      </c>
    </row>
    <row r="77" spans="1:1">
      <c r="A77" s="12" t="str">
        <f t="shared" si="1"/>
        <v>01</v>
      </c>
    </row>
    <row r="78" spans="1:1">
      <c r="A78" s="12" t="str">
        <f t="shared" si="1"/>
        <v>01</v>
      </c>
    </row>
    <row r="79" spans="1:1">
      <c r="A79" s="12" t="str">
        <f t="shared" si="1"/>
        <v>01</v>
      </c>
    </row>
    <row r="80" spans="1:1">
      <c r="A80" s="12" t="str">
        <f t="shared" si="1"/>
        <v>01</v>
      </c>
    </row>
    <row r="81" spans="1:1">
      <c r="A81" s="12" t="str">
        <f t="shared" si="1"/>
        <v>01</v>
      </c>
    </row>
    <row r="82" spans="1:1">
      <c r="A82" s="12" t="str">
        <f t="shared" si="1"/>
        <v>01</v>
      </c>
    </row>
    <row r="83" spans="1:1">
      <c r="A83" s="12" t="str">
        <f t="shared" si="1"/>
        <v>01</v>
      </c>
    </row>
    <row r="84" spans="1:1">
      <c r="A84" s="12" t="str">
        <f t="shared" si="1"/>
        <v>01</v>
      </c>
    </row>
    <row r="85" spans="1:1">
      <c r="A85" s="12" t="str">
        <f t="shared" si="1"/>
        <v>01</v>
      </c>
    </row>
    <row r="86" spans="1:1">
      <c r="A86" s="12" t="str">
        <f t="shared" si="1"/>
        <v>01</v>
      </c>
    </row>
    <row r="87" spans="1:1">
      <c r="A87" s="12" t="str">
        <f t="shared" si="1"/>
        <v>01</v>
      </c>
    </row>
    <row r="88" spans="1:1">
      <c r="A88" s="12" t="str">
        <f t="shared" si="1"/>
        <v>01</v>
      </c>
    </row>
    <row r="89" spans="1:1">
      <c r="A89" s="12" t="str">
        <f t="shared" si="1"/>
        <v>01</v>
      </c>
    </row>
    <row r="90" spans="1:1">
      <c r="A90" s="12" t="str">
        <f t="shared" si="1"/>
        <v>01</v>
      </c>
    </row>
    <row r="91" spans="1:1">
      <c r="A91" s="12" t="str">
        <f t="shared" si="1"/>
        <v>01</v>
      </c>
    </row>
    <row r="92" spans="1:1">
      <c r="A92" s="12" t="str">
        <f t="shared" si="1"/>
        <v>01</v>
      </c>
    </row>
    <row r="93" spans="1:1">
      <c r="A93" s="12" t="str">
        <f t="shared" si="1"/>
        <v>01</v>
      </c>
    </row>
    <row r="94" spans="1:1">
      <c r="A94" s="12" t="str">
        <f t="shared" si="1"/>
        <v>01</v>
      </c>
    </row>
    <row r="95" spans="1:1">
      <c r="A95" s="12" t="str">
        <f t="shared" si="1"/>
        <v>01</v>
      </c>
    </row>
    <row r="96" spans="1:1">
      <c r="A96" s="12" t="str">
        <f t="shared" si="1"/>
        <v>01</v>
      </c>
    </row>
    <row r="97" spans="1:1">
      <c r="A97" s="12" t="str">
        <f t="shared" si="1"/>
        <v>01</v>
      </c>
    </row>
    <row r="98" spans="1:1">
      <c r="A98" s="12" t="str">
        <f t="shared" si="1"/>
        <v>01</v>
      </c>
    </row>
    <row r="99" spans="1:1">
      <c r="A99" s="12" t="str">
        <f t="shared" si="1"/>
        <v>01</v>
      </c>
    </row>
    <row r="100" spans="1:1">
      <c r="A100" s="12" t="str">
        <f t="shared" si="1"/>
        <v>01</v>
      </c>
    </row>
    <row r="101" spans="1:1">
      <c r="A101" s="12" t="str">
        <f t="shared" si="1"/>
        <v>01</v>
      </c>
    </row>
    <row r="102" spans="1:1">
      <c r="A102" s="12" t="str">
        <f t="shared" si="1"/>
        <v>01</v>
      </c>
    </row>
    <row r="103" spans="1:1">
      <c r="A103" s="12" t="str">
        <f t="shared" si="1"/>
        <v>01</v>
      </c>
    </row>
    <row r="104" spans="1:1">
      <c r="A104" s="12" t="str">
        <f t="shared" si="1"/>
        <v>01</v>
      </c>
    </row>
    <row r="105" spans="1:1">
      <c r="A105" s="12" t="str">
        <f t="shared" si="1"/>
        <v>01</v>
      </c>
    </row>
    <row r="106" spans="1:1">
      <c r="A106" s="12" t="str">
        <f t="shared" si="1"/>
        <v>01</v>
      </c>
    </row>
    <row r="107" spans="1:1">
      <c r="A107" s="12" t="str">
        <f t="shared" si="1"/>
        <v>01</v>
      </c>
    </row>
    <row r="108" spans="1:1">
      <c r="A108" s="12" t="str">
        <f t="shared" si="1"/>
        <v>01</v>
      </c>
    </row>
    <row r="109" spans="1:1">
      <c r="A109" s="12" t="str">
        <f t="shared" si="1"/>
        <v>01</v>
      </c>
    </row>
    <row r="110" spans="1:1">
      <c r="A110" s="12" t="str">
        <f t="shared" si="1"/>
        <v>01</v>
      </c>
    </row>
    <row r="111" spans="1:1">
      <c r="A111" s="12" t="str">
        <f t="shared" si="1"/>
        <v>01</v>
      </c>
    </row>
    <row r="112" spans="1:1">
      <c r="A112" s="12" t="str">
        <f t="shared" si="1"/>
        <v>01</v>
      </c>
    </row>
    <row r="113" spans="1:1">
      <c r="A113" s="12" t="str">
        <f t="shared" si="1"/>
        <v>01</v>
      </c>
    </row>
    <row r="114" spans="1:1">
      <c r="A114" s="12" t="str">
        <f t="shared" si="1"/>
        <v>01</v>
      </c>
    </row>
    <row r="115" spans="1:1">
      <c r="A115" s="12" t="str">
        <f t="shared" si="1"/>
        <v>01</v>
      </c>
    </row>
    <row r="116" spans="1:1">
      <c r="A116" s="12" t="str">
        <f t="shared" si="1"/>
        <v>01</v>
      </c>
    </row>
    <row r="117" spans="1:1">
      <c r="A117" s="12" t="str">
        <f t="shared" si="1"/>
        <v>01</v>
      </c>
    </row>
    <row r="118" spans="1:1">
      <c r="A118" s="12" t="str">
        <f t="shared" si="1"/>
        <v>01</v>
      </c>
    </row>
    <row r="119" spans="1:1">
      <c r="A119" s="12" t="str">
        <f t="shared" si="1"/>
        <v>01</v>
      </c>
    </row>
    <row r="120" spans="1:1">
      <c r="A120" s="12" t="str">
        <f t="shared" si="1"/>
        <v>01</v>
      </c>
    </row>
    <row r="121" spans="1:1">
      <c r="A121" s="12" t="str">
        <f t="shared" si="1"/>
        <v>01</v>
      </c>
    </row>
    <row r="122" spans="1:1">
      <c r="A122" s="12" t="str">
        <f t="shared" si="1"/>
        <v>01</v>
      </c>
    </row>
    <row r="123" spans="1:1">
      <c r="A123" s="12" t="str">
        <f t="shared" si="1"/>
        <v>01</v>
      </c>
    </row>
    <row r="124" spans="1:1">
      <c r="A124" s="12" t="str">
        <f t="shared" si="1"/>
        <v>01</v>
      </c>
    </row>
    <row r="125" spans="1:1">
      <c r="A125" s="12" t="str">
        <f t="shared" si="1"/>
        <v>01</v>
      </c>
    </row>
    <row r="126" spans="1:1">
      <c r="A126" s="12" t="str">
        <f t="shared" si="1"/>
        <v>01</v>
      </c>
    </row>
    <row r="127" spans="1:1">
      <c r="A127" s="12" t="str">
        <f t="shared" si="1"/>
        <v>01</v>
      </c>
    </row>
    <row r="128" spans="1:1">
      <c r="A128" s="12" t="str">
        <f t="shared" si="1"/>
        <v>01</v>
      </c>
    </row>
    <row r="129" spans="1:1">
      <c r="A129" s="12" t="str">
        <f t="shared" si="1"/>
        <v>01</v>
      </c>
    </row>
    <row r="130" spans="1:1">
      <c r="A130" s="12" t="str">
        <f t="shared" si="1"/>
        <v>01</v>
      </c>
    </row>
    <row r="131" spans="1:1">
      <c r="A131" s="12" t="str">
        <f t="shared" ref="A131:A194" si="2">TEXT(L131,"MM")</f>
        <v>01</v>
      </c>
    </row>
    <row r="132" spans="1:1">
      <c r="A132" s="12" t="str">
        <f t="shared" si="2"/>
        <v>01</v>
      </c>
    </row>
    <row r="133" spans="1:1">
      <c r="A133" s="12" t="str">
        <f t="shared" si="2"/>
        <v>01</v>
      </c>
    </row>
    <row r="134" spans="1:1">
      <c r="A134" s="12" t="str">
        <f t="shared" si="2"/>
        <v>01</v>
      </c>
    </row>
    <row r="135" spans="1:1">
      <c r="A135" s="12" t="str">
        <f t="shared" si="2"/>
        <v>01</v>
      </c>
    </row>
    <row r="136" spans="1:1">
      <c r="A136" s="12" t="str">
        <f t="shared" si="2"/>
        <v>01</v>
      </c>
    </row>
    <row r="137" spans="1:1">
      <c r="A137" s="12" t="str">
        <f t="shared" si="2"/>
        <v>01</v>
      </c>
    </row>
    <row r="138" spans="1:1">
      <c r="A138" s="12" t="str">
        <f t="shared" si="2"/>
        <v>01</v>
      </c>
    </row>
    <row r="139" spans="1:1">
      <c r="A139" s="12" t="str">
        <f t="shared" si="2"/>
        <v>01</v>
      </c>
    </row>
    <row r="140" spans="1:1">
      <c r="A140" s="12" t="str">
        <f t="shared" si="2"/>
        <v>01</v>
      </c>
    </row>
    <row r="141" spans="1:1">
      <c r="A141" s="12" t="str">
        <f t="shared" si="2"/>
        <v>01</v>
      </c>
    </row>
    <row r="142" spans="1:1">
      <c r="A142" s="12" t="str">
        <f t="shared" si="2"/>
        <v>01</v>
      </c>
    </row>
    <row r="143" spans="1:1">
      <c r="A143" s="12" t="str">
        <f t="shared" si="2"/>
        <v>01</v>
      </c>
    </row>
    <row r="144" spans="1:1">
      <c r="A144" s="12" t="str">
        <f t="shared" si="2"/>
        <v>01</v>
      </c>
    </row>
    <row r="145" spans="1:1">
      <c r="A145" s="12" t="str">
        <f t="shared" si="2"/>
        <v>01</v>
      </c>
    </row>
    <row r="146" spans="1:1">
      <c r="A146" s="12" t="str">
        <f t="shared" si="2"/>
        <v>01</v>
      </c>
    </row>
    <row r="147" spans="1:1">
      <c r="A147" s="12" t="str">
        <f t="shared" si="2"/>
        <v>01</v>
      </c>
    </row>
    <row r="148" spans="1:1">
      <c r="A148" s="12" t="str">
        <f t="shared" si="2"/>
        <v>01</v>
      </c>
    </row>
    <row r="149" spans="1:1">
      <c r="A149" s="12" t="str">
        <f t="shared" si="2"/>
        <v>01</v>
      </c>
    </row>
    <row r="150" spans="1:1">
      <c r="A150" s="12" t="str">
        <f t="shared" si="2"/>
        <v>01</v>
      </c>
    </row>
    <row r="151" spans="1:1">
      <c r="A151" s="12" t="str">
        <f t="shared" si="2"/>
        <v>01</v>
      </c>
    </row>
    <row r="152" spans="1:1">
      <c r="A152" s="12" t="str">
        <f t="shared" si="2"/>
        <v>01</v>
      </c>
    </row>
    <row r="153" spans="1:1">
      <c r="A153" s="12" t="str">
        <f t="shared" si="2"/>
        <v>01</v>
      </c>
    </row>
    <row r="154" spans="1:1">
      <c r="A154" s="12" t="str">
        <f t="shared" si="2"/>
        <v>01</v>
      </c>
    </row>
    <row r="155" spans="1:1">
      <c r="A155" s="12" t="str">
        <f t="shared" si="2"/>
        <v>01</v>
      </c>
    </row>
    <row r="156" spans="1:1">
      <c r="A156" s="12" t="str">
        <f t="shared" si="2"/>
        <v>01</v>
      </c>
    </row>
    <row r="157" spans="1:1">
      <c r="A157" s="12" t="str">
        <f t="shared" si="2"/>
        <v>01</v>
      </c>
    </row>
    <row r="158" spans="1:1">
      <c r="A158" s="12" t="str">
        <f t="shared" si="2"/>
        <v>01</v>
      </c>
    </row>
    <row r="159" spans="1:1">
      <c r="A159" s="12" t="str">
        <f t="shared" si="2"/>
        <v>01</v>
      </c>
    </row>
    <row r="160" spans="1:1">
      <c r="A160" s="12" t="str">
        <f t="shared" si="2"/>
        <v>01</v>
      </c>
    </row>
    <row r="161" spans="1:1">
      <c r="A161" s="12" t="str">
        <f t="shared" si="2"/>
        <v>01</v>
      </c>
    </row>
    <row r="162" spans="1:1">
      <c r="A162" s="12" t="str">
        <f t="shared" si="2"/>
        <v>01</v>
      </c>
    </row>
    <row r="163" spans="1:1">
      <c r="A163" s="12" t="str">
        <f t="shared" si="2"/>
        <v>01</v>
      </c>
    </row>
    <row r="164" spans="1:1">
      <c r="A164" s="12" t="str">
        <f t="shared" si="2"/>
        <v>01</v>
      </c>
    </row>
    <row r="165" spans="1:1">
      <c r="A165" s="12" t="str">
        <f t="shared" si="2"/>
        <v>01</v>
      </c>
    </row>
    <row r="166" spans="1:1">
      <c r="A166" s="12" t="str">
        <f t="shared" si="2"/>
        <v>01</v>
      </c>
    </row>
    <row r="167" spans="1:1">
      <c r="A167" s="12" t="str">
        <f t="shared" si="2"/>
        <v>01</v>
      </c>
    </row>
    <row r="168" spans="1:1">
      <c r="A168" s="12" t="str">
        <f t="shared" si="2"/>
        <v>01</v>
      </c>
    </row>
    <row r="169" spans="1:1">
      <c r="A169" s="12" t="str">
        <f t="shared" si="2"/>
        <v>01</v>
      </c>
    </row>
    <row r="170" spans="1:1">
      <c r="A170" s="12" t="str">
        <f t="shared" si="2"/>
        <v>01</v>
      </c>
    </row>
    <row r="171" spans="1:1">
      <c r="A171" s="12" t="str">
        <f t="shared" si="2"/>
        <v>01</v>
      </c>
    </row>
    <row r="172" spans="1:1">
      <c r="A172" s="12" t="str">
        <f t="shared" si="2"/>
        <v>01</v>
      </c>
    </row>
    <row r="173" spans="1:1">
      <c r="A173" s="12" t="str">
        <f t="shared" si="2"/>
        <v>01</v>
      </c>
    </row>
    <row r="174" spans="1:1">
      <c r="A174" s="12" t="str">
        <f t="shared" si="2"/>
        <v>01</v>
      </c>
    </row>
    <row r="175" spans="1:1">
      <c r="A175" s="12" t="str">
        <f t="shared" si="2"/>
        <v>01</v>
      </c>
    </row>
    <row r="176" spans="1:1">
      <c r="A176" s="12" t="str">
        <f t="shared" si="2"/>
        <v>01</v>
      </c>
    </row>
    <row r="177" spans="1:1">
      <c r="A177" s="12" t="str">
        <f t="shared" si="2"/>
        <v>01</v>
      </c>
    </row>
    <row r="178" spans="1:1">
      <c r="A178" s="12" t="str">
        <f t="shared" si="2"/>
        <v>01</v>
      </c>
    </row>
    <row r="179" spans="1:1">
      <c r="A179" s="12" t="str">
        <f t="shared" si="2"/>
        <v>01</v>
      </c>
    </row>
    <row r="180" spans="1:1">
      <c r="A180" s="12" t="str">
        <f t="shared" si="2"/>
        <v>01</v>
      </c>
    </row>
    <row r="181" spans="1:1">
      <c r="A181" s="12" t="str">
        <f t="shared" si="2"/>
        <v>01</v>
      </c>
    </row>
    <row r="182" spans="1:1">
      <c r="A182" s="12" t="str">
        <f t="shared" si="2"/>
        <v>01</v>
      </c>
    </row>
    <row r="183" spans="1:1">
      <c r="A183" s="12" t="str">
        <f t="shared" si="2"/>
        <v>01</v>
      </c>
    </row>
    <row r="184" spans="1:1">
      <c r="A184" s="12" t="str">
        <f t="shared" si="2"/>
        <v>01</v>
      </c>
    </row>
    <row r="185" spans="1:1">
      <c r="A185" s="12" t="str">
        <f t="shared" si="2"/>
        <v>01</v>
      </c>
    </row>
    <row r="186" spans="1:1">
      <c r="A186" s="12" t="str">
        <f t="shared" si="2"/>
        <v>01</v>
      </c>
    </row>
    <row r="187" spans="1:1">
      <c r="A187" s="12" t="str">
        <f t="shared" si="2"/>
        <v>01</v>
      </c>
    </row>
    <row r="188" spans="1:1">
      <c r="A188" s="12" t="str">
        <f t="shared" si="2"/>
        <v>01</v>
      </c>
    </row>
    <row r="189" spans="1:1">
      <c r="A189" s="12" t="str">
        <f t="shared" si="2"/>
        <v>01</v>
      </c>
    </row>
    <row r="190" spans="1:1">
      <c r="A190" s="12" t="str">
        <f t="shared" si="2"/>
        <v>01</v>
      </c>
    </row>
    <row r="191" spans="1:1">
      <c r="A191" s="12" t="str">
        <f t="shared" si="2"/>
        <v>01</v>
      </c>
    </row>
    <row r="192" spans="1:1">
      <c r="A192" s="12" t="str">
        <f t="shared" si="2"/>
        <v>01</v>
      </c>
    </row>
    <row r="193" spans="1:1">
      <c r="A193" s="12" t="str">
        <f t="shared" si="2"/>
        <v>01</v>
      </c>
    </row>
    <row r="194" spans="1:1">
      <c r="A194" s="12" t="str">
        <f t="shared" si="2"/>
        <v>01</v>
      </c>
    </row>
    <row r="195" spans="1:1">
      <c r="A195" s="12" t="str">
        <f t="shared" ref="A195:A200" si="3">TEXT(L195,"MM")</f>
        <v>01</v>
      </c>
    </row>
    <row r="196" spans="1:1">
      <c r="A196" s="12" t="str">
        <f t="shared" si="3"/>
        <v>01</v>
      </c>
    </row>
    <row r="197" spans="1:1">
      <c r="A197" s="12" t="str">
        <f t="shared" si="3"/>
        <v>01</v>
      </c>
    </row>
    <row r="198" spans="1:1">
      <c r="A198" s="12" t="str">
        <f t="shared" si="3"/>
        <v>01</v>
      </c>
    </row>
    <row r="199" spans="1:1">
      <c r="A199" s="12" t="str">
        <f t="shared" si="3"/>
        <v>01</v>
      </c>
    </row>
    <row r="200" spans="1:1">
      <c r="A200" s="12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J8"/>
  <sheetViews>
    <sheetView workbookViewId="0">
      <selection sqref="A1:F8"/>
    </sheetView>
  </sheetViews>
  <sheetFormatPr defaultRowHeight="17.399999999999999"/>
  <cols>
    <col min="1" max="1" width="12.69921875" customWidth="1"/>
    <col min="2" max="2" width="14.69921875" customWidth="1"/>
    <col min="3" max="3" width="11.69921875" customWidth="1"/>
    <col min="4" max="4" width="8.69921875" customWidth="1"/>
    <col min="5" max="5" width="12.69921875" customWidth="1"/>
    <col min="6" max="6" width="12.19921875" customWidth="1"/>
  </cols>
  <sheetData>
    <row r="1" spans="1:10" ht="22.95" customHeight="1" thickBot="1">
      <c r="A1" s="2" t="s">
        <v>22</v>
      </c>
      <c r="B1" s="3" t="s">
        <v>19</v>
      </c>
      <c r="C1" s="3" t="s">
        <v>23</v>
      </c>
      <c r="D1" s="3" t="s">
        <v>24</v>
      </c>
      <c r="E1" s="3" t="s">
        <v>25</v>
      </c>
      <c r="F1" s="3" t="s">
        <v>26</v>
      </c>
      <c r="H1" s="48" t="s">
        <v>86</v>
      </c>
      <c r="I1" s="48" t="s">
        <v>87</v>
      </c>
      <c r="J1" s="3" t="s">
        <v>26</v>
      </c>
    </row>
    <row r="2" spans="1:10" ht="25.05" customHeight="1" thickBot="1">
      <c r="A2" s="17" t="str">
        <f>IF(RHS_Download!AB2="","",RHS_Download!AB2)</f>
        <v/>
      </c>
      <c r="B2" s="44" t="str">
        <f>IF(RHS_Download!R2="","",RHS_Download!R2)</f>
        <v/>
      </c>
      <c r="C2" s="31" t="str">
        <f>IF(RHS_Download!V2="","",RHS_Download!V2)</f>
        <v/>
      </c>
      <c r="D2" s="6" t="str">
        <f>IF(RHS_Download!W2="","",RHS_Download!W2)</f>
        <v/>
      </c>
      <c r="E2" s="6" t="str">
        <f>IF(RHS_Download!M2="","",RHS_Download!M2)</f>
        <v/>
      </c>
      <c r="F2" s="6" t="str">
        <f>IF(OR(J2="",J2=0),"",J2)</f>
        <v/>
      </c>
      <c r="H2">
        <f>RHS_Download!S2</f>
        <v>0</v>
      </c>
      <c r="I2">
        <f>RHS_Download!T2</f>
        <v>0</v>
      </c>
      <c r="J2">
        <f>I2-H2</f>
        <v>0</v>
      </c>
    </row>
    <row r="3" spans="1:10" ht="25.05" customHeight="1" thickBot="1">
      <c r="A3" s="17" t="str">
        <f>IF(RHS_Download!AB3="","",RHS_Download!AB3)</f>
        <v/>
      </c>
      <c r="B3" s="44" t="str">
        <f>IF(RHS_Download!R3="","",RHS_Download!R3)</f>
        <v/>
      </c>
      <c r="C3" s="31" t="str">
        <f>IF(RHS_Download!V3="","",RHS_Download!V3)</f>
        <v/>
      </c>
      <c r="D3" s="6" t="str">
        <f>IF(RHS_Download!W3="","",RHS_Download!W3)</f>
        <v/>
      </c>
      <c r="E3" s="6" t="str">
        <f>IF(RHS_Download!M3="","",RHS_Download!M3)</f>
        <v/>
      </c>
      <c r="F3" s="6" t="str">
        <f t="shared" ref="F3:F6" si="0">IF(OR(J3="",J3=0),"",J3)</f>
        <v/>
      </c>
      <c r="H3">
        <f>RHS_Download!S3</f>
        <v>0</v>
      </c>
      <c r="I3">
        <f>RHS_Download!T3</f>
        <v>0</v>
      </c>
      <c r="J3">
        <f t="shared" ref="J3:J6" si="1">I3-H3</f>
        <v>0</v>
      </c>
    </row>
    <row r="4" spans="1:10" ht="25.05" customHeight="1" thickBot="1">
      <c r="A4" s="17" t="str">
        <f>IF(RHS_Download!AB4="","",RHS_Download!AB4)</f>
        <v/>
      </c>
      <c r="B4" s="44" t="str">
        <f>IF(RHS_Download!R4="","",RHS_Download!R4)</f>
        <v/>
      </c>
      <c r="C4" s="31" t="str">
        <f>IF(RHS_Download!V4="","",RHS_Download!V4)</f>
        <v/>
      </c>
      <c r="D4" s="6" t="str">
        <f>IF(RHS_Download!W4="","",RHS_Download!W4)</f>
        <v/>
      </c>
      <c r="E4" s="6" t="str">
        <f>IF(RHS_Download!M4="","",RHS_Download!M4)</f>
        <v/>
      </c>
      <c r="F4" s="6" t="str">
        <f t="shared" si="0"/>
        <v/>
      </c>
      <c r="H4">
        <f>RHS_Download!S4</f>
        <v>0</v>
      </c>
      <c r="I4">
        <f>RHS_Download!T4</f>
        <v>0</v>
      </c>
      <c r="J4">
        <f t="shared" si="1"/>
        <v>0</v>
      </c>
    </row>
    <row r="5" spans="1:10" ht="25.05" customHeight="1" thickBot="1">
      <c r="A5" s="17" t="str">
        <f>IF(RHS_Download!AB5="","",RHS_Download!AB5)</f>
        <v/>
      </c>
      <c r="B5" s="44" t="str">
        <f>IF(RHS_Download!R5="","",RHS_Download!R5)</f>
        <v/>
      </c>
      <c r="C5" s="31" t="str">
        <f>IF(RHS_Download!V5="","",RHS_Download!V5)</f>
        <v/>
      </c>
      <c r="D5" s="6" t="str">
        <f>IF(RHS_Download!W5="","",RHS_Download!W5)</f>
        <v/>
      </c>
      <c r="E5" s="6" t="str">
        <f>IF(RHS_Download!M5="","",RHS_Download!M5)</f>
        <v/>
      </c>
      <c r="F5" s="6" t="str">
        <f t="shared" si="0"/>
        <v/>
      </c>
      <c r="H5">
        <f>RHS_Download!S5</f>
        <v>0</v>
      </c>
      <c r="I5">
        <f>RHS_Download!T5</f>
        <v>0</v>
      </c>
      <c r="J5">
        <f t="shared" si="1"/>
        <v>0</v>
      </c>
    </row>
    <row r="6" spans="1:10" ht="25.05" customHeight="1" thickBot="1">
      <c r="A6" s="17" t="str">
        <f>IF(RHS_Download!AB6="","",RHS_Download!AB6)</f>
        <v/>
      </c>
      <c r="B6" s="44" t="str">
        <f>IF(RHS_Download!R6="","",RHS_Download!R6)</f>
        <v/>
      </c>
      <c r="C6" s="31" t="str">
        <f>IF(RHS_Download!V6="","",RHS_Download!V6)</f>
        <v/>
      </c>
      <c r="D6" s="6" t="str">
        <f>IF(RHS_Download!W6="","",RHS_Download!W6)</f>
        <v/>
      </c>
      <c r="E6" s="6" t="str">
        <f>IF(RHS_Download!M6="","",RHS_Download!M6)</f>
        <v/>
      </c>
      <c r="F6" s="6" t="str">
        <f t="shared" si="0"/>
        <v/>
      </c>
      <c r="H6">
        <f>RHS_Download!S6</f>
        <v>0</v>
      </c>
      <c r="I6">
        <f>RHS_Download!T6</f>
        <v>0</v>
      </c>
      <c r="J6">
        <f t="shared" si="1"/>
        <v>0</v>
      </c>
    </row>
    <row r="7" spans="1:10" ht="4.95" customHeight="1">
      <c r="A7" s="484" t="s">
        <v>31</v>
      </c>
      <c r="B7" s="485"/>
      <c r="C7" s="485"/>
      <c r="D7" s="485"/>
      <c r="E7" s="485"/>
      <c r="F7" s="486"/>
    </row>
    <row r="8" spans="1:10" ht="4.95" customHeight="1" thickBot="1">
      <c r="A8" s="487"/>
      <c r="B8" s="488"/>
      <c r="C8" s="488"/>
      <c r="D8" s="488"/>
      <c r="E8" s="488"/>
      <c r="F8" s="489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434D-FFD1-4C01-9323-83EF6F0A852B}">
  <dimension ref="A1:Z2028"/>
  <sheetViews>
    <sheetView topLeftCell="F1" workbookViewId="0">
      <selection activeCell="N9" sqref="N9"/>
    </sheetView>
  </sheetViews>
  <sheetFormatPr defaultRowHeight="17.399999999999999"/>
  <cols>
    <col min="1" max="1" width="12.5" bestFit="1" customWidth="1"/>
    <col min="2" max="2" width="20.19921875" bestFit="1" customWidth="1"/>
    <col min="3" max="3" width="16.59765625" bestFit="1" customWidth="1"/>
    <col min="4" max="4" width="15.3984375" customWidth="1"/>
    <col min="5" max="5" width="12.59765625" customWidth="1"/>
    <col min="6" max="6" width="16.19921875" bestFit="1" customWidth="1"/>
    <col min="7" max="7" width="17.59765625" customWidth="1"/>
    <col min="8" max="8" width="16.19921875" customWidth="1"/>
    <col min="9" max="9" width="14.09765625" customWidth="1"/>
    <col min="10" max="10" width="15.296875" customWidth="1"/>
    <col min="12" max="12" width="11.09765625" bestFit="1" customWidth="1"/>
    <col min="14" max="14" width="11.3984375" customWidth="1"/>
  </cols>
  <sheetData>
    <row r="1" spans="1:26" ht="18" thickBot="1">
      <c r="A1" s="131" t="s">
        <v>302</v>
      </c>
      <c r="B1" s="132"/>
      <c r="K1" s="4"/>
      <c r="L1" s="4"/>
      <c r="M1" s="133">
        <f>_xlfn.NUMBERVALUE(MID(RIGHT(A1,10),6,2))</f>
        <v>11</v>
      </c>
      <c r="N1" s="105" t="s">
        <v>92</v>
      </c>
      <c r="O1" s="49" t="s">
        <v>95</v>
      </c>
      <c r="P1" s="49" t="s">
        <v>96</v>
      </c>
      <c r="Q1" s="49" t="s">
        <v>97</v>
      </c>
      <c r="R1" s="49" t="s">
        <v>98</v>
      </c>
      <c r="S1" s="49" t="s">
        <v>99</v>
      </c>
      <c r="T1" s="49" t="s">
        <v>100</v>
      </c>
      <c r="U1" s="49" t="s">
        <v>101</v>
      </c>
      <c r="V1" s="49" t="s">
        <v>102</v>
      </c>
      <c r="W1" s="49" t="s">
        <v>103</v>
      </c>
      <c r="X1" s="49" t="s">
        <v>104</v>
      </c>
      <c r="Y1" s="49" t="s">
        <v>105</v>
      </c>
      <c r="Z1" s="49" t="s">
        <v>106</v>
      </c>
    </row>
    <row r="2" spans="1:26" ht="18" thickBot="1">
      <c r="M2" s="106"/>
      <c r="N2" s="107" t="s">
        <v>93</v>
      </c>
      <c r="O2" s="108" cm="1">
        <f t="array" ref="O2">IFERROR(_xlfn.SWITCH(1,1,$J$46,2,"",3,"",4,"",5,"",6,"",7,"",8,"",9,"",10,"",11,"",12,""),"")</f>
        <v>25.086819752862844</v>
      </c>
      <c r="P2" s="108" cm="1">
        <f t="array" ref="P2">IFERROR(_xlfn.SWITCH(2,1,"",2,$J$215,3,"",4,"",5,"",6,"",7,"",8,"",9,"",10,"",11,"",12,""),"")</f>
        <v>25.086819752862844</v>
      </c>
      <c r="Q2" s="108" cm="1">
        <f t="array" ref="Q2">IFERROR(_xlfn.SWITCH(3,1,"",2,"",3,$J$384,4,"",5,"",6,"",7,"",8,"",9,"",10,"",11,"",12,""),"")</f>
        <v>25.049296165413921</v>
      </c>
      <c r="R2" s="108" t="str" cm="1">
        <f t="array" ref="R2">IFERROR(_xlfn.SWITCH(4,1,"",2,"",3,"",4,$J$553,5,"",6,"",7,"",8,"",9,"",10,"",11,"",12,""),"")</f>
        <v/>
      </c>
      <c r="S2" s="108" cm="1">
        <f t="array" ref="S2">IFERROR(_xlfn.SWITCH(5,1,"",2,"",3,"",4,"",5,$J$722,6,"",7,"",8,"",9,"",10,"",11,"",12,""),"")</f>
        <v>25.086819752862844</v>
      </c>
      <c r="T2" s="108" t="str" cm="1">
        <f t="array" ref="T2">IFERROR(_xlfn.SWITCH(6,1,"",2,"",3,"",4,"",5,"",6,$J$891,7,"",8,"",9,"",10,"",11,"",12,""),"")</f>
        <v/>
      </c>
      <c r="U2" s="108" cm="1">
        <f t="array" ref="U2">IFERROR(_xlfn.SWITCH(7,1,"",2,"",3,"",4,"",5,"",6,"",7,$J$1060,8,"",9,"",10,"",11,"",12,""),"")</f>
        <v>25.086819752862844</v>
      </c>
      <c r="V2" s="108" cm="1">
        <f t="array" ref="V2">IFERROR(_xlfn.SWITCH(8,1,"",2,"",3,"",4,"",5,"",6,"",7,"",8,$J$1229,9,"",10,"",11,"",12,""),"")</f>
        <v>25.086819752862844</v>
      </c>
      <c r="W2" s="108" t="str" cm="1">
        <f t="array" ref="W2">IFERROR(_xlfn.SWITCH(9,1,"",2,"",3,"",4,"",5,"",6,"",7,"",8,"",9,$J$1398,10,"",11,"",12,""),"")</f>
        <v/>
      </c>
      <c r="X2" s="108" t="str" cm="1">
        <f t="array" ref="X2">IFERROR(_xlfn.SWITCH(10,1,"",2,"",3,"",4,"",5,"",6,"",7,"",8,"",9,"",10,$J$1567,11,"",12,""),"")</f>
        <v/>
      </c>
      <c r="Y2" s="108" t="str" cm="1">
        <f t="array" ref="Y2">IFERROR(_xlfn.SWITCH(11,1,"",2,"",3,"",4,"",5,"",6,"",7,"",8,"",9,"",10,"",11,$J$1736,12,""),"")</f>
        <v/>
      </c>
      <c r="Z2" s="108" cm="1">
        <f t="array" ref="Z2">IFERROR(_xlfn.SWITCH(12,1,"",2,"",3,"",4,"",5,"",6,"",7,"",8,"",9,"",10,"",11,"",12,$J$1905),"")</f>
        <v>25.086819752862844</v>
      </c>
    </row>
    <row r="3" spans="1:26" ht="18" customHeight="1" thickBot="1">
      <c r="A3" s="503" t="s">
        <v>107</v>
      </c>
      <c r="B3" s="503"/>
      <c r="C3" s="503"/>
      <c r="D3" s="503"/>
      <c r="E3" s="503"/>
      <c r="F3" s="503"/>
      <c r="G3" s="503"/>
      <c r="H3" s="503"/>
      <c r="I3" s="503"/>
      <c r="J3" s="504"/>
      <c r="K3" s="109">
        <v>1</v>
      </c>
      <c r="M3" s="106"/>
      <c r="N3" s="110" t="s">
        <v>94</v>
      </c>
      <c r="O3" s="108" cm="1">
        <f t="array" ref="O3">IFERROR(_xlfn.SWITCH(1,1,$J$91,2,"",3,"",4,"",5,"",6,"",7,"",8,"",9,"",10,"",11,"",12,""),"")</f>
        <v>34.042797428590319</v>
      </c>
      <c r="P3" s="108" cm="1">
        <f t="array" ref="P3">IFERROR(_xlfn.SWITCH(2,1,"",2,$J$260,3,"",4,"",5,"",6,"",7,"",8,"",9,"",10,"",11,"",12,""),"")</f>
        <v>36.473064994950349</v>
      </c>
      <c r="Q3" s="108" cm="1">
        <f t="array" ref="Q3">IFERROR(_xlfn.SWITCH(3,1,"",2,"",3,$J$429,4,"",5,"",6,"",7,"",8,"",9,"",10,"",11,"",12,""),"")</f>
        <v>36.679584212262412</v>
      </c>
      <c r="R3" s="108" t="str" cm="1">
        <f t="array" ref="R3">IFERROR(_xlfn.SWITCH(4,1,"",2,"",3,"",4,$J$598,5,"",6,"",7,"",8,"",9,"",10,"",11,"",12,""),"")</f>
        <v/>
      </c>
      <c r="S3" s="108" cm="1">
        <f t="array" ref="S3">IFERROR(_xlfn.SWITCH(5,1,"",2,"",3,"",4,"",5,$J$767,6,"",7,"",8,"",9,"",10,"",11,"",12,""),"")</f>
        <v>36.473064994950349</v>
      </c>
      <c r="T3" s="108" t="str" cm="1">
        <f t="array" ref="T3">IFERROR(_xlfn.SWITCH(6,1,"",2,"",3,"",4,"",5,"",6,$J$936,7,"",8,"",9,"",10,"",11,"",12,""),"")</f>
        <v/>
      </c>
      <c r="U3" s="108" cm="1">
        <f t="array" ref="U3">IFERROR(_xlfn.SWITCH(7,1,"",2,"",3,"",4,"",5,"",6,"",7,$J$1105,8,"",9,"",10,"",11,"",12,""),"")</f>
        <v>36.473064994950349</v>
      </c>
      <c r="V3" s="108" cm="1">
        <f t="array" ref="V3">IFERROR(_xlfn.SWITCH(8,1,"",2,"",3,"",4,"",5,"",6,"",7,"",8,$J$1274,9,"",10,"",11,"",12,""),"")</f>
        <v>36.473064994950349</v>
      </c>
      <c r="W3" s="108" t="str" cm="1">
        <f t="array" ref="W3">IFERROR(_xlfn.SWITCH(9,1,"",2,"",3,"",4,"",5,"",6,"",7,"",8,"",9,$J$1443,10,"",11,"",12,""),"")</f>
        <v/>
      </c>
      <c r="X3" s="108" t="str" cm="1">
        <f t="array" ref="X3">IFERROR(_xlfn.SWITCH(10,1,"",2,"",3,"",4,"",5,"",6,"",7,"",8,"",9,"",10,$J$1612,11,"",12,""),"")</f>
        <v/>
      </c>
      <c r="Y3" s="108" t="str" cm="1">
        <f t="array" ref="Y3">IFERROR(_xlfn.SWITCH(11,1,"",2,"",3,"",4,"",5,"",6,"",7,"",8,"",9,"",10,"",11,$J$1781,12,""),"")</f>
        <v/>
      </c>
      <c r="Z3" s="108" cm="1">
        <f t="array" ref="Z3">IFERROR(_xlfn.SWITCH(12,1,"",2,"",3,"",4,"",5,"",6,"",7,"",8,"",9,"",10,"",11,"",12,$J$1950),"")</f>
        <v>36.473064994950349</v>
      </c>
    </row>
    <row r="4" spans="1:26" ht="34.799999999999997" customHeight="1" thickBot="1">
      <c r="A4" s="74" t="s">
        <v>270</v>
      </c>
      <c r="B4" s="74" t="s">
        <v>271</v>
      </c>
      <c r="C4" s="74" t="s">
        <v>272</v>
      </c>
      <c r="D4" s="74" t="s">
        <v>108</v>
      </c>
      <c r="E4" s="74" t="s">
        <v>109</v>
      </c>
      <c r="F4" s="75" t="s">
        <v>273</v>
      </c>
      <c r="G4" s="74" t="s">
        <v>110</v>
      </c>
      <c r="H4" s="74" t="s">
        <v>111</v>
      </c>
      <c r="I4" s="74" t="s">
        <v>112</v>
      </c>
      <c r="J4" s="74" t="s">
        <v>113</v>
      </c>
      <c r="M4" s="106"/>
      <c r="N4" s="50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</row>
    <row r="5" spans="1:26">
      <c r="A5" s="505" t="s">
        <v>274</v>
      </c>
      <c r="B5" s="87" t="s">
        <v>114</v>
      </c>
      <c r="C5" s="76" t="s">
        <v>275</v>
      </c>
      <c r="D5" s="77">
        <v>1</v>
      </c>
      <c r="E5" s="78">
        <v>1</v>
      </c>
      <c r="F5" s="497" t="s">
        <v>276</v>
      </c>
      <c r="G5" s="76">
        <v>105.48</v>
      </c>
      <c r="H5" s="51">
        <v>25.5</v>
      </c>
      <c r="I5" s="52">
        <v>26.6</v>
      </c>
      <c r="J5" s="52">
        <v>25.947168858331978</v>
      </c>
    </row>
    <row r="6" spans="1:26">
      <c r="A6" s="506"/>
      <c r="B6" s="87" t="s">
        <v>115</v>
      </c>
      <c r="C6" s="76" t="s">
        <v>277</v>
      </c>
      <c r="D6" s="77">
        <v>1</v>
      </c>
      <c r="E6" s="78">
        <v>1</v>
      </c>
      <c r="F6" s="498"/>
      <c r="G6" s="76">
        <v>105.48</v>
      </c>
      <c r="H6" s="51">
        <v>26</v>
      </c>
      <c r="I6" s="52">
        <v>27.1</v>
      </c>
      <c r="J6" s="52">
        <v>26.534160006693167</v>
      </c>
    </row>
    <row r="7" spans="1:26">
      <c r="A7" s="506"/>
      <c r="B7" s="87" t="s">
        <v>116</v>
      </c>
      <c r="C7" s="76" t="s">
        <v>117</v>
      </c>
      <c r="D7" s="77">
        <v>1</v>
      </c>
      <c r="E7" s="78">
        <v>1</v>
      </c>
      <c r="F7" s="79"/>
      <c r="G7" s="76">
        <v>105.48</v>
      </c>
      <c r="H7" s="51">
        <v>26</v>
      </c>
      <c r="I7" s="52">
        <v>27.1</v>
      </c>
      <c r="J7" s="52">
        <v>26.612712003992765</v>
      </c>
    </row>
    <row r="8" spans="1:26">
      <c r="A8" s="507"/>
      <c r="B8" s="87" t="s">
        <v>118</v>
      </c>
      <c r="C8" s="76" t="s">
        <v>119</v>
      </c>
      <c r="D8" s="77">
        <v>1</v>
      </c>
      <c r="E8" s="78">
        <v>1</v>
      </c>
      <c r="F8" s="79"/>
      <c r="G8" s="76">
        <v>105.48</v>
      </c>
      <c r="H8" s="51">
        <v>25.9</v>
      </c>
      <c r="I8" s="52">
        <v>27</v>
      </c>
      <c r="J8" s="52">
        <v>26.551582992080178</v>
      </c>
    </row>
    <row r="9" spans="1:26">
      <c r="A9" s="505" t="s">
        <v>278</v>
      </c>
      <c r="B9" s="87" t="s">
        <v>120</v>
      </c>
      <c r="C9" s="76" t="s">
        <v>279</v>
      </c>
      <c r="D9" s="77">
        <v>1</v>
      </c>
      <c r="E9" s="78">
        <v>1</v>
      </c>
      <c r="F9" s="497" t="s">
        <v>276</v>
      </c>
      <c r="G9" s="76">
        <v>105.48</v>
      </c>
      <c r="H9" s="51">
        <v>19.5</v>
      </c>
      <c r="I9" s="52">
        <v>28</v>
      </c>
      <c r="J9" s="52">
        <v>26.562861558467784</v>
      </c>
    </row>
    <row r="10" spans="1:26">
      <c r="A10" s="506"/>
      <c r="B10" s="87" t="s">
        <v>121</v>
      </c>
      <c r="C10" s="76" t="s">
        <v>280</v>
      </c>
      <c r="D10" s="77">
        <v>1</v>
      </c>
      <c r="E10" s="78">
        <v>1</v>
      </c>
      <c r="F10" s="498"/>
      <c r="G10" s="76">
        <v>105.48</v>
      </c>
      <c r="H10" s="51">
        <v>24.3</v>
      </c>
      <c r="I10" s="52">
        <v>27.7</v>
      </c>
      <c r="J10" s="52">
        <v>26.468817329979629</v>
      </c>
    </row>
    <row r="11" spans="1:26">
      <c r="A11" s="506"/>
      <c r="B11" s="87" t="s">
        <v>122</v>
      </c>
      <c r="C11" s="76" t="s">
        <v>123</v>
      </c>
      <c r="D11" s="77">
        <v>1</v>
      </c>
      <c r="E11" s="78">
        <v>1</v>
      </c>
      <c r="F11" s="498"/>
      <c r="G11" s="76">
        <v>105.48</v>
      </c>
      <c r="H11" s="51">
        <v>17</v>
      </c>
      <c r="I11" s="52">
        <v>27</v>
      </c>
      <c r="J11" s="52">
        <v>21.191033060811872</v>
      </c>
    </row>
    <row r="12" spans="1:26">
      <c r="A12" s="506"/>
      <c r="B12" s="87" t="s">
        <v>124</v>
      </c>
      <c r="C12" s="76" t="s">
        <v>125</v>
      </c>
      <c r="D12" s="77">
        <v>1</v>
      </c>
      <c r="E12" s="78">
        <v>1</v>
      </c>
      <c r="F12" s="498"/>
      <c r="G12" s="76">
        <v>105.48</v>
      </c>
      <c r="H12" s="51">
        <v>24.9</v>
      </c>
      <c r="I12" s="52">
        <v>27.5</v>
      </c>
      <c r="J12" s="52">
        <v>26.191250294344051</v>
      </c>
    </row>
    <row r="13" spans="1:26">
      <c r="A13" s="506"/>
      <c r="B13" s="87" t="s">
        <v>126</v>
      </c>
      <c r="C13" s="76" t="s">
        <v>281</v>
      </c>
      <c r="D13" s="77">
        <v>1</v>
      </c>
      <c r="E13" s="78">
        <v>1</v>
      </c>
      <c r="F13" s="79"/>
      <c r="G13" s="76">
        <v>70.319999999999993</v>
      </c>
      <c r="H13" s="51">
        <v>13.9</v>
      </c>
      <c r="I13" s="52">
        <v>26.3</v>
      </c>
      <c r="J13" s="52">
        <v>24.473978140810075</v>
      </c>
    </row>
    <row r="14" spans="1:26">
      <c r="A14" s="506"/>
      <c r="B14" s="87" t="s">
        <v>127</v>
      </c>
      <c r="C14" s="76" t="s">
        <v>128</v>
      </c>
      <c r="D14" s="77">
        <v>1</v>
      </c>
      <c r="E14" s="78">
        <v>1</v>
      </c>
      <c r="F14" s="79"/>
      <c r="G14" s="76">
        <v>70.319999999999993</v>
      </c>
      <c r="H14" s="51">
        <v>14.1</v>
      </c>
      <c r="I14" s="52">
        <v>26.1</v>
      </c>
      <c r="J14" s="52">
        <v>24.513090894548593</v>
      </c>
    </row>
    <row r="15" spans="1:26">
      <c r="A15" s="507"/>
      <c r="B15" s="87" t="s">
        <v>129</v>
      </c>
      <c r="C15" s="76" t="s">
        <v>130</v>
      </c>
      <c r="D15" s="77">
        <v>1</v>
      </c>
      <c r="E15" s="78">
        <v>1</v>
      </c>
      <c r="F15" s="79"/>
      <c r="G15" s="76">
        <v>70.319999999999993</v>
      </c>
      <c r="H15" s="51">
        <v>14.8</v>
      </c>
      <c r="I15" s="52">
        <v>26</v>
      </c>
      <c r="J15" s="52">
        <v>24.625210701474238</v>
      </c>
    </row>
    <row r="16" spans="1:26">
      <c r="A16" s="496" t="s">
        <v>282</v>
      </c>
      <c r="B16" s="87" t="s">
        <v>131</v>
      </c>
      <c r="C16" s="76" t="s">
        <v>283</v>
      </c>
      <c r="D16" s="77">
        <v>1</v>
      </c>
      <c r="E16" s="78">
        <v>1</v>
      </c>
      <c r="F16" s="497" t="s">
        <v>276</v>
      </c>
      <c r="G16" s="76">
        <v>105.48</v>
      </c>
      <c r="H16" s="51">
        <v>24</v>
      </c>
      <c r="I16" s="52">
        <v>25.5</v>
      </c>
      <c r="J16" s="52">
        <v>24.86613436981952</v>
      </c>
    </row>
    <row r="17" spans="1:10">
      <c r="A17" s="496"/>
      <c r="B17" s="87" t="s">
        <v>132</v>
      </c>
      <c r="C17" s="76" t="s">
        <v>133</v>
      </c>
      <c r="D17" s="77">
        <v>1</v>
      </c>
      <c r="E17" s="78">
        <v>1</v>
      </c>
      <c r="F17" s="498"/>
      <c r="G17" s="76">
        <v>105.48</v>
      </c>
      <c r="H17" s="51">
        <v>24.4</v>
      </c>
      <c r="I17" s="52">
        <v>25.9</v>
      </c>
      <c r="J17" s="52">
        <v>25.221151651472233</v>
      </c>
    </row>
    <row r="18" spans="1:10">
      <c r="A18" s="496"/>
      <c r="B18" s="87" t="s">
        <v>134</v>
      </c>
      <c r="C18" s="76" t="s">
        <v>135</v>
      </c>
      <c r="D18" s="77">
        <v>1</v>
      </c>
      <c r="E18" s="78">
        <v>1</v>
      </c>
      <c r="F18" s="498"/>
      <c r="G18" s="80">
        <v>105.48</v>
      </c>
      <c r="H18" s="51">
        <v>24.5</v>
      </c>
      <c r="I18" s="52">
        <v>26.4</v>
      </c>
      <c r="J18" s="52">
        <v>25.252246982879878</v>
      </c>
    </row>
    <row r="19" spans="1:10">
      <c r="A19" s="496"/>
      <c r="B19" s="87" t="s">
        <v>136</v>
      </c>
      <c r="C19" s="76" t="s">
        <v>137</v>
      </c>
      <c r="D19" s="77">
        <v>1</v>
      </c>
      <c r="E19" s="78">
        <v>1</v>
      </c>
      <c r="F19" s="498"/>
      <c r="G19" s="80">
        <v>105.48</v>
      </c>
      <c r="H19" s="51">
        <v>24.1</v>
      </c>
      <c r="I19" s="52">
        <v>26</v>
      </c>
      <c r="J19" s="52">
        <v>24.844128275320063</v>
      </c>
    </row>
    <row r="20" spans="1:10">
      <c r="A20" s="496"/>
      <c r="B20" s="87" t="s">
        <v>138</v>
      </c>
      <c r="C20" s="76" t="s">
        <v>284</v>
      </c>
      <c r="D20" s="77">
        <v>0</v>
      </c>
      <c r="E20" s="78">
        <v>1</v>
      </c>
      <c r="F20" s="497" t="s">
        <v>285</v>
      </c>
      <c r="G20" s="76">
        <v>32.549999999999997</v>
      </c>
      <c r="H20" s="112">
        <v>25.3</v>
      </c>
      <c r="I20" s="112">
        <v>33.5</v>
      </c>
      <c r="J20" s="112">
        <v>32.598777177207168</v>
      </c>
    </row>
    <row r="21" spans="1:10">
      <c r="A21" s="496"/>
      <c r="B21" s="87" t="s">
        <v>139</v>
      </c>
      <c r="C21" s="76" t="s">
        <v>140</v>
      </c>
      <c r="D21" s="77">
        <v>0</v>
      </c>
      <c r="E21" s="78">
        <v>1</v>
      </c>
      <c r="F21" s="499"/>
      <c r="G21" s="76">
        <v>32.549999999999997</v>
      </c>
      <c r="H21" s="113">
        <v>23.4</v>
      </c>
      <c r="I21" s="113">
        <v>27.2</v>
      </c>
      <c r="J21" s="113">
        <v>26.023714421315294</v>
      </c>
    </row>
    <row r="22" spans="1:10">
      <c r="A22" s="496"/>
      <c r="B22" s="87" t="s">
        <v>141</v>
      </c>
      <c r="C22" s="76" t="s">
        <v>286</v>
      </c>
      <c r="D22" s="77">
        <v>0</v>
      </c>
      <c r="E22" s="78">
        <v>1</v>
      </c>
      <c r="F22" s="497" t="s">
        <v>285</v>
      </c>
      <c r="G22" s="76">
        <v>32.549999999999997</v>
      </c>
      <c r="H22" s="113">
        <v>21.8</v>
      </c>
      <c r="I22" s="113">
        <v>32.700000000000003</v>
      </c>
      <c r="J22" s="113">
        <v>31.101890811719603</v>
      </c>
    </row>
    <row r="23" spans="1:10">
      <c r="A23" s="496"/>
      <c r="B23" s="87" t="s">
        <v>142</v>
      </c>
      <c r="C23" s="76" t="s">
        <v>143</v>
      </c>
      <c r="D23" s="77">
        <v>1</v>
      </c>
      <c r="E23" s="78">
        <v>1</v>
      </c>
      <c r="F23" s="498"/>
      <c r="G23" s="76">
        <v>32.549999999999997</v>
      </c>
      <c r="H23" s="53">
        <v>22.5</v>
      </c>
      <c r="I23" s="53">
        <v>27.8</v>
      </c>
      <c r="J23" s="53">
        <v>26.137480201432698</v>
      </c>
    </row>
    <row r="24" spans="1:10">
      <c r="A24" s="496"/>
      <c r="B24" s="87" t="s">
        <v>144</v>
      </c>
      <c r="C24" s="76" t="s">
        <v>145</v>
      </c>
      <c r="D24" s="77">
        <v>0</v>
      </c>
      <c r="E24" s="78">
        <v>1</v>
      </c>
      <c r="F24" s="498"/>
      <c r="G24" s="76">
        <v>32.549999999999997</v>
      </c>
      <c r="H24" s="113">
        <v>17.8</v>
      </c>
      <c r="I24" s="113">
        <v>29.5</v>
      </c>
      <c r="J24" s="113">
        <v>27.936542597126117</v>
      </c>
    </row>
    <row r="25" spans="1:10">
      <c r="A25" s="496"/>
      <c r="B25" s="87" t="s">
        <v>146</v>
      </c>
      <c r="C25" s="76" t="s">
        <v>147</v>
      </c>
      <c r="D25" s="77">
        <v>1</v>
      </c>
      <c r="E25" s="78">
        <v>1</v>
      </c>
      <c r="F25" s="498"/>
      <c r="G25" s="76">
        <v>32.549999999999997</v>
      </c>
      <c r="H25" s="53">
        <v>21.4</v>
      </c>
      <c r="I25" s="53">
        <v>26.9</v>
      </c>
      <c r="J25" s="53">
        <v>24.703474713280034</v>
      </c>
    </row>
    <row r="26" spans="1:10">
      <c r="A26" s="496"/>
      <c r="B26" s="87" t="s">
        <v>148</v>
      </c>
      <c r="C26" s="76" t="s">
        <v>149</v>
      </c>
      <c r="D26" s="77">
        <v>0</v>
      </c>
      <c r="E26" s="78">
        <v>1</v>
      </c>
      <c r="F26" s="498"/>
      <c r="G26" s="76">
        <v>32.549999999999997</v>
      </c>
      <c r="H26" s="53">
        <v>20.3</v>
      </c>
      <c r="I26" s="53">
        <v>24.4</v>
      </c>
      <c r="J26" s="53">
        <v>21.562160054259266</v>
      </c>
    </row>
    <row r="27" spans="1:10">
      <c r="A27" s="496"/>
      <c r="B27" s="87" t="s">
        <v>150</v>
      </c>
      <c r="C27" s="76" t="s">
        <v>151</v>
      </c>
      <c r="D27" s="77">
        <v>1</v>
      </c>
      <c r="E27" s="78">
        <v>1</v>
      </c>
      <c r="F27" s="498"/>
      <c r="G27" s="76">
        <v>32.549999999999997</v>
      </c>
      <c r="H27" s="53">
        <v>21.2</v>
      </c>
      <c r="I27" s="53">
        <v>24.2</v>
      </c>
      <c r="J27" s="53">
        <v>23.427404201133758</v>
      </c>
    </row>
    <row r="28" spans="1:10">
      <c r="A28" s="496"/>
      <c r="B28" s="87" t="s">
        <v>152</v>
      </c>
      <c r="C28" s="76" t="s">
        <v>153</v>
      </c>
      <c r="D28" s="77">
        <v>0</v>
      </c>
      <c r="E28" s="78">
        <v>1</v>
      </c>
      <c r="F28" s="498"/>
      <c r="G28" s="76">
        <v>32.549999999999997</v>
      </c>
      <c r="H28" s="113"/>
      <c r="I28" s="113"/>
      <c r="J28" s="113"/>
    </row>
    <row r="29" spans="1:10">
      <c r="A29" s="496"/>
      <c r="B29" s="87" t="s">
        <v>154</v>
      </c>
      <c r="C29" s="76" t="s">
        <v>155</v>
      </c>
      <c r="D29" s="77">
        <v>0</v>
      </c>
      <c r="E29" s="78">
        <v>1</v>
      </c>
      <c r="F29" s="498"/>
      <c r="G29" s="76">
        <v>32.549999999999997</v>
      </c>
      <c r="H29" s="113">
        <v>18.399999999999999</v>
      </c>
      <c r="I29" s="113">
        <v>99.5</v>
      </c>
      <c r="J29" s="113">
        <v>22.382754481136075</v>
      </c>
    </row>
    <row r="30" spans="1:10">
      <c r="A30" s="496"/>
      <c r="B30" s="87" t="s">
        <v>156</v>
      </c>
      <c r="C30" s="76" t="s">
        <v>157</v>
      </c>
      <c r="D30" s="77">
        <v>0</v>
      </c>
      <c r="E30" s="78">
        <v>1</v>
      </c>
      <c r="F30" s="498"/>
      <c r="G30" s="76">
        <v>32.549999999999997</v>
      </c>
      <c r="H30" s="113">
        <v>18.399999999999999</v>
      </c>
      <c r="I30" s="113">
        <v>25.1</v>
      </c>
      <c r="J30" s="113">
        <v>23.977183057851555</v>
      </c>
    </row>
    <row r="31" spans="1:10">
      <c r="A31" s="496"/>
      <c r="B31" s="87" t="s">
        <v>158</v>
      </c>
      <c r="C31" s="76" t="s">
        <v>159</v>
      </c>
      <c r="D31" s="77">
        <v>0</v>
      </c>
      <c r="E31" s="78">
        <v>1</v>
      </c>
      <c r="F31" s="498"/>
      <c r="G31" s="76">
        <v>32.549999999999997</v>
      </c>
      <c r="H31" s="113">
        <v>17.7</v>
      </c>
      <c r="I31" s="113">
        <v>29.2</v>
      </c>
      <c r="J31" s="113">
        <v>21.609415322508042</v>
      </c>
    </row>
    <row r="32" spans="1:10">
      <c r="A32" s="496"/>
      <c r="B32" s="87" t="s">
        <v>160</v>
      </c>
      <c r="C32" s="76" t="s">
        <v>161</v>
      </c>
      <c r="D32" s="77">
        <v>0</v>
      </c>
      <c r="E32" s="78">
        <v>1</v>
      </c>
      <c r="F32" s="498"/>
      <c r="G32" s="76">
        <v>32.549999999999997</v>
      </c>
      <c r="H32" s="113">
        <v>21.2</v>
      </c>
      <c r="I32" s="113">
        <v>25.6</v>
      </c>
      <c r="J32" s="113">
        <v>22.483006882817978</v>
      </c>
    </row>
    <row r="33" spans="1:10">
      <c r="A33" s="496"/>
      <c r="B33" s="87" t="s">
        <v>162</v>
      </c>
      <c r="C33" s="76" t="s">
        <v>163</v>
      </c>
      <c r="D33" s="77">
        <v>0</v>
      </c>
      <c r="E33" s="78">
        <v>1</v>
      </c>
      <c r="F33" s="499"/>
      <c r="G33" s="76">
        <v>32.549999999999997</v>
      </c>
      <c r="H33" s="113">
        <v>19</v>
      </c>
      <c r="I33" s="113">
        <v>23.8</v>
      </c>
      <c r="J33" s="113">
        <v>21.875528539539498</v>
      </c>
    </row>
    <row r="34" spans="1:10">
      <c r="A34" s="496"/>
      <c r="B34" s="87" t="s">
        <v>164</v>
      </c>
      <c r="C34" s="76" t="s">
        <v>287</v>
      </c>
      <c r="D34" s="77">
        <v>0</v>
      </c>
      <c r="E34" s="78">
        <v>1</v>
      </c>
      <c r="F34" s="497" t="s">
        <v>285</v>
      </c>
      <c r="G34" s="76">
        <v>24.4</v>
      </c>
      <c r="H34" s="113">
        <v>27.5</v>
      </c>
      <c r="I34" s="113">
        <v>30</v>
      </c>
      <c r="J34" s="113">
        <v>28.669886471256667</v>
      </c>
    </row>
    <row r="35" spans="1:10">
      <c r="A35" s="496"/>
      <c r="B35" s="87" t="s">
        <v>165</v>
      </c>
      <c r="C35" s="76" t="s">
        <v>166</v>
      </c>
      <c r="D35" s="77">
        <v>0</v>
      </c>
      <c r="E35" s="78">
        <v>1</v>
      </c>
      <c r="F35" s="499"/>
      <c r="G35" s="76">
        <v>24.4</v>
      </c>
      <c r="H35" s="113">
        <v>26</v>
      </c>
      <c r="I35" s="113">
        <v>28.5</v>
      </c>
      <c r="J35" s="113">
        <v>27.101774468195114</v>
      </c>
    </row>
    <row r="36" spans="1:10">
      <c r="A36" s="496" t="s">
        <v>288</v>
      </c>
      <c r="B36" s="87" t="s">
        <v>167</v>
      </c>
      <c r="C36" s="76" t="s">
        <v>289</v>
      </c>
      <c r="D36" s="77">
        <v>1</v>
      </c>
      <c r="E36" s="78">
        <v>1</v>
      </c>
      <c r="F36" s="497" t="s">
        <v>276</v>
      </c>
      <c r="G36" s="76">
        <v>105.48</v>
      </c>
      <c r="H36" s="51">
        <v>24.8</v>
      </c>
      <c r="I36" s="53">
        <v>26</v>
      </c>
      <c r="J36" s="53">
        <v>25.5657765485998</v>
      </c>
    </row>
    <row r="37" spans="1:10">
      <c r="A37" s="496"/>
      <c r="B37" s="87" t="s">
        <v>168</v>
      </c>
      <c r="C37" s="76" t="s">
        <v>169</v>
      </c>
      <c r="D37" s="77">
        <v>1</v>
      </c>
      <c r="E37" s="78">
        <v>1</v>
      </c>
      <c r="F37" s="498"/>
      <c r="G37" s="76">
        <v>105.48</v>
      </c>
      <c r="H37" s="51">
        <v>24.6</v>
      </c>
      <c r="I37" s="54">
        <v>25.8</v>
      </c>
      <c r="J37" s="54">
        <v>25.342871866513704</v>
      </c>
    </row>
    <row r="38" spans="1:10">
      <c r="A38" s="496"/>
      <c r="B38" s="87" t="s">
        <v>170</v>
      </c>
      <c r="C38" s="76" t="s">
        <v>171</v>
      </c>
      <c r="D38" s="77">
        <v>1</v>
      </c>
      <c r="E38" s="78">
        <v>1</v>
      </c>
      <c r="F38" s="498"/>
      <c r="G38" s="76">
        <v>105.48</v>
      </c>
      <c r="H38" s="51">
        <v>23.9</v>
      </c>
      <c r="I38" s="52">
        <v>25.8</v>
      </c>
      <c r="J38" s="52">
        <v>24.947314233142599</v>
      </c>
    </row>
    <row r="39" spans="1:10">
      <c r="A39" s="496"/>
      <c r="B39" s="87" t="s">
        <v>172</v>
      </c>
      <c r="C39" s="76" t="s">
        <v>173</v>
      </c>
      <c r="D39" s="77">
        <v>1</v>
      </c>
      <c r="E39" s="78">
        <v>1</v>
      </c>
      <c r="F39" s="498"/>
      <c r="G39" s="76">
        <v>105.48</v>
      </c>
      <c r="H39" s="51">
        <v>24</v>
      </c>
      <c r="I39" s="52">
        <v>25.7</v>
      </c>
      <c r="J39" s="52">
        <v>24.962164505328346</v>
      </c>
    </row>
    <row r="40" spans="1:10">
      <c r="A40" s="496"/>
      <c r="B40" s="87" t="s">
        <v>174</v>
      </c>
      <c r="C40" s="76" t="s">
        <v>290</v>
      </c>
      <c r="D40" s="77">
        <v>1</v>
      </c>
      <c r="E40" s="78">
        <v>1</v>
      </c>
      <c r="F40" s="498"/>
      <c r="G40" s="76">
        <v>65</v>
      </c>
      <c r="H40" s="55">
        <v>26.1</v>
      </c>
      <c r="I40" s="55">
        <v>28.3</v>
      </c>
      <c r="J40" s="55">
        <v>27.236223419018422</v>
      </c>
    </row>
    <row r="41" spans="1:10">
      <c r="A41" s="496"/>
      <c r="B41" s="87" t="s">
        <v>175</v>
      </c>
      <c r="C41" s="76" t="s">
        <v>176</v>
      </c>
      <c r="D41" s="77">
        <v>1</v>
      </c>
      <c r="E41" s="78">
        <v>1</v>
      </c>
      <c r="F41" s="499"/>
      <c r="G41" s="76">
        <v>65</v>
      </c>
      <c r="H41" s="55">
        <v>24</v>
      </c>
      <c r="I41" s="55">
        <v>26</v>
      </c>
      <c r="J41" s="55">
        <v>24.516666666666666</v>
      </c>
    </row>
    <row r="42" spans="1:10">
      <c r="A42" s="496"/>
      <c r="B42" s="87" t="s">
        <v>177</v>
      </c>
      <c r="C42" s="76" t="s">
        <v>291</v>
      </c>
      <c r="D42" s="77">
        <v>1</v>
      </c>
      <c r="E42" s="78">
        <v>1</v>
      </c>
      <c r="F42" s="497" t="s">
        <v>285</v>
      </c>
      <c r="G42" s="76">
        <v>16.3</v>
      </c>
      <c r="H42" s="55">
        <v>23.5</v>
      </c>
      <c r="I42" s="55">
        <v>26</v>
      </c>
      <c r="J42" s="55">
        <v>24.533991418670009</v>
      </c>
    </row>
    <row r="43" spans="1:10">
      <c r="A43" s="496"/>
      <c r="B43" s="87" t="s">
        <v>178</v>
      </c>
      <c r="C43" s="76" t="s">
        <v>179</v>
      </c>
      <c r="D43" s="77">
        <v>1</v>
      </c>
      <c r="E43" s="78">
        <v>1</v>
      </c>
      <c r="F43" s="498"/>
      <c r="G43" s="76">
        <v>16.3</v>
      </c>
      <c r="H43" s="55">
        <v>21</v>
      </c>
      <c r="I43" s="55">
        <v>24.5</v>
      </c>
      <c r="J43" s="55">
        <v>22.917691723309261</v>
      </c>
    </row>
    <row r="44" spans="1:10">
      <c r="A44" s="496"/>
      <c r="B44" s="87" t="s">
        <v>180</v>
      </c>
      <c r="C44" s="76" t="s">
        <v>181</v>
      </c>
      <c r="D44" s="77">
        <v>1</v>
      </c>
      <c r="E44" s="78">
        <v>1</v>
      </c>
      <c r="F44" s="498"/>
      <c r="G44" s="76">
        <v>16.3</v>
      </c>
      <c r="H44" s="55">
        <v>18</v>
      </c>
      <c r="I44" s="55">
        <v>29.5</v>
      </c>
      <c r="J44" s="55">
        <v>26.953550372958549</v>
      </c>
    </row>
    <row r="45" spans="1:10">
      <c r="A45" s="496"/>
      <c r="B45" s="87" t="s">
        <v>292</v>
      </c>
      <c r="C45" s="76" t="s">
        <v>182</v>
      </c>
      <c r="D45" s="77">
        <v>1</v>
      </c>
      <c r="E45" s="78">
        <v>1</v>
      </c>
      <c r="F45" s="499"/>
      <c r="G45" s="76">
        <v>35</v>
      </c>
      <c r="H45" s="55">
        <v>24</v>
      </c>
      <c r="I45" s="55">
        <v>26</v>
      </c>
      <c r="J45" s="55">
        <v>24.855475787683329</v>
      </c>
    </row>
    <row r="46" spans="1:10">
      <c r="H46" s="66">
        <f>AVERAGE(H5:H19,H25:H27,H36:H45)</f>
        <v>22.346428571428572</v>
      </c>
      <c r="I46" s="66">
        <f t="shared" ref="I46" si="0">AVERAGE(I5:I19,I25:I27,I36:I45)</f>
        <v>26.403571428571421</v>
      </c>
      <c r="J46" s="114">
        <f>AVERAGE(J5:J19,J25:J27,J36:J45,J23)</f>
        <v>25.086819752862844</v>
      </c>
    </row>
    <row r="47" spans="1:10">
      <c r="J47" s="65" t="s">
        <v>264</v>
      </c>
    </row>
    <row r="48" spans="1:10">
      <c r="A48" s="503" t="s">
        <v>183</v>
      </c>
      <c r="B48" s="503"/>
      <c r="C48" s="503"/>
      <c r="D48" s="503"/>
      <c r="E48" s="503"/>
      <c r="F48" s="503"/>
      <c r="G48" s="503"/>
      <c r="H48" s="503"/>
      <c r="I48" s="503"/>
      <c r="J48" s="504"/>
    </row>
    <row r="49" spans="1:10" ht="34.799999999999997">
      <c r="A49" s="74" t="s">
        <v>270</v>
      </c>
      <c r="B49" s="74" t="s">
        <v>271</v>
      </c>
      <c r="C49" s="74" t="s">
        <v>272</v>
      </c>
      <c r="D49" s="74" t="s">
        <v>108</v>
      </c>
      <c r="E49" s="74" t="s">
        <v>109</v>
      </c>
      <c r="F49" s="75" t="s">
        <v>273</v>
      </c>
      <c r="G49" s="74" t="s">
        <v>110</v>
      </c>
      <c r="H49" s="74" t="s">
        <v>184</v>
      </c>
      <c r="I49" s="74" t="s">
        <v>185</v>
      </c>
      <c r="J49" s="74" t="s">
        <v>186</v>
      </c>
    </row>
    <row r="50" spans="1:10">
      <c r="A50" s="508" t="s">
        <v>274</v>
      </c>
      <c r="B50" s="88" t="s">
        <v>114</v>
      </c>
      <c r="C50" s="89" t="s">
        <v>275</v>
      </c>
      <c r="D50" s="90">
        <v>1</v>
      </c>
      <c r="E50" s="89">
        <v>1</v>
      </c>
      <c r="F50" s="497" t="s">
        <v>276</v>
      </c>
      <c r="G50" s="76">
        <v>105.48</v>
      </c>
      <c r="H50" s="56">
        <v>24.1</v>
      </c>
      <c r="I50" s="57">
        <v>46.6</v>
      </c>
      <c r="J50" s="57">
        <v>36.875899645011756</v>
      </c>
    </row>
    <row r="51" spans="1:10">
      <c r="A51" s="509"/>
      <c r="B51" s="88" t="s">
        <v>115</v>
      </c>
      <c r="C51" s="89" t="s">
        <v>277</v>
      </c>
      <c r="D51" s="90">
        <v>1</v>
      </c>
      <c r="E51" s="89">
        <v>1</v>
      </c>
      <c r="F51" s="498"/>
      <c r="G51" s="76">
        <v>105.48</v>
      </c>
      <c r="H51" s="56">
        <v>24.5</v>
      </c>
      <c r="I51" s="57">
        <v>46.8</v>
      </c>
      <c r="J51" s="57">
        <v>37.004108173574643</v>
      </c>
    </row>
    <row r="52" spans="1:10">
      <c r="A52" s="509"/>
      <c r="B52" s="88" t="s">
        <v>116</v>
      </c>
      <c r="C52" s="89" t="s">
        <v>117</v>
      </c>
      <c r="D52" s="90">
        <v>1</v>
      </c>
      <c r="E52" s="89">
        <v>1</v>
      </c>
      <c r="F52" s="79"/>
      <c r="G52" s="76">
        <v>105.48</v>
      </c>
      <c r="H52" s="56">
        <v>25.7</v>
      </c>
      <c r="I52" s="57">
        <v>45.6</v>
      </c>
      <c r="J52" s="57">
        <v>36.984516441492424</v>
      </c>
    </row>
    <row r="53" spans="1:10">
      <c r="A53" s="510"/>
      <c r="B53" s="88" t="s">
        <v>118</v>
      </c>
      <c r="C53" s="89" t="s">
        <v>119</v>
      </c>
      <c r="D53" s="90">
        <v>1</v>
      </c>
      <c r="E53" s="89">
        <v>1</v>
      </c>
      <c r="F53" s="79"/>
      <c r="G53" s="76">
        <v>105.48</v>
      </c>
      <c r="H53" s="56">
        <v>23.2</v>
      </c>
      <c r="I53" s="57">
        <v>44.2</v>
      </c>
      <c r="J53" s="57">
        <v>35.156717090807682</v>
      </c>
    </row>
    <row r="54" spans="1:10">
      <c r="A54" s="496" t="s">
        <v>278</v>
      </c>
      <c r="B54" s="87" t="s">
        <v>120</v>
      </c>
      <c r="C54" s="76" t="s">
        <v>279</v>
      </c>
      <c r="D54" s="77">
        <v>1</v>
      </c>
      <c r="E54" s="78">
        <v>1</v>
      </c>
      <c r="F54" s="497" t="s">
        <v>276</v>
      </c>
      <c r="G54" s="76">
        <v>105.48</v>
      </c>
      <c r="H54" s="56">
        <v>22.8</v>
      </c>
      <c r="I54" s="57">
        <v>73.8</v>
      </c>
      <c r="J54" s="57">
        <v>37.251804931220235</v>
      </c>
    </row>
    <row r="55" spans="1:10">
      <c r="A55" s="496"/>
      <c r="B55" s="87" t="s">
        <v>121</v>
      </c>
      <c r="C55" s="76" t="s">
        <v>280</v>
      </c>
      <c r="D55" s="77">
        <v>1</v>
      </c>
      <c r="E55" s="78">
        <v>1</v>
      </c>
      <c r="F55" s="498"/>
      <c r="G55" s="76">
        <v>105.48</v>
      </c>
      <c r="H55" s="56">
        <v>22.8</v>
      </c>
      <c r="I55" s="57">
        <v>53.2</v>
      </c>
      <c r="J55" s="57">
        <v>37.175433774739822</v>
      </c>
    </row>
    <row r="56" spans="1:10">
      <c r="A56" s="496"/>
      <c r="B56" s="87" t="s">
        <v>122</v>
      </c>
      <c r="C56" s="76" t="s">
        <v>123</v>
      </c>
      <c r="D56" s="77">
        <v>1</v>
      </c>
      <c r="E56" s="78">
        <v>1</v>
      </c>
      <c r="F56" s="498"/>
      <c r="G56" s="76">
        <v>105.48</v>
      </c>
      <c r="H56" s="56">
        <v>37.299999999999997</v>
      </c>
      <c r="I56" s="57">
        <v>66</v>
      </c>
      <c r="J56" s="57">
        <v>49.840352179488214</v>
      </c>
    </row>
    <row r="57" spans="1:10">
      <c r="A57" s="496"/>
      <c r="B57" s="87" t="s">
        <v>124</v>
      </c>
      <c r="C57" s="76" t="s">
        <v>125</v>
      </c>
      <c r="D57" s="77">
        <v>1</v>
      </c>
      <c r="E57" s="78">
        <v>1</v>
      </c>
      <c r="F57" s="498"/>
      <c r="G57" s="76">
        <v>105.48</v>
      </c>
      <c r="H57" s="56">
        <v>24</v>
      </c>
      <c r="I57" s="57">
        <v>47.5</v>
      </c>
      <c r="J57" s="57">
        <v>40.07350006711988</v>
      </c>
    </row>
    <row r="58" spans="1:10">
      <c r="A58" s="496" t="s">
        <v>282</v>
      </c>
      <c r="B58" s="87" t="s">
        <v>131</v>
      </c>
      <c r="C58" s="76" t="s">
        <v>283</v>
      </c>
      <c r="D58" s="77">
        <v>1</v>
      </c>
      <c r="E58" s="78">
        <v>1</v>
      </c>
      <c r="F58" s="497" t="s">
        <v>276</v>
      </c>
      <c r="G58" s="76">
        <v>105.48</v>
      </c>
      <c r="H58" s="56">
        <v>22.5</v>
      </c>
      <c r="I58" s="57">
        <v>45.8</v>
      </c>
      <c r="J58" s="57">
        <v>38.195485835971027</v>
      </c>
    </row>
    <row r="59" spans="1:10">
      <c r="A59" s="496"/>
      <c r="B59" s="87" t="s">
        <v>132</v>
      </c>
      <c r="C59" s="76" t="s">
        <v>133</v>
      </c>
      <c r="D59" s="77">
        <v>1</v>
      </c>
      <c r="E59" s="78">
        <v>1</v>
      </c>
      <c r="F59" s="498"/>
      <c r="G59" s="76">
        <v>105.48</v>
      </c>
      <c r="H59" s="56">
        <v>21.9</v>
      </c>
      <c r="I59" s="57">
        <v>44.3</v>
      </c>
      <c r="J59" s="57">
        <v>37.074655494835682</v>
      </c>
    </row>
    <row r="60" spans="1:10">
      <c r="A60" s="496"/>
      <c r="B60" s="87" t="s">
        <v>134</v>
      </c>
      <c r="C60" s="76" t="s">
        <v>135</v>
      </c>
      <c r="D60" s="77">
        <v>1</v>
      </c>
      <c r="E60" s="78">
        <v>1</v>
      </c>
      <c r="F60" s="498"/>
      <c r="G60" s="80">
        <v>105.48</v>
      </c>
      <c r="H60" s="56">
        <v>20.9</v>
      </c>
      <c r="I60" s="57">
        <v>39.5</v>
      </c>
      <c r="J60" s="57">
        <v>34.962139230837934</v>
      </c>
    </row>
    <row r="61" spans="1:10">
      <c r="A61" s="496"/>
      <c r="B61" s="87" t="s">
        <v>136</v>
      </c>
      <c r="C61" s="76" t="s">
        <v>137</v>
      </c>
      <c r="D61" s="77">
        <v>1</v>
      </c>
      <c r="E61" s="78">
        <v>1</v>
      </c>
      <c r="F61" s="498"/>
      <c r="G61" s="80">
        <v>105.48</v>
      </c>
      <c r="H61" s="56">
        <v>21.5</v>
      </c>
      <c r="I61" s="57">
        <v>40.6</v>
      </c>
      <c r="J61" s="57">
        <v>35.881135303974233</v>
      </c>
    </row>
    <row r="62" spans="1:10">
      <c r="A62" s="496"/>
      <c r="B62" s="87" t="s">
        <v>138</v>
      </c>
      <c r="C62" s="76" t="s">
        <v>284</v>
      </c>
      <c r="D62" s="76">
        <v>0</v>
      </c>
      <c r="E62" s="78">
        <v>1</v>
      </c>
      <c r="F62" s="78">
        <v>1</v>
      </c>
      <c r="G62" s="76">
        <v>32.549999999999997</v>
      </c>
      <c r="H62" s="58">
        <v>25.8</v>
      </c>
      <c r="I62" s="58">
        <v>31.6</v>
      </c>
      <c r="J62" s="58">
        <v>26.354365316483779</v>
      </c>
    </row>
    <row r="63" spans="1:10">
      <c r="A63" s="496"/>
      <c r="B63" s="87" t="s">
        <v>139</v>
      </c>
      <c r="C63" s="76" t="s">
        <v>140</v>
      </c>
      <c r="D63" s="76">
        <v>0</v>
      </c>
      <c r="E63" s="78">
        <v>1</v>
      </c>
      <c r="F63" s="78">
        <v>1</v>
      </c>
      <c r="G63" s="76">
        <v>32.549999999999997</v>
      </c>
      <c r="H63" s="59">
        <v>27.8</v>
      </c>
      <c r="I63" s="59">
        <v>30.6</v>
      </c>
      <c r="J63" s="59">
        <v>28.507460941612955</v>
      </c>
    </row>
    <row r="64" spans="1:10">
      <c r="A64" s="496"/>
      <c r="B64" s="87" t="s">
        <v>141</v>
      </c>
      <c r="C64" s="76" t="s">
        <v>286</v>
      </c>
      <c r="D64" s="76">
        <v>0</v>
      </c>
      <c r="E64" s="78">
        <v>1</v>
      </c>
      <c r="F64" s="78">
        <v>1</v>
      </c>
      <c r="G64" s="76">
        <v>32.549999999999997</v>
      </c>
      <c r="H64" s="59">
        <v>24.4</v>
      </c>
      <c r="I64" s="59">
        <v>31.6</v>
      </c>
      <c r="J64" s="59">
        <v>25.308625390828567</v>
      </c>
    </row>
    <row r="65" spans="1:10">
      <c r="A65" s="496"/>
      <c r="B65" s="87" t="s">
        <v>142</v>
      </c>
      <c r="C65" s="76" t="s">
        <v>143</v>
      </c>
      <c r="D65" s="76">
        <v>1</v>
      </c>
      <c r="E65" s="78">
        <v>1</v>
      </c>
      <c r="F65" s="78">
        <v>1</v>
      </c>
      <c r="G65" s="76">
        <v>32.549999999999997</v>
      </c>
      <c r="H65" s="60">
        <v>29</v>
      </c>
      <c r="I65" s="60">
        <v>32.799999999999997</v>
      </c>
      <c r="J65" s="60">
        <v>30.690526910212576</v>
      </c>
    </row>
    <row r="66" spans="1:10">
      <c r="A66" s="496"/>
      <c r="B66" s="87" t="s">
        <v>144</v>
      </c>
      <c r="C66" s="76" t="s">
        <v>145</v>
      </c>
      <c r="D66" s="76">
        <v>0</v>
      </c>
      <c r="E66" s="78">
        <v>1</v>
      </c>
      <c r="F66" s="78">
        <v>1</v>
      </c>
      <c r="G66" s="76">
        <v>32.549999999999997</v>
      </c>
      <c r="H66" s="59">
        <v>24.4</v>
      </c>
      <c r="I66" s="59">
        <v>32.5</v>
      </c>
      <c r="J66" s="59">
        <v>25.450364206403666</v>
      </c>
    </row>
    <row r="67" spans="1:10">
      <c r="A67" s="496"/>
      <c r="B67" s="87" t="s">
        <v>146</v>
      </c>
      <c r="C67" s="76" t="s">
        <v>147</v>
      </c>
      <c r="D67" s="76">
        <v>1</v>
      </c>
      <c r="E67" s="78">
        <v>1</v>
      </c>
      <c r="F67" s="78">
        <v>1</v>
      </c>
      <c r="G67" s="76">
        <v>32.549999999999997</v>
      </c>
      <c r="H67" s="60">
        <v>28.6</v>
      </c>
      <c r="I67" s="60">
        <v>32.799999999999997</v>
      </c>
      <c r="J67" s="60">
        <v>31.681985326236472</v>
      </c>
    </row>
    <row r="68" spans="1:10">
      <c r="A68" s="496"/>
      <c r="B68" s="87" t="s">
        <v>148</v>
      </c>
      <c r="C68" s="76" t="s">
        <v>149</v>
      </c>
      <c r="D68" s="76">
        <v>0</v>
      </c>
      <c r="E68" s="78">
        <v>1</v>
      </c>
      <c r="F68" s="78">
        <v>1</v>
      </c>
      <c r="G68" s="76">
        <v>32.549999999999997</v>
      </c>
      <c r="H68" s="60">
        <v>30.1</v>
      </c>
      <c r="I68" s="60">
        <v>32.5</v>
      </c>
      <c r="J68" s="60">
        <v>31.839196380938393</v>
      </c>
    </row>
    <row r="69" spans="1:10">
      <c r="A69" s="496"/>
      <c r="B69" s="87" t="s">
        <v>150</v>
      </c>
      <c r="C69" s="76" t="s">
        <v>151</v>
      </c>
      <c r="D69" s="76">
        <v>1</v>
      </c>
      <c r="E69" s="78">
        <v>1</v>
      </c>
      <c r="F69" s="78">
        <v>1</v>
      </c>
      <c r="G69" s="76">
        <v>32.549999999999997</v>
      </c>
      <c r="H69" s="60">
        <v>30.7</v>
      </c>
      <c r="I69" s="60">
        <v>32.6</v>
      </c>
      <c r="J69" s="60">
        <v>31.343251116148533</v>
      </c>
    </row>
    <row r="70" spans="1:10">
      <c r="A70" s="496"/>
      <c r="B70" s="87" t="s">
        <v>152</v>
      </c>
      <c r="C70" s="76" t="s">
        <v>153</v>
      </c>
      <c r="D70" s="76">
        <v>0</v>
      </c>
      <c r="E70" s="78">
        <v>1</v>
      </c>
      <c r="F70" s="78">
        <v>1</v>
      </c>
      <c r="G70" s="76">
        <v>32.549999999999997</v>
      </c>
      <c r="H70" s="59"/>
      <c r="I70" s="59"/>
      <c r="J70" s="59"/>
    </row>
    <row r="71" spans="1:10">
      <c r="A71" s="496"/>
      <c r="B71" s="87" t="s">
        <v>154</v>
      </c>
      <c r="C71" s="76" t="s">
        <v>155</v>
      </c>
      <c r="D71" s="76">
        <v>0</v>
      </c>
      <c r="E71" s="78">
        <v>1</v>
      </c>
      <c r="F71" s="78">
        <v>1</v>
      </c>
      <c r="G71" s="76">
        <v>32.549999999999997</v>
      </c>
      <c r="H71" s="59">
        <v>28.4</v>
      </c>
      <c r="I71" s="59">
        <v>29.9</v>
      </c>
      <c r="J71" s="59">
        <v>29.630716247788403</v>
      </c>
    </row>
    <row r="72" spans="1:10">
      <c r="A72" s="496"/>
      <c r="B72" s="87" t="s">
        <v>156</v>
      </c>
      <c r="C72" s="76" t="s">
        <v>157</v>
      </c>
      <c r="D72" s="76">
        <v>0</v>
      </c>
      <c r="E72" s="78">
        <v>1</v>
      </c>
      <c r="F72" s="78">
        <v>1</v>
      </c>
      <c r="G72" s="76">
        <v>32.549999999999997</v>
      </c>
      <c r="H72" s="59">
        <v>26.3</v>
      </c>
      <c r="I72" s="59">
        <v>30.6</v>
      </c>
      <c r="J72" s="59">
        <v>26.935364994203944</v>
      </c>
    </row>
    <row r="73" spans="1:10">
      <c r="A73" s="496"/>
      <c r="B73" s="87" t="s">
        <v>158</v>
      </c>
      <c r="C73" s="76" t="s">
        <v>159</v>
      </c>
      <c r="D73" s="76">
        <v>0</v>
      </c>
      <c r="E73" s="78">
        <v>1</v>
      </c>
      <c r="F73" s="78">
        <v>1</v>
      </c>
      <c r="G73" s="76">
        <v>32.549999999999997</v>
      </c>
      <c r="H73" s="59">
        <v>25.6</v>
      </c>
      <c r="I73" s="59">
        <v>34</v>
      </c>
      <c r="J73" s="59">
        <v>30.625999679618541</v>
      </c>
    </row>
    <row r="74" spans="1:10">
      <c r="A74" s="496"/>
      <c r="B74" s="87" t="s">
        <v>160</v>
      </c>
      <c r="C74" s="76" t="s">
        <v>161</v>
      </c>
      <c r="D74" s="76">
        <v>0</v>
      </c>
      <c r="E74" s="78">
        <v>1</v>
      </c>
      <c r="F74" s="78">
        <v>1</v>
      </c>
      <c r="G74" s="76">
        <v>32.549999999999997</v>
      </c>
      <c r="H74" s="59">
        <v>27.7</v>
      </c>
      <c r="I74" s="59">
        <v>30.4</v>
      </c>
      <c r="J74" s="59">
        <v>29.382356535905735</v>
      </c>
    </row>
    <row r="75" spans="1:10">
      <c r="A75" s="496"/>
      <c r="B75" s="87" t="s">
        <v>162</v>
      </c>
      <c r="C75" s="76" t="s">
        <v>163</v>
      </c>
      <c r="D75" s="76">
        <v>0</v>
      </c>
      <c r="E75" s="78">
        <v>1</v>
      </c>
      <c r="F75" s="78">
        <v>1</v>
      </c>
      <c r="G75" s="76">
        <v>32.549999999999997</v>
      </c>
      <c r="H75" s="59">
        <v>27</v>
      </c>
      <c r="I75" s="59">
        <v>30.2</v>
      </c>
      <c r="J75" s="59">
        <v>28.319564185557223</v>
      </c>
    </row>
    <row r="76" spans="1:10">
      <c r="A76" s="496"/>
      <c r="B76" s="87" t="s">
        <v>164</v>
      </c>
      <c r="C76" s="76" t="s">
        <v>287</v>
      </c>
      <c r="D76" s="76">
        <v>0</v>
      </c>
      <c r="E76" s="78">
        <v>1</v>
      </c>
      <c r="F76" s="78">
        <v>1</v>
      </c>
      <c r="G76" s="76">
        <v>24.4</v>
      </c>
      <c r="H76" s="59">
        <v>26</v>
      </c>
      <c r="I76" s="59">
        <v>27.5</v>
      </c>
      <c r="J76" s="59">
        <v>26.918421650104822</v>
      </c>
    </row>
    <row r="77" spans="1:10">
      <c r="A77" s="496"/>
      <c r="B77" s="87" t="s">
        <v>165</v>
      </c>
      <c r="C77" s="76" t="s">
        <v>166</v>
      </c>
      <c r="D77" s="76">
        <v>0</v>
      </c>
      <c r="E77" s="78">
        <v>1</v>
      </c>
      <c r="F77" s="78">
        <v>1</v>
      </c>
      <c r="G77" s="76">
        <v>24.4</v>
      </c>
      <c r="H77" s="59">
        <v>25.5</v>
      </c>
      <c r="I77" s="59">
        <v>27.5</v>
      </c>
      <c r="J77" s="59">
        <v>26.559773141544955</v>
      </c>
    </row>
    <row r="78" spans="1:10">
      <c r="A78" s="496" t="s">
        <v>288</v>
      </c>
      <c r="B78" s="87" t="s">
        <v>167</v>
      </c>
      <c r="C78" s="76" t="s">
        <v>289</v>
      </c>
      <c r="D78" s="77">
        <v>1</v>
      </c>
      <c r="E78" s="78">
        <v>1</v>
      </c>
      <c r="F78" s="497" t="s">
        <v>276</v>
      </c>
      <c r="G78" s="76">
        <v>105.48</v>
      </c>
      <c r="H78" s="56">
        <v>25.7</v>
      </c>
      <c r="I78" s="60">
        <v>39.700000000000003</v>
      </c>
      <c r="J78" s="60">
        <v>35.190372604446353</v>
      </c>
    </row>
    <row r="79" spans="1:10">
      <c r="A79" s="496"/>
      <c r="B79" s="87" t="s">
        <v>168</v>
      </c>
      <c r="C79" s="76" t="s">
        <v>169</v>
      </c>
      <c r="D79" s="77">
        <v>1</v>
      </c>
      <c r="E79" s="78">
        <v>1</v>
      </c>
      <c r="F79" s="498"/>
      <c r="G79" s="76">
        <v>105.48</v>
      </c>
      <c r="H79" s="56">
        <v>28.7</v>
      </c>
      <c r="I79" s="61">
        <v>42.6</v>
      </c>
      <c r="J79" s="61">
        <v>38.274867758099141</v>
      </c>
    </row>
    <row r="80" spans="1:10">
      <c r="A80" s="496"/>
      <c r="B80" s="87" t="s">
        <v>170</v>
      </c>
      <c r="C80" s="76" t="s">
        <v>171</v>
      </c>
      <c r="D80" s="77">
        <v>1</v>
      </c>
      <c r="E80" s="78">
        <v>1</v>
      </c>
      <c r="F80" s="498"/>
      <c r="G80" s="76">
        <v>105.48</v>
      </c>
      <c r="H80" s="56">
        <v>27.4</v>
      </c>
      <c r="I80" s="57">
        <v>45.8</v>
      </c>
      <c r="J80" s="57">
        <v>40.447616220029126</v>
      </c>
    </row>
    <row r="81" spans="1:10">
      <c r="A81" s="496"/>
      <c r="B81" s="87" t="s">
        <v>172</v>
      </c>
      <c r="C81" s="76" t="s">
        <v>173</v>
      </c>
      <c r="D81" s="77">
        <v>1</v>
      </c>
      <c r="E81" s="78">
        <v>1</v>
      </c>
      <c r="F81" s="498"/>
      <c r="G81" s="76">
        <v>105.48</v>
      </c>
      <c r="H81" s="56">
        <v>27</v>
      </c>
      <c r="I81" s="57">
        <v>45.3</v>
      </c>
      <c r="J81" s="57">
        <v>40.088349265555607</v>
      </c>
    </row>
    <row r="82" spans="1:10">
      <c r="A82" s="496"/>
      <c r="B82" s="87" t="s">
        <v>174</v>
      </c>
      <c r="C82" s="76" t="s">
        <v>290</v>
      </c>
      <c r="D82" s="77">
        <v>1</v>
      </c>
      <c r="E82" s="78">
        <v>1</v>
      </c>
      <c r="F82" s="498"/>
      <c r="G82" s="76">
        <v>65</v>
      </c>
      <c r="H82" s="62">
        <v>30.6</v>
      </c>
      <c r="I82" s="62">
        <v>40.6</v>
      </c>
      <c r="J82" s="62">
        <v>37.47478447889106</v>
      </c>
    </row>
    <row r="83" spans="1:10">
      <c r="A83" s="496"/>
      <c r="B83" s="87" t="s">
        <v>175</v>
      </c>
      <c r="C83" s="76" t="s">
        <v>176</v>
      </c>
      <c r="D83" s="77">
        <v>1</v>
      </c>
      <c r="E83" s="78">
        <v>1</v>
      </c>
      <c r="F83" s="499"/>
      <c r="G83" s="76">
        <v>65</v>
      </c>
      <c r="H83" s="62">
        <v>29</v>
      </c>
      <c r="I83" s="62">
        <v>30</v>
      </c>
      <c r="J83" s="62">
        <v>29.322365104728199</v>
      </c>
    </row>
    <row r="84" spans="1:10">
      <c r="A84" s="496"/>
      <c r="B84" s="87" t="s">
        <v>177</v>
      </c>
      <c r="C84" s="76" t="s">
        <v>291</v>
      </c>
      <c r="D84" s="77">
        <v>1</v>
      </c>
      <c r="E84" s="78">
        <v>1</v>
      </c>
      <c r="F84" s="497" t="s">
        <v>285</v>
      </c>
      <c r="G84" s="76">
        <v>16.3</v>
      </c>
      <c r="H84" s="62">
        <v>30.5</v>
      </c>
      <c r="I84" s="62">
        <v>34.5</v>
      </c>
      <c r="J84" s="62">
        <v>31.691676637256574</v>
      </c>
    </row>
    <row r="85" spans="1:10">
      <c r="A85" s="496"/>
      <c r="B85" s="87" t="s">
        <v>178</v>
      </c>
      <c r="C85" s="76" t="s">
        <v>179</v>
      </c>
      <c r="D85" s="77">
        <v>1</v>
      </c>
      <c r="E85" s="78">
        <v>1</v>
      </c>
      <c r="F85" s="498"/>
      <c r="G85" s="76">
        <v>16.3</v>
      </c>
      <c r="H85" s="62">
        <v>31</v>
      </c>
      <c r="I85" s="62">
        <v>40.5</v>
      </c>
      <c r="J85" s="62">
        <v>34.619817345292134</v>
      </c>
    </row>
    <row r="86" spans="1:10">
      <c r="A86" s="496"/>
      <c r="B86" s="87" t="s">
        <v>180</v>
      </c>
      <c r="C86" s="76" t="s">
        <v>181</v>
      </c>
      <c r="D86" s="77">
        <v>1</v>
      </c>
      <c r="E86" s="78">
        <v>1</v>
      </c>
      <c r="F86" s="498"/>
      <c r="G86" s="76">
        <v>16.3</v>
      </c>
      <c r="H86" s="62">
        <v>28</v>
      </c>
      <c r="I86" s="62">
        <v>45</v>
      </c>
      <c r="J86" s="62">
        <v>30.126522635332051</v>
      </c>
    </row>
    <row r="87" spans="1:10">
      <c r="A87" s="496"/>
      <c r="B87" s="87" t="s">
        <v>292</v>
      </c>
      <c r="C87" s="76" t="s">
        <v>182</v>
      </c>
      <c r="D87" s="77">
        <v>1</v>
      </c>
      <c r="E87" s="78">
        <v>1</v>
      </c>
      <c r="F87" s="499"/>
      <c r="G87" s="76">
        <v>35</v>
      </c>
      <c r="H87" s="62">
        <v>31.5</v>
      </c>
      <c r="I87" s="62">
        <v>50.1</v>
      </c>
      <c r="J87" s="62">
        <v>44.617185412817626</v>
      </c>
    </row>
    <row r="88" spans="1:10">
      <c r="A88" s="496" t="s">
        <v>278</v>
      </c>
      <c r="B88" s="87" t="s">
        <v>126</v>
      </c>
      <c r="C88" s="76" t="s">
        <v>281</v>
      </c>
      <c r="D88" s="77">
        <v>1</v>
      </c>
      <c r="E88" s="78">
        <v>1</v>
      </c>
      <c r="F88" s="91"/>
      <c r="G88" s="76">
        <v>70.319999999999993</v>
      </c>
      <c r="H88" s="62">
        <v>25.2</v>
      </c>
      <c r="I88" s="62">
        <v>56.1</v>
      </c>
      <c r="J88" s="62">
        <v>38.445655165716552</v>
      </c>
    </row>
    <row r="89" spans="1:10">
      <c r="A89" s="496"/>
      <c r="B89" s="87" t="s">
        <v>127</v>
      </c>
      <c r="C89" s="76" t="s">
        <v>128</v>
      </c>
      <c r="D89" s="77">
        <v>1</v>
      </c>
      <c r="E89" s="78">
        <v>1</v>
      </c>
      <c r="F89" s="91"/>
      <c r="G89" s="76">
        <v>70.319999999999993</v>
      </c>
      <c r="H89" s="62">
        <v>25</v>
      </c>
      <c r="I89" s="62">
        <v>56.2</v>
      </c>
      <c r="J89" s="62">
        <v>37.517854848939081</v>
      </c>
    </row>
    <row r="90" spans="1:10">
      <c r="A90" s="496"/>
      <c r="B90" s="87" t="s">
        <v>129</v>
      </c>
      <c r="C90" s="76" t="s">
        <v>130</v>
      </c>
      <c r="D90" s="77">
        <v>1</v>
      </c>
      <c r="E90" s="78">
        <v>1</v>
      </c>
      <c r="F90" s="91"/>
      <c r="G90" s="76">
        <v>70.319999999999993</v>
      </c>
      <c r="H90" s="62">
        <v>24.9</v>
      </c>
      <c r="I90" s="62">
        <v>55.1</v>
      </c>
      <c r="J90" s="62">
        <v>37.871109473847063</v>
      </c>
    </row>
    <row r="91" spans="1:10">
      <c r="H91" s="122">
        <f>AVERAGE(H50:H90)</f>
        <v>26.575000000000006</v>
      </c>
      <c r="I91" s="122">
        <f>AVERAGE(I50:I90)</f>
        <v>41.062499999999986</v>
      </c>
      <c r="J91" s="123">
        <f>AVERAGE(J50:J90)</f>
        <v>34.042797428590319</v>
      </c>
    </row>
    <row r="92" spans="1:10">
      <c r="J92" s="116" t="s">
        <v>265</v>
      </c>
    </row>
    <row r="93" spans="1:10">
      <c r="A93" s="511" t="s">
        <v>293</v>
      </c>
      <c r="B93" s="511"/>
      <c r="C93" s="512" t="s">
        <v>187</v>
      </c>
      <c r="D93" s="513"/>
      <c r="E93" s="513" t="s">
        <v>188</v>
      </c>
      <c r="F93" s="513"/>
      <c r="G93" s="513" t="s">
        <v>189</v>
      </c>
      <c r="H93" s="513"/>
      <c r="I93" s="513" t="s">
        <v>190</v>
      </c>
      <c r="J93" s="513"/>
    </row>
    <row r="94" spans="1:10" ht="34.799999999999997">
      <c r="A94" s="511"/>
      <c r="B94" s="511"/>
      <c r="C94" s="103" t="s">
        <v>191</v>
      </c>
      <c r="D94" s="102" t="s">
        <v>192</v>
      </c>
      <c r="E94" s="102" t="s">
        <v>191</v>
      </c>
      <c r="F94" s="102" t="s">
        <v>192</v>
      </c>
      <c r="G94" s="102" t="s">
        <v>191</v>
      </c>
      <c r="H94" s="102" t="s">
        <v>192</v>
      </c>
      <c r="I94" s="102" t="s">
        <v>191</v>
      </c>
      <c r="J94" s="102" t="s">
        <v>192</v>
      </c>
    </row>
    <row r="95" spans="1:10">
      <c r="A95" s="500" t="s">
        <v>294</v>
      </c>
      <c r="B95" s="101" t="s">
        <v>295</v>
      </c>
      <c r="C95" s="94"/>
      <c r="D95" s="93"/>
      <c r="E95" s="94"/>
      <c r="F95" s="93"/>
      <c r="G95" s="94"/>
      <c r="H95" s="93"/>
      <c r="I95" s="94"/>
      <c r="J95" s="93"/>
    </row>
    <row r="96" spans="1:10">
      <c r="A96" s="501"/>
      <c r="B96" s="95" t="s">
        <v>193</v>
      </c>
      <c r="C96" s="94"/>
      <c r="D96" s="93"/>
      <c r="E96" s="94"/>
      <c r="F96" s="93"/>
      <c r="G96" s="94"/>
      <c r="H96" s="93"/>
      <c r="I96" s="94"/>
      <c r="J96" s="93"/>
    </row>
    <row r="97" spans="1:10">
      <c r="A97" s="501"/>
      <c r="B97" s="95" t="s">
        <v>194</v>
      </c>
      <c r="C97" s="94"/>
      <c r="D97" s="93"/>
      <c r="E97" s="94"/>
      <c r="F97" s="93"/>
      <c r="G97" s="94"/>
      <c r="H97" s="93"/>
      <c r="I97" s="94"/>
      <c r="J97" s="93"/>
    </row>
    <row r="98" spans="1:10">
      <c r="A98" s="501"/>
      <c r="B98" s="95" t="s">
        <v>195</v>
      </c>
      <c r="C98" s="94"/>
      <c r="D98" s="93"/>
      <c r="E98" s="94"/>
      <c r="F98" s="93"/>
      <c r="G98" s="94"/>
      <c r="H98" s="93"/>
      <c r="I98" s="94"/>
      <c r="J98" s="93"/>
    </row>
    <row r="99" spans="1:10">
      <c r="A99" s="501"/>
      <c r="B99" s="95" t="s">
        <v>196</v>
      </c>
      <c r="C99" s="94"/>
      <c r="D99" s="93"/>
      <c r="E99" s="94"/>
      <c r="F99" s="93"/>
      <c r="G99" s="94"/>
      <c r="H99" s="93"/>
      <c r="I99" s="94"/>
      <c r="J99" s="93"/>
    </row>
    <row r="100" spans="1:10">
      <c r="A100" s="501"/>
      <c r="B100" s="95" t="s">
        <v>197</v>
      </c>
      <c r="C100" s="94"/>
      <c r="D100" s="93"/>
      <c r="E100" s="94"/>
      <c r="F100" s="93"/>
      <c r="G100" s="94"/>
      <c r="H100" s="93"/>
      <c r="I100" s="94"/>
      <c r="J100" s="93"/>
    </row>
    <row r="101" spans="1:10">
      <c r="A101" s="501"/>
      <c r="B101" s="95" t="s">
        <v>198</v>
      </c>
      <c r="C101" s="94"/>
      <c r="D101" s="93"/>
      <c r="E101" s="94"/>
      <c r="F101" s="93"/>
      <c r="G101" s="94"/>
      <c r="H101" s="93"/>
      <c r="I101" s="94"/>
      <c r="J101" s="93"/>
    </row>
    <row r="102" spans="1:10">
      <c r="A102" s="501"/>
      <c r="B102" s="95" t="s">
        <v>199</v>
      </c>
      <c r="C102" s="94"/>
      <c r="D102" s="93"/>
      <c r="E102" s="94"/>
      <c r="F102" s="93"/>
      <c r="G102" s="94"/>
      <c r="H102" s="93"/>
      <c r="I102" s="94"/>
      <c r="J102" s="93"/>
    </row>
    <row r="103" spans="1:10">
      <c r="A103" s="501"/>
      <c r="B103" s="95" t="s">
        <v>200</v>
      </c>
      <c r="C103" s="94"/>
      <c r="D103" s="93"/>
      <c r="E103" s="94"/>
      <c r="F103" s="93"/>
      <c r="G103" s="94"/>
      <c r="H103" s="93"/>
      <c r="I103" s="99"/>
      <c r="J103" s="100"/>
    </row>
    <row r="104" spans="1:10">
      <c r="A104" s="501"/>
      <c r="B104" s="95" t="s">
        <v>201</v>
      </c>
      <c r="C104" s="94"/>
      <c r="D104" s="93"/>
      <c r="E104" s="99"/>
      <c r="F104" s="100"/>
      <c r="G104" s="94"/>
      <c r="H104" s="93"/>
      <c r="I104" s="99"/>
      <c r="J104" s="100"/>
    </row>
    <row r="105" spans="1:10">
      <c r="A105" s="501"/>
      <c r="B105" s="95" t="s">
        <v>202</v>
      </c>
      <c r="C105" s="94"/>
      <c r="D105" s="93"/>
      <c r="E105" s="99"/>
      <c r="F105" s="100"/>
      <c r="G105" s="94"/>
      <c r="H105" s="93"/>
      <c r="I105" s="99"/>
      <c r="J105" s="100"/>
    </row>
    <row r="106" spans="1:10">
      <c r="A106" s="501"/>
      <c r="B106" s="95" t="s">
        <v>203</v>
      </c>
      <c r="C106" s="94"/>
      <c r="D106" s="93"/>
      <c r="E106" s="99"/>
      <c r="F106" s="100"/>
      <c r="G106" s="94"/>
      <c r="H106" s="93"/>
      <c r="I106" s="99"/>
      <c r="J106" s="100"/>
    </row>
    <row r="107" spans="1:10">
      <c r="A107" s="501"/>
      <c r="B107" s="95" t="s">
        <v>204</v>
      </c>
      <c r="C107" s="94"/>
      <c r="D107" s="93"/>
      <c r="E107" s="99"/>
      <c r="F107" s="100"/>
      <c r="G107" s="94"/>
      <c r="H107" s="93"/>
      <c r="I107" s="99"/>
      <c r="J107" s="100"/>
    </row>
    <row r="108" spans="1:10">
      <c r="A108" s="501"/>
      <c r="B108" s="95" t="s">
        <v>205</v>
      </c>
      <c r="C108" s="99"/>
      <c r="D108" s="100"/>
      <c r="E108" s="99"/>
      <c r="F108" s="100"/>
      <c r="G108" s="94"/>
      <c r="H108" s="93"/>
      <c r="I108" s="99"/>
      <c r="J108" s="100"/>
    </row>
    <row r="109" spans="1:10">
      <c r="A109" s="501"/>
      <c r="B109" s="95" t="s">
        <v>206</v>
      </c>
      <c r="C109" s="99"/>
      <c r="D109" s="100"/>
      <c r="E109" s="99"/>
      <c r="F109" s="100"/>
      <c r="G109" s="94"/>
      <c r="H109" s="93"/>
      <c r="I109" s="99"/>
      <c r="J109" s="100"/>
    </row>
    <row r="110" spans="1:10">
      <c r="A110" s="501"/>
      <c r="B110" s="95" t="s">
        <v>207</v>
      </c>
      <c r="C110" s="99"/>
      <c r="D110" s="100"/>
      <c r="E110" s="99"/>
      <c r="F110" s="100"/>
      <c r="G110" s="94"/>
      <c r="H110" s="93"/>
      <c r="I110" s="99"/>
      <c r="J110" s="100"/>
    </row>
    <row r="111" spans="1:10">
      <c r="A111" s="501"/>
      <c r="B111" s="96" t="s">
        <v>296</v>
      </c>
      <c r="C111" s="94"/>
      <c r="D111" s="93"/>
      <c r="E111" s="94"/>
      <c r="F111" s="93"/>
      <c r="G111" s="94"/>
      <c r="H111" s="93"/>
      <c r="I111" s="94"/>
      <c r="J111" s="93"/>
    </row>
    <row r="112" spans="1:10">
      <c r="A112" s="501"/>
      <c r="B112" s="96" t="s">
        <v>208</v>
      </c>
      <c r="C112" s="94"/>
      <c r="D112" s="93"/>
      <c r="E112" s="94"/>
      <c r="F112" s="93"/>
      <c r="G112" s="94"/>
      <c r="H112" s="93"/>
      <c r="I112" s="94"/>
      <c r="J112" s="93"/>
    </row>
    <row r="113" spans="1:10">
      <c r="A113" s="501"/>
      <c r="B113" s="96" t="s">
        <v>209</v>
      </c>
      <c r="C113" s="94"/>
      <c r="D113" s="93"/>
      <c r="E113" s="94"/>
      <c r="F113" s="93"/>
      <c r="G113" s="94"/>
      <c r="H113" s="93"/>
      <c r="I113" s="94"/>
      <c r="J113" s="93"/>
    </row>
    <row r="114" spans="1:10">
      <c r="A114" s="501"/>
      <c r="B114" s="96" t="s">
        <v>210</v>
      </c>
      <c r="C114" s="94"/>
      <c r="D114" s="93"/>
      <c r="E114" s="94"/>
      <c r="F114" s="93"/>
      <c r="G114" s="94"/>
      <c r="H114" s="93"/>
      <c r="I114" s="94"/>
      <c r="J114" s="93"/>
    </row>
    <row r="115" spans="1:10">
      <c r="A115" s="501"/>
      <c r="B115" s="96" t="s">
        <v>211</v>
      </c>
      <c r="C115" s="94"/>
      <c r="D115" s="93"/>
      <c r="E115" s="94"/>
      <c r="F115" s="93"/>
      <c r="G115" s="94"/>
      <c r="H115" s="93"/>
      <c r="I115" s="94"/>
      <c r="J115" s="93"/>
    </row>
    <row r="116" spans="1:10">
      <c r="A116" s="501"/>
      <c r="B116" s="96" t="s">
        <v>212</v>
      </c>
      <c r="C116" s="94"/>
      <c r="D116" s="93"/>
      <c r="E116" s="94"/>
      <c r="F116" s="93"/>
      <c r="G116" s="94"/>
      <c r="H116" s="93"/>
      <c r="I116" s="94"/>
      <c r="J116" s="93"/>
    </row>
    <row r="117" spans="1:10">
      <c r="A117" s="501"/>
      <c r="B117" s="96" t="s">
        <v>213</v>
      </c>
      <c r="C117" s="94"/>
      <c r="D117" s="93"/>
      <c r="E117" s="94"/>
      <c r="F117" s="93"/>
      <c r="G117" s="94"/>
      <c r="H117" s="93"/>
      <c r="I117" s="94"/>
      <c r="J117" s="93"/>
    </row>
    <row r="118" spans="1:10">
      <c r="A118" s="501"/>
      <c r="B118" s="96" t="s">
        <v>214</v>
      </c>
      <c r="C118" s="94"/>
      <c r="D118" s="93"/>
      <c r="E118" s="94"/>
      <c r="F118" s="93"/>
      <c r="G118" s="94"/>
      <c r="H118" s="93"/>
      <c r="I118" s="94"/>
      <c r="J118" s="93"/>
    </row>
    <row r="119" spans="1:10">
      <c r="A119" s="501"/>
      <c r="B119" s="96" t="s">
        <v>215</v>
      </c>
      <c r="C119" s="94"/>
      <c r="D119" s="93"/>
      <c r="E119" s="94"/>
      <c r="F119" s="93"/>
      <c r="G119" s="94"/>
      <c r="H119" s="93"/>
      <c r="I119" s="94"/>
      <c r="J119" s="93"/>
    </row>
    <row r="120" spans="1:10">
      <c r="A120" s="501"/>
      <c r="B120" s="96" t="s">
        <v>216</v>
      </c>
      <c r="C120" s="94"/>
      <c r="D120" s="93"/>
      <c r="E120" s="94"/>
      <c r="F120" s="93"/>
      <c r="G120" s="94"/>
      <c r="H120" s="93"/>
      <c r="I120" s="94"/>
      <c r="J120" s="93"/>
    </row>
    <row r="121" spans="1:10">
      <c r="A121" s="501"/>
      <c r="B121" s="96" t="s">
        <v>217</v>
      </c>
      <c r="C121" s="94"/>
      <c r="D121" s="93"/>
      <c r="E121" s="94"/>
      <c r="F121" s="93"/>
      <c r="G121" s="94"/>
      <c r="H121" s="93"/>
      <c r="I121" s="99"/>
      <c r="J121" s="100"/>
    </row>
    <row r="122" spans="1:10">
      <c r="A122" s="501"/>
      <c r="B122" s="96" t="s">
        <v>218</v>
      </c>
      <c r="C122" s="94"/>
      <c r="D122" s="93"/>
      <c r="E122" s="94"/>
      <c r="F122" s="93"/>
      <c r="G122" s="94"/>
      <c r="H122" s="93"/>
      <c r="I122" s="99"/>
      <c r="J122" s="100"/>
    </row>
    <row r="123" spans="1:10">
      <c r="A123" s="501"/>
      <c r="B123" s="96" t="s">
        <v>219</v>
      </c>
      <c r="C123" s="94"/>
      <c r="D123" s="93"/>
      <c r="E123" s="94"/>
      <c r="F123" s="93"/>
      <c r="G123" s="94"/>
      <c r="H123" s="93"/>
      <c r="I123" s="99"/>
      <c r="J123" s="100"/>
    </row>
    <row r="124" spans="1:10">
      <c r="A124" s="501"/>
      <c r="B124" s="96" t="s">
        <v>220</v>
      </c>
      <c r="C124" s="94"/>
      <c r="D124" s="93"/>
      <c r="E124" s="94"/>
      <c r="F124" s="93"/>
      <c r="G124" s="99"/>
      <c r="H124" s="100"/>
      <c r="I124" s="99"/>
      <c r="J124" s="100"/>
    </row>
    <row r="125" spans="1:10">
      <c r="A125" s="501"/>
      <c r="B125" s="96" t="s">
        <v>297</v>
      </c>
      <c r="C125" s="94"/>
      <c r="D125" s="93"/>
      <c r="E125" s="99"/>
      <c r="F125" s="100"/>
      <c r="G125" s="99"/>
      <c r="H125" s="100"/>
      <c r="I125" s="99"/>
      <c r="J125" s="100"/>
    </row>
    <row r="126" spans="1:10">
      <c r="A126" s="501"/>
      <c r="B126" s="96" t="s">
        <v>221</v>
      </c>
      <c r="C126" s="94"/>
      <c r="D126" s="93"/>
      <c r="E126" s="99"/>
      <c r="F126" s="100"/>
      <c r="G126" s="99"/>
      <c r="H126" s="100"/>
      <c r="I126" s="99"/>
      <c r="J126" s="100"/>
    </row>
    <row r="127" spans="1:10">
      <c r="A127" s="501"/>
      <c r="B127" s="97" t="s">
        <v>298</v>
      </c>
      <c r="C127" s="94"/>
      <c r="D127" s="93"/>
      <c r="E127" s="94"/>
      <c r="F127" s="93"/>
      <c r="G127" s="94"/>
      <c r="H127" s="93"/>
      <c r="I127" s="94"/>
      <c r="J127" s="93"/>
    </row>
    <row r="128" spans="1:10">
      <c r="A128" s="501"/>
      <c r="B128" s="97" t="s">
        <v>222</v>
      </c>
      <c r="C128" s="94"/>
      <c r="D128" s="93"/>
      <c r="E128" s="94"/>
      <c r="F128" s="93"/>
      <c r="G128" s="94"/>
      <c r="H128" s="93"/>
      <c r="I128" s="94"/>
      <c r="J128" s="93"/>
    </row>
    <row r="129" spans="1:10">
      <c r="A129" s="501"/>
      <c r="B129" s="97" t="s">
        <v>223</v>
      </c>
      <c r="C129" s="94"/>
      <c r="D129" s="93"/>
      <c r="E129" s="94"/>
      <c r="F129" s="93"/>
      <c r="G129" s="94"/>
      <c r="H129" s="93"/>
      <c r="I129" s="94"/>
      <c r="J129" s="93"/>
    </row>
    <row r="130" spans="1:10">
      <c r="A130" s="501"/>
      <c r="B130" s="97" t="s">
        <v>224</v>
      </c>
      <c r="C130" s="94"/>
      <c r="D130" s="93"/>
      <c r="E130" s="94"/>
      <c r="F130" s="93"/>
      <c r="G130" s="94"/>
      <c r="H130" s="93"/>
      <c r="I130" s="94"/>
      <c r="J130" s="93"/>
    </row>
    <row r="131" spans="1:10">
      <c r="A131" s="501"/>
      <c r="B131" s="97" t="s">
        <v>225</v>
      </c>
      <c r="C131" s="94"/>
      <c r="D131" s="93"/>
      <c r="E131" s="94"/>
      <c r="F131" s="93"/>
      <c r="G131" s="94"/>
      <c r="H131" s="93"/>
      <c r="I131" s="94"/>
      <c r="J131" s="93"/>
    </row>
    <row r="132" spans="1:10">
      <c r="A132" s="501"/>
      <c r="B132" s="97" t="s">
        <v>226</v>
      </c>
      <c r="C132" s="94"/>
      <c r="D132" s="93"/>
      <c r="E132" s="94"/>
      <c r="F132" s="93"/>
      <c r="G132" s="94"/>
      <c r="H132" s="93"/>
      <c r="I132" s="94"/>
      <c r="J132" s="93"/>
    </row>
    <row r="133" spans="1:10">
      <c r="A133" s="501"/>
      <c r="B133" s="97" t="s">
        <v>227</v>
      </c>
      <c r="C133" s="94"/>
      <c r="D133" s="93"/>
      <c r="E133" s="94"/>
      <c r="F133" s="93"/>
      <c r="G133" s="94"/>
      <c r="H133" s="93"/>
      <c r="I133" s="94"/>
      <c r="J133" s="93"/>
    </row>
    <row r="134" spans="1:10">
      <c r="A134" s="501"/>
      <c r="B134" s="97" t="s">
        <v>228</v>
      </c>
      <c r="C134" s="94"/>
      <c r="D134" s="93"/>
      <c r="E134" s="94"/>
      <c r="F134" s="93"/>
      <c r="G134" s="94"/>
      <c r="H134" s="93"/>
      <c r="I134" s="94"/>
      <c r="J134" s="93"/>
    </row>
    <row r="135" spans="1:10">
      <c r="A135" s="501"/>
      <c r="B135" s="97" t="s">
        <v>229</v>
      </c>
      <c r="C135" s="94"/>
      <c r="D135" s="93"/>
      <c r="E135" s="94"/>
      <c r="F135" s="93"/>
      <c r="G135" s="99"/>
      <c r="H135" s="100"/>
      <c r="I135" s="94"/>
      <c r="J135" s="93"/>
    </row>
    <row r="136" spans="1:10">
      <c r="A136" s="501"/>
      <c r="B136" s="97" t="s">
        <v>230</v>
      </c>
      <c r="C136" s="94"/>
      <c r="D136" s="93"/>
      <c r="E136" s="94"/>
      <c r="F136" s="93"/>
      <c r="G136" s="99"/>
      <c r="H136" s="100"/>
      <c r="I136" s="99"/>
      <c r="J136" s="100"/>
    </row>
    <row r="137" spans="1:10">
      <c r="A137" s="501"/>
      <c r="B137" s="97" t="s">
        <v>231</v>
      </c>
      <c r="C137" s="94"/>
      <c r="D137" s="93"/>
      <c r="E137" s="94"/>
      <c r="F137" s="93"/>
      <c r="G137" s="99"/>
      <c r="H137" s="100"/>
      <c r="I137" s="99"/>
      <c r="J137" s="100"/>
    </row>
    <row r="138" spans="1:10">
      <c r="A138" s="501"/>
      <c r="B138" s="97" t="s">
        <v>232</v>
      </c>
      <c r="C138" s="94"/>
      <c r="D138" s="93"/>
      <c r="E138" s="94"/>
      <c r="F138" s="93"/>
      <c r="G138" s="99"/>
      <c r="H138" s="100"/>
      <c r="I138" s="99"/>
      <c r="J138" s="100"/>
    </row>
    <row r="139" spans="1:10">
      <c r="A139" s="501"/>
      <c r="B139" s="97" t="s">
        <v>233</v>
      </c>
      <c r="C139" s="94"/>
      <c r="D139" s="93"/>
      <c r="E139" s="94"/>
      <c r="F139" s="93"/>
      <c r="G139" s="99"/>
      <c r="H139" s="100"/>
      <c r="I139" s="99"/>
      <c r="J139" s="100"/>
    </row>
    <row r="140" spans="1:10">
      <c r="A140" s="501"/>
      <c r="B140" s="97" t="s">
        <v>234</v>
      </c>
      <c r="C140" s="94"/>
      <c r="D140" s="93"/>
      <c r="E140" s="94"/>
      <c r="F140" s="93"/>
      <c r="G140" s="99"/>
      <c r="H140" s="100"/>
      <c r="I140" s="99"/>
      <c r="J140" s="100"/>
    </row>
    <row r="141" spans="1:10">
      <c r="A141" s="501"/>
      <c r="B141" s="97" t="s">
        <v>235</v>
      </c>
      <c r="C141" s="94"/>
      <c r="D141" s="93"/>
      <c r="E141" s="99"/>
      <c r="F141" s="100"/>
      <c r="G141" s="99"/>
      <c r="H141" s="100"/>
      <c r="I141" s="99"/>
      <c r="J141" s="100"/>
    </row>
    <row r="142" spans="1:10">
      <c r="A142" s="501"/>
      <c r="B142" s="97" t="s">
        <v>236</v>
      </c>
      <c r="C142" s="94"/>
      <c r="D142" s="93"/>
      <c r="E142" s="99"/>
      <c r="F142" s="100"/>
      <c r="G142" s="99"/>
      <c r="H142" s="100"/>
      <c r="I142" s="99"/>
      <c r="J142" s="100"/>
    </row>
    <row r="143" spans="1:10">
      <c r="A143" s="501"/>
      <c r="B143" s="98" t="s">
        <v>299</v>
      </c>
      <c r="C143" s="94"/>
      <c r="D143" s="93"/>
      <c r="E143" s="94"/>
      <c r="F143" s="93"/>
      <c r="G143" s="94"/>
      <c r="H143" s="93"/>
      <c r="I143" s="94"/>
      <c r="J143" s="93"/>
    </row>
    <row r="144" spans="1:10">
      <c r="A144" s="501"/>
      <c r="B144" s="98" t="s">
        <v>237</v>
      </c>
      <c r="C144" s="94"/>
      <c r="D144" s="93"/>
      <c r="E144" s="94"/>
      <c r="F144" s="93"/>
      <c r="G144" s="94"/>
      <c r="H144" s="93"/>
      <c r="I144" s="94"/>
      <c r="J144" s="93"/>
    </row>
    <row r="145" spans="1:10">
      <c r="A145" s="501"/>
      <c r="B145" s="98" t="s">
        <v>238</v>
      </c>
      <c r="C145" s="94"/>
      <c r="D145" s="93"/>
      <c r="E145" s="94"/>
      <c r="F145" s="93"/>
      <c r="G145" s="94"/>
      <c r="H145" s="93"/>
      <c r="I145" s="94"/>
      <c r="J145" s="93"/>
    </row>
    <row r="146" spans="1:10">
      <c r="A146" s="501"/>
      <c r="B146" s="98" t="s">
        <v>239</v>
      </c>
      <c r="C146" s="94"/>
      <c r="D146" s="93"/>
      <c r="E146" s="94"/>
      <c r="F146" s="93"/>
      <c r="G146" s="94"/>
      <c r="H146" s="93"/>
      <c r="I146" s="94"/>
      <c r="J146" s="93"/>
    </row>
    <row r="147" spans="1:10">
      <c r="A147" s="501"/>
      <c r="B147" s="98" t="s">
        <v>240</v>
      </c>
      <c r="C147" s="94"/>
      <c r="D147" s="93"/>
      <c r="E147" s="94"/>
      <c r="F147" s="93"/>
      <c r="G147" s="94"/>
      <c r="H147" s="93"/>
      <c r="I147" s="94"/>
      <c r="J147" s="93"/>
    </row>
    <row r="148" spans="1:10">
      <c r="A148" s="501"/>
      <c r="B148" s="98" t="s">
        <v>241</v>
      </c>
      <c r="C148" s="94"/>
      <c r="D148" s="93"/>
      <c r="E148" s="94"/>
      <c r="F148" s="93"/>
      <c r="G148" s="94"/>
      <c r="H148" s="93"/>
      <c r="I148" s="94"/>
      <c r="J148" s="93"/>
    </row>
    <row r="149" spans="1:10">
      <c r="A149" s="501"/>
      <c r="B149" s="98" t="s">
        <v>242</v>
      </c>
      <c r="C149" s="94"/>
      <c r="D149" s="93"/>
      <c r="E149" s="94"/>
      <c r="F149" s="93"/>
      <c r="G149" s="94"/>
      <c r="H149" s="93"/>
      <c r="I149" s="94"/>
      <c r="J149" s="93"/>
    </row>
    <row r="150" spans="1:10">
      <c r="A150" s="501"/>
      <c r="B150" s="98" t="s">
        <v>243</v>
      </c>
      <c r="C150" s="94"/>
      <c r="D150" s="93"/>
      <c r="E150" s="94"/>
      <c r="F150" s="93"/>
      <c r="G150" s="94"/>
      <c r="H150" s="93"/>
      <c r="I150" s="94"/>
      <c r="J150" s="93"/>
    </row>
    <row r="151" spans="1:10">
      <c r="A151" s="501"/>
      <c r="B151" s="98" t="s">
        <v>244</v>
      </c>
      <c r="C151" s="94"/>
      <c r="D151" s="93"/>
      <c r="E151" s="94"/>
      <c r="F151" s="93"/>
      <c r="G151" s="94"/>
      <c r="H151" s="93"/>
      <c r="I151" s="99"/>
      <c r="J151" s="100"/>
    </row>
    <row r="152" spans="1:10">
      <c r="A152" s="501"/>
      <c r="B152" s="98" t="s">
        <v>245</v>
      </c>
      <c r="C152" s="94"/>
      <c r="D152" s="93"/>
      <c r="E152" s="94"/>
      <c r="F152" s="93"/>
      <c r="G152" s="94"/>
      <c r="H152" s="93"/>
      <c r="I152" s="99"/>
      <c r="J152" s="100"/>
    </row>
    <row r="153" spans="1:10">
      <c r="A153" s="501"/>
      <c r="B153" s="98" t="s">
        <v>246</v>
      </c>
      <c r="C153" s="99"/>
      <c r="D153" s="100"/>
      <c r="E153" s="94"/>
      <c r="F153" s="93"/>
      <c r="G153" s="94"/>
      <c r="H153" s="93"/>
      <c r="I153" s="99"/>
      <c r="J153" s="100"/>
    </row>
    <row r="154" spans="1:10">
      <c r="A154" s="501"/>
      <c r="B154" s="98" t="s">
        <v>247</v>
      </c>
      <c r="C154" s="99"/>
      <c r="D154" s="100"/>
      <c r="E154" s="94"/>
      <c r="F154" s="93"/>
      <c r="G154" s="94"/>
      <c r="H154" s="93"/>
      <c r="I154" s="99"/>
      <c r="J154" s="100"/>
    </row>
    <row r="155" spans="1:10">
      <c r="A155" s="501"/>
      <c r="B155" s="98" t="s">
        <v>248</v>
      </c>
      <c r="C155" s="99"/>
      <c r="D155" s="100"/>
      <c r="E155" s="99"/>
      <c r="F155" s="100"/>
      <c r="G155" s="94"/>
      <c r="H155" s="93"/>
      <c r="I155" s="99"/>
      <c r="J155" s="100"/>
    </row>
    <row r="156" spans="1:10">
      <c r="A156" s="501"/>
      <c r="B156" s="95" t="s">
        <v>300</v>
      </c>
      <c r="C156" s="99"/>
      <c r="D156" s="100"/>
      <c r="E156" s="99"/>
      <c r="F156" s="100"/>
      <c r="G156" s="99"/>
      <c r="H156" s="100"/>
      <c r="I156" s="94"/>
      <c r="J156" s="93"/>
    </row>
    <row r="157" spans="1:10">
      <c r="A157" s="501"/>
      <c r="B157" s="95" t="s">
        <v>249</v>
      </c>
      <c r="C157" s="99"/>
      <c r="D157" s="100"/>
      <c r="E157" s="99"/>
      <c r="F157" s="100"/>
      <c r="G157" s="99"/>
      <c r="H157" s="100"/>
      <c r="I157" s="94"/>
      <c r="J157" s="93"/>
    </row>
    <row r="158" spans="1:10">
      <c r="A158" s="501"/>
      <c r="B158" s="95" t="s">
        <v>250</v>
      </c>
      <c r="C158" s="99"/>
      <c r="D158" s="100"/>
      <c r="E158" s="99"/>
      <c r="F158" s="100"/>
      <c r="G158" s="99"/>
      <c r="H158" s="100"/>
      <c r="I158" s="94"/>
      <c r="J158" s="93"/>
    </row>
    <row r="159" spans="1:10">
      <c r="A159" s="501"/>
      <c r="B159" s="95" t="s">
        <v>251</v>
      </c>
      <c r="C159" s="99"/>
      <c r="D159" s="100"/>
      <c r="E159" s="99"/>
      <c r="F159" s="100"/>
      <c r="G159" s="99"/>
      <c r="H159" s="100"/>
      <c r="I159" s="94"/>
      <c r="J159" s="93"/>
    </row>
    <row r="160" spans="1:10">
      <c r="A160" s="501"/>
      <c r="B160" s="95" t="s">
        <v>252</v>
      </c>
      <c r="C160" s="99"/>
      <c r="D160" s="100"/>
      <c r="E160" s="99"/>
      <c r="F160" s="100"/>
      <c r="G160" s="99"/>
      <c r="H160" s="100"/>
      <c r="I160" s="94"/>
      <c r="J160" s="93"/>
    </row>
    <row r="161" spans="1:11">
      <c r="A161" s="501"/>
      <c r="B161" s="95" t="s">
        <v>253</v>
      </c>
      <c r="C161" s="99"/>
      <c r="D161" s="100"/>
      <c r="E161" s="99"/>
      <c r="F161" s="100"/>
      <c r="G161" s="99"/>
      <c r="H161" s="100"/>
      <c r="I161" s="94"/>
      <c r="J161" s="93"/>
    </row>
    <row r="162" spans="1:11">
      <c r="A162" s="501"/>
      <c r="B162" s="95" t="s">
        <v>254</v>
      </c>
      <c r="C162" s="99"/>
      <c r="D162" s="100"/>
      <c r="E162" s="99"/>
      <c r="F162" s="100"/>
      <c r="G162" s="99"/>
      <c r="H162" s="100"/>
      <c r="I162" s="94"/>
      <c r="J162" s="93"/>
    </row>
    <row r="163" spans="1:11">
      <c r="A163" s="501"/>
      <c r="B163" s="95" t="s">
        <v>255</v>
      </c>
      <c r="C163" s="99"/>
      <c r="D163" s="100"/>
      <c r="E163" s="99"/>
      <c r="F163" s="100"/>
      <c r="G163" s="99"/>
      <c r="H163" s="100"/>
      <c r="I163" s="94"/>
      <c r="J163" s="93"/>
    </row>
    <row r="164" spans="1:11">
      <c r="A164" s="501"/>
      <c r="B164" s="95" t="s">
        <v>256</v>
      </c>
      <c r="C164" s="99"/>
      <c r="D164" s="100"/>
      <c r="E164" s="99"/>
      <c r="F164" s="100"/>
      <c r="G164" s="99"/>
      <c r="H164" s="100"/>
      <c r="I164" s="94"/>
      <c r="J164" s="93"/>
    </row>
    <row r="165" spans="1:11">
      <c r="A165" s="501"/>
      <c r="B165" s="95" t="s">
        <v>257</v>
      </c>
      <c r="C165" s="99"/>
      <c r="D165" s="100"/>
      <c r="E165" s="99"/>
      <c r="F165" s="100"/>
      <c r="G165" s="99"/>
      <c r="H165" s="100"/>
      <c r="I165" s="94"/>
      <c r="J165" s="93"/>
    </row>
    <row r="166" spans="1:11">
      <c r="A166" s="501"/>
      <c r="B166" s="95" t="s">
        <v>258</v>
      </c>
      <c r="C166" s="99"/>
      <c r="D166" s="100"/>
      <c r="E166" s="99"/>
      <c r="F166" s="100"/>
      <c r="G166" s="99"/>
      <c r="H166" s="100"/>
      <c r="I166" s="94"/>
      <c r="J166" s="93"/>
    </row>
    <row r="167" spans="1:11">
      <c r="A167" s="502"/>
      <c r="B167" s="95" t="s">
        <v>259</v>
      </c>
      <c r="C167" s="99"/>
      <c r="D167" s="100"/>
      <c r="E167" s="99"/>
      <c r="F167" s="100"/>
      <c r="G167" s="99"/>
      <c r="H167" s="100"/>
      <c r="I167" s="94"/>
      <c r="J167" s="93"/>
    </row>
    <row r="168" spans="1:11">
      <c r="A168" s="116" t="s">
        <v>266</v>
      </c>
      <c r="B168" s="117" t="e">
        <f>SUM(C168,E168,G168,I168)</f>
        <v>#DIV/0!</v>
      </c>
      <c r="C168" s="104" t="e">
        <f>AVERAGE(C95:C107,C111:C152)</f>
        <v>#DIV/0!</v>
      </c>
      <c r="D168" s="104" t="e">
        <f>AVERAGE(D95:D107,D111:D152)</f>
        <v>#DIV/0!</v>
      </c>
      <c r="E168" s="104" t="e">
        <f>AVERAGE(E95:E103,E111:E124,E127:E140,E143:E154)</f>
        <v>#DIV/0!</v>
      </c>
      <c r="F168" s="104" t="e">
        <f>AVERAGE(F95:F103,F111:F124,F127:F140,F143:F154)</f>
        <v>#DIV/0!</v>
      </c>
      <c r="G168" s="104" t="e">
        <f>AVERAGE(G95:G123,G127:G134,G143:G155)</f>
        <v>#DIV/0!</v>
      </c>
      <c r="H168" s="104" t="e">
        <f>AVERAGE(H95:H123,H127:H134,H143:H155)</f>
        <v>#DIV/0!</v>
      </c>
      <c r="I168" s="104" t="e">
        <f>AVERAGE(I95:I102,I111:I120,I127:I135,I143:I150,I156:I167)</f>
        <v>#DIV/0!</v>
      </c>
      <c r="J168" s="104" t="e">
        <f>AVERAGE(J95:J102,J111:J120,J127:J135,J143:J150,J156:J167)</f>
        <v>#DIV/0!</v>
      </c>
    </row>
    <row r="169" spans="1:11">
      <c r="A169" s="116" t="s">
        <v>267</v>
      </c>
      <c r="B169" s="117" t="e">
        <f>SUM(D168,F168,H168,J168)</f>
        <v>#DIV/0!</v>
      </c>
      <c r="C169" s="64" t="s">
        <v>268</v>
      </c>
      <c r="D169" s="118" t="s">
        <v>269</v>
      </c>
      <c r="E169" s="64" t="s">
        <v>268</v>
      </c>
      <c r="F169" s="118" t="s">
        <v>269</v>
      </c>
      <c r="G169" s="64" t="s">
        <v>268</v>
      </c>
      <c r="H169" s="118" t="s">
        <v>269</v>
      </c>
      <c r="I169" s="64" t="s">
        <v>268</v>
      </c>
      <c r="J169" s="118" t="s">
        <v>269</v>
      </c>
    </row>
    <row r="172" spans="1:11">
      <c r="A172" s="503" t="s">
        <v>107</v>
      </c>
      <c r="B172" s="503"/>
      <c r="C172" s="503"/>
      <c r="D172" s="503"/>
      <c r="E172" s="503"/>
      <c r="F172" s="503"/>
      <c r="G172" s="503"/>
      <c r="H172" s="503"/>
      <c r="I172" s="503"/>
      <c r="J172" s="504"/>
      <c r="K172" s="109">
        <v>2</v>
      </c>
    </row>
    <row r="173" spans="1:11" ht="34.799999999999997">
      <c r="A173" s="74" t="s">
        <v>270</v>
      </c>
      <c r="B173" s="74" t="s">
        <v>271</v>
      </c>
      <c r="C173" s="74" t="s">
        <v>272</v>
      </c>
      <c r="D173" s="74" t="s">
        <v>108</v>
      </c>
      <c r="E173" s="74" t="s">
        <v>109</v>
      </c>
      <c r="F173" s="75" t="s">
        <v>273</v>
      </c>
      <c r="G173" s="74" t="s">
        <v>110</v>
      </c>
      <c r="H173" s="74" t="s">
        <v>111</v>
      </c>
      <c r="I173" s="74" t="s">
        <v>112</v>
      </c>
      <c r="J173" s="74" t="s">
        <v>113</v>
      </c>
    </row>
    <row r="174" spans="1:11">
      <c r="A174" s="505" t="s">
        <v>274</v>
      </c>
      <c r="B174" s="87" t="s">
        <v>114</v>
      </c>
      <c r="C174" s="76" t="s">
        <v>275</v>
      </c>
      <c r="D174" s="77">
        <v>1</v>
      </c>
      <c r="E174" s="78">
        <v>1</v>
      </c>
      <c r="F174" s="497" t="s">
        <v>276</v>
      </c>
      <c r="G174" s="76">
        <v>105.48</v>
      </c>
      <c r="H174" s="51">
        <v>25.5</v>
      </c>
      <c r="I174" s="52">
        <v>26.6</v>
      </c>
      <c r="J174" s="52">
        <v>25.947168858331978</v>
      </c>
    </row>
    <row r="175" spans="1:11">
      <c r="A175" s="506"/>
      <c r="B175" s="87" t="s">
        <v>115</v>
      </c>
      <c r="C175" s="76" t="s">
        <v>277</v>
      </c>
      <c r="D175" s="77">
        <v>1</v>
      </c>
      <c r="E175" s="78">
        <v>1</v>
      </c>
      <c r="F175" s="498"/>
      <c r="G175" s="76">
        <v>105.48</v>
      </c>
      <c r="H175" s="51">
        <v>26</v>
      </c>
      <c r="I175" s="52">
        <v>27.1</v>
      </c>
      <c r="J175" s="52">
        <v>26.534160006693167</v>
      </c>
    </row>
    <row r="176" spans="1:11">
      <c r="A176" s="506"/>
      <c r="B176" s="87" t="s">
        <v>116</v>
      </c>
      <c r="C176" s="76" t="s">
        <v>117</v>
      </c>
      <c r="D176" s="77">
        <v>1</v>
      </c>
      <c r="E176" s="78">
        <v>1</v>
      </c>
      <c r="F176" s="79"/>
      <c r="G176" s="76">
        <v>105.48</v>
      </c>
      <c r="H176" s="51">
        <v>26</v>
      </c>
      <c r="I176" s="52">
        <v>27.1</v>
      </c>
      <c r="J176" s="52">
        <v>26.612712003992765</v>
      </c>
    </row>
    <row r="177" spans="1:10">
      <c r="A177" s="507"/>
      <c r="B177" s="87" t="s">
        <v>118</v>
      </c>
      <c r="C177" s="76" t="s">
        <v>119</v>
      </c>
      <c r="D177" s="77">
        <v>1</v>
      </c>
      <c r="E177" s="78">
        <v>1</v>
      </c>
      <c r="F177" s="79"/>
      <c r="G177" s="76">
        <v>105.48</v>
      </c>
      <c r="H177" s="51">
        <v>25.9</v>
      </c>
      <c r="I177" s="52">
        <v>27</v>
      </c>
      <c r="J177" s="52">
        <v>26.551582992080178</v>
      </c>
    </row>
    <row r="178" spans="1:10">
      <c r="A178" s="505" t="s">
        <v>278</v>
      </c>
      <c r="B178" s="87" t="s">
        <v>120</v>
      </c>
      <c r="C178" s="76" t="s">
        <v>279</v>
      </c>
      <c r="D178" s="77">
        <v>1</v>
      </c>
      <c r="E178" s="78">
        <v>1</v>
      </c>
      <c r="F178" s="497" t="s">
        <v>276</v>
      </c>
      <c r="G178" s="76">
        <v>105.48</v>
      </c>
      <c r="H178" s="51">
        <v>19.5</v>
      </c>
      <c r="I178" s="52">
        <v>28</v>
      </c>
      <c r="J178" s="52">
        <v>26.562861558467784</v>
      </c>
    </row>
    <row r="179" spans="1:10">
      <c r="A179" s="506"/>
      <c r="B179" s="87" t="s">
        <v>121</v>
      </c>
      <c r="C179" s="76" t="s">
        <v>280</v>
      </c>
      <c r="D179" s="77">
        <v>1</v>
      </c>
      <c r="E179" s="78">
        <v>1</v>
      </c>
      <c r="F179" s="498"/>
      <c r="G179" s="76">
        <v>105.48</v>
      </c>
      <c r="H179" s="51">
        <v>24.3</v>
      </c>
      <c r="I179" s="52">
        <v>27.7</v>
      </c>
      <c r="J179" s="52">
        <v>26.468817329979629</v>
      </c>
    </row>
    <row r="180" spans="1:10">
      <c r="A180" s="506"/>
      <c r="B180" s="87" t="s">
        <v>122</v>
      </c>
      <c r="C180" s="76" t="s">
        <v>123</v>
      </c>
      <c r="D180" s="77">
        <v>1</v>
      </c>
      <c r="E180" s="78">
        <v>1</v>
      </c>
      <c r="F180" s="498"/>
      <c r="G180" s="76">
        <v>105.48</v>
      </c>
      <c r="H180" s="51">
        <v>17</v>
      </c>
      <c r="I180" s="52">
        <v>27</v>
      </c>
      <c r="J180" s="52">
        <v>21.191033060811872</v>
      </c>
    </row>
    <row r="181" spans="1:10">
      <c r="A181" s="506"/>
      <c r="B181" s="87" t="s">
        <v>124</v>
      </c>
      <c r="C181" s="76" t="s">
        <v>125</v>
      </c>
      <c r="D181" s="77">
        <v>1</v>
      </c>
      <c r="E181" s="78">
        <v>1</v>
      </c>
      <c r="F181" s="498"/>
      <c r="G181" s="76">
        <v>105.48</v>
      </c>
      <c r="H181" s="51">
        <v>24.9</v>
      </c>
      <c r="I181" s="52">
        <v>27.5</v>
      </c>
      <c r="J181" s="52">
        <v>26.191250294344051</v>
      </c>
    </row>
    <row r="182" spans="1:10">
      <c r="A182" s="506"/>
      <c r="B182" s="87" t="s">
        <v>126</v>
      </c>
      <c r="C182" s="76" t="s">
        <v>281</v>
      </c>
      <c r="D182" s="77">
        <v>1</v>
      </c>
      <c r="E182" s="78">
        <v>1</v>
      </c>
      <c r="F182" s="79"/>
      <c r="G182" s="76">
        <v>70.319999999999993</v>
      </c>
      <c r="H182" s="51">
        <v>13.9</v>
      </c>
      <c r="I182" s="52">
        <v>26.3</v>
      </c>
      <c r="J182" s="52">
        <v>24.473978140810075</v>
      </c>
    </row>
    <row r="183" spans="1:10">
      <c r="A183" s="506"/>
      <c r="B183" s="87" t="s">
        <v>127</v>
      </c>
      <c r="C183" s="76" t="s">
        <v>128</v>
      </c>
      <c r="D183" s="77">
        <v>1</v>
      </c>
      <c r="E183" s="78">
        <v>1</v>
      </c>
      <c r="F183" s="79"/>
      <c r="G183" s="76">
        <v>70.319999999999993</v>
      </c>
      <c r="H183" s="51">
        <v>14.1</v>
      </c>
      <c r="I183" s="52">
        <v>26.1</v>
      </c>
      <c r="J183" s="52">
        <v>24.513090894548593</v>
      </c>
    </row>
    <row r="184" spans="1:10">
      <c r="A184" s="507"/>
      <c r="B184" s="87" t="s">
        <v>129</v>
      </c>
      <c r="C184" s="76" t="s">
        <v>130</v>
      </c>
      <c r="D184" s="77">
        <v>1</v>
      </c>
      <c r="E184" s="78">
        <v>1</v>
      </c>
      <c r="F184" s="79"/>
      <c r="G184" s="76">
        <v>70.319999999999993</v>
      </c>
      <c r="H184" s="51">
        <v>14.8</v>
      </c>
      <c r="I184" s="52">
        <v>26</v>
      </c>
      <c r="J184" s="52">
        <v>24.625210701474238</v>
      </c>
    </row>
    <row r="185" spans="1:10">
      <c r="A185" s="496" t="s">
        <v>282</v>
      </c>
      <c r="B185" s="87" t="s">
        <v>131</v>
      </c>
      <c r="C185" s="76" t="s">
        <v>283</v>
      </c>
      <c r="D185" s="77">
        <v>1</v>
      </c>
      <c r="E185" s="78">
        <v>1</v>
      </c>
      <c r="F185" s="497" t="s">
        <v>276</v>
      </c>
      <c r="G185" s="76">
        <v>105.48</v>
      </c>
      <c r="H185" s="51">
        <v>24</v>
      </c>
      <c r="I185" s="52">
        <v>25.5</v>
      </c>
      <c r="J185" s="52">
        <v>24.86613436981952</v>
      </c>
    </row>
    <row r="186" spans="1:10">
      <c r="A186" s="496"/>
      <c r="B186" s="87" t="s">
        <v>132</v>
      </c>
      <c r="C186" s="76" t="s">
        <v>133</v>
      </c>
      <c r="D186" s="77">
        <v>1</v>
      </c>
      <c r="E186" s="78">
        <v>1</v>
      </c>
      <c r="F186" s="498"/>
      <c r="G186" s="76">
        <v>105.48</v>
      </c>
      <c r="H186" s="51">
        <v>24.4</v>
      </c>
      <c r="I186" s="52">
        <v>25.9</v>
      </c>
      <c r="J186" s="52">
        <v>25.221151651472233</v>
      </c>
    </row>
    <row r="187" spans="1:10">
      <c r="A187" s="496"/>
      <c r="B187" s="87" t="s">
        <v>134</v>
      </c>
      <c r="C187" s="76" t="s">
        <v>135</v>
      </c>
      <c r="D187" s="77">
        <v>1</v>
      </c>
      <c r="E187" s="78">
        <v>1</v>
      </c>
      <c r="F187" s="498"/>
      <c r="G187" s="80">
        <v>105.48</v>
      </c>
      <c r="H187" s="51">
        <v>24.5</v>
      </c>
      <c r="I187" s="52">
        <v>26.4</v>
      </c>
      <c r="J187" s="52">
        <v>25.252246982879878</v>
      </c>
    </row>
    <row r="188" spans="1:10">
      <c r="A188" s="496"/>
      <c r="B188" s="87" t="s">
        <v>136</v>
      </c>
      <c r="C188" s="76" t="s">
        <v>137</v>
      </c>
      <c r="D188" s="77">
        <v>1</v>
      </c>
      <c r="E188" s="78">
        <v>1</v>
      </c>
      <c r="F188" s="498"/>
      <c r="G188" s="80">
        <v>105.48</v>
      </c>
      <c r="H188" s="51">
        <v>24.1</v>
      </c>
      <c r="I188" s="52">
        <v>26</v>
      </c>
      <c r="J188" s="52">
        <v>24.844128275320063</v>
      </c>
    </row>
    <row r="189" spans="1:10">
      <c r="A189" s="496"/>
      <c r="B189" s="87" t="s">
        <v>138</v>
      </c>
      <c r="C189" s="76" t="s">
        <v>284</v>
      </c>
      <c r="D189" s="77">
        <v>0</v>
      </c>
      <c r="E189" s="78">
        <v>1</v>
      </c>
      <c r="F189" s="497" t="s">
        <v>285</v>
      </c>
      <c r="G189" s="76">
        <v>32.549999999999997</v>
      </c>
      <c r="H189" s="112">
        <v>25.3</v>
      </c>
      <c r="I189" s="112">
        <v>33.5</v>
      </c>
      <c r="J189" s="112">
        <v>32.598777177207168</v>
      </c>
    </row>
    <row r="190" spans="1:10">
      <c r="A190" s="496"/>
      <c r="B190" s="87" t="s">
        <v>139</v>
      </c>
      <c r="C190" s="76" t="s">
        <v>140</v>
      </c>
      <c r="D190" s="77">
        <v>0</v>
      </c>
      <c r="E190" s="78">
        <v>1</v>
      </c>
      <c r="F190" s="499"/>
      <c r="G190" s="76">
        <v>32.549999999999997</v>
      </c>
      <c r="H190" s="113">
        <v>23.4</v>
      </c>
      <c r="I190" s="113">
        <v>27.2</v>
      </c>
      <c r="J190" s="113">
        <v>26.023714421315294</v>
      </c>
    </row>
    <row r="191" spans="1:10">
      <c r="A191" s="496"/>
      <c r="B191" s="87" t="s">
        <v>141</v>
      </c>
      <c r="C191" s="76" t="s">
        <v>286</v>
      </c>
      <c r="D191" s="77">
        <v>0</v>
      </c>
      <c r="E191" s="78">
        <v>1</v>
      </c>
      <c r="F191" s="497" t="s">
        <v>285</v>
      </c>
      <c r="G191" s="76">
        <v>32.549999999999997</v>
      </c>
      <c r="H191" s="113">
        <v>21.8</v>
      </c>
      <c r="I191" s="113">
        <v>32.700000000000003</v>
      </c>
      <c r="J191" s="113">
        <v>31.101890811719603</v>
      </c>
    </row>
    <row r="192" spans="1:10">
      <c r="A192" s="496"/>
      <c r="B192" s="87" t="s">
        <v>142</v>
      </c>
      <c r="C192" s="76" t="s">
        <v>143</v>
      </c>
      <c r="D192" s="77">
        <v>1</v>
      </c>
      <c r="E192" s="78">
        <v>1</v>
      </c>
      <c r="F192" s="498"/>
      <c r="G192" s="76">
        <v>32.549999999999997</v>
      </c>
      <c r="H192" s="53">
        <v>22.5</v>
      </c>
      <c r="I192" s="53">
        <v>27.8</v>
      </c>
      <c r="J192" s="53">
        <v>26.137480201432698</v>
      </c>
    </row>
    <row r="193" spans="1:10">
      <c r="A193" s="496"/>
      <c r="B193" s="87" t="s">
        <v>144</v>
      </c>
      <c r="C193" s="76" t="s">
        <v>145</v>
      </c>
      <c r="D193" s="77">
        <v>0</v>
      </c>
      <c r="E193" s="78">
        <v>1</v>
      </c>
      <c r="F193" s="498"/>
      <c r="G193" s="76">
        <v>32.549999999999997</v>
      </c>
      <c r="H193" s="113">
        <v>17.8</v>
      </c>
      <c r="I193" s="113">
        <v>29.5</v>
      </c>
      <c r="J193" s="113">
        <v>27.936542597126117</v>
      </c>
    </row>
    <row r="194" spans="1:10">
      <c r="A194" s="496"/>
      <c r="B194" s="87" t="s">
        <v>146</v>
      </c>
      <c r="C194" s="76" t="s">
        <v>147</v>
      </c>
      <c r="D194" s="77">
        <v>1</v>
      </c>
      <c r="E194" s="78">
        <v>1</v>
      </c>
      <c r="F194" s="498"/>
      <c r="G194" s="76">
        <v>32.549999999999997</v>
      </c>
      <c r="H194" s="53">
        <v>21.4</v>
      </c>
      <c r="I194" s="53">
        <v>26.9</v>
      </c>
      <c r="J194" s="53">
        <v>24.703474713280034</v>
      </c>
    </row>
    <row r="195" spans="1:10">
      <c r="A195" s="496"/>
      <c r="B195" s="87" t="s">
        <v>148</v>
      </c>
      <c r="C195" s="76" t="s">
        <v>149</v>
      </c>
      <c r="D195" s="77">
        <v>0</v>
      </c>
      <c r="E195" s="78">
        <v>1</v>
      </c>
      <c r="F195" s="498"/>
      <c r="G195" s="76">
        <v>32.549999999999997</v>
      </c>
      <c r="H195" s="53">
        <v>20.3</v>
      </c>
      <c r="I195" s="53">
        <v>24.4</v>
      </c>
      <c r="J195" s="53">
        <v>21.562160054259266</v>
      </c>
    </row>
    <row r="196" spans="1:10">
      <c r="A196" s="496"/>
      <c r="B196" s="87" t="s">
        <v>150</v>
      </c>
      <c r="C196" s="76" t="s">
        <v>151</v>
      </c>
      <c r="D196" s="77">
        <v>1</v>
      </c>
      <c r="E196" s="78">
        <v>1</v>
      </c>
      <c r="F196" s="498"/>
      <c r="G196" s="76">
        <v>32.549999999999997</v>
      </c>
      <c r="H196" s="53">
        <v>21.2</v>
      </c>
      <c r="I196" s="53">
        <v>24.2</v>
      </c>
      <c r="J196" s="53">
        <v>23.427404201133758</v>
      </c>
    </row>
    <row r="197" spans="1:10">
      <c r="A197" s="496"/>
      <c r="B197" s="87" t="s">
        <v>152</v>
      </c>
      <c r="C197" s="76" t="s">
        <v>153</v>
      </c>
      <c r="D197" s="77">
        <v>0</v>
      </c>
      <c r="E197" s="78">
        <v>1</v>
      </c>
      <c r="F197" s="498"/>
      <c r="G197" s="76">
        <v>32.549999999999997</v>
      </c>
      <c r="H197" s="113"/>
      <c r="I197" s="113"/>
      <c r="J197" s="113"/>
    </row>
    <row r="198" spans="1:10">
      <c r="A198" s="496"/>
      <c r="B198" s="87" t="s">
        <v>154</v>
      </c>
      <c r="C198" s="76" t="s">
        <v>155</v>
      </c>
      <c r="D198" s="77">
        <v>0</v>
      </c>
      <c r="E198" s="78">
        <v>1</v>
      </c>
      <c r="F198" s="498"/>
      <c r="G198" s="76">
        <v>32.549999999999997</v>
      </c>
      <c r="H198" s="113">
        <v>18.399999999999999</v>
      </c>
      <c r="I198" s="113">
        <v>99.5</v>
      </c>
      <c r="J198" s="113">
        <v>22.382754481136075</v>
      </c>
    </row>
    <row r="199" spans="1:10">
      <c r="A199" s="496"/>
      <c r="B199" s="87" t="s">
        <v>156</v>
      </c>
      <c r="C199" s="76" t="s">
        <v>157</v>
      </c>
      <c r="D199" s="77">
        <v>0</v>
      </c>
      <c r="E199" s="78">
        <v>1</v>
      </c>
      <c r="F199" s="498"/>
      <c r="G199" s="76">
        <v>32.549999999999997</v>
      </c>
      <c r="H199" s="113">
        <v>18.399999999999999</v>
      </c>
      <c r="I199" s="113">
        <v>25.1</v>
      </c>
      <c r="J199" s="113">
        <v>23.977183057851555</v>
      </c>
    </row>
    <row r="200" spans="1:10">
      <c r="A200" s="496"/>
      <c r="B200" s="87" t="s">
        <v>158</v>
      </c>
      <c r="C200" s="76" t="s">
        <v>159</v>
      </c>
      <c r="D200" s="77">
        <v>0</v>
      </c>
      <c r="E200" s="78">
        <v>1</v>
      </c>
      <c r="F200" s="498"/>
      <c r="G200" s="76">
        <v>32.549999999999997</v>
      </c>
      <c r="H200" s="113">
        <v>17.7</v>
      </c>
      <c r="I200" s="113">
        <v>29.2</v>
      </c>
      <c r="J200" s="113">
        <v>21.609415322508042</v>
      </c>
    </row>
    <row r="201" spans="1:10">
      <c r="A201" s="496"/>
      <c r="B201" s="87" t="s">
        <v>160</v>
      </c>
      <c r="C201" s="76" t="s">
        <v>161</v>
      </c>
      <c r="D201" s="77">
        <v>0</v>
      </c>
      <c r="E201" s="78">
        <v>1</v>
      </c>
      <c r="F201" s="498"/>
      <c r="G201" s="76">
        <v>32.549999999999997</v>
      </c>
      <c r="H201" s="113">
        <v>21.2</v>
      </c>
      <c r="I201" s="113">
        <v>25.6</v>
      </c>
      <c r="J201" s="113">
        <v>22.483006882817978</v>
      </c>
    </row>
    <row r="202" spans="1:10">
      <c r="A202" s="496"/>
      <c r="B202" s="87" t="s">
        <v>162</v>
      </c>
      <c r="C202" s="76" t="s">
        <v>163</v>
      </c>
      <c r="D202" s="77">
        <v>0</v>
      </c>
      <c r="E202" s="78">
        <v>1</v>
      </c>
      <c r="F202" s="499"/>
      <c r="G202" s="76">
        <v>32.549999999999997</v>
      </c>
      <c r="H202" s="113">
        <v>19</v>
      </c>
      <c r="I202" s="113">
        <v>23.8</v>
      </c>
      <c r="J202" s="113">
        <v>21.875528539539498</v>
      </c>
    </row>
    <row r="203" spans="1:10">
      <c r="A203" s="496"/>
      <c r="B203" s="87" t="s">
        <v>164</v>
      </c>
      <c r="C203" s="76" t="s">
        <v>287</v>
      </c>
      <c r="D203" s="77">
        <v>0</v>
      </c>
      <c r="E203" s="78">
        <v>1</v>
      </c>
      <c r="F203" s="497" t="s">
        <v>285</v>
      </c>
      <c r="G203" s="76">
        <v>24.4</v>
      </c>
      <c r="H203" s="113">
        <v>27.5</v>
      </c>
      <c r="I203" s="113">
        <v>30</v>
      </c>
      <c r="J203" s="113">
        <v>28.669886471256667</v>
      </c>
    </row>
    <row r="204" spans="1:10">
      <c r="A204" s="496"/>
      <c r="B204" s="87" t="s">
        <v>165</v>
      </c>
      <c r="C204" s="76" t="s">
        <v>166</v>
      </c>
      <c r="D204" s="77">
        <v>0</v>
      </c>
      <c r="E204" s="78">
        <v>1</v>
      </c>
      <c r="F204" s="499"/>
      <c r="G204" s="76">
        <v>24.4</v>
      </c>
      <c r="H204" s="113">
        <v>26</v>
      </c>
      <c r="I204" s="113">
        <v>28.5</v>
      </c>
      <c r="J204" s="113">
        <v>27.101774468195114</v>
      </c>
    </row>
    <row r="205" spans="1:10">
      <c r="A205" s="496" t="s">
        <v>288</v>
      </c>
      <c r="B205" s="87" t="s">
        <v>167</v>
      </c>
      <c r="C205" s="76" t="s">
        <v>289</v>
      </c>
      <c r="D205" s="77">
        <v>1</v>
      </c>
      <c r="E205" s="78">
        <v>1</v>
      </c>
      <c r="F205" s="497" t="s">
        <v>276</v>
      </c>
      <c r="G205" s="76">
        <v>105.48</v>
      </c>
      <c r="H205" s="51">
        <v>24.8</v>
      </c>
      <c r="I205" s="53">
        <v>26</v>
      </c>
      <c r="J205" s="53">
        <v>25.5657765485998</v>
      </c>
    </row>
    <row r="206" spans="1:10">
      <c r="A206" s="496"/>
      <c r="B206" s="87" t="s">
        <v>168</v>
      </c>
      <c r="C206" s="76" t="s">
        <v>169</v>
      </c>
      <c r="D206" s="77">
        <v>1</v>
      </c>
      <c r="E206" s="78">
        <v>1</v>
      </c>
      <c r="F206" s="498"/>
      <c r="G206" s="76">
        <v>105.48</v>
      </c>
      <c r="H206" s="51">
        <v>24.6</v>
      </c>
      <c r="I206" s="54">
        <v>25.8</v>
      </c>
      <c r="J206" s="54">
        <v>25.342871866513704</v>
      </c>
    </row>
    <row r="207" spans="1:10">
      <c r="A207" s="496"/>
      <c r="B207" s="87" t="s">
        <v>170</v>
      </c>
      <c r="C207" s="76" t="s">
        <v>171</v>
      </c>
      <c r="D207" s="77">
        <v>1</v>
      </c>
      <c r="E207" s="78">
        <v>1</v>
      </c>
      <c r="F207" s="498"/>
      <c r="G207" s="76">
        <v>105.48</v>
      </c>
      <c r="H207" s="51">
        <v>23.9</v>
      </c>
      <c r="I207" s="52">
        <v>25.8</v>
      </c>
      <c r="J207" s="52">
        <v>24.947314233142599</v>
      </c>
    </row>
    <row r="208" spans="1:10">
      <c r="A208" s="496"/>
      <c r="B208" s="87" t="s">
        <v>172</v>
      </c>
      <c r="C208" s="76" t="s">
        <v>173</v>
      </c>
      <c r="D208" s="77">
        <v>1</v>
      </c>
      <c r="E208" s="78">
        <v>1</v>
      </c>
      <c r="F208" s="498"/>
      <c r="G208" s="76">
        <v>105.48</v>
      </c>
      <c r="H208" s="51">
        <v>24</v>
      </c>
      <c r="I208" s="52">
        <v>25.7</v>
      </c>
      <c r="J208" s="52">
        <v>24.962164505328346</v>
      </c>
    </row>
    <row r="209" spans="1:10">
      <c r="A209" s="496"/>
      <c r="B209" s="87" t="s">
        <v>174</v>
      </c>
      <c r="C209" s="76" t="s">
        <v>290</v>
      </c>
      <c r="D209" s="77">
        <v>1</v>
      </c>
      <c r="E209" s="78">
        <v>1</v>
      </c>
      <c r="F209" s="498"/>
      <c r="G209" s="76">
        <v>65</v>
      </c>
      <c r="H209" s="55">
        <v>26.1</v>
      </c>
      <c r="I209" s="55">
        <v>28.3</v>
      </c>
      <c r="J209" s="55">
        <v>27.236223419018422</v>
      </c>
    </row>
    <row r="210" spans="1:10">
      <c r="A210" s="496"/>
      <c r="B210" s="87" t="s">
        <v>175</v>
      </c>
      <c r="C210" s="76" t="s">
        <v>176</v>
      </c>
      <c r="D210" s="77">
        <v>1</v>
      </c>
      <c r="E210" s="78">
        <v>1</v>
      </c>
      <c r="F210" s="499"/>
      <c r="G210" s="76">
        <v>65</v>
      </c>
      <c r="H210" s="55">
        <v>24</v>
      </c>
      <c r="I210" s="55">
        <v>26</v>
      </c>
      <c r="J210" s="55">
        <v>24.516666666666666</v>
      </c>
    </row>
    <row r="211" spans="1:10">
      <c r="A211" s="496"/>
      <c r="B211" s="87" t="s">
        <v>177</v>
      </c>
      <c r="C211" s="76" t="s">
        <v>291</v>
      </c>
      <c r="D211" s="77">
        <v>1</v>
      </c>
      <c r="E211" s="78">
        <v>1</v>
      </c>
      <c r="F211" s="497" t="s">
        <v>285</v>
      </c>
      <c r="G211" s="76">
        <v>16.3</v>
      </c>
      <c r="H211" s="55">
        <v>23.5</v>
      </c>
      <c r="I211" s="55">
        <v>26</v>
      </c>
      <c r="J211" s="55">
        <v>24.533991418670009</v>
      </c>
    </row>
    <row r="212" spans="1:10">
      <c r="A212" s="496"/>
      <c r="B212" s="87" t="s">
        <v>178</v>
      </c>
      <c r="C212" s="76" t="s">
        <v>179</v>
      </c>
      <c r="D212" s="77">
        <v>1</v>
      </c>
      <c r="E212" s="78">
        <v>1</v>
      </c>
      <c r="F212" s="498"/>
      <c r="G212" s="76">
        <v>16.3</v>
      </c>
      <c r="H212" s="55">
        <v>21</v>
      </c>
      <c r="I212" s="55">
        <v>24.5</v>
      </c>
      <c r="J212" s="55">
        <v>22.917691723309261</v>
      </c>
    </row>
    <row r="213" spans="1:10">
      <c r="A213" s="496"/>
      <c r="B213" s="87" t="s">
        <v>180</v>
      </c>
      <c r="C213" s="76" t="s">
        <v>181</v>
      </c>
      <c r="D213" s="77">
        <v>1</v>
      </c>
      <c r="E213" s="78">
        <v>1</v>
      </c>
      <c r="F213" s="498"/>
      <c r="G213" s="76">
        <v>16.3</v>
      </c>
      <c r="H213" s="55">
        <v>18</v>
      </c>
      <c r="I213" s="55">
        <v>29.5</v>
      </c>
      <c r="J213" s="55">
        <v>26.953550372958549</v>
      </c>
    </row>
    <row r="214" spans="1:10">
      <c r="A214" s="496"/>
      <c r="B214" s="87" t="s">
        <v>292</v>
      </c>
      <c r="C214" s="76" t="s">
        <v>182</v>
      </c>
      <c r="D214" s="77">
        <v>1</v>
      </c>
      <c r="E214" s="78">
        <v>1</v>
      </c>
      <c r="F214" s="499"/>
      <c r="G214" s="76">
        <v>35</v>
      </c>
      <c r="H214" s="55">
        <v>24</v>
      </c>
      <c r="I214" s="55">
        <v>26</v>
      </c>
      <c r="J214" s="55">
        <v>24.855475787683329</v>
      </c>
    </row>
    <row r="215" spans="1:10">
      <c r="H215" s="66">
        <f>AVERAGE(H174:H188,H194:H196,H205:H214)</f>
        <v>22.346428571428572</v>
      </c>
      <c r="I215" s="66">
        <f t="shared" ref="I215" si="1">AVERAGE(I174:I188,I194:I196,I205:I214)</f>
        <v>26.403571428571421</v>
      </c>
      <c r="J215" s="114">
        <f>AVERAGE(J174:J188,J194:J196,J205:J214,J192)</f>
        <v>25.086819752862844</v>
      </c>
    </row>
    <row r="216" spans="1:10">
      <c r="J216" s="65" t="s">
        <v>264</v>
      </c>
    </row>
    <row r="217" spans="1:10">
      <c r="A217" s="503" t="s">
        <v>183</v>
      </c>
      <c r="B217" s="503"/>
      <c r="C217" s="503"/>
      <c r="D217" s="503"/>
      <c r="E217" s="503"/>
      <c r="F217" s="503"/>
      <c r="G217" s="503"/>
      <c r="H217" s="503"/>
      <c r="I217" s="503"/>
      <c r="J217" s="504"/>
    </row>
    <row r="218" spans="1:10" ht="34.799999999999997">
      <c r="A218" s="74" t="s">
        <v>270</v>
      </c>
      <c r="B218" s="74" t="s">
        <v>271</v>
      </c>
      <c r="C218" s="74" t="s">
        <v>272</v>
      </c>
      <c r="D218" s="74" t="s">
        <v>108</v>
      </c>
      <c r="E218" s="74" t="s">
        <v>109</v>
      </c>
      <c r="F218" s="75" t="s">
        <v>273</v>
      </c>
      <c r="G218" s="74" t="s">
        <v>110</v>
      </c>
      <c r="H218" s="74" t="s">
        <v>184</v>
      </c>
      <c r="I218" s="74" t="s">
        <v>185</v>
      </c>
      <c r="J218" s="74" t="s">
        <v>186</v>
      </c>
    </row>
    <row r="219" spans="1:10">
      <c r="A219" s="508" t="s">
        <v>274</v>
      </c>
      <c r="B219" s="88" t="s">
        <v>114</v>
      </c>
      <c r="C219" s="89" t="s">
        <v>275</v>
      </c>
      <c r="D219" s="90">
        <v>1</v>
      </c>
      <c r="E219" s="89">
        <v>1</v>
      </c>
      <c r="F219" s="497" t="s">
        <v>276</v>
      </c>
      <c r="G219" s="76">
        <v>105.48</v>
      </c>
      <c r="H219" s="56">
        <v>24.1</v>
      </c>
      <c r="I219" s="57">
        <v>46.6</v>
      </c>
      <c r="J219" s="57">
        <v>36.875899645011756</v>
      </c>
    </row>
    <row r="220" spans="1:10">
      <c r="A220" s="509"/>
      <c r="B220" s="88" t="s">
        <v>115</v>
      </c>
      <c r="C220" s="89" t="s">
        <v>277</v>
      </c>
      <c r="D220" s="90">
        <v>1</v>
      </c>
      <c r="E220" s="89">
        <v>1</v>
      </c>
      <c r="F220" s="498"/>
      <c r="G220" s="76">
        <v>105.48</v>
      </c>
      <c r="H220" s="56">
        <v>24.5</v>
      </c>
      <c r="I220" s="57">
        <v>46.8</v>
      </c>
      <c r="J220" s="57">
        <v>37.004108173574643</v>
      </c>
    </row>
    <row r="221" spans="1:10">
      <c r="A221" s="509"/>
      <c r="B221" s="88" t="s">
        <v>116</v>
      </c>
      <c r="C221" s="89" t="s">
        <v>117</v>
      </c>
      <c r="D221" s="90">
        <v>1</v>
      </c>
      <c r="E221" s="89">
        <v>1</v>
      </c>
      <c r="F221" s="79"/>
      <c r="G221" s="76">
        <v>105.48</v>
      </c>
      <c r="H221" s="56">
        <v>25.7</v>
      </c>
      <c r="I221" s="57">
        <v>45.6</v>
      </c>
      <c r="J221" s="57">
        <v>36.984516441492424</v>
      </c>
    </row>
    <row r="222" spans="1:10">
      <c r="A222" s="510"/>
      <c r="B222" s="88" t="s">
        <v>118</v>
      </c>
      <c r="C222" s="89" t="s">
        <v>119</v>
      </c>
      <c r="D222" s="90">
        <v>1</v>
      </c>
      <c r="E222" s="89">
        <v>1</v>
      </c>
      <c r="F222" s="79"/>
      <c r="G222" s="76">
        <v>105.48</v>
      </c>
      <c r="H222" s="56">
        <v>23.2</v>
      </c>
      <c r="I222" s="57">
        <v>44.2</v>
      </c>
      <c r="J222" s="57">
        <v>35.156717090807682</v>
      </c>
    </row>
    <row r="223" spans="1:10">
      <c r="A223" s="496" t="s">
        <v>278</v>
      </c>
      <c r="B223" s="87" t="s">
        <v>120</v>
      </c>
      <c r="C223" s="76" t="s">
        <v>279</v>
      </c>
      <c r="D223" s="77">
        <v>1</v>
      </c>
      <c r="E223" s="78">
        <v>1</v>
      </c>
      <c r="F223" s="497" t="s">
        <v>276</v>
      </c>
      <c r="G223" s="76">
        <v>105.48</v>
      </c>
      <c r="H223" s="56">
        <v>22.8</v>
      </c>
      <c r="I223" s="57">
        <v>73.8</v>
      </c>
      <c r="J223" s="57">
        <v>37.251804931220235</v>
      </c>
    </row>
    <row r="224" spans="1:10">
      <c r="A224" s="496"/>
      <c r="B224" s="87" t="s">
        <v>121</v>
      </c>
      <c r="C224" s="76" t="s">
        <v>280</v>
      </c>
      <c r="D224" s="77">
        <v>1</v>
      </c>
      <c r="E224" s="78">
        <v>1</v>
      </c>
      <c r="F224" s="498"/>
      <c r="G224" s="76">
        <v>105.48</v>
      </c>
      <c r="H224" s="56">
        <v>22.8</v>
      </c>
      <c r="I224" s="57">
        <v>53.2</v>
      </c>
      <c r="J224" s="57">
        <v>37.175433774739822</v>
      </c>
    </row>
    <row r="225" spans="1:10">
      <c r="A225" s="496"/>
      <c r="B225" s="87" t="s">
        <v>122</v>
      </c>
      <c r="C225" s="76" t="s">
        <v>123</v>
      </c>
      <c r="D225" s="77">
        <v>1</v>
      </c>
      <c r="E225" s="78">
        <v>1</v>
      </c>
      <c r="F225" s="498"/>
      <c r="G225" s="76">
        <v>105.48</v>
      </c>
      <c r="H225" s="56">
        <v>37.299999999999997</v>
      </c>
      <c r="I225" s="57">
        <v>66</v>
      </c>
      <c r="J225" s="57">
        <v>49.840352179488214</v>
      </c>
    </row>
    <row r="226" spans="1:10">
      <c r="A226" s="496"/>
      <c r="B226" s="87" t="s">
        <v>124</v>
      </c>
      <c r="C226" s="76" t="s">
        <v>125</v>
      </c>
      <c r="D226" s="77">
        <v>1</v>
      </c>
      <c r="E226" s="78">
        <v>1</v>
      </c>
      <c r="F226" s="498"/>
      <c r="G226" s="76">
        <v>105.48</v>
      </c>
      <c r="H226" s="56">
        <v>24</v>
      </c>
      <c r="I226" s="57">
        <v>47.5</v>
      </c>
      <c r="J226" s="57">
        <v>40.07350006711988</v>
      </c>
    </row>
    <row r="227" spans="1:10">
      <c r="A227" s="496" t="s">
        <v>282</v>
      </c>
      <c r="B227" s="87" t="s">
        <v>131</v>
      </c>
      <c r="C227" s="76" t="s">
        <v>283</v>
      </c>
      <c r="D227" s="77">
        <v>1</v>
      </c>
      <c r="E227" s="78">
        <v>1</v>
      </c>
      <c r="F227" s="497" t="s">
        <v>276</v>
      </c>
      <c r="G227" s="76">
        <v>105.48</v>
      </c>
      <c r="H227" s="56">
        <v>22.5</v>
      </c>
      <c r="I227" s="57">
        <v>45.8</v>
      </c>
      <c r="J227" s="57">
        <v>38.195485835971027</v>
      </c>
    </row>
    <row r="228" spans="1:10">
      <c r="A228" s="496"/>
      <c r="B228" s="87" t="s">
        <v>132</v>
      </c>
      <c r="C228" s="76" t="s">
        <v>133</v>
      </c>
      <c r="D228" s="77">
        <v>1</v>
      </c>
      <c r="E228" s="78">
        <v>1</v>
      </c>
      <c r="F228" s="498"/>
      <c r="G228" s="76">
        <v>105.48</v>
      </c>
      <c r="H228" s="56">
        <v>21.9</v>
      </c>
      <c r="I228" s="57">
        <v>44.3</v>
      </c>
      <c r="J228" s="57">
        <v>37.074655494835682</v>
      </c>
    </row>
    <row r="229" spans="1:10">
      <c r="A229" s="496"/>
      <c r="B229" s="87" t="s">
        <v>134</v>
      </c>
      <c r="C229" s="76" t="s">
        <v>135</v>
      </c>
      <c r="D229" s="77">
        <v>1</v>
      </c>
      <c r="E229" s="78">
        <v>1</v>
      </c>
      <c r="F229" s="498"/>
      <c r="G229" s="80">
        <v>105.48</v>
      </c>
      <c r="H229" s="56">
        <v>20.9</v>
      </c>
      <c r="I229" s="57">
        <v>39.5</v>
      </c>
      <c r="J229" s="57">
        <v>34.962139230837934</v>
      </c>
    </row>
    <row r="230" spans="1:10">
      <c r="A230" s="496"/>
      <c r="B230" s="87" t="s">
        <v>136</v>
      </c>
      <c r="C230" s="76" t="s">
        <v>137</v>
      </c>
      <c r="D230" s="77">
        <v>1</v>
      </c>
      <c r="E230" s="78">
        <v>1</v>
      </c>
      <c r="F230" s="498"/>
      <c r="G230" s="80">
        <v>105.48</v>
      </c>
      <c r="H230" s="56">
        <v>21.5</v>
      </c>
      <c r="I230" s="57">
        <v>40.6</v>
      </c>
      <c r="J230" s="57">
        <v>35.881135303974233</v>
      </c>
    </row>
    <row r="231" spans="1:10">
      <c r="A231" s="496"/>
      <c r="B231" s="87" t="s">
        <v>138</v>
      </c>
      <c r="C231" s="76" t="s">
        <v>284</v>
      </c>
      <c r="D231" s="76">
        <v>0</v>
      </c>
      <c r="E231" s="78">
        <v>1</v>
      </c>
      <c r="F231" s="78">
        <v>1</v>
      </c>
      <c r="G231" s="76">
        <v>32.549999999999997</v>
      </c>
      <c r="H231" s="58">
        <v>25.8</v>
      </c>
      <c r="I231" s="58">
        <v>31.6</v>
      </c>
      <c r="J231" s="58">
        <v>26.354365316483779</v>
      </c>
    </row>
    <row r="232" spans="1:10">
      <c r="A232" s="496"/>
      <c r="B232" s="87" t="s">
        <v>139</v>
      </c>
      <c r="C232" s="76" t="s">
        <v>140</v>
      </c>
      <c r="D232" s="76">
        <v>0</v>
      </c>
      <c r="E232" s="78">
        <v>1</v>
      </c>
      <c r="F232" s="78">
        <v>1</v>
      </c>
      <c r="G232" s="76">
        <v>32.549999999999997</v>
      </c>
      <c r="H232" s="59">
        <v>27.8</v>
      </c>
      <c r="I232" s="59">
        <v>30.6</v>
      </c>
      <c r="J232" s="59">
        <v>28.507460941612955</v>
      </c>
    </row>
    <row r="233" spans="1:10">
      <c r="A233" s="496"/>
      <c r="B233" s="87" t="s">
        <v>141</v>
      </c>
      <c r="C233" s="76" t="s">
        <v>286</v>
      </c>
      <c r="D233" s="76">
        <v>0</v>
      </c>
      <c r="E233" s="78">
        <v>1</v>
      </c>
      <c r="F233" s="78">
        <v>1</v>
      </c>
      <c r="G233" s="76">
        <v>32.549999999999997</v>
      </c>
      <c r="H233" s="59">
        <v>24.4</v>
      </c>
      <c r="I233" s="59">
        <v>31.6</v>
      </c>
      <c r="J233" s="59">
        <v>25.308625390828567</v>
      </c>
    </row>
    <row r="234" spans="1:10">
      <c r="A234" s="496"/>
      <c r="B234" s="87" t="s">
        <v>142</v>
      </c>
      <c r="C234" s="76" t="s">
        <v>143</v>
      </c>
      <c r="D234" s="76">
        <v>1</v>
      </c>
      <c r="E234" s="78">
        <v>1</v>
      </c>
      <c r="F234" s="78">
        <v>1</v>
      </c>
      <c r="G234" s="76">
        <v>32.549999999999997</v>
      </c>
      <c r="H234" s="60">
        <v>29</v>
      </c>
      <c r="I234" s="60">
        <v>32.799999999999997</v>
      </c>
      <c r="J234" s="60">
        <v>30.690526910212576</v>
      </c>
    </row>
    <row r="235" spans="1:10">
      <c r="A235" s="496"/>
      <c r="B235" s="87" t="s">
        <v>144</v>
      </c>
      <c r="C235" s="76" t="s">
        <v>145</v>
      </c>
      <c r="D235" s="76">
        <v>0</v>
      </c>
      <c r="E235" s="78">
        <v>1</v>
      </c>
      <c r="F235" s="78">
        <v>1</v>
      </c>
      <c r="G235" s="76">
        <v>32.549999999999997</v>
      </c>
      <c r="H235" s="59">
        <v>24.4</v>
      </c>
      <c r="I235" s="59">
        <v>32.5</v>
      </c>
      <c r="J235" s="59">
        <v>25.450364206403666</v>
      </c>
    </row>
    <row r="236" spans="1:10">
      <c r="A236" s="496"/>
      <c r="B236" s="87" t="s">
        <v>146</v>
      </c>
      <c r="C236" s="76" t="s">
        <v>147</v>
      </c>
      <c r="D236" s="76">
        <v>1</v>
      </c>
      <c r="E236" s="78">
        <v>1</v>
      </c>
      <c r="F236" s="78">
        <v>1</v>
      </c>
      <c r="G236" s="76">
        <v>32.549999999999997</v>
      </c>
      <c r="H236" s="60">
        <v>28.6</v>
      </c>
      <c r="I236" s="60">
        <v>32.799999999999997</v>
      </c>
      <c r="J236" s="60">
        <v>31.681985326236472</v>
      </c>
    </row>
    <row r="237" spans="1:10">
      <c r="A237" s="496"/>
      <c r="B237" s="87" t="s">
        <v>148</v>
      </c>
      <c r="C237" s="76" t="s">
        <v>149</v>
      </c>
      <c r="D237" s="76">
        <v>0</v>
      </c>
      <c r="E237" s="78">
        <v>1</v>
      </c>
      <c r="F237" s="78">
        <v>1</v>
      </c>
      <c r="G237" s="76">
        <v>32.549999999999997</v>
      </c>
      <c r="H237" s="60">
        <v>30.1</v>
      </c>
      <c r="I237" s="60">
        <v>32.5</v>
      </c>
      <c r="J237" s="60">
        <v>31.839196380938393</v>
      </c>
    </row>
    <row r="238" spans="1:10">
      <c r="A238" s="496"/>
      <c r="B238" s="87" t="s">
        <v>150</v>
      </c>
      <c r="C238" s="76" t="s">
        <v>151</v>
      </c>
      <c r="D238" s="76">
        <v>1</v>
      </c>
      <c r="E238" s="78">
        <v>1</v>
      </c>
      <c r="F238" s="78">
        <v>1</v>
      </c>
      <c r="G238" s="76">
        <v>32.549999999999997</v>
      </c>
      <c r="H238" s="60">
        <v>30.7</v>
      </c>
      <c r="I238" s="60">
        <v>32.6</v>
      </c>
      <c r="J238" s="60">
        <v>31.343251116148533</v>
      </c>
    </row>
    <row r="239" spans="1:10">
      <c r="A239" s="496"/>
      <c r="B239" s="87" t="s">
        <v>152</v>
      </c>
      <c r="C239" s="76" t="s">
        <v>153</v>
      </c>
      <c r="D239" s="76">
        <v>0</v>
      </c>
      <c r="E239" s="78">
        <v>1</v>
      </c>
      <c r="F239" s="78">
        <v>1</v>
      </c>
      <c r="G239" s="76">
        <v>32.549999999999997</v>
      </c>
      <c r="H239" s="59"/>
      <c r="I239" s="59"/>
      <c r="J239" s="59"/>
    </row>
    <row r="240" spans="1:10">
      <c r="A240" s="496"/>
      <c r="B240" s="87" t="s">
        <v>154</v>
      </c>
      <c r="C240" s="76" t="s">
        <v>155</v>
      </c>
      <c r="D240" s="76">
        <v>0</v>
      </c>
      <c r="E240" s="78">
        <v>1</v>
      </c>
      <c r="F240" s="78">
        <v>1</v>
      </c>
      <c r="G240" s="76">
        <v>32.549999999999997</v>
      </c>
      <c r="H240" s="59">
        <v>28.4</v>
      </c>
      <c r="I240" s="59">
        <v>29.9</v>
      </c>
      <c r="J240" s="59">
        <v>29.630716247788403</v>
      </c>
    </row>
    <row r="241" spans="1:10">
      <c r="A241" s="496"/>
      <c r="B241" s="87" t="s">
        <v>156</v>
      </c>
      <c r="C241" s="76" t="s">
        <v>157</v>
      </c>
      <c r="D241" s="76">
        <v>0</v>
      </c>
      <c r="E241" s="78">
        <v>1</v>
      </c>
      <c r="F241" s="78">
        <v>1</v>
      </c>
      <c r="G241" s="76">
        <v>32.549999999999997</v>
      </c>
      <c r="H241" s="59">
        <v>26.3</v>
      </c>
      <c r="I241" s="59">
        <v>30.6</v>
      </c>
      <c r="J241" s="59">
        <v>26.935364994203944</v>
      </c>
    </row>
    <row r="242" spans="1:10">
      <c r="A242" s="496"/>
      <c r="B242" s="87" t="s">
        <v>158</v>
      </c>
      <c r="C242" s="76" t="s">
        <v>159</v>
      </c>
      <c r="D242" s="76">
        <v>0</v>
      </c>
      <c r="E242" s="78">
        <v>1</v>
      </c>
      <c r="F242" s="78">
        <v>1</v>
      </c>
      <c r="G242" s="76">
        <v>32.549999999999997</v>
      </c>
      <c r="H242" s="59">
        <v>25.6</v>
      </c>
      <c r="I242" s="59">
        <v>34</v>
      </c>
      <c r="J242" s="59">
        <v>30.625999679618541</v>
      </c>
    </row>
    <row r="243" spans="1:10">
      <c r="A243" s="496"/>
      <c r="B243" s="87" t="s">
        <v>160</v>
      </c>
      <c r="C243" s="76" t="s">
        <v>161</v>
      </c>
      <c r="D243" s="76">
        <v>0</v>
      </c>
      <c r="E243" s="78">
        <v>1</v>
      </c>
      <c r="F243" s="78">
        <v>1</v>
      </c>
      <c r="G243" s="76">
        <v>32.549999999999997</v>
      </c>
      <c r="H243" s="59">
        <v>27.7</v>
      </c>
      <c r="I243" s="59">
        <v>30.4</v>
      </c>
      <c r="J243" s="59">
        <v>29.382356535905735</v>
      </c>
    </row>
    <row r="244" spans="1:10">
      <c r="A244" s="496"/>
      <c r="B244" s="87" t="s">
        <v>162</v>
      </c>
      <c r="C244" s="76" t="s">
        <v>163</v>
      </c>
      <c r="D244" s="76">
        <v>0</v>
      </c>
      <c r="E244" s="78">
        <v>1</v>
      </c>
      <c r="F244" s="78">
        <v>1</v>
      </c>
      <c r="G244" s="76">
        <v>32.549999999999997</v>
      </c>
      <c r="H244" s="59">
        <v>27</v>
      </c>
      <c r="I244" s="59">
        <v>30.2</v>
      </c>
      <c r="J244" s="59">
        <v>28.319564185557223</v>
      </c>
    </row>
    <row r="245" spans="1:10">
      <c r="A245" s="496"/>
      <c r="B245" s="87" t="s">
        <v>164</v>
      </c>
      <c r="C245" s="76" t="s">
        <v>287</v>
      </c>
      <c r="D245" s="76">
        <v>0</v>
      </c>
      <c r="E245" s="78">
        <v>1</v>
      </c>
      <c r="F245" s="78">
        <v>1</v>
      </c>
      <c r="G245" s="76">
        <v>24.4</v>
      </c>
      <c r="H245" s="59">
        <v>26</v>
      </c>
      <c r="I245" s="59">
        <v>27.5</v>
      </c>
      <c r="J245" s="59">
        <v>26.918421650104822</v>
      </c>
    </row>
    <row r="246" spans="1:10">
      <c r="A246" s="496"/>
      <c r="B246" s="87" t="s">
        <v>165</v>
      </c>
      <c r="C246" s="76" t="s">
        <v>166</v>
      </c>
      <c r="D246" s="76">
        <v>0</v>
      </c>
      <c r="E246" s="78">
        <v>1</v>
      </c>
      <c r="F246" s="78">
        <v>1</v>
      </c>
      <c r="G246" s="76">
        <v>24.4</v>
      </c>
      <c r="H246" s="59">
        <v>25.5</v>
      </c>
      <c r="I246" s="59">
        <v>27.5</v>
      </c>
      <c r="J246" s="59">
        <v>26.559773141544955</v>
      </c>
    </row>
    <row r="247" spans="1:10">
      <c r="A247" s="496" t="s">
        <v>288</v>
      </c>
      <c r="B247" s="87" t="s">
        <v>167</v>
      </c>
      <c r="C247" s="76" t="s">
        <v>289</v>
      </c>
      <c r="D247" s="77">
        <v>1</v>
      </c>
      <c r="E247" s="78">
        <v>1</v>
      </c>
      <c r="F247" s="497" t="s">
        <v>276</v>
      </c>
      <c r="G247" s="76">
        <v>105.48</v>
      </c>
      <c r="H247" s="56">
        <v>25.7</v>
      </c>
      <c r="I247" s="60">
        <v>39.700000000000003</v>
      </c>
      <c r="J247" s="60">
        <v>35.190372604446353</v>
      </c>
    </row>
    <row r="248" spans="1:10">
      <c r="A248" s="496"/>
      <c r="B248" s="87" t="s">
        <v>168</v>
      </c>
      <c r="C248" s="76" t="s">
        <v>169</v>
      </c>
      <c r="D248" s="77">
        <v>1</v>
      </c>
      <c r="E248" s="78">
        <v>1</v>
      </c>
      <c r="F248" s="498"/>
      <c r="G248" s="76">
        <v>105.48</v>
      </c>
      <c r="H248" s="56">
        <v>28.7</v>
      </c>
      <c r="I248" s="61">
        <v>42.6</v>
      </c>
      <c r="J248" s="61">
        <v>38.274867758099141</v>
      </c>
    </row>
    <row r="249" spans="1:10">
      <c r="A249" s="496"/>
      <c r="B249" s="87" t="s">
        <v>170</v>
      </c>
      <c r="C249" s="76" t="s">
        <v>171</v>
      </c>
      <c r="D249" s="77">
        <v>1</v>
      </c>
      <c r="E249" s="78">
        <v>1</v>
      </c>
      <c r="F249" s="498"/>
      <c r="G249" s="76">
        <v>105.48</v>
      </c>
      <c r="H249" s="56">
        <v>27.4</v>
      </c>
      <c r="I249" s="57">
        <v>45.8</v>
      </c>
      <c r="J249" s="57">
        <v>40.447616220029126</v>
      </c>
    </row>
    <row r="250" spans="1:10">
      <c r="A250" s="496"/>
      <c r="B250" s="87" t="s">
        <v>172</v>
      </c>
      <c r="C250" s="76" t="s">
        <v>173</v>
      </c>
      <c r="D250" s="77">
        <v>1</v>
      </c>
      <c r="E250" s="78">
        <v>1</v>
      </c>
      <c r="F250" s="498"/>
      <c r="G250" s="76">
        <v>105.48</v>
      </c>
      <c r="H250" s="56">
        <v>27</v>
      </c>
      <c r="I250" s="57">
        <v>45.3</v>
      </c>
      <c r="J250" s="57">
        <v>40.088349265555607</v>
      </c>
    </row>
    <row r="251" spans="1:10">
      <c r="A251" s="496"/>
      <c r="B251" s="87" t="s">
        <v>174</v>
      </c>
      <c r="C251" s="76" t="s">
        <v>290</v>
      </c>
      <c r="D251" s="77">
        <v>1</v>
      </c>
      <c r="E251" s="78">
        <v>1</v>
      </c>
      <c r="F251" s="498"/>
      <c r="G251" s="76">
        <v>65</v>
      </c>
      <c r="H251" s="62">
        <v>30.6</v>
      </c>
      <c r="I251" s="62">
        <v>40.6</v>
      </c>
      <c r="J251" s="62">
        <v>37.47478447889106</v>
      </c>
    </row>
    <row r="252" spans="1:10">
      <c r="A252" s="496"/>
      <c r="B252" s="87" t="s">
        <v>175</v>
      </c>
      <c r="C252" s="76" t="s">
        <v>176</v>
      </c>
      <c r="D252" s="77">
        <v>1</v>
      </c>
      <c r="E252" s="78">
        <v>1</v>
      </c>
      <c r="F252" s="499"/>
      <c r="G252" s="76">
        <v>65</v>
      </c>
      <c r="H252" s="62">
        <v>29</v>
      </c>
      <c r="I252" s="62">
        <v>30</v>
      </c>
      <c r="J252" s="62">
        <v>29.322365104728199</v>
      </c>
    </row>
    <row r="253" spans="1:10">
      <c r="A253" s="496"/>
      <c r="B253" s="87" t="s">
        <v>177</v>
      </c>
      <c r="C253" s="76" t="s">
        <v>291</v>
      </c>
      <c r="D253" s="77">
        <v>1</v>
      </c>
      <c r="E253" s="78">
        <v>1</v>
      </c>
      <c r="F253" s="497" t="s">
        <v>285</v>
      </c>
      <c r="G253" s="76">
        <v>16.3</v>
      </c>
      <c r="H253" s="62">
        <v>30.5</v>
      </c>
      <c r="I253" s="62">
        <v>34.5</v>
      </c>
      <c r="J253" s="62">
        <v>31.691676637256574</v>
      </c>
    </row>
    <row r="254" spans="1:10">
      <c r="A254" s="496"/>
      <c r="B254" s="87" t="s">
        <v>178</v>
      </c>
      <c r="C254" s="76" t="s">
        <v>179</v>
      </c>
      <c r="D254" s="77">
        <v>1</v>
      </c>
      <c r="E254" s="78">
        <v>1</v>
      </c>
      <c r="F254" s="498"/>
      <c r="G254" s="76">
        <v>16.3</v>
      </c>
      <c r="H254" s="62">
        <v>31</v>
      </c>
      <c r="I254" s="62">
        <v>40.5</v>
      </c>
      <c r="J254" s="62">
        <v>34.619817345292134</v>
      </c>
    </row>
    <row r="255" spans="1:10">
      <c r="A255" s="496"/>
      <c r="B255" s="87" t="s">
        <v>180</v>
      </c>
      <c r="C255" s="76" t="s">
        <v>181</v>
      </c>
      <c r="D255" s="77">
        <v>1</v>
      </c>
      <c r="E255" s="78">
        <v>1</v>
      </c>
      <c r="F255" s="498"/>
      <c r="G255" s="76">
        <v>16.3</v>
      </c>
      <c r="H255" s="62">
        <v>28</v>
      </c>
      <c r="I255" s="62">
        <v>45</v>
      </c>
      <c r="J255" s="62">
        <v>30.126522635332051</v>
      </c>
    </row>
    <row r="256" spans="1:10">
      <c r="A256" s="496"/>
      <c r="B256" s="87" t="s">
        <v>292</v>
      </c>
      <c r="C256" s="76" t="s">
        <v>182</v>
      </c>
      <c r="D256" s="77">
        <v>1</v>
      </c>
      <c r="E256" s="78">
        <v>1</v>
      </c>
      <c r="F256" s="499"/>
      <c r="G256" s="76">
        <v>35</v>
      </c>
      <c r="H256" s="62">
        <v>31.5</v>
      </c>
      <c r="I256" s="62">
        <v>50.1</v>
      </c>
      <c r="J256" s="62">
        <v>44.617185412817626</v>
      </c>
    </row>
    <row r="257" spans="1:10">
      <c r="A257" s="496" t="s">
        <v>278</v>
      </c>
      <c r="B257" s="87" t="s">
        <v>126</v>
      </c>
      <c r="C257" s="76" t="s">
        <v>281</v>
      </c>
      <c r="D257" s="77">
        <v>1</v>
      </c>
      <c r="E257" s="78">
        <v>1</v>
      </c>
      <c r="F257" s="91"/>
      <c r="G257" s="76">
        <v>70.319999999999993</v>
      </c>
      <c r="H257" s="62">
        <v>25.2</v>
      </c>
      <c r="I257" s="62">
        <v>56.1</v>
      </c>
      <c r="J257" s="62">
        <v>38.445655165716552</v>
      </c>
    </row>
    <row r="258" spans="1:10">
      <c r="A258" s="496"/>
      <c r="B258" s="87" t="s">
        <v>127</v>
      </c>
      <c r="C258" s="76" t="s">
        <v>128</v>
      </c>
      <c r="D258" s="77">
        <v>1</v>
      </c>
      <c r="E258" s="78">
        <v>1</v>
      </c>
      <c r="F258" s="91"/>
      <c r="G258" s="76">
        <v>70.319999999999993</v>
      </c>
      <c r="H258" s="62">
        <v>25</v>
      </c>
      <c r="I258" s="62">
        <v>56.2</v>
      </c>
      <c r="J258" s="62">
        <v>37.517854848939081</v>
      </c>
    </row>
    <row r="259" spans="1:10">
      <c r="A259" s="496"/>
      <c r="B259" s="87" t="s">
        <v>129</v>
      </c>
      <c r="C259" s="76" t="s">
        <v>130</v>
      </c>
      <c r="D259" s="77">
        <v>1</v>
      </c>
      <c r="E259" s="78">
        <v>1</v>
      </c>
      <c r="F259" s="91"/>
      <c r="G259" s="76">
        <v>70.319999999999993</v>
      </c>
      <c r="H259" s="62">
        <v>24.9</v>
      </c>
      <c r="I259" s="62">
        <v>55.1</v>
      </c>
      <c r="J259" s="62">
        <v>37.871109473847063</v>
      </c>
    </row>
    <row r="260" spans="1:10">
      <c r="H260" s="92">
        <f>AVERAGE(H219:H230,H236:H238,H247:H259)</f>
        <v>26.610714285714288</v>
      </c>
      <c r="I260" s="92">
        <f>AVERAGE(I219:I230,I236:I238,I247:I259)</f>
        <v>45.474999999999987</v>
      </c>
      <c r="J260" s="115">
        <f>AVERAGE(J219:J230,J236:J238,J247:J259,J234)</f>
        <v>36.473064994950349</v>
      </c>
    </row>
    <row r="261" spans="1:10">
      <c r="J261" s="116" t="s">
        <v>265</v>
      </c>
    </row>
    <row r="262" spans="1:10">
      <c r="A262" s="511" t="s">
        <v>293</v>
      </c>
      <c r="B262" s="511"/>
      <c r="C262" s="512" t="s">
        <v>187</v>
      </c>
      <c r="D262" s="513"/>
      <c r="E262" s="513" t="s">
        <v>188</v>
      </c>
      <c r="F262" s="513"/>
      <c r="G262" s="513" t="s">
        <v>189</v>
      </c>
      <c r="H262" s="513"/>
      <c r="I262" s="513" t="s">
        <v>190</v>
      </c>
      <c r="J262" s="513"/>
    </row>
    <row r="263" spans="1:10" ht="34.799999999999997">
      <c r="A263" s="511"/>
      <c r="B263" s="511"/>
      <c r="C263" s="103" t="s">
        <v>191</v>
      </c>
      <c r="D263" s="102" t="s">
        <v>192</v>
      </c>
      <c r="E263" s="102" t="s">
        <v>191</v>
      </c>
      <c r="F263" s="102" t="s">
        <v>192</v>
      </c>
      <c r="G263" s="102" t="s">
        <v>191</v>
      </c>
      <c r="H263" s="102" t="s">
        <v>192</v>
      </c>
      <c r="I263" s="102" t="s">
        <v>191</v>
      </c>
      <c r="J263" s="102" t="s">
        <v>192</v>
      </c>
    </row>
    <row r="264" spans="1:10">
      <c r="A264" s="500" t="s">
        <v>294</v>
      </c>
      <c r="B264" s="101" t="s">
        <v>295</v>
      </c>
      <c r="C264" s="94"/>
      <c r="D264" s="93"/>
      <c r="E264" s="94"/>
      <c r="F264" s="93"/>
      <c r="G264" s="94"/>
      <c r="H264" s="93"/>
      <c r="I264" s="94"/>
      <c r="J264" s="93"/>
    </row>
    <row r="265" spans="1:10">
      <c r="A265" s="501"/>
      <c r="B265" s="95" t="s">
        <v>193</v>
      </c>
      <c r="C265" s="94"/>
      <c r="D265" s="93"/>
      <c r="E265" s="94"/>
      <c r="F265" s="93"/>
      <c r="G265" s="94"/>
      <c r="H265" s="93"/>
      <c r="I265" s="94"/>
      <c r="J265" s="93"/>
    </row>
    <row r="266" spans="1:10">
      <c r="A266" s="501"/>
      <c r="B266" s="95" t="s">
        <v>194</v>
      </c>
      <c r="C266" s="94"/>
      <c r="D266" s="93"/>
      <c r="E266" s="94"/>
      <c r="F266" s="93"/>
      <c r="G266" s="94"/>
      <c r="H266" s="93"/>
      <c r="I266" s="94"/>
      <c r="J266" s="93"/>
    </row>
    <row r="267" spans="1:10">
      <c r="A267" s="501"/>
      <c r="B267" s="95" t="s">
        <v>195</v>
      </c>
      <c r="C267" s="94"/>
      <c r="D267" s="93"/>
      <c r="E267" s="94"/>
      <c r="F267" s="93"/>
      <c r="G267" s="94"/>
      <c r="H267" s="93"/>
      <c r="I267" s="94"/>
      <c r="J267" s="93"/>
    </row>
    <row r="268" spans="1:10">
      <c r="A268" s="501"/>
      <c r="B268" s="95" t="s">
        <v>196</v>
      </c>
      <c r="C268" s="94"/>
      <c r="D268" s="93"/>
      <c r="E268" s="94"/>
      <c r="F268" s="93"/>
      <c r="G268" s="94"/>
      <c r="H268" s="93"/>
      <c r="I268" s="94"/>
      <c r="J268" s="93"/>
    </row>
    <row r="269" spans="1:10">
      <c r="A269" s="501"/>
      <c r="B269" s="95" t="s">
        <v>197</v>
      </c>
      <c r="C269" s="94"/>
      <c r="D269" s="93"/>
      <c r="E269" s="94"/>
      <c r="F269" s="93"/>
      <c r="G269" s="94"/>
      <c r="H269" s="93"/>
      <c r="I269" s="94"/>
      <c r="J269" s="93"/>
    </row>
    <row r="270" spans="1:10">
      <c r="A270" s="501"/>
      <c r="B270" s="95" t="s">
        <v>198</v>
      </c>
      <c r="C270" s="94"/>
      <c r="D270" s="93"/>
      <c r="E270" s="94"/>
      <c r="F270" s="93"/>
      <c r="G270" s="94"/>
      <c r="H270" s="93"/>
      <c r="I270" s="94"/>
      <c r="J270" s="93"/>
    </row>
    <row r="271" spans="1:10">
      <c r="A271" s="501"/>
      <c r="B271" s="95" t="s">
        <v>199</v>
      </c>
      <c r="C271" s="94"/>
      <c r="D271" s="93"/>
      <c r="E271" s="94"/>
      <c r="F271" s="93"/>
      <c r="G271" s="94"/>
      <c r="H271" s="93"/>
      <c r="I271" s="94"/>
      <c r="J271" s="93"/>
    </row>
    <row r="272" spans="1:10">
      <c r="A272" s="501"/>
      <c r="B272" s="95" t="s">
        <v>200</v>
      </c>
      <c r="C272" s="94"/>
      <c r="D272" s="93"/>
      <c r="E272" s="94"/>
      <c r="F272" s="93"/>
      <c r="G272" s="94"/>
      <c r="H272" s="93"/>
      <c r="I272" s="99"/>
      <c r="J272" s="100"/>
    </row>
    <row r="273" spans="1:10">
      <c r="A273" s="501"/>
      <c r="B273" s="95" t="s">
        <v>201</v>
      </c>
      <c r="C273" s="94"/>
      <c r="D273" s="93"/>
      <c r="E273" s="99"/>
      <c r="F273" s="100"/>
      <c r="G273" s="94"/>
      <c r="H273" s="93"/>
      <c r="I273" s="99"/>
      <c r="J273" s="100"/>
    </row>
    <row r="274" spans="1:10">
      <c r="A274" s="501"/>
      <c r="B274" s="95" t="s">
        <v>202</v>
      </c>
      <c r="C274" s="94"/>
      <c r="D274" s="93"/>
      <c r="E274" s="99"/>
      <c r="F274" s="100"/>
      <c r="G274" s="94"/>
      <c r="H274" s="93"/>
      <c r="I274" s="99"/>
      <c r="J274" s="100"/>
    </row>
    <row r="275" spans="1:10">
      <c r="A275" s="501"/>
      <c r="B275" s="95" t="s">
        <v>203</v>
      </c>
      <c r="C275" s="94"/>
      <c r="D275" s="93"/>
      <c r="E275" s="99"/>
      <c r="F275" s="100"/>
      <c r="G275" s="94"/>
      <c r="H275" s="93"/>
      <c r="I275" s="99"/>
      <c r="J275" s="100"/>
    </row>
    <row r="276" spans="1:10">
      <c r="A276" s="501"/>
      <c r="B276" s="95" t="s">
        <v>204</v>
      </c>
      <c r="C276" s="94"/>
      <c r="D276" s="93"/>
      <c r="E276" s="99"/>
      <c r="F276" s="100"/>
      <c r="G276" s="94"/>
      <c r="H276" s="93"/>
      <c r="I276" s="99"/>
      <c r="J276" s="100"/>
    </row>
    <row r="277" spans="1:10">
      <c r="A277" s="501"/>
      <c r="B277" s="95" t="s">
        <v>205</v>
      </c>
      <c r="C277" s="99"/>
      <c r="D277" s="100"/>
      <c r="E277" s="99"/>
      <c r="F277" s="100"/>
      <c r="G277" s="94"/>
      <c r="H277" s="93"/>
      <c r="I277" s="99"/>
      <c r="J277" s="100"/>
    </row>
    <row r="278" spans="1:10">
      <c r="A278" s="501"/>
      <c r="B278" s="95" t="s">
        <v>206</v>
      </c>
      <c r="C278" s="99"/>
      <c r="D278" s="100"/>
      <c r="E278" s="99"/>
      <c r="F278" s="100"/>
      <c r="G278" s="94"/>
      <c r="H278" s="93"/>
      <c r="I278" s="99"/>
      <c r="J278" s="100"/>
    </row>
    <row r="279" spans="1:10">
      <c r="A279" s="501"/>
      <c r="B279" s="95" t="s">
        <v>207</v>
      </c>
      <c r="C279" s="99"/>
      <c r="D279" s="100"/>
      <c r="E279" s="99"/>
      <c r="F279" s="100"/>
      <c r="G279" s="94"/>
      <c r="H279" s="93"/>
      <c r="I279" s="99"/>
      <c r="J279" s="100"/>
    </row>
    <row r="280" spans="1:10">
      <c r="A280" s="501"/>
      <c r="B280" s="96" t="s">
        <v>296</v>
      </c>
      <c r="C280" s="94"/>
      <c r="D280" s="93"/>
      <c r="E280" s="94"/>
      <c r="F280" s="93"/>
      <c r="G280" s="94"/>
      <c r="H280" s="93"/>
      <c r="I280" s="94"/>
      <c r="J280" s="93"/>
    </row>
    <row r="281" spans="1:10">
      <c r="A281" s="501"/>
      <c r="B281" s="96" t="s">
        <v>208</v>
      </c>
      <c r="C281" s="94"/>
      <c r="D281" s="93"/>
      <c r="E281" s="94"/>
      <c r="F281" s="93"/>
      <c r="G281" s="94"/>
      <c r="H281" s="93"/>
      <c r="I281" s="94"/>
      <c r="J281" s="93"/>
    </row>
    <row r="282" spans="1:10">
      <c r="A282" s="501"/>
      <c r="B282" s="96" t="s">
        <v>209</v>
      </c>
      <c r="C282" s="94"/>
      <c r="D282" s="93"/>
      <c r="E282" s="94"/>
      <c r="F282" s="93"/>
      <c r="G282" s="94"/>
      <c r="H282" s="93"/>
      <c r="I282" s="94"/>
      <c r="J282" s="93"/>
    </row>
    <row r="283" spans="1:10">
      <c r="A283" s="501"/>
      <c r="B283" s="96" t="s">
        <v>210</v>
      </c>
      <c r="C283" s="94"/>
      <c r="D283" s="93"/>
      <c r="E283" s="94"/>
      <c r="F283" s="93"/>
      <c r="G283" s="94"/>
      <c r="H283" s="93"/>
      <c r="I283" s="94"/>
      <c r="J283" s="93"/>
    </row>
    <row r="284" spans="1:10">
      <c r="A284" s="501"/>
      <c r="B284" s="96" t="s">
        <v>211</v>
      </c>
      <c r="C284" s="94"/>
      <c r="D284" s="93"/>
      <c r="E284" s="94"/>
      <c r="F284" s="93"/>
      <c r="G284" s="94"/>
      <c r="H284" s="93"/>
      <c r="I284" s="94"/>
      <c r="J284" s="93"/>
    </row>
    <row r="285" spans="1:10">
      <c r="A285" s="501"/>
      <c r="B285" s="96" t="s">
        <v>212</v>
      </c>
      <c r="C285" s="94"/>
      <c r="D285" s="93"/>
      <c r="E285" s="94"/>
      <c r="F285" s="93"/>
      <c r="G285" s="94"/>
      <c r="H285" s="93"/>
      <c r="I285" s="94"/>
      <c r="J285" s="93"/>
    </row>
    <row r="286" spans="1:10">
      <c r="A286" s="501"/>
      <c r="B286" s="96" t="s">
        <v>213</v>
      </c>
      <c r="C286" s="94"/>
      <c r="D286" s="93"/>
      <c r="E286" s="94"/>
      <c r="F286" s="93"/>
      <c r="G286" s="94"/>
      <c r="H286" s="93"/>
      <c r="I286" s="94"/>
      <c r="J286" s="93"/>
    </row>
    <row r="287" spans="1:10">
      <c r="A287" s="501"/>
      <c r="B287" s="96" t="s">
        <v>214</v>
      </c>
      <c r="C287" s="94"/>
      <c r="D287" s="93"/>
      <c r="E287" s="94"/>
      <c r="F287" s="93"/>
      <c r="G287" s="94"/>
      <c r="H287" s="93"/>
      <c r="I287" s="94"/>
      <c r="J287" s="93"/>
    </row>
    <row r="288" spans="1:10">
      <c r="A288" s="501"/>
      <c r="B288" s="96" t="s">
        <v>215</v>
      </c>
      <c r="C288" s="94"/>
      <c r="D288" s="93"/>
      <c r="E288" s="94"/>
      <c r="F288" s="93"/>
      <c r="G288" s="94"/>
      <c r="H288" s="93"/>
      <c r="I288" s="94"/>
      <c r="J288" s="93"/>
    </row>
    <row r="289" spans="1:10">
      <c r="A289" s="501"/>
      <c r="B289" s="96" t="s">
        <v>216</v>
      </c>
      <c r="C289" s="94"/>
      <c r="D289" s="93"/>
      <c r="E289" s="94"/>
      <c r="F289" s="93"/>
      <c r="G289" s="94"/>
      <c r="H289" s="93"/>
      <c r="I289" s="94"/>
      <c r="J289" s="93"/>
    </row>
    <row r="290" spans="1:10">
      <c r="A290" s="501"/>
      <c r="B290" s="96" t="s">
        <v>217</v>
      </c>
      <c r="C290" s="94"/>
      <c r="D290" s="93"/>
      <c r="E290" s="94"/>
      <c r="F290" s="93"/>
      <c r="G290" s="94"/>
      <c r="H290" s="93"/>
      <c r="I290" s="99"/>
      <c r="J290" s="100"/>
    </row>
    <row r="291" spans="1:10">
      <c r="A291" s="501"/>
      <c r="B291" s="96" t="s">
        <v>218</v>
      </c>
      <c r="C291" s="94"/>
      <c r="D291" s="93"/>
      <c r="E291" s="94"/>
      <c r="F291" s="93"/>
      <c r="G291" s="94"/>
      <c r="H291" s="93"/>
      <c r="I291" s="99"/>
      <c r="J291" s="100"/>
    </row>
    <row r="292" spans="1:10">
      <c r="A292" s="501"/>
      <c r="B292" s="96" t="s">
        <v>219</v>
      </c>
      <c r="C292" s="94"/>
      <c r="D292" s="93"/>
      <c r="E292" s="94"/>
      <c r="F292" s="93"/>
      <c r="G292" s="94"/>
      <c r="H292" s="93"/>
      <c r="I292" s="99"/>
      <c r="J292" s="100"/>
    </row>
    <row r="293" spans="1:10">
      <c r="A293" s="501"/>
      <c r="B293" s="96" t="s">
        <v>220</v>
      </c>
      <c r="C293" s="94"/>
      <c r="D293" s="93"/>
      <c r="E293" s="94"/>
      <c r="F293" s="93"/>
      <c r="G293" s="99"/>
      <c r="H293" s="100"/>
      <c r="I293" s="99"/>
      <c r="J293" s="100"/>
    </row>
    <row r="294" spans="1:10">
      <c r="A294" s="501"/>
      <c r="B294" s="96" t="s">
        <v>297</v>
      </c>
      <c r="C294" s="94"/>
      <c r="D294" s="93"/>
      <c r="E294" s="99"/>
      <c r="F294" s="100"/>
      <c r="G294" s="99"/>
      <c r="H294" s="100"/>
      <c r="I294" s="99"/>
      <c r="J294" s="100"/>
    </row>
    <row r="295" spans="1:10">
      <c r="A295" s="501"/>
      <c r="B295" s="96" t="s">
        <v>221</v>
      </c>
      <c r="C295" s="94"/>
      <c r="D295" s="93"/>
      <c r="E295" s="99"/>
      <c r="F295" s="100"/>
      <c r="G295" s="99"/>
      <c r="H295" s="100"/>
      <c r="I295" s="99"/>
      <c r="J295" s="100"/>
    </row>
    <row r="296" spans="1:10">
      <c r="A296" s="501"/>
      <c r="B296" s="97" t="s">
        <v>298</v>
      </c>
      <c r="C296" s="94"/>
      <c r="D296" s="93"/>
      <c r="E296" s="94"/>
      <c r="F296" s="93"/>
      <c r="G296" s="94"/>
      <c r="H296" s="93"/>
      <c r="I296" s="94"/>
      <c r="J296" s="93"/>
    </row>
    <row r="297" spans="1:10">
      <c r="A297" s="501"/>
      <c r="B297" s="97" t="s">
        <v>222</v>
      </c>
      <c r="C297" s="94"/>
      <c r="D297" s="93"/>
      <c r="E297" s="94"/>
      <c r="F297" s="93"/>
      <c r="G297" s="94"/>
      <c r="H297" s="93"/>
      <c r="I297" s="94"/>
      <c r="J297" s="93"/>
    </row>
    <row r="298" spans="1:10">
      <c r="A298" s="501"/>
      <c r="B298" s="97" t="s">
        <v>223</v>
      </c>
      <c r="C298" s="94"/>
      <c r="D298" s="93"/>
      <c r="E298" s="94"/>
      <c r="F298" s="93"/>
      <c r="G298" s="94"/>
      <c r="H298" s="93"/>
      <c r="I298" s="94"/>
      <c r="J298" s="93"/>
    </row>
    <row r="299" spans="1:10">
      <c r="A299" s="501"/>
      <c r="B299" s="97" t="s">
        <v>224</v>
      </c>
      <c r="C299" s="94"/>
      <c r="D299" s="93"/>
      <c r="E299" s="94"/>
      <c r="F299" s="93"/>
      <c r="G299" s="94"/>
      <c r="H299" s="93"/>
      <c r="I299" s="94"/>
      <c r="J299" s="93"/>
    </row>
    <row r="300" spans="1:10">
      <c r="A300" s="501"/>
      <c r="B300" s="97" t="s">
        <v>225</v>
      </c>
      <c r="C300" s="94"/>
      <c r="D300" s="93"/>
      <c r="E300" s="94"/>
      <c r="F300" s="93"/>
      <c r="G300" s="94"/>
      <c r="H300" s="93"/>
      <c r="I300" s="94"/>
      <c r="J300" s="93"/>
    </row>
    <row r="301" spans="1:10">
      <c r="A301" s="501"/>
      <c r="B301" s="97" t="s">
        <v>226</v>
      </c>
      <c r="C301" s="94"/>
      <c r="D301" s="93"/>
      <c r="E301" s="94"/>
      <c r="F301" s="93"/>
      <c r="G301" s="94"/>
      <c r="H301" s="93"/>
      <c r="I301" s="94"/>
      <c r="J301" s="93"/>
    </row>
    <row r="302" spans="1:10">
      <c r="A302" s="501"/>
      <c r="B302" s="97" t="s">
        <v>227</v>
      </c>
      <c r="C302" s="94"/>
      <c r="D302" s="93"/>
      <c r="E302" s="94"/>
      <c r="F302" s="93"/>
      <c r="G302" s="94"/>
      <c r="H302" s="93"/>
      <c r="I302" s="94"/>
      <c r="J302" s="93"/>
    </row>
    <row r="303" spans="1:10">
      <c r="A303" s="501"/>
      <c r="B303" s="97" t="s">
        <v>228</v>
      </c>
      <c r="C303" s="94"/>
      <c r="D303" s="93"/>
      <c r="E303" s="94"/>
      <c r="F303" s="93"/>
      <c r="G303" s="94"/>
      <c r="H303" s="93"/>
      <c r="I303" s="94"/>
      <c r="J303" s="93"/>
    </row>
    <row r="304" spans="1:10">
      <c r="A304" s="501"/>
      <c r="B304" s="97" t="s">
        <v>229</v>
      </c>
      <c r="C304" s="94"/>
      <c r="D304" s="93"/>
      <c r="E304" s="94"/>
      <c r="F304" s="93"/>
      <c r="G304" s="99"/>
      <c r="H304" s="100"/>
      <c r="I304" s="94"/>
      <c r="J304" s="93"/>
    </row>
    <row r="305" spans="1:10">
      <c r="A305" s="501"/>
      <c r="B305" s="97" t="s">
        <v>230</v>
      </c>
      <c r="C305" s="94"/>
      <c r="D305" s="93"/>
      <c r="E305" s="94"/>
      <c r="F305" s="93"/>
      <c r="G305" s="99"/>
      <c r="H305" s="100"/>
      <c r="I305" s="99"/>
      <c r="J305" s="100"/>
    </row>
    <row r="306" spans="1:10">
      <c r="A306" s="501"/>
      <c r="B306" s="97" t="s">
        <v>231</v>
      </c>
      <c r="C306" s="94"/>
      <c r="D306" s="93"/>
      <c r="E306" s="94"/>
      <c r="F306" s="93"/>
      <c r="G306" s="99"/>
      <c r="H306" s="100"/>
      <c r="I306" s="99"/>
      <c r="J306" s="100"/>
    </row>
    <row r="307" spans="1:10">
      <c r="A307" s="501"/>
      <c r="B307" s="97" t="s">
        <v>232</v>
      </c>
      <c r="C307" s="94"/>
      <c r="D307" s="93"/>
      <c r="E307" s="94"/>
      <c r="F307" s="93"/>
      <c r="G307" s="99"/>
      <c r="H307" s="100"/>
      <c r="I307" s="99"/>
      <c r="J307" s="100"/>
    </row>
    <row r="308" spans="1:10">
      <c r="A308" s="501"/>
      <c r="B308" s="97" t="s">
        <v>233</v>
      </c>
      <c r="C308" s="94"/>
      <c r="D308" s="93"/>
      <c r="E308" s="94"/>
      <c r="F308" s="93"/>
      <c r="G308" s="99"/>
      <c r="H308" s="100"/>
      <c r="I308" s="99"/>
      <c r="J308" s="100"/>
    </row>
    <row r="309" spans="1:10">
      <c r="A309" s="501"/>
      <c r="B309" s="97" t="s">
        <v>234</v>
      </c>
      <c r="C309" s="94"/>
      <c r="D309" s="93"/>
      <c r="E309" s="94"/>
      <c r="F309" s="93"/>
      <c r="G309" s="99"/>
      <c r="H309" s="100"/>
      <c r="I309" s="99"/>
      <c r="J309" s="100"/>
    </row>
    <row r="310" spans="1:10">
      <c r="A310" s="501"/>
      <c r="B310" s="97" t="s">
        <v>235</v>
      </c>
      <c r="C310" s="94"/>
      <c r="D310" s="93"/>
      <c r="E310" s="99"/>
      <c r="F310" s="100"/>
      <c r="G310" s="99"/>
      <c r="H310" s="100"/>
      <c r="I310" s="99"/>
      <c r="J310" s="100"/>
    </row>
    <row r="311" spans="1:10">
      <c r="A311" s="501"/>
      <c r="B311" s="97" t="s">
        <v>236</v>
      </c>
      <c r="C311" s="94"/>
      <c r="D311" s="93"/>
      <c r="E311" s="99"/>
      <c r="F311" s="100"/>
      <c r="G311" s="99"/>
      <c r="H311" s="100"/>
      <c r="I311" s="99"/>
      <c r="J311" s="100"/>
    </row>
    <row r="312" spans="1:10">
      <c r="A312" s="501"/>
      <c r="B312" s="98" t="s">
        <v>299</v>
      </c>
      <c r="C312" s="94"/>
      <c r="D312" s="93"/>
      <c r="E312" s="94"/>
      <c r="F312" s="93"/>
      <c r="G312" s="94"/>
      <c r="H312" s="93"/>
      <c r="I312" s="94"/>
      <c r="J312" s="93"/>
    </row>
    <row r="313" spans="1:10">
      <c r="A313" s="501"/>
      <c r="B313" s="98" t="s">
        <v>237</v>
      </c>
      <c r="C313" s="94"/>
      <c r="D313" s="93"/>
      <c r="E313" s="94"/>
      <c r="F313" s="93"/>
      <c r="G313" s="94"/>
      <c r="H313" s="93"/>
      <c r="I313" s="94"/>
      <c r="J313" s="93"/>
    </row>
    <row r="314" spans="1:10">
      <c r="A314" s="501"/>
      <c r="B314" s="98" t="s">
        <v>238</v>
      </c>
      <c r="C314" s="94"/>
      <c r="D314" s="93"/>
      <c r="E314" s="94"/>
      <c r="F314" s="93"/>
      <c r="G314" s="94"/>
      <c r="H314" s="93"/>
      <c r="I314" s="94"/>
      <c r="J314" s="93"/>
    </row>
    <row r="315" spans="1:10">
      <c r="A315" s="501"/>
      <c r="B315" s="98" t="s">
        <v>239</v>
      </c>
      <c r="C315" s="94"/>
      <c r="D315" s="93"/>
      <c r="E315" s="94"/>
      <c r="F315" s="93"/>
      <c r="G315" s="94"/>
      <c r="H315" s="93"/>
      <c r="I315" s="94"/>
      <c r="J315" s="93"/>
    </row>
    <row r="316" spans="1:10">
      <c r="A316" s="501"/>
      <c r="B316" s="98" t="s">
        <v>240</v>
      </c>
      <c r="C316" s="94"/>
      <c r="D316" s="93"/>
      <c r="E316" s="94"/>
      <c r="F316" s="93"/>
      <c r="G316" s="94"/>
      <c r="H316" s="93"/>
      <c r="I316" s="94"/>
      <c r="J316" s="93"/>
    </row>
    <row r="317" spans="1:10">
      <c r="A317" s="501"/>
      <c r="B317" s="98" t="s">
        <v>241</v>
      </c>
      <c r="C317" s="94"/>
      <c r="D317" s="93"/>
      <c r="E317" s="94"/>
      <c r="F317" s="93"/>
      <c r="G317" s="94"/>
      <c r="H317" s="93"/>
      <c r="I317" s="94"/>
      <c r="J317" s="93"/>
    </row>
    <row r="318" spans="1:10">
      <c r="A318" s="501"/>
      <c r="B318" s="98" t="s">
        <v>242</v>
      </c>
      <c r="C318" s="94"/>
      <c r="D318" s="93"/>
      <c r="E318" s="94"/>
      <c r="F318" s="93"/>
      <c r="G318" s="94"/>
      <c r="H318" s="93"/>
      <c r="I318" s="94"/>
      <c r="J318" s="93"/>
    </row>
    <row r="319" spans="1:10">
      <c r="A319" s="501"/>
      <c r="B319" s="98" t="s">
        <v>243</v>
      </c>
      <c r="C319" s="94"/>
      <c r="D319" s="93"/>
      <c r="E319" s="94"/>
      <c r="F319" s="93"/>
      <c r="G319" s="94"/>
      <c r="H319" s="93"/>
      <c r="I319" s="94"/>
      <c r="J319" s="93"/>
    </row>
    <row r="320" spans="1:10">
      <c r="A320" s="501"/>
      <c r="B320" s="98" t="s">
        <v>244</v>
      </c>
      <c r="C320" s="94"/>
      <c r="D320" s="93"/>
      <c r="E320" s="94"/>
      <c r="F320" s="93"/>
      <c r="G320" s="94"/>
      <c r="H320" s="93"/>
      <c r="I320" s="99"/>
      <c r="J320" s="100"/>
    </row>
    <row r="321" spans="1:10">
      <c r="A321" s="501"/>
      <c r="B321" s="98" t="s">
        <v>245</v>
      </c>
      <c r="C321" s="94"/>
      <c r="D321" s="93"/>
      <c r="E321" s="94"/>
      <c r="F321" s="93"/>
      <c r="G321" s="94"/>
      <c r="H321" s="93"/>
      <c r="I321" s="99"/>
      <c r="J321" s="100"/>
    </row>
    <row r="322" spans="1:10">
      <c r="A322" s="501"/>
      <c r="B322" s="98" t="s">
        <v>246</v>
      </c>
      <c r="C322" s="99"/>
      <c r="D322" s="100"/>
      <c r="E322" s="94"/>
      <c r="F322" s="93"/>
      <c r="G322" s="94"/>
      <c r="H322" s="93"/>
      <c r="I322" s="99"/>
      <c r="J322" s="100"/>
    </row>
    <row r="323" spans="1:10">
      <c r="A323" s="501"/>
      <c r="B323" s="98" t="s">
        <v>247</v>
      </c>
      <c r="C323" s="99"/>
      <c r="D323" s="100"/>
      <c r="E323" s="94"/>
      <c r="F323" s="93"/>
      <c r="G323" s="94"/>
      <c r="H323" s="93"/>
      <c r="I323" s="99"/>
      <c r="J323" s="100"/>
    </row>
    <row r="324" spans="1:10">
      <c r="A324" s="501"/>
      <c r="B324" s="98" t="s">
        <v>248</v>
      </c>
      <c r="C324" s="99"/>
      <c r="D324" s="100"/>
      <c r="E324" s="99"/>
      <c r="F324" s="100"/>
      <c r="G324" s="94"/>
      <c r="H324" s="93"/>
      <c r="I324" s="99"/>
      <c r="J324" s="100"/>
    </row>
    <row r="325" spans="1:10">
      <c r="A325" s="501"/>
      <c r="B325" s="95" t="s">
        <v>300</v>
      </c>
      <c r="C325" s="99"/>
      <c r="D325" s="100"/>
      <c r="E325" s="99"/>
      <c r="F325" s="100"/>
      <c r="G325" s="99"/>
      <c r="H325" s="100"/>
      <c r="I325" s="94"/>
      <c r="J325" s="93"/>
    </row>
    <row r="326" spans="1:10">
      <c r="A326" s="501"/>
      <c r="B326" s="95" t="s">
        <v>249</v>
      </c>
      <c r="C326" s="99"/>
      <c r="D326" s="100"/>
      <c r="E326" s="99"/>
      <c r="F326" s="100"/>
      <c r="G326" s="99"/>
      <c r="H326" s="100"/>
      <c r="I326" s="94"/>
      <c r="J326" s="93"/>
    </row>
    <row r="327" spans="1:10">
      <c r="A327" s="501"/>
      <c r="B327" s="95" t="s">
        <v>250</v>
      </c>
      <c r="C327" s="99"/>
      <c r="D327" s="100"/>
      <c r="E327" s="99"/>
      <c r="F327" s="100"/>
      <c r="G327" s="99"/>
      <c r="H327" s="100"/>
      <c r="I327" s="94"/>
      <c r="J327" s="93"/>
    </row>
    <row r="328" spans="1:10">
      <c r="A328" s="501"/>
      <c r="B328" s="95" t="s">
        <v>251</v>
      </c>
      <c r="C328" s="99"/>
      <c r="D328" s="100"/>
      <c r="E328" s="99"/>
      <c r="F328" s="100"/>
      <c r="G328" s="99"/>
      <c r="H328" s="100"/>
      <c r="I328" s="94"/>
      <c r="J328" s="93"/>
    </row>
    <row r="329" spans="1:10">
      <c r="A329" s="501"/>
      <c r="B329" s="95" t="s">
        <v>252</v>
      </c>
      <c r="C329" s="99"/>
      <c r="D329" s="100"/>
      <c r="E329" s="99"/>
      <c r="F329" s="100"/>
      <c r="G329" s="99"/>
      <c r="H329" s="100"/>
      <c r="I329" s="94"/>
      <c r="J329" s="93"/>
    </row>
    <row r="330" spans="1:10">
      <c r="A330" s="501"/>
      <c r="B330" s="95" t="s">
        <v>253</v>
      </c>
      <c r="C330" s="99"/>
      <c r="D330" s="100"/>
      <c r="E330" s="99"/>
      <c r="F330" s="100"/>
      <c r="G330" s="99"/>
      <c r="H330" s="100"/>
      <c r="I330" s="94"/>
      <c r="J330" s="93"/>
    </row>
    <row r="331" spans="1:10">
      <c r="A331" s="501"/>
      <c r="B331" s="95" t="s">
        <v>254</v>
      </c>
      <c r="C331" s="99"/>
      <c r="D331" s="100"/>
      <c r="E331" s="99"/>
      <c r="F331" s="100"/>
      <c r="G331" s="99"/>
      <c r="H331" s="100"/>
      <c r="I331" s="94"/>
      <c r="J331" s="93"/>
    </row>
    <row r="332" spans="1:10">
      <c r="A332" s="501"/>
      <c r="B332" s="95" t="s">
        <v>255</v>
      </c>
      <c r="C332" s="99"/>
      <c r="D332" s="100"/>
      <c r="E332" s="99"/>
      <c r="F332" s="100"/>
      <c r="G332" s="99"/>
      <c r="H332" s="100"/>
      <c r="I332" s="94"/>
      <c r="J332" s="93"/>
    </row>
    <row r="333" spans="1:10">
      <c r="A333" s="501"/>
      <c r="B333" s="95" t="s">
        <v>256</v>
      </c>
      <c r="C333" s="99"/>
      <c r="D333" s="100"/>
      <c r="E333" s="99"/>
      <c r="F333" s="100"/>
      <c r="G333" s="99"/>
      <c r="H333" s="100"/>
      <c r="I333" s="94"/>
      <c r="J333" s="93"/>
    </row>
    <row r="334" spans="1:10">
      <c r="A334" s="501"/>
      <c r="B334" s="95" t="s">
        <v>257</v>
      </c>
      <c r="C334" s="99"/>
      <c r="D334" s="100"/>
      <c r="E334" s="99"/>
      <c r="F334" s="100"/>
      <c r="G334" s="99"/>
      <c r="H334" s="100"/>
      <c r="I334" s="94"/>
      <c r="J334" s="93"/>
    </row>
    <row r="335" spans="1:10">
      <c r="A335" s="501"/>
      <c r="B335" s="95" t="s">
        <v>258</v>
      </c>
      <c r="C335" s="99"/>
      <c r="D335" s="100"/>
      <c r="E335" s="99"/>
      <c r="F335" s="100"/>
      <c r="G335" s="99"/>
      <c r="H335" s="100"/>
      <c r="I335" s="94"/>
      <c r="J335" s="93"/>
    </row>
    <row r="336" spans="1:10">
      <c r="A336" s="502"/>
      <c r="B336" s="95" t="s">
        <v>259</v>
      </c>
      <c r="C336" s="99"/>
      <c r="D336" s="100"/>
      <c r="E336" s="99"/>
      <c r="F336" s="100"/>
      <c r="G336" s="99"/>
      <c r="H336" s="100"/>
      <c r="I336" s="94"/>
      <c r="J336" s="93"/>
    </row>
    <row r="337" spans="1:11">
      <c r="A337" s="116" t="s">
        <v>266</v>
      </c>
      <c r="B337" s="117" t="e">
        <f>SUM(C337,E337,G337,I337)</f>
        <v>#DIV/0!</v>
      </c>
      <c r="C337" s="104" t="e">
        <f>AVERAGE(C264:C276,C280:C321)</f>
        <v>#DIV/0!</v>
      </c>
      <c r="D337" s="104" t="e">
        <f>AVERAGE(D264:D276,D280:D321)</f>
        <v>#DIV/0!</v>
      </c>
      <c r="E337" s="104" t="e">
        <f>AVERAGE(E264:E272,E280:E293,E296:E309,E312:E323)</f>
        <v>#DIV/0!</v>
      </c>
      <c r="F337" s="104" t="e">
        <f>AVERAGE(F264:F272,F280:F293,F296:F309,F312:F323)</f>
        <v>#DIV/0!</v>
      </c>
      <c r="G337" s="104" t="e">
        <f>AVERAGE(G264:G292,G296:G303,G312:G324)</f>
        <v>#DIV/0!</v>
      </c>
      <c r="H337" s="104" t="e">
        <f>AVERAGE(H264:H292,H296:H303,H312:H324)</f>
        <v>#DIV/0!</v>
      </c>
      <c r="I337" s="104" t="e">
        <f>AVERAGE(I264:I271,I280:I289,I296:I304,I312:I319,I325:I336)</f>
        <v>#DIV/0!</v>
      </c>
      <c r="J337" s="104" t="e">
        <f>AVERAGE(J264:J271,J280:J289,J296:J304,J312:J319,J325:J336)</f>
        <v>#DIV/0!</v>
      </c>
    </row>
    <row r="338" spans="1:11">
      <c r="A338" s="116" t="s">
        <v>267</v>
      </c>
      <c r="B338" s="117" t="e">
        <f>SUM(D337,F337,H337,J337)</f>
        <v>#DIV/0!</v>
      </c>
      <c r="C338" s="64" t="s">
        <v>268</v>
      </c>
      <c r="D338" s="118" t="s">
        <v>269</v>
      </c>
      <c r="E338" s="64" t="s">
        <v>268</v>
      </c>
      <c r="F338" s="118" t="s">
        <v>269</v>
      </c>
      <c r="G338" s="64" t="s">
        <v>268</v>
      </c>
      <c r="H338" s="118" t="s">
        <v>269</v>
      </c>
      <c r="I338" s="64" t="s">
        <v>268</v>
      </c>
      <c r="J338" s="118" t="s">
        <v>269</v>
      </c>
    </row>
    <row r="341" spans="1:11">
      <c r="A341" s="503" t="s">
        <v>107</v>
      </c>
      <c r="B341" s="503"/>
      <c r="C341" s="503"/>
      <c r="D341" s="503"/>
      <c r="E341" s="503"/>
      <c r="F341" s="503"/>
      <c r="G341" s="503"/>
      <c r="H341" s="503"/>
      <c r="I341" s="503"/>
      <c r="J341" s="504"/>
      <c r="K341" s="109">
        <v>3</v>
      </c>
    </row>
    <row r="342" spans="1:11" ht="34.799999999999997">
      <c r="A342" s="74" t="s">
        <v>270</v>
      </c>
      <c r="B342" s="74" t="s">
        <v>271</v>
      </c>
      <c r="C342" s="74" t="s">
        <v>272</v>
      </c>
      <c r="D342" s="74" t="s">
        <v>108</v>
      </c>
      <c r="E342" s="74" t="s">
        <v>109</v>
      </c>
      <c r="F342" s="75" t="s">
        <v>273</v>
      </c>
      <c r="G342" s="74" t="s">
        <v>110</v>
      </c>
      <c r="H342" s="74" t="s">
        <v>111</v>
      </c>
      <c r="I342" s="74" t="s">
        <v>112</v>
      </c>
      <c r="J342" s="74" t="s">
        <v>113</v>
      </c>
    </row>
    <row r="343" spans="1:11">
      <c r="A343" s="505" t="s">
        <v>274</v>
      </c>
      <c r="B343" s="87" t="s">
        <v>114</v>
      </c>
      <c r="C343" s="76" t="s">
        <v>275</v>
      </c>
      <c r="D343" s="77">
        <v>1</v>
      </c>
      <c r="E343" s="78">
        <v>1</v>
      </c>
      <c r="F343" s="497" t="s">
        <v>276</v>
      </c>
      <c r="G343" s="76">
        <v>105.48</v>
      </c>
      <c r="H343" s="51">
        <v>25.5</v>
      </c>
      <c r="I343" s="52">
        <v>26.6</v>
      </c>
      <c r="J343" s="52">
        <v>25.947168858331978</v>
      </c>
    </row>
    <row r="344" spans="1:11">
      <c r="A344" s="506"/>
      <c r="B344" s="87" t="s">
        <v>115</v>
      </c>
      <c r="C344" s="76" t="s">
        <v>277</v>
      </c>
      <c r="D344" s="77">
        <v>1</v>
      </c>
      <c r="E344" s="78">
        <v>1</v>
      </c>
      <c r="F344" s="498"/>
      <c r="G344" s="76">
        <v>105.48</v>
      </c>
      <c r="H344" s="51">
        <v>26</v>
      </c>
      <c r="I344" s="52">
        <v>27.1</v>
      </c>
      <c r="J344" s="52">
        <v>26.534160006693167</v>
      </c>
    </row>
    <row r="345" spans="1:11">
      <c r="A345" s="506"/>
      <c r="B345" s="87" t="s">
        <v>116</v>
      </c>
      <c r="C345" s="76" t="s">
        <v>117</v>
      </c>
      <c r="D345" s="77">
        <v>1</v>
      </c>
      <c r="E345" s="78">
        <v>1</v>
      </c>
      <c r="F345" s="79"/>
      <c r="G345" s="76">
        <v>105.48</v>
      </c>
      <c r="H345" s="51">
        <v>26</v>
      </c>
      <c r="I345" s="52">
        <v>27.1</v>
      </c>
      <c r="J345" s="52">
        <v>26.612712003992765</v>
      </c>
    </row>
    <row r="346" spans="1:11">
      <c r="A346" s="507"/>
      <c r="B346" s="87" t="s">
        <v>118</v>
      </c>
      <c r="C346" s="76" t="s">
        <v>119</v>
      </c>
      <c r="D346" s="77">
        <v>1</v>
      </c>
      <c r="E346" s="78">
        <v>1</v>
      </c>
      <c r="F346" s="79"/>
      <c r="G346" s="76">
        <v>105.48</v>
      </c>
      <c r="H346" s="51">
        <v>25.9</v>
      </c>
      <c r="I346" s="52">
        <v>27</v>
      </c>
      <c r="J346" s="52">
        <v>26.551582992080178</v>
      </c>
    </row>
    <row r="347" spans="1:11">
      <c r="A347" s="505" t="s">
        <v>278</v>
      </c>
      <c r="B347" s="87" t="s">
        <v>120</v>
      </c>
      <c r="C347" s="76" t="s">
        <v>279</v>
      </c>
      <c r="D347" s="77">
        <v>1</v>
      </c>
      <c r="E347" s="78">
        <v>1</v>
      </c>
      <c r="F347" s="497" t="s">
        <v>276</v>
      </c>
      <c r="G347" s="76">
        <v>105.48</v>
      </c>
      <c r="H347" s="51">
        <v>19.5</v>
      </c>
      <c r="I347" s="52">
        <v>28</v>
      </c>
      <c r="J347" s="52">
        <v>26.562861558467784</v>
      </c>
    </row>
    <row r="348" spans="1:11">
      <c r="A348" s="506"/>
      <c r="B348" s="87" t="s">
        <v>121</v>
      </c>
      <c r="C348" s="76" t="s">
        <v>280</v>
      </c>
      <c r="D348" s="77">
        <v>1</v>
      </c>
      <c r="E348" s="78">
        <v>1</v>
      </c>
      <c r="F348" s="498"/>
      <c r="G348" s="76">
        <v>105.48</v>
      </c>
      <c r="H348" s="51">
        <v>24.3</v>
      </c>
      <c r="I348" s="52">
        <v>27.7</v>
      </c>
      <c r="J348" s="52">
        <v>26.468817329979629</v>
      </c>
    </row>
    <row r="349" spans="1:11">
      <c r="A349" s="506"/>
      <c r="B349" s="87" t="s">
        <v>122</v>
      </c>
      <c r="C349" s="76" t="s">
        <v>123</v>
      </c>
      <c r="D349" s="77">
        <v>1</v>
      </c>
      <c r="E349" s="78">
        <v>1</v>
      </c>
      <c r="F349" s="498"/>
      <c r="G349" s="76">
        <v>105.48</v>
      </c>
      <c r="H349" s="51">
        <v>17</v>
      </c>
      <c r="I349" s="52">
        <v>27</v>
      </c>
      <c r="J349" s="52">
        <v>21.191033060811872</v>
      </c>
    </row>
    <row r="350" spans="1:11">
      <c r="A350" s="506"/>
      <c r="B350" s="87" t="s">
        <v>124</v>
      </c>
      <c r="C350" s="76" t="s">
        <v>125</v>
      </c>
      <c r="D350" s="77">
        <v>1</v>
      </c>
      <c r="E350" s="78">
        <v>1</v>
      </c>
      <c r="F350" s="498"/>
      <c r="G350" s="76">
        <v>105.48</v>
      </c>
      <c r="H350" s="51">
        <v>24.9</v>
      </c>
      <c r="I350" s="52">
        <v>27.5</v>
      </c>
      <c r="J350" s="52">
        <v>26.191250294344051</v>
      </c>
    </row>
    <row r="351" spans="1:11">
      <c r="A351" s="506"/>
      <c r="B351" s="87" t="s">
        <v>126</v>
      </c>
      <c r="C351" s="76" t="s">
        <v>281</v>
      </c>
      <c r="D351" s="77">
        <v>1</v>
      </c>
      <c r="E351" s="78">
        <v>1</v>
      </c>
      <c r="F351" s="79"/>
      <c r="G351" s="76">
        <v>70.319999999999993</v>
      </c>
      <c r="H351" s="51">
        <v>13.9</v>
      </c>
      <c r="I351" s="52">
        <v>26.3</v>
      </c>
      <c r="J351" s="52">
        <v>24.473978140810075</v>
      </c>
    </row>
    <row r="352" spans="1:11">
      <c r="A352" s="506"/>
      <c r="B352" s="87" t="s">
        <v>127</v>
      </c>
      <c r="C352" s="76" t="s">
        <v>128</v>
      </c>
      <c r="D352" s="77">
        <v>1</v>
      </c>
      <c r="E352" s="78">
        <v>1</v>
      </c>
      <c r="F352" s="79"/>
      <c r="G352" s="76">
        <v>70.319999999999993</v>
      </c>
      <c r="H352" s="51">
        <v>14.1</v>
      </c>
      <c r="I352" s="52">
        <v>26.1</v>
      </c>
      <c r="J352" s="52">
        <v>24.513090894548593</v>
      </c>
    </row>
    <row r="353" spans="1:10">
      <c r="A353" s="507"/>
      <c r="B353" s="87" t="s">
        <v>129</v>
      </c>
      <c r="C353" s="76" t="s">
        <v>130</v>
      </c>
      <c r="D353" s="77">
        <v>1</v>
      </c>
      <c r="E353" s="78">
        <v>1</v>
      </c>
      <c r="F353" s="79"/>
      <c r="G353" s="76">
        <v>70.319999999999993</v>
      </c>
      <c r="H353" s="51">
        <v>14.8</v>
      </c>
      <c r="I353" s="52">
        <v>26</v>
      </c>
      <c r="J353" s="52">
        <v>24.625210701474238</v>
      </c>
    </row>
    <row r="354" spans="1:10">
      <c r="A354" s="496" t="s">
        <v>282</v>
      </c>
      <c r="B354" s="87" t="s">
        <v>131</v>
      </c>
      <c r="C354" s="76" t="s">
        <v>283</v>
      </c>
      <c r="D354" s="77">
        <v>1</v>
      </c>
      <c r="E354" s="78">
        <v>1</v>
      </c>
      <c r="F354" s="497" t="s">
        <v>276</v>
      </c>
      <c r="G354" s="76">
        <v>105.48</v>
      </c>
      <c r="H354" s="51">
        <v>24</v>
      </c>
      <c r="I354" s="52">
        <v>25.5</v>
      </c>
      <c r="J354" s="52">
        <v>24.86613436981952</v>
      </c>
    </row>
    <row r="355" spans="1:10">
      <c r="A355" s="496"/>
      <c r="B355" s="87" t="s">
        <v>132</v>
      </c>
      <c r="C355" s="76" t="s">
        <v>133</v>
      </c>
      <c r="D355" s="77">
        <v>1</v>
      </c>
      <c r="E355" s="78">
        <v>1</v>
      </c>
      <c r="F355" s="498"/>
      <c r="G355" s="76">
        <v>105.48</v>
      </c>
      <c r="H355" s="51">
        <v>24.4</v>
      </c>
      <c r="I355" s="52">
        <v>25.9</v>
      </c>
      <c r="J355" s="52">
        <v>25.221151651472233</v>
      </c>
    </row>
    <row r="356" spans="1:10">
      <c r="A356" s="496"/>
      <c r="B356" s="87" t="s">
        <v>134</v>
      </c>
      <c r="C356" s="76" t="s">
        <v>135</v>
      </c>
      <c r="D356" s="77">
        <v>1</v>
      </c>
      <c r="E356" s="78">
        <v>1</v>
      </c>
      <c r="F356" s="498"/>
      <c r="G356" s="80">
        <v>105.48</v>
      </c>
      <c r="H356" s="51">
        <v>24.5</v>
      </c>
      <c r="I356" s="52">
        <v>26.4</v>
      </c>
      <c r="J356" s="52">
        <v>25.252246982879878</v>
      </c>
    </row>
    <row r="357" spans="1:10">
      <c r="A357" s="496"/>
      <c r="B357" s="87" t="s">
        <v>136</v>
      </c>
      <c r="C357" s="76" t="s">
        <v>137</v>
      </c>
      <c r="D357" s="77">
        <v>1</v>
      </c>
      <c r="E357" s="78">
        <v>1</v>
      </c>
      <c r="F357" s="498"/>
      <c r="G357" s="80">
        <v>105.48</v>
      </c>
      <c r="H357" s="51">
        <v>24.1</v>
      </c>
      <c r="I357" s="52">
        <v>26</v>
      </c>
      <c r="J357" s="52">
        <v>24.844128275320063</v>
      </c>
    </row>
    <row r="358" spans="1:10">
      <c r="A358" s="496"/>
      <c r="B358" s="87" t="s">
        <v>138</v>
      </c>
      <c r="C358" s="76" t="s">
        <v>284</v>
      </c>
      <c r="D358" s="77">
        <v>0</v>
      </c>
      <c r="E358" s="78">
        <v>1</v>
      </c>
      <c r="F358" s="497" t="s">
        <v>285</v>
      </c>
      <c r="G358" s="76">
        <v>32.549999999999997</v>
      </c>
      <c r="H358" s="112">
        <v>25.3</v>
      </c>
      <c r="I358" s="112">
        <v>33.5</v>
      </c>
      <c r="J358" s="112">
        <v>32.598777177207168</v>
      </c>
    </row>
    <row r="359" spans="1:10">
      <c r="A359" s="496"/>
      <c r="B359" s="87" t="s">
        <v>139</v>
      </c>
      <c r="C359" s="76" t="s">
        <v>140</v>
      </c>
      <c r="D359" s="77">
        <v>0</v>
      </c>
      <c r="E359" s="78">
        <v>1</v>
      </c>
      <c r="F359" s="499"/>
      <c r="G359" s="76">
        <v>32.549999999999997</v>
      </c>
      <c r="H359" s="113">
        <v>23.4</v>
      </c>
      <c r="I359" s="113">
        <v>27.2</v>
      </c>
      <c r="J359" s="113">
        <v>26.023714421315294</v>
      </c>
    </row>
    <row r="360" spans="1:10">
      <c r="A360" s="496"/>
      <c r="B360" s="87" t="s">
        <v>141</v>
      </c>
      <c r="C360" s="76" t="s">
        <v>286</v>
      </c>
      <c r="D360" s="77">
        <v>0</v>
      </c>
      <c r="E360" s="78">
        <v>1</v>
      </c>
      <c r="F360" s="497" t="s">
        <v>285</v>
      </c>
      <c r="G360" s="76">
        <v>32.549999999999997</v>
      </c>
      <c r="H360" s="113">
        <v>21.8</v>
      </c>
      <c r="I360" s="113">
        <v>32.700000000000003</v>
      </c>
      <c r="J360" s="113">
        <v>31.101890811719603</v>
      </c>
    </row>
    <row r="361" spans="1:10">
      <c r="A361" s="496"/>
      <c r="B361" s="87" t="s">
        <v>142</v>
      </c>
      <c r="C361" s="76" t="s">
        <v>143</v>
      </c>
      <c r="D361" s="77">
        <v>1</v>
      </c>
      <c r="E361" s="78">
        <v>1</v>
      </c>
      <c r="F361" s="498"/>
      <c r="G361" s="76">
        <v>32.549999999999997</v>
      </c>
      <c r="H361" s="53">
        <v>22.5</v>
      </c>
      <c r="I361" s="53">
        <v>27.8</v>
      </c>
      <c r="J361" s="53">
        <v>26.137480201432698</v>
      </c>
    </row>
    <row r="362" spans="1:10">
      <c r="A362" s="496"/>
      <c r="B362" s="87" t="s">
        <v>144</v>
      </c>
      <c r="C362" s="76" t="s">
        <v>145</v>
      </c>
      <c r="D362" s="77">
        <v>0</v>
      </c>
      <c r="E362" s="78">
        <v>1</v>
      </c>
      <c r="F362" s="498"/>
      <c r="G362" s="76">
        <v>32.549999999999997</v>
      </c>
      <c r="H362" s="113">
        <v>17.8</v>
      </c>
      <c r="I362" s="113">
        <v>29.5</v>
      </c>
      <c r="J362" s="113">
        <v>27.936542597126117</v>
      </c>
    </row>
    <row r="363" spans="1:10">
      <c r="A363" s="496"/>
      <c r="B363" s="87" t="s">
        <v>146</v>
      </c>
      <c r="C363" s="76" t="s">
        <v>147</v>
      </c>
      <c r="D363" s="77">
        <v>1</v>
      </c>
      <c r="E363" s="78">
        <v>1</v>
      </c>
      <c r="F363" s="498"/>
      <c r="G363" s="76">
        <v>32.549999999999997</v>
      </c>
      <c r="H363" s="53">
        <v>21.4</v>
      </c>
      <c r="I363" s="53">
        <v>26.9</v>
      </c>
      <c r="J363" s="53">
        <v>24.703474713280034</v>
      </c>
    </row>
    <row r="364" spans="1:10">
      <c r="A364" s="496"/>
      <c r="B364" s="87" t="s">
        <v>148</v>
      </c>
      <c r="C364" s="76" t="s">
        <v>149</v>
      </c>
      <c r="D364" s="77">
        <v>0</v>
      </c>
      <c r="E364" s="78">
        <v>1</v>
      </c>
      <c r="F364" s="498"/>
      <c r="G364" s="76">
        <v>32.549999999999997</v>
      </c>
      <c r="H364" s="53">
        <v>20.3</v>
      </c>
      <c r="I364" s="53">
        <v>24.4</v>
      </c>
      <c r="J364" s="53">
        <v>21.562160054259266</v>
      </c>
    </row>
    <row r="365" spans="1:10">
      <c r="A365" s="496"/>
      <c r="B365" s="87" t="s">
        <v>150</v>
      </c>
      <c r="C365" s="76" t="s">
        <v>151</v>
      </c>
      <c r="D365" s="77">
        <v>1</v>
      </c>
      <c r="E365" s="78">
        <v>1</v>
      </c>
      <c r="F365" s="498"/>
      <c r="G365" s="76">
        <v>32.549999999999997</v>
      </c>
      <c r="H365" s="53">
        <v>21.2</v>
      </c>
      <c r="I365" s="53">
        <v>24.2</v>
      </c>
      <c r="J365" s="53">
        <v>23.427404201133758</v>
      </c>
    </row>
    <row r="366" spans="1:10">
      <c r="A366" s="496"/>
      <c r="B366" s="87" t="s">
        <v>152</v>
      </c>
      <c r="C366" s="76" t="s">
        <v>153</v>
      </c>
      <c r="D366" s="77">
        <v>0</v>
      </c>
      <c r="E366" s="78">
        <v>1</v>
      </c>
      <c r="F366" s="498"/>
      <c r="G366" s="76">
        <v>32.549999999999997</v>
      </c>
      <c r="H366" s="113"/>
      <c r="I366" s="113"/>
      <c r="J366" s="113"/>
    </row>
    <row r="367" spans="1:10">
      <c r="A367" s="496"/>
      <c r="B367" s="87" t="s">
        <v>154</v>
      </c>
      <c r="C367" s="76" t="s">
        <v>155</v>
      </c>
      <c r="D367" s="77">
        <v>0</v>
      </c>
      <c r="E367" s="78">
        <v>1</v>
      </c>
      <c r="F367" s="498"/>
      <c r="G367" s="76">
        <v>32.549999999999997</v>
      </c>
      <c r="H367" s="113">
        <v>18.399999999999999</v>
      </c>
      <c r="I367" s="113">
        <v>99.5</v>
      </c>
      <c r="J367" s="113">
        <v>22.382754481136075</v>
      </c>
    </row>
    <row r="368" spans="1:10">
      <c r="A368" s="496"/>
      <c r="B368" s="87" t="s">
        <v>156</v>
      </c>
      <c r="C368" s="76" t="s">
        <v>157</v>
      </c>
      <c r="D368" s="77">
        <v>0</v>
      </c>
      <c r="E368" s="78">
        <v>1</v>
      </c>
      <c r="F368" s="498"/>
      <c r="G368" s="76">
        <v>32.549999999999997</v>
      </c>
      <c r="H368" s="113">
        <v>18.399999999999999</v>
      </c>
      <c r="I368" s="113">
        <v>25.1</v>
      </c>
      <c r="J368" s="113">
        <v>23.977183057851555</v>
      </c>
    </row>
    <row r="369" spans="1:10">
      <c r="A369" s="496"/>
      <c r="B369" s="87" t="s">
        <v>158</v>
      </c>
      <c r="C369" s="76" t="s">
        <v>159</v>
      </c>
      <c r="D369" s="77">
        <v>0</v>
      </c>
      <c r="E369" s="78">
        <v>1</v>
      </c>
      <c r="F369" s="498"/>
      <c r="G369" s="76">
        <v>32.549999999999997</v>
      </c>
      <c r="H369" s="113">
        <v>17.7</v>
      </c>
      <c r="I369" s="113">
        <v>29.2</v>
      </c>
      <c r="J369" s="113">
        <v>21.609415322508042</v>
      </c>
    </row>
    <row r="370" spans="1:10">
      <c r="A370" s="496"/>
      <c r="B370" s="87" t="s">
        <v>160</v>
      </c>
      <c r="C370" s="76" t="s">
        <v>161</v>
      </c>
      <c r="D370" s="77">
        <v>0</v>
      </c>
      <c r="E370" s="78">
        <v>1</v>
      </c>
      <c r="F370" s="498"/>
      <c r="G370" s="76">
        <v>32.549999999999997</v>
      </c>
      <c r="H370" s="113">
        <v>21.2</v>
      </c>
      <c r="I370" s="113">
        <v>25.6</v>
      </c>
      <c r="J370" s="113">
        <v>22.483006882817978</v>
      </c>
    </row>
    <row r="371" spans="1:10">
      <c r="A371" s="496"/>
      <c r="B371" s="87" t="s">
        <v>162</v>
      </c>
      <c r="C371" s="76" t="s">
        <v>163</v>
      </c>
      <c r="D371" s="77">
        <v>0</v>
      </c>
      <c r="E371" s="78">
        <v>1</v>
      </c>
      <c r="F371" s="499"/>
      <c r="G371" s="76">
        <v>32.549999999999997</v>
      </c>
      <c r="H371" s="113">
        <v>19</v>
      </c>
      <c r="I371" s="113">
        <v>23.8</v>
      </c>
      <c r="J371" s="113">
        <v>21.875528539539498</v>
      </c>
    </row>
    <row r="372" spans="1:10">
      <c r="A372" s="496"/>
      <c r="B372" s="87" t="s">
        <v>164</v>
      </c>
      <c r="C372" s="76" t="s">
        <v>287</v>
      </c>
      <c r="D372" s="77">
        <v>0</v>
      </c>
      <c r="E372" s="78">
        <v>1</v>
      </c>
      <c r="F372" s="497" t="s">
        <v>285</v>
      </c>
      <c r="G372" s="76">
        <v>24.4</v>
      </c>
      <c r="H372" s="113">
        <v>27.5</v>
      </c>
      <c r="I372" s="113">
        <v>30</v>
      </c>
      <c r="J372" s="113">
        <v>28.669886471256667</v>
      </c>
    </row>
    <row r="373" spans="1:10">
      <c r="A373" s="496"/>
      <c r="B373" s="87" t="s">
        <v>165</v>
      </c>
      <c r="C373" s="76" t="s">
        <v>166</v>
      </c>
      <c r="D373" s="77">
        <v>0</v>
      </c>
      <c r="E373" s="78">
        <v>1</v>
      </c>
      <c r="F373" s="499"/>
      <c r="G373" s="76">
        <v>24.4</v>
      </c>
      <c r="H373" s="113">
        <v>26</v>
      </c>
      <c r="I373" s="113">
        <v>28.5</v>
      </c>
      <c r="J373" s="113">
        <v>27.101774468195114</v>
      </c>
    </row>
    <row r="374" spans="1:10">
      <c r="A374" s="496" t="s">
        <v>288</v>
      </c>
      <c r="B374" s="87" t="s">
        <v>167</v>
      </c>
      <c r="C374" s="76" t="s">
        <v>289</v>
      </c>
      <c r="D374" s="77">
        <v>1</v>
      </c>
      <c r="E374" s="78">
        <v>1</v>
      </c>
      <c r="F374" s="497" t="s">
        <v>276</v>
      </c>
      <c r="G374" s="76">
        <v>105.48</v>
      </c>
      <c r="H374" s="51">
        <v>24.8</v>
      </c>
      <c r="I374" s="53">
        <v>26</v>
      </c>
      <c r="J374" s="53">
        <v>25.5657765485998</v>
      </c>
    </row>
    <row r="375" spans="1:10">
      <c r="A375" s="496"/>
      <c r="B375" s="87" t="s">
        <v>168</v>
      </c>
      <c r="C375" s="76" t="s">
        <v>169</v>
      </c>
      <c r="D375" s="77">
        <v>1</v>
      </c>
      <c r="E375" s="78">
        <v>1</v>
      </c>
      <c r="F375" s="498"/>
      <c r="G375" s="76">
        <v>105.48</v>
      </c>
      <c r="H375" s="51">
        <v>24.6</v>
      </c>
      <c r="I375" s="54">
        <v>25.8</v>
      </c>
      <c r="J375" s="54">
        <v>25.342871866513704</v>
      </c>
    </row>
    <row r="376" spans="1:10">
      <c r="A376" s="496"/>
      <c r="B376" s="87" t="s">
        <v>170</v>
      </c>
      <c r="C376" s="76" t="s">
        <v>171</v>
      </c>
      <c r="D376" s="77">
        <v>1</v>
      </c>
      <c r="E376" s="78">
        <v>1</v>
      </c>
      <c r="F376" s="498"/>
      <c r="G376" s="76">
        <v>105.48</v>
      </c>
      <c r="H376" s="51">
        <v>23.9</v>
      </c>
      <c r="I376" s="52">
        <v>25.8</v>
      </c>
      <c r="J376" s="52">
        <v>24.947314233142599</v>
      </c>
    </row>
    <row r="377" spans="1:10">
      <c r="A377" s="496"/>
      <c r="B377" s="87" t="s">
        <v>172</v>
      </c>
      <c r="C377" s="76" t="s">
        <v>173</v>
      </c>
      <c r="D377" s="77">
        <v>1</v>
      </c>
      <c r="E377" s="78">
        <v>1</v>
      </c>
      <c r="F377" s="498"/>
      <c r="G377" s="76">
        <v>105.48</v>
      </c>
      <c r="H377" s="51">
        <v>24</v>
      </c>
      <c r="I377" s="52">
        <v>25.7</v>
      </c>
      <c r="J377" s="52">
        <v>24.962164505328346</v>
      </c>
    </row>
    <row r="378" spans="1:10">
      <c r="A378" s="496"/>
      <c r="B378" s="87" t="s">
        <v>174</v>
      </c>
      <c r="C378" s="76" t="s">
        <v>290</v>
      </c>
      <c r="D378" s="77">
        <v>1</v>
      </c>
      <c r="E378" s="78">
        <v>1</v>
      </c>
      <c r="F378" s="498"/>
      <c r="G378" s="76">
        <v>65</v>
      </c>
      <c r="H378" s="55">
        <v>26.1</v>
      </c>
      <c r="I378" s="55">
        <v>28.3</v>
      </c>
      <c r="J378" s="55">
        <v>27.236223419018422</v>
      </c>
    </row>
    <row r="379" spans="1:10">
      <c r="A379" s="496"/>
      <c r="B379" s="87" t="s">
        <v>175</v>
      </c>
      <c r="C379" s="76" t="s">
        <v>176</v>
      </c>
      <c r="D379" s="77">
        <v>1</v>
      </c>
      <c r="E379" s="78">
        <v>1</v>
      </c>
      <c r="F379" s="499"/>
      <c r="G379" s="76">
        <v>65</v>
      </c>
      <c r="H379" s="55">
        <v>24</v>
      </c>
      <c r="I379" s="55">
        <v>26</v>
      </c>
      <c r="J379" s="55">
        <v>24.516666666666666</v>
      </c>
    </row>
    <row r="380" spans="1:10">
      <c r="A380" s="496"/>
      <c r="B380" s="87" t="s">
        <v>177</v>
      </c>
      <c r="C380" s="76" t="s">
        <v>291</v>
      </c>
      <c r="D380" s="77">
        <v>1</v>
      </c>
      <c r="E380" s="78">
        <v>1</v>
      </c>
      <c r="F380" s="497" t="s">
        <v>285</v>
      </c>
      <c r="G380" s="76">
        <v>16.3</v>
      </c>
      <c r="H380" s="55">
        <v>23.5</v>
      </c>
      <c r="I380" s="55">
        <v>26</v>
      </c>
      <c r="J380" s="55">
        <v>24.533991418670009</v>
      </c>
    </row>
    <row r="381" spans="1:10">
      <c r="A381" s="496"/>
      <c r="B381" s="87" t="s">
        <v>178</v>
      </c>
      <c r="C381" s="76" t="s">
        <v>179</v>
      </c>
      <c r="D381" s="77">
        <v>1</v>
      </c>
      <c r="E381" s="78">
        <v>1</v>
      </c>
      <c r="F381" s="498"/>
      <c r="G381" s="76">
        <v>16.3</v>
      </c>
      <c r="H381" s="55">
        <v>21</v>
      </c>
      <c r="I381" s="55">
        <v>24.5</v>
      </c>
      <c r="J381" s="55">
        <v>22.917691723309261</v>
      </c>
    </row>
    <row r="382" spans="1:10">
      <c r="A382" s="496"/>
      <c r="B382" s="87" t="s">
        <v>180</v>
      </c>
      <c r="C382" s="76" t="s">
        <v>181</v>
      </c>
      <c r="D382" s="77">
        <v>1</v>
      </c>
      <c r="E382" s="78">
        <v>1</v>
      </c>
      <c r="F382" s="498"/>
      <c r="G382" s="76">
        <v>16.3</v>
      </c>
      <c r="H382" s="55">
        <v>18</v>
      </c>
      <c r="I382" s="55">
        <v>29.5</v>
      </c>
      <c r="J382" s="55">
        <v>26.953550372958549</v>
      </c>
    </row>
    <row r="383" spans="1:10">
      <c r="A383" s="496"/>
      <c r="B383" s="87" t="s">
        <v>292</v>
      </c>
      <c r="C383" s="76" t="s">
        <v>182</v>
      </c>
      <c r="D383" s="77">
        <v>1</v>
      </c>
      <c r="E383" s="78">
        <v>1</v>
      </c>
      <c r="F383" s="499"/>
      <c r="G383" s="76">
        <v>35</v>
      </c>
      <c r="H383" s="55">
        <v>24</v>
      </c>
      <c r="I383" s="55">
        <v>26</v>
      </c>
      <c r="J383" s="55">
        <v>24.855475787683329</v>
      </c>
    </row>
    <row r="384" spans="1:10">
      <c r="H384" s="66">
        <f>AVERAGE(H343:H357,H363:H365,H374:H383)</f>
        <v>22.346428571428572</v>
      </c>
      <c r="I384" s="66">
        <f t="shared" ref="I384:J384" si="2">AVERAGE(I343:I357,I363:I365,I374:I383)</f>
        <v>26.403571428571421</v>
      </c>
      <c r="J384" s="114">
        <f t="shared" si="2"/>
        <v>25.049296165413921</v>
      </c>
    </row>
    <row r="385" spans="1:10">
      <c r="J385" s="65" t="s">
        <v>264</v>
      </c>
    </row>
    <row r="386" spans="1:10">
      <c r="A386" s="503" t="s">
        <v>183</v>
      </c>
      <c r="B386" s="503"/>
      <c r="C386" s="503"/>
      <c r="D386" s="503"/>
      <c r="E386" s="503"/>
      <c r="F386" s="503"/>
      <c r="G386" s="503"/>
      <c r="H386" s="503"/>
      <c r="I386" s="503"/>
      <c r="J386" s="504"/>
    </row>
    <row r="387" spans="1:10" ht="34.799999999999997">
      <c r="A387" s="74" t="s">
        <v>270</v>
      </c>
      <c r="B387" s="74" t="s">
        <v>271</v>
      </c>
      <c r="C387" s="74" t="s">
        <v>272</v>
      </c>
      <c r="D387" s="74" t="s">
        <v>108</v>
      </c>
      <c r="E387" s="74" t="s">
        <v>109</v>
      </c>
      <c r="F387" s="75" t="s">
        <v>273</v>
      </c>
      <c r="G387" s="74" t="s">
        <v>110</v>
      </c>
      <c r="H387" s="74" t="s">
        <v>184</v>
      </c>
      <c r="I387" s="74" t="s">
        <v>185</v>
      </c>
      <c r="J387" s="74" t="s">
        <v>186</v>
      </c>
    </row>
    <row r="388" spans="1:10">
      <c r="A388" s="508" t="s">
        <v>274</v>
      </c>
      <c r="B388" s="88" t="s">
        <v>114</v>
      </c>
      <c r="C388" s="89" t="s">
        <v>275</v>
      </c>
      <c r="D388" s="90">
        <v>1</v>
      </c>
      <c r="E388" s="89">
        <v>1</v>
      </c>
      <c r="F388" s="497" t="s">
        <v>276</v>
      </c>
      <c r="G388" s="76">
        <v>105.48</v>
      </c>
      <c r="H388" s="56">
        <v>24.1</v>
      </c>
      <c r="I388" s="57">
        <v>46.6</v>
      </c>
      <c r="J388" s="57">
        <v>36.875899645011756</v>
      </c>
    </row>
    <row r="389" spans="1:10">
      <c r="A389" s="509"/>
      <c r="B389" s="88" t="s">
        <v>115</v>
      </c>
      <c r="C389" s="89" t="s">
        <v>277</v>
      </c>
      <c r="D389" s="90">
        <v>1</v>
      </c>
      <c r="E389" s="89">
        <v>1</v>
      </c>
      <c r="F389" s="498"/>
      <c r="G389" s="76">
        <v>105.48</v>
      </c>
      <c r="H389" s="56">
        <v>24.5</v>
      </c>
      <c r="I389" s="57">
        <v>46.8</v>
      </c>
      <c r="J389" s="57">
        <v>37.004108173574643</v>
      </c>
    </row>
    <row r="390" spans="1:10">
      <c r="A390" s="509"/>
      <c r="B390" s="88" t="s">
        <v>116</v>
      </c>
      <c r="C390" s="89" t="s">
        <v>117</v>
      </c>
      <c r="D390" s="90">
        <v>1</v>
      </c>
      <c r="E390" s="89">
        <v>1</v>
      </c>
      <c r="F390" s="79"/>
      <c r="G390" s="76">
        <v>105.48</v>
      </c>
      <c r="H390" s="56">
        <v>25.7</v>
      </c>
      <c r="I390" s="57">
        <v>45.6</v>
      </c>
      <c r="J390" s="57">
        <v>36.984516441492424</v>
      </c>
    </row>
    <row r="391" spans="1:10">
      <c r="A391" s="510"/>
      <c r="B391" s="88" t="s">
        <v>118</v>
      </c>
      <c r="C391" s="89" t="s">
        <v>119</v>
      </c>
      <c r="D391" s="90">
        <v>1</v>
      </c>
      <c r="E391" s="89">
        <v>1</v>
      </c>
      <c r="F391" s="79"/>
      <c r="G391" s="76">
        <v>105.48</v>
      </c>
      <c r="H391" s="56">
        <v>23.2</v>
      </c>
      <c r="I391" s="57">
        <v>44.2</v>
      </c>
      <c r="J391" s="57">
        <v>35.156717090807682</v>
      </c>
    </row>
    <row r="392" spans="1:10">
      <c r="A392" s="496" t="s">
        <v>278</v>
      </c>
      <c r="B392" s="87" t="s">
        <v>120</v>
      </c>
      <c r="C392" s="76" t="s">
        <v>279</v>
      </c>
      <c r="D392" s="77">
        <v>1</v>
      </c>
      <c r="E392" s="78">
        <v>1</v>
      </c>
      <c r="F392" s="497" t="s">
        <v>276</v>
      </c>
      <c r="G392" s="76">
        <v>105.48</v>
      </c>
      <c r="H392" s="56">
        <v>22.8</v>
      </c>
      <c r="I392" s="57">
        <v>73.8</v>
      </c>
      <c r="J392" s="57">
        <v>37.251804931220235</v>
      </c>
    </row>
    <row r="393" spans="1:10">
      <c r="A393" s="496"/>
      <c r="B393" s="87" t="s">
        <v>121</v>
      </c>
      <c r="C393" s="76" t="s">
        <v>280</v>
      </c>
      <c r="D393" s="77">
        <v>1</v>
      </c>
      <c r="E393" s="78">
        <v>1</v>
      </c>
      <c r="F393" s="498"/>
      <c r="G393" s="76">
        <v>105.48</v>
      </c>
      <c r="H393" s="56">
        <v>22.8</v>
      </c>
      <c r="I393" s="57">
        <v>53.2</v>
      </c>
      <c r="J393" s="57">
        <v>37.175433774739822</v>
      </c>
    </row>
    <row r="394" spans="1:10">
      <c r="A394" s="496"/>
      <c r="B394" s="87" t="s">
        <v>122</v>
      </c>
      <c r="C394" s="76" t="s">
        <v>123</v>
      </c>
      <c r="D394" s="77">
        <v>1</v>
      </c>
      <c r="E394" s="78">
        <v>1</v>
      </c>
      <c r="F394" s="498"/>
      <c r="G394" s="76">
        <v>105.48</v>
      </c>
      <c r="H394" s="56">
        <v>37.299999999999997</v>
      </c>
      <c r="I394" s="57">
        <v>66</v>
      </c>
      <c r="J394" s="57">
        <v>49.840352179488214</v>
      </c>
    </row>
    <row r="395" spans="1:10">
      <c r="A395" s="496"/>
      <c r="B395" s="87" t="s">
        <v>124</v>
      </c>
      <c r="C395" s="76" t="s">
        <v>125</v>
      </c>
      <c r="D395" s="77">
        <v>1</v>
      </c>
      <c r="E395" s="78">
        <v>1</v>
      </c>
      <c r="F395" s="498"/>
      <c r="G395" s="76">
        <v>105.48</v>
      </c>
      <c r="H395" s="56">
        <v>24</v>
      </c>
      <c r="I395" s="57">
        <v>47.5</v>
      </c>
      <c r="J395" s="57">
        <v>40.07350006711988</v>
      </c>
    </row>
    <row r="396" spans="1:10">
      <c r="A396" s="496" t="s">
        <v>282</v>
      </c>
      <c r="B396" s="87" t="s">
        <v>131</v>
      </c>
      <c r="C396" s="76" t="s">
        <v>283</v>
      </c>
      <c r="D396" s="77">
        <v>1</v>
      </c>
      <c r="E396" s="78">
        <v>1</v>
      </c>
      <c r="F396" s="497" t="s">
        <v>276</v>
      </c>
      <c r="G396" s="76">
        <v>105.48</v>
      </c>
      <c r="H396" s="56">
        <v>22.5</v>
      </c>
      <c r="I396" s="57">
        <v>45.8</v>
      </c>
      <c r="J396" s="57">
        <v>38.195485835971027</v>
      </c>
    </row>
    <row r="397" spans="1:10">
      <c r="A397" s="496"/>
      <c r="B397" s="87" t="s">
        <v>132</v>
      </c>
      <c r="C397" s="76" t="s">
        <v>133</v>
      </c>
      <c r="D397" s="77">
        <v>1</v>
      </c>
      <c r="E397" s="78">
        <v>1</v>
      </c>
      <c r="F397" s="498"/>
      <c r="G397" s="76">
        <v>105.48</v>
      </c>
      <c r="H397" s="56">
        <v>21.9</v>
      </c>
      <c r="I397" s="57">
        <v>44.3</v>
      </c>
      <c r="J397" s="57">
        <v>37.074655494835682</v>
      </c>
    </row>
    <row r="398" spans="1:10">
      <c r="A398" s="496"/>
      <c r="B398" s="87" t="s">
        <v>134</v>
      </c>
      <c r="C398" s="76" t="s">
        <v>135</v>
      </c>
      <c r="D398" s="77">
        <v>1</v>
      </c>
      <c r="E398" s="78">
        <v>1</v>
      </c>
      <c r="F398" s="498"/>
      <c r="G398" s="80">
        <v>105.48</v>
      </c>
      <c r="H398" s="56">
        <v>20.9</v>
      </c>
      <c r="I398" s="57">
        <v>39.5</v>
      </c>
      <c r="J398" s="57">
        <v>34.962139230837934</v>
      </c>
    </row>
    <row r="399" spans="1:10">
      <c r="A399" s="496"/>
      <c r="B399" s="87" t="s">
        <v>136</v>
      </c>
      <c r="C399" s="76" t="s">
        <v>137</v>
      </c>
      <c r="D399" s="77">
        <v>1</v>
      </c>
      <c r="E399" s="78">
        <v>1</v>
      </c>
      <c r="F399" s="498"/>
      <c r="G399" s="80">
        <v>105.48</v>
      </c>
      <c r="H399" s="56">
        <v>21.5</v>
      </c>
      <c r="I399" s="57">
        <v>40.6</v>
      </c>
      <c r="J399" s="57">
        <v>35.881135303974233</v>
      </c>
    </row>
    <row r="400" spans="1:10">
      <c r="A400" s="496"/>
      <c r="B400" s="87" t="s">
        <v>138</v>
      </c>
      <c r="C400" s="76" t="s">
        <v>284</v>
      </c>
      <c r="D400" s="76">
        <v>0</v>
      </c>
      <c r="E400" s="78">
        <v>1</v>
      </c>
      <c r="F400" s="78">
        <v>1</v>
      </c>
      <c r="G400" s="76">
        <v>32.549999999999997</v>
      </c>
      <c r="H400" s="58">
        <v>25.8</v>
      </c>
      <c r="I400" s="58">
        <v>31.6</v>
      </c>
      <c r="J400" s="58">
        <v>26.354365316483779</v>
      </c>
    </row>
    <row r="401" spans="1:10">
      <c r="A401" s="496"/>
      <c r="B401" s="87" t="s">
        <v>139</v>
      </c>
      <c r="C401" s="76" t="s">
        <v>140</v>
      </c>
      <c r="D401" s="76">
        <v>0</v>
      </c>
      <c r="E401" s="78">
        <v>1</v>
      </c>
      <c r="F401" s="78">
        <v>1</v>
      </c>
      <c r="G401" s="76">
        <v>32.549999999999997</v>
      </c>
      <c r="H401" s="59">
        <v>27.8</v>
      </c>
      <c r="I401" s="59">
        <v>30.6</v>
      </c>
      <c r="J401" s="59">
        <v>28.507460941612955</v>
      </c>
    </row>
    <row r="402" spans="1:10">
      <c r="A402" s="496"/>
      <c r="B402" s="87" t="s">
        <v>141</v>
      </c>
      <c r="C402" s="76" t="s">
        <v>286</v>
      </c>
      <c r="D402" s="76">
        <v>0</v>
      </c>
      <c r="E402" s="78">
        <v>1</v>
      </c>
      <c r="F402" s="78">
        <v>1</v>
      </c>
      <c r="G402" s="76">
        <v>32.549999999999997</v>
      </c>
      <c r="H402" s="59">
        <v>24.4</v>
      </c>
      <c r="I402" s="59">
        <v>31.6</v>
      </c>
      <c r="J402" s="59">
        <v>25.308625390828567</v>
      </c>
    </row>
    <row r="403" spans="1:10">
      <c r="A403" s="496"/>
      <c r="B403" s="87" t="s">
        <v>142</v>
      </c>
      <c r="C403" s="76" t="s">
        <v>143</v>
      </c>
      <c r="D403" s="76">
        <v>1</v>
      </c>
      <c r="E403" s="78">
        <v>1</v>
      </c>
      <c r="F403" s="78">
        <v>1</v>
      </c>
      <c r="G403" s="76">
        <v>32.549999999999997</v>
      </c>
      <c r="H403" s="60">
        <v>29</v>
      </c>
      <c r="I403" s="60">
        <v>32.799999999999997</v>
      </c>
      <c r="J403" s="60">
        <v>30.690526910212576</v>
      </c>
    </row>
    <row r="404" spans="1:10">
      <c r="A404" s="496"/>
      <c r="B404" s="87" t="s">
        <v>144</v>
      </c>
      <c r="C404" s="76" t="s">
        <v>145</v>
      </c>
      <c r="D404" s="76">
        <v>0</v>
      </c>
      <c r="E404" s="78">
        <v>1</v>
      </c>
      <c r="F404" s="78">
        <v>1</v>
      </c>
      <c r="G404" s="76">
        <v>32.549999999999997</v>
      </c>
      <c r="H404" s="59">
        <v>24.4</v>
      </c>
      <c r="I404" s="59">
        <v>32.5</v>
      </c>
      <c r="J404" s="59">
        <v>25.450364206403666</v>
      </c>
    </row>
    <row r="405" spans="1:10">
      <c r="A405" s="496"/>
      <c r="B405" s="87" t="s">
        <v>146</v>
      </c>
      <c r="C405" s="76" t="s">
        <v>147</v>
      </c>
      <c r="D405" s="76">
        <v>1</v>
      </c>
      <c r="E405" s="78">
        <v>1</v>
      </c>
      <c r="F405" s="78">
        <v>1</v>
      </c>
      <c r="G405" s="76">
        <v>32.549999999999997</v>
      </c>
      <c r="H405" s="60">
        <v>28.6</v>
      </c>
      <c r="I405" s="60">
        <v>32.799999999999997</v>
      </c>
      <c r="J405" s="60">
        <v>31.681985326236472</v>
      </c>
    </row>
    <row r="406" spans="1:10">
      <c r="A406" s="496"/>
      <c r="B406" s="87" t="s">
        <v>148</v>
      </c>
      <c r="C406" s="76" t="s">
        <v>149</v>
      </c>
      <c r="D406" s="76">
        <v>0</v>
      </c>
      <c r="E406" s="78">
        <v>1</v>
      </c>
      <c r="F406" s="78">
        <v>1</v>
      </c>
      <c r="G406" s="76">
        <v>32.549999999999997</v>
      </c>
      <c r="H406" s="60">
        <v>30.1</v>
      </c>
      <c r="I406" s="60">
        <v>32.5</v>
      </c>
      <c r="J406" s="60">
        <v>31.839196380938393</v>
      </c>
    </row>
    <row r="407" spans="1:10">
      <c r="A407" s="496"/>
      <c r="B407" s="87" t="s">
        <v>150</v>
      </c>
      <c r="C407" s="76" t="s">
        <v>151</v>
      </c>
      <c r="D407" s="76">
        <v>1</v>
      </c>
      <c r="E407" s="78">
        <v>1</v>
      </c>
      <c r="F407" s="78">
        <v>1</v>
      </c>
      <c r="G407" s="76">
        <v>32.549999999999997</v>
      </c>
      <c r="H407" s="60">
        <v>30.7</v>
      </c>
      <c r="I407" s="60">
        <v>32.6</v>
      </c>
      <c r="J407" s="60">
        <v>31.343251116148533</v>
      </c>
    </row>
    <row r="408" spans="1:10">
      <c r="A408" s="496"/>
      <c r="B408" s="87" t="s">
        <v>152</v>
      </c>
      <c r="C408" s="76" t="s">
        <v>153</v>
      </c>
      <c r="D408" s="76">
        <v>0</v>
      </c>
      <c r="E408" s="78">
        <v>1</v>
      </c>
      <c r="F408" s="78">
        <v>1</v>
      </c>
      <c r="G408" s="76">
        <v>32.549999999999997</v>
      </c>
      <c r="H408" s="59"/>
      <c r="I408" s="59"/>
      <c r="J408" s="59"/>
    </row>
    <row r="409" spans="1:10">
      <c r="A409" s="496"/>
      <c r="B409" s="87" t="s">
        <v>154</v>
      </c>
      <c r="C409" s="76" t="s">
        <v>155</v>
      </c>
      <c r="D409" s="76">
        <v>0</v>
      </c>
      <c r="E409" s="78">
        <v>1</v>
      </c>
      <c r="F409" s="78">
        <v>1</v>
      </c>
      <c r="G409" s="76">
        <v>32.549999999999997</v>
      </c>
      <c r="H409" s="59">
        <v>28.4</v>
      </c>
      <c r="I409" s="59">
        <v>29.9</v>
      </c>
      <c r="J409" s="59">
        <v>29.630716247788403</v>
      </c>
    </row>
    <row r="410" spans="1:10">
      <c r="A410" s="496"/>
      <c r="B410" s="87" t="s">
        <v>156</v>
      </c>
      <c r="C410" s="76" t="s">
        <v>157</v>
      </c>
      <c r="D410" s="76">
        <v>0</v>
      </c>
      <c r="E410" s="78">
        <v>1</v>
      </c>
      <c r="F410" s="78">
        <v>1</v>
      </c>
      <c r="G410" s="76">
        <v>32.549999999999997</v>
      </c>
      <c r="H410" s="59">
        <v>26.3</v>
      </c>
      <c r="I410" s="59">
        <v>30.6</v>
      </c>
      <c r="J410" s="59">
        <v>26.935364994203944</v>
      </c>
    </row>
    <row r="411" spans="1:10">
      <c r="A411" s="496"/>
      <c r="B411" s="87" t="s">
        <v>158</v>
      </c>
      <c r="C411" s="76" t="s">
        <v>159</v>
      </c>
      <c r="D411" s="76">
        <v>0</v>
      </c>
      <c r="E411" s="78">
        <v>1</v>
      </c>
      <c r="F411" s="78">
        <v>1</v>
      </c>
      <c r="G411" s="76">
        <v>32.549999999999997</v>
      </c>
      <c r="H411" s="59">
        <v>25.6</v>
      </c>
      <c r="I411" s="59">
        <v>34</v>
      </c>
      <c r="J411" s="59">
        <v>30.625999679618541</v>
      </c>
    </row>
    <row r="412" spans="1:10">
      <c r="A412" s="496"/>
      <c r="B412" s="87" t="s">
        <v>160</v>
      </c>
      <c r="C412" s="76" t="s">
        <v>161</v>
      </c>
      <c r="D412" s="76">
        <v>0</v>
      </c>
      <c r="E412" s="78">
        <v>1</v>
      </c>
      <c r="F412" s="78">
        <v>1</v>
      </c>
      <c r="G412" s="76">
        <v>32.549999999999997</v>
      </c>
      <c r="H412" s="59">
        <v>27.7</v>
      </c>
      <c r="I412" s="59">
        <v>30.4</v>
      </c>
      <c r="J412" s="59">
        <v>29.382356535905735</v>
      </c>
    </row>
    <row r="413" spans="1:10">
      <c r="A413" s="496"/>
      <c r="B413" s="87" t="s">
        <v>162</v>
      </c>
      <c r="C413" s="76" t="s">
        <v>163</v>
      </c>
      <c r="D413" s="76">
        <v>0</v>
      </c>
      <c r="E413" s="78">
        <v>1</v>
      </c>
      <c r="F413" s="78">
        <v>1</v>
      </c>
      <c r="G413" s="76">
        <v>32.549999999999997</v>
      </c>
      <c r="H413" s="59">
        <v>27</v>
      </c>
      <c r="I413" s="59">
        <v>30.2</v>
      </c>
      <c r="J413" s="59">
        <v>28.319564185557223</v>
      </c>
    </row>
    <row r="414" spans="1:10">
      <c r="A414" s="496"/>
      <c r="B414" s="87" t="s">
        <v>164</v>
      </c>
      <c r="C414" s="76" t="s">
        <v>287</v>
      </c>
      <c r="D414" s="76">
        <v>0</v>
      </c>
      <c r="E414" s="78">
        <v>1</v>
      </c>
      <c r="F414" s="78">
        <v>1</v>
      </c>
      <c r="G414" s="76">
        <v>24.4</v>
      </c>
      <c r="H414" s="59">
        <v>26</v>
      </c>
      <c r="I414" s="59">
        <v>27.5</v>
      </c>
      <c r="J414" s="59">
        <v>26.918421650104822</v>
      </c>
    </row>
    <row r="415" spans="1:10">
      <c r="A415" s="496"/>
      <c r="B415" s="87" t="s">
        <v>165</v>
      </c>
      <c r="C415" s="76" t="s">
        <v>166</v>
      </c>
      <c r="D415" s="76">
        <v>0</v>
      </c>
      <c r="E415" s="78">
        <v>1</v>
      </c>
      <c r="F415" s="78">
        <v>1</v>
      </c>
      <c r="G415" s="76">
        <v>24.4</v>
      </c>
      <c r="H415" s="59">
        <v>25.5</v>
      </c>
      <c r="I415" s="59">
        <v>27.5</v>
      </c>
      <c r="J415" s="59">
        <v>26.559773141544955</v>
      </c>
    </row>
    <row r="416" spans="1:10">
      <c r="A416" s="496" t="s">
        <v>288</v>
      </c>
      <c r="B416" s="87" t="s">
        <v>167</v>
      </c>
      <c r="C416" s="76" t="s">
        <v>289</v>
      </c>
      <c r="D416" s="77">
        <v>1</v>
      </c>
      <c r="E416" s="78">
        <v>1</v>
      </c>
      <c r="F416" s="497" t="s">
        <v>276</v>
      </c>
      <c r="G416" s="76">
        <v>105.48</v>
      </c>
      <c r="H416" s="56">
        <v>25.7</v>
      </c>
      <c r="I416" s="60">
        <v>39.700000000000003</v>
      </c>
      <c r="J416" s="60">
        <v>35.190372604446353</v>
      </c>
    </row>
    <row r="417" spans="1:10">
      <c r="A417" s="496"/>
      <c r="B417" s="87" t="s">
        <v>168</v>
      </c>
      <c r="C417" s="76" t="s">
        <v>169</v>
      </c>
      <c r="D417" s="77">
        <v>1</v>
      </c>
      <c r="E417" s="78">
        <v>1</v>
      </c>
      <c r="F417" s="498"/>
      <c r="G417" s="76">
        <v>105.48</v>
      </c>
      <c r="H417" s="56">
        <v>28.7</v>
      </c>
      <c r="I417" s="61">
        <v>42.6</v>
      </c>
      <c r="J417" s="61">
        <v>38.274867758099141</v>
      </c>
    </row>
    <row r="418" spans="1:10">
      <c r="A418" s="496"/>
      <c r="B418" s="87" t="s">
        <v>170</v>
      </c>
      <c r="C418" s="76" t="s">
        <v>171</v>
      </c>
      <c r="D418" s="77">
        <v>1</v>
      </c>
      <c r="E418" s="78">
        <v>1</v>
      </c>
      <c r="F418" s="498"/>
      <c r="G418" s="76">
        <v>105.48</v>
      </c>
      <c r="H418" s="56">
        <v>27.4</v>
      </c>
      <c r="I418" s="57">
        <v>45.8</v>
      </c>
      <c r="J418" s="57">
        <v>40.447616220029126</v>
      </c>
    </row>
    <row r="419" spans="1:10">
      <c r="A419" s="496"/>
      <c r="B419" s="87" t="s">
        <v>172</v>
      </c>
      <c r="C419" s="76" t="s">
        <v>173</v>
      </c>
      <c r="D419" s="77">
        <v>1</v>
      </c>
      <c r="E419" s="78">
        <v>1</v>
      </c>
      <c r="F419" s="498"/>
      <c r="G419" s="76">
        <v>105.48</v>
      </c>
      <c r="H419" s="56">
        <v>27</v>
      </c>
      <c r="I419" s="57">
        <v>45.3</v>
      </c>
      <c r="J419" s="57">
        <v>40.088349265555607</v>
      </c>
    </row>
    <row r="420" spans="1:10">
      <c r="A420" s="496"/>
      <c r="B420" s="87" t="s">
        <v>174</v>
      </c>
      <c r="C420" s="76" t="s">
        <v>290</v>
      </c>
      <c r="D420" s="77">
        <v>1</v>
      </c>
      <c r="E420" s="78">
        <v>1</v>
      </c>
      <c r="F420" s="498"/>
      <c r="G420" s="76">
        <v>65</v>
      </c>
      <c r="H420" s="62">
        <v>30.6</v>
      </c>
      <c r="I420" s="62">
        <v>40.6</v>
      </c>
      <c r="J420" s="62">
        <v>37.47478447889106</v>
      </c>
    </row>
    <row r="421" spans="1:10">
      <c r="A421" s="496"/>
      <c r="B421" s="87" t="s">
        <v>175</v>
      </c>
      <c r="C421" s="76" t="s">
        <v>176</v>
      </c>
      <c r="D421" s="77">
        <v>1</v>
      </c>
      <c r="E421" s="78">
        <v>1</v>
      </c>
      <c r="F421" s="499"/>
      <c r="G421" s="76">
        <v>65</v>
      </c>
      <c r="H421" s="62">
        <v>29</v>
      </c>
      <c r="I421" s="62">
        <v>30</v>
      </c>
      <c r="J421" s="62">
        <v>29.322365104728199</v>
      </c>
    </row>
    <row r="422" spans="1:10">
      <c r="A422" s="496"/>
      <c r="B422" s="87" t="s">
        <v>177</v>
      </c>
      <c r="C422" s="76" t="s">
        <v>291</v>
      </c>
      <c r="D422" s="77">
        <v>1</v>
      </c>
      <c r="E422" s="78">
        <v>1</v>
      </c>
      <c r="F422" s="497" t="s">
        <v>285</v>
      </c>
      <c r="G422" s="76">
        <v>16.3</v>
      </c>
      <c r="H422" s="62">
        <v>30.5</v>
      </c>
      <c r="I422" s="62">
        <v>34.5</v>
      </c>
      <c r="J422" s="62">
        <v>31.691676637256574</v>
      </c>
    </row>
    <row r="423" spans="1:10">
      <c r="A423" s="496"/>
      <c r="B423" s="87" t="s">
        <v>178</v>
      </c>
      <c r="C423" s="76" t="s">
        <v>179</v>
      </c>
      <c r="D423" s="77">
        <v>1</v>
      </c>
      <c r="E423" s="78">
        <v>1</v>
      </c>
      <c r="F423" s="498"/>
      <c r="G423" s="76">
        <v>16.3</v>
      </c>
      <c r="H423" s="62">
        <v>31</v>
      </c>
      <c r="I423" s="62">
        <v>40.5</v>
      </c>
      <c r="J423" s="62">
        <v>34.619817345292134</v>
      </c>
    </row>
    <row r="424" spans="1:10">
      <c r="A424" s="496"/>
      <c r="B424" s="87" t="s">
        <v>180</v>
      </c>
      <c r="C424" s="76" t="s">
        <v>181</v>
      </c>
      <c r="D424" s="77">
        <v>1</v>
      </c>
      <c r="E424" s="78">
        <v>1</v>
      </c>
      <c r="F424" s="498"/>
      <c r="G424" s="76">
        <v>16.3</v>
      </c>
      <c r="H424" s="62">
        <v>28</v>
      </c>
      <c r="I424" s="62">
        <v>45</v>
      </c>
      <c r="J424" s="62">
        <v>30.126522635332051</v>
      </c>
    </row>
    <row r="425" spans="1:10">
      <c r="A425" s="496"/>
      <c r="B425" s="87" t="s">
        <v>292</v>
      </c>
      <c r="C425" s="76" t="s">
        <v>182</v>
      </c>
      <c r="D425" s="77">
        <v>1</v>
      </c>
      <c r="E425" s="78">
        <v>1</v>
      </c>
      <c r="F425" s="499"/>
      <c r="G425" s="76">
        <v>35</v>
      </c>
      <c r="H425" s="62">
        <v>31.5</v>
      </c>
      <c r="I425" s="62">
        <v>50.1</v>
      </c>
      <c r="J425" s="62">
        <v>44.617185412817626</v>
      </c>
    </row>
    <row r="426" spans="1:10">
      <c r="A426" s="496" t="s">
        <v>278</v>
      </c>
      <c r="B426" s="87" t="s">
        <v>126</v>
      </c>
      <c r="C426" s="76" t="s">
        <v>281</v>
      </c>
      <c r="D426" s="77">
        <v>1</v>
      </c>
      <c r="E426" s="78">
        <v>1</v>
      </c>
      <c r="F426" s="91"/>
      <c r="G426" s="76">
        <v>70.319999999999993</v>
      </c>
      <c r="H426" s="62">
        <v>25.2</v>
      </c>
      <c r="I426" s="62">
        <v>56.1</v>
      </c>
      <c r="J426" s="62">
        <v>38.445655165716552</v>
      </c>
    </row>
    <row r="427" spans="1:10">
      <c r="A427" s="496"/>
      <c r="B427" s="87" t="s">
        <v>127</v>
      </c>
      <c r="C427" s="76" t="s">
        <v>128</v>
      </c>
      <c r="D427" s="77">
        <v>1</v>
      </c>
      <c r="E427" s="78">
        <v>1</v>
      </c>
      <c r="F427" s="91"/>
      <c r="G427" s="76">
        <v>70.319999999999993</v>
      </c>
      <c r="H427" s="62">
        <v>25</v>
      </c>
      <c r="I427" s="62">
        <v>56.2</v>
      </c>
      <c r="J427" s="62">
        <v>37.517854848939081</v>
      </c>
    </row>
    <row r="428" spans="1:10">
      <c r="A428" s="496"/>
      <c r="B428" s="87" t="s">
        <v>129</v>
      </c>
      <c r="C428" s="76" t="s">
        <v>130</v>
      </c>
      <c r="D428" s="77">
        <v>1</v>
      </c>
      <c r="E428" s="78">
        <v>1</v>
      </c>
      <c r="F428" s="91"/>
      <c r="G428" s="76">
        <v>70.319999999999993</v>
      </c>
      <c r="H428" s="62">
        <v>24.9</v>
      </c>
      <c r="I428" s="62">
        <v>55.1</v>
      </c>
      <c r="J428" s="62">
        <v>37.871109473847063</v>
      </c>
    </row>
    <row r="429" spans="1:10">
      <c r="H429" s="92">
        <f>AVERAGE(H388:H399,H405:H407,H416:H428)</f>
        <v>26.610714285714288</v>
      </c>
      <c r="I429" s="92">
        <f>AVERAGE(I388:I399,I405:I407,I416:I428)</f>
        <v>45.474999999999987</v>
      </c>
      <c r="J429" s="119">
        <f>AVERAGE(J388:J399,J405:J407,J416:J428)</f>
        <v>36.679584212262412</v>
      </c>
    </row>
    <row r="430" spans="1:10">
      <c r="J430" s="116" t="s">
        <v>265</v>
      </c>
    </row>
    <row r="431" spans="1:10">
      <c r="A431" s="511" t="s">
        <v>293</v>
      </c>
      <c r="B431" s="511"/>
      <c r="C431" s="512" t="s">
        <v>187</v>
      </c>
      <c r="D431" s="513"/>
      <c r="E431" s="513" t="s">
        <v>188</v>
      </c>
      <c r="F431" s="513"/>
      <c r="G431" s="513" t="s">
        <v>189</v>
      </c>
      <c r="H431" s="513"/>
      <c r="I431" s="513" t="s">
        <v>190</v>
      </c>
      <c r="J431" s="513"/>
    </row>
    <row r="432" spans="1:10" ht="34.799999999999997">
      <c r="A432" s="511"/>
      <c r="B432" s="511"/>
      <c r="C432" s="103" t="s">
        <v>191</v>
      </c>
      <c r="D432" s="102" t="s">
        <v>192</v>
      </c>
      <c r="E432" s="102" t="s">
        <v>191</v>
      </c>
      <c r="F432" s="102" t="s">
        <v>192</v>
      </c>
      <c r="G432" s="102" t="s">
        <v>191</v>
      </c>
      <c r="H432" s="102" t="s">
        <v>192</v>
      </c>
      <c r="I432" s="102" t="s">
        <v>191</v>
      </c>
      <c r="J432" s="102" t="s">
        <v>192</v>
      </c>
    </row>
    <row r="433" spans="1:10">
      <c r="A433" s="500" t="s">
        <v>294</v>
      </c>
      <c r="B433" s="101" t="s">
        <v>295</v>
      </c>
      <c r="C433" s="94"/>
      <c r="D433" s="93"/>
      <c r="E433" s="94"/>
      <c r="F433" s="93"/>
      <c r="G433" s="94"/>
      <c r="H433" s="93"/>
      <c r="I433" s="94"/>
      <c r="J433" s="93"/>
    </row>
    <row r="434" spans="1:10">
      <c r="A434" s="501"/>
      <c r="B434" s="95" t="s">
        <v>193</v>
      </c>
      <c r="C434" s="94"/>
      <c r="D434" s="93"/>
      <c r="E434" s="94"/>
      <c r="F434" s="93"/>
      <c r="G434" s="94"/>
      <c r="H434" s="93"/>
      <c r="I434" s="94"/>
      <c r="J434" s="93"/>
    </row>
    <row r="435" spans="1:10">
      <c r="A435" s="501"/>
      <c r="B435" s="95" t="s">
        <v>194</v>
      </c>
      <c r="C435" s="94"/>
      <c r="D435" s="93"/>
      <c r="E435" s="94"/>
      <c r="F435" s="93"/>
      <c r="G435" s="94"/>
      <c r="H435" s="93"/>
      <c r="I435" s="94"/>
      <c r="J435" s="93"/>
    </row>
    <row r="436" spans="1:10">
      <c r="A436" s="501"/>
      <c r="B436" s="95" t="s">
        <v>195</v>
      </c>
      <c r="C436" s="94"/>
      <c r="D436" s="93"/>
      <c r="E436" s="94"/>
      <c r="F436" s="93"/>
      <c r="G436" s="94"/>
      <c r="H436" s="93"/>
      <c r="I436" s="94"/>
      <c r="J436" s="93"/>
    </row>
    <row r="437" spans="1:10">
      <c r="A437" s="501"/>
      <c r="B437" s="95" t="s">
        <v>196</v>
      </c>
      <c r="C437" s="94"/>
      <c r="D437" s="93"/>
      <c r="E437" s="94"/>
      <c r="F437" s="93"/>
      <c r="G437" s="94"/>
      <c r="H437" s="93"/>
      <c r="I437" s="94"/>
      <c r="J437" s="93"/>
    </row>
    <row r="438" spans="1:10">
      <c r="A438" s="501"/>
      <c r="B438" s="95" t="s">
        <v>197</v>
      </c>
      <c r="C438" s="94"/>
      <c r="D438" s="93"/>
      <c r="E438" s="94"/>
      <c r="F438" s="93"/>
      <c r="G438" s="94"/>
      <c r="H438" s="93"/>
      <c r="I438" s="94"/>
      <c r="J438" s="93"/>
    </row>
    <row r="439" spans="1:10">
      <c r="A439" s="501"/>
      <c r="B439" s="95" t="s">
        <v>198</v>
      </c>
      <c r="C439" s="94"/>
      <c r="D439" s="93"/>
      <c r="E439" s="94"/>
      <c r="F439" s="93"/>
      <c r="G439" s="94"/>
      <c r="H439" s="93"/>
      <c r="I439" s="94"/>
      <c r="J439" s="93"/>
    </row>
    <row r="440" spans="1:10">
      <c r="A440" s="501"/>
      <c r="B440" s="95" t="s">
        <v>199</v>
      </c>
      <c r="C440" s="94"/>
      <c r="D440" s="93"/>
      <c r="E440" s="94"/>
      <c r="F440" s="93"/>
      <c r="G440" s="94"/>
      <c r="H440" s="93"/>
      <c r="I440" s="94"/>
      <c r="J440" s="93"/>
    </row>
    <row r="441" spans="1:10">
      <c r="A441" s="501"/>
      <c r="B441" s="95" t="s">
        <v>200</v>
      </c>
      <c r="C441" s="94"/>
      <c r="D441" s="93"/>
      <c r="E441" s="94"/>
      <c r="F441" s="93"/>
      <c r="G441" s="94"/>
      <c r="H441" s="93"/>
      <c r="I441" s="99"/>
      <c r="J441" s="100"/>
    </row>
    <row r="442" spans="1:10">
      <c r="A442" s="501"/>
      <c r="B442" s="95" t="s">
        <v>201</v>
      </c>
      <c r="C442" s="94"/>
      <c r="D442" s="93"/>
      <c r="E442" s="99"/>
      <c r="F442" s="100"/>
      <c r="G442" s="94"/>
      <c r="H442" s="93"/>
      <c r="I442" s="99"/>
      <c r="J442" s="100"/>
    </row>
    <row r="443" spans="1:10">
      <c r="A443" s="501"/>
      <c r="B443" s="95" t="s">
        <v>202</v>
      </c>
      <c r="C443" s="94"/>
      <c r="D443" s="93"/>
      <c r="E443" s="99"/>
      <c r="F443" s="100"/>
      <c r="G443" s="94"/>
      <c r="H443" s="93"/>
      <c r="I443" s="99"/>
      <c r="J443" s="100"/>
    </row>
    <row r="444" spans="1:10">
      <c r="A444" s="501"/>
      <c r="B444" s="95" t="s">
        <v>203</v>
      </c>
      <c r="C444" s="94"/>
      <c r="D444" s="93"/>
      <c r="E444" s="99"/>
      <c r="F444" s="100"/>
      <c r="G444" s="94"/>
      <c r="H444" s="93"/>
      <c r="I444" s="99"/>
      <c r="J444" s="100"/>
    </row>
    <row r="445" spans="1:10">
      <c r="A445" s="501"/>
      <c r="B445" s="95" t="s">
        <v>204</v>
      </c>
      <c r="C445" s="94"/>
      <c r="D445" s="93"/>
      <c r="E445" s="99"/>
      <c r="F445" s="100"/>
      <c r="G445" s="94"/>
      <c r="H445" s="93"/>
      <c r="I445" s="99"/>
      <c r="J445" s="100"/>
    </row>
    <row r="446" spans="1:10">
      <c r="A446" s="501"/>
      <c r="B446" s="95" t="s">
        <v>205</v>
      </c>
      <c r="C446" s="99"/>
      <c r="D446" s="100"/>
      <c r="E446" s="99"/>
      <c r="F446" s="100"/>
      <c r="G446" s="94"/>
      <c r="H446" s="93"/>
      <c r="I446" s="99"/>
      <c r="J446" s="100"/>
    </row>
    <row r="447" spans="1:10">
      <c r="A447" s="501"/>
      <c r="B447" s="95" t="s">
        <v>206</v>
      </c>
      <c r="C447" s="99"/>
      <c r="D447" s="100"/>
      <c r="E447" s="99"/>
      <c r="F447" s="100"/>
      <c r="G447" s="94"/>
      <c r="H447" s="93"/>
      <c r="I447" s="99"/>
      <c r="J447" s="100"/>
    </row>
    <row r="448" spans="1:10">
      <c r="A448" s="501"/>
      <c r="B448" s="95" t="s">
        <v>207</v>
      </c>
      <c r="C448" s="99"/>
      <c r="D448" s="100"/>
      <c r="E448" s="99"/>
      <c r="F448" s="100"/>
      <c r="G448" s="94"/>
      <c r="H448" s="93"/>
      <c r="I448" s="99"/>
      <c r="J448" s="100"/>
    </row>
    <row r="449" spans="1:10">
      <c r="A449" s="501"/>
      <c r="B449" s="96" t="s">
        <v>296</v>
      </c>
      <c r="C449" s="94"/>
      <c r="D449" s="93"/>
      <c r="E449" s="94"/>
      <c r="F449" s="93"/>
      <c r="G449" s="94"/>
      <c r="H449" s="93"/>
      <c r="I449" s="94"/>
      <c r="J449" s="93"/>
    </row>
    <row r="450" spans="1:10">
      <c r="A450" s="501"/>
      <c r="B450" s="96" t="s">
        <v>208</v>
      </c>
      <c r="C450" s="94"/>
      <c r="D450" s="93"/>
      <c r="E450" s="94"/>
      <c r="F450" s="93"/>
      <c r="G450" s="94"/>
      <c r="H450" s="93"/>
      <c r="I450" s="94"/>
      <c r="J450" s="93"/>
    </row>
    <row r="451" spans="1:10">
      <c r="A451" s="501"/>
      <c r="B451" s="96" t="s">
        <v>209</v>
      </c>
      <c r="C451" s="94"/>
      <c r="D451" s="93"/>
      <c r="E451" s="94"/>
      <c r="F451" s="93"/>
      <c r="G451" s="94"/>
      <c r="H451" s="93"/>
      <c r="I451" s="94"/>
      <c r="J451" s="93"/>
    </row>
    <row r="452" spans="1:10">
      <c r="A452" s="501"/>
      <c r="B452" s="96" t="s">
        <v>210</v>
      </c>
      <c r="C452" s="94"/>
      <c r="D452" s="93"/>
      <c r="E452" s="94"/>
      <c r="F452" s="93"/>
      <c r="G452" s="94"/>
      <c r="H452" s="93"/>
      <c r="I452" s="94"/>
      <c r="J452" s="93"/>
    </row>
    <row r="453" spans="1:10">
      <c r="A453" s="501"/>
      <c r="B453" s="96" t="s">
        <v>211</v>
      </c>
      <c r="C453" s="94"/>
      <c r="D453" s="93"/>
      <c r="E453" s="94"/>
      <c r="F453" s="93"/>
      <c r="G453" s="94"/>
      <c r="H453" s="93"/>
      <c r="I453" s="94"/>
      <c r="J453" s="93"/>
    </row>
    <row r="454" spans="1:10">
      <c r="A454" s="501"/>
      <c r="B454" s="96" t="s">
        <v>212</v>
      </c>
      <c r="C454" s="94"/>
      <c r="D454" s="93"/>
      <c r="E454" s="94"/>
      <c r="F454" s="93"/>
      <c r="G454" s="94"/>
      <c r="H454" s="93"/>
      <c r="I454" s="94"/>
      <c r="J454" s="93"/>
    </row>
    <row r="455" spans="1:10">
      <c r="A455" s="501"/>
      <c r="B455" s="96" t="s">
        <v>213</v>
      </c>
      <c r="C455" s="94"/>
      <c r="D455" s="93"/>
      <c r="E455" s="94"/>
      <c r="F455" s="93"/>
      <c r="G455" s="94"/>
      <c r="H455" s="93"/>
      <c r="I455" s="94"/>
      <c r="J455" s="93"/>
    </row>
    <row r="456" spans="1:10">
      <c r="A456" s="501"/>
      <c r="B456" s="96" t="s">
        <v>214</v>
      </c>
      <c r="C456" s="94"/>
      <c r="D456" s="93"/>
      <c r="E456" s="94"/>
      <c r="F456" s="93"/>
      <c r="G456" s="94"/>
      <c r="H456" s="93"/>
      <c r="I456" s="94"/>
      <c r="J456" s="93"/>
    </row>
    <row r="457" spans="1:10">
      <c r="A457" s="501"/>
      <c r="B457" s="96" t="s">
        <v>215</v>
      </c>
      <c r="C457" s="94"/>
      <c r="D457" s="93"/>
      <c r="E457" s="94"/>
      <c r="F457" s="93"/>
      <c r="G457" s="94"/>
      <c r="H457" s="93"/>
      <c r="I457" s="94"/>
      <c r="J457" s="93"/>
    </row>
    <row r="458" spans="1:10">
      <c r="A458" s="501"/>
      <c r="B458" s="96" t="s">
        <v>216</v>
      </c>
      <c r="C458" s="94"/>
      <c r="D458" s="93"/>
      <c r="E458" s="94"/>
      <c r="F458" s="93"/>
      <c r="G458" s="94"/>
      <c r="H458" s="93"/>
      <c r="I458" s="94"/>
      <c r="J458" s="93"/>
    </row>
    <row r="459" spans="1:10">
      <c r="A459" s="501"/>
      <c r="B459" s="96" t="s">
        <v>217</v>
      </c>
      <c r="C459" s="94"/>
      <c r="D459" s="93"/>
      <c r="E459" s="94"/>
      <c r="F459" s="93"/>
      <c r="G459" s="94"/>
      <c r="H459" s="93"/>
      <c r="I459" s="99"/>
      <c r="J459" s="100"/>
    </row>
    <row r="460" spans="1:10">
      <c r="A460" s="501"/>
      <c r="B460" s="96" t="s">
        <v>218</v>
      </c>
      <c r="C460" s="94"/>
      <c r="D460" s="93"/>
      <c r="E460" s="94"/>
      <c r="F460" s="93"/>
      <c r="G460" s="94"/>
      <c r="H460" s="93"/>
      <c r="I460" s="99"/>
      <c r="J460" s="100"/>
    </row>
    <row r="461" spans="1:10">
      <c r="A461" s="501"/>
      <c r="B461" s="96" t="s">
        <v>219</v>
      </c>
      <c r="C461" s="94"/>
      <c r="D461" s="93"/>
      <c r="E461" s="94"/>
      <c r="F461" s="93"/>
      <c r="G461" s="94"/>
      <c r="H461" s="93"/>
      <c r="I461" s="99"/>
      <c r="J461" s="100"/>
    </row>
    <row r="462" spans="1:10">
      <c r="A462" s="501"/>
      <c r="B462" s="96" t="s">
        <v>220</v>
      </c>
      <c r="C462" s="94"/>
      <c r="D462" s="93"/>
      <c r="E462" s="94"/>
      <c r="F462" s="93"/>
      <c r="G462" s="99"/>
      <c r="H462" s="100"/>
      <c r="I462" s="99"/>
      <c r="J462" s="100"/>
    </row>
    <row r="463" spans="1:10">
      <c r="A463" s="501"/>
      <c r="B463" s="96" t="s">
        <v>297</v>
      </c>
      <c r="C463" s="94"/>
      <c r="D463" s="93"/>
      <c r="E463" s="99"/>
      <c r="F463" s="100"/>
      <c r="G463" s="99"/>
      <c r="H463" s="100"/>
      <c r="I463" s="99"/>
      <c r="J463" s="100"/>
    </row>
    <row r="464" spans="1:10">
      <c r="A464" s="501"/>
      <c r="B464" s="96" t="s">
        <v>221</v>
      </c>
      <c r="C464" s="94"/>
      <c r="D464" s="93"/>
      <c r="E464" s="99"/>
      <c r="F464" s="100"/>
      <c r="G464" s="99"/>
      <c r="H464" s="100"/>
      <c r="I464" s="99"/>
      <c r="J464" s="100"/>
    </row>
    <row r="465" spans="1:10">
      <c r="A465" s="501"/>
      <c r="B465" s="97" t="s">
        <v>298</v>
      </c>
      <c r="C465" s="94"/>
      <c r="D465" s="93"/>
      <c r="E465" s="94"/>
      <c r="F465" s="93"/>
      <c r="G465" s="94"/>
      <c r="H465" s="93"/>
      <c r="I465" s="94"/>
      <c r="J465" s="93"/>
    </row>
    <row r="466" spans="1:10">
      <c r="A466" s="501"/>
      <c r="B466" s="97" t="s">
        <v>222</v>
      </c>
      <c r="C466" s="94"/>
      <c r="D466" s="93"/>
      <c r="E466" s="94"/>
      <c r="F466" s="93"/>
      <c r="G466" s="94"/>
      <c r="H466" s="93"/>
      <c r="I466" s="94"/>
      <c r="J466" s="93"/>
    </row>
    <row r="467" spans="1:10">
      <c r="A467" s="501"/>
      <c r="B467" s="97" t="s">
        <v>223</v>
      </c>
      <c r="C467" s="94"/>
      <c r="D467" s="93"/>
      <c r="E467" s="94"/>
      <c r="F467" s="93"/>
      <c r="G467" s="94"/>
      <c r="H467" s="93"/>
      <c r="I467" s="94"/>
      <c r="J467" s="93"/>
    </row>
    <row r="468" spans="1:10">
      <c r="A468" s="501"/>
      <c r="B468" s="97" t="s">
        <v>224</v>
      </c>
      <c r="C468" s="94"/>
      <c r="D468" s="93"/>
      <c r="E468" s="94"/>
      <c r="F468" s="93"/>
      <c r="G468" s="94"/>
      <c r="H468" s="93"/>
      <c r="I468" s="94"/>
      <c r="J468" s="93"/>
    </row>
    <row r="469" spans="1:10">
      <c r="A469" s="501"/>
      <c r="B469" s="97" t="s">
        <v>225</v>
      </c>
      <c r="C469" s="94"/>
      <c r="D469" s="93"/>
      <c r="E469" s="94"/>
      <c r="F469" s="93"/>
      <c r="G469" s="94"/>
      <c r="H469" s="93"/>
      <c r="I469" s="94"/>
      <c r="J469" s="93"/>
    </row>
    <row r="470" spans="1:10">
      <c r="A470" s="501"/>
      <c r="B470" s="97" t="s">
        <v>226</v>
      </c>
      <c r="C470" s="94"/>
      <c r="D470" s="93"/>
      <c r="E470" s="94"/>
      <c r="F470" s="93"/>
      <c r="G470" s="94"/>
      <c r="H470" s="93"/>
      <c r="I470" s="94"/>
      <c r="J470" s="93"/>
    </row>
    <row r="471" spans="1:10">
      <c r="A471" s="501"/>
      <c r="B471" s="97" t="s">
        <v>227</v>
      </c>
      <c r="C471" s="94"/>
      <c r="D471" s="93"/>
      <c r="E471" s="94"/>
      <c r="F471" s="93"/>
      <c r="G471" s="94"/>
      <c r="H471" s="93"/>
      <c r="I471" s="94"/>
      <c r="J471" s="93"/>
    </row>
    <row r="472" spans="1:10">
      <c r="A472" s="501"/>
      <c r="B472" s="97" t="s">
        <v>228</v>
      </c>
      <c r="C472" s="94"/>
      <c r="D472" s="93"/>
      <c r="E472" s="94"/>
      <c r="F472" s="93"/>
      <c r="G472" s="94"/>
      <c r="H472" s="93"/>
      <c r="I472" s="94"/>
      <c r="J472" s="93"/>
    </row>
    <row r="473" spans="1:10">
      <c r="A473" s="501"/>
      <c r="B473" s="97" t="s">
        <v>229</v>
      </c>
      <c r="C473" s="94"/>
      <c r="D473" s="93"/>
      <c r="E473" s="94"/>
      <c r="F473" s="93"/>
      <c r="G473" s="99"/>
      <c r="H473" s="100"/>
      <c r="I473" s="94"/>
      <c r="J473" s="93"/>
    </row>
    <row r="474" spans="1:10">
      <c r="A474" s="501"/>
      <c r="B474" s="97" t="s">
        <v>230</v>
      </c>
      <c r="C474" s="94"/>
      <c r="D474" s="93"/>
      <c r="E474" s="94"/>
      <c r="F474" s="93"/>
      <c r="G474" s="99"/>
      <c r="H474" s="100"/>
      <c r="I474" s="99"/>
      <c r="J474" s="100"/>
    </row>
    <row r="475" spans="1:10">
      <c r="A475" s="501"/>
      <c r="B475" s="97" t="s">
        <v>231</v>
      </c>
      <c r="C475" s="94"/>
      <c r="D475" s="93"/>
      <c r="E475" s="94"/>
      <c r="F475" s="93"/>
      <c r="G475" s="99"/>
      <c r="H475" s="100"/>
      <c r="I475" s="99"/>
      <c r="J475" s="100"/>
    </row>
    <row r="476" spans="1:10">
      <c r="A476" s="501"/>
      <c r="B476" s="97" t="s">
        <v>232</v>
      </c>
      <c r="C476" s="94"/>
      <c r="D476" s="93"/>
      <c r="E476" s="94"/>
      <c r="F476" s="93"/>
      <c r="G476" s="99"/>
      <c r="H476" s="100"/>
      <c r="I476" s="99"/>
      <c r="J476" s="100"/>
    </row>
    <row r="477" spans="1:10">
      <c r="A477" s="501"/>
      <c r="B477" s="97" t="s">
        <v>233</v>
      </c>
      <c r="C477" s="94"/>
      <c r="D477" s="93"/>
      <c r="E477" s="94"/>
      <c r="F477" s="93"/>
      <c r="G477" s="99"/>
      <c r="H477" s="100"/>
      <c r="I477" s="99"/>
      <c r="J477" s="100"/>
    </row>
    <row r="478" spans="1:10">
      <c r="A478" s="501"/>
      <c r="B478" s="97" t="s">
        <v>234</v>
      </c>
      <c r="C478" s="94"/>
      <c r="D478" s="93"/>
      <c r="E478" s="94"/>
      <c r="F478" s="93"/>
      <c r="G478" s="99"/>
      <c r="H478" s="100"/>
      <c r="I478" s="99"/>
      <c r="J478" s="100"/>
    </row>
    <row r="479" spans="1:10">
      <c r="A479" s="501"/>
      <c r="B479" s="97" t="s">
        <v>235</v>
      </c>
      <c r="C479" s="94"/>
      <c r="D479" s="93"/>
      <c r="E479" s="99"/>
      <c r="F479" s="100"/>
      <c r="G479" s="99"/>
      <c r="H479" s="100"/>
      <c r="I479" s="99"/>
      <c r="J479" s="100"/>
    </row>
    <row r="480" spans="1:10">
      <c r="A480" s="501"/>
      <c r="B480" s="97" t="s">
        <v>236</v>
      </c>
      <c r="C480" s="94"/>
      <c r="D480" s="93"/>
      <c r="E480" s="99"/>
      <c r="F480" s="100"/>
      <c r="G480" s="99"/>
      <c r="H480" s="100"/>
      <c r="I480" s="99"/>
      <c r="J480" s="100"/>
    </row>
    <row r="481" spans="1:10">
      <c r="A481" s="501"/>
      <c r="B481" s="98" t="s">
        <v>299</v>
      </c>
      <c r="C481" s="94"/>
      <c r="D481" s="93"/>
      <c r="E481" s="94"/>
      <c r="F481" s="93"/>
      <c r="G481" s="94"/>
      <c r="H481" s="93"/>
      <c r="I481" s="94"/>
      <c r="J481" s="93"/>
    </row>
    <row r="482" spans="1:10">
      <c r="A482" s="501"/>
      <c r="B482" s="98" t="s">
        <v>237</v>
      </c>
      <c r="C482" s="94"/>
      <c r="D482" s="93"/>
      <c r="E482" s="94"/>
      <c r="F482" s="93"/>
      <c r="G482" s="94"/>
      <c r="H482" s="93"/>
      <c r="I482" s="94"/>
      <c r="J482" s="93"/>
    </row>
    <row r="483" spans="1:10">
      <c r="A483" s="501"/>
      <c r="B483" s="98" t="s">
        <v>238</v>
      </c>
      <c r="C483" s="94"/>
      <c r="D483" s="93"/>
      <c r="E483" s="94"/>
      <c r="F483" s="93"/>
      <c r="G483" s="94"/>
      <c r="H483" s="93"/>
      <c r="I483" s="94"/>
      <c r="J483" s="93"/>
    </row>
    <row r="484" spans="1:10">
      <c r="A484" s="501"/>
      <c r="B484" s="98" t="s">
        <v>239</v>
      </c>
      <c r="C484" s="94"/>
      <c r="D484" s="93"/>
      <c r="E484" s="94"/>
      <c r="F484" s="93"/>
      <c r="G484" s="94"/>
      <c r="H484" s="93"/>
      <c r="I484" s="94"/>
      <c r="J484" s="93"/>
    </row>
    <row r="485" spans="1:10">
      <c r="A485" s="501"/>
      <c r="B485" s="98" t="s">
        <v>240</v>
      </c>
      <c r="C485" s="94"/>
      <c r="D485" s="93"/>
      <c r="E485" s="94"/>
      <c r="F485" s="93"/>
      <c r="G485" s="94"/>
      <c r="H485" s="93"/>
      <c r="I485" s="94"/>
      <c r="J485" s="93"/>
    </row>
    <row r="486" spans="1:10">
      <c r="A486" s="501"/>
      <c r="B486" s="98" t="s">
        <v>241</v>
      </c>
      <c r="C486" s="94"/>
      <c r="D486" s="93"/>
      <c r="E486" s="94"/>
      <c r="F486" s="93"/>
      <c r="G486" s="94"/>
      <c r="H486" s="93"/>
      <c r="I486" s="94"/>
      <c r="J486" s="93"/>
    </row>
    <row r="487" spans="1:10">
      <c r="A487" s="501"/>
      <c r="B487" s="98" t="s">
        <v>242</v>
      </c>
      <c r="C487" s="94"/>
      <c r="D487" s="93"/>
      <c r="E487" s="94"/>
      <c r="F487" s="93"/>
      <c r="G487" s="94"/>
      <c r="H487" s="93"/>
      <c r="I487" s="94"/>
      <c r="J487" s="93"/>
    </row>
    <row r="488" spans="1:10">
      <c r="A488" s="501"/>
      <c r="B488" s="98" t="s">
        <v>243</v>
      </c>
      <c r="C488" s="94"/>
      <c r="D488" s="93"/>
      <c r="E488" s="94"/>
      <c r="F488" s="93"/>
      <c r="G488" s="94"/>
      <c r="H488" s="93"/>
      <c r="I488" s="94"/>
      <c r="J488" s="93"/>
    </row>
    <row r="489" spans="1:10">
      <c r="A489" s="501"/>
      <c r="B489" s="98" t="s">
        <v>244</v>
      </c>
      <c r="C489" s="94"/>
      <c r="D489" s="93"/>
      <c r="E489" s="94"/>
      <c r="F489" s="93"/>
      <c r="G489" s="94"/>
      <c r="H489" s="93"/>
      <c r="I489" s="99"/>
      <c r="J489" s="100"/>
    </row>
    <row r="490" spans="1:10">
      <c r="A490" s="501"/>
      <c r="B490" s="98" t="s">
        <v>245</v>
      </c>
      <c r="C490" s="94"/>
      <c r="D490" s="93"/>
      <c r="E490" s="94"/>
      <c r="F490" s="93"/>
      <c r="G490" s="94"/>
      <c r="H490" s="93"/>
      <c r="I490" s="99"/>
      <c r="J490" s="100"/>
    </row>
    <row r="491" spans="1:10">
      <c r="A491" s="501"/>
      <c r="B491" s="98" t="s">
        <v>246</v>
      </c>
      <c r="C491" s="99"/>
      <c r="D491" s="100"/>
      <c r="E491" s="94"/>
      <c r="F491" s="93"/>
      <c r="G491" s="94"/>
      <c r="H491" s="93"/>
      <c r="I491" s="99"/>
      <c r="J491" s="100"/>
    </row>
    <row r="492" spans="1:10">
      <c r="A492" s="501"/>
      <c r="B492" s="98" t="s">
        <v>247</v>
      </c>
      <c r="C492" s="99"/>
      <c r="D492" s="100"/>
      <c r="E492" s="94"/>
      <c r="F492" s="93"/>
      <c r="G492" s="94"/>
      <c r="H492" s="93"/>
      <c r="I492" s="99"/>
      <c r="J492" s="100"/>
    </row>
    <row r="493" spans="1:10">
      <c r="A493" s="501"/>
      <c r="B493" s="98" t="s">
        <v>248</v>
      </c>
      <c r="C493" s="99"/>
      <c r="D493" s="100"/>
      <c r="E493" s="99"/>
      <c r="F493" s="100"/>
      <c r="G493" s="94"/>
      <c r="H493" s="93"/>
      <c r="I493" s="99"/>
      <c r="J493" s="100"/>
    </row>
    <row r="494" spans="1:10">
      <c r="A494" s="501"/>
      <c r="B494" s="95" t="s">
        <v>300</v>
      </c>
      <c r="C494" s="99"/>
      <c r="D494" s="100"/>
      <c r="E494" s="99"/>
      <c r="F494" s="100"/>
      <c r="G494" s="99"/>
      <c r="H494" s="100"/>
      <c r="I494" s="94"/>
      <c r="J494" s="93"/>
    </row>
    <row r="495" spans="1:10">
      <c r="A495" s="501"/>
      <c r="B495" s="95" t="s">
        <v>249</v>
      </c>
      <c r="C495" s="99"/>
      <c r="D495" s="100"/>
      <c r="E495" s="99"/>
      <c r="F495" s="100"/>
      <c r="G495" s="99"/>
      <c r="H495" s="100"/>
      <c r="I495" s="94"/>
      <c r="J495" s="93"/>
    </row>
    <row r="496" spans="1:10">
      <c r="A496" s="501"/>
      <c r="B496" s="95" t="s">
        <v>250</v>
      </c>
      <c r="C496" s="99"/>
      <c r="D496" s="100"/>
      <c r="E496" s="99"/>
      <c r="F496" s="100"/>
      <c r="G496" s="99"/>
      <c r="H496" s="100"/>
      <c r="I496" s="94"/>
      <c r="J496" s="93"/>
    </row>
    <row r="497" spans="1:11">
      <c r="A497" s="501"/>
      <c r="B497" s="95" t="s">
        <v>251</v>
      </c>
      <c r="C497" s="99"/>
      <c r="D497" s="100"/>
      <c r="E497" s="99"/>
      <c r="F497" s="100"/>
      <c r="G497" s="99"/>
      <c r="H497" s="100"/>
      <c r="I497" s="94"/>
      <c r="J497" s="93"/>
    </row>
    <row r="498" spans="1:11">
      <c r="A498" s="501"/>
      <c r="B498" s="95" t="s">
        <v>252</v>
      </c>
      <c r="C498" s="99"/>
      <c r="D498" s="100"/>
      <c r="E498" s="99"/>
      <c r="F498" s="100"/>
      <c r="G498" s="99"/>
      <c r="H498" s="100"/>
      <c r="I498" s="94"/>
      <c r="J498" s="93"/>
    </row>
    <row r="499" spans="1:11">
      <c r="A499" s="501"/>
      <c r="B499" s="95" t="s">
        <v>253</v>
      </c>
      <c r="C499" s="99"/>
      <c r="D499" s="100"/>
      <c r="E499" s="99"/>
      <c r="F499" s="100"/>
      <c r="G499" s="99"/>
      <c r="H499" s="100"/>
      <c r="I499" s="94"/>
      <c r="J499" s="93"/>
    </row>
    <row r="500" spans="1:11">
      <c r="A500" s="501"/>
      <c r="B500" s="95" t="s">
        <v>254</v>
      </c>
      <c r="C500" s="99"/>
      <c r="D500" s="100"/>
      <c r="E500" s="99"/>
      <c r="F500" s="100"/>
      <c r="G500" s="99"/>
      <c r="H500" s="100"/>
      <c r="I500" s="94"/>
      <c r="J500" s="93"/>
    </row>
    <row r="501" spans="1:11">
      <c r="A501" s="501"/>
      <c r="B501" s="95" t="s">
        <v>255</v>
      </c>
      <c r="C501" s="99"/>
      <c r="D501" s="100"/>
      <c r="E501" s="99"/>
      <c r="F501" s="100"/>
      <c r="G501" s="99"/>
      <c r="H501" s="100"/>
      <c r="I501" s="94"/>
      <c r="J501" s="93"/>
    </row>
    <row r="502" spans="1:11">
      <c r="A502" s="501"/>
      <c r="B502" s="95" t="s">
        <v>256</v>
      </c>
      <c r="C502" s="99"/>
      <c r="D502" s="100"/>
      <c r="E502" s="99"/>
      <c r="F502" s="100"/>
      <c r="G502" s="99"/>
      <c r="H502" s="100"/>
      <c r="I502" s="94"/>
      <c r="J502" s="93"/>
    </row>
    <row r="503" spans="1:11">
      <c r="A503" s="501"/>
      <c r="B503" s="95" t="s">
        <v>257</v>
      </c>
      <c r="C503" s="99"/>
      <c r="D503" s="100"/>
      <c r="E503" s="99"/>
      <c r="F503" s="100"/>
      <c r="G503" s="99"/>
      <c r="H503" s="100"/>
      <c r="I503" s="94"/>
      <c r="J503" s="93"/>
    </row>
    <row r="504" spans="1:11">
      <c r="A504" s="501"/>
      <c r="B504" s="95" t="s">
        <v>258</v>
      </c>
      <c r="C504" s="99"/>
      <c r="D504" s="100"/>
      <c r="E504" s="99"/>
      <c r="F504" s="100"/>
      <c r="G504" s="99"/>
      <c r="H504" s="100"/>
      <c r="I504" s="94"/>
      <c r="J504" s="93"/>
    </row>
    <row r="505" spans="1:11">
      <c r="A505" s="502"/>
      <c r="B505" s="95" t="s">
        <v>259</v>
      </c>
      <c r="C505" s="99"/>
      <c r="D505" s="100"/>
      <c r="E505" s="99"/>
      <c r="F505" s="100"/>
      <c r="G505" s="99"/>
      <c r="H505" s="100"/>
      <c r="I505" s="94"/>
      <c r="J505" s="93"/>
    </row>
    <row r="506" spans="1:11">
      <c r="A506" s="116" t="s">
        <v>266</v>
      </c>
      <c r="B506" s="117" t="e">
        <f>SUM(C506,E506,G506,I506)</f>
        <v>#DIV/0!</v>
      </c>
      <c r="C506" s="104" t="e">
        <f>AVERAGE(C433:C445,C449:C490)</f>
        <v>#DIV/0!</v>
      </c>
      <c r="D506" s="104" t="e">
        <f>AVERAGE(D433:D445,D449:D490)</f>
        <v>#DIV/0!</v>
      </c>
      <c r="E506" s="104" t="e">
        <f>AVERAGE(E433:E441,E449:E462,E465:E478,E481:E492)</f>
        <v>#DIV/0!</v>
      </c>
      <c r="F506" s="104" t="e">
        <f>AVERAGE(F433:F441,F449:F462,F465:F478,F481:F492)</f>
        <v>#DIV/0!</v>
      </c>
      <c r="G506" s="104" t="e">
        <f>AVERAGE(G433:G461,G465:G472,G481:G493)</f>
        <v>#DIV/0!</v>
      </c>
      <c r="H506" s="104" t="e">
        <f>AVERAGE(H433:H461,H465:H472,H481:H493)</f>
        <v>#DIV/0!</v>
      </c>
      <c r="I506" s="104" t="e">
        <f>AVERAGE(I433:I440,I449:I458,I465:I473,I481:I488,I494:I505)</f>
        <v>#DIV/0!</v>
      </c>
      <c r="J506" s="104" t="e">
        <f>AVERAGE(J433:J440,J449:J458,J465:J473,J481:J488,J494:J505)</f>
        <v>#DIV/0!</v>
      </c>
    </row>
    <row r="507" spans="1:11">
      <c r="A507" s="116" t="s">
        <v>267</v>
      </c>
      <c r="B507" s="117" t="e">
        <f>SUM(D506,F506,H506,J506)</f>
        <v>#DIV/0!</v>
      </c>
      <c r="C507" s="64" t="s">
        <v>268</v>
      </c>
      <c r="D507" s="118" t="s">
        <v>269</v>
      </c>
      <c r="E507" s="64" t="s">
        <v>268</v>
      </c>
      <c r="F507" s="118" t="s">
        <v>269</v>
      </c>
      <c r="G507" s="64" t="s">
        <v>268</v>
      </c>
      <c r="H507" s="118" t="s">
        <v>269</v>
      </c>
      <c r="I507" s="64" t="s">
        <v>268</v>
      </c>
      <c r="J507" s="118" t="s">
        <v>269</v>
      </c>
    </row>
    <row r="510" spans="1:11">
      <c r="A510" s="503" t="s">
        <v>107</v>
      </c>
      <c r="B510" s="503"/>
      <c r="C510" s="503"/>
      <c r="D510" s="503"/>
      <c r="E510" s="503"/>
      <c r="F510" s="503"/>
      <c r="G510" s="503"/>
      <c r="H510" s="503"/>
      <c r="I510" s="503"/>
      <c r="J510" s="504"/>
      <c r="K510" s="109">
        <v>4</v>
      </c>
    </row>
    <row r="511" spans="1:11" ht="34.799999999999997">
      <c r="A511" s="74" t="s">
        <v>270</v>
      </c>
      <c r="B511" s="74" t="s">
        <v>271</v>
      </c>
      <c r="C511" s="74" t="s">
        <v>272</v>
      </c>
      <c r="D511" s="74" t="s">
        <v>108</v>
      </c>
      <c r="E511" s="74" t="s">
        <v>109</v>
      </c>
      <c r="F511" s="75" t="s">
        <v>273</v>
      </c>
      <c r="G511" s="74" t="s">
        <v>110</v>
      </c>
      <c r="H511" s="74" t="s">
        <v>111</v>
      </c>
      <c r="I511" s="74" t="s">
        <v>112</v>
      </c>
      <c r="J511" s="74" t="s">
        <v>113</v>
      </c>
    </row>
    <row r="512" spans="1:11">
      <c r="A512" s="505" t="s">
        <v>274</v>
      </c>
      <c r="B512" s="87" t="s">
        <v>114</v>
      </c>
      <c r="C512" s="76" t="s">
        <v>275</v>
      </c>
      <c r="D512" s="77">
        <v>1</v>
      </c>
      <c r="E512" s="78">
        <v>1</v>
      </c>
      <c r="F512" s="497" t="s">
        <v>276</v>
      </c>
      <c r="G512" s="76">
        <v>105.48</v>
      </c>
      <c r="H512" s="67"/>
      <c r="I512" s="68"/>
      <c r="J512" s="68"/>
    </row>
    <row r="513" spans="1:10">
      <c r="A513" s="506"/>
      <c r="B513" s="87" t="s">
        <v>115</v>
      </c>
      <c r="C513" s="76" t="s">
        <v>277</v>
      </c>
      <c r="D513" s="77">
        <v>1</v>
      </c>
      <c r="E513" s="78">
        <v>1</v>
      </c>
      <c r="F513" s="498"/>
      <c r="G513" s="76">
        <v>105.48</v>
      </c>
      <c r="H513" s="67"/>
      <c r="I513" s="68"/>
      <c r="J513" s="68"/>
    </row>
    <row r="514" spans="1:10">
      <c r="A514" s="506"/>
      <c r="B514" s="87" t="s">
        <v>116</v>
      </c>
      <c r="C514" s="76" t="s">
        <v>117</v>
      </c>
      <c r="D514" s="77">
        <v>1</v>
      </c>
      <c r="E514" s="78">
        <v>1</v>
      </c>
      <c r="F514" s="79"/>
      <c r="G514" s="76">
        <v>105.48</v>
      </c>
      <c r="H514" s="67"/>
      <c r="I514" s="68"/>
      <c r="J514" s="68"/>
    </row>
    <row r="515" spans="1:10">
      <c r="A515" s="507"/>
      <c r="B515" s="87" t="s">
        <v>118</v>
      </c>
      <c r="C515" s="76" t="s">
        <v>119</v>
      </c>
      <c r="D515" s="77">
        <v>1</v>
      </c>
      <c r="E515" s="78">
        <v>1</v>
      </c>
      <c r="F515" s="79"/>
      <c r="G515" s="76">
        <v>105.48</v>
      </c>
      <c r="H515" s="67"/>
      <c r="I515" s="68"/>
      <c r="J515" s="68"/>
    </row>
    <row r="516" spans="1:10">
      <c r="A516" s="505" t="s">
        <v>278</v>
      </c>
      <c r="B516" s="87" t="s">
        <v>120</v>
      </c>
      <c r="C516" s="76" t="s">
        <v>279</v>
      </c>
      <c r="D516" s="77">
        <v>1</v>
      </c>
      <c r="E516" s="78">
        <v>1</v>
      </c>
      <c r="F516" s="497" t="s">
        <v>276</v>
      </c>
      <c r="G516" s="76">
        <v>105.48</v>
      </c>
      <c r="H516" s="67"/>
      <c r="I516" s="68"/>
      <c r="J516" s="68"/>
    </row>
    <row r="517" spans="1:10">
      <c r="A517" s="506"/>
      <c r="B517" s="87" t="s">
        <v>121</v>
      </c>
      <c r="C517" s="76" t="s">
        <v>280</v>
      </c>
      <c r="D517" s="77">
        <v>1</v>
      </c>
      <c r="E517" s="78">
        <v>1</v>
      </c>
      <c r="F517" s="498"/>
      <c r="G517" s="76">
        <v>105.48</v>
      </c>
      <c r="H517" s="67"/>
      <c r="I517" s="68"/>
      <c r="J517" s="68"/>
    </row>
    <row r="518" spans="1:10">
      <c r="A518" s="506"/>
      <c r="B518" s="87" t="s">
        <v>122</v>
      </c>
      <c r="C518" s="76" t="s">
        <v>123</v>
      </c>
      <c r="D518" s="77">
        <v>1</v>
      </c>
      <c r="E518" s="78">
        <v>1</v>
      </c>
      <c r="F518" s="498"/>
      <c r="G518" s="76">
        <v>105.48</v>
      </c>
      <c r="H518" s="67"/>
      <c r="I518" s="68"/>
      <c r="J518" s="68"/>
    </row>
    <row r="519" spans="1:10">
      <c r="A519" s="506"/>
      <c r="B519" s="87" t="s">
        <v>124</v>
      </c>
      <c r="C519" s="76" t="s">
        <v>125</v>
      </c>
      <c r="D519" s="77">
        <v>1</v>
      </c>
      <c r="E519" s="78">
        <v>1</v>
      </c>
      <c r="F519" s="498"/>
      <c r="G519" s="76">
        <v>105.48</v>
      </c>
      <c r="H519" s="67"/>
      <c r="I519" s="68"/>
      <c r="J519" s="68"/>
    </row>
    <row r="520" spans="1:10">
      <c r="A520" s="506"/>
      <c r="B520" s="87" t="s">
        <v>126</v>
      </c>
      <c r="C520" s="76" t="s">
        <v>281</v>
      </c>
      <c r="D520" s="77">
        <v>1</v>
      </c>
      <c r="E520" s="78">
        <v>1</v>
      </c>
      <c r="F520" s="79"/>
      <c r="G520" s="76">
        <v>70.319999999999993</v>
      </c>
      <c r="H520" s="67"/>
      <c r="I520" s="68"/>
      <c r="J520" s="68"/>
    </row>
    <row r="521" spans="1:10">
      <c r="A521" s="506"/>
      <c r="B521" s="87" t="s">
        <v>127</v>
      </c>
      <c r="C521" s="76" t="s">
        <v>128</v>
      </c>
      <c r="D521" s="77">
        <v>1</v>
      </c>
      <c r="E521" s="78">
        <v>1</v>
      </c>
      <c r="F521" s="79"/>
      <c r="G521" s="76">
        <v>70.319999999999993</v>
      </c>
      <c r="H521" s="67"/>
      <c r="I521" s="68"/>
      <c r="J521" s="68"/>
    </row>
    <row r="522" spans="1:10">
      <c r="A522" s="507"/>
      <c r="B522" s="87" t="s">
        <v>129</v>
      </c>
      <c r="C522" s="76" t="s">
        <v>130</v>
      </c>
      <c r="D522" s="77">
        <v>1</v>
      </c>
      <c r="E522" s="78">
        <v>1</v>
      </c>
      <c r="F522" s="79"/>
      <c r="G522" s="76">
        <v>70.319999999999993</v>
      </c>
      <c r="H522" s="67"/>
      <c r="I522" s="68"/>
      <c r="J522" s="68"/>
    </row>
    <row r="523" spans="1:10">
      <c r="A523" s="496" t="s">
        <v>282</v>
      </c>
      <c r="B523" s="87" t="s">
        <v>131</v>
      </c>
      <c r="C523" s="76" t="s">
        <v>283</v>
      </c>
      <c r="D523" s="77">
        <v>1</v>
      </c>
      <c r="E523" s="78">
        <v>1</v>
      </c>
      <c r="F523" s="497" t="s">
        <v>276</v>
      </c>
      <c r="G523" s="76">
        <v>105.48</v>
      </c>
      <c r="H523" s="67"/>
      <c r="I523" s="68"/>
      <c r="J523" s="68"/>
    </row>
    <row r="524" spans="1:10">
      <c r="A524" s="496"/>
      <c r="B524" s="87" t="s">
        <v>132</v>
      </c>
      <c r="C524" s="76" t="s">
        <v>133</v>
      </c>
      <c r="D524" s="77">
        <v>1</v>
      </c>
      <c r="E524" s="78">
        <v>1</v>
      </c>
      <c r="F524" s="498"/>
      <c r="G524" s="76">
        <v>105.48</v>
      </c>
      <c r="H524" s="67"/>
      <c r="I524" s="68"/>
      <c r="J524" s="68"/>
    </row>
    <row r="525" spans="1:10">
      <c r="A525" s="496"/>
      <c r="B525" s="87" t="s">
        <v>134</v>
      </c>
      <c r="C525" s="76" t="s">
        <v>135</v>
      </c>
      <c r="D525" s="77">
        <v>1</v>
      </c>
      <c r="E525" s="78">
        <v>1</v>
      </c>
      <c r="F525" s="498"/>
      <c r="G525" s="80">
        <v>105.48</v>
      </c>
      <c r="H525" s="67"/>
      <c r="I525" s="68"/>
      <c r="J525" s="68"/>
    </row>
    <row r="526" spans="1:10">
      <c r="A526" s="496"/>
      <c r="B526" s="87" t="s">
        <v>136</v>
      </c>
      <c r="C526" s="76" t="s">
        <v>137</v>
      </c>
      <c r="D526" s="77">
        <v>1</v>
      </c>
      <c r="E526" s="78">
        <v>1</v>
      </c>
      <c r="F526" s="498"/>
      <c r="G526" s="80">
        <v>105.48</v>
      </c>
      <c r="H526" s="67"/>
      <c r="I526" s="68"/>
      <c r="J526" s="68"/>
    </row>
    <row r="527" spans="1:10">
      <c r="A527" s="496"/>
      <c r="B527" s="87" t="s">
        <v>138</v>
      </c>
      <c r="C527" s="76" t="s">
        <v>284</v>
      </c>
      <c r="D527" s="77">
        <v>0</v>
      </c>
      <c r="E527" s="78">
        <v>1</v>
      </c>
      <c r="F527" s="497" t="s">
        <v>285</v>
      </c>
      <c r="G527" s="76">
        <v>32.549999999999997</v>
      </c>
      <c r="H527" s="69"/>
      <c r="I527" s="69"/>
      <c r="J527" s="69"/>
    </row>
    <row r="528" spans="1:10">
      <c r="A528" s="496"/>
      <c r="B528" s="87" t="s">
        <v>139</v>
      </c>
      <c r="C528" s="76" t="s">
        <v>140</v>
      </c>
      <c r="D528" s="77">
        <v>0</v>
      </c>
      <c r="E528" s="78">
        <v>1</v>
      </c>
      <c r="F528" s="499"/>
      <c r="G528" s="76">
        <v>32.549999999999997</v>
      </c>
      <c r="H528" s="70"/>
      <c r="I528" s="70"/>
      <c r="J528" s="70"/>
    </row>
    <row r="529" spans="1:10">
      <c r="A529" s="496"/>
      <c r="B529" s="87" t="s">
        <v>141</v>
      </c>
      <c r="C529" s="76" t="s">
        <v>286</v>
      </c>
      <c r="D529" s="77">
        <v>0</v>
      </c>
      <c r="E529" s="78">
        <v>1</v>
      </c>
      <c r="F529" s="497" t="s">
        <v>285</v>
      </c>
      <c r="G529" s="76">
        <v>32.549999999999997</v>
      </c>
      <c r="H529" s="70"/>
      <c r="I529" s="70"/>
      <c r="J529" s="70"/>
    </row>
    <row r="530" spans="1:10">
      <c r="A530" s="496"/>
      <c r="B530" s="87" t="s">
        <v>142</v>
      </c>
      <c r="C530" s="76" t="s">
        <v>143</v>
      </c>
      <c r="D530" s="77">
        <v>1</v>
      </c>
      <c r="E530" s="78">
        <v>1</v>
      </c>
      <c r="F530" s="498"/>
      <c r="G530" s="76">
        <v>32.549999999999997</v>
      </c>
      <c r="H530" s="71"/>
      <c r="I530" s="71"/>
      <c r="J530" s="71"/>
    </row>
    <row r="531" spans="1:10">
      <c r="A531" s="496"/>
      <c r="B531" s="87" t="s">
        <v>144</v>
      </c>
      <c r="C531" s="76" t="s">
        <v>145</v>
      </c>
      <c r="D531" s="77">
        <v>0</v>
      </c>
      <c r="E531" s="78">
        <v>1</v>
      </c>
      <c r="F531" s="498"/>
      <c r="G531" s="76">
        <v>32.549999999999997</v>
      </c>
      <c r="H531" s="70"/>
      <c r="I531" s="70"/>
      <c r="J531" s="70"/>
    </row>
    <row r="532" spans="1:10">
      <c r="A532" s="496"/>
      <c r="B532" s="87" t="s">
        <v>146</v>
      </c>
      <c r="C532" s="76" t="s">
        <v>147</v>
      </c>
      <c r="D532" s="77">
        <v>1</v>
      </c>
      <c r="E532" s="78">
        <v>1</v>
      </c>
      <c r="F532" s="498"/>
      <c r="G532" s="76">
        <v>32.549999999999997</v>
      </c>
      <c r="H532" s="71"/>
      <c r="I532" s="71"/>
      <c r="J532" s="71"/>
    </row>
    <row r="533" spans="1:10">
      <c r="A533" s="496"/>
      <c r="B533" s="87" t="s">
        <v>148</v>
      </c>
      <c r="C533" s="76" t="s">
        <v>149</v>
      </c>
      <c r="D533" s="77">
        <v>0</v>
      </c>
      <c r="E533" s="78">
        <v>1</v>
      </c>
      <c r="F533" s="498"/>
      <c r="G533" s="76">
        <v>32.549999999999997</v>
      </c>
      <c r="H533" s="71"/>
      <c r="I533" s="71"/>
      <c r="J533" s="71"/>
    </row>
    <row r="534" spans="1:10">
      <c r="A534" s="496"/>
      <c r="B534" s="87" t="s">
        <v>150</v>
      </c>
      <c r="C534" s="76" t="s">
        <v>151</v>
      </c>
      <c r="D534" s="77">
        <v>1</v>
      </c>
      <c r="E534" s="78">
        <v>1</v>
      </c>
      <c r="F534" s="498"/>
      <c r="G534" s="76">
        <v>32.549999999999997</v>
      </c>
      <c r="H534" s="71"/>
      <c r="I534" s="71"/>
      <c r="J534" s="71"/>
    </row>
    <row r="535" spans="1:10">
      <c r="A535" s="496"/>
      <c r="B535" s="87" t="s">
        <v>152</v>
      </c>
      <c r="C535" s="76" t="s">
        <v>153</v>
      </c>
      <c r="D535" s="77">
        <v>0</v>
      </c>
      <c r="E535" s="78">
        <v>1</v>
      </c>
      <c r="F535" s="498"/>
      <c r="G535" s="76">
        <v>32.549999999999997</v>
      </c>
      <c r="H535" s="70"/>
      <c r="I535" s="70"/>
      <c r="J535" s="70"/>
    </row>
    <row r="536" spans="1:10">
      <c r="A536" s="496"/>
      <c r="B536" s="87" t="s">
        <v>154</v>
      </c>
      <c r="C536" s="76" t="s">
        <v>155</v>
      </c>
      <c r="D536" s="77">
        <v>0</v>
      </c>
      <c r="E536" s="78">
        <v>1</v>
      </c>
      <c r="F536" s="498"/>
      <c r="G536" s="76">
        <v>32.549999999999997</v>
      </c>
      <c r="H536" s="70"/>
      <c r="I536" s="70"/>
      <c r="J536" s="70"/>
    </row>
    <row r="537" spans="1:10">
      <c r="A537" s="496"/>
      <c r="B537" s="87" t="s">
        <v>156</v>
      </c>
      <c r="C537" s="76" t="s">
        <v>157</v>
      </c>
      <c r="D537" s="77">
        <v>0</v>
      </c>
      <c r="E537" s="78">
        <v>1</v>
      </c>
      <c r="F537" s="498"/>
      <c r="G537" s="76">
        <v>32.549999999999997</v>
      </c>
      <c r="H537" s="70"/>
      <c r="I537" s="70"/>
      <c r="J537" s="70"/>
    </row>
    <row r="538" spans="1:10">
      <c r="A538" s="496"/>
      <c r="B538" s="87" t="s">
        <v>158</v>
      </c>
      <c r="C538" s="76" t="s">
        <v>159</v>
      </c>
      <c r="D538" s="77">
        <v>0</v>
      </c>
      <c r="E538" s="78">
        <v>1</v>
      </c>
      <c r="F538" s="498"/>
      <c r="G538" s="76">
        <v>32.549999999999997</v>
      </c>
      <c r="H538" s="70"/>
      <c r="I538" s="70"/>
      <c r="J538" s="70"/>
    </row>
    <row r="539" spans="1:10">
      <c r="A539" s="496"/>
      <c r="B539" s="87" t="s">
        <v>160</v>
      </c>
      <c r="C539" s="76" t="s">
        <v>161</v>
      </c>
      <c r="D539" s="77">
        <v>0</v>
      </c>
      <c r="E539" s="78">
        <v>1</v>
      </c>
      <c r="F539" s="498"/>
      <c r="G539" s="76">
        <v>32.549999999999997</v>
      </c>
      <c r="H539" s="70"/>
      <c r="I539" s="70"/>
      <c r="J539" s="70"/>
    </row>
    <row r="540" spans="1:10">
      <c r="A540" s="496"/>
      <c r="B540" s="87" t="s">
        <v>162</v>
      </c>
      <c r="C540" s="76" t="s">
        <v>163</v>
      </c>
      <c r="D540" s="77">
        <v>0</v>
      </c>
      <c r="E540" s="78">
        <v>1</v>
      </c>
      <c r="F540" s="499"/>
      <c r="G540" s="76">
        <v>32.549999999999997</v>
      </c>
      <c r="H540" s="70"/>
      <c r="I540" s="70"/>
      <c r="J540" s="70"/>
    </row>
    <row r="541" spans="1:10">
      <c r="A541" s="496"/>
      <c r="B541" s="87" t="s">
        <v>164</v>
      </c>
      <c r="C541" s="76" t="s">
        <v>287</v>
      </c>
      <c r="D541" s="77">
        <v>0</v>
      </c>
      <c r="E541" s="78">
        <v>1</v>
      </c>
      <c r="F541" s="497" t="s">
        <v>285</v>
      </c>
      <c r="G541" s="76">
        <v>24.4</v>
      </c>
      <c r="H541" s="70"/>
      <c r="I541" s="70"/>
      <c r="J541" s="70"/>
    </row>
    <row r="542" spans="1:10">
      <c r="A542" s="496"/>
      <c r="B542" s="87" t="s">
        <v>165</v>
      </c>
      <c r="C542" s="76" t="s">
        <v>166</v>
      </c>
      <c r="D542" s="77">
        <v>0</v>
      </c>
      <c r="E542" s="78">
        <v>1</v>
      </c>
      <c r="F542" s="499"/>
      <c r="G542" s="76">
        <v>24.4</v>
      </c>
      <c r="H542" s="70"/>
      <c r="I542" s="70"/>
      <c r="J542" s="70"/>
    </row>
    <row r="543" spans="1:10">
      <c r="A543" s="496" t="s">
        <v>288</v>
      </c>
      <c r="B543" s="87" t="s">
        <v>167</v>
      </c>
      <c r="C543" s="76" t="s">
        <v>289</v>
      </c>
      <c r="D543" s="77">
        <v>1</v>
      </c>
      <c r="E543" s="78">
        <v>1</v>
      </c>
      <c r="F543" s="497" t="s">
        <v>276</v>
      </c>
      <c r="G543" s="76">
        <v>105.48</v>
      </c>
      <c r="H543" s="67"/>
      <c r="I543" s="71"/>
      <c r="J543" s="71"/>
    </row>
    <row r="544" spans="1:10">
      <c r="A544" s="496"/>
      <c r="B544" s="87" t="s">
        <v>168</v>
      </c>
      <c r="C544" s="76" t="s">
        <v>169</v>
      </c>
      <c r="D544" s="77">
        <v>1</v>
      </c>
      <c r="E544" s="78">
        <v>1</v>
      </c>
      <c r="F544" s="498"/>
      <c r="G544" s="76">
        <v>105.48</v>
      </c>
      <c r="H544" s="67"/>
      <c r="I544" s="72"/>
      <c r="J544" s="72"/>
    </row>
    <row r="545" spans="1:10">
      <c r="A545" s="496"/>
      <c r="B545" s="87" t="s">
        <v>170</v>
      </c>
      <c r="C545" s="76" t="s">
        <v>171</v>
      </c>
      <c r="D545" s="77">
        <v>1</v>
      </c>
      <c r="E545" s="78">
        <v>1</v>
      </c>
      <c r="F545" s="498"/>
      <c r="G545" s="76">
        <v>105.48</v>
      </c>
      <c r="H545" s="67"/>
      <c r="I545" s="68"/>
      <c r="J545" s="68"/>
    </row>
    <row r="546" spans="1:10">
      <c r="A546" s="496"/>
      <c r="B546" s="87" t="s">
        <v>172</v>
      </c>
      <c r="C546" s="76" t="s">
        <v>173</v>
      </c>
      <c r="D546" s="77">
        <v>1</v>
      </c>
      <c r="E546" s="78">
        <v>1</v>
      </c>
      <c r="F546" s="498"/>
      <c r="G546" s="76">
        <v>105.48</v>
      </c>
      <c r="H546" s="67"/>
      <c r="I546" s="68"/>
      <c r="J546" s="68"/>
    </row>
    <row r="547" spans="1:10">
      <c r="A547" s="496"/>
      <c r="B547" s="87" t="s">
        <v>174</v>
      </c>
      <c r="C547" s="76" t="s">
        <v>290</v>
      </c>
      <c r="D547" s="77">
        <v>1</v>
      </c>
      <c r="E547" s="78">
        <v>1</v>
      </c>
      <c r="F547" s="498"/>
      <c r="G547" s="76">
        <v>65</v>
      </c>
      <c r="H547" s="73"/>
      <c r="I547" s="73"/>
      <c r="J547" s="73"/>
    </row>
    <row r="548" spans="1:10">
      <c r="A548" s="496"/>
      <c r="B548" s="87" t="s">
        <v>175</v>
      </c>
      <c r="C548" s="76" t="s">
        <v>176</v>
      </c>
      <c r="D548" s="77">
        <v>1</v>
      </c>
      <c r="E548" s="78">
        <v>1</v>
      </c>
      <c r="F548" s="499"/>
      <c r="G548" s="76">
        <v>65</v>
      </c>
      <c r="H548" s="73"/>
      <c r="I548" s="73"/>
      <c r="J548" s="73"/>
    </row>
    <row r="549" spans="1:10">
      <c r="A549" s="496"/>
      <c r="B549" s="87" t="s">
        <v>177</v>
      </c>
      <c r="C549" s="76" t="s">
        <v>291</v>
      </c>
      <c r="D549" s="77">
        <v>1</v>
      </c>
      <c r="E549" s="78">
        <v>1</v>
      </c>
      <c r="F549" s="497" t="s">
        <v>285</v>
      </c>
      <c r="G549" s="76">
        <v>16.3</v>
      </c>
      <c r="H549" s="73"/>
      <c r="I549" s="73"/>
      <c r="J549" s="73"/>
    </row>
    <row r="550" spans="1:10">
      <c r="A550" s="496"/>
      <c r="B550" s="87" t="s">
        <v>178</v>
      </c>
      <c r="C550" s="76" t="s">
        <v>179</v>
      </c>
      <c r="D550" s="77">
        <v>1</v>
      </c>
      <c r="E550" s="78">
        <v>1</v>
      </c>
      <c r="F550" s="498"/>
      <c r="G550" s="76">
        <v>16.3</v>
      </c>
      <c r="H550" s="73"/>
      <c r="I550" s="73"/>
      <c r="J550" s="73"/>
    </row>
    <row r="551" spans="1:10">
      <c r="A551" s="496"/>
      <c r="B551" s="87" t="s">
        <v>180</v>
      </c>
      <c r="C551" s="76" t="s">
        <v>181</v>
      </c>
      <c r="D551" s="77">
        <v>1</v>
      </c>
      <c r="E551" s="78">
        <v>1</v>
      </c>
      <c r="F551" s="498"/>
      <c r="G551" s="76">
        <v>16.3</v>
      </c>
      <c r="H551" s="73"/>
      <c r="I551" s="73"/>
      <c r="J551" s="73"/>
    </row>
    <row r="552" spans="1:10">
      <c r="A552" s="496"/>
      <c r="B552" s="87" t="s">
        <v>292</v>
      </c>
      <c r="C552" s="76" t="s">
        <v>182</v>
      </c>
      <c r="D552" s="77">
        <v>1</v>
      </c>
      <c r="E552" s="78">
        <v>1</v>
      </c>
      <c r="F552" s="499"/>
      <c r="G552" s="76">
        <v>35</v>
      </c>
      <c r="H552" s="73"/>
      <c r="I552" s="73"/>
      <c r="J552" s="73"/>
    </row>
    <row r="553" spans="1:10">
      <c r="H553" s="66" t="e">
        <f>AVERAGE(H512:H526,H532:H534,H543:H552)</f>
        <v>#DIV/0!</v>
      </c>
      <c r="I553" s="66" t="e">
        <f t="shared" ref="I553:J553" si="3">AVERAGE(I512:I526,I532:I534,I543:I552)</f>
        <v>#DIV/0!</v>
      </c>
      <c r="J553" s="114" t="e">
        <f t="shared" si="3"/>
        <v>#DIV/0!</v>
      </c>
    </row>
    <row r="554" spans="1:10">
      <c r="J554" s="65" t="s">
        <v>264</v>
      </c>
    </row>
    <row r="555" spans="1:10">
      <c r="A555" s="503" t="s">
        <v>183</v>
      </c>
      <c r="B555" s="503"/>
      <c r="C555" s="503"/>
      <c r="D555" s="503"/>
      <c r="E555" s="503"/>
      <c r="F555" s="503"/>
      <c r="G555" s="503"/>
      <c r="H555" s="503"/>
      <c r="I555" s="503"/>
      <c r="J555" s="504"/>
    </row>
    <row r="556" spans="1:10" ht="34.799999999999997">
      <c r="A556" s="74" t="s">
        <v>270</v>
      </c>
      <c r="B556" s="74" t="s">
        <v>271</v>
      </c>
      <c r="C556" s="74" t="s">
        <v>272</v>
      </c>
      <c r="D556" s="74" t="s">
        <v>108</v>
      </c>
      <c r="E556" s="74" t="s">
        <v>109</v>
      </c>
      <c r="F556" s="75" t="s">
        <v>273</v>
      </c>
      <c r="G556" s="74" t="s">
        <v>110</v>
      </c>
      <c r="H556" s="74" t="s">
        <v>184</v>
      </c>
      <c r="I556" s="74" t="s">
        <v>185</v>
      </c>
      <c r="J556" s="74" t="s">
        <v>186</v>
      </c>
    </row>
    <row r="557" spans="1:10">
      <c r="A557" s="508" t="s">
        <v>274</v>
      </c>
      <c r="B557" s="88" t="s">
        <v>114</v>
      </c>
      <c r="C557" s="89" t="s">
        <v>275</v>
      </c>
      <c r="D557" s="90">
        <v>1</v>
      </c>
      <c r="E557" s="89">
        <v>1</v>
      </c>
      <c r="F557" s="497" t="s">
        <v>276</v>
      </c>
      <c r="G557" s="76">
        <v>105.48</v>
      </c>
      <c r="H557" s="81"/>
      <c r="I557" s="82"/>
      <c r="J557" s="82"/>
    </row>
    <row r="558" spans="1:10">
      <c r="A558" s="509"/>
      <c r="B558" s="88" t="s">
        <v>115</v>
      </c>
      <c r="C558" s="89" t="s">
        <v>277</v>
      </c>
      <c r="D558" s="90">
        <v>1</v>
      </c>
      <c r="E558" s="89">
        <v>1</v>
      </c>
      <c r="F558" s="498"/>
      <c r="G558" s="76">
        <v>105.48</v>
      </c>
      <c r="H558" s="81"/>
      <c r="I558" s="82"/>
      <c r="J558" s="82"/>
    </row>
    <row r="559" spans="1:10">
      <c r="A559" s="509"/>
      <c r="B559" s="88" t="s">
        <v>116</v>
      </c>
      <c r="C559" s="89" t="s">
        <v>117</v>
      </c>
      <c r="D559" s="90">
        <v>1</v>
      </c>
      <c r="E559" s="89">
        <v>1</v>
      </c>
      <c r="F559" s="79"/>
      <c r="G559" s="76">
        <v>105.48</v>
      </c>
      <c r="H559" s="81"/>
      <c r="I559" s="82"/>
      <c r="J559" s="82"/>
    </row>
    <row r="560" spans="1:10">
      <c r="A560" s="510"/>
      <c r="B560" s="88" t="s">
        <v>118</v>
      </c>
      <c r="C560" s="89" t="s">
        <v>119</v>
      </c>
      <c r="D560" s="90">
        <v>1</v>
      </c>
      <c r="E560" s="89">
        <v>1</v>
      </c>
      <c r="F560" s="79"/>
      <c r="G560" s="76">
        <v>105.48</v>
      </c>
      <c r="H560" s="81"/>
      <c r="I560" s="82"/>
      <c r="J560" s="82"/>
    </row>
    <row r="561" spans="1:10">
      <c r="A561" s="496" t="s">
        <v>278</v>
      </c>
      <c r="B561" s="87" t="s">
        <v>120</v>
      </c>
      <c r="C561" s="76" t="s">
        <v>279</v>
      </c>
      <c r="D561" s="77">
        <v>1</v>
      </c>
      <c r="E561" s="78">
        <v>1</v>
      </c>
      <c r="F561" s="497" t="s">
        <v>276</v>
      </c>
      <c r="G561" s="76">
        <v>105.48</v>
      </c>
      <c r="H561" s="81"/>
      <c r="I561" s="82"/>
      <c r="J561" s="82"/>
    </row>
    <row r="562" spans="1:10">
      <c r="A562" s="496"/>
      <c r="B562" s="87" t="s">
        <v>121</v>
      </c>
      <c r="C562" s="76" t="s">
        <v>280</v>
      </c>
      <c r="D562" s="77">
        <v>1</v>
      </c>
      <c r="E562" s="78">
        <v>1</v>
      </c>
      <c r="F562" s="498"/>
      <c r="G562" s="76">
        <v>105.48</v>
      </c>
      <c r="H562" s="81"/>
      <c r="I562" s="82"/>
      <c r="J562" s="82"/>
    </row>
    <row r="563" spans="1:10">
      <c r="A563" s="496"/>
      <c r="B563" s="87" t="s">
        <v>122</v>
      </c>
      <c r="C563" s="76" t="s">
        <v>123</v>
      </c>
      <c r="D563" s="77">
        <v>1</v>
      </c>
      <c r="E563" s="78">
        <v>1</v>
      </c>
      <c r="F563" s="498"/>
      <c r="G563" s="76">
        <v>105.48</v>
      </c>
      <c r="H563" s="81"/>
      <c r="I563" s="82"/>
      <c r="J563" s="82"/>
    </row>
    <row r="564" spans="1:10">
      <c r="A564" s="496"/>
      <c r="B564" s="87" t="s">
        <v>124</v>
      </c>
      <c r="C564" s="76" t="s">
        <v>125</v>
      </c>
      <c r="D564" s="77">
        <v>1</v>
      </c>
      <c r="E564" s="78">
        <v>1</v>
      </c>
      <c r="F564" s="498"/>
      <c r="G564" s="76">
        <v>105.48</v>
      </c>
      <c r="H564" s="81"/>
      <c r="I564" s="82"/>
      <c r="J564" s="82"/>
    </row>
    <row r="565" spans="1:10">
      <c r="A565" s="496" t="s">
        <v>282</v>
      </c>
      <c r="B565" s="87" t="s">
        <v>131</v>
      </c>
      <c r="C565" s="76" t="s">
        <v>283</v>
      </c>
      <c r="D565" s="77">
        <v>1</v>
      </c>
      <c r="E565" s="78">
        <v>1</v>
      </c>
      <c r="F565" s="497" t="s">
        <v>276</v>
      </c>
      <c r="G565" s="76">
        <v>105.48</v>
      </c>
      <c r="H565" s="81"/>
      <c r="I565" s="82"/>
      <c r="J565" s="82"/>
    </row>
    <row r="566" spans="1:10">
      <c r="A566" s="496"/>
      <c r="B566" s="87" t="s">
        <v>132</v>
      </c>
      <c r="C566" s="76" t="s">
        <v>133</v>
      </c>
      <c r="D566" s="77">
        <v>1</v>
      </c>
      <c r="E566" s="78">
        <v>1</v>
      </c>
      <c r="F566" s="498"/>
      <c r="G566" s="76">
        <v>105.48</v>
      </c>
      <c r="H566" s="81"/>
      <c r="I566" s="82"/>
      <c r="J566" s="82"/>
    </row>
    <row r="567" spans="1:10">
      <c r="A567" s="496"/>
      <c r="B567" s="87" t="s">
        <v>134</v>
      </c>
      <c r="C567" s="76" t="s">
        <v>135</v>
      </c>
      <c r="D567" s="77">
        <v>1</v>
      </c>
      <c r="E567" s="78">
        <v>1</v>
      </c>
      <c r="F567" s="498"/>
      <c r="G567" s="80">
        <v>105.48</v>
      </c>
      <c r="H567" s="81"/>
      <c r="I567" s="82"/>
      <c r="J567" s="82"/>
    </row>
    <row r="568" spans="1:10">
      <c r="A568" s="496"/>
      <c r="B568" s="87" t="s">
        <v>136</v>
      </c>
      <c r="C568" s="76" t="s">
        <v>137</v>
      </c>
      <c r="D568" s="77">
        <v>1</v>
      </c>
      <c r="E568" s="78">
        <v>1</v>
      </c>
      <c r="F568" s="498"/>
      <c r="G568" s="80">
        <v>105.48</v>
      </c>
      <c r="H568" s="81"/>
      <c r="I568" s="82"/>
      <c r="J568" s="82"/>
    </row>
    <row r="569" spans="1:10">
      <c r="A569" s="496"/>
      <c r="B569" s="87" t="s">
        <v>138</v>
      </c>
      <c r="C569" s="76" t="s">
        <v>284</v>
      </c>
      <c r="D569" s="76">
        <v>0</v>
      </c>
      <c r="E569" s="78">
        <v>1</v>
      </c>
      <c r="F569" s="78">
        <v>1</v>
      </c>
      <c r="G569" s="76">
        <v>32.549999999999997</v>
      </c>
      <c r="H569" s="83"/>
      <c r="I569" s="83"/>
      <c r="J569" s="83"/>
    </row>
    <row r="570" spans="1:10">
      <c r="A570" s="496"/>
      <c r="B570" s="87" t="s">
        <v>139</v>
      </c>
      <c r="C570" s="76" t="s">
        <v>140</v>
      </c>
      <c r="D570" s="76">
        <v>0</v>
      </c>
      <c r="E570" s="78">
        <v>1</v>
      </c>
      <c r="F570" s="78">
        <v>1</v>
      </c>
      <c r="G570" s="76">
        <v>32.549999999999997</v>
      </c>
      <c r="H570" s="84"/>
      <c r="I570" s="84"/>
      <c r="J570" s="84"/>
    </row>
    <row r="571" spans="1:10">
      <c r="A571" s="496"/>
      <c r="B571" s="87" t="s">
        <v>141</v>
      </c>
      <c r="C571" s="76" t="s">
        <v>286</v>
      </c>
      <c r="D571" s="76">
        <v>0</v>
      </c>
      <c r="E571" s="78">
        <v>1</v>
      </c>
      <c r="F571" s="78">
        <v>1</v>
      </c>
      <c r="G571" s="76">
        <v>32.549999999999997</v>
      </c>
      <c r="H571" s="84"/>
      <c r="I571" s="84"/>
      <c r="J571" s="84"/>
    </row>
    <row r="572" spans="1:10">
      <c r="A572" s="496"/>
      <c r="B572" s="87" t="s">
        <v>142</v>
      </c>
      <c r="C572" s="76" t="s">
        <v>143</v>
      </c>
      <c r="D572" s="76">
        <v>1</v>
      </c>
      <c r="E572" s="78">
        <v>1</v>
      </c>
      <c r="F572" s="78">
        <v>1</v>
      </c>
      <c r="G572" s="76">
        <v>32.549999999999997</v>
      </c>
      <c r="H572" s="85"/>
      <c r="I572" s="85"/>
      <c r="J572" s="85"/>
    </row>
    <row r="573" spans="1:10">
      <c r="A573" s="496"/>
      <c r="B573" s="87" t="s">
        <v>144</v>
      </c>
      <c r="C573" s="76" t="s">
        <v>145</v>
      </c>
      <c r="D573" s="76">
        <v>0</v>
      </c>
      <c r="E573" s="78">
        <v>1</v>
      </c>
      <c r="F573" s="78">
        <v>1</v>
      </c>
      <c r="G573" s="76">
        <v>32.549999999999997</v>
      </c>
      <c r="H573" s="84"/>
      <c r="I573" s="84"/>
      <c r="J573" s="84"/>
    </row>
    <row r="574" spans="1:10">
      <c r="A574" s="496"/>
      <c r="B574" s="87" t="s">
        <v>146</v>
      </c>
      <c r="C574" s="76" t="s">
        <v>147</v>
      </c>
      <c r="D574" s="76">
        <v>1</v>
      </c>
      <c r="E574" s="78">
        <v>1</v>
      </c>
      <c r="F574" s="78">
        <v>1</v>
      </c>
      <c r="G574" s="76">
        <v>32.549999999999997</v>
      </c>
      <c r="H574" s="85"/>
      <c r="I574" s="85"/>
      <c r="J574" s="85"/>
    </row>
    <row r="575" spans="1:10">
      <c r="A575" s="496"/>
      <c r="B575" s="87" t="s">
        <v>148</v>
      </c>
      <c r="C575" s="76" t="s">
        <v>149</v>
      </c>
      <c r="D575" s="76">
        <v>0</v>
      </c>
      <c r="E575" s="78">
        <v>1</v>
      </c>
      <c r="F575" s="78">
        <v>1</v>
      </c>
      <c r="G575" s="76">
        <v>32.549999999999997</v>
      </c>
      <c r="H575" s="85"/>
      <c r="I575" s="85"/>
      <c r="J575" s="85"/>
    </row>
    <row r="576" spans="1:10">
      <c r="A576" s="496"/>
      <c r="B576" s="87" t="s">
        <v>150</v>
      </c>
      <c r="C576" s="76" t="s">
        <v>151</v>
      </c>
      <c r="D576" s="76">
        <v>1</v>
      </c>
      <c r="E576" s="78">
        <v>1</v>
      </c>
      <c r="F576" s="78">
        <v>1</v>
      </c>
      <c r="G576" s="76">
        <v>32.549999999999997</v>
      </c>
      <c r="H576" s="85"/>
      <c r="I576" s="85"/>
      <c r="J576" s="85"/>
    </row>
    <row r="577" spans="1:10">
      <c r="A577" s="496"/>
      <c r="B577" s="87" t="s">
        <v>152</v>
      </c>
      <c r="C577" s="76" t="s">
        <v>153</v>
      </c>
      <c r="D577" s="76">
        <v>0</v>
      </c>
      <c r="E577" s="78">
        <v>1</v>
      </c>
      <c r="F577" s="78">
        <v>1</v>
      </c>
      <c r="G577" s="76">
        <v>32.549999999999997</v>
      </c>
      <c r="H577" s="84"/>
      <c r="I577" s="84"/>
      <c r="J577" s="84"/>
    </row>
    <row r="578" spans="1:10">
      <c r="A578" s="496"/>
      <c r="B578" s="87" t="s">
        <v>154</v>
      </c>
      <c r="C578" s="76" t="s">
        <v>155</v>
      </c>
      <c r="D578" s="76">
        <v>0</v>
      </c>
      <c r="E578" s="78">
        <v>1</v>
      </c>
      <c r="F578" s="78">
        <v>1</v>
      </c>
      <c r="G578" s="76">
        <v>32.549999999999997</v>
      </c>
      <c r="H578" s="84"/>
      <c r="I578" s="84"/>
      <c r="J578" s="84"/>
    </row>
    <row r="579" spans="1:10">
      <c r="A579" s="496"/>
      <c r="B579" s="87" t="s">
        <v>156</v>
      </c>
      <c r="C579" s="76" t="s">
        <v>157</v>
      </c>
      <c r="D579" s="76">
        <v>0</v>
      </c>
      <c r="E579" s="78">
        <v>1</v>
      </c>
      <c r="F579" s="78">
        <v>1</v>
      </c>
      <c r="G579" s="76">
        <v>32.549999999999997</v>
      </c>
      <c r="H579" s="84"/>
      <c r="I579" s="84"/>
      <c r="J579" s="84"/>
    </row>
    <row r="580" spans="1:10">
      <c r="A580" s="496"/>
      <c r="B580" s="87" t="s">
        <v>158</v>
      </c>
      <c r="C580" s="76" t="s">
        <v>159</v>
      </c>
      <c r="D580" s="76">
        <v>0</v>
      </c>
      <c r="E580" s="78">
        <v>1</v>
      </c>
      <c r="F580" s="78">
        <v>1</v>
      </c>
      <c r="G580" s="76">
        <v>32.549999999999997</v>
      </c>
      <c r="H580" s="84"/>
      <c r="I580" s="84"/>
      <c r="J580" s="84"/>
    </row>
    <row r="581" spans="1:10">
      <c r="A581" s="496"/>
      <c r="B581" s="87" t="s">
        <v>160</v>
      </c>
      <c r="C581" s="76" t="s">
        <v>161</v>
      </c>
      <c r="D581" s="76">
        <v>0</v>
      </c>
      <c r="E581" s="78">
        <v>1</v>
      </c>
      <c r="F581" s="78">
        <v>1</v>
      </c>
      <c r="G581" s="76">
        <v>32.549999999999997</v>
      </c>
      <c r="H581" s="84"/>
      <c r="I581" s="84"/>
      <c r="J581" s="84"/>
    </row>
    <row r="582" spans="1:10">
      <c r="A582" s="496"/>
      <c r="B582" s="87" t="s">
        <v>162</v>
      </c>
      <c r="C582" s="76" t="s">
        <v>163</v>
      </c>
      <c r="D582" s="76">
        <v>0</v>
      </c>
      <c r="E582" s="78">
        <v>1</v>
      </c>
      <c r="F582" s="78">
        <v>1</v>
      </c>
      <c r="G582" s="76">
        <v>32.549999999999997</v>
      </c>
      <c r="H582" s="84"/>
      <c r="I582" s="84"/>
      <c r="J582" s="84"/>
    </row>
    <row r="583" spans="1:10">
      <c r="A583" s="496"/>
      <c r="B583" s="87" t="s">
        <v>164</v>
      </c>
      <c r="C583" s="76" t="s">
        <v>287</v>
      </c>
      <c r="D583" s="76">
        <v>0</v>
      </c>
      <c r="E583" s="78">
        <v>1</v>
      </c>
      <c r="F583" s="78">
        <v>1</v>
      </c>
      <c r="G583" s="76">
        <v>24.4</v>
      </c>
      <c r="H583" s="84"/>
      <c r="I583" s="84"/>
      <c r="J583" s="84"/>
    </row>
    <row r="584" spans="1:10">
      <c r="A584" s="496"/>
      <c r="B584" s="87" t="s">
        <v>165</v>
      </c>
      <c r="C584" s="76" t="s">
        <v>166</v>
      </c>
      <c r="D584" s="76">
        <v>0</v>
      </c>
      <c r="E584" s="78">
        <v>1</v>
      </c>
      <c r="F584" s="78">
        <v>1</v>
      </c>
      <c r="G584" s="76">
        <v>24.4</v>
      </c>
      <c r="H584" s="84"/>
      <c r="I584" s="84"/>
      <c r="J584" s="84"/>
    </row>
    <row r="585" spans="1:10">
      <c r="A585" s="496" t="s">
        <v>288</v>
      </c>
      <c r="B585" s="87" t="s">
        <v>167</v>
      </c>
      <c r="C585" s="76" t="s">
        <v>289</v>
      </c>
      <c r="D585" s="77">
        <v>1</v>
      </c>
      <c r="E585" s="78">
        <v>1</v>
      </c>
      <c r="F585" s="497" t="s">
        <v>276</v>
      </c>
      <c r="G585" s="76">
        <v>105.48</v>
      </c>
      <c r="H585" s="81"/>
      <c r="I585" s="85"/>
      <c r="J585" s="85"/>
    </row>
    <row r="586" spans="1:10">
      <c r="A586" s="496"/>
      <c r="B586" s="87" t="s">
        <v>168</v>
      </c>
      <c r="C586" s="76" t="s">
        <v>169</v>
      </c>
      <c r="D586" s="77">
        <v>1</v>
      </c>
      <c r="E586" s="78">
        <v>1</v>
      </c>
      <c r="F586" s="498"/>
      <c r="G586" s="76">
        <v>105.48</v>
      </c>
      <c r="H586" s="81"/>
      <c r="I586" s="86"/>
      <c r="J586" s="86"/>
    </row>
    <row r="587" spans="1:10">
      <c r="A587" s="496"/>
      <c r="B587" s="87" t="s">
        <v>170</v>
      </c>
      <c r="C587" s="76" t="s">
        <v>171</v>
      </c>
      <c r="D587" s="77">
        <v>1</v>
      </c>
      <c r="E587" s="78">
        <v>1</v>
      </c>
      <c r="F587" s="498"/>
      <c r="G587" s="76">
        <v>105.48</v>
      </c>
      <c r="H587" s="81"/>
      <c r="I587" s="82"/>
      <c r="J587" s="82"/>
    </row>
    <row r="588" spans="1:10">
      <c r="A588" s="496"/>
      <c r="B588" s="87" t="s">
        <v>172</v>
      </c>
      <c r="C588" s="76" t="s">
        <v>173</v>
      </c>
      <c r="D588" s="77">
        <v>1</v>
      </c>
      <c r="E588" s="78">
        <v>1</v>
      </c>
      <c r="F588" s="498"/>
      <c r="G588" s="76">
        <v>105.48</v>
      </c>
      <c r="H588" s="81"/>
      <c r="I588" s="82"/>
      <c r="J588" s="82"/>
    </row>
    <row r="589" spans="1:10">
      <c r="A589" s="496"/>
      <c r="B589" s="87" t="s">
        <v>174</v>
      </c>
      <c r="C589" s="76" t="s">
        <v>290</v>
      </c>
      <c r="D589" s="77">
        <v>1</v>
      </c>
      <c r="E589" s="78">
        <v>1</v>
      </c>
      <c r="F589" s="498"/>
      <c r="G589" s="76">
        <v>65</v>
      </c>
      <c r="H589" s="94"/>
      <c r="I589" s="94"/>
      <c r="J589" s="94"/>
    </row>
    <row r="590" spans="1:10">
      <c r="A590" s="496"/>
      <c r="B590" s="87" t="s">
        <v>175</v>
      </c>
      <c r="C590" s="76" t="s">
        <v>176</v>
      </c>
      <c r="D590" s="77">
        <v>1</v>
      </c>
      <c r="E590" s="78">
        <v>1</v>
      </c>
      <c r="F590" s="499"/>
      <c r="G590" s="76">
        <v>65</v>
      </c>
      <c r="H590" s="94"/>
      <c r="I590" s="94"/>
      <c r="J590" s="94"/>
    </row>
    <row r="591" spans="1:10">
      <c r="A591" s="496"/>
      <c r="B591" s="87" t="s">
        <v>177</v>
      </c>
      <c r="C591" s="76" t="s">
        <v>291</v>
      </c>
      <c r="D591" s="77">
        <v>1</v>
      </c>
      <c r="E591" s="78">
        <v>1</v>
      </c>
      <c r="F591" s="497" t="s">
        <v>285</v>
      </c>
      <c r="G591" s="76">
        <v>16.3</v>
      </c>
      <c r="H591" s="94"/>
      <c r="I591" s="94"/>
      <c r="J591" s="94"/>
    </row>
    <row r="592" spans="1:10">
      <c r="A592" s="496"/>
      <c r="B592" s="87" t="s">
        <v>178</v>
      </c>
      <c r="C592" s="76" t="s">
        <v>179</v>
      </c>
      <c r="D592" s="77">
        <v>1</v>
      </c>
      <c r="E592" s="78">
        <v>1</v>
      </c>
      <c r="F592" s="498"/>
      <c r="G592" s="76">
        <v>16.3</v>
      </c>
      <c r="H592" s="94"/>
      <c r="I592" s="94"/>
      <c r="J592" s="94"/>
    </row>
    <row r="593" spans="1:10">
      <c r="A593" s="496"/>
      <c r="B593" s="87" t="s">
        <v>180</v>
      </c>
      <c r="C593" s="76" t="s">
        <v>181</v>
      </c>
      <c r="D593" s="77">
        <v>1</v>
      </c>
      <c r="E593" s="78">
        <v>1</v>
      </c>
      <c r="F593" s="498"/>
      <c r="G593" s="76">
        <v>16.3</v>
      </c>
      <c r="H593" s="94"/>
      <c r="I593" s="94"/>
      <c r="J593" s="94"/>
    </row>
    <row r="594" spans="1:10">
      <c r="A594" s="496"/>
      <c r="B594" s="87" t="s">
        <v>292</v>
      </c>
      <c r="C594" s="76" t="s">
        <v>182</v>
      </c>
      <c r="D594" s="77">
        <v>1</v>
      </c>
      <c r="E594" s="78">
        <v>1</v>
      </c>
      <c r="F594" s="499"/>
      <c r="G594" s="76">
        <v>35</v>
      </c>
      <c r="H594" s="94"/>
      <c r="I594" s="94"/>
      <c r="J594" s="94"/>
    </row>
    <row r="595" spans="1:10">
      <c r="A595" s="496" t="s">
        <v>278</v>
      </c>
      <c r="B595" s="87" t="s">
        <v>126</v>
      </c>
      <c r="C595" s="76" t="s">
        <v>281</v>
      </c>
      <c r="D595" s="77">
        <v>1</v>
      </c>
      <c r="E595" s="78">
        <v>1</v>
      </c>
      <c r="F595" s="91"/>
      <c r="G595" s="76">
        <v>70.319999999999993</v>
      </c>
      <c r="H595" s="94"/>
      <c r="I595" s="94"/>
      <c r="J595" s="94"/>
    </row>
    <row r="596" spans="1:10">
      <c r="A596" s="496"/>
      <c r="B596" s="87" t="s">
        <v>127</v>
      </c>
      <c r="C596" s="76" t="s">
        <v>128</v>
      </c>
      <c r="D596" s="77">
        <v>1</v>
      </c>
      <c r="E596" s="78">
        <v>1</v>
      </c>
      <c r="F596" s="91"/>
      <c r="G596" s="76">
        <v>70.319999999999993</v>
      </c>
      <c r="H596" s="94"/>
      <c r="I596" s="94"/>
      <c r="J596" s="94"/>
    </row>
    <row r="597" spans="1:10">
      <c r="A597" s="496"/>
      <c r="B597" s="87" t="s">
        <v>129</v>
      </c>
      <c r="C597" s="76" t="s">
        <v>130</v>
      </c>
      <c r="D597" s="77">
        <v>1</v>
      </c>
      <c r="E597" s="78">
        <v>1</v>
      </c>
      <c r="F597" s="91"/>
      <c r="G597" s="76">
        <v>70.319999999999993</v>
      </c>
      <c r="H597" s="94"/>
      <c r="I597" s="94"/>
      <c r="J597" s="94"/>
    </row>
    <row r="598" spans="1:10">
      <c r="H598" s="92" t="e">
        <f>AVERAGE(H557:H568,H574:H576,H585:H597)</f>
        <v>#DIV/0!</v>
      </c>
      <c r="I598" s="92" t="e">
        <f>AVERAGE(I557:I568,I574:I576,I585:I597)</f>
        <v>#DIV/0!</v>
      </c>
      <c r="J598" s="115" t="e">
        <f>AVERAGE(J557:J568,J574:J576,J585:J597)</f>
        <v>#DIV/0!</v>
      </c>
    </row>
    <row r="599" spans="1:10">
      <c r="J599" s="116" t="s">
        <v>265</v>
      </c>
    </row>
    <row r="600" spans="1:10">
      <c r="A600" s="511" t="s">
        <v>293</v>
      </c>
      <c r="B600" s="511"/>
      <c r="C600" s="512" t="s">
        <v>187</v>
      </c>
      <c r="D600" s="513"/>
      <c r="E600" s="513" t="s">
        <v>188</v>
      </c>
      <c r="F600" s="513"/>
      <c r="G600" s="513" t="s">
        <v>189</v>
      </c>
      <c r="H600" s="513"/>
      <c r="I600" s="513" t="s">
        <v>190</v>
      </c>
      <c r="J600" s="513"/>
    </row>
    <row r="601" spans="1:10" ht="34.799999999999997">
      <c r="A601" s="511"/>
      <c r="B601" s="511"/>
      <c r="C601" s="103" t="s">
        <v>191</v>
      </c>
      <c r="D601" s="102" t="s">
        <v>192</v>
      </c>
      <c r="E601" s="102" t="s">
        <v>191</v>
      </c>
      <c r="F601" s="102" t="s">
        <v>192</v>
      </c>
      <c r="G601" s="102" t="s">
        <v>191</v>
      </c>
      <c r="H601" s="102" t="s">
        <v>192</v>
      </c>
      <c r="I601" s="102" t="s">
        <v>191</v>
      </c>
      <c r="J601" s="102" t="s">
        <v>192</v>
      </c>
    </row>
    <row r="602" spans="1:10">
      <c r="A602" s="500" t="s">
        <v>294</v>
      </c>
      <c r="B602" s="101" t="s">
        <v>295</v>
      </c>
      <c r="C602" s="94"/>
      <c r="D602" s="93"/>
      <c r="E602" s="94"/>
      <c r="F602" s="93"/>
      <c r="G602" s="94"/>
      <c r="H602" s="93"/>
      <c r="I602" s="94"/>
      <c r="J602" s="93"/>
    </row>
    <row r="603" spans="1:10">
      <c r="A603" s="501"/>
      <c r="B603" s="95" t="s">
        <v>193</v>
      </c>
      <c r="C603" s="94"/>
      <c r="D603" s="93"/>
      <c r="E603" s="94"/>
      <c r="F603" s="93"/>
      <c r="G603" s="94"/>
      <c r="H603" s="93"/>
      <c r="I603" s="94"/>
      <c r="J603" s="93"/>
    </row>
    <row r="604" spans="1:10">
      <c r="A604" s="501"/>
      <c r="B604" s="95" t="s">
        <v>194</v>
      </c>
      <c r="C604" s="94"/>
      <c r="D604" s="93"/>
      <c r="E604" s="94"/>
      <c r="F604" s="93"/>
      <c r="G604" s="94"/>
      <c r="H604" s="93"/>
      <c r="I604" s="94"/>
      <c r="J604" s="93"/>
    </row>
    <row r="605" spans="1:10">
      <c r="A605" s="501"/>
      <c r="B605" s="95" t="s">
        <v>195</v>
      </c>
      <c r="C605" s="94"/>
      <c r="D605" s="93"/>
      <c r="E605" s="94"/>
      <c r="F605" s="93"/>
      <c r="G605" s="94"/>
      <c r="H605" s="93"/>
      <c r="I605" s="94"/>
      <c r="J605" s="93"/>
    </row>
    <row r="606" spans="1:10">
      <c r="A606" s="501"/>
      <c r="B606" s="95" t="s">
        <v>196</v>
      </c>
      <c r="C606" s="94"/>
      <c r="D606" s="93"/>
      <c r="E606" s="94"/>
      <c r="F606" s="93"/>
      <c r="G606" s="94"/>
      <c r="H606" s="93"/>
      <c r="I606" s="94"/>
      <c r="J606" s="93"/>
    </row>
    <row r="607" spans="1:10">
      <c r="A607" s="501"/>
      <c r="B607" s="95" t="s">
        <v>197</v>
      </c>
      <c r="C607" s="94"/>
      <c r="D607" s="93"/>
      <c r="E607" s="94"/>
      <c r="F607" s="93"/>
      <c r="G607" s="94"/>
      <c r="H607" s="93"/>
      <c r="I607" s="94"/>
      <c r="J607" s="93"/>
    </row>
    <row r="608" spans="1:10">
      <c r="A608" s="501"/>
      <c r="B608" s="95" t="s">
        <v>198</v>
      </c>
      <c r="C608" s="94"/>
      <c r="D608" s="93"/>
      <c r="E608" s="94"/>
      <c r="F608" s="93"/>
      <c r="G608" s="94"/>
      <c r="H608" s="93"/>
      <c r="I608" s="94"/>
      <c r="J608" s="93"/>
    </row>
    <row r="609" spans="1:10">
      <c r="A609" s="501"/>
      <c r="B609" s="95" t="s">
        <v>199</v>
      </c>
      <c r="C609" s="94"/>
      <c r="D609" s="93"/>
      <c r="E609" s="94"/>
      <c r="F609" s="93"/>
      <c r="G609" s="94"/>
      <c r="H609" s="93"/>
      <c r="I609" s="94"/>
      <c r="J609" s="93"/>
    </row>
    <row r="610" spans="1:10">
      <c r="A610" s="501"/>
      <c r="B610" s="95" t="s">
        <v>200</v>
      </c>
      <c r="C610" s="94"/>
      <c r="D610" s="93"/>
      <c r="E610" s="94"/>
      <c r="F610" s="93"/>
      <c r="G610" s="94"/>
      <c r="H610" s="93"/>
      <c r="I610" s="99"/>
      <c r="J610" s="100"/>
    </row>
    <row r="611" spans="1:10">
      <c r="A611" s="501"/>
      <c r="B611" s="95" t="s">
        <v>201</v>
      </c>
      <c r="C611" s="94"/>
      <c r="D611" s="93"/>
      <c r="E611" s="99"/>
      <c r="F611" s="100"/>
      <c r="G611" s="94"/>
      <c r="H611" s="93"/>
      <c r="I611" s="99"/>
      <c r="J611" s="100"/>
    </row>
    <row r="612" spans="1:10">
      <c r="A612" s="501"/>
      <c r="B612" s="95" t="s">
        <v>202</v>
      </c>
      <c r="C612" s="94"/>
      <c r="D612" s="93"/>
      <c r="E612" s="99"/>
      <c r="F612" s="100"/>
      <c r="G612" s="94"/>
      <c r="H612" s="93"/>
      <c r="I612" s="99"/>
      <c r="J612" s="100"/>
    </row>
    <row r="613" spans="1:10">
      <c r="A613" s="501"/>
      <c r="B613" s="95" t="s">
        <v>203</v>
      </c>
      <c r="C613" s="94"/>
      <c r="D613" s="93"/>
      <c r="E613" s="99"/>
      <c r="F613" s="100"/>
      <c r="G613" s="94"/>
      <c r="H613" s="93"/>
      <c r="I613" s="99"/>
      <c r="J613" s="100"/>
    </row>
    <row r="614" spans="1:10">
      <c r="A614" s="501"/>
      <c r="B614" s="95" t="s">
        <v>204</v>
      </c>
      <c r="C614" s="94"/>
      <c r="D614" s="93"/>
      <c r="E614" s="99"/>
      <c r="F614" s="100"/>
      <c r="G614" s="94"/>
      <c r="H614" s="93"/>
      <c r="I614" s="99"/>
      <c r="J614" s="100"/>
    </row>
    <row r="615" spans="1:10">
      <c r="A615" s="501"/>
      <c r="B615" s="95" t="s">
        <v>205</v>
      </c>
      <c r="C615" s="99"/>
      <c r="D615" s="100"/>
      <c r="E615" s="99"/>
      <c r="F615" s="100"/>
      <c r="G615" s="94"/>
      <c r="H615" s="93"/>
      <c r="I615" s="99"/>
      <c r="J615" s="100"/>
    </row>
    <row r="616" spans="1:10">
      <c r="A616" s="501"/>
      <c r="B616" s="95" t="s">
        <v>206</v>
      </c>
      <c r="C616" s="99"/>
      <c r="D616" s="100"/>
      <c r="E616" s="99"/>
      <c r="F616" s="100"/>
      <c r="G616" s="94"/>
      <c r="H616" s="93"/>
      <c r="I616" s="99"/>
      <c r="J616" s="100"/>
    </row>
    <row r="617" spans="1:10">
      <c r="A617" s="501"/>
      <c r="B617" s="95" t="s">
        <v>207</v>
      </c>
      <c r="C617" s="99"/>
      <c r="D617" s="100"/>
      <c r="E617" s="99"/>
      <c r="F617" s="100"/>
      <c r="G617" s="94"/>
      <c r="H617" s="93"/>
      <c r="I617" s="99"/>
      <c r="J617" s="100"/>
    </row>
    <row r="618" spans="1:10">
      <c r="A618" s="501"/>
      <c r="B618" s="96" t="s">
        <v>296</v>
      </c>
      <c r="C618" s="94"/>
      <c r="D618" s="93"/>
      <c r="E618" s="94"/>
      <c r="F618" s="93"/>
      <c r="G618" s="94"/>
      <c r="H618" s="93"/>
      <c r="I618" s="94"/>
      <c r="J618" s="93"/>
    </row>
    <row r="619" spans="1:10">
      <c r="A619" s="501"/>
      <c r="B619" s="96" t="s">
        <v>208</v>
      </c>
      <c r="C619" s="94"/>
      <c r="D619" s="93"/>
      <c r="E619" s="94"/>
      <c r="F619" s="93"/>
      <c r="G619" s="94"/>
      <c r="H619" s="93"/>
      <c r="I619" s="94"/>
      <c r="J619" s="93"/>
    </row>
    <row r="620" spans="1:10">
      <c r="A620" s="501"/>
      <c r="B620" s="96" t="s">
        <v>209</v>
      </c>
      <c r="C620" s="94"/>
      <c r="D620" s="93"/>
      <c r="E620" s="94"/>
      <c r="F620" s="93"/>
      <c r="G620" s="94"/>
      <c r="H620" s="93"/>
      <c r="I620" s="94"/>
      <c r="J620" s="93"/>
    </row>
    <row r="621" spans="1:10">
      <c r="A621" s="501"/>
      <c r="B621" s="96" t="s">
        <v>210</v>
      </c>
      <c r="C621" s="94"/>
      <c r="D621" s="93"/>
      <c r="E621" s="94"/>
      <c r="F621" s="93"/>
      <c r="G621" s="94"/>
      <c r="H621" s="93"/>
      <c r="I621" s="94"/>
      <c r="J621" s="93"/>
    </row>
    <row r="622" spans="1:10">
      <c r="A622" s="501"/>
      <c r="B622" s="96" t="s">
        <v>211</v>
      </c>
      <c r="C622" s="94"/>
      <c r="D622" s="93"/>
      <c r="E622" s="94"/>
      <c r="F622" s="93"/>
      <c r="G622" s="94"/>
      <c r="H622" s="93"/>
      <c r="I622" s="94"/>
      <c r="J622" s="93"/>
    </row>
    <row r="623" spans="1:10">
      <c r="A623" s="501"/>
      <c r="B623" s="96" t="s">
        <v>212</v>
      </c>
      <c r="C623" s="94"/>
      <c r="D623" s="93"/>
      <c r="E623" s="94"/>
      <c r="F623" s="93"/>
      <c r="G623" s="94"/>
      <c r="H623" s="93"/>
      <c r="I623" s="94"/>
      <c r="J623" s="93"/>
    </row>
    <row r="624" spans="1:10">
      <c r="A624" s="501"/>
      <c r="B624" s="96" t="s">
        <v>213</v>
      </c>
      <c r="C624" s="94"/>
      <c r="D624" s="93"/>
      <c r="E624" s="94"/>
      <c r="F624" s="93"/>
      <c r="G624" s="94"/>
      <c r="H624" s="93"/>
      <c r="I624" s="94"/>
      <c r="J624" s="93"/>
    </row>
    <row r="625" spans="1:10">
      <c r="A625" s="501"/>
      <c r="B625" s="96" t="s">
        <v>214</v>
      </c>
      <c r="C625" s="94"/>
      <c r="D625" s="93"/>
      <c r="E625" s="94"/>
      <c r="F625" s="93"/>
      <c r="G625" s="94"/>
      <c r="H625" s="93"/>
      <c r="I625" s="94"/>
      <c r="J625" s="93"/>
    </row>
    <row r="626" spans="1:10">
      <c r="A626" s="501"/>
      <c r="B626" s="96" t="s">
        <v>215</v>
      </c>
      <c r="C626" s="94"/>
      <c r="D626" s="93"/>
      <c r="E626" s="94"/>
      <c r="F626" s="93"/>
      <c r="G626" s="94"/>
      <c r="H626" s="93"/>
      <c r="I626" s="94"/>
      <c r="J626" s="93"/>
    </row>
    <row r="627" spans="1:10">
      <c r="A627" s="501"/>
      <c r="B627" s="96" t="s">
        <v>216</v>
      </c>
      <c r="C627" s="94"/>
      <c r="D627" s="93"/>
      <c r="E627" s="94"/>
      <c r="F627" s="93"/>
      <c r="G627" s="94"/>
      <c r="H627" s="93"/>
      <c r="I627" s="94"/>
      <c r="J627" s="93"/>
    </row>
    <row r="628" spans="1:10">
      <c r="A628" s="501"/>
      <c r="B628" s="96" t="s">
        <v>217</v>
      </c>
      <c r="C628" s="94"/>
      <c r="D628" s="93"/>
      <c r="E628" s="94"/>
      <c r="F628" s="93"/>
      <c r="G628" s="94"/>
      <c r="H628" s="93"/>
      <c r="I628" s="99"/>
      <c r="J628" s="100"/>
    </row>
    <row r="629" spans="1:10">
      <c r="A629" s="501"/>
      <c r="B629" s="96" t="s">
        <v>218</v>
      </c>
      <c r="C629" s="94"/>
      <c r="D629" s="93"/>
      <c r="E629" s="94"/>
      <c r="F629" s="93"/>
      <c r="G629" s="94"/>
      <c r="H629" s="93"/>
      <c r="I629" s="99"/>
      <c r="J629" s="100"/>
    </row>
    <row r="630" spans="1:10">
      <c r="A630" s="501"/>
      <c r="B630" s="96" t="s">
        <v>219</v>
      </c>
      <c r="C630" s="94"/>
      <c r="D630" s="93"/>
      <c r="E630" s="94"/>
      <c r="F630" s="93"/>
      <c r="G630" s="94"/>
      <c r="H630" s="93"/>
      <c r="I630" s="99"/>
      <c r="J630" s="100"/>
    </row>
    <row r="631" spans="1:10">
      <c r="A631" s="501"/>
      <c r="B631" s="96" t="s">
        <v>220</v>
      </c>
      <c r="C631" s="94"/>
      <c r="D631" s="93"/>
      <c r="E631" s="94"/>
      <c r="F631" s="93"/>
      <c r="G631" s="99"/>
      <c r="H631" s="100"/>
      <c r="I631" s="99"/>
      <c r="J631" s="100"/>
    </row>
    <row r="632" spans="1:10">
      <c r="A632" s="501"/>
      <c r="B632" s="96" t="s">
        <v>297</v>
      </c>
      <c r="C632" s="94"/>
      <c r="D632" s="93"/>
      <c r="E632" s="99"/>
      <c r="F632" s="100"/>
      <c r="G632" s="99"/>
      <c r="H632" s="100"/>
      <c r="I632" s="99"/>
      <c r="J632" s="100"/>
    </row>
    <row r="633" spans="1:10">
      <c r="A633" s="501"/>
      <c r="B633" s="96" t="s">
        <v>221</v>
      </c>
      <c r="C633" s="94"/>
      <c r="D633" s="93"/>
      <c r="E633" s="99"/>
      <c r="F633" s="100"/>
      <c r="G633" s="99"/>
      <c r="H633" s="100"/>
      <c r="I633" s="99"/>
      <c r="J633" s="100"/>
    </row>
    <row r="634" spans="1:10">
      <c r="A634" s="501"/>
      <c r="B634" s="97" t="s">
        <v>298</v>
      </c>
      <c r="C634" s="94"/>
      <c r="D634" s="93"/>
      <c r="E634" s="94"/>
      <c r="F634" s="93"/>
      <c r="G634" s="94"/>
      <c r="H634" s="93"/>
      <c r="I634" s="94"/>
      <c r="J634" s="93"/>
    </row>
    <row r="635" spans="1:10">
      <c r="A635" s="501"/>
      <c r="B635" s="97" t="s">
        <v>222</v>
      </c>
      <c r="C635" s="94"/>
      <c r="D635" s="93"/>
      <c r="E635" s="94"/>
      <c r="F635" s="93"/>
      <c r="G635" s="94"/>
      <c r="H635" s="93"/>
      <c r="I635" s="94"/>
      <c r="J635" s="93"/>
    </row>
    <row r="636" spans="1:10">
      <c r="A636" s="501"/>
      <c r="B636" s="97" t="s">
        <v>223</v>
      </c>
      <c r="C636" s="94"/>
      <c r="D636" s="93"/>
      <c r="E636" s="94"/>
      <c r="F636" s="93"/>
      <c r="G636" s="94"/>
      <c r="H636" s="93"/>
      <c r="I636" s="94"/>
      <c r="J636" s="93"/>
    </row>
    <row r="637" spans="1:10">
      <c r="A637" s="501"/>
      <c r="B637" s="97" t="s">
        <v>224</v>
      </c>
      <c r="C637" s="94"/>
      <c r="D637" s="93"/>
      <c r="E637" s="94"/>
      <c r="F637" s="93"/>
      <c r="G637" s="94"/>
      <c r="H637" s="93"/>
      <c r="I637" s="94"/>
      <c r="J637" s="93"/>
    </row>
    <row r="638" spans="1:10">
      <c r="A638" s="501"/>
      <c r="B638" s="97" t="s">
        <v>225</v>
      </c>
      <c r="C638" s="94"/>
      <c r="D638" s="93"/>
      <c r="E638" s="94"/>
      <c r="F638" s="93"/>
      <c r="G638" s="94"/>
      <c r="H638" s="93"/>
      <c r="I638" s="94"/>
      <c r="J638" s="93"/>
    </row>
    <row r="639" spans="1:10">
      <c r="A639" s="501"/>
      <c r="B639" s="97" t="s">
        <v>226</v>
      </c>
      <c r="C639" s="94"/>
      <c r="D639" s="93"/>
      <c r="E639" s="94"/>
      <c r="F639" s="93"/>
      <c r="G639" s="94"/>
      <c r="H639" s="93"/>
      <c r="I639" s="94"/>
      <c r="J639" s="93"/>
    </row>
    <row r="640" spans="1:10">
      <c r="A640" s="501"/>
      <c r="B640" s="97" t="s">
        <v>227</v>
      </c>
      <c r="C640" s="94"/>
      <c r="D640" s="93"/>
      <c r="E640" s="94"/>
      <c r="F640" s="93"/>
      <c r="G640" s="94"/>
      <c r="H640" s="93"/>
      <c r="I640" s="94"/>
      <c r="J640" s="93"/>
    </row>
    <row r="641" spans="1:10">
      <c r="A641" s="501"/>
      <c r="B641" s="97" t="s">
        <v>228</v>
      </c>
      <c r="C641" s="94"/>
      <c r="D641" s="93"/>
      <c r="E641" s="94"/>
      <c r="F641" s="93"/>
      <c r="G641" s="94"/>
      <c r="H641" s="93"/>
      <c r="I641" s="94"/>
      <c r="J641" s="93"/>
    </row>
    <row r="642" spans="1:10">
      <c r="A642" s="501"/>
      <c r="B642" s="97" t="s">
        <v>229</v>
      </c>
      <c r="C642" s="94"/>
      <c r="D642" s="93"/>
      <c r="E642" s="94"/>
      <c r="F642" s="93"/>
      <c r="G642" s="99"/>
      <c r="H642" s="100"/>
      <c r="I642" s="94"/>
      <c r="J642" s="93"/>
    </row>
    <row r="643" spans="1:10">
      <c r="A643" s="501"/>
      <c r="B643" s="97" t="s">
        <v>230</v>
      </c>
      <c r="C643" s="94"/>
      <c r="D643" s="93"/>
      <c r="E643" s="94"/>
      <c r="F643" s="93"/>
      <c r="G643" s="99"/>
      <c r="H643" s="100"/>
      <c r="I643" s="99"/>
      <c r="J643" s="100"/>
    </row>
    <row r="644" spans="1:10">
      <c r="A644" s="501"/>
      <c r="B644" s="97" t="s">
        <v>231</v>
      </c>
      <c r="C644" s="94"/>
      <c r="D644" s="93"/>
      <c r="E644" s="94"/>
      <c r="F644" s="93"/>
      <c r="G644" s="99"/>
      <c r="H644" s="100"/>
      <c r="I644" s="99"/>
      <c r="J644" s="100"/>
    </row>
    <row r="645" spans="1:10">
      <c r="A645" s="501"/>
      <c r="B645" s="97" t="s">
        <v>232</v>
      </c>
      <c r="C645" s="94"/>
      <c r="D645" s="93"/>
      <c r="E645" s="94"/>
      <c r="F645" s="93"/>
      <c r="G645" s="99"/>
      <c r="H645" s="100"/>
      <c r="I645" s="99"/>
      <c r="J645" s="100"/>
    </row>
    <row r="646" spans="1:10">
      <c r="A646" s="501"/>
      <c r="B646" s="97" t="s">
        <v>233</v>
      </c>
      <c r="C646" s="94"/>
      <c r="D646" s="93"/>
      <c r="E646" s="94"/>
      <c r="F646" s="93"/>
      <c r="G646" s="99"/>
      <c r="H646" s="100"/>
      <c r="I646" s="99"/>
      <c r="J646" s="100"/>
    </row>
    <row r="647" spans="1:10">
      <c r="A647" s="501"/>
      <c r="B647" s="97" t="s">
        <v>234</v>
      </c>
      <c r="C647" s="94"/>
      <c r="D647" s="93"/>
      <c r="E647" s="94"/>
      <c r="F647" s="93"/>
      <c r="G647" s="99"/>
      <c r="H647" s="100"/>
      <c r="I647" s="99"/>
      <c r="J647" s="100"/>
    </row>
    <row r="648" spans="1:10">
      <c r="A648" s="501"/>
      <c r="B648" s="97" t="s">
        <v>235</v>
      </c>
      <c r="C648" s="94"/>
      <c r="D648" s="93"/>
      <c r="E648" s="99"/>
      <c r="F648" s="100"/>
      <c r="G648" s="99"/>
      <c r="H648" s="100"/>
      <c r="I648" s="99"/>
      <c r="J648" s="100"/>
    </row>
    <row r="649" spans="1:10">
      <c r="A649" s="501"/>
      <c r="B649" s="97" t="s">
        <v>236</v>
      </c>
      <c r="C649" s="94"/>
      <c r="D649" s="93"/>
      <c r="E649" s="99"/>
      <c r="F649" s="100"/>
      <c r="G649" s="99"/>
      <c r="H649" s="100"/>
      <c r="I649" s="99"/>
      <c r="J649" s="100"/>
    </row>
    <row r="650" spans="1:10">
      <c r="A650" s="501"/>
      <c r="B650" s="98" t="s">
        <v>299</v>
      </c>
      <c r="C650" s="94"/>
      <c r="D650" s="93"/>
      <c r="E650" s="94"/>
      <c r="F650" s="93"/>
      <c r="G650" s="94"/>
      <c r="H650" s="93"/>
      <c r="I650" s="94"/>
      <c r="J650" s="93"/>
    </row>
    <row r="651" spans="1:10">
      <c r="A651" s="501"/>
      <c r="B651" s="98" t="s">
        <v>237</v>
      </c>
      <c r="C651" s="94"/>
      <c r="D651" s="93"/>
      <c r="E651" s="94"/>
      <c r="F651" s="93"/>
      <c r="G651" s="94"/>
      <c r="H651" s="93"/>
      <c r="I651" s="94"/>
      <c r="J651" s="93"/>
    </row>
    <row r="652" spans="1:10">
      <c r="A652" s="501"/>
      <c r="B652" s="98" t="s">
        <v>238</v>
      </c>
      <c r="C652" s="94"/>
      <c r="D652" s="93"/>
      <c r="E652" s="94"/>
      <c r="F652" s="93"/>
      <c r="G652" s="94"/>
      <c r="H652" s="93"/>
      <c r="I652" s="94"/>
      <c r="J652" s="93"/>
    </row>
    <row r="653" spans="1:10">
      <c r="A653" s="501"/>
      <c r="B653" s="98" t="s">
        <v>239</v>
      </c>
      <c r="C653" s="94"/>
      <c r="D653" s="93"/>
      <c r="E653" s="94"/>
      <c r="F653" s="93"/>
      <c r="G653" s="94"/>
      <c r="H653" s="93"/>
      <c r="I653" s="94"/>
      <c r="J653" s="93"/>
    </row>
    <row r="654" spans="1:10">
      <c r="A654" s="501"/>
      <c r="B654" s="98" t="s">
        <v>240</v>
      </c>
      <c r="C654" s="94"/>
      <c r="D654" s="93"/>
      <c r="E654" s="94"/>
      <c r="F654" s="93"/>
      <c r="G654" s="94"/>
      <c r="H654" s="93"/>
      <c r="I654" s="94"/>
      <c r="J654" s="93"/>
    </row>
    <row r="655" spans="1:10">
      <c r="A655" s="501"/>
      <c r="B655" s="98" t="s">
        <v>241</v>
      </c>
      <c r="C655" s="94"/>
      <c r="D655" s="93"/>
      <c r="E655" s="94"/>
      <c r="F655" s="93"/>
      <c r="G655" s="94"/>
      <c r="H655" s="93"/>
      <c r="I655" s="94"/>
      <c r="J655" s="93"/>
    </row>
    <row r="656" spans="1:10">
      <c r="A656" s="501"/>
      <c r="B656" s="98" t="s">
        <v>242</v>
      </c>
      <c r="C656" s="94"/>
      <c r="D656" s="93"/>
      <c r="E656" s="94"/>
      <c r="F656" s="93"/>
      <c r="G656" s="94"/>
      <c r="H656" s="93"/>
      <c r="I656" s="94"/>
      <c r="J656" s="93"/>
    </row>
    <row r="657" spans="1:10">
      <c r="A657" s="501"/>
      <c r="B657" s="98" t="s">
        <v>243</v>
      </c>
      <c r="C657" s="94"/>
      <c r="D657" s="93"/>
      <c r="E657" s="94"/>
      <c r="F657" s="93"/>
      <c r="G657" s="94"/>
      <c r="H657" s="93"/>
      <c r="I657" s="94"/>
      <c r="J657" s="93"/>
    </row>
    <row r="658" spans="1:10">
      <c r="A658" s="501"/>
      <c r="B658" s="98" t="s">
        <v>244</v>
      </c>
      <c r="C658" s="94"/>
      <c r="D658" s="93"/>
      <c r="E658" s="94"/>
      <c r="F658" s="93"/>
      <c r="G658" s="94"/>
      <c r="H658" s="93"/>
      <c r="I658" s="99"/>
      <c r="J658" s="100"/>
    </row>
    <row r="659" spans="1:10">
      <c r="A659" s="501"/>
      <c r="B659" s="98" t="s">
        <v>245</v>
      </c>
      <c r="C659" s="94"/>
      <c r="D659" s="93"/>
      <c r="E659" s="94"/>
      <c r="F659" s="93"/>
      <c r="G659" s="94"/>
      <c r="H659" s="93"/>
      <c r="I659" s="99"/>
      <c r="J659" s="100"/>
    </row>
    <row r="660" spans="1:10">
      <c r="A660" s="501"/>
      <c r="B660" s="98" t="s">
        <v>246</v>
      </c>
      <c r="C660" s="99"/>
      <c r="D660" s="100"/>
      <c r="E660" s="94"/>
      <c r="F660" s="93"/>
      <c r="G660" s="94"/>
      <c r="H660" s="93"/>
      <c r="I660" s="99"/>
      <c r="J660" s="100"/>
    </row>
    <row r="661" spans="1:10">
      <c r="A661" s="501"/>
      <c r="B661" s="98" t="s">
        <v>247</v>
      </c>
      <c r="C661" s="99"/>
      <c r="D661" s="100"/>
      <c r="E661" s="94"/>
      <c r="F661" s="93"/>
      <c r="G661" s="94"/>
      <c r="H661" s="93"/>
      <c r="I661" s="99"/>
      <c r="J661" s="100"/>
    </row>
    <row r="662" spans="1:10">
      <c r="A662" s="501"/>
      <c r="B662" s="98" t="s">
        <v>248</v>
      </c>
      <c r="C662" s="99"/>
      <c r="D662" s="100"/>
      <c r="E662" s="99"/>
      <c r="F662" s="100"/>
      <c r="G662" s="94"/>
      <c r="H662" s="93"/>
      <c r="I662" s="99"/>
      <c r="J662" s="100"/>
    </row>
    <row r="663" spans="1:10">
      <c r="A663" s="501"/>
      <c r="B663" s="95" t="s">
        <v>300</v>
      </c>
      <c r="C663" s="99"/>
      <c r="D663" s="100"/>
      <c r="E663" s="99"/>
      <c r="F663" s="100"/>
      <c r="G663" s="99"/>
      <c r="H663" s="100"/>
      <c r="I663" s="94"/>
      <c r="J663" s="93"/>
    </row>
    <row r="664" spans="1:10">
      <c r="A664" s="501"/>
      <c r="B664" s="95" t="s">
        <v>249</v>
      </c>
      <c r="C664" s="99"/>
      <c r="D664" s="100"/>
      <c r="E664" s="99"/>
      <c r="F664" s="100"/>
      <c r="G664" s="99"/>
      <c r="H664" s="100"/>
      <c r="I664" s="94"/>
      <c r="J664" s="93"/>
    </row>
    <row r="665" spans="1:10">
      <c r="A665" s="501"/>
      <c r="B665" s="95" t="s">
        <v>250</v>
      </c>
      <c r="C665" s="99"/>
      <c r="D665" s="100"/>
      <c r="E665" s="99"/>
      <c r="F665" s="100"/>
      <c r="G665" s="99"/>
      <c r="H665" s="100"/>
      <c r="I665" s="94"/>
      <c r="J665" s="93"/>
    </row>
    <row r="666" spans="1:10">
      <c r="A666" s="501"/>
      <c r="B666" s="95" t="s">
        <v>251</v>
      </c>
      <c r="C666" s="99"/>
      <c r="D666" s="100"/>
      <c r="E666" s="99"/>
      <c r="F666" s="100"/>
      <c r="G666" s="99"/>
      <c r="H666" s="100"/>
      <c r="I666" s="94"/>
      <c r="J666" s="93"/>
    </row>
    <row r="667" spans="1:10">
      <c r="A667" s="501"/>
      <c r="B667" s="95" t="s">
        <v>252</v>
      </c>
      <c r="C667" s="99"/>
      <c r="D667" s="100"/>
      <c r="E667" s="99"/>
      <c r="F667" s="100"/>
      <c r="G667" s="99"/>
      <c r="H667" s="100"/>
      <c r="I667" s="94"/>
      <c r="J667" s="93"/>
    </row>
    <row r="668" spans="1:10">
      <c r="A668" s="501"/>
      <c r="B668" s="95" t="s">
        <v>253</v>
      </c>
      <c r="C668" s="99"/>
      <c r="D668" s="100"/>
      <c r="E668" s="99"/>
      <c r="F668" s="100"/>
      <c r="G668" s="99"/>
      <c r="H668" s="100"/>
      <c r="I668" s="94"/>
      <c r="J668" s="93"/>
    </row>
    <row r="669" spans="1:10">
      <c r="A669" s="501"/>
      <c r="B669" s="95" t="s">
        <v>254</v>
      </c>
      <c r="C669" s="99"/>
      <c r="D669" s="100"/>
      <c r="E669" s="99"/>
      <c r="F669" s="100"/>
      <c r="G669" s="99"/>
      <c r="H669" s="100"/>
      <c r="I669" s="94"/>
      <c r="J669" s="93"/>
    </row>
    <row r="670" spans="1:10">
      <c r="A670" s="501"/>
      <c r="B670" s="95" t="s">
        <v>255</v>
      </c>
      <c r="C670" s="99"/>
      <c r="D670" s="100"/>
      <c r="E670" s="99"/>
      <c r="F670" s="100"/>
      <c r="G670" s="99"/>
      <c r="H670" s="100"/>
      <c r="I670" s="94"/>
      <c r="J670" s="93"/>
    </row>
    <row r="671" spans="1:10">
      <c r="A671" s="501"/>
      <c r="B671" s="95" t="s">
        <v>256</v>
      </c>
      <c r="C671" s="99"/>
      <c r="D671" s="100"/>
      <c r="E671" s="99"/>
      <c r="F671" s="100"/>
      <c r="G671" s="99"/>
      <c r="H671" s="100"/>
      <c r="I671" s="94"/>
      <c r="J671" s="93"/>
    </row>
    <row r="672" spans="1:10">
      <c r="A672" s="501"/>
      <c r="B672" s="95" t="s">
        <v>257</v>
      </c>
      <c r="C672" s="99"/>
      <c r="D672" s="100"/>
      <c r="E672" s="99"/>
      <c r="F672" s="100"/>
      <c r="G672" s="99"/>
      <c r="H672" s="100"/>
      <c r="I672" s="94"/>
      <c r="J672" s="93"/>
    </row>
    <row r="673" spans="1:11">
      <c r="A673" s="501"/>
      <c r="B673" s="95" t="s">
        <v>258</v>
      </c>
      <c r="C673" s="99"/>
      <c r="D673" s="100"/>
      <c r="E673" s="99"/>
      <c r="F673" s="100"/>
      <c r="G673" s="99"/>
      <c r="H673" s="100"/>
      <c r="I673" s="94"/>
      <c r="J673" s="93"/>
    </row>
    <row r="674" spans="1:11">
      <c r="A674" s="502"/>
      <c r="B674" s="95" t="s">
        <v>259</v>
      </c>
      <c r="C674" s="99"/>
      <c r="D674" s="100"/>
      <c r="E674" s="99"/>
      <c r="F674" s="100"/>
      <c r="G674" s="99"/>
      <c r="H674" s="100"/>
      <c r="I674" s="94"/>
      <c r="J674" s="93"/>
    </row>
    <row r="675" spans="1:11">
      <c r="A675" s="116" t="s">
        <v>266</v>
      </c>
      <c r="B675" s="117" t="e">
        <f>SUM(C675,E675,G675,I675)</f>
        <v>#DIV/0!</v>
      </c>
      <c r="C675" s="104" t="e">
        <f>AVERAGE(C602:C614,C618:C659)</f>
        <v>#DIV/0!</v>
      </c>
      <c r="D675" s="104" t="e">
        <f>AVERAGE(D602:D614,D618:D659)</f>
        <v>#DIV/0!</v>
      </c>
      <c r="E675" s="104" t="e">
        <f>AVERAGE(E602:E610,E618:E631,E634:E647,E650:E661)</f>
        <v>#DIV/0!</v>
      </c>
      <c r="F675" s="104" t="e">
        <f>AVERAGE(F602:F610,F618:F631,F634:F647,F650:F661)</f>
        <v>#DIV/0!</v>
      </c>
      <c r="G675" s="104" t="e">
        <f>AVERAGE(G602:G630,G634:G641,G650:G662)</f>
        <v>#DIV/0!</v>
      </c>
      <c r="H675" s="104" t="e">
        <f>AVERAGE(H602:H630,H634:H641,H650:H662)</f>
        <v>#DIV/0!</v>
      </c>
      <c r="I675" s="104" t="e">
        <f>AVERAGE(I602:I609,I618:I627,I634:I642,I650:I657,I663:I674)</f>
        <v>#DIV/0!</v>
      </c>
      <c r="J675" s="104" t="e">
        <f>AVERAGE(J602:J609,J618:J627,J634:J642,J650:J657,J663:J674)</f>
        <v>#DIV/0!</v>
      </c>
    </row>
    <row r="676" spans="1:11">
      <c r="A676" s="116" t="s">
        <v>267</v>
      </c>
      <c r="B676" s="117" t="e">
        <f>SUM(D675,F675,H675,J675)</f>
        <v>#DIV/0!</v>
      </c>
      <c r="C676" s="64" t="s">
        <v>268</v>
      </c>
      <c r="D676" s="118" t="s">
        <v>269</v>
      </c>
      <c r="E676" s="64" t="s">
        <v>268</v>
      </c>
      <c r="F676" s="118" t="s">
        <v>269</v>
      </c>
      <c r="G676" s="64" t="s">
        <v>268</v>
      </c>
      <c r="H676" s="118" t="s">
        <v>269</v>
      </c>
      <c r="I676" s="64" t="s">
        <v>268</v>
      </c>
      <c r="J676" s="118" t="s">
        <v>269</v>
      </c>
    </row>
    <row r="679" spans="1:11">
      <c r="A679" s="503" t="s">
        <v>107</v>
      </c>
      <c r="B679" s="503"/>
      <c r="C679" s="503"/>
      <c r="D679" s="503"/>
      <c r="E679" s="503"/>
      <c r="F679" s="503"/>
      <c r="G679" s="503"/>
      <c r="H679" s="503"/>
      <c r="I679" s="503"/>
      <c r="J679" s="504"/>
      <c r="K679" s="109">
        <v>5</v>
      </c>
    </row>
    <row r="680" spans="1:11" ht="34.799999999999997">
      <c r="A680" s="74" t="s">
        <v>270</v>
      </c>
      <c r="B680" s="74" t="s">
        <v>271</v>
      </c>
      <c r="C680" s="74" t="s">
        <v>272</v>
      </c>
      <c r="D680" s="74" t="s">
        <v>108</v>
      </c>
      <c r="E680" s="74" t="s">
        <v>109</v>
      </c>
      <c r="F680" s="75" t="s">
        <v>273</v>
      </c>
      <c r="G680" s="74" t="s">
        <v>110</v>
      </c>
      <c r="H680" s="74" t="s">
        <v>111</v>
      </c>
      <c r="I680" s="74" t="s">
        <v>112</v>
      </c>
      <c r="J680" s="74" t="s">
        <v>113</v>
      </c>
    </row>
    <row r="681" spans="1:11">
      <c r="A681" s="505" t="s">
        <v>274</v>
      </c>
      <c r="B681" s="87" t="s">
        <v>114</v>
      </c>
      <c r="C681" s="76" t="s">
        <v>275</v>
      </c>
      <c r="D681" s="77">
        <v>1</v>
      </c>
      <c r="E681" s="78">
        <v>1</v>
      </c>
      <c r="F681" s="497" t="s">
        <v>276</v>
      </c>
      <c r="G681" s="76">
        <v>105.48</v>
      </c>
      <c r="H681" s="51">
        <v>25.5</v>
      </c>
      <c r="I681" s="52">
        <v>26.6</v>
      </c>
      <c r="J681" s="52">
        <v>25.947168858331978</v>
      </c>
    </row>
    <row r="682" spans="1:11">
      <c r="A682" s="506"/>
      <c r="B682" s="87" t="s">
        <v>115</v>
      </c>
      <c r="C682" s="76" t="s">
        <v>277</v>
      </c>
      <c r="D682" s="77">
        <v>1</v>
      </c>
      <c r="E682" s="78">
        <v>1</v>
      </c>
      <c r="F682" s="498"/>
      <c r="G682" s="76">
        <v>105.48</v>
      </c>
      <c r="H682" s="51">
        <v>26</v>
      </c>
      <c r="I682" s="52">
        <v>27.1</v>
      </c>
      <c r="J682" s="52">
        <v>26.534160006693167</v>
      </c>
    </row>
    <row r="683" spans="1:11">
      <c r="A683" s="506"/>
      <c r="B683" s="87" t="s">
        <v>116</v>
      </c>
      <c r="C683" s="76" t="s">
        <v>117</v>
      </c>
      <c r="D683" s="77">
        <v>1</v>
      </c>
      <c r="E683" s="78">
        <v>1</v>
      </c>
      <c r="F683" s="79"/>
      <c r="G683" s="76">
        <v>105.48</v>
      </c>
      <c r="H683" s="51">
        <v>26</v>
      </c>
      <c r="I683" s="52">
        <v>27.1</v>
      </c>
      <c r="J683" s="52">
        <v>26.612712003992765</v>
      </c>
    </row>
    <row r="684" spans="1:11">
      <c r="A684" s="507"/>
      <c r="B684" s="87" t="s">
        <v>118</v>
      </c>
      <c r="C684" s="76" t="s">
        <v>119</v>
      </c>
      <c r="D684" s="77">
        <v>1</v>
      </c>
      <c r="E684" s="78">
        <v>1</v>
      </c>
      <c r="F684" s="79"/>
      <c r="G684" s="76">
        <v>105.48</v>
      </c>
      <c r="H684" s="51">
        <v>25.9</v>
      </c>
      <c r="I684" s="52">
        <v>27</v>
      </c>
      <c r="J684" s="52">
        <v>26.551582992080178</v>
      </c>
    </row>
    <row r="685" spans="1:11">
      <c r="A685" s="505" t="s">
        <v>278</v>
      </c>
      <c r="B685" s="87" t="s">
        <v>120</v>
      </c>
      <c r="C685" s="76" t="s">
        <v>279</v>
      </c>
      <c r="D685" s="77">
        <v>1</v>
      </c>
      <c r="E685" s="78">
        <v>1</v>
      </c>
      <c r="F685" s="497" t="s">
        <v>276</v>
      </c>
      <c r="G685" s="76">
        <v>105.48</v>
      </c>
      <c r="H685" s="51">
        <v>19.5</v>
      </c>
      <c r="I685" s="52">
        <v>28</v>
      </c>
      <c r="J685" s="52">
        <v>26.562861558467784</v>
      </c>
    </row>
    <row r="686" spans="1:11">
      <c r="A686" s="506"/>
      <c r="B686" s="87" t="s">
        <v>121</v>
      </c>
      <c r="C686" s="76" t="s">
        <v>280</v>
      </c>
      <c r="D686" s="77">
        <v>1</v>
      </c>
      <c r="E686" s="78">
        <v>1</v>
      </c>
      <c r="F686" s="498"/>
      <c r="G686" s="76">
        <v>105.48</v>
      </c>
      <c r="H686" s="51">
        <v>24.3</v>
      </c>
      <c r="I686" s="52">
        <v>27.7</v>
      </c>
      <c r="J686" s="52">
        <v>26.468817329979629</v>
      </c>
    </row>
    <row r="687" spans="1:11">
      <c r="A687" s="506"/>
      <c r="B687" s="87" t="s">
        <v>122</v>
      </c>
      <c r="C687" s="76" t="s">
        <v>123</v>
      </c>
      <c r="D687" s="77">
        <v>1</v>
      </c>
      <c r="E687" s="78">
        <v>1</v>
      </c>
      <c r="F687" s="498"/>
      <c r="G687" s="76">
        <v>105.48</v>
      </c>
      <c r="H687" s="51">
        <v>17</v>
      </c>
      <c r="I687" s="52">
        <v>27</v>
      </c>
      <c r="J687" s="52">
        <v>21.191033060811872</v>
      </c>
    </row>
    <row r="688" spans="1:11">
      <c r="A688" s="506"/>
      <c r="B688" s="87" t="s">
        <v>124</v>
      </c>
      <c r="C688" s="76" t="s">
        <v>125</v>
      </c>
      <c r="D688" s="77">
        <v>1</v>
      </c>
      <c r="E688" s="78">
        <v>1</v>
      </c>
      <c r="F688" s="498"/>
      <c r="G688" s="76">
        <v>105.48</v>
      </c>
      <c r="H688" s="51">
        <v>24.9</v>
      </c>
      <c r="I688" s="52">
        <v>27.5</v>
      </c>
      <c r="J688" s="52">
        <v>26.191250294344051</v>
      </c>
    </row>
    <row r="689" spans="1:10">
      <c r="A689" s="506"/>
      <c r="B689" s="87" t="s">
        <v>126</v>
      </c>
      <c r="C689" s="76" t="s">
        <v>281</v>
      </c>
      <c r="D689" s="77">
        <v>1</v>
      </c>
      <c r="E689" s="78">
        <v>1</v>
      </c>
      <c r="F689" s="79"/>
      <c r="G689" s="76">
        <v>70.319999999999993</v>
      </c>
      <c r="H689" s="51">
        <v>13.9</v>
      </c>
      <c r="I689" s="52">
        <v>26.3</v>
      </c>
      <c r="J689" s="52">
        <v>24.473978140810075</v>
      </c>
    </row>
    <row r="690" spans="1:10">
      <c r="A690" s="506"/>
      <c r="B690" s="87" t="s">
        <v>127</v>
      </c>
      <c r="C690" s="76" t="s">
        <v>128</v>
      </c>
      <c r="D690" s="77">
        <v>1</v>
      </c>
      <c r="E690" s="78">
        <v>1</v>
      </c>
      <c r="F690" s="79"/>
      <c r="G690" s="76">
        <v>70.319999999999993</v>
      </c>
      <c r="H690" s="51">
        <v>14.1</v>
      </c>
      <c r="I690" s="52">
        <v>26.1</v>
      </c>
      <c r="J690" s="52">
        <v>24.513090894548593</v>
      </c>
    </row>
    <row r="691" spans="1:10">
      <c r="A691" s="507"/>
      <c r="B691" s="87" t="s">
        <v>129</v>
      </c>
      <c r="C691" s="76" t="s">
        <v>130</v>
      </c>
      <c r="D691" s="77">
        <v>1</v>
      </c>
      <c r="E691" s="78">
        <v>1</v>
      </c>
      <c r="F691" s="79"/>
      <c r="G691" s="76">
        <v>70.319999999999993</v>
      </c>
      <c r="H691" s="51">
        <v>14.8</v>
      </c>
      <c r="I691" s="52">
        <v>26</v>
      </c>
      <c r="J691" s="52">
        <v>24.625210701474238</v>
      </c>
    </row>
    <row r="692" spans="1:10">
      <c r="A692" s="496" t="s">
        <v>282</v>
      </c>
      <c r="B692" s="87" t="s">
        <v>131</v>
      </c>
      <c r="C692" s="76" t="s">
        <v>283</v>
      </c>
      <c r="D692" s="77">
        <v>1</v>
      </c>
      <c r="E692" s="78">
        <v>1</v>
      </c>
      <c r="F692" s="497" t="s">
        <v>276</v>
      </c>
      <c r="G692" s="76">
        <v>105.48</v>
      </c>
      <c r="H692" s="51">
        <v>24</v>
      </c>
      <c r="I692" s="52">
        <v>25.5</v>
      </c>
      <c r="J692" s="52">
        <v>24.86613436981952</v>
      </c>
    </row>
    <row r="693" spans="1:10">
      <c r="A693" s="496"/>
      <c r="B693" s="87" t="s">
        <v>132</v>
      </c>
      <c r="C693" s="76" t="s">
        <v>133</v>
      </c>
      <c r="D693" s="77">
        <v>1</v>
      </c>
      <c r="E693" s="78">
        <v>1</v>
      </c>
      <c r="F693" s="498"/>
      <c r="G693" s="76">
        <v>105.48</v>
      </c>
      <c r="H693" s="51">
        <v>24.4</v>
      </c>
      <c r="I693" s="52">
        <v>25.9</v>
      </c>
      <c r="J693" s="52">
        <v>25.221151651472233</v>
      </c>
    </row>
    <row r="694" spans="1:10">
      <c r="A694" s="496"/>
      <c r="B694" s="87" t="s">
        <v>134</v>
      </c>
      <c r="C694" s="76" t="s">
        <v>135</v>
      </c>
      <c r="D694" s="77">
        <v>1</v>
      </c>
      <c r="E694" s="78">
        <v>1</v>
      </c>
      <c r="F694" s="498"/>
      <c r="G694" s="80">
        <v>105.48</v>
      </c>
      <c r="H694" s="51">
        <v>24.5</v>
      </c>
      <c r="I694" s="52">
        <v>26.4</v>
      </c>
      <c r="J694" s="52">
        <v>25.252246982879878</v>
      </c>
    </row>
    <row r="695" spans="1:10">
      <c r="A695" s="496"/>
      <c r="B695" s="87" t="s">
        <v>136</v>
      </c>
      <c r="C695" s="76" t="s">
        <v>137</v>
      </c>
      <c r="D695" s="77">
        <v>1</v>
      </c>
      <c r="E695" s="78">
        <v>1</v>
      </c>
      <c r="F695" s="498"/>
      <c r="G695" s="80">
        <v>105.48</v>
      </c>
      <c r="H695" s="51">
        <v>24.1</v>
      </c>
      <c r="I695" s="52">
        <v>26</v>
      </c>
      <c r="J695" s="52">
        <v>24.844128275320063</v>
      </c>
    </row>
    <row r="696" spans="1:10">
      <c r="A696" s="496"/>
      <c r="B696" s="87" t="s">
        <v>138</v>
      </c>
      <c r="C696" s="76" t="s">
        <v>284</v>
      </c>
      <c r="D696" s="77">
        <v>0</v>
      </c>
      <c r="E696" s="78">
        <v>1</v>
      </c>
      <c r="F696" s="497" t="s">
        <v>285</v>
      </c>
      <c r="G696" s="76">
        <v>32.549999999999997</v>
      </c>
      <c r="H696" s="112">
        <v>25.3</v>
      </c>
      <c r="I696" s="112">
        <v>33.5</v>
      </c>
      <c r="J696" s="112">
        <v>32.598777177207168</v>
      </c>
    </row>
    <row r="697" spans="1:10">
      <c r="A697" s="496"/>
      <c r="B697" s="87" t="s">
        <v>139</v>
      </c>
      <c r="C697" s="76" t="s">
        <v>140</v>
      </c>
      <c r="D697" s="77">
        <v>0</v>
      </c>
      <c r="E697" s="78">
        <v>1</v>
      </c>
      <c r="F697" s="499"/>
      <c r="G697" s="76">
        <v>32.549999999999997</v>
      </c>
      <c r="H697" s="113">
        <v>23.4</v>
      </c>
      <c r="I697" s="113">
        <v>27.2</v>
      </c>
      <c r="J697" s="113">
        <v>26.023714421315294</v>
      </c>
    </row>
    <row r="698" spans="1:10">
      <c r="A698" s="496"/>
      <c r="B698" s="87" t="s">
        <v>141</v>
      </c>
      <c r="C698" s="76" t="s">
        <v>286</v>
      </c>
      <c r="D698" s="77">
        <v>0</v>
      </c>
      <c r="E698" s="78">
        <v>1</v>
      </c>
      <c r="F698" s="497" t="s">
        <v>285</v>
      </c>
      <c r="G698" s="76">
        <v>32.549999999999997</v>
      </c>
      <c r="H698" s="113">
        <v>21.8</v>
      </c>
      <c r="I698" s="113">
        <v>32.700000000000003</v>
      </c>
      <c r="J698" s="113">
        <v>31.101890811719603</v>
      </c>
    </row>
    <row r="699" spans="1:10">
      <c r="A699" s="496"/>
      <c r="B699" s="87" t="s">
        <v>142</v>
      </c>
      <c r="C699" s="76" t="s">
        <v>143</v>
      </c>
      <c r="D699" s="77">
        <v>1</v>
      </c>
      <c r="E699" s="78">
        <v>1</v>
      </c>
      <c r="F699" s="498"/>
      <c r="G699" s="76">
        <v>32.549999999999997</v>
      </c>
      <c r="H699" s="53">
        <v>22.5</v>
      </c>
      <c r="I699" s="53">
        <v>27.8</v>
      </c>
      <c r="J699" s="53">
        <v>26.137480201432698</v>
      </c>
    </row>
    <row r="700" spans="1:10">
      <c r="A700" s="496"/>
      <c r="B700" s="87" t="s">
        <v>144</v>
      </c>
      <c r="C700" s="76" t="s">
        <v>145</v>
      </c>
      <c r="D700" s="77">
        <v>0</v>
      </c>
      <c r="E700" s="78">
        <v>1</v>
      </c>
      <c r="F700" s="498"/>
      <c r="G700" s="76">
        <v>32.549999999999997</v>
      </c>
      <c r="H700" s="113">
        <v>17.8</v>
      </c>
      <c r="I700" s="113">
        <v>29.5</v>
      </c>
      <c r="J700" s="113">
        <v>27.936542597126117</v>
      </c>
    </row>
    <row r="701" spans="1:10">
      <c r="A701" s="496"/>
      <c r="B701" s="87" t="s">
        <v>146</v>
      </c>
      <c r="C701" s="76" t="s">
        <v>147</v>
      </c>
      <c r="D701" s="77">
        <v>1</v>
      </c>
      <c r="E701" s="78">
        <v>1</v>
      </c>
      <c r="F701" s="498"/>
      <c r="G701" s="76">
        <v>32.549999999999997</v>
      </c>
      <c r="H701" s="53">
        <v>21.4</v>
      </c>
      <c r="I701" s="53">
        <v>26.9</v>
      </c>
      <c r="J701" s="53">
        <v>24.703474713280034</v>
      </c>
    </row>
    <row r="702" spans="1:10">
      <c r="A702" s="496"/>
      <c r="B702" s="87" t="s">
        <v>148</v>
      </c>
      <c r="C702" s="76" t="s">
        <v>149</v>
      </c>
      <c r="D702" s="77">
        <v>0</v>
      </c>
      <c r="E702" s="78">
        <v>1</v>
      </c>
      <c r="F702" s="498"/>
      <c r="G702" s="76">
        <v>32.549999999999997</v>
      </c>
      <c r="H702" s="53">
        <v>20.3</v>
      </c>
      <c r="I702" s="53">
        <v>24.4</v>
      </c>
      <c r="J702" s="53">
        <v>21.562160054259266</v>
      </c>
    </row>
    <row r="703" spans="1:10">
      <c r="A703" s="496"/>
      <c r="B703" s="87" t="s">
        <v>150</v>
      </c>
      <c r="C703" s="76" t="s">
        <v>151</v>
      </c>
      <c r="D703" s="77">
        <v>1</v>
      </c>
      <c r="E703" s="78">
        <v>1</v>
      </c>
      <c r="F703" s="498"/>
      <c r="G703" s="76">
        <v>32.549999999999997</v>
      </c>
      <c r="H703" s="53">
        <v>21.2</v>
      </c>
      <c r="I703" s="53">
        <v>24.2</v>
      </c>
      <c r="J703" s="53">
        <v>23.427404201133758</v>
      </c>
    </row>
    <row r="704" spans="1:10">
      <c r="A704" s="496"/>
      <c r="B704" s="87" t="s">
        <v>152</v>
      </c>
      <c r="C704" s="76" t="s">
        <v>153</v>
      </c>
      <c r="D704" s="77">
        <v>0</v>
      </c>
      <c r="E704" s="78">
        <v>1</v>
      </c>
      <c r="F704" s="498"/>
      <c r="G704" s="76">
        <v>32.549999999999997</v>
      </c>
      <c r="H704" s="113"/>
      <c r="I704" s="113"/>
      <c r="J704" s="113"/>
    </row>
    <row r="705" spans="1:10">
      <c r="A705" s="496"/>
      <c r="B705" s="87" t="s">
        <v>154</v>
      </c>
      <c r="C705" s="76" t="s">
        <v>155</v>
      </c>
      <c r="D705" s="77">
        <v>0</v>
      </c>
      <c r="E705" s="78">
        <v>1</v>
      </c>
      <c r="F705" s="498"/>
      <c r="G705" s="76">
        <v>32.549999999999997</v>
      </c>
      <c r="H705" s="113">
        <v>18.399999999999999</v>
      </c>
      <c r="I705" s="113">
        <v>99.5</v>
      </c>
      <c r="J705" s="113">
        <v>22.382754481136075</v>
      </c>
    </row>
    <row r="706" spans="1:10">
      <c r="A706" s="496"/>
      <c r="B706" s="87" t="s">
        <v>156</v>
      </c>
      <c r="C706" s="76" t="s">
        <v>157</v>
      </c>
      <c r="D706" s="77">
        <v>0</v>
      </c>
      <c r="E706" s="78">
        <v>1</v>
      </c>
      <c r="F706" s="498"/>
      <c r="G706" s="76">
        <v>32.549999999999997</v>
      </c>
      <c r="H706" s="113">
        <v>18.399999999999999</v>
      </c>
      <c r="I706" s="113">
        <v>25.1</v>
      </c>
      <c r="J706" s="113">
        <v>23.977183057851555</v>
      </c>
    </row>
    <row r="707" spans="1:10">
      <c r="A707" s="496"/>
      <c r="B707" s="87" t="s">
        <v>158</v>
      </c>
      <c r="C707" s="76" t="s">
        <v>159</v>
      </c>
      <c r="D707" s="77">
        <v>0</v>
      </c>
      <c r="E707" s="78">
        <v>1</v>
      </c>
      <c r="F707" s="498"/>
      <c r="G707" s="76">
        <v>32.549999999999997</v>
      </c>
      <c r="H707" s="113">
        <v>17.7</v>
      </c>
      <c r="I707" s="113">
        <v>29.2</v>
      </c>
      <c r="J707" s="113">
        <v>21.609415322508042</v>
      </c>
    </row>
    <row r="708" spans="1:10">
      <c r="A708" s="496"/>
      <c r="B708" s="87" t="s">
        <v>160</v>
      </c>
      <c r="C708" s="76" t="s">
        <v>161</v>
      </c>
      <c r="D708" s="77">
        <v>0</v>
      </c>
      <c r="E708" s="78">
        <v>1</v>
      </c>
      <c r="F708" s="498"/>
      <c r="G708" s="76">
        <v>32.549999999999997</v>
      </c>
      <c r="H708" s="113">
        <v>21.2</v>
      </c>
      <c r="I708" s="113">
        <v>25.6</v>
      </c>
      <c r="J708" s="113">
        <v>22.483006882817978</v>
      </c>
    </row>
    <row r="709" spans="1:10">
      <c r="A709" s="496"/>
      <c r="B709" s="87" t="s">
        <v>162</v>
      </c>
      <c r="C709" s="76" t="s">
        <v>163</v>
      </c>
      <c r="D709" s="77">
        <v>0</v>
      </c>
      <c r="E709" s="78">
        <v>1</v>
      </c>
      <c r="F709" s="499"/>
      <c r="G709" s="76">
        <v>32.549999999999997</v>
      </c>
      <c r="H709" s="113">
        <v>19</v>
      </c>
      <c r="I709" s="113">
        <v>23.8</v>
      </c>
      <c r="J709" s="113">
        <v>21.875528539539498</v>
      </c>
    </row>
    <row r="710" spans="1:10">
      <c r="A710" s="496"/>
      <c r="B710" s="87" t="s">
        <v>164</v>
      </c>
      <c r="C710" s="76" t="s">
        <v>287</v>
      </c>
      <c r="D710" s="77">
        <v>0</v>
      </c>
      <c r="E710" s="78">
        <v>1</v>
      </c>
      <c r="F710" s="497" t="s">
        <v>285</v>
      </c>
      <c r="G710" s="76">
        <v>24.4</v>
      </c>
      <c r="H710" s="113">
        <v>27.5</v>
      </c>
      <c r="I710" s="113">
        <v>30</v>
      </c>
      <c r="J710" s="113">
        <v>28.669886471256667</v>
      </c>
    </row>
    <row r="711" spans="1:10">
      <c r="A711" s="496"/>
      <c r="B711" s="87" t="s">
        <v>165</v>
      </c>
      <c r="C711" s="76" t="s">
        <v>166</v>
      </c>
      <c r="D711" s="77">
        <v>0</v>
      </c>
      <c r="E711" s="78">
        <v>1</v>
      </c>
      <c r="F711" s="499"/>
      <c r="G711" s="76">
        <v>24.4</v>
      </c>
      <c r="H711" s="113">
        <v>26</v>
      </c>
      <c r="I711" s="113">
        <v>28.5</v>
      </c>
      <c r="J711" s="113">
        <v>27.101774468195114</v>
      </c>
    </row>
    <row r="712" spans="1:10">
      <c r="A712" s="496" t="s">
        <v>288</v>
      </c>
      <c r="B712" s="87" t="s">
        <v>167</v>
      </c>
      <c r="C712" s="76" t="s">
        <v>289</v>
      </c>
      <c r="D712" s="77">
        <v>1</v>
      </c>
      <c r="E712" s="78">
        <v>1</v>
      </c>
      <c r="F712" s="497" t="s">
        <v>276</v>
      </c>
      <c r="G712" s="76">
        <v>105.48</v>
      </c>
      <c r="H712" s="51">
        <v>24.8</v>
      </c>
      <c r="I712" s="53">
        <v>26</v>
      </c>
      <c r="J712" s="53">
        <v>25.5657765485998</v>
      </c>
    </row>
    <row r="713" spans="1:10">
      <c r="A713" s="496"/>
      <c r="B713" s="87" t="s">
        <v>168</v>
      </c>
      <c r="C713" s="76" t="s">
        <v>169</v>
      </c>
      <c r="D713" s="77">
        <v>1</v>
      </c>
      <c r="E713" s="78">
        <v>1</v>
      </c>
      <c r="F713" s="498"/>
      <c r="G713" s="76">
        <v>105.48</v>
      </c>
      <c r="H713" s="51">
        <v>24.6</v>
      </c>
      <c r="I713" s="54">
        <v>25.8</v>
      </c>
      <c r="J713" s="54">
        <v>25.342871866513704</v>
      </c>
    </row>
    <row r="714" spans="1:10">
      <c r="A714" s="496"/>
      <c r="B714" s="87" t="s">
        <v>170</v>
      </c>
      <c r="C714" s="76" t="s">
        <v>171</v>
      </c>
      <c r="D714" s="77">
        <v>1</v>
      </c>
      <c r="E714" s="78">
        <v>1</v>
      </c>
      <c r="F714" s="498"/>
      <c r="G714" s="76">
        <v>105.48</v>
      </c>
      <c r="H714" s="51">
        <v>23.9</v>
      </c>
      <c r="I714" s="52">
        <v>25.8</v>
      </c>
      <c r="J714" s="52">
        <v>24.947314233142599</v>
      </c>
    </row>
    <row r="715" spans="1:10">
      <c r="A715" s="496"/>
      <c r="B715" s="87" t="s">
        <v>172</v>
      </c>
      <c r="C715" s="76" t="s">
        <v>173</v>
      </c>
      <c r="D715" s="77">
        <v>1</v>
      </c>
      <c r="E715" s="78">
        <v>1</v>
      </c>
      <c r="F715" s="498"/>
      <c r="G715" s="76">
        <v>105.48</v>
      </c>
      <c r="H715" s="51">
        <v>24</v>
      </c>
      <c r="I715" s="52">
        <v>25.7</v>
      </c>
      <c r="J715" s="52">
        <v>24.962164505328346</v>
      </c>
    </row>
    <row r="716" spans="1:10">
      <c r="A716" s="496"/>
      <c r="B716" s="87" t="s">
        <v>174</v>
      </c>
      <c r="C716" s="76" t="s">
        <v>290</v>
      </c>
      <c r="D716" s="77">
        <v>1</v>
      </c>
      <c r="E716" s="78">
        <v>1</v>
      </c>
      <c r="F716" s="498"/>
      <c r="G716" s="76">
        <v>65</v>
      </c>
      <c r="H716" s="55">
        <v>26.1</v>
      </c>
      <c r="I716" s="55">
        <v>28.3</v>
      </c>
      <c r="J716" s="55">
        <v>27.236223419018422</v>
      </c>
    </row>
    <row r="717" spans="1:10">
      <c r="A717" s="496"/>
      <c r="B717" s="87" t="s">
        <v>175</v>
      </c>
      <c r="C717" s="76" t="s">
        <v>176</v>
      </c>
      <c r="D717" s="77">
        <v>1</v>
      </c>
      <c r="E717" s="78">
        <v>1</v>
      </c>
      <c r="F717" s="499"/>
      <c r="G717" s="76">
        <v>65</v>
      </c>
      <c r="H717" s="55">
        <v>24</v>
      </c>
      <c r="I717" s="55">
        <v>26</v>
      </c>
      <c r="J717" s="55">
        <v>24.516666666666666</v>
      </c>
    </row>
    <row r="718" spans="1:10">
      <c r="A718" s="496"/>
      <c r="B718" s="87" t="s">
        <v>177</v>
      </c>
      <c r="C718" s="76" t="s">
        <v>291</v>
      </c>
      <c r="D718" s="77">
        <v>1</v>
      </c>
      <c r="E718" s="78">
        <v>1</v>
      </c>
      <c r="F718" s="497" t="s">
        <v>285</v>
      </c>
      <c r="G718" s="76">
        <v>16.3</v>
      </c>
      <c r="H718" s="55">
        <v>23.5</v>
      </c>
      <c r="I718" s="55">
        <v>26</v>
      </c>
      <c r="J718" s="55">
        <v>24.533991418670009</v>
      </c>
    </row>
    <row r="719" spans="1:10">
      <c r="A719" s="496"/>
      <c r="B719" s="87" t="s">
        <v>178</v>
      </c>
      <c r="C719" s="76" t="s">
        <v>179</v>
      </c>
      <c r="D719" s="77">
        <v>1</v>
      </c>
      <c r="E719" s="78">
        <v>1</v>
      </c>
      <c r="F719" s="498"/>
      <c r="G719" s="76">
        <v>16.3</v>
      </c>
      <c r="H719" s="55">
        <v>21</v>
      </c>
      <c r="I719" s="55">
        <v>24.5</v>
      </c>
      <c r="J719" s="55">
        <v>22.917691723309261</v>
      </c>
    </row>
    <row r="720" spans="1:10">
      <c r="A720" s="496"/>
      <c r="B720" s="87" t="s">
        <v>180</v>
      </c>
      <c r="C720" s="76" t="s">
        <v>181</v>
      </c>
      <c r="D720" s="77">
        <v>1</v>
      </c>
      <c r="E720" s="78">
        <v>1</v>
      </c>
      <c r="F720" s="498"/>
      <c r="G720" s="76">
        <v>16.3</v>
      </c>
      <c r="H720" s="55">
        <v>18</v>
      </c>
      <c r="I720" s="55">
        <v>29.5</v>
      </c>
      <c r="J720" s="55">
        <v>26.953550372958549</v>
      </c>
    </row>
    <row r="721" spans="1:10">
      <c r="A721" s="496"/>
      <c r="B721" s="87" t="s">
        <v>292</v>
      </c>
      <c r="C721" s="76" t="s">
        <v>182</v>
      </c>
      <c r="D721" s="77">
        <v>1</v>
      </c>
      <c r="E721" s="78">
        <v>1</v>
      </c>
      <c r="F721" s="499"/>
      <c r="G721" s="76">
        <v>35</v>
      </c>
      <c r="H721" s="55">
        <v>24</v>
      </c>
      <c r="I721" s="55">
        <v>26</v>
      </c>
      <c r="J721" s="55">
        <v>24.855475787683329</v>
      </c>
    </row>
    <row r="722" spans="1:10">
      <c r="H722" s="66">
        <f>AVERAGE(H681:H695,H701:H703,H712:H721)</f>
        <v>22.346428571428572</v>
      </c>
      <c r="I722" s="66">
        <f t="shared" ref="I722" si="4">AVERAGE(I681:I695,I701:I703,I712:I721)</f>
        <v>26.403571428571421</v>
      </c>
      <c r="J722" s="114">
        <f>AVERAGE(J681:J695,J701:J703,J712:J721,J699)</f>
        <v>25.086819752862844</v>
      </c>
    </row>
    <row r="723" spans="1:10">
      <c r="J723" s="65" t="s">
        <v>264</v>
      </c>
    </row>
    <row r="724" spans="1:10">
      <c r="A724" s="503" t="s">
        <v>183</v>
      </c>
      <c r="B724" s="503"/>
      <c r="C724" s="503"/>
      <c r="D724" s="503"/>
      <c r="E724" s="503"/>
      <c r="F724" s="503"/>
      <c r="G724" s="503"/>
      <c r="H724" s="503"/>
      <c r="I724" s="503"/>
      <c r="J724" s="504"/>
    </row>
    <row r="725" spans="1:10" ht="34.799999999999997">
      <c r="A725" s="74" t="s">
        <v>270</v>
      </c>
      <c r="B725" s="74" t="s">
        <v>271</v>
      </c>
      <c r="C725" s="74" t="s">
        <v>272</v>
      </c>
      <c r="D725" s="74" t="s">
        <v>108</v>
      </c>
      <c r="E725" s="74" t="s">
        <v>109</v>
      </c>
      <c r="F725" s="75" t="s">
        <v>273</v>
      </c>
      <c r="G725" s="74" t="s">
        <v>110</v>
      </c>
      <c r="H725" s="74" t="s">
        <v>184</v>
      </c>
      <c r="I725" s="74" t="s">
        <v>185</v>
      </c>
      <c r="J725" s="74" t="s">
        <v>186</v>
      </c>
    </row>
    <row r="726" spans="1:10">
      <c r="A726" s="508" t="s">
        <v>274</v>
      </c>
      <c r="B726" s="88" t="s">
        <v>114</v>
      </c>
      <c r="C726" s="89" t="s">
        <v>275</v>
      </c>
      <c r="D726" s="90">
        <v>1</v>
      </c>
      <c r="E726" s="89">
        <v>1</v>
      </c>
      <c r="F726" s="497" t="s">
        <v>276</v>
      </c>
      <c r="G726" s="76">
        <v>105.48</v>
      </c>
      <c r="H726" s="56">
        <v>24.1</v>
      </c>
      <c r="I726" s="57">
        <v>46.6</v>
      </c>
      <c r="J726" s="57">
        <v>36.875899645011756</v>
      </c>
    </row>
    <row r="727" spans="1:10">
      <c r="A727" s="509"/>
      <c r="B727" s="88" t="s">
        <v>115</v>
      </c>
      <c r="C727" s="89" t="s">
        <v>277</v>
      </c>
      <c r="D727" s="90">
        <v>1</v>
      </c>
      <c r="E727" s="89">
        <v>1</v>
      </c>
      <c r="F727" s="498"/>
      <c r="G727" s="76">
        <v>105.48</v>
      </c>
      <c r="H727" s="56">
        <v>24.5</v>
      </c>
      <c r="I727" s="57">
        <v>46.8</v>
      </c>
      <c r="J727" s="57">
        <v>37.004108173574643</v>
      </c>
    </row>
    <row r="728" spans="1:10">
      <c r="A728" s="509"/>
      <c r="B728" s="88" t="s">
        <v>116</v>
      </c>
      <c r="C728" s="89" t="s">
        <v>117</v>
      </c>
      <c r="D728" s="90">
        <v>1</v>
      </c>
      <c r="E728" s="89">
        <v>1</v>
      </c>
      <c r="F728" s="79"/>
      <c r="G728" s="76">
        <v>105.48</v>
      </c>
      <c r="H728" s="56">
        <v>25.7</v>
      </c>
      <c r="I728" s="57">
        <v>45.6</v>
      </c>
      <c r="J728" s="57">
        <v>36.984516441492424</v>
      </c>
    </row>
    <row r="729" spans="1:10">
      <c r="A729" s="510"/>
      <c r="B729" s="88" t="s">
        <v>118</v>
      </c>
      <c r="C729" s="89" t="s">
        <v>119</v>
      </c>
      <c r="D729" s="90">
        <v>1</v>
      </c>
      <c r="E729" s="89">
        <v>1</v>
      </c>
      <c r="F729" s="79"/>
      <c r="G729" s="76">
        <v>105.48</v>
      </c>
      <c r="H729" s="56">
        <v>23.2</v>
      </c>
      <c r="I729" s="57">
        <v>44.2</v>
      </c>
      <c r="J729" s="57">
        <v>35.156717090807682</v>
      </c>
    </row>
    <row r="730" spans="1:10">
      <c r="A730" s="496" t="s">
        <v>278</v>
      </c>
      <c r="B730" s="87" t="s">
        <v>120</v>
      </c>
      <c r="C730" s="76" t="s">
        <v>279</v>
      </c>
      <c r="D730" s="77">
        <v>1</v>
      </c>
      <c r="E730" s="78">
        <v>1</v>
      </c>
      <c r="F730" s="497" t="s">
        <v>276</v>
      </c>
      <c r="G730" s="76">
        <v>105.48</v>
      </c>
      <c r="H730" s="56">
        <v>22.8</v>
      </c>
      <c r="I730" s="57">
        <v>73.8</v>
      </c>
      <c r="J730" s="57">
        <v>37.251804931220235</v>
      </c>
    </row>
    <row r="731" spans="1:10">
      <c r="A731" s="496"/>
      <c r="B731" s="87" t="s">
        <v>121</v>
      </c>
      <c r="C731" s="76" t="s">
        <v>280</v>
      </c>
      <c r="D731" s="77">
        <v>1</v>
      </c>
      <c r="E731" s="78">
        <v>1</v>
      </c>
      <c r="F731" s="498"/>
      <c r="G731" s="76">
        <v>105.48</v>
      </c>
      <c r="H731" s="56">
        <v>22.8</v>
      </c>
      <c r="I731" s="57">
        <v>53.2</v>
      </c>
      <c r="J731" s="57">
        <v>37.175433774739822</v>
      </c>
    </row>
    <row r="732" spans="1:10">
      <c r="A732" s="496"/>
      <c r="B732" s="87" t="s">
        <v>122</v>
      </c>
      <c r="C732" s="76" t="s">
        <v>123</v>
      </c>
      <c r="D732" s="77">
        <v>1</v>
      </c>
      <c r="E732" s="78">
        <v>1</v>
      </c>
      <c r="F732" s="498"/>
      <c r="G732" s="76">
        <v>105.48</v>
      </c>
      <c r="H732" s="56">
        <v>37.299999999999997</v>
      </c>
      <c r="I732" s="57">
        <v>66</v>
      </c>
      <c r="J732" s="57">
        <v>49.840352179488214</v>
      </c>
    </row>
    <row r="733" spans="1:10">
      <c r="A733" s="496"/>
      <c r="B733" s="87" t="s">
        <v>124</v>
      </c>
      <c r="C733" s="76" t="s">
        <v>125</v>
      </c>
      <c r="D733" s="77">
        <v>1</v>
      </c>
      <c r="E733" s="78">
        <v>1</v>
      </c>
      <c r="F733" s="498"/>
      <c r="G733" s="76">
        <v>105.48</v>
      </c>
      <c r="H733" s="56">
        <v>24</v>
      </c>
      <c r="I733" s="57">
        <v>47.5</v>
      </c>
      <c r="J733" s="57">
        <v>40.07350006711988</v>
      </c>
    </row>
    <row r="734" spans="1:10">
      <c r="A734" s="496" t="s">
        <v>282</v>
      </c>
      <c r="B734" s="87" t="s">
        <v>131</v>
      </c>
      <c r="C734" s="76" t="s">
        <v>283</v>
      </c>
      <c r="D734" s="77">
        <v>1</v>
      </c>
      <c r="E734" s="78">
        <v>1</v>
      </c>
      <c r="F734" s="497" t="s">
        <v>276</v>
      </c>
      <c r="G734" s="76">
        <v>105.48</v>
      </c>
      <c r="H734" s="56">
        <v>22.5</v>
      </c>
      <c r="I734" s="57">
        <v>45.8</v>
      </c>
      <c r="J734" s="57">
        <v>38.195485835971027</v>
      </c>
    </row>
    <row r="735" spans="1:10">
      <c r="A735" s="496"/>
      <c r="B735" s="87" t="s">
        <v>132</v>
      </c>
      <c r="C735" s="76" t="s">
        <v>133</v>
      </c>
      <c r="D735" s="77">
        <v>1</v>
      </c>
      <c r="E735" s="78">
        <v>1</v>
      </c>
      <c r="F735" s="498"/>
      <c r="G735" s="76">
        <v>105.48</v>
      </c>
      <c r="H735" s="56">
        <v>21.9</v>
      </c>
      <c r="I735" s="57">
        <v>44.3</v>
      </c>
      <c r="J735" s="57">
        <v>37.074655494835682</v>
      </c>
    </row>
    <row r="736" spans="1:10">
      <c r="A736" s="496"/>
      <c r="B736" s="87" t="s">
        <v>134</v>
      </c>
      <c r="C736" s="76" t="s">
        <v>135</v>
      </c>
      <c r="D736" s="77">
        <v>1</v>
      </c>
      <c r="E736" s="78">
        <v>1</v>
      </c>
      <c r="F736" s="498"/>
      <c r="G736" s="80">
        <v>105.48</v>
      </c>
      <c r="H736" s="56">
        <v>20.9</v>
      </c>
      <c r="I736" s="57">
        <v>39.5</v>
      </c>
      <c r="J736" s="57">
        <v>34.962139230837934</v>
      </c>
    </row>
    <row r="737" spans="1:10">
      <c r="A737" s="496"/>
      <c r="B737" s="87" t="s">
        <v>136</v>
      </c>
      <c r="C737" s="76" t="s">
        <v>137</v>
      </c>
      <c r="D737" s="77">
        <v>1</v>
      </c>
      <c r="E737" s="78">
        <v>1</v>
      </c>
      <c r="F737" s="498"/>
      <c r="G737" s="80">
        <v>105.48</v>
      </c>
      <c r="H737" s="56">
        <v>21.5</v>
      </c>
      <c r="I737" s="57">
        <v>40.6</v>
      </c>
      <c r="J737" s="57">
        <v>35.881135303974233</v>
      </c>
    </row>
    <row r="738" spans="1:10">
      <c r="A738" s="496"/>
      <c r="B738" s="87" t="s">
        <v>138</v>
      </c>
      <c r="C738" s="76" t="s">
        <v>284</v>
      </c>
      <c r="D738" s="76">
        <v>0</v>
      </c>
      <c r="E738" s="78">
        <v>1</v>
      </c>
      <c r="F738" s="78">
        <v>1</v>
      </c>
      <c r="G738" s="76">
        <v>32.549999999999997</v>
      </c>
      <c r="H738" s="58">
        <v>25.8</v>
      </c>
      <c r="I738" s="58">
        <v>31.6</v>
      </c>
      <c r="J738" s="58">
        <v>26.354365316483779</v>
      </c>
    </row>
    <row r="739" spans="1:10">
      <c r="A739" s="496"/>
      <c r="B739" s="87" t="s">
        <v>139</v>
      </c>
      <c r="C739" s="76" t="s">
        <v>140</v>
      </c>
      <c r="D739" s="76">
        <v>0</v>
      </c>
      <c r="E739" s="78">
        <v>1</v>
      </c>
      <c r="F739" s="78">
        <v>1</v>
      </c>
      <c r="G739" s="76">
        <v>32.549999999999997</v>
      </c>
      <c r="H739" s="59">
        <v>27.8</v>
      </c>
      <c r="I739" s="59">
        <v>30.6</v>
      </c>
      <c r="J739" s="59">
        <v>28.507460941612955</v>
      </c>
    </row>
    <row r="740" spans="1:10">
      <c r="A740" s="496"/>
      <c r="B740" s="87" t="s">
        <v>141</v>
      </c>
      <c r="C740" s="76" t="s">
        <v>286</v>
      </c>
      <c r="D740" s="76">
        <v>0</v>
      </c>
      <c r="E740" s="78">
        <v>1</v>
      </c>
      <c r="F740" s="78">
        <v>1</v>
      </c>
      <c r="G740" s="76">
        <v>32.549999999999997</v>
      </c>
      <c r="H740" s="59">
        <v>24.4</v>
      </c>
      <c r="I740" s="59">
        <v>31.6</v>
      </c>
      <c r="J740" s="59">
        <v>25.308625390828567</v>
      </c>
    </row>
    <row r="741" spans="1:10">
      <c r="A741" s="496"/>
      <c r="B741" s="87" t="s">
        <v>142</v>
      </c>
      <c r="C741" s="76" t="s">
        <v>143</v>
      </c>
      <c r="D741" s="76">
        <v>1</v>
      </c>
      <c r="E741" s="78">
        <v>1</v>
      </c>
      <c r="F741" s="78">
        <v>1</v>
      </c>
      <c r="G741" s="76">
        <v>32.549999999999997</v>
      </c>
      <c r="H741" s="60">
        <v>29</v>
      </c>
      <c r="I741" s="60">
        <v>32.799999999999997</v>
      </c>
      <c r="J741" s="60">
        <v>30.690526910212576</v>
      </c>
    </row>
    <row r="742" spans="1:10">
      <c r="A742" s="496"/>
      <c r="B742" s="87" t="s">
        <v>144</v>
      </c>
      <c r="C742" s="76" t="s">
        <v>145</v>
      </c>
      <c r="D742" s="76">
        <v>0</v>
      </c>
      <c r="E742" s="78">
        <v>1</v>
      </c>
      <c r="F742" s="78">
        <v>1</v>
      </c>
      <c r="G742" s="76">
        <v>32.549999999999997</v>
      </c>
      <c r="H742" s="59">
        <v>24.4</v>
      </c>
      <c r="I742" s="59">
        <v>32.5</v>
      </c>
      <c r="J742" s="59">
        <v>25.450364206403666</v>
      </c>
    </row>
    <row r="743" spans="1:10">
      <c r="A743" s="496"/>
      <c r="B743" s="87" t="s">
        <v>146</v>
      </c>
      <c r="C743" s="76" t="s">
        <v>147</v>
      </c>
      <c r="D743" s="76">
        <v>1</v>
      </c>
      <c r="E743" s="78">
        <v>1</v>
      </c>
      <c r="F743" s="78">
        <v>1</v>
      </c>
      <c r="G743" s="76">
        <v>32.549999999999997</v>
      </c>
      <c r="H743" s="60">
        <v>28.6</v>
      </c>
      <c r="I743" s="60">
        <v>32.799999999999997</v>
      </c>
      <c r="J743" s="60">
        <v>31.681985326236472</v>
      </c>
    </row>
    <row r="744" spans="1:10">
      <c r="A744" s="496"/>
      <c r="B744" s="87" t="s">
        <v>148</v>
      </c>
      <c r="C744" s="76" t="s">
        <v>149</v>
      </c>
      <c r="D744" s="76">
        <v>0</v>
      </c>
      <c r="E744" s="78">
        <v>1</v>
      </c>
      <c r="F744" s="78">
        <v>1</v>
      </c>
      <c r="G744" s="76">
        <v>32.549999999999997</v>
      </c>
      <c r="H744" s="60">
        <v>30.1</v>
      </c>
      <c r="I744" s="60">
        <v>32.5</v>
      </c>
      <c r="J744" s="60">
        <v>31.839196380938393</v>
      </c>
    </row>
    <row r="745" spans="1:10">
      <c r="A745" s="496"/>
      <c r="B745" s="87" t="s">
        <v>150</v>
      </c>
      <c r="C745" s="76" t="s">
        <v>151</v>
      </c>
      <c r="D745" s="76">
        <v>1</v>
      </c>
      <c r="E745" s="78">
        <v>1</v>
      </c>
      <c r="F745" s="78">
        <v>1</v>
      </c>
      <c r="G745" s="76">
        <v>32.549999999999997</v>
      </c>
      <c r="H745" s="60">
        <v>30.7</v>
      </c>
      <c r="I745" s="60">
        <v>32.6</v>
      </c>
      <c r="J745" s="60">
        <v>31.343251116148533</v>
      </c>
    </row>
    <row r="746" spans="1:10">
      <c r="A746" s="496"/>
      <c r="B746" s="87" t="s">
        <v>152</v>
      </c>
      <c r="C746" s="76" t="s">
        <v>153</v>
      </c>
      <c r="D746" s="76">
        <v>0</v>
      </c>
      <c r="E746" s="78">
        <v>1</v>
      </c>
      <c r="F746" s="78">
        <v>1</v>
      </c>
      <c r="G746" s="76">
        <v>32.549999999999997</v>
      </c>
      <c r="H746" s="59"/>
      <c r="I746" s="59"/>
      <c r="J746" s="59"/>
    </row>
    <row r="747" spans="1:10">
      <c r="A747" s="496"/>
      <c r="B747" s="87" t="s">
        <v>154</v>
      </c>
      <c r="C747" s="76" t="s">
        <v>155</v>
      </c>
      <c r="D747" s="76">
        <v>0</v>
      </c>
      <c r="E747" s="78">
        <v>1</v>
      </c>
      <c r="F747" s="78">
        <v>1</v>
      </c>
      <c r="G747" s="76">
        <v>32.549999999999997</v>
      </c>
      <c r="H747" s="59">
        <v>28.4</v>
      </c>
      <c r="I747" s="59">
        <v>29.9</v>
      </c>
      <c r="J747" s="59">
        <v>29.630716247788403</v>
      </c>
    </row>
    <row r="748" spans="1:10">
      <c r="A748" s="496"/>
      <c r="B748" s="87" t="s">
        <v>156</v>
      </c>
      <c r="C748" s="76" t="s">
        <v>157</v>
      </c>
      <c r="D748" s="76">
        <v>0</v>
      </c>
      <c r="E748" s="78">
        <v>1</v>
      </c>
      <c r="F748" s="78">
        <v>1</v>
      </c>
      <c r="G748" s="76">
        <v>32.549999999999997</v>
      </c>
      <c r="H748" s="59">
        <v>26.3</v>
      </c>
      <c r="I748" s="59">
        <v>30.6</v>
      </c>
      <c r="J748" s="59">
        <v>26.935364994203944</v>
      </c>
    </row>
    <row r="749" spans="1:10">
      <c r="A749" s="496"/>
      <c r="B749" s="87" t="s">
        <v>158</v>
      </c>
      <c r="C749" s="76" t="s">
        <v>159</v>
      </c>
      <c r="D749" s="76">
        <v>0</v>
      </c>
      <c r="E749" s="78">
        <v>1</v>
      </c>
      <c r="F749" s="78">
        <v>1</v>
      </c>
      <c r="G749" s="76">
        <v>32.549999999999997</v>
      </c>
      <c r="H749" s="59">
        <v>25.6</v>
      </c>
      <c r="I749" s="59">
        <v>34</v>
      </c>
      <c r="J749" s="59">
        <v>30.625999679618541</v>
      </c>
    </row>
    <row r="750" spans="1:10">
      <c r="A750" s="496"/>
      <c r="B750" s="87" t="s">
        <v>160</v>
      </c>
      <c r="C750" s="76" t="s">
        <v>161</v>
      </c>
      <c r="D750" s="76">
        <v>0</v>
      </c>
      <c r="E750" s="78">
        <v>1</v>
      </c>
      <c r="F750" s="78">
        <v>1</v>
      </c>
      <c r="G750" s="76">
        <v>32.549999999999997</v>
      </c>
      <c r="H750" s="59">
        <v>27.7</v>
      </c>
      <c r="I750" s="59">
        <v>30.4</v>
      </c>
      <c r="J750" s="59">
        <v>29.382356535905735</v>
      </c>
    </row>
    <row r="751" spans="1:10">
      <c r="A751" s="496"/>
      <c r="B751" s="87" t="s">
        <v>162</v>
      </c>
      <c r="C751" s="76" t="s">
        <v>163</v>
      </c>
      <c r="D751" s="76">
        <v>0</v>
      </c>
      <c r="E751" s="78">
        <v>1</v>
      </c>
      <c r="F751" s="78">
        <v>1</v>
      </c>
      <c r="G751" s="76">
        <v>32.549999999999997</v>
      </c>
      <c r="H751" s="59">
        <v>27</v>
      </c>
      <c r="I751" s="59">
        <v>30.2</v>
      </c>
      <c r="J751" s="59">
        <v>28.319564185557223</v>
      </c>
    </row>
    <row r="752" spans="1:10">
      <c r="A752" s="496"/>
      <c r="B752" s="87" t="s">
        <v>164</v>
      </c>
      <c r="C752" s="76" t="s">
        <v>287</v>
      </c>
      <c r="D752" s="76">
        <v>0</v>
      </c>
      <c r="E752" s="78">
        <v>1</v>
      </c>
      <c r="F752" s="78">
        <v>1</v>
      </c>
      <c r="G752" s="76">
        <v>24.4</v>
      </c>
      <c r="H752" s="59">
        <v>26</v>
      </c>
      <c r="I752" s="59">
        <v>27.5</v>
      </c>
      <c r="J752" s="59">
        <v>26.918421650104822</v>
      </c>
    </row>
    <row r="753" spans="1:10">
      <c r="A753" s="496"/>
      <c r="B753" s="87" t="s">
        <v>165</v>
      </c>
      <c r="C753" s="76" t="s">
        <v>166</v>
      </c>
      <c r="D753" s="76">
        <v>0</v>
      </c>
      <c r="E753" s="78">
        <v>1</v>
      </c>
      <c r="F753" s="78">
        <v>1</v>
      </c>
      <c r="G753" s="76">
        <v>24.4</v>
      </c>
      <c r="H753" s="59">
        <v>25.5</v>
      </c>
      <c r="I753" s="59">
        <v>27.5</v>
      </c>
      <c r="J753" s="59">
        <v>26.559773141544955</v>
      </c>
    </row>
    <row r="754" spans="1:10">
      <c r="A754" s="496" t="s">
        <v>288</v>
      </c>
      <c r="B754" s="87" t="s">
        <v>167</v>
      </c>
      <c r="C754" s="76" t="s">
        <v>289</v>
      </c>
      <c r="D754" s="77">
        <v>1</v>
      </c>
      <c r="E754" s="78">
        <v>1</v>
      </c>
      <c r="F754" s="497" t="s">
        <v>276</v>
      </c>
      <c r="G754" s="76">
        <v>105.48</v>
      </c>
      <c r="H754" s="56">
        <v>25.7</v>
      </c>
      <c r="I754" s="60">
        <v>39.700000000000003</v>
      </c>
      <c r="J754" s="60">
        <v>35.190372604446353</v>
      </c>
    </row>
    <row r="755" spans="1:10">
      <c r="A755" s="496"/>
      <c r="B755" s="87" t="s">
        <v>168</v>
      </c>
      <c r="C755" s="76" t="s">
        <v>169</v>
      </c>
      <c r="D755" s="77">
        <v>1</v>
      </c>
      <c r="E755" s="78">
        <v>1</v>
      </c>
      <c r="F755" s="498"/>
      <c r="G755" s="76">
        <v>105.48</v>
      </c>
      <c r="H755" s="56">
        <v>28.7</v>
      </c>
      <c r="I755" s="61">
        <v>42.6</v>
      </c>
      <c r="J755" s="61">
        <v>38.274867758099141</v>
      </c>
    </row>
    <row r="756" spans="1:10">
      <c r="A756" s="496"/>
      <c r="B756" s="87" t="s">
        <v>170</v>
      </c>
      <c r="C756" s="76" t="s">
        <v>171</v>
      </c>
      <c r="D756" s="77">
        <v>1</v>
      </c>
      <c r="E756" s="78">
        <v>1</v>
      </c>
      <c r="F756" s="498"/>
      <c r="G756" s="76">
        <v>105.48</v>
      </c>
      <c r="H756" s="56">
        <v>27.4</v>
      </c>
      <c r="I756" s="57">
        <v>45.8</v>
      </c>
      <c r="J756" s="57">
        <v>40.447616220029126</v>
      </c>
    </row>
    <row r="757" spans="1:10">
      <c r="A757" s="496"/>
      <c r="B757" s="87" t="s">
        <v>172</v>
      </c>
      <c r="C757" s="76" t="s">
        <v>173</v>
      </c>
      <c r="D757" s="77">
        <v>1</v>
      </c>
      <c r="E757" s="78">
        <v>1</v>
      </c>
      <c r="F757" s="498"/>
      <c r="G757" s="76">
        <v>105.48</v>
      </c>
      <c r="H757" s="56">
        <v>27</v>
      </c>
      <c r="I757" s="57">
        <v>45.3</v>
      </c>
      <c r="J757" s="57">
        <v>40.088349265555607</v>
      </c>
    </row>
    <row r="758" spans="1:10">
      <c r="A758" s="496"/>
      <c r="B758" s="87" t="s">
        <v>174</v>
      </c>
      <c r="C758" s="76" t="s">
        <v>290</v>
      </c>
      <c r="D758" s="77">
        <v>1</v>
      </c>
      <c r="E758" s="78">
        <v>1</v>
      </c>
      <c r="F758" s="498"/>
      <c r="G758" s="76">
        <v>65</v>
      </c>
      <c r="H758" s="62">
        <v>30.6</v>
      </c>
      <c r="I758" s="62">
        <v>40.6</v>
      </c>
      <c r="J758" s="62">
        <v>37.47478447889106</v>
      </c>
    </row>
    <row r="759" spans="1:10">
      <c r="A759" s="496"/>
      <c r="B759" s="87" t="s">
        <v>175</v>
      </c>
      <c r="C759" s="76" t="s">
        <v>176</v>
      </c>
      <c r="D759" s="77">
        <v>1</v>
      </c>
      <c r="E759" s="78">
        <v>1</v>
      </c>
      <c r="F759" s="499"/>
      <c r="G759" s="76">
        <v>65</v>
      </c>
      <c r="H759" s="62">
        <v>29</v>
      </c>
      <c r="I759" s="62">
        <v>30</v>
      </c>
      <c r="J759" s="62">
        <v>29.322365104728199</v>
      </c>
    </row>
    <row r="760" spans="1:10">
      <c r="A760" s="496"/>
      <c r="B760" s="87" t="s">
        <v>177</v>
      </c>
      <c r="C760" s="76" t="s">
        <v>291</v>
      </c>
      <c r="D760" s="77">
        <v>1</v>
      </c>
      <c r="E760" s="78">
        <v>1</v>
      </c>
      <c r="F760" s="497" t="s">
        <v>285</v>
      </c>
      <c r="G760" s="76">
        <v>16.3</v>
      </c>
      <c r="H760" s="62">
        <v>30.5</v>
      </c>
      <c r="I760" s="62">
        <v>34.5</v>
      </c>
      <c r="J760" s="62">
        <v>31.691676637256574</v>
      </c>
    </row>
    <row r="761" spans="1:10">
      <c r="A761" s="496"/>
      <c r="B761" s="87" t="s">
        <v>178</v>
      </c>
      <c r="C761" s="76" t="s">
        <v>179</v>
      </c>
      <c r="D761" s="77">
        <v>1</v>
      </c>
      <c r="E761" s="78">
        <v>1</v>
      </c>
      <c r="F761" s="498"/>
      <c r="G761" s="76">
        <v>16.3</v>
      </c>
      <c r="H761" s="62">
        <v>31</v>
      </c>
      <c r="I761" s="62">
        <v>40.5</v>
      </c>
      <c r="J761" s="62">
        <v>34.619817345292134</v>
      </c>
    </row>
    <row r="762" spans="1:10">
      <c r="A762" s="496"/>
      <c r="B762" s="87" t="s">
        <v>180</v>
      </c>
      <c r="C762" s="76" t="s">
        <v>181</v>
      </c>
      <c r="D762" s="77">
        <v>1</v>
      </c>
      <c r="E762" s="78">
        <v>1</v>
      </c>
      <c r="F762" s="498"/>
      <c r="G762" s="76">
        <v>16.3</v>
      </c>
      <c r="H762" s="62">
        <v>28</v>
      </c>
      <c r="I762" s="62">
        <v>45</v>
      </c>
      <c r="J762" s="62">
        <v>30.126522635332051</v>
      </c>
    </row>
    <row r="763" spans="1:10">
      <c r="A763" s="496"/>
      <c r="B763" s="87" t="s">
        <v>292</v>
      </c>
      <c r="C763" s="76" t="s">
        <v>182</v>
      </c>
      <c r="D763" s="77">
        <v>1</v>
      </c>
      <c r="E763" s="78">
        <v>1</v>
      </c>
      <c r="F763" s="499"/>
      <c r="G763" s="76">
        <v>35</v>
      </c>
      <c r="H763" s="62">
        <v>31.5</v>
      </c>
      <c r="I763" s="62">
        <v>50.1</v>
      </c>
      <c r="J763" s="62">
        <v>44.617185412817626</v>
      </c>
    </row>
    <row r="764" spans="1:10">
      <c r="A764" s="496" t="s">
        <v>278</v>
      </c>
      <c r="B764" s="87" t="s">
        <v>126</v>
      </c>
      <c r="C764" s="76" t="s">
        <v>281</v>
      </c>
      <c r="D764" s="77">
        <v>1</v>
      </c>
      <c r="E764" s="78">
        <v>1</v>
      </c>
      <c r="F764" s="91"/>
      <c r="G764" s="76">
        <v>70.319999999999993</v>
      </c>
      <c r="H764" s="62">
        <v>25.2</v>
      </c>
      <c r="I764" s="62">
        <v>56.1</v>
      </c>
      <c r="J764" s="62">
        <v>38.445655165716552</v>
      </c>
    </row>
    <row r="765" spans="1:10">
      <c r="A765" s="496"/>
      <c r="B765" s="87" t="s">
        <v>127</v>
      </c>
      <c r="C765" s="76" t="s">
        <v>128</v>
      </c>
      <c r="D765" s="77">
        <v>1</v>
      </c>
      <c r="E765" s="78">
        <v>1</v>
      </c>
      <c r="F765" s="91"/>
      <c r="G765" s="76">
        <v>70.319999999999993</v>
      </c>
      <c r="H765" s="62">
        <v>25</v>
      </c>
      <c r="I765" s="62">
        <v>56.2</v>
      </c>
      <c r="J765" s="62">
        <v>37.517854848939081</v>
      </c>
    </row>
    <row r="766" spans="1:10">
      <c r="A766" s="496"/>
      <c r="B766" s="87" t="s">
        <v>129</v>
      </c>
      <c r="C766" s="76" t="s">
        <v>130</v>
      </c>
      <c r="D766" s="77">
        <v>1</v>
      </c>
      <c r="E766" s="78">
        <v>1</v>
      </c>
      <c r="F766" s="91"/>
      <c r="G766" s="76">
        <v>70.319999999999993</v>
      </c>
      <c r="H766" s="62">
        <v>24.9</v>
      </c>
      <c r="I766" s="62">
        <v>55.1</v>
      </c>
      <c r="J766" s="62">
        <v>37.871109473847063</v>
      </c>
    </row>
    <row r="767" spans="1:10">
      <c r="H767" s="92">
        <f>AVERAGE(H726:H737,H743:H745,H754:H766)</f>
        <v>26.610714285714288</v>
      </c>
      <c r="I767" s="92">
        <f>AVERAGE(I726:I737,I743:I745,I754:I766)</f>
        <v>45.474999999999987</v>
      </c>
      <c r="J767" s="115">
        <f>AVERAGE(J726:J737,J743:J745,J754:J766,J741)</f>
        <v>36.473064994950349</v>
      </c>
    </row>
    <row r="768" spans="1:10">
      <c r="J768" s="116" t="s">
        <v>265</v>
      </c>
    </row>
    <row r="769" spans="1:10">
      <c r="A769" s="511" t="s">
        <v>293</v>
      </c>
      <c r="B769" s="511"/>
      <c r="C769" s="512" t="s">
        <v>187</v>
      </c>
      <c r="D769" s="513"/>
      <c r="E769" s="513" t="s">
        <v>188</v>
      </c>
      <c r="F769" s="513"/>
      <c r="G769" s="513" t="s">
        <v>189</v>
      </c>
      <c r="H769" s="513"/>
      <c r="I769" s="513" t="s">
        <v>190</v>
      </c>
      <c r="J769" s="513"/>
    </row>
    <row r="770" spans="1:10" ht="34.799999999999997">
      <c r="A770" s="511"/>
      <c r="B770" s="511"/>
      <c r="C770" s="103" t="s">
        <v>191</v>
      </c>
      <c r="D770" s="102" t="s">
        <v>192</v>
      </c>
      <c r="E770" s="102" t="s">
        <v>191</v>
      </c>
      <c r="F770" s="102" t="s">
        <v>192</v>
      </c>
      <c r="G770" s="102" t="s">
        <v>191</v>
      </c>
      <c r="H770" s="102" t="s">
        <v>192</v>
      </c>
      <c r="I770" s="102" t="s">
        <v>191</v>
      </c>
      <c r="J770" s="102" t="s">
        <v>192</v>
      </c>
    </row>
    <row r="771" spans="1:10">
      <c r="A771" s="500" t="s">
        <v>294</v>
      </c>
      <c r="B771" s="101" t="s">
        <v>295</v>
      </c>
      <c r="C771" s="94"/>
      <c r="D771" s="93"/>
      <c r="E771" s="94"/>
      <c r="F771" s="93"/>
      <c r="G771" s="94"/>
      <c r="H771" s="93"/>
      <c r="I771" s="94"/>
      <c r="J771" s="93"/>
    </row>
    <row r="772" spans="1:10">
      <c r="A772" s="501"/>
      <c r="B772" s="95" t="s">
        <v>193</v>
      </c>
      <c r="C772" s="94"/>
      <c r="D772" s="93"/>
      <c r="E772" s="94"/>
      <c r="F772" s="93"/>
      <c r="G772" s="94"/>
      <c r="H772" s="93"/>
      <c r="I772" s="94"/>
      <c r="J772" s="93"/>
    </row>
    <row r="773" spans="1:10">
      <c r="A773" s="501"/>
      <c r="B773" s="95" t="s">
        <v>194</v>
      </c>
      <c r="C773" s="94"/>
      <c r="D773" s="93"/>
      <c r="E773" s="94"/>
      <c r="F773" s="93"/>
      <c r="G773" s="94"/>
      <c r="H773" s="93"/>
      <c r="I773" s="94"/>
      <c r="J773" s="93"/>
    </row>
    <row r="774" spans="1:10">
      <c r="A774" s="501"/>
      <c r="B774" s="95" t="s">
        <v>195</v>
      </c>
      <c r="C774" s="94"/>
      <c r="D774" s="93"/>
      <c r="E774" s="94"/>
      <c r="F774" s="93"/>
      <c r="G774" s="94"/>
      <c r="H774" s="93"/>
      <c r="I774" s="94"/>
      <c r="J774" s="93"/>
    </row>
    <row r="775" spans="1:10">
      <c r="A775" s="501"/>
      <c r="B775" s="95" t="s">
        <v>196</v>
      </c>
      <c r="C775" s="94"/>
      <c r="D775" s="93"/>
      <c r="E775" s="94"/>
      <c r="F775" s="93"/>
      <c r="G775" s="94"/>
      <c r="H775" s="93"/>
      <c r="I775" s="94"/>
      <c r="J775" s="93"/>
    </row>
    <row r="776" spans="1:10">
      <c r="A776" s="501"/>
      <c r="B776" s="95" t="s">
        <v>197</v>
      </c>
      <c r="C776" s="94"/>
      <c r="D776" s="93"/>
      <c r="E776" s="94"/>
      <c r="F776" s="93"/>
      <c r="G776" s="94"/>
      <c r="H776" s="93"/>
      <c r="I776" s="94"/>
      <c r="J776" s="93"/>
    </row>
    <row r="777" spans="1:10">
      <c r="A777" s="501"/>
      <c r="B777" s="95" t="s">
        <v>198</v>
      </c>
      <c r="C777" s="94"/>
      <c r="D777" s="93"/>
      <c r="E777" s="94"/>
      <c r="F777" s="93"/>
      <c r="G777" s="94"/>
      <c r="H777" s="93"/>
      <c r="I777" s="94"/>
      <c r="J777" s="93"/>
    </row>
    <row r="778" spans="1:10">
      <c r="A778" s="501"/>
      <c r="B778" s="95" t="s">
        <v>199</v>
      </c>
      <c r="C778" s="94"/>
      <c r="D778" s="93"/>
      <c r="E778" s="94"/>
      <c r="F778" s="93"/>
      <c r="G778" s="94"/>
      <c r="H778" s="93"/>
      <c r="I778" s="94"/>
      <c r="J778" s="93"/>
    </row>
    <row r="779" spans="1:10">
      <c r="A779" s="501"/>
      <c r="B779" s="95" t="s">
        <v>200</v>
      </c>
      <c r="C779" s="94"/>
      <c r="D779" s="93"/>
      <c r="E779" s="94"/>
      <c r="F779" s="93"/>
      <c r="G779" s="94"/>
      <c r="H779" s="93"/>
      <c r="I779" s="99"/>
      <c r="J779" s="100"/>
    </row>
    <row r="780" spans="1:10">
      <c r="A780" s="501"/>
      <c r="B780" s="95" t="s">
        <v>201</v>
      </c>
      <c r="C780" s="94"/>
      <c r="D780" s="93"/>
      <c r="E780" s="99"/>
      <c r="F780" s="100"/>
      <c r="G780" s="94"/>
      <c r="H780" s="93"/>
      <c r="I780" s="99"/>
      <c r="J780" s="100"/>
    </row>
    <row r="781" spans="1:10">
      <c r="A781" s="501"/>
      <c r="B781" s="95" t="s">
        <v>202</v>
      </c>
      <c r="C781" s="94"/>
      <c r="D781" s="93"/>
      <c r="E781" s="99"/>
      <c r="F781" s="100"/>
      <c r="G781" s="94"/>
      <c r="H781" s="93"/>
      <c r="I781" s="99"/>
      <c r="J781" s="100"/>
    </row>
    <row r="782" spans="1:10">
      <c r="A782" s="501"/>
      <c r="B782" s="95" t="s">
        <v>203</v>
      </c>
      <c r="C782" s="94"/>
      <c r="D782" s="93"/>
      <c r="E782" s="99"/>
      <c r="F782" s="100"/>
      <c r="G782" s="94"/>
      <c r="H782" s="93"/>
      <c r="I782" s="99"/>
      <c r="J782" s="100"/>
    </row>
    <row r="783" spans="1:10">
      <c r="A783" s="501"/>
      <c r="B783" s="95" t="s">
        <v>204</v>
      </c>
      <c r="C783" s="94"/>
      <c r="D783" s="93"/>
      <c r="E783" s="99"/>
      <c r="F783" s="100"/>
      <c r="G783" s="94"/>
      <c r="H783" s="93"/>
      <c r="I783" s="99"/>
      <c r="J783" s="100"/>
    </row>
    <row r="784" spans="1:10">
      <c r="A784" s="501"/>
      <c r="B784" s="95" t="s">
        <v>205</v>
      </c>
      <c r="C784" s="99"/>
      <c r="D784" s="100"/>
      <c r="E784" s="99"/>
      <c r="F784" s="100"/>
      <c r="G784" s="94"/>
      <c r="H784" s="93"/>
      <c r="I784" s="99"/>
      <c r="J784" s="100"/>
    </row>
    <row r="785" spans="1:10">
      <c r="A785" s="501"/>
      <c r="B785" s="95" t="s">
        <v>206</v>
      </c>
      <c r="C785" s="99"/>
      <c r="D785" s="100"/>
      <c r="E785" s="99"/>
      <c r="F785" s="100"/>
      <c r="G785" s="94"/>
      <c r="H785" s="93"/>
      <c r="I785" s="99"/>
      <c r="J785" s="100"/>
    </row>
    <row r="786" spans="1:10">
      <c r="A786" s="501"/>
      <c r="B786" s="95" t="s">
        <v>207</v>
      </c>
      <c r="C786" s="99"/>
      <c r="D786" s="100"/>
      <c r="E786" s="99"/>
      <c r="F786" s="100"/>
      <c r="G786" s="94"/>
      <c r="H786" s="93"/>
      <c r="I786" s="99"/>
      <c r="J786" s="100"/>
    </row>
    <row r="787" spans="1:10">
      <c r="A787" s="501"/>
      <c r="B787" s="96" t="s">
        <v>296</v>
      </c>
      <c r="C787" s="94"/>
      <c r="D787" s="93"/>
      <c r="E787" s="94"/>
      <c r="F787" s="93"/>
      <c r="G787" s="94"/>
      <c r="H787" s="93"/>
      <c r="I787" s="94"/>
      <c r="J787" s="93"/>
    </row>
    <row r="788" spans="1:10">
      <c r="A788" s="501"/>
      <c r="B788" s="96" t="s">
        <v>208</v>
      </c>
      <c r="C788" s="94"/>
      <c r="D788" s="93"/>
      <c r="E788" s="94"/>
      <c r="F788" s="93"/>
      <c r="G788" s="94"/>
      <c r="H788" s="93"/>
      <c r="I788" s="94"/>
      <c r="J788" s="93"/>
    </row>
    <row r="789" spans="1:10">
      <c r="A789" s="501"/>
      <c r="B789" s="96" t="s">
        <v>209</v>
      </c>
      <c r="C789" s="94"/>
      <c r="D789" s="93"/>
      <c r="E789" s="94"/>
      <c r="F789" s="93"/>
      <c r="G789" s="94"/>
      <c r="H789" s="93"/>
      <c r="I789" s="94"/>
      <c r="J789" s="93"/>
    </row>
    <row r="790" spans="1:10">
      <c r="A790" s="501"/>
      <c r="B790" s="96" t="s">
        <v>210</v>
      </c>
      <c r="C790" s="94"/>
      <c r="D790" s="93"/>
      <c r="E790" s="94"/>
      <c r="F790" s="93"/>
      <c r="G790" s="94"/>
      <c r="H790" s="93"/>
      <c r="I790" s="94"/>
      <c r="J790" s="93"/>
    </row>
    <row r="791" spans="1:10">
      <c r="A791" s="501"/>
      <c r="B791" s="96" t="s">
        <v>211</v>
      </c>
      <c r="C791" s="94"/>
      <c r="D791" s="93"/>
      <c r="E791" s="94"/>
      <c r="F791" s="93"/>
      <c r="G791" s="94"/>
      <c r="H791" s="93"/>
      <c r="I791" s="94"/>
      <c r="J791" s="93"/>
    </row>
    <row r="792" spans="1:10">
      <c r="A792" s="501"/>
      <c r="B792" s="96" t="s">
        <v>212</v>
      </c>
      <c r="C792" s="94"/>
      <c r="D792" s="93"/>
      <c r="E792" s="94"/>
      <c r="F792" s="93"/>
      <c r="G792" s="94"/>
      <c r="H792" s="93"/>
      <c r="I792" s="94"/>
      <c r="J792" s="93"/>
    </row>
    <row r="793" spans="1:10">
      <c r="A793" s="501"/>
      <c r="B793" s="96" t="s">
        <v>213</v>
      </c>
      <c r="C793" s="94"/>
      <c r="D793" s="93"/>
      <c r="E793" s="94"/>
      <c r="F793" s="93"/>
      <c r="G793" s="94"/>
      <c r="H793" s="93"/>
      <c r="I793" s="94"/>
      <c r="J793" s="93"/>
    </row>
    <row r="794" spans="1:10">
      <c r="A794" s="501"/>
      <c r="B794" s="96" t="s">
        <v>214</v>
      </c>
      <c r="C794" s="94"/>
      <c r="D794" s="93"/>
      <c r="E794" s="94"/>
      <c r="F794" s="93"/>
      <c r="G794" s="94"/>
      <c r="H794" s="93"/>
      <c r="I794" s="94"/>
      <c r="J794" s="93"/>
    </row>
    <row r="795" spans="1:10">
      <c r="A795" s="501"/>
      <c r="B795" s="96" t="s">
        <v>215</v>
      </c>
      <c r="C795" s="94"/>
      <c r="D795" s="93"/>
      <c r="E795" s="94"/>
      <c r="F795" s="93"/>
      <c r="G795" s="94"/>
      <c r="H795" s="93"/>
      <c r="I795" s="94"/>
      <c r="J795" s="93"/>
    </row>
    <row r="796" spans="1:10">
      <c r="A796" s="501"/>
      <c r="B796" s="96" t="s">
        <v>216</v>
      </c>
      <c r="C796" s="94"/>
      <c r="D796" s="93"/>
      <c r="E796" s="94"/>
      <c r="F796" s="93"/>
      <c r="G796" s="94"/>
      <c r="H796" s="93"/>
      <c r="I796" s="94"/>
      <c r="J796" s="93"/>
    </row>
    <row r="797" spans="1:10">
      <c r="A797" s="501"/>
      <c r="B797" s="96" t="s">
        <v>217</v>
      </c>
      <c r="C797" s="94"/>
      <c r="D797" s="93"/>
      <c r="E797" s="94"/>
      <c r="F797" s="93"/>
      <c r="G797" s="94"/>
      <c r="H797" s="93"/>
      <c r="I797" s="99"/>
      <c r="J797" s="100"/>
    </row>
    <row r="798" spans="1:10">
      <c r="A798" s="501"/>
      <c r="B798" s="96" t="s">
        <v>218</v>
      </c>
      <c r="C798" s="94"/>
      <c r="D798" s="93"/>
      <c r="E798" s="94"/>
      <c r="F798" s="93"/>
      <c r="G798" s="94"/>
      <c r="H798" s="93"/>
      <c r="I798" s="99"/>
      <c r="J798" s="100"/>
    </row>
    <row r="799" spans="1:10">
      <c r="A799" s="501"/>
      <c r="B799" s="96" t="s">
        <v>219</v>
      </c>
      <c r="C799" s="94"/>
      <c r="D799" s="93"/>
      <c r="E799" s="94"/>
      <c r="F799" s="93"/>
      <c r="G799" s="94"/>
      <c r="H799" s="93"/>
      <c r="I799" s="99"/>
      <c r="J799" s="100"/>
    </row>
    <row r="800" spans="1:10">
      <c r="A800" s="501"/>
      <c r="B800" s="96" t="s">
        <v>220</v>
      </c>
      <c r="C800" s="94"/>
      <c r="D800" s="93"/>
      <c r="E800" s="94"/>
      <c r="F800" s="93"/>
      <c r="G800" s="99"/>
      <c r="H800" s="100"/>
      <c r="I800" s="99"/>
      <c r="J800" s="100"/>
    </row>
    <row r="801" spans="1:10">
      <c r="A801" s="501"/>
      <c r="B801" s="96" t="s">
        <v>297</v>
      </c>
      <c r="C801" s="94"/>
      <c r="D801" s="93"/>
      <c r="E801" s="99"/>
      <c r="F801" s="100"/>
      <c r="G801" s="99"/>
      <c r="H801" s="100"/>
      <c r="I801" s="99"/>
      <c r="J801" s="100"/>
    </row>
    <row r="802" spans="1:10">
      <c r="A802" s="501"/>
      <c r="B802" s="96" t="s">
        <v>221</v>
      </c>
      <c r="C802" s="94"/>
      <c r="D802" s="93"/>
      <c r="E802" s="99"/>
      <c r="F802" s="100"/>
      <c r="G802" s="99"/>
      <c r="H802" s="100"/>
      <c r="I802" s="99"/>
      <c r="J802" s="100"/>
    </row>
    <row r="803" spans="1:10">
      <c r="A803" s="501"/>
      <c r="B803" s="97" t="s">
        <v>298</v>
      </c>
      <c r="C803" s="94"/>
      <c r="D803" s="93"/>
      <c r="E803" s="94"/>
      <c r="F803" s="93"/>
      <c r="G803" s="94"/>
      <c r="H803" s="93"/>
      <c r="I803" s="94"/>
      <c r="J803" s="93"/>
    </row>
    <row r="804" spans="1:10">
      <c r="A804" s="501"/>
      <c r="B804" s="97" t="s">
        <v>222</v>
      </c>
      <c r="C804" s="94"/>
      <c r="D804" s="93"/>
      <c r="E804" s="94"/>
      <c r="F804" s="93"/>
      <c r="G804" s="94"/>
      <c r="H804" s="93"/>
      <c r="I804" s="94"/>
      <c r="J804" s="93"/>
    </row>
    <row r="805" spans="1:10">
      <c r="A805" s="501"/>
      <c r="B805" s="97" t="s">
        <v>223</v>
      </c>
      <c r="C805" s="94"/>
      <c r="D805" s="93"/>
      <c r="E805" s="94"/>
      <c r="F805" s="93"/>
      <c r="G805" s="94"/>
      <c r="H805" s="93"/>
      <c r="I805" s="94"/>
      <c r="J805" s="93"/>
    </row>
    <row r="806" spans="1:10">
      <c r="A806" s="501"/>
      <c r="B806" s="97" t="s">
        <v>224</v>
      </c>
      <c r="C806" s="94"/>
      <c r="D806" s="93"/>
      <c r="E806" s="94"/>
      <c r="F806" s="93"/>
      <c r="G806" s="94"/>
      <c r="H806" s="93"/>
      <c r="I806" s="94"/>
      <c r="J806" s="93"/>
    </row>
    <row r="807" spans="1:10">
      <c r="A807" s="501"/>
      <c r="B807" s="97" t="s">
        <v>225</v>
      </c>
      <c r="C807" s="94"/>
      <c r="D807" s="93"/>
      <c r="E807" s="94"/>
      <c r="F807" s="93"/>
      <c r="G807" s="94"/>
      <c r="H807" s="93"/>
      <c r="I807" s="94"/>
      <c r="J807" s="93"/>
    </row>
    <row r="808" spans="1:10">
      <c r="A808" s="501"/>
      <c r="B808" s="97" t="s">
        <v>226</v>
      </c>
      <c r="C808" s="94"/>
      <c r="D808" s="93"/>
      <c r="E808" s="94"/>
      <c r="F808" s="93"/>
      <c r="G808" s="94"/>
      <c r="H808" s="93"/>
      <c r="I808" s="94"/>
      <c r="J808" s="93"/>
    </row>
    <row r="809" spans="1:10">
      <c r="A809" s="501"/>
      <c r="B809" s="97" t="s">
        <v>227</v>
      </c>
      <c r="C809" s="94"/>
      <c r="D809" s="93"/>
      <c r="E809" s="94"/>
      <c r="F809" s="93"/>
      <c r="G809" s="94"/>
      <c r="H809" s="93"/>
      <c r="I809" s="94"/>
      <c r="J809" s="93"/>
    </row>
    <row r="810" spans="1:10">
      <c r="A810" s="501"/>
      <c r="B810" s="97" t="s">
        <v>228</v>
      </c>
      <c r="C810" s="94"/>
      <c r="D810" s="93"/>
      <c r="E810" s="94"/>
      <c r="F810" s="93"/>
      <c r="G810" s="94"/>
      <c r="H810" s="93"/>
      <c r="I810" s="94"/>
      <c r="J810" s="93"/>
    </row>
    <row r="811" spans="1:10">
      <c r="A811" s="501"/>
      <c r="B811" s="97" t="s">
        <v>229</v>
      </c>
      <c r="C811" s="94"/>
      <c r="D811" s="93"/>
      <c r="E811" s="94"/>
      <c r="F811" s="93"/>
      <c r="G811" s="99"/>
      <c r="H811" s="100"/>
      <c r="I811" s="94"/>
      <c r="J811" s="93"/>
    </row>
    <row r="812" spans="1:10">
      <c r="A812" s="501"/>
      <c r="B812" s="97" t="s">
        <v>230</v>
      </c>
      <c r="C812" s="94"/>
      <c r="D812" s="93"/>
      <c r="E812" s="94"/>
      <c r="F812" s="93"/>
      <c r="G812" s="99"/>
      <c r="H812" s="100"/>
      <c r="I812" s="99"/>
      <c r="J812" s="100"/>
    </row>
    <row r="813" spans="1:10">
      <c r="A813" s="501"/>
      <c r="B813" s="97" t="s">
        <v>231</v>
      </c>
      <c r="C813" s="94"/>
      <c r="D813" s="93"/>
      <c r="E813" s="94"/>
      <c r="F813" s="93"/>
      <c r="G813" s="99"/>
      <c r="H813" s="100"/>
      <c r="I813" s="99"/>
      <c r="J813" s="100"/>
    </row>
    <row r="814" spans="1:10">
      <c r="A814" s="501"/>
      <c r="B814" s="97" t="s">
        <v>232</v>
      </c>
      <c r="C814" s="94"/>
      <c r="D814" s="93"/>
      <c r="E814" s="94"/>
      <c r="F814" s="93"/>
      <c r="G814" s="99"/>
      <c r="H814" s="100"/>
      <c r="I814" s="99"/>
      <c r="J814" s="100"/>
    </row>
    <row r="815" spans="1:10">
      <c r="A815" s="501"/>
      <c r="B815" s="97" t="s">
        <v>233</v>
      </c>
      <c r="C815" s="94"/>
      <c r="D815" s="93"/>
      <c r="E815" s="94"/>
      <c r="F815" s="93"/>
      <c r="G815" s="99"/>
      <c r="H815" s="100"/>
      <c r="I815" s="99"/>
      <c r="J815" s="100"/>
    </row>
    <row r="816" spans="1:10">
      <c r="A816" s="501"/>
      <c r="B816" s="97" t="s">
        <v>234</v>
      </c>
      <c r="C816" s="94"/>
      <c r="D816" s="93"/>
      <c r="E816" s="94"/>
      <c r="F816" s="93"/>
      <c r="G816" s="99"/>
      <c r="H816" s="100"/>
      <c r="I816" s="99"/>
      <c r="J816" s="100"/>
    </row>
    <row r="817" spans="1:10">
      <c r="A817" s="501"/>
      <c r="B817" s="97" t="s">
        <v>235</v>
      </c>
      <c r="C817" s="94"/>
      <c r="D817" s="93"/>
      <c r="E817" s="99"/>
      <c r="F817" s="100"/>
      <c r="G817" s="99"/>
      <c r="H817" s="100"/>
      <c r="I817" s="99"/>
      <c r="J817" s="100"/>
    </row>
    <row r="818" spans="1:10">
      <c r="A818" s="501"/>
      <c r="B818" s="97" t="s">
        <v>236</v>
      </c>
      <c r="C818" s="94"/>
      <c r="D818" s="93"/>
      <c r="E818" s="99"/>
      <c r="F818" s="100"/>
      <c r="G818" s="99"/>
      <c r="H818" s="100"/>
      <c r="I818" s="99"/>
      <c r="J818" s="100"/>
    </row>
    <row r="819" spans="1:10">
      <c r="A819" s="501"/>
      <c r="B819" s="98" t="s">
        <v>299</v>
      </c>
      <c r="C819" s="94"/>
      <c r="D819" s="93"/>
      <c r="E819" s="94"/>
      <c r="F819" s="93"/>
      <c r="G819" s="94"/>
      <c r="H819" s="93"/>
      <c r="I819" s="94"/>
      <c r="J819" s="93"/>
    </row>
    <row r="820" spans="1:10">
      <c r="A820" s="501"/>
      <c r="B820" s="98" t="s">
        <v>237</v>
      </c>
      <c r="C820" s="94"/>
      <c r="D820" s="93"/>
      <c r="E820" s="94"/>
      <c r="F820" s="93"/>
      <c r="G820" s="94"/>
      <c r="H820" s="93"/>
      <c r="I820" s="94"/>
      <c r="J820" s="93"/>
    </row>
    <row r="821" spans="1:10">
      <c r="A821" s="501"/>
      <c r="B821" s="98" t="s">
        <v>238</v>
      </c>
      <c r="C821" s="94"/>
      <c r="D821" s="93"/>
      <c r="E821" s="94"/>
      <c r="F821" s="93"/>
      <c r="G821" s="94"/>
      <c r="H821" s="93"/>
      <c r="I821" s="94"/>
      <c r="J821" s="93"/>
    </row>
    <row r="822" spans="1:10">
      <c r="A822" s="501"/>
      <c r="B822" s="98" t="s">
        <v>239</v>
      </c>
      <c r="C822" s="94"/>
      <c r="D822" s="93"/>
      <c r="E822" s="94"/>
      <c r="F822" s="93"/>
      <c r="G822" s="94"/>
      <c r="H822" s="93"/>
      <c r="I822" s="94"/>
      <c r="J822" s="93"/>
    </row>
    <row r="823" spans="1:10">
      <c r="A823" s="501"/>
      <c r="B823" s="98" t="s">
        <v>240</v>
      </c>
      <c r="C823" s="94"/>
      <c r="D823" s="93"/>
      <c r="E823" s="94"/>
      <c r="F823" s="93"/>
      <c r="G823" s="94"/>
      <c r="H823" s="93"/>
      <c r="I823" s="94"/>
      <c r="J823" s="93"/>
    </row>
    <row r="824" spans="1:10">
      <c r="A824" s="501"/>
      <c r="B824" s="98" t="s">
        <v>241</v>
      </c>
      <c r="C824" s="94"/>
      <c r="D824" s="93"/>
      <c r="E824" s="94"/>
      <c r="F824" s="93"/>
      <c r="G824" s="94"/>
      <c r="H824" s="93"/>
      <c r="I824" s="94"/>
      <c r="J824" s="93"/>
    </row>
    <row r="825" spans="1:10">
      <c r="A825" s="501"/>
      <c r="B825" s="98" t="s">
        <v>242</v>
      </c>
      <c r="C825" s="94"/>
      <c r="D825" s="93"/>
      <c r="E825" s="94"/>
      <c r="F825" s="93"/>
      <c r="G825" s="94"/>
      <c r="H825" s="93"/>
      <c r="I825" s="94"/>
      <c r="J825" s="93"/>
    </row>
    <row r="826" spans="1:10">
      <c r="A826" s="501"/>
      <c r="B826" s="98" t="s">
        <v>243</v>
      </c>
      <c r="C826" s="94"/>
      <c r="D826" s="93"/>
      <c r="E826" s="94"/>
      <c r="F826" s="93"/>
      <c r="G826" s="94"/>
      <c r="H826" s="93"/>
      <c r="I826" s="94"/>
      <c r="J826" s="93"/>
    </row>
    <row r="827" spans="1:10">
      <c r="A827" s="501"/>
      <c r="B827" s="98" t="s">
        <v>244</v>
      </c>
      <c r="C827" s="94"/>
      <c r="D827" s="93"/>
      <c r="E827" s="94"/>
      <c r="F827" s="93"/>
      <c r="G827" s="94"/>
      <c r="H827" s="93"/>
      <c r="I827" s="99"/>
      <c r="J827" s="100"/>
    </row>
    <row r="828" spans="1:10">
      <c r="A828" s="501"/>
      <c r="B828" s="98" t="s">
        <v>245</v>
      </c>
      <c r="C828" s="94"/>
      <c r="D828" s="93"/>
      <c r="E828" s="94"/>
      <c r="F828" s="93"/>
      <c r="G828" s="94"/>
      <c r="H828" s="93"/>
      <c r="I828" s="99"/>
      <c r="J828" s="100"/>
    </row>
    <row r="829" spans="1:10">
      <c r="A829" s="501"/>
      <c r="B829" s="98" t="s">
        <v>246</v>
      </c>
      <c r="C829" s="99"/>
      <c r="D829" s="100"/>
      <c r="E829" s="94"/>
      <c r="F829" s="93"/>
      <c r="G829" s="94"/>
      <c r="H829" s="93"/>
      <c r="I829" s="99"/>
      <c r="J829" s="100"/>
    </row>
    <row r="830" spans="1:10">
      <c r="A830" s="501"/>
      <c r="B830" s="98" t="s">
        <v>247</v>
      </c>
      <c r="C830" s="99"/>
      <c r="D830" s="100"/>
      <c r="E830" s="94"/>
      <c r="F830" s="93"/>
      <c r="G830" s="94"/>
      <c r="H830" s="93"/>
      <c r="I830" s="99"/>
      <c r="J830" s="100"/>
    </row>
    <row r="831" spans="1:10">
      <c r="A831" s="501"/>
      <c r="B831" s="98" t="s">
        <v>248</v>
      </c>
      <c r="C831" s="99"/>
      <c r="D831" s="100"/>
      <c r="E831" s="99"/>
      <c r="F831" s="100"/>
      <c r="G831" s="94"/>
      <c r="H831" s="93"/>
      <c r="I831" s="99"/>
      <c r="J831" s="100"/>
    </row>
    <row r="832" spans="1:10">
      <c r="A832" s="501"/>
      <c r="B832" s="95" t="s">
        <v>300</v>
      </c>
      <c r="C832" s="99"/>
      <c r="D832" s="100"/>
      <c r="E832" s="99"/>
      <c r="F832" s="100"/>
      <c r="G832" s="99"/>
      <c r="H832" s="100"/>
      <c r="I832" s="94"/>
      <c r="J832" s="93"/>
    </row>
    <row r="833" spans="1:11">
      <c r="A833" s="501"/>
      <c r="B833" s="95" t="s">
        <v>249</v>
      </c>
      <c r="C833" s="99"/>
      <c r="D833" s="100"/>
      <c r="E833" s="99"/>
      <c r="F833" s="100"/>
      <c r="G833" s="99"/>
      <c r="H833" s="100"/>
      <c r="I833" s="94"/>
      <c r="J833" s="93"/>
    </row>
    <row r="834" spans="1:11">
      <c r="A834" s="501"/>
      <c r="B834" s="95" t="s">
        <v>250</v>
      </c>
      <c r="C834" s="99"/>
      <c r="D834" s="100"/>
      <c r="E834" s="99"/>
      <c r="F834" s="100"/>
      <c r="G834" s="99"/>
      <c r="H834" s="100"/>
      <c r="I834" s="94"/>
      <c r="J834" s="93"/>
    </row>
    <row r="835" spans="1:11">
      <c r="A835" s="501"/>
      <c r="B835" s="95" t="s">
        <v>251</v>
      </c>
      <c r="C835" s="99"/>
      <c r="D835" s="100"/>
      <c r="E835" s="99"/>
      <c r="F835" s="100"/>
      <c r="G835" s="99"/>
      <c r="H835" s="100"/>
      <c r="I835" s="94"/>
      <c r="J835" s="93"/>
    </row>
    <row r="836" spans="1:11">
      <c r="A836" s="501"/>
      <c r="B836" s="95" t="s">
        <v>252</v>
      </c>
      <c r="C836" s="99"/>
      <c r="D836" s="100"/>
      <c r="E836" s="99"/>
      <c r="F836" s="100"/>
      <c r="G836" s="99"/>
      <c r="H836" s="100"/>
      <c r="I836" s="94"/>
      <c r="J836" s="93"/>
    </row>
    <row r="837" spans="1:11">
      <c r="A837" s="501"/>
      <c r="B837" s="95" t="s">
        <v>253</v>
      </c>
      <c r="C837" s="99"/>
      <c r="D837" s="100"/>
      <c r="E837" s="99"/>
      <c r="F837" s="100"/>
      <c r="G837" s="99"/>
      <c r="H837" s="100"/>
      <c r="I837" s="94"/>
      <c r="J837" s="93"/>
    </row>
    <row r="838" spans="1:11">
      <c r="A838" s="501"/>
      <c r="B838" s="95" t="s">
        <v>254</v>
      </c>
      <c r="C838" s="99"/>
      <c r="D838" s="100"/>
      <c r="E838" s="99"/>
      <c r="F838" s="100"/>
      <c r="G838" s="99"/>
      <c r="H838" s="100"/>
      <c r="I838" s="94"/>
      <c r="J838" s="93"/>
    </row>
    <row r="839" spans="1:11">
      <c r="A839" s="501"/>
      <c r="B839" s="95" t="s">
        <v>255</v>
      </c>
      <c r="C839" s="99"/>
      <c r="D839" s="100"/>
      <c r="E839" s="99"/>
      <c r="F839" s="100"/>
      <c r="G839" s="99"/>
      <c r="H839" s="100"/>
      <c r="I839" s="94"/>
      <c r="J839" s="93"/>
    </row>
    <row r="840" spans="1:11">
      <c r="A840" s="501"/>
      <c r="B840" s="95" t="s">
        <v>256</v>
      </c>
      <c r="C840" s="99"/>
      <c r="D840" s="100"/>
      <c r="E840" s="99"/>
      <c r="F840" s="100"/>
      <c r="G840" s="99"/>
      <c r="H840" s="100"/>
      <c r="I840" s="94"/>
      <c r="J840" s="93"/>
    </row>
    <row r="841" spans="1:11">
      <c r="A841" s="501"/>
      <c r="B841" s="95" t="s">
        <v>257</v>
      </c>
      <c r="C841" s="99"/>
      <c r="D841" s="100"/>
      <c r="E841" s="99"/>
      <c r="F841" s="100"/>
      <c r="G841" s="99"/>
      <c r="H841" s="100"/>
      <c r="I841" s="94"/>
      <c r="J841" s="93"/>
    </row>
    <row r="842" spans="1:11">
      <c r="A842" s="501"/>
      <c r="B842" s="95" t="s">
        <v>258</v>
      </c>
      <c r="C842" s="99"/>
      <c r="D842" s="100"/>
      <c r="E842" s="99"/>
      <c r="F842" s="100"/>
      <c r="G842" s="99"/>
      <c r="H842" s="100"/>
      <c r="I842" s="94"/>
      <c r="J842" s="93"/>
    </row>
    <row r="843" spans="1:11">
      <c r="A843" s="502"/>
      <c r="B843" s="95" t="s">
        <v>259</v>
      </c>
      <c r="C843" s="99"/>
      <c r="D843" s="100"/>
      <c r="E843" s="99"/>
      <c r="F843" s="100"/>
      <c r="G843" s="99"/>
      <c r="H843" s="100"/>
      <c r="I843" s="94"/>
      <c r="J843" s="93"/>
    </row>
    <row r="844" spans="1:11">
      <c r="A844" s="116" t="s">
        <v>266</v>
      </c>
      <c r="B844" s="117" t="e">
        <f>SUM(C844,E844,G844,I844)</f>
        <v>#DIV/0!</v>
      </c>
      <c r="C844" s="104" t="e">
        <f>AVERAGE(C771:C783,C787:C828)</f>
        <v>#DIV/0!</v>
      </c>
      <c r="D844" s="104" t="e">
        <f>AVERAGE(D771:D783,D787:D828)</f>
        <v>#DIV/0!</v>
      </c>
      <c r="E844" s="104" t="e">
        <f>AVERAGE(E771:E779,E787:E800,E803:E816,E819:E830)</f>
        <v>#DIV/0!</v>
      </c>
      <c r="F844" s="104" t="e">
        <f>AVERAGE(F771:F779,F787:F800,F803:F816,F819:F830)</f>
        <v>#DIV/0!</v>
      </c>
      <c r="G844" s="104" t="e">
        <f>AVERAGE(G771:G799,G803:G810,G819:G831)</f>
        <v>#DIV/0!</v>
      </c>
      <c r="H844" s="104" t="e">
        <f>AVERAGE(H771:H799,H803:H810,H819:H831)</f>
        <v>#DIV/0!</v>
      </c>
      <c r="I844" s="104" t="e">
        <f>AVERAGE(I771:I778,I787:I796,I803:I811,I819:I826,I832:I843)</f>
        <v>#DIV/0!</v>
      </c>
      <c r="J844" s="104" t="e">
        <f>AVERAGE(J771:J778,J787:J796,J803:J811,J819:J826,J832:J843)</f>
        <v>#DIV/0!</v>
      </c>
    </row>
    <row r="845" spans="1:11">
      <c r="A845" s="116" t="s">
        <v>267</v>
      </c>
      <c r="B845" s="117" t="e">
        <f>SUM(D844,F844,H844,J844)</f>
        <v>#DIV/0!</v>
      </c>
      <c r="C845" s="64" t="s">
        <v>268</v>
      </c>
      <c r="D845" s="118" t="s">
        <v>269</v>
      </c>
      <c r="E845" s="64" t="s">
        <v>268</v>
      </c>
      <c r="F845" s="118" t="s">
        <v>269</v>
      </c>
      <c r="G845" s="64" t="s">
        <v>268</v>
      </c>
      <c r="H845" s="118" t="s">
        <v>269</v>
      </c>
      <c r="I845" s="64" t="s">
        <v>268</v>
      </c>
      <c r="J845" s="118" t="s">
        <v>269</v>
      </c>
    </row>
    <row r="848" spans="1:11">
      <c r="A848" s="503" t="s">
        <v>107</v>
      </c>
      <c r="B848" s="503"/>
      <c r="C848" s="503"/>
      <c r="D848" s="503"/>
      <c r="E848" s="503"/>
      <c r="F848" s="503"/>
      <c r="G848" s="503"/>
      <c r="H848" s="503"/>
      <c r="I848" s="503"/>
      <c r="J848" s="504"/>
      <c r="K848" s="109">
        <v>6</v>
      </c>
    </row>
    <row r="849" spans="1:10" ht="34.799999999999997">
      <c r="A849" s="74" t="s">
        <v>270</v>
      </c>
      <c r="B849" s="74" t="s">
        <v>271</v>
      </c>
      <c r="C849" s="74" t="s">
        <v>272</v>
      </c>
      <c r="D849" s="74" t="s">
        <v>108</v>
      </c>
      <c r="E849" s="74" t="s">
        <v>109</v>
      </c>
      <c r="F849" s="75" t="s">
        <v>273</v>
      </c>
      <c r="G849" s="74" t="s">
        <v>110</v>
      </c>
      <c r="H849" s="74" t="s">
        <v>111</v>
      </c>
      <c r="I849" s="74" t="s">
        <v>112</v>
      </c>
      <c r="J849" s="74" t="s">
        <v>113</v>
      </c>
    </row>
    <row r="850" spans="1:10">
      <c r="A850" s="505" t="s">
        <v>274</v>
      </c>
      <c r="B850" s="87" t="s">
        <v>114</v>
      </c>
      <c r="C850" s="76" t="s">
        <v>275</v>
      </c>
      <c r="D850" s="77">
        <v>1</v>
      </c>
      <c r="E850" s="78">
        <v>1</v>
      </c>
      <c r="F850" s="497" t="s">
        <v>276</v>
      </c>
      <c r="G850" s="76">
        <v>105.48</v>
      </c>
      <c r="H850" s="67"/>
      <c r="I850" s="68"/>
      <c r="J850" s="68"/>
    </row>
    <row r="851" spans="1:10">
      <c r="A851" s="506"/>
      <c r="B851" s="87" t="s">
        <v>115</v>
      </c>
      <c r="C851" s="76" t="s">
        <v>277</v>
      </c>
      <c r="D851" s="77">
        <v>1</v>
      </c>
      <c r="E851" s="78">
        <v>1</v>
      </c>
      <c r="F851" s="498"/>
      <c r="G851" s="76">
        <v>105.48</v>
      </c>
      <c r="H851" s="67"/>
      <c r="I851" s="68"/>
      <c r="J851" s="68"/>
    </row>
    <row r="852" spans="1:10">
      <c r="A852" s="506"/>
      <c r="B852" s="87" t="s">
        <v>116</v>
      </c>
      <c r="C852" s="76" t="s">
        <v>117</v>
      </c>
      <c r="D852" s="77">
        <v>1</v>
      </c>
      <c r="E852" s="78">
        <v>1</v>
      </c>
      <c r="F852" s="79"/>
      <c r="G852" s="76">
        <v>105.48</v>
      </c>
      <c r="H852" s="67"/>
      <c r="I852" s="68"/>
      <c r="J852" s="68"/>
    </row>
    <row r="853" spans="1:10">
      <c r="A853" s="507"/>
      <c r="B853" s="87" t="s">
        <v>118</v>
      </c>
      <c r="C853" s="76" t="s">
        <v>119</v>
      </c>
      <c r="D853" s="77">
        <v>1</v>
      </c>
      <c r="E853" s="78">
        <v>1</v>
      </c>
      <c r="F853" s="79"/>
      <c r="G853" s="76">
        <v>105.48</v>
      </c>
      <c r="H853" s="67"/>
      <c r="I853" s="68"/>
      <c r="J853" s="68"/>
    </row>
    <row r="854" spans="1:10">
      <c r="A854" s="505" t="s">
        <v>278</v>
      </c>
      <c r="B854" s="87" t="s">
        <v>120</v>
      </c>
      <c r="C854" s="76" t="s">
        <v>279</v>
      </c>
      <c r="D854" s="77">
        <v>1</v>
      </c>
      <c r="E854" s="78">
        <v>1</v>
      </c>
      <c r="F854" s="497" t="s">
        <v>276</v>
      </c>
      <c r="G854" s="76">
        <v>105.48</v>
      </c>
      <c r="H854" s="67"/>
      <c r="I854" s="68"/>
      <c r="J854" s="68"/>
    </row>
    <row r="855" spans="1:10">
      <c r="A855" s="506"/>
      <c r="B855" s="87" t="s">
        <v>121</v>
      </c>
      <c r="C855" s="76" t="s">
        <v>280</v>
      </c>
      <c r="D855" s="77">
        <v>1</v>
      </c>
      <c r="E855" s="78">
        <v>1</v>
      </c>
      <c r="F855" s="498"/>
      <c r="G855" s="76">
        <v>105.48</v>
      </c>
      <c r="H855" s="67"/>
      <c r="I855" s="68"/>
      <c r="J855" s="68"/>
    </row>
    <row r="856" spans="1:10">
      <c r="A856" s="506"/>
      <c r="B856" s="87" t="s">
        <v>122</v>
      </c>
      <c r="C856" s="76" t="s">
        <v>123</v>
      </c>
      <c r="D856" s="77">
        <v>1</v>
      </c>
      <c r="E856" s="78">
        <v>1</v>
      </c>
      <c r="F856" s="498"/>
      <c r="G856" s="76">
        <v>105.48</v>
      </c>
      <c r="H856" s="67"/>
      <c r="I856" s="68"/>
      <c r="J856" s="68"/>
    </row>
    <row r="857" spans="1:10">
      <c r="A857" s="506"/>
      <c r="B857" s="87" t="s">
        <v>124</v>
      </c>
      <c r="C857" s="76" t="s">
        <v>125</v>
      </c>
      <c r="D857" s="77">
        <v>1</v>
      </c>
      <c r="E857" s="78">
        <v>1</v>
      </c>
      <c r="F857" s="498"/>
      <c r="G857" s="76">
        <v>105.48</v>
      </c>
      <c r="H857" s="67"/>
      <c r="I857" s="68"/>
      <c r="J857" s="68"/>
    </row>
    <row r="858" spans="1:10">
      <c r="A858" s="506"/>
      <c r="B858" s="87" t="s">
        <v>126</v>
      </c>
      <c r="C858" s="76" t="s">
        <v>281</v>
      </c>
      <c r="D858" s="77">
        <v>1</v>
      </c>
      <c r="E858" s="78">
        <v>1</v>
      </c>
      <c r="F858" s="79"/>
      <c r="G858" s="76">
        <v>70.319999999999993</v>
      </c>
      <c r="H858" s="67"/>
      <c r="I858" s="68"/>
      <c r="J858" s="68"/>
    </row>
    <row r="859" spans="1:10">
      <c r="A859" s="506"/>
      <c r="B859" s="87" t="s">
        <v>127</v>
      </c>
      <c r="C859" s="76" t="s">
        <v>128</v>
      </c>
      <c r="D859" s="77">
        <v>1</v>
      </c>
      <c r="E859" s="78">
        <v>1</v>
      </c>
      <c r="F859" s="79"/>
      <c r="G859" s="76">
        <v>70.319999999999993</v>
      </c>
      <c r="H859" s="67"/>
      <c r="I859" s="68"/>
      <c r="J859" s="68"/>
    </row>
    <row r="860" spans="1:10">
      <c r="A860" s="507"/>
      <c r="B860" s="87" t="s">
        <v>129</v>
      </c>
      <c r="C860" s="76" t="s">
        <v>130</v>
      </c>
      <c r="D860" s="77">
        <v>1</v>
      </c>
      <c r="E860" s="78">
        <v>1</v>
      </c>
      <c r="F860" s="79"/>
      <c r="G860" s="76">
        <v>70.319999999999993</v>
      </c>
      <c r="H860" s="67"/>
      <c r="I860" s="68"/>
      <c r="J860" s="68"/>
    </row>
    <row r="861" spans="1:10">
      <c r="A861" s="496" t="s">
        <v>282</v>
      </c>
      <c r="B861" s="87" t="s">
        <v>131</v>
      </c>
      <c r="C861" s="76" t="s">
        <v>283</v>
      </c>
      <c r="D861" s="77">
        <v>1</v>
      </c>
      <c r="E861" s="78">
        <v>1</v>
      </c>
      <c r="F861" s="497" t="s">
        <v>276</v>
      </c>
      <c r="G861" s="76">
        <v>105.48</v>
      </c>
      <c r="H861" s="67"/>
      <c r="I861" s="68"/>
      <c r="J861" s="68"/>
    </row>
    <row r="862" spans="1:10">
      <c r="A862" s="496"/>
      <c r="B862" s="87" t="s">
        <v>132</v>
      </c>
      <c r="C862" s="76" t="s">
        <v>133</v>
      </c>
      <c r="D862" s="77">
        <v>1</v>
      </c>
      <c r="E862" s="78">
        <v>1</v>
      </c>
      <c r="F862" s="498"/>
      <c r="G862" s="76">
        <v>105.48</v>
      </c>
      <c r="H862" s="67"/>
      <c r="I862" s="68"/>
      <c r="J862" s="68"/>
    </row>
    <row r="863" spans="1:10">
      <c r="A863" s="496"/>
      <c r="B863" s="87" t="s">
        <v>134</v>
      </c>
      <c r="C863" s="76" t="s">
        <v>135</v>
      </c>
      <c r="D863" s="77">
        <v>1</v>
      </c>
      <c r="E863" s="78">
        <v>1</v>
      </c>
      <c r="F863" s="498"/>
      <c r="G863" s="80">
        <v>105.48</v>
      </c>
      <c r="H863" s="67"/>
      <c r="I863" s="68"/>
      <c r="J863" s="68"/>
    </row>
    <row r="864" spans="1:10">
      <c r="A864" s="496"/>
      <c r="B864" s="87" t="s">
        <v>136</v>
      </c>
      <c r="C864" s="76" t="s">
        <v>137</v>
      </c>
      <c r="D864" s="77">
        <v>1</v>
      </c>
      <c r="E864" s="78">
        <v>1</v>
      </c>
      <c r="F864" s="498"/>
      <c r="G864" s="80">
        <v>105.48</v>
      </c>
      <c r="H864" s="67"/>
      <c r="I864" s="68"/>
      <c r="J864" s="68"/>
    </row>
    <row r="865" spans="1:10">
      <c r="A865" s="496"/>
      <c r="B865" s="87" t="s">
        <v>138</v>
      </c>
      <c r="C865" s="76" t="s">
        <v>284</v>
      </c>
      <c r="D865" s="77">
        <v>0</v>
      </c>
      <c r="E865" s="78">
        <v>1</v>
      </c>
      <c r="F865" s="497" t="s">
        <v>285</v>
      </c>
      <c r="G865" s="76">
        <v>32.549999999999997</v>
      </c>
      <c r="H865" s="69"/>
      <c r="I865" s="69"/>
      <c r="J865" s="69"/>
    </row>
    <row r="866" spans="1:10">
      <c r="A866" s="496"/>
      <c r="B866" s="87" t="s">
        <v>139</v>
      </c>
      <c r="C866" s="76" t="s">
        <v>140</v>
      </c>
      <c r="D866" s="77">
        <v>0</v>
      </c>
      <c r="E866" s="78">
        <v>1</v>
      </c>
      <c r="F866" s="499"/>
      <c r="G866" s="76">
        <v>32.549999999999997</v>
      </c>
      <c r="H866" s="70"/>
      <c r="I866" s="70"/>
      <c r="J866" s="70"/>
    </row>
    <row r="867" spans="1:10">
      <c r="A867" s="496"/>
      <c r="B867" s="87" t="s">
        <v>141</v>
      </c>
      <c r="C867" s="76" t="s">
        <v>286</v>
      </c>
      <c r="D867" s="77">
        <v>0</v>
      </c>
      <c r="E867" s="78">
        <v>1</v>
      </c>
      <c r="F867" s="497" t="s">
        <v>285</v>
      </c>
      <c r="G867" s="76">
        <v>32.549999999999997</v>
      </c>
      <c r="H867" s="70"/>
      <c r="I867" s="70"/>
      <c r="J867" s="70"/>
    </row>
    <row r="868" spans="1:10">
      <c r="A868" s="496"/>
      <c r="B868" s="87" t="s">
        <v>142</v>
      </c>
      <c r="C868" s="76" t="s">
        <v>143</v>
      </c>
      <c r="D868" s="77">
        <v>1</v>
      </c>
      <c r="E868" s="78">
        <v>1</v>
      </c>
      <c r="F868" s="498"/>
      <c r="G868" s="76">
        <v>32.549999999999997</v>
      </c>
      <c r="H868" s="71"/>
      <c r="I868" s="71"/>
      <c r="J868" s="71"/>
    </row>
    <row r="869" spans="1:10">
      <c r="A869" s="496"/>
      <c r="B869" s="87" t="s">
        <v>144</v>
      </c>
      <c r="C869" s="76" t="s">
        <v>145</v>
      </c>
      <c r="D869" s="77">
        <v>0</v>
      </c>
      <c r="E869" s="78">
        <v>1</v>
      </c>
      <c r="F869" s="498"/>
      <c r="G869" s="76">
        <v>32.549999999999997</v>
      </c>
      <c r="H869" s="70"/>
      <c r="I869" s="70"/>
      <c r="J869" s="70"/>
    </row>
    <row r="870" spans="1:10">
      <c r="A870" s="496"/>
      <c r="B870" s="87" t="s">
        <v>146</v>
      </c>
      <c r="C870" s="76" t="s">
        <v>147</v>
      </c>
      <c r="D870" s="77">
        <v>1</v>
      </c>
      <c r="E870" s="78">
        <v>1</v>
      </c>
      <c r="F870" s="498"/>
      <c r="G870" s="76">
        <v>32.549999999999997</v>
      </c>
      <c r="H870" s="71"/>
      <c r="I870" s="71"/>
      <c r="J870" s="71"/>
    </row>
    <row r="871" spans="1:10">
      <c r="A871" s="496"/>
      <c r="B871" s="87" t="s">
        <v>148</v>
      </c>
      <c r="C871" s="76" t="s">
        <v>149</v>
      </c>
      <c r="D871" s="77">
        <v>0</v>
      </c>
      <c r="E871" s="78">
        <v>1</v>
      </c>
      <c r="F871" s="498"/>
      <c r="G871" s="76">
        <v>32.549999999999997</v>
      </c>
      <c r="H871" s="71"/>
      <c r="I871" s="71"/>
      <c r="J871" s="71"/>
    </row>
    <row r="872" spans="1:10">
      <c r="A872" s="496"/>
      <c r="B872" s="87" t="s">
        <v>150</v>
      </c>
      <c r="C872" s="76" t="s">
        <v>151</v>
      </c>
      <c r="D872" s="77">
        <v>1</v>
      </c>
      <c r="E872" s="78">
        <v>1</v>
      </c>
      <c r="F872" s="498"/>
      <c r="G872" s="76">
        <v>32.549999999999997</v>
      </c>
      <c r="H872" s="71"/>
      <c r="I872" s="71"/>
      <c r="J872" s="71"/>
    </row>
    <row r="873" spans="1:10">
      <c r="A873" s="496"/>
      <c r="B873" s="87" t="s">
        <v>152</v>
      </c>
      <c r="C873" s="76" t="s">
        <v>153</v>
      </c>
      <c r="D873" s="77">
        <v>0</v>
      </c>
      <c r="E873" s="78">
        <v>1</v>
      </c>
      <c r="F873" s="498"/>
      <c r="G873" s="76">
        <v>32.549999999999997</v>
      </c>
      <c r="H873" s="70"/>
      <c r="I873" s="70"/>
      <c r="J873" s="70"/>
    </row>
    <row r="874" spans="1:10">
      <c r="A874" s="496"/>
      <c r="B874" s="87" t="s">
        <v>154</v>
      </c>
      <c r="C874" s="76" t="s">
        <v>155</v>
      </c>
      <c r="D874" s="77">
        <v>0</v>
      </c>
      <c r="E874" s="78">
        <v>1</v>
      </c>
      <c r="F874" s="498"/>
      <c r="G874" s="76">
        <v>32.549999999999997</v>
      </c>
      <c r="H874" s="70"/>
      <c r="I874" s="70"/>
      <c r="J874" s="70"/>
    </row>
    <row r="875" spans="1:10">
      <c r="A875" s="496"/>
      <c r="B875" s="87" t="s">
        <v>156</v>
      </c>
      <c r="C875" s="76" t="s">
        <v>157</v>
      </c>
      <c r="D875" s="77">
        <v>0</v>
      </c>
      <c r="E875" s="78">
        <v>1</v>
      </c>
      <c r="F875" s="498"/>
      <c r="G875" s="76">
        <v>32.549999999999997</v>
      </c>
      <c r="H875" s="70"/>
      <c r="I875" s="70"/>
      <c r="J875" s="70"/>
    </row>
    <row r="876" spans="1:10">
      <c r="A876" s="496"/>
      <c r="B876" s="87" t="s">
        <v>158</v>
      </c>
      <c r="C876" s="76" t="s">
        <v>159</v>
      </c>
      <c r="D876" s="77">
        <v>0</v>
      </c>
      <c r="E876" s="78">
        <v>1</v>
      </c>
      <c r="F876" s="498"/>
      <c r="G876" s="76">
        <v>32.549999999999997</v>
      </c>
      <c r="H876" s="70"/>
      <c r="I876" s="70"/>
      <c r="J876" s="70"/>
    </row>
    <row r="877" spans="1:10">
      <c r="A877" s="496"/>
      <c r="B877" s="87" t="s">
        <v>160</v>
      </c>
      <c r="C877" s="76" t="s">
        <v>161</v>
      </c>
      <c r="D877" s="77">
        <v>0</v>
      </c>
      <c r="E877" s="78">
        <v>1</v>
      </c>
      <c r="F877" s="498"/>
      <c r="G877" s="76">
        <v>32.549999999999997</v>
      </c>
      <c r="H877" s="70"/>
      <c r="I877" s="70"/>
      <c r="J877" s="70"/>
    </row>
    <row r="878" spans="1:10">
      <c r="A878" s="496"/>
      <c r="B878" s="87" t="s">
        <v>162</v>
      </c>
      <c r="C878" s="76" t="s">
        <v>163</v>
      </c>
      <c r="D878" s="77">
        <v>0</v>
      </c>
      <c r="E878" s="78">
        <v>1</v>
      </c>
      <c r="F878" s="499"/>
      <c r="G878" s="76">
        <v>32.549999999999997</v>
      </c>
      <c r="H878" s="70"/>
      <c r="I878" s="70"/>
      <c r="J878" s="70"/>
    </row>
    <row r="879" spans="1:10">
      <c r="A879" s="496"/>
      <c r="B879" s="87" t="s">
        <v>164</v>
      </c>
      <c r="C879" s="76" t="s">
        <v>287</v>
      </c>
      <c r="D879" s="77">
        <v>0</v>
      </c>
      <c r="E879" s="78">
        <v>1</v>
      </c>
      <c r="F879" s="497" t="s">
        <v>285</v>
      </c>
      <c r="G879" s="76">
        <v>24.4</v>
      </c>
      <c r="H879" s="70"/>
      <c r="I879" s="70"/>
      <c r="J879" s="70"/>
    </row>
    <row r="880" spans="1:10">
      <c r="A880" s="496"/>
      <c r="B880" s="87" t="s">
        <v>165</v>
      </c>
      <c r="C880" s="76" t="s">
        <v>166</v>
      </c>
      <c r="D880" s="77">
        <v>0</v>
      </c>
      <c r="E880" s="78">
        <v>1</v>
      </c>
      <c r="F880" s="499"/>
      <c r="G880" s="76">
        <v>24.4</v>
      </c>
      <c r="H880" s="70"/>
      <c r="I880" s="70"/>
      <c r="J880" s="70"/>
    </row>
    <row r="881" spans="1:10">
      <c r="A881" s="496" t="s">
        <v>288</v>
      </c>
      <c r="B881" s="87" t="s">
        <v>167</v>
      </c>
      <c r="C881" s="76" t="s">
        <v>289</v>
      </c>
      <c r="D881" s="77">
        <v>1</v>
      </c>
      <c r="E881" s="78">
        <v>1</v>
      </c>
      <c r="F881" s="497" t="s">
        <v>276</v>
      </c>
      <c r="G881" s="76">
        <v>105.48</v>
      </c>
      <c r="H881" s="67"/>
      <c r="I881" s="71"/>
      <c r="J881" s="71"/>
    </row>
    <row r="882" spans="1:10">
      <c r="A882" s="496"/>
      <c r="B882" s="87" t="s">
        <v>168</v>
      </c>
      <c r="C882" s="76" t="s">
        <v>169</v>
      </c>
      <c r="D882" s="77">
        <v>1</v>
      </c>
      <c r="E882" s="78">
        <v>1</v>
      </c>
      <c r="F882" s="498"/>
      <c r="G882" s="76">
        <v>105.48</v>
      </c>
      <c r="H882" s="67"/>
      <c r="I882" s="72"/>
      <c r="J882" s="72"/>
    </row>
    <row r="883" spans="1:10">
      <c r="A883" s="496"/>
      <c r="B883" s="87" t="s">
        <v>170</v>
      </c>
      <c r="C883" s="76" t="s">
        <v>171</v>
      </c>
      <c r="D883" s="77">
        <v>1</v>
      </c>
      <c r="E883" s="78">
        <v>1</v>
      </c>
      <c r="F883" s="498"/>
      <c r="G883" s="76">
        <v>105.48</v>
      </c>
      <c r="H883" s="67"/>
      <c r="I883" s="68"/>
      <c r="J883" s="68"/>
    </row>
    <row r="884" spans="1:10">
      <c r="A884" s="496"/>
      <c r="B884" s="87" t="s">
        <v>172</v>
      </c>
      <c r="C884" s="76" t="s">
        <v>173</v>
      </c>
      <c r="D884" s="77">
        <v>1</v>
      </c>
      <c r="E884" s="78">
        <v>1</v>
      </c>
      <c r="F884" s="498"/>
      <c r="G884" s="76">
        <v>105.48</v>
      </c>
      <c r="H884" s="67"/>
      <c r="I884" s="68"/>
      <c r="J884" s="68"/>
    </row>
    <row r="885" spans="1:10">
      <c r="A885" s="496"/>
      <c r="B885" s="87" t="s">
        <v>174</v>
      </c>
      <c r="C885" s="76" t="s">
        <v>290</v>
      </c>
      <c r="D885" s="77">
        <v>1</v>
      </c>
      <c r="E885" s="78">
        <v>1</v>
      </c>
      <c r="F885" s="498"/>
      <c r="G885" s="76">
        <v>65</v>
      </c>
      <c r="H885" s="73"/>
      <c r="I885" s="73"/>
      <c r="J885" s="73"/>
    </row>
    <row r="886" spans="1:10">
      <c r="A886" s="496"/>
      <c r="B886" s="87" t="s">
        <v>175</v>
      </c>
      <c r="C886" s="76" t="s">
        <v>176</v>
      </c>
      <c r="D886" s="77">
        <v>1</v>
      </c>
      <c r="E886" s="78">
        <v>1</v>
      </c>
      <c r="F886" s="499"/>
      <c r="G886" s="76">
        <v>65</v>
      </c>
      <c r="H886" s="73"/>
      <c r="I886" s="73"/>
      <c r="J886" s="73"/>
    </row>
    <row r="887" spans="1:10">
      <c r="A887" s="496"/>
      <c r="B887" s="87" t="s">
        <v>177</v>
      </c>
      <c r="C887" s="76" t="s">
        <v>291</v>
      </c>
      <c r="D887" s="77">
        <v>1</v>
      </c>
      <c r="E887" s="78">
        <v>1</v>
      </c>
      <c r="F887" s="497" t="s">
        <v>285</v>
      </c>
      <c r="G887" s="76">
        <v>16.3</v>
      </c>
      <c r="H887" s="73"/>
      <c r="I887" s="73"/>
      <c r="J887" s="73"/>
    </row>
    <row r="888" spans="1:10">
      <c r="A888" s="496"/>
      <c r="B888" s="87" t="s">
        <v>178</v>
      </c>
      <c r="C888" s="76" t="s">
        <v>179</v>
      </c>
      <c r="D888" s="77">
        <v>1</v>
      </c>
      <c r="E888" s="78">
        <v>1</v>
      </c>
      <c r="F888" s="498"/>
      <c r="G888" s="76">
        <v>16.3</v>
      </c>
      <c r="H888" s="73"/>
      <c r="I888" s="73"/>
      <c r="J888" s="73"/>
    </row>
    <row r="889" spans="1:10">
      <c r="A889" s="496"/>
      <c r="B889" s="87" t="s">
        <v>180</v>
      </c>
      <c r="C889" s="76" t="s">
        <v>181</v>
      </c>
      <c r="D889" s="77">
        <v>1</v>
      </c>
      <c r="E889" s="78">
        <v>1</v>
      </c>
      <c r="F889" s="498"/>
      <c r="G889" s="76">
        <v>16.3</v>
      </c>
      <c r="H889" s="73"/>
      <c r="I889" s="73"/>
      <c r="J889" s="73"/>
    </row>
    <row r="890" spans="1:10">
      <c r="A890" s="496"/>
      <c r="B890" s="87" t="s">
        <v>292</v>
      </c>
      <c r="C890" s="76" t="s">
        <v>182</v>
      </c>
      <c r="D890" s="77">
        <v>1</v>
      </c>
      <c r="E890" s="78">
        <v>1</v>
      </c>
      <c r="F890" s="499"/>
      <c r="G890" s="76">
        <v>35</v>
      </c>
      <c r="H890" s="73"/>
      <c r="I890" s="73"/>
      <c r="J890" s="73"/>
    </row>
    <row r="891" spans="1:10">
      <c r="H891" s="66" t="e">
        <f>AVERAGE(H850:H864,H870:H872,H881:H890)</f>
        <v>#DIV/0!</v>
      </c>
      <c r="I891" s="66" t="e">
        <f t="shared" ref="I891" si="5">AVERAGE(I850:I864,I870:I872,I881:I890)</f>
        <v>#DIV/0!</v>
      </c>
      <c r="J891" s="120" t="e">
        <f>AVERAGE(J850:J864,J870:J872,J881:J890,J868)</f>
        <v>#DIV/0!</v>
      </c>
    </row>
    <row r="892" spans="1:10">
      <c r="J892" s="65" t="s">
        <v>264</v>
      </c>
    </row>
    <row r="893" spans="1:10">
      <c r="A893" s="503" t="s">
        <v>183</v>
      </c>
      <c r="B893" s="503"/>
      <c r="C893" s="503"/>
      <c r="D893" s="503"/>
      <c r="E893" s="503"/>
      <c r="F893" s="503"/>
      <c r="G893" s="503"/>
      <c r="H893" s="503"/>
      <c r="I893" s="503"/>
      <c r="J893" s="504"/>
    </row>
    <row r="894" spans="1:10" ht="34.799999999999997">
      <c r="A894" s="74" t="s">
        <v>270</v>
      </c>
      <c r="B894" s="74" t="s">
        <v>271</v>
      </c>
      <c r="C894" s="74" t="s">
        <v>272</v>
      </c>
      <c r="D894" s="74" t="s">
        <v>108</v>
      </c>
      <c r="E894" s="74" t="s">
        <v>109</v>
      </c>
      <c r="F894" s="75" t="s">
        <v>273</v>
      </c>
      <c r="G894" s="74" t="s">
        <v>110</v>
      </c>
      <c r="H894" s="74" t="s">
        <v>184</v>
      </c>
      <c r="I894" s="74" t="s">
        <v>185</v>
      </c>
      <c r="J894" s="74" t="s">
        <v>186</v>
      </c>
    </row>
    <row r="895" spans="1:10">
      <c r="A895" s="508" t="s">
        <v>274</v>
      </c>
      <c r="B895" s="88" t="s">
        <v>114</v>
      </c>
      <c r="C895" s="89" t="s">
        <v>275</v>
      </c>
      <c r="D895" s="90">
        <v>1</v>
      </c>
      <c r="E895" s="89">
        <v>1</v>
      </c>
      <c r="F895" s="497" t="s">
        <v>276</v>
      </c>
      <c r="G895" s="76">
        <v>105.48</v>
      </c>
      <c r="H895" s="81"/>
      <c r="I895" s="82"/>
      <c r="J895" s="82"/>
    </row>
    <row r="896" spans="1:10">
      <c r="A896" s="509"/>
      <c r="B896" s="88" t="s">
        <v>115</v>
      </c>
      <c r="C896" s="89" t="s">
        <v>277</v>
      </c>
      <c r="D896" s="90">
        <v>1</v>
      </c>
      <c r="E896" s="89">
        <v>1</v>
      </c>
      <c r="F896" s="498"/>
      <c r="G896" s="76">
        <v>105.48</v>
      </c>
      <c r="H896" s="81"/>
      <c r="I896" s="82"/>
      <c r="J896" s="82"/>
    </row>
    <row r="897" spans="1:10">
      <c r="A897" s="509"/>
      <c r="B897" s="88" t="s">
        <v>116</v>
      </c>
      <c r="C897" s="89" t="s">
        <v>117</v>
      </c>
      <c r="D897" s="90">
        <v>1</v>
      </c>
      <c r="E897" s="89">
        <v>1</v>
      </c>
      <c r="F897" s="79"/>
      <c r="G897" s="76">
        <v>105.48</v>
      </c>
      <c r="H897" s="81"/>
      <c r="I897" s="82"/>
      <c r="J897" s="82"/>
    </row>
    <row r="898" spans="1:10">
      <c r="A898" s="510"/>
      <c r="B898" s="88" t="s">
        <v>118</v>
      </c>
      <c r="C898" s="89" t="s">
        <v>119</v>
      </c>
      <c r="D898" s="90">
        <v>1</v>
      </c>
      <c r="E898" s="89">
        <v>1</v>
      </c>
      <c r="F898" s="79"/>
      <c r="G898" s="76">
        <v>105.48</v>
      </c>
      <c r="H898" s="81"/>
      <c r="I898" s="82"/>
      <c r="J898" s="82"/>
    </row>
    <row r="899" spans="1:10">
      <c r="A899" s="496" t="s">
        <v>278</v>
      </c>
      <c r="B899" s="87" t="s">
        <v>120</v>
      </c>
      <c r="C899" s="76" t="s">
        <v>279</v>
      </c>
      <c r="D899" s="77">
        <v>1</v>
      </c>
      <c r="E899" s="78">
        <v>1</v>
      </c>
      <c r="F899" s="497" t="s">
        <v>276</v>
      </c>
      <c r="G899" s="76">
        <v>105.48</v>
      </c>
      <c r="H899" s="81"/>
      <c r="I899" s="82"/>
      <c r="J899" s="82"/>
    </row>
    <row r="900" spans="1:10">
      <c r="A900" s="496"/>
      <c r="B900" s="87" t="s">
        <v>121</v>
      </c>
      <c r="C900" s="76" t="s">
        <v>280</v>
      </c>
      <c r="D900" s="77">
        <v>1</v>
      </c>
      <c r="E900" s="78">
        <v>1</v>
      </c>
      <c r="F900" s="498"/>
      <c r="G900" s="76">
        <v>105.48</v>
      </c>
      <c r="H900" s="81"/>
      <c r="I900" s="82"/>
      <c r="J900" s="82"/>
    </row>
    <row r="901" spans="1:10">
      <c r="A901" s="496"/>
      <c r="B901" s="87" t="s">
        <v>122</v>
      </c>
      <c r="C901" s="76" t="s">
        <v>123</v>
      </c>
      <c r="D901" s="77">
        <v>1</v>
      </c>
      <c r="E901" s="78">
        <v>1</v>
      </c>
      <c r="F901" s="498"/>
      <c r="G901" s="76">
        <v>105.48</v>
      </c>
      <c r="H901" s="81"/>
      <c r="I901" s="82"/>
      <c r="J901" s="82"/>
    </row>
    <row r="902" spans="1:10">
      <c r="A902" s="496"/>
      <c r="B902" s="87" t="s">
        <v>124</v>
      </c>
      <c r="C902" s="76" t="s">
        <v>125</v>
      </c>
      <c r="D902" s="77">
        <v>1</v>
      </c>
      <c r="E902" s="78">
        <v>1</v>
      </c>
      <c r="F902" s="498"/>
      <c r="G902" s="76">
        <v>105.48</v>
      </c>
      <c r="H902" s="81"/>
      <c r="I902" s="82"/>
      <c r="J902" s="82"/>
    </row>
    <row r="903" spans="1:10">
      <c r="A903" s="496" t="s">
        <v>282</v>
      </c>
      <c r="B903" s="87" t="s">
        <v>131</v>
      </c>
      <c r="C903" s="76" t="s">
        <v>283</v>
      </c>
      <c r="D903" s="77">
        <v>1</v>
      </c>
      <c r="E903" s="78">
        <v>1</v>
      </c>
      <c r="F903" s="497" t="s">
        <v>276</v>
      </c>
      <c r="G903" s="76">
        <v>105.48</v>
      </c>
      <c r="H903" s="81"/>
      <c r="I903" s="82"/>
      <c r="J903" s="82"/>
    </row>
    <row r="904" spans="1:10">
      <c r="A904" s="496"/>
      <c r="B904" s="87" t="s">
        <v>132</v>
      </c>
      <c r="C904" s="76" t="s">
        <v>133</v>
      </c>
      <c r="D904" s="77">
        <v>1</v>
      </c>
      <c r="E904" s="78">
        <v>1</v>
      </c>
      <c r="F904" s="498"/>
      <c r="G904" s="76">
        <v>105.48</v>
      </c>
      <c r="H904" s="81"/>
      <c r="I904" s="82"/>
      <c r="J904" s="82"/>
    </row>
    <row r="905" spans="1:10">
      <c r="A905" s="496"/>
      <c r="B905" s="87" t="s">
        <v>134</v>
      </c>
      <c r="C905" s="76" t="s">
        <v>135</v>
      </c>
      <c r="D905" s="77">
        <v>1</v>
      </c>
      <c r="E905" s="78">
        <v>1</v>
      </c>
      <c r="F905" s="498"/>
      <c r="G905" s="80">
        <v>105.48</v>
      </c>
      <c r="H905" s="81"/>
      <c r="I905" s="82"/>
      <c r="J905" s="82"/>
    </row>
    <row r="906" spans="1:10">
      <c r="A906" s="496"/>
      <c r="B906" s="87" t="s">
        <v>136</v>
      </c>
      <c r="C906" s="76" t="s">
        <v>137</v>
      </c>
      <c r="D906" s="77">
        <v>1</v>
      </c>
      <c r="E906" s="78">
        <v>1</v>
      </c>
      <c r="F906" s="498"/>
      <c r="G906" s="80">
        <v>105.48</v>
      </c>
      <c r="H906" s="81"/>
      <c r="I906" s="82"/>
      <c r="J906" s="82"/>
    </row>
    <row r="907" spans="1:10">
      <c r="A907" s="496"/>
      <c r="B907" s="87" t="s">
        <v>138</v>
      </c>
      <c r="C907" s="76" t="s">
        <v>284</v>
      </c>
      <c r="D907" s="76">
        <v>0</v>
      </c>
      <c r="E907" s="78">
        <v>1</v>
      </c>
      <c r="F907" s="78">
        <v>1</v>
      </c>
      <c r="G907" s="76">
        <v>32.549999999999997</v>
      </c>
      <c r="H907" s="83"/>
      <c r="I907" s="83"/>
      <c r="J907" s="83"/>
    </row>
    <row r="908" spans="1:10">
      <c r="A908" s="496"/>
      <c r="B908" s="87" t="s">
        <v>139</v>
      </c>
      <c r="C908" s="76" t="s">
        <v>140</v>
      </c>
      <c r="D908" s="76">
        <v>0</v>
      </c>
      <c r="E908" s="78">
        <v>1</v>
      </c>
      <c r="F908" s="78">
        <v>1</v>
      </c>
      <c r="G908" s="76">
        <v>32.549999999999997</v>
      </c>
      <c r="H908" s="84"/>
      <c r="I908" s="84"/>
      <c r="J908" s="84"/>
    </row>
    <row r="909" spans="1:10">
      <c r="A909" s="496"/>
      <c r="B909" s="87" t="s">
        <v>141</v>
      </c>
      <c r="C909" s="76" t="s">
        <v>286</v>
      </c>
      <c r="D909" s="76">
        <v>0</v>
      </c>
      <c r="E909" s="78">
        <v>1</v>
      </c>
      <c r="F909" s="78">
        <v>1</v>
      </c>
      <c r="G909" s="76">
        <v>32.549999999999997</v>
      </c>
      <c r="H909" s="84"/>
      <c r="I909" s="84"/>
      <c r="J909" s="84"/>
    </row>
    <row r="910" spans="1:10">
      <c r="A910" s="496"/>
      <c r="B910" s="87" t="s">
        <v>142</v>
      </c>
      <c r="C910" s="76" t="s">
        <v>143</v>
      </c>
      <c r="D910" s="76">
        <v>1</v>
      </c>
      <c r="E910" s="78">
        <v>1</v>
      </c>
      <c r="F910" s="78">
        <v>1</v>
      </c>
      <c r="G910" s="76">
        <v>32.549999999999997</v>
      </c>
      <c r="H910" s="85"/>
      <c r="I910" s="85"/>
      <c r="J910" s="85"/>
    </row>
    <row r="911" spans="1:10">
      <c r="A911" s="496"/>
      <c r="B911" s="87" t="s">
        <v>144</v>
      </c>
      <c r="C911" s="76" t="s">
        <v>145</v>
      </c>
      <c r="D911" s="76">
        <v>0</v>
      </c>
      <c r="E911" s="78">
        <v>1</v>
      </c>
      <c r="F911" s="78">
        <v>1</v>
      </c>
      <c r="G911" s="76">
        <v>32.549999999999997</v>
      </c>
      <c r="H911" s="84"/>
      <c r="I911" s="84"/>
      <c r="J911" s="84"/>
    </row>
    <row r="912" spans="1:10">
      <c r="A912" s="496"/>
      <c r="B912" s="87" t="s">
        <v>146</v>
      </c>
      <c r="C912" s="76" t="s">
        <v>147</v>
      </c>
      <c r="D912" s="76">
        <v>1</v>
      </c>
      <c r="E912" s="78">
        <v>1</v>
      </c>
      <c r="F912" s="78">
        <v>1</v>
      </c>
      <c r="G912" s="76">
        <v>32.549999999999997</v>
      </c>
      <c r="H912" s="85"/>
      <c r="I912" s="85"/>
      <c r="J912" s="85"/>
    </row>
    <row r="913" spans="1:10">
      <c r="A913" s="496"/>
      <c r="B913" s="87" t="s">
        <v>148</v>
      </c>
      <c r="C913" s="76" t="s">
        <v>149</v>
      </c>
      <c r="D913" s="76">
        <v>0</v>
      </c>
      <c r="E913" s="78">
        <v>1</v>
      </c>
      <c r="F913" s="78">
        <v>1</v>
      </c>
      <c r="G913" s="76">
        <v>32.549999999999997</v>
      </c>
      <c r="H913" s="85"/>
      <c r="I913" s="85"/>
      <c r="J913" s="85"/>
    </row>
    <row r="914" spans="1:10">
      <c r="A914" s="496"/>
      <c r="B914" s="87" t="s">
        <v>150</v>
      </c>
      <c r="C914" s="76" t="s">
        <v>151</v>
      </c>
      <c r="D914" s="76">
        <v>1</v>
      </c>
      <c r="E914" s="78">
        <v>1</v>
      </c>
      <c r="F914" s="78">
        <v>1</v>
      </c>
      <c r="G914" s="76">
        <v>32.549999999999997</v>
      </c>
      <c r="H914" s="85"/>
      <c r="I914" s="85"/>
      <c r="J914" s="85"/>
    </row>
    <row r="915" spans="1:10">
      <c r="A915" s="496"/>
      <c r="B915" s="87" t="s">
        <v>152</v>
      </c>
      <c r="C915" s="76" t="s">
        <v>153</v>
      </c>
      <c r="D915" s="76">
        <v>0</v>
      </c>
      <c r="E915" s="78">
        <v>1</v>
      </c>
      <c r="F915" s="78">
        <v>1</v>
      </c>
      <c r="G915" s="76">
        <v>32.549999999999997</v>
      </c>
      <c r="H915" s="84"/>
      <c r="I915" s="84"/>
      <c r="J915" s="84"/>
    </row>
    <row r="916" spans="1:10">
      <c r="A916" s="496"/>
      <c r="B916" s="87" t="s">
        <v>154</v>
      </c>
      <c r="C916" s="76" t="s">
        <v>155</v>
      </c>
      <c r="D916" s="76">
        <v>0</v>
      </c>
      <c r="E916" s="78">
        <v>1</v>
      </c>
      <c r="F916" s="78">
        <v>1</v>
      </c>
      <c r="G916" s="76">
        <v>32.549999999999997</v>
      </c>
      <c r="H916" s="84"/>
      <c r="I916" s="84"/>
      <c r="J916" s="84"/>
    </row>
    <row r="917" spans="1:10">
      <c r="A917" s="496"/>
      <c r="B917" s="87" t="s">
        <v>156</v>
      </c>
      <c r="C917" s="76" t="s">
        <v>157</v>
      </c>
      <c r="D917" s="76">
        <v>0</v>
      </c>
      <c r="E917" s="78">
        <v>1</v>
      </c>
      <c r="F917" s="78">
        <v>1</v>
      </c>
      <c r="G917" s="76">
        <v>32.549999999999997</v>
      </c>
      <c r="H917" s="84"/>
      <c r="I917" s="84"/>
      <c r="J917" s="84"/>
    </row>
    <row r="918" spans="1:10">
      <c r="A918" s="496"/>
      <c r="B918" s="87" t="s">
        <v>158</v>
      </c>
      <c r="C918" s="76" t="s">
        <v>159</v>
      </c>
      <c r="D918" s="76">
        <v>0</v>
      </c>
      <c r="E918" s="78">
        <v>1</v>
      </c>
      <c r="F918" s="78">
        <v>1</v>
      </c>
      <c r="G918" s="76">
        <v>32.549999999999997</v>
      </c>
      <c r="H918" s="84"/>
      <c r="I918" s="84"/>
      <c r="J918" s="84"/>
    </row>
    <row r="919" spans="1:10">
      <c r="A919" s="496"/>
      <c r="B919" s="87" t="s">
        <v>160</v>
      </c>
      <c r="C919" s="76" t="s">
        <v>161</v>
      </c>
      <c r="D919" s="76">
        <v>0</v>
      </c>
      <c r="E919" s="78">
        <v>1</v>
      </c>
      <c r="F919" s="78">
        <v>1</v>
      </c>
      <c r="G919" s="76">
        <v>32.549999999999997</v>
      </c>
      <c r="H919" s="84"/>
      <c r="I919" s="84"/>
      <c r="J919" s="84"/>
    </row>
    <row r="920" spans="1:10">
      <c r="A920" s="496"/>
      <c r="B920" s="87" t="s">
        <v>162</v>
      </c>
      <c r="C920" s="76" t="s">
        <v>163</v>
      </c>
      <c r="D920" s="76">
        <v>0</v>
      </c>
      <c r="E920" s="78">
        <v>1</v>
      </c>
      <c r="F920" s="78">
        <v>1</v>
      </c>
      <c r="G920" s="76">
        <v>32.549999999999997</v>
      </c>
      <c r="H920" s="84"/>
      <c r="I920" s="84"/>
      <c r="J920" s="84"/>
    </row>
    <row r="921" spans="1:10">
      <c r="A921" s="496"/>
      <c r="B921" s="87" t="s">
        <v>164</v>
      </c>
      <c r="C921" s="76" t="s">
        <v>287</v>
      </c>
      <c r="D921" s="76">
        <v>0</v>
      </c>
      <c r="E921" s="78">
        <v>1</v>
      </c>
      <c r="F921" s="78">
        <v>1</v>
      </c>
      <c r="G921" s="76">
        <v>24.4</v>
      </c>
      <c r="H921" s="84"/>
      <c r="I921" s="84"/>
      <c r="J921" s="84"/>
    </row>
    <row r="922" spans="1:10">
      <c r="A922" s="496"/>
      <c r="B922" s="87" t="s">
        <v>165</v>
      </c>
      <c r="C922" s="76" t="s">
        <v>166</v>
      </c>
      <c r="D922" s="76">
        <v>0</v>
      </c>
      <c r="E922" s="78">
        <v>1</v>
      </c>
      <c r="F922" s="78">
        <v>1</v>
      </c>
      <c r="G922" s="76">
        <v>24.4</v>
      </c>
      <c r="H922" s="84"/>
      <c r="I922" s="84"/>
      <c r="J922" s="84"/>
    </row>
    <row r="923" spans="1:10">
      <c r="A923" s="496" t="s">
        <v>288</v>
      </c>
      <c r="B923" s="87" t="s">
        <v>167</v>
      </c>
      <c r="C923" s="76" t="s">
        <v>289</v>
      </c>
      <c r="D923" s="77">
        <v>1</v>
      </c>
      <c r="E923" s="78">
        <v>1</v>
      </c>
      <c r="F923" s="497" t="s">
        <v>276</v>
      </c>
      <c r="G923" s="76">
        <v>105.48</v>
      </c>
      <c r="H923" s="81"/>
      <c r="I923" s="85"/>
      <c r="J923" s="85"/>
    </row>
    <row r="924" spans="1:10">
      <c r="A924" s="496"/>
      <c r="B924" s="87" t="s">
        <v>168</v>
      </c>
      <c r="C924" s="76" t="s">
        <v>169</v>
      </c>
      <c r="D924" s="77">
        <v>1</v>
      </c>
      <c r="E924" s="78">
        <v>1</v>
      </c>
      <c r="F924" s="498"/>
      <c r="G924" s="76">
        <v>105.48</v>
      </c>
      <c r="H924" s="81"/>
      <c r="I924" s="86"/>
      <c r="J924" s="86"/>
    </row>
    <row r="925" spans="1:10">
      <c r="A925" s="496"/>
      <c r="B925" s="87" t="s">
        <v>170</v>
      </c>
      <c r="C925" s="76" t="s">
        <v>171</v>
      </c>
      <c r="D925" s="77">
        <v>1</v>
      </c>
      <c r="E925" s="78">
        <v>1</v>
      </c>
      <c r="F925" s="498"/>
      <c r="G925" s="76">
        <v>105.48</v>
      </c>
      <c r="H925" s="81"/>
      <c r="I925" s="82"/>
      <c r="J925" s="82"/>
    </row>
    <row r="926" spans="1:10">
      <c r="A926" s="496"/>
      <c r="B926" s="87" t="s">
        <v>172</v>
      </c>
      <c r="C926" s="76" t="s">
        <v>173</v>
      </c>
      <c r="D926" s="77">
        <v>1</v>
      </c>
      <c r="E926" s="78">
        <v>1</v>
      </c>
      <c r="F926" s="498"/>
      <c r="G926" s="76">
        <v>105.48</v>
      </c>
      <c r="H926" s="81"/>
      <c r="I926" s="82"/>
      <c r="J926" s="82"/>
    </row>
    <row r="927" spans="1:10">
      <c r="A927" s="496"/>
      <c r="B927" s="87" t="s">
        <v>174</v>
      </c>
      <c r="C927" s="76" t="s">
        <v>290</v>
      </c>
      <c r="D927" s="77">
        <v>1</v>
      </c>
      <c r="E927" s="78">
        <v>1</v>
      </c>
      <c r="F927" s="498"/>
      <c r="G927" s="76">
        <v>65</v>
      </c>
      <c r="H927" s="94"/>
      <c r="I927" s="94"/>
      <c r="J927" s="94"/>
    </row>
    <row r="928" spans="1:10">
      <c r="A928" s="496"/>
      <c r="B928" s="87" t="s">
        <v>175</v>
      </c>
      <c r="C928" s="76" t="s">
        <v>176</v>
      </c>
      <c r="D928" s="77">
        <v>1</v>
      </c>
      <c r="E928" s="78">
        <v>1</v>
      </c>
      <c r="F928" s="499"/>
      <c r="G928" s="76">
        <v>65</v>
      </c>
      <c r="H928" s="94"/>
      <c r="I928" s="94"/>
      <c r="J928" s="94"/>
    </row>
    <row r="929" spans="1:10">
      <c r="A929" s="496"/>
      <c r="B929" s="87" t="s">
        <v>177</v>
      </c>
      <c r="C929" s="76" t="s">
        <v>291</v>
      </c>
      <c r="D929" s="77">
        <v>1</v>
      </c>
      <c r="E929" s="78">
        <v>1</v>
      </c>
      <c r="F929" s="497" t="s">
        <v>285</v>
      </c>
      <c r="G929" s="76">
        <v>16.3</v>
      </c>
      <c r="H929" s="94"/>
      <c r="I929" s="94"/>
      <c r="J929" s="94"/>
    </row>
    <row r="930" spans="1:10">
      <c r="A930" s="496"/>
      <c r="B930" s="87" t="s">
        <v>178</v>
      </c>
      <c r="C930" s="76" t="s">
        <v>179</v>
      </c>
      <c r="D930" s="77">
        <v>1</v>
      </c>
      <c r="E930" s="78">
        <v>1</v>
      </c>
      <c r="F930" s="498"/>
      <c r="G930" s="76">
        <v>16.3</v>
      </c>
      <c r="H930" s="94"/>
      <c r="I930" s="94"/>
      <c r="J930" s="94"/>
    </row>
    <row r="931" spans="1:10">
      <c r="A931" s="496"/>
      <c r="B931" s="87" t="s">
        <v>180</v>
      </c>
      <c r="C931" s="76" t="s">
        <v>181</v>
      </c>
      <c r="D931" s="77">
        <v>1</v>
      </c>
      <c r="E931" s="78">
        <v>1</v>
      </c>
      <c r="F931" s="498"/>
      <c r="G931" s="76">
        <v>16.3</v>
      </c>
      <c r="H931" s="94"/>
      <c r="I931" s="94"/>
      <c r="J931" s="94"/>
    </row>
    <row r="932" spans="1:10">
      <c r="A932" s="496"/>
      <c r="B932" s="87" t="s">
        <v>292</v>
      </c>
      <c r="C932" s="76" t="s">
        <v>182</v>
      </c>
      <c r="D932" s="77">
        <v>1</v>
      </c>
      <c r="E932" s="78">
        <v>1</v>
      </c>
      <c r="F932" s="499"/>
      <c r="G932" s="76">
        <v>35</v>
      </c>
      <c r="H932" s="94"/>
      <c r="I932" s="94"/>
      <c r="J932" s="94"/>
    </row>
    <row r="933" spans="1:10">
      <c r="A933" s="496" t="s">
        <v>278</v>
      </c>
      <c r="B933" s="87" t="s">
        <v>126</v>
      </c>
      <c r="C933" s="76" t="s">
        <v>281</v>
      </c>
      <c r="D933" s="77">
        <v>1</v>
      </c>
      <c r="E933" s="78">
        <v>1</v>
      </c>
      <c r="F933" s="91"/>
      <c r="G933" s="76">
        <v>70.319999999999993</v>
      </c>
      <c r="H933" s="94"/>
      <c r="I933" s="94"/>
      <c r="J933" s="94"/>
    </row>
    <row r="934" spans="1:10">
      <c r="A934" s="496"/>
      <c r="B934" s="87" t="s">
        <v>127</v>
      </c>
      <c r="C934" s="76" t="s">
        <v>128</v>
      </c>
      <c r="D934" s="77">
        <v>1</v>
      </c>
      <c r="E934" s="78">
        <v>1</v>
      </c>
      <c r="F934" s="91"/>
      <c r="G934" s="76">
        <v>70.319999999999993</v>
      </c>
      <c r="H934" s="94"/>
      <c r="I934" s="94"/>
      <c r="J934" s="94"/>
    </row>
    <row r="935" spans="1:10">
      <c r="A935" s="496"/>
      <c r="B935" s="87" t="s">
        <v>129</v>
      </c>
      <c r="C935" s="76" t="s">
        <v>130</v>
      </c>
      <c r="D935" s="77">
        <v>1</v>
      </c>
      <c r="E935" s="78">
        <v>1</v>
      </c>
      <c r="F935" s="91"/>
      <c r="G935" s="76">
        <v>70.319999999999993</v>
      </c>
      <c r="H935" s="94"/>
      <c r="I935" s="94"/>
      <c r="J935" s="94"/>
    </row>
    <row r="936" spans="1:10">
      <c r="H936" s="92" t="e">
        <f>AVERAGE(H895:H906,H912:H914,H923:H935)</f>
        <v>#DIV/0!</v>
      </c>
      <c r="I936" s="92" t="e">
        <f>AVERAGE(I895:I906,I912:I914,I923:I935)</f>
        <v>#DIV/0!</v>
      </c>
      <c r="J936" s="121" t="e">
        <f>AVERAGE(J895:J906,J912:J914,J923:J935,J910)</f>
        <v>#DIV/0!</v>
      </c>
    </row>
    <row r="937" spans="1:10">
      <c r="J937" s="116" t="s">
        <v>265</v>
      </c>
    </row>
    <row r="938" spans="1:10">
      <c r="A938" s="511" t="s">
        <v>293</v>
      </c>
      <c r="B938" s="511"/>
      <c r="C938" s="512" t="s">
        <v>187</v>
      </c>
      <c r="D938" s="513"/>
      <c r="E938" s="513" t="s">
        <v>188</v>
      </c>
      <c r="F938" s="513"/>
      <c r="G938" s="513" t="s">
        <v>189</v>
      </c>
      <c r="H938" s="513"/>
      <c r="I938" s="513" t="s">
        <v>190</v>
      </c>
      <c r="J938" s="513"/>
    </row>
    <row r="939" spans="1:10" ht="34.799999999999997">
      <c r="A939" s="511"/>
      <c r="B939" s="511"/>
      <c r="C939" s="103" t="s">
        <v>191</v>
      </c>
      <c r="D939" s="102" t="s">
        <v>192</v>
      </c>
      <c r="E939" s="102" t="s">
        <v>191</v>
      </c>
      <c r="F939" s="102" t="s">
        <v>192</v>
      </c>
      <c r="G939" s="102" t="s">
        <v>191</v>
      </c>
      <c r="H939" s="102" t="s">
        <v>192</v>
      </c>
      <c r="I939" s="102" t="s">
        <v>191</v>
      </c>
      <c r="J939" s="102" t="s">
        <v>192</v>
      </c>
    </row>
    <row r="940" spans="1:10">
      <c r="A940" s="500" t="s">
        <v>294</v>
      </c>
      <c r="B940" s="101" t="s">
        <v>295</v>
      </c>
      <c r="C940" s="94"/>
      <c r="D940" s="93"/>
      <c r="E940" s="94"/>
      <c r="F940" s="93"/>
      <c r="G940" s="94"/>
      <c r="H940" s="93"/>
      <c r="I940" s="94"/>
      <c r="J940" s="93"/>
    </row>
    <row r="941" spans="1:10">
      <c r="A941" s="501"/>
      <c r="B941" s="95" t="s">
        <v>193</v>
      </c>
      <c r="C941" s="94"/>
      <c r="D941" s="93"/>
      <c r="E941" s="94"/>
      <c r="F941" s="93"/>
      <c r="G941" s="94"/>
      <c r="H941" s="93"/>
      <c r="I941" s="94"/>
      <c r="J941" s="93"/>
    </row>
    <row r="942" spans="1:10">
      <c r="A942" s="501"/>
      <c r="B942" s="95" t="s">
        <v>194</v>
      </c>
      <c r="C942" s="94"/>
      <c r="D942" s="93"/>
      <c r="E942" s="94"/>
      <c r="F942" s="93"/>
      <c r="G942" s="94"/>
      <c r="H942" s="93"/>
      <c r="I942" s="94"/>
      <c r="J942" s="93"/>
    </row>
    <row r="943" spans="1:10">
      <c r="A943" s="501"/>
      <c r="B943" s="95" t="s">
        <v>195</v>
      </c>
      <c r="C943" s="94"/>
      <c r="D943" s="93"/>
      <c r="E943" s="94"/>
      <c r="F943" s="93"/>
      <c r="G943" s="94"/>
      <c r="H943" s="93"/>
      <c r="I943" s="94"/>
      <c r="J943" s="93"/>
    </row>
    <row r="944" spans="1:10">
      <c r="A944" s="501"/>
      <c r="B944" s="95" t="s">
        <v>196</v>
      </c>
      <c r="C944" s="94"/>
      <c r="D944" s="93"/>
      <c r="E944" s="94"/>
      <c r="F944" s="93"/>
      <c r="G944" s="94"/>
      <c r="H944" s="93"/>
      <c r="I944" s="94"/>
      <c r="J944" s="93"/>
    </row>
    <row r="945" spans="1:10">
      <c r="A945" s="501"/>
      <c r="B945" s="95" t="s">
        <v>197</v>
      </c>
      <c r="C945" s="94"/>
      <c r="D945" s="93"/>
      <c r="E945" s="94"/>
      <c r="F945" s="93"/>
      <c r="G945" s="94"/>
      <c r="H945" s="93"/>
      <c r="I945" s="94"/>
      <c r="J945" s="93"/>
    </row>
    <row r="946" spans="1:10">
      <c r="A946" s="501"/>
      <c r="B946" s="95" t="s">
        <v>198</v>
      </c>
      <c r="C946" s="94"/>
      <c r="D946" s="93"/>
      <c r="E946" s="94"/>
      <c r="F946" s="93"/>
      <c r="G946" s="94"/>
      <c r="H946" s="93"/>
      <c r="I946" s="94"/>
      <c r="J946" s="93"/>
    </row>
    <row r="947" spans="1:10">
      <c r="A947" s="501"/>
      <c r="B947" s="95" t="s">
        <v>199</v>
      </c>
      <c r="C947" s="94"/>
      <c r="D947" s="93"/>
      <c r="E947" s="94"/>
      <c r="F947" s="93"/>
      <c r="G947" s="94"/>
      <c r="H947" s="93"/>
      <c r="I947" s="94"/>
      <c r="J947" s="93"/>
    </row>
    <row r="948" spans="1:10">
      <c r="A948" s="501"/>
      <c r="B948" s="95" t="s">
        <v>200</v>
      </c>
      <c r="C948" s="94"/>
      <c r="D948" s="93"/>
      <c r="E948" s="94"/>
      <c r="F948" s="93"/>
      <c r="G948" s="94"/>
      <c r="H948" s="93"/>
      <c r="I948" s="99"/>
      <c r="J948" s="100"/>
    </row>
    <row r="949" spans="1:10">
      <c r="A949" s="501"/>
      <c r="B949" s="95" t="s">
        <v>201</v>
      </c>
      <c r="C949" s="94"/>
      <c r="D949" s="93"/>
      <c r="E949" s="99"/>
      <c r="F949" s="100"/>
      <c r="G949" s="94"/>
      <c r="H949" s="93"/>
      <c r="I949" s="99"/>
      <c r="J949" s="100"/>
    </row>
    <row r="950" spans="1:10">
      <c r="A950" s="501"/>
      <c r="B950" s="95" t="s">
        <v>202</v>
      </c>
      <c r="C950" s="94"/>
      <c r="D950" s="93"/>
      <c r="E950" s="99"/>
      <c r="F950" s="100"/>
      <c r="G950" s="94"/>
      <c r="H950" s="93"/>
      <c r="I950" s="99"/>
      <c r="J950" s="100"/>
    </row>
    <row r="951" spans="1:10">
      <c r="A951" s="501"/>
      <c r="B951" s="95" t="s">
        <v>203</v>
      </c>
      <c r="C951" s="94"/>
      <c r="D951" s="93"/>
      <c r="E951" s="99"/>
      <c r="F951" s="100"/>
      <c r="G951" s="94"/>
      <c r="H951" s="93"/>
      <c r="I951" s="99"/>
      <c r="J951" s="100"/>
    </row>
    <row r="952" spans="1:10">
      <c r="A952" s="501"/>
      <c r="B952" s="95" t="s">
        <v>204</v>
      </c>
      <c r="C952" s="94"/>
      <c r="D952" s="93"/>
      <c r="E952" s="99"/>
      <c r="F952" s="100"/>
      <c r="G952" s="94"/>
      <c r="H952" s="93"/>
      <c r="I952" s="99"/>
      <c r="J952" s="100"/>
    </row>
    <row r="953" spans="1:10">
      <c r="A953" s="501"/>
      <c r="B953" s="95" t="s">
        <v>205</v>
      </c>
      <c r="C953" s="99"/>
      <c r="D953" s="100"/>
      <c r="E953" s="99"/>
      <c r="F953" s="100"/>
      <c r="G953" s="94"/>
      <c r="H953" s="93"/>
      <c r="I953" s="99"/>
      <c r="J953" s="100"/>
    </row>
    <row r="954" spans="1:10">
      <c r="A954" s="501"/>
      <c r="B954" s="95" t="s">
        <v>206</v>
      </c>
      <c r="C954" s="99"/>
      <c r="D954" s="100"/>
      <c r="E954" s="99"/>
      <c r="F954" s="100"/>
      <c r="G954" s="94"/>
      <c r="H954" s="93"/>
      <c r="I954" s="99"/>
      <c r="J954" s="100"/>
    </row>
    <row r="955" spans="1:10">
      <c r="A955" s="501"/>
      <c r="B955" s="95" t="s">
        <v>207</v>
      </c>
      <c r="C955" s="99"/>
      <c r="D955" s="100"/>
      <c r="E955" s="99"/>
      <c r="F955" s="100"/>
      <c r="G955" s="94"/>
      <c r="H955" s="93"/>
      <c r="I955" s="99"/>
      <c r="J955" s="100"/>
    </row>
    <row r="956" spans="1:10">
      <c r="A956" s="501"/>
      <c r="B956" s="96" t="s">
        <v>296</v>
      </c>
      <c r="C956" s="94"/>
      <c r="D956" s="93"/>
      <c r="E956" s="94"/>
      <c r="F956" s="93"/>
      <c r="G956" s="94"/>
      <c r="H956" s="93"/>
      <c r="I956" s="94"/>
      <c r="J956" s="93"/>
    </row>
    <row r="957" spans="1:10">
      <c r="A957" s="501"/>
      <c r="B957" s="96" t="s">
        <v>208</v>
      </c>
      <c r="C957" s="94"/>
      <c r="D957" s="93"/>
      <c r="E957" s="94"/>
      <c r="F957" s="93"/>
      <c r="G957" s="94"/>
      <c r="H957" s="93"/>
      <c r="I957" s="94"/>
      <c r="J957" s="93"/>
    </row>
    <row r="958" spans="1:10">
      <c r="A958" s="501"/>
      <c r="B958" s="96" t="s">
        <v>209</v>
      </c>
      <c r="C958" s="94"/>
      <c r="D958" s="93"/>
      <c r="E958" s="94"/>
      <c r="F958" s="93"/>
      <c r="G958" s="94"/>
      <c r="H958" s="93"/>
      <c r="I958" s="94"/>
      <c r="J958" s="93"/>
    </row>
    <row r="959" spans="1:10">
      <c r="A959" s="501"/>
      <c r="B959" s="96" t="s">
        <v>210</v>
      </c>
      <c r="C959" s="94"/>
      <c r="D959" s="93"/>
      <c r="E959" s="94"/>
      <c r="F959" s="93"/>
      <c r="G959" s="94"/>
      <c r="H959" s="93"/>
      <c r="I959" s="94"/>
      <c r="J959" s="93"/>
    </row>
    <row r="960" spans="1:10">
      <c r="A960" s="501"/>
      <c r="B960" s="96" t="s">
        <v>211</v>
      </c>
      <c r="C960" s="94"/>
      <c r="D960" s="93"/>
      <c r="E960" s="94"/>
      <c r="F960" s="93"/>
      <c r="G960" s="94"/>
      <c r="H960" s="93"/>
      <c r="I960" s="94"/>
      <c r="J960" s="93"/>
    </row>
    <row r="961" spans="1:10">
      <c r="A961" s="501"/>
      <c r="B961" s="96" t="s">
        <v>212</v>
      </c>
      <c r="C961" s="94"/>
      <c r="D961" s="93"/>
      <c r="E961" s="94"/>
      <c r="F961" s="93"/>
      <c r="G961" s="94"/>
      <c r="H961" s="93"/>
      <c r="I961" s="94"/>
      <c r="J961" s="93"/>
    </row>
    <row r="962" spans="1:10">
      <c r="A962" s="501"/>
      <c r="B962" s="96" t="s">
        <v>213</v>
      </c>
      <c r="C962" s="94"/>
      <c r="D962" s="93"/>
      <c r="E962" s="94"/>
      <c r="F962" s="93"/>
      <c r="G962" s="94"/>
      <c r="H962" s="93"/>
      <c r="I962" s="94"/>
      <c r="J962" s="93"/>
    </row>
    <row r="963" spans="1:10">
      <c r="A963" s="501"/>
      <c r="B963" s="96" t="s">
        <v>214</v>
      </c>
      <c r="C963" s="94"/>
      <c r="D963" s="93"/>
      <c r="E963" s="94"/>
      <c r="F963" s="93"/>
      <c r="G963" s="94"/>
      <c r="H963" s="93"/>
      <c r="I963" s="94"/>
      <c r="J963" s="93"/>
    </row>
    <row r="964" spans="1:10">
      <c r="A964" s="501"/>
      <c r="B964" s="96" t="s">
        <v>215</v>
      </c>
      <c r="C964" s="94"/>
      <c r="D964" s="93"/>
      <c r="E964" s="94"/>
      <c r="F964" s="93"/>
      <c r="G964" s="94"/>
      <c r="H964" s="93"/>
      <c r="I964" s="94"/>
      <c r="J964" s="93"/>
    </row>
    <row r="965" spans="1:10">
      <c r="A965" s="501"/>
      <c r="B965" s="96" t="s">
        <v>216</v>
      </c>
      <c r="C965" s="94"/>
      <c r="D965" s="93"/>
      <c r="E965" s="94"/>
      <c r="F965" s="93"/>
      <c r="G965" s="94"/>
      <c r="H965" s="93"/>
      <c r="I965" s="94"/>
      <c r="J965" s="93"/>
    </row>
    <row r="966" spans="1:10">
      <c r="A966" s="501"/>
      <c r="B966" s="96" t="s">
        <v>217</v>
      </c>
      <c r="C966" s="94"/>
      <c r="D966" s="93"/>
      <c r="E966" s="94"/>
      <c r="F966" s="93"/>
      <c r="G966" s="94"/>
      <c r="H966" s="93"/>
      <c r="I966" s="99"/>
      <c r="J966" s="100"/>
    </row>
    <row r="967" spans="1:10">
      <c r="A967" s="501"/>
      <c r="B967" s="96" t="s">
        <v>218</v>
      </c>
      <c r="C967" s="94"/>
      <c r="D967" s="93"/>
      <c r="E967" s="94"/>
      <c r="F967" s="93"/>
      <c r="G967" s="94"/>
      <c r="H967" s="93"/>
      <c r="I967" s="99"/>
      <c r="J967" s="100"/>
    </row>
    <row r="968" spans="1:10">
      <c r="A968" s="501"/>
      <c r="B968" s="96" t="s">
        <v>219</v>
      </c>
      <c r="C968" s="94"/>
      <c r="D968" s="93"/>
      <c r="E968" s="94"/>
      <c r="F968" s="93"/>
      <c r="G968" s="94"/>
      <c r="H968" s="93"/>
      <c r="I968" s="99"/>
      <c r="J968" s="100"/>
    </row>
    <row r="969" spans="1:10">
      <c r="A969" s="501"/>
      <c r="B969" s="96" t="s">
        <v>220</v>
      </c>
      <c r="C969" s="94"/>
      <c r="D969" s="93"/>
      <c r="E969" s="94"/>
      <c r="F969" s="93"/>
      <c r="G969" s="99"/>
      <c r="H969" s="100"/>
      <c r="I969" s="99"/>
      <c r="J969" s="100"/>
    </row>
    <row r="970" spans="1:10">
      <c r="A970" s="501"/>
      <c r="B970" s="96" t="s">
        <v>297</v>
      </c>
      <c r="C970" s="94"/>
      <c r="D970" s="93"/>
      <c r="E970" s="99"/>
      <c r="F970" s="100"/>
      <c r="G970" s="99"/>
      <c r="H970" s="100"/>
      <c r="I970" s="99"/>
      <c r="J970" s="100"/>
    </row>
    <row r="971" spans="1:10">
      <c r="A971" s="501"/>
      <c r="B971" s="96" t="s">
        <v>221</v>
      </c>
      <c r="C971" s="94"/>
      <c r="D971" s="93"/>
      <c r="E971" s="99"/>
      <c r="F971" s="100"/>
      <c r="G971" s="99"/>
      <c r="H971" s="100"/>
      <c r="I971" s="99"/>
      <c r="J971" s="100"/>
    </row>
    <row r="972" spans="1:10">
      <c r="A972" s="501"/>
      <c r="B972" s="97" t="s">
        <v>298</v>
      </c>
      <c r="C972" s="94"/>
      <c r="D972" s="93"/>
      <c r="E972" s="94"/>
      <c r="F972" s="93"/>
      <c r="G972" s="94"/>
      <c r="H972" s="93"/>
      <c r="I972" s="94"/>
      <c r="J972" s="93"/>
    </row>
    <row r="973" spans="1:10">
      <c r="A973" s="501"/>
      <c r="B973" s="97" t="s">
        <v>222</v>
      </c>
      <c r="C973" s="94"/>
      <c r="D973" s="93"/>
      <c r="E973" s="94"/>
      <c r="F973" s="93"/>
      <c r="G973" s="94"/>
      <c r="H973" s="93"/>
      <c r="I973" s="94"/>
      <c r="J973" s="93"/>
    </row>
    <row r="974" spans="1:10">
      <c r="A974" s="501"/>
      <c r="B974" s="97" t="s">
        <v>223</v>
      </c>
      <c r="C974" s="94"/>
      <c r="D974" s="93"/>
      <c r="E974" s="94"/>
      <c r="F974" s="93"/>
      <c r="G974" s="94"/>
      <c r="H974" s="93"/>
      <c r="I974" s="94"/>
      <c r="J974" s="93"/>
    </row>
    <row r="975" spans="1:10">
      <c r="A975" s="501"/>
      <c r="B975" s="97" t="s">
        <v>224</v>
      </c>
      <c r="C975" s="94"/>
      <c r="D975" s="93"/>
      <c r="E975" s="94"/>
      <c r="F975" s="93"/>
      <c r="G975" s="94"/>
      <c r="H975" s="93"/>
      <c r="I975" s="94"/>
      <c r="J975" s="93"/>
    </row>
    <row r="976" spans="1:10">
      <c r="A976" s="501"/>
      <c r="B976" s="97" t="s">
        <v>225</v>
      </c>
      <c r="C976" s="94"/>
      <c r="D976" s="93"/>
      <c r="E976" s="94"/>
      <c r="F976" s="93"/>
      <c r="G976" s="94"/>
      <c r="H976" s="93"/>
      <c r="I976" s="94"/>
      <c r="J976" s="93"/>
    </row>
    <row r="977" spans="1:10">
      <c r="A977" s="501"/>
      <c r="B977" s="97" t="s">
        <v>226</v>
      </c>
      <c r="C977" s="94"/>
      <c r="D977" s="93"/>
      <c r="E977" s="94"/>
      <c r="F977" s="93"/>
      <c r="G977" s="94"/>
      <c r="H977" s="93"/>
      <c r="I977" s="94"/>
      <c r="J977" s="93"/>
    </row>
    <row r="978" spans="1:10">
      <c r="A978" s="501"/>
      <c r="B978" s="97" t="s">
        <v>227</v>
      </c>
      <c r="C978" s="94"/>
      <c r="D978" s="93"/>
      <c r="E978" s="94"/>
      <c r="F978" s="93"/>
      <c r="G978" s="94"/>
      <c r="H978" s="93"/>
      <c r="I978" s="94"/>
      <c r="J978" s="93"/>
    </row>
    <row r="979" spans="1:10">
      <c r="A979" s="501"/>
      <c r="B979" s="97" t="s">
        <v>228</v>
      </c>
      <c r="C979" s="94"/>
      <c r="D979" s="93"/>
      <c r="E979" s="94"/>
      <c r="F979" s="93"/>
      <c r="G979" s="94"/>
      <c r="H979" s="93"/>
      <c r="I979" s="94"/>
      <c r="J979" s="93"/>
    </row>
    <row r="980" spans="1:10">
      <c r="A980" s="501"/>
      <c r="B980" s="97" t="s">
        <v>229</v>
      </c>
      <c r="C980" s="94"/>
      <c r="D980" s="93"/>
      <c r="E980" s="94"/>
      <c r="F980" s="93"/>
      <c r="G980" s="99"/>
      <c r="H980" s="100"/>
      <c r="I980" s="94"/>
      <c r="J980" s="93"/>
    </row>
    <row r="981" spans="1:10">
      <c r="A981" s="501"/>
      <c r="B981" s="97" t="s">
        <v>230</v>
      </c>
      <c r="C981" s="94"/>
      <c r="D981" s="93"/>
      <c r="E981" s="94"/>
      <c r="F981" s="93"/>
      <c r="G981" s="99"/>
      <c r="H981" s="100"/>
      <c r="I981" s="99"/>
      <c r="J981" s="100"/>
    </row>
    <row r="982" spans="1:10">
      <c r="A982" s="501"/>
      <c r="B982" s="97" t="s">
        <v>231</v>
      </c>
      <c r="C982" s="94"/>
      <c r="D982" s="93"/>
      <c r="E982" s="94"/>
      <c r="F982" s="93"/>
      <c r="G982" s="99"/>
      <c r="H982" s="100"/>
      <c r="I982" s="99"/>
      <c r="J982" s="100"/>
    </row>
    <row r="983" spans="1:10">
      <c r="A983" s="501"/>
      <c r="B983" s="97" t="s">
        <v>232</v>
      </c>
      <c r="C983" s="94"/>
      <c r="D983" s="93"/>
      <c r="E983" s="94"/>
      <c r="F983" s="93"/>
      <c r="G983" s="99"/>
      <c r="H983" s="100"/>
      <c r="I983" s="99"/>
      <c r="J983" s="100"/>
    </row>
    <row r="984" spans="1:10">
      <c r="A984" s="501"/>
      <c r="B984" s="97" t="s">
        <v>233</v>
      </c>
      <c r="C984" s="94"/>
      <c r="D984" s="93"/>
      <c r="E984" s="94"/>
      <c r="F984" s="93"/>
      <c r="G984" s="99"/>
      <c r="H984" s="100"/>
      <c r="I984" s="99"/>
      <c r="J984" s="100"/>
    </row>
    <row r="985" spans="1:10">
      <c r="A985" s="501"/>
      <c r="B985" s="97" t="s">
        <v>234</v>
      </c>
      <c r="C985" s="94"/>
      <c r="D985" s="93"/>
      <c r="E985" s="94"/>
      <c r="F985" s="93"/>
      <c r="G985" s="99"/>
      <c r="H985" s="100"/>
      <c r="I985" s="99"/>
      <c r="J985" s="100"/>
    </row>
    <row r="986" spans="1:10">
      <c r="A986" s="501"/>
      <c r="B986" s="97" t="s">
        <v>235</v>
      </c>
      <c r="C986" s="94"/>
      <c r="D986" s="93"/>
      <c r="E986" s="99"/>
      <c r="F986" s="100"/>
      <c r="G986" s="99"/>
      <c r="H986" s="100"/>
      <c r="I986" s="99"/>
      <c r="J986" s="100"/>
    </row>
    <row r="987" spans="1:10">
      <c r="A987" s="501"/>
      <c r="B987" s="97" t="s">
        <v>236</v>
      </c>
      <c r="C987" s="94"/>
      <c r="D987" s="93"/>
      <c r="E987" s="99"/>
      <c r="F987" s="100"/>
      <c r="G987" s="99"/>
      <c r="H987" s="100"/>
      <c r="I987" s="99"/>
      <c r="J987" s="100"/>
    </row>
    <row r="988" spans="1:10">
      <c r="A988" s="501"/>
      <c r="B988" s="98" t="s">
        <v>299</v>
      </c>
      <c r="C988" s="94"/>
      <c r="D988" s="93"/>
      <c r="E988" s="94"/>
      <c r="F988" s="93"/>
      <c r="G988" s="94"/>
      <c r="H988" s="93"/>
      <c r="I988" s="94"/>
      <c r="J988" s="93"/>
    </row>
    <row r="989" spans="1:10">
      <c r="A989" s="501"/>
      <c r="B989" s="98" t="s">
        <v>237</v>
      </c>
      <c r="C989" s="94"/>
      <c r="D989" s="93"/>
      <c r="E989" s="94"/>
      <c r="F989" s="93"/>
      <c r="G989" s="94"/>
      <c r="H989" s="93"/>
      <c r="I989" s="94"/>
      <c r="J989" s="93"/>
    </row>
    <row r="990" spans="1:10">
      <c r="A990" s="501"/>
      <c r="B990" s="98" t="s">
        <v>238</v>
      </c>
      <c r="C990" s="94"/>
      <c r="D990" s="93"/>
      <c r="E990" s="94"/>
      <c r="F990" s="93"/>
      <c r="G990" s="94"/>
      <c r="H990" s="93"/>
      <c r="I990" s="94"/>
      <c r="J990" s="93"/>
    </row>
    <row r="991" spans="1:10">
      <c r="A991" s="501"/>
      <c r="B991" s="98" t="s">
        <v>239</v>
      </c>
      <c r="C991" s="94"/>
      <c r="D991" s="93"/>
      <c r="E991" s="94"/>
      <c r="F991" s="93"/>
      <c r="G991" s="94"/>
      <c r="H991" s="93"/>
      <c r="I991" s="94"/>
      <c r="J991" s="93"/>
    </row>
    <row r="992" spans="1:10">
      <c r="A992" s="501"/>
      <c r="B992" s="98" t="s">
        <v>240</v>
      </c>
      <c r="C992" s="94"/>
      <c r="D992" s="93"/>
      <c r="E992" s="94"/>
      <c r="F992" s="93"/>
      <c r="G992" s="94"/>
      <c r="H992" s="93"/>
      <c r="I992" s="94"/>
      <c r="J992" s="93"/>
    </row>
    <row r="993" spans="1:10">
      <c r="A993" s="501"/>
      <c r="B993" s="98" t="s">
        <v>241</v>
      </c>
      <c r="C993" s="94"/>
      <c r="D993" s="93"/>
      <c r="E993" s="94"/>
      <c r="F993" s="93"/>
      <c r="G993" s="94"/>
      <c r="H993" s="93"/>
      <c r="I993" s="94"/>
      <c r="J993" s="93"/>
    </row>
    <row r="994" spans="1:10">
      <c r="A994" s="501"/>
      <c r="B994" s="98" t="s">
        <v>242</v>
      </c>
      <c r="C994" s="94"/>
      <c r="D994" s="93"/>
      <c r="E994" s="94"/>
      <c r="F994" s="93"/>
      <c r="G994" s="94"/>
      <c r="H994" s="93"/>
      <c r="I994" s="94"/>
      <c r="J994" s="93"/>
    </row>
    <row r="995" spans="1:10">
      <c r="A995" s="501"/>
      <c r="B995" s="98" t="s">
        <v>243</v>
      </c>
      <c r="C995" s="94"/>
      <c r="D995" s="93"/>
      <c r="E995" s="94"/>
      <c r="F995" s="93"/>
      <c r="G995" s="94"/>
      <c r="H995" s="93"/>
      <c r="I995" s="94"/>
      <c r="J995" s="93"/>
    </row>
    <row r="996" spans="1:10">
      <c r="A996" s="501"/>
      <c r="B996" s="98" t="s">
        <v>244</v>
      </c>
      <c r="C996" s="94"/>
      <c r="D996" s="93"/>
      <c r="E996" s="94"/>
      <c r="F996" s="93"/>
      <c r="G996" s="94"/>
      <c r="H996" s="93"/>
      <c r="I996" s="99"/>
      <c r="J996" s="100"/>
    </row>
    <row r="997" spans="1:10">
      <c r="A997" s="501"/>
      <c r="B997" s="98" t="s">
        <v>245</v>
      </c>
      <c r="C997" s="94"/>
      <c r="D997" s="93"/>
      <c r="E997" s="94"/>
      <c r="F997" s="93"/>
      <c r="G997" s="94"/>
      <c r="H997" s="93"/>
      <c r="I997" s="99"/>
      <c r="J997" s="100"/>
    </row>
    <row r="998" spans="1:10">
      <c r="A998" s="501"/>
      <c r="B998" s="98" t="s">
        <v>246</v>
      </c>
      <c r="C998" s="99"/>
      <c r="D998" s="100"/>
      <c r="E998" s="94"/>
      <c r="F998" s="93"/>
      <c r="G998" s="94"/>
      <c r="H998" s="93"/>
      <c r="I998" s="99"/>
      <c r="J998" s="100"/>
    </row>
    <row r="999" spans="1:10">
      <c r="A999" s="501"/>
      <c r="B999" s="98" t="s">
        <v>247</v>
      </c>
      <c r="C999" s="99"/>
      <c r="D999" s="100"/>
      <c r="E999" s="94"/>
      <c r="F999" s="93"/>
      <c r="G999" s="94"/>
      <c r="H999" s="93"/>
      <c r="I999" s="99"/>
      <c r="J999" s="100"/>
    </row>
    <row r="1000" spans="1:10">
      <c r="A1000" s="501"/>
      <c r="B1000" s="98" t="s">
        <v>248</v>
      </c>
      <c r="C1000" s="99"/>
      <c r="D1000" s="100"/>
      <c r="E1000" s="99"/>
      <c r="F1000" s="100"/>
      <c r="G1000" s="94"/>
      <c r="H1000" s="93"/>
      <c r="I1000" s="99"/>
      <c r="J1000" s="100"/>
    </row>
    <row r="1001" spans="1:10">
      <c r="A1001" s="501"/>
      <c r="B1001" s="95" t="s">
        <v>300</v>
      </c>
      <c r="C1001" s="99"/>
      <c r="D1001" s="100"/>
      <c r="E1001" s="99"/>
      <c r="F1001" s="100"/>
      <c r="G1001" s="99"/>
      <c r="H1001" s="100"/>
      <c r="I1001" s="94"/>
      <c r="J1001" s="93"/>
    </row>
    <row r="1002" spans="1:10">
      <c r="A1002" s="501"/>
      <c r="B1002" s="95" t="s">
        <v>249</v>
      </c>
      <c r="C1002" s="99"/>
      <c r="D1002" s="100"/>
      <c r="E1002" s="99"/>
      <c r="F1002" s="100"/>
      <c r="G1002" s="99"/>
      <c r="H1002" s="100"/>
      <c r="I1002" s="94"/>
      <c r="J1002" s="93"/>
    </row>
    <row r="1003" spans="1:10">
      <c r="A1003" s="501"/>
      <c r="B1003" s="95" t="s">
        <v>250</v>
      </c>
      <c r="C1003" s="99"/>
      <c r="D1003" s="100"/>
      <c r="E1003" s="99"/>
      <c r="F1003" s="100"/>
      <c r="G1003" s="99"/>
      <c r="H1003" s="100"/>
      <c r="I1003" s="94"/>
      <c r="J1003" s="93"/>
    </row>
    <row r="1004" spans="1:10">
      <c r="A1004" s="501"/>
      <c r="B1004" s="95" t="s">
        <v>251</v>
      </c>
      <c r="C1004" s="99"/>
      <c r="D1004" s="100"/>
      <c r="E1004" s="99"/>
      <c r="F1004" s="100"/>
      <c r="G1004" s="99"/>
      <c r="H1004" s="100"/>
      <c r="I1004" s="94"/>
      <c r="J1004" s="93"/>
    </row>
    <row r="1005" spans="1:10">
      <c r="A1005" s="501"/>
      <c r="B1005" s="95" t="s">
        <v>252</v>
      </c>
      <c r="C1005" s="99"/>
      <c r="D1005" s="100"/>
      <c r="E1005" s="99"/>
      <c r="F1005" s="100"/>
      <c r="G1005" s="99"/>
      <c r="H1005" s="100"/>
      <c r="I1005" s="94"/>
      <c r="J1005" s="93"/>
    </row>
    <row r="1006" spans="1:10">
      <c r="A1006" s="501"/>
      <c r="B1006" s="95" t="s">
        <v>253</v>
      </c>
      <c r="C1006" s="99"/>
      <c r="D1006" s="100"/>
      <c r="E1006" s="99"/>
      <c r="F1006" s="100"/>
      <c r="G1006" s="99"/>
      <c r="H1006" s="100"/>
      <c r="I1006" s="94"/>
      <c r="J1006" s="93"/>
    </row>
    <row r="1007" spans="1:10">
      <c r="A1007" s="501"/>
      <c r="B1007" s="95" t="s">
        <v>254</v>
      </c>
      <c r="C1007" s="99"/>
      <c r="D1007" s="100"/>
      <c r="E1007" s="99"/>
      <c r="F1007" s="100"/>
      <c r="G1007" s="99"/>
      <c r="H1007" s="100"/>
      <c r="I1007" s="94"/>
      <c r="J1007" s="93"/>
    </row>
    <row r="1008" spans="1:10">
      <c r="A1008" s="501"/>
      <c r="B1008" s="95" t="s">
        <v>255</v>
      </c>
      <c r="C1008" s="99"/>
      <c r="D1008" s="100"/>
      <c r="E1008" s="99"/>
      <c r="F1008" s="100"/>
      <c r="G1008" s="99"/>
      <c r="H1008" s="100"/>
      <c r="I1008" s="94"/>
      <c r="J1008" s="93"/>
    </row>
    <row r="1009" spans="1:11">
      <c r="A1009" s="501"/>
      <c r="B1009" s="95" t="s">
        <v>256</v>
      </c>
      <c r="C1009" s="99"/>
      <c r="D1009" s="100"/>
      <c r="E1009" s="99"/>
      <c r="F1009" s="100"/>
      <c r="G1009" s="99"/>
      <c r="H1009" s="100"/>
      <c r="I1009" s="94"/>
      <c r="J1009" s="93"/>
    </row>
    <row r="1010" spans="1:11">
      <c r="A1010" s="501"/>
      <c r="B1010" s="95" t="s">
        <v>257</v>
      </c>
      <c r="C1010" s="99"/>
      <c r="D1010" s="100"/>
      <c r="E1010" s="99"/>
      <c r="F1010" s="100"/>
      <c r="G1010" s="99"/>
      <c r="H1010" s="100"/>
      <c r="I1010" s="94"/>
      <c r="J1010" s="93"/>
    </row>
    <row r="1011" spans="1:11">
      <c r="A1011" s="501"/>
      <c r="B1011" s="95" t="s">
        <v>258</v>
      </c>
      <c r="C1011" s="99"/>
      <c r="D1011" s="100"/>
      <c r="E1011" s="99"/>
      <c r="F1011" s="100"/>
      <c r="G1011" s="99"/>
      <c r="H1011" s="100"/>
      <c r="I1011" s="94"/>
      <c r="J1011" s="93"/>
    </row>
    <row r="1012" spans="1:11">
      <c r="A1012" s="502"/>
      <c r="B1012" s="95" t="s">
        <v>259</v>
      </c>
      <c r="C1012" s="99"/>
      <c r="D1012" s="100"/>
      <c r="E1012" s="99"/>
      <c r="F1012" s="100"/>
      <c r="G1012" s="99"/>
      <c r="H1012" s="100"/>
      <c r="I1012" s="94"/>
      <c r="J1012" s="93"/>
    </row>
    <row r="1013" spans="1:11">
      <c r="A1013" s="116" t="s">
        <v>266</v>
      </c>
      <c r="B1013" s="117" t="e">
        <f>SUM(C1013,E1013,G1013,I1013)</f>
        <v>#DIV/0!</v>
      </c>
      <c r="C1013" s="104" t="e">
        <f>AVERAGE(C940:C952,C956:C997)</f>
        <v>#DIV/0!</v>
      </c>
      <c r="D1013" s="104" t="e">
        <f>AVERAGE(D940:D952,D956:D997)</f>
        <v>#DIV/0!</v>
      </c>
      <c r="E1013" s="104" t="e">
        <f>AVERAGE(E940:E948,E956:E969,E972:E985,E988:E999)</f>
        <v>#DIV/0!</v>
      </c>
      <c r="F1013" s="104" t="e">
        <f>AVERAGE(F940:F948,F956:F969,F972:F985,F988:F999)</f>
        <v>#DIV/0!</v>
      </c>
      <c r="G1013" s="104" t="e">
        <f>AVERAGE(G940:G968,G972:G979,G988:G1000)</f>
        <v>#DIV/0!</v>
      </c>
      <c r="H1013" s="104" t="e">
        <f>AVERAGE(H940:H968,H972:H979,H988:H1000)</f>
        <v>#DIV/0!</v>
      </c>
      <c r="I1013" s="104" t="e">
        <f>AVERAGE(I940:I947,I956:I965,I972:I980,I988:I995,I1001:I1012)</f>
        <v>#DIV/0!</v>
      </c>
      <c r="J1013" s="104" t="e">
        <f>AVERAGE(J940:J947,J956:J965,J972:J980,J988:J995,J1001:J1012)</f>
        <v>#DIV/0!</v>
      </c>
    </row>
    <row r="1014" spans="1:11">
      <c r="A1014" s="116" t="s">
        <v>267</v>
      </c>
      <c r="B1014" s="117" t="e">
        <f>SUM(D1013,F1013,H1013,J1013)</f>
        <v>#DIV/0!</v>
      </c>
      <c r="C1014" s="64" t="s">
        <v>268</v>
      </c>
      <c r="D1014" s="118" t="s">
        <v>269</v>
      </c>
      <c r="E1014" s="64" t="s">
        <v>268</v>
      </c>
      <c r="F1014" s="118" t="s">
        <v>269</v>
      </c>
      <c r="G1014" s="64" t="s">
        <v>268</v>
      </c>
      <c r="H1014" s="118" t="s">
        <v>269</v>
      </c>
      <c r="I1014" s="64" t="s">
        <v>268</v>
      </c>
      <c r="J1014" s="118" t="s">
        <v>269</v>
      </c>
    </row>
    <row r="1017" spans="1:11">
      <c r="A1017" s="503" t="s">
        <v>107</v>
      </c>
      <c r="B1017" s="503"/>
      <c r="C1017" s="503"/>
      <c r="D1017" s="503"/>
      <c r="E1017" s="503"/>
      <c r="F1017" s="503"/>
      <c r="G1017" s="503"/>
      <c r="H1017" s="503"/>
      <c r="I1017" s="503"/>
      <c r="J1017" s="504"/>
      <c r="K1017" s="109">
        <v>7</v>
      </c>
    </row>
    <row r="1018" spans="1:11" ht="34.799999999999997">
      <c r="A1018" s="74" t="s">
        <v>270</v>
      </c>
      <c r="B1018" s="74" t="s">
        <v>271</v>
      </c>
      <c r="C1018" s="74" t="s">
        <v>272</v>
      </c>
      <c r="D1018" s="74" t="s">
        <v>108</v>
      </c>
      <c r="E1018" s="74" t="s">
        <v>109</v>
      </c>
      <c r="F1018" s="75" t="s">
        <v>273</v>
      </c>
      <c r="G1018" s="74" t="s">
        <v>110</v>
      </c>
      <c r="H1018" s="74" t="s">
        <v>111</v>
      </c>
      <c r="I1018" s="74" t="s">
        <v>112</v>
      </c>
      <c r="J1018" s="74" t="s">
        <v>113</v>
      </c>
    </row>
    <row r="1019" spans="1:11">
      <c r="A1019" s="505" t="s">
        <v>274</v>
      </c>
      <c r="B1019" s="87" t="s">
        <v>114</v>
      </c>
      <c r="C1019" s="76" t="s">
        <v>275</v>
      </c>
      <c r="D1019" s="77">
        <v>1</v>
      </c>
      <c r="E1019" s="78">
        <v>1</v>
      </c>
      <c r="F1019" s="497" t="s">
        <v>276</v>
      </c>
      <c r="G1019" s="76">
        <v>105.48</v>
      </c>
      <c r="H1019" s="51">
        <v>25.5</v>
      </c>
      <c r="I1019" s="52">
        <v>26.6</v>
      </c>
      <c r="J1019" s="52">
        <v>25.947168858331978</v>
      </c>
    </row>
    <row r="1020" spans="1:11">
      <c r="A1020" s="506"/>
      <c r="B1020" s="87" t="s">
        <v>115</v>
      </c>
      <c r="C1020" s="76" t="s">
        <v>277</v>
      </c>
      <c r="D1020" s="77">
        <v>1</v>
      </c>
      <c r="E1020" s="78">
        <v>1</v>
      </c>
      <c r="F1020" s="498"/>
      <c r="G1020" s="76">
        <v>105.48</v>
      </c>
      <c r="H1020" s="51">
        <v>26</v>
      </c>
      <c r="I1020" s="52">
        <v>27.1</v>
      </c>
      <c r="J1020" s="52">
        <v>26.534160006693167</v>
      </c>
    </row>
    <row r="1021" spans="1:11">
      <c r="A1021" s="506"/>
      <c r="B1021" s="87" t="s">
        <v>116</v>
      </c>
      <c r="C1021" s="76" t="s">
        <v>117</v>
      </c>
      <c r="D1021" s="77">
        <v>1</v>
      </c>
      <c r="E1021" s="78">
        <v>1</v>
      </c>
      <c r="F1021" s="79"/>
      <c r="G1021" s="76">
        <v>105.48</v>
      </c>
      <c r="H1021" s="51">
        <v>26</v>
      </c>
      <c r="I1021" s="52">
        <v>27.1</v>
      </c>
      <c r="J1021" s="52">
        <v>26.612712003992765</v>
      </c>
    </row>
    <row r="1022" spans="1:11">
      <c r="A1022" s="507"/>
      <c r="B1022" s="87" t="s">
        <v>118</v>
      </c>
      <c r="C1022" s="76" t="s">
        <v>119</v>
      </c>
      <c r="D1022" s="77">
        <v>1</v>
      </c>
      <c r="E1022" s="78">
        <v>1</v>
      </c>
      <c r="F1022" s="79"/>
      <c r="G1022" s="76">
        <v>105.48</v>
      </c>
      <c r="H1022" s="51">
        <v>25.9</v>
      </c>
      <c r="I1022" s="52">
        <v>27</v>
      </c>
      <c r="J1022" s="52">
        <v>26.551582992080178</v>
      </c>
    </row>
    <row r="1023" spans="1:11">
      <c r="A1023" s="505" t="s">
        <v>278</v>
      </c>
      <c r="B1023" s="87" t="s">
        <v>120</v>
      </c>
      <c r="C1023" s="76" t="s">
        <v>279</v>
      </c>
      <c r="D1023" s="77">
        <v>1</v>
      </c>
      <c r="E1023" s="78">
        <v>1</v>
      </c>
      <c r="F1023" s="497" t="s">
        <v>276</v>
      </c>
      <c r="G1023" s="76">
        <v>105.48</v>
      </c>
      <c r="H1023" s="51">
        <v>19.5</v>
      </c>
      <c r="I1023" s="52">
        <v>28</v>
      </c>
      <c r="J1023" s="52">
        <v>26.562861558467784</v>
      </c>
    </row>
    <row r="1024" spans="1:11">
      <c r="A1024" s="506"/>
      <c r="B1024" s="87" t="s">
        <v>121</v>
      </c>
      <c r="C1024" s="76" t="s">
        <v>280</v>
      </c>
      <c r="D1024" s="77">
        <v>1</v>
      </c>
      <c r="E1024" s="78">
        <v>1</v>
      </c>
      <c r="F1024" s="498"/>
      <c r="G1024" s="76">
        <v>105.48</v>
      </c>
      <c r="H1024" s="51">
        <v>24.3</v>
      </c>
      <c r="I1024" s="52">
        <v>27.7</v>
      </c>
      <c r="J1024" s="52">
        <v>26.468817329979629</v>
      </c>
    </row>
    <row r="1025" spans="1:10">
      <c r="A1025" s="506"/>
      <c r="B1025" s="87" t="s">
        <v>122</v>
      </c>
      <c r="C1025" s="76" t="s">
        <v>123</v>
      </c>
      <c r="D1025" s="77">
        <v>1</v>
      </c>
      <c r="E1025" s="78">
        <v>1</v>
      </c>
      <c r="F1025" s="498"/>
      <c r="G1025" s="76">
        <v>105.48</v>
      </c>
      <c r="H1025" s="51">
        <v>17</v>
      </c>
      <c r="I1025" s="52">
        <v>27</v>
      </c>
      <c r="J1025" s="52">
        <v>21.191033060811872</v>
      </c>
    </row>
    <row r="1026" spans="1:10">
      <c r="A1026" s="506"/>
      <c r="B1026" s="87" t="s">
        <v>124</v>
      </c>
      <c r="C1026" s="76" t="s">
        <v>125</v>
      </c>
      <c r="D1026" s="77">
        <v>1</v>
      </c>
      <c r="E1026" s="78">
        <v>1</v>
      </c>
      <c r="F1026" s="498"/>
      <c r="G1026" s="76">
        <v>105.48</v>
      </c>
      <c r="H1026" s="51">
        <v>24.9</v>
      </c>
      <c r="I1026" s="52">
        <v>27.5</v>
      </c>
      <c r="J1026" s="52">
        <v>26.191250294344051</v>
      </c>
    </row>
    <row r="1027" spans="1:10">
      <c r="A1027" s="506"/>
      <c r="B1027" s="87" t="s">
        <v>126</v>
      </c>
      <c r="C1027" s="76" t="s">
        <v>281</v>
      </c>
      <c r="D1027" s="77">
        <v>1</v>
      </c>
      <c r="E1027" s="78">
        <v>1</v>
      </c>
      <c r="F1027" s="79"/>
      <c r="G1027" s="76">
        <v>70.319999999999993</v>
      </c>
      <c r="H1027" s="51">
        <v>13.9</v>
      </c>
      <c r="I1027" s="52">
        <v>26.3</v>
      </c>
      <c r="J1027" s="52">
        <v>24.473978140810075</v>
      </c>
    </row>
    <row r="1028" spans="1:10">
      <c r="A1028" s="506"/>
      <c r="B1028" s="87" t="s">
        <v>127</v>
      </c>
      <c r="C1028" s="76" t="s">
        <v>128</v>
      </c>
      <c r="D1028" s="77">
        <v>1</v>
      </c>
      <c r="E1028" s="78">
        <v>1</v>
      </c>
      <c r="F1028" s="79"/>
      <c r="G1028" s="76">
        <v>70.319999999999993</v>
      </c>
      <c r="H1028" s="51">
        <v>14.1</v>
      </c>
      <c r="I1028" s="52">
        <v>26.1</v>
      </c>
      <c r="J1028" s="52">
        <v>24.513090894548593</v>
      </c>
    </row>
    <row r="1029" spans="1:10">
      <c r="A1029" s="507"/>
      <c r="B1029" s="87" t="s">
        <v>129</v>
      </c>
      <c r="C1029" s="76" t="s">
        <v>130</v>
      </c>
      <c r="D1029" s="77">
        <v>1</v>
      </c>
      <c r="E1029" s="78">
        <v>1</v>
      </c>
      <c r="F1029" s="79"/>
      <c r="G1029" s="76">
        <v>70.319999999999993</v>
      </c>
      <c r="H1029" s="51">
        <v>14.8</v>
      </c>
      <c r="I1029" s="52">
        <v>26</v>
      </c>
      <c r="J1029" s="52">
        <v>24.625210701474238</v>
      </c>
    </row>
    <row r="1030" spans="1:10">
      <c r="A1030" s="496" t="s">
        <v>282</v>
      </c>
      <c r="B1030" s="87" t="s">
        <v>131</v>
      </c>
      <c r="C1030" s="76" t="s">
        <v>283</v>
      </c>
      <c r="D1030" s="77">
        <v>1</v>
      </c>
      <c r="E1030" s="78">
        <v>1</v>
      </c>
      <c r="F1030" s="497" t="s">
        <v>276</v>
      </c>
      <c r="G1030" s="76">
        <v>105.48</v>
      </c>
      <c r="H1030" s="51">
        <v>24</v>
      </c>
      <c r="I1030" s="52">
        <v>25.5</v>
      </c>
      <c r="J1030" s="52">
        <v>24.86613436981952</v>
      </c>
    </row>
    <row r="1031" spans="1:10">
      <c r="A1031" s="496"/>
      <c r="B1031" s="87" t="s">
        <v>132</v>
      </c>
      <c r="C1031" s="76" t="s">
        <v>133</v>
      </c>
      <c r="D1031" s="77">
        <v>1</v>
      </c>
      <c r="E1031" s="78">
        <v>1</v>
      </c>
      <c r="F1031" s="498"/>
      <c r="G1031" s="76">
        <v>105.48</v>
      </c>
      <c r="H1031" s="51">
        <v>24.4</v>
      </c>
      <c r="I1031" s="52">
        <v>25.9</v>
      </c>
      <c r="J1031" s="52">
        <v>25.221151651472233</v>
      </c>
    </row>
    <row r="1032" spans="1:10">
      <c r="A1032" s="496"/>
      <c r="B1032" s="87" t="s">
        <v>134</v>
      </c>
      <c r="C1032" s="76" t="s">
        <v>135</v>
      </c>
      <c r="D1032" s="77">
        <v>1</v>
      </c>
      <c r="E1032" s="78">
        <v>1</v>
      </c>
      <c r="F1032" s="498"/>
      <c r="G1032" s="80">
        <v>105.48</v>
      </c>
      <c r="H1032" s="51">
        <v>24.5</v>
      </c>
      <c r="I1032" s="52">
        <v>26.4</v>
      </c>
      <c r="J1032" s="52">
        <v>25.252246982879878</v>
      </c>
    </row>
    <row r="1033" spans="1:10">
      <c r="A1033" s="496"/>
      <c r="B1033" s="87" t="s">
        <v>136</v>
      </c>
      <c r="C1033" s="76" t="s">
        <v>137</v>
      </c>
      <c r="D1033" s="77">
        <v>1</v>
      </c>
      <c r="E1033" s="78">
        <v>1</v>
      </c>
      <c r="F1033" s="498"/>
      <c r="G1033" s="80">
        <v>105.48</v>
      </c>
      <c r="H1033" s="51">
        <v>24.1</v>
      </c>
      <c r="I1033" s="52">
        <v>26</v>
      </c>
      <c r="J1033" s="52">
        <v>24.844128275320063</v>
      </c>
    </row>
    <row r="1034" spans="1:10">
      <c r="A1034" s="496"/>
      <c r="B1034" s="87" t="s">
        <v>138</v>
      </c>
      <c r="C1034" s="76" t="s">
        <v>284</v>
      </c>
      <c r="D1034" s="77">
        <v>0</v>
      </c>
      <c r="E1034" s="78">
        <v>1</v>
      </c>
      <c r="F1034" s="497" t="s">
        <v>285</v>
      </c>
      <c r="G1034" s="76">
        <v>32.549999999999997</v>
      </c>
      <c r="H1034" s="112">
        <v>25.3</v>
      </c>
      <c r="I1034" s="112">
        <v>33.5</v>
      </c>
      <c r="J1034" s="112">
        <v>32.598777177207168</v>
      </c>
    </row>
    <row r="1035" spans="1:10">
      <c r="A1035" s="496"/>
      <c r="B1035" s="87" t="s">
        <v>139</v>
      </c>
      <c r="C1035" s="76" t="s">
        <v>140</v>
      </c>
      <c r="D1035" s="77">
        <v>0</v>
      </c>
      <c r="E1035" s="78">
        <v>1</v>
      </c>
      <c r="F1035" s="499"/>
      <c r="G1035" s="76">
        <v>32.549999999999997</v>
      </c>
      <c r="H1035" s="113">
        <v>23.4</v>
      </c>
      <c r="I1035" s="113">
        <v>27.2</v>
      </c>
      <c r="J1035" s="113">
        <v>26.023714421315294</v>
      </c>
    </row>
    <row r="1036" spans="1:10">
      <c r="A1036" s="496"/>
      <c r="B1036" s="87" t="s">
        <v>141</v>
      </c>
      <c r="C1036" s="76" t="s">
        <v>286</v>
      </c>
      <c r="D1036" s="77">
        <v>0</v>
      </c>
      <c r="E1036" s="78">
        <v>1</v>
      </c>
      <c r="F1036" s="497" t="s">
        <v>285</v>
      </c>
      <c r="G1036" s="76">
        <v>32.549999999999997</v>
      </c>
      <c r="H1036" s="113">
        <v>21.8</v>
      </c>
      <c r="I1036" s="113">
        <v>32.700000000000003</v>
      </c>
      <c r="J1036" s="113">
        <v>31.101890811719603</v>
      </c>
    </row>
    <row r="1037" spans="1:10">
      <c r="A1037" s="496"/>
      <c r="B1037" s="87" t="s">
        <v>142</v>
      </c>
      <c r="C1037" s="76" t="s">
        <v>143</v>
      </c>
      <c r="D1037" s="77">
        <v>1</v>
      </c>
      <c r="E1037" s="78">
        <v>1</v>
      </c>
      <c r="F1037" s="498"/>
      <c r="G1037" s="76">
        <v>32.549999999999997</v>
      </c>
      <c r="H1037" s="53">
        <v>22.5</v>
      </c>
      <c r="I1037" s="53">
        <v>27.8</v>
      </c>
      <c r="J1037" s="53">
        <v>26.137480201432698</v>
      </c>
    </row>
    <row r="1038" spans="1:10">
      <c r="A1038" s="496"/>
      <c r="B1038" s="87" t="s">
        <v>144</v>
      </c>
      <c r="C1038" s="76" t="s">
        <v>145</v>
      </c>
      <c r="D1038" s="77">
        <v>0</v>
      </c>
      <c r="E1038" s="78">
        <v>1</v>
      </c>
      <c r="F1038" s="498"/>
      <c r="G1038" s="76">
        <v>32.549999999999997</v>
      </c>
      <c r="H1038" s="113">
        <v>17.8</v>
      </c>
      <c r="I1038" s="113">
        <v>29.5</v>
      </c>
      <c r="J1038" s="113">
        <v>27.936542597126117</v>
      </c>
    </row>
    <row r="1039" spans="1:10">
      <c r="A1039" s="496"/>
      <c r="B1039" s="87" t="s">
        <v>146</v>
      </c>
      <c r="C1039" s="76" t="s">
        <v>147</v>
      </c>
      <c r="D1039" s="77">
        <v>1</v>
      </c>
      <c r="E1039" s="78">
        <v>1</v>
      </c>
      <c r="F1039" s="498"/>
      <c r="G1039" s="76">
        <v>32.549999999999997</v>
      </c>
      <c r="H1039" s="53">
        <v>21.4</v>
      </c>
      <c r="I1039" s="53">
        <v>26.9</v>
      </c>
      <c r="J1039" s="53">
        <v>24.703474713280034</v>
      </c>
    </row>
    <row r="1040" spans="1:10">
      <c r="A1040" s="496"/>
      <c r="B1040" s="87" t="s">
        <v>148</v>
      </c>
      <c r="C1040" s="76" t="s">
        <v>149</v>
      </c>
      <c r="D1040" s="77">
        <v>0</v>
      </c>
      <c r="E1040" s="78">
        <v>1</v>
      </c>
      <c r="F1040" s="498"/>
      <c r="G1040" s="76">
        <v>32.549999999999997</v>
      </c>
      <c r="H1040" s="53">
        <v>20.3</v>
      </c>
      <c r="I1040" s="53">
        <v>24.4</v>
      </c>
      <c r="J1040" s="53">
        <v>21.562160054259266</v>
      </c>
    </row>
    <row r="1041" spans="1:10">
      <c r="A1041" s="496"/>
      <c r="B1041" s="87" t="s">
        <v>150</v>
      </c>
      <c r="C1041" s="76" t="s">
        <v>151</v>
      </c>
      <c r="D1041" s="77">
        <v>1</v>
      </c>
      <c r="E1041" s="78">
        <v>1</v>
      </c>
      <c r="F1041" s="498"/>
      <c r="G1041" s="76">
        <v>32.549999999999997</v>
      </c>
      <c r="H1041" s="53">
        <v>21.2</v>
      </c>
      <c r="I1041" s="53">
        <v>24.2</v>
      </c>
      <c r="J1041" s="53">
        <v>23.427404201133758</v>
      </c>
    </row>
    <row r="1042" spans="1:10">
      <c r="A1042" s="496"/>
      <c r="B1042" s="87" t="s">
        <v>152</v>
      </c>
      <c r="C1042" s="76" t="s">
        <v>153</v>
      </c>
      <c r="D1042" s="77">
        <v>0</v>
      </c>
      <c r="E1042" s="78">
        <v>1</v>
      </c>
      <c r="F1042" s="498"/>
      <c r="G1042" s="76">
        <v>32.549999999999997</v>
      </c>
      <c r="H1042" s="113"/>
      <c r="I1042" s="113"/>
      <c r="J1042" s="113"/>
    </row>
    <row r="1043" spans="1:10">
      <c r="A1043" s="496"/>
      <c r="B1043" s="87" t="s">
        <v>154</v>
      </c>
      <c r="C1043" s="76" t="s">
        <v>155</v>
      </c>
      <c r="D1043" s="77">
        <v>0</v>
      </c>
      <c r="E1043" s="78">
        <v>1</v>
      </c>
      <c r="F1043" s="498"/>
      <c r="G1043" s="76">
        <v>32.549999999999997</v>
      </c>
      <c r="H1043" s="113">
        <v>18.399999999999999</v>
      </c>
      <c r="I1043" s="113">
        <v>99.5</v>
      </c>
      <c r="J1043" s="113">
        <v>22.382754481136075</v>
      </c>
    </row>
    <row r="1044" spans="1:10">
      <c r="A1044" s="496"/>
      <c r="B1044" s="87" t="s">
        <v>156</v>
      </c>
      <c r="C1044" s="76" t="s">
        <v>157</v>
      </c>
      <c r="D1044" s="77">
        <v>0</v>
      </c>
      <c r="E1044" s="78">
        <v>1</v>
      </c>
      <c r="F1044" s="498"/>
      <c r="G1044" s="76">
        <v>32.549999999999997</v>
      </c>
      <c r="H1044" s="113">
        <v>18.399999999999999</v>
      </c>
      <c r="I1044" s="113">
        <v>25.1</v>
      </c>
      <c r="J1044" s="113">
        <v>23.977183057851555</v>
      </c>
    </row>
    <row r="1045" spans="1:10">
      <c r="A1045" s="496"/>
      <c r="B1045" s="87" t="s">
        <v>158</v>
      </c>
      <c r="C1045" s="76" t="s">
        <v>159</v>
      </c>
      <c r="D1045" s="77">
        <v>0</v>
      </c>
      <c r="E1045" s="78">
        <v>1</v>
      </c>
      <c r="F1045" s="498"/>
      <c r="G1045" s="76">
        <v>32.549999999999997</v>
      </c>
      <c r="H1045" s="113">
        <v>17.7</v>
      </c>
      <c r="I1045" s="113">
        <v>29.2</v>
      </c>
      <c r="J1045" s="113">
        <v>21.609415322508042</v>
      </c>
    </row>
    <row r="1046" spans="1:10">
      <c r="A1046" s="496"/>
      <c r="B1046" s="87" t="s">
        <v>160</v>
      </c>
      <c r="C1046" s="76" t="s">
        <v>161</v>
      </c>
      <c r="D1046" s="77">
        <v>0</v>
      </c>
      <c r="E1046" s="78">
        <v>1</v>
      </c>
      <c r="F1046" s="498"/>
      <c r="G1046" s="76">
        <v>32.549999999999997</v>
      </c>
      <c r="H1046" s="113">
        <v>21.2</v>
      </c>
      <c r="I1046" s="113">
        <v>25.6</v>
      </c>
      <c r="J1046" s="113">
        <v>22.483006882817978</v>
      </c>
    </row>
    <row r="1047" spans="1:10">
      <c r="A1047" s="496"/>
      <c r="B1047" s="87" t="s">
        <v>162</v>
      </c>
      <c r="C1047" s="76" t="s">
        <v>163</v>
      </c>
      <c r="D1047" s="77">
        <v>0</v>
      </c>
      <c r="E1047" s="78">
        <v>1</v>
      </c>
      <c r="F1047" s="499"/>
      <c r="G1047" s="76">
        <v>32.549999999999997</v>
      </c>
      <c r="H1047" s="113">
        <v>19</v>
      </c>
      <c r="I1047" s="113">
        <v>23.8</v>
      </c>
      <c r="J1047" s="113">
        <v>21.875528539539498</v>
      </c>
    </row>
    <row r="1048" spans="1:10">
      <c r="A1048" s="496"/>
      <c r="B1048" s="87" t="s">
        <v>164</v>
      </c>
      <c r="C1048" s="76" t="s">
        <v>287</v>
      </c>
      <c r="D1048" s="77">
        <v>0</v>
      </c>
      <c r="E1048" s="78">
        <v>1</v>
      </c>
      <c r="F1048" s="497" t="s">
        <v>285</v>
      </c>
      <c r="G1048" s="76">
        <v>24.4</v>
      </c>
      <c r="H1048" s="113">
        <v>27.5</v>
      </c>
      <c r="I1048" s="113">
        <v>30</v>
      </c>
      <c r="J1048" s="113">
        <v>28.669886471256667</v>
      </c>
    </row>
    <row r="1049" spans="1:10">
      <c r="A1049" s="496"/>
      <c r="B1049" s="87" t="s">
        <v>165</v>
      </c>
      <c r="C1049" s="76" t="s">
        <v>166</v>
      </c>
      <c r="D1049" s="77">
        <v>0</v>
      </c>
      <c r="E1049" s="78">
        <v>1</v>
      </c>
      <c r="F1049" s="499"/>
      <c r="G1049" s="76">
        <v>24.4</v>
      </c>
      <c r="H1049" s="113">
        <v>26</v>
      </c>
      <c r="I1049" s="113">
        <v>28.5</v>
      </c>
      <c r="J1049" s="113">
        <v>27.101774468195114</v>
      </c>
    </row>
    <row r="1050" spans="1:10">
      <c r="A1050" s="496" t="s">
        <v>288</v>
      </c>
      <c r="B1050" s="87" t="s">
        <v>167</v>
      </c>
      <c r="C1050" s="76" t="s">
        <v>289</v>
      </c>
      <c r="D1050" s="77">
        <v>1</v>
      </c>
      <c r="E1050" s="78">
        <v>1</v>
      </c>
      <c r="F1050" s="497" t="s">
        <v>276</v>
      </c>
      <c r="G1050" s="76">
        <v>105.48</v>
      </c>
      <c r="H1050" s="51">
        <v>24.8</v>
      </c>
      <c r="I1050" s="53">
        <v>26</v>
      </c>
      <c r="J1050" s="53">
        <v>25.5657765485998</v>
      </c>
    </row>
    <row r="1051" spans="1:10">
      <c r="A1051" s="496"/>
      <c r="B1051" s="87" t="s">
        <v>168</v>
      </c>
      <c r="C1051" s="76" t="s">
        <v>169</v>
      </c>
      <c r="D1051" s="77">
        <v>1</v>
      </c>
      <c r="E1051" s="78">
        <v>1</v>
      </c>
      <c r="F1051" s="498"/>
      <c r="G1051" s="76">
        <v>105.48</v>
      </c>
      <c r="H1051" s="51">
        <v>24.6</v>
      </c>
      <c r="I1051" s="54">
        <v>25.8</v>
      </c>
      <c r="J1051" s="54">
        <v>25.342871866513704</v>
      </c>
    </row>
    <row r="1052" spans="1:10">
      <c r="A1052" s="496"/>
      <c r="B1052" s="87" t="s">
        <v>170</v>
      </c>
      <c r="C1052" s="76" t="s">
        <v>171</v>
      </c>
      <c r="D1052" s="77">
        <v>1</v>
      </c>
      <c r="E1052" s="78">
        <v>1</v>
      </c>
      <c r="F1052" s="498"/>
      <c r="G1052" s="76">
        <v>105.48</v>
      </c>
      <c r="H1052" s="51">
        <v>23.9</v>
      </c>
      <c r="I1052" s="52">
        <v>25.8</v>
      </c>
      <c r="J1052" s="52">
        <v>24.947314233142599</v>
      </c>
    </row>
    <row r="1053" spans="1:10">
      <c r="A1053" s="496"/>
      <c r="B1053" s="87" t="s">
        <v>172</v>
      </c>
      <c r="C1053" s="76" t="s">
        <v>173</v>
      </c>
      <c r="D1053" s="77">
        <v>1</v>
      </c>
      <c r="E1053" s="78">
        <v>1</v>
      </c>
      <c r="F1053" s="498"/>
      <c r="G1053" s="76">
        <v>105.48</v>
      </c>
      <c r="H1053" s="51">
        <v>24</v>
      </c>
      <c r="I1053" s="52">
        <v>25.7</v>
      </c>
      <c r="J1053" s="52">
        <v>24.962164505328346</v>
      </c>
    </row>
    <row r="1054" spans="1:10">
      <c r="A1054" s="496"/>
      <c r="B1054" s="87" t="s">
        <v>174</v>
      </c>
      <c r="C1054" s="76" t="s">
        <v>290</v>
      </c>
      <c r="D1054" s="77">
        <v>1</v>
      </c>
      <c r="E1054" s="78">
        <v>1</v>
      </c>
      <c r="F1054" s="498"/>
      <c r="G1054" s="76">
        <v>65</v>
      </c>
      <c r="H1054" s="55">
        <v>26.1</v>
      </c>
      <c r="I1054" s="55">
        <v>28.3</v>
      </c>
      <c r="J1054" s="55">
        <v>27.236223419018422</v>
      </c>
    </row>
    <row r="1055" spans="1:10">
      <c r="A1055" s="496"/>
      <c r="B1055" s="87" t="s">
        <v>175</v>
      </c>
      <c r="C1055" s="76" t="s">
        <v>176</v>
      </c>
      <c r="D1055" s="77">
        <v>1</v>
      </c>
      <c r="E1055" s="78">
        <v>1</v>
      </c>
      <c r="F1055" s="499"/>
      <c r="G1055" s="76">
        <v>65</v>
      </c>
      <c r="H1055" s="55">
        <v>24</v>
      </c>
      <c r="I1055" s="55">
        <v>26</v>
      </c>
      <c r="J1055" s="55">
        <v>24.516666666666666</v>
      </c>
    </row>
    <row r="1056" spans="1:10">
      <c r="A1056" s="496"/>
      <c r="B1056" s="87" t="s">
        <v>177</v>
      </c>
      <c r="C1056" s="76" t="s">
        <v>291</v>
      </c>
      <c r="D1056" s="77">
        <v>1</v>
      </c>
      <c r="E1056" s="78">
        <v>1</v>
      </c>
      <c r="F1056" s="497" t="s">
        <v>285</v>
      </c>
      <c r="G1056" s="76">
        <v>16.3</v>
      </c>
      <c r="H1056" s="55">
        <v>23.5</v>
      </c>
      <c r="I1056" s="55">
        <v>26</v>
      </c>
      <c r="J1056" s="55">
        <v>24.533991418670009</v>
      </c>
    </row>
    <row r="1057" spans="1:10">
      <c r="A1057" s="496"/>
      <c r="B1057" s="87" t="s">
        <v>178</v>
      </c>
      <c r="C1057" s="76" t="s">
        <v>179</v>
      </c>
      <c r="D1057" s="77">
        <v>1</v>
      </c>
      <c r="E1057" s="78">
        <v>1</v>
      </c>
      <c r="F1057" s="498"/>
      <c r="G1057" s="76">
        <v>16.3</v>
      </c>
      <c r="H1057" s="55">
        <v>21</v>
      </c>
      <c r="I1057" s="55">
        <v>24.5</v>
      </c>
      <c r="J1057" s="55">
        <v>22.917691723309261</v>
      </c>
    </row>
    <row r="1058" spans="1:10">
      <c r="A1058" s="496"/>
      <c r="B1058" s="87" t="s">
        <v>180</v>
      </c>
      <c r="C1058" s="76" t="s">
        <v>181</v>
      </c>
      <c r="D1058" s="77">
        <v>1</v>
      </c>
      <c r="E1058" s="78">
        <v>1</v>
      </c>
      <c r="F1058" s="498"/>
      <c r="G1058" s="76">
        <v>16.3</v>
      </c>
      <c r="H1058" s="55">
        <v>18</v>
      </c>
      <c r="I1058" s="55">
        <v>29.5</v>
      </c>
      <c r="J1058" s="55">
        <v>26.953550372958549</v>
      </c>
    </row>
    <row r="1059" spans="1:10">
      <c r="A1059" s="496"/>
      <c r="B1059" s="87" t="s">
        <v>292</v>
      </c>
      <c r="C1059" s="76" t="s">
        <v>182</v>
      </c>
      <c r="D1059" s="77">
        <v>1</v>
      </c>
      <c r="E1059" s="78">
        <v>1</v>
      </c>
      <c r="F1059" s="499"/>
      <c r="G1059" s="76">
        <v>35</v>
      </c>
      <c r="H1059" s="55">
        <v>24</v>
      </c>
      <c r="I1059" s="55">
        <v>26</v>
      </c>
      <c r="J1059" s="55">
        <v>24.855475787683329</v>
      </c>
    </row>
    <row r="1060" spans="1:10">
      <c r="H1060" s="66">
        <f>AVERAGE(H1019:H1033,H1039:H1041,H1050:H1059)</f>
        <v>22.346428571428572</v>
      </c>
      <c r="I1060" s="66">
        <f t="shared" ref="I1060" si="6">AVERAGE(I1019:I1033,I1039:I1041,I1050:I1059)</f>
        <v>26.403571428571421</v>
      </c>
      <c r="J1060" s="114">
        <f>AVERAGE(J1019:J1033,J1039:J1041,J1050:J1059,J1037)</f>
        <v>25.086819752862844</v>
      </c>
    </row>
    <row r="1061" spans="1:10">
      <c r="J1061" s="65" t="s">
        <v>264</v>
      </c>
    </row>
    <row r="1062" spans="1:10">
      <c r="A1062" s="503" t="s">
        <v>183</v>
      </c>
      <c r="B1062" s="503"/>
      <c r="C1062" s="503"/>
      <c r="D1062" s="503"/>
      <c r="E1062" s="503"/>
      <c r="F1062" s="503"/>
      <c r="G1062" s="503"/>
      <c r="H1062" s="503"/>
      <c r="I1062" s="503"/>
      <c r="J1062" s="504"/>
    </row>
    <row r="1063" spans="1:10" ht="34.799999999999997">
      <c r="A1063" s="74" t="s">
        <v>270</v>
      </c>
      <c r="B1063" s="74" t="s">
        <v>271</v>
      </c>
      <c r="C1063" s="74" t="s">
        <v>272</v>
      </c>
      <c r="D1063" s="74" t="s">
        <v>108</v>
      </c>
      <c r="E1063" s="74" t="s">
        <v>109</v>
      </c>
      <c r="F1063" s="75" t="s">
        <v>273</v>
      </c>
      <c r="G1063" s="74" t="s">
        <v>110</v>
      </c>
      <c r="H1063" s="74" t="s">
        <v>184</v>
      </c>
      <c r="I1063" s="74" t="s">
        <v>185</v>
      </c>
      <c r="J1063" s="74" t="s">
        <v>186</v>
      </c>
    </row>
    <row r="1064" spans="1:10">
      <c r="A1064" s="508" t="s">
        <v>274</v>
      </c>
      <c r="B1064" s="88" t="s">
        <v>114</v>
      </c>
      <c r="C1064" s="89" t="s">
        <v>275</v>
      </c>
      <c r="D1064" s="90">
        <v>1</v>
      </c>
      <c r="E1064" s="89">
        <v>1</v>
      </c>
      <c r="F1064" s="497" t="s">
        <v>276</v>
      </c>
      <c r="G1064" s="76">
        <v>105.48</v>
      </c>
      <c r="H1064" s="56">
        <v>24.1</v>
      </c>
      <c r="I1064" s="57">
        <v>46.6</v>
      </c>
      <c r="J1064" s="57">
        <v>36.875899645011756</v>
      </c>
    </row>
    <row r="1065" spans="1:10">
      <c r="A1065" s="509"/>
      <c r="B1065" s="88" t="s">
        <v>115</v>
      </c>
      <c r="C1065" s="89" t="s">
        <v>277</v>
      </c>
      <c r="D1065" s="90">
        <v>1</v>
      </c>
      <c r="E1065" s="89">
        <v>1</v>
      </c>
      <c r="F1065" s="498"/>
      <c r="G1065" s="76">
        <v>105.48</v>
      </c>
      <c r="H1065" s="56">
        <v>24.5</v>
      </c>
      <c r="I1065" s="57">
        <v>46.8</v>
      </c>
      <c r="J1065" s="57">
        <v>37.004108173574643</v>
      </c>
    </row>
    <row r="1066" spans="1:10">
      <c r="A1066" s="509"/>
      <c r="B1066" s="88" t="s">
        <v>116</v>
      </c>
      <c r="C1066" s="89" t="s">
        <v>117</v>
      </c>
      <c r="D1066" s="90">
        <v>1</v>
      </c>
      <c r="E1066" s="89">
        <v>1</v>
      </c>
      <c r="F1066" s="79"/>
      <c r="G1066" s="76">
        <v>105.48</v>
      </c>
      <c r="H1066" s="56">
        <v>25.7</v>
      </c>
      <c r="I1066" s="57">
        <v>45.6</v>
      </c>
      <c r="J1066" s="57">
        <v>36.984516441492424</v>
      </c>
    </row>
    <row r="1067" spans="1:10">
      <c r="A1067" s="510"/>
      <c r="B1067" s="88" t="s">
        <v>118</v>
      </c>
      <c r="C1067" s="89" t="s">
        <v>119</v>
      </c>
      <c r="D1067" s="90">
        <v>1</v>
      </c>
      <c r="E1067" s="89">
        <v>1</v>
      </c>
      <c r="F1067" s="79"/>
      <c r="G1067" s="76">
        <v>105.48</v>
      </c>
      <c r="H1067" s="56">
        <v>23.2</v>
      </c>
      <c r="I1067" s="57">
        <v>44.2</v>
      </c>
      <c r="J1067" s="57">
        <v>35.156717090807682</v>
      </c>
    </row>
    <row r="1068" spans="1:10">
      <c r="A1068" s="496" t="s">
        <v>278</v>
      </c>
      <c r="B1068" s="87" t="s">
        <v>120</v>
      </c>
      <c r="C1068" s="76" t="s">
        <v>279</v>
      </c>
      <c r="D1068" s="77">
        <v>1</v>
      </c>
      <c r="E1068" s="78">
        <v>1</v>
      </c>
      <c r="F1068" s="497" t="s">
        <v>276</v>
      </c>
      <c r="G1068" s="76">
        <v>105.48</v>
      </c>
      <c r="H1068" s="56">
        <v>22.8</v>
      </c>
      <c r="I1068" s="57">
        <v>73.8</v>
      </c>
      <c r="J1068" s="57">
        <v>37.251804931220235</v>
      </c>
    </row>
    <row r="1069" spans="1:10">
      <c r="A1069" s="496"/>
      <c r="B1069" s="87" t="s">
        <v>121</v>
      </c>
      <c r="C1069" s="76" t="s">
        <v>280</v>
      </c>
      <c r="D1069" s="77">
        <v>1</v>
      </c>
      <c r="E1069" s="78">
        <v>1</v>
      </c>
      <c r="F1069" s="498"/>
      <c r="G1069" s="76">
        <v>105.48</v>
      </c>
      <c r="H1069" s="56">
        <v>22.8</v>
      </c>
      <c r="I1069" s="57">
        <v>53.2</v>
      </c>
      <c r="J1069" s="57">
        <v>37.175433774739822</v>
      </c>
    </row>
    <row r="1070" spans="1:10">
      <c r="A1070" s="496"/>
      <c r="B1070" s="87" t="s">
        <v>122</v>
      </c>
      <c r="C1070" s="76" t="s">
        <v>123</v>
      </c>
      <c r="D1070" s="77">
        <v>1</v>
      </c>
      <c r="E1070" s="78">
        <v>1</v>
      </c>
      <c r="F1070" s="498"/>
      <c r="G1070" s="76">
        <v>105.48</v>
      </c>
      <c r="H1070" s="56">
        <v>37.299999999999997</v>
      </c>
      <c r="I1070" s="57">
        <v>66</v>
      </c>
      <c r="J1070" s="57">
        <v>49.840352179488214</v>
      </c>
    </row>
    <row r="1071" spans="1:10">
      <c r="A1071" s="496"/>
      <c r="B1071" s="87" t="s">
        <v>124</v>
      </c>
      <c r="C1071" s="76" t="s">
        <v>125</v>
      </c>
      <c r="D1071" s="77">
        <v>1</v>
      </c>
      <c r="E1071" s="78">
        <v>1</v>
      </c>
      <c r="F1071" s="498"/>
      <c r="G1071" s="76">
        <v>105.48</v>
      </c>
      <c r="H1071" s="56">
        <v>24</v>
      </c>
      <c r="I1071" s="57">
        <v>47.5</v>
      </c>
      <c r="J1071" s="57">
        <v>40.07350006711988</v>
      </c>
    </row>
    <row r="1072" spans="1:10">
      <c r="A1072" s="496" t="s">
        <v>282</v>
      </c>
      <c r="B1072" s="87" t="s">
        <v>131</v>
      </c>
      <c r="C1072" s="76" t="s">
        <v>283</v>
      </c>
      <c r="D1072" s="77">
        <v>1</v>
      </c>
      <c r="E1072" s="78">
        <v>1</v>
      </c>
      <c r="F1072" s="497" t="s">
        <v>276</v>
      </c>
      <c r="G1072" s="76">
        <v>105.48</v>
      </c>
      <c r="H1072" s="56">
        <v>22.5</v>
      </c>
      <c r="I1072" s="57">
        <v>45.8</v>
      </c>
      <c r="J1072" s="57">
        <v>38.195485835971027</v>
      </c>
    </row>
    <row r="1073" spans="1:10">
      <c r="A1073" s="496"/>
      <c r="B1073" s="87" t="s">
        <v>132</v>
      </c>
      <c r="C1073" s="76" t="s">
        <v>133</v>
      </c>
      <c r="D1073" s="77">
        <v>1</v>
      </c>
      <c r="E1073" s="78">
        <v>1</v>
      </c>
      <c r="F1073" s="498"/>
      <c r="G1073" s="76">
        <v>105.48</v>
      </c>
      <c r="H1073" s="56">
        <v>21.9</v>
      </c>
      <c r="I1073" s="57">
        <v>44.3</v>
      </c>
      <c r="J1073" s="57">
        <v>37.074655494835682</v>
      </c>
    </row>
    <row r="1074" spans="1:10">
      <c r="A1074" s="496"/>
      <c r="B1074" s="87" t="s">
        <v>134</v>
      </c>
      <c r="C1074" s="76" t="s">
        <v>135</v>
      </c>
      <c r="D1074" s="77">
        <v>1</v>
      </c>
      <c r="E1074" s="78">
        <v>1</v>
      </c>
      <c r="F1074" s="498"/>
      <c r="G1074" s="80">
        <v>105.48</v>
      </c>
      <c r="H1074" s="56">
        <v>20.9</v>
      </c>
      <c r="I1074" s="57">
        <v>39.5</v>
      </c>
      <c r="J1074" s="57">
        <v>34.962139230837934</v>
      </c>
    </row>
    <row r="1075" spans="1:10">
      <c r="A1075" s="496"/>
      <c r="B1075" s="87" t="s">
        <v>136</v>
      </c>
      <c r="C1075" s="76" t="s">
        <v>137</v>
      </c>
      <c r="D1075" s="77">
        <v>1</v>
      </c>
      <c r="E1075" s="78">
        <v>1</v>
      </c>
      <c r="F1075" s="498"/>
      <c r="G1075" s="80">
        <v>105.48</v>
      </c>
      <c r="H1075" s="56">
        <v>21.5</v>
      </c>
      <c r="I1075" s="57">
        <v>40.6</v>
      </c>
      <c r="J1075" s="57">
        <v>35.881135303974233</v>
      </c>
    </row>
    <row r="1076" spans="1:10">
      <c r="A1076" s="496"/>
      <c r="B1076" s="87" t="s">
        <v>138</v>
      </c>
      <c r="C1076" s="76" t="s">
        <v>284</v>
      </c>
      <c r="D1076" s="76">
        <v>0</v>
      </c>
      <c r="E1076" s="78">
        <v>1</v>
      </c>
      <c r="F1076" s="78">
        <v>1</v>
      </c>
      <c r="G1076" s="76">
        <v>32.549999999999997</v>
      </c>
      <c r="H1076" s="58">
        <v>25.8</v>
      </c>
      <c r="I1076" s="58">
        <v>31.6</v>
      </c>
      <c r="J1076" s="58">
        <v>26.354365316483779</v>
      </c>
    </row>
    <row r="1077" spans="1:10">
      <c r="A1077" s="496"/>
      <c r="B1077" s="87" t="s">
        <v>139</v>
      </c>
      <c r="C1077" s="76" t="s">
        <v>140</v>
      </c>
      <c r="D1077" s="76">
        <v>0</v>
      </c>
      <c r="E1077" s="78">
        <v>1</v>
      </c>
      <c r="F1077" s="78">
        <v>1</v>
      </c>
      <c r="G1077" s="76">
        <v>32.549999999999997</v>
      </c>
      <c r="H1077" s="59">
        <v>27.8</v>
      </c>
      <c r="I1077" s="59">
        <v>30.6</v>
      </c>
      <c r="J1077" s="59">
        <v>28.507460941612955</v>
      </c>
    </row>
    <row r="1078" spans="1:10">
      <c r="A1078" s="496"/>
      <c r="B1078" s="87" t="s">
        <v>141</v>
      </c>
      <c r="C1078" s="76" t="s">
        <v>286</v>
      </c>
      <c r="D1078" s="76">
        <v>0</v>
      </c>
      <c r="E1078" s="78">
        <v>1</v>
      </c>
      <c r="F1078" s="78">
        <v>1</v>
      </c>
      <c r="G1078" s="76">
        <v>32.549999999999997</v>
      </c>
      <c r="H1078" s="59">
        <v>24.4</v>
      </c>
      <c r="I1078" s="59">
        <v>31.6</v>
      </c>
      <c r="J1078" s="59">
        <v>25.308625390828567</v>
      </c>
    </row>
    <row r="1079" spans="1:10">
      <c r="A1079" s="496"/>
      <c r="B1079" s="87" t="s">
        <v>142</v>
      </c>
      <c r="C1079" s="76" t="s">
        <v>143</v>
      </c>
      <c r="D1079" s="76">
        <v>1</v>
      </c>
      <c r="E1079" s="78">
        <v>1</v>
      </c>
      <c r="F1079" s="78">
        <v>1</v>
      </c>
      <c r="G1079" s="76">
        <v>32.549999999999997</v>
      </c>
      <c r="H1079" s="60">
        <v>29</v>
      </c>
      <c r="I1079" s="60">
        <v>32.799999999999997</v>
      </c>
      <c r="J1079" s="60">
        <v>30.690526910212576</v>
      </c>
    </row>
    <row r="1080" spans="1:10">
      <c r="A1080" s="496"/>
      <c r="B1080" s="87" t="s">
        <v>144</v>
      </c>
      <c r="C1080" s="76" t="s">
        <v>145</v>
      </c>
      <c r="D1080" s="76">
        <v>0</v>
      </c>
      <c r="E1080" s="78">
        <v>1</v>
      </c>
      <c r="F1080" s="78">
        <v>1</v>
      </c>
      <c r="G1080" s="76">
        <v>32.549999999999997</v>
      </c>
      <c r="H1080" s="59">
        <v>24.4</v>
      </c>
      <c r="I1080" s="59">
        <v>32.5</v>
      </c>
      <c r="J1080" s="59">
        <v>25.450364206403666</v>
      </c>
    </row>
    <row r="1081" spans="1:10">
      <c r="A1081" s="496"/>
      <c r="B1081" s="87" t="s">
        <v>146</v>
      </c>
      <c r="C1081" s="76" t="s">
        <v>147</v>
      </c>
      <c r="D1081" s="76">
        <v>1</v>
      </c>
      <c r="E1081" s="78">
        <v>1</v>
      </c>
      <c r="F1081" s="78">
        <v>1</v>
      </c>
      <c r="G1081" s="76">
        <v>32.549999999999997</v>
      </c>
      <c r="H1081" s="60">
        <v>28.6</v>
      </c>
      <c r="I1081" s="60">
        <v>32.799999999999997</v>
      </c>
      <c r="J1081" s="60">
        <v>31.681985326236472</v>
      </c>
    </row>
    <row r="1082" spans="1:10">
      <c r="A1082" s="496"/>
      <c r="B1082" s="87" t="s">
        <v>148</v>
      </c>
      <c r="C1082" s="76" t="s">
        <v>149</v>
      </c>
      <c r="D1082" s="76">
        <v>0</v>
      </c>
      <c r="E1082" s="78">
        <v>1</v>
      </c>
      <c r="F1082" s="78">
        <v>1</v>
      </c>
      <c r="G1082" s="76">
        <v>32.549999999999997</v>
      </c>
      <c r="H1082" s="60">
        <v>30.1</v>
      </c>
      <c r="I1082" s="60">
        <v>32.5</v>
      </c>
      <c r="J1082" s="60">
        <v>31.839196380938393</v>
      </c>
    </row>
    <row r="1083" spans="1:10">
      <c r="A1083" s="496"/>
      <c r="B1083" s="87" t="s">
        <v>150</v>
      </c>
      <c r="C1083" s="76" t="s">
        <v>151</v>
      </c>
      <c r="D1083" s="76">
        <v>1</v>
      </c>
      <c r="E1083" s="78">
        <v>1</v>
      </c>
      <c r="F1083" s="78">
        <v>1</v>
      </c>
      <c r="G1083" s="76">
        <v>32.549999999999997</v>
      </c>
      <c r="H1083" s="60">
        <v>30.7</v>
      </c>
      <c r="I1083" s="60">
        <v>32.6</v>
      </c>
      <c r="J1083" s="60">
        <v>31.343251116148533</v>
      </c>
    </row>
    <row r="1084" spans="1:10">
      <c r="A1084" s="496"/>
      <c r="B1084" s="87" t="s">
        <v>152</v>
      </c>
      <c r="C1084" s="76" t="s">
        <v>153</v>
      </c>
      <c r="D1084" s="76">
        <v>0</v>
      </c>
      <c r="E1084" s="78">
        <v>1</v>
      </c>
      <c r="F1084" s="78">
        <v>1</v>
      </c>
      <c r="G1084" s="76">
        <v>32.549999999999997</v>
      </c>
      <c r="H1084" s="59"/>
      <c r="I1084" s="59"/>
      <c r="J1084" s="59"/>
    </row>
    <row r="1085" spans="1:10">
      <c r="A1085" s="496"/>
      <c r="B1085" s="87" t="s">
        <v>154</v>
      </c>
      <c r="C1085" s="76" t="s">
        <v>155</v>
      </c>
      <c r="D1085" s="76">
        <v>0</v>
      </c>
      <c r="E1085" s="78">
        <v>1</v>
      </c>
      <c r="F1085" s="78">
        <v>1</v>
      </c>
      <c r="G1085" s="76">
        <v>32.549999999999997</v>
      </c>
      <c r="H1085" s="59">
        <v>28.4</v>
      </c>
      <c r="I1085" s="59">
        <v>29.9</v>
      </c>
      <c r="J1085" s="59">
        <v>29.630716247788403</v>
      </c>
    </row>
    <row r="1086" spans="1:10">
      <c r="A1086" s="496"/>
      <c r="B1086" s="87" t="s">
        <v>156</v>
      </c>
      <c r="C1086" s="76" t="s">
        <v>157</v>
      </c>
      <c r="D1086" s="76">
        <v>0</v>
      </c>
      <c r="E1086" s="78">
        <v>1</v>
      </c>
      <c r="F1086" s="78">
        <v>1</v>
      </c>
      <c r="G1086" s="76">
        <v>32.549999999999997</v>
      </c>
      <c r="H1086" s="59">
        <v>26.3</v>
      </c>
      <c r="I1086" s="59">
        <v>30.6</v>
      </c>
      <c r="J1086" s="59">
        <v>26.935364994203944</v>
      </c>
    </row>
    <row r="1087" spans="1:10">
      <c r="A1087" s="496"/>
      <c r="B1087" s="87" t="s">
        <v>158</v>
      </c>
      <c r="C1087" s="76" t="s">
        <v>159</v>
      </c>
      <c r="D1087" s="76">
        <v>0</v>
      </c>
      <c r="E1087" s="78">
        <v>1</v>
      </c>
      <c r="F1087" s="78">
        <v>1</v>
      </c>
      <c r="G1087" s="76">
        <v>32.549999999999997</v>
      </c>
      <c r="H1087" s="59">
        <v>25.6</v>
      </c>
      <c r="I1087" s="59">
        <v>34</v>
      </c>
      <c r="J1087" s="59">
        <v>30.625999679618541</v>
      </c>
    </row>
    <row r="1088" spans="1:10">
      <c r="A1088" s="496"/>
      <c r="B1088" s="87" t="s">
        <v>160</v>
      </c>
      <c r="C1088" s="76" t="s">
        <v>161</v>
      </c>
      <c r="D1088" s="76">
        <v>0</v>
      </c>
      <c r="E1088" s="78">
        <v>1</v>
      </c>
      <c r="F1088" s="78">
        <v>1</v>
      </c>
      <c r="G1088" s="76">
        <v>32.549999999999997</v>
      </c>
      <c r="H1088" s="59">
        <v>27.7</v>
      </c>
      <c r="I1088" s="59">
        <v>30.4</v>
      </c>
      <c r="J1088" s="59">
        <v>29.382356535905735</v>
      </c>
    </row>
    <row r="1089" spans="1:10">
      <c r="A1089" s="496"/>
      <c r="B1089" s="87" t="s">
        <v>162</v>
      </c>
      <c r="C1089" s="76" t="s">
        <v>163</v>
      </c>
      <c r="D1089" s="76">
        <v>0</v>
      </c>
      <c r="E1089" s="78">
        <v>1</v>
      </c>
      <c r="F1089" s="78">
        <v>1</v>
      </c>
      <c r="G1089" s="76">
        <v>32.549999999999997</v>
      </c>
      <c r="H1089" s="59">
        <v>27</v>
      </c>
      <c r="I1089" s="59">
        <v>30.2</v>
      </c>
      <c r="J1089" s="59">
        <v>28.319564185557223</v>
      </c>
    </row>
    <row r="1090" spans="1:10">
      <c r="A1090" s="496"/>
      <c r="B1090" s="87" t="s">
        <v>164</v>
      </c>
      <c r="C1090" s="76" t="s">
        <v>287</v>
      </c>
      <c r="D1090" s="76">
        <v>0</v>
      </c>
      <c r="E1090" s="78">
        <v>1</v>
      </c>
      <c r="F1090" s="78">
        <v>1</v>
      </c>
      <c r="G1090" s="76">
        <v>24.4</v>
      </c>
      <c r="H1090" s="59">
        <v>26</v>
      </c>
      <c r="I1090" s="59">
        <v>27.5</v>
      </c>
      <c r="J1090" s="59">
        <v>26.918421650104822</v>
      </c>
    </row>
    <row r="1091" spans="1:10">
      <c r="A1091" s="496"/>
      <c r="B1091" s="87" t="s">
        <v>165</v>
      </c>
      <c r="C1091" s="76" t="s">
        <v>166</v>
      </c>
      <c r="D1091" s="76">
        <v>0</v>
      </c>
      <c r="E1091" s="78">
        <v>1</v>
      </c>
      <c r="F1091" s="78">
        <v>1</v>
      </c>
      <c r="G1091" s="76">
        <v>24.4</v>
      </c>
      <c r="H1091" s="59">
        <v>25.5</v>
      </c>
      <c r="I1091" s="59">
        <v>27.5</v>
      </c>
      <c r="J1091" s="59">
        <v>26.559773141544955</v>
      </c>
    </row>
    <row r="1092" spans="1:10">
      <c r="A1092" s="496" t="s">
        <v>288</v>
      </c>
      <c r="B1092" s="87" t="s">
        <v>167</v>
      </c>
      <c r="C1092" s="76" t="s">
        <v>289</v>
      </c>
      <c r="D1092" s="77">
        <v>1</v>
      </c>
      <c r="E1092" s="78">
        <v>1</v>
      </c>
      <c r="F1092" s="497" t="s">
        <v>276</v>
      </c>
      <c r="G1092" s="76">
        <v>105.48</v>
      </c>
      <c r="H1092" s="56">
        <v>25.7</v>
      </c>
      <c r="I1092" s="60">
        <v>39.700000000000003</v>
      </c>
      <c r="J1092" s="60">
        <v>35.190372604446353</v>
      </c>
    </row>
    <row r="1093" spans="1:10">
      <c r="A1093" s="496"/>
      <c r="B1093" s="87" t="s">
        <v>168</v>
      </c>
      <c r="C1093" s="76" t="s">
        <v>169</v>
      </c>
      <c r="D1093" s="77">
        <v>1</v>
      </c>
      <c r="E1093" s="78">
        <v>1</v>
      </c>
      <c r="F1093" s="498"/>
      <c r="G1093" s="76">
        <v>105.48</v>
      </c>
      <c r="H1093" s="56">
        <v>28.7</v>
      </c>
      <c r="I1093" s="61">
        <v>42.6</v>
      </c>
      <c r="J1093" s="61">
        <v>38.274867758099141</v>
      </c>
    </row>
    <row r="1094" spans="1:10">
      <c r="A1094" s="496"/>
      <c r="B1094" s="87" t="s">
        <v>170</v>
      </c>
      <c r="C1094" s="76" t="s">
        <v>171</v>
      </c>
      <c r="D1094" s="77">
        <v>1</v>
      </c>
      <c r="E1094" s="78">
        <v>1</v>
      </c>
      <c r="F1094" s="498"/>
      <c r="G1094" s="76">
        <v>105.48</v>
      </c>
      <c r="H1094" s="56">
        <v>27.4</v>
      </c>
      <c r="I1094" s="57">
        <v>45.8</v>
      </c>
      <c r="J1094" s="57">
        <v>40.447616220029126</v>
      </c>
    </row>
    <row r="1095" spans="1:10">
      <c r="A1095" s="496"/>
      <c r="B1095" s="87" t="s">
        <v>172</v>
      </c>
      <c r="C1095" s="76" t="s">
        <v>173</v>
      </c>
      <c r="D1095" s="77">
        <v>1</v>
      </c>
      <c r="E1095" s="78">
        <v>1</v>
      </c>
      <c r="F1095" s="498"/>
      <c r="G1095" s="76">
        <v>105.48</v>
      </c>
      <c r="H1095" s="56">
        <v>27</v>
      </c>
      <c r="I1095" s="57">
        <v>45.3</v>
      </c>
      <c r="J1095" s="57">
        <v>40.088349265555607</v>
      </c>
    </row>
    <row r="1096" spans="1:10">
      <c r="A1096" s="496"/>
      <c r="B1096" s="87" t="s">
        <v>174</v>
      </c>
      <c r="C1096" s="76" t="s">
        <v>290</v>
      </c>
      <c r="D1096" s="77">
        <v>1</v>
      </c>
      <c r="E1096" s="78">
        <v>1</v>
      </c>
      <c r="F1096" s="498"/>
      <c r="G1096" s="76">
        <v>65</v>
      </c>
      <c r="H1096" s="62">
        <v>30.6</v>
      </c>
      <c r="I1096" s="62">
        <v>40.6</v>
      </c>
      <c r="J1096" s="62">
        <v>37.47478447889106</v>
      </c>
    </row>
    <row r="1097" spans="1:10">
      <c r="A1097" s="496"/>
      <c r="B1097" s="87" t="s">
        <v>175</v>
      </c>
      <c r="C1097" s="76" t="s">
        <v>176</v>
      </c>
      <c r="D1097" s="77">
        <v>1</v>
      </c>
      <c r="E1097" s="78">
        <v>1</v>
      </c>
      <c r="F1097" s="499"/>
      <c r="G1097" s="76">
        <v>65</v>
      </c>
      <c r="H1097" s="62">
        <v>29</v>
      </c>
      <c r="I1097" s="62">
        <v>30</v>
      </c>
      <c r="J1097" s="62">
        <v>29.322365104728199</v>
      </c>
    </row>
    <row r="1098" spans="1:10">
      <c r="A1098" s="496"/>
      <c r="B1098" s="87" t="s">
        <v>177</v>
      </c>
      <c r="C1098" s="76" t="s">
        <v>291</v>
      </c>
      <c r="D1098" s="77">
        <v>1</v>
      </c>
      <c r="E1098" s="78">
        <v>1</v>
      </c>
      <c r="F1098" s="497" t="s">
        <v>285</v>
      </c>
      <c r="G1098" s="76">
        <v>16.3</v>
      </c>
      <c r="H1098" s="62">
        <v>30.5</v>
      </c>
      <c r="I1098" s="62">
        <v>34.5</v>
      </c>
      <c r="J1098" s="62">
        <v>31.691676637256574</v>
      </c>
    </row>
    <row r="1099" spans="1:10">
      <c r="A1099" s="496"/>
      <c r="B1099" s="87" t="s">
        <v>178</v>
      </c>
      <c r="C1099" s="76" t="s">
        <v>179</v>
      </c>
      <c r="D1099" s="77">
        <v>1</v>
      </c>
      <c r="E1099" s="78">
        <v>1</v>
      </c>
      <c r="F1099" s="498"/>
      <c r="G1099" s="76">
        <v>16.3</v>
      </c>
      <c r="H1099" s="62">
        <v>31</v>
      </c>
      <c r="I1099" s="62">
        <v>40.5</v>
      </c>
      <c r="J1099" s="62">
        <v>34.619817345292134</v>
      </c>
    </row>
    <row r="1100" spans="1:10">
      <c r="A1100" s="496"/>
      <c r="B1100" s="87" t="s">
        <v>180</v>
      </c>
      <c r="C1100" s="76" t="s">
        <v>181</v>
      </c>
      <c r="D1100" s="77">
        <v>1</v>
      </c>
      <c r="E1100" s="78">
        <v>1</v>
      </c>
      <c r="F1100" s="498"/>
      <c r="G1100" s="76">
        <v>16.3</v>
      </c>
      <c r="H1100" s="62">
        <v>28</v>
      </c>
      <c r="I1100" s="62">
        <v>45</v>
      </c>
      <c r="J1100" s="62">
        <v>30.126522635332051</v>
      </c>
    </row>
    <row r="1101" spans="1:10">
      <c r="A1101" s="496"/>
      <c r="B1101" s="87" t="s">
        <v>292</v>
      </c>
      <c r="C1101" s="76" t="s">
        <v>182</v>
      </c>
      <c r="D1101" s="77">
        <v>1</v>
      </c>
      <c r="E1101" s="78">
        <v>1</v>
      </c>
      <c r="F1101" s="499"/>
      <c r="G1101" s="76">
        <v>35</v>
      </c>
      <c r="H1101" s="62">
        <v>31.5</v>
      </c>
      <c r="I1101" s="62">
        <v>50.1</v>
      </c>
      <c r="J1101" s="62">
        <v>44.617185412817626</v>
      </c>
    </row>
    <row r="1102" spans="1:10">
      <c r="A1102" s="496" t="s">
        <v>278</v>
      </c>
      <c r="B1102" s="87" t="s">
        <v>126</v>
      </c>
      <c r="C1102" s="76" t="s">
        <v>281</v>
      </c>
      <c r="D1102" s="77">
        <v>1</v>
      </c>
      <c r="E1102" s="78">
        <v>1</v>
      </c>
      <c r="F1102" s="91"/>
      <c r="G1102" s="76">
        <v>70.319999999999993</v>
      </c>
      <c r="H1102" s="62">
        <v>25.2</v>
      </c>
      <c r="I1102" s="62">
        <v>56.1</v>
      </c>
      <c r="J1102" s="62">
        <v>38.445655165716552</v>
      </c>
    </row>
    <row r="1103" spans="1:10">
      <c r="A1103" s="496"/>
      <c r="B1103" s="87" t="s">
        <v>127</v>
      </c>
      <c r="C1103" s="76" t="s">
        <v>128</v>
      </c>
      <c r="D1103" s="77">
        <v>1</v>
      </c>
      <c r="E1103" s="78">
        <v>1</v>
      </c>
      <c r="F1103" s="91"/>
      <c r="G1103" s="76">
        <v>70.319999999999993</v>
      </c>
      <c r="H1103" s="62">
        <v>25</v>
      </c>
      <c r="I1103" s="62">
        <v>56.2</v>
      </c>
      <c r="J1103" s="62">
        <v>37.517854848939081</v>
      </c>
    </row>
    <row r="1104" spans="1:10">
      <c r="A1104" s="496"/>
      <c r="B1104" s="87" t="s">
        <v>129</v>
      </c>
      <c r="C1104" s="76" t="s">
        <v>130</v>
      </c>
      <c r="D1104" s="77">
        <v>1</v>
      </c>
      <c r="E1104" s="78">
        <v>1</v>
      </c>
      <c r="F1104" s="91"/>
      <c r="G1104" s="76">
        <v>70.319999999999993</v>
      </c>
      <c r="H1104" s="62">
        <v>24.9</v>
      </c>
      <c r="I1104" s="62">
        <v>55.1</v>
      </c>
      <c r="J1104" s="62">
        <v>37.871109473847063</v>
      </c>
    </row>
    <row r="1105" spans="1:10">
      <c r="H1105" s="92">
        <f>AVERAGE(H1064:H1075,H1081:H1083,H1092:H1104)</f>
        <v>26.610714285714288</v>
      </c>
      <c r="I1105" s="92">
        <f>AVERAGE(I1064:I1075,I1081:I1083,I1092:I1104)</f>
        <v>45.474999999999987</v>
      </c>
      <c r="J1105" s="115">
        <f>AVERAGE(J1064:J1075,J1081:J1083,J1092:J1104,J1079)</f>
        <v>36.473064994950349</v>
      </c>
    </row>
    <row r="1106" spans="1:10">
      <c r="J1106" s="116" t="s">
        <v>265</v>
      </c>
    </row>
    <row r="1107" spans="1:10">
      <c r="A1107" s="511" t="s">
        <v>293</v>
      </c>
      <c r="B1107" s="511"/>
      <c r="C1107" s="512" t="s">
        <v>187</v>
      </c>
      <c r="D1107" s="513"/>
      <c r="E1107" s="513" t="s">
        <v>188</v>
      </c>
      <c r="F1107" s="513"/>
      <c r="G1107" s="513" t="s">
        <v>189</v>
      </c>
      <c r="H1107" s="513"/>
      <c r="I1107" s="513" t="s">
        <v>190</v>
      </c>
      <c r="J1107" s="513"/>
    </row>
    <row r="1108" spans="1:10" ht="34.799999999999997">
      <c r="A1108" s="511"/>
      <c r="B1108" s="511"/>
      <c r="C1108" s="103" t="s">
        <v>191</v>
      </c>
      <c r="D1108" s="102" t="s">
        <v>192</v>
      </c>
      <c r="E1108" s="102" t="s">
        <v>191</v>
      </c>
      <c r="F1108" s="102" t="s">
        <v>192</v>
      </c>
      <c r="G1108" s="102" t="s">
        <v>191</v>
      </c>
      <c r="H1108" s="102" t="s">
        <v>192</v>
      </c>
      <c r="I1108" s="102" t="s">
        <v>191</v>
      </c>
      <c r="J1108" s="102" t="s">
        <v>192</v>
      </c>
    </row>
    <row r="1109" spans="1:10">
      <c r="A1109" s="500" t="s">
        <v>294</v>
      </c>
      <c r="B1109" s="101" t="s">
        <v>295</v>
      </c>
      <c r="C1109" s="94"/>
      <c r="D1109" s="93"/>
      <c r="E1109" s="94"/>
      <c r="F1109" s="93"/>
      <c r="G1109" s="94"/>
      <c r="H1109" s="93"/>
      <c r="I1109" s="94"/>
      <c r="J1109" s="93"/>
    </row>
    <row r="1110" spans="1:10">
      <c r="A1110" s="501"/>
      <c r="B1110" s="95" t="s">
        <v>193</v>
      </c>
      <c r="C1110" s="94"/>
      <c r="D1110" s="93"/>
      <c r="E1110" s="94"/>
      <c r="F1110" s="93"/>
      <c r="G1110" s="94"/>
      <c r="H1110" s="93"/>
      <c r="I1110" s="94"/>
      <c r="J1110" s="93"/>
    </row>
    <row r="1111" spans="1:10">
      <c r="A1111" s="501"/>
      <c r="B1111" s="95" t="s">
        <v>194</v>
      </c>
      <c r="C1111" s="94"/>
      <c r="D1111" s="93"/>
      <c r="E1111" s="94"/>
      <c r="F1111" s="93"/>
      <c r="G1111" s="94"/>
      <c r="H1111" s="93"/>
      <c r="I1111" s="94"/>
      <c r="J1111" s="93"/>
    </row>
    <row r="1112" spans="1:10">
      <c r="A1112" s="501"/>
      <c r="B1112" s="95" t="s">
        <v>195</v>
      </c>
      <c r="C1112" s="94"/>
      <c r="D1112" s="93"/>
      <c r="E1112" s="94"/>
      <c r="F1112" s="93"/>
      <c r="G1112" s="94"/>
      <c r="H1112" s="93"/>
      <c r="I1112" s="94"/>
      <c r="J1112" s="93"/>
    </row>
    <row r="1113" spans="1:10">
      <c r="A1113" s="501"/>
      <c r="B1113" s="95" t="s">
        <v>196</v>
      </c>
      <c r="C1113" s="94"/>
      <c r="D1113" s="93"/>
      <c r="E1113" s="94"/>
      <c r="F1113" s="93"/>
      <c r="G1113" s="94"/>
      <c r="H1113" s="93"/>
      <c r="I1113" s="94"/>
      <c r="J1113" s="93"/>
    </row>
    <row r="1114" spans="1:10">
      <c r="A1114" s="501"/>
      <c r="B1114" s="95" t="s">
        <v>197</v>
      </c>
      <c r="C1114" s="94"/>
      <c r="D1114" s="93"/>
      <c r="E1114" s="94"/>
      <c r="F1114" s="93"/>
      <c r="G1114" s="94"/>
      <c r="H1114" s="93"/>
      <c r="I1114" s="94"/>
      <c r="J1114" s="93"/>
    </row>
    <row r="1115" spans="1:10">
      <c r="A1115" s="501"/>
      <c r="B1115" s="95" t="s">
        <v>198</v>
      </c>
      <c r="C1115" s="94"/>
      <c r="D1115" s="93"/>
      <c r="E1115" s="94"/>
      <c r="F1115" s="93"/>
      <c r="G1115" s="94"/>
      <c r="H1115" s="93"/>
      <c r="I1115" s="94"/>
      <c r="J1115" s="93"/>
    </row>
    <row r="1116" spans="1:10">
      <c r="A1116" s="501"/>
      <c r="B1116" s="95" t="s">
        <v>199</v>
      </c>
      <c r="C1116" s="94"/>
      <c r="D1116" s="93"/>
      <c r="E1116" s="94"/>
      <c r="F1116" s="93"/>
      <c r="G1116" s="94"/>
      <c r="H1116" s="93"/>
      <c r="I1116" s="94"/>
      <c r="J1116" s="93"/>
    </row>
    <row r="1117" spans="1:10">
      <c r="A1117" s="501"/>
      <c r="B1117" s="95" t="s">
        <v>200</v>
      </c>
      <c r="C1117" s="94"/>
      <c r="D1117" s="93"/>
      <c r="E1117" s="94"/>
      <c r="F1117" s="93"/>
      <c r="G1117" s="94"/>
      <c r="H1117" s="93"/>
      <c r="I1117" s="99"/>
      <c r="J1117" s="100"/>
    </row>
    <row r="1118" spans="1:10">
      <c r="A1118" s="501"/>
      <c r="B1118" s="95" t="s">
        <v>201</v>
      </c>
      <c r="C1118" s="94"/>
      <c r="D1118" s="93"/>
      <c r="E1118" s="99"/>
      <c r="F1118" s="100"/>
      <c r="G1118" s="94"/>
      <c r="H1118" s="93"/>
      <c r="I1118" s="99"/>
      <c r="J1118" s="100"/>
    </row>
    <row r="1119" spans="1:10">
      <c r="A1119" s="501"/>
      <c r="B1119" s="95" t="s">
        <v>202</v>
      </c>
      <c r="C1119" s="94"/>
      <c r="D1119" s="93"/>
      <c r="E1119" s="99"/>
      <c r="F1119" s="100"/>
      <c r="G1119" s="94"/>
      <c r="H1119" s="93"/>
      <c r="I1119" s="99"/>
      <c r="J1119" s="100"/>
    </row>
    <row r="1120" spans="1:10">
      <c r="A1120" s="501"/>
      <c r="B1120" s="95" t="s">
        <v>203</v>
      </c>
      <c r="C1120" s="94"/>
      <c r="D1120" s="93"/>
      <c r="E1120" s="99"/>
      <c r="F1120" s="100"/>
      <c r="G1120" s="94"/>
      <c r="H1120" s="93"/>
      <c r="I1120" s="99"/>
      <c r="J1120" s="100"/>
    </row>
    <row r="1121" spans="1:10">
      <c r="A1121" s="501"/>
      <c r="B1121" s="95" t="s">
        <v>204</v>
      </c>
      <c r="C1121" s="94"/>
      <c r="D1121" s="93"/>
      <c r="E1121" s="99"/>
      <c r="F1121" s="100"/>
      <c r="G1121" s="94"/>
      <c r="H1121" s="93"/>
      <c r="I1121" s="99"/>
      <c r="J1121" s="100"/>
    </row>
    <row r="1122" spans="1:10">
      <c r="A1122" s="501"/>
      <c r="B1122" s="95" t="s">
        <v>205</v>
      </c>
      <c r="C1122" s="99"/>
      <c r="D1122" s="100"/>
      <c r="E1122" s="99"/>
      <c r="F1122" s="100"/>
      <c r="G1122" s="94"/>
      <c r="H1122" s="93"/>
      <c r="I1122" s="99"/>
      <c r="J1122" s="100"/>
    </row>
    <row r="1123" spans="1:10">
      <c r="A1123" s="501"/>
      <c r="B1123" s="95" t="s">
        <v>206</v>
      </c>
      <c r="C1123" s="99"/>
      <c r="D1123" s="100"/>
      <c r="E1123" s="99"/>
      <c r="F1123" s="100"/>
      <c r="G1123" s="94"/>
      <c r="H1123" s="93"/>
      <c r="I1123" s="99"/>
      <c r="J1123" s="100"/>
    </row>
    <row r="1124" spans="1:10">
      <c r="A1124" s="501"/>
      <c r="B1124" s="95" t="s">
        <v>207</v>
      </c>
      <c r="C1124" s="99"/>
      <c r="D1124" s="100"/>
      <c r="E1124" s="99"/>
      <c r="F1124" s="100"/>
      <c r="G1124" s="94"/>
      <c r="H1124" s="93"/>
      <c r="I1124" s="99"/>
      <c r="J1124" s="100"/>
    </row>
    <row r="1125" spans="1:10">
      <c r="A1125" s="501"/>
      <c r="B1125" s="96" t="s">
        <v>296</v>
      </c>
      <c r="C1125" s="94"/>
      <c r="D1125" s="93"/>
      <c r="E1125" s="94"/>
      <c r="F1125" s="93"/>
      <c r="G1125" s="94"/>
      <c r="H1125" s="93"/>
      <c r="I1125" s="94"/>
      <c r="J1125" s="93"/>
    </row>
    <row r="1126" spans="1:10">
      <c r="A1126" s="501"/>
      <c r="B1126" s="96" t="s">
        <v>208</v>
      </c>
      <c r="C1126" s="94"/>
      <c r="D1126" s="93"/>
      <c r="E1126" s="94"/>
      <c r="F1126" s="93"/>
      <c r="G1126" s="94"/>
      <c r="H1126" s="93"/>
      <c r="I1126" s="94"/>
      <c r="J1126" s="93"/>
    </row>
    <row r="1127" spans="1:10">
      <c r="A1127" s="501"/>
      <c r="B1127" s="96" t="s">
        <v>209</v>
      </c>
      <c r="C1127" s="94"/>
      <c r="D1127" s="93"/>
      <c r="E1127" s="94"/>
      <c r="F1127" s="93"/>
      <c r="G1127" s="94"/>
      <c r="H1127" s="93"/>
      <c r="I1127" s="94"/>
      <c r="J1127" s="93"/>
    </row>
    <row r="1128" spans="1:10">
      <c r="A1128" s="501"/>
      <c r="B1128" s="96" t="s">
        <v>210</v>
      </c>
      <c r="C1128" s="94"/>
      <c r="D1128" s="93"/>
      <c r="E1128" s="94"/>
      <c r="F1128" s="93"/>
      <c r="G1128" s="94"/>
      <c r="H1128" s="93"/>
      <c r="I1128" s="94"/>
      <c r="J1128" s="93"/>
    </row>
    <row r="1129" spans="1:10">
      <c r="A1129" s="501"/>
      <c r="B1129" s="96" t="s">
        <v>211</v>
      </c>
      <c r="C1129" s="94"/>
      <c r="D1129" s="93"/>
      <c r="E1129" s="94"/>
      <c r="F1129" s="93"/>
      <c r="G1129" s="94"/>
      <c r="H1129" s="93"/>
      <c r="I1129" s="94"/>
      <c r="J1129" s="93"/>
    </row>
    <row r="1130" spans="1:10">
      <c r="A1130" s="501"/>
      <c r="B1130" s="96" t="s">
        <v>212</v>
      </c>
      <c r="C1130" s="94"/>
      <c r="D1130" s="93"/>
      <c r="E1130" s="94"/>
      <c r="F1130" s="93"/>
      <c r="G1130" s="94"/>
      <c r="H1130" s="93"/>
      <c r="I1130" s="94"/>
      <c r="J1130" s="93"/>
    </row>
    <row r="1131" spans="1:10">
      <c r="A1131" s="501"/>
      <c r="B1131" s="96" t="s">
        <v>213</v>
      </c>
      <c r="C1131" s="94"/>
      <c r="D1131" s="93"/>
      <c r="E1131" s="94"/>
      <c r="F1131" s="93"/>
      <c r="G1131" s="94"/>
      <c r="H1131" s="93"/>
      <c r="I1131" s="94"/>
      <c r="J1131" s="93"/>
    </row>
    <row r="1132" spans="1:10">
      <c r="A1132" s="501"/>
      <c r="B1132" s="96" t="s">
        <v>214</v>
      </c>
      <c r="C1132" s="94"/>
      <c r="D1132" s="93"/>
      <c r="E1132" s="94"/>
      <c r="F1132" s="93"/>
      <c r="G1132" s="94"/>
      <c r="H1132" s="93"/>
      <c r="I1132" s="94"/>
      <c r="J1132" s="93"/>
    </row>
    <row r="1133" spans="1:10">
      <c r="A1133" s="501"/>
      <c r="B1133" s="96" t="s">
        <v>215</v>
      </c>
      <c r="C1133" s="94"/>
      <c r="D1133" s="93"/>
      <c r="E1133" s="94"/>
      <c r="F1133" s="93"/>
      <c r="G1133" s="94"/>
      <c r="H1133" s="93"/>
      <c r="I1133" s="94"/>
      <c r="J1133" s="93"/>
    </row>
    <row r="1134" spans="1:10">
      <c r="A1134" s="501"/>
      <c r="B1134" s="96" t="s">
        <v>216</v>
      </c>
      <c r="C1134" s="94"/>
      <c r="D1134" s="93"/>
      <c r="E1134" s="94"/>
      <c r="F1134" s="93"/>
      <c r="G1134" s="94"/>
      <c r="H1134" s="93"/>
      <c r="I1134" s="94"/>
      <c r="J1134" s="93"/>
    </row>
    <row r="1135" spans="1:10">
      <c r="A1135" s="501"/>
      <c r="B1135" s="96" t="s">
        <v>217</v>
      </c>
      <c r="C1135" s="94"/>
      <c r="D1135" s="93"/>
      <c r="E1135" s="94"/>
      <c r="F1135" s="93"/>
      <c r="G1135" s="94"/>
      <c r="H1135" s="93"/>
      <c r="I1135" s="99"/>
      <c r="J1135" s="100"/>
    </row>
    <row r="1136" spans="1:10">
      <c r="A1136" s="501"/>
      <c r="B1136" s="96" t="s">
        <v>218</v>
      </c>
      <c r="C1136" s="94"/>
      <c r="D1136" s="93"/>
      <c r="E1136" s="94"/>
      <c r="F1136" s="93"/>
      <c r="G1136" s="94"/>
      <c r="H1136" s="93"/>
      <c r="I1136" s="99"/>
      <c r="J1136" s="100"/>
    </row>
    <row r="1137" spans="1:10">
      <c r="A1137" s="501"/>
      <c r="B1137" s="96" t="s">
        <v>219</v>
      </c>
      <c r="C1137" s="94"/>
      <c r="D1137" s="93"/>
      <c r="E1137" s="94"/>
      <c r="F1137" s="93"/>
      <c r="G1137" s="94"/>
      <c r="H1137" s="93"/>
      <c r="I1137" s="99"/>
      <c r="J1137" s="100"/>
    </row>
    <row r="1138" spans="1:10">
      <c r="A1138" s="501"/>
      <c r="B1138" s="96" t="s">
        <v>220</v>
      </c>
      <c r="C1138" s="94"/>
      <c r="D1138" s="93"/>
      <c r="E1138" s="94"/>
      <c r="F1138" s="93"/>
      <c r="G1138" s="99"/>
      <c r="H1138" s="100"/>
      <c r="I1138" s="99"/>
      <c r="J1138" s="100"/>
    </row>
    <row r="1139" spans="1:10">
      <c r="A1139" s="501"/>
      <c r="B1139" s="96" t="s">
        <v>297</v>
      </c>
      <c r="C1139" s="94"/>
      <c r="D1139" s="93"/>
      <c r="E1139" s="99"/>
      <c r="F1139" s="100"/>
      <c r="G1139" s="99"/>
      <c r="H1139" s="100"/>
      <c r="I1139" s="99"/>
      <c r="J1139" s="100"/>
    </row>
    <row r="1140" spans="1:10">
      <c r="A1140" s="501"/>
      <c r="B1140" s="96" t="s">
        <v>221</v>
      </c>
      <c r="C1140" s="94"/>
      <c r="D1140" s="93"/>
      <c r="E1140" s="99"/>
      <c r="F1140" s="100"/>
      <c r="G1140" s="99"/>
      <c r="H1140" s="100"/>
      <c r="I1140" s="99"/>
      <c r="J1140" s="100"/>
    </row>
    <row r="1141" spans="1:10">
      <c r="A1141" s="501"/>
      <c r="B1141" s="97" t="s">
        <v>298</v>
      </c>
      <c r="C1141" s="94"/>
      <c r="D1141" s="93"/>
      <c r="E1141" s="94"/>
      <c r="F1141" s="93"/>
      <c r="G1141" s="94"/>
      <c r="H1141" s="93"/>
      <c r="I1141" s="94"/>
      <c r="J1141" s="93"/>
    </row>
    <row r="1142" spans="1:10">
      <c r="A1142" s="501"/>
      <c r="B1142" s="97" t="s">
        <v>222</v>
      </c>
      <c r="C1142" s="94"/>
      <c r="D1142" s="93"/>
      <c r="E1142" s="94"/>
      <c r="F1142" s="93"/>
      <c r="G1142" s="94"/>
      <c r="H1142" s="93"/>
      <c r="I1142" s="94"/>
      <c r="J1142" s="93"/>
    </row>
    <row r="1143" spans="1:10">
      <c r="A1143" s="501"/>
      <c r="B1143" s="97" t="s">
        <v>223</v>
      </c>
      <c r="C1143" s="94"/>
      <c r="D1143" s="93"/>
      <c r="E1143" s="94"/>
      <c r="F1143" s="93"/>
      <c r="G1143" s="94"/>
      <c r="H1143" s="93"/>
      <c r="I1143" s="94"/>
      <c r="J1143" s="93"/>
    </row>
    <row r="1144" spans="1:10">
      <c r="A1144" s="501"/>
      <c r="B1144" s="97" t="s">
        <v>224</v>
      </c>
      <c r="C1144" s="94"/>
      <c r="D1144" s="93"/>
      <c r="E1144" s="94"/>
      <c r="F1144" s="93"/>
      <c r="G1144" s="94"/>
      <c r="H1144" s="93"/>
      <c r="I1144" s="94"/>
      <c r="J1144" s="93"/>
    </row>
    <row r="1145" spans="1:10">
      <c r="A1145" s="501"/>
      <c r="B1145" s="97" t="s">
        <v>225</v>
      </c>
      <c r="C1145" s="94"/>
      <c r="D1145" s="93"/>
      <c r="E1145" s="94"/>
      <c r="F1145" s="93"/>
      <c r="G1145" s="94"/>
      <c r="H1145" s="93"/>
      <c r="I1145" s="94"/>
      <c r="J1145" s="93"/>
    </row>
    <row r="1146" spans="1:10">
      <c r="A1146" s="501"/>
      <c r="B1146" s="97" t="s">
        <v>226</v>
      </c>
      <c r="C1146" s="94"/>
      <c r="D1146" s="93"/>
      <c r="E1146" s="94"/>
      <c r="F1146" s="93"/>
      <c r="G1146" s="94"/>
      <c r="H1146" s="93"/>
      <c r="I1146" s="94"/>
      <c r="J1146" s="93"/>
    </row>
    <row r="1147" spans="1:10">
      <c r="A1147" s="501"/>
      <c r="B1147" s="97" t="s">
        <v>227</v>
      </c>
      <c r="C1147" s="94"/>
      <c r="D1147" s="93"/>
      <c r="E1147" s="94"/>
      <c r="F1147" s="93"/>
      <c r="G1147" s="94"/>
      <c r="H1147" s="93"/>
      <c r="I1147" s="94"/>
      <c r="J1147" s="93"/>
    </row>
    <row r="1148" spans="1:10">
      <c r="A1148" s="501"/>
      <c r="B1148" s="97" t="s">
        <v>228</v>
      </c>
      <c r="C1148" s="94"/>
      <c r="D1148" s="93"/>
      <c r="E1148" s="94"/>
      <c r="F1148" s="93"/>
      <c r="G1148" s="94"/>
      <c r="H1148" s="93"/>
      <c r="I1148" s="94"/>
      <c r="J1148" s="93"/>
    </row>
    <row r="1149" spans="1:10">
      <c r="A1149" s="501"/>
      <c r="B1149" s="97" t="s">
        <v>229</v>
      </c>
      <c r="C1149" s="94"/>
      <c r="D1149" s="93"/>
      <c r="E1149" s="94"/>
      <c r="F1149" s="93"/>
      <c r="G1149" s="99"/>
      <c r="H1149" s="100"/>
      <c r="I1149" s="94"/>
      <c r="J1149" s="93"/>
    </row>
    <row r="1150" spans="1:10">
      <c r="A1150" s="501"/>
      <c r="B1150" s="97" t="s">
        <v>230</v>
      </c>
      <c r="C1150" s="94"/>
      <c r="D1150" s="93"/>
      <c r="E1150" s="94"/>
      <c r="F1150" s="93"/>
      <c r="G1150" s="99"/>
      <c r="H1150" s="100"/>
      <c r="I1150" s="99"/>
      <c r="J1150" s="100"/>
    </row>
    <row r="1151" spans="1:10">
      <c r="A1151" s="501"/>
      <c r="B1151" s="97" t="s">
        <v>231</v>
      </c>
      <c r="C1151" s="94"/>
      <c r="D1151" s="93"/>
      <c r="E1151" s="94"/>
      <c r="F1151" s="93"/>
      <c r="G1151" s="99"/>
      <c r="H1151" s="100"/>
      <c r="I1151" s="99"/>
      <c r="J1151" s="100"/>
    </row>
    <row r="1152" spans="1:10">
      <c r="A1152" s="501"/>
      <c r="B1152" s="97" t="s">
        <v>232</v>
      </c>
      <c r="C1152" s="94"/>
      <c r="D1152" s="93"/>
      <c r="E1152" s="94"/>
      <c r="F1152" s="93"/>
      <c r="G1152" s="99"/>
      <c r="H1152" s="100"/>
      <c r="I1152" s="99"/>
      <c r="J1152" s="100"/>
    </row>
    <row r="1153" spans="1:10">
      <c r="A1153" s="501"/>
      <c r="B1153" s="97" t="s">
        <v>233</v>
      </c>
      <c r="C1153" s="94"/>
      <c r="D1153" s="93"/>
      <c r="E1153" s="94"/>
      <c r="F1153" s="93"/>
      <c r="G1153" s="99"/>
      <c r="H1153" s="100"/>
      <c r="I1153" s="99"/>
      <c r="J1153" s="100"/>
    </row>
    <row r="1154" spans="1:10">
      <c r="A1154" s="501"/>
      <c r="B1154" s="97" t="s">
        <v>234</v>
      </c>
      <c r="C1154" s="94"/>
      <c r="D1154" s="93"/>
      <c r="E1154" s="94"/>
      <c r="F1154" s="93"/>
      <c r="G1154" s="99"/>
      <c r="H1154" s="100"/>
      <c r="I1154" s="99"/>
      <c r="J1154" s="100"/>
    </row>
    <row r="1155" spans="1:10">
      <c r="A1155" s="501"/>
      <c r="B1155" s="97" t="s">
        <v>235</v>
      </c>
      <c r="C1155" s="94"/>
      <c r="D1155" s="93"/>
      <c r="E1155" s="99"/>
      <c r="F1155" s="100"/>
      <c r="G1155" s="99"/>
      <c r="H1155" s="100"/>
      <c r="I1155" s="99"/>
      <c r="J1155" s="100"/>
    </row>
    <row r="1156" spans="1:10">
      <c r="A1156" s="501"/>
      <c r="B1156" s="97" t="s">
        <v>236</v>
      </c>
      <c r="C1156" s="94"/>
      <c r="D1156" s="93"/>
      <c r="E1156" s="99"/>
      <c r="F1156" s="100"/>
      <c r="G1156" s="99"/>
      <c r="H1156" s="100"/>
      <c r="I1156" s="99"/>
      <c r="J1156" s="100"/>
    </row>
    <row r="1157" spans="1:10">
      <c r="A1157" s="501"/>
      <c r="B1157" s="98" t="s">
        <v>299</v>
      </c>
      <c r="C1157" s="94"/>
      <c r="D1157" s="93"/>
      <c r="E1157" s="94"/>
      <c r="F1157" s="93"/>
      <c r="G1157" s="94"/>
      <c r="H1157" s="93"/>
      <c r="I1157" s="94"/>
      <c r="J1157" s="93"/>
    </row>
    <row r="1158" spans="1:10">
      <c r="A1158" s="501"/>
      <c r="B1158" s="98" t="s">
        <v>237</v>
      </c>
      <c r="C1158" s="94"/>
      <c r="D1158" s="93"/>
      <c r="E1158" s="94"/>
      <c r="F1158" s="93"/>
      <c r="G1158" s="94"/>
      <c r="H1158" s="93"/>
      <c r="I1158" s="94"/>
      <c r="J1158" s="93"/>
    </row>
    <row r="1159" spans="1:10">
      <c r="A1159" s="501"/>
      <c r="B1159" s="98" t="s">
        <v>238</v>
      </c>
      <c r="C1159" s="94"/>
      <c r="D1159" s="93"/>
      <c r="E1159" s="94"/>
      <c r="F1159" s="93"/>
      <c r="G1159" s="94"/>
      <c r="H1159" s="93"/>
      <c r="I1159" s="94"/>
      <c r="J1159" s="93"/>
    </row>
    <row r="1160" spans="1:10">
      <c r="A1160" s="501"/>
      <c r="B1160" s="98" t="s">
        <v>239</v>
      </c>
      <c r="C1160" s="94"/>
      <c r="D1160" s="93"/>
      <c r="E1160" s="94"/>
      <c r="F1160" s="93"/>
      <c r="G1160" s="94"/>
      <c r="H1160" s="93"/>
      <c r="I1160" s="94"/>
      <c r="J1160" s="93"/>
    </row>
    <row r="1161" spans="1:10">
      <c r="A1161" s="501"/>
      <c r="B1161" s="98" t="s">
        <v>240</v>
      </c>
      <c r="C1161" s="94"/>
      <c r="D1161" s="93"/>
      <c r="E1161" s="94"/>
      <c r="F1161" s="93"/>
      <c r="G1161" s="94"/>
      <c r="H1161" s="93"/>
      <c r="I1161" s="94"/>
      <c r="J1161" s="93"/>
    </row>
    <row r="1162" spans="1:10">
      <c r="A1162" s="501"/>
      <c r="B1162" s="98" t="s">
        <v>241</v>
      </c>
      <c r="C1162" s="94"/>
      <c r="D1162" s="93"/>
      <c r="E1162" s="94"/>
      <c r="F1162" s="93"/>
      <c r="G1162" s="94"/>
      <c r="H1162" s="93"/>
      <c r="I1162" s="94"/>
      <c r="J1162" s="93"/>
    </row>
    <row r="1163" spans="1:10">
      <c r="A1163" s="501"/>
      <c r="B1163" s="98" t="s">
        <v>242</v>
      </c>
      <c r="C1163" s="94"/>
      <c r="D1163" s="93"/>
      <c r="E1163" s="94"/>
      <c r="F1163" s="93"/>
      <c r="G1163" s="94"/>
      <c r="H1163" s="93"/>
      <c r="I1163" s="94"/>
      <c r="J1163" s="93"/>
    </row>
    <row r="1164" spans="1:10">
      <c r="A1164" s="501"/>
      <c r="B1164" s="98" t="s">
        <v>243</v>
      </c>
      <c r="C1164" s="94"/>
      <c r="D1164" s="93"/>
      <c r="E1164" s="94"/>
      <c r="F1164" s="93"/>
      <c r="G1164" s="94"/>
      <c r="H1164" s="93"/>
      <c r="I1164" s="94"/>
      <c r="J1164" s="93"/>
    </row>
    <row r="1165" spans="1:10">
      <c r="A1165" s="501"/>
      <c r="B1165" s="98" t="s">
        <v>244</v>
      </c>
      <c r="C1165" s="94"/>
      <c r="D1165" s="93"/>
      <c r="E1165" s="94"/>
      <c r="F1165" s="93"/>
      <c r="G1165" s="94"/>
      <c r="H1165" s="93"/>
      <c r="I1165" s="99"/>
      <c r="J1165" s="100"/>
    </row>
    <row r="1166" spans="1:10">
      <c r="A1166" s="501"/>
      <c r="B1166" s="98" t="s">
        <v>245</v>
      </c>
      <c r="C1166" s="94"/>
      <c r="D1166" s="93"/>
      <c r="E1166" s="94"/>
      <c r="F1166" s="93"/>
      <c r="G1166" s="94"/>
      <c r="H1166" s="93"/>
      <c r="I1166" s="99"/>
      <c r="J1166" s="100"/>
    </row>
    <row r="1167" spans="1:10">
      <c r="A1167" s="501"/>
      <c r="B1167" s="98" t="s">
        <v>246</v>
      </c>
      <c r="C1167" s="99"/>
      <c r="D1167" s="100"/>
      <c r="E1167" s="94"/>
      <c r="F1167" s="93"/>
      <c r="G1167" s="94"/>
      <c r="H1167" s="93"/>
      <c r="I1167" s="99"/>
      <c r="J1167" s="100"/>
    </row>
    <row r="1168" spans="1:10">
      <c r="A1168" s="501"/>
      <c r="B1168" s="98" t="s">
        <v>247</v>
      </c>
      <c r="C1168" s="99"/>
      <c r="D1168" s="100"/>
      <c r="E1168" s="94"/>
      <c r="F1168" s="93"/>
      <c r="G1168" s="94"/>
      <c r="H1168" s="93"/>
      <c r="I1168" s="99"/>
      <c r="J1168" s="100"/>
    </row>
    <row r="1169" spans="1:10">
      <c r="A1169" s="501"/>
      <c r="B1169" s="98" t="s">
        <v>248</v>
      </c>
      <c r="C1169" s="99"/>
      <c r="D1169" s="100"/>
      <c r="E1169" s="99"/>
      <c r="F1169" s="100"/>
      <c r="G1169" s="94"/>
      <c r="H1169" s="93"/>
      <c r="I1169" s="99"/>
      <c r="J1169" s="100"/>
    </row>
    <row r="1170" spans="1:10">
      <c r="A1170" s="501"/>
      <c r="B1170" s="95" t="s">
        <v>300</v>
      </c>
      <c r="C1170" s="99"/>
      <c r="D1170" s="100"/>
      <c r="E1170" s="99"/>
      <c r="F1170" s="100"/>
      <c r="G1170" s="99"/>
      <c r="H1170" s="100"/>
      <c r="I1170" s="94"/>
      <c r="J1170" s="93"/>
    </row>
    <row r="1171" spans="1:10">
      <c r="A1171" s="501"/>
      <c r="B1171" s="95" t="s">
        <v>249</v>
      </c>
      <c r="C1171" s="99"/>
      <c r="D1171" s="100"/>
      <c r="E1171" s="99"/>
      <c r="F1171" s="100"/>
      <c r="G1171" s="99"/>
      <c r="H1171" s="100"/>
      <c r="I1171" s="94"/>
      <c r="J1171" s="93"/>
    </row>
    <row r="1172" spans="1:10">
      <c r="A1172" s="501"/>
      <c r="B1172" s="95" t="s">
        <v>250</v>
      </c>
      <c r="C1172" s="99"/>
      <c r="D1172" s="100"/>
      <c r="E1172" s="99"/>
      <c r="F1172" s="100"/>
      <c r="G1172" s="99"/>
      <c r="H1172" s="100"/>
      <c r="I1172" s="94"/>
      <c r="J1172" s="93"/>
    </row>
    <row r="1173" spans="1:10">
      <c r="A1173" s="501"/>
      <c r="B1173" s="95" t="s">
        <v>251</v>
      </c>
      <c r="C1173" s="99"/>
      <c r="D1173" s="100"/>
      <c r="E1173" s="99"/>
      <c r="F1173" s="100"/>
      <c r="G1173" s="99"/>
      <c r="H1173" s="100"/>
      <c r="I1173" s="94"/>
      <c r="J1173" s="93"/>
    </row>
    <row r="1174" spans="1:10">
      <c r="A1174" s="501"/>
      <c r="B1174" s="95" t="s">
        <v>252</v>
      </c>
      <c r="C1174" s="99"/>
      <c r="D1174" s="100"/>
      <c r="E1174" s="99"/>
      <c r="F1174" s="100"/>
      <c r="G1174" s="99"/>
      <c r="H1174" s="100"/>
      <c r="I1174" s="94"/>
      <c r="J1174" s="93"/>
    </row>
    <row r="1175" spans="1:10">
      <c r="A1175" s="501"/>
      <c r="B1175" s="95" t="s">
        <v>253</v>
      </c>
      <c r="C1175" s="99"/>
      <c r="D1175" s="100"/>
      <c r="E1175" s="99"/>
      <c r="F1175" s="100"/>
      <c r="G1175" s="99"/>
      <c r="H1175" s="100"/>
      <c r="I1175" s="94"/>
      <c r="J1175" s="93"/>
    </row>
    <row r="1176" spans="1:10">
      <c r="A1176" s="501"/>
      <c r="B1176" s="95" t="s">
        <v>254</v>
      </c>
      <c r="C1176" s="99"/>
      <c r="D1176" s="100"/>
      <c r="E1176" s="99"/>
      <c r="F1176" s="100"/>
      <c r="G1176" s="99"/>
      <c r="H1176" s="100"/>
      <c r="I1176" s="94"/>
      <c r="J1176" s="93"/>
    </row>
    <row r="1177" spans="1:10">
      <c r="A1177" s="501"/>
      <c r="B1177" s="95" t="s">
        <v>255</v>
      </c>
      <c r="C1177" s="99"/>
      <c r="D1177" s="100"/>
      <c r="E1177" s="99"/>
      <c r="F1177" s="100"/>
      <c r="G1177" s="99"/>
      <c r="H1177" s="100"/>
      <c r="I1177" s="94"/>
      <c r="J1177" s="93"/>
    </row>
    <row r="1178" spans="1:10">
      <c r="A1178" s="501"/>
      <c r="B1178" s="95" t="s">
        <v>256</v>
      </c>
      <c r="C1178" s="99"/>
      <c r="D1178" s="100"/>
      <c r="E1178" s="99"/>
      <c r="F1178" s="100"/>
      <c r="G1178" s="99"/>
      <c r="H1178" s="100"/>
      <c r="I1178" s="94"/>
      <c r="J1178" s="93"/>
    </row>
    <row r="1179" spans="1:10">
      <c r="A1179" s="501"/>
      <c r="B1179" s="95" t="s">
        <v>257</v>
      </c>
      <c r="C1179" s="99"/>
      <c r="D1179" s="100"/>
      <c r="E1179" s="99"/>
      <c r="F1179" s="100"/>
      <c r="G1179" s="99"/>
      <c r="H1179" s="100"/>
      <c r="I1179" s="94"/>
      <c r="J1179" s="93"/>
    </row>
    <row r="1180" spans="1:10">
      <c r="A1180" s="501"/>
      <c r="B1180" s="95" t="s">
        <v>258</v>
      </c>
      <c r="C1180" s="99"/>
      <c r="D1180" s="100"/>
      <c r="E1180" s="99"/>
      <c r="F1180" s="100"/>
      <c r="G1180" s="99"/>
      <c r="H1180" s="100"/>
      <c r="I1180" s="94"/>
      <c r="J1180" s="93"/>
    </row>
    <row r="1181" spans="1:10">
      <c r="A1181" s="502"/>
      <c r="B1181" s="95" t="s">
        <v>259</v>
      </c>
      <c r="C1181" s="99"/>
      <c r="D1181" s="100"/>
      <c r="E1181" s="99"/>
      <c r="F1181" s="100"/>
      <c r="G1181" s="99"/>
      <c r="H1181" s="100"/>
      <c r="I1181" s="94"/>
      <c r="J1181" s="93"/>
    </row>
    <row r="1182" spans="1:10">
      <c r="A1182" s="116" t="s">
        <v>266</v>
      </c>
      <c r="B1182" s="117" t="e">
        <f>SUM(C1182,E1182,G1182,I1182)</f>
        <v>#DIV/0!</v>
      </c>
      <c r="C1182" s="104" t="e">
        <f>AVERAGE(C1109:C1121,C1125:C1166)</f>
        <v>#DIV/0!</v>
      </c>
      <c r="D1182" s="104" t="e">
        <f>AVERAGE(D1109:D1121,D1125:D1166)</f>
        <v>#DIV/0!</v>
      </c>
      <c r="E1182" s="104" t="e">
        <f>AVERAGE(E1109:E1117,E1125:E1138,E1141:E1154,E1157:E1168)</f>
        <v>#DIV/0!</v>
      </c>
      <c r="F1182" s="104" t="e">
        <f>AVERAGE(F1109:F1117,F1125:F1138,F1141:F1154,F1157:F1168)</f>
        <v>#DIV/0!</v>
      </c>
      <c r="G1182" s="104" t="e">
        <f>AVERAGE(G1109:G1137,G1141:G1148,G1157:G1169)</f>
        <v>#DIV/0!</v>
      </c>
      <c r="H1182" s="104" t="e">
        <f>AVERAGE(H1109:H1137,H1141:H1148,H1157:H1169)</f>
        <v>#DIV/0!</v>
      </c>
      <c r="I1182" s="104" t="e">
        <f>AVERAGE(I1109:I1116,I1125:I1134,I1141:I1149,I1157:I1164,I1170:I1181)</f>
        <v>#DIV/0!</v>
      </c>
      <c r="J1182" s="104" t="e">
        <f>AVERAGE(J1109:J1116,J1125:J1134,J1141:J1149,J1157:J1164,J1170:J1181)</f>
        <v>#DIV/0!</v>
      </c>
    </row>
    <row r="1183" spans="1:10">
      <c r="A1183" s="116" t="s">
        <v>267</v>
      </c>
      <c r="B1183" s="117" t="e">
        <f>SUM(D1182,F1182,H1182,J1182)</f>
        <v>#DIV/0!</v>
      </c>
      <c r="C1183" s="64" t="s">
        <v>268</v>
      </c>
      <c r="D1183" s="118" t="s">
        <v>269</v>
      </c>
      <c r="E1183" s="64" t="s">
        <v>268</v>
      </c>
      <c r="F1183" s="118" t="s">
        <v>269</v>
      </c>
      <c r="G1183" s="64" t="s">
        <v>268</v>
      </c>
      <c r="H1183" s="118" t="s">
        <v>269</v>
      </c>
      <c r="I1183" s="64" t="s">
        <v>268</v>
      </c>
      <c r="J1183" s="118" t="s">
        <v>269</v>
      </c>
    </row>
    <row r="1186" spans="1:11">
      <c r="A1186" s="503" t="s">
        <v>107</v>
      </c>
      <c r="B1186" s="503"/>
      <c r="C1186" s="503"/>
      <c r="D1186" s="503"/>
      <c r="E1186" s="503"/>
      <c r="F1186" s="503"/>
      <c r="G1186" s="503"/>
      <c r="H1186" s="503"/>
      <c r="I1186" s="503"/>
      <c r="J1186" s="504"/>
      <c r="K1186" s="109">
        <v>8</v>
      </c>
    </row>
    <row r="1187" spans="1:11" ht="34.799999999999997">
      <c r="A1187" s="74" t="s">
        <v>270</v>
      </c>
      <c r="B1187" s="74" t="s">
        <v>271</v>
      </c>
      <c r="C1187" s="74" t="s">
        <v>272</v>
      </c>
      <c r="D1187" s="74" t="s">
        <v>108</v>
      </c>
      <c r="E1187" s="74" t="s">
        <v>109</v>
      </c>
      <c r="F1187" s="75" t="s">
        <v>273</v>
      </c>
      <c r="G1187" s="74" t="s">
        <v>110</v>
      </c>
      <c r="H1187" s="74" t="s">
        <v>111</v>
      </c>
      <c r="I1187" s="74" t="s">
        <v>112</v>
      </c>
      <c r="J1187" s="74" t="s">
        <v>113</v>
      </c>
    </row>
    <row r="1188" spans="1:11">
      <c r="A1188" s="505" t="s">
        <v>274</v>
      </c>
      <c r="B1188" s="87" t="s">
        <v>114</v>
      </c>
      <c r="C1188" s="76" t="s">
        <v>275</v>
      </c>
      <c r="D1188" s="77">
        <v>1</v>
      </c>
      <c r="E1188" s="78">
        <v>1</v>
      </c>
      <c r="F1188" s="497" t="s">
        <v>276</v>
      </c>
      <c r="G1188" s="76">
        <v>105.48</v>
      </c>
      <c r="H1188" s="51">
        <v>25.5</v>
      </c>
      <c r="I1188" s="52">
        <v>26.6</v>
      </c>
      <c r="J1188" s="52">
        <v>25.947168858331978</v>
      </c>
    </row>
    <row r="1189" spans="1:11">
      <c r="A1189" s="506"/>
      <c r="B1189" s="87" t="s">
        <v>115</v>
      </c>
      <c r="C1189" s="76" t="s">
        <v>277</v>
      </c>
      <c r="D1189" s="77">
        <v>1</v>
      </c>
      <c r="E1189" s="78">
        <v>1</v>
      </c>
      <c r="F1189" s="498"/>
      <c r="G1189" s="76">
        <v>105.48</v>
      </c>
      <c r="H1189" s="51">
        <v>26</v>
      </c>
      <c r="I1189" s="52">
        <v>27.1</v>
      </c>
      <c r="J1189" s="52">
        <v>26.534160006693167</v>
      </c>
    </row>
    <row r="1190" spans="1:11">
      <c r="A1190" s="506"/>
      <c r="B1190" s="87" t="s">
        <v>116</v>
      </c>
      <c r="C1190" s="76" t="s">
        <v>117</v>
      </c>
      <c r="D1190" s="77">
        <v>1</v>
      </c>
      <c r="E1190" s="78">
        <v>1</v>
      </c>
      <c r="F1190" s="79"/>
      <c r="G1190" s="76">
        <v>105.48</v>
      </c>
      <c r="H1190" s="51">
        <v>26</v>
      </c>
      <c r="I1190" s="52">
        <v>27.1</v>
      </c>
      <c r="J1190" s="52">
        <v>26.612712003992765</v>
      </c>
    </row>
    <row r="1191" spans="1:11">
      <c r="A1191" s="507"/>
      <c r="B1191" s="87" t="s">
        <v>118</v>
      </c>
      <c r="C1191" s="76" t="s">
        <v>119</v>
      </c>
      <c r="D1191" s="77">
        <v>1</v>
      </c>
      <c r="E1191" s="78">
        <v>1</v>
      </c>
      <c r="F1191" s="79"/>
      <c r="G1191" s="76">
        <v>105.48</v>
      </c>
      <c r="H1191" s="51">
        <v>25.9</v>
      </c>
      <c r="I1191" s="52">
        <v>27</v>
      </c>
      <c r="J1191" s="52">
        <v>26.551582992080178</v>
      </c>
    </row>
    <row r="1192" spans="1:11">
      <c r="A1192" s="505" t="s">
        <v>278</v>
      </c>
      <c r="B1192" s="87" t="s">
        <v>120</v>
      </c>
      <c r="C1192" s="76" t="s">
        <v>279</v>
      </c>
      <c r="D1192" s="77">
        <v>1</v>
      </c>
      <c r="E1192" s="78">
        <v>1</v>
      </c>
      <c r="F1192" s="497" t="s">
        <v>276</v>
      </c>
      <c r="G1192" s="76">
        <v>105.48</v>
      </c>
      <c r="H1192" s="51">
        <v>19.5</v>
      </c>
      <c r="I1192" s="52">
        <v>28</v>
      </c>
      <c r="J1192" s="52">
        <v>26.562861558467784</v>
      </c>
    </row>
    <row r="1193" spans="1:11">
      <c r="A1193" s="506"/>
      <c r="B1193" s="87" t="s">
        <v>121</v>
      </c>
      <c r="C1193" s="76" t="s">
        <v>280</v>
      </c>
      <c r="D1193" s="77">
        <v>1</v>
      </c>
      <c r="E1193" s="78">
        <v>1</v>
      </c>
      <c r="F1193" s="498"/>
      <c r="G1193" s="76">
        <v>105.48</v>
      </c>
      <c r="H1193" s="51">
        <v>24.3</v>
      </c>
      <c r="I1193" s="52">
        <v>27.7</v>
      </c>
      <c r="J1193" s="52">
        <v>26.468817329979629</v>
      </c>
    </row>
    <row r="1194" spans="1:11">
      <c r="A1194" s="506"/>
      <c r="B1194" s="87" t="s">
        <v>122</v>
      </c>
      <c r="C1194" s="76" t="s">
        <v>123</v>
      </c>
      <c r="D1194" s="77">
        <v>1</v>
      </c>
      <c r="E1194" s="78">
        <v>1</v>
      </c>
      <c r="F1194" s="498"/>
      <c r="G1194" s="76">
        <v>105.48</v>
      </c>
      <c r="H1194" s="51">
        <v>17</v>
      </c>
      <c r="I1194" s="52">
        <v>27</v>
      </c>
      <c r="J1194" s="52">
        <v>21.191033060811872</v>
      </c>
    </row>
    <row r="1195" spans="1:11">
      <c r="A1195" s="506"/>
      <c r="B1195" s="87" t="s">
        <v>124</v>
      </c>
      <c r="C1195" s="76" t="s">
        <v>125</v>
      </c>
      <c r="D1195" s="77">
        <v>1</v>
      </c>
      <c r="E1195" s="78">
        <v>1</v>
      </c>
      <c r="F1195" s="498"/>
      <c r="G1195" s="76">
        <v>105.48</v>
      </c>
      <c r="H1195" s="51">
        <v>24.9</v>
      </c>
      <c r="I1195" s="52">
        <v>27.5</v>
      </c>
      <c r="J1195" s="52">
        <v>26.191250294344051</v>
      </c>
    </row>
    <row r="1196" spans="1:11">
      <c r="A1196" s="506"/>
      <c r="B1196" s="87" t="s">
        <v>126</v>
      </c>
      <c r="C1196" s="76" t="s">
        <v>281</v>
      </c>
      <c r="D1196" s="77">
        <v>1</v>
      </c>
      <c r="E1196" s="78">
        <v>1</v>
      </c>
      <c r="F1196" s="79"/>
      <c r="G1196" s="76">
        <v>70.319999999999993</v>
      </c>
      <c r="H1196" s="51">
        <v>13.9</v>
      </c>
      <c r="I1196" s="52">
        <v>26.3</v>
      </c>
      <c r="J1196" s="52">
        <v>24.473978140810075</v>
      </c>
    </row>
    <row r="1197" spans="1:11">
      <c r="A1197" s="506"/>
      <c r="B1197" s="87" t="s">
        <v>127</v>
      </c>
      <c r="C1197" s="76" t="s">
        <v>128</v>
      </c>
      <c r="D1197" s="77">
        <v>1</v>
      </c>
      <c r="E1197" s="78">
        <v>1</v>
      </c>
      <c r="F1197" s="79"/>
      <c r="G1197" s="76">
        <v>70.319999999999993</v>
      </c>
      <c r="H1197" s="51">
        <v>14.1</v>
      </c>
      <c r="I1197" s="52">
        <v>26.1</v>
      </c>
      <c r="J1197" s="52">
        <v>24.513090894548593</v>
      </c>
    </row>
    <row r="1198" spans="1:11">
      <c r="A1198" s="507"/>
      <c r="B1198" s="87" t="s">
        <v>129</v>
      </c>
      <c r="C1198" s="76" t="s">
        <v>130</v>
      </c>
      <c r="D1198" s="77">
        <v>1</v>
      </c>
      <c r="E1198" s="78">
        <v>1</v>
      </c>
      <c r="F1198" s="79"/>
      <c r="G1198" s="76">
        <v>70.319999999999993</v>
      </c>
      <c r="H1198" s="51">
        <v>14.8</v>
      </c>
      <c r="I1198" s="52">
        <v>26</v>
      </c>
      <c r="J1198" s="52">
        <v>24.625210701474238</v>
      </c>
    </row>
    <row r="1199" spans="1:11">
      <c r="A1199" s="496" t="s">
        <v>282</v>
      </c>
      <c r="B1199" s="87" t="s">
        <v>131</v>
      </c>
      <c r="C1199" s="76" t="s">
        <v>283</v>
      </c>
      <c r="D1199" s="77">
        <v>1</v>
      </c>
      <c r="E1199" s="78">
        <v>1</v>
      </c>
      <c r="F1199" s="497" t="s">
        <v>276</v>
      </c>
      <c r="G1199" s="76">
        <v>105.48</v>
      </c>
      <c r="H1199" s="51">
        <v>24</v>
      </c>
      <c r="I1199" s="52">
        <v>25.5</v>
      </c>
      <c r="J1199" s="52">
        <v>24.86613436981952</v>
      </c>
    </row>
    <row r="1200" spans="1:11">
      <c r="A1200" s="496"/>
      <c r="B1200" s="87" t="s">
        <v>132</v>
      </c>
      <c r="C1200" s="76" t="s">
        <v>133</v>
      </c>
      <c r="D1200" s="77">
        <v>1</v>
      </c>
      <c r="E1200" s="78">
        <v>1</v>
      </c>
      <c r="F1200" s="498"/>
      <c r="G1200" s="76">
        <v>105.48</v>
      </c>
      <c r="H1200" s="51">
        <v>24.4</v>
      </c>
      <c r="I1200" s="52">
        <v>25.9</v>
      </c>
      <c r="J1200" s="52">
        <v>25.221151651472233</v>
      </c>
    </row>
    <row r="1201" spans="1:10">
      <c r="A1201" s="496"/>
      <c r="B1201" s="87" t="s">
        <v>134</v>
      </c>
      <c r="C1201" s="76" t="s">
        <v>135</v>
      </c>
      <c r="D1201" s="77">
        <v>1</v>
      </c>
      <c r="E1201" s="78">
        <v>1</v>
      </c>
      <c r="F1201" s="498"/>
      <c r="G1201" s="80">
        <v>105.48</v>
      </c>
      <c r="H1201" s="51">
        <v>24.5</v>
      </c>
      <c r="I1201" s="52">
        <v>26.4</v>
      </c>
      <c r="J1201" s="52">
        <v>25.252246982879878</v>
      </c>
    </row>
    <row r="1202" spans="1:10">
      <c r="A1202" s="496"/>
      <c r="B1202" s="87" t="s">
        <v>136</v>
      </c>
      <c r="C1202" s="76" t="s">
        <v>137</v>
      </c>
      <c r="D1202" s="77">
        <v>1</v>
      </c>
      <c r="E1202" s="78">
        <v>1</v>
      </c>
      <c r="F1202" s="498"/>
      <c r="G1202" s="80">
        <v>105.48</v>
      </c>
      <c r="H1202" s="51">
        <v>24.1</v>
      </c>
      <c r="I1202" s="52">
        <v>26</v>
      </c>
      <c r="J1202" s="52">
        <v>24.844128275320063</v>
      </c>
    </row>
    <row r="1203" spans="1:10">
      <c r="A1203" s="496"/>
      <c r="B1203" s="87" t="s">
        <v>138</v>
      </c>
      <c r="C1203" s="76" t="s">
        <v>284</v>
      </c>
      <c r="D1203" s="77">
        <v>0</v>
      </c>
      <c r="E1203" s="78">
        <v>1</v>
      </c>
      <c r="F1203" s="497" t="s">
        <v>285</v>
      </c>
      <c r="G1203" s="76">
        <v>32.549999999999997</v>
      </c>
      <c r="H1203" s="112">
        <v>25.3</v>
      </c>
      <c r="I1203" s="112">
        <v>33.5</v>
      </c>
      <c r="J1203" s="112">
        <v>32.598777177207168</v>
      </c>
    </row>
    <row r="1204" spans="1:10">
      <c r="A1204" s="496"/>
      <c r="B1204" s="87" t="s">
        <v>139</v>
      </c>
      <c r="C1204" s="76" t="s">
        <v>140</v>
      </c>
      <c r="D1204" s="77">
        <v>0</v>
      </c>
      <c r="E1204" s="78">
        <v>1</v>
      </c>
      <c r="F1204" s="499"/>
      <c r="G1204" s="76">
        <v>32.549999999999997</v>
      </c>
      <c r="H1204" s="113">
        <v>23.4</v>
      </c>
      <c r="I1204" s="113">
        <v>27.2</v>
      </c>
      <c r="J1204" s="113">
        <v>26.023714421315294</v>
      </c>
    </row>
    <row r="1205" spans="1:10">
      <c r="A1205" s="496"/>
      <c r="B1205" s="87" t="s">
        <v>141</v>
      </c>
      <c r="C1205" s="76" t="s">
        <v>286</v>
      </c>
      <c r="D1205" s="77">
        <v>0</v>
      </c>
      <c r="E1205" s="78">
        <v>1</v>
      </c>
      <c r="F1205" s="497" t="s">
        <v>285</v>
      </c>
      <c r="G1205" s="76">
        <v>32.549999999999997</v>
      </c>
      <c r="H1205" s="113">
        <v>21.8</v>
      </c>
      <c r="I1205" s="113">
        <v>32.700000000000003</v>
      </c>
      <c r="J1205" s="113">
        <v>31.101890811719603</v>
      </c>
    </row>
    <row r="1206" spans="1:10">
      <c r="A1206" s="496"/>
      <c r="B1206" s="87" t="s">
        <v>142</v>
      </c>
      <c r="C1206" s="76" t="s">
        <v>143</v>
      </c>
      <c r="D1206" s="77">
        <v>1</v>
      </c>
      <c r="E1206" s="78">
        <v>1</v>
      </c>
      <c r="F1206" s="498"/>
      <c r="G1206" s="76">
        <v>32.549999999999997</v>
      </c>
      <c r="H1206" s="53">
        <v>22.5</v>
      </c>
      <c r="I1206" s="53">
        <v>27.8</v>
      </c>
      <c r="J1206" s="53">
        <v>26.137480201432698</v>
      </c>
    </row>
    <row r="1207" spans="1:10">
      <c r="A1207" s="496"/>
      <c r="B1207" s="87" t="s">
        <v>144</v>
      </c>
      <c r="C1207" s="76" t="s">
        <v>145</v>
      </c>
      <c r="D1207" s="77">
        <v>0</v>
      </c>
      <c r="E1207" s="78">
        <v>1</v>
      </c>
      <c r="F1207" s="498"/>
      <c r="G1207" s="76">
        <v>32.549999999999997</v>
      </c>
      <c r="H1207" s="113">
        <v>17.8</v>
      </c>
      <c r="I1207" s="113">
        <v>29.5</v>
      </c>
      <c r="J1207" s="113">
        <v>27.936542597126117</v>
      </c>
    </row>
    <row r="1208" spans="1:10">
      <c r="A1208" s="496"/>
      <c r="B1208" s="87" t="s">
        <v>146</v>
      </c>
      <c r="C1208" s="76" t="s">
        <v>147</v>
      </c>
      <c r="D1208" s="77">
        <v>1</v>
      </c>
      <c r="E1208" s="78">
        <v>1</v>
      </c>
      <c r="F1208" s="498"/>
      <c r="G1208" s="76">
        <v>32.549999999999997</v>
      </c>
      <c r="H1208" s="53">
        <v>21.4</v>
      </c>
      <c r="I1208" s="53">
        <v>26.9</v>
      </c>
      <c r="J1208" s="53">
        <v>24.703474713280034</v>
      </c>
    </row>
    <row r="1209" spans="1:10">
      <c r="A1209" s="496"/>
      <c r="B1209" s="87" t="s">
        <v>148</v>
      </c>
      <c r="C1209" s="76" t="s">
        <v>149</v>
      </c>
      <c r="D1209" s="77">
        <v>0</v>
      </c>
      <c r="E1209" s="78">
        <v>1</v>
      </c>
      <c r="F1209" s="498"/>
      <c r="G1209" s="76">
        <v>32.549999999999997</v>
      </c>
      <c r="H1209" s="53">
        <v>20.3</v>
      </c>
      <c r="I1209" s="53">
        <v>24.4</v>
      </c>
      <c r="J1209" s="53">
        <v>21.562160054259266</v>
      </c>
    </row>
    <row r="1210" spans="1:10">
      <c r="A1210" s="496"/>
      <c r="B1210" s="87" t="s">
        <v>150</v>
      </c>
      <c r="C1210" s="76" t="s">
        <v>151</v>
      </c>
      <c r="D1210" s="77">
        <v>1</v>
      </c>
      <c r="E1210" s="78">
        <v>1</v>
      </c>
      <c r="F1210" s="498"/>
      <c r="G1210" s="76">
        <v>32.549999999999997</v>
      </c>
      <c r="H1210" s="53">
        <v>21.2</v>
      </c>
      <c r="I1210" s="53">
        <v>24.2</v>
      </c>
      <c r="J1210" s="53">
        <v>23.427404201133758</v>
      </c>
    </row>
    <row r="1211" spans="1:10">
      <c r="A1211" s="496"/>
      <c r="B1211" s="87" t="s">
        <v>152</v>
      </c>
      <c r="C1211" s="76" t="s">
        <v>153</v>
      </c>
      <c r="D1211" s="77">
        <v>0</v>
      </c>
      <c r="E1211" s="78">
        <v>1</v>
      </c>
      <c r="F1211" s="498"/>
      <c r="G1211" s="76">
        <v>32.549999999999997</v>
      </c>
      <c r="H1211" s="113"/>
      <c r="I1211" s="113"/>
      <c r="J1211" s="113"/>
    </row>
    <row r="1212" spans="1:10">
      <c r="A1212" s="496"/>
      <c r="B1212" s="87" t="s">
        <v>154</v>
      </c>
      <c r="C1212" s="76" t="s">
        <v>155</v>
      </c>
      <c r="D1212" s="77">
        <v>0</v>
      </c>
      <c r="E1212" s="78">
        <v>1</v>
      </c>
      <c r="F1212" s="498"/>
      <c r="G1212" s="76">
        <v>32.549999999999997</v>
      </c>
      <c r="H1212" s="113">
        <v>18.399999999999999</v>
      </c>
      <c r="I1212" s="113">
        <v>99.5</v>
      </c>
      <c r="J1212" s="113">
        <v>22.382754481136075</v>
      </c>
    </row>
    <row r="1213" spans="1:10">
      <c r="A1213" s="496"/>
      <c r="B1213" s="87" t="s">
        <v>156</v>
      </c>
      <c r="C1213" s="76" t="s">
        <v>157</v>
      </c>
      <c r="D1213" s="77">
        <v>0</v>
      </c>
      <c r="E1213" s="78">
        <v>1</v>
      </c>
      <c r="F1213" s="498"/>
      <c r="G1213" s="76">
        <v>32.549999999999997</v>
      </c>
      <c r="H1213" s="113">
        <v>18.399999999999999</v>
      </c>
      <c r="I1213" s="113">
        <v>25.1</v>
      </c>
      <c r="J1213" s="113">
        <v>23.977183057851555</v>
      </c>
    </row>
    <row r="1214" spans="1:10">
      <c r="A1214" s="496"/>
      <c r="B1214" s="87" t="s">
        <v>158</v>
      </c>
      <c r="C1214" s="76" t="s">
        <v>159</v>
      </c>
      <c r="D1214" s="77">
        <v>0</v>
      </c>
      <c r="E1214" s="78">
        <v>1</v>
      </c>
      <c r="F1214" s="498"/>
      <c r="G1214" s="76">
        <v>32.549999999999997</v>
      </c>
      <c r="H1214" s="113">
        <v>17.7</v>
      </c>
      <c r="I1214" s="113">
        <v>29.2</v>
      </c>
      <c r="J1214" s="113">
        <v>21.609415322508042</v>
      </c>
    </row>
    <row r="1215" spans="1:10">
      <c r="A1215" s="496"/>
      <c r="B1215" s="87" t="s">
        <v>160</v>
      </c>
      <c r="C1215" s="76" t="s">
        <v>161</v>
      </c>
      <c r="D1215" s="77">
        <v>0</v>
      </c>
      <c r="E1215" s="78">
        <v>1</v>
      </c>
      <c r="F1215" s="498"/>
      <c r="G1215" s="76">
        <v>32.549999999999997</v>
      </c>
      <c r="H1215" s="113">
        <v>21.2</v>
      </c>
      <c r="I1215" s="113">
        <v>25.6</v>
      </c>
      <c r="J1215" s="113">
        <v>22.483006882817978</v>
      </c>
    </row>
    <row r="1216" spans="1:10">
      <c r="A1216" s="496"/>
      <c r="B1216" s="87" t="s">
        <v>162</v>
      </c>
      <c r="C1216" s="76" t="s">
        <v>163</v>
      </c>
      <c r="D1216" s="77">
        <v>0</v>
      </c>
      <c r="E1216" s="78">
        <v>1</v>
      </c>
      <c r="F1216" s="499"/>
      <c r="G1216" s="76">
        <v>32.549999999999997</v>
      </c>
      <c r="H1216" s="113">
        <v>19</v>
      </c>
      <c r="I1216" s="113">
        <v>23.8</v>
      </c>
      <c r="J1216" s="113">
        <v>21.875528539539498</v>
      </c>
    </row>
    <row r="1217" spans="1:10">
      <c r="A1217" s="496"/>
      <c r="B1217" s="87" t="s">
        <v>164</v>
      </c>
      <c r="C1217" s="76" t="s">
        <v>287</v>
      </c>
      <c r="D1217" s="77">
        <v>0</v>
      </c>
      <c r="E1217" s="78">
        <v>1</v>
      </c>
      <c r="F1217" s="497" t="s">
        <v>285</v>
      </c>
      <c r="G1217" s="76">
        <v>24.4</v>
      </c>
      <c r="H1217" s="113">
        <v>27.5</v>
      </c>
      <c r="I1217" s="113">
        <v>30</v>
      </c>
      <c r="J1217" s="113">
        <v>28.669886471256667</v>
      </c>
    </row>
    <row r="1218" spans="1:10">
      <c r="A1218" s="496"/>
      <c r="B1218" s="87" t="s">
        <v>165</v>
      </c>
      <c r="C1218" s="76" t="s">
        <v>166</v>
      </c>
      <c r="D1218" s="77">
        <v>0</v>
      </c>
      <c r="E1218" s="78">
        <v>1</v>
      </c>
      <c r="F1218" s="499"/>
      <c r="G1218" s="76">
        <v>24.4</v>
      </c>
      <c r="H1218" s="113">
        <v>26</v>
      </c>
      <c r="I1218" s="113">
        <v>28.5</v>
      </c>
      <c r="J1218" s="113">
        <v>27.101774468195114</v>
      </c>
    </row>
    <row r="1219" spans="1:10">
      <c r="A1219" s="496" t="s">
        <v>288</v>
      </c>
      <c r="B1219" s="87" t="s">
        <v>167</v>
      </c>
      <c r="C1219" s="76" t="s">
        <v>289</v>
      </c>
      <c r="D1219" s="77">
        <v>1</v>
      </c>
      <c r="E1219" s="78">
        <v>1</v>
      </c>
      <c r="F1219" s="497" t="s">
        <v>276</v>
      </c>
      <c r="G1219" s="76">
        <v>105.48</v>
      </c>
      <c r="H1219" s="51">
        <v>24.8</v>
      </c>
      <c r="I1219" s="53">
        <v>26</v>
      </c>
      <c r="J1219" s="53">
        <v>25.5657765485998</v>
      </c>
    </row>
    <row r="1220" spans="1:10">
      <c r="A1220" s="496"/>
      <c r="B1220" s="87" t="s">
        <v>168</v>
      </c>
      <c r="C1220" s="76" t="s">
        <v>169</v>
      </c>
      <c r="D1220" s="77">
        <v>1</v>
      </c>
      <c r="E1220" s="78">
        <v>1</v>
      </c>
      <c r="F1220" s="498"/>
      <c r="G1220" s="76">
        <v>105.48</v>
      </c>
      <c r="H1220" s="51">
        <v>24.6</v>
      </c>
      <c r="I1220" s="54">
        <v>25.8</v>
      </c>
      <c r="J1220" s="54">
        <v>25.342871866513704</v>
      </c>
    </row>
    <row r="1221" spans="1:10">
      <c r="A1221" s="496"/>
      <c r="B1221" s="87" t="s">
        <v>170</v>
      </c>
      <c r="C1221" s="76" t="s">
        <v>171</v>
      </c>
      <c r="D1221" s="77">
        <v>1</v>
      </c>
      <c r="E1221" s="78">
        <v>1</v>
      </c>
      <c r="F1221" s="498"/>
      <c r="G1221" s="76">
        <v>105.48</v>
      </c>
      <c r="H1221" s="51">
        <v>23.9</v>
      </c>
      <c r="I1221" s="52">
        <v>25.8</v>
      </c>
      <c r="J1221" s="52">
        <v>24.947314233142599</v>
      </c>
    </row>
    <row r="1222" spans="1:10">
      <c r="A1222" s="496"/>
      <c r="B1222" s="87" t="s">
        <v>172</v>
      </c>
      <c r="C1222" s="76" t="s">
        <v>173</v>
      </c>
      <c r="D1222" s="77">
        <v>1</v>
      </c>
      <c r="E1222" s="78">
        <v>1</v>
      </c>
      <c r="F1222" s="498"/>
      <c r="G1222" s="76">
        <v>105.48</v>
      </c>
      <c r="H1222" s="51">
        <v>24</v>
      </c>
      <c r="I1222" s="52">
        <v>25.7</v>
      </c>
      <c r="J1222" s="52">
        <v>24.962164505328346</v>
      </c>
    </row>
    <row r="1223" spans="1:10">
      <c r="A1223" s="496"/>
      <c r="B1223" s="87" t="s">
        <v>174</v>
      </c>
      <c r="C1223" s="76" t="s">
        <v>290</v>
      </c>
      <c r="D1223" s="77">
        <v>1</v>
      </c>
      <c r="E1223" s="78">
        <v>1</v>
      </c>
      <c r="F1223" s="498"/>
      <c r="G1223" s="76">
        <v>65</v>
      </c>
      <c r="H1223" s="55">
        <v>26.1</v>
      </c>
      <c r="I1223" s="55">
        <v>28.3</v>
      </c>
      <c r="J1223" s="55">
        <v>27.236223419018422</v>
      </c>
    </row>
    <row r="1224" spans="1:10">
      <c r="A1224" s="496"/>
      <c r="B1224" s="87" t="s">
        <v>175</v>
      </c>
      <c r="C1224" s="76" t="s">
        <v>176</v>
      </c>
      <c r="D1224" s="77">
        <v>1</v>
      </c>
      <c r="E1224" s="78">
        <v>1</v>
      </c>
      <c r="F1224" s="499"/>
      <c r="G1224" s="76">
        <v>65</v>
      </c>
      <c r="H1224" s="55">
        <v>24</v>
      </c>
      <c r="I1224" s="55">
        <v>26</v>
      </c>
      <c r="J1224" s="55">
        <v>24.516666666666666</v>
      </c>
    </row>
    <row r="1225" spans="1:10">
      <c r="A1225" s="496"/>
      <c r="B1225" s="87" t="s">
        <v>177</v>
      </c>
      <c r="C1225" s="76" t="s">
        <v>291</v>
      </c>
      <c r="D1225" s="77">
        <v>1</v>
      </c>
      <c r="E1225" s="78">
        <v>1</v>
      </c>
      <c r="F1225" s="497" t="s">
        <v>285</v>
      </c>
      <c r="G1225" s="76">
        <v>16.3</v>
      </c>
      <c r="H1225" s="55">
        <v>23.5</v>
      </c>
      <c r="I1225" s="55">
        <v>26</v>
      </c>
      <c r="J1225" s="55">
        <v>24.533991418670009</v>
      </c>
    </row>
    <row r="1226" spans="1:10">
      <c r="A1226" s="496"/>
      <c r="B1226" s="87" t="s">
        <v>178</v>
      </c>
      <c r="C1226" s="76" t="s">
        <v>179</v>
      </c>
      <c r="D1226" s="77">
        <v>1</v>
      </c>
      <c r="E1226" s="78">
        <v>1</v>
      </c>
      <c r="F1226" s="498"/>
      <c r="G1226" s="76">
        <v>16.3</v>
      </c>
      <c r="H1226" s="55">
        <v>21</v>
      </c>
      <c r="I1226" s="55">
        <v>24.5</v>
      </c>
      <c r="J1226" s="55">
        <v>22.917691723309261</v>
      </c>
    </row>
    <row r="1227" spans="1:10">
      <c r="A1227" s="496"/>
      <c r="B1227" s="87" t="s">
        <v>180</v>
      </c>
      <c r="C1227" s="76" t="s">
        <v>181</v>
      </c>
      <c r="D1227" s="77">
        <v>1</v>
      </c>
      <c r="E1227" s="78">
        <v>1</v>
      </c>
      <c r="F1227" s="498"/>
      <c r="G1227" s="76">
        <v>16.3</v>
      </c>
      <c r="H1227" s="55">
        <v>18</v>
      </c>
      <c r="I1227" s="55">
        <v>29.5</v>
      </c>
      <c r="J1227" s="55">
        <v>26.953550372958549</v>
      </c>
    </row>
    <row r="1228" spans="1:10">
      <c r="A1228" s="496"/>
      <c r="B1228" s="87" t="s">
        <v>292</v>
      </c>
      <c r="C1228" s="76" t="s">
        <v>182</v>
      </c>
      <c r="D1228" s="77">
        <v>1</v>
      </c>
      <c r="E1228" s="78">
        <v>1</v>
      </c>
      <c r="F1228" s="499"/>
      <c r="G1228" s="76">
        <v>35</v>
      </c>
      <c r="H1228" s="55">
        <v>24</v>
      </c>
      <c r="I1228" s="55">
        <v>26</v>
      </c>
      <c r="J1228" s="55">
        <v>24.855475787683329</v>
      </c>
    </row>
    <row r="1229" spans="1:10">
      <c r="H1229" s="66">
        <f>AVERAGE(H1188:H1202,H1208:H1210,H1219:H1228)</f>
        <v>22.346428571428572</v>
      </c>
      <c r="I1229" s="66">
        <f t="shared" ref="I1229" si="7">AVERAGE(I1188:I1202,I1208:I1210,I1219:I1228)</f>
        <v>26.403571428571421</v>
      </c>
      <c r="J1229" s="114">
        <f>AVERAGE(J1188:J1202,J1208:J1210,J1219:J1228,J1206)</f>
        <v>25.086819752862844</v>
      </c>
    </row>
    <row r="1230" spans="1:10">
      <c r="J1230" s="65" t="s">
        <v>264</v>
      </c>
    </row>
    <row r="1231" spans="1:10">
      <c r="A1231" s="503" t="s">
        <v>183</v>
      </c>
      <c r="B1231" s="503"/>
      <c r="C1231" s="503"/>
      <c r="D1231" s="503"/>
      <c r="E1231" s="503"/>
      <c r="F1231" s="503"/>
      <c r="G1231" s="503"/>
      <c r="H1231" s="503"/>
      <c r="I1231" s="503"/>
      <c r="J1231" s="504"/>
    </row>
    <row r="1232" spans="1:10" ht="34.799999999999997">
      <c r="A1232" s="74" t="s">
        <v>270</v>
      </c>
      <c r="B1232" s="74" t="s">
        <v>271</v>
      </c>
      <c r="C1232" s="74" t="s">
        <v>272</v>
      </c>
      <c r="D1232" s="74" t="s">
        <v>108</v>
      </c>
      <c r="E1232" s="74" t="s">
        <v>109</v>
      </c>
      <c r="F1232" s="75" t="s">
        <v>273</v>
      </c>
      <c r="G1232" s="74" t="s">
        <v>110</v>
      </c>
      <c r="H1232" s="74" t="s">
        <v>184</v>
      </c>
      <c r="I1232" s="74" t="s">
        <v>185</v>
      </c>
      <c r="J1232" s="74" t="s">
        <v>186</v>
      </c>
    </row>
    <row r="1233" spans="1:10">
      <c r="A1233" s="508" t="s">
        <v>274</v>
      </c>
      <c r="B1233" s="88" t="s">
        <v>114</v>
      </c>
      <c r="C1233" s="89" t="s">
        <v>275</v>
      </c>
      <c r="D1233" s="90">
        <v>1</v>
      </c>
      <c r="E1233" s="89">
        <v>1</v>
      </c>
      <c r="F1233" s="497" t="s">
        <v>276</v>
      </c>
      <c r="G1233" s="76">
        <v>105.48</v>
      </c>
      <c r="H1233" s="56">
        <v>24.1</v>
      </c>
      <c r="I1233" s="57">
        <v>46.6</v>
      </c>
      <c r="J1233" s="57">
        <v>36.875899645011756</v>
      </c>
    </row>
    <row r="1234" spans="1:10">
      <c r="A1234" s="509"/>
      <c r="B1234" s="88" t="s">
        <v>115</v>
      </c>
      <c r="C1234" s="89" t="s">
        <v>277</v>
      </c>
      <c r="D1234" s="90">
        <v>1</v>
      </c>
      <c r="E1234" s="89">
        <v>1</v>
      </c>
      <c r="F1234" s="498"/>
      <c r="G1234" s="76">
        <v>105.48</v>
      </c>
      <c r="H1234" s="56">
        <v>24.5</v>
      </c>
      <c r="I1234" s="57">
        <v>46.8</v>
      </c>
      <c r="J1234" s="57">
        <v>37.004108173574643</v>
      </c>
    </row>
    <row r="1235" spans="1:10">
      <c r="A1235" s="509"/>
      <c r="B1235" s="88" t="s">
        <v>116</v>
      </c>
      <c r="C1235" s="89" t="s">
        <v>117</v>
      </c>
      <c r="D1235" s="90">
        <v>1</v>
      </c>
      <c r="E1235" s="89">
        <v>1</v>
      </c>
      <c r="F1235" s="79"/>
      <c r="G1235" s="76">
        <v>105.48</v>
      </c>
      <c r="H1235" s="56">
        <v>25.7</v>
      </c>
      <c r="I1235" s="57">
        <v>45.6</v>
      </c>
      <c r="J1235" s="57">
        <v>36.984516441492424</v>
      </c>
    </row>
    <row r="1236" spans="1:10">
      <c r="A1236" s="510"/>
      <c r="B1236" s="88" t="s">
        <v>118</v>
      </c>
      <c r="C1236" s="89" t="s">
        <v>119</v>
      </c>
      <c r="D1236" s="90">
        <v>1</v>
      </c>
      <c r="E1236" s="89">
        <v>1</v>
      </c>
      <c r="F1236" s="79"/>
      <c r="G1236" s="76">
        <v>105.48</v>
      </c>
      <c r="H1236" s="56">
        <v>23.2</v>
      </c>
      <c r="I1236" s="57">
        <v>44.2</v>
      </c>
      <c r="J1236" s="57">
        <v>35.156717090807682</v>
      </c>
    </row>
    <row r="1237" spans="1:10">
      <c r="A1237" s="496" t="s">
        <v>278</v>
      </c>
      <c r="B1237" s="87" t="s">
        <v>120</v>
      </c>
      <c r="C1237" s="76" t="s">
        <v>279</v>
      </c>
      <c r="D1237" s="77">
        <v>1</v>
      </c>
      <c r="E1237" s="78">
        <v>1</v>
      </c>
      <c r="F1237" s="497" t="s">
        <v>276</v>
      </c>
      <c r="G1237" s="76">
        <v>105.48</v>
      </c>
      <c r="H1237" s="56">
        <v>22.8</v>
      </c>
      <c r="I1237" s="57">
        <v>73.8</v>
      </c>
      <c r="J1237" s="57">
        <v>37.251804931220235</v>
      </c>
    </row>
    <row r="1238" spans="1:10">
      <c r="A1238" s="496"/>
      <c r="B1238" s="87" t="s">
        <v>121</v>
      </c>
      <c r="C1238" s="76" t="s">
        <v>280</v>
      </c>
      <c r="D1238" s="77">
        <v>1</v>
      </c>
      <c r="E1238" s="78">
        <v>1</v>
      </c>
      <c r="F1238" s="498"/>
      <c r="G1238" s="76">
        <v>105.48</v>
      </c>
      <c r="H1238" s="56">
        <v>22.8</v>
      </c>
      <c r="I1238" s="57">
        <v>53.2</v>
      </c>
      <c r="J1238" s="57">
        <v>37.175433774739822</v>
      </c>
    </row>
    <row r="1239" spans="1:10">
      <c r="A1239" s="496"/>
      <c r="B1239" s="87" t="s">
        <v>122</v>
      </c>
      <c r="C1239" s="76" t="s">
        <v>123</v>
      </c>
      <c r="D1239" s="77">
        <v>1</v>
      </c>
      <c r="E1239" s="78">
        <v>1</v>
      </c>
      <c r="F1239" s="498"/>
      <c r="G1239" s="76">
        <v>105.48</v>
      </c>
      <c r="H1239" s="56">
        <v>37.299999999999997</v>
      </c>
      <c r="I1239" s="57">
        <v>66</v>
      </c>
      <c r="J1239" s="57">
        <v>49.840352179488214</v>
      </c>
    </row>
    <row r="1240" spans="1:10">
      <c r="A1240" s="496"/>
      <c r="B1240" s="87" t="s">
        <v>124</v>
      </c>
      <c r="C1240" s="76" t="s">
        <v>125</v>
      </c>
      <c r="D1240" s="77">
        <v>1</v>
      </c>
      <c r="E1240" s="78">
        <v>1</v>
      </c>
      <c r="F1240" s="498"/>
      <c r="G1240" s="76">
        <v>105.48</v>
      </c>
      <c r="H1240" s="56">
        <v>24</v>
      </c>
      <c r="I1240" s="57">
        <v>47.5</v>
      </c>
      <c r="J1240" s="57">
        <v>40.07350006711988</v>
      </c>
    </row>
    <row r="1241" spans="1:10">
      <c r="A1241" s="496" t="s">
        <v>282</v>
      </c>
      <c r="B1241" s="87" t="s">
        <v>131</v>
      </c>
      <c r="C1241" s="76" t="s">
        <v>283</v>
      </c>
      <c r="D1241" s="77">
        <v>1</v>
      </c>
      <c r="E1241" s="78">
        <v>1</v>
      </c>
      <c r="F1241" s="497" t="s">
        <v>276</v>
      </c>
      <c r="G1241" s="76">
        <v>105.48</v>
      </c>
      <c r="H1241" s="56">
        <v>22.5</v>
      </c>
      <c r="I1241" s="57">
        <v>45.8</v>
      </c>
      <c r="J1241" s="57">
        <v>38.195485835971027</v>
      </c>
    </row>
    <row r="1242" spans="1:10">
      <c r="A1242" s="496"/>
      <c r="B1242" s="87" t="s">
        <v>132</v>
      </c>
      <c r="C1242" s="76" t="s">
        <v>133</v>
      </c>
      <c r="D1242" s="77">
        <v>1</v>
      </c>
      <c r="E1242" s="78">
        <v>1</v>
      </c>
      <c r="F1242" s="498"/>
      <c r="G1242" s="76">
        <v>105.48</v>
      </c>
      <c r="H1242" s="56">
        <v>21.9</v>
      </c>
      <c r="I1242" s="57">
        <v>44.3</v>
      </c>
      <c r="J1242" s="57">
        <v>37.074655494835682</v>
      </c>
    </row>
    <row r="1243" spans="1:10">
      <c r="A1243" s="496"/>
      <c r="B1243" s="87" t="s">
        <v>134</v>
      </c>
      <c r="C1243" s="76" t="s">
        <v>135</v>
      </c>
      <c r="D1243" s="77">
        <v>1</v>
      </c>
      <c r="E1243" s="78">
        <v>1</v>
      </c>
      <c r="F1243" s="498"/>
      <c r="G1243" s="80">
        <v>105.48</v>
      </c>
      <c r="H1243" s="56">
        <v>20.9</v>
      </c>
      <c r="I1243" s="57">
        <v>39.5</v>
      </c>
      <c r="J1243" s="57">
        <v>34.962139230837934</v>
      </c>
    </row>
    <row r="1244" spans="1:10">
      <c r="A1244" s="496"/>
      <c r="B1244" s="87" t="s">
        <v>136</v>
      </c>
      <c r="C1244" s="76" t="s">
        <v>137</v>
      </c>
      <c r="D1244" s="77">
        <v>1</v>
      </c>
      <c r="E1244" s="78">
        <v>1</v>
      </c>
      <c r="F1244" s="498"/>
      <c r="G1244" s="80">
        <v>105.48</v>
      </c>
      <c r="H1244" s="56">
        <v>21.5</v>
      </c>
      <c r="I1244" s="57">
        <v>40.6</v>
      </c>
      <c r="J1244" s="57">
        <v>35.881135303974233</v>
      </c>
    </row>
    <row r="1245" spans="1:10">
      <c r="A1245" s="496"/>
      <c r="B1245" s="87" t="s">
        <v>138</v>
      </c>
      <c r="C1245" s="76" t="s">
        <v>284</v>
      </c>
      <c r="D1245" s="76">
        <v>0</v>
      </c>
      <c r="E1245" s="78">
        <v>1</v>
      </c>
      <c r="F1245" s="78">
        <v>1</v>
      </c>
      <c r="G1245" s="76">
        <v>32.549999999999997</v>
      </c>
      <c r="H1245" s="58">
        <v>25.8</v>
      </c>
      <c r="I1245" s="58">
        <v>31.6</v>
      </c>
      <c r="J1245" s="58">
        <v>26.354365316483779</v>
      </c>
    </row>
    <row r="1246" spans="1:10">
      <c r="A1246" s="496"/>
      <c r="B1246" s="87" t="s">
        <v>139</v>
      </c>
      <c r="C1246" s="76" t="s">
        <v>140</v>
      </c>
      <c r="D1246" s="76">
        <v>0</v>
      </c>
      <c r="E1246" s="78">
        <v>1</v>
      </c>
      <c r="F1246" s="78">
        <v>1</v>
      </c>
      <c r="G1246" s="76">
        <v>32.549999999999997</v>
      </c>
      <c r="H1246" s="59">
        <v>27.8</v>
      </c>
      <c r="I1246" s="59">
        <v>30.6</v>
      </c>
      <c r="J1246" s="59">
        <v>28.507460941612955</v>
      </c>
    </row>
    <row r="1247" spans="1:10">
      <c r="A1247" s="496"/>
      <c r="B1247" s="87" t="s">
        <v>141</v>
      </c>
      <c r="C1247" s="76" t="s">
        <v>286</v>
      </c>
      <c r="D1247" s="76">
        <v>0</v>
      </c>
      <c r="E1247" s="78">
        <v>1</v>
      </c>
      <c r="F1247" s="78">
        <v>1</v>
      </c>
      <c r="G1247" s="76">
        <v>32.549999999999997</v>
      </c>
      <c r="H1247" s="59">
        <v>24.4</v>
      </c>
      <c r="I1247" s="59">
        <v>31.6</v>
      </c>
      <c r="J1247" s="59">
        <v>25.308625390828567</v>
      </c>
    </row>
    <row r="1248" spans="1:10">
      <c r="A1248" s="496"/>
      <c r="B1248" s="87" t="s">
        <v>142</v>
      </c>
      <c r="C1248" s="76" t="s">
        <v>143</v>
      </c>
      <c r="D1248" s="76">
        <v>1</v>
      </c>
      <c r="E1248" s="78">
        <v>1</v>
      </c>
      <c r="F1248" s="78">
        <v>1</v>
      </c>
      <c r="G1248" s="76">
        <v>32.549999999999997</v>
      </c>
      <c r="H1248" s="60">
        <v>29</v>
      </c>
      <c r="I1248" s="60">
        <v>32.799999999999997</v>
      </c>
      <c r="J1248" s="60">
        <v>30.690526910212576</v>
      </c>
    </row>
    <row r="1249" spans="1:10">
      <c r="A1249" s="496"/>
      <c r="B1249" s="87" t="s">
        <v>144</v>
      </c>
      <c r="C1249" s="76" t="s">
        <v>145</v>
      </c>
      <c r="D1249" s="76">
        <v>0</v>
      </c>
      <c r="E1249" s="78">
        <v>1</v>
      </c>
      <c r="F1249" s="78">
        <v>1</v>
      </c>
      <c r="G1249" s="76">
        <v>32.549999999999997</v>
      </c>
      <c r="H1249" s="59">
        <v>24.4</v>
      </c>
      <c r="I1249" s="59">
        <v>32.5</v>
      </c>
      <c r="J1249" s="59">
        <v>25.450364206403666</v>
      </c>
    </row>
    <row r="1250" spans="1:10">
      <c r="A1250" s="496"/>
      <c r="B1250" s="87" t="s">
        <v>146</v>
      </c>
      <c r="C1250" s="76" t="s">
        <v>147</v>
      </c>
      <c r="D1250" s="76">
        <v>1</v>
      </c>
      <c r="E1250" s="78">
        <v>1</v>
      </c>
      <c r="F1250" s="78">
        <v>1</v>
      </c>
      <c r="G1250" s="76">
        <v>32.549999999999997</v>
      </c>
      <c r="H1250" s="60">
        <v>28.6</v>
      </c>
      <c r="I1250" s="60">
        <v>32.799999999999997</v>
      </c>
      <c r="J1250" s="60">
        <v>31.681985326236472</v>
      </c>
    </row>
    <row r="1251" spans="1:10">
      <c r="A1251" s="496"/>
      <c r="B1251" s="87" t="s">
        <v>148</v>
      </c>
      <c r="C1251" s="76" t="s">
        <v>149</v>
      </c>
      <c r="D1251" s="76">
        <v>0</v>
      </c>
      <c r="E1251" s="78">
        <v>1</v>
      </c>
      <c r="F1251" s="78">
        <v>1</v>
      </c>
      <c r="G1251" s="76">
        <v>32.549999999999997</v>
      </c>
      <c r="H1251" s="60">
        <v>30.1</v>
      </c>
      <c r="I1251" s="60">
        <v>32.5</v>
      </c>
      <c r="J1251" s="60">
        <v>31.839196380938393</v>
      </c>
    </row>
    <row r="1252" spans="1:10">
      <c r="A1252" s="496"/>
      <c r="B1252" s="87" t="s">
        <v>150</v>
      </c>
      <c r="C1252" s="76" t="s">
        <v>151</v>
      </c>
      <c r="D1252" s="76">
        <v>1</v>
      </c>
      <c r="E1252" s="78">
        <v>1</v>
      </c>
      <c r="F1252" s="78">
        <v>1</v>
      </c>
      <c r="G1252" s="76">
        <v>32.549999999999997</v>
      </c>
      <c r="H1252" s="60">
        <v>30.7</v>
      </c>
      <c r="I1252" s="60">
        <v>32.6</v>
      </c>
      <c r="J1252" s="60">
        <v>31.343251116148533</v>
      </c>
    </row>
    <row r="1253" spans="1:10">
      <c r="A1253" s="496"/>
      <c r="B1253" s="87" t="s">
        <v>152</v>
      </c>
      <c r="C1253" s="76" t="s">
        <v>153</v>
      </c>
      <c r="D1253" s="76">
        <v>0</v>
      </c>
      <c r="E1253" s="78">
        <v>1</v>
      </c>
      <c r="F1253" s="78">
        <v>1</v>
      </c>
      <c r="G1253" s="76">
        <v>32.549999999999997</v>
      </c>
      <c r="H1253" s="59"/>
      <c r="I1253" s="59"/>
      <c r="J1253" s="59"/>
    </row>
    <row r="1254" spans="1:10">
      <c r="A1254" s="496"/>
      <c r="B1254" s="87" t="s">
        <v>154</v>
      </c>
      <c r="C1254" s="76" t="s">
        <v>155</v>
      </c>
      <c r="D1254" s="76">
        <v>0</v>
      </c>
      <c r="E1254" s="78">
        <v>1</v>
      </c>
      <c r="F1254" s="78">
        <v>1</v>
      </c>
      <c r="G1254" s="76">
        <v>32.549999999999997</v>
      </c>
      <c r="H1254" s="59">
        <v>28.4</v>
      </c>
      <c r="I1254" s="59">
        <v>29.9</v>
      </c>
      <c r="J1254" s="59">
        <v>29.630716247788403</v>
      </c>
    </row>
    <row r="1255" spans="1:10">
      <c r="A1255" s="496"/>
      <c r="B1255" s="87" t="s">
        <v>156</v>
      </c>
      <c r="C1255" s="76" t="s">
        <v>157</v>
      </c>
      <c r="D1255" s="76">
        <v>0</v>
      </c>
      <c r="E1255" s="78">
        <v>1</v>
      </c>
      <c r="F1255" s="78">
        <v>1</v>
      </c>
      <c r="G1255" s="76">
        <v>32.549999999999997</v>
      </c>
      <c r="H1255" s="59">
        <v>26.3</v>
      </c>
      <c r="I1255" s="59">
        <v>30.6</v>
      </c>
      <c r="J1255" s="59">
        <v>26.935364994203944</v>
      </c>
    </row>
    <row r="1256" spans="1:10">
      <c r="A1256" s="496"/>
      <c r="B1256" s="87" t="s">
        <v>158</v>
      </c>
      <c r="C1256" s="76" t="s">
        <v>159</v>
      </c>
      <c r="D1256" s="76">
        <v>0</v>
      </c>
      <c r="E1256" s="78">
        <v>1</v>
      </c>
      <c r="F1256" s="78">
        <v>1</v>
      </c>
      <c r="G1256" s="76">
        <v>32.549999999999997</v>
      </c>
      <c r="H1256" s="59">
        <v>25.6</v>
      </c>
      <c r="I1256" s="59">
        <v>34</v>
      </c>
      <c r="J1256" s="59">
        <v>30.625999679618541</v>
      </c>
    </row>
    <row r="1257" spans="1:10">
      <c r="A1257" s="496"/>
      <c r="B1257" s="87" t="s">
        <v>160</v>
      </c>
      <c r="C1257" s="76" t="s">
        <v>161</v>
      </c>
      <c r="D1257" s="76">
        <v>0</v>
      </c>
      <c r="E1257" s="78">
        <v>1</v>
      </c>
      <c r="F1257" s="78">
        <v>1</v>
      </c>
      <c r="G1257" s="76">
        <v>32.549999999999997</v>
      </c>
      <c r="H1257" s="59">
        <v>27.7</v>
      </c>
      <c r="I1257" s="59">
        <v>30.4</v>
      </c>
      <c r="J1257" s="59">
        <v>29.382356535905735</v>
      </c>
    </row>
    <row r="1258" spans="1:10">
      <c r="A1258" s="496"/>
      <c r="B1258" s="87" t="s">
        <v>162</v>
      </c>
      <c r="C1258" s="76" t="s">
        <v>163</v>
      </c>
      <c r="D1258" s="76">
        <v>0</v>
      </c>
      <c r="E1258" s="78">
        <v>1</v>
      </c>
      <c r="F1258" s="78">
        <v>1</v>
      </c>
      <c r="G1258" s="76">
        <v>32.549999999999997</v>
      </c>
      <c r="H1258" s="59">
        <v>27</v>
      </c>
      <c r="I1258" s="59">
        <v>30.2</v>
      </c>
      <c r="J1258" s="59">
        <v>28.319564185557223</v>
      </c>
    </row>
    <row r="1259" spans="1:10">
      <c r="A1259" s="496"/>
      <c r="B1259" s="87" t="s">
        <v>164</v>
      </c>
      <c r="C1259" s="76" t="s">
        <v>287</v>
      </c>
      <c r="D1259" s="76">
        <v>0</v>
      </c>
      <c r="E1259" s="78">
        <v>1</v>
      </c>
      <c r="F1259" s="78">
        <v>1</v>
      </c>
      <c r="G1259" s="76">
        <v>24.4</v>
      </c>
      <c r="H1259" s="59">
        <v>26</v>
      </c>
      <c r="I1259" s="59">
        <v>27.5</v>
      </c>
      <c r="J1259" s="59">
        <v>26.918421650104822</v>
      </c>
    </row>
    <row r="1260" spans="1:10">
      <c r="A1260" s="496"/>
      <c r="B1260" s="87" t="s">
        <v>165</v>
      </c>
      <c r="C1260" s="76" t="s">
        <v>166</v>
      </c>
      <c r="D1260" s="76">
        <v>0</v>
      </c>
      <c r="E1260" s="78">
        <v>1</v>
      </c>
      <c r="F1260" s="78">
        <v>1</v>
      </c>
      <c r="G1260" s="76">
        <v>24.4</v>
      </c>
      <c r="H1260" s="59">
        <v>25.5</v>
      </c>
      <c r="I1260" s="59">
        <v>27.5</v>
      </c>
      <c r="J1260" s="59">
        <v>26.559773141544955</v>
      </c>
    </row>
    <row r="1261" spans="1:10">
      <c r="A1261" s="496" t="s">
        <v>288</v>
      </c>
      <c r="B1261" s="87" t="s">
        <v>167</v>
      </c>
      <c r="C1261" s="76" t="s">
        <v>289</v>
      </c>
      <c r="D1261" s="77">
        <v>1</v>
      </c>
      <c r="E1261" s="78">
        <v>1</v>
      </c>
      <c r="F1261" s="497" t="s">
        <v>276</v>
      </c>
      <c r="G1261" s="76">
        <v>105.48</v>
      </c>
      <c r="H1261" s="56">
        <v>25.7</v>
      </c>
      <c r="I1261" s="60">
        <v>39.700000000000003</v>
      </c>
      <c r="J1261" s="60">
        <v>35.190372604446353</v>
      </c>
    </row>
    <row r="1262" spans="1:10">
      <c r="A1262" s="496"/>
      <c r="B1262" s="87" t="s">
        <v>168</v>
      </c>
      <c r="C1262" s="76" t="s">
        <v>169</v>
      </c>
      <c r="D1262" s="77">
        <v>1</v>
      </c>
      <c r="E1262" s="78">
        <v>1</v>
      </c>
      <c r="F1262" s="498"/>
      <c r="G1262" s="76">
        <v>105.48</v>
      </c>
      <c r="H1262" s="56">
        <v>28.7</v>
      </c>
      <c r="I1262" s="61">
        <v>42.6</v>
      </c>
      <c r="J1262" s="61">
        <v>38.274867758099141</v>
      </c>
    </row>
    <row r="1263" spans="1:10">
      <c r="A1263" s="496"/>
      <c r="B1263" s="87" t="s">
        <v>170</v>
      </c>
      <c r="C1263" s="76" t="s">
        <v>171</v>
      </c>
      <c r="D1263" s="77">
        <v>1</v>
      </c>
      <c r="E1263" s="78">
        <v>1</v>
      </c>
      <c r="F1263" s="498"/>
      <c r="G1263" s="76">
        <v>105.48</v>
      </c>
      <c r="H1263" s="56">
        <v>27.4</v>
      </c>
      <c r="I1263" s="57">
        <v>45.8</v>
      </c>
      <c r="J1263" s="57">
        <v>40.447616220029126</v>
      </c>
    </row>
    <row r="1264" spans="1:10">
      <c r="A1264" s="496"/>
      <c r="B1264" s="87" t="s">
        <v>172</v>
      </c>
      <c r="C1264" s="76" t="s">
        <v>173</v>
      </c>
      <c r="D1264" s="77">
        <v>1</v>
      </c>
      <c r="E1264" s="78">
        <v>1</v>
      </c>
      <c r="F1264" s="498"/>
      <c r="G1264" s="76">
        <v>105.48</v>
      </c>
      <c r="H1264" s="56">
        <v>27</v>
      </c>
      <c r="I1264" s="57">
        <v>45.3</v>
      </c>
      <c r="J1264" s="57">
        <v>40.088349265555607</v>
      </c>
    </row>
    <row r="1265" spans="1:10">
      <c r="A1265" s="496"/>
      <c r="B1265" s="87" t="s">
        <v>174</v>
      </c>
      <c r="C1265" s="76" t="s">
        <v>290</v>
      </c>
      <c r="D1265" s="77">
        <v>1</v>
      </c>
      <c r="E1265" s="78">
        <v>1</v>
      </c>
      <c r="F1265" s="498"/>
      <c r="G1265" s="76">
        <v>65</v>
      </c>
      <c r="H1265" s="62">
        <v>30.6</v>
      </c>
      <c r="I1265" s="62">
        <v>40.6</v>
      </c>
      <c r="J1265" s="62">
        <v>37.47478447889106</v>
      </c>
    </row>
    <row r="1266" spans="1:10">
      <c r="A1266" s="496"/>
      <c r="B1266" s="87" t="s">
        <v>175</v>
      </c>
      <c r="C1266" s="76" t="s">
        <v>176</v>
      </c>
      <c r="D1266" s="77">
        <v>1</v>
      </c>
      <c r="E1266" s="78">
        <v>1</v>
      </c>
      <c r="F1266" s="499"/>
      <c r="G1266" s="76">
        <v>65</v>
      </c>
      <c r="H1266" s="62">
        <v>29</v>
      </c>
      <c r="I1266" s="62">
        <v>30</v>
      </c>
      <c r="J1266" s="62">
        <v>29.322365104728199</v>
      </c>
    </row>
    <row r="1267" spans="1:10">
      <c r="A1267" s="496"/>
      <c r="B1267" s="87" t="s">
        <v>177</v>
      </c>
      <c r="C1267" s="76" t="s">
        <v>291</v>
      </c>
      <c r="D1267" s="77">
        <v>1</v>
      </c>
      <c r="E1267" s="78">
        <v>1</v>
      </c>
      <c r="F1267" s="497" t="s">
        <v>285</v>
      </c>
      <c r="G1267" s="76">
        <v>16.3</v>
      </c>
      <c r="H1267" s="62">
        <v>30.5</v>
      </c>
      <c r="I1267" s="62">
        <v>34.5</v>
      </c>
      <c r="J1267" s="62">
        <v>31.691676637256574</v>
      </c>
    </row>
    <row r="1268" spans="1:10">
      <c r="A1268" s="496"/>
      <c r="B1268" s="87" t="s">
        <v>178</v>
      </c>
      <c r="C1268" s="76" t="s">
        <v>179</v>
      </c>
      <c r="D1268" s="77">
        <v>1</v>
      </c>
      <c r="E1268" s="78">
        <v>1</v>
      </c>
      <c r="F1268" s="498"/>
      <c r="G1268" s="76">
        <v>16.3</v>
      </c>
      <c r="H1268" s="62">
        <v>31</v>
      </c>
      <c r="I1268" s="62">
        <v>40.5</v>
      </c>
      <c r="J1268" s="62">
        <v>34.619817345292134</v>
      </c>
    </row>
    <row r="1269" spans="1:10">
      <c r="A1269" s="496"/>
      <c r="B1269" s="87" t="s">
        <v>180</v>
      </c>
      <c r="C1269" s="76" t="s">
        <v>181</v>
      </c>
      <c r="D1269" s="77">
        <v>1</v>
      </c>
      <c r="E1269" s="78">
        <v>1</v>
      </c>
      <c r="F1269" s="498"/>
      <c r="G1269" s="76">
        <v>16.3</v>
      </c>
      <c r="H1269" s="62">
        <v>28</v>
      </c>
      <c r="I1269" s="62">
        <v>45</v>
      </c>
      <c r="J1269" s="62">
        <v>30.126522635332051</v>
      </c>
    </row>
    <row r="1270" spans="1:10">
      <c r="A1270" s="496"/>
      <c r="B1270" s="87" t="s">
        <v>292</v>
      </c>
      <c r="C1270" s="76" t="s">
        <v>182</v>
      </c>
      <c r="D1270" s="77">
        <v>1</v>
      </c>
      <c r="E1270" s="78">
        <v>1</v>
      </c>
      <c r="F1270" s="499"/>
      <c r="G1270" s="76">
        <v>35</v>
      </c>
      <c r="H1270" s="62">
        <v>31.5</v>
      </c>
      <c r="I1270" s="62">
        <v>50.1</v>
      </c>
      <c r="J1270" s="62">
        <v>44.617185412817626</v>
      </c>
    </row>
    <row r="1271" spans="1:10">
      <c r="A1271" s="496" t="s">
        <v>278</v>
      </c>
      <c r="B1271" s="87" t="s">
        <v>126</v>
      </c>
      <c r="C1271" s="76" t="s">
        <v>281</v>
      </c>
      <c r="D1271" s="77">
        <v>1</v>
      </c>
      <c r="E1271" s="78">
        <v>1</v>
      </c>
      <c r="F1271" s="91"/>
      <c r="G1271" s="76">
        <v>70.319999999999993</v>
      </c>
      <c r="H1271" s="62">
        <v>25.2</v>
      </c>
      <c r="I1271" s="62">
        <v>56.1</v>
      </c>
      <c r="J1271" s="62">
        <v>38.445655165716552</v>
      </c>
    </row>
    <row r="1272" spans="1:10">
      <c r="A1272" s="496"/>
      <c r="B1272" s="87" t="s">
        <v>127</v>
      </c>
      <c r="C1272" s="76" t="s">
        <v>128</v>
      </c>
      <c r="D1272" s="77">
        <v>1</v>
      </c>
      <c r="E1272" s="78">
        <v>1</v>
      </c>
      <c r="F1272" s="91"/>
      <c r="G1272" s="76">
        <v>70.319999999999993</v>
      </c>
      <c r="H1272" s="62">
        <v>25</v>
      </c>
      <c r="I1272" s="62">
        <v>56.2</v>
      </c>
      <c r="J1272" s="62">
        <v>37.517854848939081</v>
      </c>
    </row>
    <row r="1273" spans="1:10">
      <c r="A1273" s="496"/>
      <c r="B1273" s="87" t="s">
        <v>129</v>
      </c>
      <c r="C1273" s="76" t="s">
        <v>130</v>
      </c>
      <c r="D1273" s="77">
        <v>1</v>
      </c>
      <c r="E1273" s="78">
        <v>1</v>
      </c>
      <c r="F1273" s="91"/>
      <c r="G1273" s="76">
        <v>70.319999999999993</v>
      </c>
      <c r="H1273" s="62">
        <v>24.9</v>
      </c>
      <c r="I1273" s="62">
        <v>55.1</v>
      </c>
      <c r="J1273" s="62">
        <v>37.871109473847063</v>
      </c>
    </row>
    <row r="1274" spans="1:10">
      <c r="H1274" s="92">
        <f>AVERAGE(H1233:H1244,H1250:H1252,H1261:H1273)</f>
        <v>26.610714285714288</v>
      </c>
      <c r="I1274" s="92">
        <f>AVERAGE(I1233:I1244,I1250:I1252,I1261:I1273)</f>
        <v>45.474999999999987</v>
      </c>
      <c r="J1274" s="115">
        <f>AVERAGE(J1233:J1244,J1250:J1252,J1261:J1273,J1248)</f>
        <v>36.473064994950349</v>
      </c>
    </row>
    <row r="1275" spans="1:10">
      <c r="J1275" s="116" t="s">
        <v>265</v>
      </c>
    </row>
    <row r="1276" spans="1:10">
      <c r="A1276" s="511" t="s">
        <v>293</v>
      </c>
      <c r="B1276" s="511"/>
      <c r="C1276" s="512" t="s">
        <v>187</v>
      </c>
      <c r="D1276" s="513"/>
      <c r="E1276" s="513" t="s">
        <v>188</v>
      </c>
      <c r="F1276" s="513"/>
      <c r="G1276" s="513" t="s">
        <v>189</v>
      </c>
      <c r="H1276" s="513"/>
      <c r="I1276" s="513" t="s">
        <v>190</v>
      </c>
      <c r="J1276" s="513"/>
    </row>
    <row r="1277" spans="1:10" ht="34.799999999999997">
      <c r="A1277" s="511"/>
      <c r="B1277" s="511"/>
      <c r="C1277" s="103" t="s">
        <v>191</v>
      </c>
      <c r="D1277" s="102" t="s">
        <v>192</v>
      </c>
      <c r="E1277" s="102" t="s">
        <v>191</v>
      </c>
      <c r="F1277" s="102" t="s">
        <v>192</v>
      </c>
      <c r="G1277" s="102" t="s">
        <v>191</v>
      </c>
      <c r="H1277" s="102" t="s">
        <v>192</v>
      </c>
      <c r="I1277" s="102" t="s">
        <v>191</v>
      </c>
      <c r="J1277" s="102" t="s">
        <v>192</v>
      </c>
    </row>
    <row r="1278" spans="1:10">
      <c r="A1278" s="500" t="s">
        <v>294</v>
      </c>
      <c r="B1278" s="101" t="s">
        <v>295</v>
      </c>
      <c r="C1278" s="94"/>
      <c r="D1278" s="93"/>
      <c r="E1278" s="94"/>
      <c r="F1278" s="93"/>
      <c r="G1278" s="94"/>
      <c r="H1278" s="93"/>
      <c r="I1278" s="94"/>
      <c r="J1278" s="93"/>
    </row>
    <row r="1279" spans="1:10">
      <c r="A1279" s="501"/>
      <c r="B1279" s="95" t="s">
        <v>193</v>
      </c>
      <c r="C1279" s="94"/>
      <c r="D1279" s="93"/>
      <c r="E1279" s="94"/>
      <c r="F1279" s="93"/>
      <c r="G1279" s="94"/>
      <c r="H1279" s="93"/>
      <c r="I1279" s="94"/>
      <c r="J1279" s="93"/>
    </row>
    <row r="1280" spans="1:10">
      <c r="A1280" s="501"/>
      <c r="B1280" s="95" t="s">
        <v>194</v>
      </c>
      <c r="C1280" s="94"/>
      <c r="D1280" s="93"/>
      <c r="E1280" s="94"/>
      <c r="F1280" s="93"/>
      <c r="G1280" s="94"/>
      <c r="H1280" s="93"/>
      <c r="I1280" s="94"/>
      <c r="J1280" s="93"/>
    </row>
    <row r="1281" spans="1:10">
      <c r="A1281" s="501"/>
      <c r="B1281" s="95" t="s">
        <v>195</v>
      </c>
      <c r="C1281" s="94"/>
      <c r="D1281" s="93"/>
      <c r="E1281" s="94"/>
      <c r="F1281" s="93"/>
      <c r="G1281" s="94"/>
      <c r="H1281" s="93"/>
      <c r="I1281" s="94"/>
      <c r="J1281" s="93"/>
    </row>
    <row r="1282" spans="1:10">
      <c r="A1282" s="501"/>
      <c r="B1282" s="95" t="s">
        <v>196</v>
      </c>
      <c r="C1282" s="94"/>
      <c r="D1282" s="93"/>
      <c r="E1282" s="94"/>
      <c r="F1282" s="93"/>
      <c r="G1282" s="94"/>
      <c r="H1282" s="93"/>
      <c r="I1282" s="94"/>
      <c r="J1282" s="93"/>
    </row>
    <row r="1283" spans="1:10">
      <c r="A1283" s="501"/>
      <c r="B1283" s="95" t="s">
        <v>197</v>
      </c>
      <c r="C1283" s="94"/>
      <c r="D1283" s="93"/>
      <c r="E1283" s="94"/>
      <c r="F1283" s="93"/>
      <c r="G1283" s="94"/>
      <c r="H1283" s="93"/>
      <c r="I1283" s="94"/>
      <c r="J1283" s="93"/>
    </row>
    <row r="1284" spans="1:10">
      <c r="A1284" s="501"/>
      <c r="B1284" s="95" t="s">
        <v>198</v>
      </c>
      <c r="C1284" s="94"/>
      <c r="D1284" s="93"/>
      <c r="E1284" s="94"/>
      <c r="F1284" s="93"/>
      <c r="G1284" s="94"/>
      <c r="H1284" s="93"/>
      <c r="I1284" s="94"/>
      <c r="J1284" s="93"/>
    </row>
    <row r="1285" spans="1:10">
      <c r="A1285" s="501"/>
      <c r="B1285" s="95" t="s">
        <v>199</v>
      </c>
      <c r="C1285" s="94"/>
      <c r="D1285" s="93"/>
      <c r="E1285" s="94"/>
      <c r="F1285" s="93"/>
      <c r="G1285" s="94"/>
      <c r="H1285" s="93"/>
      <c r="I1285" s="94"/>
      <c r="J1285" s="93"/>
    </row>
    <row r="1286" spans="1:10">
      <c r="A1286" s="501"/>
      <c r="B1286" s="95" t="s">
        <v>200</v>
      </c>
      <c r="C1286" s="94"/>
      <c r="D1286" s="93"/>
      <c r="E1286" s="94"/>
      <c r="F1286" s="93"/>
      <c r="G1286" s="94"/>
      <c r="H1286" s="93"/>
      <c r="I1286" s="99"/>
      <c r="J1286" s="100"/>
    </row>
    <row r="1287" spans="1:10">
      <c r="A1287" s="501"/>
      <c r="B1287" s="95" t="s">
        <v>201</v>
      </c>
      <c r="C1287" s="94"/>
      <c r="D1287" s="93"/>
      <c r="E1287" s="99"/>
      <c r="F1287" s="100"/>
      <c r="G1287" s="94"/>
      <c r="H1287" s="93"/>
      <c r="I1287" s="99"/>
      <c r="J1287" s="100"/>
    </row>
    <row r="1288" spans="1:10">
      <c r="A1288" s="501"/>
      <c r="B1288" s="95" t="s">
        <v>202</v>
      </c>
      <c r="C1288" s="94"/>
      <c r="D1288" s="93"/>
      <c r="E1288" s="99"/>
      <c r="F1288" s="100"/>
      <c r="G1288" s="94"/>
      <c r="H1288" s="93"/>
      <c r="I1288" s="99"/>
      <c r="J1288" s="100"/>
    </row>
    <row r="1289" spans="1:10">
      <c r="A1289" s="501"/>
      <c r="B1289" s="95" t="s">
        <v>203</v>
      </c>
      <c r="C1289" s="94"/>
      <c r="D1289" s="93"/>
      <c r="E1289" s="99"/>
      <c r="F1289" s="100"/>
      <c r="G1289" s="94"/>
      <c r="H1289" s="93"/>
      <c r="I1289" s="99"/>
      <c r="J1289" s="100"/>
    </row>
    <row r="1290" spans="1:10">
      <c r="A1290" s="501"/>
      <c r="B1290" s="95" t="s">
        <v>204</v>
      </c>
      <c r="C1290" s="94"/>
      <c r="D1290" s="93"/>
      <c r="E1290" s="99"/>
      <c r="F1290" s="100"/>
      <c r="G1290" s="94"/>
      <c r="H1290" s="93"/>
      <c r="I1290" s="99"/>
      <c r="J1290" s="100"/>
    </row>
    <row r="1291" spans="1:10">
      <c r="A1291" s="501"/>
      <c r="B1291" s="95" t="s">
        <v>205</v>
      </c>
      <c r="C1291" s="99"/>
      <c r="D1291" s="100"/>
      <c r="E1291" s="99"/>
      <c r="F1291" s="100"/>
      <c r="G1291" s="94"/>
      <c r="H1291" s="93"/>
      <c r="I1291" s="99"/>
      <c r="J1291" s="100"/>
    </row>
    <row r="1292" spans="1:10">
      <c r="A1292" s="501"/>
      <c r="B1292" s="95" t="s">
        <v>206</v>
      </c>
      <c r="C1292" s="99"/>
      <c r="D1292" s="100"/>
      <c r="E1292" s="99"/>
      <c r="F1292" s="100"/>
      <c r="G1292" s="94"/>
      <c r="H1292" s="93"/>
      <c r="I1292" s="99"/>
      <c r="J1292" s="100"/>
    </row>
    <row r="1293" spans="1:10">
      <c r="A1293" s="501"/>
      <c r="B1293" s="95" t="s">
        <v>207</v>
      </c>
      <c r="C1293" s="99"/>
      <c r="D1293" s="100"/>
      <c r="E1293" s="99"/>
      <c r="F1293" s="100"/>
      <c r="G1293" s="94"/>
      <c r="H1293" s="93"/>
      <c r="I1293" s="99"/>
      <c r="J1293" s="100"/>
    </row>
    <row r="1294" spans="1:10">
      <c r="A1294" s="501"/>
      <c r="B1294" s="96" t="s">
        <v>296</v>
      </c>
      <c r="C1294" s="94"/>
      <c r="D1294" s="93"/>
      <c r="E1294" s="94"/>
      <c r="F1294" s="93"/>
      <c r="G1294" s="94"/>
      <c r="H1294" s="93"/>
      <c r="I1294" s="94"/>
      <c r="J1294" s="93"/>
    </row>
    <row r="1295" spans="1:10">
      <c r="A1295" s="501"/>
      <c r="B1295" s="96" t="s">
        <v>208</v>
      </c>
      <c r="C1295" s="94"/>
      <c r="D1295" s="93"/>
      <c r="E1295" s="94"/>
      <c r="F1295" s="93"/>
      <c r="G1295" s="94"/>
      <c r="H1295" s="93"/>
      <c r="I1295" s="94"/>
      <c r="J1295" s="93"/>
    </row>
    <row r="1296" spans="1:10">
      <c r="A1296" s="501"/>
      <c r="B1296" s="96" t="s">
        <v>209</v>
      </c>
      <c r="C1296" s="94"/>
      <c r="D1296" s="93"/>
      <c r="E1296" s="94"/>
      <c r="F1296" s="93"/>
      <c r="G1296" s="94"/>
      <c r="H1296" s="93"/>
      <c r="I1296" s="94"/>
      <c r="J1296" s="93"/>
    </row>
    <row r="1297" spans="1:10">
      <c r="A1297" s="501"/>
      <c r="B1297" s="96" t="s">
        <v>210</v>
      </c>
      <c r="C1297" s="94"/>
      <c r="D1297" s="93"/>
      <c r="E1297" s="94"/>
      <c r="F1297" s="93"/>
      <c r="G1297" s="94"/>
      <c r="H1297" s="93"/>
      <c r="I1297" s="94"/>
      <c r="J1297" s="93"/>
    </row>
    <row r="1298" spans="1:10">
      <c r="A1298" s="501"/>
      <c r="B1298" s="96" t="s">
        <v>211</v>
      </c>
      <c r="C1298" s="94"/>
      <c r="D1298" s="93"/>
      <c r="E1298" s="94"/>
      <c r="F1298" s="93"/>
      <c r="G1298" s="94"/>
      <c r="H1298" s="93"/>
      <c r="I1298" s="94"/>
      <c r="J1298" s="93"/>
    </row>
    <row r="1299" spans="1:10">
      <c r="A1299" s="501"/>
      <c r="B1299" s="96" t="s">
        <v>212</v>
      </c>
      <c r="C1299" s="94"/>
      <c r="D1299" s="93"/>
      <c r="E1299" s="94"/>
      <c r="F1299" s="93"/>
      <c r="G1299" s="94"/>
      <c r="H1299" s="93"/>
      <c r="I1299" s="94"/>
      <c r="J1299" s="93"/>
    </row>
    <row r="1300" spans="1:10">
      <c r="A1300" s="501"/>
      <c r="B1300" s="96" t="s">
        <v>213</v>
      </c>
      <c r="C1300" s="94"/>
      <c r="D1300" s="93"/>
      <c r="E1300" s="94"/>
      <c r="F1300" s="93"/>
      <c r="G1300" s="94"/>
      <c r="H1300" s="93"/>
      <c r="I1300" s="94"/>
      <c r="J1300" s="93"/>
    </row>
    <row r="1301" spans="1:10">
      <c r="A1301" s="501"/>
      <c r="B1301" s="96" t="s">
        <v>214</v>
      </c>
      <c r="C1301" s="94"/>
      <c r="D1301" s="93"/>
      <c r="E1301" s="94"/>
      <c r="F1301" s="93"/>
      <c r="G1301" s="94"/>
      <c r="H1301" s="93"/>
      <c r="I1301" s="94"/>
      <c r="J1301" s="93"/>
    </row>
    <row r="1302" spans="1:10">
      <c r="A1302" s="501"/>
      <c r="B1302" s="96" t="s">
        <v>215</v>
      </c>
      <c r="C1302" s="94"/>
      <c r="D1302" s="93"/>
      <c r="E1302" s="94"/>
      <c r="F1302" s="93"/>
      <c r="G1302" s="94"/>
      <c r="H1302" s="93"/>
      <c r="I1302" s="94"/>
      <c r="J1302" s="93"/>
    </row>
    <row r="1303" spans="1:10">
      <c r="A1303" s="501"/>
      <c r="B1303" s="96" t="s">
        <v>216</v>
      </c>
      <c r="C1303" s="94"/>
      <c r="D1303" s="93"/>
      <c r="E1303" s="94"/>
      <c r="F1303" s="93"/>
      <c r="G1303" s="94"/>
      <c r="H1303" s="93"/>
      <c r="I1303" s="94"/>
      <c r="J1303" s="93"/>
    </row>
    <row r="1304" spans="1:10">
      <c r="A1304" s="501"/>
      <c r="B1304" s="96" t="s">
        <v>217</v>
      </c>
      <c r="C1304" s="94"/>
      <c r="D1304" s="93"/>
      <c r="E1304" s="94"/>
      <c r="F1304" s="93"/>
      <c r="G1304" s="94"/>
      <c r="H1304" s="93"/>
      <c r="I1304" s="99"/>
      <c r="J1304" s="100"/>
    </row>
    <row r="1305" spans="1:10">
      <c r="A1305" s="501"/>
      <c r="B1305" s="96" t="s">
        <v>218</v>
      </c>
      <c r="C1305" s="94"/>
      <c r="D1305" s="93"/>
      <c r="E1305" s="94"/>
      <c r="F1305" s="93"/>
      <c r="G1305" s="94"/>
      <c r="H1305" s="93"/>
      <c r="I1305" s="99"/>
      <c r="J1305" s="100"/>
    </row>
    <row r="1306" spans="1:10">
      <c r="A1306" s="501"/>
      <c r="B1306" s="96" t="s">
        <v>219</v>
      </c>
      <c r="C1306" s="94"/>
      <c r="D1306" s="93"/>
      <c r="E1306" s="94"/>
      <c r="F1306" s="93"/>
      <c r="G1306" s="94"/>
      <c r="H1306" s="93"/>
      <c r="I1306" s="99"/>
      <c r="J1306" s="100"/>
    </row>
    <row r="1307" spans="1:10">
      <c r="A1307" s="501"/>
      <c r="B1307" s="96" t="s">
        <v>220</v>
      </c>
      <c r="C1307" s="94"/>
      <c r="D1307" s="93"/>
      <c r="E1307" s="94"/>
      <c r="F1307" s="93"/>
      <c r="G1307" s="99"/>
      <c r="H1307" s="100"/>
      <c r="I1307" s="99"/>
      <c r="J1307" s="100"/>
    </row>
    <row r="1308" spans="1:10">
      <c r="A1308" s="501"/>
      <c r="B1308" s="96" t="s">
        <v>297</v>
      </c>
      <c r="C1308" s="94"/>
      <c r="D1308" s="93"/>
      <c r="E1308" s="99"/>
      <c r="F1308" s="100"/>
      <c r="G1308" s="99"/>
      <c r="H1308" s="100"/>
      <c r="I1308" s="99"/>
      <c r="J1308" s="100"/>
    </row>
    <row r="1309" spans="1:10">
      <c r="A1309" s="501"/>
      <c r="B1309" s="96" t="s">
        <v>221</v>
      </c>
      <c r="C1309" s="94"/>
      <c r="D1309" s="93"/>
      <c r="E1309" s="99"/>
      <c r="F1309" s="100"/>
      <c r="G1309" s="99"/>
      <c r="H1309" s="100"/>
      <c r="I1309" s="99"/>
      <c r="J1309" s="100"/>
    </row>
    <row r="1310" spans="1:10">
      <c r="A1310" s="501"/>
      <c r="B1310" s="97" t="s">
        <v>298</v>
      </c>
      <c r="C1310" s="94"/>
      <c r="D1310" s="93"/>
      <c r="E1310" s="94"/>
      <c r="F1310" s="93"/>
      <c r="G1310" s="94"/>
      <c r="H1310" s="93"/>
      <c r="I1310" s="94"/>
      <c r="J1310" s="93"/>
    </row>
    <row r="1311" spans="1:10">
      <c r="A1311" s="501"/>
      <c r="B1311" s="97" t="s">
        <v>222</v>
      </c>
      <c r="C1311" s="94"/>
      <c r="D1311" s="93"/>
      <c r="E1311" s="94"/>
      <c r="F1311" s="93"/>
      <c r="G1311" s="94"/>
      <c r="H1311" s="93"/>
      <c r="I1311" s="94"/>
      <c r="J1311" s="93"/>
    </row>
    <row r="1312" spans="1:10">
      <c r="A1312" s="501"/>
      <c r="B1312" s="97" t="s">
        <v>223</v>
      </c>
      <c r="C1312" s="94"/>
      <c r="D1312" s="93"/>
      <c r="E1312" s="94"/>
      <c r="F1312" s="93"/>
      <c r="G1312" s="94"/>
      <c r="H1312" s="93"/>
      <c r="I1312" s="94"/>
      <c r="J1312" s="93"/>
    </row>
    <row r="1313" spans="1:10">
      <c r="A1313" s="501"/>
      <c r="B1313" s="97" t="s">
        <v>224</v>
      </c>
      <c r="C1313" s="94"/>
      <c r="D1313" s="93"/>
      <c r="E1313" s="94"/>
      <c r="F1313" s="93"/>
      <c r="G1313" s="94"/>
      <c r="H1313" s="93"/>
      <c r="I1313" s="94"/>
      <c r="J1313" s="93"/>
    </row>
    <row r="1314" spans="1:10">
      <c r="A1314" s="501"/>
      <c r="B1314" s="97" t="s">
        <v>225</v>
      </c>
      <c r="C1314" s="94"/>
      <c r="D1314" s="93"/>
      <c r="E1314" s="94"/>
      <c r="F1314" s="93"/>
      <c r="G1314" s="94"/>
      <c r="H1314" s="93"/>
      <c r="I1314" s="94"/>
      <c r="J1314" s="93"/>
    </row>
    <row r="1315" spans="1:10">
      <c r="A1315" s="501"/>
      <c r="B1315" s="97" t="s">
        <v>226</v>
      </c>
      <c r="C1315" s="94"/>
      <c r="D1315" s="93"/>
      <c r="E1315" s="94"/>
      <c r="F1315" s="93"/>
      <c r="G1315" s="94"/>
      <c r="H1315" s="93"/>
      <c r="I1315" s="94"/>
      <c r="J1315" s="93"/>
    </row>
    <row r="1316" spans="1:10">
      <c r="A1316" s="501"/>
      <c r="B1316" s="97" t="s">
        <v>227</v>
      </c>
      <c r="C1316" s="94"/>
      <c r="D1316" s="93"/>
      <c r="E1316" s="94"/>
      <c r="F1316" s="93"/>
      <c r="G1316" s="94"/>
      <c r="H1316" s="93"/>
      <c r="I1316" s="94"/>
      <c r="J1316" s="93"/>
    </row>
    <row r="1317" spans="1:10">
      <c r="A1317" s="501"/>
      <c r="B1317" s="97" t="s">
        <v>228</v>
      </c>
      <c r="C1317" s="94"/>
      <c r="D1317" s="93"/>
      <c r="E1317" s="94"/>
      <c r="F1317" s="93"/>
      <c r="G1317" s="94"/>
      <c r="H1317" s="93"/>
      <c r="I1317" s="94"/>
      <c r="J1317" s="93"/>
    </row>
    <row r="1318" spans="1:10">
      <c r="A1318" s="501"/>
      <c r="B1318" s="97" t="s">
        <v>229</v>
      </c>
      <c r="C1318" s="94"/>
      <c r="D1318" s="93"/>
      <c r="E1318" s="94"/>
      <c r="F1318" s="93"/>
      <c r="G1318" s="99"/>
      <c r="H1318" s="100"/>
      <c r="I1318" s="94"/>
      <c r="J1318" s="93"/>
    </row>
    <row r="1319" spans="1:10">
      <c r="A1319" s="501"/>
      <c r="B1319" s="97" t="s">
        <v>230</v>
      </c>
      <c r="C1319" s="94"/>
      <c r="D1319" s="93"/>
      <c r="E1319" s="94"/>
      <c r="F1319" s="93"/>
      <c r="G1319" s="99"/>
      <c r="H1319" s="100"/>
      <c r="I1319" s="99"/>
      <c r="J1319" s="100"/>
    </row>
    <row r="1320" spans="1:10">
      <c r="A1320" s="501"/>
      <c r="B1320" s="97" t="s">
        <v>231</v>
      </c>
      <c r="C1320" s="94"/>
      <c r="D1320" s="93"/>
      <c r="E1320" s="94"/>
      <c r="F1320" s="93"/>
      <c r="G1320" s="99"/>
      <c r="H1320" s="100"/>
      <c r="I1320" s="99"/>
      <c r="J1320" s="100"/>
    </row>
    <row r="1321" spans="1:10">
      <c r="A1321" s="501"/>
      <c r="B1321" s="97" t="s">
        <v>232</v>
      </c>
      <c r="C1321" s="94"/>
      <c r="D1321" s="93"/>
      <c r="E1321" s="94"/>
      <c r="F1321" s="93"/>
      <c r="G1321" s="99"/>
      <c r="H1321" s="100"/>
      <c r="I1321" s="99"/>
      <c r="J1321" s="100"/>
    </row>
    <row r="1322" spans="1:10">
      <c r="A1322" s="501"/>
      <c r="B1322" s="97" t="s">
        <v>233</v>
      </c>
      <c r="C1322" s="94"/>
      <c r="D1322" s="93"/>
      <c r="E1322" s="94"/>
      <c r="F1322" s="93"/>
      <c r="G1322" s="99"/>
      <c r="H1322" s="100"/>
      <c r="I1322" s="99"/>
      <c r="J1322" s="100"/>
    </row>
    <row r="1323" spans="1:10">
      <c r="A1323" s="501"/>
      <c r="B1323" s="97" t="s">
        <v>234</v>
      </c>
      <c r="C1323" s="94"/>
      <c r="D1323" s="93"/>
      <c r="E1323" s="94"/>
      <c r="F1323" s="93"/>
      <c r="G1323" s="99"/>
      <c r="H1323" s="100"/>
      <c r="I1323" s="99"/>
      <c r="J1323" s="100"/>
    </row>
    <row r="1324" spans="1:10">
      <c r="A1324" s="501"/>
      <c r="B1324" s="97" t="s">
        <v>235</v>
      </c>
      <c r="C1324" s="94"/>
      <c r="D1324" s="93"/>
      <c r="E1324" s="99"/>
      <c r="F1324" s="100"/>
      <c r="G1324" s="99"/>
      <c r="H1324" s="100"/>
      <c r="I1324" s="99"/>
      <c r="J1324" s="100"/>
    </row>
    <row r="1325" spans="1:10">
      <c r="A1325" s="501"/>
      <c r="B1325" s="97" t="s">
        <v>236</v>
      </c>
      <c r="C1325" s="94"/>
      <c r="D1325" s="93"/>
      <c r="E1325" s="99"/>
      <c r="F1325" s="100"/>
      <c r="G1325" s="99"/>
      <c r="H1325" s="100"/>
      <c r="I1325" s="99"/>
      <c r="J1325" s="100"/>
    </row>
    <row r="1326" spans="1:10">
      <c r="A1326" s="501"/>
      <c r="B1326" s="98" t="s">
        <v>299</v>
      </c>
      <c r="C1326" s="94"/>
      <c r="D1326" s="93"/>
      <c r="E1326" s="94"/>
      <c r="F1326" s="93"/>
      <c r="G1326" s="94"/>
      <c r="H1326" s="93"/>
      <c r="I1326" s="94"/>
      <c r="J1326" s="93"/>
    </row>
    <row r="1327" spans="1:10">
      <c r="A1327" s="501"/>
      <c r="B1327" s="98" t="s">
        <v>237</v>
      </c>
      <c r="C1327" s="94"/>
      <c r="D1327" s="93"/>
      <c r="E1327" s="94"/>
      <c r="F1327" s="93"/>
      <c r="G1327" s="94"/>
      <c r="H1327" s="93"/>
      <c r="I1327" s="94"/>
      <c r="J1327" s="93"/>
    </row>
    <row r="1328" spans="1:10">
      <c r="A1328" s="501"/>
      <c r="B1328" s="98" t="s">
        <v>238</v>
      </c>
      <c r="C1328" s="94"/>
      <c r="D1328" s="93"/>
      <c r="E1328" s="94"/>
      <c r="F1328" s="93"/>
      <c r="G1328" s="94"/>
      <c r="H1328" s="93"/>
      <c r="I1328" s="94"/>
      <c r="J1328" s="93"/>
    </row>
    <row r="1329" spans="1:10">
      <c r="A1329" s="501"/>
      <c r="B1329" s="98" t="s">
        <v>239</v>
      </c>
      <c r="C1329" s="94"/>
      <c r="D1329" s="93"/>
      <c r="E1329" s="94"/>
      <c r="F1329" s="93"/>
      <c r="G1329" s="94"/>
      <c r="H1329" s="93"/>
      <c r="I1329" s="94"/>
      <c r="J1329" s="93"/>
    </row>
    <row r="1330" spans="1:10">
      <c r="A1330" s="501"/>
      <c r="B1330" s="98" t="s">
        <v>240</v>
      </c>
      <c r="C1330" s="94"/>
      <c r="D1330" s="93"/>
      <c r="E1330" s="94"/>
      <c r="F1330" s="93"/>
      <c r="G1330" s="94"/>
      <c r="H1330" s="93"/>
      <c r="I1330" s="94"/>
      <c r="J1330" s="93"/>
    </row>
    <row r="1331" spans="1:10">
      <c r="A1331" s="501"/>
      <c r="B1331" s="98" t="s">
        <v>241</v>
      </c>
      <c r="C1331" s="94"/>
      <c r="D1331" s="93"/>
      <c r="E1331" s="94"/>
      <c r="F1331" s="93"/>
      <c r="G1331" s="94"/>
      <c r="H1331" s="93"/>
      <c r="I1331" s="94"/>
      <c r="J1331" s="93"/>
    </row>
    <row r="1332" spans="1:10">
      <c r="A1332" s="501"/>
      <c r="B1332" s="98" t="s">
        <v>242</v>
      </c>
      <c r="C1332" s="94"/>
      <c r="D1332" s="93"/>
      <c r="E1332" s="94"/>
      <c r="F1332" s="93"/>
      <c r="G1332" s="94"/>
      <c r="H1332" s="93"/>
      <c r="I1332" s="94"/>
      <c r="J1332" s="93"/>
    </row>
    <row r="1333" spans="1:10">
      <c r="A1333" s="501"/>
      <c r="B1333" s="98" t="s">
        <v>243</v>
      </c>
      <c r="C1333" s="94"/>
      <c r="D1333" s="93"/>
      <c r="E1333" s="94"/>
      <c r="F1333" s="93"/>
      <c r="G1333" s="94"/>
      <c r="H1333" s="93"/>
      <c r="I1333" s="94"/>
      <c r="J1333" s="93"/>
    </row>
    <row r="1334" spans="1:10">
      <c r="A1334" s="501"/>
      <c r="B1334" s="98" t="s">
        <v>244</v>
      </c>
      <c r="C1334" s="94"/>
      <c r="D1334" s="93"/>
      <c r="E1334" s="94"/>
      <c r="F1334" s="93"/>
      <c r="G1334" s="94"/>
      <c r="H1334" s="93"/>
      <c r="I1334" s="99"/>
      <c r="J1334" s="100"/>
    </row>
    <row r="1335" spans="1:10">
      <c r="A1335" s="501"/>
      <c r="B1335" s="98" t="s">
        <v>245</v>
      </c>
      <c r="C1335" s="94"/>
      <c r="D1335" s="93"/>
      <c r="E1335" s="94"/>
      <c r="F1335" s="93"/>
      <c r="G1335" s="94"/>
      <c r="H1335" s="93"/>
      <c r="I1335" s="99"/>
      <c r="J1335" s="100"/>
    </row>
    <row r="1336" spans="1:10">
      <c r="A1336" s="501"/>
      <c r="B1336" s="98" t="s">
        <v>246</v>
      </c>
      <c r="C1336" s="99"/>
      <c r="D1336" s="100"/>
      <c r="E1336" s="94"/>
      <c r="F1336" s="93"/>
      <c r="G1336" s="94"/>
      <c r="H1336" s="93"/>
      <c r="I1336" s="99"/>
      <c r="J1336" s="100"/>
    </row>
    <row r="1337" spans="1:10">
      <c r="A1337" s="501"/>
      <c r="B1337" s="98" t="s">
        <v>247</v>
      </c>
      <c r="C1337" s="99"/>
      <c r="D1337" s="100"/>
      <c r="E1337" s="94"/>
      <c r="F1337" s="93"/>
      <c r="G1337" s="94"/>
      <c r="H1337" s="93"/>
      <c r="I1337" s="99"/>
      <c r="J1337" s="100"/>
    </row>
    <row r="1338" spans="1:10">
      <c r="A1338" s="501"/>
      <c r="B1338" s="98" t="s">
        <v>248</v>
      </c>
      <c r="C1338" s="99"/>
      <c r="D1338" s="100"/>
      <c r="E1338" s="99"/>
      <c r="F1338" s="100"/>
      <c r="G1338" s="94"/>
      <c r="H1338" s="93"/>
      <c r="I1338" s="99"/>
      <c r="J1338" s="100"/>
    </row>
    <row r="1339" spans="1:10">
      <c r="A1339" s="501"/>
      <c r="B1339" s="95" t="s">
        <v>300</v>
      </c>
      <c r="C1339" s="99"/>
      <c r="D1339" s="100"/>
      <c r="E1339" s="99"/>
      <c r="F1339" s="100"/>
      <c r="G1339" s="99"/>
      <c r="H1339" s="100"/>
      <c r="I1339" s="94"/>
      <c r="J1339" s="93"/>
    </row>
    <row r="1340" spans="1:10">
      <c r="A1340" s="501"/>
      <c r="B1340" s="95" t="s">
        <v>249</v>
      </c>
      <c r="C1340" s="99"/>
      <c r="D1340" s="100"/>
      <c r="E1340" s="99"/>
      <c r="F1340" s="100"/>
      <c r="G1340" s="99"/>
      <c r="H1340" s="100"/>
      <c r="I1340" s="94"/>
      <c r="J1340" s="93"/>
    </row>
    <row r="1341" spans="1:10">
      <c r="A1341" s="501"/>
      <c r="B1341" s="95" t="s">
        <v>250</v>
      </c>
      <c r="C1341" s="99"/>
      <c r="D1341" s="100"/>
      <c r="E1341" s="99"/>
      <c r="F1341" s="100"/>
      <c r="G1341" s="99"/>
      <c r="H1341" s="100"/>
      <c r="I1341" s="94"/>
      <c r="J1341" s="93"/>
    </row>
    <row r="1342" spans="1:10">
      <c r="A1342" s="501"/>
      <c r="B1342" s="95" t="s">
        <v>251</v>
      </c>
      <c r="C1342" s="99"/>
      <c r="D1342" s="100"/>
      <c r="E1342" s="99"/>
      <c r="F1342" s="100"/>
      <c r="G1342" s="99"/>
      <c r="H1342" s="100"/>
      <c r="I1342" s="94"/>
      <c r="J1342" s="93"/>
    </row>
    <row r="1343" spans="1:10">
      <c r="A1343" s="501"/>
      <c r="B1343" s="95" t="s">
        <v>252</v>
      </c>
      <c r="C1343" s="99"/>
      <c r="D1343" s="100"/>
      <c r="E1343" s="99"/>
      <c r="F1343" s="100"/>
      <c r="G1343" s="99"/>
      <c r="H1343" s="100"/>
      <c r="I1343" s="94"/>
      <c r="J1343" s="93"/>
    </row>
    <row r="1344" spans="1:10">
      <c r="A1344" s="501"/>
      <c r="B1344" s="95" t="s">
        <v>253</v>
      </c>
      <c r="C1344" s="99"/>
      <c r="D1344" s="100"/>
      <c r="E1344" s="99"/>
      <c r="F1344" s="100"/>
      <c r="G1344" s="99"/>
      <c r="H1344" s="100"/>
      <c r="I1344" s="94"/>
      <c r="J1344" s="93"/>
    </row>
    <row r="1345" spans="1:11">
      <c r="A1345" s="501"/>
      <c r="B1345" s="95" t="s">
        <v>254</v>
      </c>
      <c r="C1345" s="99"/>
      <c r="D1345" s="100"/>
      <c r="E1345" s="99"/>
      <c r="F1345" s="100"/>
      <c r="G1345" s="99"/>
      <c r="H1345" s="100"/>
      <c r="I1345" s="94"/>
      <c r="J1345" s="93"/>
    </row>
    <row r="1346" spans="1:11">
      <c r="A1346" s="501"/>
      <c r="B1346" s="95" t="s">
        <v>255</v>
      </c>
      <c r="C1346" s="99"/>
      <c r="D1346" s="100"/>
      <c r="E1346" s="99"/>
      <c r="F1346" s="100"/>
      <c r="G1346" s="99"/>
      <c r="H1346" s="100"/>
      <c r="I1346" s="94"/>
      <c r="J1346" s="93"/>
    </row>
    <row r="1347" spans="1:11">
      <c r="A1347" s="501"/>
      <c r="B1347" s="95" t="s">
        <v>256</v>
      </c>
      <c r="C1347" s="99"/>
      <c r="D1347" s="100"/>
      <c r="E1347" s="99"/>
      <c r="F1347" s="100"/>
      <c r="G1347" s="99"/>
      <c r="H1347" s="100"/>
      <c r="I1347" s="94"/>
      <c r="J1347" s="93"/>
    </row>
    <row r="1348" spans="1:11">
      <c r="A1348" s="501"/>
      <c r="B1348" s="95" t="s">
        <v>257</v>
      </c>
      <c r="C1348" s="99"/>
      <c r="D1348" s="100"/>
      <c r="E1348" s="99"/>
      <c r="F1348" s="100"/>
      <c r="G1348" s="99"/>
      <c r="H1348" s="100"/>
      <c r="I1348" s="94"/>
      <c r="J1348" s="93"/>
    </row>
    <row r="1349" spans="1:11">
      <c r="A1349" s="501"/>
      <c r="B1349" s="95" t="s">
        <v>258</v>
      </c>
      <c r="C1349" s="99"/>
      <c r="D1349" s="100"/>
      <c r="E1349" s="99"/>
      <c r="F1349" s="100"/>
      <c r="G1349" s="99"/>
      <c r="H1349" s="100"/>
      <c r="I1349" s="94"/>
      <c r="J1349" s="93"/>
    </row>
    <row r="1350" spans="1:11">
      <c r="A1350" s="502"/>
      <c r="B1350" s="95" t="s">
        <v>259</v>
      </c>
      <c r="C1350" s="99"/>
      <c r="D1350" s="100"/>
      <c r="E1350" s="99"/>
      <c r="F1350" s="100"/>
      <c r="G1350" s="99"/>
      <c r="H1350" s="100"/>
      <c r="I1350" s="94"/>
      <c r="J1350" s="93"/>
    </row>
    <row r="1351" spans="1:11">
      <c r="A1351" s="116" t="s">
        <v>266</v>
      </c>
      <c r="B1351" s="117" t="e">
        <f>SUM(C1351,E1351,G1351,I1351)</f>
        <v>#DIV/0!</v>
      </c>
      <c r="C1351" s="104" t="e">
        <f>AVERAGE(C1278:C1290,C1294:C1335)</f>
        <v>#DIV/0!</v>
      </c>
      <c r="D1351" s="104" t="e">
        <f>AVERAGE(D1278:D1290,D1294:D1335)</f>
        <v>#DIV/0!</v>
      </c>
      <c r="E1351" s="104" t="e">
        <f>AVERAGE(E1278:E1286,E1294:E1307,E1310:E1323,E1326:E1337)</f>
        <v>#DIV/0!</v>
      </c>
      <c r="F1351" s="104" t="e">
        <f>AVERAGE(F1278:F1286,F1294:F1307,F1310:F1323,F1326:F1337)</f>
        <v>#DIV/0!</v>
      </c>
      <c r="G1351" s="104" t="e">
        <f>AVERAGE(G1278:G1306,G1310:G1317,G1326:G1338)</f>
        <v>#DIV/0!</v>
      </c>
      <c r="H1351" s="104" t="e">
        <f>AVERAGE(H1278:H1306,H1310:H1317,H1326:H1338)</f>
        <v>#DIV/0!</v>
      </c>
      <c r="I1351" s="104" t="e">
        <f>AVERAGE(I1278:I1285,I1294:I1303,I1310:I1318,I1326:I1333,I1339:I1350)</f>
        <v>#DIV/0!</v>
      </c>
      <c r="J1351" s="104" t="e">
        <f>AVERAGE(J1278:J1285,J1294:J1303,J1310:J1318,J1326:J1333,J1339:J1350)</f>
        <v>#DIV/0!</v>
      </c>
    </row>
    <row r="1352" spans="1:11">
      <c r="A1352" s="116" t="s">
        <v>267</v>
      </c>
      <c r="B1352" s="117" t="e">
        <f>SUM(D1351,F1351,H1351,J1351)</f>
        <v>#DIV/0!</v>
      </c>
      <c r="C1352" s="64" t="s">
        <v>268</v>
      </c>
      <c r="D1352" s="118" t="s">
        <v>269</v>
      </c>
      <c r="E1352" s="64" t="s">
        <v>268</v>
      </c>
      <c r="F1352" s="118" t="s">
        <v>269</v>
      </c>
      <c r="G1352" s="64" t="s">
        <v>268</v>
      </c>
      <c r="H1352" s="118" t="s">
        <v>269</v>
      </c>
      <c r="I1352" s="64" t="s">
        <v>268</v>
      </c>
      <c r="J1352" s="118" t="s">
        <v>269</v>
      </c>
    </row>
    <row r="1355" spans="1:11">
      <c r="A1355" s="503" t="s">
        <v>107</v>
      </c>
      <c r="B1355" s="503"/>
      <c r="C1355" s="503"/>
      <c r="D1355" s="503"/>
      <c r="E1355" s="503"/>
      <c r="F1355" s="503"/>
      <c r="G1355" s="503"/>
      <c r="H1355" s="503"/>
      <c r="I1355" s="503"/>
      <c r="J1355" s="504"/>
      <c r="K1355" s="109">
        <v>9</v>
      </c>
    </row>
    <row r="1356" spans="1:11" ht="34.799999999999997">
      <c r="A1356" s="74" t="s">
        <v>270</v>
      </c>
      <c r="B1356" s="74" t="s">
        <v>271</v>
      </c>
      <c r="C1356" s="74" t="s">
        <v>272</v>
      </c>
      <c r="D1356" s="74" t="s">
        <v>108</v>
      </c>
      <c r="E1356" s="74" t="s">
        <v>109</v>
      </c>
      <c r="F1356" s="75" t="s">
        <v>273</v>
      </c>
      <c r="G1356" s="74" t="s">
        <v>110</v>
      </c>
      <c r="H1356" s="74" t="s">
        <v>111</v>
      </c>
      <c r="I1356" s="74" t="s">
        <v>112</v>
      </c>
      <c r="J1356" s="74" t="s">
        <v>113</v>
      </c>
    </row>
    <row r="1357" spans="1:11">
      <c r="A1357" s="505" t="s">
        <v>274</v>
      </c>
      <c r="B1357" s="87" t="s">
        <v>114</v>
      </c>
      <c r="C1357" s="76" t="s">
        <v>275</v>
      </c>
      <c r="D1357" s="77">
        <v>1</v>
      </c>
      <c r="E1357" s="78">
        <v>1</v>
      </c>
      <c r="F1357" s="497" t="s">
        <v>276</v>
      </c>
      <c r="G1357" s="76">
        <v>105.48</v>
      </c>
      <c r="H1357" s="67"/>
      <c r="I1357" s="68"/>
      <c r="J1357" s="68"/>
    </row>
    <row r="1358" spans="1:11">
      <c r="A1358" s="506"/>
      <c r="B1358" s="87" t="s">
        <v>115</v>
      </c>
      <c r="C1358" s="76" t="s">
        <v>277</v>
      </c>
      <c r="D1358" s="77">
        <v>1</v>
      </c>
      <c r="E1358" s="78">
        <v>1</v>
      </c>
      <c r="F1358" s="498"/>
      <c r="G1358" s="76">
        <v>105.48</v>
      </c>
      <c r="H1358" s="67"/>
      <c r="I1358" s="68"/>
      <c r="J1358" s="68"/>
    </row>
    <row r="1359" spans="1:11">
      <c r="A1359" s="506"/>
      <c r="B1359" s="87" t="s">
        <v>116</v>
      </c>
      <c r="C1359" s="76" t="s">
        <v>117</v>
      </c>
      <c r="D1359" s="77">
        <v>1</v>
      </c>
      <c r="E1359" s="78">
        <v>1</v>
      </c>
      <c r="F1359" s="79"/>
      <c r="G1359" s="76">
        <v>105.48</v>
      </c>
      <c r="H1359" s="67"/>
      <c r="I1359" s="68"/>
      <c r="J1359" s="68"/>
    </row>
    <row r="1360" spans="1:11">
      <c r="A1360" s="507"/>
      <c r="B1360" s="87" t="s">
        <v>118</v>
      </c>
      <c r="C1360" s="76" t="s">
        <v>119</v>
      </c>
      <c r="D1360" s="77">
        <v>1</v>
      </c>
      <c r="E1360" s="78">
        <v>1</v>
      </c>
      <c r="F1360" s="79"/>
      <c r="G1360" s="76">
        <v>105.48</v>
      </c>
      <c r="H1360" s="67"/>
      <c r="I1360" s="68"/>
      <c r="J1360" s="68"/>
    </row>
    <row r="1361" spans="1:10">
      <c r="A1361" s="505" t="s">
        <v>278</v>
      </c>
      <c r="B1361" s="87" t="s">
        <v>120</v>
      </c>
      <c r="C1361" s="76" t="s">
        <v>279</v>
      </c>
      <c r="D1361" s="77">
        <v>1</v>
      </c>
      <c r="E1361" s="78">
        <v>1</v>
      </c>
      <c r="F1361" s="497" t="s">
        <v>276</v>
      </c>
      <c r="G1361" s="76">
        <v>105.48</v>
      </c>
      <c r="H1361" s="67"/>
      <c r="I1361" s="68"/>
      <c r="J1361" s="68"/>
    </row>
    <row r="1362" spans="1:10">
      <c r="A1362" s="506"/>
      <c r="B1362" s="87" t="s">
        <v>121</v>
      </c>
      <c r="C1362" s="76" t="s">
        <v>280</v>
      </c>
      <c r="D1362" s="77">
        <v>1</v>
      </c>
      <c r="E1362" s="78">
        <v>1</v>
      </c>
      <c r="F1362" s="498"/>
      <c r="G1362" s="76">
        <v>105.48</v>
      </c>
      <c r="H1362" s="67"/>
      <c r="I1362" s="68"/>
      <c r="J1362" s="68"/>
    </row>
    <row r="1363" spans="1:10">
      <c r="A1363" s="506"/>
      <c r="B1363" s="87" t="s">
        <v>122</v>
      </c>
      <c r="C1363" s="76" t="s">
        <v>123</v>
      </c>
      <c r="D1363" s="77">
        <v>1</v>
      </c>
      <c r="E1363" s="78">
        <v>1</v>
      </c>
      <c r="F1363" s="498"/>
      <c r="G1363" s="76">
        <v>105.48</v>
      </c>
      <c r="H1363" s="67"/>
      <c r="I1363" s="68"/>
      <c r="J1363" s="68"/>
    </row>
    <row r="1364" spans="1:10">
      <c r="A1364" s="506"/>
      <c r="B1364" s="87" t="s">
        <v>124</v>
      </c>
      <c r="C1364" s="76" t="s">
        <v>125</v>
      </c>
      <c r="D1364" s="77">
        <v>1</v>
      </c>
      <c r="E1364" s="78">
        <v>1</v>
      </c>
      <c r="F1364" s="498"/>
      <c r="G1364" s="76">
        <v>105.48</v>
      </c>
      <c r="H1364" s="67"/>
      <c r="I1364" s="68"/>
      <c r="J1364" s="68"/>
    </row>
    <row r="1365" spans="1:10">
      <c r="A1365" s="506"/>
      <c r="B1365" s="87" t="s">
        <v>126</v>
      </c>
      <c r="C1365" s="76" t="s">
        <v>281</v>
      </c>
      <c r="D1365" s="77">
        <v>1</v>
      </c>
      <c r="E1365" s="78">
        <v>1</v>
      </c>
      <c r="F1365" s="79"/>
      <c r="G1365" s="76">
        <v>70.319999999999993</v>
      </c>
      <c r="H1365" s="67"/>
      <c r="I1365" s="68"/>
      <c r="J1365" s="68"/>
    </row>
    <row r="1366" spans="1:10">
      <c r="A1366" s="506"/>
      <c r="B1366" s="87" t="s">
        <v>127</v>
      </c>
      <c r="C1366" s="76" t="s">
        <v>128</v>
      </c>
      <c r="D1366" s="77">
        <v>1</v>
      </c>
      <c r="E1366" s="78">
        <v>1</v>
      </c>
      <c r="F1366" s="79"/>
      <c r="G1366" s="76">
        <v>70.319999999999993</v>
      </c>
      <c r="H1366" s="67"/>
      <c r="I1366" s="68"/>
      <c r="J1366" s="68"/>
    </row>
    <row r="1367" spans="1:10">
      <c r="A1367" s="507"/>
      <c r="B1367" s="87" t="s">
        <v>129</v>
      </c>
      <c r="C1367" s="76" t="s">
        <v>130</v>
      </c>
      <c r="D1367" s="77">
        <v>1</v>
      </c>
      <c r="E1367" s="78">
        <v>1</v>
      </c>
      <c r="F1367" s="79"/>
      <c r="G1367" s="76">
        <v>70.319999999999993</v>
      </c>
      <c r="H1367" s="67"/>
      <c r="I1367" s="68"/>
      <c r="J1367" s="68"/>
    </row>
    <row r="1368" spans="1:10">
      <c r="A1368" s="496" t="s">
        <v>282</v>
      </c>
      <c r="B1368" s="87" t="s">
        <v>131</v>
      </c>
      <c r="C1368" s="76" t="s">
        <v>283</v>
      </c>
      <c r="D1368" s="77">
        <v>1</v>
      </c>
      <c r="E1368" s="78">
        <v>1</v>
      </c>
      <c r="F1368" s="497" t="s">
        <v>276</v>
      </c>
      <c r="G1368" s="76">
        <v>105.48</v>
      </c>
      <c r="H1368" s="67"/>
      <c r="I1368" s="68"/>
      <c r="J1368" s="68"/>
    </row>
    <row r="1369" spans="1:10">
      <c r="A1369" s="496"/>
      <c r="B1369" s="87" t="s">
        <v>132</v>
      </c>
      <c r="C1369" s="76" t="s">
        <v>133</v>
      </c>
      <c r="D1369" s="77">
        <v>1</v>
      </c>
      <c r="E1369" s="78">
        <v>1</v>
      </c>
      <c r="F1369" s="498"/>
      <c r="G1369" s="76">
        <v>105.48</v>
      </c>
      <c r="H1369" s="67"/>
      <c r="I1369" s="68"/>
      <c r="J1369" s="68"/>
    </row>
    <row r="1370" spans="1:10">
      <c r="A1370" s="496"/>
      <c r="B1370" s="87" t="s">
        <v>134</v>
      </c>
      <c r="C1370" s="76" t="s">
        <v>135</v>
      </c>
      <c r="D1370" s="77">
        <v>1</v>
      </c>
      <c r="E1370" s="78">
        <v>1</v>
      </c>
      <c r="F1370" s="498"/>
      <c r="G1370" s="80">
        <v>105.48</v>
      </c>
      <c r="H1370" s="67"/>
      <c r="I1370" s="68"/>
      <c r="J1370" s="68"/>
    </row>
    <row r="1371" spans="1:10">
      <c r="A1371" s="496"/>
      <c r="B1371" s="87" t="s">
        <v>136</v>
      </c>
      <c r="C1371" s="76" t="s">
        <v>137</v>
      </c>
      <c r="D1371" s="77">
        <v>1</v>
      </c>
      <c r="E1371" s="78">
        <v>1</v>
      </c>
      <c r="F1371" s="498"/>
      <c r="G1371" s="80">
        <v>105.48</v>
      </c>
      <c r="H1371" s="67"/>
      <c r="I1371" s="68"/>
      <c r="J1371" s="68"/>
    </row>
    <row r="1372" spans="1:10">
      <c r="A1372" s="496"/>
      <c r="B1372" s="87" t="s">
        <v>138</v>
      </c>
      <c r="C1372" s="76" t="s">
        <v>284</v>
      </c>
      <c r="D1372" s="77">
        <v>0</v>
      </c>
      <c r="E1372" s="78">
        <v>1</v>
      </c>
      <c r="F1372" s="497" t="s">
        <v>285</v>
      </c>
      <c r="G1372" s="76">
        <v>32.549999999999997</v>
      </c>
      <c r="H1372" s="69"/>
      <c r="I1372" s="69"/>
      <c r="J1372" s="69"/>
    </row>
    <row r="1373" spans="1:10">
      <c r="A1373" s="496"/>
      <c r="B1373" s="87" t="s">
        <v>139</v>
      </c>
      <c r="C1373" s="76" t="s">
        <v>140</v>
      </c>
      <c r="D1373" s="77">
        <v>0</v>
      </c>
      <c r="E1373" s="78">
        <v>1</v>
      </c>
      <c r="F1373" s="499"/>
      <c r="G1373" s="76">
        <v>32.549999999999997</v>
      </c>
      <c r="H1373" s="70"/>
      <c r="I1373" s="70"/>
      <c r="J1373" s="70"/>
    </row>
    <row r="1374" spans="1:10">
      <c r="A1374" s="496"/>
      <c r="B1374" s="87" t="s">
        <v>141</v>
      </c>
      <c r="C1374" s="76" t="s">
        <v>286</v>
      </c>
      <c r="D1374" s="77">
        <v>0</v>
      </c>
      <c r="E1374" s="78">
        <v>1</v>
      </c>
      <c r="F1374" s="497" t="s">
        <v>285</v>
      </c>
      <c r="G1374" s="76">
        <v>32.549999999999997</v>
      </c>
      <c r="H1374" s="70"/>
      <c r="I1374" s="70"/>
      <c r="J1374" s="70"/>
    </row>
    <row r="1375" spans="1:10">
      <c r="A1375" s="496"/>
      <c r="B1375" s="87" t="s">
        <v>142</v>
      </c>
      <c r="C1375" s="76" t="s">
        <v>143</v>
      </c>
      <c r="D1375" s="77">
        <v>1</v>
      </c>
      <c r="E1375" s="78">
        <v>1</v>
      </c>
      <c r="F1375" s="498"/>
      <c r="G1375" s="76">
        <v>32.549999999999997</v>
      </c>
      <c r="H1375" s="71"/>
      <c r="I1375" s="71"/>
      <c r="J1375" s="71"/>
    </row>
    <row r="1376" spans="1:10">
      <c r="A1376" s="496"/>
      <c r="B1376" s="87" t="s">
        <v>144</v>
      </c>
      <c r="C1376" s="76" t="s">
        <v>145</v>
      </c>
      <c r="D1376" s="77">
        <v>0</v>
      </c>
      <c r="E1376" s="78">
        <v>1</v>
      </c>
      <c r="F1376" s="498"/>
      <c r="G1376" s="76">
        <v>32.549999999999997</v>
      </c>
      <c r="H1376" s="70"/>
      <c r="I1376" s="70"/>
      <c r="J1376" s="70"/>
    </row>
    <row r="1377" spans="1:10">
      <c r="A1377" s="496"/>
      <c r="B1377" s="87" t="s">
        <v>146</v>
      </c>
      <c r="C1377" s="76" t="s">
        <v>147</v>
      </c>
      <c r="D1377" s="77">
        <v>1</v>
      </c>
      <c r="E1377" s="78">
        <v>1</v>
      </c>
      <c r="F1377" s="498"/>
      <c r="G1377" s="76">
        <v>32.549999999999997</v>
      </c>
      <c r="H1377" s="71"/>
      <c r="I1377" s="71"/>
      <c r="J1377" s="71"/>
    </row>
    <row r="1378" spans="1:10">
      <c r="A1378" s="496"/>
      <c r="B1378" s="87" t="s">
        <v>148</v>
      </c>
      <c r="C1378" s="76" t="s">
        <v>149</v>
      </c>
      <c r="D1378" s="77">
        <v>0</v>
      </c>
      <c r="E1378" s="78">
        <v>1</v>
      </c>
      <c r="F1378" s="498"/>
      <c r="G1378" s="76">
        <v>32.549999999999997</v>
      </c>
      <c r="H1378" s="71"/>
      <c r="I1378" s="71"/>
      <c r="J1378" s="71"/>
    </row>
    <row r="1379" spans="1:10">
      <c r="A1379" s="496"/>
      <c r="B1379" s="87" t="s">
        <v>150</v>
      </c>
      <c r="C1379" s="76" t="s">
        <v>151</v>
      </c>
      <c r="D1379" s="77">
        <v>1</v>
      </c>
      <c r="E1379" s="78">
        <v>1</v>
      </c>
      <c r="F1379" s="498"/>
      <c r="G1379" s="76">
        <v>32.549999999999997</v>
      </c>
      <c r="H1379" s="71"/>
      <c r="I1379" s="71"/>
      <c r="J1379" s="71"/>
    </row>
    <row r="1380" spans="1:10">
      <c r="A1380" s="496"/>
      <c r="B1380" s="87" t="s">
        <v>152</v>
      </c>
      <c r="C1380" s="76" t="s">
        <v>153</v>
      </c>
      <c r="D1380" s="77">
        <v>0</v>
      </c>
      <c r="E1380" s="78">
        <v>1</v>
      </c>
      <c r="F1380" s="498"/>
      <c r="G1380" s="76">
        <v>32.549999999999997</v>
      </c>
      <c r="H1380" s="70"/>
      <c r="I1380" s="70"/>
      <c r="J1380" s="70"/>
    </row>
    <row r="1381" spans="1:10">
      <c r="A1381" s="496"/>
      <c r="B1381" s="87" t="s">
        <v>154</v>
      </c>
      <c r="C1381" s="76" t="s">
        <v>155</v>
      </c>
      <c r="D1381" s="77">
        <v>0</v>
      </c>
      <c r="E1381" s="78">
        <v>1</v>
      </c>
      <c r="F1381" s="498"/>
      <c r="G1381" s="76">
        <v>32.549999999999997</v>
      </c>
      <c r="H1381" s="70"/>
      <c r="I1381" s="70"/>
      <c r="J1381" s="70"/>
    </row>
    <row r="1382" spans="1:10">
      <c r="A1382" s="496"/>
      <c r="B1382" s="87" t="s">
        <v>156</v>
      </c>
      <c r="C1382" s="76" t="s">
        <v>157</v>
      </c>
      <c r="D1382" s="77">
        <v>0</v>
      </c>
      <c r="E1382" s="78">
        <v>1</v>
      </c>
      <c r="F1382" s="498"/>
      <c r="G1382" s="76">
        <v>32.549999999999997</v>
      </c>
      <c r="H1382" s="70"/>
      <c r="I1382" s="70"/>
      <c r="J1382" s="70"/>
    </row>
    <row r="1383" spans="1:10">
      <c r="A1383" s="496"/>
      <c r="B1383" s="87" t="s">
        <v>158</v>
      </c>
      <c r="C1383" s="76" t="s">
        <v>159</v>
      </c>
      <c r="D1383" s="77">
        <v>0</v>
      </c>
      <c r="E1383" s="78">
        <v>1</v>
      </c>
      <c r="F1383" s="498"/>
      <c r="G1383" s="76">
        <v>32.549999999999997</v>
      </c>
      <c r="H1383" s="70"/>
      <c r="I1383" s="70"/>
      <c r="J1383" s="70"/>
    </row>
    <row r="1384" spans="1:10">
      <c r="A1384" s="496"/>
      <c r="B1384" s="87" t="s">
        <v>160</v>
      </c>
      <c r="C1384" s="76" t="s">
        <v>161</v>
      </c>
      <c r="D1384" s="77">
        <v>0</v>
      </c>
      <c r="E1384" s="78">
        <v>1</v>
      </c>
      <c r="F1384" s="498"/>
      <c r="G1384" s="76">
        <v>32.549999999999997</v>
      </c>
      <c r="H1384" s="70"/>
      <c r="I1384" s="70"/>
      <c r="J1384" s="70"/>
    </row>
    <row r="1385" spans="1:10">
      <c r="A1385" s="496"/>
      <c r="B1385" s="87" t="s">
        <v>162</v>
      </c>
      <c r="C1385" s="76" t="s">
        <v>163</v>
      </c>
      <c r="D1385" s="77">
        <v>0</v>
      </c>
      <c r="E1385" s="78">
        <v>1</v>
      </c>
      <c r="F1385" s="499"/>
      <c r="G1385" s="76">
        <v>32.549999999999997</v>
      </c>
      <c r="H1385" s="70"/>
      <c r="I1385" s="70"/>
      <c r="J1385" s="70"/>
    </row>
    <row r="1386" spans="1:10">
      <c r="A1386" s="496"/>
      <c r="B1386" s="87" t="s">
        <v>164</v>
      </c>
      <c r="C1386" s="76" t="s">
        <v>287</v>
      </c>
      <c r="D1386" s="77">
        <v>0</v>
      </c>
      <c r="E1386" s="78">
        <v>1</v>
      </c>
      <c r="F1386" s="497" t="s">
        <v>285</v>
      </c>
      <c r="G1386" s="76">
        <v>24.4</v>
      </c>
      <c r="H1386" s="70"/>
      <c r="I1386" s="70"/>
      <c r="J1386" s="70"/>
    </row>
    <row r="1387" spans="1:10">
      <c r="A1387" s="496"/>
      <c r="B1387" s="87" t="s">
        <v>165</v>
      </c>
      <c r="C1387" s="76" t="s">
        <v>166</v>
      </c>
      <c r="D1387" s="77">
        <v>0</v>
      </c>
      <c r="E1387" s="78">
        <v>1</v>
      </c>
      <c r="F1387" s="499"/>
      <c r="G1387" s="76">
        <v>24.4</v>
      </c>
      <c r="H1387" s="70"/>
      <c r="I1387" s="70"/>
      <c r="J1387" s="70"/>
    </row>
    <row r="1388" spans="1:10">
      <c r="A1388" s="496" t="s">
        <v>288</v>
      </c>
      <c r="B1388" s="87" t="s">
        <v>167</v>
      </c>
      <c r="C1388" s="76" t="s">
        <v>289</v>
      </c>
      <c r="D1388" s="77">
        <v>1</v>
      </c>
      <c r="E1388" s="78">
        <v>1</v>
      </c>
      <c r="F1388" s="497" t="s">
        <v>276</v>
      </c>
      <c r="G1388" s="76">
        <v>105.48</v>
      </c>
      <c r="H1388" s="67"/>
      <c r="I1388" s="71"/>
      <c r="J1388" s="71"/>
    </row>
    <row r="1389" spans="1:10">
      <c r="A1389" s="496"/>
      <c r="B1389" s="87" t="s">
        <v>168</v>
      </c>
      <c r="C1389" s="76" t="s">
        <v>169</v>
      </c>
      <c r="D1389" s="77">
        <v>1</v>
      </c>
      <c r="E1389" s="78">
        <v>1</v>
      </c>
      <c r="F1389" s="498"/>
      <c r="G1389" s="76">
        <v>105.48</v>
      </c>
      <c r="H1389" s="67"/>
      <c r="I1389" s="72"/>
      <c r="J1389" s="72"/>
    </row>
    <row r="1390" spans="1:10">
      <c r="A1390" s="496"/>
      <c r="B1390" s="87" t="s">
        <v>170</v>
      </c>
      <c r="C1390" s="76" t="s">
        <v>171</v>
      </c>
      <c r="D1390" s="77">
        <v>1</v>
      </c>
      <c r="E1390" s="78">
        <v>1</v>
      </c>
      <c r="F1390" s="498"/>
      <c r="G1390" s="76">
        <v>105.48</v>
      </c>
      <c r="H1390" s="67"/>
      <c r="I1390" s="68"/>
      <c r="J1390" s="68"/>
    </row>
    <row r="1391" spans="1:10">
      <c r="A1391" s="496"/>
      <c r="B1391" s="87" t="s">
        <v>172</v>
      </c>
      <c r="C1391" s="76" t="s">
        <v>173</v>
      </c>
      <c r="D1391" s="77">
        <v>1</v>
      </c>
      <c r="E1391" s="78">
        <v>1</v>
      </c>
      <c r="F1391" s="498"/>
      <c r="G1391" s="76">
        <v>105.48</v>
      </c>
      <c r="H1391" s="67"/>
      <c r="I1391" s="68"/>
      <c r="J1391" s="68"/>
    </row>
    <row r="1392" spans="1:10">
      <c r="A1392" s="496"/>
      <c r="B1392" s="87" t="s">
        <v>174</v>
      </c>
      <c r="C1392" s="76" t="s">
        <v>290</v>
      </c>
      <c r="D1392" s="77">
        <v>1</v>
      </c>
      <c r="E1392" s="78">
        <v>1</v>
      </c>
      <c r="F1392" s="498"/>
      <c r="G1392" s="76">
        <v>65</v>
      </c>
      <c r="H1392" s="73"/>
      <c r="I1392" s="73"/>
      <c r="J1392" s="73"/>
    </row>
    <row r="1393" spans="1:10">
      <c r="A1393" s="496"/>
      <c r="B1393" s="87" t="s">
        <v>175</v>
      </c>
      <c r="C1393" s="76" t="s">
        <v>176</v>
      </c>
      <c r="D1393" s="77">
        <v>1</v>
      </c>
      <c r="E1393" s="78">
        <v>1</v>
      </c>
      <c r="F1393" s="499"/>
      <c r="G1393" s="76">
        <v>65</v>
      </c>
      <c r="H1393" s="73"/>
      <c r="I1393" s="73"/>
      <c r="J1393" s="73"/>
    </row>
    <row r="1394" spans="1:10">
      <c r="A1394" s="496"/>
      <c r="B1394" s="87" t="s">
        <v>177</v>
      </c>
      <c r="C1394" s="76" t="s">
        <v>291</v>
      </c>
      <c r="D1394" s="77">
        <v>1</v>
      </c>
      <c r="E1394" s="78">
        <v>1</v>
      </c>
      <c r="F1394" s="497" t="s">
        <v>285</v>
      </c>
      <c r="G1394" s="76">
        <v>16.3</v>
      </c>
      <c r="H1394" s="73"/>
      <c r="I1394" s="73"/>
      <c r="J1394" s="73"/>
    </row>
    <row r="1395" spans="1:10">
      <c r="A1395" s="496"/>
      <c r="B1395" s="87" t="s">
        <v>178</v>
      </c>
      <c r="C1395" s="76" t="s">
        <v>179</v>
      </c>
      <c r="D1395" s="77">
        <v>1</v>
      </c>
      <c r="E1395" s="78">
        <v>1</v>
      </c>
      <c r="F1395" s="498"/>
      <c r="G1395" s="76">
        <v>16.3</v>
      </c>
      <c r="H1395" s="73"/>
      <c r="I1395" s="73"/>
      <c r="J1395" s="73"/>
    </row>
    <row r="1396" spans="1:10">
      <c r="A1396" s="496"/>
      <c r="B1396" s="87" t="s">
        <v>180</v>
      </c>
      <c r="C1396" s="76" t="s">
        <v>181</v>
      </c>
      <c r="D1396" s="77">
        <v>1</v>
      </c>
      <c r="E1396" s="78">
        <v>1</v>
      </c>
      <c r="F1396" s="498"/>
      <c r="G1396" s="76">
        <v>16.3</v>
      </c>
      <c r="H1396" s="73"/>
      <c r="I1396" s="73"/>
      <c r="J1396" s="73"/>
    </row>
    <row r="1397" spans="1:10">
      <c r="A1397" s="496"/>
      <c r="B1397" s="87" t="s">
        <v>292</v>
      </c>
      <c r="C1397" s="76" t="s">
        <v>182</v>
      </c>
      <c r="D1397" s="77">
        <v>1</v>
      </c>
      <c r="E1397" s="78">
        <v>1</v>
      </c>
      <c r="F1397" s="499"/>
      <c r="G1397" s="76">
        <v>35</v>
      </c>
      <c r="H1397" s="73"/>
      <c r="I1397" s="73"/>
      <c r="J1397" s="73"/>
    </row>
    <row r="1398" spans="1:10">
      <c r="H1398" s="66" t="e">
        <f>AVERAGE(H1357:H1371,H1377:H1379,H1388:H1397)</f>
        <v>#DIV/0!</v>
      </c>
      <c r="I1398" s="66" t="e">
        <f t="shared" ref="I1398" si="8">AVERAGE(I1357:I1371,I1377:I1379,I1388:I1397)</f>
        <v>#DIV/0!</v>
      </c>
      <c r="J1398" s="114" t="e">
        <f>AVERAGE(J1357:J1371,J1377:J1379,J1388:J1397,J1375)</f>
        <v>#DIV/0!</v>
      </c>
    </row>
    <row r="1399" spans="1:10">
      <c r="J1399" s="65" t="s">
        <v>264</v>
      </c>
    </row>
    <row r="1400" spans="1:10">
      <c r="A1400" s="503" t="s">
        <v>183</v>
      </c>
      <c r="B1400" s="503"/>
      <c r="C1400" s="503"/>
      <c r="D1400" s="503"/>
      <c r="E1400" s="503"/>
      <c r="F1400" s="503"/>
      <c r="G1400" s="503"/>
      <c r="H1400" s="503"/>
      <c r="I1400" s="503"/>
      <c r="J1400" s="504"/>
    </row>
    <row r="1401" spans="1:10" ht="34.799999999999997">
      <c r="A1401" s="74" t="s">
        <v>270</v>
      </c>
      <c r="B1401" s="74" t="s">
        <v>271</v>
      </c>
      <c r="C1401" s="74" t="s">
        <v>272</v>
      </c>
      <c r="D1401" s="74" t="s">
        <v>108</v>
      </c>
      <c r="E1401" s="74" t="s">
        <v>109</v>
      </c>
      <c r="F1401" s="75" t="s">
        <v>273</v>
      </c>
      <c r="G1401" s="74" t="s">
        <v>110</v>
      </c>
      <c r="H1401" s="74" t="s">
        <v>184</v>
      </c>
      <c r="I1401" s="74" t="s">
        <v>185</v>
      </c>
      <c r="J1401" s="74" t="s">
        <v>186</v>
      </c>
    </row>
    <row r="1402" spans="1:10">
      <c r="A1402" s="508" t="s">
        <v>274</v>
      </c>
      <c r="B1402" s="88" t="s">
        <v>114</v>
      </c>
      <c r="C1402" s="89" t="s">
        <v>275</v>
      </c>
      <c r="D1402" s="90">
        <v>1</v>
      </c>
      <c r="E1402" s="89">
        <v>1</v>
      </c>
      <c r="F1402" s="497" t="s">
        <v>276</v>
      </c>
      <c r="G1402" s="76">
        <v>105.48</v>
      </c>
      <c r="H1402" s="81"/>
      <c r="I1402" s="82"/>
      <c r="J1402" s="82"/>
    </row>
    <row r="1403" spans="1:10">
      <c r="A1403" s="509"/>
      <c r="B1403" s="88" t="s">
        <v>115</v>
      </c>
      <c r="C1403" s="89" t="s">
        <v>277</v>
      </c>
      <c r="D1403" s="90">
        <v>1</v>
      </c>
      <c r="E1403" s="89">
        <v>1</v>
      </c>
      <c r="F1403" s="498"/>
      <c r="G1403" s="76">
        <v>105.48</v>
      </c>
      <c r="H1403" s="81"/>
      <c r="I1403" s="82"/>
      <c r="J1403" s="82"/>
    </row>
    <row r="1404" spans="1:10">
      <c r="A1404" s="509"/>
      <c r="B1404" s="88" t="s">
        <v>116</v>
      </c>
      <c r="C1404" s="89" t="s">
        <v>117</v>
      </c>
      <c r="D1404" s="90">
        <v>1</v>
      </c>
      <c r="E1404" s="89">
        <v>1</v>
      </c>
      <c r="F1404" s="79"/>
      <c r="G1404" s="76">
        <v>105.48</v>
      </c>
      <c r="H1404" s="81"/>
      <c r="I1404" s="82"/>
      <c r="J1404" s="82"/>
    </row>
    <row r="1405" spans="1:10">
      <c r="A1405" s="510"/>
      <c r="B1405" s="88" t="s">
        <v>118</v>
      </c>
      <c r="C1405" s="89" t="s">
        <v>119</v>
      </c>
      <c r="D1405" s="90">
        <v>1</v>
      </c>
      <c r="E1405" s="89">
        <v>1</v>
      </c>
      <c r="F1405" s="79"/>
      <c r="G1405" s="76">
        <v>105.48</v>
      </c>
      <c r="H1405" s="81"/>
      <c r="I1405" s="82"/>
      <c r="J1405" s="82"/>
    </row>
    <row r="1406" spans="1:10">
      <c r="A1406" s="496" t="s">
        <v>278</v>
      </c>
      <c r="B1406" s="87" t="s">
        <v>120</v>
      </c>
      <c r="C1406" s="76" t="s">
        <v>279</v>
      </c>
      <c r="D1406" s="77">
        <v>1</v>
      </c>
      <c r="E1406" s="78">
        <v>1</v>
      </c>
      <c r="F1406" s="497" t="s">
        <v>276</v>
      </c>
      <c r="G1406" s="76">
        <v>105.48</v>
      </c>
      <c r="H1406" s="81"/>
      <c r="I1406" s="82"/>
      <c r="J1406" s="82"/>
    </row>
    <row r="1407" spans="1:10">
      <c r="A1407" s="496"/>
      <c r="B1407" s="87" t="s">
        <v>121</v>
      </c>
      <c r="C1407" s="76" t="s">
        <v>280</v>
      </c>
      <c r="D1407" s="77">
        <v>1</v>
      </c>
      <c r="E1407" s="78">
        <v>1</v>
      </c>
      <c r="F1407" s="498"/>
      <c r="G1407" s="76">
        <v>105.48</v>
      </c>
      <c r="H1407" s="81"/>
      <c r="I1407" s="82"/>
      <c r="J1407" s="82"/>
    </row>
    <row r="1408" spans="1:10">
      <c r="A1408" s="496"/>
      <c r="B1408" s="87" t="s">
        <v>122</v>
      </c>
      <c r="C1408" s="76" t="s">
        <v>123</v>
      </c>
      <c r="D1408" s="77">
        <v>1</v>
      </c>
      <c r="E1408" s="78">
        <v>1</v>
      </c>
      <c r="F1408" s="498"/>
      <c r="G1408" s="76">
        <v>105.48</v>
      </c>
      <c r="H1408" s="81"/>
      <c r="I1408" s="82"/>
      <c r="J1408" s="82"/>
    </row>
    <row r="1409" spans="1:10">
      <c r="A1409" s="496"/>
      <c r="B1409" s="87" t="s">
        <v>124</v>
      </c>
      <c r="C1409" s="76" t="s">
        <v>125</v>
      </c>
      <c r="D1409" s="77">
        <v>1</v>
      </c>
      <c r="E1409" s="78">
        <v>1</v>
      </c>
      <c r="F1409" s="498"/>
      <c r="G1409" s="76">
        <v>105.48</v>
      </c>
      <c r="H1409" s="81"/>
      <c r="I1409" s="82"/>
      <c r="J1409" s="82"/>
    </row>
    <row r="1410" spans="1:10">
      <c r="A1410" s="496" t="s">
        <v>282</v>
      </c>
      <c r="B1410" s="87" t="s">
        <v>131</v>
      </c>
      <c r="C1410" s="76" t="s">
        <v>283</v>
      </c>
      <c r="D1410" s="77">
        <v>1</v>
      </c>
      <c r="E1410" s="78">
        <v>1</v>
      </c>
      <c r="F1410" s="497" t="s">
        <v>276</v>
      </c>
      <c r="G1410" s="76">
        <v>105.48</v>
      </c>
      <c r="H1410" s="81"/>
      <c r="I1410" s="82"/>
      <c r="J1410" s="82"/>
    </row>
    <row r="1411" spans="1:10">
      <c r="A1411" s="496"/>
      <c r="B1411" s="87" t="s">
        <v>132</v>
      </c>
      <c r="C1411" s="76" t="s">
        <v>133</v>
      </c>
      <c r="D1411" s="77">
        <v>1</v>
      </c>
      <c r="E1411" s="78">
        <v>1</v>
      </c>
      <c r="F1411" s="498"/>
      <c r="G1411" s="76">
        <v>105.48</v>
      </c>
      <c r="H1411" s="81"/>
      <c r="I1411" s="82"/>
      <c r="J1411" s="82"/>
    </row>
    <row r="1412" spans="1:10">
      <c r="A1412" s="496"/>
      <c r="B1412" s="87" t="s">
        <v>134</v>
      </c>
      <c r="C1412" s="76" t="s">
        <v>135</v>
      </c>
      <c r="D1412" s="77">
        <v>1</v>
      </c>
      <c r="E1412" s="78">
        <v>1</v>
      </c>
      <c r="F1412" s="498"/>
      <c r="G1412" s="80">
        <v>105.48</v>
      </c>
      <c r="H1412" s="81"/>
      <c r="I1412" s="82"/>
      <c r="J1412" s="82"/>
    </row>
    <row r="1413" spans="1:10">
      <c r="A1413" s="496"/>
      <c r="B1413" s="87" t="s">
        <v>136</v>
      </c>
      <c r="C1413" s="76" t="s">
        <v>137</v>
      </c>
      <c r="D1413" s="77">
        <v>1</v>
      </c>
      <c r="E1413" s="78">
        <v>1</v>
      </c>
      <c r="F1413" s="498"/>
      <c r="G1413" s="80">
        <v>105.48</v>
      </c>
      <c r="H1413" s="81"/>
      <c r="I1413" s="82"/>
      <c r="J1413" s="82"/>
    </row>
    <row r="1414" spans="1:10">
      <c r="A1414" s="496"/>
      <c r="B1414" s="87" t="s">
        <v>138</v>
      </c>
      <c r="C1414" s="76" t="s">
        <v>284</v>
      </c>
      <c r="D1414" s="76">
        <v>0</v>
      </c>
      <c r="E1414" s="78">
        <v>1</v>
      </c>
      <c r="F1414" s="78">
        <v>1</v>
      </c>
      <c r="G1414" s="76">
        <v>32.549999999999997</v>
      </c>
      <c r="H1414" s="83"/>
      <c r="I1414" s="83"/>
      <c r="J1414" s="83"/>
    </row>
    <row r="1415" spans="1:10">
      <c r="A1415" s="496"/>
      <c r="B1415" s="87" t="s">
        <v>139</v>
      </c>
      <c r="C1415" s="76" t="s">
        <v>140</v>
      </c>
      <c r="D1415" s="76">
        <v>0</v>
      </c>
      <c r="E1415" s="78">
        <v>1</v>
      </c>
      <c r="F1415" s="78">
        <v>1</v>
      </c>
      <c r="G1415" s="76">
        <v>32.549999999999997</v>
      </c>
      <c r="H1415" s="84"/>
      <c r="I1415" s="84"/>
      <c r="J1415" s="84"/>
    </row>
    <row r="1416" spans="1:10">
      <c r="A1416" s="496"/>
      <c r="B1416" s="87" t="s">
        <v>141</v>
      </c>
      <c r="C1416" s="76" t="s">
        <v>286</v>
      </c>
      <c r="D1416" s="76">
        <v>0</v>
      </c>
      <c r="E1416" s="78">
        <v>1</v>
      </c>
      <c r="F1416" s="78">
        <v>1</v>
      </c>
      <c r="G1416" s="76">
        <v>32.549999999999997</v>
      </c>
      <c r="H1416" s="84"/>
      <c r="I1416" s="84"/>
      <c r="J1416" s="84"/>
    </row>
    <row r="1417" spans="1:10">
      <c r="A1417" s="496"/>
      <c r="B1417" s="87" t="s">
        <v>142</v>
      </c>
      <c r="C1417" s="76" t="s">
        <v>143</v>
      </c>
      <c r="D1417" s="76">
        <v>1</v>
      </c>
      <c r="E1417" s="78">
        <v>1</v>
      </c>
      <c r="F1417" s="78">
        <v>1</v>
      </c>
      <c r="G1417" s="76">
        <v>32.549999999999997</v>
      </c>
      <c r="H1417" s="85"/>
      <c r="I1417" s="85"/>
      <c r="J1417" s="85"/>
    </row>
    <row r="1418" spans="1:10">
      <c r="A1418" s="496"/>
      <c r="B1418" s="87" t="s">
        <v>144</v>
      </c>
      <c r="C1418" s="76" t="s">
        <v>145</v>
      </c>
      <c r="D1418" s="76">
        <v>0</v>
      </c>
      <c r="E1418" s="78">
        <v>1</v>
      </c>
      <c r="F1418" s="78">
        <v>1</v>
      </c>
      <c r="G1418" s="76">
        <v>32.549999999999997</v>
      </c>
      <c r="H1418" s="84"/>
      <c r="I1418" s="84"/>
      <c r="J1418" s="84"/>
    </row>
    <row r="1419" spans="1:10">
      <c r="A1419" s="496"/>
      <c r="B1419" s="87" t="s">
        <v>146</v>
      </c>
      <c r="C1419" s="76" t="s">
        <v>147</v>
      </c>
      <c r="D1419" s="76">
        <v>1</v>
      </c>
      <c r="E1419" s="78">
        <v>1</v>
      </c>
      <c r="F1419" s="78">
        <v>1</v>
      </c>
      <c r="G1419" s="76">
        <v>32.549999999999997</v>
      </c>
      <c r="H1419" s="85"/>
      <c r="I1419" s="85"/>
      <c r="J1419" s="85"/>
    </row>
    <row r="1420" spans="1:10">
      <c r="A1420" s="496"/>
      <c r="B1420" s="87" t="s">
        <v>148</v>
      </c>
      <c r="C1420" s="76" t="s">
        <v>149</v>
      </c>
      <c r="D1420" s="76">
        <v>0</v>
      </c>
      <c r="E1420" s="78">
        <v>1</v>
      </c>
      <c r="F1420" s="78">
        <v>1</v>
      </c>
      <c r="G1420" s="76">
        <v>32.549999999999997</v>
      </c>
      <c r="H1420" s="85"/>
      <c r="I1420" s="85"/>
      <c r="J1420" s="85"/>
    </row>
    <row r="1421" spans="1:10">
      <c r="A1421" s="496"/>
      <c r="B1421" s="87" t="s">
        <v>150</v>
      </c>
      <c r="C1421" s="76" t="s">
        <v>151</v>
      </c>
      <c r="D1421" s="76">
        <v>1</v>
      </c>
      <c r="E1421" s="78">
        <v>1</v>
      </c>
      <c r="F1421" s="78">
        <v>1</v>
      </c>
      <c r="G1421" s="76">
        <v>32.549999999999997</v>
      </c>
      <c r="H1421" s="85"/>
      <c r="I1421" s="85"/>
      <c r="J1421" s="85"/>
    </row>
    <row r="1422" spans="1:10">
      <c r="A1422" s="496"/>
      <c r="B1422" s="87" t="s">
        <v>152</v>
      </c>
      <c r="C1422" s="76" t="s">
        <v>153</v>
      </c>
      <c r="D1422" s="76">
        <v>0</v>
      </c>
      <c r="E1422" s="78">
        <v>1</v>
      </c>
      <c r="F1422" s="78">
        <v>1</v>
      </c>
      <c r="G1422" s="76">
        <v>32.549999999999997</v>
      </c>
      <c r="H1422" s="84"/>
      <c r="I1422" s="84"/>
      <c r="J1422" s="84"/>
    </row>
    <row r="1423" spans="1:10">
      <c r="A1423" s="496"/>
      <c r="B1423" s="87" t="s">
        <v>154</v>
      </c>
      <c r="C1423" s="76" t="s">
        <v>155</v>
      </c>
      <c r="D1423" s="76">
        <v>0</v>
      </c>
      <c r="E1423" s="78">
        <v>1</v>
      </c>
      <c r="F1423" s="78">
        <v>1</v>
      </c>
      <c r="G1423" s="76">
        <v>32.549999999999997</v>
      </c>
      <c r="H1423" s="84"/>
      <c r="I1423" s="84"/>
      <c r="J1423" s="84"/>
    </row>
    <row r="1424" spans="1:10">
      <c r="A1424" s="496"/>
      <c r="B1424" s="87" t="s">
        <v>156</v>
      </c>
      <c r="C1424" s="76" t="s">
        <v>157</v>
      </c>
      <c r="D1424" s="76">
        <v>0</v>
      </c>
      <c r="E1424" s="78">
        <v>1</v>
      </c>
      <c r="F1424" s="78">
        <v>1</v>
      </c>
      <c r="G1424" s="76">
        <v>32.549999999999997</v>
      </c>
      <c r="H1424" s="84"/>
      <c r="I1424" s="84"/>
      <c r="J1424" s="84"/>
    </row>
    <row r="1425" spans="1:10">
      <c r="A1425" s="496"/>
      <c r="B1425" s="87" t="s">
        <v>158</v>
      </c>
      <c r="C1425" s="76" t="s">
        <v>159</v>
      </c>
      <c r="D1425" s="76">
        <v>0</v>
      </c>
      <c r="E1425" s="78">
        <v>1</v>
      </c>
      <c r="F1425" s="78">
        <v>1</v>
      </c>
      <c r="G1425" s="76">
        <v>32.549999999999997</v>
      </c>
      <c r="H1425" s="84"/>
      <c r="I1425" s="84"/>
      <c r="J1425" s="84"/>
    </row>
    <row r="1426" spans="1:10">
      <c r="A1426" s="496"/>
      <c r="B1426" s="87" t="s">
        <v>160</v>
      </c>
      <c r="C1426" s="76" t="s">
        <v>161</v>
      </c>
      <c r="D1426" s="76">
        <v>0</v>
      </c>
      <c r="E1426" s="78">
        <v>1</v>
      </c>
      <c r="F1426" s="78">
        <v>1</v>
      </c>
      <c r="G1426" s="76">
        <v>32.549999999999997</v>
      </c>
      <c r="H1426" s="84"/>
      <c r="I1426" s="84"/>
      <c r="J1426" s="84"/>
    </row>
    <row r="1427" spans="1:10">
      <c r="A1427" s="496"/>
      <c r="B1427" s="87" t="s">
        <v>162</v>
      </c>
      <c r="C1427" s="76" t="s">
        <v>163</v>
      </c>
      <c r="D1427" s="76">
        <v>0</v>
      </c>
      <c r="E1427" s="78">
        <v>1</v>
      </c>
      <c r="F1427" s="78">
        <v>1</v>
      </c>
      <c r="G1427" s="76">
        <v>32.549999999999997</v>
      </c>
      <c r="H1427" s="84"/>
      <c r="I1427" s="84"/>
      <c r="J1427" s="84"/>
    </row>
    <row r="1428" spans="1:10">
      <c r="A1428" s="496"/>
      <c r="B1428" s="87" t="s">
        <v>164</v>
      </c>
      <c r="C1428" s="76" t="s">
        <v>287</v>
      </c>
      <c r="D1428" s="76">
        <v>0</v>
      </c>
      <c r="E1428" s="78">
        <v>1</v>
      </c>
      <c r="F1428" s="78">
        <v>1</v>
      </c>
      <c r="G1428" s="76">
        <v>24.4</v>
      </c>
      <c r="H1428" s="84"/>
      <c r="I1428" s="84"/>
      <c r="J1428" s="84"/>
    </row>
    <row r="1429" spans="1:10">
      <c r="A1429" s="496"/>
      <c r="B1429" s="87" t="s">
        <v>165</v>
      </c>
      <c r="C1429" s="76" t="s">
        <v>166</v>
      </c>
      <c r="D1429" s="76">
        <v>0</v>
      </c>
      <c r="E1429" s="78">
        <v>1</v>
      </c>
      <c r="F1429" s="78">
        <v>1</v>
      </c>
      <c r="G1429" s="76">
        <v>24.4</v>
      </c>
      <c r="H1429" s="84"/>
      <c r="I1429" s="84"/>
      <c r="J1429" s="84"/>
    </row>
    <row r="1430" spans="1:10">
      <c r="A1430" s="496" t="s">
        <v>288</v>
      </c>
      <c r="B1430" s="87" t="s">
        <v>167</v>
      </c>
      <c r="C1430" s="76" t="s">
        <v>289</v>
      </c>
      <c r="D1430" s="77">
        <v>1</v>
      </c>
      <c r="E1430" s="78">
        <v>1</v>
      </c>
      <c r="F1430" s="497" t="s">
        <v>276</v>
      </c>
      <c r="G1430" s="76">
        <v>105.48</v>
      </c>
      <c r="H1430" s="81"/>
      <c r="I1430" s="85"/>
      <c r="J1430" s="85"/>
    </row>
    <row r="1431" spans="1:10">
      <c r="A1431" s="496"/>
      <c r="B1431" s="87" t="s">
        <v>168</v>
      </c>
      <c r="C1431" s="76" t="s">
        <v>169</v>
      </c>
      <c r="D1431" s="77">
        <v>1</v>
      </c>
      <c r="E1431" s="78">
        <v>1</v>
      </c>
      <c r="F1431" s="498"/>
      <c r="G1431" s="76">
        <v>105.48</v>
      </c>
      <c r="H1431" s="81"/>
      <c r="I1431" s="86"/>
      <c r="J1431" s="86"/>
    </row>
    <row r="1432" spans="1:10">
      <c r="A1432" s="496"/>
      <c r="B1432" s="87" t="s">
        <v>170</v>
      </c>
      <c r="C1432" s="76" t="s">
        <v>171</v>
      </c>
      <c r="D1432" s="77">
        <v>1</v>
      </c>
      <c r="E1432" s="78">
        <v>1</v>
      </c>
      <c r="F1432" s="498"/>
      <c r="G1432" s="76">
        <v>105.48</v>
      </c>
      <c r="H1432" s="81"/>
      <c r="I1432" s="82"/>
      <c r="J1432" s="82"/>
    </row>
    <row r="1433" spans="1:10">
      <c r="A1433" s="496"/>
      <c r="B1433" s="87" t="s">
        <v>172</v>
      </c>
      <c r="C1433" s="76" t="s">
        <v>173</v>
      </c>
      <c r="D1433" s="77">
        <v>1</v>
      </c>
      <c r="E1433" s="78">
        <v>1</v>
      </c>
      <c r="F1433" s="498"/>
      <c r="G1433" s="76">
        <v>105.48</v>
      </c>
      <c r="H1433" s="81"/>
      <c r="I1433" s="82"/>
      <c r="J1433" s="82"/>
    </row>
    <row r="1434" spans="1:10">
      <c r="A1434" s="496"/>
      <c r="B1434" s="87" t="s">
        <v>174</v>
      </c>
      <c r="C1434" s="76" t="s">
        <v>290</v>
      </c>
      <c r="D1434" s="77">
        <v>1</v>
      </c>
      <c r="E1434" s="78">
        <v>1</v>
      </c>
      <c r="F1434" s="498"/>
      <c r="G1434" s="76">
        <v>65</v>
      </c>
      <c r="H1434" s="94"/>
      <c r="I1434" s="94"/>
      <c r="J1434" s="94"/>
    </row>
    <row r="1435" spans="1:10">
      <c r="A1435" s="496"/>
      <c r="B1435" s="87" t="s">
        <v>175</v>
      </c>
      <c r="C1435" s="76" t="s">
        <v>176</v>
      </c>
      <c r="D1435" s="77">
        <v>1</v>
      </c>
      <c r="E1435" s="78">
        <v>1</v>
      </c>
      <c r="F1435" s="499"/>
      <c r="G1435" s="76">
        <v>65</v>
      </c>
      <c r="H1435" s="94"/>
      <c r="I1435" s="94"/>
      <c r="J1435" s="94"/>
    </row>
    <row r="1436" spans="1:10">
      <c r="A1436" s="496"/>
      <c r="B1436" s="87" t="s">
        <v>177</v>
      </c>
      <c r="C1436" s="76" t="s">
        <v>291</v>
      </c>
      <c r="D1436" s="77">
        <v>1</v>
      </c>
      <c r="E1436" s="78">
        <v>1</v>
      </c>
      <c r="F1436" s="497" t="s">
        <v>285</v>
      </c>
      <c r="G1436" s="76">
        <v>16.3</v>
      </c>
      <c r="H1436" s="94"/>
      <c r="I1436" s="94"/>
      <c r="J1436" s="94"/>
    </row>
    <row r="1437" spans="1:10">
      <c r="A1437" s="496"/>
      <c r="B1437" s="87" t="s">
        <v>178</v>
      </c>
      <c r="C1437" s="76" t="s">
        <v>179</v>
      </c>
      <c r="D1437" s="77">
        <v>1</v>
      </c>
      <c r="E1437" s="78">
        <v>1</v>
      </c>
      <c r="F1437" s="498"/>
      <c r="G1437" s="76">
        <v>16.3</v>
      </c>
      <c r="H1437" s="94"/>
      <c r="I1437" s="94"/>
      <c r="J1437" s="94"/>
    </row>
    <row r="1438" spans="1:10">
      <c r="A1438" s="496"/>
      <c r="B1438" s="87" t="s">
        <v>180</v>
      </c>
      <c r="C1438" s="76" t="s">
        <v>181</v>
      </c>
      <c r="D1438" s="77">
        <v>1</v>
      </c>
      <c r="E1438" s="78">
        <v>1</v>
      </c>
      <c r="F1438" s="498"/>
      <c r="G1438" s="76">
        <v>16.3</v>
      </c>
      <c r="H1438" s="94"/>
      <c r="I1438" s="94"/>
      <c r="J1438" s="94"/>
    </row>
    <row r="1439" spans="1:10">
      <c r="A1439" s="496"/>
      <c r="B1439" s="87" t="s">
        <v>292</v>
      </c>
      <c r="C1439" s="76" t="s">
        <v>182</v>
      </c>
      <c r="D1439" s="77">
        <v>1</v>
      </c>
      <c r="E1439" s="78">
        <v>1</v>
      </c>
      <c r="F1439" s="499"/>
      <c r="G1439" s="76">
        <v>35</v>
      </c>
      <c r="H1439" s="94"/>
      <c r="I1439" s="94"/>
      <c r="J1439" s="94"/>
    </row>
    <row r="1440" spans="1:10">
      <c r="A1440" s="496" t="s">
        <v>278</v>
      </c>
      <c r="B1440" s="87" t="s">
        <v>126</v>
      </c>
      <c r="C1440" s="76" t="s">
        <v>281</v>
      </c>
      <c r="D1440" s="77">
        <v>1</v>
      </c>
      <c r="E1440" s="78">
        <v>1</v>
      </c>
      <c r="F1440" s="91"/>
      <c r="G1440" s="76">
        <v>70.319999999999993</v>
      </c>
      <c r="H1440" s="94"/>
      <c r="I1440" s="94"/>
      <c r="J1440" s="94"/>
    </row>
    <row r="1441" spans="1:10">
      <c r="A1441" s="496"/>
      <c r="B1441" s="87" t="s">
        <v>127</v>
      </c>
      <c r="C1441" s="76" t="s">
        <v>128</v>
      </c>
      <c r="D1441" s="77">
        <v>1</v>
      </c>
      <c r="E1441" s="78">
        <v>1</v>
      </c>
      <c r="F1441" s="91"/>
      <c r="G1441" s="76">
        <v>70.319999999999993</v>
      </c>
      <c r="H1441" s="94"/>
      <c r="I1441" s="94"/>
      <c r="J1441" s="94"/>
    </row>
    <row r="1442" spans="1:10">
      <c r="A1442" s="496"/>
      <c r="B1442" s="87" t="s">
        <v>129</v>
      </c>
      <c r="C1442" s="76" t="s">
        <v>130</v>
      </c>
      <c r="D1442" s="77">
        <v>1</v>
      </c>
      <c r="E1442" s="78">
        <v>1</v>
      </c>
      <c r="F1442" s="91"/>
      <c r="G1442" s="76">
        <v>70.319999999999993</v>
      </c>
      <c r="H1442" s="94"/>
      <c r="I1442" s="94"/>
      <c r="J1442" s="94"/>
    </row>
    <row r="1443" spans="1:10">
      <c r="H1443" s="92" t="e">
        <f>AVERAGE(H1402:H1413,H1419:H1421,H1430:H1442)</f>
        <v>#DIV/0!</v>
      </c>
      <c r="I1443" s="92" t="e">
        <f>AVERAGE(I1402:I1413,I1419:I1421,I1430:I1442)</f>
        <v>#DIV/0!</v>
      </c>
      <c r="J1443" s="115" t="e">
        <f>AVERAGE(J1402:J1413,J1419:J1421,J1430:J1442,J1417)</f>
        <v>#DIV/0!</v>
      </c>
    </row>
    <row r="1444" spans="1:10">
      <c r="J1444" s="116" t="s">
        <v>265</v>
      </c>
    </row>
    <row r="1445" spans="1:10">
      <c r="A1445" s="511" t="s">
        <v>293</v>
      </c>
      <c r="B1445" s="511"/>
      <c r="C1445" s="512" t="s">
        <v>187</v>
      </c>
      <c r="D1445" s="513"/>
      <c r="E1445" s="513" t="s">
        <v>188</v>
      </c>
      <c r="F1445" s="513"/>
      <c r="G1445" s="513" t="s">
        <v>189</v>
      </c>
      <c r="H1445" s="513"/>
      <c r="I1445" s="513" t="s">
        <v>190</v>
      </c>
      <c r="J1445" s="513"/>
    </row>
    <row r="1446" spans="1:10" ht="34.799999999999997">
      <c r="A1446" s="511"/>
      <c r="B1446" s="511"/>
      <c r="C1446" s="103" t="s">
        <v>191</v>
      </c>
      <c r="D1446" s="102" t="s">
        <v>192</v>
      </c>
      <c r="E1446" s="102" t="s">
        <v>191</v>
      </c>
      <c r="F1446" s="102" t="s">
        <v>192</v>
      </c>
      <c r="G1446" s="102" t="s">
        <v>191</v>
      </c>
      <c r="H1446" s="102" t="s">
        <v>192</v>
      </c>
      <c r="I1446" s="102" t="s">
        <v>191</v>
      </c>
      <c r="J1446" s="102" t="s">
        <v>192</v>
      </c>
    </row>
    <row r="1447" spans="1:10">
      <c r="A1447" s="500" t="s">
        <v>294</v>
      </c>
      <c r="B1447" s="101" t="s">
        <v>295</v>
      </c>
      <c r="C1447" s="94"/>
      <c r="D1447" s="93"/>
      <c r="E1447" s="94"/>
      <c r="F1447" s="93"/>
      <c r="G1447" s="94"/>
      <c r="H1447" s="93"/>
      <c r="I1447" s="94"/>
      <c r="J1447" s="93"/>
    </row>
    <row r="1448" spans="1:10">
      <c r="A1448" s="501"/>
      <c r="B1448" s="95" t="s">
        <v>193</v>
      </c>
      <c r="C1448" s="94"/>
      <c r="D1448" s="93"/>
      <c r="E1448" s="94"/>
      <c r="F1448" s="93"/>
      <c r="G1448" s="94"/>
      <c r="H1448" s="93"/>
      <c r="I1448" s="94"/>
      <c r="J1448" s="93"/>
    </row>
    <row r="1449" spans="1:10">
      <c r="A1449" s="501"/>
      <c r="B1449" s="95" t="s">
        <v>194</v>
      </c>
      <c r="C1449" s="94"/>
      <c r="D1449" s="93"/>
      <c r="E1449" s="94"/>
      <c r="F1449" s="93"/>
      <c r="G1449" s="94"/>
      <c r="H1449" s="93"/>
      <c r="I1449" s="94"/>
      <c r="J1449" s="93"/>
    </row>
    <row r="1450" spans="1:10">
      <c r="A1450" s="501"/>
      <c r="B1450" s="95" t="s">
        <v>195</v>
      </c>
      <c r="C1450" s="94"/>
      <c r="D1450" s="93"/>
      <c r="E1450" s="94"/>
      <c r="F1450" s="93"/>
      <c r="G1450" s="94"/>
      <c r="H1450" s="93"/>
      <c r="I1450" s="94"/>
      <c r="J1450" s="93"/>
    </row>
    <row r="1451" spans="1:10">
      <c r="A1451" s="501"/>
      <c r="B1451" s="95" t="s">
        <v>196</v>
      </c>
      <c r="C1451" s="94"/>
      <c r="D1451" s="93"/>
      <c r="E1451" s="94"/>
      <c r="F1451" s="93"/>
      <c r="G1451" s="94"/>
      <c r="H1451" s="93"/>
      <c r="I1451" s="94"/>
      <c r="J1451" s="93"/>
    </row>
    <row r="1452" spans="1:10">
      <c r="A1452" s="501"/>
      <c r="B1452" s="95" t="s">
        <v>197</v>
      </c>
      <c r="C1452" s="94"/>
      <c r="D1452" s="93"/>
      <c r="E1452" s="94"/>
      <c r="F1452" s="93"/>
      <c r="G1452" s="94"/>
      <c r="H1452" s="93"/>
      <c r="I1452" s="94"/>
      <c r="J1452" s="93"/>
    </row>
    <row r="1453" spans="1:10">
      <c r="A1453" s="501"/>
      <c r="B1453" s="95" t="s">
        <v>198</v>
      </c>
      <c r="C1453" s="94"/>
      <c r="D1453" s="93"/>
      <c r="E1453" s="94"/>
      <c r="F1453" s="93"/>
      <c r="G1453" s="94"/>
      <c r="H1453" s="93"/>
      <c r="I1453" s="94"/>
      <c r="J1453" s="93"/>
    </row>
    <row r="1454" spans="1:10">
      <c r="A1454" s="501"/>
      <c r="B1454" s="95" t="s">
        <v>199</v>
      </c>
      <c r="C1454" s="94"/>
      <c r="D1454" s="93"/>
      <c r="E1454" s="94"/>
      <c r="F1454" s="93"/>
      <c r="G1454" s="94"/>
      <c r="H1454" s="93"/>
      <c r="I1454" s="94"/>
      <c r="J1454" s="93"/>
    </row>
    <row r="1455" spans="1:10">
      <c r="A1455" s="501"/>
      <c r="B1455" s="95" t="s">
        <v>200</v>
      </c>
      <c r="C1455" s="94"/>
      <c r="D1455" s="93"/>
      <c r="E1455" s="94"/>
      <c r="F1455" s="93"/>
      <c r="G1455" s="94"/>
      <c r="H1455" s="93"/>
      <c r="I1455" s="99"/>
      <c r="J1455" s="100"/>
    </row>
    <row r="1456" spans="1:10">
      <c r="A1456" s="501"/>
      <c r="B1456" s="95" t="s">
        <v>201</v>
      </c>
      <c r="C1456" s="94"/>
      <c r="D1456" s="93"/>
      <c r="E1456" s="99"/>
      <c r="F1456" s="100"/>
      <c r="G1456" s="94"/>
      <c r="H1456" s="93"/>
      <c r="I1456" s="99"/>
      <c r="J1456" s="100"/>
    </row>
    <row r="1457" spans="1:10">
      <c r="A1457" s="501"/>
      <c r="B1457" s="95" t="s">
        <v>202</v>
      </c>
      <c r="C1457" s="94"/>
      <c r="D1457" s="93"/>
      <c r="E1457" s="99"/>
      <c r="F1457" s="100"/>
      <c r="G1457" s="94"/>
      <c r="H1457" s="93"/>
      <c r="I1457" s="99"/>
      <c r="J1457" s="100"/>
    </row>
    <row r="1458" spans="1:10">
      <c r="A1458" s="501"/>
      <c r="B1458" s="95" t="s">
        <v>203</v>
      </c>
      <c r="C1458" s="94"/>
      <c r="D1458" s="93"/>
      <c r="E1458" s="99"/>
      <c r="F1458" s="100"/>
      <c r="G1458" s="94"/>
      <c r="H1458" s="93"/>
      <c r="I1458" s="99"/>
      <c r="J1458" s="100"/>
    </row>
    <row r="1459" spans="1:10">
      <c r="A1459" s="501"/>
      <c r="B1459" s="95" t="s">
        <v>204</v>
      </c>
      <c r="C1459" s="94"/>
      <c r="D1459" s="93"/>
      <c r="E1459" s="99"/>
      <c r="F1459" s="100"/>
      <c r="G1459" s="94"/>
      <c r="H1459" s="93"/>
      <c r="I1459" s="99"/>
      <c r="J1459" s="100"/>
    </row>
    <row r="1460" spans="1:10">
      <c r="A1460" s="501"/>
      <c r="B1460" s="95" t="s">
        <v>205</v>
      </c>
      <c r="C1460" s="99"/>
      <c r="D1460" s="100"/>
      <c r="E1460" s="99"/>
      <c r="F1460" s="100"/>
      <c r="G1460" s="94"/>
      <c r="H1460" s="93"/>
      <c r="I1460" s="99"/>
      <c r="J1460" s="100"/>
    </row>
    <row r="1461" spans="1:10">
      <c r="A1461" s="501"/>
      <c r="B1461" s="95" t="s">
        <v>206</v>
      </c>
      <c r="C1461" s="99"/>
      <c r="D1461" s="100"/>
      <c r="E1461" s="99"/>
      <c r="F1461" s="100"/>
      <c r="G1461" s="94"/>
      <c r="H1461" s="93"/>
      <c r="I1461" s="99"/>
      <c r="J1461" s="100"/>
    </row>
    <row r="1462" spans="1:10">
      <c r="A1462" s="501"/>
      <c r="B1462" s="95" t="s">
        <v>207</v>
      </c>
      <c r="C1462" s="99"/>
      <c r="D1462" s="100"/>
      <c r="E1462" s="99"/>
      <c r="F1462" s="100"/>
      <c r="G1462" s="94"/>
      <c r="H1462" s="93"/>
      <c r="I1462" s="99"/>
      <c r="J1462" s="100"/>
    </row>
    <row r="1463" spans="1:10">
      <c r="A1463" s="501"/>
      <c r="B1463" s="96" t="s">
        <v>296</v>
      </c>
      <c r="C1463" s="94"/>
      <c r="D1463" s="93"/>
      <c r="E1463" s="94"/>
      <c r="F1463" s="93"/>
      <c r="G1463" s="94"/>
      <c r="H1463" s="93"/>
      <c r="I1463" s="94"/>
      <c r="J1463" s="93"/>
    </row>
    <row r="1464" spans="1:10">
      <c r="A1464" s="501"/>
      <c r="B1464" s="96" t="s">
        <v>208</v>
      </c>
      <c r="C1464" s="94"/>
      <c r="D1464" s="93"/>
      <c r="E1464" s="94"/>
      <c r="F1464" s="93"/>
      <c r="G1464" s="94"/>
      <c r="H1464" s="93"/>
      <c r="I1464" s="94"/>
      <c r="J1464" s="93"/>
    </row>
    <row r="1465" spans="1:10">
      <c r="A1465" s="501"/>
      <c r="B1465" s="96" t="s">
        <v>209</v>
      </c>
      <c r="C1465" s="94"/>
      <c r="D1465" s="93"/>
      <c r="E1465" s="94"/>
      <c r="F1465" s="93"/>
      <c r="G1465" s="94"/>
      <c r="H1465" s="93"/>
      <c r="I1465" s="94"/>
      <c r="J1465" s="93"/>
    </row>
    <row r="1466" spans="1:10">
      <c r="A1466" s="501"/>
      <c r="B1466" s="96" t="s">
        <v>210</v>
      </c>
      <c r="C1466" s="94"/>
      <c r="D1466" s="93"/>
      <c r="E1466" s="94"/>
      <c r="F1466" s="93"/>
      <c r="G1466" s="94"/>
      <c r="H1466" s="93"/>
      <c r="I1466" s="94"/>
      <c r="J1466" s="93"/>
    </row>
    <row r="1467" spans="1:10">
      <c r="A1467" s="501"/>
      <c r="B1467" s="96" t="s">
        <v>211</v>
      </c>
      <c r="C1467" s="94"/>
      <c r="D1467" s="93"/>
      <c r="E1467" s="94"/>
      <c r="F1467" s="93"/>
      <c r="G1467" s="94"/>
      <c r="H1467" s="93"/>
      <c r="I1467" s="94"/>
      <c r="J1467" s="93"/>
    </row>
    <row r="1468" spans="1:10">
      <c r="A1468" s="501"/>
      <c r="B1468" s="96" t="s">
        <v>212</v>
      </c>
      <c r="C1468" s="94"/>
      <c r="D1468" s="93"/>
      <c r="E1468" s="94"/>
      <c r="F1468" s="93"/>
      <c r="G1468" s="94"/>
      <c r="H1468" s="93"/>
      <c r="I1468" s="94"/>
      <c r="J1468" s="93"/>
    </row>
    <row r="1469" spans="1:10">
      <c r="A1469" s="501"/>
      <c r="B1469" s="96" t="s">
        <v>213</v>
      </c>
      <c r="C1469" s="94"/>
      <c r="D1469" s="93"/>
      <c r="E1469" s="94"/>
      <c r="F1469" s="93"/>
      <c r="G1469" s="94"/>
      <c r="H1469" s="93"/>
      <c r="I1469" s="94"/>
      <c r="J1469" s="93"/>
    </row>
    <row r="1470" spans="1:10">
      <c r="A1470" s="501"/>
      <c r="B1470" s="96" t="s">
        <v>214</v>
      </c>
      <c r="C1470" s="94"/>
      <c r="D1470" s="93"/>
      <c r="E1470" s="94"/>
      <c r="F1470" s="93"/>
      <c r="G1470" s="94"/>
      <c r="H1470" s="93"/>
      <c r="I1470" s="94"/>
      <c r="J1470" s="93"/>
    </row>
    <row r="1471" spans="1:10">
      <c r="A1471" s="501"/>
      <c r="B1471" s="96" t="s">
        <v>215</v>
      </c>
      <c r="C1471" s="94"/>
      <c r="D1471" s="93"/>
      <c r="E1471" s="94"/>
      <c r="F1471" s="93"/>
      <c r="G1471" s="94"/>
      <c r="H1471" s="93"/>
      <c r="I1471" s="94"/>
      <c r="J1471" s="93"/>
    </row>
    <row r="1472" spans="1:10">
      <c r="A1472" s="501"/>
      <c r="B1472" s="96" t="s">
        <v>216</v>
      </c>
      <c r="C1472" s="94"/>
      <c r="D1472" s="93"/>
      <c r="E1472" s="94"/>
      <c r="F1472" s="93"/>
      <c r="G1472" s="94"/>
      <c r="H1472" s="93"/>
      <c r="I1472" s="94"/>
      <c r="J1472" s="93"/>
    </row>
    <row r="1473" spans="1:10">
      <c r="A1473" s="501"/>
      <c r="B1473" s="96" t="s">
        <v>217</v>
      </c>
      <c r="C1473" s="94"/>
      <c r="D1473" s="93"/>
      <c r="E1473" s="94"/>
      <c r="F1473" s="93"/>
      <c r="G1473" s="94"/>
      <c r="H1473" s="93"/>
      <c r="I1473" s="99"/>
      <c r="J1473" s="100"/>
    </row>
    <row r="1474" spans="1:10">
      <c r="A1474" s="501"/>
      <c r="B1474" s="96" t="s">
        <v>218</v>
      </c>
      <c r="C1474" s="94"/>
      <c r="D1474" s="93"/>
      <c r="E1474" s="94"/>
      <c r="F1474" s="93"/>
      <c r="G1474" s="94"/>
      <c r="H1474" s="93"/>
      <c r="I1474" s="99"/>
      <c r="J1474" s="100"/>
    </row>
    <row r="1475" spans="1:10">
      <c r="A1475" s="501"/>
      <c r="B1475" s="96" t="s">
        <v>219</v>
      </c>
      <c r="C1475" s="94"/>
      <c r="D1475" s="93"/>
      <c r="E1475" s="94"/>
      <c r="F1475" s="93"/>
      <c r="G1475" s="94"/>
      <c r="H1475" s="93"/>
      <c r="I1475" s="99"/>
      <c r="J1475" s="100"/>
    </row>
    <row r="1476" spans="1:10">
      <c r="A1476" s="501"/>
      <c r="B1476" s="96" t="s">
        <v>220</v>
      </c>
      <c r="C1476" s="94"/>
      <c r="D1476" s="93"/>
      <c r="E1476" s="94"/>
      <c r="F1476" s="93"/>
      <c r="G1476" s="99"/>
      <c r="H1476" s="100"/>
      <c r="I1476" s="99"/>
      <c r="J1476" s="100"/>
    </row>
    <row r="1477" spans="1:10">
      <c r="A1477" s="501"/>
      <c r="B1477" s="96" t="s">
        <v>297</v>
      </c>
      <c r="C1477" s="94"/>
      <c r="D1477" s="93"/>
      <c r="E1477" s="99"/>
      <c r="F1477" s="100"/>
      <c r="G1477" s="99"/>
      <c r="H1477" s="100"/>
      <c r="I1477" s="99"/>
      <c r="J1477" s="100"/>
    </row>
    <row r="1478" spans="1:10">
      <c r="A1478" s="501"/>
      <c r="B1478" s="96" t="s">
        <v>221</v>
      </c>
      <c r="C1478" s="94"/>
      <c r="D1478" s="93"/>
      <c r="E1478" s="99"/>
      <c r="F1478" s="100"/>
      <c r="G1478" s="99"/>
      <c r="H1478" s="100"/>
      <c r="I1478" s="99"/>
      <c r="J1478" s="100"/>
    </row>
    <row r="1479" spans="1:10">
      <c r="A1479" s="501"/>
      <c r="B1479" s="97" t="s">
        <v>298</v>
      </c>
      <c r="C1479" s="94"/>
      <c r="D1479" s="93"/>
      <c r="E1479" s="94"/>
      <c r="F1479" s="93"/>
      <c r="G1479" s="94"/>
      <c r="H1479" s="93"/>
      <c r="I1479" s="94"/>
      <c r="J1479" s="93"/>
    </row>
    <row r="1480" spans="1:10">
      <c r="A1480" s="501"/>
      <c r="B1480" s="97" t="s">
        <v>222</v>
      </c>
      <c r="C1480" s="94"/>
      <c r="D1480" s="93"/>
      <c r="E1480" s="94"/>
      <c r="F1480" s="93"/>
      <c r="G1480" s="94"/>
      <c r="H1480" s="93"/>
      <c r="I1480" s="94"/>
      <c r="J1480" s="93"/>
    </row>
    <row r="1481" spans="1:10">
      <c r="A1481" s="501"/>
      <c r="B1481" s="97" t="s">
        <v>223</v>
      </c>
      <c r="C1481" s="94"/>
      <c r="D1481" s="93"/>
      <c r="E1481" s="94"/>
      <c r="F1481" s="93"/>
      <c r="G1481" s="94"/>
      <c r="H1481" s="93"/>
      <c r="I1481" s="94"/>
      <c r="J1481" s="93"/>
    </row>
    <row r="1482" spans="1:10">
      <c r="A1482" s="501"/>
      <c r="B1482" s="97" t="s">
        <v>224</v>
      </c>
      <c r="C1482" s="94"/>
      <c r="D1482" s="93"/>
      <c r="E1482" s="94"/>
      <c r="F1482" s="93"/>
      <c r="G1482" s="94"/>
      <c r="H1482" s="93"/>
      <c r="I1482" s="94"/>
      <c r="J1482" s="93"/>
    </row>
    <row r="1483" spans="1:10">
      <c r="A1483" s="501"/>
      <c r="B1483" s="97" t="s">
        <v>225</v>
      </c>
      <c r="C1483" s="94"/>
      <c r="D1483" s="93"/>
      <c r="E1483" s="94"/>
      <c r="F1483" s="93"/>
      <c r="G1483" s="94"/>
      <c r="H1483" s="93"/>
      <c r="I1483" s="94"/>
      <c r="J1483" s="93"/>
    </row>
    <row r="1484" spans="1:10">
      <c r="A1484" s="501"/>
      <c r="B1484" s="97" t="s">
        <v>226</v>
      </c>
      <c r="C1484" s="94"/>
      <c r="D1484" s="93"/>
      <c r="E1484" s="94"/>
      <c r="F1484" s="93"/>
      <c r="G1484" s="94"/>
      <c r="H1484" s="93"/>
      <c r="I1484" s="94"/>
      <c r="J1484" s="93"/>
    </row>
    <row r="1485" spans="1:10">
      <c r="A1485" s="501"/>
      <c r="B1485" s="97" t="s">
        <v>227</v>
      </c>
      <c r="C1485" s="94"/>
      <c r="D1485" s="93"/>
      <c r="E1485" s="94"/>
      <c r="F1485" s="93"/>
      <c r="G1485" s="94"/>
      <c r="H1485" s="93"/>
      <c r="I1485" s="94"/>
      <c r="J1485" s="93"/>
    </row>
    <row r="1486" spans="1:10">
      <c r="A1486" s="501"/>
      <c r="B1486" s="97" t="s">
        <v>228</v>
      </c>
      <c r="C1486" s="94"/>
      <c r="D1486" s="93"/>
      <c r="E1486" s="94"/>
      <c r="F1486" s="93"/>
      <c r="G1486" s="94"/>
      <c r="H1486" s="93"/>
      <c r="I1486" s="94"/>
      <c r="J1486" s="93"/>
    </row>
    <row r="1487" spans="1:10">
      <c r="A1487" s="501"/>
      <c r="B1487" s="97" t="s">
        <v>229</v>
      </c>
      <c r="C1487" s="94"/>
      <c r="D1487" s="93"/>
      <c r="E1487" s="94"/>
      <c r="F1487" s="93"/>
      <c r="G1487" s="99"/>
      <c r="H1487" s="100"/>
      <c r="I1487" s="94"/>
      <c r="J1487" s="93"/>
    </row>
    <row r="1488" spans="1:10">
      <c r="A1488" s="501"/>
      <c r="B1488" s="97" t="s">
        <v>230</v>
      </c>
      <c r="C1488" s="94"/>
      <c r="D1488" s="93"/>
      <c r="E1488" s="94"/>
      <c r="F1488" s="93"/>
      <c r="G1488" s="99"/>
      <c r="H1488" s="100"/>
      <c r="I1488" s="99"/>
      <c r="J1488" s="100"/>
    </row>
    <row r="1489" spans="1:10">
      <c r="A1489" s="501"/>
      <c r="B1489" s="97" t="s">
        <v>231</v>
      </c>
      <c r="C1489" s="94"/>
      <c r="D1489" s="93"/>
      <c r="E1489" s="94"/>
      <c r="F1489" s="93"/>
      <c r="G1489" s="99"/>
      <c r="H1489" s="100"/>
      <c r="I1489" s="99"/>
      <c r="J1489" s="100"/>
    </row>
    <row r="1490" spans="1:10">
      <c r="A1490" s="501"/>
      <c r="B1490" s="97" t="s">
        <v>232</v>
      </c>
      <c r="C1490" s="94"/>
      <c r="D1490" s="93"/>
      <c r="E1490" s="94"/>
      <c r="F1490" s="93"/>
      <c r="G1490" s="99"/>
      <c r="H1490" s="100"/>
      <c r="I1490" s="99"/>
      <c r="J1490" s="100"/>
    </row>
    <row r="1491" spans="1:10">
      <c r="A1491" s="501"/>
      <c r="B1491" s="97" t="s">
        <v>233</v>
      </c>
      <c r="C1491" s="94"/>
      <c r="D1491" s="93"/>
      <c r="E1491" s="94"/>
      <c r="F1491" s="93"/>
      <c r="G1491" s="99"/>
      <c r="H1491" s="100"/>
      <c r="I1491" s="99"/>
      <c r="J1491" s="100"/>
    </row>
    <row r="1492" spans="1:10">
      <c r="A1492" s="501"/>
      <c r="B1492" s="97" t="s">
        <v>234</v>
      </c>
      <c r="C1492" s="94"/>
      <c r="D1492" s="93"/>
      <c r="E1492" s="94"/>
      <c r="F1492" s="93"/>
      <c r="G1492" s="99"/>
      <c r="H1492" s="100"/>
      <c r="I1492" s="99"/>
      <c r="J1492" s="100"/>
    </row>
    <row r="1493" spans="1:10">
      <c r="A1493" s="501"/>
      <c r="B1493" s="97" t="s">
        <v>235</v>
      </c>
      <c r="C1493" s="94"/>
      <c r="D1493" s="93"/>
      <c r="E1493" s="99"/>
      <c r="F1493" s="100"/>
      <c r="G1493" s="99"/>
      <c r="H1493" s="100"/>
      <c r="I1493" s="99"/>
      <c r="J1493" s="100"/>
    </row>
    <row r="1494" spans="1:10">
      <c r="A1494" s="501"/>
      <c r="B1494" s="97" t="s">
        <v>236</v>
      </c>
      <c r="C1494" s="94"/>
      <c r="D1494" s="93"/>
      <c r="E1494" s="99"/>
      <c r="F1494" s="100"/>
      <c r="G1494" s="99"/>
      <c r="H1494" s="100"/>
      <c r="I1494" s="99"/>
      <c r="J1494" s="100"/>
    </row>
    <row r="1495" spans="1:10">
      <c r="A1495" s="501"/>
      <c r="B1495" s="98" t="s">
        <v>299</v>
      </c>
      <c r="C1495" s="94"/>
      <c r="D1495" s="93"/>
      <c r="E1495" s="94"/>
      <c r="F1495" s="93"/>
      <c r="G1495" s="94"/>
      <c r="H1495" s="93"/>
      <c r="I1495" s="94"/>
      <c r="J1495" s="93"/>
    </row>
    <row r="1496" spans="1:10">
      <c r="A1496" s="501"/>
      <c r="B1496" s="98" t="s">
        <v>237</v>
      </c>
      <c r="C1496" s="94"/>
      <c r="D1496" s="93"/>
      <c r="E1496" s="94"/>
      <c r="F1496" s="93"/>
      <c r="G1496" s="94"/>
      <c r="H1496" s="93"/>
      <c r="I1496" s="94"/>
      <c r="J1496" s="93"/>
    </row>
    <row r="1497" spans="1:10">
      <c r="A1497" s="501"/>
      <c r="B1497" s="98" t="s">
        <v>238</v>
      </c>
      <c r="C1497" s="94"/>
      <c r="D1497" s="93"/>
      <c r="E1497" s="94"/>
      <c r="F1497" s="93"/>
      <c r="G1497" s="94"/>
      <c r="H1497" s="93"/>
      <c r="I1497" s="94"/>
      <c r="J1497" s="93"/>
    </row>
    <row r="1498" spans="1:10">
      <c r="A1498" s="501"/>
      <c r="B1498" s="98" t="s">
        <v>239</v>
      </c>
      <c r="C1498" s="94"/>
      <c r="D1498" s="93"/>
      <c r="E1498" s="94"/>
      <c r="F1498" s="93"/>
      <c r="G1498" s="94"/>
      <c r="H1498" s="93"/>
      <c r="I1498" s="94"/>
      <c r="J1498" s="93"/>
    </row>
    <row r="1499" spans="1:10">
      <c r="A1499" s="501"/>
      <c r="B1499" s="98" t="s">
        <v>240</v>
      </c>
      <c r="C1499" s="94"/>
      <c r="D1499" s="93"/>
      <c r="E1499" s="94"/>
      <c r="F1499" s="93"/>
      <c r="G1499" s="94"/>
      <c r="H1499" s="93"/>
      <c r="I1499" s="94"/>
      <c r="J1499" s="93"/>
    </row>
    <row r="1500" spans="1:10">
      <c r="A1500" s="501"/>
      <c r="B1500" s="98" t="s">
        <v>241</v>
      </c>
      <c r="C1500" s="94"/>
      <c r="D1500" s="93"/>
      <c r="E1500" s="94"/>
      <c r="F1500" s="93"/>
      <c r="G1500" s="94"/>
      <c r="H1500" s="93"/>
      <c r="I1500" s="94"/>
      <c r="J1500" s="93"/>
    </row>
    <row r="1501" spans="1:10">
      <c r="A1501" s="501"/>
      <c r="B1501" s="98" t="s">
        <v>242</v>
      </c>
      <c r="C1501" s="94"/>
      <c r="D1501" s="93"/>
      <c r="E1501" s="94"/>
      <c r="F1501" s="93"/>
      <c r="G1501" s="94"/>
      <c r="H1501" s="93"/>
      <c r="I1501" s="94"/>
      <c r="J1501" s="93"/>
    </row>
    <row r="1502" spans="1:10">
      <c r="A1502" s="501"/>
      <c r="B1502" s="98" t="s">
        <v>243</v>
      </c>
      <c r="C1502" s="94"/>
      <c r="D1502" s="93"/>
      <c r="E1502" s="94"/>
      <c r="F1502" s="93"/>
      <c r="G1502" s="94"/>
      <c r="H1502" s="93"/>
      <c r="I1502" s="94"/>
      <c r="J1502" s="93"/>
    </row>
    <row r="1503" spans="1:10">
      <c r="A1503" s="501"/>
      <c r="B1503" s="98" t="s">
        <v>244</v>
      </c>
      <c r="C1503" s="94"/>
      <c r="D1503" s="93"/>
      <c r="E1503" s="94"/>
      <c r="F1503" s="93"/>
      <c r="G1503" s="94"/>
      <c r="H1503" s="93"/>
      <c r="I1503" s="99"/>
      <c r="J1503" s="100"/>
    </row>
    <row r="1504" spans="1:10">
      <c r="A1504" s="501"/>
      <c r="B1504" s="98" t="s">
        <v>245</v>
      </c>
      <c r="C1504" s="94"/>
      <c r="D1504" s="93"/>
      <c r="E1504" s="94"/>
      <c r="F1504" s="93"/>
      <c r="G1504" s="94"/>
      <c r="H1504" s="93"/>
      <c r="I1504" s="99"/>
      <c r="J1504" s="100"/>
    </row>
    <row r="1505" spans="1:10">
      <c r="A1505" s="501"/>
      <c r="B1505" s="98" t="s">
        <v>246</v>
      </c>
      <c r="C1505" s="99"/>
      <c r="D1505" s="100"/>
      <c r="E1505" s="94"/>
      <c r="F1505" s="93"/>
      <c r="G1505" s="94"/>
      <c r="H1505" s="93"/>
      <c r="I1505" s="99"/>
      <c r="J1505" s="100"/>
    </row>
    <row r="1506" spans="1:10">
      <c r="A1506" s="501"/>
      <c r="B1506" s="98" t="s">
        <v>247</v>
      </c>
      <c r="C1506" s="99"/>
      <c r="D1506" s="100"/>
      <c r="E1506" s="94"/>
      <c r="F1506" s="93"/>
      <c r="G1506" s="94"/>
      <c r="H1506" s="93"/>
      <c r="I1506" s="99"/>
      <c r="J1506" s="100"/>
    </row>
    <row r="1507" spans="1:10">
      <c r="A1507" s="501"/>
      <c r="B1507" s="98" t="s">
        <v>248</v>
      </c>
      <c r="C1507" s="99"/>
      <c r="D1507" s="100"/>
      <c r="E1507" s="99"/>
      <c r="F1507" s="100"/>
      <c r="G1507" s="94"/>
      <c r="H1507" s="93"/>
      <c r="I1507" s="99"/>
      <c r="J1507" s="100"/>
    </row>
    <row r="1508" spans="1:10">
      <c r="A1508" s="501"/>
      <c r="B1508" s="95" t="s">
        <v>300</v>
      </c>
      <c r="C1508" s="99"/>
      <c r="D1508" s="100"/>
      <c r="E1508" s="99"/>
      <c r="F1508" s="100"/>
      <c r="G1508" s="99"/>
      <c r="H1508" s="100"/>
      <c r="I1508" s="94"/>
      <c r="J1508" s="93"/>
    </row>
    <row r="1509" spans="1:10">
      <c r="A1509" s="501"/>
      <c r="B1509" s="95" t="s">
        <v>249</v>
      </c>
      <c r="C1509" s="99"/>
      <c r="D1509" s="100"/>
      <c r="E1509" s="99"/>
      <c r="F1509" s="100"/>
      <c r="G1509" s="99"/>
      <c r="H1509" s="100"/>
      <c r="I1509" s="94"/>
      <c r="J1509" s="93"/>
    </row>
    <row r="1510" spans="1:10">
      <c r="A1510" s="501"/>
      <c r="B1510" s="95" t="s">
        <v>250</v>
      </c>
      <c r="C1510" s="99"/>
      <c r="D1510" s="100"/>
      <c r="E1510" s="99"/>
      <c r="F1510" s="100"/>
      <c r="G1510" s="99"/>
      <c r="H1510" s="100"/>
      <c r="I1510" s="94"/>
      <c r="J1510" s="93"/>
    </row>
    <row r="1511" spans="1:10">
      <c r="A1511" s="501"/>
      <c r="B1511" s="95" t="s">
        <v>251</v>
      </c>
      <c r="C1511" s="99"/>
      <c r="D1511" s="100"/>
      <c r="E1511" s="99"/>
      <c r="F1511" s="100"/>
      <c r="G1511" s="99"/>
      <c r="H1511" s="100"/>
      <c r="I1511" s="94"/>
      <c r="J1511" s="93"/>
    </row>
    <row r="1512" spans="1:10">
      <c r="A1512" s="501"/>
      <c r="B1512" s="95" t="s">
        <v>252</v>
      </c>
      <c r="C1512" s="99"/>
      <c r="D1512" s="100"/>
      <c r="E1512" s="99"/>
      <c r="F1512" s="100"/>
      <c r="G1512" s="99"/>
      <c r="H1512" s="100"/>
      <c r="I1512" s="94"/>
      <c r="J1512" s="93"/>
    </row>
    <row r="1513" spans="1:10">
      <c r="A1513" s="501"/>
      <c r="B1513" s="95" t="s">
        <v>253</v>
      </c>
      <c r="C1513" s="99"/>
      <c r="D1513" s="100"/>
      <c r="E1513" s="99"/>
      <c r="F1513" s="100"/>
      <c r="G1513" s="99"/>
      <c r="H1513" s="100"/>
      <c r="I1513" s="94"/>
      <c r="J1513" s="93"/>
    </row>
    <row r="1514" spans="1:10">
      <c r="A1514" s="501"/>
      <c r="B1514" s="95" t="s">
        <v>254</v>
      </c>
      <c r="C1514" s="99"/>
      <c r="D1514" s="100"/>
      <c r="E1514" s="99"/>
      <c r="F1514" s="100"/>
      <c r="G1514" s="99"/>
      <c r="H1514" s="100"/>
      <c r="I1514" s="94"/>
      <c r="J1514" s="93"/>
    </row>
    <row r="1515" spans="1:10">
      <c r="A1515" s="501"/>
      <c r="B1515" s="95" t="s">
        <v>255</v>
      </c>
      <c r="C1515" s="99"/>
      <c r="D1515" s="100"/>
      <c r="E1515" s="99"/>
      <c r="F1515" s="100"/>
      <c r="G1515" s="99"/>
      <c r="H1515" s="100"/>
      <c r="I1515" s="94"/>
      <c r="J1515" s="93"/>
    </row>
    <row r="1516" spans="1:10">
      <c r="A1516" s="501"/>
      <c r="B1516" s="95" t="s">
        <v>256</v>
      </c>
      <c r="C1516" s="99"/>
      <c r="D1516" s="100"/>
      <c r="E1516" s="99"/>
      <c r="F1516" s="100"/>
      <c r="G1516" s="99"/>
      <c r="H1516" s="100"/>
      <c r="I1516" s="94"/>
      <c r="J1516" s="93"/>
    </row>
    <row r="1517" spans="1:10">
      <c r="A1517" s="501"/>
      <c r="B1517" s="95" t="s">
        <v>257</v>
      </c>
      <c r="C1517" s="99"/>
      <c r="D1517" s="100"/>
      <c r="E1517" s="99"/>
      <c r="F1517" s="100"/>
      <c r="G1517" s="99"/>
      <c r="H1517" s="100"/>
      <c r="I1517" s="94"/>
      <c r="J1517" s="93"/>
    </row>
    <row r="1518" spans="1:10">
      <c r="A1518" s="501"/>
      <c r="B1518" s="95" t="s">
        <v>258</v>
      </c>
      <c r="C1518" s="99"/>
      <c r="D1518" s="100"/>
      <c r="E1518" s="99"/>
      <c r="F1518" s="100"/>
      <c r="G1518" s="99"/>
      <c r="H1518" s="100"/>
      <c r="I1518" s="94"/>
      <c r="J1518" s="93"/>
    </row>
    <row r="1519" spans="1:10">
      <c r="A1519" s="502"/>
      <c r="B1519" s="95" t="s">
        <v>259</v>
      </c>
      <c r="C1519" s="99"/>
      <c r="D1519" s="100"/>
      <c r="E1519" s="99"/>
      <c r="F1519" s="100"/>
      <c r="G1519" s="99"/>
      <c r="H1519" s="100"/>
      <c r="I1519" s="94"/>
      <c r="J1519" s="93"/>
    </row>
    <row r="1520" spans="1:10">
      <c r="A1520" s="116" t="s">
        <v>266</v>
      </c>
      <c r="B1520" s="117" t="e">
        <f>SUM(C1520,E1520,G1520,I1520)</f>
        <v>#DIV/0!</v>
      </c>
      <c r="C1520" s="104" t="e">
        <f>AVERAGE(C1447:C1459,C1463:C1504)</f>
        <v>#DIV/0!</v>
      </c>
      <c r="D1520" s="104" t="e">
        <f>AVERAGE(D1447:D1459,D1463:D1504)</f>
        <v>#DIV/0!</v>
      </c>
      <c r="E1520" s="104" t="e">
        <f>AVERAGE(E1447:E1455,E1463:E1476,E1479:E1492,E1495:E1506)</f>
        <v>#DIV/0!</v>
      </c>
      <c r="F1520" s="104" t="e">
        <f>AVERAGE(F1447:F1455,F1463:F1476,F1479:F1492,F1495:F1506)</f>
        <v>#DIV/0!</v>
      </c>
      <c r="G1520" s="104" t="e">
        <f>AVERAGE(G1447:G1475,G1479:G1486,G1495:G1507)</f>
        <v>#DIV/0!</v>
      </c>
      <c r="H1520" s="104" t="e">
        <f>AVERAGE(H1447:H1475,H1479:H1486,H1495:H1507)</f>
        <v>#DIV/0!</v>
      </c>
      <c r="I1520" s="104" t="e">
        <f>AVERAGE(I1447:I1454,I1463:I1472,I1479:I1487,I1495:I1502,I1508:I1519)</f>
        <v>#DIV/0!</v>
      </c>
      <c r="J1520" s="104" t="e">
        <f>AVERAGE(J1447:J1454,J1463:J1472,J1479:J1487,J1495:J1502,J1508:J1519)</f>
        <v>#DIV/0!</v>
      </c>
    </row>
    <row r="1521" spans="1:11">
      <c r="A1521" s="116" t="s">
        <v>267</v>
      </c>
      <c r="B1521" s="117" t="e">
        <f>SUM(D1520,F1520,H1520,J1520)</f>
        <v>#DIV/0!</v>
      </c>
      <c r="C1521" s="64" t="s">
        <v>268</v>
      </c>
      <c r="D1521" s="118" t="s">
        <v>269</v>
      </c>
      <c r="E1521" s="64" t="s">
        <v>268</v>
      </c>
      <c r="F1521" s="118" t="s">
        <v>269</v>
      </c>
      <c r="G1521" s="64" t="s">
        <v>268</v>
      </c>
      <c r="H1521" s="118" t="s">
        <v>269</v>
      </c>
      <c r="I1521" s="64" t="s">
        <v>268</v>
      </c>
      <c r="J1521" s="118" t="s">
        <v>269</v>
      </c>
    </row>
    <row r="1524" spans="1:11">
      <c r="A1524" s="503" t="s">
        <v>107</v>
      </c>
      <c r="B1524" s="503"/>
      <c r="C1524" s="503"/>
      <c r="D1524" s="503"/>
      <c r="E1524" s="503"/>
      <c r="F1524" s="503"/>
      <c r="G1524" s="503"/>
      <c r="H1524" s="503"/>
      <c r="I1524" s="503"/>
      <c r="J1524" s="504"/>
      <c r="K1524" s="109">
        <v>10</v>
      </c>
    </row>
    <row r="1525" spans="1:11" ht="34.799999999999997">
      <c r="A1525" s="74" t="s">
        <v>270</v>
      </c>
      <c r="B1525" s="74" t="s">
        <v>271</v>
      </c>
      <c r="C1525" s="74" t="s">
        <v>272</v>
      </c>
      <c r="D1525" s="74" t="s">
        <v>108</v>
      </c>
      <c r="E1525" s="74" t="s">
        <v>109</v>
      </c>
      <c r="F1525" s="75" t="s">
        <v>273</v>
      </c>
      <c r="G1525" s="74" t="s">
        <v>110</v>
      </c>
      <c r="H1525" s="74" t="s">
        <v>111</v>
      </c>
      <c r="I1525" s="74" t="s">
        <v>112</v>
      </c>
      <c r="J1525" s="74" t="s">
        <v>113</v>
      </c>
    </row>
    <row r="1526" spans="1:11">
      <c r="A1526" s="505" t="s">
        <v>274</v>
      </c>
      <c r="B1526" s="87" t="s">
        <v>114</v>
      </c>
      <c r="C1526" s="76" t="s">
        <v>275</v>
      </c>
      <c r="D1526" s="77">
        <v>1</v>
      </c>
      <c r="E1526" s="78">
        <v>1</v>
      </c>
      <c r="F1526" s="497" t="s">
        <v>276</v>
      </c>
      <c r="G1526" s="76">
        <v>105.48</v>
      </c>
      <c r="H1526" s="67"/>
      <c r="I1526" s="68"/>
      <c r="J1526" s="68"/>
    </row>
    <row r="1527" spans="1:11">
      <c r="A1527" s="506"/>
      <c r="B1527" s="87" t="s">
        <v>115</v>
      </c>
      <c r="C1527" s="76" t="s">
        <v>277</v>
      </c>
      <c r="D1527" s="77">
        <v>1</v>
      </c>
      <c r="E1527" s="78">
        <v>1</v>
      </c>
      <c r="F1527" s="498"/>
      <c r="G1527" s="76">
        <v>105.48</v>
      </c>
      <c r="H1527" s="67"/>
      <c r="I1527" s="68"/>
      <c r="J1527" s="68"/>
    </row>
    <row r="1528" spans="1:11">
      <c r="A1528" s="506"/>
      <c r="B1528" s="87" t="s">
        <v>116</v>
      </c>
      <c r="C1528" s="76" t="s">
        <v>117</v>
      </c>
      <c r="D1528" s="77">
        <v>1</v>
      </c>
      <c r="E1528" s="78">
        <v>1</v>
      </c>
      <c r="F1528" s="79"/>
      <c r="G1528" s="76">
        <v>105.48</v>
      </c>
      <c r="H1528" s="67"/>
      <c r="I1528" s="68"/>
      <c r="J1528" s="68"/>
    </row>
    <row r="1529" spans="1:11">
      <c r="A1529" s="507"/>
      <c r="B1529" s="87" t="s">
        <v>118</v>
      </c>
      <c r="C1529" s="76" t="s">
        <v>119</v>
      </c>
      <c r="D1529" s="77">
        <v>1</v>
      </c>
      <c r="E1529" s="78">
        <v>1</v>
      </c>
      <c r="F1529" s="79"/>
      <c r="G1529" s="76">
        <v>105.48</v>
      </c>
      <c r="H1529" s="67"/>
      <c r="I1529" s="68"/>
      <c r="J1529" s="68"/>
    </row>
    <row r="1530" spans="1:11">
      <c r="A1530" s="505" t="s">
        <v>278</v>
      </c>
      <c r="B1530" s="87" t="s">
        <v>120</v>
      </c>
      <c r="C1530" s="76" t="s">
        <v>279</v>
      </c>
      <c r="D1530" s="77">
        <v>1</v>
      </c>
      <c r="E1530" s="78">
        <v>1</v>
      </c>
      <c r="F1530" s="497" t="s">
        <v>276</v>
      </c>
      <c r="G1530" s="76">
        <v>105.48</v>
      </c>
      <c r="H1530" s="67"/>
      <c r="I1530" s="68"/>
      <c r="J1530" s="68"/>
    </row>
    <row r="1531" spans="1:11">
      <c r="A1531" s="506"/>
      <c r="B1531" s="87" t="s">
        <v>121</v>
      </c>
      <c r="C1531" s="76" t="s">
        <v>280</v>
      </c>
      <c r="D1531" s="77">
        <v>1</v>
      </c>
      <c r="E1531" s="78">
        <v>1</v>
      </c>
      <c r="F1531" s="498"/>
      <c r="G1531" s="76">
        <v>105.48</v>
      </c>
      <c r="H1531" s="67"/>
      <c r="I1531" s="68"/>
      <c r="J1531" s="68"/>
    </row>
    <row r="1532" spans="1:11">
      <c r="A1532" s="506"/>
      <c r="B1532" s="87" t="s">
        <v>122</v>
      </c>
      <c r="C1532" s="76" t="s">
        <v>123</v>
      </c>
      <c r="D1532" s="77">
        <v>1</v>
      </c>
      <c r="E1532" s="78">
        <v>1</v>
      </c>
      <c r="F1532" s="498"/>
      <c r="G1532" s="76">
        <v>105.48</v>
      </c>
      <c r="H1532" s="67"/>
      <c r="I1532" s="68"/>
      <c r="J1532" s="68"/>
    </row>
    <row r="1533" spans="1:11">
      <c r="A1533" s="506"/>
      <c r="B1533" s="87" t="s">
        <v>124</v>
      </c>
      <c r="C1533" s="76" t="s">
        <v>125</v>
      </c>
      <c r="D1533" s="77">
        <v>1</v>
      </c>
      <c r="E1533" s="78">
        <v>1</v>
      </c>
      <c r="F1533" s="498"/>
      <c r="G1533" s="76">
        <v>105.48</v>
      </c>
      <c r="H1533" s="67"/>
      <c r="I1533" s="68"/>
      <c r="J1533" s="68"/>
    </row>
    <row r="1534" spans="1:11">
      <c r="A1534" s="506"/>
      <c r="B1534" s="87" t="s">
        <v>126</v>
      </c>
      <c r="C1534" s="76" t="s">
        <v>281</v>
      </c>
      <c r="D1534" s="77">
        <v>1</v>
      </c>
      <c r="E1534" s="78">
        <v>1</v>
      </c>
      <c r="F1534" s="79"/>
      <c r="G1534" s="76">
        <v>70.319999999999993</v>
      </c>
      <c r="H1534" s="67"/>
      <c r="I1534" s="68"/>
      <c r="J1534" s="68"/>
    </row>
    <row r="1535" spans="1:11">
      <c r="A1535" s="506"/>
      <c r="B1535" s="87" t="s">
        <v>127</v>
      </c>
      <c r="C1535" s="76" t="s">
        <v>128</v>
      </c>
      <c r="D1535" s="77">
        <v>1</v>
      </c>
      <c r="E1535" s="78">
        <v>1</v>
      </c>
      <c r="F1535" s="79"/>
      <c r="G1535" s="76">
        <v>70.319999999999993</v>
      </c>
      <c r="H1535" s="67"/>
      <c r="I1535" s="68"/>
      <c r="J1535" s="68"/>
    </row>
    <row r="1536" spans="1:11">
      <c r="A1536" s="507"/>
      <c r="B1536" s="87" t="s">
        <v>129</v>
      </c>
      <c r="C1536" s="76" t="s">
        <v>130</v>
      </c>
      <c r="D1536" s="77">
        <v>1</v>
      </c>
      <c r="E1536" s="78">
        <v>1</v>
      </c>
      <c r="F1536" s="79"/>
      <c r="G1536" s="76">
        <v>70.319999999999993</v>
      </c>
      <c r="H1536" s="67"/>
      <c r="I1536" s="68"/>
      <c r="J1536" s="68"/>
    </row>
    <row r="1537" spans="1:10">
      <c r="A1537" s="496" t="s">
        <v>282</v>
      </c>
      <c r="B1537" s="87" t="s">
        <v>131</v>
      </c>
      <c r="C1537" s="76" t="s">
        <v>283</v>
      </c>
      <c r="D1537" s="77">
        <v>1</v>
      </c>
      <c r="E1537" s="78">
        <v>1</v>
      </c>
      <c r="F1537" s="497" t="s">
        <v>276</v>
      </c>
      <c r="G1537" s="76">
        <v>105.48</v>
      </c>
      <c r="H1537" s="67"/>
      <c r="I1537" s="68"/>
      <c r="J1537" s="68"/>
    </row>
    <row r="1538" spans="1:10">
      <c r="A1538" s="496"/>
      <c r="B1538" s="87" t="s">
        <v>132</v>
      </c>
      <c r="C1538" s="76" t="s">
        <v>133</v>
      </c>
      <c r="D1538" s="77">
        <v>1</v>
      </c>
      <c r="E1538" s="78">
        <v>1</v>
      </c>
      <c r="F1538" s="498"/>
      <c r="G1538" s="76">
        <v>105.48</v>
      </c>
      <c r="H1538" s="67"/>
      <c r="I1538" s="68"/>
      <c r="J1538" s="68"/>
    </row>
    <row r="1539" spans="1:10">
      <c r="A1539" s="496"/>
      <c r="B1539" s="87" t="s">
        <v>134</v>
      </c>
      <c r="C1539" s="76" t="s">
        <v>135</v>
      </c>
      <c r="D1539" s="77">
        <v>1</v>
      </c>
      <c r="E1539" s="78">
        <v>1</v>
      </c>
      <c r="F1539" s="498"/>
      <c r="G1539" s="80">
        <v>105.48</v>
      </c>
      <c r="H1539" s="67"/>
      <c r="I1539" s="68"/>
      <c r="J1539" s="68"/>
    </row>
    <row r="1540" spans="1:10">
      <c r="A1540" s="496"/>
      <c r="B1540" s="87" t="s">
        <v>136</v>
      </c>
      <c r="C1540" s="76" t="s">
        <v>137</v>
      </c>
      <c r="D1540" s="77">
        <v>1</v>
      </c>
      <c r="E1540" s="78">
        <v>1</v>
      </c>
      <c r="F1540" s="498"/>
      <c r="G1540" s="80">
        <v>105.48</v>
      </c>
      <c r="H1540" s="67"/>
      <c r="I1540" s="68"/>
      <c r="J1540" s="68"/>
    </row>
    <row r="1541" spans="1:10">
      <c r="A1541" s="496"/>
      <c r="B1541" s="87" t="s">
        <v>138</v>
      </c>
      <c r="C1541" s="76" t="s">
        <v>284</v>
      </c>
      <c r="D1541" s="77">
        <v>0</v>
      </c>
      <c r="E1541" s="78">
        <v>1</v>
      </c>
      <c r="F1541" s="497" t="s">
        <v>285</v>
      </c>
      <c r="G1541" s="76">
        <v>32.549999999999997</v>
      </c>
      <c r="H1541" s="69"/>
      <c r="I1541" s="69"/>
      <c r="J1541" s="69"/>
    </row>
    <row r="1542" spans="1:10">
      <c r="A1542" s="496"/>
      <c r="B1542" s="87" t="s">
        <v>139</v>
      </c>
      <c r="C1542" s="76" t="s">
        <v>140</v>
      </c>
      <c r="D1542" s="77">
        <v>0</v>
      </c>
      <c r="E1542" s="78">
        <v>1</v>
      </c>
      <c r="F1542" s="499"/>
      <c r="G1542" s="76">
        <v>32.549999999999997</v>
      </c>
      <c r="H1542" s="70"/>
      <c r="I1542" s="70"/>
      <c r="J1542" s="70"/>
    </row>
    <row r="1543" spans="1:10">
      <c r="A1543" s="496"/>
      <c r="B1543" s="87" t="s">
        <v>141</v>
      </c>
      <c r="C1543" s="76" t="s">
        <v>286</v>
      </c>
      <c r="D1543" s="77">
        <v>0</v>
      </c>
      <c r="E1543" s="78">
        <v>1</v>
      </c>
      <c r="F1543" s="497" t="s">
        <v>285</v>
      </c>
      <c r="G1543" s="76">
        <v>32.549999999999997</v>
      </c>
      <c r="H1543" s="70"/>
      <c r="I1543" s="70"/>
      <c r="J1543" s="70"/>
    </row>
    <row r="1544" spans="1:10">
      <c r="A1544" s="496"/>
      <c r="B1544" s="87" t="s">
        <v>142</v>
      </c>
      <c r="C1544" s="76" t="s">
        <v>143</v>
      </c>
      <c r="D1544" s="77">
        <v>1</v>
      </c>
      <c r="E1544" s="78">
        <v>1</v>
      </c>
      <c r="F1544" s="498"/>
      <c r="G1544" s="76">
        <v>32.549999999999997</v>
      </c>
      <c r="H1544" s="71"/>
      <c r="I1544" s="71"/>
      <c r="J1544" s="71"/>
    </row>
    <row r="1545" spans="1:10">
      <c r="A1545" s="496"/>
      <c r="B1545" s="87" t="s">
        <v>144</v>
      </c>
      <c r="C1545" s="76" t="s">
        <v>145</v>
      </c>
      <c r="D1545" s="77">
        <v>0</v>
      </c>
      <c r="E1545" s="78">
        <v>1</v>
      </c>
      <c r="F1545" s="498"/>
      <c r="G1545" s="76">
        <v>32.549999999999997</v>
      </c>
      <c r="H1545" s="70"/>
      <c r="I1545" s="70"/>
      <c r="J1545" s="70"/>
    </row>
    <row r="1546" spans="1:10">
      <c r="A1546" s="496"/>
      <c r="B1546" s="87" t="s">
        <v>146</v>
      </c>
      <c r="C1546" s="76" t="s">
        <v>147</v>
      </c>
      <c r="D1546" s="77">
        <v>1</v>
      </c>
      <c r="E1546" s="78">
        <v>1</v>
      </c>
      <c r="F1546" s="498"/>
      <c r="G1546" s="76">
        <v>32.549999999999997</v>
      </c>
      <c r="H1546" s="71"/>
      <c r="I1546" s="71"/>
      <c r="J1546" s="71"/>
    </row>
    <row r="1547" spans="1:10">
      <c r="A1547" s="496"/>
      <c r="B1547" s="87" t="s">
        <v>148</v>
      </c>
      <c r="C1547" s="76" t="s">
        <v>149</v>
      </c>
      <c r="D1547" s="77">
        <v>0</v>
      </c>
      <c r="E1547" s="78">
        <v>1</v>
      </c>
      <c r="F1547" s="498"/>
      <c r="G1547" s="76">
        <v>32.549999999999997</v>
      </c>
      <c r="H1547" s="71"/>
      <c r="I1547" s="71"/>
      <c r="J1547" s="71"/>
    </row>
    <row r="1548" spans="1:10">
      <c r="A1548" s="496"/>
      <c r="B1548" s="87" t="s">
        <v>150</v>
      </c>
      <c r="C1548" s="76" t="s">
        <v>151</v>
      </c>
      <c r="D1548" s="77">
        <v>1</v>
      </c>
      <c r="E1548" s="78">
        <v>1</v>
      </c>
      <c r="F1548" s="498"/>
      <c r="G1548" s="76">
        <v>32.549999999999997</v>
      </c>
      <c r="H1548" s="71"/>
      <c r="I1548" s="71"/>
      <c r="J1548" s="71"/>
    </row>
    <row r="1549" spans="1:10">
      <c r="A1549" s="496"/>
      <c r="B1549" s="87" t="s">
        <v>152</v>
      </c>
      <c r="C1549" s="76" t="s">
        <v>153</v>
      </c>
      <c r="D1549" s="77">
        <v>0</v>
      </c>
      <c r="E1549" s="78">
        <v>1</v>
      </c>
      <c r="F1549" s="498"/>
      <c r="G1549" s="76">
        <v>32.549999999999997</v>
      </c>
      <c r="H1549" s="70"/>
      <c r="I1549" s="70"/>
      <c r="J1549" s="70"/>
    </row>
    <row r="1550" spans="1:10">
      <c r="A1550" s="496"/>
      <c r="B1550" s="87" t="s">
        <v>154</v>
      </c>
      <c r="C1550" s="76" t="s">
        <v>155</v>
      </c>
      <c r="D1550" s="77">
        <v>0</v>
      </c>
      <c r="E1550" s="78">
        <v>1</v>
      </c>
      <c r="F1550" s="498"/>
      <c r="G1550" s="76">
        <v>32.549999999999997</v>
      </c>
      <c r="H1550" s="70"/>
      <c r="I1550" s="70"/>
      <c r="J1550" s="70"/>
    </row>
    <row r="1551" spans="1:10">
      <c r="A1551" s="496"/>
      <c r="B1551" s="87" t="s">
        <v>156</v>
      </c>
      <c r="C1551" s="76" t="s">
        <v>157</v>
      </c>
      <c r="D1551" s="77">
        <v>0</v>
      </c>
      <c r="E1551" s="78">
        <v>1</v>
      </c>
      <c r="F1551" s="498"/>
      <c r="G1551" s="76">
        <v>32.549999999999997</v>
      </c>
      <c r="H1551" s="70"/>
      <c r="I1551" s="70"/>
      <c r="J1551" s="70"/>
    </row>
    <row r="1552" spans="1:10">
      <c r="A1552" s="496"/>
      <c r="B1552" s="87" t="s">
        <v>158</v>
      </c>
      <c r="C1552" s="76" t="s">
        <v>159</v>
      </c>
      <c r="D1552" s="77">
        <v>0</v>
      </c>
      <c r="E1552" s="78">
        <v>1</v>
      </c>
      <c r="F1552" s="498"/>
      <c r="G1552" s="76">
        <v>32.549999999999997</v>
      </c>
      <c r="H1552" s="70"/>
      <c r="I1552" s="70"/>
      <c r="J1552" s="70"/>
    </row>
    <row r="1553" spans="1:10">
      <c r="A1553" s="496"/>
      <c r="B1553" s="87" t="s">
        <v>160</v>
      </c>
      <c r="C1553" s="76" t="s">
        <v>161</v>
      </c>
      <c r="D1553" s="77">
        <v>0</v>
      </c>
      <c r="E1553" s="78">
        <v>1</v>
      </c>
      <c r="F1553" s="498"/>
      <c r="G1553" s="76">
        <v>32.549999999999997</v>
      </c>
      <c r="H1553" s="70"/>
      <c r="I1553" s="70"/>
      <c r="J1553" s="70"/>
    </row>
    <row r="1554" spans="1:10">
      <c r="A1554" s="496"/>
      <c r="B1554" s="87" t="s">
        <v>162</v>
      </c>
      <c r="C1554" s="76" t="s">
        <v>163</v>
      </c>
      <c r="D1554" s="77">
        <v>0</v>
      </c>
      <c r="E1554" s="78">
        <v>1</v>
      </c>
      <c r="F1554" s="499"/>
      <c r="G1554" s="76">
        <v>32.549999999999997</v>
      </c>
      <c r="H1554" s="70"/>
      <c r="I1554" s="70"/>
      <c r="J1554" s="70"/>
    </row>
    <row r="1555" spans="1:10">
      <c r="A1555" s="496"/>
      <c r="B1555" s="87" t="s">
        <v>164</v>
      </c>
      <c r="C1555" s="76" t="s">
        <v>287</v>
      </c>
      <c r="D1555" s="77">
        <v>0</v>
      </c>
      <c r="E1555" s="78">
        <v>1</v>
      </c>
      <c r="F1555" s="497" t="s">
        <v>285</v>
      </c>
      <c r="G1555" s="76">
        <v>24.4</v>
      </c>
      <c r="H1555" s="70"/>
      <c r="I1555" s="70"/>
      <c r="J1555" s="70"/>
    </row>
    <row r="1556" spans="1:10">
      <c r="A1556" s="496"/>
      <c r="B1556" s="87" t="s">
        <v>165</v>
      </c>
      <c r="C1556" s="76" t="s">
        <v>166</v>
      </c>
      <c r="D1556" s="77">
        <v>0</v>
      </c>
      <c r="E1556" s="78">
        <v>1</v>
      </c>
      <c r="F1556" s="499"/>
      <c r="G1556" s="76">
        <v>24.4</v>
      </c>
      <c r="H1556" s="70"/>
      <c r="I1556" s="70"/>
      <c r="J1556" s="70"/>
    </row>
    <row r="1557" spans="1:10">
      <c r="A1557" s="496" t="s">
        <v>288</v>
      </c>
      <c r="B1557" s="87" t="s">
        <v>167</v>
      </c>
      <c r="C1557" s="76" t="s">
        <v>289</v>
      </c>
      <c r="D1557" s="77">
        <v>1</v>
      </c>
      <c r="E1557" s="78">
        <v>1</v>
      </c>
      <c r="F1557" s="497" t="s">
        <v>276</v>
      </c>
      <c r="G1557" s="76">
        <v>105.48</v>
      </c>
      <c r="H1557" s="67"/>
      <c r="I1557" s="71"/>
      <c r="J1557" s="71"/>
    </row>
    <row r="1558" spans="1:10">
      <c r="A1558" s="496"/>
      <c r="B1558" s="87" t="s">
        <v>168</v>
      </c>
      <c r="C1558" s="76" t="s">
        <v>169</v>
      </c>
      <c r="D1558" s="77">
        <v>1</v>
      </c>
      <c r="E1558" s="78">
        <v>1</v>
      </c>
      <c r="F1558" s="498"/>
      <c r="G1558" s="76">
        <v>105.48</v>
      </c>
      <c r="H1558" s="67"/>
      <c r="I1558" s="72"/>
      <c r="J1558" s="72"/>
    </row>
    <row r="1559" spans="1:10">
      <c r="A1559" s="496"/>
      <c r="B1559" s="87" t="s">
        <v>170</v>
      </c>
      <c r="C1559" s="76" t="s">
        <v>171</v>
      </c>
      <c r="D1559" s="77">
        <v>1</v>
      </c>
      <c r="E1559" s="78">
        <v>1</v>
      </c>
      <c r="F1559" s="498"/>
      <c r="G1559" s="76">
        <v>105.48</v>
      </c>
      <c r="H1559" s="67"/>
      <c r="I1559" s="68"/>
      <c r="J1559" s="68"/>
    </row>
    <row r="1560" spans="1:10">
      <c r="A1560" s="496"/>
      <c r="B1560" s="87" t="s">
        <v>172</v>
      </c>
      <c r="C1560" s="76" t="s">
        <v>173</v>
      </c>
      <c r="D1560" s="77">
        <v>1</v>
      </c>
      <c r="E1560" s="78">
        <v>1</v>
      </c>
      <c r="F1560" s="498"/>
      <c r="G1560" s="76">
        <v>105.48</v>
      </c>
      <c r="H1560" s="67"/>
      <c r="I1560" s="68"/>
      <c r="J1560" s="68"/>
    </row>
    <row r="1561" spans="1:10">
      <c r="A1561" s="496"/>
      <c r="B1561" s="87" t="s">
        <v>174</v>
      </c>
      <c r="C1561" s="76" t="s">
        <v>290</v>
      </c>
      <c r="D1561" s="77">
        <v>1</v>
      </c>
      <c r="E1561" s="78">
        <v>1</v>
      </c>
      <c r="F1561" s="498"/>
      <c r="G1561" s="76">
        <v>65</v>
      </c>
      <c r="H1561" s="73"/>
      <c r="I1561" s="73"/>
      <c r="J1561" s="73"/>
    </row>
    <row r="1562" spans="1:10">
      <c r="A1562" s="496"/>
      <c r="B1562" s="87" t="s">
        <v>175</v>
      </c>
      <c r="C1562" s="76" t="s">
        <v>176</v>
      </c>
      <c r="D1562" s="77">
        <v>1</v>
      </c>
      <c r="E1562" s="78">
        <v>1</v>
      </c>
      <c r="F1562" s="499"/>
      <c r="G1562" s="76">
        <v>65</v>
      </c>
      <c r="H1562" s="73"/>
      <c r="I1562" s="73"/>
      <c r="J1562" s="73"/>
    </row>
    <row r="1563" spans="1:10">
      <c r="A1563" s="496"/>
      <c r="B1563" s="87" t="s">
        <v>177</v>
      </c>
      <c r="C1563" s="76" t="s">
        <v>291</v>
      </c>
      <c r="D1563" s="77">
        <v>1</v>
      </c>
      <c r="E1563" s="78">
        <v>1</v>
      </c>
      <c r="F1563" s="497" t="s">
        <v>285</v>
      </c>
      <c r="G1563" s="76">
        <v>16.3</v>
      </c>
      <c r="H1563" s="73"/>
      <c r="I1563" s="73"/>
      <c r="J1563" s="73"/>
    </row>
    <row r="1564" spans="1:10">
      <c r="A1564" s="496"/>
      <c r="B1564" s="87" t="s">
        <v>178</v>
      </c>
      <c r="C1564" s="76" t="s">
        <v>179</v>
      </c>
      <c r="D1564" s="77">
        <v>1</v>
      </c>
      <c r="E1564" s="78">
        <v>1</v>
      </c>
      <c r="F1564" s="498"/>
      <c r="G1564" s="76">
        <v>16.3</v>
      </c>
      <c r="H1564" s="73"/>
      <c r="I1564" s="73"/>
      <c r="J1564" s="73"/>
    </row>
    <row r="1565" spans="1:10">
      <c r="A1565" s="496"/>
      <c r="B1565" s="87" t="s">
        <v>180</v>
      </c>
      <c r="C1565" s="76" t="s">
        <v>181</v>
      </c>
      <c r="D1565" s="77">
        <v>1</v>
      </c>
      <c r="E1565" s="78">
        <v>1</v>
      </c>
      <c r="F1565" s="498"/>
      <c r="G1565" s="76">
        <v>16.3</v>
      </c>
      <c r="H1565" s="73"/>
      <c r="I1565" s="73"/>
      <c r="J1565" s="73"/>
    </row>
    <row r="1566" spans="1:10">
      <c r="A1566" s="496"/>
      <c r="B1566" s="87" t="s">
        <v>292</v>
      </c>
      <c r="C1566" s="76" t="s">
        <v>182</v>
      </c>
      <c r="D1566" s="77">
        <v>1</v>
      </c>
      <c r="E1566" s="78">
        <v>1</v>
      </c>
      <c r="F1566" s="499"/>
      <c r="G1566" s="76">
        <v>35</v>
      </c>
      <c r="H1566" s="73"/>
      <c r="I1566" s="73"/>
      <c r="J1566" s="73"/>
    </row>
    <row r="1567" spans="1:10">
      <c r="H1567" s="66" t="e">
        <f>AVERAGE(H1526:H1540,H1546:H1548,H1557:H1566)</f>
        <v>#DIV/0!</v>
      </c>
      <c r="I1567" s="66" t="e">
        <f t="shared" ref="I1567" si="9">AVERAGE(I1526:I1540,I1546:I1548,I1557:I1566)</f>
        <v>#DIV/0!</v>
      </c>
      <c r="J1567" s="114" t="e">
        <f>AVERAGE(J1526:J1540,J1546:J1548,J1557:J1566,J1544)</f>
        <v>#DIV/0!</v>
      </c>
    </row>
    <row r="1568" spans="1:10">
      <c r="J1568" s="65" t="s">
        <v>264</v>
      </c>
    </row>
    <row r="1569" spans="1:10">
      <c r="A1569" s="503" t="s">
        <v>183</v>
      </c>
      <c r="B1569" s="503"/>
      <c r="C1569" s="503"/>
      <c r="D1569" s="503"/>
      <c r="E1569" s="503"/>
      <c r="F1569" s="503"/>
      <c r="G1569" s="503"/>
      <c r="H1569" s="503"/>
      <c r="I1569" s="503"/>
      <c r="J1569" s="504"/>
    </row>
    <row r="1570" spans="1:10" ht="34.799999999999997">
      <c r="A1570" s="74" t="s">
        <v>270</v>
      </c>
      <c r="B1570" s="74" t="s">
        <v>271</v>
      </c>
      <c r="C1570" s="74" t="s">
        <v>272</v>
      </c>
      <c r="D1570" s="74" t="s">
        <v>108</v>
      </c>
      <c r="E1570" s="74" t="s">
        <v>109</v>
      </c>
      <c r="F1570" s="75" t="s">
        <v>273</v>
      </c>
      <c r="G1570" s="74" t="s">
        <v>110</v>
      </c>
      <c r="H1570" s="74" t="s">
        <v>184</v>
      </c>
      <c r="I1570" s="74" t="s">
        <v>185</v>
      </c>
      <c r="J1570" s="74" t="s">
        <v>186</v>
      </c>
    </row>
    <row r="1571" spans="1:10">
      <c r="A1571" s="508" t="s">
        <v>274</v>
      </c>
      <c r="B1571" s="88" t="s">
        <v>114</v>
      </c>
      <c r="C1571" s="89" t="s">
        <v>275</v>
      </c>
      <c r="D1571" s="90">
        <v>1</v>
      </c>
      <c r="E1571" s="89">
        <v>1</v>
      </c>
      <c r="F1571" s="497" t="s">
        <v>276</v>
      </c>
      <c r="G1571" s="76">
        <v>105.48</v>
      </c>
      <c r="H1571" s="81"/>
      <c r="I1571" s="82"/>
      <c r="J1571" s="82"/>
    </row>
    <row r="1572" spans="1:10">
      <c r="A1572" s="509"/>
      <c r="B1572" s="88" t="s">
        <v>115</v>
      </c>
      <c r="C1572" s="89" t="s">
        <v>277</v>
      </c>
      <c r="D1572" s="90">
        <v>1</v>
      </c>
      <c r="E1572" s="89">
        <v>1</v>
      </c>
      <c r="F1572" s="498"/>
      <c r="G1572" s="76">
        <v>105.48</v>
      </c>
      <c r="H1572" s="81"/>
      <c r="I1572" s="82"/>
      <c r="J1572" s="82"/>
    </row>
    <row r="1573" spans="1:10">
      <c r="A1573" s="509"/>
      <c r="B1573" s="88" t="s">
        <v>116</v>
      </c>
      <c r="C1573" s="89" t="s">
        <v>117</v>
      </c>
      <c r="D1573" s="90">
        <v>1</v>
      </c>
      <c r="E1573" s="89">
        <v>1</v>
      </c>
      <c r="F1573" s="79"/>
      <c r="G1573" s="76">
        <v>105.48</v>
      </c>
      <c r="H1573" s="81"/>
      <c r="I1573" s="82"/>
      <c r="J1573" s="82"/>
    </row>
    <row r="1574" spans="1:10">
      <c r="A1574" s="510"/>
      <c r="B1574" s="88" t="s">
        <v>118</v>
      </c>
      <c r="C1574" s="89" t="s">
        <v>119</v>
      </c>
      <c r="D1574" s="90">
        <v>1</v>
      </c>
      <c r="E1574" s="89">
        <v>1</v>
      </c>
      <c r="F1574" s="79"/>
      <c r="G1574" s="76">
        <v>105.48</v>
      </c>
      <c r="H1574" s="81"/>
      <c r="I1574" s="82"/>
      <c r="J1574" s="82"/>
    </row>
    <row r="1575" spans="1:10">
      <c r="A1575" s="496" t="s">
        <v>278</v>
      </c>
      <c r="B1575" s="87" t="s">
        <v>120</v>
      </c>
      <c r="C1575" s="76" t="s">
        <v>279</v>
      </c>
      <c r="D1575" s="77">
        <v>1</v>
      </c>
      <c r="E1575" s="78">
        <v>1</v>
      </c>
      <c r="F1575" s="497" t="s">
        <v>276</v>
      </c>
      <c r="G1575" s="76">
        <v>105.48</v>
      </c>
      <c r="H1575" s="81"/>
      <c r="I1575" s="82"/>
      <c r="J1575" s="82"/>
    </row>
    <row r="1576" spans="1:10">
      <c r="A1576" s="496"/>
      <c r="B1576" s="87" t="s">
        <v>121</v>
      </c>
      <c r="C1576" s="76" t="s">
        <v>280</v>
      </c>
      <c r="D1576" s="77">
        <v>1</v>
      </c>
      <c r="E1576" s="78">
        <v>1</v>
      </c>
      <c r="F1576" s="498"/>
      <c r="G1576" s="76">
        <v>105.48</v>
      </c>
      <c r="H1576" s="81"/>
      <c r="I1576" s="82"/>
      <c r="J1576" s="82"/>
    </row>
    <row r="1577" spans="1:10">
      <c r="A1577" s="496"/>
      <c r="B1577" s="87" t="s">
        <v>122</v>
      </c>
      <c r="C1577" s="76" t="s">
        <v>123</v>
      </c>
      <c r="D1577" s="77">
        <v>1</v>
      </c>
      <c r="E1577" s="78">
        <v>1</v>
      </c>
      <c r="F1577" s="498"/>
      <c r="G1577" s="76">
        <v>105.48</v>
      </c>
      <c r="H1577" s="81"/>
      <c r="I1577" s="82"/>
      <c r="J1577" s="82"/>
    </row>
    <row r="1578" spans="1:10">
      <c r="A1578" s="496"/>
      <c r="B1578" s="87" t="s">
        <v>124</v>
      </c>
      <c r="C1578" s="76" t="s">
        <v>125</v>
      </c>
      <c r="D1578" s="77">
        <v>1</v>
      </c>
      <c r="E1578" s="78">
        <v>1</v>
      </c>
      <c r="F1578" s="498"/>
      <c r="G1578" s="76">
        <v>105.48</v>
      </c>
      <c r="H1578" s="81"/>
      <c r="I1578" s="82"/>
      <c r="J1578" s="82"/>
    </row>
    <row r="1579" spans="1:10">
      <c r="A1579" s="496" t="s">
        <v>282</v>
      </c>
      <c r="B1579" s="87" t="s">
        <v>131</v>
      </c>
      <c r="C1579" s="76" t="s">
        <v>283</v>
      </c>
      <c r="D1579" s="77">
        <v>1</v>
      </c>
      <c r="E1579" s="78">
        <v>1</v>
      </c>
      <c r="F1579" s="497" t="s">
        <v>276</v>
      </c>
      <c r="G1579" s="76">
        <v>105.48</v>
      </c>
      <c r="H1579" s="81"/>
      <c r="I1579" s="82"/>
      <c r="J1579" s="82"/>
    </row>
    <row r="1580" spans="1:10">
      <c r="A1580" s="496"/>
      <c r="B1580" s="87" t="s">
        <v>132</v>
      </c>
      <c r="C1580" s="76" t="s">
        <v>133</v>
      </c>
      <c r="D1580" s="77">
        <v>1</v>
      </c>
      <c r="E1580" s="78">
        <v>1</v>
      </c>
      <c r="F1580" s="498"/>
      <c r="G1580" s="76">
        <v>105.48</v>
      </c>
      <c r="H1580" s="81"/>
      <c r="I1580" s="82"/>
      <c r="J1580" s="82"/>
    </row>
    <row r="1581" spans="1:10">
      <c r="A1581" s="496"/>
      <c r="B1581" s="87" t="s">
        <v>134</v>
      </c>
      <c r="C1581" s="76" t="s">
        <v>135</v>
      </c>
      <c r="D1581" s="77">
        <v>1</v>
      </c>
      <c r="E1581" s="78">
        <v>1</v>
      </c>
      <c r="F1581" s="498"/>
      <c r="G1581" s="80">
        <v>105.48</v>
      </c>
      <c r="H1581" s="81"/>
      <c r="I1581" s="82"/>
      <c r="J1581" s="82"/>
    </row>
    <row r="1582" spans="1:10">
      <c r="A1582" s="496"/>
      <c r="B1582" s="87" t="s">
        <v>136</v>
      </c>
      <c r="C1582" s="76" t="s">
        <v>137</v>
      </c>
      <c r="D1582" s="77">
        <v>1</v>
      </c>
      <c r="E1582" s="78">
        <v>1</v>
      </c>
      <c r="F1582" s="498"/>
      <c r="G1582" s="80">
        <v>105.48</v>
      </c>
      <c r="H1582" s="81"/>
      <c r="I1582" s="82"/>
      <c r="J1582" s="82"/>
    </row>
    <row r="1583" spans="1:10">
      <c r="A1583" s="496"/>
      <c r="B1583" s="87" t="s">
        <v>138</v>
      </c>
      <c r="C1583" s="76" t="s">
        <v>284</v>
      </c>
      <c r="D1583" s="76">
        <v>0</v>
      </c>
      <c r="E1583" s="78">
        <v>1</v>
      </c>
      <c r="F1583" s="78">
        <v>1</v>
      </c>
      <c r="G1583" s="76">
        <v>32.549999999999997</v>
      </c>
      <c r="H1583" s="83"/>
      <c r="I1583" s="83"/>
      <c r="J1583" s="83"/>
    </row>
    <row r="1584" spans="1:10">
      <c r="A1584" s="496"/>
      <c r="B1584" s="87" t="s">
        <v>139</v>
      </c>
      <c r="C1584" s="76" t="s">
        <v>140</v>
      </c>
      <c r="D1584" s="76">
        <v>0</v>
      </c>
      <c r="E1584" s="78">
        <v>1</v>
      </c>
      <c r="F1584" s="78">
        <v>1</v>
      </c>
      <c r="G1584" s="76">
        <v>32.549999999999997</v>
      </c>
      <c r="H1584" s="84"/>
      <c r="I1584" s="84"/>
      <c r="J1584" s="84"/>
    </row>
    <row r="1585" spans="1:10">
      <c r="A1585" s="496"/>
      <c r="B1585" s="87" t="s">
        <v>141</v>
      </c>
      <c r="C1585" s="76" t="s">
        <v>286</v>
      </c>
      <c r="D1585" s="76">
        <v>0</v>
      </c>
      <c r="E1585" s="78">
        <v>1</v>
      </c>
      <c r="F1585" s="78">
        <v>1</v>
      </c>
      <c r="G1585" s="76">
        <v>32.549999999999997</v>
      </c>
      <c r="H1585" s="84"/>
      <c r="I1585" s="84"/>
      <c r="J1585" s="84"/>
    </row>
    <row r="1586" spans="1:10">
      <c r="A1586" s="496"/>
      <c r="B1586" s="87" t="s">
        <v>142</v>
      </c>
      <c r="C1586" s="76" t="s">
        <v>143</v>
      </c>
      <c r="D1586" s="76">
        <v>1</v>
      </c>
      <c r="E1586" s="78">
        <v>1</v>
      </c>
      <c r="F1586" s="78">
        <v>1</v>
      </c>
      <c r="G1586" s="76">
        <v>32.549999999999997</v>
      </c>
      <c r="H1586" s="85"/>
      <c r="I1586" s="85"/>
      <c r="J1586" s="85"/>
    </row>
    <row r="1587" spans="1:10">
      <c r="A1587" s="496"/>
      <c r="B1587" s="87" t="s">
        <v>144</v>
      </c>
      <c r="C1587" s="76" t="s">
        <v>145</v>
      </c>
      <c r="D1587" s="76">
        <v>0</v>
      </c>
      <c r="E1587" s="78">
        <v>1</v>
      </c>
      <c r="F1587" s="78">
        <v>1</v>
      </c>
      <c r="G1587" s="76">
        <v>32.549999999999997</v>
      </c>
      <c r="H1587" s="84"/>
      <c r="I1587" s="84"/>
      <c r="J1587" s="84"/>
    </row>
    <row r="1588" spans="1:10">
      <c r="A1588" s="496"/>
      <c r="B1588" s="87" t="s">
        <v>146</v>
      </c>
      <c r="C1588" s="76" t="s">
        <v>147</v>
      </c>
      <c r="D1588" s="76">
        <v>1</v>
      </c>
      <c r="E1588" s="78">
        <v>1</v>
      </c>
      <c r="F1588" s="78">
        <v>1</v>
      </c>
      <c r="G1588" s="76">
        <v>32.549999999999997</v>
      </c>
      <c r="H1588" s="85"/>
      <c r="I1588" s="85"/>
      <c r="J1588" s="85"/>
    </row>
    <row r="1589" spans="1:10">
      <c r="A1589" s="496"/>
      <c r="B1589" s="87" t="s">
        <v>148</v>
      </c>
      <c r="C1589" s="76" t="s">
        <v>149</v>
      </c>
      <c r="D1589" s="76">
        <v>0</v>
      </c>
      <c r="E1589" s="78">
        <v>1</v>
      </c>
      <c r="F1589" s="78">
        <v>1</v>
      </c>
      <c r="G1589" s="76">
        <v>32.549999999999997</v>
      </c>
      <c r="H1589" s="85"/>
      <c r="I1589" s="85"/>
      <c r="J1589" s="85"/>
    </row>
    <row r="1590" spans="1:10">
      <c r="A1590" s="496"/>
      <c r="B1590" s="87" t="s">
        <v>150</v>
      </c>
      <c r="C1590" s="76" t="s">
        <v>151</v>
      </c>
      <c r="D1590" s="76">
        <v>1</v>
      </c>
      <c r="E1590" s="78">
        <v>1</v>
      </c>
      <c r="F1590" s="78">
        <v>1</v>
      </c>
      <c r="G1590" s="76">
        <v>32.549999999999997</v>
      </c>
      <c r="H1590" s="85"/>
      <c r="I1590" s="85"/>
      <c r="J1590" s="85"/>
    </row>
    <row r="1591" spans="1:10">
      <c r="A1591" s="496"/>
      <c r="B1591" s="87" t="s">
        <v>152</v>
      </c>
      <c r="C1591" s="76" t="s">
        <v>153</v>
      </c>
      <c r="D1591" s="76">
        <v>0</v>
      </c>
      <c r="E1591" s="78">
        <v>1</v>
      </c>
      <c r="F1591" s="78">
        <v>1</v>
      </c>
      <c r="G1591" s="76">
        <v>32.549999999999997</v>
      </c>
      <c r="H1591" s="84"/>
      <c r="I1591" s="84"/>
      <c r="J1591" s="84"/>
    </row>
    <row r="1592" spans="1:10">
      <c r="A1592" s="496"/>
      <c r="B1592" s="87" t="s">
        <v>154</v>
      </c>
      <c r="C1592" s="76" t="s">
        <v>155</v>
      </c>
      <c r="D1592" s="76">
        <v>0</v>
      </c>
      <c r="E1592" s="78">
        <v>1</v>
      </c>
      <c r="F1592" s="78">
        <v>1</v>
      </c>
      <c r="G1592" s="76">
        <v>32.549999999999997</v>
      </c>
      <c r="H1592" s="84"/>
      <c r="I1592" s="84"/>
      <c r="J1592" s="84"/>
    </row>
    <row r="1593" spans="1:10">
      <c r="A1593" s="496"/>
      <c r="B1593" s="87" t="s">
        <v>156</v>
      </c>
      <c r="C1593" s="76" t="s">
        <v>157</v>
      </c>
      <c r="D1593" s="76">
        <v>0</v>
      </c>
      <c r="E1593" s="78">
        <v>1</v>
      </c>
      <c r="F1593" s="78">
        <v>1</v>
      </c>
      <c r="G1593" s="76">
        <v>32.549999999999997</v>
      </c>
      <c r="H1593" s="84"/>
      <c r="I1593" s="84"/>
      <c r="J1593" s="84"/>
    </row>
    <row r="1594" spans="1:10">
      <c r="A1594" s="496"/>
      <c r="B1594" s="87" t="s">
        <v>158</v>
      </c>
      <c r="C1594" s="76" t="s">
        <v>159</v>
      </c>
      <c r="D1594" s="76">
        <v>0</v>
      </c>
      <c r="E1594" s="78">
        <v>1</v>
      </c>
      <c r="F1594" s="78">
        <v>1</v>
      </c>
      <c r="G1594" s="76">
        <v>32.549999999999997</v>
      </c>
      <c r="H1594" s="84"/>
      <c r="I1594" s="84"/>
      <c r="J1594" s="84"/>
    </row>
    <row r="1595" spans="1:10">
      <c r="A1595" s="496"/>
      <c r="B1595" s="87" t="s">
        <v>160</v>
      </c>
      <c r="C1595" s="76" t="s">
        <v>161</v>
      </c>
      <c r="D1595" s="76">
        <v>0</v>
      </c>
      <c r="E1595" s="78">
        <v>1</v>
      </c>
      <c r="F1595" s="78">
        <v>1</v>
      </c>
      <c r="G1595" s="76">
        <v>32.549999999999997</v>
      </c>
      <c r="H1595" s="84"/>
      <c r="I1595" s="84"/>
      <c r="J1595" s="84"/>
    </row>
    <row r="1596" spans="1:10">
      <c r="A1596" s="496"/>
      <c r="B1596" s="87" t="s">
        <v>162</v>
      </c>
      <c r="C1596" s="76" t="s">
        <v>163</v>
      </c>
      <c r="D1596" s="76">
        <v>0</v>
      </c>
      <c r="E1596" s="78">
        <v>1</v>
      </c>
      <c r="F1596" s="78">
        <v>1</v>
      </c>
      <c r="G1596" s="76">
        <v>32.549999999999997</v>
      </c>
      <c r="H1596" s="84"/>
      <c r="I1596" s="84"/>
      <c r="J1596" s="84"/>
    </row>
    <row r="1597" spans="1:10">
      <c r="A1597" s="496"/>
      <c r="B1597" s="87" t="s">
        <v>164</v>
      </c>
      <c r="C1597" s="76" t="s">
        <v>287</v>
      </c>
      <c r="D1597" s="76">
        <v>0</v>
      </c>
      <c r="E1597" s="78">
        <v>1</v>
      </c>
      <c r="F1597" s="78">
        <v>1</v>
      </c>
      <c r="G1597" s="76">
        <v>24.4</v>
      </c>
      <c r="H1597" s="84"/>
      <c r="I1597" s="84"/>
      <c r="J1597" s="84"/>
    </row>
    <row r="1598" spans="1:10">
      <c r="A1598" s="496"/>
      <c r="B1598" s="87" t="s">
        <v>165</v>
      </c>
      <c r="C1598" s="76" t="s">
        <v>166</v>
      </c>
      <c r="D1598" s="76">
        <v>0</v>
      </c>
      <c r="E1598" s="78">
        <v>1</v>
      </c>
      <c r="F1598" s="78">
        <v>1</v>
      </c>
      <c r="G1598" s="76">
        <v>24.4</v>
      </c>
      <c r="H1598" s="84"/>
      <c r="I1598" s="84"/>
      <c r="J1598" s="84"/>
    </row>
    <row r="1599" spans="1:10">
      <c r="A1599" s="496" t="s">
        <v>288</v>
      </c>
      <c r="B1599" s="87" t="s">
        <v>167</v>
      </c>
      <c r="C1599" s="76" t="s">
        <v>289</v>
      </c>
      <c r="D1599" s="77">
        <v>1</v>
      </c>
      <c r="E1599" s="78">
        <v>1</v>
      </c>
      <c r="F1599" s="497" t="s">
        <v>276</v>
      </c>
      <c r="G1599" s="76">
        <v>105.48</v>
      </c>
      <c r="H1599" s="81"/>
      <c r="I1599" s="85"/>
      <c r="J1599" s="85"/>
    </row>
    <row r="1600" spans="1:10">
      <c r="A1600" s="496"/>
      <c r="B1600" s="87" t="s">
        <v>168</v>
      </c>
      <c r="C1600" s="76" t="s">
        <v>169</v>
      </c>
      <c r="D1600" s="77">
        <v>1</v>
      </c>
      <c r="E1600" s="78">
        <v>1</v>
      </c>
      <c r="F1600" s="498"/>
      <c r="G1600" s="76">
        <v>105.48</v>
      </c>
      <c r="H1600" s="81"/>
      <c r="I1600" s="86"/>
      <c r="J1600" s="86"/>
    </row>
    <row r="1601" spans="1:10">
      <c r="A1601" s="496"/>
      <c r="B1601" s="87" t="s">
        <v>170</v>
      </c>
      <c r="C1601" s="76" t="s">
        <v>171</v>
      </c>
      <c r="D1601" s="77">
        <v>1</v>
      </c>
      <c r="E1601" s="78">
        <v>1</v>
      </c>
      <c r="F1601" s="498"/>
      <c r="G1601" s="76">
        <v>105.48</v>
      </c>
      <c r="H1601" s="81"/>
      <c r="I1601" s="82"/>
      <c r="J1601" s="82"/>
    </row>
    <row r="1602" spans="1:10">
      <c r="A1602" s="496"/>
      <c r="B1602" s="87" t="s">
        <v>172</v>
      </c>
      <c r="C1602" s="76" t="s">
        <v>173</v>
      </c>
      <c r="D1602" s="77">
        <v>1</v>
      </c>
      <c r="E1602" s="78">
        <v>1</v>
      </c>
      <c r="F1602" s="498"/>
      <c r="G1602" s="76">
        <v>105.48</v>
      </c>
      <c r="H1602" s="81"/>
      <c r="I1602" s="82"/>
      <c r="J1602" s="82"/>
    </row>
    <row r="1603" spans="1:10">
      <c r="A1603" s="496"/>
      <c r="B1603" s="87" t="s">
        <v>174</v>
      </c>
      <c r="C1603" s="76" t="s">
        <v>290</v>
      </c>
      <c r="D1603" s="77">
        <v>1</v>
      </c>
      <c r="E1603" s="78">
        <v>1</v>
      </c>
      <c r="F1603" s="498"/>
      <c r="G1603" s="76">
        <v>65</v>
      </c>
      <c r="H1603" s="94"/>
      <c r="I1603" s="94"/>
      <c r="J1603" s="94"/>
    </row>
    <row r="1604" spans="1:10">
      <c r="A1604" s="496"/>
      <c r="B1604" s="87" t="s">
        <v>175</v>
      </c>
      <c r="C1604" s="76" t="s">
        <v>176</v>
      </c>
      <c r="D1604" s="77">
        <v>1</v>
      </c>
      <c r="E1604" s="78">
        <v>1</v>
      </c>
      <c r="F1604" s="499"/>
      <c r="G1604" s="76">
        <v>65</v>
      </c>
      <c r="H1604" s="94"/>
      <c r="I1604" s="94"/>
      <c r="J1604" s="94"/>
    </row>
    <row r="1605" spans="1:10">
      <c r="A1605" s="496"/>
      <c r="B1605" s="87" t="s">
        <v>177</v>
      </c>
      <c r="C1605" s="76" t="s">
        <v>291</v>
      </c>
      <c r="D1605" s="77">
        <v>1</v>
      </c>
      <c r="E1605" s="78">
        <v>1</v>
      </c>
      <c r="F1605" s="497" t="s">
        <v>285</v>
      </c>
      <c r="G1605" s="76">
        <v>16.3</v>
      </c>
      <c r="H1605" s="94"/>
      <c r="I1605" s="94"/>
      <c r="J1605" s="94"/>
    </row>
    <row r="1606" spans="1:10">
      <c r="A1606" s="496"/>
      <c r="B1606" s="87" t="s">
        <v>178</v>
      </c>
      <c r="C1606" s="76" t="s">
        <v>179</v>
      </c>
      <c r="D1606" s="77">
        <v>1</v>
      </c>
      <c r="E1606" s="78">
        <v>1</v>
      </c>
      <c r="F1606" s="498"/>
      <c r="G1606" s="76">
        <v>16.3</v>
      </c>
      <c r="H1606" s="94"/>
      <c r="I1606" s="94"/>
      <c r="J1606" s="94"/>
    </row>
    <row r="1607" spans="1:10">
      <c r="A1607" s="496"/>
      <c r="B1607" s="87" t="s">
        <v>180</v>
      </c>
      <c r="C1607" s="76" t="s">
        <v>181</v>
      </c>
      <c r="D1607" s="77">
        <v>1</v>
      </c>
      <c r="E1607" s="78">
        <v>1</v>
      </c>
      <c r="F1607" s="498"/>
      <c r="G1607" s="76">
        <v>16.3</v>
      </c>
      <c r="H1607" s="94"/>
      <c r="I1607" s="94"/>
      <c r="J1607" s="94"/>
    </row>
    <row r="1608" spans="1:10">
      <c r="A1608" s="496"/>
      <c r="B1608" s="87" t="s">
        <v>292</v>
      </c>
      <c r="C1608" s="76" t="s">
        <v>182</v>
      </c>
      <c r="D1608" s="77">
        <v>1</v>
      </c>
      <c r="E1608" s="78">
        <v>1</v>
      </c>
      <c r="F1608" s="499"/>
      <c r="G1608" s="76">
        <v>35</v>
      </c>
      <c r="H1608" s="94"/>
      <c r="I1608" s="94"/>
      <c r="J1608" s="94"/>
    </row>
    <row r="1609" spans="1:10">
      <c r="A1609" s="496" t="s">
        <v>278</v>
      </c>
      <c r="B1609" s="87" t="s">
        <v>126</v>
      </c>
      <c r="C1609" s="76" t="s">
        <v>281</v>
      </c>
      <c r="D1609" s="77">
        <v>1</v>
      </c>
      <c r="E1609" s="78">
        <v>1</v>
      </c>
      <c r="F1609" s="91"/>
      <c r="G1609" s="76">
        <v>70.319999999999993</v>
      </c>
      <c r="H1609" s="94"/>
      <c r="I1609" s="94"/>
      <c r="J1609" s="94"/>
    </row>
    <row r="1610" spans="1:10">
      <c r="A1610" s="496"/>
      <c r="B1610" s="87" t="s">
        <v>127</v>
      </c>
      <c r="C1610" s="76" t="s">
        <v>128</v>
      </c>
      <c r="D1610" s="77">
        <v>1</v>
      </c>
      <c r="E1610" s="78">
        <v>1</v>
      </c>
      <c r="F1610" s="91"/>
      <c r="G1610" s="76">
        <v>70.319999999999993</v>
      </c>
      <c r="H1610" s="94"/>
      <c r="I1610" s="94"/>
      <c r="J1610" s="94"/>
    </row>
    <row r="1611" spans="1:10">
      <c r="A1611" s="496"/>
      <c r="B1611" s="87" t="s">
        <v>129</v>
      </c>
      <c r="C1611" s="76" t="s">
        <v>130</v>
      </c>
      <c r="D1611" s="77">
        <v>1</v>
      </c>
      <c r="E1611" s="78">
        <v>1</v>
      </c>
      <c r="F1611" s="91"/>
      <c r="G1611" s="76">
        <v>70.319999999999993</v>
      </c>
      <c r="H1611" s="94"/>
      <c r="I1611" s="94"/>
      <c r="J1611" s="94"/>
    </row>
    <row r="1612" spans="1:10">
      <c r="H1612" s="92" t="e">
        <f>AVERAGE(H1571:H1582,H1588:H1590,H1599:H1611)</f>
        <v>#DIV/0!</v>
      </c>
      <c r="I1612" s="92" t="e">
        <f>AVERAGE(I1571:I1582,I1588:I1590,I1599:I1611)</f>
        <v>#DIV/0!</v>
      </c>
      <c r="J1612" s="115" t="e">
        <f>AVERAGE(J1571:J1582,J1588:J1590,J1599:J1611,J1586)</f>
        <v>#DIV/0!</v>
      </c>
    </row>
    <row r="1613" spans="1:10">
      <c r="J1613" s="116" t="s">
        <v>265</v>
      </c>
    </row>
    <row r="1614" spans="1:10">
      <c r="A1614" s="511" t="s">
        <v>293</v>
      </c>
      <c r="B1614" s="511"/>
      <c r="C1614" s="512" t="s">
        <v>187</v>
      </c>
      <c r="D1614" s="513"/>
      <c r="E1614" s="513" t="s">
        <v>188</v>
      </c>
      <c r="F1614" s="513"/>
      <c r="G1614" s="513" t="s">
        <v>189</v>
      </c>
      <c r="H1614" s="513"/>
      <c r="I1614" s="513" t="s">
        <v>190</v>
      </c>
      <c r="J1614" s="513"/>
    </row>
    <row r="1615" spans="1:10" ht="34.799999999999997">
      <c r="A1615" s="511"/>
      <c r="B1615" s="511"/>
      <c r="C1615" s="103" t="s">
        <v>191</v>
      </c>
      <c r="D1615" s="102" t="s">
        <v>192</v>
      </c>
      <c r="E1615" s="102" t="s">
        <v>191</v>
      </c>
      <c r="F1615" s="102" t="s">
        <v>192</v>
      </c>
      <c r="G1615" s="102" t="s">
        <v>191</v>
      </c>
      <c r="H1615" s="102" t="s">
        <v>192</v>
      </c>
      <c r="I1615" s="102" t="s">
        <v>191</v>
      </c>
      <c r="J1615" s="102" t="s">
        <v>192</v>
      </c>
    </row>
    <row r="1616" spans="1:10">
      <c r="A1616" s="500" t="s">
        <v>294</v>
      </c>
      <c r="B1616" s="101" t="s">
        <v>295</v>
      </c>
      <c r="C1616" s="94"/>
      <c r="D1616" s="93"/>
      <c r="E1616" s="94"/>
      <c r="F1616" s="93"/>
      <c r="G1616" s="94"/>
      <c r="H1616" s="93"/>
      <c r="I1616" s="94"/>
      <c r="J1616" s="93"/>
    </row>
    <row r="1617" spans="1:10">
      <c r="A1617" s="501"/>
      <c r="B1617" s="95" t="s">
        <v>193</v>
      </c>
      <c r="C1617" s="94"/>
      <c r="D1617" s="93"/>
      <c r="E1617" s="94"/>
      <c r="F1617" s="93"/>
      <c r="G1617" s="94"/>
      <c r="H1617" s="93"/>
      <c r="I1617" s="94"/>
      <c r="J1617" s="93"/>
    </row>
    <row r="1618" spans="1:10">
      <c r="A1618" s="501"/>
      <c r="B1618" s="95" t="s">
        <v>194</v>
      </c>
      <c r="C1618" s="94"/>
      <c r="D1618" s="93"/>
      <c r="E1618" s="94"/>
      <c r="F1618" s="93"/>
      <c r="G1618" s="94"/>
      <c r="H1618" s="93"/>
      <c r="I1618" s="94"/>
      <c r="J1618" s="93"/>
    </row>
    <row r="1619" spans="1:10">
      <c r="A1619" s="501"/>
      <c r="B1619" s="95" t="s">
        <v>195</v>
      </c>
      <c r="C1619" s="94"/>
      <c r="D1619" s="93"/>
      <c r="E1619" s="94"/>
      <c r="F1619" s="93"/>
      <c r="G1619" s="94"/>
      <c r="H1619" s="93"/>
      <c r="I1619" s="94"/>
      <c r="J1619" s="93"/>
    </row>
    <row r="1620" spans="1:10">
      <c r="A1620" s="501"/>
      <c r="B1620" s="95" t="s">
        <v>196</v>
      </c>
      <c r="C1620" s="94"/>
      <c r="D1620" s="93"/>
      <c r="E1620" s="94"/>
      <c r="F1620" s="93"/>
      <c r="G1620" s="94"/>
      <c r="H1620" s="93"/>
      <c r="I1620" s="94"/>
      <c r="J1620" s="93"/>
    </row>
    <row r="1621" spans="1:10">
      <c r="A1621" s="501"/>
      <c r="B1621" s="95" t="s">
        <v>197</v>
      </c>
      <c r="C1621" s="94"/>
      <c r="D1621" s="93"/>
      <c r="E1621" s="94"/>
      <c r="F1621" s="93"/>
      <c r="G1621" s="94"/>
      <c r="H1621" s="93"/>
      <c r="I1621" s="94"/>
      <c r="J1621" s="93"/>
    </row>
    <row r="1622" spans="1:10">
      <c r="A1622" s="501"/>
      <c r="B1622" s="95" t="s">
        <v>198</v>
      </c>
      <c r="C1622" s="94"/>
      <c r="D1622" s="93"/>
      <c r="E1622" s="94"/>
      <c r="F1622" s="93"/>
      <c r="G1622" s="94"/>
      <c r="H1622" s="93"/>
      <c r="I1622" s="94"/>
      <c r="J1622" s="93"/>
    </row>
    <row r="1623" spans="1:10">
      <c r="A1623" s="501"/>
      <c r="B1623" s="95" t="s">
        <v>199</v>
      </c>
      <c r="C1623" s="94"/>
      <c r="D1623" s="93"/>
      <c r="E1623" s="94"/>
      <c r="F1623" s="93"/>
      <c r="G1623" s="94"/>
      <c r="H1623" s="93"/>
      <c r="I1623" s="94"/>
      <c r="J1623" s="93"/>
    </row>
    <row r="1624" spans="1:10">
      <c r="A1624" s="501"/>
      <c r="B1624" s="95" t="s">
        <v>200</v>
      </c>
      <c r="C1624" s="94"/>
      <c r="D1624" s="93"/>
      <c r="E1624" s="94"/>
      <c r="F1624" s="93"/>
      <c r="G1624" s="94"/>
      <c r="H1624" s="93"/>
      <c r="I1624" s="99"/>
      <c r="J1624" s="100"/>
    </row>
    <row r="1625" spans="1:10">
      <c r="A1625" s="501"/>
      <c r="B1625" s="95" t="s">
        <v>201</v>
      </c>
      <c r="C1625" s="94"/>
      <c r="D1625" s="93"/>
      <c r="E1625" s="99"/>
      <c r="F1625" s="100"/>
      <c r="G1625" s="94"/>
      <c r="H1625" s="93"/>
      <c r="I1625" s="99"/>
      <c r="J1625" s="100"/>
    </row>
    <row r="1626" spans="1:10">
      <c r="A1626" s="501"/>
      <c r="B1626" s="95" t="s">
        <v>202</v>
      </c>
      <c r="C1626" s="94"/>
      <c r="D1626" s="93"/>
      <c r="E1626" s="99"/>
      <c r="F1626" s="100"/>
      <c r="G1626" s="94"/>
      <c r="H1626" s="93"/>
      <c r="I1626" s="99"/>
      <c r="J1626" s="100"/>
    </row>
    <row r="1627" spans="1:10">
      <c r="A1627" s="501"/>
      <c r="B1627" s="95" t="s">
        <v>203</v>
      </c>
      <c r="C1627" s="94"/>
      <c r="D1627" s="93"/>
      <c r="E1627" s="99"/>
      <c r="F1627" s="100"/>
      <c r="G1627" s="94"/>
      <c r="H1627" s="93"/>
      <c r="I1627" s="99"/>
      <c r="J1627" s="100"/>
    </row>
    <row r="1628" spans="1:10">
      <c r="A1628" s="501"/>
      <c r="B1628" s="95" t="s">
        <v>204</v>
      </c>
      <c r="C1628" s="94"/>
      <c r="D1628" s="93"/>
      <c r="E1628" s="99"/>
      <c r="F1628" s="100"/>
      <c r="G1628" s="94"/>
      <c r="H1628" s="93"/>
      <c r="I1628" s="99"/>
      <c r="J1628" s="100"/>
    </row>
    <row r="1629" spans="1:10">
      <c r="A1629" s="501"/>
      <c r="B1629" s="95" t="s">
        <v>205</v>
      </c>
      <c r="C1629" s="99"/>
      <c r="D1629" s="100"/>
      <c r="E1629" s="99"/>
      <c r="F1629" s="100"/>
      <c r="G1629" s="94"/>
      <c r="H1629" s="93"/>
      <c r="I1629" s="99"/>
      <c r="J1629" s="100"/>
    </row>
    <row r="1630" spans="1:10">
      <c r="A1630" s="501"/>
      <c r="B1630" s="95" t="s">
        <v>206</v>
      </c>
      <c r="C1630" s="99"/>
      <c r="D1630" s="100"/>
      <c r="E1630" s="99"/>
      <c r="F1630" s="100"/>
      <c r="G1630" s="94"/>
      <c r="H1630" s="93"/>
      <c r="I1630" s="99"/>
      <c r="J1630" s="100"/>
    </row>
    <row r="1631" spans="1:10">
      <c r="A1631" s="501"/>
      <c r="B1631" s="95" t="s">
        <v>207</v>
      </c>
      <c r="C1631" s="99"/>
      <c r="D1631" s="100"/>
      <c r="E1631" s="99"/>
      <c r="F1631" s="100"/>
      <c r="G1631" s="94"/>
      <c r="H1631" s="93"/>
      <c r="I1631" s="99"/>
      <c r="J1631" s="100"/>
    </row>
    <row r="1632" spans="1:10">
      <c r="A1632" s="501"/>
      <c r="B1632" s="96" t="s">
        <v>296</v>
      </c>
      <c r="C1632" s="94"/>
      <c r="D1632" s="93"/>
      <c r="E1632" s="94"/>
      <c r="F1632" s="93"/>
      <c r="G1632" s="94"/>
      <c r="H1632" s="93"/>
      <c r="I1632" s="94"/>
      <c r="J1632" s="93"/>
    </row>
    <row r="1633" spans="1:10">
      <c r="A1633" s="501"/>
      <c r="B1633" s="96" t="s">
        <v>208</v>
      </c>
      <c r="C1633" s="94"/>
      <c r="D1633" s="93"/>
      <c r="E1633" s="94"/>
      <c r="F1633" s="93"/>
      <c r="G1633" s="94"/>
      <c r="H1633" s="93"/>
      <c r="I1633" s="94"/>
      <c r="J1633" s="93"/>
    </row>
    <row r="1634" spans="1:10">
      <c r="A1634" s="501"/>
      <c r="B1634" s="96" t="s">
        <v>209</v>
      </c>
      <c r="C1634" s="94"/>
      <c r="D1634" s="93"/>
      <c r="E1634" s="94"/>
      <c r="F1634" s="93"/>
      <c r="G1634" s="94"/>
      <c r="H1634" s="93"/>
      <c r="I1634" s="94"/>
      <c r="J1634" s="93"/>
    </row>
    <row r="1635" spans="1:10">
      <c r="A1635" s="501"/>
      <c r="B1635" s="96" t="s">
        <v>210</v>
      </c>
      <c r="C1635" s="94"/>
      <c r="D1635" s="93"/>
      <c r="E1635" s="94"/>
      <c r="F1635" s="93"/>
      <c r="G1635" s="94"/>
      <c r="H1635" s="93"/>
      <c r="I1635" s="94"/>
      <c r="J1635" s="93"/>
    </row>
    <row r="1636" spans="1:10">
      <c r="A1636" s="501"/>
      <c r="B1636" s="96" t="s">
        <v>211</v>
      </c>
      <c r="C1636" s="94"/>
      <c r="D1636" s="93"/>
      <c r="E1636" s="94"/>
      <c r="F1636" s="93"/>
      <c r="G1636" s="94"/>
      <c r="H1636" s="93"/>
      <c r="I1636" s="94"/>
      <c r="J1636" s="93"/>
    </row>
    <row r="1637" spans="1:10">
      <c r="A1637" s="501"/>
      <c r="B1637" s="96" t="s">
        <v>212</v>
      </c>
      <c r="C1637" s="94"/>
      <c r="D1637" s="93"/>
      <c r="E1637" s="94"/>
      <c r="F1637" s="93"/>
      <c r="G1637" s="94"/>
      <c r="H1637" s="93"/>
      <c r="I1637" s="94"/>
      <c r="J1637" s="93"/>
    </row>
    <row r="1638" spans="1:10">
      <c r="A1638" s="501"/>
      <c r="B1638" s="96" t="s">
        <v>213</v>
      </c>
      <c r="C1638" s="94"/>
      <c r="D1638" s="93"/>
      <c r="E1638" s="94"/>
      <c r="F1638" s="93"/>
      <c r="G1638" s="94"/>
      <c r="H1638" s="93"/>
      <c r="I1638" s="94"/>
      <c r="J1638" s="93"/>
    </row>
    <row r="1639" spans="1:10">
      <c r="A1639" s="501"/>
      <c r="B1639" s="96" t="s">
        <v>214</v>
      </c>
      <c r="C1639" s="94"/>
      <c r="D1639" s="93"/>
      <c r="E1639" s="94"/>
      <c r="F1639" s="93"/>
      <c r="G1639" s="94"/>
      <c r="H1639" s="93"/>
      <c r="I1639" s="94"/>
      <c r="J1639" s="93"/>
    </row>
    <row r="1640" spans="1:10">
      <c r="A1640" s="501"/>
      <c r="B1640" s="96" t="s">
        <v>215</v>
      </c>
      <c r="C1640" s="94"/>
      <c r="D1640" s="93"/>
      <c r="E1640" s="94"/>
      <c r="F1640" s="93"/>
      <c r="G1640" s="94"/>
      <c r="H1640" s="93"/>
      <c r="I1640" s="94"/>
      <c r="J1640" s="93"/>
    </row>
    <row r="1641" spans="1:10">
      <c r="A1641" s="501"/>
      <c r="B1641" s="96" t="s">
        <v>216</v>
      </c>
      <c r="C1641" s="94"/>
      <c r="D1641" s="93"/>
      <c r="E1641" s="94"/>
      <c r="F1641" s="93"/>
      <c r="G1641" s="94"/>
      <c r="H1641" s="93"/>
      <c r="I1641" s="94"/>
      <c r="J1641" s="93"/>
    </row>
    <row r="1642" spans="1:10">
      <c r="A1642" s="501"/>
      <c r="B1642" s="96" t="s">
        <v>217</v>
      </c>
      <c r="C1642" s="94"/>
      <c r="D1642" s="93"/>
      <c r="E1642" s="94"/>
      <c r="F1642" s="93"/>
      <c r="G1642" s="94"/>
      <c r="H1642" s="93"/>
      <c r="I1642" s="99"/>
      <c r="J1642" s="100"/>
    </row>
    <row r="1643" spans="1:10">
      <c r="A1643" s="501"/>
      <c r="B1643" s="96" t="s">
        <v>218</v>
      </c>
      <c r="C1643" s="94"/>
      <c r="D1643" s="93"/>
      <c r="E1643" s="94"/>
      <c r="F1643" s="93"/>
      <c r="G1643" s="94"/>
      <c r="H1643" s="93"/>
      <c r="I1643" s="99"/>
      <c r="J1643" s="100"/>
    </row>
    <row r="1644" spans="1:10">
      <c r="A1644" s="501"/>
      <c r="B1644" s="96" t="s">
        <v>219</v>
      </c>
      <c r="C1644" s="94"/>
      <c r="D1644" s="93"/>
      <c r="E1644" s="94"/>
      <c r="F1644" s="93"/>
      <c r="G1644" s="94"/>
      <c r="H1644" s="93"/>
      <c r="I1644" s="99"/>
      <c r="J1644" s="100"/>
    </row>
    <row r="1645" spans="1:10">
      <c r="A1645" s="501"/>
      <c r="B1645" s="96" t="s">
        <v>220</v>
      </c>
      <c r="C1645" s="94"/>
      <c r="D1645" s="93"/>
      <c r="E1645" s="94"/>
      <c r="F1645" s="93"/>
      <c r="G1645" s="99"/>
      <c r="H1645" s="100"/>
      <c r="I1645" s="99"/>
      <c r="J1645" s="100"/>
    </row>
    <row r="1646" spans="1:10">
      <c r="A1646" s="501"/>
      <c r="B1646" s="96" t="s">
        <v>297</v>
      </c>
      <c r="C1646" s="94"/>
      <c r="D1646" s="93"/>
      <c r="E1646" s="99"/>
      <c r="F1646" s="100"/>
      <c r="G1646" s="99"/>
      <c r="H1646" s="100"/>
      <c r="I1646" s="99"/>
      <c r="J1646" s="100"/>
    </row>
    <row r="1647" spans="1:10">
      <c r="A1647" s="501"/>
      <c r="B1647" s="96" t="s">
        <v>221</v>
      </c>
      <c r="C1647" s="94"/>
      <c r="D1647" s="93"/>
      <c r="E1647" s="99"/>
      <c r="F1647" s="100"/>
      <c r="G1647" s="99"/>
      <c r="H1647" s="100"/>
      <c r="I1647" s="99"/>
      <c r="J1647" s="100"/>
    </row>
    <row r="1648" spans="1:10">
      <c r="A1648" s="501"/>
      <c r="B1648" s="97" t="s">
        <v>298</v>
      </c>
      <c r="C1648" s="94"/>
      <c r="D1648" s="93"/>
      <c r="E1648" s="94"/>
      <c r="F1648" s="93"/>
      <c r="G1648" s="94"/>
      <c r="H1648" s="93"/>
      <c r="I1648" s="94"/>
      <c r="J1648" s="93"/>
    </row>
    <row r="1649" spans="1:10">
      <c r="A1649" s="501"/>
      <c r="B1649" s="97" t="s">
        <v>222</v>
      </c>
      <c r="C1649" s="94"/>
      <c r="D1649" s="93"/>
      <c r="E1649" s="94"/>
      <c r="F1649" s="93"/>
      <c r="G1649" s="94"/>
      <c r="H1649" s="93"/>
      <c r="I1649" s="94"/>
      <c r="J1649" s="93"/>
    </row>
    <row r="1650" spans="1:10">
      <c r="A1650" s="501"/>
      <c r="B1650" s="97" t="s">
        <v>223</v>
      </c>
      <c r="C1650" s="94"/>
      <c r="D1650" s="93"/>
      <c r="E1650" s="94"/>
      <c r="F1650" s="93"/>
      <c r="G1650" s="94"/>
      <c r="H1650" s="93"/>
      <c r="I1650" s="94"/>
      <c r="J1650" s="93"/>
    </row>
    <row r="1651" spans="1:10">
      <c r="A1651" s="501"/>
      <c r="B1651" s="97" t="s">
        <v>224</v>
      </c>
      <c r="C1651" s="94"/>
      <c r="D1651" s="93"/>
      <c r="E1651" s="94"/>
      <c r="F1651" s="93"/>
      <c r="G1651" s="94"/>
      <c r="H1651" s="93"/>
      <c r="I1651" s="94"/>
      <c r="J1651" s="93"/>
    </row>
    <row r="1652" spans="1:10">
      <c r="A1652" s="501"/>
      <c r="B1652" s="97" t="s">
        <v>225</v>
      </c>
      <c r="C1652" s="94"/>
      <c r="D1652" s="93"/>
      <c r="E1652" s="94"/>
      <c r="F1652" s="93"/>
      <c r="G1652" s="94"/>
      <c r="H1652" s="93"/>
      <c r="I1652" s="94"/>
      <c r="J1652" s="93"/>
    </row>
    <row r="1653" spans="1:10">
      <c r="A1653" s="501"/>
      <c r="B1653" s="97" t="s">
        <v>226</v>
      </c>
      <c r="C1653" s="94"/>
      <c r="D1653" s="93"/>
      <c r="E1653" s="94"/>
      <c r="F1653" s="93"/>
      <c r="G1653" s="94"/>
      <c r="H1653" s="93"/>
      <c r="I1653" s="94"/>
      <c r="J1653" s="93"/>
    </row>
    <row r="1654" spans="1:10">
      <c r="A1654" s="501"/>
      <c r="B1654" s="97" t="s">
        <v>227</v>
      </c>
      <c r="C1654" s="94"/>
      <c r="D1654" s="93"/>
      <c r="E1654" s="94"/>
      <c r="F1654" s="93"/>
      <c r="G1654" s="94"/>
      <c r="H1654" s="93"/>
      <c r="I1654" s="94"/>
      <c r="J1654" s="93"/>
    </row>
    <row r="1655" spans="1:10">
      <c r="A1655" s="501"/>
      <c r="B1655" s="97" t="s">
        <v>228</v>
      </c>
      <c r="C1655" s="94"/>
      <c r="D1655" s="93"/>
      <c r="E1655" s="94"/>
      <c r="F1655" s="93"/>
      <c r="G1655" s="94"/>
      <c r="H1655" s="93"/>
      <c r="I1655" s="94"/>
      <c r="J1655" s="93"/>
    </row>
    <row r="1656" spans="1:10">
      <c r="A1656" s="501"/>
      <c r="B1656" s="97" t="s">
        <v>229</v>
      </c>
      <c r="C1656" s="94"/>
      <c r="D1656" s="93"/>
      <c r="E1656" s="94"/>
      <c r="F1656" s="93"/>
      <c r="G1656" s="99"/>
      <c r="H1656" s="100"/>
      <c r="I1656" s="94"/>
      <c r="J1656" s="93"/>
    </row>
    <row r="1657" spans="1:10">
      <c r="A1657" s="501"/>
      <c r="B1657" s="97" t="s">
        <v>230</v>
      </c>
      <c r="C1657" s="94"/>
      <c r="D1657" s="93"/>
      <c r="E1657" s="94"/>
      <c r="F1657" s="93"/>
      <c r="G1657" s="99"/>
      <c r="H1657" s="100"/>
      <c r="I1657" s="99"/>
      <c r="J1657" s="100"/>
    </row>
    <row r="1658" spans="1:10">
      <c r="A1658" s="501"/>
      <c r="B1658" s="97" t="s">
        <v>231</v>
      </c>
      <c r="C1658" s="94"/>
      <c r="D1658" s="93"/>
      <c r="E1658" s="94"/>
      <c r="F1658" s="93"/>
      <c r="G1658" s="99"/>
      <c r="H1658" s="100"/>
      <c r="I1658" s="99"/>
      <c r="J1658" s="100"/>
    </row>
    <row r="1659" spans="1:10">
      <c r="A1659" s="501"/>
      <c r="B1659" s="97" t="s">
        <v>232</v>
      </c>
      <c r="C1659" s="94"/>
      <c r="D1659" s="93"/>
      <c r="E1659" s="94"/>
      <c r="F1659" s="93"/>
      <c r="G1659" s="99"/>
      <c r="H1659" s="100"/>
      <c r="I1659" s="99"/>
      <c r="J1659" s="100"/>
    </row>
    <row r="1660" spans="1:10">
      <c r="A1660" s="501"/>
      <c r="B1660" s="97" t="s">
        <v>233</v>
      </c>
      <c r="C1660" s="94"/>
      <c r="D1660" s="93"/>
      <c r="E1660" s="94"/>
      <c r="F1660" s="93"/>
      <c r="G1660" s="99"/>
      <c r="H1660" s="100"/>
      <c r="I1660" s="99"/>
      <c r="J1660" s="100"/>
    </row>
    <row r="1661" spans="1:10">
      <c r="A1661" s="501"/>
      <c r="B1661" s="97" t="s">
        <v>234</v>
      </c>
      <c r="C1661" s="94"/>
      <c r="D1661" s="93"/>
      <c r="E1661" s="94"/>
      <c r="F1661" s="93"/>
      <c r="G1661" s="99"/>
      <c r="H1661" s="100"/>
      <c r="I1661" s="99"/>
      <c r="J1661" s="100"/>
    </row>
    <row r="1662" spans="1:10">
      <c r="A1662" s="501"/>
      <c r="B1662" s="97" t="s">
        <v>235</v>
      </c>
      <c r="C1662" s="94"/>
      <c r="D1662" s="93"/>
      <c r="E1662" s="99"/>
      <c r="F1662" s="100"/>
      <c r="G1662" s="99"/>
      <c r="H1662" s="100"/>
      <c r="I1662" s="99"/>
      <c r="J1662" s="100"/>
    </row>
    <row r="1663" spans="1:10">
      <c r="A1663" s="501"/>
      <c r="B1663" s="97" t="s">
        <v>236</v>
      </c>
      <c r="C1663" s="94"/>
      <c r="D1663" s="93"/>
      <c r="E1663" s="99"/>
      <c r="F1663" s="100"/>
      <c r="G1663" s="99"/>
      <c r="H1663" s="100"/>
      <c r="I1663" s="99"/>
      <c r="J1663" s="100"/>
    </row>
    <row r="1664" spans="1:10">
      <c r="A1664" s="501"/>
      <c r="B1664" s="98" t="s">
        <v>299</v>
      </c>
      <c r="C1664" s="94"/>
      <c r="D1664" s="93"/>
      <c r="E1664" s="94"/>
      <c r="F1664" s="93"/>
      <c r="G1664" s="94"/>
      <c r="H1664" s="93"/>
      <c r="I1664" s="94"/>
      <c r="J1664" s="93"/>
    </row>
    <row r="1665" spans="1:10">
      <c r="A1665" s="501"/>
      <c r="B1665" s="98" t="s">
        <v>237</v>
      </c>
      <c r="C1665" s="94"/>
      <c r="D1665" s="93"/>
      <c r="E1665" s="94"/>
      <c r="F1665" s="93"/>
      <c r="G1665" s="94"/>
      <c r="H1665" s="93"/>
      <c r="I1665" s="94"/>
      <c r="J1665" s="93"/>
    </row>
    <row r="1666" spans="1:10">
      <c r="A1666" s="501"/>
      <c r="B1666" s="98" t="s">
        <v>238</v>
      </c>
      <c r="C1666" s="94"/>
      <c r="D1666" s="93"/>
      <c r="E1666" s="94"/>
      <c r="F1666" s="93"/>
      <c r="G1666" s="94"/>
      <c r="H1666" s="93"/>
      <c r="I1666" s="94"/>
      <c r="J1666" s="93"/>
    </row>
    <row r="1667" spans="1:10">
      <c r="A1667" s="501"/>
      <c r="B1667" s="98" t="s">
        <v>239</v>
      </c>
      <c r="C1667" s="94"/>
      <c r="D1667" s="93"/>
      <c r="E1667" s="94"/>
      <c r="F1667" s="93"/>
      <c r="G1667" s="94"/>
      <c r="H1667" s="93"/>
      <c r="I1667" s="94"/>
      <c r="J1667" s="93"/>
    </row>
    <row r="1668" spans="1:10">
      <c r="A1668" s="501"/>
      <c r="B1668" s="98" t="s">
        <v>240</v>
      </c>
      <c r="C1668" s="94"/>
      <c r="D1668" s="93"/>
      <c r="E1668" s="94"/>
      <c r="F1668" s="93"/>
      <c r="G1668" s="94"/>
      <c r="H1668" s="93"/>
      <c r="I1668" s="94"/>
      <c r="J1668" s="93"/>
    </row>
    <row r="1669" spans="1:10">
      <c r="A1669" s="501"/>
      <c r="B1669" s="98" t="s">
        <v>241</v>
      </c>
      <c r="C1669" s="94"/>
      <c r="D1669" s="93"/>
      <c r="E1669" s="94"/>
      <c r="F1669" s="93"/>
      <c r="G1669" s="94"/>
      <c r="H1669" s="93"/>
      <c r="I1669" s="94"/>
      <c r="J1669" s="93"/>
    </row>
    <row r="1670" spans="1:10">
      <c r="A1670" s="501"/>
      <c r="B1670" s="98" t="s">
        <v>242</v>
      </c>
      <c r="C1670" s="94"/>
      <c r="D1670" s="93"/>
      <c r="E1670" s="94"/>
      <c r="F1670" s="93"/>
      <c r="G1670" s="94"/>
      <c r="H1670" s="93"/>
      <c r="I1670" s="94"/>
      <c r="J1670" s="93"/>
    </row>
    <row r="1671" spans="1:10">
      <c r="A1671" s="501"/>
      <c r="B1671" s="98" t="s">
        <v>243</v>
      </c>
      <c r="C1671" s="94"/>
      <c r="D1671" s="93"/>
      <c r="E1671" s="94"/>
      <c r="F1671" s="93"/>
      <c r="G1671" s="94"/>
      <c r="H1671" s="93"/>
      <c r="I1671" s="94"/>
      <c r="J1671" s="93"/>
    </row>
    <row r="1672" spans="1:10">
      <c r="A1672" s="501"/>
      <c r="B1672" s="98" t="s">
        <v>244</v>
      </c>
      <c r="C1672" s="94"/>
      <c r="D1672" s="93"/>
      <c r="E1672" s="94"/>
      <c r="F1672" s="93"/>
      <c r="G1672" s="94"/>
      <c r="H1672" s="93"/>
      <c r="I1672" s="99"/>
      <c r="J1672" s="100"/>
    </row>
    <row r="1673" spans="1:10">
      <c r="A1673" s="501"/>
      <c r="B1673" s="98" t="s">
        <v>245</v>
      </c>
      <c r="C1673" s="94"/>
      <c r="D1673" s="93"/>
      <c r="E1673" s="94"/>
      <c r="F1673" s="93"/>
      <c r="G1673" s="94"/>
      <c r="H1673" s="93"/>
      <c r="I1673" s="99"/>
      <c r="J1673" s="100"/>
    </row>
    <row r="1674" spans="1:10">
      <c r="A1674" s="501"/>
      <c r="B1674" s="98" t="s">
        <v>246</v>
      </c>
      <c r="C1674" s="99"/>
      <c r="D1674" s="100"/>
      <c r="E1674" s="94"/>
      <c r="F1674" s="93"/>
      <c r="G1674" s="94"/>
      <c r="H1674" s="93"/>
      <c r="I1674" s="99"/>
      <c r="J1674" s="100"/>
    </row>
    <row r="1675" spans="1:10">
      <c r="A1675" s="501"/>
      <c r="B1675" s="98" t="s">
        <v>247</v>
      </c>
      <c r="C1675" s="99"/>
      <c r="D1675" s="100"/>
      <c r="E1675" s="94"/>
      <c r="F1675" s="93"/>
      <c r="G1675" s="94"/>
      <c r="H1675" s="93"/>
      <c r="I1675" s="99"/>
      <c r="J1675" s="100"/>
    </row>
    <row r="1676" spans="1:10">
      <c r="A1676" s="501"/>
      <c r="B1676" s="98" t="s">
        <v>248</v>
      </c>
      <c r="C1676" s="99"/>
      <c r="D1676" s="100"/>
      <c r="E1676" s="99"/>
      <c r="F1676" s="100"/>
      <c r="G1676" s="94"/>
      <c r="H1676" s="93"/>
      <c r="I1676" s="99"/>
      <c r="J1676" s="100"/>
    </row>
    <row r="1677" spans="1:10">
      <c r="A1677" s="501"/>
      <c r="B1677" s="95" t="s">
        <v>300</v>
      </c>
      <c r="C1677" s="99"/>
      <c r="D1677" s="100"/>
      <c r="E1677" s="99"/>
      <c r="F1677" s="100"/>
      <c r="G1677" s="99"/>
      <c r="H1677" s="100"/>
      <c r="I1677" s="94"/>
      <c r="J1677" s="93"/>
    </row>
    <row r="1678" spans="1:10">
      <c r="A1678" s="501"/>
      <c r="B1678" s="95" t="s">
        <v>249</v>
      </c>
      <c r="C1678" s="99"/>
      <c r="D1678" s="100"/>
      <c r="E1678" s="99"/>
      <c r="F1678" s="100"/>
      <c r="G1678" s="99"/>
      <c r="H1678" s="100"/>
      <c r="I1678" s="94"/>
      <c r="J1678" s="93"/>
    </row>
    <row r="1679" spans="1:10">
      <c r="A1679" s="501"/>
      <c r="B1679" s="95" t="s">
        <v>250</v>
      </c>
      <c r="C1679" s="99"/>
      <c r="D1679" s="100"/>
      <c r="E1679" s="99"/>
      <c r="F1679" s="100"/>
      <c r="G1679" s="99"/>
      <c r="H1679" s="100"/>
      <c r="I1679" s="94"/>
      <c r="J1679" s="93"/>
    </row>
    <row r="1680" spans="1:10">
      <c r="A1680" s="501"/>
      <c r="B1680" s="95" t="s">
        <v>251</v>
      </c>
      <c r="C1680" s="99"/>
      <c r="D1680" s="100"/>
      <c r="E1680" s="99"/>
      <c r="F1680" s="100"/>
      <c r="G1680" s="99"/>
      <c r="H1680" s="100"/>
      <c r="I1680" s="94"/>
      <c r="J1680" s="93"/>
    </row>
    <row r="1681" spans="1:11">
      <c r="A1681" s="501"/>
      <c r="B1681" s="95" t="s">
        <v>252</v>
      </c>
      <c r="C1681" s="99"/>
      <c r="D1681" s="100"/>
      <c r="E1681" s="99"/>
      <c r="F1681" s="100"/>
      <c r="G1681" s="99"/>
      <c r="H1681" s="100"/>
      <c r="I1681" s="94"/>
      <c r="J1681" s="93"/>
    </row>
    <row r="1682" spans="1:11">
      <c r="A1682" s="501"/>
      <c r="B1682" s="95" t="s">
        <v>253</v>
      </c>
      <c r="C1682" s="99"/>
      <c r="D1682" s="100"/>
      <c r="E1682" s="99"/>
      <c r="F1682" s="100"/>
      <c r="G1682" s="99"/>
      <c r="H1682" s="100"/>
      <c r="I1682" s="94"/>
      <c r="J1682" s="93"/>
    </row>
    <row r="1683" spans="1:11">
      <c r="A1683" s="501"/>
      <c r="B1683" s="95" t="s">
        <v>254</v>
      </c>
      <c r="C1683" s="99"/>
      <c r="D1683" s="100"/>
      <c r="E1683" s="99"/>
      <c r="F1683" s="100"/>
      <c r="G1683" s="99"/>
      <c r="H1683" s="100"/>
      <c r="I1683" s="94"/>
      <c r="J1683" s="93"/>
    </row>
    <row r="1684" spans="1:11">
      <c r="A1684" s="501"/>
      <c r="B1684" s="95" t="s">
        <v>255</v>
      </c>
      <c r="C1684" s="99"/>
      <c r="D1684" s="100"/>
      <c r="E1684" s="99"/>
      <c r="F1684" s="100"/>
      <c r="G1684" s="99"/>
      <c r="H1684" s="100"/>
      <c r="I1684" s="94"/>
      <c r="J1684" s="93"/>
    </row>
    <row r="1685" spans="1:11">
      <c r="A1685" s="501"/>
      <c r="B1685" s="95" t="s">
        <v>256</v>
      </c>
      <c r="C1685" s="99"/>
      <c r="D1685" s="100"/>
      <c r="E1685" s="99"/>
      <c r="F1685" s="100"/>
      <c r="G1685" s="99"/>
      <c r="H1685" s="100"/>
      <c r="I1685" s="94"/>
      <c r="J1685" s="93"/>
    </row>
    <row r="1686" spans="1:11">
      <c r="A1686" s="501"/>
      <c r="B1686" s="95" t="s">
        <v>257</v>
      </c>
      <c r="C1686" s="99"/>
      <c r="D1686" s="100"/>
      <c r="E1686" s="99"/>
      <c r="F1686" s="100"/>
      <c r="G1686" s="99"/>
      <c r="H1686" s="100"/>
      <c r="I1686" s="94"/>
      <c r="J1686" s="93"/>
    </row>
    <row r="1687" spans="1:11">
      <c r="A1687" s="501"/>
      <c r="B1687" s="95" t="s">
        <v>258</v>
      </c>
      <c r="C1687" s="99"/>
      <c r="D1687" s="100"/>
      <c r="E1687" s="99"/>
      <c r="F1687" s="100"/>
      <c r="G1687" s="99"/>
      <c r="H1687" s="100"/>
      <c r="I1687" s="94"/>
      <c r="J1687" s="93"/>
    </row>
    <row r="1688" spans="1:11">
      <c r="A1688" s="502"/>
      <c r="B1688" s="95" t="s">
        <v>259</v>
      </c>
      <c r="C1688" s="99"/>
      <c r="D1688" s="100"/>
      <c r="E1688" s="99"/>
      <c r="F1688" s="100"/>
      <c r="G1688" s="99"/>
      <c r="H1688" s="100"/>
      <c r="I1688" s="94"/>
      <c r="J1688" s="93"/>
    </row>
    <row r="1689" spans="1:11">
      <c r="A1689" s="116" t="s">
        <v>266</v>
      </c>
      <c r="B1689" s="117" t="e">
        <f>SUM(C1689,E1689,G1689,I1689)</f>
        <v>#DIV/0!</v>
      </c>
      <c r="C1689" s="104" t="e">
        <f>AVERAGE(C1616:C1628,C1632:C1673)</f>
        <v>#DIV/0!</v>
      </c>
      <c r="D1689" s="104" t="e">
        <f>AVERAGE(D1616:D1628,D1632:D1673)</f>
        <v>#DIV/0!</v>
      </c>
      <c r="E1689" s="104" t="e">
        <f>AVERAGE(E1616:E1624,E1632:E1645,E1648:E1661,E1664:E1675)</f>
        <v>#DIV/0!</v>
      </c>
      <c r="F1689" s="104" t="e">
        <f>AVERAGE(F1616:F1624,F1632:F1645,F1648:F1661,F1664:F1675)</f>
        <v>#DIV/0!</v>
      </c>
      <c r="G1689" s="104" t="e">
        <f>AVERAGE(G1616:G1644,G1648:G1655,G1664:G1676)</f>
        <v>#DIV/0!</v>
      </c>
      <c r="H1689" s="104" t="e">
        <f>AVERAGE(H1616:H1644,H1648:H1655,H1664:H1676)</f>
        <v>#DIV/0!</v>
      </c>
      <c r="I1689" s="104" t="e">
        <f>AVERAGE(I1616:I1623,I1632:I1641,I1648:I1656,I1664:I1671,I1677:I1688)</f>
        <v>#DIV/0!</v>
      </c>
      <c r="J1689" s="104" t="e">
        <f>AVERAGE(J1616:J1623,J1632:J1641,J1648:J1656,J1664:J1671,J1677:J1688)</f>
        <v>#DIV/0!</v>
      </c>
    </row>
    <row r="1690" spans="1:11">
      <c r="A1690" s="116" t="s">
        <v>267</v>
      </c>
      <c r="B1690" s="117" t="e">
        <f>SUM(D1689,F1689,H1689,J1689)</f>
        <v>#DIV/0!</v>
      </c>
      <c r="C1690" s="64" t="s">
        <v>268</v>
      </c>
      <c r="D1690" s="118" t="s">
        <v>269</v>
      </c>
      <c r="E1690" s="64" t="s">
        <v>268</v>
      </c>
      <c r="F1690" s="118" t="s">
        <v>269</v>
      </c>
      <c r="G1690" s="64" t="s">
        <v>268</v>
      </c>
      <c r="H1690" s="118" t="s">
        <v>269</v>
      </c>
      <c r="I1690" s="64" t="s">
        <v>268</v>
      </c>
      <c r="J1690" s="118" t="s">
        <v>269</v>
      </c>
    </row>
    <row r="1693" spans="1:11">
      <c r="A1693" s="503" t="s">
        <v>107</v>
      </c>
      <c r="B1693" s="503"/>
      <c r="C1693" s="503"/>
      <c r="D1693" s="503"/>
      <c r="E1693" s="503"/>
      <c r="F1693" s="503"/>
      <c r="G1693" s="503"/>
      <c r="H1693" s="503"/>
      <c r="I1693" s="503"/>
      <c r="J1693" s="504"/>
      <c r="K1693" s="109">
        <v>11</v>
      </c>
    </row>
    <row r="1694" spans="1:11" ht="34.799999999999997">
      <c r="A1694" s="74" t="s">
        <v>270</v>
      </c>
      <c r="B1694" s="74" t="s">
        <v>271</v>
      </c>
      <c r="C1694" s="74" t="s">
        <v>272</v>
      </c>
      <c r="D1694" s="74" t="s">
        <v>108</v>
      </c>
      <c r="E1694" s="74" t="s">
        <v>109</v>
      </c>
      <c r="F1694" s="75" t="s">
        <v>273</v>
      </c>
      <c r="G1694" s="74" t="s">
        <v>110</v>
      </c>
      <c r="H1694" s="74" t="s">
        <v>111</v>
      </c>
      <c r="I1694" s="74" t="s">
        <v>112</v>
      </c>
      <c r="J1694" s="74" t="s">
        <v>113</v>
      </c>
    </row>
    <row r="1695" spans="1:11">
      <c r="A1695" s="505" t="s">
        <v>274</v>
      </c>
      <c r="B1695" s="87" t="s">
        <v>114</v>
      </c>
      <c r="C1695" s="76" t="s">
        <v>275</v>
      </c>
      <c r="D1695" s="77">
        <v>1</v>
      </c>
      <c r="E1695" s="78">
        <v>1</v>
      </c>
      <c r="F1695" s="497" t="s">
        <v>276</v>
      </c>
      <c r="G1695" s="76">
        <v>105.48</v>
      </c>
      <c r="H1695" s="67"/>
      <c r="I1695" s="68"/>
      <c r="J1695" s="68"/>
    </row>
    <row r="1696" spans="1:11">
      <c r="A1696" s="506"/>
      <c r="B1696" s="87" t="s">
        <v>115</v>
      </c>
      <c r="C1696" s="76" t="s">
        <v>277</v>
      </c>
      <c r="D1696" s="77">
        <v>1</v>
      </c>
      <c r="E1696" s="78">
        <v>1</v>
      </c>
      <c r="F1696" s="498"/>
      <c r="G1696" s="76">
        <v>105.48</v>
      </c>
      <c r="H1696" s="67"/>
      <c r="I1696" s="68"/>
      <c r="J1696" s="68"/>
    </row>
    <row r="1697" spans="1:10">
      <c r="A1697" s="506"/>
      <c r="B1697" s="87" t="s">
        <v>116</v>
      </c>
      <c r="C1697" s="76" t="s">
        <v>117</v>
      </c>
      <c r="D1697" s="77">
        <v>1</v>
      </c>
      <c r="E1697" s="78">
        <v>1</v>
      </c>
      <c r="F1697" s="79"/>
      <c r="G1697" s="76">
        <v>105.48</v>
      </c>
      <c r="H1697" s="67"/>
      <c r="I1697" s="68"/>
      <c r="J1697" s="68"/>
    </row>
    <row r="1698" spans="1:10">
      <c r="A1698" s="507"/>
      <c r="B1698" s="87" t="s">
        <v>118</v>
      </c>
      <c r="C1698" s="76" t="s">
        <v>119</v>
      </c>
      <c r="D1698" s="77">
        <v>1</v>
      </c>
      <c r="E1698" s="78">
        <v>1</v>
      </c>
      <c r="F1698" s="79"/>
      <c r="G1698" s="76">
        <v>105.48</v>
      </c>
      <c r="H1698" s="67"/>
      <c r="I1698" s="68"/>
      <c r="J1698" s="68"/>
    </row>
    <row r="1699" spans="1:10">
      <c r="A1699" s="505" t="s">
        <v>278</v>
      </c>
      <c r="B1699" s="87" t="s">
        <v>120</v>
      </c>
      <c r="C1699" s="76" t="s">
        <v>279</v>
      </c>
      <c r="D1699" s="77">
        <v>1</v>
      </c>
      <c r="E1699" s="78">
        <v>1</v>
      </c>
      <c r="F1699" s="497" t="s">
        <v>276</v>
      </c>
      <c r="G1699" s="76">
        <v>105.48</v>
      </c>
      <c r="H1699" s="67"/>
      <c r="I1699" s="68"/>
      <c r="J1699" s="68"/>
    </row>
    <row r="1700" spans="1:10">
      <c r="A1700" s="506"/>
      <c r="B1700" s="87" t="s">
        <v>121</v>
      </c>
      <c r="C1700" s="76" t="s">
        <v>280</v>
      </c>
      <c r="D1700" s="77">
        <v>1</v>
      </c>
      <c r="E1700" s="78">
        <v>1</v>
      </c>
      <c r="F1700" s="498"/>
      <c r="G1700" s="76">
        <v>105.48</v>
      </c>
      <c r="H1700" s="67"/>
      <c r="I1700" s="68"/>
      <c r="J1700" s="68"/>
    </row>
    <row r="1701" spans="1:10">
      <c r="A1701" s="506"/>
      <c r="B1701" s="87" t="s">
        <v>122</v>
      </c>
      <c r="C1701" s="76" t="s">
        <v>123</v>
      </c>
      <c r="D1701" s="77">
        <v>1</v>
      </c>
      <c r="E1701" s="78">
        <v>1</v>
      </c>
      <c r="F1701" s="498"/>
      <c r="G1701" s="76">
        <v>105.48</v>
      </c>
      <c r="H1701" s="67"/>
      <c r="I1701" s="68"/>
      <c r="J1701" s="68"/>
    </row>
    <row r="1702" spans="1:10">
      <c r="A1702" s="506"/>
      <c r="B1702" s="87" t="s">
        <v>124</v>
      </c>
      <c r="C1702" s="76" t="s">
        <v>125</v>
      </c>
      <c r="D1702" s="77">
        <v>1</v>
      </c>
      <c r="E1702" s="78">
        <v>1</v>
      </c>
      <c r="F1702" s="498"/>
      <c r="G1702" s="76">
        <v>105.48</v>
      </c>
      <c r="H1702" s="67"/>
      <c r="I1702" s="68"/>
      <c r="J1702" s="68"/>
    </row>
    <row r="1703" spans="1:10">
      <c r="A1703" s="506"/>
      <c r="B1703" s="87" t="s">
        <v>126</v>
      </c>
      <c r="C1703" s="76" t="s">
        <v>281</v>
      </c>
      <c r="D1703" s="77">
        <v>1</v>
      </c>
      <c r="E1703" s="78">
        <v>1</v>
      </c>
      <c r="F1703" s="79"/>
      <c r="G1703" s="76">
        <v>70.319999999999993</v>
      </c>
      <c r="H1703" s="67"/>
      <c r="I1703" s="68"/>
      <c r="J1703" s="68"/>
    </row>
    <row r="1704" spans="1:10">
      <c r="A1704" s="506"/>
      <c r="B1704" s="87" t="s">
        <v>127</v>
      </c>
      <c r="C1704" s="76" t="s">
        <v>128</v>
      </c>
      <c r="D1704" s="77">
        <v>1</v>
      </c>
      <c r="E1704" s="78">
        <v>1</v>
      </c>
      <c r="F1704" s="79"/>
      <c r="G1704" s="76">
        <v>70.319999999999993</v>
      </c>
      <c r="H1704" s="67"/>
      <c r="I1704" s="68"/>
      <c r="J1704" s="68"/>
    </row>
    <row r="1705" spans="1:10">
      <c r="A1705" s="507"/>
      <c r="B1705" s="87" t="s">
        <v>129</v>
      </c>
      <c r="C1705" s="76" t="s">
        <v>130</v>
      </c>
      <c r="D1705" s="77">
        <v>1</v>
      </c>
      <c r="E1705" s="78">
        <v>1</v>
      </c>
      <c r="F1705" s="79"/>
      <c r="G1705" s="76">
        <v>70.319999999999993</v>
      </c>
      <c r="H1705" s="67"/>
      <c r="I1705" s="68"/>
      <c r="J1705" s="68"/>
    </row>
    <row r="1706" spans="1:10">
      <c r="A1706" s="496" t="s">
        <v>282</v>
      </c>
      <c r="B1706" s="87" t="s">
        <v>131</v>
      </c>
      <c r="C1706" s="76" t="s">
        <v>283</v>
      </c>
      <c r="D1706" s="77">
        <v>1</v>
      </c>
      <c r="E1706" s="78">
        <v>1</v>
      </c>
      <c r="F1706" s="497" t="s">
        <v>276</v>
      </c>
      <c r="G1706" s="76">
        <v>105.48</v>
      </c>
      <c r="H1706" s="67"/>
      <c r="I1706" s="68"/>
      <c r="J1706" s="68"/>
    </row>
    <row r="1707" spans="1:10">
      <c r="A1707" s="496"/>
      <c r="B1707" s="87" t="s">
        <v>132</v>
      </c>
      <c r="C1707" s="76" t="s">
        <v>133</v>
      </c>
      <c r="D1707" s="77">
        <v>1</v>
      </c>
      <c r="E1707" s="78">
        <v>1</v>
      </c>
      <c r="F1707" s="498"/>
      <c r="G1707" s="76">
        <v>105.48</v>
      </c>
      <c r="H1707" s="67"/>
      <c r="I1707" s="68"/>
      <c r="J1707" s="68"/>
    </row>
    <row r="1708" spans="1:10">
      <c r="A1708" s="496"/>
      <c r="B1708" s="87" t="s">
        <v>134</v>
      </c>
      <c r="C1708" s="76" t="s">
        <v>135</v>
      </c>
      <c r="D1708" s="77">
        <v>1</v>
      </c>
      <c r="E1708" s="78">
        <v>1</v>
      </c>
      <c r="F1708" s="498"/>
      <c r="G1708" s="80">
        <v>105.48</v>
      </c>
      <c r="H1708" s="67"/>
      <c r="I1708" s="68"/>
      <c r="J1708" s="68"/>
    </row>
    <row r="1709" spans="1:10">
      <c r="A1709" s="496"/>
      <c r="B1709" s="87" t="s">
        <v>136</v>
      </c>
      <c r="C1709" s="76" t="s">
        <v>137</v>
      </c>
      <c r="D1709" s="77">
        <v>1</v>
      </c>
      <c r="E1709" s="78">
        <v>1</v>
      </c>
      <c r="F1709" s="498"/>
      <c r="G1709" s="80">
        <v>105.48</v>
      </c>
      <c r="H1709" s="67"/>
      <c r="I1709" s="68"/>
      <c r="J1709" s="68"/>
    </row>
    <row r="1710" spans="1:10">
      <c r="A1710" s="496"/>
      <c r="B1710" s="87" t="s">
        <v>138</v>
      </c>
      <c r="C1710" s="76" t="s">
        <v>284</v>
      </c>
      <c r="D1710" s="77">
        <v>0</v>
      </c>
      <c r="E1710" s="78">
        <v>1</v>
      </c>
      <c r="F1710" s="497" t="s">
        <v>285</v>
      </c>
      <c r="G1710" s="76">
        <v>32.549999999999997</v>
      </c>
      <c r="H1710" s="69"/>
      <c r="I1710" s="69"/>
      <c r="J1710" s="69"/>
    </row>
    <row r="1711" spans="1:10">
      <c r="A1711" s="496"/>
      <c r="B1711" s="87" t="s">
        <v>139</v>
      </c>
      <c r="C1711" s="76" t="s">
        <v>140</v>
      </c>
      <c r="D1711" s="77">
        <v>0</v>
      </c>
      <c r="E1711" s="78">
        <v>1</v>
      </c>
      <c r="F1711" s="499"/>
      <c r="G1711" s="76">
        <v>32.549999999999997</v>
      </c>
      <c r="H1711" s="70"/>
      <c r="I1711" s="70"/>
      <c r="J1711" s="70"/>
    </row>
    <row r="1712" spans="1:10">
      <c r="A1712" s="496"/>
      <c r="B1712" s="87" t="s">
        <v>141</v>
      </c>
      <c r="C1712" s="76" t="s">
        <v>286</v>
      </c>
      <c r="D1712" s="77">
        <v>0</v>
      </c>
      <c r="E1712" s="78">
        <v>1</v>
      </c>
      <c r="F1712" s="497" t="s">
        <v>285</v>
      </c>
      <c r="G1712" s="76">
        <v>32.549999999999997</v>
      </c>
      <c r="H1712" s="70"/>
      <c r="I1712" s="70"/>
      <c r="J1712" s="70"/>
    </row>
    <row r="1713" spans="1:10">
      <c r="A1713" s="496"/>
      <c r="B1713" s="87" t="s">
        <v>142</v>
      </c>
      <c r="C1713" s="76" t="s">
        <v>143</v>
      </c>
      <c r="D1713" s="77">
        <v>1</v>
      </c>
      <c r="E1713" s="78">
        <v>1</v>
      </c>
      <c r="F1713" s="498"/>
      <c r="G1713" s="76">
        <v>32.549999999999997</v>
      </c>
      <c r="H1713" s="71"/>
      <c r="I1713" s="71"/>
      <c r="J1713" s="71"/>
    </row>
    <row r="1714" spans="1:10">
      <c r="A1714" s="496"/>
      <c r="B1714" s="87" t="s">
        <v>144</v>
      </c>
      <c r="C1714" s="76" t="s">
        <v>145</v>
      </c>
      <c r="D1714" s="77">
        <v>0</v>
      </c>
      <c r="E1714" s="78">
        <v>1</v>
      </c>
      <c r="F1714" s="498"/>
      <c r="G1714" s="76">
        <v>32.549999999999997</v>
      </c>
      <c r="H1714" s="70"/>
      <c r="I1714" s="70"/>
      <c r="J1714" s="70"/>
    </row>
    <row r="1715" spans="1:10">
      <c r="A1715" s="496"/>
      <c r="B1715" s="87" t="s">
        <v>146</v>
      </c>
      <c r="C1715" s="76" t="s">
        <v>147</v>
      </c>
      <c r="D1715" s="77">
        <v>1</v>
      </c>
      <c r="E1715" s="78">
        <v>1</v>
      </c>
      <c r="F1715" s="498"/>
      <c r="G1715" s="76">
        <v>32.549999999999997</v>
      </c>
      <c r="H1715" s="71"/>
      <c r="I1715" s="71"/>
      <c r="J1715" s="71"/>
    </row>
    <row r="1716" spans="1:10">
      <c r="A1716" s="496"/>
      <c r="B1716" s="87" t="s">
        <v>148</v>
      </c>
      <c r="C1716" s="76" t="s">
        <v>149</v>
      </c>
      <c r="D1716" s="77">
        <v>0</v>
      </c>
      <c r="E1716" s="78">
        <v>1</v>
      </c>
      <c r="F1716" s="498"/>
      <c r="G1716" s="76">
        <v>32.549999999999997</v>
      </c>
      <c r="H1716" s="71"/>
      <c r="I1716" s="71"/>
      <c r="J1716" s="71"/>
    </row>
    <row r="1717" spans="1:10">
      <c r="A1717" s="496"/>
      <c r="B1717" s="87" t="s">
        <v>150</v>
      </c>
      <c r="C1717" s="76" t="s">
        <v>151</v>
      </c>
      <c r="D1717" s="77">
        <v>1</v>
      </c>
      <c r="E1717" s="78">
        <v>1</v>
      </c>
      <c r="F1717" s="498"/>
      <c r="G1717" s="76">
        <v>32.549999999999997</v>
      </c>
      <c r="H1717" s="71"/>
      <c r="I1717" s="71"/>
      <c r="J1717" s="71"/>
    </row>
    <row r="1718" spans="1:10">
      <c r="A1718" s="496"/>
      <c r="B1718" s="87" t="s">
        <v>152</v>
      </c>
      <c r="C1718" s="76" t="s">
        <v>153</v>
      </c>
      <c r="D1718" s="77">
        <v>0</v>
      </c>
      <c r="E1718" s="78">
        <v>1</v>
      </c>
      <c r="F1718" s="498"/>
      <c r="G1718" s="76">
        <v>32.549999999999997</v>
      </c>
      <c r="H1718" s="70"/>
      <c r="I1718" s="70"/>
      <c r="J1718" s="70"/>
    </row>
    <row r="1719" spans="1:10">
      <c r="A1719" s="496"/>
      <c r="B1719" s="87" t="s">
        <v>154</v>
      </c>
      <c r="C1719" s="76" t="s">
        <v>155</v>
      </c>
      <c r="D1719" s="77">
        <v>0</v>
      </c>
      <c r="E1719" s="78">
        <v>1</v>
      </c>
      <c r="F1719" s="498"/>
      <c r="G1719" s="76">
        <v>32.549999999999997</v>
      </c>
      <c r="H1719" s="70"/>
      <c r="I1719" s="70"/>
      <c r="J1719" s="70"/>
    </row>
    <row r="1720" spans="1:10">
      <c r="A1720" s="496"/>
      <c r="B1720" s="87" t="s">
        <v>156</v>
      </c>
      <c r="C1720" s="76" t="s">
        <v>157</v>
      </c>
      <c r="D1720" s="77">
        <v>0</v>
      </c>
      <c r="E1720" s="78">
        <v>1</v>
      </c>
      <c r="F1720" s="498"/>
      <c r="G1720" s="76">
        <v>32.549999999999997</v>
      </c>
      <c r="H1720" s="70"/>
      <c r="I1720" s="70"/>
      <c r="J1720" s="70"/>
    </row>
    <row r="1721" spans="1:10">
      <c r="A1721" s="496"/>
      <c r="B1721" s="87" t="s">
        <v>158</v>
      </c>
      <c r="C1721" s="76" t="s">
        <v>159</v>
      </c>
      <c r="D1721" s="77">
        <v>0</v>
      </c>
      <c r="E1721" s="78">
        <v>1</v>
      </c>
      <c r="F1721" s="498"/>
      <c r="G1721" s="76">
        <v>32.549999999999997</v>
      </c>
      <c r="H1721" s="70"/>
      <c r="I1721" s="70"/>
      <c r="J1721" s="70"/>
    </row>
    <row r="1722" spans="1:10">
      <c r="A1722" s="496"/>
      <c r="B1722" s="87" t="s">
        <v>160</v>
      </c>
      <c r="C1722" s="76" t="s">
        <v>161</v>
      </c>
      <c r="D1722" s="77">
        <v>0</v>
      </c>
      <c r="E1722" s="78">
        <v>1</v>
      </c>
      <c r="F1722" s="498"/>
      <c r="G1722" s="76">
        <v>32.549999999999997</v>
      </c>
      <c r="H1722" s="70"/>
      <c r="I1722" s="70"/>
      <c r="J1722" s="70"/>
    </row>
    <row r="1723" spans="1:10">
      <c r="A1723" s="496"/>
      <c r="B1723" s="87" t="s">
        <v>162</v>
      </c>
      <c r="C1723" s="76" t="s">
        <v>163</v>
      </c>
      <c r="D1723" s="77">
        <v>0</v>
      </c>
      <c r="E1723" s="78">
        <v>1</v>
      </c>
      <c r="F1723" s="499"/>
      <c r="G1723" s="76">
        <v>32.549999999999997</v>
      </c>
      <c r="H1723" s="70"/>
      <c r="I1723" s="70"/>
      <c r="J1723" s="70"/>
    </row>
    <row r="1724" spans="1:10">
      <c r="A1724" s="496"/>
      <c r="B1724" s="87" t="s">
        <v>164</v>
      </c>
      <c r="C1724" s="76" t="s">
        <v>287</v>
      </c>
      <c r="D1724" s="77">
        <v>0</v>
      </c>
      <c r="E1724" s="78">
        <v>1</v>
      </c>
      <c r="F1724" s="497" t="s">
        <v>285</v>
      </c>
      <c r="G1724" s="76">
        <v>24.4</v>
      </c>
      <c r="H1724" s="70"/>
      <c r="I1724" s="70"/>
      <c r="J1724" s="70"/>
    </row>
    <row r="1725" spans="1:10">
      <c r="A1725" s="496"/>
      <c r="B1725" s="87" t="s">
        <v>165</v>
      </c>
      <c r="C1725" s="76" t="s">
        <v>166</v>
      </c>
      <c r="D1725" s="77">
        <v>0</v>
      </c>
      <c r="E1725" s="78">
        <v>1</v>
      </c>
      <c r="F1725" s="499"/>
      <c r="G1725" s="76">
        <v>24.4</v>
      </c>
      <c r="H1725" s="70"/>
      <c r="I1725" s="70"/>
      <c r="J1725" s="70"/>
    </row>
    <row r="1726" spans="1:10">
      <c r="A1726" s="496" t="s">
        <v>288</v>
      </c>
      <c r="B1726" s="87" t="s">
        <v>167</v>
      </c>
      <c r="C1726" s="76" t="s">
        <v>289</v>
      </c>
      <c r="D1726" s="77">
        <v>1</v>
      </c>
      <c r="E1726" s="78">
        <v>1</v>
      </c>
      <c r="F1726" s="497" t="s">
        <v>276</v>
      </c>
      <c r="G1726" s="76">
        <v>105.48</v>
      </c>
      <c r="H1726" s="67"/>
      <c r="I1726" s="71"/>
      <c r="J1726" s="71"/>
    </row>
    <row r="1727" spans="1:10">
      <c r="A1727" s="496"/>
      <c r="B1727" s="87" t="s">
        <v>168</v>
      </c>
      <c r="C1727" s="76" t="s">
        <v>169</v>
      </c>
      <c r="D1727" s="77">
        <v>1</v>
      </c>
      <c r="E1727" s="78">
        <v>1</v>
      </c>
      <c r="F1727" s="498"/>
      <c r="G1727" s="76">
        <v>105.48</v>
      </c>
      <c r="H1727" s="67"/>
      <c r="I1727" s="72"/>
      <c r="J1727" s="72"/>
    </row>
    <row r="1728" spans="1:10">
      <c r="A1728" s="496"/>
      <c r="B1728" s="87" t="s">
        <v>170</v>
      </c>
      <c r="C1728" s="76" t="s">
        <v>171</v>
      </c>
      <c r="D1728" s="77">
        <v>1</v>
      </c>
      <c r="E1728" s="78">
        <v>1</v>
      </c>
      <c r="F1728" s="498"/>
      <c r="G1728" s="76">
        <v>105.48</v>
      </c>
      <c r="H1728" s="67"/>
      <c r="I1728" s="68"/>
      <c r="J1728" s="68"/>
    </row>
    <row r="1729" spans="1:10">
      <c r="A1729" s="496"/>
      <c r="B1729" s="87" t="s">
        <v>172</v>
      </c>
      <c r="C1729" s="76" t="s">
        <v>173</v>
      </c>
      <c r="D1729" s="77">
        <v>1</v>
      </c>
      <c r="E1729" s="78">
        <v>1</v>
      </c>
      <c r="F1729" s="498"/>
      <c r="G1729" s="76">
        <v>105.48</v>
      </c>
      <c r="H1729" s="67"/>
      <c r="I1729" s="68"/>
      <c r="J1729" s="68"/>
    </row>
    <row r="1730" spans="1:10">
      <c r="A1730" s="496"/>
      <c r="B1730" s="87" t="s">
        <v>174</v>
      </c>
      <c r="C1730" s="76" t="s">
        <v>290</v>
      </c>
      <c r="D1730" s="77">
        <v>1</v>
      </c>
      <c r="E1730" s="78">
        <v>1</v>
      </c>
      <c r="F1730" s="498"/>
      <c r="G1730" s="76">
        <v>65</v>
      </c>
      <c r="H1730" s="73"/>
      <c r="I1730" s="73"/>
      <c r="J1730" s="73"/>
    </row>
    <row r="1731" spans="1:10">
      <c r="A1731" s="496"/>
      <c r="B1731" s="87" t="s">
        <v>175</v>
      </c>
      <c r="C1731" s="76" t="s">
        <v>176</v>
      </c>
      <c r="D1731" s="77">
        <v>1</v>
      </c>
      <c r="E1731" s="78">
        <v>1</v>
      </c>
      <c r="F1731" s="499"/>
      <c r="G1731" s="76">
        <v>65</v>
      </c>
      <c r="H1731" s="73"/>
      <c r="I1731" s="73"/>
      <c r="J1731" s="73"/>
    </row>
    <row r="1732" spans="1:10">
      <c r="A1732" s="496"/>
      <c r="B1732" s="87" t="s">
        <v>177</v>
      </c>
      <c r="C1732" s="76" t="s">
        <v>291</v>
      </c>
      <c r="D1732" s="77">
        <v>1</v>
      </c>
      <c r="E1732" s="78">
        <v>1</v>
      </c>
      <c r="F1732" s="497" t="s">
        <v>285</v>
      </c>
      <c r="G1732" s="76">
        <v>16.3</v>
      </c>
      <c r="H1732" s="73"/>
      <c r="I1732" s="73"/>
      <c r="J1732" s="73"/>
    </row>
    <row r="1733" spans="1:10">
      <c r="A1733" s="496"/>
      <c r="B1733" s="87" t="s">
        <v>178</v>
      </c>
      <c r="C1733" s="76" t="s">
        <v>179</v>
      </c>
      <c r="D1733" s="77">
        <v>1</v>
      </c>
      <c r="E1733" s="78">
        <v>1</v>
      </c>
      <c r="F1733" s="498"/>
      <c r="G1733" s="76">
        <v>16.3</v>
      </c>
      <c r="H1733" s="73"/>
      <c r="I1733" s="73"/>
      <c r="J1733" s="73"/>
    </row>
    <row r="1734" spans="1:10">
      <c r="A1734" s="496"/>
      <c r="B1734" s="87" t="s">
        <v>180</v>
      </c>
      <c r="C1734" s="76" t="s">
        <v>181</v>
      </c>
      <c r="D1734" s="77">
        <v>1</v>
      </c>
      <c r="E1734" s="78">
        <v>1</v>
      </c>
      <c r="F1734" s="498"/>
      <c r="G1734" s="76">
        <v>16.3</v>
      </c>
      <c r="H1734" s="73"/>
      <c r="I1734" s="73"/>
      <c r="J1734" s="73"/>
    </row>
    <row r="1735" spans="1:10">
      <c r="A1735" s="496"/>
      <c r="B1735" s="87" t="s">
        <v>292</v>
      </c>
      <c r="C1735" s="76" t="s">
        <v>182</v>
      </c>
      <c r="D1735" s="77">
        <v>1</v>
      </c>
      <c r="E1735" s="78">
        <v>1</v>
      </c>
      <c r="F1735" s="499"/>
      <c r="G1735" s="76">
        <v>35</v>
      </c>
      <c r="H1735" s="73"/>
      <c r="I1735" s="73"/>
      <c r="J1735" s="73"/>
    </row>
    <row r="1736" spans="1:10">
      <c r="H1736" s="66" t="e">
        <f>AVERAGE(H1695:H1709,H1715:H1717,H1726:H1735)</f>
        <v>#DIV/0!</v>
      </c>
      <c r="I1736" s="66" t="e">
        <f t="shared" ref="I1736" si="10">AVERAGE(I1695:I1709,I1715:I1717,I1726:I1735)</f>
        <v>#DIV/0!</v>
      </c>
      <c r="J1736" s="114" t="e">
        <f>AVERAGE(J1695:J1709,J1715:J1717,J1726:J1735,J1713)</f>
        <v>#DIV/0!</v>
      </c>
    </row>
    <row r="1737" spans="1:10">
      <c r="J1737" s="65" t="s">
        <v>264</v>
      </c>
    </row>
    <row r="1738" spans="1:10">
      <c r="A1738" s="503" t="s">
        <v>183</v>
      </c>
      <c r="B1738" s="503"/>
      <c r="C1738" s="503"/>
      <c r="D1738" s="503"/>
      <c r="E1738" s="503"/>
      <c r="F1738" s="503"/>
      <c r="G1738" s="503"/>
      <c r="H1738" s="503"/>
      <c r="I1738" s="503"/>
      <c r="J1738" s="504"/>
    </row>
    <row r="1739" spans="1:10" ht="34.799999999999997">
      <c r="A1739" s="74" t="s">
        <v>270</v>
      </c>
      <c r="B1739" s="74" t="s">
        <v>271</v>
      </c>
      <c r="C1739" s="74" t="s">
        <v>272</v>
      </c>
      <c r="D1739" s="74" t="s">
        <v>108</v>
      </c>
      <c r="E1739" s="74" t="s">
        <v>109</v>
      </c>
      <c r="F1739" s="75" t="s">
        <v>273</v>
      </c>
      <c r="G1739" s="74" t="s">
        <v>110</v>
      </c>
      <c r="H1739" s="74" t="s">
        <v>184</v>
      </c>
      <c r="I1739" s="74" t="s">
        <v>185</v>
      </c>
      <c r="J1739" s="74" t="s">
        <v>186</v>
      </c>
    </row>
    <row r="1740" spans="1:10">
      <c r="A1740" s="508" t="s">
        <v>274</v>
      </c>
      <c r="B1740" s="88" t="s">
        <v>114</v>
      </c>
      <c r="C1740" s="89" t="s">
        <v>275</v>
      </c>
      <c r="D1740" s="90">
        <v>1</v>
      </c>
      <c r="E1740" s="89">
        <v>1</v>
      </c>
      <c r="F1740" s="497" t="s">
        <v>276</v>
      </c>
      <c r="G1740" s="76">
        <v>105.48</v>
      </c>
      <c r="H1740" s="81"/>
      <c r="I1740" s="82"/>
      <c r="J1740" s="82"/>
    </row>
    <row r="1741" spans="1:10">
      <c r="A1741" s="509"/>
      <c r="B1741" s="88" t="s">
        <v>115</v>
      </c>
      <c r="C1741" s="89" t="s">
        <v>277</v>
      </c>
      <c r="D1741" s="90">
        <v>1</v>
      </c>
      <c r="E1741" s="89">
        <v>1</v>
      </c>
      <c r="F1741" s="498"/>
      <c r="G1741" s="76">
        <v>105.48</v>
      </c>
      <c r="H1741" s="81"/>
      <c r="I1741" s="82"/>
      <c r="J1741" s="82"/>
    </row>
    <row r="1742" spans="1:10">
      <c r="A1742" s="509"/>
      <c r="B1742" s="88" t="s">
        <v>116</v>
      </c>
      <c r="C1742" s="89" t="s">
        <v>117</v>
      </c>
      <c r="D1742" s="90">
        <v>1</v>
      </c>
      <c r="E1742" s="89">
        <v>1</v>
      </c>
      <c r="F1742" s="79"/>
      <c r="G1742" s="76">
        <v>105.48</v>
      </c>
      <c r="H1742" s="81"/>
      <c r="I1742" s="82"/>
      <c r="J1742" s="82"/>
    </row>
    <row r="1743" spans="1:10">
      <c r="A1743" s="510"/>
      <c r="B1743" s="88" t="s">
        <v>118</v>
      </c>
      <c r="C1743" s="89" t="s">
        <v>119</v>
      </c>
      <c r="D1743" s="90">
        <v>1</v>
      </c>
      <c r="E1743" s="89">
        <v>1</v>
      </c>
      <c r="F1743" s="79"/>
      <c r="G1743" s="76">
        <v>105.48</v>
      </c>
      <c r="H1743" s="81"/>
      <c r="I1743" s="82"/>
      <c r="J1743" s="82"/>
    </row>
    <row r="1744" spans="1:10">
      <c r="A1744" s="496" t="s">
        <v>278</v>
      </c>
      <c r="B1744" s="87" t="s">
        <v>120</v>
      </c>
      <c r="C1744" s="76" t="s">
        <v>279</v>
      </c>
      <c r="D1744" s="77">
        <v>1</v>
      </c>
      <c r="E1744" s="78">
        <v>1</v>
      </c>
      <c r="F1744" s="497" t="s">
        <v>276</v>
      </c>
      <c r="G1744" s="76">
        <v>105.48</v>
      </c>
      <c r="H1744" s="81"/>
      <c r="I1744" s="82"/>
      <c r="J1744" s="82"/>
    </row>
    <row r="1745" spans="1:10">
      <c r="A1745" s="496"/>
      <c r="B1745" s="87" t="s">
        <v>121</v>
      </c>
      <c r="C1745" s="76" t="s">
        <v>280</v>
      </c>
      <c r="D1745" s="77">
        <v>1</v>
      </c>
      <c r="E1745" s="78">
        <v>1</v>
      </c>
      <c r="F1745" s="498"/>
      <c r="G1745" s="76">
        <v>105.48</v>
      </c>
      <c r="H1745" s="81"/>
      <c r="I1745" s="82"/>
      <c r="J1745" s="82"/>
    </row>
    <row r="1746" spans="1:10">
      <c r="A1746" s="496"/>
      <c r="B1746" s="87" t="s">
        <v>122</v>
      </c>
      <c r="C1746" s="76" t="s">
        <v>123</v>
      </c>
      <c r="D1746" s="77">
        <v>1</v>
      </c>
      <c r="E1746" s="78">
        <v>1</v>
      </c>
      <c r="F1746" s="498"/>
      <c r="G1746" s="76">
        <v>105.48</v>
      </c>
      <c r="H1746" s="81"/>
      <c r="I1746" s="82"/>
      <c r="J1746" s="82"/>
    </row>
    <row r="1747" spans="1:10">
      <c r="A1747" s="496"/>
      <c r="B1747" s="87" t="s">
        <v>124</v>
      </c>
      <c r="C1747" s="76" t="s">
        <v>125</v>
      </c>
      <c r="D1747" s="77">
        <v>1</v>
      </c>
      <c r="E1747" s="78">
        <v>1</v>
      </c>
      <c r="F1747" s="498"/>
      <c r="G1747" s="76">
        <v>105.48</v>
      </c>
      <c r="H1747" s="81"/>
      <c r="I1747" s="82"/>
      <c r="J1747" s="82"/>
    </row>
    <row r="1748" spans="1:10">
      <c r="A1748" s="496" t="s">
        <v>282</v>
      </c>
      <c r="B1748" s="87" t="s">
        <v>131</v>
      </c>
      <c r="C1748" s="76" t="s">
        <v>283</v>
      </c>
      <c r="D1748" s="77">
        <v>1</v>
      </c>
      <c r="E1748" s="78">
        <v>1</v>
      </c>
      <c r="F1748" s="497" t="s">
        <v>276</v>
      </c>
      <c r="G1748" s="76">
        <v>105.48</v>
      </c>
      <c r="H1748" s="81"/>
      <c r="I1748" s="82"/>
      <c r="J1748" s="82"/>
    </row>
    <row r="1749" spans="1:10">
      <c r="A1749" s="496"/>
      <c r="B1749" s="87" t="s">
        <v>132</v>
      </c>
      <c r="C1749" s="76" t="s">
        <v>133</v>
      </c>
      <c r="D1749" s="77">
        <v>1</v>
      </c>
      <c r="E1749" s="78">
        <v>1</v>
      </c>
      <c r="F1749" s="498"/>
      <c r="G1749" s="76">
        <v>105.48</v>
      </c>
      <c r="H1749" s="81"/>
      <c r="I1749" s="82"/>
      <c r="J1749" s="82"/>
    </row>
    <row r="1750" spans="1:10">
      <c r="A1750" s="496"/>
      <c r="B1750" s="87" t="s">
        <v>134</v>
      </c>
      <c r="C1750" s="76" t="s">
        <v>135</v>
      </c>
      <c r="D1750" s="77">
        <v>1</v>
      </c>
      <c r="E1750" s="78">
        <v>1</v>
      </c>
      <c r="F1750" s="498"/>
      <c r="G1750" s="80">
        <v>105.48</v>
      </c>
      <c r="H1750" s="81"/>
      <c r="I1750" s="82"/>
      <c r="J1750" s="82"/>
    </row>
    <row r="1751" spans="1:10">
      <c r="A1751" s="496"/>
      <c r="B1751" s="87" t="s">
        <v>136</v>
      </c>
      <c r="C1751" s="76" t="s">
        <v>137</v>
      </c>
      <c r="D1751" s="77">
        <v>1</v>
      </c>
      <c r="E1751" s="78">
        <v>1</v>
      </c>
      <c r="F1751" s="498"/>
      <c r="G1751" s="80">
        <v>105.48</v>
      </c>
      <c r="H1751" s="81"/>
      <c r="I1751" s="82"/>
      <c r="J1751" s="82"/>
    </row>
    <row r="1752" spans="1:10">
      <c r="A1752" s="496"/>
      <c r="B1752" s="87" t="s">
        <v>138</v>
      </c>
      <c r="C1752" s="76" t="s">
        <v>284</v>
      </c>
      <c r="D1752" s="76">
        <v>0</v>
      </c>
      <c r="E1752" s="78">
        <v>1</v>
      </c>
      <c r="F1752" s="78">
        <v>1</v>
      </c>
      <c r="G1752" s="76">
        <v>32.549999999999997</v>
      </c>
      <c r="H1752" s="83"/>
      <c r="I1752" s="83"/>
      <c r="J1752" s="83"/>
    </row>
    <row r="1753" spans="1:10">
      <c r="A1753" s="496"/>
      <c r="B1753" s="87" t="s">
        <v>139</v>
      </c>
      <c r="C1753" s="76" t="s">
        <v>140</v>
      </c>
      <c r="D1753" s="76">
        <v>0</v>
      </c>
      <c r="E1753" s="78">
        <v>1</v>
      </c>
      <c r="F1753" s="78">
        <v>1</v>
      </c>
      <c r="G1753" s="76">
        <v>32.549999999999997</v>
      </c>
      <c r="H1753" s="84"/>
      <c r="I1753" s="84"/>
      <c r="J1753" s="84"/>
    </row>
    <row r="1754" spans="1:10">
      <c r="A1754" s="496"/>
      <c r="B1754" s="87" t="s">
        <v>141</v>
      </c>
      <c r="C1754" s="76" t="s">
        <v>286</v>
      </c>
      <c r="D1754" s="76">
        <v>0</v>
      </c>
      <c r="E1754" s="78">
        <v>1</v>
      </c>
      <c r="F1754" s="78">
        <v>1</v>
      </c>
      <c r="G1754" s="76">
        <v>32.549999999999997</v>
      </c>
      <c r="H1754" s="84"/>
      <c r="I1754" s="84"/>
      <c r="J1754" s="84"/>
    </row>
    <row r="1755" spans="1:10">
      <c r="A1755" s="496"/>
      <c r="B1755" s="87" t="s">
        <v>142</v>
      </c>
      <c r="C1755" s="76" t="s">
        <v>143</v>
      </c>
      <c r="D1755" s="76">
        <v>1</v>
      </c>
      <c r="E1755" s="78">
        <v>1</v>
      </c>
      <c r="F1755" s="78">
        <v>1</v>
      </c>
      <c r="G1755" s="76">
        <v>32.549999999999997</v>
      </c>
      <c r="H1755" s="85"/>
      <c r="I1755" s="85"/>
      <c r="J1755" s="85"/>
    </row>
    <row r="1756" spans="1:10">
      <c r="A1756" s="496"/>
      <c r="B1756" s="87" t="s">
        <v>144</v>
      </c>
      <c r="C1756" s="76" t="s">
        <v>145</v>
      </c>
      <c r="D1756" s="76">
        <v>0</v>
      </c>
      <c r="E1756" s="78">
        <v>1</v>
      </c>
      <c r="F1756" s="78">
        <v>1</v>
      </c>
      <c r="G1756" s="76">
        <v>32.549999999999997</v>
      </c>
      <c r="H1756" s="84"/>
      <c r="I1756" s="84"/>
      <c r="J1756" s="84"/>
    </row>
    <row r="1757" spans="1:10">
      <c r="A1757" s="496"/>
      <c r="B1757" s="87" t="s">
        <v>146</v>
      </c>
      <c r="C1757" s="76" t="s">
        <v>147</v>
      </c>
      <c r="D1757" s="76">
        <v>1</v>
      </c>
      <c r="E1757" s="78">
        <v>1</v>
      </c>
      <c r="F1757" s="78">
        <v>1</v>
      </c>
      <c r="G1757" s="76">
        <v>32.549999999999997</v>
      </c>
      <c r="H1757" s="85"/>
      <c r="I1757" s="85"/>
      <c r="J1757" s="85"/>
    </row>
    <row r="1758" spans="1:10">
      <c r="A1758" s="496"/>
      <c r="B1758" s="87" t="s">
        <v>148</v>
      </c>
      <c r="C1758" s="76" t="s">
        <v>149</v>
      </c>
      <c r="D1758" s="76">
        <v>0</v>
      </c>
      <c r="E1758" s="78">
        <v>1</v>
      </c>
      <c r="F1758" s="78">
        <v>1</v>
      </c>
      <c r="G1758" s="76">
        <v>32.549999999999997</v>
      </c>
      <c r="H1758" s="85"/>
      <c r="I1758" s="85"/>
      <c r="J1758" s="85"/>
    </row>
    <row r="1759" spans="1:10">
      <c r="A1759" s="496"/>
      <c r="B1759" s="87" t="s">
        <v>150</v>
      </c>
      <c r="C1759" s="76" t="s">
        <v>151</v>
      </c>
      <c r="D1759" s="76">
        <v>1</v>
      </c>
      <c r="E1759" s="78">
        <v>1</v>
      </c>
      <c r="F1759" s="78">
        <v>1</v>
      </c>
      <c r="G1759" s="76">
        <v>32.549999999999997</v>
      </c>
      <c r="H1759" s="85"/>
      <c r="I1759" s="85"/>
      <c r="J1759" s="85"/>
    </row>
    <row r="1760" spans="1:10">
      <c r="A1760" s="496"/>
      <c r="B1760" s="87" t="s">
        <v>152</v>
      </c>
      <c r="C1760" s="76" t="s">
        <v>153</v>
      </c>
      <c r="D1760" s="76">
        <v>0</v>
      </c>
      <c r="E1760" s="78">
        <v>1</v>
      </c>
      <c r="F1760" s="78">
        <v>1</v>
      </c>
      <c r="G1760" s="76">
        <v>32.549999999999997</v>
      </c>
      <c r="H1760" s="84"/>
      <c r="I1760" s="84"/>
      <c r="J1760" s="84"/>
    </row>
    <row r="1761" spans="1:10">
      <c r="A1761" s="496"/>
      <c r="B1761" s="87" t="s">
        <v>154</v>
      </c>
      <c r="C1761" s="76" t="s">
        <v>155</v>
      </c>
      <c r="D1761" s="76">
        <v>0</v>
      </c>
      <c r="E1761" s="78">
        <v>1</v>
      </c>
      <c r="F1761" s="78">
        <v>1</v>
      </c>
      <c r="G1761" s="76">
        <v>32.549999999999997</v>
      </c>
      <c r="H1761" s="84"/>
      <c r="I1761" s="84"/>
      <c r="J1761" s="84"/>
    </row>
    <row r="1762" spans="1:10">
      <c r="A1762" s="496"/>
      <c r="B1762" s="87" t="s">
        <v>156</v>
      </c>
      <c r="C1762" s="76" t="s">
        <v>157</v>
      </c>
      <c r="D1762" s="76">
        <v>0</v>
      </c>
      <c r="E1762" s="78">
        <v>1</v>
      </c>
      <c r="F1762" s="78">
        <v>1</v>
      </c>
      <c r="G1762" s="76">
        <v>32.549999999999997</v>
      </c>
      <c r="H1762" s="84"/>
      <c r="I1762" s="84"/>
      <c r="J1762" s="84"/>
    </row>
    <row r="1763" spans="1:10">
      <c r="A1763" s="496"/>
      <c r="B1763" s="87" t="s">
        <v>158</v>
      </c>
      <c r="C1763" s="76" t="s">
        <v>159</v>
      </c>
      <c r="D1763" s="76">
        <v>0</v>
      </c>
      <c r="E1763" s="78">
        <v>1</v>
      </c>
      <c r="F1763" s="78">
        <v>1</v>
      </c>
      <c r="G1763" s="76">
        <v>32.549999999999997</v>
      </c>
      <c r="H1763" s="84"/>
      <c r="I1763" s="84"/>
      <c r="J1763" s="84"/>
    </row>
    <row r="1764" spans="1:10">
      <c r="A1764" s="496"/>
      <c r="B1764" s="87" t="s">
        <v>160</v>
      </c>
      <c r="C1764" s="76" t="s">
        <v>161</v>
      </c>
      <c r="D1764" s="76">
        <v>0</v>
      </c>
      <c r="E1764" s="78">
        <v>1</v>
      </c>
      <c r="F1764" s="78">
        <v>1</v>
      </c>
      <c r="G1764" s="76">
        <v>32.549999999999997</v>
      </c>
      <c r="H1764" s="84"/>
      <c r="I1764" s="84"/>
      <c r="J1764" s="84"/>
    </row>
    <row r="1765" spans="1:10">
      <c r="A1765" s="496"/>
      <c r="B1765" s="87" t="s">
        <v>162</v>
      </c>
      <c r="C1765" s="76" t="s">
        <v>163</v>
      </c>
      <c r="D1765" s="76">
        <v>0</v>
      </c>
      <c r="E1765" s="78">
        <v>1</v>
      </c>
      <c r="F1765" s="78">
        <v>1</v>
      </c>
      <c r="G1765" s="76">
        <v>32.549999999999997</v>
      </c>
      <c r="H1765" s="84"/>
      <c r="I1765" s="84"/>
      <c r="J1765" s="84"/>
    </row>
    <row r="1766" spans="1:10">
      <c r="A1766" s="496"/>
      <c r="B1766" s="87" t="s">
        <v>164</v>
      </c>
      <c r="C1766" s="76" t="s">
        <v>287</v>
      </c>
      <c r="D1766" s="76">
        <v>0</v>
      </c>
      <c r="E1766" s="78">
        <v>1</v>
      </c>
      <c r="F1766" s="78">
        <v>1</v>
      </c>
      <c r="G1766" s="76">
        <v>24.4</v>
      </c>
      <c r="H1766" s="84"/>
      <c r="I1766" s="84"/>
      <c r="J1766" s="84"/>
    </row>
    <row r="1767" spans="1:10">
      <c r="A1767" s="496"/>
      <c r="B1767" s="87" t="s">
        <v>165</v>
      </c>
      <c r="C1767" s="76" t="s">
        <v>166</v>
      </c>
      <c r="D1767" s="76">
        <v>0</v>
      </c>
      <c r="E1767" s="78">
        <v>1</v>
      </c>
      <c r="F1767" s="78">
        <v>1</v>
      </c>
      <c r="G1767" s="76">
        <v>24.4</v>
      </c>
      <c r="H1767" s="84"/>
      <c r="I1767" s="84"/>
      <c r="J1767" s="84"/>
    </row>
    <row r="1768" spans="1:10">
      <c r="A1768" s="496" t="s">
        <v>288</v>
      </c>
      <c r="B1768" s="87" t="s">
        <v>167</v>
      </c>
      <c r="C1768" s="76" t="s">
        <v>289</v>
      </c>
      <c r="D1768" s="77">
        <v>1</v>
      </c>
      <c r="E1768" s="78">
        <v>1</v>
      </c>
      <c r="F1768" s="497" t="s">
        <v>276</v>
      </c>
      <c r="G1768" s="76">
        <v>105.48</v>
      </c>
      <c r="H1768" s="81"/>
      <c r="I1768" s="85"/>
      <c r="J1768" s="85"/>
    </row>
    <row r="1769" spans="1:10">
      <c r="A1769" s="496"/>
      <c r="B1769" s="87" t="s">
        <v>168</v>
      </c>
      <c r="C1769" s="76" t="s">
        <v>169</v>
      </c>
      <c r="D1769" s="77">
        <v>1</v>
      </c>
      <c r="E1769" s="78">
        <v>1</v>
      </c>
      <c r="F1769" s="498"/>
      <c r="G1769" s="76">
        <v>105.48</v>
      </c>
      <c r="H1769" s="81"/>
      <c r="I1769" s="86"/>
      <c r="J1769" s="86"/>
    </row>
    <row r="1770" spans="1:10">
      <c r="A1770" s="496"/>
      <c r="B1770" s="87" t="s">
        <v>170</v>
      </c>
      <c r="C1770" s="76" t="s">
        <v>171</v>
      </c>
      <c r="D1770" s="77">
        <v>1</v>
      </c>
      <c r="E1770" s="78">
        <v>1</v>
      </c>
      <c r="F1770" s="498"/>
      <c r="G1770" s="76">
        <v>105.48</v>
      </c>
      <c r="H1770" s="81"/>
      <c r="I1770" s="82"/>
      <c r="J1770" s="82"/>
    </row>
    <row r="1771" spans="1:10">
      <c r="A1771" s="496"/>
      <c r="B1771" s="87" t="s">
        <v>172</v>
      </c>
      <c r="C1771" s="76" t="s">
        <v>173</v>
      </c>
      <c r="D1771" s="77">
        <v>1</v>
      </c>
      <c r="E1771" s="78">
        <v>1</v>
      </c>
      <c r="F1771" s="498"/>
      <c r="G1771" s="76">
        <v>105.48</v>
      </c>
      <c r="H1771" s="81"/>
      <c r="I1771" s="82"/>
      <c r="J1771" s="82"/>
    </row>
    <row r="1772" spans="1:10">
      <c r="A1772" s="496"/>
      <c r="B1772" s="87" t="s">
        <v>174</v>
      </c>
      <c r="C1772" s="76" t="s">
        <v>290</v>
      </c>
      <c r="D1772" s="77">
        <v>1</v>
      </c>
      <c r="E1772" s="78">
        <v>1</v>
      </c>
      <c r="F1772" s="498"/>
      <c r="G1772" s="76">
        <v>65</v>
      </c>
      <c r="H1772" s="94"/>
      <c r="I1772" s="94"/>
      <c r="J1772" s="94"/>
    </row>
    <row r="1773" spans="1:10">
      <c r="A1773" s="496"/>
      <c r="B1773" s="87" t="s">
        <v>175</v>
      </c>
      <c r="C1773" s="76" t="s">
        <v>176</v>
      </c>
      <c r="D1773" s="77">
        <v>1</v>
      </c>
      <c r="E1773" s="78">
        <v>1</v>
      </c>
      <c r="F1773" s="499"/>
      <c r="G1773" s="76">
        <v>65</v>
      </c>
      <c r="H1773" s="94"/>
      <c r="I1773" s="94"/>
      <c r="J1773" s="94"/>
    </row>
    <row r="1774" spans="1:10">
      <c r="A1774" s="496"/>
      <c r="B1774" s="87" t="s">
        <v>177</v>
      </c>
      <c r="C1774" s="76" t="s">
        <v>291</v>
      </c>
      <c r="D1774" s="77">
        <v>1</v>
      </c>
      <c r="E1774" s="78">
        <v>1</v>
      </c>
      <c r="F1774" s="497" t="s">
        <v>285</v>
      </c>
      <c r="G1774" s="76">
        <v>16.3</v>
      </c>
      <c r="H1774" s="94"/>
      <c r="I1774" s="94"/>
      <c r="J1774" s="94"/>
    </row>
    <row r="1775" spans="1:10">
      <c r="A1775" s="496"/>
      <c r="B1775" s="87" t="s">
        <v>178</v>
      </c>
      <c r="C1775" s="76" t="s">
        <v>179</v>
      </c>
      <c r="D1775" s="77">
        <v>1</v>
      </c>
      <c r="E1775" s="78">
        <v>1</v>
      </c>
      <c r="F1775" s="498"/>
      <c r="G1775" s="76">
        <v>16.3</v>
      </c>
      <c r="H1775" s="94"/>
      <c r="I1775" s="94"/>
      <c r="J1775" s="94"/>
    </row>
    <row r="1776" spans="1:10">
      <c r="A1776" s="496"/>
      <c r="B1776" s="87" t="s">
        <v>180</v>
      </c>
      <c r="C1776" s="76" t="s">
        <v>181</v>
      </c>
      <c r="D1776" s="77">
        <v>1</v>
      </c>
      <c r="E1776" s="78">
        <v>1</v>
      </c>
      <c r="F1776" s="498"/>
      <c r="G1776" s="76">
        <v>16.3</v>
      </c>
      <c r="H1776" s="94"/>
      <c r="I1776" s="94"/>
      <c r="J1776" s="94"/>
    </row>
    <row r="1777" spans="1:10">
      <c r="A1777" s="496"/>
      <c r="B1777" s="87" t="s">
        <v>292</v>
      </c>
      <c r="C1777" s="76" t="s">
        <v>182</v>
      </c>
      <c r="D1777" s="77">
        <v>1</v>
      </c>
      <c r="E1777" s="78">
        <v>1</v>
      </c>
      <c r="F1777" s="499"/>
      <c r="G1777" s="76">
        <v>35</v>
      </c>
      <c r="H1777" s="94"/>
      <c r="I1777" s="94"/>
      <c r="J1777" s="94"/>
    </row>
    <row r="1778" spans="1:10">
      <c r="A1778" s="496" t="s">
        <v>278</v>
      </c>
      <c r="B1778" s="87" t="s">
        <v>126</v>
      </c>
      <c r="C1778" s="76" t="s">
        <v>281</v>
      </c>
      <c r="D1778" s="77">
        <v>1</v>
      </c>
      <c r="E1778" s="78">
        <v>1</v>
      </c>
      <c r="F1778" s="91"/>
      <c r="G1778" s="76">
        <v>70.319999999999993</v>
      </c>
      <c r="H1778" s="94"/>
      <c r="I1778" s="94"/>
      <c r="J1778" s="94"/>
    </row>
    <row r="1779" spans="1:10">
      <c r="A1779" s="496"/>
      <c r="B1779" s="87" t="s">
        <v>127</v>
      </c>
      <c r="C1779" s="76" t="s">
        <v>128</v>
      </c>
      <c r="D1779" s="77">
        <v>1</v>
      </c>
      <c r="E1779" s="78">
        <v>1</v>
      </c>
      <c r="F1779" s="91"/>
      <c r="G1779" s="76">
        <v>70.319999999999993</v>
      </c>
      <c r="H1779" s="94"/>
      <c r="I1779" s="94"/>
      <c r="J1779" s="94"/>
    </row>
    <row r="1780" spans="1:10">
      <c r="A1780" s="496"/>
      <c r="B1780" s="87" t="s">
        <v>129</v>
      </c>
      <c r="C1780" s="76" t="s">
        <v>130</v>
      </c>
      <c r="D1780" s="77">
        <v>1</v>
      </c>
      <c r="E1780" s="78">
        <v>1</v>
      </c>
      <c r="F1780" s="91"/>
      <c r="G1780" s="76">
        <v>70.319999999999993</v>
      </c>
      <c r="H1780" s="94"/>
      <c r="I1780" s="94"/>
      <c r="J1780" s="94"/>
    </row>
    <row r="1781" spans="1:10">
      <c r="H1781" s="92" t="e">
        <f>AVERAGE(H1740:H1751,H1757:H1759,H1768:H1780)</f>
        <v>#DIV/0!</v>
      </c>
      <c r="I1781" s="92" t="e">
        <f>AVERAGE(I1740:I1751,I1757:I1759,I1768:I1780)</f>
        <v>#DIV/0!</v>
      </c>
      <c r="J1781" s="115" t="e">
        <f>AVERAGE(J1740:J1751,J1757:J1759,J1768:J1780,J1755)</f>
        <v>#DIV/0!</v>
      </c>
    </row>
    <row r="1782" spans="1:10">
      <c r="J1782" s="116" t="s">
        <v>265</v>
      </c>
    </row>
    <row r="1783" spans="1:10">
      <c r="A1783" s="511" t="s">
        <v>293</v>
      </c>
      <c r="B1783" s="511"/>
      <c r="C1783" s="512" t="s">
        <v>187</v>
      </c>
      <c r="D1783" s="513"/>
      <c r="E1783" s="513" t="s">
        <v>188</v>
      </c>
      <c r="F1783" s="513"/>
      <c r="G1783" s="513" t="s">
        <v>189</v>
      </c>
      <c r="H1783" s="513"/>
      <c r="I1783" s="513" t="s">
        <v>190</v>
      </c>
      <c r="J1783" s="513"/>
    </row>
    <row r="1784" spans="1:10" ht="34.799999999999997">
      <c r="A1784" s="511"/>
      <c r="B1784" s="511"/>
      <c r="C1784" s="103" t="s">
        <v>191</v>
      </c>
      <c r="D1784" s="102" t="s">
        <v>192</v>
      </c>
      <c r="E1784" s="102" t="s">
        <v>191</v>
      </c>
      <c r="F1784" s="102" t="s">
        <v>192</v>
      </c>
      <c r="G1784" s="102" t="s">
        <v>191</v>
      </c>
      <c r="H1784" s="102" t="s">
        <v>192</v>
      </c>
      <c r="I1784" s="102" t="s">
        <v>191</v>
      </c>
      <c r="J1784" s="102" t="s">
        <v>192</v>
      </c>
    </row>
    <row r="1785" spans="1:10">
      <c r="A1785" s="500" t="s">
        <v>294</v>
      </c>
      <c r="B1785" s="101" t="s">
        <v>295</v>
      </c>
      <c r="C1785" s="94"/>
      <c r="D1785" s="93"/>
      <c r="E1785" s="94"/>
      <c r="F1785" s="93"/>
      <c r="G1785" s="94"/>
      <c r="H1785" s="93"/>
      <c r="I1785" s="94"/>
      <c r="J1785" s="93"/>
    </row>
    <row r="1786" spans="1:10">
      <c r="A1786" s="501"/>
      <c r="B1786" s="95" t="s">
        <v>193</v>
      </c>
      <c r="C1786" s="94"/>
      <c r="D1786" s="93"/>
      <c r="E1786" s="94"/>
      <c r="F1786" s="93"/>
      <c r="G1786" s="94"/>
      <c r="H1786" s="93"/>
      <c r="I1786" s="94"/>
      <c r="J1786" s="93"/>
    </row>
    <row r="1787" spans="1:10">
      <c r="A1787" s="501"/>
      <c r="B1787" s="95" t="s">
        <v>194</v>
      </c>
      <c r="C1787" s="94"/>
      <c r="D1787" s="93"/>
      <c r="E1787" s="94"/>
      <c r="F1787" s="93"/>
      <c r="G1787" s="94"/>
      <c r="H1787" s="93"/>
      <c r="I1787" s="94"/>
      <c r="J1787" s="93"/>
    </row>
    <row r="1788" spans="1:10">
      <c r="A1788" s="501"/>
      <c r="B1788" s="95" t="s">
        <v>195</v>
      </c>
      <c r="C1788" s="94"/>
      <c r="D1788" s="93"/>
      <c r="E1788" s="94"/>
      <c r="F1788" s="93"/>
      <c r="G1788" s="94"/>
      <c r="H1788" s="93"/>
      <c r="I1788" s="94"/>
      <c r="J1788" s="93"/>
    </row>
    <row r="1789" spans="1:10">
      <c r="A1789" s="501"/>
      <c r="B1789" s="95" t="s">
        <v>196</v>
      </c>
      <c r="C1789" s="94"/>
      <c r="D1789" s="93"/>
      <c r="E1789" s="94"/>
      <c r="F1789" s="93"/>
      <c r="G1789" s="94"/>
      <c r="H1789" s="93"/>
      <c r="I1789" s="94"/>
      <c r="J1789" s="93"/>
    </row>
    <row r="1790" spans="1:10">
      <c r="A1790" s="501"/>
      <c r="B1790" s="95" t="s">
        <v>197</v>
      </c>
      <c r="C1790" s="94"/>
      <c r="D1790" s="93"/>
      <c r="E1790" s="94"/>
      <c r="F1790" s="93"/>
      <c r="G1790" s="94"/>
      <c r="H1790" s="93"/>
      <c r="I1790" s="94"/>
      <c r="J1790" s="93"/>
    </row>
    <row r="1791" spans="1:10">
      <c r="A1791" s="501"/>
      <c r="B1791" s="95" t="s">
        <v>198</v>
      </c>
      <c r="C1791" s="94"/>
      <c r="D1791" s="93"/>
      <c r="E1791" s="94"/>
      <c r="F1791" s="93"/>
      <c r="G1791" s="94"/>
      <c r="H1791" s="93"/>
      <c r="I1791" s="94"/>
      <c r="J1791" s="93"/>
    </row>
    <row r="1792" spans="1:10">
      <c r="A1792" s="501"/>
      <c r="B1792" s="95" t="s">
        <v>199</v>
      </c>
      <c r="C1792" s="94"/>
      <c r="D1792" s="93"/>
      <c r="E1792" s="94"/>
      <c r="F1792" s="93"/>
      <c r="G1792" s="94"/>
      <c r="H1792" s="93"/>
      <c r="I1792" s="94"/>
      <c r="J1792" s="93"/>
    </row>
    <row r="1793" spans="1:10">
      <c r="A1793" s="501"/>
      <c r="B1793" s="95" t="s">
        <v>200</v>
      </c>
      <c r="C1793" s="94"/>
      <c r="D1793" s="93"/>
      <c r="E1793" s="94"/>
      <c r="F1793" s="93"/>
      <c r="G1793" s="94"/>
      <c r="H1793" s="93"/>
      <c r="I1793" s="99"/>
      <c r="J1793" s="100"/>
    </row>
    <row r="1794" spans="1:10">
      <c r="A1794" s="501"/>
      <c r="B1794" s="95" t="s">
        <v>201</v>
      </c>
      <c r="C1794" s="94"/>
      <c r="D1794" s="93"/>
      <c r="E1794" s="99"/>
      <c r="F1794" s="100"/>
      <c r="G1794" s="94"/>
      <c r="H1794" s="93"/>
      <c r="I1794" s="99"/>
      <c r="J1794" s="100"/>
    </row>
    <row r="1795" spans="1:10">
      <c r="A1795" s="501"/>
      <c r="B1795" s="95" t="s">
        <v>202</v>
      </c>
      <c r="C1795" s="94"/>
      <c r="D1795" s="93"/>
      <c r="E1795" s="99"/>
      <c r="F1795" s="100"/>
      <c r="G1795" s="94"/>
      <c r="H1795" s="93"/>
      <c r="I1795" s="99"/>
      <c r="J1795" s="100"/>
    </row>
    <row r="1796" spans="1:10">
      <c r="A1796" s="501"/>
      <c r="B1796" s="95" t="s">
        <v>203</v>
      </c>
      <c r="C1796" s="94"/>
      <c r="D1796" s="93"/>
      <c r="E1796" s="99"/>
      <c r="F1796" s="100"/>
      <c r="G1796" s="94"/>
      <c r="H1796" s="93"/>
      <c r="I1796" s="99"/>
      <c r="J1796" s="100"/>
    </row>
    <row r="1797" spans="1:10">
      <c r="A1797" s="501"/>
      <c r="B1797" s="95" t="s">
        <v>204</v>
      </c>
      <c r="C1797" s="94"/>
      <c r="D1797" s="93"/>
      <c r="E1797" s="99"/>
      <c r="F1797" s="100"/>
      <c r="G1797" s="94"/>
      <c r="H1797" s="93"/>
      <c r="I1797" s="99"/>
      <c r="J1797" s="100"/>
    </row>
    <row r="1798" spans="1:10">
      <c r="A1798" s="501"/>
      <c r="B1798" s="95" t="s">
        <v>205</v>
      </c>
      <c r="C1798" s="99"/>
      <c r="D1798" s="100"/>
      <c r="E1798" s="99"/>
      <c r="F1798" s="100"/>
      <c r="G1798" s="94"/>
      <c r="H1798" s="93"/>
      <c r="I1798" s="99"/>
      <c r="J1798" s="100"/>
    </row>
    <row r="1799" spans="1:10">
      <c r="A1799" s="501"/>
      <c r="B1799" s="95" t="s">
        <v>206</v>
      </c>
      <c r="C1799" s="99"/>
      <c r="D1799" s="100"/>
      <c r="E1799" s="99"/>
      <c r="F1799" s="100"/>
      <c r="G1799" s="94"/>
      <c r="H1799" s="93"/>
      <c r="I1799" s="99"/>
      <c r="J1799" s="100"/>
    </row>
    <row r="1800" spans="1:10">
      <c r="A1800" s="501"/>
      <c r="B1800" s="95" t="s">
        <v>207</v>
      </c>
      <c r="C1800" s="99"/>
      <c r="D1800" s="100"/>
      <c r="E1800" s="99"/>
      <c r="F1800" s="100"/>
      <c r="G1800" s="94"/>
      <c r="H1800" s="93"/>
      <c r="I1800" s="99"/>
      <c r="J1800" s="100"/>
    </row>
    <row r="1801" spans="1:10">
      <c r="A1801" s="501"/>
      <c r="B1801" s="96" t="s">
        <v>296</v>
      </c>
      <c r="C1801" s="94"/>
      <c r="D1801" s="93"/>
      <c r="E1801" s="94"/>
      <c r="F1801" s="93"/>
      <c r="G1801" s="94"/>
      <c r="H1801" s="93"/>
      <c r="I1801" s="94"/>
      <c r="J1801" s="93"/>
    </row>
    <row r="1802" spans="1:10">
      <c r="A1802" s="501"/>
      <c r="B1802" s="96" t="s">
        <v>208</v>
      </c>
      <c r="C1802" s="94"/>
      <c r="D1802" s="93"/>
      <c r="E1802" s="94"/>
      <c r="F1802" s="93"/>
      <c r="G1802" s="94"/>
      <c r="H1802" s="93"/>
      <c r="I1802" s="94"/>
      <c r="J1802" s="93"/>
    </row>
    <row r="1803" spans="1:10">
      <c r="A1803" s="501"/>
      <c r="B1803" s="96" t="s">
        <v>209</v>
      </c>
      <c r="C1803" s="94"/>
      <c r="D1803" s="93"/>
      <c r="E1803" s="94"/>
      <c r="F1803" s="93"/>
      <c r="G1803" s="94"/>
      <c r="H1803" s="93"/>
      <c r="I1803" s="94"/>
      <c r="J1803" s="93"/>
    </row>
    <row r="1804" spans="1:10">
      <c r="A1804" s="501"/>
      <c r="B1804" s="96" t="s">
        <v>210</v>
      </c>
      <c r="C1804" s="94"/>
      <c r="D1804" s="93"/>
      <c r="E1804" s="94"/>
      <c r="F1804" s="93"/>
      <c r="G1804" s="94"/>
      <c r="H1804" s="93"/>
      <c r="I1804" s="94"/>
      <c r="J1804" s="93"/>
    </row>
    <row r="1805" spans="1:10">
      <c r="A1805" s="501"/>
      <c r="B1805" s="96" t="s">
        <v>211</v>
      </c>
      <c r="C1805" s="94"/>
      <c r="D1805" s="93"/>
      <c r="E1805" s="94"/>
      <c r="F1805" s="93"/>
      <c r="G1805" s="94"/>
      <c r="H1805" s="93"/>
      <c r="I1805" s="94"/>
      <c r="J1805" s="93"/>
    </row>
    <row r="1806" spans="1:10">
      <c r="A1806" s="501"/>
      <c r="B1806" s="96" t="s">
        <v>212</v>
      </c>
      <c r="C1806" s="94"/>
      <c r="D1806" s="93"/>
      <c r="E1806" s="94"/>
      <c r="F1806" s="93"/>
      <c r="G1806" s="94"/>
      <c r="H1806" s="93"/>
      <c r="I1806" s="94"/>
      <c r="J1806" s="93"/>
    </row>
    <row r="1807" spans="1:10">
      <c r="A1807" s="501"/>
      <c r="B1807" s="96" t="s">
        <v>213</v>
      </c>
      <c r="C1807" s="94"/>
      <c r="D1807" s="93"/>
      <c r="E1807" s="94"/>
      <c r="F1807" s="93"/>
      <c r="G1807" s="94"/>
      <c r="H1807" s="93"/>
      <c r="I1807" s="94"/>
      <c r="J1807" s="93"/>
    </row>
    <row r="1808" spans="1:10">
      <c r="A1808" s="501"/>
      <c r="B1808" s="96" t="s">
        <v>214</v>
      </c>
      <c r="C1808" s="94"/>
      <c r="D1808" s="93"/>
      <c r="E1808" s="94"/>
      <c r="F1808" s="93"/>
      <c r="G1808" s="94"/>
      <c r="H1808" s="93"/>
      <c r="I1808" s="94"/>
      <c r="J1808" s="93"/>
    </row>
    <row r="1809" spans="1:10">
      <c r="A1809" s="501"/>
      <c r="B1809" s="96" t="s">
        <v>215</v>
      </c>
      <c r="C1809" s="94"/>
      <c r="D1809" s="93"/>
      <c r="E1809" s="94"/>
      <c r="F1809" s="93"/>
      <c r="G1809" s="94"/>
      <c r="H1809" s="93"/>
      <c r="I1809" s="94"/>
      <c r="J1809" s="93"/>
    </row>
    <row r="1810" spans="1:10">
      <c r="A1810" s="501"/>
      <c r="B1810" s="96" t="s">
        <v>216</v>
      </c>
      <c r="C1810" s="94"/>
      <c r="D1810" s="93"/>
      <c r="E1810" s="94"/>
      <c r="F1810" s="93"/>
      <c r="G1810" s="94"/>
      <c r="H1810" s="93"/>
      <c r="I1810" s="94"/>
      <c r="J1810" s="93"/>
    </row>
    <row r="1811" spans="1:10">
      <c r="A1811" s="501"/>
      <c r="B1811" s="96" t="s">
        <v>217</v>
      </c>
      <c r="C1811" s="94"/>
      <c r="D1811" s="93"/>
      <c r="E1811" s="94"/>
      <c r="F1811" s="93"/>
      <c r="G1811" s="94"/>
      <c r="H1811" s="93"/>
      <c r="I1811" s="99"/>
      <c r="J1811" s="100"/>
    </row>
    <row r="1812" spans="1:10">
      <c r="A1812" s="501"/>
      <c r="B1812" s="96" t="s">
        <v>218</v>
      </c>
      <c r="C1812" s="94"/>
      <c r="D1812" s="93"/>
      <c r="E1812" s="94"/>
      <c r="F1812" s="93"/>
      <c r="G1812" s="94"/>
      <c r="H1812" s="93"/>
      <c r="I1812" s="99"/>
      <c r="J1812" s="100"/>
    </row>
    <row r="1813" spans="1:10">
      <c r="A1813" s="501"/>
      <c r="B1813" s="96" t="s">
        <v>219</v>
      </c>
      <c r="C1813" s="94"/>
      <c r="D1813" s="93"/>
      <c r="E1813" s="94"/>
      <c r="F1813" s="93"/>
      <c r="G1813" s="94"/>
      <c r="H1813" s="93"/>
      <c r="I1813" s="99"/>
      <c r="J1813" s="100"/>
    </row>
    <row r="1814" spans="1:10">
      <c r="A1814" s="501"/>
      <c r="B1814" s="96" t="s">
        <v>220</v>
      </c>
      <c r="C1814" s="94"/>
      <c r="D1814" s="93"/>
      <c r="E1814" s="94"/>
      <c r="F1814" s="93"/>
      <c r="G1814" s="99"/>
      <c r="H1814" s="100"/>
      <c r="I1814" s="99"/>
      <c r="J1814" s="100"/>
    </row>
    <row r="1815" spans="1:10">
      <c r="A1815" s="501"/>
      <c r="B1815" s="96" t="s">
        <v>297</v>
      </c>
      <c r="C1815" s="94"/>
      <c r="D1815" s="93"/>
      <c r="E1815" s="99"/>
      <c r="F1815" s="100"/>
      <c r="G1815" s="99"/>
      <c r="H1815" s="100"/>
      <c r="I1815" s="99"/>
      <c r="J1815" s="100"/>
    </row>
    <row r="1816" spans="1:10">
      <c r="A1816" s="501"/>
      <c r="B1816" s="96" t="s">
        <v>221</v>
      </c>
      <c r="C1816" s="94"/>
      <c r="D1816" s="93"/>
      <c r="E1816" s="99"/>
      <c r="F1816" s="100"/>
      <c r="G1816" s="99"/>
      <c r="H1816" s="100"/>
      <c r="I1816" s="99"/>
      <c r="J1816" s="100"/>
    </row>
    <row r="1817" spans="1:10">
      <c r="A1817" s="501"/>
      <c r="B1817" s="97" t="s">
        <v>298</v>
      </c>
      <c r="C1817" s="94"/>
      <c r="D1817" s="93"/>
      <c r="E1817" s="94"/>
      <c r="F1817" s="93"/>
      <c r="G1817" s="94"/>
      <c r="H1817" s="93"/>
      <c r="I1817" s="94"/>
      <c r="J1817" s="93"/>
    </row>
    <row r="1818" spans="1:10">
      <c r="A1818" s="501"/>
      <c r="B1818" s="97" t="s">
        <v>222</v>
      </c>
      <c r="C1818" s="94"/>
      <c r="D1818" s="93"/>
      <c r="E1818" s="94"/>
      <c r="F1818" s="93"/>
      <c r="G1818" s="94"/>
      <c r="H1818" s="93"/>
      <c r="I1818" s="94"/>
      <c r="J1818" s="93"/>
    </row>
    <row r="1819" spans="1:10">
      <c r="A1819" s="501"/>
      <c r="B1819" s="97" t="s">
        <v>223</v>
      </c>
      <c r="C1819" s="94"/>
      <c r="D1819" s="93"/>
      <c r="E1819" s="94"/>
      <c r="F1819" s="93"/>
      <c r="G1819" s="94"/>
      <c r="H1819" s="93"/>
      <c r="I1819" s="94"/>
      <c r="J1819" s="93"/>
    </row>
    <row r="1820" spans="1:10">
      <c r="A1820" s="501"/>
      <c r="B1820" s="97" t="s">
        <v>224</v>
      </c>
      <c r="C1820" s="94"/>
      <c r="D1820" s="93"/>
      <c r="E1820" s="94"/>
      <c r="F1820" s="93"/>
      <c r="G1820" s="94"/>
      <c r="H1820" s="93"/>
      <c r="I1820" s="94"/>
      <c r="J1820" s="93"/>
    </row>
    <row r="1821" spans="1:10">
      <c r="A1821" s="501"/>
      <c r="B1821" s="97" t="s">
        <v>225</v>
      </c>
      <c r="C1821" s="94"/>
      <c r="D1821" s="93"/>
      <c r="E1821" s="94"/>
      <c r="F1821" s="93"/>
      <c r="G1821" s="94"/>
      <c r="H1821" s="93"/>
      <c r="I1821" s="94"/>
      <c r="J1821" s="93"/>
    </row>
    <row r="1822" spans="1:10">
      <c r="A1822" s="501"/>
      <c r="B1822" s="97" t="s">
        <v>226</v>
      </c>
      <c r="C1822" s="94"/>
      <c r="D1822" s="93"/>
      <c r="E1822" s="94"/>
      <c r="F1822" s="93"/>
      <c r="G1822" s="94"/>
      <c r="H1822" s="93"/>
      <c r="I1822" s="94"/>
      <c r="J1822" s="93"/>
    </row>
    <row r="1823" spans="1:10">
      <c r="A1823" s="501"/>
      <c r="B1823" s="97" t="s">
        <v>227</v>
      </c>
      <c r="C1823" s="94"/>
      <c r="D1823" s="93"/>
      <c r="E1823" s="94"/>
      <c r="F1823" s="93"/>
      <c r="G1823" s="94"/>
      <c r="H1823" s="93"/>
      <c r="I1823" s="94"/>
      <c r="J1823" s="93"/>
    </row>
    <row r="1824" spans="1:10">
      <c r="A1824" s="501"/>
      <c r="B1824" s="97" t="s">
        <v>228</v>
      </c>
      <c r="C1824" s="94"/>
      <c r="D1824" s="93"/>
      <c r="E1824" s="94"/>
      <c r="F1824" s="93"/>
      <c r="G1824" s="94"/>
      <c r="H1824" s="93"/>
      <c r="I1824" s="94"/>
      <c r="J1824" s="93"/>
    </row>
    <row r="1825" spans="1:10">
      <c r="A1825" s="501"/>
      <c r="B1825" s="97" t="s">
        <v>229</v>
      </c>
      <c r="C1825" s="94"/>
      <c r="D1825" s="93"/>
      <c r="E1825" s="94"/>
      <c r="F1825" s="93"/>
      <c r="G1825" s="99"/>
      <c r="H1825" s="100"/>
      <c r="I1825" s="94"/>
      <c r="J1825" s="93"/>
    </row>
    <row r="1826" spans="1:10">
      <c r="A1826" s="501"/>
      <c r="B1826" s="97" t="s">
        <v>230</v>
      </c>
      <c r="C1826" s="94"/>
      <c r="D1826" s="93"/>
      <c r="E1826" s="94"/>
      <c r="F1826" s="93"/>
      <c r="G1826" s="99"/>
      <c r="H1826" s="100"/>
      <c r="I1826" s="99"/>
      <c r="J1826" s="100"/>
    </row>
    <row r="1827" spans="1:10">
      <c r="A1827" s="501"/>
      <c r="B1827" s="97" t="s">
        <v>231</v>
      </c>
      <c r="C1827" s="94"/>
      <c r="D1827" s="93"/>
      <c r="E1827" s="94"/>
      <c r="F1827" s="93"/>
      <c r="G1827" s="99"/>
      <c r="H1827" s="100"/>
      <c r="I1827" s="99"/>
      <c r="J1827" s="100"/>
    </row>
    <row r="1828" spans="1:10">
      <c r="A1828" s="501"/>
      <c r="B1828" s="97" t="s">
        <v>232</v>
      </c>
      <c r="C1828" s="94"/>
      <c r="D1828" s="93"/>
      <c r="E1828" s="94"/>
      <c r="F1828" s="93"/>
      <c r="G1828" s="99"/>
      <c r="H1828" s="100"/>
      <c r="I1828" s="99"/>
      <c r="J1828" s="100"/>
    </row>
    <row r="1829" spans="1:10">
      <c r="A1829" s="501"/>
      <c r="B1829" s="97" t="s">
        <v>233</v>
      </c>
      <c r="C1829" s="94"/>
      <c r="D1829" s="93"/>
      <c r="E1829" s="94"/>
      <c r="F1829" s="93"/>
      <c r="G1829" s="99"/>
      <c r="H1829" s="100"/>
      <c r="I1829" s="99"/>
      <c r="J1829" s="100"/>
    </row>
    <row r="1830" spans="1:10">
      <c r="A1830" s="501"/>
      <c r="B1830" s="97" t="s">
        <v>234</v>
      </c>
      <c r="C1830" s="94"/>
      <c r="D1830" s="93"/>
      <c r="E1830" s="94"/>
      <c r="F1830" s="93"/>
      <c r="G1830" s="99"/>
      <c r="H1830" s="100"/>
      <c r="I1830" s="99"/>
      <c r="J1830" s="100"/>
    </row>
    <row r="1831" spans="1:10">
      <c r="A1831" s="501"/>
      <c r="B1831" s="97" t="s">
        <v>235</v>
      </c>
      <c r="C1831" s="94"/>
      <c r="D1831" s="93"/>
      <c r="E1831" s="99"/>
      <c r="F1831" s="100"/>
      <c r="G1831" s="99"/>
      <c r="H1831" s="100"/>
      <c r="I1831" s="99"/>
      <c r="J1831" s="100"/>
    </row>
    <row r="1832" spans="1:10">
      <c r="A1832" s="501"/>
      <c r="B1832" s="97" t="s">
        <v>236</v>
      </c>
      <c r="C1832" s="94"/>
      <c r="D1832" s="93"/>
      <c r="E1832" s="99"/>
      <c r="F1832" s="100"/>
      <c r="G1832" s="99"/>
      <c r="H1832" s="100"/>
      <c r="I1832" s="99"/>
      <c r="J1832" s="100"/>
    </row>
    <row r="1833" spans="1:10">
      <c r="A1833" s="501"/>
      <c r="B1833" s="98" t="s">
        <v>299</v>
      </c>
      <c r="C1833" s="94"/>
      <c r="D1833" s="93"/>
      <c r="E1833" s="94"/>
      <c r="F1833" s="93"/>
      <c r="G1833" s="94"/>
      <c r="H1833" s="93"/>
      <c r="I1833" s="94"/>
      <c r="J1833" s="93"/>
    </row>
    <row r="1834" spans="1:10">
      <c r="A1834" s="501"/>
      <c r="B1834" s="98" t="s">
        <v>237</v>
      </c>
      <c r="C1834" s="94"/>
      <c r="D1834" s="93"/>
      <c r="E1834" s="94"/>
      <c r="F1834" s="93"/>
      <c r="G1834" s="94"/>
      <c r="H1834" s="93"/>
      <c r="I1834" s="94"/>
      <c r="J1834" s="93"/>
    </row>
    <row r="1835" spans="1:10">
      <c r="A1835" s="501"/>
      <c r="B1835" s="98" t="s">
        <v>238</v>
      </c>
      <c r="C1835" s="94"/>
      <c r="D1835" s="93"/>
      <c r="E1835" s="94"/>
      <c r="F1835" s="93"/>
      <c r="G1835" s="94"/>
      <c r="H1835" s="93"/>
      <c r="I1835" s="94"/>
      <c r="J1835" s="93"/>
    </row>
    <row r="1836" spans="1:10">
      <c r="A1836" s="501"/>
      <c r="B1836" s="98" t="s">
        <v>239</v>
      </c>
      <c r="C1836" s="94"/>
      <c r="D1836" s="93"/>
      <c r="E1836" s="94"/>
      <c r="F1836" s="93"/>
      <c r="G1836" s="94"/>
      <c r="H1836" s="93"/>
      <c r="I1836" s="94"/>
      <c r="J1836" s="93"/>
    </row>
    <row r="1837" spans="1:10">
      <c r="A1837" s="501"/>
      <c r="B1837" s="98" t="s">
        <v>240</v>
      </c>
      <c r="C1837" s="94"/>
      <c r="D1837" s="93"/>
      <c r="E1837" s="94"/>
      <c r="F1837" s="93"/>
      <c r="G1837" s="94"/>
      <c r="H1837" s="93"/>
      <c r="I1837" s="94"/>
      <c r="J1837" s="93"/>
    </row>
    <row r="1838" spans="1:10">
      <c r="A1838" s="501"/>
      <c r="B1838" s="98" t="s">
        <v>241</v>
      </c>
      <c r="C1838" s="94"/>
      <c r="D1838" s="93"/>
      <c r="E1838" s="94"/>
      <c r="F1838" s="93"/>
      <c r="G1838" s="94"/>
      <c r="H1838" s="93"/>
      <c r="I1838" s="94"/>
      <c r="J1838" s="93"/>
    </row>
    <row r="1839" spans="1:10">
      <c r="A1839" s="501"/>
      <c r="B1839" s="98" t="s">
        <v>242</v>
      </c>
      <c r="C1839" s="94"/>
      <c r="D1839" s="93"/>
      <c r="E1839" s="94"/>
      <c r="F1839" s="93"/>
      <c r="G1839" s="94"/>
      <c r="H1839" s="93"/>
      <c r="I1839" s="94"/>
      <c r="J1839" s="93"/>
    </row>
    <row r="1840" spans="1:10">
      <c r="A1840" s="501"/>
      <c r="B1840" s="98" t="s">
        <v>243</v>
      </c>
      <c r="C1840" s="94"/>
      <c r="D1840" s="93"/>
      <c r="E1840" s="94"/>
      <c r="F1840" s="93"/>
      <c r="G1840" s="94"/>
      <c r="H1840" s="93"/>
      <c r="I1840" s="94"/>
      <c r="J1840" s="93"/>
    </row>
    <row r="1841" spans="1:10">
      <c r="A1841" s="501"/>
      <c r="B1841" s="98" t="s">
        <v>244</v>
      </c>
      <c r="C1841" s="94"/>
      <c r="D1841" s="93"/>
      <c r="E1841" s="94"/>
      <c r="F1841" s="93"/>
      <c r="G1841" s="94"/>
      <c r="H1841" s="93"/>
      <c r="I1841" s="99"/>
      <c r="J1841" s="100"/>
    </row>
    <row r="1842" spans="1:10">
      <c r="A1842" s="501"/>
      <c r="B1842" s="98" t="s">
        <v>245</v>
      </c>
      <c r="C1842" s="94"/>
      <c r="D1842" s="93"/>
      <c r="E1842" s="94"/>
      <c r="F1842" s="93"/>
      <c r="G1842" s="94"/>
      <c r="H1842" s="93"/>
      <c r="I1842" s="99"/>
      <c r="J1842" s="100"/>
    </row>
    <row r="1843" spans="1:10">
      <c r="A1843" s="501"/>
      <c r="B1843" s="98" t="s">
        <v>246</v>
      </c>
      <c r="C1843" s="99"/>
      <c r="D1843" s="100"/>
      <c r="E1843" s="94"/>
      <c r="F1843" s="93"/>
      <c r="G1843" s="94"/>
      <c r="H1843" s="93"/>
      <c r="I1843" s="99"/>
      <c r="J1843" s="100"/>
    </row>
    <row r="1844" spans="1:10">
      <c r="A1844" s="501"/>
      <c r="B1844" s="98" t="s">
        <v>247</v>
      </c>
      <c r="C1844" s="99"/>
      <c r="D1844" s="100"/>
      <c r="E1844" s="94"/>
      <c r="F1844" s="93"/>
      <c r="G1844" s="94"/>
      <c r="H1844" s="93"/>
      <c r="I1844" s="99"/>
      <c r="J1844" s="100"/>
    </row>
    <row r="1845" spans="1:10">
      <c r="A1845" s="501"/>
      <c r="B1845" s="98" t="s">
        <v>248</v>
      </c>
      <c r="C1845" s="99"/>
      <c r="D1845" s="100"/>
      <c r="E1845" s="99"/>
      <c r="F1845" s="100"/>
      <c r="G1845" s="94"/>
      <c r="H1845" s="93"/>
      <c r="I1845" s="99"/>
      <c r="J1845" s="100"/>
    </row>
    <row r="1846" spans="1:10">
      <c r="A1846" s="501"/>
      <c r="B1846" s="95" t="s">
        <v>300</v>
      </c>
      <c r="C1846" s="99"/>
      <c r="D1846" s="100"/>
      <c r="E1846" s="99"/>
      <c r="F1846" s="100"/>
      <c r="G1846" s="99"/>
      <c r="H1846" s="100"/>
      <c r="I1846" s="94"/>
      <c r="J1846" s="93"/>
    </row>
    <row r="1847" spans="1:10">
      <c r="A1847" s="501"/>
      <c r="B1847" s="95" t="s">
        <v>249</v>
      </c>
      <c r="C1847" s="99"/>
      <c r="D1847" s="100"/>
      <c r="E1847" s="99"/>
      <c r="F1847" s="100"/>
      <c r="G1847" s="99"/>
      <c r="H1847" s="100"/>
      <c r="I1847" s="94"/>
      <c r="J1847" s="93"/>
    </row>
    <row r="1848" spans="1:10">
      <c r="A1848" s="501"/>
      <c r="B1848" s="95" t="s">
        <v>250</v>
      </c>
      <c r="C1848" s="99"/>
      <c r="D1848" s="100"/>
      <c r="E1848" s="99"/>
      <c r="F1848" s="100"/>
      <c r="G1848" s="99"/>
      <c r="H1848" s="100"/>
      <c r="I1848" s="94"/>
      <c r="J1848" s="93"/>
    </row>
    <row r="1849" spans="1:10">
      <c r="A1849" s="501"/>
      <c r="B1849" s="95" t="s">
        <v>251</v>
      </c>
      <c r="C1849" s="99"/>
      <c r="D1849" s="100"/>
      <c r="E1849" s="99"/>
      <c r="F1849" s="100"/>
      <c r="G1849" s="99"/>
      <c r="H1849" s="100"/>
      <c r="I1849" s="94"/>
      <c r="J1849" s="93"/>
    </row>
    <row r="1850" spans="1:10">
      <c r="A1850" s="501"/>
      <c r="B1850" s="95" t="s">
        <v>252</v>
      </c>
      <c r="C1850" s="99"/>
      <c r="D1850" s="100"/>
      <c r="E1850" s="99"/>
      <c r="F1850" s="100"/>
      <c r="G1850" s="99"/>
      <c r="H1850" s="100"/>
      <c r="I1850" s="94"/>
      <c r="J1850" s="93"/>
    </row>
    <row r="1851" spans="1:10">
      <c r="A1851" s="501"/>
      <c r="B1851" s="95" t="s">
        <v>253</v>
      </c>
      <c r="C1851" s="99"/>
      <c r="D1851" s="100"/>
      <c r="E1851" s="99"/>
      <c r="F1851" s="100"/>
      <c r="G1851" s="99"/>
      <c r="H1851" s="100"/>
      <c r="I1851" s="94"/>
      <c r="J1851" s="93"/>
    </row>
    <row r="1852" spans="1:10">
      <c r="A1852" s="501"/>
      <c r="B1852" s="95" t="s">
        <v>254</v>
      </c>
      <c r="C1852" s="99"/>
      <c r="D1852" s="100"/>
      <c r="E1852" s="99"/>
      <c r="F1852" s="100"/>
      <c r="G1852" s="99"/>
      <c r="H1852" s="100"/>
      <c r="I1852" s="94"/>
      <c r="J1852" s="93"/>
    </row>
    <row r="1853" spans="1:10">
      <c r="A1853" s="501"/>
      <c r="B1853" s="95" t="s">
        <v>255</v>
      </c>
      <c r="C1853" s="99"/>
      <c r="D1853" s="100"/>
      <c r="E1853" s="99"/>
      <c r="F1853" s="100"/>
      <c r="G1853" s="99"/>
      <c r="H1853" s="100"/>
      <c r="I1853" s="94"/>
      <c r="J1853" s="93"/>
    </row>
    <row r="1854" spans="1:10">
      <c r="A1854" s="501"/>
      <c r="B1854" s="95" t="s">
        <v>256</v>
      </c>
      <c r="C1854" s="99"/>
      <c r="D1854" s="100"/>
      <c r="E1854" s="99"/>
      <c r="F1854" s="100"/>
      <c r="G1854" s="99"/>
      <c r="H1854" s="100"/>
      <c r="I1854" s="94"/>
      <c r="J1854" s="93"/>
    </row>
    <row r="1855" spans="1:10">
      <c r="A1855" s="501"/>
      <c r="B1855" s="95" t="s">
        <v>257</v>
      </c>
      <c r="C1855" s="99"/>
      <c r="D1855" s="100"/>
      <c r="E1855" s="99"/>
      <c r="F1855" s="100"/>
      <c r="G1855" s="99"/>
      <c r="H1855" s="100"/>
      <c r="I1855" s="94"/>
      <c r="J1855" s="93"/>
    </row>
    <row r="1856" spans="1:10">
      <c r="A1856" s="501"/>
      <c r="B1856" s="95" t="s">
        <v>258</v>
      </c>
      <c r="C1856" s="99"/>
      <c r="D1856" s="100"/>
      <c r="E1856" s="99"/>
      <c r="F1856" s="100"/>
      <c r="G1856" s="99"/>
      <c r="H1856" s="100"/>
      <c r="I1856" s="94"/>
      <c r="J1856" s="93"/>
    </row>
    <row r="1857" spans="1:11">
      <c r="A1857" s="502"/>
      <c r="B1857" s="95" t="s">
        <v>259</v>
      </c>
      <c r="C1857" s="99"/>
      <c r="D1857" s="100"/>
      <c r="E1857" s="99"/>
      <c r="F1857" s="100"/>
      <c r="G1857" s="99"/>
      <c r="H1857" s="100"/>
      <c r="I1857" s="94"/>
      <c r="J1857" s="93"/>
    </row>
    <row r="1858" spans="1:11">
      <c r="A1858" s="116" t="s">
        <v>266</v>
      </c>
      <c r="B1858" s="117" t="e">
        <f>SUM(C1858,E1858,G1858,I1858)</f>
        <v>#DIV/0!</v>
      </c>
      <c r="C1858" s="104" t="e">
        <f>AVERAGE(C1785:C1797,C1801:C1842)</f>
        <v>#DIV/0!</v>
      </c>
      <c r="D1858" s="104" t="e">
        <f>AVERAGE(D1785:D1797,D1801:D1842)</f>
        <v>#DIV/0!</v>
      </c>
      <c r="E1858" s="104" t="e">
        <f>AVERAGE(E1785:E1793,E1801:E1814,E1817:E1830,E1833:E1844)</f>
        <v>#DIV/0!</v>
      </c>
      <c r="F1858" s="104" t="e">
        <f>AVERAGE(F1785:F1793,F1801:F1814,F1817:F1830,F1833:F1844)</f>
        <v>#DIV/0!</v>
      </c>
      <c r="G1858" s="104" t="e">
        <f>AVERAGE(G1785:G1813,G1817:G1824,G1833:G1845)</f>
        <v>#DIV/0!</v>
      </c>
      <c r="H1858" s="104" t="e">
        <f>AVERAGE(H1785:H1813,H1817:H1824,H1833:H1845)</f>
        <v>#DIV/0!</v>
      </c>
      <c r="I1858" s="104" t="e">
        <f>AVERAGE(I1785:I1792,I1801:I1810,I1817:I1825,I1833:I1840,I1846:I1857)</f>
        <v>#DIV/0!</v>
      </c>
      <c r="J1858" s="104" t="e">
        <f>AVERAGE(J1785:J1792,J1801:J1810,J1817:J1825,J1833:J1840,J1846:J1857)</f>
        <v>#DIV/0!</v>
      </c>
    </row>
    <row r="1859" spans="1:11">
      <c r="A1859" s="116" t="s">
        <v>267</v>
      </c>
      <c r="B1859" s="117" t="e">
        <f>SUM(D1858,F1858,H1858,J1858)</f>
        <v>#DIV/0!</v>
      </c>
      <c r="C1859" s="64" t="s">
        <v>268</v>
      </c>
      <c r="D1859" s="118" t="s">
        <v>269</v>
      </c>
      <c r="E1859" s="64" t="s">
        <v>268</v>
      </c>
      <c r="F1859" s="118" t="s">
        <v>269</v>
      </c>
      <c r="G1859" s="64" t="s">
        <v>268</v>
      </c>
      <c r="H1859" s="118" t="s">
        <v>269</v>
      </c>
      <c r="I1859" s="64" t="s">
        <v>268</v>
      </c>
      <c r="J1859" s="118" t="s">
        <v>269</v>
      </c>
    </row>
    <row r="1862" spans="1:11">
      <c r="A1862" s="503" t="s">
        <v>107</v>
      </c>
      <c r="B1862" s="503"/>
      <c r="C1862" s="503"/>
      <c r="D1862" s="503"/>
      <c r="E1862" s="503"/>
      <c r="F1862" s="503"/>
      <c r="G1862" s="503"/>
      <c r="H1862" s="503"/>
      <c r="I1862" s="503"/>
      <c r="J1862" s="504"/>
      <c r="K1862" s="109">
        <v>12</v>
      </c>
    </row>
    <row r="1863" spans="1:11" ht="34.799999999999997">
      <c r="A1863" s="74" t="s">
        <v>270</v>
      </c>
      <c r="B1863" s="74" t="s">
        <v>271</v>
      </c>
      <c r="C1863" s="74" t="s">
        <v>272</v>
      </c>
      <c r="D1863" s="74" t="s">
        <v>108</v>
      </c>
      <c r="E1863" s="74" t="s">
        <v>109</v>
      </c>
      <c r="F1863" s="75" t="s">
        <v>273</v>
      </c>
      <c r="G1863" s="74" t="s">
        <v>110</v>
      </c>
      <c r="H1863" s="74" t="s">
        <v>111</v>
      </c>
      <c r="I1863" s="74" t="s">
        <v>112</v>
      </c>
      <c r="J1863" s="74" t="s">
        <v>113</v>
      </c>
    </row>
    <row r="1864" spans="1:11">
      <c r="A1864" s="505" t="s">
        <v>274</v>
      </c>
      <c r="B1864" s="87" t="s">
        <v>114</v>
      </c>
      <c r="C1864" s="76" t="s">
        <v>275</v>
      </c>
      <c r="D1864" s="77">
        <v>1</v>
      </c>
      <c r="E1864" s="78">
        <v>1</v>
      </c>
      <c r="F1864" s="497" t="s">
        <v>276</v>
      </c>
      <c r="G1864" s="76">
        <v>105.48</v>
      </c>
      <c r="H1864" s="51">
        <v>25.5</v>
      </c>
      <c r="I1864" s="52">
        <v>26.6</v>
      </c>
      <c r="J1864" s="52">
        <v>25.947168858331978</v>
      </c>
    </row>
    <row r="1865" spans="1:11">
      <c r="A1865" s="506"/>
      <c r="B1865" s="87" t="s">
        <v>115</v>
      </c>
      <c r="C1865" s="76" t="s">
        <v>277</v>
      </c>
      <c r="D1865" s="77">
        <v>1</v>
      </c>
      <c r="E1865" s="78">
        <v>1</v>
      </c>
      <c r="F1865" s="498"/>
      <c r="G1865" s="76">
        <v>105.48</v>
      </c>
      <c r="H1865" s="51">
        <v>26</v>
      </c>
      <c r="I1865" s="52">
        <v>27.1</v>
      </c>
      <c r="J1865" s="52">
        <v>26.534160006693167</v>
      </c>
    </row>
    <row r="1866" spans="1:11">
      <c r="A1866" s="506"/>
      <c r="B1866" s="87" t="s">
        <v>116</v>
      </c>
      <c r="C1866" s="76" t="s">
        <v>117</v>
      </c>
      <c r="D1866" s="77">
        <v>1</v>
      </c>
      <c r="E1866" s="78">
        <v>1</v>
      </c>
      <c r="F1866" s="79"/>
      <c r="G1866" s="76">
        <v>105.48</v>
      </c>
      <c r="H1866" s="51">
        <v>26</v>
      </c>
      <c r="I1866" s="52">
        <v>27.1</v>
      </c>
      <c r="J1866" s="52">
        <v>26.612712003992765</v>
      </c>
    </row>
    <row r="1867" spans="1:11">
      <c r="A1867" s="507"/>
      <c r="B1867" s="87" t="s">
        <v>118</v>
      </c>
      <c r="C1867" s="76" t="s">
        <v>119</v>
      </c>
      <c r="D1867" s="77">
        <v>1</v>
      </c>
      <c r="E1867" s="78">
        <v>1</v>
      </c>
      <c r="F1867" s="79"/>
      <c r="G1867" s="76">
        <v>105.48</v>
      </c>
      <c r="H1867" s="51">
        <v>25.9</v>
      </c>
      <c r="I1867" s="52">
        <v>27</v>
      </c>
      <c r="J1867" s="52">
        <v>26.551582992080178</v>
      </c>
    </row>
    <row r="1868" spans="1:11">
      <c r="A1868" s="505" t="s">
        <v>278</v>
      </c>
      <c r="B1868" s="87" t="s">
        <v>120</v>
      </c>
      <c r="C1868" s="76" t="s">
        <v>279</v>
      </c>
      <c r="D1868" s="77">
        <v>1</v>
      </c>
      <c r="E1868" s="78">
        <v>1</v>
      </c>
      <c r="F1868" s="497" t="s">
        <v>276</v>
      </c>
      <c r="G1868" s="76">
        <v>105.48</v>
      </c>
      <c r="H1868" s="51">
        <v>19.5</v>
      </c>
      <c r="I1868" s="52">
        <v>28</v>
      </c>
      <c r="J1868" s="52">
        <v>26.562861558467784</v>
      </c>
    </row>
    <row r="1869" spans="1:11">
      <c r="A1869" s="506"/>
      <c r="B1869" s="87" t="s">
        <v>121</v>
      </c>
      <c r="C1869" s="76" t="s">
        <v>280</v>
      </c>
      <c r="D1869" s="77">
        <v>1</v>
      </c>
      <c r="E1869" s="78">
        <v>1</v>
      </c>
      <c r="F1869" s="498"/>
      <c r="G1869" s="76">
        <v>105.48</v>
      </c>
      <c r="H1869" s="51">
        <v>24.3</v>
      </c>
      <c r="I1869" s="52">
        <v>27.7</v>
      </c>
      <c r="J1869" s="52">
        <v>26.468817329979629</v>
      </c>
    </row>
    <row r="1870" spans="1:11">
      <c r="A1870" s="506"/>
      <c r="B1870" s="87" t="s">
        <v>122</v>
      </c>
      <c r="C1870" s="76" t="s">
        <v>123</v>
      </c>
      <c r="D1870" s="77">
        <v>1</v>
      </c>
      <c r="E1870" s="78">
        <v>1</v>
      </c>
      <c r="F1870" s="498"/>
      <c r="G1870" s="76">
        <v>105.48</v>
      </c>
      <c r="H1870" s="51">
        <v>17</v>
      </c>
      <c r="I1870" s="52">
        <v>27</v>
      </c>
      <c r="J1870" s="52">
        <v>21.191033060811872</v>
      </c>
    </row>
    <row r="1871" spans="1:11">
      <c r="A1871" s="506"/>
      <c r="B1871" s="87" t="s">
        <v>124</v>
      </c>
      <c r="C1871" s="76" t="s">
        <v>125</v>
      </c>
      <c r="D1871" s="77">
        <v>1</v>
      </c>
      <c r="E1871" s="78">
        <v>1</v>
      </c>
      <c r="F1871" s="498"/>
      <c r="G1871" s="76">
        <v>105.48</v>
      </c>
      <c r="H1871" s="51">
        <v>24.9</v>
      </c>
      <c r="I1871" s="52">
        <v>27.5</v>
      </c>
      <c r="J1871" s="52">
        <v>26.191250294344051</v>
      </c>
    </row>
    <row r="1872" spans="1:11">
      <c r="A1872" s="506"/>
      <c r="B1872" s="87" t="s">
        <v>126</v>
      </c>
      <c r="C1872" s="76" t="s">
        <v>281</v>
      </c>
      <c r="D1872" s="77">
        <v>1</v>
      </c>
      <c r="E1872" s="78">
        <v>1</v>
      </c>
      <c r="F1872" s="79"/>
      <c r="G1872" s="76">
        <v>70.319999999999993</v>
      </c>
      <c r="H1872" s="51">
        <v>13.9</v>
      </c>
      <c r="I1872" s="52">
        <v>26.3</v>
      </c>
      <c r="J1872" s="52">
        <v>24.473978140810075</v>
      </c>
    </row>
    <row r="1873" spans="1:10">
      <c r="A1873" s="506"/>
      <c r="B1873" s="87" t="s">
        <v>127</v>
      </c>
      <c r="C1873" s="76" t="s">
        <v>128</v>
      </c>
      <c r="D1873" s="77">
        <v>1</v>
      </c>
      <c r="E1873" s="78">
        <v>1</v>
      </c>
      <c r="F1873" s="79"/>
      <c r="G1873" s="76">
        <v>70.319999999999993</v>
      </c>
      <c r="H1873" s="51">
        <v>14.1</v>
      </c>
      <c r="I1873" s="52">
        <v>26.1</v>
      </c>
      <c r="J1873" s="52">
        <v>24.513090894548593</v>
      </c>
    </row>
    <row r="1874" spans="1:10">
      <c r="A1874" s="507"/>
      <c r="B1874" s="87" t="s">
        <v>129</v>
      </c>
      <c r="C1874" s="76" t="s">
        <v>130</v>
      </c>
      <c r="D1874" s="77">
        <v>1</v>
      </c>
      <c r="E1874" s="78">
        <v>1</v>
      </c>
      <c r="F1874" s="79"/>
      <c r="G1874" s="76">
        <v>70.319999999999993</v>
      </c>
      <c r="H1874" s="51">
        <v>14.8</v>
      </c>
      <c r="I1874" s="52">
        <v>26</v>
      </c>
      <c r="J1874" s="52">
        <v>24.625210701474238</v>
      </c>
    </row>
    <row r="1875" spans="1:10">
      <c r="A1875" s="496" t="s">
        <v>282</v>
      </c>
      <c r="B1875" s="87" t="s">
        <v>131</v>
      </c>
      <c r="C1875" s="76" t="s">
        <v>283</v>
      </c>
      <c r="D1875" s="77">
        <v>1</v>
      </c>
      <c r="E1875" s="78">
        <v>1</v>
      </c>
      <c r="F1875" s="497" t="s">
        <v>276</v>
      </c>
      <c r="G1875" s="76">
        <v>105.48</v>
      </c>
      <c r="H1875" s="51">
        <v>24</v>
      </c>
      <c r="I1875" s="52">
        <v>25.5</v>
      </c>
      <c r="J1875" s="52">
        <v>24.86613436981952</v>
      </c>
    </row>
    <row r="1876" spans="1:10">
      <c r="A1876" s="496"/>
      <c r="B1876" s="87" t="s">
        <v>132</v>
      </c>
      <c r="C1876" s="76" t="s">
        <v>133</v>
      </c>
      <c r="D1876" s="77">
        <v>1</v>
      </c>
      <c r="E1876" s="78">
        <v>1</v>
      </c>
      <c r="F1876" s="498"/>
      <c r="G1876" s="76">
        <v>105.48</v>
      </c>
      <c r="H1876" s="51">
        <v>24.4</v>
      </c>
      <c r="I1876" s="52">
        <v>25.9</v>
      </c>
      <c r="J1876" s="52">
        <v>25.221151651472233</v>
      </c>
    </row>
    <row r="1877" spans="1:10">
      <c r="A1877" s="496"/>
      <c r="B1877" s="87" t="s">
        <v>134</v>
      </c>
      <c r="C1877" s="76" t="s">
        <v>135</v>
      </c>
      <c r="D1877" s="77">
        <v>1</v>
      </c>
      <c r="E1877" s="78">
        <v>1</v>
      </c>
      <c r="F1877" s="498"/>
      <c r="G1877" s="80">
        <v>105.48</v>
      </c>
      <c r="H1877" s="51">
        <v>24.5</v>
      </c>
      <c r="I1877" s="52">
        <v>26.4</v>
      </c>
      <c r="J1877" s="52">
        <v>25.252246982879878</v>
      </c>
    </row>
    <row r="1878" spans="1:10">
      <c r="A1878" s="496"/>
      <c r="B1878" s="87" t="s">
        <v>136</v>
      </c>
      <c r="C1878" s="76" t="s">
        <v>137</v>
      </c>
      <c r="D1878" s="77">
        <v>1</v>
      </c>
      <c r="E1878" s="78">
        <v>1</v>
      </c>
      <c r="F1878" s="498"/>
      <c r="G1878" s="80">
        <v>105.48</v>
      </c>
      <c r="H1878" s="51">
        <v>24.1</v>
      </c>
      <c r="I1878" s="52">
        <v>26</v>
      </c>
      <c r="J1878" s="52">
        <v>24.844128275320063</v>
      </c>
    </row>
    <row r="1879" spans="1:10">
      <c r="A1879" s="496"/>
      <c r="B1879" s="87" t="s">
        <v>138</v>
      </c>
      <c r="C1879" s="76" t="s">
        <v>284</v>
      </c>
      <c r="D1879" s="77">
        <v>0</v>
      </c>
      <c r="E1879" s="78">
        <v>1</v>
      </c>
      <c r="F1879" s="497" t="s">
        <v>285</v>
      </c>
      <c r="G1879" s="76">
        <v>32.549999999999997</v>
      </c>
      <c r="H1879" s="112">
        <v>25.3</v>
      </c>
      <c r="I1879" s="112">
        <v>33.5</v>
      </c>
      <c r="J1879" s="112">
        <v>32.598777177207168</v>
      </c>
    </row>
    <row r="1880" spans="1:10">
      <c r="A1880" s="496"/>
      <c r="B1880" s="87" t="s">
        <v>139</v>
      </c>
      <c r="C1880" s="76" t="s">
        <v>140</v>
      </c>
      <c r="D1880" s="77">
        <v>0</v>
      </c>
      <c r="E1880" s="78">
        <v>1</v>
      </c>
      <c r="F1880" s="499"/>
      <c r="G1880" s="76">
        <v>32.549999999999997</v>
      </c>
      <c r="H1880" s="113">
        <v>23.4</v>
      </c>
      <c r="I1880" s="113">
        <v>27.2</v>
      </c>
      <c r="J1880" s="113">
        <v>26.023714421315294</v>
      </c>
    </row>
    <row r="1881" spans="1:10">
      <c r="A1881" s="496"/>
      <c r="B1881" s="87" t="s">
        <v>141</v>
      </c>
      <c r="C1881" s="76" t="s">
        <v>286</v>
      </c>
      <c r="D1881" s="77">
        <v>0</v>
      </c>
      <c r="E1881" s="78">
        <v>1</v>
      </c>
      <c r="F1881" s="497" t="s">
        <v>285</v>
      </c>
      <c r="G1881" s="76">
        <v>32.549999999999997</v>
      </c>
      <c r="H1881" s="113">
        <v>21.8</v>
      </c>
      <c r="I1881" s="113">
        <v>32.700000000000003</v>
      </c>
      <c r="J1881" s="113">
        <v>31.101890811719603</v>
      </c>
    </row>
    <row r="1882" spans="1:10">
      <c r="A1882" s="496"/>
      <c r="B1882" s="87" t="s">
        <v>142</v>
      </c>
      <c r="C1882" s="76" t="s">
        <v>143</v>
      </c>
      <c r="D1882" s="77">
        <v>1</v>
      </c>
      <c r="E1882" s="78">
        <v>1</v>
      </c>
      <c r="F1882" s="498"/>
      <c r="G1882" s="76">
        <v>32.549999999999997</v>
      </c>
      <c r="H1882" s="53">
        <v>22.5</v>
      </c>
      <c r="I1882" s="53">
        <v>27.8</v>
      </c>
      <c r="J1882" s="53">
        <v>26.137480201432698</v>
      </c>
    </row>
    <row r="1883" spans="1:10">
      <c r="A1883" s="496"/>
      <c r="B1883" s="87" t="s">
        <v>144</v>
      </c>
      <c r="C1883" s="76" t="s">
        <v>145</v>
      </c>
      <c r="D1883" s="77">
        <v>0</v>
      </c>
      <c r="E1883" s="78">
        <v>1</v>
      </c>
      <c r="F1883" s="498"/>
      <c r="G1883" s="76">
        <v>32.549999999999997</v>
      </c>
      <c r="H1883" s="113">
        <v>17.8</v>
      </c>
      <c r="I1883" s="113">
        <v>29.5</v>
      </c>
      <c r="J1883" s="113">
        <v>27.936542597126117</v>
      </c>
    </row>
    <row r="1884" spans="1:10">
      <c r="A1884" s="496"/>
      <c r="B1884" s="87" t="s">
        <v>146</v>
      </c>
      <c r="C1884" s="76" t="s">
        <v>147</v>
      </c>
      <c r="D1884" s="77">
        <v>1</v>
      </c>
      <c r="E1884" s="78">
        <v>1</v>
      </c>
      <c r="F1884" s="498"/>
      <c r="G1884" s="76">
        <v>32.549999999999997</v>
      </c>
      <c r="H1884" s="53">
        <v>21.4</v>
      </c>
      <c r="I1884" s="53">
        <v>26.9</v>
      </c>
      <c r="J1884" s="53">
        <v>24.703474713280034</v>
      </c>
    </row>
    <row r="1885" spans="1:10">
      <c r="A1885" s="496"/>
      <c r="B1885" s="87" t="s">
        <v>148</v>
      </c>
      <c r="C1885" s="76" t="s">
        <v>149</v>
      </c>
      <c r="D1885" s="77">
        <v>0</v>
      </c>
      <c r="E1885" s="78">
        <v>1</v>
      </c>
      <c r="F1885" s="498"/>
      <c r="G1885" s="76">
        <v>32.549999999999997</v>
      </c>
      <c r="H1885" s="53">
        <v>20.3</v>
      </c>
      <c r="I1885" s="53">
        <v>24.4</v>
      </c>
      <c r="J1885" s="53">
        <v>21.562160054259266</v>
      </c>
    </row>
    <row r="1886" spans="1:10">
      <c r="A1886" s="496"/>
      <c r="B1886" s="87" t="s">
        <v>150</v>
      </c>
      <c r="C1886" s="76" t="s">
        <v>151</v>
      </c>
      <c r="D1886" s="77">
        <v>1</v>
      </c>
      <c r="E1886" s="78">
        <v>1</v>
      </c>
      <c r="F1886" s="498"/>
      <c r="G1886" s="76">
        <v>32.549999999999997</v>
      </c>
      <c r="H1886" s="53">
        <v>21.2</v>
      </c>
      <c r="I1886" s="53">
        <v>24.2</v>
      </c>
      <c r="J1886" s="53">
        <v>23.427404201133758</v>
      </c>
    </row>
    <row r="1887" spans="1:10">
      <c r="A1887" s="496"/>
      <c r="B1887" s="87" t="s">
        <v>152</v>
      </c>
      <c r="C1887" s="76" t="s">
        <v>153</v>
      </c>
      <c r="D1887" s="77">
        <v>0</v>
      </c>
      <c r="E1887" s="78">
        <v>1</v>
      </c>
      <c r="F1887" s="498"/>
      <c r="G1887" s="76">
        <v>32.549999999999997</v>
      </c>
      <c r="H1887" s="113"/>
      <c r="I1887" s="113"/>
      <c r="J1887" s="113"/>
    </row>
    <row r="1888" spans="1:10">
      <c r="A1888" s="496"/>
      <c r="B1888" s="87" t="s">
        <v>154</v>
      </c>
      <c r="C1888" s="76" t="s">
        <v>155</v>
      </c>
      <c r="D1888" s="77">
        <v>0</v>
      </c>
      <c r="E1888" s="78">
        <v>1</v>
      </c>
      <c r="F1888" s="498"/>
      <c r="G1888" s="76">
        <v>32.549999999999997</v>
      </c>
      <c r="H1888" s="113">
        <v>18.399999999999999</v>
      </c>
      <c r="I1888" s="113">
        <v>99.5</v>
      </c>
      <c r="J1888" s="113">
        <v>22.382754481136075</v>
      </c>
    </row>
    <row r="1889" spans="1:10">
      <c r="A1889" s="496"/>
      <c r="B1889" s="87" t="s">
        <v>156</v>
      </c>
      <c r="C1889" s="76" t="s">
        <v>157</v>
      </c>
      <c r="D1889" s="77">
        <v>0</v>
      </c>
      <c r="E1889" s="78">
        <v>1</v>
      </c>
      <c r="F1889" s="498"/>
      <c r="G1889" s="76">
        <v>32.549999999999997</v>
      </c>
      <c r="H1889" s="113">
        <v>18.399999999999999</v>
      </c>
      <c r="I1889" s="113">
        <v>25.1</v>
      </c>
      <c r="J1889" s="113">
        <v>23.977183057851555</v>
      </c>
    </row>
    <row r="1890" spans="1:10">
      <c r="A1890" s="496"/>
      <c r="B1890" s="87" t="s">
        <v>158</v>
      </c>
      <c r="C1890" s="76" t="s">
        <v>159</v>
      </c>
      <c r="D1890" s="77">
        <v>0</v>
      </c>
      <c r="E1890" s="78">
        <v>1</v>
      </c>
      <c r="F1890" s="498"/>
      <c r="G1890" s="76">
        <v>32.549999999999997</v>
      </c>
      <c r="H1890" s="113">
        <v>17.7</v>
      </c>
      <c r="I1890" s="113">
        <v>29.2</v>
      </c>
      <c r="J1890" s="113">
        <v>21.609415322508042</v>
      </c>
    </row>
    <row r="1891" spans="1:10">
      <c r="A1891" s="496"/>
      <c r="B1891" s="87" t="s">
        <v>160</v>
      </c>
      <c r="C1891" s="76" t="s">
        <v>161</v>
      </c>
      <c r="D1891" s="77">
        <v>0</v>
      </c>
      <c r="E1891" s="78">
        <v>1</v>
      </c>
      <c r="F1891" s="498"/>
      <c r="G1891" s="76">
        <v>32.549999999999997</v>
      </c>
      <c r="H1891" s="113">
        <v>21.2</v>
      </c>
      <c r="I1891" s="113">
        <v>25.6</v>
      </c>
      <c r="J1891" s="113">
        <v>22.483006882817978</v>
      </c>
    </row>
    <row r="1892" spans="1:10">
      <c r="A1892" s="496"/>
      <c r="B1892" s="87" t="s">
        <v>162</v>
      </c>
      <c r="C1892" s="76" t="s">
        <v>163</v>
      </c>
      <c r="D1892" s="77">
        <v>0</v>
      </c>
      <c r="E1892" s="78">
        <v>1</v>
      </c>
      <c r="F1892" s="499"/>
      <c r="G1892" s="76">
        <v>32.549999999999997</v>
      </c>
      <c r="H1892" s="113">
        <v>19</v>
      </c>
      <c r="I1892" s="113">
        <v>23.8</v>
      </c>
      <c r="J1892" s="113">
        <v>21.875528539539498</v>
      </c>
    </row>
    <row r="1893" spans="1:10">
      <c r="A1893" s="496"/>
      <c r="B1893" s="87" t="s">
        <v>164</v>
      </c>
      <c r="C1893" s="76" t="s">
        <v>287</v>
      </c>
      <c r="D1893" s="77">
        <v>0</v>
      </c>
      <c r="E1893" s="78">
        <v>1</v>
      </c>
      <c r="F1893" s="497" t="s">
        <v>285</v>
      </c>
      <c r="G1893" s="76">
        <v>24.4</v>
      </c>
      <c r="H1893" s="113">
        <v>27.5</v>
      </c>
      <c r="I1893" s="113">
        <v>30</v>
      </c>
      <c r="J1893" s="113">
        <v>28.669886471256667</v>
      </c>
    </row>
    <row r="1894" spans="1:10">
      <c r="A1894" s="496"/>
      <c r="B1894" s="87" t="s">
        <v>165</v>
      </c>
      <c r="C1894" s="76" t="s">
        <v>166</v>
      </c>
      <c r="D1894" s="77">
        <v>0</v>
      </c>
      <c r="E1894" s="78">
        <v>1</v>
      </c>
      <c r="F1894" s="499"/>
      <c r="G1894" s="76">
        <v>24.4</v>
      </c>
      <c r="H1894" s="113">
        <v>26</v>
      </c>
      <c r="I1894" s="113">
        <v>28.5</v>
      </c>
      <c r="J1894" s="113">
        <v>27.101774468195114</v>
      </c>
    </row>
    <row r="1895" spans="1:10">
      <c r="A1895" s="496" t="s">
        <v>288</v>
      </c>
      <c r="B1895" s="87" t="s">
        <v>167</v>
      </c>
      <c r="C1895" s="76" t="s">
        <v>289</v>
      </c>
      <c r="D1895" s="77">
        <v>1</v>
      </c>
      <c r="E1895" s="78">
        <v>1</v>
      </c>
      <c r="F1895" s="497" t="s">
        <v>276</v>
      </c>
      <c r="G1895" s="76">
        <v>105.48</v>
      </c>
      <c r="H1895" s="51">
        <v>24.8</v>
      </c>
      <c r="I1895" s="53">
        <v>26</v>
      </c>
      <c r="J1895" s="53">
        <v>25.5657765485998</v>
      </c>
    </row>
    <row r="1896" spans="1:10">
      <c r="A1896" s="496"/>
      <c r="B1896" s="87" t="s">
        <v>168</v>
      </c>
      <c r="C1896" s="76" t="s">
        <v>169</v>
      </c>
      <c r="D1896" s="77">
        <v>1</v>
      </c>
      <c r="E1896" s="78">
        <v>1</v>
      </c>
      <c r="F1896" s="498"/>
      <c r="G1896" s="76">
        <v>105.48</v>
      </c>
      <c r="H1896" s="51">
        <v>24.6</v>
      </c>
      <c r="I1896" s="54">
        <v>25.8</v>
      </c>
      <c r="J1896" s="54">
        <v>25.342871866513704</v>
      </c>
    </row>
    <row r="1897" spans="1:10">
      <c r="A1897" s="496"/>
      <c r="B1897" s="87" t="s">
        <v>170</v>
      </c>
      <c r="C1897" s="76" t="s">
        <v>171</v>
      </c>
      <c r="D1897" s="77">
        <v>1</v>
      </c>
      <c r="E1897" s="78">
        <v>1</v>
      </c>
      <c r="F1897" s="498"/>
      <c r="G1897" s="76">
        <v>105.48</v>
      </c>
      <c r="H1897" s="51">
        <v>23.9</v>
      </c>
      <c r="I1897" s="52">
        <v>25.8</v>
      </c>
      <c r="J1897" s="52">
        <v>24.947314233142599</v>
      </c>
    </row>
    <row r="1898" spans="1:10">
      <c r="A1898" s="496"/>
      <c r="B1898" s="87" t="s">
        <v>172</v>
      </c>
      <c r="C1898" s="76" t="s">
        <v>173</v>
      </c>
      <c r="D1898" s="77">
        <v>1</v>
      </c>
      <c r="E1898" s="78">
        <v>1</v>
      </c>
      <c r="F1898" s="498"/>
      <c r="G1898" s="76">
        <v>105.48</v>
      </c>
      <c r="H1898" s="51">
        <v>24</v>
      </c>
      <c r="I1898" s="52">
        <v>25.7</v>
      </c>
      <c r="J1898" s="52">
        <v>24.962164505328346</v>
      </c>
    </row>
    <row r="1899" spans="1:10">
      <c r="A1899" s="496"/>
      <c r="B1899" s="87" t="s">
        <v>174</v>
      </c>
      <c r="C1899" s="76" t="s">
        <v>290</v>
      </c>
      <c r="D1899" s="77">
        <v>1</v>
      </c>
      <c r="E1899" s="78">
        <v>1</v>
      </c>
      <c r="F1899" s="498"/>
      <c r="G1899" s="76">
        <v>65</v>
      </c>
      <c r="H1899" s="55">
        <v>26.1</v>
      </c>
      <c r="I1899" s="55">
        <v>28.3</v>
      </c>
      <c r="J1899" s="55">
        <v>27.236223419018422</v>
      </c>
    </row>
    <row r="1900" spans="1:10">
      <c r="A1900" s="496"/>
      <c r="B1900" s="87" t="s">
        <v>175</v>
      </c>
      <c r="C1900" s="76" t="s">
        <v>176</v>
      </c>
      <c r="D1900" s="77">
        <v>1</v>
      </c>
      <c r="E1900" s="78">
        <v>1</v>
      </c>
      <c r="F1900" s="499"/>
      <c r="G1900" s="76">
        <v>65</v>
      </c>
      <c r="H1900" s="55">
        <v>24</v>
      </c>
      <c r="I1900" s="55">
        <v>26</v>
      </c>
      <c r="J1900" s="55">
        <v>24.516666666666666</v>
      </c>
    </row>
    <row r="1901" spans="1:10">
      <c r="A1901" s="496"/>
      <c r="B1901" s="87" t="s">
        <v>177</v>
      </c>
      <c r="C1901" s="76" t="s">
        <v>291</v>
      </c>
      <c r="D1901" s="77">
        <v>1</v>
      </c>
      <c r="E1901" s="78">
        <v>1</v>
      </c>
      <c r="F1901" s="497" t="s">
        <v>285</v>
      </c>
      <c r="G1901" s="76">
        <v>16.3</v>
      </c>
      <c r="H1901" s="55">
        <v>23.5</v>
      </c>
      <c r="I1901" s="55">
        <v>26</v>
      </c>
      <c r="J1901" s="55">
        <v>24.533991418670009</v>
      </c>
    </row>
    <row r="1902" spans="1:10">
      <c r="A1902" s="496"/>
      <c r="B1902" s="87" t="s">
        <v>178</v>
      </c>
      <c r="C1902" s="76" t="s">
        <v>179</v>
      </c>
      <c r="D1902" s="77">
        <v>1</v>
      </c>
      <c r="E1902" s="78">
        <v>1</v>
      </c>
      <c r="F1902" s="498"/>
      <c r="G1902" s="76">
        <v>16.3</v>
      </c>
      <c r="H1902" s="55">
        <v>21</v>
      </c>
      <c r="I1902" s="55">
        <v>24.5</v>
      </c>
      <c r="J1902" s="55">
        <v>22.917691723309261</v>
      </c>
    </row>
    <row r="1903" spans="1:10">
      <c r="A1903" s="496"/>
      <c r="B1903" s="87" t="s">
        <v>180</v>
      </c>
      <c r="C1903" s="76" t="s">
        <v>181</v>
      </c>
      <c r="D1903" s="77">
        <v>1</v>
      </c>
      <c r="E1903" s="78">
        <v>1</v>
      </c>
      <c r="F1903" s="498"/>
      <c r="G1903" s="76">
        <v>16.3</v>
      </c>
      <c r="H1903" s="55">
        <v>18</v>
      </c>
      <c r="I1903" s="55">
        <v>29.5</v>
      </c>
      <c r="J1903" s="55">
        <v>26.953550372958549</v>
      </c>
    </row>
    <row r="1904" spans="1:10">
      <c r="A1904" s="496"/>
      <c r="B1904" s="87" t="s">
        <v>292</v>
      </c>
      <c r="C1904" s="76" t="s">
        <v>182</v>
      </c>
      <c r="D1904" s="77">
        <v>1</v>
      </c>
      <c r="E1904" s="78">
        <v>1</v>
      </c>
      <c r="F1904" s="499"/>
      <c r="G1904" s="76">
        <v>35</v>
      </c>
      <c r="H1904" s="55">
        <v>24</v>
      </c>
      <c r="I1904" s="55">
        <v>26</v>
      </c>
      <c r="J1904" s="55">
        <v>24.855475787683329</v>
      </c>
    </row>
    <row r="1905" spans="1:10">
      <c r="H1905" s="66">
        <f>AVERAGE(H1864:H1878,H1884:H1886,H1895:H1904)</f>
        <v>22.346428571428572</v>
      </c>
      <c r="I1905" s="66">
        <f t="shared" ref="I1905" si="11">AVERAGE(I1864:I1878,I1884:I1886,I1895:I1904)</f>
        <v>26.403571428571421</v>
      </c>
      <c r="J1905" s="114">
        <f>AVERAGE(J1864:J1878,J1884:J1886,J1895:J1904,J1882)</f>
        <v>25.086819752862844</v>
      </c>
    </row>
    <row r="1906" spans="1:10">
      <c r="J1906" s="65" t="s">
        <v>264</v>
      </c>
    </row>
    <row r="1907" spans="1:10">
      <c r="A1907" s="503" t="s">
        <v>183</v>
      </c>
      <c r="B1907" s="503"/>
      <c r="C1907" s="503"/>
      <c r="D1907" s="503"/>
      <c r="E1907" s="503"/>
      <c r="F1907" s="503"/>
      <c r="G1907" s="503"/>
      <c r="H1907" s="503"/>
      <c r="I1907" s="503"/>
      <c r="J1907" s="504"/>
    </row>
    <row r="1908" spans="1:10" ht="34.799999999999997">
      <c r="A1908" s="74" t="s">
        <v>270</v>
      </c>
      <c r="B1908" s="74" t="s">
        <v>271</v>
      </c>
      <c r="C1908" s="74" t="s">
        <v>272</v>
      </c>
      <c r="D1908" s="74" t="s">
        <v>108</v>
      </c>
      <c r="E1908" s="74" t="s">
        <v>109</v>
      </c>
      <c r="F1908" s="75" t="s">
        <v>273</v>
      </c>
      <c r="G1908" s="74" t="s">
        <v>110</v>
      </c>
      <c r="H1908" s="74" t="s">
        <v>184</v>
      </c>
      <c r="I1908" s="74" t="s">
        <v>185</v>
      </c>
      <c r="J1908" s="74" t="s">
        <v>186</v>
      </c>
    </row>
    <row r="1909" spans="1:10">
      <c r="A1909" s="508" t="s">
        <v>274</v>
      </c>
      <c r="B1909" s="88" t="s">
        <v>114</v>
      </c>
      <c r="C1909" s="89" t="s">
        <v>275</v>
      </c>
      <c r="D1909" s="90">
        <v>1</v>
      </c>
      <c r="E1909" s="89">
        <v>1</v>
      </c>
      <c r="F1909" s="497" t="s">
        <v>276</v>
      </c>
      <c r="G1909" s="76">
        <v>105.48</v>
      </c>
      <c r="H1909" s="56">
        <v>24.1</v>
      </c>
      <c r="I1909" s="57">
        <v>46.6</v>
      </c>
      <c r="J1909" s="57">
        <v>36.875899645011756</v>
      </c>
    </row>
    <row r="1910" spans="1:10">
      <c r="A1910" s="509"/>
      <c r="B1910" s="88" t="s">
        <v>115</v>
      </c>
      <c r="C1910" s="89" t="s">
        <v>277</v>
      </c>
      <c r="D1910" s="90">
        <v>1</v>
      </c>
      <c r="E1910" s="89">
        <v>1</v>
      </c>
      <c r="F1910" s="498"/>
      <c r="G1910" s="76">
        <v>105.48</v>
      </c>
      <c r="H1910" s="56">
        <v>24.5</v>
      </c>
      <c r="I1910" s="57">
        <v>46.8</v>
      </c>
      <c r="J1910" s="57">
        <v>37.004108173574643</v>
      </c>
    </row>
    <row r="1911" spans="1:10">
      <c r="A1911" s="509"/>
      <c r="B1911" s="88" t="s">
        <v>116</v>
      </c>
      <c r="C1911" s="89" t="s">
        <v>117</v>
      </c>
      <c r="D1911" s="90">
        <v>1</v>
      </c>
      <c r="E1911" s="89">
        <v>1</v>
      </c>
      <c r="F1911" s="79"/>
      <c r="G1911" s="76">
        <v>105.48</v>
      </c>
      <c r="H1911" s="56">
        <v>25.7</v>
      </c>
      <c r="I1911" s="57">
        <v>45.6</v>
      </c>
      <c r="J1911" s="57">
        <v>36.984516441492424</v>
      </c>
    </row>
    <row r="1912" spans="1:10">
      <c r="A1912" s="510"/>
      <c r="B1912" s="88" t="s">
        <v>118</v>
      </c>
      <c r="C1912" s="89" t="s">
        <v>119</v>
      </c>
      <c r="D1912" s="90">
        <v>1</v>
      </c>
      <c r="E1912" s="89">
        <v>1</v>
      </c>
      <c r="F1912" s="79"/>
      <c r="G1912" s="76">
        <v>105.48</v>
      </c>
      <c r="H1912" s="56">
        <v>23.2</v>
      </c>
      <c r="I1912" s="57">
        <v>44.2</v>
      </c>
      <c r="J1912" s="57">
        <v>35.156717090807682</v>
      </c>
    </row>
    <row r="1913" spans="1:10">
      <c r="A1913" s="496" t="s">
        <v>278</v>
      </c>
      <c r="B1913" s="87" t="s">
        <v>120</v>
      </c>
      <c r="C1913" s="76" t="s">
        <v>279</v>
      </c>
      <c r="D1913" s="77">
        <v>1</v>
      </c>
      <c r="E1913" s="78">
        <v>1</v>
      </c>
      <c r="F1913" s="497" t="s">
        <v>276</v>
      </c>
      <c r="G1913" s="76">
        <v>105.48</v>
      </c>
      <c r="H1913" s="56">
        <v>22.8</v>
      </c>
      <c r="I1913" s="57">
        <v>73.8</v>
      </c>
      <c r="J1913" s="57">
        <v>37.251804931220235</v>
      </c>
    </row>
    <row r="1914" spans="1:10">
      <c r="A1914" s="496"/>
      <c r="B1914" s="87" t="s">
        <v>121</v>
      </c>
      <c r="C1914" s="76" t="s">
        <v>280</v>
      </c>
      <c r="D1914" s="77">
        <v>1</v>
      </c>
      <c r="E1914" s="78">
        <v>1</v>
      </c>
      <c r="F1914" s="498"/>
      <c r="G1914" s="76">
        <v>105.48</v>
      </c>
      <c r="H1914" s="56">
        <v>22.8</v>
      </c>
      <c r="I1914" s="57">
        <v>53.2</v>
      </c>
      <c r="J1914" s="57">
        <v>37.175433774739822</v>
      </c>
    </row>
    <row r="1915" spans="1:10">
      <c r="A1915" s="496"/>
      <c r="B1915" s="87" t="s">
        <v>122</v>
      </c>
      <c r="C1915" s="76" t="s">
        <v>123</v>
      </c>
      <c r="D1915" s="77">
        <v>1</v>
      </c>
      <c r="E1915" s="78">
        <v>1</v>
      </c>
      <c r="F1915" s="498"/>
      <c r="G1915" s="76">
        <v>105.48</v>
      </c>
      <c r="H1915" s="56">
        <v>37.299999999999997</v>
      </c>
      <c r="I1915" s="57">
        <v>66</v>
      </c>
      <c r="J1915" s="57">
        <v>49.840352179488214</v>
      </c>
    </row>
    <row r="1916" spans="1:10">
      <c r="A1916" s="496"/>
      <c r="B1916" s="87" t="s">
        <v>124</v>
      </c>
      <c r="C1916" s="76" t="s">
        <v>125</v>
      </c>
      <c r="D1916" s="77">
        <v>1</v>
      </c>
      <c r="E1916" s="78">
        <v>1</v>
      </c>
      <c r="F1916" s="498"/>
      <c r="G1916" s="76">
        <v>105.48</v>
      </c>
      <c r="H1916" s="56">
        <v>24</v>
      </c>
      <c r="I1916" s="57">
        <v>47.5</v>
      </c>
      <c r="J1916" s="57">
        <v>40.07350006711988</v>
      </c>
    </row>
    <row r="1917" spans="1:10">
      <c r="A1917" s="496" t="s">
        <v>282</v>
      </c>
      <c r="B1917" s="87" t="s">
        <v>131</v>
      </c>
      <c r="C1917" s="76" t="s">
        <v>283</v>
      </c>
      <c r="D1917" s="77">
        <v>1</v>
      </c>
      <c r="E1917" s="78">
        <v>1</v>
      </c>
      <c r="F1917" s="497" t="s">
        <v>276</v>
      </c>
      <c r="G1917" s="76">
        <v>105.48</v>
      </c>
      <c r="H1917" s="56">
        <v>22.5</v>
      </c>
      <c r="I1917" s="57">
        <v>45.8</v>
      </c>
      <c r="J1917" s="57">
        <v>38.195485835971027</v>
      </c>
    </row>
    <row r="1918" spans="1:10">
      <c r="A1918" s="496"/>
      <c r="B1918" s="87" t="s">
        <v>132</v>
      </c>
      <c r="C1918" s="76" t="s">
        <v>133</v>
      </c>
      <c r="D1918" s="77">
        <v>1</v>
      </c>
      <c r="E1918" s="78">
        <v>1</v>
      </c>
      <c r="F1918" s="498"/>
      <c r="G1918" s="76">
        <v>105.48</v>
      </c>
      <c r="H1918" s="56">
        <v>21.9</v>
      </c>
      <c r="I1918" s="57">
        <v>44.3</v>
      </c>
      <c r="J1918" s="57">
        <v>37.074655494835682</v>
      </c>
    </row>
    <row r="1919" spans="1:10">
      <c r="A1919" s="496"/>
      <c r="B1919" s="87" t="s">
        <v>134</v>
      </c>
      <c r="C1919" s="76" t="s">
        <v>135</v>
      </c>
      <c r="D1919" s="77">
        <v>1</v>
      </c>
      <c r="E1919" s="78">
        <v>1</v>
      </c>
      <c r="F1919" s="498"/>
      <c r="G1919" s="80">
        <v>105.48</v>
      </c>
      <c r="H1919" s="56">
        <v>20.9</v>
      </c>
      <c r="I1919" s="57">
        <v>39.5</v>
      </c>
      <c r="J1919" s="57">
        <v>34.962139230837934</v>
      </c>
    </row>
    <row r="1920" spans="1:10">
      <c r="A1920" s="496"/>
      <c r="B1920" s="87" t="s">
        <v>136</v>
      </c>
      <c r="C1920" s="76" t="s">
        <v>137</v>
      </c>
      <c r="D1920" s="77">
        <v>1</v>
      </c>
      <c r="E1920" s="78">
        <v>1</v>
      </c>
      <c r="F1920" s="498"/>
      <c r="G1920" s="80">
        <v>105.48</v>
      </c>
      <c r="H1920" s="56">
        <v>21.5</v>
      </c>
      <c r="I1920" s="57">
        <v>40.6</v>
      </c>
      <c r="J1920" s="57">
        <v>35.881135303974233</v>
      </c>
    </row>
    <row r="1921" spans="1:10">
      <c r="A1921" s="496"/>
      <c r="B1921" s="87" t="s">
        <v>138</v>
      </c>
      <c r="C1921" s="76" t="s">
        <v>284</v>
      </c>
      <c r="D1921" s="76">
        <v>0</v>
      </c>
      <c r="E1921" s="78">
        <v>1</v>
      </c>
      <c r="F1921" s="78">
        <v>1</v>
      </c>
      <c r="G1921" s="76">
        <v>32.549999999999997</v>
      </c>
      <c r="H1921" s="58">
        <v>25.8</v>
      </c>
      <c r="I1921" s="58">
        <v>31.6</v>
      </c>
      <c r="J1921" s="58">
        <v>26.354365316483779</v>
      </c>
    </row>
    <row r="1922" spans="1:10">
      <c r="A1922" s="496"/>
      <c r="B1922" s="87" t="s">
        <v>139</v>
      </c>
      <c r="C1922" s="76" t="s">
        <v>140</v>
      </c>
      <c r="D1922" s="76">
        <v>0</v>
      </c>
      <c r="E1922" s="78">
        <v>1</v>
      </c>
      <c r="F1922" s="78">
        <v>1</v>
      </c>
      <c r="G1922" s="76">
        <v>32.549999999999997</v>
      </c>
      <c r="H1922" s="59">
        <v>27.8</v>
      </c>
      <c r="I1922" s="59">
        <v>30.6</v>
      </c>
      <c r="J1922" s="59">
        <v>28.507460941612955</v>
      </c>
    </row>
    <row r="1923" spans="1:10">
      <c r="A1923" s="496"/>
      <c r="B1923" s="87" t="s">
        <v>141</v>
      </c>
      <c r="C1923" s="76" t="s">
        <v>286</v>
      </c>
      <c r="D1923" s="76">
        <v>0</v>
      </c>
      <c r="E1923" s="78">
        <v>1</v>
      </c>
      <c r="F1923" s="78">
        <v>1</v>
      </c>
      <c r="G1923" s="76">
        <v>32.549999999999997</v>
      </c>
      <c r="H1923" s="59">
        <v>24.4</v>
      </c>
      <c r="I1923" s="59">
        <v>31.6</v>
      </c>
      <c r="J1923" s="59">
        <v>25.308625390828567</v>
      </c>
    </row>
    <row r="1924" spans="1:10">
      <c r="A1924" s="496"/>
      <c r="B1924" s="87" t="s">
        <v>142</v>
      </c>
      <c r="C1924" s="76" t="s">
        <v>143</v>
      </c>
      <c r="D1924" s="76">
        <v>1</v>
      </c>
      <c r="E1924" s="78">
        <v>1</v>
      </c>
      <c r="F1924" s="78">
        <v>1</v>
      </c>
      <c r="G1924" s="76">
        <v>32.549999999999997</v>
      </c>
      <c r="H1924" s="60">
        <v>29</v>
      </c>
      <c r="I1924" s="60">
        <v>32.799999999999997</v>
      </c>
      <c r="J1924" s="60">
        <v>30.690526910212576</v>
      </c>
    </row>
    <row r="1925" spans="1:10">
      <c r="A1925" s="496"/>
      <c r="B1925" s="87" t="s">
        <v>144</v>
      </c>
      <c r="C1925" s="76" t="s">
        <v>145</v>
      </c>
      <c r="D1925" s="76">
        <v>0</v>
      </c>
      <c r="E1925" s="78">
        <v>1</v>
      </c>
      <c r="F1925" s="78">
        <v>1</v>
      </c>
      <c r="G1925" s="76">
        <v>32.549999999999997</v>
      </c>
      <c r="H1925" s="59">
        <v>24.4</v>
      </c>
      <c r="I1925" s="59">
        <v>32.5</v>
      </c>
      <c r="J1925" s="59">
        <v>25.450364206403666</v>
      </c>
    </row>
    <row r="1926" spans="1:10">
      <c r="A1926" s="496"/>
      <c r="B1926" s="87" t="s">
        <v>146</v>
      </c>
      <c r="C1926" s="76" t="s">
        <v>147</v>
      </c>
      <c r="D1926" s="76">
        <v>1</v>
      </c>
      <c r="E1926" s="78">
        <v>1</v>
      </c>
      <c r="F1926" s="78">
        <v>1</v>
      </c>
      <c r="G1926" s="76">
        <v>32.549999999999997</v>
      </c>
      <c r="H1926" s="60">
        <v>28.6</v>
      </c>
      <c r="I1926" s="60">
        <v>32.799999999999997</v>
      </c>
      <c r="J1926" s="60">
        <v>31.681985326236472</v>
      </c>
    </row>
    <row r="1927" spans="1:10">
      <c r="A1927" s="496"/>
      <c r="B1927" s="87" t="s">
        <v>148</v>
      </c>
      <c r="C1927" s="76" t="s">
        <v>149</v>
      </c>
      <c r="D1927" s="76">
        <v>0</v>
      </c>
      <c r="E1927" s="78">
        <v>1</v>
      </c>
      <c r="F1927" s="78">
        <v>1</v>
      </c>
      <c r="G1927" s="76">
        <v>32.549999999999997</v>
      </c>
      <c r="H1927" s="60">
        <v>30.1</v>
      </c>
      <c r="I1927" s="60">
        <v>32.5</v>
      </c>
      <c r="J1927" s="60">
        <v>31.839196380938393</v>
      </c>
    </row>
    <row r="1928" spans="1:10">
      <c r="A1928" s="496"/>
      <c r="B1928" s="87" t="s">
        <v>150</v>
      </c>
      <c r="C1928" s="76" t="s">
        <v>151</v>
      </c>
      <c r="D1928" s="76">
        <v>1</v>
      </c>
      <c r="E1928" s="78">
        <v>1</v>
      </c>
      <c r="F1928" s="78">
        <v>1</v>
      </c>
      <c r="G1928" s="76">
        <v>32.549999999999997</v>
      </c>
      <c r="H1928" s="60">
        <v>30.7</v>
      </c>
      <c r="I1928" s="60">
        <v>32.6</v>
      </c>
      <c r="J1928" s="60">
        <v>31.343251116148533</v>
      </c>
    </row>
    <row r="1929" spans="1:10">
      <c r="A1929" s="496"/>
      <c r="B1929" s="87" t="s">
        <v>152</v>
      </c>
      <c r="C1929" s="76" t="s">
        <v>153</v>
      </c>
      <c r="D1929" s="76">
        <v>0</v>
      </c>
      <c r="E1929" s="78">
        <v>1</v>
      </c>
      <c r="F1929" s="78">
        <v>1</v>
      </c>
      <c r="G1929" s="76">
        <v>32.549999999999997</v>
      </c>
      <c r="H1929" s="59"/>
      <c r="I1929" s="59"/>
      <c r="J1929" s="59"/>
    </row>
    <row r="1930" spans="1:10">
      <c r="A1930" s="496"/>
      <c r="B1930" s="87" t="s">
        <v>154</v>
      </c>
      <c r="C1930" s="76" t="s">
        <v>155</v>
      </c>
      <c r="D1930" s="76">
        <v>0</v>
      </c>
      <c r="E1930" s="78">
        <v>1</v>
      </c>
      <c r="F1930" s="78">
        <v>1</v>
      </c>
      <c r="G1930" s="76">
        <v>32.549999999999997</v>
      </c>
      <c r="H1930" s="59">
        <v>28.4</v>
      </c>
      <c r="I1930" s="59">
        <v>29.9</v>
      </c>
      <c r="J1930" s="59">
        <v>29.630716247788403</v>
      </c>
    </row>
    <row r="1931" spans="1:10">
      <c r="A1931" s="496"/>
      <c r="B1931" s="87" t="s">
        <v>156</v>
      </c>
      <c r="C1931" s="76" t="s">
        <v>157</v>
      </c>
      <c r="D1931" s="76">
        <v>0</v>
      </c>
      <c r="E1931" s="78">
        <v>1</v>
      </c>
      <c r="F1931" s="78">
        <v>1</v>
      </c>
      <c r="G1931" s="76">
        <v>32.549999999999997</v>
      </c>
      <c r="H1931" s="59">
        <v>26.3</v>
      </c>
      <c r="I1931" s="59">
        <v>30.6</v>
      </c>
      <c r="J1931" s="59">
        <v>26.935364994203944</v>
      </c>
    </row>
    <row r="1932" spans="1:10">
      <c r="A1932" s="496"/>
      <c r="B1932" s="87" t="s">
        <v>158</v>
      </c>
      <c r="C1932" s="76" t="s">
        <v>159</v>
      </c>
      <c r="D1932" s="76">
        <v>0</v>
      </c>
      <c r="E1932" s="78">
        <v>1</v>
      </c>
      <c r="F1932" s="78">
        <v>1</v>
      </c>
      <c r="G1932" s="76">
        <v>32.549999999999997</v>
      </c>
      <c r="H1932" s="59">
        <v>25.6</v>
      </c>
      <c r="I1932" s="59">
        <v>34</v>
      </c>
      <c r="J1932" s="59">
        <v>30.625999679618541</v>
      </c>
    </row>
    <row r="1933" spans="1:10">
      <c r="A1933" s="496"/>
      <c r="B1933" s="87" t="s">
        <v>160</v>
      </c>
      <c r="C1933" s="76" t="s">
        <v>161</v>
      </c>
      <c r="D1933" s="76">
        <v>0</v>
      </c>
      <c r="E1933" s="78">
        <v>1</v>
      </c>
      <c r="F1933" s="78">
        <v>1</v>
      </c>
      <c r="G1933" s="76">
        <v>32.549999999999997</v>
      </c>
      <c r="H1933" s="59">
        <v>27.7</v>
      </c>
      <c r="I1933" s="59">
        <v>30.4</v>
      </c>
      <c r="J1933" s="59">
        <v>29.382356535905735</v>
      </c>
    </row>
    <row r="1934" spans="1:10">
      <c r="A1934" s="496"/>
      <c r="B1934" s="87" t="s">
        <v>162</v>
      </c>
      <c r="C1934" s="76" t="s">
        <v>163</v>
      </c>
      <c r="D1934" s="76">
        <v>0</v>
      </c>
      <c r="E1934" s="78">
        <v>1</v>
      </c>
      <c r="F1934" s="78">
        <v>1</v>
      </c>
      <c r="G1934" s="76">
        <v>32.549999999999997</v>
      </c>
      <c r="H1934" s="59">
        <v>27</v>
      </c>
      <c r="I1934" s="59">
        <v>30.2</v>
      </c>
      <c r="J1934" s="59">
        <v>28.319564185557223</v>
      </c>
    </row>
    <row r="1935" spans="1:10">
      <c r="A1935" s="496"/>
      <c r="B1935" s="87" t="s">
        <v>164</v>
      </c>
      <c r="C1935" s="76" t="s">
        <v>287</v>
      </c>
      <c r="D1935" s="76">
        <v>0</v>
      </c>
      <c r="E1935" s="78">
        <v>1</v>
      </c>
      <c r="F1935" s="78">
        <v>1</v>
      </c>
      <c r="G1935" s="76">
        <v>24.4</v>
      </c>
      <c r="H1935" s="59">
        <v>26</v>
      </c>
      <c r="I1935" s="59">
        <v>27.5</v>
      </c>
      <c r="J1935" s="59">
        <v>26.918421650104822</v>
      </c>
    </row>
    <row r="1936" spans="1:10">
      <c r="A1936" s="496"/>
      <c r="B1936" s="87" t="s">
        <v>165</v>
      </c>
      <c r="C1936" s="76" t="s">
        <v>166</v>
      </c>
      <c r="D1936" s="76">
        <v>0</v>
      </c>
      <c r="E1936" s="78">
        <v>1</v>
      </c>
      <c r="F1936" s="78">
        <v>1</v>
      </c>
      <c r="G1936" s="76">
        <v>24.4</v>
      </c>
      <c r="H1936" s="59">
        <v>25.5</v>
      </c>
      <c r="I1936" s="59">
        <v>27.5</v>
      </c>
      <c r="J1936" s="59">
        <v>26.559773141544955</v>
      </c>
    </row>
    <row r="1937" spans="1:10">
      <c r="A1937" s="496" t="s">
        <v>288</v>
      </c>
      <c r="B1937" s="87" t="s">
        <v>167</v>
      </c>
      <c r="C1937" s="76" t="s">
        <v>289</v>
      </c>
      <c r="D1937" s="77">
        <v>1</v>
      </c>
      <c r="E1937" s="78">
        <v>1</v>
      </c>
      <c r="F1937" s="497" t="s">
        <v>276</v>
      </c>
      <c r="G1937" s="76">
        <v>105.48</v>
      </c>
      <c r="H1937" s="56">
        <v>25.7</v>
      </c>
      <c r="I1937" s="60">
        <v>39.700000000000003</v>
      </c>
      <c r="J1937" s="60">
        <v>35.190372604446353</v>
      </c>
    </row>
    <row r="1938" spans="1:10">
      <c r="A1938" s="496"/>
      <c r="B1938" s="87" t="s">
        <v>168</v>
      </c>
      <c r="C1938" s="76" t="s">
        <v>169</v>
      </c>
      <c r="D1938" s="77">
        <v>1</v>
      </c>
      <c r="E1938" s="78">
        <v>1</v>
      </c>
      <c r="F1938" s="498"/>
      <c r="G1938" s="76">
        <v>105.48</v>
      </c>
      <c r="H1938" s="56">
        <v>28.7</v>
      </c>
      <c r="I1938" s="61">
        <v>42.6</v>
      </c>
      <c r="J1938" s="61">
        <v>38.274867758099141</v>
      </c>
    </row>
    <row r="1939" spans="1:10">
      <c r="A1939" s="496"/>
      <c r="B1939" s="87" t="s">
        <v>170</v>
      </c>
      <c r="C1939" s="76" t="s">
        <v>171</v>
      </c>
      <c r="D1939" s="77">
        <v>1</v>
      </c>
      <c r="E1939" s="78">
        <v>1</v>
      </c>
      <c r="F1939" s="498"/>
      <c r="G1939" s="76">
        <v>105.48</v>
      </c>
      <c r="H1939" s="56">
        <v>27.4</v>
      </c>
      <c r="I1939" s="57">
        <v>45.8</v>
      </c>
      <c r="J1939" s="57">
        <v>40.447616220029126</v>
      </c>
    </row>
    <row r="1940" spans="1:10">
      <c r="A1940" s="496"/>
      <c r="B1940" s="87" t="s">
        <v>172</v>
      </c>
      <c r="C1940" s="76" t="s">
        <v>173</v>
      </c>
      <c r="D1940" s="77">
        <v>1</v>
      </c>
      <c r="E1940" s="78">
        <v>1</v>
      </c>
      <c r="F1940" s="498"/>
      <c r="G1940" s="76">
        <v>105.48</v>
      </c>
      <c r="H1940" s="56">
        <v>27</v>
      </c>
      <c r="I1940" s="57">
        <v>45.3</v>
      </c>
      <c r="J1940" s="57">
        <v>40.088349265555607</v>
      </c>
    </row>
    <row r="1941" spans="1:10">
      <c r="A1941" s="496"/>
      <c r="B1941" s="87" t="s">
        <v>174</v>
      </c>
      <c r="C1941" s="76" t="s">
        <v>290</v>
      </c>
      <c r="D1941" s="77">
        <v>1</v>
      </c>
      <c r="E1941" s="78">
        <v>1</v>
      </c>
      <c r="F1941" s="498"/>
      <c r="G1941" s="76">
        <v>65</v>
      </c>
      <c r="H1941" s="62">
        <v>30.6</v>
      </c>
      <c r="I1941" s="62">
        <v>40.6</v>
      </c>
      <c r="J1941" s="62">
        <v>37.47478447889106</v>
      </c>
    </row>
    <row r="1942" spans="1:10">
      <c r="A1942" s="496"/>
      <c r="B1942" s="87" t="s">
        <v>175</v>
      </c>
      <c r="C1942" s="76" t="s">
        <v>176</v>
      </c>
      <c r="D1942" s="77">
        <v>1</v>
      </c>
      <c r="E1942" s="78">
        <v>1</v>
      </c>
      <c r="F1942" s="499"/>
      <c r="G1942" s="76">
        <v>65</v>
      </c>
      <c r="H1942" s="62">
        <v>29</v>
      </c>
      <c r="I1942" s="62">
        <v>30</v>
      </c>
      <c r="J1942" s="62">
        <v>29.322365104728199</v>
      </c>
    </row>
    <row r="1943" spans="1:10">
      <c r="A1943" s="496"/>
      <c r="B1943" s="87" t="s">
        <v>177</v>
      </c>
      <c r="C1943" s="76" t="s">
        <v>291</v>
      </c>
      <c r="D1943" s="77">
        <v>1</v>
      </c>
      <c r="E1943" s="78">
        <v>1</v>
      </c>
      <c r="F1943" s="497" t="s">
        <v>285</v>
      </c>
      <c r="G1943" s="76">
        <v>16.3</v>
      </c>
      <c r="H1943" s="62">
        <v>30.5</v>
      </c>
      <c r="I1943" s="62">
        <v>34.5</v>
      </c>
      <c r="J1943" s="62">
        <v>31.691676637256574</v>
      </c>
    </row>
    <row r="1944" spans="1:10">
      <c r="A1944" s="496"/>
      <c r="B1944" s="87" t="s">
        <v>178</v>
      </c>
      <c r="C1944" s="76" t="s">
        <v>179</v>
      </c>
      <c r="D1944" s="77">
        <v>1</v>
      </c>
      <c r="E1944" s="78">
        <v>1</v>
      </c>
      <c r="F1944" s="498"/>
      <c r="G1944" s="76">
        <v>16.3</v>
      </c>
      <c r="H1944" s="62">
        <v>31</v>
      </c>
      <c r="I1944" s="62">
        <v>40.5</v>
      </c>
      <c r="J1944" s="62">
        <v>34.619817345292134</v>
      </c>
    </row>
    <row r="1945" spans="1:10">
      <c r="A1945" s="496"/>
      <c r="B1945" s="87" t="s">
        <v>180</v>
      </c>
      <c r="C1945" s="76" t="s">
        <v>181</v>
      </c>
      <c r="D1945" s="77">
        <v>1</v>
      </c>
      <c r="E1945" s="78">
        <v>1</v>
      </c>
      <c r="F1945" s="498"/>
      <c r="G1945" s="76">
        <v>16.3</v>
      </c>
      <c r="H1945" s="62">
        <v>28</v>
      </c>
      <c r="I1945" s="62">
        <v>45</v>
      </c>
      <c r="J1945" s="62">
        <v>30.126522635332051</v>
      </c>
    </row>
    <row r="1946" spans="1:10">
      <c r="A1946" s="496"/>
      <c r="B1946" s="87" t="s">
        <v>292</v>
      </c>
      <c r="C1946" s="76" t="s">
        <v>182</v>
      </c>
      <c r="D1946" s="77">
        <v>1</v>
      </c>
      <c r="E1946" s="78">
        <v>1</v>
      </c>
      <c r="F1946" s="499"/>
      <c r="G1946" s="76">
        <v>35</v>
      </c>
      <c r="H1946" s="62">
        <v>31.5</v>
      </c>
      <c r="I1946" s="62">
        <v>50.1</v>
      </c>
      <c r="J1946" s="62">
        <v>44.617185412817626</v>
      </c>
    </row>
    <row r="1947" spans="1:10">
      <c r="A1947" s="496" t="s">
        <v>278</v>
      </c>
      <c r="B1947" s="87" t="s">
        <v>126</v>
      </c>
      <c r="C1947" s="76" t="s">
        <v>281</v>
      </c>
      <c r="D1947" s="77">
        <v>1</v>
      </c>
      <c r="E1947" s="78">
        <v>1</v>
      </c>
      <c r="F1947" s="91"/>
      <c r="G1947" s="76">
        <v>70.319999999999993</v>
      </c>
      <c r="H1947" s="62">
        <v>25.2</v>
      </c>
      <c r="I1947" s="62">
        <v>56.1</v>
      </c>
      <c r="J1947" s="62">
        <v>38.445655165716552</v>
      </c>
    </row>
    <row r="1948" spans="1:10">
      <c r="A1948" s="496"/>
      <c r="B1948" s="87" t="s">
        <v>127</v>
      </c>
      <c r="C1948" s="76" t="s">
        <v>128</v>
      </c>
      <c r="D1948" s="77">
        <v>1</v>
      </c>
      <c r="E1948" s="78">
        <v>1</v>
      </c>
      <c r="F1948" s="91"/>
      <c r="G1948" s="76">
        <v>70.319999999999993</v>
      </c>
      <c r="H1948" s="62">
        <v>25</v>
      </c>
      <c r="I1948" s="62">
        <v>56.2</v>
      </c>
      <c r="J1948" s="62">
        <v>37.517854848939081</v>
      </c>
    </row>
    <row r="1949" spans="1:10">
      <c r="A1949" s="496"/>
      <c r="B1949" s="87" t="s">
        <v>129</v>
      </c>
      <c r="C1949" s="76" t="s">
        <v>130</v>
      </c>
      <c r="D1949" s="77">
        <v>1</v>
      </c>
      <c r="E1949" s="78">
        <v>1</v>
      </c>
      <c r="F1949" s="91"/>
      <c r="G1949" s="76">
        <v>70.319999999999993</v>
      </c>
      <c r="H1949" s="62">
        <v>24.9</v>
      </c>
      <c r="I1949" s="62">
        <v>55.1</v>
      </c>
      <c r="J1949" s="62">
        <v>37.871109473847063</v>
      </c>
    </row>
    <row r="1950" spans="1:10">
      <c r="H1950" s="92">
        <f>AVERAGE(H1909:H1920,H1926:H1928,H1937:H1949)</f>
        <v>26.610714285714288</v>
      </c>
      <c r="I1950" s="92">
        <f>AVERAGE(I1909:I1920,I1926:I1928,I1937:I1949)</f>
        <v>45.474999999999987</v>
      </c>
      <c r="J1950" s="115">
        <f>AVERAGE(J1909:J1920,J1926:J1928,J1937:J1949,J1924)</f>
        <v>36.473064994950349</v>
      </c>
    </row>
    <row r="1951" spans="1:10">
      <c r="J1951" s="116" t="s">
        <v>265</v>
      </c>
    </row>
    <row r="1952" spans="1:10">
      <c r="A1952" s="511" t="s">
        <v>293</v>
      </c>
      <c r="B1952" s="511"/>
      <c r="C1952" s="512" t="s">
        <v>187</v>
      </c>
      <c r="D1952" s="513"/>
      <c r="E1952" s="513" t="s">
        <v>188</v>
      </c>
      <c r="F1952" s="513"/>
      <c r="G1952" s="513" t="s">
        <v>189</v>
      </c>
      <c r="H1952" s="513"/>
      <c r="I1952" s="513" t="s">
        <v>190</v>
      </c>
      <c r="J1952" s="513"/>
    </row>
    <row r="1953" spans="1:10" ht="34.799999999999997">
      <c r="A1953" s="511"/>
      <c r="B1953" s="511"/>
      <c r="C1953" s="103" t="s">
        <v>191</v>
      </c>
      <c r="D1953" s="102" t="s">
        <v>192</v>
      </c>
      <c r="E1953" s="102" t="s">
        <v>191</v>
      </c>
      <c r="F1953" s="102" t="s">
        <v>192</v>
      </c>
      <c r="G1953" s="102" t="s">
        <v>191</v>
      </c>
      <c r="H1953" s="102" t="s">
        <v>192</v>
      </c>
      <c r="I1953" s="102" t="s">
        <v>191</v>
      </c>
      <c r="J1953" s="102" t="s">
        <v>192</v>
      </c>
    </row>
    <row r="1954" spans="1:10">
      <c r="A1954" s="500" t="s">
        <v>294</v>
      </c>
      <c r="B1954" s="101" t="s">
        <v>295</v>
      </c>
      <c r="C1954" s="94"/>
      <c r="D1954" s="93"/>
      <c r="E1954" s="94"/>
      <c r="F1954" s="93"/>
      <c r="G1954" s="94"/>
      <c r="H1954" s="93"/>
      <c r="I1954" s="94"/>
      <c r="J1954" s="93"/>
    </row>
    <row r="1955" spans="1:10">
      <c r="A1955" s="501"/>
      <c r="B1955" s="95" t="s">
        <v>193</v>
      </c>
      <c r="C1955" s="94"/>
      <c r="D1955" s="93"/>
      <c r="E1955" s="94"/>
      <c r="F1955" s="93"/>
      <c r="G1955" s="94"/>
      <c r="H1955" s="93"/>
      <c r="I1955" s="94"/>
      <c r="J1955" s="93"/>
    </row>
    <row r="1956" spans="1:10">
      <c r="A1956" s="501"/>
      <c r="B1956" s="95" t="s">
        <v>194</v>
      </c>
      <c r="C1956" s="94"/>
      <c r="D1956" s="93"/>
      <c r="E1956" s="94"/>
      <c r="F1956" s="93"/>
      <c r="G1956" s="94"/>
      <c r="H1956" s="93"/>
      <c r="I1956" s="94"/>
      <c r="J1956" s="93"/>
    </row>
    <row r="1957" spans="1:10">
      <c r="A1957" s="501"/>
      <c r="B1957" s="95" t="s">
        <v>195</v>
      </c>
      <c r="C1957" s="94"/>
      <c r="D1957" s="93"/>
      <c r="E1957" s="94"/>
      <c r="F1957" s="93"/>
      <c r="G1957" s="94"/>
      <c r="H1957" s="93"/>
      <c r="I1957" s="94"/>
      <c r="J1957" s="93"/>
    </row>
    <row r="1958" spans="1:10">
      <c r="A1958" s="501"/>
      <c r="B1958" s="95" t="s">
        <v>196</v>
      </c>
      <c r="C1958" s="94"/>
      <c r="D1958" s="93"/>
      <c r="E1958" s="94"/>
      <c r="F1958" s="93"/>
      <c r="G1958" s="94"/>
      <c r="H1958" s="93"/>
      <c r="I1958" s="94"/>
      <c r="J1958" s="93"/>
    </row>
    <row r="1959" spans="1:10">
      <c r="A1959" s="501"/>
      <c r="B1959" s="95" t="s">
        <v>197</v>
      </c>
      <c r="C1959" s="94"/>
      <c r="D1959" s="93"/>
      <c r="E1959" s="94"/>
      <c r="F1959" s="93"/>
      <c r="G1959" s="94"/>
      <c r="H1959" s="93"/>
      <c r="I1959" s="94"/>
      <c r="J1959" s="93"/>
    </row>
    <row r="1960" spans="1:10">
      <c r="A1960" s="501"/>
      <c r="B1960" s="95" t="s">
        <v>198</v>
      </c>
      <c r="C1960" s="94"/>
      <c r="D1960" s="93"/>
      <c r="E1960" s="94"/>
      <c r="F1960" s="93"/>
      <c r="G1960" s="94"/>
      <c r="H1960" s="93"/>
      <c r="I1960" s="94"/>
      <c r="J1960" s="93"/>
    </row>
    <row r="1961" spans="1:10">
      <c r="A1961" s="501"/>
      <c r="B1961" s="95" t="s">
        <v>199</v>
      </c>
      <c r="C1961" s="94"/>
      <c r="D1961" s="93"/>
      <c r="E1961" s="94"/>
      <c r="F1961" s="93"/>
      <c r="G1961" s="94"/>
      <c r="H1961" s="93"/>
      <c r="I1961" s="94"/>
      <c r="J1961" s="93"/>
    </row>
    <row r="1962" spans="1:10">
      <c r="A1962" s="501"/>
      <c r="B1962" s="95" t="s">
        <v>200</v>
      </c>
      <c r="C1962" s="94"/>
      <c r="D1962" s="93"/>
      <c r="E1962" s="94"/>
      <c r="F1962" s="93"/>
      <c r="G1962" s="94"/>
      <c r="H1962" s="93"/>
      <c r="I1962" s="99"/>
      <c r="J1962" s="100"/>
    </row>
    <row r="1963" spans="1:10">
      <c r="A1963" s="501"/>
      <c r="B1963" s="95" t="s">
        <v>201</v>
      </c>
      <c r="C1963" s="94"/>
      <c r="D1963" s="93"/>
      <c r="E1963" s="99"/>
      <c r="F1963" s="100"/>
      <c r="G1963" s="94"/>
      <c r="H1963" s="93"/>
      <c r="I1963" s="99"/>
      <c r="J1963" s="100"/>
    </row>
    <row r="1964" spans="1:10">
      <c r="A1964" s="501"/>
      <c r="B1964" s="95" t="s">
        <v>202</v>
      </c>
      <c r="C1964" s="94"/>
      <c r="D1964" s="93"/>
      <c r="E1964" s="99"/>
      <c r="F1964" s="100"/>
      <c r="G1964" s="94"/>
      <c r="H1964" s="93"/>
      <c r="I1964" s="99"/>
      <c r="J1964" s="100"/>
    </row>
    <row r="1965" spans="1:10">
      <c r="A1965" s="501"/>
      <c r="B1965" s="95" t="s">
        <v>203</v>
      </c>
      <c r="C1965" s="94"/>
      <c r="D1965" s="93"/>
      <c r="E1965" s="99"/>
      <c r="F1965" s="100"/>
      <c r="G1965" s="94"/>
      <c r="H1965" s="93"/>
      <c r="I1965" s="99"/>
      <c r="J1965" s="100"/>
    </row>
    <row r="1966" spans="1:10">
      <c r="A1966" s="501"/>
      <c r="B1966" s="95" t="s">
        <v>204</v>
      </c>
      <c r="C1966" s="94"/>
      <c r="D1966" s="93"/>
      <c r="E1966" s="99"/>
      <c r="F1966" s="100"/>
      <c r="G1966" s="94"/>
      <c r="H1966" s="93"/>
      <c r="I1966" s="99"/>
      <c r="J1966" s="100"/>
    </row>
    <row r="1967" spans="1:10">
      <c r="A1967" s="501"/>
      <c r="B1967" s="95" t="s">
        <v>205</v>
      </c>
      <c r="C1967" s="99"/>
      <c r="D1967" s="100"/>
      <c r="E1967" s="99"/>
      <c r="F1967" s="100"/>
      <c r="G1967" s="94"/>
      <c r="H1967" s="93"/>
      <c r="I1967" s="99"/>
      <c r="J1967" s="100"/>
    </row>
    <row r="1968" spans="1:10">
      <c r="A1968" s="501"/>
      <c r="B1968" s="95" t="s">
        <v>206</v>
      </c>
      <c r="C1968" s="99"/>
      <c r="D1968" s="100"/>
      <c r="E1968" s="99"/>
      <c r="F1968" s="100"/>
      <c r="G1968" s="94"/>
      <c r="H1968" s="93"/>
      <c r="I1968" s="99"/>
      <c r="J1968" s="100"/>
    </row>
    <row r="1969" spans="1:10">
      <c r="A1969" s="501"/>
      <c r="B1969" s="95" t="s">
        <v>207</v>
      </c>
      <c r="C1969" s="99"/>
      <c r="D1969" s="100"/>
      <c r="E1969" s="99"/>
      <c r="F1969" s="100"/>
      <c r="G1969" s="94"/>
      <c r="H1969" s="93"/>
      <c r="I1969" s="99"/>
      <c r="J1969" s="100"/>
    </row>
    <row r="1970" spans="1:10">
      <c r="A1970" s="501"/>
      <c r="B1970" s="96" t="s">
        <v>296</v>
      </c>
      <c r="C1970" s="94"/>
      <c r="D1970" s="93"/>
      <c r="E1970" s="94"/>
      <c r="F1970" s="93"/>
      <c r="G1970" s="94"/>
      <c r="H1970" s="93"/>
      <c r="I1970" s="94"/>
      <c r="J1970" s="93"/>
    </row>
    <row r="1971" spans="1:10">
      <c r="A1971" s="501"/>
      <c r="B1971" s="96" t="s">
        <v>208</v>
      </c>
      <c r="C1971" s="94"/>
      <c r="D1971" s="93"/>
      <c r="E1971" s="94"/>
      <c r="F1971" s="93"/>
      <c r="G1971" s="94"/>
      <c r="H1971" s="93"/>
      <c r="I1971" s="94"/>
      <c r="J1971" s="93"/>
    </row>
    <row r="1972" spans="1:10">
      <c r="A1972" s="501"/>
      <c r="B1972" s="96" t="s">
        <v>209</v>
      </c>
      <c r="C1972" s="94"/>
      <c r="D1972" s="93"/>
      <c r="E1972" s="94"/>
      <c r="F1972" s="93"/>
      <c r="G1972" s="94"/>
      <c r="H1972" s="93"/>
      <c r="I1972" s="94"/>
      <c r="J1972" s="93"/>
    </row>
    <row r="1973" spans="1:10">
      <c r="A1973" s="501"/>
      <c r="B1973" s="96" t="s">
        <v>210</v>
      </c>
      <c r="C1973" s="94"/>
      <c r="D1973" s="93"/>
      <c r="E1973" s="94"/>
      <c r="F1973" s="93"/>
      <c r="G1973" s="94"/>
      <c r="H1973" s="93"/>
      <c r="I1973" s="94"/>
      <c r="J1973" s="93"/>
    </row>
    <row r="1974" spans="1:10">
      <c r="A1974" s="501"/>
      <c r="B1974" s="96" t="s">
        <v>211</v>
      </c>
      <c r="C1974" s="94"/>
      <c r="D1974" s="93"/>
      <c r="E1974" s="94"/>
      <c r="F1974" s="93"/>
      <c r="G1974" s="94"/>
      <c r="H1974" s="93"/>
      <c r="I1974" s="94"/>
      <c r="J1974" s="93"/>
    </row>
    <row r="1975" spans="1:10">
      <c r="A1975" s="501"/>
      <c r="B1975" s="96" t="s">
        <v>212</v>
      </c>
      <c r="C1975" s="94"/>
      <c r="D1975" s="93"/>
      <c r="E1975" s="94"/>
      <c r="F1975" s="93"/>
      <c r="G1975" s="94"/>
      <c r="H1975" s="93"/>
      <c r="I1975" s="94"/>
      <c r="J1975" s="93"/>
    </row>
    <row r="1976" spans="1:10">
      <c r="A1976" s="501"/>
      <c r="B1976" s="96" t="s">
        <v>213</v>
      </c>
      <c r="C1976" s="94"/>
      <c r="D1976" s="93"/>
      <c r="E1976" s="94"/>
      <c r="F1976" s="93"/>
      <c r="G1976" s="94"/>
      <c r="H1976" s="93"/>
      <c r="I1976" s="94"/>
      <c r="J1976" s="93"/>
    </row>
    <row r="1977" spans="1:10">
      <c r="A1977" s="501"/>
      <c r="B1977" s="96" t="s">
        <v>214</v>
      </c>
      <c r="C1977" s="94"/>
      <c r="D1977" s="93"/>
      <c r="E1977" s="94"/>
      <c r="F1977" s="93"/>
      <c r="G1977" s="94"/>
      <c r="H1977" s="93"/>
      <c r="I1977" s="94"/>
      <c r="J1977" s="93"/>
    </row>
    <row r="1978" spans="1:10">
      <c r="A1978" s="501"/>
      <c r="B1978" s="96" t="s">
        <v>215</v>
      </c>
      <c r="C1978" s="94"/>
      <c r="D1978" s="93"/>
      <c r="E1978" s="94"/>
      <c r="F1978" s="93"/>
      <c r="G1978" s="94"/>
      <c r="H1978" s="93"/>
      <c r="I1978" s="94"/>
      <c r="J1978" s="93"/>
    </row>
    <row r="1979" spans="1:10">
      <c r="A1979" s="501"/>
      <c r="B1979" s="96" t="s">
        <v>216</v>
      </c>
      <c r="C1979" s="94"/>
      <c r="D1979" s="93"/>
      <c r="E1979" s="94"/>
      <c r="F1979" s="93"/>
      <c r="G1979" s="94"/>
      <c r="H1979" s="93"/>
      <c r="I1979" s="94"/>
      <c r="J1979" s="93"/>
    </row>
    <row r="1980" spans="1:10">
      <c r="A1980" s="501"/>
      <c r="B1980" s="96" t="s">
        <v>217</v>
      </c>
      <c r="C1980" s="94"/>
      <c r="D1980" s="93"/>
      <c r="E1980" s="94"/>
      <c r="F1980" s="93"/>
      <c r="G1980" s="94"/>
      <c r="H1980" s="93"/>
      <c r="I1980" s="99"/>
      <c r="J1980" s="100"/>
    </row>
    <row r="1981" spans="1:10">
      <c r="A1981" s="501"/>
      <c r="B1981" s="96" t="s">
        <v>218</v>
      </c>
      <c r="C1981" s="94"/>
      <c r="D1981" s="93"/>
      <c r="E1981" s="94"/>
      <c r="F1981" s="93"/>
      <c r="G1981" s="94"/>
      <c r="H1981" s="93"/>
      <c r="I1981" s="99"/>
      <c r="J1981" s="100"/>
    </row>
    <row r="1982" spans="1:10">
      <c r="A1982" s="501"/>
      <c r="B1982" s="96" t="s">
        <v>219</v>
      </c>
      <c r="C1982" s="94"/>
      <c r="D1982" s="93"/>
      <c r="E1982" s="94"/>
      <c r="F1982" s="93"/>
      <c r="G1982" s="94"/>
      <c r="H1982" s="93"/>
      <c r="I1982" s="99"/>
      <c r="J1982" s="100"/>
    </row>
    <row r="1983" spans="1:10">
      <c r="A1983" s="501"/>
      <c r="B1983" s="96" t="s">
        <v>220</v>
      </c>
      <c r="C1983" s="94"/>
      <c r="D1983" s="93"/>
      <c r="E1983" s="94"/>
      <c r="F1983" s="93"/>
      <c r="G1983" s="99"/>
      <c r="H1983" s="100"/>
      <c r="I1983" s="99"/>
      <c r="J1983" s="100"/>
    </row>
    <row r="1984" spans="1:10">
      <c r="A1984" s="501"/>
      <c r="B1984" s="96" t="s">
        <v>297</v>
      </c>
      <c r="C1984" s="94"/>
      <c r="D1984" s="93"/>
      <c r="E1984" s="99"/>
      <c r="F1984" s="100"/>
      <c r="G1984" s="99"/>
      <c r="H1984" s="100"/>
      <c r="I1984" s="99"/>
      <c r="J1984" s="100"/>
    </row>
    <row r="1985" spans="1:10">
      <c r="A1985" s="501"/>
      <c r="B1985" s="96" t="s">
        <v>221</v>
      </c>
      <c r="C1985" s="94"/>
      <c r="D1985" s="93"/>
      <c r="E1985" s="99"/>
      <c r="F1985" s="100"/>
      <c r="G1985" s="99"/>
      <c r="H1985" s="100"/>
      <c r="I1985" s="99"/>
      <c r="J1985" s="100"/>
    </row>
    <row r="1986" spans="1:10">
      <c r="A1986" s="501"/>
      <c r="B1986" s="97" t="s">
        <v>298</v>
      </c>
      <c r="C1986" s="94"/>
      <c r="D1986" s="93"/>
      <c r="E1986" s="94"/>
      <c r="F1986" s="93"/>
      <c r="G1986" s="94"/>
      <c r="H1986" s="93"/>
      <c r="I1986" s="94"/>
      <c r="J1986" s="93"/>
    </row>
    <row r="1987" spans="1:10">
      <c r="A1987" s="501"/>
      <c r="B1987" s="97" t="s">
        <v>222</v>
      </c>
      <c r="C1987" s="94"/>
      <c r="D1987" s="93"/>
      <c r="E1987" s="94"/>
      <c r="F1987" s="93"/>
      <c r="G1987" s="94"/>
      <c r="H1987" s="93"/>
      <c r="I1987" s="94"/>
      <c r="J1987" s="93"/>
    </row>
    <row r="1988" spans="1:10">
      <c r="A1988" s="501"/>
      <c r="B1988" s="97" t="s">
        <v>223</v>
      </c>
      <c r="C1988" s="94"/>
      <c r="D1988" s="93"/>
      <c r="E1988" s="94"/>
      <c r="F1988" s="93"/>
      <c r="G1988" s="94"/>
      <c r="H1988" s="93"/>
      <c r="I1988" s="94"/>
      <c r="J1988" s="93"/>
    </row>
    <row r="1989" spans="1:10">
      <c r="A1989" s="501"/>
      <c r="B1989" s="97" t="s">
        <v>224</v>
      </c>
      <c r="C1989" s="94"/>
      <c r="D1989" s="93"/>
      <c r="E1989" s="94"/>
      <c r="F1989" s="93"/>
      <c r="G1989" s="94"/>
      <c r="H1989" s="93"/>
      <c r="I1989" s="94"/>
      <c r="J1989" s="93"/>
    </row>
    <row r="1990" spans="1:10">
      <c r="A1990" s="501"/>
      <c r="B1990" s="97" t="s">
        <v>225</v>
      </c>
      <c r="C1990" s="94"/>
      <c r="D1990" s="93"/>
      <c r="E1990" s="94"/>
      <c r="F1990" s="93"/>
      <c r="G1990" s="94"/>
      <c r="H1990" s="93"/>
      <c r="I1990" s="94"/>
      <c r="J1990" s="93"/>
    </row>
    <row r="1991" spans="1:10">
      <c r="A1991" s="501"/>
      <c r="B1991" s="97" t="s">
        <v>226</v>
      </c>
      <c r="C1991" s="94"/>
      <c r="D1991" s="93"/>
      <c r="E1991" s="94"/>
      <c r="F1991" s="93"/>
      <c r="G1991" s="94"/>
      <c r="H1991" s="93"/>
      <c r="I1991" s="94"/>
      <c r="J1991" s="93"/>
    </row>
    <row r="1992" spans="1:10">
      <c r="A1992" s="501"/>
      <c r="B1992" s="97" t="s">
        <v>227</v>
      </c>
      <c r="C1992" s="94"/>
      <c r="D1992" s="93"/>
      <c r="E1992" s="94"/>
      <c r="F1992" s="93"/>
      <c r="G1992" s="94"/>
      <c r="H1992" s="93"/>
      <c r="I1992" s="94"/>
      <c r="J1992" s="93"/>
    </row>
    <row r="1993" spans="1:10">
      <c r="A1993" s="501"/>
      <c r="B1993" s="97" t="s">
        <v>228</v>
      </c>
      <c r="C1993" s="94"/>
      <c r="D1993" s="93"/>
      <c r="E1993" s="94"/>
      <c r="F1993" s="93"/>
      <c r="G1993" s="94"/>
      <c r="H1993" s="93"/>
      <c r="I1993" s="94"/>
      <c r="J1993" s="93"/>
    </row>
    <row r="1994" spans="1:10">
      <c r="A1994" s="501"/>
      <c r="B1994" s="97" t="s">
        <v>229</v>
      </c>
      <c r="C1994" s="94"/>
      <c r="D1994" s="93"/>
      <c r="E1994" s="94"/>
      <c r="F1994" s="93"/>
      <c r="G1994" s="99"/>
      <c r="H1994" s="100"/>
      <c r="I1994" s="94"/>
      <c r="J1994" s="93"/>
    </row>
    <row r="1995" spans="1:10">
      <c r="A1995" s="501"/>
      <c r="B1995" s="97" t="s">
        <v>230</v>
      </c>
      <c r="C1995" s="94"/>
      <c r="D1995" s="93"/>
      <c r="E1995" s="94"/>
      <c r="F1995" s="93"/>
      <c r="G1995" s="99"/>
      <c r="H1995" s="100"/>
      <c r="I1995" s="99"/>
      <c r="J1995" s="100"/>
    </row>
    <row r="1996" spans="1:10">
      <c r="A1996" s="501"/>
      <c r="B1996" s="97" t="s">
        <v>231</v>
      </c>
      <c r="C1996" s="94"/>
      <c r="D1996" s="93"/>
      <c r="E1996" s="94"/>
      <c r="F1996" s="93"/>
      <c r="G1996" s="99"/>
      <c r="H1996" s="100"/>
      <c r="I1996" s="99"/>
      <c r="J1996" s="100"/>
    </row>
    <row r="1997" spans="1:10">
      <c r="A1997" s="501"/>
      <c r="B1997" s="97" t="s">
        <v>232</v>
      </c>
      <c r="C1997" s="94"/>
      <c r="D1997" s="93"/>
      <c r="E1997" s="94"/>
      <c r="F1997" s="93"/>
      <c r="G1997" s="99"/>
      <c r="H1997" s="100"/>
      <c r="I1997" s="99"/>
      <c r="J1997" s="100"/>
    </row>
    <row r="1998" spans="1:10">
      <c r="A1998" s="501"/>
      <c r="B1998" s="97" t="s">
        <v>233</v>
      </c>
      <c r="C1998" s="94"/>
      <c r="D1998" s="93"/>
      <c r="E1998" s="94"/>
      <c r="F1998" s="93"/>
      <c r="G1998" s="99"/>
      <c r="H1998" s="100"/>
      <c r="I1998" s="99"/>
      <c r="J1998" s="100"/>
    </row>
    <row r="1999" spans="1:10">
      <c r="A1999" s="501"/>
      <c r="B1999" s="97" t="s">
        <v>234</v>
      </c>
      <c r="C1999" s="94"/>
      <c r="D1999" s="93"/>
      <c r="E1999" s="94"/>
      <c r="F1999" s="93"/>
      <c r="G1999" s="99"/>
      <c r="H1999" s="100"/>
      <c r="I1999" s="99"/>
      <c r="J1999" s="100"/>
    </row>
    <row r="2000" spans="1:10">
      <c r="A2000" s="501"/>
      <c r="B2000" s="97" t="s">
        <v>235</v>
      </c>
      <c r="C2000" s="94"/>
      <c r="D2000" s="93"/>
      <c r="E2000" s="99"/>
      <c r="F2000" s="100"/>
      <c r="G2000" s="99"/>
      <c r="H2000" s="100"/>
      <c r="I2000" s="99"/>
      <c r="J2000" s="100"/>
    </row>
    <row r="2001" spans="1:10">
      <c r="A2001" s="501"/>
      <c r="B2001" s="97" t="s">
        <v>236</v>
      </c>
      <c r="C2001" s="94"/>
      <c r="D2001" s="93"/>
      <c r="E2001" s="99"/>
      <c r="F2001" s="100"/>
      <c r="G2001" s="99"/>
      <c r="H2001" s="100"/>
      <c r="I2001" s="99"/>
      <c r="J2001" s="100"/>
    </row>
    <row r="2002" spans="1:10">
      <c r="A2002" s="501"/>
      <c r="B2002" s="98" t="s">
        <v>299</v>
      </c>
      <c r="C2002" s="94"/>
      <c r="D2002" s="93"/>
      <c r="E2002" s="94"/>
      <c r="F2002" s="93"/>
      <c r="G2002" s="94"/>
      <c r="H2002" s="93"/>
      <c r="I2002" s="94"/>
      <c r="J2002" s="93"/>
    </row>
    <row r="2003" spans="1:10">
      <c r="A2003" s="501"/>
      <c r="B2003" s="98" t="s">
        <v>237</v>
      </c>
      <c r="C2003" s="94"/>
      <c r="D2003" s="93"/>
      <c r="E2003" s="94"/>
      <c r="F2003" s="93"/>
      <c r="G2003" s="94"/>
      <c r="H2003" s="93"/>
      <c r="I2003" s="94"/>
      <c r="J2003" s="93"/>
    </row>
    <row r="2004" spans="1:10">
      <c r="A2004" s="501"/>
      <c r="B2004" s="98" t="s">
        <v>238</v>
      </c>
      <c r="C2004" s="94"/>
      <c r="D2004" s="93"/>
      <c r="E2004" s="94"/>
      <c r="F2004" s="93"/>
      <c r="G2004" s="94"/>
      <c r="H2004" s="93"/>
      <c r="I2004" s="94"/>
      <c r="J2004" s="93"/>
    </row>
    <row r="2005" spans="1:10">
      <c r="A2005" s="501"/>
      <c r="B2005" s="98" t="s">
        <v>239</v>
      </c>
      <c r="C2005" s="94"/>
      <c r="D2005" s="93"/>
      <c r="E2005" s="94"/>
      <c r="F2005" s="93"/>
      <c r="G2005" s="94"/>
      <c r="H2005" s="93"/>
      <c r="I2005" s="94"/>
      <c r="J2005" s="93"/>
    </row>
    <row r="2006" spans="1:10">
      <c r="A2006" s="501"/>
      <c r="B2006" s="98" t="s">
        <v>240</v>
      </c>
      <c r="C2006" s="94"/>
      <c r="D2006" s="93"/>
      <c r="E2006" s="94"/>
      <c r="F2006" s="93"/>
      <c r="G2006" s="94"/>
      <c r="H2006" s="93"/>
      <c r="I2006" s="94"/>
      <c r="J2006" s="93"/>
    </row>
    <row r="2007" spans="1:10">
      <c r="A2007" s="501"/>
      <c r="B2007" s="98" t="s">
        <v>241</v>
      </c>
      <c r="C2007" s="94"/>
      <c r="D2007" s="93"/>
      <c r="E2007" s="94"/>
      <c r="F2007" s="93"/>
      <c r="G2007" s="94"/>
      <c r="H2007" s="93"/>
      <c r="I2007" s="94"/>
      <c r="J2007" s="93"/>
    </row>
    <row r="2008" spans="1:10">
      <c r="A2008" s="501"/>
      <c r="B2008" s="98" t="s">
        <v>242</v>
      </c>
      <c r="C2008" s="94"/>
      <c r="D2008" s="93"/>
      <c r="E2008" s="94"/>
      <c r="F2008" s="93"/>
      <c r="G2008" s="94"/>
      <c r="H2008" s="93"/>
      <c r="I2008" s="94"/>
      <c r="J2008" s="93"/>
    </row>
    <row r="2009" spans="1:10">
      <c r="A2009" s="501"/>
      <c r="B2009" s="98" t="s">
        <v>243</v>
      </c>
      <c r="C2009" s="94"/>
      <c r="D2009" s="93"/>
      <c r="E2009" s="94"/>
      <c r="F2009" s="93"/>
      <c r="G2009" s="94"/>
      <c r="H2009" s="93"/>
      <c r="I2009" s="94"/>
      <c r="J2009" s="93"/>
    </row>
    <row r="2010" spans="1:10">
      <c r="A2010" s="501"/>
      <c r="B2010" s="98" t="s">
        <v>244</v>
      </c>
      <c r="C2010" s="94"/>
      <c r="D2010" s="93"/>
      <c r="E2010" s="94"/>
      <c r="F2010" s="93"/>
      <c r="G2010" s="94"/>
      <c r="H2010" s="93"/>
      <c r="I2010" s="99"/>
      <c r="J2010" s="100"/>
    </row>
    <row r="2011" spans="1:10">
      <c r="A2011" s="501"/>
      <c r="B2011" s="98" t="s">
        <v>245</v>
      </c>
      <c r="C2011" s="94"/>
      <c r="D2011" s="93"/>
      <c r="E2011" s="94"/>
      <c r="F2011" s="93"/>
      <c r="G2011" s="94"/>
      <c r="H2011" s="93"/>
      <c r="I2011" s="99"/>
      <c r="J2011" s="100"/>
    </row>
    <row r="2012" spans="1:10">
      <c r="A2012" s="501"/>
      <c r="B2012" s="98" t="s">
        <v>246</v>
      </c>
      <c r="C2012" s="99"/>
      <c r="D2012" s="100"/>
      <c r="E2012" s="94"/>
      <c r="F2012" s="93"/>
      <c r="G2012" s="94"/>
      <c r="H2012" s="93"/>
      <c r="I2012" s="99"/>
      <c r="J2012" s="100"/>
    </row>
    <row r="2013" spans="1:10">
      <c r="A2013" s="501"/>
      <c r="B2013" s="98" t="s">
        <v>247</v>
      </c>
      <c r="C2013" s="99"/>
      <c r="D2013" s="100"/>
      <c r="E2013" s="94"/>
      <c r="F2013" s="93"/>
      <c r="G2013" s="94"/>
      <c r="H2013" s="93"/>
      <c r="I2013" s="99"/>
      <c r="J2013" s="100"/>
    </row>
    <row r="2014" spans="1:10">
      <c r="A2014" s="501"/>
      <c r="B2014" s="98" t="s">
        <v>248</v>
      </c>
      <c r="C2014" s="99"/>
      <c r="D2014" s="100"/>
      <c r="E2014" s="99"/>
      <c r="F2014" s="100"/>
      <c r="G2014" s="94"/>
      <c r="H2014" s="93"/>
      <c r="I2014" s="99"/>
      <c r="J2014" s="100"/>
    </row>
    <row r="2015" spans="1:10">
      <c r="A2015" s="501"/>
      <c r="B2015" s="95" t="s">
        <v>300</v>
      </c>
      <c r="C2015" s="99"/>
      <c r="D2015" s="100"/>
      <c r="E2015" s="99"/>
      <c r="F2015" s="100"/>
      <c r="G2015" s="99"/>
      <c r="H2015" s="100"/>
      <c r="I2015" s="94"/>
      <c r="J2015" s="93"/>
    </row>
    <row r="2016" spans="1:10">
      <c r="A2016" s="501"/>
      <c r="B2016" s="95" t="s">
        <v>249</v>
      </c>
      <c r="C2016" s="99"/>
      <c r="D2016" s="100"/>
      <c r="E2016" s="99"/>
      <c r="F2016" s="100"/>
      <c r="G2016" s="99"/>
      <c r="H2016" s="100"/>
      <c r="I2016" s="94"/>
      <c r="J2016" s="93"/>
    </row>
    <row r="2017" spans="1:10">
      <c r="A2017" s="501"/>
      <c r="B2017" s="95" t="s">
        <v>250</v>
      </c>
      <c r="C2017" s="99"/>
      <c r="D2017" s="100"/>
      <c r="E2017" s="99"/>
      <c r="F2017" s="100"/>
      <c r="G2017" s="99"/>
      <c r="H2017" s="100"/>
      <c r="I2017" s="94"/>
      <c r="J2017" s="93"/>
    </row>
    <row r="2018" spans="1:10">
      <c r="A2018" s="501"/>
      <c r="B2018" s="95" t="s">
        <v>251</v>
      </c>
      <c r="C2018" s="99"/>
      <c r="D2018" s="100"/>
      <c r="E2018" s="99"/>
      <c r="F2018" s="100"/>
      <c r="G2018" s="99"/>
      <c r="H2018" s="100"/>
      <c r="I2018" s="94"/>
      <c r="J2018" s="93"/>
    </row>
    <row r="2019" spans="1:10">
      <c r="A2019" s="501"/>
      <c r="B2019" s="95" t="s">
        <v>252</v>
      </c>
      <c r="C2019" s="99"/>
      <c r="D2019" s="100"/>
      <c r="E2019" s="99"/>
      <c r="F2019" s="100"/>
      <c r="G2019" s="99"/>
      <c r="H2019" s="100"/>
      <c r="I2019" s="94"/>
      <c r="J2019" s="93"/>
    </row>
    <row r="2020" spans="1:10">
      <c r="A2020" s="501"/>
      <c r="B2020" s="95" t="s">
        <v>253</v>
      </c>
      <c r="C2020" s="99"/>
      <c r="D2020" s="100"/>
      <c r="E2020" s="99"/>
      <c r="F2020" s="100"/>
      <c r="G2020" s="99"/>
      <c r="H2020" s="100"/>
      <c r="I2020" s="94"/>
      <c r="J2020" s="93"/>
    </row>
    <row r="2021" spans="1:10">
      <c r="A2021" s="501"/>
      <c r="B2021" s="95" t="s">
        <v>254</v>
      </c>
      <c r="C2021" s="99"/>
      <c r="D2021" s="100"/>
      <c r="E2021" s="99"/>
      <c r="F2021" s="100"/>
      <c r="G2021" s="99"/>
      <c r="H2021" s="100"/>
      <c r="I2021" s="94"/>
      <c r="J2021" s="93"/>
    </row>
    <row r="2022" spans="1:10">
      <c r="A2022" s="501"/>
      <c r="B2022" s="95" t="s">
        <v>255</v>
      </c>
      <c r="C2022" s="99"/>
      <c r="D2022" s="100"/>
      <c r="E2022" s="99"/>
      <c r="F2022" s="100"/>
      <c r="G2022" s="99"/>
      <c r="H2022" s="100"/>
      <c r="I2022" s="94"/>
      <c r="J2022" s="93"/>
    </row>
    <row r="2023" spans="1:10">
      <c r="A2023" s="501"/>
      <c r="B2023" s="95" t="s">
        <v>256</v>
      </c>
      <c r="C2023" s="99"/>
      <c r="D2023" s="100"/>
      <c r="E2023" s="99"/>
      <c r="F2023" s="100"/>
      <c r="G2023" s="99"/>
      <c r="H2023" s="100"/>
      <c r="I2023" s="94"/>
      <c r="J2023" s="93"/>
    </row>
    <row r="2024" spans="1:10">
      <c r="A2024" s="501"/>
      <c r="B2024" s="95" t="s">
        <v>257</v>
      </c>
      <c r="C2024" s="99"/>
      <c r="D2024" s="100"/>
      <c r="E2024" s="99"/>
      <c r="F2024" s="100"/>
      <c r="G2024" s="99"/>
      <c r="H2024" s="100"/>
      <c r="I2024" s="94"/>
      <c r="J2024" s="93"/>
    </row>
    <row r="2025" spans="1:10">
      <c r="A2025" s="501"/>
      <c r="B2025" s="95" t="s">
        <v>258</v>
      </c>
      <c r="C2025" s="99"/>
      <c r="D2025" s="100"/>
      <c r="E2025" s="99"/>
      <c r="F2025" s="100"/>
      <c r="G2025" s="99"/>
      <c r="H2025" s="100"/>
      <c r="I2025" s="94"/>
      <c r="J2025" s="93"/>
    </row>
    <row r="2026" spans="1:10">
      <c r="A2026" s="502"/>
      <c r="B2026" s="95" t="s">
        <v>259</v>
      </c>
      <c r="C2026" s="99"/>
      <c r="D2026" s="100"/>
      <c r="E2026" s="99"/>
      <c r="F2026" s="100"/>
      <c r="G2026" s="99"/>
      <c r="H2026" s="100"/>
      <c r="I2026" s="94"/>
      <c r="J2026" s="93"/>
    </row>
    <row r="2027" spans="1:10">
      <c r="A2027" s="116" t="s">
        <v>266</v>
      </c>
      <c r="B2027" s="117" t="e">
        <f>SUM(C2027,E2027,G2027,I2027)</f>
        <v>#DIV/0!</v>
      </c>
      <c r="C2027" s="104" t="e">
        <f>AVERAGE(C1954:C1966,C1970:C2011)</f>
        <v>#DIV/0!</v>
      </c>
      <c r="D2027" s="104" t="e">
        <f>AVERAGE(D1954:D1966,D1970:D2011)</f>
        <v>#DIV/0!</v>
      </c>
      <c r="E2027" s="104" t="e">
        <f>AVERAGE(E1954:E1962,E1970:E1983,E1986:E1999,E2002:E2013)</f>
        <v>#DIV/0!</v>
      </c>
      <c r="F2027" s="104" t="e">
        <f>AVERAGE(F1954:F1962,F1970:F1983,F1986:F1999,F2002:F2013)</f>
        <v>#DIV/0!</v>
      </c>
      <c r="G2027" s="104" t="e">
        <f>AVERAGE(G1954:G1982,G1986:G1993,G2002:G2014)</f>
        <v>#DIV/0!</v>
      </c>
      <c r="H2027" s="104" t="e">
        <f>AVERAGE(H1954:H1982,H1986:H1993,H2002:H2014)</f>
        <v>#DIV/0!</v>
      </c>
      <c r="I2027" s="104" t="e">
        <f>AVERAGE(I1954:I1961,I1970:I1979,I1986:I1994,I2002:I2009,I2015:I2026)</f>
        <v>#DIV/0!</v>
      </c>
      <c r="J2027" s="104" t="e">
        <f>AVERAGE(J1954:J1961,J1970:J1979,J1986:J1994,J2002:J2009,J2015:J2026)</f>
        <v>#DIV/0!</v>
      </c>
    </row>
    <row r="2028" spans="1:10">
      <c r="A2028" s="116" t="s">
        <v>267</v>
      </c>
      <c r="B2028" s="117" t="e">
        <f>SUM(D2027,F2027,H2027,J2027)</f>
        <v>#DIV/0!</v>
      </c>
      <c r="C2028" s="64" t="s">
        <v>268</v>
      </c>
      <c r="D2028" s="118" t="s">
        <v>269</v>
      </c>
      <c r="E2028" s="64" t="s">
        <v>268</v>
      </c>
      <c r="F2028" s="118" t="s">
        <v>269</v>
      </c>
      <c r="G2028" s="64" t="s">
        <v>268</v>
      </c>
      <c r="H2028" s="118" t="s">
        <v>269</v>
      </c>
      <c r="I2028" s="64" t="s">
        <v>268</v>
      </c>
      <c r="J2028" s="118" t="s">
        <v>269</v>
      </c>
    </row>
  </sheetData>
  <mergeCells count="360">
    <mergeCell ref="I1952:J1952"/>
    <mergeCell ref="A1954:A2026"/>
    <mergeCell ref="A1947:A1949"/>
    <mergeCell ref="A1952:B1953"/>
    <mergeCell ref="C1952:D1952"/>
    <mergeCell ref="E1952:F1952"/>
    <mergeCell ref="G1952:H1952"/>
    <mergeCell ref="A1913:A1916"/>
    <mergeCell ref="F1913:F1916"/>
    <mergeCell ref="A1917:A1936"/>
    <mergeCell ref="F1917:F1920"/>
    <mergeCell ref="A1937:A1946"/>
    <mergeCell ref="F1937:F1942"/>
    <mergeCell ref="F1943:F1946"/>
    <mergeCell ref="A1895:A1904"/>
    <mergeCell ref="F1895:F1900"/>
    <mergeCell ref="F1901:F1904"/>
    <mergeCell ref="A1907:J1907"/>
    <mergeCell ref="A1909:A1912"/>
    <mergeCell ref="F1909:F1910"/>
    <mergeCell ref="A1868:A1874"/>
    <mergeCell ref="F1868:F1871"/>
    <mergeCell ref="A1875:A1894"/>
    <mergeCell ref="F1875:F1878"/>
    <mergeCell ref="F1879:F1880"/>
    <mergeCell ref="F1881:F1892"/>
    <mergeCell ref="F1893:F1894"/>
    <mergeCell ref="I1783:J1783"/>
    <mergeCell ref="A1785:A1857"/>
    <mergeCell ref="A1862:J1862"/>
    <mergeCell ref="A1864:A1867"/>
    <mergeCell ref="F1864:F1865"/>
    <mergeCell ref="A1778:A1780"/>
    <mergeCell ref="A1783:B1784"/>
    <mergeCell ref="C1783:D1783"/>
    <mergeCell ref="E1783:F1783"/>
    <mergeCell ref="G1783:H1783"/>
    <mergeCell ref="A1744:A1747"/>
    <mergeCell ref="F1744:F1747"/>
    <mergeCell ref="A1748:A1767"/>
    <mergeCell ref="F1748:F1751"/>
    <mergeCell ref="A1768:A1777"/>
    <mergeCell ref="F1768:F1773"/>
    <mergeCell ref="F1774:F1777"/>
    <mergeCell ref="A1726:A1735"/>
    <mergeCell ref="F1726:F1731"/>
    <mergeCell ref="F1732:F1735"/>
    <mergeCell ref="A1738:J1738"/>
    <mergeCell ref="A1740:A1743"/>
    <mergeCell ref="F1740:F1741"/>
    <mergeCell ref="A1699:A1705"/>
    <mergeCell ref="F1699:F1702"/>
    <mergeCell ref="A1706:A1725"/>
    <mergeCell ref="F1706:F1709"/>
    <mergeCell ref="F1710:F1711"/>
    <mergeCell ref="F1712:F1723"/>
    <mergeCell ref="F1724:F1725"/>
    <mergeCell ref="I1614:J1614"/>
    <mergeCell ref="A1616:A1688"/>
    <mergeCell ref="A1693:J1693"/>
    <mergeCell ref="A1695:A1698"/>
    <mergeCell ref="F1695:F1696"/>
    <mergeCell ref="A1609:A1611"/>
    <mergeCell ref="A1614:B1615"/>
    <mergeCell ref="C1614:D1614"/>
    <mergeCell ref="E1614:F1614"/>
    <mergeCell ref="G1614:H1614"/>
    <mergeCell ref="A1575:A1578"/>
    <mergeCell ref="F1575:F1578"/>
    <mergeCell ref="A1579:A1598"/>
    <mergeCell ref="F1579:F1582"/>
    <mergeCell ref="A1599:A1608"/>
    <mergeCell ref="F1599:F1604"/>
    <mergeCell ref="F1605:F1608"/>
    <mergeCell ref="A1557:A1566"/>
    <mergeCell ref="F1557:F1562"/>
    <mergeCell ref="F1563:F1566"/>
    <mergeCell ref="A1569:J1569"/>
    <mergeCell ref="A1571:A1574"/>
    <mergeCell ref="F1571:F1572"/>
    <mergeCell ref="A1530:A1536"/>
    <mergeCell ref="F1530:F1533"/>
    <mergeCell ref="A1537:A1556"/>
    <mergeCell ref="F1537:F1540"/>
    <mergeCell ref="F1541:F1542"/>
    <mergeCell ref="F1543:F1554"/>
    <mergeCell ref="F1555:F1556"/>
    <mergeCell ref="I1445:J1445"/>
    <mergeCell ref="A1447:A1519"/>
    <mergeCell ref="A1524:J1524"/>
    <mergeCell ref="A1526:A1529"/>
    <mergeCell ref="F1526:F1527"/>
    <mergeCell ref="A1440:A1442"/>
    <mergeCell ref="A1445:B1446"/>
    <mergeCell ref="C1445:D1445"/>
    <mergeCell ref="E1445:F1445"/>
    <mergeCell ref="G1445:H1445"/>
    <mergeCell ref="A1406:A1409"/>
    <mergeCell ref="F1406:F1409"/>
    <mergeCell ref="A1410:A1429"/>
    <mergeCell ref="F1410:F1413"/>
    <mergeCell ref="A1430:A1439"/>
    <mergeCell ref="F1430:F1435"/>
    <mergeCell ref="F1436:F1439"/>
    <mergeCell ref="A1388:A1397"/>
    <mergeCell ref="F1388:F1393"/>
    <mergeCell ref="F1394:F1397"/>
    <mergeCell ref="A1400:J1400"/>
    <mergeCell ref="A1402:A1405"/>
    <mergeCell ref="F1402:F1403"/>
    <mergeCell ref="A1361:A1367"/>
    <mergeCell ref="F1361:F1364"/>
    <mergeCell ref="A1368:A1387"/>
    <mergeCell ref="F1368:F1371"/>
    <mergeCell ref="F1372:F1373"/>
    <mergeCell ref="F1374:F1385"/>
    <mergeCell ref="F1386:F1387"/>
    <mergeCell ref="I1276:J1276"/>
    <mergeCell ref="A1278:A1350"/>
    <mergeCell ref="A1355:J1355"/>
    <mergeCell ref="A1357:A1360"/>
    <mergeCell ref="F1357:F1358"/>
    <mergeCell ref="A1271:A1273"/>
    <mergeCell ref="A1276:B1277"/>
    <mergeCell ref="C1276:D1276"/>
    <mergeCell ref="E1276:F1276"/>
    <mergeCell ref="G1276:H1276"/>
    <mergeCell ref="A1237:A1240"/>
    <mergeCell ref="F1237:F1240"/>
    <mergeCell ref="A1241:A1260"/>
    <mergeCell ref="F1241:F1244"/>
    <mergeCell ref="A1261:A1270"/>
    <mergeCell ref="F1261:F1266"/>
    <mergeCell ref="F1267:F1270"/>
    <mergeCell ref="A1219:A1228"/>
    <mergeCell ref="F1219:F1224"/>
    <mergeCell ref="F1225:F1228"/>
    <mergeCell ref="A1231:J1231"/>
    <mergeCell ref="A1233:A1236"/>
    <mergeCell ref="F1233:F1234"/>
    <mergeCell ref="A1192:A1198"/>
    <mergeCell ref="F1192:F1195"/>
    <mergeCell ref="A1199:A1218"/>
    <mergeCell ref="F1199:F1202"/>
    <mergeCell ref="F1203:F1204"/>
    <mergeCell ref="F1205:F1216"/>
    <mergeCell ref="F1217:F1218"/>
    <mergeCell ref="I1107:J1107"/>
    <mergeCell ref="A1109:A1181"/>
    <mergeCell ref="A1186:J1186"/>
    <mergeCell ref="A1188:A1191"/>
    <mergeCell ref="F1188:F1189"/>
    <mergeCell ref="A1102:A1104"/>
    <mergeCell ref="A1107:B1108"/>
    <mergeCell ref="C1107:D1107"/>
    <mergeCell ref="E1107:F1107"/>
    <mergeCell ref="G1107:H1107"/>
    <mergeCell ref="A1068:A1071"/>
    <mergeCell ref="F1068:F1071"/>
    <mergeCell ref="A1072:A1091"/>
    <mergeCell ref="F1072:F1075"/>
    <mergeCell ref="A1092:A1101"/>
    <mergeCell ref="F1092:F1097"/>
    <mergeCell ref="F1098:F1101"/>
    <mergeCell ref="A1050:A1059"/>
    <mergeCell ref="F1050:F1055"/>
    <mergeCell ref="F1056:F1059"/>
    <mergeCell ref="A1062:J1062"/>
    <mergeCell ref="A1064:A1067"/>
    <mergeCell ref="F1064:F1065"/>
    <mergeCell ref="A1023:A1029"/>
    <mergeCell ref="F1023:F1026"/>
    <mergeCell ref="A1030:A1049"/>
    <mergeCell ref="F1030:F1033"/>
    <mergeCell ref="F1034:F1035"/>
    <mergeCell ref="F1036:F1047"/>
    <mergeCell ref="F1048:F1049"/>
    <mergeCell ref="I938:J938"/>
    <mergeCell ref="A940:A1012"/>
    <mergeCell ref="A1017:J1017"/>
    <mergeCell ref="A1019:A1022"/>
    <mergeCell ref="F1019:F1020"/>
    <mergeCell ref="A933:A935"/>
    <mergeCell ref="A938:B939"/>
    <mergeCell ref="C938:D938"/>
    <mergeCell ref="E938:F938"/>
    <mergeCell ref="G938:H938"/>
    <mergeCell ref="A899:A902"/>
    <mergeCell ref="F899:F902"/>
    <mergeCell ref="A903:A922"/>
    <mergeCell ref="F903:F906"/>
    <mergeCell ref="A923:A932"/>
    <mergeCell ref="F923:F928"/>
    <mergeCell ref="F929:F932"/>
    <mergeCell ref="A881:A890"/>
    <mergeCell ref="F881:F886"/>
    <mergeCell ref="F887:F890"/>
    <mergeCell ref="A893:J893"/>
    <mergeCell ref="A895:A898"/>
    <mergeCell ref="F895:F896"/>
    <mergeCell ref="A854:A860"/>
    <mergeCell ref="F854:F857"/>
    <mergeCell ref="A861:A880"/>
    <mergeCell ref="F861:F864"/>
    <mergeCell ref="F865:F866"/>
    <mergeCell ref="F867:F878"/>
    <mergeCell ref="F879:F880"/>
    <mergeCell ref="I769:J769"/>
    <mergeCell ref="A771:A843"/>
    <mergeCell ref="A848:J848"/>
    <mergeCell ref="A850:A853"/>
    <mergeCell ref="F850:F851"/>
    <mergeCell ref="A764:A766"/>
    <mergeCell ref="A769:B770"/>
    <mergeCell ref="C769:D769"/>
    <mergeCell ref="E769:F769"/>
    <mergeCell ref="G769:H769"/>
    <mergeCell ref="A730:A733"/>
    <mergeCell ref="F730:F733"/>
    <mergeCell ref="A734:A753"/>
    <mergeCell ref="F734:F737"/>
    <mergeCell ref="A754:A763"/>
    <mergeCell ref="F754:F759"/>
    <mergeCell ref="F760:F763"/>
    <mergeCell ref="A712:A721"/>
    <mergeCell ref="F712:F717"/>
    <mergeCell ref="F718:F721"/>
    <mergeCell ref="A724:J724"/>
    <mergeCell ref="A726:A729"/>
    <mergeCell ref="F726:F727"/>
    <mergeCell ref="A685:A691"/>
    <mergeCell ref="F685:F688"/>
    <mergeCell ref="A692:A711"/>
    <mergeCell ref="F692:F695"/>
    <mergeCell ref="F696:F697"/>
    <mergeCell ref="F698:F709"/>
    <mergeCell ref="F710:F711"/>
    <mergeCell ref="I600:J600"/>
    <mergeCell ref="A602:A674"/>
    <mergeCell ref="A679:J679"/>
    <mergeCell ref="A681:A684"/>
    <mergeCell ref="F681:F682"/>
    <mergeCell ref="A595:A597"/>
    <mergeCell ref="A600:B601"/>
    <mergeCell ref="C600:D600"/>
    <mergeCell ref="E600:F600"/>
    <mergeCell ref="G600:H600"/>
    <mergeCell ref="A561:A564"/>
    <mergeCell ref="F561:F564"/>
    <mergeCell ref="A565:A584"/>
    <mergeCell ref="F565:F568"/>
    <mergeCell ref="A585:A594"/>
    <mergeCell ref="F585:F590"/>
    <mergeCell ref="F591:F594"/>
    <mergeCell ref="A543:A552"/>
    <mergeCell ref="F543:F548"/>
    <mergeCell ref="F549:F552"/>
    <mergeCell ref="A555:J555"/>
    <mergeCell ref="A557:A560"/>
    <mergeCell ref="F557:F558"/>
    <mergeCell ref="A516:A522"/>
    <mergeCell ref="F516:F519"/>
    <mergeCell ref="A523:A542"/>
    <mergeCell ref="F523:F526"/>
    <mergeCell ref="F527:F528"/>
    <mergeCell ref="F529:F540"/>
    <mergeCell ref="F541:F542"/>
    <mergeCell ref="I431:J431"/>
    <mergeCell ref="A433:A505"/>
    <mergeCell ref="A510:J510"/>
    <mergeCell ref="A512:A515"/>
    <mergeCell ref="F512:F513"/>
    <mergeCell ref="A426:A428"/>
    <mergeCell ref="A431:B432"/>
    <mergeCell ref="C431:D431"/>
    <mergeCell ref="E431:F431"/>
    <mergeCell ref="G431:H431"/>
    <mergeCell ref="A392:A395"/>
    <mergeCell ref="F392:F395"/>
    <mergeCell ref="A396:A415"/>
    <mergeCell ref="F396:F399"/>
    <mergeCell ref="A416:A425"/>
    <mergeCell ref="F416:F421"/>
    <mergeCell ref="F422:F425"/>
    <mergeCell ref="A374:A383"/>
    <mergeCell ref="F374:F379"/>
    <mergeCell ref="F380:F383"/>
    <mergeCell ref="A386:J386"/>
    <mergeCell ref="A388:A391"/>
    <mergeCell ref="F388:F389"/>
    <mergeCell ref="A347:A353"/>
    <mergeCell ref="F347:F350"/>
    <mergeCell ref="A354:A373"/>
    <mergeCell ref="F354:F357"/>
    <mergeCell ref="F358:F359"/>
    <mergeCell ref="F360:F371"/>
    <mergeCell ref="F372:F373"/>
    <mergeCell ref="I262:J262"/>
    <mergeCell ref="A264:A336"/>
    <mergeCell ref="A341:J341"/>
    <mergeCell ref="A343:A346"/>
    <mergeCell ref="F343:F344"/>
    <mergeCell ref="A257:A259"/>
    <mergeCell ref="A262:B263"/>
    <mergeCell ref="C262:D262"/>
    <mergeCell ref="E262:F262"/>
    <mergeCell ref="G262:H262"/>
    <mergeCell ref="A223:A226"/>
    <mergeCell ref="F223:F226"/>
    <mergeCell ref="A227:A246"/>
    <mergeCell ref="F227:F230"/>
    <mergeCell ref="A247:A256"/>
    <mergeCell ref="F247:F252"/>
    <mergeCell ref="F253:F256"/>
    <mergeCell ref="A205:A214"/>
    <mergeCell ref="F205:F210"/>
    <mergeCell ref="F211:F214"/>
    <mergeCell ref="A217:J217"/>
    <mergeCell ref="A219:A222"/>
    <mergeCell ref="F219:F220"/>
    <mergeCell ref="A185:A204"/>
    <mergeCell ref="F185:F188"/>
    <mergeCell ref="F189:F190"/>
    <mergeCell ref="F191:F202"/>
    <mergeCell ref="F203:F204"/>
    <mergeCell ref="A172:J172"/>
    <mergeCell ref="A174:A177"/>
    <mergeCell ref="F174:F175"/>
    <mergeCell ref="A178:A184"/>
    <mergeCell ref="F178:F181"/>
    <mergeCell ref="A93:B94"/>
    <mergeCell ref="C93:D93"/>
    <mergeCell ref="E93:F93"/>
    <mergeCell ref="G93:H93"/>
    <mergeCell ref="I93:J93"/>
    <mergeCell ref="A3:J3"/>
    <mergeCell ref="A5:A8"/>
    <mergeCell ref="A48:J48"/>
    <mergeCell ref="A50:A53"/>
    <mergeCell ref="F50:F51"/>
    <mergeCell ref="F5:F6"/>
    <mergeCell ref="F9:F12"/>
    <mergeCell ref="F42:F45"/>
    <mergeCell ref="A16:A35"/>
    <mergeCell ref="F16:F19"/>
    <mergeCell ref="F20:F21"/>
    <mergeCell ref="F22:F33"/>
    <mergeCell ref="F34:F35"/>
    <mergeCell ref="A9:A15"/>
    <mergeCell ref="A36:A45"/>
    <mergeCell ref="F36:F41"/>
    <mergeCell ref="A58:A77"/>
    <mergeCell ref="F58:F61"/>
    <mergeCell ref="A78:A87"/>
    <mergeCell ref="F78:F83"/>
    <mergeCell ref="F84:F87"/>
    <mergeCell ref="A88:A90"/>
    <mergeCell ref="A54:A57"/>
    <mergeCell ref="F54:F57"/>
    <mergeCell ref="A95:A167"/>
  </mergeCells>
  <phoneticPr fontId="1" type="noConversion"/>
  <conditionalFormatting sqref="I523:I525">
    <cfRule type="colorScale" priority="2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7">
    <cfRule type="colorScale" priority="2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8">
    <cfRule type="colorScale" priority="2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9">
    <cfRule type="colorScale" priority="20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0:I531">
    <cfRule type="colorScale" priority="2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34:I540">
    <cfRule type="colorScale" priority="20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2:I533">
    <cfRule type="colorScale" priority="2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1:I863">
    <cfRule type="colorScale" priority="20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5">
    <cfRule type="colorScale" priority="2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6">
    <cfRule type="colorScale" priority="2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7">
    <cfRule type="colorScale" priority="2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8:I869">
    <cfRule type="colorScale" priority="1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72:I878">
    <cfRule type="colorScale" priority="20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70:I871">
    <cfRule type="colorScale" priority="1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68:I1370">
    <cfRule type="colorScale" priority="1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2">
    <cfRule type="colorScale" priority="1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3">
    <cfRule type="colorScale" priority="1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4">
    <cfRule type="colorScale" priority="1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5:I1376">
    <cfRule type="colorScale" priority="1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9:I1385">
    <cfRule type="colorScale" priority="1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7:I1378">
    <cfRule type="colorScale" priority="1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37:I1539">
    <cfRule type="colorScale" priority="1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1">
    <cfRule type="colorScale" priority="18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2">
    <cfRule type="colorScale" priority="1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3">
    <cfRule type="colorScale" priority="1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4:I1545">
    <cfRule type="colorScale" priority="18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8:I1554">
    <cfRule type="colorScale" priority="1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6:I1547">
    <cfRule type="colorScale" priority="1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06:I1708">
    <cfRule type="colorScale" priority="1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10">
    <cfRule type="colorScale" priority="18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1">
    <cfRule type="colorScale" priority="18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2">
    <cfRule type="colorScale" priority="18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3:I1714">
    <cfRule type="colorScale" priority="17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717:I1723">
    <cfRule type="colorScale" priority="1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715:I1716">
    <cfRule type="colorScale" priority="17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75:J1878">
    <cfRule type="colorScale" priority="17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82">
    <cfRule type="colorScale" priority="17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4:J1885">
    <cfRule type="colorScale" priority="17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6">
    <cfRule type="colorScale" priority="17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95:J1896">
    <cfRule type="colorScale" priority="17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9:J1904">
    <cfRule type="colorScale" priority="17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64:J1874">
    <cfRule type="colorScale" priority="17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7:J1898">
    <cfRule type="colorScale" priority="16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17:J1920">
    <cfRule type="colorScale" priority="16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4">
    <cfRule type="colorScale" priority="16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6:J1927">
    <cfRule type="colorScale" priority="16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8">
    <cfRule type="colorScale" priority="16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37:J1938">
    <cfRule type="colorScale" priority="16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41:J1949">
    <cfRule type="colorScale" priority="16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09:J1916">
    <cfRule type="colorScale" priority="16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39:J1940">
    <cfRule type="colorScale" priority="16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2:J694">
    <cfRule type="colorScale" priority="15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9">
    <cfRule type="colorScale" priority="16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1:J702">
    <cfRule type="colorScale" priority="15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3">
    <cfRule type="colorScale" priority="15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12:J713">
    <cfRule type="colorScale" priority="15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6:J721">
    <cfRule type="colorScale" priority="15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81:J691">
    <cfRule type="colorScale" priority="15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4:J715">
    <cfRule type="colorScale" priority="15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34:J736">
    <cfRule type="colorScale" priority="14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41">
    <cfRule type="colorScale" priority="1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3:J744">
    <cfRule type="colorScale" priority="15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5">
    <cfRule type="colorScale" priority="15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54:J755">
    <cfRule type="colorScale" priority="14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8:J766">
    <cfRule type="colorScale" priority="14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26:J733">
    <cfRule type="colorScale" priority="14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6:J757">
    <cfRule type="colorScale" priority="14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0:J1032">
    <cfRule type="colorScale" priority="13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7">
    <cfRule type="colorScale" priority="14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39:J1040">
    <cfRule type="colorScale" priority="14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41">
    <cfRule type="colorScale" priority="14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50:J1051">
    <cfRule type="colorScale" priority="14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4:J1059">
    <cfRule type="colorScale" priority="1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19:J1029">
    <cfRule type="colorScale" priority="13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2:J1053">
    <cfRule type="colorScale" priority="13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2:J1074">
    <cfRule type="colorScale" priority="13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9">
    <cfRule type="colorScale" priority="13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1:J1082">
    <cfRule type="colorScale" priority="13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3">
    <cfRule type="colorScale" priority="1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92:J1093">
    <cfRule type="colorScale" priority="13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6:J1104">
    <cfRule type="colorScale" priority="1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64:J1071">
    <cfRule type="colorScale" priority="1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4:J1095">
    <cfRule type="colorScale" priority="1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199:J1201">
    <cfRule type="colorScale" priority="1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06">
    <cfRule type="colorScale" priority="1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08:J1209">
    <cfRule type="colorScale" priority="1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0">
    <cfRule type="colorScale" priority="1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9:J1220">
    <cfRule type="colorScale" priority="1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3:J1228">
    <cfRule type="colorScale" priority="1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188:J1198">
    <cfRule type="colorScale" priority="1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1:J1222">
    <cfRule type="colorScale" priority="1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1:J1243">
    <cfRule type="colorScale" priority="1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8">
    <cfRule type="colorScale" priority="1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0:J1251">
    <cfRule type="colorScale" priority="1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2">
    <cfRule type="colorScale" priority="1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61:J1262">
    <cfRule type="colorScale" priority="1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5:J1273">
    <cfRule type="colorScale" priority="1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33:J1240">
    <cfRule type="colorScale" priority="1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3:J1264">
    <cfRule type="colorScale" priority="1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54:J356">
    <cfRule type="colorScale" priority="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61">
    <cfRule type="colorScale" priority="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3:J364">
    <cfRule type="colorScale" priority="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5">
    <cfRule type="colorScale" priority="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74:J375">
    <cfRule type="colorScale" priority="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8:J383">
    <cfRule type="colorScale" priority="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43:J353">
    <cfRule type="colorScale" priority="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6:J377">
    <cfRule type="colorScale" priority="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96:J398">
    <cfRule type="colorScale" priority="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3">
    <cfRule type="colorScale" priority="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5:J406">
    <cfRule type="colorScale" priority="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7">
    <cfRule type="colorScale" priority="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16:J417">
    <cfRule type="colorScale" priority="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20:J428">
    <cfRule type="colorScale" priority="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88:J395">
    <cfRule type="colorScale" priority="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18:J419">
    <cfRule type="colorScale" priority="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6:J18">
    <cfRule type="colorScale" priority="2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">
    <cfRule type="colorScale" priority="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5:J26">
    <cfRule type="colorScale" priority="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7">
    <cfRule type="colorScale" priority="3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:J37">
    <cfRule type="colorScale" priority="2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:J45">
    <cfRule type="colorScale" priority="2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:J15">
    <cfRule type="colorScale" priority="2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8:J39">
    <cfRule type="colorScale" priority="2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58:J60">
    <cfRule type="colorScale" priority="1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5">
    <cfRule type="colorScale" priority="2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7:J68">
    <cfRule type="colorScale" priority="2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9">
    <cfRule type="colorScale" priority="2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8:J79">
    <cfRule type="colorScale" priority="2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2:J90">
    <cfRule type="colorScale" priority="2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0:J57">
    <cfRule type="colorScale" priority="1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0:J81">
    <cfRule type="colorScale" priority="1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5:J187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4:J195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6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05:J206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9:J214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:J184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7:J208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27:J229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4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6:J237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8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47:J248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51:J259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19:J226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49:J250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E774-DE1B-4982-AB5F-571D23A80D9A}">
  <dimension ref="A1:M5"/>
  <sheetViews>
    <sheetView zoomScale="130" zoomScaleNormal="130" workbookViewId="0">
      <selection activeCell="N1" sqref="N1"/>
    </sheetView>
  </sheetViews>
  <sheetFormatPr defaultRowHeight="17.399999999999999"/>
  <cols>
    <col min="1" max="1" width="9.19921875" customWidth="1"/>
    <col min="2" max="13" width="5.3984375" customWidth="1"/>
  </cols>
  <sheetData>
    <row r="1" spans="1:13" ht="22.95" customHeight="1">
      <c r="A1" s="514" t="s">
        <v>91</v>
      </c>
      <c r="B1" s="514"/>
      <c r="C1" s="514"/>
      <c r="D1" s="514"/>
      <c r="E1" s="514"/>
      <c r="F1" s="514"/>
      <c r="G1" s="514"/>
      <c r="H1" s="514"/>
      <c r="I1" s="514"/>
      <c r="J1" s="514"/>
      <c r="K1" s="514"/>
      <c r="L1" s="514"/>
      <c r="M1" s="514"/>
    </row>
    <row r="2" spans="1:13" ht="22.95" customHeight="1">
      <c r="A2" s="124" t="s">
        <v>92</v>
      </c>
      <c r="B2" s="125" t="s">
        <v>95</v>
      </c>
      <c r="C2" s="125" t="s">
        <v>96</v>
      </c>
      <c r="D2" s="125" t="s">
        <v>97</v>
      </c>
      <c r="E2" s="125" t="s">
        <v>98</v>
      </c>
      <c r="F2" s="125" t="s">
        <v>99</v>
      </c>
      <c r="G2" s="125" t="s">
        <v>100</v>
      </c>
      <c r="H2" s="125" t="s">
        <v>101</v>
      </c>
      <c r="I2" s="125" t="s">
        <v>102</v>
      </c>
      <c r="J2" s="125" t="s">
        <v>103</v>
      </c>
      <c r="K2" s="125" t="s">
        <v>104</v>
      </c>
      <c r="L2" s="125" t="s">
        <v>105</v>
      </c>
      <c r="M2" s="125" t="s">
        <v>106</v>
      </c>
    </row>
    <row r="3" spans="1:13" ht="22.95" customHeight="1">
      <c r="A3" s="126" t="s">
        <v>301</v>
      </c>
      <c r="B3" s="127">
        <f>'Temp&amp;Hum_Download'!O2</f>
        <v>25.086819752862844</v>
      </c>
      <c r="C3" s="127">
        <f>'Temp&amp;Hum_Download'!P2</f>
        <v>25.086819752862844</v>
      </c>
      <c r="D3" s="127">
        <f>'Temp&amp;Hum_Download'!Q2</f>
        <v>25.049296165413921</v>
      </c>
      <c r="E3" s="127" t="str">
        <f>'Temp&amp;Hum_Download'!R2</f>
        <v/>
      </c>
      <c r="F3" s="127">
        <f>'Temp&amp;Hum_Download'!S2</f>
        <v>25.086819752862844</v>
      </c>
      <c r="G3" s="127" t="str">
        <f>'Temp&amp;Hum_Download'!T2</f>
        <v/>
      </c>
      <c r="H3" s="127">
        <f>'Temp&amp;Hum_Download'!U2</f>
        <v>25.086819752862844</v>
      </c>
      <c r="I3" s="127">
        <f>'Temp&amp;Hum_Download'!V2</f>
        <v>25.086819752862844</v>
      </c>
      <c r="J3" s="127" t="str">
        <f>'Temp&amp;Hum_Download'!W2</f>
        <v/>
      </c>
      <c r="K3" s="127" t="str">
        <f>'Temp&amp;Hum_Download'!X2</f>
        <v/>
      </c>
      <c r="L3" s="127" t="str">
        <f>'Temp&amp;Hum_Download'!Y2</f>
        <v/>
      </c>
      <c r="M3" s="127">
        <f>'Temp&amp;Hum_Download'!Z2</f>
        <v>25.086819752862844</v>
      </c>
    </row>
    <row r="4" spans="1:13" ht="22.95" customHeight="1">
      <c r="A4" s="128" t="s">
        <v>94</v>
      </c>
      <c r="B4" s="129">
        <f>'Temp&amp;Hum_Download'!O3</f>
        <v>34.042797428590319</v>
      </c>
      <c r="C4" s="129">
        <f>'Temp&amp;Hum_Download'!P3</f>
        <v>36.473064994950349</v>
      </c>
      <c r="D4" s="129">
        <f>'Temp&amp;Hum_Download'!Q3</f>
        <v>36.679584212262412</v>
      </c>
      <c r="E4" s="129" t="str">
        <f>'Temp&amp;Hum_Download'!R3</f>
        <v/>
      </c>
      <c r="F4" s="129">
        <f>'Temp&amp;Hum_Download'!S3</f>
        <v>36.473064994950349</v>
      </c>
      <c r="G4" s="129" t="str">
        <f>'Temp&amp;Hum_Download'!T3</f>
        <v/>
      </c>
      <c r="H4" s="129">
        <f>'Temp&amp;Hum_Download'!U3</f>
        <v>36.473064994950349</v>
      </c>
      <c r="I4" s="129">
        <f>'Temp&amp;Hum_Download'!V3</f>
        <v>36.473064994950349</v>
      </c>
      <c r="J4" s="129" t="str">
        <f>'Temp&amp;Hum_Download'!W3</f>
        <v/>
      </c>
      <c r="K4" s="129" t="str">
        <f>'Temp&amp;Hum_Download'!X3</f>
        <v/>
      </c>
      <c r="L4" s="129" t="str">
        <f>'Temp&amp;Hum_Download'!Y3</f>
        <v/>
      </c>
      <c r="M4" s="129">
        <f>'Temp&amp;Hum_Download'!Z3</f>
        <v>36.473064994950349</v>
      </c>
    </row>
    <row r="5" spans="1:13" ht="22.95" customHeigh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</row>
  </sheetData>
  <mergeCells count="1">
    <mergeCell ref="A1:M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B521-2D36-4A92-8A17-E3B5DD2C4820}">
  <dimension ref="A1:LC1035"/>
  <sheetViews>
    <sheetView tabSelected="1" workbookViewId="0">
      <pane xSplit="1" ySplit="4" topLeftCell="K184" activePane="bottomRight" state="frozen"/>
      <selection pane="topRight" activeCell="B1" sqref="B1"/>
      <selection pane="bottomLeft" activeCell="A5" sqref="A5"/>
      <selection pane="bottomRight" activeCell="V3" sqref="V3"/>
    </sheetView>
  </sheetViews>
  <sheetFormatPr defaultRowHeight="17.399999999999999"/>
  <cols>
    <col min="1" max="1" width="12.59765625" customWidth="1"/>
    <col min="2" max="2" width="23.19921875" customWidth="1"/>
    <col min="3" max="3" width="24.796875" bestFit="1" customWidth="1"/>
    <col min="4" max="4" width="23.296875" customWidth="1"/>
    <col min="5" max="5" width="16.5" style="4" customWidth="1"/>
    <col min="6" max="6" width="27.59765625" bestFit="1" customWidth="1"/>
    <col min="7" max="7" width="20.3984375" bestFit="1" customWidth="1"/>
    <col min="8" max="8" width="18.59765625" bestFit="1" customWidth="1"/>
    <col min="9" max="9" width="12.296875" customWidth="1"/>
    <col min="10" max="10" width="11.8984375" bestFit="1" customWidth="1"/>
    <col min="12" max="12" width="16.09765625" style="4" bestFit="1" customWidth="1"/>
    <col min="13" max="14" width="21.3984375" style="4" bestFit="1" customWidth="1"/>
    <col min="15" max="15" width="23.8984375" style="4" bestFit="1" customWidth="1"/>
    <col min="16" max="16" width="24.09765625" customWidth="1"/>
    <col min="17" max="17" width="19.796875" customWidth="1"/>
    <col min="18" max="18" width="18.3984375" customWidth="1"/>
    <col min="19" max="19" width="13.69921875" customWidth="1"/>
  </cols>
  <sheetData>
    <row r="1" spans="1:222" ht="18" thickBot="1">
      <c r="A1" s="131" t="s">
        <v>302</v>
      </c>
      <c r="B1" s="132"/>
      <c r="C1" s="131"/>
      <c r="L1" s="161" t="s">
        <v>533</v>
      </c>
      <c r="M1" s="467">
        <f>_xlfn.NUMBERVALUE(MID(RIGHT(A1,10),6,2))</f>
        <v>11</v>
      </c>
      <c r="O1" s="267" t="s">
        <v>766</v>
      </c>
      <c r="P1" s="269" t="s">
        <v>1690</v>
      </c>
      <c r="Q1" s="268" t="s">
        <v>765</v>
      </c>
      <c r="R1" s="269" t="s">
        <v>1687</v>
      </c>
      <c r="S1" s="461" t="s">
        <v>1688</v>
      </c>
      <c r="T1" s="313"/>
    </row>
    <row r="2" spans="1:222" ht="25.8" customHeight="1" thickBot="1">
      <c r="A2" s="158" t="s">
        <v>532</v>
      </c>
      <c r="B2" s="159"/>
      <c r="C2" s="159"/>
      <c r="D2" s="159"/>
      <c r="E2" s="159"/>
      <c r="F2" s="160"/>
      <c r="I2" s="314" t="s">
        <v>1684</v>
      </c>
      <c r="L2" s="161" t="s">
        <v>1691</v>
      </c>
      <c r="M2" s="468"/>
      <c r="N2" s="469" t="s">
        <v>767</v>
      </c>
      <c r="O2" s="465">
        <f>SUBTOTAL(109,O5:O100)</f>
        <v>0</v>
      </c>
      <c r="P2" s="466">
        <f t="shared" ref="P2:S2" si="0">SUBTOTAL(109,P5:P100)</f>
        <v>980150.40000000154</v>
      </c>
      <c r="Q2" s="466">
        <f t="shared" si="0"/>
        <v>0</v>
      </c>
      <c r="R2" s="466">
        <f t="shared" si="0"/>
        <v>0</v>
      </c>
      <c r="S2" s="466">
        <f t="shared" si="0"/>
        <v>0</v>
      </c>
      <c r="U2" s="471" t="s">
        <v>1686</v>
      </c>
    </row>
    <row r="3" spans="1:222" ht="25.8" customHeight="1" thickBot="1">
      <c r="A3" s="590" t="s">
        <v>304</v>
      </c>
      <c r="B3" s="574" t="s">
        <v>338</v>
      </c>
      <c r="C3" s="574" t="s">
        <v>835</v>
      </c>
      <c r="D3" s="574" t="s">
        <v>530</v>
      </c>
      <c r="E3" s="595" t="s">
        <v>303</v>
      </c>
      <c r="F3" s="590" t="s">
        <v>531</v>
      </c>
      <c r="G3" s="425" t="s">
        <v>534</v>
      </c>
      <c r="H3" s="162" t="s">
        <v>535</v>
      </c>
      <c r="I3" s="189" t="s">
        <v>764</v>
      </c>
      <c r="L3" s="590" t="s">
        <v>304</v>
      </c>
      <c r="M3" s="574" t="s">
        <v>338</v>
      </c>
      <c r="N3" s="574" t="s">
        <v>835</v>
      </c>
      <c r="O3" s="574" t="s">
        <v>530</v>
      </c>
      <c r="P3" s="463" t="s">
        <v>303</v>
      </c>
      <c r="Q3" s="590" t="s">
        <v>531</v>
      </c>
      <c r="R3" s="463" t="s">
        <v>534</v>
      </c>
      <c r="S3" s="464" t="s">
        <v>535</v>
      </c>
    </row>
    <row r="4" spans="1:222" ht="29.4" thickBot="1">
      <c r="A4" s="591"/>
      <c r="B4" s="575"/>
      <c r="C4" s="575"/>
      <c r="D4" s="575"/>
      <c r="E4" s="596"/>
      <c r="F4" s="591"/>
      <c r="G4" s="426" t="s">
        <v>536</v>
      </c>
      <c r="H4" s="179" t="s">
        <v>537</v>
      </c>
      <c r="I4" t="s">
        <v>1695</v>
      </c>
      <c r="L4" s="591"/>
      <c r="M4" s="575"/>
      <c r="N4" s="575"/>
      <c r="O4" s="575"/>
      <c r="P4" s="269" t="s">
        <v>1689</v>
      </c>
      <c r="Q4" s="591"/>
      <c r="R4" s="269" t="s">
        <v>536</v>
      </c>
      <c r="S4" s="462" t="s">
        <v>537</v>
      </c>
    </row>
    <row r="5" spans="1:222" ht="18.600000000000001" thickTop="1" thickBot="1">
      <c r="A5" s="592" t="s">
        <v>305</v>
      </c>
      <c r="B5" s="270" t="s">
        <v>768</v>
      </c>
      <c r="C5" s="315"/>
      <c r="D5" s="145" t="s">
        <v>769</v>
      </c>
      <c r="E5" s="428">
        <v>259.5</v>
      </c>
      <c r="F5" s="163">
        <v>395.8</v>
      </c>
      <c r="G5" s="427">
        <v>12636.4</v>
      </c>
      <c r="H5" s="155">
        <v>6598.3</v>
      </c>
      <c r="I5" s="458">
        <v>10161.799999999999</v>
      </c>
      <c r="J5">
        <v>10965.599999999999</v>
      </c>
      <c r="K5">
        <v>12968.9</v>
      </c>
      <c r="L5" s="4">
        <v>11087</v>
      </c>
      <c r="M5" s="4">
        <v>11103.7</v>
      </c>
      <c r="N5" s="4">
        <v>8801</v>
      </c>
      <c r="P5">
        <v>10209.900000000001</v>
      </c>
      <c r="V5">
        <v>3840.1</v>
      </c>
      <c r="Y5">
        <v>2945.3999999999996</v>
      </c>
      <c r="AD5">
        <v>9047.1</v>
      </c>
      <c r="AJ5">
        <v>3604.8</v>
      </c>
      <c r="AN5">
        <v>1574.9</v>
      </c>
      <c r="AQ5">
        <v>1966.2</v>
      </c>
      <c r="AT5">
        <v>6477</v>
      </c>
      <c r="AZ5">
        <v>0</v>
      </c>
      <c r="BC5">
        <v>0</v>
      </c>
      <c r="BK5">
        <v>11178.8</v>
      </c>
      <c r="BU5">
        <v>0</v>
      </c>
      <c r="CE5">
        <v>3744.5</v>
      </c>
      <c r="CO5">
        <v>2089.9</v>
      </c>
      <c r="CY5">
        <v>1714</v>
      </c>
      <c r="DK5">
        <v>0</v>
      </c>
      <c r="DS5">
        <v>2034.1999999999998</v>
      </c>
      <c r="ED5">
        <v>2467.3000000000002</v>
      </c>
      <c r="EO5">
        <v>0</v>
      </c>
      <c r="EY5">
        <v>2968.5</v>
      </c>
      <c r="FI5">
        <v>5242.5</v>
      </c>
      <c r="FS5">
        <v>6102.7</v>
      </c>
      <c r="GD5">
        <v>5832.1</v>
      </c>
      <c r="GP5">
        <v>7389.4</v>
      </c>
      <c r="HB5">
        <v>3738.5</v>
      </c>
      <c r="HN5">
        <v>2411.6999999999998</v>
      </c>
    </row>
    <row r="6" spans="1:222" ht="18" thickBot="1">
      <c r="A6" s="593"/>
      <c r="B6" s="271" t="s">
        <v>770</v>
      </c>
      <c r="C6" s="316"/>
      <c r="D6" s="146" t="s">
        <v>769</v>
      </c>
      <c r="E6" s="429">
        <v>259.5</v>
      </c>
      <c r="F6" s="164">
        <v>395.8</v>
      </c>
      <c r="G6" s="427">
        <v>12636.4</v>
      </c>
      <c r="H6" s="155">
        <v>6598.3</v>
      </c>
      <c r="I6">
        <v>10161.799999999999</v>
      </c>
      <c r="J6">
        <v>10965.599999999999</v>
      </c>
      <c r="K6">
        <v>12968.9</v>
      </c>
      <c r="L6" s="4">
        <v>11087</v>
      </c>
      <c r="M6" s="4">
        <v>11103.7</v>
      </c>
      <c r="N6" s="4">
        <v>8801</v>
      </c>
      <c r="P6">
        <v>10209.900000000001</v>
      </c>
      <c r="V6">
        <v>3840.1</v>
      </c>
      <c r="Y6">
        <v>2945.3999999999996</v>
      </c>
      <c r="AD6">
        <v>9047.1</v>
      </c>
      <c r="AJ6">
        <v>3604.8</v>
      </c>
      <c r="AN6">
        <v>1574.9</v>
      </c>
      <c r="AQ6">
        <v>1966.2</v>
      </c>
      <c r="AT6">
        <v>6477</v>
      </c>
      <c r="AZ6">
        <v>0</v>
      </c>
      <c r="BC6">
        <v>0</v>
      </c>
      <c r="BK6">
        <v>11178.8</v>
      </c>
      <c r="BU6">
        <v>0</v>
      </c>
      <c r="CE6">
        <v>3744.5</v>
      </c>
      <c r="CO6">
        <v>2089.9</v>
      </c>
      <c r="CY6">
        <v>1714</v>
      </c>
      <c r="DK6">
        <v>0</v>
      </c>
      <c r="DS6">
        <v>2034.1999999999998</v>
      </c>
      <c r="ED6">
        <v>2467.3000000000002</v>
      </c>
      <c r="EO6">
        <v>0</v>
      </c>
      <c r="EY6">
        <v>2968.5</v>
      </c>
      <c r="FI6">
        <v>5242.5</v>
      </c>
      <c r="FS6">
        <v>6102.7</v>
      </c>
      <c r="GD6">
        <v>5832.1</v>
      </c>
      <c r="GP6">
        <v>7389.4</v>
      </c>
      <c r="HB6">
        <v>3738.5</v>
      </c>
      <c r="HN6">
        <v>2411.6999999999998</v>
      </c>
    </row>
    <row r="7" spans="1:222" ht="18" thickBot="1">
      <c r="A7" s="594" t="s">
        <v>306</v>
      </c>
      <c r="B7" s="272"/>
      <c r="C7" s="317"/>
      <c r="D7" s="146" t="s">
        <v>810</v>
      </c>
      <c r="E7" s="429">
        <v>259.5</v>
      </c>
      <c r="F7" s="164">
        <v>395.8</v>
      </c>
      <c r="G7" s="427">
        <v>12636.4</v>
      </c>
      <c r="H7" s="155">
        <v>6598.3</v>
      </c>
      <c r="I7">
        <v>10161.799999999999</v>
      </c>
      <c r="J7">
        <v>10965.599999999999</v>
      </c>
      <c r="K7">
        <v>12968.9</v>
      </c>
      <c r="L7" s="4">
        <v>11087</v>
      </c>
      <c r="M7" s="4">
        <v>11103.7</v>
      </c>
      <c r="N7" s="4">
        <v>8801</v>
      </c>
      <c r="P7">
        <v>10209.900000000001</v>
      </c>
      <c r="V7">
        <v>3840.1</v>
      </c>
      <c r="Y7">
        <v>2945.3999999999996</v>
      </c>
      <c r="AD7">
        <v>9047.1</v>
      </c>
      <c r="AJ7">
        <v>3604.8</v>
      </c>
      <c r="AN7">
        <v>1574.9</v>
      </c>
      <c r="AQ7">
        <v>1966.2</v>
      </c>
      <c r="AT7">
        <v>6477</v>
      </c>
      <c r="AZ7">
        <v>0</v>
      </c>
      <c r="BC7">
        <v>0</v>
      </c>
      <c r="BK7">
        <v>11178.8</v>
      </c>
      <c r="BU7">
        <v>0</v>
      </c>
      <c r="CE7">
        <v>3744.5</v>
      </c>
      <c r="CO7">
        <v>2089.9</v>
      </c>
      <c r="CY7">
        <v>1714</v>
      </c>
      <c r="DK7">
        <v>0</v>
      </c>
      <c r="DS7">
        <v>2034.1999999999998</v>
      </c>
      <c r="ED7">
        <v>2467.3000000000002</v>
      </c>
      <c r="EO7">
        <v>0</v>
      </c>
      <c r="EY7">
        <v>2968.5</v>
      </c>
      <c r="FI7">
        <v>5242.5</v>
      </c>
      <c r="FS7">
        <v>6102.7</v>
      </c>
      <c r="GD7">
        <v>5832.1</v>
      </c>
      <c r="GP7">
        <v>7389.4</v>
      </c>
      <c r="HB7">
        <v>3738.5</v>
      </c>
      <c r="HN7">
        <v>2411.6999999999998</v>
      </c>
    </row>
    <row r="8" spans="1:222" ht="18" thickBot="1">
      <c r="A8" s="593"/>
      <c r="B8" s="272"/>
      <c r="C8" s="316"/>
      <c r="D8" s="146" t="s">
        <v>811</v>
      </c>
      <c r="E8" s="429">
        <v>259.5</v>
      </c>
      <c r="F8" s="164">
        <v>395.8</v>
      </c>
      <c r="G8" s="427">
        <v>12636.4</v>
      </c>
      <c r="H8" s="155">
        <v>6598.3</v>
      </c>
      <c r="I8">
        <v>10161.799999999999</v>
      </c>
      <c r="J8">
        <v>10965.599999999999</v>
      </c>
      <c r="K8">
        <v>12968.9</v>
      </c>
      <c r="L8" s="4">
        <v>11087</v>
      </c>
      <c r="M8" s="4">
        <v>11103.7</v>
      </c>
      <c r="N8" s="4">
        <v>8801</v>
      </c>
      <c r="P8">
        <v>10209.900000000001</v>
      </c>
      <c r="V8">
        <v>3840.1</v>
      </c>
      <c r="Y8">
        <v>2945.3999999999996</v>
      </c>
      <c r="AD8">
        <v>9047.1</v>
      </c>
      <c r="AJ8">
        <v>3604.8</v>
      </c>
      <c r="AN8">
        <v>1574.9</v>
      </c>
      <c r="AQ8">
        <v>1966.2</v>
      </c>
      <c r="AT8">
        <v>6477</v>
      </c>
      <c r="AZ8">
        <v>0</v>
      </c>
      <c r="BC8">
        <v>0</v>
      </c>
      <c r="BK8">
        <v>11178.8</v>
      </c>
      <c r="BU8">
        <v>0</v>
      </c>
      <c r="CE8">
        <v>3744.5</v>
      </c>
      <c r="CO8">
        <v>2089.9</v>
      </c>
      <c r="CY8">
        <v>1714</v>
      </c>
      <c r="DK8">
        <v>0</v>
      </c>
      <c r="DS8">
        <v>2034.1999999999998</v>
      </c>
      <c r="ED8">
        <v>2467.3000000000002</v>
      </c>
      <c r="EO8">
        <v>0</v>
      </c>
      <c r="EY8">
        <v>2968.5</v>
      </c>
      <c r="FI8">
        <v>5242.5</v>
      </c>
      <c r="FS8">
        <v>6102.7</v>
      </c>
      <c r="GD8">
        <v>5832.1</v>
      </c>
      <c r="GP8">
        <v>7389.4</v>
      </c>
      <c r="HB8">
        <v>3738.5</v>
      </c>
      <c r="HN8">
        <v>2411.6999999999998</v>
      </c>
    </row>
    <row r="9" spans="1:222" ht="27" thickBot="1">
      <c r="A9" s="134" t="s">
        <v>307</v>
      </c>
      <c r="B9" s="136" t="s">
        <v>771</v>
      </c>
      <c r="C9" s="318"/>
      <c r="D9" s="147" t="s">
        <v>1685</v>
      </c>
      <c r="E9" s="429">
        <v>259.5</v>
      </c>
      <c r="F9" s="265">
        <v>395.8</v>
      </c>
      <c r="G9" s="427">
        <v>12636.4</v>
      </c>
      <c r="H9" s="155">
        <v>6598.3</v>
      </c>
      <c r="I9">
        <v>10161.799999999999</v>
      </c>
      <c r="J9">
        <v>10965.599999999999</v>
      </c>
      <c r="K9">
        <v>12968.9</v>
      </c>
      <c r="L9" s="4">
        <v>11087</v>
      </c>
      <c r="M9" s="4">
        <v>11103.7</v>
      </c>
      <c r="N9" s="4">
        <v>8801</v>
      </c>
      <c r="P9">
        <v>10209.900000000001</v>
      </c>
      <c r="V9">
        <v>3840.1</v>
      </c>
      <c r="Y9">
        <v>2945.3999999999996</v>
      </c>
      <c r="AD9">
        <v>9047.1</v>
      </c>
      <c r="AJ9">
        <v>3604.8</v>
      </c>
      <c r="AN9">
        <v>1574.9</v>
      </c>
      <c r="AQ9">
        <v>1966.2</v>
      </c>
      <c r="AT9">
        <v>6477</v>
      </c>
      <c r="AZ9">
        <v>0</v>
      </c>
      <c r="BC9">
        <v>0</v>
      </c>
      <c r="BK9">
        <v>11178.8</v>
      </c>
      <c r="BU9">
        <v>0</v>
      </c>
      <c r="CE9">
        <v>3744.5</v>
      </c>
      <c r="CO9">
        <v>2089.9</v>
      </c>
      <c r="CY9">
        <v>1714</v>
      </c>
      <c r="DK9">
        <v>0</v>
      </c>
      <c r="DS9">
        <v>2034.1999999999998</v>
      </c>
      <c r="ED9">
        <v>2467.3000000000002</v>
      </c>
      <c r="EO9">
        <v>0</v>
      </c>
      <c r="EY9">
        <v>2968.5</v>
      </c>
      <c r="FI9">
        <v>5242.5</v>
      </c>
      <c r="FS9">
        <v>6102.7</v>
      </c>
      <c r="GD9">
        <v>5832.1</v>
      </c>
      <c r="GP9">
        <v>7389.4</v>
      </c>
      <c r="HB9">
        <v>3738.5</v>
      </c>
      <c r="HN9">
        <v>2411.6999999999998</v>
      </c>
    </row>
    <row r="10" spans="1:222" ht="27" thickBot="1">
      <c r="A10" s="134" t="s">
        <v>308</v>
      </c>
      <c r="B10" s="136" t="s">
        <v>772</v>
      </c>
      <c r="C10" s="318"/>
      <c r="D10" s="147" t="s">
        <v>769</v>
      </c>
      <c r="E10" s="429">
        <v>259.5</v>
      </c>
      <c r="F10" s="263">
        <v>395.8</v>
      </c>
      <c r="G10" s="427">
        <v>12636.4</v>
      </c>
      <c r="H10" s="155">
        <v>6598.3</v>
      </c>
      <c r="I10">
        <v>10161.799999999999</v>
      </c>
      <c r="J10">
        <v>10965.599999999999</v>
      </c>
      <c r="K10">
        <v>12968.9</v>
      </c>
      <c r="L10" s="4">
        <v>11087</v>
      </c>
      <c r="M10" s="4">
        <v>11103.7</v>
      </c>
      <c r="N10" s="4">
        <v>8801</v>
      </c>
      <c r="P10">
        <v>10209.900000000001</v>
      </c>
      <c r="V10">
        <v>3840.1</v>
      </c>
      <c r="Y10">
        <v>2945.3999999999996</v>
      </c>
      <c r="AD10">
        <v>9047.1</v>
      </c>
      <c r="AJ10">
        <v>3604.8</v>
      </c>
      <c r="AN10">
        <v>1574.9</v>
      </c>
      <c r="AQ10">
        <v>1966.2</v>
      </c>
      <c r="AT10">
        <v>6477</v>
      </c>
      <c r="AZ10">
        <v>0</v>
      </c>
      <c r="BC10">
        <v>0</v>
      </c>
      <c r="BK10">
        <v>11178.8</v>
      </c>
      <c r="BU10">
        <v>0</v>
      </c>
      <c r="CE10">
        <v>3744.5</v>
      </c>
      <c r="CO10">
        <v>2089.9</v>
      </c>
      <c r="CY10">
        <v>1714</v>
      </c>
      <c r="DK10">
        <v>0</v>
      </c>
      <c r="DS10">
        <v>2034.1999999999998</v>
      </c>
      <c r="ED10">
        <v>2467.3000000000002</v>
      </c>
      <c r="EO10">
        <v>0</v>
      </c>
      <c r="EY10">
        <v>2968.5</v>
      </c>
      <c r="FI10">
        <v>5242.5</v>
      </c>
      <c r="FS10">
        <v>6102.7</v>
      </c>
      <c r="GD10">
        <v>5832.1</v>
      </c>
      <c r="GP10">
        <v>7389.4</v>
      </c>
      <c r="HB10">
        <v>3738.5</v>
      </c>
      <c r="HN10">
        <v>2411.6999999999998</v>
      </c>
    </row>
    <row r="11" spans="1:222" ht="27" thickBot="1">
      <c r="A11" s="134" t="s">
        <v>309</v>
      </c>
      <c r="B11" s="136" t="s">
        <v>773</v>
      </c>
      <c r="C11" s="318"/>
      <c r="D11" s="147" t="s">
        <v>769</v>
      </c>
      <c r="E11" s="429">
        <v>259.5</v>
      </c>
      <c r="F11" s="263">
        <v>395.8</v>
      </c>
      <c r="G11" s="427">
        <v>12636.4</v>
      </c>
      <c r="H11" s="155">
        <v>6598.3</v>
      </c>
      <c r="I11">
        <v>10161.799999999999</v>
      </c>
      <c r="J11">
        <v>10965.599999999999</v>
      </c>
      <c r="K11">
        <v>12968.9</v>
      </c>
      <c r="L11" s="4">
        <v>11087</v>
      </c>
      <c r="M11" s="4">
        <v>11103.7</v>
      </c>
      <c r="N11" s="4">
        <v>8801</v>
      </c>
      <c r="P11">
        <v>10209.900000000001</v>
      </c>
      <c r="V11">
        <v>3840.1</v>
      </c>
      <c r="Y11">
        <v>2945.3999999999996</v>
      </c>
      <c r="AD11">
        <v>9047.1</v>
      </c>
      <c r="AJ11">
        <v>3604.8</v>
      </c>
      <c r="AN11">
        <v>1574.9</v>
      </c>
      <c r="AQ11">
        <v>1966.2</v>
      </c>
      <c r="AT11">
        <v>6477</v>
      </c>
      <c r="AZ11">
        <v>0</v>
      </c>
      <c r="BC11">
        <v>0</v>
      </c>
      <c r="BK11">
        <v>11178.8</v>
      </c>
      <c r="BU11">
        <v>0</v>
      </c>
      <c r="CE11">
        <v>3744.5</v>
      </c>
      <c r="CO11">
        <v>2089.9</v>
      </c>
      <c r="CY11">
        <v>1714</v>
      </c>
      <c r="DK11">
        <v>0</v>
      </c>
      <c r="DS11">
        <v>2034.1999999999998</v>
      </c>
      <c r="ED11">
        <v>2467.3000000000002</v>
      </c>
      <c r="EO11">
        <v>0</v>
      </c>
      <c r="EY11">
        <v>2968.5</v>
      </c>
      <c r="FI11">
        <v>5242.5</v>
      </c>
      <c r="FS11">
        <v>6102.7</v>
      </c>
      <c r="GD11">
        <v>5832.1</v>
      </c>
      <c r="GP11">
        <v>7389.4</v>
      </c>
      <c r="HB11">
        <v>3738.5</v>
      </c>
      <c r="HN11">
        <v>2411.6999999999998</v>
      </c>
    </row>
    <row r="12" spans="1:222" ht="27" thickBot="1">
      <c r="A12" s="134" t="s">
        <v>310</v>
      </c>
      <c r="B12" s="136" t="s">
        <v>774</v>
      </c>
      <c r="C12" s="318"/>
      <c r="D12" s="147" t="s">
        <v>769</v>
      </c>
      <c r="E12" s="429">
        <v>259.5</v>
      </c>
      <c r="F12" s="263">
        <v>395.8</v>
      </c>
      <c r="G12" s="427">
        <v>12636.4</v>
      </c>
      <c r="H12" s="155">
        <v>6598.3</v>
      </c>
      <c r="I12">
        <v>10161.799999999999</v>
      </c>
      <c r="J12">
        <v>10965.599999999999</v>
      </c>
      <c r="K12">
        <v>12968.9</v>
      </c>
      <c r="L12" s="4">
        <v>11087</v>
      </c>
      <c r="M12" s="4">
        <v>11103.7</v>
      </c>
      <c r="N12" s="4">
        <v>8801</v>
      </c>
      <c r="P12">
        <v>10209.900000000001</v>
      </c>
      <c r="V12">
        <v>3840.1</v>
      </c>
      <c r="Y12">
        <v>2945.3999999999996</v>
      </c>
      <c r="AD12">
        <v>9047.1</v>
      </c>
      <c r="AJ12">
        <v>3604.8</v>
      </c>
      <c r="AN12">
        <v>1574.9</v>
      </c>
      <c r="AQ12">
        <v>1966.2</v>
      </c>
      <c r="AT12">
        <v>6477</v>
      </c>
      <c r="AZ12">
        <v>0</v>
      </c>
      <c r="BC12">
        <v>0</v>
      </c>
      <c r="BK12">
        <v>11178.8</v>
      </c>
      <c r="BU12">
        <v>0</v>
      </c>
      <c r="CE12">
        <v>3744.5</v>
      </c>
      <c r="CO12">
        <v>2089.9</v>
      </c>
      <c r="CY12">
        <v>1714</v>
      </c>
      <c r="DK12">
        <v>0</v>
      </c>
      <c r="DS12">
        <v>2034.1999999999998</v>
      </c>
      <c r="ED12">
        <v>2467.3000000000002</v>
      </c>
      <c r="EO12">
        <v>0</v>
      </c>
      <c r="EY12">
        <v>2968.5</v>
      </c>
      <c r="FI12">
        <v>5242.5</v>
      </c>
      <c r="FS12">
        <v>6102.7</v>
      </c>
      <c r="GD12">
        <v>5832.1</v>
      </c>
      <c r="GP12">
        <v>7389.4</v>
      </c>
      <c r="HB12">
        <v>3738.5</v>
      </c>
      <c r="HN12">
        <v>2411.6999999999998</v>
      </c>
    </row>
    <row r="13" spans="1:222" ht="27" thickBot="1">
      <c r="A13" s="134" t="s">
        <v>311</v>
      </c>
      <c r="B13" s="136" t="s">
        <v>775</v>
      </c>
      <c r="C13" s="318"/>
      <c r="D13" s="147" t="s">
        <v>769</v>
      </c>
      <c r="E13" s="429">
        <v>259.5</v>
      </c>
      <c r="F13" s="263">
        <v>395.8</v>
      </c>
      <c r="G13" s="427">
        <v>12636.4</v>
      </c>
      <c r="H13" s="155">
        <v>6598.3</v>
      </c>
      <c r="I13">
        <v>10161.799999999999</v>
      </c>
      <c r="J13">
        <v>10965.599999999999</v>
      </c>
      <c r="K13">
        <v>12968.9</v>
      </c>
      <c r="L13" s="4">
        <v>11087</v>
      </c>
      <c r="M13" s="4">
        <v>11103.7</v>
      </c>
      <c r="N13" s="4">
        <v>8801</v>
      </c>
      <c r="P13">
        <v>10209.900000000001</v>
      </c>
      <c r="V13">
        <v>3840.1</v>
      </c>
      <c r="Y13">
        <v>2945.3999999999996</v>
      </c>
      <c r="AD13">
        <v>9047.1</v>
      </c>
      <c r="AJ13">
        <v>3604.8</v>
      </c>
      <c r="AN13">
        <v>1574.9</v>
      </c>
      <c r="AQ13">
        <v>1966.2</v>
      </c>
      <c r="AT13">
        <v>6477</v>
      </c>
      <c r="AZ13">
        <v>0</v>
      </c>
      <c r="BC13">
        <v>0</v>
      </c>
      <c r="BK13">
        <v>11178.8</v>
      </c>
      <c r="BU13">
        <v>0</v>
      </c>
      <c r="CE13">
        <v>3744.5</v>
      </c>
      <c r="CO13">
        <v>2089.9</v>
      </c>
      <c r="CY13">
        <v>1714</v>
      </c>
      <c r="DK13">
        <v>0</v>
      </c>
      <c r="DS13">
        <v>2034.1999999999998</v>
      </c>
      <c r="ED13">
        <v>2467.3000000000002</v>
      </c>
      <c r="EO13">
        <v>0</v>
      </c>
      <c r="EY13">
        <v>2968.5</v>
      </c>
      <c r="FI13">
        <v>5242.5</v>
      </c>
      <c r="FS13">
        <v>6102.7</v>
      </c>
      <c r="GD13">
        <v>5832.1</v>
      </c>
      <c r="GP13">
        <v>7389.4</v>
      </c>
      <c r="HB13">
        <v>3738.5</v>
      </c>
      <c r="HN13">
        <v>2411.6999999999998</v>
      </c>
    </row>
    <row r="14" spans="1:222" ht="27" thickBot="1">
      <c r="A14" s="134" t="s">
        <v>312</v>
      </c>
      <c r="B14" s="136" t="s">
        <v>776</v>
      </c>
      <c r="C14" s="318"/>
      <c r="D14" s="147" t="s">
        <v>769</v>
      </c>
      <c r="E14" s="429">
        <v>259.5</v>
      </c>
      <c r="F14" s="266">
        <v>395.8</v>
      </c>
      <c r="G14" s="427">
        <v>12636.4</v>
      </c>
      <c r="H14" s="155">
        <v>6598.3</v>
      </c>
      <c r="I14">
        <v>10161.799999999999</v>
      </c>
      <c r="J14">
        <v>10965.599999999999</v>
      </c>
      <c r="K14">
        <v>12968.9</v>
      </c>
      <c r="L14" s="4">
        <v>11087</v>
      </c>
      <c r="M14" s="4">
        <v>11103.7</v>
      </c>
      <c r="N14" s="4">
        <v>8801</v>
      </c>
      <c r="P14">
        <v>10209.900000000001</v>
      </c>
      <c r="V14">
        <v>3840.1</v>
      </c>
      <c r="Y14">
        <v>2945.3999999999996</v>
      </c>
      <c r="AD14">
        <v>9047.1</v>
      </c>
      <c r="AJ14">
        <v>3604.8</v>
      </c>
      <c r="AN14">
        <v>1574.9</v>
      </c>
      <c r="AQ14">
        <v>1966.2</v>
      </c>
      <c r="AT14">
        <v>6477</v>
      </c>
      <c r="AZ14">
        <v>0</v>
      </c>
      <c r="BC14">
        <v>0</v>
      </c>
      <c r="BK14">
        <v>11178.8</v>
      </c>
      <c r="BU14">
        <v>0</v>
      </c>
      <c r="CE14">
        <v>3744.5</v>
      </c>
      <c r="CO14">
        <v>2089.9</v>
      </c>
      <c r="CY14">
        <v>1714</v>
      </c>
      <c r="DK14">
        <v>0</v>
      </c>
      <c r="DS14">
        <v>2034.1999999999998</v>
      </c>
      <c r="ED14">
        <v>2467.3000000000002</v>
      </c>
      <c r="EO14">
        <v>0</v>
      </c>
      <c r="EY14">
        <v>2968.5</v>
      </c>
      <c r="FI14">
        <v>5242.5</v>
      </c>
      <c r="FS14">
        <v>6102.7</v>
      </c>
      <c r="GD14">
        <v>5832.1</v>
      </c>
      <c r="GP14">
        <v>7389.4</v>
      </c>
      <c r="HB14">
        <v>3738.5</v>
      </c>
      <c r="HN14">
        <v>2411.6999999999998</v>
      </c>
    </row>
    <row r="15" spans="1:222" ht="18" thickBot="1">
      <c r="A15" s="135"/>
      <c r="B15" s="137"/>
      <c r="C15" s="319"/>
      <c r="D15" s="148"/>
      <c r="E15" s="430">
        <v>259.5</v>
      </c>
      <c r="F15" s="165">
        <v>395.8</v>
      </c>
      <c r="G15" s="427">
        <v>12636.4</v>
      </c>
      <c r="H15" s="155">
        <v>6598.3</v>
      </c>
      <c r="I15">
        <v>10161.799999999999</v>
      </c>
      <c r="J15">
        <v>10965.599999999999</v>
      </c>
      <c r="K15">
        <v>12968.9</v>
      </c>
      <c r="L15" s="4">
        <v>11087</v>
      </c>
      <c r="M15" s="4">
        <v>11103.7</v>
      </c>
      <c r="N15" s="4">
        <v>8801</v>
      </c>
      <c r="P15">
        <v>10209.900000000001</v>
      </c>
      <c r="V15">
        <v>3840.1</v>
      </c>
      <c r="Y15">
        <v>2945.3999999999996</v>
      </c>
      <c r="AD15">
        <v>9047.1</v>
      </c>
      <c r="AJ15">
        <v>3604.8</v>
      </c>
      <c r="AN15">
        <v>1574.9</v>
      </c>
      <c r="AQ15">
        <v>1966.2</v>
      </c>
      <c r="AT15">
        <v>6477</v>
      </c>
      <c r="AZ15">
        <v>0</v>
      </c>
      <c r="BC15">
        <v>0</v>
      </c>
      <c r="BK15">
        <v>11178.8</v>
      </c>
      <c r="BU15">
        <v>0</v>
      </c>
      <c r="CE15">
        <v>3744.5</v>
      </c>
      <c r="CO15">
        <v>2089.9</v>
      </c>
      <c r="CY15">
        <v>1714</v>
      </c>
      <c r="DK15">
        <v>0</v>
      </c>
      <c r="DS15">
        <v>2034.1999999999998</v>
      </c>
      <c r="ED15">
        <v>2467.3000000000002</v>
      </c>
      <c r="EO15">
        <v>0</v>
      </c>
      <c r="EY15">
        <v>2968.5</v>
      </c>
      <c r="FI15">
        <v>5242.5</v>
      </c>
      <c r="FS15">
        <v>6102.7</v>
      </c>
      <c r="GD15">
        <v>5832.1</v>
      </c>
      <c r="GP15">
        <v>7389.4</v>
      </c>
      <c r="HB15">
        <v>3738.5</v>
      </c>
      <c r="HN15">
        <v>2411.6999999999998</v>
      </c>
    </row>
    <row r="16" spans="1:222" ht="18.600000000000001" thickTop="1" thickBot="1">
      <c r="A16" s="586" t="s">
        <v>334</v>
      </c>
      <c r="B16" s="138" t="s">
        <v>510</v>
      </c>
      <c r="C16" s="320"/>
      <c r="D16" s="153" t="s">
        <v>777</v>
      </c>
      <c r="E16" s="431">
        <v>259.5</v>
      </c>
      <c r="F16" s="166">
        <v>395.8</v>
      </c>
      <c r="G16" s="427">
        <v>12636.4</v>
      </c>
      <c r="H16" s="155">
        <v>6598.3</v>
      </c>
      <c r="I16">
        <v>10161.799999999999</v>
      </c>
      <c r="J16">
        <v>10965.599999999999</v>
      </c>
      <c r="K16">
        <v>12968.9</v>
      </c>
      <c r="L16" s="4">
        <v>11087</v>
      </c>
      <c r="M16" s="4">
        <v>11103.7</v>
      </c>
      <c r="N16" s="4">
        <v>8801</v>
      </c>
      <c r="P16">
        <v>10209.900000000001</v>
      </c>
      <c r="V16">
        <v>3840.1</v>
      </c>
      <c r="Y16">
        <v>2945.3999999999996</v>
      </c>
      <c r="AD16">
        <v>9047.1</v>
      </c>
      <c r="AJ16">
        <v>3604.8</v>
      </c>
      <c r="AN16">
        <v>1574.9</v>
      </c>
      <c r="AQ16">
        <v>1966.2</v>
      </c>
      <c r="AT16">
        <v>6477</v>
      </c>
      <c r="AZ16">
        <v>0</v>
      </c>
      <c r="BC16">
        <v>0</v>
      </c>
      <c r="BK16">
        <v>11178.8</v>
      </c>
      <c r="BU16">
        <v>0</v>
      </c>
      <c r="CE16">
        <v>3744.5</v>
      </c>
      <c r="CO16">
        <v>2089.9</v>
      </c>
      <c r="CY16">
        <v>1714</v>
      </c>
      <c r="DK16">
        <v>0</v>
      </c>
      <c r="DS16">
        <v>2034.1999999999998</v>
      </c>
      <c r="ED16">
        <v>2467.3000000000002</v>
      </c>
      <c r="EO16">
        <v>0</v>
      </c>
      <c r="EY16">
        <v>2968.5</v>
      </c>
      <c r="FI16">
        <v>5242.5</v>
      </c>
      <c r="FS16">
        <v>6102.7</v>
      </c>
      <c r="GD16">
        <v>5832.1</v>
      </c>
      <c r="GP16">
        <v>7389.4</v>
      </c>
      <c r="HB16">
        <v>3738.5</v>
      </c>
      <c r="HN16">
        <v>2411.6999999999998</v>
      </c>
    </row>
    <row r="17" spans="1:222" ht="18" thickBot="1">
      <c r="A17" s="587"/>
      <c r="B17" s="139" t="s">
        <v>511</v>
      </c>
      <c r="C17" s="321"/>
      <c r="D17" s="154" t="s">
        <v>777</v>
      </c>
      <c r="E17" s="432">
        <v>259.5</v>
      </c>
      <c r="F17" s="167">
        <v>395.8</v>
      </c>
      <c r="G17" s="427">
        <v>12636.4</v>
      </c>
      <c r="H17" s="155">
        <v>6598.3</v>
      </c>
      <c r="I17">
        <v>10161.799999999999</v>
      </c>
      <c r="J17">
        <v>10965.599999999999</v>
      </c>
      <c r="K17">
        <v>12968.9</v>
      </c>
      <c r="L17" s="4">
        <v>11087</v>
      </c>
      <c r="M17" s="4">
        <v>11103.7</v>
      </c>
      <c r="N17" s="4">
        <v>8801</v>
      </c>
      <c r="P17">
        <v>10209.900000000001</v>
      </c>
      <c r="V17">
        <v>3840.1</v>
      </c>
      <c r="Y17">
        <v>2945.3999999999996</v>
      </c>
      <c r="AD17">
        <v>9047.1</v>
      </c>
      <c r="AJ17">
        <v>3604.8</v>
      </c>
      <c r="AN17">
        <v>1574.9</v>
      </c>
      <c r="AQ17">
        <v>1966.2</v>
      </c>
      <c r="AT17">
        <v>6477</v>
      </c>
      <c r="AZ17">
        <v>0</v>
      </c>
      <c r="BC17">
        <v>0</v>
      </c>
      <c r="BK17">
        <v>11178.8</v>
      </c>
      <c r="BU17">
        <v>0</v>
      </c>
      <c r="CE17">
        <v>3744.5</v>
      </c>
      <c r="CO17">
        <v>2089.9</v>
      </c>
      <c r="CY17">
        <v>1714</v>
      </c>
      <c r="DK17">
        <v>0</v>
      </c>
      <c r="DS17">
        <v>2034.1999999999998</v>
      </c>
      <c r="ED17">
        <v>2467.3000000000002</v>
      </c>
      <c r="EO17">
        <v>0</v>
      </c>
      <c r="EY17">
        <v>2968.5</v>
      </c>
      <c r="FI17">
        <v>5242.5</v>
      </c>
      <c r="FS17">
        <v>6102.7</v>
      </c>
      <c r="GD17">
        <v>5832.1</v>
      </c>
      <c r="GP17">
        <v>7389.4</v>
      </c>
      <c r="HB17">
        <v>3738.5</v>
      </c>
      <c r="HN17">
        <v>2411.6999999999998</v>
      </c>
    </row>
    <row r="18" spans="1:222" ht="18" thickBot="1">
      <c r="A18" s="587"/>
      <c r="B18" s="139" t="s">
        <v>512</v>
      </c>
      <c r="C18" s="321"/>
      <c r="D18" s="154" t="s">
        <v>777</v>
      </c>
      <c r="E18" s="432">
        <v>259.5</v>
      </c>
      <c r="F18" s="167">
        <v>395.8</v>
      </c>
      <c r="G18" s="427">
        <v>12636.4</v>
      </c>
      <c r="H18" s="155">
        <v>6598.3</v>
      </c>
      <c r="I18">
        <v>10161.799999999999</v>
      </c>
      <c r="J18">
        <v>10965.599999999999</v>
      </c>
      <c r="K18">
        <v>12968.9</v>
      </c>
      <c r="L18" s="4">
        <v>11087</v>
      </c>
      <c r="M18" s="4">
        <v>11103.7</v>
      </c>
      <c r="N18" s="4">
        <v>8801</v>
      </c>
      <c r="P18">
        <v>10209.900000000001</v>
      </c>
      <c r="V18">
        <v>3840.1</v>
      </c>
      <c r="Y18">
        <v>2945.3999999999996</v>
      </c>
      <c r="AD18">
        <v>9047.1</v>
      </c>
      <c r="AJ18">
        <v>3604.8</v>
      </c>
      <c r="AN18">
        <v>1574.9</v>
      </c>
      <c r="AQ18">
        <v>1966.2</v>
      </c>
      <c r="AT18">
        <v>6477</v>
      </c>
      <c r="AZ18">
        <v>0</v>
      </c>
      <c r="BC18">
        <v>0</v>
      </c>
      <c r="BK18">
        <v>11178.8</v>
      </c>
      <c r="BU18">
        <v>0</v>
      </c>
      <c r="CE18">
        <v>3744.5</v>
      </c>
      <c r="CO18">
        <v>2089.9</v>
      </c>
      <c r="CY18">
        <v>1714</v>
      </c>
      <c r="DK18">
        <v>0</v>
      </c>
      <c r="DS18">
        <v>2034.1999999999998</v>
      </c>
      <c r="ED18">
        <v>2467.3000000000002</v>
      </c>
      <c r="EO18">
        <v>0</v>
      </c>
      <c r="EY18">
        <v>2968.5</v>
      </c>
      <c r="FI18">
        <v>5242.5</v>
      </c>
      <c r="FS18">
        <v>6102.7</v>
      </c>
      <c r="GD18">
        <v>5832.1</v>
      </c>
      <c r="GP18">
        <v>7389.4</v>
      </c>
      <c r="HB18">
        <v>3738.5</v>
      </c>
      <c r="HN18">
        <v>2411.6999999999998</v>
      </c>
    </row>
    <row r="19" spans="1:222" ht="18" thickBot="1">
      <c r="A19" s="587"/>
      <c r="B19" s="139" t="s">
        <v>513</v>
      </c>
      <c r="C19" s="321"/>
      <c r="D19" s="154" t="s">
        <v>777</v>
      </c>
      <c r="E19" s="432">
        <v>259.5</v>
      </c>
      <c r="F19" s="167">
        <v>395.8</v>
      </c>
      <c r="G19" s="427">
        <v>12636.4</v>
      </c>
      <c r="H19" s="155">
        <v>6598.3</v>
      </c>
      <c r="I19">
        <v>10161.799999999999</v>
      </c>
      <c r="J19">
        <v>10965.599999999999</v>
      </c>
      <c r="K19">
        <v>12968.9</v>
      </c>
      <c r="L19" s="4">
        <v>11087</v>
      </c>
      <c r="M19" s="4">
        <v>11103.7</v>
      </c>
      <c r="N19" s="4">
        <v>8801</v>
      </c>
      <c r="P19">
        <v>10209.900000000001</v>
      </c>
      <c r="V19">
        <v>3840.1</v>
      </c>
      <c r="Y19">
        <v>2945.3999999999996</v>
      </c>
      <c r="AD19">
        <v>9047.1</v>
      </c>
      <c r="AJ19">
        <v>3604.8</v>
      </c>
      <c r="AN19">
        <v>1574.9</v>
      </c>
      <c r="AQ19">
        <v>1966.2</v>
      </c>
      <c r="AT19">
        <v>6477</v>
      </c>
      <c r="AZ19">
        <v>0</v>
      </c>
      <c r="BC19">
        <v>0</v>
      </c>
      <c r="BK19">
        <v>11178.8</v>
      </c>
      <c r="BU19">
        <v>0</v>
      </c>
      <c r="CE19">
        <v>3744.5</v>
      </c>
      <c r="CO19">
        <v>2089.9</v>
      </c>
      <c r="CY19">
        <v>1714</v>
      </c>
      <c r="DK19">
        <v>0</v>
      </c>
      <c r="DS19">
        <v>2034.1999999999998</v>
      </c>
      <c r="ED19">
        <v>2467.3000000000002</v>
      </c>
      <c r="EO19">
        <v>0</v>
      </c>
      <c r="EY19">
        <v>2968.5</v>
      </c>
      <c r="FI19">
        <v>5242.5</v>
      </c>
      <c r="FS19">
        <v>6102.7</v>
      </c>
      <c r="GD19">
        <v>5832.1</v>
      </c>
      <c r="GP19">
        <v>7389.4</v>
      </c>
      <c r="HB19">
        <v>3738.5</v>
      </c>
      <c r="HN19">
        <v>2411.6999999999998</v>
      </c>
    </row>
    <row r="20" spans="1:222" ht="18" thickBot="1">
      <c r="A20" s="587"/>
      <c r="B20" s="139" t="s">
        <v>514</v>
      </c>
      <c r="C20" s="321"/>
      <c r="D20" s="154" t="s">
        <v>777</v>
      </c>
      <c r="E20" s="432">
        <v>259.5</v>
      </c>
      <c r="F20" s="167">
        <v>395.8</v>
      </c>
      <c r="G20" s="427">
        <v>12636.4</v>
      </c>
      <c r="H20" s="155">
        <v>6598.3</v>
      </c>
      <c r="I20">
        <v>10161.799999999999</v>
      </c>
      <c r="J20">
        <v>10965.599999999999</v>
      </c>
      <c r="K20">
        <v>12968.9</v>
      </c>
      <c r="L20" s="4">
        <v>11087</v>
      </c>
      <c r="M20" s="4">
        <v>11103.7</v>
      </c>
      <c r="N20" s="4">
        <v>8801</v>
      </c>
      <c r="P20">
        <v>10209.900000000001</v>
      </c>
      <c r="V20">
        <v>3840.1</v>
      </c>
      <c r="Y20">
        <v>2945.3999999999996</v>
      </c>
      <c r="AD20">
        <v>9047.1</v>
      </c>
      <c r="AJ20">
        <v>3604.8</v>
      </c>
      <c r="AN20">
        <v>1574.9</v>
      </c>
      <c r="AQ20">
        <v>1966.2</v>
      </c>
      <c r="AT20">
        <v>6477</v>
      </c>
      <c r="AZ20">
        <v>0</v>
      </c>
      <c r="BC20">
        <v>0</v>
      </c>
      <c r="BK20">
        <v>11178.8</v>
      </c>
      <c r="BU20">
        <v>0</v>
      </c>
      <c r="CE20">
        <v>3744.5</v>
      </c>
      <c r="CO20">
        <v>2089.9</v>
      </c>
      <c r="CY20">
        <v>1714</v>
      </c>
      <c r="DK20">
        <v>0</v>
      </c>
      <c r="DS20">
        <v>2034.1999999999998</v>
      </c>
      <c r="ED20">
        <v>2467.3000000000002</v>
      </c>
      <c r="EO20">
        <v>0</v>
      </c>
      <c r="EY20">
        <v>2968.5</v>
      </c>
      <c r="FI20">
        <v>5242.5</v>
      </c>
      <c r="FS20">
        <v>6102.7</v>
      </c>
      <c r="GD20">
        <v>5832.1</v>
      </c>
      <c r="GP20">
        <v>7389.4</v>
      </c>
      <c r="HB20">
        <v>3738.5</v>
      </c>
      <c r="HN20">
        <v>2411.6999999999998</v>
      </c>
    </row>
    <row r="21" spans="1:222" ht="18" thickBot="1">
      <c r="A21" s="588"/>
      <c r="B21" s="140" t="s">
        <v>515</v>
      </c>
      <c r="C21" s="322"/>
      <c r="D21" s="151" t="s">
        <v>777</v>
      </c>
      <c r="E21" s="432">
        <v>259.5</v>
      </c>
      <c r="F21" s="167">
        <v>395.8</v>
      </c>
      <c r="G21" s="427">
        <v>12636.4</v>
      </c>
      <c r="H21" s="155">
        <v>6598.3</v>
      </c>
      <c r="I21">
        <v>10161.799999999999</v>
      </c>
      <c r="J21">
        <v>10965.599999999999</v>
      </c>
      <c r="K21">
        <v>12968.9</v>
      </c>
      <c r="L21" s="4">
        <v>11087</v>
      </c>
      <c r="M21" s="4">
        <v>11103.7</v>
      </c>
      <c r="N21" s="4">
        <v>8801</v>
      </c>
      <c r="P21">
        <v>10209.900000000001</v>
      </c>
      <c r="V21">
        <v>3840.1</v>
      </c>
      <c r="Y21">
        <v>2945.3999999999996</v>
      </c>
      <c r="AD21">
        <v>9047.1</v>
      </c>
      <c r="AJ21">
        <v>3604.8</v>
      </c>
      <c r="AN21">
        <v>1574.9</v>
      </c>
      <c r="AQ21">
        <v>1966.2</v>
      </c>
      <c r="AT21">
        <v>6477</v>
      </c>
      <c r="AZ21">
        <v>0</v>
      </c>
      <c r="BC21">
        <v>0</v>
      </c>
      <c r="BK21">
        <v>11178.8</v>
      </c>
      <c r="BU21">
        <v>0</v>
      </c>
      <c r="CE21">
        <v>3744.5</v>
      </c>
      <c r="CO21">
        <v>2089.9</v>
      </c>
      <c r="CY21">
        <v>1714</v>
      </c>
      <c r="DK21">
        <v>0</v>
      </c>
      <c r="DS21">
        <v>2034.1999999999998</v>
      </c>
      <c r="ED21">
        <v>2467.3000000000002</v>
      </c>
      <c r="EO21">
        <v>0</v>
      </c>
      <c r="EY21">
        <v>2968.5</v>
      </c>
      <c r="FI21">
        <v>5242.5</v>
      </c>
      <c r="FS21">
        <v>6102.7</v>
      </c>
      <c r="GD21">
        <v>5832.1</v>
      </c>
      <c r="GP21">
        <v>7389.4</v>
      </c>
      <c r="HB21">
        <v>3738.5</v>
      </c>
      <c r="HN21">
        <v>2411.6999999999998</v>
      </c>
    </row>
    <row r="22" spans="1:222" ht="18.600000000000001" thickTop="1" thickBot="1">
      <c r="A22" s="586" t="s">
        <v>336</v>
      </c>
      <c r="B22" s="138" t="s">
        <v>521</v>
      </c>
      <c r="C22" s="320"/>
      <c r="D22" s="153" t="s">
        <v>777</v>
      </c>
      <c r="E22" s="432">
        <v>259.5</v>
      </c>
      <c r="F22" s="167">
        <v>395.8</v>
      </c>
      <c r="G22" s="427">
        <v>12636.4</v>
      </c>
      <c r="H22" s="155">
        <v>6598.3</v>
      </c>
      <c r="I22">
        <v>10161.799999999999</v>
      </c>
      <c r="J22">
        <v>10965.599999999999</v>
      </c>
      <c r="K22">
        <v>12968.9</v>
      </c>
      <c r="L22" s="4">
        <v>11087</v>
      </c>
      <c r="M22" s="4">
        <v>11103.7</v>
      </c>
      <c r="N22" s="4">
        <v>8801</v>
      </c>
      <c r="P22">
        <v>10209.900000000001</v>
      </c>
      <c r="V22">
        <v>3840.1</v>
      </c>
      <c r="Y22">
        <v>2945.3999999999996</v>
      </c>
      <c r="AD22">
        <v>9047.1</v>
      </c>
      <c r="AJ22">
        <v>3604.8</v>
      </c>
      <c r="AN22">
        <v>1574.9</v>
      </c>
      <c r="AQ22">
        <v>1966.2</v>
      </c>
      <c r="AT22">
        <v>6477</v>
      </c>
      <c r="AZ22">
        <v>0</v>
      </c>
      <c r="BC22">
        <v>0</v>
      </c>
      <c r="BK22">
        <v>11178.8</v>
      </c>
      <c r="BU22">
        <v>0</v>
      </c>
      <c r="CE22">
        <v>3744.5</v>
      </c>
      <c r="CO22">
        <v>2089.9</v>
      </c>
      <c r="CY22">
        <v>1714</v>
      </c>
      <c r="DK22">
        <v>0</v>
      </c>
      <c r="DS22">
        <v>2034.1999999999998</v>
      </c>
      <c r="ED22">
        <v>2467.3000000000002</v>
      </c>
      <c r="EO22">
        <v>0</v>
      </c>
      <c r="EY22">
        <v>2968.5</v>
      </c>
      <c r="FI22">
        <v>5242.5</v>
      </c>
      <c r="FS22">
        <v>6102.7</v>
      </c>
      <c r="GD22">
        <v>5832.1</v>
      </c>
      <c r="GP22">
        <v>7389.4</v>
      </c>
      <c r="HB22">
        <v>3738.5</v>
      </c>
      <c r="HN22">
        <v>2411.6999999999998</v>
      </c>
    </row>
    <row r="23" spans="1:222" ht="18" thickBot="1">
      <c r="A23" s="587"/>
      <c r="B23" s="139" t="s">
        <v>522</v>
      </c>
      <c r="C23" s="321"/>
      <c r="D23" s="154" t="s">
        <v>777</v>
      </c>
      <c r="E23" s="432">
        <v>259.5</v>
      </c>
      <c r="F23" s="167">
        <v>395.8</v>
      </c>
      <c r="G23" s="427">
        <v>12636.4</v>
      </c>
      <c r="H23" s="155">
        <v>6598.3</v>
      </c>
      <c r="I23">
        <v>10161.799999999999</v>
      </c>
      <c r="J23">
        <v>10965.599999999999</v>
      </c>
      <c r="K23">
        <v>12968.9</v>
      </c>
      <c r="L23" s="4">
        <v>11087</v>
      </c>
      <c r="M23" s="4">
        <v>11103.7</v>
      </c>
      <c r="N23" s="4">
        <v>8801</v>
      </c>
      <c r="P23">
        <v>10209.900000000001</v>
      </c>
      <c r="V23">
        <v>3840.1</v>
      </c>
      <c r="Y23">
        <v>2945.3999999999996</v>
      </c>
      <c r="AD23">
        <v>9047.1</v>
      </c>
      <c r="AJ23">
        <v>3604.8</v>
      </c>
      <c r="AN23">
        <v>1574.9</v>
      </c>
      <c r="AQ23">
        <v>1966.2</v>
      </c>
      <c r="AT23">
        <v>6477</v>
      </c>
      <c r="AZ23">
        <v>0</v>
      </c>
      <c r="BC23">
        <v>0</v>
      </c>
      <c r="BK23">
        <v>11178.8</v>
      </c>
      <c r="BU23">
        <v>0</v>
      </c>
      <c r="CE23">
        <v>3744.5</v>
      </c>
      <c r="CO23">
        <v>2089.9</v>
      </c>
      <c r="CY23">
        <v>1714</v>
      </c>
      <c r="DK23">
        <v>0</v>
      </c>
      <c r="DS23">
        <v>2034.1999999999998</v>
      </c>
      <c r="ED23">
        <v>2467.3000000000002</v>
      </c>
      <c r="EO23">
        <v>0</v>
      </c>
      <c r="EY23">
        <v>2968.5</v>
      </c>
      <c r="FI23">
        <v>5242.5</v>
      </c>
      <c r="FS23">
        <v>6102.7</v>
      </c>
      <c r="GD23">
        <v>5832.1</v>
      </c>
      <c r="GP23">
        <v>7389.4</v>
      </c>
      <c r="HB23">
        <v>3738.5</v>
      </c>
      <c r="HN23">
        <v>2411.6999999999998</v>
      </c>
    </row>
    <row r="24" spans="1:222" ht="18" thickBot="1">
      <c r="A24" s="588"/>
      <c r="B24" s="144" t="s">
        <v>523</v>
      </c>
      <c r="C24" s="322"/>
      <c r="D24" s="151" t="s">
        <v>777</v>
      </c>
      <c r="E24" s="432">
        <v>259.5</v>
      </c>
      <c r="F24" s="167">
        <v>395.8</v>
      </c>
      <c r="G24" s="427">
        <v>12636.4</v>
      </c>
      <c r="H24" s="155">
        <v>6598.3</v>
      </c>
      <c r="I24">
        <v>10161.799999999999</v>
      </c>
      <c r="J24">
        <v>10965.599999999999</v>
      </c>
      <c r="K24">
        <v>12968.9</v>
      </c>
      <c r="L24" s="4">
        <v>11087</v>
      </c>
      <c r="M24" s="4">
        <v>11103.7</v>
      </c>
      <c r="N24" s="4">
        <v>8801</v>
      </c>
      <c r="P24">
        <v>10209.900000000001</v>
      </c>
      <c r="V24">
        <v>3840.1</v>
      </c>
      <c r="Y24">
        <v>2945.3999999999996</v>
      </c>
      <c r="AD24">
        <v>9047.1</v>
      </c>
      <c r="AJ24">
        <v>3604.8</v>
      </c>
      <c r="AN24">
        <v>1574.9</v>
      </c>
      <c r="AQ24">
        <v>1966.2</v>
      </c>
      <c r="AT24">
        <v>6477</v>
      </c>
      <c r="AZ24">
        <v>0</v>
      </c>
      <c r="BC24">
        <v>0</v>
      </c>
      <c r="BK24">
        <v>11178.8</v>
      </c>
      <c r="BU24">
        <v>0</v>
      </c>
      <c r="CE24">
        <v>3744.5</v>
      </c>
      <c r="CO24">
        <v>2089.9</v>
      </c>
      <c r="CY24">
        <v>1714</v>
      </c>
      <c r="DK24">
        <v>0</v>
      </c>
      <c r="DS24">
        <v>2034.1999999999998</v>
      </c>
      <c r="ED24">
        <v>2467.3000000000002</v>
      </c>
      <c r="EO24">
        <v>0</v>
      </c>
      <c r="EY24">
        <v>2968.5</v>
      </c>
      <c r="FI24">
        <v>5242.5</v>
      </c>
      <c r="FS24">
        <v>6102.7</v>
      </c>
      <c r="GD24">
        <v>5832.1</v>
      </c>
      <c r="GP24">
        <v>7389.4</v>
      </c>
      <c r="HB24">
        <v>3738.5</v>
      </c>
      <c r="HN24">
        <v>2411.6999999999998</v>
      </c>
    </row>
    <row r="25" spans="1:222" ht="18.600000000000001" thickTop="1" thickBot="1">
      <c r="A25" s="586" t="s">
        <v>335</v>
      </c>
      <c r="B25" s="138" t="s">
        <v>516</v>
      </c>
      <c r="C25" s="320"/>
      <c r="D25" s="153" t="s">
        <v>777</v>
      </c>
      <c r="E25" s="432">
        <v>259.5</v>
      </c>
      <c r="F25" s="167">
        <v>395.8</v>
      </c>
      <c r="G25" s="427">
        <v>12636.4</v>
      </c>
      <c r="H25" s="155">
        <v>6598.3</v>
      </c>
      <c r="I25">
        <v>10161.799999999999</v>
      </c>
      <c r="J25">
        <v>10965.599999999999</v>
      </c>
      <c r="K25">
        <v>12968.9</v>
      </c>
      <c r="L25" s="4">
        <v>11087</v>
      </c>
      <c r="M25" s="4">
        <v>11103.7</v>
      </c>
      <c r="N25" s="4">
        <v>8801</v>
      </c>
      <c r="P25">
        <v>10209.900000000001</v>
      </c>
      <c r="V25">
        <v>3840.1</v>
      </c>
      <c r="Y25">
        <v>2945.3999999999996</v>
      </c>
      <c r="AD25">
        <v>9047.1</v>
      </c>
      <c r="AJ25">
        <v>3604.8</v>
      </c>
      <c r="AN25">
        <v>1574.9</v>
      </c>
      <c r="AQ25">
        <v>1966.2</v>
      </c>
      <c r="AT25">
        <v>6477</v>
      </c>
      <c r="AZ25">
        <v>0</v>
      </c>
      <c r="BC25">
        <v>0</v>
      </c>
      <c r="BK25">
        <v>11178.8</v>
      </c>
      <c r="BU25">
        <v>0</v>
      </c>
      <c r="CE25">
        <v>3744.5</v>
      </c>
      <c r="CO25">
        <v>2089.9</v>
      </c>
      <c r="CY25">
        <v>1714</v>
      </c>
      <c r="DK25">
        <v>0</v>
      </c>
      <c r="DS25">
        <v>2034.1999999999998</v>
      </c>
      <c r="ED25">
        <v>2467.3000000000002</v>
      </c>
      <c r="EO25">
        <v>0</v>
      </c>
      <c r="EY25">
        <v>2968.5</v>
      </c>
      <c r="FI25">
        <v>5242.5</v>
      </c>
      <c r="FS25">
        <v>6102.7</v>
      </c>
      <c r="GD25">
        <v>5832.1</v>
      </c>
      <c r="GP25">
        <v>7389.4</v>
      </c>
      <c r="HB25">
        <v>3738.5</v>
      </c>
      <c r="HN25">
        <v>2411.6999999999998</v>
      </c>
    </row>
    <row r="26" spans="1:222" ht="18" thickBot="1">
      <c r="A26" s="587"/>
      <c r="B26" s="139" t="s">
        <v>517</v>
      </c>
      <c r="C26" s="321"/>
      <c r="D26" s="154" t="s">
        <v>777</v>
      </c>
      <c r="E26" s="432">
        <v>259.5</v>
      </c>
      <c r="F26" s="167">
        <v>395.8</v>
      </c>
      <c r="G26" s="427">
        <v>12636.4</v>
      </c>
      <c r="H26" s="155">
        <v>6598.3</v>
      </c>
      <c r="I26">
        <v>10161.799999999999</v>
      </c>
      <c r="J26">
        <v>10965.599999999999</v>
      </c>
      <c r="K26">
        <v>12968.9</v>
      </c>
      <c r="L26" s="4">
        <v>11087</v>
      </c>
      <c r="M26" s="4">
        <v>11103.7</v>
      </c>
      <c r="N26" s="4">
        <v>8801</v>
      </c>
      <c r="P26">
        <v>10209.900000000001</v>
      </c>
      <c r="V26">
        <v>3840.1</v>
      </c>
      <c r="Y26">
        <v>2945.3999999999996</v>
      </c>
      <c r="AD26">
        <v>9047.1</v>
      </c>
      <c r="AJ26">
        <v>3604.8</v>
      </c>
      <c r="AN26">
        <v>1574.9</v>
      </c>
      <c r="AQ26">
        <v>1966.2</v>
      </c>
      <c r="AT26">
        <v>6477</v>
      </c>
      <c r="AZ26">
        <v>0</v>
      </c>
      <c r="BC26">
        <v>0</v>
      </c>
      <c r="BK26">
        <v>11178.8</v>
      </c>
      <c r="BU26">
        <v>0</v>
      </c>
      <c r="CE26">
        <v>3744.5</v>
      </c>
      <c r="CO26">
        <v>2089.9</v>
      </c>
      <c r="CY26">
        <v>1714</v>
      </c>
      <c r="DK26">
        <v>0</v>
      </c>
      <c r="DS26">
        <v>2034.1999999999998</v>
      </c>
      <c r="ED26">
        <v>2467.3000000000002</v>
      </c>
      <c r="EO26">
        <v>0</v>
      </c>
      <c r="EY26">
        <v>2968.5</v>
      </c>
      <c r="FI26">
        <v>5242.5</v>
      </c>
      <c r="FS26">
        <v>6102.7</v>
      </c>
      <c r="GD26">
        <v>5832.1</v>
      </c>
      <c r="GP26">
        <v>7389.4</v>
      </c>
      <c r="HB26">
        <v>3738.5</v>
      </c>
      <c r="HN26">
        <v>2411.6999999999998</v>
      </c>
    </row>
    <row r="27" spans="1:222" ht="18" thickBot="1">
      <c r="A27" s="587"/>
      <c r="B27" s="139" t="s">
        <v>518</v>
      </c>
      <c r="C27" s="321"/>
      <c r="D27" s="154" t="s">
        <v>777</v>
      </c>
      <c r="E27" s="432">
        <v>259.5</v>
      </c>
      <c r="F27" s="168">
        <v>395.8</v>
      </c>
      <c r="G27" s="427">
        <v>12636.4</v>
      </c>
      <c r="H27" s="155">
        <v>6598.3</v>
      </c>
      <c r="I27">
        <v>10161.799999999999</v>
      </c>
      <c r="J27">
        <v>10965.599999999999</v>
      </c>
      <c r="K27">
        <v>12968.9</v>
      </c>
      <c r="L27" s="4">
        <v>11087</v>
      </c>
      <c r="M27" s="4">
        <v>11103.7</v>
      </c>
      <c r="N27" s="4">
        <v>8801</v>
      </c>
      <c r="P27">
        <v>10209.900000000001</v>
      </c>
      <c r="V27">
        <v>3840.1</v>
      </c>
      <c r="Y27">
        <v>2945.3999999999996</v>
      </c>
      <c r="AD27">
        <v>9047.1</v>
      </c>
      <c r="AJ27">
        <v>3604.8</v>
      </c>
      <c r="AN27">
        <v>1574.9</v>
      </c>
      <c r="AQ27">
        <v>1966.2</v>
      </c>
      <c r="AT27">
        <v>6477</v>
      </c>
      <c r="AZ27">
        <v>0</v>
      </c>
      <c r="BC27">
        <v>0</v>
      </c>
      <c r="BK27">
        <v>11178.8</v>
      </c>
      <c r="BU27">
        <v>0</v>
      </c>
      <c r="CE27">
        <v>3744.5</v>
      </c>
      <c r="CO27">
        <v>2089.9</v>
      </c>
      <c r="CY27">
        <v>1714</v>
      </c>
      <c r="DK27">
        <v>0</v>
      </c>
      <c r="DS27">
        <v>2034.1999999999998</v>
      </c>
      <c r="ED27">
        <v>2467.3000000000002</v>
      </c>
      <c r="EO27">
        <v>0</v>
      </c>
      <c r="EY27">
        <v>2968.5</v>
      </c>
      <c r="FI27">
        <v>5242.5</v>
      </c>
      <c r="FS27">
        <v>6102.7</v>
      </c>
      <c r="GD27">
        <v>5832.1</v>
      </c>
      <c r="GP27">
        <v>7389.4</v>
      </c>
      <c r="HB27">
        <v>3738.5</v>
      </c>
      <c r="HN27">
        <v>2411.6999999999998</v>
      </c>
    </row>
    <row r="28" spans="1:222" ht="18.600000000000001" thickTop="1" thickBot="1">
      <c r="A28" s="587"/>
      <c r="B28" s="139" t="s">
        <v>519</v>
      </c>
      <c r="C28" s="321"/>
      <c r="D28" s="154" t="s">
        <v>777</v>
      </c>
      <c r="E28" s="431">
        <v>259.5</v>
      </c>
      <c r="F28" s="166">
        <v>395.8</v>
      </c>
      <c r="G28" s="427">
        <v>12636.4</v>
      </c>
      <c r="H28" s="155">
        <v>6598.3</v>
      </c>
      <c r="I28">
        <v>10161.799999999999</v>
      </c>
      <c r="J28">
        <v>10965.599999999999</v>
      </c>
      <c r="K28">
        <v>12968.9</v>
      </c>
      <c r="L28" s="4">
        <v>11087</v>
      </c>
      <c r="M28" s="4">
        <v>11103.7</v>
      </c>
      <c r="N28" s="4">
        <v>8801</v>
      </c>
      <c r="P28">
        <v>10209.900000000001</v>
      </c>
      <c r="V28">
        <v>3840.1</v>
      </c>
      <c r="Y28">
        <v>2945.3999999999996</v>
      </c>
      <c r="AD28">
        <v>9047.1</v>
      </c>
      <c r="AJ28">
        <v>3604.8</v>
      </c>
      <c r="AN28">
        <v>1574.9</v>
      </c>
      <c r="AQ28">
        <v>1966.2</v>
      </c>
      <c r="AT28">
        <v>6477</v>
      </c>
      <c r="AZ28">
        <v>0</v>
      </c>
      <c r="BC28">
        <v>0</v>
      </c>
      <c r="BK28">
        <v>11178.8</v>
      </c>
      <c r="BU28">
        <v>0</v>
      </c>
      <c r="CE28">
        <v>3744.5</v>
      </c>
      <c r="CO28">
        <v>2089.9</v>
      </c>
      <c r="CY28">
        <v>1714</v>
      </c>
      <c r="DK28">
        <v>0</v>
      </c>
      <c r="DS28">
        <v>2034.1999999999998</v>
      </c>
      <c r="ED28">
        <v>2467.3000000000002</v>
      </c>
      <c r="EO28">
        <v>0</v>
      </c>
      <c r="EY28">
        <v>2968.5</v>
      </c>
      <c r="FI28">
        <v>5242.5</v>
      </c>
      <c r="FS28">
        <v>6102.7</v>
      </c>
      <c r="GD28">
        <v>5832.1</v>
      </c>
      <c r="GP28">
        <v>7389.4</v>
      </c>
      <c r="HB28">
        <v>3738.5</v>
      </c>
      <c r="HN28">
        <v>2411.6999999999998</v>
      </c>
    </row>
    <row r="29" spans="1:222" ht="18" thickBot="1">
      <c r="A29" s="588"/>
      <c r="B29" s="140" t="s">
        <v>520</v>
      </c>
      <c r="C29" s="322"/>
      <c r="D29" s="151" t="s">
        <v>777</v>
      </c>
      <c r="E29" s="432">
        <v>259.5</v>
      </c>
      <c r="F29" s="167">
        <v>395.8</v>
      </c>
      <c r="G29" s="427">
        <v>12636.4</v>
      </c>
      <c r="H29" s="155">
        <v>6598.3</v>
      </c>
      <c r="I29">
        <v>10161.799999999999</v>
      </c>
      <c r="J29">
        <v>10965.599999999999</v>
      </c>
      <c r="K29">
        <v>12968.9</v>
      </c>
      <c r="L29" s="4">
        <v>11087</v>
      </c>
      <c r="M29" s="4">
        <v>11103.7</v>
      </c>
      <c r="N29" s="4">
        <v>8801</v>
      </c>
      <c r="P29">
        <v>10209.900000000001</v>
      </c>
      <c r="V29">
        <v>3840.1</v>
      </c>
      <c r="Y29">
        <v>2945.3999999999996</v>
      </c>
      <c r="AD29">
        <v>9047.1</v>
      </c>
      <c r="AJ29">
        <v>3604.8</v>
      </c>
      <c r="AN29">
        <v>1574.9</v>
      </c>
      <c r="AQ29">
        <v>1966.2</v>
      </c>
      <c r="AT29">
        <v>6477</v>
      </c>
      <c r="AZ29">
        <v>0</v>
      </c>
      <c r="BC29">
        <v>0</v>
      </c>
      <c r="BK29">
        <v>11178.8</v>
      </c>
      <c r="BU29">
        <v>0</v>
      </c>
      <c r="CE29">
        <v>3744.5</v>
      </c>
      <c r="CO29">
        <v>2089.9</v>
      </c>
      <c r="CY29">
        <v>1714</v>
      </c>
      <c r="DK29">
        <v>0</v>
      </c>
      <c r="DS29">
        <v>2034.1999999999998</v>
      </c>
      <c r="ED29">
        <v>2467.3000000000002</v>
      </c>
      <c r="EO29">
        <v>0</v>
      </c>
      <c r="EY29">
        <v>2968.5</v>
      </c>
      <c r="FI29">
        <v>5242.5</v>
      </c>
      <c r="FS29">
        <v>6102.7</v>
      </c>
      <c r="GD29">
        <v>5832.1</v>
      </c>
      <c r="GP29">
        <v>7389.4</v>
      </c>
      <c r="HB29">
        <v>3738.5</v>
      </c>
      <c r="HN29">
        <v>2411.6999999999998</v>
      </c>
    </row>
    <row r="30" spans="1:222" ht="18.600000000000001" thickTop="1" thickBot="1">
      <c r="A30" s="586" t="s">
        <v>337</v>
      </c>
      <c r="B30" s="138" t="s">
        <v>524</v>
      </c>
      <c r="C30" s="320"/>
      <c r="D30" s="153" t="s">
        <v>777</v>
      </c>
      <c r="E30" s="432">
        <v>259.5</v>
      </c>
      <c r="F30" s="167">
        <v>395.8</v>
      </c>
      <c r="G30" s="427">
        <v>12636.4</v>
      </c>
      <c r="H30" s="155">
        <v>6598.3</v>
      </c>
      <c r="I30">
        <v>10161.799999999999</v>
      </c>
      <c r="J30">
        <v>10965.599999999999</v>
      </c>
      <c r="K30">
        <v>12968.9</v>
      </c>
      <c r="L30" s="4">
        <v>11087</v>
      </c>
      <c r="M30" s="4">
        <v>11103.7</v>
      </c>
      <c r="N30" s="4">
        <v>8801</v>
      </c>
      <c r="P30">
        <v>10209.900000000001</v>
      </c>
      <c r="V30">
        <v>3840.1</v>
      </c>
      <c r="Y30">
        <v>2945.3999999999996</v>
      </c>
      <c r="AD30">
        <v>9047.1</v>
      </c>
      <c r="AJ30">
        <v>3604.8</v>
      </c>
      <c r="AN30">
        <v>1574.9</v>
      </c>
      <c r="AQ30">
        <v>1966.2</v>
      </c>
      <c r="AT30">
        <v>6477</v>
      </c>
      <c r="AZ30">
        <v>0</v>
      </c>
      <c r="BC30">
        <v>0</v>
      </c>
      <c r="BK30">
        <v>11178.8</v>
      </c>
      <c r="BU30">
        <v>0</v>
      </c>
      <c r="CE30">
        <v>3744.5</v>
      </c>
      <c r="CO30">
        <v>2089.9</v>
      </c>
      <c r="CY30">
        <v>1714</v>
      </c>
      <c r="DK30">
        <v>0</v>
      </c>
      <c r="DS30">
        <v>2034.1999999999998</v>
      </c>
      <c r="ED30">
        <v>2467.3000000000002</v>
      </c>
      <c r="EO30">
        <v>0</v>
      </c>
      <c r="EY30">
        <v>2968.5</v>
      </c>
      <c r="FI30">
        <v>5242.5</v>
      </c>
      <c r="FS30">
        <v>6102.7</v>
      </c>
      <c r="GD30">
        <v>5832.1</v>
      </c>
      <c r="GP30">
        <v>7389.4</v>
      </c>
      <c r="HB30">
        <v>3738.5</v>
      </c>
      <c r="HN30">
        <v>2411.6999999999998</v>
      </c>
    </row>
    <row r="31" spans="1:222" ht="18" thickBot="1">
      <c r="A31" s="587"/>
      <c r="B31" s="141" t="s">
        <v>525</v>
      </c>
      <c r="C31" s="321"/>
      <c r="D31" s="154" t="s">
        <v>777</v>
      </c>
      <c r="E31" s="432">
        <v>259.5</v>
      </c>
      <c r="F31" s="167">
        <v>395.8</v>
      </c>
      <c r="G31" s="427">
        <v>12636.4</v>
      </c>
      <c r="H31" s="155">
        <v>6598.3</v>
      </c>
      <c r="I31">
        <v>10161.799999999999</v>
      </c>
      <c r="J31">
        <v>10965.599999999999</v>
      </c>
      <c r="K31">
        <v>12968.9</v>
      </c>
      <c r="L31" s="4">
        <v>11087</v>
      </c>
      <c r="M31" s="4">
        <v>11103.7</v>
      </c>
      <c r="N31" s="4">
        <v>8801</v>
      </c>
      <c r="P31">
        <v>10209.900000000001</v>
      </c>
      <c r="V31">
        <v>3840.1</v>
      </c>
      <c r="Y31">
        <v>2945.3999999999996</v>
      </c>
      <c r="AD31">
        <v>9047.1</v>
      </c>
      <c r="AJ31">
        <v>3604.8</v>
      </c>
      <c r="AN31">
        <v>1574.9</v>
      </c>
      <c r="AQ31">
        <v>1966.2</v>
      </c>
      <c r="AT31">
        <v>6477</v>
      </c>
      <c r="AZ31">
        <v>0</v>
      </c>
      <c r="BC31">
        <v>0</v>
      </c>
      <c r="BK31">
        <v>11178.8</v>
      </c>
      <c r="BU31">
        <v>0</v>
      </c>
      <c r="CE31">
        <v>3744.5</v>
      </c>
      <c r="CO31">
        <v>2089.9</v>
      </c>
      <c r="CY31">
        <v>1714</v>
      </c>
      <c r="DK31">
        <v>0</v>
      </c>
      <c r="DS31">
        <v>2034.1999999999998</v>
      </c>
      <c r="ED31">
        <v>2467.3000000000002</v>
      </c>
      <c r="EO31">
        <v>0</v>
      </c>
      <c r="EY31">
        <v>2968.5</v>
      </c>
      <c r="FI31">
        <v>5242.5</v>
      </c>
      <c r="FS31">
        <v>6102.7</v>
      </c>
      <c r="GD31">
        <v>5832.1</v>
      </c>
      <c r="GP31">
        <v>7389.4</v>
      </c>
      <c r="HB31">
        <v>3738.5</v>
      </c>
      <c r="HN31">
        <v>2411.6999999999998</v>
      </c>
    </row>
    <row r="32" spans="1:222" ht="18" thickBot="1">
      <c r="A32" s="587"/>
      <c r="B32" s="141" t="s">
        <v>526</v>
      </c>
      <c r="C32" s="321"/>
      <c r="D32" s="154" t="s">
        <v>777</v>
      </c>
      <c r="E32" s="432">
        <v>259.5</v>
      </c>
      <c r="F32" s="167">
        <v>395.8</v>
      </c>
      <c r="G32" s="427">
        <v>12636.4</v>
      </c>
      <c r="H32" s="155">
        <v>6598.3</v>
      </c>
      <c r="I32">
        <v>10161.799999999999</v>
      </c>
      <c r="J32">
        <v>10965.599999999999</v>
      </c>
      <c r="K32">
        <v>12968.9</v>
      </c>
      <c r="L32" s="4">
        <v>11087</v>
      </c>
      <c r="M32" s="4">
        <v>11103.7</v>
      </c>
      <c r="N32" s="4">
        <v>8801</v>
      </c>
      <c r="P32">
        <v>10209.900000000001</v>
      </c>
      <c r="V32">
        <v>3840.1</v>
      </c>
      <c r="Y32">
        <v>2945.3999999999996</v>
      </c>
      <c r="AD32">
        <v>9047.1</v>
      </c>
      <c r="AJ32">
        <v>3604.8</v>
      </c>
      <c r="AN32">
        <v>1574.9</v>
      </c>
      <c r="AQ32">
        <v>1966.2</v>
      </c>
      <c r="AT32">
        <v>6477</v>
      </c>
      <c r="AZ32">
        <v>0</v>
      </c>
      <c r="BC32">
        <v>0</v>
      </c>
      <c r="BK32">
        <v>11178.8</v>
      </c>
      <c r="BU32">
        <v>0</v>
      </c>
      <c r="CE32">
        <v>3744.5</v>
      </c>
      <c r="CO32">
        <v>2089.9</v>
      </c>
      <c r="CY32">
        <v>1714</v>
      </c>
      <c r="DK32">
        <v>0</v>
      </c>
      <c r="DS32">
        <v>2034.1999999999998</v>
      </c>
      <c r="ED32">
        <v>2467.3000000000002</v>
      </c>
      <c r="EO32">
        <v>0</v>
      </c>
      <c r="EY32">
        <v>2968.5</v>
      </c>
      <c r="FI32">
        <v>5242.5</v>
      </c>
      <c r="FS32">
        <v>6102.7</v>
      </c>
      <c r="GD32">
        <v>5832.1</v>
      </c>
      <c r="GP32">
        <v>7389.4</v>
      </c>
      <c r="HB32">
        <v>3738.5</v>
      </c>
      <c r="HN32">
        <v>2411.6999999999998</v>
      </c>
    </row>
    <row r="33" spans="1:222" ht="18" thickBot="1">
      <c r="A33" s="587"/>
      <c r="B33" s="141" t="s">
        <v>527</v>
      </c>
      <c r="C33" s="321"/>
      <c r="D33" s="154" t="s">
        <v>777</v>
      </c>
      <c r="E33" s="432">
        <v>259.5</v>
      </c>
      <c r="F33" s="169">
        <v>395.8</v>
      </c>
      <c r="G33" s="427">
        <v>12636.4</v>
      </c>
      <c r="H33" s="155">
        <v>6598.3</v>
      </c>
      <c r="I33">
        <v>10161.799999999999</v>
      </c>
      <c r="J33">
        <v>10965.599999999999</v>
      </c>
      <c r="K33">
        <v>12968.9</v>
      </c>
      <c r="L33" s="4">
        <v>11087</v>
      </c>
      <c r="M33" s="4">
        <v>11103.7</v>
      </c>
      <c r="N33" s="4">
        <v>8801</v>
      </c>
      <c r="P33">
        <v>10209.900000000001</v>
      </c>
      <c r="V33">
        <v>3840.1</v>
      </c>
      <c r="Y33">
        <v>2945.3999999999996</v>
      </c>
      <c r="AD33">
        <v>9047.1</v>
      </c>
      <c r="AJ33">
        <v>3604.8</v>
      </c>
      <c r="AN33">
        <v>1574.9</v>
      </c>
      <c r="AQ33">
        <v>1966.2</v>
      </c>
      <c r="AT33">
        <v>6477</v>
      </c>
      <c r="AZ33">
        <v>0</v>
      </c>
      <c r="BC33">
        <v>0</v>
      </c>
      <c r="BK33">
        <v>11178.8</v>
      </c>
      <c r="BU33">
        <v>0</v>
      </c>
      <c r="CE33">
        <v>3744.5</v>
      </c>
      <c r="CO33">
        <v>2089.9</v>
      </c>
      <c r="CY33">
        <v>1714</v>
      </c>
      <c r="DK33">
        <v>0</v>
      </c>
      <c r="DS33">
        <v>2034.1999999999998</v>
      </c>
      <c r="ED33">
        <v>2467.3000000000002</v>
      </c>
      <c r="EO33">
        <v>0</v>
      </c>
      <c r="EY33">
        <v>2968.5</v>
      </c>
      <c r="FI33">
        <v>5242.5</v>
      </c>
      <c r="FS33">
        <v>6102.7</v>
      </c>
      <c r="GD33">
        <v>5832.1</v>
      </c>
      <c r="GP33">
        <v>7389.4</v>
      </c>
      <c r="HB33">
        <v>3738.5</v>
      </c>
      <c r="HN33">
        <v>2411.6999999999998</v>
      </c>
    </row>
    <row r="34" spans="1:222" ht="18" thickBot="1">
      <c r="A34" s="587"/>
      <c r="B34" s="141" t="s">
        <v>528</v>
      </c>
      <c r="C34" s="321"/>
      <c r="D34" s="154" t="s">
        <v>777</v>
      </c>
      <c r="E34" s="432">
        <v>259.5</v>
      </c>
      <c r="F34" s="167">
        <v>395.8</v>
      </c>
      <c r="G34" s="427">
        <v>12636.4</v>
      </c>
      <c r="H34" s="155">
        <v>6598.3</v>
      </c>
      <c r="I34">
        <v>10161.799999999999</v>
      </c>
      <c r="J34">
        <v>10965.599999999999</v>
      </c>
      <c r="K34">
        <v>12968.9</v>
      </c>
      <c r="L34" s="4">
        <v>11087</v>
      </c>
      <c r="M34" s="4">
        <v>11103.7</v>
      </c>
      <c r="N34" s="4">
        <v>8801</v>
      </c>
      <c r="P34">
        <v>10209.900000000001</v>
      </c>
      <c r="V34">
        <v>3840.1</v>
      </c>
      <c r="Y34">
        <v>2945.3999999999996</v>
      </c>
      <c r="AD34">
        <v>9047.1</v>
      </c>
      <c r="AJ34">
        <v>3604.8</v>
      </c>
      <c r="AN34">
        <v>1574.9</v>
      </c>
      <c r="AQ34">
        <v>1966.2</v>
      </c>
      <c r="AT34">
        <v>6477</v>
      </c>
      <c r="AZ34">
        <v>0</v>
      </c>
      <c r="BC34">
        <v>0</v>
      </c>
      <c r="BK34">
        <v>11178.8</v>
      </c>
      <c r="BU34">
        <v>0</v>
      </c>
      <c r="CE34">
        <v>3744.5</v>
      </c>
      <c r="CO34">
        <v>2089.9</v>
      </c>
      <c r="CY34">
        <v>1714</v>
      </c>
      <c r="DK34">
        <v>0</v>
      </c>
      <c r="DS34">
        <v>2034.1999999999998</v>
      </c>
      <c r="ED34">
        <v>2467.3000000000002</v>
      </c>
      <c r="EO34">
        <v>0</v>
      </c>
      <c r="EY34">
        <v>2968.5</v>
      </c>
      <c r="FI34">
        <v>5242.5</v>
      </c>
      <c r="FS34">
        <v>6102.7</v>
      </c>
      <c r="GD34">
        <v>5832.1</v>
      </c>
      <c r="GP34">
        <v>7389.4</v>
      </c>
      <c r="HB34">
        <v>3738.5</v>
      </c>
      <c r="HN34">
        <v>2411.6999999999998</v>
      </c>
    </row>
    <row r="35" spans="1:222" ht="18" thickBot="1">
      <c r="A35" s="588"/>
      <c r="B35" s="144" t="s">
        <v>529</v>
      </c>
      <c r="C35" s="322"/>
      <c r="D35" s="151" t="s">
        <v>777</v>
      </c>
      <c r="E35" s="432">
        <v>259.5</v>
      </c>
      <c r="F35" s="167">
        <v>395.8</v>
      </c>
      <c r="G35" s="427">
        <v>12636.4</v>
      </c>
      <c r="H35" s="155">
        <v>6598.3</v>
      </c>
      <c r="I35">
        <v>10161.799999999999</v>
      </c>
      <c r="J35">
        <v>10965.599999999999</v>
      </c>
      <c r="K35">
        <v>12968.9</v>
      </c>
      <c r="L35" s="4">
        <v>11087</v>
      </c>
      <c r="M35" s="4">
        <v>11103.7</v>
      </c>
      <c r="N35" s="4">
        <v>8801</v>
      </c>
      <c r="P35">
        <v>10209.900000000001</v>
      </c>
      <c r="V35">
        <v>3840.1</v>
      </c>
      <c r="Y35">
        <v>2945.3999999999996</v>
      </c>
      <c r="AD35">
        <v>9047.1</v>
      </c>
      <c r="AJ35">
        <v>3604.8</v>
      </c>
      <c r="AN35">
        <v>1574.9</v>
      </c>
      <c r="AQ35">
        <v>1966.2</v>
      </c>
      <c r="AT35">
        <v>6477</v>
      </c>
      <c r="AZ35">
        <v>0</v>
      </c>
      <c r="BC35">
        <v>0</v>
      </c>
      <c r="BK35">
        <v>11178.8</v>
      </c>
      <c r="BU35">
        <v>0</v>
      </c>
      <c r="CE35">
        <v>3744.5</v>
      </c>
      <c r="CO35">
        <v>2089.9</v>
      </c>
      <c r="CY35">
        <v>1714</v>
      </c>
      <c r="DK35">
        <v>0</v>
      </c>
      <c r="DS35">
        <v>2034.1999999999998</v>
      </c>
      <c r="ED35">
        <v>2467.3000000000002</v>
      </c>
      <c r="EO35">
        <v>0</v>
      </c>
      <c r="EY35">
        <v>2968.5</v>
      </c>
      <c r="FI35">
        <v>5242.5</v>
      </c>
      <c r="FS35">
        <v>6102.7</v>
      </c>
      <c r="GD35">
        <v>5832.1</v>
      </c>
      <c r="GP35">
        <v>7389.4</v>
      </c>
      <c r="HB35">
        <v>3738.5</v>
      </c>
      <c r="HN35">
        <v>2411.6999999999998</v>
      </c>
    </row>
    <row r="36" spans="1:222" ht="18.600000000000001" thickTop="1" thickBot="1">
      <c r="A36" s="586" t="s">
        <v>333</v>
      </c>
      <c r="B36" s="142" t="s">
        <v>509</v>
      </c>
      <c r="C36" s="320"/>
      <c r="D36" s="149" t="s">
        <v>1686</v>
      </c>
      <c r="E36" s="432">
        <v>259.5</v>
      </c>
      <c r="F36" s="167">
        <v>395.8</v>
      </c>
      <c r="G36" s="427">
        <v>12636.4</v>
      </c>
      <c r="H36" s="155">
        <v>6598.3</v>
      </c>
      <c r="I36">
        <v>10161.799999999999</v>
      </c>
      <c r="J36">
        <v>10965.599999999999</v>
      </c>
      <c r="K36">
        <v>12968.9</v>
      </c>
      <c r="L36" s="4">
        <v>11087</v>
      </c>
      <c r="M36" s="4">
        <v>11103.7</v>
      </c>
      <c r="N36" s="4">
        <v>8801</v>
      </c>
      <c r="P36">
        <v>10209.900000000001</v>
      </c>
      <c r="V36">
        <v>3840.1</v>
      </c>
      <c r="Y36">
        <v>2945.3999999999996</v>
      </c>
      <c r="AD36">
        <v>9047.1</v>
      </c>
      <c r="AJ36">
        <v>3604.8</v>
      </c>
      <c r="AN36">
        <v>1574.9</v>
      </c>
      <c r="AQ36">
        <v>1966.2</v>
      </c>
      <c r="AT36">
        <v>6477</v>
      </c>
      <c r="AZ36">
        <v>0</v>
      </c>
      <c r="BC36">
        <v>0</v>
      </c>
      <c r="BK36">
        <v>11178.8</v>
      </c>
      <c r="BU36">
        <v>0</v>
      </c>
      <c r="CE36">
        <v>3744.5</v>
      </c>
      <c r="CO36">
        <v>2089.9</v>
      </c>
      <c r="CY36">
        <v>1714</v>
      </c>
      <c r="DK36">
        <v>0</v>
      </c>
      <c r="DS36">
        <v>2034.1999999999998</v>
      </c>
      <c r="ED36">
        <v>2467.3000000000002</v>
      </c>
      <c r="EO36">
        <v>0</v>
      </c>
      <c r="EY36">
        <v>2968.5</v>
      </c>
      <c r="FI36">
        <v>5242.5</v>
      </c>
      <c r="FS36">
        <v>6102.7</v>
      </c>
      <c r="GD36">
        <v>5832.1</v>
      </c>
      <c r="GP36">
        <v>7389.4</v>
      </c>
      <c r="HB36">
        <v>3738.5</v>
      </c>
      <c r="HN36">
        <v>2411.6999999999998</v>
      </c>
    </row>
    <row r="37" spans="1:222" ht="18" thickBot="1">
      <c r="A37" s="587"/>
      <c r="B37" s="143" t="s">
        <v>508</v>
      </c>
      <c r="C37" s="321"/>
      <c r="D37" s="150" t="s">
        <v>778</v>
      </c>
      <c r="E37" s="432">
        <v>259.5</v>
      </c>
      <c r="F37" s="167">
        <v>395.8</v>
      </c>
      <c r="G37" s="427">
        <v>12636.4</v>
      </c>
      <c r="H37" s="155">
        <v>6598.3</v>
      </c>
      <c r="I37">
        <v>10161.799999999999</v>
      </c>
      <c r="J37">
        <v>10965.599999999999</v>
      </c>
      <c r="K37">
        <v>12968.9</v>
      </c>
      <c r="L37" s="4">
        <v>11087</v>
      </c>
      <c r="M37" s="4">
        <v>11103.7</v>
      </c>
      <c r="N37" s="4">
        <v>8801</v>
      </c>
      <c r="P37">
        <v>10209.900000000001</v>
      </c>
      <c r="V37">
        <v>3840.1</v>
      </c>
      <c r="Y37">
        <v>2945.3999999999996</v>
      </c>
      <c r="AD37">
        <v>9047.1</v>
      </c>
      <c r="AJ37">
        <v>3604.8</v>
      </c>
      <c r="AN37">
        <v>1574.9</v>
      </c>
      <c r="AQ37">
        <v>1966.2</v>
      </c>
      <c r="AT37">
        <v>6477</v>
      </c>
      <c r="AZ37">
        <v>0</v>
      </c>
      <c r="BC37">
        <v>0</v>
      </c>
      <c r="BK37">
        <v>11178.8</v>
      </c>
      <c r="BU37">
        <v>0</v>
      </c>
      <c r="CE37">
        <v>3744.5</v>
      </c>
      <c r="CO37">
        <v>2089.9</v>
      </c>
      <c r="CY37">
        <v>1714</v>
      </c>
      <c r="DK37">
        <v>0</v>
      </c>
      <c r="DS37">
        <v>2034.1999999999998</v>
      </c>
      <c r="ED37">
        <v>2467.3000000000002</v>
      </c>
      <c r="EO37">
        <v>0</v>
      </c>
      <c r="EY37">
        <v>2968.5</v>
      </c>
      <c r="FI37">
        <v>5242.5</v>
      </c>
      <c r="FS37">
        <v>6102.7</v>
      </c>
      <c r="GD37">
        <v>5832.1</v>
      </c>
      <c r="GP37">
        <v>7389.4</v>
      </c>
      <c r="HB37">
        <v>3738.5</v>
      </c>
      <c r="HN37">
        <v>2411.6999999999998</v>
      </c>
    </row>
    <row r="38" spans="1:222" ht="18" thickBot="1">
      <c r="A38" s="587"/>
      <c r="B38" s="143" t="s">
        <v>507</v>
      </c>
      <c r="C38" s="321"/>
      <c r="D38" s="150" t="s">
        <v>778</v>
      </c>
      <c r="E38" s="432">
        <v>259.5</v>
      </c>
      <c r="F38" s="167">
        <v>395.8</v>
      </c>
      <c r="G38" s="427">
        <v>12636.4</v>
      </c>
      <c r="H38" s="155">
        <v>6598.3</v>
      </c>
      <c r="I38">
        <v>10161.799999999999</v>
      </c>
      <c r="J38">
        <v>10965.599999999999</v>
      </c>
      <c r="K38">
        <v>12968.9</v>
      </c>
      <c r="L38" s="4">
        <v>11087</v>
      </c>
      <c r="M38" s="4">
        <v>11103.7</v>
      </c>
      <c r="N38" s="4">
        <v>8801</v>
      </c>
      <c r="P38">
        <v>10209.900000000001</v>
      </c>
      <c r="V38">
        <v>3840.1</v>
      </c>
      <c r="Y38">
        <v>2945.3999999999996</v>
      </c>
      <c r="AD38">
        <v>9047.1</v>
      </c>
      <c r="AJ38">
        <v>3604.8</v>
      </c>
      <c r="AN38">
        <v>1574.9</v>
      </c>
      <c r="AQ38">
        <v>1966.2</v>
      </c>
      <c r="AT38">
        <v>6477</v>
      </c>
      <c r="AZ38">
        <v>0</v>
      </c>
      <c r="BC38">
        <v>0</v>
      </c>
      <c r="BK38">
        <v>11178.8</v>
      </c>
      <c r="BU38">
        <v>0</v>
      </c>
      <c r="CE38">
        <v>3744.5</v>
      </c>
      <c r="CO38">
        <v>2089.9</v>
      </c>
      <c r="CY38">
        <v>1714</v>
      </c>
      <c r="DK38">
        <v>0</v>
      </c>
      <c r="DS38">
        <v>2034.1999999999998</v>
      </c>
      <c r="ED38">
        <v>2467.3000000000002</v>
      </c>
      <c r="EO38">
        <v>0</v>
      </c>
      <c r="EY38">
        <v>2968.5</v>
      </c>
      <c r="FI38">
        <v>5242.5</v>
      </c>
      <c r="FS38">
        <v>6102.7</v>
      </c>
      <c r="GD38">
        <v>5832.1</v>
      </c>
      <c r="GP38">
        <v>7389.4</v>
      </c>
      <c r="HB38">
        <v>3738.5</v>
      </c>
      <c r="HN38">
        <v>2411.6999999999998</v>
      </c>
    </row>
    <row r="39" spans="1:222" ht="18" thickBot="1">
      <c r="A39" s="588"/>
      <c r="B39" s="140" t="s">
        <v>506</v>
      </c>
      <c r="C39" s="322"/>
      <c r="D39" s="151" t="s">
        <v>1686</v>
      </c>
      <c r="E39" s="432">
        <v>259.5</v>
      </c>
      <c r="F39" s="168">
        <v>395.8</v>
      </c>
      <c r="G39" s="427">
        <v>12636.4</v>
      </c>
      <c r="H39" s="155">
        <v>6598.3</v>
      </c>
      <c r="I39">
        <v>10161.799999999999</v>
      </c>
      <c r="J39">
        <v>10965.599999999999</v>
      </c>
      <c r="K39">
        <v>12968.9</v>
      </c>
      <c r="L39" s="4">
        <v>11087</v>
      </c>
      <c r="M39" s="4">
        <v>11103.7</v>
      </c>
      <c r="N39" s="4">
        <v>8801</v>
      </c>
      <c r="P39">
        <v>10209.900000000001</v>
      </c>
      <c r="V39">
        <v>3840.1</v>
      </c>
      <c r="Y39">
        <v>2945.3999999999996</v>
      </c>
      <c r="AD39">
        <v>9047.1</v>
      </c>
      <c r="AJ39">
        <v>3604.8</v>
      </c>
      <c r="AN39">
        <v>1574.9</v>
      </c>
      <c r="AQ39">
        <v>1966.2</v>
      </c>
      <c r="AT39">
        <v>6477</v>
      </c>
      <c r="AZ39">
        <v>0</v>
      </c>
      <c r="BC39">
        <v>0</v>
      </c>
      <c r="BK39">
        <v>11178.8</v>
      </c>
      <c r="BU39">
        <v>0</v>
      </c>
      <c r="CE39">
        <v>3744.5</v>
      </c>
      <c r="CO39">
        <v>2089.9</v>
      </c>
      <c r="CY39">
        <v>1714</v>
      </c>
      <c r="DK39">
        <v>0</v>
      </c>
      <c r="DS39">
        <v>2034.1999999999998</v>
      </c>
      <c r="ED39">
        <v>2467.3000000000002</v>
      </c>
      <c r="EO39">
        <v>0</v>
      </c>
      <c r="EY39">
        <v>2968.5</v>
      </c>
      <c r="FI39">
        <v>5242.5</v>
      </c>
      <c r="FS39">
        <v>6102.7</v>
      </c>
      <c r="GD39">
        <v>5832.1</v>
      </c>
      <c r="GP39">
        <v>7389.4</v>
      </c>
      <c r="HB39">
        <v>3738.5</v>
      </c>
      <c r="HN39">
        <v>2411.6999999999998</v>
      </c>
    </row>
    <row r="40" spans="1:222" ht="18.600000000000001" thickTop="1" thickBot="1">
      <c r="A40" s="586" t="s">
        <v>331</v>
      </c>
      <c r="B40" s="142" t="s">
        <v>502</v>
      </c>
      <c r="C40" s="320"/>
      <c r="D40" s="149" t="s">
        <v>778</v>
      </c>
      <c r="E40" s="433">
        <v>259.5</v>
      </c>
      <c r="F40" s="170">
        <v>395.8</v>
      </c>
      <c r="G40" s="427">
        <v>12636.4</v>
      </c>
      <c r="H40" s="155">
        <v>6598.3</v>
      </c>
      <c r="I40">
        <v>10161.799999999999</v>
      </c>
      <c r="J40">
        <v>10965.599999999999</v>
      </c>
      <c r="K40">
        <v>12968.9</v>
      </c>
      <c r="L40" s="4">
        <v>11087</v>
      </c>
      <c r="M40" s="4">
        <v>11103.7</v>
      </c>
      <c r="N40" s="4">
        <v>8801</v>
      </c>
      <c r="P40">
        <v>10209.900000000001</v>
      </c>
      <c r="V40">
        <v>3840.1</v>
      </c>
      <c r="Y40">
        <v>2945.3999999999996</v>
      </c>
      <c r="AD40">
        <v>9047.1</v>
      </c>
      <c r="AJ40">
        <v>3604.8</v>
      </c>
      <c r="AN40">
        <v>1574.9</v>
      </c>
      <c r="AQ40">
        <v>1966.2</v>
      </c>
      <c r="AT40">
        <v>6477</v>
      </c>
      <c r="AZ40">
        <v>0</v>
      </c>
      <c r="BC40">
        <v>0</v>
      </c>
      <c r="BK40">
        <v>11178.8</v>
      </c>
      <c r="BU40">
        <v>0</v>
      </c>
      <c r="CE40">
        <v>3744.5</v>
      </c>
      <c r="CO40">
        <v>2089.9</v>
      </c>
      <c r="CY40">
        <v>1714</v>
      </c>
      <c r="DK40">
        <v>0</v>
      </c>
      <c r="DS40">
        <v>2034.1999999999998</v>
      </c>
      <c r="ED40">
        <v>2467.3000000000002</v>
      </c>
      <c r="EO40">
        <v>0</v>
      </c>
      <c r="EY40">
        <v>2968.5</v>
      </c>
      <c r="FI40">
        <v>5242.5</v>
      </c>
      <c r="FS40">
        <v>6102.7</v>
      </c>
      <c r="GD40">
        <v>5832.1</v>
      </c>
      <c r="GP40">
        <v>7389.4</v>
      </c>
      <c r="HB40">
        <v>3738.5</v>
      </c>
      <c r="HN40">
        <v>2411.6999999999998</v>
      </c>
    </row>
    <row r="41" spans="1:222" ht="18" thickBot="1">
      <c r="A41" s="587"/>
      <c r="B41" s="143" t="s">
        <v>501</v>
      </c>
      <c r="C41" s="321"/>
      <c r="D41" s="150" t="s">
        <v>778</v>
      </c>
      <c r="E41" s="434">
        <v>259.5</v>
      </c>
      <c r="F41" s="167">
        <v>395.8</v>
      </c>
      <c r="G41" s="427">
        <v>12636.4</v>
      </c>
      <c r="H41" s="155">
        <v>6598.3</v>
      </c>
      <c r="I41">
        <v>10161.799999999999</v>
      </c>
      <c r="J41">
        <v>10965.599999999999</v>
      </c>
      <c r="K41">
        <v>12968.9</v>
      </c>
      <c r="L41" s="4">
        <v>11087</v>
      </c>
      <c r="M41" s="4">
        <v>11103.7</v>
      </c>
      <c r="N41" s="4">
        <v>8801</v>
      </c>
      <c r="P41">
        <v>10209.900000000001</v>
      </c>
      <c r="V41">
        <v>3840.1</v>
      </c>
      <c r="Y41">
        <v>2945.3999999999996</v>
      </c>
      <c r="AD41">
        <v>9047.1</v>
      </c>
      <c r="AJ41">
        <v>3604.8</v>
      </c>
      <c r="AN41">
        <v>1574.9</v>
      </c>
      <c r="AQ41">
        <v>1966.2</v>
      </c>
      <c r="AT41">
        <v>6477</v>
      </c>
      <c r="AZ41">
        <v>0</v>
      </c>
      <c r="BC41">
        <v>0</v>
      </c>
      <c r="BK41">
        <v>11178.8</v>
      </c>
      <c r="BU41">
        <v>0</v>
      </c>
      <c r="CE41">
        <v>3744.5</v>
      </c>
      <c r="CO41">
        <v>2089.9</v>
      </c>
      <c r="CY41">
        <v>1714</v>
      </c>
      <c r="DK41">
        <v>0</v>
      </c>
      <c r="DS41">
        <v>2034.1999999999998</v>
      </c>
      <c r="ED41">
        <v>2467.3000000000002</v>
      </c>
      <c r="EO41">
        <v>0</v>
      </c>
      <c r="EY41">
        <v>2968.5</v>
      </c>
      <c r="FI41">
        <v>5242.5</v>
      </c>
      <c r="FS41">
        <v>6102.7</v>
      </c>
      <c r="GD41">
        <v>5832.1</v>
      </c>
      <c r="GP41">
        <v>7389.4</v>
      </c>
      <c r="HB41">
        <v>3738.5</v>
      </c>
      <c r="HN41">
        <v>2411.6999999999998</v>
      </c>
    </row>
    <row r="42" spans="1:222" ht="18" thickBot="1">
      <c r="A42" s="588"/>
      <c r="B42" s="140" t="s">
        <v>500</v>
      </c>
      <c r="C42" s="322"/>
      <c r="D42" s="151" t="s">
        <v>778</v>
      </c>
      <c r="E42" s="434">
        <v>259.5</v>
      </c>
      <c r="F42" s="167">
        <v>395.8</v>
      </c>
      <c r="G42" s="427">
        <v>12636.4</v>
      </c>
      <c r="H42" s="155">
        <v>6598.3</v>
      </c>
      <c r="I42">
        <v>10161.799999999999</v>
      </c>
      <c r="J42">
        <v>10965.599999999999</v>
      </c>
      <c r="K42">
        <v>12968.9</v>
      </c>
      <c r="L42" s="4">
        <v>11087</v>
      </c>
      <c r="M42" s="4">
        <v>11103.7</v>
      </c>
      <c r="N42" s="4">
        <v>8801</v>
      </c>
      <c r="P42">
        <v>10209.900000000001</v>
      </c>
      <c r="V42">
        <v>3840.1</v>
      </c>
      <c r="Y42">
        <v>2945.3999999999996</v>
      </c>
      <c r="AD42">
        <v>9047.1</v>
      </c>
      <c r="AJ42">
        <v>3604.8</v>
      </c>
      <c r="AN42">
        <v>1574.9</v>
      </c>
      <c r="AQ42">
        <v>1966.2</v>
      </c>
      <c r="AT42">
        <v>6477</v>
      </c>
      <c r="AZ42">
        <v>0</v>
      </c>
      <c r="BC42">
        <v>0</v>
      </c>
      <c r="BK42">
        <v>11178.8</v>
      </c>
      <c r="BU42">
        <v>0</v>
      </c>
      <c r="CE42">
        <v>3744.5</v>
      </c>
      <c r="CO42">
        <v>2089.9</v>
      </c>
      <c r="CY42">
        <v>1714</v>
      </c>
      <c r="DK42">
        <v>0</v>
      </c>
      <c r="DS42">
        <v>2034.1999999999998</v>
      </c>
      <c r="ED42">
        <v>2467.3000000000002</v>
      </c>
      <c r="EO42">
        <v>0</v>
      </c>
      <c r="EY42">
        <v>2968.5</v>
      </c>
      <c r="FI42">
        <v>5242.5</v>
      </c>
      <c r="FS42">
        <v>6102.7</v>
      </c>
      <c r="GD42">
        <v>5832.1</v>
      </c>
      <c r="GP42">
        <v>7389.4</v>
      </c>
      <c r="HB42">
        <v>3738.5</v>
      </c>
      <c r="HN42">
        <v>2411.6999999999998</v>
      </c>
    </row>
    <row r="43" spans="1:222" ht="18.600000000000001" thickTop="1" thickBot="1">
      <c r="A43" s="586" t="s">
        <v>332</v>
      </c>
      <c r="B43" s="142" t="s">
        <v>505</v>
      </c>
      <c r="C43" s="320"/>
      <c r="D43" s="149" t="s">
        <v>778</v>
      </c>
      <c r="E43" s="434">
        <v>259.5</v>
      </c>
      <c r="F43" s="167">
        <v>395.8</v>
      </c>
      <c r="G43" s="427">
        <v>12636.4</v>
      </c>
      <c r="H43" s="155">
        <v>6598.3</v>
      </c>
      <c r="I43">
        <v>10161.799999999999</v>
      </c>
      <c r="J43">
        <v>10965.599999999999</v>
      </c>
      <c r="K43">
        <v>12968.9</v>
      </c>
      <c r="L43" s="4">
        <v>11087</v>
      </c>
      <c r="M43" s="4">
        <v>11103.7</v>
      </c>
      <c r="N43" s="4">
        <v>8801</v>
      </c>
      <c r="P43">
        <v>10209.900000000001</v>
      </c>
      <c r="V43">
        <v>3840.1</v>
      </c>
      <c r="Y43">
        <v>2945.3999999999996</v>
      </c>
      <c r="AD43">
        <v>9047.1</v>
      </c>
      <c r="AJ43">
        <v>3604.8</v>
      </c>
      <c r="AN43">
        <v>1574.9</v>
      </c>
      <c r="AQ43">
        <v>1966.2</v>
      </c>
      <c r="AT43">
        <v>6477</v>
      </c>
      <c r="AZ43">
        <v>0</v>
      </c>
      <c r="BC43">
        <v>0</v>
      </c>
      <c r="BK43">
        <v>11178.8</v>
      </c>
      <c r="BU43">
        <v>0</v>
      </c>
      <c r="CE43">
        <v>3744.5</v>
      </c>
      <c r="CO43">
        <v>2089.9</v>
      </c>
      <c r="CY43">
        <v>1714</v>
      </c>
      <c r="DK43">
        <v>0</v>
      </c>
      <c r="DS43">
        <v>2034.1999999999998</v>
      </c>
      <c r="ED43">
        <v>2467.3000000000002</v>
      </c>
      <c r="EO43">
        <v>0</v>
      </c>
      <c r="EY43">
        <v>2968.5</v>
      </c>
      <c r="FI43">
        <v>5242.5</v>
      </c>
      <c r="FS43">
        <v>6102.7</v>
      </c>
      <c r="GD43">
        <v>5832.1</v>
      </c>
      <c r="GP43">
        <v>7389.4</v>
      </c>
      <c r="HB43">
        <v>3738.5</v>
      </c>
      <c r="HN43">
        <v>2411.6999999999998</v>
      </c>
    </row>
    <row r="44" spans="1:222" ht="18" thickBot="1">
      <c r="A44" s="587"/>
      <c r="B44" s="143" t="s">
        <v>504</v>
      </c>
      <c r="C44" s="321"/>
      <c r="D44" s="150" t="s">
        <v>778</v>
      </c>
      <c r="E44" s="434">
        <v>259.5</v>
      </c>
      <c r="F44" s="167">
        <v>395.8</v>
      </c>
      <c r="G44" s="427">
        <v>12636.4</v>
      </c>
      <c r="H44" s="155">
        <v>6598.3</v>
      </c>
      <c r="I44">
        <v>10161.799999999999</v>
      </c>
      <c r="J44">
        <v>10965.599999999999</v>
      </c>
      <c r="K44">
        <v>12968.9</v>
      </c>
      <c r="L44" s="4">
        <v>11087</v>
      </c>
      <c r="M44" s="4">
        <v>11103.7</v>
      </c>
      <c r="N44" s="4">
        <v>8801</v>
      </c>
      <c r="P44">
        <v>10209.900000000001</v>
      </c>
      <c r="V44">
        <v>3840.1</v>
      </c>
      <c r="Y44">
        <v>2945.3999999999996</v>
      </c>
      <c r="AD44">
        <v>9047.1</v>
      </c>
      <c r="AJ44">
        <v>3604.8</v>
      </c>
      <c r="AN44">
        <v>1574.9</v>
      </c>
      <c r="AQ44">
        <v>1966.2</v>
      </c>
      <c r="AT44">
        <v>6477</v>
      </c>
      <c r="AZ44">
        <v>0</v>
      </c>
      <c r="BC44">
        <v>0</v>
      </c>
      <c r="BK44">
        <v>11178.8</v>
      </c>
      <c r="BU44">
        <v>0</v>
      </c>
      <c r="CE44">
        <v>3744.5</v>
      </c>
      <c r="CO44">
        <v>2089.9</v>
      </c>
      <c r="CY44">
        <v>1714</v>
      </c>
      <c r="DK44">
        <v>0</v>
      </c>
      <c r="DS44">
        <v>2034.1999999999998</v>
      </c>
      <c r="ED44">
        <v>2467.3000000000002</v>
      </c>
      <c r="EO44">
        <v>0</v>
      </c>
      <c r="EY44">
        <v>2968.5</v>
      </c>
      <c r="FI44">
        <v>5242.5</v>
      </c>
      <c r="FS44">
        <v>6102.7</v>
      </c>
      <c r="GD44">
        <v>5832.1</v>
      </c>
      <c r="GP44">
        <v>7389.4</v>
      </c>
      <c r="HB44">
        <v>3738.5</v>
      </c>
      <c r="HN44">
        <v>2411.6999999999998</v>
      </c>
    </row>
    <row r="45" spans="1:222" ht="18" thickBot="1">
      <c r="A45" s="588"/>
      <c r="B45" s="140" t="s">
        <v>503</v>
      </c>
      <c r="C45" s="322"/>
      <c r="D45" s="151" t="s">
        <v>778</v>
      </c>
      <c r="E45" s="434">
        <v>259.5</v>
      </c>
      <c r="F45" s="167">
        <v>395.8</v>
      </c>
      <c r="G45" s="427">
        <v>12636.4</v>
      </c>
      <c r="H45" s="155">
        <v>6598.3</v>
      </c>
      <c r="I45">
        <v>10161.799999999999</v>
      </c>
      <c r="J45">
        <v>10965.599999999999</v>
      </c>
      <c r="K45">
        <v>12968.9</v>
      </c>
      <c r="L45" s="4">
        <v>11087</v>
      </c>
      <c r="M45" s="4">
        <v>11103.7</v>
      </c>
      <c r="N45" s="4">
        <v>8801</v>
      </c>
      <c r="P45">
        <v>10209.900000000001</v>
      </c>
      <c r="V45">
        <v>3840.1</v>
      </c>
      <c r="Y45">
        <v>2945.3999999999996</v>
      </c>
      <c r="AD45">
        <v>9047.1</v>
      </c>
      <c r="AJ45">
        <v>3604.8</v>
      </c>
      <c r="AN45">
        <v>1574.9</v>
      </c>
      <c r="AQ45">
        <v>1966.2</v>
      </c>
      <c r="AT45">
        <v>6477</v>
      </c>
      <c r="AZ45">
        <v>0</v>
      </c>
      <c r="BC45">
        <v>0</v>
      </c>
      <c r="BK45">
        <v>11178.8</v>
      </c>
      <c r="BU45">
        <v>0</v>
      </c>
      <c r="CE45">
        <v>3744.5</v>
      </c>
      <c r="CO45">
        <v>2089.9</v>
      </c>
      <c r="CY45">
        <v>1714</v>
      </c>
      <c r="DK45">
        <v>0</v>
      </c>
      <c r="DS45">
        <v>2034.1999999999998</v>
      </c>
      <c r="ED45">
        <v>2467.3000000000002</v>
      </c>
      <c r="EO45">
        <v>0</v>
      </c>
      <c r="EY45">
        <v>2968.5</v>
      </c>
      <c r="FI45">
        <v>5242.5</v>
      </c>
      <c r="FS45">
        <v>6102.7</v>
      </c>
      <c r="GD45">
        <v>5832.1</v>
      </c>
      <c r="GP45">
        <v>7389.4</v>
      </c>
      <c r="HB45">
        <v>3738.5</v>
      </c>
      <c r="HN45">
        <v>2411.6999999999998</v>
      </c>
    </row>
    <row r="46" spans="1:222" ht="18.600000000000001" thickTop="1" thickBot="1">
      <c r="A46" s="586" t="s">
        <v>330</v>
      </c>
      <c r="B46" s="142" t="s">
        <v>499</v>
      </c>
      <c r="C46" s="320"/>
      <c r="D46" s="149" t="s">
        <v>778</v>
      </c>
      <c r="E46" s="434">
        <v>259.5</v>
      </c>
      <c r="F46" s="167">
        <v>395.8</v>
      </c>
      <c r="G46" s="427">
        <v>12636.4</v>
      </c>
      <c r="H46" s="155">
        <v>6598.3</v>
      </c>
      <c r="I46">
        <v>10161.799999999999</v>
      </c>
      <c r="J46">
        <v>10965.599999999999</v>
      </c>
      <c r="K46">
        <v>12968.9</v>
      </c>
      <c r="L46" s="4">
        <v>11087</v>
      </c>
      <c r="M46" s="4">
        <v>11103.7</v>
      </c>
      <c r="N46" s="4">
        <v>8801</v>
      </c>
      <c r="P46">
        <v>10209.900000000001</v>
      </c>
      <c r="V46">
        <v>3840.1</v>
      </c>
      <c r="Y46">
        <v>2945.3999999999996</v>
      </c>
      <c r="AD46">
        <v>9047.1</v>
      </c>
      <c r="AJ46">
        <v>3604.8</v>
      </c>
      <c r="AN46">
        <v>1574.9</v>
      </c>
      <c r="AQ46">
        <v>1966.2</v>
      </c>
      <c r="AT46">
        <v>6477</v>
      </c>
      <c r="AZ46">
        <v>0</v>
      </c>
      <c r="BC46">
        <v>0</v>
      </c>
      <c r="BK46">
        <v>11178.8</v>
      </c>
      <c r="BU46">
        <v>0</v>
      </c>
      <c r="CE46">
        <v>3744.5</v>
      </c>
      <c r="CO46">
        <v>2089.9</v>
      </c>
      <c r="CY46">
        <v>1714</v>
      </c>
      <c r="DK46">
        <v>0</v>
      </c>
      <c r="DS46">
        <v>2034.1999999999998</v>
      </c>
      <c r="ED46">
        <v>2467.3000000000002</v>
      </c>
      <c r="EO46">
        <v>0</v>
      </c>
      <c r="EY46">
        <v>2968.5</v>
      </c>
      <c r="FI46">
        <v>5242.5</v>
      </c>
      <c r="FS46">
        <v>6102.7</v>
      </c>
      <c r="GD46">
        <v>5832.1</v>
      </c>
      <c r="GP46">
        <v>7389.4</v>
      </c>
      <c r="HB46">
        <v>3738.5</v>
      </c>
      <c r="HN46">
        <v>2411.6999999999998</v>
      </c>
    </row>
    <row r="47" spans="1:222" ht="18" thickBot="1">
      <c r="A47" s="587"/>
      <c r="B47" s="143" t="s">
        <v>498</v>
      </c>
      <c r="C47" s="321"/>
      <c r="D47" s="150" t="s">
        <v>778</v>
      </c>
      <c r="E47" s="434">
        <v>259.5</v>
      </c>
      <c r="F47" s="167">
        <v>395.8</v>
      </c>
      <c r="G47" s="427">
        <v>12636.4</v>
      </c>
      <c r="H47" s="155">
        <v>6598.3</v>
      </c>
      <c r="I47">
        <v>10161.799999999999</v>
      </c>
      <c r="J47">
        <v>10965.599999999999</v>
      </c>
      <c r="K47">
        <v>12968.9</v>
      </c>
      <c r="L47" s="4">
        <v>11087</v>
      </c>
      <c r="M47" s="4">
        <v>11103.7</v>
      </c>
      <c r="N47" s="4">
        <v>8801</v>
      </c>
      <c r="P47">
        <v>10209.900000000001</v>
      </c>
      <c r="V47">
        <v>3840.1</v>
      </c>
      <c r="Y47">
        <v>2945.3999999999996</v>
      </c>
      <c r="AD47">
        <v>9047.1</v>
      </c>
      <c r="AJ47">
        <v>3604.8</v>
      </c>
      <c r="AN47">
        <v>1574.9</v>
      </c>
      <c r="AQ47">
        <v>1966.2</v>
      </c>
      <c r="AT47">
        <v>6477</v>
      </c>
      <c r="AZ47">
        <v>0</v>
      </c>
      <c r="BC47">
        <v>0</v>
      </c>
      <c r="BK47">
        <v>11178.8</v>
      </c>
      <c r="BU47">
        <v>0</v>
      </c>
      <c r="CE47">
        <v>3744.5</v>
      </c>
      <c r="CO47">
        <v>2089.9</v>
      </c>
      <c r="CY47">
        <v>1714</v>
      </c>
      <c r="DK47">
        <v>0</v>
      </c>
      <c r="DS47">
        <v>2034.1999999999998</v>
      </c>
      <c r="ED47">
        <v>2467.3000000000002</v>
      </c>
      <c r="EO47">
        <v>0</v>
      </c>
      <c r="EY47">
        <v>2968.5</v>
      </c>
      <c r="FI47">
        <v>5242.5</v>
      </c>
      <c r="FS47">
        <v>6102.7</v>
      </c>
      <c r="GD47">
        <v>5832.1</v>
      </c>
      <c r="GP47">
        <v>7389.4</v>
      </c>
      <c r="HB47">
        <v>3738.5</v>
      </c>
      <c r="HN47">
        <v>2411.6999999999998</v>
      </c>
    </row>
    <row r="48" spans="1:222" ht="18" thickBot="1">
      <c r="A48" s="587"/>
      <c r="B48" s="143" t="s">
        <v>497</v>
      </c>
      <c r="C48" s="321"/>
      <c r="D48" s="150" t="s">
        <v>778</v>
      </c>
      <c r="E48" s="434">
        <v>259.5</v>
      </c>
      <c r="F48" s="167">
        <v>395.8</v>
      </c>
      <c r="G48" s="427">
        <v>12636.4</v>
      </c>
      <c r="H48" s="155">
        <v>6598.3</v>
      </c>
      <c r="I48">
        <v>10161.799999999999</v>
      </c>
      <c r="J48">
        <v>10965.599999999999</v>
      </c>
      <c r="K48">
        <v>12968.9</v>
      </c>
      <c r="L48" s="4">
        <v>11087</v>
      </c>
      <c r="M48" s="4">
        <v>11103.7</v>
      </c>
      <c r="N48" s="4">
        <v>8801</v>
      </c>
      <c r="P48">
        <v>10209.900000000001</v>
      </c>
      <c r="V48">
        <v>3840.1</v>
      </c>
      <c r="Y48">
        <v>2945.3999999999996</v>
      </c>
      <c r="AD48">
        <v>9047.1</v>
      </c>
      <c r="AJ48">
        <v>3604.8</v>
      </c>
      <c r="AN48">
        <v>1574.9</v>
      </c>
      <c r="AQ48">
        <v>1966.2</v>
      </c>
      <c r="AT48">
        <v>6477</v>
      </c>
      <c r="AZ48">
        <v>0</v>
      </c>
      <c r="BC48">
        <v>0</v>
      </c>
      <c r="BK48">
        <v>11178.8</v>
      </c>
      <c r="BU48">
        <v>0</v>
      </c>
      <c r="CE48">
        <v>3744.5</v>
      </c>
      <c r="CO48">
        <v>2089.9</v>
      </c>
      <c r="CY48">
        <v>1714</v>
      </c>
      <c r="DK48">
        <v>0</v>
      </c>
      <c r="DS48">
        <v>2034.1999999999998</v>
      </c>
      <c r="ED48">
        <v>2467.3000000000002</v>
      </c>
      <c r="EO48">
        <v>0</v>
      </c>
      <c r="EY48">
        <v>2968.5</v>
      </c>
      <c r="FI48">
        <v>5242.5</v>
      </c>
      <c r="FS48">
        <v>6102.7</v>
      </c>
      <c r="GD48">
        <v>5832.1</v>
      </c>
      <c r="GP48">
        <v>7389.4</v>
      </c>
      <c r="HB48">
        <v>3738.5</v>
      </c>
      <c r="HN48">
        <v>2411.6999999999998</v>
      </c>
    </row>
    <row r="49" spans="1:222" ht="18" thickBot="1">
      <c r="A49" s="587"/>
      <c r="B49" s="143" t="s">
        <v>496</v>
      </c>
      <c r="C49" s="321"/>
      <c r="D49" s="150" t="s">
        <v>778</v>
      </c>
      <c r="E49" s="434">
        <v>259.5</v>
      </c>
      <c r="F49" s="167">
        <v>395.8</v>
      </c>
      <c r="G49" s="427">
        <v>12636.4</v>
      </c>
      <c r="H49" s="155">
        <v>6598.3</v>
      </c>
      <c r="I49">
        <v>10161.799999999999</v>
      </c>
      <c r="J49">
        <v>10965.599999999999</v>
      </c>
      <c r="K49">
        <v>12968.9</v>
      </c>
      <c r="L49" s="4">
        <v>11087</v>
      </c>
      <c r="M49" s="4">
        <v>11103.7</v>
      </c>
      <c r="N49" s="4">
        <v>8801</v>
      </c>
      <c r="P49">
        <v>10209.900000000001</v>
      </c>
      <c r="V49">
        <v>3840.1</v>
      </c>
      <c r="Y49">
        <v>2945.3999999999996</v>
      </c>
      <c r="AD49">
        <v>9047.1</v>
      </c>
      <c r="AJ49">
        <v>3604.8</v>
      </c>
      <c r="AN49">
        <v>1574.9</v>
      </c>
      <c r="AQ49">
        <v>1966.2</v>
      </c>
      <c r="AT49">
        <v>6477</v>
      </c>
      <c r="AZ49">
        <v>0</v>
      </c>
      <c r="BC49">
        <v>0</v>
      </c>
      <c r="BK49">
        <v>11178.8</v>
      </c>
      <c r="BU49">
        <v>0</v>
      </c>
      <c r="CE49">
        <v>3744.5</v>
      </c>
      <c r="CO49">
        <v>2089.9</v>
      </c>
      <c r="CY49">
        <v>1714</v>
      </c>
      <c r="DK49">
        <v>0</v>
      </c>
      <c r="DS49">
        <v>2034.1999999999998</v>
      </c>
      <c r="ED49">
        <v>2467.3000000000002</v>
      </c>
      <c r="EO49">
        <v>0</v>
      </c>
      <c r="EY49">
        <v>2968.5</v>
      </c>
      <c r="FI49">
        <v>5242.5</v>
      </c>
      <c r="FS49">
        <v>6102.7</v>
      </c>
      <c r="GD49">
        <v>5832.1</v>
      </c>
      <c r="GP49">
        <v>7389.4</v>
      </c>
      <c r="HB49">
        <v>3738.5</v>
      </c>
      <c r="HN49">
        <v>2411.6999999999998</v>
      </c>
    </row>
    <row r="50" spans="1:222" ht="18" thickBot="1">
      <c r="A50" s="587"/>
      <c r="B50" s="143" t="s">
        <v>495</v>
      </c>
      <c r="C50" s="321"/>
      <c r="D50" s="150" t="s">
        <v>778</v>
      </c>
      <c r="E50" s="434">
        <v>259.5</v>
      </c>
      <c r="F50" s="167">
        <v>395.8</v>
      </c>
      <c r="G50" s="427">
        <v>12636.4</v>
      </c>
      <c r="H50" s="155">
        <v>6598.3</v>
      </c>
      <c r="I50">
        <v>10161.799999999999</v>
      </c>
      <c r="J50">
        <v>10965.599999999999</v>
      </c>
      <c r="K50">
        <v>12968.9</v>
      </c>
      <c r="L50" s="4">
        <v>11087</v>
      </c>
      <c r="M50" s="4">
        <v>11103.7</v>
      </c>
      <c r="N50" s="4">
        <v>8801</v>
      </c>
      <c r="P50">
        <v>10209.900000000001</v>
      </c>
      <c r="V50">
        <v>3840.1</v>
      </c>
      <c r="Y50">
        <v>2945.3999999999996</v>
      </c>
      <c r="AD50">
        <v>9047.1</v>
      </c>
      <c r="AJ50">
        <v>3604.8</v>
      </c>
      <c r="AN50">
        <v>1574.9</v>
      </c>
      <c r="AQ50">
        <v>1966.2</v>
      </c>
      <c r="AT50">
        <v>6477</v>
      </c>
      <c r="AZ50">
        <v>0</v>
      </c>
      <c r="BC50">
        <v>0</v>
      </c>
      <c r="BK50">
        <v>11178.8</v>
      </c>
      <c r="BU50">
        <v>0</v>
      </c>
      <c r="CE50">
        <v>3744.5</v>
      </c>
      <c r="CO50">
        <v>2089.9</v>
      </c>
      <c r="CY50">
        <v>1714</v>
      </c>
      <c r="DK50">
        <v>0</v>
      </c>
      <c r="DS50">
        <v>2034.1999999999998</v>
      </c>
      <c r="ED50">
        <v>2467.3000000000002</v>
      </c>
      <c r="EO50">
        <v>0</v>
      </c>
      <c r="EY50">
        <v>2968.5</v>
      </c>
      <c r="FI50">
        <v>5242.5</v>
      </c>
      <c r="FS50">
        <v>6102.7</v>
      </c>
      <c r="GD50">
        <v>5832.1</v>
      </c>
      <c r="GP50">
        <v>7389.4</v>
      </c>
      <c r="HB50">
        <v>3738.5</v>
      </c>
      <c r="HN50">
        <v>2411.6999999999998</v>
      </c>
    </row>
    <row r="51" spans="1:222" ht="18" thickBot="1">
      <c r="A51" s="588"/>
      <c r="B51" s="140" t="s">
        <v>494</v>
      </c>
      <c r="C51" s="322"/>
      <c r="D51" s="151" t="s">
        <v>778</v>
      </c>
      <c r="E51" s="434">
        <v>259.5</v>
      </c>
      <c r="F51" s="168">
        <v>395.8</v>
      </c>
      <c r="G51" s="427">
        <v>12636.4</v>
      </c>
      <c r="H51" s="155">
        <v>6598.3</v>
      </c>
      <c r="I51">
        <v>10161.799999999999</v>
      </c>
      <c r="J51">
        <v>10965.599999999999</v>
      </c>
      <c r="K51">
        <v>12968.9</v>
      </c>
      <c r="L51" s="4">
        <v>11087</v>
      </c>
      <c r="M51" s="4">
        <v>11103.7</v>
      </c>
      <c r="N51" s="4">
        <v>8801</v>
      </c>
      <c r="P51">
        <v>10209.900000000001</v>
      </c>
      <c r="V51">
        <v>3840.1</v>
      </c>
      <c r="Y51">
        <v>2945.3999999999996</v>
      </c>
      <c r="AD51">
        <v>9047.1</v>
      </c>
      <c r="AJ51">
        <v>3604.8</v>
      </c>
      <c r="AN51">
        <v>1574.9</v>
      </c>
      <c r="AQ51">
        <v>1966.2</v>
      </c>
      <c r="AT51">
        <v>6477</v>
      </c>
      <c r="AZ51">
        <v>0</v>
      </c>
      <c r="BC51">
        <v>0</v>
      </c>
      <c r="BK51">
        <v>11178.8</v>
      </c>
      <c r="BU51">
        <v>0</v>
      </c>
      <c r="CE51">
        <v>3744.5</v>
      </c>
      <c r="CO51">
        <v>2089.9</v>
      </c>
      <c r="CY51">
        <v>1714</v>
      </c>
      <c r="DK51">
        <v>0</v>
      </c>
      <c r="DS51">
        <v>2034.1999999999998</v>
      </c>
      <c r="ED51">
        <v>2467.3000000000002</v>
      </c>
      <c r="EO51">
        <v>0</v>
      </c>
      <c r="EY51">
        <v>2968.5</v>
      </c>
      <c r="FI51">
        <v>5242.5</v>
      </c>
      <c r="FS51">
        <v>6102.7</v>
      </c>
      <c r="GD51">
        <v>5832.1</v>
      </c>
      <c r="GP51">
        <v>7389.4</v>
      </c>
      <c r="HB51">
        <v>3738.5</v>
      </c>
      <c r="HN51">
        <v>2411.6999999999998</v>
      </c>
    </row>
    <row r="52" spans="1:222" ht="18.600000000000001" thickTop="1" thickBot="1">
      <c r="A52" s="586" t="s">
        <v>329</v>
      </c>
      <c r="B52" s="142"/>
      <c r="C52" s="320"/>
      <c r="D52" s="149"/>
      <c r="E52" s="433">
        <v>259.5</v>
      </c>
      <c r="F52" s="166">
        <v>395.8</v>
      </c>
      <c r="G52" s="427">
        <v>12636.4</v>
      </c>
      <c r="H52" s="155">
        <v>6598.3</v>
      </c>
      <c r="I52">
        <v>10161.799999999999</v>
      </c>
      <c r="J52">
        <v>10965.599999999999</v>
      </c>
      <c r="K52">
        <v>12968.9</v>
      </c>
      <c r="L52" s="4">
        <v>11087</v>
      </c>
      <c r="M52" s="4">
        <v>11103.7</v>
      </c>
      <c r="N52" s="4">
        <v>8801</v>
      </c>
      <c r="P52">
        <v>10209.900000000001</v>
      </c>
      <c r="V52">
        <v>3840.1</v>
      </c>
      <c r="Y52">
        <v>2945.3999999999996</v>
      </c>
      <c r="AD52">
        <v>9047.1</v>
      </c>
      <c r="AJ52">
        <v>3604.8</v>
      </c>
      <c r="AN52">
        <v>1574.9</v>
      </c>
      <c r="AQ52">
        <v>1966.2</v>
      </c>
      <c r="AT52">
        <v>6477</v>
      </c>
      <c r="AZ52">
        <v>0</v>
      </c>
      <c r="BC52">
        <v>0</v>
      </c>
      <c r="BK52">
        <v>11178.8</v>
      </c>
      <c r="BU52">
        <v>0</v>
      </c>
      <c r="CE52">
        <v>3744.5</v>
      </c>
      <c r="CO52">
        <v>2089.9</v>
      </c>
      <c r="CY52">
        <v>1714</v>
      </c>
      <c r="DK52">
        <v>0</v>
      </c>
      <c r="DS52">
        <v>2034.1999999999998</v>
      </c>
      <c r="ED52">
        <v>2467.3000000000002</v>
      </c>
      <c r="EO52">
        <v>0</v>
      </c>
      <c r="EY52">
        <v>2968.5</v>
      </c>
      <c r="FI52">
        <v>5242.5</v>
      </c>
      <c r="FS52">
        <v>6102.7</v>
      </c>
      <c r="GD52">
        <v>5832.1</v>
      </c>
      <c r="GP52">
        <v>7389.4</v>
      </c>
      <c r="HB52">
        <v>3738.5</v>
      </c>
      <c r="HN52">
        <v>2411.6999999999998</v>
      </c>
    </row>
    <row r="53" spans="1:222" ht="18" thickBot="1">
      <c r="A53" s="587"/>
      <c r="B53" s="143"/>
      <c r="C53" s="321"/>
      <c r="D53" s="150"/>
      <c r="E53" s="434">
        <v>259.5</v>
      </c>
      <c r="F53" s="167">
        <v>395.8</v>
      </c>
      <c r="G53" s="427">
        <v>12636.4</v>
      </c>
      <c r="H53" s="155">
        <v>6598.3</v>
      </c>
      <c r="I53">
        <v>10161.799999999999</v>
      </c>
      <c r="J53">
        <v>10965.599999999999</v>
      </c>
      <c r="K53">
        <v>12968.9</v>
      </c>
      <c r="L53" s="4">
        <v>11087</v>
      </c>
      <c r="M53" s="4">
        <v>11103.7</v>
      </c>
      <c r="N53" s="4">
        <v>8801</v>
      </c>
      <c r="P53">
        <v>10209.900000000001</v>
      </c>
      <c r="V53">
        <v>3840.1</v>
      </c>
      <c r="Y53">
        <v>2945.3999999999996</v>
      </c>
      <c r="AD53">
        <v>9047.1</v>
      </c>
      <c r="AJ53">
        <v>3604.8</v>
      </c>
      <c r="AN53">
        <v>1574.9</v>
      </c>
      <c r="AQ53">
        <v>1966.2</v>
      </c>
      <c r="AT53">
        <v>6477</v>
      </c>
      <c r="AZ53">
        <v>0</v>
      </c>
      <c r="BC53">
        <v>0</v>
      </c>
      <c r="BK53">
        <v>11178.8</v>
      </c>
      <c r="BU53">
        <v>0</v>
      </c>
      <c r="CE53">
        <v>3744.5</v>
      </c>
      <c r="CO53">
        <v>2089.9</v>
      </c>
      <c r="CY53">
        <v>1714</v>
      </c>
      <c r="DK53">
        <v>0</v>
      </c>
      <c r="DS53">
        <v>2034.1999999999998</v>
      </c>
      <c r="ED53">
        <v>2467.3000000000002</v>
      </c>
      <c r="EO53">
        <v>0</v>
      </c>
      <c r="EY53">
        <v>2968.5</v>
      </c>
      <c r="FI53">
        <v>5242.5</v>
      </c>
      <c r="FS53">
        <v>6102.7</v>
      </c>
      <c r="GD53">
        <v>5832.1</v>
      </c>
      <c r="GP53">
        <v>7389.4</v>
      </c>
      <c r="HB53">
        <v>3738.5</v>
      </c>
      <c r="HN53">
        <v>2411.6999999999998</v>
      </c>
    </row>
    <row r="54" spans="1:222" ht="18" thickBot="1">
      <c r="A54" s="588"/>
      <c r="B54" s="140"/>
      <c r="C54" s="322"/>
      <c r="D54" s="151"/>
      <c r="E54" s="434">
        <v>259.5</v>
      </c>
      <c r="F54" s="167">
        <v>395.8</v>
      </c>
      <c r="G54" s="427">
        <v>12636.4</v>
      </c>
      <c r="H54" s="155">
        <v>6598.3</v>
      </c>
      <c r="I54">
        <v>10161.799999999999</v>
      </c>
      <c r="J54">
        <v>10965.599999999999</v>
      </c>
      <c r="K54">
        <v>12968.9</v>
      </c>
      <c r="L54" s="4">
        <v>11087</v>
      </c>
      <c r="M54" s="4">
        <v>11103.7</v>
      </c>
      <c r="N54" s="4">
        <v>8801</v>
      </c>
      <c r="P54">
        <v>10209.900000000001</v>
      </c>
      <c r="V54">
        <v>3840.1</v>
      </c>
      <c r="Y54">
        <v>2945.3999999999996</v>
      </c>
      <c r="AD54">
        <v>9047.1</v>
      </c>
      <c r="AJ54">
        <v>3604.8</v>
      </c>
      <c r="AN54">
        <v>1574.9</v>
      </c>
      <c r="AQ54">
        <v>1966.2</v>
      </c>
      <c r="AT54">
        <v>6477</v>
      </c>
      <c r="AZ54">
        <v>0</v>
      </c>
      <c r="BC54">
        <v>0</v>
      </c>
      <c r="BK54">
        <v>11178.8</v>
      </c>
      <c r="BU54">
        <v>0</v>
      </c>
      <c r="CE54">
        <v>3744.5</v>
      </c>
      <c r="CO54">
        <v>2089.9</v>
      </c>
      <c r="CY54">
        <v>1714</v>
      </c>
      <c r="DK54">
        <v>0</v>
      </c>
      <c r="DS54">
        <v>2034.1999999999998</v>
      </c>
      <c r="ED54">
        <v>2467.3000000000002</v>
      </c>
      <c r="EO54">
        <v>0</v>
      </c>
      <c r="EY54">
        <v>2968.5</v>
      </c>
      <c r="FI54">
        <v>5242.5</v>
      </c>
      <c r="FS54">
        <v>6102.7</v>
      </c>
      <c r="GD54">
        <v>5832.1</v>
      </c>
      <c r="GP54">
        <v>7389.4</v>
      </c>
      <c r="HB54">
        <v>3738.5</v>
      </c>
      <c r="HN54">
        <v>2411.6999999999998</v>
      </c>
    </row>
    <row r="55" spans="1:222" ht="18.600000000000001" thickTop="1" thickBot="1">
      <c r="A55" s="586" t="s">
        <v>328</v>
      </c>
      <c r="B55" s="142" t="s">
        <v>493</v>
      </c>
      <c r="C55" s="320"/>
      <c r="D55" s="149"/>
      <c r="E55" s="434">
        <v>259.5</v>
      </c>
      <c r="F55" s="167">
        <v>395.8</v>
      </c>
      <c r="G55" s="427">
        <v>12636.4</v>
      </c>
      <c r="H55" s="155">
        <v>6598.3</v>
      </c>
      <c r="I55">
        <v>10161.799999999999</v>
      </c>
      <c r="J55">
        <v>10965.599999999999</v>
      </c>
      <c r="K55">
        <v>12968.9</v>
      </c>
      <c r="L55" s="4">
        <v>11087</v>
      </c>
      <c r="M55" s="4">
        <v>11103.7</v>
      </c>
      <c r="N55" s="4">
        <v>8801</v>
      </c>
      <c r="P55">
        <v>10209.900000000001</v>
      </c>
      <c r="V55">
        <v>3840.1</v>
      </c>
      <c r="Y55">
        <v>2945.3999999999996</v>
      </c>
      <c r="AD55">
        <v>9047.1</v>
      </c>
      <c r="AJ55">
        <v>3604.8</v>
      </c>
      <c r="AN55">
        <v>1574.9</v>
      </c>
      <c r="AQ55">
        <v>1966.2</v>
      </c>
      <c r="AT55">
        <v>6477</v>
      </c>
      <c r="AZ55">
        <v>0</v>
      </c>
      <c r="BC55">
        <v>0</v>
      </c>
      <c r="BK55">
        <v>11178.8</v>
      </c>
      <c r="BU55">
        <v>0</v>
      </c>
      <c r="CE55">
        <v>3744.5</v>
      </c>
      <c r="CO55">
        <v>2089.9</v>
      </c>
      <c r="CY55">
        <v>1714</v>
      </c>
      <c r="DK55">
        <v>0</v>
      </c>
      <c r="DS55">
        <v>2034.1999999999998</v>
      </c>
      <c r="ED55">
        <v>2467.3000000000002</v>
      </c>
      <c r="EO55">
        <v>0</v>
      </c>
      <c r="EY55">
        <v>2968.5</v>
      </c>
      <c r="FI55">
        <v>5242.5</v>
      </c>
      <c r="FS55">
        <v>6102.7</v>
      </c>
      <c r="GD55">
        <v>5832.1</v>
      </c>
      <c r="GP55">
        <v>7389.4</v>
      </c>
      <c r="HB55">
        <v>3738.5</v>
      </c>
      <c r="HN55">
        <v>2411.6999999999998</v>
      </c>
    </row>
    <row r="56" spans="1:222" ht="18" thickBot="1">
      <c r="A56" s="587"/>
      <c r="B56" s="143" t="s">
        <v>450</v>
      </c>
      <c r="C56" s="321"/>
      <c r="D56" s="150"/>
      <c r="E56" s="434">
        <v>259.5</v>
      </c>
      <c r="F56" s="167">
        <v>395.8</v>
      </c>
      <c r="G56" s="427">
        <v>12636.4</v>
      </c>
      <c r="H56" s="155">
        <v>6598.3</v>
      </c>
      <c r="I56">
        <v>10161.799999999999</v>
      </c>
      <c r="J56">
        <v>10965.599999999999</v>
      </c>
      <c r="K56">
        <v>12968.9</v>
      </c>
      <c r="L56" s="4">
        <v>11087</v>
      </c>
      <c r="M56" s="4">
        <v>11103.7</v>
      </c>
      <c r="N56" s="4">
        <v>8801</v>
      </c>
      <c r="P56">
        <v>10209.900000000001</v>
      </c>
      <c r="V56">
        <v>3840.1</v>
      </c>
      <c r="Y56">
        <v>2945.3999999999996</v>
      </c>
      <c r="AD56">
        <v>9047.1</v>
      </c>
      <c r="AJ56">
        <v>3604.8</v>
      </c>
      <c r="AN56">
        <v>1574.9</v>
      </c>
      <c r="AQ56">
        <v>1966.2</v>
      </c>
      <c r="AT56">
        <v>6477</v>
      </c>
      <c r="AZ56">
        <v>0</v>
      </c>
      <c r="BC56">
        <v>0</v>
      </c>
      <c r="BK56">
        <v>11178.8</v>
      </c>
      <c r="BU56">
        <v>0</v>
      </c>
      <c r="CE56">
        <v>3744.5</v>
      </c>
      <c r="CO56">
        <v>2089.9</v>
      </c>
      <c r="CY56">
        <v>1714</v>
      </c>
      <c r="DK56">
        <v>0</v>
      </c>
      <c r="DS56">
        <v>2034.1999999999998</v>
      </c>
      <c r="ED56">
        <v>2467.3000000000002</v>
      </c>
      <c r="EO56">
        <v>0</v>
      </c>
      <c r="EY56">
        <v>2968.5</v>
      </c>
      <c r="FI56">
        <v>5242.5</v>
      </c>
      <c r="FS56">
        <v>6102.7</v>
      </c>
      <c r="GD56">
        <v>5832.1</v>
      </c>
      <c r="GP56">
        <v>7389.4</v>
      </c>
      <c r="HB56">
        <v>3738.5</v>
      </c>
      <c r="HN56">
        <v>2411.6999999999998</v>
      </c>
    </row>
    <row r="57" spans="1:222" ht="18" thickBot="1">
      <c r="A57" s="587"/>
      <c r="B57" s="143"/>
      <c r="C57" s="321"/>
      <c r="D57" s="150"/>
      <c r="E57" s="434">
        <v>259.5</v>
      </c>
      <c r="F57" s="167">
        <v>395.8</v>
      </c>
      <c r="G57" s="427">
        <v>12636.4</v>
      </c>
      <c r="H57" s="155">
        <v>6598.3</v>
      </c>
      <c r="I57">
        <v>10161.799999999999</v>
      </c>
      <c r="J57">
        <v>10965.599999999999</v>
      </c>
      <c r="K57">
        <v>12968.9</v>
      </c>
      <c r="L57" s="4">
        <v>11087</v>
      </c>
      <c r="M57" s="4">
        <v>11103.7</v>
      </c>
      <c r="N57" s="4">
        <v>8801</v>
      </c>
      <c r="P57">
        <v>10209.900000000001</v>
      </c>
      <c r="V57">
        <v>3840.1</v>
      </c>
      <c r="Y57">
        <v>2945.3999999999996</v>
      </c>
      <c r="AD57">
        <v>9047.1</v>
      </c>
      <c r="AJ57">
        <v>3604.8</v>
      </c>
      <c r="AN57">
        <v>1574.9</v>
      </c>
      <c r="AQ57">
        <v>1966.2</v>
      </c>
      <c r="AT57">
        <v>6477</v>
      </c>
      <c r="AZ57">
        <v>0</v>
      </c>
      <c r="BC57">
        <v>0</v>
      </c>
      <c r="BK57">
        <v>11178.8</v>
      </c>
      <c r="BU57">
        <v>0</v>
      </c>
      <c r="CE57">
        <v>3744.5</v>
      </c>
      <c r="CO57">
        <v>2089.9</v>
      </c>
      <c r="CY57">
        <v>1714</v>
      </c>
      <c r="DK57">
        <v>0</v>
      </c>
      <c r="DS57">
        <v>2034.1999999999998</v>
      </c>
      <c r="ED57">
        <v>2467.3000000000002</v>
      </c>
      <c r="EO57">
        <v>0</v>
      </c>
      <c r="EY57">
        <v>2968.5</v>
      </c>
      <c r="FI57">
        <v>5242.5</v>
      </c>
      <c r="FS57">
        <v>6102.7</v>
      </c>
      <c r="GD57">
        <v>5832.1</v>
      </c>
      <c r="GP57">
        <v>7389.4</v>
      </c>
      <c r="HB57">
        <v>3738.5</v>
      </c>
      <c r="HN57">
        <v>2411.6999999999998</v>
      </c>
    </row>
    <row r="58" spans="1:222" ht="18" thickBot="1">
      <c r="A58" s="587"/>
      <c r="B58" s="143"/>
      <c r="C58" s="321"/>
      <c r="D58" s="150"/>
      <c r="E58" s="434">
        <v>259.5</v>
      </c>
      <c r="F58" s="167">
        <v>395.8</v>
      </c>
      <c r="G58" s="427">
        <v>12636.4</v>
      </c>
      <c r="H58" s="155">
        <v>6598.3</v>
      </c>
      <c r="I58">
        <v>10161.799999999999</v>
      </c>
      <c r="J58">
        <v>10965.599999999999</v>
      </c>
      <c r="K58">
        <v>12968.9</v>
      </c>
      <c r="L58" s="4">
        <v>11087</v>
      </c>
      <c r="M58" s="4">
        <v>11103.7</v>
      </c>
      <c r="N58" s="4">
        <v>8801</v>
      </c>
      <c r="P58">
        <v>10209.900000000001</v>
      </c>
      <c r="V58">
        <v>3840.1</v>
      </c>
      <c r="Y58">
        <v>2945.3999999999996</v>
      </c>
      <c r="AD58">
        <v>9047.1</v>
      </c>
      <c r="AJ58">
        <v>3604.8</v>
      </c>
      <c r="AN58">
        <v>1574.9</v>
      </c>
      <c r="AQ58">
        <v>1966.2</v>
      </c>
      <c r="AT58">
        <v>6477</v>
      </c>
      <c r="AZ58">
        <v>0</v>
      </c>
      <c r="BC58">
        <v>0</v>
      </c>
      <c r="BK58">
        <v>11178.8</v>
      </c>
      <c r="BU58">
        <v>0</v>
      </c>
      <c r="CE58">
        <v>3744.5</v>
      </c>
      <c r="CO58">
        <v>2089.9</v>
      </c>
      <c r="CY58">
        <v>1714</v>
      </c>
      <c r="DK58">
        <v>0</v>
      </c>
      <c r="DS58">
        <v>2034.1999999999998</v>
      </c>
      <c r="ED58">
        <v>2467.3000000000002</v>
      </c>
      <c r="EO58">
        <v>0</v>
      </c>
      <c r="EY58">
        <v>2968.5</v>
      </c>
      <c r="FI58">
        <v>5242.5</v>
      </c>
      <c r="FS58">
        <v>6102.7</v>
      </c>
      <c r="GD58">
        <v>5832.1</v>
      </c>
      <c r="GP58">
        <v>7389.4</v>
      </c>
      <c r="HB58">
        <v>3738.5</v>
      </c>
      <c r="HN58">
        <v>2411.6999999999998</v>
      </c>
    </row>
    <row r="59" spans="1:222" ht="18" thickBot="1">
      <c r="A59" s="587"/>
      <c r="B59" s="143"/>
      <c r="C59" s="321"/>
      <c r="D59" s="150"/>
      <c r="E59" s="434">
        <v>259.5</v>
      </c>
      <c r="F59" s="167">
        <v>395.8</v>
      </c>
      <c r="G59" s="427">
        <v>12636.4</v>
      </c>
      <c r="H59" s="155">
        <v>6598.3</v>
      </c>
      <c r="I59">
        <v>10161.799999999999</v>
      </c>
      <c r="J59">
        <v>10965.599999999999</v>
      </c>
      <c r="K59">
        <v>12968.9</v>
      </c>
      <c r="L59" s="4">
        <v>11087</v>
      </c>
      <c r="M59" s="4">
        <v>11103.7</v>
      </c>
      <c r="N59" s="4">
        <v>8801</v>
      </c>
      <c r="P59">
        <v>10209.900000000001</v>
      </c>
      <c r="V59">
        <v>3840.1</v>
      </c>
      <c r="Y59">
        <v>2945.3999999999996</v>
      </c>
      <c r="AD59">
        <v>9047.1</v>
      </c>
      <c r="AJ59">
        <v>3604.8</v>
      </c>
      <c r="AN59">
        <v>1574.9</v>
      </c>
      <c r="AQ59">
        <v>1966.2</v>
      </c>
      <c r="AT59">
        <v>6477</v>
      </c>
      <c r="AZ59">
        <v>0</v>
      </c>
      <c r="BC59">
        <v>0</v>
      </c>
      <c r="BK59">
        <v>11178.8</v>
      </c>
      <c r="BU59">
        <v>0</v>
      </c>
      <c r="CE59">
        <v>3744.5</v>
      </c>
      <c r="CO59">
        <v>2089.9</v>
      </c>
      <c r="CY59">
        <v>1714</v>
      </c>
      <c r="DK59">
        <v>0</v>
      </c>
      <c r="DS59">
        <v>2034.1999999999998</v>
      </c>
      <c r="ED59">
        <v>2467.3000000000002</v>
      </c>
      <c r="EO59">
        <v>0</v>
      </c>
      <c r="EY59">
        <v>2968.5</v>
      </c>
      <c r="FI59">
        <v>5242.5</v>
      </c>
      <c r="FS59">
        <v>6102.7</v>
      </c>
      <c r="GD59">
        <v>5832.1</v>
      </c>
      <c r="GP59">
        <v>7389.4</v>
      </c>
      <c r="HB59">
        <v>3738.5</v>
      </c>
      <c r="HN59">
        <v>2411.6999999999998</v>
      </c>
    </row>
    <row r="60" spans="1:222" ht="18" thickBot="1">
      <c r="A60" s="587"/>
      <c r="B60" s="143"/>
      <c r="C60" s="321"/>
      <c r="D60" s="150"/>
      <c r="E60" s="434">
        <v>259.5</v>
      </c>
      <c r="F60" s="167">
        <v>395.8</v>
      </c>
      <c r="G60" s="427">
        <v>12636.4</v>
      </c>
      <c r="H60" s="155">
        <v>6598.3</v>
      </c>
      <c r="I60">
        <v>10161.799999999999</v>
      </c>
      <c r="J60">
        <v>10965.599999999999</v>
      </c>
      <c r="K60">
        <v>12968.9</v>
      </c>
      <c r="L60" s="4">
        <v>11087</v>
      </c>
      <c r="M60" s="4">
        <v>11103.7</v>
      </c>
      <c r="N60" s="4">
        <v>8801</v>
      </c>
      <c r="P60">
        <v>10209.900000000001</v>
      </c>
      <c r="V60">
        <v>3840.1</v>
      </c>
      <c r="Y60">
        <v>2945.3999999999996</v>
      </c>
      <c r="AD60">
        <v>9047.1</v>
      </c>
      <c r="AJ60">
        <v>3604.8</v>
      </c>
      <c r="AN60">
        <v>1574.9</v>
      </c>
      <c r="AQ60">
        <v>1966.2</v>
      </c>
      <c r="AT60">
        <v>6477</v>
      </c>
      <c r="AZ60">
        <v>0</v>
      </c>
      <c r="BC60">
        <v>0</v>
      </c>
      <c r="BK60">
        <v>11178.8</v>
      </c>
      <c r="BU60">
        <v>0</v>
      </c>
      <c r="CE60">
        <v>3744.5</v>
      </c>
      <c r="CO60">
        <v>2089.9</v>
      </c>
      <c r="CY60">
        <v>1714</v>
      </c>
      <c r="DK60">
        <v>0</v>
      </c>
      <c r="DS60">
        <v>2034.1999999999998</v>
      </c>
      <c r="ED60">
        <v>2467.3000000000002</v>
      </c>
      <c r="EO60">
        <v>0</v>
      </c>
      <c r="EY60">
        <v>2968.5</v>
      </c>
      <c r="FI60">
        <v>5242.5</v>
      </c>
      <c r="FS60">
        <v>6102.7</v>
      </c>
      <c r="GD60">
        <v>5832.1</v>
      </c>
      <c r="GP60">
        <v>7389.4</v>
      </c>
      <c r="HB60">
        <v>3738.5</v>
      </c>
      <c r="HN60">
        <v>2411.6999999999998</v>
      </c>
    </row>
    <row r="61" spans="1:222" ht="18" thickBot="1">
      <c r="A61" s="587"/>
      <c r="B61" s="143"/>
      <c r="C61" s="321"/>
      <c r="D61" s="150"/>
      <c r="E61" s="434">
        <v>259.5</v>
      </c>
      <c r="F61" s="167">
        <v>395.8</v>
      </c>
      <c r="G61" s="427">
        <v>12636.4</v>
      </c>
      <c r="H61" s="155">
        <v>6598.3</v>
      </c>
      <c r="I61">
        <v>10161.799999999999</v>
      </c>
      <c r="J61">
        <v>10965.599999999999</v>
      </c>
      <c r="K61">
        <v>12968.9</v>
      </c>
      <c r="L61" s="4">
        <v>11087</v>
      </c>
      <c r="M61" s="4">
        <v>11103.7</v>
      </c>
      <c r="N61" s="4">
        <v>8801</v>
      </c>
      <c r="P61">
        <v>10209.900000000001</v>
      </c>
      <c r="V61">
        <v>3840.1</v>
      </c>
      <c r="Y61">
        <v>2945.3999999999996</v>
      </c>
      <c r="AD61">
        <v>9047.1</v>
      </c>
      <c r="AJ61">
        <v>3604.8</v>
      </c>
      <c r="AN61">
        <v>1574.9</v>
      </c>
      <c r="AQ61">
        <v>1966.2</v>
      </c>
      <c r="AT61">
        <v>6477</v>
      </c>
      <c r="AZ61">
        <v>0</v>
      </c>
      <c r="BC61">
        <v>0</v>
      </c>
      <c r="BK61">
        <v>11178.8</v>
      </c>
      <c r="BU61">
        <v>0</v>
      </c>
      <c r="CE61">
        <v>3744.5</v>
      </c>
      <c r="CO61">
        <v>2089.9</v>
      </c>
      <c r="CY61">
        <v>1714</v>
      </c>
      <c r="DK61">
        <v>0</v>
      </c>
      <c r="DS61">
        <v>2034.1999999999998</v>
      </c>
      <c r="ED61">
        <v>2467.3000000000002</v>
      </c>
      <c r="EO61">
        <v>0</v>
      </c>
      <c r="EY61">
        <v>2968.5</v>
      </c>
      <c r="FI61">
        <v>5242.5</v>
      </c>
      <c r="FS61">
        <v>6102.7</v>
      </c>
      <c r="GD61">
        <v>5832.1</v>
      </c>
      <c r="GP61">
        <v>7389.4</v>
      </c>
      <c r="HB61">
        <v>3738.5</v>
      </c>
      <c r="HN61">
        <v>2411.6999999999998</v>
      </c>
    </row>
    <row r="62" spans="1:222" ht="18" thickBot="1">
      <c r="A62" s="588"/>
      <c r="B62" s="140"/>
      <c r="C62" s="322"/>
      <c r="D62" s="151"/>
      <c r="E62" s="434">
        <v>259.5</v>
      </c>
      <c r="F62" s="167">
        <v>395.8</v>
      </c>
      <c r="G62" s="427">
        <v>12636.4</v>
      </c>
      <c r="H62" s="155">
        <v>6598.3</v>
      </c>
      <c r="I62">
        <v>10161.799999999999</v>
      </c>
      <c r="J62">
        <v>10965.599999999999</v>
      </c>
      <c r="K62">
        <v>12968.9</v>
      </c>
      <c r="L62" s="4">
        <v>11087</v>
      </c>
      <c r="M62" s="4">
        <v>11103.7</v>
      </c>
      <c r="N62" s="4">
        <v>8801</v>
      </c>
      <c r="P62">
        <v>10209.900000000001</v>
      </c>
      <c r="V62">
        <v>3840.1</v>
      </c>
      <c r="Y62">
        <v>2945.3999999999996</v>
      </c>
      <c r="AD62">
        <v>9047.1</v>
      </c>
      <c r="AJ62">
        <v>3604.8</v>
      </c>
      <c r="AN62">
        <v>1574.9</v>
      </c>
      <c r="AQ62">
        <v>1966.2</v>
      </c>
      <c r="AT62">
        <v>6477</v>
      </c>
      <c r="AZ62">
        <v>0</v>
      </c>
      <c r="BC62">
        <v>0</v>
      </c>
      <c r="BK62">
        <v>11178.8</v>
      </c>
      <c r="BU62">
        <v>0</v>
      </c>
      <c r="CE62">
        <v>3744.5</v>
      </c>
      <c r="CO62">
        <v>2089.9</v>
      </c>
      <c r="CY62">
        <v>1714</v>
      </c>
      <c r="DK62">
        <v>0</v>
      </c>
      <c r="DS62">
        <v>2034.1999999999998</v>
      </c>
      <c r="ED62">
        <v>2467.3000000000002</v>
      </c>
      <c r="EO62">
        <v>0</v>
      </c>
      <c r="EY62">
        <v>2968.5</v>
      </c>
      <c r="FI62">
        <v>5242.5</v>
      </c>
      <c r="FS62">
        <v>6102.7</v>
      </c>
      <c r="GD62">
        <v>5832.1</v>
      </c>
      <c r="GP62">
        <v>7389.4</v>
      </c>
      <c r="HB62">
        <v>3738.5</v>
      </c>
      <c r="HN62">
        <v>2411.6999999999998</v>
      </c>
    </row>
    <row r="63" spans="1:222" ht="18.600000000000001" thickTop="1" thickBot="1">
      <c r="A63" s="586" t="s">
        <v>327</v>
      </c>
      <c r="B63" s="142" t="s">
        <v>806</v>
      </c>
      <c r="C63" s="320"/>
      <c r="D63" s="149" t="s">
        <v>777</v>
      </c>
      <c r="E63" s="434">
        <v>259.5</v>
      </c>
      <c r="F63" s="168">
        <v>395.8</v>
      </c>
      <c r="G63" s="427">
        <v>12636.4</v>
      </c>
      <c r="H63" s="155">
        <v>6598.3</v>
      </c>
      <c r="I63">
        <v>10161.799999999999</v>
      </c>
      <c r="J63">
        <v>10965.599999999999</v>
      </c>
      <c r="K63">
        <v>12968.9</v>
      </c>
      <c r="L63" s="4">
        <v>11087</v>
      </c>
      <c r="M63" s="4">
        <v>11103.7</v>
      </c>
      <c r="N63" s="4">
        <v>8801</v>
      </c>
      <c r="P63">
        <v>10209.900000000001</v>
      </c>
      <c r="V63">
        <v>3840.1</v>
      </c>
      <c r="Y63">
        <v>2945.3999999999996</v>
      </c>
      <c r="AD63">
        <v>9047.1</v>
      </c>
      <c r="AJ63">
        <v>3604.8</v>
      </c>
      <c r="AN63">
        <v>1574.9</v>
      </c>
      <c r="AQ63">
        <v>1966.2</v>
      </c>
      <c r="AT63">
        <v>6477</v>
      </c>
      <c r="AZ63">
        <v>0</v>
      </c>
      <c r="BC63">
        <v>0</v>
      </c>
      <c r="BK63">
        <v>11178.8</v>
      </c>
      <c r="BU63">
        <v>0</v>
      </c>
      <c r="CE63">
        <v>3744.5</v>
      </c>
      <c r="CO63">
        <v>2089.9</v>
      </c>
      <c r="CY63">
        <v>1714</v>
      </c>
      <c r="DK63">
        <v>0</v>
      </c>
      <c r="DS63">
        <v>2034.1999999999998</v>
      </c>
      <c r="ED63">
        <v>2467.3000000000002</v>
      </c>
      <c r="EO63">
        <v>0</v>
      </c>
      <c r="EY63">
        <v>2968.5</v>
      </c>
      <c r="FI63">
        <v>5242.5</v>
      </c>
      <c r="FS63">
        <v>6102.7</v>
      </c>
      <c r="GD63">
        <v>5832.1</v>
      </c>
      <c r="GP63">
        <v>7389.4</v>
      </c>
      <c r="HB63">
        <v>3738.5</v>
      </c>
      <c r="HN63">
        <v>2411.6999999999998</v>
      </c>
    </row>
    <row r="64" spans="1:222" ht="18.600000000000001" thickTop="1" thickBot="1">
      <c r="A64" s="587"/>
      <c r="B64" s="143" t="s">
        <v>484</v>
      </c>
      <c r="C64" s="321"/>
      <c r="D64" s="150"/>
      <c r="E64" s="433">
        <v>259.5</v>
      </c>
      <c r="F64" s="166">
        <v>395.8</v>
      </c>
      <c r="G64" s="427">
        <v>12636.4</v>
      </c>
      <c r="H64" s="155">
        <v>6598.3</v>
      </c>
      <c r="I64">
        <v>10161.799999999999</v>
      </c>
      <c r="J64">
        <v>10965.599999999999</v>
      </c>
      <c r="K64">
        <v>12968.9</v>
      </c>
      <c r="L64" s="4">
        <v>11087</v>
      </c>
      <c r="M64" s="4">
        <v>11103.7</v>
      </c>
      <c r="N64" s="4">
        <v>8801</v>
      </c>
      <c r="P64">
        <v>10209.900000000001</v>
      </c>
      <c r="V64">
        <v>3840.1</v>
      </c>
      <c r="Y64">
        <v>2945.3999999999996</v>
      </c>
      <c r="AD64">
        <v>9047.1</v>
      </c>
      <c r="AJ64">
        <v>3604.8</v>
      </c>
      <c r="AN64">
        <v>1574.9</v>
      </c>
      <c r="AQ64">
        <v>1966.2</v>
      </c>
      <c r="AT64">
        <v>6477</v>
      </c>
      <c r="AZ64">
        <v>0</v>
      </c>
      <c r="BC64">
        <v>0</v>
      </c>
      <c r="BK64">
        <v>11178.8</v>
      </c>
      <c r="BU64">
        <v>0</v>
      </c>
      <c r="CE64">
        <v>3744.5</v>
      </c>
      <c r="CO64">
        <v>2089.9</v>
      </c>
      <c r="CY64">
        <v>1714</v>
      </c>
      <c r="DK64">
        <v>0</v>
      </c>
      <c r="DS64">
        <v>2034.1999999999998</v>
      </c>
      <c r="ED64">
        <v>2467.3000000000002</v>
      </c>
      <c r="EO64">
        <v>0</v>
      </c>
      <c r="EY64">
        <v>2968.5</v>
      </c>
      <c r="FI64">
        <v>5242.5</v>
      </c>
      <c r="FS64">
        <v>6102.7</v>
      </c>
      <c r="GD64">
        <v>5832.1</v>
      </c>
      <c r="GP64">
        <v>7389.4</v>
      </c>
      <c r="HB64">
        <v>3738.5</v>
      </c>
      <c r="HN64">
        <v>2411.6999999999998</v>
      </c>
    </row>
    <row r="65" spans="1:222" ht="18" thickBot="1">
      <c r="A65" s="587"/>
      <c r="B65" s="143" t="s">
        <v>485</v>
      </c>
      <c r="C65" s="321"/>
      <c r="D65" s="150" t="s">
        <v>779</v>
      </c>
      <c r="E65" s="434">
        <v>259.5</v>
      </c>
      <c r="F65" s="167">
        <v>395.8</v>
      </c>
      <c r="G65" s="427">
        <v>12636.4</v>
      </c>
      <c r="H65" s="155">
        <v>6598.3</v>
      </c>
      <c r="I65">
        <v>10161.799999999999</v>
      </c>
      <c r="J65">
        <v>10965.599999999999</v>
      </c>
      <c r="K65">
        <v>12968.9</v>
      </c>
      <c r="L65" s="4">
        <v>11087</v>
      </c>
      <c r="M65" s="4">
        <v>11103.7</v>
      </c>
      <c r="N65" s="4">
        <v>8801</v>
      </c>
      <c r="P65">
        <v>10209.900000000001</v>
      </c>
      <c r="V65">
        <v>3840.1</v>
      </c>
      <c r="Y65">
        <v>2945.3999999999996</v>
      </c>
      <c r="AD65">
        <v>9047.1</v>
      </c>
      <c r="AJ65">
        <v>3604.8</v>
      </c>
      <c r="AN65">
        <v>1574.9</v>
      </c>
      <c r="AQ65">
        <v>1966.2</v>
      </c>
      <c r="AT65">
        <v>6477</v>
      </c>
      <c r="AZ65">
        <v>0</v>
      </c>
      <c r="BC65">
        <v>0</v>
      </c>
      <c r="BK65">
        <v>11178.8</v>
      </c>
      <c r="BU65">
        <v>0</v>
      </c>
      <c r="CE65">
        <v>3744.5</v>
      </c>
      <c r="CO65">
        <v>2089.9</v>
      </c>
      <c r="CY65">
        <v>1714</v>
      </c>
      <c r="DK65">
        <v>0</v>
      </c>
      <c r="DS65">
        <v>2034.1999999999998</v>
      </c>
      <c r="ED65">
        <v>2467.3000000000002</v>
      </c>
      <c r="EO65">
        <v>0</v>
      </c>
      <c r="EY65">
        <v>2968.5</v>
      </c>
      <c r="FI65">
        <v>5242.5</v>
      </c>
      <c r="FS65">
        <v>6102.7</v>
      </c>
      <c r="GD65">
        <v>5832.1</v>
      </c>
      <c r="GP65">
        <v>7389.4</v>
      </c>
      <c r="HB65">
        <v>3738.5</v>
      </c>
      <c r="HN65">
        <v>2411.6999999999998</v>
      </c>
    </row>
    <row r="66" spans="1:222" ht="18" thickBot="1">
      <c r="A66" s="587"/>
      <c r="B66" s="143" t="s">
        <v>486</v>
      </c>
      <c r="C66" s="321"/>
      <c r="D66" s="150" t="s">
        <v>779</v>
      </c>
      <c r="E66" s="434">
        <v>259.5</v>
      </c>
      <c r="F66" s="167">
        <v>395.8</v>
      </c>
      <c r="G66" s="427">
        <v>12636.4</v>
      </c>
      <c r="H66" s="155">
        <v>6598.3</v>
      </c>
      <c r="I66">
        <v>10161.799999999999</v>
      </c>
      <c r="J66">
        <v>10965.599999999999</v>
      </c>
      <c r="K66">
        <v>12968.9</v>
      </c>
      <c r="L66" s="4">
        <v>11087</v>
      </c>
      <c r="M66" s="4">
        <v>11103.7</v>
      </c>
      <c r="N66" s="4">
        <v>8801</v>
      </c>
      <c r="P66">
        <v>10209.900000000001</v>
      </c>
      <c r="V66">
        <v>3840.1</v>
      </c>
      <c r="Y66">
        <v>2945.3999999999996</v>
      </c>
      <c r="AD66">
        <v>9047.1</v>
      </c>
      <c r="AJ66">
        <v>3604.8</v>
      </c>
      <c r="AN66">
        <v>1574.9</v>
      </c>
      <c r="AQ66">
        <v>1966.2</v>
      </c>
      <c r="AT66">
        <v>6477</v>
      </c>
      <c r="AZ66">
        <v>0</v>
      </c>
      <c r="BC66">
        <v>0</v>
      </c>
      <c r="BK66">
        <v>11178.8</v>
      </c>
      <c r="BU66">
        <v>0</v>
      </c>
      <c r="CE66">
        <v>3744.5</v>
      </c>
      <c r="CO66">
        <v>2089.9</v>
      </c>
      <c r="CY66">
        <v>1714</v>
      </c>
      <c r="DK66">
        <v>0</v>
      </c>
      <c r="DS66">
        <v>2034.1999999999998</v>
      </c>
      <c r="ED66">
        <v>2467.3000000000002</v>
      </c>
      <c r="EO66">
        <v>0</v>
      </c>
      <c r="EY66">
        <v>2968.5</v>
      </c>
      <c r="FI66">
        <v>5242.5</v>
      </c>
      <c r="FS66">
        <v>6102.7</v>
      </c>
      <c r="GD66">
        <v>5832.1</v>
      </c>
      <c r="GP66">
        <v>7389.4</v>
      </c>
      <c r="HB66">
        <v>3738.5</v>
      </c>
      <c r="HN66">
        <v>2411.6999999999998</v>
      </c>
    </row>
    <row r="67" spans="1:222" ht="18" thickBot="1">
      <c r="A67" s="587"/>
      <c r="B67" s="143" t="s">
        <v>487</v>
      </c>
      <c r="C67" s="321"/>
      <c r="D67" s="150" t="s">
        <v>779</v>
      </c>
      <c r="E67" s="434">
        <v>259.5</v>
      </c>
      <c r="F67" s="167">
        <v>395.8</v>
      </c>
      <c r="G67" s="427">
        <v>12636.4</v>
      </c>
      <c r="H67" s="155">
        <v>6598.3</v>
      </c>
      <c r="I67">
        <v>10161.799999999999</v>
      </c>
      <c r="J67">
        <v>10965.599999999999</v>
      </c>
      <c r="K67">
        <v>12968.9</v>
      </c>
      <c r="L67" s="4">
        <v>11087</v>
      </c>
      <c r="M67" s="4">
        <v>11103.7</v>
      </c>
      <c r="N67" s="4">
        <v>8801</v>
      </c>
      <c r="P67">
        <v>10209.900000000001</v>
      </c>
      <c r="V67">
        <v>3840.1</v>
      </c>
      <c r="Y67">
        <v>2945.3999999999996</v>
      </c>
      <c r="AD67">
        <v>9047.1</v>
      </c>
      <c r="AJ67">
        <v>3604.8</v>
      </c>
      <c r="AN67">
        <v>1574.9</v>
      </c>
      <c r="AQ67">
        <v>1966.2</v>
      </c>
      <c r="AT67">
        <v>6477</v>
      </c>
      <c r="AZ67">
        <v>0</v>
      </c>
      <c r="BC67">
        <v>0</v>
      </c>
      <c r="BK67">
        <v>11178.8</v>
      </c>
      <c r="BU67">
        <v>0</v>
      </c>
      <c r="CE67">
        <v>3744.5</v>
      </c>
      <c r="CO67">
        <v>2089.9</v>
      </c>
      <c r="CY67">
        <v>1714</v>
      </c>
      <c r="DK67">
        <v>0</v>
      </c>
      <c r="DS67">
        <v>2034.1999999999998</v>
      </c>
      <c r="ED67">
        <v>2467.3000000000002</v>
      </c>
      <c r="EO67">
        <v>0</v>
      </c>
      <c r="EY67">
        <v>2968.5</v>
      </c>
      <c r="FI67">
        <v>5242.5</v>
      </c>
      <c r="FS67">
        <v>6102.7</v>
      </c>
      <c r="GD67">
        <v>5832.1</v>
      </c>
      <c r="GP67">
        <v>7389.4</v>
      </c>
      <c r="HB67">
        <v>3738.5</v>
      </c>
      <c r="HN67">
        <v>2411.6999999999998</v>
      </c>
    </row>
    <row r="68" spans="1:222" ht="18" thickBot="1">
      <c r="A68" s="587"/>
      <c r="B68" s="143" t="s">
        <v>488</v>
      </c>
      <c r="C68" s="321"/>
      <c r="D68" s="150" t="s">
        <v>779</v>
      </c>
      <c r="E68" s="434">
        <v>259.5</v>
      </c>
      <c r="F68" s="167">
        <v>395.8</v>
      </c>
      <c r="G68" s="427">
        <v>12636.4</v>
      </c>
      <c r="H68" s="155">
        <v>6598.3</v>
      </c>
      <c r="I68">
        <v>10161.799999999999</v>
      </c>
      <c r="J68">
        <v>10965.599999999999</v>
      </c>
      <c r="K68">
        <v>12968.9</v>
      </c>
      <c r="L68" s="4">
        <v>11087</v>
      </c>
      <c r="M68" s="4">
        <v>11103.7</v>
      </c>
      <c r="N68" s="4">
        <v>8801</v>
      </c>
      <c r="P68">
        <v>10209.900000000001</v>
      </c>
      <c r="V68">
        <v>3840.1</v>
      </c>
      <c r="Y68">
        <v>2945.3999999999996</v>
      </c>
      <c r="AD68">
        <v>9047.1</v>
      </c>
      <c r="AJ68">
        <v>3604.8</v>
      </c>
      <c r="AN68">
        <v>1574.9</v>
      </c>
      <c r="AQ68">
        <v>1966.2</v>
      </c>
      <c r="AT68">
        <v>6477</v>
      </c>
      <c r="AZ68">
        <v>0</v>
      </c>
      <c r="BC68">
        <v>0</v>
      </c>
      <c r="BK68">
        <v>11178.8</v>
      </c>
      <c r="BU68">
        <v>0</v>
      </c>
      <c r="CE68">
        <v>3744.5</v>
      </c>
      <c r="CO68">
        <v>2089.9</v>
      </c>
      <c r="CY68">
        <v>1714</v>
      </c>
      <c r="DK68">
        <v>0</v>
      </c>
      <c r="DS68">
        <v>2034.1999999999998</v>
      </c>
      <c r="ED68">
        <v>2467.3000000000002</v>
      </c>
      <c r="EO68">
        <v>0</v>
      </c>
      <c r="EY68">
        <v>2968.5</v>
      </c>
      <c r="FI68">
        <v>5242.5</v>
      </c>
      <c r="FS68">
        <v>6102.7</v>
      </c>
      <c r="GD68">
        <v>5832.1</v>
      </c>
      <c r="GP68">
        <v>7389.4</v>
      </c>
      <c r="HB68">
        <v>3738.5</v>
      </c>
      <c r="HN68">
        <v>2411.6999999999998</v>
      </c>
    </row>
    <row r="69" spans="1:222" ht="18" thickBot="1">
      <c r="A69" s="587"/>
      <c r="B69" s="143" t="s">
        <v>489</v>
      </c>
      <c r="C69" s="321"/>
      <c r="D69" s="150" t="s">
        <v>779</v>
      </c>
      <c r="E69" s="434">
        <v>259.5</v>
      </c>
      <c r="F69" s="167">
        <v>395.8</v>
      </c>
      <c r="G69" s="427">
        <v>12636.4</v>
      </c>
      <c r="H69" s="155">
        <v>6598.3</v>
      </c>
      <c r="I69">
        <v>10161.799999999999</v>
      </c>
      <c r="J69">
        <v>10965.599999999999</v>
      </c>
      <c r="K69">
        <v>12968.9</v>
      </c>
      <c r="L69" s="4">
        <v>11087</v>
      </c>
      <c r="M69" s="4">
        <v>11103.7</v>
      </c>
      <c r="N69" s="4">
        <v>8801</v>
      </c>
      <c r="P69">
        <v>10209.900000000001</v>
      </c>
      <c r="V69">
        <v>3840.1</v>
      </c>
      <c r="Y69">
        <v>2945.3999999999996</v>
      </c>
      <c r="AD69">
        <v>9047.1</v>
      </c>
      <c r="AJ69">
        <v>3604.8</v>
      </c>
      <c r="AN69">
        <v>1574.9</v>
      </c>
      <c r="AQ69">
        <v>1966.2</v>
      </c>
      <c r="AT69">
        <v>6477</v>
      </c>
      <c r="AZ69">
        <v>0</v>
      </c>
      <c r="BC69">
        <v>0</v>
      </c>
      <c r="BK69">
        <v>11178.8</v>
      </c>
      <c r="BU69">
        <v>0</v>
      </c>
      <c r="CE69">
        <v>3744.5</v>
      </c>
      <c r="CO69">
        <v>2089.9</v>
      </c>
      <c r="CY69">
        <v>1714</v>
      </c>
      <c r="DK69">
        <v>0</v>
      </c>
      <c r="DS69">
        <v>2034.1999999999998</v>
      </c>
      <c r="ED69">
        <v>2467.3000000000002</v>
      </c>
      <c r="EO69">
        <v>0</v>
      </c>
      <c r="EY69">
        <v>2968.5</v>
      </c>
      <c r="FI69">
        <v>5242.5</v>
      </c>
      <c r="FS69">
        <v>6102.7</v>
      </c>
      <c r="GD69">
        <v>5832.1</v>
      </c>
      <c r="GP69">
        <v>7389.4</v>
      </c>
      <c r="HB69">
        <v>3738.5</v>
      </c>
      <c r="HN69">
        <v>2411.6999999999998</v>
      </c>
    </row>
    <row r="70" spans="1:222" ht="18" thickBot="1">
      <c r="A70" s="587"/>
      <c r="B70" s="143" t="s">
        <v>490</v>
      </c>
      <c r="C70" s="321"/>
      <c r="D70" s="150" t="s">
        <v>779</v>
      </c>
      <c r="E70" s="434">
        <v>259.5</v>
      </c>
      <c r="F70" s="167">
        <v>395.8</v>
      </c>
      <c r="G70" s="427">
        <v>12636.4</v>
      </c>
      <c r="H70" s="155">
        <v>6598.3</v>
      </c>
      <c r="I70">
        <v>10161.799999999999</v>
      </c>
      <c r="J70">
        <v>10965.599999999999</v>
      </c>
      <c r="K70">
        <v>12968.9</v>
      </c>
      <c r="L70" s="4">
        <v>11087</v>
      </c>
      <c r="M70" s="4">
        <v>11103.7</v>
      </c>
      <c r="N70" s="4">
        <v>8801</v>
      </c>
      <c r="P70">
        <v>10209.900000000001</v>
      </c>
      <c r="V70">
        <v>3840.1</v>
      </c>
      <c r="Y70">
        <v>2945.3999999999996</v>
      </c>
      <c r="AD70">
        <v>9047.1</v>
      </c>
      <c r="AJ70">
        <v>3604.8</v>
      </c>
      <c r="AN70">
        <v>1574.9</v>
      </c>
      <c r="AQ70">
        <v>1966.2</v>
      </c>
      <c r="AT70">
        <v>6477</v>
      </c>
      <c r="AZ70">
        <v>0</v>
      </c>
      <c r="BC70">
        <v>0</v>
      </c>
      <c r="BK70">
        <v>11178.8</v>
      </c>
      <c r="BU70">
        <v>0</v>
      </c>
      <c r="CE70">
        <v>3744.5</v>
      </c>
      <c r="CO70">
        <v>2089.9</v>
      </c>
      <c r="CY70">
        <v>1714</v>
      </c>
      <c r="DK70">
        <v>0</v>
      </c>
      <c r="DS70">
        <v>2034.1999999999998</v>
      </c>
      <c r="ED70">
        <v>2467.3000000000002</v>
      </c>
      <c r="EO70">
        <v>0</v>
      </c>
      <c r="EY70">
        <v>2968.5</v>
      </c>
      <c r="FI70">
        <v>5242.5</v>
      </c>
      <c r="FS70">
        <v>6102.7</v>
      </c>
      <c r="GD70">
        <v>5832.1</v>
      </c>
      <c r="GP70">
        <v>7389.4</v>
      </c>
      <c r="HB70">
        <v>3738.5</v>
      </c>
      <c r="HN70">
        <v>2411.6999999999998</v>
      </c>
    </row>
    <row r="71" spans="1:222" ht="18" thickBot="1">
      <c r="A71" s="587"/>
      <c r="B71" s="143" t="s">
        <v>491</v>
      </c>
      <c r="C71" s="321"/>
      <c r="D71" s="150" t="s">
        <v>779</v>
      </c>
      <c r="E71" s="434">
        <v>259.5</v>
      </c>
      <c r="F71" s="167">
        <v>395.8</v>
      </c>
      <c r="G71" s="427">
        <v>12636.4</v>
      </c>
      <c r="H71" s="155">
        <v>6598.3</v>
      </c>
      <c r="I71">
        <v>10161.799999999999</v>
      </c>
      <c r="J71">
        <v>10965.599999999999</v>
      </c>
      <c r="K71">
        <v>12968.9</v>
      </c>
      <c r="L71" s="4">
        <v>11087</v>
      </c>
      <c r="M71" s="4">
        <v>11103.7</v>
      </c>
      <c r="N71" s="4">
        <v>8801</v>
      </c>
      <c r="P71">
        <v>10209.900000000001</v>
      </c>
      <c r="V71">
        <v>3840.1</v>
      </c>
      <c r="Y71">
        <v>2945.3999999999996</v>
      </c>
      <c r="AD71">
        <v>9047.1</v>
      </c>
      <c r="AJ71">
        <v>3604.8</v>
      </c>
      <c r="AN71">
        <v>1574.9</v>
      </c>
      <c r="AQ71">
        <v>1966.2</v>
      </c>
      <c r="AT71">
        <v>6477</v>
      </c>
      <c r="AZ71">
        <v>0</v>
      </c>
      <c r="BC71">
        <v>0</v>
      </c>
      <c r="BK71">
        <v>11178.8</v>
      </c>
      <c r="BU71">
        <v>0</v>
      </c>
      <c r="CE71">
        <v>3744.5</v>
      </c>
      <c r="CO71">
        <v>2089.9</v>
      </c>
      <c r="CY71">
        <v>1714</v>
      </c>
      <c r="DK71">
        <v>0</v>
      </c>
      <c r="DS71">
        <v>2034.1999999999998</v>
      </c>
      <c r="ED71">
        <v>2467.3000000000002</v>
      </c>
      <c r="EO71">
        <v>0</v>
      </c>
      <c r="EY71">
        <v>2968.5</v>
      </c>
      <c r="FI71">
        <v>5242.5</v>
      </c>
      <c r="FS71">
        <v>6102.7</v>
      </c>
      <c r="GD71">
        <v>5832.1</v>
      </c>
      <c r="GP71">
        <v>7389.4</v>
      </c>
      <c r="HB71">
        <v>3738.5</v>
      </c>
      <c r="HN71">
        <v>2411.6999999999998</v>
      </c>
    </row>
    <row r="72" spans="1:222" ht="18" thickBot="1">
      <c r="A72" s="588"/>
      <c r="B72" s="140" t="s">
        <v>492</v>
      </c>
      <c r="C72" s="322"/>
      <c r="D72" s="151" t="s">
        <v>779</v>
      </c>
      <c r="E72" s="434">
        <v>259.5</v>
      </c>
      <c r="F72" s="167">
        <v>395.8</v>
      </c>
      <c r="G72" s="427">
        <v>12636.4</v>
      </c>
      <c r="H72" s="155">
        <v>6598.3</v>
      </c>
      <c r="I72">
        <v>10161.799999999999</v>
      </c>
      <c r="J72">
        <v>10965.599999999999</v>
      </c>
      <c r="K72">
        <v>12968.9</v>
      </c>
      <c r="L72" s="4">
        <v>11087</v>
      </c>
      <c r="M72" s="4">
        <v>11103.7</v>
      </c>
      <c r="N72" s="4">
        <v>8801</v>
      </c>
      <c r="P72">
        <v>10209.900000000001</v>
      </c>
      <c r="V72">
        <v>3840.1</v>
      </c>
      <c r="Y72">
        <v>2945.3999999999996</v>
      </c>
      <c r="AD72">
        <v>9047.1</v>
      </c>
      <c r="AJ72">
        <v>3604.8</v>
      </c>
      <c r="AN72">
        <v>1574.9</v>
      </c>
      <c r="AQ72">
        <v>1966.2</v>
      </c>
      <c r="AT72">
        <v>6477</v>
      </c>
      <c r="AZ72">
        <v>0</v>
      </c>
      <c r="BC72">
        <v>0</v>
      </c>
      <c r="BK72">
        <v>11178.8</v>
      </c>
      <c r="BU72">
        <v>0</v>
      </c>
      <c r="CE72">
        <v>3744.5</v>
      </c>
      <c r="CO72">
        <v>2089.9</v>
      </c>
      <c r="CY72">
        <v>1714</v>
      </c>
      <c r="DK72">
        <v>0</v>
      </c>
      <c r="DS72">
        <v>2034.1999999999998</v>
      </c>
      <c r="ED72">
        <v>2467.3000000000002</v>
      </c>
      <c r="EO72">
        <v>0</v>
      </c>
      <c r="EY72">
        <v>2968.5</v>
      </c>
      <c r="FI72">
        <v>5242.5</v>
      </c>
      <c r="FS72">
        <v>6102.7</v>
      </c>
      <c r="GD72">
        <v>5832.1</v>
      </c>
      <c r="GP72">
        <v>7389.4</v>
      </c>
      <c r="HB72">
        <v>3738.5</v>
      </c>
      <c r="HN72">
        <v>2411.6999999999998</v>
      </c>
    </row>
    <row r="73" spans="1:222" ht="18.600000000000001" thickTop="1" thickBot="1">
      <c r="A73" s="586" t="s">
        <v>326</v>
      </c>
      <c r="B73" s="142"/>
      <c r="C73" s="320"/>
      <c r="D73" s="149"/>
      <c r="E73" s="434">
        <v>259.5</v>
      </c>
      <c r="F73" s="167">
        <v>395.8</v>
      </c>
      <c r="G73" s="427">
        <v>12636.4</v>
      </c>
      <c r="H73" s="155">
        <v>6598.3</v>
      </c>
      <c r="I73">
        <v>10161.799999999999</v>
      </c>
      <c r="J73">
        <v>10965.599999999999</v>
      </c>
      <c r="K73">
        <v>12968.9</v>
      </c>
      <c r="L73" s="4">
        <v>11087</v>
      </c>
      <c r="M73" s="4">
        <v>11103.7</v>
      </c>
      <c r="N73" s="4">
        <v>8801</v>
      </c>
      <c r="P73">
        <v>10209.900000000001</v>
      </c>
      <c r="V73">
        <v>3840.1</v>
      </c>
      <c r="Y73">
        <v>2945.3999999999996</v>
      </c>
      <c r="AD73">
        <v>9047.1</v>
      </c>
      <c r="AJ73">
        <v>3604.8</v>
      </c>
      <c r="AN73">
        <v>1574.9</v>
      </c>
      <c r="AQ73">
        <v>1966.2</v>
      </c>
      <c r="AT73">
        <v>6477</v>
      </c>
      <c r="AZ73">
        <v>0</v>
      </c>
      <c r="BC73">
        <v>0</v>
      </c>
      <c r="BK73">
        <v>11178.8</v>
      </c>
      <c r="BU73">
        <v>0</v>
      </c>
      <c r="CE73">
        <v>3744.5</v>
      </c>
      <c r="CO73">
        <v>2089.9</v>
      </c>
      <c r="CY73">
        <v>1714</v>
      </c>
      <c r="DK73">
        <v>0</v>
      </c>
      <c r="DS73">
        <v>2034.1999999999998</v>
      </c>
      <c r="ED73">
        <v>2467.3000000000002</v>
      </c>
      <c r="EO73">
        <v>0</v>
      </c>
      <c r="EY73">
        <v>2968.5</v>
      </c>
      <c r="FI73">
        <v>5242.5</v>
      </c>
      <c r="FS73">
        <v>6102.7</v>
      </c>
      <c r="GD73">
        <v>5832.1</v>
      </c>
      <c r="GP73">
        <v>7389.4</v>
      </c>
      <c r="HB73">
        <v>3738.5</v>
      </c>
      <c r="HN73">
        <v>2411.6999999999998</v>
      </c>
    </row>
    <row r="74" spans="1:222" ht="18" thickBot="1">
      <c r="A74" s="587"/>
      <c r="B74" s="143"/>
      <c r="C74" s="321"/>
      <c r="D74" s="150"/>
      <c r="E74" s="434">
        <v>259.5</v>
      </c>
      <c r="F74" s="168">
        <v>395.8</v>
      </c>
      <c r="G74" s="427">
        <v>12636.4</v>
      </c>
      <c r="H74" s="155">
        <v>6598.3</v>
      </c>
      <c r="I74">
        <v>10161.799999999999</v>
      </c>
      <c r="J74">
        <v>10965.599999999999</v>
      </c>
      <c r="K74">
        <v>12968.9</v>
      </c>
      <c r="L74" s="4">
        <v>11087</v>
      </c>
      <c r="M74" s="4">
        <v>11103.7</v>
      </c>
      <c r="N74" s="4">
        <v>8801</v>
      </c>
      <c r="P74">
        <v>10209.900000000001</v>
      </c>
      <c r="V74">
        <v>3840.1</v>
      </c>
      <c r="Y74">
        <v>2945.3999999999996</v>
      </c>
      <c r="AD74">
        <v>9047.1</v>
      </c>
      <c r="AJ74">
        <v>3604.8</v>
      </c>
      <c r="AN74">
        <v>1574.9</v>
      </c>
      <c r="AQ74">
        <v>1966.2</v>
      </c>
      <c r="AT74">
        <v>6477</v>
      </c>
      <c r="AZ74">
        <v>0</v>
      </c>
      <c r="BC74">
        <v>0</v>
      </c>
      <c r="BK74">
        <v>11178.8</v>
      </c>
      <c r="BU74">
        <v>0</v>
      </c>
      <c r="CE74">
        <v>3744.5</v>
      </c>
      <c r="CO74">
        <v>2089.9</v>
      </c>
      <c r="CY74">
        <v>1714</v>
      </c>
      <c r="DK74">
        <v>0</v>
      </c>
      <c r="DS74">
        <v>2034.1999999999998</v>
      </c>
      <c r="ED74">
        <v>2467.3000000000002</v>
      </c>
      <c r="EO74">
        <v>0</v>
      </c>
      <c r="EY74">
        <v>2968.5</v>
      </c>
      <c r="FI74">
        <v>5242.5</v>
      </c>
      <c r="FS74">
        <v>6102.7</v>
      </c>
      <c r="GD74">
        <v>5832.1</v>
      </c>
      <c r="GP74">
        <v>7389.4</v>
      </c>
      <c r="HB74">
        <v>3738.5</v>
      </c>
      <c r="HN74">
        <v>2411.6999999999998</v>
      </c>
    </row>
    <row r="75" spans="1:222" ht="18.600000000000001" thickTop="1" thickBot="1">
      <c r="A75" s="587"/>
      <c r="B75" s="143"/>
      <c r="C75" s="321"/>
      <c r="D75" s="150"/>
      <c r="E75" s="435">
        <v>259.5</v>
      </c>
      <c r="F75" s="166">
        <v>395.8</v>
      </c>
      <c r="G75" s="427">
        <v>12636.4</v>
      </c>
      <c r="H75" s="155">
        <v>6598.3</v>
      </c>
      <c r="I75">
        <v>10161.799999999999</v>
      </c>
      <c r="J75">
        <v>10965.599999999999</v>
      </c>
      <c r="K75">
        <v>12968.9</v>
      </c>
      <c r="L75" s="4">
        <v>11087</v>
      </c>
      <c r="M75" s="4">
        <v>11103.7</v>
      </c>
      <c r="N75" s="4">
        <v>8801</v>
      </c>
      <c r="P75">
        <v>10209.900000000001</v>
      </c>
      <c r="V75">
        <v>3840.1</v>
      </c>
      <c r="Y75">
        <v>2945.3999999999996</v>
      </c>
      <c r="AD75">
        <v>9047.1</v>
      </c>
      <c r="AJ75">
        <v>3604.8</v>
      </c>
      <c r="AN75">
        <v>1574.9</v>
      </c>
      <c r="AQ75">
        <v>1966.2</v>
      </c>
      <c r="AT75">
        <v>6477</v>
      </c>
      <c r="AZ75">
        <v>0</v>
      </c>
      <c r="BC75">
        <v>0</v>
      </c>
      <c r="BK75">
        <v>11178.8</v>
      </c>
      <c r="BU75">
        <v>0</v>
      </c>
      <c r="CE75">
        <v>3744.5</v>
      </c>
      <c r="CO75">
        <v>2089.9</v>
      </c>
      <c r="CY75">
        <v>1714</v>
      </c>
      <c r="DK75">
        <v>0</v>
      </c>
      <c r="DS75">
        <v>2034.1999999999998</v>
      </c>
      <c r="ED75">
        <v>2467.3000000000002</v>
      </c>
      <c r="EO75">
        <v>0</v>
      </c>
      <c r="EY75">
        <v>2968.5</v>
      </c>
      <c r="FI75">
        <v>5242.5</v>
      </c>
      <c r="FS75">
        <v>6102.7</v>
      </c>
      <c r="GD75">
        <v>5832.1</v>
      </c>
      <c r="GP75">
        <v>7389.4</v>
      </c>
      <c r="HB75">
        <v>3738.5</v>
      </c>
      <c r="HN75">
        <v>2411.6999999999998</v>
      </c>
    </row>
    <row r="76" spans="1:222" ht="18" thickBot="1">
      <c r="A76" s="587"/>
      <c r="B76" s="143"/>
      <c r="C76" s="321"/>
      <c r="D76" s="150"/>
      <c r="E76" s="436">
        <v>259.5</v>
      </c>
      <c r="F76" s="167">
        <v>395.8</v>
      </c>
      <c r="G76" s="427">
        <v>12636.4</v>
      </c>
      <c r="H76" s="155">
        <v>6598.3</v>
      </c>
      <c r="I76">
        <v>10161.799999999999</v>
      </c>
      <c r="J76">
        <v>10965.599999999999</v>
      </c>
      <c r="K76">
        <v>12968.9</v>
      </c>
      <c r="L76" s="4">
        <v>11087</v>
      </c>
      <c r="M76" s="4">
        <v>11103.7</v>
      </c>
      <c r="N76" s="4">
        <v>8801</v>
      </c>
      <c r="P76">
        <v>10209.900000000001</v>
      </c>
      <c r="V76">
        <v>3840.1</v>
      </c>
      <c r="Y76">
        <v>2945.3999999999996</v>
      </c>
      <c r="AD76">
        <v>9047.1</v>
      </c>
      <c r="AJ76">
        <v>3604.8</v>
      </c>
      <c r="AN76">
        <v>1574.9</v>
      </c>
      <c r="AQ76">
        <v>1966.2</v>
      </c>
      <c r="AT76">
        <v>6477</v>
      </c>
      <c r="AZ76">
        <v>0</v>
      </c>
      <c r="BC76">
        <v>0</v>
      </c>
      <c r="BK76">
        <v>11178.8</v>
      </c>
      <c r="BU76">
        <v>0</v>
      </c>
      <c r="CE76">
        <v>3744.5</v>
      </c>
      <c r="CO76">
        <v>2089.9</v>
      </c>
      <c r="CY76">
        <v>1714</v>
      </c>
      <c r="DK76">
        <v>0</v>
      </c>
      <c r="DS76">
        <v>2034.1999999999998</v>
      </c>
      <c r="ED76">
        <v>2467.3000000000002</v>
      </c>
      <c r="EO76">
        <v>0</v>
      </c>
      <c r="EY76">
        <v>2968.5</v>
      </c>
      <c r="FI76">
        <v>5242.5</v>
      </c>
      <c r="FS76">
        <v>6102.7</v>
      </c>
      <c r="GD76">
        <v>5832.1</v>
      </c>
      <c r="GP76">
        <v>7389.4</v>
      </c>
      <c r="HB76">
        <v>3738.5</v>
      </c>
      <c r="HN76">
        <v>2411.6999999999998</v>
      </c>
    </row>
    <row r="77" spans="1:222" ht="18" thickBot="1">
      <c r="A77" s="587"/>
      <c r="B77" s="143"/>
      <c r="C77" s="321"/>
      <c r="D77" s="150"/>
      <c r="E77" s="436">
        <v>259.5</v>
      </c>
      <c r="F77" s="167">
        <v>395.8</v>
      </c>
      <c r="G77" s="427">
        <v>12636.4</v>
      </c>
      <c r="H77" s="155">
        <v>6598.3</v>
      </c>
      <c r="I77">
        <v>10161.799999999999</v>
      </c>
      <c r="J77">
        <v>10965.599999999999</v>
      </c>
      <c r="K77">
        <v>12968.9</v>
      </c>
      <c r="L77" s="4">
        <v>11087</v>
      </c>
      <c r="M77" s="4">
        <v>11103.7</v>
      </c>
      <c r="N77" s="4">
        <v>8801</v>
      </c>
      <c r="P77">
        <v>10209.900000000001</v>
      </c>
      <c r="V77">
        <v>3840.1</v>
      </c>
      <c r="Y77">
        <v>2945.3999999999996</v>
      </c>
      <c r="AD77">
        <v>9047.1</v>
      </c>
      <c r="AJ77">
        <v>3604.8</v>
      </c>
      <c r="AN77">
        <v>1574.9</v>
      </c>
      <c r="AQ77">
        <v>1966.2</v>
      </c>
      <c r="AT77">
        <v>6477</v>
      </c>
      <c r="AZ77">
        <v>0</v>
      </c>
      <c r="BC77">
        <v>0</v>
      </c>
      <c r="BK77">
        <v>11178.8</v>
      </c>
      <c r="BU77">
        <v>0</v>
      </c>
      <c r="CE77">
        <v>3744.5</v>
      </c>
      <c r="CO77">
        <v>2089.9</v>
      </c>
      <c r="CY77">
        <v>1714</v>
      </c>
      <c r="DK77">
        <v>0</v>
      </c>
      <c r="DS77">
        <v>2034.1999999999998</v>
      </c>
      <c r="ED77">
        <v>2467.3000000000002</v>
      </c>
      <c r="EO77">
        <v>0</v>
      </c>
      <c r="EY77">
        <v>2968.5</v>
      </c>
      <c r="FI77">
        <v>5242.5</v>
      </c>
      <c r="FS77">
        <v>6102.7</v>
      </c>
      <c r="GD77">
        <v>5832.1</v>
      </c>
      <c r="GP77">
        <v>7389.4</v>
      </c>
      <c r="HB77">
        <v>3738.5</v>
      </c>
      <c r="HN77">
        <v>2411.6999999999998</v>
      </c>
    </row>
    <row r="78" spans="1:222" ht="18" thickBot="1">
      <c r="A78" s="587"/>
      <c r="B78" s="143"/>
      <c r="C78" s="321"/>
      <c r="D78" s="150"/>
      <c r="E78" s="436">
        <v>259.5</v>
      </c>
      <c r="F78" s="167">
        <v>395.8</v>
      </c>
      <c r="G78" s="427">
        <v>12636.4</v>
      </c>
      <c r="H78" s="155">
        <v>6598.3</v>
      </c>
      <c r="I78">
        <v>10161.799999999999</v>
      </c>
      <c r="J78">
        <v>10965.599999999999</v>
      </c>
      <c r="K78">
        <v>12968.9</v>
      </c>
      <c r="L78" s="4">
        <v>11087</v>
      </c>
      <c r="M78" s="4">
        <v>11103.7</v>
      </c>
      <c r="N78" s="4">
        <v>8801</v>
      </c>
      <c r="P78">
        <v>10209.900000000001</v>
      </c>
      <c r="V78">
        <v>3840.1</v>
      </c>
      <c r="Y78">
        <v>2945.3999999999996</v>
      </c>
      <c r="AD78">
        <v>9047.1</v>
      </c>
      <c r="AJ78">
        <v>3604.8</v>
      </c>
      <c r="AN78">
        <v>1574.9</v>
      </c>
      <c r="AQ78">
        <v>1966.2</v>
      </c>
      <c r="AT78">
        <v>6477</v>
      </c>
      <c r="AZ78">
        <v>0</v>
      </c>
      <c r="BC78">
        <v>0</v>
      </c>
      <c r="BK78">
        <v>11178.8</v>
      </c>
      <c r="BU78">
        <v>0</v>
      </c>
      <c r="CE78">
        <v>3744.5</v>
      </c>
      <c r="CO78">
        <v>2089.9</v>
      </c>
      <c r="CY78">
        <v>1714</v>
      </c>
      <c r="DK78">
        <v>0</v>
      </c>
      <c r="DS78">
        <v>2034.1999999999998</v>
      </c>
      <c r="ED78">
        <v>2467.3000000000002</v>
      </c>
      <c r="EO78">
        <v>0</v>
      </c>
      <c r="EY78">
        <v>2968.5</v>
      </c>
      <c r="FI78">
        <v>5242.5</v>
      </c>
      <c r="FS78">
        <v>6102.7</v>
      </c>
      <c r="GD78">
        <v>5832.1</v>
      </c>
      <c r="GP78">
        <v>7389.4</v>
      </c>
      <c r="HB78">
        <v>3738.5</v>
      </c>
      <c r="HN78">
        <v>2411.6999999999998</v>
      </c>
    </row>
    <row r="79" spans="1:222" ht="18" thickBot="1">
      <c r="A79" s="587"/>
      <c r="B79" s="143"/>
      <c r="C79" s="321"/>
      <c r="D79" s="150"/>
      <c r="E79" s="436">
        <v>259.5</v>
      </c>
      <c r="F79" s="167">
        <v>395.8</v>
      </c>
      <c r="G79" s="427">
        <v>12636.4</v>
      </c>
      <c r="H79" s="155">
        <v>6598.3</v>
      </c>
      <c r="I79">
        <v>10161.799999999999</v>
      </c>
      <c r="J79">
        <v>10965.599999999999</v>
      </c>
      <c r="K79">
        <v>12968.9</v>
      </c>
      <c r="L79" s="4">
        <v>11087</v>
      </c>
      <c r="M79" s="4">
        <v>11103.7</v>
      </c>
      <c r="N79" s="4">
        <v>8801</v>
      </c>
      <c r="P79">
        <v>10209.900000000001</v>
      </c>
      <c r="V79">
        <v>3840.1</v>
      </c>
      <c r="Y79">
        <v>2945.3999999999996</v>
      </c>
      <c r="AD79">
        <v>9047.1</v>
      </c>
      <c r="AJ79">
        <v>3604.8</v>
      </c>
      <c r="AN79">
        <v>1574.9</v>
      </c>
      <c r="AQ79">
        <v>1966.2</v>
      </c>
      <c r="AT79">
        <v>6477</v>
      </c>
      <c r="AZ79">
        <v>0</v>
      </c>
      <c r="BC79">
        <v>0</v>
      </c>
      <c r="BK79">
        <v>11178.8</v>
      </c>
      <c r="BU79">
        <v>0</v>
      </c>
      <c r="CE79">
        <v>3744.5</v>
      </c>
      <c r="CO79">
        <v>2089.9</v>
      </c>
      <c r="CY79">
        <v>1714</v>
      </c>
      <c r="DK79">
        <v>0</v>
      </c>
      <c r="DS79">
        <v>2034.1999999999998</v>
      </c>
      <c r="ED79">
        <v>2467.3000000000002</v>
      </c>
      <c r="EO79">
        <v>0</v>
      </c>
      <c r="EY79">
        <v>2968.5</v>
      </c>
      <c r="FI79">
        <v>5242.5</v>
      </c>
      <c r="FS79">
        <v>6102.7</v>
      </c>
      <c r="GD79">
        <v>5832.1</v>
      </c>
      <c r="GP79">
        <v>7389.4</v>
      </c>
      <c r="HB79">
        <v>3738.5</v>
      </c>
      <c r="HN79">
        <v>2411.6999999999998</v>
      </c>
    </row>
    <row r="80" spans="1:222" ht="18" thickBot="1">
      <c r="A80" s="587"/>
      <c r="B80" s="143"/>
      <c r="C80" s="321"/>
      <c r="D80" s="150"/>
      <c r="E80" s="436">
        <v>259.5</v>
      </c>
      <c r="F80" s="167">
        <v>395.8</v>
      </c>
      <c r="G80" s="427">
        <v>12636.4</v>
      </c>
      <c r="H80" s="155">
        <v>6598.3</v>
      </c>
      <c r="I80">
        <v>10161.799999999999</v>
      </c>
      <c r="J80">
        <v>10965.599999999999</v>
      </c>
      <c r="K80">
        <v>12968.9</v>
      </c>
      <c r="L80" s="4">
        <v>11087</v>
      </c>
      <c r="M80" s="4">
        <v>11103.7</v>
      </c>
      <c r="N80" s="4">
        <v>8801</v>
      </c>
      <c r="P80">
        <v>10209.900000000001</v>
      </c>
      <c r="V80">
        <v>3840.1</v>
      </c>
      <c r="Y80">
        <v>2945.3999999999996</v>
      </c>
      <c r="AD80">
        <v>9047.1</v>
      </c>
      <c r="AJ80">
        <v>3604.8</v>
      </c>
      <c r="AN80">
        <v>1574.9</v>
      </c>
      <c r="AQ80">
        <v>1966.2</v>
      </c>
      <c r="AT80">
        <v>6477</v>
      </c>
      <c r="AZ80">
        <v>0</v>
      </c>
      <c r="BC80">
        <v>0</v>
      </c>
      <c r="BK80">
        <v>11178.8</v>
      </c>
      <c r="BU80">
        <v>0</v>
      </c>
      <c r="CE80">
        <v>3744.5</v>
      </c>
      <c r="CO80">
        <v>2089.9</v>
      </c>
      <c r="CY80">
        <v>1714</v>
      </c>
      <c r="DK80">
        <v>0</v>
      </c>
      <c r="DS80">
        <v>2034.1999999999998</v>
      </c>
      <c r="ED80">
        <v>2467.3000000000002</v>
      </c>
      <c r="EO80">
        <v>0</v>
      </c>
      <c r="EY80">
        <v>2968.5</v>
      </c>
      <c r="FI80">
        <v>5242.5</v>
      </c>
      <c r="FS80">
        <v>6102.7</v>
      </c>
      <c r="GD80">
        <v>5832.1</v>
      </c>
      <c r="GP80">
        <v>7389.4</v>
      </c>
      <c r="HB80">
        <v>3738.5</v>
      </c>
      <c r="HN80">
        <v>2411.6999999999998</v>
      </c>
    </row>
    <row r="81" spans="1:222" ht="18" thickBot="1">
      <c r="A81" s="587"/>
      <c r="B81" s="143"/>
      <c r="C81" s="321"/>
      <c r="D81" s="150"/>
      <c r="E81" s="436">
        <v>259.5</v>
      </c>
      <c r="F81" s="167">
        <v>395.8</v>
      </c>
      <c r="G81" s="427">
        <v>12636.4</v>
      </c>
      <c r="H81" s="155">
        <v>6598.3</v>
      </c>
      <c r="I81">
        <v>10161.799999999999</v>
      </c>
      <c r="J81">
        <v>10965.599999999999</v>
      </c>
      <c r="K81">
        <v>12968.9</v>
      </c>
      <c r="L81" s="4">
        <v>11087</v>
      </c>
      <c r="M81" s="4">
        <v>11103.7</v>
      </c>
      <c r="N81" s="4">
        <v>8801</v>
      </c>
      <c r="P81">
        <v>10209.900000000001</v>
      </c>
      <c r="V81">
        <v>3840.1</v>
      </c>
      <c r="Y81">
        <v>2945.3999999999996</v>
      </c>
      <c r="AD81">
        <v>9047.1</v>
      </c>
      <c r="AJ81">
        <v>3604.8</v>
      </c>
      <c r="AN81">
        <v>1574.9</v>
      </c>
      <c r="AQ81">
        <v>1966.2</v>
      </c>
      <c r="AT81">
        <v>6477</v>
      </c>
      <c r="AZ81">
        <v>0</v>
      </c>
      <c r="BC81">
        <v>0</v>
      </c>
      <c r="BK81">
        <v>11178.8</v>
      </c>
      <c r="BU81">
        <v>0</v>
      </c>
      <c r="CE81">
        <v>3744.5</v>
      </c>
      <c r="CO81">
        <v>2089.9</v>
      </c>
      <c r="CY81">
        <v>1714</v>
      </c>
      <c r="DK81">
        <v>0</v>
      </c>
      <c r="DS81">
        <v>2034.1999999999998</v>
      </c>
      <c r="ED81">
        <v>2467.3000000000002</v>
      </c>
      <c r="EO81">
        <v>0</v>
      </c>
      <c r="EY81">
        <v>2968.5</v>
      </c>
      <c r="FI81">
        <v>5242.5</v>
      </c>
      <c r="FS81">
        <v>6102.7</v>
      </c>
      <c r="GD81">
        <v>5832.1</v>
      </c>
      <c r="GP81">
        <v>7389.4</v>
      </c>
      <c r="HB81">
        <v>3738.5</v>
      </c>
      <c r="HN81">
        <v>2411.6999999999998</v>
      </c>
    </row>
    <row r="82" spans="1:222" ht="18" thickBot="1">
      <c r="A82" s="588"/>
      <c r="B82" s="140"/>
      <c r="C82" s="322"/>
      <c r="D82" s="151"/>
      <c r="E82" s="436">
        <v>259.5</v>
      </c>
      <c r="F82" s="167">
        <v>395.8</v>
      </c>
      <c r="G82" s="427">
        <v>12636.4</v>
      </c>
      <c r="H82" s="155">
        <v>6598.3</v>
      </c>
      <c r="I82">
        <v>10161.799999999999</v>
      </c>
      <c r="J82">
        <v>10965.599999999999</v>
      </c>
      <c r="K82">
        <v>12968.9</v>
      </c>
      <c r="L82" s="4">
        <v>11087</v>
      </c>
      <c r="M82" s="4">
        <v>11103.7</v>
      </c>
      <c r="N82" s="4">
        <v>8801</v>
      </c>
      <c r="P82">
        <v>10209.900000000001</v>
      </c>
      <c r="V82">
        <v>3840.1</v>
      </c>
      <c r="Y82">
        <v>2945.3999999999996</v>
      </c>
      <c r="AD82">
        <v>9047.1</v>
      </c>
      <c r="AJ82">
        <v>3604.8</v>
      </c>
      <c r="AN82">
        <v>1574.9</v>
      </c>
      <c r="AQ82">
        <v>1966.2</v>
      </c>
      <c r="AT82">
        <v>6477</v>
      </c>
      <c r="AZ82">
        <v>0</v>
      </c>
      <c r="BC82">
        <v>0</v>
      </c>
      <c r="BK82">
        <v>11178.8</v>
      </c>
      <c r="BU82">
        <v>0</v>
      </c>
      <c r="CE82">
        <v>3744.5</v>
      </c>
      <c r="CO82">
        <v>2089.9</v>
      </c>
      <c r="CY82">
        <v>1714</v>
      </c>
      <c r="DK82">
        <v>0</v>
      </c>
      <c r="DS82">
        <v>2034.1999999999998</v>
      </c>
      <c r="ED82">
        <v>2467.3000000000002</v>
      </c>
      <c r="EO82">
        <v>0</v>
      </c>
      <c r="EY82">
        <v>2968.5</v>
      </c>
      <c r="FI82">
        <v>5242.5</v>
      </c>
      <c r="FS82">
        <v>6102.7</v>
      </c>
      <c r="GD82">
        <v>5832.1</v>
      </c>
      <c r="GP82">
        <v>7389.4</v>
      </c>
      <c r="HB82">
        <v>3738.5</v>
      </c>
      <c r="HN82">
        <v>2411.6999999999998</v>
      </c>
    </row>
    <row r="83" spans="1:222" ht="18.600000000000001" thickTop="1" thickBot="1">
      <c r="A83" s="586" t="s">
        <v>325</v>
      </c>
      <c r="B83" s="142" t="s">
        <v>807</v>
      </c>
      <c r="C83" s="320"/>
      <c r="D83" s="149"/>
      <c r="E83" s="436">
        <v>259.5</v>
      </c>
      <c r="F83" s="167">
        <v>395.8</v>
      </c>
      <c r="G83" s="427">
        <v>12636.4</v>
      </c>
      <c r="H83" s="155">
        <v>6598.3</v>
      </c>
      <c r="I83">
        <v>10161.799999999999</v>
      </c>
      <c r="J83">
        <v>10965.599999999999</v>
      </c>
      <c r="K83">
        <v>12968.9</v>
      </c>
      <c r="L83" s="4">
        <v>11087</v>
      </c>
      <c r="M83" s="4">
        <v>11103.7</v>
      </c>
      <c r="N83" s="4">
        <v>8801</v>
      </c>
      <c r="P83">
        <v>10209.900000000001</v>
      </c>
      <c r="V83">
        <v>3840.1</v>
      </c>
      <c r="Y83">
        <v>2945.3999999999996</v>
      </c>
      <c r="AD83">
        <v>9047.1</v>
      </c>
      <c r="AJ83">
        <v>3604.8</v>
      </c>
      <c r="AN83">
        <v>1574.9</v>
      </c>
      <c r="AQ83">
        <v>1966.2</v>
      </c>
      <c r="AT83">
        <v>6477</v>
      </c>
      <c r="AZ83">
        <v>0</v>
      </c>
      <c r="BC83">
        <v>0</v>
      </c>
      <c r="BK83">
        <v>11178.8</v>
      </c>
      <c r="BU83">
        <v>0</v>
      </c>
      <c r="CE83">
        <v>3744.5</v>
      </c>
      <c r="CO83">
        <v>2089.9</v>
      </c>
      <c r="CY83">
        <v>1714</v>
      </c>
      <c r="DK83">
        <v>0</v>
      </c>
      <c r="DS83">
        <v>2034.1999999999998</v>
      </c>
      <c r="ED83">
        <v>2467.3000000000002</v>
      </c>
      <c r="EO83">
        <v>0</v>
      </c>
      <c r="EY83">
        <v>2968.5</v>
      </c>
      <c r="FI83">
        <v>5242.5</v>
      </c>
      <c r="FS83">
        <v>6102.7</v>
      </c>
      <c r="GD83">
        <v>5832.1</v>
      </c>
      <c r="GP83">
        <v>7389.4</v>
      </c>
      <c r="HB83">
        <v>3738.5</v>
      </c>
      <c r="HN83">
        <v>2411.6999999999998</v>
      </c>
    </row>
    <row r="84" spans="1:222" ht="18" thickBot="1">
      <c r="A84" s="587"/>
      <c r="B84" s="143" t="s">
        <v>474</v>
      </c>
      <c r="C84" s="321"/>
      <c r="D84" s="150" t="s">
        <v>779</v>
      </c>
      <c r="E84" s="436">
        <v>259.5</v>
      </c>
      <c r="F84" s="168">
        <v>395.8</v>
      </c>
      <c r="G84" s="427">
        <v>12636.4</v>
      </c>
      <c r="H84" s="155">
        <v>6598.3</v>
      </c>
      <c r="I84">
        <v>10161.799999999999</v>
      </c>
      <c r="J84">
        <v>10965.599999999999</v>
      </c>
      <c r="K84">
        <v>12968.9</v>
      </c>
      <c r="L84" s="4">
        <v>11087</v>
      </c>
      <c r="M84" s="4">
        <v>11103.7</v>
      </c>
      <c r="N84" s="4">
        <v>8801</v>
      </c>
      <c r="P84">
        <v>10209.900000000001</v>
      </c>
      <c r="V84">
        <v>3840.1</v>
      </c>
      <c r="Y84">
        <v>2945.3999999999996</v>
      </c>
      <c r="AD84">
        <v>9047.1</v>
      </c>
      <c r="AJ84">
        <v>3604.8</v>
      </c>
      <c r="AN84">
        <v>1574.9</v>
      </c>
      <c r="AQ84">
        <v>1966.2</v>
      </c>
      <c r="AT84">
        <v>6477</v>
      </c>
      <c r="AZ84">
        <v>0</v>
      </c>
      <c r="BC84">
        <v>0</v>
      </c>
      <c r="BK84">
        <v>11178.8</v>
      </c>
      <c r="BU84">
        <v>0</v>
      </c>
      <c r="CE84">
        <v>3744.5</v>
      </c>
      <c r="CO84">
        <v>2089.9</v>
      </c>
      <c r="CY84">
        <v>1714</v>
      </c>
      <c r="DK84">
        <v>0</v>
      </c>
      <c r="DS84">
        <v>2034.1999999999998</v>
      </c>
      <c r="ED84">
        <v>2467.3000000000002</v>
      </c>
      <c r="EO84">
        <v>0</v>
      </c>
      <c r="EY84">
        <v>2968.5</v>
      </c>
      <c r="FI84">
        <v>5242.5</v>
      </c>
      <c r="FS84">
        <v>6102.7</v>
      </c>
      <c r="GD84">
        <v>5832.1</v>
      </c>
      <c r="GP84">
        <v>7389.4</v>
      </c>
      <c r="HB84">
        <v>3738.5</v>
      </c>
      <c r="HN84">
        <v>2411.6999999999998</v>
      </c>
    </row>
    <row r="85" spans="1:222" ht="18.600000000000001" thickTop="1" thickBot="1">
      <c r="A85" s="587"/>
      <c r="B85" s="143" t="s">
        <v>475</v>
      </c>
      <c r="C85" s="321"/>
      <c r="D85" s="150" t="s">
        <v>779</v>
      </c>
      <c r="E85" s="433">
        <v>259.5</v>
      </c>
      <c r="F85" s="166">
        <v>395.8</v>
      </c>
      <c r="G85" s="427">
        <v>12636.4</v>
      </c>
      <c r="H85" s="155">
        <v>6598.3</v>
      </c>
      <c r="I85">
        <v>10161.799999999999</v>
      </c>
      <c r="J85">
        <v>10965.599999999999</v>
      </c>
      <c r="K85">
        <v>12968.9</v>
      </c>
      <c r="L85" s="4">
        <v>11087</v>
      </c>
      <c r="M85" s="4">
        <v>11103.7</v>
      </c>
      <c r="N85" s="4">
        <v>8801</v>
      </c>
      <c r="P85">
        <v>10209.900000000001</v>
      </c>
      <c r="V85">
        <v>3840.1</v>
      </c>
      <c r="Y85">
        <v>2945.3999999999996</v>
      </c>
      <c r="AD85">
        <v>9047.1</v>
      </c>
      <c r="AJ85">
        <v>3604.8</v>
      </c>
      <c r="AN85">
        <v>1574.9</v>
      </c>
      <c r="AQ85">
        <v>1966.2</v>
      </c>
      <c r="AT85">
        <v>6477</v>
      </c>
      <c r="AZ85">
        <v>0</v>
      </c>
      <c r="BC85">
        <v>0</v>
      </c>
      <c r="BK85">
        <v>11178.8</v>
      </c>
      <c r="BU85">
        <v>0</v>
      </c>
      <c r="CE85">
        <v>3744.5</v>
      </c>
      <c r="CO85">
        <v>2089.9</v>
      </c>
      <c r="CY85">
        <v>1714</v>
      </c>
      <c r="DK85">
        <v>0</v>
      </c>
      <c r="DS85">
        <v>2034.1999999999998</v>
      </c>
      <c r="ED85">
        <v>2467.3000000000002</v>
      </c>
      <c r="EO85">
        <v>0</v>
      </c>
      <c r="EY85">
        <v>2968.5</v>
      </c>
      <c r="FI85">
        <v>5242.5</v>
      </c>
      <c r="FS85">
        <v>6102.7</v>
      </c>
      <c r="GD85">
        <v>5832.1</v>
      </c>
      <c r="GP85">
        <v>7389.4</v>
      </c>
      <c r="HB85">
        <v>3738.5</v>
      </c>
      <c r="HN85">
        <v>2411.6999999999998</v>
      </c>
    </row>
    <row r="86" spans="1:222" ht="18" thickBot="1">
      <c r="A86" s="587"/>
      <c r="B86" s="143" t="s">
        <v>476</v>
      </c>
      <c r="C86" s="321"/>
      <c r="D86" s="150"/>
      <c r="E86" s="434">
        <v>259.5</v>
      </c>
      <c r="F86" s="167">
        <v>395.8</v>
      </c>
      <c r="G86" s="427">
        <v>12636.4</v>
      </c>
      <c r="H86" s="155">
        <v>6598.3</v>
      </c>
      <c r="I86">
        <v>10161.799999999999</v>
      </c>
      <c r="J86">
        <v>10965.599999999999</v>
      </c>
      <c r="K86">
        <v>12968.9</v>
      </c>
      <c r="L86" s="4">
        <v>11087</v>
      </c>
      <c r="M86" s="4">
        <v>11103.7</v>
      </c>
      <c r="N86" s="4">
        <v>8801</v>
      </c>
      <c r="P86">
        <v>10209.900000000001</v>
      </c>
      <c r="V86">
        <v>3840.1</v>
      </c>
      <c r="Y86">
        <v>2945.3999999999996</v>
      </c>
      <c r="AD86">
        <v>9047.1</v>
      </c>
      <c r="AJ86">
        <v>3604.8</v>
      </c>
      <c r="AN86">
        <v>1574.9</v>
      </c>
      <c r="AQ86">
        <v>1966.2</v>
      </c>
      <c r="AT86">
        <v>6477</v>
      </c>
      <c r="AZ86">
        <v>0</v>
      </c>
      <c r="BC86">
        <v>0</v>
      </c>
      <c r="BK86">
        <v>11178.8</v>
      </c>
      <c r="BU86">
        <v>0</v>
      </c>
      <c r="CE86">
        <v>3744.5</v>
      </c>
      <c r="CO86">
        <v>2089.9</v>
      </c>
      <c r="CY86">
        <v>1714</v>
      </c>
      <c r="DK86">
        <v>0</v>
      </c>
      <c r="DS86">
        <v>2034.1999999999998</v>
      </c>
      <c r="ED86">
        <v>2467.3000000000002</v>
      </c>
      <c r="EO86">
        <v>0</v>
      </c>
      <c r="EY86">
        <v>2968.5</v>
      </c>
      <c r="FI86">
        <v>5242.5</v>
      </c>
      <c r="FS86">
        <v>6102.7</v>
      </c>
      <c r="GD86">
        <v>5832.1</v>
      </c>
      <c r="GP86">
        <v>7389.4</v>
      </c>
      <c r="HB86">
        <v>3738.5</v>
      </c>
      <c r="HN86">
        <v>2411.6999999999998</v>
      </c>
    </row>
    <row r="87" spans="1:222" ht="18" thickBot="1">
      <c r="A87" s="587"/>
      <c r="B87" s="143" t="s">
        <v>477</v>
      </c>
      <c r="C87" s="321"/>
      <c r="D87" s="150"/>
      <c r="E87" s="434">
        <v>259.5</v>
      </c>
      <c r="F87" s="167">
        <v>395.8</v>
      </c>
      <c r="G87" s="427">
        <v>12636.4</v>
      </c>
      <c r="H87" s="155">
        <v>6598.3</v>
      </c>
      <c r="I87">
        <v>10161.799999999999</v>
      </c>
      <c r="J87">
        <v>10965.599999999999</v>
      </c>
      <c r="K87">
        <v>12968.9</v>
      </c>
      <c r="L87" s="4">
        <v>11087</v>
      </c>
      <c r="M87" s="4">
        <v>11103.7</v>
      </c>
      <c r="N87" s="4">
        <v>8801</v>
      </c>
      <c r="P87">
        <v>10209.900000000001</v>
      </c>
      <c r="V87">
        <v>3840.1</v>
      </c>
      <c r="Y87">
        <v>2945.3999999999996</v>
      </c>
      <c r="AD87">
        <v>9047.1</v>
      </c>
      <c r="AJ87">
        <v>3604.8</v>
      </c>
      <c r="AN87">
        <v>1574.9</v>
      </c>
      <c r="AQ87">
        <v>1966.2</v>
      </c>
      <c r="AT87">
        <v>6477</v>
      </c>
      <c r="AZ87">
        <v>0</v>
      </c>
      <c r="BC87">
        <v>0</v>
      </c>
      <c r="BK87">
        <v>11178.8</v>
      </c>
      <c r="BU87">
        <v>0</v>
      </c>
      <c r="CE87">
        <v>3744.5</v>
      </c>
      <c r="CO87">
        <v>2089.9</v>
      </c>
      <c r="CY87">
        <v>1714</v>
      </c>
      <c r="DK87">
        <v>0</v>
      </c>
      <c r="DS87">
        <v>2034.1999999999998</v>
      </c>
      <c r="ED87">
        <v>2467.3000000000002</v>
      </c>
      <c r="EO87">
        <v>0</v>
      </c>
      <c r="EY87">
        <v>2968.5</v>
      </c>
      <c r="FI87">
        <v>5242.5</v>
      </c>
      <c r="FS87">
        <v>6102.7</v>
      </c>
      <c r="GD87">
        <v>5832.1</v>
      </c>
      <c r="GP87">
        <v>7389.4</v>
      </c>
      <c r="HB87">
        <v>3738.5</v>
      </c>
      <c r="HN87">
        <v>2411.6999999999998</v>
      </c>
    </row>
    <row r="88" spans="1:222" ht="18" thickBot="1">
      <c r="A88" s="587"/>
      <c r="B88" s="143" t="s">
        <v>478</v>
      </c>
      <c r="C88" s="321"/>
      <c r="D88" s="150"/>
      <c r="E88" s="434">
        <v>259.5</v>
      </c>
      <c r="F88" s="167">
        <v>395.8</v>
      </c>
      <c r="G88" s="427">
        <v>12636.4</v>
      </c>
      <c r="H88" s="155">
        <v>6598.3</v>
      </c>
      <c r="I88">
        <v>10161.799999999999</v>
      </c>
      <c r="J88">
        <v>10965.599999999999</v>
      </c>
      <c r="K88">
        <v>12968.9</v>
      </c>
      <c r="L88" s="4">
        <v>11087</v>
      </c>
      <c r="M88" s="4">
        <v>11103.7</v>
      </c>
      <c r="N88" s="4">
        <v>8801</v>
      </c>
      <c r="P88">
        <v>10209.900000000001</v>
      </c>
      <c r="V88">
        <v>3840.1</v>
      </c>
      <c r="Y88">
        <v>2945.3999999999996</v>
      </c>
      <c r="AD88">
        <v>9047.1</v>
      </c>
      <c r="AJ88">
        <v>3604.8</v>
      </c>
      <c r="AN88">
        <v>1574.9</v>
      </c>
      <c r="AQ88">
        <v>1966.2</v>
      </c>
      <c r="AT88">
        <v>6477</v>
      </c>
      <c r="AZ88">
        <v>0</v>
      </c>
      <c r="BC88">
        <v>0</v>
      </c>
      <c r="BK88">
        <v>11178.8</v>
      </c>
      <c r="BU88">
        <v>0</v>
      </c>
      <c r="CE88">
        <v>3744.5</v>
      </c>
      <c r="CO88">
        <v>2089.9</v>
      </c>
      <c r="CY88">
        <v>1714</v>
      </c>
      <c r="DK88">
        <v>0</v>
      </c>
      <c r="DS88">
        <v>2034.1999999999998</v>
      </c>
      <c r="ED88">
        <v>2467.3000000000002</v>
      </c>
      <c r="EO88">
        <v>0</v>
      </c>
      <c r="EY88">
        <v>2968.5</v>
      </c>
      <c r="FI88">
        <v>5242.5</v>
      </c>
      <c r="FS88">
        <v>6102.7</v>
      </c>
      <c r="GD88">
        <v>5832.1</v>
      </c>
      <c r="GP88">
        <v>7389.4</v>
      </c>
      <c r="HB88">
        <v>3738.5</v>
      </c>
      <c r="HN88">
        <v>2411.6999999999998</v>
      </c>
    </row>
    <row r="89" spans="1:222" ht="18" thickBot="1">
      <c r="A89" s="587"/>
      <c r="B89" s="143" t="s">
        <v>479</v>
      </c>
      <c r="C89" s="321"/>
      <c r="D89" s="150" t="s">
        <v>780</v>
      </c>
      <c r="E89" s="434">
        <v>259.5</v>
      </c>
      <c r="F89" s="167">
        <v>395.8</v>
      </c>
      <c r="G89" s="427">
        <v>12636.4</v>
      </c>
      <c r="H89" s="155">
        <v>6598.3</v>
      </c>
      <c r="I89">
        <v>10161.799999999999</v>
      </c>
      <c r="J89">
        <v>10965.599999999999</v>
      </c>
      <c r="K89">
        <v>12968.9</v>
      </c>
      <c r="L89" s="4">
        <v>11087</v>
      </c>
      <c r="M89" s="4">
        <v>11103.7</v>
      </c>
      <c r="N89" s="4">
        <v>8801</v>
      </c>
      <c r="P89">
        <v>10209.900000000001</v>
      </c>
      <c r="V89">
        <v>3840.1</v>
      </c>
      <c r="Y89">
        <v>2945.3999999999996</v>
      </c>
      <c r="AD89">
        <v>9047.1</v>
      </c>
      <c r="AJ89">
        <v>3604.8</v>
      </c>
      <c r="AN89">
        <v>1574.9</v>
      </c>
      <c r="AQ89">
        <v>1966.2</v>
      </c>
      <c r="AT89">
        <v>6477</v>
      </c>
      <c r="AZ89">
        <v>0</v>
      </c>
      <c r="BC89">
        <v>0</v>
      </c>
      <c r="BK89">
        <v>11178.8</v>
      </c>
      <c r="BU89">
        <v>0</v>
      </c>
      <c r="CE89">
        <v>3744.5</v>
      </c>
      <c r="CO89">
        <v>2089.9</v>
      </c>
      <c r="CY89">
        <v>1714</v>
      </c>
      <c r="DK89">
        <v>0</v>
      </c>
      <c r="DS89">
        <v>2034.1999999999998</v>
      </c>
      <c r="ED89">
        <v>2467.3000000000002</v>
      </c>
      <c r="EO89">
        <v>0</v>
      </c>
      <c r="EY89">
        <v>2968.5</v>
      </c>
      <c r="FI89">
        <v>5242.5</v>
      </c>
      <c r="FS89">
        <v>6102.7</v>
      </c>
      <c r="GD89">
        <v>5832.1</v>
      </c>
      <c r="GP89">
        <v>7389.4</v>
      </c>
      <c r="HB89">
        <v>3738.5</v>
      </c>
      <c r="HN89">
        <v>2411.6999999999998</v>
      </c>
    </row>
    <row r="90" spans="1:222" ht="18" thickBot="1">
      <c r="A90" s="587"/>
      <c r="B90" s="143" t="s">
        <v>480</v>
      </c>
      <c r="C90" s="321"/>
      <c r="D90" s="150" t="s">
        <v>780</v>
      </c>
      <c r="E90" s="434">
        <v>259.5</v>
      </c>
      <c r="F90" s="167">
        <v>395.8</v>
      </c>
      <c r="G90" s="427">
        <v>12636.4</v>
      </c>
      <c r="H90" s="155">
        <v>6598.3</v>
      </c>
      <c r="I90">
        <v>10161.799999999999</v>
      </c>
      <c r="J90">
        <v>10965.599999999999</v>
      </c>
      <c r="K90">
        <v>12968.9</v>
      </c>
      <c r="L90" s="4">
        <v>11087</v>
      </c>
      <c r="M90" s="4">
        <v>11103.7</v>
      </c>
      <c r="N90" s="4">
        <v>8801</v>
      </c>
      <c r="P90">
        <v>10209.900000000001</v>
      </c>
      <c r="V90">
        <v>3840.1</v>
      </c>
      <c r="Y90">
        <v>2945.3999999999996</v>
      </c>
      <c r="AD90">
        <v>9047.1</v>
      </c>
      <c r="AJ90">
        <v>3604.8</v>
      </c>
      <c r="AN90">
        <v>1574.9</v>
      </c>
      <c r="AQ90">
        <v>1966.2</v>
      </c>
      <c r="AT90">
        <v>6477</v>
      </c>
      <c r="AZ90">
        <v>0</v>
      </c>
      <c r="BC90">
        <v>0</v>
      </c>
      <c r="BK90">
        <v>11178.8</v>
      </c>
      <c r="BU90">
        <v>0</v>
      </c>
      <c r="CE90">
        <v>3744.5</v>
      </c>
      <c r="CO90">
        <v>2089.9</v>
      </c>
      <c r="CY90">
        <v>1714</v>
      </c>
      <c r="DK90">
        <v>0</v>
      </c>
      <c r="DS90">
        <v>2034.1999999999998</v>
      </c>
      <c r="ED90">
        <v>2467.3000000000002</v>
      </c>
      <c r="EO90">
        <v>0</v>
      </c>
      <c r="EY90">
        <v>2968.5</v>
      </c>
      <c r="FI90">
        <v>5242.5</v>
      </c>
      <c r="FS90">
        <v>6102.7</v>
      </c>
      <c r="GD90">
        <v>5832.1</v>
      </c>
      <c r="GP90">
        <v>7389.4</v>
      </c>
      <c r="HB90">
        <v>3738.5</v>
      </c>
      <c r="HN90">
        <v>2411.6999999999998</v>
      </c>
    </row>
    <row r="91" spans="1:222" ht="18" thickBot="1">
      <c r="A91" s="587"/>
      <c r="B91" s="143" t="s">
        <v>481</v>
      </c>
      <c r="C91" s="321"/>
      <c r="D91" s="150" t="s">
        <v>780</v>
      </c>
      <c r="E91" s="434">
        <v>259.5</v>
      </c>
      <c r="F91" s="167">
        <v>395.8</v>
      </c>
      <c r="G91" s="427">
        <v>12636.4</v>
      </c>
      <c r="H91" s="155">
        <v>6598.3</v>
      </c>
      <c r="I91">
        <v>10161.799999999999</v>
      </c>
      <c r="J91">
        <v>10965.599999999999</v>
      </c>
      <c r="K91">
        <v>12968.9</v>
      </c>
      <c r="L91" s="4">
        <v>11087</v>
      </c>
      <c r="M91" s="4">
        <v>11103.7</v>
      </c>
      <c r="N91" s="4">
        <v>8801</v>
      </c>
      <c r="P91">
        <v>10209.900000000001</v>
      </c>
      <c r="V91">
        <v>3840.1</v>
      </c>
      <c r="Y91">
        <v>2945.3999999999996</v>
      </c>
      <c r="AD91">
        <v>9047.1</v>
      </c>
      <c r="AJ91">
        <v>3604.8</v>
      </c>
      <c r="AN91">
        <v>1574.9</v>
      </c>
      <c r="AQ91">
        <v>1966.2</v>
      </c>
      <c r="AT91">
        <v>6477</v>
      </c>
      <c r="AZ91">
        <v>0</v>
      </c>
      <c r="BC91">
        <v>0</v>
      </c>
      <c r="BK91">
        <v>11178.8</v>
      </c>
      <c r="BU91">
        <v>0</v>
      </c>
      <c r="CE91">
        <v>3744.5</v>
      </c>
      <c r="CO91">
        <v>2089.9</v>
      </c>
      <c r="CY91">
        <v>1714</v>
      </c>
      <c r="DK91">
        <v>0</v>
      </c>
      <c r="DS91">
        <v>2034.1999999999998</v>
      </c>
      <c r="ED91">
        <v>2467.3000000000002</v>
      </c>
      <c r="EO91">
        <v>0</v>
      </c>
      <c r="EY91">
        <v>2968.5</v>
      </c>
      <c r="FI91">
        <v>5242.5</v>
      </c>
      <c r="FS91">
        <v>6102.7</v>
      </c>
      <c r="GD91">
        <v>5832.1</v>
      </c>
      <c r="GP91">
        <v>7389.4</v>
      </c>
      <c r="HB91">
        <v>3738.5</v>
      </c>
      <c r="HN91">
        <v>2411.6999999999998</v>
      </c>
    </row>
    <row r="92" spans="1:222" ht="18" thickBot="1">
      <c r="A92" s="588"/>
      <c r="B92" s="140" t="s">
        <v>482</v>
      </c>
      <c r="C92" s="322"/>
      <c r="D92" s="151" t="s">
        <v>781</v>
      </c>
      <c r="E92" s="434">
        <v>259.5</v>
      </c>
      <c r="F92" s="167">
        <v>395.8</v>
      </c>
      <c r="G92" s="427">
        <v>12636.4</v>
      </c>
      <c r="H92" s="155">
        <v>6598.3</v>
      </c>
      <c r="I92">
        <v>10161.799999999999</v>
      </c>
      <c r="J92">
        <v>10965.599999999999</v>
      </c>
      <c r="K92">
        <v>12968.9</v>
      </c>
      <c r="L92" s="4">
        <v>11087</v>
      </c>
      <c r="M92" s="4">
        <v>11103.7</v>
      </c>
      <c r="N92" s="4">
        <v>8801</v>
      </c>
      <c r="P92">
        <v>10209.900000000001</v>
      </c>
      <c r="V92">
        <v>3840.1</v>
      </c>
      <c r="Y92">
        <v>2945.3999999999996</v>
      </c>
      <c r="AD92">
        <v>9047.1</v>
      </c>
      <c r="AJ92">
        <v>3604.8</v>
      </c>
      <c r="AN92">
        <v>1574.9</v>
      </c>
      <c r="AQ92">
        <v>1966.2</v>
      </c>
      <c r="AT92">
        <v>6477</v>
      </c>
      <c r="AZ92">
        <v>0</v>
      </c>
      <c r="BC92">
        <v>0</v>
      </c>
      <c r="BK92">
        <v>11178.8</v>
      </c>
      <c r="BU92">
        <v>0</v>
      </c>
      <c r="CE92">
        <v>3744.5</v>
      </c>
      <c r="CO92">
        <v>2089.9</v>
      </c>
      <c r="CY92">
        <v>1714</v>
      </c>
      <c r="DK92">
        <v>0</v>
      </c>
      <c r="DS92">
        <v>2034.1999999999998</v>
      </c>
      <c r="ED92">
        <v>2467.3000000000002</v>
      </c>
      <c r="EO92">
        <v>0</v>
      </c>
      <c r="EY92">
        <v>2968.5</v>
      </c>
      <c r="FI92">
        <v>5242.5</v>
      </c>
      <c r="FS92">
        <v>6102.7</v>
      </c>
      <c r="GD92">
        <v>5832.1</v>
      </c>
      <c r="GP92">
        <v>7389.4</v>
      </c>
      <c r="HB92">
        <v>3738.5</v>
      </c>
      <c r="HN92">
        <v>2411.6999999999998</v>
      </c>
    </row>
    <row r="93" spans="1:222" ht="18.600000000000001" thickTop="1" thickBot="1">
      <c r="A93" s="586" t="s">
        <v>324</v>
      </c>
      <c r="B93" s="142" t="s">
        <v>808</v>
      </c>
      <c r="C93" s="320"/>
      <c r="D93" s="149"/>
      <c r="E93" s="434">
        <v>259.5</v>
      </c>
      <c r="F93" s="167">
        <v>395.8</v>
      </c>
      <c r="G93" s="427">
        <v>12636.4</v>
      </c>
      <c r="H93" s="155">
        <v>6598.3</v>
      </c>
      <c r="I93">
        <v>10161.799999999999</v>
      </c>
      <c r="J93">
        <v>10965.599999999999</v>
      </c>
      <c r="K93">
        <v>12968.9</v>
      </c>
      <c r="L93" s="4">
        <v>11087</v>
      </c>
      <c r="M93" s="4">
        <v>11103.7</v>
      </c>
      <c r="N93" s="4">
        <v>8801</v>
      </c>
      <c r="P93">
        <v>10209.900000000001</v>
      </c>
      <c r="V93">
        <v>3840.1</v>
      </c>
      <c r="Y93">
        <v>2945.3999999999996</v>
      </c>
      <c r="AD93">
        <v>9047.1</v>
      </c>
      <c r="AJ93">
        <v>3604.8</v>
      </c>
      <c r="AN93">
        <v>1574.9</v>
      </c>
      <c r="AQ93">
        <v>1966.2</v>
      </c>
      <c r="AT93">
        <v>6477</v>
      </c>
      <c r="AZ93">
        <v>0</v>
      </c>
      <c r="BC93">
        <v>0</v>
      </c>
      <c r="BK93">
        <v>11178.8</v>
      </c>
      <c r="BU93">
        <v>0</v>
      </c>
      <c r="CE93">
        <v>3744.5</v>
      </c>
      <c r="CO93">
        <v>2089.9</v>
      </c>
      <c r="CY93">
        <v>1714</v>
      </c>
      <c r="DK93">
        <v>0</v>
      </c>
      <c r="DS93">
        <v>2034.1999999999998</v>
      </c>
      <c r="ED93">
        <v>2467.3000000000002</v>
      </c>
      <c r="EO93">
        <v>0</v>
      </c>
      <c r="EY93">
        <v>2968.5</v>
      </c>
      <c r="FI93">
        <v>5242.5</v>
      </c>
      <c r="FS93">
        <v>6102.7</v>
      </c>
      <c r="GD93">
        <v>5832.1</v>
      </c>
      <c r="GP93">
        <v>7389.4</v>
      </c>
      <c r="HB93">
        <v>3738.5</v>
      </c>
      <c r="HN93">
        <v>2411.6999999999998</v>
      </c>
    </row>
    <row r="94" spans="1:222" ht="18" thickBot="1">
      <c r="A94" s="587"/>
      <c r="B94" s="143" t="s">
        <v>464</v>
      </c>
      <c r="C94" s="321"/>
      <c r="D94" s="150"/>
      <c r="E94" s="434">
        <v>259.5</v>
      </c>
      <c r="F94" s="168">
        <v>395.8</v>
      </c>
      <c r="G94" s="427">
        <v>12636.4</v>
      </c>
      <c r="H94" s="155">
        <v>6598.3</v>
      </c>
      <c r="I94">
        <v>10161.799999999999</v>
      </c>
      <c r="J94">
        <v>10965.599999999999</v>
      </c>
      <c r="K94">
        <v>12968.9</v>
      </c>
      <c r="L94" s="4">
        <v>11087</v>
      </c>
      <c r="M94" s="4">
        <v>11103.7</v>
      </c>
      <c r="N94" s="4">
        <v>8801</v>
      </c>
      <c r="P94">
        <v>10209.900000000001</v>
      </c>
      <c r="V94">
        <v>3840.1</v>
      </c>
      <c r="Y94">
        <v>2945.3999999999996</v>
      </c>
      <c r="AD94">
        <v>9047.1</v>
      </c>
      <c r="AJ94">
        <v>3604.8</v>
      </c>
      <c r="AN94">
        <v>1574.9</v>
      </c>
      <c r="AQ94">
        <v>1966.2</v>
      </c>
      <c r="AT94">
        <v>6477</v>
      </c>
      <c r="AZ94">
        <v>0</v>
      </c>
      <c r="BC94">
        <v>0</v>
      </c>
      <c r="BK94">
        <v>11178.8</v>
      </c>
      <c r="BU94">
        <v>0</v>
      </c>
      <c r="CE94">
        <v>3744.5</v>
      </c>
      <c r="CO94">
        <v>2089.9</v>
      </c>
      <c r="CY94">
        <v>1714</v>
      </c>
      <c r="DK94">
        <v>0</v>
      </c>
      <c r="DS94">
        <v>2034.1999999999998</v>
      </c>
      <c r="ED94">
        <v>2467.3000000000002</v>
      </c>
      <c r="EO94">
        <v>0</v>
      </c>
      <c r="EY94">
        <v>2968.5</v>
      </c>
      <c r="FI94">
        <v>5242.5</v>
      </c>
      <c r="FS94">
        <v>6102.7</v>
      </c>
      <c r="GD94">
        <v>5832.1</v>
      </c>
      <c r="GP94">
        <v>7389.4</v>
      </c>
      <c r="HB94">
        <v>3738.5</v>
      </c>
      <c r="HN94">
        <v>2411.6999999999998</v>
      </c>
    </row>
    <row r="95" spans="1:222" ht="18.600000000000001" thickTop="1" thickBot="1">
      <c r="A95" s="587"/>
      <c r="B95" s="143" t="s">
        <v>465</v>
      </c>
      <c r="C95" s="321"/>
      <c r="D95" s="150"/>
      <c r="E95" s="433">
        <v>259.5</v>
      </c>
      <c r="F95" s="166">
        <v>395.8</v>
      </c>
      <c r="G95" s="427">
        <v>12636.4</v>
      </c>
      <c r="H95" s="155">
        <v>6598.3</v>
      </c>
      <c r="I95">
        <v>10161.799999999999</v>
      </c>
      <c r="J95">
        <v>10965.599999999999</v>
      </c>
      <c r="K95">
        <v>12968.9</v>
      </c>
      <c r="L95" s="4">
        <v>11087</v>
      </c>
      <c r="M95" s="4">
        <v>11103.7</v>
      </c>
      <c r="N95" s="4">
        <v>8801</v>
      </c>
      <c r="P95">
        <v>10209.900000000001</v>
      </c>
      <c r="V95">
        <v>3840.1</v>
      </c>
      <c r="Y95">
        <v>2945.3999999999996</v>
      </c>
      <c r="AD95">
        <v>9047.1</v>
      </c>
      <c r="AJ95">
        <v>3604.8</v>
      </c>
      <c r="AN95">
        <v>1574.9</v>
      </c>
      <c r="AQ95">
        <v>1966.2</v>
      </c>
      <c r="AT95">
        <v>6477</v>
      </c>
      <c r="AZ95">
        <v>0</v>
      </c>
      <c r="BC95">
        <v>0</v>
      </c>
      <c r="BK95">
        <v>11178.8</v>
      </c>
      <c r="BU95">
        <v>0</v>
      </c>
      <c r="CE95">
        <v>3744.5</v>
      </c>
      <c r="CO95">
        <v>2089.9</v>
      </c>
      <c r="CY95">
        <v>1714</v>
      </c>
      <c r="DK95">
        <v>0</v>
      </c>
      <c r="DS95">
        <v>2034.1999999999998</v>
      </c>
      <c r="ED95">
        <v>2467.3000000000002</v>
      </c>
      <c r="EO95">
        <v>0</v>
      </c>
      <c r="EY95">
        <v>2968.5</v>
      </c>
      <c r="FI95">
        <v>5242.5</v>
      </c>
      <c r="FS95">
        <v>6102.7</v>
      </c>
      <c r="GD95">
        <v>5832.1</v>
      </c>
      <c r="GP95">
        <v>7389.4</v>
      </c>
      <c r="HB95">
        <v>3738.5</v>
      </c>
      <c r="HN95">
        <v>2411.6999999999998</v>
      </c>
    </row>
    <row r="96" spans="1:222" ht="18" thickBot="1">
      <c r="A96" s="587"/>
      <c r="B96" s="143" t="s">
        <v>466</v>
      </c>
      <c r="C96" s="321"/>
      <c r="D96" s="150" t="s">
        <v>769</v>
      </c>
      <c r="E96" s="434">
        <v>259.5</v>
      </c>
      <c r="F96" s="167">
        <v>395.8</v>
      </c>
      <c r="G96" s="427">
        <v>12636.4</v>
      </c>
      <c r="H96" s="155">
        <v>6598.3</v>
      </c>
      <c r="I96">
        <v>10161.799999999999</v>
      </c>
      <c r="J96">
        <v>10965.599999999999</v>
      </c>
      <c r="K96">
        <v>12968.9</v>
      </c>
      <c r="L96" s="4">
        <v>11087</v>
      </c>
      <c r="M96" s="4">
        <v>11103.7</v>
      </c>
      <c r="N96" s="4">
        <v>8801</v>
      </c>
      <c r="P96">
        <v>10209.900000000001</v>
      </c>
      <c r="V96">
        <v>3840.1</v>
      </c>
      <c r="Y96">
        <v>2945.3999999999996</v>
      </c>
      <c r="AD96">
        <v>9047.1</v>
      </c>
      <c r="AJ96">
        <v>3604.8</v>
      </c>
      <c r="AN96">
        <v>1574.9</v>
      </c>
      <c r="AQ96">
        <v>1966.2</v>
      </c>
      <c r="AT96">
        <v>6477</v>
      </c>
      <c r="AZ96">
        <v>0</v>
      </c>
      <c r="BC96">
        <v>0</v>
      </c>
      <c r="BK96">
        <v>11178.8</v>
      </c>
      <c r="BU96">
        <v>0</v>
      </c>
      <c r="CE96">
        <v>3744.5</v>
      </c>
      <c r="CO96">
        <v>2089.9</v>
      </c>
      <c r="CY96">
        <v>1714</v>
      </c>
      <c r="DK96">
        <v>0</v>
      </c>
      <c r="DS96">
        <v>2034.1999999999998</v>
      </c>
      <c r="ED96">
        <v>2467.3000000000002</v>
      </c>
      <c r="EO96">
        <v>0</v>
      </c>
      <c r="EY96">
        <v>2968.5</v>
      </c>
      <c r="FI96">
        <v>5242.5</v>
      </c>
      <c r="FS96">
        <v>6102.7</v>
      </c>
      <c r="GD96">
        <v>5832.1</v>
      </c>
      <c r="GP96">
        <v>7389.4</v>
      </c>
      <c r="HB96">
        <v>3738.5</v>
      </c>
      <c r="HN96">
        <v>2411.6999999999998</v>
      </c>
    </row>
    <row r="97" spans="1:222" ht="18" thickBot="1">
      <c r="A97" s="587"/>
      <c r="B97" s="143" t="s">
        <v>467</v>
      </c>
      <c r="C97" s="321"/>
      <c r="D97" s="150" t="s">
        <v>769</v>
      </c>
      <c r="E97" s="434">
        <v>259.5</v>
      </c>
      <c r="F97" s="167">
        <v>395.8</v>
      </c>
      <c r="G97" s="427">
        <v>12636.4</v>
      </c>
      <c r="H97" s="155">
        <v>6598.3</v>
      </c>
      <c r="I97">
        <v>10161.799999999999</v>
      </c>
      <c r="J97">
        <v>10965.599999999999</v>
      </c>
      <c r="K97">
        <v>12968.9</v>
      </c>
      <c r="L97" s="4">
        <v>11087</v>
      </c>
      <c r="M97" s="4">
        <v>11103.7</v>
      </c>
      <c r="N97" s="4">
        <v>8801</v>
      </c>
      <c r="P97">
        <v>10209.900000000001</v>
      </c>
      <c r="V97">
        <v>3840.1</v>
      </c>
      <c r="Y97">
        <v>2945.3999999999996</v>
      </c>
      <c r="AD97">
        <v>9047.1</v>
      </c>
      <c r="AJ97">
        <v>3604.8</v>
      </c>
      <c r="AN97">
        <v>1574.9</v>
      </c>
      <c r="AQ97">
        <v>1966.2</v>
      </c>
      <c r="AT97">
        <v>6477</v>
      </c>
      <c r="AZ97">
        <v>0</v>
      </c>
      <c r="BC97">
        <v>0</v>
      </c>
      <c r="BK97">
        <v>11178.8</v>
      </c>
      <c r="BU97">
        <v>0</v>
      </c>
      <c r="CE97">
        <v>3744.5</v>
      </c>
      <c r="CO97">
        <v>2089.9</v>
      </c>
      <c r="CY97">
        <v>1714</v>
      </c>
      <c r="DK97">
        <v>0</v>
      </c>
      <c r="DS97">
        <v>2034.1999999999998</v>
      </c>
      <c r="ED97">
        <v>2467.3000000000002</v>
      </c>
      <c r="EO97">
        <v>0</v>
      </c>
      <c r="EY97">
        <v>2968.5</v>
      </c>
      <c r="FI97">
        <v>5242.5</v>
      </c>
      <c r="FS97">
        <v>6102.7</v>
      </c>
      <c r="GD97">
        <v>5832.1</v>
      </c>
      <c r="GP97">
        <v>7389.4</v>
      </c>
      <c r="HB97">
        <v>3738.5</v>
      </c>
      <c r="HN97">
        <v>2411.6999999999998</v>
      </c>
    </row>
    <row r="98" spans="1:222" ht="18" thickBot="1">
      <c r="A98" s="587"/>
      <c r="B98" s="143" t="s">
        <v>468</v>
      </c>
      <c r="C98" s="321"/>
      <c r="D98" s="150" t="s">
        <v>781</v>
      </c>
      <c r="E98" s="434">
        <v>259.5</v>
      </c>
      <c r="F98" s="167">
        <v>395.8</v>
      </c>
      <c r="G98" s="427">
        <v>12636.4</v>
      </c>
      <c r="H98" s="155">
        <v>6598.3</v>
      </c>
      <c r="I98">
        <v>10161.799999999999</v>
      </c>
      <c r="J98">
        <v>10965.599999999999</v>
      </c>
      <c r="K98">
        <v>12968.9</v>
      </c>
      <c r="L98" s="4">
        <v>11087</v>
      </c>
      <c r="M98" s="4">
        <v>11103.7</v>
      </c>
      <c r="N98" s="4">
        <v>8801</v>
      </c>
      <c r="P98">
        <v>10209.900000000001</v>
      </c>
      <c r="V98">
        <v>3840.1</v>
      </c>
      <c r="Y98">
        <v>2945.3999999999996</v>
      </c>
      <c r="AD98">
        <v>9047.1</v>
      </c>
      <c r="AJ98">
        <v>3604.8</v>
      </c>
      <c r="AN98">
        <v>1574.9</v>
      </c>
      <c r="AQ98">
        <v>1966.2</v>
      </c>
      <c r="AT98">
        <v>6477</v>
      </c>
      <c r="AZ98">
        <v>0</v>
      </c>
      <c r="BC98">
        <v>0</v>
      </c>
      <c r="BK98">
        <v>11178.8</v>
      </c>
      <c r="BU98">
        <v>0</v>
      </c>
      <c r="CE98">
        <v>3744.5</v>
      </c>
      <c r="CO98">
        <v>2089.9</v>
      </c>
      <c r="CY98">
        <v>1714</v>
      </c>
      <c r="DK98">
        <v>0</v>
      </c>
      <c r="DS98">
        <v>2034.1999999999998</v>
      </c>
      <c r="ED98">
        <v>2467.3000000000002</v>
      </c>
      <c r="EO98">
        <v>0</v>
      </c>
      <c r="EY98">
        <v>2968.5</v>
      </c>
      <c r="FI98">
        <v>5242.5</v>
      </c>
      <c r="FS98">
        <v>6102.7</v>
      </c>
      <c r="GD98">
        <v>5832.1</v>
      </c>
      <c r="GP98">
        <v>7389.4</v>
      </c>
      <c r="HB98">
        <v>3738.5</v>
      </c>
      <c r="HN98">
        <v>2411.6999999999998</v>
      </c>
    </row>
    <row r="99" spans="1:222" ht="18" thickBot="1">
      <c r="A99" s="587"/>
      <c r="B99" s="143" t="s">
        <v>469</v>
      </c>
      <c r="C99" s="321"/>
      <c r="D99" s="150"/>
      <c r="E99" s="434">
        <v>259.5</v>
      </c>
      <c r="F99" s="167">
        <v>395.8</v>
      </c>
      <c r="G99" s="427">
        <v>12636.4</v>
      </c>
      <c r="H99" s="155">
        <v>6598.3</v>
      </c>
      <c r="I99">
        <v>10161.799999999999</v>
      </c>
      <c r="J99">
        <v>10965.599999999999</v>
      </c>
      <c r="K99">
        <v>12968.9</v>
      </c>
      <c r="L99" s="4">
        <v>11087</v>
      </c>
      <c r="M99" s="4">
        <v>11103.7</v>
      </c>
      <c r="N99" s="4">
        <v>8801</v>
      </c>
      <c r="P99">
        <v>10209.900000000001</v>
      </c>
      <c r="V99">
        <v>3840.1</v>
      </c>
      <c r="Y99">
        <v>2945.3999999999996</v>
      </c>
      <c r="AD99">
        <v>9047.1</v>
      </c>
      <c r="AJ99">
        <v>3604.8</v>
      </c>
      <c r="AN99">
        <v>1574.9</v>
      </c>
      <c r="AQ99">
        <v>1966.2</v>
      </c>
      <c r="AT99">
        <v>6477</v>
      </c>
      <c r="AZ99">
        <v>0</v>
      </c>
      <c r="BC99">
        <v>0</v>
      </c>
      <c r="BK99">
        <v>11178.8</v>
      </c>
      <c r="BU99">
        <v>0</v>
      </c>
      <c r="CE99">
        <v>3744.5</v>
      </c>
      <c r="CO99">
        <v>2089.9</v>
      </c>
      <c r="CY99">
        <v>1714</v>
      </c>
      <c r="DK99">
        <v>0</v>
      </c>
      <c r="DS99">
        <v>2034.1999999999998</v>
      </c>
      <c r="ED99">
        <v>2467.3000000000002</v>
      </c>
      <c r="EO99">
        <v>0</v>
      </c>
      <c r="EY99">
        <v>2968.5</v>
      </c>
      <c r="FI99">
        <v>5242.5</v>
      </c>
      <c r="FS99">
        <v>6102.7</v>
      </c>
      <c r="GD99">
        <v>5832.1</v>
      </c>
      <c r="GP99">
        <v>7389.4</v>
      </c>
      <c r="HB99">
        <v>3738.5</v>
      </c>
      <c r="HN99">
        <v>2411.6999999999998</v>
      </c>
    </row>
    <row r="100" spans="1:222" ht="18" thickBot="1">
      <c r="A100" s="587"/>
      <c r="B100" s="143" t="s">
        <v>470</v>
      </c>
      <c r="C100" s="321"/>
      <c r="D100" s="150" t="s">
        <v>781</v>
      </c>
      <c r="E100" s="434">
        <v>259.5</v>
      </c>
      <c r="F100" s="167">
        <v>395.8</v>
      </c>
      <c r="G100" s="427">
        <v>12636.4</v>
      </c>
      <c r="H100" s="155">
        <v>6598.3</v>
      </c>
      <c r="I100">
        <v>10161.799999999999</v>
      </c>
      <c r="J100">
        <v>10965.599999999999</v>
      </c>
      <c r="K100">
        <v>12968.9</v>
      </c>
      <c r="L100" s="4">
        <v>11087</v>
      </c>
      <c r="M100" s="4">
        <v>11103.7</v>
      </c>
      <c r="N100" s="4">
        <v>8801</v>
      </c>
      <c r="P100">
        <v>10209.900000000001</v>
      </c>
      <c r="V100">
        <v>3840.1</v>
      </c>
      <c r="Y100">
        <v>2945.3999999999996</v>
      </c>
      <c r="AD100">
        <v>9047.1</v>
      </c>
      <c r="AJ100">
        <v>3604.8</v>
      </c>
      <c r="AN100">
        <v>1574.9</v>
      </c>
      <c r="AQ100">
        <v>1966.2</v>
      </c>
      <c r="AT100">
        <v>6477</v>
      </c>
      <c r="AZ100">
        <v>0</v>
      </c>
      <c r="BC100">
        <v>0</v>
      </c>
      <c r="BK100">
        <v>11178.8</v>
      </c>
      <c r="BU100">
        <v>0</v>
      </c>
      <c r="CE100">
        <v>3744.5</v>
      </c>
      <c r="CO100">
        <v>2089.9</v>
      </c>
      <c r="CY100">
        <v>1714</v>
      </c>
      <c r="DK100">
        <v>0</v>
      </c>
      <c r="DS100">
        <v>2034.1999999999998</v>
      </c>
      <c r="ED100">
        <v>2467.3000000000002</v>
      </c>
      <c r="EO100">
        <v>0</v>
      </c>
      <c r="EY100">
        <v>2968.5</v>
      </c>
      <c r="FI100">
        <v>5242.5</v>
      </c>
      <c r="FS100">
        <v>6102.7</v>
      </c>
      <c r="GD100">
        <v>5832.1</v>
      </c>
      <c r="GP100">
        <v>7389.4</v>
      </c>
      <c r="HB100">
        <v>3738.5</v>
      </c>
      <c r="HN100">
        <v>2411.6999999999998</v>
      </c>
    </row>
    <row r="101" spans="1:222" ht="18" thickBot="1">
      <c r="A101" s="587"/>
      <c r="B101" s="143" t="s">
        <v>471</v>
      </c>
      <c r="C101" s="321"/>
      <c r="D101" s="150"/>
      <c r="E101" s="434">
        <v>259.5</v>
      </c>
      <c r="F101" s="167">
        <v>395.8</v>
      </c>
      <c r="G101" s="427">
        <v>12636.4</v>
      </c>
      <c r="H101" s="155">
        <v>6598.3</v>
      </c>
      <c r="I101">
        <v>10161.799999999999</v>
      </c>
      <c r="J101">
        <v>10965.599999999999</v>
      </c>
      <c r="K101">
        <v>12968.9</v>
      </c>
      <c r="L101" s="4">
        <v>11087</v>
      </c>
      <c r="M101" s="4">
        <v>11103.7</v>
      </c>
      <c r="N101" s="4">
        <v>8801</v>
      </c>
      <c r="P101">
        <v>10209.900000000001</v>
      </c>
      <c r="V101">
        <v>3840.1</v>
      </c>
      <c r="Y101">
        <v>2945.3999999999996</v>
      </c>
      <c r="AD101">
        <v>9047.1</v>
      </c>
      <c r="AJ101">
        <v>3604.8</v>
      </c>
      <c r="AN101">
        <v>1574.9</v>
      </c>
      <c r="AQ101">
        <v>1966.2</v>
      </c>
      <c r="AT101">
        <v>6477</v>
      </c>
      <c r="AZ101">
        <v>0</v>
      </c>
      <c r="BC101">
        <v>0</v>
      </c>
      <c r="BK101">
        <v>11178.8</v>
      </c>
      <c r="BU101">
        <v>0</v>
      </c>
      <c r="CE101">
        <v>3744.5</v>
      </c>
      <c r="CO101">
        <v>2089.9</v>
      </c>
      <c r="CY101">
        <v>1714</v>
      </c>
      <c r="DK101">
        <v>0</v>
      </c>
      <c r="DS101">
        <v>2034.1999999999998</v>
      </c>
      <c r="ED101">
        <v>2467.3000000000002</v>
      </c>
      <c r="EO101">
        <v>0</v>
      </c>
      <c r="EY101">
        <v>2968.5</v>
      </c>
      <c r="FI101">
        <v>5242.5</v>
      </c>
      <c r="FS101">
        <v>6102.7</v>
      </c>
      <c r="GD101">
        <v>5832.1</v>
      </c>
      <c r="GP101">
        <v>7389.4</v>
      </c>
      <c r="HB101">
        <v>3738.5</v>
      </c>
      <c r="HN101">
        <v>2411.6999999999998</v>
      </c>
    </row>
    <row r="102" spans="1:222" ht="18" thickBot="1">
      <c r="A102" s="588"/>
      <c r="B102" s="140" t="s">
        <v>472</v>
      </c>
      <c r="C102" s="322"/>
      <c r="D102" s="151"/>
      <c r="E102" s="434">
        <v>259.5</v>
      </c>
      <c r="F102" s="167">
        <v>395.8</v>
      </c>
      <c r="G102" s="427">
        <v>12636.4</v>
      </c>
      <c r="H102" s="155">
        <v>6598.3</v>
      </c>
      <c r="I102">
        <v>10161.799999999999</v>
      </c>
      <c r="J102">
        <v>10965.599999999999</v>
      </c>
      <c r="K102">
        <v>12968.9</v>
      </c>
      <c r="L102" s="4">
        <v>11087</v>
      </c>
      <c r="M102" s="4">
        <v>11103.7</v>
      </c>
      <c r="N102" s="4">
        <v>8801</v>
      </c>
      <c r="P102">
        <v>10209.900000000001</v>
      </c>
      <c r="V102">
        <v>3840.1</v>
      </c>
      <c r="Y102">
        <v>2945.3999999999996</v>
      </c>
      <c r="AD102">
        <v>9047.1</v>
      </c>
      <c r="AJ102">
        <v>3604.8</v>
      </c>
      <c r="AN102">
        <v>1574.9</v>
      </c>
      <c r="AQ102">
        <v>1966.2</v>
      </c>
      <c r="AT102">
        <v>6477</v>
      </c>
      <c r="AZ102">
        <v>0</v>
      </c>
      <c r="BC102">
        <v>0</v>
      </c>
      <c r="BK102">
        <v>11178.8</v>
      </c>
      <c r="BU102">
        <v>0</v>
      </c>
      <c r="CE102">
        <v>3744.5</v>
      </c>
      <c r="CO102">
        <v>2089.9</v>
      </c>
      <c r="CY102">
        <v>1714</v>
      </c>
      <c r="DK102">
        <v>0</v>
      </c>
      <c r="DS102">
        <v>2034.1999999999998</v>
      </c>
      <c r="ED102">
        <v>2467.3000000000002</v>
      </c>
      <c r="EO102">
        <v>0</v>
      </c>
      <c r="EY102">
        <v>2968.5</v>
      </c>
      <c r="FI102">
        <v>5242.5</v>
      </c>
      <c r="FS102">
        <v>6102.7</v>
      </c>
      <c r="GD102">
        <v>5832.1</v>
      </c>
      <c r="GP102">
        <v>7389.4</v>
      </c>
      <c r="HB102">
        <v>3738.5</v>
      </c>
      <c r="HN102">
        <v>2411.6999999999998</v>
      </c>
    </row>
    <row r="103" spans="1:222" ht="18.600000000000001" thickTop="1" thickBot="1">
      <c r="A103" s="586" t="s">
        <v>323</v>
      </c>
      <c r="B103" s="142"/>
      <c r="C103" s="320"/>
      <c r="D103" s="149"/>
      <c r="E103" s="434">
        <v>259.5</v>
      </c>
      <c r="F103" s="167">
        <v>395.8</v>
      </c>
      <c r="G103" s="427">
        <v>12636.4</v>
      </c>
      <c r="H103" s="155">
        <v>6598.3</v>
      </c>
      <c r="I103">
        <v>10161.799999999999</v>
      </c>
      <c r="J103">
        <v>10965.599999999999</v>
      </c>
      <c r="K103">
        <v>12968.9</v>
      </c>
      <c r="L103" s="4">
        <v>11087</v>
      </c>
      <c r="M103" s="4">
        <v>11103.7</v>
      </c>
      <c r="N103" s="4">
        <v>8801</v>
      </c>
      <c r="P103">
        <v>10209.900000000001</v>
      </c>
      <c r="V103">
        <v>3840.1</v>
      </c>
      <c r="Y103">
        <v>2945.3999999999996</v>
      </c>
      <c r="AD103">
        <v>9047.1</v>
      </c>
      <c r="AJ103">
        <v>3604.8</v>
      </c>
      <c r="AN103">
        <v>1574.9</v>
      </c>
      <c r="AQ103">
        <v>1966.2</v>
      </c>
      <c r="AT103">
        <v>6477</v>
      </c>
      <c r="AZ103">
        <v>0</v>
      </c>
      <c r="BC103">
        <v>0</v>
      </c>
      <c r="BK103">
        <v>11178.8</v>
      </c>
      <c r="BU103">
        <v>0</v>
      </c>
      <c r="CE103">
        <v>3744.5</v>
      </c>
      <c r="CO103">
        <v>2089.9</v>
      </c>
      <c r="CY103">
        <v>1714</v>
      </c>
      <c r="DK103">
        <v>0</v>
      </c>
      <c r="DS103">
        <v>2034.1999999999998</v>
      </c>
      <c r="ED103">
        <v>2467.3000000000002</v>
      </c>
      <c r="EO103">
        <v>0</v>
      </c>
      <c r="EY103">
        <v>2968.5</v>
      </c>
      <c r="FI103">
        <v>5242.5</v>
      </c>
      <c r="FS103">
        <v>6102.7</v>
      </c>
      <c r="GD103">
        <v>5832.1</v>
      </c>
      <c r="GP103">
        <v>7389.4</v>
      </c>
      <c r="HB103">
        <v>3738.5</v>
      </c>
      <c r="HN103">
        <v>2411.6999999999998</v>
      </c>
    </row>
    <row r="104" spans="1:222" ht="18" thickBot="1">
      <c r="A104" s="587"/>
      <c r="B104" s="143"/>
      <c r="C104" s="321"/>
      <c r="D104" s="150"/>
      <c r="E104" s="434">
        <v>259.5</v>
      </c>
      <c r="F104" s="168">
        <v>395.8</v>
      </c>
      <c r="G104" s="427">
        <v>12636.4</v>
      </c>
      <c r="H104" s="155">
        <v>6598.3</v>
      </c>
      <c r="I104">
        <v>10161.799999999999</v>
      </c>
      <c r="J104">
        <v>10965.599999999999</v>
      </c>
      <c r="K104">
        <v>12968.9</v>
      </c>
      <c r="L104" s="4">
        <v>11087</v>
      </c>
      <c r="M104" s="4">
        <v>11103.7</v>
      </c>
      <c r="N104" s="4">
        <v>8801</v>
      </c>
      <c r="P104">
        <v>10209.900000000001</v>
      </c>
      <c r="V104">
        <v>3840.1</v>
      </c>
      <c r="Y104">
        <v>2945.3999999999996</v>
      </c>
      <c r="AD104">
        <v>9047.1</v>
      </c>
      <c r="AJ104">
        <v>3604.8</v>
      </c>
      <c r="AN104">
        <v>1574.9</v>
      </c>
      <c r="AQ104">
        <v>1966.2</v>
      </c>
      <c r="AT104">
        <v>6477</v>
      </c>
      <c r="AZ104">
        <v>0</v>
      </c>
      <c r="BC104">
        <v>0</v>
      </c>
      <c r="BK104">
        <v>11178.8</v>
      </c>
      <c r="BU104">
        <v>0</v>
      </c>
      <c r="CE104">
        <v>3744.5</v>
      </c>
      <c r="CO104">
        <v>2089.9</v>
      </c>
      <c r="CY104">
        <v>1714</v>
      </c>
      <c r="DK104">
        <v>0</v>
      </c>
      <c r="DS104">
        <v>2034.1999999999998</v>
      </c>
      <c r="ED104">
        <v>2467.3000000000002</v>
      </c>
      <c r="EO104">
        <v>0</v>
      </c>
      <c r="EY104">
        <v>2968.5</v>
      </c>
      <c r="FI104">
        <v>5242.5</v>
      </c>
      <c r="FS104">
        <v>6102.7</v>
      </c>
      <c r="GD104">
        <v>5832.1</v>
      </c>
      <c r="GP104">
        <v>7389.4</v>
      </c>
      <c r="HB104">
        <v>3738.5</v>
      </c>
      <c r="HN104">
        <v>2411.6999999999998</v>
      </c>
    </row>
    <row r="105" spans="1:222" ht="18.600000000000001" thickTop="1" thickBot="1">
      <c r="A105" s="587"/>
      <c r="B105" s="143" t="s">
        <v>809</v>
      </c>
      <c r="C105" s="321"/>
      <c r="D105" s="150"/>
      <c r="E105" s="435">
        <v>259.5</v>
      </c>
      <c r="F105" s="166">
        <v>395.8</v>
      </c>
      <c r="G105" s="427">
        <v>12636.4</v>
      </c>
      <c r="H105" s="155">
        <v>6598.3</v>
      </c>
      <c r="I105">
        <v>10161.799999999999</v>
      </c>
      <c r="J105">
        <v>10965.599999999999</v>
      </c>
      <c r="K105">
        <v>12968.9</v>
      </c>
      <c r="L105" s="4">
        <v>11087</v>
      </c>
      <c r="M105" s="4">
        <v>11103.7</v>
      </c>
      <c r="N105" s="4">
        <v>8801</v>
      </c>
      <c r="P105">
        <v>10209.900000000001</v>
      </c>
      <c r="V105">
        <v>3840.1</v>
      </c>
      <c r="Y105">
        <v>2945.3999999999996</v>
      </c>
      <c r="AD105">
        <v>9047.1</v>
      </c>
      <c r="AJ105">
        <v>3604.8</v>
      </c>
      <c r="AN105">
        <v>1574.9</v>
      </c>
      <c r="AQ105">
        <v>1966.2</v>
      </c>
      <c r="AT105">
        <v>6477</v>
      </c>
      <c r="AZ105">
        <v>0</v>
      </c>
      <c r="BC105">
        <v>0</v>
      </c>
      <c r="BK105">
        <v>11178.8</v>
      </c>
      <c r="BU105">
        <v>0</v>
      </c>
      <c r="CE105">
        <v>3744.5</v>
      </c>
      <c r="CO105">
        <v>2089.9</v>
      </c>
      <c r="CY105">
        <v>1714</v>
      </c>
      <c r="DK105">
        <v>0</v>
      </c>
      <c r="DS105">
        <v>2034.1999999999998</v>
      </c>
      <c r="ED105">
        <v>2467.3000000000002</v>
      </c>
      <c r="EO105">
        <v>0</v>
      </c>
      <c r="EY105">
        <v>2968.5</v>
      </c>
      <c r="FI105">
        <v>5242.5</v>
      </c>
      <c r="FS105">
        <v>6102.7</v>
      </c>
      <c r="GD105">
        <v>5832.1</v>
      </c>
      <c r="GP105">
        <v>7389.4</v>
      </c>
      <c r="HB105">
        <v>3738.5</v>
      </c>
      <c r="HN105">
        <v>2411.6999999999998</v>
      </c>
    </row>
    <row r="106" spans="1:222" ht="22.2" thickBot="1">
      <c r="A106" s="587"/>
      <c r="B106" s="143" t="s">
        <v>454</v>
      </c>
      <c r="C106" s="321"/>
      <c r="D106" s="150" t="s">
        <v>782</v>
      </c>
      <c r="E106" s="436">
        <v>259.5</v>
      </c>
      <c r="F106" s="167">
        <v>395.8</v>
      </c>
      <c r="G106" s="427">
        <v>12636.4</v>
      </c>
      <c r="H106" s="155">
        <v>6598.3</v>
      </c>
      <c r="I106">
        <v>10161.799999999999</v>
      </c>
      <c r="J106">
        <v>10965.599999999999</v>
      </c>
      <c r="K106">
        <v>12968.9</v>
      </c>
      <c r="L106" s="4">
        <v>11087</v>
      </c>
      <c r="M106" s="4">
        <v>11103.7</v>
      </c>
      <c r="N106" s="4">
        <v>8801</v>
      </c>
      <c r="P106">
        <v>10209.900000000001</v>
      </c>
      <c r="V106">
        <v>3840.1</v>
      </c>
      <c r="Y106">
        <v>2945.3999999999996</v>
      </c>
      <c r="AD106">
        <v>9047.1</v>
      </c>
      <c r="AJ106">
        <v>3604.8</v>
      </c>
      <c r="AN106">
        <v>1574.9</v>
      </c>
      <c r="AQ106">
        <v>1966.2</v>
      </c>
      <c r="AT106">
        <v>6477</v>
      </c>
      <c r="AZ106">
        <v>0</v>
      </c>
      <c r="BC106">
        <v>0</v>
      </c>
      <c r="BK106">
        <v>11178.8</v>
      </c>
      <c r="BU106">
        <v>0</v>
      </c>
      <c r="CE106">
        <v>3744.5</v>
      </c>
      <c r="CO106">
        <v>2089.9</v>
      </c>
      <c r="CY106">
        <v>1714</v>
      </c>
      <c r="DK106">
        <v>0</v>
      </c>
      <c r="DS106">
        <v>2034.1999999999998</v>
      </c>
      <c r="ED106">
        <v>2467.3000000000002</v>
      </c>
      <c r="EO106">
        <v>0</v>
      </c>
      <c r="EY106">
        <v>2968.5</v>
      </c>
      <c r="FI106">
        <v>5242.5</v>
      </c>
      <c r="FS106">
        <v>6102.7</v>
      </c>
      <c r="GD106">
        <v>5832.1</v>
      </c>
      <c r="GP106">
        <v>7389.4</v>
      </c>
      <c r="HB106">
        <v>3738.5</v>
      </c>
      <c r="HN106">
        <v>2411.6999999999998</v>
      </c>
    </row>
    <row r="107" spans="1:222" ht="18" thickBot="1">
      <c r="A107" s="587"/>
      <c r="B107" s="143" t="s">
        <v>455</v>
      </c>
      <c r="C107" s="321"/>
      <c r="D107" s="150" t="s">
        <v>783</v>
      </c>
      <c r="E107" s="436">
        <v>259.5</v>
      </c>
      <c r="F107" s="167">
        <v>395.8</v>
      </c>
      <c r="G107" s="427">
        <v>12636.4</v>
      </c>
      <c r="H107" s="155">
        <v>6598.3</v>
      </c>
      <c r="I107">
        <v>10161.799999999999</v>
      </c>
      <c r="J107">
        <v>10965.599999999999</v>
      </c>
      <c r="K107">
        <v>12968.9</v>
      </c>
      <c r="L107" s="4">
        <v>11087</v>
      </c>
      <c r="M107" s="4">
        <v>11103.7</v>
      </c>
      <c r="N107" s="4">
        <v>8801</v>
      </c>
      <c r="P107">
        <v>10209.900000000001</v>
      </c>
      <c r="V107">
        <v>3840.1</v>
      </c>
      <c r="Y107">
        <v>2945.3999999999996</v>
      </c>
      <c r="AD107">
        <v>9047.1</v>
      </c>
      <c r="AJ107">
        <v>3604.8</v>
      </c>
      <c r="AN107">
        <v>1574.9</v>
      </c>
      <c r="AQ107">
        <v>1966.2</v>
      </c>
      <c r="AT107">
        <v>6477</v>
      </c>
      <c r="AZ107">
        <v>0</v>
      </c>
      <c r="BC107">
        <v>0</v>
      </c>
      <c r="BK107">
        <v>11178.8</v>
      </c>
      <c r="BU107">
        <v>0</v>
      </c>
      <c r="CE107">
        <v>3744.5</v>
      </c>
      <c r="CO107">
        <v>2089.9</v>
      </c>
      <c r="CY107">
        <v>1714</v>
      </c>
      <c r="DK107">
        <v>0</v>
      </c>
      <c r="DS107">
        <v>2034.1999999999998</v>
      </c>
      <c r="ED107">
        <v>2467.3000000000002</v>
      </c>
      <c r="EO107">
        <v>0</v>
      </c>
      <c r="EY107">
        <v>2968.5</v>
      </c>
      <c r="FI107">
        <v>5242.5</v>
      </c>
      <c r="FS107">
        <v>6102.7</v>
      </c>
      <c r="GD107">
        <v>5832.1</v>
      </c>
      <c r="GP107">
        <v>7389.4</v>
      </c>
      <c r="HB107">
        <v>3738.5</v>
      </c>
      <c r="HN107">
        <v>2411.6999999999998</v>
      </c>
    </row>
    <row r="108" spans="1:222" ht="18" thickBot="1">
      <c r="A108" s="587"/>
      <c r="B108" s="143" t="s">
        <v>456</v>
      </c>
      <c r="C108" s="321"/>
      <c r="D108" s="150" t="s">
        <v>784</v>
      </c>
      <c r="E108" s="436">
        <v>259.5</v>
      </c>
      <c r="F108" s="167">
        <v>395.8</v>
      </c>
      <c r="G108" s="427">
        <v>12636.4</v>
      </c>
      <c r="H108" s="155">
        <v>6598.3</v>
      </c>
      <c r="I108">
        <v>10161.799999999999</v>
      </c>
      <c r="J108">
        <v>10965.599999999999</v>
      </c>
      <c r="K108">
        <v>12968.9</v>
      </c>
      <c r="L108" s="4">
        <v>11087</v>
      </c>
      <c r="M108" s="4">
        <v>11103.7</v>
      </c>
      <c r="N108" s="4">
        <v>8801</v>
      </c>
      <c r="P108">
        <v>10209.900000000001</v>
      </c>
      <c r="V108">
        <v>3840.1</v>
      </c>
      <c r="Y108">
        <v>2945.3999999999996</v>
      </c>
      <c r="AD108">
        <v>9047.1</v>
      </c>
      <c r="AJ108">
        <v>3604.8</v>
      </c>
      <c r="AN108">
        <v>1574.9</v>
      </c>
      <c r="AQ108">
        <v>1966.2</v>
      </c>
      <c r="AT108">
        <v>6477</v>
      </c>
      <c r="AZ108">
        <v>0</v>
      </c>
      <c r="BC108">
        <v>0</v>
      </c>
      <c r="BK108">
        <v>11178.8</v>
      </c>
      <c r="BU108">
        <v>0</v>
      </c>
      <c r="CE108">
        <v>3744.5</v>
      </c>
      <c r="CO108">
        <v>2089.9</v>
      </c>
      <c r="CY108">
        <v>1714</v>
      </c>
      <c r="DK108">
        <v>0</v>
      </c>
      <c r="DS108">
        <v>2034.1999999999998</v>
      </c>
      <c r="ED108">
        <v>2467.3000000000002</v>
      </c>
      <c r="EO108">
        <v>0</v>
      </c>
      <c r="EY108">
        <v>2968.5</v>
      </c>
      <c r="FI108">
        <v>5242.5</v>
      </c>
      <c r="FS108">
        <v>6102.7</v>
      </c>
      <c r="GD108">
        <v>5832.1</v>
      </c>
      <c r="GP108">
        <v>7389.4</v>
      </c>
      <c r="HB108">
        <v>3738.5</v>
      </c>
      <c r="HN108">
        <v>2411.6999999999998</v>
      </c>
    </row>
    <row r="109" spans="1:222" ht="18" thickBot="1">
      <c r="A109" s="587"/>
      <c r="B109" s="143" t="s">
        <v>457</v>
      </c>
      <c r="C109" s="321"/>
      <c r="D109" s="150" t="s">
        <v>785</v>
      </c>
      <c r="E109" s="436">
        <v>259.5</v>
      </c>
      <c r="F109" s="167">
        <v>395.8</v>
      </c>
      <c r="G109" s="427">
        <v>12636.4</v>
      </c>
      <c r="H109" s="155">
        <v>6598.3</v>
      </c>
      <c r="I109">
        <v>10161.799999999999</v>
      </c>
      <c r="J109">
        <v>10965.599999999999</v>
      </c>
      <c r="K109">
        <v>12968.9</v>
      </c>
      <c r="L109" s="4">
        <v>11087</v>
      </c>
      <c r="M109" s="4">
        <v>11103.7</v>
      </c>
      <c r="N109" s="4">
        <v>8801</v>
      </c>
      <c r="P109">
        <v>10209.900000000001</v>
      </c>
      <c r="V109">
        <v>3840.1</v>
      </c>
      <c r="Y109">
        <v>2945.3999999999996</v>
      </c>
      <c r="AD109">
        <v>9047.1</v>
      </c>
      <c r="AJ109">
        <v>3604.8</v>
      </c>
      <c r="AN109">
        <v>1574.9</v>
      </c>
      <c r="AQ109">
        <v>1966.2</v>
      </c>
      <c r="AT109">
        <v>6477</v>
      </c>
      <c r="AZ109">
        <v>0</v>
      </c>
      <c r="BC109">
        <v>0</v>
      </c>
      <c r="BK109">
        <v>11178.8</v>
      </c>
      <c r="BU109">
        <v>0</v>
      </c>
      <c r="CE109">
        <v>3744.5</v>
      </c>
      <c r="CO109">
        <v>2089.9</v>
      </c>
      <c r="CY109">
        <v>1714</v>
      </c>
      <c r="DK109">
        <v>0</v>
      </c>
      <c r="DS109">
        <v>2034.1999999999998</v>
      </c>
      <c r="ED109">
        <v>2467.3000000000002</v>
      </c>
      <c r="EO109">
        <v>0</v>
      </c>
      <c r="EY109">
        <v>2968.5</v>
      </c>
      <c r="FI109">
        <v>5242.5</v>
      </c>
      <c r="FS109">
        <v>6102.7</v>
      </c>
      <c r="GD109">
        <v>5832.1</v>
      </c>
      <c r="GP109">
        <v>7389.4</v>
      </c>
      <c r="HB109">
        <v>3738.5</v>
      </c>
      <c r="HN109">
        <v>2411.6999999999998</v>
      </c>
    </row>
    <row r="110" spans="1:222" ht="18" thickBot="1">
      <c r="A110" s="587"/>
      <c r="B110" s="143" t="s">
        <v>458</v>
      </c>
      <c r="C110" s="321"/>
      <c r="D110" s="150"/>
      <c r="E110" s="436">
        <v>259.5</v>
      </c>
      <c r="F110" s="167">
        <v>395.8</v>
      </c>
      <c r="G110" s="427">
        <v>12636.4</v>
      </c>
      <c r="H110" s="155">
        <v>6598.3</v>
      </c>
      <c r="I110">
        <v>10161.799999999999</v>
      </c>
      <c r="J110">
        <v>10965.599999999999</v>
      </c>
      <c r="K110">
        <v>12968.9</v>
      </c>
      <c r="L110" s="4">
        <v>11087</v>
      </c>
      <c r="M110" s="4">
        <v>11103.7</v>
      </c>
      <c r="N110" s="4">
        <v>8801</v>
      </c>
      <c r="P110">
        <v>10209.900000000001</v>
      </c>
      <c r="V110">
        <v>3840.1</v>
      </c>
      <c r="Y110">
        <v>2945.3999999999996</v>
      </c>
      <c r="AD110">
        <v>9047.1</v>
      </c>
      <c r="AJ110">
        <v>3604.8</v>
      </c>
      <c r="AN110">
        <v>1574.9</v>
      </c>
      <c r="AQ110">
        <v>1966.2</v>
      </c>
      <c r="AT110">
        <v>6477</v>
      </c>
      <c r="AZ110">
        <v>0</v>
      </c>
      <c r="BC110">
        <v>0</v>
      </c>
      <c r="BK110">
        <v>11178.8</v>
      </c>
      <c r="BU110">
        <v>0</v>
      </c>
      <c r="CE110">
        <v>3744.5</v>
      </c>
      <c r="CO110">
        <v>2089.9</v>
      </c>
      <c r="CY110">
        <v>1714</v>
      </c>
      <c r="DK110">
        <v>0</v>
      </c>
      <c r="DS110">
        <v>2034.1999999999998</v>
      </c>
      <c r="ED110">
        <v>2467.3000000000002</v>
      </c>
      <c r="EO110">
        <v>0</v>
      </c>
      <c r="EY110">
        <v>2968.5</v>
      </c>
      <c r="FI110">
        <v>5242.5</v>
      </c>
      <c r="FS110">
        <v>6102.7</v>
      </c>
      <c r="GD110">
        <v>5832.1</v>
      </c>
      <c r="GP110">
        <v>7389.4</v>
      </c>
      <c r="HB110">
        <v>3738.5</v>
      </c>
      <c r="HN110">
        <v>2411.6999999999998</v>
      </c>
    </row>
    <row r="111" spans="1:222" ht="18" thickBot="1">
      <c r="A111" s="587"/>
      <c r="B111" s="143" t="s">
        <v>459</v>
      </c>
      <c r="C111" s="321"/>
      <c r="D111" s="150"/>
      <c r="E111" s="436">
        <v>259.5</v>
      </c>
      <c r="F111" s="167">
        <v>395.8</v>
      </c>
      <c r="G111" s="427">
        <v>12636.4</v>
      </c>
      <c r="H111" s="155">
        <v>6598.3</v>
      </c>
      <c r="I111">
        <v>10161.799999999999</v>
      </c>
      <c r="J111">
        <v>10965.599999999999</v>
      </c>
      <c r="K111">
        <v>12968.9</v>
      </c>
      <c r="L111" s="4">
        <v>11087</v>
      </c>
      <c r="M111" s="4">
        <v>11103.7</v>
      </c>
      <c r="N111" s="4">
        <v>8801</v>
      </c>
      <c r="P111">
        <v>10209.900000000001</v>
      </c>
      <c r="V111">
        <v>3840.1</v>
      </c>
      <c r="Y111">
        <v>2945.3999999999996</v>
      </c>
      <c r="AD111">
        <v>9047.1</v>
      </c>
      <c r="AJ111">
        <v>3604.8</v>
      </c>
      <c r="AN111">
        <v>1574.9</v>
      </c>
      <c r="AQ111">
        <v>1966.2</v>
      </c>
      <c r="AT111">
        <v>6477</v>
      </c>
      <c r="AZ111">
        <v>0</v>
      </c>
      <c r="BC111">
        <v>0</v>
      </c>
      <c r="BK111">
        <v>11178.8</v>
      </c>
      <c r="BU111">
        <v>0</v>
      </c>
      <c r="CE111">
        <v>3744.5</v>
      </c>
      <c r="CO111">
        <v>2089.9</v>
      </c>
      <c r="CY111">
        <v>1714</v>
      </c>
      <c r="DK111">
        <v>0</v>
      </c>
      <c r="DS111">
        <v>2034.1999999999998</v>
      </c>
      <c r="ED111">
        <v>2467.3000000000002</v>
      </c>
      <c r="EO111">
        <v>0</v>
      </c>
      <c r="EY111">
        <v>2968.5</v>
      </c>
      <c r="FI111">
        <v>5242.5</v>
      </c>
      <c r="FS111">
        <v>6102.7</v>
      </c>
      <c r="GD111">
        <v>5832.1</v>
      </c>
      <c r="GP111">
        <v>7389.4</v>
      </c>
      <c r="HB111">
        <v>3738.5</v>
      </c>
      <c r="HN111">
        <v>2411.6999999999998</v>
      </c>
    </row>
    <row r="112" spans="1:222" ht="18" thickBot="1">
      <c r="A112" s="587"/>
      <c r="B112" s="143" t="s">
        <v>460</v>
      </c>
      <c r="C112" s="321"/>
      <c r="D112" s="150" t="s">
        <v>785</v>
      </c>
      <c r="E112" s="436">
        <v>259.5</v>
      </c>
      <c r="F112" s="167">
        <v>395.8</v>
      </c>
      <c r="G112" s="427">
        <v>12636.4</v>
      </c>
      <c r="H112" s="155">
        <v>6598.3</v>
      </c>
      <c r="I112">
        <v>10161.799999999999</v>
      </c>
      <c r="J112">
        <v>10965.599999999999</v>
      </c>
      <c r="K112">
        <v>12968.9</v>
      </c>
      <c r="L112" s="4">
        <v>11087</v>
      </c>
      <c r="M112" s="4">
        <v>11103.7</v>
      </c>
      <c r="N112" s="4">
        <v>8801</v>
      </c>
      <c r="P112">
        <v>10209.900000000001</v>
      </c>
      <c r="V112">
        <v>3840.1</v>
      </c>
      <c r="Y112">
        <v>2945.3999999999996</v>
      </c>
      <c r="AD112">
        <v>9047.1</v>
      </c>
      <c r="AJ112">
        <v>3604.8</v>
      </c>
      <c r="AN112">
        <v>1574.9</v>
      </c>
      <c r="AQ112">
        <v>1966.2</v>
      </c>
      <c r="AT112">
        <v>6477</v>
      </c>
      <c r="AZ112">
        <v>0</v>
      </c>
      <c r="BC112">
        <v>0</v>
      </c>
      <c r="BK112">
        <v>11178.8</v>
      </c>
      <c r="BU112">
        <v>0</v>
      </c>
      <c r="CE112">
        <v>3744.5</v>
      </c>
      <c r="CO112">
        <v>2089.9</v>
      </c>
      <c r="CY112">
        <v>1714</v>
      </c>
      <c r="DK112">
        <v>0</v>
      </c>
      <c r="DS112">
        <v>2034.1999999999998</v>
      </c>
      <c r="ED112">
        <v>2467.3000000000002</v>
      </c>
      <c r="EO112">
        <v>0</v>
      </c>
      <c r="EY112">
        <v>2968.5</v>
      </c>
      <c r="FI112">
        <v>5242.5</v>
      </c>
      <c r="FS112">
        <v>6102.7</v>
      </c>
      <c r="GD112">
        <v>5832.1</v>
      </c>
      <c r="GP112">
        <v>7389.4</v>
      </c>
      <c r="HB112">
        <v>3738.5</v>
      </c>
      <c r="HN112">
        <v>2411.6999999999998</v>
      </c>
    </row>
    <row r="113" spans="1:222" ht="18" thickBot="1">
      <c r="A113" s="587"/>
      <c r="B113" s="143" t="s">
        <v>461</v>
      </c>
      <c r="C113" s="321"/>
      <c r="D113" s="150" t="s">
        <v>786</v>
      </c>
      <c r="E113" s="436">
        <v>259.5</v>
      </c>
      <c r="F113" s="167">
        <v>395.8</v>
      </c>
      <c r="G113" s="427">
        <v>12636.4</v>
      </c>
      <c r="H113" s="155">
        <v>6598.3</v>
      </c>
      <c r="I113">
        <v>10161.799999999999</v>
      </c>
      <c r="J113">
        <v>10965.599999999999</v>
      </c>
      <c r="K113">
        <v>12968.9</v>
      </c>
      <c r="L113" s="4">
        <v>11087</v>
      </c>
      <c r="M113" s="4">
        <v>11103.7</v>
      </c>
      <c r="N113" s="4">
        <v>8801</v>
      </c>
      <c r="P113">
        <v>10209.900000000001</v>
      </c>
      <c r="V113">
        <v>3840.1</v>
      </c>
      <c r="Y113">
        <v>2945.3999999999996</v>
      </c>
      <c r="AD113">
        <v>9047.1</v>
      </c>
      <c r="AJ113">
        <v>3604.8</v>
      </c>
      <c r="AN113">
        <v>1574.9</v>
      </c>
      <c r="AQ113">
        <v>1966.2</v>
      </c>
      <c r="AT113">
        <v>6477</v>
      </c>
      <c r="AZ113">
        <v>0</v>
      </c>
      <c r="BC113">
        <v>0</v>
      </c>
      <c r="BK113">
        <v>11178.8</v>
      </c>
      <c r="BU113">
        <v>0</v>
      </c>
      <c r="CE113">
        <v>3744.5</v>
      </c>
      <c r="CO113">
        <v>2089.9</v>
      </c>
      <c r="CY113">
        <v>1714</v>
      </c>
      <c r="DK113">
        <v>0</v>
      </c>
      <c r="DS113">
        <v>2034.1999999999998</v>
      </c>
      <c r="ED113">
        <v>2467.3000000000002</v>
      </c>
      <c r="EO113">
        <v>0</v>
      </c>
      <c r="EY113">
        <v>2968.5</v>
      </c>
      <c r="FI113">
        <v>5242.5</v>
      </c>
      <c r="FS113">
        <v>6102.7</v>
      </c>
      <c r="GD113">
        <v>5832.1</v>
      </c>
      <c r="GP113">
        <v>7389.4</v>
      </c>
      <c r="HB113">
        <v>3738.5</v>
      </c>
      <c r="HN113">
        <v>2411.6999999999998</v>
      </c>
    </row>
    <row r="114" spans="1:222" ht="18" thickBot="1">
      <c r="A114" s="588"/>
      <c r="B114" s="140" t="s">
        <v>462</v>
      </c>
      <c r="C114" s="322"/>
      <c r="D114" s="151" t="s">
        <v>787</v>
      </c>
      <c r="E114" s="436">
        <v>259.5</v>
      </c>
      <c r="F114" s="167">
        <v>395.8</v>
      </c>
      <c r="G114" s="427">
        <v>12636.4</v>
      </c>
      <c r="H114" s="155">
        <v>6598.3</v>
      </c>
      <c r="I114">
        <v>10161.799999999999</v>
      </c>
      <c r="J114">
        <v>10965.599999999999</v>
      </c>
      <c r="K114">
        <v>12968.9</v>
      </c>
      <c r="L114" s="4">
        <v>11087</v>
      </c>
      <c r="M114" s="4">
        <v>11103.7</v>
      </c>
      <c r="N114" s="4">
        <v>8801</v>
      </c>
      <c r="P114">
        <v>10209.900000000001</v>
      </c>
      <c r="V114">
        <v>3840.1</v>
      </c>
      <c r="Y114">
        <v>2945.3999999999996</v>
      </c>
      <c r="AD114">
        <v>9047.1</v>
      </c>
      <c r="AJ114">
        <v>3604.8</v>
      </c>
      <c r="AN114">
        <v>1574.9</v>
      </c>
      <c r="AQ114">
        <v>1966.2</v>
      </c>
      <c r="AT114">
        <v>6477</v>
      </c>
      <c r="AZ114">
        <v>0</v>
      </c>
      <c r="BC114">
        <v>0</v>
      </c>
      <c r="BK114">
        <v>11178.8</v>
      </c>
      <c r="BU114">
        <v>0</v>
      </c>
      <c r="CE114">
        <v>3744.5</v>
      </c>
      <c r="CO114">
        <v>2089.9</v>
      </c>
      <c r="CY114">
        <v>1714</v>
      </c>
      <c r="DK114">
        <v>0</v>
      </c>
      <c r="DS114">
        <v>2034.1999999999998</v>
      </c>
      <c r="ED114">
        <v>2467.3000000000002</v>
      </c>
      <c r="EO114">
        <v>0</v>
      </c>
      <c r="EY114">
        <v>2968.5</v>
      </c>
      <c r="FI114">
        <v>5242.5</v>
      </c>
      <c r="FS114">
        <v>6102.7</v>
      </c>
      <c r="GD114">
        <v>5832.1</v>
      </c>
      <c r="GP114">
        <v>7389.4</v>
      </c>
      <c r="HB114">
        <v>3738.5</v>
      </c>
      <c r="HN114">
        <v>2411.6999999999998</v>
      </c>
    </row>
    <row r="115" spans="1:222" ht="18.600000000000001" thickTop="1" thickBot="1">
      <c r="A115" s="583" t="s">
        <v>322</v>
      </c>
      <c r="B115" s="142"/>
      <c r="C115" s="323"/>
      <c r="D115" s="149"/>
      <c r="E115" s="436">
        <v>259.5</v>
      </c>
      <c r="F115" s="168">
        <v>395.8</v>
      </c>
      <c r="G115" s="427">
        <v>12636.4</v>
      </c>
      <c r="H115" s="155">
        <v>6598.3</v>
      </c>
      <c r="I115">
        <v>10161.799999999999</v>
      </c>
      <c r="J115">
        <v>10965.599999999999</v>
      </c>
      <c r="K115">
        <v>12968.9</v>
      </c>
      <c r="L115" s="4">
        <v>11087</v>
      </c>
      <c r="M115" s="4">
        <v>11103.7</v>
      </c>
      <c r="N115" s="4">
        <v>8801</v>
      </c>
      <c r="P115">
        <v>10209.900000000001</v>
      </c>
      <c r="V115">
        <v>3840.1</v>
      </c>
      <c r="Y115">
        <v>2945.3999999999996</v>
      </c>
      <c r="AD115">
        <v>9047.1</v>
      </c>
      <c r="AJ115">
        <v>3604.8</v>
      </c>
      <c r="AN115">
        <v>1574.9</v>
      </c>
      <c r="AQ115">
        <v>1966.2</v>
      </c>
      <c r="AT115">
        <v>6477</v>
      </c>
      <c r="AZ115">
        <v>0</v>
      </c>
      <c r="BC115">
        <v>0</v>
      </c>
      <c r="BK115">
        <v>11178.8</v>
      </c>
      <c r="BU115">
        <v>0</v>
      </c>
      <c r="CE115">
        <v>3744.5</v>
      </c>
      <c r="CO115">
        <v>2089.9</v>
      </c>
      <c r="CY115">
        <v>1714</v>
      </c>
      <c r="DK115">
        <v>0</v>
      </c>
      <c r="DS115">
        <v>2034.1999999999998</v>
      </c>
      <c r="ED115">
        <v>2467.3000000000002</v>
      </c>
      <c r="EO115">
        <v>0</v>
      </c>
      <c r="EY115">
        <v>2968.5</v>
      </c>
      <c r="FI115">
        <v>5242.5</v>
      </c>
      <c r="FS115">
        <v>6102.7</v>
      </c>
      <c r="GD115">
        <v>5832.1</v>
      </c>
      <c r="GP115">
        <v>7389.4</v>
      </c>
      <c r="HB115">
        <v>3738.5</v>
      </c>
      <c r="HN115">
        <v>2411.6999999999998</v>
      </c>
    </row>
    <row r="116" spans="1:222" ht="18.600000000000001" thickTop="1" thickBot="1">
      <c r="A116" s="584"/>
      <c r="B116" s="143"/>
      <c r="C116" s="324"/>
      <c r="D116" s="150"/>
      <c r="E116" s="433">
        <v>259.5</v>
      </c>
      <c r="F116" s="171">
        <v>395.8</v>
      </c>
      <c r="G116" s="427">
        <v>12636.4</v>
      </c>
      <c r="H116" s="155">
        <v>6598.3</v>
      </c>
      <c r="I116">
        <v>10161.799999999999</v>
      </c>
      <c r="J116">
        <v>10965.599999999999</v>
      </c>
      <c r="K116">
        <v>12968.9</v>
      </c>
      <c r="L116" s="4">
        <v>11087</v>
      </c>
      <c r="M116" s="4">
        <v>11103.7</v>
      </c>
      <c r="N116" s="4">
        <v>8801</v>
      </c>
      <c r="P116">
        <v>10209.900000000001</v>
      </c>
      <c r="V116">
        <v>3840.1</v>
      </c>
      <c r="Y116">
        <v>2945.3999999999996</v>
      </c>
      <c r="AD116">
        <v>9047.1</v>
      </c>
      <c r="AJ116">
        <v>3604.8</v>
      </c>
      <c r="AN116">
        <v>1574.9</v>
      </c>
      <c r="AQ116">
        <v>1966.2</v>
      </c>
      <c r="AT116">
        <v>6477</v>
      </c>
      <c r="AZ116">
        <v>0</v>
      </c>
      <c r="BC116">
        <v>0</v>
      </c>
      <c r="BK116">
        <v>11178.8</v>
      </c>
      <c r="BU116">
        <v>0</v>
      </c>
      <c r="CE116">
        <v>3744.5</v>
      </c>
      <c r="CO116">
        <v>2089.9</v>
      </c>
      <c r="CY116">
        <v>1714</v>
      </c>
      <c r="DK116">
        <v>0</v>
      </c>
      <c r="DS116">
        <v>2034.1999999999998</v>
      </c>
      <c r="ED116">
        <v>2467.3000000000002</v>
      </c>
      <c r="EO116">
        <v>0</v>
      </c>
      <c r="EY116">
        <v>2968.5</v>
      </c>
      <c r="FI116">
        <v>5242.5</v>
      </c>
      <c r="FS116">
        <v>6102.7</v>
      </c>
      <c r="GD116">
        <v>5832.1</v>
      </c>
      <c r="GP116">
        <v>7389.4</v>
      </c>
      <c r="HB116">
        <v>3738.5</v>
      </c>
      <c r="HN116">
        <v>2411.6999999999998</v>
      </c>
    </row>
    <row r="117" spans="1:222" ht="18" thickBot="1">
      <c r="A117" s="584"/>
      <c r="B117" s="143"/>
      <c r="C117" s="324"/>
      <c r="D117" s="150"/>
      <c r="E117" s="434">
        <v>259.5</v>
      </c>
      <c r="F117" s="172">
        <v>395.8</v>
      </c>
      <c r="G117" s="427">
        <v>12636.4</v>
      </c>
      <c r="H117" s="155">
        <v>6598.3</v>
      </c>
      <c r="I117">
        <v>10161.799999999999</v>
      </c>
      <c r="J117">
        <v>10965.599999999999</v>
      </c>
      <c r="K117">
        <v>12968.9</v>
      </c>
      <c r="L117" s="4">
        <v>11087</v>
      </c>
      <c r="M117" s="4">
        <v>11103.7</v>
      </c>
      <c r="N117" s="4">
        <v>8801</v>
      </c>
      <c r="P117">
        <v>10209.900000000001</v>
      </c>
      <c r="V117">
        <v>3840.1</v>
      </c>
      <c r="Y117">
        <v>2945.3999999999996</v>
      </c>
      <c r="AD117">
        <v>9047.1</v>
      </c>
      <c r="AJ117">
        <v>3604.8</v>
      </c>
      <c r="AN117">
        <v>1574.9</v>
      </c>
      <c r="AQ117">
        <v>1966.2</v>
      </c>
      <c r="AT117">
        <v>6477</v>
      </c>
      <c r="AZ117">
        <v>0</v>
      </c>
      <c r="BC117">
        <v>0</v>
      </c>
      <c r="BK117">
        <v>11178.8</v>
      </c>
      <c r="BU117">
        <v>0</v>
      </c>
      <c r="CE117">
        <v>3744.5</v>
      </c>
      <c r="CO117">
        <v>2089.9</v>
      </c>
      <c r="CY117">
        <v>1714</v>
      </c>
      <c r="DK117">
        <v>0</v>
      </c>
      <c r="DS117">
        <v>2034.1999999999998</v>
      </c>
      <c r="ED117">
        <v>2467.3000000000002</v>
      </c>
      <c r="EO117">
        <v>0</v>
      </c>
      <c r="EY117">
        <v>2968.5</v>
      </c>
      <c r="FI117">
        <v>5242.5</v>
      </c>
      <c r="FS117">
        <v>6102.7</v>
      </c>
      <c r="GD117">
        <v>5832.1</v>
      </c>
      <c r="GP117">
        <v>7389.4</v>
      </c>
      <c r="HB117">
        <v>3738.5</v>
      </c>
      <c r="HN117">
        <v>2411.6999999999998</v>
      </c>
    </row>
    <row r="118" spans="1:222" ht="18" thickBot="1">
      <c r="A118" s="584"/>
      <c r="B118" s="143"/>
      <c r="C118" s="324"/>
      <c r="D118" s="150"/>
      <c r="E118" s="434">
        <v>259.5</v>
      </c>
      <c r="F118" s="172">
        <v>395.8</v>
      </c>
      <c r="G118" s="427">
        <v>12636.4</v>
      </c>
      <c r="H118" s="155">
        <v>6598.3</v>
      </c>
      <c r="I118">
        <v>10161.799999999999</v>
      </c>
      <c r="J118">
        <v>10965.599999999999</v>
      </c>
      <c r="K118">
        <v>12968.9</v>
      </c>
      <c r="L118" s="4">
        <v>11087</v>
      </c>
      <c r="M118" s="4">
        <v>11103.7</v>
      </c>
      <c r="N118" s="4">
        <v>8801</v>
      </c>
      <c r="P118">
        <v>10209.900000000001</v>
      </c>
      <c r="V118">
        <v>3840.1</v>
      </c>
      <c r="Y118">
        <v>2945.3999999999996</v>
      </c>
      <c r="AD118">
        <v>9047.1</v>
      </c>
      <c r="AJ118">
        <v>3604.8</v>
      </c>
      <c r="AN118">
        <v>1574.9</v>
      </c>
      <c r="AQ118">
        <v>1966.2</v>
      </c>
      <c r="AT118">
        <v>6477</v>
      </c>
      <c r="AZ118">
        <v>0</v>
      </c>
      <c r="BC118">
        <v>0</v>
      </c>
      <c r="BK118">
        <v>11178.8</v>
      </c>
      <c r="BU118">
        <v>0</v>
      </c>
      <c r="CE118">
        <v>3744.5</v>
      </c>
      <c r="CO118">
        <v>2089.9</v>
      </c>
      <c r="CY118">
        <v>1714</v>
      </c>
      <c r="DK118">
        <v>0</v>
      </c>
      <c r="DS118">
        <v>2034.1999999999998</v>
      </c>
      <c r="ED118">
        <v>2467.3000000000002</v>
      </c>
      <c r="EO118">
        <v>0</v>
      </c>
      <c r="EY118">
        <v>2968.5</v>
      </c>
      <c r="FI118">
        <v>5242.5</v>
      </c>
      <c r="FS118">
        <v>6102.7</v>
      </c>
      <c r="GD118">
        <v>5832.1</v>
      </c>
      <c r="GP118">
        <v>7389.4</v>
      </c>
      <c r="HB118">
        <v>3738.5</v>
      </c>
      <c r="HN118">
        <v>2411.6999999999998</v>
      </c>
    </row>
    <row r="119" spans="1:222" ht="18" thickBot="1">
      <c r="A119" s="584"/>
      <c r="B119" s="143"/>
      <c r="C119" s="324"/>
      <c r="D119" s="150"/>
      <c r="E119" s="434">
        <v>259.5</v>
      </c>
      <c r="F119" s="172">
        <v>395.8</v>
      </c>
      <c r="G119" s="427">
        <v>12636.4</v>
      </c>
      <c r="H119" s="155">
        <v>6598.3</v>
      </c>
      <c r="I119">
        <v>10161.799999999999</v>
      </c>
      <c r="J119">
        <v>10965.599999999999</v>
      </c>
      <c r="K119">
        <v>12968.9</v>
      </c>
      <c r="L119" s="4">
        <v>11087</v>
      </c>
      <c r="M119" s="4">
        <v>11103.7</v>
      </c>
      <c r="N119" s="4">
        <v>8801</v>
      </c>
      <c r="P119">
        <v>10209.900000000001</v>
      </c>
      <c r="V119">
        <v>3840.1</v>
      </c>
      <c r="Y119">
        <v>2945.3999999999996</v>
      </c>
      <c r="AD119">
        <v>9047.1</v>
      </c>
      <c r="AJ119">
        <v>3604.8</v>
      </c>
      <c r="AN119">
        <v>1574.9</v>
      </c>
      <c r="AQ119">
        <v>1966.2</v>
      </c>
      <c r="AT119">
        <v>6477</v>
      </c>
      <c r="AZ119">
        <v>0</v>
      </c>
      <c r="BC119">
        <v>0</v>
      </c>
      <c r="BK119">
        <v>11178.8</v>
      </c>
      <c r="BU119">
        <v>0</v>
      </c>
      <c r="CE119">
        <v>3744.5</v>
      </c>
      <c r="CO119">
        <v>2089.9</v>
      </c>
      <c r="CY119">
        <v>1714</v>
      </c>
      <c r="DK119">
        <v>0</v>
      </c>
      <c r="DS119">
        <v>2034.1999999999998</v>
      </c>
      <c r="ED119">
        <v>2467.3000000000002</v>
      </c>
      <c r="EO119">
        <v>0</v>
      </c>
      <c r="EY119">
        <v>2968.5</v>
      </c>
      <c r="FI119">
        <v>5242.5</v>
      </c>
      <c r="FS119">
        <v>6102.7</v>
      </c>
      <c r="GD119">
        <v>5832.1</v>
      </c>
      <c r="GP119">
        <v>7389.4</v>
      </c>
      <c r="HB119">
        <v>3738.5</v>
      </c>
      <c r="HN119">
        <v>2411.6999999999998</v>
      </c>
    </row>
    <row r="120" spans="1:222" ht="18" thickBot="1">
      <c r="A120" s="584"/>
      <c r="B120" s="143"/>
      <c r="C120" s="324"/>
      <c r="D120" s="150"/>
      <c r="E120" s="434">
        <v>259.5</v>
      </c>
      <c r="F120" s="172">
        <v>395.8</v>
      </c>
      <c r="G120" s="427">
        <v>12636.4</v>
      </c>
      <c r="H120" s="155">
        <v>6598.3</v>
      </c>
      <c r="I120">
        <v>10161.799999999999</v>
      </c>
      <c r="J120">
        <v>10965.599999999999</v>
      </c>
      <c r="K120">
        <v>12968.9</v>
      </c>
      <c r="L120" s="4">
        <v>11087</v>
      </c>
      <c r="M120" s="4">
        <v>11103.7</v>
      </c>
      <c r="N120" s="4">
        <v>8801</v>
      </c>
      <c r="P120">
        <v>10209.900000000001</v>
      </c>
      <c r="V120">
        <v>3840.1</v>
      </c>
      <c r="Y120">
        <v>2945.3999999999996</v>
      </c>
      <c r="AD120">
        <v>9047.1</v>
      </c>
      <c r="AJ120">
        <v>3604.8</v>
      </c>
      <c r="AN120">
        <v>1574.9</v>
      </c>
      <c r="AQ120">
        <v>1966.2</v>
      </c>
      <c r="AT120">
        <v>6477</v>
      </c>
      <c r="AZ120">
        <v>0</v>
      </c>
      <c r="BC120">
        <v>0</v>
      </c>
      <c r="BK120">
        <v>11178.8</v>
      </c>
      <c r="BU120">
        <v>0</v>
      </c>
      <c r="CE120">
        <v>3744.5</v>
      </c>
      <c r="CO120">
        <v>2089.9</v>
      </c>
      <c r="CY120">
        <v>1714</v>
      </c>
      <c r="DK120">
        <v>0</v>
      </c>
      <c r="DS120">
        <v>2034.1999999999998</v>
      </c>
      <c r="ED120">
        <v>2467.3000000000002</v>
      </c>
      <c r="EO120">
        <v>0</v>
      </c>
      <c r="EY120">
        <v>2968.5</v>
      </c>
      <c r="FI120">
        <v>5242.5</v>
      </c>
      <c r="FS120">
        <v>6102.7</v>
      </c>
      <c r="GD120">
        <v>5832.1</v>
      </c>
      <c r="GP120">
        <v>7389.4</v>
      </c>
      <c r="HB120">
        <v>3738.5</v>
      </c>
      <c r="HN120">
        <v>2411.6999999999998</v>
      </c>
    </row>
    <row r="121" spans="1:222" ht="18" thickBot="1">
      <c r="A121" s="584"/>
      <c r="B121" s="143"/>
      <c r="C121" s="324"/>
      <c r="D121" s="150"/>
      <c r="E121" s="434">
        <v>259.5</v>
      </c>
      <c r="F121" s="172">
        <v>395.8</v>
      </c>
      <c r="G121" s="427">
        <v>12636.4</v>
      </c>
      <c r="H121" s="155">
        <v>6598.3</v>
      </c>
      <c r="I121">
        <v>10161.799999999999</v>
      </c>
      <c r="J121">
        <v>10965.599999999999</v>
      </c>
      <c r="K121">
        <v>12968.9</v>
      </c>
      <c r="L121" s="4">
        <v>11087</v>
      </c>
      <c r="M121" s="4">
        <v>11103.7</v>
      </c>
      <c r="N121" s="4">
        <v>8801</v>
      </c>
      <c r="P121">
        <v>10209.900000000001</v>
      </c>
      <c r="V121">
        <v>3840.1</v>
      </c>
      <c r="Y121">
        <v>2945.3999999999996</v>
      </c>
      <c r="AD121">
        <v>9047.1</v>
      </c>
      <c r="AJ121">
        <v>3604.8</v>
      </c>
      <c r="AN121">
        <v>1574.9</v>
      </c>
      <c r="AQ121">
        <v>1966.2</v>
      </c>
      <c r="AT121">
        <v>6477</v>
      </c>
      <c r="AZ121">
        <v>0</v>
      </c>
      <c r="BC121">
        <v>0</v>
      </c>
      <c r="BK121">
        <v>11178.8</v>
      </c>
      <c r="BU121">
        <v>0</v>
      </c>
      <c r="CE121">
        <v>3744.5</v>
      </c>
      <c r="CO121">
        <v>2089.9</v>
      </c>
      <c r="CY121">
        <v>1714</v>
      </c>
      <c r="DK121">
        <v>0</v>
      </c>
      <c r="DS121">
        <v>2034.1999999999998</v>
      </c>
      <c r="ED121">
        <v>2467.3000000000002</v>
      </c>
      <c r="EO121">
        <v>0</v>
      </c>
      <c r="EY121">
        <v>2968.5</v>
      </c>
      <c r="FI121">
        <v>5242.5</v>
      </c>
      <c r="FS121">
        <v>6102.7</v>
      </c>
      <c r="GD121">
        <v>5832.1</v>
      </c>
      <c r="GP121">
        <v>7389.4</v>
      </c>
      <c r="HB121">
        <v>3738.5</v>
      </c>
      <c r="HN121">
        <v>2411.6999999999998</v>
      </c>
    </row>
    <row r="122" spans="1:222" ht="18" thickBot="1">
      <c r="A122" s="585"/>
      <c r="B122" s="140"/>
      <c r="C122" s="325"/>
      <c r="D122" s="151"/>
      <c r="E122" s="434">
        <v>259.5</v>
      </c>
      <c r="F122" s="172">
        <v>395.8</v>
      </c>
      <c r="G122" s="427">
        <v>12636.4</v>
      </c>
      <c r="H122" s="155">
        <v>6598.3</v>
      </c>
      <c r="I122">
        <v>10161.799999999999</v>
      </c>
      <c r="J122">
        <v>10965.599999999999</v>
      </c>
      <c r="K122">
        <v>12968.9</v>
      </c>
      <c r="L122" s="4">
        <v>11087</v>
      </c>
      <c r="M122" s="4">
        <v>11103.7</v>
      </c>
      <c r="N122" s="4">
        <v>8801</v>
      </c>
      <c r="P122">
        <v>10209.900000000001</v>
      </c>
      <c r="V122">
        <v>3840.1</v>
      </c>
      <c r="Y122">
        <v>2945.3999999999996</v>
      </c>
      <c r="AD122">
        <v>9047.1</v>
      </c>
      <c r="AJ122">
        <v>3604.8</v>
      </c>
      <c r="AN122">
        <v>1574.9</v>
      </c>
      <c r="AQ122">
        <v>1966.2</v>
      </c>
      <c r="AT122">
        <v>6477</v>
      </c>
      <c r="AZ122">
        <v>0</v>
      </c>
      <c r="BC122">
        <v>0</v>
      </c>
      <c r="BK122">
        <v>11178.8</v>
      </c>
      <c r="BU122">
        <v>0</v>
      </c>
      <c r="CE122">
        <v>3744.5</v>
      </c>
      <c r="CO122">
        <v>2089.9</v>
      </c>
      <c r="CY122">
        <v>1714</v>
      </c>
      <c r="DK122">
        <v>0</v>
      </c>
      <c r="DS122">
        <v>2034.1999999999998</v>
      </c>
      <c r="ED122">
        <v>2467.3000000000002</v>
      </c>
      <c r="EO122">
        <v>0</v>
      </c>
      <c r="EY122">
        <v>2968.5</v>
      </c>
      <c r="FI122">
        <v>5242.5</v>
      </c>
      <c r="FS122">
        <v>6102.7</v>
      </c>
      <c r="GD122">
        <v>5832.1</v>
      </c>
      <c r="GP122">
        <v>7389.4</v>
      </c>
      <c r="HB122">
        <v>3738.5</v>
      </c>
      <c r="HN122">
        <v>2411.6999999999998</v>
      </c>
    </row>
    <row r="123" spans="1:222" ht="18.600000000000001" thickTop="1" thickBot="1">
      <c r="A123" s="583" t="s">
        <v>321</v>
      </c>
      <c r="B123" s="138" t="s">
        <v>439</v>
      </c>
      <c r="C123" s="323"/>
      <c r="D123" s="149"/>
      <c r="E123" s="434">
        <v>259.5</v>
      </c>
      <c r="F123" s="172">
        <v>395.8</v>
      </c>
      <c r="G123" s="427">
        <v>12636.4</v>
      </c>
      <c r="H123" s="155">
        <v>6598.3</v>
      </c>
      <c r="I123">
        <v>10161.799999999999</v>
      </c>
      <c r="J123">
        <v>10965.599999999999</v>
      </c>
      <c r="K123">
        <v>12968.9</v>
      </c>
      <c r="L123" s="4">
        <v>11087</v>
      </c>
      <c r="M123" s="4">
        <v>11103.7</v>
      </c>
      <c r="N123" s="4">
        <v>8801</v>
      </c>
      <c r="P123">
        <v>10209.900000000001</v>
      </c>
      <c r="V123">
        <v>3840.1</v>
      </c>
      <c r="Y123">
        <v>2945.3999999999996</v>
      </c>
      <c r="AD123">
        <v>9047.1</v>
      </c>
      <c r="AJ123">
        <v>3604.8</v>
      </c>
      <c r="AN123">
        <v>1574.9</v>
      </c>
      <c r="AQ123">
        <v>1966.2</v>
      </c>
      <c r="AT123">
        <v>6477</v>
      </c>
      <c r="AZ123">
        <v>0</v>
      </c>
      <c r="BC123">
        <v>0</v>
      </c>
      <c r="BK123">
        <v>11178.8</v>
      </c>
      <c r="BU123">
        <v>0</v>
      </c>
      <c r="CE123">
        <v>3744.5</v>
      </c>
      <c r="CO123">
        <v>2089.9</v>
      </c>
      <c r="CY123">
        <v>1714</v>
      </c>
      <c r="DK123">
        <v>0</v>
      </c>
      <c r="DS123">
        <v>2034.1999999999998</v>
      </c>
      <c r="ED123">
        <v>2467.3000000000002</v>
      </c>
      <c r="EO123">
        <v>0</v>
      </c>
      <c r="EY123">
        <v>2968.5</v>
      </c>
      <c r="FI123">
        <v>5242.5</v>
      </c>
      <c r="FS123">
        <v>6102.7</v>
      </c>
      <c r="GD123">
        <v>5832.1</v>
      </c>
      <c r="GP123">
        <v>7389.4</v>
      </c>
      <c r="HB123">
        <v>3738.5</v>
      </c>
      <c r="HN123">
        <v>2411.6999999999998</v>
      </c>
    </row>
    <row r="124" spans="1:222" ht="18" thickBot="1">
      <c r="A124" s="584"/>
      <c r="B124" s="139" t="s">
        <v>440</v>
      </c>
      <c r="C124" s="324"/>
      <c r="D124" s="150"/>
      <c r="E124" s="434">
        <v>259.5</v>
      </c>
      <c r="F124" s="172">
        <v>395.8</v>
      </c>
      <c r="G124" s="427">
        <v>12636.4</v>
      </c>
      <c r="H124" s="155">
        <v>6598.3</v>
      </c>
      <c r="I124">
        <v>10161.799999999999</v>
      </c>
      <c r="J124">
        <v>10965.599999999999</v>
      </c>
      <c r="K124">
        <v>12968.9</v>
      </c>
      <c r="L124" s="4">
        <v>11087</v>
      </c>
      <c r="M124" s="4">
        <v>11103.7</v>
      </c>
      <c r="N124" s="4">
        <v>8801</v>
      </c>
      <c r="P124">
        <v>10209.900000000001</v>
      </c>
      <c r="V124">
        <v>3840.1</v>
      </c>
      <c r="Y124">
        <v>2945.3999999999996</v>
      </c>
      <c r="AD124">
        <v>9047.1</v>
      </c>
      <c r="AJ124">
        <v>3604.8</v>
      </c>
      <c r="AN124">
        <v>1574.9</v>
      </c>
      <c r="AQ124">
        <v>1966.2</v>
      </c>
      <c r="AT124">
        <v>6477</v>
      </c>
      <c r="AZ124">
        <v>0</v>
      </c>
      <c r="BC124">
        <v>0</v>
      </c>
      <c r="BK124">
        <v>11178.8</v>
      </c>
      <c r="BU124">
        <v>0</v>
      </c>
      <c r="CE124">
        <v>3744.5</v>
      </c>
      <c r="CO124">
        <v>2089.9</v>
      </c>
      <c r="CY124">
        <v>1714</v>
      </c>
      <c r="DK124">
        <v>0</v>
      </c>
      <c r="DS124">
        <v>2034.1999999999998</v>
      </c>
      <c r="ED124">
        <v>2467.3000000000002</v>
      </c>
      <c r="EO124">
        <v>0</v>
      </c>
      <c r="EY124">
        <v>2968.5</v>
      </c>
      <c r="FI124">
        <v>5242.5</v>
      </c>
      <c r="FS124">
        <v>6102.7</v>
      </c>
      <c r="GD124">
        <v>5832.1</v>
      </c>
      <c r="GP124">
        <v>7389.4</v>
      </c>
      <c r="HB124">
        <v>3738.5</v>
      </c>
      <c r="HN124">
        <v>2411.6999999999998</v>
      </c>
    </row>
    <row r="125" spans="1:222" ht="18" thickBot="1">
      <c r="A125" s="584"/>
      <c r="B125" s="139" t="s">
        <v>441</v>
      </c>
      <c r="C125" s="324"/>
      <c r="D125" s="150"/>
      <c r="E125" s="434">
        <v>259.5</v>
      </c>
      <c r="F125" s="172">
        <v>395.8</v>
      </c>
      <c r="G125" s="427">
        <v>12636.4</v>
      </c>
      <c r="H125" s="155">
        <v>6598.3</v>
      </c>
      <c r="I125">
        <v>10161.799999999999</v>
      </c>
      <c r="J125">
        <v>10965.599999999999</v>
      </c>
      <c r="K125">
        <v>12968.9</v>
      </c>
      <c r="L125" s="4">
        <v>11087</v>
      </c>
      <c r="M125" s="4">
        <v>11103.7</v>
      </c>
      <c r="N125" s="4">
        <v>8801</v>
      </c>
      <c r="P125">
        <v>10209.900000000001</v>
      </c>
      <c r="V125">
        <v>3840.1</v>
      </c>
      <c r="Y125">
        <v>2945.3999999999996</v>
      </c>
      <c r="AD125">
        <v>9047.1</v>
      </c>
      <c r="AJ125">
        <v>3604.8</v>
      </c>
      <c r="AN125">
        <v>1574.9</v>
      </c>
      <c r="AQ125">
        <v>1966.2</v>
      </c>
      <c r="AT125">
        <v>6477</v>
      </c>
      <c r="AZ125">
        <v>0</v>
      </c>
      <c r="BC125">
        <v>0</v>
      </c>
      <c r="BK125">
        <v>11178.8</v>
      </c>
      <c r="BU125">
        <v>0</v>
      </c>
      <c r="CE125">
        <v>3744.5</v>
      </c>
      <c r="CO125">
        <v>2089.9</v>
      </c>
      <c r="CY125">
        <v>1714</v>
      </c>
      <c r="DK125">
        <v>0</v>
      </c>
      <c r="DS125">
        <v>2034.1999999999998</v>
      </c>
      <c r="ED125">
        <v>2467.3000000000002</v>
      </c>
      <c r="EO125">
        <v>0</v>
      </c>
      <c r="EY125">
        <v>2968.5</v>
      </c>
      <c r="FI125">
        <v>5242.5</v>
      </c>
      <c r="FS125">
        <v>6102.7</v>
      </c>
      <c r="GD125">
        <v>5832.1</v>
      </c>
      <c r="GP125">
        <v>7389.4</v>
      </c>
      <c r="HB125">
        <v>3738.5</v>
      </c>
      <c r="HN125">
        <v>2411.6999999999998</v>
      </c>
    </row>
    <row r="126" spans="1:222" ht="18" thickBot="1">
      <c r="A126" s="584"/>
      <c r="B126" s="139" t="s">
        <v>442</v>
      </c>
      <c r="C126" s="324"/>
      <c r="D126" s="150"/>
      <c r="E126" s="434">
        <v>259.5</v>
      </c>
      <c r="F126" s="173">
        <v>395.8</v>
      </c>
      <c r="G126" s="427">
        <v>12636.4</v>
      </c>
      <c r="H126" s="155">
        <v>6598.3</v>
      </c>
      <c r="I126">
        <v>10161.799999999999</v>
      </c>
      <c r="J126">
        <v>10965.599999999999</v>
      </c>
      <c r="K126">
        <v>12968.9</v>
      </c>
      <c r="L126" s="4">
        <v>11087</v>
      </c>
      <c r="M126" s="4">
        <v>11103.7</v>
      </c>
      <c r="N126" s="4">
        <v>8801</v>
      </c>
      <c r="P126">
        <v>10209.900000000001</v>
      </c>
      <c r="V126">
        <v>3840.1</v>
      </c>
      <c r="Y126">
        <v>2945.3999999999996</v>
      </c>
      <c r="AD126">
        <v>9047.1</v>
      </c>
      <c r="AJ126">
        <v>3604.8</v>
      </c>
      <c r="AN126">
        <v>1574.9</v>
      </c>
      <c r="AQ126">
        <v>1966.2</v>
      </c>
      <c r="AT126">
        <v>6477</v>
      </c>
      <c r="AZ126">
        <v>0</v>
      </c>
      <c r="BC126">
        <v>0</v>
      </c>
      <c r="BK126">
        <v>11178.8</v>
      </c>
      <c r="BU126">
        <v>0</v>
      </c>
      <c r="CE126">
        <v>3744.5</v>
      </c>
      <c r="CO126">
        <v>2089.9</v>
      </c>
      <c r="CY126">
        <v>1714</v>
      </c>
      <c r="DK126">
        <v>0</v>
      </c>
      <c r="DS126">
        <v>2034.1999999999998</v>
      </c>
      <c r="ED126">
        <v>2467.3000000000002</v>
      </c>
      <c r="EO126">
        <v>0</v>
      </c>
      <c r="EY126">
        <v>2968.5</v>
      </c>
      <c r="FI126">
        <v>5242.5</v>
      </c>
      <c r="FS126">
        <v>6102.7</v>
      </c>
      <c r="GD126">
        <v>5832.1</v>
      </c>
      <c r="GP126">
        <v>7389.4</v>
      </c>
      <c r="HB126">
        <v>3738.5</v>
      </c>
      <c r="HN126">
        <v>2411.6999999999998</v>
      </c>
    </row>
    <row r="127" spans="1:222" ht="18.600000000000001" thickTop="1" thickBot="1">
      <c r="A127" s="584"/>
      <c r="B127" s="139" t="s">
        <v>443</v>
      </c>
      <c r="C127" s="324"/>
      <c r="D127" s="150"/>
      <c r="E127" s="433">
        <v>259.5</v>
      </c>
      <c r="F127" s="171">
        <v>395.8</v>
      </c>
      <c r="G127" s="427">
        <v>12636.4</v>
      </c>
      <c r="H127" s="155">
        <v>6598.3</v>
      </c>
      <c r="I127">
        <v>10161.799999999999</v>
      </c>
      <c r="J127">
        <v>10965.599999999999</v>
      </c>
      <c r="K127">
        <v>12968.9</v>
      </c>
      <c r="L127" s="4">
        <v>11087</v>
      </c>
      <c r="M127" s="4">
        <v>11103.7</v>
      </c>
      <c r="N127" s="4">
        <v>8801</v>
      </c>
      <c r="P127">
        <v>10209.900000000001</v>
      </c>
      <c r="V127">
        <v>3840.1</v>
      </c>
      <c r="Y127">
        <v>2945.3999999999996</v>
      </c>
      <c r="AD127">
        <v>9047.1</v>
      </c>
      <c r="AJ127">
        <v>3604.8</v>
      </c>
      <c r="AN127">
        <v>1574.9</v>
      </c>
      <c r="AQ127">
        <v>1966.2</v>
      </c>
      <c r="AT127">
        <v>6477</v>
      </c>
      <c r="AZ127">
        <v>0</v>
      </c>
      <c r="BC127">
        <v>0</v>
      </c>
      <c r="BK127">
        <v>11178.8</v>
      </c>
      <c r="BU127">
        <v>0</v>
      </c>
      <c r="CE127">
        <v>3744.5</v>
      </c>
      <c r="CO127">
        <v>2089.9</v>
      </c>
      <c r="CY127">
        <v>1714</v>
      </c>
      <c r="DK127">
        <v>0</v>
      </c>
      <c r="DS127">
        <v>2034.1999999999998</v>
      </c>
      <c r="ED127">
        <v>2467.3000000000002</v>
      </c>
      <c r="EO127">
        <v>0</v>
      </c>
      <c r="EY127">
        <v>2968.5</v>
      </c>
      <c r="FI127">
        <v>5242.5</v>
      </c>
      <c r="FS127">
        <v>6102.7</v>
      </c>
      <c r="GD127">
        <v>5832.1</v>
      </c>
      <c r="GP127">
        <v>7389.4</v>
      </c>
      <c r="HB127">
        <v>3738.5</v>
      </c>
      <c r="HN127">
        <v>2411.6999999999998</v>
      </c>
    </row>
    <row r="128" spans="1:222" ht="18" thickBot="1">
      <c r="A128" s="584"/>
      <c r="B128" s="139" t="s">
        <v>444</v>
      </c>
      <c r="C128" s="324"/>
      <c r="D128" s="150" t="s">
        <v>780</v>
      </c>
      <c r="E128" s="434">
        <v>259.5</v>
      </c>
      <c r="F128" s="172">
        <v>395.8</v>
      </c>
      <c r="G128" s="427">
        <v>12636.4</v>
      </c>
      <c r="H128" s="155">
        <v>6598.3</v>
      </c>
      <c r="I128">
        <v>10161.799999999999</v>
      </c>
      <c r="J128">
        <v>10965.599999999999</v>
      </c>
      <c r="K128">
        <v>12968.9</v>
      </c>
      <c r="L128" s="4">
        <v>11087</v>
      </c>
      <c r="M128" s="4">
        <v>11103.7</v>
      </c>
      <c r="N128" s="4">
        <v>8801</v>
      </c>
      <c r="P128">
        <v>10209.900000000001</v>
      </c>
      <c r="V128">
        <v>3840.1</v>
      </c>
      <c r="Y128">
        <v>2945.3999999999996</v>
      </c>
      <c r="AD128">
        <v>9047.1</v>
      </c>
      <c r="AJ128">
        <v>3604.8</v>
      </c>
      <c r="AN128">
        <v>1574.9</v>
      </c>
      <c r="AQ128">
        <v>1966.2</v>
      </c>
      <c r="AT128">
        <v>6477</v>
      </c>
      <c r="AZ128">
        <v>0</v>
      </c>
      <c r="BC128">
        <v>0</v>
      </c>
      <c r="BK128">
        <v>11178.8</v>
      </c>
      <c r="BU128">
        <v>0</v>
      </c>
      <c r="CE128">
        <v>3744.5</v>
      </c>
      <c r="CO128">
        <v>2089.9</v>
      </c>
      <c r="CY128">
        <v>1714</v>
      </c>
      <c r="DK128">
        <v>0</v>
      </c>
      <c r="DS128">
        <v>2034.1999999999998</v>
      </c>
      <c r="ED128">
        <v>2467.3000000000002</v>
      </c>
      <c r="EO128">
        <v>0</v>
      </c>
      <c r="EY128">
        <v>2968.5</v>
      </c>
      <c r="FI128">
        <v>5242.5</v>
      </c>
      <c r="FS128">
        <v>6102.7</v>
      </c>
      <c r="GD128">
        <v>5832.1</v>
      </c>
      <c r="GP128">
        <v>7389.4</v>
      </c>
      <c r="HB128">
        <v>3738.5</v>
      </c>
      <c r="HN128">
        <v>2411.6999999999998</v>
      </c>
    </row>
    <row r="129" spans="1:222" ht="18" thickBot="1">
      <c r="A129" s="584"/>
      <c r="B129" s="139" t="s">
        <v>445</v>
      </c>
      <c r="C129" s="324"/>
      <c r="D129" s="150"/>
      <c r="E129" s="434">
        <v>259.5</v>
      </c>
      <c r="F129" s="172">
        <v>395.8</v>
      </c>
      <c r="G129" s="427">
        <v>12636.4</v>
      </c>
      <c r="H129" s="155">
        <v>6598.3</v>
      </c>
      <c r="I129">
        <v>10161.799999999999</v>
      </c>
      <c r="J129">
        <v>10965.599999999999</v>
      </c>
      <c r="K129">
        <v>12968.9</v>
      </c>
      <c r="L129" s="4">
        <v>11087</v>
      </c>
      <c r="M129" s="4">
        <v>11103.7</v>
      </c>
      <c r="N129" s="4">
        <v>8801</v>
      </c>
      <c r="P129">
        <v>10209.900000000001</v>
      </c>
      <c r="V129">
        <v>3840.1</v>
      </c>
      <c r="Y129">
        <v>2945.3999999999996</v>
      </c>
      <c r="AD129">
        <v>9047.1</v>
      </c>
      <c r="AJ129">
        <v>3604.8</v>
      </c>
      <c r="AN129">
        <v>1574.9</v>
      </c>
      <c r="AQ129">
        <v>1966.2</v>
      </c>
      <c r="AT129">
        <v>6477</v>
      </c>
      <c r="AZ129">
        <v>0</v>
      </c>
      <c r="BC129">
        <v>0</v>
      </c>
      <c r="BK129">
        <v>11178.8</v>
      </c>
      <c r="BU129">
        <v>0</v>
      </c>
      <c r="CE129">
        <v>3744.5</v>
      </c>
      <c r="CO129">
        <v>2089.9</v>
      </c>
      <c r="CY129">
        <v>1714</v>
      </c>
      <c r="DK129">
        <v>0</v>
      </c>
      <c r="DS129">
        <v>2034.1999999999998</v>
      </c>
      <c r="ED129">
        <v>2467.3000000000002</v>
      </c>
      <c r="EO129">
        <v>0</v>
      </c>
      <c r="EY129">
        <v>2968.5</v>
      </c>
      <c r="FI129">
        <v>5242.5</v>
      </c>
      <c r="FS129">
        <v>6102.7</v>
      </c>
      <c r="GD129">
        <v>5832.1</v>
      </c>
      <c r="GP129">
        <v>7389.4</v>
      </c>
      <c r="HB129">
        <v>3738.5</v>
      </c>
      <c r="HN129">
        <v>2411.6999999999998</v>
      </c>
    </row>
    <row r="130" spans="1:222" ht="18" thickBot="1">
      <c r="A130" s="584"/>
      <c r="B130" s="139" t="s">
        <v>446</v>
      </c>
      <c r="C130" s="324"/>
      <c r="D130" s="150" t="s">
        <v>780</v>
      </c>
      <c r="E130" s="434">
        <v>259.5</v>
      </c>
      <c r="F130" s="172">
        <v>395.8</v>
      </c>
      <c r="G130" s="427">
        <v>12636.4</v>
      </c>
      <c r="H130" s="155">
        <v>6598.3</v>
      </c>
      <c r="I130">
        <v>10161.799999999999</v>
      </c>
      <c r="J130">
        <v>10965.599999999999</v>
      </c>
      <c r="K130">
        <v>12968.9</v>
      </c>
      <c r="L130" s="4">
        <v>11087</v>
      </c>
      <c r="M130" s="4">
        <v>11103.7</v>
      </c>
      <c r="N130" s="4">
        <v>8801</v>
      </c>
      <c r="P130">
        <v>10209.900000000001</v>
      </c>
      <c r="V130">
        <v>3840.1</v>
      </c>
      <c r="Y130">
        <v>2945.3999999999996</v>
      </c>
      <c r="AD130">
        <v>9047.1</v>
      </c>
      <c r="AJ130">
        <v>3604.8</v>
      </c>
      <c r="AN130">
        <v>1574.9</v>
      </c>
      <c r="AQ130">
        <v>1966.2</v>
      </c>
      <c r="AT130">
        <v>6477</v>
      </c>
      <c r="AZ130">
        <v>0</v>
      </c>
      <c r="BC130">
        <v>0</v>
      </c>
      <c r="BK130">
        <v>11178.8</v>
      </c>
      <c r="BU130">
        <v>0</v>
      </c>
      <c r="CE130">
        <v>3744.5</v>
      </c>
      <c r="CO130">
        <v>2089.9</v>
      </c>
      <c r="CY130">
        <v>1714</v>
      </c>
      <c r="DK130">
        <v>0</v>
      </c>
      <c r="DS130">
        <v>2034.1999999999998</v>
      </c>
      <c r="ED130">
        <v>2467.3000000000002</v>
      </c>
      <c r="EO130">
        <v>0</v>
      </c>
      <c r="EY130">
        <v>2968.5</v>
      </c>
      <c r="FI130">
        <v>5242.5</v>
      </c>
      <c r="FS130">
        <v>6102.7</v>
      </c>
      <c r="GD130">
        <v>5832.1</v>
      </c>
      <c r="GP130">
        <v>7389.4</v>
      </c>
      <c r="HB130">
        <v>3738.5</v>
      </c>
      <c r="HN130">
        <v>2411.6999999999998</v>
      </c>
    </row>
    <row r="131" spans="1:222" ht="18" thickBot="1">
      <c r="A131" s="584"/>
      <c r="B131" s="139" t="s">
        <v>447</v>
      </c>
      <c r="C131" s="324"/>
      <c r="D131" s="150" t="s">
        <v>780</v>
      </c>
      <c r="E131" s="434">
        <v>259.5</v>
      </c>
      <c r="F131" s="174">
        <v>395.8</v>
      </c>
      <c r="G131" s="427">
        <v>12636.4</v>
      </c>
      <c r="H131" s="155">
        <v>6598.3</v>
      </c>
      <c r="I131">
        <v>10161.799999999999</v>
      </c>
      <c r="J131">
        <v>10965.599999999999</v>
      </c>
      <c r="K131">
        <v>12968.9</v>
      </c>
      <c r="L131" s="4">
        <v>11087</v>
      </c>
      <c r="M131" s="4">
        <v>11103.7</v>
      </c>
      <c r="N131" s="4">
        <v>8801</v>
      </c>
      <c r="P131">
        <v>10209.900000000001</v>
      </c>
      <c r="V131">
        <v>3840.1</v>
      </c>
      <c r="Y131">
        <v>2945.3999999999996</v>
      </c>
      <c r="AD131">
        <v>9047.1</v>
      </c>
      <c r="AJ131">
        <v>3604.8</v>
      </c>
      <c r="AN131">
        <v>1574.9</v>
      </c>
      <c r="AQ131">
        <v>1966.2</v>
      </c>
      <c r="AT131">
        <v>6477</v>
      </c>
      <c r="AZ131">
        <v>0</v>
      </c>
      <c r="BC131">
        <v>0</v>
      </c>
      <c r="BK131">
        <v>11178.8</v>
      </c>
      <c r="BU131">
        <v>0</v>
      </c>
      <c r="CE131">
        <v>3744.5</v>
      </c>
      <c r="CO131">
        <v>2089.9</v>
      </c>
      <c r="CY131">
        <v>1714</v>
      </c>
      <c r="DK131">
        <v>0</v>
      </c>
      <c r="DS131">
        <v>2034.1999999999998</v>
      </c>
      <c r="ED131">
        <v>2467.3000000000002</v>
      </c>
      <c r="EO131">
        <v>0</v>
      </c>
      <c r="EY131">
        <v>2968.5</v>
      </c>
      <c r="FI131">
        <v>5242.5</v>
      </c>
      <c r="FS131">
        <v>6102.7</v>
      </c>
      <c r="GD131">
        <v>5832.1</v>
      </c>
      <c r="GP131">
        <v>7389.4</v>
      </c>
      <c r="HB131">
        <v>3738.5</v>
      </c>
      <c r="HN131">
        <v>2411.6999999999998</v>
      </c>
    </row>
    <row r="132" spans="1:222" ht="28.8" customHeight="1" thickBot="1">
      <c r="A132" s="584"/>
      <c r="B132" s="139" t="s">
        <v>448</v>
      </c>
      <c r="C132" s="324"/>
      <c r="D132" s="150"/>
      <c r="E132" s="434">
        <v>259.5</v>
      </c>
      <c r="F132" s="174">
        <v>395.8</v>
      </c>
      <c r="G132" s="427">
        <v>12636.4</v>
      </c>
      <c r="H132" s="155">
        <v>6598.3</v>
      </c>
      <c r="I132">
        <v>10161.799999999999</v>
      </c>
      <c r="J132">
        <v>10965.599999999999</v>
      </c>
      <c r="K132">
        <v>12968.9</v>
      </c>
      <c r="L132" s="4">
        <v>11087</v>
      </c>
      <c r="M132" s="4">
        <v>11103.7</v>
      </c>
      <c r="N132" s="4">
        <v>8801</v>
      </c>
      <c r="P132">
        <v>10209.900000000001</v>
      </c>
      <c r="V132">
        <v>3840.1</v>
      </c>
      <c r="Y132">
        <v>2945.3999999999996</v>
      </c>
      <c r="AD132">
        <v>9047.1</v>
      </c>
      <c r="AJ132">
        <v>3604.8</v>
      </c>
      <c r="AN132">
        <v>1574.9</v>
      </c>
      <c r="AQ132">
        <v>1966.2</v>
      </c>
      <c r="AT132">
        <v>6477</v>
      </c>
      <c r="AZ132">
        <v>0</v>
      </c>
      <c r="BC132">
        <v>0</v>
      </c>
      <c r="BK132">
        <v>11178.8</v>
      </c>
      <c r="BU132">
        <v>0</v>
      </c>
      <c r="CE132">
        <v>3744.5</v>
      </c>
      <c r="CO132">
        <v>2089.9</v>
      </c>
      <c r="CY132">
        <v>1714</v>
      </c>
      <c r="DK132">
        <v>0</v>
      </c>
      <c r="DS132">
        <v>2034.1999999999998</v>
      </c>
      <c r="ED132">
        <v>2467.3000000000002</v>
      </c>
      <c r="EO132">
        <v>0</v>
      </c>
      <c r="EY132">
        <v>2968.5</v>
      </c>
      <c r="FI132">
        <v>5242.5</v>
      </c>
      <c r="FS132">
        <v>6102.7</v>
      </c>
      <c r="GD132">
        <v>5832.1</v>
      </c>
      <c r="GP132">
        <v>7389.4</v>
      </c>
      <c r="HB132">
        <v>3738.5</v>
      </c>
      <c r="HN132">
        <v>2411.6999999999998</v>
      </c>
    </row>
    <row r="133" spans="1:222" ht="28.8" customHeight="1" thickBot="1">
      <c r="A133" s="585"/>
      <c r="B133" s="140" t="s">
        <v>449</v>
      </c>
      <c r="C133" s="325"/>
      <c r="D133" s="151"/>
      <c r="E133" s="434">
        <v>259.5</v>
      </c>
      <c r="F133" s="174">
        <v>395.8</v>
      </c>
      <c r="G133" s="427">
        <v>12636.4</v>
      </c>
      <c r="H133" s="155">
        <v>6598.3</v>
      </c>
      <c r="I133">
        <v>10161.799999999999</v>
      </c>
      <c r="J133">
        <v>10965.599999999999</v>
      </c>
      <c r="K133">
        <v>12968.9</v>
      </c>
      <c r="L133" s="4">
        <v>11087</v>
      </c>
      <c r="M133" s="4">
        <v>11103.7</v>
      </c>
      <c r="N133" s="4">
        <v>8801</v>
      </c>
      <c r="P133">
        <v>10209.900000000001</v>
      </c>
      <c r="V133">
        <v>3840.1</v>
      </c>
      <c r="Y133">
        <v>2945.3999999999996</v>
      </c>
      <c r="AD133">
        <v>9047.1</v>
      </c>
      <c r="AJ133">
        <v>3604.8</v>
      </c>
      <c r="AN133">
        <v>1574.9</v>
      </c>
      <c r="AQ133">
        <v>1966.2</v>
      </c>
      <c r="AT133">
        <v>6477</v>
      </c>
      <c r="AZ133">
        <v>0</v>
      </c>
      <c r="BC133">
        <v>0</v>
      </c>
      <c r="BK133">
        <v>11178.8</v>
      </c>
      <c r="BU133">
        <v>0</v>
      </c>
      <c r="CE133">
        <v>3744.5</v>
      </c>
      <c r="CO133">
        <v>2089.9</v>
      </c>
      <c r="CY133">
        <v>1714</v>
      </c>
      <c r="DK133">
        <v>0</v>
      </c>
      <c r="DS133">
        <v>2034.1999999999998</v>
      </c>
      <c r="ED133">
        <v>2467.3000000000002</v>
      </c>
      <c r="EO133">
        <v>0</v>
      </c>
      <c r="EY133">
        <v>2968.5</v>
      </c>
      <c r="FI133">
        <v>5242.5</v>
      </c>
      <c r="FS133">
        <v>6102.7</v>
      </c>
      <c r="GD133">
        <v>5832.1</v>
      </c>
      <c r="GP133">
        <v>7389.4</v>
      </c>
      <c r="HB133">
        <v>3738.5</v>
      </c>
      <c r="HN133">
        <v>2411.6999999999998</v>
      </c>
    </row>
    <row r="134" spans="1:222" ht="18.600000000000001" thickTop="1" thickBot="1">
      <c r="A134" s="583" t="s">
        <v>320</v>
      </c>
      <c r="B134" s="138" t="s">
        <v>428</v>
      </c>
      <c r="C134" s="323"/>
      <c r="D134" s="149" t="s">
        <v>781</v>
      </c>
      <c r="E134" s="434">
        <v>259.5</v>
      </c>
      <c r="F134" s="175">
        <v>395.8</v>
      </c>
      <c r="G134" s="427">
        <v>12636.4</v>
      </c>
      <c r="H134" s="155">
        <v>6598.3</v>
      </c>
      <c r="I134">
        <v>10161.799999999999</v>
      </c>
      <c r="J134">
        <v>10965.599999999999</v>
      </c>
      <c r="K134">
        <v>12968.9</v>
      </c>
      <c r="L134" s="4">
        <v>11087</v>
      </c>
      <c r="M134" s="4">
        <v>11103.7</v>
      </c>
      <c r="N134" s="4">
        <v>8801</v>
      </c>
      <c r="P134">
        <v>10209.900000000001</v>
      </c>
      <c r="V134">
        <v>3840.1</v>
      </c>
      <c r="Y134">
        <v>2945.3999999999996</v>
      </c>
      <c r="AD134">
        <v>9047.1</v>
      </c>
      <c r="AJ134">
        <v>3604.8</v>
      </c>
      <c r="AN134">
        <v>1574.9</v>
      </c>
      <c r="AQ134">
        <v>1966.2</v>
      </c>
      <c r="AT134">
        <v>6477</v>
      </c>
      <c r="AZ134">
        <v>0</v>
      </c>
      <c r="BC134">
        <v>0</v>
      </c>
      <c r="BK134">
        <v>11178.8</v>
      </c>
      <c r="BU134">
        <v>0</v>
      </c>
      <c r="CE134">
        <v>3744.5</v>
      </c>
      <c r="CO134">
        <v>2089.9</v>
      </c>
      <c r="CY134">
        <v>1714</v>
      </c>
      <c r="DK134">
        <v>0</v>
      </c>
      <c r="DS134">
        <v>2034.1999999999998</v>
      </c>
      <c r="ED134">
        <v>2467.3000000000002</v>
      </c>
      <c r="EO134">
        <v>0</v>
      </c>
      <c r="EY134">
        <v>2968.5</v>
      </c>
      <c r="FI134">
        <v>5242.5</v>
      </c>
      <c r="FS134">
        <v>6102.7</v>
      </c>
      <c r="GD134">
        <v>5832.1</v>
      </c>
      <c r="GP134">
        <v>7389.4</v>
      </c>
      <c r="HB134">
        <v>3738.5</v>
      </c>
      <c r="HN134">
        <v>2411.6999999999998</v>
      </c>
    </row>
    <row r="135" spans="1:222" ht="18.600000000000001" thickTop="1" thickBot="1">
      <c r="A135" s="584"/>
      <c r="B135" s="139" t="s">
        <v>429</v>
      </c>
      <c r="C135" s="324"/>
      <c r="D135" s="150"/>
      <c r="E135" s="433">
        <v>259.5</v>
      </c>
      <c r="F135" s="180">
        <v>395.8</v>
      </c>
      <c r="G135" s="427">
        <v>12636.4</v>
      </c>
      <c r="H135" s="155">
        <v>6598.3</v>
      </c>
      <c r="I135">
        <v>10161.799999999999</v>
      </c>
      <c r="J135">
        <v>10965.599999999999</v>
      </c>
      <c r="K135">
        <v>12968.9</v>
      </c>
      <c r="L135" s="4">
        <v>11087</v>
      </c>
      <c r="M135" s="4">
        <v>11103.7</v>
      </c>
      <c r="N135" s="4">
        <v>8801</v>
      </c>
      <c r="P135">
        <v>10209.900000000001</v>
      </c>
      <c r="V135">
        <v>3840.1</v>
      </c>
      <c r="Y135">
        <v>2945.3999999999996</v>
      </c>
      <c r="AD135">
        <v>9047.1</v>
      </c>
      <c r="AJ135">
        <v>3604.8</v>
      </c>
      <c r="AN135">
        <v>1574.9</v>
      </c>
      <c r="AQ135">
        <v>1966.2</v>
      </c>
      <c r="AT135">
        <v>6477</v>
      </c>
      <c r="AZ135">
        <v>0</v>
      </c>
      <c r="BC135">
        <v>0</v>
      </c>
      <c r="BK135">
        <v>11178.8</v>
      </c>
      <c r="BU135">
        <v>0</v>
      </c>
      <c r="CE135">
        <v>3744.5</v>
      </c>
      <c r="CO135">
        <v>2089.9</v>
      </c>
      <c r="CY135">
        <v>1714</v>
      </c>
      <c r="DK135">
        <v>0</v>
      </c>
      <c r="DS135">
        <v>2034.1999999999998</v>
      </c>
      <c r="ED135">
        <v>2467.3000000000002</v>
      </c>
      <c r="EO135">
        <v>0</v>
      </c>
      <c r="EY135">
        <v>2968.5</v>
      </c>
      <c r="FI135">
        <v>5242.5</v>
      </c>
      <c r="FS135">
        <v>6102.7</v>
      </c>
      <c r="GD135">
        <v>5832.1</v>
      </c>
      <c r="GP135">
        <v>7389.4</v>
      </c>
      <c r="HB135">
        <v>3738.5</v>
      </c>
      <c r="HN135">
        <v>2411.6999999999998</v>
      </c>
    </row>
    <row r="136" spans="1:222" ht="22.2" thickBot="1">
      <c r="A136" s="584"/>
      <c r="B136" s="139" t="s">
        <v>430</v>
      </c>
      <c r="C136" s="324"/>
      <c r="D136" s="150" t="s">
        <v>788</v>
      </c>
      <c r="E136" s="434">
        <v>259.5</v>
      </c>
      <c r="F136" s="174">
        <v>395.8</v>
      </c>
      <c r="G136" s="427">
        <v>12636.4</v>
      </c>
      <c r="H136" s="155">
        <v>6598.3</v>
      </c>
      <c r="I136">
        <v>10161.799999999999</v>
      </c>
      <c r="J136">
        <v>10965.599999999999</v>
      </c>
      <c r="K136">
        <v>12968.9</v>
      </c>
      <c r="L136" s="4">
        <v>11087</v>
      </c>
      <c r="M136" s="4">
        <v>11103.7</v>
      </c>
      <c r="N136" s="4">
        <v>8801</v>
      </c>
      <c r="P136">
        <v>10209.900000000001</v>
      </c>
      <c r="V136">
        <v>3840.1</v>
      </c>
      <c r="Y136">
        <v>2945.3999999999996</v>
      </c>
      <c r="AD136">
        <v>9047.1</v>
      </c>
      <c r="AJ136">
        <v>3604.8</v>
      </c>
      <c r="AN136">
        <v>1574.9</v>
      </c>
      <c r="AQ136">
        <v>1966.2</v>
      </c>
      <c r="AT136">
        <v>6477</v>
      </c>
      <c r="AZ136">
        <v>0</v>
      </c>
      <c r="BC136">
        <v>0</v>
      </c>
      <c r="BK136">
        <v>11178.8</v>
      </c>
      <c r="BU136">
        <v>0</v>
      </c>
      <c r="CE136">
        <v>3744.5</v>
      </c>
      <c r="CO136">
        <v>2089.9</v>
      </c>
      <c r="CY136">
        <v>1714</v>
      </c>
      <c r="DK136">
        <v>0</v>
      </c>
      <c r="DS136">
        <v>2034.1999999999998</v>
      </c>
      <c r="ED136">
        <v>2467.3000000000002</v>
      </c>
      <c r="EO136">
        <v>0</v>
      </c>
      <c r="EY136">
        <v>2968.5</v>
      </c>
      <c r="FI136">
        <v>5242.5</v>
      </c>
      <c r="FS136">
        <v>6102.7</v>
      </c>
      <c r="GD136">
        <v>5832.1</v>
      </c>
      <c r="GP136">
        <v>7389.4</v>
      </c>
      <c r="HB136">
        <v>3738.5</v>
      </c>
      <c r="HN136">
        <v>2411.6999999999998</v>
      </c>
    </row>
    <row r="137" spans="1:222" ht="22.2" thickBot="1">
      <c r="A137" s="584"/>
      <c r="B137" s="139" t="s">
        <v>431</v>
      </c>
      <c r="C137" s="324"/>
      <c r="D137" s="150" t="s">
        <v>788</v>
      </c>
      <c r="E137" s="434">
        <v>259.5</v>
      </c>
      <c r="F137" s="176">
        <v>395.8</v>
      </c>
      <c r="G137" s="427">
        <v>12636.4</v>
      </c>
      <c r="H137" s="155">
        <v>6598.3</v>
      </c>
      <c r="I137">
        <v>10161.799999999999</v>
      </c>
      <c r="J137">
        <v>10965.599999999999</v>
      </c>
      <c r="K137">
        <v>12968.9</v>
      </c>
      <c r="L137" s="4">
        <v>11087</v>
      </c>
      <c r="M137" s="4">
        <v>11103.7</v>
      </c>
      <c r="N137" s="4">
        <v>8801</v>
      </c>
      <c r="P137">
        <v>10209.900000000001</v>
      </c>
      <c r="V137">
        <v>3840.1</v>
      </c>
      <c r="Y137">
        <v>2945.3999999999996</v>
      </c>
      <c r="AD137">
        <v>9047.1</v>
      </c>
      <c r="AJ137">
        <v>3604.8</v>
      </c>
      <c r="AN137">
        <v>1574.9</v>
      </c>
      <c r="AQ137">
        <v>1966.2</v>
      </c>
      <c r="AT137">
        <v>6477</v>
      </c>
      <c r="AZ137">
        <v>0</v>
      </c>
      <c r="BC137">
        <v>0</v>
      </c>
      <c r="BK137">
        <v>11178.8</v>
      </c>
      <c r="BU137">
        <v>0</v>
      </c>
      <c r="CE137">
        <v>3744.5</v>
      </c>
      <c r="CO137">
        <v>2089.9</v>
      </c>
      <c r="CY137">
        <v>1714</v>
      </c>
      <c r="DK137">
        <v>0</v>
      </c>
      <c r="DS137">
        <v>2034.1999999999998</v>
      </c>
      <c r="ED137">
        <v>2467.3000000000002</v>
      </c>
      <c r="EO137">
        <v>0</v>
      </c>
      <c r="EY137">
        <v>2968.5</v>
      </c>
      <c r="FI137">
        <v>5242.5</v>
      </c>
      <c r="FS137">
        <v>6102.7</v>
      </c>
      <c r="GD137">
        <v>5832.1</v>
      </c>
      <c r="GP137">
        <v>7389.4</v>
      </c>
      <c r="HB137">
        <v>3738.5</v>
      </c>
      <c r="HN137">
        <v>2411.6999999999998</v>
      </c>
    </row>
    <row r="138" spans="1:222" ht="18" thickBot="1">
      <c r="A138" s="584"/>
      <c r="B138" s="139" t="s">
        <v>432</v>
      </c>
      <c r="C138" s="324"/>
      <c r="D138" s="150"/>
      <c r="E138" s="434">
        <v>259.5</v>
      </c>
      <c r="F138" s="176">
        <v>395.8</v>
      </c>
      <c r="G138" s="427">
        <v>12636.4</v>
      </c>
      <c r="H138" s="155">
        <v>6598.3</v>
      </c>
      <c r="I138">
        <v>10161.799999999999</v>
      </c>
      <c r="J138">
        <v>10965.599999999999</v>
      </c>
      <c r="K138">
        <v>12968.9</v>
      </c>
      <c r="L138" s="4">
        <v>11087</v>
      </c>
      <c r="M138" s="4">
        <v>11103.7</v>
      </c>
      <c r="N138" s="4">
        <v>8801</v>
      </c>
      <c r="P138">
        <v>10209.900000000001</v>
      </c>
      <c r="V138">
        <v>3840.1</v>
      </c>
      <c r="Y138">
        <v>2945.3999999999996</v>
      </c>
      <c r="AD138">
        <v>9047.1</v>
      </c>
      <c r="AJ138">
        <v>3604.8</v>
      </c>
      <c r="AN138">
        <v>1574.9</v>
      </c>
      <c r="AQ138">
        <v>1966.2</v>
      </c>
      <c r="AT138">
        <v>6477</v>
      </c>
      <c r="AZ138">
        <v>0</v>
      </c>
      <c r="BC138">
        <v>0</v>
      </c>
      <c r="BK138">
        <v>11178.8</v>
      </c>
      <c r="BU138">
        <v>0</v>
      </c>
      <c r="CE138">
        <v>3744.5</v>
      </c>
      <c r="CO138">
        <v>2089.9</v>
      </c>
      <c r="CY138">
        <v>1714</v>
      </c>
      <c r="DK138">
        <v>0</v>
      </c>
      <c r="DS138">
        <v>2034.1999999999998</v>
      </c>
      <c r="ED138">
        <v>2467.3000000000002</v>
      </c>
      <c r="EO138">
        <v>0</v>
      </c>
      <c r="EY138">
        <v>2968.5</v>
      </c>
      <c r="FI138">
        <v>5242.5</v>
      </c>
      <c r="FS138">
        <v>6102.7</v>
      </c>
      <c r="GD138">
        <v>5832.1</v>
      </c>
      <c r="GP138">
        <v>7389.4</v>
      </c>
      <c r="HB138">
        <v>3738.5</v>
      </c>
      <c r="HN138">
        <v>2411.6999999999998</v>
      </c>
    </row>
    <row r="139" spans="1:222" ht="22.2" thickBot="1">
      <c r="A139" s="584"/>
      <c r="B139" s="139" t="s">
        <v>433</v>
      </c>
      <c r="C139" s="324"/>
      <c r="D139" s="150" t="s">
        <v>788</v>
      </c>
      <c r="E139" s="434">
        <v>259.5</v>
      </c>
      <c r="F139" s="167">
        <v>395.8</v>
      </c>
      <c r="G139" s="427">
        <v>12636.4</v>
      </c>
      <c r="H139" s="155">
        <v>6598.3</v>
      </c>
      <c r="I139">
        <v>10161.799999999999</v>
      </c>
      <c r="J139">
        <v>10965.599999999999</v>
      </c>
      <c r="K139">
        <v>12968.9</v>
      </c>
      <c r="L139" s="4">
        <v>11087</v>
      </c>
      <c r="M139" s="4">
        <v>11103.7</v>
      </c>
      <c r="N139" s="4">
        <v>8801</v>
      </c>
      <c r="P139">
        <v>10209.900000000001</v>
      </c>
      <c r="V139">
        <v>3840.1</v>
      </c>
      <c r="Y139">
        <v>2945.3999999999996</v>
      </c>
      <c r="AD139">
        <v>9047.1</v>
      </c>
      <c r="AJ139">
        <v>3604.8</v>
      </c>
      <c r="AN139">
        <v>1574.9</v>
      </c>
      <c r="AQ139">
        <v>1966.2</v>
      </c>
      <c r="AT139">
        <v>6477</v>
      </c>
      <c r="AZ139">
        <v>0</v>
      </c>
      <c r="BC139">
        <v>0</v>
      </c>
      <c r="BK139">
        <v>11178.8</v>
      </c>
      <c r="BU139">
        <v>0</v>
      </c>
      <c r="CE139">
        <v>3744.5</v>
      </c>
      <c r="CO139">
        <v>2089.9</v>
      </c>
      <c r="CY139">
        <v>1714</v>
      </c>
      <c r="DK139">
        <v>0</v>
      </c>
      <c r="DS139">
        <v>2034.1999999999998</v>
      </c>
      <c r="ED139">
        <v>2467.3000000000002</v>
      </c>
      <c r="EO139">
        <v>0</v>
      </c>
      <c r="EY139">
        <v>2968.5</v>
      </c>
      <c r="FI139">
        <v>5242.5</v>
      </c>
      <c r="FS139">
        <v>6102.7</v>
      </c>
      <c r="GD139">
        <v>5832.1</v>
      </c>
      <c r="GP139">
        <v>7389.4</v>
      </c>
      <c r="HB139">
        <v>3738.5</v>
      </c>
      <c r="HN139">
        <v>2411.6999999999998</v>
      </c>
    </row>
    <row r="140" spans="1:222" ht="18" thickBot="1">
      <c r="A140" s="584"/>
      <c r="B140" s="139" t="s">
        <v>434</v>
      </c>
      <c r="C140" s="324"/>
      <c r="D140" s="150"/>
      <c r="E140" s="434">
        <v>259.5</v>
      </c>
      <c r="F140" s="167">
        <v>395.8</v>
      </c>
      <c r="G140" s="427">
        <v>12636.4</v>
      </c>
      <c r="H140" s="155">
        <v>6598.3</v>
      </c>
      <c r="I140">
        <v>10161.799999999999</v>
      </c>
      <c r="J140">
        <v>10965.599999999999</v>
      </c>
      <c r="K140">
        <v>12968.9</v>
      </c>
      <c r="L140" s="4">
        <v>11087</v>
      </c>
      <c r="M140" s="4">
        <v>11103.7</v>
      </c>
      <c r="N140" s="4">
        <v>8801</v>
      </c>
      <c r="P140">
        <v>10209.900000000001</v>
      </c>
      <c r="V140">
        <v>3840.1</v>
      </c>
      <c r="Y140">
        <v>2945.3999999999996</v>
      </c>
      <c r="AD140">
        <v>9047.1</v>
      </c>
      <c r="AJ140">
        <v>3604.8</v>
      </c>
      <c r="AN140">
        <v>1574.9</v>
      </c>
      <c r="AQ140">
        <v>1966.2</v>
      </c>
      <c r="AT140">
        <v>6477</v>
      </c>
      <c r="AZ140">
        <v>0</v>
      </c>
      <c r="BC140">
        <v>0</v>
      </c>
      <c r="BK140">
        <v>11178.8</v>
      </c>
      <c r="BU140">
        <v>0</v>
      </c>
      <c r="CE140">
        <v>3744.5</v>
      </c>
      <c r="CO140">
        <v>2089.9</v>
      </c>
      <c r="CY140">
        <v>1714</v>
      </c>
      <c r="DK140">
        <v>0</v>
      </c>
      <c r="DS140">
        <v>2034.1999999999998</v>
      </c>
      <c r="ED140">
        <v>2467.3000000000002</v>
      </c>
      <c r="EO140">
        <v>0</v>
      </c>
      <c r="EY140">
        <v>2968.5</v>
      </c>
      <c r="FI140">
        <v>5242.5</v>
      </c>
      <c r="FS140">
        <v>6102.7</v>
      </c>
      <c r="GD140">
        <v>5832.1</v>
      </c>
      <c r="GP140">
        <v>7389.4</v>
      </c>
      <c r="HB140">
        <v>3738.5</v>
      </c>
      <c r="HN140">
        <v>2411.6999999999998</v>
      </c>
    </row>
    <row r="141" spans="1:222" ht="18" thickBot="1">
      <c r="A141" s="584"/>
      <c r="B141" s="139" t="s">
        <v>435</v>
      </c>
      <c r="C141" s="324"/>
      <c r="D141" s="150"/>
      <c r="E141" s="434">
        <v>259.5</v>
      </c>
      <c r="F141" s="167">
        <v>395.8</v>
      </c>
      <c r="G141" s="427">
        <v>12636.4</v>
      </c>
      <c r="H141" s="155">
        <v>6598.3</v>
      </c>
      <c r="I141">
        <v>10161.799999999999</v>
      </c>
      <c r="J141">
        <v>10965.599999999999</v>
      </c>
      <c r="K141">
        <v>12968.9</v>
      </c>
      <c r="L141" s="4">
        <v>11087</v>
      </c>
      <c r="M141" s="4">
        <v>11103.7</v>
      </c>
      <c r="N141" s="4">
        <v>8801</v>
      </c>
      <c r="P141">
        <v>10209.900000000001</v>
      </c>
      <c r="V141">
        <v>3840.1</v>
      </c>
      <c r="Y141">
        <v>2945.3999999999996</v>
      </c>
      <c r="AD141">
        <v>9047.1</v>
      </c>
      <c r="AJ141">
        <v>3604.8</v>
      </c>
      <c r="AN141">
        <v>1574.9</v>
      </c>
      <c r="AQ141">
        <v>1966.2</v>
      </c>
      <c r="AT141">
        <v>6477</v>
      </c>
      <c r="AZ141">
        <v>0</v>
      </c>
      <c r="BC141">
        <v>0</v>
      </c>
      <c r="BK141">
        <v>11178.8</v>
      </c>
      <c r="BU141">
        <v>0</v>
      </c>
      <c r="CE141">
        <v>3744.5</v>
      </c>
      <c r="CO141">
        <v>2089.9</v>
      </c>
      <c r="CY141">
        <v>1714</v>
      </c>
      <c r="DK141">
        <v>0</v>
      </c>
      <c r="DS141">
        <v>2034.1999999999998</v>
      </c>
      <c r="ED141">
        <v>2467.3000000000002</v>
      </c>
      <c r="EO141">
        <v>0</v>
      </c>
      <c r="EY141">
        <v>2968.5</v>
      </c>
      <c r="FI141">
        <v>5242.5</v>
      </c>
      <c r="FS141">
        <v>6102.7</v>
      </c>
      <c r="GD141">
        <v>5832.1</v>
      </c>
      <c r="GP141">
        <v>7389.4</v>
      </c>
      <c r="HB141">
        <v>3738.5</v>
      </c>
      <c r="HN141">
        <v>2411.6999999999998</v>
      </c>
    </row>
    <row r="142" spans="1:222" ht="18" thickBot="1">
      <c r="A142" s="584"/>
      <c r="B142" s="139" t="s">
        <v>436</v>
      </c>
      <c r="C142" s="324"/>
      <c r="D142" s="150"/>
      <c r="E142" s="434">
        <v>259.5</v>
      </c>
      <c r="F142" s="167">
        <v>395.8</v>
      </c>
      <c r="G142" s="427">
        <v>12636.4</v>
      </c>
      <c r="H142" s="155">
        <v>6598.3</v>
      </c>
      <c r="I142">
        <v>10161.799999999999</v>
      </c>
      <c r="J142">
        <v>10965.599999999999</v>
      </c>
      <c r="K142">
        <v>12968.9</v>
      </c>
      <c r="L142" s="4">
        <v>11087</v>
      </c>
      <c r="M142" s="4">
        <v>11103.7</v>
      </c>
      <c r="N142" s="4">
        <v>8801</v>
      </c>
      <c r="P142">
        <v>10209.900000000001</v>
      </c>
      <c r="V142">
        <v>3840.1</v>
      </c>
      <c r="Y142">
        <v>2945.3999999999996</v>
      </c>
      <c r="AD142">
        <v>9047.1</v>
      </c>
      <c r="AJ142">
        <v>3604.8</v>
      </c>
      <c r="AN142">
        <v>1574.9</v>
      </c>
      <c r="AQ142">
        <v>1966.2</v>
      </c>
      <c r="AT142">
        <v>6477</v>
      </c>
      <c r="AZ142">
        <v>0</v>
      </c>
      <c r="BC142">
        <v>0</v>
      </c>
      <c r="BK142">
        <v>11178.8</v>
      </c>
      <c r="BU142">
        <v>0</v>
      </c>
      <c r="CE142">
        <v>3744.5</v>
      </c>
      <c r="CO142">
        <v>2089.9</v>
      </c>
      <c r="CY142">
        <v>1714</v>
      </c>
      <c r="DK142">
        <v>0</v>
      </c>
      <c r="DS142">
        <v>2034.1999999999998</v>
      </c>
      <c r="ED142">
        <v>2467.3000000000002</v>
      </c>
      <c r="EO142">
        <v>0</v>
      </c>
      <c r="EY142">
        <v>2968.5</v>
      </c>
      <c r="FI142">
        <v>5242.5</v>
      </c>
      <c r="FS142">
        <v>6102.7</v>
      </c>
      <c r="GD142">
        <v>5832.1</v>
      </c>
      <c r="GP142">
        <v>7389.4</v>
      </c>
      <c r="HB142">
        <v>3738.5</v>
      </c>
      <c r="HN142">
        <v>2411.6999999999998</v>
      </c>
    </row>
    <row r="143" spans="1:222" ht="18" thickBot="1">
      <c r="A143" s="584"/>
      <c r="B143" s="139" t="s">
        <v>437</v>
      </c>
      <c r="C143" s="324"/>
      <c r="D143" s="150"/>
      <c r="E143" s="434">
        <v>259.5</v>
      </c>
      <c r="F143" s="167">
        <v>395.8</v>
      </c>
      <c r="G143" s="427">
        <v>12636.4</v>
      </c>
      <c r="H143" s="155">
        <v>6598.3</v>
      </c>
      <c r="I143">
        <v>10161.799999999999</v>
      </c>
      <c r="J143">
        <v>10965.599999999999</v>
      </c>
      <c r="K143">
        <v>12968.9</v>
      </c>
      <c r="L143" s="4">
        <v>11087</v>
      </c>
      <c r="M143" s="4">
        <v>11103.7</v>
      </c>
      <c r="N143" s="4">
        <v>8801</v>
      </c>
      <c r="P143">
        <v>10209.900000000001</v>
      </c>
      <c r="V143">
        <v>3840.1</v>
      </c>
      <c r="Y143">
        <v>2945.3999999999996</v>
      </c>
      <c r="AD143">
        <v>9047.1</v>
      </c>
      <c r="AJ143">
        <v>3604.8</v>
      </c>
      <c r="AN143">
        <v>1574.9</v>
      </c>
      <c r="AQ143">
        <v>1966.2</v>
      </c>
      <c r="AT143">
        <v>6477</v>
      </c>
      <c r="AZ143">
        <v>0</v>
      </c>
      <c r="BC143">
        <v>0</v>
      </c>
      <c r="BK143">
        <v>11178.8</v>
      </c>
      <c r="BU143">
        <v>0</v>
      </c>
      <c r="CE143">
        <v>3744.5</v>
      </c>
      <c r="CO143">
        <v>2089.9</v>
      </c>
      <c r="CY143">
        <v>1714</v>
      </c>
      <c r="DK143">
        <v>0</v>
      </c>
      <c r="DS143">
        <v>2034.1999999999998</v>
      </c>
      <c r="ED143">
        <v>2467.3000000000002</v>
      </c>
      <c r="EO143">
        <v>0</v>
      </c>
      <c r="EY143">
        <v>2968.5</v>
      </c>
      <c r="FI143">
        <v>5242.5</v>
      </c>
      <c r="FS143">
        <v>6102.7</v>
      </c>
      <c r="GD143">
        <v>5832.1</v>
      </c>
      <c r="GP143">
        <v>7389.4</v>
      </c>
      <c r="HB143">
        <v>3738.5</v>
      </c>
      <c r="HN143">
        <v>2411.6999999999998</v>
      </c>
    </row>
    <row r="144" spans="1:222" ht="18" thickBot="1">
      <c r="A144" s="585"/>
      <c r="B144" s="140" t="s">
        <v>438</v>
      </c>
      <c r="C144" s="325"/>
      <c r="D144" s="151"/>
      <c r="E144" s="434">
        <v>259.5</v>
      </c>
      <c r="F144" s="167">
        <v>395.8</v>
      </c>
      <c r="G144" s="427">
        <v>12636.4</v>
      </c>
      <c r="H144" s="155">
        <v>6598.3</v>
      </c>
      <c r="I144">
        <v>10161.799999999999</v>
      </c>
      <c r="J144">
        <v>10965.599999999999</v>
      </c>
      <c r="K144">
        <v>12968.9</v>
      </c>
      <c r="L144" s="4">
        <v>11087</v>
      </c>
      <c r="M144" s="4">
        <v>11103.7</v>
      </c>
      <c r="N144" s="4">
        <v>8801</v>
      </c>
      <c r="P144">
        <v>10209.900000000001</v>
      </c>
      <c r="V144">
        <v>3840.1</v>
      </c>
      <c r="Y144">
        <v>2945.3999999999996</v>
      </c>
      <c r="AD144">
        <v>9047.1</v>
      </c>
      <c r="AJ144">
        <v>3604.8</v>
      </c>
      <c r="AN144">
        <v>1574.9</v>
      </c>
      <c r="AQ144">
        <v>1966.2</v>
      </c>
      <c r="AT144">
        <v>6477</v>
      </c>
      <c r="AZ144">
        <v>0</v>
      </c>
      <c r="BC144">
        <v>0</v>
      </c>
      <c r="BK144">
        <v>11178.8</v>
      </c>
      <c r="BU144">
        <v>0</v>
      </c>
      <c r="CE144">
        <v>3744.5</v>
      </c>
      <c r="CO144">
        <v>2089.9</v>
      </c>
      <c r="CY144">
        <v>1714</v>
      </c>
      <c r="DK144">
        <v>0</v>
      </c>
      <c r="DS144">
        <v>2034.1999999999998</v>
      </c>
      <c r="ED144">
        <v>2467.3000000000002</v>
      </c>
      <c r="EO144">
        <v>0</v>
      </c>
      <c r="EY144">
        <v>2968.5</v>
      </c>
      <c r="FI144">
        <v>5242.5</v>
      </c>
      <c r="FS144">
        <v>6102.7</v>
      </c>
      <c r="GD144">
        <v>5832.1</v>
      </c>
      <c r="GP144">
        <v>7389.4</v>
      </c>
      <c r="HB144">
        <v>3738.5</v>
      </c>
      <c r="HN144">
        <v>2411.6999999999998</v>
      </c>
    </row>
    <row r="145" spans="1:222" ht="18.600000000000001" thickTop="1" thickBot="1">
      <c r="A145" s="583" t="s">
        <v>319</v>
      </c>
      <c r="B145" s="138" t="s">
        <v>418</v>
      </c>
      <c r="C145" s="323"/>
      <c r="D145" s="149"/>
      <c r="E145" s="434">
        <v>259.5</v>
      </c>
      <c r="F145" s="167">
        <v>395.8</v>
      </c>
      <c r="G145" s="427">
        <v>12636.4</v>
      </c>
      <c r="H145" s="155">
        <v>6598.3</v>
      </c>
      <c r="I145">
        <v>10161.799999999999</v>
      </c>
      <c r="J145">
        <v>10965.599999999999</v>
      </c>
      <c r="K145">
        <v>12968.9</v>
      </c>
      <c r="L145" s="4">
        <v>11087</v>
      </c>
      <c r="M145" s="4">
        <v>11103.7</v>
      </c>
      <c r="N145" s="4">
        <v>8801</v>
      </c>
      <c r="P145">
        <v>10209.900000000001</v>
      </c>
      <c r="V145">
        <v>3840.1</v>
      </c>
      <c r="Y145">
        <v>2945.3999999999996</v>
      </c>
      <c r="AD145">
        <v>9047.1</v>
      </c>
      <c r="AJ145">
        <v>3604.8</v>
      </c>
      <c r="AN145">
        <v>1574.9</v>
      </c>
      <c r="AQ145">
        <v>1966.2</v>
      </c>
      <c r="AT145">
        <v>6477</v>
      </c>
      <c r="AZ145">
        <v>0</v>
      </c>
      <c r="BC145">
        <v>0</v>
      </c>
      <c r="BK145">
        <v>11178.8</v>
      </c>
      <c r="BU145">
        <v>0</v>
      </c>
      <c r="CE145">
        <v>3744.5</v>
      </c>
      <c r="CO145">
        <v>2089.9</v>
      </c>
      <c r="CY145">
        <v>1714</v>
      </c>
      <c r="DK145">
        <v>0</v>
      </c>
      <c r="DS145">
        <v>2034.1999999999998</v>
      </c>
      <c r="ED145">
        <v>2467.3000000000002</v>
      </c>
      <c r="EO145">
        <v>0</v>
      </c>
      <c r="EY145">
        <v>2968.5</v>
      </c>
      <c r="FI145">
        <v>5242.5</v>
      </c>
      <c r="FS145">
        <v>6102.7</v>
      </c>
      <c r="GD145">
        <v>5832.1</v>
      </c>
      <c r="GP145">
        <v>7389.4</v>
      </c>
      <c r="HB145">
        <v>3738.5</v>
      </c>
      <c r="HN145">
        <v>2411.6999999999998</v>
      </c>
    </row>
    <row r="146" spans="1:222" ht="18" thickBot="1">
      <c r="A146" s="584"/>
      <c r="B146" s="139" t="s">
        <v>419</v>
      </c>
      <c r="C146" s="324"/>
      <c r="D146" s="150"/>
      <c r="E146" s="434">
        <v>259.5</v>
      </c>
      <c r="F146" s="168">
        <v>395.8</v>
      </c>
      <c r="G146" s="427">
        <v>12636.4</v>
      </c>
      <c r="H146" s="155">
        <v>6598.3</v>
      </c>
      <c r="I146">
        <v>10161.799999999999</v>
      </c>
      <c r="J146">
        <v>10965.599999999999</v>
      </c>
      <c r="K146">
        <v>12968.9</v>
      </c>
      <c r="L146" s="4">
        <v>11087</v>
      </c>
      <c r="M146" s="4">
        <v>11103.7</v>
      </c>
      <c r="N146" s="4">
        <v>8801</v>
      </c>
      <c r="P146">
        <v>10209.900000000001</v>
      </c>
      <c r="V146">
        <v>3840.1</v>
      </c>
      <c r="Y146">
        <v>2945.3999999999996</v>
      </c>
      <c r="AD146">
        <v>9047.1</v>
      </c>
      <c r="AJ146">
        <v>3604.8</v>
      </c>
      <c r="AN146">
        <v>1574.9</v>
      </c>
      <c r="AQ146">
        <v>1966.2</v>
      </c>
      <c r="AT146">
        <v>6477</v>
      </c>
      <c r="AZ146">
        <v>0</v>
      </c>
      <c r="BC146">
        <v>0</v>
      </c>
      <c r="BK146">
        <v>11178.8</v>
      </c>
      <c r="BU146">
        <v>0</v>
      </c>
      <c r="CE146">
        <v>3744.5</v>
      </c>
      <c r="CO146">
        <v>2089.9</v>
      </c>
      <c r="CY146">
        <v>1714</v>
      </c>
      <c r="DK146">
        <v>0</v>
      </c>
      <c r="DS146">
        <v>2034.1999999999998</v>
      </c>
      <c r="ED146">
        <v>2467.3000000000002</v>
      </c>
      <c r="EO146">
        <v>0</v>
      </c>
      <c r="EY146">
        <v>2968.5</v>
      </c>
      <c r="FI146">
        <v>5242.5</v>
      </c>
      <c r="FS146">
        <v>6102.7</v>
      </c>
      <c r="GD146">
        <v>5832.1</v>
      </c>
      <c r="GP146">
        <v>7389.4</v>
      </c>
      <c r="HB146">
        <v>3738.5</v>
      </c>
      <c r="HN146">
        <v>2411.6999999999998</v>
      </c>
    </row>
    <row r="147" spans="1:222" ht="18.600000000000001" thickTop="1" thickBot="1">
      <c r="A147" s="584"/>
      <c r="B147" s="139" t="s">
        <v>420</v>
      </c>
      <c r="C147" s="324"/>
      <c r="D147" s="150"/>
      <c r="E147" s="433">
        <v>259.5</v>
      </c>
      <c r="F147" s="166">
        <v>395.8</v>
      </c>
      <c r="G147" s="427">
        <v>12636.4</v>
      </c>
      <c r="H147" s="155">
        <v>6598.3</v>
      </c>
      <c r="I147">
        <v>10161.799999999999</v>
      </c>
      <c r="J147">
        <v>10965.599999999999</v>
      </c>
      <c r="K147">
        <v>12968.9</v>
      </c>
      <c r="L147" s="4">
        <v>11087</v>
      </c>
      <c r="M147" s="4">
        <v>11103.7</v>
      </c>
      <c r="N147" s="4">
        <v>8801</v>
      </c>
      <c r="P147">
        <v>10209.900000000001</v>
      </c>
      <c r="V147">
        <v>3840.1</v>
      </c>
      <c r="Y147">
        <v>2945.3999999999996</v>
      </c>
      <c r="AD147">
        <v>9047.1</v>
      </c>
      <c r="AJ147">
        <v>3604.8</v>
      </c>
      <c r="AN147">
        <v>1574.9</v>
      </c>
      <c r="AQ147">
        <v>1966.2</v>
      </c>
      <c r="AT147">
        <v>6477</v>
      </c>
      <c r="AZ147">
        <v>0</v>
      </c>
      <c r="BC147">
        <v>0</v>
      </c>
      <c r="BK147">
        <v>11178.8</v>
      </c>
      <c r="BU147">
        <v>0</v>
      </c>
      <c r="CE147">
        <v>3744.5</v>
      </c>
      <c r="CO147">
        <v>2089.9</v>
      </c>
      <c r="CY147">
        <v>1714</v>
      </c>
      <c r="DK147">
        <v>0</v>
      </c>
      <c r="DS147">
        <v>2034.1999999999998</v>
      </c>
      <c r="ED147">
        <v>2467.3000000000002</v>
      </c>
      <c r="EO147">
        <v>0</v>
      </c>
      <c r="EY147">
        <v>2968.5</v>
      </c>
      <c r="FI147">
        <v>5242.5</v>
      </c>
      <c r="FS147">
        <v>6102.7</v>
      </c>
      <c r="GD147">
        <v>5832.1</v>
      </c>
      <c r="GP147">
        <v>7389.4</v>
      </c>
      <c r="HB147">
        <v>3738.5</v>
      </c>
      <c r="HN147">
        <v>2411.6999999999998</v>
      </c>
    </row>
    <row r="148" spans="1:222" ht="18" thickBot="1">
      <c r="A148" s="584"/>
      <c r="B148" s="139" t="s">
        <v>421</v>
      </c>
      <c r="C148" s="324"/>
      <c r="D148" s="150"/>
      <c r="E148" s="434">
        <v>259.5</v>
      </c>
      <c r="F148" s="167">
        <v>395.8</v>
      </c>
      <c r="G148" s="427">
        <v>12636.4</v>
      </c>
      <c r="H148" s="155">
        <v>6598.3</v>
      </c>
      <c r="I148">
        <v>10161.799999999999</v>
      </c>
      <c r="J148">
        <v>10965.599999999999</v>
      </c>
      <c r="K148">
        <v>12968.9</v>
      </c>
      <c r="L148" s="4">
        <v>11087</v>
      </c>
      <c r="M148" s="4">
        <v>11103.7</v>
      </c>
      <c r="N148" s="4">
        <v>8801</v>
      </c>
      <c r="P148">
        <v>10209.900000000001</v>
      </c>
      <c r="V148">
        <v>3840.1</v>
      </c>
      <c r="Y148">
        <v>2945.3999999999996</v>
      </c>
      <c r="AD148">
        <v>9047.1</v>
      </c>
      <c r="AJ148">
        <v>3604.8</v>
      </c>
      <c r="AN148">
        <v>1574.9</v>
      </c>
      <c r="AQ148">
        <v>1966.2</v>
      </c>
      <c r="AT148">
        <v>6477</v>
      </c>
      <c r="AZ148">
        <v>0</v>
      </c>
      <c r="BC148">
        <v>0</v>
      </c>
      <c r="BK148">
        <v>11178.8</v>
      </c>
      <c r="BU148">
        <v>0</v>
      </c>
      <c r="CE148">
        <v>3744.5</v>
      </c>
      <c r="CO148">
        <v>2089.9</v>
      </c>
      <c r="CY148">
        <v>1714</v>
      </c>
      <c r="DK148">
        <v>0</v>
      </c>
      <c r="DS148">
        <v>2034.1999999999998</v>
      </c>
      <c r="ED148">
        <v>2467.3000000000002</v>
      </c>
      <c r="EO148">
        <v>0</v>
      </c>
      <c r="EY148">
        <v>2968.5</v>
      </c>
      <c r="FI148">
        <v>5242.5</v>
      </c>
      <c r="FS148">
        <v>6102.7</v>
      </c>
      <c r="GD148">
        <v>5832.1</v>
      </c>
      <c r="GP148">
        <v>7389.4</v>
      </c>
      <c r="HB148">
        <v>3738.5</v>
      </c>
      <c r="HN148">
        <v>2411.6999999999998</v>
      </c>
    </row>
    <row r="149" spans="1:222" ht="18" thickBot="1">
      <c r="A149" s="584"/>
      <c r="B149" s="139" t="s">
        <v>422</v>
      </c>
      <c r="C149" s="324"/>
      <c r="D149" s="150"/>
      <c r="E149" s="434">
        <v>259.5</v>
      </c>
      <c r="F149" s="167">
        <v>395.8</v>
      </c>
      <c r="G149" s="427">
        <v>12636.4</v>
      </c>
      <c r="H149" s="155">
        <v>6598.3</v>
      </c>
      <c r="I149">
        <v>10161.799999999999</v>
      </c>
      <c r="J149">
        <v>10965.599999999999</v>
      </c>
      <c r="K149">
        <v>12968.9</v>
      </c>
      <c r="L149" s="4">
        <v>11087</v>
      </c>
      <c r="M149" s="4">
        <v>11103.7</v>
      </c>
      <c r="N149" s="4">
        <v>8801</v>
      </c>
      <c r="P149">
        <v>10209.900000000001</v>
      </c>
      <c r="V149">
        <v>3840.1</v>
      </c>
      <c r="Y149">
        <v>2945.3999999999996</v>
      </c>
      <c r="AD149">
        <v>9047.1</v>
      </c>
      <c r="AJ149">
        <v>3604.8</v>
      </c>
      <c r="AN149">
        <v>1574.9</v>
      </c>
      <c r="AQ149">
        <v>1966.2</v>
      </c>
      <c r="AT149">
        <v>6477</v>
      </c>
      <c r="AZ149">
        <v>0</v>
      </c>
      <c r="BC149">
        <v>0</v>
      </c>
      <c r="BK149">
        <v>11178.8</v>
      </c>
      <c r="BU149">
        <v>0</v>
      </c>
      <c r="CE149">
        <v>3744.5</v>
      </c>
      <c r="CO149">
        <v>2089.9</v>
      </c>
      <c r="CY149">
        <v>1714</v>
      </c>
      <c r="DK149">
        <v>0</v>
      </c>
      <c r="DS149">
        <v>2034.1999999999998</v>
      </c>
      <c r="ED149">
        <v>2467.3000000000002</v>
      </c>
      <c r="EO149">
        <v>0</v>
      </c>
      <c r="EY149">
        <v>2968.5</v>
      </c>
      <c r="FI149">
        <v>5242.5</v>
      </c>
      <c r="FS149">
        <v>6102.7</v>
      </c>
      <c r="GD149">
        <v>5832.1</v>
      </c>
      <c r="GP149">
        <v>7389.4</v>
      </c>
      <c r="HB149">
        <v>3738.5</v>
      </c>
      <c r="HN149">
        <v>2411.6999999999998</v>
      </c>
    </row>
    <row r="150" spans="1:222" ht="18" thickBot="1">
      <c r="A150" s="584"/>
      <c r="B150" s="139" t="s">
        <v>423</v>
      </c>
      <c r="C150" s="324"/>
      <c r="D150" s="150"/>
      <c r="E150" s="434">
        <v>259.5</v>
      </c>
      <c r="F150" s="167">
        <v>395.8</v>
      </c>
      <c r="G150" s="427">
        <v>12636.4</v>
      </c>
      <c r="H150" s="155">
        <v>6598.3</v>
      </c>
      <c r="I150">
        <v>10161.799999999999</v>
      </c>
      <c r="J150">
        <v>10965.599999999999</v>
      </c>
      <c r="K150">
        <v>12968.9</v>
      </c>
      <c r="L150" s="4">
        <v>11087</v>
      </c>
      <c r="M150" s="4">
        <v>11103.7</v>
      </c>
      <c r="N150" s="4">
        <v>8801</v>
      </c>
      <c r="P150">
        <v>10209.900000000001</v>
      </c>
      <c r="V150">
        <v>3840.1</v>
      </c>
      <c r="Y150">
        <v>2945.3999999999996</v>
      </c>
      <c r="AD150">
        <v>9047.1</v>
      </c>
      <c r="AJ150">
        <v>3604.8</v>
      </c>
      <c r="AN150">
        <v>1574.9</v>
      </c>
      <c r="AQ150">
        <v>1966.2</v>
      </c>
      <c r="AT150">
        <v>6477</v>
      </c>
      <c r="AZ150">
        <v>0</v>
      </c>
      <c r="BC150">
        <v>0</v>
      </c>
      <c r="BK150">
        <v>11178.8</v>
      </c>
      <c r="BU150">
        <v>0</v>
      </c>
      <c r="CE150">
        <v>3744.5</v>
      </c>
      <c r="CO150">
        <v>2089.9</v>
      </c>
      <c r="CY150">
        <v>1714</v>
      </c>
      <c r="DK150">
        <v>0</v>
      </c>
      <c r="DS150">
        <v>2034.1999999999998</v>
      </c>
      <c r="ED150">
        <v>2467.3000000000002</v>
      </c>
      <c r="EO150">
        <v>0</v>
      </c>
      <c r="EY150">
        <v>2968.5</v>
      </c>
      <c r="FI150">
        <v>5242.5</v>
      </c>
      <c r="FS150">
        <v>6102.7</v>
      </c>
      <c r="GD150">
        <v>5832.1</v>
      </c>
      <c r="GP150">
        <v>7389.4</v>
      </c>
      <c r="HB150">
        <v>3738.5</v>
      </c>
      <c r="HN150">
        <v>2411.6999999999998</v>
      </c>
    </row>
    <row r="151" spans="1:222" ht="18" thickBot="1">
      <c r="A151" s="584"/>
      <c r="B151" s="139" t="s">
        <v>424</v>
      </c>
      <c r="C151" s="324"/>
      <c r="D151" s="150"/>
      <c r="E151" s="434">
        <v>259.5</v>
      </c>
      <c r="F151" s="167">
        <v>395.8</v>
      </c>
      <c r="G151" s="427">
        <v>12636.4</v>
      </c>
      <c r="H151" s="155">
        <v>6598.3</v>
      </c>
      <c r="I151">
        <v>10161.799999999999</v>
      </c>
      <c r="J151">
        <v>10965.599999999999</v>
      </c>
      <c r="K151">
        <v>12968.9</v>
      </c>
      <c r="L151" s="4">
        <v>11087</v>
      </c>
      <c r="M151" s="4">
        <v>11103.7</v>
      </c>
      <c r="N151" s="4">
        <v>8801</v>
      </c>
      <c r="P151">
        <v>10209.900000000001</v>
      </c>
      <c r="V151">
        <v>3840.1</v>
      </c>
      <c r="Y151">
        <v>2945.3999999999996</v>
      </c>
      <c r="AD151">
        <v>9047.1</v>
      </c>
      <c r="AJ151">
        <v>3604.8</v>
      </c>
      <c r="AN151">
        <v>1574.9</v>
      </c>
      <c r="AQ151">
        <v>1966.2</v>
      </c>
      <c r="AT151">
        <v>6477</v>
      </c>
      <c r="AZ151">
        <v>0</v>
      </c>
      <c r="BC151">
        <v>0</v>
      </c>
      <c r="BK151">
        <v>11178.8</v>
      </c>
      <c r="BU151">
        <v>0</v>
      </c>
      <c r="CE151">
        <v>3744.5</v>
      </c>
      <c r="CO151">
        <v>2089.9</v>
      </c>
      <c r="CY151">
        <v>1714</v>
      </c>
      <c r="DK151">
        <v>0</v>
      </c>
      <c r="DS151">
        <v>2034.1999999999998</v>
      </c>
      <c r="ED151">
        <v>2467.3000000000002</v>
      </c>
      <c r="EO151">
        <v>0</v>
      </c>
      <c r="EY151">
        <v>2968.5</v>
      </c>
      <c r="FI151">
        <v>5242.5</v>
      </c>
      <c r="FS151">
        <v>6102.7</v>
      </c>
      <c r="GD151">
        <v>5832.1</v>
      </c>
      <c r="GP151">
        <v>7389.4</v>
      </c>
      <c r="HB151">
        <v>3738.5</v>
      </c>
      <c r="HN151">
        <v>2411.6999999999998</v>
      </c>
    </row>
    <row r="152" spans="1:222" ht="18" thickBot="1">
      <c r="A152" s="584"/>
      <c r="B152" s="139" t="s">
        <v>425</v>
      </c>
      <c r="C152" s="324"/>
      <c r="D152" s="150"/>
      <c r="E152" s="434">
        <v>259.5</v>
      </c>
      <c r="F152" s="167">
        <v>395.8</v>
      </c>
      <c r="G152" s="427">
        <v>12636.4</v>
      </c>
      <c r="H152" s="155">
        <v>6598.3</v>
      </c>
      <c r="I152">
        <v>10161.799999999999</v>
      </c>
      <c r="J152">
        <v>10965.599999999999</v>
      </c>
      <c r="K152">
        <v>12968.9</v>
      </c>
      <c r="L152" s="4">
        <v>11087</v>
      </c>
      <c r="M152" s="4">
        <v>11103.7</v>
      </c>
      <c r="N152" s="4">
        <v>8801</v>
      </c>
      <c r="P152">
        <v>10209.900000000001</v>
      </c>
      <c r="V152">
        <v>3840.1</v>
      </c>
      <c r="Y152">
        <v>2945.3999999999996</v>
      </c>
      <c r="AD152">
        <v>9047.1</v>
      </c>
      <c r="AJ152">
        <v>3604.8</v>
      </c>
      <c r="AN152">
        <v>1574.9</v>
      </c>
      <c r="AQ152">
        <v>1966.2</v>
      </c>
      <c r="AT152">
        <v>6477</v>
      </c>
      <c r="AZ152">
        <v>0</v>
      </c>
      <c r="BC152">
        <v>0</v>
      </c>
      <c r="BK152">
        <v>11178.8</v>
      </c>
      <c r="BU152">
        <v>0</v>
      </c>
      <c r="CE152">
        <v>3744.5</v>
      </c>
      <c r="CO152">
        <v>2089.9</v>
      </c>
      <c r="CY152">
        <v>1714</v>
      </c>
      <c r="DK152">
        <v>0</v>
      </c>
      <c r="DS152">
        <v>2034.1999999999998</v>
      </c>
      <c r="ED152">
        <v>2467.3000000000002</v>
      </c>
      <c r="EO152">
        <v>0</v>
      </c>
      <c r="EY152">
        <v>2968.5</v>
      </c>
      <c r="FI152">
        <v>5242.5</v>
      </c>
      <c r="FS152">
        <v>6102.7</v>
      </c>
      <c r="GD152">
        <v>5832.1</v>
      </c>
      <c r="GP152">
        <v>7389.4</v>
      </c>
      <c r="HB152">
        <v>3738.5</v>
      </c>
      <c r="HN152">
        <v>2411.6999999999998</v>
      </c>
    </row>
    <row r="153" spans="1:222" ht="18" thickBot="1">
      <c r="A153" s="584"/>
      <c r="B153" s="139" t="s">
        <v>426</v>
      </c>
      <c r="C153" s="324"/>
      <c r="D153" s="150"/>
      <c r="E153" s="434">
        <v>259.5</v>
      </c>
      <c r="F153" s="167">
        <v>395.8</v>
      </c>
      <c r="G153" s="427">
        <v>12636.4</v>
      </c>
      <c r="H153" s="155">
        <v>6598.3</v>
      </c>
      <c r="I153">
        <v>10161.799999999999</v>
      </c>
      <c r="J153">
        <v>10965.599999999999</v>
      </c>
      <c r="K153">
        <v>12968.9</v>
      </c>
      <c r="L153" s="4">
        <v>11087</v>
      </c>
      <c r="M153" s="4">
        <v>11103.7</v>
      </c>
      <c r="N153" s="4">
        <v>8801</v>
      </c>
      <c r="P153">
        <v>10209.900000000001</v>
      </c>
      <c r="V153">
        <v>3840.1</v>
      </c>
      <c r="Y153">
        <v>2945.3999999999996</v>
      </c>
      <c r="AD153">
        <v>9047.1</v>
      </c>
      <c r="AJ153">
        <v>3604.8</v>
      </c>
      <c r="AN153">
        <v>1574.9</v>
      </c>
      <c r="AQ153">
        <v>1966.2</v>
      </c>
      <c r="AT153">
        <v>6477</v>
      </c>
      <c r="AZ153">
        <v>0</v>
      </c>
      <c r="BC153">
        <v>0</v>
      </c>
      <c r="BK153">
        <v>11178.8</v>
      </c>
      <c r="BU153">
        <v>0</v>
      </c>
      <c r="CE153">
        <v>3744.5</v>
      </c>
      <c r="CO153">
        <v>2089.9</v>
      </c>
      <c r="CY153">
        <v>1714</v>
      </c>
      <c r="DK153">
        <v>0</v>
      </c>
      <c r="DS153">
        <v>2034.1999999999998</v>
      </c>
      <c r="ED153">
        <v>2467.3000000000002</v>
      </c>
      <c r="EO153">
        <v>0</v>
      </c>
      <c r="EY153">
        <v>2968.5</v>
      </c>
      <c r="FI153">
        <v>5242.5</v>
      </c>
      <c r="FS153">
        <v>6102.7</v>
      </c>
      <c r="GD153">
        <v>5832.1</v>
      </c>
      <c r="GP153">
        <v>7389.4</v>
      </c>
      <c r="HB153">
        <v>3738.5</v>
      </c>
      <c r="HN153">
        <v>2411.6999999999998</v>
      </c>
    </row>
    <row r="154" spans="1:222" ht="18" thickBot="1">
      <c r="A154" s="585"/>
      <c r="B154" s="140" t="s">
        <v>427</v>
      </c>
      <c r="C154" s="325"/>
      <c r="D154" s="151"/>
      <c r="E154" s="434">
        <v>259.5</v>
      </c>
      <c r="F154" s="167">
        <v>395.8</v>
      </c>
      <c r="G154" s="427">
        <v>12636.4</v>
      </c>
      <c r="H154" s="155">
        <v>6598.3</v>
      </c>
      <c r="I154">
        <v>10161.799999999999</v>
      </c>
      <c r="J154">
        <v>10965.599999999999</v>
      </c>
      <c r="K154">
        <v>12968.9</v>
      </c>
      <c r="L154" s="4">
        <v>11087</v>
      </c>
      <c r="M154" s="4">
        <v>11103.7</v>
      </c>
      <c r="N154" s="4">
        <v>8801</v>
      </c>
      <c r="P154">
        <v>10209.900000000001</v>
      </c>
      <c r="V154">
        <v>3840.1</v>
      </c>
      <c r="Y154">
        <v>2945.3999999999996</v>
      </c>
      <c r="AD154">
        <v>9047.1</v>
      </c>
      <c r="AJ154">
        <v>3604.8</v>
      </c>
      <c r="AN154">
        <v>1574.9</v>
      </c>
      <c r="AQ154">
        <v>1966.2</v>
      </c>
      <c r="AT154">
        <v>6477</v>
      </c>
      <c r="AZ154">
        <v>0</v>
      </c>
      <c r="BC154">
        <v>0</v>
      </c>
      <c r="BK154">
        <v>11178.8</v>
      </c>
      <c r="BU154">
        <v>0</v>
      </c>
      <c r="CE154">
        <v>3744.5</v>
      </c>
      <c r="CO154">
        <v>2089.9</v>
      </c>
      <c r="CY154">
        <v>1714</v>
      </c>
      <c r="DK154">
        <v>0</v>
      </c>
      <c r="DS154">
        <v>2034.1999999999998</v>
      </c>
      <c r="ED154">
        <v>2467.3000000000002</v>
      </c>
      <c r="EO154">
        <v>0</v>
      </c>
      <c r="EY154">
        <v>2968.5</v>
      </c>
      <c r="FI154">
        <v>5242.5</v>
      </c>
      <c r="FS154">
        <v>6102.7</v>
      </c>
      <c r="GD154">
        <v>5832.1</v>
      </c>
      <c r="GP154">
        <v>7389.4</v>
      </c>
      <c r="HB154">
        <v>3738.5</v>
      </c>
      <c r="HN154">
        <v>2411.6999999999998</v>
      </c>
    </row>
    <row r="155" spans="1:222" ht="18.600000000000001" thickTop="1" thickBot="1">
      <c r="A155" s="583" t="s">
        <v>318</v>
      </c>
      <c r="B155" s="138" t="s">
        <v>408</v>
      </c>
      <c r="C155" s="323"/>
      <c r="D155" s="149"/>
      <c r="E155" s="434">
        <v>259.5</v>
      </c>
      <c r="F155" s="167">
        <v>395.8</v>
      </c>
      <c r="G155" s="427">
        <v>12636.4</v>
      </c>
      <c r="H155" s="155">
        <v>6598.3</v>
      </c>
      <c r="I155">
        <v>10161.799999999999</v>
      </c>
      <c r="J155">
        <v>10965.599999999999</v>
      </c>
      <c r="K155">
        <v>12968.9</v>
      </c>
      <c r="L155" s="4">
        <v>11087</v>
      </c>
      <c r="M155" s="4">
        <v>11103.7</v>
      </c>
      <c r="N155" s="4">
        <v>8801</v>
      </c>
      <c r="P155">
        <v>10209.900000000001</v>
      </c>
      <c r="V155">
        <v>3840.1</v>
      </c>
      <c r="Y155">
        <v>2945.3999999999996</v>
      </c>
      <c r="AD155">
        <v>9047.1</v>
      </c>
      <c r="AJ155">
        <v>3604.8</v>
      </c>
      <c r="AN155">
        <v>1574.9</v>
      </c>
      <c r="AQ155">
        <v>1966.2</v>
      </c>
      <c r="AT155">
        <v>6477</v>
      </c>
      <c r="AZ155">
        <v>0</v>
      </c>
      <c r="BC155">
        <v>0</v>
      </c>
      <c r="BK155">
        <v>11178.8</v>
      </c>
      <c r="BU155">
        <v>0</v>
      </c>
      <c r="CE155">
        <v>3744.5</v>
      </c>
      <c r="CO155">
        <v>2089.9</v>
      </c>
      <c r="CY155">
        <v>1714</v>
      </c>
      <c r="DK155">
        <v>0</v>
      </c>
      <c r="DS155">
        <v>2034.1999999999998</v>
      </c>
      <c r="ED155">
        <v>2467.3000000000002</v>
      </c>
      <c r="EO155">
        <v>0</v>
      </c>
      <c r="EY155">
        <v>2968.5</v>
      </c>
      <c r="FI155">
        <v>5242.5</v>
      </c>
      <c r="FS155">
        <v>6102.7</v>
      </c>
      <c r="GD155">
        <v>5832.1</v>
      </c>
      <c r="GP155">
        <v>7389.4</v>
      </c>
      <c r="HB155">
        <v>3738.5</v>
      </c>
      <c r="HN155">
        <v>2411.6999999999998</v>
      </c>
    </row>
    <row r="156" spans="1:222" ht="18" thickBot="1">
      <c r="A156" s="584"/>
      <c r="B156" s="139" t="s">
        <v>409</v>
      </c>
      <c r="C156" s="324"/>
      <c r="D156" s="150"/>
      <c r="E156" s="434">
        <v>259.5</v>
      </c>
      <c r="F156" s="168">
        <v>395.8</v>
      </c>
      <c r="G156" s="427">
        <v>12636.4</v>
      </c>
      <c r="H156" s="155">
        <v>6598.3</v>
      </c>
      <c r="I156">
        <v>10161.799999999999</v>
      </c>
      <c r="J156">
        <v>10965.599999999999</v>
      </c>
      <c r="K156">
        <v>12968.9</v>
      </c>
      <c r="L156" s="4">
        <v>11087</v>
      </c>
      <c r="M156" s="4">
        <v>11103.7</v>
      </c>
      <c r="N156" s="4">
        <v>8801</v>
      </c>
      <c r="P156">
        <v>10209.900000000001</v>
      </c>
      <c r="V156">
        <v>3840.1</v>
      </c>
      <c r="Y156">
        <v>2945.3999999999996</v>
      </c>
      <c r="AD156">
        <v>9047.1</v>
      </c>
      <c r="AJ156">
        <v>3604.8</v>
      </c>
      <c r="AN156">
        <v>1574.9</v>
      </c>
      <c r="AQ156">
        <v>1966.2</v>
      </c>
      <c r="AT156">
        <v>6477</v>
      </c>
      <c r="AZ156">
        <v>0</v>
      </c>
      <c r="BC156">
        <v>0</v>
      </c>
      <c r="BK156">
        <v>11178.8</v>
      </c>
      <c r="BU156">
        <v>0</v>
      </c>
      <c r="CE156">
        <v>3744.5</v>
      </c>
      <c r="CO156">
        <v>2089.9</v>
      </c>
      <c r="CY156">
        <v>1714</v>
      </c>
      <c r="DK156">
        <v>0</v>
      </c>
      <c r="DS156">
        <v>2034.1999999999998</v>
      </c>
      <c r="ED156">
        <v>2467.3000000000002</v>
      </c>
      <c r="EO156">
        <v>0</v>
      </c>
      <c r="EY156">
        <v>2968.5</v>
      </c>
      <c r="FI156">
        <v>5242.5</v>
      </c>
      <c r="FS156">
        <v>6102.7</v>
      </c>
      <c r="GD156">
        <v>5832.1</v>
      </c>
      <c r="GP156">
        <v>7389.4</v>
      </c>
      <c r="HB156">
        <v>3738.5</v>
      </c>
      <c r="HN156">
        <v>2411.6999999999998</v>
      </c>
    </row>
    <row r="157" spans="1:222" ht="18.600000000000001" thickTop="1" thickBot="1">
      <c r="A157" s="584"/>
      <c r="B157" s="139" t="s">
        <v>410</v>
      </c>
      <c r="C157" s="324"/>
      <c r="D157" s="150"/>
      <c r="E157" s="433">
        <v>259.5</v>
      </c>
      <c r="F157" s="166">
        <v>395.8</v>
      </c>
      <c r="G157" s="427">
        <v>12636.4</v>
      </c>
      <c r="H157" s="155">
        <v>6598.3</v>
      </c>
      <c r="I157">
        <v>10161.799999999999</v>
      </c>
      <c r="J157">
        <v>10965.599999999999</v>
      </c>
      <c r="K157">
        <v>12968.9</v>
      </c>
      <c r="L157" s="4">
        <v>11087</v>
      </c>
      <c r="M157" s="4">
        <v>11103.7</v>
      </c>
      <c r="N157" s="4">
        <v>8801</v>
      </c>
      <c r="P157">
        <v>10209.900000000001</v>
      </c>
      <c r="V157">
        <v>3840.1</v>
      </c>
      <c r="Y157">
        <v>2945.3999999999996</v>
      </c>
      <c r="AD157">
        <v>9047.1</v>
      </c>
      <c r="AJ157">
        <v>3604.8</v>
      </c>
      <c r="AN157">
        <v>1574.9</v>
      </c>
      <c r="AQ157">
        <v>1966.2</v>
      </c>
      <c r="AT157">
        <v>6477</v>
      </c>
      <c r="AZ157">
        <v>0</v>
      </c>
      <c r="BC157">
        <v>0</v>
      </c>
      <c r="BK157">
        <v>11178.8</v>
      </c>
      <c r="BU157">
        <v>0</v>
      </c>
      <c r="CE157">
        <v>3744.5</v>
      </c>
      <c r="CO157">
        <v>2089.9</v>
      </c>
      <c r="CY157">
        <v>1714</v>
      </c>
      <c r="DK157">
        <v>0</v>
      </c>
      <c r="DS157">
        <v>2034.1999999999998</v>
      </c>
      <c r="ED157">
        <v>2467.3000000000002</v>
      </c>
      <c r="EO157">
        <v>0</v>
      </c>
      <c r="EY157">
        <v>2968.5</v>
      </c>
      <c r="FI157">
        <v>5242.5</v>
      </c>
      <c r="FS157">
        <v>6102.7</v>
      </c>
      <c r="GD157">
        <v>5832.1</v>
      </c>
      <c r="GP157">
        <v>7389.4</v>
      </c>
      <c r="HB157">
        <v>3738.5</v>
      </c>
      <c r="HN157">
        <v>2411.6999999999998</v>
      </c>
    </row>
    <row r="158" spans="1:222" ht="18" thickBot="1">
      <c r="A158" s="584"/>
      <c r="B158" s="139" t="s">
        <v>411</v>
      </c>
      <c r="C158" s="324"/>
      <c r="D158" s="150" t="s">
        <v>789</v>
      </c>
      <c r="E158" s="434">
        <v>259.5</v>
      </c>
      <c r="F158" s="167">
        <v>395.8</v>
      </c>
      <c r="G158" s="427">
        <v>12636.4</v>
      </c>
      <c r="H158" s="155">
        <v>6598.3</v>
      </c>
      <c r="I158">
        <v>10161.799999999999</v>
      </c>
      <c r="J158">
        <v>10965.599999999999</v>
      </c>
      <c r="K158">
        <v>12968.9</v>
      </c>
      <c r="L158" s="4">
        <v>11087</v>
      </c>
      <c r="M158" s="4">
        <v>11103.7</v>
      </c>
      <c r="N158" s="4">
        <v>8801</v>
      </c>
      <c r="P158">
        <v>10209.900000000001</v>
      </c>
      <c r="V158">
        <v>3840.1</v>
      </c>
      <c r="Y158">
        <v>2945.3999999999996</v>
      </c>
      <c r="AD158">
        <v>9047.1</v>
      </c>
      <c r="AJ158">
        <v>3604.8</v>
      </c>
      <c r="AN158">
        <v>1574.9</v>
      </c>
      <c r="AQ158">
        <v>1966.2</v>
      </c>
      <c r="AT158">
        <v>6477</v>
      </c>
      <c r="AZ158">
        <v>0</v>
      </c>
      <c r="BC158">
        <v>0</v>
      </c>
      <c r="BK158">
        <v>11178.8</v>
      </c>
      <c r="BU158">
        <v>0</v>
      </c>
      <c r="CE158">
        <v>3744.5</v>
      </c>
      <c r="CO158">
        <v>2089.9</v>
      </c>
      <c r="CY158">
        <v>1714</v>
      </c>
      <c r="DK158">
        <v>0</v>
      </c>
      <c r="DS158">
        <v>2034.1999999999998</v>
      </c>
      <c r="ED158">
        <v>2467.3000000000002</v>
      </c>
      <c r="EO158">
        <v>0</v>
      </c>
      <c r="EY158">
        <v>2968.5</v>
      </c>
      <c r="FI158">
        <v>5242.5</v>
      </c>
      <c r="FS158">
        <v>6102.7</v>
      </c>
      <c r="GD158">
        <v>5832.1</v>
      </c>
      <c r="GP158">
        <v>7389.4</v>
      </c>
      <c r="HB158">
        <v>3738.5</v>
      </c>
      <c r="HN158">
        <v>2411.6999999999998</v>
      </c>
    </row>
    <row r="159" spans="1:222" ht="18" thickBot="1">
      <c r="A159" s="584"/>
      <c r="B159" s="139" t="s">
        <v>412</v>
      </c>
      <c r="C159" s="324"/>
      <c r="D159" s="150" t="s">
        <v>780</v>
      </c>
      <c r="E159" s="434">
        <v>259.5</v>
      </c>
      <c r="F159" s="167">
        <v>395.8</v>
      </c>
      <c r="G159" s="427">
        <v>12636.4</v>
      </c>
      <c r="H159" s="155">
        <v>6598.3</v>
      </c>
      <c r="I159">
        <v>10161.799999999999</v>
      </c>
      <c r="J159">
        <v>10965.599999999999</v>
      </c>
      <c r="K159">
        <v>12968.9</v>
      </c>
      <c r="L159" s="4">
        <v>11087</v>
      </c>
      <c r="M159" s="4">
        <v>11103.7</v>
      </c>
      <c r="N159" s="4">
        <v>8801</v>
      </c>
      <c r="P159">
        <v>10209.900000000001</v>
      </c>
      <c r="V159">
        <v>3840.1</v>
      </c>
      <c r="Y159">
        <v>2945.3999999999996</v>
      </c>
      <c r="AD159">
        <v>9047.1</v>
      </c>
      <c r="AJ159">
        <v>3604.8</v>
      </c>
      <c r="AN159">
        <v>1574.9</v>
      </c>
      <c r="AQ159">
        <v>1966.2</v>
      </c>
      <c r="AT159">
        <v>6477</v>
      </c>
      <c r="AZ159">
        <v>0</v>
      </c>
      <c r="BC159">
        <v>0</v>
      </c>
      <c r="BK159">
        <v>11178.8</v>
      </c>
      <c r="BU159">
        <v>0</v>
      </c>
      <c r="CE159">
        <v>3744.5</v>
      </c>
      <c r="CO159">
        <v>2089.9</v>
      </c>
      <c r="CY159">
        <v>1714</v>
      </c>
      <c r="DK159">
        <v>0</v>
      </c>
      <c r="DS159">
        <v>2034.1999999999998</v>
      </c>
      <c r="ED159">
        <v>2467.3000000000002</v>
      </c>
      <c r="EO159">
        <v>0</v>
      </c>
      <c r="EY159">
        <v>2968.5</v>
      </c>
      <c r="FI159">
        <v>5242.5</v>
      </c>
      <c r="FS159">
        <v>6102.7</v>
      </c>
      <c r="GD159">
        <v>5832.1</v>
      </c>
      <c r="GP159">
        <v>7389.4</v>
      </c>
      <c r="HB159">
        <v>3738.5</v>
      </c>
      <c r="HN159">
        <v>2411.6999999999998</v>
      </c>
    </row>
    <row r="160" spans="1:222" ht="18" thickBot="1">
      <c r="A160" s="584"/>
      <c r="B160" s="139" t="s">
        <v>413</v>
      </c>
      <c r="C160" s="324"/>
      <c r="D160" s="150"/>
      <c r="E160" s="434">
        <v>259.5</v>
      </c>
      <c r="F160" s="167">
        <v>395.8</v>
      </c>
      <c r="G160" s="427">
        <v>12636.4</v>
      </c>
      <c r="H160" s="155">
        <v>6598.3</v>
      </c>
      <c r="I160">
        <v>10161.799999999999</v>
      </c>
      <c r="J160">
        <v>10965.599999999999</v>
      </c>
      <c r="K160">
        <v>12968.9</v>
      </c>
      <c r="L160" s="4">
        <v>11087</v>
      </c>
      <c r="M160" s="4">
        <v>11103.7</v>
      </c>
      <c r="N160" s="4">
        <v>8801</v>
      </c>
      <c r="P160">
        <v>10209.900000000001</v>
      </c>
      <c r="V160">
        <v>3840.1</v>
      </c>
      <c r="Y160">
        <v>2945.3999999999996</v>
      </c>
      <c r="AD160">
        <v>9047.1</v>
      </c>
      <c r="AJ160">
        <v>3604.8</v>
      </c>
      <c r="AN160">
        <v>1574.9</v>
      </c>
      <c r="AQ160">
        <v>1966.2</v>
      </c>
      <c r="AT160">
        <v>6477</v>
      </c>
      <c r="AZ160">
        <v>0</v>
      </c>
      <c r="BC160">
        <v>0</v>
      </c>
      <c r="BK160">
        <v>11178.8</v>
      </c>
      <c r="BU160">
        <v>0</v>
      </c>
      <c r="CE160">
        <v>3744.5</v>
      </c>
      <c r="CO160">
        <v>2089.9</v>
      </c>
      <c r="CY160">
        <v>1714</v>
      </c>
      <c r="DK160">
        <v>0</v>
      </c>
      <c r="DS160">
        <v>2034.1999999999998</v>
      </c>
      <c r="ED160">
        <v>2467.3000000000002</v>
      </c>
      <c r="EO160">
        <v>0</v>
      </c>
      <c r="EY160">
        <v>2968.5</v>
      </c>
      <c r="FI160">
        <v>5242.5</v>
      </c>
      <c r="FS160">
        <v>6102.7</v>
      </c>
      <c r="GD160">
        <v>5832.1</v>
      </c>
      <c r="GP160">
        <v>7389.4</v>
      </c>
      <c r="HB160">
        <v>3738.5</v>
      </c>
      <c r="HN160">
        <v>2411.6999999999998</v>
      </c>
    </row>
    <row r="161" spans="1:222" ht="18" thickBot="1">
      <c r="A161" s="584"/>
      <c r="B161" s="139" t="s">
        <v>414</v>
      </c>
      <c r="C161" s="324"/>
      <c r="D161" s="150" t="s">
        <v>790</v>
      </c>
      <c r="E161" s="434">
        <v>259.5</v>
      </c>
      <c r="F161" s="167">
        <v>395.8</v>
      </c>
      <c r="G161" s="427">
        <v>12636.4</v>
      </c>
      <c r="H161" s="155">
        <v>6598.3</v>
      </c>
      <c r="I161">
        <v>10161.799999999999</v>
      </c>
      <c r="J161">
        <v>10965.599999999999</v>
      </c>
      <c r="K161">
        <v>12968.9</v>
      </c>
      <c r="L161" s="4">
        <v>11087</v>
      </c>
      <c r="M161" s="4">
        <v>11103.7</v>
      </c>
      <c r="N161" s="4">
        <v>8801</v>
      </c>
      <c r="P161">
        <v>10209.900000000001</v>
      </c>
      <c r="V161">
        <v>3840.1</v>
      </c>
      <c r="Y161">
        <v>2945.3999999999996</v>
      </c>
      <c r="AD161">
        <v>9047.1</v>
      </c>
      <c r="AJ161">
        <v>3604.8</v>
      </c>
      <c r="AN161">
        <v>1574.9</v>
      </c>
      <c r="AQ161">
        <v>1966.2</v>
      </c>
      <c r="AT161">
        <v>6477</v>
      </c>
      <c r="AZ161">
        <v>0</v>
      </c>
      <c r="BC161">
        <v>0</v>
      </c>
      <c r="BK161">
        <v>11178.8</v>
      </c>
      <c r="BU161">
        <v>0</v>
      </c>
      <c r="CE161">
        <v>3744.5</v>
      </c>
      <c r="CO161">
        <v>2089.9</v>
      </c>
      <c r="CY161">
        <v>1714</v>
      </c>
      <c r="DK161">
        <v>0</v>
      </c>
      <c r="DS161">
        <v>2034.1999999999998</v>
      </c>
      <c r="ED161">
        <v>2467.3000000000002</v>
      </c>
      <c r="EO161">
        <v>0</v>
      </c>
      <c r="EY161">
        <v>2968.5</v>
      </c>
      <c r="FI161">
        <v>5242.5</v>
      </c>
      <c r="FS161">
        <v>6102.7</v>
      </c>
      <c r="GD161">
        <v>5832.1</v>
      </c>
      <c r="GP161">
        <v>7389.4</v>
      </c>
      <c r="HB161">
        <v>3738.5</v>
      </c>
      <c r="HN161">
        <v>2411.6999999999998</v>
      </c>
    </row>
    <row r="162" spans="1:222" ht="18" thickBot="1">
      <c r="A162" s="584"/>
      <c r="B162" s="139" t="s">
        <v>415</v>
      </c>
      <c r="C162" s="324"/>
      <c r="D162" s="150"/>
      <c r="E162" s="434">
        <v>259.5</v>
      </c>
      <c r="F162" s="167">
        <v>395.8</v>
      </c>
      <c r="G162" s="427">
        <v>12636.4</v>
      </c>
      <c r="H162" s="155">
        <v>6598.3</v>
      </c>
      <c r="I162">
        <v>10161.799999999999</v>
      </c>
      <c r="J162">
        <v>10965.599999999999</v>
      </c>
      <c r="K162">
        <v>12968.9</v>
      </c>
      <c r="L162" s="4">
        <v>11087</v>
      </c>
      <c r="M162" s="4">
        <v>11103.7</v>
      </c>
      <c r="N162" s="4">
        <v>8801</v>
      </c>
      <c r="P162">
        <v>10209.900000000001</v>
      </c>
      <c r="V162">
        <v>3840.1</v>
      </c>
      <c r="Y162">
        <v>2945.3999999999996</v>
      </c>
      <c r="AD162">
        <v>9047.1</v>
      </c>
      <c r="AJ162">
        <v>3604.8</v>
      </c>
      <c r="AN162">
        <v>1574.9</v>
      </c>
      <c r="AQ162">
        <v>1966.2</v>
      </c>
      <c r="AT162">
        <v>6477</v>
      </c>
      <c r="AZ162">
        <v>0</v>
      </c>
      <c r="BC162">
        <v>0</v>
      </c>
      <c r="BK162">
        <v>11178.8</v>
      </c>
      <c r="BU162">
        <v>0</v>
      </c>
      <c r="CE162">
        <v>3744.5</v>
      </c>
      <c r="CO162">
        <v>2089.9</v>
      </c>
      <c r="CY162">
        <v>1714</v>
      </c>
      <c r="DK162">
        <v>0</v>
      </c>
      <c r="DS162">
        <v>2034.1999999999998</v>
      </c>
      <c r="ED162">
        <v>2467.3000000000002</v>
      </c>
      <c r="EO162">
        <v>0</v>
      </c>
      <c r="EY162">
        <v>2968.5</v>
      </c>
      <c r="FI162">
        <v>5242.5</v>
      </c>
      <c r="FS162">
        <v>6102.7</v>
      </c>
      <c r="GD162">
        <v>5832.1</v>
      </c>
      <c r="GP162">
        <v>7389.4</v>
      </c>
      <c r="HB162">
        <v>3738.5</v>
      </c>
      <c r="HN162">
        <v>2411.6999999999998</v>
      </c>
    </row>
    <row r="163" spans="1:222" ht="18" thickBot="1">
      <c r="A163" s="584"/>
      <c r="B163" s="139" t="s">
        <v>416</v>
      </c>
      <c r="C163" s="324"/>
      <c r="D163" s="150"/>
      <c r="E163" s="434">
        <v>259.5</v>
      </c>
      <c r="F163" s="167">
        <v>395.8</v>
      </c>
      <c r="G163" s="427">
        <v>12636.4</v>
      </c>
      <c r="H163" s="155">
        <v>6598.3</v>
      </c>
      <c r="I163">
        <v>10161.799999999999</v>
      </c>
      <c r="J163">
        <v>10965.599999999999</v>
      </c>
      <c r="K163">
        <v>12968.9</v>
      </c>
      <c r="L163" s="4">
        <v>11087</v>
      </c>
      <c r="M163" s="4">
        <v>11103.7</v>
      </c>
      <c r="N163" s="4">
        <v>8801</v>
      </c>
      <c r="P163">
        <v>10209.900000000001</v>
      </c>
      <c r="V163">
        <v>3840.1</v>
      </c>
      <c r="Y163">
        <v>2945.3999999999996</v>
      </c>
      <c r="AD163">
        <v>9047.1</v>
      </c>
      <c r="AJ163">
        <v>3604.8</v>
      </c>
      <c r="AN163">
        <v>1574.9</v>
      </c>
      <c r="AQ163">
        <v>1966.2</v>
      </c>
      <c r="AT163">
        <v>6477</v>
      </c>
      <c r="AZ163">
        <v>0</v>
      </c>
      <c r="BC163">
        <v>0</v>
      </c>
      <c r="BK163">
        <v>11178.8</v>
      </c>
      <c r="BU163">
        <v>0</v>
      </c>
      <c r="CE163">
        <v>3744.5</v>
      </c>
      <c r="CO163">
        <v>2089.9</v>
      </c>
      <c r="CY163">
        <v>1714</v>
      </c>
      <c r="DK163">
        <v>0</v>
      </c>
      <c r="DS163">
        <v>2034.1999999999998</v>
      </c>
      <c r="ED163">
        <v>2467.3000000000002</v>
      </c>
      <c r="EO163">
        <v>0</v>
      </c>
      <c r="EY163">
        <v>2968.5</v>
      </c>
      <c r="FI163">
        <v>5242.5</v>
      </c>
      <c r="FS163">
        <v>6102.7</v>
      </c>
      <c r="GD163">
        <v>5832.1</v>
      </c>
      <c r="GP163">
        <v>7389.4</v>
      </c>
      <c r="HB163">
        <v>3738.5</v>
      </c>
      <c r="HN163">
        <v>2411.6999999999998</v>
      </c>
    </row>
    <row r="164" spans="1:222" ht="18" thickBot="1">
      <c r="A164" s="585"/>
      <c r="B164" s="140" t="s">
        <v>417</v>
      </c>
      <c r="C164" s="325"/>
      <c r="D164" s="151"/>
      <c r="E164" s="434">
        <v>259.5</v>
      </c>
      <c r="F164" s="167">
        <v>395.8</v>
      </c>
      <c r="G164" s="427">
        <v>12636.4</v>
      </c>
      <c r="H164" s="155">
        <v>6598.3</v>
      </c>
      <c r="I164">
        <v>10161.799999999999</v>
      </c>
      <c r="J164">
        <v>10965.599999999999</v>
      </c>
      <c r="K164">
        <v>12968.9</v>
      </c>
      <c r="L164" s="4">
        <v>11087</v>
      </c>
      <c r="M164" s="4">
        <v>11103.7</v>
      </c>
      <c r="N164" s="4">
        <v>8801</v>
      </c>
      <c r="P164">
        <v>10209.900000000001</v>
      </c>
      <c r="V164">
        <v>3840.1</v>
      </c>
      <c r="Y164">
        <v>2945.3999999999996</v>
      </c>
      <c r="AD164">
        <v>9047.1</v>
      </c>
      <c r="AJ164">
        <v>3604.8</v>
      </c>
      <c r="AN164">
        <v>1574.9</v>
      </c>
      <c r="AQ164">
        <v>1966.2</v>
      </c>
      <c r="AT164">
        <v>6477</v>
      </c>
      <c r="AZ164">
        <v>0</v>
      </c>
      <c r="BC164">
        <v>0</v>
      </c>
      <c r="BK164">
        <v>11178.8</v>
      </c>
      <c r="BU164">
        <v>0</v>
      </c>
      <c r="CE164">
        <v>3744.5</v>
      </c>
      <c r="CO164">
        <v>2089.9</v>
      </c>
      <c r="CY164">
        <v>1714</v>
      </c>
      <c r="DK164">
        <v>0</v>
      </c>
      <c r="DS164">
        <v>2034.1999999999998</v>
      </c>
      <c r="ED164">
        <v>2467.3000000000002</v>
      </c>
      <c r="EO164">
        <v>0</v>
      </c>
      <c r="EY164">
        <v>2968.5</v>
      </c>
      <c r="FI164">
        <v>5242.5</v>
      </c>
      <c r="FS164">
        <v>6102.7</v>
      </c>
      <c r="GD164">
        <v>5832.1</v>
      </c>
      <c r="GP164">
        <v>7389.4</v>
      </c>
      <c r="HB164">
        <v>3738.5</v>
      </c>
      <c r="HN164">
        <v>2411.6999999999998</v>
      </c>
    </row>
    <row r="165" spans="1:222" ht="18.600000000000001" thickTop="1" thickBot="1">
      <c r="A165" s="583" t="s">
        <v>805</v>
      </c>
      <c r="B165" s="138" t="s">
        <v>398</v>
      </c>
      <c r="C165" s="323"/>
      <c r="D165" s="149" t="s">
        <v>781</v>
      </c>
      <c r="E165" s="434">
        <v>259.5</v>
      </c>
      <c r="F165" s="167">
        <v>395.8</v>
      </c>
      <c r="G165" s="427">
        <v>12636.4</v>
      </c>
      <c r="H165" s="155">
        <v>6598.3</v>
      </c>
      <c r="I165">
        <v>10161.799999999999</v>
      </c>
      <c r="J165">
        <v>10965.599999999999</v>
      </c>
      <c r="K165">
        <v>12968.9</v>
      </c>
      <c r="L165" s="4">
        <v>11087</v>
      </c>
      <c r="M165" s="4">
        <v>11103.7</v>
      </c>
      <c r="N165" s="4">
        <v>8801</v>
      </c>
      <c r="P165">
        <v>10209.900000000001</v>
      </c>
      <c r="V165">
        <v>3840.1</v>
      </c>
      <c r="Y165">
        <v>2945.3999999999996</v>
      </c>
      <c r="AD165">
        <v>9047.1</v>
      </c>
      <c r="AJ165">
        <v>3604.8</v>
      </c>
      <c r="AN165">
        <v>1574.9</v>
      </c>
      <c r="AQ165">
        <v>1966.2</v>
      </c>
      <c r="AT165">
        <v>6477</v>
      </c>
      <c r="AZ165">
        <v>0</v>
      </c>
      <c r="BC165">
        <v>0</v>
      </c>
      <c r="BK165">
        <v>11178.8</v>
      </c>
      <c r="BU165">
        <v>0</v>
      </c>
      <c r="CE165">
        <v>3744.5</v>
      </c>
      <c r="CO165">
        <v>2089.9</v>
      </c>
      <c r="CY165">
        <v>1714</v>
      </c>
      <c r="DK165">
        <v>0</v>
      </c>
      <c r="DS165">
        <v>2034.1999999999998</v>
      </c>
      <c r="ED165">
        <v>2467.3000000000002</v>
      </c>
      <c r="EO165">
        <v>0</v>
      </c>
      <c r="EY165">
        <v>2968.5</v>
      </c>
      <c r="FI165">
        <v>5242.5</v>
      </c>
      <c r="FS165">
        <v>6102.7</v>
      </c>
      <c r="GD165">
        <v>5832.1</v>
      </c>
      <c r="GP165">
        <v>7389.4</v>
      </c>
      <c r="HB165">
        <v>3738.5</v>
      </c>
      <c r="HN165">
        <v>2411.6999999999998</v>
      </c>
    </row>
    <row r="166" spans="1:222" ht="18" thickBot="1">
      <c r="A166" s="584"/>
      <c r="B166" s="139" t="s">
        <v>399</v>
      </c>
      <c r="C166" s="324"/>
      <c r="D166" s="150"/>
      <c r="E166" s="434">
        <v>259.5</v>
      </c>
      <c r="F166" s="168">
        <v>395.8</v>
      </c>
      <c r="G166" s="427">
        <v>12636.4</v>
      </c>
      <c r="H166" s="155">
        <v>6598.3</v>
      </c>
      <c r="I166">
        <v>10161.799999999999</v>
      </c>
      <c r="J166">
        <v>10965.599999999999</v>
      </c>
      <c r="K166">
        <v>12968.9</v>
      </c>
      <c r="L166" s="4">
        <v>11087</v>
      </c>
      <c r="M166" s="4">
        <v>11103.7</v>
      </c>
      <c r="N166" s="4">
        <v>8801</v>
      </c>
      <c r="P166">
        <v>10209.900000000001</v>
      </c>
      <c r="V166">
        <v>3840.1</v>
      </c>
      <c r="Y166">
        <v>2945.3999999999996</v>
      </c>
      <c r="AD166">
        <v>9047.1</v>
      </c>
      <c r="AJ166">
        <v>3604.8</v>
      </c>
      <c r="AN166">
        <v>1574.9</v>
      </c>
      <c r="AQ166">
        <v>1966.2</v>
      </c>
      <c r="AT166">
        <v>6477</v>
      </c>
      <c r="AZ166">
        <v>0</v>
      </c>
      <c r="BC166">
        <v>0</v>
      </c>
      <c r="BK166">
        <v>11178.8</v>
      </c>
      <c r="BU166">
        <v>0</v>
      </c>
      <c r="CE166">
        <v>3744.5</v>
      </c>
      <c r="CO166">
        <v>2089.9</v>
      </c>
      <c r="CY166">
        <v>1714</v>
      </c>
      <c r="DK166">
        <v>0</v>
      </c>
      <c r="DS166">
        <v>2034.1999999999998</v>
      </c>
      <c r="ED166">
        <v>2467.3000000000002</v>
      </c>
      <c r="EO166">
        <v>0</v>
      </c>
      <c r="EY166">
        <v>2968.5</v>
      </c>
      <c r="FI166">
        <v>5242.5</v>
      </c>
      <c r="FS166">
        <v>6102.7</v>
      </c>
      <c r="GD166">
        <v>5832.1</v>
      </c>
      <c r="GP166">
        <v>7389.4</v>
      </c>
      <c r="HB166">
        <v>3738.5</v>
      </c>
      <c r="HN166">
        <v>2411.6999999999998</v>
      </c>
    </row>
    <row r="167" spans="1:222" ht="18.600000000000001" thickTop="1" thickBot="1">
      <c r="A167" s="584"/>
      <c r="B167" s="139" t="s">
        <v>400</v>
      </c>
      <c r="C167" s="324"/>
      <c r="D167" s="150" t="s">
        <v>791</v>
      </c>
      <c r="E167" s="433">
        <v>259.5</v>
      </c>
      <c r="F167" s="166">
        <v>395.8</v>
      </c>
      <c r="G167" s="427">
        <v>12636.4</v>
      </c>
      <c r="H167" s="155">
        <v>6598.3</v>
      </c>
      <c r="I167">
        <v>10161.799999999999</v>
      </c>
      <c r="J167">
        <v>10965.599999999999</v>
      </c>
      <c r="K167">
        <v>12968.9</v>
      </c>
      <c r="L167" s="4">
        <v>11087</v>
      </c>
      <c r="M167" s="4">
        <v>11103.7</v>
      </c>
      <c r="N167" s="4">
        <v>8801</v>
      </c>
      <c r="P167">
        <v>10209.900000000001</v>
      </c>
      <c r="V167">
        <v>3840.1</v>
      </c>
      <c r="Y167">
        <v>2945.3999999999996</v>
      </c>
      <c r="AD167">
        <v>9047.1</v>
      </c>
      <c r="AJ167">
        <v>3604.8</v>
      </c>
      <c r="AN167">
        <v>1574.9</v>
      </c>
      <c r="AQ167">
        <v>1966.2</v>
      </c>
      <c r="AT167">
        <v>6477</v>
      </c>
      <c r="AZ167">
        <v>0</v>
      </c>
      <c r="BC167">
        <v>0</v>
      </c>
      <c r="BK167">
        <v>11178.8</v>
      </c>
      <c r="BU167">
        <v>0</v>
      </c>
      <c r="CE167">
        <v>3744.5</v>
      </c>
      <c r="CO167">
        <v>2089.9</v>
      </c>
      <c r="CY167">
        <v>1714</v>
      </c>
      <c r="DK167">
        <v>0</v>
      </c>
      <c r="DS167">
        <v>2034.1999999999998</v>
      </c>
      <c r="ED167">
        <v>2467.3000000000002</v>
      </c>
      <c r="EO167">
        <v>0</v>
      </c>
      <c r="EY167">
        <v>2968.5</v>
      </c>
      <c r="FI167">
        <v>5242.5</v>
      </c>
      <c r="FS167">
        <v>6102.7</v>
      </c>
      <c r="GD167">
        <v>5832.1</v>
      </c>
      <c r="GP167">
        <v>7389.4</v>
      </c>
      <c r="HB167">
        <v>3738.5</v>
      </c>
      <c r="HN167">
        <v>2411.6999999999998</v>
      </c>
    </row>
    <row r="168" spans="1:222" ht="18" thickBot="1">
      <c r="A168" s="584"/>
      <c r="B168" s="139" t="s">
        <v>401</v>
      </c>
      <c r="C168" s="324"/>
      <c r="D168" s="150"/>
      <c r="E168" s="434">
        <v>259.5</v>
      </c>
      <c r="F168" s="167">
        <v>395.8</v>
      </c>
      <c r="G168" s="427">
        <v>12636.4</v>
      </c>
      <c r="H168" s="155">
        <v>6598.3</v>
      </c>
      <c r="I168">
        <v>10161.799999999999</v>
      </c>
      <c r="J168">
        <v>10965.599999999999</v>
      </c>
      <c r="K168">
        <v>12968.9</v>
      </c>
      <c r="L168" s="4">
        <v>11087</v>
      </c>
      <c r="M168" s="4">
        <v>11103.7</v>
      </c>
      <c r="N168" s="4">
        <v>8801</v>
      </c>
      <c r="P168">
        <v>10209.900000000001</v>
      </c>
      <c r="V168">
        <v>3840.1</v>
      </c>
      <c r="Y168">
        <v>2945.3999999999996</v>
      </c>
      <c r="AD168">
        <v>9047.1</v>
      </c>
      <c r="AJ168">
        <v>3604.8</v>
      </c>
      <c r="AN168">
        <v>1574.9</v>
      </c>
      <c r="AQ168">
        <v>1966.2</v>
      </c>
      <c r="AT168">
        <v>6477</v>
      </c>
      <c r="AZ168">
        <v>0</v>
      </c>
      <c r="BC168">
        <v>0</v>
      </c>
      <c r="BK168">
        <v>11178.8</v>
      </c>
      <c r="BU168">
        <v>0</v>
      </c>
      <c r="CE168">
        <v>3744.5</v>
      </c>
      <c r="CO168">
        <v>2089.9</v>
      </c>
      <c r="CY168">
        <v>1714</v>
      </c>
      <c r="DK168">
        <v>0</v>
      </c>
      <c r="DS168">
        <v>2034.1999999999998</v>
      </c>
      <c r="ED168">
        <v>2467.3000000000002</v>
      </c>
      <c r="EO168">
        <v>0</v>
      </c>
      <c r="EY168">
        <v>2968.5</v>
      </c>
      <c r="FI168">
        <v>5242.5</v>
      </c>
      <c r="FS168">
        <v>6102.7</v>
      </c>
      <c r="GD168">
        <v>5832.1</v>
      </c>
      <c r="GP168">
        <v>7389.4</v>
      </c>
      <c r="HB168">
        <v>3738.5</v>
      </c>
      <c r="HN168">
        <v>2411.6999999999998</v>
      </c>
    </row>
    <row r="169" spans="1:222" ht="18" thickBot="1">
      <c r="A169" s="584"/>
      <c r="B169" s="139" t="s">
        <v>402</v>
      </c>
      <c r="C169" s="324"/>
      <c r="D169" s="150"/>
      <c r="E169" s="434">
        <v>259.5</v>
      </c>
      <c r="F169" s="167">
        <v>395.8</v>
      </c>
      <c r="G169" s="427">
        <v>12636.4</v>
      </c>
      <c r="H169" s="155">
        <v>6598.3</v>
      </c>
      <c r="I169">
        <v>10161.799999999999</v>
      </c>
      <c r="J169">
        <v>10965.599999999999</v>
      </c>
      <c r="K169">
        <v>12968.9</v>
      </c>
      <c r="L169" s="4">
        <v>11087</v>
      </c>
      <c r="M169" s="4">
        <v>11103.7</v>
      </c>
      <c r="N169" s="4">
        <v>8801</v>
      </c>
      <c r="P169">
        <v>10209.900000000001</v>
      </c>
      <c r="V169">
        <v>3840.1</v>
      </c>
      <c r="Y169">
        <v>2945.3999999999996</v>
      </c>
      <c r="AD169">
        <v>9047.1</v>
      </c>
      <c r="AJ169">
        <v>3604.8</v>
      </c>
      <c r="AN169">
        <v>1574.9</v>
      </c>
      <c r="AQ169">
        <v>1966.2</v>
      </c>
      <c r="AT169">
        <v>6477</v>
      </c>
      <c r="AZ169">
        <v>0</v>
      </c>
      <c r="BC169">
        <v>0</v>
      </c>
      <c r="BK169">
        <v>11178.8</v>
      </c>
      <c r="BU169">
        <v>0</v>
      </c>
      <c r="CE169">
        <v>3744.5</v>
      </c>
      <c r="CO169">
        <v>2089.9</v>
      </c>
      <c r="CY169">
        <v>1714</v>
      </c>
      <c r="DK169">
        <v>0</v>
      </c>
      <c r="DS169">
        <v>2034.1999999999998</v>
      </c>
      <c r="ED169">
        <v>2467.3000000000002</v>
      </c>
      <c r="EO169">
        <v>0</v>
      </c>
      <c r="EY169">
        <v>2968.5</v>
      </c>
      <c r="FI169">
        <v>5242.5</v>
      </c>
      <c r="FS169">
        <v>6102.7</v>
      </c>
      <c r="GD169">
        <v>5832.1</v>
      </c>
      <c r="GP169">
        <v>7389.4</v>
      </c>
      <c r="HB169">
        <v>3738.5</v>
      </c>
      <c r="HN169">
        <v>2411.6999999999998</v>
      </c>
    </row>
    <row r="170" spans="1:222" ht="18" thickBot="1">
      <c r="A170" s="584"/>
      <c r="B170" s="139" t="s">
        <v>403</v>
      </c>
      <c r="C170" s="324"/>
      <c r="D170" s="150" t="s">
        <v>792</v>
      </c>
      <c r="E170" s="434">
        <v>259.5</v>
      </c>
      <c r="F170" s="167">
        <v>395.8</v>
      </c>
      <c r="G170" s="427">
        <v>12636.4</v>
      </c>
      <c r="H170" s="155">
        <v>6598.3</v>
      </c>
      <c r="I170">
        <v>10161.799999999999</v>
      </c>
      <c r="J170">
        <v>10965.599999999999</v>
      </c>
      <c r="K170">
        <v>12968.9</v>
      </c>
      <c r="L170" s="4">
        <v>11087</v>
      </c>
      <c r="M170" s="4">
        <v>11103.7</v>
      </c>
      <c r="N170" s="4">
        <v>8801</v>
      </c>
      <c r="P170">
        <v>10209.900000000001</v>
      </c>
      <c r="V170">
        <v>3840.1</v>
      </c>
      <c r="Y170">
        <v>2945.3999999999996</v>
      </c>
      <c r="AD170">
        <v>9047.1</v>
      </c>
      <c r="AJ170">
        <v>3604.8</v>
      </c>
      <c r="AN170">
        <v>1574.9</v>
      </c>
      <c r="AQ170">
        <v>1966.2</v>
      </c>
      <c r="AT170">
        <v>6477</v>
      </c>
      <c r="AZ170">
        <v>0</v>
      </c>
      <c r="BC170">
        <v>0</v>
      </c>
      <c r="BK170">
        <v>11178.8</v>
      </c>
      <c r="BU170">
        <v>0</v>
      </c>
      <c r="CE170">
        <v>3744.5</v>
      </c>
      <c r="CO170">
        <v>2089.9</v>
      </c>
      <c r="CY170">
        <v>1714</v>
      </c>
      <c r="DK170">
        <v>0</v>
      </c>
      <c r="DS170">
        <v>2034.1999999999998</v>
      </c>
      <c r="ED170">
        <v>2467.3000000000002</v>
      </c>
      <c r="EO170">
        <v>0</v>
      </c>
      <c r="EY170">
        <v>2968.5</v>
      </c>
      <c r="FI170">
        <v>5242.5</v>
      </c>
      <c r="FS170">
        <v>6102.7</v>
      </c>
      <c r="GD170">
        <v>5832.1</v>
      </c>
      <c r="GP170">
        <v>7389.4</v>
      </c>
      <c r="HB170">
        <v>3738.5</v>
      </c>
      <c r="HN170">
        <v>2411.6999999999998</v>
      </c>
    </row>
    <row r="171" spans="1:222" ht="18" thickBot="1">
      <c r="A171" s="584"/>
      <c r="B171" s="139" t="s">
        <v>404</v>
      </c>
      <c r="C171" s="324"/>
      <c r="D171" s="150" t="s">
        <v>792</v>
      </c>
      <c r="E171" s="434">
        <v>259.5</v>
      </c>
      <c r="F171" s="167">
        <v>395.8</v>
      </c>
      <c r="G171" s="427">
        <v>12636.4</v>
      </c>
      <c r="H171" s="155">
        <v>6598.3</v>
      </c>
      <c r="I171">
        <v>10161.799999999999</v>
      </c>
      <c r="J171">
        <v>10965.599999999999</v>
      </c>
      <c r="K171">
        <v>12968.9</v>
      </c>
      <c r="L171" s="4">
        <v>11087</v>
      </c>
      <c r="M171" s="4">
        <v>11103.7</v>
      </c>
      <c r="N171" s="4">
        <v>8801</v>
      </c>
      <c r="P171">
        <v>10209.900000000001</v>
      </c>
      <c r="V171">
        <v>3840.1</v>
      </c>
      <c r="Y171">
        <v>2945.3999999999996</v>
      </c>
      <c r="AD171">
        <v>9047.1</v>
      </c>
      <c r="AJ171">
        <v>3604.8</v>
      </c>
      <c r="AN171">
        <v>1574.9</v>
      </c>
      <c r="AQ171">
        <v>1966.2</v>
      </c>
      <c r="AT171">
        <v>6477</v>
      </c>
      <c r="AZ171">
        <v>0</v>
      </c>
      <c r="BC171">
        <v>0</v>
      </c>
      <c r="BK171">
        <v>11178.8</v>
      </c>
      <c r="BU171">
        <v>0</v>
      </c>
      <c r="CE171">
        <v>3744.5</v>
      </c>
      <c r="CO171">
        <v>2089.9</v>
      </c>
      <c r="CY171">
        <v>1714</v>
      </c>
      <c r="DK171">
        <v>0</v>
      </c>
      <c r="DS171">
        <v>2034.1999999999998</v>
      </c>
      <c r="ED171">
        <v>2467.3000000000002</v>
      </c>
      <c r="EO171">
        <v>0</v>
      </c>
      <c r="EY171">
        <v>2968.5</v>
      </c>
      <c r="FI171">
        <v>5242.5</v>
      </c>
      <c r="FS171">
        <v>6102.7</v>
      </c>
      <c r="GD171">
        <v>5832.1</v>
      </c>
      <c r="GP171">
        <v>7389.4</v>
      </c>
      <c r="HB171">
        <v>3738.5</v>
      </c>
      <c r="HN171">
        <v>2411.6999999999998</v>
      </c>
    </row>
    <row r="172" spans="1:222" ht="18" thickBot="1">
      <c r="A172" s="584"/>
      <c r="B172" s="139" t="s">
        <v>405</v>
      </c>
      <c r="C172" s="324"/>
      <c r="D172" s="150"/>
      <c r="E172" s="434">
        <v>259.5</v>
      </c>
      <c r="F172" s="167">
        <v>395.8</v>
      </c>
      <c r="G172" s="427">
        <v>12636.4</v>
      </c>
      <c r="H172" s="155">
        <v>6598.3</v>
      </c>
      <c r="I172">
        <v>10161.799999999999</v>
      </c>
      <c r="J172">
        <v>10965.599999999999</v>
      </c>
      <c r="K172">
        <v>12968.9</v>
      </c>
      <c r="L172" s="4">
        <v>11087</v>
      </c>
      <c r="M172" s="4">
        <v>11103.7</v>
      </c>
      <c r="N172" s="4">
        <v>8801</v>
      </c>
      <c r="P172">
        <v>10209.900000000001</v>
      </c>
      <c r="V172">
        <v>3840.1</v>
      </c>
      <c r="Y172">
        <v>2945.3999999999996</v>
      </c>
      <c r="AD172">
        <v>9047.1</v>
      </c>
      <c r="AJ172">
        <v>3604.8</v>
      </c>
      <c r="AN172">
        <v>1574.9</v>
      </c>
      <c r="AQ172">
        <v>1966.2</v>
      </c>
      <c r="AT172">
        <v>6477</v>
      </c>
      <c r="AZ172">
        <v>0</v>
      </c>
      <c r="BC172">
        <v>0</v>
      </c>
      <c r="BK172">
        <v>11178.8</v>
      </c>
      <c r="BU172">
        <v>0</v>
      </c>
      <c r="CE172">
        <v>3744.5</v>
      </c>
      <c r="CO172">
        <v>2089.9</v>
      </c>
      <c r="CY172">
        <v>1714</v>
      </c>
      <c r="DK172">
        <v>0</v>
      </c>
      <c r="DS172">
        <v>2034.1999999999998</v>
      </c>
      <c r="ED172">
        <v>2467.3000000000002</v>
      </c>
      <c r="EO172">
        <v>0</v>
      </c>
      <c r="EY172">
        <v>2968.5</v>
      </c>
      <c r="FI172">
        <v>5242.5</v>
      </c>
      <c r="FS172">
        <v>6102.7</v>
      </c>
      <c r="GD172">
        <v>5832.1</v>
      </c>
      <c r="GP172">
        <v>7389.4</v>
      </c>
      <c r="HB172">
        <v>3738.5</v>
      </c>
      <c r="HN172">
        <v>2411.6999999999998</v>
      </c>
    </row>
    <row r="173" spans="1:222" ht="18" thickBot="1">
      <c r="A173" s="584"/>
      <c r="B173" s="139" t="s">
        <v>406</v>
      </c>
      <c r="C173" s="324"/>
      <c r="D173" s="150" t="s">
        <v>793</v>
      </c>
      <c r="E173" s="434">
        <v>259.5</v>
      </c>
      <c r="F173" s="167">
        <v>395.8</v>
      </c>
      <c r="G173" s="427">
        <v>12636.4</v>
      </c>
      <c r="H173" s="155">
        <v>6598.3</v>
      </c>
      <c r="I173">
        <v>10161.799999999999</v>
      </c>
      <c r="J173">
        <v>10965.599999999999</v>
      </c>
      <c r="K173">
        <v>12968.9</v>
      </c>
      <c r="L173" s="4">
        <v>11087</v>
      </c>
      <c r="M173" s="4">
        <v>11103.7</v>
      </c>
      <c r="N173" s="4">
        <v>8801</v>
      </c>
      <c r="P173">
        <v>10209.900000000001</v>
      </c>
      <c r="V173">
        <v>3840.1</v>
      </c>
      <c r="Y173">
        <v>2945.3999999999996</v>
      </c>
      <c r="AD173">
        <v>9047.1</v>
      </c>
      <c r="AJ173">
        <v>3604.8</v>
      </c>
      <c r="AN173">
        <v>1574.9</v>
      </c>
      <c r="AQ173">
        <v>1966.2</v>
      </c>
      <c r="AT173">
        <v>6477</v>
      </c>
      <c r="AZ173">
        <v>0</v>
      </c>
      <c r="BC173">
        <v>0</v>
      </c>
      <c r="BK173">
        <v>11178.8</v>
      </c>
      <c r="BU173">
        <v>0</v>
      </c>
      <c r="CE173">
        <v>3744.5</v>
      </c>
      <c r="CO173">
        <v>2089.9</v>
      </c>
      <c r="CY173">
        <v>1714</v>
      </c>
      <c r="DK173">
        <v>0</v>
      </c>
      <c r="DS173">
        <v>2034.1999999999998</v>
      </c>
      <c r="ED173">
        <v>2467.3000000000002</v>
      </c>
      <c r="EO173">
        <v>0</v>
      </c>
      <c r="EY173">
        <v>2968.5</v>
      </c>
      <c r="FI173">
        <v>5242.5</v>
      </c>
      <c r="FS173">
        <v>6102.7</v>
      </c>
      <c r="GD173">
        <v>5832.1</v>
      </c>
      <c r="GP173">
        <v>7389.4</v>
      </c>
      <c r="HB173">
        <v>3738.5</v>
      </c>
      <c r="HN173">
        <v>2411.6999999999998</v>
      </c>
    </row>
    <row r="174" spans="1:222" ht="18" thickBot="1">
      <c r="A174" s="585"/>
      <c r="B174" s="140" t="s">
        <v>407</v>
      </c>
      <c r="C174" s="325"/>
      <c r="D174" s="151"/>
      <c r="E174" s="434">
        <v>259.5</v>
      </c>
      <c r="F174" s="167">
        <v>395.8</v>
      </c>
      <c r="G174" s="427">
        <v>12636.4</v>
      </c>
      <c r="H174" s="155">
        <v>6598.3</v>
      </c>
      <c r="I174">
        <v>10161.799999999999</v>
      </c>
      <c r="J174">
        <v>10965.599999999999</v>
      </c>
      <c r="K174">
        <v>12968.9</v>
      </c>
      <c r="L174" s="4">
        <v>11087</v>
      </c>
      <c r="M174" s="4">
        <v>11103.7</v>
      </c>
      <c r="N174" s="4">
        <v>8801</v>
      </c>
      <c r="P174">
        <v>10209.900000000001</v>
      </c>
      <c r="V174">
        <v>3840.1</v>
      </c>
      <c r="Y174">
        <v>2945.3999999999996</v>
      </c>
      <c r="AD174">
        <v>9047.1</v>
      </c>
      <c r="AJ174">
        <v>3604.8</v>
      </c>
      <c r="AN174">
        <v>1574.9</v>
      </c>
      <c r="AQ174">
        <v>1966.2</v>
      </c>
      <c r="AT174">
        <v>6477</v>
      </c>
      <c r="AZ174">
        <v>0</v>
      </c>
      <c r="BC174">
        <v>0</v>
      </c>
      <c r="BK174">
        <v>11178.8</v>
      </c>
      <c r="BU174">
        <v>0</v>
      </c>
      <c r="CE174">
        <v>3744.5</v>
      </c>
      <c r="CO174">
        <v>2089.9</v>
      </c>
      <c r="CY174">
        <v>1714</v>
      </c>
      <c r="DK174">
        <v>0</v>
      </c>
      <c r="DS174">
        <v>2034.1999999999998</v>
      </c>
      <c r="ED174">
        <v>2467.3000000000002</v>
      </c>
      <c r="EO174">
        <v>0</v>
      </c>
      <c r="EY174">
        <v>2968.5</v>
      </c>
      <c r="FI174">
        <v>5242.5</v>
      </c>
      <c r="FS174">
        <v>6102.7</v>
      </c>
      <c r="GD174">
        <v>5832.1</v>
      </c>
      <c r="GP174">
        <v>7389.4</v>
      </c>
      <c r="HB174">
        <v>3738.5</v>
      </c>
      <c r="HN174">
        <v>2411.6999999999998</v>
      </c>
    </row>
    <row r="175" spans="1:222" ht="18.600000000000001" thickTop="1" thickBot="1">
      <c r="A175" s="586" t="s">
        <v>317</v>
      </c>
      <c r="B175" s="138" t="s">
        <v>387</v>
      </c>
      <c r="C175" s="320"/>
      <c r="D175" s="149" t="s">
        <v>794</v>
      </c>
      <c r="E175" s="434">
        <v>259.5</v>
      </c>
      <c r="F175" s="167">
        <v>395.8</v>
      </c>
      <c r="G175" s="427">
        <v>12636.4</v>
      </c>
      <c r="H175" s="155">
        <v>6598.3</v>
      </c>
      <c r="I175">
        <v>10161.799999999999</v>
      </c>
      <c r="J175">
        <v>10965.599999999999</v>
      </c>
      <c r="K175">
        <v>12968.9</v>
      </c>
      <c r="L175" s="4">
        <v>11087</v>
      </c>
      <c r="M175" s="4">
        <v>11103.7</v>
      </c>
      <c r="N175" s="4">
        <v>8801</v>
      </c>
      <c r="P175">
        <v>10209.900000000001</v>
      </c>
      <c r="V175">
        <v>3840.1</v>
      </c>
      <c r="Y175">
        <v>2945.3999999999996</v>
      </c>
      <c r="AD175">
        <v>9047.1</v>
      </c>
      <c r="AJ175">
        <v>3604.8</v>
      </c>
      <c r="AN175">
        <v>1574.9</v>
      </c>
      <c r="AQ175">
        <v>1966.2</v>
      </c>
      <c r="AT175">
        <v>6477</v>
      </c>
      <c r="AZ175">
        <v>0</v>
      </c>
      <c r="BC175">
        <v>0</v>
      </c>
      <c r="BK175">
        <v>11178.8</v>
      </c>
      <c r="BU175">
        <v>0</v>
      </c>
      <c r="CE175">
        <v>3744.5</v>
      </c>
      <c r="CO175">
        <v>2089.9</v>
      </c>
      <c r="CY175">
        <v>1714</v>
      </c>
      <c r="DK175">
        <v>0</v>
      </c>
      <c r="DS175">
        <v>2034.1999999999998</v>
      </c>
      <c r="ED175">
        <v>2467.3000000000002</v>
      </c>
      <c r="EO175">
        <v>0</v>
      </c>
      <c r="EY175">
        <v>2968.5</v>
      </c>
      <c r="FI175">
        <v>5242.5</v>
      </c>
      <c r="FS175">
        <v>6102.7</v>
      </c>
      <c r="GD175">
        <v>5832.1</v>
      </c>
      <c r="GP175">
        <v>7389.4</v>
      </c>
      <c r="HB175">
        <v>3738.5</v>
      </c>
      <c r="HN175">
        <v>2411.6999999999998</v>
      </c>
    </row>
    <row r="176" spans="1:222" ht="18" thickBot="1">
      <c r="A176" s="587"/>
      <c r="B176" s="139" t="s">
        <v>388</v>
      </c>
      <c r="C176" s="321"/>
      <c r="D176" s="150"/>
      <c r="E176" s="434">
        <v>259.5</v>
      </c>
      <c r="F176" s="168">
        <v>395.8</v>
      </c>
      <c r="G176" s="427">
        <v>12636.4</v>
      </c>
      <c r="H176" s="155">
        <v>6598.3</v>
      </c>
      <c r="I176">
        <v>10161.799999999999</v>
      </c>
      <c r="J176">
        <v>10965.599999999999</v>
      </c>
      <c r="K176">
        <v>12968.9</v>
      </c>
      <c r="L176" s="4">
        <v>11087</v>
      </c>
      <c r="M176" s="4">
        <v>11103.7</v>
      </c>
      <c r="N176" s="4">
        <v>8801</v>
      </c>
      <c r="P176">
        <v>10209.900000000001</v>
      </c>
      <c r="V176">
        <v>3840.1</v>
      </c>
      <c r="Y176">
        <v>2945.3999999999996</v>
      </c>
      <c r="AD176">
        <v>9047.1</v>
      </c>
      <c r="AJ176">
        <v>3604.8</v>
      </c>
      <c r="AN176">
        <v>1574.9</v>
      </c>
      <c r="AQ176">
        <v>1966.2</v>
      </c>
      <c r="AT176">
        <v>6477</v>
      </c>
      <c r="AZ176">
        <v>0</v>
      </c>
      <c r="BC176">
        <v>0</v>
      </c>
      <c r="BK176">
        <v>11178.8</v>
      </c>
      <c r="BU176">
        <v>0</v>
      </c>
      <c r="CE176">
        <v>3744.5</v>
      </c>
      <c r="CO176">
        <v>2089.9</v>
      </c>
      <c r="CY176">
        <v>1714</v>
      </c>
      <c r="DK176">
        <v>0</v>
      </c>
      <c r="DS176">
        <v>2034.1999999999998</v>
      </c>
      <c r="ED176">
        <v>2467.3000000000002</v>
      </c>
      <c r="EO176">
        <v>0</v>
      </c>
      <c r="EY176">
        <v>2968.5</v>
      </c>
      <c r="FI176">
        <v>5242.5</v>
      </c>
      <c r="FS176">
        <v>6102.7</v>
      </c>
      <c r="GD176">
        <v>5832.1</v>
      </c>
      <c r="GP176">
        <v>7389.4</v>
      </c>
      <c r="HB176">
        <v>3738.5</v>
      </c>
      <c r="HN176">
        <v>2411.6999999999998</v>
      </c>
    </row>
    <row r="177" spans="1:222" ht="18.600000000000001" thickTop="1" thickBot="1">
      <c r="A177" s="587"/>
      <c r="B177" s="139" t="s">
        <v>389</v>
      </c>
      <c r="C177" s="321"/>
      <c r="D177" s="150" t="s">
        <v>794</v>
      </c>
      <c r="E177" s="433">
        <v>259.5</v>
      </c>
      <c r="F177" s="166">
        <v>395.8</v>
      </c>
      <c r="G177" s="427">
        <v>12636.4</v>
      </c>
      <c r="H177" s="155">
        <v>6598.3</v>
      </c>
      <c r="I177">
        <v>10161.799999999999</v>
      </c>
      <c r="J177">
        <v>10965.599999999999</v>
      </c>
      <c r="K177">
        <v>12968.9</v>
      </c>
      <c r="L177" s="4">
        <v>11087</v>
      </c>
      <c r="M177" s="4">
        <v>11103.7</v>
      </c>
      <c r="N177" s="4">
        <v>8801</v>
      </c>
      <c r="P177">
        <v>10209.900000000001</v>
      </c>
      <c r="V177">
        <v>3840.1</v>
      </c>
      <c r="Y177">
        <v>2945.3999999999996</v>
      </c>
      <c r="AD177">
        <v>9047.1</v>
      </c>
      <c r="AJ177">
        <v>3604.8</v>
      </c>
      <c r="AN177">
        <v>1574.9</v>
      </c>
      <c r="AQ177">
        <v>1966.2</v>
      </c>
      <c r="AT177">
        <v>6477</v>
      </c>
      <c r="AZ177">
        <v>0</v>
      </c>
      <c r="BC177">
        <v>0</v>
      </c>
      <c r="BK177">
        <v>11178.8</v>
      </c>
      <c r="BU177">
        <v>0</v>
      </c>
      <c r="CE177">
        <v>3744.5</v>
      </c>
      <c r="CO177">
        <v>2089.9</v>
      </c>
      <c r="CY177">
        <v>1714</v>
      </c>
      <c r="DK177">
        <v>0</v>
      </c>
      <c r="DS177">
        <v>2034.1999999999998</v>
      </c>
      <c r="ED177">
        <v>2467.3000000000002</v>
      </c>
      <c r="EO177">
        <v>0</v>
      </c>
      <c r="EY177">
        <v>2968.5</v>
      </c>
      <c r="FI177">
        <v>5242.5</v>
      </c>
      <c r="FS177">
        <v>6102.7</v>
      </c>
      <c r="GD177">
        <v>5832.1</v>
      </c>
      <c r="GP177">
        <v>7389.4</v>
      </c>
      <c r="HB177">
        <v>3738.5</v>
      </c>
      <c r="HN177">
        <v>2411.6999999999998</v>
      </c>
    </row>
    <row r="178" spans="1:222" ht="18" thickBot="1">
      <c r="A178" s="587"/>
      <c r="B178" s="139" t="s">
        <v>390</v>
      </c>
      <c r="C178" s="321"/>
      <c r="D178" s="150" t="s">
        <v>795</v>
      </c>
      <c r="E178" s="434">
        <v>259.5</v>
      </c>
      <c r="F178" s="167">
        <v>395.8</v>
      </c>
      <c r="G178" s="427">
        <v>12636.4</v>
      </c>
      <c r="H178" s="155">
        <v>6598.3</v>
      </c>
      <c r="I178">
        <v>10161.799999999999</v>
      </c>
      <c r="J178">
        <v>10965.599999999999</v>
      </c>
      <c r="K178">
        <v>12968.9</v>
      </c>
      <c r="L178" s="4">
        <v>11087</v>
      </c>
      <c r="M178" s="4">
        <v>11103.7</v>
      </c>
      <c r="N178" s="4">
        <v>8801</v>
      </c>
      <c r="P178">
        <v>10209.900000000001</v>
      </c>
      <c r="V178">
        <v>3840.1</v>
      </c>
      <c r="Y178">
        <v>2945.3999999999996</v>
      </c>
      <c r="AD178">
        <v>9047.1</v>
      </c>
      <c r="AJ178">
        <v>3604.8</v>
      </c>
      <c r="AN178">
        <v>1574.9</v>
      </c>
      <c r="AQ178">
        <v>1966.2</v>
      </c>
      <c r="AT178">
        <v>6477</v>
      </c>
      <c r="AZ178">
        <v>0</v>
      </c>
      <c r="BC178">
        <v>0</v>
      </c>
      <c r="BK178">
        <v>11178.8</v>
      </c>
      <c r="BU178">
        <v>0</v>
      </c>
      <c r="CE178">
        <v>3744.5</v>
      </c>
      <c r="CO178">
        <v>2089.9</v>
      </c>
      <c r="CY178">
        <v>1714</v>
      </c>
      <c r="DK178">
        <v>0</v>
      </c>
      <c r="DS178">
        <v>2034.1999999999998</v>
      </c>
      <c r="ED178">
        <v>2467.3000000000002</v>
      </c>
      <c r="EO178">
        <v>0</v>
      </c>
      <c r="EY178">
        <v>2968.5</v>
      </c>
      <c r="FI178">
        <v>5242.5</v>
      </c>
      <c r="FS178">
        <v>6102.7</v>
      </c>
      <c r="GD178">
        <v>5832.1</v>
      </c>
      <c r="GP178">
        <v>7389.4</v>
      </c>
      <c r="HB178">
        <v>3738.5</v>
      </c>
      <c r="HN178">
        <v>2411.6999999999998</v>
      </c>
    </row>
    <row r="179" spans="1:222" ht="18" thickBot="1">
      <c r="A179" s="587"/>
      <c r="B179" s="139" t="s">
        <v>391</v>
      </c>
      <c r="C179" s="321"/>
      <c r="D179" s="150" t="s">
        <v>778</v>
      </c>
      <c r="E179" s="434">
        <v>259.5</v>
      </c>
      <c r="F179" s="167">
        <v>395.8</v>
      </c>
      <c r="G179" s="427">
        <v>12636.4</v>
      </c>
      <c r="H179" s="155">
        <v>6598.3</v>
      </c>
      <c r="I179">
        <v>10161.799999999999</v>
      </c>
      <c r="J179">
        <v>10965.599999999999</v>
      </c>
      <c r="K179">
        <v>12968.9</v>
      </c>
      <c r="L179" s="4">
        <v>11087</v>
      </c>
      <c r="M179" s="4">
        <v>11103.7</v>
      </c>
      <c r="N179" s="4">
        <v>8801</v>
      </c>
      <c r="P179">
        <v>10209.900000000001</v>
      </c>
      <c r="V179">
        <v>3840.1</v>
      </c>
      <c r="Y179">
        <v>2945.3999999999996</v>
      </c>
      <c r="AD179">
        <v>9047.1</v>
      </c>
      <c r="AJ179">
        <v>3604.8</v>
      </c>
      <c r="AN179">
        <v>1574.9</v>
      </c>
      <c r="AQ179">
        <v>1966.2</v>
      </c>
      <c r="AT179">
        <v>6477</v>
      </c>
      <c r="AZ179">
        <v>0</v>
      </c>
      <c r="BC179">
        <v>0</v>
      </c>
      <c r="BK179">
        <v>11178.8</v>
      </c>
      <c r="BU179">
        <v>0</v>
      </c>
      <c r="CE179">
        <v>3744.5</v>
      </c>
      <c r="CO179">
        <v>2089.9</v>
      </c>
      <c r="CY179">
        <v>1714</v>
      </c>
      <c r="DK179">
        <v>0</v>
      </c>
      <c r="DS179">
        <v>2034.1999999999998</v>
      </c>
      <c r="ED179">
        <v>2467.3000000000002</v>
      </c>
      <c r="EO179">
        <v>0</v>
      </c>
      <c r="EY179">
        <v>2968.5</v>
      </c>
      <c r="FI179">
        <v>5242.5</v>
      </c>
      <c r="FS179">
        <v>6102.7</v>
      </c>
      <c r="GD179">
        <v>5832.1</v>
      </c>
      <c r="GP179">
        <v>7389.4</v>
      </c>
      <c r="HB179">
        <v>3738.5</v>
      </c>
      <c r="HN179">
        <v>2411.6999999999998</v>
      </c>
    </row>
    <row r="180" spans="1:222" ht="18" thickBot="1">
      <c r="A180" s="587"/>
      <c r="B180" s="139" t="s">
        <v>392</v>
      </c>
      <c r="C180" s="321"/>
      <c r="D180" s="150" t="s">
        <v>778</v>
      </c>
      <c r="E180" s="434">
        <v>259.5</v>
      </c>
      <c r="F180" s="167">
        <v>395.8</v>
      </c>
      <c r="G180" s="427">
        <v>12636.4</v>
      </c>
      <c r="H180" s="155">
        <v>6598.3</v>
      </c>
      <c r="I180">
        <v>10161.799999999999</v>
      </c>
      <c r="J180">
        <v>10965.599999999999</v>
      </c>
      <c r="K180">
        <v>12968.9</v>
      </c>
      <c r="L180" s="4">
        <v>11087</v>
      </c>
      <c r="M180" s="4">
        <v>11103.7</v>
      </c>
      <c r="N180" s="4">
        <v>8801</v>
      </c>
      <c r="P180">
        <v>10209.900000000001</v>
      </c>
      <c r="V180">
        <v>3840.1</v>
      </c>
      <c r="Y180">
        <v>2945.3999999999996</v>
      </c>
      <c r="AD180">
        <v>9047.1</v>
      </c>
      <c r="AJ180">
        <v>3604.8</v>
      </c>
      <c r="AN180">
        <v>1574.9</v>
      </c>
      <c r="AQ180">
        <v>1966.2</v>
      </c>
      <c r="AT180">
        <v>6477</v>
      </c>
      <c r="AZ180">
        <v>0</v>
      </c>
      <c r="BC180">
        <v>0</v>
      </c>
      <c r="BK180">
        <v>11178.8</v>
      </c>
      <c r="BU180">
        <v>0</v>
      </c>
      <c r="CE180">
        <v>3744.5</v>
      </c>
      <c r="CO180">
        <v>2089.9</v>
      </c>
      <c r="CY180">
        <v>1714</v>
      </c>
      <c r="DK180">
        <v>0</v>
      </c>
      <c r="DS180">
        <v>2034.1999999999998</v>
      </c>
      <c r="ED180">
        <v>2467.3000000000002</v>
      </c>
      <c r="EO180">
        <v>0</v>
      </c>
      <c r="EY180">
        <v>2968.5</v>
      </c>
      <c r="FI180">
        <v>5242.5</v>
      </c>
      <c r="FS180">
        <v>6102.7</v>
      </c>
      <c r="GD180">
        <v>5832.1</v>
      </c>
      <c r="GP180">
        <v>7389.4</v>
      </c>
      <c r="HB180">
        <v>3738.5</v>
      </c>
      <c r="HN180">
        <v>2411.6999999999998</v>
      </c>
    </row>
    <row r="181" spans="1:222" ht="18" thickBot="1">
      <c r="A181" s="587"/>
      <c r="B181" s="139" t="s">
        <v>393</v>
      </c>
      <c r="C181" s="321"/>
      <c r="D181" s="150" t="s">
        <v>795</v>
      </c>
      <c r="E181" s="434">
        <v>259.5</v>
      </c>
      <c r="F181" s="167">
        <v>395.8</v>
      </c>
      <c r="G181" s="427">
        <v>12636.4</v>
      </c>
      <c r="H181" s="155">
        <v>6598.3</v>
      </c>
      <c r="I181">
        <v>10161.799999999999</v>
      </c>
      <c r="J181">
        <v>10965.599999999999</v>
      </c>
      <c r="K181">
        <v>12968.9</v>
      </c>
      <c r="L181" s="4">
        <v>11087</v>
      </c>
      <c r="M181" s="4">
        <v>11103.7</v>
      </c>
      <c r="N181" s="4">
        <v>8801</v>
      </c>
      <c r="P181">
        <v>10209.900000000001</v>
      </c>
      <c r="V181">
        <v>3840.1</v>
      </c>
      <c r="Y181">
        <v>2945.3999999999996</v>
      </c>
      <c r="AD181">
        <v>9047.1</v>
      </c>
      <c r="AJ181">
        <v>3604.8</v>
      </c>
      <c r="AN181">
        <v>1574.9</v>
      </c>
      <c r="AQ181">
        <v>1966.2</v>
      </c>
      <c r="AT181">
        <v>6477</v>
      </c>
      <c r="AZ181">
        <v>0</v>
      </c>
      <c r="BC181">
        <v>0</v>
      </c>
      <c r="BK181">
        <v>11178.8</v>
      </c>
      <c r="BU181">
        <v>0</v>
      </c>
      <c r="CE181">
        <v>3744.5</v>
      </c>
      <c r="CO181">
        <v>2089.9</v>
      </c>
      <c r="CY181">
        <v>1714</v>
      </c>
      <c r="DK181">
        <v>0</v>
      </c>
      <c r="DS181">
        <v>2034.1999999999998</v>
      </c>
      <c r="ED181">
        <v>2467.3000000000002</v>
      </c>
      <c r="EO181">
        <v>0</v>
      </c>
      <c r="EY181">
        <v>2968.5</v>
      </c>
      <c r="FI181">
        <v>5242.5</v>
      </c>
      <c r="FS181">
        <v>6102.7</v>
      </c>
      <c r="GD181">
        <v>5832.1</v>
      </c>
      <c r="GP181">
        <v>7389.4</v>
      </c>
      <c r="HB181">
        <v>3738.5</v>
      </c>
      <c r="HN181">
        <v>2411.6999999999998</v>
      </c>
    </row>
    <row r="182" spans="1:222" ht="18" thickBot="1">
      <c r="A182" s="587"/>
      <c r="B182" s="139" t="s">
        <v>394</v>
      </c>
      <c r="C182" s="321"/>
      <c r="D182" s="150" t="s">
        <v>778</v>
      </c>
      <c r="E182" s="434">
        <v>259.5</v>
      </c>
      <c r="F182" s="167">
        <v>395.8</v>
      </c>
      <c r="G182" s="427">
        <v>12636.4</v>
      </c>
      <c r="H182" s="155">
        <v>6598.3</v>
      </c>
      <c r="I182">
        <v>10161.799999999999</v>
      </c>
      <c r="J182">
        <v>10965.599999999999</v>
      </c>
      <c r="K182">
        <v>12968.9</v>
      </c>
      <c r="L182" s="4">
        <v>11087</v>
      </c>
      <c r="M182" s="4">
        <v>11103.7</v>
      </c>
      <c r="N182" s="4">
        <v>8801</v>
      </c>
      <c r="P182">
        <v>10209.900000000001</v>
      </c>
      <c r="V182">
        <v>3840.1</v>
      </c>
      <c r="Y182">
        <v>2945.3999999999996</v>
      </c>
      <c r="AD182">
        <v>9047.1</v>
      </c>
      <c r="AJ182">
        <v>3604.8</v>
      </c>
      <c r="AN182">
        <v>1574.9</v>
      </c>
      <c r="AQ182">
        <v>1966.2</v>
      </c>
      <c r="AT182">
        <v>6477</v>
      </c>
      <c r="AZ182">
        <v>0</v>
      </c>
      <c r="BC182">
        <v>0</v>
      </c>
      <c r="BK182">
        <v>11178.8</v>
      </c>
      <c r="BU182">
        <v>0</v>
      </c>
      <c r="CE182">
        <v>3744.5</v>
      </c>
      <c r="CO182">
        <v>2089.9</v>
      </c>
      <c r="CY182">
        <v>1714</v>
      </c>
      <c r="DK182">
        <v>0</v>
      </c>
      <c r="DS182">
        <v>2034.1999999999998</v>
      </c>
      <c r="ED182">
        <v>2467.3000000000002</v>
      </c>
      <c r="EO182">
        <v>0</v>
      </c>
      <c r="EY182">
        <v>2968.5</v>
      </c>
      <c r="FI182">
        <v>5242.5</v>
      </c>
      <c r="FS182">
        <v>6102.7</v>
      </c>
      <c r="GD182">
        <v>5832.1</v>
      </c>
      <c r="GP182">
        <v>7389.4</v>
      </c>
      <c r="HB182">
        <v>3738.5</v>
      </c>
      <c r="HN182">
        <v>2411.6999999999998</v>
      </c>
    </row>
    <row r="183" spans="1:222" ht="18" thickBot="1">
      <c r="A183" s="587"/>
      <c r="B183" s="139" t="s">
        <v>395</v>
      </c>
      <c r="C183" s="321"/>
      <c r="D183" s="150" t="s">
        <v>778</v>
      </c>
      <c r="E183" s="434">
        <v>259.5</v>
      </c>
      <c r="F183" s="167">
        <v>395.8</v>
      </c>
      <c r="G183" s="427">
        <v>12636.4</v>
      </c>
      <c r="H183" s="155">
        <v>6598.3</v>
      </c>
      <c r="I183">
        <v>10161.799999999999</v>
      </c>
      <c r="J183">
        <v>10965.599999999999</v>
      </c>
      <c r="K183">
        <v>12968.9</v>
      </c>
      <c r="L183" s="4">
        <v>11087</v>
      </c>
      <c r="M183" s="4">
        <v>11103.7</v>
      </c>
      <c r="N183" s="4">
        <v>8801</v>
      </c>
      <c r="P183">
        <v>10209.900000000001</v>
      </c>
      <c r="V183">
        <v>3840.1</v>
      </c>
      <c r="Y183">
        <v>2945.3999999999996</v>
      </c>
      <c r="AD183">
        <v>9047.1</v>
      </c>
      <c r="AJ183">
        <v>3604.8</v>
      </c>
      <c r="AN183">
        <v>1574.9</v>
      </c>
      <c r="AQ183">
        <v>1966.2</v>
      </c>
      <c r="AT183">
        <v>6477</v>
      </c>
      <c r="AZ183">
        <v>0</v>
      </c>
      <c r="BC183">
        <v>0</v>
      </c>
      <c r="BK183">
        <v>11178.8</v>
      </c>
      <c r="BU183">
        <v>0</v>
      </c>
      <c r="CE183">
        <v>3744.5</v>
      </c>
      <c r="CO183">
        <v>2089.9</v>
      </c>
      <c r="CY183">
        <v>1714</v>
      </c>
      <c r="DK183">
        <v>0</v>
      </c>
      <c r="DS183">
        <v>2034.1999999999998</v>
      </c>
      <c r="ED183">
        <v>2467.3000000000002</v>
      </c>
      <c r="EO183">
        <v>0</v>
      </c>
      <c r="EY183">
        <v>2968.5</v>
      </c>
      <c r="FI183">
        <v>5242.5</v>
      </c>
      <c r="FS183">
        <v>6102.7</v>
      </c>
      <c r="GD183">
        <v>5832.1</v>
      </c>
      <c r="GP183">
        <v>7389.4</v>
      </c>
      <c r="HB183">
        <v>3738.5</v>
      </c>
      <c r="HN183">
        <v>2411.6999999999998</v>
      </c>
    </row>
    <row r="184" spans="1:222" ht="18" thickBot="1">
      <c r="A184" s="587"/>
      <c r="B184" s="139" t="s">
        <v>396</v>
      </c>
      <c r="C184" s="321"/>
      <c r="D184" s="150"/>
      <c r="E184" s="434">
        <v>259.5</v>
      </c>
      <c r="F184" s="167">
        <v>395.8</v>
      </c>
      <c r="G184" s="427">
        <v>12636.4</v>
      </c>
      <c r="H184" s="155">
        <v>6598.3</v>
      </c>
      <c r="I184">
        <v>10161.799999999999</v>
      </c>
      <c r="J184">
        <v>10965.599999999999</v>
      </c>
      <c r="K184">
        <v>12968.9</v>
      </c>
      <c r="L184" s="4">
        <v>11087</v>
      </c>
      <c r="M184" s="4">
        <v>11103.7</v>
      </c>
      <c r="N184" s="4">
        <v>8801</v>
      </c>
      <c r="P184">
        <v>10209.900000000001</v>
      </c>
      <c r="V184">
        <v>3840.1</v>
      </c>
      <c r="Y184">
        <v>2945.3999999999996</v>
      </c>
      <c r="AD184">
        <v>9047.1</v>
      </c>
      <c r="AJ184">
        <v>3604.8</v>
      </c>
      <c r="AN184">
        <v>1574.9</v>
      </c>
      <c r="AQ184">
        <v>1966.2</v>
      </c>
      <c r="AT184">
        <v>6477</v>
      </c>
      <c r="AZ184">
        <v>0</v>
      </c>
      <c r="BC184">
        <v>0</v>
      </c>
      <c r="BK184">
        <v>11178.8</v>
      </c>
      <c r="BU184">
        <v>0</v>
      </c>
      <c r="CE184">
        <v>3744.5</v>
      </c>
      <c r="CO184">
        <v>2089.9</v>
      </c>
      <c r="CY184">
        <v>1714</v>
      </c>
      <c r="DK184">
        <v>0</v>
      </c>
      <c r="DS184">
        <v>2034.1999999999998</v>
      </c>
      <c r="ED184">
        <v>2467.3000000000002</v>
      </c>
      <c r="EO184">
        <v>0</v>
      </c>
      <c r="EY184">
        <v>2968.5</v>
      </c>
      <c r="FI184">
        <v>5242.5</v>
      </c>
      <c r="FS184">
        <v>6102.7</v>
      </c>
      <c r="GD184">
        <v>5832.1</v>
      </c>
      <c r="GP184">
        <v>7389.4</v>
      </c>
      <c r="HB184">
        <v>3738.5</v>
      </c>
      <c r="HN184">
        <v>2411.6999999999998</v>
      </c>
    </row>
    <row r="185" spans="1:222" ht="18" thickBot="1">
      <c r="A185" s="588"/>
      <c r="B185" s="140" t="s">
        <v>397</v>
      </c>
      <c r="C185" s="322"/>
      <c r="D185" s="151" t="s">
        <v>796</v>
      </c>
      <c r="E185" s="434">
        <v>259.5</v>
      </c>
      <c r="F185" s="167">
        <v>395.8</v>
      </c>
      <c r="G185" s="427">
        <v>12636.4</v>
      </c>
      <c r="H185" s="155">
        <v>6598.3</v>
      </c>
      <c r="I185">
        <v>10161.799999999999</v>
      </c>
      <c r="J185">
        <v>10965.599999999999</v>
      </c>
      <c r="K185">
        <v>12968.9</v>
      </c>
      <c r="L185" s="4">
        <v>11087</v>
      </c>
      <c r="M185" s="4">
        <v>11103.7</v>
      </c>
      <c r="N185" s="4">
        <v>8801</v>
      </c>
      <c r="P185">
        <v>10209.900000000001</v>
      </c>
      <c r="V185">
        <v>3840.1</v>
      </c>
      <c r="Y185">
        <v>2945.3999999999996</v>
      </c>
      <c r="AD185">
        <v>9047.1</v>
      </c>
      <c r="AJ185">
        <v>3604.8</v>
      </c>
      <c r="AN185">
        <v>1574.9</v>
      </c>
      <c r="AQ185">
        <v>1966.2</v>
      </c>
      <c r="AT185">
        <v>6477</v>
      </c>
      <c r="AZ185">
        <v>0</v>
      </c>
      <c r="BC185">
        <v>0</v>
      </c>
      <c r="BK185">
        <v>11178.8</v>
      </c>
      <c r="BU185">
        <v>0</v>
      </c>
      <c r="CE185">
        <v>3744.5</v>
      </c>
      <c r="CO185">
        <v>2089.9</v>
      </c>
      <c r="CY185">
        <v>1714</v>
      </c>
      <c r="DK185">
        <v>0</v>
      </c>
      <c r="DS185">
        <v>2034.1999999999998</v>
      </c>
      <c r="ED185">
        <v>2467.3000000000002</v>
      </c>
      <c r="EO185">
        <v>0</v>
      </c>
      <c r="EY185">
        <v>2968.5</v>
      </c>
      <c r="FI185">
        <v>5242.5</v>
      </c>
      <c r="FS185">
        <v>6102.7</v>
      </c>
      <c r="GD185">
        <v>5832.1</v>
      </c>
      <c r="GP185">
        <v>7389.4</v>
      </c>
      <c r="HB185">
        <v>3738.5</v>
      </c>
      <c r="HN185">
        <v>2411.6999999999998</v>
      </c>
    </row>
    <row r="186" spans="1:222" ht="18.600000000000001" thickTop="1" thickBot="1">
      <c r="A186" s="586" t="s">
        <v>316</v>
      </c>
      <c r="B186" s="138" t="s">
        <v>375</v>
      </c>
      <c r="C186" s="320"/>
      <c r="D186" s="149" t="s">
        <v>797</v>
      </c>
      <c r="E186" s="434">
        <v>259.5</v>
      </c>
      <c r="F186" s="168">
        <v>395.8</v>
      </c>
      <c r="G186" s="427">
        <v>12636.4</v>
      </c>
      <c r="H186" s="155">
        <v>6598.3</v>
      </c>
      <c r="I186">
        <v>10161.799999999999</v>
      </c>
      <c r="J186">
        <v>10965.599999999999</v>
      </c>
      <c r="K186">
        <v>12968.9</v>
      </c>
      <c r="L186" s="4">
        <v>11087</v>
      </c>
      <c r="M186" s="4">
        <v>11103.7</v>
      </c>
      <c r="N186" s="4">
        <v>8801</v>
      </c>
      <c r="P186">
        <v>10209.900000000001</v>
      </c>
      <c r="V186">
        <v>3840.1</v>
      </c>
      <c r="Y186">
        <v>2945.3999999999996</v>
      </c>
      <c r="AD186">
        <v>9047.1</v>
      </c>
      <c r="AJ186">
        <v>3604.8</v>
      </c>
      <c r="AN186">
        <v>1574.9</v>
      </c>
      <c r="AQ186">
        <v>1966.2</v>
      </c>
      <c r="AT186">
        <v>6477</v>
      </c>
      <c r="AZ186">
        <v>0</v>
      </c>
      <c r="BC186">
        <v>0</v>
      </c>
      <c r="BK186">
        <v>11178.8</v>
      </c>
      <c r="BU186">
        <v>0</v>
      </c>
      <c r="CE186">
        <v>3744.5</v>
      </c>
      <c r="CO186">
        <v>2089.9</v>
      </c>
      <c r="CY186">
        <v>1714</v>
      </c>
      <c r="DK186">
        <v>0</v>
      </c>
      <c r="DS186">
        <v>2034.1999999999998</v>
      </c>
      <c r="ED186">
        <v>2467.3000000000002</v>
      </c>
      <c r="EO186">
        <v>0</v>
      </c>
      <c r="EY186">
        <v>2968.5</v>
      </c>
      <c r="FI186">
        <v>5242.5</v>
      </c>
      <c r="FS186">
        <v>6102.7</v>
      </c>
      <c r="GD186">
        <v>5832.1</v>
      </c>
      <c r="GP186">
        <v>7389.4</v>
      </c>
      <c r="HB186">
        <v>3738.5</v>
      </c>
      <c r="HN186">
        <v>2411.6999999999998</v>
      </c>
    </row>
    <row r="187" spans="1:222" ht="18.600000000000001" thickTop="1" thickBot="1">
      <c r="A187" s="587"/>
      <c r="B187" s="139" t="s">
        <v>376</v>
      </c>
      <c r="C187" s="321"/>
      <c r="D187" s="150"/>
      <c r="E187" s="433">
        <v>259.5</v>
      </c>
      <c r="F187" s="177">
        <v>395.8</v>
      </c>
      <c r="G187" s="427">
        <v>12636.4</v>
      </c>
      <c r="H187" s="155">
        <v>6598.3</v>
      </c>
      <c r="I187">
        <v>10161.799999999999</v>
      </c>
      <c r="J187">
        <v>10965.599999999999</v>
      </c>
      <c r="K187">
        <v>12968.9</v>
      </c>
      <c r="L187" s="4">
        <v>11087</v>
      </c>
      <c r="M187" s="4">
        <v>11103.7</v>
      </c>
      <c r="N187" s="4">
        <v>8801</v>
      </c>
      <c r="P187">
        <v>10209.900000000001</v>
      </c>
      <c r="V187">
        <v>3840.1</v>
      </c>
      <c r="Y187">
        <v>2945.3999999999996</v>
      </c>
      <c r="AD187">
        <v>9047.1</v>
      </c>
      <c r="AJ187">
        <v>3604.8</v>
      </c>
      <c r="AN187">
        <v>1574.9</v>
      </c>
      <c r="AQ187">
        <v>1966.2</v>
      </c>
      <c r="AT187">
        <v>6477</v>
      </c>
      <c r="AZ187">
        <v>0</v>
      </c>
      <c r="BC187">
        <v>0</v>
      </c>
      <c r="BK187">
        <v>11178.8</v>
      </c>
      <c r="BU187">
        <v>0</v>
      </c>
      <c r="CE187">
        <v>3744.5</v>
      </c>
      <c r="CO187">
        <v>2089.9</v>
      </c>
      <c r="CY187">
        <v>1714</v>
      </c>
      <c r="DK187">
        <v>0</v>
      </c>
      <c r="DS187">
        <v>2034.1999999999998</v>
      </c>
      <c r="ED187">
        <v>2467.3000000000002</v>
      </c>
      <c r="EO187">
        <v>0</v>
      </c>
      <c r="EY187">
        <v>2968.5</v>
      </c>
      <c r="FI187">
        <v>5242.5</v>
      </c>
      <c r="FS187">
        <v>6102.7</v>
      </c>
      <c r="GD187">
        <v>5832.1</v>
      </c>
      <c r="GP187">
        <v>7389.4</v>
      </c>
      <c r="HB187">
        <v>3738.5</v>
      </c>
      <c r="HN187">
        <v>2411.6999999999998</v>
      </c>
    </row>
    <row r="188" spans="1:222" ht="18" thickBot="1">
      <c r="A188" s="587"/>
      <c r="B188" s="139" t="s">
        <v>377</v>
      </c>
      <c r="C188" s="321"/>
      <c r="D188" s="150"/>
      <c r="E188" s="437">
        <v>259.5</v>
      </c>
      <c r="F188" s="178">
        <v>395.8</v>
      </c>
      <c r="G188" s="427">
        <v>12636.4</v>
      </c>
      <c r="H188" s="155">
        <v>6598.3</v>
      </c>
      <c r="I188">
        <v>10161.799999999999</v>
      </c>
      <c r="J188">
        <v>10965.599999999999</v>
      </c>
      <c r="K188">
        <v>12968.9</v>
      </c>
      <c r="L188" s="4">
        <v>11087</v>
      </c>
      <c r="M188" s="4">
        <v>11103.7</v>
      </c>
      <c r="N188" s="4">
        <v>8801</v>
      </c>
      <c r="P188">
        <v>10209.900000000001</v>
      </c>
      <c r="V188">
        <v>3840.1</v>
      </c>
      <c r="Y188">
        <v>2945.3999999999996</v>
      </c>
      <c r="AD188">
        <v>9047.1</v>
      </c>
      <c r="AJ188">
        <v>3604.8</v>
      </c>
      <c r="AN188">
        <v>1574.9</v>
      </c>
      <c r="AQ188">
        <v>1966.2</v>
      </c>
      <c r="AT188">
        <v>6477</v>
      </c>
      <c r="AZ188">
        <v>0</v>
      </c>
      <c r="BC188">
        <v>0</v>
      </c>
      <c r="BK188">
        <v>11178.8</v>
      </c>
      <c r="BU188">
        <v>0</v>
      </c>
      <c r="CE188">
        <v>3744.5</v>
      </c>
      <c r="CO188">
        <v>2089.9</v>
      </c>
      <c r="CY188">
        <v>1714</v>
      </c>
      <c r="DK188">
        <v>0</v>
      </c>
      <c r="DS188">
        <v>2034.1999999999998</v>
      </c>
      <c r="ED188">
        <v>2467.3000000000002</v>
      </c>
      <c r="EO188">
        <v>0</v>
      </c>
      <c r="EY188">
        <v>2968.5</v>
      </c>
      <c r="FI188">
        <v>5242.5</v>
      </c>
      <c r="FS188">
        <v>6102.7</v>
      </c>
      <c r="GD188">
        <v>5832.1</v>
      </c>
      <c r="GP188">
        <v>7389.4</v>
      </c>
      <c r="HB188">
        <v>3738.5</v>
      </c>
      <c r="HN188">
        <v>2411.6999999999998</v>
      </c>
    </row>
    <row r="189" spans="1:222" ht="18" thickBot="1">
      <c r="A189" s="587"/>
      <c r="B189" s="139" t="s">
        <v>378</v>
      </c>
      <c r="C189" s="321"/>
      <c r="D189" s="150" t="s">
        <v>780</v>
      </c>
      <c r="E189" s="438">
        <v>259.5</v>
      </c>
      <c r="F189" s="265">
        <v>395.8</v>
      </c>
      <c r="G189" s="427">
        <v>12636.4</v>
      </c>
      <c r="H189" s="155">
        <v>6598.3</v>
      </c>
      <c r="I189">
        <v>10161.799999999999</v>
      </c>
      <c r="J189">
        <v>10965.599999999999</v>
      </c>
      <c r="K189">
        <v>12968.9</v>
      </c>
      <c r="L189" s="4">
        <v>11087</v>
      </c>
      <c r="M189" s="4">
        <v>11103.7</v>
      </c>
      <c r="N189" s="4">
        <v>8801</v>
      </c>
      <c r="P189">
        <v>10209.900000000001</v>
      </c>
      <c r="V189">
        <v>3840.1</v>
      </c>
      <c r="Y189">
        <v>2945.3999999999996</v>
      </c>
      <c r="AD189">
        <v>9047.1</v>
      </c>
      <c r="AJ189">
        <v>3604.8</v>
      </c>
      <c r="AN189">
        <v>1574.9</v>
      </c>
      <c r="AQ189">
        <v>1966.2</v>
      </c>
      <c r="AT189">
        <v>6477</v>
      </c>
      <c r="AZ189">
        <v>0</v>
      </c>
      <c r="BC189">
        <v>0</v>
      </c>
      <c r="BK189">
        <v>11178.8</v>
      </c>
      <c r="BU189">
        <v>0</v>
      </c>
      <c r="CE189">
        <v>3744.5</v>
      </c>
      <c r="CO189">
        <v>2089.9</v>
      </c>
      <c r="CY189">
        <v>1714</v>
      </c>
      <c r="DK189">
        <v>0</v>
      </c>
      <c r="DS189">
        <v>2034.1999999999998</v>
      </c>
      <c r="ED189">
        <v>2467.3000000000002</v>
      </c>
      <c r="EO189">
        <v>0</v>
      </c>
      <c r="EY189">
        <v>2968.5</v>
      </c>
      <c r="FI189">
        <v>5242.5</v>
      </c>
      <c r="FS189">
        <v>6102.7</v>
      </c>
      <c r="GD189">
        <v>5832.1</v>
      </c>
      <c r="GP189">
        <v>7389.4</v>
      </c>
      <c r="HB189">
        <v>3738.5</v>
      </c>
      <c r="HN189">
        <v>2411.6999999999998</v>
      </c>
    </row>
    <row r="190" spans="1:222" ht="18" thickBot="1">
      <c r="A190" s="587"/>
      <c r="B190" s="139" t="s">
        <v>379</v>
      </c>
      <c r="C190" s="321"/>
      <c r="D190" s="150" t="s">
        <v>795</v>
      </c>
      <c r="E190" s="439">
        <v>259.5</v>
      </c>
      <c r="F190" s="263">
        <v>395.8</v>
      </c>
      <c r="G190" s="427">
        <v>12636.4</v>
      </c>
      <c r="H190" s="155">
        <v>6598.3</v>
      </c>
      <c r="I190">
        <v>10161.799999999999</v>
      </c>
      <c r="J190">
        <v>10965.599999999999</v>
      </c>
      <c r="K190">
        <v>12968.9</v>
      </c>
      <c r="L190" s="4">
        <v>11087</v>
      </c>
      <c r="M190" s="4">
        <v>11103.7</v>
      </c>
      <c r="N190" s="4">
        <v>8801</v>
      </c>
      <c r="P190">
        <v>10209.900000000001</v>
      </c>
      <c r="V190">
        <v>3840.1</v>
      </c>
      <c r="Y190">
        <v>2945.3999999999996</v>
      </c>
      <c r="AD190">
        <v>9047.1</v>
      </c>
      <c r="AJ190">
        <v>3604.8</v>
      </c>
      <c r="AN190">
        <v>1574.9</v>
      </c>
      <c r="AQ190">
        <v>1966.2</v>
      </c>
      <c r="AT190">
        <v>6477</v>
      </c>
      <c r="AZ190">
        <v>0</v>
      </c>
      <c r="BC190">
        <v>0</v>
      </c>
      <c r="BK190">
        <v>11178.8</v>
      </c>
      <c r="BU190">
        <v>0</v>
      </c>
      <c r="CE190">
        <v>3744.5</v>
      </c>
      <c r="CO190">
        <v>2089.9</v>
      </c>
      <c r="CY190">
        <v>1714</v>
      </c>
      <c r="DK190">
        <v>0</v>
      </c>
      <c r="DS190">
        <v>2034.1999999999998</v>
      </c>
      <c r="ED190">
        <v>2467.3000000000002</v>
      </c>
      <c r="EO190">
        <v>0</v>
      </c>
      <c r="EY190">
        <v>2968.5</v>
      </c>
      <c r="FI190">
        <v>5242.5</v>
      </c>
      <c r="FS190">
        <v>6102.7</v>
      </c>
      <c r="GD190">
        <v>5832.1</v>
      </c>
      <c r="GP190">
        <v>7389.4</v>
      </c>
      <c r="HB190">
        <v>3738.5</v>
      </c>
      <c r="HN190">
        <v>2411.6999999999998</v>
      </c>
    </row>
    <row r="191" spans="1:222" ht="18" thickBot="1">
      <c r="A191" s="587"/>
      <c r="B191" s="139" t="s">
        <v>380</v>
      </c>
      <c r="C191" s="321"/>
      <c r="D191" s="150" t="s">
        <v>781</v>
      </c>
      <c r="E191" s="439">
        <v>259.5</v>
      </c>
      <c r="F191" s="263">
        <v>395.8</v>
      </c>
      <c r="G191" s="427">
        <v>12636.4</v>
      </c>
      <c r="H191" s="155">
        <v>6598.3</v>
      </c>
      <c r="I191">
        <v>10161.799999999999</v>
      </c>
      <c r="J191">
        <v>10965.599999999999</v>
      </c>
      <c r="K191">
        <v>12968.9</v>
      </c>
      <c r="L191" s="4">
        <v>11087</v>
      </c>
      <c r="M191" s="4">
        <v>11103.7</v>
      </c>
      <c r="N191" s="4">
        <v>8801</v>
      </c>
      <c r="P191">
        <v>10209.900000000001</v>
      </c>
      <c r="V191">
        <v>3840.1</v>
      </c>
      <c r="Y191">
        <v>2945.3999999999996</v>
      </c>
      <c r="AD191">
        <v>9047.1</v>
      </c>
      <c r="AJ191">
        <v>3604.8</v>
      </c>
      <c r="AN191">
        <v>1574.9</v>
      </c>
      <c r="AQ191">
        <v>1966.2</v>
      </c>
      <c r="AT191">
        <v>6477</v>
      </c>
      <c r="AZ191">
        <v>0</v>
      </c>
      <c r="BC191">
        <v>0</v>
      </c>
      <c r="BK191">
        <v>11178.8</v>
      </c>
      <c r="BU191">
        <v>0</v>
      </c>
      <c r="CE191">
        <v>3744.5</v>
      </c>
      <c r="CO191">
        <v>2089.9</v>
      </c>
      <c r="CY191">
        <v>1714</v>
      </c>
      <c r="DK191">
        <v>0</v>
      </c>
      <c r="DS191">
        <v>2034.1999999999998</v>
      </c>
      <c r="ED191">
        <v>2467.3000000000002</v>
      </c>
      <c r="EO191">
        <v>0</v>
      </c>
      <c r="EY191">
        <v>2968.5</v>
      </c>
      <c r="FI191">
        <v>5242.5</v>
      </c>
      <c r="FS191">
        <v>6102.7</v>
      </c>
      <c r="GD191">
        <v>5832.1</v>
      </c>
      <c r="GP191">
        <v>7389.4</v>
      </c>
      <c r="HB191">
        <v>3738.5</v>
      </c>
      <c r="HN191">
        <v>2411.6999999999998</v>
      </c>
    </row>
    <row r="192" spans="1:222" ht="18" thickBot="1">
      <c r="A192" s="587"/>
      <c r="B192" s="139" t="s">
        <v>381</v>
      </c>
      <c r="C192" s="321"/>
      <c r="D192" s="150"/>
      <c r="E192" s="439">
        <v>259.5</v>
      </c>
      <c r="F192" s="263">
        <v>395.8</v>
      </c>
      <c r="G192" s="427">
        <v>12636.4</v>
      </c>
      <c r="H192" s="155">
        <v>6598.3</v>
      </c>
      <c r="I192">
        <v>10161.799999999999</v>
      </c>
      <c r="J192">
        <v>10965.599999999999</v>
      </c>
      <c r="K192">
        <v>12968.9</v>
      </c>
      <c r="L192" s="4">
        <v>11087</v>
      </c>
      <c r="M192" s="4">
        <v>11103.7</v>
      </c>
      <c r="N192" s="4">
        <v>8801</v>
      </c>
      <c r="P192">
        <v>10209.900000000001</v>
      </c>
      <c r="V192">
        <v>3840.1</v>
      </c>
      <c r="Y192">
        <v>2945.3999999999996</v>
      </c>
      <c r="AD192">
        <v>9047.1</v>
      </c>
      <c r="AJ192">
        <v>3604.8</v>
      </c>
      <c r="AN192">
        <v>1574.9</v>
      </c>
      <c r="AQ192">
        <v>1966.2</v>
      </c>
      <c r="AT192">
        <v>6477</v>
      </c>
      <c r="AZ192">
        <v>0</v>
      </c>
      <c r="BC192">
        <v>0</v>
      </c>
      <c r="BK192">
        <v>11178.8</v>
      </c>
      <c r="BU192">
        <v>0</v>
      </c>
      <c r="CE192">
        <v>3744.5</v>
      </c>
      <c r="CO192">
        <v>2089.9</v>
      </c>
      <c r="CY192">
        <v>1714</v>
      </c>
      <c r="DK192">
        <v>0</v>
      </c>
      <c r="DS192">
        <v>2034.1999999999998</v>
      </c>
      <c r="ED192">
        <v>2467.3000000000002</v>
      </c>
      <c r="EO192">
        <v>0</v>
      </c>
      <c r="EY192">
        <v>2968.5</v>
      </c>
      <c r="FI192">
        <v>5242.5</v>
      </c>
      <c r="FS192">
        <v>6102.7</v>
      </c>
      <c r="GD192">
        <v>5832.1</v>
      </c>
      <c r="GP192">
        <v>7389.4</v>
      </c>
      <c r="HB192">
        <v>3738.5</v>
      </c>
      <c r="HN192">
        <v>2411.6999999999998</v>
      </c>
    </row>
    <row r="193" spans="1:222" ht="18" thickBot="1">
      <c r="A193" s="587"/>
      <c r="B193" s="139" t="s">
        <v>382</v>
      </c>
      <c r="C193" s="321"/>
      <c r="D193" s="150" t="s">
        <v>780</v>
      </c>
      <c r="E193" s="439">
        <v>259.5</v>
      </c>
      <c r="F193" s="263">
        <v>395.8</v>
      </c>
      <c r="G193" s="427">
        <v>12636.4</v>
      </c>
      <c r="H193" s="155">
        <v>6598.3</v>
      </c>
      <c r="I193">
        <v>10161.799999999999</v>
      </c>
      <c r="J193">
        <v>10965.599999999999</v>
      </c>
      <c r="K193">
        <v>12968.9</v>
      </c>
      <c r="L193" s="4">
        <v>11087</v>
      </c>
      <c r="M193" s="4">
        <v>11103.7</v>
      </c>
      <c r="N193" s="4">
        <v>8801</v>
      </c>
      <c r="P193">
        <v>10209.900000000001</v>
      </c>
      <c r="V193">
        <v>3840.1</v>
      </c>
      <c r="Y193">
        <v>2945.3999999999996</v>
      </c>
      <c r="AD193">
        <v>9047.1</v>
      </c>
      <c r="AJ193">
        <v>3604.8</v>
      </c>
      <c r="AN193">
        <v>1574.9</v>
      </c>
      <c r="AQ193">
        <v>1966.2</v>
      </c>
      <c r="AT193">
        <v>6477</v>
      </c>
      <c r="AZ193">
        <v>0</v>
      </c>
      <c r="BC193">
        <v>0</v>
      </c>
      <c r="BK193">
        <v>11178.8</v>
      </c>
      <c r="BU193">
        <v>0</v>
      </c>
      <c r="CE193">
        <v>3744.5</v>
      </c>
      <c r="CO193">
        <v>2089.9</v>
      </c>
      <c r="CY193">
        <v>1714</v>
      </c>
      <c r="DK193">
        <v>0</v>
      </c>
      <c r="DS193">
        <v>2034.1999999999998</v>
      </c>
      <c r="ED193">
        <v>2467.3000000000002</v>
      </c>
      <c r="EO193">
        <v>0</v>
      </c>
      <c r="EY193">
        <v>2968.5</v>
      </c>
      <c r="FI193">
        <v>5242.5</v>
      </c>
      <c r="FS193">
        <v>6102.7</v>
      </c>
      <c r="GD193">
        <v>5832.1</v>
      </c>
      <c r="GP193">
        <v>7389.4</v>
      </c>
      <c r="HB193">
        <v>3738.5</v>
      </c>
      <c r="HN193">
        <v>2411.6999999999998</v>
      </c>
    </row>
    <row r="194" spans="1:222" ht="18" thickBot="1">
      <c r="A194" s="587"/>
      <c r="B194" s="139" t="s">
        <v>383</v>
      </c>
      <c r="C194" s="321"/>
      <c r="D194" s="150" t="s">
        <v>778</v>
      </c>
      <c r="E194" s="440">
        <v>259.5</v>
      </c>
      <c r="F194" s="264">
        <v>395.8</v>
      </c>
      <c r="G194" s="427">
        <v>12636.4</v>
      </c>
      <c r="H194" s="155">
        <v>6598.3</v>
      </c>
      <c r="I194">
        <v>10161.799999999999</v>
      </c>
      <c r="J194">
        <v>10965.599999999999</v>
      </c>
      <c r="K194">
        <v>12968.9</v>
      </c>
      <c r="L194" s="4">
        <v>11087</v>
      </c>
      <c r="M194" s="4">
        <v>11103.7</v>
      </c>
      <c r="N194" s="4">
        <v>8801</v>
      </c>
      <c r="P194">
        <v>10209.900000000001</v>
      </c>
      <c r="V194">
        <v>3840.1</v>
      </c>
      <c r="Y194">
        <v>2945.3999999999996</v>
      </c>
      <c r="AD194">
        <v>9047.1</v>
      </c>
      <c r="AJ194">
        <v>3604.8</v>
      </c>
      <c r="AN194">
        <v>1574.9</v>
      </c>
      <c r="AQ194">
        <v>1966.2</v>
      </c>
      <c r="AT194">
        <v>6477</v>
      </c>
      <c r="AZ194">
        <v>0</v>
      </c>
      <c r="BC194">
        <v>0</v>
      </c>
      <c r="BK194">
        <v>11178.8</v>
      </c>
      <c r="BU194">
        <v>0</v>
      </c>
      <c r="CE194">
        <v>3744.5</v>
      </c>
      <c r="CO194">
        <v>2089.9</v>
      </c>
      <c r="CY194">
        <v>1714</v>
      </c>
      <c r="DK194">
        <v>0</v>
      </c>
      <c r="DS194">
        <v>2034.1999999999998</v>
      </c>
      <c r="ED194">
        <v>2467.3000000000002</v>
      </c>
      <c r="EO194">
        <v>0</v>
      </c>
      <c r="EY194">
        <v>2968.5</v>
      </c>
      <c r="FI194">
        <v>5242.5</v>
      </c>
      <c r="FS194">
        <v>6102.7</v>
      </c>
      <c r="GD194">
        <v>5832.1</v>
      </c>
      <c r="GP194">
        <v>7389.4</v>
      </c>
      <c r="HB194">
        <v>3738.5</v>
      </c>
      <c r="HN194">
        <v>2411.6999999999998</v>
      </c>
    </row>
    <row r="195" spans="1:222" ht="18.600000000000001" thickTop="1" thickBot="1">
      <c r="A195" s="587"/>
      <c r="B195" s="139" t="s">
        <v>384</v>
      </c>
      <c r="C195" s="321"/>
      <c r="D195" s="150" t="s">
        <v>778</v>
      </c>
      <c r="E195" s="433">
        <v>259.5</v>
      </c>
      <c r="F195" s="262">
        <v>395.8</v>
      </c>
      <c r="G195" s="427">
        <v>12636.4</v>
      </c>
      <c r="H195" s="155">
        <v>6598.3</v>
      </c>
      <c r="I195">
        <v>10161.799999999999</v>
      </c>
      <c r="J195">
        <v>10965.599999999999</v>
      </c>
      <c r="K195">
        <v>12968.9</v>
      </c>
      <c r="L195" s="4">
        <v>11087</v>
      </c>
      <c r="M195" s="4">
        <v>11103.7</v>
      </c>
      <c r="N195" s="4">
        <v>8801</v>
      </c>
      <c r="P195">
        <v>10209.900000000001</v>
      </c>
      <c r="V195">
        <v>3840.1</v>
      </c>
      <c r="Y195">
        <v>2945.3999999999996</v>
      </c>
      <c r="AD195">
        <v>9047.1</v>
      </c>
      <c r="AJ195">
        <v>3604.8</v>
      </c>
      <c r="AN195">
        <v>1574.9</v>
      </c>
      <c r="AQ195">
        <v>1966.2</v>
      </c>
      <c r="AT195">
        <v>6477</v>
      </c>
      <c r="AZ195">
        <v>0</v>
      </c>
      <c r="BC195">
        <v>0</v>
      </c>
      <c r="BK195">
        <v>11178.8</v>
      </c>
      <c r="BU195">
        <v>0</v>
      </c>
      <c r="CE195">
        <v>3744.5</v>
      </c>
      <c r="CO195">
        <v>2089.9</v>
      </c>
      <c r="CY195">
        <v>1714</v>
      </c>
      <c r="DK195">
        <v>0</v>
      </c>
      <c r="DS195">
        <v>2034.1999999999998</v>
      </c>
      <c r="ED195">
        <v>2467.3000000000002</v>
      </c>
      <c r="EO195">
        <v>0</v>
      </c>
      <c r="EY195">
        <v>2968.5</v>
      </c>
      <c r="FI195">
        <v>5242.5</v>
      </c>
      <c r="FS195">
        <v>6102.7</v>
      </c>
      <c r="GD195">
        <v>5832.1</v>
      </c>
      <c r="GP195">
        <v>7389.4</v>
      </c>
      <c r="HB195">
        <v>3738.5</v>
      </c>
      <c r="HN195">
        <v>2411.6999999999998</v>
      </c>
    </row>
    <row r="196" spans="1:222" ht="18" thickBot="1">
      <c r="A196" s="587"/>
      <c r="B196" s="139" t="s">
        <v>385</v>
      </c>
      <c r="C196" s="321"/>
      <c r="D196" s="150" t="s">
        <v>778</v>
      </c>
      <c r="E196" s="434">
        <v>259.5</v>
      </c>
      <c r="F196" s="263">
        <v>395.8</v>
      </c>
      <c r="G196" s="427">
        <v>12636.4</v>
      </c>
      <c r="H196" s="155">
        <v>6598.3</v>
      </c>
      <c r="I196">
        <v>10161.799999999999</v>
      </c>
      <c r="J196">
        <v>10965.599999999999</v>
      </c>
      <c r="K196">
        <v>12968.9</v>
      </c>
      <c r="L196" s="4">
        <v>11087</v>
      </c>
      <c r="M196" s="4">
        <v>11103.7</v>
      </c>
      <c r="N196" s="4">
        <v>8801</v>
      </c>
      <c r="P196">
        <v>10209.900000000001</v>
      </c>
      <c r="V196">
        <v>3840.1</v>
      </c>
      <c r="Y196">
        <v>2945.3999999999996</v>
      </c>
      <c r="AD196">
        <v>9047.1</v>
      </c>
      <c r="AJ196">
        <v>3604.8</v>
      </c>
      <c r="AN196">
        <v>1574.9</v>
      </c>
      <c r="AQ196">
        <v>1966.2</v>
      </c>
      <c r="AT196">
        <v>6477</v>
      </c>
      <c r="AZ196">
        <v>0</v>
      </c>
      <c r="BC196">
        <v>0</v>
      </c>
      <c r="BK196">
        <v>11178.8</v>
      </c>
      <c r="BU196">
        <v>0</v>
      </c>
      <c r="CE196">
        <v>3744.5</v>
      </c>
      <c r="CO196">
        <v>2089.9</v>
      </c>
      <c r="CY196">
        <v>1714</v>
      </c>
      <c r="DK196">
        <v>0</v>
      </c>
      <c r="DS196">
        <v>2034.1999999999998</v>
      </c>
      <c r="ED196">
        <v>2467.3000000000002</v>
      </c>
      <c r="EO196">
        <v>0</v>
      </c>
      <c r="EY196">
        <v>2968.5</v>
      </c>
      <c r="FI196">
        <v>5242.5</v>
      </c>
      <c r="FS196">
        <v>6102.7</v>
      </c>
      <c r="GD196">
        <v>5832.1</v>
      </c>
      <c r="GP196">
        <v>7389.4</v>
      </c>
      <c r="HB196">
        <v>3738.5</v>
      </c>
      <c r="HN196">
        <v>2411.6999999999998</v>
      </c>
    </row>
    <row r="197" spans="1:222" ht="18" thickBot="1">
      <c r="A197" s="588"/>
      <c r="B197" s="140" t="s">
        <v>386</v>
      </c>
      <c r="C197" s="322"/>
      <c r="D197" s="151"/>
      <c r="E197" s="441">
        <v>259.5</v>
      </c>
      <c r="F197" s="264">
        <v>395.8</v>
      </c>
      <c r="G197" s="427">
        <v>12636.4</v>
      </c>
      <c r="H197" s="155">
        <v>6598.3</v>
      </c>
      <c r="I197">
        <v>10161.799999999999</v>
      </c>
      <c r="J197">
        <v>10965.599999999999</v>
      </c>
      <c r="K197">
        <v>12968.9</v>
      </c>
      <c r="L197" s="4">
        <v>11087</v>
      </c>
      <c r="M197" s="4">
        <v>11103.7</v>
      </c>
      <c r="N197" s="4">
        <v>8801</v>
      </c>
      <c r="P197">
        <v>10209.900000000001</v>
      </c>
      <c r="V197">
        <v>3840.1</v>
      </c>
      <c r="Y197">
        <v>2945.3999999999996</v>
      </c>
      <c r="AD197">
        <v>9047.1</v>
      </c>
      <c r="AJ197">
        <v>3604.8</v>
      </c>
      <c r="AN197">
        <v>1574.9</v>
      </c>
      <c r="AQ197">
        <v>1966.2</v>
      </c>
      <c r="AT197">
        <v>6477</v>
      </c>
      <c r="AZ197">
        <v>0</v>
      </c>
      <c r="BC197">
        <v>0</v>
      </c>
      <c r="BK197">
        <v>11178.8</v>
      </c>
      <c r="BU197">
        <v>0</v>
      </c>
      <c r="CE197">
        <v>3744.5</v>
      </c>
      <c r="CO197">
        <v>2089.9</v>
      </c>
      <c r="CY197">
        <v>1714</v>
      </c>
      <c r="DK197">
        <v>0</v>
      </c>
      <c r="DS197">
        <v>2034.1999999999998</v>
      </c>
      <c r="ED197">
        <v>2467.3000000000002</v>
      </c>
      <c r="EO197">
        <v>0</v>
      </c>
      <c r="EY197">
        <v>2968.5</v>
      </c>
      <c r="FI197">
        <v>5242.5</v>
      </c>
      <c r="FS197">
        <v>6102.7</v>
      </c>
      <c r="GD197">
        <v>5832.1</v>
      </c>
      <c r="GP197">
        <v>7389.4</v>
      </c>
      <c r="HB197">
        <v>3738.5</v>
      </c>
      <c r="HN197">
        <v>2411.6999999999998</v>
      </c>
    </row>
    <row r="198" spans="1:222" ht="18.600000000000001" thickTop="1" thickBot="1">
      <c r="A198" s="586" t="s">
        <v>315</v>
      </c>
      <c r="B198" s="141" t="s">
        <v>363</v>
      </c>
      <c r="C198" s="321"/>
      <c r="D198" s="152" t="s">
        <v>781</v>
      </c>
      <c r="E198" s="433">
        <v>259.5</v>
      </c>
      <c r="F198" s="262">
        <v>395.8</v>
      </c>
      <c r="G198" s="427">
        <v>12636.4</v>
      </c>
      <c r="H198" s="155">
        <v>6598.3</v>
      </c>
      <c r="I198">
        <v>10161.799999999999</v>
      </c>
      <c r="J198">
        <v>10965.599999999999</v>
      </c>
      <c r="K198">
        <v>12968.9</v>
      </c>
      <c r="L198" s="4">
        <v>11087</v>
      </c>
      <c r="M198" s="4">
        <v>11103.7</v>
      </c>
      <c r="N198" s="4">
        <v>8801</v>
      </c>
      <c r="P198">
        <v>10209.900000000001</v>
      </c>
      <c r="V198">
        <v>3840.1</v>
      </c>
      <c r="Y198">
        <v>2945.3999999999996</v>
      </c>
      <c r="AD198">
        <v>9047.1</v>
      </c>
      <c r="AJ198">
        <v>3604.8</v>
      </c>
      <c r="AN198">
        <v>1574.9</v>
      </c>
      <c r="AQ198">
        <v>1966.2</v>
      </c>
      <c r="AT198">
        <v>6477</v>
      </c>
      <c r="AZ198">
        <v>0</v>
      </c>
      <c r="BC198">
        <v>0</v>
      </c>
      <c r="BK198">
        <v>11178.8</v>
      </c>
      <c r="BU198">
        <v>0</v>
      </c>
      <c r="CE198">
        <v>3744.5</v>
      </c>
      <c r="CO198">
        <v>2089.9</v>
      </c>
      <c r="CY198">
        <v>1714</v>
      </c>
      <c r="DK198">
        <v>0</v>
      </c>
      <c r="DS198">
        <v>2034.1999999999998</v>
      </c>
      <c r="ED198">
        <v>2467.3000000000002</v>
      </c>
      <c r="EO198">
        <v>0</v>
      </c>
      <c r="EY198">
        <v>2968.5</v>
      </c>
      <c r="FI198">
        <v>5242.5</v>
      </c>
      <c r="FS198">
        <v>6102.7</v>
      </c>
      <c r="GD198">
        <v>5832.1</v>
      </c>
      <c r="GP198">
        <v>7389.4</v>
      </c>
      <c r="HB198">
        <v>3738.5</v>
      </c>
      <c r="HN198">
        <v>2411.6999999999998</v>
      </c>
    </row>
    <row r="199" spans="1:222" ht="18" thickBot="1">
      <c r="A199" s="587"/>
      <c r="B199" s="139" t="s">
        <v>364</v>
      </c>
      <c r="C199" s="321"/>
      <c r="D199" s="150" t="s">
        <v>798</v>
      </c>
      <c r="E199" s="434">
        <v>259.5</v>
      </c>
      <c r="F199" s="263">
        <v>395.8</v>
      </c>
      <c r="G199" s="427">
        <v>12636.4</v>
      </c>
      <c r="H199" s="155">
        <v>6598.3</v>
      </c>
      <c r="I199">
        <v>10161.799999999999</v>
      </c>
      <c r="J199">
        <v>10965.599999999999</v>
      </c>
      <c r="K199">
        <v>12968.9</v>
      </c>
      <c r="L199" s="4">
        <v>11087</v>
      </c>
      <c r="M199" s="4">
        <v>11103.7</v>
      </c>
      <c r="N199" s="4">
        <v>8801</v>
      </c>
      <c r="P199">
        <v>10209.900000000001</v>
      </c>
      <c r="V199">
        <v>3840.1</v>
      </c>
      <c r="Y199">
        <v>2945.3999999999996</v>
      </c>
      <c r="AD199">
        <v>9047.1</v>
      </c>
      <c r="AJ199">
        <v>3604.8</v>
      </c>
      <c r="AN199">
        <v>1574.9</v>
      </c>
      <c r="AQ199">
        <v>1966.2</v>
      </c>
      <c r="AT199">
        <v>6477</v>
      </c>
      <c r="AZ199">
        <v>0</v>
      </c>
      <c r="BC199">
        <v>0</v>
      </c>
      <c r="BK199">
        <v>11178.8</v>
      </c>
      <c r="BU199">
        <v>0</v>
      </c>
      <c r="CE199">
        <v>3744.5</v>
      </c>
      <c r="CO199">
        <v>2089.9</v>
      </c>
      <c r="CY199">
        <v>1714</v>
      </c>
      <c r="DK199">
        <v>0</v>
      </c>
      <c r="DS199">
        <v>2034.1999999999998</v>
      </c>
      <c r="ED199">
        <v>2467.3000000000002</v>
      </c>
      <c r="EO199">
        <v>0</v>
      </c>
      <c r="EY199">
        <v>2968.5</v>
      </c>
      <c r="FI199">
        <v>5242.5</v>
      </c>
      <c r="FS199">
        <v>6102.7</v>
      </c>
      <c r="GD199">
        <v>5832.1</v>
      </c>
      <c r="GP199">
        <v>7389.4</v>
      </c>
      <c r="HB199">
        <v>3738.5</v>
      </c>
      <c r="HN199">
        <v>2411.6999999999998</v>
      </c>
    </row>
    <row r="200" spans="1:222" ht="18" thickBot="1">
      <c r="A200" s="587"/>
      <c r="B200" s="139" t="s">
        <v>365</v>
      </c>
      <c r="C200" s="321"/>
      <c r="D200" s="150"/>
      <c r="E200" s="434">
        <v>259.5</v>
      </c>
      <c r="F200" s="263">
        <v>395.8</v>
      </c>
      <c r="G200" s="427">
        <v>12636.4</v>
      </c>
      <c r="H200" s="155">
        <v>6598.3</v>
      </c>
      <c r="I200">
        <v>10161.799999999999</v>
      </c>
      <c r="J200">
        <v>10965.599999999999</v>
      </c>
      <c r="K200">
        <v>12968.9</v>
      </c>
      <c r="L200" s="4">
        <v>11087</v>
      </c>
      <c r="M200" s="4">
        <v>11103.7</v>
      </c>
      <c r="N200" s="4">
        <v>8801</v>
      </c>
      <c r="P200">
        <v>10209.900000000001</v>
      </c>
      <c r="V200">
        <v>3840.1</v>
      </c>
      <c r="Y200">
        <v>2945.3999999999996</v>
      </c>
      <c r="AD200">
        <v>9047.1</v>
      </c>
      <c r="AJ200">
        <v>3604.8</v>
      </c>
      <c r="AN200">
        <v>1574.9</v>
      </c>
      <c r="AQ200">
        <v>1966.2</v>
      </c>
      <c r="AT200">
        <v>6477</v>
      </c>
      <c r="AZ200">
        <v>0</v>
      </c>
      <c r="BC200">
        <v>0</v>
      </c>
      <c r="BK200">
        <v>11178.8</v>
      </c>
      <c r="BU200">
        <v>0</v>
      </c>
      <c r="CE200">
        <v>3744.5</v>
      </c>
      <c r="CO200">
        <v>2089.9</v>
      </c>
      <c r="CY200">
        <v>1714</v>
      </c>
      <c r="DK200">
        <v>0</v>
      </c>
      <c r="DS200">
        <v>2034.1999999999998</v>
      </c>
      <c r="ED200">
        <v>2467.3000000000002</v>
      </c>
      <c r="EO200">
        <v>0</v>
      </c>
      <c r="EY200">
        <v>2968.5</v>
      </c>
      <c r="FI200">
        <v>5242.5</v>
      </c>
      <c r="FS200">
        <v>6102.7</v>
      </c>
      <c r="GD200">
        <v>5832.1</v>
      </c>
      <c r="GP200">
        <v>7389.4</v>
      </c>
      <c r="HB200">
        <v>3738.5</v>
      </c>
      <c r="HN200">
        <v>2411.6999999999998</v>
      </c>
    </row>
    <row r="201" spans="1:222" ht="18" thickBot="1">
      <c r="A201" s="587"/>
      <c r="B201" s="139" t="s">
        <v>366</v>
      </c>
      <c r="C201" s="321"/>
      <c r="D201" s="150"/>
      <c r="E201" s="434">
        <v>259.5</v>
      </c>
      <c r="F201" s="263">
        <v>395.8</v>
      </c>
      <c r="G201" s="427">
        <v>12636.4</v>
      </c>
      <c r="H201" s="155">
        <v>6598.3</v>
      </c>
      <c r="I201">
        <v>10161.799999999999</v>
      </c>
      <c r="J201">
        <v>10965.599999999999</v>
      </c>
      <c r="K201">
        <v>12968.9</v>
      </c>
      <c r="L201" s="4">
        <v>11087</v>
      </c>
      <c r="M201" s="4">
        <v>11103.7</v>
      </c>
      <c r="N201" s="4">
        <v>8801</v>
      </c>
      <c r="P201">
        <v>10209.900000000001</v>
      </c>
      <c r="V201">
        <v>3840.1</v>
      </c>
      <c r="Y201">
        <v>2945.3999999999996</v>
      </c>
      <c r="AD201">
        <v>9047.1</v>
      </c>
      <c r="AJ201">
        <v>3604.8</v>
      </c>
      <c r="AN201">
        <v>1574.9</v>
      </c>
      <c r="AQ201">
        <v>1966.2</v>
      </c>
      <c r="AT201">
        <v>6477</v>
      </c>
      <c r="AZ201">
        <v>0</v>
      </c>
      <c r="BC201">
        <v>0</v>
      </c>
      <c r="BK201">
        <v>11178.8</v>
      </c>
      <c r="BU201">
        <v>0</v>
      </c>
      <c r="CE201">
        <v>3744.5</v>
      </c>
      <c r="CO201">
        <v>2089.9</v>
      </c>
      <c r="CY201">
        <v>1714</v>
      </c>
      <c r="DK201">
        <v>0</v>
      </c>
      <c r="DS201">
        <v>2034.1999999999998</v>
      </c>
      <c r="ED201">
        <v>2467.3000000000002</v>
      </c>
      <c r="EO201">
        <v>0</v>
      </c>
      <c r="EY201">
        <v>2968.5</v>
      </c>
      <c r="FI201">
        <v>5242.5</v>
      </c>
      <c r="FS201">
        <v>6102.7</v>
      </c>
      <c r="GD201">
        <v>5832.1</v>
      </c>
      <c r="GP201">
        <v>7389.4</v>
      </c>
      <c r="HB201">
        <v>3738.5</v>
      </c>
      <c r="HN201">
        <v>2411.6999999999998</v>
      </c>
    </row>
    <row r="202" spans="1:222" ht="18" thickBot="1">
      <c r="A202" s="587"/>
      <c r="B202" s="139" t="s">
        <v>367</v>
      </c>
      <c r="C202" s="321"/>
      <c r="D202" s="150"/>
      <c r="E202" s="434">
        <v>259.5</v>
      </c>
      <c r="F202" s="263">
        <v>395.8</v>
      </c>
      <c r="G202" s="427">
        <v>12636.4</v>
      </c>
      <c r="H202" s="155">
        <v>6598.3</v>
      </c>
      <c r="I202">
        <v>10161.799999999999</v>
      </c>
      <c r="J202">
        <v>10965.599999999999</v>
      </c>
      <c r="K202">
        <v>12968.9</v>
      </c>
      <c r="L202" s="4">
        <v>11087</v>
      </c>
      <c r="M202" s="4">
        <v>11103.7</v>
      </c>
      <c r="N202" s="4">
        <v>8801</v>
      </c>
      <c r="P202">
        <v>10209.900000000001</v>
      </c>
      <c r="V202">
        <v>3840.1</v>
      </c>
      <c r="Y202">
        <v>2945.3999999999996</v>
      </c>
      <c r="AD202">
        <v>9047.1</v>
      </c>
      <c r="AJ202">
        <v>3604.8</v>
      </c>
      <c r="AN202">
        <v>1574.9</v>
      </c>
      <c r="AQ202">
        <v>1966.2</v>
      </c>
      <c r="AT202">
        <v>6477</v>
      </c>
      <c r="AZ202">
        <v>0</v>
      </c>
      <c r="BC202">
        <v>0</v>
      </c>
      <c r="BK202">
        <v>11178.8</v>
      </c>
      <c r="BU202">
        <v>0</v>
      </c>
      <c r="CE202">
        <v>3744.5</v>
      </c>
      <c r="CO202">
        <v>2089.9</v>
      </c>
      <c r="CY202">
        <v>1714</v>
      </c>
      <c r="DK202">
        <v>0</v>
      </c>
      <c r="DS202">
        <v>2034.1999999999998</v>
      </c>
      <c r="ED202">
        <v>2467.3000000000002</v>
      </c>
      <c r="EO202">
        <v>0</v>
      </c>
      <c r="EY202">
        <v>2968.5</v>
      </c>
      <c r="FI202">
        <v>5242.5</v>
      </c>
      <c r="FS202">
        <v>6102.7</v>
      </c>
      <c r="GD202">
        <v>5832.1</v>
      </c>
      <c r="GP202">
        <v>7389.4</v>
      </c>
      <c r="HB202">
        <v>3738.5</v>
      </c>
      <c r="HN202">
        <v>2411.6999999999998</v>
      </c>
    </row>
    <row r="203" spans="1:222" ht="18" thickBot="1">
      <c r="A203" s="587"/>
      <c r="B203" s="139" t="s">
        <v>368</v>
      </c>
      <c r="C203" s="321"/>
      <c r="D203" s="150" t="s">
        <v>778</v>
      </c>
      <c r="E203" s="434">
        <v>259.5</v>
      </c>
      <c r="F203" s="264">
        <v>395.8</v>
      </c>
      <c r="G203" s="427">
        <v>12636.4</v>
      </c>
      <c r="H203" s="155">
        <v>6598.3</v>
      </c>
      <c r="I203">
        <v>10161.799999999999</v>
      </c>
      <c r="J203">
        <v>10965.599999999999</v>
      </c>
      <c r="K203">
        <v>12968.9</v>
      </c>
      <c r="L203" s="4">
        <v>11087</v>
      </c>
      <c r="M203" s="4">
        <v>11103.7</v>
      </c>
      <c r="N203" s="4">
        <v>8801</v>
      </c>
      <c r="P203">
        <v>10209.900000000001</v>
      </c>
      <c r="V203">
        <v>3840.1</v>
      </c>
      <c r="Y203">
        <v>2945.3999999999996</v>
      </c>
      <c r="AD203">
        <v>9047.1</v>
      </c>
      <c r="AJ203">
        <v>3604.8</v>
      </c>
      <c r="AN203">
        <v>1574.9</v>
      </c>
      <c r="AQ203">
        <v>1966.2</v>
      </c>
      <c r="AT203">
        <v>6477</v>
      </c>
      <c r="AZ203">
        <v>0</v>
      </c>
      <c r="BC203">
        <v>0</v>
      </c>
      <c r="BK203">
        <v>11178.8</v>
      </c>
      <c r="BU203">
        <v>0</v>
      </c>
      <c r="CE203">
        <v>3744.5</v>
      </c>
      <c r="CO203">
        <v>2089.9</v>
      </c>
      <c r="CY203">
        <v>1714</v>
      </c>
      <c r="DK203">
        <v>0</v>
      </c>
      <c r="DS203">
        <v>2034.1999999999998</v>
      </c>
      <c r="ED203">
        <v>2467.3000000000002</v>
      </c>
      <c r="EO203">
        <v>0</v>
      </c>
      <c r="EY203">
        <v>2968.5</v>
      </c>
      <c r="FI203">
        <v>5242.5</v>
      </c>
      <c r="FS203">
        <v>6102.7</v>
      </c>
      <c r="GD203">
        <v>5832.1</v>
      </c>
      <c r="GP203">
        <v>7389.4</v>
      </c>
      <c r="HB203">
        <v>3738.5</v>
      </c>
      <c r="HN203">
        <v>2411.6999999999998</v>
      </c>
    </row>
    <row r="204" spans="1:222" ht="18.600000000000001" thickTop="1" thickBot="1">
      <c r="A204" s="587"/>
      <c r="B204" s="139" t="s">
        <v>369</v>
      </c>
      <c r="C204" s="321"/>
      <c r="D204" s="150" t="s">
        <v>778</v>
      </c>
      <c r="E204" s="433">
        <v>259.5</v>
      </c>
      <c r="F204" s="262">
        <v>395.8</v>
      </c>
      <c r="G204" s="427">
        <v>12636.4</v>
      </c>
      <c r="H204" s="155">
        <v>6598.3</v>
      </c>
      <c r="I204">
        <v>10161.799999999999</v>
      </c>
      <c r="J204">
        <v>10965.599999999999</v>
      </c>
      <c r="K204">
        <v>12968.9</v>
      </c>
      <c r="L204" s="4">
        <v>11087</v>
      </c>
      <c r="M204" s="4">
        <v>11103.7</v>
      </c>
      <c r="N204" s="4">
        <v>8801</v>
      </c>
      <c r="P204">
        <v>10209.900000000001</v>
      </c>
      <c r="V204">
        <v>3840.1</v>
      </c>
      <c r="Y204">
        <v>2945.3999999999996</v>
      </c>
      <c r="AD204">
        <v>9047.1</v>
      </c>
      <c r="AJ204">
        <v>3604.8</v>
      </c>
      <c r="AN204">
        <v>1574.9</v>
      </c>
      <c r="AQ204">
        <v>1966.2</v>
      </c>
      <c r="AT204">
        <v>6477</v>
      </c>
      <c r="AZ204">
        <v>0</v>
      </c>
      <c r="BC204">
        <v>0</v>
      </c>
      <c r="BK204">
        <v>11178.8</v>
      </c>
      <c r="BU204">
        <v>0</v>
      </c>
      <c r="CE204">
        <v>3744.5</v>
      </c>
      <c r="CO204">
        <v>2089.9</v>
      </c>
      <c r="CY204">
        <v>1714</v>
      </c>
      <c r="DK204">
        <v>0</v>
      </c>
      <c r="DS204">
        <v>2034.1999999999998</v>
      </c>
      <c r="ED204">
        <v>2467.3000000000002</v>
      </c>
      <c r="EO204">
        <v>0</v>
      </c>
      <c r="EY204">
        <v>2968.5</v>
      </c>
      <c r="FI204">
        <v>5242.5</v>
      </c>
      <c r="FS204">
        <v>6102.7</v>
      </c>
      <c r="GD204">
        <v>5832.1</v>
      </c>
      <c r="GP204">
        <v>7389.4</v>
      </c>
      <c r="HB204">
        <v>3738.5</v>
      </c>
      <c r="HN204">
        <v>2411.6999999999998</v>
      </c>
    </row>
    <row r="205" spans="1:222" ht="18" thickBot="1">
      <c r="A205" s="587"/>
      <c r="B205" s="139" t="s">
        <v>370</v>
      </c>
      <c r="C205" s="321"/>
      <c r="D205" s="150" t="s">
        <v>778</v>
      </c>
      <c r="E205" s="434">
        <v>259.5</v>
      </c>
      <c r="F205" s="263">
        <v>395.8</v>
      </c>
      <c r="G205" s="427">
        <v>12636.4</v>
      </c>
      <c r="H205" s="155">
        <v>6598.3</v>
      </c>
      <c r="I205">
        <v>10161.799999999999</v>
      </c>
      <c r="J205">
        <v>10965.599999999999</v>
      </c>
      <c r="K205">
        <v>12968.9</v>
      </c>
      <c r="L205" s="4">
        <v>11087</v>
      </c>
      <c r="M205" s="4">
        <v>11103.7</v>
      </c>
      <c r="N205" s="4">
        <v>8801</v>
      </c>
      <c r="P205">
        <v>10209.900000000001</v>
      </c>
      <c r="V205">
        <v>3840.1</v>
      </c>
      <c r="Y205">
        <v>2945.3999999999996</v>
      </c>
      <c r="AD205">
        <v>9047.1</v>
      </c>
      <c r="AJ205">
        <v>3604.8</v>
      </c>
      <c r="AN205">
        <v>1574.9</v>
      </c>
      <c r="AQ205">
        <v>1966.2</v>
      </c>
      <c r="AT205">
        <v>6477</v>
      </c>
      <c r="AZ205">
        <v>0</v>
      </c>
      <c r="BC205">
        <v>0</v>
      </c>
      <c r="BK205">
        <v>11178.8</v>
      </c>
      <c r="BU205">
        <v>0</v>
      </c>
      <c r="CE205">
        <v>3744.5</v>
      </c>
      <c r="CO205">
        <v>2089.9</v>
      </c>
      <c r="CY205">
        <v>1714</v>
      </c>
      <c r="DK205">
        <v>0</v>
      </c>
      <c r="DS205">
        <v>2034.1999999999998</v>
      </c>
      <c r="ED205">
        <v>2467.3000000000002</v>
      </c>
      <c r="EO205">
        <v>0</v>
      </c>
      <c r="EY205">
        <v>2968.5</v>
      </c>
      <c r="FI205">
        <v>5242.5</v>
      </c>
      <c r="FS205">
        <v>6102.7</v>
      </c>
      <c r="GD205">
        <v>5832.1</v>
      </c>
      <c r="GP205">
        <v>7389.4</v>
      </c>
      <c r="HB205">
        <v>3738.5</v>
      </c>
      <c r="HN205">
        <v>2411.6999999999998</v>
      </c>
    </row>
    <row r="206" spans="1:222" ht="18" thickBot="1">
      <c r="A206" s="587"/>
      <c r="B206" s="139" t="s">
        <v>371</v>
      </c>
      <c r="C206" s="321"/>
      <c r="D206" s="150" t="s">
        <v>778</v>
      </c>
      <c r="E206" s="434">
        <v>259.5</v>
      </c>
      <c r="F206" s="264">
        <v>395.8</v>
      </c>
      <c r="G206" s="427">
        <v>12636.4</v>
      </c>
      <c r="H206" s="155">
        <v>6598.3</v>
      </c>
      <c r="I206">
        <v>10161.799999999999</v>
      </c>
      <c r="J206">
        <v>10965.599999999999</v>
      </c>
      <c r="K206">
        <v>12968.9</v>
      </c>
      <c r="L206" s="4">
        <v>11087</v>
      </c>
      <c r="M206" s="4">
        <v>11103.7</v>
      </c>
      <c r="N206" s="4">
        <v>8801</v>
      </c>
      <c r="P206">
        <v>10209.900000000001</v>
      </c>
      <c r="V206">
        <v>3840.1</v>
      </c>
      <c r="Y206">
        <v>2945.3999999999996</v>
      </c>
      <c r="AD206">
        <v>9047.1</v>
      </c>
      <c r="AJ206">
        <v>3604.8</v>
      </c>
      <c r="AN206">
        <v>1574.9</v>
      </c>
      <c r="AQ206">
        <v>1966.2</v>
      </c>
      <c r="AT206">
        <v>6477</v>
      </c>
      <c r="AZ206">
        <v>0</v>
      </c>
      <c r="BC206">
        <v>0</v>
      </c>
      <c r="BK206">
        <v>11178.8</v>
      </c>
      <c r="BU206">
        <v>0</v>
      </c>
      <c r="CE206">
        <v>3744.5</v>
      </c>
      <c r="CO206">
        <v>2089.9</v>
      </c>
      <c r="CY206">
        <v>1714</v>
      </c>
      <c r="DK206">
        <v>0</v>
      </c>
      <c r="DS206">
        <v>2034.1999999999998</v>
      </c>
      <c r="ED206">
        <v>2467.3000000000002</v>
      </c>
      <c r="EO206">
        <v>0</v>
      </c>
      <c r="EY206">
        <v>2968.5</v>
      </c>
      <c r="FI206">
        <v>5242.5</v>
      </c>
      <c r="FS206">
        <v>6102.7</v>
      </c>
      <c r="GD206">
        <v>5832.1</v>
      </c>
      <c r="GP206">
        <v>7389.4</v>
      </c>
      <c r="HB206">
        <v>3738.5</v>
      </c>
      <c r="HN206">
        <v>2411.6999999999998</v>
      </c>
    </row>
    <row r="207" spans="1:222" ht="18.600000000000001" thickTop="1" thickBot="1">
      <c r="A207" s="587"/>
      <c r="B207" s="139" t="s">
        <v>372</v>
      </c>
      <c r="C207" s="321"/>
      <c r="D207" s="150" t="s">
        <v>778</v>
      </c>
      <c r="E207" s="433">
        <v>259.5</v>
      </c>
      <c r="F207" s="262">
        <v>395.8</v>
      </c>
      <c r="G207" s="427">
        <v>12636.4</v>
      </c>
      <c r="H207" s="155">
        <v>6598.3</v>
      </c>
      <c r="I207">
        <v>10161.799999999999</v>
      </c>
      <c r="J207">
        <v>10965.599999999999</v>
      </c>
      <c r="K207">
        <v>12968.9</v>
      </c>
      <c r="L207" s="4">
        <v>11087</v>
      </c>
      <c r="M207" s="4">
        <v>11103.7</v>
      </c>
      <c r="N207" s="4">
        <v>8801</v>
      </c>
      <c r="P207">
        <v>10209.900000000001</v>
      </c>
      <c r="V207">
        <v>3840.1</v>
      </c>
      <c r="Y207">
        <v>2945.3999999999996</v>
      </c>
      <c r="AD207">
        <v>9047.1</v>
      </c>
      <c r="AJ207">
        <v>3604.8</v>
      </c>
      <c r="AN207">
        <v>1574.9</v>
      </c>
      <c r="AQ207">
        <v>1966.2</v>
      </c>
      <c r="AT207">
        <v>6477</v>
      </c>
      <c r="AZ207">
        <v>0</v>
      </c>
      <c r="BC207">
        <v>0</v>
      </c>
      <c r="BK207">
        <v>11178.8</v>
      </c>
      <c r="BU207">
        <v>0</v>
      </c>
      <c r="CE207">
        <v>3744.5</v>
      </c>
      <c r="CO207">
        <v>2089.9</v>
      </c>
      <c r="CY207">
        <v>1714</v>
      </c>
      <c r="DK207">
        <v>0</v>
      </c>
      <c r="DS207">
        <v>2034.1999999999998</v>
      </c>
      <c r="ED207">
        <v>2467.3000000000002</v>
      </c>
      <c r="EO207">
        <v>0</v>
      </c>
      <c r="EY207">
        <v>2968.5</v>
      </c>
      <c r="FI207">
        <v>5242.5</v>
      </c>
      <c r="FS207">
        <v>6102.7</v>
      </c>
      <c r="GD207">
        <v>5832.1</v>
      </c>
      <c r="GP207">
        <v>7389.4</v>
      </c>
      <c r="HB207">
        <v>3738.5</v>
      </c>
      <c r="HN207">
        <v>2411.6999999999998</v>
      </c>
    </row>
    <row r="208" spans="1:222" ht="18" thickBot="1">
      <c r="A208" s="587"/>
      <c r="B208" s="139" t="s">
        <v>373</v>
      </c>
      <c r="C208" s="321"/>
      <c r="D208" s="150"/>
      <c r="E208" s="434">
        <v>259.5</v>
      </c>
      <c r="F208" s="263">
        <v>395.8</v>
      </c>
      <c r="G208" s="427">
        <v>12636.4</v>
      </c>
      <c r="H208" s="155">
        <v>6598.3</v>
      </c>
      <c r="I208">
        <v>10161.799999999999</v>
      </c>
      <c r="J208">
        <v>10965.599999999999</v>
      </c>
      <c r="K208">
        <v>12968.9</v>
      </c>
      <c r="L208" s="4">
        <v>11087</v>
      </c>
      <c r="M208" s="4">
        <v>11103.7</v>
      </c>
      <c r="N208" s="4">
        <v>8801</v>
      </c>
      <c r="P208">
        <v>10209.900000000001</v>
      </c>
      <c r="V208">
        <v>3840.1</v>
      </c>
      <c r="Y208">
        <v>2945.3999999999996</v>
      </c>
      <c r="AD208">
        <v>9047.1</v>
      </c>
      <c r="AJ208">
        <v>3604.8</v>
      </c>
      <c r="AN208">
        <v>1574.9</v>
      </c>
      <c r="AQ208">
        <v>1966.2</v>
      </c>
      <c r="AT208">
        <v>6477</v>
      </c>
      <c r="AZ208">
        <v>0</v>
      </c>
      <c r="BC208">
        <v>0</v>
      </c>
      <c r="BK208">
        <v>11178.8</v>
      </c>
      <c r="BU208">
        <v>0</v>
      </c>
      <c r="CE208">
        <v>3744.5</v>
      </c>
      <c r="CO208">
        <v>2089.9</v>
      </c>
      <c r="CY208">
        <v>1714</v>
      </c>
      <c r="DK208">
        <v>0</v>
      </c>
      <c r="DS208">
        <v>2034.1999999999998</v>
      </c>
      <c r="ED208">
        <v>2467.3000000000002</v>
      </c>
      <c r="EO208">
        <v>0</v>
      </c>
      <c r="EY208">
        <v>2968.5</v>
      </c>
      <c r="FI208">
        <v>5242.5</v>
      </c>
      <c r="FS208">
        <v>6102.7</v>
      </c>
      <c r="GD208">
        <v>5832.1</v>
      </c>
      <c r="GP208">
        <v>7389.4</v>
      </c>
      <c r="HB208">
        <v>3738.5</v>
      </c>
      <c r="HN208">
        <v>2411.6999999999998</v>
      </c>
    </row>
    <row r="209" spans="1:222" ht="18" thickBot="1">
      <c r="A209" s="588"/>
      <c r="B209" s="140" t="s">
        <v>374</v>
      </c>
      <c r="C209" s="322"/>
      <c r="D209" s="151" t="s">
        <v>799</v>
      </c>
      <c r="E209" s="434">
        <v>259.5</v>
      </c>
      <c r="F209" s="264">
        <v>395.8</v>
      </c>
      <c r="G209" s="427">
        <v>12636.4</v>
      </c>
      <c r="H209" s="155">
        <v>6598.3</v>
      </c>
      <c r="I209">
        <v>10161.799999999999</v>
      </c>
      <c r="J209">
        <v>10965.599999999999</v>
      </c>
      <c r="K209">
        <v>12968.9</v>
      </c>
      <c r="L209" s="4">
        <v>11087</v>
      </c>
      <c r="M209" s="4">
        <v>11103.7</v>
      </c>
      <c r="N209" s="4">
        <v>8801</v>
      </c>
      <c r="P209">
        <v>10209.900000000001</v>
      </c>
      <c r="V209">
        <v>3840.1</v>
      </c>
      <c r="Y209">
        <v>2945.3999999999996</v>
      </c>
      <c r="AD209">
        <v>9047.1</v>
      </c>
      <c r="AJ209">
        <v>3604.8</v>
      </c>
      <c r="AN209">
        <v>1574.9</v>
      </c>
      <c r="AQ209">
        <v>1966.2</v>
      </c>
      <c r="AT209">
        <v>6477</v>
      </c>
      <c r="AZ209">
        <v>0</v>
      </c>
      <c r="BC209">
        <v>0</v>
      </c>
      <c r="BK209">
        <v>11178.8</v>
      </c>
      <c r="BU209">
        <v>0</v>
      </c>
      <c r="CE209">
        <v>3744.5</v>
      </c>
      <c r="CO209">
        <v>2089.9</v>
      </c>
      <c r="CY209">
        <v>1714</v>
      </c>
      <c r="DK209">
        <v>0</v>
      </c>
      <c r="DS209">
        <v>2034.1999999999998</v>
      </c>
      <c r="ED209">
        <v>2467.3000000000002</v>
      </c>
      <c r="EO209">
        <v>0</v>
      </c>
      <c r="EY209">
        <v>2968.5</v>
      </c>
      <c r="FI209">
        <v>5242.5</v>
      </c>
      <c r="FS209">
        <v>6102.7</v>
      </c>
      <c r="GD209">
        <v>5832.1</v>
      </c>
      <c r="GP209">
        <v>7389.4</v>
      </c>
      <c r="HB209">
        <v>3738.5</v>
      </c>
      <c r="HN209">
        <v>2411.6999999999998</v>
      </c>
    </row>
    <row r="210" spans="1:222" ht="18.600000000000001" thickTop="1" thickBot="1">
      <c r="A210" s="586" t="s">
        <v>314</v>
      </c>
      <c r="B210" s="138" t="s">
        <v>351</v>
      </c>
      <c r="C210" s="320"/>
      <c r="D210" s="149"/>
      <c r="E210" s="433">
        <v>259.5</v>
      </c>
      <c r="F210" s="262">
        <v>395.8</v>
      </c>
      <c r="G210" s="427">
        <v>12636.4</v>
      </c>
      <c r="H210" s="155">
        <v>6598.3</v>
      </c>
      <c r="I210">
        <v>10161.799999999999</v>
      </c>
      <c r="J210">
        <v>10965.599999999999</v>
      </c>
      <c r="K210">
        <v>12968.9</v>
      </c>
      <c r="L210" s="4">
        <v>11087</v>
      </c>
      <c r="M210" s="4">
        <v>11103.7</v>
      </c>
      <c r="N210" s="4">
        <v>8801</v>
      </c>
      <c r="P210">
        <v>10209.900000000001</v>
      </c>
      <c r="V210">
        <v>3840.1</v>
      </c>
      <c r="Y210">
        <v>2945.3999999999996</v>
      </c>
      <c r="AD210">
        <v>9047.1</v>
      </c>
      <c r="AJ210">
        <v>3604.8</v>
      </c>
      <c r="AN210">
        <v>1574.9</v>
      </c>
      <c r="AQ210">
        <v>1966.2</v>
      </c>
      <c r="AT210">
        <v>6477</v>
      </c>
      <c r="AZ210">
        <v>0</v>
      </c>
      <c r="BC210">
        <v>0</v>
      </c>
      <c r="BK210">
        <v>11178.8</v>
      </c>
      <c r="BU210">
        <v>0</v>
      </c>
      <c r="CE210">
        <v>3744.5</v>
      </c>
      <c r="CO210">
        <v>2089.9</v>
      </c>
      <c r="CY210">
        <v>1714</v>
      </c>
      <c r="DK210">
        <v>0</v>
      </c>
      <c r="DS210">
        <v>2034.1999999999998</v>
      </c>
      <c r="ED210">
        <v>2467.3000000000002</v>
      </c>
      <c r="EO210">
        <v>0</v>
      </c>
      <c r="EY210">
        <v>2968.5</v>
      </c>
      <c r="FI210">
        <v>5242.5</v>
      </c>
      <c r="FS210">
        <v>6102.7</v>
      </c>
      <c r="GD210">
        <v>5832.1</v>
      </c>
      <c r="GP210">
        <v>7389.4</v>
      </c>
      <c r="HB210">
        <v>3738.5</v>
      </c>
      <c r="HN210">
        <v>2411.6999999999998</v>
      </c>
    </row>
    <row r="211" spans="1:222" ht="22.2" thickBot="1">
      <c r="A211" s="587"/>
      <c r="B211" s="139" t="s">
        <v>352</v>
      </c>
      <c r="C211" s="321"/>
      <c r="D211" s="150" t="s">
        <v>800</v>
      </c>
      <c r="E211" s="434">
        <v>259.5</v>
      </c>
      <c r="F211" s="263">
        <v>395.8</v>
      </c>
      <c r="G211" s="427">
        <v>12636.4</v>
      </c>
      <c r="H211" s="155">
        <v>6598.3</v>
      </c>
      <c r="I211">
        <v>10161.799999999999</v>
      </c>
      <c r="J211">
        <v>10965.599999999999</v>
      </c>
      <c r="K211">
        <v>12968.9</v>
      </c>
      <c r="L211" s="4">
        <v>11087</v>
      </c>
      <c r="M211" s="4">
        <v>11103.7</v>
      </c>
      <c r="N211" s="4">
        <v>8801</v>
      </c>
      <c r="P211">
        <v>10209.900000000001</v>
      </c>
      <c r="V211">
        <v>3840.1</v>
      </c>
      <c r="Y211">
        <v>2945.3999999999996</v>
      </c>
      <c r="AD211">
        <v>9047.1</v>
      </c>
      <c r="AJ211">
        <v>3604.8</v>
      </c>
      <c r="AN211">
        <v>1574.9</v>
      </c>
      <c r="AQ211">
        <v>1966.2</v>
      </c>
      <c r="AT211">
        <v>6477</v>
      </c>
      <c r="AZ211">
        <v>0</v>
      </c>
      <c r="BC211">
        <v>0</v>
      </c>
      <c r="BK211">
        <v>11178.8</v>
      </c>
      <c r="BU211">
        <v>0</v>
      </c>
      <c r="CE211">
        <v>3744.5</v>
      </c>
      <c r="CO211">
        <v>2089.9</v>
      </c>
      <c r="CY211">
        <v>1714</v>
      </c>
      <c r="DK211">
        <v>0</v>
      </c>
      <c r="DS211">
        <v>2034.1999999999998</v>
      </c>
      <c r="ED211">
        <v>2467.3000000000002</v>
      </c>
      <c r="EO211">
        <v>0</v>
      </c>
      <c r="EY211">
        <v>2968.5</v>
      </c>
      <c r="FI211">
        <v>5242.5</v>
      </c>
      <c r="FS211">
        <v>6102.7</v>
      </c>
      <c r="GD211">
        <v>5832.1</v>
      </c>
      <c r="GP211">
        <v>7389.4</v>
      </c>
      <c r="HB211">
        <v>3738.5</v>
      </c>
      <c r="HN211">
        <v>2411.6999999999998</v>
      </c>
    </row>
    <row r="212" spans="1:222" ht="18" thickBot="1">
      <c r="A212" s="587"/>
      <c r="B212" s="139" t="s">
        <v>353</v>
      </c>
      <c r="C212" s="321"/>
      <c r="D212" s="150"/>
      <c r="E212" s="434">
        <v>259.5</v>
      </c>
      <c r="F212" s="263">
        <v>395.8</v>
      </c>
      <c r="G212" s="427">
        <v>12636.4</v>
      </c>
      <c r="H212" s="155">
        <v>6598.3</v>
      </c>
      <c r="I212">
        <v>10161.799999999999</v>
      </c>
      <c r="J212">
        <v>10965.599999999999</v>
      </c>
      <c r="K212">
        <v>12968.9</v>
      </c>
      <c r="L212" s="4">
        <v>11087</v>
      </c>
      <c r="M212" s="4">
        <v>11103.7</v>
      </c>
      <c r="N212" s="4">
        <v>8801</v>
      </c>
      <c r="P212">
        <v>10209.900000000001</v>
      </c>
      <c r="V212">
        <v>3840.1</v>
      </c>
      <c r="Y212">
        <v>2945.3999999999996</v>
      </c>
      <c r="AD212">
        <v>9047.1</v>
      </c>
      <c r="AJ212">
        <v>3604.8</v>
      </c>
      <c r="AN212">
        <v>1574.9</v>
      </c>
      <c r="AQ212">
        <v>1966.2</v>
      </c>
      <c r="AT212">
        <v>6477</v>
      </c>
      <c r="AZ212">
        <v>0</v>
      </c>
      <c r="BC212">
        <v>0</v>
      </c>
      <c r="BK212">
        <v>11178.8</v>
      </c>
      <c r="BU212">
        <v>0</v>
      </c>
      <c r="CE212">
        <v>3744.5</v>
      </c>
      <c r="CO212">
        <v>2089.9</v>
      </c>
      <c r="CY212">
        <v>1714</v>
      </c>
      <c r="DK212">
        <v>0</v>
      </c>
      <c r="DS212">
        <v>2034.1999999999998</v>
      </c>
      <c r="ED212">
        <v>2467.3000000000002</v>
      </c>
      <c r="EO212">
        <v>0</v>
      </c>
      <c r="EY212">
        <v>2968.5</v>
      </c>
      <c r="FI212">
        <v>5242.5</v>
      </c>
      <c r="FS212">
        <v>6102.7</v>
      </c>
      <c r="GD212">
        <v>5832.1</v>
      </c>
      <c r="GP212">
        <v>7389.4</v>
      </c>
      <c r="HB212">
        <v>3738.5</v>
      </c>
      <c r="HN212">
        <v>2411.6999999999998</v>
      </c>
    </row>
    <row r="213" spans="1:222" ht="18" thickBot="1">
      <c r="A213" s="587"/>
      <c r="B213" s="139" t="s">
        <v>354</v>
      </c>
      <c r="C213" s="321"/>
      <c r="D213" s="150" t="s">
        <v>801</v>
      </c>
      <c r="E213" s="434">
        <v>259.5</v>
      </c>
      <c r="F213" s="264">
        <v>395.8</v>
      </c>
      <c r="G213" s="427">
        <v>12636.4</v>
      </c>
      <c r="H213" s="155">
        <v>6598.3</v>
      </c>
      <c r="I213">
        <v>10161.799999999999</v>
      </c>
      <c r="J213">
        <v>10965.599999999999</v>
      </c>
      <c r="K213">
        <v>12968.9</v>
      </c>
      <c r="L213" s="4">
        <v>11087</v>
      </c>
      <c r="M213" s="4">
        <v>11103.7</v>
      </c>
      <c r="N213" s="4">
        <v>8801</v>
      </c>
      <c r="P213">
        <v>10209.900000000001</v>
      </c>
      <c r="V213">
        <v>3840.1</v>
      </c>
      <c r="Y213">
        <v>2945.3999999999996</v>
      </c>
      <c r="AD213">
        <v>9047.1</v>
      </c>
      <c r="AJ213">
        <v>3604.8</v>
      </c>
      <c r="AN213">
        <v>1574.9</v>
      </c>
      <c r="AQ213">
        <v>1966.2</v>
      </c>
      <c r="AT213">
        <v>6477</v>
      </c>
      <c r="AZ213">
        <v>0</v>
      </c>
      <c r="BC213">
        <v>0</v>
      </c>
      <c r="BK213">
        <v>11178.8</v>
      </c>
      <c r="BU213">
        <v>0</v>
      </c>
      <c r="CE213">
        <v>3744.5</v>
      </c>
      <c r="CO213">
        <v>2089.9</v>
      </c>
      <c r="CY213">
        <v>1714</v>
      </c>
      <c r="DK213">
        <v>0</v>
      </c>
      <c r="DS213">
        <v>2034.1999999999998</v>
      </c>
      <c r="ED213">
        <v>2467.3000000000002</v>
      </c>
      <c r="EO213">
        <v>0</v>
      </c>
      <c r="EY213">
        <v>2968.5</v>
      </c>
      <c r="FI213">
        <v>5242.5</v>
      </c>
      <c r="FS213">
        <v>6102.7</v>
      </c>
      <c r="GD213">
        <v>5832.1</v>
      </c>
      <c r="GP213">
        <v>7389.4</v>
      </c>
      <c r="HB213">
        <v>3738.5</v>
      </c>
      <c r="HN213">
        <v>2411.6999999999998</v>
      </c>
    </row>
    <row r="214" spans="1:222" ht="18.600000000000001" thickTop="1" thickBot="1">
      <c r="A214" s="587"/>
      <c r="B214" s="139" t="s">
        <v>355</v>
      </c>
      <c r="C214" s="321"/>
      <c r="D214" s="150" t="s">
        <v>801</v>
      </c>
      <c r="E214" s="433">
        <v>259.5</v>
      </c>
      <c r="F214" s="262">
        <v>395.8</v>
      </c>
      <c r="G214" s="427">
        <v>12636.4</v>
      </c>
      <c r="H214" s="155">
        <v>6598.3</v>
      </c>
      <c r="I214">
        <v>10161.799999999999</v>
      </c>
      <c r="J214">
        <v>10965.599999999999</v>
      </c>
      <c r="K214">
        <v>12968.9</v>
      </c>
      <c r="L214" s="4">
        <v>11087</v>
      </c>
      <c r="M214" s="4">
        <v>11103.7</v>
      </c>
      <c r="N214" s="4">
        <v>8801</v>
      </c>
      <c r="P214">
        <v>10209.900000000001</v>
      </c>
      <c r="V214">
        <v>3840.1</v>
      </c>
      <c r="Y214">
        <v>2945.3999999999996</v>
      </c>
      <c r="AD214">
        <v>9047.1</v>
      </c>
      <c r="AJ214">
        <v>3604.8</v>
      </c>
      <c r="AN214">
        <v>1574.9</v>
      </c>
      <c r="AQ214">
        <v>1966.2</v>
      </c>
      <c r="AT214">
        <v>6477</v>
      </c>
      <c r="AZ214">
        <v>0</v>
      </c>
      <c r="BC214">
        <v>0</v>
      </c>
      <c r="BK214">
        <v>11178.8</v>
      </c>
      <c r="BU214">
        <v>0</v>
      </c>
      <c r="CE214">
        <v>3744.5</v>
      </c>
      <c r="CO214">
        <v>2089.9</v>
      </c>
      <c r="CY214">
        <v>1714</v>
      </c>
      <c r="DK214">
        <v>0</v>
      </c>
      <c r="DS214">
        <v>2034.1999999999998</v>
      </c>
      <c r="ED214">
        <v>2467.3000000000002</v>
      </c>
      <c r="EO214">
        <v>0</v>
      </c>
      <c r="EY214">
        <v>2968.5</v>
      </c>
      <c r="FI214">
        <v>5242.5</v>
      </c>
      <c r="FS214">
        <v>6102.7</v>
      </c>
      <c r="GD214">
        <v>5832.1</v>
      </c>
      <c r="GP214">
        <v>7389.4</v>
      </c>
      <c r="HB214">
        <v>3738.5</v>
      </c>
      <c r="HN214">
        <v>2411.6999999999998</v>
      </c>
    </row>
    <row r="215" spans="1:222" ht="18" thickBot="1">
      <c r="A215" s="587"/>
      <c r="B215" s="139" t="s">
        <v>356</v>
      </c>
      <c r="C215" s="321"/>
      <c r="D215" s="150"/>
      <c r="E215" s="434">
        <v>259.5</v>
      </c>
      <c r="F215" s="263">
        <v>395.8</v>
      </c>
      <c r="G215" s="427">
        <v>12636.4</v>
      </c>
      <c r="H215" s="155">
        <v>6598.3</v>
      </c>
      <c r="I215">
        <v>10161.799999999999</v>
      </c>
      <c r="J215">
        <v>10965.599999999999</v>
      </c>
      <c r="K215">
        <v>12968.9</v>
      </c>
      <c r="L215" s="4">
        <v>11087</v>
      </c>
      <c r="M215" s="4">
        <v>11103.7</v>
      </c>
      <c r="N215" s="4">
        <v>8801</v>
      </c>
      <c r="P215">
        <v>10209.900000000001</v>
      </c>
      <c r="V215">
        <v>3840.1</v>
      </c>
      <c r="Y215">
        <v>2945.3999999999996</v>
      </c>
      <c r="AD215">
        <v>9047.1</v>
      </c>
      <c r="AJ215">
        <v>3604.8</v>
      </c>
      <c r="AN215">
        <v>1574.9</v>
      </c>
      <c r="AQ215">
        <v>1966.2</v>
      </c>
      <c r="AT215">
        <v>6477</v>
      </c>
      <c r="AZ215">
        <v>0</v>
      </c>
      <c r="BC215">
        <v>0</v>
      </c>
      <c r="BK215">
        <v>11178.8</v>
      </c>
      <c r="BU215">
        <v>0</v>
      </c>
      <c r="CE215">
        <v>3744.5</v>
      </c>
      <c r="CO215">
        <v>2089.9</v>
      </c>
      <c r="CY215">
        <v>1714</v>
      </c>
      <c r="DK215">
        <v>0</v>
      </c>
      <c r="DS215">
        <v>2034.1999999999998</v>
      </c>
      <c r="ED215">
        <v>2467.3000000000002</v>
      </c>
      <c r="EO215">
        <v>0</v>
      </c>
      <c r="EY215">
        <v>2968.5</v>
      </c>
      <c r="FI215">
        <v>5242.5</v>
      </c>
      <c r="FS215">
        <v>6102.7</v>
      </c>
      <c r="GD215">
        <v>5832.1</v>
      </c>
      <c r="GP215">
        <v>7389.4</v>
      </c>
      <c r="HB215">
        <v>3738.5</v>
      </c>
      <c r="HN215">
        <v>2411.6999999999998</v>
      </c>
    </row>
    <row r="216" spans="1:222" ht="18" thickBot="1">
      <c r="A216" s="587"/>
      <c r="B216" s="139" t="s">
        <v>357</v>
      </c>
      <c r="C216" s="321"/>
      <c r="D216" s="150"/>
      <c r="E216" s="434">
        <v>259.5</v>
      </c>
      <c r="F216" s="263">
        <v>395.8</v>
      </c>
      <c r="G216" s="427">
        <v>12636.4</v>
      </c>
      <c r="H216" s="155">
        <v>6598.3</v>
      </c>
      <c r="I216">
        <v>10161.799999999999</v>
      </c>
      <c r="J216">
        <v>10965.599999999999</v>
      </c>
      <c r="K216">
        <v>12968.9</v>
      </c>
      <c r="L216" s="4">
        <v>11087</v>
      </c>
      <c r="M216" s="4">
        <v>11103.7</v>
      </c>
      <c r="N216" s="4">
        <v>8801</v>
      </c>
      <c r="P216">
        <v>10209.900000000001</v>
      </c>
      <c r="V216">
        <v>3840.1</v>
      </c>
      <c r="Y216">
        <v>2945.3999999999996</v>
      </c>
      <c r="AD216">
        <v>9047.1</v>
      </c>
      <c r="AJ216">
        <v>3604.8</v>
      </c>
      <c r="AN216">
        <v>1574.9</v>
      </c>
      <c r="AQ216">
        <v>1966.2</v>
      </c>
      <c r="AT216">
        <v>6477</v>
      </c>
      <c r="AZ216">
        <v>0</v>
      </c>
      <c r="BC216">
        <v>0</v>
      </c>
      <c r="BK216">
        <v>11178.8</v>
      </c>
      <c r="BU216">
        <v>0</v>
      </c>
      <c r="CE216">
        <v>3744.5</v>
      </c>
      <c r="CO216">
        <v>2089.9</v>
      </c>
      <c r="CY216">
        <v>1714</v>
      </c>
      <c r="DK216">
        <v>0</v>
      </c>
      <c r="DS216">
        <v>2034.1999999999998</v>
      </c>
      <c r="ED216">
        <v>2467.3000000000002</v>
      </c>
      <c r="EO216">
        <v>0</v>
      </c>
      <c r="EY216">
        <v>2968.5</v>
      </c>
      <c r="FI216">
        <v>5242.5</v>
      </c>
      <c r="FS216">
        <v>6102.7</v>
      </c>
      <c r="GD216">
        <v>5832.1</v>
      </c>
      <c r="GP216">
        <v>7389.4</v>
      </c>
      <c r="HB216">
        <v>3738.5</v>
      </c>
      <c r="HN216">
        <v>2411.6999999999998</v>
      </c>
    </row>
    <row r="217" spans="1:222" ht="18" thickBot="1">
      <c r="A217" s="587"/>
      <c r="B217" s="139" t="s">
        <v>358</v>
      </c>
      <c r="C217" s="321"/>
      <c r="D217" s="150"/>
      <c r="E217" s="434">
        <v>259.5</v>
      </c>
      <c r="F217" s="263">
        <v>395.8</v>
      </c>
      <c r="G217" s="427">
        <v>12636.4</v>
      </c>
      <c r="H217" s="155">
        <v>6598.3</v>
      </c>
      <c r="I217">
        <v>10161.799999999999</v>
      </c>
      <c r="J217">
        <v>10965.599999999999</v>
      </c>
      <c r="K217">
        <v>12968.9</v>
      </c>
      <c r="L217" s="4">
        <v>11087</v>
      </c>
      <c r="M217" s="4">
        <v>11103.7</v>
      </c>
      <c r="N217" s="4">
        <v>8801</v>
      </c>
      <c r="P217">
        <v>10209.900000000001</v>
      </c>
      <c r="V217">
        <v>3840.1</v>
      </c>
      <c r="Y217">
        <v>2945.3999999999996</v>
      </c>
      <c r="AD217">
        <v>9047.1</v>
      </c>
      <c r="AJ217">
        <v>3604.8</v>
      </c>
      <c r="AN217">
        <v>1574.9</v>
      </c>
      <c r="AQ217">
        <v>1966.2</v>
      </c>
      <c r="AT217">
        <v>6477</v>
      </c>
      <c r="AZ217">
        <v>0</v>
      </c>
      <c r="BC217">
        <v>0</v>
      </c>
      <c r="BK217">
        <v>11178.8</v>
      </c>
      <c r="BU217">
        <v>0</v>
      </c>
      <c r="CE217">
        <v>3744.5</v>
      </c>
      <c r="CO217">
        <v>2089.9</v>
      </c>
      <c r="CY217">
        <v>1714</v>
      </c>
      <c r="DK217">
        <v>0</v>
      </c>
      <c r="DS217">
        <v>2034.1999999999998</v>
      </c>
      <c r="ED217">
        <v>2467.3000000000002</v>
      </c>
      <c r="EO217">
        <v>0</v>
      </c>
      <c r="EY217">
        <v>2968.5</v>
      </c>
      <c r="FI217">
        <v>5242.5</v>
      </c>
      <c r="FS217">
        <v>6102.7</v>
      </c>
      <c r="GD217">
        <v>5832.1</v>
      </c>
      <c r="GP217">
        <v>7389.4</v>
      </c>
      <c r="HB217">
        <v>3738.5</v>
      </c>
      <c r="HN217">
        <v>2411.6999999999998</v>
      </c>
    </row>
    <row r="218" spans="1:222" ht="18" thickBot="1">
      <c r="A218" s="587"/>
      <c r="B218" s="139" t="s">
        <v>359</v>
      </c>
      <c r="C218" s="321"/>
      <c r="D218" s="150"/>
      <c r="E218" s="434">
        <v>259.5</v>
      </c>
      <c r="F218" s="263">
        <v>395.8</v>
      </c>
      <c r="G218" s="427">
        <v>12636.4</v>
      </c>
      <c r="H218" s="155">
        <v>6598.3</v>
      </c>
      <c r="I218">
        <v>10161.799999999999</v>
      </c>
      <c r="J218">
        <v>10965.599999999999</v>
      </c>
      <c r="K218">
        <v>12968.9</v>
      </c>
      <c r="L218" s="4">
        <v>11087</v>
      </c>
      <c r="M218" s="4">
        <v>11103.7</v>
      </c>
      <c r="N218" s="4">
        <v>8801</v>
      </c>
      <c r="P218">
        <v>10209.900000000001</v>
      </c>
      <c r="V218">
        <v>3840.1</v>
      </c>
      <c r="Y218">
        <v>2945.3999999999996</v>
      </c>
      <c r="AD218">
        <v>9047.1</v>
      </c>
      <c r="AJ218">
        <v>3604.8</v>
      </c>
      <c r="AN218">
        <v>1574.9</v>
      </c>
      <c r="AQ218">
        <v>1966.2</v>
      </c>
      <c r="AT218">
        <v>6477</v>
      </c>
      <c r="AZ218">
        <v>0</v>
      </c>
      <c r="BC218">
        <v>0</v>
      </c>
      <c r="BK218">
        <v>11178.8</v>
      </c>
      <c r="BU218">
        <v>0</v>
      </c>
      <c r="CE218">
        <v>3744.5</v>
      </c>
      <c r="CO218">
        <v>2089.9</v>
      </c>
      <c r="CY218">
        <v>1714</v>
      </c>
      <c r="DK218">
        <v>0</v>
      </c>
      <c r="DS218">
        <v>2034.1999999999998</v>
      </c>
      <c r="ED218">
        <v>2467.3000000000002</v>
      </c>
      <c r="EO218">
        <v>0</v>
      </c>
      <c r="EY218">
        <v>2968.5</v>
      </c>
      <c r="FI218">
        <v>5242.5</v>
      </c>
      <c r="FS218">
        <v>6102.7</v>
      </c>
      <c r="GD218">
        <v>5832.1</v>
      </c>
      <c r="GP218">
        <v>7389.4</v>
      </c>
      <c r="HB218">
        <v>3738.5</v>
      </c>
      <c r="HN218">
        <v>2411.6999999999998</v>
      </c>
    </row>
    <row r="219" spans="1:222" ht="18" thickBot="1">
      <c r="A219" s="587"/>
      <c r="B219" s="139" t="s">
        <v>360</v>
      </c>
      <c r="C219" s="321"/>
      <c r="D219" s="150"/>
      <c r="E219" s="434">
        <v>259.5</v>
      </c>
      <c r="F219" s="264">
        <v>395.8</v>
      </c>
      <c r="G219" s="427">
        <v>12636.4</v>
      </c>
      <c r="H219" s="155">
        <v>6598.3</v>
      </c>
      <c r="I219">
        <v>10161.799999999999</v>
      </c>
      <c r="J219">
        <v>10965.599999999999</v>
      </c>
      <c r="K219">
        <v>12968.9</v>
      </c>
      <c r="L219" s="4">
        <v>11087</v>
      </c>
      <c r="M219" s="4">
        <v>11103.7</v>
      </c>
      <c r="N219" s="4">
        <v>8801</v>
      </c>
      <c r="P219">
        <v>10209.900000000001</v>
      </c>
      <c r="V219">
        <v>3840.1</v>
      </c>
      <c r="Y219">
        <v>2945.3999999999996</v>
      </c>
      <c r="AD219">
        <v>9047.1</v>
      </c>
      <c r="AJ219">
        <v>3604.8</v>
      </c>
      <c r="AN219">
        <v>1574.9</v>
      </c>
      <c r="AQ219">
        <v>1966.2</v>
      </c>
      <c r="AT219">
        <v>6477</v>
      </c>
      <c r="AZ219">
        <v>0</v>
      </c>
      <c r="BC219">
        <v>0</v>
      </c>
      <c r="BK219">
        <v>11178.8</v>
      </c>
      <c r="BU219">
        <v>0</v>
      </c>
      <c r="CE219">
        <v>3744.5</v>
      </c>
      <c r="CO219">
        <v>2089.9</v>
      </c>
      <c r="CY219">
        <v>1714</v>
      </c>
      <c r="DK219">
        <v>0</v>
      </c>
      <c r="DS219">
        <v>2034.1999999999998</v>
      </c>
      <c r="ED219">
        <v>2467.3000000000002</v>
      </c>
      <c r="EO219">
        <v>0</v>
      </c>
      <c r="EY219">
        <v>2968.5</v>
      </c>
      <c r="FI219">
        <v>5242.5</v>
      </c>
      <c r="FS219">
        <v>6102.7</v>
      </c>
      <c r="GD219">
        <v>5832.1</v>
      </c>
      <c r="GP219">
        <v>7389.4</v>
      </c>
      <c r="HB219">
        <v>3738.5</v>
      </c>
      <c r="HN219">
        <v>2411.6999999999998</v>
      </c>
    </row>
    <row r="220" spans="1:222" ht="18.600000000000001" thickTop="1" thickBot="1">
      <c r="A220" s="587"/>
      <c r="B220" s="139" t="s">
        <v>361</v>
      </c>
      <c r="C220" s="321"/>
      <c r="D220" s="150"/>
      <c r="E220" s="433">
        <v>259.5</v>
      </c>
      <c r="F220" s="262">
        <v>395.8</v>
      </c>
      <c r="G220" s="427">
        <v>12636.4</v>
      </c>
      <c r="H220" s="155">
        <v>6598.3</v>
      </c>
      <c r="I220">
        <v>10161.799999999999</v>
      </c>
      <c r="J220">
        <v>10965.599999999999</v>
      </c>
      <c r="K220">
        <v>12968.9</v>
      </c>
      <c r="L220" s="4">
        <v>11087</v>
      </c>
      <c r="M220" s="4">
        <v>11103.7</v>
      </c>
      <c r="N220" s="4">
        <v>8801</v>
      </c>
      <c r="P220">
        <v>10209.900000000001</v>
      </c>
      <c r="V220">
        <v>3840.1</v>
      </c>
      <c r="Y220">
        <v>2945.3999999999996</v>
      </c>
      <c r="AD220">
        <v>9047.1</v>
      </c>
      <c r="AJ220">
        <v>3604.8</v>
      </c>
      <c r="AN220">
        <v>1574.9</v>
      </c>
      <c r="AQ220">
        <v>1966.2</v>
      </c>
      <c r="AT220">
        <v>6477</v>
      </c>
      <c r="AZ220">
        <v>0</v>
      </c>
      <c r="BC220">
        <v>0</v>
      </c>
      <c r="BK220">
        <v>11178.8</v>
      </c>
      <c r="BU220">
        <v>0</v>
      </c>
      <c r="CE220">
        <v>3744.5</v>
      </c>
      <c r="CO220">
        <v>2089.9</v>
      </c>
      <c r="CY220">
        <v>1714</v>
      </c>
      <c r="DK220">
        <v>0</v>
      </c>
      <c r="DS220">
        <v>2034.1999999999998</v>
      </c>
      <c r="ED220">
        <v>2467.3000000000002</v>
      </c>
      <c r="EO220">
        <v>0</v>
      </c>
      <c r="EY220">
        <v>2968.5</v>
      </c>
      <c r="FI220">
        <v>5242.5</v>
      </c>
      <c r="FS220">
        <v>6102.7</v>
      </c>
      <c r="GD220">
        <v>5832.1</v>
      </c>
      <c r="GP220">
        <v>7389.4</v>
      </c>
      <c r="HB220">
        <v>3738.5</v>
      </c>
      <c r="HN220">
        <v>2411.6999999999998</v>
      </c>
    </row>
    <row r="221" spans="1:222" ht="18" thickBot="1">
      <c r="A221" s="588"/>
      <c r="B221" s="140" t="s">
        <v>362</v>
      </c>
      <c r="C221" s="322"/>
      <c r="D221" s="151" t="s">
        <v>802</v>
      </c>
      <c r="E221" s="434">
        <v>259.5</v>
      </c>
      <c r="F221" s="263">
        <v>395.8</v>
      </c>
      <c r="G221" s="427">
        <v>12636.4</v>
      </c>
      <c r="H221" s="155">
        <v>6598.3</v>
      </c>
      <c r="I221">
        <v>10161.799999999999</v>
      </c>
      <c r="J221">
        <v>10965.599999999999</v>
      </c>
      <c r="K221">
        <v>12968.9</v>
      </c>
      <c r="L221" s="4">
        <v>11087</v>
      </c>
      <c r="M221" s="4">
        <v>11103.7</v>
      </c>
      <c r="N221" s="4">
        <v>8801</v>
      </c>
      <c r="P221">
        <v>10209.900000000001</v>
      </c>
      <c r="V221">
        <v>3840.1</v>
      </c>
      <c r="Y221">
        <v>2945.3999999999996</v>
      </c>
      <c r="AD221">
        <v>9047.1</v>
      </c>
      <c r="AJ221">
        <v>3604.8</v>
      </c>
      <c r="AN221">
        <v>1574.9</v>
      </c>
      <c r="AQ221">
        <v>1966.2</v>
      </c>
      <c r="AT221">
        <v>6477</v>
      </c>
      <c r="AZ221">
        <v>0</v>
      </c>
      <c r="BC221">
        <v>0</v>
      </c>
      <c r="BK221">
        <v>11178.8</v>
      </c>
      <c r="BU221">
        <v>0</v>
      </c>
      <c r="CE221">
        <v>3744.5</v>
      </c>
      <c r="CO221">
        <v>2089.9</v>
      </c>
      <c r="CY221">
        <v>1714</v>
      </c>
      <c r="DK221">
        <v>0</v>
      </c>
      <c r="DS221">
        <v>2034.1999999999998</v>
      </c>
      <c r="ED221">
        <v>2467.3000000000002</v>
      </c>
      <c r="EO221">
        <v>0</v>
      </c>
      <c r="EY221">
        <v>2968.5</v>
      </c>
      <c r="FI221">
        <v>5242.5</v>
      </c>
      <c r="FS221">
        <v>6102.7</v>
      </c>
      <c r="GD221">
        <v>5832.1</v>
      </c>
      <c r="GP221">
        <v>7389.4</v>
      </c>
      <c r="HB221">
        <v>3738.5</v>
      </c>
      <c r="HN221">
        <v>2411.6999999999998</v>
      </c>
    </row>
    <row r="222" spans="1:222" ht="18.600000000000001" thickTop="1" thickBot="1">
      <c r="A222" s="586" t="s">
        <v>313</v>
      </c>
      <c r="B222" s="138" t="s">
        <v>339</v>
      </c>
      <c r="C222" s="320"/>
      <c r="D222" s="149" t="s">
        <v>803</v>
      </c>
      <c r="E222" s="434">
        <v>259.5</v>
      </c>
      <c r="F222" s="263">
        <v>395.8</v>
      </c>
      <c r="G222" s="427">
        <v>12636.4</v>
      </c>
      <c r="H222" s="155">
        <v>6598.3</v>
      </c>
      <c r="I222">
        <v>10161.799999999999</v>
      </c>
      <c r="J222">
        <v>10965.599999999999</v>
      </c>
      <c r="K222">
        <v>12968.9</v>
      </c>
      <c r="L222" s="4">
        <v>11087</v>
      </c>
      <c r="M222" s="4">
        <v>11103.7</v>
      </c>
      <c r="N222" s="4">
        <v>8801</v>
      </c>
      <c r="P222">
        <v>10209.900000000001</v>
      </c>
      <c r="V222">
        <v>3840.1</v>
      </c>
      <c r="Y222">
        <v>2945.3999999999996</v>
      </c>
      <c r="AD222">
        <v>9047.1</v>
      </c>
      <c r="AJ222">
        <v>3604.8</v>
      </c>
      <c r="AN222">
        <v>1574.9</v>
      </c>
      <c r="AQ222">
        <v>1966.2</v>
      </c>
      <c r="AT222">
        <v>6477</v>
      </c>
      <c r="AZ222">
        <v>0</v>
      </c>
      <c r="BC222">
        <v>0</v>
      </c>
      <c r="BK222">
        <v>11178.8</v>
      </c>
      <c r="BU222">
        <v>0</v>
      </c>
      <c r="CE222">
        <v>3744.5</v>
      </c>
      <c r="CO222">
        <v>2089.9</v>
      </c>
      <c r="CY222">
        <v>1714</v>
      </c>
      <c r="DK222">
        <v>0</v>
      </c>
      <c r="DS222">
        <v>2034.1999999999998</v>
      </c>
      <c r="ED222">
        <v>2467.3000000000002</v>
      </c>
      <c r="EO222">
        <v>0</v>
      </c>
      <c r="EY222">
        <v>2968.5</v>
      </c>
      <c r="FI222">
        <v>5242.5</v>
      </c>
      <c r="FS222">
        <v>6102.7</v>
      </c>
      <c r="GD222">
        <v>5832.1</v>
      </c>
      <c r="GP222">
        <v>7389.4</v>
      </c>
      <c r="HB222">
        <v>3738.5</v>
      </c>
      <c r="HN222">
        <v>2411.6999999999998</v>
      </c>
    </row>
    <row r="223" spans="1:222" ht="18" thickBot="1">
      <c r="A223" s="587"/>
      <c r="B223" s="139" t="s">
        <v>340</v>
      </c>
      <c r="C223" s="321"/>
      <c r="D223" s="150"/>
      <c r="E223" s="434">
        <v>259.5</v>
      </c>
      <c r="F223" s="263">
        <v>395.8</v>
      </c>
      <c r="G223" s="427">
        <v>12636.4</v>
      </c>
      <c r="H223" s="155">
        <v>6598.3</v>
      </c>
      <c r="I223">
        <v>10161.799999999999</v>
      </c>
      <c r="J223">
        <v>10965.599999999999</v>
      </c>
      <c r="K223">
        <v>12968.9</v>
      </c>
      <c r="L223" s="4">
        <v>11087</v>
      </c>
      <c r="M223" s="4">
        <v>11103.7</v>
      </c>
      <c r="N223" s="4">
        <v>8801</v>
      </c>
      <c r="P223">
        <v>10209.900000000001</v>
      </c>
      <c r="V223">
        <v>3840.1</v>
      </c>
      <c r="Y223">
        <v>2945.3999999999996</v>
      </c>
      <c r="AD223">
        <v>9047.1</v>
      </c>
      <c r="AJ223">
        <v>3604.8</v>
      </c>
      <c r="AN223">
        <v>1574.9</v>
      </c>
      <c r="AQ223">
        <v>1966.2</v>
      </c>
      <c r="AT223">
        <v>6477</v>
      </c>
      <c r="AZ223">
        <v>0</v>
      </c>
      <c r="BC223">
        <v>0</v>
      </c>
      <c r="BK223">
        <v>11178.8</v>
      </c>
      <c r="BU223">
        <v>0</v>
      </c>
      <c r="CE223">
        <v>3744.5</v>
      </c>
      <c r="CO223">
        <v>2089.9</v>
      </c>
      <c r="CY223">
        <v>1714</v>
      </c>
      <c r="DK223">
        <v>0</v>
      </c>
      <c r="DS223">
        <v>2034.1999999999998</v>
      </c>
      <c r="ED223">
        <v>2467.3000000000002</v>
      </c>
      <c r="EO223">
        <v>0</v>
      </c>
      <c r="EY223">
        <v>2968.5</v>
      </c>
      <c r="FI223">
        <v>5242.5</v>
      </c>
      <c r="FS223">
        <v>6102.7</v>
      </c>
      <c r="GD223">
        <v>5832.1</v>
      </c>
      <c r="GP223">
        <v>7389.4</v>
      </c>
      <c r="HB223">
        <v>3738.5</v>
      </c>
      <c r="HN223">
        <v>2411.6999999999998</v>
      </c>
    </row>
    <row r="224" spans="1:222" ht="18" thickBot="1">
      <c r="A224" s="587"/>
      <c r="B224" s="139" t="s">
        <v>341</v>
      </c>
      <c r="C224" s="321"/>
      <c r="D224" s="150"/>
      <c r="E224" s="434">
        <v>259.5</v>
      </c>
      <c r="F224" s="264">
        <v>395.8</v>
      </c>
      <c r="G224" s="427">
        <v>12636.4</v>
      </c>
      <c r="H224" s="155">
        <v>6598.3</v>
      </c>
      <c r="I224">
        <v>10161.799999999999</v>
      </c>
      <c r="J224">
        <v>10965.599999999999</v>
      </c>
      <c r="K224">
        <v>12968.9</v>
      </c>
      <c r="L224" s="4">
        <v>11087</v>
      </c>
      <c r="M224" s="4">
        <v>11103.7</v>
      </c>
      <c r="N224" s="4">
        <v>8801</v>
      </c>
      <c r="P224">
        <v>10209.900000000001</v>
      </c>
      <c r="V224">
        <v>3840.1</v>
      </c>
      <c r="Y224">
        <v>2945.3999999999996</v>
      </c>
      <c r="AD224">
        <v>9047.1</v>
      </c>
      <c r="AJ224">
        <v>3604.8</v>
      </c>
      <c r="AN224">
        <v>1574.9</v>
      </c>
      <c r="AQ224">
        <v>1966.2</v>
      </c>
      <c r="AT224">
        <v>6477</v>
      </c>
      <c r="AZ224">
        <v>0</v>
      </c>
      <c r="BC224">
        <v>0</v>
      </c>
      <c r="BK224">
        <v>11178.8</v>
      </c>
      <c r="BU224">
        <v>0</v>
      </c>
      <c r="CE224">
        <v>3744.5</v>
      </c>
      <c r="CO224">
        <v>2089.9</v>
      </c>
      <c r="CY224">
        <v>1714</v>
      </c>
      <c r="DK224">
        <v>0</v>
      </c>
      <c r="DS224">
        <v>2034.1999999999998</v>
      </c>
      <c r="ED224">
        <v>2467.3000000000002</v>
      </c>
      <c r="EO224">
        <v>0</v>
      </c>
      <c r="EY224">
        <v>2968.5</v>
      </c>
      <c r="FI224">
        <v>5242.5</v>
      </c>
      <c r="FS224">
        <v>6102.7</v>
      </c>
      <c r="GD224">
        <v>5832.1</v>
      </c>
      <c r="GP224">
        <v>7389.4</v>
      </c>
      <c r="HB224">
        <v>3738.5</v>
      </c>
      <c r="HN224">
        <v>2411.6999999999998</v>
      </c>
    </row>
    <row r="225" spans="1:315" ht="18.600000000000001" thickTop="1" thickBot="1">
      <c r="A225" s="587"/>
      <c r="B225" s="139" t="s">
        <v>342</v>
      </c>
      <c r="C225" s="321"/>
      <c r="D225" s="150"/>
      <c r="E225" s="433">
        <v>259.5</v>
      </c>
      <c r="F225" s="262">
        <v>395.8</v>
      </c>
      <c r="G225" s="427">
        <v>12636.4</v>
      </c>
      <c r="H225" s="155">
        <v>6598.3</v>
      </c>
      <c r="I225">
        <v>10161.799999999999</v>
      </c>
      <c r="J225">
        <v>10965.599999999999</v>
      </c>
      <c r="K225">
        <v>12968.9</v>
      </c>
      <c r="L225" s="4">
        <v>11087</v>
      </c>
      <c r="M225" s="4">
        <v>11103.7</v>
      </c>
      <c r="N225" s="4">
        <v>8801</v>
      </c>
      <c r="P225">
        <v>10209.900000000001</v>
      </c>
      <c r="V225">
        <v>3840.1</v>
      </c>
      <c r="Y225">
        <v>2945.3999999999996</v>
      </c>
      <c r="AD225">
        <v>9047.1</v>
      </c>
      <c r="AJ225">
        <v>3604.8</v>
      </c>
      <c r="AN225">
        <v>1574.9</v>
      </c>
      <c r="AQ225">
        <v>1966.2</v>
      </c>
      <c r="AT225">
        <v>6477</v>
      </c>
      <c r="AZ225">
        <v>0</v>
      </c>
      <c r="BC225">
        <v>0</v>
      </c>
      <c r="BK225">
        <v>11178.8</v>
      </c>
      <c r="BU225">
        <v>0</v>
      </c>
      <c r="CE225">
        <v>3744.5</v>
      </c>
      <c r="CO225">
        <v>2089.9</v>
      </c>
      <c r="CY225">
        <v>1714</v>
      </c>
      <c r="DK225">
        <v>0</v>
      </c>
      <c r="DS225">
        <v>2034.1999999999998</v>
      </c>
      <c r="ED225">
        <v>2467.3000000000002</v>
      </c>
      <c r="EO225">
        <v>0</v>
      </c>
      <c r="EY225">
        <v>2968.5</v>
      </c>
      <c r="FI225">
        <v>5242.5</v>
      </c>
      <c r="FS225">
        <v>6102.7</v>
      </c>
      <c r="GD225">
        <v>5832.1</v>
      </c>
      <c r="GP225">
        <v>7389.4</v>
      </c>
      <c r="HB225">
        <v>3738.5</v>
      </c>
      <c r="HN225">
        <v>2411.6999999999998</v>
      </c>
    </row>
    <row r="226" spans="1:315" ht="18" thickBot="1">
      <c r="A226" s="587"/>
      <c r="B226" s="139" t="s">
        <v>343</v>
      </c>
      <c r="C226" s="321"/>
      <c r="D226" s="150"/>
      <c r="E226" s="434">
        <v>259.5</v>
      </c>
      <c r="F226" s="263">
        <v>395.8</v>
      </c>
      <c r="G226" s="427">
        <v>12636.4</v>
      </c>
      <c r="H226" s="155">
        <v>6598.3</v>
      </c>
      <c r="I226">
        <v>10161.799999999999</v>
      </c>
      <c r="J226">
        <v>10965.599999999999</v>
      </c>
      <c r="K226">
        <v>12968.9</v>
      </c>
      <c r="L226" s="4">
        <v>11087</v>
      </c>
      <c r="M226" s="4">
        <v>11103.7</v>
      </c>
      <c r="N226" s="4">
        <v>8801</v>
      </c>
      <c r="P226">
        <v>10209.900000000001</v>
      </c>
      <c r="V226">
        <v>3840.1</v>
      </c>
      <c r="Y226">
        <v>2945.3999999999996</v>
      </c>
      <c r="AD226">
        <v>9047.1</v>
      </c>
      <c r="AJ226">
        <v>3604.8</v>
      </c>
      <c r="AN226">
        <v>1574.9</v>
      </c>
      <c r="AQ226">
        <v>1966.2</v>
      </c>
      <c r="AT226">
        <v>6477</v>
      </c>
      <c r="AZ226">
        <v>0</v>
      </c>
      <c r="BC226">
        <v>0</v>
      </c>
      <c r="BK226">
        <v>11178.8</v>
      </c>
      <c r="BU226">
        <v>0</v>
      </c>
      <c r="CE226">
        <v>3744.5</v>
      </c>
      <c r="CO226">
        <v>2089.9</v>
      </c>
      <c r="CY226">
        <v>1714</v>
      </c>
      <c r="DK226">
        <v>0</v>
      </c>
      <c r="DS226">
        <v>2034.1999999999998</v>
      </c>
      <c r="ED226">
        <v>2467.3000000000002</v>
      </c>
      <c r="EO226">
        <v>0</v>
      </c>
      <c r="EY226">
        <v>2968.5</v>
      </c>
      <c r="FI226">
        <v>5242.5</v>
      </c>
      <c r="FS226">
        <v>6102.7</v>
      </c>
      <c r="GD226">
        <v>5832.1</v>
      </c>
      <c r="GP226">
        <v>7389.4</v>
      </c>
      <c r="HB226">
        <v>3738.5</v>
      </c>
      <c r="HN226">
        <v>2411.6999999999998</v>
      </c>
    </row>
    <row r="227" spans="1:315" ht="18" thickBot="1">
      <c r="A227" s="587"/>
      <c r="B227" s="139" t="s">
        <v>344</v>
      </c>
      <c r="C227" s="321"/>
      <c r="D227" s="150"/>
      <c r="E227" s="434">
        <v>259.5</v>
      </c>
      <c r="F227" s="264">
        <v>395.8</v>
      </c>
      <c r="G227" s="427">
        <v>12636.4</v>
      </c>
      <c r="H227" s="155">
        <v>6598.3</v>
      </c>
      <c r="I227">
        <v>10161.799999999999</v>
      </c>
      <c r="J227">
        <v>10965.599999999999</v>
      </c>
      <c r="K227">
        <v>12968.9</v>
      </c>
      <c r="L227" s="4">
        <v>11087</v>
      </c>
      <c r="M227" s="4">
        <v>11103.7</v>
      </c>
      <c r="N227" s="4">
        <v>8801</v>
      </c>
      <c r="P227">
        <v>10209.900000000001</v>
      </c>
      <c r="V227">
        <v>3840.1</v>
      </c>
      <c r="Y227">
        <v>2945.3999999999996</v>
      </c>
      <c r="AD227">
        <v>9047.1</v>
      </c>
      <c r="AJ227">
        <v>3604.8</v>
      </c>
      <c r="AN227">
        <v>1574.9</v>
      </c>
      <c r="AQ227">
        <v>1966.2</v>
      </c>
      <c r="AT227">
        <v>6477</v>
      </c>
      <c r="AZ227">
        <v>0</v>
      </c>
      <c r="BC227">
        <v>0</v>
      </c>
      <c r="BK227">
        <v>11178.8</v>
      </c>
      <c r="BU227">
        <v>0</v>
      </c>
      <c r="CE227">
        <v>3744.5</v>
      </c>
      <c r="CO227">
        <v>2089.9</v>
      </c>
      <c r="CY227">
        <v>1714</v>
      </c>
      <c r="DK227">
        <v>0</v>
      </c>
      <c r="DS227">
        <v>2034.1999999999998</v>
      </c>
      <c r="ED227">
        <v>2467.3000000000002</v>
      </c>
      <c r="EO227">
        <v>0</v>
      </c>
      <c r="EY227">
        <v>2968.5</v>
      </c>
      <c r="FI227">
        <v>5242.5</v>
      </c>
      <c r="FS227">
        <v>6102.7</v>
      </c>
      <c r="GD227">
        <v>5832.1</v>
      </c>
      <c r="GP227">
        <v>7389.4</v>
      </c>
      <c r="HB227">
        <v>3738.5</v>
      </c>
      <c r="HN227">
        <v>2411.6999999999998</v>
      </c>
    </row>
    <row r="228" spans="1:315" ht="18.600000000000001" thickTop="1" thickBot="1">
      <c r="A228" s="587"/>
      <c r="B228" s="139" t="s">
        <v>345</v>
      </c>
      <c r="C228" s="321"/>
      <c r="D228" s="150"/>
      <c r="E228" s="433">
        <v>259.5</v>
      </c>
      <c r="F228" s="262">
        <v>395.8</v>
      </c>
      <c r="G228" s="427">
        <v>12636.4</v>
      </c>
      <c r="H228" s="155">
        <v>6598.3</v>
      </c>
      <c r="I228">
        <v>10161.799999999999</v>
      </c>
      <c r="J228">
        <v>10965.599999999999</v>
      </c>
      <c r="K228">
        <v>12968.9</v>
      </c>
      <c r="L228" s="4">
        <v>11087</v>
      </c>
      <c r="M228" s="4">
        <v>11103.7</v>
      </c>
      <c r="N228" s="4">
        <v>8801</v>
      </c>
      <c r="P228">
        <v>10209.900000000001</v>
      </c>
      <c r="V228">
        <v>3840.1</v>
      </c>
      <c r="Y228">
        <v>2945.3999999999996</v>
      </c>
      <c r="AD228">
        <v>9047.1</v>
      </c>
      <c r="AJ228">
        <v>3604.8</v>
      </c>
      <c r="AN228">
        <v>1574.9</v>
      </c>
      <c r="AQ228">
        <v>1966.2</v>
      </c>
      <c r="AT228">
        <v>6477</v>
      </c>
      <c r="AZ228">
        <v>0</v>
      </c>
      <c r="BC228">
        <v>0</v>
      </c>
      <c r="BK228">
        <v>11178.8</v>
      </c>
      <c r="BU228">
        <v>0</v>
      </c>
      <c r="CE228">
        <v>3744.5</v>
      </c>
      <c r="CO228">
        <v>2089.9</v>
      </c>
      <c r="CY228">
        <v>1714</v>
      </c>
      <c r="DK228">
        <v>0</v>
      </c>
      <c r="DS228">
        <v>2034.1999999999998</v>
      </c>
      <c r="ED228">
        <v>2467.3000000000002</v>
      </c>
      <c r="EO228">
        <v>0</v>
      </c>
      <c r="EY228">
        <v>2968.5</v>
      </c>
      <c r="FI228">
        <v>5242.5</v>
      </c>
      <c r="FS228">
        <v>6102.7</v>
      </c>
      <c r="GD228">
        <v>5832.1</v>
      </c>
      <c r="GP228">
        <v>7389.4</v>
      </c>
      <c r="HB228">
        <v>3738.5</v>
      </c>
      <c r="HN228">
        <v>2411.6999999999998</v>
      </c>
    </row>
    <row r="229" spans="1:315" ht="18" thickBot="1">
      <c r="A229" s="587"/>
      <c r="B229" s="139" t="s">
        <v>346</v>
      </c>
      <c r="C229" s="321"/>
      <c r="D229" s="150" t="s">
        <v>769</v>
      </c>
      <c r="E229" s="434">
        <v>259.5</v>
      </c>
      <c r="F229" s="263">
        <v>395.8</v>
      </c>
      <c r="G229" s="427">
        <v>12636.4</v>
      </c>
      <c r="H229" s="155">
        <v>6598.3</v>
      </c>
      <c r="I229">
        <v>10161.799999999999</v>
      </c>
      <c r="J229">
        <v>10965.599999999999</v>
      </c>
      <c r="K229">
        <v>12968.9</v>
      </c>
      <c r="L229" s="4">
        <v>11087</v>
      </c>
      <c r="M229" s="4">
        <v>11103.7</v>
      </c>
      <c r="N229" s="4">
        <v>8801</v>
      </c>
      <c r="P229">
        <v>10209.900000000001</v>
      </c>
      <c r="V229">
        <v>3840.1</v>
      </c>
      <c r="Y229">
        <v>2945.3999999999996</v>
      </c>
      <c r="AD229">
        <v>9047.1</v>
      </c>
      <c r="AJ229">
        <v>3604.8</v>
      </c>
      <c r="AN229">
        <v>1574.9</v>
      </c>
      <c r="AQ229">
        <v>1966.2</v>
      </c>
      <c r="AT229">
        <v>6477</v>
      </c>
      <c r="AZ229">
        <v>0</v>
      </c>
      <c r="BC229">
        <v>0</v>
      </c>
      <c r="BK229">
        <v>11178.8</v>
      </c>
      <c r="BU229">
        <v>0</v>
      </c>
      <c r="CE229">
        <v>3744.5</v>
      </c>
      <c r="CO229">
        <v>2089.9</v>
      </c>
      <c r="CY229">
        <v>1714</v>
      </c>
      <c r="DK229">
        <v>0</v>
      </c>
      <c r="DS229">
        <v>2034.1999999999998</v>
      </c>
      <c r="ED229">
        <v>2467.3000000000002</v>
      </c>
      <c r="EO229">
        <v>0</v>
      </c>
      <c r="EY229">
        <v>2968.5</v>
      </c>
      <c r="FI229">
        <v>5242.5</v>
      </c>
      <c r="FS229">
        <v>6102.7</v>
      </c>
      <c r="GD229">
        <v>5832.1</v>
      </c>
      <c r="GP229">
        <v>7389.4</v>
      </c>
      <c r="HB229">
        <v>3738.5</v>
      </c>
      <c r="HN229">
        <v>2411.6999999999998</v>
      </c>
    </row>
    <row r="230" spans="1:315" ht="18" thickBot="1">
      <c r="A230" s="587"/>
      <c r="B230" s="139" t="s">
        <v>347</v>
      </c>
      <c r="C230" s="321"/>
      <c r="D230" s="154"/>
      <c r="E230" s="434">
        <v>259.5</v>
      </c>
      <c r="F230" s="263">
        <v>395.8</v>
      </c>
      <c r="G230" s="427">
        <v>12636.4</v>
      </c>
      <c r="H230" s="155">
        <v>6598.3</v>
      </c>
      <c r="I230">
        <v>10161.799999999999</v>
      </c>
      <c r="J230">
        <v>10965.599999999999</v>
      </c>
      <c r="K230">
        <v>12968.9</v>
      </c>
      <c r="L230" s="4">
        <v>11087</v>
      </c>
      <c r="M230" s="4">
        <v>11103.7</v>
      </c>
      <c r="N230" s="4">
        <v>8801</v>
      </c>
      <c r="P230">
        <v>10209.900000000001</v>
      </c>
      <c r="V230">
        <v>3840.1</v>
      </c>
      <c r="Y230">
        <v>2945.3999999999996</v>
      </c>
      <c r="AD230">
        <v>9047.1</v>
      </c>
      <c r="AJ230">
        <v>3604.8</v>
      </c>
      <c r="AN230">
        <v>1574.9</v>
      </c>
      <c r="AQ230">
        <v>1966.2</v>
      </c>
      <c r="AT230">
        <v>6477</v>
      </c>
      <c r="AZ230">
        <v>0</v>
      </c>
      <c r="BC230">
        <v>0</v>
      </c>
      <c r="BK230">
        <v>11178.8</v>
      </c>
      <c r="BU230">
        <v>0</v>
      </c>
      <c r="CE230">
        <v>3744.5</v>
      </c>
      <c r="CO230">
        <v>2089.9</v>
      </c>
      <c r="CY230">
        <v>1714</v>
      </c>
      <c r="DK230">
        <v>0</v>
      </c>
      <c r="DS230">
        <v>2034.1999999999998</v>
      </c>
      <c r="ED230">
        <v>2467.3000000000002</v>
      </c>
      <c r="EO230">
        <v>0</v>
      </c>
      <c r="EY230">
        <v>2968.5</v>
      </c>
      <c r="FI230">
        <v>5242.5</v>
      </c>
      <c r="FS230">
        <v>6102.7</v>
      </c>
      <c r="GD230">
        <v>5832.1</v>
      </c>
      <c r="GP230">
        <v>7389.4</v>
      </c>
      <c r="HB230">
        <v>3738.5</v>
      </c>
      <c r="HN230">
        <v>2411.6999999999998</v>
      </c>
    </row>
    <row r="231" spans="1:315" ht="18" thickBot="1">
      <c r="A231" s="587"/>
      <c r="B231" s="139" t="s">
        <v>348</v>
      </c>
      <c r="C231" s="321"/>
      <c r="D231" s="154"/>
      <c r="E231" s="434">
        <v>259.5</v>
      </c>
      <c r="F231" s="263">
        <v>395.8</v>
      </c>
      <c r="G231" s="427">
        <v>12636.4</v>
      </c>
      <c r="H231" s="155">
        <v>6598.3</v>
      </c>
      <c r="I231">
        <v>10161.799999999999</v>
      </c>
      <c r="J231">
        <v>10965.599999999999</v>
      </c>
      <c r="K231">
        <v>12968.9</v>
      </c>
      <c r="L231" s="4">
        <v>11087</v>
      </c>
      <c r="M231" s="4">
        <v>11103.7</v>
      </c>
      <c r="N231" s="4">
        <v>8801</v>
      </c>
      <c r="P231">
        <v>10209.900000000001</v>
      </c>
      <c r="V231">
        <v>3840.1</v>
      </c>
      <c r="Y231">
        <v>2945.3999999999996</v>
      </c>
      <c r="AD231">
        <v>9047.1</v>
      </c>
      <c r="AJ231">
        <v>3604.8</v>
      </c>
      <c r="AN231">
        <v>1574.9</v>
      </c>
      <c r="AQ231">
        <v>1966.2</v>
      </c>
      <c r="AT231">
        <v>6477</v>
      </c>
      <c r="AZ231">
        <v>0</v>
      </c>
      <c r="BC231">
        <v>0</v>
      </c>
      <c r="BK231">
        <v>11178.8</v>
      </c>
      <c r="BU231">
        <v>0</v>
      </c>
      <c r="CE231">
        <v>3744.5</v>
      </c>
      <c r="CO231">
        <v>2089.9</v>
      </c>
      <c r="CY231">
        <v>1714</v>
      </c>
      <c r="DK231">
        <v>0</v>
      </c>
      <c r="DS231">
        <v>2034.1999999999998</v>
      </c>
      <c r="ED231">
        <v>2467.3000000000002</v>
      </c>
      <c r="EO231">
        <v>0</v>
      </c>
      <c r="EY231">
        <v>2968.5</v>
      </c>
      <c r="FI231">
        <v>5242.5</v>
      </c>
      <c r="FS231">
        <v>6102.7</v>
      </c>
      <c r="GD231">
        <v>5832.1</v>
      </c>
      <c r="GP231">
        <v>7389.4</v>
      </c>
      <c r="HB231">
        <v>3738.5</v>
      </c>
      <c r="HN231">
        <v>2411.6999999999998</v>
      </c>
    </row>
    <row r="232" spans="1:315" ht="18" thickBot="1">
      <c r="A232" s="587"/>
      <c r="B232" s="139" t="s">
        <v>349</v>
      </c>
      <c r="C232" s="321"/>
      <c r="D232" s="154"/>
      <c r="E232" s="434">
        <v>259.5</v>
      </c>
      <c r="F232" s="263">
        <v>395.8</v>
      </c>
      <c r="G232" s="427">
        <v>12636.4</v>
      </c>
      <c r="H232" s="155">
        <v>6598.3</v>
      </c>
      <c r="I232">
        <v>10161.799999999999</v>
      </c>
      <c r="J232">
        <v>10965.599999999999</v>
      </c>
      <c r="K232">
        <v>12968.9</v>
      </c>
      <c r="L232" s="4">
        <v>11087</v>
      </c>
      <c r="M232" s="4">
        <v>11103.7</v>
      </c>
      <c r="N232" s="4">
        <v>8801</v>
      </c>
      <c r="P232">
        <v>10209.900000000001</v>
      </c>
      <c r="V232">
        <v>3840.1</v>
      </c>
      <c r="Y232">
        <v>2945.3999999999996</v>
      </c>
      <c r="AD232">
        <v>9047.1</v>
      </c>
      <c r="AJ232">
        <v>3604.8</v>
      </c>
      <c r="AN232">
        <v>1574.9</v>
      </c>
      <c r="AQ232">
        <v>1966.2</v>
      </c>
      <c r="AT232">
        <v>6477</v>
      </c>
      <c r="AZ232">
        <v>0</v>
      </c>
      <c r="BC232">
        <v>0</v>
      </c>
      <c r="BK232">
        <v>11178.8</v>
      </c>
      <c r="BU232">
        <v>0</v>
      </c>
      <c r="CE232">
        <v>3744.5</v>
      </c>
      <c r="CO232">
        <v>2089.9</v>
      </c>
      <c r="CY232">
        <v>1714</v>
      </c>
      <c r="DK232">
        <v>0</v>
      </c>
      <c r="DS232">
        <v>2034.1999999999998</v>
      </c>
      <c r="ED232">
        <v>2467.3000000000002</v>
      </c>
      <c r="EO232">
        <v>0</v>
      </c>
      <c r="EY232">
        <v>2968.5</v>
      </c>
      <c r="FI232">
        <v>5242.5</v>
      </c>
      <c r="FS232">
        <v>6102.7</v>
      </c>
      <c r="GD232">
        <v>5832.1</v>
      </c>
      <c r="GP232">
        <v>7389.4</v>
      </c>
      <c r="HB232">
        <v>3738.5</v>
      </c>
      <c r="HN232">
        <v>2411.6999999999998</v>
      </c>
    </row>
    <row r="233" spans="1:315" ht="18" thickBot="1">
      <c r="A233" s="588"/>
      <c r="B233" s="140" t="s">
        <v>350</v>
      </c>
      <c r="C233" s="322"/>
      <c r="D233" s="151"/>
      <c r="E233" s="441">
        <v>259.5</v>
      </c>
      <c r="F233" s="264">
        <v>395.8</v>
      </c>
      <c r="G233" s="427">
        <v>12636.4</v>
      </c>
      <c r="H233" s="155">
        <v>6598.3</v>
      </c>
      <c r="I233" s="313">
        <v>10161.799999999999</v>
      </c>
      <c r="J233">
        <v>10965.599999999999</v>
      </c>
      <c r="K233">
        <v>12968.9</v>
      </c>
      <c r="L233" s="4">
        <v>11087</v>
      </c>
      <c r="M233" s="4">
        <v>11103.7</v>
      </c>
      <c r="N233" s="4">
        <v>8801</v>
      </c>
      <c r="P233">
        <v>10209.900000000001</v>
      </c>
      <c r="V233">
        <v>3840.1</v>
      </c>
      <c r="Y233">
        <v>2945.3999999999996</v>
      </c>
      <c r="AD233">
        <v>9047.1</v>
      </c>
      <c r="AJ233">
        <v>3604.8</v>
      </c>
      <c r="AN233">
        <v>1574.9</v>
      </c>
      <c r="AQ233">
        <v>1966.2</v>
      </c>
      <c r="AT233">
        <v>6477</v>
      </c>
      <c r="AZ233">
        <v>0</v>
      </c>
      <c r="BC233">
        <v>0</v>
      </c>
      <c r="BK233">
        <v>11178.8</v>
      </c>
      <c r="BU233">
        <v>0</v>
      </c>
      <c r="CE233">
        <v>3744.5</v>
      </c>
      <c r="CO233">
        <v>2089.9</v>
      </c>
      <c r="CY233">
        <v>1714</v>
      </c>
      <c r="DK233">
        <v>0</v>
      </c>
      <c r="DS233">
        <v>2034.1999999999998</v>
      </c>
      <c r="ED233">
        <v>2467.3000000000002</v>
      </c>
      <c r="EO233">
        <v>0</v>
      </c>
      <c r="EY233">
        <v>2968.5</v>
      </c>
      <c r="FI233">
        <v>5242.5</v>
      </c>
      <c r="FS233">
        <v>6102.7</v>
      </c>
      <c r="GD233">
        <v>5832.1</v>
      </c>
      <c r="GP233">
        <v>7389.4</v>
      </c>
      <c r="HB233">
        <v>3738.5</v>
      </c>
      <c r="HN233">
        <v>2411.6999999999998</v>
      </c>
    </row>
    <row r="234" spans="1:315" ht="18.600000000000001" thickTop="1" thickBot="1">
      <c r="A234" s="477"/>
      <c r="B234" s="477" t="s">
        <v>538</v>
      </c>
      <c r="C234" s="480" t="s">
        <v>836</v>
      </c>
      <c r="D234" s="481" t="s">
        <v>781</v>
      </c>
      <c r="E234" s="482">
        <v>0</v>
      </c>
      <c r="F234" s="483">
        <v>0</v>
      </c>
      <c r="G234" s="475">
        <v>3413.8</v>
      </c>
      <c r="H234" s="476"/>
      <c r="I234" s="189">
        <v>735</v>
      </c>
      <c r="K234">
        <v>1973.1000000000001</v>
      </c>
      <c r="L234" s="4">
        <v>221.60000000000002</v>
      </c>
      <c r="M234" s="4">
        <v>54.9</v>
      </c>
      <c r="N234" s="4">
        <v>1989.7</v>
      </c>
      <c r="P234">
        <v>0</v>
      </c>
      <c r="Q234">
        <v>238.29999999999998</v>
      </c>
      <c r="R234">
        <v>0</v>
      </c>
      <c r="S234">
        <v>0</v>
      </c>
      <c r="T234">
        <v>368.5</v>
      </c>
      <c r="W234">
        <v>720.3</v>
      </c>
      <c r="X234">
        <v>1411.5</v>
      </c>
      <c r="Y234">
        <v>96.5</v>
      </c>
      <c r="AA234">
        <v>859.6</v>
      </c>
      <c r="AB234">
        <v>1577.6000000000001</v>
      </c>
      <c r="AE234">
        <v>1330</v>
      </c>
      <c r="AF234">
        <v>1025.5</v>
      </c>
      <c r="AH234">
        <v>509.9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1349.3</v>
      </c>
      <c r="AO234">
        <v>786.40000000000009</v>
      </c>
      <c r="AP234">
        <v>0</v>
      </c>
      <c r="AQ234">
        <v>68.3</v>
      </c>
      <c r="AR234">
        <v>234.9</v>
      </c>
      <c r="AS234">
        <v>600.40000000000009</v>
      </c>
      <c r="AU234">
        <v>985.69999999999993</v>
      </c>
      <c r="AW234">
        <v>792</v>
      </c>
      <c r="AX234">
        <v>1988.5</v>
      </c>
      <c r="AZ234">
        <v>763.5</v>
      </c>
      <c r="BA234">
        <v>0</v>
      </c>
      <c r="BB234">
        <v>0</v>
      </c>
      <c r="BC234">
        <v>1935.3</v>
      </c>
      <c r="BD234">
        <v>1006.5</v>
      </c>
      <c r="BE234">
        <v>0</v>
      </c>
      <c r="BF234">
        <v>0</v>
      </c>
      <c r="BG234">
        <v>0</v>
      </c>
      <c r="BH234">
        <v>1662.6</v>
      </c>
      <c r="BJ234">
        <v>0</v>
      </c>
      <c r="BK234">
        <v>0</v>
      </c>
      <c r="BL234">
        <v>1038.9000000000001</v>
      </c>
      <c r="BM234">
        <v>1101</v>
      </c>
      <c r="BO234">
        <v>1276.8000000000002</v>
      </c>
      <c r="BQ234">
        <v>0</v>
      </c>
      <c r="BR234">
        <v>270.7</v>
      </c>
      <c r="BS234">
        <v>230.5</v>
      </c>
      <c r="BT234">
        <v>472.3</v>
      </c>
      <c r="BU234">
        <v>537.29999999999995</v>
      </c>
      <c r="BV234">
        <v>346.3</v>
      </c>
      <c r="BW234">
        <v>386.2</v>
      </c>
      <c r="BX234">
        <v>767</v>
      </c>
      <c r="BY234">
        <v>757.2</v>
      </c>
      <c r="BZ234">
        <v>1037.2</v>
      </c>
      <c r="CA234">
        <v>1227.0999999999999</v>
      </c>
      <c r="CB234">
        <v>1232.0999999999999</v>
      </c>
      <c r="CC234">
        <v>1701.5</v>
      </c>
      <c r="CD234">
        <v>0</v>
      </c>
      <c r="CG234">
        <v>1385.3</v>
      </c>
      <c r="CJ234">
        <v>1630.2999999999997</v>
      </c>
      <c r="CM234">
        <v>1184.2</v>
      </c>
      <c r="CO234">
        <v>1248.0999999999999</v>
      </c>
      <c r="CQ234">
        <v>1435.3</v>
      </c>
      <c r="CR234">
        <v>798.2</v>
      </c>
      <c r="CS234">
        <v>923.8</v>
      </c>
      <c r="CT234">
        <v>0</v>
      </c>
      <c r="CU234">
        <v>0</v>
      </c>
      <c r="CV234">
        <v>0</v>
      </c>
      <c r="CW234">
        <v>0</v>
      </c>
      <c r="CX234">
        <v>163.69999999999999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I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G234" t="e">
        <v>#N/A</v>
      </c>
      <c r="FI234" t="e">
        <v>#N/A</v>
      </c>
      <c r="FK234" t="e">
        <v>#N/A</v>
      </c>
      <c r="FM234" t="e">
        <v>#N/A</v>
      </c>
      <c r="FO234" t="e">
        <v>#N/A</v>
      </c>
      <c r="FQ234" t="e">
        <v>#N/A</v>
      </c>
      <c r="FS234" t="e">
        <v>#N/A</v>
      </c>
      <c r="FU234" t="e">
        <v>#N/A</v>
      </c>
      <c r="FW234" t="e">
        <v>#N/A</v>
      </c>
      <c r="FY234" t="e">
        <v>#N/A</v>
      </c>
      <c r="GA234" t="e">
        <v>#N/A</v>
      </c>
      <c r="GC234" t="e">
        <v>#N/A</v>
      </c>
      <c r="GE234" t="e">
        <v>#N/A</v>
      </c>
      <c r="GG234" t="e">
        <v>#N/A</v>
      </c>
      <c r="GI234" t="e">
        <v>#N/A</v>
      </c>
      <c r="GK234" t="e">
        <v>#N/A</v>
      </c>
      <c r="GM234" t="e">
        <v>#N/A</v>
      </c>
      <c r="GO234" t="e">
        <v>#N/A</v>
      </c>
      <c r="GQ234" t="e">
        <v>#N/A</v>
      </c>
      <c r="GS234" t="e">
        <v>#N/A</v>
      </c>
      <c r="GU234" t="e">
        <v>#N/A</v>
      </c>
      <c r="GW234" t="e">
        <v>#N/A</v>
      </c>
      <c r="GY234" t="e">
        <v>#N/A</v>
      </c>
      <c r="HA234" t="e">
        <v>#N/A</v>
      </c>
      <c r="HC234">
        <v>0</v>
      </c>
      <c r="HD234">
        <v>0</v>
      </c>
      <c r="HE234">
        <v>0</v>
      </c>
      <c r="HF234">
        <v>0</v>
      </c>
      <c r="HG234">
        <v>0</v>
      </c>
      <c r="HH234">
        <v>0</v>
      </c>
      <c r="HI234">
        <v>0</v>
      </c>
      <c r="HJ234">
        <v>0</v>
      </c>
      <c r="HM234">
        <v>0</v>
      </c>
      <c r="HN234">
        <v>0</v>
      </c>
      <c r="HO234">
        <v>0</v>
      </c>
      <c r="HP234">
        <v>0</v>
      </c>
      <c r="HQ234">
        <v>0</v>
      </c>
      <c r="HR234">
        <v>0</v>
      </c>
      <c r="HS234">
        <v>0</v>
      </c>
      <c r="HT234">
        <v>0</v>
      </c>
      <c r="HW234">
        <v>0</v>
      </c>
      <c r="HX234">
        <v>0</v>
      </c>
      <c r="HY234">
        <v>0</v>
      </c>
      <c r="HZ234">
        <v>0</v>
      </c>
      <c r="IA234">
        <v>3930.6</v>
      </c>
      <c r="IB234">
        <v>3632.9</v>
      </c>
      <c r="IC234">
        <v>3795.5</v>
      </c>
      <c r="ID234">
        <v>0</v>
      </c>
      <c r="IE234">
        <v>0</v>
      </c>
      <c r="IF234">
        <v>3548.5</v>
      </c>
      <c r="IG234">
        <v>3395.2</v>
      </c>
      <c r="IH234">
        <v>3395.4</v>
      </c>
      <c r="II234">
        <v>3302.3</v>
      </c>
      <c r="IJ234">
        <v>3172.8</v>
      </c>
      <c r="IK234">
        <v>0</v>
      </c>
      <c r="IL234">
        <v>0</v>
      </c>
      <c r="IM234">
        <v>0</v>
      </c>
      <c r="IN234">
        <v>0</v>
      </c>
      <c r="IO234">
        <v>123.4</v>
      </c>
      <c r="IP234">
        <v>405.2</v>
      </c>
      <c r="IQ234">
        <v>418.7</v>
      </c>
      <c r="IR234">
        <v>0</v>
      </c>
      <c r="IS234">
        <v>0</v>
      </c>
      <c r="IT234">
        <v>0</v>
      </c>
      <c r="IU234">
        <v>0</v>
      </c>
      <c r="IV234">
        <v>396</v>
      </c>
      <c r="IW234">
        <v>0</v>
      </c>
      <c r="IX234">
        <v>0</v>
      </c>
      <c r="IZ234">
        <v>0</v>
      </c>
      <c r="JA234">
        <v>65.5</v>
      </c>
      <c r="JB234">
        <v>443.5</v>
      </c>
      <c r="JC234">
        <v>0</v>
      </c>
      <c r="JD234">
        <v>0</v>
      </c>
      <c r="JE234">
        <v>0</v>
      </c>
      <c r="JF234">
        <v>0</v>
      </c>
      <c r="JG234">
        <v>0</v>
      </c>
      <c r="JH234">
        <v>0</v>
      </c>
      <c r="JI234">
        <v>0</v>
      </c>
      <c r="JJ234">
        <v>0</v>
      </c>
      <c r="JK234">
        <v>0</v>
      </c>
      <c r="JL234">
        <v>0</v>
      </c>
      <c r="JM234">
        <v>0</v>
      </c>
      <c r="JN234">
        <v>0</v>
      </c>
      <c r="JO234">
        <v>0</v>
      </c>
      <c r="JP234">
        <v>0</v>
      </c>
      <c r="JQ234">
        <v>0</v>
      </c>
      <c r="JR234">
        <v>0</v>
      </c>
      <c r="JS234">
        <v>0</v>
      </c>
      <c r="JT234">
        <v>0</v>
      </c>
      <c r="JU234">
        <v>0</v>
      </c>
      <c r="JV234">
        <v>0</v>
      </c>
      <c r="JW234">
        <v>0</v>
      </c>
      <c r="JX234">
        <v>0</v>
      </c>
      <c r="JY234">
        <v>0</v>
      </c>
      <c r="JZ234">
        <v>0</v>
      </c>
      <c r="KA234">
        <v>0</v>
      </c>
      <c r="KB234">
        <v>0</v>
      </c>
      <c r="KC234">
        <v>0</v>
      </c>
      <c r="KD234">
        <v>0</v>
      </c>
      <c r="KE234">
        <v>0</v>
      </c>
      <c r="KF234">
        <v>0</v>
      </c>
      <c r="KI234">
        <v>344.6</v>
      </c>
      <c r="KJ234">
        <v>350.8</v>
      </c>
      <c r="KK234">
        <v>22.1</v>
      </c>
      <c r="KL234">
        <v>379.3</v>
      </c>
      <c r="KM234">
        <v>241.4</v>
      </c>
      <c r="KN234">
        <v>0</v>
      </c>
      <c r="KO234">
        <v>0</v>
      </c>
      <c r="KP234">
        <v>57.3</v>
      </c>
      <c r="KQ234">
        <v>224.4</v>
      </c>
      <c r="KR234">
        <v>338.3</v>
      </c>
      <c r="KS234">
        <v>215.8</v>
      </c>
      <c r="KT234">
        <v>40.700000000000003</v>
      </c>
      <c r="KW234">
        <v>2154.5</v>
      </c>
      <c r="KX234">
        <v>1255.7</v>
      </c>
      <c r="KY234">
        <v>1630.1</v>
      </c>
      <c r="KZ234">
        <v>1246.9000000000001</v>
      </c>
      <c r="LB234">
        <v>78.099999999999994</v>
      </c>
      <c r="LC234">
        <v>77.7</v>
      </c>
    </row>
    <row r="235" spans="1:315" ht="18" thickBot="1">
      <c r="A235" s="245"/>
      <c r="B235" s="245" t="s">
        <v>539</v>
      </c>
      <c r="C235" s="327" t="s">
        <v>612</v>
      </c>
      <c r="D235" s="274"/>
      <c r="E235" s="443">
        <v>0</v>
      </c>
      <c r="F235" s="191">
        <v>0</v>
      </c>
      <c r="G235" s="427">
        <v>3413.8</v>
      </c>
      <c r="H235" s="155"/>
      <c r="I235">
        <v>735</v>
      </c>
      <c r="K235">
        <v>1973.1000000000001</v>
      </c>
      <c r="L235" s="4">
        <v>221.60000000000002</v>
      </c>
      <c r="M235" s="4">
        <v>54.9</v>
      </c>
      <c r="N235" s="4">
        <v>1989.7</v>
      </c>
      <c r="P235">
        <v>0</v>
      </c>
      <c r="Q235">
        <v>238.29999999999998</v>
      </c>
      <c r="R235">
        <v>0</v>
      </c>
      <c r="S235">
        <v>0</v>
      </c>
      <c r="T235">
        <v>368.5</v>
      </c>
      <c r="W235">
        <v>720.3</v>
      </c>
      <c r="X235">
        <v>1411.5</v>
      </c>
      <c r="Y235">
        <v>96.5</v>
      </c>
      <c r="AA235">
        <v>859.6</v>
      </c>
      <c r="AB235">
        <v>1577.6000000000001</v>
      </c>
      <c r="AE235">
        <v>1330</v>
      </c>
      <c r="AF235">
        <v>1025.5</v>
      </c>
      <c r="AH235">
        <v>509.9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1349.3</v>
      </c>
      <c r="AO235">
        <v>786.40000000000009</v>
      </c>
      <c r="AP235">
        <v>0</v>
      </c>
      <c r="AQ235">
        <v>68.3</v>
      </c>
      <c r="AR235">
        <v>234.9</v>
      </c>
      <c r="AS235">
        <v>600.40000000000009</v>
      </c>
      <c r="AU235">
        <v>985.69999999999993</v>
      </c>
      <c r="AW235">
        <v>792</v>
      </c>
      <c r="AX235">
        <v>1988.5</v>
      </c>
      <c r="AZ235">
        <v>763.5</v>
      </c>
      <c r="BA235">
        <v>0</v>
      </c>
      <c r="BB235">
        <v>0</v>
      </c>
      <c r="BC235">
        <v>1935.3</v>
      </c>
      <c r="BD235">
        <v>1006.5</v>
      </c>
      <c r="BE235">
        <v>0</v>
      </c>
      <c r="BF235">
        <v>0</v>
      </c>
      <c r="BG235">
        <v>0</v>
      </c>
      <c r="BH235">
        <v>1662.6</v>
      </c>
      <c r="BJ235">
        <v>0</v>
      </c>
      <c r="BK235">
        <v>0</v>
      </c>
      <c r="BL235">
        <v>1038.9000000000001</v>
      </c>
      <c r="BM235">
        <v>1101</v>
      </c>
      <c r="BO235">
        <v>1276.8000000000002</v>
      </c>
      <c r="BQ235">
        <v>0</v>
      </c>
      <c r="BR235">
        <v>270.7</v>
      </c>
      <c r="BS235">
        <v>230.5</v>
      </c>
      <c r="BT235">
        <v>472.3</v>
      </c>
      <c r="BU235">
        <v>537.29999999999995</v>
      </c>
      <c r="BV235">
        <v>346.3</v>
      </c>
      <c r="BW235">
        <v>386.2</v>
      </c>
      <c r="BX235">
        <v>767</v>
      </c>
      <c r="BY235">
        <v>757.2</v>
      </c>
      <c r="BZ235">
        <v>1037.2</v>
      </c>
      <c r="CA235">
        <v>1227.0999999999999</v>
      </c>
      <c r="CB235">
        <v>1232.0999999999999</v>
      </c>
      <c r="CC235">
        <v>1701.5</v>
      </c>
      <c r="CD235">
        <v>0</v>
      </c>
      <c r="CG235">
        <v>1385.3</v>
      </c>
      <c r="CJ235">
        <v>1630.2999999999997</v>
      </c>
      <c r="CM235">
        <v>1184.2</v>
      </c>
      <c r="CO235">
        <v>1248.0999999999999</v>
      </c>
      <c r="CQ235">
        <v>1435.3</v>
      </c>
      <c r="CR235">
        <v>798.2</v>
      </c>
      <c r="CS235">
        <v>923.8</v>
      </c>
      <c r="CT235">
        <v>0</v>
      </c>
      <c r="CU235">
        <v>0</v>
      </c>
      <c r="CV235">
        <v>0</v>
      </c>
      <c r="CW235">
        <v>0</v>
      </c>
      <c r="CX235">
        <v>163.69999999999999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I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G235" t="e">
        <v>#N/A</v>
      </c>
      <c r="FI235" t="e">
        <v>#N/A</v>
      </c>
      <c r="FK235" t="e">
        <v>#N/A</v>
      </c>
      <c r="FM235" t="e">
        <v>#N/A</v>
      </c>
      <c r="FO235" t="e">
        <v>#N/A</v>
      </c>
      <c r="FQ235" t="e">
        <v>#N/A</v>
      </c>
      <c r="FS235" t="e">
        <v>#N/A</v>
      </c>
      <c r="FU235" t="e">
        <v>#N/A</v>
      </c>
      <c r="FW235" t="e">
        <v>#N/A</v>
      </c>
      <c r="FY235" t="e">
        <v>#N/A</v>
      </c>
      <c r="GA235" t="e">
        <v>#N/A</v>
      </c>
      <c r="GC235" t="e">
        <v>#N/A</v>
      </c>
      <c r="GE235" t="e">
        <v>#N/A</v>
      </c>
      <c r="GG235" t="e">
        <v>#N/A</v>
      </c>
      <c r="GI235" t="e">
        <v>#N/A</v>
      </c>
      <c r="GK235" t="e">
        <v>#N/A</v>
      </c>
      <c r="GM235" t="e">
        <v>#N/A</v>
      </c>
      <c r="GO235" t="e">
        <v>#N/A</v>
      </c>
      <c r="GQ235" t="e">
        <v>#N/A</v>
      </c>
      <c r="GS235" t="e">
        <v>#N/A</v>
      </c>
      <c r="GU235" t="e">
        <v>#N/A</v>
      </c>
      <c r="GW235" t="e">
        <v>#N/A</v>
      </c>
      <c r="GY235" t="e">
        <v>#N/A</v>
      </c>
      <c r="HA235" t="e">
        <v>#N/A</v>
      </c>
      <c r="HC235">
        <v>0</v>
      </c>
      <c r="HD235">
        <v>0</v>
      </c>
      <c r="HE235">
        <v>0</v>
      </c>
      <c r="HF235">
        <v>0</v>
      </c>
      <c r="HG235">
        <v>0</v>
      </c>
      <c r="HH235">
        <v>0</v>
      </c>
      <c r="HI235">
        <v>0</v>
      </c>
      <c r="HJ235">
        <v>0</v>
      </c>
      <c r="HM235">
        <v>0</v>
      </c>
      <c r="HN235">
        <v>0</v>
      </c>
      <c r="HO235">
        <v>0</v>
      </c>
      <c r="HP235">
        <v>0</v>
      </c>
      <c r="HQ235">
        <v>0</v>
      </c>
      <c r="HR235">
        <v>0</v>
      </c>
      <c r="HS235">
        <v>0</v>
      </c>
      <c r="HT235">
        <v>0</v>
      </c>
      <c r="HW235">
        <v>0</v>
      </c>
      <c r="HX235">
        <v>0</v>
      </c>
      <c r="HY235">
        <v>0</v>
      </c>
      <c r="HZ235">
        <v>0</v>
      </c>
      <c r="IA235">
        <v>3930.6</v>
      </c>
      <c r="IB235">
        <v>3632.9</v>
      </c>
      <c r="IC235">
        <v>3795.5</v>
      </c>
      <c r="ID235">
        <v>0</v>
      </c>
      <c r="IE235">
        <v>0</v>
      </c>
      <c r="IF235">
        <v>3548.5</v>
      </c>
      <c r="IG235">
        <v>3395.2</v>
      </c>
      <c r="IH235">
        <v>3395.4</v>
      </c>
      <c r="II235">
        <v>3302.3</v>
      </c>
      <c r="IJ235">
        <v>3172.8</v>
      </c>
      <c r="IK235">
        <v>0</v>
      </c>
      <c r="IL235">
        <v>0</v>
      </c>
      <c r="IM235">
        <v>0</v>
      </c>
      <c r="IN235">
        <v>0</v>
      </c>
      <c r="IO235">
        <v>123.4</v>
      </c>
      <c r="IP235">
        <v>405.2</v>
      </c>
      <c r="IQ235">
        <v>418.7</v>
      </c>
      <c r="IR235">
        <v>0</v>
      </c>
      <c r="IS235">
        <v>0</v>
      </c>
      <c r="IT235">
        <v>0</v>
      </c>
      <c r="IU235">
        <v>0</v>
      </c>
      <c r="IV235">
        <v>396</v>
      </c>
      <c r="IW235">
        <v>0</v>
      </c>
      <c r="IX235">
        <v>0</v>
      </c>
      <c r="IZ235">
        <v>0</v>
      </c>
      <c r="JA235">
        <v>65.5</v>
      </c>
      <c r="JB235">
        <v>443.5</v>
      </c>
      <c r="JC235">
        <v>0</v>
      </c>
      <c r="JD235">
        <v>0</v>
      </c>
      <c r="JE235">
        <v>0</v>
      </c>
      <c r="JF235">
        <v>0</v>
      </c>
      <c r="JG235">
        <v>0</v>
      </c>
      <c r="JH235">
        <v>0</v>
      </c>
      <c r="JI235">
        <v>0</v>
      </c>
      <c r="JJ235">
        <v>0</v>
      </c>
      <c r="JK235">
        <v>0</v>
      </c>
      <c r="JL235">
        <v>0</v>
      </c>
      <c r="JM235">
        <v>0</v>
      </c>
      <c r="JN235">
        <v>0</v>
      </c>
      <c r="JO235">
        <v>0</v>
      </c>
      <c r="JP235">
        <v>0</v>
      </c>
      <c r="JQ235">
        <v>0</v>
      </c>
      <c r="JR235">
        <v>0</v>
      </c>
      <c r="JS235">
        <v>0</v>
      </c>
      <c r="JT235">
        <v>0</v>
      </c>
      <c r="JU235">
        <v>0</v>
      </c>
      <c r="JV235">
        <v>0</v>
      </c>
      <c r="JW235">
        <v>0</v>
      </c>
      <c r="JX235">
        <v>0</v>
      </c>
      <c r="JY235">
        <v>0</v>
      </c>
      <c r="JZ235">
        <v>0</v>
      </c>
      <c r="KA235">
        <v>0</v>
      </c>
      <c r="KB235">
        <v>0</v>
      </c>
      <c r="KC235">
        <v>0</v>
      </c>
      <c r="KD235">
        <v>0</v>
      </c>
      <c r="KE235">
        <v>0</v>
      </c>
      <c r="KF235">
        <v>0</v>
      </c>
      <c r="KI235">
        <v>344.6</v>
      </c>
      <c r="KJ235">
        <v>350.8</v>
      </c>
      <c r="KK235">
        <v>22.1</v>
      </c>
      <c r="KL235">
        <v>379.3</v>
      </c>
      <c r="KM235">
        <v>241.4</v>
      </c>
      <c r="KN235">
        <v>0</v>
      </c>
      <c r="KO235">
        <v>0</v>
      </c>
      <c r="KP235">
        <v>57.3</v>
      </c>
      <c r="KQ235">
        <v>224.4</v>
      </c>
      <c r="KR235">
        <v>338.3</v>
      </c>
      <c r="KS235">
        <v>215.8</v>
      </c>
      <c r="KT235">
        <v>40.700000000000003</v>
      </c>
      <c r="KW235">
        <v>2154.5</v>
      </c>
      <c r="KX235">
        <v>1255.7</v>
      </c>
      <c r="KY235">
        <v>1630.1</v>
      </c>
      <c r="KZ235">
        <v>1246.9000000000001</v>
      </c>
      <c r="LB235">
        <v>78.099999999999994</v>
      </c>
      <c r="LC235">
        <v>77.7</v>
      </c>
    </row>
    <row r="236" spans="1:315" ht="18" thickBot="1">
      <c r="A236" s="245"/>
      <c r="B236" s="570" t="s">
        <v>540</v>
      </c>
      <c r="C236" s="328" t="s">
        <v>613</v>
      </c>
      <c r="D236" s="274" t="s">
        <v>812</v>
      </c>
      <c r="E236" s="444">
        <v>0</v>
      </c>
      <c r="F236" s="192">
        <v>0</v>
      </c>
      <c r="G236" s="427">
        <v>3413.8</v>
      </c>
      <c r="H236" s="155"/>
      <c r="I236">
        <v>735</v>
      </c>
      <c r="K236">
        <v>1973.1000000000001</v>
      </c>
      <c r="L236" s="4">
        <v>221.60000000000002</v>
      </c>
      <c r="M236" s="4">
        <v>54.9</v>
      </c>
      <c r="N236" s="4">
        <v>1989.7</v>
      </c>
      <c r="P236">
        <v>0</v>
      </c>
      <c r="Q236">
        <v>238.29999999999998</v>
      </c>
      <c r="R236">
        <v>0</v>
      </c>
      <c r="S236">
        <v>0</v>
      </c>
      <c r="T236">
        <v>368.5</v>
      </c>
      <c r="W236">
        <v>720.3</v>
      </c>
      <c r="X236">
        <v>1411.5</v>
      </c>
      <c r="Y236">
        <v>96.5</v>
      </c>
      <c r="AA236">
        <v>859.6</v>
      </c>
      <c r="AB236">
        <v>1577.6000000000001</v>
      </c>
      <c r="AE236">
        <v>1330</v>
      </c>
      <c r="AF236">
        <v>1025.5</v>
      </c>
      <c r="AH236">
        <v>509.9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1349.3</v>
      </c>
      <c r="AO236">
        <v>786.40000000000009</v>
      </c>
      <c r="AP236">
        <v>0</v>
      </c>
      <c r="AQ236">
        <v>68.3</v>
      </c>
      <c r="AR236">
        <v>234.9</v>
      </c>
      <c r="AS236">
        <v>600.40000000000009</v>
      </c>
      <c r="AU236">
        <v>985.69999999999993</v>
      </c>
      <c r="AW236">
        <v>792</v>
      </c>
      <c r="AX236">
        <v>1988.5</v>
      </c>
      <c r="AZ236">
        <v>763.5</v>
      </c>
      <c r="BA236">
        <v>0</v>
      </c>
      <c r="BB236">
        <v>0</v>
      </c>
      <c r="BC236">
        <v>1935.3</v>
      </c>
      <c r="BD236">
        <v>1006.5</v>
      </c>
      <c r="BE236">
        <v>0</v>
      </c>
      <c r="BF236">
        <v>0</v>
      </c>
      <c r="BG236">
        <v>0</v>
      </c>
      <c r="BH236">
        <v>1662.6</v>
      </c>
      <c r="BJ236">
        <v>0</v>
      </c>
      <c r="BK236">
        <v>0</v>
      </c>
      <c r="BL236">
        <v>1038.9000000000001</v>
      </c>
      <c r="BM236">
        <v>1101</v>
      </c>
      <c r="BO236">
        <v>1276.8000000000002</v>
      </c>
      <c r="BQ236">
        <v>0</v>
      </c>
      <c r="BR236">
        <v>270.7</v>
      </c>
      <c r="BS236">
        <v>230.5</v>
      </c>
      <c r="BT236">
        <v>472.3</v>
      </c>
      <c r="BU236">
        <v>537.29999999999995</v>
      </c>
      <c r="BV236">
        <v>346.3</v>
      </c>
      <c r="BW236">
        <v>386.2</v>
      </c>
      <c r="BX236">
        <v>767</v>
      </c>
      <c r="BY236">
        <v>757.2</v>
      </c>
      <c r="BZ236">
        <v>1037.2</v>
      </c>
      <c r="CA236">
        <v>1227.0999999999999</v>
      </c>
      <c r="CB236">
        <v>1232.0999999999999</v>
      </c>
      <c r="CC236">
        <v>1701.5</v>
      </c>
      <c r="CD236">
        <v>0</v>
      </c>
      <c r="CG236">
        <v>1385.3</v>
      </c>
      <c r="CJ236">
        <v>1630.2999999999997</v>
      </c>
      <c r="CM236">
        <v>1184.2</v>
      </c>
      <c r="CO236">
        <v>1248.0999999999999</v>
      </c>
      <c r="CQ236">
        <v>1435.3</v>
      </c>
      <c r="CR236">
        <v>798.2</v>
      </c>
      <c r="CS236">
        <v>923.8</v>
      </c>
      <c r="CT236">
        <v>0</v>
      </c>
      <c r="CU236">
        <v>0</v>
      </c>
      <c r="CV236">
        <v>0</v>
      </c>
      <c r="CW236">
        <v>0</v>
      </c>
      <c r="CX236">
        <v>163.69999999999999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I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G236" t="e">
        <v>#N/A</v>
      </c>
      <c r="FI236" t="e">
        <v>#N/A</v>
      </c>
      <c r="FK236" t="e">
        <v>#N/A</v>
      </c>
      <c r="FM236" t="e">
        <v>#N/A</v>
      </c>
      <c r="FO236" t="e">
        <v>#N/A</v>
      </c>
      <c r="FQ236" t="e">
        <v>#N/A</v>
      </c>
      <c r="FS236" t="e">
        <v>#N/A</v>
      </c>
      <c r="FU236" t="e">
        <v>#N/A</v>
      </c>
      <c r="FW236" t="e">
        <v>#N/A</v>
      </c>
      <c r="FY236" t="e">
        <v>#N/A</v>
      </c>
      <c r="GA236" t="e">
        <v>#N/A</v>
      </c>
      <c r="GC236" t="e">
        <v>#N/A</v>
      </c>
      <c r="GE236" t="e">
        <v>#N/A</v>
      </c>
      <c r="GG236" t="e">
        <v>#N/A</v>
      </c>
      <c r="GI236" t="e">
        <v>#N/A</v>
      </c>
      <c r="GK236" t="e">
        <v>#N/A</v>
      </c>
      <c r="GM236" t="e">
        <v>#N/A</v>
      </c>
      <c r="GO236" t="e">
        <v>#N/A</v>
      </c>
      <c r="GQ236" t="e">
        <v>#N/A</v>
      </c>
      <c r="GS236" t="e">
        <v>#N/A</v>
      </c>
      <c r="GU236" t="e">
        <v>#N/A</v>
      </c>
      <c r="GW236" t="e">
        <v>#N/A</v>
      </c>
      <c r="GY236" t="e">
        <v>#N/A</v>
      </c>
      <c r="HA236" t="e">
        <v>#N/A</v>
      </c>
      <c r="HC236">
        <v>0</v>
      </c>
      <c r="HD236">
        <v>0</v>
      </c>
      <c r="HE236">
        <v>0</v>
      </c>
      <c r="HF236">
        <v>0</v>
      </c>
      <c r="HG236">
        <v>0</v>
      </c>
      <c r="HH236">
        <v>0</v>
      </c>
      <c r="HI236">
        <v>0</v>
      </c>
      <c r="HJ236">
        <v>0</v>
      </c>
      <c r="HM236">
        <v>0</v>
      </c>
      <c r="HN236">
        <v>0</v>
      </c>
      <c r="HO236">
        <v>0</v>
      </c>
      <c r="HP236">
        <v>0</v>
      </c>
      <c r="HQ236">
        <v>0</v>
      </c>
      <c r="HR236">
        <v>0</v>
      </c>
      <c r="HS236">
        <v>0</v>
      </c>
      <c r="HT236">
        <v>0</v>
      </c>
      <c r="HW236">
        <v>0</v>
      </c>
      <c r="HX236">
        <v>0</v>
      </c>
      <c r="HY236">
        <v>0</v>
      </c>
      <c r="HZ236">
        <v>0</v>
      </c>
      <c r="IA236">
        <v>3930.6</v>
      </c>
      <c r="IB236">
        <v>3632.9</v>
      </c>
      <c r="IC236">
        <v>3795.5</v>
      </c>
      <c r="ID236">
        <v>0</v>
      </c>
      <c r="IE236">
        <v>0</v>
      </c>
      <c r="IF236">
        <v>3548.5</v>
      </c>
      <c r="IG236">
        <v>3395.2</v>
      </c>
      <c r="IH236">
        <v>3395.4</v>
      </c>
      <c r="II236">
        <v>3302.3</v>
      </c>
      <c r="IJ236">
        <v>3172.8</v>
      </c>
      <c r="IK236">
        <v>0</v>
      </c>
      <c r="IL236">
        <v>0</v>
      </c>
      <c r="IM236">
        <v>0</v>
      </c>
      <c r="IN236">
        <v>0</v>
      </c>
      <c r="IO236">
        <v>123.4</v>
      </c>
      <c r="IP236">
        <v>405.2</v>
      </c>
      <c r="IQ236">
        <v>418.7</v>
      </c>
      <c r="IR236">
        <v>0</v>
      </c>
      <c r="IS236">
        <v>0</v>
      </c>
      <c r="IT236">
        <v>0</v>
      </c>
      <c r="IU236">
        <v>0</v>
      </c>
      <c r="IV236">
        <v>396</v>
      </c>
      <c r="IW236">
        <v>0</v>
      </c>
      <c r="IX236">
        <v>0</v>
      </c>
      <c r="IZ236">
        <v>0</v>
      </c>
      <c r="JA236">
        <v>65.5</v>
      </c>
      <c r="JB236">
        <v>443.5</v>
      </c>
      <c r="JC236">
        <v>0</v>
      </c>
      <c r="JD236">
        <v>0</v>
      </c>
      <c r="JE236">
        <v>0</v>
      </c>
      <c r="JF236">
        <v>0</v>
      </c>
      <c r="JG236">
        <v>0</v>
      </c>
      <c r="JH236">
        <v>0</v>
      </c>
      <c r="JI236">
        <v>0</v>
      </c>
      <c r="JJ236">
        <v>0</v>
      </c>
      <c r="JK236">
        <v>0</v>
      </c>
      <c r="JL236">
        <v>0</v>
      </c>
      <c r="JM236">
        <v>0</v>
      </c>
      <c r="JN236">
        <v>0</v>
      </c>
      <c r="JO236">
        <v>0</v>
      </c>
      <c r="JP236">
        <v>0</v>
      </c>
      <c r="JQ236">
        <v>0</v>
      </c>
      <c r="JR236">
        <v>0</v>
      </c>
      <c r="JS236">
        <v>0</v>
      </c>
      <c r="JT236">
        <v>0</v>
      </c>
      <c r="JU236">
        <v>0</v>
      </c>
      <c r="JV236">
        <v>0</v>
      </c>
      <c r="JW236">
        <v>0</v>
      </c>
      <c r="JX236">
        <v>0</v>
      </c>
      <c r="JY236">
        <v>0</v>
      </c>
      <c r="JZ236">
        <v>0</v>
      </c>
      <c r="KA236">
        <v>0</v>
      </c>
      <c r="KB236">
        <v>0</v>
      </c>
      <c r="KC236">
        <v>0</v>
      </c>
      <c r="KD236">
        <v>0</v>
      </c>
      <c r="KE236">
        <v>0</v>
      </c>
      <c r="KF236">
        <v>0</v>
      </c>
      <c r="KI236">
        <v>344.6</v>
      </c>
      <c r="KJ236">
        <v>350.8</v>
      </c>
      <c r="KK236">
        <v>22.1</v>
      </c>
      <c r="KL236">
        <v>379.3</v>
      </c>
      <c r="KM236">
        <v>241.4</v>
      </c>
      <c r="KN236">
        <v>0</v>
      </c>
      <c r="KO236">
        <v>0</v>
      </c>
      <c r="KP236">
        <v>57.3</v>
      </c>
      <c r="KQ236">
        <v>224.4</v>
      </c>
      <c r="KR236">
        <v>338.3</v>
      </c>
      <c r="KS236">
        <v>215.8</v>
      </c>
      <c r="KT236">
        <v>40.700000000000003</v>
      </c>
      <c r="KW236">
        <v>2154.5</v>
      </c>
      <c r="KX236">
        <v>1255.7</v>
      </c>
      <c r="KY236">
        <v>1630.1</v>
      </c>
      <c r="KZ236">
        <v>1246.9000000000001</v>
      </c>
      <c r="LB236">
        <v>78.099999999999994</v>
      </c>
      <c r="LC236">
        <v>77.7</v>
      </c>
    </row>
    <row r="237" spans="1:315" ht="18" thickBot="1">
      <c r="A237" s="245"/>
      <c r="B237" s="570"/>
      <c r="C237" s="328"/>
      <c r="D237" s="274"/>
      <c r="E237" s="445">
        <v>0</v>
      </c>
      <c r="F237" s="192">
        <v>0</v>
      </c>
      <c r="G237" s="427">
        <v>3413.8</v>
      </c>
      <c r="H237" s="155"/>
      <c r="I237">
        <v>735</v>
      </c>
      <c r="K237">
        <v>1973.1000000000001</v>
      </c>
      <c r="L237" s="4">
        <v>221.60000000000002</v>
      </c>
      <c r="M237" s="4">
        <v>54.9</v>
      </c>
      <c r="N237" s="4">
        <v>1989.7</v>
      </c>
      <c r="P237">
        <v>0</v>
      </c>
      <c r="Q237">
        <v>238.29999999999998</v>
      </c>
      <c r="R237">
        <v>0</v>
      </c>
      <c r="S237">
        <v>0</v>
      </c>
      <c r="T237">
        <v>368.5</v>
      </c>
      <c r="W237">
        <v>720.3</v>
      </c>
      <c r="X237">
        <v>1411.5</v>
      </c>
      <c r="Y237">
        <v>96.5</v>
      </c>
      <c r="AA237">
        <v>859.6</v>
      </c>
      <c r="AB237">
        <v>1577.6000000000001</v>
      </c>
      <c r="AE237">
        <v>1330</v>
      </c>
      <c r="AF237">
        <v>1025.5</v>
      </c>
      <c r="AH237">
        <v>509.9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1349.3</v>
      </c>
      <c r="AO237">
        <v>786.40000000000009</v>
      </c>
      <c r="AP237">
        <v>0</v>
      </c>
      <c r="AQ237">
        <v>68.3</v>
      </c>
      <c r="AR237">
        <v>234.9</v>
      </c>
      <c r="AS237">
        <v>600.40000000000009</v>
      </c>
      <c r="AU237">
        <v>985.69999999999993</v>
      </c>
      <c r="AW237">
        <v>792</v>
      </c>
      <c r="AX237">
        <v>1988.5</v>
      </c>
      <c r="AZ237">
        <v>763.5</v>
      </c>
      <c r="BA237">
        <v>0</v>
      </c>
      <c r="BB237">
        <v>0</v>
      </c>
      <c r="BC237">
        <v>1935.3</v>
      </c>
      <c r="BD237">
        <v>1006.5</v>
      </c>
      <c r="BE237">
        <v>0</v>
      </c>
      <c r="BF237">
        <v>0</v>
      </c>
      <c r="BG237">
        <v>0</v>
      </c>
      <c r="BH237">
        <v>1662.6</v>
      </c>
      <c r="BJ237">
        <v>0</v>
      </c>
      <c r="BK237">
        <v>0</v>
      </c>
      <c r="BL237">
        <v>1038.9000000000001</v>
      </c>
      <c r="BM237">
        <v>1101</v>
      </c>
      <c r="BO237">
        <v>1276.8000000000002</v>
      </c>
      <c r="BQ237">
        <v>0</v>
      </c>
      <c r="BR237">
        <v>270.7</v>
      </c>
      <c r="BS237">
        <v>230.5</v>
      </c>
      <c r="BT237">
        <v>472.3</v>
      </c>
      <c r="BU237">
        <v>537.29999999999995</v>
      </c>
      <c r="BV237">
        <v>346.3</v>
      </c>
      <c r="BW237">
        <v>386.2</v>
      </c>
      <c r="BX237">
        <v>767</v>
      </c>
      <c r="BY237">
        <v>757.2</v>
      </c>
      <c r="BZ237">
        <v>1037.2</v>
      </c>
      <c r="CA237">
        <v>1227.0999999999999</v>
      </c>
      <c r="CB237">
        <v>1232.0999999999999</v>
      </c>
      <c r="CC237">
        <v>1701.5</v>
      </c>
      <c r="CD237">
        <v>0</v>
      </c>
      <c r="CG237">
        <v>1385.3</v>
      </c>
      <c r="CJ237">
        <v>1630.2999999999997</v>
      </c>
      <c r="CM237">
        <v>1184.2</v>
      </c>
      <c r="CO237">
        <v>1248.0999999999999</v>
      </c>
      <c r="CQ237">
        <v>1435.3</v>
      </c>
      <c r="CR237">
        <v>798.2</v>
      </c>
      <c r="CS237">
        <v>923.8</v>
      </c>
      <c r="CT237">
        <v>0</v>
      </c>
      <c r="CU237">
        <v>0</v>
      </c>
      <c r="CV237">
        <v>0</v>
      </c>
      <c r="CW237">
        <v>0</v>
      </c>
      <c r="CX237">
        <v>163.69999999999999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I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G237" t="e">
        <v>#N/A</v>
      </c>
      <c r="FI237" t="e">
        <v>#N/A</v>
      </c>
      <c r="FK237" t="e">
        <v>#N/A</v>
      </c>
      <c r="FM237" t="e">
        <v>#N/A</v>
      </c>
      <c r="FO237" t="e">
        <v>#N/A</v>
      </c>
      <c r="FQ237" t="e">
        <v>#N/A</v>
      </c>
      <c r="FS237" t="e">
        <v>#N/A</v>
      </c>
      <c r="FU237" t="e">
        <v>#N/A</v>
      </c>
      <c r="FW237" t="e">
        <v>#N/A</v>
      </c>
      <c r="FY237" t="e">
        <v>#N/A</v>
      </c>
      <c r="GA237" t="e">
        <v>#N/A</v>
      </c>
      <c r="GC237" t="e">
        <v>#N/A</v>
      </c>
      <c r="GE237" t="e">
        <v>#N/A</v>
      </c>
      <c r="GG237" t="e">
        <v>#N/A</v>
      </c>
      <c r="GI237" t="e">
        <v>#N/A</v>
      </c>
      <c r="GK237" t="e">
        <v>#N/A</v>
      </c>
      <c r="GM237" t="e">
        <v>#N/A</v>
      </c>
      <c r="GO237" t="e">
        <v>#N/A</v>
      </c>
      <c r="GQ237" t="e">
        <v>#N/A</v>
      </c>
      <c r="GS237" t="e">
        <v>#N/A</v>
      </c>
      <c r="GU237" t="e">
        <v>#N/A</v>
      </c>
      <c r="GW237" t="e">
        <v>#N/A</v>
      </c>
      <c r="GY237" t="e">
        <v>#N/A</v>
      </c>
      <c r="HA237" t="e">
        <v>#N/A</v>
      </c>
      <c r="HC237">
        <v>0</v>
      </c>
      <c r="HD237">
        <v>0</v>
      </c>
      <c r="HE237">
        <v>0</v>
      </c>
      <c r="HF237">
        <v>0</v>
      </c>
      <c r="HG237">
        <v>0</v>
      </c>
      <c r="HH237">
        <v>0</v>
      </c>
      <c r="HI237">
        <v>0</v>
      </c>
      <c r="HJ237">
        <v>0</v>
      </c>
      <c r="HM237">
        <v>0</v>
      </c>
      <c r="HN237">
        <v>0</v>
      </c>
      <c r="HO237">
        <v>0</v>
      </c>
      <c r="HP237">
        <v>0</v>
      </c>
      <c r="HQ237">
        <v>0</v>
      </c>
      <c r="HR237">
        <v>0</v>
      </c>
      <c r="HS237">
        <v>0</v>
      </c>
      <c r="HT237">
        <v>0</v>
      </c>
      <c r="HW237">
        <v>0</v>
      </c>
      <c r="HX237">
        <v>0</v>
      </c>
      <c r="HY237">
        <v>0</v>
      </c>
      <c r="HZ237">
        <v>0</v>
      </c>
      <c r="IA237">
        <v>3930.6</v>
      </c>
      <c r="IB237">
        <v>3632.9</v>
      </c>
      <c r="IC237">
        <v>3795.5</v>
      </c>
      <c r="ID237">
        <v>0</v>
      </c>
      <c r="IE237">
        <v>0</v>
      </c>
      <c r="IF237">
        <v>3548.5</v>
      </c>
      <c r="IG237">
        <v>3395.2</v>
      </c>
      <c r="IH237">
        <v>3395.4</v>
      </c>
      <c r="II237">
        <v>3302.3</v>
      </c>
      <c r="IJ237">
        <v>3172.8</v>
      </c>
      <c r="IK237">
        <v>0</v>
      </c>
      <c r="IL237">
        <v>0</v>
      </c>
      <c r="IM237">
        <v>0</v>
      </c>
      <c r="IN237">
        <v>0</v>
      </c>
      <c r="IO237">
        <v>123.4</v>
      </c>
      <c r="IP237">
        <v>405.2</v>
      </c>
      <c r="IQ237">
        <v>418.7</v>
      </c>
      <c r="IR237">
        <v>0</v>
      </c>
      <c r="IS237">
        <v>0</v>
      </c>
      <c r="IT237">
        <v>0</v>
      </c>
      <c r="IU237">
        <v>0</v>
      </c>
      <c r="IV237">
        <v>396</v>
      </c>
      <c r="IW237">
        <v>0</v>
      </c>
      <c r="IX237">
        <v>0</v>
      </c>
      <c r="IZ237">
        <v>0</v>
      </c>
      <c r="JA237">
        <v>65.5</v>
      </c>
      <c r="JB237">
        <v>443.5</v>
      </c>
      <c r="JC237">
        <v>0</v>
      </c>
      <c r="JD237">
        <v>0</v>
      </c>
      <c r="JE237">
        <v>0</v>
      </c>
      <c r="JF237">
        <v>0</v>
      </c>
      <c r="JG237">
        <v>0</v>
      </c>
      <c r="JH237">
        <v>0</v>
      </c>
      <c r="JI237">
        <v>0</v>
      </c>
      <c r="JJ237">
        <v>0</v>
      </c>
      <c r="JK237">
        <v>0</v>
      </c>
      <c r="JL237">
        <v>0</v>
      </c>
      <c r="JM237">
        <v>0</v>
      </c>
      <c r="JN237">
        <v>0</v>
      </c>
      <c r="JO237">
        <v>0</v>
      </c>
      <c r="JP237">
        <v>0</v>
      </c>
      <c r="JQ237">
        <v>0</v>
      </c>
      <c r="JR237">
        <v>0</v>
      </c>
      <c r="JS237">
        <v>0</v>
      </c>
      <c r="JT237">
        <v>0</v>
      </c>
      <c r="JU237">
        <v>0</v>
      </c>
      <c r="JV237">
        <v>0</v>
      </c>
      <c r="JW237">
        <v>0</v>
      </c>
      <c r="JX237">
        <v>0</v>
      </c>
      <c r="JY237">
        <v>0</v>
      </c>
      <c r="JZ237">
        <v>0</v>
      </c>
      <c r="KA237">
        <v>0</v>
      </c>
      <c r="KB237">
        <v>0</v>
      </c>
      <c r="KC237">
        <v>0</v>
      </c>
      <c r="KD237">
        <v>0</v>
      </c>
      <c r="KE237">
        <v>0</v>
      </c>
      <c r="KF237">
        <v>0</v>
      </c>
      <c r="KI237">
        <v>344.6</v>
      </c>
      <c r="KJ237">
        <v>350.8</v>
      </c>
      <c r="KK237">
        <v>22.1</v>
      </c>
      <c r="KL237">
        <v>379.3</v>
      </c>
      <c r="KM237">
        <v>241.4</v>
      </c>
      <c r="KN237">
        <v>0</v>
      </c>
      <c r="KO237">
        <v>0</v>
      </c>
      <c r="KP237">
        <v>57.3</v>
      </c>
      <c r="KQ237">
        <v>224.4</v>
      </c>
      <c r="KR237">
        <v>338.3</v>
      </c>
      <c r="KS237">
        <v>215.8</v>
      </c>
      <c r="KT237">
        <v>40.700000000000003</v>
      </c>
      <c r="KW237">
        <v>2154.5</v>
      </c>
      <c r="KX237">
        <v>1255.7</v>
      </c>
      <c r="KY237">
        <v>1630.1</v>
      </c>
      <c r="KZ237">
        <v>1246.9000000000001</v>
      </c>
      <c r="LB237">
        <v>78.099999999999994</v>
      </c>
      <c r="LC237">
        <v>77.7</v>
      </c>
    </row>
    <row r="238" spans="1:315" ht="18" thickBot="1">
      <c r="A238" s="245"/>
      <c r="B238" s="570" t="s">
        <v>541</v>
      </c>
      <c r="C238" s="88" t="s">
        <v>614</v>
      </c>
      <c r="D238" s="274" t="s">
        <v>812</v>
      </c>
      <c r="E238" s="446">
        <v>0</v>
      </c>
      <c r="F238" s="191">
        <v>0</v>
      </c>
      <c r="G238" s="427">
        <v>3413.8</v>
      </c>
      <c r="H238" s="155"/>
      <c r="I238">
        <v>735</v>
      </c>
      <c r="K238">
        <v>1973.1000000000001</v>
      </c>
      <c r="L238" s="4">
        <v>221.60000000000002</v>
      </c>
      <c r="M238" s="4">
        <v>54.9</v>
      </c>
      <c r="N238" s="4">
        <v>1989.7</v>
      </c>
      <c r="P238">
        <v>0</v>
      </c>
      <c r="Q238">
        <v>238.29999999999998</v>
      </c>
      <c r="R238">
        <v>0</v>
      </c>
      <c r="S238">
        <v>0</v>
      </c>
      <c r="T238">
        <v>368.5</v>
      </c>
      <c r="W238">
        <v>720.3</v>
      </c>
      <c r="X238">
        <v>1411.5</v>
      </c>
      <c r="Y238">
        <v>96.5</v>
      </c>
      <c r="AA238">
        <v>859.6</v>
      </c>
      <c r="AB238">
        <v>1577.6000000000001</v>
      </c>
      <c r="AE238">
        <v>1330</v>
      </c>
      <c r="AF238">
        <v>1025.5</v>
      </c>
      <c r="AH238">
        <v>509.9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1349.3</v>
      </c>
      <c r="AO238">
        <v>786.40000000000009</v>
      </c>
      <c r="AP238">
        <v>0</v>
      </c>
      <c r="AQ238">
        <v>68.3</v>
      </c>
      <c r="AR238">
        <v>234.9</v>
      </c>
      <c r="AS238">
        <v>600.40000000000009</v>
      </c>
      <c r="AU238">
        <v>985.69999999999993</v>
      </c>
      <c r="AW238">
        <v>792</v>
      </c>
      <c r="AX238">
        <v>1988.5</v>
      </c>
      <c r="AZ238">
        <v>763.5</v>
      </c>
      <c r="BA238">
        <v>0</v>
      </c>
      <c r="BB238">
        <v>0</v>
      </c>
      <c r="BC238">
        <v>1935.3</v>
      </c>
      <c r="BD238">
        <v>1006.5</v>
      </c>
      <c r="BE238">
        <v>0</v>
      </c>
      <c r="BF238">
        <v>0</v>
      </c>
      <c r="BG238">
        <v>0</v>
      </c>
      <c r="BH238">
        <v>1662.6</v>
      </c>
      <c r="BJ238">
        <v>0</v>
      </c>
      <c r="BK238">
        <v>0</v>
      </c>
      <c r="BL238">
        <v>1038.9000000000001</v>
      </c>
      <c r="BM238">
        <v>1101</v>
      </c>
      <c r="BO238">
        <v>1276.8000000000002</v>
      </c>
      <c r="BQ238">
        <v>0</v>
      </c>
      <c r="BR238">
        <v>270.7</v>
      </c>
      <c r="BS238">
        <v>230.5</v>
      </c>
      <c r="BT238">
        <v>472.3</v>
      </c>
      <c r="BU238">
        <v>537.29999999999995</v>
      </c>
      <c r="BV238">
        <v>346.3</v>
      </c>
      <c r="BW238">
        <v>386.2</v>
      </c>
      <c r="BX238">
        <v>767</v>
      </c>
      <c r="BY238">
        <v>757.2</v>
      </c>
      <c r="BZ238">
        <v>1037.2</v>
      </c>
      <c r="CA238">
        <v>1227.0999999999999</v>
      </c>
      <c r="CB238">
        <v>1232.0999999999999</v>
      </c>
      <c r="CC238">
        <v>1701.5</v>
      </c>
      <c r="CD238">
        <v>0</v>
      </c>
      <c r="CG238">
        <v>1385.3</v>
      </c>
      <c r="CJ238">
        <v>1630.2999999999997</v>
      </c>
      <c r="CM238">
        <v>1184.2</v>
      </c>
      <c r="CO238">
        <v>1248.0999999999999</v>
      </c>
      <c r="CQ238">
        <v>1435.3</v>
      </c>
      <c r="CR238">
        <v>798.2</v>
      </c>
      <c r="CS238">
        <v>923.8</v>
      </c>
      <c r="CT238">
        <v>0</v>
      </c>
      <c r="CU238">
        <v>0</v>
      </c>
      <c r="CV238">
        <v>0</v>
      </c>
      <c r="CW238">
        <v>0</v>
      </c>
      <c r="CX238">
        <v>163.69999999999999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I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G238" t="e">
        <v>#N/A</v>
      </c>
      <c r="FI238" t="e">
        <v>#N/A</v>
      </c>
      <c r="FK238" t="e">
        <v>#N/A</v>
      </c>
      <c r="FM238" t="e">
        <v>#N/A</v>
      </c>
      <c r="FO238" t="e">
        <v>#N/A</v>
      </c>
      <c r="FQ238" t="e">
        <v>#N/A</v>
      </c>
      <c r="FS238" t="e">
        <v>#N/A</v>
      </c>
      <c r="FU238" t="e">
        <v>#N/A</v>
      </c>
      <c r="FW238" t="e">
        <v>#N/A</v>
      </c>
      <c r="FY238" t="e">
        <v>#N/A</v>
      </c>
      <c r="GA238" t="e">
        <v>#N/A</v>
      </c>
      <c r="GC238" t="e">
        <v>#N/A</v>
      </c>
      <c r="GE238" t="e">
        <v>#N/A</v>
      </c>
      <c r="GG238" t="e">
        <v>#N/A</v>
      </c>
      <c r="GI238" t="e">
        <v>#N/A</v>
      </c>
      <c r="GK238" t="e">
        <v>#N/A</v>
      </c>
      <c r="GM238" t="e">
        <v>#N/A</v>
      </c>
      <c r="GO238" t="e">
        <v>#N/A</v>
      </c>
      <c r="GQ238" t="e">
        <v>#N/A</v>
      </c>
      <c r="GS238" t="e">
        <v>#N/A</v>
      </c>
      <c r="GU238" t="e">
        <v>#N/A</v>
      </c>
      <c r="GW238" t="e">
        <v>#N/A</v>
      </c>
      <c r="GY238" t="e">
        <v>#N/A</v>
      </c>
      <c r="HA238" t="e">
        <v>#N/A</v>
      </c>
      <c r="HC238">
        <v>0</v>
      </c>
      <c r="HD238">
        <v>0</v>
      </c>
      <c r="HE238">
        <v>0</v>
      </c>
      <c r="HF238">
        <v>0</v>
      </c>
      <c r="HG238">
        <v>0</v>
      </c>
      <c r="HH238">
        <v>0</v>
      </c>
      <c r="HI238">
        <v>0</v>
      </c>
      <c r="HJ238">
        <v>0</v>
      </c>
      <c r="HM238">
        <v>0</v>
      </c>
      <c r="HN238">
        <v>0</v>
      </c>
      <c r="HO238">
        <v>0</v>
      </c>
      <c r="HP238">
        <v>0</v>
      </c>
      <c r="HQ238">
        <v>0</v>
      </c>
      <c r="HR238">
        <v>0</v>
      </c>
      <c r="HS238">
        <v>0</v>
      </c>
      <c r="HT238">
        <v>0</v>
      </c>
      <c r="HW238">
        <v>0</v>
      </c>
      <c r="HX238">
        <v>0</v>
      </c>
      <c r="HY238">
        <v>0</v>
      </c>
      <c r="HZ238">
        <v>0</v>
      </c>
      <c r="IA238">
        <v>3930.6</v>
      </c>
      <c r="IB238">
        <v>3632.9</v>
      </c>
      <c r="IC238">
        <v>3795.5</v>
      </c>
      <c r="ID238">
        <v>0</v>
      </c>
      <c r="IE238">
        <v>0</v>
      </c>
      <c r="IF238">
        <v>3548.5</v>
      </c>
      <c r="IG238">
        <v>3395.2</v>
      </c>
      <c r="IH238">
        <v>3395.4</v>
      </c>
      <c r="II238">
        <v>3302.3</v>
      </c>
      <c r="IJ238">
        <v>3172.8</v>
      </c>
      <c r="IK238">
        <v>0</v>
      </c>
      <c r="IL238">
        <v>0</v>
      </c>
      <c r="IM238">
        <v>0</v>
      </c>
      <c r="IN238">
        <v>0</v>
      </c>
      <c r="IO238">
        <v>123.4</v>
      </c>
      <c r="IP238">
        <v>405.2</v>
      </c>
      <c r="IQ238">
        <v>418.7</v>
      </c>
      <c r="IR238">
        <v>0</v>
      </c>
      <c r="IS238">
        <v>0</v>
      </c>
      <c r="IT238">
        <v>0</v>
      </c>
      <c r="IU238">
        <v>0</v>
      </c>
      <c r="IV238">
        <v>396</v>
      </c>
      <c r="IW238">
        <v>0</v>
      </c>
      <c r="IX238">
        <v>0</v>
      </c>
      <c r="IZ238">
        <v>0</v>
      </c>
      <c r="JA238">
        <v>65.5</v>
      </c>
      <c r="JB238">
        <v>443.5</v>
      </c>
      <c r="JC238">
        <v>0</v>
      </c>
      <c r="JD238">
        <v>0</v>
      </c>
      <c r="JE238">
        <v>0</v>
      </c>
      <c r="JF238">
        <v>0</v>
      </c>
      <c r="JG238">
        <v>0</v>
      </c>
      <c r="JH238">
        <v>0</v>
      </c>
      <c r="JI238">
        <v>0</v>
      </c>
      <c r="JJ238">
        <v>0</v>
      </c>
      <c r="JK238">
        <v>0</v>
      </c>
      <c r="JL238">
        <v>0</v>
      </c>
      <c r="JM238">
        <v>0</v>
      </c>
      <c r="JN238">
        <v>0</v>
      </c>
      <c r="JO238">
        <v>0</v>
      </c>
      <c r="JP238">
        <v>0</v>
      </c>
      <c r="JQ238">
        <v>0</v>
      </c>
      <c r="JR238">
        <v>0</v>
      </c>
      <c r="JS238">
        <v>0</v>
      </c>
      <c r="JT238">
        <v>0</v>
      </c>
      <c r="JU238">
        <v>0</v>
      </c>
      <c r="JV238">
        <v>0</v>
      </c>
      <c r="JW238">
        <v>0</v>
      </c>
      <c r="JX238">
        <v>0</v>
      </c>
      <c r="JY238">
        <v>0</v>
      </c>
      <c r="JZ238">
        <v>0</v>
      </c>
      <c r="KA238">
        <v>0</v>
      </c>
      <c r="KB238">
        <v>0</v>
      </c>
      <c r="KC238">
        <v>0</v>
      </c>
      <c r="KD238">
        <v>0</v>
      </c>
      <c r="KE238">
        <v>0</v>
      </c>
      <c r="KF238">
        <v>0</v>
      </c>
      <c r="KI238">
        <v>344.6</v>
      </c>
      <c r="KJ238">
        <v>350.8</v>
      </c>
      <c r="KK238">
        <v>22.1</v>
      </c>
      <c r="KL238">
        <v>379.3</v>
      </c>
      <c r="KM238">
        <v>241.4</v>
      </c>
      <c r="KN238">
        <v>0</v>
      </c>
      <c r="KO238">
        <v>0</v>
      </c>
      <c r="KP238">
        <v>57.3</v>
      </c>
      <c r="KQ238">
        <v>224.4</v>
      </c>
      <c r="KR238">
        <v>338.3</v>
      </c>
      <c r="KS238">
        <v>215.8</v>
      </c>
      <c r="KT238">
        <v>40.700000000000003</v>
      </c>
      <c r="KW238">
        <v>2154.5</v>
      </c>
      <c r="KX238">
        <v>1255.7</v>
      </c>
      <c r="KY238">
        <v>1630.1</v>
      </c>
      <c r="KZ238">
        <v>1246.9000000000001</v>
      </c>
      <c r="LB238">
        <v>78.099999999999994</v>
      </c>
      <c r="LC238">
        <v>77.7</v>
      </c>
    </row>
    <row r="239" spans="1:315" ht="18" thickBot="1">
      <c r="A239" s="245"/>
      <c r="B239" s="570"/>
      <c r="C239" s="88"/>
      <c r="D239" s="274"/>
      <c r="E239" s="437">
        <v>0</v>
      </c>
      <c r="F239" s="191">
        <v>0</v>
      </c>
      <c r="G239" s="427">
        <v>3413.8</v>
      </c>
      <c r="H239" s="155"/>
      <c r="I239">
        <v>735</v>
      </c>
      <c r="K239">
        <v>1973.1000000000001</v>
      </c>
      <c r="L239" s="4">
        <v>221.60000000000002</v>
      </c>
      <c r="M239" s="4">
        <v>54.9</v>
      </c>
      <c r="N239" s="4">
        <v>1989.7</v>
      </c>
      <c r="P239">
        <v>0</v>
      </c>
      <c r="Q239">
        <v>238.29999999999998</v>
      </c>
      <c r="R239">
        <v>0</v>
      </c>
      <c r="S239">
        <v>0</v>
      </c>
      <c r="T239">
        <v>368.5</v>
      </c>
      <c r="W239">
        <v>720.3</v>
      </c>
      <c r="X239">
        <v>1411.5</v>
      </c>
      <c r="Y239">
        <v>96.5</v>
      </c>
      <c r="AA239">
        <v>859.6</v>
      </c>
      <c r="AB239">
        <v>1577.6000000000001</v>
      </c>
      <c r="AE239">
        <v>1330</v>
      </c>
      <c r="AF239">
        <v>1025.5</v>
      </c>
      <c r="AH239">
        <v>509.9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1349.3</v>
      </c>
      <c r="AO239">
        <v>786.40000000000009</v>
      </c>
      <c r="AP239">
        <v>0</v>
      </c>
      <c r="AQ239">
        <v>68.3</v>
      </c>
      <c r="AR239">
        <v>234.9</v>
      </c>
      <c r="AS239">
        <v>600.40000000000009</v>
      </c>
      <c r="AU239">
        <v>985.69999999999993</v>
      </c>
      <c r="AW239">
        <v>792</v>
      </c>
      <c r="AX239">
        <v>1988.5</v>
      </c>
      <c r="AZ239">
        <v>763.5</v>
      </c>
      <c r="BA239">
        <v>0</v>
      </c>
      <c r="BB239">
        <v>0</v>
      </c>
      <c r="BC239">
        <v>1935.3</v>
      </c>
      <c r="BD239">
        <v>1006.5</v>
      </c>
      <c r="BE239">
        <v>0</v>
      </c>
      <c r="BF239">
        <v>0</v>
      </c>
      <c r="BG239">
        <v>0</v>
      </c>
      <c r="BH239">
        <v>1662.6</v>
      </c>
      <c r="BJ239">
        <v>0</v>
      </c>
      <c r="BK239">
        <v>0</v>
      </c>
      <c r="BL239">
        <v>1038.9000000000001</v>
      </c>
      <c r="BM239">
        <v>1101</v>
      </c>
      <c r="BO239">
        <v>1276.8000000000002</v>
      </c>
      <c r="BQ239">
        <v>0</v>
      </c>
      <c r="BR239">
        <v>270.7</v>
      </c>
      <c r="BS239">
        <v>230.5</v>
      </c>
      <c r="BT239">
        <v>472.3</v>
      </c>
      <c r="BU239">
        <v>537.29999999999995</v>
      </c>
      <c r="BV239">
        <v>346.3</v>
      </c>
      <c r="BW239">
        <v>386.2</v>
      </c>
      <c r="BX239">
        <v>767</v>
      </c>
      <c r="BY239">
        <v>757.2</v>
      </c>
      <c r="BZ239">
        <v>1037.2</v>
      </c>
      <c r="CA239">
        <v>1227.0999999999999</v>
      </c>
      <c r="CB239">
        <v>1232.0999999999999</v>
      </c>
      <c r="CC239">
        <v>1701.5</v>
      </c>
      <c r="CD239">
        <v>0</v>
      </c>
      <c r="CG239">
        <v>1385.3</v>
      </c>
      <c r="CJ239">
        <v>1630.2999999999997</v>
      </c>
      <c r="CM239">
        <v>1184.2</v>
      </c>
      <c r="CO239">
        <v>1248.0999999999999</v>
      </c>
      <c r="CQ239">
        <v>1435.3</v>
      </c>
      <c r="CR239">
        <v>798.2</v>
      </c>
      <c r="CS239">
        <v>923.8</v>
      </c>
      <c r="CT239">
        <v>0</v>
      </c>
      <c r="CU239">
        <v>0</v>
      </c>
      <c r="CV239">
        <v>0</v>
      </c>
      <c r="CW239">
        <v>0</v>
      </c>
      <c r="CX239">
        <v>163.69999999999999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I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G239" t="e">
        <v>#N/A</v>
      </c>
      <c r="FI239" t="e">
        <v>#N/A</v>
      </c>
      <c r="FK239" t="e">
        <v>#N/A</v>
      </c>
      <c r="FM239" t="e">
        <v>#N/A</v>
      </c>
      <c r="FO239" t="e">
        <v>#N/A</v>
      </c>
      <c r="FQ239" t="e">
        <v>#N/A</v>
      </c>
      <c r="FS239" t="e">
        <v>#N/A</v>
      </c>
      <c r="FU239" t="e">
        <v>#N/A</v>
      </c>
      <c r="FW239" t="e">
        <v>#N/A</v>
      </c>
      <c r="FY239" t="e">
        <v>#N/A</v>
      </c>
      <c r="GA239" t="e">
        <v>#N/A</v>
      </c>
      <c r="GC239" t="e">
        <v>#N/A</v>
      </c>
      <c r="GE239" t="e">
        <v>#N/A</v>
      </c>
      <c r="GG239" t="e">
        <v>#N/A</v>
      </c>
      <c r="GI239" t="e">
        <v>#N/A</v>
      </c>
      <c r="GK239" t="e">
        <v>#N/A</v>
      </c>
      <c r="GM239" t="e">
        <v>#N/A</v>
      </c>
      <c r="GO239" t="e">
        <v>#N/A</v>
      </c>
      <c r="GQ239" t="e">
        <v>#N/A</v>
      </c>
      <c r="GS239" t="e">
        <v>#N/A</v>
      </c>
      <c r="GU239" t="e">
        <v>#N/A</v>
      </c>
      <c r="GW239" t="e">
        <v>#N/A</v>
      </c>
      <c r="GY239" t="e">
        <v>#N/A</v>
      </c>
      <c r="HA239" t="e">
        <v>#N/A</v>
      </c>
      <c r="HC239">
        <v>0</v>
      </c>
      <c r="HD239">
        <v>0</v>
      </c>
      <c r="HE239">
        <v>0</v>
      </c>
      <c r="HF239">
        <v>0</v>
      </c>
      <c r="HG239">
        <v>0</v>
      </c>
      <c r="HH239">
        <v>0</v>
      </c>
      <c r="HI239">
        <v>0</v>
      </c>
      <c r="HJ239">
        <v>0</v>
      </c>
      <c r="HM239">
        <v>0</v>
      </c>
      <c r="HN239">
        <v>0</v>
      </c>
      <c r="HO239">
        <v>0</v>
      </c>
      <c r="HP239">
        <v>0</v>
      </c>
      <c r="HQ239">
        <v>0</v>
      </c>
      <c r="HR239">
        <v>0</v>
      </c>
      <c r="HS239">
        <v>0</v>
      </c>
      <c r="HT239">
        <v>0</v>
      </c>
      <c r="HW239">
        <v>0</v>
      </c>
      <c r="HX239">
        <v>0</v>
      </c>
      <c r="HY239">
        <v>0</v>
      </c>
      <c r="HZ239">
        <v>0</v>
      </c>
      <c r="IA239">
        <v>3930.6</v>
      </c>
      <c r="IB239">
        <v>3632.9</v>
      </c>
      <c r="IC239">
        <v>3795.5</v>
      </c>
      <c r="ID239">
        <v>0</v>
      </c>
      <c r="IE239">
        <v>0</v>
      </c>
      <c r="IF239">
        <v>3548.5</v>
      </c>
      <c r="IG239">
        <v>3395.2</v>
      </c>
      <c r="IH239">
        <v>3395.4</v>
      </c>
      <c r="II239">
        <v>3302.3</v>
      </c>
      <c r="IJ239">
        <v>3172.8</v>
      </c>
      <c r="IK239">
        <v>0</v>
      </c>
      <c r="IL239">
        <v>0</v>
      </c>
      <c r="IM239">
        <v>0</v>
      </c>
      <c r="IN239">
        <v>0</v>
      </c>
      <c r="IO239">
        <v>123.4</v>
      </c>
      <c r="IP239">
        <v>405.2</v>
      </c>
      <c r="IQ239">
        <v>418.7</v>
      </c>
      <c r="IR239">
        <v>0</v>
      </c>
      <c r="IS239">
        <v>0</v>
      </c>
      <c r="IT239">
        <v>0</v>
      </c>
      <c r="IU239">
        <v>0</v>
      </c>
      <c r="IV239">
        <v>396</v>
      </c>
      <c r="IW239">
        <v>0</v>
      </c>
      <c r="IX239">
        <v>0</v>
      </c>
      <c r="IZ239">
        <v>0</v>
      </c>
      <c r="JA239">
        <v>65.5</v>
      </c>
      <c r="JB239">
        <v>443.5</v>
      </c>
      <c r="JC239">
        <v>0</v>
      </c>
      <c r="JD239">
        <v>0</v>
      </c>
      <c r="JE239">
        <v>0</v>
      </c>
      <c r="JF239">
        <v>0</v>
      </c>
      <c r="JG239">
        <v>0</v>
      </c>
      <c r="JH239">
        <v>0</v>
      </c>
      <c r="JI239">
        <v>0</v>
      </c>
      <c r="JJ239">
        <v>0</v>
      </c>
      <c r="JK239">
        <v>0</v>
      </c>
      <c r="JL239">
        <v>0</v>
      </c>
      <c r="JM239">
        <v>0</v>
      </c>
      <c r="JN239">
        <v>0</v>
      </c>
      <c r="JO239">
        <v>0</v>
      </c>
      <c r="JP239">
        <v>0</v>
      </c>
      <c r="JQ239">
        <v>0</v>
      </c>
      <c r="JR239">
        <v>0</v>
      </c>
      <c r="JS239">
        <v>0</v>
      </c>
      <c r="JT239">
        <v>0</v>
      </c>
      <c r="JU239">
        <v>0</v>
      </c>
      <c r="JV239">
        <v>0</v>
      </c>
      <c r="JW239">
        <v>0</v>
      </c>
      <c r="JX239">
        <v>0</v>
      </c>
      <c r="JY239">
        <v>0</v>
      </c>
      <c r="JZ239">
        <v>0</v>
      </c>
      <c r="KA239">
        <v>0</v>
      </c>
      <c r="KB239">
        <v>0</v>
      </c>
      <c r="KC239">
        <v>0</v>
      </c>
      <c r="KD239">
        <v>0</v>
      </c>
      <c r="KE239">
        <v>0</v>
      </c>
      <c r="KF239">
        <v>0</v>
      </c>
      <c r="KI239">
        <v>344.6</v>
      </c>
      <c r="KJ239">
        <v>350.8</v>
      </c>
      <c r="KK239">
        <v>22.1</v>
      </c>
      <c r="KL239">
        <v>379.3</v>
      </c>
      <c r="KM239">
        <v>241.4</v>
      </c>
      <c r="KN239">
        <v>0</v>
      </c>
      <c r="KO239">
        <v>0</v>
      </c>
      <c r="KP239">
        <v>57.3</v>
      </c>
      <c r="KQ239">
        <v>224.4</v>
      </c>
      <c r="KR239">
        <v>338.3</v>
      </c>
      <c r="KS239">
        <v>215.8</v>
      </c>
      <c r="KT239">
        <v>40.700000000000003</v>
      </c>
      <c r="KW239">
        <v>2154.5</v>
      </c>
      <c r="KX239">
        <v>1255.7</v>
      </c>
      <c r="KY239">
        <v>1630.1</v>
      </c>
      <c r="KZ239">
        <v>1246.9000000000001</v>
      </c>
      <c r="LB239">
        <v>78.099999999999994</v>
      </c>
      <c r="LC239">
        <v>77.7</v>
      </c>
    </row>
    <row r="240" spans="1:315" ht="18" thickBot="1">
      <c r="A240" s="245"/>
      <c r="B240" s="245" t="s">
        <v>542</v>
      </c>
      <c r="C240" s="88" t="s">
        <v>615</v>
      </c>
      <c r="D240" s="274" t="s">
        <v>812</v>
      </c>
      <c r="E240" s="443">
        <v>0</v>
      </c>
      <c r="F240" s="191">
        <v>0</v>
      </c>
      <c r="G240" s="427">
        <v>3413.8</v>
      </c>
      <c r="H240" s="155"/>
      <c r="I240">
        <v>735</v>
      </c>
      <c r="K240">
        <v>1973.1000000000001</v>
      </c>
      <c r="L240" s="4">
        <v>221.60000000000002</v>
      </c>
      <c r="M240" s="4">
        <v>54.9</v>
      </c>
      <c r="N240" s="4">
        <v>1989.7</v>
      </c>
      <c r="P240">
        <v>0</v>
      </c>
      <c r="Q240">
        <v>238.29999999999998</v>
      </c>
      <c r="R240">
        <v>0</v>
      </c>
      <c r="S240">
        <v>0</v>
      </c>
      <c r="T240">
        <v>368.5</v>
      </c>
      <c r="W240">
        <v>720.3</v>
      </c>
      <c r="X240">
        <v>1411.5</v>
      </c>
      <c r="Y240">
        <v>96.5</v>
      </c>
      <c r="AA240">
        <v>859.6</v>
      </c>
      <c r="AB240">
        <v>1577.6000000000001</v>
      </c>
      <c r="AE240">
        <v>1330</v>
      </c>
      <c r="AF240">
        <v>1025.5</v>
      </c>
      <c r="AH240">
        <v>509.9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1349.3</v>
      </c>
      <c r="AO240">
        <v>786.40000000000009</v>
      </c>
      <c r="AP240">
        <v>0</v>
      </c>
      <c r="AQ240">
        <v>68.3</v>
      </c>
      <c r="AR240">
        <v>234.9</v>
      </c>
      <c r="AS240">
        <v>600.40000000000009</v>
      </c>
      <c r="AU240">
        <v>985.69999999999993</v>
      </c>
      <c r="AW240">
        <v>792</v>
      </c>
      <c r="AX240">
        <v>1988.5</v>
      </c>
      <c r="AZ240">
        <v>763.5</v>
      </c>
      <c r="BA240">
        <v>0</v>
      </c>
      <c r="BB240">
        <v>0</v>
      </c>
      <c r="BC240">
        <v>1935.3</v>
      </c>
      <c r="BD240">
        <v>1006.5</v>
      </c>
      <c r="BE240">
        <v>0</v>
      </c>
      <c r="BF240">
        <v>0</v>
      </c>
      <c r="BG240">
        <v>0</v>
      </c>
      <c r="BH240">
        <v>1662.6</v>
      </c>
      <c r="BJ240">
        <v>0</v>
      </c>
      <c r="BK240">
        <v>0</v>
      </c>
      <c r="BL240">
        <v>1038.9000000000001</v>
      </c>
      <c r="BM240">
        <v>1101</v>
      </c>
      <c r="BO240">
        <v>1276.8000000000002</v>
      </c>
      <c r="BQ240">
        <v>0</v>
      </c>
      <c r="BR240">
        <v>270.7</v>
      </c>
      <c r="BS240">
        <v>230.5</v>
      </c>
      <c r="BT240">
        <v>472.3</v>
      </c>
      <c r="BU240">
        <v>537.29999999999995</v>
      </c>
      <c r="BV240">
        <v>346.3</v>
      </c>
      <c r="BW240">
        <v>386.2</v>
      </c>
      <c r="BX240">
        <v>767</v>
      </c>
      <c r="BY240">
        <v>757.2</v>
      </c>
      <c r="BZ240">
        <v>1037.2</v>
      </c>
      <c r="CA240">
        <v>1227.0999999999999</v>
      </c>
      <c r="CB240">
        <v>1232.0999999999999</v>
      </c>
      <c r="CC240">
        <v>1701.5</v>
      </c>
      <c r="CD240">
        <v>0</v>
      </c>
      <c r="CG240">
        <v>1385.3</v>
      </c>
      <c r="CJ240">
        <v>1630.2999999999997</v>
      </c>
      <c r="CM240">
        <v>1184.2</v>
      </c>
      <c r="CO240">
        <v>1248.0999999999999</v>
      </c>
      <c r="CQ240">
        <v>1435.3</v>
      </c>
      <c r="CR240">
        <v>798.2</v>
      </c>
      <c r="CS240">
        <v>923.8</v>
      </c>
      <c r="CT240">
        <v>0</v>
      </c>
      <c r="CU240">
        <v>0</v>
      </c>
      <c r="CV240">
        <v>0</v>
      </c>
      <c r="CW240">
        <v>0</v>
      </c>
      <c r="CX240">
        <v>163.69999999999999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I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G240" t="e">
        <v>#N/A</v>
      </c>
      <c r="FI240" t="e">
        <v>#N/A</v>
      </c>
      <c r="FK240" t="e">
        <v>#N/A</v>
      </c>
      <c r="FM240" t="e">
        <v>#N/A</v>
      </c>
      <c r="FO240" t="e">
        <v>#N/A</v>
      </c>
      <c r="FQ240" t="e">
        <v>#N/A</v>
      </c>
      <c r="FS240" t="e">
        <v>#N/A</v>
      </c>
      <c r="FU240" t="e">
        <v>#N/A</v>
      </c>
      <c r="FW240" t="e">
        <v>#N/A</v>
      </c>
      <c r="FY240" t="e">
        <v>#N/A</v>
      </c>
      <c r="GA240" t="e">
        <v>#N/A</v>
      </c>
      <c r="GC240" t="e">
        <v>#N/A</v>
      </c>
      <c r="GE240" t="e">
        <v>#N/A</v>
      </c>
      <c r="GG240" t="e">
        <v>#N/A</v>
      </c>
      <c r="GI240" t="e">
        <v>#N/A</v>
      </c>
      <c r="GK240" t="e">
        <v>#N/A</v>
      </c>
      <c r="GM240" t="e">
        <v>#N/A</v>
      </c>
      <c r="GO240" t="e">
        <v>#N/A</v>
      </c>
      <c r="GQ240" t="e">
        <v>#N/A</v>
      </c>
      <c r="GS240" t="e">
        <v>#N/A</v>
      </c>
      <c r="GU240" t="e">
        <v>#N/A</v>
      </c>
      <c r="GW240" t="e">
        <v>#N/A</v>
      </c>
      <c r="GY240" t="e">
        <v>#N/A</v>
      </c>
      <c r="HA240" t="e">
        <v>#N/A</v>
      </c>
      <c r="HC240">
        <v>0</v>
      </c>
      <c r="HD240">
        <v>0</v>
      </c>
      <c r="HE240">
        <v>0</v>
      </c>
      <c r="HF240">
        <v>0</v>
      </c>
      <c r="HG240">
        <v>0</v>
      </c>
      <c r="HH240">
        <v>0</v>
      </c>
      <c r="HI240">
        <v>0</v>
      </c>
      <c r="HJ240">
        <v>0</v>
      </c>
      <c r="HM240">
        <v>0</v>
      </c>
      <c r="HN240">
        <v>0</v>
      </c>
      <c r="HO240">
        <v>0</v>
      </c>
      <c r="HP240">
        <v>0</v>
      </c>
      <c r="HQ240">
        <v>0</v>
      </c>
      <c r="HR240">
        <v>0</v>
      </c>
      <c r="HS240">
        <v>0</v>
      </c>
      <c r="HT240">
        <v>0</v>
      </c>
      <c r="HW240">
        <v>0</v>
      </c>
      <c r="HX240">
        <v>0</v>
      </c>
      <c r="HY240">
        <v>0</v>
      </c>
      <c r="HZ240">
        <v>0</v>
      </c>
      <c r="IA240">
        <v>3930.6</v>
      </c>
      <c r="IB240">
        <v>3632.9</v>
      </c>
      <c r="IC240">
        <v>3795.5</v>
      </c>
      <c r="ID240">
        <v>0</v>
      </c>
      <c r="IE240">
        <v>0</v>
      </c>
      <c r="IF240">
        <v>3548.5</v>
      </c>
      <c r="IG240">
        <v>3395.2</v>
      </c>
      <c r="IH240">
        <v>3395.4</v>
      </c>
      <c r="II240">
        <v>3302.3</v>
      </c>
      <c r="IJ240">
        <v>3172.8</v>
      </c>
      <c r="IK240">
        <v>0</v>
      </c>
      <c r="IL240">
        <v>0</v>
      </c>
      <c r="IM240">
        <v>0</v>
      </c>
      <c r="IN240">
        <v>0</v>
      </c>
      <c r="IO240">
        <v>123.4</v>
      </c>
      <c r="IP240">
        <v>405.2</v>
      </c>
      <c r="IQ240">
        <v>418.7</v>
      </c>
      <c r="IR240">
        <v>0</v>
      </c>
      <c r="IS240">
        <v>0</v>
      </c>
      <c r="IT240">
        <v>0</v>
      </c>
      <c r="IU240">
        <v>0</v>
      </c>
      <c r="IV240">
        <v>396</v>
      </c>
      <c r="IW240">
        <v>0</v>
      </c>
      <c r="IX240">
        <v>0</v>
      </c>
      <c r="IZ240">
        <v>0</v>
      </c>
      <c r="JA240">
        <v>65.5</v>
      </c>
      <c r="JB240">
        <v>443.5</v>
      </c>
      <c r="JC240">
        <v>0</v>
      </c>
      <c r="JD240">
        <v>0</v>
      </c>
      <c r="JE240">
        <v>0</v>
      </c>
      <c r="JF240">
        <v>0</v>
      </c>
      <c r="JG240">
        <v>0</v>
      </c>
      <c r="JH240">
        <v>0</v>
      </c>
      <c r="JI240">
        <v>0</v>
      </c>
      <c r="JJ240">
        <v>0</v>
      </c>
      <c r="JK240">
        <v>0</v>
      </c>
      <c r="JL240">
        <v>0</v>
      </c>
      <c r="JM240">
        <v>0</v>
      </c>
      <c r="JN240">
        <v>0</v>
      </c>
      <c r="JO240">
        <v>0</v>
      </c>
      <c r="JP240">
        <v>0</v>
      </c>
      <c r="JQ240">
        <v>0</v>
      </c>
      <c r="JR240">
        <v>0</v>
      </c>
      <c r="JS240">
        <v>0</v>
      </c>
      <c r="JT240">
        <v>0</v>
      </c>
      <c r="JU240">
        <v>0</v>
      </c>
      <c r="JV240">
        <v>0</v>
      </c>
      <c r="JW240">
        <v>0</v>
      </c>
      <c r="JX240">
        <v>0</v>
      </c>
      <c r="JY240">
        <v>0</v>
      </c>
      <c r="JZ240">
        <v>0</v>
      </c>
      <c r="KA240">
        <v>0</v>
      </c>
      <c r="KB240">
        <v>0</v>
      </c>
      <c r="KC240">
        <v>0</v>
      </c>
      <c r="KD240">
        <v>0</v>
      </c>
      <c r="KE240">
        <v>0</v>
      </c>
      <c r="KF240">
        <v>0</v>
      </c>
      <c r="KI240">
        <v>344.6</v>
      </c>
      <c r="KJ240">
        <v>350.8</v>
      </c>
      <c r="KK240">
        <v>22.1</v>
      </c>
      <c r="KL240">
        <v>379.3</v>
      </c>
      <c r="KM240">
        <v>241.4</v>
      </c>
      <c r="KN240">
        <v>0</v>
      </c>
      <c r="KO240">
        <v>0</v>
      </c>
      <c r="KP240">
        <v>57.3</v>
      </c>
      <c r="KQ240">
        <v>224.4</v>
      </c>
      <c r="KR240">
        <v>338.3</v>
      </c>
      <c r="KS240">
        <v>215.8</v>
      </c>
      <c r="KT240">
        <v>40.700000000000003</v>
      </c>
      <c r="KW240">
        <v>2154.5</v>
      </c>
      <c r="KX240">
        <v>1255.7</v>
      </c>
      <c r="KY240">
        <v>1630.1</v>
      </c>
      <c r="KZ240">
        <v>1246.9000000000001</v>
      </c>
      <c r="LB240">
        <v>78.099999999999994</v>
      </c>
      <c r="LC240">
        <v>77.7</v>
      </c>
    </row>
    <row r="241" spans="1:315" ht="18" thickBot="1">
      <c r="A241" s="245"/>
      <c r="B241" s="245" t="s">
        <v>543</v>
      </c>
      <c r="C241" s="88" t="s">
        <v>616</v>
      </c>
      <c r="D241" s="274" t="s">
        <v>812</v>
      </c>
      <c r="E241" s="443">
        <v>0</v>
      </c>
      <c r="F241" s="191">
        <v>0</v>
      </c>
      <c r="G241" s="427">
        <v>3413.8</v>
      </c>
      <c r="H241" s="155"/>
      <c r="I241">
        <v>735</v>
      </c>
      <c r="K241">
        <v>1973.1000000000001</v>
      </c>
      <c r="L241" s="4">
        <v>221.60000000000002</v>
      </c>
      <c r="M241" s="4">
        <v>54.9</v>
      </c>
      <c r="N241" s="4">
        <v>1989.7</v>
      </c>
      <c r="P241">
        <v>0</v>
      </c>
      <c r="Q241">
        <v>238.29999999999998</v>
      </c>
      <c r="R241">
        <v>0</v>
      </c>
      <c r="S241">
        <v>0</v>
      </c>
      <c r="T241">
        <v>368.5</v>
      </c>
      <c r="W241">
        <v>720.3</v>
      </c>
      <c r="X241">
        <v>1411.5</v>
      </c>
      <c r="Y241">
        <v>96.5</v>
      </c>
      <c r="AA241">
        <v>859.6</v>
      </c>
      <c r="AB241">
        <v>1577.6000000000001</v>
      </c>
      <c r="AE241">
        <v>1330</v>
      </c>
      <c r="AF241">
        <v>1025.5</v>
      </c>
      <c r="AH241">
        <v>509.9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1349.3</v>
      </c>
      <c r="AO241">
        <v>786.40000000000009</v>
      </c>
      <c r="AP241">
        <v>0</v>
      </c>
      <c r="AQ241">
        <v>68.3</v>
      </c>
      <c r="AR241">
        <v>234.9</v>
      </c>
      <c r="AS241">
        <v>600.40000000000009</v>
      </c>
      <c r="AU241">
        <v>985.69999999999993</v>
      </c>
      <c r="AW241">
        <v>792</v>
      </c>
      <c r="AX241">
        <v>1988.5</v>
      </c>
      <c r="AZ241">
        <v>763.5</v>
      </c>
      <c r="BA241">
        <v>0</v>
      </c>
      <c r="BB241">
        <v>0</v>
      </c>
      <c r="BC241">
        <v>1935.3</v>
      </c>
      <c r="BD241">
        <v>1006.5</v>
      </c>
      <c r="BE241">
        <v>0</v>
      </c>
      <c r="BF241">
        <v>0</v>
      </c>
      <c r="BG241">
        <v>0</v>
      </c>
      <c r="BH241">
        <v>1662.6</v>
      </c>
      <c r="BJ241">
        <v>0</v>
      </c>
      <c r="BK241">
        <v>0</v>
      </c>
      <c r="BL241">
        <v>1038.9000000000001</v>
      </c>
      <c r="BM241">
        <v>1101</v>
      </c>
      <c r="BO241">
        <v>1276.8000000000002</v>
      </c>
      <c r="BQ241">
        <v>0</v>
      </c>
      <c r="BR241">
        <v>270.7</v>
      </c>
      <c r="BS241">
        <v>230.5</v>
      </c>
      <c r="BT241">
        <v>472.3</v>
      </c>
      <c r="BU241">
        <v>537.29999999999995</v>
      </c>
      <c r="BV241">
        <v>346.3</v>
      </c>
      <c r="BW241">
        <v>386.2</v>
      </c>
      <c r="BX241">
        <v>767</v>
      </c>
      <c r="BY241">
        <v>757.2</v>
      </c>
      <c r="BZ241">
        <v>1037.2</v>
      </c>
      <c r="CA241">
        <v>1227.0999999999999</v>
      </c>
      <c r="CB241">
        <v>1232.0999999999999</v>
      </c>
      <c r="CC241">
        <v>1701.5</v>
      </c>
      <c r="CD241">
        <v>0</v>
      </c>
      <c r="CG241">
        <v>1385.3</v>
      </c>
      <c r="CJ241">
        <v>1630.2999999999997</v>
      </c>
      <c r="CM241">
        <v>1184.2</v>
      </c>
      <c r="CO241">
        <v>1248.0999999999999</v>
      </c>
      <c r="CQ241">
        <v>1435.3</v>
      </c>
      <c r="CR241">
        <v>798.2</v>
      </c>
      <c r="CS241">
        <v>923.8</v>
      </c>
      <c r="CT241">
        <v>0</v>
      </c>
      <c r="CU241">
        <v>0</v>
      </c>
      <c r="CV241">
        <v>0</v>
      </c>
      <c r="CW241">
        <v>0</v>
      </c>
      <c r="CX241">
        <v>163.69999999999999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I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M241">
        <v>0</v>
      </c>
      <c r="EN241">
        <v>0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G241" t="e">
        <v>#N/A</v>
      </c>
      <c r="FI241" t="e">
        <v>#N/A</v>
      </c>
      <c r="FK241" t="e">
        <v>#N/A</v>
      </c>
      <c r="FM241" t="e">
        <v>#N/A</v>
      </c>
      <c r="FO241" t="e">
        <v>#N/A</v>
      </c>
      <c r="FQ241" t="e">
        <v>#N/A</v>
      </c>
      <c r="FS241" t="e">
        <v>#N/A</v>
      </c>
      <c r="FU241" t="e">
        <v>#N/A</v>
      </c>
      <c r="FW241" t="e">
        <v>#N/A</v>
      </c>
      <c r="FY241" t="e">
        <v>#N/A</v>
      </c>
      <c r="GA241" t="e">
        <v>#N/A</v>
      </c>
      <c r="GC241" t="e">
        <v>#N/A</v>
      </c>
      <c r="GE241" t="e">
        <v>#N/A</v>
      </c>
      <c r="GG241" t="e">
        <v>#N/A</v>
      </c>
      <c r="GI241" t="e">
        <v>#N/A</v>
      </c>
      <c r="GK241" t="e">
        <v>#N/A</v>
      </c>
      <c r="GM241" t="e">
        <v>#N/A</v>
      </c>
      <c r="GO241" t="e">
        <v>#N/A</v>
      </c>
      <c r="GQ241" t="e">
        <v>#N/A</v>
      </c>
      <c r="GS241" t="e">
        <v>#N/A</v>
      </c>
      <c r="GU241" t="e">
        <v>#N/A</v>
      </c>
      <c r="GW241" t="e">
        <v>#N/A</v>
      </c>
      <c r="GY241" t="e">
        <v>#N/A</v>
      </c>
      <c r="HA241" t="e">
        <v>#N/A</v>
      </c>
      <c r="HC241">
        <v>0</v>
      </c>
      <c r="HD241">
        <v>0</v>
      </c>
      <c r="HE241">
        <v>0</v>
      </c>
      <c r="HF241">
        <v>0</v>
      </c>
      <c r="HG241">
        <v>0</v>
      </c>
      <c r="HH241">
        <v>0</v>
      </c>
      <c r="HI241">
        <v>0</v>
      </c>
      <c r="HJ241">
        <v>0</v>
      </c>
      <c r="HM241">
        <v>0</v>
      </c>
      <c r="HN241">
        <v>0</v>
      </c>
      <c r="HO241">
        <v>0</v>
      </c>
      <c r="HP241">
        <v>0</v>
      </c>
      <c r="HQ241">
        <v>0</v>
      </c>
      <c r="HR241">
        <v>0</v>
      </c>
      <c r="HS241">
        <v>0</v>
      </c>
      <c r="HT241">
        <v>0</v>
      </c>
      <c r="HW241">
        <v>0</v>
      </c>
      <c r="HX241">
        <v>0</v>
      </c>
      <c r="HY241">
        <v>0</v>
      </c>
      <c r="HZ241">
        <v>0</v>
      </c>
      <c r="IA241">
        <v>3930.6</v>
      </c>
      <c r="IB241">
        <v>3632.9</v>
      </c>
      <c r="IC241">
        <v>3795.5</v>
      </c>
      <c r="ID241">
        <v>0</v>
      </c>
      <c r="IE241">
        <v>0</v>
      </c>
      <c r="IF241">
        <v>3548.5</v>
      </c>
      <c r="IG241">
        <v>3395.2</v>
      </c>
      <c r="IH241">
        <v>3395.4</v>
      </c>
      <c r="II241">
        <v>3302.3</v>
      </c>
      <c r="IJ241">
        <v>3172.8</v>
      </c>
      <c r="IK241">
        <v>0</v>
      </c>
      <c r="IL241">
        <v>0</v>
      </c>
      <c r="IM241">
        <v>0</v>
      </c>
      <c r="IN241">
        <v>0</v>
      </c>
      <c r="IO241">
        <v>123.4</v>
      </c>
      <c r="IP241">
        <v>405.2</v>
      </c>
      <c r="IQ241">
        <v>418.7</v>
      </c>
      <c r="IR241">
        <v>0</v>
      </c>
      <c r="IS241">
        <v>0</v>
      </c>
      <c r="IT241">
        <v>0</v>
      </c>
      <c r="IU241">
        <v>0</v>
      </c>
      <c r="IV241">
        <v>396</v>
      </c>
      <c r="IW241">
        <v>0</v>
      </c>
      <c r="IX241">
        <v>0</v>
      </c>
      <c r="IZ241">
        <v>0</v>
      </c>
      <c r="JA241">
        <v>65.5</v>
      </c>
      <c r="JB241">
        <v>443.5</v>
      </c>
      <c r="JC241">
        <v>0</v>
      </c>
      <c r="JD241">
        <v>0</v>
      </c>
      <c r="JE241">
        <v>0</v>
      </c>
      <c r="JF241">
        <v>0</v>
      </c>
      <c r="JG241">
        <v>0</v>
      </c>
      <c r="JH241">
        <v>0</v>
      </c>
      <c r="JI241">
        <v>0</v>
      </c>
      <c r="JJ241">
        <v>0</v>
      </c>
      <c r="JK241">
        <v>0</v>
      </c>
      <c r="JL241">
        <v>0</v>
      </c>
      <c r="JM241">
        <v>0</v>
      </c>
      <c r="JN241">
        <v>0</v>
      </c>
      <c r="JO241">
        <v>0</v>
      </c>
      <c r="JP241">
        <v>0</v>
      </c>
      <c r="JQ241">
        <v>0</v>
      </c>
      <c r="JR241">
        <v>0</v>
      </c>
      <c r="JS241">
        <v>0</v>
      </c>
      <c r="JT241">
        <v>0</v>
      </c>
      <c r="JU241">
        <v>0</v>
      </c>
      <c r="JV241">
        <v>0</v>
      </c>
      <c r="JW241">
        <v>0</v>
      </c>
      <c r="JX241">
        <v>0</v>
      </c>
      <c r="JY241">
        <v>0</v>
      </c>
      <c r="JZ241">
        <v>0</v>
      </c>
      <c r="KA241">
        <v>0</v>
      </c>
      <c r="KB241">
        <v>0</v>
      </c>
      <c r="KC241">
        <v>0</v>
      </c>
      <c r="KD241">
        <v>0</v>
      </c>
      <c r="KE241">
        <v>0</v>
      </c>
      <c r="KF241">
        <v>0</v>
      </c>
      <c r="KI241">
        <v>344.6</v>
      </c>
      <c r="KJ241">
        <v>350.8</v>
      </c>
      <c r="KK241">
        <v>22.1</v>
      </c>
      <c r="KL241">
        <v>379.3</v>
      </c>
      <c r="KM241">
        <v>241.4</v>
      </c>
      <c r="KN241">
        <v>0</v>
      </c>
      <c r="KO241">
        <v>0</v>
      </c>
      <c r="KP241">
        <v>57.3</v>
      </c>
      <c r="KQ241">
        <v>224.4</v>
      </c>
      <c r="KR241">
        <v>338.3</v>
      </c>
      <c r="KS241">
        <v>215.8</v>
      </c>
      <c r="KT241">
        <v>40.700000000000003</v>
      </c>
      <c r="KW241">
        <v>2154.5</v>
      </c>
      <c r="KX241">
        <v>1255.7</v>
      </c>
      <c r="KY241">
        <v>1630.1</v>
      </c>
      <c r="KZ241">
        <v>1246.9000000000001</v>
      </c>
      <c r="LB241">
        <v>78.099999999999994</v>
      </c>
      <c r="LC241">
        <v>77.7</v>
      </c>
    </row>
    <row r="242" spans="1:315" ht="18" thickBot="1">
      <c r="A242" s="245"/>
      <c r="B242" s="245" t="s">
        <v>544</v>
      </c>
      <c r="C242" s="88" t="s">
        <v>617</v>
      </c>
      <c r="D242" s="274" t="s">
        <v>812</v>
      </c>
      <c r="E242" s="443">
        <v>0</v>
      </c>
      <c r="F242" s="191">
        <v>0</v>
      </c>
      <c r="G242" s="427">
        <v>3413.8</v>
      </c>
      <c r="H242" s="155"/>
      <c r="I242">
        <v>735</v>
      </c>
      <c r="K242">
        <v>1973.1000000000001</v>
      </c>
      <c r="L242" s="4">
        <v>221.60000000000002</v>
      </c>
      <c r="M242" s="4">
        <v>54.9</v>
      </c>
      <c r="N242" s="4">
        <v>1989.7</v>
      </c>
      <c r="P242">
        <v>0</v>
      </c>
      <c r="Q242">
        <v>238.29999999999998</v>
      </c>
      <c r="R242">
        <v>0</v>
      </c>
      <c r="S242">
        <v>0</v>
      </c>
      <c r="T242">
        <v>368.5</v>
      </c>
      <c r="W242">
        <v>720.3</v>
      </c>
      <c r="X242">
        <v>1411.5</v>
      </c>
      <c r="Y242">
        <v>96.5</v>
      </c>
      <c r="AA242">
        <v>859.6</v>
      </c>
      <c r="AB242">
        <v>1577.6000000000001</v>
      </c>
      <c r="AE242">
        <v>1330</v>
      </c>
      <c r="AF242">
        <v>1025.5</v>
      </c>
      <c r="AH242">
        <v>509.9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1349.3</v>
      </c>
      <c r="AO242">
        <v>786.40000000000009</v>
      </c>
      <c r="AP242">
        <v>0</v>
      </c>
      <c r="AQ242">
        <v>68.3</v>
      </c>
      <c r="AR242">
        <v>234.9</v>
      </c>
      <c r="AS242">
        <v>600.40000000000009</v>
      </c>
      <c r="AU242">
        <v>985.69999999999993</v>
      </c>
      <c r="AW242">
        <v>792</v>
      </c>
      <c r="AX242">
        <v>1988.5</v>
      </c>
      <c r="AZ242">
        <v>763.5</v>
      </c>
      <c r="BA242">
        <v>0</v>
      </c>
      <c r="BB242">
        <v>0</v>
      </c>
      <c r="BC242">
        <v>1935.3</v>
      </c>
      <c r="BD242">
        <v>1006.5</v>
      </c>
      <c r="BE242">
        <v>0</v>
      </c>
      <c r="BF242">
        <v>0</v>
      </c>
      <c r="BG242">
        <v>0</v>
      </c>
      <c r="BH242">
        <v>1662.6</v>
      </c>
      <c r="BJ242">
        <v>0</v>
      </c>
      <c r="BK242">
        <v>0</v>
      </c>
      <c r="BL242">
        <v>1038.9000000000001</v>
      </c>
      <c r="BM242">
        <v>1101</v>
      </c>
      <c r="BO242">
        <v>1276.8000000000002</v>
      </c>
      <c r="BQ242">
        <v>0</v>
      </c>
      <c r="BR242">
        <v>270.7</v>
      </c>
      <c r="BS242">
        <v>230.5</v>
      </c>
      <c r="BT242">
        <v>472.3</v>
      </c>
      <c r="BU242">
        <v>537.29999999999995</v>
      </c>
      <c r="BV242">
        <v>346.3</v>
      </c>
      <c r="BW242">
        <v>386.2</v>
      </c>
      <c r="BX242">
        <v>767</v>
      </c>
      <c r="BY242">
        <v>757.2</v>
      </c>
      <c r="BZ242">
        <v>1037.2</v>
      </c>
      <c r="CA242">
        <v>1227.0999999999999</v>
      </c>
      <c r="CB242">
        <v>1232.0999999999999</v>
      </c>
      <c r="CC242">
        <v>1701.5</v>
      </c>
      <c r="CD242">
        <v>0</v>
      </c>
      <c r="CG242">
        <v>1385.3</v>
      </c>
      <c r="CJ242">
        <v>1630.2999999999997</v>
      </c>
      <c r="CM242">
        <v>1184.2</v>
      </c>
      <c r="CO242">
        <v>1248.0999999999999</v>
      </c>
      <c r="CQ242">
        <v>1435.3</v>
      </c>
      <c r="CR242">
        <v>798.2</v>
      </c>
      <c r="CS242">
        <v>923.8</v>
      </c>
      <c r="CT242">
        <v>0</v>
      </c>
      <c r="CU242">
        <v>0</v>
      </c>
      <c r="CV242">
        <v>0</v>
      </c>
      <c r="CW242">
        <v>0</v>
      </c>
      <c r="CX242">
        <v>163.69999999999999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I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G242" t="e">
        <v>#N/A</v>
      </c>
      <c r="FI242" t="e">
        <v>#N/A</v>
      </c>
      <c r="FK242" t="e">
        <v>#N/A</v>
      </c>
      <c r="FM242" t="e">
        <v>#N/A</v>
      </c>
      <c r="FO242" t="e">
        <v>#N/A</v>
      </c>
      <c r="FQ242" t="e">
        <v>#N/A</v>
      </c>
      <c r="FS242" t="e">
        <v>#N/A</v>
      </c>
      <c r="FU242" t="e">
        <v>#N/A</v>
      </c>
      <c r="FW242" t="e">
        <v>#N/A</v>
      </c>
      <c r="FY242" t="e">
        <v>#N/A</v>
      </c>
      <c r="GA242" t="e">
        <v>#N/A</v>
      </c>
      <c r="GC242" t="e">
        <v>#N/A</v>
      </c>
      <c r="GE242" t="e">
        <v>#N/A</v>
      </c>
      <c r="GG242" t="e">
        <v>#N/A</v>
      </c>
      <c r="GI242" t="e">
        <v>#N/A</v>
      </c>
      <c r="GK242" t="e">
        <v>#N/A</v>
      </c>
      <c r="GM242" t="e">
        <v>#N/A</v>
      </c>
      <c r="GO242" t="e">
        <v>#N/A</v>
      </c>
      <c r="GQ242" t="e">
        <v>#N/A</v>
      </c>
      <c r="GS242" t="e">
        <v>#N/A</v>
      </c>
      <c r="GU242" t="e">
        <v>#N/A</v>
      </c>
      <c r="GW242" t="e">
        <v>#N/A</v>
      </c>
      <c r="GY242" t="e">
        <v>#N/A</v>
      </c>
      <c r="HA242" t="e">
        <v>#N/A</v>
      </c>
      <c r="HC242">
        <v>0</v>
      </c>
      <c r="HD242">
        <v>0</v>
      </c>
      <c r="HE242">
        <v>0</v>
      </c>
      <c r="HF242">
        <v>0</v>
      </c>
      <c r="HG242">
        <v>0</v>
      </c>
      <c r="HH242">
        <v>0</v>
      </c>
      <c r="HI242">
        <v>0</v>
      </c>
      <c r="HJ242">
        <v>0</v>
      </c>
      <c r="HM242">
        <v>0</v>
      </c>
      <c r="HN242">
        <v>0</v>
      </c>
      <c r="HO242">
        <v>0</v>
      </c>
      <c r="HP242">
        <v>0</v>
      </c>
      <c r="HQ242">
        <v>0</v>
      </c>
      <c r="HR242">
        <v>0</v>
      </c>
      <c r="HS242">
        <v>0</v>
      </c>
      <c r="HT242">
        <v>0</v>
      </c>
      <c r="HW242">
        <v>0</v>
      </c>
      <c r="HX242">
        <v>0</v>
      </c>
      <c r="HY242">
        <v>0</v>
      </c>
      <c r="HZ242">
        <v>0</v>
      </c>
      <c r="IA242">
        <v>3930.6</v>
      </c>
      <c r="IB242">
        <v>3632.9</v>
      </c>
      <c r="IC242">
        <v>3795.5</v>
      </c>
      <c r="ID242">
        <v>0</v>
      </c>
      <c r="IE242">
        <v>0</v>
      </c>
      <c r="IF242">
        <v>3548.5</v>
      </c>
      <c r="IG242">
        <v>3395.2</v>
      </c>
      <c r="IH242">
        <v>3395.4</v>
      </c>
      <c r="II242">
        <v>3302.3</v>
      </c>
      <c r="IJ242">
        <v>3172.8</v>
      </c>
      <c r="IK242">
        <v>0</v>
      </c>
      <c r="IL242">
        <v>0</v>
      </c>
      <c r="IM242">
        <v>0</v>
      </c>
      <c r="IN242">
        <v>0</v>
      </c>
      <c r="IO242">
        <v>123.4</v>
      </c>
      <c r="IP242">
        <v>405.2</v>
      </c>
      <c r="IQ242">
        <v>418.7</v>
      </c>
      <c r="IR242">
        <v>0</v>
      </c>
      <c r="IS242">
        <v>0</v>
      </c>
      <c r="IT242">
        <v>0</v>
      </c>
      <c r="IU242">
        <v>0</v>
      </c>
      <c r="IV242">
        <v>396</v>
      </c>
      <c r="IW242">
        <v>0</v>
      </c>
      <c r="IX242">
        <v>0</v>
      </c>
      <c r="IZ242">
        <v>0</v>
      </c>
      <c r="JA242">
        <v>65.5</v>
      </c>
      <c r="JB242">
        <v>443.5</v>
      </c>
      <c r="JC242">
        <v>0</v>
      </c>
      <c r="JD242">
        <v>0</v>
      </c>
      <c r="JE242">
        <v>0</v>
      </c>
      <c r="JF242">
        <v>0</v>
      </c>
      <c r="JG242">
        <v>0</v>
      </c>
      <c r="JH242">
        <v>0</v>
      </c>
      <c r="JI242">
        <v>0</v>
      </c>
      <c r="JJ242">
        <v>0</v>
      </c>
      <c r="JK242">
        <v>0</v>
      </c>
      <c r="JL242">
        <v>0</v>
      </c>
      <c r="JM242">
        <v>0</v>
      </c>
      <c r="JN242">
        <v>0</v>
      </c>
      <c r="JO242">
        <v>0</v>
      </c>
      <c r="JP242">
        <v>0</v>
      </c>
      <c r="JQ242">
        <v>0</v>
      </c>
      <c r="JR242">
        <v>0</v>
      </c>
      <c r="JS242">
        <v>0</v>
      </c>
      <c r="JT242">
        <v>0</v>
      </c>
      <c r="JU242">
        <v>0</v>
      </c>
      <c r="JV242">
        <v>0</v>
      </c>
      <c r="JW242">
        <v>0</v>
      </c>
      <c r="JX242">
        <v>0</v>
      </c>
      <c r="JY242">
        <v>0</v>
      </c>
      <c r="JZ242">
        <v>0</v>
      </c>
      <c r="KA242">
        <v>0</v>
      </c>
      <c r="KB242">
        <v>0</v>
      </c>
      <c r="KC242">
        <v>0</v>
      </c>
      <c r="KD242">
        <v>0</v>
      </c>
      <c r="KE242">
        <v>0</v>
      </c>
      <c r="KF242">
        <v>0</v>
      </c>
      <c r="KI242">
        <v>344.6</v>
      </c>
      <c r="KJ242">
        <v>350.8</v>
      </c>
      <c r="KK242">
        <v>22.1</v>
      </c>
      <c r="KL242">
        <v>379.3</v>
      </c>
      <c r="KM242">
        <v>241.4</v>
      </c>
      <c r="KN242">
        <v>0</v>
      </c>
      <c r="KO242">
        <v>0</v>
      </c>
      <c r="KP242">
        <v>57.3</v>
      </c>
      <c r="KQ242">
        <v>224.4</v>
      </c>
      <c r="KR242">
        <v>338.3</v>
      </c>
      <c r="KS242">
        <v>215.8</v>
      </c>
      <c r="KT242">
        <v>40.700000000000003</v>
      </c>
      <c r="KW242">
        <v>2154.5</v>
      </c>
      <c r="KX242">
        <v>1255.7</v>
      </c>
      <c r="KY242">
        <v>1630.1</v>
      </c>
      <c r="KZ242">
        <v>1246.9000000000001</v>
      </c>
      <c r="LB242">
        <v>78.099999999999994</v>
      </c>
      <c r="LC242">
        <v>77.7</v>
      </c>
    </row>
    <row r="243" spans="1:315" ht="18" thickBot="1">
      <c r="A243" s="245"/>
      <c r="B243" s="570" t="s">
        <v>545</v>
      </c>
      <c r="C243" s="88" t="s">
        <v>618</v>
      </c>
      <c r="D243" s="274" t="s">
        <v>813</v>
      </c>
      <c r="E243" s="446">
        <v>0</v>
      </c>
      <c r="F243" s="191">
        <v>0</v>
      </c>
      <c r="G243" s="427">
        <v>3413.8</v>
      </c>
      <c r="H243" s="155"/>
      <c r="I243">
        <v>735</v>
      </c>
      <c r="K243">
        <v>1973.1000000000001</v>
      </c>
      <c r="L243" s="4">
        <v>221.60000000000002</v>
      </c>
      <c r="M243" s="4">
        <v>54.9</v>
      </c>
      <c r="N243" s="4">
        <v>1989.7</v>
      </c>
      <c r="P243">
        <v>0</v>
      </c>
      <c r="Q243">
        <v>238.29999999999998</v>
      </c>
      <c r="R243">
        <v>0</v>
      </c>
      <c r="S243">
        <v>0</v>
      </c>
      <c r="T243">
        <v>368.5</v>
      </c>
      <c r="W243">
        <v>720.3</v>
      </c>
      <c r="X243">
        <v>1411.5</v>
      </c>
      <c r="Y243">
        <v>96.5</v>
      </c>
      <c r="AA243">
        <v>859.6</v>
      </c>
      <c r="AB243">
        <v>1577.6000000000001</v>
      </c>
      <c r="AE243">
        <v>1330</v>
      </c>
      <c r="AF243">
        <v>1025.5</v>
      </c>
      <c r="AH243">
        <v>509.9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1349.3</v>
      </c>
      <c r="AO243">
        <v>786.40000000000009</v>
      </c>
      <c r="AP243">
        <v>0</v>
      </c>
      <c r="AQ243">
        <v>68.3</v>
      </c>
      <c r="AR243">
        <v>234.9</v>
      </c>
      <c r="AS243">
        <v>600.40000000000009</v>
      </c>
      <c r="AU243">
        <v>985.69999999999993</v>
      </c>
      <c r="AW243">
        <v>792</v>
      </c>
      <c r="AX243">
        <v>1988.5</v>
      </c>
      <c r="AZ243">
        <v>763.5</v>
      </c>
      <c r="BA243">
        <v>0</v>
      </c>
      <c r="BB243">
        <v>0</v>
      </c>
      <c r="BC243">
        <v>1935.3</v>
      </c>
      <c r="BD243">
        <v>1006.5</v>
      </c>
      <c r="BE243">
        <v>0</v>
      </c>
      <c r="BF243">
        <v>0</v>
      </c>
      <c r="BG243">
        <v>0</v>
      </c>
      <c r="BH243">
        <v>1662.6</v>
      </c>
      <c r="BJ243">
        <v>0</v>
      </c>
      <c r="BK243">
        <v>0</v>
      </c>
      <c r="BL243">
        <v>1038.9000000000001</v>
      </c>
      <c r="BM243">
        <v>1101</v>
      </c>
      <c r="BO243">
        <v>1276.8000000000002</v>
      </c>
      <c r="BQ243">
        <v>0</v>
      </c>
      <c r="BR243">
        <v>270.7</v>
      </c>
      <c r="BS243">
        <v>230.5</v>
      </c>
      <c r="BT243">
        <v>472.3</v>
      </c>
      <c r="BU243">
        <v>537.29999999999995</v>
      </c>
      <c r="BV243">
        <v>346.3</v>
      </c>
      <c r="BW243">
        <v>386.2</v>
      </c>
      <c r="BX243">
        <v>767</v>
      </c>
      <c r="BY243">
        <v>757.2</v>
      </c>
      <c r="BZ243">
        <v>1037.2</v>
      </c>
      <c r="CA243">
        <v>1227.0999999999999</v>
      </c>
      <c r="CB243">
        <v>1232.0999999999999</v>
      </c>
      <c r="CC243">
        <v>1701.5</v>
      </c>
      <c r="CD243">
        <v>0</v>
      </c>
      <c r="CG243">
        <v>1385.3</v>
      </c>
      <c r="CJ243">
        <v>1630.2999999999997</v>
      </c>
      <c r="CM243">
        <v>1184.2</v>
      </c>
      <c r="CO243">
        <v>1248.0999999999999</v>
      </c>
      <c r="CQ243">
        <v>1435.3</v>
      </c>
      <c r="CR243">
        <v>798.2</v>
      </c>
      <c r="CS243">
        <v>923.8</v>
      </c>
      <c r="CT243">
        <v>0</v>
      </c>
      <c r="CU243">
        <v>0</v>
      </c>
      <c r="CV243">
        <v>0</v>
      </c>
      <c r="CW243">
        <v>0</v>
      </c>
      <c r="CX243">
        <v>163.69999999999999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I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G243" t="e">
        <v>#N/A</v>
      </c>
      <c r="FI243" t="e">
        <v>#N/A</v>
      </c>
      <c r="FK243" t="e">
        <v>#N/A</v>
      </c>
      <c r="FM243" t="e">
        <v>#N/A</v>
      </c>
      <c r="FO243" t="e">
        <v>#N/A</v>
      </c>
      <c r="FQ243" t="e">
        <v>#N/A</v>
      </c>
      <c r="FS243" t="e">
        <v>#N/A</v>
      </c>
      <c r="FU243" t="e">
        <v>#N/A</v>
      </c>
      <c r="FW243" t="e">
        <v>#N/A</v>
      </c>
      <c r="FY243" t="e">
        <v>#N/A</v>
      </c>
      <c r="GA243" t="e">
        <v>#N/A</v>
      </c>
      <c r="GC243" t="e">
        <v>#N/A</v>
      </c>
      <c r="GE243" t="e">
        <v>#N/A</v>
      </c>
      <c r="GG243" t="e">
        <v>#N/A</v>
      </c>
      <c r="GI243" t="e">
        <v>#N/A</v>
      </c>
      <c r="GK243" t="e">
        <v>#N/A</v>
      </c>
      <c r="GM243" t="e">
        <v>#N/A</v>
      </c>
      <c r="GO243" t="e">
        <v>#N/A</v>
      </c>
      <c r="GQ243" t="e">
        <v>#N/A</v>
      </c>
      <c r="GS243" t="e">
        <v>#N/A</v>
      </c>
      <c r="GU243" t="e">
        <v>#N/A</v>
      </c>
      <c r="GW243" t="e">
        <v>#N/A</v>
      </c>
      <c r="GY243" t="e">
        <v>#N/A</v>
      </c>
      <c r="HA243" t="e">
        <v>#N/A</v>
      </c>
      <c r="HC243">
        <v>0</v>
      </c>
      <c r="HD243">
        <v>0</v>
      </c>
      <c r="HE243">
        <v>0</v>
      </c>
      <c r="HF243">
        <v>0</v>
      </c>
      <c r="HG243">
        <v>0</v>
      </c>
      <c r="HH243">
        <v>0</v>
      </c>
      <c r="HI243">
        <v>0</v>
      </c>
      <c r="HJ243">
        <v>0</v>
      </c>
      <c r="HM243">
        <v>0</v>
      </c>
      <c r="HN243">
        <v>0</v>
      </c>
      <c r="HO243">
        <v>0</v>
      </c>
      <c r="HP243">
        <v>0</v>
      </c>
      <c r="HQ243">
        <v>0</v>
      </c>
      <c r="HR243">
        <v>0</v>
      </c>
      <c r="HS243">
        <v>0</v>
      </c>
      <c r="HT243">
        <v>0</v>
      </c>
      <c r="HW243">
        <v>0</v>
      </c>
      <c r="HX243">
        <v>0</v>
      </c>
      <c r="HY243">
        <v>0</v>
      </c>
      <c r="HZ243">
        <v>0</v>
      </c>
      <c r="IA243">
        <v>3930.6</v>
      </c>
      <c r="IB243">
        <v>3632.9</v>
      </c>
      <c r="IC243">
        <v>3795.5</v>
      </c>
      <c r="ID243">
        <v>0</v>
      </c>
      <c r="IE243">
        <v>0</v>
      </c>
      <c r="IF243">
        <v>3548.5</v>
      </c>
      <c r="IG243">
        <v>3395.2</v>
      </c>
      <c r="IH243">
        <v>3395.4</v>
      </c>
      <c r="II243">
        <v>3302.3</v>
      </c>
      <c r="IJ243">
        <v>3172.8</v>
      </c>
      <c r="IK243">
        <v>0</v>
      </c>
      <c r="IL243">
        <v>0</v>
      </c>
      <c r="IM243">
        <v>0</v>
      </c>
      <c r="IN243">
        <v>0</v>
      </c>
      <c r="IO243">
        <v>123.4</v>
      </c>
      <c r="IP243">
        <v>405.2</v>
      </c>
      <c r="IQ243">
        <v>418.7</v>
      </c>
      <c r="IR243">
        <v>0</v>
      </c>
      <c r="IS243">
        <v>0</v>
      </c>
      <c r="IT243">
        <v>0</v>
      </c>
      <c r="IU243">
        <v>0</v>
      </c>
      <c r="IV243">
        <v>396</v>
      </c>
      <c r="IW243">
        <v>0</v>
      </c>
      <c r="IX243">
        <v>0</v>
      </c>
      <c r="IZ243">
        <v>0</v>
      </c>
      <c r="JA243">
        <v>65.5</v>
      </c>
      <c r="JB243">
        <v>443.5</v>
      </c>
      <c r="JC243">
        <v>0</v>
      </c>
      <c r="JD243">
        <v>0</v>
      </c>
      <c r="JE243">
        <v>0</v>
      </c>
      <c r="JF243">
        <v>0</v>
      </c>
      <c r="JG243">
        <v>0</v>
      </c>
      <c r="JH243">
        <v>0</v>
      </c>
      <c r="JI243">
        <v>0</v>
      </c>
      <c r="JJ243">
        <v>0</v>
      </c>
      <c r="JK243">
        <v>0</v>
      </c>
      <c r="JL243">
        <v>0</v>
      </c>
      <c r="JM243">
        <v>0</v>
      </c>
      <c r="JN243">
        <v>0</v>
      </c>
      <c r="JO243">
        <v>0</v>
      </c>
      <c r="JP243">
        <v>0</v>
      </c>
      <c r="JQ243">
        <v>0</v>
      </c>
      <c r="JR243">
        <v>0</v>
      </c>
      <c r="JS243">
        <v>0</v>
      </c>
      <c r="JT243">
        <v>0</v>
      </c>
      <c r="JU243">
        <v>0</v>
      </c>
      <c r="JV243">
        <v>0</v>
      </c>
      <c r="JW243">
        <v>0</v>
      </c>
      <c r="JX243">
        <v>0</v>
      </c>
      <c r="JY243">
        <v>0</v>
      </c>
      <c r="JZ243">
        <v>0</v>
      </c>
      <c r="KA243">
        <v>0</v>
      </c>
      <c r="KB243">
        <v>0</v>
      </c>
      <c r="KC243">
        <v>0</v>
      </c>
      <c r="KD243">
        <v>0</v>
      </c>
      <c r="KE243">
        <v>0</v>
      </c>
      <c r="KF243">
        <v>0</v>
      </c>
      <c r="KI243">
        <v>344.6</v>
      </c>
      <c r="KJ243">
        <v>350.8</v>
      </c>
      <c r="KK243">
        <v>22.1</v>
      </c>
      <c r="KL243">
        <v>379.3</v>
      </c>
      <c r="KM243">
        <v>241.4</v>
      </c>
      <c r="KN243">
        <v>0</v>
      </c>
      <c r="KO243">
        <v>0</v>
      </c>
      <c r="KP243">
        <v>57.3</v>
      </c>
      <c r="KQ243">
        <v>224.4</v>
      </c>
      <c r="KR243">
        <v>338.3</v>
      </c>
      <c r="KS243">
        <v>215.8</v>
      </c>
      <c r="KT243">
        <v>40.700000000000003</v>
      </c>
      <c r="KW243">
        <v>2154.5</v>
      </c>
      <c r="KX243">
        <v>1255.7</v>
      </c>
      <c r="KY243">
        <v>1630.1</v>
      </c>
      <c r="KZ243">
        <v>1246.9000000000001</v>
      </c>
      <c r="LB243">
        <v>78.099999999999994</v>
      </c>
      <c r="LC243">
        <v>77.7</v>
      </c>
    </row>
    <row r="244" spans="1:315" ht="18" thickBot="1">
      <c r="A244" s="245"/>
      <c r="B244" s="570"/>
      <c r="C244" s="88"/>
      <c r="D244" s="274"/>
      <c r="E244" s="437">
        <v>0</v>
      </c>
      <c r="F244" s="191">
        <v>0</v>
      </c>
      <c r="G244" s="427">
        <v>3413.8</v>
      </c>
      <c r="H244" s="155"/>
      <c r="I244">
        <v>735</v>
      </c>
      <c r="K244">
        <v>1973.1000000000001</v>
      </c>
      <c r="L244" s="4">
        <v>221.60000000000002</v>
      </c>
      <c r="M244" s="4">
        <v>54.9</v>
      </c>
      <c r="N244" s="4">
        <v>1989.7</v>
      </c>
      <c r="P244">
        <v>0</v>
      </c>
      <c r="Q244">
        <v>238.29999999999998</v>
      </c>
      <c r="R244">
        <v>0</v>
      </c>
      <c r="S244">
        <v>0</v>
      </c>
      <c r="T244">
        <v>368.5</v>
      </c>
      <c r="W244">
        <v>720.3</v>
      </c>
      <c r="X244">
        <v>1411.5</v>
      </c>
      <c r="Y244">
        <v>96.5</v>
      </c>
      <c r="AA244">
        <v>859.6</v>
      </c>
      <c r="AB244">
        <v>1577.6000000000001</v>
      </c>
      <c r="AE244">
        <v>1330</v>
      </c>
      <c r="AF244">
        <v>1025.5</v>
      </c>
      <c r="AH244">
        <v>509.9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1349.3</v>
      </c>
      <c r="AO244">
        <v>786.40000000000009</v>
      </c>
      <c r="AP244">
        <v>0</v>
      </c>
      <c r="AQ244">
        <v>68.3</v>
      </c>
      <c r="AR244">
        <v>234.9</v>
      </c>
      <c r="AS244">
        <v>600.40000000000009</v>
      </c>
      <c r="AU244">
        <v>985.69999999999993</v>
      </c>
      <c r="AW244">
        <v>792</v>
      </c>
      <c r="AX244">
        <v>1988.5</v>
      </c>
      <c r="AZ244">
        <v>763.5</v>
      </c>
      <c r="BA244">
        <v>0</v>
      </c>
      <c r="BB244">
        <v>0</v>
      </c>
      <c r="BC244">
        <v>1935.3</v>
      </c>
      <c r="BD244">
        <v>1006.5</v>
      </c>
      <c r="BE244">
        <v>0</v>
      </c>
      <c r="BF244">
        <v>0</v>
      </c>
      <c r="BG244">
        <v>0</v>
      </c>
      <c r="BH244">
        <v>1662.6</v>
      </c>
      <c r="BJ244">
        <v>0</v>
      </c>
      <c r="BK244">
        <v>0</v>
      </c>
      <c r="BL244">
        <v>1038.9000000000001</v>
      </c>
      <c r="BM244">
        <v>1101</v>
      </c>
      <c r="BO244">
        <v>1276.8000000000002</v>
      </c>
      <c r="BQ244">
        <v>0</v>
      </c>
      <c r="BR244">
        <v>270.7</v>
      </c>
      <c r="BS244">
        <v>230.5</v>
      </c>
      <c r="BT244">
        <v>472.3</v>
      </c>
      <c r="BU244">
        <v>537.29999999999995</v>
      </c>
      <c r="BV244">
        <v>346.3</v>
      </c>
      <c r="BW244">
        <v>386.2</v>
      </c>
      <c r="BX244">
        <v>767</v>
      </c>
      <c r="BY244">
        <v>757.2</v>
      </c>
      <c r="BZ244">
        <v>1037.2</v>
      </c>
      <c r="CA244">
        <v>1227.0999999999999</v>
      </c>
      <c r="CB244">
        <v>1232.0999999999999</v>
      </c>
      <c r="CC244">
        <v>1701.5</v>
      </c>
      <c r="CD244">
        <v>0</v>
      </c>
      <c r="CG244">
        <v>1385.3</v>
      </c>
      <c r="CJ244">
        <v>1630.2999999999997</v>
      </c>
      <c r="CM244">
        <v>1184.2</v>
      </c>
      <c r="CO244">
        <v>1248.0999999999999</v>
      </c>
      <c r="CQ244">
        <v>1435.3</v>
      </c>
      <c r="CR244">
        <v>798.2</v>
      </c>
      <c r="CS244">
        <v>923.8</v>
      </c>
      <c r="CT244">
        <v>0</v>
      </c>
      <c r="CU244">
        <v>0</v>
      </c>
      <c r="CV244">
        <v>0</v>
      </c>
      <c r="CW244">
        <v>0</v>
      </c>
      <c r="CX244">
        <v>163.69999999999999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I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G244" t="e">
        <v>#N/A</v>
      </c>
      <c r="FI244" t="e">
        <v>#N/A</v>
      </c>
      <c r="FK244" t="e">
        <v>#N/A</v>
      </c>
      <c r="FM244" t="e">
        <v>#N/A</v>
      </c>
      <c r="FO244" t="e">
        <v>#N/A</v>
      </c>
      <c r="FQ244" t="e">
        <v>#N/A</v>
      </c>
      <c r="FS244" t="e">
        <v>#N/A</v>
      </c>
      <c r="FU244" t="e">
        <v>#N/A</v>
      </c>
      <c r="FW244" t="e">
        <v>#N/A</v>
      </c>
      <c r="FY244" t="e">
        <v>#N/A</v>
      </c>
      <c r="GA244" t="e">
        <v>#N/A</v>
      </c>
      <c r="GC244" t="e">
        <v>#N/A</v>
      </c>
      <c r="GE244" t="e">
        <v>#N/A</v>
      </c>
      <c r="GG244" t="e">
        <v>#N/A</v>
      </c>
      <c r="GI244" t="e">
        <v>#N/A</v>
      </c>
      <c r="GK244" t="e">
        <v>#N/A</v>
      </c>
      <c r="GM244" t="e">
        <v>#N/A</v>
      </c>
      <c r="GO244" t="e">
        <v>#N/A</v>
      </c>
      <c r="GQ244" t="e">
        <v>#N/A</v>
      </c>
      <c r="GS244" t="e">
        <v>#N/A</v>
      </c>
      <c r="GU244" t="e">
        <v>#N/A</v>
      </c>
      <c r="GW244" t="e">
        <v>#N/A</v>
      </c>
      <c r="GY244" t="e">
        <v>#N/A</v>
      </c>
      <c r="HA244" t="e">
        <v>#N/A</v>
      </c>
      <c r="HC244">
        <v>0</v>
      </c>
      <c r="HD244">
        <v>0</v>
      </c>
      <c r="HE244">
        <v>0</v>
      </c>
      <c r="HF244">
        <v>0</v>
      </c>
      <c r="HG244">
        <v>0</v>
      </c>
      <c r="HH244">
        <v>0</v>
      </c>
      <c r="HI244">
        <v>0</v>
      </c>
      <c r="HJ244">
        <v>0</v>
      </c>
      <c r="HM244">
        <v>0</v>
      </c>
      <c r="HN244">
        <v>0</v>
      </c>
      <c r="HO244">
        <v>0</v>
      </c>
      <c r="HP244">
        <v>0</v>
      </c>
      <c r="HQ244">
        <v>0</v>
      </c>
      <c r="HR244">
        <v>0</v>
      </c>
      <c r="HS244">
        <v>0</v>
      </c>
      <c r="HT244">
        <v>0</v>
      </c>
      <c r="HW244">
        <v>0</v>
      </c>
      <c r="HX244">
        <v>0</v>
      </c>
      <c r="HY244">
        <v>0</v>
      </c>
      <c r="HZ244">
        <v>0</v>
      </c>
      <c r="IA244">
        <v>3930.6</v>
      </c>
      <c r="IB244">
        <v>3632.9</v>
      </c>
      <c r="IC244">
        <v>3795.5</v>
      </c>
      <c r="ID244">
        <v>0</v>
      </c>
      <c r="IE244">
        <v>0</v>
      </c>
      <c r="IF244">
        <v>3548.5</v>
      </c>
      <c r="IG244">
        <v>3395.2</v>
      </c>
      <c r="IH244">
        <v>3395.4</v>
      </c>
      <c r="II244">
        <v>3302.3</v>
      </c>
      <c r="IJ244">
        <v>3172.8</v>
      </c>
      <c r="IK244">
        <v>0</v>
      </c>
      <c r="IL244">
        <v>0</v>
      </c>
      <c r="IM244">
        <v>0</v>
      </c>
      <c r="IN244">
        <v>0</v>
      </c>
      <c r="IO244">
        <v>123.4</v>
      </c>
      <c r="IP244">
        <v>405.2</v>
      </c>
      <c r="IQ244">
        <v>418.7</v>
      </c>
      <c r="IR244">
        <v>0</v>
      </c>
      <c r="IS244">
        <v>0</v>
      </c>
      <c r="IT244">
        <v>0</v>
      </c>
      <c r="IU244">
        <v>0</v>
      </c>
      <c r="IV244">
        <v>396</v>
      </c>
      <c r="IW244">
        <v>0</v>
      </c>
      <c r="IX244">
        <v>0</v>
      </c>
      <c r="IZ244">
        <v>0</v>
      </c>
      <c r="JA244">
        <v>65.5</v>
      </c>
      <c r="JB244">
        <v>443.5</v>
      </c>
      <c r="JC244">
        <v>0</v>
      </c>
      <c r="JD244">
        <v>0</v>
      </c>
      <c r="JE244">
        <v>0</v>
      </c>
      <c r="JF244">
        <v>0</v>
      </c>
      <c r="JG244">
        <v>0</v>
      </c>
      <c r="JH244">
        <v>0</v>
      </c>
      <c r="JI244">
        <v>0</v>
      </c>
      <c r="JJ244">
        <v>0</v>
      </c>
      <c r="JK244">
        <v>0</v>
      </c>
      <c r="JL244">
        <v>0</v>
      </c>
      <c r="JM244">
        <v>0</v>
      </c>
      <c r="JN244">
        <v>0</v>
      </c>
      <c r="JO244">
        <v>0</v>
      </c>
      <c r="JP244">
        <v>0</v>
      </c>
      <c r="JQ244">
        <v>0</v>
      </c>
      <c r="JR244">
        <v>0</v>
      </c>
      <c r="JS244">
        <v>0</v>
      </c>
      <c r="JT244">
        <v>0</v>
      </c>
      <c r="JU244">
        <v>0</v>
      </c>
      <c r="JV244">
        <v>0</v>
      </c>
      <c r="JW244">
        <v>0</v>
      </c>
      <c r="JX244">
        <v>0</v>
      </c>
      <c r="JY244">
        <v>0</v>
      </c>
      <c r="JZ244">
        <v>0</v>
      </c>
      <c r="KA244">
        <v>0</v>
      </c>
      <c r="KB244">
        <v>0</v>
      </c>
      <c r="KC244">
        <v>0</v>
      </c>
      <c r="KD244">
        <v>0</v>
      </c>
      <c r="KE244">
        <v>0</v>
      </c>
      <c r="KF244">
        <v>0</v>
      </c>
      <c r="KI244">
        <v>344.6</v>
      </c>
      <c r="KJ244">
        <v>350.8</v>
      </c>
      <c r="KK244">
        <v>22.1</v>
      </c>
      <c r="KL244">
        <v>379.3</v>
      </c>
      <c r="KM244">
        <v>241.4</v>
      </c>
      <c r="KN244">
        <v>0</v>
      </c>
      <c r="KO244">
        <v>0</v>
      </c>
      <c r="KP244">
        <v>57.3</v>
      </c>
      <c r="KQ244">
        <v>224.4</v>
      </c>
      <c r="KR244">
        <v>338.3</v>
      </c>
      <c r="KS244">
        <v>215.8</v>
      </c>
      <c r="KT244">
        <v>40.700000000000003</v>
      </c>
      <c r="KW244">
        <v>2154.5</v>
      </c>
      <c r="KX244">
        <v>1255.7</v>
      </c>
      <c r="KY244">
        <v>1630.1</v>
      </c>
      <c r="KZ244">
        <v>1246.9000000000001</v>
      </c>
      <c r="LB244">
        <v>78.099999999999994</v>
      </c>
      <c r="LC244">
        <v>77.7</v>
      </c>
    </row>
    <row r="245" spans="1:315" ht="18" thickBot="1">
      <c r="A245" s="245"/>
      <c r="B245" s="245" t="s">
        <v>546</v>
      </c>
      <c r="C245" s="230" t="s">
        <v>619</v>
      </c>
      <c r="D245" s="274"/>
      <c r="E245" s="443">
        <v>0</v>
      </c>
      <c r="F245" s="191">
        <v>0</v>
      </c>
      <c r="G245" s="427">
        <v>3413.8</v>
      </c>
      <c r="H245" s="155"/>
      <c r="I245">
        <v>735</v>
      </c>
      <c r="K245">
        <v>1973.1000000000001</v>
      </c>
      <c r="L245" s="4">
        <v>221.60000000000002</v>
      </c>
      <c r="M245" s="4">
        <v>54.9</v>
      </c>
      <c r="N245" s="4">
        <v>1989.7</v>
      </c>
      <c r="P245">
        <v>0</v>
      </c>
      <c r="Q245">
        <v>238.29999999999998</v>
      </c>
      <c r="R245">
        <v>0</v>
      </c>
      <c r="S245">
        <v>0</v>
      </c>
      <c r="T245">
        <v>368.5</v>
      </c>
      <c r="W245">
        <v>720.3</v>
      </c>
      <c r="X245">
        <v>1411.5</v>
      </c>
      <c r="Y245">
        <v>96.5</v>
      </c>
      <c r="AA245">
        <v>859.6</v>
      </c>
      <c r="AB245">
        <v>1577.6000000000001</v>
      </c>
      <c r="AE245">
        <v>1330</v>
      </c>
      <c r="AF245">
        <v>1025.5</v>
      </c>
      <c r="AH245">
        <v>509.9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1349.3</v>
      </c>
      <c r="AO245">
        <v>786.40000000000009</v>
      </c>
      <c r="AP245">
        <v>0</v>
      </c>
      <c r="AQ245">
        <v>68.3</v>
      </c>
      <c r="AR245">
        <v>234.9</v>
      </c>
      <c r="AS245">
        <v>600.40000000000009</v>
      </c>
      <c r="AU245">
        <v>985.69999999999993</v>
      </c>
      <c r="AW245">
        <v>792</v>
      </c>
      <c r="AX245">
        <v>1988.5</v>
      </c>
      <c r="AZ245">
        <v>763.5</v>
      </c>
      <c r="BA245">
        <v>0</v>
      </c>
      <c r="BB245">
        <v>0</v>
      </c>
      <c r="BC245">
        <v>1935.3</v>
      </c>
      <c r="BD245">
        <v>1006.5</v>
      </c>
      <c r="BE245">
        <v>0</v>
      </c>
      <c r="BF245">
        <v>0</v>
      </c>
      <c r="BG245">
        <v>0</v>
      </c>
      <c r="BH245">
        <v>1662.6</v>
      </c>
      <c r="BJ245">
        <v>0</v>
      </c>
      <c r="BK245">
        <v>0</v>
      </c>
      <c r="BL245">
        <v>1038.9000000000001</v>
      </c>
      <c r="BM245">
        <v>1101</v>
      </c>
      <c r="BO245">
        <v>1276.8000000000002</v>
      </c>
      <c r="BQ245">
        <v>0</v>
      </c>
      <c r="BR245">
        <v>270.7</v>
      </c>
      <c r="BS245">
        <v>230.5</v>
      </c>
      <c r="BT245">
        <v>472.3</v>
      </c>
      <c r="BU245">
        <v>537.29999999999995</v>
      </c>
      <c r="BV245">
        <v>346.3</v>
      </c>
      <c r="BW245">
        <v>386.2</v>
      </c>
      <c r="BX245">
        <v>767</v>
      </c>
      <c r="BY245">
        <v>757.2</v>
      </c>
      <c r="BZ245">
        <v>1037.2</v>
      </c>
      <c r="CA245">
        <v>1227.0999999999999</v>
      </c>
      <c r="CB245">
        <v>1232.0999999999999</v>
      </c>
      <c r="CC245">
        <v>1701.5</v>
      </c>
      <c r="CD245">
        <v>0</v>
      </c>
      <c r="CG245">
        <v>1385.3</v>
      </c>
      <c r="CJ245">
        <v>1630.2999999999997</v>
      </c>
      <c r="CM245">
        <v>1184.2</v>
      </c>
      <c r="CO245">
        <v>1248.0999999999999</v>
      </c>
      <c r="CQ245">
        <v>1435.3</v>
      </c>
      <c r="CR245">
        <v>798.2</v>
      </c>
      <c r="CS245">
        <v>923.8</v>
      </c>
      <c r="CT245">
        <v>0</v>
      </c>
      <c r="CU245">
        <v>0</v>
      </c>
      <c r="CV245">
        <v>0</v>
      </c>
      <c r="CW245">
        <v>0</v>
      </c>
      <c r="CX245">
        <v>163.69999999999999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I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G245" t="e">
        <v>#N/A</v>
      </c>
      <c r="FI245" t="e">
        <v>#N/A</v>
      </c>
      <c r="FK245" t="e">
        <v>#N/A</v>
      </c>
      <c r="FM245" t="e">
        <v>#N/A</v>
      </c>
      <c r="FO245" t="e">
        <v>#N/A</v>
      </c>
      <c r="FQ245" t="e">
        <v>#N/A</v>
      </c>
      <c r="FS245" t="e">
        <v>#N/A</v>
      </c>
      <c r="FU245" t="e">
        <v>#N/A</v>
      </c>
      <c r="FW245" t="e">
        <v>#N/A</v>
      </c>
      <c r="FY245" t="e">
        <v>#N/A</v>
      </c>
      <c r="GA245" t="e">
        <v>#N/A</v>
      </c>
      <c r="GC245" t="e">
        <v>#N/A</v>
      </c>
      <c r="GE245" t="e">
        <v>#N/A</v>
      </c>
      <c r="GG245" t="e">
        <v>#N/A</v>
      </c>
      <c r="GI245" t="e">
        <v>#N/A</v>
      </c>
      <c r="GK245" t="e">
        <v>#N/A</v>
      </c>
      <c r="GM245" t="e">
        <v>#N/A</v>
      </c>
      <c r="GO245" t="e">
        <v>#N/A</v>
      </c>
      <c r="GQ245" t="e">
        <v>#N/A</v>
      </c>
      <c r="GS245" t="e">
        <v>#N/A</v>
      </c>
      <c r="GU245" t="e">
        <v>#N/A</v>
      </c>
      <c r="GW245" t="e">
        <v>#N/A</v>
      </c>
      <c r="GY245" t="e">
        <v>#N/A</v>
      </c>
      <c r="HA245" t="e">
        <v>#N/A</v>
      </c>
      <c r="HC245">
        <v>0</v>
      </c>
      <c r="HD245">
        <v>0</v>
      </c>
      <c r="HE245">
        <v>0</v>
      </c>
      <c r="HF245">
        <v>0</v>
      </c>
      <c r="HG245">
        <v>0</v>
      </c>
      <c r="HH245">
        <v>0</v>
      </c>
      <c r="HI245">
        <v>0</v>
      </c>
      <c r="HJ245">
        <v>0</v>
      </c>
      <c r="HM245">
        <v>0</v>
      </c>
      <c r="HN245">
        <v>0</v>
      </c>
      <c r="HO245">
        <v>0</v>
      </c>
      <c r="HP245">
        <v>0</v>
      </c>
      <c r="HQ245">
        <v>0</v>
      </c>
      <c r="HR245">
        <v>0</v>
      </c>
      <c r="HS245">
        <v>0</v>
      </c>
      <c r="HT245">
        <v>0</v>
      </c>
      <c r="HW245">
        <v>0</v>
      </c>
      <c r="HX245">
        <v>0</v>
      </c>
      <c r="HY245">
        <v>0</v>
      </c>
      <c r="HZ245">
        <v>0</v>
      </c>
      <c r="IA245">
        <v>3930.6</v>
      </c>
      <c r="IB245">
        <v>3632.9</v>
      </c>
      <c r="IC245">
        <v>3795.5</v>
      </c>
      <c r="ID245">
        <v>0</v>
      </c>
      <c r="IE245">
        <v>0</v>
      </c>
      <c r="IF245">
        <v>3548.5</v>
      </c>
      <c r="IG245">
        <v>3395.2</v>
      </c>
      <c r="IH245">
        <v>3395.4</v>
      </c>
      <c r="II245">
        <v>3302.3</v>
      </c>
      <c r="IJ245">
        <v>3172.8</v>
      </c>
      <c r="IK245">
        <v>0</v>
      </c>
      <c r="IL245">
        <v>0</v>
      </c>
      <c r="IM245">
        <v>0</v>
      </c>
      <c r="IN245">
        <v>0</v>
      </c>
      <c r="IO245">
        <v>123.4</v>
      </c>
      <c r="IP245">
        <v>405.2</v>
      </c>
      <c r="IQ245">
        <v>418.7</v>
      </c>
      <c r="IR245">
        <v>0</v>
      </c>
      <c r="IS245">
        <v>0</v>
      </c>
      <c r="IT245">
        <v>0</v>
      </c>
      <c r="IU245">
        <v>0</v>
      </c>
      <c r="IV245">
        <v>396</v>
      </c>
      <c r="IW245">
        <v>0</v>
      </c>
      <c r="IX245">
        <v>0</v>
      </c>
      <c r="IZ245">
        <v>0</v>
      </c>
      <c r="JA245">
        <v>65.5</v>
      </c>
      <c r="JB245">
        <v>443.5</v>
      </c>
      <c r="JC245">
        <v>0</v>
      </c>
      <c r="JD245">
        <v>0</v>
      </c>
      <c r="JE245">
        <v>0</v>
      </c>
      <c r="JF245">
        <v>0</v>
      </c>
      <c r="JG245">
        <v>0</v>
      </c>
      <c r="JH245">
        <v>0</v>
      </c>
      <c r="JI245">
        <v>0</v>
      </c>
      <c r="JJ245">
        <v>0</v>
      </c>
      <c r="JK245">
        <v>0</v>
      </c>
      <c r="JL245">
        <v>0</v>
      </c>
      <c r="JM245">
        <v>0</v>
      </c>
      <c r="JN245">
        <v>0</v>
      </c>
      <c r="JO245">
        <v>0</v>
      </c>
      <c r="JP245">
        <v>0</v>
      </c>
      <c r="JQ245">
        <v>0</v>
      </c>
      <c r="JR245">
        <v>0</v>
      </c>
      <c r="JS245">
        <v>0</v>
      </c>
      <c r="JT245">
        <v>0</v>
      </c>
      <c r="JU245">
        <v>0</v>
      </c>
      <c r="JV245">
        <v>0</v>
      </c>
      <c r="JW245">
        <v>0</v>
      </c>
      <c r="JX245">
        <v>0</v>
      </c>
      <c r="JY245">
        <v>0</v>
      </c>
      <c r="JZ245">
        <v>0</v>
      </c>
      <c r="KA245">
        <v>0</v>
      </c>
      <c r="KB245">
        <v>0</v>
      </c>
      <c r="KC245">
        <v>0</v>
      </c>
      <c r="KD245">
        <v>0</v>
      </c>
      <c r="KE245">
        <v>0</v>
      </c>
      <c r="KF245">
        <v>0</v>
      </c>
      <c r="KI245">
        <v>344.6</v>
      </c>
      <c r="KJ245">
        <v>350.8</v>
      </c>
      <c r="KK245">
        <v>22.1</v>
      </c>
      <c r="KL245">
        <v>379.3</v>
      </c>
      <c r="KM245">
        <v>241.4</v>
      </c>
      <c r="KN245">
        <v>0</v>
      </c>
      <c r="KO245">
        <v>0</v>
      </c>
      <c r="KP245">
        <v>57.3</v>
      </c>
      <c r="KQ245">
        <v>224.4</v>
      </c>
      <c r="KR245">
        <v>338.3</v>
      </c>
      <c r="KS245">
        <v>215.8</v>
      </c>
      <c r="KT245">
        <v>40.700000000000003</v>
      </c>
      <c r="KW245">
        <v>2154.5</v>
      </c>
      <c r="KX245">
        <v>1255.7</v>
      </c>
      <c r="KY245">
        <v>1630.1</v>
      </c>
      <c r="KZ245">
        <v>1246.9000000000001</v>
      </c>
      <c r="LB245">
        <v>78.099999999999994</v>
      </c>
      <c r="LC245">
        <v>77.7</v>
      </c>
    </row>
    <row r="246" spans="1:315" ht="18" thickBot="1">
      <c r="A246" s="246"/>
      <c r="B246" s="246" t="s">
        <v>547</v>
      </c>
      <c r="C246" s="329" t="s">
        <v>620</v>
      </c>
      <c r="D246" s="275" t="s">
        <v>781</v>
      </c>
      <c r="E246" s="447">
        <v>0</v>
      </c>
      <c r="F246" s="193">
        <v>0</v>
      </c>
      <c r="G246" s="427">
        <v>3413.8</v>
      </c>
      <c r="H246" s="155"/>
      <c r="I246">
        <v>735</v>
      </c>
      <c r="K246">
        <v>1973.1000000000001</v>
      </c>
      <c r="L246" s="4">
        <v>221.60000000000002</v>
      </c>
      <c r="M246" s="4">
        <v>54.9</v>
      </c>
      <c r="N246" s="4">
        <v>1989.7</v>
      </c>
      <c r="P246">
        <v>0</v>
      </c>
      <c r="Q246">
        <v>238.29999999999998</v>
      </c>
      <c r="R246">
        <v>0</v>
      </c>
      <c r="S246">
        <v>0</v>
      </c>
      <c r="T246">
        <v>368.5</v>
      </c>
      <c r="W246">
        <v>720.3</v>
      </c>
      <c r="X246">
        <v>1411.5</v>
      </c>
      <c r="Y246">
        <v>96.5</v>
      </c>
      <c r="AA246">
        <v>859.6</v>
      </c>
      <c r="AB246">
        <v>1577.6000000000001</v>
      </c>
      <c r="AE246">
        <v>1330</v>
      </c>
      <c r="AF246">
        <v>1025.5</v>
      </c>
      <c r="AH246">
        <v>509.9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1349.3</v>
      </c>
      <c r="AO246">
        <v>786.40000000000009</v>
      </c>
      <c r="AP246">
        <v>0</v>
      </c>
      <c r="AQ246">
        <v>68.3</v>
      </c>
      <c r="AR246">
        <v>234.9</v>
      </c>
      <c r="AS246">
        <v>600.40000000000009</v>
      </c>
      <c r="AU246">
        <v>985.69999999999993</v>
      </c>
      <c r="AW246">
        <v>792</v>
      </c>
      <c r="AX246">
        <v>1988.5</v>
      </c>
      <c r="AZ246">
        <v>763.5</v>
      </c>
      <c r="BA246">
        <v>0</v>
      </c>
      <c r="BB246">
        <v>0</v>
      </c>
      <c r="BC246">
        <v>1935.3</v>
      </c>
      <c r="BD246">
        <v>1006.5</v>
      </c>
      <c r="BE246">
        <v>0</v>
      </c>
      <c r="BF246">
        <v>0</v>
      </c>
      <c r="BG246">
        <v>0</v>
      </c>
      <c r="BH246">
        <v>1662.6</v>
      </c>
      <c r="BJ246">
        <v>0</v>
      </c>
      <c r="BK246">
        <v>0</v>
      </c>
      <c r="BL246">
        <v>1038.9000000000001</v>
      </c>
      <c r="BM246">
        <v>1101</v>
      </c>
      <c r="BO246">
        <v>1276.8000000000002</v>
      </c>
      <c r="BQ246">
        <v>0</v>
      </c>
      <c r="BR246">
        <v>270.7</v>
      </c>
      <c r="BS246">
        <v>230.5</v>
      </c>
      <c r="BT246">
        <v>472.3</v>
      </c>
      <c r="BU246">
        <v>537.29999999999995</v>
      </c>
      <c r="BV246">
        <v>346.3</v>
      </c>
      <c r="BW246">
        <v>386.2</v>
      </c>
      <c r="BX246">
        <v>767</v>
      </c>
      <c r="BY246">
        <v>757.2</v>
      </c>
      <c r="BZ246">
        <v>1037.2</v>
      </c>
      <c r="CA246">
        <v>1227.0999999999999</v>
      </c>
      <c r="CB246">
        <v>1232.0999999999999</v>
      </c>
      <c r="CC246">
        <v>1701.5</v>
      </c>
      <c r="CD246">
        <v>0</v>
      </c>
      <c r="CG246">
        <v>1385.3</v>
      </c>
      <c r="CJ246">
        <v>1630.2999999999997</v>
      </c>
      <c r="CM246">
        <v>1184.2</v>
      </c>
      <c r="CO246">
        <v>1248.0999999999999</v>
      </c>
      <c r="CQ246">
        <v>1435.3</v>
      </c>
      <c r="CR246">
        <v>798.2</v>
      </c>
      <c r="CS246">
        <v>923.8</v>
      </c>
      <c r="CT246">
        <v>0</v>
      </c>
      <c r="CU246">
        <v>0</v>
      </c>
      <c r="CV246">
        <v>0</v>
      </c>
      <c r="CW246">
        <v>0</v>
      </c>
      <c r="CX246">
        <v>163.69999999999999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I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G246" t="e">
        <v>#N/A</v>
      </c>
      <c r="FI246" t="e">
        <v>#N/A</v>
      </c>
      <c r="FK246" t="e">
        <v>#N/A</v>
      </c>
      <c r="FM246" t="e">
        <v>#N/A</v>
      </c>
      <c r="FO246" t="e">
        <v>#N/A</v>
      </c>
      <c r="FQ246" t="e">
        <v>#N/A</v>
      </c>
      <c r="FS246" t="e">
        <v>#N/A</v>
      </c>
      <c r="FU246" t="e">
        <v>#N/A</v>
      </c>
      <c r="FW246" t="e">
        <v>#N/A</v>
      </c>
      <c r="FY246" t="e">
        <v>#N/A</v>
      </c>
      <c r="GA246" t="e">
        <v>#N/A</v>
      </c>
      <c r="GC246" t="e">
        <v>#N/A</v>
      </c>
      <c r="GE246" t="e">
        <v>#N/A</v>
      </c>
      <c r="GG246" t="e">
        <v>#N/A</v>
      </c>
      <c r="GI246" t="e">
        <v>#N/A</v>
      </c>
      <c r="GK246" t="e">
        <v>#N/A</v>
      </c>
      <c r="GM246" t="e">
        <v>#N/A</v>
      </c>
      <c r="GO246" t="e">
        <v>#N/A</v>
      </c>
      <c r="GQ246" t="e">
        <v>#N/A</v>
      </c>
      <c r="GS246" t="e">
        <v>#N/A</v>
      </c>
      <c r="GU246" t="e">
        <v>#N/A</v>
      </c>
      <c r="GW246" t="e">
        <v>#N/A</v>
      </c>
      <c r="GY246" t="e">
        <v>#N/A</v>
      </c>
      <c r="HA246" t="e">
        <v>#N/A</v>
      </c>
      <c r="HC246">
        <v>0</v>
      </c>
      <c r="HD246">
        <v>0</v>
      </c>
      <c r="HE246">
        <v>0</v>
      </c>
      <c r="HF246">
        <v>0</v>
      </c>
      <c r="HG246">
        <v>0</v>
      </c>
      <c r="HH246">
        <v>0</v>
      </c>
      <c r="HI246">
        <v>0</v>
      </c>
      <c r="HJ246">
        <v>0</v>
      </c>
      <c r="HM246">
        <v>0</v>
      </c>
      <c r="HN246">
        <v>0</v>
      </c>
      <c r="HO246">
        <v>0</v>
      </c>
      <c r="HP246">
        <v>0</v>
      </c>
      <c r="HQ246">
        <v>0</v>
      </c>
      <c r="HR246">
        <v>0</v>
      </c>
      <c r="HS246">
        <v>0</v>
      </c>
      <c r="HT246">
        <v>0</v>
      </c>
      <c r="HW246">
        <v>0</v>
      </c>
      <c r="HX246">
        <v>0</v>
      </c>
      <c r="HY246">
        <v>0</v>
      </c>
      <c r="HZ246">
        <v>0</v>
      </c>
      <c r="IA246">
        <v>3930.6</v>
      </c>
      <c r="IB246">
        <v>3632.9</v>
      </c>
      <c r="IC246">
        <v>3795.5</v>
      </c>
      <c r="ID246">
        <v>0</v>
      </c>
      <c r="IE246">
        <v>0</v>
      </c>
      <c r="IF246">
        <v>3548.5</v>
      </c>
      <c r="IG246">
        <v>3395.2</v>
      </c>
      <c r="IH246">
        <v>3395.4</v>
      </c>
      <c r="II246">
        <v>3302.3</v>
      </c>
      <c r="IJ246">
        <v>3172.8</v>
      </c>
      <c r="IK246">
        <v>0</v>
      </c>
      <c r="IL246">
        <v>0</v>
      </c>
      <c r="IM246">
        <v>0</v>
      </c>
      <c r="IN246">
        <v>0</v>
      </c>
      <c r="IO246">
        <v>123.4</v>
      </c>
      <c r="IP246">
        <v>405.2</v>
      </c>
      <c r="IQ246">
        <v>418.7</v>
      </c>
      <c r="IR246">
        <v>0</v>
      </c>
      <c r="IS246">
        <v>0</v>
      </c>
      <c r="IT246">
        <v>0</v>
      </c>
      <c r="IU246">
        <v>0</v>
      </c>
      <c r="IV246">
        <v>396</v>
      </c>
      <c r="IW246">
        <v>0</v>
      </c>
      <c r="IX246">
        <v>0</v>
      </c>
      <c r="IZ246">
        <v>0</v>
      </c>
      <c r="JA246">
        <v>65.5</v>
      </c>
      <c r="JB246">
        <v>443.5</v>
      </c>
      <c r="JC246">
        <v>0</v>
      </c>
      <c r="JD246">
        <v>0</v>
      </c>
      <c r="JE246">
        <v>0</v>
      </c>
      <c r="JF246">
        <v>0</v>
      </c>
      <c r="JG246">
        <v>0</v>
      </c>
      <c r="JH246">
        <v>0</v>
      </c>
      <c r="JI246">
        <v>0</v>
      </c>
      <c r="JJ246">
        <v>0</v>
      </c>
      <c r="JK246">
        <v>0</v>
      </c>
      <c r="JL246">
        <v>0</v>
      </c>
      <c r="JM246">
        <v>0</v>
      </c>
      <c r="JN246">
        <v>0</v>
      </c>
      <c r="JO246">
        <v>0</v>
      </c>
      <c r="JP246">
        <v>0</v>
      </c>
      <c r="JQ246">
        <v>0</v>
      </c>
      <c r="JR246">
        <v>0</v>
      </c>
      <c r="JS246">
        <v>0</v>
      </c>
      <c r="JT246">
        <v>0</v>
      </c>
      <c r="JU246">
        <v>0</v>
      </c>
      <c r="JV246">
        <v>0</v>
      </c>
      <c r="JW246">
        <v>0</v>
      </c>
      <c r="JX246">
        <v>0</v>
      </c>
      <c r="JY246">
        <v>0</v>
      </c>
      <c r="JZ246">
        <v>0</v>
      </c>
      <c r="KA246">
        <v>0</v>
      </c>
      <c r="KB246">
        <v>0</v>
      </c>
      <c r="KC246">
        <v>0</v>
      </c>
      <c r="KD246">
        <v>0</v>
      </c>
      <c r="KE246">
        <v>0</v>
      </c>
      <c r="KF246">
        <v>0</v>
      </c>
      <c r="KI246">
        <v>344.6</v>
      </c>
      <c r="KJ246">
        <v>350.8</v>
      </c>
      <c r="KK246">
        <v>22.1</v>
      </c>
      <c r="KL246">
        <v>379.3</v>
      </c>
      <c r="KM246">
        <v>241.4</v>
      </c>
      <c r="KN246">
        <v>0</v>
      </c>
      <c r="KO246">
        <v>0</v>
      </c>
      <c r="KP246">
        <v>57.3</v>
      </c>
      <c r="KQ246">
        <v>224.4</v>
      </c>
      <c r="KR246">
        <v>338.3</v>
      </c>
      <c r="KS246">
        <v>215.8</v>
      </c>
      <c r="KT246">
        <v>40.700000000000003</v>
      </c>
      <c r="KW246">
        <v>2154.5</v>
      </c>
      <c r="KX246">
        <v>1255.7</v>
      </c>
      <c r="KY246">
        <v>1630.1</v>
      </c>
      <c r="KZ246">
        <v>1246.9000000000001</v>
      </c>
      <c r="LB246">
        <v>78.099999999999994</v>
      </c>
      <c r="LC246">
        <v>77.7</v>
      </c>
    </row>
    <row r="247" spans="1:315" ht="18.600000000000001" thickTop="1" thickBot="1">
      <c r="A247" s="181"/>
      <c r="B247" s="181" t="s">
        <v>548</v>
      </c>
      <c r="C247" s="326" t="s">
        <v>837</v>
      </c>
      <c r="D247" s="276" t="s">
        <v>781</v>
      </c>
      <c r="E247" s="442">
        <v>0</v>
      </c>
      <c r="F247" s="194">
        <v>0</v>
      </c>
      <c r="G247" s="427">
        <v>3413.8</v>
      </c>
      <c r="H247" s="155"/>
      <c r="I247">
        <v>735</v>
      </c>
      <c r="K247">
        <v>1973.1000000000001</v>
      </c>
      <c r="L247" s="4">
        <v>221.60000000000002</v>
      </c>
      <c r="M247" s="4">
        <v>54.9</v>
      </c>
      <c r="N247" s="4">
        <v>1989.7</v>
      </c>
      <c r="P247">
        <v>0</v>
      </c>
      <c r="Q247">
        <v>238.29999999999998</v>
      </c>
      <c r="R247">
        <v>0</v>
      </c>
      <c r="S247">
        <v>0</v>
      </c>
      <c r="T247">
        <v>368.5</v>
      </c>
      <c r="W247">
        <v>720.3</v>
      </c>
      <c r="X247">
        <v>1411.5</v>
      </c>
      <c r="Y247">
        <v>96.5</v>
      </c>
      <c r="AA247">
        <v>859.6</v>
      </c>
      <c r="AB247">
        <v>1577.6000000000001</v>
      </c>
      <c r="AE247">
        <v>1330</v>
      </c>
      <c r="AF247">
        <v>1025.5</v>
      </c>
      <c r="AH247">
        <v>509.9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1349.3</v>
      </c>
      <c r="AO247">
        <v>786.40000000000009</v>
      </c>
      <c r="AP247">
        <v>0</v>
      </c>
      <c r="AQ247">
        <v>68.3</v>
      </c>
      <c r="AR247">
        <v>234.9</v>
      </c>
      <c r="AS247">
        <v>600.40000000000009</v>
      </c>
      <c r="AU247">
        <v>985.69999999999993</v>
      </c>
      <c r="AW247">
        <v>792</v>
      </c>
      <c r="AX247">
        <v>1988.5</v>
      </c>
      <c r="AZ247">
        <v>763.5</v>
      </c>
      <c r="BA247">
        <v>0</v>
      </c>
      <c r="BB247">
        <v>0</v>
      </c>
      <c r="BC247">
        <v>1935.3</v>
      </c>
      <c r="BD247">
        <v>1006.5</v>
      </c>
      <c r="BE247">
        <v>0</v>
      </c>
      <c r="BF247">
        <v>0</v>
      </c>
      <c r="BG247">
        <v>0</v>
      </c>
      <c r="BH247">
        <v>1662.6</v>
      </c>
      <c r="BJ247">
        <v>0</v>
      </c>
      <c r="BK247">
        <v>0</v>
      </c>
      <c r="BL247">
        <v>1038.9000000000001</v>
      </c>
      <c r="BM247">
        <v>1101</v>
      </c>
      <c r="BO247">
        <v>1276.8000000000002</v>
      </c>
      <c r="BQ247">
        <v>0</v>
      </c>
      <c r="BR247">
        <v>270.7</v>
      </c>
      <c r="BS247">
        <v>230.5</v>
      </c>
      <c r="BT247">
        <v>472.3</v>
      </c>
      <c r="BU247">
        <v>537.29999999999995</v>
      </c>
      <c r="BV247">
        <v>346.3</v>
      </c>
      <c r="BW247">
        <v>386.2</v>
      </c>
      <c r="BX247">
        <v>767</v>
      </c>
      <c r="BY247">
        <v>757.2</v>
      </c>
      <c r="BZ247">
        <v>1037.2</v>
      </c>
      <c r="CA247">
        <v>1227.0999999999999</v>
      </c>
      <c r="CB247">
        <v>1232.0999999999999</v>
      </c>
      <c r="CC247">
        <v>1701.5</v>
      </c>
      <c r="CD247">
        <v>0</v>
      </c>
      <c r="CG247">
        <v>1385.3</v>
      </c>
      <c r="CJ247">
        <v>1630.2999999999997</v>
      </c>
      <c r="CM247">
        <v>1184.2</v>
      </c>
      <c r="CO247">
        <v>1248.0999999999999</v>
      </c>
      <c r="CQ247">
        <v>1435.3</v>
      </c>
      <c r="CR247">
        <v>798.2</v>
      </c>
      <c r="CS247">
        <v>923.8</v>
      </c>
      <c r="CT247">
        <v>0</v>
      </c>
      <c r="CU247">
        <v>0</v>
      </c>
      <c r="CV247">
        <v>0</v>
      </c>
      <c r="CW247">
        <v>0</v>
      </c>
      <c r="CX247">
        <v>163.69999999999999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I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G247" t="e">
        <v>#N/A</v>
      </c>
      <c r="FI247" t="e">
        <v>#N/A</v>
      </c>
      <c r="FK247" t="e">
        <v>#N/A</v>
      </c>
      <c r="FM247" t="e">
        <v>#N/A</v>
      </c>
      <c r="FO247" t="e">
        <v>#N/A</v>
      </c>
      <c r="FQ247" t="e">
        <v>#N/A</v>
      </c>
      <c r="FS247" t="e">
        <v>#N/A</v>
      </c>
      <c r="FU247" t="e">
        <v>#N/A</v>
      </c>
      <c r="FW247" t="e">
        <v>#N/A</v>
      </c>
      <c r="FY247" t="e">
        <v>#N/A</v>
      </c>
      <c r="GA247" t="e">
        <v>#N/A</v>
      </c>
      <c r="GC247" t="e">
        <v>#N/A</v>
      </c>
      <c r="GE247" t="e">
        <v>#N/A</v>
      </c>
      <c r="GG247" t="e">
        <v>#N/A</v>
      </c>
      <c r="GI247" t="e">
        <v>#N/A</v>
      </c>
      <c r="GK247" t="e">
        <v>#N/A</v>
      </c>
      <c r="GM247" t="e">
        <v>#N/A</v>
      </c>
      <c r="GO247" t="e">
        <v>#N/A</v>
      </c>
      <c r="GQ247" t="e">
        <v>#N/A</v>
      </c>
      <c r="GS247" t="e">
        <v>#N/A</v>
      </c>
      <c r="GU247" t="e">
        <v>#N/A</v>
      </c>
      <c r="GW247" t="e">
        <v>#N/A</v>
      </c>
      <c r="GY247" t="e">
        <v>#N/A</v>
      </c>
      <c r="HA247" t="e">
        <v>#N/A</v>
      </c>
      <c r="HC247">
        <v>0</v>
      </c>
      <c r="HD247">
        <v>0</v>
      </c>
      <c r="HE247">
        <v>0</v>
      </c>
      <c r="HF247">
        <v>0</v>
      </c>
      <c r="HG247">
        <v>0</v>
      </c>
      <c r="HH247">
        <v>0</v>
      </c>
      <c r="HI247">
        <v>0</v>
      </c>
      <c r="HJ247">
        <v>0</v>
      </c>
      <c r="HM247">
        <v>0</v>
      </c>
      <c r="HN247">
        <v>0</v>
      </c>
      <c r="HO247">
        <v>0</v>
      </c>
      <c r="HP247">
        <v>0</v>
      </c>
      <c r="HQ247">
        <v>0</v>
      </c>
      <c r="HR247">
        <v>0</v>
      </c>
      <c r="HS247">
        <v>0</v>
      </c>
      <c r="HT247">
        <v>0</v>
      </c>
      <c r="HW247">
        <v>0</v>
      </c>
      <c r="HX247">
        <v>0</v>
      </c>
      <c r="HY247">
        <v>0</v>
      </c>
      <c r="HZ247">
        <v>0</v>
      </c>
      <c r="IA247">
        <v>3930.6</v>
      </c>
      <c r="IB247">
        <v>3632.9</v>
      </c>
      <c r="IC247">
        <v>3795.5</v>
      </c>
      <c r="ID247">
        <v>0</v>
      </c>
      <c r="IE247">
        <v>0</v>
      </c>
      <c r="IF247">
        <v>3548.5</v>
      </c>
      <c r="IG247">
        <v>3395.2</v>
      </c>
      <c r="IH247">
        <v>3395.4</v>
      </c>
      <c r="II247">
        <v>3302.3</v>
      </c>
      <c r="IJ247">
        <v>3172.8</v>
      </c>
      <c r="IK247">
        <v>0</v>
      </c>
      <c r="IL247">
        <v>0</v>
      </c>
      <c r="IM247">
        <v>0</v>
      </c>
      <c r="IN247">
        <v>0</v>
      </c>
      <c r="IO247">
        <v>123.4</v>
      </c>
      <c r="IP247">
        <v>405.2</v>
      </c>
      <c r="IQ247">
        <v>418.7</v>
      </c>
      <c r="IR247">
        <v>0</v>
      </c>
      <c r="IS247">
        <v>0</v>
      </c>
      <c r="IT247">
        <v>0</v>
      </c>
      <c r="IU247">
        <v>0</v>
      </c>
      <c r="IV247">
        <v>396</v>
      </c>
      <c r="IW247">
        <v>0</v>
      </c>
      <c r="IX247">
        <v>0</v>
      </c>
      <c r="IZ247">
        <v>0</v>
      </c>
      <c r="JA247">
        <v>65.5</v>
      </c>
      <c r="JB247">
        <v>443.5</v>
      </c>
      <c r="JC247">
        <v>0</v>
      </c>
      <c r="JD247">
        <v>0</v>
      </c>
      <c r="JE247">
        <v>0</v>
      </c>
      <c r="JF247">
        <v>0</v>
      </c>
      <c r="JG247">
        <v>0</v>
      </c>
      <c r="JH247">
        <v>0</v>
      </c>
      <c r="JI247">
        <v>0</v>
      </c>
      <c r="JJ247">
        <v>0</v>
      </c>
      <c r="JK247">
        <v>0</v>
      </c>
      <c r="JL247">
        <v>0</v>
      </c>
      <c r="JM247">
        <v>0</v>
      </c>
      <c r="JN247">
        <v>0</v>
      </c>
      <c r="JO247">
        <v>0</v>
      </c>
      <c r="JP247">
        <v>0</v>
      </c>
      <c r="JQ247">
        <v>0</v>
      </c>
      <c r="JR247">
        <v>0</v>
      </c>
      <c r="JS247">
        <v>0</v>
      </c>
      <c r="JT247">
        <v>0</v>
      </c>
      <c r="JU247">
        <v>0</v>
      </c>
      <c r="JV247">
        <v>0</v>
      </c>
      <c r="JW247">
        <v>0</v>
      </c>
      <c r="JX247">
        <v>0</v>
      </c>
      <c r="JY247">
        <v>0</v>
      </c>
      <c r="JZ247">
        <v>0</v>
      </c>
      <c r="KA247">
        <v>0</v>
      </c>
      <c r="KB247">
        <v>0</v>
      </c>
      <c r="KC247">
        <v>0</v>
      </c>
      <c r="KD247">
        <v>0</v>
      </c>
      <c r="KE247">
        <v>0</v>
      </c>
      <c r="KF247">
        <v>0</v>
      </c>
      <c r="KI247">
        <v>344.6</v>
      </c>
      <c r="KJ247">
        <v>350.8</v>
      </c>
      <c r="KK247">
        <v>22.1</v>
      </c>
      <c r="KL247">
        <v>379.3</v>
      </c>
      <c r="KM247">
        <v>241.4</v>
      </c>
      <c r="KN247">
        <v>0</v>
      </c>
      <c r="KO247">
        <v>0</v>
      </c>
      <c r="KP247">
        <v>57.3</v>
      </c>
      <c r="KQ247">
        <v>224.4</v>
      </c>
      <c r="KR247">
        <v>338.3</v>
      </c>
      <c r="KS247">
        <v>215.8</v>
      </c>
      <c r="KT247">
        <v>40.700000000000003</v>
      </c>
      <c r="KW247">
        <v>2154.5</v>
      </c>
      <c r="KX247">
        <v>1255.7</v>
      </c>
      <c r="KY247">
        <v>1630.1</v>
      </c>
      <c r="KZ247">
        <v>1246.9000000000001</v>
      </c>
      <c r="LB247">
        <v>78.099999999999994</v>
      </c>
      <c r="LC247">
        <v>77.7</v>
      </c>
    </row>
    <row r="248" spans="1:315" ht="18" thickBot="1">
      <c r="A248" s="245"/>
      <c r="B248" s="245" t="s">
        <v>549</v>
      </c>
      <c r="C248" s="88" t="s">
        <v>621</v>
      </c>
      <c r="D248" s="274"/>
      <c r="E248" s="443">
        <v>0</v>
      </c>
      <c r="F248" s="191">
        <v>0</v>
      </c>
      <c r="G248" s="427">
        <v>3413.8</v>
      </c>
      <c r="H248" s="155"/>
      <c r="I248">
        <v>735</v>
      </c>
      <c r="K248">
        <v>1973.1000000000001</v>
      </c>
      <c r="L248" s="4">
        <v>221.60000000000002</v>
      </c>
      <c r="M248" s="4">
        <v>54.9</v>
      </c>
      <c r="N248" s="4">
        <v>1989.7</v>
      </c>
      <c r="P248">
        <v>0</v>
      </c>
      <c r="Q248">
        <v>238.29999999999998</v>
      </c>
      <c r="R248">
        <v>0</v>
      </c>
      <c r="S248">
        <v>0</v>
      </c>
      <c r="T248">
        <v>368.5</v>
      </c>
      <c r="W248">
        <v>720.3</v>
      </c>
      <c r="X248">
        <v>1411.5</v>
      </c>
      <c r="Y248">
        <v>96.5</v>
      </c>
      <c r="AA248">
        <v>859.6</v>
      </c>
      <c r="AB248">
        <v>1577.6000000000001</v>
      </c>
      <c r="AE248">
        <v>1330</v>
      </c>
      <c r="AF248">
        <v>1025.5</v>
      </c>
      <c r="AH248">
        <v>509.9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1349.3</v>
      </c>
      <c r="AO248">
        <v>786.40000000000009</v>
      </c>
      <c r="AP248">
        <v>0</v>
      </c>
      <c r="AQ248">
        <v>68.3</v>
      </c>
      <c r="AR248">
        <v>234.9</v>
      </c>
      <c r="AS248">
        <v>600.40000000000009</v>
      </c>
      <c r="AU248">
        <v>985.69999999999993</v>
      </c>
      <c r="AW248">
        <v>792</v>
      </c>
      <c r="AX248">
        <v>1988.5</v>
      </c>
      <c r="AZ248">
        <v>763.5</v>
      </c>
      <c r="BA248">
        <v>0</v>
      </c>
      <c r="BB248">
        <v>0</v>
      </c>
      <c r="BC248">
        <v>1935.3</v>
      </c>
      <c r="BD248">
        <v>1006.5</v>
      </c>
      <c r="BE248">
        <v>0</v>
      </c>
      <c r="BF248">
        <v>0</v>
      </c>
      <c r="BG248">
        <v>0</v>
      </c>
      <c r="BH248">
        <v>1662.6</v>
      </c>
      <c r="BJ248">
        <v>0</v>
      </c>
      <c r="BK248">
        <v>0</v>
      </c>
      <c r="BL248">
        <v>1038.9000000000001</v>
      </c>
      <c r="BM248">
        <v>1101</v>
      </c>
      <c r="BO248">
        <v>1276.8000000000002</v>
      </c>
      <c r="BQ248">
        <v>0</v>
      </c>
      <c r="BR248">
        <v>270.7</v>
      </c>
      <c r="BS248">
        <v>230.5</v>
      </c>
      <c r="BT248">
        <v>472.3</v>
      </c>
      <c r="BU248">
        <v>537.29999999999995</v>
      </c>
      <c r="BV248">
        <v>346.3</v>
      </c>
      <c r="BW248">
        <v>386.2</v>
      </c>
      <c r="BX248">
        <v>767</v>
      </c>
      <c r="BY248">
        <v>757.2</v>
      </c>
      <c r="BZ248">
        <v>1037.2</v>
      </c>
      <c r="CA248">
        <v>1227.0999999999999</v>
      </c>
      <c r="CB248">
        <v>1232.0999999999999</v>
      </c>
      <c r="CC248">
        <v>1701.5</v>
      </c>
      <c r="CD248">
        <v>0</v>
      </c>
      <c r="CG248">
        <v>1385.3</v>
      </c>
      <c r="CJ248">
        <v>1630.2999999999997</v>
      </c>
      <c r="CM248">
        <v>1184.2</v>
      </c>
      <c r="CO248">
        <v>1248.0999999999999</v>
      </c>
      <c r="CQ248">
        <v>1435.3</v>
      </c>
      <c r="CR248">
        <v>798.2</v>
      </c>
      <c r="CS248">
        <v>923.8</v>
      </c>
      <c r="CT248">
        <v>0</v>
      </c>
      <c r="CU248">
        <v>0</v>
      </c>
      <c r="CV248">
        <v>0</v>
      </c>
      <c r="CW248">
        <v>0</v>
      </c>
      <c r="CX248">
        <v>163.69999999999999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I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G248" t="e">
        <v>#N/A</v>
      </c>
      <c r="FI248" t="e">
        <v>#N/A</v>
      </c>
      <c r="FK248" t="e">
        <v>#N/A</v>
      </c>
      <c r="FM248" t="e">
        <v>#N/A</v>
      </c>
      <c r="FO248" t="e">
        <v>#N/A</v>
      </c>
      <c r="FQ248" t="e">
        <v>#N/A</v>
      </c>
      <c r="FS248" t="e">
        <v>#N/A</v>
      </c>
      <c r="FU248" t="e">
        <v>#N/A</v>
      </c>
      <c r="FW248" t="e">
        <v>#N/A</v>
      </c>
      <c r="FY248" t="e">
        <v>#N/A</v>
      </c>
      <c r="GA248" t="e">
        <v>#N/A</v>
      </c>
      <c r="GC248" t="e">
        <v>#N/A</v>
      </c>
      <c r="GE248" t="e">
        <v>#N/A</v>
      </c>
      <c r="GG248" t="e">
        <v>#N/A</v>
      </c>
      <c r="GI248" t="e">
        <v>#N/A</v>
      </c>
      <c r="GK248" t="e">
        <v>#N/A</v>
      </c>
      <c r="GM248" t="e">
        <v>#N/A</v>
      </c>
      <c r="GO248" t="e">
        <v>#N/A</v>
      </c>
      <c r="GQ248" t="e">
        <v>#N/A</v>
      </c>
      <c r="GS248" t="e">
        <v>#N/A</v>
      </c>
      <c r="GU248" t="e">
        <v>#N/A</v>
      </c>
      <c r="GW248" t="e">
        <v>#N/A</v>
      </c>
      <c r="GY248" t="e">
        <v>#N/A</v>
      </c>
      <c r="HA248" t="e">
        <v>#N/A</v>
      </c>
      <c r="HC248">
        <v>0</v>
      </c>
      <c r="HD248">
        <v>0</v>
      </c>
      <c r="HE248">
        <v>0</v>
      </c>
      <c r="HF248">
        <v>0</v>
      </c>
      <c r="HG248">
        <v>0</v>
      </c>
      <c r="HH248">
        <v>0</v>
      </c>
      <c r="HI248">
        <v>0</v>
      </c>
      <c r="HJ248">
        <v>0</v>
      </c>
      <c r="HM248">
        <v>0</v>
      </c>
      <c r="HN248">
        <v>0</v>
      </c>
      <c r="HO248">
        <v>0</v>
      </c>
      <c r="HP248">
        <v>0</v>
      </c>
      <c r="HQ248">
        <v>0</v>
      </c>
      <c r="HR248">
        <v>0</v>
      </c>
      <c r="HS248">
        <v>0</v>
      </c>
      <c r="HT248">
        <v>0</v>
      </c>
      <c r="HW248">
        <v>0</v>
      </c>
      <c r="HX248">
        <v>0</v>
      </c>
      <c r="HY248">
        <v>0</v>
      </c>
      <c r="HZ248">
        <v>0</v>
      </c>
      <c r="IA248">
        <v>3930.6</v>
      </c>
      <c r="IB248">
        <v>3632.9</v>
      </c>
      <c r="IC248">
        <v>3795.5</v>
      </c>
      <c r="ID248">
        <v>0</v>
      </c>
      <c r="IE248">
        <v>0</v>
      </c>
      <c r="IF248">
        <v>3548.5</v>
      </c>
      <c r="IG248">
        <v>3395.2</v>
      </c>
      <c r="IH248">
        <v>3395.4</v>
      </c>
      <c r="II248">
        <v>3302.3</v>
      </c>
      <c r="IJ248">
        <v>3172.8</v>
      </c>
      <c r="IK248">
        <v>0</v>
      </c>
      <c r="IL248">
        <v>0</v>
      </c>
      <c r="IM248">
        <v>0</v>
      </c>
      <c r="IN248">
        <v>0</v>
      </c>
      <c r="IO248">
        <v>123.4</v>
      </c>
      <c r="IP248">
        <v>405.2</v>
      </c>
      <c r="IQ248">
        <v>418.7</v>
      </c>
      <c r="IR248">
        <v>0</v>
      </c>
      <c r="IS248">
        <v>0</v>
      </c>
      <c r="IT248">
        <v>0</v>
      </c>
      <c r="IU248">
        <v>0</v>
      </c>
      <c r="IV248">
        <v>396</v>
      </c>
      <c r="IW248">
        <v>0</v>
      </c>
      <c r="IX248">
        <v>0</v>
      </c>
      <c r="IZ248">
        <v>0</v>
      </c>
      <c r="JA248">
        <v>65.5</v>
      </c>
      <c r="JB248">
        <v>443.5</v>
      </c>
      <c r="JC248">
        <v>0</v>
      </c>
      <c r="JD248">
        <v>0</v>
      </c>
      <c r="JE248">
        <v>0</v>
      </c>
      <c r="JF248">
        <v>0</v>
      </c>
      <c r="JG248">
        <v>0</v>
      </c>
      <c r="JH248">
        <v>0</v>
      </c>
      <c r="JI248">
        <v>0</v>
      </c>
      <c r="JJ248">
        <v>0</v>
      </c>
      <c r="JK248">
        <v>0</v>
      </c>
      <c r="JL248">
        <v>0</v>
      </c>
      <c r="JM248">
        <v>0</v>
      </c>
      <c r="JN248">
        <v>0</v>
      </c>
      <c r="JO248">
        <v>0</v>
      </c>
      <c r="JP248">
        <v>0</v>
      </c>
      <c r="JQ248">
        <v>0</v>
      </c>
      <c r="JR248">
        <v>0</v>
      </c>
      <c r="JS248">
        <v>0</v>
      </c>
      <c r="JT248">
        <v>0</v>
      </c>
      <c r="JU248">
        <v>0</v>
      </c>
      <c r="JV248">
        <v>0</v>
      </c>
      <c r="JW248">
        <v>0</v>
      </c>
      <c r="JX248">
        <v>0</v>
      </c>
      <c r="JY248">
        <v>0</v>
      </c>
      <c r="JZ248">
        <v>0</v>
      </c>
      <c r="KA248">
        <v>0</v>
      </c>
      <c r="KB248">
        <v>0</v>
      </c>
      <c r="KC248">
        <v>0</v>
      </c>
      <c r="KD248">
        <v>0</v>
      </c>
      <c r="KE248">
        <v>0</v>
      </c>
      <c r="KF248">
        <v>0</v>
      </c>
      <c r="KI248">
        <v>344.6</v>
      </c>
      <c r="KJ248">
        <v>350.8</v>
      </c>
      <c r="KK248">
        <v>22.1</v>
      </c>
      <c r="KL248">
        <v>379.3</v>
      </c>
      <c r="KM248">
        <v>241.4</v>
      </c>
      <c r="KN248">
        <v>0</v>
      </c>
      <c r="KO248">
        <v>0</v>
      </c>
      <c r="KP248">
        <v>57.3</v>
      </c>
      <c r="KQ248">
        <v>224.4</v>
      </c>
      <c r="KR248">
        <v>338.3</v>
      </c>
      <c r="KS248">
        <v>215.8</v>
      </c>
      <c r="KT248">
        <v>40.700000000000003</v>
      </c>
      <c r="KW248">
        <v>2154.5</v>
      </c>
      <c r="KX248">
        <v>1255.7</v>
      </c>
      <c r="KY248">
        <v>1630.1</v>
      </c>
      <c r="KZ248">
        <v>1246.9000000000001</v>
      </c>
      <c r="LB248">
        <v>78.099999999999994</v>
      </c>
      <c r="LC248">
        <v>77.7</v>
      </c>
    </row>
    <row r="249" spans="1:315" ht="18" thickBot="1">
      <c r="A249" s="255"/>
      <c r="B249" s="555" t="s">
        <v>550</v>
      </c>
      <c r="C249" s="231"/>
      <c r="D249" s="277" t="s">
        <v>769</v>
      </c>
      <c r="E249" s="446">
        <v>0</v>
      </c>
      <c r="F249" s="238">
        <v>0</v>
      </c>
      <c r="G249" s="427">
        <v>3413.8</v>
      </c>
      <c r="H249" s="155"/>
      <c r="I249">
        <v>735</v>
      </c>
      <c r="K249">
        <v>1973.1000000000001</v>
      </c>
      <c r="L249" s="4">
        <v>221.60000000000002</v>
      </c>
      <c r="M249" s="4">
        <v>54.9</v>
      </c>
      <c r="N249" s="4">
        <v>1989.7</v>
      </c>
      <c r="P249">
        <v>0</v>
      </c>
      <c r="Q249">
        <v>238.29999999999998</v>
      </c>
      <c r="R249">
        <v>0</v>
      </c>
      <c r="S249">
        <v>0</v>
      </c>
      <c r="T249">
        <v>368.5</v>
      </c>
      <c r="W249">
        <v>720.3</v>
      </c>
      <c r="X249">
        <v>1411.5</v>
      </c>
      <c r="Y249">
        <v>96.5</v>
      </c>
      <c r="AA249">
        <v>859.6</v>
      </c>
      <c r="AB249">
        <v>1577.6000000000001</v>
      </c>
      <c r="AE249">
        <v>1330</v>
      </c>
      <c r="AF249">
        <v>1025.5</v>
      </c>
      <c r="AH249">
        <v>509.9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1349.3</v>
      </c>
      <c r="AO249">
        <v>786.40000000000009</v>
      </c>
      <c r="AP249">
        <v>0</v>
      </c>
      <c r="AQ249">
        <v>68.3</v>
      </c>
      <c r="AR249">
        <v>234.9</v>
      </c>
      <c r="AS249">
        <v>600.40000000000009</v>
      </c>
      <c r="AU249">
        <v>985.69999999999993</v>
      </c>
      <c r="AW249">
        <v>792</v>
      </c>
      <c r="AX249">
        <v>1988.5</v>
      </c>
      <c r="AZ249">
        <v>763.5</v>
      </c>
      <c r="BA249">
        <v>0</v>
      </c>
      <c r="BB249">
        <v>0</v>
      </c>
      <c r="BC249">
        <v>1935.3</v>
      </c>
      <c r="BD249">
        <v>1006.5</v>
      </c>
      <c r="BE249">
        <v>0</v>
      </c>
      <c r="BF249">
        <v>0</v>
      </c>
      <c r="BG249">
        <v>0</v>
      </c>
      <c r="BH249">
        <v>1662.6</v>
      </c>
      <c r="BJ249">
        <v>0</v>
      </c>
      <c r="BK249">
        <v>0</v>
      </c>
      <c r="BL249">
        <v>1038.9000000000001</v>
      </c>
      <c r="BM249">
        <v>1101</v>
      </c>
      <c r="BO249">
        <v>1276.8000000000002</v>
      </c>
      <c r="BQ249">
        <v>0</v>
      </c>
      <c r="BR249">
        <v>270.7</v>
      </c>
      <c r="BS249">
        <v>230.5</v>
      </c>
      <c r="BT249">
        <v>472.3</v>
      </c>
      <c r="BU249">
        <v>537.29999999999995</v>
      </c>
      <c r="BV249">
        <v>346.3</v>
      </c>
      <c r="BW249">
        <v>386.2</v>
      </c>
      <c r="BX249">
        <v>767</v>
      </c>
      <c r="BY249">
        <v>757.2</v>
      </c>
      <c r="BZ249">
        <v>1037.2</v>
      </c>
      <c r="CA249">
        <v>1227.0999999999999</v>
      </c>
      <c r="CB249">
        <v>1232.0999999999999</v>
      </c>
      <c r="CC249">
        <v>1701.5</v>
      </c>
      <c r="CD249">
        <v>0</v>
      </c>
      <c r="CG249">
        <v>1385.3</v>
      </c>
      <c r="CJ249">
        <v>1630.2999999999997</v>
      </c>
      <c r="CM249">
        <v>1184.2</v>
      </c>
      <c r="CO249">
        <v>1248.0999999999999</v>
      </c>
      <c r="CQ249">
        <v>1435.3</v>
      </c>
      <c r="CR249">
        <v>798.2</v>
      </c>
      <c r="CS249">
        <v>923.8</v>
      </c>
      <c r="CT249">
        <v>0</v>
      </c>
      <c r="CU249">
        <v>0</v>
      </c>
      <c r="CV249">
        <v>0</v>
      </c>
      <c r="CW249">
        <v>0</v>
      </c>
      <c r="CX249">
        <v>163.69999999999999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I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G249" t="e">
        <v>#N/A</v>
      </c>
      <c r="FI249" t="e">
        <v>#N/A</v>
      </c>
      <c r="FK249" t="e">
        <v>#N/A</v>
      </c>
      <c r="FM249" t="e">
        <v>#N/A</v>
      </c>
      <c r="FO249" t="e">
        <v>#N/A</v>
      </c>
      <c r="FQ249" t="e">
        <v>#N/A</v>
      </c>
      <c r="FS249" t="e">
        <v>#N/A</v>
      </c>
      <c r="FU249" t="e">
        <v>#N/A</v>
      </c>
      <c r="FW249" t="e">
        <v>#N/A</v>
      </c>
      <c r="FY249" t="e">
        <v>#N/A</v>
      </c>
      <c r="GA249" t="e">
        <v>#N/A</v>
      </c>
      <c r="GC249" t="e">
        <v>#N/A</v>
      </c>
      <c r="GE249" t="e">
        <v>#N/A</v>
      </c>
      <c r="GG249" t="e">
        <v>#N/A</v>
      </c>
      <c r="GI249" t="e">
        <v>#N/A</v>
      </c>
      <c r="GK249" t="e">
        <v>#N/A</v>
      </c>
      <c r="GM249" t="e">
        <v>#N/A</v>
      </c>
      <c r="GO249" t="e">
        <v>#N/A</v>
      </c>
      <c r="GQ249" t="e">
        <v>#N/A</v>
      </c>
      <c r="GS249" t="e">
        <v>#N/A</v>
      </c>
      <c r="GU249" t="e">
        <v>#N/A</v>
      </c>
      <c r="GW249" t="e">
        <v>#N/A</v>
      </c>
      <c r="GY249" t="e">
        <v>#N/A</v>
      </c>
      <c r="HA249" t="e">
        <v>#N/A</v>
      </c>
      <c r="HC249">
        <v>0</v>
      </c>
      <c r="HD249">
        <v>0</v>
      </c>
      <c r="HE249">
        <v>0</v>
      </c>
      <c r="HF249">
        <v>0</v>
      </c>
      <c r="HG249">
        <v>0</v>
      </c>
      <c r="HH249">
        <v>0</v>
      </c>
      <c r="HI249">
        <v>0</v>
      </c>
      <c r="HJ249">
        <v>0</v>
      </c>
      <c r="HM249">
        <v>0</v>
      </c>
      <c r="HN249">
        <v>0</v>
      </c>
      <c r="HO249">
        <v>0</v>
      </c>
      <c r="HP249">
        <v>0</v>
      </c>
      <c r="HQ249">
        <v>0</v>
      </c>
      <c r="HR249">
        <v>0</v>
      </c>
      <c r="HS249">
        <v>0</v>
      </c>
      <c r="HT249">
        <v>0</v>
      </c>
      <c r="HW249">
        <v>0</v>
      </c>
      <c r="HX249">
        <v>0</v>
      </c>
      <c r="HY249">
        <v>0</v>
      </c>
      <c r="HZ249">
        <v>0</v>
      </c>
      <c r="IA249">
        <v>3930.6</v>
      </c>
      <c r="IB249">
        <v>3632.9</v>
      </c>
      <c r="IC249">
        <v>3795.5</v>
      </c>
      <c r="ID249">
        <v>0</v>
      </c>
      <c r="IE249">
        <v>0</v>
      </c>
      <c r="IF249">
        <v>3548.5</v>
      </c>
      <c r="IG249">
        <v>3395.2</v>
      </c>
      <c r="IH249">
        <v>3395.4</v>
      </c>
      <c r="II249">
        <v>3302.3</v>
      </c>
      <c r="IJ249">
        <v>3172.8</v>
      </c>
      <c r="IK249">
        <v>0</v>
      </c>
      <c r="IL249">
        <v>0</v>
      </c>
      <c r="IM249">
        <v>0</v>
      </c>
      <c r="IN249">
        <v>0</v>
      </c>
      <c r="IO249">
        <v>123.4</v>
      </c>
      <c r="IP249">
        <v>405.2</v>
      </c>
      <c r="IQ249">
        <v>418.7</v>
      </c>
      <c r="IR249">
        <v>0</v>
      </c>
      <c r="IS249">
        <v>0</v>
      </c>
      <c r="IT249">
        <v>0</v>
      </c>
      <c r="IU249">
        <v>0</v>
      </c>
      <c r="IV249">
        <v>396</v>
      </c>
      <c r="IW249">
        <v>0</v>
      </c>
      <c r="IX249">
        <v>0</v>
      </c>
      <c r="IZ249">
        <v>0</v>
      </c>
      <c r="JA249">
        <v>65.5</v>
      </c>
      <c r="JB249">
        <v>443.5</v>
      </c>
      <c r="JC249">
        <v>0</v>
      </c>
      <c r="JD249">
        <v>0</v>
      </c>
      <c r="JE249">
        <v>0</v>
      </c>
      <c r="JF249">
        <v>0</v>
      </c>
      <c r="JG249">
        <v>0</v>
      </c>
      <c r="JH249">
        <v>0</v>
      </c>
      <c r="JI249">
        <v>0</v>
      </c>
      <c r="JJ249">
        <v>0</v>
      </c>
      <c r="JK249">
        <v>0</v>
      </c>
      <c r="JL249">
        <v>0</v>
      </c>
      <c r="JM249">
        <v>0</v>
      </c>
      <c r="JN249">
        <v>0</v>
      </c>
      <c r="JO249">
        <v>0</v>
      </c>
      <c r="JP249">
        <v>0</v>
      </c>
      <c r="JQ249">
        <v>0</v>
      </c>
      <c r="JR249">
        <v>0</v>
      </c>
      <c r="JS249">
        <v>0</v>
      </c>
      <c r="JT249">
        <v>0</v>
      </c>
      <c r="JU249">
        <v>0</v>
      </c>
      <c r="JV249">
        <v>0</v>
      </c>
      <c r="JW249">
        <v>0</v>
      </c>
      <c r="JX249">
        <v>0</v>
      </c>
      <c r="JY249">
        <v>0</v>
      </c>
      <c r="JZ249">
        <v>0</v>
      </c>
      <c r="KA249">
        <v>0</v>
      </c>
      <c r="KB249">
        <v>0</v>
      </c>
      <c r="KC249">
        <v>0</v>
      </c>
      <c r="KD249">
        <v>0</v>
      </c>
      <c r="KE249">
        <v>0</v>
      </c>
      <c r="KF249">
        <v>0</v>
      </c>
      <c r="KI249">
        <v>344.6</v>
      </c>
      <c r="KJ249">
        <v>350.8</v>
      </c>
      <c r="KK249">
        <v>22.1</v>
      </c>
      <c r="KL249">
        <v>379.3</v>
      </c>
      <c r="KM249">
        <v>241.4</v>
      </c>
      <c r="KN249">
        <v>0</v>
      </c>
      <c r="KO249">
        <v>0</v>
      </c>
      <c r="KP249">
        <v>57.3</v>
      </c>
      <c r="KQ249">
        <v>224.4</v>
      </c>
      <c r="KR249">
        <v>338.3</v>
      </c>
      <c r="KS249">
        <v>215.8</v>
      </c>
      <c r="KT249">
        <v>40.700000000000003</v>
      </c>
      <c r="KW249">
        <v>2154.5</v>
      </c>
      <c r="KX249">
        <v>1255.7</v>
      </c>
      <c r="KY249">
        <v>1630.1</v>
      </c>
      <c r="KZ249">
        <v>1246.9000000000001</v>
      </c>
      <c r="LB249">
        <v>78.099999999999994</v>
      </c>
      <c r="LC249">
        <v>77.7</v>
      </c>
    </row>
    <row r="250" spans="1:315" ht="18" thickBot="1">
      <c r="A250" s="261"/>
      <c r="B250" s="569"/>
      <c r="C250" s="233"/>
      <c r="D250" s="278"/>
      <c r="E250" s="434">
        <v>0</v>
      </c>
      <c r="F250" s="239">
        <v>0</v>
      </c>
      <c r="G250" s="427">
        <v>3413.8</v>
      </c>
      <c r="H250" s="155"/>
      <c r="I250">
        <v>735</v>
      </c>
      <c r="K250">
        <v>1973.1000000000001</v>
      </c>
      <c r="L250" s="4">
        <v>221.60000000000002</v>
      </c>
      <c r="M250" s="4">
        <v>54.9</v>
      </c>
      <c r="N250" s="4">
        <v>1989.7</v>
      </c>
      <c r="P250">
        <v>0</v>
      </c>
      <c r="Q250">
        <v>238.29999999999998</v>
      </c>
      <c r="R250">
        <v>0</v>
      </c>
      <c r="S250">
        <v>0</v>
      </c>
      <c r="T250">
        <v>368.5</v>
      </c>
      <c r="W250">
        <v>720.3</v>
      </c>
      <c r="X250">
        <v>1411.5</v>
      </c>
      <c r="Y250">
        <v>96.5</v>
      </c>
      <c r="AA250">
        <v>859.6</v>
      </c>
      <c r="AB250">
        <v>1577.6000000000001</v>
      </c>
      <c r="AE250">
        <v>1330</v>
      </c>
      <c r="AF250">
        <v>1025.5</v>
      </c>
      <c r="AH250">
        <v>509.9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1349.3</v>
      </c>
      <c r="AO250">
        <v>786.40000000000009</v>
      </c>
      <c r="AP250">
        <v>0</v>
      </c>
      <c r="AQ250">
        <v>68.3</v>
      </c>
      <c r="AR250">
        <v>234.9</v>
      </c>
      <c r="AS250">
        <v>600.40000000000009</v>
      </c>
      <c r="AU250">
        <v>985.69999999999993</v>
      </c>
      <c r="AW250">
        <v>792</v>
      </c>
      <c r="AX250">
        <v>1988.5</v>
      </c>
      <c r="AZ250">
        <v>763.5</v>
      </c>
      <c r="BA250">
        <v>0</v>
      </c>
      <c r="BB250">
        <v>0</v>
      </c>
      <c r="BC250">
        <v>1935.3</v>
      </c>
      <c r="BD250">
        <v>1006.5</v>
      </c>
      <c r="BE250">
        <v>0</v>
      </c>
      <c r="BF250">
        <v>0</v>
      </c>
      <c r="BG250">
        <v>0</v>
      </c>
      <c r="BH250">
        <v>1662.6</v>
      </c>
      <c r="BJ250">
        <v>0</v>
      </c>
      <c r="BK250">
        <v>0</v>
      </c>
      <c r="BL250">
        <v>1038.9000000000001</v>
      </c>
      <c r="BM250">
        <v>1101</v>
      </c>
      <c r="BO250">
        <v>1276.8000000000002</v>
      </c>
      <c r="BQ250">
        <v>0</v>
      </c>
      <c r="BR250">
        <v>270.7</v>
      </c>
      <c r="BS250">
        <v>230.5</v>
      </c>
      <c r="BT250">
        <v>472.3</v>
      </c>
      <c r="BU250">
        <v>537.29999999999995</v>
      </c>
      <c r="BV250">
        <v>346.3</v>
      </c>
      <c r="BW250">
        <v>386.2</v>
      </c>
      <c r="BX250">
        <v>767</v>
      </c>
      <c r="BY250">
        <v>757.2</v>
      </c>
      <c r="BZ250">
        <v>1037.2</v>
      </c>
      <c r="CA250">
        <v>1227.0999999999999</v>
      </c>
      <c r="CB250">
        <v>1232.0999999999999</v>
      </c>
      <c r="CC250">
        <v>1701.5</v>
      </c>
      <c r="CD250">
        <v>0</v>
      </c>
      <c r="CG250">
        <v>1385.3</v>
      </c>
      <c r="CJ250">
        <v>1630.2999999999997</v>
      </c>
      <c r="CM250">
        <v>1184.2</v>
      </c>
      <c r="CO250">
        <v>1248.0999999999999</v>
      </c>
      <c r="CQ250">
        <v>1435.3</v>
      </c>
      <c r="CR250">
        <v>798.2</v>
      </c>
      <c r="CS250">
        <v>923.8</v>
      </c>
      <c r="CT250">
        <v>0</v>
      </c>
      <c r="CU250">
        <v>0</v>
      </c>
      <c r="CV250">
        <v>0</v>
      </c>
      <c r="CW250">
        <v>0</v>
      </c>
      <c r="CX250">
        <v>163.69999999999999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I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G250" t="e">
        <v>#N/A</v>
      </c>
      <c r="FI250" t="e">
        <v>#N/A</v>
      </c>
      <c r="FK250" t="e">
        <v>#N/A</v>
      </c>
      <c r="FM250" t="e">
        <v>#N/A</v>
      </c>
      <c r="FO250" t="e">
        <v>#N/A</v>
      </c>
      <c r="FQ250" t="e">
        <v>#N/A</v>
      </c>
      <c r="FS250" t="e">
        <v>#N/A</v>
      </c>
      <c r="FU250" t="e">
        <v>#N/A</v>
      </c>
      <c r="FW250" t="e">
        <v>#N/A</v>
      </c>
      <c r="FY250" t="e">
        <v>#N/A</v>
      </c>
      <c r="GA250" t="e">
        <v>#N/A</v>
      </c>
      <c r="GC250" t="e">
        <v>#N/A</v>
      </c>
      <c r="GE250" t="e">
        <v>#N/A</v>
      </c>
      <c r="GG250" t="e">
        <v>#N/A</v>
      </c>
      <c r="GI250" t="e">
        <v>#N/A</v>
      </c>
      <c r="GK250" t="e">
        <v>#N/A</v>
      </c>
      <c r="GM250" t="e">
        <v>#N/A</v>
      </c>
      <c r="GO250" t="e">
        <v>#N/A</v>
      </c>
      <c r="GQ250" t="e">
        <v>#N/A</v>
      </c>
      <c r="GS250" t="e">
        <v>#N/A</v>
      </c>
      <c r="GU250" t="e">
        <v>#N/A</v>
      </c>
      <c r="GW250" t="e">
        <v>#N/A</v>
      </c>
      <c r="GY250" t="e">
        <v>#N/A</v>
      </c>
      <c r="HA250" t="e">
        <v>#N/A</v>
      </c>
      <c r="HC250">
        <v>0</v>
      </c>
      <c r="HD250">
        <v>0</v>
      </c>
      <c r="HE250">
        <v>0</v>
      </c>
      <c r="HF250">
        <v>0</v>
      </c>
      <c r="HG250">
        <v>0</v>
      </c>
      <c r="HH250">
        <v>0</v>
      </c>
      <c r="HI250">
        <v>0</v>
      </c>
      <c r="HJ250">
        <v>0</v>
      </c>
      <c r="HM250">
        <v>0</v>
      </c>
      <c r="HN250">
        <v>0</v>
      </c>
      <c r="HO250">
        <v>0</v>
      </c>
      <c r="HP250">
        <v>0</v>
      </c>
      <c r="HQ250">
        <v>0</v>
      </c>
      <c r="HR250">
        <v>0</v>
      </c>
      <c r="HS250">
        <v>0</v>
      </c>
      <c r="HT250">
        <v>0</v>
      </c>
      <c r="HW250">
        <v>0</v>
      </c>
      <c r="HX250">
        <v>0</v>
      </c>
      <c r="HY250">
        <v>0</v>
      </c>
      <c r="HZ250">
        <v>0</v>
      </c>
      <c r="IA250">
        <v>3930.6</v>
      </c>
      <c r="IB250">
        <v>3632.9</v>
      </c>
      <c r="IC250">
        <v>3795.5</v>
      </c>
      <c r="ID250">
        <v>0</v>
      </c>
      <c r="IE250">
        <v>0</v>
      </c>
      <c r="IF250">
        <v>3548.5</v>
      </c>
      <c r="IG250">
        <v>3395.2</v>
      </c>
      <c r="IH250">
        <v>3395.4</v>
      </c>
      <c r="II250">
        <v>3302.3</v>
      </c>
      <c r="IJ250">
        <v>3172.8</v>
      </c>
      <c r="IK250">
        <v>0</v>
      </c>
      <c r="IL250">
        <v>0</v>
      </c>
      <c r="IM250">
        <v>0</v>
      </c>
      <c r="IN250">
        <v>0</v>
      </c>
      <c r="IO250">
        <v>123.4</v>
      </c>
      <c r="IP250">
        <v>405.2</v>
      </c>
      <c r="IQ250">
        <v>418.7</v>
      </c>
      <c r="IR250">
        <v>0</v>
      </c>
      <c r="IS250">
        <v>0</v>
      </c>
      <c r="IT250">
        <v>0</v>
      </c>
      <c r="IU250">
        <v>0</v>
      </c>
      <c r="IV250">
        <v>396</v>
      </c>
      <c r="IW250">
        <v>0</v>
      </c>
      <c r="IX250">
        <v>0</v>
      </c>
      <c r="IZ250">
        <v>0</v>
      </c>
      <c r="JA250">
        <v>65.5</v>
      </c>
      <c r="JB250">
        <v>443.5</v>
      </c>
      <c r="JC250">
        <v>0</v>
      </c>
      <c r="JD250">
        <v>0</v>
      </c>
      <c r="JE250">
        <v>0</v>
      </c>
      <c r="JF250">
        <v>0</v>
      </c>
      <c r="JG250">
        <v>0</v>
      </c>
      <c r="JH250">
        <v>0</v>
      </c>
      <c r="JI250">
        <v>0</v>
      </c>
      <c r="JJ250">
        <v>0</v>
      </c>
      <c r="JK250">
        <v>0</v>
      </c>
      <c r="JL250">
        <v>0</v>
      </c>
      <c r="JM250">
        <v>0</v>
      </c>
      <c r="JN250">
        <v>0</v>
      </c>
      <c r="JO250">
        <v>0</v>
      </c>
      <c r="JP250">
        <v>0</v>
      </c>
      <c r="JQ250">
        <v>0</v>
      </c>
      <c r="JR250">
        <v>0</v>
      </c>
      <c r="JS250">
        <v>0</v>
      </c>
      <c r="JT250">
        <v>0</v>
      </c>
      <c r="JU250">
        <v>0</v>
      </c>
      <c r="JV250">
        <v>0</v>
      </c>
      <c r="JW250">
        <v>0</v>
      </c>
      <c r="JX250">
        <v>0</v>
      </c>
      <c r="JY250">
        <v>0</v>
      </c>
      <c r="JZ250">
        <v>0</v>
      </c>
      <c r="KA250">
        <v>0</v>
      </c>
      <c r="KB250">
        <v>0</v>
      </c>
      <c r="KC250">
        <v>0</v>
      </c>
      <c r="KD250">
        <v>0</v>
      </c>
      <c r="KE250">
        <v>0</v>
      </c>
      <c r="KF250">
        <v>0</v>
      </c>
      <c r="KI250">
        <v>344.6</v>
      </c>
      <c r="KJ250">
        <v>350.8</v>
      </c>
      <c r="KK250">
        <v>22.1</v>
      </c>
      <c r="KL250">
        <v>379.3</v>
      </c>
      <c r="KM250">
        <v>241.4</v>
      </c>
      <c r="KN250">
        <v>0</v>
      </c>
      <c r="KO250">
        <v>0</v>
      </c>
      <c r="KP250">
        <v>57.3</v>
      </c>
      <c r="KQ250">
        <v>224.4</v>
      </c>
      <c r="KR250">
        <v>338.3</v>
      </c>
      <c r="KS250">
        <v>215.8</v>
      </c>
      <c r="KT250">
        <v>40.700000000000003</v>
      </c>
      <c r="KW250">
        <v>2154.5</v>
      </c>
      <c r="KX250">
        <v>1255.7</v>
      </c>
      <c r="KY250">
        <v>1630.1</v>
      </c>
      <c r="KZ250">
        <v>1246.9000000000001</v>
      </c>
      <c r="LB250">
        <v>78.099999999999994</v>
      </c>
      <c r="LC250">
        <v>77.7</v>
      </c>
    </row>
    <row r="251" spans="1:315" ht="18" thickBot="1">
      <c r="A251" s="257"/>
      <c r="B251" s="556"/>
      <c r="C251" s="230" t="s">
        <v>622</v>
      </c>
      <c r="D251" s="279"/>
      <c r="E251" s="437">
        <v>0</v>
      </c>
      <c r="F251" s="191">
        <v>0</v>
      </c>
      <c r="G251" s="427">
        <v>3413.8</v>
      </c>
      <c r="H251" s="155"/>
      <c r="I251">
        <v>735</v>
      </c>
      <c r="K251">
        <v>1973.1000000000001</v>
      </c>
      <c r="L251" s="4">
        <v>221.60000000000002</v>
      </c>
      <c r="M251" s="4">
        <v>54.9</v>
      </c>
      <c r="N251" s="4">
        <v>1989.7</v>
      </c>
      <c r="P251">
        <v>0</v>
      </c>
      <c r="Q251">
        <v>238.29999999999998</v>
      </c>
      <c r="R251">
        <v>0</v>
      </c>
      <c r="S251">
        <v>0</v>
      </c>
      <c r="T251">
        <v>368.5</v>
      </c>
      <c r="W251">
        <v>720.3</v>
      </c>
      <c r="X251">
        <v>1411.5</v>
      </c>
      <c r="Y251">
        <v>96.5</v>
      </c>
      <c r="AA251">
        <v>859.6</v>
      </c>
      <c r="AB251">
        <v>1577.6000000000001</v>
      </c>
      <c r="AE251">
        <v>1330</v>
      </c>
      <c r="AF251">
        <v>1025.5</v>
      </c>
      <c r="AH251">
        <v>509.9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1349.3</v>
      </c>
      <c r="AO251">
        <v>786.40000000000009</v>
      </c>
      <c r="AP251">
        <v>0</v>
      </c>
      <c r="AQ251">
        <v>68.3</v>
      </c>
      <c r="AR251">
        <v>234.9</v>
      </c>
      <c r="AS251">
        <v>600.40000000000009</v>
      </c>
      <c r="AU251">
        <v>985.69999999999993</v>
      </c>
      <c r="AW251">
        <v>792</v>
      </c>
      <c r="AX251">
        <v>1988.5</v>
      </c>
      <c r="AZ251">
        <v>763.5</v>
      </c>
      <c r="BA251">
        <v>0</v>
      </c>
      <c r="BB251">
        <v>0</v>
      </c>
      <c r="BC251">
        <v>1935.3</v>
      </c>
      <c r="BD251">
        <v>1006.5</v>
      </c>
      <c r="BE251">
        <v>0</v>
      </c>
      <c r="BF251">
        <v>0</v>
      </c>
      <c r="BG251">
        <v>0</v>
      </c>
      <c r="BH251">
        <v>1662.6</v>
      </c>
      <c r="BJ251">
        <v>0</v>
      </c>
      <c r="BK251">
        <v>0</v>
      </c>
      <c r="BL251">
        <v>1038.9000000000001</v>
      </c>
      <c r="BM251">
        <v>1101</v>
      </c>
      <c r="BO251">
        <v>1276.8000000000002</v>
      </c>
      <c r="BQ251">
        <v>0</v>
      </c>
      <c r="BR251">
        <v>270.7</v>
      </c>
      <c r="BS251">
        <v>230.5</v>
      </c>
      <c r="BT251">
        <v>472.3</v>
      </c>
      <c r="BU251">
        <v>537.29999999999995</v>
      </c>
      <c r="BV251">
        <v>346.3</v>
      </c>
      <c r="BW251">
        <v>386.2</v>
      </c>
      <c r="BX251">
        <v>767</v>
      </c>
      <c r="BY251">
        <v>757.2</v>
      </c>
      <c r="BZ251">
        <v>1037.2</v>
      </c>
      <c r="CA251">
        <v>1227.0999999999999</v>
      </c>
      <c r="CB251">
        <v>1232.0999999999999</v>
      </c>
      <c r="CC251">
        <v>1701.5</v>
      </c>
      <c r="CD251">
        <v>0</v>
      </c>
      <c r="CG251">
        <v>1385.3</v>
      </c>
      <c r="CJ251">
        <v>1630.2999999999997</v>
      </c>
      <c r="CM251">
        <v>1184.2</v>
      </c>
      <c r="CO251">
        <v>1248.0999999999999</v>
      </c>
      <c r="CQ251">
        <v>1435.3</v>
      </c>
      <c r="CR251">
        <v>798.2</v>
      </c>
      <c r="CS251">
        <v>923.8</v>
      </c>
      <c r="CT251">
        <v>0</v>
      </c>
      <c r="CU251">
        <v>0</v>
      </c>
      <c r="CV251">
        <v>0</v>
      </c>
      <c r="CW251">
        <v>0</v>
      </c>
      <c r="CX251">
        <v>163.69999999999999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I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G251" t="e">
        <v>#N/A</v>
      </c>
      <c r="FI251" t="e">
        <v>#N/A</v>
      </c>
      <c r="FK251" t="e">
        <v>#N/A</v>
      </c>
      <c r="FM251" t="e">
        <v>#N/A</v>
      </c>
      <c r="FO251" t="e">
        <v>#N/A</v>
      </c>
      <c r="FQ251" t="e">
        <v>#N/A</v>
      </c>
      <c r="FS251" t="e">
        <v>#N/A</v>
      </c>
      <c r="FU251" t="e">
        <v>#N/A</v>
      </c>
      <c r="FW251" t="e">
        <v>#N/A</v>
      </c>
      <c r="FY251" t="e">
        <v>#N/A</v>
      </c>
      <c r="GA251" t="e">
        <v>#N/A</v>
      </c>
      <c r="GC251" t="e">
        <v>#N/A</v>
      </c>
      <c r="GE251" t="e">
        <v>#N/A</v>
      </c>
      <c r="GG251" t="e">
        <v>#N/A</v>
      </c>
      <c r="GI251" t="e">
        <v>#N/A</v>
      </c>
      <c r="GK251" t="e">
        <v>#N/A</v>
      </c>
      <c r="GM251" t="e">
        <v>#N/A</v>
      </c>
      <c r="GO251" t="e">
        <v>#N/A</v>
      </c>
      <c r="GQ251" t="e">
        <v>#N/A</v>
      </c>
      <c r="GS251" t="e">
        <v>#N/A</v>
      </c>
      <c r="GU251" t="e">
        <v>#N/A</v>
      </c>
      <c r="GW251" t="e">
        <v>#N/A</v>
      </c>
      <c r="GY251" t="e">
        <v>#N/A</v>
      </c>
      <c r="HA251" t="e">
        <v>#N/A</v>
      </c>
      <c r="HC251">
        <v>0</v>
      </c>
      <c r="HD251">
        <v>0</v>
      </c>
      <c r="HE251">
        <v>0</v>
      </c>
      <c r="HF251">
        <v>0</v>
      </c>
      <c r="HG251">
        <v>0</v>
      </c>
      <c r="HH251">
        <v>0</v>
      </c>
      <c r="HI251">
        <v>0</v>
      </c>
      <c r="HJ251">
        <v>0</v>
      </c>
      <c r="HM251">
        <v>0</v>
      </c>
      <c r="HN251">
        <v>0</v>
      </c>
      <c r="HO251">
        <v>0</v>
      </c>
      <c r="HP251">
        <v>0</v>
      </c>
      <c r="HQ251">
        <v>0</v>
      </c>
      <c r="HR251">
        <v>0</v>
      </c>
      <c r="HS251">
        <v>0</v>
      </c>
      <c r="HT251">
        <v>0</v>
      </c>
      <c r="HW251">
        <v>0</v>
      </c>
      <c r="HX251">
        <v>0</v>
      </c>
      <c r="HY251">
        <v>0</v>
      </c>
      <c r="HZ251">
        <v>0</v>
      </c>
      <c r="IA251">
        <v>3930.6</v>
      </c>
      <c r="IB251">
        <v>3632.9</v>
      </c>
      <c r="IC251">
        <v>3795.5</v>
      </c>
      <c r="ID251">
        <v>0</v>
      </c>
      <c r="IE251">
        <v>0</v>
      </c>
      <c r="IF251">
        <v>3548.5</v>
      </c>
      <c r="IG251">
        <v>3395.2</v>
      </c>
      <c r="IH251">
        <v>3395.4</v>
      </c>
      <c r="II251">
        <v>3302.3</v>
      </c>
      <c r="IJ251">
        <v>3172.8</v>
      </c>
      <c r="IK251">
        <v>0</v>
      </c>
      <c r="IL251">
        <v>0</v>
      </c>
      <c r="IM251">
        <v>0</v>
      </c>
      <c r="IN251">
        <v>0</v>
      </c>
      <c r="IO251">
        <v>123.4</v>
      </c>
      <c r="IP251">
        <v>405.2</v>
      </c>
      <c r="IQ251">
        <v>418.7</v>
      </c>
      <c r="IR251">
        <v>0</v>
      </c>
      <c r="IS251">
        <v>0</v>
      </c>
      <c r="IT251">
        <v>0</v>
      </c>
      <c r="IU251">
        <v>0</v>
      </c>
      <c r="IV251">
        <v>396</v>
      </c>
      <c r="IW251">
        <v>0</v>
      </c>
      <c r="IX251">
        <v>0</v>
      </c>
      <c r="IZ251">
        <v>0</v>
      </c>
      <c r="JA251">
        <v>65.5</v>
      </c>
      <c r="JB251">
        <v>443.5</v>
      </c>
      <c r="JC251">
        <v>0</v>
      </c>
      <c r="JD251">
        <v>0</v>
      </c>
      <c r="JE251">
        <v>0</v>
      </c>
      <c r="JF251">
        <v>0</v>
      </c>
      <c r="JG251">
        <v>0</v>
      </c>
      <c r="JH251">
        <v>0</v>
      </c>
      <c r="JI251">
        <v>0</v>
      </c>
      <c r="JJ251">
        <v>0</v>
      </c>
      <c r="JK251">
        <v>0</v>
      </c>
      <c r="JL251">
        <v>0</v>
      </c>
      <c r="JM251">
        <v>0</v>
      </c>
      <c r="JN251">
        <v>0</v>
      </c>
      <c r="JO251">
        <v>0</v>
      </c>
      <c r="JP251">
        <v>0</v>
      </c>
      <c r="JQ251">
        <v>0</v>
      </c>
      <c r="JR251">
        <v>0</v>
      </c>
      <c r="JS251">
        <v>0</v>
      </c>
      <c r="JT251">
        <v>0</v>
      </c>
      <c r="JU251">
        <v>0</v>
      </c>
      <c r="JV251">
        <v>0</v>
      </c>
      <c r="JW251">
        <v>0</v>
      </c>
      <c r="JX251">
        <v>0</v>
      </c>
      <c r="JY251">
        <v>0</v>
      </c>
      <c r="JZ251">
        <v>0</v>
      </c>
      <c r="KA251">
        <v>0</v>
      </c>
      <c r="KB251">
        <v>0</v>
      </c>
      <c r="KC251">
        <v>0</v>
      </c>
      <c r="KD251">
        <v>0</v>
      </c>
      <c r="KE251">
        <v>0</v>
      </c>
      <c r="KF251">
        <v>0</v>
      </c>
      <c r="KI251">
        <v>344.6</v>
      </c>
      <c r="KJ251">
        <v>350.8</v>
      </c>
      <c r="KK251">
        <v>22.1</v>
      </c>
      <c r="KL251">
        <v>379.3</v>
      </c>
      <c r="KM251">
        <v>241.4</v>
      </c>
      <c r="KN251">
        <v>0</v>
      </c>
      <c r="KO251">
        <v>0</v>
      </c>
      <c r="KP251">
        <v>57.3</v>
      </c>
      <c r="KQ251">
        <v>224.4</v>
      </c>
      <c r="KR251">
        <v>338.3</v>
      </c>
      <c r="KS251">
        <v>215.8</v>
      </c>
      <c r="KT251">
        <v>40.700000000000003</v>
      </c>
      <c r="KW251">
        <v>2154.5</v>
      </c>
      <c r="KX251">
        <v>1255.7</v>
      </c>
      <c r="KY251">
        <v>1630.1</v>
      </c>
      <c r="KZ251">
        <v>1246.9000000000001</v>
      </c>
      <c r="LB251">
        <v>78.099999999999994</v>
      </c>
      <c r="LC251">
        <v>77.7</v>
      </c>
    </row>
    <row r="252" spans="1:315" ht="18" thickBot="1">
      <c r="A252" s="245"/>
      <c r="B252" s="245" t="s">
        <v>551</v>
      </c>
      <c r="C252" s="230" t="s">
        <v>623</v>
      </c>
      <c r="D252" s="274" t="s">
        <v>814</v>
      </c>
      <c r="E252" s="443">
        <v>0</v>
      </c>
      <c r="F252" s="191">
        <v>0</v>
      </c>
      <c r="G252" s="427">
        <v>3413.8</v>
      </c>
      <c r="H252" s="155"/>
      <c r="I252">
        <v>735</v>
      </c>
      <c r="K252">
        <v>1973.1000000000001</v>
      </c>
      <c r="L252" s="4">
        <v>221.60000000000002</v>
      </c>
      <c r="M252" s="4">
        <v>54.9</v>
      </c>
      <c r="N252" s="4">
        <v>1989.7</v>
      </c>
      <c r="P252">
        <v>0</v>
      </c>
      <c r="Q252">
        <v>238.29999999999998</v>
      </c>
      <c r="R252">
        <v>0</v>
      </c>
      <c r="S252">
        <v>0</v>
      </c>
      <c r="T252">
        <v>368.5</v>
      </c>
      <c r="W252">
        <v>720.3</v>
      </c>
      <c r="X252">
        <v>1411.5</v>
      </c>
      <c r="Y252">
        <v>96.5</v>
      </c>
      <c r="AA252">
        <v>859.6</v>
      </c>
      <c r="AB252">
        <v>1577.6000000000001</v>
      </c>
      <c r="AE252">
        <v>1330</v>
      </c>
      <c r="AF252">
        <v>1025.5</v>
      </c>
      <c r="AH252">
        <v>509.9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1349.3</v>
      </c>
      <c r="AO252">
        <v>786.40000000000009</v>
      </c>
      <c r="AP252">
        <v>0</v>
      </c>
      <c r="AQ252">
        <v>68.3</v>
      </c>
      <c r="AR252">
        <v>234.9</v>
      </c>
      <c r="AS252">
        <v>600.40000000000009</v>
      </c>
      <c r="AU252">
        <v>985.69999999999993</v>
      </c>
      <c r="AW252">
        <v>792</v>
      </c>
      <c r="AX252">
        <v>1988.5</v>
      </c>
      <c r="AZ252">
        <v>763.5</v>
      </c>
      <c r="BA252">
        <v>0</v>
      </c>
      <c r="BB252">
        <v>0</v>
      </c>
      <c r="BC252">
        <v>1935.3</v>
      </c>
      <c r="BD252">
        <v>1006.5</v>
      </c>
      <c r="BE252">
        <v>0</v>
      </c>
      <c r="BF252">
        <v>0</v>
      </c>
      <c r="BG252">
        <v>0</v>
      </c>
      <c r="BH252">
        <v>1662.6</v>
      </c>
      <c r="BJ252">
        <v>0</v>
      </c>
      <c r="BK252">
        <v>0</v>
      </c>
      <c r="BL252">
        <v>1038.9000000000001</v>
      </c>
      <c r="BM252">
        <v>1101</v>
      </c>
      <c r="BO252">
        <v>1276.8000000000002</v>
      </c>
      <c r="BQ252">
        <v>0</v>
      </c>
      <c r="BR252">
        <v>270.7</v>
      </c>
      <c r="BS252">
        <v>230.5</v>
      </c>
      <c r="BT252">
        <v>472.3</v>
      </c>
      <c r="BU252">
        <v>537.29999999999995</v>
      </c>
      <c r="BV252">
        <v>346.3</v>
      </c>
      <c r="BW252">
        <v>386.2</v>
      </c>
      <c r="BX252">
        <v>767</v>
      </c>
      <c r="BY252">
        <v>757.2</v>
      </c>
      <c r="BZ252">
        <v>1037.2</v>
      </c>
      <c r="CA252">
        <v>1227.0999999999999</v>
      </c>
      <c r="CB252">
        <v>1232.0999999999999</v>
      </c>
      <c r="CC252">
        <v>1701.5</v>
      </c>
      <c r="CD252">
        <v>0</v>
      </c>
      <c r="CG252">
        <v>1385.3</v>
      </c>
      <c r="CJ252">
        <v>1630.2999999999997</v>
      </c>
      <c r="CM252">
        <v>1184.2</v>
      </c>
      <c r="CO252">
        <v>1248.0999999999999</v>
      </c>
      <c r="CQ252">
        <v>1435.3</v>
      </c>
      <c r="CR252">
        <v>798.2</v>
      </c>
      <c r="CS252">
        <v>923.8</v>
      </c>
      <c r="CT252">
        <v>0</v>
      </c>
      <c r="CU252">
        <v>0</v>
      </c>
      <c r="CV252">
        <v>0</v>
      </c>
      <c r="CW252">
        <v>0</v>
      </c>
      <c r="CX252">
        <v>163.69999999999999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I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G252" t="e">
        <v>#N/A</v>
      </c>
      <c r="FI252" t="e">
        <v>#N/A</v>
      </c>
      <c r="FK252" t="e">
        <v>#N/A</v>
      </c>
      <c r="FM252" t="e">
        <v>#N/A</v>
      </c>
      <c r="FO252" t="e">
        <v>#N/A</v>
      </c>
      <c r="FQ252" t="e">
        <v>#N/A</v>
      </c>
      <c r="FS252" t="e">
        <v>#N/A</v>
      </c>
      <c r="FU252" t="e">
        <v>#N/A</v>
      </c>
      <c r="FW252" t="e">
        <v>#N/A</v>
      </c>
      <c r="FY252" t="e">
        <v>#N/A</v>
      </c>
      <c r="GA252" t="e">
        <v>#N/A</v>
      </c>
      <c r="GC252" t="e">
        <v>#N/A</v>
      </c>
      <c r="GE252" t="e">
        <v>#N/A</v>
      </c>
      <c r="GG252" t="e">
        <v>#N/A</v>
      </c>
      <c r="GI252" t="e">
        <v>#N/A</v>
      </c>
      <c r="GK252" t="e">
        <v>#N/A</v>
      </c>
      <c r="GM252" t="e">
        <v>#N/A</v>
      </c>
      <c r="GO252" t="e">
        <v>#N/A</v>
      </c>
      <c r="GQ252" t="e">
        <v>#N/A</v>
      </c>
      <c r="GS252" t="e">
        <v>#N/A</v>
      </c>
      <c r="GU252" t="e">
        <v>#N/A</v>
      </c>
      <c r="GW252" t="e">
        <v>#N/A</v>
      </c>
      <c r="GY252" t="e">
        <v>#N/A</v>
      </c>
      <c r="HA252" t="e">
        <v>#N/A</v>
      </c>
      <c r="HC252">
        <v>0</v>
      </c>
      <c r="HD252">
        <v>0</v>
      </c>
      <c r="HE252">
        <v>0</v>
      </c>
      <c r="HF252">
        <v>0</v>
      </c>
      <c r="HG252">
        <v>0</v>
      </c>
      <c r="HH252">
        <v>0</v>
      </c>
      <c r="HI252">
        <v>0</v>
      </c>
      <c r="HJ252">
        <v>0</v>
      </c>
      <c r="HM252">
        <v>0</v>
      </c>
      <c r="HN252">
        <v>0</v>
      </c>
      <c r="HO252">
        <v>0</v>
      </c>
      <c r="HP252">
        <v>0</v>
      </c>
      <c r="HQ252">
        <v>0</v>
      </c>
      <c r="HR252">
        <v>0</v>
      </c>
      <c r="HS252">
        <v>0</v>
      </c>
      <c r="HT252">
        <v>0</v>
      </c>
      <c r="HW252">
        <v>0</v>
      </c>
      <c r="HX252">
        <v>0</v>
      </c>
      <c r="HY252">
        <v>0</v>
      </c>
      <c r="HZ252">
        <v>0</v>
      </c>
      <c r="IA252">
        <v>3930.6</v>
      </c>
      <c r="IB252">
        <v>3632.9</v>
      </c>
      <c r="IC252">
        <v>3795.5</v>
      </c>
      <c r="ID252">
        <v>0</v>
      </c>
      <c r="IE252">
        <v>0</v>
      </c>
      <c r="IF252">
        <v>3548.5</v>
      </c>
      <c r="IG252">
        <v>3395.2</v>
      </c>
      <c r="IH252">
        <v>3395.4</v>
      </c>
      <c r="II252">
        <v>3302.3</v>
      </c>
      <c r="IJ252">
        <v>3172.8</v>
      </c>
      <c r="IK252">
        <v>0</v>
      </c>
      <c r="IL252">
        <v>0</v>
      </c>
      <c r="IM252">
        <v>0</v>
      </c>
      <c r="IN252">
        <v>0</v>
      </c>
      <c r="IO252">
        <v>123.4</v>
      </c>
      <c r="IP252">
        <v>405.2</v>
      </c>
      <c r="IQ252">
        <v>418.7</v>
      </c>
      <c r="IR252">
        <v>0</v>
      </c>
      <c r="IS252">
        <v>0</v>
      </c>
      <c r="IT252">
        <v>0</v>
      </c>
      <c r="IU252">
        <v>0</v>
      </c>
      <c r="IV252">
        <v>396</v>
      </c>
      <c r="IW252">
        <v>0</v>
      </c>
      <c r="IX252">
        <v>0</v>
      </c>
      <c r="IZ252">
        <v>0</v>
      </c>
      <c r="JA252">
        <v>65.5</v>
      </c>
      <c r="JB252">
        <v>443.5</v>
      </c>
      <c r="JC252">
        <v>0</v>
      </c>
      <c r="JD252">
        <v>0</v>
      </c>
      <c r="JE252">
        <v>0</v>
      </c>
      <c r="JF252">
        <v>0</v>
      </c>
      <c r="JG252">
        <v>0</v>
      </c>
      <c r="JH252">
        <v>0</v>
      </c>
      <c r="JI252">
        <v>0</v>
      </c>
      <c r="JJ252">
        <v>0</v>
      </c>
      <c r="JK252">
        <v>0</v>
      </c>
      <c r="JL252">
        <v>0</v>
      </c>
      <c r="JM252">
        <v>0</v>
      </c>
      <c r="JN252">
        <v>0</v>
      </c>
      <c r="JO252">
        <v>0</v>
      </c>
      <c r="JP252">
        <v>0</v>
      </c>
      <c r="JQ252">
        <v>0</v>
      </c>
      <c r="JR252">
        <v>0</v>
      </c>
      <c r="JS252">
        <v>0</v>
      </c>
      <c r="JT252">
        <v>0</v>
      </c>
      <c r="JU252">
        <v>0</v>
      </c>
      <c r="JV252">
        <v>0</v>
      </c>
      <c r="JW252">
        <v>0</v>
      </c>
      <c r="JX252">
        <v>0</v>
      </c>
      <c r="JY252">
        <v>0</v>
      </c>
      <c r="JZ252">
        <v>0</v>
      </c>
      <c r="KA252">
        <v>0</v>
      </c>
      <c r="KB252">
        <v>0</v>
      </c>
      <c r="KC252">
        <v>0</v>
      </c>
      <c r="KD252">
        <v>0</v>
      </c>
      <c r="KE252">
        <v>0</v>
      </c>
      <c r="KF252">
        <v>0</v>
      </c>
      <c r="KI252">
        <v>344.6</v>
      </c>
      <c r="KJ252">
        <v>350.8</v>
      </c>
      <c r="KK252">
        <v>22.1</v>
      </c>
      <c r="KL252">
        <v>379.3</v>
      </c>
      <c r="KM252">
        <v>241.4</v>
      </c>
      <c r="KN252">
        <v>0</v>
      </c>
      <c r="KO252">
        <v>0</v>
      </c>
      <c r="KP252">
        <v>57.3</v>
      </c>
      <c r="KQ252">
        <v>224.4</v>
      </c>
      <c r="KR252">
        <v>338.3</v>
      </c>
      <c r="KS252">
        <v>215.8</v>
      </c>
      <c r="KT252">
        <v>40.700000000000003</v>
      </c>
      <c r="KW252">
        <v>2154.5</v>
      </c>
      <c r="KX252">
        <v>1255.7</v>
      </c>
      <c r="KY252">
        <v>1630.1</v>
      </c>
      <c r="KZ252">
        <v>1246.9000000000001</v>
      </c>
      <c r="LB252">
        <v>78.099999999999994</v>
      </c>
      <c r="LC252">
        <v>77.7</v>
      </c>
    </row>
    <row r="253" spans="1:315" ht="18" thickBot="1">
      <c r="A253" s="245"/>
      <c r="B253" s="245" t="s">
        <v>552</v>
      </c>
      <c r="C253" s="88" t="s">
        <v>624</v>
      </c>
      <c r="D253" s="274" t="s">
        <v>815</v>
      </c>
      <c r="E253" s="443">
        <v>0</v>
      </c>
      <c r="F253" s="195">
        <v>0</v>
      </c>
      <c r="G253" s="427">
        <v>3413.8</v>
      </c>
      <c r="H253" s="155"/>
      <c r="I253">
        <v>735</v>
      </c>
      <c r="K253">
        <v>1973.1000000000001</v>
      </c>
      <c r="L253" s="4">
        <v>221.60000000000002</v>
      </c>
      <c r="M253" s="4">
        <v>54.9</v>
      </c>
      <c r="N253" s="4">
        <v>1989.7</v>
      </c>
      <c r="P253">
        <v>0</v>
      </c>
      <c r="Q253">
        <v>238.29999999999998</v>
      </c>
      <c r="R253">
        <v>0</v>
      </c>
      <c r="S253">
        <v>0</v>
      </c>
      <c r="T253">
        <v>368.5</v>
      </c>
      <c r="W253">
        <v>720.3</v>
      </c>
      <c r="X253">
        <v>1411.5</v>
      </c>
      <c r="Y253">
        <v>96.5</v>
      </c>
      <c r="AA253">
        <v>859.6</v>
      </c>
      <c r="AB253">
        <v>1577.6000000000001</v>
      </c>
      <c r="AE253">
        <v>1330</v>
      </c>
      <c r="AF253">
        <v>1025.5</v>
      </c>
      <c r="AH253">
        <v>509.9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1349.3</v>
      </c>
      <c r="AO253">
        <v>786.40000000000009</v>
      </c>
      <c r="AP253">
        <v>0</v>
      </c>
      <c r="AQ253">
        <v>68.3</v>
      </c>
      <c r="AR253">
        <v>234.9</v>
      </c>
      <c r="AS253">
        <v>600.40000000000009</v>
      </c>
      <c r="AU253">
        <v>985.69999999999993</v>
      </c>
      <c r="AW253">
        <v>792</v>
      </c>
      <c r="AX253">
        <v>1988.5</v>
      </c>
      <c r="AZ253">
        <v>763.5</v>
      </c>
      <c r="BA253">
        <v>0</v>
      </c>
      <c r="BB253">
        <v>0</v>
      </c>
      <c r="BC253">
        <v>1935.3</v>
      </c>
      <c r="BD253">
        <v>1006.5</v>
      </c>
      <c r="BE253">
        <v>0</v>
      </c>
      <c r="BF253">
        <v>0</v>
      </c>
      <c r="BG253">
        <v>0</v>
      </c>
      <c r="BH253">
        <v>1662.6</v>
      </c>
      <c r="BJ253">
        <v>0</v>
      </c>
      <c r="BK253">
        <v>0</v>
      </c>
      <c r="BL253">
        <v>1038.9000000000001</v>
      </c>
      <c r="BM253">
        <v>1101</v>
      </c>
      <c r="BO253">
        <v>1276.8000000000002</v>
      </c>
      <c r="BQ253">
        <v>0</v>
      </c>
      <c r="BR253">
        <v>270.7</v>
      </c>
      <c r="BS253">
        <v>230.5</v>
      </c>
      <c r="BT253">
        <v>472.3</v>
      </c>
      <c r="BU253">
        <v>537.29999999999995</v>
      </c>
      <c r="BV253">
        <v>346.3</v>
      </c>
      <c r="BW253">
        <v>386.2</v>
      </c>
      <c r="BX253">
        <v>767</v>
      </c>
      <c r="BY253">
        <v>757.2</v>
      </c>
      <c r="BZ253">
        <v>1037.2</v>
      </c>
      <c r="CA253">
        <v>1227.0999999999999</v>
      </c>
      <c r="CB253">
        <v>1232.0999999999999</v>
      </c>
      <c r="CC253">
        <v>1701.5</v>
      </c>
      <c r="CD253">
        <v>0</v>
      </c>
      <c r="CG253">
        <v>1385.3</v>
      </c>
      <c r="CJ253">
        <v>1630.2999999999997</v>
      </c>
      <c r="CM253">
        <v>1184.2</v>
      </c>
      <c r="CO253">
        <v>1248.0999999999999</v>
      </c>
      <c r="CQ253">
        <v>1435.3</v>
      </c>
      <c r="CR253">
        <v>798.2</v>
      </c>
      <c r="CS253">
        <v>923.8</v>
      </c>
      <c r="CT253">
        <v>0</v>
      </c>
      <c r="CU253">
        <v>0</v>
      </c>
      <c r="CV253">
        <v>0</v>
      </c>
      <c r="CW253">
        <v>0</v>
      </c>
      <c r="CX253">
        <v>163.69999999999999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I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G253" t="e">
        <v>#N/A</v>
      </c>
      <c r="FI253" t="e">
        <v>#N/A</v>
      </c>
      <c r="FK253" t="e">
        <v>#N/A</v>
      </c>
      <c r="FM253" t="e">
        <v>#N/A</v>
      </c>
      <c r="FO253" t="e">
        <v>#N/A</v>
      </c>
      <c r="FQ253" t="e">
        <v>#N/A</v>
      </c>
      <c r="FS253" t="e">
        <v>#N/A</v>
      </c>
      <c r="FU253" t="e">
        <v>#N/A</v>
      </c>
      <c r="FW253" t="e">
        <v>#N/A</v>
      </c>
      <c r="FY253" t="e">
        <v>#N/A</v>
      </c>
      <c r="GA253" t="e">
        <v>#N/A</v>
      </c>
      <c r="GC253" t="e">
        <v>#N/A</v>
      </c>
      <c r="GE253" t="e">
        <v>#N/A</v>
      </c>
      <c r="GG253" t="e">
        <v>#N/A</v>
      </c>
      <c r="GI253" t="e">
        <v>#N/A</v>
      </c>
      <c r="GK253" t="e">
        <v>#N/A</v>
      </c>
      <c r="GM253" t="e">
        <v>#N/A</v>
      </c>
      <c r="GO253" t="e">
        <v>#N/A</v>
      </c>
      <c r="GQ253" t="e">
        <v>#N/A</v>
      </c>
      <c r="GS253" t="e">
        <v>#N/A</v>
      </c>
      <c r="GU253" t="e">
        <v>#N/A</v>
      </c>
      <c r="GW253" t="e">
        <v>#N/A</v>
      </c>
      <c r="GY253" t="e">
        <v>#N/A</v>
      </c>
      <c r="HA253" t="e">
        <v>#N/A</v>
      </c>
      <c r="HC253">
        <v>0</v>
      </c>
      <c r="HD253">
        <v>0</v>
      </c>
      <c r="HE253">
        <v>0</v>
      </c>
      <c r="HF253">
        <v>0</v>
      </c>
      <c r="HG253">
        <v>0</v>
      </c>
      <c r="HH253">
        <v>0</v>
      </c>
      <c r="HI253">
        <v>0</v>
      </c>
      <c r="HJ253">
        <v>0</v>
      </c>
      <c r="HM253">
        <v>0</v>
      </c>
      <c r="HN253">
        <v>0</v>
      </c>
      <c r="HO253">
        <v>0</v>
      </c>
      <c r="HP253">
        <v>0</v>
      </c>
      <c r="HQ253">
        <v>0</v>
      </c>
      <c r="HR253">
        <v>0</v>
      </c>
      <c r="HS253">
        <v>0</v>
      </c>
      <c r="HT253">
        <v>0</v>
      </c>
      <c r="HW253">
        <v>0</v>
      </c>
      <c r="HX253">
        <v>0</v>
      </c>
      <c r="HY253">
        <v>0</v>
      </c>
      <c r="HZ253">
        <v>0</v>
      </c>
      <c r="IA253">
        <v>3930.6</v>
      </c>
      <c r="IB253">
        <v>3632.9</v>
      </c>
      <c r="IC253">
        <v>3795.5</v>
      </c>
      <c r="ID253">
        <v>0</v>
      </c>
      <c r="IE253">
        <v>0</v>
      </c>
      <c r="IF253">
        <v>3548.5</v>
      </c>
      <c r="IG253">
        <v>3395.2</v>
      </c>
      <c r="IH253">
        <v>3395.4</v>
      </c>
      <c r="II253">
        <v>3302.3</v>
      </c>
      <c r="IJ253">
        <v>3172.8</v>
      </c>
      <c r="IK253">
        <v>0</v>
      </c>
      <c r="IL253">
        <v>0</v>
      </c>
      <c r="IM253">
        <v>0</v>
      </c>
      <c r="IN253">
        <v>0</v>
      </c>
      <c r="IO253">
        <v>123.4</v>
      </c>
      <c r="IP253">
        <v>405.2</v>
      </c>
      <c r="IQ253">
        <v>418.7</v>
      </c>
      <c r="IR253">
        <v>0</v>
      </c>
      <c r="IS253">
        <v>0</v>
      </c>
      <c r="IT253">
        <v>0</v>
      </c>
      <c r="IU253">
        <v>0</v>
      </c>
      <c r="IV253">
        <v>396</v>
      </c>
      <c r="IW253">
        <v>0</v>
      </c>
      <c r="IX253">
        <v>0</v>
      </c>
      <c r="IZ253">
        <v>0</v>
      </c>
      <c r="JA253">
        <v>65.5</v>
      </c>
      <c r="JB253">
        <v>443.5</v>
      </c>
      <c r="JC253">
        <v>0</v>
      </c>
      <c r="JD253">
        <v>0</v>
      </c>
      <c r="JE253">
        <v>0</v>
      </c>
      <c r="JF253">
        <v>0</v>
      </c>
      <c r="JG253">
        <v>0</v>
      </c>
      <c r="JH253">
        <v>0</v>
      </c>
      <c r="JI253">
        <v>0</v>
      </c>
      <c r="JJ253">
        <v>0</v>
      </c>
      <c r="JK253">
        <v>0</v>
      </c>
      <c r="JL253">
        <v>0</v>
      </c>
      <c r="JM253">
        <v>0</v>
      </c>
      <c r="JN253">
        <v>0</v>
      </c>
      <c r="JO253">
        <v>0</v>
      </c>
      <c r="JP253">
        <v>0</v>
      </c>
      <c r="JQ253">
        <v>0</v>
      </c>
      <c r="JR253">
        <v>0</v>
      </c>
      <c r="JS253">
        <v>0</v>
      </c>
      <c r="JT253">
        <v>0</v>
      </c>
      <c r="JU253">
        <v>0</v>
      </c>
      <c r="JV253">
        <v>0</v>
      </c>
      <c r="JW253">
        <v>0</v>
      </c>
      <c r="JX253">
        <v>0</v>
      </c>
      <c r="JY253">
        <v>0</v>
      </c>
      <c r="JZ253">
        <v>0</v>
      </c>
      <c r="KA253">
        <v>0</v>
      </c>
      <c r="KB253">
        <v>0</v>
      </c>
      <c r="KC253">
        <v>0</v>
      </c>
      <c r="KD253">
        <v>0</v>
      </c>
      <c r="KE253">
        <v>0</v>
      </c>
      <c r="KF253">
        <v>0</v>
      </c>
      <c r="KI253">
        <v>344.6</v>
      </c>
      <c r="KJ253">
        <v>350.8</v>
      </c>
      <c r="KK253">
        <v>22.1</v>
      </c>
      <c r="KL253">
        <v>379.3</v>
      </c>
      <c r="KM253">
        <v>241.4</v>
      </c>
      <c r="KN253">
        <v>0</v>
      </c>
      <c r="KO253">
        <v>0</v>
      </c>
      <c r="KP253">
        <v>57.3</v>
      </c>
      <c r="KQ253">
        <v>224.4</v>
      </c>
      <c r="KR253">
        <v>338.3</v>
      </c>
      <c r="KS253">
        <v>215.8</v>
      </c>
      <c r="KT253">
        <v>40.700000000000003</v>
      </c>
      <c r="KW253">
        <v>2154.5</v>
      </c>
      <c r="KX253">
        <v>1255.7</v>
      </c>
      <c r="KY253">
        <v>1630.1</v>
      </c>
      <c r="KZ253">
        <v>1246.9000000000001</v>
      </c>
      <c r="LB253">
        <v>78.099999999999994</v>
      </c>
      <c r="LC253">
        <v>77.7</v>
      </c>
    </row>
    <row r="254" spans="1:315" ht="18" thickBot="1">
      <c r="A254" s="245"/>
      <c r="B254" s="570" t="s">
        <v>553</v>
      </c>
      <c r="C254" s="88" t="s">
        <v>625</v>
      </c>
      <c r="D254" s="274" t="s">
        <v>816</v>
      </c>
      <c r="E254" s="446">
        <v>0</v>
      </c>
      <c r="F254" s="191">
        <v>0</v>
      </c>
      <c r="G254" s="427">
        <v>3413.8</v>
      </c>
      <c r="H254" s="155"/>
      <c r="I254">
        <v>735</v>
      </c>
      <c r="K254">
        <v>1973.1000000000001</v>
      </c>
      <c r="L254" s="4">
        <v>221.60000000000002</v>
      </c>
      <c r="M254" s="4">
        <v>54.9</v>
      </c>
      <c r="N254" s="4">
        <v>1989.7</v>
      </c>
      <c r="P254">
        <v>0</v>
      </c>
      <c r="Q254">
        <v>238.29999999999998</v>
      </c>
      <c r="R254">
        <v>0</v>
      </c>
      <c r="S254">
        <v>0</v>
      </c>
      <c r="T254">
        <v>368.5</v>
      </c>
      <c r="W254">
        <v>720.3</v>
      </c>
      <c r="X254">
        <v>1411.5</v>
      </c>
      <c r="Y254">
        <v>96.5</v>
      </c>
      <c r="AA254">
        <v>859.6</v>
      </c>
      <c r="AB254">
        <v>1577.6000000000001</v>
      </c>
      <c r="AE254">
        <v>1330</v>
      </c>
      <c r="AF254">
        <v>1025.5</v>
      </c>
      <c r="AH254">
        <v>509.9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1349.3</v>
      </c>
      <c r="AO254">
        <v>786.40000000000009</v>
      </c>
      <c r="AP254">
        <v>0</v>
      </c>
      <c r="AQ254">
        <v>68.3</v>
      </c>
      <c r="AR254">
        <v>234.9</v>
      </c>
      <c r="AS254">
        <v>600.40000000000009</v>
      </c>
      <c r="AU254">
        <v>985.69999999999993</v>
      </c>
      <c r="AW254">
        <v>792</v>
      </c>
      <c r="AX254">
        <v>1988.5</v>
      </c>
      <c r="AZ254">
        <v>763.5</v>
      </c>
      <c r="BA254">
        <v>0</v>
      </c>
      <c r="BB254">
        <v>0</v>
      </c>
      <c r="BC254">
        <v>1935.3</v>
      </c>
      <c r="BD254">
        <v>1006.5</v>
      </c>
      <c r="BE254">
        <v>0</v>
      </c>
      <c r="BF254">
        <v>0</v>
      </c>
      <c r="BG254">
        <v>0</v>
      </c>
      <c r="BH254">
        <v>1662.6</v>
      </c>
      <c r="BJ254">
        <v>0</v>
      </c>
      <c r="BK254">
        <v>0</v>
      </c>
      <c r="BL254">
        <v>1038.9000000000001</v>
      </c>
      <c r="BM254">
        <v>1101</v>
      </c>
      <c r="BO254">
        <v>1276.8000000000002</v>
      </c>
      <c r="BQ254">
        <v>0</v>
      </c>
      <c r="BR254">
        <v>270.7</v>
      </c>
      <c r="BS254">
        <v>230.5</v>
      </c>
      <c r="BT254">
        <v>472.3</v>
      </c>
      <c r="BU254">
        <v>537.29999999999995</v>
      </c>
      <c r="BV254">
        <v>346.3</v>
      </c>
      <c r="BW254">
        <v>386.2</v>
      </c>
      <c r="BX254">
        <v>767</v>
      </c>
      <c r="BY254">
        <v>757.2</v>
      </c>
      <c r="BZ254">
        <v>1037.2</v>
      </c>
      <c r="CA254">
        <v>1227.0999999999999</v>
      </c>
      <c r="CB254">
        <v>1232.0999999999999</v>
      </c>
      <c r="CC254">
        <v>1701.5</v>
      </c>
      <c r="CD254">
        <v>0</v>
      </c>
      <c r="CG254">
        <v>1385.3</v>
      </c>
      <c r="CJ254">
        <v>1630.2999999999997</v>
      </c>
      <c r="CM254">
        <v>1184.2</v>
      </c>
      <c r="CO254">
        <v>1248.0999999999999</v>
      </c>
      <c r="CQ254">
        <v>1435.3</v>
      </c>
      <c r="CR254">
        <v>798.2</v>
      </c>
      <c r="CS254">
        <v>923.8</v>
      </c>
      <c r="CT254">
        <v>0</v>
      </c>
      <c r="CU254">
        <v>0</v>
      </c>
      <c r="CV254">
        <v>0</v>
      </c>
      <c r="CW254">
        <v>0</v>
      </c>
      <c r="CX254">
        <v>163.69999999999999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I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G254" t="e">
        <v>#N/A</v>
      </c>
      <c r="FI254" t="e">
        <v>#N/A</v>
      </c>
      <c r="FK254" t="e">
        <v>#N/A</v>
      </c>
      <c r="FM254" t="e">
        <v>#N/A</v>
      </c>
      <c r="FO254" t="e">
        <v>#N/A</v>
      </c>
      <c r="FQ254" t="e">
        <v>#N/A</v>
      </c>
      <c r="FS254" t="e">
        <v>#N/A</v>
      </c>
      <c r="FU254" t="e">
        <v>#N/A</v>
      </c>
      <c r="FW254" t="e">
        <v>#N/A</v>
      </c>
      <c r="FY254" t="e">
        <v>#N/A</v>
      </c>
      <c r="GA254" t="e">
        <v>#N/A</v>
      </c>
      <c r="GC254" t="e">
        <v>#N/A</v>
      </c>
      <c r="GE254" t="e">
        <v>#N/A</v>
      </c>
      <c r="GG254" t="e">
        <v>#N/A</v>
      </c>
      <c r="GI254" t="e">
        <v>#N/A</v>
      </c>
      <c r="GK254" t="e">
        <v>#N/A</v>
      </c>
      <c r="GM254" t="e">
        <v>#N/A</v>
      </c>
      <c r="GO254" t="e">
        <v>#N/A</v>
      </c>
      <c r="GQ254" t="e">
        <v>#N/A</v>
      </c>
      <c r="GS254" t="e">
        <v>#N/A</v>
      </c>
      <c r="GU254" t="e">
        <v>#N/A</v>
      </c>
      <c r="GW254" t="e">
        <v>#N/A</v>
      </c>
      <c r="GY254" t="e">
        <v>#N/A</v>
      </c>
      <c r="HA254" t="e">
        <v>#N/A</v>
      </c>
      <c r="HC254">
        <v>0</v>
      </c>
      <c r="HD254">
        <v>0</v>
      </c>
      <c r="HE254">
        <v>0</v>
      </c>
      <c r="HF254">
        <v>0</v>
      </c>
      <c r="HG254">
        <v>0</v>
      </c>
      <c r="HH254">
        <v>0</v>
      </c>
      <c r="HI254">
        <v>0</v>
      </c>
      <c r="HJ254">
        <v>0</v>
      </c>
      <c r="HM254">
        <v>0</v>
      </c>
      <c r="HN254">
        <v>0</v>
      </c>
      <c r="HO254">
        <v>0</v>
      </c>
      <c r="HP254">
        <v>0</v>
      </c>
      <c r="HQ254">
        <v>0</v>
      </c>
      <c r="HR254">
        <v>0</v>
      </c>
      <c r="HS254">
        <v>0</v>
      </c>
      <c r="HT254">
        <v>0</v>
      </c>
      <c r="HW254">
        <v>0</v>
      </c>
      <c r="HX254">
        <v>0</v>
      </c>
      <c r="HY254">
        <v>0</v>
      </c>
      <c r="HZ254">
        <v>0</v>
      </c>
      <c r="IA254">
        <v>3930.6</v>
      </c>
      <c r="IB254">
        <v>3632.9</v>
      </c>
      <c r="IC254">
        <v>3795.5</v>
      </c>
      <c r="ID254">
        <v>0</v>
      </c>
      <c r="IE254">
        <v>0</v>
      </c>
      <c r="IF254">
        <v>3548.5</v>
      </c>
      <c r="IG254">
        <v>3395.2</v>
      </c>
      <c r="IH254">
        <v>3395.4</v>
      </c>
      <c r="II254">
        <v>3302.3</v>
      </c>
      <c r="IJ254">
        <v>3172.8</v>
      </c>
      <c r="IK254">
        <v>0</v>
      </c>
      <c r="IL254">
        <v>0</v>
      </c>
      <c r="IM254">
        <v>0</v>
      </c>
      <c r="IN254">
        <v>0</v>
      </c>
      <c r="IO254">
        <v>123.4</v>
      </c>
      <c r="IP254">
        <v>405.2</v>
      </c>
      <c r="IQ254">
        <v>418.7</v>
      </c>
      <c r="IR254">
        <v>0</v>
      </c>
      <c r="IS254">
        <v>0</v>
      </c>
      <c r="IT254">
        <v>0</v>
      </c>
      <c r="IU254">
        <v>0</v>
      </c>
      <c r="IV254">
        <v>396</v>
      </c>
      <c r="IW254">
        <v>0</v>
      </c>
      <c r="IX254">
        <v>0</v>
      </c>
      <c r="IZ254">
        <v>0</v>
      </c>
      <c r="JA254">
        <v>65.5</v>
      </c>
      <c r="JB254">
        <v>443.5</v>
      </c>
      <c r="JC254">
        <v>0</v>
      </c>
      <c r="JD254">
        <v>0</v>
      </c>
      <c r="JE254">
        <v>0</v>
      </c>
      <c r="JF254">
        <v>0</v>
      </c>
      <c r="JG254">
        <v>0</v>
      </c>
      <c r="JH254">
        <v>0</v>
      </c>
      <c r="JI254">
        <v>0</v>
      </c>
      <c r="JJ254">
        <v>0</v>
      </c>
      <c r="JK254">
        <v>0</v>
      </c>
      <c r="JL254">
        <v>0</v>
      </c>
      <c r="JM254">
        <v>0</v>
      </c>
      <c r="JN254">
        <v>0</v>
      </c>
      <c r="JO254">
        <v>0</v>
      </c>
      <c r="JP254">
        <v>0</v>
      </c>
      <c r="JQ254">
        <v>0</v>
      </c>
      <c r="JR254">
        <v>0</v>
      </c>
      <c r="JS254">
        <v>0</v>
      </c>
      <c r="JT254">
        <v>0</v>
      </c>
      <c r="JU254">
        <v>0</v>
      </c>
      <c r="JV254">
        <v>0</v>
      </c>
      <c r="JW254">
        <v>0</v>
      </c>
      <c r="JX254">
        <v>0</v>
      </c>
      <c r="JY254">
        <v>0</v>
      </c>
      <c r="JZ254">
        <v>0</v>
      </c>
      <c r="KA254">
        <v>0</v>
      </c>
      <c r="KB254">
        <v>0</v>
      </c>
      <c r="KC254">
        <v>0</v>
      </c>
      <c r="KD254">
        <v>0</v>
      </c>
      <c r="KE254">
        <v>0</v>
      </c>
      <c r="KF254">
        <v>0</v>
      </c>
      <c r="KI254">
        <v>344.6</v>
      </c>
      <c r="KJ254">
        <v>350.8</v>
      </c>
      <c r="KK254">
        <v>22.1</v>
      </c>
      <c r="KL254">
        <v>379.3</v>
      </c>
      <c r="KM254">
        <v>241.4</v>
      </c>
      <c r="KN254">
        <v>0</v>
      </c>
      <c r="KO254">
        <v>0</v>
      </c>
      <c r="KP254">
        <v>57.3</v>
      </c>
      <c r="KQ254">
        <v>224.4</v>
      </c>
      <c r="KR254">
        <v>338.3</v>
      </c>
      <c r="KS254">
        <v>215.8</v>
      </c>
      <c r="KT254">
        <v>40.700000000000003</v>
      </c>
      <c r="KW254">
        <v>2154.5</v>
      </c>
      <c r="KX254">
        <v>1255.7</v>
      </c>
      <c r="KY254">
        <v>1630.1</v>
      </c>
      <c r="KZ254">
        <v>1246.9000000000001</v>
      </c>
      <c r="LB254">
        <v>78.099999999999994</v>
      </c>
      <c r="LC254">
        <v>77.7</v>
      </c>
    </row>
    <row r="255" spans="1:315" ht="18" thickBot="1">
      <c r="A255" s="245"/>
      <c r="B255" s="570"/>
      <c r="C255" s="88"/>
      <c r="D255" s="274"/>
      <c r="E255" s="437">
        <v>0</v>
      </c>
      <c r="F255" s="191">
        <v>0</v>
      </c>
      <c r="G255" s="427">
        <v>3413.8</v>
      </c>
      <c r="H255" s="155"/>
      <c r="I255">
        <v>735</v>
      </c>
      <c r="K255">
        <v>1973.1000000000001</v>
      </c>
      <c r="L255" s="4">
        <v>221.60000000000002</v>
      </c>
      <c r="M255" s="4">
        <v>54.9</v>
      </c>
      <c r="N255" s="4">
        <v>1989.7</v>
      </c>
      <c r="P255">
        <v>0</v>
      </c>
      <c r="Q255">
        <v>238.29999999999998</v>
      </c>
      <c r="R255">
        <v>0</v>
      </c>
      <c r="S255">
        <v>0</v>
      </c>
      <c r="T255">
        <v>368.5</v>
      </c>
      <c r="W255">
        <v>720.3</v>
      </c>
      <c r="X255">
        <v>1411.5</v>
      </c>
      <c r="Y255">
        <v>96.5</v>
      </c>
      <c r="AA255">
        <v>859.6</v>
      </c>
      <c r="AB255">
        <v>1577.6000000000001</v>
      </c>
      <c r="AE255">
        <v>1330</v>
      </c>
      <c r="AF255">
        <v>1025.5</v>
      </c>
      <c r="AH255">
        <v>509.9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1349.3</v>
      </c>
      <c r="AO255">
        <v>786.40000000000009</v>
      </c>
      <c r="AP255">
        <v>0</v>
      </c>
      <c r="AQ255">
        <v>68.3</v>
      </c>
      <c r="AR255">
        <v>234.9</v>
      </c>
      <c r="AS255">
        <v>600.40000000000009</v>
      </c>
      <c r="AU255">
        <v>985.69999999999993</v>
      </c>
      <c r="AW255">
        <v>792</v>
      </c>
      <c r="AX255">
        <v>1988.5</v>
      </c>
      <c r="AZ255">
        <v>763.5</v>
      </c>
      <c r="BA255">
        <v>0</v>
      </c>
      <c r="BB255">
        <v>0</v>
      </c>
      <c r="BC255">
        <v>1935.3</v>
      </c>
      <c r="BD255">
        <v>1006.5</v>
      </c>
      <c r="BE255">
        <v>0</v>
      </c>
      <c r="BF255">
        <v>0</v>
      </c>
      <c r="BG255">
        <v>0</v>
      </c>
      <c r="BH255">
        <v>1662.6</v>
      </c>
      <c r="BJ255">
        <v>0</v>
      </c>
      <c r="BK255">
        <v>0</v>
      </c>
      <c r="BL255">
        <v>1038.9000000000001</v>
      </c>
      <c r="BM255">
        <v>1101</v>
      </c>
      <c r="BO255">
        <v>1276.8000000000002</v>
      </c>
      <c r="BQ255">
        <v>0</v>
      </c>
      <c r="BR255">
        <v>270.7</v>
      </c>
      <c r="BS255">
        <v>230.5</v>
      </c>
      <c r="BT255">
        <v>472.3</v>
      </c>
      <c r="BU255">
        <v>537.29999999999995</v>
      </c>
      <c r="BV255">
        <v>346.3</v>
      </c>
      <c r="BW255">
        <v>386.2</v>
      </c>
      <c r="BX255">
        <v>767</v>
      </c>
      <c r="BY255">
        <v>757.2</v>
      </c>
      <c r="BZ255">
        <v>1037.2</v>
      </c>
      <c r="CA255">
        <v>1227.0999999999999</v>
      </c>
      <c r="CB255">
        <v>1232.0999999999999</v>
      </c>
      <c r="CC255">
        <v>1701.5</v>
      </c>
      <c r="CD255">
        <v>0</v>
      </c>
      <c r="CG255">
        <v>1385.3</v>
      </c>
      <c r="CJ255">
        <v>1630.2999999999997</v>
      </c>
      <c r="CM255">
        <v>1184.2</v>
      </c>
      <c r="CO255">
        <v>1248.0999999999999</v>
      </c>
      <c r="CQ255">
        <v>1435.3</v>
      </c>
      <c r="CR255">
        <v>798.2</v>
      </c>
      <c r="CS255">
        <v>923.8</v>
      </c>
      <c r="CT255">
        <v>0</v>
      </c>
      <c r="CU255">
        <v>0</v>
      </c>
      <c r="CV255">
        <v>0</v>
      </c>
      <c r="CW255">
        <v>0</v>
      </c>
      <c r="CX255">
        <v>163.69999999999999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I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G255" t="e">
        <v>#N/A</v>
      </c>
      <c r="FI255" t="e">
        <v>#N/A</v>
      </c>
      <c r="FK255" t="e">
        <v>#N/A</v>
      </c>
      <c r="FM255" t="e">
        <v>#N/A</v>
      </c>
      <c r="FO255" t="e">
        <v>#N/A</v>
      </c>
      <c r="FQ255" t="e">
        <v>#N/A</v>
      </c>
      <c r="FS255" t="e">
        <v>#N/A</v>
      </c>
      <c r="FU255" t="e">
        <v>#N/A</v>
      </c>
      <c r="FW255" t="e">
        <v>#N/A</v>
      </c>
      <c r="FY255" t="e">
        <v>#N/A</v>
      </c>
      <c r="GA255" t="e">
        <v>#N/A</v>
      </c>
      <c r="GC255" t="e">
        <v>#N/A</v>
      </c>
      <c r="GE255" t="e">
        <v>#N/A</v>
      </c>
      <c r="GG255" t="e">
        <v>#N/A</v>
      </c>
      <c r="GI255" t="e">
        <v>#N/A</v>
      </c>
      <c r="GK255" t="e">
        <v>#N/A</v>
      </c>
      <c r="GM255" t="e">
        <v>#N/A</v>
      </c>
      <c r="GO255" t="e">
        <v>#N/A</v>
      </c>
      <c r="GQ255" t="e">
        <v>#N/A</v>
      </c>
      <c r="GS255" t="e">
        <v>#N/A</v>
      </c>
      <c r="GU255" t="e">
        <v>#N/A</v>
      </c>
      <c r="GW255" t="e">
        <v>#N/A</v>
      </c>
      <c r="GY255" t="e">
        <v>#N/A</v>
      </c>
      <c r="HA255" t="e">
        <v>#N/A</v>
      </c>
      <c r="HC255">
        <v>0</v>
      </c>
      <c r="HD255">
        <v>0</v>
      </c>
      <c r="HE255">
        <v>0</v>
      </c>
      <c r="HF255">
        <v>0</v>
      </c>
      <c r="HG255">
        <v>0</v>
      </c>
      <c r="HH255">
        <v>0</v>
      </c>
      <c r="HI255">
        <v>0</v>
      </c>
      <c r="HJ255">
        <v>0</v>
      </c>
      <c r="HM255">
        <v>0</v>
      </c>
      <c r="HN255">
        <v>0</v>
      </c>
      <c r="HO255">
        <v>0</v>
      </c>
      <c r="HP255">
        <v>0</v>
      </c>
      <c r="HQ255">
        <v>0</v>
      </c>
      <c r="HR255">
        <v>0</v>
      </c>
      <c r="HS255">
        <v>0</v>
      </c>
      <c r="HT255">
        <v>0</v>
      </c>
      <c r="HW255">
        <v>0</v>
      </c>
      <c r="HX255">
        <v>0</v>
      </c>
      <c r="HY255">
        <v>0</v>
      </c>
      <c r="HZ255">
        <v>0</v>
      </c>
      <c r="IA255">
        <v>3930.6</v>
      </c>
      <c r="IB255">
        <v>3632.9</v>
      </c>
      <c r="IC255">
        <v>3795.5</v>
      </c>
      <c r="ID255">
        <v>0</v>
      </c>
      <c r="IE255">
        <v>0</v>
      </c>
      <c r="IF255">
        <v>3548.5</v>
      </c>
      <c r="IG255">
        <v>3395.2</v>
      </c>
      <c r="IH255">
        <v>3395.4</v>
      </c>
      <c r="II255">
        <v>3302.3</v>
      </c>
      <c r="IJ255">
        <v>3172.8</v>
      </c>
      <c r="IK255">
        <v>0</v>
      </c>
      <c r="IL255">
        <v>0</v>
      </c>
      <c r="IM255">
        <v>0</v>
      </c>
      <c r="IN255">
        <v>0</v>
      </c>
      <c r="IO255">
        <v>123.4</v>
      </c>
      <c r="IP255">
        <v>405.2</v>
      </c>
      <c r="IQ255">
        <v>418.7</v>
      </c>
      <c r="IR255">
        <v>0</v>
      </c>
      <c r="IS255">
        <v>0</v>
      </c>
      <c r="IT255">
        <v>0</v>
      </c>
      <c r="IU255">
        <v>0</v>
      </c>
      <c r="IV255">
        <v>396</v>
      </c>
      <c r="IW255">
        <v>0</v>
      </c>
      <c r="IX255">
        <v>0</v>
      </c>
      <c r="IZ255">
        <v>0</v>
      </c>
      <c r="JA255">
        <v>65.5</v>
      </c>
      <c r="JB255">
        <v>443.5</v>
      </c>
      <c r="JC255">
        <v>0</v>
      </c>
      <c r="JD255">
        <v>0</v>
      </c>
      <c r="JE255">
        <v>0</v>
      </c>
      <c r="JF255">
        <v>0</v>
      </c>
      <c r="JG255">
        <v>0</v>
      </c>
      <c r="JH255">
        <v>0</v>
      </c>
      <c r="JI255">
        <v>0</v>
      </c>
      <c r="JJ255">
        <v>0</v>
      </c>
      <c r="JK255">
        <v>0</v>
      </c>
      <c r="JL255">
        <v>0</v>
      </c>
      <c r="JM255">
        <v>0</v>
      </c>
      <c r="JN255">
        <v>0</v>
      </c>
      <c r="JO255">
        <v>0</v>
      </c>
      <c r="JP255">
        <v>0</v>
      </c>
      <c r="JQ255">
        <v>0</v>
      </c>
      <c r="JR255">
        <v>0</v>
      </c>
      <c r="JS255">
        <v>0</v>
      </c>
      <c r="JT255">
        <v>0</v>
      </c>
      <c r="JU255">
        <v>0</v>
      </c>
      <c r="JV255">
        <v>0</v>
      </c>
      <c r="JW255">
        <v>0</v>
      </c>
      <c r="JX255">
        <v>0</v>
      </c>
      <c r="JY255">
        <v>0</v>
      </c>
      <c r="JZ255">
        <v>0</v>
      </c>
      <c r="KA255">
        <v>0</v>
      </c>
      <c r="KB255">
        <v>0</v>
      </c>
      <c r="KC255">
        <v>0</v>
      </c>
      <c r="KD255">
        <v>0</v>
      </c>
      <c r="KE255">
        <v>0</v>
      </c>
      <c r="KF255">
        <v>0</v>
      </c>
      <c r="KI255">
        <v>344.6</v>
      </c>
      <c r="KJ255">
        <v>350.8</v>
      </c>
      <c r="KK255">
        <v>22.1</v>
      </c>
      <c r="KL255">
        <v>379.3</v>
      </c>
      <c r="KM255">
        <v>241.4</v>
      </c>
      <c r="KN255">
        <v>0</v>
      </c>
      <c r="KO255">
        <v>0</v>
      </c>
      <c r="KP255">
        <v>57.3</v>
      </c>
      <c r="KQ255">
        <v>224.4</v>
      </c>
      <c r="KR255">
        <v>338.3</v>
      </c>
      <c r="KS255">
        <v>215.8</v>
      </c>
      <c r="KT255">
        <v>40.700000000000003</v>
      </c>
      <c r="KW255">
        <v>2154.5</v>
      </c>
      <c r="KX255">
        <v>1255.7</v>
      </c>
      <c r="KY255">
        <v>1630.1</v>
      </c>
      <c r="KZ255">
        <v>1246.9000000000001</v>
      </c>
      <c r="LB255">
        <v>78.099999999999994</v>
      </c>
      <c r="LC255">
        <v>77.7</v>
      </c>
    </row>
    <row r="256" spans="1:315" ht="18" thickBot="1">
      <c r="A256" s="245"/>
      <c r="B256" s="245" t="s">
        <v>554</v>
      </c>
      <c r="C256" s="88" t="s">
        <v>626</v>
      </c>
      <c r="D256" s="274" t="s">
        <v>817</v>
      </c>
      <c r="E256" s="443">
        <v>0</v>
      </c>
      <c r="F256" s="191">
        <v>0</v>
      </c>
      <c r="G256" s="427">
        <v>3413.8</v>
      </c>
      <c r="H256" s="155"/>
      <c r="I256">
        <v>735</v>
      </c>
      <c r="K256">
        <v>1973.1000000000001</v>
      </c>
      <c r="L256" s="4">
        <v>221.60000000000002</v>
      </c>
      <c r="M256" s="4">
        <v>54.9</v>
      </c>
      <c r="N256" s="4">
        <v>1989.7</v>
      </c>
      <c r="P256">
        <v>0</v>
      </c>
      <c r="Q256">
        <v>238.29999999999998</v>
      </c>
      <c r="R256">
        <v>0</v>
      </c>
      <c r="S256">
        <v>0</v>
      </c>
      <c r="T256">
        <v>368.5</v>
      </c>
      <c r="W256">
        <v>720.3</v>
      </c>
      <c r="X256">
        <v>1411.5</v>
      </c>
      <c r="Y256">
        <v>96.5</v>
      </c>
      <c r="AA256">
        <v>859.6</v>
      </c>
      <c r="AB256">
        <v>1577.6000000000001</v>
      </c>
      <c r="AE256">
        <v>1330</v>
      </c>
      <c r="AF256">
        <v>1025.5</v>
      </c>
      <c r="AH256">
        <v>509.9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1349.3</v>
      </c>
      <c r="AO256">
        <v>786.40000000000009</v>
      </c>
      <c r="AP256">
        <v>0</v>
      </c>
      <c r="AQ256">
        <v>68.3</v>
      </c>
      <c r="AR256">
        <v>234.9</v>
      </c>
      <c r="AS256">
        <v>600.40000000000009</v>
      </c>
      <c r="AU256">
        <v>985.69999999999993</v>
      </c>
      <c r="AW256">
        <v>792</v>
      </c>
      <c r="AX256">
        <v>1988.5</v>
      </c>
      <c r="AZ256">
        <v>763.5</v>
      </c>
      <c r="BA256">
        <v>0</v>
      </c>
      <c r="BB256">
        <v>0</v>
      </c>
      <c r="BC256">
        <v>1935.3</v>
      </c>
      <c r="BD256">
        <v>1006.5</v>
      </c>
      <c r="BE256">
        <v>0</v>
      </c>
      <c r="BF256">
        <v>0</v>
      </c>
      <c r="BG256">
        <v>0</v>
      </c>
      <c r="BH256">
        <v>1662.6</v>
      </c>
      <c r="BJ256">
        <v>0</v>
      </c>
      <c r="BK256">
        <v>0</v>
      </c>
      <c r="BL256">
        <v>1038.9000000000001</v>
      </c>
      <c r="BM256">
        <v>1101</v>
      </c>
      <c r="BO256">
        <v>1276.8000000000002</v>
      </c>
      <c r="BQ256">
        <v>0</v>
      </c>
      <c r="BR256">
        <v>270.7</v>
      </c>
      <c r="BS256">
        <v>230.5</v>
      </c>
      <c r="BT256">
        <v>472.3</v>
      </c>
      <c r="BU256">
        <v>537.29999999999995</v>
      </c>
      <c r="BV256">
        <v>346.3</v>
      </c>
      <c r="BW256">
        <v>386.2</v>
      </c>
      <c r="BX256">
        <v>767</v>
      </c>
      <c r="BY256">
        <v>757.2</v>
      </c>
      <c r="BZ256">
        <v>1037.2</v>
      </c>
      <c r="CA256">
        <v>1227.0999999999999</v>
      </c>
      <c r="CB256">
        <v>1232.0999999999999</v>
      </c>
      <c r="CC256">
        <v>1701.5</v>
      </c>
      <c r="CD256">
        <v>0</v>
      </c>
      <c r="CG256">
        <v>1385.3</v>
      </c>
      <c r="CJ256">
        <v>1630.2999999999997</v>
      </c>
      <c r="CM256">
        <v>1184.2</v>
      </c>
      <c r="CO256">
        <v>1248.0999999999999</v>
      </c>
      <c r="CQ256">
        <v>1435.3</v>
      </c>
      <c r="CR256">
        <v>798.2</v>
      </c>
      <c r="CS256">
        <v>923.8</v>
      </c>
      <c r="CT256">
        <v>0</v>
      </c>
      <c r="CU256">
        <v>0</v>
      </c>
      <c r="CV256">
        <v>0</v>
      </c>
      <c r="CW256">
        <v>0</v>
      </c>
      <c r="CX256">
        <v>163.69999999999999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I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G256" t="e">
        <v>#N/A</v>
      </c>
      <c r="FI256" t="e">
        <v>#N/A</v>
      </c>
      <c r="FK256" t="e">
        <v>#N/A</v>
      </c>
      <c r="FM256" t="e">
        <v>#N/A</v>
      </c>
      <c r="FO256" t="e">
        <v>#N/A</v>
      </c>
      <c r="FQ256" t="e">
        <v>#N/A</v>
      </c>
      <c r="FS256" t="e">
        <v>#N/A</v>
      </c>
      <c r="FU256" t="e">
        <v>#N/A</v>
      </c>
      <c r="FW256" t="e">
        <v>#N/A</v>
      </c>
      <c r="FY256" t="e">
        <v>#N/A</v>
      </c>
      <c r="GA256" t="e">
        <v>#N/A</v>
      </c>
      <c r="GC256" t="e">
        <v>#N/A</v>
      </c>
      <c r="GE256" t="e">
        <v>#N/A</v>
      </c>
      <c r="GG256" t="e">
        <v>#N/A</v>
      </c>
      <c r="GI256" t="e">
        <v>#N/A</v>
      </c>
      <c r="GK256" t="e">
        <v>#N/A</v>
      </c>
      <c r="GM256" t="e">
        <v>#N/A</v>
      </c>
      <c r="GO256" t="e">
        <v>#N/A</v>
      </c>
      <c r="GQ256" t="e">
        <v>#N/A</v>
      </c>
      <c r="GS256" t="e">
        <v>#N/A</v>
      </c>
      <c r="GU256" t="e">
        <v>#N/A</v>
      </c>
      <c r="GW256" t="e">
        <v>#N/A</v>
      </c>
      <c r="GY256" t="e">
        <v>#N/A</v>
      </c>
      <c r="HA256" t="e">
        <v>#N/A</v>
      </c>
      <c r="HC256">
        <v>0</v>
      </c>
      <c r="HD256">
        <v>0</v>
      </c>
      <c r="HE256">
        <v>0</v>
      </c>
      <c r="HF256">
        <v>0</v>
      </c>
      <c r="HG256">
        <v>0</v>
      </c>
      <c r="HH256">
        <v>0</v>
      </c>
      <c r="HI256">
        <v>0</v>
      </c>
      <c r="HJ256">
        <v>0</v>
      </c>
      <c r="HM256">
        <v>0</v>
      </c>
      <c r="HN256">
        <v>0</v>
      </c>
      <c r="HO256">
        <v>0</v>
      </c>
      <c r="HP256">
        <v>0</v>
      </c>
      <c r="HQ256">
        <v>0</v>
      </c>
      <c r="HR256">
        <v>0</v>
      </c>
      <c r="HS256">
        <v>0</v>
      </c>
      <c r="HT256">
        <v>0</v>
      </c>
      <c r="HW256">
        <v>0</v>
      </c>
      <c r="HX256">
        <v>0</v>
      </c>
      <c r="HY256">
        <v>0</v>
      </c>
      <c r="HZ256">
        <v>0</v>
      </c>
      <c r="IA256">
        <v>3930.6</v>
      </c>
      <c r="IB256">
        <v>3632.9</v>
      </c>
      <c r="IC256">
        <v>3795.5</v>
      </c>
      <c r="ID256">
        <v>0</v>
      </c>
      <c r="IE256">
        <v>0</v>
      </c>
      <c r="IF256">
        <v>3548.5</v>
      </c>
      <c r="IG256">
        <v>3395.2</v>
      </c>
      <c r="IH256">
        <v>3395.4</v>
      </c>
      <c r="II256">
        <v>3302.3</v>
      </c>
      <c r="IJ256">
        <v>3172.8</v>
      </c>
      <c r="IK256">
        <v>0</v>
      </c>
      <c r="IL256">
        <v>0</v>
      </c>
      <c r="IM256">
        <v>0</v>
      </c>
      <c r="IN256">
        <v>0</v>
      </c>
      <c r="IO256">
        <v>123.4</v>
      </c>
      <c r="IP256">
        <v>405.2</v>
      </c>
      <c r="IQ256">
        <v>418.7</v>
      </c>
      <c r="IR256">
        <v>0</v>
      </c>
      <c r="IS256">
        <v>0</v>
      </c>
      <c r="IT256">
        <v>0</v>
      </c>
      <c r="IU256">
        <v>0</v>
      </c>
      <c r="IV256">
        <v>396</v>
      </c>
      <c r="IW256">
        <v>0</v>
      </c>
      <c r="IX256">
        <v>0</v>
      </c>
      <c r="IZ256">
        <v>0</v>
      </c>
      <c r="JA256">
        <v>65.5</v>
      </c>
      <c r="JB256">
        <v>443.5</v>
      </c>
      <c r="JC256">
        <v>0</v>
      </c>
      <c r="JD256">
        <v>0</v>
      </c>
      <c r="JE256">
        <v>0</v>
      </c>
      <c r="JF256">
        <v>0</v>
      </c>
      <c r="JG256">
        <v>0</v>
      </c>
      <c r="JH256">
        <v>0</v>
      </c>
      <c r="JI256">
        <v>0</v>
      </c>
      <c r="JJ256">
        <v>0</v>
      </c>
      <c r="JK256">
        <v>0</v>
      </c>
      <c r="JL256">
        <v>0</v>
      </c>
      <c r="JM256">
        <v>0</v>
      </c>
      <c r="JN256">
        <v>0</v>
      </c>
      <c r="JO256">
        <v>0</v>
      </c>
      <c r="JP256">
        <v>0</v>
      </c>
      <c r="JQ256">
        <v>0</v>
      </c>
      <c r="JR256">
        <v>0</v>
      </c>
      <c r="JS256">
        <v>0</v>
      </c>
      <c r="JT256">
        <v>0</v>
      </c>
      <c r="JU256">
        <v>0</v>
      </c>
      <c r="JV256">
        <v>0</v>
      </c>
      <c r="JW256">
        <v>0</v>
      </c>
      <c r="JX256">
        <v>0</v>
      </c>
      <c r="JY256">
        <v>0</v>
      </c>
      <c r="JZ256">
        <v>0</v>
      </c>
      <c r="KA256">
        <v>0</v>
      </c>
      <c r="KB256">
        <v>0</v>
      </c>
      <c r="KC256">
        <v>0</v>
      </c>
      <c r="KD256">
        <v>0</v>
      </c>
      <c r="KE256">
        <v>0</v>
      </c>
      <c r="KF256">
        <v>0</v>
      </c>
      <c r="KI256">
        <v>344.6</v>
      </c>
      <c r="KJ256">
        <v>350.8</v>
      </c>
      <c r="KK256">
        <v>22.1</v>
      </c>
      <c r="KL256">
        <v>379.3</v>
      </c>
      <c r="KM256">
        <v>241.4</v>
      </c>
      <c r="KN256">
        <v>0</v>
      </c>
      <c r="KO256">
        <v>0</v>
      </c>
      <c r="KP256">
        <v>57.3</v>
      </c>
      <c r="KQ256">
        <v>224.4</v>
      </c>
      <c r="KR256">
        <v>338.3</v>
      </c>
      <c r="KS256">
        <v>215.8</v>
      </c>
      <c r="KT256">
        <v>40.700000000000003</v>
      </c>
      <c r="KW256">
        <v>2154.5</v>
      </c>
      <c r="KX256">
        <v>1255.7</v>
      </c>
      <c r="KY256">
        <v>1630.1</v>
      </c>
      <c r="KZ256">
        <v>1246.9000000000001</v>
      </c>
      <c r="LB256">
        <v>78.099999999999994</v>
      </c>
      <c r="LC256">
        <v>77.7</v>
      </c>
    </row>
    <row r="257" spans="1:315" ht="18" thickBot="1">
      <c r="A257" s="245"/>
      <c r="B257" s="570" t="s">
        <v>555</v>
      </c>
      <c r="C257" s="88" t="s">
        <v>627</v>
      </c>
      <c r="D257" s="274" t="s">
        <v>769</v>
      </c>
      <c r="E257" s="446">
        <v>0</v>
      </c>
      <c r="F257" s="191">
        <v>0</v>
      </c>
      <c r="G257" s="427">
        <v>3413.8</v>
      </c>
      <c r="H257" s="155"/>
      <c r="I257">
        <v>735</v>
      </c>
      <c r="K257">
        <v>1973.1000000000001</v>
      </c>
      <c r="L257" s="4">
        <v>221.60000000000002</v>
      </c>
      <c r="M257" s="4">
        <v>54.9</v>
      </c>
      <c r="N257" s="4">
        <v>1989.7</v>
      </c>
      <c r="P257">
        <v>0</v>
      </c>
      <c r="Q257">
        <v>238.29999999999998</v>
      </c>
      <c r="R257">
        <v>0</v>
      </c>
      <c r="S257">
        <v>0</v>
      </c>
      <c r="T257">
        <v>368.5</v>
      </c>
      <c r="W257">
        <v>720.3</v>
      </c>
      <c r="X257">
        <v>1411.5</v>
      </c>
      <c r="Y257">
        <v>96.5</v>
      </c>
      <c r="AA257">
        <v>859.6</v>
      </c>
      <c r="AB257">
        <v>1577.6000000000001</v>
      </c>
      <c r="AE257">
        <v>1330</v>
      </c>
      <c r="AF257">
        <v>1025.5</v>
      </c>
      <c r="AH257">
        <v>509.9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1349.3</v>
      </c>
      <c r="AO257">
        <v>786.40000000000009</v>
      </c>
      <c r="AP257">
        <v>0</v>
      </c>
      <c r="AQ257">
        <v>68.3</v>
      </c>
      <c r="AR257">
        <v>234.9</v>
      </c>
      <c r="AS257">
        <v>600.40000000000009</v>
      </c>
      <c r="AU257">
        <v>985.69999999999993</v>
      </c>
      <c r="AW257">
        <v>792</v>
      </c>
      <c r="AX257">
        <v>1988.5</v>
      </c>
      <c r="AZ257">
        <v>763.5</v>
      </c>
      <c r="BA257">
        <v>0</v>
      </c>
      <c r="BB257">
        <v>0</v>
      </c>
      <c r="BC257">
        <v>1935.3</v>
      </c>
      <c r="BD257">
        <v>1006.5</v>
      </c>
      <c r="BE257">
        <v>0</v>
      </c>
      <c r="BF257">
        <v>0</v>
      </c>
      <c r="BG257">
        <v>0</v>
      </c>
      <c r="BH257">
        <v>1662.6</v>
      </c>
      <c r="BJ257">
        <v>0</v>
      </c>
      <c r="BK257">
        <v>0</v>
      </c>
      <c r="BL257">
        <v>1038.9000000000001</v>
      </c>
      <c r="BM257">
        <v>1101</v>
      </c>
      <c r="BO257">
        <v>1276.8000000000002</v>
      </c>
      <c r="BQ257">
        <v>0</v>
      </c>
      <c r="BR257">
        <v>270.7</v>
      </c>
      <c r="BS257">
        <v>230.5</v>
      </c>
      <c r="BT257">
        <v>472.3</v>
      </c>
      <c r="BU257">
        <v>537.29999999999995</v>
      </c>
      <c r="BV257">
        <v>346.3</v>
      </c>
      <c r="BW257">
        <v>386.2</v>
      </c>
      <c r="BX257">
        <v>767</v>
      </c>
      <c r="BY257">
        <v>757.2</v>
      </c>
      <c r="BZ257">
        <v>1037.2</v>
      </c>
      <c r="CA257">
        <v>1227.0999999999999</v>
      </c>
      <c r="CB257">
        <v>1232.0999999999999</v>
      </c>
      <c r="CC257">
        <v>1701.5</v>
      </c>
      <c r="CD257">
        <v>0</v>
      </c>
      <c r="CG257">
        <v>1385.3</v>
      </c>
      <c r="CJ257">
        <v>1630.2999999999997</v>
      </c>
      <c r="CM257">
        <v>1184.2</v>
      </c>
      <c r="CO257">
        <v>1248.0999999999999</v>
      </c>
      <c r="CQ257">
        <v>1435.3</v>
      </c>
      <c r="CR257">
        <v>798.2</v>
      </c>
      <c r="CS257">
        <v>923.8</v>
      </c>
      <c r="CT257">
        <v>0</v>
      </c>
      <c r="CU257">
        <v>0</v>
      </c>
      <c r="CV257">
        <v>0</v>
      </c>
      <c r="CW257">
        <v>0</v>
      </c>
      <c r="CX257">
        <v>163.69999999999999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I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G257" t="e">
        <v>#N/A</v>
      </c>
      <c r="FI257" t="e">
        <v>#N/A</v>
      </c>
      <c r="FK257" t="e">
        <v>#N/A</v>
      </c>
      <c r="FM257" t="e">
        <v>#N/A</v>
      </c>
      <c r="FO257" t="e">
        <v>#N/A</v>
      </c>
      <c r="FQ257" t="e">
        <v>#N/A</v>
      </c>
      <c r="FS257" t="e">
        <v>#N/A</v>
      </c>
      <c r="FU257" t="e">
        <v>#N/A</v>
      </c>
      <c r="FW257" t="e">
        <v>#N/A</v>
      </c>
      <c r="FY257" t="e">
        <v>#N/A</v>
      </c>
      <c r="GA257" t="e">
        <v>#N/A</v>
      </c>
      <c r="GC257" t="e">
        <v>#N/A</v>
      </c>
      <c r="GE257" t="e">
        <v>#N/A</v>
      </c>
      <c r="GG257" t="e">
        <v>#N/A</v>
      </c>
      <c r="GI257" t="e">
        <v>#N/A</v>
      </c>
      <c r="GK257" t="e">
        <v>#N/A</v>
      </c>
      <c r="GM257" t="e">
        <v>#N/A</v>
      </c>
      <c r="GO257" t="e">
        <v>#N/A</v>
      </c>
      <c r="GQ257" t="e">
        <v>#N/A</v>
      </c>
      <c r="GS257" t="e">
        <v>#N/A</v>
      </c>
      <c r="GU257" t="e">
        <v>#N/A</v>
      </c>
      <c r="GW257" t="e">
        <v>#N/A</v>
      </c>
      <c r="GY257" t="e">
        <v>#N/A</v>
      </c>
      <c r="HA257" t="e">
        <v>#N/A</v>
      </c>
      <c r="HC257">
        <v>0</v>
      </c>
      <c r="HD257">
        <v>0</v>
      </c>
      <c r="HE257">
        <v>0</v>
      </c>
      <c r="HF257">
        <v>0</v>
      </c>
      <c r="HG257">
        <v>0</v>
      </c>
      <c r="HH257">
        <v>0</v>
      </c>
      <c r="HI257">
        <v>0</v>
      </c>
      <c r="HJ257">
        <v>0</v>
      </c>
      <c r="HM257">
        <v>0</v>
      </c>
      <c r="HN257">
        <v>0</v>
      </c>
      <c r="HO257">
        <v>0</v>
      </c>
      <c r="HP257">
        <v>0</v>
      </c>
      <c r="HQ257">
        <v>0</v>
      </c>
      <c r="HR257">
        <v>0</v>
      </c>
      <c r="HS257">
        <v>0</v>
      </c>
      <c r="HT257">
        <v>0</v>
      </c>
      <c r="HW257">
        <v>0</v>
      </c>
      <c r="HX257">
        <v>0</v>
      </c>
      <c r="HY257">
        <v>0</v>
      </c>
      <c r="HZ257">
        <v>0</v>
      </c>
      <c r="IA257">
        <v>3930.6</v>
      </c>
      <c r="IB257">
        <v>3632.9</v>
      </c>
      <c r="IC257">
        <v>3795.5</v>
      </c>
      <c r="ID257">
        <v>0</v>
      </c>
      <c r="IE257">
        <v>0</v>
      </c>
      <c r="IF257">
        <v>3548.5</v>
      </c>
      <c r="IG257">
        <v>3395.2</v>
      </c>
      <c r="IH257">
        <v>3395.4</v>
      </c>
      <c r="II257">
        <v>3302.3</v>
      </c>
      <c r="IJ257">
        <v>3172.8</v>
      </c>
      <c r="IK257">
        <v>0</v>
      </c>
      <c r="IL257">
        <v>0</v>
      </c>
      <c r="IM257">
        <v>0</v>
      </c>
      <c r="IN257">
        <v>0</v>
      </c>
      <c r="IO257">
        <v>123.4</v>
      </c>
      <c r="IP257">
        <v>405.2</v>
      </c>
      <c r="IQ257">
        <v>418.7</v>
      </c>
      <c r="IR257">
        <v>0</v>
      </c>
      <c r="IS257">
        <v>0</v>
      </c>
      <c r="IT257">
        <v>0</v>
      </c>
      <c r="IU257">
        <v>0</v>
      </c>
      <c r="IV257">
        <v>396</v>
      </c>
      <c r="IW257">
        <v>0</v>
      </c>
      <c r="IX257">
        <v>0</v>
      </c>
      <c r="IZ257">
        <v>0</v>
      </c>
      <c r="JA257">
        <v>65.5</v>
      </c>
      <c r="JB257">
        <v>443.5</v>
      </c>
      <c r="JC257">
        <v>0</v>
      </c>
      <c r="JD257">
        <v>0</v>
      </c>
      <c r="JE257">
        <v>0</v>
      </c>
      <c r="JF257">
        <v>0</v>
      </c>
      <c r="JG257">
        <v>0</v>
      </c>
      <c r="JH257">
        <v>0</v>
      </c>
      <c r="JI257">
        <v>0</v>
      </c>
      <c r="JJ257">
        <v>0</v>
      </c>
      <c r="JK257">
        <v>0</v>
      </c>
      <c r="JL257">
        <v>0</v>
      </c>
      <c r="JM257">
        <v>0</v>
      </c>
      <c r="JN257">
        <v>0</v>
      </c>
      <c r="JO257">
        <v>0</v>
      </c>
      <c r="JP257">
        <v>0</v>
      </c>
      <c r="JQ257">
        <v>0</v>
      </c>
      <c r="JR257">
        <v>0</v>
      </c>
      <c r="JS257">
        <v>0</v>
      </c>
      <c r="JT257">
        <v>0</v>
      </c>
      <c r="JU257">
        <v>0</v>
      </c>
      <c r="JV257">
        <v>0</v>
      </c>
      <c r="JW257">
        <v>0</v>
      </c>
      <c r="JX257">
        <v>0</v>
      </c>
      <c r="JY257">
        <v>0</v>
      </c>
      <c r="JZ257">
        <v>0</v>
      </c>
      <c r="KA257">
        <v>0</v>
      </c>
      <c r="KB257">
        <v>0</v>
      </c>
      <c r="KC257">
        <v>0</v>
      </c>
      <c r="KD257">
        <v>0</v>
      </c>
      <c r="KE257">
        <v>0</v>
      </c>
      <c r="KF257">
        <v>0</v>
      </c>
      <c r="KI257">
        <v>344.6</v>
      </c>
      <c r="KJ257">
        <v>350.8</v>
      </c>
      <c r="KK257">
        <v>22.1</v>
      </c>
      <c r="KL257">
        <v>379.3</v>
      </c>
      <c r="KM257">
        <v>241.4</v>
      </c>
      <c r="KN257">
        <v>0</v>
      </c>
      <c r="KO257">
        <v>0</v>
      </c>
      <c r="KP257">
        <v>57.3</v>
      </c>
      <c r="KQ257">
        <v>224.4</v>
      </c>
      <c r="KR257">
        <v>338.3</v>
      </c>
      <c r="KS257">
        <v>215.8</v>
      </c>
      <c r="KT257">
        <v>40.700000000000003</v>
      </c>
      <c r="KW257">
        <v>2154.5</v>
      </c>
      <c r="KX257">
        <v>1255.7</v>
      </c>
      <c r="KY257">
        <v>1630.1</v>
      </c>
      <c r="KZ257">
        <v>1246.9000000000001</v>
      </c>
      <c r="LB257">
        <v>78.099999999999994</v>
      </c>
      <c r="LC257">
        <v>77.7</v>
      </c>
    </row>
    <row r="258" spans="1:315" ht="18" thickBot="1">
      <c r="A258" s="245"/>
      <c r="B258" s="570"/>
      <c r="C258" s="88"/>
      <c r="D258" s="274"/>
      <c r="E258" s="434">
        <v>0</v>
      </c>
      <c r="F258" s="240">
        <v>0</v>
      </c>
      <c r="G258" s="427">
        <v>3413.8</v>
      </c>
      <c r="H258" s="155"/>
      <c r="I258">
        <v>735</v>
      </c>
      <c r="K258">
        <v>1973.1000000000001</v>
      </c>
      <c r="L258" s="4">
        <v>221.60000000000002</v>
      </c>
      <c r="M258" s="4">
        <v>54.9</v>
      </c>
      <c r="N258" s="4">
        <v>1989.7</v>
      </c>
      <c r="P258">
        <v>0</v>
      </c>
      <c r="Q258">
        <v>238.29999999999998</v>
      </c>
      <c r="R258">
        <v>0</v>
      </c>
      <c r="S258">
        <v>0</v>
      </c>
      <c r="T258">
        <v>368.5</v>
      </c>
      <c r="W258">
        <v>720.3</v>
      </c>
      <c r="X258">
        <v>1411.5</v>
      </c>
      <c r="Y258">
        <v>96.5</v>
      </c>
      <c r="AA258">
        <v>859.6</v>
      </c>
      <c r="AB258">
        <v>1577.6000000000001</v>
      </c>
      <c r="AE258">
        <v>1330</v>
      </c>
      <c r="AF258">
        <v>1025.5</v>
      </c>
      <c r="AH258">
        <v>509.9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1349.3</v>
      </c>
      <c r="AO258">
        <v>786.40000000000009</v>
      </c>
      <c r="AP258">
        <v>0</v>
      </c>
      <c r="AQ258">
        <v>68.3</v>
      </c>
      <c r="AR258">
        <v>234.9</v>
      </c>
      <c r="AS258">
        <v>600.40000000000009</v>
      </c>
      <c r="AU258">
        <v>985.69999999999993</v>
      </c>
      <c r="AW258">
        <v>792</v>
      </c>
      <c r="AX258">
        <v>1988.5</v>
      </c>
      <c r="AZ258">
        <v>763.5</v>
      </c>
      <c r="BA258">
        <v>0</v>
      </c>
      <c r="BB258">
        <v>0</v>
      </c>
      <c r="BC258">
        <v>1935.3</v>
      </c>
      <c r="BD258">
        <v>1006.5</v>
      </c>
      <c r="BE258">
        <v>0</v>
      </c>
      <c r="BF258">
        <v>0</v>
      </c>
      <c r="BG258">
        <v>0</v>
      </c>
      <c r="BH258">
        <v>1662.6</v>
      </c>
      <c r="BJ258">
        <v>0</v>
      </c>
      <c r="BK258">
        <v>0</v>
      </c>
      <c r="BL258">
        <v>1038.9000000000001</v>
      </c>
      <c r="BM258">
        <v>1101</v>
      </c>
      <c r="BO258">
        <v>1276.8000000000002</v>
      </c>
      <c r="BQ258">
        <v>0</v>
      </c>
      <c r="BR258">
        <v>270.7</v>
      </c>
      <c r="BS258">
        <v>230.5</v>
      </c>
      <c r="BT258">
        <v>472.3</v>
      </c>
      <c r="BU258">
        <v>537.29999999999995</v>
      </c>
      <c r="BV258">
        <v>346.3</v>
      </c>
      <c r="BW258">
        <v>386.2</v>
      </c>
      <c r="BX258">
        <v>767</v>
      </c>
      <c r="BY258">
        <v>757.2</v>
      </c>
      <c r="BZ258">
        <v>1037.2</v>
      </c>
      <c r="CA258">
        <v>1227.0999999999999</v>
      </c>
      <c r="CB258">
        <v>1232.0999999999999</v>
      </c>
      <c r="CC258">
        <v>1701.5</v>
      </c>
      <c r="CD258">
        <v>0</v>
      </c>
      <c r="CG258">
        <v>1385.3</v>
      </c>
      <c r="CJ258">
        <v>1630.2999999999997</v>
      </c>
      <c r="CM258">
        <v>1184.2</v>
      </c>
      <c r="CO258">
        <v>1248.0999999999999</v>
      </c>
      <c r="CQ258">
        <v>1435.3</v>
      </c>
      <c r="CR258">
        <v>798.2</v>
      </c>
      <c r="CS258">
        <v>923.8</v>
      </c>
      <c r="CT258">
        <v>0</v>
      </c>
      <c r="CU258">
        <v>0</v>
      </c>
      <c r="CV258">
        <v>0</v>
      </c>
      <c r="CW258">
        <v>0</v>
      </c>
      <c r="CX258">
        <v>163.69999999999999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I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G258" t="e">
        <v>#N/A</v>
      </c>
      <c r="FI258" t="e">
        <v>#N/A</v>
      </c>
      <c r="FK258" t="e">
        <v>#N/A</v>
      </c>
      <c r="FM258" t="e">
        <v>#N/A</v>
      </c>
      <c r="FO258" t="e">
        <v>#N/A</v>
      </c>
      <c r="FQ258" t="e">
        <v>#N/A</v>
      </c>
      <c r="FS258" t="e">
        <v>#N/A</v>
      </c>
      <c r="FU258" t="e">
        <v>#N/A</v>
      </c>
      <c r="FW258" t="e">
        <v>#N/A</v>
      </c>
      <c r="FY258" t="e">
        <v>#N/A</v>
      </c>
      <c r="GA258" t="e">
        <v>#N/A</v>
      </c>
      <c r="GC258" t="e">
        <v>#N/A</v>
      </c>
      <c r="GE258" t="e">
        <v>#N/A</v>
      </c>
      <c r="GG258" t="e">
        <v>#N/A</v>
      </c>
      <c r="GI258" t="e">
        <v>#N/A</v>
      </c>
      <c r="GK258" t="e">
        <v>#N/A</v>
      </c>
      <c r="GM258" t="e">
        <v>#N/A</v>
      </c>
      <c r="GO258" t="e">
        <v>#N/A</v>
      </c>
      <c r="GQ258" t="e">
        <v>#N/A</v>
      </c>
      <c r="GS258" t="e">
        <v>#N/A</v>
      </c>
      <c r="GU258" t="e">
        <v>#N/A</v>
      </c>
      <c r="GW258" t="e">
        <v>#N/A</v>
      </c>
      <c r="GY258" t="e">
        <v>#N/A</v>
      </c>
      <c r="HA258" t="e">
        <v>#N/A</v>
      </c>
      <c r="HC258">
        <v>0</v>
      </c>
      <c r="HD258">
        <v>0</v>
      </c>
      <c r="HE258">
        <v>0</v>
      </c>
      <c r="HF258">
        <v>0</v>
      </c>
      <c r="HG258">
        <v>0</v>
      </c>
      <c r="HH258">
        <v>0</v>
      </c>
      <c r="HI258">
        <v>0</v>
      </c>
      <c r="HJ258">
        <v>0</v>
      </c>
      <c r="HM258">
        <v>0</v>
      </c>
      <c r="HN258">
        <v>0</v>
      </c>
      <c r="HO258">
        <v>0</v>
      </c>
      <c r="HP258">
        <v>0</v>
      </c>
      <c r="HQ258">
        <v>0</v>
      </c>
      <c r="HR258">
        <v>0</v>
      </c>
      <c r="HS258">
        <v>0</v>
      </c>
      <c r="HT258">
        <v>0</v>
      </c>
      <c r="HW258">
        <v>0</v>
      </c>
      <c r="HX258">
        <v>0</v>
      </c>
      <c r="HY258">
        <v>0</v>
      </c>
      <c r="HZ258">
        <v>0</v>
      </c>
      <c r="IA258">
        <v>3930.6</v>
      </c>
      <c r="IB258">
        <v>3632.9</v>
      </c>
      <c r="IC258">
        <v>3795.5</v>
      </c>
      <c r="ID258">
        <v>0</v>
      </c>
      <c r="IE258">
        <v>0</v>
      </c>
      <c r="IF258">
        <v>3548.5</v>
      </c>
      <c r="IG258">
        <v>3395.2</v>
      </c>
      <c r="IH258">
        <v>3395.4</v>
      </c>
      <c r="II258">
        <v>3302.3</v>
      </c>
      <c r="IJ258">
        <v>3172.8</v>
      </c>
      <c r="IK258">
        <v>0</v>
      </c>
      <c r="IL258">
        <v>0</v>
      </c>
      <c r="IM258">
        <v>0</v>
      </c>
      <c r="IN258">
        <v>0</v>
      </c>
      <c r="IO258">
        <v>123.4</v>
      </c>
      <c r="IP258">
        <v>405.2</v>
      </c>
      <c r="IQ258">
        <v>418.7</v>
      </c>
      <c r="IR258">
        <v>0</v>
      </c>
      <c r="IS258">
        <v>0</v>
      </c>
      <c r="IT258">
        <v>0</v>
      </c>
      <c r="IU258">
        <v>0</v>
      </c>
      <c r="IV258">
        <v>396</v>
      </c>
      <c r="IW258">
        <v>0</v>
      </c>
      <c r="IX258">
        <v>0</v>
      </c>
      <c r="IZ258">
        <v>0</v>
      </c>
      <c r="JA258">
        <v>65.5</v>
      </c>
      <c r="JB258">
        <v>443.5</v>
      </c>
      <c r="JC258">
        <v>0</v>
      </c>
      <c r="JD258">
        <v>0</v>
      </c>
      <c r="JE258">
        <v>0</v>
      </c>
      <c r="JF258">
        <v>0</v>
      </c>
      <c r="JG258">
        <v>0</v>
      </c>
      <c r="JH258">
        <v>0</v>
      </c>
      <c r="JI258">
        <v>0</v>
      </c>
      <c r="JJ258">
        <v>0</v>
      </c>
      <c r="JK258">
        <v>0</v>
      </c>
      <c r="JL258">
        <v>0</v>
      </c>
      <c r="JM258">
        <v>0</v>
      </c>
      <c r="JN258">
        <v>0</v>
      </c>
      <c r="JO258">
        <v>0</v>
      </c>
      <c r="JP258">
        <v>0</v>
      </c>
      <c r="JQ258">
        <v>0</v>
      </c>
      <c r="JR258">
        <v>0</v>
      </c>
      <c r="JS258">
        <v>0</v>
      </c>
      <c r="JT258">
        <v>0</v>
      </c>
      <c r="JU258">
        <v>0</v>
      </c>
      <c r="JV258">
        <v>0</v>
      </c>
      <c r="JW258">
        <v>0</v>
      </c>
      <c r="JX258">
        <v>0</v>
      </c>
      <c r="JY258">
        <v>0</v>
      </c>
      <c r="JZ258">
        <v>0</v>
      </c>
      <c r="KA258">
        <v>0</v>
      </c>
      <c r="KB258">
        <v>0</v>
      </c>
      <c r="KC258">
        <v>0</v>
      </c>
      <c r="KD258">
        <v>0</v>
      </c>
      <c r="KE258">
        <v>0</v>
      </c>
      <c r="KF258">
        <v>0</v>
      </c>
      <c r="KI258">
        <v>344.6</v>
      </c>
      <c r="KJ258">
        <v>350.8</v>
      </c>
      <c r="KK258">
        <v>22.1</v>
      </c>
      <c r="KL258">
        <v>379.3</v>
      </c>
      <c r="KM258">
        <v>241.4</v>
      </c>
      <c r="KN258">
        <v>0</v>
      </c>
      <c r="KO258">
        <v>0</v>
      </c>
      <c r="KP258">
        <v>57.3</v>
      </c>
      <c r="KQ258">
        <v>224.4</v>
      </c>
      <c r="KR258">
        <v>338.3</v>
      </c>
      <c r="KS258">
        <v>215.8</v>
      </c>
      <c r="KT258">
        <v>40.700000000000003</v>
      </c>
      <c r="KW258">
        <v>2154.5</v>
      </c>
      <c r="KX258">
        <v>1255.7</v>
      </c>
      <c r="KY258">
        <v>1630.1</v>
      </c>
      <c r="KZ258">
        <v>1246.9000000000001</v>
      </c>
      <c r="LB258">
        <v>78.099999999999994</v>
      </c>
      <c r="LC258">
        <v>77.7</v>
      </c>
    </row>
    <row r="259" spans="1:315" ht="18" thickBot="1">
      <c r="A259" s="245"/>
      <c r="B259" s="570"/>
      <c r="C259" s="88"/>
      <c r="D259" s="274"/>
      <c r="E259" s="437">
        <v>0</v>
      </c>
      <c r="F259" s="241">
        <v>0</v>
      </c>
      <c r="G259" s="427">
        <v>3413.8</v>
      </c>
      <c r="H259" s="155"/>
      <c r="I259">
        <v>735</v>
      </c>
      <c r="K259">
        <v>1973.1000000000001</v>
      </c>
      <c r="L259" s="4">
        <v>221.60000000000002</v>
      </c>
      <c r="M259" s="4">
        <v>54.9</v>
      </c>
      <c r="N259" s="4">
        <v>1989.7</v>
      </c>
      <c r="P259">
        <v>0</v>
      </c>
      <c r="Q259">
        <v>238.29999999999998</v>
      </c>
      <c r="R259">
        <v>0</v>
      </c>
      <c r="S259">
        <v>0</v>
      </c>
      <c r="T259">
        <v>368.5</v>
      </c>
      <c r="W259">
        <v>720.3</v>
      </c>
      <c r="X259">
        <v>1411.5</v>
      </c>
      <c r="Y259">
        <v>96.5</v>
      </c>
      <c r="AA259">
        <v>859.6</v>
      </c>
      <c r="AB259">
        <v>1577.6000000000001</v>
      </c>
      <c r="AE259">
        <v>1330</v>
      </c>
      <c r="AF259">
        <v>1025.5</v>
      </c>
      <c r="AH259">
        <v>509.9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1349.3</v>
      </c>
      <c r="AO259">
        <v>786.40000000000009</v>
      </c>
      <c r="AP259">
        <v>0</v>
      </c>
      <c r="AQ259">
        <v>68.3</v>
      </c>
      <c r="AR259">
        <v>234.9</v>
      </c>
      <c r="AS259">
        <v>600.40000000000009</v>
      </c>
      <c r="AU259">
        <v>985.69999999999993</v>
      </c>
      <c r="AW259">
        <v>792</v>
      </c>
      <c r="AX259">
        <v>1988.5</v>
      </c>
      <c r="AZ259">
        <v>763.5</v>
      </c>
      <c r="BA259">
        <v>0</v>
      </c>
      <c r="BB259">
        <v>0</v>
      </c>
      <c r="BC259">
        <v>1935.3</v>
      </c>
      <c r="BD259">
        <v>1006.5</v>
      </c>
      <c r="BE259">
        <v>0</v>
      </c>
      <c r="BF259">
        <v>0</v>
      </c>
      <c r="BG259">
        <v>0</v>
      </c>
      <c r="BH259">
        <v>1662.6</v>
      </c>
      <c r="BJ259">
        <v>0</v>
      </c>
      <c r="BK259">
        <v>0</v>
      </c>
      <c r="BL259">
        <v>1038.9000000000001</v>
      </c>
      <c r="BM259">
        <v>1101</v>
      </c>
      <c r="BO259">
        <v>1276.8000000000002</v>
      </c>
      <c r="BQ259">
        <v>0</v>
      </c>
      <c r="BR259">
        <v>270.7</v>
      </c>
      <c r="BS259">
        <v>230.5</v>
      </c>
      <c r="BT259">
        <v>472.3</v>
      </c>
      <c r="BU259">
        <v>537.29999999999995</v>
      </c>
      <c r="BV259">
        <v>346.3</v>
      </c>
      <c r="BW259">
        <v>386.2</v>
      </c>
      <c r="BX259">
        <v>767</v>
      </c>
      <c r="BY259">
        <v>757.2</v>
      </c>
      <c r="BZ259">
        <v>1037.2</v>
      </c>
      <c r="CA259">
        <v>1227.0999999999999</v>
      </c>
      <c r="CB259">
        <v>1232.0999999999999</v>
      </c>
      <c r="CC259">
        <v>1701.5</v>
      </c>
      <c r="CD259">
        <v>0</v>
      </c>
      <c r="CG259">
        <v>1385.3</v>
      </c>
      <c r="CJ259">
        <v>1630.2999999999997</v>
      </c>
      <c r="CM259">
        <v>1184.2</v>
      </c>
      <c r="CO259">
        <v>1248.0999999999999</v>
      </c>
      <c r="CQ259">
        <v>1435.3</v>
      </c>
      <c r="CR259">
        <v>798.2</v>
      </c>
      <c r="CS259">
        <v>923.8</v>
      </c>
      <c r="CT259">
        <v>0</v>
      </c>
      <c r="CU259">
        <v>0</v>
      </c>
      <c r="CV259">
        <v>0</v>
      </c>
      <c r="CW259">
        <v>0</v>
      </c>
      <c r="CX259">
        <v>163.69999999999999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I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G259" t="e">
        <v>#N/A</v>
      </c>
      <c r="FI259" t="e">
        <v>#N/A</v>
      </c>
      <c r="FK259" t="e">
        <v>#N/A</v>
      </c>
      <c r="FM259" t="e">
        <v>#N/A</v>
      </c>
      <c r="FO259" t="e">
        <v>#N/A</v>
      </c>
      <c r="FQ259" t="e">
        <v>#N/A</v>
      </c>
      <c r="FS259" t="e">
        <v>#N/A</v>
      </c>
      <c r="FU259" t="e">
        <v>#N/A</v>
      </c>
      <c r="FW259" t="e">
        <v>#N/A</v>
      </c>
      <c r="FY259" t="e">
        <v>#N/A</v>
      </c>
      <c r="GA259" t="e">
        <v>#N/A</v>
      </c>
      <c r="GC259" t="e">
        <v>#N/A</v>
      </c>
      <c r="GE259" t="e">
        <v>#N/A</v>
      </c>
      <c r="GG259" t="e">
        <v>#N/A</v>
      </c>
      <c r="GI259" t="e">
        <v>#N/A</v>
      </c>
      <c r="GK259" t="e">
        <v>#N/A</v>
      </c>
      <c r="GM259" t="e">
        <v>#N/A</v>
      </c>
      <c r="GO259" t="e">
        <v>#N/A</v>
      </c>
      <c r="GQ259" t="e">
        <v>#N/A</v>
      </c>
      <c r="GS259" t="e">
        <v>#N/A</v>
      </c>
      <c r="GU259" t="e">
        <v>#N/A</v>
      </c>
      <c r="GW259" t="e">
        <v>#N/A</v>
      </c>
      <c r="GY259" t="e">
        <v>#N/A</v>
      </c>
      <c r="HA259" t="e">
        <v>#N/A</v>
      </c>
      <c r="HC259">
        <v>0</v>
      </c>
      <c r="HD259">
        <v>0</v>
      </c>
      <c r="HE259">
        <v>0</v>
      </c>
      <c r="HF259">
        <v>0</v>
      </c>
      <c r="HG259">
        <v>0</v>
      </c>
      <c r="HH259">
        <v>0</v>
      </c>
      <c r="HI259">
        <v>0</v>
      </c>
      <c r="HJ259">
        <v>0</v>
      </c>
      <c r="HM259">
        <v>0</v>
      </c>
      <c r="HN259">
        <v>0</v>
      </c>
      <c r="HO259">
        <v>0</v>
      </c>
      <c r="HP259">
        <v>0</v>
      </c>
      <c r="HQ259">
        <v>0</v>
      </c>
      <c r="HR259">
        <v>0</v>
      </c>
      <c r="HS259">
        <v>0</v>
      </c>
      <c r="HT259">
        <v>0</v>
      </c>
      <c r="HW259">
        <v>0</v>
      </c>
      <c r="HX259">
        <v>0</v>
      </c>
      <c r="HY259">
        <v>0</v>
      </c>
      <c r="HZ259">
        <v>0</v>
      </c>
      <c r="IA259">
        <v>3930.6</v>
      </c>
      <c r="IB259">
        <v>3632.9</v>
      </c>
      <c r="IC259">
        <v>3795.5</v>
      </c>
      <c r="ID259">
        <v>0</v>
      </c>
      <c r="IE259">
        <v>0</v>
      </c>
      <c r="IF259">
        <v>3548.5</v>
      </c>
      <c r="IG259">
        <v>3395.2</v>
      </c>
      <c r="IH259">
        <v>3395.4</v>
      </c>
      <c r="II259">
        <v>3302.3</v>
      </c>
      <c r="IJ259">
        <v>3172.8</v>
      </c>
      <c r="IK259">
        <v>0</v>
      </c>
      <c r="IL259">
        <v>0</v>
      </c>
      <c r="IM259">
        <v>0</v>
      </c>
      <c r="IN259">
        <v>0</v>
      </c>
      <c r="IO259">
        <v>123.4</v>
      </c>
      <c r="IP259">
        <v>405.2</v>
      </c>
      <c r="IQ259">
        <v>418.7</v>
      </c>
      <c r="IR259">
        <v>0</v>
      </c>
      <c r="IS259">
        <v>0</v>
      </c>
      <c r="IT259">
        <v>0</v>
      </c>
      <c r="IU259">
        <v>0</v>
      </c>
      <c r="IV259">
        <v>396</v>
      </c>
      <c r="IW259">
        <v>0</v>
      </c>
      <c r="IX259">
        <v>0</v>
      </c>
      <c r="IZ259">
        <v>0</v>
      </c>
      <c r="JA259">
        <v>65.5</v>
      </c>
      <c r="JB259">
        <v>443.5</v>
      </c>
      <c r="JC259">
        <v>0</v>
      </c>
      <c r="JD259">
        <v>0</v>
      </c>
      <c r="JE259">
        <v>0</v>
      </c>
      <c r="JF259">
        <v>0</v>
      </c>
      <c r="JG259">
        <v>0</v>
      </c>
      <c r="JH259">
        <v>0</v>
      </c>
      <c r="JI259">
        <v>0</v>
      </c>
      <c r="JJ259">
        <v>0</v>
      </c>
      <c r="JK259">
        <v>0</v>
      </c>
      <c r="JL259">
        <v>0</v>
      </c>
      <c r="JM259">
        <v>0</v>
      </c>
      <c r="JN259">
        <v>0</v>
      </c>
      <c r="JO259">
        <v>0</v>
      </c>
      <c r="JP259">
        <v>0</v>
      </c>
      <c r="JQ259">
        <v>0</v>
      </c>
      <c r="JR259">
        <v>0</v>
      </c>
      <c r="JS259">
        <v>0</v>
      </c>
      <c r="JT259">
        <v>0</v>
      </c>
      <c r="JU259">
        <v>0</v>
      </c>
      <c r="JV259">
        <v>0</v>
      </c>
      <c r="JW259">
        <v>0</v>
      </c>
      <c r="JX259">
        <v>0</v>
      </c>
      <c r="JY259">
        <v>0</v>
      </c>
      <c r="JZ259">
        <v>0</v>
      </c>
      <c r="KA259">
        <v>0</v>
      </c>
      <c r="KB259">
        <v>0</v>
      </c>
      <c r="KC259">
        <v>0</v>
      </c>
      <c r="KD259">
        <v>0</v>
      </c>
      <c r="KE259">
        <v>0</v>
      </c>
      <c r="KF259">
        <v>0</v>
      </c>
      <c r="KI259">
        <v>344.6</v>
      </c>
      <c r="KJ259">
        <v>350.8</v>
      </c>
      <c r="KK259">
        <v>22.1</v>
      </c>
      <c r="KL259">
        <v>379.3</v>
      </c>
      <c r="KM259">
        <v>241.4</v>
      </c>
      <c r="KN259">
        <v>0</v>
      </c>
      <c r="KO259">
        <v>0</v>
      </c>
      <c r="KP259">
        <v>57.3</v>
      </c>
      <c r="KQ259">
        <v>224.4</v>
      </c>
      <c r="KR259">
        <v>338.3</v>
      </c>
      <c r="KS259">
        <v>215.8</v>
      </c>
      <c r="KT259">
        <v>40.700000000000003</v>
      </c>
      <c r="KW259">
        <v>2154.5</v>
      </c>
      <c r="KX259">
        <v>1255.7</v>
      </c>
      <c r="KY259">
        <v>1630.1</v>
      </c>
      <c r="KZ259">
        <v>1246.9000000000001</v>
      </c>
      <c r="LB259">
        <v>78.099999999999994</v>
      </c>
      <c r="LC259">
        <v>77.7</v>
      </c>
    </row>
    <row r="260" spans="1:315" ht="18" thickBot="1">
      <c r="A260" s="245"/>
      <c r="B260" s="245" t="s">
        <v>556</v>
      </c>
      <c r="C260" s="88" t="s">
        <v>628</v>
      </c>
      <c r="D260" s="274" t="s">
        <v>818</v>
      </c>
      <c r="E260" s="443">
        <v>0</v>
      </c>
      <c r="F260" s="191">
        <v>0</v>
      </c>
      <c r="G260" s="427">
        <v>3413.8</v>
      </c>
      <c r="H260" s="155"/>
      <c r="I260">
        <v>735</v>
      </c>
      <c r="K260">
        <v>1973.1000000000001</v>
      </c>
      <c r="L260" s="4">
        <v>221.60000000000002</v>
      </c>
      <c r="M260" s="4">
        <v>54.9</v>
      </c>
      <c r="N260" s="4">
        <v>1989.7</v>
      </c>
      <c r="P260">
        <v>0</v>
      </c>
      <c r="Q260">
        <v>238.29999999999998</v>
      </c>
      <c r="R260">
        <v>0</v>
      </c>
      <c r="S260">
        <v>0</v>
      </c>
      <c r="T260">
        <v>368.5</v>
      </c>
      <c r="W260">
        <v>720.3</v>
      </c>
      <c r="X260">
        <v>1411.5</v>
      </c>
      <c r="Y260">
        <v>96.5</v>
      </c>
      <c r="AA260">
        <v>859.6</v>
      </c>
      <c r="AB260">
        <v>1577.6000000000001</v>
      </c>
      <c r="AE260">
        <v>1330</v>
      </c>
      <c r="AF260">
        <v>1025.5</v>
      </c>
      <c r="AH260">
        <v>509.9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1349.3</v>
      </c>
      <c r="AO260">
        <v>786.40000000000009</v>
      </c>
      <c r="AP260">
        <v>0</v>
      </c>
      <c r="AQ260">
        <v>68.3</v>
      </c>
      <c r="AR260">
        <v>234.9</v>
      </c>
      <c r="AS260">
        <v>600.40000000000009</v>
      </c>
      <c r="AU260">
        <v>985.69999999999993</v>
      </c>
      <c r="AW260">
        <v>792</v>
      </c>
      <c r="AX260">
        <v>1988.5</v>
      </c>
      <c r="AZ260">
        <v>763.5</v>
      </c>
      <c r="BA260">
        <v>0</v>
      </c>
      <c r="BB260">
        <v>0</v>
      </c>
      <c r="BC260">
        <v>1935.3</v>
      </c>
      <c r="BD260">
        <v>1006.5</v>
      </c>
      <c r="BE260">
        <v>0</v>
      </c>
      <c r="BF260">
        <v>0</v>
      </c>
      <c r="BG260">
        <v>0</v>
      </c>
      <c r="BH260">
        <v>1662.6</v>
      </c>
      <c r="BJ260">
        <v>0</v>
      </c>
      <c r="BK260">
        <v>0</v>
      </c>
      <c r="BL260">
        <v>1038.9000000000001</v>
      </c>
      <c r="BM260">
        <v>1101</v>
      </c>
      <c r="BO260">
        <v>1276.8000000000002</v>
      </c>
      <c r="BQ260">
        <v>0</v>
      </c>
      <c r="BR260">
        <v>270.7</v>
      </c>
      <c r="BS260">
        <v>230.5</v>
      </c>
      <c r="BT260">
        <v>472.3</v>
      </c>
      <c r="BU260">
        <v>537.29999999999995</v>
      </c>
      <c r="BV260">
        <v>346.3</v>
      </c>
      <c r="BW260">
        <v>386.2</v>
      </c>
      <c r="BX260">
        <v>767</v>
      </c>
      <c r="BY260">
        <v>757.2</v>
      </c>
      <c r="BZ260">
        <v>1037.2</v>
      </c>
      <c r="CA260">
        <v>1227.0999999999999</v>
      </c>
      <c r="CB260">
        <v>1232.0999999999999</v>
      </c>
      <c r="CC260">
        <v>1701.5</v>
      </c>
      <c r="CD260">
        <v>0</v>
      </c>
      <c r="CG260">
        <v>1385.3</v>
      </c>
      <c r="CJ260">
        <v>1630.2999999999997</v>
      </c>
      <c r="CM260">
        <v>1184.2</v>
      </c>
      <c r="CO260">
        <v>1248.0999999999999</v>
      </c>
      <c r="CQ260">
        <v>1435.3</v>
      </c>
      <c r="CR260">
        <v>798.2</v>
      </c>
      <c r="CS260">
        <v>923.8</v>
      </c>
      <c r="CT260">
        <v>0</v>
      </c>
      <c r="CU260">
        <v>0</v>
      </c>
      <c r="CV260">
        <v>0</v>
      </c>
      <c r="CW260">
        <v>0</v>
      </c>
      <c r="CX260">
        <v>163.69999999999999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I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0</v>
      </c>
      <c r="ET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G260" t="e">
        <v>#N/A</v>
      </c>
      <c r="FI260" t="e">
        <v>#N/A</v>
      </c>
      <c r="FK260" t="e">
        <v>#N/A</v>
      </c>
      <c r="FM260" t="e">
        <v>#N/A</v>
      </c>
      <c r="FO260" t="e">
        <v>#N/A</v>
      </c>
      <c r="FQ260" t="e">
        <v>#N/A</v>
      </c>
      <c r="FS260" t="e">
        <v>#N/A</v>
      </c>
      <c r="FU260" t="e">
        <v>#N/A</v>
      </c>
      <c r="FW260" t="e">
        <v>#N/A</v>
      </c>
      <c r="FY260" t="e">
        <v>#N/A</v>
      </c>
      <c r="GA260" t="e">
        <v>#N/A</v>
      </c>
      <c r="GC260" t="e">
        <v>#N/A</v>
      </c>
      <c r="GE260" t="e">
        <v>#N/A</v>
      </c>
      <c r="GG260" t="e">
        <v>#N/A</v>
      </c>
      <c r="GI260" t="e">
        <v>#N/A</v>
      </c>
      <c r="GK260" t="e">
        <v>#N/A</v>
      </c>
      <c r="GM260" t="e">
        <v>#N/A</v>
      </c>
      <c r="GO260" t="e">
        <v>#N/A</v>
      </c>
      <c r="GQ260" t="e">
        <v>#N/A</v>
      </c>
      <c r="GS260" t="e">
        <v>#N/A</v>
      </c>
      <c r="GU260" t="e">
        <v>#N/A</v>
      </c>
      <c r="GW260" t="e">
        <v>#N/A</v>
      </c>
      <c r="GY260" t="e">
        <v>#N/A</v>
      </c>
      <c r="HA260" t="e">
        <v>#N/A</v>
      </c>
      <c r="HC260">
        <v>0</v>
      </c>
      <c r="HD260">
        <v>0</v>
      </c>
      <c r="HE260">
        <v>0</v>
      </c>
      <c r="HF260">
        <v>0</v>
      </c>
      <c r="HG260">
        <v>0</v>
      </c>
      <c r="HH260">
        <v>0</v>
      </c>
      <c r="HI260">
        <v>0</v>
      </c>
      <c r="HJ260">
        <v>0</v>
      </c>
      <c r="HM260">
        <v>0</v>
      </c>
      <c r="HN260">
        <v>0</v>
      </c>
      <c r="HO260">
        <v>0</v>
      </c>
      <c r="HP260">
        <v>0</v>
      </c>
      <c r="HQ260">
        <v>0</v>
      </c>
      <c r="HR260">
        <v>0</v>
      </c>
      <c r="HS260">
        <v>0</v>
      </c>
      <c r="HT260">
        <v>0</v>
      </c>
      <c r="HW260">
        <v>0</v>
      </c>
      <c r="HX260">
        <v>0</v>
      </c>
      <c r="HY260">
        <v>0</v>
      </c>
      <c r="HZ260">
        <v>0</v>
      </c>
      <c r="IA260">
        <v>3930.6</v>
      </c>
      <c r="IB260">
        <v>3632.9</v>
      </c>
      <c r="IC260">
        <v>3795.5</v>
      </c>
      <c r="ID260">
        <v>0</v>
      </c>
      <c r="IE260">
        <v>0</v>
      </c>
      <c r="IF260">
        <v>3548.5</v>
      </c>
      <c r="IG260">
        <v>3395.2</v>
      </c>
      <c r="IH260">
        <v>3395.4</v>
      </c>
      <c r="II260">
        <v>3302.3</v>
      </c>
      <c r="IJ260">
        <v>3172.8</v>
      </c>
      <c r="IK260">
        <v>0</v>
      </c>
      <c r="IL260">
        <v>0</v>
      </c>
      <c r="IM260">
        <v>0</v>
      </c>
      <c r="IN260">
        <v>0</v>
      </c>
      <c r="IO260">
        <v>123.4</v>
      </c>
      <c r="IP260">
        <v>405.2</v>
      </c>
      <c r="IQ260">
        <v>418.7</v>
      </c>
      <c r="IR260">
        <v>0</v>
      </c>
      <c r="IS260">
        <v>0</v>
      </c>
      <c r="IT260">
        <v>0</v>
      </c>
      <c r="IU260">
        <v>0</v>
      </c>
      <c r="IV260">
        <v>396</v>
      </c>
      <c r="IW260">
        <v>0</v>
      </c>
      <c r="IX260">
        <v>0</v>
      </c>
      <c r="IZ260">
        <v>0</v>
      </c>
      <c r="JA260">
        <v>65.5</v>
      </c>
      <c r="JB260">
        <v>443.5</v>
      </c>
      <c r="JC260">
        <v>0</v>
      </c>
      <c r="JD260">
        <v>0</v>
      </c>
      <c r="JE260">
        <v>0</v>
      </c>
      <c r="JF260">
        <v>0</v>
      </c>
      <c r="JG260">
        <v>0</v>
      </c>
      <c r="JH260">
        <v>0</v>
      </c>
      <c r="JI260">
        <v>0</v>
      </c>
      <c r="JJ260">
        <v>0</v>
      </c>
      <c r="JK260">
        <v>0</v>
      </c>
      <c r="JL260">
        <v>0</v>
      </c>
      <c r="JM260">
        <v>0</v>
      </c>
      <c r="JN260">
        <v>0</v>
      </c>
      <c r="JO260">
        <v>0</v>
      </c>
      <c r="JP260">
        <v>0</v>
      </c>
      <c r="JQ260">
        <v>0</v>
      </c>
      <c r="JR260">
        <v>0</v>
      </c>
      <c r="JS260">
        <v>0</v>
      </c>
      <c r="JT260">
        <v>0</v>
      </c>
      <c r="JU260">
        <v>0</v>
      </c>
      <c r="JV260">
        <v>0</v>
      </c>
      <c r="JW260">
        <v>0</v>
      </c>
      <c r="JX260">
        <v>0</v>
      </c>
      <c r="JY260">
        <v>0</v>
      </c>
      <c r="JZ260">
        <v>0</v>
      </c>
      <c r="KA260">
        <v>0</v>
      </c>
      <c r="KB260">
        <v>0</v>
      </c>
      <c r="KC260">
        <v>0</v>
      </c>
      <c r="KD260">
        <v>0</v>
      </c>
      <c r="KE260">
        <v>0</v>
      </c>
      <c r="KF260">
        <v>0</v>
      </c>
      <c r="KI260">
        <v>344.6</v>
      </c>
      <c r="KJ260">
        <v>350.8</v>
      </c>
      <c r="KK260">
        <v>22.1</v>
      </c>
      <c r="KL260">
        <v>379.3</v>
      </c>
      <c r="KM260">
        <v>241.4</v>
      </c>
      <c r="KN260">
        <v>0</v>
      </c>
      <c r="KO260">
        <v>0</v>
      </c>
      <c r="KP260">
        <v>57.3</v>
      </c>
      <c r="KQ260">
        <v>224.4</v>
      </c>
      <c r="KR260">
        <v>338.3</v>
      </c>
      <c r="KS260">
        <v>215.8</v>
      </c>
      <c r="KT260">
        <v>40.700000000000003</v>
      </c>
      <c r="KW260">
        <v>2154.5</v>
      </c>
      <c r="KX260">
        <v>1255.7</v>
      </c>
      <c r="KY260">
        <v>1630.1</v>
      </c>
      <c r="KZ260">
        <v>1246.9000000000001</v>
      </c>
      <c r="LB260">
        <v>78.099999999999994</v>
      </c>
      <c r="LC260">
        <v>77.7</v>
      </c>
    </row>
    <row r="261" spans="1:315" ht="18" thickBot="1">
      <c r="A261" s="246"/>
      <c r="B261" s="246" t="s">
        <v>557</v>
      </c>
      <c r="C261" s="329" t="s">
        <v>629</v>
      </c>
      <c r="D261" s="275" t="s">
        <v>812</v>
      </c>
      <c r="E261" s="447">
        <v>0</v>
      </c>
      <c r="F261" s="193">
        <v>0</v>
      </c>
      <c r="G261" s="427">
        <v>3413.8</v>
      </c>
      <c r="H261" s="155"/>
      <c r="I261">
        <v>735</v>
      </c>
      <c r="K261">
        <v>1973.1000000000001</v>
      </c>
      <c r="L261" s="4">
        <v>221.60000000000002</v>
      </c>
      <c r="M261" s="4">
        <v>54.9</v>
      </c>
      <c r="N261" s="4">
        <v>1989.7</v>
      </c>
      <c r="P261">
        <v>0</v>
      </c>
      <c r="Q261">
        <v>238.29999999999998</v>
      </c>
      <c r="R261">
        <v>0</v>
      </c>
      <c r="S261">
        <v>0</v>
      </c>
      <c r="T261">
        <v>368.5</v>
      </c>
      <c r="W261">
        <v>720.3</v>
      </c>
      <c r="X261">
        <v>1411.5</v>
      </c>
      <c r="Y261">
        <v>96.5</v>
      </c>
      <c r="AA261">
        <v>859.6</v>
      </c>
      <c r="AB261">
        <v>1577.6000000000001</v>
      </c>
      <c r="AE261">
        <v>1330</v>
      </c>
      <c r="AF261">
        <v>1025.5</v>
      </c>
      <c r="AH261">
        <v>509.9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1349.3</v>
      </c>
      <c r="AO261">
        <v>786.40000000000009</v>
      </c>
      <c r="AP261">
        <v>0</v>
      </c>
      <c r="AQ261">
        <v>68.3</v>
      </c>
      <c r="AR261">
        <v>234.9</v>
      </c>
      <c r="AS261">
        <v>600.40000000000009</v>
      </c>
      <c r="AU261">
        <v>985.69999999999993</v>
      </c>
      <c r="AW261">
        <v>792</v>
      </c>
      <c r="AX261">
        <v>1988.5</v>
      </c>
      <c r="AZ261">
        <v>763.5</v>
      </c>
      <c r="BA261">
        <v>0</v>
      </c>
      <c r="BB261">
        <v>0</v>
      </c>
      <c r="BC261">
        <v>1935.3</v>
      </c>
      <c r="BD261">
        <v>1006.5</v>
      </c>
      <c r="BE261">
        <v>0</v>
      </c>
      <c r="BF261">
        <v>0</v>
      </c>
      <c r="BG261">
        <v>0</v>
      </c>
      <c r="BH261">
        <v>1662.6</v>
      </c>
      <c r="BJ261">
        <v>0</v>
      </c>
      <c r="BK261">
        <v>0</v>
      </c>
      <c r="BL261">
        <v>1038.9000000000001</v>
      </c>
      <c r="BM261">
        <v>1101</v>
      </c>
      <c r="BO261">
        <v>1276.8000000000002</v>
      </c>
      <c r="BQ261">
        <v>0</v>
      </c>
      <c r="BR261">
        <v>270.7</v>
      </c>
      <c r="BS261">
        <v>230.5</v>
      </c>
      <c r="BT261">
        <v>472.3</v>
      </c>
      <c r="BU261">
        <v>537.29999999999995</v>
      </c>
      <c r="BV261">
        <v>346.3</v>
      </c>
      <c r="BW261">
        <v>386.2</v>
      </c>
      <c r="BX261">
        <v>767</v>
      </c>
      <c r="BY261">
        <v>757.2</v>
      </c>
      <c r="BZ261">
        <v>1037.2</v>
      </c>
      <c r="CA261">
        <v>1227.0999999999999</v>
      </c>
      <c r="CB261">
        <v>1232.0999999999999</v>
      </c>
      <c r="CC261">
        <v>1701.5</v>
      </c>
      <c r="CD261">
        <v>0</v>
      </c>
      <c r="CG261">
        <v>1385.3</v>
      </c>
      <c r="CJ261">
        <v>1630.2999999999997</v>
      </c>
      <c r="CM261">
        <v>1184.2</v>
      </c>
      <c r="CO261">
        <v>1248.0999999999999</v>
      </c>
      <c r="CQ261">
        <v>1435.3</v>
      </c>
      <c r="CR261">
        <v>798.2</v>
      </c>
      <c r="CS261">
        <v>923.8</v>
      </c>
      <c r="CT261">
        <v>0</v>
      </c>
      <c r="CU261">
        <v>0</v>
      </c>
      <c r="CV261">
        <v>0</v>
      </c>
      <c r="CW261">
        <v>0</v>
      </c>
      <c r="CX261">
        <v>163.69999999999999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I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G261" t="e">
        <v>#N/A</v>
      </c>
      <c r="FI261" t="e">
        <v>#N/A</v>
      </c>
      <c r="FK261" t="e">
        <v>#N/A</v>
      </c>
      <c r="FM261" t="e">
        <v>#N/A</v>
      </c>
      <c r="FO261" t="e">
        <v>#N/A</v>
      </c>
      <c r="FQ261" t="e">
        <v>#N/A</v>
      </c>
      <c r="FS261" t="e">
        <v>#N/A</v>
      </c>
      <c r="FU261" t="e">
        <v>#N/A</v>
      </c>
      <c r="FW261" t="e">
        <v>#N/A</v>
      </c>
      <c r="FY261" t="e">
        <v>#N/A</v>
      </c>
      <c r="GA261" t="e">
        <v>#N/A</v>
      </c>
      <c r="GC261" t="e">
        <v>#N/A</v>
      </c>
      <c r="GE261" t="e">
        <v>#N/A</v>
      </c>
      <c r="GG261" t="e">
        <v>#N/A</v>
      </c>
      <c r="GI261" t="e">
        <v>#N/A</v>
      </c>
      <c r="GK261" t="e">
        <v>#N/A</v>
      </c>
      <c r="GM261" t="e">
        <v>#N/A</v>
      </c>
      <c r="GO261" t="e">
        <v>#N/A</v>
      </c>
      <c r="GQ261" t="e">
        <v>#N/A</v>
      </c>
      <c r="GS261" t="e">
        <v>#N/A</v>
      </c>
      <c r="GU261" t="e">
        <v>#N/A</v>
      </c>
      <c r="GW261" t="e">
        <v>#N/A</v>
      </c>
      <c r="GY261" t="e">
        <v>#N/A</v>
      </c>
      <c r="HA261" t="e">
        <v>#N/A</v>
      </c>
      <c r="HC261">
        <v>0</v>
      </c>
      <c r="HD261">
        <v>0</v>
      </c>
      <c r="HE261">
        <v>0</v>
      </c>
      <c r="HF261">
        <v>0</v>
      </c>
      <c r="HG261">
        <v>0</v>
      </c>
      <c r="HH261">
        <v>0</v>
      </c>
      <c r="HI261">
        <v>0</v>
      </c>
      <c r="HJ261">
        <v>0</v>
      </c>
      <c r="HM261">
        <v>0</v>
      </c>
      <c r="HN261">
        <v>0</v>
      </c>
      <c r="HO261">
        <v>0</v>
      </c>
      <c r="HP261">
        <v>0</v>
      </c>
      <c r="HQ261">
        <v>0</v>
      </c>
      <c r="HR261">
        <v>0</v>
      </c>
      <c r="HS261">
        <v>0</v>
      </c>
      <c r="HT261">
        <v>0</v>
      </c>
      <c r="HW261">
        <v>0</v>
      </c>
      <c r="HX261">
        <v>0</v>
      </c>
      <c r="HY261">
        <v>0</v>
      </c>
      <c r="HZ261">
        <v>0</v>
      </c>
      <c r="IA261">
        <v>3930.6</v>
      </c>
      <c r="IB261">
        <v>3632.9</v>
      </c>
      <c r="IC261">
        <v>3795.5</v>
      </c>
      <c r="ID261">
        <v>0</v>
      </c>
      <c r="IE261">
        <v>0</v>
      </c>
      <c r="IF261">
        <v>3548.5</v>
      </c>
      <c r="IG261">
        <v>3395.2</v>
      </c>
      <c r="IH261">
        <v>3395.4</v>
      </c>
      <c r="II261">
        <v>3302.3</v>
      </c>
      <c r="IJ261">
        <v>3172.8</v>
      </c>
      <c r="IK261">
        <v>0</v>
      </c>
      <c r="IL261">
        <v>0</v>
      </c>
      <c r="IM261">
        <v>0</v>
      </c>
      <c r="IN261">
        <v>0</v>
      </c>
      <c r="IO261">
        <v>123.4</v>
      </c>
      <c r="IP261">
        <v>405.2</v>
      </c>
      <c r="IQ261">
        <v>418.7</v>
      </c>
      <c r="IR261">
        <v>0</v>
      </c>
      <c r="IS261">
        <v>0</v>
      </c>
      <c r="IT261">
        <v>0</v>
      </c>
      <c r="IU261">
        <v>0</v>
      </c>
      <c r="IV261">
        <v>396</v>
      </c>
      <c r="IW261">
        <v>0</v>
      </c>
      <c r="IX261">
        <v>0</v>
      </c>
      <c r="IZ261">
        <v>0</v>
      </c>
      <c r="JA261">
        <v>65.5</v>
      </c>
      <c r="JB261">
        <v>443.5</v>
      </c>
      <c r="JC261">
        <v>0</v>
      </c>
      <c r="JD261">
        <v>0</v>
      </c>
      <c r="JE261">
        <v>0</v>
      </c>
      <c r="JF261">
        <v>0</v>
      </c>
      <c r="JG261">
        <v>0</v>
      </c>
      <c r="JH261">
        <v>0</v>
      </c>
      <c r="JI261">
        <v>0</v>
      </c>
      <c r="JJ261">
        <v>0</v>
      </c>
      <c r="JK261">
        <v>0</v>
      </c>
      <c r="JL261">
        <v>0</v>
      </c>
      <c r="JM261">
        <v>0</v>
      </c>
      <c r="JN261">
        <v>0</v>
      </c>
      <c r="JO261">
        <v>0</v>
      </c>
      <c r="JP261">
        <v>0</v>
      </c>
      <c r="JQ261">
        <v>0</v>
      </c>
      <c r="JR261">
        <v>0</v>
      </c>
      <c r="JS261">
        <v>0</v>
      </c>
      <c r="JT261">
        <v>0</v>
      </c>
      <c r="JU261">
        <v>0</v>
      </c>
      <c r="JV261">
        <v>0</v>
      </c>
      <c r="JW261">
        <v>0</v>
      </c>
      <c r="JX261">
        <v>0</v>
      </c>
      <c r="JY261">
        <v>0</v>
      </c>
      <c r="JZ261">
        <v>0</v>
      </c>
      <c r="KA261">
        <v>0</v>
      </c>
      <c r="KB261">
        <v>0</v>
      </c>
      <c r="KC261">
        <v>0</v>
      </c>
      <c r="KD261">
        <v>0</v>
      </c>
      <c r="KE261">
        <v>0</v>
      </c>
      <c r="KF261">
        <v>0</v>
      </c>
      <c r="KI261">
        <v>344.6</v>
      </c>
      <c r="KJ261">
        <v>350.8</v>
      </c>
      <c r="KK261">
        <v>22.1</v>
      </c>
      <c r="KL261">
        <v>379.3</v>
      </c>
      <c r="KM261">
        <v>241.4</v>
      </c>
      <c r="KN261">
        <v>0</v>
      </c>
      <c r="KO261">
        <v>0</v>
      </c>
      <c r="KP261">
        <v>57.3</v>
      </c>
      <c r="KQ261">
        <v>224.4</v>
      </c>
      <c r="KR261">
        <v>338.3</v>
      </c>
      <c r="KS261">
        <v>215.8</v>
      </c>
      <c r="KT261">
        <v>40.700000000000003</v>
      </c>
      <c r="KW261">
        <v>2154.5</v>
      </c>
      <c r="KX261">
        <v>1255.7</v>
      </c>
      <c r="KY261">
        <v>1630.1</v>
      </c>
      <c r="KZ261">
        <v>1246.9000000000001</v>
      </c>
      <c r="LB261">
        <v>78.099999999999994</v>
      </c>
      <c r="LC261">
        <v>77.7</v>
      </c>
    </row>
    <row r="262" spans="1:315" ht="18.600000000000001" thickTop="1" thickBot="1">
      <c r="A262" s="181"/>
      <c r="B262" s="181" t="s">
        <v>558</v>
      </c>
      <c r="C262" s="330"/>
      <c r="D262" s="280"/>
      <c r="E262" s="448">
        <v>0</v>
      </c>
      <c r="F262" s="196">
        <v>0</v>
      </c>
      <c r="G262" s="427">
        <v>3413.8</v>
      </c>
      <c r="H262" s="155"/>
      <c r="I262">
        <v>735</v>
      </c>
      <c r="K262">
        <v>1973.1000000000001</v>
      </c>
      <c r="L262" s="4">
        <v>221.60000000000002</v>
      </c>
      <c r="M262" s="4">
        <v>54.9</v>
      </c>
      <c r="N262" s="4">
        <v>1989.7</v>
      </c>
      <c r="P262">
        <v>0</v>
      </c>
      <c r="Q262">
        <v>238.29999999999998</v>
      </c>
      <c r="R262">
        <v>0</v>
      </c>
      <c r="S262">
        <v>0</v>
      </c>
      <c r="T262">
        <v>368.5</v>
      </c>
      <c r="W262">
        <v>720.3</v>
      </c>
      <c r="X262">
        <v>1411.5</v>
      </c>
      <c r="Y262">
        <v>96.5</v>
      </c>
      <c r="AA262">
        <v>859.6</v>
      </c>
      <c r="AB262">
        <v>1577.6000000000001</v>
      </c>
      <c r="AE262">
        <v>1330</v>
      </c>
      <c r="AF262">
        <v>1025.5</v>
      </c>
      <c r="AH262">
        <v>509.9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1349.3</v>
      </c>
      <c r="AO262">
        <v>786.40000000000009</v>
      </c>
      <c r="AP262">
        <v>0</v>
      </c>
      <c r="AQ262">
        <v>68.3</v>
      </c>
      <c r="AR262">
        <v>234.9</v>
      </c>
      <c r="AS262">
        <v>600.40000000000009</v>
      </c>
      <c r="AU262">
        <v>985.69999999999993</v>
      </c>
      <c r="AW262">
        <v>792</v>
      </c>
      <c r="AX262">
        <v>1988.5</v>
      </c>
      <c r="AZ262">
        <v>763.5</v>
      </c>
      <c r="BA262">
        <v>0</v>
      </c>
      <c r="BB262">
        <v>0</v>
      </c>
      <c r="BC262">
        <v>1935.3</v>
      </c>
      <c r="BD262">
        <v>1006.5</v>
      </c>
      <c r="BE262">
        <v>0</v>
      </c>
      <c r="BF262">
        <v>0</v>
      </c>
      <c r="BG262">
        <v>0</v>
      </c>
      <c r="BH262">
        <v>1662.6</v>
      </c>
      <c r="BJ262">
        <v>0</v>
      </c>
      <c r="BK262">
        <v>0</v>
      </c>
      <c r="BL262">
        <v>1038.9000000000001</v>
      </c>
      <c r="BM262">
        <v>1101</v>
      </c>
      <c r="BO262">
        <v>1276.8000000000002</v>
      </c>
      <c r="BQ262">
        <v>0</v>
      </c>
      <c r="BR262">
        <v>270.7</v>
      </c>
      <c r="BS262">
        <v>230.5</v>
      </c>
      <c r="BT262">
        <v>472.3</v>
      </c>
      <c r="BU262">
        <v>537.29999999999995</v>
      </c>
      <c r="BV262">
        <v>346.3</v>
      </c>
      <c r="BW262">
        <v>386.2</v>
      </c>
      <c r="BX262">
        <v>767</v>
      </c>
      <c r="BY262">
        <v>757.2</v>
      </c>
      <c r="BZ262">
        <v>1037.2</v>
      </c>
      <c r="CA262">
        <v>1227.0999999999999</v>
      </c>
      <c r="CB262">
        <v>1232.0999999999999</v>
      </c>
      <c r="CC262">
        <v>1701.5</v>
      </c>
      <c r="CD262">
        <v>0</v>
      </c>
      <c r="CG262">
        <v>1385.3</v>
      </c>
      <c r="CJ262">
        <v>1630.2999999999997</v>
      </c>
      <c r="CM262">
        <v>1184.2</v>
      </c>
      <c r="CO262">
        <v>1248.0999999999999</v>
      </c>
      <c r="CQ262">
        <v>1435.3</v>
      </c>
      <c r="CR262">
        <v>798.2</v>
      </c>
      <c r="CS262">
        <v>923.8</v>
      </c>
      <c r="CT262">
        <v>0</v>
      </c>
      <c r="CU262">
        <v>0</v>
      </c>
      <c r="CV262">
        <v>0</v>
      </c>
      <c r="CW262">
        <v>0</v>
      </c>
      <c r="CX262">
        <v>163.69999999999999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I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M262">
        <v>0</v>
      </c>
      <c r="EN262">
        <v>0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G262" t="e">
        <v>#N/A</v>
      </c>
      <c r="FI262" t="e">
        <v>#N/A</v>
      </c>
      <c r="FK262" t="e">
        <v>#N/A</v>
      </c>
      <c r="FM262" t="e">
        <v>#N/A</v>
      </c>
      <c r="FO262" t="e">
        <v>#N/A</v>
      </c>
      <c r="FQ262" t="e">
        <v>#N/A</v>
      </c>
      <c r="FS262" t="e">
        <v>#N/A</v>
      </c>
      <c r="FU262" t="e">
        <v>#N/A</v>
      </c>
      <c r="FW262" t="e">
        <v>#N/A</v>
      </c>
      <c r="FY262" t="e">
        <v>#N/A</v>
      </c>
      <c r="GA262" t="e">
        <v>#N/A</v>
      </c>
      <c r="GC262" t="e">
        <v>#N/A</v>
      </c>
      <c r="GE262" t="e">
        <v>#N/A</v>
      </c>
      <c r="GG262" t="e">
        <v>#N/A</v>
      </c>
      <c r="GI262" t="e">
        <v>#N/A</v>
      </c>
      <c r="GK262" t="e">
        <v>#N/A</v>
      </c>
      <c r="GM262" t="e">
        <v>#N/A</v>
      </c>
      <c r="GO262" t="e">
        <v>#N/A</v>
      </c>
      <c r="GQ262" t="e">
        <v>#N/A</v>
      </c>
      <c r="GS262" t="e">
        <v>#N/A</v>
      </c>
      <c r="GU262" t="e">
        <v>#N/A</v>
      </c>
      <c r="GW262" t="e">
        <v>#N/A</v>
      </c>
      <c r="GY262" t="e">
        <v>#N/A</v>
      </c>
      <c r="HA262" t="e">
        <v>#N/A</v>
      </c>
      <c r="HC262">
        <v>0</v>
      </c>
      <c r="HD262">
        <v>0</v>
      </c>
      <c r="HE262">
        <v>0</v>
      </c>
      <c r="HF262">
        <v>0</v>
      </c>
      <c r="HG262">
        <v>0</v>
      </c>
      <c r="HH262">
        <v>0</v>
      </c>
      <c r="HI262">
        <v>0</v>
      </c>
      <c r="HJ262">
        <v>0</v>
      </c>
      <c r="HM262">
        <v>0</v>
      </c>
      <c r="HN262">
        <v>0</v>
      </c>
      <c r="HO262">
        <v>0</v>
      </c>
      <c r="HP262">
        <v>0</v>
      </c>
      <c r="HQ262">
        <v>0</v>
      </c>
      <c r="HR262">
        <v>0</v>
      </c>
      <c r="HS262">
        <v>0</v>
      </c>
      <c r="HT262">
        <v>0</v>
      </c>
      <c r="HW262">
        <v>0</v>
      </c>
      <c r="HX262">
        <v>0</v>
      </c>
      <c r="HY262">
        <v>0</v>
      </c>
      <c r="HZ262">
        <v>0</v>
      </c>
      <c r="IA262">
        <v>3930.6</v>
      </c>
      <c r="IB262">
        <v>3632.9</v>
      </c>
      <c r="IC262">
        <v>3795.5</v>
      </c>
      <c r="ID262">
        <v>0</v>
      </c>
      <c r="IE262">
        <v>0</v>
      </c>
      <c r="IF262">
        <v>3548.5</v>
      </c>
      <c r="IG262">
        <v>3395.2</v>
      </c>
      <c r="IH262">
        <v>3395.4</v>
      </c>
      <c r="II262">
        <v>3302.3</v>
      </c>
      <c r="IJ262">
        <v>3172.8</v>
      </c>
      <c r="IK262">
        <v>0</v>
      </c>
      <c r="IL262">
        <v>0</v>
      </c>
      <c r="IM262">
        <v>0</v>
      </c>
      <c r="IN262">
        <v>0</v>
      </c>
      <c r="IO262">
        <v>123.4</v>
      </c>
      <c r="IP262">
        <v>405.2</v>
      </c>
      <c r="IQ262">
        <v>418.7</v>
      </c>
      <c r="IR262">
        <v>0</v>
      </c>
      <c r="IS262">
        <v>0</v>
      </c>
      <c r="IT262">
        <v>0</v>
      </c>
      <c r="IU262">
        <v>0</v>
      </c>
      <c r="IV262">
        <v>396</v>
      </c>
      <c r="IW262">
        <v>0</v>
      </c>
      <c r="IX262">
        <v>0</v>
      </c>
      <c r="IZ262">
        <v>0</v>
      </c>
      <c r="JA262">
        <v>65.5</v>
      </c>
      <c r="JB262">
        <v>443.5</v>
      </c>
      <c r="JC262">
        <v>0</v>
      </c>
      <c r="JD262">
        <v>0</v>
      </c>
      <c r="JE262">
        <v>0</v>
      </c>
      <c r="JF262">
        <v>0</v>
      </c>
      <c r="JG262">
        <v>0</v>
      </c>
      <c r="JH262">
        <v>0</v>
      </c>
      <c r="JI262">
        <v>0</v>
      </c>
      <c r="JJ262">
        <v>0</v>
      </c>
      <c r="JK262">
        <v>0</v>
      </c>
      <c r="JL262">
        <v>0</v>
      </c>
      <c r="JM262">
        <v>0</v>
      </c>
      <c r="JN262">
        <v>0</v>
      </c>
      <c r="JO262">
        <v>0</v>
      </c>
      <c r="JP262">
        <v>0</v>
      </c>
      <c r="JQ262">
        <v>0</v>
      </c>
      <c r="JR262">
        <v>0</v>
      </c>
      <c r="JS262">
        <v>0</v>
      </c>
      <c r="JT262">
        <v>0</v>
      </c>
      <c r="JU262">
        <v>0</v>
      </c>
      <c r="JV262">
        <v>0</v>
      </c>
      <c r="JW262">
        <v>0</v>
      </c>
      <c r="JX262">
        <v>0</v>
      </c>
      <c r="JY262">
        <v>0</v>
      </c>
      <c r="JZ262">
        <v>0</v>
      </c>
      <c r="KA262">
        <v>0</v>
      </c>
      <c r="KB262">
        <v>0</v>
      </c>
      <c r="KC262">
        <v>0</v>
      </c>
      <c r="KD262">
        <v>0</v>
      </c>
      <c r="KE262">
        <v>0</v>
      </c>
      <c r="KF262">
        <v>0</v>
      </c>
      <c r="KI262">
        <v>344.6</v>
      </c>
      <c r="KJ262">
        <v>350.8</v>
      </c>
      <c r="KK262">
        <v>22.1</v>
      </c>
      <c r="KL262">
        <v>379.3</v>
      </c>
      <c r="KM262">
        <v>241.4</v>
      </c>
      <c r="KN262">
        <v>0</v>
      </c>
      <c r="KO262">
        <v>0</v>
      </c>
      <c r="KP262">
        <v>57.3</v>
      </c>
      <c r="KQ262">
        <v>224.4</v>
      </c>
      <c r="KR262">
        <v>338.3</v>
      </c>
      <c r="KS262">
        <v>215.8</v>
      </c>
      <c r="KT262">
        <v>40.700000000000003</v>
      </c>
      <c r="KW262">
        <v>2154.5</v>
      </c>
      <c r="KX262">
        <v>1255.7</v>
      </c>
      <c r="KY262">
        <v>1630.1</v>
      </c>
      <c r="KZ262">
        <v>1246.9000000000001</v>
      </c>
      <c r="LB262">
        <v>78.099999999999994</v>
      </c>
      <c r="LC262">
        <v>77.7</v>
      </c>
    </row>
    <row r="263" spans="1:315" ht="18" thickBot="1">
      <c r="A263" s="245"/>
      <c r="B263" s="245" t="s">
        <v>559</v>
      </c>
      <c r="C263" s="88" t="s">
        <v>838</v>
      </c>
      <c r="D263" s="274" t="s">
        <v>769</v>
      </c>
      <c r="E263" s="443">
        <v>0</v>
      </c>
      <c r="F263" s="197">
        <v>0</v>
      </c>
      <c r="G263" s="427">
        <v>3413.8</v>
      </c>
      <c r="H263" s="155"/>
      <c r="I263">
        <v>735</v>
      </c>
      <c r="K263">
        <v>1973.1000000000001</v>
      </c>
      <c r="L263" s="4">
        <v>221.60000000000002</v>
      </c>
      <c r="M263" s="4">
        <v>54.9</v>
      </c>
      <c r="N263" s="4">
        <v>1989.7</v>
      </c>
      <c r="P263">
        <v>0</v>
      </c>
      <c r="Q263">
        <v>238.29999999999998</v>
      </c>
      <c r="R263">
        <v>0</v>
      </c>
      <c r="S263">
        <v>0</v>
      </c>
      <c r="T263">
        <v>368.5</v>
      </c>
      <c r="W263">
        <v>720.3</v>
      </c>
      <c r="X263">
        <v>1411.5</v>
      </c>
      <c r="Y263">
        <v>96.5</v>
      </c>
      <c r="AA263">
        <v>859.6</v>
      </c>
      <c r="AB263">
        <v>1577.6000000000001</v>
      </c>
      <c r="AE263">
        <v>1330</v>
      </c>
      <c r="AF263">
        <v>1025.5</v>
      </c>
      <c r="AH263">
        <v>509.9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1349.3</v>
      </c>
      <c r="AO263">
        <v>786.40000000000009</v>
      </c>
      <c r="AP263">
        <v>0</v>
      </c>
      <c r="AQ263">
        <v>68.3</v>
      </c>
      <c r="AR263">
        <v>234.9</v>
      </c>
      <c r="AS263">
        <v>600.40000000000009</v>
      </c>
      <c r="AU263">
        <v>985.69999999999993</v>
      </c>
      <c r="AW263">
        <v>792</v>
      </c>
      <c r="AX263">
        <v>1988.5</v>
      </c>
      <c r="AZ263">
        <v>763.5</v>
      </c>
      <c r="BA263">
        <v>0</v>
      </c>
      <c r="BB263">
        <v>0</v>
      </c>
      <c r="BC263">
        <v>1935.3</v>
      </c>
      <c r="BD263">
        <v>1006.5</v>
      </c>
      <c r="BE263">
        <v>0</v>
      </c>
      <c r="BF263">
        <v>0</v>
      </c>
      <c r="BG263">
        <v>0</v>
      </c>
      <c r="BH263">
        <v>1662.6</v>
      </c>
      <c r="BJ263">
        <v>0</v>
      </c>
      <c r="BK263">
        <v>0</v>
      </c>
      <c r="BL263">
        <v>1038.9000000000001</v>
      </c>
      <c r="BM263">
        <v>1101</v>
      </c>
      <c r="BO263">
        <v>1276.8000000000002</v>
      </c>
      <c r="BQ263">
        <v>0</v>
      </c>
      <c r="BR263">
        <v>270.7</v>
      </c>
      <c r="BS263">
        <v>230.5</v>
      </c>
      <c r="BT263">
        <v>472.3</v>
      </c>
      <c r="BU263">
        <v>537.29999999999995</v>
      </c>
      <c r="BV263">
        <v>346.3</v>
      </c>
      <c r="BW263">
        <v>386.2</v>
      </c>
      <c r="BX263">
        <v>767</v>
      </c>
      <c r="BY263">
        <v>757.2</v>
      </c>
      <c r="BZ263">
        <v>1037.2</v>
      </c>
      <c r="CA263">
        <v>1227.0999999999999</v>
      </c>
      <c r="CB263">
        <v>1232.0999999999999</v>
      </c>
      <c r="CC263">
        <v>1701.5</v>
      </c>
      <c r="CD263">
        <v>0</v>
      </c>
      <c r="CG263">
        <v>1385.3</v>
      </c>
      <c r="CJ263">
        <v>1630.2999999999997</v>
      </c>
      <c r="CM263">
        <v>1184.2</v>
      </c>
      <c r="CO263">
        <v>1248.0999999999999</v>
      </c>
      <c r="CQ263">
        <v>1435.3</v>
      </c>
      <c r="CR263">
        <v>798.2</v>
      </c>
      <c r="CS263">
        <v>923.8</v>
      </c>
      <c r="CT263">
        <v>0</v>
      </c>
      <c r="CU263">
        <v>0</v>
      </c>
      <c r="CV263">
        <v>0</v>
      </c>
      <c r="CW263">
        <v>0</v>
      </c>
      <c r="CX263">
        <v>163.69999999999999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I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G263" t="e">
        <v>#N/A</v>
      </c>
      <c r="FI263" t="e">
        <v>#N/A</v>
      </c>
      <c r="FK263" t="e">
        <v>#N/A</v>
      </c>
      <c r="FM263" t="e">
        <v>#N/A</v>
      </c>
      <c r="FO263" t="e">
        <v>#N/A</v>
      </c>
      <c r="FQ263" t="e">
        <v>#N/A</v>
      </c>
      <c r="FS263" t="e">
        <v>#N/A</v>
      </c>
      <c r="FU263" t="e">
        <v>#N/A</v>
      </c>
      <c r="FW263" t="e">
        <v>#N/A</v>
      </c>
      <c r="FY263" t="e">
        <v>#N/A</v>
      </c>
      <c r="GA263" t="e">
        <v>#N/A</v>
      </c>
      <c r="GC263" t="e">
        <v>#N/A</v>
      </c>
      <c r="GE263" t="e">
        <v>#N/A</v>
      </c>
      <c r="GG263" t="e">
        <v>#N/A</v>
      </c>
      <c r="GI263" t="e">
        <v>#N/A</v>
      </c>
      <c r="GK263" t="e">
        <v>#N/A</v>
      </c>
      <c r="GM263" t="e">
        <v>#N/A</v>
      </c>
      <c r="GO263" t="e">
        <v>#N/A</v>
      </c>
      <c r="GQ263" t="e">
        <v>#N/A</v>
      </c>
      <c r="GS263" t="e">
        <v>#N/A</v>
      </c>
      <c r="GU263" t="e">
        <v>#N/A</v>
      </c>
      <c r="GW263" t="e">
        <v>#N/A</v>
      </c>
      <c r="GY263" t="e">
        <v>#N/A</v>
      </c>
      <c r="HA263" t="e">
        <v>#N/A</v>
      </c>
      <c r="HC263">
        <v>0</v>
      </c>
      <c r="HD263">
        <v>0</v>
      </c>
      <c r="HE263">
        <v>0</v>
      </c>
      <c r="HF263">
        <v>0</v>
      </c>
      <c r="HG263">
        <v>0</v>
      </c>
      <c r="HH263">
        <v>0</v>
      </c>
      <c r="HI263">
        <v>0</v>
      </c>
      <c r="HJ263">
        <v>0</v>
      </c>
      <c r="HM263">
        <v>0</v>
      </c>
      <c r="HN263">
        <v>0</v>
      </c>
      <c r="HO263">
        <v>0</v>
      </c>
      <c r="HP263">
        <v>0</v>
      </c>
      <c r="HQ263">
        <v>0</v>
      </c>
      <c r="HR263">
        <v>0</v>
      </c>
      <c r="HS263">
        <v>0</v>
      </c>
      <c r="HT263">
        <v>0</v>
      </c>
      <c r="HW263">
        <v>0</v>
      </c>
      <c r="HX263">
        <v>0</v>
      </c>
      <c r="HY263">
        <v>0</v>
      </c>
      <c r="HZ263">
        <v>0</v>
      </c>
      <c r="IA263">
        <v>3930.6</v>
      </c>
      <c r="IB263">
        <v>3632.9</v>
      </c>
      <c r="IC263">
        <v>3795.5</v>
      </c>
      <c r="ID263">
        <v>0</v>
      </c>
      <c r="IE263">
        <v>0</v>
      </c>
      <c r="IF263">
        <v>3548.5</v>
      </c>
      <c r="IG263">
        <v>3395.2</v>
      </c>
      <c r="IH263">
        <v>3395.4</v>
      </c>
      <c r="II263">
        <v>3302.3</v>
      </c>
      <c r="IJ263">
        <v>3172.8</v>
      </c>
      <c r="IK263">
        <v>0</v>
      </c>
      <c r="IL263">
        <v>0</v>
      </c>
      <c r="IM263">
        <v>0</v>
      </c>
      <c r="IN263">
        <v>0</v>
      </c>
      <c r="IO263">
        <v>123.4</v>
      </c>
      <c r="IP263">
        <v>405.2</v>
      </c>
      <c r="IQ263">
        <v>418.7</v>
      </c>
      <c r="IR263">
        <v>0</v>
      </c>
      <c r="IS263">
        <v>0</v>
      </c>
      <c r="IT263">
        <v>0</v>
      </c>
      <c r="IU263">
        <v>0</v>
      </c>
      <c r="IV263">
        <v>396</v>
      </c>
      <c r="IW263">
        <v>0</v>
      </c>
      <c r="IX263">
        <v>0</v>
      </c>
      <c r="IZ263">
        <v>0</v>
      </c>
      <c r="JA263">
        <v>65.5</v>
      </c>
      <c r="JB263">
        <v>443.5</v>
      </c>
      <c r="JC263">
        <v>0</v>
      </c>
      <c r="JD263">
        <v>0</v>
      </c>
      <c r="JE263">
        <v>0</v>
      </c>
      <c r="JF263">
        <v>0</v>
      </c>
      <c r="JG263">
        <v>0</v>
      </c>
      <c r="JH263">
        <v>0</v>
      </c>
      <c r="JI263">
        <v>0</v>
      </c>
      <c r="JJ263">
        <v>0</v>
      </c>
      <c r="JK263">
        <v>0</v>
      </c>
      <c r="JL263">
        <v>0</v>
      </c>
      <c r="JM263">
        <v>0</v>
      </c>
      <c r="JN263">
        <v>0</v>
      </c>
      <c r="JO263">
        <v>0</v>
      </c>
      <c r="JP263">
        <v>0</v>
      </c>
      <c r="JQ263">
        <v>0</v>
      </c>
      <c r="JR263">
        <v>0</v>
      </c>
      <c r="JS263">
        <v>0</v>
      </c>
      <c r="JT263">
        <v>0</v>
      </c>
      <c r="JU263">
        <v>0</v>
      </c>
      <c r="JV263">
        <v>0</v>
      </c>
      <c r="JW263">
        <v>0</v>
      </c>
      <c r="JX263">
        <v>0</v>
      </c>
      <c r="JY263">
        <v>0</v>
      </c>
      <c r="JZ263">
        <v>0</v>
      </c>
      <c r="KA263">
        <v>0</v>
      </c>
      <c r="KB263">
        <v>0</v>
      </c>
      <c r="KC263">
        <v>0</v>
      </c>
      <c r="KD263">
        <v>0</v>
      </c>
      <c r="KE263">
        <v>0</v>
      </c>
      <c r="KF263">
        <v>0</v>
      </c>
      <c r="KI263">
        <v>344.6</v>
      </c>
      <c r="KJ263">
        <v>350.8</v>
      </c>
      <c r="KK263">
        <v>22.1</v>
      </c>
      <c r="KL263">
        <v>379.3</v>
      </c>
      <c r="KM263">
        <v>241.4</v>
      </c>
      <c r="KN263">
        <v>0</v>
      </c>
      <c r="KO263">
        <v>0</v>
      </c>
      <c r="KP263">
        <v>57.3</v>
      </c>
      <c r="KQ263">
        <v>224.4</v>
      </c>
      <c r="KR263">
        <v>338.3</v>
      </c>
      <c r="KS263">
        <v>215.8</v>
      </c>
      <c r="KT263">
        <v>40.700000000000003</v>
      </c>
      <c r="KW263">
        <v>2154.5</v>
      </c>
      <c r="KX263">
        <v>1255.7</v>
      </c>
      <c r="KY263">
        <v>1630.1</v>
      </c>
      <c r="KZ263">
        <v>1246.9000000000001</v>
      </c>
      <c r="LB263">
        <v>78.099999999999994</v>
      </c>
      <c r="LC263">
        <v>77.7</v>
      </c>
    </row>
    <row r="264" spans="1:315" ht="18" thickBot="1">
      <c r="A264" s="245"/>
      <c r="B264" s="245" t="s">
        <v>560</v>
      </c>
      <c r="C264" s="331" t="s">
        <v>630</v>
      </c>
      <c r="D264" s="274" t="s">
        <v>769</v>
      </c>
      <c r="E264" s="443">
        <v>0</v>
      </c>
      <c r="F264" s="198">
        <v>0</v>
      </c>
      <c r="G264" s="427">
        <v>3413.8</v>
      </c>
      <c r="H264" s="155"/>
      <c r="I264">
        <v>735</v>
      </c>
      <c r="K264">
        <v>1973.1000000000001</v>
      </c>
      <c r="L264" s="4">
        <v>221.60000000000002</v>
      </c>
      <c r="M264" s="4">
        <v>54.9</v>
      </c>
      <c r="N264" s="4">
        <v>1989.7</v>
      </c>
      <c r="P264">
        <v>0</v>
      </c>
      <c r="Q264">
        <v>238.29999999999998</v>
      </c>
      <c r="R264">
        <v>0</v>
      </c>
      <c r="S264">
        <v>0</v>
      </c>
      <c r="T264">
        <v>368.5</v>
      </c>
      <c r="W264">
        <v>720.3</v>
      </c>
      <c r="X264">
        <v>1411.5</v>
      </c>
      <c r="Y264">
        <v>96.5</v>
      </c>
      <c r="AA264">
        <v>859.6</v>
      </c>
      <c r="AB264">
        <v>1577.6000000000001</v>
      </c>
      <c r="AE264">
        <v>1330</v>
      </c>
      <c r="AF264">
        <v>1025.5</v>
      </c>
      <c r="AH264">
        <v>509.9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1349.3</v>
      </c>
      <c r="AO264">
        <v>786.40000000000009</v>
      </c>
      <c r="AP264">
        <v>0</v>
      </c>
      <c r="AQ264">
        <v>68.3</v>
      </c>
      <c r="AR264">
        <v>234.9</v>
      </c>
      <c r="AS264">
        <v>600.40000000000009</v>
      </c>
      <c r="AU264">
        <v>985.69999999999993</v>
      </c>
      <c r="AW264">
        <v>792</v>
      </c>
      <c r="AX264">
        <v>1988.5</v>
      </c>
      <c r="AZ264">
        <v>763.5</v>
      </c>
      <c r="BA264">
        <v>0</v>
      </c>
      <c r="BB264">
        <v>0</v>
      </c>
      <c r="BC264">
        <v>1935.3</v>
      </c>
      <c r="BD264">
        <v>1006.5</v>
      </c>
      <c r="BE264">
        <v>0</v>
      </c>
      <c r="BF264">
        <v>0</v>
      </c>
      <c r="BG264">
        <v>0</v>
      </c>
      <c r="BH264">
        <v>1662.6</v>
      </c>
      <c r="BJ264">
        <v>0</v>
      </c>
      <c r="BK264">
        <v>0</v>
      </c>
      <c r="BL264">
        <v>1038.9000000000001</v>
      </c>
      <c r="BM264">
        <v>1101</v>
      </c>
      <c r="BO264">
        <v>1276.8000000000002</v>
      </c>
      <c r="BQ264">
        <v>0</v>
      </c>
      <c r="BR264">
        <v>270.7</v>
      </c>
      <c r="BS264">
        <v>230.5</v>
      </c>
      <c r="BT264">
        <v>472.3</v>
      </c>
      <c r="BU264">
        <v>537.29999999999995</v>
      </c>
      <c r="BV264">
        <v>346.3</v>
      </c>
      <c r="BW264">
        <v>386.2</v>
      </c>
      <c r="BX264">
        <v>767</v>
      </c>
      <c r="BY264">
        <v>757.2</v>
      </c>
      <c r="BZ264">
        <v>1037.2</v>
      </c>
      <c r="CA264">
        <v>1227.0999999999999</v>
      </c>
      <c r="CB264">
        <v>1232.0999999999999</v>
      </c>
      <c r="CC264">
        <v>1701.5</v>
      </c>
      <c r="CD264">
        <v>0</v>
      </c>
      <c r="CG264">
        <v>1385.3</v>
      </c>
      <c r="CJ264">
        <v>1630.2999999999997</v>
      </c>
      <c r="CM264">
        <v>1184.2</v>
      </c>
      <c r="CO264">
        <v>1248.0999999999999</v>
      </c>
      <c r="CQ264">
        <v>1435.3</v>
      </c>
      <c r="CR264">
        <v>798.2</v>
      </c>
      <c r="CS264">
        <v>923.8</v>
      </c>
      <c r="CT264">
        <v>0</v>
      </c>
      <c r="CU264">
        <v>0</v>
      </c>
      <c r="CV264">
        <v>0</v>
      </c>
      <c r="CW264">
        <v>0</v>
      </c>
      <c r="CX264">
        <v>163.69999999999999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I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G264" t="e">
        <v>#N/A</v>
      </c>
      <c r="FI264" t="e">
        <v>#N/A</v>
      </c>
      <c r="FK264" t="e">
        <v>#N/A</v>
      </c>
      <c r="FM264" t="e">
        <v>#N/A</v>
      </c>
      <c r="FO264" t="e">
        <v>#N/A</v>
      </c>
      <c r="FQ264" t="e">
        <v>#N/A</v>
      </c>
      <c r="FS264" t="e">
        <v>#N/A</v>
      </c>
      <c r="FU264" t="e">
        <v>#N/A</v>
      </c>
      <c r="FW264" t="e">
        <v>#N/A</v>
      </c>
      <c r="FY264" t="e">
        <v>#N/A</v>
      </c>
      <c r="GA264" t="e">
        <v>#N/A</v>
      </c>
      <c r="GC264" t="e">
        <v>#N/A</v>
      </c>
      <c r="GE264" t="e">
        <v>#N/A</v>
      </c>
      <c r="GG264" t="e">
        <v>#N/A</v>
      </c>
      <c r="GI264" t="e">
        <v>#N/A</v>
      </c>
      <c r="GK264" t="e">
        <v>#N/A</v>
      </c>
      <c r="GM264" t="e">
        <v>#N/A</v>
      </c>
      <c r="GO264" t="e">
        <v>#N/A</v>
      </c>
      <c r="GQ264" t="e">
        <v>#N/A</v>
      </c>
      <c r="GS264" t="e">
        <v>#N/A</v>
      </c>
      <c r="GU264" t="e">
        <v>#N/A</v>
      </c>
      <c r="GW264" t="e">
        <v>#N/A</v>
      </c>
      <c r="GY264" t="e">
        <v>#N/A</v>
      </c>
      <c r="HA264" t="e">
        <v>#N/A</v>
      </c>
      <c r="HC264">
        <v>0</v>
      </c>
      <c r="HD264">
        <v>0</v>
      </c>
      <c r="HE264">
        <v>0</v>
      </c>
      <c r="HF264">
        <v>0</v>
      </c>
      <c r="HG264">
        <v>0</v>
      </c>
      <c r="HH264">
        <v>0</v>
      </c>
      <c r="HI264">
        <v>0</v>
      </c>
      <c r="HJ264">
        <v>0</v>
      </c>
      <c r="HM264">
        <v>0</v>
      </c>
      <c r="HN264">
        <v>0</v>
      </c>
      <c r="HO264">
        <v>0</v>
      </c>
      <c r="HP264">
        <v>0</v>
      </c>
      <c r="HQ264">
        <v>0</v>
      </c>
      <c r="HR264">
        <v>0</v>
      </c>
      <c r="HS264">
        <v>0</v>
      </c>
      <c r="HT264">
        <v>0</v>
      </c>
      <c r="HW264">
        <v>0</v>
      </c>
      <c r="HX264">
        <v>0</v>
      </c>
      <c r="HY264">
        <v>0</v>
      </c>
      <c r="HZ264">
        <v>0</v>
      </c>
      <c r="IA264">
        <v>3930.6</v>
      </c>
      <c r="IB264">
        <v>3632.9</v>
      </c>
      <c r="IC264">
        <v>3795.5</v>
      </c>
      <c r="ID264">
        <v>0</v>
      </c>
      <c r="IE264">
        <v>0</v>
      </c>
      <c r="IF264">
        <v>3548.5</v>
      </c>
      <c r="IG264">
        <v>3395.2</v>
      </c>
      <c r="IH264">
        <v>3395.4</v>
      </c>
      <c r="II264">
        <v>3302.3</v>
      </c>
      <c r="IJ264">
        <v>3172.8</v>
      </c>
      <c r="IK264">
        <v>0</v>
      </c>
      <c r="IL264">
        <v>0</v>
      </c>
      <c r="IM264">
        <v>0</v>
      </c>
      <c r="IN264">
        <v>0</v>
      </c>
      <c r="IO264">
        <v>123.4</v>
      </c>
      <c r="IP264">
        <v>405.2</v>
      </c>
      <c r="IQ264">
        <v>418.7</v>
      </c>
      <c r="IR264">
        <v>0</v>
      </c>
      <c r="IS264">
        <v>0</v>
      </c>
      <c r="IT264">
        <v>0</v>
      </c>
      <c r="IU264">
        <v>0</v>
      </c>
      <c r="IV264">
        <v>396</v>
      </c>
      <c r="IW264">
        <v>0</v>
      </c>
      <c r="IX264">
        <v>0</v>
      </c>
      <c r="IZ264">
        <v>0</v>
      </c>
      <c r="JA264">
        <v>65.5</v>
      </c>
      <c r="JB264">
        <v>443.5</v>
      </c>
      <c r="JC264">
        <v>0</v>
      </c>
      <c r="JD264">
        <v>0</v>
      </c>
      <c r="JE264">
        <v>0</v>
      </c>
      <c r="JF264">
        <v>0</v>
      </c>
      <c r="JG264">
        <v>0</v>
      </c>
      <c r="JH264">
        <v>0</v>
      </c>
      <c r="JI264">
        <v>0</v>
      </c>
      <c r="JJ264">
        <v>0</v>
      </c>
      <c r="JK264">
        <v>0</v>
      </c>
      <c r="JL264">
        <v>0</v>
      </c>
      <c r="JM264">
        <v>0</v>
      </c>
      <c r="JN264">
        <v>0</v>
      </c>
      <c r="JO264">
        <v>0</v>
      </c>
      <c r="JP264">
        <v>0</v>
      </c>
      <c r="JQ264">
        <v>0</v>
      </c>
      <c r="JR264">
        <v>0</v>
      </c>
      <c r="JS264">
        <v>0</v>
      </c>
      <c r="JT264">
        <v>0</v>
      </c>
      <c r="JU264">
        <v>0</v>
      </c>
      <c r="JV264">
        <v>0</v>
      </c>
      <c r="JW264">
        <v>0</v>
      </c>
      <c r="JX264">
        <v>0</v>
      </c>
      <c r="JY264">
        <v>0</v>
      </c>
      <c r="JZ264">
        <v>0</v>
      </c>
      <c r="KA264">
        <v>0</v>
      </c>
      <c r="KB264">
        <v>0</v>
      </c>
      <c r="KC264">
        <v>0</v>
      </c>
      <c r="KD264">
        <v>0</v>
      </c>
      <c r="KE264">
        <v>0</v>
      </c>
      <c r="KF264">
        <v>0</v>
      </c>
      <c r="KI264">
        <v>344.6</v>
      </c>
      <c r="KJ264">
        <v>350.8</v>
      </c>
      <c r="KK264">
        <v>22.1</v>
      </c>
      <c r="KL264">
        <v>379.3</v>
      </c>
      <c r="KM264">
        <v>241.4</v>
      </c>
      <c r="KN264">
        <v>0</v>
      </c>
      <c r="KO264">
        <v>0</v>
      </c>
      <c r="KP264">
        <v>57.3</v>
      </c>
      <c r="KQ264">
        <v>224.4</v>
      </c>
      <c r="KR264">
        <v>338.3</v>
      </c>
      <c r="KS264">
        <v>215.8</v>
      </c>
      <c r="KT264">
        <v>40.700000000000003</v>
      </c>
      <c r="KW264">
        <v>2154.5</v>
      </c>
      <c r="KX264">
        <v>1255.7</v>
      </c>
      <c r="KY264">
        <v>1630.1</v>
      </c>
      <c r="KZ264">
        <v>1246.9000000000001</v>
      </c>
      <c r="LB264">
        <v>78.099999999999994</v>
      </c>
      <c r="LC264">
        <v>77.7</v>
      </c>
    </row>
    <row r="265" spans="1:315" ht="18" thickBot="1">
      <c r="A265" s="245"/>
      <c r="B265" s="245" t="s">
        <v>561</v>
      </c>
      <c r="C265" s="230" t="s">
        <v>631</v>
      </c>
      <c r="D265" s="281"/>
      <c r="E265" s="443">
        <v>0</v>
      </c>
      <c r="F265" s="191">
        <v>0</v>
      </c>
      <c r="G265" s="427">
        <v>3413.8</v>
      </c>
      <c r="H265" s="155"/>
      <c r="I265">
        <v>735</v>
      </c>
      <c r="K265">
        <v>1973.1000000000001</v>
      </c>
      <c r="L265" s="4">
        <v>221.60000000000002</v>
      </c>
      <c r="M265" s="4">
        <v>54.9</v>
      </c>
      <c r="N265" s="4">
        <v>1989.7</v>
      </c>
      <c r="P265">
        <v>0</v>
      </c>
      <c r="Q265">
        <v>238.29999999999998</v>
      </c>
      <c r="R265">
        <v>0</v>
      </c>
      <c r="S265">
        <v>0</v>
      </c>
      <c r="T265">
        <v>368.5</v>
      </c>
      <c r="W265">
        <v>720.3</v>
      </c>
      <c r="X265">
        <v>1411.5</v>
      </c>
      <c r="Y265">
        <v>96.5</v>
      </c>
      <c r="AA265">
        <v>859.6</v>
      </c>
      <c r="AB265">
        <v>1577.6000000000001</v>
      </c>
      <c r="AE265">
        <v>1330</v>
      </c>
      <c r="AF265">
        <v>1025.5</v>
      </c>
      <c r="AH265">
        <v>509.9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1349.3</v>
      </c>
      <c r="AO265">
        <v>786.40000000000009</v>
      </c>
      <c r="AP265">
        <v>0</v>
      </c>
      <c r="AQ265">
        <v>68.3</v>
      </c>
      <c r="AR265">
        <v>234.9</v>
      </c>
      <c r="AS265">
        <v>600.40000000000009</v>
      </c>
      <c r="AU265">
        <v>985.69999999999993</v>
      </c>
      <c r="AW265">
        <v>792</v>
      </c>
      <c r="AX265">
        <v>1988.5</v>
      </c>
      <c r="AZ265">
        <v>763.5</v>
      </c>
      <c r="BA265">
        <v>0</v>
      </c>
      <c r="BB265">
        <v>0</v>
      </c>
      <c r="BC265">
        <v>1935.3</v>
      </c>
      <c r="BD265">
        <v>1006.5</v>
      </c>
      <c r="BE265">
        <v>0</v>
      </c>
      <c r="BF265">
        <v>0</v>
      </c>
      <c r="BG265">
        <v>0</v>
      </c>
      <c r="BH265">
        <v>1662.6</v>
      </c>
      <c r="BJ265">
        <v>0</v>
      </c>
      <c r="BK265">
        <v>0</v>
      </c>
      <c r="BL265">
        <v>1038.9000000000001</v>
      </c>
      <c r="BM265">
        <v>1101</v>
      </c>
      <c r="BO265">
        <v>1276.8000000000002</v>
      </c>
      <c r="BQ265">
        <v>0</v>
      </c>
      <c r="BR265">
        <v>270.7</v>
      </c>
      <c r="BS265">
        <v>230.5</v>
      </c>
      <c r="BT265">
        <v>472.3</v>
      </c>
      <c r="BU265">
        <v>537.29999999999995</v>
      </c>
      <c r="BV265">
        <v>346.3</v>
      </c>
      <c r="BW265">
        <v>386.2</v>
      </c>
      <c r="BX265">
        <v>767</v>
      </c>
      <c r="BY265">
        <v>757.2</v>
      </c>
      <c r="BZ265">
        <v>1037.2</v>
      </c>
      <c r="CA265">
        <v>1227.0999999999999</v>
      </c>
      <c r="CB265">
        <v>1232.0999999999999</v>
      </c>
      <c r="CC265">
        <v>1701.5</v>
      </c>
      <c r="CD265">
        <v>0</v>
      </c>
      <c r="CG265">
        <v>1385.3</v>
      </c>
      <c r="CJ265">
        <v>1630.2999999999997</v>
      </c>
      <c r="CM265">
        <v>1184.2</v>
      </c>
      <c r="CO265">
        <v>1248.0999999999999</v>
      </c>
      <c r="CQ265">
        <v>1435.3</v>
      </c>
      <c r="CR265">
        <v>798.2</v>
      </c>
      <c r="CS265">
        <v>923.8</v>
      </c>
      <c r="CT265">
        <v>0</v>
      </c>
      <c r="CU265">
        <v>0</v>
      </c>
      <c r="CV265">
        <v>0</v>
      </c>
      <c r="CW265">
        <v>0</v>
      </c>
      <c r="CX265">
        <v>163.69999999999999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I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G265" t="e">
        <v>#N/A</v>
      </c>
      <c r="FI265" t="e">
        <v>#N/A</v>
      </c>
      <c r="FK265" t="e">
        <v>#N/A</v>
      </c>
      <c r="FM265" t="e">
        <v>#N/A</v>
      </c>
      <c r="FO265" t="e">
        <v>#N/A</v>
      </c>
      <c r="FQ265" t="e">
        <v>#N/A</v>
      </c>
      <c r="FS265" t="e">
        <v>#N/A</v>
      </c>
      <c r="FU265" t="e">
        <v>#N/A</v>
      </c>
      <c r="FW265" t="e">
        <v>#N/A</v>
      </c>
      <c r="FY265" t="e">
        <v>#N/A</v>
      </c>
      <c r="GA265" t="e">
        <v>#N/A</v>
      </c>
      <c r="GC265" t="e">
        <v>#N/A</v>
      </c>
      <c r="GE265" t="e">
        <v>#N/A</v>
      </c>
      <c r="GG265" t="e">
        <v>#N/A</v>
      </c>
      <c r="GI265" t="e">
        <v>#N/A</v>
      </c>
      <c r="GK265" t="e">
        <v>#N/A</v>
      </c>
      <c r="GM265" t="e">
        <v>#N/A</v>
      </c>
      <c r="GO265" t="e">
        <v>#N/A</v>
      </c>
      <c r="GQ265" t="e">
        <v>#N/A</v>
      </c>
      <c r="GS265" t="e">
        <v>#N/A</v>
      </c>
      <c r="GU265" t="e">
        <v>#N/A</v>
      </c>
      <c r="GW265" t="e">
        <v>#N/A</v>
      </c>
      <c r="GY265" t="e">
        <v>#N/A</v>
      </c>
      <c r="HA265" t="e">
        <v>#N/A</v>
      </c>
      <c r="HC265">
        <v>0</v>
      </c>
      <c r="HD265">
        <v>0</v>
      </c>
      <c r="HE265">
        <v>0</v>
      </c>
      <c r="HF265">
        <v>0</v>
      </c>
      <c r="HG265">
        <v>0</v>
      </c>
      <c r="HH265">
        <v>0</v>
      </c>
      <c r="HI265">
        <v>0</v>
      </c>
      <c r="HJ265">
        <v>0</v>
      </c>
      <c r="HM265">
        <v>0</v>
      </c>
      <c r="HN265">
        <v>0</v>
      </c>
      <c r="HO265">
        <v>0</v>
      </c>
      <c r="HP265">
        <v>0</v>
      </c>
      <c r="HQ265">
        <v>0</v>
      </c>
      <c r="HR265">
        <v>0</v>
      </c>
      <c r="HS265">
        <v>0</v>
      </c>
      <c r="HT265">
        <v>0</v>
      </c>
      <c r="HW265">
        <v>0</v>
      </c>
      <c r="HX265">
        <v>0</v>
      </c>
      <c r="HY265">
        <v>0</v>
      </c>
      <c r="HZ265">
        <v>0</v>
      </c>
      <c r="IA265">
        <v>3930.6</v>
      </c>
      <c r="IB265">
        <v>3632.9</v>
      </c>
      <c r="IC265">
        <v>3795.5</v>
      </c>
      <c r="ID265">
        <v>0</v>
      </c>
      <c r="IE265">
        <v>0</v>
      </c>
      <c r="IF265">
        <v>3548.5</v>
      </c>
      <c r="IG265">
        <v>3395.2</v>
      </c>
      <c r="IH265">
        <v>3395.4</v>
      </c>
      <c r="II265">
        <v>3302.3</v>
      </c>
      <c r="IJ265">
        <v>3172.8</v>
      </c>
      <c r="IK265">
        <v>0</v>
      </c>
      <c r="IL265">
        <v>0</v>
      </c>
      <c r="IM265">
        <v>0</v>
      </c>
      <c r="IN265">
        <v>0</v>
      </c>
      <c r="IO265">
        <v>123.4</v>
      </c>
      <c r="IP265">
        <v>405.2</v>
      </c>
      <c r="IQ265">
        <v>418.7</v>
      </c>
      <c r="IR265">
        <v>0</v>
      </c>
      <c r="IS265">
        <v>0</v>
      </c>
      <c r="IT265">
        <v>0</v>
      </c>
      <c r="IU265">
        <v>0</v>
      </c>
      <c r="IV265">
        <v>396</v>
      </c>
      <c r="IW265">
        <v>0</v>
      </c>
      <c r="IX265">
        <v>0</v>
      </c>
      <c r="IZ265">
        <v>0</v>
      </c>
      <c r="JA265">
        <v>65.5</v>
      </c>
      <c r="JB265">
        <v>443.5</v>
      </c>
      <c r="JC265">
        <v>0</v>
      </c>
      <c r="JD265">
        <v>0</v>
      </c>
      <c r="JE265">
        <v>0</v>
      </c>
      <c r="JF265">
        <v>0</v>
      </c>
      <c r="JG265">
        <v>0</v>
      </c>
      <c r="JH265">
        <v>0</v>
      </c>
      <c r="JI265">
        <v>0</v>
      </c>
      <c r="JJ265">
        <v>0</v>
      </c>
      <c r="JK265">
        <v>0</v>
      </c>
      <c r="JL265">
        <v>0</v>
      </c>
      <c r="JM265">
        <v>0</v>
      </c>
      <c r="JN265">
        <v>0</v>
      </c>
      <c r="JO265">
        <v>0</v>
      </c>
      <c r="JP265">
        <v>0</v>
      </c>
      <c r="JQ265">
        <v>0</v>
      </c>
      <c r="JR265">
        <v>0</v>
      </c>
      <c r="JS265">
        <v>0</v>
      </c>
      <c r="JT265">
        <v>0</v>
      </c>
      <c r="JU265">
        <v>0</v>
      </c>
      <c r="JV265">
        <v>0</v>
      </c>
      <c r="JW265">
        <v>0</v>
      </c>
      <c r="JX265">
        <v>0</v>
      </c>
      <c r="JY265">
        <v>0</v>
      </c>
      <c r="JZ265">
        <v>0</v>
      </c>
      <c r="KA265">
        <v>0</v>
      </c>
      <c r="KB265">
        <v>0</v>
      </c>
      <c r="KC265">
        <v>0</v>
      </c>
      <c r="KD265">
        <v>0</v>
      </c>
      <c r="KE265">
        <v>0</v>
      </c>
      <c r="KF265">
        <v>0</v>
      </c>
      <c r="KI265">
        <v>344.6</v>
      </c>
      <c r="KJ265">
        <v>350.8</v>
      </c>
      <c r="KK265">
        <v>22.1</v>
      </c>
      <c r="KL265">
        <v>379.3</v>
      </c>
      <c r="KM265">
        <v>241.4</v>
      </c>
      <c r="KN265">
        <v>0</v>
      </c>
      <c r="KO265">
        <v>0</v>
      </c>
      <c r="KP265">
        <v>57.3</v>
      </c>
      <c r="KQ265">
        <v>224.4</v>
      </c>
      <c r="KR265">
        <v>338.3</v>
      </c>
      <c r="KS265">
        <v>215.8</v>
      </c>
      <c r="KT265">
        <v>40.700000000000003</v>
      </c>
      <c r="KW265">
        <v>2154.5</v>
      </c>
      <c r="KX265">
        <v>1255.7</v>
      </c>
      <c r="KY265">
        <v>1630.1</v>
      </c>
      <c r="KZ265">
        <v>1246.9000000000001</v>
      </c>
      <c r="LB265">
        <v>78.099999999999994</v>
      </c>
      <c r="LC265">
        <v>77.7</v>
      </c>
    </row>
    <row r="266" spans="1:315" ht="18" thickBot="1">
      <c r="A266" s="245"/>
      <c r="B266" s="245" t="s">
        <v>562</v>
      </c>
      <c r="C266" s="230" t="s">
        <v>632</v>
      </c>
      <c r="D266" s="281"/>
      <c r="E266" s="443">
        <v>0</v>
      </c>
      <c r="F266" s="191">
        <v>0</v>
      </c>
      <c r="G266" s="427">
        <v>3413.8</v>
      </c>
      <c r="H266" s="155"/>
      <c r="I266">
        <v>735</v>
      </c>
      <c r="K266">
        <v>1973.1000000000001</v>
      </c>
      <c r="L266" s="4">
        <v>221.60000000000002</v>
      </c>
      <c r="M266" s="4">
        <v>54.9</v>
      </c>
      <c r="N266" s="4">
        <v>1989.7</v>
      </c>
      <c r="P266">
        <v>0</v>
      </c>
      <c r="Q266">
        <v>238.29999999999998</v>
      </c>
      <c r="R266">
        <v>0</v>
      </c>
      <c r="S266">
        <v>0</v>
      </c>
      <c r="T266">
        <v>368.5</v>
      </c>
      <c r="W266">
        <v>720.3</v>
      </c>
      <c r="X266">
        <v>1411.5</v>
      </c>
      <c r="Y266">
        <v>96.5</v>
      </c>
      <c r="AA266">
        <v>859.6</v>
      </c>
      <c r="AB266">
        <v>1577.6000000000001</v>
      </c>
      <c r="AE266">
        <v>1330</v>
      </c>
      <c r="AF266">
        <v>1025.5</v>
      </c>
      <c r="AH266">
        <v>509.9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1349.3</v>
      </c>
      <c r="AO266">
        <v>786.40000000000009</v>
      </c>
      <c r="AP266">
        <v>0</v>
      </c>
      <c r="AQ266">
        <v>68.3</v>
      </c>
      <c r="AR266">
        <v>234.9</v>
      </c>
      <c r="AS266">
        <v>600.40000000000009</v>
      </c>
      <c r="AU266">
        <v>985.69999999999993</v>
      </c>
      <c r="AW266">
        <v>792</v>
      </c>
      <c r="AX266">
        <v>1988.5</v>
      </c>
      <c r="AZ266">
        <v>763.5</v>
      </c>
      <c r="BA266">
        <v>0</v>
      </c>
      <c r="BB266">
        <v>0</v>
      </c>
      <c r="BC266">
        <v>1935.3</v>
      </c>
      <c r="BD266">
        <v>1006.5</v>
      </c>
      <c r="BE266">
        <v>0</v>
      </c>
      <c r="BF266">
        <v>0</v>
      </c>
      <c r="BG266">
        <v>0</v>
      </c>
      <c r="BH266">
        <v>1662.6</v>
      </c>
      <c r="BJ266">
        <v>0</v>
      </c>
      <c r="BK266">
        <v>0</v>
      </c>
      <c r="BL266">
        <v>1038.9000000000001</v>
      </c>
      <c r="BM266">
        <v>1101</v>
      </c>
      <c r="BO266">
        <v>1276.8000000000002</v>
      </c>
      <c r="BQ266">
        <v>0</v>
      </c>
      <c r="BR266">
        <v>270.7</v>
      </c>
      <c r="BS266">
        <v>230.5</v>
      </c>
      <c r="BT266">
        <v>472.3</v>
      </c>
      <c r="BU266">
        <v>537.29999999999995</v>
      </c>
      <c r="BV266">
        <v>346.3</v>
      </c>
      <c r="BW266">
        <v>386.2</v>
      </c>
      <c r="BX266">
        <v>767</v>
      </c>
      <c r="BY266">
        <v>757.2</v>
      </c>
      <c r="BZ266">
        <v>1037.2</v>
      </c>
      <c r="CA266">
        <v>1227.0999999999999</v>
      </c>
      <c r="CB266">
        <v>1232.0999999999999</v>
      </c>
      <c r="CC266">
        <v>1701.5</v>
      </c>
      <c r="CD266">
        <v>0</v>
      </c>
      <c r="CG266">
        <v>1385.3</v>
      </c>
      <c r="CJ266">
        <v>1630.2999999999997</v>
      </c>
      <c r="CM266">
        <v>1184.2</v>
      </c>
      <c r="CO266">
        <v>1248.0999999999999</v>
      </c>
      <c r="CQ266">
        <v>1435.3</v>
      </c>
      <c r="CR266">
        <v>798.2</v>
      </c>
      <c r="CS266">
        <v>923.8</v>
      </c>
      <c r="CT266">
        <v>0</v>
      </c>
      <c r="CU266">
        <v>0</v>
      </c>
      <c r="CV266">
        <v>0</v>
      </c>
      <c r="CW266">
        <v>0</v>
      </c>
      <c r="CX266">
        <v>163.69999999999999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I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G266" t="e">
        <v>#N/A</v>
      </c>
      <c r="FI266" t="e">
        <v>#N/A</v>
      </c>
      <c r="FK266" t="e">
        <v>#N/A</v>
      </c>
      <c r="FM266" t="e">
        <v>#N/A</v>
      </c>
      <c r="FO266" t="e">
        <v>#N/A</v>
      </c>
      <c r="FQ266" t="e">
        <v>#N/A</v>
      </c>
      <c r="FS266" t="e">
        <v>#N/A</v>
      </c>
      <c r="FU266" t="e">
        <v>#N/A</v>
      </c>
      <c r="FW266" t="e">
        <v>#N/A</v>
      </c>
      <c r="FY266" t="e">
        <v>#N/A</v>
      </c>
      <c r="GA266" t="e">
        <v>#N/A</v>
      </c>
      <c r="GC266" t="e">
        <v>#N/A</v>
      </c>
      <c r="GE266" t="e">
        <v>#N/A</v>
      </c>
      <c r="GG266" t="e">
        <v>#N/A</v>
      </c>
      <c r="GI266" t="e">
        <v>#N/A</v>
      </c>
      <c r="GK266" t="e">
        <v>#N/A</v>
      </c>
      <c r="GM266" t="e">
        <v>#N/A</v>
      </c>
      <c r="GO266" t="e">
        <v>#N/A</v>
      </c>
      <c r="GQ266" t="e">
        <v>#N/A</v>
      </c>
      <c r="GS266" t="e">
        <v>#N/A</v>
      </c>
      <c r="GU266" t="e">
        <v>#N/A</v>
      </c>
      <c r="GW266" t="e">
        <v>#N/A</v>
      </c>
      <c r="GY266" t="e">
        <v>#N/A</v>
      </c>
      <c r="HA266" t="e">
        <v>#N/A</v>
      </c>
      <c r="HC266">
        <v>0</v>
      </c>
      <c r="HD266">
        <v>0</v>
      </c>
      <c r="HE266">
        <v>0</v>
      </c>
      <c r="HF266">
        <v>0</v>
      </c>
      <c r="HG266">
        <v>0</v>
      </c>
      <c r="HH266">
        <v>0</v>
      </c>
      <c r="HI266">
        <v>0</v>
      </c>
      <c r="HJ266">
        <v>0</v>
      </c>
      <c r="HM266">
        <v>0</v>
      </c>
      <c r="HN266">
        <v>0</v>
      </c>
      <c r="HO266">
        <v>0</v>
      </c>
      <c r="HP266">
        <v>0</v>
      </c>
      <c r="HQ266">
        <v>0</v>
      </c>
      <c r="HR266">
        <v>0</v>
      </c>
      <c r="HS266">
        <v>0</v>
      </c>
      <c r="HT266">
        <v>0</v>
      </c>
      <c r="HW266">
        <v>0</v>
      </c>
      <c r="HX266">
        <v>0</v>
      </c>
      <c r="HY266">
        <v>0</v>
      </c>
      <c r="HZ266">
        <v>0</v>
      </c>
      <c r="IA266">
        <v>3930.6</v>
      </c>
      <c r="IB266">
        <v>3632.9</v>
      </c>
      <c r="IC266">
        <v>3795.5</v>
      </c>
      <c r="ID266">
        <v>0</v>
      </c>
      <c r="IE266">
        <v>0</v>
      </c>
      <c r="IF266">
        <v>3548.5</v>
      </c>
      <c r="IG266">
        <v>3395.2</v>
      </c>
      <c r="IH266">
        <v>3395.4</v>
      </c>
      <c r="II266">
        <v>3302.3</v>
      </c>
      <c r="IJ266">
        <v>3172.8</v>
      </c>
      <c r="IK266">
        <v>0</v>
      </c>
      <c r="IL266">
        <v>0</v>
      </c>
      <c r="IM266">
        <v>0</v>
      </c>
      <c r="IN266">
        <v>0</v>
      </c>
      <c r="IO266">
        <v>123.4</v>
      </c>
      <c r="IP266">
        <v>405.2</v>
      </c>
      <c r="IQ266">
        <v>418.7</v>
      </c>
      <c r="IR266">
        <v>0</v>
      </c>
      <c r="IS266">
        <v>0</v>
      </c>
      <c r="IT266">
        <v>0</v>
      </c>
      <c r="IU266">
        <v>0</v>
      </c>
      <c r="IV266">
        <v>396</v>
      </c>
      <c r="IW266">
        <v>0</v>
      </c>
      <c r="IX266">
        <v>0</v>
      </c>
      <c r="IZ266">
        <v>0</v>
      </c>
      <c r="JA266">
        <v>65.5</v>
      </c>
      <c r="JB266">
        <v>443.5</v>
      </c>
      <c r="JC266">
        <v>0</v>
      </c>
      <c r="JD266">
        <v>0</v>
      </c>
      <c r="JE266">
        <v>0</v>
      </c>
      <c r="JF266">
        <v>0</v>
      </c>
      <c r="JG266">
        <v>0</v>
      </c>
      <c r="JH266">
        <v>0</v>
      </c>
      <c r="JI266">
        <v>0</v>
      </c>
      <c r="JJ266">
        <v>0</v>
      </c>
      <c r="JK266">
        <v>0</v>
      </c>
      <c r="JL266">
        <v>0</v>
      </c>
      <c r="JM266">
        <v>0</v>
      </c>
      <c r="JN266">
        <v>0</v>
      </c>
      <c r="JO266">
        <v>0</v>
      </c>
      <c r="JP266">
        <v>0</v>
      </c>
      <c r="JQ266">
        <v>0</v>
      </c>
      <c r="JR266">
        <v>0</v>
      </c>
      <c r="JS266">
        <v>0</v>
      </c>
      <c r="JT266">
        <v>0</v>
      </c>
      <c r="JU266">
        <v>0</v>
      </c>
      <c r="JV266">
        <v>0</v>
      </c>
      <c r="JW266">
        <v>0</v>
      </c>
      <c r="JX266">
        <v>0</v>
      </c>
      <c r="JY266">
        <v>0</v>
      </c>
      <c r="JZ266">
        <v>0</v>
      </c>
      <c r="KA266">
        <v>0</v>
      </c>
      <c r="KB266">
        <v>0</v>
      </c>
      <c r="KC266">
        <v>0</v>
      </c>
      <c r="KD266">
        <v>0</v>
      </c>
      <c r="KE266">
        <v>0</v>
      </c>
      <c r="KF266">
        <v>0</v>
      </c>
      <c r="KI266">
        <v>344.6</v>
      </c>
      <c r="KJ266">
        <v>350.8</v>
      </c>
      <c r="KK266">
        <v>22.1</v>
      </c>
      <c r="KL266">
        <v>379.3</v>
      </c>
      <c r="KM266">
        <v>241.4</v>
      </c>
      <c r="KN266">
        <v>0</v>
      </c>
      <c r="KO266">
        <v>0</v>
      </c>
      <c r="KP266">
        <v>57.3</v>
      </c>
      <c r="KQ266">
        <v>224.4</v>
      </c>
      <c r="KR266">
        <v>338.3</v>
      </c>
      <c r="KS266">
        <v>215.8</v>
      </c>
      <c r="KT266">
        <v>40.700000000000003</v>
      </c>
      <c r="KW266">
        <v>2154.5</v>
      </c>
      <c r="KX266">
        <v>1255.7</v>
      </c>
      <c r="KY266">
        <v>1630.1</v>
      </c>
      <c r="KZ266">
        <v>1246.9000000000001</v>
      </c>
      <c r="LB266">
        <v>78.099999999999994</v>
      </c>
      <c r="LC266">
        <v>77.7</v>
      </c>
    </row>
    <row r="267" spans="1:315" ht="18" thickBot="1">
      <c r="A267" s="245"/>
      <c r="B267" s="245" t="s">
        <v>563</v>
      </c>
      <c r="C267" s="230" t="s">
        <v>633</v>
      </c>
      <c r="D267" s="281"/>
      <c r="E267" s="443">
        <v>0</v>
      </c>
      <c r="F267" s="191">
        <v>0</v>
      </c>
      <c r="G267" s="427">
        <v>3413.8</v>
      </c>
      <c r="H267" s="155"/>
      <c r="I267">
        <v>735</v>
      </c>
      <c r="K267">
        <v>1973.1000000000001</v>
      </c>
      <c r="L267" s="4">
        <v>221.60000000000002</v>
      </c>
      <c r="M267" s="4">
        <v>54.9</v>
      </c>
      <c r="N267" s="4">
        <v>1989.7</v>
      </c>
      <c r="P267">
        <v>0</v>
      </c>
      <c r="Q267">
        <v>238.29999999999998</v>
      </c>
      <c r="R267">
        <v>0</v>
      </c>
      <c r="S267">
        <v>0</v>
      </c>
      <c r="T267">
        <v>368.5</v>
      </c>
      <c r="W267">
        <v>720.3</v>
      </c>
      <c r="X267">
        <v>1411.5</v>
      </c>
      <c r="Y267">
        <v>96.5</v>
      </c>
      <c r="AA267">
        <v>859.6</v>
      </c>
      <c r="AB267">
        <v>1577.6000000000001</v>
      </c>
      <c r="AE267">
        <v>1330</v>
      </c>
      <c r="AF267">
        <v>1025.5</v>
      </c>
      <c r="AH267">
        <v>509.9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1349.3</v>
      </c>
      <c r="AO267">
        <v>786.40000000000009</v>
      </c>
      <c r="AP267">
        <v>0</v>
      </c>
      <c r="AQ267">
        <v>68.3</v>
      </c>
      <c r="AR267">
        <v>234.9</v>
      </c>
      <c r="AS267">
        <v>600.40000000000009</v>
      </c>
      <c r="AU267">
        <v>985.69999999999993</v>
      </c>
      <c r="AW267">
        <v>792</v>
      </c>
      <c r="AX267">
        <v>1988.5</v>
      </c>
      <c r="AZ267">
        <v>763.5</v>
      </c>
      <c r="BA267">
        <v>0</v>
      </c>
      <c r="BB267">
        <v>0</v>
      </c>
      <c r="BC267">
        <v>1935.3</v>
      </c>
      <c r="BD267">
        <v>1006.5</v>
      </c>
      <c r="BE267">
        <v>0</v>
      </c>
      <c r="BF267">
        <v>0</v>
      </c>
      <c r="BG267">
        <v>0</v>
      </c>
      <c r="BH267">
        <v>1662.6</v>
      </c>
      <c r="BJ267">
        <v>0</v>
      </c>
      <c r="BK267">
        <v>0</v>
      </c>
      <c r="BL267">
        <v>1038.9000000000001</v>
      </c>
      <c r="BM267">
        <v>1101</v>
      </c>
      <c r="BO267">
        <v>1276.8000000000002</v>
      </c>
      <c r="BQ267">
        <v>0</v>
      </c>
      <c r="BR267">
        <v>270.7</v>
      </c>
      <c r="BS267">
        <v>230.5</v>
      </c>
      <c r="BT267">
        <v>472.3</v>
      </c>
      <c r="BU267">
        <v>537.29999999999995</v>
      </c>
      <c r="BV267">
        <v>346.3</v>
      </c>
      <c r="BW267">
        <v>386.2</v>
      </c>
      <c r="BX267">
        <v>767</v>
      </c>
      <c r="BY267">
        <v>757.2</v>
      </c>
      <c r="BZ267">
        <v>1037.2</v>
      </c>
      <c r="CA267">
        <v>1227.0999999999999</v>
      </c>
      <c r="CB267">
        <v>1232.0999999999999</v>
      </c>
      <c r="CC267">
        <v>1701.5</v>
      </c>
      <c r="CD267">
        <v>0</v>
      </c>
      <c r="CG267">
        <v>1385.3</v>
      </c>
      <c r="CJ267">
        <v>1630.2999999999997</v>
      </c>
      <c r="CM267">
        <v>1184.2</v>
      </c>
      <c r="CO267">
        <v>1248.0999999999999</v>
      </c>
      <c r="CQ267">
        <v>1435.3</v>
      </c>
      <c r="CR267">
        <v>798.2</v>
      </c>
      <c r="CS267">
        <v>923.8</v>
      </c>
      <c r="CT267">
        <v>0</v>
      </c>
      <c r="CU267">
        <v>0</v>
      </c>
      <c r="CV267">
        <v>0</v>
      </c>
      <c r="CW267">
        <v>0</v>
      </c>
      <c r="CX267">
        <v>163.69999999999999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I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G267" t="e">
        <v>#N/A</v>
      </c>
      <c r="FI267" t="e">
        <v>#N/A</v>
      </c>
      <c r="FK267" t="e">
        <v>#N/A</v>
      </c>
      <c r="FM267" t="e">
        <v>#N/A</v>
      </c>
      <c r="FO267" t="e">
        <v>#N/A</v>
      </c>
      <c r="FQ267" t="e">
        <v>#N/A</v>
      </c>
      <c r="FS267" t="e">
        <v>#N/A</v>
      </c>
      <c r="FU267" t="e">
        <v>#N/A</v>
      </c>
      <c r="FW267" t="e">
        <v>#N/A</v>
      </c>
      <c r="FY267" t="e">
        <v>#N/A</v>
      </c>
      <c r="GA267" t="e">
        <v>#N/A</v>
      </c>
      <c r="GC267" t="e">
        <v>#N/A</v>
      </c>
      <c r="GE267" t="e">
        <v>#N/A</v>
      </c>
      <c r="GG267" t="e">
        <v>#N/A</v>
      </c>
      <c r="GI267" t="e">
        <v>#N/A</v>
      </c>
      <c r="GK267" t="e">
        <v>#N/A</v>
      </c>
      <c r="GM267" t="e">
        <v>#N/A</v>
      </c>
      <c r="GO267" t="e">
        <v>#N/A</v>
      </c>
      <c r="GQ267" t="e">
        <v>#N/A</v>
      </c>
      <c r="GS267" t="e">
        <v>#N/A</v>
      </c>
      <c r="GU267" t="e">
        <v>#N/A</v>
      </c>
      <c r="GW267" t="e">
        <v>#N/A</v>
      </c>
      <c r="GY267" t="e">
        <v>#N/A</v>
      </c>
      <c r="HA267" t="e">
        <v>#N/A</v>
      </c>
      <c r="HC267">
        <v>0</v>
      </c>
      <c r="HD267">
        <v>0</v>
      </c>
      <c r="HE267">
        <v>0</v>
      </c>
      <c r="HF267">
        <v>0</v>
      </c>
      <c r="HG267">
        <v>0</v>
      </c>
      <c r="HH267">
        <v>0</v>
      </c>
      <c r="HI267">
        <v>0</v>
      </c>
      <c r="HJ267">
        <v>0</v>
      </c>
      <c r="HM267">
        <v>0</v>
      </c>
      <c r="HN267">
        <v>0</v>
      </c>
      <c r="HO267">
        <v>0</v>
      </c>
      <c r="HP267">
        <v>0</v>
      </c>
      <c r="HQ267">
        <v>0</v>
      </c>
      <c r="HR267">
        <v>0</v>
      </c>
      <c r="HS267">
        <v>0</v>
      </c>
      <c r="HT267">
        <v>0</v>
      </c>
      <c r="HW267">
        <v>0</v>
      </c>
      <c r="HX267">
        <v>0</v>
      </c>
      <c r="HY267">
        <v>0</v>
      </c>
      <c r="HZ267">
        <v>0</v>
      </c>
      <c r="IA267">
        <v>3930.6</v>
      </c>
      <c r="IB267">
        <v>3632.9</v>
      </c>
      <c r="IC267">
        <v>3795.5</v>
      </c>
      <c r="ID267">
        <v>0</v>
      </c>
      <c r="IE267">
        <v>0</v>
      </c>
      <c r="IF267">
        <v>3548.5</v>
      </c>
      <c r="IG267">
        <v>3395.2</v>
      </c>
      <c r="IH267">
        <v>3395.4</v>
      </c>
      <c r="II267">
        <v>3302.3</v>
      </c>
      <c r="IJ267">
        <v>3172.8</v>
      </c>
      <c r="IK267">
        <v>0</v>
      </c>
      <c r="IL267">
        <v>0</v>
      </c>
      <c r="IM267">
        <v>0</v>
      </c>
      <c r="IN267">
        <v>0</v>
      </c>
      <c r="IO267">
        <v>123.4</v>
      </c>
      <c r="IP267">
        <v>405.2</v>
      </c>
      <c r="IQ267">
        <v>418.7</v>
      </c>
      <c r="IR267">
        <v>0</v>
      </c>
      <c r="IS267">
        <v>0</v>
      </c>
      <c r="IT267">
        <v>0</v>
      </c>
      <c r="IU267">
        <v>0</v>
      </c>
      <c r="IV267">
        <v>396</v>
      </c>
      <c r="IW267">
        <v>0</v>
      </c>
      <c r="IX267">
        <v>0</v>
      </c>
      <c r="IZ267">
        <v>0</v>
      </c>
      <c r="JA267">
        <v>65.5</v>
      </c>
      <c r="JB267">
        <v>443.5</v>
      </c>
      <c r="JC267">
        <v>0</v>
      </c>
      <c r="JD267">
        <v>0</v>
      </c>
      <c r="JE267">
        <v>0</v>
      </c>
      <c r="JF267">
        <v>0</v>
      </c>
      <c r="JG267">
        <v>0</v>
      </c>
      <c r="JH267">
        <v>0</v>
      </c>
      <c r="JI267">
        <v>0</v>
      </c>
      <c r="JJ267">
        <v>0</v>
      </c>
      <c r="JK267">
        <v>0</v>
      </c>
      <c r="JL267">
        <v>0</v>
      </c>
      <c r="JM267">
        <v>0</v>
      </c>
      <c r="JN267">
        <v>0</v>
      </c>
      <c r="JO267">
        <v>0</v>
      </c>
      <c r="JP267">
        <v>0</v>
      </c>
      <c r="JQ267">
        <v>0</v>
      </c>
      <c r="JR267">
        <v>0</v>
      </c>
      <c r="JS267">
        <v>0</v>
      </c>
      <c r="JT267">
        <v>0</v>
      </c>
      <c r="JU267">
        <v>0</v>
      </c>
      <c r="JV267">
        <v>0</v>
      </c>
      <c r="JW267">
        <v>0</v>
      </c>
      <c r="JX267">
        <v>0</v>
      </c>
      <c r="JY267">
        <v>0</v>
      </c>
      <c r="JZ267">
        <v>0</v>
      </c>
      <c r="KA267">
        <v>0</v>
      </c>
      <c r="KB267">
        <v>0</v>
      </c>
      <c r="KC267">
        <v>0</v>
      </c>
      <c r="KD267">
        <v>0</v>
      </c>
      <c r="KE267">
        <v>0</v>
      </c>
      <c r="KF267">
        <v>0</v>
      </c>
      <c r="KI267">
        <v>344.6</v>
      </c>
      <c r="KJ267">
        <v>350.8</v>
      </c>
      <c r="KK267">
        <v>22.1</v>
      </c>
      <c r="KL267">
        <v>379.3</v>
      </c>
      <c r="KM267">
        <v>241.4</v>
      </c>
      <c r="KN267">
        <v>0</v>
      </c>
      <c r="KO267">
        <v>0</v>
      </c>
      <c r="KP267">
        <v>57.3</v>
      </c>
      <c r="KQ267">
        <v>224.4</v>
      </c>
      <c r="KR267">
        <v>338.3</v>
      </c>
      <c r="KS267">
        <v>215.8</v>
      </c>
      <c r="KT267">
        <v>40.700000000000003</v>
      </c>
      <c r="KW267">
        <v>2154.5</v>
      </c>
      <c r="KX267">
        <v>1255.7</v>
      </c>
      <c r="KY267">
        <v>1630.1</v>
      </c>
      <c r="KZ267">
        <v>1246.9000000000001</v>
      </c>
      <c r="LB267">
        <v>78.099999999999994</v>
      </c>
      <c r="LC267">
        <v>77.7</v>
      </c>
    </row>
    <row r="268" spans="1:315" ht="18" thickBot="1">
      <c r="A268" s="245"/>
      <c r="B268" s="245" t="s">
        <v>564</v>
      </c>
      <c r="C268" s="230" t="s">
        <v>634</v>
      </c>
      <c r="D268" s="281" t="s">
        <v>819</v>
      </c>
      <c r="E268" s="443">
        <v>0</v>
      </c>
      <c r="F268" s="191">
        <v>0</v>
      </c>
      <c r="G268" s="427">
        <v>3413.8</v>
      </c>
      <c r="H268" s="155"/>
      <c r="I268">
        <v>735</v>
      </c>
      <c r="K268">
        <v>1973.1000000000001</v>
      </c>
      <c r="L268" s="4">
        <v>221.60000000000002</v>
      </c>
      <c r="M268" s="4">
        <v>54.9</v>
      </c>
      <c r="N268" s="4">
        <v>1989.7</v>
      </c>
      <c r="P268">
        <v>0</v>
      </c>
      <c r="Q268">
        <v>238.29999999999998</v>
      </c>
      <c r="R268">
        <v>0</v>
      </c>
      <c r="S268">
        <v>0</v>
      </c>
      <c r="T268">
        <v>368.5</v>
      </c>
      <c r="W268">
        <v>720.3</v>
      </c>
      <c r="X268">
        <v>1411.5</v>
      </c>
      <c r="Y268">
        <v>96.5</v>
      </c>
      <c r="AA268">
        <v>859.6</v>
      </c>
      <c r="AB268">
        <v>1577.6000000000001</v>
      </c>
      <c r="AE268">
        <v>1330</v>
      </c>
      <c r="AF268">
        <v>1025.5</v>
      </c>
      <c r="AH268">
        <v>509.9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1349.3</v>
      </c>
      <c r="AO268">
        <v>786.40000000000009</v>
      </c>
      <c r="AP268">
        <v>0</v>
      </c>
      <c r="AQ268">
        <v>68.3</v>
      </c>
      <c r="AR268">
        <v>234.9</v>
      </c>
      <c r="AS268">
        <v>600.40000000000009</v>
      </c>
      <c r="AU268">
        <v>985.69999999999993</v>
      </c>
      <c r="AW268">
        <v>792</v>
      </c>
      <c r="AX268">
        <v>1988.5</v>
      </c>
      <c r="AZ268">
        <v>763.5</v>
      </c>
      <c r="BA268">
        <v>0</v>
      </c>
      <c r="BB268">
        <v>0</v>
      </c>
      <c r="BC268">
        <v>1935.3</v>
      </c>
      <c r="BD268">
        <v>1006.5</v>
      </c>
      <c r="BE268">
        <v>0</v>
      </c>
      <c r="BF268">
        <v>0</v>
      </c>
      <c r="BG268">
        <v>0</v>
      </c>
      <c r="BH268">
        <v>1662.6</v>
      </c>
      <c r="BJ268">
        <v>0</v>
      </c>
      <c r="BK268">
        <v>0</v>
      </c>
      <c r="BL268">
        <v>1038.9000000000001</v>
      </c>
      <c r="BM268">
        <v>1101</v>
      </c>
      <c r="BO268">
        <v>1276.8000000000002</v>
      </c>
      <c r="BQ268">
        <v>0</v>
      </c>
      <c r="BR268">
        <v>270.7</v>
      </c>
      <c r="BS268">
        <v>230.5</v>
      </c>
      <c r="BT268">
        <v>472.3</v>
      </c>
      <c r="BU268">
        <v>537.29999999999995</v>
      </c>
      <c r="BV268">
        <v>346.3</v>
      </c>
      <c r="BW268">
        <v>386.2</v>
      </c>
      <c r="BX268">
        <v>767</v>
      </c>
      <c r="BY268">
        <v>757.2</v>
      </c>
      <c r="BZ268">
        <v>1037.2</v>
      </c>
      <c r="CA268">
        <v>1227.0999999999999</v>
      </c>
      <c r="CB268">
        <v>1232.0999999999999</v>
      </c>
      <c r="CC268">
        <v>1701.5</v>
      </c>
      <c r="CD268">
        <v>0</v>
      </c>
      <c r="CG268">
        <v>1385.3</v>
      </c>
      <c r="CJ268">
        <v>1630.2999999999997</v>
      </c>
      <c r="CM268">
        <v>1184.2</v>
      </c>
      <c r="CO268">
        <v>1248.0999999999999</v>
      </c>
      <c r="CQ268">
        <v>1435.3</v>
      </c>
      <c r="CR268">
        <v>798.2</v>
      </c>
      <c r="CS268">
        <v>923.8</v>
      </c>
      <c r="CT268">
        <v>0</v>
      </c>
      <c r="CU268">
        <v>0</v>
      </c>
      <c r="CV268">
        <v>0</v>
      </c>
      <c r="CW268">
        <v>0</v>
      </c>
      <c r="CX268">
        <v>163.69999999999999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I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M268">
        <v>0</v>
      </c>
      <c r="EN268">
        <v>0</v>
      </c>
      <c r="EO268">
        <v>0</v>
      </c>
      <c r="EP268">
        <v>0</v>
      </c>
      <c r="EQ268">
        <v>0</v>
      </c>
      <c r="ER268">
        <v>0</v>
      </c>
      <c r="ES268">
        <v>0</v>
      </c>
      <c r="ET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0</v>
      </c>
      <c r="FG268" t="e">
        <v>#N/A</v>
      </c>
      <c r="FI268" t="e">
        <v>#N/A</v>
      </c>
      <c r="FK268" t="e">
        <v>#N/A</v>
      </c>
      <c r="FM268" t="e">
        <v>#N/A</v>
      </c>
      <c r="FO268" t="e">
        <v>#N/A</v>
      </c>
      <c r="FQ268" t="e">
        <v>#N/A</v>
      </c>
      <c r="FS268" t="e">
        <v>#N/A</v>
      </c>
      <c r="FU268" t="e">
        <v>#N/A</v>
      </c>
      <c r="FW268" t="e">
        <v>#N/A</v>
      </c>
      <c r="FY268" t="e">
        <v>#N/A</v>
      </c>
      <c r="GA268" t="e">
        <v>#N/A</v>
      </c>
      <c r="GC268" t="e">
        <v>#N/A</v>
      </c>
      <c r="GE268" t="e">
        <v>#N/A</v>
      </c>
      <c r="GG268" t="e">
        <v>#N/A</v>
      </c>
      <c r="GI268" t="e">
        <v>#N/A</v>
      </c>
      <c r="GK268" t="e">
        <v>#N/A</v>
      </c>
      <c r="GM268" t="e">
        <v>#N/A</v>
      </c>
      <c r="GO268" t="e">
        <v>#N/A</v>
      </c>
      <c r="GQ268" t="e">
        <v>#N/A</v>
      </c>
      <c r="GS268" t="e">
        <v>#N/A</v>
      </c>
      <c r="GU268" t="e">
        <v>#N/A</v>
      </c>
      <c r="GW268" t="e">
        <v>#N/A</v>
      </c>
      <c r="GY268" t="e">
        <v>#N/A</v>
      </c>
      <c r="HA268" t="e">
        <v>#N/A</v>
      </c>
      <c r="HC268">
        <v>0</v>
      </c>
      <c r="HD268">
        <v>0</v>
      </c>
      <c r="HE268">
        <v>0</v>
      </c>
      <c r="HF268">
        <v>0</v>
      </c>
      <c r="HG268">
        <v>0</v>
      </c>
      <c r="HH268">
        <v>0</v>
      </c>
      <c r="HI268">
        <v>0</v>
      </c>
      <c r="HJ268">
        <v>0</v>
      </c>
      <c r="HM268">
        <v>0</v>
      </c>
      <c r="HN268">
        <v>0</v>
      </c>
      <c r="HO268">
        <v>0</v>
      </c>
      <c r="HP268">
        <v>0</v>
      </c>
      <c r="HQ268">
        <v>0</v>
      </c>
      <c r="HR268">
        <v>0</v>
      </c>
      <c r="HS268">
        <v>0</v>
      </c>
      <c r="HT268">
        <v>0</v>
      </c>
      <c r="HW268">
        <v>0</v>
      </c>
      <c r="HX268">
        <v>0</v>
      </c>
      <c r="HY268">
        <v>0</v>
      </c>
      <c r="HZ268">
        <v>0</v>
      </c>
      <c r="IA268">
        <v>3930.6</v>
      </c>
      <c r="IB268">
        <v>3632.9</v>
      </c>
      <c r="IC268">
        <v>3795.5</v>
      </c>
      <c r="ID268">
        <v>0</v>
      </c>
      <c r="IE268">
        <v>0</v>
      </c>
      <c r="IF268">
        <v>3548.5</v>
      </c>
      <c r="IG268">
        <v>3395.2</v>
      </c>
      <c r="IH268">
        <v>3395.4</v>
      </c>
      <c r="II268">
        <v>3302.3</v>
      </c>
      <c r="IJ268">
        <v>3172.8</v>
      </c>
      <c r="IK268">
        <v>0</v>
      </c>
      <c r="IL268">
        <v>0</v>
      </c>
      <c r="IM268">
        <v>0</v>
      </c>
      <c r="IN268">
        <v>0</v>
      </c>
      <c r="IO268">
        <v>123.4</v>
      </c>
      <c r="IP268">
        <v>405.2</v>
      </c>
      <c r="IQ268">
        <v>418.7</v>
      </c>
      <c r="IR268">
        <v>0</v>
      </c>
      <c r="IS268">
        <v>0</v>
      </c>
      <c r="IT268">
        <v>0</v>
      </c>
      <c r="IU268">
        <v>0</v>
      </c>
      <c r="IV268">
        <v>396</v>
      </c>
      <c r="IW268">
        <v>0</v>
      </c>
      <c r="IX268">
        <v>0</v>
      </c>
      <c r="IZ268">
        <v>0</v>
      </c>
      <c r="JA268">
        <v>65.5</v>
      </c>
      <c r="JB268">
        <v>443.5</v>
      </c>
      <c r="JC268">
        <v>0</v>
      </c>
      <c r="JD268">
        <v>0</v>
      </c>
      <c r="JE268">
        <v>0</v>
      </c>
      <c r="JF268">
        <v>0</v>
      </c>
      <c r="JG268">
        <v>0</v>
      </c>
      <c r="JH268">
        <v>0</v>
      </c>
      <c r="JI268">
        <v>0</v>
      </c>
      <c r="JJ268">
        <v>0</v>
      </c>
      <c r="JK268">
        <v>0</v>
      </c>
      <c r="JL268">
        <v>0</v>
      </c>
      <c r="JM268">
        <v>0</v>
      </c>
      <c r="JN268">
        <v>0</v>
      </c>
      <c r="JO268">
        <v>0</v>
      </c>
      <c r="JP268">
        <v>0</v>
      </c>
      <c r="JQ268">
        <v>0</v>
      </c>
      <c r="JR268">
        <v>0</v>
      </c>
      <c r="JS268">
        <v>0</v>
      </c>
      <c r="JT268">
        <v>0</v>
      </c>
      <c r="JU268">
        <v>0</v>
      </c>
      <c r="JV268">
        <v>0</v>
      </c>
      <c r="JW268">
        <v>0</v>
      </c>
      <c r="JX268">
        <v>0</v>
      </c>
      <c r="JY268">
        <v>0</v>
      </c>
      <c r="JZ268">
        <v>0</v>
      </c>
      <c r="KA268">
        <v>0</v>
      </c>
      <c r="KB268">
        <v>0</v>
      </c>
      <c r="KC268">
        <v>0</v>
      </c>
      <c r="KD268">
        <v>0</v>
      </c>
      <c r="KE268">
        <v>0</v>
      </c>
      <c r="KF268">
        <v>0</v>
      </c>
      <c r="KI268">
        <v>344.6</v>
      </c>
      <c r="KJ268">
        <v>350.8</v>
      </c>
      <c r="KK268">
        <v>22.1</v>
      </c>
      <c r="KL268">
        <v>379.3</v>
      </c>
      <c r="KM268">
        <v>241.4</v>
      </c>
      <c r="KN268">
        <v>0</v>
      </c>
      <c r="KO268">
        <v>0</v>
      </c>
      <c r="KP268">
        <v>57.3</v>
      </c>
      <c r="KQ268">
        <v>224.4</v>
      </c>
      <c r="KR268">
        <v>338.3</v>
      </c>
      <c r="KS268">
        <v>215.8</v>
      </c>
      <c r="KT268">
        <v>40.700000000000003</v>
      </c>
      <c r="KW268">
        <v>2154.5</v>
      </c>
      <c r="KX268">
        <v>1255.7</v>
      </c>
      <c r="KY268">
        <v>1630.1</v>
      </c>
      <c r="KZ268">
        <v>1246.9000000000001</v>
      </c>
      <c r="LB268">
        <v>78.099999999999994</v>
      </c>
      <c r="LC268">
        <v>77.7</v>
      </c>
    </row>
    <row r="269" spans="1:315" ht="18" thickBot="1">
      <c r="A269" s="245"/>
      <c r="B269" s="245" t="s">
        <v>565</v>
      </c>
      <c r="C269" s="88" t="s">
        <v>635</v>
      </c>
      <c r="D269" s="281" t="s">
        <v>819</v>
      </c>
      <c r="E269" s="443">
        <v>0</v>
      </c>
      <c r="F269" s="191">
        <v>0</v>
      </c>
      <c r="G269" s="427">
        <v>3413.8</v>
      </c>
      <c r="H269" s="155"/>
      <c r="I269">
        <v>735</v>
      </c>
      <c r="K269">
        <v>1973.1000000000001</v>
      </c>
      <c r="L269" s="4">
        <v>221.60000000000002</v>
      </c>
      <c r="M269" s="4">
        <v>54.9</v>
      </c>
      <c r="N269" s="4">
        <v>1989.7</v>
      </c>
      <c r="P269">
        <v>0</v>
      </c>
      <c r="Q269">
        <v>238.29999999999998</v>
      </c>
      <c r="R269">
        <v>0</v>
      </c>
      <c r="S269">
        <v>0</v>
      </c>
      <c r="T269">
        <v>368.5</v>
      </c>
      <c r="W269">
        <v>720.3</v>
      </c>
      <c r="X269">
        <v>1411.5</v>
      </c>
      <c r="Y269">
        <v>96.5</v>
      </c>
      <c r="AA269">
        <v>859.6</v>
      </c>
      <c r="AB269">
        <v>1577.6000000000001</v>
      </c>
      <c r="AE269">
        <v>1330</v>
      </c>
      <c r="AF269">
        <v>1025.5</v>
      </c>
      <c r="AH269">
        <v>509.9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1349.3</v>
      </c>
      <c r="AO269">
        <v>786.40000000000009</v>
      </c>
      <c r="AP269">
        <v>0</v>
      </c>
      <c r="AQ269">
        <v>68.3</v>
      </c>
      <c r="AR269">
        <v>234.9</v>
      </c>
      <c r="AS269">
        <v>600.40000000000009</v>
      </c>
      <c r="AU269">
        <v>985.69999999999993</v>
      </c>
      <c r="AW269">
        <v>792</v>
      </c>
      <c r="AX269">
        <v>1988.5</v>
      </c>
      <c r="AZ269">
        <v>763.5</v>
      </c>
      <c r="BA269">
        <v>0</v>
      </c>
      <c r="BB269">
        <v>0</v>
      </c>
      <c r="BC269">
        <v>1935.3</v>
      </c>
      <c r="BD269">
        <v>1006.5</v>
      </c>
      <c r="BE269">
        <v>0</v>
      </c>
      <c r="BF269">
        <v>0</v>
      </c>
      <c r="BG269">
        <v>0</v>
      </c>
      <c r="BH269">
        <v>1662.6</v>
      </c>
      <c r="BJ269">
        <v>0</v>
      </c>
      <c r="BK269">
        <v>0</v>
      </c>
      <c r="BL269">
        <v>1038.9000000000001</v>
      </c>
      <c r="BM269">
        <v>1101</v>
      </c>
      <c r="BO269">
        <v>1276.8000000000002</v>
      </c>
      <c r="BQ269">
        <v>0</v>
      </c>
      <c r="BR269">
        <v>270.7</v>
      </c>
      <c r="BS269">
        <v>230.5</v>
      </c>
      <c r="BT269">
        <v>472.3</v>
      </c>
      <c r="BU269">
        <v>537.29999999999995</v>
      </c>
      <c r="BV269">
        <v>346.3</v>
      </c>
      <c r="BW269">
        <v>386.2</v>
      </c>
      <c r="BX269">
        <v>767</v>
      </c>
      <c r="BY269">
        <v>757.2</v>
      </c>
      <c r="BZ269">
        <v>1037.2</v>
      </c>
      <c r="CA269">
        <v>1227.0999999999999</v>
      </c>
      <c r="CB269">
        <v>1232.0999999999999</v>
      </c>
      <c r="CC269">
        <v>1701.5</v>
      </c>
      <c r="CD269">
        <v>0</v>
      </c>
      <c r="CG269">
        <v>1385.3</v>
      </c>
      <c r="CJ269">
        <v>1630.2999999999997</v>
      </c>
      <c r="CM269">
        <v>1184.2</v>
      </c>
      <c r="CO269">
        <v>1248.0999999999999</v>
      </c>
      <c r="CQ269">
        <v>1435.3</v>
      </c>
      <c r="CR269">
        <v>798.2</v>
      </c>
      <c r="CS269">
        <v>923.8</v>
      </c>
      <c r="CT269">
        <v>0</v>
      </c>
      <c r="CU269">
        <v>0</v>
      </c>
      <c r="CV269">
        <v>0</v>
      </c>
      <c r="CW269">
        <v>0</v>
      </c>
      <c r="CX269">
        <v>163.69999999999999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I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G269" t="e">
        <v>#N/A</v>
      </c>
      <c r="FI269" t="e">
        <v>#N/A</v>
      </c>
      <c r="FK269" t="e">
        <v>#N/A</v>
      </c>
      <c r="FM269" t="e">
        <v>#N/A</v>
      </c>
      <c r="FO269" t="e">
        <v>#N/A</v>
      </c>
      <c r="FQ269" t="e">
        <v>#N/A</v>
      </c>
      <c r="FS269" t="e">
        <v>#N/A</v>
      </c>
      <c r="FU269" t="e">
        <v>#N/A</v>
      </c>
      <c r="FW269" t="e">
        <v>#N/A</v>
      </c>
      <c r="FY269" t="e">
        <v>#N/A</v>
      </c>
      <c r="GA269" t="e">
        <v>#N/A</v>
      </c>
      <c r="GC269" t="e">
        <v>#N/A</v>
      </c>
      <c r="GE269" t="e">
        <v>#N/A</v>
      </c>
      <c r="GG269" t="e">
        <v>#N/A</v>
      </c>
      <c r="GI269" t="e">
        <v>#N/A</v>
      </c>
      <c r="GK269" t="e">
        <v>#N/A</v>
      </c>
      <c r="GM269" t="e">
        <v>#N/A</v>
      </c>
      <c r="GO269" t="e">
        <v>#N/A</v>
      </c>
      <c r="GQ269" t="e">
        <v>#N/A</v>
      </c>
      <c r="GS269" t="e">
        <v>#N/A</v>
      </c>
      <c r="GU269" t="e">
        <v>#N/A</v>
      </c>
      <c r="GW269" t="e">
        <v>#N/A</v>
      </c>
      <c r="GY269" t="e">
        <v>#N/A</v>
      </c>
      <c r="HA269" t="e">
        <v>#N/A</v>
      </c>
      <c r="HC269">
        <v>0</v>
      </c>
      <c r="HD269">
        <v>0</v>
      </c>
      <c r="HE269">
        <v>0</v>
      </c>
      <c r="HF269">
        <v>0</v>
      </c>
      <c r="HG269">
        <v>0</v>
      </c>
      <c r="HH269">
        <v>0</v>
      </c>
      <c r="HI269">
        <v>0</v>
      </c>
      <c r="HJ269">
        <v>0</v>
      </c>
      <c r="HM269">
        <v>0</v>
      </c>
      <c r="HN269">
        <v>0</v>
      </c>
      <c r="HO269">
        <v>0</v>
      </c>
      <c r="HP269">
        <v>0</v>
      </c>
      <c r="HQ269">
        <v>0</v>
      </c>
      <c r="HR269">
        <v>0</v>
      </c>
      <c r="HS269">
        <v>0</v>
      </c>
      <c r="HT269">
        <v>0</v>
      </c>
      <c r="HW269">
        <v>0</v>
      </c>
      <c r="HX269">
        <v>0</v>
      </c>
      <c r="HY269">
        <v>0</v>
      </c>
      <c r="HZ269">
        <v>0</v>
      </c>
      <c r="IA269">
        <v>3930.6</v>
      </c>
      <c r="IB269">
        <v>3632.9</v>
      </c>
      <c r="IC269">
        <v>3795.5</v>
      </c>
      <c r="ID269">
        <v>0</v>
      </c>
      <c r="IE269">
        <v>0</v>
      </c>
      <c r="IF269">
        <v>3548.5</v>
      </c>
      <c r="IG269">
        <v>3395.2</v>
      </c>
      <c r="IH269">
        <v>3395.4</v>
      </c>
      <c r="II269">
        <v>3302.3</v>
      </c>
      <c r="IJ269">
        <v>3172.8</v>
      </c>
      <c r="IK269">
        <v>0</v>
      </c>
      <c r="IL269">
        <v>0</v>
      </c>
      <c r="IM269">
        <v>0</v>
      </c>
      <c r="IN269">
        <v>0</v>
      </c>
      <c r="IO269">
        <v>123.4</v>
      </c>
      <c r="IP269">
        <v>405.2</v>
      </c>
      <c r="IQ269">
        <v>418.7</v>
      </c>
      <c r="IR269">
        <v>0</v>
      </c>
      <c r="IS269">
        <v>0</v>
      </c>
      <c r="IT269">
        <v>0</v>
      </c>
      <c r="IU269">
        <v>0</v>
      </c>
      <c r="IV269">
        <v>396</v>
      </c>
      <c r="IW269">
        <v>0</v>
      </c>
      <c r="IX269">
        <v>0</v>
      </c>
      <c r="IZ269">
        <v>0</v>
      </c>
      <c r="JA269">
        <v>65.5</v>
      </c>
      <c r="JB269">
        <v>443.5</v>
      </c>
      <c r="JC269">
        <v>0</v>
      </c>
      <c r="JD269">
        <v>0</v>
      </c>
      <c r="JE269">
        <v>0</v>
      </c>
      <c r="JF269">
        <v>0</v>
      </c>
      <c r="JG269">
        <v>0</v>
      </c>
      <c r="JH269">
        <v>0</v>
      </c>
      <c r="JI269">
        <v>0</v>
      </c>
      <c r="JJ269">
        <v>0</v>
      </c>
      <c r="JK269">
        <v>0</v>
      </c>
      <c r="JL269">
        <v>0</v>
      </c>
      <c r="JM269">
        <v>0</v>
      </c>
      <c r="JN269">
        <v>0</v>
      </c>
      <c r="JO269">
        <v>0</v>
      </c>
      <c r="JP269">
        <v>0</v>
      </c>
      <c r="JQ269">
        <v>0</v>
      </c>
      <c r="JR269">
        <v>0</v>
      </c>
      <c r="JS269">
        <v>0</v>
      </c>
      <c r="JT269">
        <v>0</v>
      </c>
      <c r="JU269">
        <v>0</v>
      </c>
      <c r="JV269">
        <v>0</v>
      </c>
      <c r="JW269">
        <v>0</v>
      </c>
      <c r="JX269">
        <v>0</v>
      </c>
      <c r="JY269">
        <v>0</v>
      </c>
      <c r="JZ269">
        <v>0</v>
      </c>
      <c r="KA269">
        <v>0</v>
      </c>
      <c r="KB269">
        <v>0</v>
      </c>
      <c r="KC269">
        <v>0</v>
      </c>
      <c r="KD269">
        <v>0</v>
      </c>
      <c r="KE269">
        <v>0</v>
      </c>
      <c r="KF269">
        <v>0</v>
      </c>
      <c r="KI269">
        <v>344.6</v>
      </c>
      <c r="KJ269">
        <v>350.8</v>
      </c>
      <c r="KK269">
        <v>22.1</v>
      </c>
      <c r="KL269">
        <v>379.3</v>
      </c>
      <c r="KM269">
        <v>241.4</v>
      </c>
      <c r="KN269">
        <v>0</v>
      </c>
      <c r="KO269">
        <v>0</v>
      </c>
      <c r="KP269">
        <v>57.3</v>
      </c>
      <c r="KQ269">
        <v>224.4</v>
      </c>
      <c r="KR269">
        <v>338.3</v>
      </c>
      <c r="KS269">
        <v>215.8</v>
      </c>
      <c r="KT269">
        <v>40.700000000000003</v>
      </c>
      <c r="KW269">
        <v>2154.5</v>
      </c>
      <c r="KX269">
        <v>1255.7</v>
      </c>
      <c r="KY269">
        <v>1630.1</v>
      </c>
      <c r="KZ269">
        <v>1246.9000000000001</v>
      </c>
      <c r="LB269">
        <v>78.099999999999994</v>
      </c>
      <c r="LC269">
        <v>77.7</v>
      </c>
    </row>
    <row r="270" spans="1:315" ht="18" thickBot="1">
      <c r="A270" s="246"/>
      <c r="B270" s="246" t="s">
        <v>566</v>
      </c>
      <c r="C270" s="329" t="s">
        <v>636</v>
      </c>
      <c r="D270" s="282" t="s">
        <v>819</v>
      </c>
      <c r="E270" s="447">
        <v>0</v>
      </c>
      <c r="F270" s="193">
        <v>0</v>
      </c>
      <c r="G270" s="427">
        <v>3413.8</v>
      </c>
      <c r="H270" s="155"/>
      <c r="I270">
        <v>735</v>
      </c>
      <c r="K270">
        <v>1973.1000000000001</v>
      </c>
      <c r="L270" s="4">
        <v>221.60000000000002</v>
      </c>
      <c r="M270" s="4">
        <v>54.9</v>
      </c>
      <c r="N270" s="4">
        <v>1989.7</v>
      </c>
      <c r="P270">
        <v>0</v>
      </c>
      <c r="Q270">
        <v>238.29999999999998</v>
      </c>
      <c r="R270">
        <v>0</v>
      </c>
      <c r="S270">
        <v>0</v>
      </c>
      <c r="T270">
        <v>368.5</v>
      </c>
      <c r="W270">
        <v>720.3</v>
      </c>
      <c r="X270">
        <v>1411.5</v>
      </c>
      <c r="Y270">
        <v>96.5</v>
      </c>
      <c r="AA270">
        <v>859.6</v>
      </c>
      <c r="AB270">
        <v>1577.6000000000001</v>
      </c>
      <c r="AE270">
        <v>1330</v>
      </c>
      <c r="AF270">
        <v>1025.5</v>
      </c>
      <c r="AH270">
        <v>509.9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1349.3</v>
      </c>
      <c r="AO270">
        <v>786.40000000000009</v>
      </c>
      <c r="AP270">
        <v>0</v>
      </c>
      <c r="AQ270">
        <v>68.3</v>
      </c>
      <c r="AR270">
        <v>234.9</v>
      </c>
      <c r="AS270">
        <v>600.40000000000009</v>
      </c>
      <c r="AU270">
        <v>985.69999999999993</v>
      </c>
      <c r="AW270">
        <v>792</v>
      </c>
      <c r="AX270">
        <v>1988.5</v>
      </c>
      <c r="AZ270">
        <v>763.5</v>
      </c>
      <c r="BA270">
        <v>0</v>
      </c>
      <c r="BB270">
        <v>0</v>
      </c>
      <c r="BC270">
        <v>1935.3</v>
      </c>
      <c r="BD270">
        <v>1006.5</v>
      </c>
      <c r="BE270">
        <v>0</v>
      </c>
      <c r="BF270">
        <v>0</v>
      </c>
      <c r="BG270">
        <v>0</v>
      </c>
      <c r="BH270">
        <v>1662.6</v>
      </c>
      <c r="BJ270">
        <v>0</v>
      </c>
      <c r="BK270">
        <v>0</v>
      </c>
      <c r="BL270">
        <v>1038.9000000000001</v>
      </c>
      <c r="BM270">
        <v>1101</v>
      </c>
      <c r="BO270">
        <v>1276.8000000000002</v>
      </c>
      <c r="BQ270">
        <v>0</v>
      </c>
      <c r="BR270">
        <v>270.7</v>
      </c>
      <c r="BS270">
        <v>230.5</v>
      </c>
      <c r="BT270">
        <v>472.3</v>
      </c>
      <c r="BU270">
        <v>537.29999999999995</v>
      </c>
      <c r="BV270">
        <v>346.3</v>
      </c>
      <c r="BW270">
        <v>386.2</v>
      </c>
      <c r="BX270">
        <v>767</v>
      </c>
      <c r="BY270">
        <v>757.2</v>
      </c>
      <c r="BZ270">
        <v>1037.2</v>
      </c>
      <c r="CA270">
        <v>1227.0999999999999</v>
      </c>
      <c r="CB270">
        <v>1232.0999999999999</v>
      </c>
      <c r="CC270">
        <v>1701.5</v>
      </c>
      <c r="CD270">
        <v>0</v>
      </c>
      <c r="CG270">
        <v>1385.3</v>
      </c>
      <c r="CJ270">
        <v>1630.2999999999997</v>
      </c>
      <c r="CM270">
        <v>1184.2</v>
      </c>
      <c r="CO270">
        <v>1248.0999999999999</v>
      </c>
      <c r="CQ270">
        <v>1435.3</v>
      </c>
      <c r="CR270">
        <v>798.2</v>
      </c>
      <c r="CS270">
        <v>923.8</v>
      </c>
      <c r="CT270">
        <v>0</v>
      </c>
      <c r="CU270">
        <v>0</v>
      </c>
      <c r="CV270">
        <v>0</v>
      </c>
      <c r="CW270">
        <v>0</v>
      </c>
      <c r="CX270">
        <v>163.69999999999999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I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0</v>
      </c>
      <c r="ES270">
        <v>0</v>
      </c>
      <c r="ET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G270" t="e">
        <v>#N/A</v>
      </c>
      <c r="FI270" t="e">
        <v>#N/A</v>
      </c>
      <c r="FK270" t="e">
        <v>#N/A</v>
      </c>
      <c r="FM270" t="e">
        <v>#N/A</v>
      </c>
      <c r="FO270" t="e">
        <v>#N/A</v>
      </c>
      <c r="FQ270" t="e">
        <v>#N/A</v>
      </c>
      <c r="FS270" t="e">
        <v>#N/A</v>
      </c>
      <c r="FU270" t="e">
        <v>#N/A</v>
      </c>
      <c r="FW270" t="e">
        <v>#N/A</v>
      </c>
      <c r="FY270" t="e">
        <v>#N/A</v>
      </c>
      <c r="GA270" t="e">
        <v>#N/A</v>
      </c>
      <c r="GC270" t="e">
        <v>#N/A</v>
      </c>
      <c r="GE270" t="e">
        <v>#N/A</v>
      </c>
      <c r="GG270" t="e">
        <v>#N/A</v>
      </c>
      <c r="GI270" t="e">
        <v>#N/A</v>
      </c>
      <c r="GK270" t="e">
        <v>#N/A</v>
      </c>
      <c r="GM270" t="e">
        <v>#N/A</v>
      </c>
      <c r="GO270" t="e">
        <v>#N/A</v>
      </c>
      <c r="GQ270" t="e">
        <v>#N/A</v>
      </c>
      <c r="GS270" t="e">
        <v>#N/A</v>
      </c>
      <c r="GU270" t="e">
        <v>#N/A</v>
      </c>
      <c r="GW270" t="e">
        <v>#N/A</v>
      </c>
      <c r="GY270" t="e">
        <v>#N/A</v>
      </c>
      <c r="HA270" t="e">
        <v>#N/A</v>
      </c>
      <c r="HC270">
        <v>0</v>
      </c>
      <c r="HD270">
        <v>0</v>
      </c>
      <c r="HE270">
        <v>0</v>
      </c>
      <c r="HF270">
        <v>0</v>
      </c>
      <c r="HG270">
        <v>0</v>
      </c>
      <c r="HH270">
        <v>0</v>
      </c>
      <c r="HI270">
        <v>0</v>
      </c>
      <c r="HJ270">
        <v>0</v>
      </c>
      <c r="HM270">
        <v>0</v>
      </c>
      <c r="HN270">
        <v>0</v>
      </c>
      <c r="HO270">
        <v>0</v>
      </c>
      <c r="HP270">
        <v>0</v>
      </c>
      <c r="HQ270">
        <v>0</v>
      </c>
      <c r="HR270">
        <v>0</v>
      </c>
      <c r="HS270">
        <v>0</v>
      </c>
      <c r="HT270">
        <v>0</v>
      </c>
      <c r="HW270">
        <v>0</v>
      </c>
      <c r="HX270">
        <v>0</v>
      </c>
      <c r="HY270">
        <v>0</v>
      </c>
      <c r="HZ270">
        <v>0</v>
      </c>
      <c r="IA270">
        <v>3930.6</v>
      </c>
      <c r="IB270">
        <v>3632.9</v>
      </c>
      <c r="IC270">
        <v>3795.5</v>
      </c>
      <c r="ID270">
        <v>0</v>
      </c>
      <c r="IE270">
        <v>0</v>
      </c>
      <c r="IF270">
        <v>3548.5</v>
      </c>
      <c r="IG270">
        <v>3395.2</v>
      </c>
      <c r="IH270">
        <v>3395.4</v>
      </c>
      <c r="II270">
        <v>3302.3</v>
      </c>
      <c r="IJ270">
        <v>3172.8</v>
      </c>
      <c r="IK270">
        <v>0</v>
      </c>
      <c r="IL270">
        <v>0</v>
      </c>
      <c r="IM270">
        <v>0</v>
      </c>
      <c r="IN270">
        <v>0</v>
      </c>
      <c r="IO270">
        <v>123.4</v>
      </c>
      <c r="IP270">
        <v>405.2</v>
      </c>
      <c r="IQ270">
        <v>418.7</v>
      </c>
      <c r="IR270">
        <v>0</v>
      </c>
      <c r="IS270">
        <v>0</v>
      </c>
      <c r="IT270">
        <v>0</v>
      </c>
      <c r="IU270">
        <v>0</v>
      </c>
      <c r="IV270">
        <v>396</v>
      </c>
      <c r="IW270">
        <v>0</v>
      </c>
      <c r="IX270">
        <v>0</v>
      </c>
      <c r="IZ270">
        <v>0</v>
      </c>
      <c r="JA270">
        <v>65.5</v>
      </c>
      <c r="JB270">
        <v>443.5</v>
      </c>
      <c r="JC270">
        <v>0</v>
      </c>
      <c r="JD270">
        <v>0</v>
      </c>
      <c r="JE270">
        <v>0</v>
      </c>
      <c r="JF270">
        <v>0</v>
      </c>
      <c r="JG270">
        <v>0</v>
      </c>
      <c r="JH270">
        <v>0</v>
      </c>
      <c r="JI270">
        <v>0</v>
      </c>
      <c r="JJ270">
        <v>0</v>
      </c>
      <c r="JK270">
        <v>0</v>
      </c>
      <c r="JL270">
        <v>0</v>
      </c>
      <c r="JM270">
        <v>0</v>
      </c>
      <c r="JN270">
        <v>0</v>
      </c>
      <c r="JO270">
        <v>0</v>
      </c>
      <c r="JP270">
        <v>0</v>
      </c>
      <c r="JQ270">
        <v>0</v>
      </c>
      <c r="JR270">
        <v>0</v>
      </c>
      <c r="JS270">
        <v>0</v>
      </c>
      <c r="JT270">
        <v>0</v>
      </c>
      <c r="JU270">
        <v>0</v>
      </c>
      <c r="JV270">
        <v>0</v>
      </c>
      <c r="JW270">
        <v>0</v>
      </c>
      <c r="JX270">
        <v>0</v>
      </c>
      <c r="JY270">
        <v>0</v>
      </c>
      <c r="JZ270">
        <v>0</v>
      </c>
      <c r="KA270">
        <v>0</v>
      </c>
      <c r="KB270">
        <v>0</v>
      </c>
      <c r="KC270">
        <v>0</v>
      </c>
      <c r="KD270">
        <v>0</v>
      </c>
      <c r="KE270">
        <v>0</v>
      </c>
      <c r="KF270">
        <v>0</v>
      </c>
      <c r="KI270">
        <v>344.6</v>
      </c>
      <c r="KJ270">
        <v>350.8</v>
      </c>
      <c r="KK270">
        <v>22.1</v>
      </c>
      <c r="KL270">
        <v>379.3</v>
      </c>
      <c r="KM270">
        <v>241.4</v>
      </c>
      <c r="KN270">
        <v>0</v>
      </c>
      <c r="KO270">
        <v>0</v>
      </c>
      <c r="KP270">
        <v>57.3</v>
      </c>
      <c r="KQ270">
        <v>224.4</v>
      </c>
      <c r="KR270">
        <v>338.3</v>
      </c>
      <c r="KS270">
        <v>215.8</v>
      </c>
      <c r="KT270">
        <v>40.700000000000003</v>
      </c>
      <c r="KW270">
        <v>2154.5</v>
      </c>
      <c r="KX270">
        <v>1255.7</v>
      </c>
      <c r="KY270">
        <v>1630.1</v>
      </c>
      <c r="KZ270">
        <v>1246.9000000000001</v>
      </c>
      <c r="LB270">
        <v>78.099999999999994</v>
      </c>
      <c r="LC270">
        <v>77.7</v>
      </c>
    </row>
    <row r="271" spans="1:315" ht="18.600000000000001" thickTop="1" thickBot="1">
      <c r="A271" s="182"/>
      <c r="B271" s="182"/>
      <c r="C271" s="330" t="s">
        <v>839</v>
      </c>
      <c r="D271" s="283"/>
      <c r="E271" s="448">
        <v>0</v>
      </c>
      <c r="F271" s="196">
        <v>0</v>
      </c>
      <c r="G271" s="427">
        <v>3413.8</v>
      </c>
      <c r="H271" s="155"/>
      <c r="I271">
        <v>735</v>
      </c>
      <c r="K271">
        <v>1973.1000000000001</v>
      </c>
      <c r="L271" s="4">
        <v>221.60000000000002</v>
      </c>
      <c r="M271" s="4">
        <v>54.9</v>
      </c>
      <c r="N271" s="4">
        <v>1989.7</v>
      </c>
      <c r="P271">
        <v>0</v>
      </c>
      <c r="Q271">
        <v>238.29999999999998</v>
      </c>
      <c r="R271">
        <v>0</v>
      </c>
      <c r="S271">
        <v>0</v>
      </c>
      <c r="T271">
        <v>368.5</v>
      </c>
      <c r="W271">
        <v>720.3</v>
      </c>
      <c r="X271">
        <v>1411.5</v>
      </c>
      <c r="Y271">
        <v>96.5</v>
      </c>
      <c r="AA271">
        <v>859.6</v>
      </c>
      <c r="AB271">
        <v>1577.6000000000001</v>
      </c>
      <c r="AE271">
        <v>1330</v>
      </c>
      <c r="AF271">
        <v>1025.5</v>
      </c>
      <c r="AH271">
        <v>509.9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1349.3</v>
      </c>
      <c r="AO271">
        <v>786.40000000000009</v>
      </c>
      <c r="AP271">
        <v>0</v>
      </c>
      <c r="AQ271">
        <v>68.3</v>
      </c>
      <c r="AR271">
        <v>234.9</v>
      </c>
      <c r="AS271">
        <v>600.40000000000009</v>
      </c>
      <c r="AU271">
        <v>985.69999999999993</v>
      </c>
      <c r="AW271">
        <v>792</v>
      </c>
      <c r="AX271">
        <v>1988.5</v>
      </c>
      <c r="AZ271">
        <v>763.5</v>
      </c>
      <c r="BA271">
        <v>0</v>
      </c>
      <c r="BB271">
        <v>0</v>
      </c>
      <c r="BC271">
        <v>1935.3</v>
      </c>
      <c r="BD271">
        <v>1006.5</v>
      </c>
      <c r="BE271">
        <v>0</v>
      </c>
      <c r="BF271">
        <v>0</v>
      </c>
      <c r="BG271">
        <v>0</v>
      </c>
      <c r="BH271">
        <v>1662.6</v>
      </c>
      <c r="BJ271">
        <v>0</v>
      </c>
      <c r="BK271">
        <v>0</v>
      </c>
      <c r="BL271">
        <v>1038.9000000000001</v>
      </c>
      <c r="BM271">
        <v>1101</v>
      </c>
      <c r="BO271">
        <v>1276.8000000000002</v>
      </c>
      <c r="BQ271">
        <v>0</v>
      </c>
      <c r="BR271">
        <v>270.7</v>
      </c>
      <c r="BS271">
        <v>230.5</v>
      </c>
      <c r="BT271">
        <v>472.3</v>
      </c>
      <c r="BU271">
        <v>537.29999999999995</v>
      </c>
      <c r="BV271">
        <v>346.3</v>
      </c>
      <c r="BW271">
        <v>386.2</v>
      </c>
      <c r="BX271">
        <v>767</v>
      </c>
      <c r="BY271">
        <v>757.2</v>
      </c>
      <c r="BZ271">
        <v>1037.2</v>
      </c>
      <c r="CA271">
        <v>1227.0999999999999</v>
      </c>
      <c r="CB271">
        <v>1232.0999999999999</v>
      </c>
      <c r="CC271">
        <v>1701.5</v>
      </c>
      <c r="CD271">
        <v>0</v>
      </c>
      <c r="CG271">
        <v>1385.3</v>
      </c>
      <c r="CJ271">
        <v>1630.2999999999997</v>
      </c>
      <c r="CM271">
        <v>1184.2</v>
      </c>
      <c r="CO271">
        <v>1248.0999999999999</v>
      </c>
      <c r="CQ271">
        <v>1435.3</v>
      </c>
      <c r="CR271">
        <v>798.2</v>
      </c>
      <c r="CS271">
        <v>923.8</v>
      </c>
      <c r="CT271">
        <v>0</v>
      </c>
      <c r="CU271">
        <v>0</v>
      </c>
      <c r="CV271">
        <v>0</v>
      </c>
      <c r="CW271">
        <v>0</v>
      </c>
      <c r="CX271">
        <v>163.69999999999999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I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0</v>
      </c>
      <c r="ES271">
        <v>0</v>
      </c>
      <c r="ET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G271" t="e">
        <v>#N/A</v>
      </c>
      <c r="FI271" t="e">
        <v>#N/A</v>
      </c>
      <c r="FK271" t="e">
        <v>#N/A</v>
      </c>
      <c r="FM271" t="e">
        <v>#N/A</v>
      </c>
      <c r="FO271" t="e">
        <v>#N/A</v>
      </c>
      <c r="FQ271" t="e">
        <v>#N/A</v>
      </c>
      <c r="FS271" t="e">
        <v>#N/A</v>
      </c>
      <c r="FU271" t="e">
        <v>#N/A</v>
      </c>
      <c r="FW271" t="e">
        <v>#N/A</v>
      </c>
      <c r="FY271" t="e">
        <v>#N/A</v>
      </c>
      <c r="GA271" t="e">
        <v>#N/A</v>
      </c>
      <c r="GC271" t="e">
        <v>#N/A</v>
      </c>
      <c r="GE271" t="e">
        <v>#N/A</v>
      </c>
      <c r="GG271" t="e">
        <v>#N/A</v>
      </c>
      <c r="GI271" t="e">
        <v>#N/A</v>
      </c>
      <c r="GK271" t="e">
        <v>#N/A</v>
      </c>
      <c r="GM271" t="e">
        <v>#N/A</v>
      </c>
      <c r="GO271" t="e">
        <v>#N/A</v>
      </c>
      <c r="GQ271" t="e">
        <v>#N/A</v>
      </c>
      <c r="GS271" t="e">
        <v>#N/A</v>
      </c>
      <c r="GU271" t="e">
        <v>#N/A</v>
      </c>
      <c r="GW271" t="e">
        <v>#N/A</v>
      </c>
      <c r="GY271" t="e">
        <v>#N/A</v>
      </c>
      <c r="HA271" t="e">
        <v>#N/A</v>
      </c>
      <c r="HC271">
        <v>0</v>
      </c>
      <c r="HD271">
        <v>0</v>
      </c>
      <c r="HE271">
        <v>0</v>
      </c>
      <c r="HF271">
        <v>0</v>
      </c>
      <c r="HG271">
        <v>0</v>
      </c>
      <c r="HH271">
        <v>0</v>
      </c>
      <c r="HI271">
        <v>0</v>
      </c>
      <c r="HJ271">
        <v>0</v>
      </c>
      <c r="HM271">
        <v>0</v>
      </c>
      <c r="HN271">
        <v>0</v>
      </c>
      <c r="HO271">
        <v>0</v>
      </c>
      <c r="HP271">
        <v>0</v>
      </c>
      <c r="HQ271">
        <v>0</v>
      </c>
      <c r="HR271">
        <v>0</v>
      </c>
      <c r="HS271">
        <v>0</v>
      </c>
      <c r="HT271">
        <v>0</v>
      </c>
      <c r="HW271">
        <v>0</v>
      </c>
      <c r="HX271">
        <v>0</v>
      </c>
      <c r="HY271">
        <v>0</v>
      </c>
      <c r="HZ271">
        <v>0</v>
      </c>
      <c r="IA271">
        <v>3930.6</v>
      </c>
      <c r="IB271">
        <v>3632.9</v>
      </c>
      <c r="IC271">
        <v>3795.5</v>
      </c>
      <c r="ID271">
        <v>0</v>
      </c>
      <c r="IE271">
        <v>0</v>
      </c>
      <c r="IF271">
        <v>3548.5</v>
      </c>
      <c r="IG271">
        <v>3395.2</v>
      </c>
      <c r="IH271">
        <v>3395.4</v>
      </c>
      <c r="II271">
        <v>3302.3</v>
      </c>
      <c r="IJ271">
        <v>3172.8</v>
      </c>
      <c r="IK271">
        <v>0</v>
      </c>
      <c r="IL271">
        <v>0</v>
      </c>
      <c r="IM271">
        <v>0</v>
      </c>
      <c r="IN271">
        <v>0</v>
      </c>
      <c r="IO271">
        <v>123.4</v>
      </c>
      <c r="IP271">
        <v>405.2</v>
      </c>
      <c r="IQ271">
        <v>418.7</v>
      </c>
      <c r="IR271">
        <v>0</v>
      </c>
      <c r="IS271">
        <v>0</v>
      </c>
      <c r="IT271">
        <v>0</v>
      </c>
      <c r="IU271">
        <v>0</v>
      </c>
      <c r="IV271">
        <v>396</v>
      </c>
      <c r="IW271">
        <v>0</v>
      </c>
      <c r="IX271">
        <v>0</v>
      </c>
      <c r="IZ271">
        <v>0</v>
      </c>
      <c r="JA271">
        <v>65.5</v>
      </c>
      <c r="JB271">
        <v>443.5</v>
      </c>
      <c r="JC271">
        <v>0</v>
      </c>
      <c r="JD271">
        <v>0</v>
      </c>
      <c r="JE271">
        <v>0</v>
      </c>
      <c r="JF271">
        <v>0</v>
      </c>
      <c r="JG271">
        <v>0</v>
      </c>
      <c r="JH271">
        <v>0</v>
      </c>
      <c r="JI271">
        <v>0</v>
      </c>
      <c r="JJ271">
        <v>0</v>
      </c>
      <c r="JK271">
        <v>0</v>
      </c>
      <c r="JL271">
        <v>0</v>
      </c>
      <c r="JM271">
        <v>0</v>
      </c>
      <c r="JN271">
        <v>0</v>
      </c>
      <c r="JO271">
        <v>0</v>
      </c>
      <c r="JP271">
        <v>0</v>
      </c>
      <c r="JQ271">
        <v>0</v>
      </c>
      <c r="JR271">
        <v>0</v>
      </c>
      <c r="JS271">
        <v>0</v>
      </c>
      <c r="JT271">
        <v>0</v>
      </c>
      <c r="JU271">
        <v>0</v>
      </c>
      <c r="JV271">
        <v>0</v>
      </c>
      <c r="JW271">
        <v>0</v>
      </c>
      <c r="JX271">
        <v>0</v>
      </c>
      <c r="JY271">
        <v>0</v>
      </c>
      <c r="JZ271">
        <v>0</v>
      </c>
      <c r="KA271">
        <v>0</v>
      </c>
      <c r="KB271">
        <v>0</v>
      </c>
      <c r="KC271">
        <v>0</v>
      </c>
      <c r="KD271">
        <v>0</v>
      </c>
      <c r="KE271">
        <v>0</v>
      </c>
      <c r="KF271">
        <v>0</v>
      </c>
      <c r="KI271">
        <v>344.6</v>
      </c>
      <c r="KJ271">
        <v>350.8</v>
      </c>
      <c r="KK271">
        <v>22.1</v>
      </c>
      <c r="KL271">
        <v>379.3</v>
      </c>
      <c r="KM271">
        <v>241.4</v>
      </c>
      <c r="KN271">
        <v>0</v>
      </c>
      <c r="KO271">
        <v>0</v>
      </c>
      <c r="KP271">
        <v>57.3</v>
      </c>
      <c r="KQ271">
        <v>224.4</v>
      </c>
      <c r="KR271">
        <v>338.3</v>
      </c>
      <c r="KS271">
        <v>215.8</v>
      </c>
      <c r="KT271">
        <v>40.700000000000003</v>
      </c>
      <c r="KW271">
        <v>2154.5</v>
      </c>
      <c r="KX271">
        <v>1255.7</v>
      </c>
      <c r="KY271">
        <v>1630.1</v>
      </c>
      <c r="KZ271">
        <v>1246.9000000000001</v>
      </c>
      <c r="LB271">
        <v>78.099999999999994</v>
      </c>
      <c r="LC271">
        <v>77.7</v>
      </c>
    </row>
    <row r="272" spans="1:315" ht="18" thickBot="1">
      <c r="A272" s="245"/>
      <c r="B272" s="245" t="s">
        <v>567</v>
      </c>
      <c r="C272" s="88" t="s">
        <v>637</v>
      </c>
      <c r="D272" s="274" t="s">
        <v>781</v>
      </c>
      <c r="E272" s="443">
        <v>0</v>
      </c>
      <c r="F272" s="191">
        <v>0</v>
      </c>
      <c r="G272" s="427">
        <v>3413.8</v>
      </c>
      <c r="H272" s="155"/>
      <c r="I272">
        <v>735</v>
      </c>
      <c r="K272">
        <v>1973.1000000000001</v>
      </c>
      <c r="L272" s="4">
        <v>221.60000000000002</v>
      </c>
      <c r="M272" s="4">
        <v>54.9</v>
      </c>
      <c r="N272" s="4">
        <v>1989.7</v>
      </c>
      <c r="P272">
        <v>0</v>
      </c>
      <c r="Q272">
        <v>238.29999999999998</v>
      </c>
      <c r="R272">
        <v>0</v>
      </c>
      <c r="S272">
        <v>0</v>
      </c>
      <c r="T272">
        <v>368.5</v>
      </c>
      <c r="W272">
        <v>720.3</v>
      </c>
      <c r="X272">
        <v>1411.5</v>
      </c>
      <c r="Y272">
        <v>96.5</v>
      </c>
      <c r="AA272">
        <v>859.6</v>
      </c>
      <c r="AB272">
        <v>1577.6000000000001</v>
      </c>
      <c r="AE272">
        <v>1330</v>
      </c>
      <c r="AF272">
        <v>1025.5</v>
      </c>
      <c r="AH272">
        <v>509.9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1349.3</v>
      </c>
      <c r="AO272">
        <v>786.40000000000009</v>
      </c>
      <c r="AP272">
        <v>0</v>
      </c>
      <c r="AQ272">
        <v>68.3</v>
      </c>
      <c r="AR272">
        <v>234.9</v>
      </c>
      <c r="AS272">
        <v>600.40000000000009</v>
      </c>
      <c r="AU272">
        <v>985.69999999999993</v>
      </c>
      <c r="AW272">
        <v>792</v>
      </c>
      <c r="AX272">
        <v>1988.5</v>
      </c>
      <c r="AZ272">
        <v>763.5</v>
      </c>
      <c r="BA272">
        <v>0</v>
      </c>
      <c r="BB272">
        <v>0</v>
      </c>
      <c r="BC272">
        <v>1935.3</v>
      </c>
      <c r="BD272">
        <v>1006.5</v>
      </c>
      <c r="BE272">
        <v>0</v>
      </c>
      <c r="BF272">
        <v>0</v>
      </c>
      <c r="BG272">
        <v>0</v>
      </c>
      <c r="BH272">
        <v>1662.6</v>
      </c>
      <c r="BJ272">
        <v>0</v>
      </c>
      <c r="BK272">
        <v>0</v>
      </c>
      <c r="BL272">
        <v>1038.9000000000001</v>
      </c>
      <c r="BM272">
        <v>1101</v>
      </c>
      <c r="BO272">
        <v>1276.8000000000002</v>
      </c>
      <c r="BQ272">
        <v>0</v>
      </c>
      <c r="BR272">
        <v>270.7</v>
      </c>
      <c r="BS272">
        <v>230.5</v>
      </c>
      <c r="BT272">
        <v>472.3</v>
      </c>
      <c r="BU272">
        <v>537.29999999999995</v>
      </c>
      <c r="BV272">
        <v>346.3</v>
      </c>
      <c r="BW272">
        <v>386.2</v>
      </c>
      <c r="BX272">
        <v>767</v>
      </c>
      <c r="BY272">
        <v>757.2</v>
      </c>
      <c r="BZ272">
        <v>1037.2</v>
      </c>
      <c r="CA272">
        <v>1227.0999999999999</v>
      </c>
      <c r="CB272">
        <v>1232.0999999999999</v>
      </c>
      <c r="CC272">
        <v>1701.5</v>
      </c>
      <c r="CD272">
        <v>0</v>
      </c>
      <c r="CG272">
        <v>1385.3</v>
      </c>
      <c r="CJ272">
        <v>1630.2999999999997</v>
      </c>
      <c r="CM272">
        <v>1184.2</v>
      </c>
      <c r="CO272">
        <v>1248.0999999999999</v>
      </c>
      <c r="CQ272">
        <v>1435.3</v>
      </c>
      <c r="CR272">
        <v>798.2</v>
      </c>
      <c r="CS272">
        <v>923.8</v>
      </c>
      <c r="CT272">
        <v>0</v>
      </c>
      <c r="CU272">
        <v>0</v>
      </c>
      <c r="CV272">
        <v>0</v>
      </c>
      <c r="CW272">
        <v>0</v>
      </c>
      <c r="CX272">
        <v>163.69999999999999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I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0</v>
      </c>
      <c r="ES272">
        <v>0</v>
      </c>
      <c r="ET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G272" t="e">
        <v>#N/A</v>
      </c>
      <c r="FI272" t="e">
        <v>#N/A</v>
      </c>
      <c r="FK272" t="e">
        <v>#N/A</v>
      </c>
      <c r="FM272" t="e">
        <v>#N/A</v>
      </c>
      <c r="FO272" t="e">
        <v>#N/A</v>
      </c>
      <c r="FQ272" t="e">
        <v>#N/A</v>
      </c>
      <c r="FS272" t="e">
        <v>#N/A</v>
      </c>
      <c r="FU272" t="e">
        <v>#N/A</v>
      </c>
      <c r="FW272" t="e">
        <v>#N/A</v>
      </c>
      <c r="FY272" t="e">
        <v>#N/A</v>
      </c>
      <c r="GA272" t="e">
        <v>#N/A</v>
      </c>
      <c r="GC272" t="e">
        <v>#N/A</v>
      </c>
      <c r="GE272" t="e">
        <v>#N/A</v>
      </c>
      <c r="GG272" t="e">
        <v>#N/A</v>
      </c>
      <c r="GI272" t="e">
        <v>#N/A</v>
      </c>
      <c r="GK272" t="e">
        <v>#N/A</v>
      </c>
      <c r="GM272" t="e">
        <v>#N/A</v>
      </c>
      <c r="GO272" t="e">
        <v>#N/A</v>
      </c>
      <c r="GQ272" t="e">
        <v>#N/A</v>
      </c>
      <c r="GS272" t="e">
        <v>#N/A</v>
      </c>
      <c r="GU272" t="e">
        <v>#N/A</v>
      </c>
      <c r="GW272" t="e">
        <v>#N/A</v>
      </c>
      <c r="GY272" t="e">
        <v>#N/A</v>
      </c>
      <c r="HA272" t="e">
        <v>#N/A</v>
      </c>
      <c r="HC272">
        <v>0</v>
      </c>
      <c r="HD272">
        <v>0</v>
      </c>
      <c r="HE272">
        <v>0</v>
      </c>
      <c r="HF272">
        <v>0</v>
      </c>
      <c r="HG272">
        <v>0</v>
      </c>
      <c r="HH272">
        <v>0</v>
      </c>
      <c r="HI272">
        <v>0</v>
      </c>
      <c r="HJ272">
        <v>0</v>
      </c>
      <c r="HM272">
        <v>0</v>
      </c>
      <c r="HN272">
        <v>0</v>
      </c>
      <c r="HO272">
        <v>0</v>
      </c>
      <c r="HP272">
        <v>0</v>
      </c>
      <c r="HQ272">
        <v>0</v>
      </c>
      <c r="HR272">
        <v>0</v>
      </c>
      <c r="HS272">
        <v>0</v>
      </c>
      <c r="HT272">
        <v>0</v>
      </c>
      <c r="HW272">
        <v>0</v>
      </c>
      <c r="HX272">
        <v>0</v>
      </c>
      <c r="HY272">
        <v>0</v>
      </c>
      <c r="HZ272">
        <v>0</v>
      </c>
      <c r="IA272">
        <v>3930.6</v>
      </c>
      <c r="IB272">
        <v>3632.9</v>
      </c>
      <c r="IC272">
        <v>3795.5</v>
      </c>
      <c r="ID272">
        <v>0</v>
      </c>
      <c r="IE272">
        <v>0</v>
      </c>
      <c r="IF272">
        <v>3548.5</v>
      </c>
      <c r="IG272">
        <v>3395.2</v>
      </c>
      <c r="IH272">
        <v>3395.4</v>
      </c>
      <c r="II272">
        <v>3302.3</v>
      </c>
      <c r="IJ272">
        <v>3172.8</v>
      </c>
      <c r="IK272">
        <v>0</v>
      </c>
      <c r="IL272">
        <v>0</v>
      </c>
      <c r="IM272">
        <v>0</v>
      </c>
      <c r="IN272">
        <v>0</v>
      </c>
      <c r="IO272">
        <v>123.4</v>
      </c>
      <c r="IP272">
        <v>405.2</v>
      </c>
      <c r="IQ272">
        <v>418.7</v>
      </c>
      <c r="IR272">
        <v>0</v>
      </c>
      <c r="IS272">
        <v>0</v>
      </c>
      <c r="IT272">
        <v>0</v>
      </c>
      <c r="IU272">
        <v>0</v>
      </c>
      <c r="IV272">
        <v>396</v>
      </c>
      <c r="IW272">
        <v>0</v>
      </c>
      <c r="IX272">
        <v>0</v>
      </c>
      <c r="IZ272">
        <v>0</v>
      </c>
      <c r="JA272">
        <v>65.5</v>
      </c>
      <c r="JB272">
        <v>443.5</v>
      </c>
      <c r="JC272">
        <v>0</v>
      </c>
      <c r="JD272">
        <v>0</v>
      </c>
      <c r="JE272">
        <v>0</v>
      </c>
      <c r="JF272">
        <v>0</v>
      </c>
      <c r="JG272">
        <v>0</v>
      </c>
      <c r="JH272">
        <v>0</v>
      </c>
      <c r="JI272">
        <v>0</v>
      </c>
      <c r="JJ272">
        <v>0</v>
      </c>
      <c r="JK272">
        <v>0</v>
      </c>
      <c r="JL272">
        <v>0</v>
      </c>
      <c r="JM272">
        <v>0</v>
      </c>
      <c r="JN272">
        <v>0</v>
      </c>
      <c r="JO272">
        <v>0</v>
      </c>
      <c r="JP272">
        <v>0</v>
      </c>
      <c r="JQ272">
        <v>0</v>
      </c>
      <c r="JR272">
        <v>0</v>
      </c>
      <c r="JS272">
        <v>0</v>
      </c>
      <c r="JT272">
        <v>0</v>
      </c>
      <c r="JU272">
        <v>0</v>
      </c>
      <c r="JV272">
        <v>0</v>
      </c>
      <c r="JW272">
        <v>0</v>
      </c>
      <c r="JX272">
        <v>0</v>
      </c>
      <c r="JY272">
        <v>0</v>
      </c>
      <c r="JZ272">
        <v>0</v>
      </c>
      <c r="KA272">
        <v>0</v>
      </c>
      <c r="KB272">
        <v>0</v>
      </c>
      <c r="KC272">
        <v>0</v>
      </c>
      <c r="KD272">
        <v>0</v>
      </c>
      <c r="KE272">
        <v>0</v>
      </c>
      <c r="KF272">
        <v>0</v>
      </c>
      <c r="KI272">
        <v>344.6</v>
      </c>
      <c r="KJ272">
        <v>350.8</v>
      </c>
      <c r="KK272">
        <v>22.1</v>
      </c>
      <c r="KL272">
        <v>379.3</v>
      </c>
      <c r="KM272">
        <v>241.4</v>
      </c>
      <c r="KN272">
        <v>0</v>
      </c>
      <c r="KO272">
        <v>0</v>
      </c>
      <c r="KP272">
        <v>57.3</v>
      </c>
      <c r="KQ272">
        <v>224.4</v>
      </c>
      <c r="KR272">
        <v>338.3</v>
      </c>
      <c r="KS272">
        <v>215.8</v>
      </c>
      <c r="KT272">
        <v>40.700000000000003</v>
      </c>
      <c r="KW272">
        <v>2154.5</v>
      </c>
      <c r="KX272">
        <v>1255.7</v>
      </c>
      <c r="KY272">
        <v>1630.1</v>
      </c>
      <c r="KZ272">
        <v>1246.9000000000001</v>
      </c>
      <c r="LB272">
        <v>78.099999999999994</v>
      </c>
      <c r="LC272">
        <v>77.7</v>
      </c>
    </row>
    <row r="273" spans="1:315" ht="18" thickBot="1">
      <c r="A273" s="245"/>
      <c r="B273" s="245" t="s">
        <v>568</v>
      </c>
      <c r="C273" s="88" t="s">
        <v>638</v>
      </c>
      <c r="D273" s="274" t="s">
        <v>812</v>
      </c>
      <c r="E273" s="443">
        <v>0</v>
      </c>
      <c r="F273" s="191">
        <v>0</v>
      </c>
      <c r="G273" s="427">
        <v>3413.8</v>
      </c>
      <c r="H273" s="155"/>
      <c r="I273">
        <v>735</v>
      </c>
      <c r="K273">
        <v>1973.1000000000001</v>
      </c>
      <c r="L273" s="4">
        <v>221.60000000000002</v>
      </c>
      <c r="M273" s="4">
        <v>54.9</v>
      </c>
      <c r="N273" s="4">
        <v>1989.7</v>
      </c>
      <c r="P273">
        <v>0</v>
      </c>
      <c r="Q273">
        <v>238.29999999999998</v>
      </c>
      <c r="R273">
        <v>0</v>
      </c>
      <c r="S273">
        <v>0</v>
      </c>
      <c r="T273">
        <v>368.5</v>
      </c>
      <c r="W273">
        <v>720.3</v>
      </c>
      <c r="X273">
        <v>1411.5</v>
      </c>
      <c r="Y273">
        <v>96.5</v>
      </c>
      <c r="AA273">
        <v>859.6</v>
      </c>
      <c r="AB273">
        <v>1577.6000000000001</v>
      </c>
      <c r="AE273">
        <v>1330</v>
      </c>
      <c r="AF273">
        <v>1025.5</v>
      </c>
      <c r="AH273">
        <v>509.9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1349.3</v>
      </c>
      <c r="AO273">
        <v>786.40000000000009</v>
      </c>
      <c r="AP273">
        <v>0</v>
      </c>
      <c r="AQ273">
        <v>68.3</v>
      </c>
      <c r="AR273">
        <v>234.9</v>
      </c>
      <c r="AS273">
        <v>600.40000000000009</v>
      </c>
      <c r="AU273">
        <v>985.69999999999993</v>
      </c>
      <c r="AW273">
        <v>792</v>
      </c>
      <c r="AX273">
        <v>1988.5</v>
      </c>
      <c r="AZ273">
        <v>763.5</v>
      </c>
      <c r="BA273">
        <v>0</v>
      </c>
      <c r="BB273">
        <v>0</v>
      </c>
      <c r="BC273">
        <v>1935.3</v>
      </c>
      <c r="BD273">
        <v>1006.5</v>
      </c>
      <c r="BE273">
        <v>0</v>
      </c>
      <c r="BF273">
        <v>0</v>
      </c>
      <c r="BG273">
        <v>0</v>
      </c>
      <c r="BH273">
        <v>1662.6</v>
      </c>
      <c r="BJ273">
        <v>0</v>
      </c>
      <c r="BK273">
        <v>0</v>
      </c>
      <c r="BL273">
        <v>1038.9000000000001</v>
      </c>
      <c r="BM273">
        <v>1101</v>
      </c>
      <c r="BO273">
        <v>1276.8000000000002</v>
      </c>
      <c r="BQ273">
        <v>0</v>
      </c>
      <c r="BR273">
        <v>270.7</v>
      </c>
      <c r="BS273">
        <v>230.5</v>
      </c>
      <c r="BT273">
        <v>472.3</v>
      </c>
      <c r="BU273">
        <v>537.29999999999995</v>
      </c>
      <c r="BV273">
        <v>346.3</v>
      </c>
      <c r="BW273">
        <v>386.2</v>
      </c>
      <c r="BX273">
        <v>767</v>
      </c>
      <c r="BY273">
        <v>757.2</v>
      </c>
      <c r="BZ273">
        <v>1037.2</v>
      </c>
      <c r="CA273">
        <v>1227.0999999999999</v>
      </c>
      <c r="CB273">
        <v>1232.0999999999999</v>
      </c>
      <c r="CC273">
        <v>1701.5</v>
      </c>
      <c r="CD273">
        <v>0</v>
      </c>
      <c r="CG273">
        <v>1385.3</v>
      </c>
      <c r="CJ273">
        <v>1630.2999999999997</v>
      </c>
      <c r="CM273">
        <v>1184.2</v>
      </c>
      <c r="CO273">
        <v>1248.0999999999999</v>
      </c>
      <c r="CQ273">
        <v>1435.3</v>
      </c>
      <c r="CR273">
        <v>798.2</v>
      </c>
      <c r="CS273">
        <v>923.8</v>
      </c>
      <c r="CT273">
        <v>0</v>
      </c>
      <c r="CU273">
        <v>0</v>
      </c>
      <c r="CV273">
        <v>0</v>
      </c>
      <c r="CW273">
        <v>0</v>
      </c>
      <c r="CX273">
        <v>163.69999999999999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I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0</v>
      </c>
      <c r="ET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G273" t="e">
        <v>#N/A</v>
      </c>
      <c r="FI273" t="e">
        <v>#N/A</v>
      </c>
      <c r="FK273" t="e">
        <v>#N/A</v>
      </c>
      <c r="FM273" t="e">
        <v>#N/A</v>
      </c>
      <c r="FO273" t="e">
        <v>#N/A</v>
      </c>
      <c r="FQ273" t="e">
        <v>#N/A</v>
      </c>
      <c r="FS273" t="e">
        <v>#N/A</v>
      </c>
      <c r="FU273" t="e">
        <v>#N/A</v>
      </c>
      <c r="FW273" t="e">
        <v>#N/A</v>
      </c>
      <c r="FY273" t="e">
        <v>#N/A</v>
      </c>
      <c r="GA273" t="e">
        <v>#N/A</v>
      </c>
      <c r="GC273" t="e">
        <v>#N/A</v>
      </c>
      <c r="GE273" t="e">
        <v>#N/A</v>
      </c>
      <c r="GG273" t="e">
        <v>#N/A</v>
      </c>
      <c r="GI273" t="e">
        <v>#N/A</v>
      </c>
      <c r="GK273" t="e">
        <v>#N/A</v>
      </c>
      <c r="GM273" t="e">
        <v>#N/A</v>
      </c>
      <c r="GO273" t="e">
        <v>#N/A</v>
      </c>
      <c r="GQ273" t="e">
        <v>#N/A</v>
      </c>
      <c r="GS273" t="e">
        <v>#N/A</v>
      </c>
      <c r="GU273" t="e">
        <v>#N/A</v>
      </c>
      <c r="GW273" t="e">
        <v>#N/A</v>
      </c>
      <c r="GY273" t="e">
        <v>#N/A</v>
      </c>
      <c r="HA273" t="e">
        <v>#N/A</v>
      </c>
      <c r="HC273">
        <v>0</v>
      </c>
      <c r="HD273">
        <v>0</v>
      </c>
      <c r="HE273">
        <v>0</v>
      </c>
      <c r="HF273">
        <v>0</v>
      </c>
      <c r="HG273">
        <v>0</v>
      </c>
      <c r="HH273">
        <v>0</v>
      </c>
      <c r="HI273">
        <v>0</v>
      </c>
      <c r="HJ273">
        <v>0</v>
      </c>
      <c r="HM273">
        <v>0</v>
      </c>
      <c r="HN273">
        <v>0</v>
      </c>
      <c r="HO273">
        <v>0</v>
      </c>
      <c r="HP273">
        <v>0</v>
      </c>
      <c r="HQ273">
        <v>0</v>
      </c>
      <c r="HR273">
        <v>0</v>
      </c>
      <c r="HS273">
        <v>0</v>
      </c>
      <c r="HT273">
        <v>0</v>
      </c>
      <c r="HW273">
        <v>0</v>
      </c>
      <c r="HX273">
        <v>0</v>
      </c>
      <c r="HY273">
        <v>0</v>
      </c>
      <c r="HZ273">
        <v>0</v>
      </c>
      <c r="IA273">
        <v>3930.6</v>
      </c>
      <c r="IB273">
        <v>3632.9</v>
      </c>
      <c r="IC273">
        <v>3795.5</v>
      </c>
      <c r="ID273">
        <v>0</v>
      </c>
      <c r="IE273">
        <v>0</v>
      </c>
      <c r="IF273">
        <v>3548.5</v>
      </c>
      <c r="IG273">
        <v>3395.2</v>
      </c>
      <c r="IH273">
        <v>3395.4</v>
      </c>
      <c r="II273">
        <v>3302.3</v>
      </c>
      <c r="IJ273">
        <v>3172.8</v>
      </c>
      <c r="IK273">
        <v>0</v>
      </c>
      <c r="IL273">
        <v>0</v>
      </c>
      <c r="IM273">
        <v>0</v>
      </c>
      <c r="IN273">
        <v>0</v>
      </c>
      <c r="IO273">
        <v>123.4</v>
      </c>
      <c r="IP273">
        <v>405.2</v>
      </c>
      <c r="IQ273">
        <v>418.7</v>
      </c>
      <c r="IR273">
        <v>0</v>
      </c>
      <c r="IS273">
        <v>0</v>
      </c>
      <c r="IT273">
        <v>0</v>
      </c>
      <c r="IU273">
        <v>0</v>
      </c>
      <c r="IV273">
        <v>396</v>
      </c>
      <c r="IW273">
        <v>0</v>
      </c>
      <c r="IX273">
        <v>0</v>
      </c>
      <c r="IZ273">
        <v>0</v>
      </c>
      <c r="JA273">
        <v>65.5</v>
      </c>
      <c r="JB273">
        <v>443.5</v>
      </c>
      <c r="JC273">
        <v>0</v>
      </c>
      <c r="JD273">
        <v>0</v>
      </c>
      <c r="JE273">
        <v>0</v>
      </c>
      <c r="JF273">
        <v>0</v>
      </c>
      <c r="JG273">
        <v>0</v>
      </c>
      <c r="JH273">
        <v>0</v>
      </c>
      <c r="JI273">
        <v>0</v>
      </c>
      <c r="JJ273">
        <v>0</v>
      </c>
      <c r="JK273">
        <v>0</v>
      </c>
      <c r="JL273">
        <v>0</v>
      </c>
      <c r="JM273">
        <v>0</v>
      </c>
      <c r="JN273">
        <v>0</v>
      </c>
      <c r="JO273">
        <v>0</v>
      </c>
      <c r="JP273">
        <v>0</v>
      </c>
      <c r="JQ273">
        <v>0</v>
      </c>
      <c r="JR273">
        <v>0</v>
      </c>
      <c r="JS273">
        <v>0</v>
      </c>
      <c r="JT273">
        <v>0</v>
      </c>
      <c r="JU273">
        <v>0</v>
      </c>
      <c r="JV273">
        <v>0</v>
      </c>
      <c r="JW273">
        <v>0</v>
      </c>
      <c r="JX273">
        <v>0</v>
      </c>
      <c r="JY273">
        <v>0</v>
      </c>
      <c r="JZ273">
        <v>0</v>
      </c>
      <c r="KA273">
        <v>0</v>
      </c>
      <c r="KB273">
        <v>0</v>
      </c>
      <c r="KC273">
        <v>0</v>
      </c>
      <c r="KD273">
        <v>0</v>
      </c>
      <c r="KE273">
        <v>0</v>
      </c>
      <c r="KF273">
        <v>0</v>
      </c>
      <c r="KI273">
        <v>344.6</v>
      </c>
      <c r="KJ273">
        <v>350.8</v>
      </c>
      <c r="KK273">
        <v>22.1</v>
      </c>
      <c r="KL273">
        <v>379.3</v>
      </c>
      <c r="KM273">
        <v>241.4</v>
      </c>
      <c r="KN273">
        <v>0</v>
      </c>
      <c r="KO273">
        <v>0</v>
      </c>
      <c r="KP273">
        <v>57.3</v>
      </c>
      <c r="KQ273">
        <v>224.4</v>
      </c>
      <c r="KR273">
        <v>338.3</v>
      </c>
      <c r="KS273">
        <v>215.8</v>
      </c>
      <c r="KT273">
        <v>40.700000000000003</v>
      </c>
      <c r="KW273">
        <v>2154.5</v>
      </c>
      <c r="KX273">
        <v>1255.7</v>
      </c>
      <c r="KY273">
        <v>1630.1</v>
      </c>
      <c r="KZ273">
        <v>1246.9000000000001</v>
      </c>
      <c r="LB273">
        <v>78.099999999999994</v>
      </c>
      <c r="LC273">
        <v>77.7</v>
      </c>
    </row>
    <row r="274" spans="1:315" ht="18" thickBot="1">
      <c r="A274" s="245"/>
      <c r="B274" s="570" t="s">
        <v>569</v>
      </c>
      <c r="C274" s="88" t="s">
        <v>639</v>
      </c>
      <c r="D274" s="277" t="s">
        <v>769</v>
      </c>
      <c r="E274" s="446">
        <v>0</v>
      </c>
      <c r="F274" s="242">
        <v>0</v>
      </c>
      <c r="G274" s="427">
        <v>3413.8</v>
      </c>
      <c r="H274" s="155"/>
      <c r="I274">
        <v>735</v>
      </c>
      <c r="K274">
        <v>1973.1000000000001</v>
      </c>
      <c r="L274" s="4">
        <v>221.60000000000002</v>
      </c>
      <c r="M274" s="4">
        <v>54.9</v>
      </c>
      <c r="N274" s="4">
        <v>1989.7</v>
      </c>
      <c r="P274">
        <v>0</v>
      </c>
      <c r="Q274">
        <v>238.29999999999998</v>
      </c>
      <c r="R274">
        <v>0</v>
      </c>
      <c r="S274">
        <v>0</v>
      </c>
      <c r="T274">
        <v>368.5</v>
      </c>
      <c r="W274">
        <v>720.3</v>
      </c>
      <c r="X274">
        <v>1411.5</v>
      </c>
      <c r="Y274">
        <v>96.5</v>
      </c>
      <c r="AA274">
        <v>859.6</v>
      </c>
      <c r="AB274">
        <v>1577.6000000000001</v>
      </c>
      <c r="AE274">
        <v>1330</v>
      </c>
      <c r="AF274">
        <v>1025.5</v>
      </c>
      <c r="AH274">
        <v>509.9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1349.3</v>
      </c>
      <c r="AO274">
        <v>786.40000000000009</v>
      </c>
      <c r="AP274">
        <v>0</v>
      </c>
      <c r="AQ274">
        <v>68.3</v>
      </c>
      <c r="AR274">
        <v>234.9</v>
      </c>
      <c r="AS274">
        <v>600.40000000000009</v>
      </c>
      <c r="AU274">
        <v>985.69999999999993</v>
      </c>
      <c r="AW274">
        <v>792</v>
      </c>
      <c r="AX274">
        <v>1988.5</v>
      </c>
      <c r="AZ274">
        <v>763.5</v>
      </c>
      <c r="BA274">
        <v>0</v>
      </c>
      <c r="BB274">
        <v>0</v>
      </c>
      <c r="BC274">
        <v>1935.3</v>
      </c>
      <c r="BD274">
        <v>1006.5</v>
      </c>
      <c r="BE274">
        <v>0</v>
      </c>
      <c r="BF274">
        <v>0</v>
      </c>
      <c r="BG274">
        <v>0</v>
      </c>
      <c r="BH274">
        <v>1662.6</v>
      </c>
      <c r="BJ274">
        <v>0</v>
      </c>
      <c r="BK274">
        <v>0</v>
      </c>
      <c r="BL274">
        <v>1038.9000000000001</v>
      </c>
      <c r="BM274">
        <v>1101</v>
      </c>
      <c r="BO274">
        <v>1276.8000000000002</v>
      </c>
      <c r="BQ274">
        <v>0</v>
      </c>
      <c r="BR274">
        <v>270.7</v>
      </c>
      <c r="BS274">
        <v>230.5</v>
      </c>
      <c r="BT274">
        <v>472.3</v>
      </c>
      <c r="BU274">
        <v>537.29999999999995</v>
      </c>
      <c r="BV274">
        <v>346.3</v>
      </c>
      <c r="BW274">
        <v>386.2</v>
      </c>
      <c r="BX274">
        <v>767</v>
      </c>
      <c r="BY274">
        <v>757.2</v>
      </c>
      <c r="BZ274">
        <v>1037.2</v>
      </c>
      <c r="CA274">
        <v>1227.0999999999999</v>
      </c>
      <c r="CB274">
        <v>1232.0999999999999</v>
      </c>
      <c r="CC274">
        <v>1701.5</v>
      </c>
      <c r="CD274">
        <v>0</v>
      </c>
      <c r="CG274">
        <v>1385.3</v>
      </c>
      <c r="CJ274">
        <v>1630.2999999999997</v>
      </c>
      <c r="CM274">
        <v>1184.2</v>
      </c>
      <c r="CO274">
        <v>1248.0999999999999</v>
      </c>
      <c r="CQ274">
        <v>1435.3</v>
      </c>
      <c r="CR274">
        <v>798.2</v>
      </c>
      <c r="CS274">
        <v>923.8</v>
      </c>
      <c r="CT274">
        <v>0</v>
      </c>
      <c r="CU274">
        <v>0</v>
      </c>
      <c r="CV274">
        <v>0</v>
      </c>
      <c r="CW274">
        <v>0</v>
      </c>
      <c r="CX274">
        <v>163.69999999999999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I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0</v>
      </c>
      <c r="ET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G274" t="e">
        <v>#N/A</v>
      </c>
      <c r="FI274" t="e">
        <v>#N/A</v>
      </c>
      <c r="FK274" t="e">
        <v>#N/A</v>
      </c>
      <c r="FM274" t="e">
        <v>#N/A</v>
      </c>
      <c r="FO274" t="e">
        <v>#N/A</v>
      </c>
      <c r="FQ274" t="e">
        <v>#N/A</v>
      </c>
      <c r="FS274" t="e">
        <v>#N/A</v>
      </c>
      <c r="FU274" t="e">
        <v>#N/A</v>
      </c>
      <c r="FW274" t="e">
        <v>#N/A</v>
      </c>
      <c r="FY274" t="e">
        <v>#N/A</v>
      </c>
      <c r="GA274" t="e">
        <v>#N/A</v>
      </c>
      <c r="GC274" t="e">
        <v>#N/A</v>
      </c>
      <c r="GE274" t="e">
        <v>#N/A</v>
      </c>
      <c r="GG274" t="e">
        <v>#N/A</v>
      </c>
      <c r="GI274" t="e">
        <v>#N/A</v>
      </c>
      <c r="GK274" t="e">
        <v>#N/A</v>
      </c>
      <c r="GM274" t="e">
        <v>#N/A</v>
      </c>
      <c r="GO274" t="e">
        <v>#N/A</v>
      </c>
      <c r="GQ274" t="e">
        <v>#N/A</v>
      </c>
      <c r="GS274" t="e">
        <v>#N/A</v>
      </c>
      <c r="GU274" t="e">
        <v>#N/A</v>
      </c>
      <c r="GW274" t="e">
        <v>#N/A</v>
      </c>
      <c r="GY274" t="e">
        <v>#N/A</v>
      </c>
      <c r="HA274" t="e">
        <v>#N/A</v>
      </c>
      <c r="HC274">
        <v>0</v>
      </c>
      <c r="HD274">
        <v>0</v>
      </c>
      <c r="HE274">
        <v>0</v>
      </c>
      <c r="HF274">
        <v>0</v>
      </c>
      <c r="HG274">
        <v>0</v>
      </c>
      <c r="HH274">
        <v>0</v>
      </c>
      <c r="HI274">
        <v>0</v>
      </c>
      <c r="HJ274">
        <v>0</v>
      </c>
      <c r="HM274">
        <v>0</v>
      </c>
      <c r="HN274">
        <v>0</v>
      </c>
      <c r="HO274">
        <v>0</v>
      </c>
      <c r="HP274">
        <v>0</v>
      </c>
      <c r="HQ274">
        <v>0</v>
      </c>
      <c r="HR274">
        <v>0</v>
      </c>
      <c r="HS274">
        <v>0</v>
      </c>
      <c r="HT274">
        <v>0</v>
      </c>
      <c r="HW274">
        <v>0</v>
      </c>
      <c r="HX274">
        <v>0</v>
      </c>
      <c r="HY274">
        <v>0</v>
      </c>
      <c r="HZ274">
        <v>0</v>
      </c>
      <c r="IA274">
        <v>3930.6</v>
      </c>
      <c r="IB274">
        <v>3632.9</v>
      </c>
      <c r="IC274">
        <v>3795.5</v>
      </c>
      <c r="ID274">
        <v>0</v>
      </c>
      <c r="IE274">
        <v>0</v>
      </c>
      <c r="IF274">
        <v>3548.5</v>
      </c>
      <c r="IG274">
        <v>3395.2</v>
      </c>
      <c r="IH274">
        <v>3395.4</v>
      </c>
      <c r="II274">
        <v>3302.3</v>
      </c>
      <c r="IJ274">
        <v>3172.8</v>
      </c>
      <c r="IK274">
        <v>0</v>
      </c>
      <c r="IL274">
        <v>0</v>
      </c>
      <c r="IM274">
        <v>0</v>
      </c>
      <c r="IN274">
        <v>0</v>
      </c>
      <c r="IO274">
        <v>123.4</v>
      </c>
      <c r="IP274">
        <v>405.2</v>
      </c>
      <c r="IQ274">
        <v>418.7</v>
      </c>
      <c r="IR274">
        <v>0</v>
      </c>
      <c r="IS274">
        <v>0</v>
      </c>
      <c r="IT274">
        <v>0</v>
      </c>
      <c r="IU274">
        <v>0</v>
      </c>
      <c r="IV274">
        <v>396</v>
      </c>
      <c r="IW274">
        <v>0</v>
      </c>
      <c r="IX274">
        <v>0</v>
      </c>
      <c r="IZ274">
        <v>0</v>
      </c>
      <c r="JA274">
        <v>65.5</v>
      </c>
      <c r="JB274">
        <v>443.5</v>
      </c>
      <c r="JC274">
        <v>0</v>
      </c>
      <c r="JD274">
        <v>0</v>
      </c>
      <c r="JE274">
        <v>0</v>
      </c>
      <c r="JF274">
        <v>0</v>
      </c>
      <c r="JG274">
        <v>0</v>
      </c>
      <c r="JH274">
        <v>0</v>
      </c>
      <c r="JI274">
        <v>0</v>
      </c>
      <c r="JJ274">
        <v>0</v>
      </c>
      <c r="JK274">
        <v>0</v>
      </c>
      <c r="JL274">
        <v>0</v>
      </c>
      <c r="JM274">
        <v>0</v>
      </c>
      <c r="JN274">
        <v>0</v>
      </c>
      <c r="JO274">
        <v>0</v>
      </c>
      <c r="JP274">
        <v>0</v>
      </c>
      <c r="JQ274">
        <v>0</v>
      </c>
      <c r="JR274">
        <v>0</v>
      </c>
      <c r="JS274">
        <v>0</v>
      </c>
      <c r="JT274">
        <v>0</v>
      </c>
      <c r="JU274">
        <v>0</v>
      </c>
      <c r="JV274">
        <v>0</v>
      </c>
      <c r="JW274">
        <v>0</v>
      </c>
      <c r="JX274">
        <v>0</v>
      </c>
      <c r="JY274">
        <v>0</v>
      </c>
      <c r="JZ274">
        <v>0</v>
      </c>
      <c r="KA274">
        <v>0</v>
      </c>
      <c r="KB274">
        <v>0</v>
      </c>
      <c r="KC274">
        <v>0</v>
      </c>
      <c r="KD274">
        <v>0</v>
      </c>
      <c r="KE274">
        <v>0</v>
      </c>
      <c r="KF274">
        <v>0</v>
      </c>
      <c r="KI274">
        <v>344.6</v>
      </c>
      <c r="KJ274">
        <v>350.8</v>
      </c>
      <c r="KK274">
        <v>22.1</v>
      </c>
      <c r="KL274">
        <v>379.3</v>
      </c>
      <c r="KM274">
        <v>241.4</v>
      </c>
      <c r="KN274">
        <v>0</v>
      </c>
      <c r="KO274">
        <v>0</v>
      </c>
      <c r="KP274">
        <v>57.3</v>
      </c>
      <c r="KQ274">
        <v>224.4</v>
      </c>
      <c r="KR274">
        <v>338.3</v>
      </c>
      <c r="KS274">
        <v>215.8</v>
      </c>
      <c r="KT274">
        <v>40.700000000000003</v>
      </c>
      <c r="KW274">
        <v>2154.5</v>
      </c>
      <c r="KX274">
        <v>1255.7</v>
      </c>
      <c r="KY274">
        <v>1630.1</v>
      </c>
      <c r="KZ274">
        <v>1246.9000000000001</v>
      </c>
      <c r="LB274">
        <v>78.099999999999994</v>
      </c>
      <c r="LC274">
        <v>77.7</v>
      </c>
    </row>
    <row r="275" spans="1:315" ht="18" thickBot="1">
      <c r="A275" s="245"/>
      <c r="B275" s="570"/>
      <c r="C275" s="88"/>
      <c r="D275" s="279"/>
      <c r="E275" s="437">
        <v>0</v>
      </c>
      <c r="F275" s="199">
        <v>0</v>
      </c>
      <c r="G275" s="427">
        <v>3413.8</v>
      </c>
      <c r="H275" s="155"/>
      <c r="I275">
        <v>735</v>
      </c>
      <c r="K275">
        <v>1973.1000000000001</v>
      </c>
      <c r="L275" s="4">
        <v>221.60000000000002</v>
      </c>
      <c r="M275" s="4">
        <v>54.9</v>
      </c>
      <c r="N275" s="4">
        <v>1989.7</v>
      </c>
      <c r="P275">
        <v>0</v>
      </c>
      <c r="Q275">
        <v>238.29999999999998</v>
      </c>
      <c r="R275">
        <v>0</v>
      </c>
      <c r="S275">
        <v>0</v>
      </c>
      <c r="T275">
        <v>368.5</v>
      </c>
      <c r="W275">
        <v>720.3</v>
      </c>
      <c r="X275">
        <v>1411.5</v>
      </c>
      <c r="Y275">
        <v>96.5</v>
      </c>
      <c r="AA275">
        <v>859.6</v>
      </c>
      <c r="AB275">
        <v>1577.6000000000001</v>
      </c>
      <c r="AE275">
        <v>1330</v>
      </c>
      <c r="AF275">
        <v>1025.5</v>
      </c>
      <c r="AH275">
        <v>509.9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1349.3</v>
      </c>
      <c r="AO275">
        <v>786.40000000000009</v>
      </c>
      <c r="AP275">
        <v>0</v>
      </c>
      <c r="AQ275">
        <v>68.3</v>
      </c>
      <c r="AR275">
        <v>234.9</v>
      </c>
      <c r="AS275">
        <v>600.40000000000009</v>
      </c>
      <c r="AU275">
        <v>985.69999999999993</v>
      </c>
      <c r="AW275">
        <v>792</v>
      </c>
      <c r="AX275">
        <v>1988.5</v>
      </c>
      <c r="AZ275">
        <v>763.5</v>
      </c>
      <c r="BA275">
        <v>0</v>
      </c>
      <c r="BB275">
        <v>0</v>
      </c>
      <c r="BC275">
        <v>1935.3</v>
      </c>
      <c r="BD275">
        <v>1006.5</v>
      </c>
      <c r="BE275">
        <v>0</v>
      </c>
      <c r="BF275">
        <v>0</v>
      </c>
      <c r="BG275">
        <v>0</v>
      </c>
      <c r="BH275">
        <v>1662.6</v>
      </c>
      <c r="BJ275">
        <v>0</v>
      </c>
      <c r="BK275">
        <v>0</v>
      </c>
      <c r="BL275">
        <v>1038.9000000000001</v>
      </c>
      <c r="BM275">
        <v>1101</v>
      </c>
      <c r="BO275">
        <v>1276.8000000000002</v>
      </c>
      <c r="BQ275">
        <v>0</v>
      </c>
      <c r="BR275">
        <v>270.7</v>
      </c>
      <c r="BS275">
        <v>230.5</v>
      </c>
      <c r="BT275">
        <v>472.3</v>
      </c>
      <c r="BU275">
        <v>537.29999999999995</v>
      </c>
      <c r="BV275">
        <v>346.3</v>
      </c>
      <c r="BW275">
        <v>386.2</v>
      </c>
      <c r="BX275">
        <v>767</v>
      </c>
      <c r="BY275">
        <v>757.2</v>
      </c>
      <c r="BZ275">
        <v>1037.2</v>
      </c>
      <c r="CA275">
        <v>1227.0999999999999</v>
      </c>
      <c r="CB275">
        <v>1232.0999999999999</v>
      </c>
      <c r="CC275">
        <v>1701.5</v>
      </c>
      <c r="CD275">
        <v>0</v>
      </c>
      <c r="CG275">
        <v>1385.3</v>
      </c>
      <c r="CJ275">
        <v>1630.2999999999997</v>
      </c>
      <c r="CM275">
        <v>1184.2</v>
      </c>
      <c r="CO275">
        <v>1248.0999999999999</v>
      </c>
      <c r="CQ275">
        <v>1435.3</v>
      </c>
      <c r="CR275">
        <v>798.2</v>
      </c>
      <c r="CS275">
        <v>923.8</v>
      </c>
      <c r="CT275">
        <v>0</v>
      </c>
      <c r="CU275">
        <v>0</v>
      </c>
      <c r="CV275">
        <v>0</v>
      </c>
      <c r="CW275">
        <v>0</v>
      </c>
      <c r="CX275">
        <v>163.69999999999999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I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M275">
        <v>0</v>
      </c>
      <c r="EN275">
        <v>0</v>
      </c>
      <c r="EO275">
        <v>0</v>
      </c>
      <c r="EP275">
        <v>0</v>
      </c>
      <c r="EQ275">
        <v>0</v>
      </c>
      <c r="ER275">
        <v>0</v>
      </c>
      <c r="ES275">
        <v>0</v>
      </c>
      <c r="ET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G275" t="e">
        <v>#N/A</v>
      </c>
      <c r="FI275" t="e">
        <v>#N/A</v>
      </c>
      <c r="FK275" t="e">
        <v>#N/A</v>
      </c>
      <c r="FM275" t="e">
        <v>#N/A</v>
      </c>
      <c r="FO275" t="e">
        <v>#N/A</v>
      </c>
      <c r="FQ275" t="e">
        <v>#N/A</v>
      </c>
      <c r="FS275" t="e">
        <v>#N/A</v>
      </c>
      <c r="FU275" t="e">
        <v>#N/A</v>
      </c>
      <c r="FW275" t="e">
        <v>#N/A</v>
      </c>
      <c r="FY275" t="e">
        <v>#N/A</v>
      </c>
      <c r="GA275" t="e">
        <v>#N/A</v>
      </c>
      <c r="GC275" t="e">
        <v>#N/A</v>
      </c>
      <c r="GE275" t="e">
        <v>#N/A</v>
      </c>
      <c r="GG275" t="e">
        <v>#N/A</v>
      </c>
      <c r="GI275" t="e">
        <v>#N/A</v>
      </c>
      <c r="GK275" t="e">
        <v>#N/A</v>
      </c>
      <c r="GM275" t="e">
        <v>#N/A</v>
      </c>
      <c r="GO275" t="e">
        <v>#N/A</v>
      </c>
      <c r="GQ275" t="e">
        <v>#N/A</v>
      </c>
      <c r="GS275" t="e">
        <v>#N/A</v>
      </c>
      <c r="GU275" t="e">
        <v>#N/A</v>
      </c>
      <c r="GW275" t="e">
        <v>#N/A</v>
      </c>
      <c r="GY275" t="e">
        <v>#N/A</v>
      </c>
      <c r="HA275" t="e">
        <v>#N/A</v>
      </c>
      <c r="HC275">
        <v>0</v>
      </c>
      <c r="HD275">
        <v>0</v>
      </c>
      <c r="HE275">
        <v>0</v>
      </c>
      <c r="HF275">
        <v>0</v>
      </c>
      <c r="HG275">
        <v>0</v>
      </c>
      <c r="HH275">
        <v>0</v>
      </c>
      <c r="HI275">
        <v>0</v>
      </c>
      <c r="HJ275">
        <v>0</v>
      </c>
      <c r="HM275">
        <v>0</v>
      </c>
      <c r="HN275">
        <v>0</v>
      </c>
      <c r="HO275">
        <v>0</v>
      </c>
      <c r="HP275">
        <v>0</v>
      </c>
      <c r="HQ275">
        <v>0</v>
      </c>
      <c r="HR275">
        <v>0</v>
      </c>
      <c r="HS275">
        <v>0</v>
      </c>
      <c r="HT275">
        <v>0</v>
      </c>
      <c r="HW275">
        <v>0</v>
      </c>
      <c r="HX275">
        <v>0</v>
      </c>
      <c r="HY275">
        <v>0</v>
      </c>
      <c r="HZ275">
        <v>0</v>
      </c>
      <c r="IA275">
        <v>3930.6</v>
      </c>
      <c r="IB275">
        <v>3632.9</v>
      </c>
      <c r="IC275">
        <v>3795.5</v>
      </c>
      <c r="ID275">
        <v>0</v>
      </c>
      <c r="IE275">
        <v>0</v>
      </c>
      <c r="IF275">
        <v>3548.5</v>
      </c>
      <c r="IG275">
        <v>3395.2</v>
      </c>
      <c r="IH275">
        <v>3395.4</v>
      </c>
      <c r="II275">
        <v>3302.3</v>
      </c>
      <c r="IJ275">
        <v>3172.8</v>
      </c>
      <c r="IK275">
        <v>0</v>
      </c>
      <c r="IL275">
        <v>0</v>
      </c>
      <c r="IM275">
        <v>0</v>
      </c>
      <c r="IN275">
        <v>0</v>
      </c>
      <c r="IO275">
        <v>123.4</v>
      </c>
      <c r="IP275">
        <v>405.2</v>
      </c>
      <c r="IQ275">
        <v>418.7</v>
      </c>
      <c r="IR275">
        <v>0</v>
      </c>
      <c r="IS275">
        <v>0</v>
      </c>
      <c r="IT275">
        <v>0</v>
      </c>
      <c r="IU275">
        <v>0</v>
      </c>
      <c r="IV275">
        <v>396</v>
      </c>
      <c r="IW275">
        <v>0</v>
      </c>
      <c r="IX275">
        <v>0</v>
      </c>
      <c r="IZ275">
        <v>0</v>
      </c>
      <c r="JA275">
        <v>65.5</v>
      </c>
      <c r="JB275">
        <v>443.5</v>
      </c>
      <c r="JC275">
        <v>0</v>
      </c>
      <c r="JD275">
        <v>0</v>
      </c>
      <c r="JE275">
        <v>0</v>
      </c>
      <c r="JF275">
        <v>0</v>
      </c>
      <c r="JG275">
        <v>0</v>
      </c>
      <c r="JH275">
        <v>0</v>
      </c>
      <c r="JI275">
        <v>0</v>
      </c>
      <c r="JJ275">
        <v>0</v>
      </c>
      <c r="JK275">
        <v>0</v>
      </c>
      <c r="JL275">
        <v>0</v>
      </c>
      <c r="JM275">
        <v>0</v>
      </c>
      <c r="JN275">
        <v>0</v>
      </c>
      <c r="JO275">
        <v>0</v>
      </c>
      <c r="JP275">
        <v>0</v>
      </c>
      <c r="JQ275">
        <v>0</v>
      </c>
      <c r="JR275">
        <v>0</v>
      </c>
      <c r="JS275">
        <v>0</v>
      </c>
      <c r="JT275">
        <v>0</v>
      </c>
      <c r="JU275">
        <v>0</v>
      </c>
      <c r="JV275">
        <v>0</v>
      </c>
      <c r="JW275">
        <v>0</v>
      </c>
      <c r="JX275">
        <v>0</v>
      </c>
      <c r="JY275">
        <v>0</v>
      </c>
      <c r="JZ275">
        <v>0</v>
      </c>
      <c r="KA275">
        <v>0</v>
      </c>
      <c r="KB275">
        <v>0</v>
      </c>
      <c r="KC275">
        <v>0</v>
      </c>
      <c r="KD275">
        <v>0</v>
      </c>
      <c r="KE275">
        <v>0</v>
      </c>
      <c r="KF275">
        <v>0</v>
      </c>
      <c r="KI275">
        <v>344.6</v>
      </c>
      <c r="KJ275">
        <v>350.8</v>
      </c>
      <c r="KK275">
        <v>22.1</v>
      </c>
      <c r="KL275">
        <v>379.3</v>
      </c>
      <c r="KM275">
        <v>241.4</v>
      </c>
      <c r="KN275">
        <v>0</v>
      </c>
      <c r="KO275">
        <v>0</v>
      </c>
      <c r="KP275">
        <v>57.3</v>
      </c>
      <c r="KQ275">
        <v>224.4</v>
      </c>
      <c r="KR275">
        <v>338.3</v>
      </c>
      <c r="KS275">
        <v>215.8</v>
      </c>
      <c r="KT275">
        <v>40.700000000000003</v>
      </c>
      <c r="KW275">
        <v>2154.5</v>
      </c>
      <c r="KX275">
        <v>1255.7</v>
      </c>
      <c r="KY275">
        <v>1630.1</v>
      </c>
      <c r="KZ275">
        <v>1246.9000000000001</v>
      </c>
      <c r="LB275">
        <v>78.099999999999994</v>
      </c>
      <c r="LC275">
        <v>77.7</v>
      </c>
    </row>
    <row r="276" spans="1:315" ht="18" thickBot="1">
      <c r="A276" s="245"/>
      <c r="B276" s="570" t="s">
        <v>570</v>
      </c>
      <c r="C276" s="88" t="s">
        <v>640</v>
      </c>
      <c r="D276" s="277" t="s">
        <v>769</v>
      </c>
      <c r="E276" s="446">
        <v>0</v>
      </c>
      <c r="F276" s="242">
        <v>0</v>
      </c>
      <c r="G276" s="427">
        <v>3413.8</v>
      </c>
      <c r="H276" s="155"/>
      <c r="I276">
        <v>735</v>
      </c>
      <c r="K276">
        <v>1973.1000000000001</v>
      </c>
      <c r="L276" s="4">
        <v>221.60000000000002</v>
      </c>
      <c r="M276" s="4">
        <v>54.9</v>
      </c>
      <c r="N276" s="4">
        <v>1989.7</v>
      </c>
      <c r="P276">
        <v>0</v>
      </c>
      <c r="Q276">
        <v>238.29999999999998</v>
      </c>
      <c r="R276">
        <v>0</v>
      </c>
      <c r="S276">
        <v>0</v>
      </c>
      <c r="T276">
        <v>368.5</v>
      </c>
      <c r="W276">
        <v>720.3</v>
      </c>
      <c r="X276">
        <v>1411.5</v>
      </c>
      <c r="Y276">
        <v>96.5</v>
      </c>
      <c r="AA276">
        <v>859.6</v>
      </c>
      <c r="AB276">
        <v>1577.6000000000001</v>
      </c>
      <c r="AE276">
        <v>1330</v>
      </c>
      <c r="AF276">
        <v>1025.5</v>
      </c>
      <c r="AH276">
        <v>509.9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1349.3</v>
      </c>
      <c r="AO276">
        <v>786.40000000000009</v>
      </c>
      <c r="AP276">
        <v>0</v>
      </c>
      <c r="AQ276">
        <v>68.3</v>
      </c>
      <c r="AR276">
        <v>234.9</v>
      </c>
      <c r="AS276">
        <v>600.40000000000009</v>
      </c>
      <c r="AU276">
        <v>985.69999999999993</v>
      </c>
      <c r="AW276">
        <v>792</v>
      </c>
      <c r="AX276">
        <v>1988.5</v>
      </c>
      <c r="AZ276">
        <v>763.5</v>
      </c>
      <c r="BA276">
        <v>0</v>
      </c>
      <c r="BB276">
        <v>0</v>
      </c>
      <c r="BC276">
        <v>1935.3</v>
      </c>
      <c r="BD276">
        <v>1006.5</v>
      </c>
      <c r="BE276">
        <v>0</v>
      </c>
      <c r="BF276">
        <v>0</v>
      </c>
      <c r="BG276">
        <v>0</v>
      </c>
      <c r="BH276">
        <v>1662.6</v>
      </c>
      <c r="BJ276">
        <v>0</v>
      </c>
      <c r="BK276">
        <v>0</v>
      </c>
      <c r="BL276">
        <v>1038.9000000000001</v>
      </c>
      <c r="BM276">
        <v>1101</v>
      </c>
      <c r="BO276">
        <v>1276.8000000000002</v>
      </c>
      <c r="BQ276">
        <v>0</v>
      </c>
      <c r="BR276">
        <v>270.7</v>
      </c>
      <c r="BS276">
        <v>230.5</v>
      </c>
      <c r="BT276">
        <v>472.3</v>
      </c>
      <c r="BU276">
        <v>537.29999999999995</v>
      </c>
      <c r="BV276">
        <v>346.3</v>
      </c>
      <c r="BW276">
        <v>386.2</v>
      </c>
      <c r="BX276">
        <v>767</v>
      </c>
      <c r="BY276">
        <v>757.2</v>
      </c>
      <c r="BZ276">
        <v>1037.2</v>
      </c>
      <c r="CA276">
        <v>1227.0999999999999</v>
      </c>
      <c r="CB276">
        <v>1232.0999999999999</v>
      </c>
      <c r="CC276">
        <v>1701.5</v>
      </c>
      <c r="CD276">
        <v>0</v>
      </c>
      <c r="CG276">
        <v>1385.3</v>
      </c>
      <c r="CJ276">
        <v>1630.2999999999997</v>
      </c>
      <c r="CM276">
        <v>1184.2</v>
      </c>
      <c r="CO276">
        <v>1248.0999999999999</v>
      </c>
      <c r="CQ276">
        <v>1435.3</v>
      </c>
      <c r="CR276">
        <v>798.2</v>
      </c>
      <c r="CS276">
        <v>923.8</v>
      </c>
      <c r="CT276">
        <v>0</v>
      </c>
      <c r="CU276">
        <v>0</v>
      </c>
      <c r="CV276">
        <v>0</v>
      </c>
      <c r="CW276">
        <v>0</v>
      </c>
      <c r="CX276">
        <v>163.69999999999999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I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G276" t="e">
        <v>#N/A</v>
      </c>
      <c r="FI276" t="e">
        <v>#N/A</v>
      </c>
      <c r="FK276" t="e">
        <v>#N/A</v>
      </c>
      <c r="FM276" t="e">
        <v>#N/A</v>
      </c>
      <c r="FO276" t="e">
        <v>#N/A</v>
      </c>
      <c r="FQ276" t="e">
        <v>#N/A</v>
      </c>
      <c r="FS276" t="e">
        <v>#N/A</v>
      </c>
      <c r="FU276" t="e">
        <v>#N/A</v>
      </c>
      <c r="FW276" t="e">
        <v>#N/A</v>
      </c>
      <c r="FY276" t="e">
        <v>#N/A</v>
      </c>
      <c r="GA276" t="e">
        <v>#N/A</v>
      </c>
      <c r="GC276" t="e">
        <v>#N/A</v>
      </c>
      <c r="GE276" t="e">
        <v>#N/A</v>
      </c>
      <c r="GG276" t="e">
        <v>#N/A</v>
      </c>
      <c r="GI276" t="e">
        <v>#N/A</v>
      </c>
      <c r="GK276" t="e">
        <v>#N/A</v>
      </c>
      <c r="GM276" t="e">
        <v>#N/A</v>
      </c>
      <c r="GO276" t="e">
        <v>#N/A</v>
      </c>
      <c r="GQ276" t="e">
        <v>#N/A</v>
      </c>
      <c r="GS276" t="e">
        <v>#N/A</v>
      </c>
      <c r="GU276" t="e">
        <v>#N/A</v>
      </c>
      <c r="GW276" t="e">
        <v>#N/A</v>
      </c>
      <c r="GY276" t="e">
        <v>#N/A</v>
      </c>
      <c r="HA276" t="e">
        <v>#N/A</v>
      </c>
      <c r="HC276">
        <v>0</v>
      </c>
      <c r="HD276">
        <v>0</v>
      </c>
      <c r="HE276">
        <v>0</v>
      </c>
      <c r="HF276">
        <v>0</v>
      </c>
      <c r="HG276">
        <v>0</v>
      </c>
      <c r="HH276">
        <v>0</v>
      </c>
      <c r="HI276">
        <v>0</v>
      </c>
      <c r="HJ276">
        <v>0</v>
      </c>
      <c r="HM276">
        <v>0</v>
      </c>
      <c r="HN276">
        <v>0</v>
      </c>
      <c r="HO276">
        <v>0</v>
      </c>
      <c r="HP276">
        <v>0</v>
      </c>
      <c r="HQ276">
        <v>0</v>
      </c>
      <c r="HR276">
        <v>0</v>
      </c>
      <c r="HS276">
        <v>0</v>
      </c>
      <c r="HT276">
        <v>0</v>
      </c>
      <c r="HW276">
        <v>0</v>
      </c>
      <c r="HX276">
        <v>0</v>
      </c>
      <c r="HY276">
        <v>0</v>
      </c>
      <c r="HZ276">
        <v>0</v>
      </c>
      <c r="IA276">
        <v>3930.6</v>
      </c>
      <c r="IB276">
        <v>3632.9</v>
      </c>
      <c r="IC276">
        <v>3795.5</v>
      </c>
      <c r="ID276">
        <v>0</v>
      </c>
      <c r="IE276">
        <v>0</v>
      </c>
      <c r="IF276">
        <v>3548.5</v>
      </c>
      <c r="IG276">
        <v>3395.2</v>
      </c>
      <c r="IH276">
        <v>3395.4</v>
      </c>
      <c r="II276">
        <v>3302.3</v>
      </c>
      <c r="IJ276">
        <v>3172.8</v>
      </c>
      <c r="IK276">
        <v>0</v>
      </c>
      <c r="IL276">
        <v>0</v>
      </c>
      <c r="IM276">
        <v>0</v>
      </c>
      <c r="IN276">
        <v>0</v>
      </c>
      <c r="IO276">
        <v>123.4</v>
      </c>
      <c r="IP276">
        <v>405.2</v>
      </c>
      <c r="IQ276">
        <v>418.7</v>
      </c>
      <c r="IR276">
        <v>0</v>
      </c>
      <c r="IS276">
        <v>0</v>
      </c>
      <c r="IT276">
        <v>0</v>
      </c>
      <c r="IU276">
        <v>0</v>
      </c>
      <c r="IV276">
        <v>396</v>
      </c>
      <c r="IW276">
        <v>0</v>
      </c>
      <c r="IX276">
        <v>0</v>
      </c>
      <c r="IZ276">
        <v>0</v>
      </c>
      <c r="JA276">
        <v>65.5</v>
      </c>
      <c r="JB276">
        <v>443.5</v>
      </c>
      <c r="JC276">
        <v>0</v>
      </c>
      <c r="JD276">
        <v>0</v>
      </c>
      <c r="JE276">
        <v>0</v>
      </c>
      <c r="JF276">
        <v>0</v>
      </c>
      <c r="JG276">
        <v>0</v>
      </c>
      <c r="JH276">
        <v>0</v>
      </c>
      <c r="JI276">
        <v>0</v>
      </c>
      <c r="JJ276">
        <v>0</v>
      </c>
      <c r="JK276">
        <v>0</v>
      </c>
      <c r="JL276">
        <v>0</v>
      </c>
      <c r="JM276">
        <v>0</v>
      </c>
      <c r="JN276">
        <v>0</v>
      </c>
      <c r="JO276">
        <v>0</v>
      </c>
      <c r="JP276">
        <v>0</v>
      </c>
      <c r="JQ276">
        <v>0</v>
      </c>
      <c r="JR276">
        <v>0</v>
      </c>
      <c r="JS276">
        <v>0</v>
      </c>
      <c r="JT276">
        <v>0</v>
      </c>
      <c r="JU276">
        <v>0</v>
      </c>
      <c r="JV276">
        <v>0</v>
      </c>
      <c r="JW276">
        <v>0</v>
      </c>
      <c r="JX276">
        <v>0</v>
      </c>
      <c r="JY276">
        <v>0</v>
      </c>
      <c r="JZ276">
        <v>0</v>
      </c>
      <c r="KA276">
        <v>0</v>
      </c>
      <c r="KB276">
        <v>0</v>
      </c>
      <c r="KC276">
        <v>0</v>
      </c>
      <c r="KD276">
        <v>0</v>
      </c>
      <c r="KE276">
        <v>0</v>
      </c>
      <c r="KF276">
        <v>0</v>
      </c>
      <c r="KI276">
        <v>344.6</v>
      </c>
      <c r="KJ276">
        <v>350.8</v>
      </c>
      <c r="KK276">
        <v>22.1</v>
      </c>
      <c r="KL276">
        <v>379.3</v>
      </c>
      <c r="KM276">
        <v>241.4</v>
      </c>
      <c r="KN276">
        <v>0</v>
      </c>
      <c r="KO276">
        <v>0</v>
      </c>
      <c r="KP276">
        <v>57.3</v>
      </c>
      <c r="KQ276">
        <v>224.4</v>
      </c>
      <c r="KR276">
        <v>338.3</v>
      </c>
      <c r="KS276">
        <v>215.8</v>
      </c>
      <c r="KT276">
        <v>40.700000000000003</v>
      </c>
      <c r="KW276">
        <v>2154.5</v>
      </c>
      <c r="KX276">
        <v>1255.7</v>
      </c>
      <c r="KY276">
        <v>1630.1</v>
      </c>
      <c r="KZ276">
        <v>1246.9000000000001</v>
      </c>
      <c r="LB276">
        <v>78.099999999999994</v>
      </c>
      <c r="LC276">
        <v>77.7</v>
      </c>
    </row>
    <row r="277" spans="1:315" ht="18" thickBot="1">
      <c r="A277" s="245"/>
      <c r="B277" s="570"/>
      <c r="C277" s="88"/>
      <c r="D277" s="279"/>
      <c r="E277" s="437">
        <v>0</v>
      </c>
      <c r="F277" s="242">
        <v>0</v>
      </c>
      <c r="G277" s="427">
        <v>3413.8</v>
      </c>
      <c r="H277" s="155"/>
      <c r="I277">
        <v>735</v>
      </c>
      <c r="K277">
        <v>1973.1000000000001</v>
      </c>
      <c r="L277" s="4">
        <v>221.60000000000002</v>
      </c>
      <c r="M277" s="4">
        <v>54.9</v>
      </c>
      <c r="N277" s="4">
        <v>1989.7</v>
      </c>
      <c r="P277">
        <v>0</v>
      </c>
      <c r="Q277">
        <v>238.29999999999998</v>
      </c>
      <c r="R277">
        <v>0</v>
      </c>
      <c r="S277">
        <v>0</v>
      </c>
      <c r="T277">
        <v>368.5</v>
      </c>
      <c r="W277">
        <v>720.3</v>
      </c>
      <c r="X277">
        <v>1411.5</v>
      </c>
      <c r="Y277">
        <v>96.5</v>
      </c>
      <c r="AA277">
        <v>859.6</v>
      </c>
      <c r="AB277">
        <v>1577.6000000000001</v>
      </c>
      <c r="AE277">
        <v>1330</v>
      </c>
      <c r="AF277">
        <v>1025.5</v>
      </c>
      <c r="AH277">
        <v>509.9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1349.3</v>
      </c>
      <c r="AO277">
        <v>786.40000000000009</v>
      </c>
      <c r="AP277">
        <v>0</v>
      </c>
      <c r="AQ277">
        <v>68.3</v>
      </c>
      <c r="AR277">
        <v>234.9</v>
      </c>
      <c r="AS277">
        <v>600.40000000000009</v>
      </c>
      <c r="AU277">
        <v>985.69999999999993</v>
      </c>
      <c r="AW277">
        <v>792</v>
      </c>
      <c r="AX277">
        <v>1988.5</v>
      </c>
      <c r="AZ277">
        <v>763.5</v>
      </c>
      <c r="BA277">
        <v>0</v>
      </c>
      <c r="BB277">
        <v>0</v>
      </c>
      <c r="BC277">
        <v>1935.3</v>
      </c>
      <c r="BD277">
        <v>1006.5</v>
      </c>
      <c r="BE277">
        <v>0</v>
      </c>
      <c r="BF277">
        <v>0</v>
      </c>
      <c r="BG277">
        <v>0</v>
      </c>
      <c r="BH277">
        <v>1662.6</v>
      </c>
      <c r="BJ277">
        <v>0</v>
      </c>
      <c r="BK277">
        <v>0</v>
      </c>
      <c r="BL277">
        <v>1038.9000000000001</v>
      </c>
      <c r="BM277">
        <v>1101</v>
      </c>
      <c r="BO277">
        <v>1276.8000000000002</v>
      </c>
      <c r="BQ277">
        <v>0</v>
      </c>
      <c r="BR277">
        <v>270.7</v>
      </c>
      <c r="BS277">
        <v>230.5</v>
      </c>
      <c r="BT277">
        <v>472.3</v>
      </c>
      <c r="BU277">
        <v>537.29999999999995</v>
      </c>
      <c r="BV277">
        <v>346.3</v>
      </c>
      <c r="BW277">
        <v>386.2</v>
      </c>
      <c r="BX277">
        <v>767</v>
      </c>
      <c r="BY277">
        <v>757.2</v>
      </c>
      <c r="BZ277">
        <v>1037.2</v>
      </c>
      <c r="CA277">
        <v>1227.0999999999999</v>
      </c>
      <c r="CB277">
        <v>1232.0999999999999</v>
      </c>
      <c r="CC277">
        <v>1701.5</v>
      </c>
      <c r="CD277">
        <v>0</v>
      </c>
      <c r="CG277">
        <v>1385.3</v>
      </c>
      <c r="CJ277">
        <v>1630.2999999999997</v>
      </c>
      <c r="CM277">
        <v>1184.2</v>
      </c>
      <c r="CO277">
        <v>1248.0999999999999</v>
      </c>
      <c r="CQ277">
        <v>1435.3</v>
      </c>
      <c r="CR277">
        <v>798.2</v>
      </c>
      <c r="CS277">
        <v>923.8</v>
      </c>
      <c r="CT277">
        <v>0</v>
      </c>
      <c r="CU277">
        <v>0</v>
      </c>
      <c r="CV277">
        <v>0</v>
      </c>
      <c r="CW277">
        <v>0</v>
      </c>
      <c r="CX277">
        <v>163.69999999999999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I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G277" t="e">
        <v>#N/A</v>
      </c>
      <c r="FI277" t="e">
        <v>#N/A</v>
      </c>
      <c r="FK277" t="e">
        <v>#N/A</v>
      </c>
      <c r="FM277" t="e">
        <v>#N/A</v>
      </c>
      <c r="FO277" t="e">
        <v>#N/A</v>
      </c>
      <c r="FQ277" t="e">
        <v>#N/A</v>
      </c>
      <c r="FS277" t="e">
        <v>#N/A</v>
      </c>
      <c r="FU277" t="e">
        <v>#N/A</v>
      </c>
      <c r="FW277" t="e">
        <v>#N/A</v>
      </c>
      <c r="FY277" t="e">
        <v>#N/A</v>
      </c>
      <c r="GA277" t="e">
        <v>#N/A</v>
      </c>
      <c r="GC277" t="e">
        <v>#N/A</v>
      </c>
      <c r="GE277" t="e">
        <v>#N/A</v>
      </c>
      <c r="GG277" t="e">
        <v>#N/A</v>
      </c>
      <c r="GI277" t="e">
        <v>#N/A</v>
      </c>
      <c r="GK277" t="e">
        <v>#N/A</v>
      </c>
      <c r="GM277" t="e">
        <v>#N/A</v>
      </c>
      <c r="GO277" t="e">
        <v>#N/A</v>
      </c>
      <c r="GQ277" t="e">
        <v>#N/A</v>
      </c>
      <c r="GS277" t="e">
        <v>#N/A</v>
      </c>
      <c r="GU277" t="e">
        <v>#N/A</v>
      </c>
      <c r="GW277" t="e">
        <v>#N/A</v>
      </c>
      <c r="GY277" t="e">
        <v>#N/A</v>
      </c>
      <c r="HA277" t="e">
        <v>#N/A</v>
      </c>
      <c r="HC277">
        <v>0</v>
      </c>
      <c r="HD277">
        <v>0</v>
      </c>
      <c r="HE277">
        <v>0</v>
      </c>
      <c r="HF277">
        <v>0</v>
      </c>
      <c r="HG277">
        <v>0</v>
      </c>
      <c r="HH277">
        <v>0</v>
      </c>
      <c r="HI277">
        <v>0</v>
      </c>
      <c r="HJ277">
        <v>0</v>
      </c>
      <c r="HM277">
        <v>0</v>
      </c>
      <c r="HN277">
        <v>0</v>
      </c>
      <c r="HO277">
        <v>0</v>
      </c>
      <c r="HP277">
        <v>0</v>
      </c>
      <c r="HQ277">
        <v>0</v>
      </c>
      <c r="HR277">
        <v>0</v>
      </c>
      <c r="HS277">
        <v>0</v>
      </c>
      <c r="HT277">
        <v>0</v>
      </c>
      <c r="HW277">
        <v>0</v>
      </c>
      <c r="HX277">
        <v>0</v>
      </c>
      <c r="HY277">
        <v>0</v>
      </c>
      <c r="HZ277">
        <v>0</v>
      </c>
      <c r="IA277">
        <v>3930.6</v>
      </c>
      <c r="IB277">
        <v>3632.9</v>
      </c>
      <c r="IC277">
        <v>3795.5</v>
      </c>
      <c r="ID277">
        <v>0</v>
      </c>
      <c r="IE277">
        <v>0</v>
      </c>
      <c r="IF277">
        <v>3548.5</v>
      </c>
      <c r="IG277">
        <v>3395.2</v>
      </c>
      <c r="IH277">
        <v>3395.4</v>
      </c>
      <c r="II277">
        <v>3302.3</v>
      </c>
      <c r="IJ277">
        <v>3172.8</v>
      </c>
      <c r="IK277">
        <v>0</v>
      </c>
      <c r="IL277">
        <v>0</v>
      </c>
      <c r="IM277">
        <v>0</v>
      </c>
      <c r="IN277">
        <v>0</v>
      </c>
      <c r="IO277">
        <v>123.4</v>
      </c>
      <c r="IP277">
        <v>405.2</v>
      </c>
      <c r="IQ277">
        <v>418.7</v>
      </c>
      <c r="IR277">
        <v>0</v>
      </c>
      <c r="IS277">
        <v>0</v>
      </c>
      <c r="IT277">
        <v>0</v>
      </c>
      <c r="IU277">
        <v>0</v>
      </c>
      <c r="IV277">
        <v>396</v>
      </c>
      <c r="IW277">
        <v>0</v>
      </c>
      <c r="IX277">
        <v>0</v>
      </c>
      <c r="IZ277">
        <v>0</v>
      </c>
      <c r="JA277">
        <v>65.5</v>
      </c>
      <c r="JB277">
        <v>443.5</v>
      </c>
      <c r="JC277">
        <v>0</v>
      </c>
      <c r="JD277">
        <v>0</v>
      </c>
      <c r="JE277">
        <v>0</v>
      </c>
      <c r="JF277">
        <v>0</v>
      </c>
      <c r="JG277">
        <v>0</v>
      </c>
      <c r="JH277">
        <v>0</v>
      </c>
      <c r="JI277">
        <v>0</v>
      </c>
      <c r="JJ277">
        <v>0</v>
      </c>
      <c r="JK277">
        <v>0</v>
      </c>
      <c r="JL277">
        <v>0</v>
      </c>
      <c r="JM277">
        <v>0</v>
      </c>
      <c r="JN277">
        <v>0</v>
      </c>
      <c r="JO277">
        <v>0</v>
      </c>
      <c r="JP277">
        <v>0</v>
      </c>
      <c r="JQ277">
        <v>0</v>
      </c>
      <c r="JR277">
        <v>0</v>
      </c>
      <c r="JS277">
        <v>0</v>
      </c>
      <c r="JT277">
        <v>0</v>
      </c>
      <c r="JU277">
        <v>0</v>
      </c>
      <c r="JV277">
        <v>0</v>
      </c>
      <c r="JW277">
        <v>0</v>
      </c>
      <c r="JX277">
        <v>0</v>
      </c>
      <c r="JY277">
        <v>0</v>
      </c>
      <c r="JZ277">
        <v>0</v>
      </c>
      <c r="KA277">
        <v>0</v>
      </c>
      <c r="KB277">
        <v>0</v>
      </c>
      <c r="KC277">
        <v>0</v>
      </c>
      <c r="KD277">
        <v>0</v>
      </c>
      <c r="KE277">
        <v>0</v>
      </c>
      <c r="KF277">
        <v>0</v>
      </c>
      <c r="KI277">
        <v>344.6</v>
      </c>
      <c r="KJ277">
        <v>350.8</v>
      </c>
      <c r="KK277">
        <v>22.1</v>
      </c>
      <c r="KL277">
        <v>379.3</v>
      </c>
      <c r="KM277">
        <v>241.4</v>
      </c>
      <c r="KN277">
        <v>0</v>
      </c>
      <c r="KO277">
        <v>0</v>
      </c>
      <c r="KP277">
        <v>57.3</v>
      </c>
      <c r="KQ277">
        <v>224.4</v>
      </c>
      <c r="KR277">
        <v>338.3</v>
      </c>
      <c r="KS277">
        <v>215.8</v>
      </c>
      <c r="KT277">
        <v>40.700000000000003</v>
      </c>
      <c r="KW277">
        <v>2154.5</v>
      </c>
      <c r="KX277">
        <v>1255.7</v>
      </c>
      <c r="KY277">
        <v>1630.1</v>
      </c>
      <c r="KZ277">
        <v>1246.9000000000001</v>
      </c>
      <c r="LB277">
        <v>78.099999999999994</v>
      </c>
      <c r="LC277">
        <v>77.7</v>
      </c>
    </row>
    <row r="278" spans="1:315" ht="18" thickBot="1">
      <c r="A278" s="245"/>
      <c r="B278" s="245" t="s">
        <v>571</v>
      </c>
      <c r="C278" s="88" t="s">
        <v>641</v>
      </c>
      <c r="D278" s="274" t="s">
        <v>769</v>
      </c>
      <c r="E278" s="443">
        <v>0</v>
      </c>
      <c r="F278" s="191">
        <v>0</v>
      </c>
      <c r="G278" s="427">
        <v>3413.8</v>
      </c>
      <c r="H278" s="155"/>
      <c r="I278">
        <v>735</v>
      </c>
      <c r="K278">
        <v>1973.1000000000001</v>
      </c>
      <c r="L278" s="4">
        <v>221.60000000000002</v>
      </c>
      <c r="M278" s="4">
        <v>54.9</v>
      </c>
      <c r="N278" s="4">
        <v>1989.7</v>
      </c>
      <c r="P278">
        <v>0</v>
      </c>
      <c r="Q278">
        <v>238.29999999999998</v>
      </c>
      <c r="R278">
        <v>0</v>
      </c>
      <c r="S278">
        <v>0</v>
      </c>
      <c r="T278">
        <v>368.5</v>
      </c>
      <c r="W278">
        <v>720.3</v>
      </c>
      <c r="X278">
        <v>1411.5</v>
      </c>
      <c r="Y278">
        <v>96.5</v>
      </c>
      <c r="AA278">
        <v>859.6</v>
      </c>
      <c r="AB278">
        <v>1577.6000000000001</v>
      </c>
      <c r="AE278">
        <v>1330</v>
      </c>
      <c r="AF278">
        <v>1025.5</v>
      </c>
      <c r="AH278">
        <v>509.9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1349.3</v>
      </c>
      <c r="AO278">
        <v>786.40000000000009</v>
      </c>
      <c r="AP278">
        <v>0</v>
      </c>
      <c r="AQ278">
        <v>68.3</v>
      </c>
      <c r="AR278">
        <v>234.9</v>
      </c>
      <c r="AS278">
        <v>600.40000000000009</v>
      </c>
      <c r="AU278">
        <v>985.69999999999993</v>
      </c>
      <c r="AW278">
        <v>792</v>
      </c>
      <c r="AX278">
        <v>1988.5</v>
      </c>
      <c r="AZ278">
        <v>763.5</v>
      </c>
      <c r="BA278">
        <v>0</v>
      </c>
      <c r="BB278">
        <v>0</v>
      </c>
      <c r="BC278">
        <v>1935.3</v>
      </c>
      <c r="BD278">
        <v>1006.5</v>
      </c>
      <c r="BE278">
        <v>0</v>
      </c>
      <c r="BF278">
        <v>0</v>
      </c>
      <c r="BG278">
        <v>0</v>
      </c>
      <c r="BH278">
        <v>1662.6</v>
      </c>
      <c r="BJ278">
        <v>0</v>
      </c>
      <c r="BK278">
        <v>0</v>
      </c>
      <c r="BL278">
        <v>1038.9000000000001</v>
      </c>
      <c r="BM278">
        <v>1101</v>
      </c>
      <c r="BO278">
        <v>1276.8000000000002</v>
      </c>
      <c r="BQ278">
        <v>0</v>
      </c>
      <c r="BR278">
        <v>270.7</v>
      </c>
      <c r="BS278">
        <v>230.5</v>
      </c>
      <c r="BT278">
        <v>472.3</v>
      </c>
      <c r="BU278">
        <v>537.29999999999995</v>
      </c>
      <c r="BV278">
        <v>346.3</v>
      </c>
      <c r="BW278">
        <v>386.2</v>
      </c>
      <c r="BX278">
        <v>767</v>
      </c>
      <c r="BY278">
        <v>757.2</v>
      </c>
      <c r="BZ278">
        <v>1037.2</v>
      </c>
      <c r="CA278">
        <v>1227.0999999999999</v>
      </c>
      <c r="CB278">
        <v>1232.0999999999999</v>
      </c>
      <c r="CC278">
        <v>1701.5</v>
      </c>
      <c r="CD278">
        <v>0</v>
      </c>
      <c r="CG278">
        <v>1385.3</v>
      </c>
      <c r="CJ278">
        <v>1630.2999999999997</v>
      </c>
      <c r="CM278">
        <v>1184.2</v>
      </c>
      <c r="CO278">
        <v>1248.0999999999999</v>
      </c>
      <c r="CQ278">
        <v>1435.3</v>
      </c>
      <c r="CR278">
        <v>798.2</v>
      </c>
      <c r="CS278">
        <v>923.8</v>
      </c>
      <c r="CT278">
        <v>0</v>
      </c>
      <c r="CU278">
        <v>0</v>
      </c>
      <c r="CV278">
        <v>0</v>
      </c>
      <c r="CW278">
        <v>0</v>
      </c>
      <c r="CX278">
        <v>163.69999999999999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I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G278" t="e">
        <v>#N/A</v>
      </c>
      <c r="FI278" t="e">
        <v>#N/A</v>
      </c>
      <c r="FK278" t="e">
        <v>#N/A</v>
      </c>
      <c r="FM278" t="e">
        <v>#N/A</v>
      </c>
      <c r="FO278" t="e">
        <v>#N/A</v>
      </c>
      <c r="FQ278" t="e">
        <v>#N/A</v>
      </c>
      <c r="FS278" t="e">
        <v>#N/A</v>
      </c>
      <c r="FU278" t="e">
        <v>#N/A</v>
      </c>
      <c r="FW278" t="e">
        <v>#N/A</v>
      </c>
      <c r="FY278" t="e">
        <v>#N/A</v>
      </c>
      <c r="GA278" t="e">
        <v>#N/A</v>
      </c>
      <c r="GC278" t="e">
        <v>#N/A</v>
      </c>
      <c r="GE278" t="e">
        <v>#N/A</v>
      </c>
      <c r="GG278" t="e">
        <v>#N/A</v>
      </c>
      <c r="GI278" t="e">
        <v>#N/A</v>
      </c>
      <c r="GK278" t="e">
        <v>#N/A</v>
      </c>
      <c r="GM278" t="e">
        <v>#N/A</v>
      </c>
      <c r="GO278" t="e">
        <v>#N/A</v>
      </c>
      <c r="GQ278" t="e">
        <v>#N/A</v>
      </c>
      <c r="GS278" t="e">
        <v>#N/A</v>
      </c>
      <c r="GU278" t="e">
        <v>#N/A</v>
      </c>
      <c r="GW278" t="e">
        <v>#N/A</v>
      </c>
      <c r="GY278" t="e">
        <v>#N/A</v>
      </c>
      <c r="HA278" t="e">
        <v>#N/A</v>
      </c>
      <c r="HC278">
        <v>0</v>
      </c>
      <c r="HD278">
        <v>0</v>
      </c>
      <c r="HE278">
        <v>0</v>
      </c>
      <c r="HF278">
        <v>0</v>
      </c>
      <c r="HG278">
        <v>0</v>
      </c>
      <c r="HH278">
        <v>0</v>
      </c>
      <c r="HI278">
        <v>0</v>
      </c>
      <c r="HJ278">
        <v>0</v>
      </c>
      <c r="HM278">
        <v>0</v>
      </c>
      <c r="HN278">
        <v>0</v>
      </c>
      <c r="HO278">
        <v>0</v>
      </c>
      <c r="HP278">
        <v>0</v>
      </c>
      <c r="HQ278">
        <v>0</v>
      </c>
      <c r="HR278">
        <v>0</v>
      </c>
      <c r="HS278">
        <v>0</v>
      </c>
      <c r="HT278">
        <v>0</v>
      </c>
      <c r="HW278">
        <v>0</v>
      </c>
      <c r="HX278">
        <v>0</v>
      </c>
      <c r="HY278">
        <v>0</v>
      </c>
      <c r="HZ278">
        <v>0</v>
      </c>
      <c r="IA278">
        <v>3930.6</v>
      </c>
      <c r="IB278">
        <v>3632.9</v>
      </c>
      <c r="IC278">
        <v>3795.5</v>
      </c>
      <c r="ID278">
        <v>0</v>
      </c>
      <c r="IE278">
        <v>0</v>
      </c>
      <c r="IF278">
        <v>3548.5</v>
      </c>
      <c r="IG278">
        <v>3395.2</v>
      </c>
      <c r="IH278">
        <v>3395.4</v>
      </c>
      <c r="II278">
        <v>3302.3</v>
      </c>
      <c r="IJ278">
        <v>3172.8</v>
      </c>
      <c r="IK278">
        <v>0</v>
      </c>
      <c r="IL278">
        <v>0</v>
      </c>
      <c r="IM278">
        <v>0</v>
      </c>
      <c r="IN278">
        <v>0</v>
      </c>
      <c r="IO278">
        <v>123.4</v>
      </c>
      <c r="IP278">
        <v>405.2</v>
      </c>
      <c r="IQ278">
        <v>418.7</v>
      </c>
      <c r="IR278">
        <v>0</v>
      </c>
      <c r="IS278">
        <v>0</v>
      </c>
      <c r="IT278">
        <v>0</v>
      </c>
      <c r="IU278">
        <v>0</v>
      </c>
      <c r="IV278">
        <v>396</v>
      </c>
      <c r="IW278">
        <v>0</v>
      </c>
      <c r="IX278">
        <v>0</v>
      </c>
      <c r="IZ278">
        <v>0</v>
      </c>
      <c r="JA278">
        <v>65.5</v>
      </c>
      <c r="JB278">
        <v>443.5</v>
      </c>
      <c r="JC278">
        <v>0</v>
      </c>
      <c r="JD278">
        <v>0</v>
      </c>
      <c r="JE278">
        <v>0</v>
      </c>
      <c r="JF278">
        <v>0</v>
      </c>
      <c r="JG278">
        <v>0</v>
      </c>
      <c r="JH278">
        <v>0</v>
      </c>
      <c r="JI278">
        <v>0</v>
      </c>
      <c r="JJ278">
        <v>0</v>
      </c>
      <c r="JK278">
        <v>0</v>
      </c>
      <c r="JL278">
        <v>0</v>
      </c>
      <c r="JM278">
        <v>0</v>
      </c>
      <c r="JN278">
        <v>0</v>
      </c>
      <c r="JO278">
        <v>0</v>
      </c>
      <c r="JP278">
        <v>0</v>
      </c>
      <c r="JQ278">
        <v>0</v>
      </c>
      <c r="JR278">
        <v>0</v>
      </c>
      <c r="JS278">
        <v>0</v>
      </c>
      <c r="JT278">
        <v>0</v>
      </c>
      <c r="JU278">
        <v>0</v>
      </c>
      <c r="JV278">
        <v>0</v>
      </c>
      <c r="JW278">
        <v>0</v>
      </c>
      <c r="JX278">
        <v>0</v>
      </c>
      <c r="JY278">
        <v>0</v>
      </c>
      <c r="JZ278">
        <v>0</v>
      </c>
      <c r="KA278">
        <v>0</v>
      </c>
      <c r="KB278">
        <v>0</v>
      </c>
      <c r="KC278">
        <v>0</v>
      </c>
      <c r="KD278">
        <v>0</v>
      </c>
      <c r="KE278">
        <v>0</v>
      </c>
      <c r="KF278">
        <v>0</v>
      </c>
      <c r="KI278">
        <v>344.6</v>
      </c>
      <c r="KJ278">
        <v>350.8</v>
      </c>
      <c r="KK278">
        <v>22.1</v>
      </c>
      <c r="KL278">
        <v>379.3</v>
      </c>
      <c r="KM278">
        <v>241.4</v>
      </c>
      <c r="KN278">
        <v>0</v>
      </c>
      <c r="KO278">
        <v>0</v>
      </c>
      <c r="KP278">
        <v>57.3</v>
      </c>
      <c r="KQ278">
        <v>224.4</v>
      </c>
      <c r="KR278">
        <v>338.3</v>
      </c>
      <c r="KS278">
        <v>215.8</v>
      </c>
      <c r="KT278">
        <v>40.700000000000003</v>
      </c>
      <c r="KW278">
        <v>2154.5</v>
      </c>
      <c r="KX278">
        <v>1255.7</v>
      </c>
      <c r="KY278">
        <v>1630.1</v>
      </c>
      <c r="KZ278">
        <v>1246.9000000000001</v>
      </c>
      <c r="LB278">
        <v>78.099999999999994</v>
      </c>
      <c r="LC278">
        <v>77.7</v>
      </c>
    </row>
    <row r="279" spans="1:315" ht="18" thickBot="1">
      <c r="A279" s="245"/>
      <c r="B279" s="570" t="s">
        <v>572</v>
      </c>
      <c r="C279" s="88" t="s">
        <v>642</v>
      </c>
      <c r="D279" s="277" t="s">
        <v>820</v>
      </c>
      <c r="E279" s="446">
        <v>0</v>
      </c>
      <c r="F279" s="191">
        <v>0</v>
      </c>
      <c r="G279" s="427">
        <v>3413.8</v>
      </c>
      <c r="H279" s="155"/>
      <c r="I279">
        <v>735</v>
      </c>
      <c r="K279">
        <v>1973.1000000000001</v>
      </c>
      <c r="L279" s="4">
        <v>221.60000000000002</v>
      </c>
      <c r="M279" s="4">
        <v>54.9</v>
      </c>
      <c r="N279" s="4">
        <v>1989.7</v>
      </c>
      <c r="P279">
        <v>0</v>
      </c>
      <c r="Q279">
        <v>238.29999999999998</v>
      </c>
      <c r="R279">
        <v>0</v>
      </c>
      <c r="S279">
        <v>0</v>
      </c>
      <c r="T279">
        <v>368.5</v>
      </c>
      <c r="W279">
        <v>720.3</v>
      </c>
      <c r="X279">
        <v>1411.5</v>
      </c>
      <c r="Y279">
        <v>96.5</v>
      </c>
      <c r="AA279">
        <v>859.6</v>
      </c>
      <c r="AB279">
        <v>1577.6000000000001</v>
      </c>
      <c r="AE279">
        <v>1330</v>
      </c>
      <c r="AF279">
        <v>1025.5</v>
      </c>
      <c r="AH279">
        <v>509.9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1349.3</v>
      </c>
      <c r="AO279">
        <v>786.40000000000009</v>
      </c>
      <c r="AP279">
        <v>0</v>
      </c>
      <c r="AQ279">
        <v>68.3</v>
      </c>
      <c r="AR279">
        <v>234.9</v>
      </c>
      <c r="AS279">
        <v>600.40000000000009</v>
      </c>
      <c r="AU279">
        <v>985.69999999999993</v>
      </c>
      <c r="AW279">
        <v>792</v>
      </c>
      <c r="AX279">
        <v>1988.5</v>
      </c>
      <c r="AZ279">
        <v>763.5</v>
      </c>
      <c r="BA279">
        <v>0</v>
      </c>
      <c r="BB279">
        <v>0</v>
      </c>
      <c r="BC279">
        <v>1935.3</v>
      </c>
      <c r="BD279">
        <v>1006.5</v>
      </c>
      <c r="BE279">
        <v>0</v>
      </c>
      <c r="BF279">
        <v>0</v>
      </c>
      <c r="BG279">
        <v>0</v>
      </c>
      <c r="BH279">
        <v>1662.6</v>
      </c>
      <c r="BJ279">
        <v>0</v>
      </c>
      <c r="BK279">
        <v>0</v>
      </c>
      <c r="BL279">
        <v>1038.9000000000001</v>
      </c>
      <c r="BM279">
        <v>1101</v>
      </c>
      <c r="BO279">
        <v>1276.8000000000002</v>
      </c>
      <c r="BQ279">
        <v>0</v>
      </c>
      <c r="BR279">
        <v>270.7</v>
      </c>
      <c r="BS279">
        <v>230.5</v>
      </c>
      <c r="BT279">
        <v>472.3</v>
      </c>
      <c r="BU279">
        <v>537.29999999999995</v>
      </c>
      <c r="BV279">
        <v>346.3</v>
      </c>
      <c r="BW279">
        <v>386.2</v>
      </c>
      <c r="BX279">
        <v>767</v>
      </c>
      <c r="BY279">
        <v>757.2</v>
      </c>
      <c r="BZ279">
        <v>1037.2</v>
      </c>
      <c r="CA279">
        <v>1227.0999999999999</v>
      </c>
      <c r="CB279">
        <v>1232.0999999999999</v>
      </c>
      <c r="CC279">
        <v>1701.5</v>
      </c>
      <c r="CD279">
        <v>0</v>
      </c>
      <c r="CG279">
        <v>1385.3</v>
      </c>
      <c r="CJ279">
        <v>1630.2999999999997</v>
      </c>
      <c r="CM279">
        <v>1184.2</v>
      </c>
      <c r="CO279">
        <v>1248.0999999999999</v>
      </c>
      <c r="CQ279">
        <v>1435.3</v>
      </c>
      <c r="CR279">
        <v>798.2</v>
      </c>
      <c r="CS279">
        <v>923.8</v>
      </c>
      <c r="CT279">
        <v>0</v>
      </c>
      <c r="CU279">
        <v>0</v>
      </c>
      <c r="CV279">
        <v>0</v>
      </c>
      <c r="CW279">
        <v>0</v>
      </c>
      <c r="CX279">
        <v>163.69999999999999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I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G279" t="e">
        <v>#N/A</v>
      </c>
      <c r="FI279" t="e">
        <v>#N/A</v>
      </c>
      <c r="FK279" t="e">
        <v>#N/A</v>
      </c>
      <c r="FM279" t="e">
        <v>#N/A</v>
      </c>
      <c r="FO279" t="e">
        <v>#N/A</v>
      </c>
      <c r="FQ279" t="e">
        <v>#N/A</v>
      </c>
      <c r="FS279" t="e">
        <v>#N/A</v>
      </c>
      <c r="FU279" t="e">
        <v>#N/A</v>
      </c>
      <c r="FW279" t="e">
        <v>#N/A</v>
      </c>
      <c r="FY279" t="e">
        <v>#N/A</v>
      </c>
      <c r="GA279" t="e">
        <v>#N/A</v>
      </c>
      <c r="GC279" t="e">
        <v>#N/A</v>
      </c>
      <c r="GE279" t="e">
        <v>#N/A</v>
      </c>
      <c r="GG279" t="e">
        <v>#N/A</v>
      </c>
      <c r="GI279" t="e">
        <v>#N/A</v>
      </c>
      <c r="GK279" t="e">
        <v>#N/A</v>
      </c>
      <c r="GM279" t="e">
        <v>#N/A</v>
      </c>
      <c r="GO279" t="e">
        <v>#N/A</v>
      </c>
      <c r="GQ279" t="e">
        <v>#N/A</v>
      </c>
      <c r="GS279" t="e">
        <v>#N/A</v>
      </c>
      <c r="GU279" t="e">
        <v>#N/A</v>
      </c>
      <c r="GW279" t="e">
        <v>#N/A</v>
      </c>
      <c r="GY279" t="e">
        <v>#N/A</v>
      </c>
      <c r="HA279" t="e">
        <v>#N/A</v>
      </c>
      <c r="HC279">
        <v>0</v>
      </c>
      <c r="HD279">
        <v>0</v>
      </c>
      <c r="HE279">
        <v>0</v>
      </c>
      <c r="HF279">
        <v>0</v>
      </c>
      <c r="HG279">
        <v>0</v>
      </c>
      <c r="HH279">
        <v>0</v>
      </c>
      <c r="HI279">
        <v>0</v>
      </c>
      <c r="HJ279">
        <v>0</v>
      </c>
      <c r="HM279">
        <v>0</v>
      </c>
      <c r="HN279">
        <v>0</v>
      </c>
      <c r="HO279">
        <v>0</v>
      </c>
      <c r="HP279">
        <v>0</v>
      </c>
      <c r="HQ279">
        <v>0</v>
      </c>
      <c r="HR279">
        <v>0</v>
      </c>
      <c r="HS279">
        <v>0</v>
      </c>
      <c r="HT279">
        <v>0</v>
      </c>
      <c r="HW279">
        <v>0</v>
      </c>
      <c r="HX279">
        <v>0</v>
      </c>
      <c r="HY279">
        <v>0</v>
      </c>
      <c r="HZ279">
        <v>0</v>
      </c>
      <c r="IA279">
        <v>3930.6</v>
      </c>
      <c r="IB279">
        <v>3632.9</v>
      </c>
      <c r="IC279">
        <v>3795.5</v>
      </c>
      <c r="ID279">
        <v>0</v>
      </c>
      <c r="IE279">
        <v>0</v>
      </c>
      <c r="IF279">
        <v>3548.5</v>
      </c>
      <c r="IG279">
        <v>3395.2</v>
      </c>
      <c r="IH279">
        <v>3395.4</v>
      </c>
      <c r="II279">
        <v>3302.3</v>
      </c>
      <c r="IJ279">
        <v>3172.8</v>
      </c>
      <c r="IK279">
        <v>0</v>
      </c>
      <c r="IL279">
        <v>0</v>
      </c>
      <c r="IM279">
        <v>0</v>
      </c>
      <c r="IN279">
        <v>0</v>
      </c>
      <c r="IO279">
        <v>123.4</v>
      </c>
      <c r="IP279">
        <v>405.2</v>
      </c>
      <c r="IQ279">
        <v>418.7</v>
      </c>
      <c r="IR279">
        <v>0</v>
      </c>
      <c r="IS279">
        <v>0</v>
      </c>
      <c r="IT279">
        <v>0</v>
      </c>
      <c r="IU279">
        <v>0</v>
      </c>
      <c r="IV279">
        <v>396</v>
      </c>
      <c r="IW279">
        <v>0</v>
      </c>
      <c r="IX279">
        <v>0</v>
      </c>
      <c r="IZ279">
        <v>0</v>
      </c>
      <c r="JA279">
        <v>65.5</v>
      </c>
      <c r="JB279">
        <v>443.5</v>
      </c>
      <c r="JC279">
        <v>0</v>
      </c>
      <c r="JD279">
        <v>0</v>
      </c>
      <c r="JE279">
        <v>0</v>
      </c>
      <c r="JF279">
        <v>0</v>
      </c>
      <c r="JG279">
        <v>0</v>
      </c>
      <c r="JH279">
        <v>0</v>
      </c>
      <c r="JI279">
        <v>0</v>
      </c>
      <c r="JJ279">
        <v>0</v>
      </c>
      <c r="JK279">
        <v>0</v>
      </c>
      <c r="JL279">
        <v>0</v>
      </c>
      <c r="JM279">
        <v>0</v>
      </c>
      <c r="JN279">
        <v>0</v>
      </c>
      <c r="JO279">
        <v>0</v>
      </c>
      <c r="JP279">
        <v>0</v>
      </c>
      <c r="JQ279">
        <v>0</v>
      </c>
      <c r="JR279">
        <v>0</v>
      </c>
      <c r="JS279">
        <v>0</v>
      </c>
      <c r="JT279">
        <v>0</v>
      </c>
      <c r="JU279">
        <v>0</v>
      </c>
      <c r="JV279">
        <v>0</v>
      </c>
      <c r="JW279">
        <v>0</v>
      </c>
      <c r="JX279">
        <v>0</v>
      </c>
      <c r="JY279">
        <v>0</v>
      </c>
      <c r="JZ279">
        <v>0</v>
      </c>
      <c r="KA279">
        <v>0</v>
      </c>
      <c r="KB279">
        <v>0</v>
      </c>
      <c r="KC279">
        <v>0</v>
      </c>
      <c r="KD279">
        <v>0</v>
      </c>
      <c r="KE279">
        <v>0</v>
      </c>
      <c r="KF279">
        <v>0</v>
      </c>
      <c r="KI279">
        <v>344.6</v>
      </c>
      <c r="KJ279">
        <v>350.8</v>
      </c>
      <c r="KK279">
        <v>22.1</v>
      </c>
      <c r="KL279">
        <v>379.3</v>
      </c>
      <c r="KM279">
        <v>241.4</v>
      </c>
      <c r="KN279">
        <v>0</v>
      </c>
      <c r="KO279">
        <v>0</v>
      </c>
      <c r="KP279">
        <v>57.3</v>
      </c>
      <c r="KQ279">
        <v>224.4</v>
      </c>
      <c r="KR279">
        <v>338.3</v>
      </c>
      <c r="KS279">
        <v>215.8</v>
      </c>
      <c r="KT279">
        <v>40.700000000000003</v>
      </c>
      <c r="KW279">
        <v>2154.5</v>
      </c>
      <c r="KX279">
        <v>1255.7</v>
      </c>
      <c r="KY279">
        <v>1630.1</v>
      </c>
      <c r="KZ279">
        <v>1246.9000000000001</v>
      </c>
      <c r="LB279">
        <v>78.099999999999994</v>
      </c>
      <c r="LC279">
        <v>77.7</v>
      </c>
    </row>
    <row r="280" spans="1:315" ht="18" thickBot="1">
      <c r="A280" s="245"/>
      <c r="B280" s="570"/>
      <c r="C280" s="88"/>
      <c r="D280" s="279"/>
      <c r="E280" s="437">
        <v>0</v>
      </c>
      <c r="F280" s="191">
        <v>0</v>
      </c>
      <c r="G280" s="427">
        <v>3413.8</v>
      </c>
      <c r="H280" s="155"/>
      <c r="I280">
        <v>735</v>
      </c>
      <c r="K280">
        <v>1973.1000000000001</v>
      </c>
      <c r="L280" s="4">
        <v>221.60000000000002</v>
      </c>
      <c r="M280" s="4">
        <v>54.9</v>
      </c>
      <c r="N280" s="4">
        <v>1989.7</v>
      </c>
      <c r="P280">
        <v>0</v>
      </c>
      <c r="Q280">
        <v>238.29999999999998</v>
      </c>
      <c r="R280">
        <v>0</v>
      </c>
      <c r="S280">
        <v>0</v>
      </c>
      <c r="T280">
        <v>368.5</v>
      </c>
      <c r="W280">
        <v>720.3</v>
      </c>
      <c r="X280">
        <v>1411.5</v>
      </c>
      <c r="Y280">
        <v>96.5</v>
      </c>
      <c r="AA280">
        <v>859.6</v>
      </c>
      <c r="AB280">
        <v>1577.6000000000001</v>
      </c>
      <c r="AE280">
        <v>1330</v>
      </c>
      <c r="AF280">
        <v>1025.5</v>
      </c>
      <c r="AH280">
        <v>509.9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1349.3</v>
      </c>
      <c r="AO280">
        <v>786.40000000000009</v>
      </c>
      <c r="AP280">
        <v>0</v>
      </c>
      <c r="AQ280">
        <v>68.3</v>
      </c>
      <c r="AR280">
        <v>234.9</v>
      </c>
      <c r="AS280">
        <v>600.40000000000009</v>
      </c>
      <c r="AU280">
        <v>985.69999999999993</v>
      </c>
      <c r="AW280">
        <v>792</v>
      </c>
      <c r="AX280">
        <v>1988.5</v>
      </c>
      <c r="AZ280">
        <v>763.5</v>
      </c>
      <c r="BA280">
        <v>0</v>
      </c>
      <c r="BB280">
        <v>0</v>
      </c>
      <c r="BC280">
        <v>1935.3</v>
      </c>
      <c r="BD280">
        <v>1006.5</v>
      </c>
      <c r="BE280">
        <v>0</v>
      </c>
      <c r="BF280">
        <v>0</v>
      </c>
      <c r="BG280">
        <v>0</v>
      </c>
      <c r="BH280">
        <v>1662.6</v>
      </c>
      <c r="BJ280">
        <v>0</v>
      </c>
      <c r="BK280">
        <v>0</v>
      </c>
      <c r="BL280">
        <v>1038.9000000000001</v>
      </c>
      <c r="BM280">
        <v>1101</v>
      </c>
      <c r="BO280">
        <v>1276.8000000000002</v>
      </c>
      <c r="BQ280">
        <v>0</v>
      </c>
      <c r="BR280">
        <v>270.7</v>
      </c>
      <c r="BS280">
        <v>230.5</v>
      </c>
      <c r="BT280">
        <v>472.3</v>
      </c>
      <c r="BU280">
        <v>537.29999999999995</v>
      </c>
      <c r="BV280">
        <v>346.3</v>
      </c>
      <c r="BW280">
        <v>386.2</v>
      </c>
      <c r="BX280">
        <v>767</v>
      </c>
      <c r="BY280">
        <v>757.2</v>
      </c>
      <c r="BZ280">
        <v>1037.2</v>
      </c>
      <c r="CA280">
        <v>1227.0999999999999</v>
      </c>
      <c r="CB280">
        <v>1232.0999999999999</v>
      </c>
      <c r="CC280">
        <v>1701.5</v>
      </c>
      <c r="CD280">
        <v>0</v>
      </c>
      <c r="CG280">
        <v>1385.3</v>
      </c>
      <c r="CJ280">
        <v>1630.2999999999997</v>
      </c>
      <c r="CM280">
        <v>1184.2</v>
      </c>
      <c r="CO280">
        <v>1248.0999999999999</v>
      </c>
      <c r="CQ280">
        <v>1435.3</v>
      </c>
      <c r="CR280">
        <v>798.2</v>
      </c>
      <c r="CS280">
        <v>923.8</v>
      </c>
      <c r="CT280">
        <v>0</v>
      </c>
      <c r="CU280">
        <v>0</v>
      </c>
      <c r="CV280">
        <v>0</v>
      </c>
      <c r="CW280">
        <v>0</v>
      </c>
      <c r="CX280">
        <v>163.69999999999999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I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0</v>
      </c>
      <c r="ES280">
        <v>0</v>
      </c>
      <c r="ET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G280" t="e">
        <v>#N/A</v>
      </c>
      <c r="FI280" t="e">
        <v>#N/A</v>
      </c>
      <c r="FK280" t="e">
        <v>#N/A</v>
      </c>
      <c r="FM280" t="e">
        <v>#N/A</v>
      </c>
      <c r="FO280" t="e">
        <v>#N/A</v>
      </c>
      <c r="FQ280" t="e">
        <v>#N/A</v>
      </c>
      <c r="FS280" t="e">
        <v>#N/A</v>
      </c>
      <c r="FU280" t="e">
        <v>#N/A</v>
      </c>
      <c r="FW280" t="e">
        <v>#N/A</v>
      </c>
      <c r="FY280" t="e">
        <v>#N/A</v>
      </c>
      <c r="GA280" t="e">
        <v>#N/A</v>
      </c>
      <c r="GC280" t="e">
        <v>#N/A</v>
      </c>
      <c r="GE280" t="e">
        <v>#N/A</v>
      </c>
      <c r="GG280" t="e">
        <v>#N/A</v>
      </c>
      <c r="GI280" t="e">
        <v>#N/A</v>
      </c>
      <c r="GK280" t="e">
        <v>#N/A</v>
      </c>
      <c r="GM280" t="e">
        <v>#N/A</v>
      </c>
      <c r="GO280" t="e">
        <v>#N/A</v>
      </c>
      <c r="GQ280" t="e">
        <v>#N/A</v>
      </c>
      <c r="GS280" t="e">
        <v>#N/A</v>
      </c>
      <c r="GU280" t="e">
        <v>#N/A</v>
      </c>
      <c r="GW280" t="e">
        <v>#N/A</v>
      </c>
      <c r="GY280" t="e">
        <v>#N/A</v>
      </c>
      <c r="HA280" t="e">
        <v>#N/A</v>
      </c>
      <c r="HC280">
        <v>0</v>
      </c>
      <c r="HD280">
        <v>0</v>
      </c>
      <c r="HE280">
        <v>0</v>
      </c>
      <c r="HF280">
        <v>0</v>
      </c>
      <c r="HG280">
        <v>0</v>
      </c>
      <c r="HH280">
        <v>0</v>
      </c>
      <c r="HI280">
        <v>0</v>
      </c>
      <c r="HJ280">
        <v>0</v>
      </c>
      <c r="HM280">
        <v>0</v>
      </c>
      <c r="HN280">
        <v>0</v>
      </c>
      <c r="HO280">
        <v>0</v>
      </c>
      <c r="HP280">
        <v>0</v>
      </c>
      <c r="HQ280">
        <v>0</v>
      </c>
      <c r="HR280">
        <v>0</v>
      </c>
      <c r="HS280">
        <v>0</v>
      </c>
      <c r="HT280">
        <v>0</v>
      </c>
      <c r="HW280">
        <v>0</v>
      </c>
      <c r="HX280">
        <v>0</v>
      </c>
      <c r="HY280">
        <v>0</v>
      </c>
      <c r="HZ280">
        <v>0</v>
      </c>
      <c r="IA280">
        <v>3930.6</v>
      </c>
      <c r="IB280">
        <v>3632.9</v>
      </c>
      <c r="IC280">
        <v>3795.5</v>
      </c>
      <c r="ID280">
        <v>0</v>
      </c>
      <c r="IE280">
        <v>0</v>
      </c>
      <c r="IF280">
        <v>3548.5</v>
      </c>
      <c r="IG280">
        <v>3395.2</v>
      </c>
      <c r="IH280">
        <v>3395.4</v>
      </c>
      <c r="II280">
        <v>3302.3</v>
      </c>
      <c r="IJ280">
        <v>3172.8</v>
      </c>
      <c r="IK280">
        <v>0</v>
      </c>
      <c r="IL280">
        <v>0</v>
      </c>
      <c r="IM280">
        <v>0</v>
      </c>
      <c r="IN280">
        <v>0</v>
      </c>
      <c r="IO280">
        <v>123.4</v>
      </c>
      <c r="IP280">
        <v>405.2</v>
      </c>
      <c r="IQ280">
        <v>418.7</v>
      </c>
      <c r="IR280">
        <v>0</v>
      </c>
      <c r="IS280">
        <v>0</v>
      </c>
      <c r="IT280">
        <v>0</v>
      </c>
      <c r="IU280">
        <v>0</v>
      </c>
      <c r="IV280">
        <v>396</v>
      </c>
      <c r="IW280">
        <v>0</v>
      </c>
      <c r="IX280">
        <v>0</v>
      </c>
      <c r="IZ280">
        <v>0</v>
      </c>
      <c r="JA280">
        <v>65.5</v>
      </c>
      <c r="JB280">
        <v>443.5</v>
      </c>
      <c r="JC280">
        <v>0</v>
      </c>
      <c r="JD280">
        <v>0</v>
      </c>
      <c r="JE280">
        <v>0</v>
      </c>
      <c r="JF280">
        <v>0</v>
      </c>
      <c r="JG280">
        <v>0</v>
      </c>
      <c r="JH280">
        <v>0</v>
      </c>
      <c r="JI280">
        <v>0</v>
      </c>
      <c r="JJ280">
        <v>0</v>
      </c>
      <c r="JK280">
        <v>0</v>
      </c>
      <c r="JL280">
        <v>0</v>
      </c>
      <c r="JM280">
        <v>0</v>
      </c>
      <c r="JN280">
        <v>0</v>
      </c>
      <c r="JO280">
        <v>0</v>
      </c>
      <c r="JP280">
        <v>0</v>
      </c>
      <c r="JQ280">
        <v>0</v>
      </c>
      <c r="JR280">
        <v>0</v>
      </c>
      <c r="JS280">
        <v>0</v>
      </c>
      <c r="JT280">
        <v>0</v>
      </c>
      <c r="JU280">
        <v>0</v>
      </c>
      <c r="JV280">
        <v>0</v>
      </c>
      <c r="JW280">
        <v>0</v>
      </c>
      <c r="JX280">
        <v>0</v>
      </c>
      <c r="JY280">
        <v>0</v>
      </c>
      <c r="JZ280">
        <v>0</v>
      </c>
      <c r="KA280">
        <v>0</v>
      </c>
      <c r="KB280">
        <v>0</v>
      </c>
      <c r="KC280">
        <v>0</v>
      </c>
      <c r="KD280">
        <v>0</v>
      </c>
      <c r="KE280">
        <v>0</v>
      </c>
      <c r="KF280">
        <v>0</v>
      </c>
      <c r="KI280">
        <v>344.6</v>
      </c>
      <c r="KJ280">
        <v>350.8</v>
      </c>
      <c r="KK280">
        <v>22.1</v>
      </c>
      <c r="KL280">
        <v>379.3</v>
      </c>
      <c r="KM280">
        <v>241.4</v>
      </c>
      <c r="KN280">
        <v>0</v>
      </c>
      <c r="KO280">
        <v>0</v>
      </c>
      <c r="KP280">
        <v>57.3</v>
      </c>
      <c r="KQ280">
        <v>224.4</v>
      </c>
      <c r="KR280">
        <v>338.3</v>
      </c>
      <c r="KS280">
        <v>215.8</v>
      </c>
      <c r="KT280">
        <v>40.700000000000003</v>
      </c>
      <c r="KW280">
        <v>2154.5</v>
      </c>
      <c r="KX280">
        <v>1255.7</v>
      </c>
      <c r="KY280">
        <v>1630.1</v>
      </c>
      <c r="KZ280">
        <v>1246.9000000000001</v>
      </c>
      <c r="LB280">
        <v>78.099999999999994</v>
      </c>
      <c r="LC280">
        <v>77.7</v>
      </c>
    </row>
    <row r="281" spans="1:315" ht="18" thickBot="1">
      <c r="A281" s="246"/>
      <c r="B281" s="246" t="s">
        <v>573</v>
      </c>
      <c r="C281" s="329" t="s">
        <v>643</v>
      </c>
      <c r="D281" s="275" t="s">
        <v>820</v>
      </c>
      <c r="E281" s="447">
        <v>0</v>
      </c>
      <c r="F281" s="193">
        <v>0</v>
      </c>
      <c r="G281" s="427">
        <v>3413.8</v>
      </c>
      <c r="H281" s="155"/>
      <c r="I281">
        <v>735</v>
      </c>
      <c r="K281">
        <v>1973.1000000000001</v>
      </c>
      <c r="L281" s="4">
        <v>221.60000000000002</v>
      </c>
      <c r="M281" s="4">
        <v>54.9</v>
      </c>
      <c r="N281" s="4">
        <v>1989.7</v>
      </c>
      <c r="P281">
        <v>0</v>
      </c>
      <c r="Q281">
        <v>238.29999999999998</v>
      </c>
      <c r="R281">
        <v>0</v>
      </c>
      <c r="S281">
        <v>0</v>
      </c>
      <c r="T281">
        <v>368.5</v>
      </c>
      <c r="W281">
        <v>720.3</v>
      </c>
      <c r="X281">
        <v>1411.5</v>
      </c>
      <c r="Y281">
        <v>96.5</v>
      </c>
      <c r="AA281">
        <v>859.6</v>
      </c>
      <c r="AB281">
        <v>1577.6000000000001</v>
      </c>
      <c r="AE281">
        <v>1330</v>
      </c>
      <c r="AF281">
        <v>1025.5</v>
      </c>
      <c r="AH281">
        <v>509.9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1349.3</v>
      </c>
      <c r="AO281">
        <v>786.40000000000009</v>
      </c>
      <c r="AP281">
        <v>0</v>
      </c>
      <c r="AQ281">
        <v>68.3</v>
      </c>
      <c r="AR281">
        <v>234.9</v>
      </c>
      <c r="AS281">
        <v>600.40000000000009</v>
      </c>
      <c r="AU281">
        <v>985.69999999999993</v>
      </c>
      <c r="AW281">
        <v>792</v>
      </c>
      <c r="AX281">
        <v>1988.5</v>
      </c>
      <c r="AZ281">
        <v>763.5</v>
      </c>
      <c r="BA281">
        <v>0</v>
      </c>
      <c r="BB281">
        <v>0</v>
      </c>
      <c r="BC281">
        <v>1935.3</v>
      </c>
      <c r="BD281">
        <v>1006.5</v>
      </c>
      <c r="BE281">
        <v>0</v>
      </c>
      <c r="BF281">
        <v>0</v>
      </c>
      <c r="BG281">
        <v>0</v>
      </c>
      <c r="BH281">
        <v>1662.6</v>
      </c>
      <c r="BJ281">
        <v>0</v>
      </c>
      <c r="BK281">
        <v>0</v>
      </c>
      <c r="BL281">
        <v>1038.9000000000001</v>
      </c>
      <c r="BM281">
        <v>1101</v>
      </c>
      <c r="BO281">
        <v>1276.8000000000002</v>
      </c>
      <c r="BQ281">
        <v>0</v>
      </c>
      <c r="BR281">
        <v>270.7</v>
      </c>
      <c r="BS281">
        <v>230.5</v>
      </c>
      <c r="BT281">
        <v>472.3</v>
      </c>
      <c r="BU281">
        <v>537.29999999999995</v>
      </c>
      <c r="BV281">
        <v>346.3</v>
      </c>
      <c r="BW281">
        <v>386.2</v>
      </c>
      <c r="BX281">
        <v>767</v>
      </c>
      <c r="BY281">
        <v>757.2</v>
      </c>
      <c r="BZ281">
        <v>1037.2</v>
      </c>
      <c r="CA281">
        <v>1227.0999999999999</v>
      </c>
      <c r="CB281">
        <v>1232.0999999999999</v>
      </c>
      <c r="CC281">
        <v>1701.5</v>
      </c>
      <c r="CD281">
        <v>0</v>
      </c>
      <c r="CG281">
        <v>1385.3</v>
      </c>
      <c r="CJ281">
        <v>1630.2999999999997</v>
      </c>
      <c r="CM281">
        <v>1184.2</v>
      </c>
      <c r="CO281">
        <v>1248.0999999999999</v>
      </c>
      <c r="CQ281">
        <v>1435.3</v>
      </c>
      <c r="CR281">
        <v>798.2</v>
      </c>
      <c r="CS281">
        <v>923.8</v>
      </c>
      <c r="CT281">
        <v>0</v>
      </c>
      <c r="CU281">
        <v>0</v>
      </c>
      <c r="CV281">
        <v>0</v>
      </c>
      <c r="CW281">
        <v>0</v>
      </c>
      <c r="CX281">
        <v>163.69999999999999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I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G281" t="e">
        <v>#N/A</v>
      </c>
      <c r="FI281" t="e">
        <v>#N/A</v>
      </c>
      <c r="FK281" t="e">
        <v>#N/A</v>
      </c>
      <c r="FM281" t="e">
        <v>#N/A</v>
      </c>
      <c r="FO281" t="e">
        <v>#N/A</v>
      </c>
      <c r="FQ281" t="e">
        <v>#N/A</v>
      </c>
      <c r="FS281" t="e">
        <v>#N/A</v>
      </c>
      <c r="FU281" t="e">
        <v>#N/A</v>
      </c>
      <c r="FW281" t="e">
        <v>#N/A</v>
      </c>
      <c r="FY281" t="e">
        <v>#N/A</v>
      </c>
      <c r="GA281" t="e">
        <v>#N/A</v>
      </c>
      <c r="GC281" t="e">
        <v>#N/A</v>
      </c>
      <c r="GE281" t="e">
        <v>#N/A</v>
      </c>
      <c r="GG281" t="e">
        <v>#N/A</v>
      </c>
      <c r="GI281" t="e">
        <v>#N/A</v>
      </c>
      <c r="GK281" t="e">
        <v>#N/A</v>
      </c>
      <c r="GM281" t="e">
        <v>#N/A</v>
      </c>
      <c r="GO281" t="e">
        <v>#N/A</v>
      </c>
      <c r="GQ281" t="e">
        <v>#N/A</v>
      </c>
      <c r="GS281" t="e">
        <v>#N/A</v>
      </c>
      <c r="GU281" t="e">
        <v>#N/A</v>
      </c>
      <c r="GW281" t="e">
        <v>#N/A</v>
      </c>
      <c r="GY281" t="e">
        <v>#N/A</v>
      </c>
      <c r="HA281" t="e">
        <v>#N/A</v>
      </c>
      <c r="HC281">
        <v>0</v>
      </c>
      <c r="HD281">
        <v>0</v>
      </c>
      <c r="HE281">
        <v>0</v>
      </c>
      <c r="HF281">
        <v>0</v>
      </c>
      <c r="HG281">
        <v>0</v>
      </c>
      <c r="HH281">
        <v>0</v>
      </c>
      <c r="HI281">
        <v>0</v>
      </c>
      <c r="HJ281">
        <v>0</v>
      </c>
      <c r="HM281">
        <v>0</v>
      </c>
      <c r="HN281">
        <v>0</v>
      </c>
      <c r="HO281">
        <v>0</v>
      </c>
      <c r="HP281">
        <v>0</v>
      </c>
      <c r="HQ281">
        <v>0</v>
      </c>
      <c r="HR281">
        <v>0</v>
      </c>
      <c r="HS281">
        <v>0</v>
      </c>
      <c r="HT281">
        <v>0</v>
      </c>
      <c r="HW281">
        <v>0</v>
      </c>
      <c r="HX281">
        <v>0</v>
      </c>
      <c r="HY281">
        <v>0</v>
      </c>
      <c r="HZ281">
        <v>0</v>
      </c>
      <c r="IA281">
        <v>3930.6</v>
      </c>
      <c r="IB281">
        <v>3632.9</v>
      </c>
      <c r="IC281">
        <v>3795.5</v>
      </c>
      <c r="ID281">
        <v>0</v>
      </c>
      <c r="IE281">
        <v>0</v>
      </c>
      <c r="IF281">
        <v>3548.5</v>
      </c>
      <c r="IG281">
        <v>3395.2</v>
      </c>
      <c r="IH281">
        <v>3395.4</v>
      </c>
      <c r="II281">
        <v>3302.3</v>
      </c>
      <c r="IJ281">
        <v>3172.8</v>
      </c>
      <c r="IK281">
        <v>0</v>
      </c>
      <c r="IL281">
        <v>0</v>
      </c>
      <c r="IM281">
        <v>0</v>
      </c>
      <c r="IN281">
        <v>0</v>
      </c>
      <c r="IO281">
        <v>123.4</v>
      </c>
      <c r="IP281">
        <v>405.2</v>
      </c>
      <c r="IQ281">
        <v>418.7</v>
      </c>
      <c r="IR281">
        <v>0</v>
      </c>
      <c r="IS281">
        <v>0</v>
      </c>
      <c r="IT281">
        <v>0</v>
      </c>
      <c r="IU281">
        <v>0</v>
      </c>
      <c r="IV281">
        <v>396</v>
      </c>
      <c r="IW281">
        <v>0</v>
      </c>
      <c r="IX281">
        <v>0</v>
      </c>
      <c r="IZ281">
        <v>0</v>
      </c>
      <c r="JA281">
        <v>65.5</v>
      </c>
      <c r="JB281">
        <v>443.5</v>
      </c>
      <c r="JC281">
        <v>0</v>
      </c>
      <c r="JD281">
        <v>0</v>
      </c>
      <c r="JE281">
        <v>0</v>
      </c>
      <c r="JF281">
        <v>0</v>
      </c>
      <c r="JG281">
        <v>0</v>
      </c>
      <c r="JH281">
        <v>0</v>
      </c>
      <c r="JI281">
        <v>0</v>
      </c>
      <c r="JJ281">
        <v>0</v>
      </c>
      <c r="JK281">
        <v>0</v>
      </c>
      <c r="JL281">
        <v>0</v>
      </c>
      <c r="JM281">
        <v>0</v>
      </c>
      <c r="JN281">
        <v>0</v>
      </c>
      <c r="JO281">
        <v>0</v>
      </c>
      <c r="JP281">
        <v>0</v>
      </c>
      <c r="JQ281">
        <v>0</v>
      </c>
      <c r="JR281">
        <v>0</v>
      </c>
      <c r="JS281">
        <v>0</v>
      </c>
      <c r="JT281">
        <v>0</v>
      </c>
      <c r="JU281">
        <v>0</v>
      </c>
      <c r="JV281">
        <v>0</v>
      </c>
      <c r="JW281">
        <v>0</v>
      </c>
      <c r="JX281">
        <v>0</v>
      </c>
      <c r="JY281">
        <v>0</v>
      </c>
      <c r="JZ281">
        <v>0</v>
      </c>
      <c r="KA281">
        <v>0</v>
      </c>
      <c r="KB281">
        <v>0</v>
      </c>
      <c r="KC281">
        <v>0</v>
      </c>
      <c r="KD281">
        <v>0</v>
      </c>
      <c r="KE281">
        <v>0</v>
      </c>
      <c r="KF281">
        <v>0</v>
      </c>
      <c r="KI281">
        <v>344.6</v>
      </c>
      <c r="KJ281">
        <v>350.8</v>
      </c>
      <c r="KK281">
        <v>22.1</v>
      </c>
      <c r="KL281">
        <v>379.3</v>
      </c>
      <c r="KM281">
        <v>241.4</v>
      </c>
      <c r="KN281">
        <v>0</v>
      </c>
      <c r="KO281">
        <v>0</v>
      </c>
      <c r="KP281">
        <v>57.3</v>
      </c>
      <c r="KQ281">
        <v>224.4</v>
      </c>
      <c r="KR281">
        <v>338.3</v>
      </c>
      <c r="KS281">
        <v>215.8</v>
      </c>
      <c r="KT281">
        <v>40.700000000000003</v>
      </c>
      <c r="KW281">
        <v>2154.5</v>
      </c>
      <c r="KX281">
        <v>1255.7</v>
      </c>
      <c r="KY281">
        <v>1630.1</v>
      </c>
      <c r="KZ281">
        <v>1246.9000000000001</v>
      </c>
      <c r="LB281">
        <v>78.099999999999994</v>
      </c>
      <c r="LC281">
        <v>77.7</v>
      </c>
    </row>
    <row r="282" spans="1:315" ht="18.600000000000001" thickTop="1" thickBot="1">
      <c r="A282" s="182"/>
      <c r="B282" s="182"/>
      <c r="C282" s="330" t="s">
        <v>840</v>
      </c>
      <c r="D282" s="280"/>
      <c r="E282" s="448">
        <v>0</v>
      </c>
      <c r="F282" s="196">
        <v>0</v>
      </c>
      <c r="G282" s="427">
        <v>3413.8</v>
      </c>
      <c r="H282" s="155"/>
      <c r="I282">
        <v>735</v>
      </c>
      <c r="K282">
        <v>1973.1000000000001</v>
      </c>
      <c r="L282" s="4">
        <v>221.60000000000002</v>
      </c>
      <c r="M282" s="4">
        <v>54.9</v>
      </c>
      <c r="N282" s="4">
        <v>1989.7</v>
      </c>
      <c r="P282">
        <v>0</v>
      </c>
      <c r="Q282">
        <v>238.29999999999998</v>
      </c>
      <c r="R282">
        <v>0</v>
      </c>
      <c r="S282">
        <v>0</v>
      </c>
      <c r="T282">
        <v>368.5</v>
      </c>
      <c r="W282">
        <v>720.3</v>
      </c>
      <c r="X282">
        <v>1411.5</v>
      </c>
      <c r="Y282">
        <v>96.5</v>
      </c>
      <c r="AA282">
        <v>859.6</v>
      </c>
      <c r="AB282">
        <v>1577.6000000000001</v>
      </c>
      <c r="AE282">
        <v>1330</v>
      </c>
      <c r="AF282">
        <v>1025.5</v>
      </c>
      <c r="AH282">
        <v>509.9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1349.3</v>
      </c>
      <c r="AO282">
        <v>786.40000000000009</v>
      </c>
      <c r="AP282">
        <v>0</v>
      </c>
      <c r="AQ282">
        <v>68.3</v>
      </c>
      <c r="AR282">
        <v>234.9</v>
      </c>
      <c r="AS282">
        <v>600.40000000000009</v>
      </c>
      <c r="AU282">
        <v>985.69999999999993</v>
      </c>
      <c r="AW282">
        <v>792</v>
      </c>
      <c r="AX282">
        <v>1988.5</v>
      </c>
      <c r="AZ282">
        <v>763.5</v>
      </c>
      <c r="BA282">
        <v>0</v>
      </c>
      <c r="BB282">
        <v>0</v>
      </c>
      <c r="BC282">
        <v>1935.3</v>
      </c>
      <c r="BD282">
        <v>1006.5</v>
      </c>
      <c r="BE282">
        <v>0</v>
      </c>
      <c r="BF282">
        <v>0</v>
      </c>
      <c r="BG282">
        <v>0</v>
      </c>
      <c r="BH282">
        <v>1662.6</v>
      </c>
      <c r="BJ282">
        <v>0</v>
      </c>
      <c r="BK282">
        <v>0</v>
      </c>
      <c r="BL282">
        <v>1038.9000000000001</v>
      </c>
      <c r="BM282">
        <v>1101</v>
      </c>
      <c r="BO282">
        <v>1276.8000000000002</v>
      </c>
      <c r="BQ282">
        <v>0</v>
      </c>
      <c r="BR282">
        <v>270.7</v>
      </c>
      <c r="BS282">
        <v>230.5</v>
      </c>
      <c r="BT282">
        <v>472.3</v>
      </c>
      <c r="BU282">
        <v>537.29999999999995</v>
      </c>
      <c r="BV282">
        <v>346.3</v>
      </c>
      <c r="BW282">
        <v>386.2</v>
      </c>
      <c r="BX282">
        <v>767</v>
      </c>
      <c r="BY282">
        <v>757.2</v>
      </c>
      <c r="BZ282">
        <v>1037.2</v>
      </c>
      <c r="CA282">
        <v>1227.0999999999999</v>
      </c>
      <c r="CB282">
        <v>1232.0999999999999</v>
      </c>
      <c r="CC282">
        <v>1701.5</v>
      </c>
      <c r="CD282">
        <v>0</v>
      </c>
      <c r="CG282">
        <v>1385.3</v>
      </c>
      <c r="CJ282">
        <v>1630.2999999999997</v>
      </c>
      <c r="CM282">
        <v>1184.2</v>
      </c>
      <c r="CO282">
        <v>1248.0999999999999</v>
      </c>
      <c r="CQ282">
        <v>1435.3</v>
      </c>
      <c r="CR282">
        <v>798.2</v>
      </c>
      <c r="CS282">
        <v>923.8</v>
      </c>
      <c r="CT282">
        <v>0</v>
      </c>
      <c r="CU282">
        <v>0</v>
      </c>
      <c r="CV282">
        <v>0</v>
      </c>
      <c r="CW282">
        <v>0</v>
      </c>
      <c r="CX282">
        <v>163.69999999999999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I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0</v>
      </c>
      <c r="ET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0</v>
      </c>
      <c r="FG282" t="e">
        <v>#N/A</v>
      </c>
      <c r="FI282" t="e">
        <v>#N/A</v>
      </c>
      <c r="FK282" t="e">
        <v>#N/A</v>
      </c>
      <c r="FM282" t="e">
        <v>#N/A</v>
      </c>
      <c r="FO282" t="e">
        <v>#N/A</v>
      </c>
      <c r="FQ282" t="e">
        <v>#N/A</v>
      </c>
      <c r="FS282" t="e">
        <v>#N/A</v>
      </c>
      <c r="FU282" t="e">
        <v>#N/A</v>
      </c>
      <c r="FW282" t="e">
        <v>#N/A</v>
      </c>
      <c r="FY282" t="e">
        <v>#N/A</v>
      </c>
      <c r="GA282" t="e">
        <v>#N/A</v>
      </c>
      <c r="GC282" t="e">
        <v>#N/A</v>
      </c>
      <c r="GE282" t="e">
        <v>#N/A</v>
      </c>
      <c r="GG282" t="e">
        <v>#N/A</v>
      </c>
      <c r="GI282" t="e">
        <v>#N/A</v>
      </c>
      <c r="GK282" t="e">
        <v>#N/A</v>
      </c>
      <c r="GM282" t="e">
        <v>#N/A</v>
      </c>
      <c r="GO282" t="e">
        <v>#N/A</v>
      </c>
      <c r="GQ282" t="e">
        <v>#N/A</v>
      </c>
      <c r="GS282" t="e">
        <v>#N/A</v>
      </c>
      <c r="GU282" t="e">
        <v>#N/A</v>
      </c>
      <c r="GW282" t="e">
        <v>#N/A</v>
      </c>
      <c r="GY282" t="e">
        <v>#N/A</v>
      </c>
      <c r="HA282" t="e">
        <v>#N/A</v>
      </c>
      <c r="HC282">
        <v>0</v>
      </c>
      <c r="HD282">
        <v>0</v>
      </c>
      <c r="HE282">
        <v>0</v>
      </c>
      <c r="HF282">
        <v>0</v>
      </c>
      <c r="HG282">
        <v>0</v>
      </c>
      <c r="HH282">
        <v>0</v>
      </c>
      <c r="HI282">
        <v>0</v>
      </c>
      <c r="HJ282">
        <v>0</v>
      </c>
      <c r="HM282">
        <v>0</v>
      </c>
      <c r="HN282">
        <v>0</v>
      </c>
      <c r="HO282">
        <v>0</v>
      </c>
      <c r="HP282">
        <v>0</v>
      </c>
      <c r="HQ282">
        <v>0</v>
      </c>
      <c r="HR282">
        <v>0</v>
      </c>
      <c r="HS282">
        <v>0</v>
      </c>
      <c r="HT282">
        <v>0</v>
      </c>
      <c r="HW282">
        <v>0</v>
      </c>
      <c r="HX282">
        <v>0</v>
      </c>
      <c r="HY282">
        <v>0</v>
      </c>
      <c r="HZ282">
        <v>0</v>
      </c>
      <c r="IA282">
        <v>3930.6</v>
      </c>
      <c r="IB282">
        <v>3632.9</v>
      </c>
      <c r="IC282">
        <v>3795.5</v>
      </c>
      <c r="ID282">
        <v>0</v>
      </c>
      <c r="IE282">
        <v>0</v>
      </c>
      <c r="IF282">
        <v>3548.5</v>
      </c>
      <c r="IG282">
        <v>3395.2</v>
      </c>
      <c r="IH282">
        <v>3395.4</v>
      </c>
      <c r="II282">
        <v>3302.3</v>
      </c>
      <c r="IJ282">
        <v>3172.8</v>
      </c>
      <c r="IK282">
        <v>0</v>
      </c>
      <c r="IL282">
        <v>0</v>
      </c>
      <c r="IM282">
        <v>0</v>
      </c>
      <c r="IN282">
        <v>0</v>
      </c>
      <c r="IO282">
        <v>123.4</v>
      </c>
      <c r="IP282">
        <v>405.2</v>
      </c>
      <c r="IQ282">
        <v>418.7</v>
      </c>
      <c r="IR282">
        <v>0</v>
      </c>
      <c r="IS282">
        <v>0</v>
      </c>
      <c r="IT282">
        <v>0</v>
      </c>
      <c r="IU282">
        <v>0</v>
      </c>
      <c r="IV282">
        <v>396</v>
      </c>
      <c r="IW282">
        <v>0</v>
      </c>
      <c r="IX282">
        <v>0</v>
      </c>
      <c r="IZ282">
        <v>0</v>
      </c>
      <c r="JA282">
        <v>65.5</v>
      </c>
      <c r="JB282">
        <v>443.5</v>
      </c>
      <c r="JC282">
        <v>0</v>
      </c>
      <c r="JD282">
        <v>0</v>
      </c>
      <c r="JE282">
        <v>0</v>
      </c>
      <c r="JF282">
        <v>0</v>
      </c>
      <c r="JG282">
        <v>0</v>
      </c>
      <c r="JH282">
        <v>0</v>
      </c>
      <c r="JI282">
        <v>0</v>
      </c>
      <c r="JJ282">
        <v>0</v>
      </c>
      <c r="JK282">
        <v>0</v>
      </c>
      <c r="JL282">
        <v>0</v>
      </c>
      <c r="JM282">
        <v>0</v>
      </c>
      <c r="JN282">
        <v>0</v>
      </c>
      <c r="JO282">
        <v>0</v>
      </c>
      <c r="JP282">
        <v>0</v>
      </c>
      <c r="JQ282">
        <v>0</v>
      </c>
      <c r="JR282">
        <v>0</v>
      </c>
      <c r="JS282">
        <v>0</v>
      </c>
      <c r="JT282">
        <v>0</v>
      </c>
      <c r="JU282">
        <v>0</v>
      </c>
      <c r="JV282">
        <v>0</v>
      </c>
      <c r="JW282">
        <v>0</v>
      </c>
      <c r="JX282">
        <v>0</v>
      </c>
      <c r="JY282">
        <v>0</v>
      </c>
      <c r="JZ282">
        <v>0</v>
      </c>
      <c r="KA282">
        <v>0</v>
      </c>
      <c r="KB282">
        <v>0</v>
      </c>
      <c r="KC282">
        <v>0</v>
      </c>
      <c r="KD282">
        <v>0</v>
      </c>
      <c r="KE282">
        <v>0</v>
      </c>
      <c r="KF282">
        <v>0</v>
      </c>
      <c r="KI282">
        <v>344.6</v>
      </c>
      <c r="KJ282">
        <v>350.8</v>
      </c>
      <c r="KK282">
        <v>22.1</v>
      </c>
      <c r="KL282">
        <v>379.3</v>
      </c>
      <c r="KM282">
        <v>241.4</v>
      </c>
      <c r="KN282">
        <v>0</v>
      </c>
      <c r="KO282">
        <v>0</v>
      </c>
      <c r="KP282">
        <v>57.3</v>
      </c>
      <c r="KQ282">
        <v>224.4</v>
      </c>
      <c r="KR282">
        <v>338.3</v>
      </c>
      <c r="KS282">
        <v>215.8</v>
      </c>
      <c r="KT282">
        <v>40.700000000000003</v>
      </c>
      <c r="KW282">
        <v>2154.5</v>
      </c>
      <c r="KX282">
        <v>1255.7</v>
      </c>
      <c r="KY282">
        <v>1630.1</v>
      </c>
      <c r="KZ282">
        <v>1246.9000000000001</v>
      </c>
      <c r="LB282">
        <v>78.099999999999994</v>
      </c>
      <c r="LC282">
        <v>77.7</v>
      </c>
    </row>
    <row r="283" spans="1:315" ht="18" thickBot="1">
      <c r="A283" s="183"/>
      <c r="B283" s="183"/>
      <c r="C283" s="332" t="s">
        <v>644</v>
      </c>
      <c r="D283" s="284"/>
      <c r="E283" s="449">
        <v>0</v>
      </c>
      <c r="F283" s="200">
        <v>0</v>
      </c>
      <c r="G283" s="427">
        <v>3413.8</v>
      </c>
      <c r="H283" s="155"/>
      <c r="I283">
        <v>735</v>
      </c>
      <c r="K283">
        <v>1973.1000000000001</v>
      </c>
      <c r="L283" s="4">
        <v>221.60000000000002</v>
      </c>
      <c r="M283" s="4">
        <v>54.9</v>
      </c>
      <c r="N283" s="4">
        <v>1989.7</v>
      </c>
      <c r="P283">
        <v>0</v>
      </c>
      <c r="Q283">
        <v>238.29999999999998</v>
      </c>
      <c r="R283">
        <v>0</v>
      </c>
      <c r="S283">
        <v>0</v>
      </c>
      <c r="T283">
        <v>368.5</v>
      </c>
      <c r="W283">
        <v>720.3</v>
      </c>
      <c r="X283">
        <v>1411.5</v>
      </c>
      <c r="Y283">
        <v>96.5</v>
      </c>
      <c r="AA283">
        <v>859.6</v>
      </c>
      <c r="AB283">
        <v>1577.6000000000001</v>
      </c>
      <c r="AE283">
        <v>1330</v>
      </c>
      <c r="AF283">
        <v>1025.5</v>
      </c>
      <c r="AH283">
        <v>509.9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1349.3</v>
      </c>
      <c r="AO283">
        <v>786.40000000000009</v>
      </c>
      <c r="AP283">
        <v>0</v>
      </c>
      <c r="AQ283">
        <v>68.3</v>
      </c>
      <c r="AR283">
        <v>234.9</v>
      </c>
      <c r="AS283">
        <v>600.40000000000009</v>
      </c>
      <c r="AU283">
        <v>985.69999999999993</v>
      </c>
      <c r="AW283">
        <v>792</v>
      </c>
      <c r="AX283">
        <v>1988.5</v>
      </c>
      <c r="AZ283">
        <v>763.5</v>
      </c>
      <c r="BA283">
        <v>0</v>
      </c>
      <c r="BB283">
        <v>0</v>
      </c>
      <c r="BC283">
        <v>1935.3</v>
      </c>
      <c r="BD283">
        <v>1006.5</v>
      </c>
      <c r="BE283">
        <v>0</v>
      </c>
      <c r="BF283">
        <v>0</v>
      </c>
      <c r="BG283">
        <v>0</v>
      </c>
      <c r="BH283">
        <v>1662.6</v>
      </c>
      <c r="BJ283">
        <v>0</v>
      </c>
      <c r="BK283">
        <v>0</v>
      </c>
      <c r="BL283">
        <v>1038.9000000000001</v>
      </c>
      <c r="BM283">
        <v>1101</v>
      </c>
      <c r="BO283">
        <v>1276.8000000000002</v>
      </c>
      <c r="BQ283">
        <v>0</v>
      </c>
      <c r="BR283">
        <v>270.7</v>
      </c>
      <c r="BS283">
        <v>230.5</v>
      </c>
      <c r="BT283">
        <v>472.3</v>
      </c>
      <c r="BU283">
        <v>537.29999999999995</v>
      </c>
      <c r="BV283">
        <v>346.3</v>
      </c>
      <c r="BW283">
        <v>386.2</v>
      </c>
      <c r="BX283">
        <v>767</v>
      </c>
      <c r="BY283">
        <v>757.2</v>
      </c>
      <c r="BZ283">
        <v>1037.2</v>
      </c>
      <c r="CA283">
        <v>1227.0999999999999</v>
      </c>
      <c r="CB283">
        <v>1232.0999999999999</v>
      </c>
      <c r="CC283">
        <v>1701.5</v>
      </c>
      <c r="CD283">
        <v>0</v>
      </c>
      <c r="CG283">
        <v>1385.3</v>
      </c>
      <c r="CJ283">
        <v>1630.2999999999997</v>
      </c>
      <c r="CM283">
        <v>1184.2</v>
      </c>
      <c r="CO283">
        <v>1248.0999999999999</v>
      </c>
      <c r="CQ283">
        <v>1435.3</v>
      </c>
      <c r="CR283">
        <v>798.2</v>
      </c>
      <c r="CS283">
        <v>923.8</v>
      </c>
      <c r="CT283">
        <v>0</v>
      </c>
      <c r="CU283">
        <v>0</v>
      </c>
      <c r="CV283">
        <v>0</v>
      </c>
      <c r="CW283">
        <v>0</v>
      </c>
      <c r="CX283">
        <v>163.69999999999999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I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G283" t="e">
        <v>#N/A</v>
      </c>
      <c r="FI283" t="e">
        <v>#N/A</v>
      </c>
      <c r="FK283" t="e">
        <v>#N/A</v>
      </c>
      <c r="FM283" t="e">
        <v>#N/A</v>
      </c>
      <c r="FO283" t="e">
        <v>#N/A</v>
      </c>
      <c r="FQ283" t="e">
        <v>#N/A</v>
      </c>
      <c r="FS283" t="e">
        <v>#N/A</v>
      </c>
      <c r="FU283" t="e">
        <v>#N/A</v>
      </c>
      <c r="FW283" t="e">
        <v>#N/A</v>
      </c>
      <c r="FY283" t="e">
        <v>#N/A</v>
      </c>
      <c r="GA283" t="e">
        <v>#N/A</v>
      </c>
      <c r="GC283" t="e">
        <v>#N/A</v>
      </c>
      <c r="GE283" t="e">
        <v>#N/A</v>
      </c>
      <c r="GG283" t="e">
        <v>#N/A</v>
      </c>
      <c r="GI283" t="e">
        <v>#N/A</v>
      </c>
      <c r="GK283" t="e">
        <v>#N/A</v>
      </c>
      <c r="GM283" t="e">
        <v>#N/A</v>
      </c>
      <c r="GO283" t="e">
        <v>#N/A</v>
      </c>
      <c r="GQ283" t="e">
        <v>#N/A</v>
      </c>
      <c r="GS283" t="e">
        <v>#N/A</v>
      </c>
      <c r="GU283" t="e">
        <v>#N/A</v>
      </c>
      <c r="GW283" t="e">
        <v>#N/A</v>
      </c>
      <c r="GY283" t="e">
        <v>#N/A</v>
      </c>
      <c r="HA283" t="e">
        <v>#N/A</v>
      </c>
      <c r="HC283">
        <v>0</v>
      </c>
      <c r="HD283">
        <v>0</v>
      </c>
      <c r="HE283">
        <v>0</v>
      </c>
      <c r="HF283">
        <v>0</v>
      </c>
      <c r="HG283">
        <v>0</v>
      </c>
      <c r="HH283">
        <v>0</v>
      </c>
      <c r="HI283">
        <v>0</v>
      </c>
      <c r="HJ283">
        <v>0</v>
      </c>
      <c r="HM283">
        <v>0</v>
      </c>
      <c r="HN283">
        <v>0</v>
      </c>
      <c r="HO283">
        <v>0</v>
      </c>
      <c r="HP283">
        <v>0</v>
      </c>
      <c r="HQ283">
        <v>0</v>
      </c>
      <c r="HR283">
        <v>0</v>
      </c>
      <c r="HS283">
        <v>0</v>
      </c>
      <c r="HT283">
        <v>0</v>
      </c>
      <c r="HW283">
        <v>0</v>
      </c>
      <c r="HX283">
        <v>0</v>
      </c>
      <c r="HY283">
        <v>0</v>
      </c>
      <c r="HZ283">
        <v>0</v>
      </c>
      <c r="IA283">
        <v>3930.6</v>
      </c>
      <c r="IB283">
        <v>3632.9</v>
      </c>
      <c r="IC283">
        <v>3795.5</v>
      </c>
      <c r="ID283">
        <v>0</v>
      </c>
      <c r="IE283">
        <v>0</v>
      </c>
      <c r="IF283">
        <v>3548.5</v>
      </c>
      <c r="IG283">
        <v>3395.2</v>
      </c>
      <c r="IH283">
        <v>3395.4</v>
      </c>
      <c r="II283">
        <v>3302.3</v>
      </c>
      <c r="IJ283">
        <v>3172.8</v>
      </c>
      <c r="IK283">
        <v>0</v>
      </c>
      <c r="IL283">
        <v>0</v>
      </c>
      <c r="IM283">
        <v>0</v>
      </c>
      <c r="IN283">
        <v>0</v>
      </c>
      <c r="IO283">
        <v>123.4</v>
      </c>
      <c r="IP283">
        <v>405.2</v>
      </c>
      <c r="IQ283">
        <v>418.7</v>
      </c>
      <c r="IR283">
        <v>0</v>
      </c>
      <c r="IS283">
        <v>0</v>
      </c>
      <c r="IT283">
        <v>0</v>
      </c>
      <c r="IU283">
        <v>0</v>
      </c>
      <c r="IV283">
        <v>396</v>
      </c>
      <c r="IW283">
        <v>0</v>
      </c>
      <c r="IX283">
        <v>0</v>
      </c>
      <c r="IZ283">
        <v>0</v>
      </c>
      <c r="JA283">
        <v>65.5</v>
      </c>
      <c r="JB283">
        <v>443.5</v>
      </c>
      <c r="JC283">
        <v>0</v>
      </c>
      <c r="JD283">
        <v>0</v>
      </c>
      <c r="JE283">
        <v>0</v>
      </c>
      <c r="JF283">
        <v>0</v>
      </c>
      <c r="JG283">
        <v>0</v>
      </c>
      <c r="JH283">
        <v>0</v>
      </c>
      <c r="JI283">
        <v>0</v>
      </c>
      <c r="JJ283">
        <v>0</v>
      </c>
      <c r="JK283">
        <v>0</v>
      </c>
      <c r="JL283">
        <v>0</v>
      </c>
      <c r="JM283">
        <v>0</v>
      </c>
      <c r="JN283">
        <v>0</v>
      </c>
      <c r="JO283">
        <v>0</v>
      </c>
      <c r="JP283">
        <v>0</v>
      </c>
      <c r="JQ283">
        <v>0</v>
      </c>
      <c r="JR283">
        <v>0</v>
      </c>
      <c r="JS283">
        <v>0</v>
      </c>
      <c r="JT283">
        <v>0</v>
      </c>
      <c r="JU283">
        <v>0</v>
      </c>
      <c r="JV283">
        <v>0</v>
      </c>
      <c r="JW283">
        <v>0</v>
      </c>
      <c r="JX283">
        <v>0</v>
      </c>
      <c r="JY283">
        <v>0</v>
      </c>
      <c r="JZ283">
        <v>0</v>
      </c>
      <c r="KA283">
        <v>0</v>
      </c>
      <c r="KB283">
        <v>0</v>
      </c>
      <c r="KC283">
        <v>0</v>
      </c>
      <c r="KD283">
        <v>0</v>
      </c>
      <c r="KE283">
        <v>0</v>
      </c>
      <c r="KF283">
        <v>0</v>
      </c>
      <c r="KI283">
        <v>344.6</v>
      </c>
      <c r="KJ283">
        <v>350.8</v>
      </c>
      <c r="KK283">
        <v>22.1</v>
      </c>
      <c r="KL283">
        <v>379.3</v>
      </c>
      <c r="KM283">
        <v>241.4</v>
      </c>
      <c r="KN283">
        <v>0</v>
      </c>
      <c r="KO283">
        <v>0</v>
      </c>
      <c r="KP283">
        <v>57.3</v>
      </c>
      <c r="KQ283">
        <v>224.4</v>
      </c>
      <c r="KR283">
        <v>338.3</v>
      </c>
      <c r="KS283">
        <v>215.8</v>
      </c>
      <c r="KT283">
        <v>40.700000000000003</v>
      </c>
      <c r="KW283">
        <v>2154.5</v>
      </c>
      <c r="KX283">
        <v>1255.7</v>
      </c>
      <c r="KY283">
        <v>1630.1</v>
      </c>
      <c r="KZ283">
        <v>1246.9000000000001</v>
      </c>
      <c r="LB283">
        <v>78.099999999999994</v>
      </c>
      <c r="LC283">
        <v>77.7</v>
      </c>
    </row>
    <row r="284" spans="1:315" ht="18" thickBot="1">
      <c r="A284" s="245"/>
      <c r="B284" s="245" t="s">
        <v>574</v>
      </c>
      <c r="C284" s="88" t="s">
        <v>645</v>
      </c>
      <c r="D284" s="274" t="s">
        <v>821</v>
      </c>
      <c r="E284" s="443">
        <v>0</v>
      </c>
      <c r="F284" s="191">
        <v>0</v>
      </c>
      <c r="G284" s="427">
        <v>3413.8</v>
      </c>
      <c r="H284" s="155"/>
      <c r="I284">
        <v>735</v>
      </c>
      <c r="K284">
        <v>1973.1000000000001</v>
      </c>
      <c r="L284" s="4">
        <v>221.60000000000002</v>
      </c>
      <c r="M284" s="4">
        <v>54.9</v>
      </c>
      <c r="N284" s="4">
        <v>1989.7</v>
      </c>
      <c r="P284">
        <v>0</v>
      </c>
      <c r="Q284">
        <v>238.29999999999998</v>
      </c>
      <c r="R284">
        <v>0</v>
      </c>
      <c r="S284">
        <v>0</v>
      </c>
      <c r="T284">
        <v>368.5</v>
      </c>
      <c r="W284">
        <v>720.3</v>
      </c>
      <c r="X284">
        <v>1411.5</v>
      </c>
      <c r="Y284">
        <v>96.5</v>
      </c>
      <c r="AA284">
        <v>859.6</v>
      </c>
      <c r="AB284">
        <v>1577.6000000000001</v>
      </c>
      <c r="AE284">
        <v>1330</v>
      </c>
      <c r="AF284">
        <v>1025.5</v>
      </c>
      <c r="AH284">
        <v>509.9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1349.3</v>
      </c>
      <c r="AO284">
        <v>786.40000000000009</v>
      </c>
      <c r="AP284">
        <v>0</v>
      </c>
      <c r="AQ284">
        <v>68.3</v>
      </c>
      <c r="AR284">
        <v>234.9</v>
      </c>
      <c r="AS284">
        <v>600.40000000000009</v>
      </c>
      <c r="AU284">
        <v>985.69999999999993</v>
      </c>
      <c r="AW284">
        <v>792</v>
      </c>
      <c r="AX284">
        <v>1988.5</v>
      </c>
      <c r="AZ284">
        <v>763.5</v>
      </c>
      <c r="BA284">
        <v>0</v>
      </c>
      <c r="BB284">
        <v>0</v>
      </c>
      <c r="BC284">
        <v>1935.3</v>
      </c>
      <c r="BD284">
        <v>1006.5</v>
      </c>
      <c r="BE284">
        <v>0</v>
      </c>
      <c r="BF284">
        <v>0</v>
      </c>
      <c r="BG284">
        <v>0</v>
      </c>
      <c r="BH284">
        <v>1662.6</v>
      </c>
      <c r="BJ284">
        <v>0</v>
      </c>
      <c r="BK284">
        <v>0</v>
      </c>
      <c r="BL284">
        <v>1038.9000000000001</v>
      </c>
      <c r="BM284">
        <v>1101</v>
      </c>
      <c r="BO284">
        <v>1276.8000000000002</v>
      </c>
      <c r="BQ284">
        <v>0</v>
      </c>
      <c r="BR284">
        <v>270.7</v>
      </c>
      <c r="BS284">
        <v>230.5</v>
      </c>
      <c r="BT284">
        <v>472.3</v>
      </c>
      <c r="BU284">
        <v>537.29999999999995</v>
      </c>
      <c r="BV284">
        <v>346.3</v>
      </c>
      <c r="BW284">
        <v>386.2</v>
      </c>
      <c r="BX284">
        <v>767</v>
      </c>
      <c r="BY284">
        <v>757.2</v>
      </c>
      <c r="BZ284">
        <v>1037.2</v>
      </c>
      <c r="CA284">
        <v>1227.0999999999999</v>
      </c>
      <c r="CB284">
        <v>1232.0999999999999</v>
      </c>
      <c r="CC284">
        <v>1701.5</v>
      </c>
      <c r="CD284">
        <v>0</v>
      </c>
      <c r="CG284">
        <v>1385.3</v>
      </c>
      <c r="CJ284">
        <v>1630.2999999999997</v>
      </c>
      <c r="CM284">
        <v>1184.2</v>
      </c>
      <c r="CO284">
        <v>1248.0999999999999</v>
      </c>
      <c r="CQ284">
        <v>1435.3</v>
      </c>
      <c r="CR284">
        <v>798.2</v>
      </c>
      <c r="CS284">
        <v>923.8</v>
      </c>
      <c r="CT284">
        <v>0</v>
      </c>
      <c r="CU284">
        <v>0</v>
      </c>
      <c r="CV284">
        <v>0</v>
      </c>
      <c r="CW284">
        <v>0</v>
      </c>
      <c r="CX284">
        <v>163.69999999999999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I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G284" t="e">
        <v>#N/A</v>
      </c>
      <c r="FI284" t="e">
        <v>#N/A</v>
      </c>
      <c r="FK284" t="e">
        <v>#N/A</v>
      </c>
      <c r="FM284" t="e">
        <v>#N/A</v>
      </c>
      <c r="FO284" t="e">
        <v>#N/A</v>
      </c>
      <c r="FQ284" t="e">
        <v>#N/A</v>
      </c>
      <c r="FS284" t="e">
        <v>#N/A</v>
      </c>
      <c r="FU284" t="e">
        <v>#N/A</v>
      </c>
      <c r="FW284" t="e">
        <v>#N/A</v>
      </c>
      <c r="FY284" t="e">
        <v>#N/A</v>
      </c>
      <c r="GA284" t="e">
        <v>#N/A</v>
      </c>
      <c r="GC284" t="e">
        <v>#N/A</v>
      </c>
      <c r="GE284" t="e">
        <v>#N/A</v>
      </c>
      <c r="GG284" t="e">
        <v>#N/A</v>
      </c>
      <c r="GI284" t="e">
        <v>#N/A</v>
      </c>
      <c r="GK284" t="e">
        <v>#N/A</v>
      </c>
      <c r="GM284" t="e">
        <v>#N/A</v>
      </c>
      <c r="GO284" t="e">
        <v>#N/A</v>
      </c>
      <c r="GQ284" t="e">
        <v>#N/A</v>
      </c>
      <c r="GS284" t="e">
        <v>#N/A</v>
      </c>
      <c r="GU284" t="e">
        <v>#N/A</v>
      </c>
      <c r="GW284" t="e">
        <v>#N/A</v>
      </c>
      <c r="GY284" t="e">
        <v>#N/A</v>
      </c>
      <c r="HA284" t="e">
        <v>#N/A</v>
      </c>
      <c r="HC284">
        <v>0</v>
      </c>
      <c r="HD284">
        <v>0</v>
      </c>
      <c r="HE284">
        <v>0</v>
      </c>
      <c r="HF284">
        <v>0</v>
      </c>
      <c r="HG284">
        <v>0</v>
      </c>
      <c r="HH284">
        <v>0</v>
      </c>
      <c r="HI284">
        <v>0</v>
      </c>
      <c r="HJ284">
        <v>0</v>
      </c>
      <c r="HM284">
        <v>0</v>
      </c>
      <c r="HN284">
        <v>0</v>
      </c>
      <c r="HO284">
        <v>0</v>
      </c>
      <c r="HP284">
        <v>0</v>
      </c>
      <c r="HQ284">
        <v>0</v>
      </c>
      <c r="HR284">
        <v>0</v>
      </c>
      <c r="HS284">
        <v>0</v>
      </c>
      <c r="HT284">
        <v>0</v>
      </c>
      <c r="HW284">
        <v>0</v>
      </c>
      <c r="HX284">
        <v>0</v>
      </c>
      <c r="HY284">
        <v>0</v>
      </c>
      <c r="HZ284">
        <v>0</v>
      </c>
      <c r="IA284">
        <v>3930.6</v>
      </c>
      <c r="IB284">
        <v>3632.9</v>
      </c>
      <c r="IC284">
        <v>3795.5</v>
      </c>
      <c r="ID284">
        <v>0</v>
      </c>
      <c r="IE284">
        <v>0</v>
      </c>
      <c r="IF284">
        <v>3548.5</v>
      </c>
      <c r="IG284">
        <v>3395.2</v>
      </c>
      <c r="IH284">
        <v>3395.4</v>
      </c>
      <c r="II284">
        <v>3302.3</v>
      </c>
      <c r="IJ284">
        <v>3172.8</v>
      </c>
      <c r="IK284">
        <v>0</v>
      </c>
      <c r="IL284">
        <v>0</v>
      </c>
      <c r="IM284">
        <v>0</v>
      </c>
      <c r="IN284">
        <v>0</v>
      </c>
      <c r="IO284">
        <v>123.4</v>
      </c>
      <c r="IP284">
        <v>405.2</v>
      </c>
      <c r="IQ284">
        <v>418.7</v>
      </c>
      <c r="IR284">
        <v>0</v>
      </c>
      <c r="IS284">
        <v>0</v>
      </c>
      <c r="IT284">
        <v>0</v>
      </c>
      <c r="IU284">
        <v>0</v>
      </c>
      <c r="IV284">
        <v>396</v>
      </c>
      <c r="IW284">
        <v>0</v>
      </c>
      <c r="IX284">
        <v>0</v>
      </c>
      <c r="IZ284">
        <v>0</v>
      </c>
      <c r="JA284">
        <v>65.5</v>
      </c>
      <c r="JB284">
        <v>443.5</v>
      </c>
      <c r="JC284">
        <v>0</v>
      </c>
      <c r="JD284">
        <v>0</v>
      </c>
      <c r="JE284">
        <v>0</v>
      </c>
      <c r="JF284">
        <v>0</v>
      </c>
      <c r="JG284">
        <v>0</v>
      </c>
      <c r="JH284">
        <v>0</v>
      </c>
      <c r="JI284">
        <v>0</v>
      </c>
      <c r="JJ284">
        <v>0</v>
      </c>
      <c r="JK284">
        <v>0</v>
      </c>
      <c r="JL284">
        <v>0</v>
      </c>
      <c r="JM284">
        <v>0</v>
      </c>
      <c r="JN284">
        <v>0</v>
      </c>
      <c r="JO284">
        <v>0</v>
      </c>
      <c r="JP284">
        <v>0</v>
      </c>
      <c r="JQ284">
        <v>0</v>
      </c>
      <c r="JR284">
        <v>0</v>
      </c>
      <c r="JS284">
        <v>0</v>
      </c>
      <c r="JT284">
        <v>0</v>
      </c>
      <c r="JU284">
        <v>0</v>
      </c>
      <c r="JV284">
        <v>0</v>
      </c>
      <c r="JW284">
        <v>0</v>
      </c>
      <c r="JX284">
        <v>0</v>
      </c>
      <c r="JY284">
        <v>0</v>
      </c>
      <c r="JZ284">
        <v>0</v>
      </c>
      <c r="KA284">
        <v>0</v>
      </c>
      <c r="KB284">
        <v>0</v>
      </c>
      <c r="KC284">
        <v>0</v>
      </c>
      <c r="KD284">
        <v>0</v>
      </c>
      <c r="KE284">
        <v>0</v>
      </c>
      <c r="KF284">
        <v>0</v>
      </c>
      <c r="KI284">
        <v>344.6</v>
      </c>
      <c r="KJ284">
        <v>350.8</v>
      </c>
      <c r="KK284">
        <v>22.1</v>
      </c>
      <c r="KL284">
        <v>379.3</v>
      </c>
      <c r="KM284">
        <v>241.4</v>
      </c>
      <c r="KN284">
        <v>0</v>
      </c>
      <c r="KO284">
        <v>0</v>
      </c>
      <c r="KP284">
        <v>57.3</v>
      </c>
      <c r="KQ284">
        <v>224.4</v>
      </c>
      <c r="KR284">
        <v>338.3</v>
      </c>
      <c r="KS284">
        <v>215.8</v>
      </c>
      <c r="KT284">
        <v>40.700000000000003</v>
      </c>
      <c r="KW284">
        <v>2154.5</v>
      </c>
      <c r="KX284">
        <v>1255.7</v>
      </c>
      <c r="KY284">
        <v>1630.1</v>
      </c>
      <c r="KZ284">
        <v>1246.9000000000001</v>
      </c>
      <c r="LB284">
        <v>78.099999999999994</v>
      </c>
      <c r="LC284">
        <v>77.7</v>
      </c>
    </row>
    <row r="285" spans="1:315" ht="18" thickBot="1">
      <c r="A285" s="245"/>
      <c r="B285" s="245" t="s">
        <v>575</v>
      </c>
      <c r="C285" s="88" t="s">
        <v>646</v>
      </c>
      <c r="D285" s="274" t="s">
        <v>821</v>
      </c>
      <c r="E285" s="443">
        <v>0</v>
      </c>
      <c r="F285" s="191">
        <v>0</v>
      </c>
      <c r="G285" s="427">
        <v>3413.8</v>
      </c>
      <c r="H285" s="155"/>
      <c r="I285">
        <v>735</v>
      </c>
      <c r="K285">
        <v>1973.1000000000001</v>
      </c>
      <c r="L285" s="4">
        <v>221.60000000000002</v>
      </c>
      <c r="M285" s="4">
        <v>54.9</v>
      </c>
      <c r="N285" s="4">
        <v>1989.7</v>
      </c>
      <c r="P285">
        <v>0</v>
      </c>
      <c r="Q285">
        <v>238.29999999999998</v>
      </c>
      <c r="R285">
        <v>0</v>
      </c>
      <c r="S285">
        <v>0</v>
      </c>
      <c r="T285">
        <v>368.5</v>
      </c>
      <c r="W285">
        <v>720.3</v>
      </c>
      <c r="X285">
        <v>1411.5</v>
      </c>
      <c r="Y285">
        <v>96.5</v>
      </c>
      <c r="AA285">
        <v>859.6</v>
      </c>
      <c r="AB285">
        <v>1577.6000000000001</v>
      </c>
      <c r="AE285">
        <v>1330</v>
      </c>
      <c r="AF285">
        <v>1025.5</v>
      </c>
      <c r="AH285">
        <v>509.9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1349.3</v>
      </c>
      <c r="AO285">
        <v>786.40000000000009</v>
      </c>
      <c r="AP285">
        <v>0</v>
      </c>
      <c r="AQ285">
        <v>68.3</v>
      </c>
      <c r="AR285">
        <v>234.9</v>
      </c>
      <c r="AS285">
        <v>600.40000000000009</v>
      </c>
      <c r="AU285">
        <v>985.69999999999993</v>
      </c>
      <c r="AW285">
        <v>792</v>
      </c>
      <c r="AX285">
        <v>1988.5</v>
      </c>
      <c r="AZ285">
        <v>763.5</v>
      </c>
      <c r="BA285">
        <v>0</v>
      </c>
      <c r="BB285">
        <v>0</v>
      </c>
      <c r="BC285">
        <v>1935.3</v>
      </c>
      <c r="BD285">
        <v>1006.5</v>
      </c>
      <c r="BE285">
        <v>0</v>
      </c>
      <c r="BF285">
        <v>0</v>
      </c>
      <c r="BG285">
        <v>0</v>
      </c>
      <c r="BH285">
        <v>1662.6</v>
      </c>
      <c r="BJ285">
        <v>0</v>
      </c>
      <c r="BK285">
        <v>0</v>
      </c>
      <c r="BL285">
        <v>1038.9000000000001</v>
      </c>
      <c r="BM285">
        <v>1101</v>
      </c>
      <c r="BO285">
        <v>1276.8000000000002</v>
      </c>
      <c r="BQ285">
        <v>0</v>
      </c>
      <c r="BR285">
        <v>270.7</v>
      </c>
      <c r="BS285">
        <v>230.5</v>
      </c>
      <c r="BT285">
        <v>472.3</v>
      </c>
      <c r="BU285">
        <v>537.29999999999995</v>
      </c>
      <c r="BV285">
        <v>346.3</v>
      </c>
      <c r="BW285">
        <v>386.2</v>
      </c>
      <c r="BX285">
        <v>767</v>
      </c>
      <c r="BY285">
        <v>757.2</v>
      </c>
      <c r="BZ285">
        <v>1037.2</v>
      </c>
      <c r="CA285">
        <v>1227.0999999999999</v>
      </c>
      <c r="CB285">
        <v>1232.0999999999999</v>
      </c>
      <c r="CC285">
        <v>1701.5</v>
      </c>
      <c r="CD285">
        <v>0</v>
      </c>
      <c r="CG285">
        <v>1385.3</v>
      </c>
      <c r="CJ285">
        <v>1630.2999999999997</v>
      </c>
      <c r="CM285">
        <v>1184.2</v>
      </c>
      <c r="CO285">
        <v>1248.0999999999999</v>
      </c>
      <c r="CQ285">
        <v>1435.3</v>
      </c>
      <c r="CR285">
        <v>798.2</v>
      </c>
      <c r="CS285">
        <v>923.8</v>
      </c>
      <c r="CT285">
        <v>0</v>
      </c>
      <c r="CU285">
        <v>0</v>
      </c>
      <c r="CV285">
        <v>0</v>
      </c>
      <c r="CW285">
        <v>0</v>
      </c>
      <c r="CX285">
        <v>163.69999999999999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I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G285" t="e">
        <v>#N/A</v>
      </c>
      <c r="FI285" t="e">
        <v>#N/A</v>
      </c>
      <c r="FK285" t="e">
        <v>#N/A</v>
      </c>
      <c r="FM285" t="e">
        <v>#N/A</v>
      </c>
      <c r="FO285" t="e">
        <v>#N/A</v>
      </c>
      <c r="FQ285" t="e">
        <v>#N/A</v>
      </c>
      <c r="FS285" t="e">
        <v>#N/A</v>
      </c>
      <c r="FU285" t="e">
        <v>#N/A</v>
      </c>
      <c r="FW285" t="e">
        <v>#N/A</v>
      </c>
      <c r="FY285" t="e">
        <v>#N/A</v>
      </c>
      <c r="GA285" t="e">
        <v>#N/A</v>
      </c>
      <c r="GC285" t="e">
        <v>#N/A</v>
      </c>
      <c r="GE285" t="e">
        <v>#N/A</v>
      </c>
      <c r="GG285" t="e">
        <v>#N/A</v>
      </c>
      <c r="GI285" t="e">
        <v>#N/A</v>
      </c>
      <c r="GK285" t="e">
        <v>#N/A</v>
      </c>
      <c r="GM285" t="e">
        <v>#N/A</v>
      </c>
      <c r="GO285" t="e">
        <v>#N/A</v>
      </c>
      <c r="GQ285" t="e">
        <v>#N/A</v>
      </c>
      <c r="GS285" t="e">
        <v>#N/A</v>
      </c>
      <c r="GU285" t="e">
        <v>#N/A</v>
      </c>
      <c r="GW285" t="e">
        <v>#N/A</v>
      </c>
      <c r="GY285" t="e">
        <v>#N/A</v>
      </c>
      <c r="HA285" t="e">
        <v>#N/A</v>
      </c>
      <c r="HC285">
        <v>0</v>
      </c>
      <c r="HD285">
        <v>0</v>
      </c>
      <c r="HE285">
        <v>0</v>
      </c>
      <c r="HF285">
        <v>0</v>
      </c>
      <c r="HG285">
        <v>0</v>
      </c>
      <c r="HH285">
        <v>0</v>
      </c>
      <c r="HI285">
        <v>0</v>
      </c>
      <c r="HJ285">
        <v>0</v>
      </c>
      <c r="HM285">
        <v>0</v>
      </c>
      <c r="HN285">
        <v>0</v>
      </c>
      <c r="HO285">
        <v>0</v>
      </c>
      <c r="HP285">
        <v>0</v>
      </c>
      <c r="HQ285">
        <v>0</v>
      </c>
      <c r="HR285">
        <v>0</v>
      </c>
      <c r="HS285">
        <v>0</v>
      </c>
      <c r="HT285">
        <v>0</v>
      </c>
      <c r="HW285">
        <v>0</v>
      </c>
      <c r="HX285">
        <v>0</v>
      </c>
      <c r="HY285">
        <v>0</v>
      </c>
      <c r="HZ285">
        <v>0</v>
      </c>
      <c r="IA285">
        <v>3930.6</v>
      </c>
      <c r="IB285">
        <v>3632.9</v>
      </c>
      <c r="IC285">
        <v>3795.5</v>
      </c>
      <c r="ID285">
        <v>0</v>
      </c>
      <c r="IE285">
        <v>0</v>
      </c>
      <c r="IF285">
        <v>3548.5</v>
      </c>
      <c r="IG285">
        <v>3395.2</v>
      </c>
      <c r="IH285">
        <v>3395.4</v>
      </c>
      <c r="II285">
        <v>3302.3</v>
      </c>
      <c r="IJ285">
        <v>3172.8</v>
      </c>
      <c r="IK285">
        <v>0</v>
      </c>
      <c r="IL285">
        <v>0</v>
      </c>
      <c r="IM285">
        <v>0</v>
      </c>
      <c r="IN285">
        <v>0</v>
      </c>
      <c r="IO285">
        <v>123.4</v>
      </c>
      <c r="IP285">
        <v>405.2</v>
      </c>
      <c r="IQ285">
        <v>418.7</v>
      </c>
      <c r="IR285">
        <v>0</v>
      </c>
      <c r="IS285">
        <v>0</v>
      </c>
      <c r="IT285">
        <v>0</v>
      </c>
      <c r="IU285">
        <v>0</v>
      </c>
      <c r="IV285">
        <v>396</v>
      </c>
      <c r="IW285">
        <v>0</v>
      </c>
      <c r="IX285">
        <v>0</v>
      </c>
      <c r="IZ285">
        <v>0</v>
      </c>
      <c r="JA285">
        <v>65.5</v>
      </c>
      <c r="JB285">
        <v>443.5</v>
      </c>
      <c r="JC285">
        <v>0</v>
      </c>
      <c r="JD285">
        <v>0</v>
      </c>
      <c r="JE285">
        <v>0</v>
      </c>
      <c r="JF285">
        <v>0</v>
      </c>
      <c r="JG285">
        <v>0</v>
      </c>
      <c r="JH285">
        <v>0</v>
      </c>
      <c r="JI285">
        <v>0</v>
      </c>
      <c r="JJ285">
        <v>0</v>
      </c>
      <c r="JK285">
        <v>0</v>
      </c>
      <c r="JL285">
        <v>0</v>
      </c>
      <c r="JM285">
        <v>0</v>
      </c>
      <c r="JN285">
        <v>0</v>
      </c>
      <c r="JO285">
        <v>0</v>
      </c>
      <c r="JP285">
        <v>0</v>
      </c>
      <c r="JQ285">
        <v>0</v>
      </c>
      <c r="JR285">
        <v>0</v>
      </c>
      <c r="JS285">
        <v>0</v>
      </c>
      <c r="JT285">
        <v>0</v>
      </c>
      <c r="JU285">
        <v>0</v>
      </c>
      <c r="JV285">
        <v>0</v>
      </c>
      <c r="JW285">
        <v>0</v>
      </c>
      <c r="JX285">
        <v>0</v>
      </c>
      <c r="JY285">
        <v>0</v>
      </c>
      <c r="JZ285">
        <v>0</v>
      </c>
      <c r="KA285">
        <v>0</v>
      </c>
      <c r="KB285">
        <v>0</v>
      </c>
      <c r="KC285">
        <v>0</v>
      </c>
      <c r="KD285">
        <v>0</v>
      </c>
      <c r="KE285">
        <v>0</v>
      </c>
      <c r="KF285">
        <v>0</v>
      </c>
      <c r="KI285">
        <v>344.6</v>
      </c>
      <c r="KJ285">
        <v>350.8</v>
      </c>
      <c r="KK285">
        <v>22.1</v>
      </c>
      <c r="KL285">
        <v>379.3</v>
      </c>
      <c r="KM285">
        <v>241.4</v>
      </c>
      <c r="KN285">
        <v>0</v>
      </c>
      <c r="KO285">
        <v>0</v>
      </c>
      <c r="KP285">
        <v>57.3</v>
      </c>
      <c r="KQ285">
        <v>224.4</v>
      </c>
      <c r="KR285">
        <v>338.3</v>
      </c>
      <c r="KS285">
        <v>215.8</v>
      </c>
      <c r="KT285">
        <v>40.700000000000003</v>
      </c>
      <c r="KW285">
        <v>2154.5</v>
      </c>
      <c r="KX285">
        <v>1255.7</v>
      </c>
      <c r="KY285">
        <v>1630.1</v>
      </c>
      <c r="KZ285">
        <v>1246.9000000000001</v>
      </c>
      <c r="LB285">
        <v>78.099999999999994</v>
      </c>
      <c r="LC285">
        <v>77.7</v>
      </c>
    </row>
    <row r="286" spans="1:315" ht="18" thickBot="1">
      <c r="A286" s="245"/>
      <c r="B286" s="245" t="s">
        <v>576</v>
      </c>
      <c r="C286" s="88" t="s">
        <v>647</v>
      </c>
      <c r="D286" s="274"/>
      <c r="E286" s="443">
        <v>0</v>
      </c>
      <c r="F286" s="191">
        <v>0</v>
      </c>
      <c r="G286" s="427">
        <v>3413.8</v>
      </c>
      <c r="H286" s="155"/>
      <c r="I286">
        <v>735</v>
      </c>
      <c r="K286">
        <v>1973.1000000000001</v>
      </c>
      <c r="L286" s="4">
        <v>221.60000000000002</v>
      </c>
      <c r="M286" s="4">
        <v>54.9</v>
      </c>
      <c r="N286" s="4">
        <v>1989.7</v>
      </c>
      <c r="P286">
        <v>0</v>
      </c>
      <c r="Q286">
        <v>238.29999999999998</v>
      </c>
      <c r="R286">
        <v>0</v>
      </c>
      <c r="S286">
        <v>0</v>
      </c>
      <c r="T286">
        <v>368.5</v>
      </c>
      <c r="W286">
        <v>720.3</v>
      </c>
      <c r="X286">
        <v>1411.5</v>
      </c>
      <c r="Y286">
        <v>96.5</v>
      </c>
      <c r="AA286">
        <v>859.6</v>
      </c>
      <c r="AB286">
        <v>1577.6000000000001</v>
      </c>
      <c r="AE286">
        <v>1330</v>
      </c>
      <c r="AF286">
        <v>1025.5</v>
      </c>
      <c r="AH286">
        <v>509.9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1349.3</v>
      </c>
      <c r="AO286">
        <v>786.40000000000009</v>
      </c>
      <c r="AP286">
        <v>0</v>
      </c>
      <c r="AQ286">
        <v>68.3</v>
      </c>
      <c r="AR286">
        <v>234.9</v>
      </c>
      <c r="AS286">
        <v>600.40000000000009</v>
      </c>
      <c r="AU286">
        <v>985.69999999999993</v>
      </c>
      <c r="AW286">
        <v>792</v>
      </c>
      <c r="AX286">
        <v>1988.5</v>
      </c>
      <c r="AZ286">
        <v>763.5</v>
      </c>
      <c r="BA286">
        <v>0</v>
      </c>
      <c r="BB286">
        <v>0</v>
      </c>
      <c r="BC286">
        <v>1935.3</v>
      </c>
      <c r="BD286">
        <v>1006.5</v>
      </c>
      <c r="BE286">
        <v>0</v>
      </c>
      <c r="BF286">
        <v>0</v>
      </c>
      <c r="BG286">
        <v>0</v>
      </c>
      <c r="BH286">
        <v>1662.6</v>
      </c>
      <c r="BJ286">
        <v>0</v>
      </c>
      <c r="BK286">
        <v>0</v>
      </c>
      <c r="BL286">
        <v>1038.9000000000001</v>
      </c>
      <c r="BM286">
        <v>1101</v>
      </c>
      <c r="BO286">
        <v>1276.8000000000002</v>
      </c>
      <c r="BQ286">
        <v>0</v>
      </c>
      <c r="BR286">
        <v>270.7</v>
      </c>
      <c r="BS286">
        <v>230.5</v>
      </c>
      <c r="BT286">
        <v>472.3</v>
      </c>
      <c r="BU286">
        <v>537.29999999999995</v>
      </c>
      <c r="BV286">
        <v>346.3</v>
      </c>
      <c r="BW286">
        <v>386.2</v>
      </c>
      <c r="BX286">
        <v>767</v>
      </c>
      <c r="BY286">
        <v>757.2</v>
      </c>
      <c r="BZ286">
        <v>1037.2</v>
      </c>
      <c r="CA286">
        <v>1227.0999999999999</v>
      </c>
      <c r="CB286">
        <v>1232.0999999999999</v>
      </c>
      <c r="CC286">
        <v>1701.5</v>
      </c>
      <c r="CD286">
        <v>0</v>
      </c>
      <c r="CG286">
        <v>1385.3</v>
      </c>
      <c r="CJ286">
        <v>1630.2999999999997</v>
      </c>
      <c r="CM286">
        <v>1184.2</v>
      </c>
      <c r="CO286">
        <v>1248.0999999999999</v>
      </c>
      <c r="CQ286">
        <v>1435.3</v>
      </c>
      <c r="CR286">
        <v>798.2</v>
      </c>
      <c r="CS286">
        <v>923.8</v>
      </c>
      <c r="CT286">
        <v>0</v>
      </c>
      <c r="CU286">
        <v>0</v>
      </c>
      <c r="CV286">
        <v>0</v>
      </c>
      <c r="CW286">
        <v>0</v>
      </c>
      <c r="CX286">
        <v>163.69999999999999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I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G286" t="e">
        <v>#N/A</v>
      </c>
      <c r="FI286" t="e">
        <v>#N/A</v>
      </c>
      <c r="FK286" t="e">
        <v>#N/A</v>
      </c>
      <c r="FM286" t="e">
        <v>#N/A</v>
      </c>
      <c r="FO286" t="e">
        <v>#N/A</v>
      </c>
      <c r="FQ286" t="e">
        <v>#N/A</v>
      </c>
      <c r="FS286" t="e">
        <v>#N/A</v>
      </c>
      <c r="FU286" t="e">
        <v>#N/A</v>
      </c>
      <c r="FW286" t="e">
        <v>#N/A</v>
      </c>
      <c r="FY286" t="e">
        <v>#N/A</v>
      </c>
      <c r="GA286" t="e">
        <v>#N/A</v>
      </c>
      <c r="GC286" t="e">
        <v>#N/A</v>
      </c>
      <c r="GE286" t="e">
        <v>#N/A</v>
      </c>
      <c r="GG286" t="e">
        <v>#N/A</v>
      </c>
      <c r="GI286" t="e">
        <v>#N/A</v>
      </c>
      <c r="GK286" t="e">
        <v>#N/A</v>
      </c>
      <c r="GM286" t="e">
        <v>#N/A</v>
      </c>
      <c r="GO286" t="e">
        <v>#N/A</v>
      </c>
      <c r="GQ286" t="e">
        <v>#N/A</v>
      </c>
      <c r="GS286" t="e">
        <v>#N/A</v>
      </c>
      <c r="GU286" t="e">
        <v>#N/A</v>
      </c>
      <c r="GW286" t="e">
        <v>#N/A</v>
      </c>
      <c r="GY286" t="e">
        <v>#N/A</v>
      </c>
      <c r="HA286" t="e">
        <v>#N/A</v>
      </c>
      <c r="HC286">
        <v>0</v>
      </c>
      <c r="HD286">
        <v>0</v>
      </c>
      <c r="HE286">
        <v>0</v>
      </c>
      <c r="HF286">
        <v>0</v>
      </c>
      <c r="HG286">
        <v>0</v>
      </c>
      <c r="HH286">
        <v>0</v>
      </c>
      <c r="HI286">
        <v>0</v>
      </c>
      <c r="HJ286">
        <v>0</v>
      </c>
      <c r="HM286">
        <v>0</v>
      </c>
      <c r="HN286">
        <v>0</v>
      </c>
      <c r="HO286">
        <v>0</v>
      </c>
      <c r="HP286">
        <v>0</v>
      </c>
      <c r="HQ286">
        <v>0</v>
      </c>
      <c r="HR286">
        <v>0</v>
      </c>
      <c r="HS286">
        <v>0</v>
      </c>
      <c r="HT286">
        <v>0</v>
      </c>
      <c r="HW286">
        <v>0</v>
      </c>
      <c r="HX286">
        <v>0</v>
      </c>
      <c r="HY286">
        <v>0</v>
      </c>
      <c r="HZ286">
        <v>0</v>
      </c>
      <c r="IA286">
        <v>3930.6</v>
      </c>
      <c r="IB286">
        <v>3632.9</v>
      </c>
      <c r="IC286">
        <v>3795.5</v>
      </c>
      <c r="ID286">
        <v>0</v>
      </c>
      <c r="IE286">
        <v>0</v>
      </c>
      <c r="IF286">
        <v>3548.5</v>
      </c>
      <c r="IG286">
        <v>3395.2</v>
      </c>
      <c r="IH286">
        <v>3395.4</v>
      </c>
      <c r="II286">
        <v>3302.3</v>
      </c>
      <c r="IJ286">
        <v>3172.8</v>
      </c>
      <c r="IK286">
        <v>0</v>
      </c>
      <c r="IL286">
        <v>0</v>
      </c>
      <c r="IM286">
        <v>0</v>
      </c>
      <c r="IN286">
        <v>0</v>
      </c>
      <c r="IO286">
        <v>123.4</v>
      </c>
      <c r="IP286">
        <v>405.2</v>
      </c>
      <c r="IQ286">
        <v>418.7</v>
      </c>
      <c r="IR286">
        <v>0</v>
      </c>
      <c r="IS286">
        <v>0</v>
      </c>
      <c r="IT286">
        <v>0</v>
      </c>
      <c r="IU286">
        <v>0</v>
      </c>
      <c r="IV286">
        <v>396</v>
      </c>
      <c r="IW286">
        <v>0</v>
      </c>
      <c r="IX286">
        <v>0</v>
      </c>
      <c r="IZ286">
        <v>0</v>
      </c>
      <c r="JA286">
        <v>65.5</v>
      </c>
      <c r="JB286">
        <v>443.5</v>
      </c>
      <c r="JC286">
        <v>0</v>
      </c>
      <c r="JD286">
        <v>0</v>
      </c>
      <c r="JE286">
        <v>0</v>
      </c>
      <c r="JF286">
        <v>0</v>
      </c>
      <c r="JG286">
        <v>0</v>
      </c>
      <c r="JH286">
        <v>0</v>
      </c>
      <c r="JI286">
        <v>0</v>
      </c>
      <c r="JJ286">
        <v>0</v>
      </c>
      <c r="JK286">
        <v>0</v>
      </c>
      <c r="JL286">
        <v>0</v>
      </c>
      <c r="JM286">
        <v>0</v>
      </c>
      <c r="JN286">
        <v>0</v>
      </c>
      <c r="JO286">
        <v>0</v>
      </c>
      <c r="JP286">
        <v>0</v>
      </c>
      <c r="JQ286">
        <v>0</v>
      </c>
      <c r="JR286">
        <v>0</v>
      </c>
      <c r="JS286">
        <v>0</v>
      </c>
      <c r="JT286">
        <v>0</v>
      </c>
      <c r="JU286">
        <v>0</v>
      </c>
      <c r="JV286">
        <v>0</v>
      </c>
      <c r="JW286">
        <v>0</v>
      </c>
      <c r="JX286">
        <v>0</v>
      </c>
      <c r="JY286">
        <v>0</v>
      </c>
      <c r="JZ286">
        <v>0</v>
      </c>
      <c r="KA286">
        <v>0</v>
      </c>
      <c r="KB286">
        <v>0</v>
      </c>
      <c r="KC286">
        <v>0</v>
      </c>
      <c r="KD286">
        <v>0</v>
      </c>
      <c r="KE286">
        <v>0</v>
      </c>
      <c r="KF286">
        <v>0</v>
      </c>
      <c r="KI286">
        <v>344.6</v>
      </c>
      <c r="KJ286">
        <v>350.8</v>
      </c>
      <c r="KK286">
        <v>22.1</v>
      </c>
      <c r="KL286">
        <v>379.3</v>
      </c>
      <c r="KM286">
        <v>241.4</v>
      </c>
      <c r="KN286">
        <v>0</v>
      </c>
      <c r="KO286">
        <v>0</v>
      </c>
      <c r="KP286">
        <v>57.3</v>
      </c>
      <c r="KQ286">
        <v>224.4</v>
      </c>
      <c r="KR286">
        <v>338.3</v>
      </c>
      <c r="KS286">
        <v>215.8</v>
      </c>
      <c r="KT286">
        <v>40.700000000000003</v>
      </c>
      <c r="KW286">
        <v>2154.5</v>
      </c>
      <c r="KX286">
        <v>1255.7</v>
      </c>
      <c r="KY286">
        <v>1630.1</v>
      </c>
      <c r="KZ286">
        <v>1246.9000000000001</v>
      </c>
      <c r="LB286">
        <v>78.099999999999994</v>
      </c>
      <c r="LC286">
        <v>77.7</v>
      </c>
    </row>
    <row r="287" spans="1:315" ht="18" thickBot="1">
      <c r="A287" s="245"/>
      <c r="B287" s="245" t="s">
        <v>577</v>
      </c>
      <c r="C287" s="88" t="s">
        <v>648</v>
      </c>
      <c r="D287" s="274"/>
      <c r="E287" s="443">
        <v>0</v>
      </c>
      <c r="F287" s="191">
        <v>0</v>
      </c>
      <c r="G287" s="427">
        <v>3413.8</v>
      </c>
      <c r="H287" s="155"/>
      <c r="I287">
        <v>735</v>
      </c>
      <c r="K287">
        <v>1973.1000000000001</v>
      </c>
      <c r="L287" s="4">
        <v>221.60000000000002</v>
      </c>
      <c r="M287" s="4">
        <v>54.9</v>
      </c>
      <c r="N287" s="4">
        <v>1989.7</v>
      </c>
      <c r="P287">
        <v>0</v>
      </c>
      <c r="Q287">
        <v>238.29999999999998</v>
      </c>
      <c r="R287">
        <v>0</v>
      </c>
      <c r="S287">
        <v>0</v>
      </c>
      <c r="T287">
        <v>368.5</v>
      </c>
      <c r="W287">
        <v>720.3</v>
      </c>
      <c r="X287">
        <v>1411.5</v>
      </c>
      <c r="Y287">
        <v>96.5</v>
      </c>
      <c r="AA287">
        <v>859.6</v>
      </c>
      <c r="AB287">
        <v>1577.6000000000001</v>
      </c>
      <c r="AE287">
        <v>1330</v>
      </c>
      <c r="AF287">
        <v>1025.5</v>
      </c>
      <c r="AH287">
        <v>509.9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1349.3</v>
      </c>
      <c r="AO287">
        <v>786.40000000000009</v>
      </c>
      <c r="AP287">
        <v>0</v>
      </c>
      <c r="AQ287">
        <v>68.3</v>
      </c>
      <c r="AR287">
        <v>234.9</v>
      </c>
      <c r="AS287">
        <v>600.40000000000009</v>
      </c>
      <c r="AU287">
        <v>985.69999999999993</v>
      </c>
      <c r="AW287">
        <v>792</v>
      </c>
      <c r="AX287">
        <v>1988.5</v>
      </c>
      <c r="AZ287">
        <v>763.5</v>
      </c>
      <c r="BA287">
        <v>0</v>
      </c>
      <c r="BB287">
        <v>0</v>
      </c>
      <c r="BC287">
        <v>1935.3</v>
      </c>
      <c r="BD287">
        <v>1006.5</v>
      </c>
      <c r="BE287">
        <v>0</v>
      </c>
      <c r="BF287">
        <v>0</v>
      </c>
      <c r="BG287">
        <v>0</v>
      </c>
      <c r="BH287">
        <v>1662.6</v>
      </c>
      <c r="BJ287">
        <v>0</v>
      </c>
      <c r="BK287">
        <v>0</v>
      </c>
      <c r="BL287">
        <v>1038.9000000000001</v>
      </c>
      <c r="BM287">
        <v>1101</v>
      </c>
      <c r="BO287">
        <v>1276.8000000000002</v>
      </c>
      <c r="BQ287">
        <v>0</v>
      </c>
      <c r="BR287">
        <v>270.7</v>
      </c>
      <c r="BS287">
        <v>230.5</v>
      </c>
      <c r="BT287">
        <v>472.3</v>
      </c>
      <c r="BU287">
        <v>537.29999999999995</v>
      </c>
      <c r="BV287">
        <v>346.3</v>
      </c>
      <c r="BW287">
        <v>386.2</v>
      </c>
      <c r="BX287">
        <v>767</v>
      </c>
      <c r="BY287">
        <v>757.2</v>
      </c>
      <c r="BZ287">
        <v>1037.2</v>
      </c>
      <c r="CA287">
        <v>1227.0999999999999</v>
      </c>
      <c r="CB287">
        <v>1232.0999999999999</v>
      </c>
      <c r="CC287">
        <v>1701.5</v>
      </c>
      <c r="CD287">
        <v>0</v>
      </c>
      <c r="CG287">
        <v>1385.3</v>
      </c>
      <c r="CJ287">
        <v>1630.2999999999997</v>
      </c>
      <c r="CM287">
        <v>1184.2</v>
      </c>
      <c r="CO287">
        <v>1248.0999999999999</v>
      </c>
      <c r="CQ287">
        <v>1435.3</v>
      </c>
      <c r="CR287">
        <v>798.2</v>
      </c>
      <c r="CS287">
        <v>923.8</v>
      </c>
      <c r="CT287">
        <v>0</v>
      </c>
      <c r="CU287">
        <v>0</v>
      </c>
      <c r="CV287">
        <v>0</v>
      </c>
      <c r="CW287">
        <v>0</v>
      </c>
      <c r="CX287">
        <v>163.69999999999999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I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0</v>
      </c>
      <c r="ET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G287" t="e">
        <v>#N/A</v>
      </c>
      <c r="FI287" t="e">
        <v>#N/A</v>
      </c>
      <c r="FK287" t="e">
        <v>#N/A</v>
      </c>
      <c r="FM287" t="e">
        <v>#N/A</v>
      </c>
      <c r="FO287" t="e">
        <v>#N/A</v>
      </c>
      <c r="FQ287" t="e">
        <v>#N/A</v>
      </c>
      <c r="FS287" t="e">
        <v>#N/A</v>
      </c>
      <c r="FU287" t="e">
        <v>#N/A</v>
      </c>
      <c r="FW287" t="e">
        <v>#N/A</v>
      </c>
      <c r="FY287" t="e">
        <v>#N/A</v>
      </c>
      <c r="GA287" t="e">
        <v>#N/A</v>
      </c>
      <c r="GC287" t="e">
        <v>#N/A</v>
      </c>
      <c r="GE287" t="e">
        <v>#N/A</v>
      </c>
      <c r="GG287" t="e">
        <v>#N/A</v>
      </c>
      <c r="GI287" t="e">
        <v>#N/A</v>
      </c>
      <c r="GK287" t="e">
        <v>#N/A</v>
      </c>
      <c r="GM287" t="e">
        <v>#N/A</v>
      </c>
      <c r="GO287" t="e">
        <v>#N/A</v>
      </c>
      <c r="GQ287" t="e">
        <v>#N/A</v>
      </c>
      <c r="GS287" t="e">
        <v>#N/A</v>
      </c>
      <c r="GU287" t="e">
        <v>#N/A</v>
      </c>
      <c r="GW287" t="e">
        <v>#N/A</v>
      </c>
      <c r="GY287" t="e">
        <v>#N/A</v>
      </c>
      <c r="HA287" t="e">
        <v>#N/A</v>
      </c>
      <c r="HC287">
        <v>0</v>
      </c>
      <c r="HD287">
        <v>0</v>
      </c>
      <c r="HE287">
        <v>0</v>
      </c>
      <c r="HF287">
        <v>0</v>
      </c>
      <c r="HG287">
        <v>0</v>
      </c>
      <c r="HH287">
        <v>0</v>
      </c>
      <c r="HI287">
        <v>0</v>
      </c>
      <c r="HJ287">
        <v>0</v>
      </c>
      <c r="HM287">
        <v>0</v>
      </c>
      <c r="HN287">
        <v>0</v>
      </c>
      <c r="HO287">
        <v>0</v>
      </c>
      <c r="HP287">
        <v>0</v>
      </c>
      <c r="HQ287">
        <v>0</v>
      </c>
      <c r="HR287">
        <v>0</v>
      </c>
      <c r="HS287">
        <v>0</v>
      </c>
      <c r="HT287">
        <v>0</v>
      </c>
      <c r="HW287">
        <v>0</v>
      </c>
      <c r="HX287">
        <v>0</v>
      </c>
      <c r="HY287">
        <v>0</v>
      </c>
      <c r="HZ287">
        <v>0</v>
      </c>
      <c r="IA287">
        <v>3930.6</v>
      </c>
      <c r="IB287">
        <v>3632.9</v>
      </c>
      <c r="IC287">
        <v>3795.5</v>
      </c>
      <c r="ID287">
        <v>0</v>
      </c>
      <c r="IE287">
        <v>0</v>
      </c>
      <c r="IF287">
        <v>3548.5</v>
      </c>
      <c r="IG287">
        <v>3395.2</v>
      </c>
      <c r="IH287">
        <v>3395.4</v>
      </c>
      <c r="II287">
        <v>3302.3</v>
      </c>
      <c r="IJ287">
        <v>3172.8</v>
      </c>
      <c r="IK287">
        <v>0</v>
      </c>
      <c r="IL287">
        <v>0</v>
      </c>
      <c r="IM287">
        <v>0</v>
      </c>
      <c r="IN287">
        <v>0</v>
      </c>
      <c r="IO287">
        <v>123.4</v>
      </c>
      <c r="IP287">
        <v>405.2</v>
      </c>
      <c r="IQ287">
        <v>418.7</v>
      </c>
      <c r="IR287">
        <v>0</v>
      </c>
      <c r="IS287">
        <v>0</v>
      </c>
      <c r="IT287">
        <v>0</v>
      </c>
      <c r="IU287">
        <v>0</v>
      </c>
      <c r="IV287">
        <v>396</v>
      </c>
      <c r="IW287">
        <v>0</v>
      </c>
      <c r="IX287">
        <v>0</v>
      </c>
      <c r="IZ287">
        <v>0</v>
      </c>
      <c r="JA287">
        <v>65.5</v>
      </c>
      <c r="JB287">
        <v>443.5</v>
      </c>
      <c r="JC287">
        <v>0</v>
      </c>
      <c r="JD287">
        <v>0</v>
      </c>
      <c r="JE287">
        <v>0</v>
      </c>
      <c r="JF287">
        <v>0</v>
      </c>
      <c r="JG287">
        <v>0</v>
      </c>
      <c r="JH287">
        <v>0</v>
      </c>
      <c r="JI287">
        <v>0</v>
      </c>
      <c r="JJ287">
        <v>0</v>
      </c>
      <c r="JK287">
        <v>0</v>
      </c>
      <c r="JL287">
        <v>0</v>
      </c>
      <c r="JM287">
        <v>0</v>
      </c>
      <c r="JN287">
        <v>0</v>
      </c>
      <c r="JO287">
        <v>0</v>
      </c>
      <c r="JP287">
        <v>0</v>
      </c>
      <c r="JQ287">
        <v>0</v>
      </c>
      <c r="JR287">
        <v>0</v>
      </c>
      <c r="JS287">
        <v>0</v>
      </c>
      <c r="JT287">
        <v>0</v>
      </c>
      <c r="JU287">
        <v>0</v>
      </c>
      <c r="JV287">
        <v>0</v>
      </c>
      <c r="JW287">
        <v>0</v>
      </c>
      <c r="JX287">
        <v>0</v>
      </c>
      <c r="JY287">
        <v>0</v>
      </c>
      <c r="JZ287">
        <v>0</v>
      </c>
      <c r="KA287">
        <v>0</v>
      </c>
      <c r="KB287">
        <v>0</v>
      </c>
      <c r="KC287">
        <v>0</v>
      </c>
      <c r="KD287">
        <v>0</v>
      </c>
      <c r="KE287">
        <v>0</v>
      </c>
      <c r="KF287">
        <v>0</v>
      </c>
      <c r="KI287">
        <v>344.6</v>
      </c>
      <c r="KJ287">
        <v>350.8</v>
      </c>
      <c r="KK287">
        <v>22.1</v>
      </c>
      <c r="KL287">
        <v>379.3</v>
      </c>
      <c r="KM287">
        <v>241.4</v>
      </c>
      <c r="KN287">
        <v>0</v>
      </c>
      <c r="KO287">
        <v>0</v>
      </c>
      <c r="KP287">
        <v>57.3</v>
      </c>
      <c r="KQ287">
        <v>224.4</v>
      </c>
      <c r="KR287">
        <v>338.3</v>
      </c>
      <c r="KS287">
        <v>215.8</v>
      </c>
      <c r="KT287">
        <v>40.700000000000003</v>
      </c>
      <c r="KW287">
        <v>2154.5</v>
      </c>
      <c r="KX287">
        <v>1255.7</v>
      </c>
      <c r="KY287">
        <v>1630.1</v>
      </c>
      <c r="KZ287">
        <v>1246.9000000000001</v>
      </c>
      <c r="LB287">
        <v>78.099999999999994</v>
      </c>
      <c r="LC287">
        <v>77.7</v>
      </c>
    </row>
    <row r="288" spans="1:315" ht="18" thickBot="1">
      <c r="A288" s="245"/>
      <c r="B288" s="245" t="s">
        <v>578</v>
      </c>
      <c r="C288" s="88" t="s">
        <v>649</v>
      </c>
      <c r="D288" s="285"/>
      <c r="E288" s="443">
        <v>0</v>
      </c>
      <c r="F288" s="191">
        <v>0</v>
      </c>
      <c r="G288" s="427">
        <v>3413.8</v>
      </c>
      <c r="H288" s="155"/>
      <c r="I288">
        <v>735</v>
      </c>
      <c r="K288">
        <v>1973.1000000000001</v>
      </c>
      <c r="L288" s="4">
        <v>221.60000000000002</v>
      </c>
      <c r="M288" s="4">
        <v>54.9</v>
      </c>
      <c r="N288" s="4">
        <v>1989.7</v>
      </c>
      <c r="P288">
        <v>0</v>
      </c>
      <c r="Q288">
        <v>238.29999999999998</v>
      </c>
      <c r="R288">
        <v>0</v>
      </c>
      <c r="S288">
        <v>0</v>
      </c>
      <c r="T288">
        <v>368.5</v>
      </c>
      <c r="W288">
        <v>720.3</v>
      </c>
      <c r="X288">
        <v>1411.5</v>
      </c>
      <c r="Y288">
        <v>96.5</v>
      </c>
      <c r="AA288">
        <v>859.6</v>
      </c>
      <c r="AB288">
        <v>1577.6000000000001</v>
      </c>
      <c r="AE288">
        <v>1330</v>
      </c>
      <c r="AF288">
        <v>1025.5</v>
      </c>
      <c r="AH288">
        <v>509.9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1349.3</v>
      </c>
      <c r="AO288">
        <v>786.40000000000009</v>
      </c>
      <c r="AP288">
        <v>0</v>
      </c>
      <c r="AQ288">
        <v>68.3</v>
      </c>
      <c r="AR288">
        <v>234.9</v>
      </c>
      <c r="AS288">
        <v>600.40000000000009</v>
      </c>
      <c r="AU288">
        <v>985.69999999999993</v>
      </c>
      <c r="AW288">
        <v>792</v>
      </c>
      <c r="AX288">
        <v>1988.5</v>
      </c>
      <c r="AZ288">
        <v>763.5</v>
      </c>
      <c r="BA288">
        <v>0</v>
      </c>
      <c r="BB288">
        <v>0</v>
      </c>
      <c r="BC288">
        <v>1935.3</v>
      </c>
      <c r="BD288">
        <v>1006.5</v>
      </c>
      <c r="BE288">
        <v>0</v>
      </c>
      <c r="BF288">
        <v>0</v>
      </c>
      <c r="BG288">
        <v>0</v>
      </c>
      <c r="BH288">
        <v>1662.6</v>
      </c>
      <c r="BJ288">
        <v>0</v>
      </c>
      <c r="BK288">
        <v>0</v>
      </c>
      <c r="BL288">
        <v>1038.9000000000001</v>
      </c>
      <c r="BM288">
        <v>1101</v>
      </c>
      <c r="BO288">
        <v>1276.8000000000002</v>
      </c>
      <c r="BQ288">
        <v>0</v>
      </c>
      <c r="BR288">
        <v>270.7</v>
      </c>
      <c r="BS288">
        <v>230.5</v>
      </c>
      <c r="BT288">
        <v>472.3</v>
      </c>
      <c r="BU288">
        <v>537.29999999999995</v>
      </c>
      <c r="BV288">
        <v>346.3</v>
      </c>
      <c r="BW288">
        <v>386.2</v>
      </c>
      <c r="BX288">
        <v>767</v>
      </c>
      <c r="BY288">
        <v>757.2</v>
      </c>
      <c r="BZ288">
        <v>1037.2</v>
      </c>
      <c r="CA288">
        <v>1227.0999999999999</v>
      </c>
      <c r="CB288">
        <v>1232.0999999999999</v>
      </c>
      <c r="CC288">
        <v>1701.5</v>
      </c>
      <c r="CD288">
        <v>0</v>
      </c>
      <c r="CG288">
        <v>1385.3</v>
      </c>
      <c r="CJ288">
        <v>1630.2999999999997</v>
      </c>
      <c r="CM288">
        <v>1184.2</v>
      </c>
      <c r="CO288">
        <v>1248.0999999999999</v>
      </c>
      <c r="CQ288">
        <v>1435.3</v>
      </c>
      <c r="CR288">
        <v>798.2</v>
      </c>
      <c r="CS288">
        <v>923.8</v>
      </c>
      <c r="CT288">
        <v>0</v>
      </c>
      <c r="CU288">
        <v>0</v>
      </c>
      <c r="CV288">
        <v>0</v>
      </c>
      <c r="CW288">
        <v>0</v>
      </c>
      <c r="CX288">
        <v>163.69999999999999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I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0</v>
      </c>
      <c r="ES288">
        <v>0</v>
      </c>
      <c r="ET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G288" t="e">
        <v>#N/A</v>
      </c>
      <c r="FI288" t="e">
        <v>#N/A</v>
      </c>
      <c r="FK288" t="e">
        <v>#N/A</v>
      </c>
      <c r="FM288" t="e">
        <v>#N/A</v>
      </c>
      <c r="FO288" t="e">
        <v>#N/A</v>
      </c>
      <c r="FQ288" t="e">
        <v>#N/A</v>
      </c>
      <c r="FS288" t="e">
        <v>#N/A</v>
      </c>
      <c r="FU288" t="e">
        <v>#N/A</v>
      </c>
      <c r="FW288" t="e">
        <v>#N/A</v>
      </c>
      <c r="FY288" t="e">
        <v>#N/A</v>
      </c>
      <c r="GA288" t="e">
        <v>#N/A</v>
      </c>
      <c r="GC288" t="e">
        <v>#N/A</v>
      </c>
      <c r="GE288" t="e">
        <v>#N/A</v>
      </c>
      <c r="GG288" t="e">
        <v>#N/A</v>
      </c>
      <c r="GI288" t="e">
        <v>#N/A</v>
      </c>
      <c r="GK288" t="e">
        <v>#N/A</v>
      </c>
      <c r="GM288" t="e">
        <v>#N/A</v>
      </c>
      <c r="GO288" t="e">
        <v>#N/A</v>
      </c>
      <c r="GQ288" t="e">
        <v>#N/A</v>
      </c>
      <c r="GS288" t="e">
        <v>#N/A</v>
      </c>
      <c r="GU288" t="e">
        <v>#N/A</v>
      </c>
      <c r="GW288" t="e">
        <v>#N/A</v>
      </c>
      <c r="GY288" t="e">
        <v>#N/A</v>
      </c>
      <c r="HA288" t="e">
        <v>#N/A</v>
      </c>
      <c r="HC288">
        <v>0</v>
      </c>
      <c r="HD288">
        <v>0</v>
      </c>
      <c r="HE288">
        <v>0</v>
      </c>
      <c r="HF288">
        <v>0</v>
      </c>
      <c r="HG288">
        <v>0</v>
      </c>
      <c r="HH288">
        <v>0</v>
      </c>
      <c r="HI288">
        <v>0</v>
      </c>
      <c r="HJ288">
        <v>0</v>
      </c>
      <c r="HM288">
        <v>0</v>
      </c>
      <c r="HN288">
        <v>0</v>
      </c>
      <c r="HO288">
        <v>0</v>
      </c>
      <c r="HP288">
        <v>0</v>
      </c>
      <c r="HQ288">
        <v>0</v>
      </c>
      <c r="HR288">
        <v>0</v>
      </c>
      <c r="HS288">
        <v>0</v>
      </c>
      <c r="HT288">
        <v>0</v>
      </c>
      <c r="HW288">
        <v>0</v>
      </c>
      <c r="HX288">
        <v>0</v>
      </c>
      <c r="HY288">
        <v>0</v>
      </c>
      <c r="HZ288">
        <v>0</v>
      </c>
      <c r="IA288">
        <v>3930.6</v>
      </c>
      <c r="IB288">
        <v>3632.9</v>
      </c>
      <c r="IC288">
        <v>3795.5</v>
      </c>
      <c r="ID288">
        <v>0</v>
      </c>
      <c r="IE288">
        <v>0</v>
      </c>
      <c r="IF288">
        <v>3548.5</v>
      </c>
      <c r="IG288">
        <v>3395.2</v>
      </c>
      <c r="IH288">
        <v>3395.4</v>
      </c>
      <c r="II288">
        <v>3302.3</v>
      </c>
      <c r="IJ288">
        <v>3172.8</v>
      </c>
      <c r="IK288">
        <v>0</v>
      </c>
      <c r="IL288">
        <v>0</v>
      </c>
      <c r="IM288">
        <v>0</v>
      </c>
      <c r="IN288">
        <v>0</v>
      </c>
      <c r="IO288">
        <v>123.4</v>
      </c>
      <c r="IP288">
        <v>405.2</v>
      </c>
      <c r="IQ288">
        <v>418.7</v>
      </c>
      <c r="IR288">
        <v>0</v>
      </c>
      <c r="IS288">
        <v>0</v>
      </c>
      <c r="IT288">
        <v>0</v>
      </c>
      <c r="IU288">
        <v>0</v>
      </c>
      <c r="IV288">
        <v>396</v>
      </c>
      <c r="IW288">
        <v>0</v>
      </c>
      <c r="IX288">
        <v>0</v>
      </c>
      <c r="IZ288">
        <v>0</v>
      </c>
      <c r="JA288">
        <v>65.5</v>
      </c>
      <c r="JB288">
        <v>443.5</v>
      </c>
      <c r="JC288">
        <v>0</v>
      </c>
      <c r="JD288">
        <v>0</v>
      </c>
      <c r="JE288">
        <v>0</v>
      </c>
      <c r="JF288">
        <v>0</v>
      </c>
      <c r="JG288">
        <v>0</v>
      </c>
      <c r="JH288">
        <v>0</v>
      </c>
      <c r="JI288">
        <v>0</v>
      </c>
      <c r="JJ288">
        <v>0</v>
      </c>
      <c r="JK288">
        <v>0</v>
      </c>
      <c r="JL288">
        <v>0</v>
      </c>
      <c r="JM288">
        <v>0</v>
      </c>
      <c r="JN288">
        <v>0</v>
      </c>
      <c r="JO288">
        <v>0</v>
      </c>
      <c r="JP288">
        <v>0</v>
      </c>
      <c r="JQ288">
        <v>0</v>
      </c>
      <c r="JR288">
        <v>0</v>
      </c>
      <c r="JS288">
        <v>0</v>
      </c>
      <c r="JT288">
        <v>0</v>
      </c>
      <c r="JU288">
        <v>0</v>
      </c>
      <c r="JV288">
        <v>0</v>
      </c>
      <c r="JW288">
        <v>0</v>
      </c>
      <c r="JX288">
        <v>0</v>
      </c>
      <c r="JY288">
        <v>0</v>
      </c>
      <c r="JZ288">
        <v>0</v>
      </c>
      <c r="KA288">
        <v>0</v>
      </c>
      <c r="KB288">
        <v>0</v>
      </c>
      <c r="KC288">
        <v>0</v>
      </c>
      <c r="KD288">
        <v>0</v>
      </c>
      <c r="KE288">
        <v>0</v>
      </c>
      <c r="KF288">
        <v>0</v>
      </c>
      <c r="KI288">
        <v>344.6</v>
      </c>
      <c r="KJ288">
        <v>350.8</v>
      </c>
      <c r="KK288">
        <v>22.1</v>
      </c>
      <c r="KL288">
        <v>379.3</v>
      </c>
      <c r="KM288">
        <v>241.4</v>
      </c>
      <c r="KN288">
        <v>0</v>
      </c>
      <c r="KO288">
        <v>0</v>
      </c>
      <c r="KP288">
        <v>57.3</v>
      </c>
      <c r="KQ288">
        <v>224.4</v>
      </c>
      <c r="KR288">
        <v>338.3</v>
      </c>
      <c r="KS288">
        <v>215.8</v>
      </c>
      <c r="KT288">
        <v>40.700000000000003</v>
      </c>
      <c r="KW288">
        <v>2154.5</v>
      </c>
      <c r="KX288">
        <v>1255.7</v>
      </c>
      <c r="KY288">
        <v>1630.1</v>
      </c>
      <c r="KZ288">
        <v>1246.9000000000001</v>
      </c>
      <c r="LB288">
        <v>78.099999999999994</v>
      </c>
      <c r="LC288">
        <v>77.7</v>
      </c>
    </row>
    <row r="289" spans="1:315" ht="18" thickBot="1">
      <c r="A289" s="255"/>
      <c r="B289" s="555" t="s">
        <v>579</v>
      </c>
      <c r="C289" s="88" t="s">
        <v>650</v>
      </c>
      <c r="D289" s="279" t="s">
        <v>812</v>
      </c>
      <c r="E289" s="446">
        <v>0</v>
      </c>
      <c r="F289" s="191">
        <v>0</v>
      </c>
      <c r="G289" s="427">
        <v>3413.8</v>
      </c>
      <c r="H289" s="155"/>
      <c r="I289">
        <v>735</v>
      </c>
      <c r="K289">
        <v>1973.1000000000001</v>
      </c>
      <c r="L289" s="4">
        <v>221.60000000000002</v>
      </c>
      <c r="M289" s="4">
        <v>54.9</v>
      </c>
      <c r="N289" s="4">
        <v>1989.7</v>
      </c>
      <c r="P289">
        <v>0</v>
      </c>
      <c r="Q289">
        <v>238.29999999999998</v>
      </c>
      <c r="R289">
        <v>0</v>
      </c>
      <c r="S289">
        <v>0</v>
      </c>
      <c r="T289">
        <v>368.5</v>
      </c>
      <c r="W289">
        <v>720.3</v>
      </c>
      <c r="X289">
        <v>1411.5</v>
      </c>
      <c r="Y289">
        <v>96.5</v>
      </c>
      <c r="AA289">
        <v>859.6</v>
      </c>
      <c r="AB289">
        <v>1577.6000000000001</v>
      </c>
      <c r="AE289">
        <v>1330</v>
      </c>
      <c r="AF289">
        <v>1025.5</v>
      </c>
      <c r="AH289">
        <v>509.9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1349.3</v>
      </c>
      <c r="AO289">
        <v>786.40000000000009</v>
      </c>
      <c r="AP289">
        <v>0</v>
      </c>
      <c r="AQ289">
        <v>68.3</v>
      </c>
      <c r="AR289">
        <v>234.9</v>
      </c>
      <c r="AS289">
        <v>600.40000000000009</v>
      </c>
      <c r="AU289">
        <v>985.69999999999993</v>
      </c>
      <c r="AW289">
        <v>792</v>
      </c>
      <c r="AX289">
        <v>1988.5</v>
      </c>
      <c r="AZ289">
        <v>763.5</v>
      </c>
      <c r="BA289">
        <v>0</v>
      </c>
      <c r="BB289">
        <v>0</v>
      </c>
      <c r="BC289">
        <v>1935.3</v>
      </c>
      <c r="BD289">
        <v>1006.5</v>
      </c>
      <c r="BE289">
        <v>0</v>
      </c>
      <c r="BF289">
        <v>0</v>
      </c>
      <c r="BG289">
        <v>0</v>
      </c>
      <c r="BH289">
        <v>1662.6</v>
      </c>
      <c r="BJ289">
        <v>0</v>
      </c>
      <c r="BK289">
        <v>0</v>
      </c>
      <c r="BL289">
        <v>1038.9000000000001</v>
      </c>
      <c r="BM289">
        <v>1101</v>
      </c>
      <c r="BO289">
        <v>1276.8000000000002</v>
      </c>
      <c r="BQ289">
        <v>0</v>
      </c>
      <c r="BR289">
        <v>270.7</v>
      </c>
      <c r="BS289">
        <v>230.5</v>
      </c>
      <c r="BT289">
        <v>472.3</v>
      </c>
      <c r="BU289">
        <v>537.29999999999995</v>
      </c>
      <c r="BV289">
        <v>346.3</v>
      </c>
      <c r="BW289">
        <v>386.2</v>
      </c>
      <c r="BX289">
        <v>767</v>
      </c>
      <c r="BY289">
        <v>757.2</v>
      </c>
      <c r="BZ289">
        <v>1037.2</v>
      </c>
      <c r="CA289">
        <v>1227.0999999999999</v>
      </c>
      <c r="CB289">
        <v>1232.0999999999999</v>
      </c>
      <c r="CC289">
        <v>1701.5</v>
      </c>
      <c r="CD289">
        <v>0</v>
      </c>
      <c r="CG289">
        <v>1385.3</v>
      </c>
      <c r="CJ289">
        <v>1630.2999999999997</v>
      </c>
      <c r="CM289">
        <v>1184.2</v>
      </c>
      <c r="CO289">
        <v>1248.0999999999999</v>
      </c>
      <c r="CQ289">
        <v>1435.3</v>
      </c>
      <c r="CR289">
        <v>798.2</v>
      </c>
      <c r="CS289">
        <v>923.8</v>
      </c>
      <c r="CT289">
        <v>0</v>
      </c>
      <c r="CU289">
        <v>0</v>
      </c>
      <c r="CV289">
        <v>0</v>
      </c>
      <c r="CW289">
        <v>0</v>
      </c>
      <c r="CX289">
        <v>163.69999999999999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I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G289" t="e">
        <v>#N/A</v>
      </c>
      <c r="FI289" t="e">
        <v>#N/A</v>
      </c>
      <c r="FK289" t="e">
        <v>#N/A</v>
      </c>
      <c r="FM289" t="e">
        <v>#N/A</v>
      </c>
      <c r="FO289" t="e">
        <v>#N/A</v>
      </c>
      <c r="FQ289" t="e">
        <v>#N/A</v>
      </c>
      <c r="FS289" t="e">
        <v>#N/A</v>
      </c>
      <c r="FU289" t="e">
        <v>#N/A</v>
      </c>
      <c r="FW289" t="e">
        <v>#N/A</v>
      </c>
      <c r="FY289" t="e">
        <v>#N/A</v>
      </c>
      <c r="GA289" t="e">
        <v>#N/A</v>
      </c>
      <c r="GC289" t="e">
        <v>#N/A</v>
      </c>
      <c r="GE289" t="e">
        <v>#N/A</v>
      </c>
      <c r="GG289" t="e">
        <v>#N/A</v>
      </c>
      <c r="GI289" t="e">
        <v>#N/A</v>
      </c>
      <c r="GK289" t="e">
        <v>#N/A</v>
      </c>
      <c r="GM289" t="e">
        <v>#N/A</v>
      </c>
      <c r="GO289" t="e">
        <v>#N/A</v>
      </c>
      <c r="GQ289" t="e">
        <v>#N/A</v>
      </c>
      <c r="GS289" t="e">
        <v>#N/A</v>
      </c>
      <c r="GU289" t="e">
        <v>#N/A</v>
      </c>
      <c r="GW289" t="e">
        <v>#N/A</v>
      </c>
      <c r="GY289" t="e">
        <v>#N/A</v>
      </c>
      <c r="HA289" t="e">
        <v>#N/A</v>
      </c>
      <c r="HC289">
        <v>0</v>
      </c>
      <c r="HD289">
        <v>0</v>
      </c>
      <c r="HE289">
        <v>0</v>
      </c>
      <c r="HF289">
        <v>0</v>
      </c>
      <c r="HG289">
        <v>0</v>
      </c>
      <c r="HH289">
        <v>0</v>
      </c>
      <c r="HI289">
        <v>0</v>
      </c>
      <c r="HJ289">
        <v>0</v>
      </c>
      <c r="HM289">
        <v>0</v>
      </c>
      <c r="HN289">
        <v>0</v>
      </c>
      <c r="HO289">
        <v>0</v>
      </c>
      <c r="HP289">
        <v>0</v>
      </c>
      <c r="HQ289">
        <v>0</v>
      </c>
      <c r="HR289">
        <v>0</v>
      </c>
      <c r="HS289">
        <v>0</v>
      </c>
      <c r="HT289">
        <v>0</v>
      </c>
      <c r="HW289">
        <v>0</v>
      </c>
      <c r="HX289">
        <v>0</v>
      </c>
      <c r="HY289">
        <v>0</v>
      </c>
      <c r="HZ289">
        <v>0</v>
      </c>
      <c r="IA289">
        <v>3930.6</v>
      </c>
      <c r="IB289">
        <v>3632.9</v>
      </c>
      <c r="IC289">
        <v>3795.5</v>
      </c>
      <c r="ID289">
        <v>0</v>
      </c>
      <c r="IE289">
        <v>0</v>
      </c>
      <c r="IF289">
        <v>3548.5</v>
      </c>
      <c r="IG289">
        <v>3395.2</v>
      </c>
      <c r="IH289">
        <v>3395.4</v>
      </c>
      <c r="II289">
        <v>3302.3</v>
      </c>
      <c r="IJ289">
        <v>3172.8</v>
      </c>
      <c r="IK289">
        <v>0</v>
      </c>
      <c r="IL289">
        <v>0</v>
      </c>
      <c r="IM289">
        <v>0</v>
      </c>
      <c r="IN289">
        <v>0</v>
      </c>
      <c r="IO289">
        <v>123.4</v>
      </c>
      <c r="IP289">
        <v>405.2</v>
      </c>
      <c r="IQ289">
        <v>418.7</v>
      </c>
      <c r="IR289">
        <v>0</v>
      </c>
      <c r="IS289">
        <v>0</v>
      </c>
      <c r="IT289">
        <v>0</v>
      </c>
      <c r="IU289">
        <v>0</v>
      </c>
      <c r="IV289">
        <v>396</v>
      </c>
      <c r="IW289">
        <v>0</v>
      </c>
      <c r="IX289">
        <v>0</v>
      </c>
      <c r="IZ289">
        <v>0</v>
      </c>
      <c r="JA289">
        <v>65.5</v>
      </c>
      <c r="JB289">
        <v>443.5</v>
      </c>
      <c r="JC289">
        <v>0</v>
      </c>
      <c r="JD289">
        <v>0</v>
      </c>
      <c r="JE289">
        <v>0</v>
      </c>
      <c r="JF289">
        <v>0</v>
      </c>
      <c r="JG289">
        <v>0</v>
      </c>
      <c r="JH289">
        <v>0</v>
      </c>
      <c r="JI289">
        <v>0</v>
      </c>
      <c r="JJ289">
        <v>0</v>
      </c>
      <c r="JK289">
        <v>0</v>
      </c>
      <c r="JL289">
        <v>0</v>
      </c>
      <c r="JM289">
        <v>0</v>
      </c>
      <c r="JN289">
        <v>0</v>
      </c>
      <c r="JO289">
        <v>0</v>
      </c>
      <c r="JP289">
        <v>0</v>
      </c>
      <c r="JQ289">
        <v>0</v>
      </c>
      <c r="JR289">
        <v>0</v>
      </c>
      <c r="JS289">
        <v>0</v>
      </c>
      <c r="JT289">
        <v>0</v>
      </c>
      <c r="JU289">
        <v>0</v>
      </c>
      <c r="JV289">
        <v>0</v>
      </c>
      <c r="JW289">
        <v>0</v>
      </c>
      <c r="JX289">
        <v>0</v>
      </c>
      <c r="JY289">
        <v>0</v>
      </c>
      <c r="JZ289">
        <v>0</v>
      </c>
      <c r="KA289">
        <v>0</v>
      </c>
      <c r="KB289">
        <v>0</v>
      </c>
      <c r="KC289">
        <v>0</v>
      </c>
      <c r="KD289">
        <v>0</v>
      </c>
      <c r="KE289">
        <v>0</v>
      </c>
      <c r="KF289">
        <v>0</v>
      </c>
      <c r="KI289">
        <v>344.6</v>
      </c>
      <c r="KJ289">
        <v>350.8</v>
      </c>
      <c r="KK289">
        <v>22.1</v>
      </c>
      <c r="KL289">
        <v>379.3</v>
      </c>
      <c r="KM289">
        <v>241.4</v>
      </c>
      <c r="KN289">
        <v>0</v>
      </c>
      <c r="KO289">
        <v>0</v>
      </c>
      <c r="KP289">
        <v>57.3</v>
      </c>
      <c r="KQ289">
        <v>224.4</v>
      </c>
      <c r="KR289">
        <v>338.3</v>
      </c>
      <c r="KS289">
        <v>215.8</v>
      </c>
      <c r="KT289">
        <v>40.700000000000003</v>
      </c>
      <c r="KW289">
        <v>2154.5</v>
      </c>
      <c r="KX289">
        <v>1255.7</v>
      </c>
      <c r="KY289">
        <v>1630.1</v>
      </c>
      <c r="KZ289">
        <v>1246.9000000000001</v>
      </c>
      <c r="LB289">
        <v>78.099999999999994</v>
      </c>
      <c r="LC289">
        <v>77.7</v>
      </c>
    </row>
    <row r="290" spans="1:315" ht="18" thickBot="1">
      <c r="A290" s="256"/>
      <c r="B290" s="568"/>
      <c r="C290" s="329"/>
      <c r="D290" s="275"/>
      <c r="E290" s="441">
        <v>0</v>
      </c>
      <c r="F290" s="193">
        <v>0</v>
      </c>
      <c r="G290" s="427">
        <v>3413.8</v>
      </c>
      <c r="H290" s="155"/>
      <c r="I290">
        <v>735</v>
      </c>
      <c r="K290">
        <v>1973.1000000000001</v>
      </c>
      <c r="L290" s="4">
        <v>221.60000000000002</v>
      </c>
      <c r="M290" s="4">
        <v>54.9</v>
      </c>
      <c r="N290" s="4">
        <v>1989.7</v>
      </c>
      <c r="P290">
        <v>0</v>
      </c>
      <c r="Q290">
        <v>238.29999999999998</v>
      </c>
      <c r="R290">
        <v>0</v>
      </c>
      <c r="S290">
        <v>0</v>
      </c>
      <c r="T290">
        <v>368.5</v>
      </c>
      <c r="W290">
        <v>720.3</v>
      </c>
      <c r="X290">
        <v>1411.5</v>
      </c>
      <c r="Y290">
        <v>96.5</v>
      </c>
      <c r="AA290">
        <v>859.6</v>
      </c>
      <c r="AB290">
        <v>1577.6000000000001</v>
      </c>
      <c r="AE290">
        <v>1330</v>
      </c>
      <c r="AF290">
        <v>1025.5</v>
      </c>
      <c r="AH290">
        <v>509.9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1349.3</v>
      </c>
      <c r="AO290">
        <v>786.40000000000009</v>
      </c>
      <c r="AP290">
        <v>0</v>
      </c>
      <c r="AQ290">
        <v>68.3</v>
      </c>
      <c r="AR290">
        <v>234.9</v>
      </c>
      <c r="AS290">
        <v>600.40000000000009</v>
      </c>
      <c r="AU290">
        <v>985.69999999999993</v>
      </c>
      <c r="AW290">
        <v>792</v>
      </c>
      <c r="AX290">
        <v>1988.5</v>
      </c>
      <c r="AZ290">
        <v>763.5</v>
      </c>
      <c r="BA290">
        <v>0</v>
      </c>
      <c r="BB290">
        <v>0</v>
      </c>
      <c r="BC290">
        <v>1935.3</v>
      </c>
      <c r="BD290">
        <v>1006.5</v>
      </c>
      <c r="BE290">
        <v>0</v>
      </c>
      <c r="BF290">
        <v>0</v>
      </c>
      <c r="BG290">
        <v>0</v>
      </c>
      <c r="BH290">
        <v>1662.6</v>
      </c>
      <c r="BJ290">
        <v>0</v>
      </c>
      <c r="BK290">
        <v>0</v>
      </c>
      <c r="BL290">
        <v>1038.9000000000001</v>
      </c>
      <c r="BM290">
        <v>1101</v>
      </c>
      <c r="BO290">
        <v>1276.8000000000002</v>
      </c>
      <c r="BQ290">
        <v>0</v>
      </c>
      <c r="BR290">
        <v>270.7</v>
      </c>
      <c r="BS290">
        <v>230.5</v>
      </c>
      <c r="BT290">
        <v>472.3</v>
      </c>
      <c r="BU290">
        <v>537.29999999999995</v>
      </c>
      <c r="BV290">
        <v>346.3</v>
      </c>
      <c r="BW290">
        <v>386.2</v>
      </c>
      <c r="BX290">
        <v>767</v>
      </c>
      <c r="BY290">
        <v>757.2</v>
      </c>
      <c r="BZ290">
        <v>1037.2</v>
      </c>
      <c r="CA290">
        <v>1227.0999999999999</v>
      </c>
      <c r="CB290">
        <v>1232.0999999999999</v>
      </c>
      <c r="CC290">
        <v>1701.5</v>
      </c>
      <c r="CD290">
        <v>0</v>
      </c>
      <c r="CG290">
        <v>1385.3</v>
      </c>
      <c r="CJ290">
        <v>1630.2999999999997</v>
      </c>
      <c r="CM290">
        <v>1184.2</v>
      </c>
      <c r="CO290">
        <v>1248.0999999999999</v>
      </c>
      <c r="CQ290">
        <v>1435.3</v>
      </c>
      <c r="CR290">
        <v>798.2</v>
      </c>
      <c r="CS290">
        <v>923.8</v>
      </c>
      <c r="CT290">
        <v>0</v>
      </c>
      <c r="CU290">
        <v>0</v>
      </c>
      <c r="CV290">
        <v>0</v>
      </c>
      <c r="CW290">
        <v>0</v>
      </c>
      <c r="CX290">
        <v>163.69999999999999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I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G290" t="e">
        <v>#N/A</v>
      </c>
      <c r="FI290" t="e">
        <v>#N/A</v>
      </c>
      <c r="FK290" t="e">
        <v>#N/A</v>
      </c>
      <c r="FM290" t="e">
        <v>#N/A</v>
      </c>
      <c r="FO290" t="e">
        <v>#N/A</v>
      </c>
      <c r="FQ290" t="e">
        <v>#N/A</v>
      </c>
      <c r="FS290" t="e">
        <v>#N/A</v>
      </c>
      <c r="FU290" t="e">
        <v>#N/A</v>
      </c>
      <c r="FW290" t="e">
        <v>#N/A</v>
      </c>
      <c r="FY290" t="e">
        <v>#N/A</v>
      </c>
      <c r="GA290" t="e">
        <v>#N/A</v>
      </c>
      <c r="GC290" t="e">
        <v>#N/A</v>
      </c>
      <c r="GE290" t="e">
        <v>#N/A</v>
      </c>
      <c r="GG290" t="e">
        <v>#N/A</v>
      </c>
      <c r="GI290" t="e">
        <v>#N/A</v>
      </c>
      <c r="GK290" t="e">
        <v>#N/A</v>
      </c>
      <c r="GM290" t="e">
        <v>#N/A</v>
      </c>
      <c r="GO290" t="e">
        <v>#N/A</v>
      </c>
      <c r="GQ290" t="e">
        <v>#N/A</v>
      </c>
      <c r="GS290" t="e">
        <v>#N/A</v>
      </c>
      <c r="GU290" t="e">
        <v>#N/A</v>
      </c>
      <c r="GW290" t="e">
        <v>#N/A</v>
      </c>
      <c r="GY290" t="e">
        <v>#N/A</v>
      </c>
      <c r="HA290" t="e">
        <v>#N/A</v>
      </c>
      <c r="HC290">
        <v>0</v>
      </c>
      <c r="HD290">
        <v>0</v>
      </c>
      <c r="HE290">
        <v>0</v>
      </c>
      <c r="HF290">
        <v>0</v>
      </c>
      <c r="HG290">
        <v>0</v>
      </c>
      <c r="HH290">
        <v>0</v>
      </c>
      <c r="HI290">
        <v>0</v>
      </c>
      <c r="HJ290">
        <v>0</v>
      </c>
      <c r="HM290">
        <v>0</v>
      </c>
      <c r="HN290">
        <v>0</v>
      </c>
      <c r="HO290">
        <v>0</v>
      </c>
      <c r="HP290">
        <v>0</v>
      </c>
      <c r="HQ290">
        <v>0</v>
      </c>
      <c r="HR290">
        <v>0</v>
      </c>
      <c r="HS290">
        <v>0</v>
      </c>
      <c r="HT290">
        <v>0</v>
      </c>
      <c r="HW290">
        <v>0</v>
      </c>
      <c r="HX290">
        <v>0</v>
      </c>
      <c r="HY290">
        <v>0</v>
      </c>
      <c r="HZ290">
        <v>0</v>
      </c>
      <c r="IA290">
        <v>3930.6</v>
      </c>
      <c r="IB290">
        <v>3632.9</v>
      </c>
      <c r="IC290">
        <v>3795.5</v>
      </c>
      <c r="ID290">
        <v>0</v>
      </c>
      <c r="IE290">
        <v>0</v>
      </c>
      <c r="IF290">
        <v>3548.5</v>
      </c>
      <c r="IG290">
        <v>3395.2</v>
      </c>
      <c r="IH290">
        <v>3395.4</v>
      </c>
      <c r="II290">
        <v>3302.3</v>
      </c>
      <c r="IJ290">
        <v>3172.8</v>
      </c>
      <c r="IK290">
        <v>0</v>
      </c>
      <c r="IL290">
        <v>0</v>
      </c>
      <c r="IM290">
        <v>0</v>
      </c>
      <c r="IN290">
        <v>0</v>
      </c>
      <c r="IO290">
        <v>123.4</v>
      </c>
      <c r="IP290">
        <v>405.2</v>
      </c>
      <c r="IQ290">
        <v>418.7</v>
      </c>
      <c r="IR290">
        <v>0</v>
      </c>
      <c r="IS290">
        <v>0</v>
      </c>
      <c r="IT290">
        <v>0</v>
      </c>
      <c r="IU290">
        <v>0</v>
      </c>
      <c r="IV290">
        <v>396</v>
      </c>
      <c r="IW290">
        <v>0</v>
      </c>
      <c r="IX290">
        <v>0</v>
      </c>
      <c r="IZ290">
        <v>0</v>
      </c>
      <c r="JA290">
        <v>65.5</v>
      </c>
      <c r="JB290">
        <v>443.5</v>
      </c>
      <c r="JC290">
        <v>0</v>
      </c>
      <c r="JD290">
        <v>0</v>
      </c>
      <c r="JE290">
        <v>0</v>
      </c>
      <c r="JF290">
        <v>0</v>
      </c>
      <c r="JG290">
        <v>0</v>
      </c>
      <c r="JH290">
        <v>0</v>
      </c>
      <c r="JI290">
        <v>0</v>
      </c>
      <c r="JJ290">
        <v>0</v>
      </c>
      <c r="JK290">
        <v>0</v>
      </c>
      <c r="JL290">
        <v>0</v>
      </c>
      <c r="JM290">
        <v>0</v>
      </c>
      <c r="JN290">
        <v>0</v>
      </c>
      <c r="JO290">
        <v>0</v>
      </c>
      <c r="JP290">
        <v>0</v>
      </c>
      <c r="JQ290">
        <v>0</v>
      </c>
      <c r="JR290">
        <v>0</v>
      </c>
      <c r="JS290">
        <v>0</v>
      </c>
      <c r="JT290">
        <v>0</v>
      </c>
      <c r="JU290">
        <v>0</v>
      </c>
      <c r="JV290">
        <v>0</v>
      </c>
      <c r="JW290">
        <v>0</v>
      </c>
      <c r="JX290">
        <v>0</v>
      </c>
      <c r="JY290">
        <v>0</v>
      </c>
      <c r="JZ290">
        <v>0</v>
      </c>
      <c r="KA290">
        <v>0</v>
      </c>
      <c r="KB290">
        <v>0</v>
      </c>
      <c r="KC290">
        <v>0</v>
      </c>
      <c r="KD290">
        <v>0</v>
      </c>
      <c r="KE290">
        <v>0</v>
      </c>
      <c r="KF290">
        <v>0</v>
      </c>
      <c r="KI290">
        <v>344.6</v>
      </c>
      <c r="KJ290">
        <v>350.8</v>
      </c>
      <c r="KK290">
        <v>22.1</v>
      </c>
      <c r="KL290">
        <v>379.3</v>
      </c>
      <c r="KM290">
        <v>241.4</v>
      </c>
      <c r="KN290">
        <v>0</v>
      </c>
      <c r="KO290">
        <v>0</v>
      </c>
      <c r="KP290">
        <v>57.3</v>
      </c>
      <c r="KQ290">
        <v>224.4</v>
      </c>
      <c r="KR290">
        <v>338.3</v>
      </c>
      <c r="KS290">
        <v>215.8</v>
      </c>
      <c r="KT290">
        <v>40.700000000000003</v>
      </c>
      <c r="KW290">
        <v>2154.5</v>
      </c>
      <c r="KX290">
        <v>1255.7</v>
      </c>
      <c r="KY290">
        <v>1630.1</v>
      </c>
      <c r="KZ290">
        <v>1246.9000000000001</v>
      </c>
      <c r="LB290">
        <v>78.099999999999994</v>
      </c>
      <c r="LC290">
        <v>77.7</v>
      </c>
    </row>
    <row r="291" spans="1:315" ht="18.600000000000001" thickTop="1" thickBot="1">
      <c r="A291" s="183"/>
      <c r="B291" s="183"/>
      <c r="C291" s="332" t="s">
        <v>841</v>
      </c>
      <c r="D291" s="286"/>
      <c r="E291" s="448">
        <v>0</v>
      </c>
      <c r="F291" s="200">
        <v>0</v>
      </c>
      <c r="G291" s="427">
        <v>3413.8</v>
      </c>
      <c r="H291" s="155"/>
      <c r="I291">
        <v>735</v>
      </c>
      <c r="K291">
        <v>1973.1000000000001</v>
      </c>
      <c r="L291" s="4">
        <v>221.60000000000002</v>
      </c>
      <c r="M291" s="4">
        <v>54.9</v>
      </c>
      <c r="N291" s="4">
        <v>1989.7</v>
      </c>
      <c r="P291">
        <v>0</v>
      </c>
      <c r="Q291">
        <v>238.29999999999998</v>
      </c>
      <c r="R291">
        <v>0</v>
      </c>
      <c r="S291">
        <v>0</v>
      </c>
      <c r="T291">
        <v>368.5</v>
      </c>
      <c r="W291">
        <v>720.3</v>
      </c>
      <c r="X291">
        <v>1411.5</v>
      </c>
      <c r="Y291">
        <v>96.5</v>
      </c>
      <c r="AA291">
        <v>859.6</v>
      </c>
      <c r="AB291">
        <v>1577.6000000000001</v>
      </c>
      <c r="AE291">
        <v>1330</v>
      </c>
      <c r="AF291">
        <v>1025.5</v>
      </c>
      <c r="AH291">
        <v>509.9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1349.3</v>
      </c>
      <c r="AO291">
        <v>786.40000000000009</v>
      </c>
      <c r="AP291">
        <v>0</v>
      </c>
      <c r="AQ291">
        <v>68.3</v>
      </c>
      <c r="AR291">
        <v>234.9</v>
      </c>
      <c r="AS291">
        <v>600.40000000000009</v>
      </c>
      <c r="AU291">
        <v>985.69999999999993</v>
      </c>
      <c r="AW291">
        <v>792</v>
      </c>
      <c r="AX291">
        <v>1988.5</v>
      </c>
      <c r="AZ291">
        <v>763.5</v>
      </c>
      <c r="BA291">
        <v>0</v>
      </c>
      <c r="BB291">
        <v>0</v>
      </c>
      <c r="BC291">
        <v>1935.3</v>
      </c>
      <c r="BD291">
        <v>1006.5</v>
      </c>
      <c r="BE291">
        <v>0</v>
      </c>
      <c r="BF291">
        <v>0</v>
      </c>
      <c r="BG291">
        <v>0</v>
      </c>
      <c r="BH291">
        <v>1662.6</v>
      </c>
      <c r="BJ291">
        <v>0</v>
      </c>
      <c r="BK291">
        <v>0</v>
      </c>
      <c r="BL291">
        <v>1038.9000000000001</v>
      </c>
      <c r="BM291">
        <v>1101</v>
      </c>
      <c r="BO291">
        <v>1276.8000000000002</v>
      </c>
      <c r="BQ291">
        <v>0</v>
      </c>
      <c r="BR291">
        <v>270.7</v>
      </c>
      <c r="BS291">
        <v>230.5</v>
      </c>
      <c r="BT291">
        <v>472.3</v>
      </c>
      <c r="BU291">
        <v>537.29999999999995</v>
      </c>
      <c r="BV291">
        <v>346.3</v>
      </c>
      <c r="BW291">
        <v>386.2</v>
      </c>
      <c r="BX291">
        <v>767</v>
      </c>
      <c r="BY291">
        <v>757.2</v>
      </c>
      <c r="BZ291">
        <v>1037.2</v>
      </c>
      <c r="CA291">
        <v>1227.0999999999999</v>
      </c>
      <c r="CB291">
        <v>1232.0999999999999</v>
      </c>
      <c r="CC291">
        <v>1701.5</v>
      </c>
      <c r="CD291">
        <v>0</v>
      </c>
      <c r="CG291">
        <v>1385.3</v>
      </c>
      <c r="CJ291">
        <v>1630.2999999999997</v>
      </c>
      <c r="CM291">
        <v>1184.2</v>
      </c>
      <c r="CO291">
        <v>1248.0999999999999</v>
      </c>
      <c r="CQ291">
        <v>1435.3</v>
      </c>
      <c r="CR291">
        <v>798.2</v>
      </c>
      <c r="CS291">
        <v>923.8</v>
      </c>
      <c r="CT291">
        <v>0</v>
      </c>
      <c r="CU291">
        <v>0</v>
      </c>
      <c r="CV291">
        <v>0</v>
      </c>
      <c r="CW291">
        <v>0</v>
      </c>
      <c r="CX291">
        <v>163.69999999999999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I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0</v>
      </c>
      <c r="ET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G291" t="e">
        <v>#N/A</v>
      </c>
      <c r="FI291" t="e">
        <v>#N/A</v>
      </c>
      <c r="FK291" t="e">
        <v>#N/A</v>
      </c>
      <c r="FM291" t="e">
        <v>#N/A</v>
      </c>
      <c r="FO291" t="e">
        <v>#N/A</v>
      </c>
      <c r="FQ291" t="e">
        <v>#N/A</v>
      </c>
      <c r="FS291" t="e">
        <v>#N/A</v>
      </c>
      <c r="FU291" t="e">
        <v>#N/A</v>
      </c>
      <c r="FW291" t="e">
        <v>#N/A</v>
      </c>
      <c r="FY291" t="e">
        <v>#N/A</v>
      </c>
      <c r="GA291" t="e">
        <v>#N/A</v>
      </c>
      <c r="GC291" t="e">
        <v>#N/A</v>
      </c>
      <c r="GE291" t="e">
        <v>#N/A</v>
      </c>
      <c r="GG291" t="e">
        <v>#N/A</v>
      </c>
      <c r="GI291" t="e">
        <v>#N/A</v>
      </c>
      <c r="GK291" t="e">
        <v>#N/A</v>
      </c>
      <c r="GM291" t="e">
        <v>#N/A</v>
      </c>
      <c r="GO291" t="e">
        <v>#N/A</v>
      </c>
      <c r="GQ291" t="e">
        <v>#N/A</v>
      </c>
      <c r="GS291" t="e">
        <v>#N/A</v>
      </c>
      <c r="GU291" t="e">
        <v>#N/A</v>
      </c>
      <c r="GW291" t="e">
        <v>#N/A</v>
      </c>
      <c r="GY291" t="e">
        <v>#N/A</v>
      </c>
      <c r="HA291" t="e">
        <v>#N/A</v>
      </c>
      <c r="HC291">
        <v>0</v>
      </c>
      <c r="HD291">
        <v>0</v>
      </c>
      <c r="HE291">
        <v>0</v>
      </c>
      <c r="HF291">
        <v>0</v>
      </c>
      <c r="HG291">
        <v>0</v>
      </c>
      <c r="HH291">
        <v>0</v>
      </c>
      <c r="HI291">
        <v>0</v>
      </c>
      <c r="HJ291">
        <v>0</v>
      </c>
      <c r="HM291">
        <v>0</v>
      </c>
      <c r="HN291">
        <v>0</v>
      </c>
      <c r="HO291">
        <v>0</v>
      </c>
      <c r="HP291">
        <v>0</v>
      </c>
      <c r="HQ291">
        <v>0</v>
      </c>
      <c r="HR291">
        <v>0</v>
      </c>
      <c r="HS291">
        <v>0</v>
      </c>
      <c r="HT291">
        <v>0</v>
      </c>
      <c r="HW291">
        <v>0</v>
      </c>
      <c r="HX291">
        <v>0</v>
      </c>
      <c r="HY291">
        <v>0</v>
      </c>
      <c r="HZ291">
        <v>0</v>
      </c>
      <c r="IA291">
        <v>3930.6</v>
      </c>
      <c r="IB291">
        <v>3632.9</v>
      </c>
      <c r="IC291">
        <v>3795.5</v>
      </c>
      <c r="ID291">
        <v>0</v>
      </c>
      <c r="IE291">
        <v>0</v>
      </c>
      <c r="IF291">
        <v>3548.5</v>
      </c>
      <c r="IG291">
        <v>3395.2</v>
      </c>
      <c r="IH291">
        <v>3395.4</v>
      </c>
      <c r="II291">
        <v>3302.3</v>
      </c>
      <c r="IJ291">
        <v>3172.8</v>
      </c>
      <c r="IK291">
        <v>0</v>
      </c>
      <c r="IL291">
        <v>0</v>
      </c>
      <c r="IM291">
        <v>0</v>
      </c>
      <c r="IN291">
        <v>0</v>
      </c>
      <c r="IO291">
        <v>123.4</v>
      </c>
      <c r="IP291">
        <v>405.2</v>
      </c>
      <c r="IQ291">
        <v>418.7</v>
      </c>
      <c r="IR291">
        <v>0</v>
      </c>
      <c r="IS291">
        <v>0</v>
      </c>
      <c r="IT291">
        <v>0</v>
      </c>
      <c r="IU291">
        <v>0</v>
      </c>
      <c r="IV291">
        <v>396</v>
      </c>
      <c r="IW291">
        <v>0</v>
      </c>
      <c r="IX291">
        <v>0</v>
      </c>
      <c r="IZ291">
        <v>0</v>
      </c>
      <c r="JA291">
        <v>65.5</v>
      </c>
      <c r="JB291">
        <v>443.5</v>
      </c>
      <c r="JC291">
        <v>0</v>
      </c>
      <c r="JD291">
        <v>0</v>
      </c>
      <c r="JE291">
        <v>0</v>
      </c>
      <c r="JF291">
        <v>0</v>
      </c>
      <c r="JG291">
        <v>0</v>
      </c>
      <c r="JH291">
        <v>0</v>
      </c>
      <c r="JI291">
        <v>0</v>
      </c>
      <c r="JJ291">
        <v>0</v>
      </c>
      <c r="JK291">
        <v>0</v>
      </c>
      <c r="JL291">
        <v>0</v>
      </c>
      <c r="JM291">
        <v>0</v>
      </c>
      <c r="JN291">
        <v>0</v>
      </c>
      <c r="JO291">
        <v>0</v>
      </c>
      <c r="JP291">
        <v>0</v>
      </c>
      <c r="JQ291">
        <v>0</v>
      </c>
      <c r="JR291">
        <v>0</v>
      </c>
      <c r="JS291">
        <v>0</v>
      </c>
      <c r="JT291">
        <v>0</v>
      </c>
      <c r="JU291">
        <v>0</v>
      </c>
      <c r="JV291">
        <v>0</v>
      </c>
      <c r="JW291">
        <v>0</v>
      </c>
      <c r="JX291">
        <v>0</v>
      </c>
      <c r="JY291">
        <v>0</v>
      </c>
      <c r="JZ291">
        <v>0</v>
      </c>
      <c r="KA291">
        <v>0</v>
      </c>
      <c r="KB291">
        <v>0</v>
      </c>
      <c r="KC291">
        <v>0</v>
      </c>
      <c r="KD291">
        <v>0</v>
      </c>
      <c r="KE291">
        <v>0</v>
      </c>
      <c r="KF291">
        <v>0</v>
      </c>
      <c r="KI291">
        <v>344.6</v>
      </c>
      <c r="KJ291">
        <v>350.8</v>
      </c>
      <c r="KK291">
        <v>22.1</v>
      </c>
      <c r="KL291">
        <v>379.3</v>
      </c>
      <c r="KM291">
        <v>241.4</v>
      </c>
      <c r="KN291">
        <v>0</v>
      </c>
      <c r="KO291">
        <v>0</v>
      </c>
      <c r="KP291">
        <v>57.3</v>
      </c>
      <c r="KQ291">
        <v>224.4</v>
      </c>
      <c r="KR291">
        <v>338.3</v>
      </c>
      <c r="KS291">
        <v>215.8</v>
      </c>
      <c r="KT291">
        <v>40.700000000000003</v>
      </c>
      <c r="KW291">
        <v>2154.5</v>
      </c>
      <c r="KX291">
        <v>1255.7</v>
      </c>
      <c r="KY291">
        <v>1630.1</v>
      </c>
      <c r="KZ291">
        <v>1246.9000000000001</v>
      </c>
      <c r="LB291">
        <v>78.099999999999994</v>
      </c>
      <c r="LC291">
        <v>77.7</v>
      </c>
    </row>
    <row r="292" spans="1:315" ht="18" thickBot="1">
      <c r="A292" s="183"/>
      <c r="B292" s="183"/>
      <c r="C292" s="332" t="s">
        <v>651</v>
      </c>
      <c r="D292" s="286"/>
      <c r="E292" s="449">
        <v>0</v>
      </c>
      <c r="F292" s="200">
        <v>0</v>
      </c>
      <c r="G292" s="427">
        <v>3413.8</v>
      </c>
      <c r="H292" s="155"/>
      <c r="I292">
        <v>735</v>
      </c>
      <c r="K292">
        <v>1973.1000000000001</v>
      </c>
      <c r="L292" s="4">
        <v>221.60000000000002</v>
      </c>
      <c r="M292" s="4">
        <v>54.9</v>
      </c>
      <c r="N292" s="4">
        <v>1989.7</v>
      </c>
      <c r="P292">
        <v>0</v>
      </c>
      <c r="Q292">
        <v>238.29999999999998</v>
      </c>
      <c r="R292">
        <v>0</v>
      </c>
      <c r="S292">
        <v>0</v>
      </c>
      <c r="T292">
        <v>368.5</v>
      </c>
      <c r="W292">
        <v>720.3</v>
      </c>
      <c r="X292">
        <v>1411.5</v>
      </c>
      <c r="Y292">
        <v>96.5</v>
      </c>
      <c r="AA292">
        <v>859.6</v>
      </c>
      <c r="AB292">
        <v>1577.6000000000001</v>
      </c>
      <c r="AE292">
        <v>1330</v>
      </c>
      <c r="AF292">
        <v>1025.5</v>
      </c>
      <c r="AH292">
        <v>509.9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1349.3</v>
      </c>
      <c r="AO292">
        <v>786.40000000000009</v>
      </c>
      <c r="AP292">
        <v>0</v>
      </c>
      <c r="AQ292">
        <v>68.3</v>
      </c>
      <c r="AR292">
        <v>234.9</v>
      </c>
      <c r="AS292">
        <v>600.40000000000009</v>
      </c>
      <c r="AU292">
        <v>985.69999999999993</v>
      </c>
      <c r="AW292">
        <v>792</v>
      </c>
      <c r="AX292">
        <v>1988.5</v>
      </c>
      <c r="AZ292">
        <v>763.5</v>
      </c>
      <c r="BA292">
        <v>0</v>
      </c>
      <c r="BB292">
        <v>0</v>
      </c>
      <c r="BC292">
        <v>1935.3</v>
      </c>
      <c r="BD292">
        <v>1006.5</v>
      </c>
      <c r="BE292">
        <v>0</v>
      </c>
      <c r="BF292">
        <v>0</v>
      </c>
      <c r="BG292">
        <v>0</v>
      </c>
      <c r="BH292">
        <v>1662.6</v>
      </c>
      <c r="BJ292">
        <v>0</v>
      </c>
      <c r="BK292">
        <v>0</v>
      </c>
      <c r="BL292">
        <v>1038.9000000000001</v>
      </c>
      <c r="BM292">
        <v>1101</v>
      </c>
      <c r="BO292">
        <v>1276.8000000000002</v>
      </c>
      <c r="BQ292">
        <v>0</v>
      </c>
      <c r="BR292">
        <v>270.7</v>
      </c>
      <c r="BS292">
        <v>230.5</v>
      </c>
      <c r="BT292">
        <v>472.3</v>
      </c>
      <c r="BU292">
        <v>537.29999999999995</v>
      </c>
      <c r="BV292">
        <v>346.3</v>
      </c>
      <c r="BW292">
        <v>386.2</v>
      </c>
      <c r="BX292">
        <v>767</v>
      </c>
      <c r="BY292">
        <v>757.2</v>
      </c>
      <c r="BZ292">
        <v>1037.2</v>
      </c>
      <c r="CA292">
        <v>1227.0999999999999</v>
      </c>
      <c r="CB292">
        <v>1232.0999999999999</v>
      </c>
      <c r="CC292">
        <v>1701.5</v>
      </c>
      <c r="CD292">
        <v>0</v>
      </c>
      <c r="CG292">
        <v>1385.3</v>
      </c>
      <c r="CJ292">
        <v>1630.2999999999997</v>
      </c>
      <c r="CM292">
        <v>1184.2</v>
      </c>
      <c r="CO292">
        <v>1248.0999999999999</v>
      </c>
      <c r="CQ292">
        <v>1435.3</v>
      </c>
      <c r="CR292">
        <v>798.2</v>
      </c>
      <c r="CS292">
        <v>923.8</v>
      </c>
      <c r="CT292">
        <v>0</v>
      </c>
      <c r="CU292">
        <v>0</v>
      </c>
      <c r="CV292">
        <v>0</v>
      </c>
      <c r="CW292">
        <v>0</v>
      </c>
      <c r="CX292">
        <v>163.69999999999999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I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0</v>
      </c>
      <c r="ES292">
        <v>0</v>
      </c>
      <c r="ET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G292" t="e">
        <v>#N/A</v>
      </c>
      <c r="FI292" t="e">
        <v>#N/A</v>
      </c>
      <c r="FK292" t="e">
        <v>#N/A</v>
      </c>
      <c r="FM292" t="e">
        <v>#N/A</v>
      </c>
      <c r="FO292" t="e">
        <v>#N/A</v>
      </c>
      <c r="FQ292" t="e">
        <v>#N/A</v>
      </c>
      <c r="FS292" t="e">
        <v>#N/A</v>
      </c>
      <c r="FU292" t="e">
        <v>#N/A</v>
      </c>
      <c r="FW292" t="e">
        <v>#N/A</v>
      </c>
      <c r="FY292" t="e">
        <v>#N/A</v>
      </c>
      <c r="GA292" t="e">
        <v>#N/A</v>
      </c>
      <c r="GC292" t="e">
        <v>#N/A</v>
      </c>
      <c r="GE292" t="e">
        <v>#N/A</v>
      </c>
      <c r="GG292" t="e">
        <v>#N/A</v>
      </c>
      <c r="GI292" t="e">
        <v>#N/A</v>
      </c>
      <c r="GK292" t="e">
        <v>#N/A</v>
      </c>
      <c r="GM292" t="e">
        <v>#N/A</v>
      </c>
      <c r="GO292" t="e">
        <v>#N/A</v>
      </c>
      <c r="GQ292" t="e">
        <v>#N/A</v>
      </c>
      <c r="GS292" t="e">
        <v>#N/A</v>
      </c>
      <c r="GU292" t="e">
        <v>#N/A</v>
      </c>
      <c r="GW292" t="e">
        <v>#N/A</v>
      </c>
      <c r="GY292" t="e">
        <v>#N/A</v>
      </c>
      <c r="HA292" t="e">
        <v>#N/A</v>
      </c>
      <c r="HC292">
        <v>0</v>
      </c>
      <c r="HD292">
        <v>0</v>
      </c>
      <c r="HE292">
        <v>0</v>
      </c>
      <c r="HF292">
        <v>0</v>
      </c>
      <c r="HG292">
        <v>0</v>
      </c>
      <c r="HH292">
        <v>0</v>
      </c>
      <c r="HI292">
        <v>0</v>
      </c>
      <c r="HJ292">
        <v>0</v>
      </c>
      <c r="HM292">
        <v>0</v>
      </c>
      <c r="HN292">
        <v>0</v>
      </c>
      <c r="HO292">
        <v>0</v>
      </c>
      <c r="HP292">
        <v>0</v>
      </c>
      <c r="HQ292">
        <v>0</v>
      </c>
      <c r="HR292">
        <v>0</v>
      </c>
      <c r="HS292">
        <v>0</v>
      </c>
      <c r="HT292">
        <v>0</v>
      </c>
      <c r="HW292">
        <v>0</v>
      </c>
      <c r="HX292">
        <v>0</v>
      </c>
      <c r="HY292">
        <v>0</v>
      </c>
      <c r="HZ292">
        <v>0</v>
      </c>
      <c r="IA292">
        <v>3930.6</v>
      </c>
      <c r="IB292">
        <v>3632.9</v>
      </c>
      <c r="IC292">
        <v>3795.5</v>
      </c>
      <c r="ID292">
        <v>0</v>
      </c>
      <c r="IE292">
        <v>0</v>
      </c>
      <c r="IF292">
        <v>3548.5</v>
      </c>
      <c r="IG292">
        <v>3395.2</v>
      </c>
      <c r="IH292">
        <v>3395.4</v>
      </c>
      <c r="II292">
        <v>3302.3</v>
      </c>
      <c r="IJ292">
        <v>3172.8</v>
      </c>
      <c r="IK292">
        <v>0</v>
      </c>
      <c r="IL292">
        <v>0</v>
      </c>
      <c r="IM292">
        <v>0</v>
      </c>
      <c r="IN292">
        <v>0</v>
      </c>
      <c r="IO292">
        <v>123.4</v>
      </c>
      <c r="IP292">
        <v>405.2</v>
      </c>
      <c r="IQ292">
        <v>418.7</v>
      </c>
      <c r="IR292">
        <v>0</v>
      </c>
      <c r="IS292">
        <v>0</v>
      </c>
      <c r="IT292">
        <v>0</v>
      </c>
      <c r="IU292">
        <v>0</v>
      </c>
      <c r="IV292">
        <v>396</v>
      </c>
      <c r="IW292">
        <v>0</v>
      </c>
      <c r="IX292">
        <v>0</v>
      </c>
      <c r="IZ292">
        <v>0</v>
      </c>
      <c r="JA292">
        <v>65.5</v>
      </c>
      <c r="JB292">
        <v>443.5</v>
      </c>
      <c r="JC292">
        <v>0</v>
      </c>
      <c r="JD292">
        <v>0</v>
      </c>
      <c r="JE292">
        <v>0</v>
      </c>
      <c r="JF292">
        <v>0</v>
      </c>
      <c r="JG292">
        <v>0</v>
      </c>
      <c r="JH292">
        <v>0</v>
      </c>
      <c r="JI292">
        <v>0</v>
      </c>
      <c r="JJ292">
        <v>0</v>
      </c>
      <c r="JK292">
        <v>0</v>
      </c>
      <c r="JL292">
        <v>0</v>
      </c>
      <c r="JM292">
        <v>0</v>
      </c>
      <c r="JN292">
        <v>0</v>
      </c>
      <c r="JO292">
        <v>0</v>
      </c>
      <c r="JP292">
        <v>0</v>
      </c>
      <c r="JQ292">
        <v>0</v>
      </c>
      <c r="JR292">
        <v>0</v>
      </c>
      <c r="JS292">
        <v>0</v>
      </c>
      <c r="JT292">
        <v>0</v>
      </c>
      <c r="JU292">
        <v>0</v>
      </c>
      <c r="JV292">
        <v>0</v>
      </c>
      <c r="JW292">
        <v>0</v>
      </c>
      <c r="JX292">
        <v>0</v>
      </c>
      <c r="JY292">
        <v>0</v>
      </c>
      <c r="JZ292">
        <v>0</v>
      </c>
      <c r="KA292">
        <v>0</v>
      </c>
      <c r="KB292">
        <v>0</v>
      </c>
      <c r="KC292">
        <v>0</v>
      </c>
      <c r="KD292">
        <v>0</v>
      </c>
      <c r="KE292">
        <v>0</v>
      </c>
      <c r="KF292">
        <v>0</v>
      </c>
      <c r="KI292">
        <v>344.6</v>
      </c>
      <c r="KJ292">
        <v>350.8</v>
      </c>
      <c r="KK292">
        <v>22.1</v>
      </c>
      <c r="KL292">
        <v>379.3</v>
      </c>
      <c r="KM292">
        <v>241.4</v>
      </c>
      <c r="KN292">
        <v>0</v>
      </c>
      <c r="KO292">
        <v>0</v>
      </c>
      <c r="KP292">
        <v>57.3</v>
      </c>
      <c r="KQ292">
        <v>224.4</v>
      </c>
      <c r="KR292">
        <v>338.3</v>
      </c>
      <c r="KS292">
        <v>215.8</v>
      </c>
      <c r="KT292">
        <v>40.700000000000003</v>
      </c>
      <c r="KW292">
        <v>2154.5</v>
      </c>
      <c r="KX292">
        <v>1255.7</v>
      </c>
      <c r="KY292">
        <v>1630.1</v>
      </c>
      <c r="KZ292">
        <v>1246.9000000000001</v>
      </c>
      <c r="LB292">
        <v>78.099999999999994</v>
      </c>
      <c r="LC292">
        <v>77.7</v>
      </c>
    </row>
    <row r="293" spans="1:315" ht="18" thickBot="1">
      <c r="A293" s="245"/>
      <c r="B293" s="245" t="s">
        <v>580</v>
      </c>
      <c r="C293" s="88" t="s">
        <v>652</v>
      </c>
      <c r="D293" s="274" t="s">
        <v>821</v>
      </c>
      <c r="E293" s="443">
        <v>0</v>
      </c>
      <c r="F293" s="191">
        <v>0</v>
      </c>
      <c r="G293" s="427">
        <v>3413.8</v>
      </c>
      <c r="H293" s="155"/>
      <c r="I293">
        <v>735</v>
      </c>
      <c r="K293">
        <v>1973.1000000000001</v>
      </c>
      <c r="L293" s="4">
        <v>221.60000000000002</v>
      </c>
      <c r="M293" s="4">
        <v>54.9</v>
      </c>
      <c r="N293" s="4">
        <v>1989.7</v>
      </c>
      <c r="P293">
        <v>0</v>
      </c>
      <c r="Q293">
        <v>238.29999999999998</v>
      </c>
      <c r="R293">
        <v>0</v>
      </c>
      <c r="S293">
        <v>0</v>
      </c>
      <c r="T293">
        <v>368.5</v>
      </c>
      <c r="W293">
        <v>720.3</v>
      </c>
      <c r="X293">
        <v>1411.5</v>
      </c>
      <c r="Y293">
        <v>96.5</v>
      </c>
      <c r="AA293">
        <v>859.6</v>
      </c>
      <c r="AB293">
        <v>1577.6000000000001</v>
      </c>
      <c r="AE293">
        <v>1330</v>
      </c>
      <c r="AF293">
        <v>1025.5</v>
      </c>
      <c r="AH293">
        <v>509.9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1349.3</v>
      </c>
      <c r="AO293">
        <v>786.40000000000009</v>
      </c>
      <c r="AP293">
        <v>0</v>
      </c>
      <c r="AQ293">
        <v>68.3</v>
      </c>
      <c r="AR293">
        <v>234.9</v>
      </c>
      <c r="AS293">
        <v>600.40000000000009</v>
      </c>
      <c r="AU293">
        <v>985.69999999999993</v>
      </c>
      <c r="AW293">
        <v>792</v>
      </c>
      <c r="AX293">
        <v>1988.5</v>
      </c>
      <c r="AZ293">
        <v>763.5</v>
      </c>
      <c r="BA293">
        <v>0</v>
      </c>
      <c r="BB293">
        <v>0</v>
      </c>
      <c r="BC293">
        <v>1935.3</v>
      </c>
      <c r="BD293">
        <v>1006.5</v>
      </c>
      <c r="BE293">
        <v>0</v>
      </c>
      <c r="BF293">
        <v>0</v>
      </c>
      <c r="BG293">
        <v>0</v>
      </c>
      <c r="BH293">
        <v>1662.6</v>
      </c>
      <c r="BJ293">
        <v>0</v>
      </c>
      <c r="BK293">
        <v>0</v>
      </c>
      <c r="BL293">
        <v>1038.9000000000001</v>
      </c>
      <c r="BM293">
        <v>1101</v>
      </c>
      <c r="BO293">
        <v>1276.8000000000002</v>
      </c>
      <c r="BQ293">
        <v>0</v>
      </c>
      <c r="BR293">
        <v>270.7</v>
      </c>
      <c r="BS293">
        <v>230.5</v>
      </c>
      <c r="BT293">
        <v>472.3</v>
      </c>
      <c r="BU293">
        <v>537.29999999999995</v>
      </c>
      <c r="BV293">
        <v>346.3</v>
      </c>
      <c r="BW293">
        <v>386.2</v>
      </c>
      <c r="BX293">
        <v>767</v>
      </c>
      <c r="BY293">
        <v>757.2</v>
      </c>
      <c r="BZ293">
        <v>1037.2</v>
      </c>
      <c r="CA293">
        <v>1227.0999999999999</v>
      </c>
      <c r="CB293">
        <v>1232.0999999999999</v>
      </c>
      <c r="CC293">
        <v>1701.5</v>
      </c>
      <c r="CD293">
        <v>0</v>
      </c>
      <c r="CG293">
        <v>1385.3</v>
      </c>
      <c r="CJ293">
        <v>1630.2999999999997</v>
      </c>
      <c r="CM293">
        <v>1184.2</v>
      </c>
      <c r="CO293">
        <v>1248.0999999999999</v>
      </c>
      <c r="CQ293">
        <v>1435.3</v>
      </c>
      <c r="CR293">
        <v>798.2</v>
      </c>
      <c r="CS293">
        <v>923.8</v>
      </c>
      <c r="CT293">
        <v>0</v>
      </c>
      <c r="CU293">
        <v>0</v>
      </c>
      <c r="CV293">
        <v>0</v>
      </c>
      <c r="CW293">
        <v>0</v>
      </c>
      <c r="CX293">
        <v>163.69999999999999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I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G293" t="e">
        <v>#N/A</v>
      </c>
      <c r="FI293" t="e">
        <v>#N/A</v>
      </c>
      <c r="FK293" t="e">
        <v>#N/A</v>
      </c>
      <c r="FM293" t="e">
        <v>#N/A</v>
      </c>
      <c r="FO293" t="e">
        <v>#N/A</v>
      </c>
      <c r="FQ293" t="e">
        <v>#N/A</v>
      </c>
      <c r="FS293" t="e">
        <v>#N/A</v>
      </c>
      <c r="FU293" t="e">
        <v>#N/A</v>
      </c>
      <c r="FW293" t="e">
        <v>#N/A</v>
      </c>
      <c r="FY293" t="e">
        <v>#N/A</v>
      </c>
      <c r="GA293" t="e">
        <v>#N/A</v>
      </c>
      <c r="GC293" t="e">
        <v>#N/A</v>
      </c>
      <c r="GE293" t="e">
        <v>#N/A</v>
      </c>
      <c r="GG293" t="e">
        <v>#N/A</v>
      </c>
      <c r="GI293" t="e">
        <v>#N/A</v>
      </c>
      <c r="GK293" t="e">
        <v>#N/A</v>
      </c>
      <c r="GM293" t="e">
        <v>#N/A</v>
      </c>
      <c r="GO293" t="e">
        <v>#N/A</v>
      </c>
      <c r="GQ293" t="e">
        <v>#N/A</v>
      </c>
      <c r="GS293" t="e">
        <v>#N/A</v>
      </c>
      <c r="GU293" t="e">
        <v>#N/A</v>
      </c>
      <c r="GW293" t="e">
        <v>#N/A</v>
      </c>
      <c r="GY293" t="e">
        <v>#N/A</v>
      </c>
      <c r="HA293" t="e">
        <v>#N/A</v>
      </c>
      <c r="HC293">
        <v>0</v>
      </c>
      <c r="HD293">
        <v>0</v>
      </c>
      <c r="HE293">
        <v>0</v>
      </c>
      <c r="HF293">
        <v>0</v>
      </c>
      <c r="HG293">
        <v>0</v>
      </c>
      <c r="HH293">
        <v>0</v>
      </c>
      <c r="HI293">
        <v>0</v>
      </c>
      <c r="HJ293">
        <v>0</v>
      </c>
      <c r="HM293">
        <v>0</v>
      </c>
      <c r="HN293">
        <v>0</v>
      </c>
      <c r="HO293">
        <v>0</v>
      </c>
      <c r="HP293">
        <v>0</v>
      </c>
      <c r="HQ293">
        <v>0</v>
      </c>
      <c r="HR293">
        <v>0</v>
      </c>
      <c r="HS293">
        <v>0</v>
      </c>
      <c r="HT293">
        <v>0</v>
      </c>
      <c r="HW293">
        <v>0</v>
      </c>
      <c r="HX293">
        <v>0</v>
      </c>
      <c r="HY293">
        <v>0</v>
      </c>
      <c r="HZ293">
        <v>0</v>
      </c>
      <c r="IA293">
        <v>3930.6</v>
      </c>
      <c r="IB293">
        <v>3632.9</v>
      </c>
      <c r="IC293">
        <v>3795.5</v>
      </c>
      <c r="ID293">
        <v>0</v>
      </c>
      <c r="IE293">
        <v>0</v>
      </c>
      <c r="IF293">
        <v>3548.5</v>
      </c>
      <c r="IG293">
        <v>3395.2</v>
      </c>
      <c r="IH293">
        <v>3395.4</v>
      </c>
      <c r="II293">
        <v>3302.3</v>
      </c>
      <c r="IJ293">
        <v>3172.8</v>
      </c>
      <c r="IK293">
        <v>0</v>
      </c>
      <c r="IL293">
        <v>0</v>
      </c>
      <c r="IM293">
        <v>0</v>
      </c>
      <c r="IN293">
        <v>0</v>
      </c>
      <c r="IO293">
        <v>123.4</v>
      </c>
      <c r="IP293">
        <v>405.2</v>
      </c>
      <c r="IQ293">
        <v>418.7</v>
      </c>
      <c r="IR293">
        <v>0</v>
      </c>
      <c r="IS293">
        <v>0</v>
      </c>
      <c r="IT293">
        <v>0</v>
      </c>
      <c r="IU293">
        <v>0</v>
      </c>
      <c r="IV293">
        <v>396</v>
      </c>
      <c r="IW293">
        <v>0</v>
      </c>
      <c r="IX293">
        <v>0</v>
      </c>
      <c r="IZ293">
        <v>0</v>
      </c>
      <c r="JA293">
        <v>65.5</v>
      </c>
      <c r="JB293">
        <v>443.5</v>
      </c>
      <c r="JC293">
        <v>0</v>
      </c>
      <c r="JD293">
        <v>0</v>
      </c>
      <c r="JE293">
        <v>0</v>
      </c>
      <c r="JF293">
        <v>0</v>
      </c>
      <c r="JG293">
        <v>0</v>
      </c>
      <c r="JH293">
        <v>0</v>
      </c>
      <c r="JI293">
        <v>0</v>
      </c>
      <c r="JJ293">
        <v>0</v>
      </c>
      <c r="JK293">
        <v>0</v>
      </c>
      <c r="JL293">
        <v>0</v>
      </c>
      <c r="JM293">
        <v>0</v>
      </c>
      <c r="JN293">
        <v>0</v>
      </c>
      <c r="JO293">
        <v>0</v>
      </c>
      <c r="JP293">
        <v>0</v>
      </c>
      <c r="JQ293">
        <v>0</v>
      </c>
      <c r="JR293">
        <v>0</v>
      </c>
      <c r="JS293">
        <v>0</v>
      </c>
      <c r="JT293">
        <v>0</v>
      </c>
      <c r="JU293">
        <v>0</v>
      </c>
      <c r="JV293">
        <v>0</v>
      </c>
      <c r="JW293">
        <v>0</v>
      </c>
      <c r="JX293">
        <v>0</v>
      </c>
      <c r="JY293">
        <v>0</v>
      </c>
      <c r="JZ293">
        <v>0</v>
      </c>
      <c r="KA293">
        <v>0</v>
      </c>
      <c r="KB293">
        <v>0</v>
      </c>
      <c r="KC293">
        <v>0</v>
      </c>
      <c r="KD293">
        <v>0</v>
      </c>
      <c r="KE293">
        <v>0</v>
      </c>
      <c r="KF293">
        <v>0</v>
      </c>
      <c r="KI293">
        <v>344.6</v>
      </c>
      <c r="KJ293">
        <v>350.8</v>
      </c>
      <c r="KK293">
        <v>22.1</v>
      </c>
      <c r="KL293">
        <v>379.3</v>
      </c>
      <c r="KM293">
        <v>241.4</v>
      </c>
      <c r="KN293">
        <v>0</v>
      </c>
      <c r="KO293">
        <v>0</v>
      </c>
      <c r="KP293">
        <v>57.3</v>
      </c>
      <c r="KQ293">
        <v>224.4</v>
      </c>
      <c r="KR293">
        <v>338.3</v>
      </c>
      <c r="KS293">
        <v>215.8</v>
      </c>
      <c r="KT293">
        <v>40.700000000000003</v>
      </c>
      <c r="KW293">
        <v>2154.5</v>
      </c>
      <c r="KX293">
        <v>1255.7</v>
      </c>
      <c r="KY293">
        <v>1630.1</v>
      </c>
      <c r="KZ293">
        <v>1246.9000000000001</v>
      </c>
      <c r="LB293">
        <v>78.099999999999994</v>
      </c>
      <c r="LC293">
        <v>77.7</v>
      </c>
    </row>
    <row r="294" spans="1:315" ht="18" thickBot="1">
      <c r="A294" s="255"/>
      <c r="B294" s="555" t="s">
        <v>581</v>
      </c>
      <c r="C294" s="231" t="s">
        <v>653</v>
      </c>
      <c r="D294" s="277" t="s">
        <v>822</v>
      </c>
      <c r="E294" s="446">
        <v>0</v>
      </c>
      <c r="F294" s="191">
        <v>0</v>
      </c>
      <c r="G294" s="427">
        <v>3413.8</v>
      </c>
      <c r="H294" s="155"/>
      <c r="I294">
        <v>735</v>
      </c>
      <c r="K294">
        <v>1973.1000000000001</v>
      </c>
      <c r="L294" s="4">
        <v>221.60000000000002</v>
      </c>
      <c r="M294" s="4">
        <v>54.9</v>
      </c>
      <c r="N294" s="4">
        <v>1989.7</v>
      </c>
      <c r="P294">
        <v>0</v>
      </c>
      <c r="Q294">
        <v>238.29999999999998</v>
      </c>
      <c r="R294">
        <v>0</v>
      </c>
      <c r="S294">
        <v>0</v>
      </c>
      <c r="T294">
        <v>368.5</v>
      </c>
      <c r="W294">
        <v>720.3</v>
      </c>
      <c r="X294">
        <v>1411.5</v>
      </c>
      <c r="Y294">
        <v>96.5</v>
      </c>
      <c r="AA294">
        <v>859.6</v>
      </c>
      <c r="AB294">
        <v>1577.6000000000001</v>
      </c>
      <c r="AE294">
        <v>1330</v>
      </c>
      <c r="AF294">
        <v>1025.5</v>
      </c>
      <c r="AH294">
        <v>509.9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1349.3</v>
      </c>
      <c r="AO294">
        <v>786.40000000000009</v>
      </c>
      <c r="AP294">
        <v>0</v>
      </c>
      <c r="AQ294">
        <v>68.3</v>
      </c>
      <c r="AR294">
        <v>234.9</v>
      </c>
      <c r="AS294">
        <v>600.40000000000009</v>
      </c>
      <c r="AU294">
        <v>985.69999999999993</v>
      </c>
      <c r="AW294">
        <v>792</v>
      </c>
      <c r="AX294">
        <v>1988.5</v>
      </c>
      <c r="AZ294">
        <v>763.5</v>
      </c>
      <c r="BA294">
        <v>0</v>
      </c>
      <c r="BB294">
        <v>0</v>
      </c>
      <c r="BC294">
        <v>1935.3</v>
      </c>
      <c r="BD294">
        <v>1006.5</v>
      </c>
      <c r="BE294">
        <v>0</v>
      </c>
      <c r="BF294">
        <v>0</v>
      </c>
      <c r="BG294">
        <v>0</v>
      </c>
      <c r="BH294">
        <v>1662.6</v>
      </c>
      <c r="BJ294">
        <v>0</v>
      </c>
      <c r="BK294">
        <v>0</v>
      </c>
      <c r="BL294">
        <v>1038.9000000000001</v>
      </c>
      <c r="BM294">
        <v>1101</v>
      </c>
      <c r="BO294">
        <v>1276.8000000000002</v>
      </c>
      <c r="BQ294">
        <v>0</v>
      </c>
      <c r="BR294">
        <v>270.7</v>
      </c>
      <c r="BS294">
        <v>230.5</v>
      </c>
      <c r="BT294">
        <v>472.3</v>
      </c>
      <c r="BU294">
        <v>537.29999999999995</v>
      </c>
      <c r="BV294">
        <v>346.3</v>
      </c>
      <c r="BW294">
        <v>386.2</v>
      </c>
      <c r="BX294">
        <v>767</v>
      </c>
      <c r="BY294">
        <v>757.2</v>
      </c>
      <c r="BZ294">
        <v>1037.2</v>
      </c>
      <c r="CA294">
        <v>1227.0999999999999</v>
      </c>
      <c r="CB294">
        <v>1232.0999999999999</v>
      </c>
      <c r="CC294">
        <v>1701.5</v>
      </c>
      <c r="CD294">
        <v>0</v>
      </c>
      <c r="CG294">
        <v>1385.3</v>
      </c>
      <c r="CJ294">
        <v>1630.2999999999997</v>
      </c>
      <c r="CM294">
        <v>1184.2</v>
      </c>
      <c r="CO294">
        <v>1248.0999999999999</v>
      </c>
      <c r="CQ294">
        <v>1435.3</v>
      </c>
      <c r="CR294">
        <v>798.2</v>
      </c>
      <c r="CS294">
        <v>923.8</v>
      </c>
      <c r="CT294">
        <v>0</v>
      </c>
      <c r="CU294">
        <v>0</v>
      </c>
      <c r="CV294">
        <v>0</v>
      </c>
      <c r="CW294">
        <v>0</v>
      </c>
      <c r="CX294">
        <v>163.69999999999999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I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G294" t="e">
        <v>#N/A</v>
      </c>
      <c r="FI294" t="e">
        <v>#N/A</v>
      </c>
      <c r="FK294" t="e">
        <v>#N/A</v>
      </c>
      <c r="FM294" t="e">
        <v>#N/A</v>
      </c>
      <c r="FO294" t="e">
        <v>#N/A</v>
      </c>
      <c r="FQ294" t="e">
        <v>#N/A</v>
      </c>
      <c r="FS294" t="e">
        <v>#N/A</v>
      </c>
      <c r="FU294" t="e">
        <v>#N/A</v>
      </c>
      <c r="FW294" t="e">
        <v>#N/A</v>
      </c>
      <c r="FY294" t="e">
        <v>#N/A</v>
      </c>
      <c r="GA294" t="e">
        <v>#N/A</v>
      </c>
      <c r="GC294" t="e">
        <v>#N/A</v>
      </c>
      <c r="GE294" t="e">
        <v>#N/A</v>
      </c>
      <c r="GG294" t="e">
        <v>#N/A</v>
      </c>
      <c r="GI294" t="e">
        <v>#N/A</v>
      </c>
      <c r="GK294" t="e">
        <v>#N/A</v>
      </c>
      <c r="GM294" t="e">
        <v>#N/A</v>
      </c>
      <c r="GO294" t="e">
        <v>#N/A</v>
      </c>
      <c r="GQ294" t="e">
        <v>#N/A</v>
      </c>
      <c r="GS294" t="e">
        <v>#N/A</v>
      </c>
      <c r="GU294" t="e">
        <v>#N/A</v>
      </c>
      <c r="GW294" t="e">
        <v>#N/A</v>
      </c>
      <c r="GY294" t="e">
        <v>#N/A</v>
      </c>
      <c r="HA294" t="e">
        <v>#N/A</v>
      </c>
      <c r="HC294">
        <v>0</v>
      </c>
      <c r="HD294">
        <v>0</v>
      </c>
      <c r="HE294">
        <v>0</v>
      </c>
      <c r="HF294">
        <v>0</v>
      </c>
      <c r="HG294">
        <v>0</v>
      </c>
      <c r="HH294">
        <v>0</v>
      </c>
      <c r="HI294">
        <v>0</v>
      </c>
      <c r="HJ294">
        <v>0</v>
      </c>
      <c r="HM294">
        <v>0</v>
      </c>
      <c r="HN294">
        <v>0</v>
      </c>
      <c r="HO294">
        <v>0</v>
      </c>
      <c r="HP294">
        <v>0</v>
      </c>
      <c r="HQ294">
        <v>0</v>
      </c>
      <c r="HR294">
        <v>0</v>
      </c>
      <c r="HS294">
        <v>0</v>
      </c>
      <c r="HT294">
        <v>0</v>
      </c>
      <c r="HW294">
        <v>0</v>
      </c>
      <c r="HX294">
        <v>0</v>
      </c>
      <c r="HY294">
        <v>0</v>
      </c>
      <c r="HZ294">
        <v>0</v>
      </c>
      <c r="IA294">
        <v>3930.6</v>
      </c>
      <c r="IB294">
        <v>3632.9</v>
      </c>
      <c r="IC294">
        <v>3795.5</v>
      </c>
      <c r="ID294">
        <v>0</v>
      </c>
      <c r="IE294">
        <v>0</v>
      </c>
      <c r="IF294">
        <v>3548.5</v>
      </c>
      <c r="IG294">
        <v>3395.2</v>
      </c>
      <c r="IH294">
        <v>3395.4</v>
      </c>
      <c r="II294">
        <v>3302.3</v>
      </c>
      <c r="IJ294">
        <v>3172.8</v>
      </c>
      <c r="IK294">
        <v>0</v>
      </c>
      <c r="IL294">
        <v>0</v>
      </c>
      <c r="IM294">
        <v>0</v>
      </c>
      <c r="IN294">
        <v>0</v>
      </c>
      <c r="IO294">
        <v>123.4</v>
      </c>
      <c r="IP294">
        <v>405.2</v>
      </c>
      <c r="IQ294">
        <v>418.7</v>
      </c>
      <c r="IR294">
        <v>0</v>
      </c>
      <c r="IS294">
        <v>0</v>
      </c>
      <c r="IT294">
        <v>0</v>
      </c>
      <c r="IU294">
        <v>0</v>
      </c>
      <c r="IV294">
        <v>396</v>
      </c>
      <c r="IW294">
        <v>0</v>
      </c>
      <c r="IX294">
        <v>0</v>
      </c>
      <c r="IZ294">
        <v>0</v>
      </c>
      <c r="JA294">
        <v>65.5</v>
      </c>
      <c r="JB294">
        <v>443.5</v>
      </c>
      <c r="JC294">
        <v>0</v>
      </c>
      <c r="JD294">
        <v>0</v>
      </c>
      <c r="JE294">
        <v>0</v>
      </c>
      <c r="JF294">
        <v>0</v>
      </c>
      <c r="JG294">
        <v>0</v>
      </c>
      <c r="JH294">
        <v>0</v>
      </c>
      <c r="JI294">
        <v>0</v>
      </c>
      <c r="JJ294">
        <v>0</v>
      </c>
      <c r="JK294">
        <v>0</v>
      </c>
      <c r="JL294">
        <v>0</v>
      </c>
      <c r="JM294">
        <v>0</v>
      </c>
      <c r="JN294">
        <v>0</v>
      </c>
      <c r="JO294">
        <v>0</v>
      </c>
      <c r="JP294">
        <v>0</v>
      </c>
      <c r="JQ294">
        <v>0</v>
      </c>
      <c r="JR294">
        <v>0</v>
      </c>
      <c r="JS294">
        <v>0</v>
      </c>
      <c r="JT294">
        <v>0</v>
      </c>
      <c r="JU294">
        <v>0</v>
      </c>
      <c r="JV294">
        <v>0</v>
      </c>
      <c r="JW294">
        <v>0</v>
      </c>
      <c r="JX294">
        <v>0</v>
      </c>
      <c r="JY294">
        <v>0</v>
      </c>
      <c r="JZ294">
        <v>0</v>
      </c>
      <c r="KA294">
        <v>0</v>
      </c>
      <c r="KB294">
        <v>0</v>
      </c>
      <c r="KC294">
        <v>0</v>
      </c>
      <c r="KD294">
        <v>0</v>
      </c>
      <c r="KE294">
        <v>0</v>
      </c>
      <c r="KF294">
        <v>0</v>
      </c>
      <c r="KI294">
        <v>344.6</v>
      </c>
      <c r="KJ294">
        <v>350.8</v>
      </c>
      <c r="KK294">
        <v>22.1</v>
      </c>
      <c r="KL294">
        <v>379.3</v>
      </c>
      <c r="KM294">
        <v>241.4</v>
      </c>
      <c r="KN294">
        <v>0</v>
      </c>
      <c r="KO294">
        <v>0</v>
      </c>
      <c r="KP294">
        <v>57.3</v>
      </c>
      <c r="KQ294">
        <v>224.4</v>
      </c>
      <c r="KR294">
        <v>338.3</v>
      </c>
      <c r="KS294">
        <v>215.8</v>
      </c>
      <c r="KT294">
        <v>40.700000000000003</v>
      </c>
      <c r="KW294">
        <v>2154.5</v>
      </c>
      <c r="KX294">
        <v>1255.7</v>
      </c>
      <c r="KY294">
        <v>1630.1</v>
      </c>
      <c r="KZ294">
        <v>1246.9000000000001</v>
      </c>
      <c r="LB294">
        <v>78.099999999999994</v>
      </c>
      <c r="LC294">
        <v>77.7</v>
      </c>
    </row>
    <row r="295" spans="1:315" ht="18" thickBot="1">
      <c r="A295" s="257"/>
      <c r="B295" s="556"/>
      <c r="C295" s="233"/>
      <c r="D295" s="279"/>
      <c r="E295" s="437">
        <v>0</v>
      </c>
      <c r="F295" s="201">
        <v>0</v>
      </c>
      <c r="G295" s="427">
        <v>3413.8</v>
      </c>
      <c r="H295" s="155"/>
      <c r="I295">
        <v>735</v>
      </c>
      <c r="K295">
        <v>1973.1000000000001</v>
      </c>
      <c r="L295" s="4">
        <v>221.60000000000002</v>
      </c>
      <c r="M295" s="4">
        <v>54.9</v>
      </c>
      <c r="N295" s="4">
        <v>1989.7</v>
      </c>
      <c r="P295">
        <v>0</v>
      </c>
      <c r="Q295">
        <v>238.29999999999998</v>
      </c>
      <c r="R295">
        <v>0</v>
      </c>
      <c r="S295">
        <v>0</v>
      </c>
      <c r="T295">
        <v>368.5</v>
      </c>
      <c r="W295">
        <v>720.3</v>
      </c>
      <c r="X295">
        <v>1411.5</v>
      </c>
      <c r="Y295">
        <v>96.5</v>
      </c>
      <c r="AA295">
        <v>859.6</v>
      </c>
      <c r="AB295">
        <v>1577.6000000000001</v>
      </c>
      <c r="AE295">
        <v>1330</v>
      </c>
      <c r="AF295">
        <v>1025.5</v>
      </c>
      <c r="AH295">
        <v>509.9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1349.3</v>
      </c>
      <c r="AO295">
        <v>786.40000000000009</v>
      </c>
      <c r="AP295">
        <v>0</v>
      </c>
      <c r="AQ295">
        <v>68.3</v>
      </c>
      <c r="AR295">
        <v>234.9</v>
      </c>
      <c r="AS295">
        <v>600.40000000000009</v>
      </c>
      <c r="AU295">
        <v>985.69999999999993</v>
      </c>
      <c r="AW295">
        <v>792</v>
      </c>
      <c r="AX295">
        <v>1988.5</v>
      </c>
      <c r="AZ295">
        <v>763.5</v>
      </c>
      <c r="BA295">
        <v>0</v>
      </c>
      <c r="BB295">
        <v>0</v>
      </c>
      <c r="BC295">
        <v>1935.3</v>
      </c>
      <c r="BD295">
        <v>1006.5</v>
      </c>
      <c r="BE295">
        <v>0</v>
      </c>
      <c r="BF295">
        <v>0</v>
      </c>
      <c r="BG295">
        <v>0</v>
      </c>
      <c r="BH295">
        <v>1662.6</v>
      </c>
      <c r="BJ295">
        <v>0</v>
      </c>
      <c r="BK295">
        <v>0</v>
      </c>
      <c r="BL295">
        <v>1038.9000000000001</v>
      </c>
      <c r="BM295">
        <v>1101</v>
      </c>
      <c r="BO295">
        <v>1276.8000000000002</v>
      </c>
      <c r="BQ295">
        <v>0</v>
      </c>
      <c r="BR295">
        <v>270.7</v>
      </c>
      <c r="BS295">
        <v>230.5</v>
      </c>
      <c r="BT295">
        <v>472.3</v>
      </c>
      <c r="BU295">
        <v>537.29999999999995</v>
      </c>
      <c r="BV295">
        <v>346.3</v>
      </c>
      <c r="BW295">
        <v>386.2</v>
      </c>
      <c r="BX295">
        <v>767</v>
      </c>
      <c r="BY295">
        <v>757.2</v>
      </c>
      <c r="BZ295">
        <v>1037.2</v>
      </c>
      <c r="CA295">
        <v>1227.0999999999999</v>
      </c>
      <c r="CB295">
        <v>1232.0999999999999</v>
      </c>
      <c r="CC295">
        <v>1701.5</v>
      </c>
      <c r="CD295">
        <v>0</v>
      </c>
      <c r="CG295">
        <v>1385.3</v>
      </c>
      <c r="CJ295">
        <v>1630.2999999999997</v>
      </c>
      <c r="CM295">
        <v>1184.2</v>
      </c>
      <c r="CO295">
        <v>1248.0999999999999</v>
      </c>
      <c r="CQ295">
        <v>1435.3</v>
      </c>
      <c r="CR295">
        <v>798.2</v>
      </c>
      <c r="CS295">
        <v>923.8</v>
      </c>
      <c r="CT295">
        <v>0</v>
      </c>
      <c r="CU295">
        <v>0</v>
      </c>
      <c r="CV295">
        <v>0</v>
      </c>
      <c r="CW295">
        <v>0</v>
      </c>
      <c r="CX295">
        <v>163.69999999999999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I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G295" t="e">
        <v>#N/A</v>
      </c>
      <c r="FI295" t="e">
        <v>#N/A</v>
      </c>
      <c r="FK295" t="e">
        <v>#N/A</v>
      </c>
      <c r="FM295" t="e">
        <v>#N/A</v>
      </c>
      <c r="FO295" t="e">
        <v>#N/A</v>
      </c>
      <c r="FQ295" t="e">
        <v>#N/A</v>
      </c>
      <c r="FS295" t="e">
        <v>#N/A</v>
      </c>
      <c r="FU295" t="e">
        <v>#N/A</v>
      </c>
      <c r="FW295" t="e">
        <v>#N/A</v>
      </c>
      <c r="FY295" t="e">
        <v>#N/A</v>
      </c>
      <c r="GA295" t="e">
        <v>#N/A</v>
      </c>
      <c r="GC295" t="e">
        <v>#N/A</v>
      </c>
      <c r="GE295" t="e">
        <v>#N/A</v>
      </c>
      <c r="GG295" t="e">
        <v>#N/A</v>
      </c>
      <c r="GI295" t="e">
        <v>#N/A</v>
      </c>
      <c r="GK295" t="e">
        <v>#N/A</v>
      </c>
      <c r="GM295" t="e">
        <v>#N/A</v>
      </c>
      <c r="GO295" t="e">
        <v>#N/A</v>
      </c>
      <c r="GQ295" t="e">
        <v>#N/A</v>
      </c>
      <c r="GS295" t="e">
        <v>#N/A</v>
      </c>
      <c r="GU295" t="e">
        <v>#N/A</v>
      </c>
      <c r="GW295" t="e">
        <v>#N/A</v>
      </c>
      <c r="GY295" t="e">
        <v>#N/A</v>
      </c>
      <c r="HA295" t="e">
        <v>#N/A</v>
      </c>
      <c r="HC295">
        <v>0</v>
      </c>
      <c r="HD295">
        <v>0</v>
      </c>
      <c r="HE295">
        <v>0</v>
      </c>
      <c r="HF295">
        <v>0</v>
      </c>
      <c r="HG295">
        <v>0</v>
      </c>
      <c r="HH295">
        <v>0</v>
      </c>
      <c r="HI295">
        <v>0</v>
      </c>
      <c r="HJ295">
        <v>0</v>
      </c>
      <c r="HM295">
        <v>0</v>
      </c>
      <c r="HN295">
        <v>0</v>
      </c>
      <c r="HO295">
        <v>0</v>
      </c>
      <c r="HP295">
        <v>0</v>
      </c>
      <c r="HQ295">
        <v>0</v>
      </c>
      <c r="HR295">
        <v>0</v>
      </c>
      <c r="HS295">
        <v>0</v>
      </c>
      <c r="HT295">
        <v>0</v>
      </c>
      <c r="HW295">
        <v>0</v>
      </c>
      <c r="HX295">
        <v>0</v>
      </c>
      <c r="HY295">
        <v>0</v>
      </c>
      <c r="HZ295">
        <v>0</v>
      </c>
      <c r="IA295">
        <v>3930.6</v>
      </c>
      <c r="IB295">
        <v>3632.9</v>
      </c>
      <c r="IC295">
        <v>3795.5</v>
      </c>
      <c r="ID295">
        <v>0</v>
      </c>
      <c r="IE295">
        <v>0</v>
      </c>
      <c r="IF295">
        <v>3548.5</v>
      </c>
      <c r="IG295">
        <v>3395.2</v>
      </c>
      <c r="IH295">
        <v>3395.4</v>
      </c>
      <c r="II295">
        <v>3302.3</v>
      </c>
      <c r="IJ295">
        <v>3172.8</v>
      </c>
      <c r="IK295">
        <v>0</v>
      </c>
      <c r="IL295">
        <v>0</v>
      </c>
      <c r="IM295">
        <v>0</v>
      </c>
      <c r="IN295">
        <v>0</v>
      </c>
      <c r="IO295">
        <v>123.4</v>
      </c>
      <c r="IP295">
        <v>405.2</v>
      </c>
      <c r="IQ295">
        <v>418.7</v>
      </c>
      <c r="IR295">
        <v>0</v>
      </c>
      <c r="IS295">
        <v>0</v>
      </c>
      <c r="IT295">
        <v>0</v>
      </c>
      <c r="IU295">
        <v>0</v>
      </c>
      <c r="IV295">
        <v>396</v>
      </c>
      <c r="IW295">
        <v>0</v>
      </c>
      <c r="IX295">
        <v>0</v>
      </c>
      <c r="IZ295">
        <v>0</v>
      </c>
      <c r="JA295">
        <v>65.5</v>
      </c>
      <c r="JB295">
        <v>443.5</v>
      </c>
      <c r="JC295">
        <v>0</v>
      </c>
      <c r="JD295">
        <v>0</v>
      </c>
      <c r="JE295">
        <v>0</v>
      </c>
      <c r="JF295">
        <v>0</v>
      </c>
      <c r="JG295">
        <v>0</v>
      </c>
      <c r="JH295">
        <v>0</v>
      </c>
      <c r="JI295">
        <v>0</v>
      </c>
      <c r="JJ295">
        <v>0</v>
      </c>
      <c r="JK295">
        <v>0</v>
      </c>
      <c r="JL295">
        <v>0</v>
      </c>
      <c r="JM295">
        <v>0</v>
      </c>
      <c r="JN295">
        <v>0</v>
      </c>
      <c r="JO295">
        <v>0</v>
      </c>
      <c r="JP295">
        <v>0</v>
      </c>
      <c r="JQ295">
        <v>0</v>
      </c>
      <c r="JR295">
        <v>0</v>
      </c>
      <c r="JS295">
        <v>0</v>
      </c>
      <c r="JT295">
        <v>0</v>
      </c>
      <c r="JU295">
        <v>0</v>
      </c>
      <c r="JV295">
        <v>0</v>
      </c>
      <c r="JW295">
        <v>0</v>
      </c>
      <c r="JX295">
        <v>0</v>
      </c>
      <c r="JY295">
        <v>0</v>
      </c>
      <c r="JZ295">
        <v>0</v>
      </c>
      <c r="KA295">
        <v>0</v>
      </c>
      <c r="KB295">
        <v>0</v>
      </c>
      <c r="KC295">
        <v>0</v>
      </c>
      <c r="KD295">
        <v>0</v>
      </c>
      <c r="KE295">
        <v>0</v>
      </c>
      <c r="KF295">
        <v>0</v>
      </c>
      <c r="KI295">
        <v>344.6</v>
      </c>
      <c r="KJ295">
        <v>350.8</v>
      </c>
      <c r="KK295">
        <v>22.1</v>
      </c>
      <c r="KL295">
        <v>379.3</v>
      </c>
      <c r="KM295">
        <v>241.4</v>
      </c>
      <c r="KN295">
        <v>0</v>
      </c>
      <c r="KO295">
        <v>0</v>
      </c>
      <c r="KP295">
        <v>57.3</v>
      </c>
      <c r="KQ295">
        <v>224.4</v>
      </c>
      <c r="KR295">
        <v>338.3</v>
      </c>
      <c r="KS295">
        <v>215.8</v>
      </c>
      <c r="KT295">
        <v>40.700000000000003</v>
      </c>
      <c r="KW295">
        <v>2154.5</v>
      </c>
      <c r="KX295">
        <v>1255.7</v>
      </c>
      <c r="KY295">
        <v>1630.1</v>
      </c>
      <c r="KZ295">
        <v>1246.9000000000001</v>
      </c>
      <c r="LB295">
        <v>78.099999999999994</v>
      </c>
      <c r="LC295">
        <v>77.7</v>
      </c>
    </row>
    <row r="296" spans="1:315" ht="18" thickBot="1">
      <c r="A296" s="255"/>
      <c r="B296" s="555" t="s">
        <v>582</v>
      </c>
      <c r="C296" s="231" t="s">
        <v>654</v>
      </c>
      <c r="D296" s="277" t="s">
        <v>823</v>
      </c>
      <c r="E296" s="446">
        <v>0</v>
      </c>
      <c r="F296" s="201">
        <v>0</v>
      </c>
      <c r="G296" s="427">
        <v>3413.8</v>
      </c>
      <c r="H296" s="155"/>
      <c r="I296">
        <v>735</v>
      </c>
      <c r="K296">
        <v>1973.1000000000001</v>
      </c>
      <c r="L296" s="4">
        <v>221.60000000000002</v>
      </c>
      <c r="M296" s="4">
        <v>54.9</v>
      </c>
      <c r="N296" s="4">
        <v>1989.7</v>
      </c>
      <c r="P296">
        <v>0</v>
      </c>
      <c r="Q296">
        <v>238.29999999999998</v>
      </c>
      <c r="R296">
        <v>0</v>
      </c>
      <c r="S296">
        <v>0</v>
      </c>
      <c r="T296">
        <v>368.5</v>
      </c>
      <c r="W296">
        <v>720.3</v>
      </c>
      <c r="X296">
        <v>1411.5</v>
      </c>
      <c r="Y296">
        <v>96.5</v>
      </c>
      <c r="AA296">
        <v>859.6</v>
      </c>
      <c r="AB296">
        <v>1577.6000000000001</v>
      </c>
      <c r="AE296">
        <v>1330</v>
      </c>
      <c r="AF296">
        <v>1025.5</v>
      </c>
      <c r="AH296">
        <v>509.9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1349.3</v>
      </c>
      <c r="AO296">
        <v>786.40000000000009</v>
      </c>
      <c r="AP296">
        <v>0</v>
      </c>
      <c r="AQ296">
        <v>68.3</v>
      </c>
      <c r="AR296">
        <v>234.9</v>
      </c>
      <c r="AS296">
        <v>600.40000000000009</v>
      </c>
      <c r="AU296">
        <v>985.69999999999993</v>
      </c>
      <c r="AW296">
        <v>792</v>
      </c>
      <c r="AX296">
        <v>1988.5</v>
      </c>
      <c r="AZ296">
        <v>763.5</v>
      </c>
      <c r="BA296">
        <v>0</v>
      </c>
      <c r="BB296">
        <v>0</v>
      </c>
      <c r="BC296">
        <v>1935.3</v>
      </c>
      <c r="BD296">
        <v>1006.5</v>
      </c>
      <c r="BE296">
        <v>0</v>
      </c>
      <c r="BF296">
        <v>0</v>
      </c>
      <c r="BG296">
        <v>0</v>
      </c>
      <c r="BH296">
        <v>1662.6</v>
      </c>
      <c r="BJ296">
        <v>0</v>
      </c>
      <c r="BK296">
        <v>0</v>
      </c>
      <c r="BL296">
        <v>1038.9000000000001</v>
      </c>
      <c r="BM296">
        <v>1101</v>
      </c>
      <c r="BO296">
        <v>1276.8000000000002</v>
      </c>
      <c r="BQ296">
        <v>0</v>
      </c>
      <c r="BR296">
        <v>270.7</v>
      </c>
      <c r="BS296">
        <v>230.5</v>
      </c>
      <c r="BT296">
        <v>472.3</v>
      </c>
      <c r="BU296">
        <v>537.29999999999995</v>
      </c>
      <c r="BV296">
        <v>346.3</v>
      </c>
      <c r="BW296">
        <v>386.2</v>
      </c>
      <c r="BX296">
        <v>767</v>
      </c>
      <c r="BY296">
        <v>757.2</v>
      </c>
      <c r="BZ296">
        <v>1037.2</v>
      </c>
      <c r="CA296">
        <v>1227.0999999999999</v>
      </c>
      <c r="CB296">
        <v>1232.0999999999999</v>
      </c>
      <c r="CC296">
        <v>1701.5</v>
      </c>
      <c r="CD296">
        <v>0</v>
      </c>
      <c r="CG296">
        <v>1385.3</v>
      </c>
      <c r="CJ296">
        <v>1630.2999999999997</v>
      </c>
      <c r="CM296">
        <v>1184.2</v>
      </c>
      <c r="CO296">
        <v>1248.0999999999999</v>
      </c>
      <c r="CQ296">
        <v>1435.3</v>
      </c>
      <c r="CR296">
        <v>798.2</v>
      </c>
      <c r="CS296">
        <v>923.8</v>
      </c>
      <c r="CT296">
        <v>0</v>
      </c>
      <c r="CU296">
        <v>0</v>
      </c>
      <c r="CV296">
        <v>0</v>
      </c>
      <c r="CW296">
        <v>0</v>
      </c>
      <c r="CX296">
        <v>163.69999999999999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I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G296" t="e">
        <v>#N/A</v>
      </c>
      <c r="FI296" t="e">
        <v>#N/A</v>
      </c>
      <c r="FK296" t="e">
        <v>#N/A</v>
      </c>
      <c r="FM296" t="e">
        <v>#N/A</v>
      </c>
      <c r="FO296" t="e">
        <v>#N/A</v>
      </c>
      <c r="FQ296" t="e">
        <v>#N/A</v>
      </c>
      <c r="FS296" t="e">
        <v>#N/A</v>
      </c>
      <c r="FU296" t="e">
        <v>#N/A</v>
      </c>
      <c r="FW296" t="e">
        <v>#N/A</v>
      </c>
      <c r="FY296" t="e">
        <v>#N/A</v>
      </c>
      <c r="GA296" t="e">
        <v>#N/A</v>
      </c>
      <c r="GC296" t="e">
        <v>#N/A</v>
      </c>
      <c r="GE296" t="e">
        <v>#N/A</v>
      </c>
      <c r="GG296" t="e">
        <v>#N/A</v>
      </c>
      <c r="GI296" t="e">
        <v>#N/A</v>
      </c>
      <c r="GK296" t="e">
        <v>#N/A</v>
      </c>
      <c r="GM296" t="e">
        <v>#N/A</v>
      </c>
      <c r="GO296" t="e">
        <v>#N/A</v>
      </c>
      <c r="GQ296" t="e">
        <v>#N/A</v>
      </c>
      <c r="GS296" t="e">
        <v>#N/A</v>
      </c>
      <c r="GU296" t="e">
        <v>#N/A</v>
      </c>
      <c r="GW296" t="e">
        <v>#N/A</v>
      </c>
      <c r="GY296" t="e">
        <v>#N/A</v>
      </c>
      <c r="HA296" t="e">
        <v>#N/A</v>
      </c>
      <c r="HC296">
        <v>0</v>
      </c>
      <c r="HD296">
        <v>0</v>
      </c>
      <c r="HE296">
        <v>0</v>
      </c>
      <c r="HF296">
        <v>0</v>
      </c>
      <c r="HG296">
        <v>0</v>
      </c>
      <c r="HH296">
        <v>0</v>
      </c>
      <c r="HI296">
        <v>0</v>
      </c>
      <c r="HJ296">
        <v>0</v>
      </c>
      <c r="HM296">
        <v>0</v>
      </c>
      <c r="HN296">
        <v>0</v>
      </c>
      <c r="HO296">
        <v>0</v>
      </c>
      <c r="HP296">
        <v>0</v>
      </c>
      <c r="HQ296">
        <v>0</v>
      </c>
      <c r="HR296">
        <v>0</v>
      </c>
      <c r="HS296">
        <v>0</v>
      </c>
      <c r="HT296">
        <v>0</v>
      </c>
      <c r="HW296">
        <v>0</v>
      </c>
      <c r="HX296">
        <v>0</v>
      </c>
      <c r="HY296">
        <v>0</v>
      </c>
      <c r="HZ296">
        <v>0</v>
      </c>
      <c r="IA296">
        <v>3930.6</v>
      </c>
      <c r="IB296">
        <v>3632.9</v>
      </c>
      <c r="IC296">
        <v>3795.5</v>
      </c>
      <c r="ID296">
        <v>0</v>
      </c>
      <c r="IE296">
        <v>0</v>
      </c>
      <c r="IF296">
        <v>3548.5</v>
      </c>
      <c r="IG296">
        <v>3395.2</v>
      </c>
      <c r="IH296">
        <v>3395.4</v>
      </c>
      <c r="II296">
        <v>3302.3</v>
      </c>
      <c r="IJ296">
        <v>3172.8</v>
      </c>
      <c r="IK296">
        <v>0</v>
      </c>
      <c r="IL296">
        <v>0</v>
      </c>
      <c r="IM296">
        <v>0</v>
      </c>
      <c r="IN296">
        <v>0</v>
      </c>
      <c r="IO296">
        <v>123.4</v>
      </c>
      <c r="IP296">
        <v>405.2</v>
      </c>
      <c r="IQ296">
        <v>418.7</v>
      </c>
      <c r="IR296">
        <v>0</v>
      </c>
      <c r="IS296">
        <v>0</v>
      </c>
      <c r="IT296">
        <v>0</v>
      </c>
      <c r="IU296">
        <v>0</v>
      </c>
      <c r="IV296">
        <v>396</v>
      </c>
      <c r="IW296">
        <v>0</v>
      </c>
      <c r="IX296">
        <v>0</v>
      </c>
      <c r="IZ296">
        <v>0</v>
      </c>
      <c r="JA296">
        <v>65.5</v>
      </c>
      <c r="JB296">
        <v>443.5</v>
      </c>
      <c r="JC296">
        <v>0</v>
      </c>
      <c r="JD296">
        <v>0</v>
      </c>
      <c r="JE296">
        <v>0</v>
      </c>
      <c r="JF296">
        <v>0</v>
      </c>
      <c r="JG296">
        <v>0</v>
      </c>
      <c r="JH296">
        <v>0</v>
      </c>
      <c r="JI296">
        <v>0</v>
      </c>
      <c r="JJ296">
        <v>0</v>
      </c>
      <c r="JK296">
        <v>0</v>
      </c>
      <c r="JL296">
        <v>0</v>
      </c>
      <c r="JM296">
        <v>0</v>
      </c>
      <c r="JN296">
        <v>0</v>
      </c>
      <c r="JO296">
        <v>0</v>
      </c>
      <c r="JP296">
        <v>0</v>
      </c>
      <c r="JQ296">
        <v>0</v>
      </c>
      <c r="JR296">
        <v>0</v>
      </c>
      <c r="JS296">
        <v>0</v>
      </c>
      <c r="JT296">
        <v>0</v>
      </c>
      <c r="JU296">
        <v>0</v>
      </c>
      <c r="JV296">
        <v>0</v>
      </c>
      <c r="JW296">
        <v>0</v>
      </c>
      <c r="JX296">
        <v>0</v>
      </c>
      <c r="JY296">
        <v>0</v>
      </c>
      <c r="JZ296">
        <v>0</v>
      </c>
      <c r="KA296">
        <v>0</v>
      </c>
      <c r="KB296">
        <v>0</v>
      </c>
      <c r="KC296">
        <v>0</v>
      </c>
      <c r="KD296">
        <v>0</v>
      </c>
      <c r="KE296">
        <v>0</v>
      </c>
      <c r="KF296">
        <v>0</v>
      </c>
      <c r="KI296">
        <v>344.6</v>
      </c>
      <c r="KJ296">
        <v>350.8</v>
      </c>
      <c r="KK296">
        <v>22.1</v>
      </c>
      <c r="KL296">
        <v>379.3</v>
      </c>
      <c r="KM296">
        <v>241.4</v>
      </c>
      <c r="KN296">
        <v>0</v>
      </c>
      <c r="KO296">
        <v>0</v>
      </c>
      <c r="KP296">
        <v>57.3</v>
      </c>
      <c r="KQ296">
        <v>224.4</v>
      </c>
      <c r="KR296">
        <v>338.3</v>
      </c>
      <c r="KS296">
        <v>215.8</v>
      </c>
      <c r="KT296">
        <v>40.700000000000003</v>
      </c>
      <c r="KW296">
        <v>2154.5</v>
      </c>
      <c r="KX296">
        <v>1255.7</v>
      </c>
      <c r="KY296">
        <v>1630.1</v>
      </c>
      <c r="KZ296">
        <v>1246.9000000000001</v>
      </c>
      <c r="LB296">
        <v>78.099999999999994</v>
      </c>
      <c r="LC296">
        <v>77.7</v>
      </c>
    </row>
    <row r="297" spans="1:315" ht="18" thickBot="1">
      <c r="A297" s="257"/>
      <c r="B297" s="556"/>
      <c r="C297" s="233"/>
      <c r="D297" s="279"/>
      <c r="E297" s="437">
        <v>0</v>
      </c>
      <c r="F297" s="191">
        <v>0</v>
      </c>
      <c r="G297" s="427">
        <v>3413.8</v>
      </c>
      <c r="H297" s="155"/>
      <c r="I297">
        <v>735</v>
      </c>
      <c r="K297">
        <v>1973.1000000000001</v>
      </c>
      <c r="L297" s="4">
        <v>221.60000000000002</v>
      </c>
      <c r="M297" s="4">
        <v>54.9</v>
      </c>
      <c r="N297" s="4">
        <v>1989.7</v>
      </c>
      <c r="P297">
        <v>0</v>
      </c>
      <c r="Q297">
        <v>238.29999999999998</v>
      </c>
      <c r="R297">
        <v>0</v>
      </c>
      <c r="S297">
        <v>0</v>
      </c>
      <c r="T297">
        <v>368.5</v>
      </c>
      <c r="W297">
        <v>720.3</v>
      </c>
      <c r="X297">
        <v>1411.5</v>
      </c>
      <c r="Y297">
        <v>96.5</v>
      </c>
      <c r="AA297">
        <v>859.6</v>
      </c>
      <c r="AB297">
        <v>1577.6000000000001</v>
      </c>
      <c r="AE297">
        <v>1330</v>
      </c>
      <c r="AF297">
        <v>1025.5</v>
      </c>
      <c r="AH297">
        <v>509.9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1349.3</v>
      </c>
      <c r="AO297">
        <v>786.40000000000009</v>
      </c>
      <c r="AP297">
        <v>0</v>
      </c>
      <c r="AQ297">
        <v>68.3</v>
      </c>
      <c r="AR297">
        <v>234.9</v>
      </c>
      <c r="AS297">
        <v>600.40000000000009</v>
      </c>
      <c r="AU297">
        <v>985.69999999999993</v>
      </c>
      <c r="AW297">
        <v>792</v>
      </c>
      <c r="AX297">
        <v>1988.5</v>
      </c>
      <c r="AZ297">
        <v>763.5</v>
      </c>
      <c r="BA297">
        <v>0</v>
      </c>
      <c r="BB297">
        <v>0</v>
      </c>
      <c r="BC297">
        <v>1935.3</v>
      </c>
      <c r="BD297">
        <v>1006.5</v>
      </c>
      <c r="BE297">
        <v>0</v>
      </c>
      <c r="BF297">
        <v>0</v>
      </c>
      <c r="BG297">
        <v>0</v>
      </c>
      <c r="BH297">
        <v>1662.6</v>
      </c>
      <c r="BJ297">
        <v>0</v>
      </c>
      <c r="BK297">
        <v>0</v>
      </c>
      <c r="BL297">
        <v>1038.9000000000001</v>
      </c>
      <c r="BM297">
        <v>1101</v>
      </c>
      <c r="BO297">
        <v>1276.8000000000002</v>
      </c>
      <c r="BQ297">
        <v>0</v>
      </c>
      <c r="BR297">
        <v>270.7</v>
      </c>
      <c r="BS297">
        <v>230.5</v>
      </c>
      <c r="BT297">
        <v>472.3</v>
      </c>
      <c r="BU297">
        <v>537.29999999999995</v>
      </c>
      <c r="BV297">
        <v>346.3</v>
      </c>
      <c r="BW297">
        <v>386.2</v>
      </c>
      <c r="BX297">
        <v>767</v>
      </c>
      <c r="BY297">
        <v>757.2</v>
      </c>
      <c r="BZ297">
        <v>1037.2</v>
      </c>
      <c r="CA297">
        <v>1227.0999999999999</v>
      </c>
      <c r="CB297">
        <v>1232.0999999999999</v>
      </c>
      <c r="CC297">
        <v>1701.5</v>
      </c>
      <c r="CD297">
        <v>0</v>
      </c>
      <c r="CG297">
        <v>1385.3</v>
      </c>
      <c r="CJ297">
        <v>1630.2999999999997</v>
      </c>
      <c r="CM297">
        <v>1184.2</v>
      </c>
      <c r="CO297">
        <v>1248.0999999999999</v>
      </c>
      <c r="CQ297">
        <v>1435.3</v>
      </c>
      <c r="CR297">
        <v>798.2</v>
      </c>
      <c r="CS297">
        <v>923.8</v>
      </c>
      <c r="CT297">
        <v>0</v>
      </c>
      <c r="CU297">
        <v>0</v>
      </c>
      <c r="CV297">
        <v>0</v>
      </c>
      <c r="CW297">
        <v>0</v>
      </c>
      <c r="CX297">
        <v>163.69999999999999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I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G297" t="e">
        <v>#N/A</v>
      </c>
      <c r="FI297" t="e">
        <v>#N/A</v>
      </c>
      <c r="FK297" t="e">
        <v>#N/A</v>
      </c>
      <c r="FM297" t="e">
        <v>#N/A</v>
      </c>
      <c r="FO297" t="e">
        <v>#N/A</v>
      </c>
      <c r="FQ297" t="e">
        <v>#N/A</v>
      </c>
      <c r="FS297" t="e">
        <v>#N/A</v>
      </c>
      <c r="FU297" t="e">
        <v>#N/A</v>
      </c>
      <c r="FW297" t="e">
        <v>#N/A</v>
      </c>
      <c r="FY297" t="e">
        <v>#N/A</v>
      </c>
      <c r="GA297" t="e">
        <v>#N/A</v>
      </c>
      <c r="GC297" t="e">
        <v>#N/A</v>
      </c>
      <c r="GE297" t="e">
        <v>#N/A</v>
      </c>
      <c r="GG297" t="e">
        <v>#N/A</v>
      </c>
      <c r="GI297" t="e">
        <v>#N/A</v>
      </c>
      <c r="GK297" t="e">
        <v>#N/A</v>
      </c>
      <c r="GM297" t="e">
        <v>#N/A</v>
      </c>
      <c r="GO297" t="e">
        <v>#N/A</v>
      </c>
      <c r="GQ297" t="e">
        <v>#N/A</v>
      </c>
      <c r="GS297" t="e">
        <v>#N/A</v>
      </c>
      <c r="GU297" t="e">
        <v>#N/A</v>
      </c>
      <c r="GW297" t="e">
        <v>#N/A</v>
      </c>
      <c r="GY297" t="e">
        <v>#N/A</v>
      </c>
      <c r="HA297" t="e">
        <v>#N/A</v>
      </c>
      <c r="HC297">
        <v>0</v>
      </c>
      <c r="HD297">
        <v>0</v>
      </c>
      <c r="HE297">
        <v>0</v>
      </c>
      <c r="HF297">
        <v>0</v>
      </c>
      <c r="HG297">
        <v>0</v>
      </c>
      <c r="HH297">
        <v>0</v>
      </c>
      <c r="HI297">
        <v>0</v>
      </c>
      <c r="HJ297">
        <v>0</v>
      </c>
      <c r="HM297">
        <v>0</v>
      </c>
      <c r="HN297">
        <v>0</v>
      </c>
      <c r="HO297">
        <v>0</v>
      </c>
      <c r="HP297">
        <v>0</v>
      </c>
      <c r="HQ297">
        <v>0</v>
      </c>
      <c r="HR297">
        <v>0</v>
      </c>
      <c r="HS297">
        <v>0</v>
      </c>
      <c r="HT297">
        <v>0</v>
      </c>
      <c r="HW297">
        <v>0</v>
      </c>
      <c r="HX297">
        <v>0</v>
      </c>
      <c r="HY297">
        <v>0</v>
      </c>
      <c r="HZ297">
        <v>0</v>
      </c>
      <c r="IA297">
        <v>3930.6</v>
      </c>
      <c r="IB297">
        <v>3632.9</v>
      </c>
      <c r="IC297">
        <v>3795.5</v>
      </c>
      <c r="ID297">
        <v>0</v>
      </c>
      <c r="IE297">
        <v>0</v>
      </c>
      <c r="IF297">
        <v>3548.5</v>
      </c>
      <c r="IG297">
        <v>3395.2</v>
      </c>
      <c r="IH297">
        <v>3395.4</v>
      </c>
      <c r="II297">
        <v>3302.3</v>
      </c>
      <c r="IJ297">
        <v>3172.8</v>
      </c>
      <c r="IK297">
        <v>0</v>
      </c>
      <c r="IL297">
        <v>0</v>
      </c>
      <c r="IM297">
        <v>0</v>
      </c>
      <c r="IN297">
        <v>0</v>
      </c>
      <c r="IO297">
        <v>123.4</v>
      </c>
      <c r="IP297">
        <v>405.2</v>
      </c>
      <c r="IQ297">
        <v>418.7</v>
      </c>
      <c r="IR297">
        <v>0</v>
      </c>
      <c r="IS297">
        <v>0</v>
      </c>
      <c r="IT297">
        <v>0</v>
      </c>
      <c r="IU297">
        <v>0</v>
      </c>
      <c r="IV297">
        <v>396</v>
      </c>
      <c r="IW297">
        <v>0</v>
      </c>
      <c r="IX297">
        <v>0</v>
      </c>
      <c r="IZ297">
        <v>0</v>
      </c>
      <c r="JA297">
        <v>65.5</v>
      </c>
      <c r="JB297">
        <v>443.5</v>
      </c>
      <c r="JC297">
        <v>0</v>
      </c>
      <c r="JD297">
        <v>0</v>
      </c>
      <c r="JE297">
        <v>0</v>
      </c>
      <c r="JF297">
        <v>0</v>
      </c>
      <c r="JG297">
        <v>0</v>
      </c>
      <c r="JH297">
        <v>0</v>
      </c>
      <c r="JI297">
        <v>0</v>
      </c>
      <c r="JJ297">
        <v>0</v>
      </c>
      <c r="JK297">
        <v>0</v>
      </c>
      <c r="JL297">
        <v>0</v>
      </c>
      <c r="JM297">
        <v>0</v>
      </c>
      <c r="JN297">
        <v>0</v>
      </c>
      <c r="JO297">
        <v>0</v>
      </c>
      <c r="JP297">
        <v>0</v>
      </c>
      <c r="JQ297">
        <v>0</v>
      </c>
      <c r="JR297">
        <v>0</v>
      </c>
      <c r="JS297">
        <v>0</v>
      </c>
      <c r="JT297">
        <v>0</v>
      </c>
      <c r="JU297">
        <v>0</v>
      </c>
      <c r="JV297">
        <v>0</v>
      </c>
      <c r="JW297">
        <v>0</v>
      </c>
      <c r="JX297">
        <v>0</v>
      </c>
      <c r="JY297">
        <v>0</v>
      </c>
      <c r="JZ297">
        <v>0</v>
      </c>
      <c r="KA297">
        <v>0</v>
      </c>
      <c r="KB297">
        <v>0</v>
      </c>
      <c r="KC297">
        <v>0</v>
      </c>
      <c r="KD297">
        <v>0</v>
      </c>
      <c r="KE297">
        <v>0</v>
      </c>
      <c r="KF297">
        <v>0</v>
      </c>
      <c r="KI297">
        <v>344.6</v>
      </c>
      <c r="KJ297">
        <v>350.8</v>
      </c>
      <c r="KK297">
        <v>22.1</v>
      </c>
      <c r="KL297">
        <v>379.3</v>
      </c>
      <c r="KM297">
        <v>241.4</v>
      </c>
      <c r="KN297">
        <v>0</v>
      </c>
      <c r="KO297">
        <v>0</v>
      </c>
      <c r="KP297">
        <v>57.3</v>
      </c>
      <c r="KQ297">
        <v>224.4</v>
      </c>
      <c r="KR297">
        <v>338.3</v>
      </c>
      <c r="KS297">
        <v>215.8</v>
      </c>
      <c r="KT297">
        <v>40.700000000000003</v>
      </c>
      <c r="KW297">
        <v>2154.5</v>
      </c>
      <c r="KX297">
        <v>1255.7</v>
      </c>
      <c r="KY297">
        <v>1630.1</v>
      </c>
      <c r="KZ297">
        <v>1246.9000000000001</v>
      </c>
      <c r="LB297">
        <v>78.099999999999994</v>
      </c>
      <c r="LC297">
        <v>77.7</v>
      </c>
    </row>
    <row r="298" spans="1:315" ht="18" thickBot="1">
      <c r="A298" s="245"/>
      <c r="B298" s="245" t="s">
        <v>583</v>
      </c>
      <c r="C298" s="230" t="s">
        <v>655</v>
      </c>
      <c r="D298" s="275" t="s">
        <v>823</v>
      </c>
      <c r="E298" s="443">
        <v>0</v>
      </c>
      <c r="F298" s="191">
        <v>0</v>
      </c>
      <c r="G298" s="427">
        <v>3413.8</v>
      </c>
      <c r="H298" s="155"/>
      <c r="I298">
        <v>735</v>
      </c>
      <c r="K298">
        <v>1973.1000000000001</v>
      </c>
      <c r="L298" s="4">
        <v>221.60000000000002</v>
      </c>
      <c r="M298" s="4">
        <v>54.9</v>
      </c>
      <c r="N298" s="4">
        <v>1989.7</v>
      </c>
      <c r="P298">
        <v>0</v>
      </c>
      <c r="Q298">
        <v>238.29999999999998</v>
      </c>
      <c r="R298">
        <v>0</v>
      </c>
      <c r="S298">
        <v>0</v>
      </c>
      <c r="T298">
        <v>368.5</v>
      </c>
      <c r="W298">
        <v>720.3</v>
      </c>
      <c r="X298">
        <v>1411.5</v>
      </c>
      <c r="Y298">
        <v>96.5</v>
      </c>
      <c r="AA298">
        <v>859.6</v>
      </c>
      <c r="AB298">
        <v>1577.6000000000001</v>
      </c>
      <c r="AE298">
        <v>1330</v>
      </c>
      <c r="AF298">
        <v>1025.5</v>
      </c>
      <c r="AH298">
        <v>509.9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1349.3</v>
      </c>
      <c r="AO298">
        <v>786.40000000000009</v>
      </c>
      <c r="AP298">
        <v>0</v>
      </c>
      <c r="AQ298">
        <v>68.3</v>
      </c>
      <c r="AR298">
        <v>234.9</v>
      </c>
      <c r="AS298">
        <v>600.40000000000009</v>
      </c>
      <c r="AU298">
        <v>985.69999999999993</v>
      </c>
      <c r="AW298">
        <v>792</v>
      </c>
      <c r="AX298">
        <v>1988.5</v>
      </c>
      <c r="AZ298">
        <v>763.5</v>
      </c>
      <c r="BA298">
        <v>0</v>
      </c>
      <c r="BB298">
        <v>0</v>
      </c>
      <c r="BC298">
        <v>1935.3</v>
      </c>
      <c r="BD298">
        <v>1006.5</v>
      </c>
      <c r="BE298">
        <v>0</v>
      </c>
      <c r="BF298">
        <v>0</v>
      </c>
      <c r="BG298">
        <v>0</v>
      </c>
      <c r="BH298">
        <v>1662.6</v>
      </c>
      <c r="BJ298">
        <v>0</v>
      </c>
      <c r="BK298">
        <v>0</v>
      </c>
      <c r="BL298">
        <v>1038.9000000000001</v>
      </c>
      <c r="BM298">
        <v>1101</v>
      </c>
      <c r="BO298">
        <v>1276.8000000000002</v>
      </c>
      <c r="BQ298">
        <v>0</v>
      </c>
      <c r="BR298">
        <v>270.7</v>
      </c>
      <c r="BS298">
        <v>230.5</v>
      </c>
      <c r="BT298">
        <v>472.3</v>
      </c>
      <c r="BU298">
        <v>537.29999999999995</v>
      </c>
      <c r="BV298">
        <v>346.3</v>
      </c>
      <c r="BW298">
        <v>386.2</v>
      </c>
      <c r="BX298">
        <v>767</v>
      </c>
      <c r="BY298">
        <v>757.2</v>
      </c>
      <c r="BZ298">
        <v>1037.2</v>
      </c>
      <c r="CA298">
        <v>1227.0999999999999</v>
      </c>
      <c r="CB298">
        <v>1232.0999999999999</v>
      </c>
      <c r="CC298">
        <v>1701.5</v>
      </c>
      <c r="CD298">
        <v>0</v>
      </c>
      <c r="CG298">
        <v>1385.3</v>
      </c>
      <c r="CJ298">
        <v>1630.2999999999997</v>
      </c>
      <c r="CM298">
        <v>1184.2</v>
      </c>
      <c r="CO298">
        <v>1248.0999999999999</v>
      </c>
      <c r="CQ298">
        <v>1435.3</v>
      </c>
      <c r="CR298">
        <v>798.2</v>
      </c>
      <c r="CS298">
        <v>923.8</v>
      </c>
      <c r="CT298">
        <v>0</v>
      </c>
      <c r="CU298">
        <v>0</v>
      </c>
      <c r="CV298">
        <v>0</v>
      </c>
      <c r="CW298">
        <v>0</v>
      </c>
      <c r="CX298">
        <v>163.69999999999999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I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G298" t="e">
        <v>#N/A</v>
      </c>
      <c r="FI298" t="e">
        <v>#N/A</v>
      </c>
      <c r="FK298" t="e">
        <v>#N/A</v>
      </c>
      <c r="FM298" t="e">
        <v>#N/A</v>
      </c>
      <c r="FO298" t="e">
        <v>#N/A</v>
      </c>
      <c r="FQ298" t="e">
        <v>#N/A</v>
      </c>
      <c r="FS298" t="e">
        <v>#N/A</v>
      </c>
      <c r="FU298" t="e">
        <v>#N/A</v>
      </c>
      <c r="FW298" t="e">
        <v>#N/A</v>
      </c>
      <c r="FY298" t="e">
        <v>#N/A</v>
      </c>
      <c r="GA298" t="e">
        <v>#N/A</v>
      </c>
      <c r="GC298" t="e">
        <v>#N/A</v>
      </c>
      <c r="GE298" t="e">
        <v>#N/A</v>
      </c>
      <c r="GG298" t="e">
        <v>#N/A</v>
      </c>
      <c r="GI298" t="e">
        <v>#N/A</v>
      </c>
      <c r="GK298" t="e">
        <v>#N/A</v>
      </c>
      <c r="GM298" t="e">
        <v>#N/A</v>
      </c>
      <c r="GO298" t="e">
        <v>#N/A</v>
      </c>
      <c r="GQ298" t="e">
        <v>#N/A</v>
      </c>
      <c r="GS298" t="e">
        <v>#N/A</v>
      </c>
      <c r="GU298" t="e">
        <v>#N/A</v>
      </c>
      <c r="GW298" t="e">
        <v>#N/A</v>
      </c>
      <c r="GY298" t="e">
        <v>#N/A</v>
      </c>
      <c r="HA298" t="e">
        <v>#N/A</v>
      </c>
      <c r="HC298">
        <v>0</v>
      </c>
      <c r="HD298">
        <v>0</v>
      </c>
      <c r="HE298">
        <v>0</v>
      </c>
      <c r="HF298">
        <v>0</v>
      </c>
      <c r="HG298">
        <v>0</v>
      </c>
      <c r="HH298">
        <v>0</v>
      </c>
      <c r="HI298">
        <v>0</v>
      </c>
      <c r="HJ298">
        <v>0</v>
      </c>
      <c r="HM298">
        <v>0</v>
      </c>
      <c r="HN298">
        <v>0</v>
      </c>
      <c r="HO298">
        <v>0</v>
      </c>
      <c r="HP298">
        <v>0</v>
      </c>
      <c r="HQ298">
        <v>0</v>
      </c>
      <c r="HR298">
        <v>0</v>
      </c>
      <c r="HS298">
        <v>0</v>
      </c>
      <c r="HT298">
        <v>0</v>
      </c>
      <c r="HW298">
        <v>0</v>
      </c>
      <c r="HX298">
        <v>0</v>
      </c>
      <c r="HY298">
        <v>0</v>
      </c>
      <c r="HZ298">
        <v>0</v>
      </c>
      <c r="IA298">
        <v>3930.6</v>
      </c>
      <c r="IB298">
        <v>3632.9</v>
      </c>
      <c r="IC298">
        <v>3795.5</v>
      </c>
      <c r="ID298">
        <v>0</v>
      </c>
      <c r="IE298">
        <v>0</v>
      </c>
      <c r="IF298">
        <v>3548.5</v>
      </c>
      <c r="IG298">
        <v>3395.2</v>
      </c>
      <c r="IH298">
        <v>3395.4</v>
      </c>
      <c r="II298">
        <v>3302.3</v>
      </c>
      <c r="IJ298">
        <v>3172.8</v>
      </c>
      <c r="IK298">
        <v>0</v>
      </c>
      <c r="IL298">
        <v>0</v>
      </c>
      <c r="IM298">
        <v>0</v>
      </c>
      <c r="IN298">
        <v>0</v>
      </c>
      <c r="IO298">
        <v>123.4</v>
      </c>
      <c r="IP298">
        <v>405.2</v>
      </c>
      <c r="IQ298">
        <v>418.7</v>
      </c>
      <c r="IR298">
        <v>0</v>
      </c>
      <c r="IS298">
        <v>0</v>
      </c>
      <c r="IT298">
        <v>0</v>
      </c>
      <c r="IU298">
        <v>0</v>
      </c>
      <c r="IV298">
        <v>396</v>
      </c>
      <c r="IW298">
        <v>0</v>
      </c>
      <c r="IX298">
        <v>0</v>
      </c>
      <c r="IZ298">
        <v>0</v>
      </c>
      <c r="JA298">
        <v>65.5</v>
      </c>
      <c r="JB298">
        <v>443.5</v>
      </c>
      <c r="JC298">
        <v>0</v>
      </c>
      <c r="JD298">
        <v>0</v>
      </c>
      <c r="JE298">
        <v>0</v>
      </c>
      <c r="JF298">
        <v>0</v>
      </c>
      <c r="JG298">
        <v>0</v>
      </c>
      <c r="JH298">
        <v>0</v>
      </c>
      <c r="JI298">
        <v>0</v>
      </c>
      <c r="JJ298">
        <v>0</v>
      </c>
      <c r="JK298">
        <v>0</v>
      </c>
      <c r="JL298">
        <v>0</v>
      </c>
      <c r="JM298">
        <v>0</v>
      </c>
      <c r="JN298">
        <v>0</v>
      </c>
      <c r="JO298">
        <v>0</v>
      </c>
      <c r="JP298">
        <v>0</v>
      </c>
      <c r="JQ298">
        <v>0</v>
      </c>
      <c r="JR298">
        <v>0</v>
      </c>
      <c r="JS298">
        <v>0</v>
      </c>
      <c r="JT298">
        <v>0</v>
      </c>
      <c r="JU298">
        <v>0</v>
      </c>
      <c r="JV298">
        <v>0</v>
      </c>
      <c r="JW298">
        <v>0</v>
      </c>
      <c r="JX298">
        <v>0</v>
      </c>
      <c r="JY298">
        <v>0</v>
      </c>
      <c r="JZ298">
        <v>0</v>
      </c>
      <c r="KA298">
        <v>0</v>
      </c>
      <c r="KB298">
        <v>0</v>
      </c>
      <c r="KC298">
        <v>0</v>
      </c>
      <c r="KD298">
        <v>0</v>
      </c>
      <c r="KE298">
        <v>0</v>
      </c>
      <c r="KF298">
        <v>0</v>
      </c>
      <c r="KI298">
        <v>344.6</v>
      </c>
      <c r="KJ298">
        <v>350.8</v>
      </c>
      <c r="KK298">
        <v>22.1</v>
      </c>
      <c r="KL298">
        <v>379.3</v>
      </c>
      <c r="KM298">
        <v>241.4</v>
      </c>
      <c r="KN298">
        <v>0</v>
      </c>
      <c r="KO298">
        <v>0</v>
      </c>
      <c r="KP298">
        <v>57.3</v>
      </c>
      <c r="KQ298">
        <v>224.4</v>
      </c>
      <c r="KR298">
        <v>338.3</v>
      </c>
      <c r="KS298">
        <v>215.8</v>
      </c>
      <c r="KT298">
        <v>40.700000000000003</v>
      </c>
      <c r="KW298">
        <v>2154.5</v>
      </c>
      <c r="KX298">
        <v>1255.7</v>
      </c>
      <c r="KY298">
        <v>1630.1</v>
      </c>
      <c r="KZ298">
        <v>1246.9000000000001</v>
      </c>
      <c r="LB298">
        <v>78.099999999999994</v>
      </c>
      <c r="LC298">
        <v>77.7</v>
      </c>
    </row>
    <row r="299" spans="1:315" ht="18.600000000000001" thickTop="1" thickBot="1">
      <c r="A299" s="184"/>
      <c r="B299" s="184" t="s">
        <v>584</v>
      </c>
      <c r="C299" s="333" t="s">
        <v>842</v>
      </c>
      <c r="D299" s="287" t="s">
        <v>824</v>
      </c>
      <c r="E299" s="442">
        <v>0</v>
      </c>
      <c r="F299" s="190">
        <v>0</v>
      </c>
      <c r="G299" s="427">
        <v>3413.8</v>
      </c>
      <c r="H299" s="155"/>
      <c r="I299">
        <v>735</v>
      </c>
      <c r="K299">
        <v>1973.1000000000001</v>
      </c>
      <c r="L299" s="4">
        <v>221.60000000000002</v>
      </c>
      <c r="M299" s="4">
        <v>54.9</v>
      </c>
      <c r="N299" s="4">
        <v>1989.7</v>
      </c>
      <c r="P299">
        <v>0</v>
      </c>
      <c r="Q299">
        <v>238.29999999999998</v>
      </c>
      <c r="R299">
        <v>0</v>
      </c>
      <c r="S299">
        <v>0</v>
      </c>
      <c r="T299">
        <v>368.5</v>
      </c>
      <c r="W299">
        <v>720.3</v>
      </c>
      <c r="X299">
        <v>1411.5</v>
      </c>
      <c r="Y299">
        <v>96.5</v>
      </c>
      <c r="AA299">
        <v>859.6</v>
      </c>
      <c r="AB299">
        <v>1577.6000000000001</v>
      </c>
      <c r="AE299">
        <v>1330</v>
      </c>
      <c r="AF299">
        <v>1025.5</v>
      </c>
      <c r="AH299">
        <v>509.9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1349.3</v>
      </c>
      <c r="AO299">
        <v>786.40000000000009</v>
      </c>
      <c r="AP299">
        <v>0</v>
      </c>
      <c r="AQ299">
        <v>68.3</v>
      </c>
      <c r="AR299">
        <v>234.9</v>
      </c>
      <c r="AS299">
        <v>600.40000000000009</v>
      </c>
      <c r="AU299">
        <v>985.69999999999993</v>
      </c>
      <c r="AW299">
        <v>792</v>
      </c>
      <c r="AX299">
        <v>1988.5</v>
      </c>
      <c r="AZ299">
        <v>763.5</v>
      </c>
      <c r="BA299">
        <v>0</v>
      </c>
      <c r="BB299">
        <v>0</v>
      </c>
      <c r="BC299">
        <v>1935.3</v>
      </c>
      <c r="BD299">
        <v>1006.5</v>
      </c>
      <c r="BE299">
        <v>0</v>
      </c>
      <c r="BF299">
        <v>0</v>
      </c>
      <c r="BG299">
        <v>0</v>
      </c>
      <c r="BH299">
        <v>1662.6</v>
      </c>
      <c r="BJ299">
        <v>0</v>
      </c>
      <c r="BK299">
        <v>0</v>
      </c>
      <c r="BL299">
        <v>1038.9000000000001</v>
      </c>
      <c r="BM299">
        <v>1101</v>
      </c>
      <c r="BO299">
        <v>1276.8000000000002</v>
      </c>
      <c r="BQ299">
        <v>0</v>
      </c>
      <c r="BR299">
        <v>270.7</v>
      </c>
      <c r="BS299">
        <v>230.5</v>
      </c>
      <c r="BT299">
        <v>472.3</v>
      </c>
      <c r="BU299">
        <v>537.29999999999995</v>
      </c>
      <c r="BV299">
        <v>346.3</v>
      </c>
      <c r="BW299">
        <v>386.2</v>
      </c>
      <c r="BX299">
        <v>767</v>
      </c>
      <c r="BY299">
        <v>757.2</v>
      </c>
      <c r="BZ299">
        <v>1037.2</v>
      </c>
      <c r="CA299">
        <v>1227.0999999999999</v>
      </c>
      <c r="CB299">
        <v>1232.0999999999999</v>
      </c>
      <c r="CC299">
        <v>1701.5</v>
      </c>
      <c r="CD299">
        <v>0</v>
      </c>
      <c r="CG299">
        <v>1385.3</v>
      </c>
      <c r="CJ299">
        <v>1630.2999999999997</v>
      </c>
      <c r="CM299">
        <v>1184.2</v>
      </c>
      <c r="CO299">
        <v>1248.0999999999999</v>
      </c>
      <c r="CQ299">
        <v>1435.3</v>
      </c>
      <c r="CR299">
        <v>798.2</v>
      </c>
      <c r="CS299">
        <v>923.8</v>
      </c>
      <c r="CT299">
        <v>0</v>
      </c>
      <c r="CU299">
        <v>0</v>
      </c>
      <c r="CV299">
        <v>0</v>
      </c>
      <c r="CW299">
        <v>0</v>
      </c>
      <c r="CX299">
        <v>163.69999999999999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I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G299" t="e">
        <v>#N/A</v>
      </c>
      <c r="FI299" t="e">
        <v>#N/A</v>
      </c>
      <c r="FK299" t="e">
        <v>#N/A</v>
      </c>
      <c r="FM299" t="e">
        <v>#N/A</v>
      </c>
      <c r="FO299" t="e">
        <v>#N/A</v>
      </c>
      <c r="FQ299" t="e">
        <v>#N/A</v>
      </c>
      <c r="FS299" t="e">
        <v>#N/A</v>
      </c>
      <c r="FU299" t="e">
        <v>#N/A</v>
      </c>
      <c r="FW299" t="e">
        <v>#N/A</v>
      </c>
      <c r="FY299" t="e">
        <v>#N/A</v>
      </c>
      <c r="GA299" t="e">
        <v>#N/A</v>
      </c>
      <c r="GC299" t="e">
        <v>#N/A</v>
      </c>
      <c r="GE299" t="e">
        <v>#N/A</v>
      </c>
      <c r="GG299" t="e">
        <v>#N/A</v>
      </c>
      <c r="GI299" t="e">
        <v>#N/A</v>
      </c>
      <c r="GK299" t="e">
        <v>#N/A</v>
      </c>
      <c r="GM299" t="e">
        <v>#N/A</v>
      </c>
      <c r="GO299" t="e">
        <v>#N/A</v>
      </c>
      <c r="GQ299" t="e">
        <v>#N/A</v>
      </c>
      <c r="GS299" t="e">
        <v>#N/A</v>
      </c>
      <c r="GU299" t="e">
        <v>#N/A</v>
      </c>
      <c r="GW299" t="e">
        <v>#N/A</v>
      </c>
      <c r="GY299" t="e">
        <v>#N/A</v>
      </c>
      <c r="HA299" t="e">
        <v>#N/A</v>
      </c>
      <c r="HC299">
        <v>0</v>
      </c>
      <c r="HD299">
        <v>0</v>
      </c>
      <c r="HE299">
        <v>0</v>
      </c>
      <c r="HF299">
        <v>0</v>
      </c>
      <c r="HG299">
        <v>0</v>
      </c>
      <c r="HH299">
        <v>0</v>
      </c>
      <c r="HI299">
        <v>0</v>
      </c>
      <c r="HJ299">
        <v>0</v>
      </c>
      <c r="HM299">
        <v>0</v>
      </c>
      <c r="HN299">
        <v>0</v>
      </c>
      <c r="HO299">
        <v>0</v>
      </c>
      <c r="HP299">
        <v>0</v>
      </c>
      <c r="HQ299">
        <v>0</v>
      </c>
      <c r="HR299">
        <v>0</v>
      </c>
      <c r="HS299">
        <v>0</v>
      </c>
      <c r="HT299">
        <v>0</v>
      </c>
      <c r="HW299">
        <v>0</v>
      </c>
      <c r="HX299">
        <v>0</v>
      </c>
      <c r="HY299">
        <v>0</v>
      </c>
      <c r="HZ299">
        <v>0</v>
      </c>
      <c r="IA299">
        <v>3930.6</v>
      </c>
      <c r="IB299">
        <v>3632.9</v>
      </c>
      <c r="IC299">
        <v>3795.5</v>
      </c>
      <c r="ID299">
        <v>0</v>
      </c>
      <c r="IE299">
        <v>0</v>
      </c>
      <c r="IF299">
        <v>3548.5</v>
      </c>
      <c r="IG299">
        <v>3395.2</v>
      </c>
      <c r="IH299">
        <v>3395.4</v>
      </c>
      <c r="II299">
        <v>3302.3</v>
      </c>
      <c r="IJ299">
        <v>3172.8</v>
      </c>
      <c r="IK299">
        <v>0</v>
      </c>
      <c r="IL299">
        <v>0</v>
      </c>
      <c r="IM299">
        <v>0</v>
      </c>
      <c r="IN299">
        <v>0</v>
      </c>
      <c r="IO299">
        <v>123.4</v>
      </c>
      <c r="IP299">
        <v>405.2</v>
      </c>
      <c r="IQ299">
        <v>418.7</v>
      </c>
      <c r="IR299">
        <v>0</v>
      </c>
      <c r="IS299">
        <v>0</v>
      </c>
      <c r="IT299">
        <v>0</v>
      </c>
      <c r="IU299">
        <v>0</v>
      </c>
      <c r="IV299">
        <v>396</v>
      </c>
      <c r="IW299">
        <v>0</v>
      </c>
      <c r="IX299">
        <v>0</v>
      </c>
      <c r="IZ299">
        <v>0</v>
      </c>
      <c r="JA299">
        <v>65.5</v>
      </c>
      <c r="JB299">
        <v>443.5</v>
      </c>
      <c r="JC299">
        <v>0</v>
      </c>
      <c r="JD299">
        <v>0</v>
      </c>
      <c r="JE299">
        <v>0</v>
      </c>
      <c r="JF299">
        <v>0</v>
      </c>
      <c r="JG299">
        <v>0</v>
      </c>
      <c r="JH299">
        <v>0</v>
      </c>
      <c r="JI299">
        <v>0</v>
      </c>
      <c r="JJ299">
        <v>0</v>
      </c>
      <c r="JK299">
        <v>0</v>
      </c>
      <c r="JL299">
        <v>0</v>
      </c>
      <c r="JM299">
        <v>0</v>
      </c>
      <c r="JN299">
        <v>0</v>
      </c>
      <c r="JO299">
        <v>0</v>
      </c>
      <c r="JP299">
        <v>0</v>
      </c>
      <c r="JQ299">
        <v>0</v>
      </c>
      <c r="JR299">
        <v>0</v>
      </c>
      <c r="JS299">
        <v>0</v>
      </c>
      <c r="JT299">
        <v>0</v>
      </c>
      <c r="JU299">
        <v>0</v>
      </c>
      <c r="JV299">
        <v>0</v>
      </c>
      <c r="JW299">
        <v>0</v>
      </c>
      <c r="JX299">
        <v>0</v>
      </c>
      <c r="JY299">
        <v>0</v>
      </c>
      <c r="JZ299">
        <v>0</v>
      </c>
      <c r="KA299">
        <v>0</v>
      </c>
      <c r="KB299">
        <v>0</v>
      </c>
      <c r="KC299">
        <v>0</v>
      </c>
      <c r="KD299">
        <v>0</v>
      </c>
      <c r="KE299">
        <v>0</v>
      </c>
      <c r="KF299">
        <v>0</v>
      </c>
      <c r="KI299">
        <v>344.6</v>
      </c>
      <c r="KJ299">
        <v>350.8</v>
      </c>
      <c r="KK299">
        <v>22.1</v>
      </c>
      <c r="KL299">
        <v>379.3</v>
      </c>
      <c r="KM299">
        <v>241.4</v>
      </c>
      <c r="KN299">
        <v>0</v>
      </c>
      <c r="KO299">
        <v>0</v>
      </c>
      <c r="KP299">
        <v>57.3</v>
      </c>
      <c r="KQ299">
        <v>224.4</v>
      </c>
      <c r="KR299">
        <v>338.3</v>
      </c>
      <c r="KS299">
        <v>215.8</v>
      </c>
      <c r="KT299">
        <v>40.700000000000003</v>
      </c>
      <c r="KW299">
        <v>2154.5</v>
      </c>
      <c r="KX299">
        <v>1255.7</v>
      </c>
      <c r="KY299">
        <v>1630.1</v>
      </c>
      <c r="KZ299">
        <v>1246.9000000000001</v>
      </c>
      <c r="LB299">
        <v>78.099999999999994</v>
      </c>
      <c r="LC299">
        <v>77.7</v>
      </c>
    </row>
    <row r="300" spans="1:315" ht="18" thickBot="1">
      <c r="A300" s="185"/>
      <c r="B300" s="185" t="s">
        <v>585</v>
      </c>
      <c r="C300" s="230" t="s">
        <v>843</v>
      </c>
      <c r="D300" s="281" t="s">
        <v>656</v>
      </c>
      <c r="E300" s="443">
        <v>0</v>
      </c>
      <c r="F300" s="191">
        <v>0</v>
      </c>
      <c r="G300" s="427">
        <v>3413.8</v>
      </c>
      <c r="H300" s="155"/>
      <c r="I300">
        <v>735</v>
      </c>
      <c r="K300">
        <v>1973.1000000000001</v>
      </c>
      <c r="L300" s="4">
        <v>221.60000000000002</v>
      </c>
      <c r="M300" s="4">
        <v>54.9</v>
      </c>
      <c r="N300" s="4">
        <v>1989.7</v>
      </c>
      <c r="P300">
        <v>0</v>
      </c>
      <c r="Q300">
        <v>238.29999999999998</v>
      </c>
      <c r="R300">
        <v>0</v>
      </c>
      <c r="S300">
        <v>0</v>
      </c>
      <c r="T300">
        <v>368.5</v>
      </c>
      <c r="W300">
        <v>720.3</v>
      </c>
      <c r="X300">
        <v>1411.5</v>
      </c>
      <c r="Y300">
        <v>96.5</v>
      </c>
      <c r="AA300">
        <v>859.6</v>
      </c>
      <c r="AB300">
        <v>1577.6000000000001</v>
      </c>
      <c r="AE300">
        <v>1330</v>
      </c>
      <c r="AF300">
        <v>1025.5</v>
      </c>
      <c r="AH300">
        <v>509.9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1349.3</v>
      </c>
      <c r="AO300">
        <v>786.40000000000009</v>
      </c>
      <c r="AP300">
        <v>0</v>
      </c>
      <c r="AQ300">
        <v>68.3</v>
      </c>
      <c r="AR300">
        <v>234.9</v>
      </c>
      <c r="AS300">
        <v>600.40000000000009</v>
      </c>
      <c r="AU300">
        <v>985.69999999999993</v>
      </c>
      <c r="AW300">
        <v>792</v>
      </c>
      <c r="AX300">
        <v>1988.5</v>
      </c>
      <c r="AZ300">
        <v>763.5</v>
      </c>
      <c r="BA300">
        <v>0</v>
      </c>
      <c r="BB300">
        <v>0</v>
      </c>
      <c r="BC300">
        <v>1935.3</v>
      </c>
      <c r="BD300">
        <v>1006.5</v>
      </c>
      <c r="BE300">
        <v>0</v>
      </c>
      <c r="BF300">
        <v>0</v>
      </c>
      <c r="BG300">
        <v>0</v>
      </c>
      <c r="BH300">
        <v>1662.6</v>
      </c>
      <c r="BJ300">
        <v>0</v>
      </c>
      <c r="BK300">
        <v>0</v>
      </c>
      <c r="BL300">
        <v>1038.9000000000001</v>
      </c>
      <c r="BM300">
        <v>1101</v>
      </c>
      <c r="BO300">
        <v>1276.8000000000002</v>
      </c>
      <c r="BQ300">
        <v>0</v>
      </c>
      <c r="BR300">
        <v>270.7</v>
      </c>
      <c r="BS300">
        <v>230.5</v>
      </c>
      <c r="BT300">
        <v>472.3</v>
      </c>
      <c r="BU300">
        <v>537.29999999999995</v>
      </c>
      <c r="BV300">
        <v>346.3</v>
      </c>
      <c r="BW300">
        <v>386.2</v>
      </c>
      <c r="BX300">
        <v>767</v>
      </c>
      <c r="BY300">
        <v>757.2</v>
      </c>
      <c r="BZ300">
        <v>1037.2</v>
      </c>
      <c r="CA300">
        <v>1227.0999999999999</v>
      </c>
      <c r="CB300">
        <v>1232.0999999999999</v>
      </c>
      <c r="CC300">
        <v>1701.5</v>
      </c>
      <c r="CD300">
        <v>0</v>
      </c>
      <c r="CG300">
        <v>1385.3</v>
      </c>
      <c r="CJ300">
        <v>1630.2999999999997</v>
      </c>
      <c r="CM300">
        <v>1184.2</v>
      </c>
      <c r="CO300">
        <v>1248.0999999999999</v>
      </c>
      <c r="CQ300">
        <v>1435.3</v>
      </c>
      <c r="CR300">
        <v>798.2</v>
      </c>
      <c r="CS300">
        <v>923.8</v>
      </c>
      <c r="CT300">
        <v>0</v>
      </c>
      <c r="CU300">
        <v>0</v>
      </c>
      <c r="CV300">
        <v>0</v>
      </c>
      <c r="CW300">
        <v>0</v>
      </c>
      <c r="CX300">
        <v>163.69999999999999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I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G300" t="e">
        <v>#N/A</v>
      </c>
      <c r="FI300" t="e">
        <v>#N/A</v>
      </c>
      <c r="FK300" t="e">
        <v>#N/A</v>
      </c>
      <c r="FM300" t="e">
        <v>#N/A</v>
      </c>
      <c r="FO300" t="e">
        <v>#N/A</v>
      </c>
      <c r="FQ300" t="e">
        <v>#N/A</v>
      </c>
      <c r="FS300" t="e">
        <v>#N/A</v>
      </c>
      <c r="FU300" t="e">
        <v>#N/A</v>
      </c>
      <c r="FW300" t="e">
        <v>#N/A</v>
      </c>
      <c r="FY300" t="e">
        <v>#N/A</v>
      </c>
      <c r="GA300" t="e">
        <v>#N/A</v>
      </c>
      <c r="GC300" t="e">
        <v>#N/A</v>
      </c>
      <c r="GE300" t="e">
        <v>#N/A</v>
      </c>
      <c r="GG300" t="e">
        <v>#N/A</v>
      </c>
      <c r="GI300" t="e">
        <v>#N/A</v>
      </c>
      <c r="GK300" t="e">
        <v>#N/A</v>
      </c>
      <c r="GM300" t="e">
        <v>#N/A</v>
      </c>
      <c r="GO300" t="e">
        <v>#N/A</v>
      </c>
      <c r="GQ300" t="e">
        <v>#N/A</v>
      </c>
      <c r="GS300" t="e">
        <v>#N/A</v>
      </c>
      <c r="GU300" t="e">
        <v>#N/A</v>
      </c>
      <c r="GW300" t="e">
        <v>#N/A</v>
      </c>
      <c r="GY300" t="e">
        <v>#N/A</v>
      </c>
      <c r="HA300" t="e">
        <v>#N/A</v>
      </c>
      <c r="HC300">
        <v>0</v>
      </c>
      <c r="HD300">
        <v>0</v>
      </c>
      <c r="HE300">
        <v>0</v>
      </c>
      <c r="HF300">
        <v>0</v>
      </c>
      <c r="HG300">
        <v>0</v>
      </c>
      <c r="HH300">
        <v>0</v>
      </c>
      <c r="HI300">
        <v>0</v>
      </c>
      <c r="HJ300">
        <v>0</v>
      </c>
      <c r="HM300">
        <v>0</v>
      </c>
      <c r="HN300">
        <v>0</v>
      </c>
      <c r="HO300">
        <v>0</v>
      </c>
      <c r="HP300">
        <v>0</v>
      </c>
      <c r="HQ300">
        <v>0</v>
      </c>
      <c r="HR300">
        <v>0</v>
      </c>
      <c r="HS300">
        <v>0</v>
      </c>
      <c r="HT300">
        <v>0</v>
      </c>
      <c r="HW300">
        <v>0</v>
      </c>
      <c r="HX300">
        <v>0</v>
      </c>
      <c r="HY300">
        <v>0</v>
      </c>
      <c r="HZ300">
        <v>0</v>
      </c>
      <c r="IA300">
        <v>3930.6</v>
      </c>
      <c r="IB300">
        <v>3632.9</v>
      </c>
      <c r="IC300">
        <v>3795.5</v>
      </c>
      <c r="ID300">
        <v>0</v>
      </c>
      <c r="IE300">
        <v>0</v>
      </c>
      <c r="IF300">
        <v>3548.5</v>
      </c>
      <c r="IG300">
        <v>3395.2</v>
      </c>
      <c r="IH300">
        <v>3395.4</v>
      </c>
      <c r="II300">
        <v>3302.3</v>
      </c>
      <c r="IJ300">
        <v>3172.8</v>
      </c>
      <c r="IK300">
        <v>0</v>
      </c>
      <c r="IL300">
        <v>0</v>
      </c>
      <c r="IM300">
        <v>0</v>
      </c>
      <c r="IN300">
        <v>0</v>
      </c>
      <c r="IO300">
        <v>123.4</v>
      </c>
      <c r="IP300">
        <v>405.2</v>
      </c>
      <c r="IQ300">
        <v>418.7</v>
      </c>
      <c r="IR300">
        <v>0</v>
      </c>
      <c r="IS300">
        <v>0</v>
      </c>
      <c r="IT300">
        <v>0</v>
      </c>
      <c r="IU300">
        <v>0</v>
      </c>
      <c r="IV300">
        <v>396</v>
      </c>
      <c r="IW300">
        <v>0</v>
      </c>
      <c r="IX300">
        <v>0</v>
      </c>
      <c r="IZ300">
        <v>0</v>
      </c>
      <c r="JA300">
        <v>65.5</v>
      </c>
      <c r="JB300">
        <v>443.5</v>
      </c>
      <c r="JC300">
        <v>0</v>
      </c>
      <c r="JD300">
        <v>0</v>
      </c>
      <c r="JE300">
        <v>0</v>
      </c>
      <c r="JF300">
        <v>0</v>
      </c>
      <c r="JG300">
        <v>0</v>
      </c>
      <c r="JH300">
        <v>0</v>
      </c>
      <c r="JI300">
        <v>0</v>
      </c>
      <c r="JJ300">
        <v>0</v>
      </c>
      <c r="JK300">
        <v>0</v>
      </c>
      <c r="JL300">
        <v>0</v>
      </c>
      <c r="JM300">
        <v>0</v>
      </c>
      <c r="JN300">
        <v>0</v>
      </c>
      <c r="JO300">
        <v>0</v>
      </c>
      <c r="JP300">
        <v>0</v>
      </c>
      <c r="JQ300">
        <v>0</v>
      </c>
      <c r="JR300">
        <v>0</v>
      </c>
      <c r="JS300">
        <v>0</v>
      </c>
      <c r="JT300">
        <v>0</v>
      </c>
      <c r="JU300">
        <v>0</v>
      </c>
      <c r="JV300">
        <v>0</v>
      </c>
      <c r="JW300">
        <v>0</v>
      </c>
      <c r="JX300">
        <v>0</v>
      </c>
      <c r="JY300">
        <v>0</v>
      </c>
      <c r="JZ300">
        <v>0</v>
      </c>
      <c r="KA300">
        <v>0</v>
      </c>
      <c r="KB300">
        <v>0</v>
      </c>
      <c r="KC300">
        <v>0</v>
      </c>
      <c r="KD300">
        <v>0</v>
      </c>
      <c r="KE300">
        <v>0</v>
      </c>
      <c r="KF300">
        <v>0</v>
      </c>
      <c r="KI300">
        <v>344.6</v>
      </c>
      <c r="KJ300">
        <v>350.8</v>
      </c>
      <c r="KK300">
        <v>22.1</v>
      </c>
      <c r="KL300">
        <v>379.3</v>
      </c>
      <c r="KM300">
        <v>241.4</v>
      </c>
      <c r="KN300">
        <v>0</v>
      </c>
      <c r="KO300">
        <v>0</v>
      </c>
      <c r="KP300">
        <v>57.3</v>
      </c>
      <c r="KQ300">
        <v>224.4</v>
      </c>
      <c r="KR300">
        <v>338.3</v>
      </c>
      <c r="KS300">
        <v>215.8</v>
      </c>
      <c r="KT300">
        <v>40.700000000000003</v>
      </c>
      <c r="KW300">
        <v>2154.5</v>
      </c>
      <c r="KX300">
        <v>1255.7</v>
      </c>
      <c r="KY300">
        <v>1630.1</v>
      </c>
      <c r="KZ300">
        <v>1246.9000000000001</v>
      </c>
      <c r="LB300">
        <v>78.099999999999994</v>
      </c>
      <c r="LC300">
        <v>77.7</v>
      </c>
    </row>
    <row r="301" spans="1:315" ht="18" thickBot="1">
      <c r="A301" s="185"/>
      <c r="B301" s="185" t="s">
        <v>486</v>
      </c>
      <c r="C301" s="230" t="s">
        <v>844</v>
      </c>
      <c r="D301" s="281" t="s">
        <v>656</v>
      </c>
      <c r="E301" s="443">
        <v>0</v>
      </c>
      <c r="F301" s="191">
        <v>0</v>
      </c>
      <c r="G301" s="427">
        <v>3413.8</v>
      </c>
      <c r="H301" s="155"/>
      <c r="I301">
        <v>735</v>
      </c>
      <c r="K301">
        <v>1973.1000000000001</v>
      </c>
      <c r="L301" s="4">
        <v>221.60000000000002</v>
      </c>
      <c r="M301" s="4">
        <v>54.9</v>
      </c>
      <c r="N301" s="4">
        <v>1989.7</v>
      </c>
      <c r="P301">
        <v>0</v>
      </c>
      <c r="Q301">
        <v>238.29999999999998</v>
      </c>
      <c r="R301">
        <v>0</v>
      </c>
      <c r="S301">
        <v>0</v>
      </c>
      <c r="T301">
        <v>368.5</v>
      </c>
      <c r="W301">
        <v>720.3</v>
      </c>
      <c r="X301">
        <v>1411.5</v>
      </c>
      <c r="Y301">
        <v>96.5</v>
      </c>
      <c r="AA301">
        <v>859.6</v>
      </c>
      <c r="AB301">
        <v>1577.6000000000001</v>
      </c>
      <c r="AE301">
        <v>1330</v>
      </c>
      <c r="AF301">
        <v>1025.5</v>
      </c>
      <c r="AH301">
        <v>509.9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1349.3</v>
      </c>
      <c r="AO301">
        <v>786.40000000000009</v>
      </c>
      <c r="AP301">
        <v>0</v>
      </c>
      <c r="AQ301">
        <v>68.3</v>
      </c>
      <c r="AR301">
        <v>234.9</v>
      </c>
      <c r="AS301">
        <v>600.40000000000009</v>
      </c>
      <c r="AU301">
        <v>985.69999999999993</v>
      </c>
      <c r="AW301">
        <v>792</v>
      </c>
      <c r="AX301">
        <v>1988.5</v>
      </c>
      <c r="AZ301">
        <v>763.5</v>
      </c>
      <c r="BA301">
        <v>0</v>
      </c>
      <c r="BB301">
        <v>0</v>
      </c>
      <c r="BC301">
        <v>1935.3</v>
      </c>
      <c r="BD301">
        <v>1006.5</v>
      </c>
      <c r="BE301">
        <v>0</v>
      </c>
      <c r="BF301">
        <v>0</v>
      </c>
      <c r="BG301">
        <v>0</v>
      </c>
      <c r="BH301">
        <v>1662.6</v>
      </c>
      <c r="BJ301">
        <v>0</v>
      </c>
      <c r="BK301">
        <v>0</v>
      </c>
      <c r="BL301">
        <v>1038.9000000000001</v>
      </c>
      <c r="BM301">
        <v>1101</v>
      </c>
      <c r="BO301">
        <v>1276.8000000000002</v>
      </c>
      <c r="BQ301">
        <v>0</v>
      </c>
      <c r="BR301">
        <v>270.7</v>
      </c>
      <c r="BS301">
        <v>230.5</v>
      </c>
      <c r="BT301">
        <v>472.3</v>
      </c>
      <c r="BU301">
        <v>537.29999999999995</v>
      </c>
      <c r="BV301">
        <v>346.3</v>
      </c>
      <c r="BW301">
        <v>386.2</v>
      </c>
      <c r="BX301">
        <v>767</v>
      </c>
      <c r="BY301">
        <v>757.2</v>
      </c>
      <c r="BZ301">
        <v>1037.2</v>
      </c>
      <c r="CA301">
        <v>1227.0999999999999</v>
      </c>
      <c r="CB301">
        <v>1232.0999999999999</v>
      </c>
      <c r="CC301">
        <v>1701.5</v>
      </c>
      <c r="CD301">
        <v>0</v>
      </c>
      <c r="CG301">
        <v>1385.3</v>
      </c>
      <c r="CJ301">
        <v>1630.2999999999997</v>
      </c>
      <c r="CM301">
        <v>1184.2</v>
      </c>
      <c r="CO301">
        <v>1248.0999999999999</v>
      </c>
      <c r="CQ301">
        <v>1435.3</v>
      </c>
      <c r="CR301">
        <v>798.2</v>
      </c>
      <c r="CS301">
        <v>923.8</v>
      </c>
      <c r="CT301">
        <v>0</v>
      </c>
      <c r="CU301">
        <v>0</v>
      </c>
      <c r="CV301">
        <v>0</v>
      </c>
      <c r="CW301">
        <v>0</v>
      </c>
      <c r="CX301">
        <v>163.69999999999999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I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0</v>
      </c>
      <c r="ET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G301" t="e">
        <v>#N/A</v>
      </c>
      <c r="FI301" t="e">
        <v>#N/A</v>
      </c>
      <c r="FK301" t="e">
        <v>#N/A</v>
      </c>
      <c r="FM301" t="e">
        <v>#N/A</v>
      </c>
      <c r="FO301" t="e">
        <v>#N/A</v>
      </c>
      <c r="FQ301" t="e">
        <v>#N/A</v>
      </c>
      <c r="FS301" t="e">
        <v>#N/A</v>
      </c>
      <c r="FU301" t="e">
        <v>#N/A</v>
      </c>
      <c r="FW301" t="e">
        <v>#N/A</v>
      </c>
      <c r="FY301" t="e">
        <v>#N/A</v>
      </c>
      <c r="GA301" t="e">
        <v>#N/A</v>
      </c>
      <c r="GC301" t="e">
        <v>#N/A</v>
      </c>
      <c r="GE301" t="e">
        <v>#N/A</v>
      </c>
      <c r="GG301" t="e">
        <v>#N/A</v>
      </c>
      <c r="GI301" t="e">
        <v>#N/A</v>
      </c>
      <c r="GK301" t="e">
        <v>#N/A</v>
      </c>
      <c r="GM301" t="e">
        <v>#N/A</v>
      </c>
      <c r="GO301" t="e">
        <v>#N/A</v>
      </c>
      <c r="GQ301" t="e">
        <v>#N/A</v>
      </c>
      <c r="GS301" t="e">
        <v>#N/A</v>
      </c>
      <c r="GU301" t="e">
        <v>#N/A</v>
      </c>
      <c r="GW301" t="e">
        <v>#N/A</v>
      </c>
      <c r="GY301" t="e">
        <v>#N/A</v>
      </c>
      <c r="HA301" t="e">
        <v>#N/A</v>
      </c>
      <c r="HC301">
        <v>0</v>
      </c>
      <c r="HD301">
        <v>0</v>
      </c>
      <c r="HE301">
        <v>0</v>
      </c>
      <c r="HF301">
        <v>0</v>
      </c>
      <c r="HG301">
        <v>0</v>
      </c>
      <c r="HH301">
        <v>0</v>
      </c>
      <c r="HI301">
        <v>0</v>
      </c>
      <c r="HJ301">
        <v>0</v>
      </c>
      <c r="HM301">
        <v>0</v>
      </c>
      <c r="HN301">
        <v>0</v>
      </c>
      <c r="HO301">
        <v>0</v>
      </c>
      <c r="HP301">
        <v>0</v>
      </c>
      <c r="HQ301">
        <v>0</v>
      </c>
      <c r="HR301">
        <v>0</v>
      </c>
      <c r="HS301">
        <v>0</v>
      </c>
      <c r="HT301">
        <v>0</v>
      </c>
      <c r="HW301">
        <v>0</v>
      </c>
      <c r="HX301">
        <v>0</v>
      </c>
      <c r="HY301">
        <v>0</v>
      </c>
      <c r="HZ301">
        <v>0</v>
      </c>
      <c r="IA301">
        <v>3930.6</v>
      </c>
      <c r="IB301">
        <v>3632.9</v>
      </c>
      <c r="IC301">
        <v>3795.5</v>
      </c>
      <c r="ID301">
        <v>0</v>
      </c>
      <c r="IE301">
        <v>0</v>
      </c>
      <c r="IF301">
        <v>3548.5</v>
      </c>
      <c r="IG301">
        <v>3395.2</v>
      </c>
      <c r="IH301">
        <v>3395.4</v>
      </c>
      <c r="II301">
        <v>3302.3</v>
      </c>
      <c r="IJ301">
        <v>3172.8</v>
      </c>
      <c r="IK301">
        <v>0</v>
      </c>
      <c r="IL301">
        <v>0</v>
      </c>
      <c r="IM301">
        <v>0</v>
      </c>
      <c r="IN301">
        <v>0</v>
      </c>
      <c r="IO301">
        <v>123.4</v>
      </c>
      <c r="IP301">
        <v>405.2</v>
      </c>
      <c r="IQ301">
        <v>418.7</v>
      </c>
      <c r="IR301">
        <v>0</v>
      </c>
      <c r="IS301">
        <v>0</v>
      </c>
      <c r="IT301">
        <v>0</v>
      </c>
      <c r="IU301">
        <v>0</v>
      </c>
      <c r="IV301">
        <v>396</v>
      </c>
      <c r="IW301">
        <v>0</v>
      </c>
      <c r="IX301">
        <v>0</v>
      </c>
      <c r="IZ301">
        <v>0</v>
      </c>
      <c r="JA301">
        <v>65.5</v>
      </c>
      <c r="JB301">
        <v>443.5</v>
      </c>
      <c r="JC301">
        <v>0</v>
      </c>
      <c r="JD301">
        <v>0</v>
      </c>
      <c r="JE301">
        <v>0</v>
      </c>
      <c r="JF301">
        <v>0</v>
      </c>
      <c r="JG301">
        <v>0</v>
      </c>
      <c r="JH301">
        <v>0</v>
      </c>
      <c r="JI301">
        <v>0</v>
      </c>
      <c r="JJ301">
        <v>0</v>
      </c>
      <c r="JK301">
        <v>0</v>
      </c>
      <c r="JL301">
        <v>0</v>
      </c>
      <c r="JM301">
        <v>0</v>
      </c>
      <c r="JN301">
        <v>0</v>
      </c>
      <c r="JO301">
        <v>0</v>
      </c>
      <c r="JP301">
        <v>0</v>
      </c>
      <c r="JQ301">
        <v>0</v>
      </c>
      <c r="JR301">
        <v>0</v>
      </c>
      <c r="JS301">
        <v>0</v>
      </c>
      <c r="JT301">
        <v>0</v>
      </c>
      <c r="JU301">
        <v>0</v>
      </c>
      <c r="JV301">
        <v>0</v>
      </c>
      <c r="JW301">
        <v>0</v>
      </c>
      <c r="JX301">
        <v>0</v>
      </c>
      <c r="JY301">
        <v>0</v>
      </c>
      <c r="JZ301">
        <v>0</v>
      </c>
      <c r="KA301">
        <v>0</v>
      </c>
      <c r="KB301">
        <v>0</v>
      </c>
      <c r="KC301">
        <v>0</v>
      </c>
      <c r="KD301">
        <v>0</v>
      </c>
      <c r="KE301">
        <v>0</v>
      </c>
      <c r="KF301">
        <v>0</v>
      </c>
      <c r="KI301">
        <v>344.6</v>
      </c>
      <c r="KJ301">
        <v>350.8</v>
      </c>
      <c r="KK301">
        <v>22.1</v>
      </c>
      <c r="KL301">
        <v>379.3</v>
      </c>
      <c r="KM301">
        <v>241.4</v>
      </c>
      <c r="KN301">
        <v>0</v>
      </c>
      <c r="KO301">
        <v>0</v>
      </c>
      <c r="KP301">
        <v>57.3</v>
      </c>
      <c r="KQ301">
        <v>224.4</v>
      </c>
      <c r="KR301">
        <v>338.3</v>
      </c>
      <c r="KS301">
        <v>215.8</v>
      </c>
      <c r="KT301">
        <v>40.700000000000003</v>
      </c>
      <c r="KW301">
        <v>2154.5</v>
      </c>
      <c r="KX301">
        <v>1255.7</v>
      </c>
      <c r="KY301">
        <v>1630.1</v>
      </c>
      <c r="KZ301">
        <v>1246.9000000000001</v>
      </c>
      <c r="LB301">
        <v>78.099999999999994</v>
      </c>
      <c r="LC301">
        <v>77.7</v>
      </c>
    </row>
    <row r="302" spans="1:315" ht="18" thickBot="1">
      <c r="A302" s="185"/>
      <c r="B302" s="185" t="s">
        <v>487</v>
      </c>
      <c r="C302" s="230" t="s">
        <v>845</v>
      </c>
      <c r="D302" s="281" t="s">
        <v>656</v>
      </c>
      <c r="E302" s="443">
        <v>0</v>
      </c>
      <c r="F302" s="191">
        <v>0</v>
      </c>
      <c r="G302" s="427">
        <v>3413.8</v>
      </c>
      <c r="H302" s="155"/>
      <c r="I302">
        <v>735</v>
      </c>
      <c r="K302">
        <v>1973.1000000000001</v>
      </c>
      <c r="L302" s="4">
        <v>221.60000000000002</v>
      </c>
      <c r="M302" s="4">
        <v>54.9</v>
      </c>
      <c r="N302" s="4">
        <v>1989.7</v>
      </c>
      <c r="P302">
        <v>0</v>
      </c>
      <c r="Q302">
        <v>238.29999999999998</v>
      </c>
      <c r="R302">
        <v>0</v>
      </c>
      <c r="S302">
        <v>0</v>
      </c>
      <c r="T302">
        <v>368.5</v>
      </c>
      <c r="W302">
        <v>720.3</v>
      </c>
      <c r="X302">
        <v>1411.5</v>
      </c>
      <c r="Y302">
        <v>96.5</v>
      </c>
      <c r="AA302">
        <v>859.6</v>
      </c>
      <c r="AB302">
        <v>1577.6000000000001</v>
      </c>
      <c r="AE302">
        <v>1330</v>
      </c>
      <c r="AF302">
        <v>1025.5</v>
      </c>
      <c r="AH302">
        <v>509.9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1349.3</v>
      </c>
      <c r="AO302">
        <v>786.40000000000009</v>
      </c>
      <c r="AP302">
        <v>0</v>
      </c>
      <c r="AQ302">
        <v>68.3</v>
      </c>
      <c r="AR302">
        <v>234.9</v>
      </c>
      <c r="AS302">
        <v>600.40000000000009</v>
      </c>
      <c r="AU302">
        <v>985.69999999999993</v>
      </c>
      <c r="AW302">
        <v>792</v>
      </c>
      <c r="AX302">
        <v>1988.5</v>
      </c>
      <c r="AZ302">
        <v>763.5</v>
      </c>
      <c r="BA302">
        <v>0</v>
      </c>
      <c r="BB302">
        <v>0</v>
      </c>
      <c r="BC302">
        <v>1935.3</v>
      </c>
      <c r="BD302">
        <v>1006.5</v>
      </c>
      <c r="BE302">
        <v>0</v>
      </c>
      <c r="BF302">
        <v>0</v>
      </c>
      <c r="BG302">
        <v>0</v>
      </c>
      <c r="BH302">
        <v>1662.6</v>
      </c>
      <c r="BJ302">
        <v>0</v>
      </c>
      <c r="BK302">
        <v>0</v>
      </c>
      <c r="BL302">
        <v>1038.9000000000001</v>
      </c>
      <c r="BM302">
        <v>1101</v>
      </c>
      <c r="BO302">
        <v>1276.8000000000002</v>
      </c>
      <c r="BQ302">
        <v>0</v>
      </c>
      <c r="BR302">
        <v>270.7</v>
      </c>
      <c r="BS302">
        <v>230.5</v>
      </c>
      <c r="BT302">
        <v>472.3</v>
      </c>
      <c r="BU302">
        <v>537.29999999999995</v>
      </c>
      <c r="BV302">
        <v>346.3</v>
      </c>
      <c r="BW302">
        <v>386.2</v>
      </c>
      <c r="BX302">
        <v>767</v>
      </c>
      <c r="BY302">
        <v>757.2</v>
      </c>
      <c r="BZ302">
        <v>1037.2</v>
      </c>
      <c r="CA302">
        <v>1227.0999999999999</v>
      </c>
      <c r="CB302">
        <v>1232.0999999999999</v>
      </c>
      <c r="CC302">
        <v>1701.5</v>
      </c>
      <c r="CD302">
        <v>0</v>
      </c>
      <c r="CG302">
        <v>1385.3</v>
      </c>
      <c r="CJ302">
        <v>1630.2999999999997</v>
      </c>
      <c r="CM302">
        <v>1184.2</v>
      </c>
      <c r="CO302">
        <v>1248.0999999999999</v>
      </c>
      <c r="CQ302">
        <v>1435.3</v>
      </c>
      <c r="CR302">
        <v>798.2</v>
      </c>
      <c r="CS302">
        <v>923.8</v>
      </c>
      <c r="CT302">
        <v>0</v>
      </c>
      <c r="CU302">
        <v>0</v>
      </c>
      <c r="CV302">
        <v>0</v>
      </c>
      <c r="CW302">
        <v>0</v>
      </c>
      <c r="CX302">
        <v>163.69999999999999</v>
      </c>
      <c r="CY302">
        <v>0</v>
      </c>
      <c r="CZ302">
        <v>0</v>
      </c>
      <c r="DA302">
        <v>0</v>
      </c>
      <c r="DB302">
        <v>0</v>
      </c>
      <c r="DC302">
        <v>0</v>
      </c>
      <c r="DD302">
        <v>0</v>
      </c>
      <c r="DE302">
        <v>0</v>
      </c>
      <c r="DI302">
        <v>0</v>
      </c>
      <c r="EC302">
        <v>0</v>
      </c>
      <c r="ED302">
        <v>0</v>
      </c>
      <c r="EE302">
        <v>0</v>
      </c>
      <c r="EF302">
        <v>0</v>
      </c>
      <c r="EG302">
        <v>0</v>
      </c>
      <c r="EH302">
        <v>0</v>
      </c>
      <c r="EI302">
        <v>0</v>
      </c>
      <c r="EJ302">
        <v>0</v>
      </c>
      <c r="EM302">
        <v>0</v>
      </c>
      <c r="EN302">
        <v>0</v>
      </c>
      <c r="EO302">
        <v>0</v>
      </c>
      <c r="EP302">
        <v>0</v>
      </c>
      <c r="EQ302">
        <v>0</v>
      </c>
      <c r="ER302">
        <v>0</v>
      </c>
      <c r="ES302">
        <v>0</v>
      </c>
      <c r="ET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G302" t="e">
        <v>#N/A</v>
      </c>
      <c r="FI302" t="e">
        <v>#N/A</v>
      </c>
      <c r="FK302" t="e">
        <v>#N/A</v>
      </c>
      <c r="FM302" t="e">
        <v>#N/A</v>
      </c>
      <c r="FO302" t="e">
        <v>#N/A</v>
      </c>
      <c r="FQ302" t="e">
        <v>#N/A</v>
      </c>
      <c r="FS302" t="e">
        <v>#N/A</v>
      </c>
      <c r="FU302" t="e">
        <v>#N/A</v>
      </c>
      <c r="FW302" t="e">
        <v>#N/A</v>
      </c>
      <c r="FY302" t="e">
        <v>#N/A</v>
      </c>
      <c r="GA302" t="e">
        <v>#N/A</v>
      </c>
      <c r="GC302" t="e">
        <v>#N/A</v>
      </c>
      <c r="GE302" t="e">
        <v>#N/A</v>
      </c>
      <c r="GG302" t="e">
        <v>#N/A</v>
      </c>
      <c r="GI302" t="e">
        <v>#N/A</v>
      </c>
      <c r="GK302" t="e">
        <v>#N/A</v>
      </c>
      <c r="GM302" t="e">
        <v>#N/A</v>
      </c>
      <c r="GO302" t="e">
        <v>#N/A</v>
      </c>
      <c r="GQ302" t="e">
        <v>#N/A</v>
      </c>
      <c r="GS302" t="e">
        <v>#N/A</v>
      </c>
      <c r="GU302" t="e">
        <v>#N/A</v>
      </c>
      <c r="GW302" t="e">
        <v>#N/A</v>
      </c>
      <c r="GY302" t="e">
        <v>#N/A</v>
      </c>
      <c r="HA302" t="e">
        <v>#N/A</v>
      </c>
      <c r="HC302">
        <v>0</v>
      </c>
      <c r="HD302">
        <v>0</v>
      </c>
      <c r="HE302">
        <v>0</v>
      </c>
      <c r="HF302">
        <v>0</v>
      </c>
      <c r="HG302">
        <v>0</v>
      </c>
      <c r="HH302">
        <v>0</v>
      </c>
      <c r="HI302">
        <v>0</v>
      </c>
      <c r="HJ302">
        <v>0</v>
      </c>
      <c r="HM302">
        <v>0</v>
      </c>
      <c r="HN302">
        <v>0</v>
      </c>
      <c r="HO302">
        <v>0</v>
      </c>
      <c r="HP302">
        <v>0</v>
      </c>
      <c r="HQ302">
        <v>0</v>
      </c>
      <c r="HR302">
        <v>0</v>
      </c>
      <c r="HS302">
        <v>0</v>
      </c>
      <c r="HT302">
        <v>0</v>
      </c>
      <c r="HW302">
        <v>0</v>
      </c>
      <c r="HX302">
        <v>0</v>
      </c>
      <c r="HY302">
        <v>0</v>
      </c>
      <c r="HZ302">
        <v>0</v>
      </c>
      <c r="IA302">
        <v>3930.6</v>
      </c>
      <c r="IB302">
        <v>3632.9</v>
      </c>
      <c r="IC302">
        <v>3795.5</v>
      </c>
      <c r="ID302">
        <v>0</v>
      </c>
      <c r="IE302">
        <v>0</v>
      </c>
      <c r="IF302">
        <v>3548.5</v>
      </c>
      <c r="IG302">
        <v>3395.2</v>
      </c>
      <c r="IH302">
        <v>3395.4</v>
      </c>
      <c r="II302">
        <v>3302.3</v>
      </c>
      <c r="IJ302">
        <v>3172.8</v>
      </c>
      <c r="IK302">
        <v>0</v>
      </c>
      <c r="IL302">
        <v>0</v>
      </c>
      <c r="IM302">
        <v>0</v>
      </c>
      <c r="IN302">
        <v>0</v>
      </c>
      <c r="IO302">
        <v>123.4</v>
      </c>
      <c r="IP302">
        <v>405.2</v>
      </c>
      <c r="IQ302">
        <v>418.7</v>
      </c>
      <c r="IR302">
        <v>0</v>
      </c>
      <c r="IS302">
        <v>0</v>
      </c>
      <c r="IT302">
        <v>0</v>
      </c>
      <c r="IU302">
        <v>0</v>
      </c>
      <c r="IV302">
        <v>396</v>
      </c>
      <c r="IW302">
        <v>0</v>
      </c>
      <c r="IX302">
        <v>0</v>
      </c>
      <c r="IZ302">
        <v>0</v>
      </c>
      <c r="JA302">
        <v>65.5</v>
      </c>
      <c r="JB302">
        <v>443.5</v>
      </c>
      <c r="JC302">
        <v>0</v>
      </c>
      <c r="JD302">
        <v>0</v>
      </c>
      <c r="JE302">
        <v>0</v>
      </c>
      <c r="JF302">
        <v>0</v>
      </c>
      <c r="JG302">
        <v>0</v>
      </c>
      <c r="JH302">
        <v>0</v>
      </c>
      <c r="JI302">
        <v>0</v>
      </c>
      <c r="JJ302">
        <v>0</v>
      </c>
      <c r="JK302">
        <v>0</v>
      </c>
      <c r="JL302">
        <v>0</v>
      </c>
      <c r="JM302">
        <v>0</v>
      </c>
      <c r="JN302">
        <v>0</v>
      </c>
      <c r="JO302">
        <v>0</v>
      </c>
      <c r="JP302">
        <v>0</v>
      </c>
      <c r="JQ302">
        <v>0</v>
      </c>
      <c r="JR302">
        <v>0</v>
      </c>
      <c r="JS302">
        <v>0</v>
      </c>
      <c r="JT302">
        <v>0</v>
      </c>
      <c r="JU302">
        <v>0</v>
      </c>
      <c r="JV302">
        <v>0</v>
      </c>
      <c r="JW302">
        <v>0</v>
      </c>
      <c r="JX302">
        <v>0</v>
      </c>
      <c r="JY302">
        <v>0</v>
      </c>
      <c r="JZ302">
        <v>0</v>
      </c>
      <c r="KA302">
        <v>0</v>
      </c>
      <c r="KB302">
        <v>0</v>
      </c>
      <c r="KC302">
        <v>0</v>
      </c>
      <c r="KD302">
        <v>0</v>
      </c>
      <c r="KE302">
        <v>0</v>
      </c>
      <c r="KF302">
        <v>0</v>
      </c>
      <c r="KI302">
        <v>344.6</v>
      </c>
      <c r="KJ302">
        <v>350.8</v>
      </c>
      <c r="KK302">
        <v>22.1</v>
      </c>
      <c r="KL302">
        <v>379.3</v>
      </c>
      <c r="KM302">
        <v>241.4</v>
      </c>
      <c r="KN302">
        <v>0</v>
      </c>
      <c r="KO302">
        <v>0</v>
      </c>
      <c r="KP302">
        <v>57.3</v>
      </c>
      <c r="KQ302">
        <v>224.4</v>
      </c>
      <c r="KR302">
        <v>338.3</v>
      </c>
      <c r="KS302">
        <v>215.8</v>
      </c>
      <c r="KT302">
        <v>40.700000000000003</v>
      </c>
      <c r="KW302">
        <v>2154.5</v>
      </c>
      <c r="KX302">
        <v>1255.7</v>
      </c>
      <c r="KY302">
        <v>1630.1</v>
      </c>
      <c r="KZ302">
        <v>1246.9000000000001</v>
      </c>
      <c r="LB302">
        <v>78.099999999999994</v>
      </c>
      <c r="LC302">
        <v>77.7</v>
      </c>
    </row>
    <row r="303" spans="1:315" ht="18" thickBot="1">
      <c r="A303" s="185"/>
      <c r="B303" s="185" t="s">
        <v>488</v>
      </c>
      <c r="C303" s="230" t="s">
        <v>846</v>
      </c>
      <c r="D303" s="281" t="s">
        <v>656</v>
      </c>
      <c r="E303" s="443">
        <v>0</v>
      </c>
      <c r="F303" s="191">
        <v>0</v>
      </c>
      <c r="G303" s="427">
        <v>3413.8</v>
      </c>
      <c r="H303" s="155"/>
      <c r="I303">
        <v>735</v>
      </c>
      <c r="K303">
        <v>1973.1000000000001</v>
      </c>
      <c r="L303" s="4">
        <v>221.60000000000002</v>
      </c>
      <c r="M303" s="4">
        <v>54.9</v>
      </c>
      <c r="N303" s="4">
        <v>1989.7</v>
      </c>
      <c r="P303">
        <v>0</v>
      </c>
      <c r="Q303">
        <v>238.29999999999998</v>
      </c>
      <c r="R303">
        <v>0</v>
      </c>
      <c r="S303">
        <v>0</v>
      </c>
      <c r="T303">
        <v>368.5</v>
      </c>
      <c r="W303">
        <v>720.3</v>
      </c>
      <c r="X303">
        <v>1411.5</v>
      </c>
      <c r="Y303">
        <v>96.5</v>
      </c>
      <c r="AA303">
        <v>859.6</v>
      </c>
      <c r="AB303">
        <v>1577.6000000000001</v>
      </c>
      <c r="AE303">
        <v>1330</v>
      </c>
      <c r="AF303">
        <v>1025.5</v>
      </c>
      <c r="AH303">
        <v>509.9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1349.3</v>
      </c>
      <c r="AO303">
        <v>786.40000000000009</v>
      </c>
      <c r="AP303">
        <v>0</v>
      </c>
      <c r="AQ303">
        <v>68.3</v>
      </c>
      <c r="AR303">
        <v>234.9</v>
      </c>
      <c r="AS303">
        <v>600.40000000000009</v>
      </c>
      <c r="AU303">
        <v>985.69999999999993</v>
      </c>
      <c r="AW303">
        <v>792</v>
      </c>
      <c r="AX303">
        <v>1988.5</v>
      </c>
      <c r="AZ303">
        <v>763.5</v>
      </c>
      <c r="BA303">
        <v>0</v>
      </c>
      <c r="BB303">
        <v>0</v>
      </c>
      <c r="BC303">
        <v>1935.3</v>
      </c>
      <c r="BD303">
        <v>1006.5</v>
      </c>
      <c r="BE303">
        <v>0</v>
      </c>
      <c r="BF303">
        <v>0</v>
      </c>
      <c r="BG303">
        <v>0</v>
      </c>
      <c r="BH303">
        <v>1662.6</v>
      </c>
      <c r="BJ303">
        <v>0</v>
      </c>
      <c r="BK303">
        <v>0</v>
      </c>
      <c r="BL303">
        <v>1038.9000000000001</v>
      </c>
      <c r="BM303">
        <v>1101</v>
      </c>
      <c r="BO303">
        <v>1276.8000000000002</v>
      </c>
      <c r="BQ303">
        <v>0</v>
      </c>
      <c r="BR303">
        <v>270.7</v>
      </c>
      <c r="BS303">
        <v>230.5</v>
      </c>
      <c r="BT303">
        <v>472.3</v>
      </c>
      <c r="BU303">
        <v>537.29999999999995</v>
      </c>
      <c r="BV303">
        <v>346.3</v>
      </c>
      <c r="BW303">
        <v>386.2</v>
      </c>
      <c r="BX303">
        <v>767</v>
      </c>
      <c r="BY303">
        <v>757.2</v>
      </c>
      <c r="BZ303">
        <v>1037.2</v>
      </c>
      <c r="CA303">
        <v>1227.0999999999999</v>
      </c>
      <c r="CB303">
        <v>1232.0999999999999</v>
      </c>
      <c r="CC303">
        <v>1701.5</v>
      </c>
      <c r="CD303">
        <v>0</v>
      </c>
      <c r="CG303">
        <v>1385.3</v>
      </c>
      <c r="CJ303">
        <v>1630.2999999999997</v>
      </c>
      <c r="CM303">
        <v>1184.2</v>
      </c>
      <c r="CO303">
        <v>1248.0999999999999</v>
      </c>
      <c r="CQ303">
        <v>1435.3</v>
      </c>
      <c r="CR303">
        <v>798.2</v>
      </c>
      <c r="CS303">
        <v>923.8</v>
      </c>
      <c r="CT303">
        <v>0</v>
      </c>
      <c r="CU303">
        <v>0</v>
      </c>
      <c r="CV303">
        <v>0</v>
      </c>
      <c r="CW303">
        <v>0</v>
      </c>
      <c r="CX303">
        <v>163.69999999999999</v>
      </c>
      <c r="CY303">
        <v>0</v>
      </c>
      <c r="CZ303">
        <v>0</v>
      </c>
      <c r="DA303">
        <v>0</v>
      </c>
      <c r="DB303">
        <v>0</v>
      </c>
      <c r="DC303">
        <v>0</v>
      </c>
      <c r="DD303">
        <v>0</v>
      </c>
      <c r="DE303">
        <v>0</v>
      </c>
      <c r="DI303">
        <v>0</v>
      </c>
      <c r="EC303">
        <v>0</v>
      </c>
      <c r="ED303">
        <v>0</v>
      </c>
      <c r="EE303">
        <v>0</v>
      </c>
      <c r="EF303">
        <v>0</v>
      </c>
      <c r="EG303">
        <v>0</v>
      </c>
      <c r="EH303">
        <v>0</v>
      </c>
      <c r="EI303">
        <v>0</v>
      </c>
      <c r="EJ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0</v>
      </c>
      <c r="ES303">
        <v>0</v>
      </c>
      <c r="ET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G303" t="e">
        <v>#N/A</v>
      </c>
      <c r="FI303" t="e">
        <v>#N/A</v>
      </c>
      <c r="FK303" t="e">
        <v>#N/A</v>
      </c>
      <c r="FM303" t="e">
        <v>#N/A</v>
      </c>
      <c r="FO303" t="e">
        <v>#N/A</v>
      </c>
      <c r="FQ303" t="e">
        <v>#N/A</v>
      </c>
      <c r="FS303" t="e">
        <v>#N/A</v>
      </c>
      <c r="FU303" t="e">
        <v>#N/A</v>
      </c>
      <c r="FW303" t="e">
        <v>#N/A</v>
      </c>
      <c r="FY303" t="e">
        <v>#N/A</v>
      </c>
      <c r="GA303" t="e">
        <v>#N/A</v>
      </c>
      <c r="GC303" t="e">
        <v>#N/A</v>
      </c>
      <c r="GE303" t="e">
        <v>#N/A</v>
      </c>
      <c r="GG303" t="e">
        <v>#N/A</v>
      </c>
      <c r="GI303" t="e">
        <v>#N/A</v>
      </c>
      <c r="GK303" t="e">
        <v>#N/A</v>
      </c>
      <c r="GM303" t="e">
        <v>#N/A</v>
      </c>
      <c r="GO303" t="e">
        <v>#N/A</v>
      </c>
      <c r="GQ303" t="e">
        <v>#N/A</v>
      </c>
      <c r="GS303" t="e">
        <v>#N/A</v>
      </c>
      <c r="GU303" t="e">
        <v>#N/A</v>
      </c>
      <c r="GW303" t="e">
        <v>#N/A</v>
      </c>
      <c r="GY303" t="e">
        <v>#N/A</v>
      </c>
      <c r="HA303" t="e">
        <v>#N/A</v>
      </c>
      <c r="HC303">
        <v>0</v>
      </c>
      <c r="HD303">
        <v>0</v>
      </c>
      <c r="HE303">
        <v>0</v>
      </c>
      <c r="HF303">
        <v>0</v>
      </c>
      <c r="HG303">
        <v>0</v>
      </c>
      <c r="HH303">
        <v>0</v>
      </c>
      <c r="HI303">
        <v>0</v>
      </c>
      <c r="HJ303">
        <v>0</v>
      </c>
      <c r="HM303">
        <v>0</v>
      </c>
      <c r="HN303">
        <v>0</v>
      </c>
      <c r="HO303">
        <v>0</v>
      </c>
      <c r="HP303">
        <v>0</v>
      </c>
      <c r="HQ303">
        <v>0</v>
      </c>
      <c r="HR303">
        <v>0</v>
      </c>
      <c r="HS303">
        <v>0</v>
      </c>
      <c r="HT303">
        <v>0</v>
      </c>
      <c r="HW303">
        <v>0</v>
      </c>
      <c r="HX303">
        <v>0</v>
      </c>
      <c r="HY303">
        <v>0</v>
      </c>
      <c r="HZ303">
        <v>0</v>
      </c>
      <c r="IA303">
        <v>3930.6</v>
      </c>
      <c r="IB303">
        <v>3632.9</v>
      </c>
      <c r="IC303">
        <v>3795.5</v>
      </c>
      <c r="ID303">
        <v>0</v>
      </c>
      <c r="IE303">
        <v>0</v>
      </c>
      <c r="IF303">
        <v>3548.5</v>
      </c>
      <c r="IG303">
        <v>3395.2</v>
      </c>
      <c r="IH303">
        <v>3395.4</v>
      </c>
      <c r="II303">
        <v>3302.3</v>
      </c>
      <c r="IJ303">
        <v>3172.8</v>
      </c>
      <c r="IK303">
        <v>0</v>
      </c>
      <c r="IL303">
        <v>0</v>
      </c>
      <c r="IM303">
        <v>0</v>
      </c>
      <c r="IN303">
        <v>0</v>
      </c>
      <c r="IO303">
        <v>123.4</v>
      </c>
      <c r="IP303">
        <v>405.2</v>
      </c>
      <c r="IQ303">
        <v>418.7</v>
      </c>
      <c r="IR303">
        <v>0</v>
      </c>
      <c r="IS303">
        <v>0</v>
      </c>
      <c r="IT303">
        <v>0</v>
      </c>
      <c r="IU303">
        <v>0</v>
      </c>
      <c r="IV303">
        <v>396</v>
      </c>
      <c r="IW303">
        <v>0</v>
      </c>
      <c r="IX303">
        <v>0</v>
      </c>
      <c r="IZ303">
        <v>0</v>
      </c>
      <c r="JA303">
        <v>65.5</v>
      </c>
      <c r="JB303">
        <v>443.5</v>
      </c>
      <c r="JC303">
        <v>0</v>
      </c>
      <c r="JD303">
        <v>0</v>
      </c>
      <c r="JE303">
        <v>0</v>
      </c>
      <c r="JF303">
        <v>0</v>
      </c>
      <c r="JG303">
        <v>0</v>
      </c>
      <c r="JH303">
        <v>0</v>
      </c>
      <c r="JI303">
        <v>0</v>
      </c>
      <c r="JJ303">
        <v>0</v>
      </c>
      <c r="JK303">
        <v>0</v>
      </c>
      <c r="JL303">
        <v>0</v>
      </c>
      <c r="JM303">
        <v>0</v>
      </c>
      <c r="JN303">
        <v>0</v>
      </c>
      <c r="JO303">
        <v>0</v>
      </c>
      <c r="JP303">
        <v>0</v>
      </c>
      <c r="JQ303">
        <v>0</v>
      </c>
      <c r="JR303">
        <v>0</v>
      </c>
      <c r="JS303">
        <v>0</v>
      </c>
      <c r="JT303">
        <v>0</v>
      </c>
      <c r="JU303">
        <v>0</v>
      </c>
      <c r="JV303">
        <v>0</v>
      </c>
      <c r="JW303">
        <v>0</v>
      </c>
      <c r="JX303">
        <v>0</v>
      </c>
      <c r="JY303">
        <v>0</v>
      </c>
      <c r="JZ303">
        <v>0</v>
      </c>
      <c r="KA303">
        <v>0</v>
      </c>
      <c r="KB303">
        <v>0</v>
      </c>
      <c r="KC303">
        <v>0</v>
      </c>
      <c r="KD303">
        <v>0</v>
      </c>
      <c r="KE303">
        <v>0</v>
      </c>
      <c r="KF303">
        <v>0</v>
      </c>
      <c r="KI303">
        <v>344.6</v>
      </c>
      <c r="KJ303">
        <v>350.8</v>
      </c>
      <c r="KK303">
        <v>22.1</v>
      </c>
      <c r="KL303">
        <v>379.3</v>
      </c>
      <c r="KM303">
        <v>241.4</v>
      </c>
      <c r="KN303">
        <v>0</v>
      </c>
      <c r="KO303">
        <v>0</v>
      </c>
      <c r="KP303">
        <v>57.3</v>
      </c>
      <c r="KQ303">
        <v>224.4</v>
      </c>
      <c r="KR303">
        <v>338.3</v>
      </c>
      <c r="KS303">
        <v>215.8</v>
      </c>
      <c r="KT303">
        <v>40.700000000000003</v>
      </c>
      <c r="KW303">
        <v>2154.5</v>
      </c>
      <c r="KX303">
        <v>1255.7</v>
      </c>
      <c r="KY303">
        <v>1630.1</v>
      </c>
      <c r="KZ303">
        <v>1246.9000000000001</v>
      </c>
      <c r="LB303">
        <v>78.099999999999994</v>
      </c>
      <c r="LC303">
        <v>77.7</v>
      </c>
    </row>
    <row r="304" spans="1:315" ht="18" thickBot="1">
      <c r="A304" s="185"/>
      <c r="B304" s="185" t="s">
        <v>489</v>
      </c>
      <c r="C304" s="230" t="s">
        <v>847</v>
      </c>
      <c r="D304" s="281" t="s">
        <v>656</v>
      </c>
      <c r="E304" s="443">
        <v>0</v>
      </c>
      <c r="F304" s="191">
        <v>0</v>
      </c>
      <c r="G304" s="427">
        <v>3413.8</v>
      </c>
      <c r="H304" s="155"/>
      <c r="I304">
        <v>735</v>
      </c>
      <c r="K304">
        <v>1973.1000000000001</v>
      </c>
      <c r="L304" s="4">
        <v>221.60000000000002</v>
      </c>
      <c r="M304" s="4">
        <v>54.9</v>
      </c>
      <c r="N304" s="4">
        <v>1989.7</v>
      </c>
      <c r="P304">
        <v>0</v>
      </c>
      <c r="Q304">
        <v>238.29999999999998</v>
      </c>
      <c r="R304">
        <v>0</v>
      </c>
      <c r="S304">
        <v>0</v>
      </c>
      <c r="T304">
        <v>368.5</v>
      </c>
      <c r="W304">
        <v>720.3</v>
      </c>
      <c r="X304">
        <v>1411.5</v>
      </c>
      <c r="Y304">
        <v>96.5</v>
      </c>
      <c r="AA304">
        <v>859.6</v>
      </c>
      <c r="AB304">
        <v>1577.6000000000001</v>
      </c>
      <c r="AE304">
        <v>1330</v>
      </c>
      <c r="AF304">
        <v>1025.5</v>
      </c>
      <c r="AH304">
        <v>509.9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1349.3</v>
      </c>
      <c r="AO304">
        <v>786.40000000000009</v>
      </c>
      <c r="AP304">
        <v>0</v>
      </c>
      <c r="AQ304">
        <v>68.3</v>
      </c>
      <c r="AR304">
        <v>234.9</v>
      </c>
      <c r="AS304">
        <v>600.40000000000009</v>
      </c>
      <c r="AU304">
        <v>985.69999999999993</v>
      </c>
      <c r="AW304">
        <v>792</v>
      </c>
      <c r="AX304">
        <v>1988.5</v>
      </c>
      <c r="AZ304">
        <v>763.5</v>
      </c>
      <c r="BA304">
        <v>0</v>
      </c>
      <c r="BB304">
        <v>0</v>
      </c>
      <c r="BC304">
        <v>1935.3</v>
      </c>
      <c r="BD304">
        <v>1006.5</v>
      </c>
      <c r="BE304">
        <v>0</v>
      </c>
      <c r="BF304">
        <v>0</v>
      </c>
      <c r="BG304">
        <v>0</v>
      </c>
      <c r="BH304">
        <v>1662.6</v>
      </c>
      <c r="BJ304">
        <v>0</v>
      </c>
      <c r="BK304">
        <v>0</v>
      </c>
      <c r="BL304">
        <v>1038.9000000000001</v>
      </c>
      <c r="BM304">
        <v>1101</v>
      </c>
      <c r="BO304">
        <v>1276.8000000000002</v>
      </c>
      <c r="BQ304">
        <v>0</v>
      </c>
      <c r="BR304">
        <v>270.7</v>
      </c>
      <c r="BS304">
        <v>230.5</v>
      </c>
      <c r="BT304">
        <v>472.3</v>
      </c>
      <c r="BU304">
        <v>537.29999999999995</v>
      </c>
      <c r="BV304">
        <v>346.3</v>
      </c>
      <c r="BW304">
        <v>386.2</v>
      </c>
      <c r="BX304">
        <v>767</v>
      </c>
      <c r="BY304">
        <v>757.2</v>
      </c>
      <c r="BZ304">
        <v>1037.2</v>
      </c>
      <c r="CA304">
        <v>1227.0999999999999</v>
      </c>
      <c r="CB304">
        <v>1232.0999999999999</v>
      </c>
      <c r="CC304">
        <v>1701.5</v>
      </c>
      <c r="CD304">
        <v>0</v>
      </c>
      <c r="CG304">
        <v>1385.3</v>
      </c>
      <c r="CJ304">
        <v>1630.2999999999997</v>
      </c>
      <c r="CM304">
        <v>1184.2</v>
      </c>
      <c r="CO304">
        <v>1248.0999999999999</v>
      </c>
      <c r="CQ304">
        <v>1435.3</v>
      </c>
      <c r="CR304">
        <v>798.2</v>
      </c>
      <c r="CS304">
        <v>923.8</v>
      </c>
      <c r="CT304">
        <v>0</v>
      </c>
      <c r="CU304">
        <v>0</v>
      </c>
      <c r="CV304">
        <v>0</v>
      </c>
      <c r="CW304">
        <v>0</v>
      </c>
      <c r="CX304">
        <v>163.69999999999999</v>
      </c>
      <c r="CY304">
        <v>0</v>
      </c>
      <c r="CZ304">
        <v>0</v>
      </c>
      <c r="DA304">
        <v>0</v>
      </c>
      <c r="DB304">
        <v>0</v>
      </c>
      <c r="DC304">
        <v>0</v>
      </c>
      <c r="DD304">
        <v>0</v>
      </c>
      <c r="DE304">
        <v>0</v>
      </c>
      <c r="DI304">
        <v>0</v>
      </c>
      <c r="EC304">
        <v>0</v>
      </c>
      <c r="ED304">
        <v>0</v>
      </c>
      <c r="EE304">
        <v>0</v>
      </c>
      <c r="EF304">
        <v>0</v>
      </c>
      <c r="EG304">
        <v>0</v>
      </c>
      <c r="EH304">
        <v>0</v>
      </c>
      <c r="EI304">
        <v>0</v>
      </c>
      <c r="EJ304">
        <v>0</v>
      </c>
      <c r="EM304">
        <v>0</v>
      </c>
      <c r="EN304">
        <v>0</v>
      </c>
      <c r="EO304">
        <v>0</v>
      </c>
      <c r="EP304">
        <v>0</v>
      </c>
      <c r="EQ304">
        <v>0</v>
      </c>
      <c r="ER304">
        <v>0</v>
      </c>
      <c r="ES304">
        <v>0</v>
      </c>
      <c r="ET304">
        <v>0</v>
      </c>
      <c r="EW304">
        <v>0</v>
      </c>
      <c r="EX304">
        <v>0</v>
      </c>
      <c r="EY304">
        <v>0</v>
      </c>
      <c r="EZ304">
        <v>0</v>
      </c>
      <c r="FA304">
        <v>0</v>
      </c>
      <c r="FB304">
        <v>0</v>
      </c>
      <c r="FC304">
        <v>0</v>
      </c>
      <c r="FD304">
        <v>0</v>
      </c>
      <c r="FG304" t="e">
        <v>#N/A</v>
      </c>
      <c r="FI304" t="e">
        <v>#N/A</v>
      </c>
      <c r="FK304" t="e">
        <v>#N/A</v>
      </c>
      <c r="FM304" t="e">
        <v>#N/A</v>
      </c>
      <c r="FO304" t="e">
        <v>#N/A</v>
      </c>
      <c r="FQ304" t="e">
        <v>#N/A</v>
      </c>
      <c r="FS304" t="e">
        <v>#N/A</v>
      </c>
      <c r="FU304" t="e">
        <v>#N/A</v>
      </c>
      <c r="FW304" t="e">
        <v>#N/A</v>
      </c>
      <c r="FY304" t="e">
        <v>#N/A</v>
      </c>
      <c r="GA304" t="e">
        <v>#N/A</v>
      </c>
      <c r="GC304" t="e">
        <v>#N/A</v>
      </c>
      <c r="GE304" t="e">
        <v>#N/A</v>
      </c>
      <c r="GG304" t="e">
        <v>#N/A</v>
      </c>
      <c r="GI304" t="e">
        <v>#N/A</v>
      </c>
      <c r="GK304" t="e">
        <v>#N/A</v>
      </c>
      <c r="GM304" t="e">
        <v>#N/A</v>
      </c>
      <c r="GO304" t="e">
        <v>#N/A</v>
      </c>
      <c r="GQ304" t="e">
        <v>#N/A</v>
      </c>
      <c r="GS304" t="e">
        <v>#N/A</v>
      </c>
      <c r="GU304" t="e">
        <v>#N/A</v>
      </c>
      <c r="GW304" t="e">
        <v>#N/A</v>
      </c>
      <c r="GY304" t="e">
        <v>#N/A</v>
      </c>
      <c r="HA304" t="e">
        <v>#N/A</v>
      </c>
      <c r="HC304">
        <v>0</v>
      </c>
      <c r="HD304">
        <v>0</v>
      </c>
      <c r="HE304">
        <v>0</v>
      </c>
      <c r="HF304">
        <v>0</v>
      </c>
      <c r="HG304">
        <v>0</v>
      </c>
      <c r="HH304">
        <v>0</v>
      </c>
      <c r="HI304">
        <v>0</v>
      </c>
      <c r="HJ304">
        <v>0</v>
      </c>
      <c r="HM304">
        <v>0</v>
      </c>
      <c r="HN304">
        <v>0</v>
      </c>
      <c r="HO304">
        <v>0</v>
      </c>
      <c r="HP304">
        <v>0</v>
      </c>
      <c r="HQ304">
        <v>0</v>
      </c>
      <c r="HR304">
        <v>0</v>
      </c>
      <c r="HS304">
        <v>0</v>
      </c>
      <c r="HT304">
        <v>0</v>
      </c>
      <c r="HW304">
        <v>0</v>
      </c>
      <c r="HX304">
        <v>0</v>
      </c>
      <c r="HY304">
        <v>0</v>
      </c>
      <c r="HZ304">
        <v>0</v>
      </c>
      <c r="IA304">
        <v>3930.6</v>
      </c>
      <c r="IB304">
        <v>3632.9</v>
      </c>
      <c r="IC304">
        <v>3795.5</v>
      </c>
      <c r="ID304">
        <v>0</v>
      </c>
      <c r="IE304">
        <v>0</v>
      </c>
      <c r="IF304">
        <v>3548.5</v>
      </c>
      <c r="IG304">
        <v>3395.2</v>
      </c>
      <c r="IH304">
        <v>3395.4</v>
      </c>
      <c r="II304">
        <v>3302.3</v>
      </c>
      <c r="IJ304">
        <v>3172.8</v>
      </c>
      <c r="IK304">
        <v>0</v>
      </c>
      <c r="IL304">
        <v>0</v>
      </c>
      <c r="IM304">
        <v>0</v>
      </c>
      <c r="IN304">
        <v>0</v>
      </c>
      <c r="IO304">
        <v>123.4</v>
      </c>
      <c r="IP304">
        <v>405.2</v>
      </c>
      <c r="IQ304">
        <v>418.7</v>
      </c>
      <c r="IR304">
        <v>0</v>
      </c>
      <c r="IS304">
        <v>0</v>
      </c>
      <c r="IT304">
        <v>0</v>
      </c>
      <c r="IU304">
        <v>0</v>
      </c>
      <c r="IV304">
        <v>396</v>
      </c>
      <c r="IW304">
        <v>0</v>
      </c>
      <c r="IX304">
        <v>0</v>
      </c>
      <c r="IZ304">
        <v>0</v>
      </c>
      <c r="JA304">
        <v>65.5</v>
      </c>
      <c r="JB304">
        <v>443.5</v>
      </c>
      <c r="JC304">
        <v>0</v>
      </c>
      <c r="JD304">
        <v>0</v>
      </c>
      <c r="JE304">
        <v>0</v>
      </c>
      <c r="JF304">
        <v>0</v>
      </c>
      <c r="JG304">
        <v>0</v>
      </c>
      <c r="JH304">
        <v>0</v>
      </c>
      <c r="JI304">
        <v>0</v>
      </c>
      <c r="JJ304">
        <v>0</v>
      </c>
      <c r="JK304">
        <v>0</v>
      </c>
      <c r="JL304">
        <v>0</v>
      </c>
      <c r="JM304">
        <v>0</v>
      </c>
      <c r="JN304">
        <v>0</v>
      </c>
      <c r="JO304">
        <v>0</v>
      </c>
      <c r="JP304">
        <v>0</v>
      </c>
      <c r="JQ304">
        <v>0</v>
      </c>
      <c r="JR304">
        <v>0</v>
      </c>
      <c r="JS304">
        <v>0</v>
      </c>
      <c r="JT304">
        <v>0</v>
      </c>
      <c r="JU304">
        <v>0</v>
      </c>
      <c r="JV304">
        <v>0</v>
      </c>
      <c r="JW304">
        <v>0</v>
      </c>
      <c r="JX304">
        <v>0</v>
      </c>
      <c r="JY304">
        <v>0</v>
      </c>
      <c r="JZ304">
        <v>0</v>
      </c>
      <c r="KA304">
        <v>0</v>
      </c>
      <c r="KB304">
        <v>0</v>
      </c>
      <c r="KC304">
        <v>0</v>
      </c>
      <c r="KD304">
        <v>0</v>
      </c>
      <c r="KE304">
        <v>0</v>
      </c>
      <c r="KF304">
        <v>0</v>
      </c>
      <c r="KI304">
        <v>344.6</v>
      </c>
      <c r="KJ304">
        <v>350.8</v>
      </c>
      <c r="KK304">
        <v>22.1</v>
      </c>
      <c r="KL304">
        <v>379.3</v>
      </c>
      <c r="KM304">
        <v>241.4</v>
      </c>
      <c r="KN304">
        <v>0</v>
      </c>
      <c r="KO304">
        <v>0</v>
      </c>
      <c r="KP304">
        <v>57.3</v>
      </c>
      <c r="KQ304">
        <v>224.4</v>
      </c>
      <c r="KR304">
        <v>338.3</v>
      </c>
      <c r="KS304">
        <v>215.8</v>
      </c>
      <c r="KT304">
        <v>40.700000000000003</v>
      </c>
      <c r="KW304">
        <v>2154.5</v>
      </c>
      <c r="KX304">
        <v>1255.7</v>
      </c>
      <c r="KY304">
        <v>1630.1</v>
      </c>
      <c r="KZ304">
        <v>1246.9000000000001</v>
      </c>
      <c r="LB304">
        <v>78.099999999999994</v>
      </c>
      <c r="LC304">
        <v>77.7</v>
      </c>
    </row>
    <row r="305" spans="1:315" ht="18" thickBot="1">
      <c r="A305" s="186"/>
      <c r="B305" s="186" t="s">
        <v>490</v>
      </c>
      <c r="C305" s="334" t="s">
        <v>848</v>
      </c>
      <c r="D305" s="282" t="s">
        <v>656</v>
      </c>
      <c r="E305" s="447">
        <v>0</v>
      </c>
      <c r="F305" s="193">
        <v>0</v>
      </c>
      <c r="G305" s="427">
        <v>3413.8</v>
      </c>
      <c r="H305" s="155"/>
      <c r="I305">
        <v>735</v>
      </c>
      <c r="K305">
        <v>1973.1000000000001</v>
      </c>
      <c r="L305" s="4">
        <v>221.60000000000002</v>
      </c>
      <c r="M305" s="4">
        <v>54.9</v>
      </c>
      <c r="N305" s="4">
        <v>1989.7</v>
      </c>
      <c r="P305">
        <v>0</v>
      </c>
      <c r="Q305">
        <v>238.29999999999998</v>
      </c>
      <c r="R305">
        <v>0</v>
      </c>
      <c r="S305">
        <v>0</v>
      </c>
      <c r="T305">
        <v>368.5</v>
      </c>
      <c r="W305">
        <v>720.3</v>
      </c>
      <c r="X305">
        <v>1411.5</v>
      </c>
      <c r="Y305">
        <v>96.5</v>
      </c>
      <c r="AA305">
        <v>859.6</v>
      </c>
      <c r="AB305">
        <v>1577.6000000000001</v>
      </c>
      <c r="AE305">
        <v>1330</v>
      </c>
      <c r="AF305">
        <v>1025.5</v>
      </c>
      <c r="AH305">
        <v>509.9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1349.3</v>
      </c>
      <c r="AO305">
        <v>786.40000000000009</v>
      </c>
      <c r="AP305">
        <v>0</v>
      </c>
      <c r="AQ305">
        <v>68.3</v>
      </c>
      <c r="AR305">
        <v>234.9</v>
      </c>
      <c r="AS305">
        <v>600.40000000000009</v>
      </c>
      <c r="AU305">
        <v>985.69999999999993</v>
      </c>
      <c r="AW305">
        <v>792</v>
      </c>
      <c r="AX305">
        <v>1988.5</v>
      </c>
      <c r="AZ305">
        <v>763.5</v>
      </c>
      <c r="BA305">
        <v>0</v>
      </c>
      <c r="BB305">
        <v>0</v>
      </c>
      <c r="BC305">
        <v>1935.3</v>
      </c>
      <c r="BD305">
        <v>1006.5</v>
      </c>
      <c r="BE305">
        <v>0</v>
      </c>
      <c r="BF305">
        <v>0</v>
      </c>
      <c r="BG305">
        <v>0</v>
      </c>
      <c r="BH305">
        <v>1662.6</v>
      </c>
      <c r="BJ305">
        <v>0</v>
      </c>
      <c r="BK305">
        <v>0</v>
      </c>
      <c r="BL305">
        <v>1038.9000000000001</v>
      </c>
      <c r="BM305">
        <v>1101</v>
      </c>
      <c r="BO305">
        <v>1276.8000000000002</v>
      </c>
      <c r="BQ305">
        <v>0</v>
      </c>
      <c r="BR305">
        <v>270.7</v>
      </c>
      <c r="BS305">
        <v>230.5</v>
      </c>
      <c r="BT305">
        <v>472.3</v>
      </c>
      <c r="BU305">
        <v>537.29999999999995</v>
      </c>
      <c r="BV305">
        <v>346.3</v>
      </c>
      <c r="BW305">
        <v>386.2</v>
      </c>
      <c r="BX305">
        <v>767</v>
      </c>
      <c r="BY305">
        <v>757.2</v>
      </c>
      <c r="BZ305">
        <v>1037.2</v>
      </c>
      <c r="CA305">
        <v>1227.0999999999999</v>
      </c>
      <c r="CB305">
        <v>1232.0999999999999</v>
      </c>
      <c r="CC305">
        <v>1701.5</v>
      </c>
      <c r="CD305">
        <v>0</v>
      </c>
      <c r="CG305">
        <v>1385.3</v>
      </c>
      <c r="CJ305">
        <v>1630.2999999999997</v>
      </c>
      <c r="CM305">
        <v>1184.2</v>
      </c>
      <c r="CO305">
        <v>1248.0999999999999</v>
      </c>
      <c r="CQ305">
        <v>1435.3</v>
      </c>
      <c r="CR305">
        <v>798.2</v>
      </c>
      <c r="CS305">
        <v>923.8</v>
      </c>
      <c r="CT305">
        <v>0</v>
      </c>
      <c r="CU305">
        <v>0</v>
      </c>
      <c r="CV305">
        <v>0</v>
      </c>
      <c r="CW305">
        <v>0</v>
      </c>
      <c r="CX305">
        <v>163.69999999999999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I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0</v>
      </c>
      <c r="EI305">
        <v>0</v>
      </c>
      <c r="EJ305">
        <v>0</v>
      </c>
      <c r="EM305">
        <v>0</v>
      </c>
      <c r="EN305">
        <v>0</v>
      </c>
      <c r="EO305">
        <v>0</v>
      </c>
      <c r="EP305">
        <v>0</v>
      </c>
      <c r="EQ305">
        <v>0</v>
      </c>
      <c r="ER305">
        <v>0</v>
      </c>
      <c r="ES305">
        <v>0</v>
      </c>
      <c r="ET305">
        <v>0</v>
      </c>
      <c r="EW305">
        <v>0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  <c r="FD305">
        <v>0</v>
      </c>
      <c r="FG305" t="e">
        <v>#N/A</v>
      </c>
      <c r="FI305" t="e">
        <v>#N/A</v>
      </c>
      <c r="FK305" t="e">
        <v>#N/A</v>
      </c>
      <c r="FM305" t="e">
        <v>#N/A</v>
      </c>
      <c r="FO305" t="e">
        <v>#N/A</v>
      </c>
      <c r="FQ305" t="e">
        <v>#N/A</v>
      </c>
      <c r="FS305" t="e">
        <v>#N/A</v>
      </c>
      <c r="FU305" t="e">
        <v>#N/A</v>
      </c>
      <c r="FW305" t="e">
        <v>#N/A</v>
      </c>
      <c r="FY305" t="e">
        <v>#N/A</v>
      </c>
      <c r="GA305" t="e">
        <v>#N/A</v>
      </c>
      <c r="GC305" t="e">
        <v>#N/A</v>
      </c>
      <c r="GE305" t="e">
        <v>#N/A</v>
      </c>
      <c r="GG305" t="e">
        <v>#N/A</v>
      </c>
      <c r="GI305" t="e">
        <v>#N/A</v>
      </c>
      <c r="GK305" t="e">
        <v>#N/A</v>
      </c>
      <c r="GM305" t="e">
        <v>#N/A</v>
      </c>
      <c r="GO305" t="e">
        <v>#N/A</v>
      </c>
      <c r="GQ305" t="e">
        <v>#N/A</v>
      </c>
      <c r="GS305" t="e">
        <v>#N/A</v>
      </c>
      <c r="GU305" t="e">
        <v>#N/A</v>
      </c>
      <c r="GW305" t="e">
        <v>#N/A</v>
      </c>
      <c r="GY305" t="e">
        <v>#N/A</v>
      </c>
      <c r="HA305" t="e">
        <v>#N/A</v>
      </c>
      <c r="HC305">
        <v>0</v>
      </c>
      <c r="HD305">
        <v>0</v>
      </c>
      <c r="HE305">
        <v>0</v>
      </c>
      <c r="HF305">
        <v>0</v>
      </c>
      <c r="HG305">
        <v>0</v>
      </c>
      <c r="HH305">
        <v>0</v>
      </c>
      <c r="HI305">
        <v>0</v>
      </c>
      <c r="HJ305">
        <v>0</v>
      </c>
      <c r="HM305">
        <v>0</v>
      </c>
      <c r="HN305">
        <v>0</v>
      </c>
      <c r="HO305">
        <v>0</v>
      </c>
      <c r="HP305">
        <v>0</v>
      </c>
      <c r="HQ305">
        <v>0</v>
      </c>
      <c r="HR305">
        <v>0</v>
      </c>
      <c r="HS305">
        <v>0</v>
      </c>
      <c r="HT305">
        <v>0</v>
      </c>
      <c r="HW305">
        <v>0</v>
      </c>
      <c r="HX305">
        <v>0</v>
      </c>
      <c r="HY305">
        <v>0</v>
      </c>
      <c r="HZ305">
        <v>0</v>
      </c>
      <c r="IA305">
        <v>3930.6</v>
      </c>
      <c r="IB305">
        <v>3632.9</v>
      </c>
      <c r="IC305">
        <v>3795.5</v>
      </c>
      <c r="ID305">
        <v>0</v>
      </c>
      <c r="IE305">
        <v>0</v>
      </c>
      <c r="IF305">
        <v>3548.5</v>
      </c>
      <c r="IG305">
        <v>3395.2</v>
      </c>
      <c r="IH305">
        <v>3395.4</v>
      </c>
      <c r="II305">
        <v>3302.3</v>
      </c>
      <c r="IJ305">
        <v>3172.8</v>
      </c>
      <c r="IK305">
        <v>0</v>
      </c>
      <c r="IL305">
        <v>0</v>
      </c>
      <c r="IM305">
        <v>0</v>
      </c>
      <c r="IN305">
        <v>0</v>
      </c>
      <c r="IO305">
        <v>123.4</v>
      </c>
      <c r="IP305">
        <v>405.2</v>
      </c>
      <c r="IQ305">
        <v>418.7</v>
      </c>
      <c r="IR305">
        <v>0</v>
      </c>
      <c r="IS305">
        <v>0</v>
      </c>
      <c r="IT305">
        <v>0</v>
      </c>
      <c r="IU305">
        <v>0</v>
      </c>
      <c r="IV305">
        <v>396</v>
      </c>
      <c r="IW305">
        <v>0</v>
      </c>
      <c r="IX305">
        <v>0</v>
      </c>
      <c r="IZ305">
        <v>0</v>
      </c>
      <c r="JA305">
        <v>65.5</v>
      </c>
      <c r="JB305">
        <v>443.5</v>
      </c>
      <c r="JC305">
        <v>0</v>
      </c>
      <c r="JD305">
        <v>0</v>
      </c>
      <c r="JE305">
        <v>0</v>
      </c>
      <c r="JF305">
        <v>0</v>
      </c>
      <c r="JG305">
        <v>0</v>
      </c>
      <c r="JH305">
        <v>0</v>
      </c>
      <c r="JI305">
        <v>0</v>
      </c>
      <c r="JJ305">
        <v>0</v>
      </c>
      <c r="JK305">
        <v>0</v>
      </c>
      <c r="JL305">
        <v>0</v>
      </c>
      <c r="JM305">
        <v>0</v>
      </c>
      <c r="JN305">
        <v>0</v>
      </c>
      <c r="JO305">
        <v>0</v>
      </c>
      <c r="JP305">
        <v>0</v>
      </c>
      <c r="JQ305">
        <v>0</v>
      </c>
      <c r="JR305">
        <v>0</v>
      </c>
      <c r="JS305">
        <v>0</v>
      </c>
      <c r="JT305">
        <v>0</v>
      </c>
      <c r="JU305">
        <v>0</v>
      </c>
      <c r="JV305">
        <v>0</v>
      </c>
      <c r="JW305">
        <v>0</v>
      </c>
      <c r="JX305">
        <v>0</v>
      </c>
      <c r="JY305">
        <v>0</v>
      </c>
      <c r="JZ305">
        <v>0</v>
      </c>
      <c r="KA305">
        <v>0</v>
      </c>
      <c r="KB305">
        <v>0</v>
      </c>
      <c r="KC305">
        <v>0</v>
      </c>
      <c r="KD305">
        <v>0</v>
      </c>
      <c r="KE305">
        <v>0</v>
      </c>
      <c r="KF305">
        <v>0</v>
      </c>
      <c r="KI305">
        <v>344.6</v>
      </c>
      <c r="KJ305">
        <v>350.8</v>
      </c>
      <c r="KK305">
        <v>22.1</v>
      </c>
      <c r="KL305">
        <v>379.3</v>
      </c>
      <c r="KM305">
        <v>241.4</v>
      </c>
      <c r="KN305">
        <v>0</v>
      </c>
      <c r="KO305">
        <v>0</v>
      </c>
      <c r="KP305">
        <v>57.3</v>
      </c>
      <c r="KQ305">
        <v>224.4</v>
      </c>
      <c r="KR305">
        <v>338.3</v>
      </c>
      <c r="KS305">
        <v>215.8</v>
      </c>
      <c r="KT305">
        <v>40.700000000000003</v>
      </c>
      <c r="KW305">
        <v>2154.5</v>
      </c>
      <c r="KX305">
        <v>1255.7</v>
      </c>
      <c r="KY305">
        <v>1630.1</v>
      </c>
      <c r="KZ305">
        <v>1246.9000000000001</v>
      </c>
      <c r="LB305">
        <v>78.099999999999994</v>
      </c>
      <c r="LC305">
        <v>77.7</v>
      </c>
    </row>
    <row r="306" spans="1:315" ht="18.600000000000001" thickTop="1" thickBot="1">
      <c r="A306" s="184"/>
      <c r="B306" s="184" t="s">
        <v>586</v>
      </c>
      <c r="C306" s="333" t="s">
        <v>849</v>
      </c>
      <c r="D306" s="287" t="s">
        <v>656</v>
      </c>
      <c r="E306" s="442">
        <v>0</v>
      </c>
      <c r="F306" s="202">
        <v>0</v>
      </c>
      <c r="G306" s="427">
        <v>3413.8</v>
      </c>
      <c r="H306" s="155"/>
      <c r="I306">
        <v>735</v>
      </c>
      <c r="K306">
        <v>1973.1000000000001</v>
      </c>
      <c r="L306" s="4">
        <v>221.60000000000002</v>
      </c>
      <c r="M306" s="4">
        <v>54.9</v>
      </c>
      <c r="N306" s="4">
        <v>1989.7</v>
      </c>
      <c r="P306">
        <v>0</v>
      </c>
      <c r="Q306">
        <v>238.29999999999998</v>
      </c>
      <c r="R306">
        <v>0</v>
      </c>
      <c r="S306">
        <v>0</v>
      </c>
      <c r="T306">
        <v>368.5</v>
      </c>
      <c r="W306">
        <v>720.3</v>
      </c>
      <c r="X306">
        <v>1411.5</v>
      </c>
      <c r="Y306">
        <v>96.5</v>
      </c>
      <c r="AA306">
        <v>859.6</v>
      </c>
      <c r="AB306">
        <v>1577.6000000000001</v>
      </c>
      <c r="AE306">
        <v>1330</v>
      </c>
      <c r="AF306">
        <v>1025.5</v>
      </c>
      <c r="AH306">
        <v>509.9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1349.3</v>
      </c>
      <c r="AO306">
        <v>786.40000000000009</v>
      </c>
      <c r="AP306">
        <v>0</v>
      </c>
      <c r="AQ306">
        <v>68.3</v>
      </c>
      <c r="AR306">
        <v>234.9</v>
      </c>
      <c r="AS306">
        <v>600.40000000000009</v>
      </c>
      <c r="AU306">
        <v>985.69999999999993</v>
      </c>
      <c r="AW306">
        <v>792</v>
      </c>
      <c r="AX306">
        <v>1988.5</v>
      </c>
      <c r="AZ306">
        <v>763.5</v>
      </c>
      <c r="BA306">
        <v>0</v>
      </c>
      <c r="BB306">
        <v>0</v>
      </c>
      <c r="BC306">
        <v>1935.3</v>
      </c>
      <c r="BD306">
        <v>1006.5</v>
      </c>
      <c r="BE306">
        <v>0</v>
      </c>
      <c r="BF306">
        <v>0</v>
      </c>
      <c r="BG306">
        <v>0</v>
      </c>
      <c r="BH306">
        <v>1662.6</v>
      </c>
      <c r="BJ306">
        <v>0</v>
      </c>
      <c r="BK306">
        <v>0</v>
      </c>
      <c r="BL306">
        <v>1038.9000000000001</v>
      </c>
      <c r="BM306">
        <v>1101</v>
      </c>
      <c r="BO306">
        <v>1276.8000000000002</v>
      </c>
      <c r="BQ306">
        <v>0</v>
      </c>
      <c r="BR306">
        <v>270.7</v>
      </c>
      <c r="BS306">
        <v>230.5</v>
      </c>
      <c r="BT306">
        <v>472.3</v>
      </c>
      <c r="BU306">
        <v>537.29999999999995</v>
      </c>
      <c r="BV306">
        <v>346.3</v>
      </c>
      <c r="BW306">
        <v>386.2</v>
      </c>
      <c r="BX306">
        <v>767</v>
      </c>
      <c r="BY306">
        <v>757.2</v>
      </c>
      <c r="BZ306">
        <v>1037.2</v>
      </c>
      <c r="CA306">
        <v>1227.0999999999999</v>
      </c>
      <c r="CB306">
        <v>1232.0999999999999</v>
      </c>
      <c r="CC306">
        <v>1701.5</v>
      </c>
      <c r="CD306">
        <v>0</v>
      </c>
      <c r="CG306">
        <v>1385.3</v>
      </c>
      <c r="CJ306">
        <v>1630.2999999999997</v>
      </c>
      <c r="CM306">
        <v>1184.2</v>
      </c>
      <c r="CO306">
        <v>1248.0999999999999</v>
      </c>
      <c r="CQ306">
        <v>1435.3</v>
      </c>
      <c r="CR306">
        <v>798.2</v>
      </c>
      <c r="CS306">
        <v>923.8</v>
      </c>
      <c r="CT306">
        <v>0</v>
      </c>
      <c r="CU306">
        <v>0</v>
      </c>
      <c r="CV306">
        <v>0</v>
      </c>
      <c r="CW306">
        <v>0</v>
      </c>
      <c r="CX306">
        <v>163.69999999999999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0</v>
      </c>
      <c r="DE306">
        <v>0</v>
      </c>
      <c r="DI306">
        <v>0</v>
      </c>
      <c r="EC306">
        <v>0</v>
      </c>
      <c r="ED306">
        <v>0</v>
      </c>
      <c r="EE306">
        <v>0</v>
      </c>
      <c r="EF306">
        <v>0</v>
      </c>
      <c r="EG306">
        <v>0</v>
      </c>
      <c r="EH306">
        <v>0</v>
      </c>
      <c r="EI306">
        <v>0</v>
      </c>
      <c r="EJ306">
        <v>0</v>
      </c>
      <c r="EM306">
        <v>0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0</v>
      </c>
      <c r="ET306">
        <v>0</v>
      </c>
      <c r="EW306">
        <v>0</v>
      </c>
      <c r="EX306">
        <v>0</v>
      </c>
      <c r="EY306">
        <v>0</v>
      </c>
      <c r="EZ306">
        <v>0</v>
      </c>
      <c r="FA306">
        <v>0</v>
      </c>
      <c r="FB306">
        <v>0</v>
      </c>
      <c r="FC306">
        <v>0</v>
      </c>
      <c r="FD306">
        <v>0</v>
      </c>
      <c r="FG306" t="e">
        <v>#N/A</v>
      </c>
      <c r="FI306" t="e">
        <v>#N/A</v>
      </c>
      <c r="FK306" t="e">
        <v>#N/A</v>
      </c>
      <c r="FM306" t="e">
        <v>#N/A</v>
      </c>
      <c r="FO306" t="e">
        <v>#N/A</v>
      </c>
      <c r="FQ306" t="e">
        <v>#N/A</v>
      </c>
      <c r="FS306" t="e">
        <v>#N/A</v>
      </c>
      <c r="FU306" t="e">
        <v>#N/A</v>
      </c>
      <c r="FW306" t="e">
        <v>#N/A</v>
      </c>
      <c r="FY306" t="e">
        <v>#N/A</v>
      </c>
      <c r="GA306" t="e">
        <v>#N/A</v>
      </c>
      <c r="GC306" t="e">
        <v>#N/A</v>
      </c>
      <c r="GE306" t="e">
        <v>#N/A</v>
      </c>
      <c r="GG306" t="e">
        <v>#N/A</v>
      </c>
      <c r="GI306" t="e">
        <v>#N/A</v>
      </c>
      <c r="GK306" t="e">
        <v>#N/A</v>
      </c>
      <c r="GM306" t="e">
        <v>#N/A</v>
      </c>
      <c r="GO306" t="e">
        <v>#N/A</v>
      </c>
      <c r="GQ306" t="e">
        <v>#N/A</v>
      </c>
      <c r="GS306" t="e">
        <v>#N/A</v>
      </c>
      <c r="GU306" t="e">
        <v>#N/A</v>
      </c>
      <c r="GW306" t="e">
        <v>#N/A</v>
      </c>
      <c r="GY306" t="e">
        <v>#N/A</v>
      </c>
      <c r="HA306" t="e">
        <v>#N/A</v>
      </c>
      <c r="HC306">
        <v>0</v>
      </c>
      <c r="HD306">
        <v>0</v>
      </c>
      <c r="HE306">
        <v>0</v>
      </c>
      <c r="HF306">
        <v>0</v>
      </c>
      <c r="HG306">
        <v>0</v>
      </c>
      <c r="HH306">
        <v>0</v>
      </c>
      <c r="HI306">
        <v>0</v>
      </c>
      <c r="HJ306">
        <v>0</v>
      </c>
      <c r="HM306">
        <v>0</v>
      </c>
      <c r="HN306">
        <v>0</v>
      </c>
      <c r="HO306">
        <v>0</v>
      </c>
      <c r="HP306">
        <v>0</v>
      </c>
      <c r="HQ306">
        <v>0</v>
      </c>
      <c r="HR306">
        <v>0</v>
      </c>
      <c r="HS306">
        <v>0</v>
      </c>
      <c r="HT306">
        <v>0</v>
      </c>
      <c r="HW306">
        <v>0</v>
      </c>
      <c r="HX306">
        <v>0</v>
      </c>
      <c r="HY306">
        <v>0</v>
      </c>
      <c r="HZ306">
        <v>0</v>
      </c>
      <c r="IA306">
        <v>3930.6</v>
      </c>
      <c r="IB306">
        <v>3632.9</v>
      </c>
      <c r="IC306">
        <v>3795.5</v>
      </c>
      <c r="ID306">
        <v>0</v>
      </c>
      <c r="IE306">
        <v>0</v>
      </c>
      <c r="IF306">
        <v>3548.5</v>
      </c>
      <c r="IG306">
        <v>3395.2</v>
      </c>
      <c r="IH306">
        <v>3395.4</v>
      </c>
      <c r="II306">
        <v>3302.3</v>
      </c>
      <c r="IJ306">
        <v>3172.8</v>
      </c>
      <c r="IK306">
        <v>0</v>
      </c>
      <c r="IL306">
        <v>0</v>
      </c>
      <c r="IM306">
        <v>0</v>
      </c>
      <c r="IN306">
        <v>0</v>
      </c>
      <c r="IO306">
        <v>123.4</v>
      </c>
      <c r="IP306">
        <v>405.2</v>
      </c>
      <c r="IQ306">
        <v>418.7</v>
      </c>
      <c r="IR306">
        <v>0</v>
      </c>
      <c r="IS306">
        <v>0</v>
      </c>
      <c r="IT306">
        <v>0</v>
      </c>
      <c r="IU306">
        <v>0</v>
      </c>
      <c r="IV306">
        <v>396</v>
      </c>
      <c r="IW306">
        <v>0</v>
      </c>
      <c r="IX306">
        <v>0</v>
      </c>
      <c r="IZ306">
        <v>0</v>
      </c>
      <c r="JA306">
        <v>65.5</v>
      </c>
      <c r="JB306">
        <v>443.5</v>
      </c>
      <c r="JC306">
        <v>0</v>
      </c>
      <c r="JD306">
        <v>0</v>
      </c>
      <c r="JE306">
        <v>0</v>
      </c>
      <c r="JF306">
        <v>0</v>
      </c>
      <c r="JG306">
        <v>0</v>
      </c>
      <c r="JH306">
        <v>0</v>
      </c>
      <c r="JI306">
        <v>0</v>
      </c>
      <c r="JJ306">
        <v>0</v>
      </c>
      <c r="JK306">
        <v>0</v>
      </c>
      <c r="JL306">
        <v>0</v>
      </c>
      <c r="JM306">
        <v>0</v>
      </c>
      <c r="JN306">
        <v>0</v>
      </c>
      <c r="JO306">
        <v>0</v>
      </c>
      <c r="JP306">
        <v>0</v>
      </c>
      <c r="JQ306">
        <v>0</v>
      </c>
      <c r="JR306">
        <v>0</v>
      </c>
      <c r="JS306">
        <v>0</v>
      </c>
      <c r="JT306">
        <v>0</v>
      </c>
      <c r="JU306">
        <v>0</v>
      </c>
      <c r="JV306">
        <v>0</v>
      </c>
      <c r="JW306">
        <v>0</v>
      </c>
      <c r="JX306">
        <v>0</v>
      </c>
      <c r="JY306">
        <v>0</v>
      </c>
      <c r="JZ306">
        <v>0</v>
      </c>
      <c r="KA306">
        <v>0</v>
      </c>
      <c r="KB306">
        <v>0</v>
      </c>
      <c r="KC306">
        <v>0</v>
      </c>
      <c r="KD306">
        <v>0</v>
      </c>
      <c r="KE306">
        <v>0</v>
      </c>
      <c r="KF306">
        <v>0</v>
      </c>
      <c r="KI306">
        <v>344.6</v>
      </c>
      <c r="KJ306">
        <v>350.8</v>
      </c>
      <c r="KK306">
        <v>22.1</v>
      </c>
      <c r="KL306">
        <v>379.3</v>
      </c>
      <c r="KM306">
        <v>241.4</v>
      </c>
      <c r="KN306">
        <v>0</v>
      </c>
      <c r="KO306">
        <v>0</v>
      </c>
      <c r="KP306">
        <v>57.3</v>
      </c>
      <c r="KQ306">
        <v>224.4</v>
      </c>
      <c r="KR306">
        <v>338.3</v>
      </c>
      <c r="KS306">
        <v>215.8</v>
      </c>
      <c r="KT306">
        <v>40.700000000000003</v>
      </c>
      <c r="KW306">
        <v>2154.5</v>
      </c>
      <c r="KX306">
        <v>1255.7</v>
      </c>
      <c r="KY306">
        <v>1630.1</v>
      </c>
      <c r="KZ306">
        <v>1246.9000000000001</v>
      </c>
      <c r="LB306">
        <v>78.099999999999994</v>
      </c>
      <c r="LC306">
        <v>77.7</v>
      </c>
    </row>
    <row r="307" spans="1:315" ht="18" thickBot="1">
      <c r="A307" s="185"/>
      <c r="B307" s="185" t="s">
        <v>587</v>
      </c>
      <c r="C307" s="230" t="s">
        <v>850</v>
      </c>
      <c r="D307" s="281" t="s">
        <v>656</v>
      </c>
      <c r="E307" s="443">
        <v>0</v>
      </c>
      <c r="F307" s="191">
        <v>0</v>
      </c>
      <c r="G307" s="427">
        <v>3413.8</v>
      </c>
      <c r="H307" s="155"/>
      <c r="I307">
        <v>735</v>
      </c>
      <c r="K307">
        <v>1973.1000000000001</v>
      </c>
      <c r="L307" s="4">
        <v>221.60000000000002</v>
      </c>
      <c r="M307" s="4">
        <v>54.9</v>
      </c>
      <c r="N307" s="4">
        <v>1989.7</v>
      </c>
      <c r="P307">
        <v>0</v>
      </c>
      <c r="Q307">
        <v>238.29999999999998</v>
      </c>
      <c r="R307">
        <v>0</v>
      </c>
      <c r="S307">
        <v>0</v>
      </c>
      <c r="T307">
        <v>368.5</v>
      </c>
      <c r="W307">
        <v>720.3</v>
      </c>
      <c r="X307">
        <v>1411.5</v>
      </c>
      <c r="Y307">
        <v>96.5</v>
      </c>
      <c r="AA307">
        <v>859.6</v>
      </c>
      <c r="AB307">
        <v>1577.6000000000001</v>
      </c>
      <c r="AE307">
        <v>1330</v>
      </c>
      <c r="AF307">
        <v>1025.5</v>
      </c>
      <c r="AH307">
        <v>509.9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1349.3</v>
      </c>
      <c r="AO307">
        <v>786.40000000000009</v>
      </c>
      <c r="AP307">
        <v>0</v>
      </c>
      <c r="AQ307">
        <v>68.3</v>
      </c>
      <c r="AR307">
        <v>234.9</v>
      </c>
      <c r="AS307">
        <v>600.40000000000009</v>
      </c>
      <c r="AU307">
        <v>985.69999999999993</v>
      </c>
      <c r="AW307">
        <v>792</v>
      </c>
      <c r="AX307">
        <v>1988.5</v>
      </c>
      <c r="AZ307">
        <v>763.5</v>
      </c>
      <c r="BA307">
        <v>0</v>
      </c>
      <c r="BB307">
        <v>0</v>
      </c>
      <c r="BC307">
        <v>1935.3</v>
      </c>
      <c r="BD307">
        <v>1006.5</v>
      </c>
      <c r="BE307">
        <v>0</v>
      </c>
      <c r="BF307">
        <v>0</v>
      </c>
      <c r="BG307">
        <v>0</v>
      </c>
      <c r="BH307">
        <v>1662.6</v>
      </c>
      <c r="BJ307">
        <v>0</v>
      </c>
      <c r="BK307">
        <v>0</v>
      </c>
      <c r="BL307">
        <v>1038.9000000000001</v>
      </c>
      <c r="BM307">
        <v>1101</v>
      </c>
      <c r="BO307">
        <v>1276.8000000000002</v>
      </c>
      <c r="BQ307">
        <v>0</v>
      </c>
      <c r="BR307">
        <v>270.7</v>
      </c>
      <c r="BS307">
        <v>230.5</v>
      </c>
      <c r="BT307">
        <v>472.3</v>
      </c>
      <c r="BU307">
        <v>537.29999999999995</v>
      </c>
      <c r="BV307">
        <v>346.3</v>
      </c>
      <c r="BW307">
        <v>386.2</v>
      </c>
      <c r="BX307">
        <v>767</v>
      </c>
      <c r="BY307">
        <v>757.2</v>
      </c>
      <c r="BZ307">
        <v>1037.2</v>
      </c>
      <c r="CA307">
        <v>1227.0999999999999</v>
      </c>
      <c r="CB307">
        <v>1232.0999999999999</v>
      </c>
      <c r="CC307">
        <v>1701.5</v>
      </c>
      <c r="CD307">
        <v>0</v>
      </c>
      <c r="CG307">
        <v>1385.3</v>
      </c>
      <c r="CJ307">
        <v>1630.2999999999997</v>
      </c>
      <c r="CM307">
        <v>1184.2</v>
      </c>
      <c r="CO307">
        <v>1248.0999999999999</v>
      </c>
      <c r="CQ307">
        <v>1435.3</v>
      </c>
      <c r="CR307">
        <v>798.2</v>
      </c>
      <c r="CS307">
        <v>923.8</v>
      </c>
      <c r="CT307">
        <v>0</v>
      </c>
      <c r="CU307">
        <v>0</v>
      </c>
      <c r="CV307">
        <v>0</v>
      </c>
      <c r="CW307">
        <v>0</v>
      </c>
      <c r="CX307">
        <v>163.69999999999999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0</v>
      </c>
      <c r="DE307">
        <v>0</v>
      </c>
      <c r="DI307">
        <v>0</v>
      </c>
      <c r="EC307">
        <v>0</v>
      </c>
      <c r="ED307">
        <v>0</v>
      </c>
      <c r="EE307">
        <v>0</v>
      </c>
      <c r="EF307">
        <v>0</v>
      </c>
      <c r="EG307">
        <v>0</v>
      </c>
      <c r="EH307">
        <v>0</v>
      </c>
      <c r="EI307">
        <v>0</v>
      </c>
      <c r="EJ307">
        <v>0</v>
      </c>
      <c r="EM307">
        <v>0</v>
      </c>
      <c r="EN307">
        <v>0</v>
      </c>
      <c r="EO307">
        <v>0</v>
      </c>
      <c r="EP307">
        <v>0</v>
      </c>
      <c r="EQ307">
        <v>0</v>
      </c>
      <c r="ER307">
        <v>0</v>
      </c>
      <c r="ES307">
        <v>0</v>
      </c>
      <c r="ET307">
        <v>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  <c r="FC307">
        <v>0</v>
      </c>
      <c r="FD307">
        <v>0</v>
      </c>
      <c r="FG307" t="e">
        <v>#N/A</v>
      </c>
      <c r="FI307" t="e">
        <v>#N/A</v>
      </c>
      <c r="FK307" t="e">
        <v>#N/A</v>
      </c>
      <c r="FM307" t="e">
        <v>#N/A</v>
      </c>
      <c r="FO307" t="e">
        <v>#N/A</v>
      </c>
      <c r="FQ307" t="e">
        <v>#N/A</v>
      </c>
      <c r="FS307" t="e">
        <v>#N/A</v>
      </c>
      <c r="FU307" t="e">
        <v>#N/A</v>
      </c>
      <c r="FW307" t="e">
        <v>#N/A</v>
      </c>
      <c r="FY307" t="e">
        <v>#N/A</v>
      </c>
      <c r="GA307" t="e">
        <v>#N/A</v>
      </c>
      <c r="GC307" t="e">
        <v>#N/A</v>
      </c>
      <c r="GE307" t="e">
        <v>#N/A</v>
      </c>
      <c r="GG307" t="e">
        <v>#N/A</v>
      </c>
      <c r="GI307" t="e">
        <v>#N/A</v>
      </c>
      <c r="GK307" t="e">
        <v>#N/A</v>
      </c>
      <c r="GM307" t="e">
        <v>#N/A</v>
      </c>
      <c r="GO307" t="e">
        <v>#N/A</v>
      </c>
      <c r="GQ307" t="e">
        <v>#N/A</v>
      </c>
      <c r="GS307" t="e">
        <v>#N/A</v>
      </c>
      <c r="GU307" t="e">
        <v>#N/A</v>
      </c>
      <c r="GW307" t="e">
        <v>#N/A</v>
      </c>
      <c r="GY307" t="e">
        <v>#N/A</v>
      </c>
      <c r="HA307" t="e">
        <v>#N/A</v>
      </c>
      <c r="HC307">
        <v>0</v>
      </c>
      <c r="HD307">
        <v>0</v>
      </c>
      <c r="HE307">
        <v>0</v>
      </c>
      <c r="HF307">
        <v>0</v>
      </c>
      <c r="HG307">
        <v>0</v>
      </c>
      <c r="HH307">
        <v>0</v>
      </c>
      <c r="HI307">
        <v>0</v>
      </c>
      <c r="HJ307">
        <v>0</v>
      </c>
      <c r="HM307">
        <v>0</v>
      </c>
      <c r="HN307">
        <v>0</v>
      </c>
      <c r="HO307">
        <v>0</v>
      </c>
      <c r="HP307">
        <v>0</v>
      </c>
      <c r="HQ307">
        <v>0</v>
      </c>
      <c r="HR307">
        <v>0</v>
      </c>
      <c r="HS307">
        <v>0</v>
      </c>
      <c r="HT307">
        <v>0</v>
      </c>
      <c r="HW307">
        <v>0</v>
      </c>
      <c r="HX307">
        <v>0</v>
      </c>
      <c r="HY307">
        <v>0</v>
      </c>
      <c r="HZ307">
        <v>0</v>
      </c>
      <c r="IA307">
        <v>3930.6</v>
      </c>
      <c r="IB307">
        <v>3632.9</v>
      </c>
      <c r="IC307">
        <v>3795.5</v>
      </c>
      <c r="ID307">
        <v>0</v>
      </c>
      <c r="IE307">
        <v>0</v>
      </c>
      <c r="IF307">
        <v>3548.5</v>
      </c>
      <c r="IG307">
        <v>3395.2</v>
      </c>
      <c r="IH307">
        <v>3395.4</v>
      </c>
      <c r="II307">
        <v>3302.3</v>
      </c>
      <c r="IJ307">
        <v>3172.8</v>
      </c>
      <c r="IK307">
        <v>0</v>
      </c>
      <c r="IL307">
        <v>0</v>
      </c>
      <c r="IM307">
        <v>0</v>
      </c>
      <c r="IN307">
        <v>0</v>
      </c>
      <c r="IO307">
        <v>123.4</v>
      </c>
      <c r="IP307">
        <v>405.2</v>
      </c>
      <c r="IQ307">
        <v>418.7</v>
      </c>
      <c r="IR307">
        <v>0</v>
      </c>
      <c r="IS307">
        <v>0</v>
      </c>
      <c r="IT307">
        <v>0</v>
      </c>
      <c r="IU307">
        <v>0</v>
      </c>
      <c r="IV307">
        <v>396</v>
      </c>
      <c r="IW307">
        <v>0</v>
      </c>
      <c r="IX307">
        <v>0</v>
      </c>
      <c r="IZ307">
        <v>0</v>
      </c>
      <c r="JA307">
        <v>65.5</v>
      </c>
      <c r="JB307">
        <v>443.5</v>
      </c>
      <c r="JC307">
        <v>0</v>
      </c>
      <c r="JD307">
        <v>0</v>
      </c>
      <c r="JE307">
        <v>0</v>
      </c>
      <c r="JF307">
        <v>0</v>
      </c>
      <c r="JG307">
        <v>0</v>
      </c>
      <c r="JH307">
        <v>0</v>
      </c>
      <c r="JI307">
        <v>0</v>
      </c>
      <c r="JJ307">
        <v>0</v>
      </c>
      <c r="JK307">
        <v>0</v>
      </c>
      <c r="JL307">
        <v>0</v>
      </c>
      <c r="JM307">
        <v>0</v>
      </c>
      <c r="JN307">
        <v>0</v>
      </c>
      <c r="JO307">
        <v>0</v>
      </c>
      <c r="JP307">
        <v>0</v>
      </c>
      <c r="JQ307">
        <v>0</v>
      </c>
      <c r="JR307">
        <v>0</v>
      </c>
      <c r="JS307">
        <v>0</v>
      </c>
      <c r="JT307">
        <v>0</v>
      </c>
      <c r="JU307">
        <v>0</v>
      </c>
      <c r="JV307">
        <v>0</v>
      </c>
      <c r="JW307">
        <v>0</v>
      </c>
      <c r="JX307">
        <v>0</v>
      </c>
      <c r="JY307">
        <v>0</v>
      </c>
      <c r="JZ307">
        <v>0</v>
      </c>
      <c r="KA307">
        <v>0</v>
      </c>
      <c r="KB307">
        <v>0</v>
      </c>
      <c r="KC307">
        <v>0</v>
      </c>
      <c r="KD307">
        <v>0</v>
      </c>
      <c r="KE307">
        <v>0</v>
      </c>
      <c r="KF307">
        <v>0</v>
      </c>
      <c r="KI307">
        <v>344.6</v>
      </c>
      <c r="KJ307">
        <v>350.8</v>
      </c>
      <c r="KK307">
        <v>22.1</v>
      </c>
      <c r="KL307">
        <v>379.3</v>
      </c>
      <c r="KM307">
        <v>241.4</v>
      </c>
      <c r="KN307">
        <v>0</v>
      </c>
      <c r="KO307">
        <v>0</v>
      </c>
      <c r="KP307">
        <v>57.3</v>
      </c>
      <c r="KQ307">
        <v>224.4</v>
      </c>
      <c r="KR307">
        <v>338.3</v>
      </c>
      <c r="KS307">
        <v>215.8</v>
      </c>
      <c r="KT307">
        <v>40.700000000000003</v>
      </c>
      <c r="KW307">
        <v>2154.5</v>
      </c>
      <c r="KX307">
        <v>1255.7</v>
      </c>
      <c r="KY307">
        <v>1630.1</v>
      </c>
      <c r="KZ307">
        <v>1246.9000000000001</v>
      </c>
      <c r="LB307">
        <v>78.099999999999994</v>
      </c>
      <c r="LC307">
        <v>77.7</v>
      </c>
    </row>
    <row r="308" spans="1:315" ht="18" thickBot="1">
      <c r="A308" s="185"/>
      <c r="B308" s="185" t="s">
        <v>588</v>
      </c>
      <c r="C308" s="230" t="s">
        <v>851</v>
      </c>
      <c r="D308" s="281" t="s">
        <v>656</v>
      </c>
      <c r="E308" s="443">
        <v>0</v>
      </c>
      <c r="F308" s="191">
        <v>0</v>
      </c>
      <c r="G308" s="427">
        <v>3413.8</v>
      </c>
      <c r="H308" s="155"/>
      <c r="I308">
        <v>735</v>
      </c>
      <c r="K308">
        <v>1973.1000000000001</v>
      </c>
      <c r="L308" s="4">
        <v>221.60000000000002</v>
      </c>
      <c r="M308" s="4">
        <v>54.9</v>
      </c>
      <c r="N308" s="4">
        <v>1989.7</v>
      </c>
      <c r="P308">
        <v>0</v>
      </c>
      <c r="Q308">
        <v>238.29999999999998</v>
      </c>
      <c r="R308">
        <v>0</v>
      </c>
      <c r="S308">
        <v>0</v>
      </c>
      <c r="T308">
        <v>368.5</v>
      </c>
      <c r="W308">
        <v>720.3</v>
      </c>
      <c r="X308">
        <v>1411.5</v>
      </c>
      <c r="Y308">
        <v>96.5</v>
      </c>
      <c r="AA308">
        <v>859.6</v>
      </c>
      <c r="AB308">
        <v>1577.6000000000001</v>
      </c>
      <c r="AE308">
        <v>1330</v>
      </c>
      <c r="AF308">
        <v>1025.5</v>
      </c>
      <c r="AH308">
        <v>509.9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1349.3</v>
      </c>
      <c r="AO308">
        <v>786.40000000000009</v>
      </c>
      <c r="AP308">
        <v>0</v>
      </c>
      <c r="AQ308">
        <v>68.3</v>
      </c>
      <c r="AR308">
        <v>234.9</v>
      </c>
      <c r="AS308">
        <v>600.40000000000009</v>
      </c>
      <c r="AU308">
        <v>985.69999999999993</v>
      </c>
      <c r="AW308">
        <v>792</v>
      </c>
      <c r="AX308">
        <v>1988.5</v>
      </c>
      <c r="AZ308">
        <v>763.5</v>
      </c>
      <c r="BA308">
        <v>0</v>
      </c>
      <c r="BB308">
        <v>0</v>
      </c>
      <c r="BC308">
        <v>1935.3</v>
      </c>
      <c r="BD308">
        <v>1006.5</v>
      </c>
      <c r="BE308">
        <v>0</v>
      </c>
      <c r="BF308">
        <v>0</v>
      </c>
      <c r="BG308">
        <v>0</v>
      </c>
      <c r="BH308">
        <v>1662.6</v>
      </c>
      <c r="BJ308">
        <v>0</v>
      </c>
      <c r="BK308">
        <v>0</v>
      </c>
      <c r="BL308">
        <v>1038.9000000000001</v>
      </c>
      <c r="BM308">
        <v>1101</v>
      </c>
      <c r="BO308">
        <v>1276.8000000000002</v>
      </c>
      <c r="BQ308">
        <v>0</v>
      </c>
      <c r="BR308">
        <v>270.7</v>
      </c>
      <c r="BS308">
        <v>230.5</v>
      </c>
      <c r="BT308">
        <v>472.3</v>
      </c>
      <c r="BU308">
        <v>537.29999999999995</v>
      </c>
      <c r="BV308">
        <v>346.3</v>
      </c>
      <c r="BW308">
        <v>386.2</v>
      </c>
      <c r="BX308">
        <v>767</v>
      </c>
      <c r="BY308">
        <v>757.2</v>
      </c>
      <c r="BZ308">
        <v>1037.2</v>
      </c>
      <c r="CA308">
        <v>1227.0999999999999</v>
      </c>
      <c r="CB308">
        <v>1232.0999999999999</v>
      </c>
      <c r="CC308">
        <v>1701.5</v>
      </c>
      <c r="CD308">
        <v>0</v>
      </c>
      <c r="CG308">
        <v>1385.3</v>
      </c>
      <c r="CJ308">
        <v>1630.2999999999997</v>
      </c>
      <c r="CM308">
        <v>1184.2</v>
      </c>
      <c r="CO308">
        <v>1248.0999999999999</v>
      </c>
      <c r="CQ308">
        <v>1435.3</v>
      </c>
      <c r="CR308">
        <v>798.2</v>
      </c>
      <c r="CS308">
        <v>923.8</v>
      </c>
      <c r="CT308">
        <v>0</v>
      </c>
      <c r="CU308">
        <v>0</v>
      </c>
      <c r="CV308">
        <v>0</v>
      </c>
      <c r="CW308">
        <v>0</v>
      </c>
      <c r="CX308">
        <v>163.69999999999999</v>
      </c>
      <c r="CY308">
        <v>0</v>
      </c>
      <c r="CZ308">
        <v>0</v>
      </c>
      <c r="DA308">
        <v>0</v>
      </c>
      <c r="DB308">
        <v>0</v>
      </c>
      <c r="DC308">
        <v>0</v>
      </c>
      <c r="DD308">
        <v>0</v>
      </c>
      <c r="DE308">
        <v>0</v>
      </c>
      <c r="DI308">
        <v>0</v>
      </c>
      <c r="EC308">
        <v>0</v>
      </c>
      <c r="ED308">
        <v>0</v>
      </c>
      <c r="EE308">
        <v>0</v>
      </c>
      <c r="EF308">
        <v>0</v>
      </c>
      <c r="EG308">
        <v>0</v>
      </c>
      <c r="EH308">
        <v>0</v>
      </c>
      <c r="EI308">
        <v>0</v>
      </c>
      <c r="EJ308">
        <v>0</v>
      </c>
      <c r="EM308">
        <v>0</v>
      </c>
      <c r="EN308">
        <v>0</v>
      </c>
      <c r="EO308">
        <v>0</v>
      </c>
      <c r="EP308">
        <v>0</v>
      </c>
      <c r="EQ308">
        <v>0</v>
      </c>
      <c r="ER308">
        <v>0</v>
      </c>
      <c r="ES308">
        <v>0</v>
      </c>
      <c r="ET308">
        <v>0</v>
      </c>
      <c r="EW308">
        <v>0</v>
      </c>
      <c r="EX308">
        <v>0</v>
      </c>
      <c r="EY308">
        <v>0</v>
      </c>
      <c r="EZ308">
        <v>0</v>
      </c>
      <c r="FA308">
        <v>0</v>
      </c>
      <c r="FB308">
        <v>0</v>
      </c>
      <c r="FC308">
        <v>0</v>
      </c>
      <c r="FD308">
        <v>0</v>
      </c>
      <c r="FG308" t="e">
        <v>#N/A</v>
      </c>
      <c r="FI308" t="e">
        <v>#N/A</v>
      </c>
      <c r="FK308" t="e">
        <v>#N/A</v>
      </c>
      <c r="FM308" t="e">
        <v>#N/A</v>
      </c>
      <c r="FO308" t="e">
        <v>#N/A</v>
      </c>
      <c r="FQ308" t="e">
        <v>#N/A</v>
      </c>
      <c r="FS308" t="e">
        <v>#N/A</v>
      </c>
      <c r="FU308" t="e">
        <v>#N/A</v>
      </c>
      <c r="FW308" t="e">
        <v>#N/A</v>
      </c>
      <c r="FY308" t="e">
        <v>#N/A</v>
      </c>
      <c r="GA308" t="e">
        <v>#N/A</v>
      </c>
      <c r="GC308" t="e">
        <v>#N/A</v>
      </c>
      <c r="GE308" t="e">
        <v>#N/A</v>
      </c>
      <c r="GG308" t="e">
        <v>#N/A</v>
      </c>
      <c r="GI308" t="e">
        <v>#N/A</v>
      </c>
      <c r="GK308" t="e">
        <v>#N/A</v>
      </c>
      <c r="GM308" t="e">
        <v>#N/A</v>
      </c>
      <c r="GO308" t="e">
        <v>#N/A</v>
      </c>
      <c r="GQ308" t="e">
        <v>#N/A</v>
      </c>
      <c r="GS308" t="e">
        <v>#N/A</v>
      </c>
      <c r="GU308" t="e">
        <v>#N/A</v>
      </c>
      <c r="GW308" t="e">
        <v>#N/A</v>
      </c>
      <c r="GY308" t="e">
        <v>#N/A</v>
      </c>
      <c r="HA308" t="e">
        <v>#N/A</v>
      </c>
      <c r="HC308">
        <v>0</v>
      </c>
      <c r="HD308">
        <v>0</v>
      </c>
      <c r="HE308">
        <v>0</v>
      </c>
      <c r="HF308">
        <v>0</v>
      </c>
      <c r="HG308">
        <v>0</v>
      </c>
      <c r="HH308">
        <v>0</v>
      </c>
      <c r="HI308">
        <v>0</v>
      </c>
      <c r="HJ308">
        <v>0</v>
      </c>
      <c r="HM308">
        <v>0</v>
      </c>
      <c r="HN308">
        <v>0</v>
      </c>
      <c r="HO308">
        <v>0</v>
      </c>
      <c r="HP308">
        <v>0</v>
      </c>
      <c r="HQ308">
        <v>0</v>
      </c>
      <c r="HR308">
        <v>0</v>
      </c>
      <c r="HS308">
        <v>0</v>
      </c>
      <c r="HT308">
        <v>0</v>
      </c>
      <c r="HW308">
        <v>0</v>
      </c>
      <c r="HX308">
        <v>0</v>
      </c>
      <c r="HY308">
        <v>0</v>
      </c>
      <c r="HZ308">
        <v>0</v>
      </c>
      <c r="IA308">
        <v>3930.6</v>
      </c>
      <c r="IB308">
        <v>3632.9</v>
      </c>
      <c r="IC308">
        <v>3795.5</v>
      </c>
      <c r="ID308">
        <v>0</v>
      </c>
      <c r="IE308">
        <v>0</v>
      </c>
      <c r="IF308">
        <v>3548.5</v>
      </c>
      <c r="IG308">
        <v>3395.2</v>
      </c>
      <c r="IH308">
        <v>3395.4</v>
      </c>
      <c r="II308">
        <v>3302.3</v>
      </c>
      <c r="IJ308">
        <v>3172.8</v>
      </c>
      <c r="IK308">
        <v>0</v>
      </c>
      <c r="IL308">
        <v>0</v>
      </c>
      <c r="IM308">
        <v>0</v>
      </c>
      <c r="IN308">
        <v>0</v>
      </c>
      <c r="IO308">
        <v>123.4</v>
      </c>
      <c r="IP308">
        <v>405.2</v>
      </c>
      <c r="IQ308">
        <v>418.7</v>
      </c>
      <c r="IR308">
        <v>0</v>
      </c>
      <c r="IS308">
        <v>0</v>
      </c>
      <c r="IT308">
        <v>0</v>
      </c>
      <c r="IU308">
        <v>0</v>
      </c>
      <c r="IV308">
        <v>396</v>
      </c>
      <c r="IW308">
        <v>0</v>
      </c>
      <c r="IX308">
        <v>0</v>
      </c>
      <c r="IZ308">
        <v>0</v>
      </c>
      <c r="JA308">
        <v>65.5</v>
      </c>
      <c r="JB308">
        <v>443.5</v>
      </c>
      <c r="JC308">
        <v>0</v>
      </c>
      <c r="JD308">
        <v>0</v>
      </c>
      <c r="JE308">
        <v>0</v>
      </c>
      <c r="JF308">
        <v>0</v>
      </c>
      <c r="JG308">
        <v>0</v>
      </c>
      <c r="JH308">
        <v>0</v>
      </c>
      <c r="JI308">
        <v>0</v>
      </c>
      <c r="JJ308">
        <v>0</v>
      </c>
      <c r="JK308">
        <v>0</v>
      </c>
      <c r="JL308">
        <v>0</v>
      </c>
      <c r="JM308">
        <v>0</v>
      </c>
      <c r="JN308">
        <v>0</v>
      </c>
      <c r="JO308">
        <v>0</v>
      </c>
      <c r="JP308">
        <v>0</v>
      </c>
      <c r="JQ308">
        <v>0</v>
      </c>
      <c r="JR308">
        <v>0</v>
      </c>
      <c r="JS308">
        <v>0</v>
      </c>
      <c r="JT308">
        <v>0</v>
      </c>
      <c r="JU308">
        <v>0</v>
      </c>
      <c r="JV308">
        <v>0</v>
      </c>
      <c r="JW308">
        <v>0</v>
      </c>
      <c r="JX308">
        <v>0</v>
      </c>
      <c r="JY308">
        <v>0</v>
      </c>
      <c r="JZ308">
        <v>0</v>
      </c>
      <c r="KA308">
        <v>0</v>
      </c>
      <c r="KB308">
        <v>0</v>
      </c>
      <c r="KC308">
        <v>0</v>
      </c>
      <c r="KD308">
        <v>0</v>
      </c>
      <c r="KE308">
        <v>0</v>
      </c>
      <c r="KF308">
        <v>0</v>
      </c>
      <c r="KI308">
        <v>344.6</v>
      </c>
      <c r="KJ308">
        <v>350.8</v>
      </c>
      <c r="KK308">
        <v>22.1</v>
      </c>
      <c r="KL308">
        <v>379.3</v>
      </c>
      <c r="KM308">
        <v>241.4</v>
      </c>
      <c r="KN308">
        <v>0</v>
      </c>
      <c r="KO308">
        <v>0</v>
      </c>
      <c r="KP308">
        <v>57.3</v>
      </c>
      <c r="KQ308">
        <v>224.4</v>
      </c>
      <c r="KR308">
        <v>338.3</v>
      </c>
      <c r="KS308">
        <v>215.8</v>
      </c>
      <c r="KT308">
        <v>40.700000000000003</v>
      </c>
      <c r="KW308">
        <v>2154.5</v>
      </c>
      <c r="KX308">
        <v>1255.7</v>
      </c>
      <c r="KY308">
        <v>1630.1</v>
      </c>
      <c r="KZ308">
        <v>1246.9000000000001</v>
      </c>
      <c r="LB308">
        <v>78.099999999999994</v>
      </c>
      <c r="LC308">
        <v>77.7</v>
      </c>
    </row>
    <row r="309" spans="1:315" ht="18" thickBot="1">
      <c r="A309" s="185"/>
      <c r="B309" s="185" t="s">
        <v>589</v>
      </c>
      <c r="C309" s="230" t="s">
        <v>852</v>
      </c>
      <c r="D309" s="281" t="s">
        <v>656</v>
      </c>
      <c r="E309" s="443">
        <v>0</v>
      </c>
      <c r="F309" s="191">
        <v>0</v>
      </c>
      <c r="G309" s="427">
        <v>3413.8</v>
      </c>
      <c r="H309" s="155"/>
      <c r="I309">
        <v>735</v>
      </c>
      <c r="K309">
        <v>1973.1000000000001</v>
      </c>
      <c r="L309" s="4">
        <v>221.60000000000002</v>
      </c>
      <c r="M309" s="4">
        <v>54.9</v>
      </c>
      <c r="N309" s="4">
        <v>1989.7</v>
      </c>
      <c r="P309">
        <v>0</v>
      </c>
      <c r="Q309">
        <v>238.29999999999998</v>
      </c>
      <c r="R309">
        <v>0</v>
      </c>
      <c r="S309">
        <v>0</v>
      </c>
      <c r="T309">
        <v>368.5</v>
      </c>
      <c r="W309">
        <v>720.3</v>
      </c>
      <c r="X309">
        <v>1411.5</v>
      </c>
      <c r="Y309">
        <v>96.5</v>
      </c>
      <c r="AA309">
        <v>859.6</v>
      </c>
      <c r="AB309">
        <v>1577.6000000000001</v>
      </c>
      <c r="AE309">
        <v>1330</v>
      </c>
      <c r="AF309">
        <v>1025.5</v>
      </c>
      <c r="AH309">
        <v>509.9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1349.3</v>
      </c>
      <c r="AO309">
        <v>786.40000000000009</v>
      </c>
      <c r="AP309">
        <v>0</v>
      </c>
      <c r="AQ309">
        <v>68.3</v>
      </c>
      <c r="AR309">
        <v>234.9</v>
      </c>
      <c r="AS309">
        <v>600.40000000000009</v>
      </c>
      <c r="AU309">
        <v>985.69999999999993</v>
      </c>
      <c r="AW309">
        <v>792</v>
      </c>
      <c r="AX309">
        <v>1988.5</v>
      </c>
      <c r="AZ309">
        <v>763.5</v>
      </c>
      <c r="BA309">
        <v>0</v>
      </c>
      <c r="BB309">
        <v>0</v>
      </c>
      <c r="BC309">
        <v>1935.3</v>
      </c>
      <c r="BD309">
        <v>1006.5</v>
      </c>
      <c r="BE309">
        <v>0</v>
      </c>
      <c r="BF309">
        <v>0</v>
      </c>
      <c r="BG309">
        <v>0</v>
      </c>
      <c r="BH309">
        <v>1662.6</v>
      </c>
      <c r="BJ309">
        <v>0</v>
      </c>
      <c r="BK309">
        <v>0</v>
      </c>
      <c r="BL309">
        <v>1038.9000000000001</v>
      </c>
      <c r="BM309">
        <v>1101</v>
      </c>
      <c r="BO309">
        <v>1276.8000000000002</v>
      </c>
      <c r="BQ309">
        <v>0</v>
      </c>
      <c r="BR309">
        <v>270.7</v>
      </c>
      <c r="BS309">
        <v>230.5</v>
      </c>
      <c r="BT309">
        <v>472.3</v>
      </c>
      <c r="BU309">
        <v>537.29999999999995</v>
      </c>
      <c r="BV309">
        <v>346.3</v>
      </c>
      <c r="BW309">
        <v>386.2</v>
      </c>
      <c r="BX309">
        <v>767</v>
      </c>
      <c r="BY309">
        <v>757.2</v>
      </c>
      <c r="BZ309">
        <v>1037.2</v>
      </c>
      <c r="CA309">
        <v>1227.0999999999999</v>
      </c>
      <c r="CB309">
        <v>1232.0999999999999</v>
      </c>
      <c r="CC309">
        <v>1701.5</v>
      </c>
      <c r="CD309">
        <v>0</v>
      </c>
      <c r="CG309">
        <v>1385.3</v>
      </c>
      <c r="CJ309">
        <v>1630.2999999999997</v>
      </c>
      <c r="CM309">
        <v>1184.2</v>
      </c>
      <c r="CO309">
        <v>1248.0999999999999</v>
      </c>
      <c r="CQ309">
        <v>1435.3</v>
      </c>
      <c r="CR309">
        <v>798.2</v>
      </c>
      <c r="CS309">
        <v>923.8</v>
      </c>
      <c r="CT309">
        <v>0</v>
      </c>
      <c r="CU309">
        <v>0</v>
      </c>
      <c r="CV309">
        <v>0</v>
      </c>
      <c r="CW309">
        <v>0</v>
      </c>
      <c r="CX309">
        <v>163.69999999999999</v>
      </c>
      <c r="CY309">
        <v>0</v>
      </c>
      <c r="CZ309">
        <v>0</v>
      </c>
      <c r="DA309">
        <v>0</v>
      </c>
      <c r="DB309">
        <v>0</v>
      </c>
      <c r="DC309">
        <v>0</v>
      </c>
      <c r="DD309">
        <v>0</v>
      </c>
      <c r="DE309">
        <v>0</v>
      </c>
      <c r="DI309">
        <v>0</v>
      </c>
      <c r="EC309">
        <v>0</v>
      </c>
      <c r="ED309">
        <v>0</v>
      </c>
      <c r="EE309">
        <v>0</v>
      </c>
      <c r="EF309">
        <v>0</v>
      </c>
      <c r="EG309">
        <v>0</v>
      </c>
      <c r="EH309">
        <v>0</v>
      </c>
      <c r="EI309">
        <v>0</v>
      </c>
      <c r="EJ309">
        <v>0</v>
      </c>
      <c r="EM309">
        <v>0</v>
      </c>
      <c r="EN309">
        <v>0</v>
      </c>
      <c r="EO309">
        <v>0</v>
      </c>
      <c r="EP309">
        <v>0</v>
      </c>
      <c r="EQ309">
        <v>0</v>
      </c>
      <c r="ER309">
        <v>0</v>
      </c>
      <c r="ES309">
        <v>0</v>
      </c>
      <c r="ET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G309" t="e">
        <v>#N/A</v>
      </c>
      <c r="FI309" t="e">
        <v>#N/A</v>
      </c>
      <c r="FK309" t="e">
        <v>#N/A</v>
      </c>
      <c r="FM309" t="e">
        <v>#N/A</v>
      </c>
      <c r="FO309" t="e">
        <v>#N/A</v>
      </c>
      <c r="FQ309" t="e">
        <v>#N/A</v>
      </c>
      <c r="FS309" t="e">
        <v>#N/A</v>
      </c>
      <c r="FU309" t="e">
        <v>#N/A</v>
      </c>
      <c r="FW309" t="e">
        <v>#N/A</v>
      </c>
      <c r="FY309" t="e">
        <v>#N/A</v>
      </c>
      <c r="GA309" t="e">
        <v>#N/A</v>
      </c>
      <c r="GC309" t="e">
        <v>#N/A</v>
      </c>
      <c r="GE309" t="e">
        <v>#N/A</v>
      </c>
      <c r="GG309" t="e">
        <v>#N/A</v>
      </c>
      <c r="GI309" t="e">
        <v>#N/A</v>
      </c>
      <c r="GK309" t="e">
        <v>#N/A</v>
      </c>
      <c r="GM309" t="e">
        <v>#N/A</v>
      </c>
      <c r="GO309" t="e">
        <v>#N/A</v>
      </c>
      <c r="GQ309" t="e">
        <v>#N/A</v>
      </c>
      <c r="GS309" t="e">
        <v>#N/A</v>
      </c>
      <c r="GU309" t="e">
        <v>#N/A</v>
      </c>
      <c r="GW309" t="e">
        <v>#N/A</v>
      </c>
      <c r="GY309" t="e">
        <v>#N/A</v>
      </c>
      <c r="HA309" t="e">
        <v>#N/A</v>
      </c>
      <c r="HC309">
        <v>0</v>
      </c>
      <c r="HD309">
        <v>0</v>
      </c>
      <c r="HE309">
        <v>0</v>
      </c>
      <c r="HF309">
        <v>0</v>
      </c>
      <c r="HG309">
        <v>0</v>
      </c>
      <c r="HH309">
        <v>0</v>
      </c>
      <c r="HI309">
        <v>0</v>
      </c>
      <c r="HJ309">
        <v>0</v>
      </c>
      <c r="HM309">
        <v>0</v>
      </c>
      <c r="HN309">
        <v>0</v>
      </c>
      <c r="HO309">
        <v>0</v>
      </c>
      <c r="HP309">
        <v>0</v>
      </c>
      <c r="HQ309">
        <v>0</v>
      </c>
      <c r="HR309">
        <v>0</v>
      </c>
      <c r="HS309">
        <v>0</v>
      </c>
      <c r="HT309">
        <v>0</v>
      </c>
      <c r="HW309">
        <v>0</v>
      </c>
      <c r="HX309">
        <v>0</v>
      </c>
      <c r="HY309">
        <v>0</v>
      </c>
      <c r="HZ309">
        <v>0</v>
      </c>
      <c r="IA309">
        <v>3930.6</v>
      </c>
      <c r="IB309">
        <v>3632.9</v>
      </c>
      <c r="IC309">
        <v>3795.5</v>
      </c>
      <c r="ID309">
        <v>0</v>
      </c>
      <c r="IE309">
        <v>0</v>
      </c>
      <c r="IF309">
        <v>3548.5</v>
      </c>
      <c r="IG309">
        <v>3395.2</v>
      </c>
      <c r="IH309">
        <v>3395.4</v>
      </c>
      <c r="II309">
        <v>3302.3</v>
      </c>
      <c r="IJ309">
        <v>3172.8</v>
      </c>
      <c r="IK309">
        <v>0</v>
      </c>
      <c r="IL309">
        <v>0</v>
      </c>
      <c r="IM309">
        <v>0</v>
      </c>
      <c r="IN309">
        <v>0</v>
      </c>
      <c r="IO309">
        <v>123.4</v>
      </c>
      <c r="IP309">
        <v>405.2</v>
      </c>
      <c r="IQ309">
        <v>418.7</v>
      </c>
      <c r="IR309">
        <v>0</v>
      </c>
      <c r="IS309">
        <v>0</v>
      </c>
      <c r="IT309">
        <v>0</v>
      </c>
      <c r="IU309">
        <v>0</v>
      </c>
      <c r="IV309">
        <v>396</v>
      </c>
      <c r="IW309">
        <v>0</v>
      </c>
      <c r="IX309">
        <v>0</v>
      </c>
      <c r="IZ309">
        <v>0</v>
      </c>
      <c r="JA309">
        <v>65.5</v>
      </c>
      <c r="JB309">
        <v>443.5</v>
      </c>
      <c r="JC309">
        <v>0</v>
      </c>
      <c r="JD309">
        <v>0</v>
      </c>
      <c r="JE309">
        <v>0</v>
      </c>
      <c r="JF309">
        <v>0</v>
      </c>
      <c r="JG309">
        <v>0</v>
      </c>
      <c r="JH309">
        <v>0</v>
      </c>
      <c r="JI309">
        <v>0</v>
      </c>
      <c r="JJ309">
        <v>0</v>
      </c>
      <c r="JK309">
        <v>0</v>
      </c>
      <c r="JL309">
        <v>0</v>
      </c>
      <c r="JM309">
        <v>0</v>
      </c>
      <c r="JN309">
        <v>0</v>
      </c>
      <c r="JO309">
        <v>0</v>
      </c>
      <c r="JP309">
        <v>0</v>
      </c>
      <c r="JQ309">
        <v>0</v>
      </c>
      <c r="JR309">
        <v>0</v>
      </c>
      <c r="JS309">
        <v>0</v>
      </c>
      <c r="JT309">
        <v>0</v>
      </c>
      <c r="JU309">
        <v>0</v>
      </c>
      <c r="JV309">
        <v>0</v>
      </c>
      <c r="JW309">
        <v>0</v>
      </c>
      <c r="JX309">
        <v>0</v>
      </c>
      <c r="JY309">
        <v>0</v>
      </c>
      <c r="JZ309">
        <v>0</v>
      </c>
      <c r="KA309">
        <v>0</v>
      </c>
      <c r="KB309">
        <v>0</v>
      </c>
      <c r="KC309">
        <v>0</v>
      </c>
      <c r="KD309">
        <v>0</v>
      </c>
      <c r="KE309">
        <v>0</v>
      </c>
      <c r="KF309">
        <v>0</v>
      </c>
      <c r="KI309">
        <v>344.6</v>
      </c>
      <c r="KJ309">
        <v>350.8</v>
      </c>
      <c r="KK309">
        <v>22.1</v>
      </c>
      <c r="KL309">
        <v>379.3</v>
      </c>
      <c r="KM309">
        <v>241.4</v>
      </c>
      <c r="KN309">
        <v>0</v>
      </c>
      <c r="KO309">
        <v>0</v>
      </c>
      <c r="KP309">
        <v>57.3</v>
      </c>
      <c r="KQ309">
        <v>224.4</v>
      </c>
      <c r="KR309">
        <v>338.3</v>
      </c>
      <c r="KS309">
        <v>215.8</v>
      </c>
      <c r="KT309">
        <v>40.700000000000003</v>
      </c>
      <c r="KW309">
        <v>2154.5</v>
      </c>
      <c r="KX309">
        <v>1255.7</v>
      </c>
      <c r="KY309">
        <v>1630.1</v>
      </c>
      <c r="KZ309">
        <v>1246.9000000000001</v>
      </c>
      <c r="LB309">
        <v>78.099999999999994</v>
      </c>
      <c r="LC309">
        <v>77.7</v>
      </c>
    </row>
    <row r="310" spans="1:315" ht="18" thickBot="1">
      <c r="A310" s="185"/>
      <c r="B310" s="185" t="s">
        <v>590</v>
      </c>
      <c r="C310" s="230" t="s">
        <v>853</v>
      </c>
      <c r="D310" s="281" t="s">
        <v>656</v>
      </c>
      <c r="E310" s="443">
        <v>0</v>
      </c>
      <c r="F310" s="191">
        <v>0</v>
      </c>
      <c r="G310" s="427">
        <v>3413.8</v>
      </c>
      <c r="H310" s="155"/>
      <c r="I310">
        <v>735</v>
      </c>
      <c r="K310">
        <v>1973.1000000000001</v>
      </c>
      <c r="L310" s="4">
        <v>221.60000000000002</v>
      </c>
      <c r="M310" s="4">
        <v>54.9</v>
      </c>
      <c r="N310" s="4">
        <v>1989.7</v>
      </c>
      <c r="P310">
        <v>0</v>
      </c>
      <c r="Q310">
        <v>238.29999999999998</v>
      </c>
      <c r="R310">
        <v>0</v>
      </c>
      <c r="S310">
        <v>0</v>
      </c>
      <c r="T310">
        <v>368.5</v>
      </c>
      <c r="W310">
        <v>720.3</v>
      </c>
      <c r="X310">
        <v>1411.5</v>
      </c>
      <c r="Y310">
        <v>96.5</v>
      </c>
      <c r="AA310">
        <v>859.6</v>
      </c>
      <c r="AB310">
        <v>1577.6000000000001</v>
      </c>
      <c r="AE310">
        <v>1330</v>
      </c>
      <c r="AF310">
        <v>1025.5</v>
      </c>
      <c r="AH310">
        <v>509.9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1349.3</v>
      </c>
      <c r="AO310">
        <v>786.40000000000009</v>
      </c>
      <c r="AP310">
        <v>0</v>
      </c>
      <c r="AQ310">
        <v>68.3</v>
      </c>
      <c r="AR310">
        <v>234.9</v>
      </c>
      <c r="AS310">
        <v>600.40000000000009</v>
      </c>
      <c r="AU310">
        <v>985.69999999999993</v>
      </c>
      <c r="AW310">
        <v>792</v>
      </c>
      <c r="AX310">
        <v>1988.5</v>
      </c>
      <c r="AZ310">
        <v>763.5</v>
      </c>
      <c r="BA310">
        <v>0</v>
      </c>
      <c r="BB310">
        <v>0</v>
      </c>
      <c r="BC310">
        <v>1935.3</v>
      </c>
      <c r="BD310">
        <v>1006.5</v>
      </c>
      <c r="BE310">
        <v>0</v>
      </c>
      <c r="BF310">
        <v>0</v>
      </c>
      <c r="BG310">
        <v>0</v>
      </c>
      <c r="BH310">
        <v>1662.6</v>
      </c>
      <c r="BJ310">
        <v>0</v>
      </c>
      <c r="BK310">
        <v>0</v>
      </c>
      <c r="BL310">
        <v>1038.9000000000001</v>
      </c>
      <c r="BM310">
        <v>1101</v>
      </c>
      <c r="BO310">
        <v>1276.8000000000002</v>
      </c>
      <c r="BQ310">
        <v>0</v>
      </c>
      <c r="BR310">
        <v>270.7</v>
      </c>
      <c r="BS310">
        <v>230.5</v>
      </c>
      <c r="BT310">
        <v>472.3</v>
      </c>
      <c r="BU310">
        <v>537.29999999999995</v>
      </c>
      <c r="BV310">
        <v>346.3</v>
      </c>
      <c r="BW310">
        <v>386.2</v>
      </c>
      <c r="BX310">
        <v>767</v>
      </c>
      <c r="BY310">
        <v>757.2</v>
      </c>
      <c r="BZ310">
        <v>1037.2</v>
      </c>
      <c r="CA310">
        <v>1227.0999999999999</v>
      </c>
      <c r="CB310">
        <v>1232.0999999999999</v>
      </c>
      <c r="CC310">
        <v>1701.5</v>
      </c>
      <c r="CD310">
        <v>0</v>
      </c>
      <c r="CG310">
        <v>1385.3</v>
      </c>
      <c r="CJ310">
        <v>1630.2999999999997</v>
      </c>
      <c r="CM310">
        <v>1184.2</v>
      </c>
      <c r="CO310">
        <v>1248.0999999999999</v>
      </c>
      <c r="CQ310">
        <v>1435.3</v>
      </c>
      <c r="CR310">
        <v>798.2</v>
      </c>
      <c r="CS310">
        <v>923.8</v>
      </c>
      <c r="CT310">
        <v>0</v>
      </c>
      <c r="CU310">
        <v>0</v>
      </c>
      <c r="CV310">
        <v>0</v>
      </c>
      <c r="CW310">
        <v>0</v>
      </c>
      <c r="CX310">
        <v>163.69999999999999</v>
      </c>
      <c r="CY310">
        <v>0</v>
      </c>
      <c r="CZ310">
        <v>0</v>
      </c>
      <c r="DA310">
        <v>0</v>
      </c>
      <c r="DB310">
        <v>0</v>
      </c>
      <c r="DC310">
        <v>0</v>
      </c>
      <c r="DD310">
        <v>0</v>
      </c>
      <c r="DE310">
        <v>0</v>
      </c>
      <c r="DI310">
        <v>0</v>
      </c>
      <c r="EC310">
        <v>0</v>
      </c>
      <c r="ED310">
        <v>0</v>
      </c>
      <c r="EE310">
        <v>0</v>
      </c>
      <c r="EF310">
        <v>0</v>
      </c>
      <c r="EG310">
        <v>0</v>
      </c>
      <c r="EH310">
        <v>0</v>
      </c>
      <c r="EI310">
        <v>0</v>
      </c>
      <c r="EJ310">
        <v>0</v>
      </c>
      <c r="EM310">
        <v>0</v>
      </c>
      <c r="EN310">
        <v>0</v>
      </c>
      <c r="EO310">
        <v>0</v>
      </c>
      <c r="EP310">
        <v>0</v>
      </c>
      <c r="EQ310">
        <v>0</v>
      </c>
      <c r="ER310">
        <v>0</v>
      </c>
      <c r="ES310">
        <v>0</v>
      </c>
      <c r="ET310">
        <v>0</v>
      </c>
      <c r="EW310">
        <v>0</v>
      </c>
      <c r="EX310">
        <v>0</v>
      </c>
      <c r="EY310">
        <v>0</v>
      </c>
      <c r="EZ310">
        <v>0</v>
      </c>
      <c r="FA310">
        <v>0</v>
      </c>
      <c r="FB310">
        <v>0</v>
      </c>
      <c r="FC310">
        <v>0</v>
      </c>
      <c r="FD310">
        <v>0</v>
      </c>
      <c r="FG310" t="e">
        <v>#N/A</v>
      </c>
      <c r="FI310" t="e">
        <v>#N/A</v>
      </c>
      <c r="FK310" t="e">
        <v>#N/A</v>
      </c>
      <c r="FM310" t="e">
        <v>#N/A</v>
      </c>
      <c r="FO310" t="e">
        <v>#N/A</v>
      </c>
      <c r="FQ310" t="e">
        <v>#N/A</v>
      </c>
      <c r="FS310" t="e">
        <v>#N/A</v>
      </c>
      <c r="FU310" t="e">
        <v>#N/A</v>
      </c>
      <c r="FW310" t="e">
        <v>#N/A</v>
      </c>
      <c r="FY310" t="e">
        <v>#N/A</v>
      </c>
      <c r="GA310" t="e">
        <v>#N/A</v>
      </c>
      <c r="GC310" t="e">
        <v>#N/A</v>
      </c>
      <c r="GE310" t="e">
        <v>#N/A</v>
      </c>
      <c r="GG310" t="e">
        <v>#N/A</v>
      </c>
      <c r="GI310" t="e">
        <v>#N/A</v>
      </c>
      <c r="GK310" t="e">
        <v>#N/A</v>
      </c>
      <c r="GM310" t="e">
        <v>#N/A</v>
      </c>
      <c r="GO310" t="e">
        <v>#N/A</v>
      </c>
      <c r="GQ310" t="e">
        <v>#N/A</v>
      </c>
      <c r="GS310" t="e">
        <v>#N/A</v>
      </c>
      <c r="GU310" t="e">
        <v>#N/A</v>
      </c>
      <c r="GW310" t="e">
        <v>#N/A</v>
      </c>
      <c r="GY310" t="e">
        <v>#N/A</v>
      </c>
      <c r="HA310" t="e">
        <v>#N/A</v>
      </c>
      <c r="HC310">
        <v>0</v>
      </c>
      <c r="HD310">
        <v>0</v>
      </c>
      <c r="HE310">
        <v>0</v>
      </c>
      <c r="HF310">
        <v>0</v>
      </c>
      <c r="HG310">
        <v>0</v>
      </c>
      <c r="HH310">
        <v>0</v>
      </c>
      <c r="HI310">
        <v>0</v>
      </c>
      <c r="HJ310">
        <v>0</v>
      </c>
      <c r="HM310">
        <v>0</v>
      </c>
      <c r="HN310">
        <v>0</v>
      </c>
      <c r="HO310">
        <v>0</v>
      </c>
      <c r="HP310">
        <v>0</v>
      </c>
      <c r="HQ310">
        <v>0</v>
      </c>
      <c r="HR310">
        <v>0</v>
      </c>
      <c r="HS310">
        <v>0</v>
      </c>
      <c r="HT310">
        <v>0</v>
      </c>
      <c r="HW310">
        <v>0</v>
      </c>
      <c r="HX310">
        <v>0</v>
      </c>
      <c r="HY310">
        <v>0</v>
      </c>
      <c r="HZ310">
        <v>0</v>
      </c>
      <c r="IA310">
        <v>3930.6</v>
      </c>
      <c r="IB310">
        <v>3632.9</v>
      </c>
      <c r="IC310">
        <v>3795.5</v>
      </c>
      <c r="ID310">
        <v>0</v>
      </c>
      <c r="IE310">
        <v>0</v>
      </c>
      <c r="IF310">
        <v>3548.5</v>
      </c>
      <c r="IG310">
        <v>3395.2</v>
      </c>
      <c r="IH310">
        <v>3395.4</v>
      </c>
      <c r="II310">
        <v>3302.3</v>
      </c>
      <c r="IJ310">
        <v>3172.8</v>
      </c>
      <c r="IK310">
        <v>0</v>
      </c>
      <c r="IL310">
        <v>0</v>
      </c>
      <c r="IM310">
        <v>0</v>
      </c>
      <c r="IN310">
        <v>0</v>
      </c>
      <c r="IO310">
        <v>123.4</v>
      </c>
      <c r="IP310">
        <v>405.2</v>
      </c>
      <c r="IQ310">
        <v>418.7</v>
      </c>
      <c r="IR310">
        <v>0</v>
      </c>
      <c r="IS310">
        <v>0</v>
      </c>
      <c r="IT310">
        <v>0</v>
      </c>
      <c r="IU310">
        <v>0</v>
      </c>
      <c r="IV310">
        <v>396</v>
      </c>
      <c r="IW310">
        <v>0</v>
      </c>
      <c r="IX310">
        <v>0</v>
      </c>
      <c r="IZ310">
        <v>0</v>
      </c>
      <c r="JA310">
        <v>65.5</v>
      </c>
      <c r="JB310">
        <v>443.5</v>
      </c>
      <c r="JC310">
        <v>0</v>
      </c>
      <c r="JD310">
        <v>0</v>
      </c>
      <c r="JE310">
        <v>0</v>
      </c>
      <c r="JF310">
        <v>0</v>
      </c>
      <c r="JG310">
        <v>0</v>
      </c>
      <c r="JH310">
        <v>0</v>
      </c>
      <c r="JI310">
        <v>0</v>
      </c>
      <c r="JJ310">
        <v>0</v>
      </c>
      <c r="JK310">
        <v>0</v>
      </c>
      <c r="JL310">
        <v>0</v>
      </c>
      <c r="JM310">
        <v>0</v>
      </c>
      <c r="JN310">
        <v>0</v>
      </c>
      <c r="JO310">
        <v>0</v>
      </c>
      <c r="JP310">
        <v>0</v>
      </c>
      <c r="JQ310">
        <v>0</v>
      </c>
      <c r="JR310">
        <v>0</v>
      </c>
      <c r="JS310">
        <v>0</v>
      </c>
      <c r="JT310">
        <v>0</v>
      </c>
      <c r="JU310">
        <v>0</v>
      </c>
      <c r="JV310">
        <v>0</v>
      </c>
      <c r="JW310">
        <v>0</v>
      </c>
      <c r="JX310">
        <v>0</v>
      </c>
      <c r="JY310">
        <v>0</v>
      </c>
      <c r="JZ310">
        <v>0</v>
      </c>
      <c r="KA310">
        <v>0</v>
      </c>
      <c r="KB310">
        <v>0</v>
      </c>
      <c r="KC310">
        <v>0</v>
      </c>
      <c r="KD310">
        <v>0</v>
      </c>
      <c r="KE310">
        <v>0</v>
      </c>
      <c r="KF310">
        <v>0</v>
      </c>
      <c r="KI310">
        <v>344.6</v>
      </c>
      <c r="KJ310">
        <v>350.8</v>
      </c>
      <c r="KK310">
        <v>22.1</v>
      </c>
      <c r="KL310">
        <v>379.3</v>
      </c>
      <c r="KM310">
        <v>241.4</v>
      </c>
      <c r="KN310">
        <v>0</v>
      </c>
      <c r="KO310">
        <v>0</v>
      </c>
      <c r="KP310">
        <v>57.3</v>
      </c>
      <c r="KQ310">
        <v>224.4</v>
      </c>
      <c r="KR310">
        <v>338.3</v>
      </c>
      <c r="KS310">
        <v>215.8</v>
      </c>
      <c r="KT310">
        <v>40.700000000000003</v>
      </c>
      <c r="KW310">
        <v>2154.5</v>
      </c>
      <c r="KX310">
        <v>1255.7</v>
      </c>
      <c r="KY310">
        <v>1630.1</v>
      </c>
      <c r="KZ310">
        <v>1246.9000000000001</v>
      </c>
      <c r="LB310">
        <v>78.099999999999994</v>
      </c>
      <c r="LC310">
        <v>77.7</v>
      </c>
    </row>
    <row r="311" spans="1:315" ht="18" thickBot="1">
      <c r="A311" s="252"/>
      <c r="B311" s="578" t="s">
        <v>591</v>
      </c>
      <c r="C311" s="231" t="s">
        <v>854</v>
      </c>
      <c r="D311" s="288" t="s">
        <v>656</v>
      </c>
      <c r="E311" s="446">
        <v>0</v>
      </c>
      <c r="F311" s="203">
        <v>0</v>
      </c>
      <c r="G311" s="427">
        <v>3413.8</v>
      </c>
      <c r="H311" s="155"/>
      <c r="I311">
        <v>735</v>
      </c>
      <c r="K311">
        <v>1973.1000000000001</v>
      </c>
      <c r="L311" s="4">
        <v>221.60000000000002</v>
      </c>
      <c r="M311" s="4">
        <v>54.9</v>
      </c>
      <c r="N311" s="4">
        <v>1989.7</v>
      </c>
      <c r="P311">
        <v>0</v>
      </c>
      <c r="Q311">
        <v>238.29999999999998</v>
      </c>
      <c r="R311">
        <v>0</v>
      </c>
      <c r="S311">
        <v>0</v>
      </c>
      <c r="T311">
        <v>368.5</v>
      </c>
      <c r="W311">
        <v>720.3</v>
      </c>
      <c r="X311">
        <v>1411.5</v>
      </c>
      <c r="Y311">
        <v>96.5</v>
      </c>
      <c r="AA311">
        <v>859.6</v>
      </c>
      <c r="AB311">
        <v>1577.6000000000001</v>
      </c>
      <c r="AE311">
        <v>1330</v>
      </c>
      <c r="AF311">
        <v>1025.5</v>
      </c>
      <c r="AH311">
        <v>509.9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1349.3</v>
      </c>
      <c r="AO311">
        <v>786.40000000000009</v>
      </c>
      <c r="AP311">
        <v>0</v>
      </c>
      <c r="AQ311">
        <v>68.3</v>
      </c>
      <c r="AR311">
        <v>234.9</v>
      </c>
      <c r="AS311">
        <v>600.40000000000009</v>
      </c>
      <c r="AU311">
        <v>985.69999999999993</v>
      </c>
      <c r="AW311">
        <v>792</v>
      </c>
      <c r="AX311">
        <v>1988.5</v>
      </c>
      <c r="AZ311">
        <v>763.5</v>
      </c>
      <c r="BA311">
        <v>0</v>
      </c>
      <c r="BB311">
        <v>0</v>
      </c>
      <c r="BC311">
        <v>1935.3</v>
      </c>
      <c r="BD311">
        <v>1006.5</v>
      </c>
      <c r="BE311">
        <v>0</v>
      </c>
      <c r="BF311">
        <v>0</v>
      </c>
      <c r="BG311">
        <v>0</v>
      </c>
      <c r="BH311">
        <v>1662.6</v>
      </c>
      <c r="BJ311">
        <v>0</v>
      </c>
      <c r="BK311">
        <v>0</v>
      </c>
      <c r="BL311">
        <v>1038.9000000000001</v>
      </c>
      <c r="BM311">
        <v>1101</v>
      </c>
      <c r="BO311">
        <v>1276.8000000000002</v>
      </c>
      <c r="BQ311">
        <v>0</v>
      </c>
      <c r="BR311">
        <v>270.7</v>
      </c>
      <c r="BS311">
        <v>230.5</v>
      </c>
      <c r="BT311">
        <v>472.3</v>
      </c>
      <c r="BU311">
        <v>537.29999999999995</v>
      </c>
      <c r="BV311">
        <v>346.3</v>
      </c>
      <c r="BW311">
        <v>386.2</v>
      </c>
      <c r="BX311">
        <v>767</v>
      </c>
      <c r="BY311">
        <v>757.2</v>
      </c>
      <c r="BZ311">
        <v>1037.2</v>
      </c>
      <c r="CA311">
        <v>1227.0999999999999</v>
      </c>
      <c r="CB311">
        <v>1232.0999999999999</v>
      </c>
      <c r="CC311">
        <v>1701.5</v>
      </c>
      <c r="CD311">
        <v>0</v>
      </c>
      <c r="CG311">
        <v>1385.3</v>
      </c>
      <c r="CJ311">
        <v>1630.2999999999997</v>
      </c>
      <c r="CM311">
        <v>1184.2</v>
      </c>
      <c r="CO311">
        <v>1248.0999999999999</v>
      </c>
      <c r="CQ311">
        <v>1435.3</v>
      </c>
      <c r="CR311">
        <v>798.2</v>
      </c>
      <c r="CS311">
        <v>923.8</v>
      </c>
      <c r="CT311">
        <v>0</v>
      </c>
      <c r="CU311">
        <v>0</v>
      </c>
      <c r="CV311">
        <v>0</v>
      </c>
      <c r="CW311">
        <v>0</v>
      </c>
      <c r="CX311">
        <v>163.69999999999999</v>
      </c>
      <c r="CY311">
        <v>0</v>
      </c>
      <c r="CZ311">
        <v>0</v>
      </c>
      <c r="DA311">
        <v>0</v>
      </c>
      <c r="DB311">
        <v>0</v>
      </c>
      <c r="DC311">
        <v>0</v>
      </c>
      <c r="DD311">
        <v>0</v>
      </c>
      <c r="DE311">
        <v>0</v>
      </c>
      <c r="DI311">
        <v>0</v>
      </c>
      <c r="EC311">
        <v>0</v>
      </c>
      <c r="ED311">
        <v>0</v>
      </c>
      <c r="EE311">
        <v>0</v>
      </c>
      <c r="EF311">
        <v>0</v>
      </c>
      <c r="EG311">
        <v>0</v>
      </c>
      <c r="EH311">
        <v>0</v>
      </c>
      <c r="EI311">
        <v>0</v>
      </c>
      <c r="EJ311">
        <v>0</v>
      </c>
      <c r="EM311">
        <v>0</v>
      </c>
      <c r="EN311">
        <v>0</v>
      </c>
      <c r="EO311">
        <v>0</v>
      </c>
      <c r="EP311">
        <v>0</v>
      </c>
      <c r="EQ311">
        <v>0</v>
      </c>
      <c r="ER311">
        <v>0</v>
      </c>
      <c r="ES311">
        <v>0</v>
      </c>
      <c r="ET311">
        <v>0</v>
      </c>
      <c r="EW311">
        <v>0</v>
      </c>
      <c r="EX311">
        <v>0</v>
      </c>
      <c r="EY311">
        <v>0</v>
      </c>
      <c r="EZ311">
        <v>0</v>
      </c>
      <c r="FA311">
        <v>0</v>
      </c>
      <c r="FB311">
        <v>0</v>
      </c>
      <c r="FC311">
        <v>0</v>
      </c>
      <c r="FD311">
        <v>0</v>
      </c>
      <c r="FG311" t="e">
        <v>#N/A</v>
      </c>
      <c r="FI311" t="e">
        <v>#N/A</v>
      </c>
      <c r="FK311" t="e">
        <v>#N/A</v>
      </c>
      <c r="FM311" t="e">
        <v>#N/A</v>
      </c>
      <c r="FO311" t="e">
        <v>#N/A</v>
      </c>
      <c r="FQ311" t="e">
        <v>#N/A</v>
      </c>
      <c r="FS311" t="e">
        <v>#N/A</v>
      </c>
      <c r="FU311" t="e">
        <v>#N/A</v>
      </c>
      <c r="FW311" t="e">
        <v>#N/A</v>
      </c>
      <c r="FY311" t="e">
        <v>#N/A</v>
      </c>
      <c r="GA311" t="e">
        <v>#N/A</v>
      </c>
      <c r="GC311" t="e">
        <v>#N/A</v>
      </c>
      <c r="GE311" t="e">
        <v>#N/A</v>
      </c>
      <c r="GG311" t="e">
        <v>#N/A</v>
      </c>
      <c r="GI311" t="e">
        <v>#N/A</v>
      </c>
      <c r="GK311" t="e">
        <v>#N/A</v>
      </c>
      <c r="GM311" t="e">
        <v>#N/A</v>
      </c>
      <c r="GO311" t="e">
        <v>#N/A</v>
      </c>
      <c r="GQ311" t="e">
        <v>#N/A</v>
      </c>
      <c r="GS311" t="e">
        <v>#N/A</v>
      </c>
      <c r="GU311" t="e">
        <v>#N/A</v>
      </c>
      <c r="GW311" t="e">
        <v>#N/A</v>
      </c>
      <c r="GY311" t="e">
        <v>#N/A</v>
      </c>
      <c r="HA311" t="e">
        <v>#N/A</v>
      </c>
      <c r="HC311">
        <v>0</v>
      </c>
      <c r="HD311">
        <v>0</v>
      </c>
      <c r="HE311">
        <v>0</v>
      </c>
      <c r="HF311">
        <v>0</v>
      </c>
      <c r="HG311">
        <v>0</v>
      </c>
      <c r="HH311">
        <v>0</v>
      </c>
      <c r="HI311">
        <v>0</v>
      </c>
      <c r="HJ311">
        <v>0</v>
      </c>
      <c r="HM311">
        <v>0</v>
      </c>
      <c r="HN311">
        <v>0</v>
      </c>
      <c r="HO311">
        <v>0</v>
      </c>
      <c r="HP311">
        <v>0</v>
      </c>
      <c r="HQ311">
        <v>0</v>
      </c>
      <c r="HR311">
        <v>0</v>
      </c>
      <c r="HS311">
        <v>0</v>
      </c>
      <c r="HT311">
        <v>0</v>
      </c>
      <c r="HW311">
        <v>0</v>
      </c>
      <c r="HX311">
        <v>0</v>
      </c>
      <c r="HY311">
        <v>0</v>
      </c>
      <c r="HZ311">
        <v>0</v>
      </c>
      <c r="IA311">
        <v>3930.6</v>
      </c>
      <c r="IB311">
        <v>3632.9</v>
      </c>
      <c r="IC311">
        <v>3795.5</v>
      </c>
      <c r="ID311">
        <v>0</v>
      </c>
      <c r="IE311">
        <v>0</v>
      </c>
      <c r="IF311">
        <v>3548.5</v>
      </c>
      <c r="IG311">
        <v>3395.2</v>
      </c>
      <c r="IH311">
        <v>3395.4</v>
      </c>
      <c r="II311">
        <v>3302.3</v>
      </c>
      <c r="IJ311">
        <v>3172.8</v>
      </c>
      <c r="IK311">
        <v>0</v>
      </c>
      <c r="IL311">
        <v>0</v>
      </c>
      <c r="IM311">
        <v>0</v>
      </c>
      <c r="IN311">
        <v>0</v>
      </c>
      <c r="IO311">
        <v>123.4</v>
      </c>
      <c r="IP311">
        <v>405.2</v>
      </c>
      <c r="IQ311">
        <v>418.7</v>
      </c>
      <c r="IR311">
        <v>0</v>
      </c>
      <c r="IS311">
        <v>0</v>
      </c>
      <c r="IT311">
        <v>0</v>
      </c>
      <c r="IU311">
        <v>0</v>
      </c>
      <c r="IV311">
        <v>396</v>
      </c>
      <c r="IW311">
        <v>0</v>
      </c>
      <c r="IX311">
        <v>0</v>
      </c>
      <c r="IZ311">
        <v>0</v>
      </c>
      <c r="JA311">
        <v>65.5</v>
      </c>
      <c r="JB311">
        <v>443.5</v>
      </c>
      <c r="JC311">
        <v>0</v>
      </c>
      <c r="JD311">
        <v>0</v>
      </c>
      <c r="JE311">
        <v>0</v>
      </c>
      <c r="JF311">
        <v>0</v>
      </c>
      <c r="JG311">
        <v>0</v>
      </c>
      <c r="JH311">
        <v>0</v>
      </c>
      <c r="JI311">
        <v>0</v>
      </c>
      <c r="JJ311">
        <v>0</v>
      </c>
      <c r="JK311">
        <v>0</v>
      </c>
      <c r="JL311">
        <v>0</v>
      </c>
      <c r="JM311">
        <v>0</v>
      </c>
      <c r="JN311">
        <v>0</v>
      </c>
      <c r="JO311">
        <v>0</v>
      </c>
      <c r="JP311">
        <v>0</v>
      </c>
      <c r="JQ311">
        <v>0</v>
      </c>
      <c r="JR311">
        <v>0</v>
      </c>
      <c r="JS311">
        <v>0</v>
      </c>
      <c r="JT311">
        <v>0</v>
      </c>
      <c r="JU311">
        <v>0</v>
      </c>
      <c r="JV311">
        <v>0</v>
      </c>
      <c r="JW311">
        <v>0</v>
      </c>
      <c r="JX311">
        <v>0</v>
      </c>
      <c r="JY311">
        <v>0</v>
      </c>
      <c r="JZ311">
        <v>0</v>
      </c>
      <c r="KA311">
        <v>0</v>
      </c>
      <c r="KB311">
        <v>0</v>
      </c>
      <c r="KC311">
        <v>0</v>
      </c>
      <c r="KD311">
        <v>0</v>
      </c>
      <c r="KE311">
        <v>0</v>
      </c>
      <c r="KF311">
        <v>0</v>
      </c>
      <c r="KI311">
        <v>344.6</v>
      </c>
      <c r="KJ311">
        <v>350.8</v>
      </c>
      <c r="KK311">
        <v>22.1</v>
      </c>
      <c r="KL311">
        <v>379.3</v>
      </c>
      <c r="KM311">
        <v>241.4</v>
      </c>
      <c r="KN311">
        <v>0</v>
      </c>
      <c r="KO311">
        <v>0</v>
      </c>
      <c r="KP311">
        <v>57.3</v>
      </c>
      <c r="KQ311">
        <v>224.4</v>
      </c>
      <c r="KR311">
        <v>338.3</v>
      </c>
      <c r="KS311">
        <v>215.8</v>
      </c>
      <c r="KT311">
        <v>40.700000000000003</v>
      </c>
      <c r="KW311">
        <v>2154.5</v>
      </c>
      <c r="KX311">
        <v>1255.7</v>
      </c>
      <c r="KY311">
        <v>1630.1</v>
      </c>
      <c r="KZ311">
        <v>1246.9000000000001</v>
      </c>
      <c r="LB311">
        <v>78.099999999999994</v>
      </c>
      <c r="LC311">
        <v>77.7</v>
      </c>
    </row>
    <row r="312" spans="1:315" ht="18" thickBot="1">
      <c r="A312" s="258"/>
      <c r="B312" s="579"/>
      <c r="C312" s="232"/>
      <c r="D312" s="289"/>
      <c r="E312" s="434">
        <v>0</v>
      </c>
      <c r="F312" s="204">
        <v>0</v>
      </c>
      <c r="G312" s="427">
        <v>3413.8</v>
      </c>
      <c r="H312" s="155"/>
      <c r="I312">
        <v>735</v>
      </c>
      <c r="K312">
        <v>1973.1000000000001</v>
      </c>
      <c r="L312" s="4">
        <v>221.60000000000002</v>
      </c>
      <c r="M312" s="4">
        <v>54.9</v>
      </c>
      <c r="N312" s="4">
        <v>1989.7</v>
      </c>
      <c r="P312">
        <v>0</v>
      </c>
      <c r="Q312">
        <v>238.29999999999998</v>
      </c>
      <c r="R312">
        <v>0</v>
      </c>
      <c r="S312">
        <v>0</v>
      </c>
      <c r="T312">
        <v>368.5</v>
      </c>
      <c r="W312">
        <v>720.3</v>
      </c>
      <c r="X312">
        <v>1411.5</v>
      </c>
      <c r="Y312">
        <v>96.5</v>
      </c>
      <c r="AA312">
        <v>859.6</v>
      </c>
      <c r="AB312">
        <v>1577.6000000000001</v>
      </c>
      <c r="AE312">
        <v>1330</v>
      </c>
      <c r="AF312">
        <v>1025.5</v>
      </c>
      <c r="AH312">
        <v>509.9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1349.3</v>
      </c>
      <c r="AO312">
        <v>786.40000000000009</v>
      </c>
      <c r="AP312">
        <v>0</v>
      </c>
      <c r="AQ312">
        <v>68.3</v>
      </c>
      <c r="AR312">
        <v>234.9</v>
      </c>
      <c r="AS312">
        <v>600.40000000000009</v>
      </c>
      <c r="AU312">
        <v>985.69999999999993</v>
      </c>
      <c r="AW312">
        <v>792</v>
      </c>
      <c r="AX312">
        <v>1988.5</v>
      </c>
      <c r="AZ312">
        <v>763.5</v>
      </c>
      <c r="BA312">
        <v>0</v>
      </c>
      <c r="BB312">
        <v>0</v>
      </c>
      <c r="BC312">
        <v>1935.3</v>
      </c>
      <c r="BD312">
        <v>1006.5</v>
      </c>
      <c r="BE312">
        <v>0</v>
      </c>
      <c r="BF312">
        <v>0</v>
      </c>
      <c r="BG312">
        <v>0</v>
      </c>
      <c r="BH312">
        <v>1662.6</v>
      </c>
      <c r="BJ312">
        <v>0</v>
      </c>
      <c r="BK312">
        <v>0</v>
      </c>
      <c r="BL312">
        <v>1038.9000000000001</v>
      </c>
      <c r="BM312">
        <v>1101</v>
      </c>
      <c r="BO312">
        <v>1276.8000000000002</v>
      </c>
      <c r="BQ312">
        <v>0</v>
      </c>
      <c r="BR312">
        <v>270.7</v>
      </c>
      <c r="BS312">
        <v>230.5</v>
      </c>
      <c r="BT312">
        <v>472.3</v>
      </c>
      <c r="BU312">
        <v>537.29999999999995</v>
      </c>
      <c r="BV312">
        <v>346.3</v>
      </c>
      <c r="BW312">
        <v>386.2</v>
      </c>
      <c r="BX312">
        <v>767</v>
      </c>
      <c r="BY312">
        <v>757.2</v>
      </c>
      <c r="BZ312">
        <v>1037.2</v>
      </c>
      <c r="CA312">
        <v>1227.0999999999999</v>
      </c>
      <c r="CB312">
        <v>1232.0999999999999</v>
      </c>
      <c r="CC312">
        <v>1701.5</v>
      </c>
      <c r="CD312">
        <v>0</v>
      </c>
      <c r="CG312">
        <v>1385.3</v>
      </c>
      <c r="CJ312">
        <v>1630.2999999999997</v>
      </c>
      <c r="CM312">
        <v>1184.2</v>
      </c>
      <c r="CO312">
        <v>1248.0999999999999</v>
      </c>
      <c r="CQ312">
        <v>1435.3</v>
      </c>
      <c r="CR312">
        <v>798.2</v>
      </c>
      <c r="CS312">
        <v>923.8</v>
      </c>
      <c r="CT312">
        <v>0</v>
      </c>
      <c r="CU312">
        <v>0</v>
      </c>
      <c r="CV312">
        <v>0</v>
      </c>
      <c r="CW312">
        <v>0</v>
      </c>
      <c r="CX312">
        <v>163.69999999999999</v>
      </c>
      <c r="CY312">
        <v>0</v>
      </c>
      <c r="CZ312">
        <v>0</v>
      </c>
      <c r="DA312">
        <v>0</v>
      </c>
      <c r="DB312">
        <v>0</v>
      </c>
      <c r="DC312">
        <v>0</v>
      </c>
      <c r="DD312">
        <v>0</v>
      </c>
      <c r="DE312">
        <v>0</v>
      </c>
      <c r="DI312">
        <v>0</v>
      </c>
      <c r="EC312">
        <v>0</v>
      </c>
      <c r="ED312">
        <v>0</v>
      </c>
      <c r="EE312">
        <v>0</v>
      </c>
      <c r="EF312">
        <v>0</v>
      </c>
      <c r="EG312">
        <v>0</v>
      </c>
      <c r="EH312">
        <v>0</v>
      </c>
      <c r="EI312">
        <v>0</v>
      </c>
      <c r="EJ312">
        <v>0</v>
      </c>
      <c r="EM312">
        <v>0</v>
      </c>
      <c r="EN312">
        <v>0</v>
      </c>
      <c r="EO312">
        <v>0</v>
      </c>
      <c r="EP312">
        <v>0</v>
      </c>
      <c r="EQ312">
        <v>0</v>
      </c>
      <c r="ER312">
        <v>0</v>
      </c>
      <c r="ES312">
        <v>0</v>
      </c>
      <c r="ET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  <c r="FC312">
        <v>0</v>
      </c>
      <c r="FD312">
        <v>0</v>
      </c>
      <c r="FG312" t="e">
        <v>#N/A</v>
      </c>
      <c r="FI312" t="e">
        <v>#N/A</v>
      </c>
      <c r="FK312" t="e">
        <v>#N/A</v>
      </c>
      <c r="FM312" t="e">
        <v>#N/A</v>
      </c>
      <c r="FO312" t="e">
        <v>#N/A</v>
      </c>
      <c r="FQ312" t="e">
        <v>#N/A</v>
      </c>
      <c r="FS312" t="e">
        <v>#N/A</v>
      </c>
      <c r="FU312" t="e">
        <v>#N/A</v>
      </c>
      <c r="FW312" t="e">
        <v>#N/A</v>
      </c>
      <c r="FY312" t="e">
        <v>#N/A</v>
      </c>
      <c r="GA312" t="e">
        <v>#N/A</v>
      </c>
      <c r="GC312" t="e">
        <v>#N/A</v>
      </c>
      <c r="GE312" t="e">
        <v>#N/A</v>
      </c>
      <c r="GG312" t="e">
        <v>#N/A</v>
      </c>
      <c r="GI312" t="e">
        <v>#N/A</v>
      </c>
      <c r="GK312" t="e">
        <v>#N/A</v>
      </c>
      <c r="GM312" t="e">
        <v>#N/A</v>
      </c>
      <c r="GO312" t="e">
        <v>#N/A</v>
      </c>
      <c r="GQ312" t="e">
        <v>#N/A</v>
      </c>
      <c r="GS312" t="e">
        <v>#N/A</v>
      </c>
      <c r="GU312" t="e">
        <v>#N/A</v>
      </c>
      <c r="GW312" t="e">
        <v>#N/A</v>
      </c>
      <c r="GY312" t="e">
        <v>#N/A</v>
      </c>
      <c r="HA312" t="e">
        <v>#N/A</v>
      </c>
      <c r="HC312">
        <v>0</v>
      </c>
      <c r="HD312">
        <v>0</v>
      </c>
      <c r="HE312">
        <v>0</v>
      </c>
      <c r="HF312">
        <v>0</v>
      </c>
      <c r="HG312">
        <v>0</v>
      </c>
      <c r="HH312">
        <v>0</v>
      </c>
      <c r="HI312">
        <v>0</v>
      </c>
      <c r="HJ312">
        <v>0</v>
      </c>
      <c r="HM312">
        <v>0</v>
      </c>
      <c r="HN312">
        <v>0</v>
      </c>
      <c r="HO312">
        <v>0</v>
      </c>
      <c r="HP312">
        <v>0</v>
      </c>
      <c r="HQ312">
        <v>0</v>
      </c>
      <c r="HR312">
        <v>0</v>
      </c>
      <c r="HS312">
        <v>0</v>
      </c>
      <c r="HT312">
        <v>0</v>
      </c>
      <c r="HW312">
        <v>0</v>
      </c>
      <c r="HX312">
        <v>0</v>
      </c>
      <c r="HY312">
        <v>0</v>
      </c>
      <c r="HZ312">
        <v>0</v>
      </c>
      <c r="IA312">
        <v>3930.6</v>
      </c>
      <c r="IB312">
        <v>3632.9</v>
      </c>
      <c r="IC312">
        <v>3795.5</v>
      </c>
      <c r="ID312">
        <v>0</v>
      </c>
      <c r="IE312">
        <v>0</v>
      </c>
      <c r="IF312">
        <v>3548.5</v>
      </c>
      <c r="IG312">
        <v>3395.2</v>
      </c>
      <c r="IH312">
        <v>3395.4</v>
      </c>
      <c r="II312">
        <v>3302.3</v>
      </c>
      <c r="IJ312">
        <v>3172.8</v>
      </c>
      <c r="IK312">
        <v>0</v>
      </c>
      <c r="IL312">
        <v>0</v>
      </c>
      <c r="IM312">
        <v>0</v>
      </c>
      <c r="IN312">
        <v>0</v>
      </c>
      <c r="IO312">
        <v>123.4</v>
      </c>
      <c r="IP312">
        <v>405.2</v>
      </c>
      <c r="IQ312">
        <v>418.7</v>
      </c>
      <c r="IR312">
        <v>0</v>
      </c>
      <c r="IS312">
        <v>0</v>
      </c>
      <c r="IT312">
        <v>0</v>
      </c>
      <c r="IU312">
        <v>0</v>
      </c>
      <c r="IV312">
        <v>396</v>
      </c>
      <c r="IW312">
        <v>0</v>
      </c>
      <c r="IX312">
        <v>0</v>
      </c>
      <c r="IZ312">
        <v>0</v>
      </c>
      <c r="JA312">
        <v>65.5</v>
      </c>
      <c r="JB312">
        <v>443.5</v>
      </c>
      <c r="JC312">
        <v>0</v>
      </c>
      <c r="JD312">
        <v>0</v>
      </c>
      <c r="JE312">
        <v>0</v>
      </c>
      <c r="JF312">
        <v>0</v>
      </c>
      <c r="JG312">
        <v>0</v>
      </c>
      <c r="JH312">
        <v>0</v>
      </c>
      <c r="JI312">
        <v>0</v>
      </c>
      <c r="JJ312">
        <v>0</v>
      </c>
      <c r="JK312">
        <v>0</v>
      </c>
      <c r="JL312">
        <v>0</v>
      </c>
      <c r="JM312">
        <v>0</v>
      </c>
      <c r="JN312">
        <v>0</v>
      </c>
      <c r="JO312">
        <v>0</v>
      </c>
      <c r="JP312">
        <v>0</v>
      </c>
      <c r="JQ312">
        <v>0</v>
      </c>
      <c r="JR312">
        <v>0</v>
      </c>
      <c r="JS312">
        <v>0</v>
      </c>
      <c r="JT312">
        <v>0</v>
      </c>
      <c r="JU312">
        <v>0</v>
      </c>
      <c r="JV312">
        <v>0</v>
      </c>
      <c r="JW312">
        <v>0</v>
      </c>
      <c r="JX312">
        <v>0</v>
      </c>
      <c r="JY312">
        <v>0</v>
      </c>
      <c r="JZ312">
        <v>0</v>
      </c>
      <c r="KA312">
        <v>0</v>
      </c>
      <c r="KB312">
        <v>0</v>
      </c>
      <c r="KC312">
        <v>0</v>
      </c>
      <c r="KD312">
        <v>0</v>
      </c>
      <c r="KE312">
        <v>0</v>
      </c>
      <c r="KF312">
        <v>0</v>
      </c>
      <c r="KI312">
        <v>344.6</v>
      </c>
      <c r="KJ312">
        <v>350.8</v>
      </c>
      <c r="KK312">
        <v>22.1</v>
      </c>
      <c r="KL312">
        <v>379.3</v>
      </c>
      <c r="KM312">
        <v>241.4</v>
      </c>
      <c r="KN312">
        <v>0</v>
      </c>
      <c r="KO312">
        <v>0</v>
      </c>
      <c r="KP312">
        <v>57.3</v>
      </c>
      <c r="KQ312">
        <v>224.4</v>
      </c>
      <c r="KR312">
        <v>338.3</v>
      </c>
      <c r="KS312">
        <v>215.8</v>
      </c>
      <c r="KT312">
        <v>40.700000000000003</v>
      </c>
      <c r="KW312">
        <v>2154.5</v>
      </c>
      <c r="KX312">
        <v>1255.7</v>
      </c>
      <c r="KY312">
        <v>1630.1</v>
      </c>
      <c r="KZ312">
        <v>1246.9000000000001</v>
      </c>
      <c r="LB312">
        <v>78.099999999999994</v>
      </c>
      <c r="LC312">
        <v>77.7</v>
      </c>
    </row>
    <row r="313" spans="1:315" ht="18" thickBot="1">
      <c r="A313" s="253"/>
      <c r="B313" s="582"/>
      <c r="C313" s="233"/>
      <c r="D313" s="290"/>
      <c r="E313" s="437">
        <v>0</v>
      </c>
      <c r="F313" s="205">
        <v>0</v>
      </c>
      <c r="G313" s="427">
        <v>3413.8</v>
      </c>
      <c r="H313" s="155"/>
      <c r="I313">
        <v>735</v>
      </c>
      <c r="K313">
        <v>1973.1000000000001</v>
      </c>
      <c r="L313" s="4">
        <v>221.60000000000002</v>
      </c>
      <c r="M313" s="4">
        <v>54.9</v>
      </c>
      <c r="N313" s="4">
        <v>1989.7</v>
      </c>
      <c r="P313">
        <v>0</v>
      </c>
      <c r="Q313">
        <v>238.29999999999998</v>
      </c>
      <c r="R313">
        <v>0</v>
      </c>
      <c r="S313">
        <v>0</v>
      </c>
      <c r="T313">
        <v>368.5</v>
      </c>
      <c r="W313">
        <v>720.3</v>
      </c>
      <c r="X313">
        <v>1411.5</v>
      </c>
      <c r="Y313">
        <v>96.5</v>
      </c>
      <c r="AA313">
        <v>859.6</v>
      </c>
      <c r="AB313">
        <v>1577.6000000000001</v>
      </c>
      <c r="AE313">
        <v>1330</v>
      </c>
      <c r="AF313">
        <v>1025.5</v>
      </c>
      <c r="AH313">
        <v>509.9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1349.3</v>
      </c>
      <c r="AO313">
        <v>786.40000000000009</v>
      </c>
      <c r="AP313">
        <v>0</v>
      </c>
      <c r="AQ313">
        <v>68.3</v>
      </c>
      <c r="AR313">
        <v>234.9</v>
      </c>
      <c r="AS313">
        <v>600.40000000000009</v>
      </c>
      <c r="AU313">
        <v>985.69999999999993</v>
      </c>
      <c r="AW313">
        <v>792</v>
      </c>
      <c r="AX313">
        <v>1988.5</v>
      </c>
      <c r="AZ313">
        <v>763.5</v>
      </c>
      <c r="BA313">
        <v>0</v>
      </c>
      <c r="BB313">
        <v>0</v>
      </c>
      <c r="BC313">
        <v>1935.3</v>
      </c>
      <c r="BD313">
        <v>1006.5</v>
      </c>
      <c r="BE313">
        <v>0</v>
      </c>
      <c r="BF313">
        <v>0</v>
      </c>
      <c r="BG313">
        <v>0</v>
      </c>
      <c r="BH313">
        <v>1662.6</v>
      </c>
      <c r="BJ313">
        <v>0</v>
      </c>
      <c r="BK313">
        <v>0</v>
      </c>
      <c r="BL313">
        <v>1038.9000000000001</v>
      </c>
      <c r="BM313">
        <v>1101</v>
      </c>
      <c r="BO313">
        <v>1276.8000000000002</v>
      </c>
      <c r="BQ313">
        <v>0</v>
      </c>
      <c r="BR313">
        <v>270.7</v>
      </c>
      <c r="BS313">
        <v>230.5</v>
      </c>
      <c r="BT313">
        <v>472.3</v>
      </c>
      <c r="BU313">
        <v>537.29999999999995</v>
      </c>
      <c r="BV313">
        <v>346.3</v>
      </c>
      <c r="BW313">
        <v>386.2</v>
      </c>
      <c r="BX313">
        <v>767</v>
      </c>
      <c r="BY313">
        <v>757.2</v>
      </c>
      <c r="BZ313">
        <v>1037.2</v>
      </c>
      <c r="CA313">
        <v>1227.0999999999999</v>
      </c>
      <c r="CB313">
        <v>1232.0999999999999</v>
      </c>
      <c r="CC313">
        <v>1701.5</v>
      </c>
      <c r="CD313">
        <v>0</v>
      </c>
      <c r="CG313">
        <v>1385.3</v>
      </c>
      <c r="CJ313">
        <v>1630.2999999999997</v>
      </c>
      <c r="CM313">
        <v>1184.2</v>
      </c>
      <c r="CO313">
        <v>1248.0999999999999</v>
      </c>
      <c r="CQ313">
        <v>1435.3</v>
      </c>
      <c r="CR313">
        <v>798.2</v>
      </c>
      <c r="CS313">
        <v>923.8</v>
      </c>
      <c r="CT313">
        <v>0</v>
      </c>
      <c r="CU313">
        <v>0</v>
      </c>
      <c r="CV313">
        <v>0</v>
      </c>
      <c r="CW313">
        <v>0</v>
      </c>
      <c r="CX313">
        <v>163.69999999999999</v>
      </c>
      <c r="CY313">
        <v>0</v>
      </c>
      <c r="CZ313">
        <v>0</v>
      </c>
      <c r="DA313">
        <v>0</v>
      </c>
      <c r="DB313">
        <v>0</v>
      </c>
      <c r="DC313">
        <v>0</v>
      </c>
      <c r="DD313">
        <v>0</v>
      </c>
      <c r="DE313">
        <v>0</v>
      </c>
      <c r="DI313">
        <v>0</v>
      </c>
      <c r="EC313">
        <v>0</v>
      </c>
      <c r="ED313">
        <v>0</v>
      </c>
      <c r="EE313">
        <v>0</v>
      </c>
      <c r="EF313">
        <v>0</v>
      </c>
      <c r="EG313">
        <v>0</v>
      </c>
      <c r="EH313">
        <v>0</v>
      </c>
      <c r="EI313">
        <v>0</v>
      </c>
      <c r="EJ313">
        <v>0</v>
      </c>
      <c r="EM313">
        <v>0</v>
      </c>
      <c r="EN313">
        <v>0</v>
      </c>
      <c r="EO313">
        <v>0</v>
      </c>
      <c r="EP313">
        <v>0</v>
      </c>
      <c r="EQ313">
        <v>0</v>
      </c>
      <c r="ER313">
        <v>0</v>
      </c>
      <c r="ES313">
        <v>0</v>
      </c>
      <c r="ET313">
        <v>0</v>
      </c>
      <c r="EW313">
        <v>0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G313" t="e">
        <v>#N/A</v>
      </c>
      <c r="FI313" t="e">
        <v>#N/A</v>
      </c>
      <c r="FK313" t="e">
        <v>#N/A</v>
      </c>
      <c r="FM313" t="e">
        <v>#N/A</v>
      </c>
      <c r="FO313" t="e">
        <v>#N/A</v>
      </c>
      <c r="FQ313" t="e">
        <v>#N/A</v>
      </c>
      <c r="FS313" t="e">
        <v>#N/A</v>
      </c>
      <c r="FU313" t="e">
        <v>#N/A</v>
      </c>
      <c r="FW313" t="e">
        <v>#N/A</v>
      </c>
      <c r="FY313" t="e">
        <v>#N/A</v>
      </c>
      <c r="GA313" t="e">
        <v>#N/A</v>
      </c>
      <c r="GC313" t="e">
        <v>#N/A</v>
      </c>
      <c r="GE313" t="e">
        <v>#N/A</v>
      </c>
      <c r="GG313" t="e">
        <v>#N/A</v>
      </c>
      <c r="GI313" t="e">
        <v>#N/A</v>
      </c>
      <c r="GK313" t="e">
        <v>#N/A</v>
      </c>
      <c r="GM313" t="e">
        <v>#N/A</v>
      </c>
      <c r="GO313" t="e">
        <v>#N/A</v>
      </c>
      <c r="GQ313" t="e">
        <v>#N/A</v>
      </c>
      <c r="GS313" t="e">
        <v>#N/A</v>
      </c>
      <c r="GU313" t="e">
        <v>#N/A</v>
      </c>
      <c r="GW313" t="e">
        <v>#N/A</v>
      </c>
      <c r="GY313" t="e">
        <v>#N/A</v>
      </c>
      <c r="HA313" t="e">
        <v>#N/A</v>
      </c>
      <c r="HC313">
        <v>0</v>
      </c>
      <c r="HD313">
        <v>0</v>
      </c>
      <c r="HE313">
        <v>0</v>
      </c>
      <c r="HF313">
        <v>0</v>
      </c>
      <c r="HG313">
        <v>0</v>
      </c>
      <c r="HH313">
        <v>0</v>
      </c>
      <c r="HI313">
        <v>0</v>
      </c>
      <c r="HJ313">
        <v>0</v>
      </c>
      <c r="HM313">
        <v>0</v>
      </c>
      <c r="HN313">
        <v>0</v>
      </c>
      <c r="HO313">
        <v>0</v>
      </c>
      <c r="HP313">
        <v>0</v>
      </c>
      <c r="HQ313">
        <v>0</v>
      </c>
      <c r="HR313">
        <v>0</v>
      </c>
      <c r="HS313">
        <v>0</v>
      </c>
      <c r="HT313">
        <v>0</v>
      </c>
      <c r="HW313">
        <v>0</v>
      </c>
      <c r="HX313">
        <v>0</v>
      </c>
      <c r="HY313">
        <v>0</v>
      </c>
      <c r="HZ313">
        <v>0</v>
      </c>
      <c r="IA313">
        <v>3930.6</v>
      </c>
      <c r="IB313">
        <v>3632.9</v>
      </c>
      <c r="IC313">
        <v>3795.5</v>
      </c>
      <c r="ID313">
        <v>0</v>
      </c>
      <c r="IE313">
        <v>0</v>
      </c>
      <c r="IF313">
        <v>3548.5</v>
      </c>
      <c r="IG313">
        <v>3395.2</v>
      </c>
      <c r="IH313">
        <v>3395.4</v>
      </c>
      <c r="II313">
        <v>3302.3</v>
      </c>
      <c r="IJ313">
        <v>3172.8</v>
      </c>
      <c r="IK313">
        <v>0</v>
      </c>
      <c r="IL313">
        <v>0</v>
      </c>
      <c r="IM313">
        <v>0</v>
      </c>
      <c r="IN313">
        <v>0</v>
      </c>
      <c r="IO313">
        <v>123.4</v>
      </c>
      <c r="IP313">
        <v>405.2</v>
      </c>
      <c r="IQ313">
        <v>418.7</v>
      </c>
      <c r="IR313">
        <v>0</v>
      </c>
      <c r="IS313">
        <v>0</v>
      </c>
      <c r="IT313">
        <v>0</v>
      </c>
      <c r="IU313">
        <v>0</v>
      </c>
      <c r="IV313">
        <v>396</v>
      </c>
      <c r="IW313">
        <v>0</v>
      </c>
      <c r="IX313">
        <v>0</v>
      </c>
      <c r="IZ313">
        <v>0</v>
      </c>
      <c r="JA313">
        <v>65.5</v>
      </c>
      <c r="JB313">
        <v>443.5</v>
      </c>
      <c r="JC313">
        <v>0</v>
      </c>
      <c r="JD313">
        <v>0</v>
      </c>
      <c r="JE313">
        <v>0</v>
      </c>
      <c r="JF313">
        <v>0</v>
      </c>
      <c r="JG313">
        <v>0</v>
      </c>
      <c r="JH313">
        <v>0</v>
      </c>
      <c r="JI313">
        <v>0</v>
      </c>
      <c r="JJ313">
        <v>0</v>
      </c>
      <c r="JK313">
        <v>0</v>
      </c>
      <c r="JL313">
        <v>0</v>
      </c>
      <c r="JM313">
        <v>0</v>
      </c>
      <c r="JN313">
        <v>0</v>
      </c>
      <c r="JO313">
        <v>0</v>
      </c>
      <c r="JP313">
        <v>0</v>
      </c>
      <c r="JQ313">
        <v>0</v>
      </c>
      <c r="JR313">
        <v>0</v>
      </c>
      <c r="JS313">
        <v>0</v>
      </c>
      <c r="JT313">
        <v>0</v>
      </c>
      <c r="JU313">
        <v>0</v>
      </c>
      <c r="JV313">
        <v>0</v>
      </c>
      <c r="JW313">
        <v>0</v>
      </c>
      <c r="JX313">
        <v>0</v>
      </c>
      <c r="JY313">
        <v>0</v>
      </c>
      <c r="JZ313">
        <v>0</v>
      </c>
      <c r="KA313">
        <v>0</v>
      </c>
      <c r="KB313">
        <v>0</v>
      </c>
      <c r="KC313">
        <v>0</v>
      </c>
      <c r="KD313">
        <v>0</v>
      </c>
      <c r="KE313">
        <v>0</v>
      </c>
      <c r="KF313">
        <v>0</v>
      </c>
      <c r="KI313">
        <v>344.6</v>
      </c>
      <c r="KJ313">
        <v>350.8</v>
      </c>
      <c r="KK313">
        <v>22.1</v>
      </c>
      <c r="KL313">
        <v>379.3</v>
      </c>
      <c r="KM313">
        <v>241.4</v>
      </c>
      <c r="KN313">
        <v>0</v>
      </c>
      <c r="KO313">
        <v>0</v>
      </c>
      <c r="KP313">
        <v>57.3</v>
      </c>
      <c r="KQ313">
        <v>224.4</v>
      </c>
      <c r="KR313">
        <v>338.3</v>
      </c>
      <c r="KS313">
        <v>215.8</v>
      </c>
      <c r="KT313">
        <v>40.700000000000003</v>
      </c>
      <c r="KW313">
        <v>2154.5</v>
      </c>
      <c r="KX313">
        <v>1255.7</v>
      </c>
      <c r="KY313">
        <v>1630.1</v>
      </c>
      <c r="KZ313">
        <v>1246.9000000000001</v>
      </c>
      <c r="LB313">
        <v>78.099999999999994</v>
      </c>
      <c r="LC313">
        <v>77.7</v>
      </c>
    </row>
    <row r="314" spans="1:315" ht="18" thickBot="1">
      <c r="A314" s="252"/>
      <c r="B314" s="578" t="s">
        <v>592</v>
      </c>
      <c r="C314" s="231" t="s">
        <v>855</v>
      </c>
      <c r="D314" s="288" t="s">
        <v>656</v>
      </c>
      <c r="E314" s="446">
        <v>0</v>
      </c>
      <c r="F314" s="203">
        <v>0</v>
      </c>
      <c r="G314" s="427">
        <v>3413.8</v>
      </c>
      <c r="H314" s="155"/>
      <c r="I314">
        <v>735</v>
      </c>
      <c r="K314">
        <v>1973.1000000000001</v>
      </c>
      <c r="L314" s="4">
        <v>221.60000000000002</v>
      </c>
      <c r="M314" s="4">
        <v>54.9</v>
      </c>
      <c r="N314" s="4">
        <v>1989.7</v>
      </c>
      <c r="P314">
        <v>0</v>
      </c>
      <c r="Q314">
        <v>238.29999999999998</v>
      </c>
      <c r="R314">
        <v>0</v>
      </c>
      <c r="S314">
        <v>0</v>
      </c>
      <c r="T314">
        <v>368.5</v>
      </c>
      <c r="W314">
        <v>720.3</v>
      </c>
      <c r="X314">
        <v>1411.5</v>
      </c>
      <c r="Y314">
        <v>96.5</v>
      </c>
      <c r="AA314">
        <v>859.6</v>
      </c>
      <c r="AB314">
        <v>1577.6000000000001</v>
      </c>
      <c r="AE314">
        <v>1330</v>
      </c>
      <c r="AF314">
        <v>1025.5</v>
      </c>
      <c r="AH314">
        <v>509.9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1349.3</v>
      </c>
      <c r="AO314">
        <v>786.40000000000009</v>
      </c>
      <c r="AP314">
        <v>0</v>
      </c>
      <c r="AQ314">
        <v>68.3</v>
      </c>
      <c r="AR314">
        <v>234.9</v>
      </c>
      <c r="AS314">
        <v>600.40000000000009</v>
      </c>
      <c r="AU314">
        <v>985.69999999999993</v>
      </c>
      <c r="AW314">
        <v>792</v>
      </c>
      <c r="AX314">
        <v>1988.5</v>
      </c>
      <c r="AZ314">
        <v>763.5</v>
      </c>
      <c r="BA314">
        <v>0</v>
      </c>
      <c r="BB314">
        <v>0</v>
      </c>
      <c r="BC314">
        <v>1935.3</v>
      </c>
      <c r="BD314">
        <v>1006.5</v>
      </c>
      <c r="BE314">
        <v>0</v>
      </c>
      <c r="BF314">
        <v>0</v>
      </c>
      <c r="BG314">
        <v>0</v>
      </c>
      <c r="BH314">
        <v>1662.6</v>
      </c>
      <c r="BJ314">
        <v>0</v>
      </c>
      <c r="BK314">
        <v>0</v>
      </c>
      <c r="BL314">
        <v>1038.9000000000001</v>
      </c>
      <c r="BM314">
        <v>1101</v>
      </c>
      <c r="BO314">
        <v>1276.8000000000002</v>
      </c>
      <c r="BQ314">
        <v>0</v>
      </c>
      <c r="BR314">
        <v>270.7</v>
      </c>
      <c r="BS314">
        <v>230.5</v>
      </c>
      <c r="BT314">
        <v>472.3</v>
      </c>
      <c r="BU314">
        <v>537.29999999999995</v>
      </c>
      <c r="BV314">
        <v>346.3</v>
      </c>
      <c r="BW314">
        <v>386.2</v>
      </c>
      <c r="BX314">
        <v>767</v>
      </c>
      <c r="BY314">
        <v>757.2</v>
      </c>
      <c r="BZ314">
        <v>1037.2</v>
      </c>
      <c r="CA314">
        <v>1227.0999999999999</v>
      </c>
      <c r="CB314">
        <v>1232.0999999999999</v>
      </c>
      <c r="CC314">
        <v>1701.5</v>
      </c>
      <c r="CD314">
        <v>0</v>
      </c>
      <c r="CG314">
        <v>1385.3</v>
      </c>
      <c r="CJ314">
        <v>1630.2999999999997</v>
      </c>
      <c r="CM314">
        <v>1184.2</v>
      </c>
      <c r="CO314">
        <v>1248.0999999999999</v>
      </c>
      <c r="CQ314">
        <v>1435.3</v>
      </c>
      <c r="CR314">
        <v>798.2</v>
      </c>
      <c r="CS314">
        <v>923.8</v>
      </c>
      <c r="CT314">
        <v>0</v>
      </c>
      <c r="CU314">
        <v>0</v>
      </c>
      <c r="CV314">
        <v>0</v>
      </c>
      <c r="CW314">
        <v>0</v>
      </c>
      <c r="CX314">
        <v>163.69999999999999</v>
      </c>
      <c r="CY314">
        <v>0</v>
      </c>
      <c r="CZ314">
        <v>0</v>
      </c>
      <c r="DA314">
        <v>0</v>
      </c>
      <c r="DB314">
        <v>0</v>
      </c>
      <c r="DC314">
        <v>0</v>
      </c>
      <c r="DD314">
        <v>0</v>
      </c>
      <c r="DE314">
        <v>0</v>
      </c>
      <c r="DI314">
        <v>0</v>
      </c>
      <c r="EC314">
        <v>0</v>
      </c>
      <c r="ED314">
        <v>0</v>
      </c>
      <c r="EE314">
        <v>0</v>
      </c>
      <c r="EF314">
        <v>0</v>
      </c>
      <c r="EG314">
        <v>0</v>
      </c>
      <c r="EH314">
        <v>0</v>
      </c>
      <c r="EI314">
        <v>0</v>
      </c>
      <c r="EJ314">
        <v>0</v>
      </c>
      <c r="EM314">
        <v>0</v>
      </c>
      <c r="EN314">
        <v>0</v>
      </c>
      <c r="EO314">
        <v>0</v>
      </c>
      <c r="EP314">
        <v>0</v>
      </c>
      <c r="EQ314">
        <v>0</v>
      </c>
      <c r="ER314">
        <v>0</v>
      </c>
      <c r="ES314">
        <v>0</v>
      </c>
      <c r="ET314">
        <v>0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  <c r="FC314">
        <v>0</v>
      </c>
      <c r="FD314">
        <v>0</v>
      </c>
      <c r="FG314" t="e">
        <v>#N/A</v>
      </c>
      <c r="FI314" t="e">
        <v>#N/A</v>
      </c>
      <c r="FK314" t="e">
        <v>#N/A</v>
      </c>
      <c r="FM314" t="e">
        <v>#N/A</v>
      </c>
      <c r="FO314" t="e">
        <v>#N/A</v>
      </c>
      <c r="FQ314" t="e">
        <v>#N/A</v>
      </c>
      <c r="FS314" t="e">
        <v>#N/A</v>
      </c>
      <c r="FU314" t="e">
        <v>#N/A</v>
      </c>
      <c r="FW314" t="e">
        <v>#N/A</v>
      </c>
      <c r="FY314" t="e">
        <v>#N/A</v>
      </c>
      <c r="GA314" t="e">
        <v>#N/A</v>
      </c>
      <c r="GC314" t="e">
        <v>#N/A</v>
      </c>
      <c r="GE314" t="e">
        <v>#N/A</v>
      </c>
      <c r="GG314" t="e">
        <v>#N/A</v>
      </c>
      <c r="GI314" t="e">
        <v>#N/A</v>
      </c>
      <c r="GK314" t="e">
        <v>#N/A</v>
      </c>
      <c r="GM314" t="e">
        <v>#N/A</v>
      </c>
      <c r="GO314" t="e">
        <v>#N/A</v>
      </c>
      <c r="GQ314" t="e">
        <v>#N/A</v>
      </c>
      <c r="GS314" t="e">
        <v>#N/A</v>
      </c>
      <c r="GU314" t="e">
        <v>#N/A</v>
      </c>
      <c r="GW314" t="e">
        <v>#N/A</v>
      </c>
      <c r="GY314" t="e">
        <v>#N/A</v>
      </c>
      <c r="HA314" t="e">
        <v>#N/A</v>
      </c>
      <c r="HC314">
        <v>0</v>
      </c>
      <c r="HD314">
        <v>0</v>
      </c>
      <c r="HE314">
        <v>0</v>
      </c>
      <c r="HF314">
        <v>0</v>
      </c>
      <c r="HG314">
        <v>0</v>
      </c>
      <c r="HH314">
        <v>0</v>
      </c>
      <c r="HI314">
        <v>0</v>
      </c>
      <c r="HJ314">
        <v>0</v>
      </c>
      <c r="HM314">
        <v>0</v>
      </c>
      <c r="HN314">
        <v>0</v>
      </c>
      <c r="HO314">
        <v>0</v>
      </c>
      <c r="HP314">
        <v>0</v>
      </c>
      <c r="HQ314">
        <v>0</v>
      </c>
      <c r="HR314">
        <v>0</v>
      </c>
      <c r="HS314">
        <v>0</v>
      </c>
      <c r="HT314">
        <v>0</v>
      </c>
      <c r="HW314">
        <v>0</v>
      </c>
      <c r="HX314">
        <v>0</v>
      </c>
      <c r="HY314">
        <v>0</v>
      </c>
      <c r="HZ314">
        <v>0</v>
      </c>
      <c r="IA314">
        <v>3930.6</v>
      </c>
      <c r="IB314">
        <v>3632.9</v>
      </c>
      <c r="IC314">
        <v>3795.5</v>
      </c>
      <c r="ID314">
        <v>0</v>
      </c>
      <c r="IE314">
        <v>0</v>
      </c>
      <c r="IF314">
        <v>3548.5</v>
      </c>
      <c r="IG314">
        <v>3395.2</v>
      </c>
      <c r="IH314">
        <v>3395.4</v>
      </c>
      <c r="II314">
        <v>3302.3</v>
      </c>
      <c r="IJ314">
        <v>3172.8</v>
      </c>
      <c r="IK314">
        <v>0</v>
      </c>
      <c r="IL314">
        <v>0</v>
      </c>
      <c r="IM314">
        <v>0</v>
      </c>
      <c r="IN314">
        <v>0</v>
      </c>
      <c r="IO314">
        <v>123.4</v>
      </c>
      <c r="IP314">
        <v>405.2</v>
      </c>
      <c r="IQ314">
        <v>418.7</v>
      </c>
      <c r="IR314">
        <v>0</v>
      </c>
      <c r="IS314">
        <v>0</v>
      </c>
      <c r="IT314">
        <v>0</v>
      </c>
      <c r="IU314">
        <v>0</v>
      </c>
      <c r="IV314">
        <v>396</v>
      </c>
      <c r="IW314">
        <v>0</v>
      </c>
      <c r="IX314">
        <v>0</v>
      </c>
      <c r="IZ314">
        <v>0</v>
      </c>
      <c r="JA314">
        <v>65.5</v>
      </c>
      <c r="JB314">
        <v>443.5</v>
      </c>
      <c r="JC314">
        <v>0</v>
      </c>
      <c r="JD314">
        <v>0</v>
      </c>
      <c r="JE314">
        <v>0</v>
      </c>
      <c r="JF314">
        <v>0</v>
      </c>
      <c r="JG314">
        <v>0</v>
      </c>
      <c r="JH314">
        <v>0</v>
      </c>
      <c r="JI314">
        <v>0</v>
      </c>
      <c r="JJ314">
        <v>0</v>
      </c>
      <c r="JK314">
        <v>0</v>
      </c>
      <c r="JL314">
        <v>0</v>
      </c>
      <c r="JM314">
        <v>0</v>
      </c>
      <c r="JN314">
        <v>0</v>
      </c>
      <c r="JO314">
        <v>0</v>
      </c>
      <c r="JP314">
        <v>0</v>
      </c>
      <c r="JQ314">
        <v>0</v>
      </c>
      <c r="JR314">
        <v>0</v>
      </c>
      <c r="JS314">
        <v>0</v>
      </c>
      <c r="JT314">
        <v>0</v>
      </c>
      <c r="JU314">
        <v>0</v>
      </c>
      <c r="JV314">
        <v>0</v>
      </c>
      <c r="JW314">
        <v>0</v>
      </c>
      <c r="JX314">
        <v>0</v>
      </c>
      <c r="JY314">
        <v>0</v>
      </c>
      <c r="JZ314">
        <v>0</v>
      </c>
      <c r="KA314">
        <v>0</v>
      </c>
      <c r="KB314">
        <v>0</v>
      </c>
      <c r="KC314">
        <v>0</v>
      </c>
      <c r="KD314">
        <v>0</v>
      </c>
      <c r="KE314">
        <v>0</v>
      </c>
      <c r="KF314">
        <v>0</v>
      </c>
      <c r="KI314">
        <v>344.6</v>
      </c>
      <c r="KJ314">
        <v>350.8</v>
      </c>
      <c r="KK314">
        <v>22.1</v>
      </c>
      <c r="KL314">
        <v>379.3</v>
      </c>
      <c r="KM314">
        <v>241.4</v>
      </c>
      <c r="KN314">
        <v>0</v>
      </c>
      <c r="KO314">
        <v>0</v>
      </c>
      <c r="KP314">
        <v>57.3</v>
      </c>
      <c r="KQ314">
        <v>224.4</v>
      </c>
      <c r="KR314">
        <v>338.3</v>
      </c>
      <c r="KS314">
        <v>215.8</v>
      </c>
      <c r="KT314">
        <v>40.700000000000003</v>
      </c>
      <c r="KW314">
        <v>2154.5</v>
      </c>
      <c r="KX314">
        <v>1255.7</v>
      </c>
      <c r="KY314">
        <v>1630.1</v>
      </c>
      <c r="KZ314">
        <v>1246.9000000000001</v>
      </c>
      <c r="LB314">
        <v>78.099999999999994</v>
      </c>
      <c r="LC314">
        <v>77.7</v>
      </c>
    </row>
    <row r="315" spans="1:315" ht="18" thickBot="1">
      <c r="A315" s="258"/>
      <c r="B315" s="579"/>
      <c r="C315" s="232"/>
      <c r="D315" s="289"/>
      <c r="E315" s="434">
        <v>0</v>
      </c>
      <c r="F315" s="204">
        <v>0</v>
      </c>
      <c r="G315" s="427">
        <v>3413.8</v>
      </c>
      <c r="H315" s="155"/>
      <c r="I315">
        <v>735</v>
      </c>
      <c r="K315">
        <v>1973.1000000000001</v>
      </c>
      <c r="L315" s="4">
        <v>221.60000000000002</v>
      </c>
      <c r="M315" s="4">
        <v>54.9</v>
      </c>
      <c r="N315" s="4">
        <v>1989.7</v>
      </c>
      <c r="P315">
        <v>0</v>
      </c>
      <c r="Q315">
        <v>238.29999999999998</v>
      </c>
      <c r="R315">
        <v>0</v>
      </c>
      <c r="S315">
        <v>0</v>
      </c>
      <c r="T315">
        <v>368.5</v>
      </c>
      <c r="W315">
        <v>720.3</v>
      </c>
      <c r="X315">
        <v>1411.5</v>
      </c>
      <c r="Y315">
        <v>96.5</v>
      </c>
      <c r="AA315">
        <v>859.6</v>
      </c>
      <c r="AB315">
        <v>1577.6000000000001</v>
      </c>
      <c r="AE315">
        <v>1330</v>
      </c>
      <c r="AF315">
        <v>1025.5</v>
      </c>
      <c r="AH315">
        <v>509.9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1349.3</v>
      </c>
      <c r="AO315">
        <v>786.40000000000009</v>
      </c>
      <c r="AP315">
        <v>0</v>
      </c>
      <c r="AQ315">
        <v>68.3</v>
      </c>
      <c r="AR315">
        <v>234.9</v>
      </c>
      <c r="AS315">
        <v>600.40000000000009</v>
      </c>
      <c r="AU315">
        <v>985.69999999999993</v>
      </c>
      <c r="AW315">
        <v>792</v>
      </c>
      <c r="AX315">
        <v>1988.5</v>
      </c>
      <c r="AZ315">
        <v>763.5</v>
      </c>
      <c r="BA315">
        <v>0</v>
      </c>
      <c r="BB315">
        <v>0</v>
      </c>
      <c r="BC315">
        <v>1935.3</v>
      </c>
      <c r="BD315">
        <v>1006.5</v>
      </c>
      <c r="BE315">
        <v>0</v>
      </c>
      <c r="BF315">
        <v>0</v>
      </c>
      <c r="BG315">
        <v>0</v>
      </c>
      <c r="BH315">
        <v>1662.6</v>
      </c>
      <c r="BJ315">
        <v>0</v>
      </c>
      <c r="BK315">
        <v>0</v>
      </c>
      <c r="BL315">
        <v>1038.9000000000001</v>
      </c>
      <c r="BM315">
        <v>1101</v>
      </c>
      <c r="BO315">
        <v>1276.8000000000002</v>
      </c>
      <c r="BQ315">
        <v>0</v>
      </c>
      <c r="BR315">
        <v>270.7</v>
      </c>
      <c r="BS315">
        <v>230.5</v>
      </c>
      <c r="BT315">
        <v>472.3</v>
      </c>
      <c r="BU315">
        <v>537.29999999999995</v>
      </c>
      <c r="BV315">
        <v>346.3</v>
      </c>
      <c r="BW315">
        <v>386.2</v>
      </c>
      <c r="BX315">
        <v>767</v>
      </c>
      <c r="BY315">
        <v>757.2</v>
      </c>
      <c r="BZ315">
        <v>1037.2</v>
      </c>
      <c r="CA315">
        <v>1227.0999999999999</v>
      </c>
      <c r="CB315">
        <v>1232.0999999999999</v>
      </c>
      <c r="CC315">
        <v>1701.5</v>
      </c>
      <c r="CD315">
        <v>0</v>
      </c>
      <c r="CG315">
        <v>1385.3</v>
      </c>
      <c r="CJ315">
        <v>1630.2999999999997</v>
      </c>
      <c r="CM315">
        <v>1184.2</v>
      </c>
      <c r="CO315">
        <v>1248.0999999999999</v>
      </c>
      <c r="CQ315">
        <v>1435.3</v>
      </c>
      <c r="CR315">
        <v>798.2</v>
      </c>
      <c r="CS315">
        <v>923.8</v>
      </c>
      <c r="CT315">
        <v>0</v>
      </c>
      <c r="CU315">
        <v>0</v>
      </c>
      <c r="CV315">
        <v>0</v>
      </c>
      <c r="CW315">
        <v>0</v>
      </c>
      <c r="CX315">
        <v>163.69999999999999</v>
      </c>
      <c r="CY315">
        <v>0</v>
      </c>
      <c r="CZ315">
        <v>0</v>
      </c>
      <c r="DA315">
        <v>0</v>
      </c>
      <c r="DB315">
        <v>0</v>
      </c>
      <c r="DC315">
        <v>0</v>
      </c>
      <c r="DD315">
        <v>0</v>
      </c>
      <c r="DE315">
        <v>0</v>
      </c>
      <c r="DI315">
        <v>0</v>
      </c>
      <c r="EC315">
        <v>0</v>
      </c>
      <c r="ED315">
        <v>0</v>
      </c>
      <c r="EE315">
        <v>0</v>
      </c>
      <c r="EF315">
        <v>0</v>
      </c>
      <c r="EG315">
        <v>0</v>
      </c>
      <c r="EH315">
        <v>0</v>
      </c>
      <c r="EI315">
        <v>0</v>
      </c>
      <c r="EJ315">
        <v>0</v>
      </c>
      <c r="EM315">
        <v>0</v>
      </c>
      <c r="EN315">
        <v>0</v>
      </c>
      <c r="EO315">
        <v>0</v>
      </c>
      <c r="EP315">
        <v>0</v>
      </c>
      <c r="EQ315">
        <v>0</v>
      </c>
      <c r="ER315">
        <v>0</v>
      </c>
      <c r="ES315">
        <v>0</v>
      </c>
      <c r="ET315">
        <v>0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G315" t="e">
        <v>#N/A</v>
      </c>
      <c r="FI315" t="e">
        <v>#N/A</v>
      </c>
      <c r="FK315" t="e">
        <v>#N/A</v>
      </c>
      <c r="FM315" t="e">
        <v>#N/A</v>
      </c>
      <c r="FO315" t="e">
        <v>#N/A</v>
      </c>
      <c r="FQ315" t="e">
        <v>#N/A</v>
      </c>
      <c r="FS315" t="e">
        <v>#N/A</v>
      </c>
      <c r="FU315" t="e">
        <v>#N/A</v>
      </c>
      <c r="FW315" t="e">
        <v>#N/A</v>
      </c>
      <c r="FY315" t="e">
        <v>#N/A</v>
      </c>
      <c r="GA315" t="e">
        <v>#N/A</v>
      </c>
      <c r="GC315" t="e">
        <v>#N/A</v>
      </c>
      <c r="GE315" t="e">
        <v>#N/A</v>
      </c>
      <c r="GG315" t="e">
        <v>#N/A</v>
      </c>
      <c r="GI315" t="e">
        <v>#N/A</v>
      </c>
      <c r="GK315" t="e">
        <v>#N/A</v>
      </c>
      <c r="GM315" t="e">
        <v>#N/A</v>
      </c>
      <c r="GO315" t="e">
        <v>#N/A</v>
      </c>
      <c r="GQ315" t="e">
        <v>#N/A</v>
      </c>
      <c r="GS315" t="e">
        <v>#N/A</v>
      </c>
      <c r="GU315" t="e">
        <v>#N/A</v>
      </c>
      <c r="GW315" t="e">
        <v>#N/A</v>
      </c>
      <c r="GY315" t="e">
        <v>#N/A</v>
      </c>
      <c r="HA315" t="e">
        <v>#N/A</v>
      </c>
      <c r="HC315">
        <v>0</v>
      </c>
      <c r="HD315">
        <v>0</v>
      </c>
      <c r="HE315">
        <v>0</v>
      </c>
      <c r="HF315">
        <v>0</v>
      </c>
      <c r="HG315">
        <v>0</v>
      </c>
      <c r="HH315">
        <v>0</v>
      </c>
      <c r="HI315">
        <v>0</v>
      </c>
      <c r="HJ315">
        <v>0</v>
      </c>
      <c r="HM315">
        <v>0</v>
      </c>
      <c r="HN315">
        <v>0</v>
      </c>
      <c r="HO315">
        <v>0</v>
      </c>
      <c r="HP315">
        <v>0</v>
      </c>
      <c r="HQ315">
        <v>0</v>
      </c>
      <c r="HR315">
        <v>0</v>
      </c>
      <c r="HS315">
        <v>0</v>
      </c>
      <c r="HT315">
        <v>0</v>
      </c>
      <c r="HW315">
        <v>0</v>
      </c>
      <c r="HX315">
        <v>0</v>
      </c>
      <c r="HY315">
        <v>0</v>
      </c>
      <c r="HZ315">
        <v>0</v>
      </c>
      <c r="IA315">
        <v>3930.6</v>
      </c>
      <c r="IB315">
        <v>3632.9</v>
      </c>
      <c r="IC315">
        <v>3795.5</v>
      </c>
      <c r="ID315">
        <v>0</v>
      </c>
      <c r="IE315">
        <v>0</v>
      </c>
      <c r="IF315">
        <v>3548.5</v>
      </c>
      <c r="IG315">
        <v>3395.2</v>
      </c>
      <c r="IH315">
        <v>3395.4</v>
      </c>
      <c r="II315">
        <v>3302.3</v>
      </c>
      <c r="IJ315">
        <v>3172.8</v>
      </c>
      <c r="IK315">
        <v>0</v>
      </c>
      <c r="IL315">
        <v>0</v>
      </c>
      <c r="IM315">
        <v>0</v>
      </c>
      <c r="IN315">
        <v>0</v>
      </c>
      <c r="IO315">
        <v>123.4</v>
      </c>
      <c r="IP315">
        <v>405.2</v>
      </c>
      <c r="IQ315">
        <v>418.7</v>
      </c>
      <c r="IR315">
        <v>0</v>
      </c>
      <c r="IS315">
        <v>0</v>
      </c>
      <c r="IT315">
        <v>0</v>
      </c>
      <c r="IU315">
        <v>0</v>
      </c>
      <c r="IV315">
        <v>396</v>
      </c>
      <c r="IW315">
        <v>0</v>
      </c>
      <c r="IX315">
        <v>0</v>
      </c>
      <c r="IZ315">
        <v>0</v>
      </c>
      <c r="JA315">
        <v>65.5</v>
      </c>
      <c r="JB315">
        <v>443.5</v>
      </c>
      <c r="JC315">
        <v>0</v>
      </c>
      <c r="JD315">
        <v>0</v>
      </c>
      <c r="JE315">
        <v>0</v>
      </c>
      <c r="JF315">
        <v>0</v>
      </c>
      <c r="JG315">
        <v>0</v>
      </c>
      <c r="JH315">
        <v>0</v>
      </c>
      <c r="JI315">
        <v>0</v>
      </c>
      <c r="JJ315">
        <v>0</v>
      </c>
      <c r="JK315">
        <v>0</v>
      </c>
      <c r="JL315">
        <v>0</v>
      </c>
      <c r="JM315">
        <v>0</v>
      </c>
      <c r="JN315">
        <v>0</v>
      </c>
      <c r="JO315">
        <v>0</v>
      </c>
      <c r="JP315">
        <v>0</v>
      </c>
      <c r="JQ315">
        <v>0</v>
      </c>
      <c r="JR315">
        <v>0</v>
      </c>
      <c r="JS315">
        <v>0</v>
      </c>
      <c r="JT315">
        <v>0</v>
      </c>
      <c r="JU315">
        <v>0</v>
      </c>
      <c r="JV315">
        <v>0</v>
      </c>
      <c r="JW315">
        <v>0</v>
      </c>
      <c r="JX315">
        <v>0</v>
      </c>
      <c r="JY315">
        <v>0</v>
      </c>
      <c r="JZ315">
        <v>0</v>
      </c>
      <c r="KA315">
        <v>0</v>
      </c>
      <c r="KB315">
        <v>0</v>
      </c>
      <c r="KC315">
        <v>0</v>
      </c>
      <c r="KD315">
        <v>0</v>
      </c>
      <c r="KE315">
        <v>0</v>
      </c>
      <c r="KF315">
        <v>0</v>
      </c>
      <c r="KI315">
        <v>344.6</v>
      </c>
      <c r="KJ315">
        <v>350.8</v>
      </c>
      <c r="KK315">
        <v>22.1</v>
      </c>
      <c r="KL315">
        <v>379.3</v>
      </c>
      <c r="KM315">
        <v>241.4</v>
      </c>
      <c r="KN315">
        <v>0</v>
      </c>
      <c r="KO315">
        <v>0</v>
      </c>
      <c r="KP315">
        <v>57.3</v>
      </c>
      <c r="KQ315">
        <v>224.4</v>
      </c>
      <c r="KR315">
        <v>338.3</v>
      </c>
      <c r="KS315">
        <v>215.8</v>
      </c>
      <c r="KT315">
        <v>40.700000000000003</v>
      </c>
      <c r="KW315">
        <v>2154.5</v>
      </c>
      <c r="KX315">
        <v>1255.7</v>
      </c>
      <c r="KY315">
        <v>1630.1</v>
      </c>
      <c r="KZ315">
        <v>1246.9000000000001</v>
      </c>
      <c r="LB315">
        <v>78.099999999999994</v>
      </c>
      <c r="LC315">
        <v>77.7</v>
      </c>
    </row>
    <row r="316" spans="1:315" ht="18" thickBot="1">
      <c r="A316" s="259"/>
      <c r="B316" s="580"/>
      <c r="C316" s="335"/>
      <c r="D316" s="291"/>
      <c r="E316" s="441">
        <v>0</v>
      </c>
      <c r="F316" s="206">
        <v>0</v>
      </c>
      <c r="G316" s="427">
        <v>3413.8</v>
      </c>
      <c r="H316" s="155"/>
      <c r="I316">
        <v>735</v>
      </c>
      <c r="K316">
        <v>1973.1000000000001</v>
      </c>
      <c r="L316" s="4">
        <v>221.60000000000002</v>
      </c>
      <c r="M316" s="4">
        <v>54.9</v>
      </c>
      <c r="N316" s="4">
        <v>1989.7</v>
      </c>
      <c r="P316">
        <v>0</v>
      </c>
      <c r="Q316">
        <v>238.29999999999998</v>
      </c>
      <c r="R316">
        <v>0</v>
      </c>
      <c r="S316">
        <v>0</v>
      </c>
      <c r="T316">
        <v>368.5</v>
      </c>
      <c r="W316">
        <v>720.3</v>
      </c>
      <c r="X316">
        <v>1411.5</v>
      </c>
      <c r="Y316">
        <v>96.5</v>
      </c>
      <c r="AA316">
        <v>859.6</v>
      </c>
      <c r="AB316">
        <v>1577.6000000000001</v>
      </c>
      <c r="AE316">
        <v>1330</v>
      </c>
      <c r="AF316">
        <v>1025.5</v>
      </c>
      <c r="AH316">
        <v>509.9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1349.3</v>
      </c>
      <c r="AO316">
        <v>786.40000000000009</v>
      </c>
      <c r="AP316">
        <v>0</v>
      </c>
      <c r="AQ316">
        <v>68.3</v>
      </c>
      <c r="AR316">
        <v>234.9</v>
      </c>
      <c r="AS316">
        <v>600.40000000000009</v>
      </c>
      <c r="AU316">
        <v>985.69999999999993</v>
      </c>
      <c r="AW316">
        <v>792</v>
      </c>
      <c r="AX316">
        <v>1988.5</v>
      </c>
      <c r="AZ316">
        <v>763.5</v>
      </c>
      <c r="BA316">
        <v>0</v>
      </c>
      <c r="BB316">
        <v>0</v>
      </c>
      <c r="BC316">
        <v>1935.3</v>
      </c>
      <c r="BD316">
        <v>1006.5</v>
      </c>
      <c r="BE316">
        <v>0</v>
      </c>
      <c r="BF316">
        <v>0</v>
      </c>
      <c r="BG316">
        <v>0</v>
      </c>
      <c r="BH316">
        <v>1662.6</v>
      </c>
      <c r="BJ316">
        <v>0</v>
      </c>
      <c r="BK316">
        <v>0</v>
      </c>
      <c r="BL316">
        <v>1038.9000000000001</v>
      </c>
      <c r="BM316">
        <v>1101</v>
      </c>
      <c r="BO316">
        <v>1276.8000000000002</v>
      </c>
      <c r="BQ316">
        <v>0</v>
      </c>
      <c r="BR316">
        <v>270.7</v>
      </c>
      <c r="BS316">
        <v>230.5</v>
      </c>
      <c r="BT316">
        <v>472.3</v>
      </c>
      <c r="BU316">
        <v>537.29999999999995</v>
      </c>
      <c r="BV316">
        <v>346.3</v>
      </c>
      <c r="BW316">
        <v>386.2</v>
      </c>
      <c r="BX316">
        <v>767</v>
      </c>
      <c r="BY316">
        <v>757.2</v>
      </c>
      <c r="BZ316">
        <v>1037.2</v>
      </c>
      <c r="CA316">
        <v>1227.0999999999999</v>
      </c>
      <c r="CB316">
        <v>1232.0999999999999</v>
      </c>
      <c r="CC316">
        <v>1701.5</v>
      </c>
      <c r="CD316">
        <v>0</v>
      </c>
      <c r="CG316">
        <v>1385.3</v>
      </c>
      <c r="CJ316">
        <v>1630.2999999999997</v>
      </c>
      <c r="CM316">
        <v>1184.2</v>
      </c>
      <c r="CO316">
        <v>1248.0999999999999</v>
      </c>
      <c r="CQ316">
        <v>1435.3</v>
      </c>
      <c r="CR316">
        <v>798.2</v>
      </c>
      <c r="CS316">
        <v>923.8</v>
      </c>
      <c r="CT316">
        <v>0</v>
      </c>
      <c r="CU316">
        <v>0</v>
      </c>
      <c r="CV316">
        <v>0</v>
      </c>
      <c r="CW316">
        <v>0</v>
      </c>
      <c r="CX316">
        <v>163.69999999999999</v>
      </c>
      <c r="CY316">
        <v>0</v>
      </c>
      <c r="CZ316">
        <v>0</v>
      </c>
      <c r="DA316">
        <v>0</v>
      </c>
      <c r="DB316">
        <v>0</v>
      </c>
      <c r="DC316">
        <v>0</v>
      </c>
      <c r="DD316">
        <v>0</v>
      </c>
      <c r="DE316">
        <v>0</v>
      </c>
      <c r="DI316">
        <v>0</v>
      </c>
      <c r="EC316">
        <v>0</v>
      </c>
      <c r="ED316">
        <v>0</v>
      </c>
      <c r="EE316">
        <v>0</v>
      </c>
      <c r="EF316">
        <v>0</v>
      </c>
      <c r="EG316">
        <v>0</v>
      </c>
      <c r="EH316">
        <v>0</v>
      </c>
      <c r="EI316">
        <v>0</v>
      </c>
      <c r="EJ316">
        <v>0</v>
      </c>
      <c r="EM316">
        <v>0</v>
      </c>
      <c r="EN316">
        <v>0</v>
      </c>
      <c r="EO316">
        <v>0</v>
      </c>
      <c r="EP316">
        <v>0</v>
      </c>
      <c r="EQ316">
        <v>0</v>
      </c>
      <c r="ER316">
        <v>0</v>
      </c>
      <c r="ES316">
        <v>0</v>
      </c>
      <c r="ET316">
        <v>0</v>
      </c>
      <c r="EW316">
        <v>0</v>
      </c>
      <c r="EX316">
        <v>0</v>
      </c>
      <c r="EY316">
        <v>0</v>
      </c>
      <c r="EZ316">
        <v>0</v>
      </c>
      <c r="FA316">
        <v>0</v>
      </c>
      <c r="FB316">
        <v>0</v>
      </c>
      <c r="FC316">
        <v>0</v>
      </c>
      <c r="FD316">
        <v>0</v>
      </c>
      <c r="FG316" t="e">
        <v>#N/A</v>
      </c>
      <c r="FI316" t="e">
        <v>#N/A</v>
      </c>
      <c r="FK316" t="e">
        <v>#N/A</v>
      </c>
      <c r="FM316" t="e">
        <v>#N/A</v>
      </c>
      <c r="FO316" t="e">
        <v>#N/A</v>
      </c>
      <c r="FQ316" t="e">
        <v>#N/A</v>
      </c>
      <c r="FS316" t="e">
        <v>#N/A</v>
      </c>
      <c r="FU316" t="e">
        <v>#N/A</v>
      </c>
      <c r="FW316" t="e">
        <v>#N/A</v>
      </c>
      <c r="FY316" t="e">
        <v>#N/A</v>
      </c>
      <c r="GA316" t="e">
        <v>#N/A</v>
      </c>
      <c r="GC316" t="e">
        <v>#N/A</v>
      </c>
      <c r="GE316" t="e">
        <v>#N/A</v>
      </c>
      <c r="GG316" t="e">
        <v>#N/A</v>
      </c>
      <c r="GI316" t="e">
        <v>#N/A</v>
      </c>
      <c r="GK316" t="e">
        <v>#N/A</v>
      </c>
      <c r="GM316" t="e">
        <v>#N/A</v>
      </c>
      <c r="GO316" t="e">
        <v>#N/A</v>
      </c>
      <c r="GQ316" t="e">
        <v>#N/A</v>
      </c>
      <c r="GS316" t="e">
        <v>#N/A</v>
      </c>
      <c r="GU316" t="e">
        <v>#N/A</v>
      </c>
      <c r="GW316" t="e">
        <v>#N/A</v>
      </c>
      <c r="GY316" t="e">
        <v>#N/A</v>
      </c>
      <c r="HA316" t="e">
        <v>#N/A</v>
      </c>
      <c r="HC316">
        <v>0</v>
      </c>
      <c r="HD316">
        <v>0</v>
      </c>
      <c r="HE316">
        <v>0</v>
      </c>
      <c r="HF316">
        <v>0</v>
      </c>
      <c r="HG316">
        <v>0</v>
      </c>
      <c r="HH316">
        <v>0</v>
      </c>
      <c r="HI316">
        <v>0</v>
      </c>
      <c r="HJ316">
        <v>0</v>
      </c>
      <c r="HM316">
        <v>0</v>
      </c>
      <c r="HN316">
        <v>0</v>
      </c>
      <c r="HO316">
        <v>0</v>
      </c>
      <c r="HP316">
        <v>0</v>
      </c>
      <c r="HQ316">
        <v>0</v>
      </c>
      <c r="HR316">
        <v>0</v>
      </c>
      <c r="HS316">
        <v>0</v>
      </c>
      <c r="HT316">
        <v>0</v>
      </c>
      <c r="HW316">
        <v>0</v>
      </c>
      <c r="HX316">
        <v>0</v>
      </c>
      <c r="HY316">
        <v>0</v>
      </c>
      <c r="HZ316">
        <v>0</v>
      </c>
      <c r="IA316">
        <v>3930.6</v>
      </c>
      <c r="IB316">
        <v>3632.9</v>
      </c>
      <c r="IC316">
        <v>3795.5</v>
      </c>
      <c r="ID316">
        <v>0</v>
      </c>
      <c r="IE316">
        <v>0</v>
      </c>
      <c r="IF316">
        <v>3548.5</v>
      </c>
      <c r="IG316">
        <v>3395.2</v>
      </c>
      <c r="IH316">
        <v>3395.4</v>
      </c>
      <c r="II316">
        <v>3302.3</v>
      </c>
      <c r="IJ316">
        <v>3172.8</v>
      </c>
      <c r="IK316">
        <v>0</v>
      </c>
      <c r="IL316">
        <v>0</v>
      </c>
      <c r="IM316">
        <v>0</v>
      </c>
      <c r="IN316">
        <v>0</v>
      </c>
      <c r="IO316">
        <v>123.4</v>
      </c>
      <c r="IP316">
        <v>405.2</v>
      </c>
      <c r="IQ316">
        <v>418.7</v>
      </c>
      <c r="IR316">
        <v>0</v>
      </c>
      <c r="IS316">
        <v>0</v>
      </c>
      <c r="IT316">
        <v>0</v>
      </c>
      <c r="IU316">
        <v>0</v>
      </c>
      <c r="IV316">
        <v>396</v>
      </c>
      <c r="IW316">
        <v>0</v>
      </c>
      <c r="IX316">
        <v>0</v>
      </c>
      <c r="IZ316">
        <v>0</v>
      </c>
      <c r="JA316">
        <v>65.5</v>
      </c>
      <c r="JB316">
        <v>443.5</v>
      </c>
      <c r="JC316">
        <v>0</v>
      </c>
      <c r="JD316">
        <v>0</v>
      </c>
      <c r="JE316">
        <v>0</v>
      </c>
      <c r="JF316">
        <v>0</v>
      </c>
      <c r="JG316">
        <v>0</v>
      </c>
      <c r="JH316">
        <v>0</v>
      </c>
      <c r="JI316">
        <v>0</v>
      </c>
      <c r="JJ316">
        <v>0</v>
      </c>
      <c r="JK316">
        <v>0</v>
      </c>
      <c r="JL316">
        <v>0</v>
      </c>
      <c r="JM316">
        <v>0</v>
      </c>
      <c r="JN316">
        <v>0</v>
      </c>
      <c r="JO316">
        <v>0</v>
      </c>
      <c r="JP316">
        <v>0</v>
      </c>
      <c r="JQ316">
        <v>0</v>
      </c>
      <c r="JR316">
        <v>0</v>
      </c>
      <c r="JS316">
        <v>0</v>
      </c>
      <c r="JT316">
        <v>0</v>
      </c>
      <c r="JU316">
        <v>0</v>
      </c>
      <c r="JV316">
        <v>0</v>
      </c>
      <c r="JW316">
        <v>0</v>
      </c>
      <c r="JX316">
        <v>0</v>
      </c>
      <c r="JY316">
        <v>0</v>
      </c>
      <c r="JZ316">
        <v>0</v>
      </c>
      <c r="KA316">
        <v>0</v>
      </c>
      <c r="KB316">
        <v>0</v>
      </c>
      <c r="KC316">
        <v>0</v>
      </c>
      <c r="KD316">
        <v>0</v>
      </c>
      <c r="KE316">
        <v>0</v>
      </c>
      <c r="KF316">
        <v>0</v>
      </c>
      <c r="KI316">
        <v>344.6</v>
      </c>
      <c r="KJ316">
        <v>350.8</v>
      </c>
      <c r="KK316">
        <v>22.1</v>
      </c>
      <c r="KL316">
        <v>379.3</v>
      </c>
      <c r="KM316">
        <v>241.4</v>
      </c>
      <c r="KN316">
        <v>0</v>
      </c>
      <c r="KO316">
        <v>0</v>
      </c>
      <c r="KP316">
        <v>57.3</v>
      </c>
      <c r="KQ316">
        <v>224.4</v>
      </c>
      <c r="KR316">
        <v>338.3</v>
      </c>
      <c r="KS316">
        <v>215.8</v>
      </c>
      <c r="KT316">
        <v>40.700000000000003</v>
      </c>
      <c r="KW316">
        <v>2154.5</v>
      </c>
      <c r="KX316">
        <v>1255.7</v>
      </c>
      <c r="KY316">
        <v>1630.1</v>
      </c>
      <c r="KZ316">
        <v>1246.9000000000001</v>
      </c>
      <c r="LB316">
        <v>78.099999999999994</v>
      </c>
      <c r="LC316">
        <v>77.7</v>
      </c>
    </row>
    <row r="317" spans="1:315" ht="18.600000000000001" thickTop="1" thickBot="1">
      <c r="A317" s="260"/>
      <c r="B317" s="581" t="s">
        <v>593</v>
      </c>
      <c r="C317" s="336" t="s">
        <v>856</v>
      </c>
      <c r="D317" s="292" t="s">
        <v>656</v>
      </c>
      <c r="E317" s="433">
        <v>0</v>
      </c>
      <c r="F317" s="207">
        <v>0</v>
      </c>
      <c r="G317" s="427">
        <v>3413.8</v>
      </c>
      <c r="H317" s="155"/>
      <c r="I317">
        <v>735</v>
      </c>
      <c r="K317">
        <v>1973.1000000000001</v>
      </c>
      <c r="L317" s="4">
        <v>221.60000000000002</v>
      </c>
      <c r="M317" s="4">
        <v>54.9</v>
      </c>
      <c r="N317" s="4">
        <v>1989.7</v>
      </c>
      <c r="P317">
        <v>0</v>
      </c>
      <c r="Q317">
        <v>238.29999999999998</v>
      </c>
      <c r="R317">
        <v>0</v>
      </c>
      <c r="S317">
        <v>0</v>
      </c>
      <c r="T317">
        <v>368.5</v>
      </c>
      <c r="W317">
        <v>720.3</v>
      </c>
      <c r="X317">
        <v>1411.5</v>
      </c>
      <c r="Y317">
        <v>96.5</v>
      </c>
      <c r="AA317">
        <v>859.6</v>
      </c>
      <c r="AB317">
        <v>1577.6000000000001</v>
      </c>
      <c r="AE317">
        <v>1330</v>
      </c>
      <c r="AF317">
        <v>1025.5</v>
      </c>
      <c r="AH317">
        <v>509.9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1349.3</v>
      </c>
      <c r="AO317">
        <v>786.40000000000009</v>
      </c>
      <c r="AP317">
        <v>0</v>
      </c>
      <c r="AQ317">
        <v>68.3</v>
      </c>
      <c r="AR317">
        <v>234.9</v>
      </c>
      <c r="AS317">
        <v>600.40000000000009</v>
      </c>
      <c r="AU317">
        <v>985.69999999999993</v>
      </c>
      <c r="AW317">
        <v>792</v>
      </c>
      <c r="AX317">
        <v>1988.5</v>
      </c>
      <c r="AZ317">
        <v>763.5</v>
      </c>
      <c r="BA317">
        <v>0</v>
      </c>
      <c r="BB317">
        <v>0</v>
      </c>
      <c r="BC317">
        <v>1935.3</v>
      </c>
      <c r="BD317">
        <v>1006.5</v>
      </c>
      <c r="BE317">
        <v>0</v>
      </c>
      <c r="BF317">
        <v>0</v>
      </c>
      <c r="BG317">
        <v>0</v>
      </c>
      <c r="BH317">
        <v>1662.6</v>
      </c>
      <c r="BJ317">
        <v>0</v>
      </c>
      <c r="BK317">
        <v>0</v>
      </c>
      <c r="BL317">
        <v>1038.9000000000001</v>
      </c>
      <c r="BM317">
        <v>1101</v>
      </c>
      <c r="BO317">
        <v>1276.8000000000002</v>
      </c>
      <c r="BQ317">
        <v>0</v>
      </c>
      <c r="BR317">
        <v>270.7</v>
      </c>
      <c r="BS317">
        <v>230.5</v>
      </c>
      <c r="BT317">
        <v>472.3</v>
      </c>
      <c r="BU317">
        <v>537.29999999999995</v>
      </c>
      <c r="BV317">
        <v>346.3</v>
      </c>
      <c r="BW317">
        <v>386.2</v>
      </c>
      <c r="BX317">
        <v>767</v>
      </c>
      <c r="BY317">
        <v>757.2</v>
      </c>
      <c r="BZ317">
        <v>1037.2</v>
      </c>
      <c r="CA317">
        <v>1227.0999999999999</v>
      </c>
      <c r="CB317">
        <v>1232.0999999999999</v>
      </c>
      <c r="CC317">
        <v>1701.5</v>
      </c>
      <c r="CD317">
        <v>0</v>
      </c>
      <c r="CG317">
        <v>1385.3</v>
      </c>
      <c r="CJ317">
        <v>1630.2999999999997</v>
      </c>
      <c r="CM317">
        <v>1184.2</v>
      </c>
      <c r="CO317">
        <v>1248.0999999999999</v>
      </c>
      <c r="CQ317">
        <v>1435.3</v>
      </c>
      <c r="CR317">
        <v>798.2</v>
      </c>
      <c r="CS317">
        <v>923.8</v>
      </c>
      <c r="CT317">
        <v>0</v>
      </c>
      <c r="CU317">
        <v>0</v>
      </c>
      <c r="CV317">
        <v>0</v>
      </c>
      <c r="CW317">
        <v>0</v>
      </c>
      <c r="CX317">
        <v>163.69999999999999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I317">
        <v>0</v>
      </c>
      <c r="EC317">
        <v>0</v>
      </c>
      <c r="ED317">
        <v>0</v>
      </c>
      <c r="EE317">
        <v>0</v>
      </c>
      <c r="EF317">
        <v>0</v>
      </c>
      <c r="EG317">
        <v>0</v>
      </c>
      <c r="EH317">
        <v>0</v>
      </c>
      <c r="EI317">
        <v>0</v>
      </c>
      <c r="EJ317">
        <v>0</v>
      </c>
      <c r="EM317">
        <v>0</v>
      </c>
      <c r="EN317">
        <v>0</v>
      </c>
      <c r="EO317">
        <v>0</v>
      </c>
      <c r="EP317">
        <v>0</v>
      </c>
      <c r="EQ317">
        <v>0</v>
      </c>
      <c r="ER317">
        <v>0</v>
      </c>
      <c r="ES317">
        <v>0</v>
      </c>
      <c r="ET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G317" t="e">
        <v>#N/A</v>
      </c>
      <c r="FI317" t="e">
        <v>#N/A</v>
      </c>
      <c r="FK317" t="e">
        <v>#N/A</v>
      </c>
      <c r="FM317" t="e">
        <v>#N/A</v>
      </c>
      <c r="FO317" t="e">
        <v>#N/A</v>
      </c>
      <c r="FQ317" t="e">
        <v>#N/A</v>
      </c>
      <c r="FS317" t="e">
        <v>#N/A</v>
      </c>
      <c r="FU317" t="e">
        <v>#N/A</v>
      </c>
      <c r="FW317" t="e">
        <v>#N/A</v>
      </c>
      <c r="FY317" t="e">
        <v>#N/A</v>
      </c>
      <c r="GA317" t="e">
        <v>#N/A</v>
      </c>
      <c r="GC317" t="e">
        <v>#N/A</v>
      </c>
      <c r="GE317" t="e">
        <v>#N/A</v>
      </c>
      <c r="GG317" t="e">
        <v>#N/A</v>
      </c>
      <c r="GI317" t="e">
        <v>#N/A</v>
      </c>
      <c r="GK317" t="e">
        <v>#N/A</v>
      </c>
      <c r="GM317" t="e">
        <v>#N/A</v>
      </c>
      <c r="GO317" t="e">
        <v>#N/A</v>
      </c>
      <c r="GQ317" t="e">
        <v>#N/A</v>
      </c>
      <c r="GS317" t="e">
        <v>#N/A</v>
      </c>
      <c r="GU317" t="e">
        <v>#N/A</v>
      </c>
      <c r="GW317" t="e">
        <v>#N/A</v>
      </c>
      <c r="GY317" t="e">
        <v>#N/A</v>
      </c>
      <c r="HA317" t="e">
        <v>#N/A</v>
      </c>
      <c r="HC317">
        <v>0</v>
      </c>
      <c r="HD317">
        <v>0</v>
      </c>
      <c r="HE317">
        <v>0</v>
      </c>
      <c r="HF317">
        <v>0</v>
      </c>
      <c r="HG317">
        <v>0</v>
      </c>
      <c r="HH317">
        <v>0</v>
      </c>
      <c r="HI317">
        <v>0</v>
      </c>
      <c r="HJ317">
        <v>0</v>
      </c>
      <c r="HM317">
        <v>0</v>
      </c>
      <c r="HN317">
        <v>0</v>
      </c>
      <c r="HO317">
        <v>0</v>
      </c>
      <c r="HP317">
        <v>0</v>
      </c>
      <c r="HQ317">
        <v>0</v>
      </c>
      <c r="HR317">
        <v>0</v>
      </c>
      <c r="HS317">
        <v>0</v>
      </c>
      <c r="HT317">
        <v>0</v>
      </c>
      <c r="HW317">
        <v>0</v>
      </c>
      <c r="HX317">
        <v>0</v>
      </c>
      <c r="HY317">
        <v>0</v>
      </c>
      <c r="HZ317">
        <v>0</v>
      </c>
      <c r="IA317">
        <v>3930.6</v>
      </c>
      <c r="IB317">
        <v>3632.9</v>
      </c>
      <c r="IC317">
        <v>3795.5</v>
      </c>
      <c r="ID317">
        <v>0</v>
      </c>
      <c r="IE317">
        <v>0</v>
      </c>
      <c r="IF317">
        <v>3548.5</v>
      </c>
      <c r="IG317">
        <v>3395.2</v>
      </c>
      <c r="IH317">
        <v>3395.4</v>
      </c>
      <c r="II317">
        <v>3302.3</v>
      </c>
      <c r="IJ317">
        <v>3172.8</v>
      </c>
      <c r="IK317">
        <v>0</v>
      </c>
      <c r="IL317">
        <v>0</v>
      </c>
      <c r="IM317">
        <v>0</v>
      </c>
      <c r="IN317">
        <v>0</v>
      </c>
      <c r="IO317">
        <v>123.4</v>
      </c>
      <c r="IP317">
        <v>405.2</v>
      </c>
      <c r="IQ317">
        <v>418.7</v>
      </c>
      <c r="IR317">
        <v>0</v>
      </c>
      <c r="IS317">
        <v>0</v>
      </c>
      <c r="IT317">
        <v>0</v>
      </c>
      <c r="IU317">
        <v>0</v>
      </c>
      <c r="IV317">
        <v>396</v>
      </c>
      <c r="IW317">
        <v>0</v>
      </c>
      <c r="IX317">
        <v>0</v>
      </c>
      <c r="IZ317">
        <v>0</v>
      </c>
      <c r="JA317">
        <v>65.5</v>
      </c>
      <c r="JB317">
        <v>443.5</v>
      </c>
      <c r="JC317">
        <v>0</v>
      </c>
      <c r="JD317">
        <v>0</v>
      </c>
      <c r="JE317">
        <v>0</v>
      </c>
      <c r="JF317">
        <v>0</v>
      </c>
      <c r="JG317">
        <v>0</v>
      </c>
      <c r="JH317">
        <v>0</v>
      </c>
      <c r="JI317">
        <v>0</v>
      </c>
      <c r="JJ317">
        <v>0</v>
      </c>
      <c r="JK317">
        <v>0</v>
      </c>
      <c r="JL317">
        <v>0</v>
      </c>
      <c r="JM317">
        <v>0</v>
      </c>
      <c r="JN317">
        <v>0</v>
      </c>
      <c r="JO317">
        <v>0</v>
      </c>
      <c r="JP317">
        <v>0</v>
      </c>
      <c r="JQ317">
        <v>0</v>
      </c>
      <c r="JR317">
        <v>0</v>
      </c>
      <c r="JS317">
        <v>0</v>
      </c>
      <c r="JT317">
        <v>0</v>
      </c>
      <c r="JU317">
        <v>0</v>
      </c>
      <c r="JV317">
        <v>0</v>
      </c>
      <c r="JW317">
        <v>0</v>
      </c>
      <c r="JX317">
        <v>0</v>
      </c>
      <c r="JY317">
        <v>0</v>
      </c>
      <c r="JZ317">
        <v>0</v>
      </c>
      <c r="KA317">
        <v>0</v>
      </c>
      <c r="KB317">
        <v>0</v>
      </c>
      <c r="KC317">
        <v>0</v>
      </c>
      <c r="KD317">
        <v>0</v>
      </c>
      <c r="KE317">
        <v>0</v>
      </c>
      <c r="KF317">
        <v>0</v>
      </c>
      <c r="KI317">
        <v>344.6</v>
      </c>
      <c r="KJ317">
        <v>350.8</v>
      </c>
      <c r="KK317">
        <v>22.1</v>
      </c>
      <c r="KL317">
        <v>379.3</v>
      </c>
      <c r="KM317">
        <v>241.4</v>
      </c>
      <c r="KN317">
        <v>0</v>
      </c>
      <c r="KO317">
        <v>0</v>
      </c>
      <c r="KP317">
        <v>57.3</v>
      </c>
      <c r="KQ317">
        <v>224.4</v>
      </c>
      <c r="KR317">
        <v>338.3</v>
      </c>
      <c r="KS317">
        <v>215.8</v>
      </c>
      <c r="KT317">
        <v>40.700000000000003</v>
      </c>
      <c r="KW317">
        <v>2154.5</v>
      </c>
      <c r="KX317">
        <v>1255.7</v>
      </c>
      <c r="KY317">
        <v>1630.1</v>
      </c>
      <c r="KZ317">
        <v>1246.9000000000001</v>
      </c>
      <c r="LB317">
        <v>78.099999999999994</v>
      </c>
      <c r="LC317">
        <v>77.7</v>
      </c>
    </row>
    <row r="318" spans="1:315" ht="18" thickBot="1">
      <c r="A318" s="258"/>
      <c r="B318" s="579"/>
      <c r="C318" s="232"/>
      <c r="D318" s="289"/>
      <c r="E318" s="434">
        <v>0</v>
      </c>
      <c r="F318" s="204">
        <v>0</v>
      </c>
      <c r="G318" s="427">
        <v>3413.8</v>
      </c>
      <c r="H318" s="155"/>
      <c r="I318">
        <v>735</v>
      </c>
      <c r="K318">
        <v>1973.1000000000001</v>
      </c>
      <c r="L318" s="4">
        <v>221.60000000000002</v>
      </c>
      <c r="M318" s="4">
        <v>54.9</v>
      </c>
      <c r="N318" s="4">
        <v>1989.7</v>
      </c>
      <c r="P318">
        <v>0</v>
      </c>
      <c r="Q318">
        <v>238.29999999999998</v>
      </c>
      <c r="R318">
        <v>0</v>
      </c>
      <c r="S318">
        <v>0</v>
      </c>
      <c r="T318">
        <v>368.5</v>
      </c>
      <c r="W318">
        <v>720.3</v>
      </c>
      <c r="X318">
        <v>1411.5</v>
      </c>
      <c r="Y318">
        <v>96.5</v>
      </c>
      <c r="AA318">
        <v>859.6</v>
      </c>
      <c r="AB318">
        <v>1577.6000000000001</v>
      </c>
      <c r="AE318">
        <v>1330</v>
      </c>
      <c r="AF318">
        <v>1025.5</v>
      </c>
      <c r="AH318">
        <v>509.9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1349.3</v>
      </c>
      <c r="AO318">
        <v>786.40000000000009</v>
      </c>
      <c r="AP318">
        <v>0</v>
      </c>
      <c r="AQ318">
        <v>68.3</v>
      </c>
      <c r="AR318">
        <v>234.9</v>
      </c>
      <c r="AS318">
        <v>600.40000000000009</v>
      </c>
      <c r="AU318">
        <v>985.69999999999993</v>
      </c>
      <c r="AW318">
        <v>792</v>
      </c>
      <c r="AX318">
        <v>1988.5</v>
      </c>
      <c r="AZ318">
        <v>763.5</v>
      </c>
      <c r="BA318">
        <v>0</v>
      </c>
      <c r="BB318">
        <v>0</v>
      </c>
      <c r="BC318">
        <v>1935.3</v>
      </c>
      <c r="BD318">
        <v>1006.5</v>
      </c>
      <c r="BE318">
        <v>0</v>
      </c>
      <c r="BF318">
        <v>0</v>
      </c>
      <c r="BG318">
        <v>0</v>
      </c>
      <c r="BH318">
        <v>1662.6</v>
      </c>
      <c r="BJ318">
        <v>0</v>
      </c>
      <c r="BK318">
        <v>0</v>
      </c>
      <c r="BL318">
        <v>1038.9000000000001</v>
      </c>
      <c r="BM318">
        <v>1101</v>
      </c>
      <c r="BO318">
        <v>1276.8000000000002</v>
      </c>
      <c r="BQ318">
        <v>0</v>
      </c>
      <c r="BR318">
        <v>270.7</v>
      </c>
      <c r="BS318">
        <v>230.5</v>
      </c>
      <c r="BT318">
        <v>472.3</v>
      </c>
      <c r="BU318">
        <v>537.29999999999995</v>
      </c>
      <c r="BV318">
        <v>346.3</v>
      </c>
      <c r="BW318">
        <v>386.2</v>
      </c>
      <c r="BX318">
        <v>767</v>
      </c>
      <c r="BY318">
        <v>757.2</v>
      </c>
      <c r="BZ318">
        <v>1037.2</v>
      </c>
      <c r="CA318">
        <v>1227.0999999999999</v>
      </c>
      <c r="CB318">
        <v>1232.0999999999999</v>
      </c>
      <c r="CC318">
        <v>1701.5</v>
      </c>
      <c r="CD318">
        <v>0</v>
      </c>
      <c r="CG318">
        <v>1385.3</v>
      </c>
      <c r="CJ318">
        <v>1630.2999999999997</v>
      </c>
      <c r="CM318">
        <v>1184.2</v>
      </c>
      <c r="CO318">
        <v>1248.0999999999999</v>
      </c>
      <c r="CQ318">
        <v>1435.3</v>
      </c>
      <c r="CR318">
        <v>798.2</v>
      </c>
      <c r="CS318">
        <v>923.8</v>
      </c>
      <c r="CT318">
        <v>0</v>
      </c>
      <c r="CU318">
        <v>0</v>
      </c>
      <c r="CV318">
        <v>0</v>
      </c>
      <c r="CW318">
        <v>0</v>
      </c>
      <c r="CX318">
        <v>163.69999999999999</v>
      </c>
      <c r="CY318">
        <v>0</v>
      </c>
      <c r="CZ318">
        <v>0</v>
      </c>
      <c r="DA318">
        <v>0</v>
      </c>
      <c r="DB318">
        <v>0</v>
      </c>
      <c r="DC318">
        <v>0</v>
      </c>
      <c r="DD318">
        <v>0</v>
      </c>
      <c r="DE318">
        <v>0</v>
      </c>
      <c r="DI318">
        <v>0</v>
      </c>
      <c r="EC318">
        <v>0</v>
      </c>
      <c r="ED318">
        <v>0</v>
      </c>
      <c r="EE318">
        <v>0</v>
      </c>
      <c r="EF318">
        <v>0</v>
      </c>
      <c r="EG318">
        <v>0</v>
      </c>
      <c r="EH318">
        <v>0</v>
      </c>
      <c r="EI318">
        <v>0</v>
      </c>
      <c r="EJ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0</v>
      </c>
      <c r="ES318">
        <v>0</v>
      </c>
      <c r="ET318">
        <v>0</v>
      </c>
      <c r="EW318">
        <v>0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G318" t="e">
        <v>#N/A</v>
      </c>
      <c r="FI318" t="e">
        <v>#N/A</v>
      </c>
      <c r="FK318" t="e">
        <v>#N/A</v>
      </c>
      <c r="FM318" t="e">
        <v>#N/A</v>
      </c>
      <c r="FO318" t="e">
        <v>#N/A</v>
      </c>
      <c r="FQ318" t="e">
        <v>#N/A</v>
      </c>
      <c r="FS318" t="e">
        <v>#N/A</v>
      </c>
      <c r="FU318" t="e">
        <v>#N/A</v>
      </c>
      <c r="FW318" t="e">
        <v>#N/A</v>
      </c>
      <c r="FY318" t="e">
        <v>#N/A</v>
      </c>
      <c r="GA318" t="e">
        <v>#N/A</v>
      </c>
      <c r="GC318" t="e">
        <v>#N/A</v>
      </c>
      <c r="GE318" t="e">
        <v>#N/A</v>
      </c>
      <c r="GG318" t="e">
        <v>#N/A</v>
      </c>
      <c r="GI318" t="e">
        <v>#N/A</v>
      </c>
      <c r="GK318" t="e">
        <v>#N/A</v>
      </c>
      <c r="GM318" t="e">
        <v>#N/A</v>
      </c>
      <c r="GO318" t="e">
        <v>#N/A</v>
      </c>
      <c r="GQ318" t="e">
        <v>#N/A</v>
      </c>
      <c r="GS318" t="e">
        <v>#N/A</v>
      </c>
      <c r="GU318" t="e">
        <v>#N/A</v>
      </c>
      <c r="GW318" t="e">
        <v>#N/A</v>
      </c>
      <c r="GY318" t="e">
        <v>#N/A</v>
      </c>
      <c r="HA318" t="e">
        <v>#N/A</v>
      </c>
      <c r="HC318">
        <v>0</v>
      </c>
      <c r="HD318">
        <v>0</v>
      </c>
      <c r="HE318">
        <v>0</v>
      </c>
      <c r="HF318">
        <v>0</v>
      </c>
      <c r="HG318">
        <v>0</v>
      </c>
      <c r="HH318">
        <v>0</v>
      </c>
      <c r="HI318">
        <v>0</v>
      </c>
      <c r="HJ318">
        <v>0</v>
      </c>
      <c r="HM318">
        <v>0</v>
      </c>
      <c r="HN318">
        <v>0</v>
      </c>
      <c r="HO318">
        <v>0</v>
      </c>
      <c r="HP318">
        <v>0</v>
      </c>
      <c r="HQ318">
        <v>0</v>
      </c>
      <c r="HR318">
        <v>0</v>
      </c>
      <c r="HS318">
        <v>0</v>
      </c>
      <c r="HT318">
        <v>0</v>
      </c>
      <c r="HW318">
        <v>0</v>
      </c>
      <c r="HX318">
        <v>0</v>
      </c>
      <c r="HY318">
        <v>0</v>
      </c>
      <c r="HZ318">
        <v>0</v>
      </c>
      <c r="IA318">
        <v>3930.6</v>
      </c>
      <c r="IB318">
        <v>3632.9</v>
      </c>
      <c r="IC318">
        <v>3795.5</v>
      </c>
      <c r="ID318">
        <v>0</v>
      </c>
      <c r="IE318">
        <v>0</v>
      </c>
      <c r="IF318">
        <v>3548.5</v>
      </c>
      <c r="IG318">
        <v>3395.2</v>
      </c>
      <c r="IH318">
        <v>3395.4</v>
      </c>
      <c r="II318">
        <v>3302.3</v>
      </c>
      <c r="IJ318">
        <v>3172.8</v>
      </c>
      <c r="IK318">
        <v>0</v>
      </c>
      <c r="IL318">
        <v>0</v>
      </c>
      <c r="IM318">
        <v>0</v>
      </c>
      <c r="IN318">
        <v>0</v>
      </c>
      <c r="IO318">
        <v>123.4</v>
      </c>
      <c r="IP318">
        <v>405.2</v>
      </c>
      <c r="IQ318">
        <v>418.7</v>
      </c>
      <c r="IR318">
        <v>0</v>
      </c>
      <c r="IS318">
        <v>0</v>
      </c>
      <c r="IT318">
        <v>0</v>
      </c>
      <c r="IU318">
        <v>0</v>
      </c>
      <c r="IV318">
        <v>396</v>
      </c>
      <c r="IW318">
        <v>0</v>
      </c>
      <c r="IX318">
        <v>0</v>
      </c>
      <c r="IZ318">
        <v>0</v>
      </c>
      <c r="JA318">
        <v>65.5</v>
      </c>
      <c r="JB318">
        <v>443.5</v>
      </c>
      <c r="JC318">
        <v>0</v>
      </c>
      <c r="JD318">
        <v>0</v>
      </c>
      <c r="JE318">
        <v>0</v>
      </c>
      <c r="JF318">
        <v>0</v>
      </c>
      <c r="JG318">
        <v>0</v>
      </c>
      <c r="JH318">
        <v>0</v>
      </c>
      <c r="JI318">
        <v>0</v>
      </c>
      <c r="JJ318">
        <v>0</v>
      </c>
      <c r="JK318">
        <v>0</v>
      </c>
      <c r="JL318">
        <v>0</v>
      </c>
      <c r="JM318">
        <v>0</v>
      </c>
      <c r="JN318">
        <v>0</v>
      </c>
      <c r="JO318">
        <v>0</v>
      </c>
      <c r="JP318">
        <v>0</v>
      </c>
      <c r="JQ318">
        <v>0</v>
      </c>
      <c r="JR318">
        <v>0</v>
      </c>
      <c r="JS318">
        <v>0</v>
      </c>
      <c r="JT318">
        <v>0</v>
      </c>
      <c r="JU318">
        <v>0</v>
      </c>
      <c r="JV318">
        <v>0</v>
      </c>
      <c r="JW318">
        <v>0</v>
      </c>
      <c r="JX318">
        <v>0</v>
      </c>
      <c r="JY318">
        <v>0</v>
      </c>
      <c r="JZ318">
        <v>0</v>
      </c>
      <c r="KA318">
        <v>0</v>
      </c>
      <c r="KB318">
        <v>0</v>
      </c>
      <c r="KC318">
        <v>0</v>
      </c>
      <c r="KD318">
        <v>0</v>
      </c>
      <c r="KE318">
        <v>0</v>
      </c>
      <c r="KF318">
        <v>0</v>
      </c>
      <c r="KI318">
        <v>344.6</v>
      </c>
      <c r="KJ318">
        <v>350.8</v>
      </c>
      <c r="KK318">
        <v>22.1</v>
      </c>
      <c r="KL318">
        <v>379.3</v>
      </c>
      <c r="KM318">
        <v>241.4</v>
      </c>
      <c r="KN318">
        <v>0</v>
      </c>
      <c r="KO318">
        <v>0</v>
      </c>
      <c r="KP318">
        <v>57.3</v>
      </c>
      <c r="KQ318">
        <v>224.4</v>
      </c>
      <c r="KR318">
        <v>338.3</v>
      </c>
      <c r="KS318">
        <v>215.8</v>
      </c>
      <c r="KT318">
        <v>40.700000000000003</v>
      </c>
      <c r="KW318">
        <v>2154.5</v>
      </c>
      <c r="KX318">
        <v>1255.7</v>
      </c>
      <c r="KY318">
        <v>1630.1</v>
      </c>
      <c r="KZ318">
        <v>1246.9000000000001</v>
      </c>
      <c r="LB318">
        <v>78.099999999999994</v>
      </c>
      <c r="LC318">
        <v>77.7</v>
      </c>
    </row>
    <row r="319" spans="1:315" ht="18" thickBot="1">
      <c r="A319" s="253"/>
      <c r="B319" s="582"/>
      <c r="C319" s="233"/>
      <c r="D319" s="290"/>
      <c r="E319" s="437">
        <v>0</v>
      </c>
      <c r="F319" s="205">
        <v>0</v>
      </c>
      <c r="G319" s="427">
        <v>3413.8</v>
      </c>
      <c r="H319" s="155"/>
      <c r="I319">
        <v>735</v>
      </c>
      <c r="K319">
        <v>1973.1000000000001</v>
      </c>
      <c r="L319" s="4">
        <v>221.60000000000002</v>
      </c>
      <c r="M319" s="4">
        <v>54.9</v>
      </c>
      <c r="N319" s="4">
        <v>1989.7</v>
      </c>
      <c r="P319">
        <v>0</v>
      </c>
      <c r="Q319">
        <v>238.29999999999998</v>
      </c>
      <c r="R319">
        <v>0</v>
      </c>
      <c r="S319">
        <v>0</v>
      </c>
      <c r="T319">
        <v>368.5</v>
      </c>
      <c r="W319">
        <v>720.3</v>
      </c>
      <c r="X319">
        <v>1411.5</v>
      </c>
      <c r="Y319">
        <v>96.5</v>
      </c>
      <c r="AA319">
        <v>859.6</v>
      </c>
      <c r="AB319">
        <v>1577.6000000000001</v>
      </c>
      <c r="AE319">
        <v>1330</v>
      </c>
      <c r="AF319">
        <v>1025.5</v>
      </c>
      <c r="AH319">
        <v>509.9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1349.3</v>
      </c>
      <c r="AO319">
        <v>786.40000000000009</v>
      </c>
      <c r="AP319">
        <v>0</v>
      </c>
      <c r="AQ319">
        <v>68.3</v>
      </c>
      <c r="AR319">
        <v>234.9</v>
      </c>
      <c r="AS319">
        <v>600.40000000000009</v>
      </c>
      <c r="AU319">
        <v>985.69999999999993</v>
      </c>
      <c r="AW319">
        <v>792</v>
      </c>
      <c r="AX319">
        <v>1988.5</v>
      </c>
      <c r="AZ319">
        <v>763.5</v>
      </c>
      <c r="BA319">
        <v>0</v>
      </c>
      <c r="BB319">
        <v>0</v>
      </c>
      <c r="BC319">
        <v>1935.3</v>
      </c>
      <c r="BD319">
        <v>1006.5</v>
      </c>
      <c r="BE319">
        <v>0</v>
      </c>
      <c r="BF319">
        <v>0</v>
      </c>
      <c r="BG319">
        <v>0</v>
      </c>
      <c r="BH319">
        <v>1662.6</v>
      </c>
      <c r="BJ319">
        <v>0</v>
      </c>
      <c r="BK319">
        <v>0</v>
      </c>
      <c r="BL319">
        <v>1038.9000000000001</v>
      </c>
      <c r="BM319">
        <v>1101</v>
      </c>
      <c r="BO319">
        <v>1276.8000000000002</v>
      </c>
      <c r="BQ319">
        <v>0</v>
      </c>
      <c r="BR319">
        <v>270.7</v>
      </c>
      <c r="BS319">
        <v>230.5</v>
      </c>
      <c r="BT319">
        <v>472.3</v>
      </c>
      <c r="BU319">
        <v>537.29999999999995</v>
      </c>
      <c r="BV319">
        <v>346.3</v>
      </c>
      <c r="BW319">
        <v>386.2</v>
      </c>
      <c r="BX319">
        <v>767</v>
      </c>
      <c r="BY319">
        <v>757.2</v>
      </c>
      <c r="BZ319">
        <v>1037.2</v>
      </c>
      <c r="CA319">
        <v>1227.0999999999999</v>
      </c>
      <c r="CB319">
        <v>1232.0999999999999</v>
      </c>
      <c r="CC319">
        <v>1701.5</v>
      </c>
      <c r="CD319">
        <v>0</v>
      </c>
      <c r="CG319">
        <v>1385.3</v>
      </c>
      <c r="CJ319">
        <v>1630.2999999999997</v>
      </c>
      <c r="CM319">
        <v>1184.2</v>
      </c>
      <c r="CO319">
        <v>1248.0999999999999</v>
      </c>
      <c r="CQ319">
        <v>1435.3</v>
      </c>
      <c r="CR319">
        <v>798.2</v>
      </c>
      <c r="CS319">
        <v>923.8</v>
      </c>
      <c r="CT319">
        <v>0</v>
      </c>
      <c r="CU319">
        <v>0</v>
      </c>
      <c r="CV319">
        <v>0</v>
      </c>
      <c r="CW319">
        <v>0</v>
      </c>
      <c r="CX319">
        <v>163.69999999999999</v>
      </c>
      <c r="CY319">
        <v>0</v>
      </c>
      <c r="CZ319">
        <v>0</v>
      </c>
      <c r="DA319">
        <v>0</v>
      </c>
      <c r="DB319">
        <v>0</v>
      </c>
      <c r="DC319">
        <v>0</v>
      </c>
      <c r="DD319">
        <v>0</v>
      </c>
      <c r="DE319">
        <v>0</v>
      </c>
      <c r="DI319">
        <v>0</v>
      </c>
      <c r="EC319">
        <v>0</v>
      </c>
      <c r="ED319">
        <v>0</v>
      </c>
      <c r="EE319">
        <v>0</v>
      </c>
      <c r="EF319">
        <v>0</v>
      </c>
      <c r="EG319">
        <v>0</v>
      </c>
      <c r="EH319">
        <v>0</v>
      </c>
      <c r="EI319">
        <v>0</v>
      </c>
      <c r="EJ319">
        <v>0</v>
      </c>
      <c r="EM319">
        <v>0</v>
      </c>
      <c r="EN319">
        <v>0</v>
      </c>
      <c r="EO319">
        <v>0</v>
      </c>
      <c r="EP319">
        <v>0</v>
      </c>
      <c r="EQ319">
        <v>0</v>
      </c>
      <c r="ER319">
        <v>0</v>
      </c>
      <c r="ES319">
        <v>0</v>
      </c>
      <c r="ET319">
        <v>0</v>
      </c>
      <c r="EW319">
        <v>0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0</v>
      </c>
      <c r="FD319">
        <v>0</v>
      </c>
      <c r="FG319" t="e">
        <v>#N/A</v>
      </c>
      <c r="FI319" t="e">
        <v>#N/A</v>
      </c>
      <c r="FK319" t="e">
        <v>#N/A</v>
      </c>
      <c r="FM319" t="e">
        <v>#N/A</v>
      </c>
      <c r="FO319" t="e">
        <v>#N/A</v>
      </c>
      <c r="FQ319" t="e">
        <v>#N/A</v>
      </c>
      <c r="FS319" t="e">
        <v>#N/A</v>
      </c>
      <c r="FU319" t="e">
        <v>#N/A</v>
      </c>
      <c r="FW319" t="e">
        <v>#N/A</v>
      </c>
      <c r="FY319" t="e">
        <v>#N/A</v>
      </c>
      <c r="GA319" t="e">
        <v>#N/A</v>
      </c>
      <c r="GC319" t="e">
        <v>#N/A</v>
      </c>
      <c r="GE319" t="e">
        <v>#N/A</v>
      </c>
      <c r="GG319" t="e">
        <v>#N/A</v>
      </c>
      <c r="GI319" t="e">
        <v>#N/A</v>
      </c>
      <c r="GK319" t="e">
        <v>#N/A</v>
      </c>
      <c r="GM319" t="e">
        <v>#N/A</v>
      </c>
      <c r="GO319" t="e">
        <v>#N/A</v>
      </c>
      <c r="GQ319" t="e">
        <v>#N/A</v>
      </c>
      <c r="GS319" t="e">
        <v>#N/A</v>
      </c>
      <c r="GU319" t="e">
        <v>#N/A</v>
      </c>
      <c r="GW319" t="e">
        <v>#N/A</v>
      </c>
      <c r="GY319" t="e">
        <v>#N/A</v>
      </c>
      <c r="HA319" t="e">
        <v>#N/A</v>
      </c>
      <c r="HC319">
        <v>0</v>
      </c>
      <c r="HD319">
        <v>0</v>
      </c>
      <c r="HE319">
        <v>0</v>
      </c>
      <c r="HF319">
        <v>0</v>
      </c>
      <c r="HG319">
        <v>0</v>
      </c>
      <c r="HH319">
        <v>0</v>
      </c>
      <c r="HI319">
        <v>0</v>
      </c>
      <c r="HJ319">
        <v>0</v>
      </c>
      <c r="HM319">
        <v>0</v>
      </c>
      <c r="HN319">
        <v>0</v>
      </c>
      <c r="HO319">
        <v>0</v>
      </c>
      <c r="HP319">
        <v>0</v>
      </c>
      <c r="HQ319">
        <v>0</v>
      </c>
      <c r="HR319">
        <v>0</v>
      </c>
      <c r="HS319">
        <v>0</v>
      </c>
      <c r="HT319">
        <v>0</v>
      </c>
      <c r="HW319">
        <v>0</v>
      </c>
      <c r="HX319">
        <v>0</v>
      </c>
      <c r="HY319">
        <v>0</v>
      </c>
      <c r="HZ319">
        <v>0</v>
      </c>
      <c r="IA319">
        <v>3930.6</v>
      </c>
      <c r="IB319">
        <v>3632.9</v>
      </c>
      <c r="IC319">
        <v>3795.5</v>
      </c>
      <c r="ID319">
        <v>0</v>
      </c>
      <c r="IE319">
        <v>0</v>
      </c>
      <c r="IF319">
        <v>3548.5</v>
      </c>
      <c r="IG319">
        <v>3395.2</v>
      </c>
      <c r="IH319">
        <v>3395.4</v>
      </c>
      <c r="II319">
        <v>3302.3</v>
      </c>
      <c r="IJ319">
        <v>3172.8</v>
      </c>
      <c r="IK319">
        <v>0</v>
      </c>
      <c r="IL319">
        <v>0</v>
      </c>
      <c r="IM319">
        <v>0</v>
      </c>
      <c r="IN319">
        <v>0</v>
      </c>
      <c r="IO319">
        <v>123.4</v>
      </c>
      <c r="IP319">
        <v>405.2</v>
      </c>
      <c r="IQ319">
        <v>418.7</v>
      </c>
      <c r="IR319">
        <v>0</v>
      </c>
      <c r="IS319">
        <v>0</v>
      </c>
      <c r="IT319">
        <v>0</v>
      </c>
      <c r="IU319">
        <v>0</v>
      </c>
      <c r="IV319">
        <v>396</v>
      </c>
      <c r="IW319">
        <v>0</v>
      </c>
      <c r="IX319">
        <v>0</v>
      </c>
      <c r="IZ319">
        <v>0</v>
      </c>
      <c r="JA319">
        <v>65.5</v>
      </c>
      <c r="JB319">
        <v>443.5</v>
      </c>
      <c r="JC319">
        <v>0</v>
      </c>
      <c r="JD319">
        <v>0</v>
      </c>
      <c r="JE319">
        <v>0</v>
      </c>
      <c r="JF319">
        <v>0</v>
      </c>
      <c r="JG319">
        <v>0</v>
      </c>
      <c r="JH319">
        <v>0</v>
      </c>
      <c r="JI319">
        <v>0</v>
      </c>
      <c r="JJ319">
        <v>0</v>
      </c>
      <c r="JK319">
        <v>0</v>
      </c>
      <c r="JL319">
        <v>0</v>
      </c>
      <c r="JM319">
        <v>0</v>
      </c>
      <c r="JN319">
        <v>0</v>
      </c>
      <c r="JO319">
        <v>0</v>
      </c>
      <c r="JP319">
        <v>0</v>
      </c>
      <c r="JQ319">
        <v>0</v>
      </c>
      <c r="JR319">
        <v>0</v>
      </c>
      <c r="JS319">
        <v>0</v>
      </c>
      <c r="JT319">
        <v>0</v>
      </c>
      <c r="JU319">
        <v>0</v>
      </c>
      <c r="JV319">
        <v>0</v>
      </c>
      <c r="JW319">
        <v>0</v>
      </c>
      <c r="JX319">
        <v>0</v>
      </c>
      <c r="JY319">
        <v>0</v>
      </c>
      <c r="JZ319">
        <v>0</v>
      </c>
      <c r="KA319">
        <v>0</v>
      </c>
      <c r="KB319">
        <v>0</v>
      </c>
      <c r="KC319">
        <v>0</v>
      </c>
      <c r="KD319">
        <v>0</v>
      </c>
      <c r="KE319">
        <v>0</v>
      </c>
      <c r="KF319">
        <v>0</v>
      </c>
      <c r="KI319">
        <v>344.6</v>
      </c>
      <c r="KJ319">
        <v>350.8</v>
      </c>
      <c r="KK319">
        <v>22.1</v>
      </c>
      <c r="KL319">
        <v>379.3</v>
      </c>
      <c r="KM319">
        <v>241.4</v>
      </c>
      <c r="KN319">
        <v>0</v>
      </c>
      <c r="KO319">
        <v>0</v>
      </c>
      <c r="KP319">
        <v>57.3</v>
      </c>
      <c r="KQ319">
        <v>224.4</v>
      </c>
      <c r="KR319">
        <v>338.3</v>
      </c>
      <c r="KS319">
        <v>215.8</v>
      </c>
      <c r="KT319">
        <v>40.700000000000003</v>
      </c>
      <c r="KW319">
        <v>2154.5</v>
      </c>
      <c r="KX319">
        <v>1255.7</v>
      </c>
      <c r="KY319">
        <v>1630.1</v>
      </c>
      <c r="KZ319">
        <v>1246.9000000000001</v>
      </c>
      <c r="LB319">
        <v>78.099999999999994</v>
      </c>
      <c r="LC319">
        <v>77.7</v>
      </c>
    </row>
    <row r="320" spans="1:315" ht="18" thickBot="1">
      <c r="A320" s="252"/>
      <c r="B320" s="578" t="s">
        <v>594</v>
      </c>
      <c r="C320" s="231" t="s">
        <v>857</v>
      </c>
      <c r="D320" s="288" t="s">
        <v>656</v>
      </c>
      <c r="E320" s="446">
        <v>0</v>
      </c>
      <c r="F320" s="203">
        <v>0</v>
      </c>
      <c r="G320" s="427">
        <v>3413.8</v>
      </c>
      <c r="H320" s="155"/>
      <c r="I320">
        <v>735</v>
      </c>
      <c r="K320">
        <v>1973.1000000000001</v>
      </c>
      <c r="L320" s="4">
        <v>221.60000000000002</v>
      </c>
      <c r="M320" s="4">
        <v>54.9</v>
      </c>
      <c r="N320" s="4">
        <v>1989.7</v>
      </c>
      <c r="P320">
        <v>0</v>
      </c>
      <c r="Q320">
        <v>238.29999999999998</v>
      </c>
      <c r="R320">
        <v>0</v>
      </c>
      <c r="S320">
        <v>0</v>
      </c>
      <c r="T320">
        <v>368.5</v>
      </c>
      <c r="W320">
        <v>720.3</v>
      </c>
      <c r="X320">
        <v>1411.5</v>
      </c>
      <c r="Y320">
        <v>96.5</v>
      </c>
      <c r="AA320">
        <v>859.6</v>
      </c>
      <c r="AB320">
        <v>1577.6000000000001</v>
      </c>
      <c r="AE320">
        <v>1330</v>
      </c>
      <c r="AF320">
        <v>1025.5</v>
      </c>
      <c r="AH320">
        <v>509.9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1349.3</v>
      </c>
      <c r="AO320">
        <v>786.40000000000009</v>
      </c>
      <c r="AP320">
        <v>0</v>
      </c>
      <c r="AQ320">
        <v>68.3</v>
      </c>
      <c r="AR320">
        <v>234.9</v>
      </c>
      <c r="AS320">
        <v>600.40000000000009</v>
      </c>
      <c r="AU320">
        <v>985.69999999999993</v>
      </c>
      <c r="AW320">
        <v>792</v>
      </c>
      <c r="AX320">
        <v>1988.5</v>
      </c>
      <c r="AZ320">
        <v>763.5</v>
      </c>
      <c r="BA320">
        <v>0</v>
      </c>
      <c r="BB320">
        <v>0</v>
      </c>
      <c r="BC320">
        <v>1935.3</v>
      </c>
      <c r="BD320">
        <v>1006.5</v>
      </c>
      <c r="BE320">
        <v>0</v>
      </c>
      <c r="BF320">
        <v>0</v>
      </c>
      <c r="BG320">
        <v>0</v>
      </c>
      <c r="BH320">
        <v>1662.6</v>
      </c>
      <c r="BJ320">
        <v>0</v>
      </c>
      <c r="BK320">
        <v>0</v>
      </c>
      <c r="BL320">
        <v>1038.9000000000001</v>
      </c>
      <c r="BM320">
        <v>1101</v>
      </c>
      <c r="BO320">
        <v>1276.8000000000002</v>
      </c>
      <c r="BQ320">
        <v>0</v>
      </c>
      <c r="BR320">
        <v>270.7</v>
      </c>
      <c r="BS320">
        <v>230.5</v>
      </c>
      <c r="BT320">
        <v>472.3</v>
      </c>
      <c r="BU320">
        <v>537.29999999999995</v>
      </c>
      <c r="BV320">
        <v>346.3</v>
      </c>
      <c r="BW320">
        <v>386.2</v>
      </c>
      <c r="BX320">
        <v>767</v>
      </c>
      <c r="BY320">
        <v>757.2</v>
      </c>
      <c r="BZ320">
        <v>1037.2</v>
      </c>
      <c r="CA320">
        <v>1227.0999999999999</v>
      </c>
      <c r="CB320">
        <v>1232.0999999999999</v>
      </c>
      <c r="CC320">
        <v>1701.5</v>
      </c>
      <c r="CD320">
        <v>0</v>
      </c>
      <c r="CG320">
        <v>1385.3</v>
      </c>
      <c r="CJ320">
        <v>1630.2999999999997</v>
      </c>
      <c r="CM320">
        <v>1184.2</v>
      </c>
      <c r="CO320">
        <v>1248.0999999999999</v>
      </c>
      <c r="CQ320">
        <v>1435.3</v>
      </c>
      <c r="CR320">
        <v>798.2</v>
      </c>
      <c r="CS320">
        <v>923.8</v>
      </c>
      <c r="CT320">
        <v>0</v>
      </c>
      <c r="CU320">
        <v>0</v>
      </c>
      <c r="CV320">
        <v>0</v>
      </c>
      <c r="CW320">
        <v>0</v>
      </c>
      <c r="CX320">
        <v>163.69999999999999</v>
      </c>
      <c r="CY320">
        <v>0</v>
      </c>
      <c r="CZ320">
        <v>0</v>
      </c>
      <c r="DA320">
        <v>0</v>
      </c>
      <c r="DB320">
        <v>0</v>
      </c>
      <c r="DC320">
        <v>0</v>
      </c>
      <c r="DD320">
        <v>0</v>
      </c>
      <c r="DE320">
        <v>0</v>
      </c>
      <c r="DI320">
        <v>0</v>
      </c>
      <c r="EC320">
        <v>0</v>
      </c>
      <c r="ED320">
        <v>0</v>
      </c>
      <c r="EE320">
        <v>0</v>
      </c>
      <c r="EF320">
        <v>0</v>
      </c>
      <c r="EG320">
        <v>0</v>
      </c>
      <c r="EH320">
        <v>0</v>
      </c>
      <c r="EI320">
        <v>0</v>
      </c>
      <c r="EJ320">
        <v>0</v>
      </c>
      <c r="EM320">
        <v>0</v>
      </c>
      <c r="EN320">
        <v>0</v>
      </c>
      <c r="EO320">
        <v>0</v>
      </c>
      <c r="EP320">
        <v>0</v>
      </c>
      <c r="EQ320">
        <v>0</v>
      </c>
      <c r="ER320">
        <v>0</v>
      </c>
      <c r="ES320">
        <v>0</v>
      </c>
      <c r="ET320">
        <v>0</v>
      </c>
      <c r="EW320">
        <v>0</v>
      </c>
      <c r="EX320">
        <v>0</v>
      </c>
      <c r="EY320">
        <v>0</v>
      </c>
      <c r="EZ320">
        <v>0</v>
      </c>
      <c r="FA320">
        <v>0</v>
      </c>
      <c r="FB320">
        <v>0</v>
      </c>
      <c r="FC320">
        <v>0</v>
      </c>
      <c r="FD320">
        <v>0</v>
      </c>
      <c r="FG320" t="e">
        <v>#N/A</v>
      </c>
      <c r="FI320" t="e">
        <v>#N/A</v>
      </c>
      <c r="FK320" t="e">
        <v>#N/A</v>
      </c>
      <c r="FM320" t="e">
        <v>#N/A</v>
      </c>
      <c r="FO320" t="e">
        <v>#N/A</v>
      </c>
      <c r="FQ320" t="e">
        <v>#N/A</v>
      </c>
      <c r="FS320" t="e">
        <v>#N/A</v>
      </c>
      <c r="FU320" t="e">
        <v>#N/A</v>
      </c>
      <c r="FW320" t="e">
        <v>#N/A</v>
      </c>
      <c r="FY320" t="e">
        <v>#N/A</v>
      </c>
      <c r="GA320" t="e">
        <v>#N/A</v>
      </c>
      <c r="GC320" t="e">
        <v>#N/A</v>
      </c>
      <c r="GE320" t="e">
        <v>#N/A</v>
      </c>
      <c r="GG320" t="e">
        <v>#N/A</v>
      </c>
      <c r="GI320" t="e">
        <v>#N/A</v>
      </c>
      <c r="GK320" t="e">
        <v>#N/A</v>
      </c>
      <c r="GM320" t="e">
        <v>#N/A</v>
      </c>
      <c r="GO320" t="e">
        <v>#N/A</v>
      </c>
      <c r="GQ320" t="e">
        <v>#N/A</v>
      </c>
      <c r="GS320" t="e">
        <v>#N/A</v>
      </c>
      <c r="GU320" t="e">
        <v>#N/A</v>
      </c>
      <c r="GW320" t="e">
        <v>#N/A</v>
      </c>
      <c r="GY320" t="e">
        <v>#N/A</v>
      </c>
      <c r="HA320" t="e">
        <v>#N/A</v>
      </c>
      <c r="HC320">
        <v>0</v>
      </c>
      <c r="HD320">
        <v>0</v>
      </c>
      <c r="HE320">
        <v>0</v>
      </c>
      <c r="HF320">
        <v>0</v>
      </c>
      <c r="HG320">
        <v>0</v>
      </c>
      <c r="HH320">
        <v>0</v>
      </c>
      <c r="HI320">
        <v>0</v>
      </c>
      <c r="HJ320">
        <v>0</v>
      </c>
      <c r="HM320">
        <v>0</v>
      </c>
      <c r="HN320">
        <v>0</v>
      </c>
      <c r="HO320">
        <v>0</v>
      </c>
      <c r="HP320">
        <v>0</v>
      </c>
      <c r="HQ320">
        <v>0</v>
      </c>
      <c r="HR320">
        <v>0</v>
      </c>
      <c r="HS320">
        <v>0</v>
      </c>
      <c r="HT320">
        <v>0</v>
      </c>
      <c r="HW320">
        <v>0</v>
      </c>
      <c r="HX320">
        <v>0</v>
      </c>
      <c r="HY320">
        <v>0</v>
      </c>
      <c r="HZ320">
        <v>0</v>
      </c>
      <c r="IA320">
        <v>3930.6</v>
      </c>
      <c r="IB320">
        <v>3632.9</v>
      </c>
      <c r="IC320">
        <v>3795.5</v>
      </c>
      <c r="ID320">
        <v>0</v>
      </c>
      <c r="IE320">
        <v>0</v>
      </c>
      <c r="IF320">
        <v>3548.5</v>
      </c>
      <c r="IG320">
        <v>3395.2</v>
      </c>
      <c r="IH320">
        <v>3395.4</v>
      </c>
      <c r="II320">
        <v>3302.3</v>
      </c>
      <c r="IJ320">
        <v>3172.8</v>
      </c>
      <c r="IK320">
        <v>0</v>
      </c>
      <c r="IL320">
        <v>0</v>
      </c>
      <c r="IM320">
        <v>0</v>
      </c>
      <c r="IN320">
        <v>0</v>
      </c>
      <c r="IO320">
        <v>123.4</v>
      </c>
      <c r="IP320">
        <v>405.2</v>
      </c>
      <c r="IQ320">
        <v>418.7</v>
      </c>
      <c r="IR320">
        <v>0</v>
      </c>
      <c r="IS320">
        <v>0</v>
      </c>
      <c r="IT320">
        <v>0</v>
      </c>
      <c r="IU320">
        <v>0</v>
      </c>
      <c r="IV320">
        <v>396</v>
      </c>
      <c r="IW320">
        <v>0</v>
      </c>
      <c r="IX320">
        <v>0</v>
      </c>
      <c r="IZ320">
        <v>0</v>
      </c>
      <c r="JA320">
        <v>65.5</v>
      </c>
      <c r="JB320">
        <v>443.5</v>
      </c>
      <c r="JC320">
        <v>0</v>
      </c>
      <c r="JD320">
        <v>0</v>
      </c>
      <c r="JE320">
        <v>0</v>
      </c>
      <c r="JF320">
        <v>0</v>
      </c>
      <c r="JG320">
        <v>0</v>
      </c>
      <c r="JH320">
        <v>0</v>
      </c>
      <c r="JI320">
        <v>0</v>
      </c>
      <c r="JJ320">
        <v>0</v>
      </c>
      <c r="JK320">
        <v>0</v>
      </c>
      <c r="JL320">
        <v>0</v>
      </c>
      <c r="JM320">
        <v>0</v>
      </c>
      <c r="JN320">
        <v>0</v>
      </c>
      <c r="JO320">
        <v>0</v>
      </c>
      <c r="JP320">
        <v>0</v>
      </c>
      <c r="JQ320">
        <v>0</v>
      </c>
      <c r="JR320">
        <v>0</v>
      </c>
      <c r="JS320">
        <v>0</v>
      </c>
      <c r="JT320">
        <v>0</v>
      </c>
      <c r="JU320">
        <v>0</v>
      </c>
      <c r="JV320">
        <v>0</v>
      </c>
      <c r="JW320">
        <v>0</v>
      </c>
      <c r="JX320">
        <v>0</v>
      </c>
      <c r="JY320">
        <v>0</v>
      </c>
      <c r="JZ320">
        <v>0</v>
      </c>
      <c r="KA320">
        <v>0</v>
      </c>
      <c r="KB320">
        <v>0</v>
      </c>
      <c r="KC320">
        <v>0</v>
      </c>
      <c r="KD320">
        <v>0</v>
      </c>
      <c r="KE320">
        <v>0</v>
      </c>
      <c r="KF320">
        <v>0</v>
      </c>
      <c r="KI320">
        <v>344.6</v>
      </c>
      <c r="KJ320">
        <v>350.8</v>
      </c>
      <c r="KK320">
        <v>22.1</v>
      </c>
      <c r="KL320">
        <v>379.3</v>
      </c>
      <c r="KM320">
        <v>241.4</v>
      </c>
      <c r="KN320">
        <v>0</v>
      </c>
      <c r="KO320">
        <v>0</v>
      </c>
      <c r="KP320">
        <v>57.3</v>
      </c>
      <c r="KQ320">
        <v>224.4</v>
      </c>
      <c r="KR320">
        <v>338.3</v>
      </c>
      <c r="KS320">
        <v>215.8</v>
      </c>
      <c r="KT320">
        <v>40.700000000000003</v>
      </c>
      <c r="KW320">
        <v>2154.5</v>
      </c>
      <c r="KX320">
        <v>1255.7</v>
      </c>
      <c r="KY320">
        <v>1630.1</v>
      </c>
      <c r="KZ320">
        <v>1246.9000000000001</v>
      </c>
      <c r="LB320">
        <v>78.099999999999994</v>
      </c>
      <c r="LC320">
        <v>77.7</v>
      </c>
    </row>
    <row r="321" spans="1:315" ht="18" thickBot="1">
      <c r="A321" s="253"/>
      <c r="B321" s="582"/>
      <c r="C321" s="233"/>
      <c r="D321" s="290"/>
      <c r="E321" s="437">
        <v>0</v>
      </c>
      <c r="F321" s="205">
        <v>0</v>
      </c>
      <c r="G321" s="427">
        <v>3413.8</v>
      </c>
      <c r="H321" s="155"/>
      <c r="I321">
        <v>735</v>
      </c>
      <c r="K321">
        <v>1973.1000000000001</v>
      </c>
      <c r="L321" s="4">
        <v>221.60000000000002</v>
      </c>
      <c r="M321" s="4">
        <v>54.9</v>
      </c>
      <c r="N321" s="4">
        <v>1989.7</v>
      </c>
      <c r="P321">
        <v>0</v>
      </c>
      <c r="Q321">
        <v>238.29999999999998</v>
      </c>
      <c r="R321">
        <v>0</v>
      </c>
      <c r="S321">
        <v>0</v>
      </c>
      <c r="T321">
        <v>368.5</v>
      </c>
      <c r="W321">
        <v>720.3</v>
      </c>
      <c r="X321">
        <v>1411.5</v>
      </c>
      <c r="Y321">
        <v>96.5</v>
      </c>
      <c r="AA321">
        <v>859.6</v>
      </c>
      <c r="AB321">
        <v>1577.6000000000001</v>
      </c>
      <c r="AE321">
        <v>1330</v>
      </c>
      <c r="AF321">
        <v>1025.5</v>
      </c>
      <c r="AH321">
        <v>509.9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1349.3</v>
      </c>
      <c r="AO321">
        <v>786.40000000000009</v>
      </c>
      <c r="AP321">
        <v>0</v>
      </c>
      <c r="AQ321">
        <v>68.3</v>
      </c>
      <c r="AR321">
        <v>234.9</v>
      </c>
      <c r="AS321">
        <v>600.40000000000009</v>
      </c>
      <c r="AU321">
        <v>985.69999999999993</v>
      </c>
      <c r="AW321">
        <v>792</v>
      </c>
      <c r="AX321">
        <v>1988.5</v>
      </c>
      <c r="AZ321">
        <v>763.5</v>
      </c>
      <c r="BA321">
        <v>0</v>
      </c>
      <c r="BB321">
        <v>0</v>
      </c>
      <c r="BC321">
        <v>1935.3</v>
      </c>
      <c r="BD321">
        <v>1006.5</v>
      </c>
      <c r="BE321">
        <v>0</v>
      </c>
      <c r="BF321">
        <v>0</v>
      </c>
      <c r="BG321">
        <v>0</v>
      </c>
      <c r="BH321">
        <v>1662.6</v>
      </c>
      <c r="BJ321">
        <v>0</v>
      </c>
      <c r="BK321">
        <v>0</v>
      </c>
      <c r="BL321">
        <v>1038.9000000000001</v>
      </c>
      <c r="BM321">
        <v>1101</v>
      </c>
      <c r="BO321">
        <v>1276.8000000000002</v>
      </c>
      <c r="BQ321">
        <v>0</v>
      </c>
      <c r="BR321">
        <v>270.7</v>
      </c>
      <c r="BS321">
        <v>230.5</v>
      </c>
      <c r="BT321">
        <v>472.3</v>
      </c>
      <c r="BU321">
        <v>537.29999999999995</v>
      </c>
      <c r="BV321">
        <v>346.3</v>
      </c>
      <c r="BW321">
        <v>386.2</v>
      </c>
      <c r="BX321">
        <v>767</v>
      </c>
      <c r="BY321">
        <v>757.2</v>
      </c>
      <c r="BZ321">
        <v>1037.2</v>
      </c>
      <c r="CA321">
        <v>1227.0999999999999</v>
      </c>
      <c r="CB321">
        <v>1232.0999999999999</v>
      </c>
      <c r="CC321">
        <v>1701.5</v>
      </c>
      <c r="CD321">
        <v>0</v>
      </c>
      <c r="CG321">
        <v>1385.3</v>
      </c>
      <c r="CJ321">
        <v>1630.2999999999997</v>
      </c>
      <c r="CM321">
        <v>1184.2</v>
      </c>
      <c r="CO321">
        <v>1248.0999999999999</v>
      </c>
      <c r="CQ321">
        <v>1435.3</v>
      </c>
      <c r="CR321">
        <v>798.2</v>
      </c>
      <c r="CS321">
        <v>923.8</v>
      </c>
      <c r="CT321">
        <v>0</v>
      </c>
      <c r="CU321">
        <v>0</v>
      </c>
      <c r="CV321">
        <v>0</v>
      </c>
      <c r="CW321">
        <v>0</v>
      </c>
      <c r="CX321">
        <v>163.69999999999999</v>
      </c>
      <c r="CY321">
        <v>0</v>
      </c>
      <c r="CZ321">
        <v>0</v>
      </c>
      <c r="DA321">
        <v>0</v>
      </c>
      <c r="DB321">
        <v>0</v>
      </c>
      <c r="DC321">
        <v>0</v>
      </c>
      <c r="DD321">
        <v>0</v>
      </c>
      <c r="DE321">
        <v>0</v>
      </c>
      <c r="DI321">
        <v>0</v>
      </c>
      <c r="EC321">
        <v>0</v>
      </c>
      <c r="ED321">
        <v>0</v>
      </c>
      <c r="EE321">
        <v>0</v>
      </c>
      <c r="EF321">
        <v>0</v>
      </c>
      <c r="EG321">
        <v>0</v>
      </c>
      <c r="EH321">
        <v>0</v>
      </c>
      <c r="EI321">
        <v>0</v>
      </c>
      <c r="EJ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0</v>
      </c>
      <c r="ES321">
        <v>0</v>
      </c>
      <c r="ET321">
        <v>0</v>
      </c>
      <c r="EW321">
        <v>0</v>
      </c>
      <c r="EX321">
        <v>0</v>
      </c>
      <c r="EY321">
        <v>0</v>
      </c>
      <c r="EZ321">
        <v>0</v>
      </c>
      <c r="FA321">
        <v>0</v>
      </c>
      <c r="FB321">
        <v>0</v>
      </c>
      <c r="FC321">
        <v>0</v>
      </c>
      <c r="FD321">
        <v>0</v>
      </c>
      <c r="FG321" t="e">
        <v>#N/A</v>
      </c>
      <c r="FI321" t="e">
        <v>#N/A</v>
      </c>
      <c r="FK321" t="e">
        <v>#N/A</v>
      </c>
      <c r="FM321" t="e">
        <v>#N/A</v>
      </c>
      <c r="FO321" t="e">
        <v>#N/A</v>
      </c>
      <c r="FQ321" t="e">
        <v>#N/A</v>
      </c>
      <c r="FS321" t="e">
        <v>#N/A</v>
      </c>
      <c r="FU321" t="e">
        <v>#N/A</v>
      </c>
      <c r="FW321" t="e">
        <v>#N/A</v>
      </c>
      <c r="FY321" t="e">
        <v>#N/A</v>
      </c>
      <c r="GA321" t="e">
        <v>#N/A</v>
      </c>
      <c r="GC321" t="e">
        <v>#N/A</v>
      </c>
      <c r="GE321" t="e">
        <v>#N/A</v>
      </c>
      <c r="GG321" t="e">
        <v>#N/A</v>
      </c>
      <c r="GI321" t="e">
        <v>#N/A</v>
      </c>
      <c r="GK321" t="e">
        <v>#N/A</v>
      </c>
      <c r="GM321" t="e">
        <v>#N/A</v>
      </c>
      <c r="GO321" t="e">
        <v>#N/A</v>
      </c>
      <c r="GQ321" t="e">
        <v>#N/A</v>
      </c>
      <c r="GS321" t="e">
        <v>#N/A</v>
      </c>
      <c r="GU321" t="e">
        <v>#N/A</v>
      </c>
      <c r="GW321" t="e">
        <v>#N/A</v>
      </c>
      <c r="GY321" t="e">
        <v>#N/A</v>
      </c>
      <c r="HA321" t="e">
        <v>#N/A</v>
      </c>
      <c r="HC321">
        <v>0</v>
      </c>
      <c r="HD321">
        <v>0</v>
      </c>
      <c r="HE321">
        <v>0</v>
      </c>
      <c r="HF321">
        <v>0</v>
      </c>
      <c r="HG321">
        <v>0</v>
      </c>
      <c r="HH321">
        <v>0</v>
      </c>
      <c r="HI321">
        <v>0</v>
      </c>
      <c r="HJ321">
        <v>0</v>
      </c>
      <c r="HM321">
        <v>0</v>
      </c>
      <c r="HN321">
        <v>0</v>
      </c>
      <c r="HO321">
        <v>0</v>
      </c>
      <c r="HP321">
        <v>0</v>
      </c>
      <c r="HQ321">
        <v>0</v>
      </c>
      <c r="HR321">
        <v>0</v>
      </c>
      <c r="HS321">
        <v>0</v>
      </c>
      <c r="HT321">
        <v>0</v>
      </c>
      <c r="HW321">
        <v>0</v>
      </c>
      <c r="HX321">
        <v>0</v>
      </c>
      <c r="HY321">
        <v>0</v>
      </c>
      <c r="HZ321">
        <v>0</v>
      </c>
      <c r="IA321">
        <v>3930.6</v>
      </c>
      <c r="IB321">
        <v>3632.9</v>
      </c>
      <c r="IC321">
        <v>3795.5</v>
      </c>
      <c r="ID321">
        <v>0</v>
      </c>
      <c r="IE321">
        <v>0</v>
      </c>
      <c r="IF321">
        <v>3548.5</v>
      </c>
      <c r="IG321">
        <v>3395.2</v>
      </c>
      <c r="IH321">
        <v>3395.4</v>
      </c>
      <c r="II321">
        <v>3302.3</v>
      </c>
      <c r="IJ321">
        <v>3172.8</v>
      </c>
      <c r="IK321">
        <v>0</v>
      </c>
      <c r="IL321">
        <v>0</v>
      </c>
      <c r="IM321">
        <v>0</v>
      </c>
      <c r="IN321">
        <v>0</v>
      </c>
      <c r="IO321">
        <v>123.4</v>
      </c>
      <c r="IP321">
        <v>405.2</v>
      </c>
      <c r="IQ321">
        <v>418.7</v>
      </c>
      <c r="IR321">
        <v>0</v>
      </c>
      <c r="IS321">
        <v>0</v>
      </c>
      <c r="IT321">
        <v>0</v>
      </c>
      <c r="IU321">
        <v>0</v>
      </c>
      <c r="IV321">
        <v>396</v>
      </c>
      <c r="IW321">
        <v>0</v>
      </c>
      <c r="IX321">
        <v>0</v>
      </c>
      <c r="IZ321">
        <v>0</v>
      </c>
      <c r="JA321">
        <v>65.5</v>
      </c>
      <c r="JB321">
        <v>443.5</v>
      </c>
      <c r="JC321">
        <v>0</v>
      </c>
      <c r="JD321">
        <v>0</v>
      </c>
      <c r="JE321">
        <v>0</v>
      </c>
      <c r="JF321">
        <v>0</v>
      </c>
      <c r="JG321">
        <v>0</v>
      </c>
      <c r="JH321">
        <v>0</v>
      </c>
      <c r="JI321">
        <v>0</v>
      </c>
      <c r="JJ321">
        <v>0</v>
      </c>
      <c r="JK321">
        <v>0</v>
      </c>
      <c r="JL321">
        <v>0</v>
      </c>
      <c r="JM321">
        <v>0</v>
      </c>
      <c r="JN321">
        <v>0</v>
      </c>
      <c r="JO321">
        <v>0</v>
      </c>
      <c r="JP321">
        <v>0</v>
      </c>
      <c r="JQ321">
        <v>0</v>
      </c>
      <c r="JR321">
        <v>0</v>
      </c>
      <c r="JS321">
        <v>0</v>
      </c>
      <c r="JT321">
        <v>0</v>
      </c>
      <c r="JU321">
        <v>0</v>
      </c>
      <c r="JV321">
        <v>0</v>
      </c>
      <c r="JW321">
        <v>0</v>
      </c>
      <c r="JX321">
        <v>0</v>
      </c>
      <c r="JY321">
        <v>0</v>
      </c>
      <c r="JZ321">
        <v>0</v>
      </c>
      <c r="KA321">
        <v>0</v>
      </c>
      <c r="KB321">
        <v>0</v>
      </c>
      <c r="KC321">
        <v>0</v>
      </c>
      <c r="KD321">
        <v>0</v>
      </c>
      <c r="KE321">
        <v>0</v>
      </c>
      <c r="KF321">
        <v>0</v>
      </c>
      <c r="KI321">
        <v>344.6</v>
      </c>
      <c r="KJ321">
        <v>350.8</v>
      </c>
      <c r="KK321">
        <v>22.1</v>
      </c>
      <c r="KL321">
        <v>379.3</v>
      </c>
      <c r="KM321">
        <v>241.4</v>
      </c>
      <c r="KN321">
        <v>0</v>
      </c>
      <c r="KO321">
        <v>0</v>
      </c>
      <c r="KP321">
        <v>57.3</v>
      </c>
      <c r="KQ321">
        <v>224.4</v>
      </c>
      <c r="KR321">
        <v>338.3</v>
      </c>
      <c r="KS321">
        <v>215.8</v>
      </c>
      <c r="KT321">
        <v>40.700000000000003</v>
      </c>
      <c r="KW321">
        <v>2154.5</v>
      </c>
      <c r="KX321">
        <v>1255.7</v>
      </c>
      <c r="KY321">
        <v>1630.1</v>
      </c>
      <c r="KZ321">
        <v>1246.9000000000001</v>
      </c>
      <c r="LB321">
        <v>78.099999999999994</v>
      </c>
      <c r="LC321">
        <v>77.7</v>
      </c>
    </row>
    <row r="322" spans="1:315" ht="18" thickBot="1">
      <c r="A322" s="252"/>
      <c r="B322" s="578" t="s">
        <v>476</v>
      </c>
      <c r="C322" s="231" t="s">
        <v>657</v>
      </c>
      <c r="D322" s="288" t="s">
        <v>656</v>
      </c>
      <c r="E322" s="446">
        <v>0</v>
      </c>
      <c r="F322" s="203">
        <v>0</v>
      </c>
      <c r="G322" s="427">
        <v>3413.8</v>
      </c>
      <c r="H322" s="155"/>
      <c r="I322">
        <v>735</v>
      </c>
      <c r="K322">
        <v>1973.1000000000001</v>
      </c>
      <c r="L322" s="4">
        <v>221.60000000000002</v>
      </c>
      <c r="M322" s="4">
        <v>54.9</v>
      </c>
      <c r="N322" s="4">
        <v>1989.7</v>
      </c>
      <c r="P322">
        <v>0</v>
      </c>
      <c r="Q322">
        <v>238.29999999999998</v>
      </c>
      <c r="R322">
        <v>0</v>
      </c>
      <c r="S322">
        <v>0</v>
      </c>
      <c r="T322">
        <v>368.5</v>
      </c>
      <c r="W322">
        <v>720.3</v>
      </c>
      <c r="X322">
        <v>1411.5</v>
      </c>
      <c r="Y322">
        <v>96.5</v>
      </c>
      <c r="AA322">
        <v>859.6</v>
      </c>
      <c r="AB322">
        <v>1577.6000000000001</v>
      </c>
      <c r="AE322">
        <v>1330</v>
      </c>
      <c r="AF322">
        <v>1025.5</v>
      </c>
      <c r="AH322">
        <v>509.9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1349.3</v>
      </c>
      <c r="AO322">
        <v>786.40000000000009</v>
      </c>
      <c r="AP322">
        <v>0</v>
      </c>
      <c r="AQ322">
        <v>68.3</v>
      </c>
      <c r="AR322">
        <v>234.9</v>
      </c>
      <c r="AS322">
        <v>600.40000000000009</v>
      </c>
      <c r="AU322">
        <v>985.69999999999993</v>
      </c>
      <c r="AW322">
        <v>792</v>
      </c>
      <c r="AX322">
        <v>1988.5</v>
      </c>
      <c r="AZ322">
        <v>763.5</v>
      </c>
      <c r="BA322">
        <v>0</v>
      </c>
      <c r="BB322">
        <v>0</v>
      </c>
      <c r="BC322">
        <v>1935.3</v>
      </c>
      <c r="BD322">
        <v>1006.5</v>
      </c>
      <c r="BE322">
        <v>0</v>
      </c>
      <c r="BF322">
        <v>0</v>
      </c>
      <c r="BG322">
        <v>0</v>
      </c>
      <c r="BH322">
        <v>1662.6</v>
      </c>
      <c r="BJ322">
        <v>0</v>
      </c>
      <c r="BK322">
        <v>0</v>
      </c>
      <c r="BL322">
        <v>1038.9000000000001</v>
      </c>
      <c r="BM322">
        <v>1101</v>
      </c>
      <c r="BO322">
        <v>1276.8000000000002</v>
      </c>
      <c r="BQ322">
        <v>0</v>
      </c>
      <c r="BR322">
        <v>270.7</v>
      </c>
      <c r="BS322">
        <v>230.5</v>
      </c>
      <c r="BT322">
        <v>472.3</v>
      </c>
      <c r="BU322">
        <v>537.29999999999995</v>
      </c>
      <c r="BV322">
        <v>346.3</v>
      </c>
      <c r="BW322">
        <v>386.2</v>
      </c>
      <c r="BX322">
        <v>767</v>
      </c>
      <c r="BY322">
        <v>757.2</v>
      </c>
      <c r="BZ322">
        <v>1037.2</v>
      </c>
      <c r="CA322">
        <v>1227.0999999999999</v>
      </c>
      <c r="CB322">
        <v>1232.0999999999999</v>
      </c>
      <c r="CC322">
        <v>1701.5</v>
      </c>
      <c r="CD322">
        <v>0</v>
      </c>
      <c r="CG322">
        <v>1385.3</v>
      </c>
      <c r="CJ322">
        <v>1630.2999999999997</v>
      </c>
      <c r="CM322">
        <v>1184.2</v>
      </c>
      <c r="CO322">
        <v>1248.0999999999999</v>
      </c>
      <c r="CQ322">
        <v>1435.3</v>
      </c>
      <c r="CR322">
        <v>798.2</v>
      </c>
      <c r="CS322">
        <v>923.8</v>
      </c>
      <c r="CT322">
        <v>0</v>
      </c>
      <c r="CU322">
        <v>0</v>
      </c>
      <c r="CV322">
        <v>0</v>
      </c>
      <c r="CW322">
        <v>0</v>
      </c>
      <c r="CX322">
        <v>163.69999999999999</v>
      </c>
      <c r="CY322">
        <v>0</v>
      </c>
      <c r="CZ322">
        <v>0</v>
      </c>
      <c r="DA322">
        <v>0</v>
      </c>
      <c r="DB322">
        <v>0</v>
      </c>
      <c r="DC322">
        <v>0</v>
      </c>
      <c r="DD322">
        <v>0</v>
      </c>
      <c r="DE322">
        <v>0</v>
      </c>
      <c r="DI322">
        <v>0</v>
      </c>
      <c r="EC322">
        <v>0</v>
      </c>
      <c r="ED322">
        <v>0</v>
      </c>
      <c r="EE322">
        <v>0</v>
      </c>
      <c r="EF322">
        <v>0</v>
      </c>
      <c r="EG322">
        <v>0</v>
      </c>
      <c r="EH322">
        <v>0</v>
      </c>
      <c r="EI322">
        <v>0</v>
      </c>
      <c r="EJ322">
        <v>0</v>
      </c>
      <c r="EM322">
        <v>0</v>
      </c>
      <c r="EN322">
        <v>0</v>
      </c>
      <c r="EO322">
        <v>0</v>
      </c>
      <c r="EP322">
        <v>0</v>
      </c>
      <c r="EQ322">
        <v>0</v>
      </c>
      <c r="ER322">
        <v>0</v>
      </c>
      <c r="ES322">
        <v>0</v>
      </c>
      <c r="ET322">
        <v>0</v>
      </c>
      <c r="EW322">
        <v>0</v>
      </c>
      <c r="EX322">
        <v>0</v>
      </c>
      <c r="EY322">
        <v>0</v>
      </c>
      <c r="EZ322">
        <v>0</v>
      </c>
      <c r="FA322">
        <v>0</v>
      </c>
      <c r="FB322">
        <v>0</v>
      </c>
      <c r="FC322">
        <v>0</v>
      </c>
      <c r="FD322">
        <v>0</v>
      </c>
      <c r="FG322" t="e">
        <v>#N/A</v>
      </c>
      <c r="FI322" t="e">
        <v>#N/A</v>
      </c>
      <c r="FK322" t="e">
        <v>#N/A</v>
      </c>
      <c r="FM322" t="e">
        <v>#N/A</v>
      </c>
      <c r="FO322" t="e">
        <v>#N/A</v>
      </c>
      <c r="FQ322" t="e">
        <v>#N/A</v>
      </c>
      <c r="FS322" t="e">
        <v>#N/A</v>
      </c>
      <c r="FU322" t="e">
        <v>#N/A</v>
      </c>
      <c r="FW322" t="e">
        <v>#N/A</v>
      </c>
      <c r="FY322" t="e">
        <v>#N/A</v>
      </c>
      <c r="GA322" t="e">
        <v>#N/A</v>
      </c>
      <c r="GC322" t="e">
        <v>#N/A</v>
      </c>
      <c r="GE322" t="e">
        <v>#N/A</v>
      </c>
      <c r="GG322" t="e">
        <v>#N/A</v>
      </c>
      <c r="GI322" t="e">
        <v>#N/A</v>
      </c>
      <c r="GK322" t="e">
        <v>#N/A</v>
      </c>
      <c r="GM322" t="e">
        <v>#N/A</v>
      </c>
      <c r="GO322" t="e">
        <v>#N/A</v>
      </c>
      <c r="GQ322" t="e">
        <v>#N/A</v>
      </c>
      <c r="GS322" t="e">
        <v>#N/A</v>
      </c>
      <c r="GU322" t="e">
        <v>#N/A</v>
      </c>
      <c r="GW322" t="e">
        <v>#N/A</v>
      </c>
      <c r="GY322" t="e">
        <v>#N/A</v>
      </c>
      <c r="HA322" t="e">
        <v>#N/A</v>
      </c>
      <c r="HC322">
        <v>0</v>
      </c>
      <c r="HD322">
        <v>0</v>
      </c>
      <c r="HE322">
        <v>0</v>
      </c>
      <c r="HF322">
        <v>0</v>
      </c>
      <c r="HG322">
        <v>0</v>
      </c>
      <c r="HH322">
        <v>0</v>
      </c>
      <c r="HI322">
        <v>0</v>
      </c>
      <c r="HJ322">
        <v>0</v>
      </c>
      <c r="HM322">
        <v>0</v>
      </c>
      <c r="HN322">
        <v>0</v>
      </c>
      <c r="HO322">
        <v>0</v>
      </c>
      <c r="HP322">
        <v>0</v>
      </c>
      <c r="HQ322">
        <v>0</v>
      </c>
      <c r="HR322">
        <v>0</v>
      </c>
      <c r="HS322">
        <v>0</v>
      </c>
      <c r="HT322">
        <v>0</v>
      </c>
      <c r="HW322">
        <v>0</v>
      </c>
      <c r="HX322">
        <v>0</v>
      </c>
      <c r="HY322">
        <v>0</v>
      </c>
      <c r="HZ322">
        <v>0</v>
      </c>
      <c r="IA322">
        <v>3930.6</v>
      </c>
      <c r="IB322">
        <v>3632.9</v>
      </c>
      <c r="IC322">
        <v>3795.5</v>
      </c>
      <c r="ID322">
        <v>0</v>
      </c>
      <c r="IE322">
        <v>0</v>
      </c>
      <c r="IF322">
        <v>3548.5</v>
      </c>
      <c r="IG322">
        <v>3395.2</v>
      </c>
      <c r="IH322">
        <v>3395.4</v>
      </c>
      <c r="II322">
        <v>3302.3</v>
      </c>
      <c r="IJ322">
        <v>3172.8</v>
      </c>
      <c r="IK322">
        <v>0</v>
      </c>
      <c r="IL322">
        <v>0</v>
      </c>
      <c r="IM322">
        <v>0</v>
      </c>
      <c r="IN322">
        <v>0</v>
      </c>
      <c r="IO322">
        <v>123.4</v>
      </c>
      <c r="IP322">
        <v>405.2</v>
      </c>
      <c r="IQ322">
        <v>418.7</v>
      </c>
      <c r="IR322">
        <v>0</v>
      </c>
      <c r="IS322">
        <v>0</v>
      </c>
      <c r="IT322">
        <v>0</v>
      </c>
      <c r="IU322">
        <v>0</v>
      </c>
      <c r="IV322">
        <v>396</v>
      </c>
      <c r="IW322">
        <v>0</v>
      </c>
      <c r="IX322">
        <v>0</v>
      </c>
      <c r="IZ322">
        <v>0</v>
      </c>
      <c r="JA322">
        <v>65.5</v>
      </c>
      <c r="JB322">
        <v>443.5</v>
      </c>
      <c r="JC322">
        <v>0</v>
      </c>
      <c r="JD322">
        <v>0</v>
      </c>
      <c r="JE322">
        <v>0</v>
      </c>
      <c r="JF322">
        <v>0</v>
      </c>
      <c r="JG322">
        <v>0</v>
      </c>
      <c r="JH322">
        <v>0</v>
      </c>
      <c r="JI322">
        <v>0</v>
      </c>
      <c r="JJ322">
        <v>0</v>
      </c>
      <c r="JK322">
        <v>0</v>
      </c>
      <c r="JL322">
        <v>0</v>
      </c>
      <c r="JM322">
        <v>0</v>
      </c>
      <c r="JN322">
        <v>0</v>
      </c>
      <c r="JO322">
        <v>0</v>
      </c>
      <c r="JP322">
        <v>0</v>
      </c>
      <c r="JQ322">
        <v>0</v>
      </c>
      <c r="JR322">
        <v>0</v>
      </c>
      <c r="JS322">
        <v>0</v>
      </c>
      <c r="JT322">
        <v>0</v>
      </c>
      <c r="JU322">
        <v>0</v>
      </c>
      <c r="JV322">
        <v>0</v>
      </c>
      <c r="JW322">
        <v>0</v>
      </c>
      <c r="JX322">
        <v>0</v>
      </c>
      <c r="JY322">
        <v>0</v>
      </c>
      <c r="JZ322">
        <v>0</v>
      </c>
      <c r="KA322">
        <v>0</v>
      </c>
      <c r="KB322">
        <v>0</v>
      </c>
      <c r="KC322">
        <v>0</v>
      </c>
      <c r="KD322">
        <v>0</v>
      </c>
      <c r="KE322">
        <v>0</v>
      </c>
      <c r="KF322">
        <v>0</v>
      </c>
      <c r="KI322">
        <v>344.6</v>
      </c>
      <c r="KJ322">
        <v>350.8</v>
      </c>
      <c r="KK322">
        <v>22.1</v>
      </c>
      <c r="KL322">
        <v>379.3</v>
      </c>
      <c r="KM322">
        <v>241.4</v>
      </c>
      <c r="KN322">
        <v>0</v>
      </c>
      <c r="KO322">
        <v>0</v>
      </c>
      <c r="KP322">
        <v>57.3</v>
      </c>
      <c r="KQ322">
        <v>224.4</v>
      </c>
      <c r="KR322">
        <v>338.3</v>
      </c>
      <c r="KS322">
        <v>215.8</v>
      </c>
      <c r="KT322">
        <v>40.700000000000003</v>
      </c>
      <c r="KW322">
        <v>2154.5</v>
      </c>
      <c r="KX322">
        <v>1255.7</v>
      </c>
      <c r="KY322">
        <v>1630.1</v>
      </c>
      <c r="KZ322">
        <v>1246.9000000000001</v>
      </c>
      <c r="LB322">
        <v>78.099999999999994</v>
      </c>
      <c r="LC322">
        <v>77.7</v>
      </c>
    </row>
    <row r="323" spans="1:315" ht="18" thickBot="1">
      <c r="A323" s="253"/>
      <c r="B323" s="582"/>
      <c r="C323" s="233"/>
      <c r="D323" s="290"/>
      <c r="E323" s="437">
        <v>0</v>
      </c>
      <c r="F323" s="205">
        <v>0</v>
      </c>
      <c r="G323" s="427">
        <v>3413.8</v>
      </c>
      <c r="H323" s="155"/>
      <c r="I323">
        <v>735</v>
      </c>
      <c r="K323">
        <v>1973.1000000000001</v>
      </c>
      <c r="L323" s="4">
        <v>221.60000000000002</v>
      </c>
      <c r="M323" s="4">
        <v>54.9</v>
      </c>
      <c r="N323" s="4">
        <v>1989.7</v>
      </c>
      <c r="P323">
        <v>0</v>
      </c>
      <c r="Q323">
        <v>238.29999999999998</v>
      </c>
      <c r="R323">
        <v>0</v>
      </c>
      <c r="S323">
        <v>0</v>
      </c>
      <c r="T323">
        <v>368.5</v>
      </c>
      <c r="W323">
        <v>720.3</v>
      </c>
      <c r="X323">
        <v>1411.5</v>
      </c>
      <c r="Y323">
        <v>96.5</v>
      </c>
      <c r="AA323">
        <v>859.6</v>
      </c>
      <c r="AB323">
        <v>1577.6000000000001</v>
      </c>
      <c r="AE323">
        <v>1330</v>
      </c>
      <c r="AF323">
        <v>1025.5</v>
      </c>
      <c r="AH323">
        <v>509.9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1349.3</v>
      </c>
      <c r="AO323">
        <v>786.40000000000009</v>
      </c>
      <c r="AP323">
        <v>0</v>
      </c>
      <c r="AQ323">
        <v>68.3</v>
      </c>
      <c r="AR323">
        <v>234.9</v>
      </c>
      <c r="AS323">
        <v>600.40000000000009</v>
      </c>
      <c r="AU323">
        <v>985.69999999999993</v>
      </c>
      <c r="AW323">
        <v>792</v>
      </c>
      <c r="AX323">
        <v>1988.5</v>
      </c>
      <c r="AZ323">
        <v>763.5</v>
      </c>
      <c r="BA323">
        <v>0</v>
      </c>
      <c r="BB323">
        <v>0</v>
      </c>
      <c r="BC323">
        <v>1935.3</v>
      </c>
      <c r="BD323">
        <v>1006.5</v>
      </c>
      <c r="BE323">
        <v>0</v>
      </c>
      <c r="BF323">
        <v>0</v>
      </c>
      <c r="BG323">
        <v>0</v>
      </c>
      <c r="BH323">
        <v>1662.6</v>
      </c>
      <c r="BJ323">
        <v>0</v>
      </c>
      <c r="BK323">
        <v>0</v>
      </c>
      <c r="BL323">
        <v>1038.9000000000001</v>
      </c>
      <c r="BM323">
        <v>1101</v>
      </c>
      <c r="BO323">
        <v>1276.8000000000002</v>
      </c>
      <c r="BQ323">
        <v>0</v>
      </c>
      <c r="BR323">
        <v>270.7</v>
      </c>
      <c r="BS323">
        <v>230.5</v>
      </c>
      <c r="BT323">
        <v>472.3</v>
      </c>
      <c r="BU323">
        <v>537.29999999999995</v>
      </c>
      <c r="BV323">
        <v>346.3</v>
      </c>
      <c r="BW323">
        <v>386.2</v>
      </c>
      <c r="BX323">
        <v>767</v>
      </c>
      <c r="BY323">
        <v>757.2</v>
      </c>
      <c r="BZ323">
        <v>1037.2</v>
      </c>
      <c r="CA323">
        <v>1227.0999999999999</v>
      </c>
      <c r="CB323">
        <v>1232.0999999999999</v>
      </c>
      <c r="CC323">
        <v>1701.5</v>
      </c>
      <c r="CD323">
        <v>0</v>
      </c>
      <c r="CG323">
        <v>1385.3</v>
      </c>
      <c r="CJ323">
        <v>1630.2999999999997</v>
      </c>
      <c r="CM323">
        <v>1184.2</v>
      </c>
      <c r="CO323">
        <v>1248.0999999999999</v>
      </c>
      <c r="CQ323">
        <v>1435.3</v>
      </c>
      <c r="CR323">
        <v>798.2</v>
      </c>
      <c r="CS323">
        <v>923.8</v>
      </c>
      <c r="CT323">
        <v>0</v>
      </c>
      <c r="CU323">
        <v>0</v>
      </c>
      <c r="CV323">
        <v>0</v>
      </c>
      <c r="CW323">
        <v>0</v>
      </c>
      <c r="CX323">
        <v>163.69999999999999</v>
      </c>
      <c r="CY323">
        <v>0</v>
      </c>
      <c r="CZ323">
        <v>0</v>
      </c>
      <c r="DA323">
        <v>0</v>
      </c>
      <c r="DB323">
        <v>0</v>
      </c>
      <c r="DC323">
        <v>0</v>
      </c>
      <c r="DD323">
        <v>0</v>
      </c>
      <c r="DE323">
        <v>0</v>
      </c>
      <c r="DI323">
        <v>0</v>
      </c>
      <c r="EC323">
        <v>0</v>
      </c>
      <c r="ED323">
        <v>0</v>
      </c>
      <c r="EE323">
        <v>0</v>
      </c>
      <c r="EF323">
        <v>0</v>
      </c>
      <c r="EG323">
        <v>0</v>
      </c>
      <c r="EH323">
        <v>0</v>
      </c>
      <c r="EI323">
        <v>0</v>
      </c>
      <c r="EJ323">
        <v>0</v>
      </c>
      <c r="EM323">
        <v>0</v>
      </c>
      <c r="EN323">
        <v>0</v>
      </c>
      <c r="EO323">
        <v>0</v>
      </c>
      <c r="EP323">
        <v>0</v>
      </c>
      <c r="EQ323">
        <v>0</v>
      </c>
      <c r="ER323">
        <v>0</v>
      </c>
      <c r="ES323">
        <v>0</v>
      </c>
      <c r="ET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0</v>
      </c>
      <c r="FD323">
        <v>0</v>
      </c>
      <c r="FG323" t="e">
        <v>#N/A</v>
      </c>
      <c r="FI323" t="e">
        <v>#N/A</v>
      </c>
      <c r="FK323" t="e">
        <v>#N/A</v>
      </c>
      <c r="FM323" t="e">
        <v>#N/A</v>
      </c>
      <c r="FO323" t="e">
        <v>#N/A</v>
      </c>
      <c r="FQ323" t="e">
        <v>#N/A</v>
      </c>
      <c r="FS323" t="e">
        <v>#N/A</v>
      </c>
      <c r="FU323" t="e">
        <v>#N/A</v>
      </c>
      <c r="FW323" t="e">
        <v>#N/A</v>
      </c>
      <c r="FY323" t="e">
        <v>#N/A</v>
      </c>
      <c r="GA323" t="e">
        <v>#N/A</v>
      </c>
      <c r="GC323" t="e">
        <v>#N/A</v>
      </c>
      <c r="GE323" t="e">
        <v>#N/A</v>
      </c>
      <c r="GG323" t="e">
        <v>#N/A</v>
      </c>
      <c r="GI323" t="e">
        <v>#N/A</v>
      </c>
      <c r="GK323" t="e">
        <v>#N/A</v>
      </c>
      <c r="GM323" t="e">
        <v>#N/A</v>
      </c>
      <c r="GO323" t="e">
        <v>#N/A</v>
      </c>
      <c r="GQ323" t="e">
        <v>#N/A</v>
      </c>
      <c r="GS323" t="e">
        <v>#N/A</v>
      </c>
      <c r="GU323" t="e">
        <v>#N/A</v>
      </c>
      <c r="GW323" t="e">
        <v>#N/A</v>
      </c>
      <c r="GY323" t="e">
        <v>#N/A</v>
      </c>
      <c r="HA323" t="e">
        <v>#N/A</v>
      </c>
      <c r="HC323">
        <v>0</v>
      </c>
      <c r="HD323">
        <v>0</v>
      </c>
      <c r="HE323">
        <v>0</v>
      </c>
      <c r="HF323">
        <v>0</v>
      </c>
      <c r="HG323">
        <v>0</v>
      </c>
      <c r="HH323">
        <v>0</v>
      </c>
      <c r="HI323">
        <v>0</v>
      </c>
      <c r="HJ323">
        <v>0</v>
      </c>
      <c r="HM323">
        <v>0</v>
      </c>
      <c r="HN323">
        <v>0</v>
      </c>
      <c r="HO323">
        <v>0</v>
      </c>
      <c r="HP323">
        <v>0</v>
      </c>
      <c r="HQ323">
        <v>0</v>
      </c>
      <c r="HR323">
        <v>0</v>
      </c>
      <c r="HS323">
        <v>0</v>
      </c>
      <c r="HT323">
        <v>0</v>
      </c>
      <c r="HW323">
        <v>0</v>
      </c>
      <c r="HX323">
        <v>0</v>
      </c>
      <c r="HY323">
        <v>0</v>
      </c>
      <c r="HZ323">
        <v>0</v>
      </c>
      <c r="IA323">
        <v>3930.6</v>
      </c>
      <c r="IB323">
        <v>3632.9</v>
      </c>
      <c r="IC323">
        <v>3795.5</v>
      </c>
      <c r="ID323">
        <v>0</v>
      </c>
      <c r="IE323">
        <v>0</v>
      </c>
      <c r="IF323">
        <v>3548.5</v>
      </c>
      <c r="IG323">
        <v>3395.2</v>
      </c>
      <c r="IH323">
        <v>3395.4</v>
      </c>
      <c r="II323">
        <v>3302.3</v>
      </c>
      <c r="IJ323">
        <v>3172.8</v>
      </c>
      <c r="IK323">
        <v>0</v>
      </c>
      <c r="IL323">
        <v>0</v>
      </c>
      <c r="IM323">
        <v>0</v>
      </c>
      <c r="IN323">
        <v>0</v>
      </c>
      <c r="IO323">
        <v>123.4</v>
      </c>
      <c r="IP323">
        <v>405.2</v>
      </c>
      <c r="IQ323">
        <v>418.7</v>
      </c>
      <c r="IR323">
        <v>0</v>
      </c>
      <c r="IS323">
        <v>0</v>
      </c>
      <c r="IT323">
        <v>0</v>
      </c>
      <c r="IU323">
        <v>0</v>
      </c>
      <c r="IV323">
        <v>396</v>
      </c>
      <c r="IW323">
        <v>0</v>
      </c>
      <c r="IX323">
        <v>0</v>
      </c>
      <c r="IZ323">
        <v>0</v>
      </c>
      <c r="JA323">
        <v>65.5</v>
      </c>
      <c r="JB323">
        <v>443.5</v>
      </c>
      <c r="JC323">
        <v>0</v>
      </c>
      <c r="JD323">
        <v>0</v>
      </c>
      <c r="JE323">
        <v>0</v>
      </c>
      <c r="JF323">
        <v>0</v>
      </c>
      <c r="JG323">
        <v>0</v>
      </c>
      <c r="JH323">
        <v>0</v>
      </c>
      <c r="JI323">
        <v>0</v>
      </c>
      <c r="JJ323">
        <v>0</v>
      </c>
      <c r="JK323">
        <v>0</v>
      </c>
      <c r="JL323">
        <v>0</v>
      </c>
      <c r="JM323">
        <v>0</v>
      </c>
      <c r="JN323">
        <v>0</v>
      </c>
      <c r="JO323">
        <v>0</v>
      </c>
      <c r="JP323">
        <v>0</v>
      </c>
      <c r="JQ323">
        <v>0</v>
      </c>
      <c r="JR323">
        <v>0</v>
      </c>
      <c r="JS323">
        <v>0</v>
      </c>
      <c r="JT323">
        <v>0</v>
      </c>
      <c r="JU323">
        <v>0</v>
      </c>
      <c r="JV323">
        <v>0</v>
      </c>
      <c r="JW323">
        <v>0</v>
      </c>
      <c r="JX323">
        <v>0</v>
      </c>
      <c r="JY323">
        <v>0</v>
      </c>
      <c r="JZ323">
        <v>0</v>
      </c>
      <c r="KA323">
        <v>0</v>
      </c>
      <c r="KB323">
        <v>0</v>
      </c>
      <c r="KC323">
        <v>0</v>
      </c>
      <c r="KD323">
        <v>0</v>
      </c>
      <c r="KE323">
        <v>0</v>
      </c>
      <c r="KF323">
        <v>0</v>
      </c>
      <c r="KI323">
        <v>344.6</v>
      </c>
      <c r="KJ323">
        <v>350.8</v>
      </c>
      <c r="KK323">
        <v>22.1</v>
      </c>
      <c r="KL323">
        <v>379.3</v>
      </c>
      <c r="KM323">
        <v>241.4</v>
      </c>
      <c r="KN323">
        <v>0</v>
      </c>
      <c r="KO323">
        <v>0</v>
      </c>
      <c r="KP323">
        <v>57.3</v>
      </c>
      <c r="KQ323">
        <v>224.4</v>
      </c>
      <c r="KR323">
        <v>338.3</v>
      </c>
      <c r="KS323">
        <v>215.8</v>
      </c>
      <c r="KT323">
        <v>40.700000000000003</v>
      </c>
      <c r="KW323">
        <v>2154.5</v>
      </c>
      <c r="KX323">
        <v>1255.7</v>
      </c>
      <c r="KY323">
        <v>1630.1</v>
      </c>
      <c r="KZ323">
        <v>1246.9000000000001</v>
      </c>
      <c r="LB323">
        <v>78.099999999999994</v>
      </c>
      <c r="LC323">
        <v>77.7</v>
      </c>
    </row>
    <row r="324" spans="1:315" ht="18" thickBot="1">
      <c r="A324" s="253"/>
      <c r="B324" s="253" t="s">
        <v>477</v>
      </c>
      <c r="C324" s="233" t="s">
        <v>658</v>
      </c>
      <c r="D324" s="290" t="s">
        <v>656</v>
      </c>
      <c r="E324" s="443">
        <v>0</v>
      </c>
      <c r="F324" s="191">
        <v>0</v>
      </c>
      <c r="G324" s="427">
        <v>3413.8</v>
      </c>
      <c r="H324" s="155"/>
      <c r="I324">
        <v>735</v>
      </c>
      <c r="K324">
        <v>1973.1000000000001</v>
      </c>
      <c r="L324" s="4">
        <v>221.60000000000002</v>
      </c>
      <c r="M324" s="4">
        <v>54.9</v>
      </c>
      <c r="N324" s="4">
        <v>1989.7</v>
      </c>
      <c r="P324">
        <v>0</v>
      </c>
      <c r="Q324">
        <v>238.29999999999998</v>
      </c>
      <c r="R324">
        <v>0</v>
      </c>
      <c r="S324">
        <v>0</v>
      </c>
      <c r="T324">
        <v>368.5</v>
      </c>
      <c r="W324">
        <v>720.3</v>
      </c>
      <c r="X324">
        <v>1411.5</v>
      </c>
      <c r="Y324">
        <v>96.5</v>
      </c>
      <c r="AA324">
        <v>859.6</v>
      </c>
      <c r="AB324">
        <v>1577.6000000000001</v>
      </c>
      <c r="AE324">
        <v>1330</v>
      </c>
      <c r="AF324">
        <v>1025.5</v>
      </c>
      <c r="AH324">
        <v>509.9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1349.3</v>
      </c>
      <c r="AO324">
        <v>786.40000000000009</v>
      </c>
      <c r="AP324">
        <v>0</v>
      </c>
      <c r="AQ324">
        <v>68.3</v>
      </c>
      <c r="AR324">
        <v>234.9</v>
      </c>
      <c r="AS324">
        <v>600.40000000000009</v>
      </c>
      <c r="AU324">
        <v>985.69999999999993</v>
      </c>
      <c r="AW324">
        <v>792</v>
      </c>
      <c r="AX324">
        <v>1988.5</v>
      </c>
      <c r="AZ324">
        <v>763.5</v>
      </c>
      <c r="BA324">
        <v>0</v>
      </c>
      <c r="BB324">
        <v>0</v>
      </c>
      <c r="BC324">
        <v>1935.3</v>
      </c>
      <c r="BD324">
        <v>1006.5</v>
      </c>
      <c r="BE324">
        <v>0</v>
      </c>
      <c r="BF324">
        <v>0</v>
      </c>
      <c r="BG324">
        <v>0</v>
      </c>
      <c r="BH324">
        <v>1662.6</v>
      </c>
      <c r="BJ324">
        <v>0</v>
      </c>
      <c r="BK324">
        <v>0</v>
      </c>
      <c r="BL324">
        <v>1038.9000000000001</v>
      </c>
      <c r="BM324">
        <v>1101</v>
      </c>
      <c r="BO324">
        <v>1276.8000000000002</v>
      </c>
      <c r="BQ324">
        <v>0</v>
      </c>
      <c r="BR324">
        <v>270.7</v>
      </c>
      <c r="BS324">
        <v>230.5</v>
      </c>
      <c r="BT324">
        <v>472.3</v>
      </c>
      <c r="BU324">
        <v>537.29999999999995</v>
      </c>
      <c r="BV324">
        <v>346.3</v>
      </c>
      <c r="BW324">
        <v>386.2</v>
      </c>
      <c r="BX324">
        <v>767</v>
      </c>
      <c r="BY324">
        <v>757.2</v>
      </c>
      <c r="BZ324">
        <v>1037.2</v>
      </c>
      <c r="CA324">
        <v>1227.0999999999999</v>
      </c>
      <c r="CB324">
        <v>1232.0999999999999</v>
      </c>
      <c r="CC324">
        <v>1701.5</v>
      </c>
      <c r="CD324">
        <v>0</v>
      </c>
      <c r="CG324">
        <v>1385.3</v>
      </c>
      <c r="CJ324">
        <v>1630.2999999999997</v>
      </c>
      <c r="CM324">
        <v>1184.2</v>
      </c>
      <c r="CO324">
        <v>1248.0999999999999</v>
      </c>
      <c r="CQ324">
        <v>1435.3</v>
      </c>
      <c r="CR324">
        <v>798.2</v>
      </c>
      <c r="CS324">
        <v>923.8</v>
      </c>
      <c r="CT324">
        <v>0</v>
      </c>
      <c r="CU324">
        <v>0</v>
      </c>
      <c r="CV324">
        <v>0</v>
      </c>
      <c r="CW324">
        <v>0</v>
      </c>
      <c r="CX324">
        <v>163.69999999999999</v>
      </c>
      <c r="CY324">
        <v>0</v>
      </c>
      <c r="CZ324">
        <v>0</v>
      </c>
      <c r="DA324">
        <v>0</v>
      </c>
      <c r="DB324">
        <v>0</v>
      </c>
      <c r="DC324">
        <v>0</v>
      </c>
      <c r="DD324">
        <v>0</v>
      </c>
      <c r="DE324">
        <v>0</v>
      </c>
      <c r="DI324">
        <v>0</v>
      </c>
      <c r="EC324">
        <v>0</v>
      </c>
      <c r="ED324">
        <v>0</v>
      </c>
      <c r="EE324">
        <v>0</v>
      </c>
      <c r="EF324">
        <v>0</v>
      </c>
      <c r="EG324">
        <v>0</v>
      </c>
      <c r="EH324">
        <v>0</v>
      </c>
      <c r="EI324">
        <v>0</v>
      </c>
      <c r="EJ324">
        <v>0</v>
      </c>
      <c r="EM324">
        <v>0</v>
      </c>
      <c r="EN324">
        <v>0</v>
      </c>
      <c r="EO324">
        <v>0</v>
      </c>
      <c r="EP324">
        <v>0</v>
      </c>
      <c r="EQ324">
        <v>0</v>
      </c>
      <c r="ER324">
        <v>0</v>
      </c>
      <c r="ES324">
        <v>0</v>
      </c>
      <c r="ET324">
        <v>0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  <c r="FC324">
        <v>0</v>
      </c>
      <c r="FD324">
        <v>0</v>
      </c>
      <c r="FG324" t="e">
        <v>#N/A</v>
      </c>
      <c r="FI324" t="e">
        <v>#N/A</v>
      </c>
      <c r="FK324" t="e">
        <v>#N/A</v>
      </c>
      <c r="FM324" t="e">
        <v>#N/A</v>
      </c>
      <c r="FO324" t="e">
        <v>#N/A</v>
      </c>
      <c r="FQ324" t="e">
        <v>#N/A</v>
      </c>
      <c r="FS324" t="e">
        <v>#N/A</v>
      </c>
      <c r="FU324" t="e">
        <v>#N/A</v>
      </c>
      <c r="FW324" t="e">
        <v>#N/A</v>
      </c>
      <c r="FY324" t="e">
        <v>#N/A</v>
      </c>
      <c r="GA324" t="e">
        <v>#N/A</v>
      </c>
      <c r="GC324" t="e">
        <v>#N/A</v>
      </c>
      <c r="GE324" t="e">
        <v>#N/A</v>
      </c>
      <c r="GG324" t="e">
        <v>#N/A</v>
      </c>
      <c r="GI324" t="e">
        <v>#N/A</v>
      </c>
      <c r="GK324" t="e">
        <v>#N/A</v>
      </c>
      <c r="GM324" t="e">
        <v>#N/A</v>
      </c>
      <c r="GO324" t="e">
        <v>#N/A</v>
      </c>
      <c r="GQ324" t="e">
        <v>#N/A</v>
      </c>
      <c r="GS324" t="e">
        <v>#N/A</v>
      </c>
      <c r="GU324" t="e">
        <v>#N/A</v>
      </c>
      <c r="GW324" t="e">
        <v>#N/A</v>
      </c>
      <c r="GY324" t="e">
        <v>#N/A</v>
      </c>
      <c r="HA324" t="e">
        <v>#N/A</v>
      </c>
      <c r="HC324">
        <v>0</v>
      </c>
      <c r="HD324">
        <v>0</v>
      </c>
      <c r="HE324">
        <v>0</v>
      </c>
      <c r="HF324">
        <v>0</v>
      </c>
      <c r="HG324">
        <v>0</v>
      </c>
      <c r="HH324">
        <v>0</v>
      </c>
      <c r="HI324">
        <v>0</v>
      </c>
      <c r="HJ324">
        <v>0</v>
      </c>
      <c r="HM324">
        <v>0</v>
      </c>
      <c r="HN324">
        <v>0</v>
      </c>
      <c r="HO324">
        <v>0</v>
      </c>
      <c r="HP324">
        <v>0</v>
      </c>
      <c r="HQ324">
        <v>0</v>
      </c>
      <c r="HR324">
        <v>0</v>
      </c>
      <c r="HS324">
        <v>0</v>
      </c>
      <c r="HT324">
        <v>0</v>
      </c>
      <c r="HW324">
        <v>0</v>
      </c>
      <c r="HX324">
        <v>0</v>
      </c>
      <c r="HY324">
        <v>0</v>
      </c>
      <c r="HZ324">
        <v>0</v>
      </c>
      <c r="IA324">
        <v>3930.6</v>
      </c>
      <c r="IB324">
        <v>3632.9</v>
      </c>
      <c r="IC324">
        <v>3795.5</v>
      </c>
      <c r="ID324">
        <v>0</v>
      </c>
      <c r="IE324">
        <v>0</v>
      </c>
      <c r="IF324">
        <v>3548.5</v>
      </c>
      <c r="IG324">
        <v>3395.2</v>
      </c>
      <c r="IH324">
        <v>3395.4</v>
      </c>
      <c r="II324">
        <v>3302.3</v>
      </c>
      <c r="IJ324">
        <v>3172.8</v>
      </c>
      <c r="IK324">
        <v>0</v>
      </c>
      <c r="IL324">
        <v>0</v>
      </c>
      <c r="IM324">
        <v>0</v>
      </c>
      <c r="IN324">
        <v>0</v>
      </c>
      <c r="IO324">
        <v>123.4</v>
      </c>
      <c r="IP324">
        <v>405.2</v>
      </c>
      <c r="IQ324">
        <v>418.7</v>
      </c>
      <c r="IR324">
        <v>0</v>
      </c>
      <c r="IS324">
        <v>0</v>
      </c>
      <c r="IT324">
        <v>0</v>
      </c>
      <c r="IU324">
        <v>0</v>
      </c>
      <c r="IV324">
        <v>396</v>
      </c>
      <c r="IW324">
        <v>0</v>
      </c>
      <c r="IX324">
        <v>0</v>
      </c>
      <c r="IZ324">
        <v>0</v>
      </c>
      <c r="JA324">
        <v>65.5</v>
      </c>
      <c r="JB324">
        <v>443.5</v>
      </c>
      <c r="JC324">
        <v>0</v>
      </c>
      <c r="JD324">
        <v>0</v>
      </c>
      <c r="JE324">
        <v>0</v>
      </c>
      <c r="JF324">
        <v>0</v>
      </c>
      <c r="JG324">
        <v>0</v>
      </c>
      <c r="JH324">
        <v>0</v>
      </c>
      <c r="JI324">
        <v>0</v>
      </c>
      <c r="JJ324">
        <v>0</v>
      </c>
      <c r="JK324">
        <v>0</v>
      </c>
      <c r="JL324">
        <v>0</v>
      </c>
      <c r="JM324">
        <v>0</v>
      </c>
      <c r="JN324">
        <v>0</v>
      </c>
      <c r="JO324">
        <v>0</v>
      </c>
      <c r="JP324">
        <v>0</v>
      </c>
      <c r="JQ324">
        <v>0</v>
      </c>
      <c r="JR324">
        <v>0</v>
      </c>
      <c r="JS324">
        <v>0</v>
      </c>
      <c r="JT324">
        <v>0</v>
      </c>
      <c r="JU324">
        <v>0</v>
      </c>
      <c r="JV324">
        <v>0</v>
      </c>
      <c r="JW324">
        <v>0</v>
      </c>
      <c r="JX324">
        <v>0</v>
      </c>
      <c r="JY324">
        <v>0</v>
      </c>
      <c r="JZ324">
        <v>0</v>
      </c>
      <c r="KA324">
        <v>0</v>
      </c>
      <c r="KB324">
        <v>0</v>
      </c>
      <c r="KC324">
        <v>0</v>
      </c>
      <c r="KD324">
        <v>0</v>
      </c>
      <c r="KE324">
        <v>0</v>
      </c>
      <c r="KF324">
        <v>0</v>
      </c>
      <c r="KI324">
        <v>344.6</v>
      </c>
      <c r="KJ324">
        <v>350.8</v>
      </c>
      <c r="KK324">
        <v>22.1</v>
      </c>
      <c r="KL324">
        <v>379.3</v>
      </c>
      <c r="KM324">
        <v>241.4</v>
      </c>
      <c r="KN324">
        <v>0</v>
      </c>
      <c r="KO324">
        <v>0</v>
      </c>
      <c r="KP324">
        <v>57.3</v>
      </c>
      <c r="KQ324">
        <v>224.4</v>
      </c>
      <c r="KR324">
        <v>338.3</v>
      </c>
      <c r="KS324">
        <v>215.8</v>
      </c>
      <c r="KT324">
        <v>40.700000000000003</v>
      </c>
      <c r="KW324">
        <v>2154.5</v>
      </c>
      <c r="KX324">
        <v>1255.7</v>
      </c>
      <c r="KY324">
        <v>1630.1</v>
      </c>
      <c r="KZ324">
        <v>1246.9000000000001</v>
      </c>
      <c r="LB324">
        <v>78.099999999999994</v>
      </c>
      <c r="LC324">
        <v>77.7</v>
      </c>
    </row>
    <row r="325" spans="1:315" ht="18" thickBot="1">
      <c r="A325" s="253"/>
      <c r="B325" s="253" t="s">
        <v>478</v>
      </c>
      <c r="C325" s="233" t="s">
        <v>659</v>
      </c>
      <c r="D325" s="290" t="s">
        <v>656</v>
      </c>
      <c r="E325" s="443">
        <v>0</v>
      </c>
      <c r="F325" s="191">
        <v>0</v>
      </c>
      <c r="G325" s="427">
        <v>3413.8</v>
      </c>
      <c r="H325" s="155"/>
      <c r="I325">
        <v>735</v>
      </c>
      <c r="K325">
        <v>1973.1000000000001</v>
      </c>
      <c r="L325" s="4">
        <v>221.60000000000002</v>
      </c>
      <c r="M325" s="4">
        <v>54.9</v>
      </c>
      <c r="N325" s="4">
        <v>1989.7</v>
      </c>
      <c r="P325">
        <v>0</v>
      </c>
      <c r="Q325">
        <v>238.29999999999998</v>
      </c>
      <c r="R325">
        <v>0</v>
      </c>
      <c r="S325">
        <v>0</v>
      </c>
      <c r="T325">
        <v>368.5</v>
      </c>
      <c r="W325">
        <v>720.3</v>
      </c>
      <c r="X325">
        <v>1411.5</v>
      </c>
      <c r="Y325">
        <v>96.5</v>
      </c>
      <c r="AA325">
        <v>859.6</v>
      </c>
      <c r="AB325">
        <v>1577.6000000000001</v>
      </c>
      <c r="AE325">
        <v>1330</v>
      </c>
      <c r="AF325">
        <v>1025.5</v>
      </c>
      <c r="AH325">
        <v>509.9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1349.3</v>
      </c>
      <c r="AO325">
        <v>786.40000000000009</v>
      </c>
      <c r="AP325">
        <v>0</v>
      </c>
      <c r="AQ325">
        <v>68.3</v>
      </c>
      <c r="AR325">
        <v>234.9</v>
      </c>
      <c r="AS325">
        <v>600.40000000000009</v>
      </c>
      <c r="AU325">
        <v>985.69999999999993</v>
      </c>
      <c r="AW325">
        <v>792</v>
      </c>
      <c r="AX325">
        <v>1988.5</v>
      </c>
      <c r="AZ325">
        <v>763.5</v>
      </c>
      <c r="BA325">
        <v>0</v>
      </c>
      <c r="BB325">
        <v>0</v>
      </c>
      <c r="BC325">
        <v>1935.3</v>
      </c>
      <c r="BD325">
        <v>1006.5</v>
      </c>
      <c r="BE325">
        <v>0</v>
      </c>
      <c r="BF325">
        <v>0</v>
      </c>
      <c r="BG325">
        <v>0</v>
      </c>
      <c r="BH325">
        <v>1662.6</v>
      </c>
      <c r="BJ325">
        <v>0</v>
      </c>
      <c r="BK325">
        <v>0</v>
      </c>
      <c r="BL325">
        <v>1038.9000000000001</v>
      </c>
      <c r="BM325">
        <v>1101</v>
      </c>
      <c r="BO325">
        <v>1276.8000000000002</v>
      </c>
      <c r="BQ325">
        <v>0</v>
      </c>
      <c r="BR325">
        <v>270.7</v>
      </c>
      <c r="BS325">
        <v>230.5</v>
      </c>
      <c r="BT325">
        <v>472.3</v>
      </c>
      <c r="BU325">
        <v>537.29999999999995</v>
      </c>
      <c r="BV325">
        <v>346.3</v>
      </c>
      <c r="BW325">
        <v>386.2</v>
      </c>
      <c r="BX325">
        <v>767</v>
      </c>
      <c r="BY325">
        <v>757.2</v>
      </c>
      <c r="BZ325">
        <v>1037.2</v>
      </c>
      <c r="CA325">
        <v>1227.0999999999999</v>
      </c>
      <c r="CB325">
        <v>1232.0999999999999</v>
      </c>
      <c r="CC325">
        <v>1701.5</v>
      </c>
      <c r="CD325">
        <v>0</v>
      </c>
      <c r="CG325">
        <v>1385.3</v>
      </c>
      <c r="CJ325">
        <v>1630.2999999999997</v>
      </c>
      <c r="CM325">
        <v>1184.2</v>
      </c>
      <c r="CO325">
        <v>1248.0999999999999</v>
      </c>
      <c r="CQ325">
        <v>1435.3</v>
      </c>
      <c r="CR325">
        <v>798.2</v>
      </c>
      <c r="CS325">
        <v>923.8</v>
      </c>
      <c r="CT325">
        <v>0</v>
      </c>
      <c r="CU325">
        <v>0</v>
      </c>
      <c r="CV325">
        <v>0</v>
      </c>
      <c r="CW325">
        <v>0</v>
      </c>
      <c r="CX325">
        <v>163.69999999999999</v>
      </c>
      <c r="CY325">
        <v>0</v>
      </c>
      <c r="CZ325">
        <v>0</v>
      </c>
      <c r="DA325">
        <v>0</v>
      </c>
      <c r="DB325">
        <v>0</v>
      </c>
      <c r="DC325">
        <v>0</v>
      </c>
      <c r="DD325">
        <v>0</v>
      </c>
      <c r="DE325">
        <v>0</v>
      </c>
      <c r="DI325">
        <v>0</v>
      </c>
      <c r="EC325">
        <v>0</v>
      </c>
      <c r="ED325">
        <v>0</v>
      </c>
      <c r="EE325">
        <v>0</v>
      </c>
      <c r="EF325">
        <v>0</v>
      </c>
      <c r="EG325">
        <v>0</v>
      </c>
      <c r="EH325">
        <v>0</v>
      </c>
      <c r="EI325">
        <v>0</v>
      </c>
      <c r="EJ325">
        <v>0</v>
      </c>
      <c r="EM325">
        <v>0</v>
      </c>
      <c r="EN325">
        <v>0</v>
      </c>
      <c r="EO325">
        <v>0</v>
      </c>
      <c r="EP325">
        <v>0</v>
      </c>
      <c r="EQ325">
        <v>0</v>
      </c>
      <c r="ER325">
        <v>0</v>
      </c>
      <c r="ES325">
        <v>0</v>
      </c>
      <c r="ET325">
        <v>0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G325" t="e">
        <v>#N/A</v>
      </c>
      <c r="FI325" t="e">
        <v>#N/A</v>
      </c>
      <c r="FK325" t="e">
        <v>#N/A</v>
      </c>
      <c r="FM325" t="e">
        <v>#N/A</v>
      </c>
      <c r="FO325" t="e">
        <v>#N/A</v>
      </c>
      <c r="FQ325" t="e">
        <v>#N/A</v>
      </c>
      <c r="FS325" t="e">
        <v>#N/A</v>
      </c>
      <c r="FU325" t="e">
        <v>#N/A</v>
      </c>
      <c r="FW325" t="e">
        <v>#N/A</v>
      </c>
      <c r="FY325" t="e">
        <v>#N/A</v>
      </c>
      <c r="GA325" t="e">
        <v>#N/A</v>
      </c>
      <c r="GC325" t="e">
        <v>#N/A</v>
      </c>
      <c r="GE325" t="e">
        <v>#N/A</v>
      </c>
      <c r="GG325" t="e">
        <v>#N/A</v>
      </c>
      <c r="GI325" t="e">
        <v>#N/A</v>
      </c>
      <c r="GK325" t="e">
        <v>#N/A</v>
      </c>
      <c r="GM325" t="e">
        <v>#N/A</v>
      </c>
      <c r="GO325" t="e">
        <v>#N/A</v>
      </c>
      <c r="GQ325" t="e">
        <v>#N/A</v>
      </c>
      <c r="GS325" t="e">
        <v>#N/A</v>
      </c>
      <c r="GU325" t="e">
        <v>#N/A</v>
      </c>
      <c r="GW325" t="e">
        <v>#N/A</v>
      </c>
      <c r="GY325" t="e">
        <v>#N/A</v>
      </c>
      <c r="HA325" t="e">
        <v>#N/A</v>
      </c>
      <c r="HC325">
        <v>0</v>
      </c>
      <c r="HD325">
        <v>0</v>
      </c>
      <c r="HE325">
        <v>0</v>
      </c>
      <c r="HF325">
        <v>0</v>
      </c>
      <c r="HG325">
        <v>0</v>
      </c>
      <c r="HH325">
        <v>0</v>
      </c>
      <c r="HI325">
        <v>0</v>
      </c>
      <c r="HJ325">
        <v>0</v>
      </c>
      <c r="HM325">
        <v>0</v>
      </c>
      <c r="HN325">
        <v>0</v>
      </c>
      <c r="HO325">
        <v>0</v>
      </c>
      <c r="HP325">
        <v>0</v>
      </c>
      <c r="HQ325">
        <v>0</v>
      </c>
      <c r="HR325">
        <v>0</v>
      </c>
      <c r="HS325">
        <v>0</v>
      </c>
      <c r="HT325">
        <v>0</v>
      </c>
      <c r="HW325">
        <v>0</v>
      </c>
      <c r="HX325">
        <v>0</v>
      </c>
      <c r="HY325">
        <v>0</v>
      </c>
      <c r="HZ325">
        <v>0</v>
      </c>
      <c r="IA325">
        <v>3930.6</v>
      </c>
      <c r="IB325">
        <v>3632.9</v>
      </c>
      <c r="IC325">
        <v>3795.5</v>
      </c>
      <c r="ID325">
        <v>0</v>
      </c>
      <c r="IE325">
        <v>0</v>
      </c>
      <c r="IF325">
        <v>3548.5</v>
      </c>
      <c r="IG325">
        <v>3395.2</v>
      </c>
      <c r="IH325">
        <v>3395.4</v>
      </c>
      <c r="II325">
        <v>3302.3</v>
      </c>
      <c r="IJ325">
        <v>3172.8</v>
      </c>
      <c r="IK325">
        <v>0</v>
      </c>
      <c r="IL325">
        <v>0</v>
      </c>
      <c r="IM325">
        <v>0</v>
      </c>
      <c r="IN325">
        <v>0</v>
      </c>
      <c r="IO325">
        <v>123.4</v>
      </c>
      <c r="IP325">
        <v>405.2</v>
      </c>
      <c r="IQ325">
        <v>418.7</v>
      </c>
      <c r="IR325">
        <v>0</v>
      </c>
      <c r="IS325">
        <v>0</v>
      </c>
      <c r="IT325">
        <v>0</v>
      </c>
      <c r="IU325">
        <v>0</v>
      </c>
      <c r="IV325">
        <v>396</v>
      </c>
      <c r="IW325">
        <v>0</v>
      </c>
      <c r="IX325">
        <v>0</v>
      </c>
      <c r="IZ325">
        <v>0</v>
      </c>
      <c r="JA325">
        <v>65.5</v>
      </c>
      <c r="JB325">
        <v>443.5</v>
      </c>
      <c r="JC325">
        <v>0</v>
      </c>
      <c r="JD325">
        <v>0</v>
      </c>
      <c r="JE325">
        <v>0</v>
      </c>
      <c r="JF325">
        <v>0</v>
      </c>
      <c r="JG325">
        <v>0</v>
      </c>
      <c r="JH325">
        <v>0</v>
      </c>
      <c r="JI325">
        <v>0</v>
      </c>
      <c r="JJ325">
        <v>0</v>
      </c>
      <c r="JK325">
        <v>0</v>
      </c>
      <c r="JL325">
        <v>0</v>
      </c>
      <c r="JM325">
        <v>0</v>
      </c>
      <c r="JN325">
        <v>0</v>
      </c>
      <c r="JO325">
        <v>0</v>
      </c>
      <c r="JP325">
        <v>0</v>
      </c>
      <c r="JQ325">
        <v>0</v>
      </c>
      <c r="JR325">
        <v>0</v>
      </c>
      <c r="JS325">
        <v>0</v>
      </c>
      <c r="JT325">
        <v>0</v>
      </c>
      <c r="JU325">
        <v>0</v>
      </c>
      <c r="JV325">
        <v>0</v>
      </c>
      <c r="JW325">
        <v>0</v>
      </c>
      <c r="JX325">
        <v>0</v>
      </c>
      <c r="JY325">
        <v>0</v>
      </c>
      <c r="JZ325">
        <v>0</v>
      </c>
      <c r="KA325">
        <v>0</v>
      </c>
      <c r="KB325">
        <v>0</v>
      </c>
      <c r="KC325">
        <v>0</v>
      </c>
      <c r="KD325">
        <v>0</v>
      </c>
      <c r="KE325">
        <v>0</v>
      </c>
      <c r="KF325">
        <v>0</v>
      </c>
      <c r="KI325">
        <v>344.6</v>
      </c>
      <c r="KJ325">
        <v>350.8</v>
      </c>
      <c r="KK325">
        <v>22.1</v>
      </c>
      <c r="KL325">
        <v>379.3</v>
      </c>
      <c r="KM325">
        <v>241.4</v>
      </c>
      <c r="KN325">
        <v>0</v>
      </c>
      <c r="KO325">
        <v>0</v>
      </c>
      <c r="KP325">
        <v>57.3</v>
      </c>
      <c r="KQ325">
        <v>224.4</v>
      </c>
      <c r="KR325">
        <v>338.3</v>
      </c>
      <c r="KS325">
        <v>215.8</v>
      </c>
      <c r="KT325">
        <v>40.700000000000003</v>
      </c>
      <c r="KW325">
        <v>2154.5</v>
      </c>
      <c r="KX325">
        <v>1255.7</v>
      </c>
      <c r="KY325">
        <v>1630.1</v>
      </c>
      <c r="KZ325">
        <v>1246.9000000000001</v>
      </c>
      <c r="LB325">
        <v>78.099999999999994</v>
      </c>
      <c r="LC325">
        <v>77.7</v>
      </c>
    </row>
    <row r="326" spans="1:315" ht="18" thickBot="1">
      <c r="A326" s="253"/>
      <c r="B326" s="253" t="s">
        <v>479</v>
      </c>
      <c r="C326" s="233" t="s">
        <v>660</v>
      </c>
      <c r="D326" s="281" t="s">
        <v>656</v>
      </c>
      <c r="E326" s="443">
        <v>0</v>
      </c>
      <c r="F326" s="191">
        <v>0</v>
      </c>
      <c r="G326" s="427">
        <v>3413.8</v>
      </c>
      <c r="H326" s="155"/>
      <c r="I326">
        <v>735</v>
      </c>
      <c r="K326">
        <v>1973.1000000000001</v>
      </c>
      <c r="L326" s="4">
        <v>221.60000000000002</v>
      </c>
      <c r="M326" s="4">
        <v>54.9</v>
      </c>
      <c r="N326" s="4">
        <v>1989.7</v>
      </c>
      <c r="P326">
        <v>0</v>
      </c>
      <c r="Q326">
        <v>238.29999999999998</v>
      </c>
      <c r="R326">
        <v>0</v>
      </c>
      <c r="S326">
        <v>0</v>
      </c>
      <c r="T326">
        <v>368.5</v>
      </c>
      <c r="W326">
        <v>720.3</v>
      </c>
      <c r="X326">
        <v>1411.5</v>
      </c>
      <c r="Y326">
        <v>96.5</v>
      </c>
      <c r="AA326">
        <v>859.6</v>
      </c>
      <c r="AB326">
        <v>1577.6000000000001</v>
      </c>
      <c r="AE326">
        <v>1330</v>
      </c>
      <c r="AF326">
        <v>1025.5</v>
      </c>
      <c r="AH326">
        <v>509.9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1349.3</v>
      </c>
      <c r="AO326">
        <v>786.40000000000009</v>
      </c>
      <c r="AP326">
        <v>0</v>
      </c>
      <c r="AQ326">
        <v>68.3</v>
      </c>
      <c r="AR326">
        <v>234.9</v>
      </c>
      <c r="AS326">
        <v>600.40000000000009</v>
      </c>
      <c r="AU326">
        <v>985.69999999999993</v>
      </c>
      <c r="AW326">
        <v>792</v>
      </c>
      <c r="AX326">
        <v>1988.5</v>
      </c>
      <c r="AZ326">
        <v>763.5</v>
      </c>
      <c r="BA326">
        <v>0</v>
      </c>
      <c r="BB326">
        <v>0</v>
      </c>
      <c r="BC326">
        <v>1935.3</v>
      </c>
      <c r="BD326">
        <v>1006.5</v>
      </c>
      <c r="BE326">
        <v>0</v>
      </c>
      <c r="BF326">
        <v>0</v>
      </c>
      <c r="BG326">
        <v>0</v>
      </c>
      <c r="BH326">
        <v>1662.6</v>
      </c>
      <c r="BJ326">
        <v>0</v>
      </c>
      <c r="BK326">
        <v>0</v>
      </c>
      <c r="BL326">
        <v>1038.9000000000001</v>
      </c>
      <c r="BM326">
        <v>1101</v>
      </c>
      <c r="BO326">
        <v>1276.8000000000002</v>
      </c>
      <c r="BQ326">
        <v>0</v>
      </c>
      <c r="BR326">
        <v>270.7</v>
      </c>
      <c r="BS326">
        <v>230.5</v>
      </c>
      <c r="BT326">
        <v>472.3</v>
      </c>
      <c r="BU326">
        <v>537.29999999999995</v>
      </c>
      <c r="BV326">
        <v>346.3</v>
      </c>
      <c r="BW326">
        <v>386.2</v>
      </c>
      <c r="BX326">
        <v>767</v>
      </c>
      <c r="BY326">
        <v>757.2</v>
      </c>
      <c r="BZ326">
        <v>1037.2</v>
      </c>
      <c r="CA326">
        <v>1227.0999999999999</v>
      </c>
      <c r="CB326">
        <v>1232.0999999999999</v>
      </c>
      <c r="CC326">
        <v>1701.5</v>
      </c>
      <c r="CD326">
        <v>0</v>
      </c>
      <c r="CG326">
        <v>1385.3</v>
      </c>
      <c r="CJ326">
        <v>1630.2999999999997</v>
      </c>
      <c r="CM326">
        <v>1184.2</v>
      </c>
      <c r="CO326">
        <v>1248.0999999999999</v>
      </c>
      <c r="CQ326">
        <v>1435.3</v>
      </c>
      <c r="CR326">
        <v>798.2</v>
      </c>
      <c r="CS326">
        <v>923.8</v>
      </c>
      <c r="CT326">
        <v>0</v>
      </c>
      <c r="CU326">
        <v>0</v>
      </c>
      <c r="CV326">
        <v>0</v>
      </c>
      <c r="CW326">
        <v>0</v>
      </c>
      <c r="CX326">
        <v>163.69999999999999</v>
      </c>
      <c r="CY326">
        <v>0</v>
      </c>
      <c r="CZ326">
        <v>0</v>
      </c>
      <c r="DA326">
        <v>0</v>
      </c>
      <c r="DB326">
        <v>0</v>
      </c>
      <c r="DC326">
        <v>0</v>
      </c>
      <c r="DD326">
        <v>0</v>
      </c>
      <c r="DE326">
        <v>0</v>
      </c>
      <c r="DI326">
        <v>0</v>
      </c>
      <c r="EC326">
        <v>0</v>
      </c>
      <c r="ED326">
        <v>0</v>
      </c>
      <c r="EE326">
        <v>0</v>
      </c>
      <c r="EF326">
        <v>0</v>
      </c>
      <c r="EG326">
        <v>0</v>
      </c>
      <c r="EH326">
        <v>0</v>
      </c>
      <c r="EI326">
        <v>0</v>
      </c>
      <c r="EJ326">
        <v>0</v>
      </c>
      <c r="EM326">
        <v>0</v>
      </c>
      <c r="EN326">
        <v>0</v>
      </c>
      <c r="EO326">
        <v>0</v>
      </c>
      <c r="EP326">
        <v>0</v>
      </c>
      <c r="EQ326">
        <v>0</v>
      </c>
      <c r="ER326">
        <v>0</v>
      </c>
      <c r="ES326">
        <v>0</v>
      </c>
      <c r="ET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  <c r="FC326">
        <v>0</v>
      </c>
      <c r="FD326">
        <v>0</v>
      </c>
      <c r="FG326" t="e">
        <v>#N/A</v>
      </c>
      <c r="FI326" t="e">
        <v>#N/A</v>
      </c>
      <c r="FK326" t="e">
        <v>#N/A</v>
      </c>
      <c r="FM326" t="e">
        <v>#N/A</v>
      </c>
      <c r="FO326" t="e">
        <v>#N/A</v>
      </c>
      <c r="FQ326" t="e">
        <v>#N/A</v>
      </c>
      <c r="FS326" t="e">
        <v>#N/A</v>
      </c>
      <c r="FU326" t="e">
        <v>#N/A</v>
      </c>
      <c r="FW326" t="e">
        <v>#N/A</v>
      </c>
      <c r="FY326" t="e">
        <v>#N/A</v>
      </c>
      <c r="GA326" t="e">
        <v>#N/A</v>
      </c>
      <c r="GC326" t="e">
        <v>#N/A</v>
      </c>
      <c r="GE326" t="e">
        <v>#N/A</v>
      </c>
      <c r="GG326" t="e">
        <v>#N/A</v>
      </c>
      <c r="GI326" t="e">
        <v>#N/A</v>
      </c>
      <c r="GK326" t="e">
        <v>#N/A</v>
      </c>
      <c r="GM326" t="e">
        <v>#N/A</v>
      </c>
      <c r="GO326" t="e">
        <v>#N/A</v>
      </c>
      <c r="GQ326" t="e">
        <v>#N/A</v>
      </c>
      <c r="GS326" t="e">
        <v>#N/A</v>
      </c>
      <c r="GU326" t="e">
        <v>#N/A</v>
      </c>
      <c r="GW326" t="e">
        <v>#N/A</v>
      </c>
      <c r="GY326" t="e">
        <v>#N/A</v>
      </c>
      <c r="HA326" t="e">
        <v>#N/A</v>
      </c>
      <c r="HC326">
        <v>0</v>
      </c>
      <c r="HD326">
        <v>0</v>
      </c>
      <c r="HE326">
        <v>0</v>
      </c>
      <c r="HF326">
        <v>0</v>
      </c>
      <c r="HG326">
        <v>0</v>
      </c>
      <c r="HH326">
        <v>0</v>
      </c>
      <c r="HI326">
        <v>0</v>
      </c>
      <c r="HJ326">
        <v>0</v>
      </c>
      <c r="HM326">
        <v>0</v>
      </c>
      <c r="HN326">
        <v>0</v>
      </c>
      <c r="HO326">
        <v>0</v>
      </c>
      <c r="HP326">
        <v>0</v>
      </c>
      <c r="HQ326">
        <v>0</v>
      </c>
      <c r="HR326">
        <v>0</v>
      </c>
      <c r="HS326">
        <v>0</v>
      </c>
      <c r="HT326">
        <v>0</v>
      </c>
      <c r="HW326">
        <v>0</v>
      </c>
      <c r="HX326">
        <v>0</v>
      </c>
      <c r="HY326">
        <v>0</v>
      </c>
      <c r="HZ326">
        <v>0</v>
      </c>
      <c r="IA326">
        <v>3930.6</v>
      </c>
      <c r="IB326">
        <v>3632.9</v>
      </c>
      <c r="IC326">
        <v>3795.5</v>
      </c>
      <c r="ID326">
        <v>0</v>
      </c>
      <c r="IE326">
        <v>0</v>
      </c>
      <c r="IF326">
        <v>3548.5</v>
      </c>
      <c r="IG326">
        <v>3395.2</v>
      </c>
      <c r="IH326">
        <v>3395.4</v>
      </c>
      <c r="II326">
        <v>3302.3</v>
      </c>
      <c r="IJ326">
        <v>3172.8</v>
      </c>
      <c r="IK326">
        <v>0</v>
      </c>
      <c r="IL326">
        <v>0</v>
      </c>
      <c r="IM326">
        <v>0</v>
      </c>
      <c r="IN326">
        <v>0</v>
      </c>
      <c r="IO326">
        <v>123.4</v>
      </c>
      <c r="IP326">
        <v>405.2</v>
      </c>
      <c r="IQ326">
        <v>418.7</v>
      </c>
      <c r="IR326">
        <v>0</v>
      </c>
      <c r="IS326">
        <v>0</v>
      </c>
      <c r="IT326">
        <v>0</v>
      </c>
      <c r="IU326">
        <v>0</v>
      </c>
      <c r="IV326">
        <v>396</v>
      </c>
      <c r="IW326">
        <v>0</v>
      </c>
      <c r="IX326">
        <v>0</v>
      </c>
      <c r="IZ326">
        <v>0</v>
      </c>
      <c r="JA326">
        <v>65.5</v>
      </c>
      <c r="JB326">
        <v>443.5</v>
      </c>
      <c r="JC326">
        <v>0</v>
      </c>
      <c r="JD326">
        <v>0</v>
      </c>
      <c r="JE326">
        <v>0</v>
      </c>
      <c r="JF326">
        <v>0</v>
      </c>
      <c r="JG326">
        <v>0</v>
      </c>
      <c r="JH326">
        <v>0</v>
      </c>
      <c r="JI326">
        <v>0</v>
      </c>
      <c r="JJ326">
        <v>0</v>
      </c>
      <c r="JK326">
        <v>0</v>
      </c>
      <c r="JL326">
        <v>0</v>
      </c>
      <c r="JM326">
        <v>0</v>
      </c>
      <c r="JN326">
        <v>0</v>
      </c>
      <c r="JO326">
        <v>0</v>
      </c>
      <c r="JP326">
        <v>0</v>
      </c>
      <c r="JQ326">
        <v>0</v>
      </c>
      <c r="JR326">
        <v>0</v>
      </c>
      <c r="JS326">
        <v>0</v>
      </c>
      <c r="JT326">
        <v>0</v>
      </c>
      <c r="JU326">
        <v>0</v>
      </c>
      <c r="JV326">
        <v>0</v>
      </c>
      <c r="JW326">
        <v>0</v>
      </c>
      <c r="JX326">
        <v>0</v>
      </c>
      <c r="JY326">
        <v>0</v>
      </c>
      <c r="JZ326">
        <v>0</v>
      </c>
      <c r="KA326">
        <v>0</v>
      </c>
      <c r="KB326">
        <v>0</v>
      </c>
      <c r="KC326">
        <v>0</v>
      </c>
      <c r="KD326">
        <v>0</v>
      </c>
      <c r="KE326">
        <v>0</v>
      </c>
      <c r="KF326">
        <v>0</v>
      </c>
      <c r="KI326">
        <v>344.6</v>
      </c>
      <c r="KJ326">
        <v>350.8</v>
      </c>
      <c r="KK326">
        <v>22.1</v>
      </c>
      <c r="KL326">
        <v>379.3</v>
      </c>
      <c r="KM326">
        <v>241.4</v>
      </c>
      <c r="KN326">
        <v>0</v>
      </c>
      <c r="KO326">
        <v>0</v>
      </c>
      <c r="KP326">
        <v>57.3</v>
      </c>
      <c r="KQ326">
        <v>224.4</v>
      </c>
      <c r="KR326">
        <v>338.3</v>
      </c>
      <c r="KS326">
        <v>215.8</v>
      </c>
      <c r="KT326">
        <v>40.700000000000003</v>
      </c>
      <c r="KW326">
        <v>2154.5</v>
      </c>
      <c r="KX326">
        <v>1255.7</v>
      </c>
      <c r="KY326">
        <v>1630.1</v>
      </c>
      <c r="KZ326">
        <v>1246.9000000000001</v>
      </c>
      <c r="LB326">
        <v>78.099999999999994</v>
      </c>
      <c r="LC326">
        <v>77.7</v>
      </c>
    </row>
    <row r="327" spans="1:315" ht="18" thickBot="1">
      <c r="A327" s="259"/>
      <c r="B327" s="259" t="s">
        <v>480</v>
      </c>
      <c r="C327" s="334" t="s">
        <v>858</v>
      </c>
      <c r="D327" s="282" t="s">
        <v>656</v>
      </c>
      <c r="E327" s="447">
        <v>0</v>
      </c>
      <c r="F327" s="193">
        <v>0</v>
      </c>
      <c r="G327" s="427">
        <v>3413.8</v>
      </c>
      <c r="H327" s="155"/>
      <c r="I327">
        <v>735</v>
      </c>
      <c r="K327">
        <v>1973.1000000000001</v>
      </c>
      <c r="L327" s="4">
        <v>221.60000000000002</v>
      </c>
      <c r="M327" s="4">
        <v>54.9</v>
      </c>
      <c r="N327" s="4">
        <v>1989.7</v>
      </c>
      <c r="P327">
        <v>0</v>
      </c>
      <c r="Q327">
        <v>238.29999999999998</v>
      </c>
      <c r="R327">
        <v>0</v>
      </c>
      <c r="S327">
        <v>0</v>
      </c>
      <c r="T327">
        <v>368.5</v>
      </c>
      <c r="W327">
        <v>720.3</v>
      </c>
      <c r="X327">
        <v>1411.5</v>
      </c>
      <c r="Y327">
        <v>96.5</v>
      </c>
      <c r="AA327">
        <v>859.6</v>
      </c>
      <c r="AB327">
        <v>1577.6000000000001</v>
      </c>
      <c r="AE327">
        <v>1330</v>
      </c>
      <c r="AF327">
        <v>1025.5</v>
      </c>
      <c r="AH327">
        <v>509.9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1349.3</v>
      </c>
      <c r="AO327">
        <v>786.40000000000009</v>
      </c>
      <c r="AP327">
        <v>0</v>
      </c>
      <c r="AQ327">
        <v>68.3</v>
      </c>
      <c r="AR327">
        <v>234.9</v>
      </c>
      <c r="AS327">
        <v>600.40000000000009</v>
      </c>
      <c r="AU327">
        <v>985.69999999999993</v>
      </c>
      <c r="AW327">
        <v>792</v>
      </c>
      <c r="AX327">
        <v>1988.5</v>
      </c>
      <c r="AZ327">
        <v>763.5</v>
      </c>
      <c r="BA327">
        <v>0</v>
      </c>
      <c r="BB327">
        <v>0</v>
      </c>
      <c r="BC327">
        <v>1935.3</v>
      </c>
      <c r="BD327">
        <v>1006.5</v>
      </c>
      <c r="BE327">
        <v>0</v>
      </c>
      <c r="BF327">
        <v>0</v>
      </c>
      <c r="BG327">
        <v>0</v>
      </c>
      <c r="BH327">
        <v>1662.6</v>
      </c>
      <c r="BJ327">
        <v>0</v>
      </c>
      <c r="BK327">
        <v>0</v>
      </c>
      <c r="BL327">
        <v>1038.9000000000001</v>
      </c>
      <c r="BM327">
        <v>1101</v>
      </c>
      <c r="BO327">
        <v>1276.8000000000002</v>
      </c>
      <c r="BQ327">
        <v>0</v>
      </c>
      <c r="BR327">
        <v>270.7</v>
      </c>
      <c r="BS327">
        <v>230.5</v>
      </c>
      <c r="BT327">
        <v>472.3</v>
      </c>
      <c r="BU327">
        <v>537.29999999999995</v>
      </c>
      <c r="BV327">
        <v>346.3</v>
      </c>
      <c r="BW327">
        <v>386.2</v>
      </c>
      <c r="BX327">
        <v>767</v>
      </c>
      <c r="BY327">
        <v>757.2</v>
      </c>
      <c r="BZ327">
        <v>1037.2</v>
      </c>
      <c r="CA327">
        <v>1227.0999999999999</v>
      </c>
      <c r="CB327">
        <v>1232.0999999999999</v>
      </c>
      <c r="CC327">
        <v>1701.5</v>
      </c>
      <c r="CD327">
        <v>0</v>
      </c>
      <c r="CG327">
        <v>1385.3</v>
      </c>
      <c r="CJ327">
        <v>1630.2999999999997</v>
      </c>
      <c r="CM327">
        <v>1184.2</v>
      </c>
      <c r="CO327">
        <v>1248.0999999999999</v>
      </c>
      <c r="CQ327">
        <v>1435.3</v>
      </c>
      <c r="CR327">
        <v>798.2</v>
      </c>
      <c r="CS327">
        <v>923.8</v>
      </c>
      <c r="CT327">
        <v>0</v>
      </c>
      <c r="CU327">
        <v>0</v>
      </c>
      <c r="CV327">
        <v>0</v>
      </c>
      <c r="CW327">
        <v>0</v>
      </c>
      <c r="CX327">
        <v>163.69999999999999</v>
      </c>
      <c r="CY327">
        <v>0</v>
      </c>
      <c r="CZ327">
        <v>0</v>
      </c>
      <c r="DA327">
        <v>0</v>
      </c>
      <c r="DB327">
        <v>0</v>
      </c>
      <c r="DC327">
        <v>0</v>
      </c>
      <c r="DD327">
        <v>0</v>
      </c>
      <c r="DE327">
        <v>0</v>
      </c>
      <c r="DI327">
        <v>0</v>
      </c>
      <c r="EC327">
        <v>0</v>
      </c>
      <c r="ED327">
        <v>0</v>
      </c>
      <c r="EE327">
        <v>0</v>
      </c>
      <c r="EF327">
        <v>0</v>
      </c>
      <c r="EG327">
        <v>0</v>
      </c>
      <c r="EH327">
        <v>0</v>
      </c>
      <c r="EI327">
        <v>0</v>
      </c>
      <c r="EJ327">
        <v>0</v>
      </c>
      <c r="EM327">
        <v>0</v>
      </c>
      <c r="EN327">
        <v>0</v>
      </c>
      <c r="EO327">
        <v>0</v>
      </c>
      <c r="EP327">
        <v>0</v>
      </c>
      <c r="EQ327">
        <v>0</v>
      </c>
      <c r="ER327">
        <v>0</v>
      </c>
      <c r="ES327">
        <v>0</v>
      </c>
      <c r="ET327">
        <v>0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0</v>
      </c>
      <c r="FD327">
        <v>0</v>
      </c>
      <c r="FG327" t="e">
        <v>#N/A</v>
      </c>
      <c r="FI327" t="e">
        <v>#N/A</v>
      </c>
      <c r="FK327" t="e">
        <v>#N/A</v>
      </c>
      <c r="FM327" t="e">
        <v>#N/A</v>
      </c>
      <c r="FO327" t="e">
        <v>#N/A</v>
      </c>
      <c r="FQ327" t="e">
        <v>#N/A</v>
      </c>
      <c r="FS327" t="e">
        <v>#N/A</v>
      </c>
      <c r="FU327" t="e">
        <v>#N/A</v>
      </c>
      <c r="FW327" t="e">
        <v>#N/A</v>
      </c>
      <c r="FY327" t="e">
        <v>#N/A</v>
      </c>
      <c r="GA327" t="e">
        <v>#N/A</v>
      </c>
      <c r="GC327" t="e">
        <v>#N/A</v>
      </c>
      <c r="GE327" t="e">
        <v>#N/A</v>
      </c>
      <c r="GG327" t="e">
        <v>#N/A</v>
      </c>
      <c r="GI327" t="e">
        <v>#N/A</v>
      </c>
      <c r="GK327" t="e">
        <v>#N/A</v>
      </c>
      <c r="GM327" t="e">
        <v>#N/A</v>
      </c>
      <c r="GO327" t="e">
        <v>#N/A</v>
      </c>
      <c r="GQ327" t="e">
        <v>#N/A</v>
      </c>
      <c r="GS327" t="e">
        <v>#N/A</v>
      </c>
      <c r="GU327" t="e">
        <v>#N/A</v>
      </c>
      <c r="GW327" t="e">
        <v>#N/A</v>
      </c>
      <c r="GY327" t="e">
        <v>#N/A</v>
      </c>
      <c r="HA327" t="e">
        <v>#N/A</v>
      </c>
      <c r="HC327">
        <v>0</v>
      </c>
      <c r="HD327">
        <v>0</v>
      </c>
      <c r="HE327">
        <v>0</v>
      </c>
      <c r="HF327">
        <v>0</v>
      </c>
      <c r="HG327">
        <v>0</v>
      </c>
      <c r="HH327">
        <v>0</v>
      </c>
      <c r="HI327">
        <v>0</v>
      </c>
      <c r="HJ327">
        <v>0</v>
      </c>
      <c r="HM327">
        <v>0</v>
      </c>
      <c r="HN327">
        <v>0</v>
      </c>
      <c r="HO327">
        <v>0</v>
      </c>
      <c r="HP327">
        <v>0</v>
      </c>
      <c r="HQ327">
        <v>0</v>
      </c>
      <c r="HR327">
        <v>0</v>
      </c>
      <c r="HS327">
        <v>0</v>
      </c>
      <c r="HT327">
        <v>0</v>
      </c>
      <c r="HW327">
        <v>0</v>
      </c>
      <c r="HX327">
        <v>0</v>
      </c>
      <c r="HY327">
        <v>0</v>
      </c>
      <c r="HZ327">
        <v>0</v>
      </c>
      <c r="IA327">
        <v>3930.6</v>
      </c>
      <c r="IB327">
        <v>3632.9</v>
      </c>
      <c r="IC327">
        <v>3795.5</v>
      </c>
      <c r="ID327">
        <v>0</v>
      </c>
      <c r="IE327">
        <v>0</v>
      </c>
      <c r="IF327">
        <v>3548.5</v>
      </c>
      <c r="IG327">
        <v>3395.2</v>
      </c>
      <c r="IH327">
        <v>3395.4</v>
      </c>
      <c r="II327">
        <v>3302.3</v>
      </c>
      <c r="IJ327">
        <v>3172.8</v>
      </c>
      <c r="IK327">
        <v>0</v>
      </c>
      <c r="IL327">
        <v>0</v>
      </c>
      <c r="IM327">
        <v>0</v>
      </c>
      <c r="IN327">
        <v>0</v>
      </c>
      <c r="IO327">
        <v>123.4</v>
      </c>
      <c r="IP327">
        <v>405.2</v>
      </c>
      <c r="IQ327">
        <v>418.7</v>
      </c>
      <c r="IR327">
        <v>0</v>
      </c>
      <c r="IS327">
        <v>0</v>
      </c>
      <c r="IT327">
        <v>0</v>
      </c>
      <c r="IU327">
        <v>0</v>
      </c>
      <c r="IV327">
        <v>396</v>
      </c>
      <c r="IW327">
        <v>0</v>
      </c>
      <c r="IX327">
        <v>0</v>
      </c>
      <c r="IZ327">
        <v>0</v>
      </c>
      <c r="JA327">
        <v>65.5</v>
      </c>
      <c r="JB327">
        <v>443.5</v>
      </c>
      <c r="JC327">
        <v>0</v>
      </c>
      <c r="JD327">
        <v>0</v>
      </c>
      <c r="JE327">
        <v>0</v>
      </c>
      <c r="JF327">
        <v>0</v>
      </c>
      <c r="JG327">
        <v>0</v>
      </c>
      <c r="JH327">
        <v>0</v>
      </c>
      <c r="JI327">
        <v>0</v>
      </c>
      <c r="JJ327">
        <v>0</v>
      </c>
      <c r="JK327">
        <v>0</v>
      </c>
      <c r="JL327">
        <v>0</v>
      </c>
      <c r="JM327">
        <v>0</v>
      </c>
      <c r="JN327">
        <v>0</v>
      </c>
      <c r="JO327">
        <v>0</v>
      </c>
      <c r="JP327">
        <v>0</v>
      </c>
      <c r="JQ327">
        <v>0</v>
      </c>
      <c r="JR327">
        <v>0</v>
      </c>
      <c r="JS327">
        <v>0</v>
      </c>
      <c r="JT327">
        <v>0</v>
      </c>
      <c r="JU327">
        <v>0</v>
      </c>
      <c r="JV327">
        <v>0</v>
      </c>
      <c r="JW327">
        <v>0</v>
      </c>
      <c r="JX327">
        <v>0</v>
      </c>
      <c r="JY327">
        <v>0</v>
      </c>
      <c r="JZ327">
        <v>0</v>
      </c>
      <c r="KA327">
        <v>0</v>
      </c>
      <c r="KB327">
        <v>0</v>
      </c>
      <c r="KC327">
        <v>0</v>
      </c>
      <c r="KD327">
        <v>0</v>
      </c>
      <c r="KE327">
        <v>0</v>
      </c>
      <c r="KF327">
        <v>0</v>
      </c>
      <c r="KI327">
        <v>344.6</v>
      </c>
      <c r="KJ327">
        <v>350.8</v>
      </c>
      <c r="KK327">
        <v>22.1</v>
      </c>
      <c r="KL327">
        <v>379.3</v>
      </c>
      <c r="KM327">
        <v>241.4</v>
      </c>
      <c r="KN327">
        <v>0</v>
      </c>
      <c r="KO327">
        <v>0</v>
      </c>
      <c r="KP327">
        <v>57.3</v>
      </c>
      <c r="KQ327">
        <v>224.4</v>
      </c>
      <c r="KR327">
        <v>338.3</v>
      </c>
      <c r="KS327">
        <v>215.8</v>
      </c>
      <c r="KT327">
        <v>40.700000000000003</v>
      </c>
      <c r="KW327">
        <v>2154.5</v>
      </c>
      <c r="KX327">
        <v>1255.7</v>
      </c>
      <c r="KY327">
        <v>1630.1</v>
      </c>
      <c r="KZ327">
        <v>1246.9000000000001</v>
      </c>
      <c r="LB327">
        <v>78.099999999999994</v>
      </c>
      <c r="LC327">
        <v>77.7</v>
      </c>
    </row>
    <row r="328" spans="1:315" ht="18.600000000000001" thickTop="1" thickBot="1">
      <c r="A328" s="253"/>
      <c r="B328" s="253" t="s">
        <v>595</v>
      </c>
      <c r="C328" s="233" t="s">
        <v>859</v>
      </c>
      <c r="D328" s="290" t="s">
        <v>656</v>
      </c>
      <c r="E328" s="450">
        <v>0</v>
      </c>
      <c r="F328" s="202">
        <v>0</v>
      </c>
      <c r="G328" s="427">
        <v>3413.8</v>
      </c>
      <c r="H328" s="155"/>
      <c r="I328">
        <v>735</v>
      </c>
      <c r="K328">
        <v>1973.1000000000001</v>
      </c>
      <c r="L328" s="4">
        <v>221.60000000000002</v>
      </c>
      <c r="M328" s="4">
        <v>54.9</v>
      </c>
      <c r="N328" s="4">
        <v>1989.7</v>
      </c>
      <c r="P328">
        <v>0</v>
      </c>
      <c r="Q328">
        <v>238.29999999999998</v>
      </c>
      <c r="R328">
        <v>0</v>
      </c>
      <c r="S328">
        <v>0</v>
      </c>
      <c r="T328">
        <v>368.5</v>
      </c>
      <c r="W328">
        <v>720.3</v>
      </c>
      <c r="X328">
        <v>1411.5</v>
      </c>
      <c r="Y328">
        <v>96.5</v>
      </c>
      <c r="AA328">
        <v>859.6</v>
      </c>
      <c r="AB328">
        <v>1577.6000000000001</v>
      </c>
      <c r="AE328">
        <v>1330</v>
      </c>
      <c r="AF328">
        <v>1025.5</v>
      </c>
      <c r="AH328">
        <v>509.9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1349.3</v>
      </c>
      <c r="AO328">
        <v>786.40000000000009</v>
      </c>
      <c r="AP328">
        <v>0</v>
      </c>
      <c r="AQ328">
        <v>68.3</v>
      </c>
      <c r="AR328">
        <v>234.9</v>
      </c>
      <c r="AS328">
        <v>600.40000000000009</v>
      </c>
      <c r="AU328">
        <v>985.69999999999993</v>
      </c>
      <c r="AW328">
        <v>792</v>
      </c>
      <c r="AX328">
        <v>1988.5</v>
      </c>
      <c r="AZ328">
        <v>763.5</v>
      </c>
      <c r="BA328">
        <v>0</v>
      </c>
      <c r="BB328">
        <v>0</v>
      </c>
      <c r="BC328">
        <v>1935.3</v>
      </c>
      <c r="BD328">
        <v>1006.5</v>
      </c>
      <c r="BE328">
        <v>0</v>
      </c>
      <c r="BF328">
        <v>0</v>
      </c>
      <c r="BG328">
        <v>0</v>
      </c>
      <c r="BH328">
        <v>1662.6</v>
      </c>
      <c r="BJ328">
        <v>0</v>
      </c>
      <c r="BK328">
        <v>0</v>
      </c>
      <c r="BL328">
        <v>1038.9000000000001</v>
      </c>
      <c r="BM328">
        <v>1101</v>
      </c>
      <c r="BO328">
        <v>1276.8000000000002</v>
      </c>
      <c r="BQ328">
        <v>0</v>
      </c>
      <c r="BR328">
        <v>270.7</v>
      </c>
      <c r="BS328">
        <v>230.5</v>
      </c>
      <c r="BT328">
        <v>472.3</v>
      </c>
      <c r="BU328">
        <v>537.29999999999995</v>
      </c>
      <c r="BV328">
        <v>346.3</v>
      </c>
      <c r="BW328">
        <v>386.2</v>
      </c>
      <c r="BX328">
        <v>767</v>
      </c>
      <c r="BY328">
        <v>757.2</v>
      </c>
      <c r="BZ328">
        <v>1037.2</v>
      </c>
      <c r="CA328">
        <v>1227.0999999999999</v>
      </c>
      <c r="CB328">
        <v>1232.0999999999999</v>
      </c>
      <c r="CC328">
        <v>1701.5</v>
      </c>
      <c r="CD328">
        <v>0</v>
      </c>
      <c r="CG328">
        <v>1385.3</v>
      </c>
      <c r="CJ328">
        <v>1630.2999999999997</v>
      </c>
      <c r="CM328">
        <v>1184.2</v>
      </c>
      <c r="CO328">
        <v>1248.0999999999999</v>
      </c>
      <c r="CQ328">
        <v>1435.3</v>
      </c>
      <c r="CR328">
        <v>798.2</v>
      </c>
      <c r="CS328">
        <v>923.8</v>
      </c>
      <c r="CT328">
        <v>0</v>
      </c>
      <c r="CU328">
        <v>0</v>
      </c>
      <c r="CV328">
        <v>0</v>
      </c>
      <c r="CW328">
        <v>0</v>
      </c>
      <c r="CX328">
        <v>163.69999999999999</v>
      </c>
      <c r="CY328">
        <v>0</v>
      </c>
      <c r="CZ328">
        <v>0</v>
      </c>
      <c r="DA328">
        <v>0</v>
      </c>
      <c r="DB328">
        <v>0</v>
      </c>
      <c r="DC328">
        <v>0</v>
      </c>
      <c r="DD328">
        <v>0</v>
      </c>
      <c r="DE328">
        <v>0</v>
      </c>
      <c r="DI328">
        <v>0</v>
      </c>
      <c r="EC328">
        <v>0</v>
      </c>
      <c r="ED328">
        <v>0</v>
      </c>
      <c r="EE328">
        <v>0</v>
      </c>
      <c r="EF328">
        <v>0</v>
      </c>
      <c r="EG328">
        <v>0</v>
      </c>
      <c r="EH328">
        <v>0</v>
      </c>
      <c r="EI328">
        <v>0</v>
      </c>
      <c r="EJ328">
        <v>0</v>
      </c>
      <c r="EM328">
        <v>0</v>
      </c>
      <c r="EN328">
        <v>0</v>
      </c>
      <c r="EO328">
        <v>0</v>
      </c>
      <c r="EP328">
        <v>0</v>
      </c>
      <c r="EQ328">
        <v>0</v>
      </c>
      <c r="ER328">
        <v>0</v>
      </c>
      <c r="ES328">
        <v>0</v>
      </c>
      <c r="ET328">
        <v>0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  <c r="FC328">
        <v>0</v>
      </c>
      <c r="FD328">
        <v>0</v>
      </c>
      <c r="FG328" t="e">
        <v>#N/A</v>
      </c>
      <c r="FI328" t="e">
        <v>#N/A</v>
      </c>
      <c r="FK328" t="e">
        <v>#N/A</v>
      </c>
      <c r="FM328" t="e">
        <v>#N/A</v>
      </c>
      <c r="FO328" t="e">
        <v>#N/A</v>
      </c>
      <c r="FQ328" t="e">
        <v>#N/A</v>
      </c>
      <c r="FS328" t="e">
        <v>#N/A</v>
      </c>
      <c r="FU328" t="e">
        <v>#N/A</v>
      </c>
      <c r="FW328" t="e">
        <v>#N/A</v>
      </c>
      <c r="FY328" t="e">
        <v>#N/A</v>
      </c>
      <c r="GA328" t="e">
        <v>#N/A</v>
      </c>
      <c r="GC328" t="e">
        <v>#N/A</v>
      </c>
      <c r="GE328" t="e">
        <v>#N/A</v>
      </c>
      <c r="GG328" t="e">
        <v>#N/A</v>
      </c>
      <c r="GI328" t="e">
        <v>#N/A</v>
      </c>
      <c r="GK328" t="e">
        <v>#N/A</v>
      </c>
      <c r="GM328" t="e">
        <v>#N/A</v>
      </c>
      <c r="GO328" t="e">
        <v>#N/A</v>
      </c>
      <c r="GQ328" t="e">
        <v>#N/A</v>
      </c>
      <c r="GS328" t="e">
        <v>#N/A</v>
      </c>
      <c r="GU328" t="e">
        <v>#N/A</v>
      </c>
      <c r="GW328" t="e">
        <v>#N/A</v>
      </c>
      <c r="GY328" t="e">
        <v>#N/A</v>
      </c>
      <c r="HA328" t="e">
        <v>#N/A</v>
      </c>
      <c r="HC328">
        <v>0</v>
      </c>
      <c r="HD328">
        <v>0</v>
      </c>
      <c r="HE328">
        <v>0</v>
      </c>
      <c r="HF328">
        <v>0</v>
      </c>
      <c r="HG328">
        <v>0</v>
      </c>
      <c r="HH328">
        <v>0</v>
      </c>
      <c r="HI328">
        <v>0</v>
      </c>
      <c r="HJ328">
        <v>0</v>
      </c>
      <c r="HM328">
        <v>0</v>
      </c>
      <c r="HN328">
        <v>0</v>
      </c>
      <c r="HO328">
        <v>0</v>
      </c>
      <c r="HP328">
        <v>0</v>
      </c>
      <c r="HQ328">
        <v>0</v>
      </c>
      <c r="HR328">
        <v>0</v>
      </c>
      <c r="HS328">
        <v>0</v>
      </c>
      <c r="HT328">
        <v>0</v>
      </c>
      <c r="HW328">
        <v>0</v>
      </c>
      <c r="HX328">
        <v>0</v>
      </c>
      <c r="HY328">
        <v>0</v>
      </c>
      <c r="HZ328">
        <v>0</v>
      </c>
      <c r="IA328">
        <v>3930.6</v>
      </c>
      <c r="IB328">
        <v>3632.9</v>
      </c>
      <c r="IC328">
        <v>3795.5</v>
      </c>
      <c r="ID328">
        <v>0</v>
      </c>
      <c r="IE328">
        <v>0</v>
      </c>
      <c r="IF328">
        <v>3548.5</v>
      </c>
      <c r="IG328">
        <v>3395.2</v>
      </c>
      <c r="IH328">
        <v>3395.4</v>
      </c>
      <c r="II328">
        <v>3302.3</v>
      </c>
      <c r="IJ328">
        <v>3172.8</v>
      </c>
      <c r="IK328">
        <v>0</v>
      </c>
      <c r="IL328">
        <v>0</v>
      </c>
      <c r="IM328">
        <v>0</v>
      </c>
      <c r="IN328">
        <v>0</v>
      </c>
      <c r="IO328">
        <v>123.4</v>
      </c>
      <c r="IP328">
        <v>405.2</v>
      </c>
      <c r="IQ328">
        <v>418.7</v>
      </c>
      <c r="IR328">
        <v>0</v>
      </c>
      <c r="IS328">
        <v>0</v>
      </c>
      <c r="IT328">
        <v>0</v>
      </c>
      <c r="IU328">
        <v>0</v>
      </c>
      <c r="IV328">
        <v>396</v>
      </c>
      <c r="IW328">
        <v>0</v>
      </c>
      <c r="IX328">
        <v>0</v>
      </c>
      <c r="IZ328">
        <v>0</v>
      </c>
      <c r="JA328">
        <v>65.5</v>
      </c>
      <c r="JB328">
        <v>443.5</v>
      </c>
      <c r="JC328">
        <v>0</v>
      </c>
      <c r="JD328">
        <v>0</v>
      </c>
      <c r="JE328">
        <v>0</v>
      </c>
      <c r="JF328">
        <v>0</v>
      </c>
      <c r="JG328">
        <v>0</v>
      </c>
      <c r="JH328">
        <v>0</v>
      </c>
      <c r="JI328">
        <v>0</v>
      </c>
      <c r="JJ328">
        <v>0</v>
      </c>
      <c r="JK328">
        <v>0</v>
      </c>
      <c r="JL328">
        <v>0</v>
      </c>
      <c r="JM328">
        <v>0</v>
      </c>
      <c r="JN328">
        <v>0</v>
      </c>
      <c r="JO328">
        <v>0</v>
      </c>
      <c r="JP328">
        <v>0</v>
      </c>
      <c r="JQ328">
        <v>0</v>
      </c>
      <c r="JR328">
        <v>0</v>
      </c>
      <c r="JS328">
        <v>0</v>
      </c>
      <c r="JT328">
        <v>0</v>
      </c>
      <c r="JU328">
        <v>0</v>
      </c>
      <c r="JV328">
        <v>0</v>
      </c>
      <c r="JW328">
        <v>0</v>
      </c>
      <c r="JX328">
        <v>0</v>
      </c>
      <c r="JY328">
        <v>0</v>
      </c>
      <c r="JZ328">
        <v>0</v>
      </c>
      <c r="KA328">
        <v>0</v>
      </c>
      <c r="KB328">
        <v>0</v>
      </c>
      <c r="KC328">
        <v>0</v>
      </c>
      <c r="KD328">
        <v>0</v>
      </c>
      <c r="KE328">
        <v>0</v>
      </c>
      <c r="KF328">
        <v>0</v>
      </c>
      <c r="KI328">
        <v>344.6</v>
      </c>
      <c r="KJ328">
        <v>350.8</v>
      </c>
      <c r="KK328">
        <v>22.1</v>
      </c>
      <c r="KL328">
        <v>379.3</v>
      </c>
      <c r="KM328">
        <v>241.4</v>
      </c>
      <c r="KN328">
        <v>0</v>
      </c>
      <c r="KO328">
        <v>0</v>
      </c>
      <c r="KP328">
        <v>57.3</v>
      </c>
      <c r="KQ328">
        <v>224.4</v>
      </c>
      <c r="KR328">
        <v>338.3</v>
      </c>
      <c r="KS328">
        <v>215.8</v>
      </c>
      <c r="KT328">
        <v>40.700000000000003</v>
      </c>
      <c r="KW328">
        <v>2154.5</v>
      </c>
      <c r="KX328">
        <v>1255.7</v>
      </c>
      <c r="KY328">
        <v>1630.1</v>
      </c>
      <c r="KZ328">
        <v>1246.9000000000001</v>
      </c>
      <c r="LB328">
        <v>78.099999999999994</v>
      </c>
      <c r="LC328">
        <v>77.7</v>
      </c>
    </row>
    <row r="329" spans="1:315" ht="18" thickBot="1">
      <c r="A329" s="185"/>
      <c r="B329" s="185" t="s">
        <v>596</v>
      </c>
      <c r="C329" s="230" t="s">
        <v>860</v>
      </c>
      <c r="D329" s="281" t="s">
        <v>656</v>
      </c>
      <c r="E329" s="443">
        <v>0</v>
      </c>
      <c r="F329" s="191">
        <v>0</v>
      </c>
      <c r="G329" s="427">
        <v>3413.8</v>
      </c>
      <c r="H329" s="155"/>
      <c r="I329">
        <v>735</v>
      </c>
      <c r="K329">
        <v>1973.1000000000001</v>
      </c>
      <c r="L329" s="4">
        <v>221.60000000000002</v>
      </c>
      <c r="M329" s="4">
        <v>54.9</v>
      </c>
      <c r="N329" s="4">
        <v>1989.7</v>
      </c>
      <c r="P329">
        <v>0</v>
      </c>
      <c r="Q329">
        <v>238.29999999999998</v>
      </c>
      <c r="R329">
        <v>0</v>
      </c>
      <c r="S329">
        <v>0</v>
      </c>
      <c r="T329">
        <v>368.5</v>
      </c>
      <c r="W329">
        <v>720.3</v>
      </c>
      <c r="X329">
        <v>1411.5</v>
      </c>
      <c r="Y329">
        <v>96.5</v>
      </c>
      <c r="AA329">
        <v>859.6</v>
      </c>
      <c r="AB329">
        <v>1577.6000000000001</v>
      </c>
      <c r="AE329">
        <v>1330</v>
      </c>
      <c r="AF329">
        <v>1025.5</v>
      </c>
      <c r="AH329">
        <v>509.9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1349.3</v>
      </c>
      <c r="AO329">
        <v>786.40000000000009</v>
      </c>
      <c r="AP329">
        <v>0</v>
      </c>
      <c r="AQ329">
        <v>68.3</v>
      </c>
      <c r="AR329">
        <v>234.9</v>
      </c>
      <c r="AS329">
        <v>600.40000000000009</v>
      </c>
      <c r="AU329">
        <v>985.69999999999993</v>
      </c>
      <c r="AW329">
        <v>792</v>
      </c>
      <c r="AX329">
        <v>1988.5</v>
      </c>
      <c r="AZ329">
        <v>763.5</v>
      </c>
      <c r="BA329">
        <v>0</v>
      </c>
      <c r="BB329">
        <v>0</v>
      </c>
      <c r="BC329">
        <v>1935.3</v>
      </c>
      <c r="BD329">
        <v>1006.5</v>
      </c>
      <c r="BE329">
        <v>0</v>
      </c>
      <c r="BF329">
        <v>0</v>
      </c>
      <c r="BG329">
        <v>0</v>
      </c>
      <c r="BH329">
        <v>1662.6</v>
      </c>
      <c r="BJ329">
        <v>0</v>
      </c>
      <c r="BK329">
        <v>0</v>
      </c>
      <c r="BL329">
        <v>1038.9000000000001</v>
      </c>
      <c r="BM329">
        <v>1101</v>
      </c>
      <c r="BO329">
        <v>1276.8000000000002</v>
      </c>
      <c r="BQ329">
        <v>0</v>
      </c>
      <c r="BR329">
        <v>270.7</v>
      </c>
      <c r="BS329">
        <v>230.5</v>
      </c>
      <c r="BT329">
        <v>472.3</v>
      </c>
      <c r="BU329">
        <v>537.29999999999995</v>
      </c>
      <c r="BV329">
        <v>346.3</v>
      </c>
      <c r="BW329">
        <v>386.2</v>
      </c>
      <c r="BX329">
        <v>767</v>
      </c>
      <c r="BY329">
        <v>757.2</v>
      </c>
      <c r="BZ329">
        <v>1037.2</v>
      </c>
      <c r="CA329">
        <v>1227.0999999999999</v>
      </c>
      <c r="CB329">
        <v>1232.0999999999999</v>
      </c>
      <c r="CC329">
        <v>1701.5</v>
      </c>
      <c r="CD329">
        <v>0</v>
      </c>
      <c r="CG329">
        <v>1385.3</v>
      </c>
      <c r="CJ329">
        <v>1630.2999999999997</v>
      </c>
      <c r="CM329">
        <v>1184.2</v>
      </c>
      <c r="CO329">
        <v>1248.0999999999999</v>
      </c>
      <c r="CQ329">
        <v>1435.3</v>
      </c>
      <c r="CR329">
        <v>798.2</v>
      </c>
      <c r="CS329">
        <v>923.8</v>
      </c>
      <c r="CT329">
        <v>0</v>
      </c>
      <c r="CU329">
        <v>0</v>
      </c>
      <c r="CV329">
        <v>0</v>
      </c>
      <c r="CW329">
        <v>0</v>
      </c>
      <c r="CX329">
        <v>163.69999999999999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I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  <c r="FD329">
        <v>0</v>
      </c>
      <c r="FG329" t="e">
        <v>#N/A</v>
      </c>
      <c r="FI329" t="e">
        <v>#N/A</v>
      </c>
      <c r="FK329" t="e">
        <v>#N/A</v>
      </c>
      <c r="FM329" t="e">
        <v>#N/A</v>
      </c>
      <c r="FO329" t="e">
        <v>#N/A</v>
      </c>
      <c r="FQ329" t="e">
        <v>#N/A</v>
      </c>
      <c r="FS329" t="e">
        <v>#N/A</v>
      </c>
      <c r="FU329" t="e">
        <v>#N/A</v>
      </c>
      <c r="FW329" t="e">
        <v>#N/A</v>
      </c>
      <c r="FY329" t="e">
        <v>#N/A</v>
      </c>
      <c r="GA329" t="e">
        <v>#N/A</v>
      </c>
      <c r="GC329" t="e">
        <v>#N/A</v>
      </c>
      <c r="GE329" t="e">
        <v>#N/A</v>
      </c>
      <c r="GG329" t="e">
        <v>#N/A</v>
      </c>
      <c r="GI329" t="e">
        <v>#N/A</v>
      </c>
      <c r="GK329" t="e">
        <v>#N/A</v>
      </c>
      <c r="GM329" t="e">
        <v>#N/A</v>
      </c>
      <c r="GO329" t="e">
        <v>#N/A</v>
      </c>
      <c r="GQ329" t="e">
        <v>#N/A</v>
      </c>
      <c r="GS329" t="e">
        <v>#N/A</v>
      </c>
      <c r="GU329" t="e">
        <v>#N/A</v>
      </c>
      <c r="GW329" t="e">
        <v>#N/A</v>
      </c>
      <c r="GY329" t="e">
        <v>#N/A</v>
      </c>
      <c r="HA329" t="e">
        <v>#N/A</v>
      </c>
      <c r="HC329">
        <v>0</v>
      </c>
      <c r="HD329">
        <v>0</v>
      </c>
      <c r="HE329">
        <v>0</v>
      </c>
      <c r="HF329">
        <v>0</v>
      </c>
      <c r="HG329">
        <v>0</v>
      </c>
      <c r="HH329">
        <v>0</v>
      </c>
      <c r="HI329">
        <v>0</v>
      </c>
      <c r="HJ329">
        <v>0</v>
      </c>
      <c r="HM329">
        <v>0</v>
      </c>
      <c r="HN329">
        <v>0</v>
      </c>
      <c r="HO329">
        <v>0</v>
      </c>
      <c r="HP329">
        <v>0</v>
      </c>
      <c r="HQ329">
        <v>0</v>
      </c>
      <c r="HR329">
        <v>0</v>
      </c>
      <c r="HS329">
        <v>0</v>
      </c>
      <c r="HT329">
        <v>0</v>
      </c>
      <c r="HW329">
        <v>0</v>
      </c>
      <c r="HX329">
        <v>0</v>
      </c>
      <c r="HY329">
        <v>0</v>
      </c>
      <c r="HZ329">
        <v>0</v>
      </c>
      <c r="IA329">
        <v>3930.6</v>
      </c>
      <c r="IB329">
        <v>3632.9</v>
      </c>
      <c r="IC329">
        <v>3795.5</v>
      </c>
      <c r="ID329">
        <v>0</v>
      </c>
      <c r="IE329">
        <v>0</v>
      </c>
      <c r="IF329">
        <v>3548.5</v>
      </c>
      <c r="IG329">
        <v>3395.2</v>
      </c>
      <c r="IH329">
        <v>3395.4</v>
      </c>
      <c r="II329">
        <v>3302.3</v>
      </c>
      <c r="IJ329">
        <v>3172.8</v>
      </c>
      <c r="IK329">
        <v>0</v>
      </c>
      <c r="IL329">
        <v>0</v>
      </c>
      <c r="IM329">
        <v>0</v>
      </c>
      <c r="IN329">
        <v>0</v>
      </c>
      <c r="IO329">
        <v>123.4</v>
      </c>
      <c r="IP329">
        <v>405.2</v>
      </c>
      <c r="IQ329">
        <v>418.7</v>
      </c>
      <c r="IR329">
        <v>0</v>
      </c>
      <c r="IS329">
        <v>0</v>
      </c>
      <c r="IT329">
        <v>0</v>
      </c>
      <c r="IU329">
        <v>0</v>
      </c>
      <c r="IV329">
        <v>396</v>
      </c>
      <c r="IW329">
        <v>0</v>
      </c>
      <c r="IX329">
        <v>0</v>
      </c>
      <c r="IZ329">
        <v>0</v>
      </c>
      <c r="JA329">
        <v>65.5</v>
      </c>
      <c r="JB329">
        <v>443.5</v>
      </c>
      <c r="JC329">
        <v>0</v>
      </c>
      <c r="JD329">
        <v>0</v>
      </c>
      <c r="JE329">
        <v>0</v>
      </c>
      <c r="JF329">
        <v>0</v>
      </c>
      <c r="JG329">
        <v>0</v>
      </c>
      <c r="JH329">
        <v>0</v>
      </c>
      <c r="JI329">
        <v>0</v>
      </c>
      <c r="JJ329">
        <v>0</v>
      </c>
      <c r="JK329">
        <v>0</v>
      </c>
      <c r="JL329">
        <v>0</v>
      </c>
      <c r="JM329">
        <v>0</v>
      </c>
      <c r="JN329">
        <v>0</v>
      </c>
      <c r="JO329">
        <v>0</v>
      </c>
      <c r="JP329">
        <v>0</v>
      </c>
      <c r="JQ329">
        <v>0</v>
      </c>
      <c r="JR329">
        <v>0</v>
      </c>
      <c r="JS329">
        <v>0</v>
      </c>
      <c r="JT329">
        <v>0</v>
      </c>
      <c r="JU329">
        <v>0</v>
      </c>
      <c r="JV329">
        <v>0</v>
      </c>
      <c r="JW329">
        <v>0</v>
      </c>
      <c r="JX329">
        <v>0</v>
      </c>
      <c r="JY329">
        <v>0</v>
      </c>
      <c r="JZ329">
        <v>0</v>
      </c>
      <c r="KA329">
        <v>0</v>
      </c>
      <c r="KB329">
        <v>0</v>
      </c>
      <c r="KC329">
        <v>0</v>
      </c>
      <c r="KD329">
        <v>0</v>
      </c>
      <c r="KE329">
        <v>0</v>
      </c>
      <c r="KF329">
        <v>0</v>
      </c>
      <c r="KI329">
        <v>344.6</v>
      </c>
      <c r="KJ329">
        <v>350.8</v>
      </c>
      <c r="KK329">
        <v>22.1</v>
      </c>
      <c r="KL329">
        <v>379.3</v>
      </c>
      <c r="KM329">
        <v>241.4</v>
      </c>
      <c r="KN329">
        <v>0</v>
      </c>
      <c r="KO329">
        <v>0</v>
      </c>
      <c r="KP329">
        <v>57.3</v>
      </c>
      <c r="KQ329">
        <v>224.4</v>
      </c>
      <c r="KR329">
        <v>338.3</v>
      </c>
      <c r="KS329">
        <v>215.8</v>
      </c>
      <c r="KT329">
        <v>40.700000000000003</v>
      </c>
      <c r="KW329">
        <v>2154.5</v>
      </c>
      <c r="KX329">
        <v>1255.7</v>
      </c>
      <c r="KY329">
        <v>1630.1</v>
      </c>
      <c r="KZ329">
        <v>1246.9000000000001</v>
      </c>
      <c r="LB329">
        <v>78.099999999999994</v>
      </c>
      <c r="LC329">
        <v>77.7</v>
      </c>
    </row>
    <row r="330" spans="1:315" ht="18" thickBot="1">
      <c r="A330" s="186"/>
      <c r="B330" s="186" t="s">
        <v>597</v>
      </c>
      <c r="C330" s="334" t="s">
        <v>861</v>
      </c>
      <c r="D330" s="282" t="s">
        <v>656</v>
      </c>
      <c r="E330" s="447">
        <v>0</v>
      </c>
      <c r="F330" s="193">
        <v>0</v>
      </c>
      <c r="G330" s="427">
        <v>3413.8</v>
      </c>
      <c r="H330" s="155"/>
      <c r="I330">
        <v>735</v>
      </c>
      <c r="K330">
        <v>1973.1000000000001</v>
      </c>
      <c r="L330" s="4">
        <v>221.60000000000002</v>
      </c>
      <c r="M330" s="4">
        <v>54.9</v>
      </c>
      <c r="N330" s="4">
        <v>1989.7</v>
      </c>
      <c r="P330">
        <v>0</v>
      </c>
      <c r="Q330">
        <v>238.29999999999998</v>
      </c>
      <c r="R330">
        <v>0</v>
      </c>
      <c r="S330">
        <v>0</v>
      </c>
      <c r="T330">
        <v>368.5</v>
      </c>
      <c r="W330">
        <v>720.3</v>
      </c>
      <c r="X330">
        <v>1411.5</v>
      </c>
      <c r="Y330">
        <v>96.5</v>
      </c>
      <c r="AA330">
        <v>859.6</v>
      </c>
      <c r="AB330">
        <v>1577.6000000000001</v>
      </c>
      <c r="AE330">
        <v>1330</v>
      </c>
      <c r="AF330">
        <v>1025.5</v>
      </c>
      <c r="AH330">
        <v>509.9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1349.3</v>
      </c>
      <c r="AO330">
        <v>786.40000000000009</v>
      </c>
      <c r="AP330">
        <v>0</v>
      </c>
      <c r="AQ330">
        <v>68.3</v>
      </c>
      <c r="AR330">
        <v>234.9</v>
      </c>
      <c r="AS330">
        <v>600.40000000000009</v>
      </c>
      <c r="AU330">
        <v>985.69999999999993</v>
      </c>
      <c r="AW330">
        <v>792</v>
      </c>
      <c r="AX330">
        <v>1988.5</v>
      </c>
      <c r="AZ330">
        <v>763.5</v>
      </c>
      <c r="BA330">
        <v>0</v>
      </c>
      <c r="BB330">
        <v>0</v>
      </c>
      <c r="BC330">
        <v>1935.3</v>
      </c>
      <c r="BD330">
        <v>1006.5</v>
      </c>
      <c r="BE330">
        <v>0</v>
      </c>
      <c r="BF330">
        <v>0</v>
      </c>
      <c r="BG330">
        <v>0</v>
      </c>
      <c r="BH330">
        <v>1662.6</v>
      </c>
      <c r="BJ330">
        <v>0</v>
      </c>
      <c r="BK330">
        <v>0</v>
      </c>
      <c r="BL330">
        <v>1038.9000000000001</v>
      </c>
      <c r="BM330">
        <v>1101</v>
      </c>
      <c r="BO330">
        <v>1276.8000000000002</v>
      </c>
      <c r="BQ330">
        <v>0</v>
      </c>
      <c r="BR330">
        <v>270.7</v>
      </c>
      <c r="BS330">
        <v>230.5</v>
      </c>
      <c r="BT330">
        <v>472.3</v>
      </c>
      <c r="BU330">
        <v>537.29999999999995</v>
      </c>
      <c r="BV330">
        <v>346.3</v>
      </c>
      <c r="BW330">
        <v>386.2</v>
      </c>
      <c r="BX330">
        <v>767</v>
      </c>
      <c r="BY330">
        <v>757.2</v>
      </c>
      <c r="BZ330">
        <v>1037.2</v>
      </c>
      <c r="CA330">
        <v>1227.0999999999999</v>
      </c>
      <c r="CB330">
        <v>1232.0999999999999</v>
      </c>
      <c r="CC330">
        <v>1701.5</v>
      </c>
      <c r="CD330">
        <v>0</v>
      </c>
      <c r="CG330">
        <v>1385.3</v>
      </c>
      <c r="CJ330">
        <v>1630.2999999999997</v>
      </c>
      <c r="CM330">
        <v>1184.2</v>
      </c>
      <c r="CO330">
        <v>1248.0999999999999</v>
      </c>
      <c r="CQ330">
        <v>1435.3</v>
      </c>
      <c r="CR330">
        <v>798.2</v>
      </c>
      <c r="CS330">
        <v>923.8</v>
      </c>
      <c r="CT330">
        <v>0</v>
      </c>
      <c r="CU330">
        <v>0</v>
      </c>
      <c r="CV330">
        <v>0</v>
      </c>
      <c r="CW330">
        <v>0</v>
      </c>
      <c r="CX330">
        <v>163.69999999999999</v>
      </c>
      <c r="CY330">
        <v>0</v>
      </c>
      <c r="CZ330">
        <v>0</v>
      </c>
      <c r="DA330">
        <v>0</v>
      </c>
      <c r="DB330">
        <v>0</v>
      </c>
      <c r="DC330">
        <v>0</v>
      </c>
      <c r="DD330">
        <v>0</v>
      </c>
      <c r="DE330">
        <v>0</v>
      </c>
      <c r="DI330">
        <v>0</v>
      </c>
      <c r="EC330">
        <v>0</v>
      </c>
      <c r="ED330">
        <v>0</v>
      </c>
      <c r="EE330">
        <v>0</v>
      </c>
      <c r="EF330">
        <v>0</v>
      </c>
      <c r="EG330">
        <v>0</v>
      </c>
      <c r="EH330">
        <v>0</v>
      </c>
      <c r="EI330">
        <v>0</v>
      </c>
      <c r="EJ330">
        <v>0</v>
      </c>
      <c r="EM330">
        <v>0</v>
      </c>
      <c r="EN330">
        <v>0</v>
      </c>
      <c r="EO330">
        <v>0</v>
      </c>
      <c r="EP330">
        <v>0</v>
      </c>
      <c r="EQ330">
        <v>0</v>
      </c>
      <c r="ER330">
        <v>0</v>
      </c>
      <c r="ES330">
        <v>0</v>
      </c>
      <c r="ET330">
        <v>0</v>
      </c>
      <c r="EW330">
        <v>0</v>
      </c>
      <c r="EX330">
        <v>0</v>
      </c>
      <c r="EY330">
        <v>0</v>
      </c>
      <c r="EZ330">
        <v>0</v>
      </c>
      <c r="FA330">
        <v>0</v>
      </c>
      <c r="FB330">
        <v>0</v>
      </c>
      <c r="FC330">
        <v>0</v>
      </c>
      <c r="FD330">
        <v>0</v>
      </c>
      <c r="FG330" t="e">
        <v>#N/A</v>
      </c>
      <c r="FI330" t="e">
        <v>#N/A</v>
      </c>
      <c r="FK330" t="e">
        <v>#N/A</v>
      </c>
      <c r="FM330" t="e">
        <v>#N/A</v>
      </c>
      <c r="FO330" t="e">
        <v>#N/A</v>
      </c>
      <c r="FQ330" t="e">
        <v>#N/A</v>
      </c>
      <c r="FS330" t="e">
        <v>#N/A</v>
      </c>
      <c r="FU330" t="e">
        <v>#N/A</v>
      </c>
      <c r="FW330" t="e">
        <v>#N/A</v>
      </c>
      <c r="FY330" t="e">
        <v>#N/A</v>
      </c>
      <c r="GA330" t="e">
        <v>#N/A</v>
      </c>
      <c r="GC330" t="e">
        <v>#N/A</v>
      </c>
      <c r="GE330" t="e">
        <v>#N/A</v>
      </c>
      <c r="GG330" t="e">
        <v>#N/A</v>
      </c>
      <c r="GI330" t="e">
        <v>#N/A</v>
      </c>
      <c r="GK330" t="e">
        <v>#N/A</v>
      </c>
      <c r="GM330" t="e">
        <v>#N/A</v>
      </c>
      <c r="GO330" t="e">
        <v>#N/A</v>
      </c>
      <c r="GQ330" t="e">
        <v>#N/A</v>
      </c>
      <c r="GS330" t="e">
        <v>#N/A</v>
      </c>
      <c r="GU330" t="e">
        <v>#N/A</v>
      </c>
      <c r="GW330" t="e">
        <v>#N/A</v>
      </c>
      <c r="GY330" t="e">
        <v>#N/A</v>
      </c>
      <c r="HA330" t="e">
        <v>#N/A</v>
      </c>
      <c r="HC330">
        <v>0</v>
      </c>
      <c r="HD330">
        <v>0</v>
      </c>
      <c r="HE330">
        <v>0</v>
      </c>
      <c r="HF330">
        <v>0</v>
      </c>
      <c r="HG330">
        <v>0</v>
      </c>
      <c r="HH330">
        <v>0</v>
      </c>
      <c r="HI330">
        <v>0</v>
      </c>
      <c r="HJ330">
        <v>0</v>
      </c>
      <c r="HM330">
        <v>0</v>
      </c>
      <c r="HN330">
        <v>0</v>
      </c>
      <c r="HO330">
        <v>0</v>
      </c>
      <c r="HP330">
        <v>0</v>
      </c>
      <c r="HQ330">
        <v>0</v>
      </c>
      <c r="HR330">
        <v>0</v>
      </c>
      <c r="HS330">
        <v>0</v>
      </c>
      <c r="HT330">
        <v>0</v>
      </c>
      <c r="HW330">
        <v>0</v>
      </c>
      <c r="HX330">
        <v>0</v>
      </c>
      <c r="HY330">
        <v>0</v>
      </c>
      <c r="HZ330">
        <v>0</v>
      </c>
      <c r="IA330">
        <v>3930.6</v>
      </c>
      <c r="IB330">
        <v>3632.9</v>
      </c>
      <c r="IC330">
        <v>3795.5</v>
      </c>
      <c r="ID330">
        <v>0</v>
      </c>
      <c r="IE330">
        <v>0</v>
      </c>
      <c r="IF330">
        <v>3548.5</v>
      </c>
      <c r="IG330">
        <v>3395.2</v>
      </c>
      <c r="IH330">
        <v>3395.4</v>
      </c>
      <c r="II330">
        <v>3302.3</v>
      </c>
      <c r="IJ330">
        <v>3172.8</v>
      </c>
      <c r="IK330">
        <v>0</v>
      </c>
      <c r="IL330">
        <v>0</v>
      </c>
      <c r="IM330">
        <v>0</v>
      </c>
      <c r="IN330">
        <v>0</v>
      </c>
      <c r="IO330">
        <v>123.4</v>
      </c>
      <c r="IP330">
        <v>405.2</v>
      </c>
      <c r="IQ330">
        <v>418.7</v>
      </c>
      <c r="IR330">
        <v>0</v>
      </c>
      <c r="IS330">
        <v>0</v>
      </c>
      <c r="IT330">
        <v>0</v>
      </c>
      <c r="IU330">
        <v>0</v>
      </c>
      <c r="IV330">
        <v>396</v>
      </c>
      <c r="IW330">
        <v>0</v>
      </c>
      <c r="IX330">
        <v>0</v>
      </c>
      <c r="IZ330">
        <v>0</v>
      </c>
      <c r="JA330">
        <v>65.5</v>
      </c>
      <c r="JB330">
        <v>443.5</v>
      </c>
      <c r="JC330">
        <v>0</v>
      </c>
      <c r="JD330">
        <v>0</v>
      </c>
      <c r="JE330">
        <v>0</v>
      </c>
      <c r="JF330">
        <v>0</v>
      </c>
      <c r="JG330">
        <v>0</v>
      </c>
      <c r="JH330">
        <v>0</v>
      </c>
      <c r="JI330">
        <v>0</v>
      </c>
      <c r="JJ330">
        <v>0</v>
      </c>
      <c r="JK330">
        <v>0</v>
      </c>
      <c r="JL330">
        <v>0</v>
      </c>
      <c r="JM330">
        <v>0</v>
      </c>
      <c r="JN330">
        <v>0</v>
      </c>
      <c r="JO330">
        <v>0</v>
      </c>
      <c r="JP330">
        <v>0</v>
      </c>
      <c r="JQ330">
        <v>0</v>
      </c>
      <c r="JR330">
        <v>0</v>
      </c>
      <c r="JS330">
        <v>0</v>
      </c>
      <c r="JT330">
        <v>0</v>
      </c>
      <c r="JU330">
        <v>0</v>
      </c>
      <c r="JV330">
        <v>0</v>
      </c>
      <c r="JW330">
        <v>0</v>
      </c>
      <c r="JX330">
        <v>0</v>
      </c>
      <c r="JY330">
        <v>0</v>
      </c>
      <c r="JZ330">
        <v>0</v>
      </c>
      <c r="KA330">
        <v>0</v>
      </c>
      <c r="KB330">
        <v>0</v>
      </c>
      <c r="KC330">
        <v>0</v>
      </c>
      <c r="KD330">
        <v>0</v>
      </c>
      <c r="KE330">
        <v>0</v>
      </c>
      <c r="KF330">
        <v>0</v>
      </c>
      <c r="KI330">
        <v>344.6</v>
      </c>
      <c r="KJ330">
        <v>350.8</v>
      </c>
      <c r="KK330">
        <v>22.1</v>
      </c>
      <c r="KL330">
        <v>379.3</v>
      </c>
      <c r="KM330">
        <v>241.4</v>
      </c>
      <c r="KN330">
        <v>0</v>
      </c>
      <c r="KO330">
        <v>0</v>
      </c>
      <c r="KP330">
        <v>57.3</v>
      </c>
      <c r="KQ330">
        <v>224.4</v>
      </c>
      <c r="KR330">
        <v>338.3</v>
      </c>
      <c r="KS330">
        <v>215.8</v>
      </c>
      <c r="KT330">
        <v>40.700000000000003</v>
      </c>
      <c r="KW330">
        <v>2154.5</v>
      </c>
      <c r="KX330">
        <v>1255.7</v>
      </c>
      <c r="KY330">
        <v>1630.1</v>
      </c>
      <c r="KZ330">
        <v>1246.9000000000001</v>
      </c>
      <c r="LB330">
        <v>78.099999999999994</v>
      </c>
      <c r="LC330">
        <v>77.7</v>
      </c>
    </row>
    <row r="331" spans="1:315" ht="18.600000000000001" thickTop="1" thickBot="1">
      <c r="A331" s="256"/>
      <c r="B331" s="256" t="s">
        <v>598</v>
      </c>
      <c r="C331" s="337" t="s">
        <v>862</v>
      </c>
      <c r="D331" s="293" t="s">
        <v>781</v>
      </c>
      <c r="E331" s="451">
        <v>0</v>
      </c>
      <c r="F331" s="208">
        <v>0</v>
      </c>
      <c r="G331" s="427">
        <v>3413.8</v>
      </c>
      <c r="H331" s="155"/>
      <c r="I331">
        <v>735</v>
      </c>
      <c r="K331">
        <v>1973.1000000000001</v>
      </c>
      <c r="L331" s="4">
        <v>221.60000000000002</v>
      </c>
      <c r="M331" s="4">
        <v>54.9</v>
      </c>
      <c r="N331" s="4">
        <v>1989.7</v>
      </c>
      <c r="P331">
        <v>0</v>
      </c>
      <c r="Q331">
        <v>238.29999999999998</v>
      </c>
      <c r="R331">
        <v>0</v>
      </c>
      <c r="S331">
        <v>0</v>
      </c>
      <c r="T331">
        <v>368.5</v>
      </c>
      <c r="W331">
        <v>720.3</v>
      </c>
      <c r="X331">
        <v>1411.5</v>
      </c>
      <c r="Y331">
        <v>96.5</v>
      </c>
      <c r="AA331">
        <v>859.6</v>
      </c>
      <c r="AB331">
        <v>1577.6000000000001</v>
      </c>
      <c r="AE331">
        <v>1330</v>
      </c>
      <c r="AF331">
        <v>1025.5</v>
      </c>
      <c r="AH331">
        <v>509.9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1349.3</v>
      </c>
      <c r="AO331">
        <v>786.40000000000009</v>
      </c>
      <c r="AP331">
        <v>0</v>
      </c>
      <c r="AQ331">
        <v>68.3</v>
      </c>
      <c r="AR331">
        <v>234.9</v>
      </c>
      <c r="AS331">
        <v>600.40000000000009</v>
      </c>
      <c r="AU331">
        <v>985.69999999999993</v>
      </c>
      <c r="AW331">
        <v>792</v>
      </c>
      <c r="AX331">
        <v>1988.5</v>
      </c>
      <c r="AZ331">
        <v>763.5</v>
      </c>
      <c r="BA331">
        <v>0</v>
      </c>
      <c r="BB331">
        <v>0</v>
      </c>
      <c r="BC331">
        <v>1935.3</v>
      </c>
      <c r="BD331">
        <v>1006.5</v>
      </c>
      <c r="BE331">
        <v>0</v>
      </c>
      <c r="BF331">
        <v>0</v>
      </c>
      <c r="BG331">
        <v>0</v>
      </c>
      <c r="BH331">
        <v>1662.6</v>
      </c>
      <c r="BJ331">
        <v>0</v>
      </c>
      <c r="BK331">
        <v>0</v>
      </c>
      <c r="BL331">
        <v>1038.9000000000001</v>
      </c>
      <c r="BM331">
        <v>1101</v>
      </c>
      <c r="BO331">
        <v>1276.8000000000002</v>
      </c>
      <c r="BQ331">
        <v>0</v>
      </c>
      <c r="BR331">
        <v>270.7</v>
      </c>
      <c r="BS331">
        <v>230.5</v>
      </c>
      <c r="BT331">
        <v>472.3</v>
      </c>
      <c r="BU331">
        <v>537.29999999999995</v>
      </c>
      <c r="BV331">
        <v>346.3</v>
      </c>
      <c r="BW331">
        <v>386.2</v>
      </c>
      <c r="BX331">
        <v>767</v>
      </c>
      <c r="BY331">
        <v>757.2</v>
      </c>
      <c r="BZ331">
        <v>1037.2</v>
      </c>
      <c r="CA331">
        <v>1227.0999999999999</v>
      </c>
      <c r="CB331">
        <v>1232.0999999999999</v>
      </c>
      <c r="CC331">
        <v>1701.5</v>
      </c>
      <c r="CD331">
        <v>0</v>
      </c>
      <c r="CG331">
        <v>1385.3</v>
      </c>
      <c r="CJ331">
        <v>1630.2999999999997</v>
      </c>
      <c r="CM331">
        <v>1184.2</v>
      </c>
      <c r="CO331">
        <v>1248.0999999999999</v>
      </c>
      <c r="CQ331">
        <v>1435.3</v>
      </c>
      <c r="CR331">
        <v>798.2</v>
      </c>
      <c r="CS331">
        <v>923.8</v>
      </c>
      <c r="CT331">
        <v>0</v>
      </c>
      <c r="CU331">
        <v>0</v>
      </c>
      <c r="CV331">
        <v>0</v>
      </c>
      <c r="CW331">
        <v>0</v>
      </c>
      <c r="CX331">
        <v>163.69999999999999</v>
      </c>
      <c r="CY331">
        <v>0</v>
      </c>
      <c r="CZ331">
        <v>0</v>
      </c>
      <c r="DA331">
        <v>0</v>
      </c>
      <c r="DB331">
        <v>0</v>
      </c>
      <c r="DC331">
        <v>0</v>
      </c>
      <c r="DD331">
        <v>0</v>
      </c>
      <c r="DE331">
        <v>0</v>
      </c>
      <c r="DI331">
        <v>0</v>
      </c>
      <c r="EC331">
        <v>0</v>
      </c>
      <c r="ED331">
        <v>0</v>
      </c>
      <c r="EE331">
        <v>0</v>
      </c>
      <c r="EF331">
        <v>0</v>
      </c>
      <c r="EG331">
        <v>0</v>
      </c>
      <c r="EH331">
        <v>0</v>
      </c>
      <c r="EI331">
        <v>0</v>
      </c>
      <c r="EJ331">
        <v>0</v>
      </c>
      <c r="EM331">
        <v>0</v>
      </c>
      <c r="EN331">
        <v>0</v>
      </c>
      <c r="EO331">
        <v>0</v>
      </c>
      <c r="EP331">
        <v>0</v>
      </c>
      <c r="EQ331">
        <v>0</v>
      </c>
      <c r="ER331">
        <v>0</v>
      </c>
      <c r="ES331">
        <v>0</v>
      </c>
      <c r="ET331">
        <v>0</v>
      </c>
      <c r="EW331">
        <v>0</v>
      </c>
      <c r="EX331">
        <v>0</v>
      </c>
      <c r="EY331">
        <v>0</v>
      </c>
      <c r="EZ331">
        <v>0</v>
      </c>
      <c r="FA331">
        <v>0</v>
      </c>
      <c r="FB331">
        <v>0</v>
      </c>
      <c r="FC331">
        <v>0</v>
      </c>
      <c r="FD331">
        <v>0</v>
      </c>
      <c r="FG331" t="e">
        <v>#N/A</v>
      </c>
      <c r="FI331" t="e">
        <v>#N/A</v>
      </c>
      <c r="FK331" t="e">
        <v>#N/A</v>
      </c>
      <c r="FM331" t="e">
        <v>#N/A</v>
      </c>
      <c r="FO331" t="e">
        <v>#N/A</v>
      </c>
      <c r="FQ331" t="e">
        <v>#N/A</v>
      </c>
      <c r="FS331" t="e">
        <v>#N/A</v>
      </c>
      <c r="FU331" t="e">
        <v>#N/A</v>
      </c>
      <c r="FW331" t="e">
        <v>#N/A</v>
      </c>
      <c r="FY331" t="e">
        <v>#N/A</v>
      </c>
      <c r="GA331" t="e">
        <v>#N/A</v>
      </c>
      <c r="GC331" t="e">
        <v>#N/A</v>
      </c>
      <c r="GE331" t="e">
        <v>#N/A</v>
      </c>
      <c r="GG331" t="e">
        <v>#N/A</v>
      </c>
      <c r="GI331" t="e">
        <v>#N/A</v>
      </c>
      <c r="GK331" t="e">
        <v>#N/A</v>
      </c>
      <c r="GM331" t="e">
        <v>#N/A</v>
      </c>
      <c r="GO331" t="e">
        <v>#N/A</v>
      </c>
      <c r="GQ331" t="e">
        <v>#N/A</v>
      </c>
      <c r="GS331" t="e">
        <v>#N/A</v>
      </c>
      <c r="GU331" t="e">
        <v>#N/A</v>
      </c>
      <c r="GW331" t="e">
        <v>#N/A</v>
      </c>
      <c r="GY331" t="e">
        <v>#N/A</v>
      </c>
      <c r="HA331" t="e">
        <v>#N/A</v>
      </c>
      <c r="HC331">
        <v>0</v>
      </c>
      <c r="HD331">
        <v>0</v>
      </c>
      <c r="HE331">
        <v>0</v>
      </c>
      <c r="HF331">
        <v>0</v>
      </c>
      <c r="HG331">
        <v>0</v>
      </c>
      <c r="HH331">
        <v>0</v>
      </c>
      <c r="HI331">
        <v>0</v>
      </c>
      <c r="HJ331">
        <v>0</v>
      </c>
      <c r="HM331">
        <v>0</v>
      </c>
      <c r="HN331">
        <v>0</v>
      </c>
      <c r="HO331">
        <v>0</v>
      </c>
      <c r="HP331">
        <v>0</v>
      </c>
      <c r="HQ331">
        <v>0</v>
      </c>
      <c r="HR331">
        <v>0</v>
      </c>
      <c r="HS331">
        <v>0</v>
      </c>
      <c r="HT331">
        <v>0</v>
      </c>
      <c r="HW331">
        <v>0</v>
      </c>
      <c r="HX331">
        <v>0</v>
      </c>
      <c r="HY331">
        <v>0</v>
      </c>
      <c r="HZ331">
        <v>0</v>
      </c>
      <c r="IA331">
        <v>3930.6</v>
      </c>
      <c r="IB331">
        <v>3632.9</v>
      </c>
      <c r="IC331">
        <v>3795.5</v>
      </c>
      <c r="ID331">
        <v>0</v>
      </c>
      <c r="IE331">
        <v>0</v>
      </c>
      <c r="IF331">
        <v>3548.5</v>
      </c>
      <c r="IG331">
        <v>3395.2</v>
      </c>
      <c r="IH331">
        <v>3395.4</v>
      </c>
      <c r="II331">
        <v>3302.3</v>
      </c>
      <c r="IJ331">
        <v>3172.8</v>
      </c>
      <c r="IK331">
        <v>0</v>
      </c>
      <c r="IL331">
        <v>0</v>
      </c>
      <c r="IM331">
        <v>0</v>
      </c>
      <c r="IN331">
        <v>0</v>
      </c>
      <c r="IO331">
        <v>123.4</v>
      </c>
      <c r="IP331">
        <v>405.2</v>
      </c>
      <c r="IQ331">
        <v>418.7</v>
      </c>
      <c r="IR331">
        <v>0</v>
      </c>
      <c r="IS331">
        <v>0</v>
      </c>
      <c r="IT331">
        <v>0</v>
      </c>
      <c r="IU331">
        <v>0</v>
      </c>
      <c r="IV331">
        <v>396</v>
      </c>
      <c r="IW331">
        <v>0</v>
      </c>
      <c r="IX331">
        <v>0</v>
      </c>
      <c r="IZ331">
        <v>0</v>
      </c>
      <c r="JA331">
        <v>65.5</v>
      </c>
      <c r="JB331">
        <v>443.5</v>
      </c>
      <c r="JC331">
        <v>0</v>
      </c>
      <c r="JD331">
        <v>0</v>
      </c>
      <c r="JE331">
        <v>0</v>
      </c>
      <c r="JF331">
        <v>0</v>
      </c>
      <c r="JG331">
        <v>0</v>
      </c>
      <c r="JH331">
        <v>0</v>
      </c>
      <c r="JI331">
        <v>0</v>
      </c>
      <c r="JJ331">
        <v>0</v>
      </c>
      <c r="JK331">
        <v>0</v>
      </c>
      <c r="JL331">
        <v>0</v>
      </c>
      <c r="JM331">
        <v>0</v>
      </c>
      <c r="JN331">
        <v>0</v>
      </c>
      <c r="JO331">
        <v>0</v>
      </c>
      <c r="JP331">
        <v>0</v>
      </c>
      <c r="JQ331">
        <v>0</v>
      </c>
      <c r="JR331">
        <v>0</v>
      </c>
      <c r="JS331">
        <v>0</v>
      </c>
      <c r="JT331">
        <v>0</v>
      </c>
      <c r="JU331">
        <v>0</v>
      </c>
      <c r="JV331">
        <v>0</v>
      </c>
      <c r="JW331">
        <v>0</v>
      </c>
      <c r="JX331">
        <v>0</v>
      </c>
      <c r="JY331">
        <v>0</v>
      </c>
      <c r="JZ331">
        <v>0</v>
      </c>
      <c r="KA331">
        <v>0</v>
      </c>
      <c r="KB331">
        <v>0</v>
      </c>
      <c r="KC331">
        <v>0</v>
      </c>
      <c r="KD331">
        <v>0</v>
      </c>
      <c r="KE331">
        <v>0</v>
      </c>
      <c r="KF331">
        <v>0</v>
      </c>
      <c r="KI331">
        <v>344.6</v>
      </c>
      <c r="KJ331">
        <v>350.8</v>
      </c>
      <c r="KK331">
        <v>22.1</v>
      </c>
      <c r="KL331">
        <v>379.3</v>
      </c>
      <c r="KM331">
        <v>241.4</v>
      </c>
      <c r="KN331">
        <v>0</v>
      </c>
      <c r="KO331">
        <v>0</v>
      </c>
      <c r="KP331">
        <v>57.3</v>
      </c>
      <c r="KQ331">
        <v>224.4</v>
      </c>
      <c r="KR331">
        <v>338.3</v>
      </c>
      <c r="KS331">
        <v>215.8</v>
      </c>
      <c r="KT331">
        <v>40.700000000000003</v>
      </c>
      <c r="KW331">
        <v>2154.5</v>
      </c>
      <c r="KX331">
        <v>1255.7</v>
      </c>
      <c r="KY331">
        <v>1630.1</v>
      </c>
      <c r="KZ331">
        <v>1246.9000000000001</v>
      </c>
      <c r="LB331">
        <v>78.099999999999994</v>
      </c>
      <c r="LC331">
        <v>77.7</v>
      </c>
    </row>
    <row r="332" spans="1:315" ht="18.600000000000001" thickTop="1" thickBot="1">
      <c r="A332" s="181"/>
      <c r="B332" s="181"/>
      <c r="C332" s="333" t="s">
        <v>661</v>
      </c>
      <c r="D332" s="287"/>
      <c r="E332" s="442">
        <v>0</v>
      </c>
      <c r="F332" s="190">
        <v>0</v>
      </c>
      <c r="G332" s="427">
        <v>3413.8</v>
      </c>
      <c r="H332" s="155"/>
      <c r="I332">
        <v>735</v>
      </c>
      <c r="K332">
        <v>1973.1000000000001</v>
      </c>
      <c r="L332" s="4">
        <v>221.60000000000002</v>
      </c>
      <c r="M332" s="4">
        <v>54.9</v>
      </c>
      <c r="N332" s="4">
        <v>1989.7</v>
      </c>
      <c r="P332">
        <v>0</v>
      </c>
      <c r="Q332">
        <v>238.29999999999998</v>
      </c>
      <c r="R332">
        <v>0</v>
      </c>
      <c r="S332">
        <v>0</v>
      </c>
      <c r="T332">
        <v>368.5</v>
      </c>
      <c r="W332">
        <v>720.3</v>
      </c>
      <c r="X332">
        <v>1411.5</v>
      </c>
      <c r="Y332">
        <v>96.5</v>
      </c>
      <c r="AA332">
        <v>859.6</v>
      </c>
      <c r="AB332">
        <v>1577.6000000000001</v>
      </c>
      <c r="AE332">
        <v>1330</v>
      </c>
      <c r="AF332">
        <v>1025.5</v>
      </c>
      <c r="AH332">
        <v>509.9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1349.3</v>
      </c>
      <c r="AO332">
        <v>786.40000000000009</v>
      </c>
      <c r="AP332">
        <v>0</v>
      </c>
      <c r="AQ332">
        <v>68.3</v>
      </c>
      <c r="AR332">
        <v>234.9</v>
      </c>
      <c r="AS332">
        <v>600.40000000000009</v>
      </c>
      <c r="AU332">
        <v>985.69999999999993</v>
      </c>
      <c r="AW332">
        <v>792</v>
      </c>
      <c r="AX332">
        <v>1988.5</v>
      </c>
      <c r="AZ332">
        <v>763.5</v>
      </c>
      <c r="BA332">
        <v>0</v>
      </c>
      <c r="BB332">
        <v>0</v>
      </c>
      <c r="BC332">
        <v>1935.3</v>
      </c>
      <c r="BD332">
        <v>1006.5</v>
      </c>
      <c r="BE332">
        <v>0</v>
      </c>
      <c r="BF332">
        <v>0</v>
      </c>
      <c r="BG332">
        <v>0</v>
      </c>
      <c r="BH332">
        <v>1662.6</v>
      </c>
      <c r="BJ332">
        <v>0</v>
      </c>
      <c r="BK332">
        <v>0</v>
      </c>
      <c r="BL332">
        <v>1038.9000000000001</v>
      </c>
      <c r="BM332">
        <v>1101</v>
      </c>
      <c r="BO332">
        <v>1276.8000000000002</v>
      </c>
      <c r="BQ332">
        <v>0</v>
      </c>
      <c r="BR332">
        <v>270.7</v>
      </c>
      <c r="BS332">
        <v>230.5</v>
      </c>
      <c r="BT332">
        <v>472.3</v>
      </c>
      <c r="BU332">
        <v>537.29999999999995</v>
      </c>
      <c r="BV332">
        <v>346.3</v>
      </c>
      <c r="BW332">
        <v>386.2</v>
      </c>
      <c r="BX332">
        <v>767</v>
      </c>
      <c r="BY332">
        <v>757.2</v>
      </c>
      <c r="BZ332">
        <v>1037.2</v>
      </c>
      <c r="CA332">
        <v>1227.0999999999999</v>
      </c>
      <c r="CB332">
        <v>1232.0999999999999</v>
      </c>
      <c r="CC332">
        <v>1701.5</v>
      </c>
      <c r="CD332">
        <v>0</v>
      </c>
      <c r="CG332">
        <v>1385.3</v>
      </c>
      <c r="CJ332">
        <v>1630.2999999999997</v>
      </c>
      <c r="CM332">
        <v>1184.2</v>
      </c>
      <c r="CO332">
        <v>1248.0999999999999</v>
      </c>
      <c r="CQ332">
        <v>1435.3</v>
      </c>
      <c r="CR332">
        <v>798.2</v>
      </c>
      <c r="CS332">
        <v>923.8</v>
      </c>
      <c r="CT332">
        <v>0</v>
      </c>
      <c r="CU332">
        <v>0</v>
      </c>
      <c r="CV332">
        <v>0</v>
      </c>
      <c r="CW332">
        <v>0</v>
      </c>
      <c r="CX332">
        <v>163.69999999999999</v>
      </c>
      <c r="CY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0</v>
      </c>
      <c r="DI332">
        <v>0</v>
      </c>
      <c r="EC332">
        <v>0</v>
      </c>
      <c r="ED332">
        <v>0</v>
      </c>
      <c r="EE332">
        <v>0</v>
      </c>
      <c r="EF332">
        <v>0</v>
      </c>
      <c r="EG332">
        <v>0</v>
      </c>
      <c r="EH332">
        <v>0</v>
      </c>
      <c r="EI332">
        <v>0</v>
      </c>
      <c r="EJ332">
        <v>0</v>
      </c>
      <c r="EM332">
        <v>0</v>
      </c>
      <c r="EN332">
        <v>0</v>
      </c>
      <c r="EO332">
        <v>0</v>
      </c>
      <c r="EP332">
        <v>0</v>
      </c>
      <c r="EQ332">
        <v>0</v>
      </c>
      <c r="ER332">
        <v>0</v>
      </c>
      <c r="ES332">
        <v>0</v>
      </c>
      <c r="ET332">
        <v>0</v>
      </c>
      <c r="EW332">
        <v>0</v>
      </c>
      <c r="EX332">
        <v>0</v>
      </c>
      <c r="EY332">
        <v>0</v>
      </c>
      <c r="EZ332">
        <v>0</v>
      </c>
      <c r="FA332">
        <v>0</v>
      </c>
      <c r="FB332">
        <v>0</v>
      </c>
      <c r="FC332">
        <v>0</v>
      </c>
      <c r="FD332">
        <v>0</v>
      </c>
      <c r="FG332" t="e">
        <v>#N/A</v>
      </c>
      <c r="FI332" t="e">
        <v>#N/A</v>
      </c>
      <c r="FK332" t="e">
        <v>#N/A</v>
      </c>
      <c r="FM332" t="e">
        <v>#N/A</v>
      </c>
      <c r="FO332" t="e">
        <v>#N/A</v>
      </c>
      <c r="FQ332" t="e">
        <v>#N/A</v>
      </c>
      <c r="FS332" t="e">
        <v>#N/A</v>
      </c>
      <c r="FU332" t="e">
        <v>#N/A</v>
      </c>
      <c r="FW332" t="e">
        <v>#N/A</v>
      </c>
      <c r="FY332" t="e">
        <v>#N/A</v>
      </c>
      <c r="GA332" t="e">
        <v>#N/A</v>
      </c>
      <c r="GC332" t="e">
        <v>#N/A</v>
      </c>
      <c r="GE332" t="e">
        <v>#N/A</v>
      </c>
      <c r="GG332" t="e">
        <v>#N/A</v>
      </c>
      <c r="GI332" t="e">
        <v>#N/A</v>
      </c>
      <c r="GK332" t="e">
        <v>#N/A</v>
      </c>
      <c r="GM332" t="e">
        <v>#N/A</v>
      </c>
      <c r="GO332" t="e">
        <v>#N/A</v>
      </c>
      <c r="GQ332" t="e">
        <v>#N/A</v>
      </c>
      <c r="GS332" t="e">
        <v>#N/A</v>
      </c>
      <c r="GU332" t="e">
        <v>#N/A</v>
      </c>
      <c r="GW332" t="e">
        <v>#N/A</v>
      </c>
      <c r="GY332" t="e">
        <v>#N/A</v>
      </c>
      <c r="HA332" t="e">
        <v>#N/A</v>
      </c>
      <c r="HC332">
        <v>0</v>
      </c>
      <c r="HD332">
        <v>0</v>
      </c>
      <c r="HE332">
        <v>0</v>
      </c>
      <c r="HF332">
        <v>0</v>
      </c>
      <c r="HG332">
        <v>0</v>
      </c>
      <c r="HH332">
        <v>0</v>
      </c>
      <c r="HI332">
        <v>0</v>
      </c>
      <c r="HJ332">
        <v>0</v>
      </c>
      <c r="HM332">
        <v>0</v>
      </c>
      <c r="HN332">
        <v>0</v>
      </c>
      <c r="HO332">
        <v>0</v>
      </c>
      <c r="HP332">
        <v>0</v>
      </c>
      <c r="HQ332">
        <v>0</v>
      </c>
      <c r="HR332">
        <v>0</v>
      </c>
      <c r="HS332">
        <v>0</v>
      </c>
      <c r="HT332">
        <v>0</v>
      </c>
      <c r="HW332">
        <v>0</v>
      </c>
      <c r="HX332">
        <v>0</v>
      </c>
      <c r="HY332">
        <v>0</v>
      </c>
      <c r="HZ332">
        <v>0</v>
      </c>
      <c r="IA332">
        <v>3930.6</v>
      </c>
      <c r="IB332">
        <v>3632.9</v>
      </c>
      <c r="IC332">
        <v>3795.5</v>
      </c>
      <c r="ID332">
        <v>0</v>
      </c>
      <c r="IE332">
        <v>0</v>
      </c>
      <c r="IF332">
        <v>3548.5</v>
      </c>
      <c r="IG332">
        <v>3395.2</v>
      </c>
      <c r="IH332">
        <v>3395.4</v>
      </c>
      <c r="II332">
        <v>3302.3</v>
      </c>
      <c r="IJ332">
        <v>3172.8</v>
      </c>
      <c r="IK332">
        <v>0</v>
      </c>
      <c r="IL332">
        <v>0</v>
      </c>
      <c r="IM332">
        <v>0</v>
      </c>
      <c r="IN332">
        <v>0</v>
      </c>
      <c r="IO332">
        <v>123.4</v>
      </c>
      <c r="IP332">
        <v>405.2</v>
      </c>
      <c r="IQ332">
        <v>418.7</v>
      </c>
      <c r="IR332">
        <v>0</v>
      </c>
      <c r="IS332">
        <v>0</v>
      </c>
      <c r="IT332">
        <v>0</v>
      </c>
      <c r="IU332">
        <v>0</v>
      </c>
      <c r="IV332">
        <v>396</v>
      </c>
      <c r="IW332">
        <v>0</v>
      </c>
      <c r="IX332">
        <v>0</v>
      </c>
      <c r="IZ332">
        <v>0</v>
      </c>
      <c r="JA332">
        <v>65.5</v>
      </c>
      <c r="JB332">
        <v>443.5</v>
      </c>
      <c r="JC332">
        <v>0</v>
      </c>
      <c r="JD332">
        <v>0</v>
      </c>
      <c r="JE332">
        <v>0</v>
      </c>
      <c r="JF332">
        <v>0</v>
      </c>
      <c r="JG332">
        <v>0</v>
      </c>
      <c r="JH332">
        <v>0</v>
      </c>
      <c r="JI332">
        <v>0</v>
      </c>
      <c r="JJ332">
        <v>0</v>
      </c>
      <c r="JK332">
        <v>0</v>
      </c>
      <c r="JL332">
        <v>0</v>
      </c>
      <c r="JM332">
        <v>0</v>
      </c>
      <c r="JN332">
        <v>0</v>
      </c>
      <c r="JO332">
        <v>0</v>
      </c>
      <c r="JP332">
        <v>0</v>
      </c>
      <c r="JQ332">
        <v>0</v>
      </c>
      <c r="JR332">
        <v>0</v>
      </c>
      <c r="JS332">
        <v>0</v>
      </c>
      <c r="JT332">
        <v>0</v>
      </c>
      <c r="JU332">
        <v>0</v>
      </c>
      <c r="JV332">
        <v>0</v>
      </c>
      <c r="JW332">
        <v>0</v>
      </c>
      <c r="JX332">
        <v>0</v>
      </c>
      <c r="JY332">
        <v>0</v>
      </c>
      <c r="JZ332">
        <v>0</v>
      </c>
      <c r="KA332">
        <v>0</v>
      </c>
      <c r="KB332">
        <v>0</v>
      </c>
      <c r="KC332">
        <v>0</v>
      </c>
      <c r="KD332">
        <v>0</v>
      </c>
      <c r="KE332">
        <v>0</v>
      </c>
      <c r="KF332">
        <v>0</v>
      </c>
      <c r="KI332">
        <v>344.6</v>
      </c>
      <c r="KJ332">
        <v>350.8</v>
      </c>
      <c r="KK332">
        <v>22.1</v>
      </c>
      <c r="KL332">
        <v>379.3</v>
      </c>
      <c r="KM332">
        <v>241.4</v>
      </c>
      <c r="KN332">
        <v>0</v>
      </c>
      <c r="KO332">
        <v>0</v>
      </c>
      <c r="KP332">
        <v>57.3</v>
      </c>
      <c r="KQ332">
        <v>224.4</v>
      </c>
      <c r="KR332">
        <v>338.3</v>
      </c>
      <c r="KS332">
        <v>215.8</v>
      </c>
      <c r="KT332">
        <v>40.700000000000003</v>
      </c>
      <c r="KW332">
        <v>2154.5</v>
      </c>
      <c r="KX332">
        <v>1255.7</v>
      </c>
      <c r="KY332">
        <v>1630.1</v>
      </c>
      <c r="KZ332">
        <v>1246.9000000000001</v>
      </c>
      <c r="LB332">
        <v>78.099999999999994</v>
      </c>
      <c r="LC332">
        <v>77.7</v>
      </c>
    </row>
    <row r="333" spans="1:315" ht="18" thickBot="1">
      <c r="A333" s="245"/>
      <c r="B333" s="245"/>
      <c r="C333" s="230" t="s">
        <v>662</v>
      </c>
      <c r="D333" s="281"/>
      <c r="E333" s="443">
        <v>0</v>
      </c>
      <c r="F333" s="191">
        <v>0</v>
      </c>
      <c r="G333" s="427">
        <v>3413.8</v>
      </c>
      <c r="H333" s="155"/>
      <c r="I333">
        <v>735</v>
      </c>
      <c r="K333">
        <v>1973.1000000000001</v>
      </c>
      <c r="L333" s="4">
        <v>221.60000000000002</v>
      </c>
      <c r="M333" s="4">
        <v>54.9</v>
      </c>
      <c r="N333" s="4">
        <v>1989.7</v>
      </c>
      <c r="P333">
        <v>0</v>
      </c>
      <c r="Q333">
        <v>238.29999999999998</v>
      </c>
      <c r="R333">
        <v>0</v>
      </c>
      <c r="S333">
        <v>0</v>
      </c>
      <c r="T333">
        <v>368.5</v>
      </c>
      <c r="W333">
        <v>720.3</v>
      </c>
      <c r="X333">
        <v>1411.5</v>
      </c>
      <c r="Y333">
        <v>96.5</v>
      </c>
      <c r="AA333">
        <v>859.6</v>
      </c>
      <c r="AB333">
        <v>1577.6000000000001</v>
      </c>
      <c r="AE333">
        <v>1330</v>
      </c>
      <c r="AF333">
        <v>1025.5</v>
      </c>
      <c r="AH333">
        <v>509.9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1349.3</v>
      </c>
      <c r="AO333">
        <v>786.40000000000009</v>
      </c>
      <c r="AP333">
        <v>0</v>
      </c>
      <c r="AQ333">
        <v>68.3</v>
      </c>
      <c r="AR333">
        <v>234.9</v>
      </c>
      <c r="AS333">
        <v>600.40000000000009</v>
      </c>
      <c r="AU333">
        <v>985.69999999999993</v>
      </c>
      <c r="AW333">
        <v>792</v>
      </c>
      <c r="AX333">
        <v>1988.5</v>
      </c>
      <c r="AZ333">
        <v>763.5</v>
      </c>
      <c r="BA333">
        <v>0</v>
      </c>
      <c r="BB333">
        <v>0</v>
      </c>
      <c r="BC333">
        <v>1935.3</v>
      </c>
      <c r="BD333">
        <v>1006.5</v>
      </c>
      <c r="BE333">
        <v>0</v>
      </c>
      <c r="BF333">
        <v>0</v>
      </c>
      <c r="BG333">
        <v>0</v>
      </c>
      <c r="BH333">
        <v>1662.6</v>
      </c>
      <c r="BJ333">
        <v>0</v>
      </c>
      <c r="BK333">
        <v>0</v>
      </c>
      <c r="BL333">
        <v>1038.9000000000001</v>
      </c>
      <c r="BM333">
        <v>1101</v>
      </c>
      <c r="BO333">
        <v>1276.8000000000002</v>
      </c>
      <c r="BQ333">
        <v>0</v>
      </c>
      <c r="BR333">
        <v>270.7</v>
      </c>
      <c r="BS333">
        <v>230.5</v>
      </c>
      <c r="BT333">
        <v>472.3</v>
      </c>
      <c r="BU333">
        <v>537.29999999999995</v>
      </c>
      <c r="BV333">
        <v>346.3</v>
      </c>
      <c r="BW333">
        <v>386.2</v>
      </c>
      <c r="BX333">
        <v>767</v>
      </c>
      <c r="BY333">
        <v>757.2</v>
      </c>
      <c r="BZ333">
        <v>1037.2</v>
      </c>
      <c r="CA333">
        <v>1227.0999999999999</v>
      </c>
      <c r="CB333">
        <v>1232.0999999999999</v>
      </c>
      <c r="CC333">
        <v>1701.5</v>
      </c>
      <c r="CD333">
        <v>0</v>
      </c>
      <c r="CG333">
        <v>1385.3</v>
      </c>
      <c r="CJ333">
        <v>1630.2999999999997</v>
      </c>
      <c r="CM333">
        <v>1184.2</v>
      </c>
      <c r="CO333">
        <v>1248.0999999999999</v>
      </c>
      <c r="CQ333">
        <v>1435.3</v>
      </c>
      <c r="CR333">
        <v>798.2</v>
      </c>
      <c r="CS333">
        <v>923.8</v>
      </c>
      <c r="CT333">
        <v>0</v>
      </c>
      <c r="CU333">
        <v>0</v>
      </c>
      <c r="CV333">
        <v>0</v>
      </c>
      <c r="CW333">
        <v>0</v>
      </c>
      <c r="CX333">
        <v>163.69999999999999</v>
      </c>
      <c r="CY333">
        <v>0</v>
      </c>
      <c r="CZ333">
        <v>0</v>
      </c>
      <c r="DA333">
        <v>0</v>
      </c>
      <c r="DB333">
        <v>0</v>
      </c>
      <c r="DC333">
        <v>0</v>
      </c>
      <c r="DD333">
        <v>0</v>
      </c>
      <c r="DE333">
        <v>0</v>
      </c>
      <c r="DI333">
        <v>0</v>
      </c>
      <c r="EC333">
        <v>0</v>
      </c>
      <c r="ED333">
        <v>0</v>
      </c>
      <c r="EE333">
        <v>0</v>
      </c>
      <c r="EF333">
        <v>0</v>
      </c>
      <c r="EG333">
        <v>0</v>
      </c>
      <c r="EH333">
        <v>0</v>
      </c>
      <c r="EI333">
        <v>0</v>
      </c>
      <c r="EJ333">
        <v>0</v>
      </c>
      <c r="EM333">
        <v>0</v>
      </c>
      <c r="EN333">
        <v>0</v>
      </c>
      <c r="EO333">
        <v>0</v>
      </c>
      <c r="EP333">
        <v>0</v>
      </c>
      <c r="EQ333">
        <v>0</v>
      </c>
      <c r="ER333">
        <v>0</v>
      </c>
      <c r="ES333">
        <v>0</v>
      </c>
      <c r="ET333">
        <v>0</v>
      </c>
      <c r="EW333">
        <v>0</v>
      </c>
      <c r="EX333">
        <v>0</v>
      </c>
      <c r="EY333">
        <v>0</v>
      </c>
      <c r="EZ333">
        <v>0</v>
      </c>
      <c r="FA333">
        <v>0</v>
      </c>
      <c r="FB333">
        <v>0</v>
      </c>
      <c r="FC333">
        <v>0</v>
      </c>
      <c r="FD333">
        <v>0</v>
      </c>
      <c r="FG333" t="e">
        <v>#N/A</v>
      </c>
      <c r="FI333" t="e">
        <v>#N/A</v>
      </c>
      <c r="FK333" t="e">
        <v>#N/A</v>
      </c>
      <c r="FM333" t="e">
        <v>#N/A</v>
      </c>
      <c r="FO333" t="e">
        <v>#N/A</v>
      </c>
      <c r="FQ333" t="e">
        <v>#N/A</v>
      </c>
      <c r="FS333" t="e">
        <v>#N/A</v>
      </c>
      <c r="FU333" t="e">
        <v>#N/A</v>
      </c>
      <c r="FW333" t="e">
        <v>#N/A</v>
      </c>
      <c r="FY333" t="e">
        <v>#N/A</v>
      </c>
      <c r="GA333" t="e">
        <v>#N/A</v>
      </c>
      <c r="GC333" t="e">
        <v>#N/A</v>
      </c>
      <c r="GE333" t="e">
        <v>#N/A</v>
      </c>
      <c r="GG333" t="e">
        <v>#N/A</v>
      </c>
      <c r="GI333" t="e">
        <v>#N/A</v>
      </c>
      <c r="GK333" t="e">
        <v>#N/A</v>
      </c>
      <c r="GM333" t="e">
        <v>#N/A</v>
      </c>
      <c r="GO333" t="e">
        <v>#N/A</v>
      </c>
      <c r="GQ333" t="e">
        <v>#N/A</v>
      </c>
      <c r="GS333" t="e">
        <v>#N/A</v>
      </c>
      <c r="GU333" t="e">
        <v>#N/A</v>
      </c>
      <c r="GW333" t="e">
        <v>#N/A</v>
      </c>
      <c r="GY333" t="e">
        <v>#N/A</v>
      </c>
      <c r="HA333" t="e">
        <v>#N/A</v>
      </c>
      <c r="HC333">
        <v>0</v>
      </c>
      <c r="HD333">
        <v>0</v>
      </c>
      <c r="HE333">
        <v>0</v>
      </c>
      <c r="HF333">
        <v>0</v>
      </c>
      <c r="HG333">
        <v>0</v>
      </c>
      <c r="HH333">
        <v>0</v>
      </c>
      <c r="HI333">
        <v>0</v>
      </c>
      <c r="HJ333">
        <v>0</v>
      </c>
      <c r="HM333">
        <v>0</v>
      </c>
      <c r="HN333">
        <v>0</v>
      </c>
      <c r="HO333">
        <v>0</v>
      </c>
      <c r="HP333">
        <v>0</v>
      </c>
      <c r="HQ333">
        <v>0</v>
      </c>
      <c r="HR333">
        <v>0</v>
      </c>
      <c r="HS333">
        <v>0</v>
      </c>
      <c r="HT333">
        <v>0</v>
      </c>
      <c r="HW333">
        <v>0</v>
      </c>
      <c r="HX333">
        <v>0</v>
      </c>
      <c r="HY333">
        <v>0</v>
      </c>
      <c r="HZ333">
        <v>0</v>
      </c>
      <c r="IA333">
        <v>3930.6</v>
      </c>
      <c r="IB333">
        <v>3632.9</v>
      </c>
      <c r="IC333">
        <v>3795.5</v>
      </c>
      <c r="ID333">
        <v>0</v>
      </c>
      <c r="IE333">
        <v>0</v>
      </c>
      <c r="IF333">
        <v>3548.5</v>
      </c>
      <c r="IG333">
        <v>3395.2</v>
      </c>
      <c r="IH333">
        <v>3395.4</v>
      </c>
      <c r="II333">
        <v>3302.3</v>
      </c>
      <c r="IJ333">
        <v>3172.8</v>
      </c>
      <c r="IK333">
        <v>0</v>
      </c>
      <c r="IL333">
        <v>0</v>
      </c>
      <c r="IM333">
        <v>0</v>
      </c>
      <c r="IN333">
        <v>0</v>
      </c>
      <c r="IO333">
        <v>123.4</v>
      </c>
      <c r="IP333">
        <v>405.2</v>
      </c>
      <c r="IQ333">
        <v>418.7</v>
      </c>
      <c r="IR333">
        <v>0</v>
      </c>
      <c r="IS333">
        <v>0</v>
      </c>
      <c r="IT333">
        <v>0</v>
      </c>
      <c r="IU333">
        <v>0</v>
      </c>
      <c r="IV333">
        <v>396</v>
      </c>
      <c r="IW333">
        <v>0</v>
      </c>
      <c r="IX333">
        <v>0</v>
      </c>
      <c r="IZ333">
        <v>0</v>
      </c>
      <c r="JA333">
        <v>65.5</v>
      </c>
      <c r="JB333">
        <v>443.5</v>
      </c>
      <c r="JC333">
        <v>0</v>
      </c>
      <c r="JD333">
        <v>0</v>
      </c>
      <c r="JE333">
        <v>0</v>
      </c>
      <c r="JF333">
        <v>0</v>
      </c>
      <c r="JG333">
        <v>0</v>
      </c>
      <c r="JH333">
        <v>0</v>
      </c>
      <c r="JI333">
        <v>0</v>
      </c>
      <c r="JJ333">
        <v>0</v>
      </c>
      <c r="JK333">
        <v>0</v>
      </c>
      <c r="JL333">
        <v>0</v>
      </c>
      <c r="JM333">
        <v>0</v>
      </c>
      <c r="JN333">
        <v>0</v>
      </c>
      <c r="JO333">
        <v>0</v>
      </c>
      <c r="JP333">
        <v>0</v>
      </c>
      <c r="JQ333">
        <v>0</v>
      </c>
      <c r="JR333">
        <v>0</v>
      </c>
      <c r="JS333">
        <v>0</v>
      </c>
      <c r="JT333">
        <v>0</v>
      </c>
      <c r="JU333">
        <v>0</v>
      </c>
      <c r="JV333">
        <v>0</v>
      </c>
      <c r="JW333">
        <v>0</v>
      </c>
      <c r="JX333">
        <v>0</v>
      </c>
      <c r="JY333">
        <v>0</v>
      </c>
      <c r="JZ333">
        <v>0</v>
      </c>
      <c r="KA333">
        <v>0</v>
      </c>
      <c r="KB333">
        <v>0</v>
      </c>
      <c r="KC333">
        <v>0</v>
      </c>
      <c r="KD333">
        <v>0</v>
      </c>
      <c r="KE333">
        <v>0</v>
      </c>
      <c r="KF333">
        <v>0</v>
      </c>
      <c r="KI333">
        <v>344.6</v>
      </c>
      <c r="KJ333">
        <v>350.8</v>
      </c>
      <c r="KK333">
        <v>22.1</v>
      </c>
      <c r="KL333">
        <v>379.3</v>
      </c>
      <c r="KM333">
        <v>241.4</v>
      </c>
      <c r="KN333">
        <v>0</v>
      </c>
      <c r="KO333">
        <v>0</v>
      </c>
      <c r="KP333">
        <v>57.3</v>
      </c>
      <c r="KQ333">
        <v>224.4</v>
      </c>
      <c r="KR333">
        <v>338.3</v>
      </c>
      <c r="KS333">
        <v>215.8</v>
      </c>
      <c r="KT333">
        <v>40.700000000000003</v>
      </c>
      <c r="KW333">
        <v>2154.5</v>
      </c>
      <c r="KX333">
        <v>1255.7</v>
      </c>
      <c r="KY333">
        <v>1630.1</v>
      </c>
      <c r="KZ333">
        <v>1246.9000000000001</v>
      </c>
      <c r="LB333">
        <v>78.099999999999994</v>
      </c>
      <c r="LC333">
        <v>77.7</v>
      </c>
    </row>
    <row r="334" spans="1:315" ht="18" thickBot="1">
      <c r="A334" s="245"/>
      <c r="B334" s="245"/>
      <c r="C334" s="230" t="s">
        <v>663</v>
      </c>
      <c r="D334" s="281"/>
      <c r="E334" s="443">
        <v>0</v>
      </c>
      <c r="F334" s="191">
        <v>0</v>
      </c>
      <c r="G334" s="427">
        <v>3413.8</v>
      </c>
      <c r="H334" s="155"/>
      <c r="I334">
        <v>735</v>
      </c>
      <c r="K334">
        <v>1973.1000000000001</v>
      </c>
      <c r="L334" s="4">
        <v>221.60000000000002</v>
      </c>
      <c r="M334" s="4">
        <v>54.9</v>
      </c>
      <c r="N334" s="4">
        <v>1989.7</v>
      </c>
      <c r="P334">
        <v>0</v>
      </c>
      <c r="Q334">
        <v>238.29999999999998</v>
      </c>
      <c r="R334">
        <v>0</v>
      </c>
      <c r="S334">
        <v>0</v>
      </c>
      <c r="T334">
        <v>368.5</v>
      </c>
      <c r="W334">
        <v>720.3</v>
      </c>
      <c r="X334">
        <v>1411.5</v>
      </c>
      <c r="Y334">
        <v>96.5</v>
      </c>
      <c r="AA334">
        <v>859.6</v>
      </c>
      <c r="AB334">
        <v>1577.6000000000001</v>
      </c>
      <c r="AE334">
        <v>1330</v>
      </c>
      <c r="AF334">
        <v>1025.5</v>
      </c>
      <c r="AH334">
        <v>509.9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1349.3</v>
      </c>
      <c r="AO334">
        <v>786.40000000000009</v>
      </c>
      <c r="AP334">
        <v>0</v>
      </c>
      <c r="AQ334">
        <v>68.3</v>
      </c>
      <c r="AR334">
        <v>234.9</v>
      </c>
      <c r="AS334">
        <v>600.40000000000009</v>
      </c>
      <c r="AU334">
        <v>985.69999999999993</v>
      </c>
      <c r="AW334">
        <v>792</v>
      </c>
      <c r="AX334">
        <v>1988.5</v>
      </c>
      <c r="AZ334">
        <v>763.5</v>
      </c>
      <c r="BA334">
        <v>0</v>
      </c>
      <c r="BB334">
        <v>0</v>
      </c>
      <c r="BC334">
        <v>1935.3</v>
      </c>
      <c r="BD334">
        <v>1006.5</v>
      </c>
      <c r="BE334">
        <v>0</v>
      </c>
      <c r="BF334">
        <v>0</v>
      </c>
      <c r="BG334">
        <v>0</v>
      </c>
      <c r="BH334">
        <v>1662.6</v>
      </c>
      <c r="BJ334">
        <v>0</v>
      </c>
      <c r="BK334">
        <v>0</v>
      </c>
      <c r="BL334">
        <v>1038.9000000000001</v>
      </c>
      <c r="BM334">
        <v>1101</v>
      </c>
      <c r="BO334">
        <v>1276.8000000000002</v>
      </c>
      <c r="BQ334">
        <v>0</v>
      </c>
      <c r="BR334">
        <v>270.7</v>
      </c>
      <c r="BS334">
        <v>230.5</v>
      </c>
      <c r="BT334">
        <v>472.3</v>
      </c>
      <c r="BU334">
        <v>537.29999999999995</v>
      </c>
      <c r="BV334">
        <v>346.3</v>
      </c>
      <c r="BW334">
        <v>386.2</v>
      </c>
      <c r="BX334">
        <v>767</v>
      </c>
      <c r="BY334">
        <v>757.2</v>
      </c>
      <c r="BZ334">
        <v>1037.2</v>
      </c>
      <c r="CA334">
        <v>1227.0999999999999</v>
      </c>
      <c r="CB334">
        <v>1232.0999999999999</v>
      </c>
      <c r="CC334">
        <v>1701.5</v>
      </c>
      <c r="CD334">
        <v>0</v>
      </c>
      <c r="CG334">
        <v>1385.3</v>
      </c>
      <c r="CJ334">
        <v>1630.2999999999997</v>
      </c>
      <c r="CM334">
        <v>1184.2</v>
      </c>
      <c r="CO334">
        <v>1248.0999999999999</v>
      </c>
      <c r="CQ334">
        <v>1435.3</v>
      </c>
      <c r="CR334">
        <v>798.2</v>
      </c>
      <c r="CS334">
        <v>923.8</v>
      </c>
      <c r="CT334">
        <v>0</v>
      </c>
      <c r="CU334">
        <v>0</v>
      </c>
      <c r="CV334">
        <v>0</v>
      </c>
      <c r="CW334">
        <v>0</v>
      </c>
      <c r="CX334">
        <v>163.69999999999999</v>
      </c>
      <c r="CY334">
        <v>0</v>
      </c>
      <c r="CZ334">
        <v>0</v>
      </c>
      <c r="DA334">
        <v>0</v>
      </c>
      <c r="DB334">
        <v>0</v>
      </c>
      <c r="DC334">
        <v>0</v>
      </c>
      <c r="DD334">
        <v>0</v>
      </c>
      <c r="DE334">
        <v>0</v>
      </c>
      <c r="DI334">
        <v>0</v>
      </c>
      <c r="EC334">
        <v>0</v>
      </c>
      <c r="ED334">
        <v>0</v>
      </c>
      <c r="EE334">
        <v>0</v>
      </c>
      <c r="EF334">
        <v>0</v>
      </c>
      <c r="EG334">
        <v>0</v>
      </c>
      <c r="EH334">
        <v>0</v>
      </c>
      <c r="EI334">
        <v>0</v>
      </c>
      <c r="EJ334">
        <v>0</v>
      </c>
      <c r="EM334">
        <v>0</v>
      </c>
      <c r="EN334">
        <v>0</v>
      </c>
      <c r="EO334">
        <v>0</v>
      </c>
      <c r="EP334">
        <v>0</v>
      </c>
      <c r="EQ334">
        <v>0</v>
      </c>
      <c r="ER334">
        <v>0</v>
      </c>
      <c r="ES334">
        <v>0</v>
      </c>
      <c r="ET334">
        <v>0</v>
      </c>
      <c r="EW334">
        <v>0</v>
      </c>
      <c r="EX334">
        <v>0</v>
      </c>
      <c r="EY334">
        <v>0</v>
      </c>
      <c r="EZ334">
        <v>0</v>
      </c>
      <c r="FA334">
        <v>0</v>
      </c>
      <c r="FB334">
        <v>0</v>
      </c>
      <c r="FC334">
        <v>0</v>
      </c>
      <c r="FD334">
        <v>0</v>
      </c>
      <c r="FG334" t="e">
        <v>#N/A</v>
      </c>
      <c r="FI334" t="e">
        <v>#N/A</v>
      </c>
      <c r="FK334" t="e">
        <v>#N/A</v>
      </c>
      <c r="FM334" t="e">
        <v>#N/A</v>
      </c>
      <c r="FO334" t="e">
        <v>#N/A</v>
      </c>
      <c r="FQ334" t="e">
        <v>#N/A</v>
      </c>
      <c r="FS334" t="e">
        <v>#N/A</v>
      </c>
      <c r="FU334" t="e">
        <v>#N/A</v>
      </c>
      <c r="FW334" t="e">
        <v>#N/A</v>
      </c>
      <c r="FY334" t="e">
        <v>#N/A</v>
      </c>
      <c r="GA334" t="e">
        <v>#N/A</v>
      </c>
      <c r="GC334" t="e">
        <v>#N/A</v>
      </c>
      <c r="GE334" t="e">
        <v>#N/A</v>
      </c>
      <c r="GG334" t="e">
        <v>#N/A</v>
      </c>
      <c r="GI334" t="e">
        <v>#N/A</v>
      </c>
      <c r="GK334" t="e">
        <v>#N/A</v>
      </c>
      <c r="GM334" t="e">
        <v>#N/A</v>
      </c>
      <c r="GO334" t="e">
        <v>#N/A</v>
      </c>
      <c r="GQ334" t="e">
        <v>#N/A</v>
      </c>
      <c r="GS334" t="e">
        <v>#N/A</v>
      </c>
      <c r="GU334" t="e">
        <v>#N/A</v>
      </c>
      <c r="GW334" t="e">
        <v>#N/A</v>
      </c>
      <c r="GY334" t="e">
        <v>#N/A</v>
      </c>
      <c r="HA334" t="e">
        <v>#N/A</v>
      </c>
      <c r="HC334">
        <v>0</v>
      </c>
      <c r="HD334">
        <v>0</v>
      </c>
      <c r="HE334">
        <v>0</v>
      </c>
      <c r="HF334">
        <v>0</v>
      </c>
      <c r="HG334">
        <v>0</v>
      </c>
      <c r="HH334">
        <v>0</v>
      </c>
      <c r="HI334">
        <v>0</v>
      </c>
      <c r="HJ334">
        <v>0</v>
      </c>
      <c r="HM334">
        <v>0</v>
      </c>
      <c r="HN334">
        <v>0</v>
      </c>
      <c r="HO334">
        <v>0</v>
      </c>
      <c r="HP334">
        <v>0</v>
      </c>
      <c r="HQ334">
        <v>0</v>
      </c>
      <c r="HR334">
        <v>0</v>
      </c>
      <c r="HS334">
        <v>0</v>
      </c>
      <c r="HT334">
        <v>0</v>
      </c>
      <c r="HW334">
        <v>0</v>
      </c>
      <c r="HX334">
        <v>0</v>
      </c>
      <c r="HY334">
        <v>0</v>
      </c>
      <c r="HZ334">
        <v>0</v>
      </c>
      <c r="IA334">
        <v>3930.6</v>
      </c>
      <c r="IB334">
        <v>3632.9</v>
      </c>
      <c r="IC334">
        <v>3795.5</v>
      </c>
      <c r="ID334">
        <v>0</v>
      </c>
      <c r="IE334">
        <v>0</v>
      </c>
      <c r="IF334">
        <v>3548.5</v>
      </c>
      <c r="IG334">
        <v>3395.2</v>
      </c>
      <c r="IH334">
        <v>3395.4</v>
      </c>
      <c r="II334">
        <v>3302.3</v>
      </c>
      <c r="IJ334">
        <v>3172.8</v>
      </c>
      <c r="IK334">
        <v>0</v>
      </c>
      <c r="IL334">
        <v>0</v>
      </c>
      <c r="IM334">
        <v>0</v>
      </c>
      <c r="IN334">
        <v>0</v>
      </c>
      <c r="IO334">
        <v>123.4</v>
      </c>
      <c r="IP334">
        <v>405.2</v>
      </c>
      <c r="IQ334">
        <v>418.7</v>
      </c>
      <c r="IR334">
        <v>0</v>
      </c>
      <c r="IS334">
        <v>0</v>
      </c>
      <c r="IT334">
        <v>0</v>
      </c>
      <c r="IU334">
        <v>0</v>
      </c>
      <c r="IV334">
        <v>396</v>
      </c>
      <c r="IW334">
        <v>0</v>
      </c>
      <c r="IX334">
        <v>0</v>
      </c>
      <c r="IZ334">
        <v>0</v>
      </c>
      <c r="JA334">
        <v>65.5</v>
      </c>
      <c r="JB334">
        <v>443.5</v>
      </c>
      <c r="JC334">
        <v>0</v>
      </c>
      <c r="JD334">
        <v>0</v>
      </c>
      <c r="JE334">
        <v>0</v>
      </c>
      <c r="JF334">
        <v>0</v>
      </c>
      <c r="JG334">
        <v>0</v>
      </c>
      <c r="JH334">
        <v>0</v>
      </c>
      <c r="JI334">
        <v>0</v>
      </c>
      <c r="JJ334">
        <v>0</v>
      </c>
      <c r="JK334">
        <v>0</v>
      </c>
      <c r="JL334">
        <v>0</v>
      </c>
      <c r="JM334">
        <v>0</v>
      </c>
      <c r="JN334">
        <v>0</v>
      </c>
      <c r="JO334">
        <v>0</v>
      </c>
      <c r="JP334">
        <v>0</v>
      </c>
      <c r="JQ334">
        <v>0</v>
      </c>
      <c r="JR334">
        <v>0</v>
      </c>
      <c r="JS334">
        <v>0</v>
      </c>
      <c r="JT334">
        <v>0</v>
      </c>
      <c r="JU334">
        <v>0</v>
      </c>
      <c r="JV334">
        <v>0</v>
      </c>
      <c r="JW334">
        <v>0</v>
      </c>
      <c r="JX334">
        <v>0</v>
      </c>
      <c r="JY334">
        <v>0</v>
      </c>
      <c r="JZ334">
        <v>0</v>
      </c>
      <c r="KA334">
        <v>0</v>
      </c>
      <c r="KB334">
        <v>0</v>
      </c>
      <c r="KC334">
        <v>0</v>
      </c>
      <c r="KD334">
        <v>0</v>
      </c>
      <c r="KE334">
        <v>0</v>
      </c>
      <c r="KF334">
        <v>0</v>
      </c>
      <c r="KI334">
        <v>344.6</v>
      </c>
      <c r="KJ334">
        <v>350.8</v>
      </c>
      <c r="KK334">
        <v>22.1</v>
      </c>
      <c r="KL334">
        <v>379.3</v>
      </c>
      <c r="KM334">
        <v>241.4</v>
      </c>
      <c r="KN334">
        <v>0</v>
      </c>
      <c r="KO334">
        <v>0</v>
      </c>
      <c r="KP334">
        <v>57.3</v>
      </c>
      <c r="KQ334">
        <v>224.4</v>
      </c>
      <c r="KR334">
        <v>338.3</v>
      </c>
      <c r="KS334">
        <v>215.8</v>
      </c>
      <c r="KT334">
        <v>40.700000000000003</v>
      </c>
      <c r="KW334">
        <v>2154.5</v>
      </c>
      <c r="KX334">
        <v>1255.7</v>
      </c>
      <c r="KY334">
        <v>1630.1</v>
      </c>
      <c r="KZ334">
        <v>1246.9000000000001</v>
      </c>
      <c r="LB334">
        <v>78.099999999999994</v>
      </c>
      <c r="LC334">
        <v>77.7</v>
      </c>
    </row>
    <row r="335" spans="1:315" ht="18" thickBot="1">
      <c r="A335" s="245"/>
      <c r="B335" s="245"/>
      <c r="C335" s="230" t="s">
        <v>664</v>
      </c>
      <c r="D335" s="281"/>
      <c r="E335" s="443">
        <v>0</v>
      </c>
      <c r="F335" s="191">
        <v>0</v>
      </c>
      <c r="G335" s="427">
        <v>3413.8</v>
      </c>
      <c r="H335" s="155"/>
      <c r="I335">
        <v>735</v>
      </c>
      <c r="K335">
        <v>1973.1000000000001</v>
      </c>
      <c r="L335" s="4">
        <v>221.60000000000002</v>
      </c>
      <c r="M335" s="4">
        <v>54.9</v>
      </c>
      <c r="N335" s="4">
        <v>1989.7</v>
      </c>
      <c r="P335">
        <v>0</v>
      </c>
      <c r="Q335">
        <v>238.29999999999998</v>
      </c>
      <c r="R335">
        <v>0</v>
      </c>
      <c r="S335">
        <v>0</v>
      </c>
      <c r="T335">
        <v>368.5</v>
      </c>
      <c r="W335">
        <v>720.3</v>
      </c>
      <c r="X335">
        <v>1411.5</v>
      </c>
      <c r="Y335">
        <v>96.5</v>
      </c>
      <c r="AA335">
        <v>859.6</v>
      </c>
      <c r="AB335">
        <v>1577.6000000000001</v>
      </c>
      <c r="AE335">
        <v>1330</v>
      </c>
      <c r="AF335">
        <v>1025.5</v>
      </c>
      <c r="AH335">
        <v>509.9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1349.3</v>
      </c>
      <c r="AO335">
        <v>786.40000000000009</v>
      </c>
      <c r="AP335">
        <v>0</v>
      </c>
      <c r="AQ335">
        <v>68.3</v>
      </c>
      <c r="AR335">
        <v>234.9</v>
      </c>
      <c r="AS335">
        <v>600.40000000000009</v>
      </c>
      <c r="AU335">
        <v>985.69999999999993</v>
      </c>
      <c r="AW335">
        <v>792</v>
      </c>
      <c r="AX335">
        <v>1988.5</v>
      </c>
      <c r="AZ335">
        <v>763.5</v>
      </c>
      <c r="BA335">
        <v>0</v>
      </c>
      <c r="BB335">
        <v>0</v>
      </c>
      <c r="BC335">
        <v>1935.3</v>
      </c>
      <c r="BD335">
        <v>1006.5</v>
      </c>
      <c r="BE335">
        <v>0</v>
      </c>
      <c r="BF335">
        <v>0</v>
      </c>
      <c r="BG335">
        <v>0</v>
      </c>
      <c r="BH335">
        <v>1662.6</v>
      </c>
      <c r="BJ335">
        <v>0</v>
      </c>
      <c r="BK335">
        <v>0</v>
      </c>
      <c r="BL335">
        <v>1038.9000000000001</v>
      </c>
      <c r="BM335">
        <v>1101</v>
      </c>
      <c r="BO335">
        <v>1276.8000000000002</v>
      </c>
      <c r="BQ335">
        <v>0</v>
      </c>
      <c r="BR335">
        <v>270.7</v>
      </c>
      <c r="BS335">
        <v>230.5</v>
      </c>
      <c r="BT335">
        <v>472.3</v>
      </c>
      <c r="BU335">
        <v>537.29999999999995</v>
      </c>
      <c r="BV335">
        <v>346.3</v>
      </c>
      <c r="BW335">
        <v>386.2</v>
      </c>
      <c r="BX335">
        <v>767</v>
      </c>
      <c r="BY335">
        <v>757.2</v>
      </c>
      <c r="BZ335">
        <v>1037.2</v>
      </c>
      <c r="CA335">
        <v>1227.0999999999999</v>
      </c>
      <c r="CB335">
        <v>1232.0999999999999</v>
      </c>
      <c r="CC335">
        <v>1701.5</v>
      </c>
      <c r="CD335">
        <v>0</v>
      </c>
      <c r="CG335">
        <v>1385.3</v>
      </c>
      <c r="CJ335">
        <v>1630.2999999999997</v>
      </c>
      <c r="CM335">
        <v>1184.2</v>
      </c>
      <c r="CO335">
        <v>1248.0999999999999</v>
      </c>
      <c r="CQ335">
        <v>1435.3</v>
      </c>
      <c r="CR335">
        <v>798.2</v>
      </c>
      <c r="CS335">
        <v>923.8</v>
      </c>
      <c r="CT335">
        <v>0</v>
      </c>
      <c r="CU335">
        <v>0</v>
      </c>
      <c r="CV335">
        <v>0</v>
      </c>
      <c r="CW335">
        <v>0</v>
      </c>
      <c r="CX335">
        <v>163.69999999999999</v>
      </c>
      <c r="CY335">
        <v>0</v>
      </c>
      <c r="CZ335">
        <v>0</v>
      </c>
      <c r="DA335">
        <v>0</v>
      </c>
      <c r="DB335">
        <v>0</v>
      </c>
      <c r="DC335">
        <v>0</v>
      </c>
      <c r="DD335">
        <v>0</v>
      </c>
      <c r="DE335">
        <v>0</v>
      </c>
      <c r="DI335">
        <v>0</v>
      </c>
      <c r="EC335">
        <v>0</v>
      </c>
      <c r="ED335">
        <v>0</v>
      </c>
      <c r="EE335">
        <v>0</v>
      </c>
      <c r="EF335">
        <v>0</v>
      </c>
      <c r="EG335">
        <v>0</v>
      </c>
      <c r="EH335">
        <v>0</v>
      </c>
      <c r="EI335">
        <v>0</v>
      </c>
      <c r="EJ335">
        <v>0</v>
      </c>
      <c r="EM335">
        <v>0</v>
      </c>
      <c r="EN335">
        <v>0</v>
      </c>
      <c r="EO335">
        <v>0</v>
      </c>
      <c r="EP335">
        <v>0</v>
      </c>
      <c r="EQ335">
        <v>0</v>
      </c>
      <c r="ER335">
        <v>0</v>
      </c>
      <c r="ES335">
        <v>0</v>
      </c>
      <c r="ET335">
        <v>0</v>
      </c>
      <c r="EW335">
        <v>0</v>
      </c>
      <c r="EX335">
        <v>0</v>
      </c>
      <c r="EY335">
        <v>0</v>
      </c>
      <c r="EZ335">
        <v>0</v>
      </c>
      <c r="FA335">
        <v>0</v>
      </c>
      <c r="FB335">
        <v>0</v>
      </c>
      <c r="FC335">
        <v>0</v>
      </c>
      <c r="FD335">
        <v>0</v>
      </c>
      <c r="FG335" t="e">
        <v>#N/A</v>
      </c>
      <c r="FI335" t="e">
        <v>#N/A</v>
      </c>
      <c r="FK335" t="e">
        <v>#N/A</v>
      </c>
      <c r="FM335" t="e">
        <v>#N/A</v>
      </c>
      <c r="FO335" t="e">
        <v>#N/A</v>
      </c>
      <c r="FQ335" t="e">
        <v>#N/A</v>
      </c>
      <c r="FS335" t="e">
        <v>#N/A</v>
      </c>
      <c r="FU335" t="e">
        <v>#N/A</v>
      </c>
      <c r="FW335" t="e">
        <v>#N/A</v>
      </c>
      <c r="FY335" t="e">
        <v>#N/A</v>
      </c>
      <c r="GA335" t="e">
        <v>#N/A</v>
      </c>
      <c r="GC335" t="e">
        <v>#N/A</v>
      </c>
      <c r="GE335" t="e">
        <v>#N/A</v>
      </c>
      <c r="GG335" t="e">
        <v>#N/A</v>
      </c>
      <c r="GI335" t="e">
        <v>#N/A</v>
      </c>
      <c r="GK335" t="e">
        <v>#N/A</v>
      </c>
      <c r="GM335" t="e">
        <v>#N/A</v>
      </c>
      <c r="GO335" t="e">
        <v>#N/A</v>
      </c>
      <c r="GQ335" t="e">
        <v>#N/A</v>
      </c>
      <c r="GS335" t="e">
        <v>#N/A</v>
      </c>
      <c r="GU335" t="e">
        <v>#N/A</v>
      </c>
      <c r="GW335" t="e">
        <v>#N/A</v>
      </c>
      <c r="GY335" t="e">
        <v>#N/A</v>
      </c>
      <c r="HA335" t="e">
        <v>#N/A</v>
      </c>
      <c r="HC335">
        <v>0</v>
      </c>
      <c r="HD335">
        <v>0</v>
      </c>
      <c r="HE335">
        <v>0</v>
      </c>
      <c r="HF335">
        <v>0</v>
      </c>
      <c r="HG335">
        <v>0</v>
      </c>
      <c r="HH335">
        <v>0</v>
      </c>
      <c r="HI335">
        <v>0</v>
      </c>
      <c r="HJ335">
        <v>0</v>
      </c>
      <c r="HM335">
        <v>0</v>
      </c>
      <c r="HN335">
        <v>0</v>
      </c>
      <c r="HO335">
        <v>0</v>
      </c>
      <c r="HP335">
        <v>0</v>
      </c>
      <c r="HQ335">
        <v>0</v>
      </c>
      <c r="HR335">
        <v>0</v>
      </c>
      <c r="HS335">
        <v>0</v>
      </c>
      <c r="HT335">
        <v>0</v>
      </c>
      <c r="HW335">
        <v>0</v>
      </c>
      <c r="HX335">
        <v>0</v>
      </c>
      <c r="HY335">
        <v>0</v>
      </c>
      <c r="HZ335">
        <v>0</v>
      </c>
      <c r="IA335">
        <v>3930.6</v>
      </c>
      <c r="IB335">
        <v>3632.9</v>
      </c>
      <c r="IC335">
        <v>3795.5</v>
      </c>
      <c r="ID335">
        <v>0</v>
      </c>
      <c r="IE335">
        <v>0</v>
      </c>
      <c r="IF335">
        <v>3548.5</v>
      </c>
      <c r="IG335">
        <v>3395.2</v>
      </c>
      <c r="IH335">
        <v>3395.4</v>
      </c>
      <c r="II335">
        <v>3302.3</v>
      </c>
      <c r="IJ335">
        <v>3172.8</v>
      </c>
      <c r="IK335">
        <v>0</v>
      </c>
      <c r="IL335">
        <v>0</v>
      </c>
      <c r="IM335">
        <v>0</v>
      </c>
      <c r="IN335">
        <v>0</v>
      </c>
      <c r="IO335">
        <v>123.4</v>
      </c>
      <c r="IP335">
        <v>405.2</v>
      </c>
      <c r="IQ335">
        <v>418.7</v>
      </c>
      <c r="IR335">
        <v>0</v>
      </c>
      <c r="IS335">
        <v>0</v>
      </c>
      <c r="IT335">
        <v>0</v>
      </c>
      <c r="IU335">
        <v>0</v>
      </c>
      <c r="IV335">
        <v>396</v>
      </c>
      <c r="IW335">
        <v>0</v>
      </c>
      <c r="IX335">
        <v>0</v>
      </c>
      <c r="IZ335">
        <v>0</v>
      </c>
      <c r="JA335">
        <v>65.5</v>
      </c>
      <c r="JB335">
        <v>443.5</v>
      </c>
      <c r="JC335">
        <v>0</v>
      </c>
      <c r="JD335">
        <v>0</v>
      </c>
      <c r="JE335">
        <v>0</v>
      </c>
      <c r="JF335">
        <v>0</v>
      </c>
      <c r="JG335">
        <v>0</v>
      </c>
      <c r="JH335">
        <v>0</v>
      </c>
      <c r="JI335">
        <v>0</v>
      </c>
      <c r="JJ335">
        <v>0</v>
      </c>
      <c r="JK335">
        <v>0</v>
      </c>
      <c r="JL335">
        <v>0</v>
      </c>
      <c r="JM335">
        <v>0</v>
      </c>
      <c r="JN335">
        <v>0</v>
      </c>
      <c r="JO335">
        <v>0</v>
      </c>
      <c r="JP335">
        <v>0</v>
      </c>
      <c r="JQ335">
        <v>0</v>
      </c>
      <c r="JR335">
        <v>0</v>
      </c>
      <c r="JS335">
        <v>0</v>
      </c>
      <c r="JT335">
        <v>0</v>
      </c>
      <c r="JU335">
        <v>0</v>
      </c>
      <c r="JV335">
        <v>0</v>
      </c>
      <c r="JW335">
        <v>0</v>
      </c>
      <c r="JX335">
        <v>0</v>
      </c>
      <c r="JY335">
        <v>0</v>
      </c>
      <c r="JZ335">
        <v>0</v>
      </c>
      <c r="KA335">
        <v>0</v>
      </c>
      <c r="KB335">
        <v>0</v>
      </c>
      <c r="KC335">
        <v>0</v>
      </c>
      <c r="KD335">
        <v>0</v>
      </c>
      <c r="KE335">
        <v>0</v>
      </c>
      <c r="KF335">
        <v>0</v>
      </c>
      <c r="KI335">
        <v>344.6</v>
      </c>
      <c r="KJ335">
        <v>350.8</v>
      </c>
      <c r="KK335">
        <v>22.1</v>
      </c>
      <c r="KL335">
        <v>379.3</v>
      </c>
      <c r="KM335">
        <v>241.4</v>
      </c>
      <c r="KN335">
        <v>0</v>
      </c>
      <c r="KO335">
        <v>0</v>
      </c>
      <c r="KP335">
        <v>57.3</v>
      </c>
      <c r="KQ335">
        <v>224.4</v>
      </c>
      <c r="KR335">
        <v>338.3</v>
      </c>
      <c r="KS335">
        <v>215.8</v>
      </c>
      <c r="KT335">
        <v>40.700000000000003</v>
      </c>
      <c r="KW335">
        <v>2154.5</v>
      </c>
      <c r="KX335">
        <v>1255.7</v>
      </c>
      <c r="KY335">
        <v>1630.1</v>
      </c>
      <c r="KZ335">
        <v>1246.9000000000001</v>
      </c>
      <c r="LB335">
        <v>78.099999999999994</v>
      </c>
      <c r="LC335">
        <v>77.7</v>
      </c>
    </row>
    <row r="336" spans="1:315" ht="18" thickBot="1">
      <c r="A336" s="245"/>
      <c r="B336" s="245"/>
      <c r="C336" s="230" t="s">
        <v>665</v>
      </c>
      <c r="D336" s="281"/>
      <c r="E336" s="443">
        <v>0</v>
      </c>
      <c r="F336" s="191">
        <v>0</v>
      </c>
      <c r="G336" s="427">
        <v>3413.8</v>
      </c>
      <c r="H336" s="155"/>
      <c r="I336">
        <v>735</v>
      </c>
      <c r="K336">
        <v>1973.1000000000001</v>
      </c>
      <c r="L336" s="4">
        <v>221.60000000000002</v>
      </c>
      <c r="M336" s="4">
        <v>54.9</v>
      </c>
      <c r="N336" s="4">
        <v>1989.7</v>
      </c>
      <c r="P336">
        <v>0</v>
      </c>
      <c r="Q336">
        <v>238.29999999999998</v>
      </c>
      <c r="R336">
        <v>0</v>
      </c>
      <c r="S336">
        <v>0</v>
      </c>
      <c r="T336">
        <v>368.5</v>
      </c>
      <c r="W336">
        <v>720.3</v>
      </c>
      <c r="X336">
        <v>1411.5</v>
      </c>
      <c r="Y336">
        <v>96.5</v>
      </c>
      <c r="AA336">
        <v>859.6</v>
      </c>
      <c r="AB336">
        <v>1577.6000000000001</v>
      </c>
      <c r="AE336">
        <v>1330</v>
      </c>
      <c r="AF336">
        <v>1025.5</v>
      </c>
      <c r="AH336">
        <v>509.9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1349.3</v>
      </c>
      <c r="AO336">
        <v>786.40000000000009</v>
      </c>
      <c r="AP336">
        <v>0</v>
      </c>
      <c r="AQ336">
        <v>68.3</v>
      </c>
      <c r="AR336">
        <v>234.9</v>
      </c>
      <c r="AS336">
        <v>600.40000000000009</v>
      </c>
      <c r="AU336">
        <v>985.69999999999993</v>
      </c>
      <c r="AW336">
        <v>792</v>
      </c>
      <c r="AX336">
        <v>1988.5</v>
      </c>
      <c r="AZ336">
        <v>763.5</v>
      </c>
      <c r="BA336">
        <v>0</v>
      </c>
      <c r="BB336">
        <v>0</v>
      </c>
      <c r="BC336">
        <v>1935.3</v>
      </c>
      <c r="BD336">
        <v>1006.5</v>
      </c>
      <c r="BE336">
        <v>0</v>
      </c>
      <c r="BF336">
        <v>0</v>
      </c>
      <c r="BG336">
        <v>0</v>
      </c>
      <c r="BH336">
        <v>1662.6</v>
      </c>
      <c r="BJ336">
        <v>0</v>
      </c>
      <c r="BK336">
        <v>0</v>
      </c>
      <c r="BL336">
        <v>1038.9000000000001</v>
      </c>
      <c r="BM336">
        <v>1101</v>
      </c>
      <c r="BO336">
        <v>1276.8000000000002</v>
      </c>
      <c r="BQ336">
        <v>0</v>
      </c>
      <c r="BR336">
        <v>270.7</v>
      </c>
      <c r="BS336">
        <v>230.5</v>
      </c>
      <c r="BT336">
        <v>472.3</v>
      </c>
      <c r="BU336">
        <v>537.29999999999995</v>
      </c>
      <c r="BV336">
        <v>346.3</v>
      </c>
      <c r="BW336">
        <v>386.2</v>
      </c>
      <c r="BX336">
        <v>767</v>
      </c>
      <c r="BY336">
        <v>757.2</v>
      </c>
      <c r="BZ336">
        <v>1037.2</v>
      </c>
      <c r="CA336">
        <v>1227.0999999999999</v>
      </c>
      <c r="CB336">
        <v>1232.0999999999999</v>
      </c>
      <c r="CC336">
        <v>1701.5</v>
      </c>
      <c r="CD336">
        <v>0</v>
      </c>
      <c r="CG336">
        <v>1385.3</v>
      </c>
      <c r="CJ336">
        <v>1630.2999999999997</v>
      </c>
      <c r="CM336">
        <v>1184.2</v>
      </c>
      <c r="CO336">
        <v>1248.0999999999999</v>
      </c>
      <c r="CQ336">
        <v>1435.3</v>
      </c>
      <c r="CR336">
        <v>798.2</v>
      </c>
      <c r="CS336">
        <v>923.8</v>
      </c>
      <c r="CT336">
        <v>0</v>
      </c>
      <c r="CU336">
        <v>0</v>
      </c>
      <c r="CV336">
        <v>0</v>
      </c>
      <c r="CW336">
        <v>0</v>
      </c>
      <c r="CX336">
        <v>163.69999999999999</v>
      </c>
      <c r="CY336">
        <v>0</v>
      </c>
      <c r="CZ336">
        <v>0</v>
      </c>
      <c r="DA336">
        <v>0</v>
      </c>
      <c r="DB336">
        <v>0</v>
      </c>
      <c r="DC336">
        <v>0</v>
      </c>
      <c r="DD336">
        <v>0</v>
      </c>
      <c r="DE336">
        <v>0</v>
      </c>
      <c r="DI336">
        <v>0</v>
      </c>
      <c r="EC336">
        <v>0</v>
      </c>
      <c r="ED336">
        <v>0</v>
      </c>
      <c r="EE336">
        <v>0</v>
      </c>
      <c r="EF336">
        <v>0</v>
      </c>
      <c r="EG336">
        <v>0</v>
      </c>
      <c r="EH336">
        <v>0</v>
      </c>
      <c r="EI336">
        <v>0</v>
      </c>
      <c r="EJ336">
        <v>0</v>
      </c>
      <c r="EM336">
        <v>0</v>
      </c>
      <c r="EN336">
        <v>0</v>
      </c>
      <c r="EO336">
        <v>0</v>
      </c>
      <c r="EP336">
        <v>0</v>
      </c>
      <c r="EQ336">
        <v>0</v>
      </c>
      <c r="ER336">
        <v>0</v>
      </c>
      <c r="ES336">
        <v>0</v>
      </c>
      <c r="ET336">
        <v>0</v>
      </c>
      <c r="EW336">
        <v>0</v>
      </c>
      <c r="EX336">
        <v>0</v>
      </c>
      <c r="EY336">
        <v>0</v>
      </c>
      <c r="EZ336">
        <v>0</v>
      </c>
      <c r="FA336">
        <v>0</v>
      </c>
      <c r="FB336">
        <v>0</v>
      </c>
      <c r="FC336">
        <v>0</v>
      </c>
      <c r="FD336">
        <v>0</v>
      </c>
      <c r="FG336" t="e">
        <v>#N/A</v>
      </c>
      <c r="FI336" t="e">
        <v>#N/A</v>
      </c>
      <c r="FK336" t="e">
        <v>#N/A</v>
      </c>
      <c r="FM336" t="e">
        <v>#N/A</v>
      </c>
      <c r="FO336" t="e">
        <v>#N/A</v>
      </c>
      <c r="FQ336" t="e">
        <v>#N/A</v>
      </c>
      <c r="FS336" t="e">
        <v>#N/A</v>
      </c>
      <c r="FU336" t="e">
        <v>#N/A</v>
      </c>
      <c r="FW336" t="e">
        <v>#N/A</v>
      </c>
      <c r="FY336" t="e">
        <v>#N/A</v>
      </c>
      <c r="GA336" t="e">
        <v>#N/A</v>
      </c>
      <c r="GC336" t="e">
        <v>#N/A</v>
      </c>
      <c r="GE336" t="e">
        <v>#N/A</v>
      </c>
      <c r="GG336" t="e">
        <v>#N/A</v>
      </c>
      <c r="GI336" t="e">
        <v>#N/A</v>
      </c>
      <c r="GK336" t="e">
        <v>#N/A</v>
      </c>
      <c r="GM336" t="e">
        <v>#N/A</v>
      </c>
      <c r="GO336" t="e">
        <v>#N/A</v>
      </c>
      <c r="GQ336" t="e">
        <v>#N/A</v>
      </c>
      <c r="GS336" t="e">
        <v>#N/A</v>
      </c>
      <c r="GU336" t="e">
        <v>#N/A</v>
      </c>
      <c r="GW336" t="e">
        <v>#N/A</v>
      </c>
      <c r="GY336" t="e">
        <v>#N/A</v>
      </c>
      <c r="HA336" t="e">
        <v>#N/A</v>
      </c>
      <c r="HC336">
        <v>0</v>
      </c>
      <c r="HD336">
        <v>0</v>
      </c>
      <c r="HE336">
        <v>0</v>
      </c>
      <c r="HF336">
        <v>0</v>
      </c>
      <c r="HG336">
        <v>0</v>
      </c>
      <c r="HH336">
        <v>0</v>
      </c>
      <c r="HI336">
        <v>0</v>
      </c>
      <c r="HJ336">
        <v>0</v>
      </c>
      <c r="HM336">
        <v>0</v>
      </c>
      <c r="HN336">
        <v>0</v>
      </c>
      <c r="HO336">
        <v>0</v>
      </c>
      <c r="HP336">
        <v>0</v>
      </c>
      <c r="HQ336">
        <v>0</v>
      </c>
      <c r="HR336">
        <v>0</v>
      </c>
      <c r="HS336">
        <v>0</v>
      </c>
      <c r="HT336">
        <v>0</v>
      </c>
      <c r="HW336">
        <v>0</v>
      </c>
      <c r="HX336">
        <v>0</v>
      </c>
      <c r="HY336">
        <v>0</v>
      </c>
      <c r="HZ336">
        <v>0</v>
      </c>
      <c r="IA336">
        <v>3930.6</v>
      </c>
      <c r="IB336">
        <v>3632.9</v>
      </c>
      <c r="IC336">
        <v>3795.5</v>
      </c>
      <c r="ID336">
        <v>0</v>
      </c>
      <c r="IE336">
        <v>0</v>
      </c>
      <c r="IF336">
        <v>3548.5</v>
      </c>
      <c r="IG336">
        <v>3395.2</v>
      </c>
      <c r="IH336">
        <v>3395.4</v>
      </c>
      <c r="II336">
        <v>3302.3</v>
      </c>
      <c r="IJ336">
        <v>3172.8</v>
      </c>
      <c r="IK336">
        <v>0</v>
      </c>
      <c r="IL336">
        <v>0</v>
      </c>
      <c r="IM336">
        <v>0</v>
      </c>
      <c r="IN336">
        <v>0</v>
      </c>
      <c r="IO336">
        <v>123.4</v>
      </c>
      <c r="IP336">
        <v>405.2</v>
      </c>
      <c r="IQ336">
        <v>418.7</v>
      </c>
      <c r="IR336">
        <v>0</v>
      </c>
      <c r="IS336">
        <v>0</v>
      </c>
      <c r="IT336">
        <v>0</v>
      </c>
      <c r="IU336">
        <v>0</v>
      </c>
      <c r="IV336">
        <v>396</v>
      </c>
      <c r="IW336">
        <v>0</v>
      </c>
      <c r="IX336">
        <v>0</v>
      </c>
      <c r="IZ336">
        <v>0</v>
      </c>
      <c r="JA336">
        <v>65.5</v>
      </c>
      <c r="JB336">
        <v>443.5</v>
      </c>
      <c r="JC336">
        <v>0</v>
      </c>
      <c r="JD336">
        <v>0</v>
      </c>
      <c r="JE336">
        <v>0</v>
      </c>
      <c r="JF336">
        <v>0</v>
      </c>
      <c r="JG336">
        <v>0</v>
      </c>
      <c r="JH336">
        <v>0</v>
      </c>
      <c r="JI336">
        <v>0</v>
      </c>
      <c r="JJ336">
        <v>0</v>
      </c>
      <c r="JK336">
        <v>0</v>
      </c>
      <c r="JL336">
        <v>0</v>
      </c>
      <c r="JM336">
        <v>0</v>
      </c>
      <c r="JN336">
        <v>0</v>
      </c>
      <c r="JO336">
        <v>0</v>
      </c>
      <c r="JP336">
        <v>0</v>
      </c>
      <c r="JQ336">
        <v>0</v>
      </c>
      <c r="JR336">
        <v>0</v>
      </c>
      <c r="JS336">
        <v>0</v>
      </c>
      <c r="JT336">
        <v>0</v>
      </c>
      <c r="JU336">
        <v>0</v>
      </c>
      <c r="JV336">
        <v>0</v>
      </c>
      <c r="JW336">
        <v>0</v>
      </c>
      <c r="JX336">
        <v>0</v>
      </c>
      <c r="JY336">
        <v>0</v>
      </c>
      <c r="JZ336">
        <v>0</v>
      </c>
      <c r="KA336">
        <v>0</v>
      </c>
      <c r="KB336">
        <v>0</v>
      </c>
      <c r="KC336">
        <v>0</v>
      </c>
      <c r="KD336">
        <v>0</v>
      </c>
      <c r="KE336">
        <v>0</v>
      </c>
      <c r="KF336">
        <v>0</v>
      </c>
      <c r="KI336">
        <v>344.6</v>
      </c>
      <c r="KJ336">
        <v>350.8</v>
      </c>
      <c r="KK336">
        <v>22.1</v>
      </c>
      <c r="KL336">
        <v>379.3</v>
      </c>
      <c r="KM336">
        <v>241.4</v>
      </c>
      <c r="KN336">
        <v>0</v>
      </c>
      <c r="KO336">
        <v>0</v>
      </c>
      <c r="KP336">
        <v>57.3</v>
      </c>
      <c r="KQ336">
        <v>224.4</v>
      </c>
      <c r="KR336">
        <v>338.3</v>
      </c>
      <c r="KS336">
        <v>215.8</v>
      </c>
      <c r="KT336">
        <v>40.700000000000003</v>
      </c>
      <c r="KW336">
        <v>2154.5</v>
      </c>
      <c r="KX336">
        <v>1255.7</v>
      </c>
      <c r="KY336">
        <v>1630.1</v>
      </c>
      <c r="KZ336">
        <v>1246.9000000000001</v>
      </c>
      <c r="LB336">
        <v>78.099999999999994</v>
      </c>
      <c r="LC336">
        <v>77.7</v>
      </c>
    </row>
    <row r="337" spans="1:315" ht="18" thickBot="1">
      <c r="A337" s="245"/>
      <c r="B337" s="245"/>
      <c r="C337" s="230" t="s">
        <v>666</v>
      </c>
      <c r="D337" s="281"/>
      <c r="E337" s="443">
        <v>0</v>
      </c>
      <c r="F337" s="191">
        <v>0</v>
      </c>
      <c r="G337" s="427">
        <v>3413.8</v>
      </c>
      <c r="H337" s="155"/>
      <c r="I337">
        <v>735</v>
      </c>
      <c r="K337">
        <v>1973.1000000000001</v>
      </c>
      <c r="L337" s="4">
        <v>221.60000000000002</v>
      </c>
      <c r="M337" s="4">
        <v>54.9</v>
      </c>
      <c r="N337" s="4">
        <v>1989.7</v>
      </c>
      <c r="P337">
        <v>0</v>
      </c>
      <c r="Q337">
        <v>238.29999999999998</v>
      </c>
      <c r="R337">
        <v>0</v>
      </c>
      <c r="S337">
        <v>0</v>
      </c>
      <c r="T337">
        <v>368.5</v>
      </c>
      <c r="W337">
        <v>720.3</v>
      </c>
      <c r="X337">
        <v>1411.5</v>
      </c>
      <c r="Y337">
        <v>96.5</v>
      </c>
      <c r="AA337">
        <v>859.6</v>
      </c>
      <c r="AB337">
        <v>1577.6000000000001</v>
      </c>
      <c r="AE337">
        <v>1330</v>
      </c>
      <c r="AF337">
        <v>1025.5</v>
      </c>
      <c r="AH337">
        <v>509.9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1349.3</v>
      </c>
      <c r="AO337">
        <v>786.40000000000009</v>
      </c>
      <c r="AP337">
        <v>0</v>
      </c>
      <c r="AQ337">
        <v>68.3</v>
      </c>
      <c r="AR337">
        <v>234.9</v>
      </c>
      <c r="AS337">
        <v>600.40000000000009</v>
      </c>
      <c r="AU337">
        <v>985.69999999999993</v>
      </c>
      <c r="AW337">
        <v>792</v>
      </c>
      <c r="AX337">
        <v>1988.5</v>
      </c>
      <c r="AZ337">
        <v>763.5</v>
      </c>
      <c r="BA337">
        <v>0</v>
      </c>
      <c r="BB337">
        <v>0</v>
      </c>
      <c r="BC337">
        <v>1935.3</v>
      </c>
      <c r="BD337">
        <v>1006.5</v>
      </c>
      <c r="BE337">
        <v>0</v>
      </c>
      <c r="BF337">
        <v>0</v>
      </c>
      <c r="BG337">
        <v>0</v>
      </c>
      <c r="BH337">
        <v>1662.6</v>
      </c>
      <c r="BJ337">
        <v>0</v>
      </c>
      <c r="BK337">
        <v>0</v>
      </c>
      <c r="BL337">
        <v>1038.9000000000001</v>
      </c>
      <c r="BM337">
        <v>1101</v>
      </c>
      <c r="BO337">
        <v>1276.8000000000002</v>
      </c>
      <c r="BQ337">
        <v>0</v>
      </c>
      <c r="BR337">
        <v>270.7</v>
      </c>
      <c r="BS337">
        <v>230.5</v>
      </c>
      <c r="BT337">
        <v>472.3</v>
      </c>
      <c r="BU337">
        <v>537.29999999999995</v>
      </c>
      <c r="BV337">
        <v>346.3</v>
      </c>
      <c r="BW337">
        <v>386.2</v>
      </c>
      <c r="BX337">
        <v>767</v>
      </c>
      <c r="BY337">
        <v>757.2</v>
      </c>
      <c r="BZ337">
        <v>1037.2</v>
      </c>
      <c r="CA337">
        <v>1227.0999999999999</v>
      </c>
      <c r="CB337">
        <v>1232.0999999999999</v>
      </c>
      <c r="CC337">
        <v>1701.5</v>
      </c>
      <c r="CD337">
        <v>0</v>
      </c>
      <c r="CG337">
        <v>1385.3</v>
      </c>
      <c r="CJ337">
        <v>1630.2999999999997</v>
      </c>
      <c r="CM337">
        <v>1184.2</v>
      </c>
      <c r="CO337">
        <v>1248.0999999999999</v>
      </c>
      <c r="CQ337">
        <v>1435.3</v>
      </c>
      <c r="CR337">
        <v>798.2</v>
      </c>
      <c r="CS337">
        <v>923.8</v>
      </c>
      <c r="CT337">
        <v>0</v>
      </c>
      <c r="CU337">
        <v>0</v>
      </c>
      <c r="CV337">
        <v>0</v>
      </c>
      <c r="CW337">
        <v>0</v>
      </c>
      <c r="CX337">
        <v>163.69999999999999</v>
      </c>
      <c r="CY337">
        <v>0</v>
      </c>
      <c r="CZ337">
        <v>0</v>
      </c>
      <c r="DA337">
        <v>0</v>
      </c>
      <c r="DB337">
        <v>0</v>
      </c>
      <c r="DC337">
        <v>0</v>
      </c>
      <c r="DD337">
        <v>0</v>
      </c>
      <c r="DE337">
        <v>0</v>
      </c>
      <c r="DI337">
        <v>0</v>
      </c>
      <c r="EC337">
        <v>0</v>
      </c>
      <c r="ED337">
        <v>0</v>
      </c>
      <c r="EE337">
        <v>0</v>
      </c>
      <c r="EF337">
        <v>0</v>
      </c>
      <c r="EG337">
        <v>0</v>
      </c>
      <c r="EH337">
        <v>0</v>
      </c>
      <c r="EI337">
        <v>0</v>
      </c>
      <c r="EJ337">
        <v>0</v>
      </c>
      <c r="EM337">
        <v>0</v>
      </c>
      <c r="EN337">
        <v>0</v>
      </c>
      <c r="EO337">
        <v>0</v>
      </c>
      <c r="EP337">
        <v>0</v>
      </c>
      <c r="EQ337">
        <v>0</v>
      </c>
      <c r="ER337">
        <v>0</v>
      </c>
      <c r="ES337">
        <v>0</v>
      </c>
      <c r="ET337">
        <v>0</v>
      </c>
      <c r="EW337">
        <v>0</v>
      </c>
      <c r="EX337">
        <v>0</v>
      </c>
      <c r="EY337">
        <v>0</v>
      </c>
      <c r="EZ337">
        <v>0</v>
      </c>
      <c r="FA337">
        <v>0</v>
      </c>
      <c r="FB337">
        <v>0</v>
      </c>
      <c r="FC337">
        <v>0</v>
      </c>
      <c r="FD337">
        <v>0</v>
      </c>
      <c r="FG337" t="e">
        <v>#N/A</v>
      </c>
      <c r="FI337" t="e">
        <v>#N/A</v>
      </c>
      <c r="FK337" t="e">
        <v>#N/A</v>
      </c>
      <c r="FM337" t="e">
        <v>#N/A</v>
      </c>
      <c r="FO337" t="e">
        <v>#N/A</v>
      </c>
      <c r="FQ337" t="e">
        <v>#N/A</v>
      </c>
      <c r="FS337" t="e">
        <v>#N/A</v>
      </c>
      <c r="FU337" t="e">
        <v>#N/A</v>
      </c>
      <c r="FW337" t="e">
        <v>#N/A</v>
      </c>
      <c r="FY337" t="e">
        <v>#N/A</v>
      </c>
      <c r="GA337" t="e">
        <v>#N/A</v>
      </c>
      <c r="GC337" t="e">
        <v>#N/A</v>
      </c>
      <c r="GE337" t="e">
        <v>#N/A</v>
      </c>
      <c r="GG337" t="e">
        <v>#N/A</v>
      </c>
      <c r="GI337" t="e">
        <v>#N/A</v>
      </c>
      <c r="GK337" t="e">
        <v>#N/A</v>
      </c>
      <c r="GM337" t="e">
        <v>#N/A</v>
      </c>
      <c r="GO337" t="e">
        <v>#N/A</v>
      </c>
      <c r="GQ337" t="e">
        <v>#N/A</v>
      </c>
      <c r="GS337" t="e">
        <v>#N/A</v>
      </c>
      <c r="GU337" t="e">
        <v>#N/A</v>
      </c>
      <c r="GW337" t="e">
        <v>#N/A</v>
      </c>
      <c r="GY337" t="e">
        <v>#N/A</v>
      </c>
      <c r="HA337" t="e">
        <v>#N/A</v>
      </c>
      <c r="HC337">
        <v>0</v>
      </c>
      <c r="HD337">
        <v>0</v>
      </c>
      <c r="HE337">
        <v>0</v>
      </c>
      <c r="HF337">
        <v>0</v>
      </c>
      <c r="HG337">
        <v>0</v>
      </c>
      <c r="HH337">
        <v>0</v>
      </c>
      <c r="HI337">
        <v>0</v>
      </c>
      <c r="HJ337">
        <v>0</v>
      </c>
      <c r="HM337">
        <v>0</v>
      </c>
      <c r="HN337">
        <v>0</v>
      </c>
      <c r="HO337">
        <v>0</v>
      </c>
      <c r="HP337">
        <v>0</v>
      </c>
      <c r="HQ337">
        <v>0</v>
      </c>
      <c r="HR337">
        <v>0</v>
      </c>
      <c r="HS337">
        <v>0</v>
      </c>
      <c r="HT337">
        <v>0</v>
      </c>
      <c r="HW337">
        <v>0</v>
      </c>
      <c r="HX337">
        <v>0</v>
      </c>
      <c r="HY337">
        <v>0</v>
      </c>
      <c r="HZ337">
        <v>0</v>
      </c>
      <c r="IA337">
        <v>3930.6</v>
      </c>
      <c r="IB337">
        <v>3632.9</v>
      </c>
      <c r="IC337">
        <v>3795.5</v>
      </c>
      <c r="ID337">
        <v>0</v>
      </c>
      <c r="IE337">
        <v>0</v>
      </c>
      <c r="IF337">
        <v>3548.5</v>
      </c>
      <c r="IG337">
        <v>3395.2</v>
      </c>
      <c r="IH337">
        <v>3395.4</v>
      </c>
      <c r="II337">
        <v>3302.3</v>
      </c>
      <c r="IJ337">
        <v>3172.8</v>
      </c>
      <c r="IK337">
        <v>0</v>
      </c>
      <c r="IL337">
        <v>0</v>
      </c>
      <c r="IM337">
        <v>0</v>
      </c>
      <c r="IN337">
        <v>0</v>
      </c>
      <c r="IO337">
        <v>123.4</v>
      </c>
      <c r="IP337">
        <v>405.2</v>
      </c>
      <c r="IQ337">
        <v>418.7</v>
      </c>
      <c r="IR337">
        <v>0</v>
      </c>
      <c r="IS337">
        <v>0</v>
      </c>
      <c r="IT337">
        <v>0</v>
      </c>
      <c r="IU337">
        <v>0</v>
      </c>
      <c r="IV337">
        <v>396</v>
      </c>
      <c r="IW337">
        <v>0</v>
      </c>
      <c r="IX337">
        <v>0</v>
      </c>
      <c r="IZ337">
        <v>0</v>
      </c>
      <c r="JA337">
        <v>65.5</v>
      </c>
      <c r="JB337">
        <v>443.5</v>
      </c>
      <c r="JC337">
        <v>0</v>
      </c>
      <c r="JD337">
        <v>0</v>
      </c>
      <c r="JE337">
        <v>0</v>
      </c>
      <c r="JF337">
        <v>0</v>
      </c>
      <c r="JG337">
        <v>0</v>
      </c>
      <c r="JH337">
        <v>0</v>
      </c>
      <c r="JI337">
        <v>0</v>
      </c>
      <c r="JJ337">
        <v>0</v>
      </c>
      <c r="JK337">
        <v>0</v>
      </c>
      <c r="JL337">
        <v>0</v>
      </c>
      <c r="JM337">
        <v>0</v>
      </c>
      <c r="JN337">
        <v>0</v>
      </c>
      <c r="JO337">
        <v>0</v>
      </c>
      <c r="JP337">
        <v>0</v>
      </c>
      <c r="JQ337">
        <v>0</v>
      </c>
      <c r="JR337">
        <v>0</v>
      </c>
      <c r="JS337">
        <v>0</v>
      </c>
      <c r="JT337">
        <v>0</v>
      </c>
      <c r="JU337">
        <v>0</v>
      </c>
      <c r="JV337">
        <v>0</v>
      </c>
      <c r="JW337">
        <v>0</v>
      </c>
      <c r="JX337">
        <v>0</v>
      </c>
      <c r="JY337">
        <v>0</v>
      </c>
      <c r="JZ337">
        <v>0</v>
      </c>
      <c r="KA337">
        <v>0</v>
      </c>
      <c r="KB337">
        <v>0</v>
      </c>
      <c r="KC337">
        <v>0</v>
      </c>
      <c r="KD337">
        <v>0</v>
      </c>
      <c r="KE337">
        <v>0</v>
      </c>
      <c r="KF337">
        <v>0</v>
      </c>
      <c r="KI337">
        <v>344.6</v>
      </c>
      <c r="KJ337">
        <v>350.8</v>
      </c>
      <c r="KK337">
        <v>22.1</v>
      </c>
      <c r="KL337">
        <v>379.3</v>
      </c>
      <c r="KM337">
        <v>241.4</v>
      </c>
      <c r="KN337">
        <v>0</v>
      </c>
      <c r="KO337">
        <v>0</v>
      </c>
      <c r="KP337">
        <v>57.3</v>
      </c>
      <c r="KQ337">
        <v>224.4</v>
      </c>
      <c r="KR337">
        <v>338.3</v>
      </c>
      <c r="KS337">
        <v>215.8</v>
      </c>
      <c r="KT337">
        <v>40.700000000000003</v>
      </c>
      <c r="KW337">
        <v>2154.5</v>
      </c>
      <c r="KX337">
        <v>1255.7</v>
      </c>
      <c r="KY337">
        <v>1630.1</v>
      </c>
      <c r="KZ337">
        <v>1246.9000000000001</v>
      </c>
      <c r="LB337">
        <v>78.099999999999994</v>
      </c>
      <c r="LC337">
        <v>77.7</v>
      </c>
    </row>
    <row r="338" spans="1:315" ht="18" thickBot="1">
      <c r="A338" s="245"/>
      <c r="B338" s="245"/>
      <c r="C338" s="230" t="s">
        <v>667</v>
      </c>
      <c r="D338" s="281"/>
      <c r="E338" s="443">
        <v>0</v>
      </c>
      <c r="F338" s="191">
        <v>0</v>
      </c>
      <c r="G338" s="427">
        <v>3413.8</v>
      </c>
      <c r="H338" s="155"/>
      <c r="I338">
        <v>735</v>
      </c>
      <c r="K338">
        <v>1973.1000000000001</v>
      </c>
      <c r="L338" s="4">
        <v>221.60000000000002</v>
      </c>
      <c r="M338" s="4">
        <v>54.9</v>
      </c>
      <c r="N338" s="4">
        <v>1989.7</v>
      </c>
      <c r="P338">
        <v>0</v>
      </c>
      <c r="Q338">
        <v>238.29999999999998</v>
      </c>
      <c r="R338">
        <v>0</v>
      </c>
      <c r="S338">
        <v>0</v>
      </c>
      <c r="T338">
        <v>368.5</v>
      </c>
      <c r="W338">
        <v>720.3</v>
      </c>
      <c r="X338">
        <v>1411.5</v>
      </c>
      <c r="Y338">
        <v>96.5</v>
      </c>
      <c r="AA338">
        <v>859.6</v>
      </c>
      <c r="AB338">
        <v>1577.6000000000001</v>
      </c>
      <c r="AE338">
        <v>1330</v>
      </c>
      <c r="AF338">
        <v>1025.5</v>
      </c>
      <c r="AH338">
        <v>509.9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1349.3</v>
      </c>
      <c r="AO338">
        <v>786.40000000000009</v>
      </c>
      <c r="AP338">
        <v>0</v>
      </c>
      <c r="AQ338">
        <v>68.3</v>
      </c>
      <c r="AR338">
        <v>234.9</v>
      </c>
      <c r="AS338">
        <v>600.40000000000009</v>
      </c>
      <c r="AU338">
        <v>985.69999999999993</v>
      </c>
      <c r="AW338">
        <v>792</v>
      </c>
      <c r="AX338">
        <v>1988.5</v>
      </c>
      <c r="AZ338">
        <v>763.5</v>
      </c>
      <c r="BA338">
        <v>0</v>
      </c>
      <c r="BB338">
        <v>0</v>
      </c>
      <c r="BC338">
        <v>1935.3</v>
      </c>
      <c r="BD338">
        <v>1006.5</v>
      </c>
      <c r="BE338">
        <v>0</v>
      </c>
      <c r="BF338">
        <v>0</v>
      </c>
      <c r="BG338">
        <v>0</v>
      </c>
      <c r="BH338">
        <v>1662.6</v>
      </c>
      <c r="BJ338">
        <v>0</v>
      </c>
      <c r="BK338">
        <v>0</v>
      </c>
      <c r="BL338">
        <v>1038.9000000000001</v>
      </c>
      <c r="BM338">
        <v>1101</v>
      </c>
      <c r="BO338">
        <v>1276.8000000000002</v>
      </c>
      <c r="BQ338">
        <v>0</v>
      </c>
      <c r="BR338">
        <v>270.7</v>
      </c>
      <c r="BS338">
        <v>230.5</v>
      </c>
      <c r="BT338">
        <v>472.3</v>
      </c>
      <c r="BU338">
        <v>537.29999999999995</v>
      </c>
      <c r="BV338">
        <v>346.3</v>
      </c>
      <c r="BW338">
        <v>386.2</v>
      </c>
      <c r="BX338">
        <v>767</v>
      </c>
      <c r="BY338">
        <v>757.2</v>
      </c>
      <c r="BZ338">
        <v>1037.2</v>
      </c>
      <c r="CA338">
        <v>1227.0999999999999</v>
      </c>
      <c r="CB338">
        <v>1232.0999999999999</v>
      </c>
      <c r="CC338">
        <v>1701.5</v>
      </c>
      <c r="CD338">
        <v>0</v>
      </c>
      <c r="CG338">
        <v>1385.3</v>
      </c>
      <c r="CJ338">
        <v>1630.2999999999997</v>
      </c>
      <c r="CM338">
        <v>1184.2</v>
      </c>
      <c r="CO338">
        <v>1248.0999999999999</v>
      </c>
      <c r="CQ338">
        <v>1435.3</v>
      </c>
      <c r="CR338">
        <v>798.2</v>
      </c>
      <c r="CS338">
        <v>923.8</v>
      </c>
      <c r="CT338">
        <v>0</v>
      </c>
      <c r="CU338">
        <v>0</v>
      </c>
      <c r="CV338">
        <v>0</v>
      </c>
      <c r="CW338">
        <v>0</v>
      </c>
      <c r="CX338">
        <v>163.69999999999999</v>
      </c>
      <c r="CY338">
        <v>0</v>
      </c>
      <c r="CZ338">
        <v>0</v>
      </c>
      <c r="DA338">
        <v>0</v>
      </c>
      <c r="DB338">
        <v>0</v>
      </c>
      <c r="DC338">
        <v>0</v>
      </c>
      <c r="DD338">
        <v>0</v>
      </c>
      <c r="DE338">
        <v>0</v>
      </c>
      <c r="DI338">
        <v>0</v>
      </c>
      <c r="EC338">
        <v>0</v>
      </c>
      <c r="ED338">
        <v>0</v>
      </c>
      <c r="EE338">
        <v>0</v>
      </c>
      <c r="EF338">
        <v>0</v>
      </c>
      <c r="EG338">
        <v>0</v>
      </c>
      <c r="EH338">
        <v>0</v>
      </c>
      <c r="EI338">
        <v>0</v>
      </c>
      <c r="EJ338">
        <v>0</v>
      </c>
      <c r="EM338">
        <v>0</v>
      </c>
      <c r="EN338">
        <v>0</v>
      </c>
      <c r="EO338">
        <v>0</v>
      </c>
      <c r="EP338">
        <v>0</v>
      </c>
      <c r="EQ338">
        <v>0</v>
      </c>
      <c r="ER338">
        <v>0</v>
      </c>
      <c r="ES338">
        <v>0</v>
      </c>
      <c r="ET338">
        <v>0</v>
      </c>
      <c r="EW338">
        <v>0</v>
      </c>
      <c r="EX338">
        <v>0</v>
      </c>
      <c r="EY338">
        <v>0</v>
      </c>
      <c r="EZ338">
        <v>0</v>
      </c>
      <c r="FA338">
        <v>0</v>
      </c>
      <c r="FB338">
        <v>0</v>
      </c>
      <c r="FC338">
        <v>0</v>
      </c>
      <c r="FD338">
        <v>0</v>
      </c>
      <c r="FG338" t="e">
        <v>#N/A</v>
      </c>
      <c r="FI338" t="e">
        <v>#N/A</v>
      </c>
      <c r="FK338" t="e">
        <v>#N/A</v>
      </c>
      <c r="FM338" t="e">
        <v>#N/A</v>
      </c>
      <c r="FO338" t="e">
        <v>#N/A</v>
      </c>
      <c r="FQ338" t="e">
        <v>#N/A</v>
      </c>
      <c r="FS338" t="e">
        <v>#N/A</v>
      </c>
      <c r="FU338" t="e">
        <v>#N/A</v>
      </c>
      <c r="FW338" t="e">
        <v>#N/A</v>
      </c>
      <c r="FY338" t="e">
        <v>#N/A</v>
      </c>
      <c r="GA338" t="e">
        <v>#N/A</v>
      </c>
      <c r="GC338" t="e">
        <v>#N/A</v>
      </c>
      <c r="GE338" t="e">
        <v>#N/A</v>
      </c>
      <c r="GG338" t="e">
        <v>#N/A</v>
      </c>
      <c r="GI338" t="e">
        <v>#N/A</v>
      </c>
      <c r="GK338" t="e">
        <v>#N/A</v>
      </c>
      <c r="GM338" t="e">
        <v>#N/A</v>
      </c>
      <c r="GO338" t="e">
        <v>#N/A</v>
      </c>
      <c r="GQ338" t="e">
        <v>#N/A</v>
      </c>
      <c r="GS338" t="e">
        <v>#N/A</v>
      </c>
      <c r="GU338" t="e">
        <v>#N/A</v>
      </c>
      <c r="GW338" t="e">
        <v>#N/A</v>
      </c>
      <c r="GY338" t="e">
        <v>#N/A</v>
      </c>
      <c r="HA338" t="e">
        <v>#N/A</v>
      </c>
      <c r="HC338">
        <v>0</v>
      </c>
      <c r="HD338">
        <v>0</v>
      </c>
      <c r="HE338">
        <v>0</v>
      </c>
      <c r="HF338">
        <v>0</v>
      </c>
      <c r="HG338">
        <v>0</v>
      </c>
      <c r="HH338">
        <v>0</v>
      </c>
      <c r="HI338">
        <v>0</v>
      </c>
      <c r="HJ338">
        <v>0</v>
      </c>
      <c r="HM338">
        <v>0</v>
      </c>
      <c r="HN338">
        <v>0</v>
      </c>
      <c r="HO338">
        <v>0</v>
      </c>
      <c r="HP338">
        <v>0</v>
      </c>
      <c r="HQ338">
        <v>0</v>
      </c>
      <c r="HR338">
        <v>0</v>
      </c>
      <c r="HS338">
        <v>0</v>
      </c>
      <c r="HT338">
        <v>0</v>
      </c>
      <c r="HW338">
        <v>0</v>
      </c>
      <c r="HX338">
        <v>0</v>
      </c>
      <c r="HY338">
        <v>0</v>
      </c>
      <c r="HZ338">
        <v>0</v>
      </c>
      <c r="IA338">
        <v>3930.6</v>
      </c>
      <c r="IB338">
        <v>3632.9</v>
      </c>
      <c r="IC338">
        <v>3795.5</v>
      </c>
      <c r="ID338">
        <v>0</v>
      </c>
      <c r="IE338">
        <v>0</v>
      </c>
      <c r="IF338">
        <v>3548.5</v>
      </c>
      <c r="IG338">
        <v>3395.2</v>
      </c>
      <c r="IH338">
        <v>3395.4</v>
      </c>
      <c r="II338">
        <v>3302.3</v>
      </c>
      <c r="IJ338">
        <v>3172.8</v>
      </c>
      <c r="IK338">
        <v>0</v>
      </c>
      <c r="IL338">
        <v>0</v>
      </c>
      <c r="IM338">
        <v>0</v>
      </c>
      <c r="IN338">
        <v>0</v>
      </c>
      <c r="IO338">
        <v>123.4</v>
      </c>
      <c r="IP338">
        <v>405.2</v>
      </c>
      <c r="IQ338">
        <v>418.7</v>
      </c>
      <c r="IR338">
        <v>0</v>
      </c>
      <c r="IS338">
        <v>0</v>
      </c>
      <c r="IT338">
        <v>0</v>
      </c>
      <c r="IU338">
        <v>0</v>
      </c>
      <c r="IV338">
        <v>396</v>
      </c>
      <c r="IW338">
        <v>0</v>
      </c>
      <c r="IX338">
        <v>0</v>
      </c>
      <c r="IZ338">
        <v>0</v>
      </c>
      <c r="JA338">
        <v>65.5</v>
      </c>
      <c r="JB338">
        <v>443.5</v>
      </c>
      <c r="JC338">
        <v>0</v>
      </c>
      <c r="JD338">
        <v>0</v>
      </c>
      <c r="JE338">
        <v>0</v>
      </c>
      <c r="JF338">
        <v>0</v>
      </c>
      <c r="JG338">
        <v>0</v>
      </c>
      <c r="JH338">
        <v>0</v>
      </c>
      <c r="JI338">
        <v>0</v>
      </c>
      <c r="JJ338">
        <v>0</v>
      </c>
      <c r="JK338">
        <v>0</v>
      </c>
      <c r="JL338">
        <v>0</v>
      </c>
      <c r="JM338">
        <v>0</v>
      </c>
      <c r="JN338">
        <v>0</v>
      </c>
      <c r="JO338">
        <v>0</v>
      </c>
      <c r="JP338">
        <v>0</v>
      </c>
      <c r="JQ338">
        <v>0</v>
      </c>
      <c r="JR338">
        <v>0</v>
      </c>
      <c r="JS338">
        <v>0</v>
      </c>
      <c r="JT338">
        <v>0</v>
      </c>
      <c r="JU338">
        <v>0</v>
      </c>
      <c r="JV338">
        <v>0</v>
      </c>
      <c r="JW338">
        <v>0</v>
      </c>
      <c r="JX338">
        <v>0</v>
      </c>
      <c r="JY338">
        <v>0</v>
      </c>
      <c r="JZ338">
        <v>0</v>
      </c>
      <c r="KA338">
        <v>0</v>
      </c>
      <c r="KB338">
        <v>0</v>
      </c>
      <c r="KC338">
        <v>0</v>
      </c>
      <c r="KD338">
        <v>0</v>
      </c>
      <c r="KE338">
        <v>0</v>
      </c>
      <c r="KF338">
        <v>0</v>
      </c>
      <c r="KI338">
        <v>344.6</v>
      </c>
      <c r="KJ338">
        <v>350.8</v>
      </c>
      <c r="KK338">
        <v>22.1</v>
      </c>
      <c r="KL338">
        <v>379.3</v>
      </c>
      <c r="KM338">
        <v>241.4</v>
      </c>
      <c r="KN338">
        <v>0</v>
      </c>
      <c r="KO338">
        <v>0</v>
      </c>
      <c r="KP338">
        <v>57.3</v>
      </c>
      <c r="KQ338">
        <v>224.4</v>
      </c>
      <c r="KR338">
        <v>338.3</v>
      </c>
      <c r="KS338">
        <v>215.8</v>
      </c>
      <c r="KT338">
        <v>40.700000000000003</v>
      </c>
      <c r="KW338">
        <v>2154.5</v>
      </c>
      <c r="KX338">
        <v>1255.7</v>
      </c>
      <c r="KY338">
        <v>1630.1</v>
      </c>
      <c r="KZ338">
        <v>1246.9000000000001</v>
      </c>
      <c r="LB338">
        <v>78.099999999999994</v>
      </c>
      <c r="LC338">
        <v>77.7</v>
      </c>
    </row>
    <row r="339" spans="1:315" ht="18" thickBot="1">
      <c r="A339" s="245"/>
      <c r="B339" s="245"/>
      <c r="C339" s="332"/>
      <c r="D339" s="286"/>
      <c r="E339" s="449">
        <v>0</v>
      </c>
      <c r="F339" s="209">
        <v>0</v>
      </c>
      <c r="G339" s="427">
        <v>3413.8</v>
      </c>
      <c r="H339" s="155"/>
      <c r="I339">
        <v>735</v>
      </c>
      <c r="K339">
        <v>1973.1000000000001</v>
      </c>
      <c r="L339" s="4">
        <v>221.60000000000002</v>
      </c>
      <c r="M339" s="4">
        <v>54.9</v>
      </c>
      <c r="N339" s="4">
        <v>1989.7</v>
      </c>
      <c r="P339">
        <v>0</v>
      </c>
      <c r="Q339">
        <v>238.29999999999998</v>
      </c>
      <c r="R339">
        <v>0</v>
      </c>
      <c r="S339">
        <v>0</v>
      </c>
      <c r="T339">
        <v>368.5</v>
      </c>
      <c r="W339">
        <v>720.3</v>
      </c>
      <c r="X339">
        <v>1411.5</v>
      </c>
      <c r="Y339">
        <v>96.5</v>
      </c>
      <c r="AA339">
        <v>859.6</v>
      </c>
      <c r="AB339">
        <v>1577.6000000000001</v>
      </c>
      <c r="AE339">
        <v>1330</v>
      </c>
      <c r="AF339">
        <v>1025.5</v>
      </c>
      <c r="AH339">
        <v>509.9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1349.3</v>
      </c>
      <c r="AO339">
        <v>786.40000000000009</v>
      </c>
      <c r="AP339">
        <v>0</v>
      </c>
      <c r="AQ339">
        <v>68.3</v>
      </c>
      <c r="AR339">
        <v>234.9</v>
      </c>
      <c r="AS339">
        <v>600.40000000000009</v>
      </c>
      <c r="AU339">
        <v>985.69999999999993</v>
      </c>
      <c r="AW339">
        <v>792</v>
      </c>
      <c r="AX339">
        <v>1988.5</v>
      </c>
      <c r="AZ339">
        <v>763.5</v>
      </c>
      <c r="BA339">
        <v>0</v>
      </c>
      <c r="BB339">
        <v>0</v>
      </c>
      <c r="BC339">
        <v>1935.3</v>
      </c>
      <c r="BD339">
        <v>1006.5</v>
      </c>
      <c r="BE339">
        <v>0</v>
      </c>
      <c r="BF339">
        <v>0</v>
      </c>
      <c r="BG339">
        <v>0</v>
      </c>
      <c r="BH339">
        <v>1662.6</v>
      </c>
      <c r="BJ339">
        <v>0</v>
      </c>
      <c r="BK339">
        <v>0</v>
      </c>
      <c r="BL339">
        <v>1038.9000000000001</v>
      </c>
      <c r="BM339">
        <v>1101</v>
      </c>
      <c r="BO339">
        <v>1276.8000000000002</v>
      </c>
      <c r="BQ339">
        <v>0</v>
      </c>
      <c r="BR339">
        <v>270.7</v>
      </c>
      <c r="BS339">
        <v>230.5</v>
      </c>
      <c r="BT339">
        <v>472.3</v>
      </c>
      <c r="BU339">
        <v>537.29999999999995</v>
      </c>
      <c r="BV339">
        <v>346.3</v>
      </c>
      <c r="BW339">
        <v>386.2</v>
      </c>
      <c r="BX339">
        <v>767</v>
      </c>
      <c r="BY339">
        <v>757.2</v>
      </c>
      <c r="BZ339">
        <v>1037.2</v>
      </c>
      <c r="CA339">
        <v>1227.0999999999999</v>
      </c>
      <c r="CB339">
        <v>1232.0999999999999</v>
      </c>
      <c r="CC339">
        <v>1701.5</v>
      </c>
      <c r="CD339">
        <v>0</v>
      </c>
      <c r="CG339">
        <v>1385.3</v>
      </c>
      <c r="CJ339">
        <v>1630.2999999999997</v>
      </c>
      <c r="CM339">
        <v>1184.2</v>
      </c>
      <c r="CO339">
        <v>1248.0999999999999</v>
      </c>
      <c r="CQ339">
        <v>1435.3</v>
      </c>
      <c r="CR339">
        <v>798.2</v>
      </c>
      <c r="CS339">
        <v>923.8</v>
      </c>
      <c r="CT339">
        <v>0</v>
      </c>
      <c r="CU339">
        <v>0</v>
      </c>
      <c r="CV339">
        <v>0</v>
      </c>
      <c r="CW339">
        <v>0</v>
      </c>
      <c r="CX339">
        <v>163.69999999999999</v>
      </c>
      <c r="CY339">
        <v>0</v>
      </c>
      <c r="CZ339">
        <v>0</v>
      </c>
      <c r="DA339">
        <v>0</v>
      </c>
      <c r="DB339">
        <v>0</v>
      </c>
      <c r="DC339">
        <v>0</v>
      </c>
      <c r="DD339">
        <v>0</v>
      </c>
      <c r="DE339">
        <v>0</v>
      </c>
      <c r="DI339">
        <v>0</v>
      </c>
      <c r="EC339">
        <v>0</v>
      </c>
      <c r="ED339">
        <v>0</v>
      </c>
      <c r="EE339">
        <v>0</v>
      </c>
      <c r="EF339">
        <v>0</v>
      </c>
      <c r="EG339">
        <v>0</v>
      </c>
      <c r="EH339">
        <v>0</v>
      </c>
      <c r="EI339">
        <v>0</v>
      </c>
      <c r="EJ339">
        <v>0</v>
      </c>
      <c r="EM339">
        <v>0</v>
      </c>
      <c r="EN339">
        <v>0</v>
      </c>
      <c r="EO339">
        <v>0</v>
      </c>
      <c r="EP339">
        <v>0</v>
      </c>
      <c r="EQ339">
        <v>0</v>
      </c>
      <c r="ER339">
        <v>0</v>
      </c>
      <c r="ES339">
        <v>0</v>
      </c>
      <c r="ET339">
        <v>0</v>
      </c>
      <c r="EW339">
        <v>0</v>
      </c>
      <c r="EX339">
        <v>0</v>
      </c>
      <c r="EY339">
        <v>0</v>
      </c>
      <c r="EZ339">
        <v>0</v>
      </c>
      <c r="FA339">
        <v>0</v>
      </c>
      <c r="FB339">
        <v>0</v>
      </c>
      <c r="FC339">
        <v>0</v>
      </c>
      <c r="FD339">
        <v>0</v>
      </c>
      <c r="FG339" t="e">
        <v>#N/A</v>
      </c>
      <c r="FI339" t="e">
        <v>#N/A</v>
      </c>
      <c r="FK339" t="e">
        <v>#N/A</v>
      </c>
      <c r="FM339" t="e">
        <v>#N/A</v>
      </c>
      <c r="FO339" t="e">
        <v>#N/A</v>
      </c>
      <c r="FQ339" t="e">
        <v>#N/A</v>
      </c>
      <c r="FS339" t="e">
        <v>#N/A</v>
      </c>
      <c r="FU339" t="e">
        <v>#N/A</v>
      </c>
      <c r="FW339" t="e">
        <v>#N/A</v>
      </c>
      <c r="FY339" t="e">
        <v>#N/A</v>
      </c>
      <c r="GA339" t="e">
        <v>#N/A</v>
      </c>
      <c r="GC339" t="e">
        <v>#N/A</v>
      </c>
      <c r="GE339" t="e">
        <v>#N/A</v>
      </c>
      <c r="GG339" t="e">
        <v>#N/A</v>
      </c>
      <c r="GI339" t="e">
        <v>#N/A</v>
      </c>
      <c r="GK339" t="e">
        <v>#N/A</v>
      </c>
      <c r="GM339" t="e">
        <v>#N/A</v>
      </c>
      <c r="GO339" t="e">
        <v>#N/A</v>
      </c>
      <c r="GQ339" t="e">
        <v>#N/A</v>
      </c>
      <c r="GS339" t="e">
        <v>#N/A</v>
      </c>
      <c r="GU339" t="e">
        <v>#N/A</v>
      </c>
      <c r="GW339" t="e">
        <v>#N/A</v>
      </c>
      <c r="GY339" t="e">
        <v>#N/A</v>
      </c>
      <c r="HA339" t="e">
        <v>#N/A</v>
      </c>
      <c r="HC339">
        <v>0</v>
      </c>
      <c r="HD339">
        <v>0</v>
      </c>
      <c r="HE339">
        <v>0</v>
      </c>
      <c r="HF339">
        <v>0</v>
      </c>
      <c r="HG339">
        <v>0</v>
      </c>
      <c r="HH339">
        <v>0</v>
      </c>
      <c r="HI339">
        <v>0</v>
      </c>
      <c r="HJ339">
        <v>0</v>
      </c>
      <c r="HM339">
        <v>0</v>
      </c>
      <c r="HN339">
        <v>0</v>
      </c>
      <c r="HO339">
        <v>0</v>
      </c>
      <c r="HP339">
        <v>0</v>
      </c>
      <c r="HQ339">
        <v>0</v>
      </c>
      <c r="HR339">
        <v>0</v>
      </c>
      <c r="HS339">
        <v>0</v>
      </c>
      <c r="HT339">
        <v>0</v>
      </c>
      <c r="HW339">
        <v>0</v>
      </c>
      <c r="HX339">
        <v>0</v>
      </c>
      <c r="HY339">
        <v>0</v>
      </c>
      <c r="HZ339">
        <v>0</v>
      </c>
      <c r="IA339">
        <v>3930.6</v>
      </c>
      <c r="IB339">
        <v>3632.9</v>
      </c>
      <c r="IC339">
        <v>3795.5</v>
      </c>
      <c r="ID339">
        <v>0</v>
      </c>
      <c r="IE339">
        <v>0</v>
      </c>
      <c r="IF339">
        <v>3548.5</v>
      </c>
      <c r="IG339">
        <v>3395.2</v>
      </c>
      <c r="IH339">
        <v>3395.4</v>
      </c>
      <c r="II339">
        <v>3302.3</v>
      </c>
      <c r="IJ339">
        <v>3172.8</v>
      </c>
      <c r="IK339">
        <v>0</v>
      </c>
      <c r="IL339">
        <v>0</v>
      </c>
      <c r="IM339">
        <v>0</v>
      </c>
      <c r="IN339">
        <v>0</v>
      </c>
      <c r="IO339">
        <v>123.4</v>
      </c>
      <c r="IP339">
        <v>405.2</v>
      </c>
      <c r="IQ339">
        <v>418.7</v>
      </c>
      <c r="IR339">
        <v>0</v>
      </c>
      <c r="IS339">
        <v>0</v>
      </c>
      <c r="IT339">
        <v>0</v>
      </c>
      <c r="IU339">
        <v>0</v>
      </c>
      <c r="IV339">
        <v>396</v>
      </c>
      <c r="IW339">
        <v>0</v>
      </c>
      <c r="IX339">
        <v>0</v>
      </c>
      <c r="IZ339">
        <v>0</v>
      </c>
      <c r="JA339">
        <v>65.5</v>
      </c>
      <c r="JB339">
        <v>443.5</v>
      </c>
      <c r="JC339">
        <v>0</v>
      </c>
      <c r="JD339">
        <v>0</v>
      </c>
      <c r="JE339">
        <v>0</v>
      </c>
      <c r="JF339">
        <v>0</v>
      </c>
      <c r="JG339">
        <v>0</v>
      </c>
      <c r="JH339">
        <v>0</v>
      </c>
      <c r="JI339">
        <v>0</v>
      </c>
      <c r="JJ339">
        <v>0</v>
      </c>
      <c r="JK339">
        <v>0</v>
      </c>
      <c r="JL339">
        <v>0</v>
      </c>
      <c r="JM339">
        <v>0</v>
      </c>
      <c r="JN339">
        <v>0</v>
      </c>
      <c r="JO339">
        <v>0</v>
      </c>
      <c r="JP339">
        <v>0</v>
      </c>
      <c r="JQ339">
        <v>0</v>
      </c>
      <c r="JR339">
        <v>0</v>
      </c>
      <c r="JS339">
        <v>0</v>
      </c>
      <c r="JT339">
        <v>0</v>
      </c>
      <c r="JU339">
        <v>0</v>
      </c>
      <c r="JV339">
        <v>0</v>
      </c>
      <c r="JW339">
        <v>0</v>
      </c>
      <c r="JX339">
        <v>0</v>
      </c>
      <c r="JY339">
        <v>0</v>
      </c>
      <c r="JZ339">
        <v>0</v>
      </c>
      <c r="KA339">
        <v>0</v>
      </c>
      <c r="KB339">
        <v>0</v>
      </c>
      <c r="KC339">
        <v>0</v>
      </c>
      <c r="KD339">
        <v>0</v>
      </c>
      <c r="KE339">
        <v>0</v>
      </c>
      <c r="KF339">
        <v>0</v>
      </c>
      <c r="KI339">
        <v>344.6</v>
      </c>
      <c r="KJ339">
        <v>350.8</v>
      </c>
      <c r="KK339">
        <v>22.1</v>
      </c>
      <c r="KL339">
        <v>379.3</v>
      </c>
      <c r="KM339">
        <v>241.4</v>
      </c>
      <c r="KN339">
        <v>0</v>
      </c>
      <c r="KO339">
        <v>0</v>
      </c>
      <c r="KP339">
        <v>57.3</v>
      </c>
      <c r="KQ339">
        <v>224.4</v>
      </c>
      <c r="KR339">
        <v>338.3</v>
      </c>
      <c r="KS339">
        <v>215.8</v>
      </c>
      <c r="KT339">
        <v>40.700000000000003</v>
      </c>
      <c r="KW339">
        <v>2154.5</v>
      </c>
      <c r="KX339">
        <v>1255.7</v>
      </c>
      <c r="KY339">
        <v>1630.1</v>
      </c>
      <c r="KZ339">
        <v>1246.9000000000001</v>
      </c>
      <c r="LB339">
        <v>78.099999999999994</v>
      </c>
      <c r="LC339">
        <v>77.7</v>
      </c>
    </row>
    <row r="340" spans="1:315" ht="18" thickBot="1">
      <c r="A340" s="245"/>
      <c r="B340" s="245"/>
      <c r="C340" s="332"/>
      <c r="D340" s="286"/>
      <c r="E340" s="449">
        <v>0</v>
      </c>
      <c r="F340" s="209">
        <v>0</v>
      </c>
      <c r="G340" s="427">
        <v>3413.8</v>
      </c>
      <c r="H340" s="155"/>
      <c r="I340">
        <v>735</v>
      </c>
      <c r="K340">
        <v>1973.1000000000001</v>
      </c>
      <c r="L340" s="4">
        <v>221.60000000000002</v>
      </c>
      <c r="M340" s="4">
        <v>54.9</v>
      </c>
      <c r="N340" s="4">
        <v>1989.7</v>
      </c>
      <c r="P340">
        <v>0</v>
      </c>
      <c r="Q340">
        <v>238.29999999999998</v>
      </c>
      <c r="R340">
        <v>0</v>
      </c>
      <c r="S340">
        <v>0</v>
      </c>
      <c r="T340">
        <v>368.5</v>
      </c>
      <c r="W340">
        <v>720.3</v>
      </c>
      <c r="X340">
        <v>1411.5</v>
      </c>
      <c r="Y340">
        <v>96.5</v>
      </c>
      <c r="AA340">
        <v>859.6</v>
      </c>
      <c r="AB340">
        <v>1577.6000000000001</v>
      </c>
      <c r="AE340">
        <v>1330</v>
      </c>
      <c r="AF340">
        <v>1025.5</v>
      </c>
      <c r="AH340">
        <v>509.9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1349.3</v>
      </c>
      <c r="AO340">
        <v>786.40000000000009</v>
      </c>
      <c r="AP340">
        <v>0</v>
      </c>
      <c r="AQ340">
        <v>68.3</v>
      </c>
      <c r="AR340">
        <v>234.9</v>
      </c>
      <c r="AS340">
        <v>600.40000000000009</v>
      </c>
      <c r="AU340">
        <v>985.69999999999993</v>
      </c>
      <c r="AW340">
        <v>792</v>
      </c>
      <c r="AX340">
        <v>1988.5</v>
      </c>
      <c r="AZ340">
        <v>763.5</v>
      </c>
      <c r="BA340">
        <v>0</v>
      </c>
      <c r="BB340">
        <v>0</v>
      </c>
      <c r="BC340">
        <v>1935.3</v>
      </c>
      <c r="BD340">
        <v>1006.5</v>
      </c>
      <c r="BE340">
        <v>0</v>
      </c>
      <c r="BF340">
        <v>0</v>
      </c>
      <c r="BG340">
        <v>0</v>
      </c>
      <c r="BH340">
        <v>1662.6</v>
      </c>
      <c r="BJ340">
        <v>0</v>
      </c>
      <c r="BK340">
        <v>0</v>
      </c>
      <c r="BL340">
        <v>1038.9000000000001</v>
      </c>
      <c r="BM340">
        <v>1101</v>
      </c>
      <c r="BO340">
        <v>1276.8000000000002</v>
      </c>
      <c r="BQ340">
        <v>0</v>
      </c>
      <c r="BR340">
        <v>270.7</v>
      </c>
      <c r="BS340">
        <v>230.5</v>
      </c>
      <c r="BT340">
        <v>472.3</v>
      </c>
      <c r="BU340">
        <v>537.29999999999995</v>
      </c>
      <c r="BV340">
        <v>346.3</v>
      </c>
      <c r="BW340">
        <v>386.2</v>
      </c>
      <c r="BX340">
        <v>767</v>
      </c>
      <c r="BY340">
        <v>757.2</v>
      </c>
      <c r="BZ340">
        <v>1037.2</v>
      </c>
      <c r="CA340">
        <v>1227.0999999999999</v>
      </c>
      <c r="CB340">
        <v>1232.0999999999999</v>
      </c>
      <c r="CC340">
        <v>1701.5</v>
      </c>
      <c r="CD340">
        <v>0</v>
      </c>
      <c r="CG340">
        <v>1385.3</v>
      </c>
      <c r="CJ340">
        <v>1630.2999999999997</v>
      </c>
      <c r="CM340">
        <v>1184.2</v>
      </c>
      <c r="CO340">
        <v>1248.0999999999999</v>
      </c>
      <c r="CQ340">
        <v>1435.3</v>
      </c>
      <c r="CR340">
        <v>798.2</v>
      </c>
      <c r="CS340">
        <v>923.8</v>
      </c>
      <c r="CT340">
        <v>0</v>
      </c>
      <c r="CU340">
        <v>0</v>
      </c>
      <c r="CV340">
        <v>0</v>
      </c>
      <c r="CW340">
        <v>0</v>
      </c>
      <c r="CX340">
        <v>163.69999999999999</v>
      </c>
      <c r="CY340">
        <v>0</v>
      </c>
      <c r="CZ340">
        <v>0</v>
      </c>
      <c r="DA340">
        <v>0</v>
      </c>
      <c r="DB340">
        <v>0</v>
      </c>
      <c r="DC340">
        <v>0</v>
      </c>
      <c r="DD340">
        <v>0</v>
      </c>
      <c r="DE340">
        <v>0</v>
      </c>
      <c r="DI340">
        <v>0</v>
      </c>
      <c r="EC340">
        <v>0</v>
      </c>
      <c r="ED340">
        <v>0</v>
      </c>
      <c r="EE340">
        <v>0</v>
      </c>
      <c r="EF340">
        <v>0</v>
      </c>
      <c r="EG340">
        <v>0</v>
      </c>
      <c r="EH340">
        <v>0</v>
      </c>
      <c r="EI340">
        <v>0</v>
      </c>
      <c r="EJ340">
        <v>0</v>
      </c>
      <c r="EM340">
        <v>0</v>
      </c>
      <c r="EN340">
        <v>0</v>
      </c>
      <c r="EO340">
        <v>0</v>
      </c>
      <c r="EP340">
        <v>0</v>
      </c>
      <c r="EQ340">
        <v>0</v>
      </c>
      <c r="ER340">
        <v>0</v>
      </c>
      <c r="ES340">
        <v>0</v>
      </c>
      <c r="ET340">
        <v>0</v>
      </c>
      <c r="EW340">
        <v>0</v>
      </c>
      <c r="EX340">
        <v>0</v>
      </c>
      <c r="EY340">
        <v>0</v>
      </c>
      <c r="EZ340">
        <v>0</v>
      </c>
      <c r="FA340">
        <v>0</v>
      </c>
      <c r="FB340">
        <v>0</v>
      </c>
      <c r="FC340">
        <v>0</v>
      </c>
      <c r="FD340">
        <v>0</v>
      </c>
      <c r="FG340" t="e">
        <v>#N/A</v>
      </c>
      <c r="FI340" t="e">
        <v>#N/A</v>
      </c>
      <c r="FK340" t="e">
        <v>#N/A</v>
      </c>
      <c r="FM340" t="e">
        <v>#N/A</v>
      </c>
      <c r="FO340" t="e">
        <v>#N/A</v>
      </c>
      <c r="FQ340" t="e">
        <v>#N/A</v>
      </c>
      <c r="FS340" t="e">
        <v>#N/A</v>
      </c>
      <c r="FU340" t="e">
        <v>#N/A</v>
      </c>
      <c r="FW340" t="e">
        <v>#N/A</v>
      </c>
      <c r="FY340" t="e">
        <v>#N/A</v>
      </c>
      <c r="GA340" t="e">
        <v>#N/A</v>
      </c>
      <c r="GC340" t="e">
        <v>#N/A</v>
      </c>
      <c r="GE340" t="e">
        <v>#N/A</v>
      </c>
      <c r="GG340" t="e">
        <v>#N/A</v>
      </c>
      <c r="GI340" t="e">
        <v>#N/A</v>
      </c>
      <c r="GK340" t="e">
        <v>#N/A</v>
      </c>
      <c r="GM340" t="e">
        <v>#N/A</v>
      </c>
      <c r="GO340" t="e">
        <v>#N/A</v>
      </c>
      <c r="GQ340" t="e">
        <v>#N/A</v>
      </c>
      <c r="GS340" t="e">
        <v>#N/A</v>
      </c>
      <c r="GU340" t="e">
        <v>#N/A</v>
      </c>
      <c r="GW340" t="e">
        <v>#N/A</v>
      </c>
      <c r="GY340" t="e">
        <v>#N/A</v>
      </c>
      <c r="HA340" t="e">
        <v>#N/A</v>
      </c>
      <c r="HC340">
        <v>0</v>
      </c>
      <c r="HD340">
        <v>0</v>
      </c>
      <c r="HE340">
        <v>0</v>
      </c>
      <c r="HF340">
        <v>0</v>
      </c>
      <c r="HG340">
        <v>0</v>
      </c>
      <c r="HH340">
        <v>0</v>
      </c>
      <c r="HI340">
        <v>0</v>
      </c>
      <c r="HJ340">
        <v>0</v>
      </c>
      <c r="HM340">
        <v>0</v>
      </c>
      <c r="HN340">
        <v>0</v>
      </c>
      <c r="HO340">
        <v>0</v>
      </c>
      <c r="HP340">
        <v>0</v>
      </c>
      <c r="HQ340">
        <v>0</v>
      </c>
      <c r="HR340">
        <v>0</v>
      </c>
      <c r="HS340">
        <v>0</v>
      </c>
      <c r="HT340">
        <v>0</v>
      </c>
      <c r="HW340">
        <v>0</v>
      </c>
      <c r="HX340">
        <v>0</v>
      </c>
      <c r="HY340">
        <v>0</v>
      </c>
      <c r="HZ340">
        <v>0</v>
      </c>
      <c r="IA340">
        <v>3930.6</v>
      </c>
      <c r="IB340">
        <v>3632.9</v>
      </c>
      <c r="IC340">
        <v>3795.5</v>
      </c>
      <c r="ID340">
        <v>0</v>
      </c>
      <c r="IE340">
        <v>0</v>
      </c>
      <c r="IF340">
        <v>3548.5</v>
      </c>
      <c r="IG340">
        <v>3395.2</v>
      </c>
      <c r="IH340">
        <v>3395.4</v>
      </c>
      <c r="II340">
        <v>3302.3</v>
      </c>
      <c r="IJ340">
        <v>3172.8</v>
      </c>
      <c r="IK340">
        <v>0</v>
      </c>
      <c r="IL340">
        <v>0</v>
      </c>
      <c r="IM340">
        <v>0</v>
      </c>
      <c r="IN340">
        <v>0</v>
      </c>
      <c r="IO340">
        <v>123.4</v>
      </c>
      <c r="IP340">
        <v>405.2</v>
      </c>
      <c r="IQ340">
        <v>418.7</v>
      </c>
      <c r="IR340">
        <v>0</v>
      </c>
      <c r="IS340">
        <v>0</v>
      </c>
      <c r="IT340">
        <v>0</v>
      </c>
      <c r="IU340">
        <v>0</v>
      </c>
      <c r="IV340">
        <v>396</v>
      </c>
      <c r="IW340">
        <v>0</v>
      </c>
      <c r="IX340">
        <v>0</v>
      </c>
      <c r="IZ340">
        <v>0</v>
      </c>
      <c r="JA340">
        <v>65.5</v>
      </c>
      <c r="JB340">
        <v>443.5</v>
      </c>
      <c r="JC340">
        <v>0</v>
      </c>
      <c r="JD340">
        <v>0</v>
      </c>
      <c r="JE340">
        <v>0</v>
      </c>
      <c r="JF340">
        <v>0</v>
      </c>
      <c r="JG340">
        <v>0</v>
      </c>
      <c r="JH340">
        <v>0</v>
      </c>
      <c r="JI340">
        <v>0</v>
      </c>
      <c r="JJ340">
        <v>0</v>
      </c>
      <c r="JK340">
        <v>0</v>
      </c>
      <c r="JL340">
        <v>0</v>
      </c>
      <c r="JM340">
        <v>0</v>
      </c>
      <c r="JN340">
        <v>0</v>
      </c>
      <c r="JO340">
        <v>0</v>
      </c>
      <c r="JP340">
        <v>0</v>
      </c>
      <c r="JQ340">
        <v>0</v>
      </c>
      <c r="JR340">
        <v>0</v>
      </c>
      <c r="JS340">
        <v>0</v>
      </c>
      <c r="JT340">
        <v>0</v>
      </c>
      <c r="JU340">
        <v>0</v>
      </c>
      <c r="JV340">
        <v>0</v>
      </c>
      <c r="JW340">
        <v>0</v>
      </c>
      <c r="JX340">
        <v>0</v>
      </c>
      <c r="JY340">
        <v>0</v>
      </c>
      <c r="JZ340">
        <v>0</v>
      </c>
      <c r="KA340">
        <v>0</v>
      </c>
      <c r="KB340">
        <v>0</v>
      </c>
      <c r="KC340">
        <v>0</v>
      </c>
      <c r="KD340">
        <v>0</v>
      </c>
      <c r="KE340">
        <v>0</v>
      </c>
      <c r="KF340">
        <v>0</v>
      </c>
      <c r="KI340">
        <v>344.6</v>
      </c>
      <c r="KJ340">
        <v>350.8</v>
      </c>
      <c r="KK340">
        <v>22.1</v>
      </c>
      <c r="KL340">
        <v>379.3</v>
      </c>
      <c r="KM340">
        <v>241.4</v>
      </c>
      <c r="KN340">
        <v>0</v>
      </c>
      <c r="KO340">
        <v>0</v>
      </c>
      <c r="KP340">
        <v>57.3</v>
      </c>
      <c r="KQ340">
        <v>224.4</v>
      </c>
      <c r="KR340">
        <v>338.3</v>
      </c>
      <c r="KS340">
        <v>215.8</v>
      </c>
      <c r="KT340">
        <v>40.700000000000003</v>
      </c>
      <c r="KW340">
        <v>2154.5</v>
      </c>
      <c r="KX340">
        <v>1255.7</v>
      </c>
      <c r="KY340">
        <v>1630.1</v>
      </c>
      <c r="KZ340">
        <v>1246.9000000000001</v>
      </c>
      <c r="LB340">
        <v>78.099999999999994</v>
      </c>
      <c r="LC340">
        <v>77.7</v>
      </c>
    </row>
    <row r="341" spans="1:315" ht="18" thickBot="1">
      <c r="A341" s="246"/>
      <c r="B341" s="246"/>
      <c r="C341" s="338"/>
      <c r="D341" s="294"/>
      <c r="E341" s="452">
        <v>0</v>
      </c>
      <c r="F341" s="210">
        <v>0</v>
      </c>
      <c r="G341" s="427">
        <v>3413.8</v>
      </c>
      <c r="H341" s="155"/>
      <c r="I341">
        <v>735</v>
      </c>
      <c r="K341">
        <v>1973.1000000000001</v>
      </c>
      <c r="L341" s="4">
        <v>221.60000000000002</v>
      </c>
      <c r="M341" s="4">
        <v>54.9</v>
      </c>
      <c r="N341" s="4">
        <v>1989.7</v>
      </c>
      <c r="P341">
        <v>0</v>
      </c>
      <c r="Q341">
        <v>238.29999999999998</v>
      </c>
      <c r="R341">
        <v>0</v>
      </c>
      <c r="S341">
        <v>0</v>
      </c>
      <c r="T341">
        <v>368.5</v>
      </c>
      <c r="W341">
        <v>720.3</v>
      </c>
      <c r="X341">
        <v>1411.5</v>
      </c>
      <c r="Y341">
        <v>96.5</v>
      </c>
      <c r="AA341">
        <v>859.6</v>
      </c>
      <c r="AB341">
        <v>1577.6000000000001</v>
      </c>
      <c r="AE341">
        <v>1330</v>
      </c>
      <c r="AF341">
        <v>1025.5</v>
      </c>
      <c r="AH341">
        <v>509.9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1349.3</v>
      </c>
      <c r="AO341">
        <v>786.40000000000009</v>
      </c>
      <c r="AP341">
        <v>0</v>
      </c>
      <c r="AQ341">
        <v>68.3</v>
      </c>
      <c r="AR341">
        <v>234.9</v>
      </c>
      <c r="AS341">
        <v>600.40000000000009</v>
      </c>
      <c r="AU341">
        <v>985.69999999999993</v>
      </c>
      <c r="AW341">
        <v>792</v>
      </c>
      <c r="AX341">
        <v>1988.5</v>
      </c>
      <c r="AZ341">
        <v>763.5</v>
      </c>
      <c r="BA341">
        <v>0</v>
      </c>
      <c r="BB341">
        <v>0</v>
      </c>
      <c r="BC341">
        <v>1935.3</v>
      </c>
      <c r="BD341">
        <v>1006.5</v>
      </c>
      <c r="BE341">
        <v>0</v>
      </c>
      <c r="BF341">
        <v>0</v>
      </c>
      <c r="BG341">
        <v>0</v>
      </c>
      <c r="BH341">
        <v>1662.6</v>
      </c>
      <c r="BJ341">
        <v>0</v>
      </c>
      <c r="BK341">
        <v>0</v>
      </c>
      <c r="BL341">
        <v>1038.9000000000001</v>
      </c>
      <c r="BM341">
        <v>1101</v>
      </c>
      <c r="BO341">
        <v>1276.8000000000002</v>
      </c>
      <c r="BQ341">
        <v>0</v>
      </c>
      <c r="BR341">
        <v>270.7</v>
      </c>
      <c r="BS341">
        <v>230.5</v>
      </c>
      <c r="BT341">
        <v>472.3</v>
      </c>
      <c r="BU341">
        <v>537.29999999999995</v>
      </c>
      <c r="BV341">
        <v>346.3</v>
      </c>
      <c r="BW341">
        <v>386.2</v>
      </c>
      <c r="BX341">
        <v>767</v>
      </c>
      <c r="BY341">
        <v>757.2</v>
      </c>
      <c r="BZ341">
        <v>1037.2</v>
      </c>
      <c r="CA341">
        <v>1227.0999999999999</v>
      </c>
      <c r="CB341">
        <v>1232.0999999999999</v>
      </c>
      <c r="CC341">
        <v>1701.5</v>
      </c>
      <c r="CD341">
        <v>0</v>
      </c>
      <c r="CG341">
        <v>1385.3</v>
      </c>
      <c r="CJ341">
        <v>1630.2999999999997</v>
      </c>
      <c r="CM341">
        <v>1184.2</v>
      </c>
      <c r="CO341">
        <v>1248.0999999999999</v>
      </c>
      <c r="CQ341">
        <v>1435.3</v>
      </c>
      <c r="CR341">
        <v>798.2</v>
      </c>
      <c r="CS341">
        <v>923.8</v>
      </c>
      <c r="CT341">
        <v>0</v>
      </c>
      <c r="CU341">
        <v>0</v>
      </c>
      <c r="CV341">
        <v>0</v>
      </c>
      <c r="CW341">
        <v>0</v>
      </c>
      <c r="CX341">
        <v>163.69999999999999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I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0</v>
      </c>
      <c r="ES341">
        <v>0</v>
      </c>
      <c r="ET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  <c r="FD341">
        <v>0</v>
      </c>
      <c r="FG341" t="e">
        <v>#N/A</v>
      </c>
      <c r="FI341" t="e">
        <v>#N/A</v>
      </c>
      <c r="FK341" t="e">
        <v>#N/A</v>
      </c>
      <c r="FM341" t="e">
        <v>#N/A</v>
      </c>
      <c r="FO341" t="e">
        <v>#N/A</v>
      </c>
      <c r="FQ341" t="e">
        <v>#N/A</v>
      </c>
      <c r="FS341" t="e">
        <v>#N/A</v>
      </c>
      <c r="FU341" t="e">
        <v>#N/A</v>
      </c>
      <c r="FW341" t="e">
        <v>#N/A</v>
      </c>
      <c r="FY341" t="e">
        <v>#N/A</v>
      </c>
      <c r="GA341" t="e">
        <v>#N/A</v>
      </c>
      <c r="GC341" t="e">
        <v>#N/A</v>
      </c>
      <c r="GE341" t="e">
        <v>#N/A</v>
      </c>
      <c r="GG341" t="e">
        <v>#N/A</v>
      </c>
      <c r="GI341" t="e">
        <v>#N/A</v>
      </c>
      <c r="GK341" t="e">
        <v>#N/A</v>
      </c>
      <c r="GM341" t="e">
        <v>#N/A</v>
      </c>
      <c r="GO341" t="e">
        <v>#N/A</v>
      </c>
      <c r="GQ341" t="e">
        <v>#N/A</v>
      </c>
      <c r="GS341" t="e">
        <v>#N/A</v>
      </c>
      <c r="GU341" t="e">
        <v>#N/A</v>
      </c>
      <c r="GW341" t="e">
        <v>#N/A</v>
      </c>
      <c r="GY341" t="e">
        <v>#N/A</v>
      </c>
      <c r="HA341" t="e">
        <v>#N/A</v>
      </c>
      <c r="HC341">
        <v>0</v>
      </c>
      <c r="HD341">
        <v>0</v>
      </c>
      <c r="HE341">
        <v>0</v>
      </c>
      <c r="HF341">
        <v>0</v>
      </c>
      <c r="HG341">
        <v>0</v>
      </c>
      <c r="HH341">
        <v>0</v>
      </c>
      <c r="HI341">
        <v>0</v>
      </c>
      <c r="HJ341">
        <v>0</v>
      </c>
      <c r="HM341">
        <v>0</v>
      </c>
      <c r="HN341">
        <v>0</v>
      </c>
      <c r="HO341">
        <v>0</v>
      </c>
      <c r="HP341">
        <v>0</v>
      </c>
      <c r="HQ341">
        <v>0</v>
      </c>
      <c r="HR341">
        <v>0</v>
      </c>
      <c r="HS341">
        <v>0</v>
      </c>
      <c r="HT341">
        <v>0</v>
      </c>
      <c r="HW341">
        <v>0</v>
      </c>
      <c r="HX341">
        <v>0</v>
      </c>
      <c r="HY341">
        <v>0</v>
      </c>
      <c r="HZ341">
        <v>0</v>
      </c>
      <c r="IA341">
        <v>3930.6</v>
      </c>
      <c r="IB341">
        <v>3632.9</v>
      </c>
      <c r="IC341">
        <v>3795.5</v>
      </c>
      <c r="ID341">
        <v>0</v>
      </c>
      <c r="IE341">
        <v>0</v>
      </c>
      <c r="IF341">
        <v>3548.5</v>
      </c>
      <c r="IG341">
        <v>3395.2</v>
      </c>
      <c r="IH341">
        <v>3395.4</v>
      </c>
      <c r="II341">
        <v>3302.3</v>
      </c>
      <c r="IJ341">
        <v>3172.8</v>
      </c>
      <c r="IK341">
        <v>0</v>
      </c>
      <c r="IL341">
        <v>0</v>
      </c>
      <c r="IM341">
        <v>0</v>
      </c>
      <c r="IN341">
        <v>0</v>
      </c>
      <c r="IO341">
        <v>123.4</v>
      </c>
      <c r="IP341">
        <v>405.2</v>
      </c>
      <c r="IQ341">
        <v>418.7</v>
      </c>
      <c r="IR341">
        <v>0</v>
      </c>
      <c r="IS341">
        <v>0</v>
      </c>
      <c r="IT341">
        <v>0</v>
      </c>
      <c r="IU341">
        <v>0</v>
      </c>
      <c r="IV341">
        <v>396</v>
      </c>
      <c r="IW341">
        <v>0</v>
      </c>
      <c r="IX341">
        <v>0</v>
      </c>
      <c r="IZ341">
        <v>0</v>
      </c>
      <c r="JA341">
        <v>65.5</v>
      </c>
      <c r="JB341">
        <v>443.5</v>
      </c>
      <c r="JC341">
        <v>0</v>
      </c>
      <c r="JD341">
        <v>0</v>
      </c>
      <c r="JE341">
        <v>0</v>
      </c>
      <c r="JF341">
        <v>0</v>
      </c>
      <c r="JG341">
        <v>0</v>
      </c>
      <c r="JH341">
        <v>0</v>
      </c>
      <c r="JI341">
        <v>0</v>
      </c>
      <c r="JJ341">
        <v>0</v>
      </c>
      <c r="JK341">
        <v>0</v>
      </c>
      <c r="JL341">
        <v>0</v>
      </c>
      <c r="JM341">
        <v>0</v>
      </c>
      <c r="JN341">
        <v>0</v>
      </c>
      <c r="JO341">
        <v>0</v>
      </c>
      <c r="JP341">
        <v>0</v>
      </c>
      <c r="JQ341">
        <v>0</v>
      </c>
      <c r="JR341">
        <v>0</v>
      </c>
      <c r="JS341">
        <v>0</v>
      </c>
      <c r="JT341">
        <v>0</v>
      </c>
      <c r="JU341">
        <v>0</v>
      </c>
      <c r="JV341">
        <v>0</v>
      </c>
      <c r="JW341">
        <v>0</v>
      </c>
      <c r="JX341">
        <v>0</v>
      </c>
      <c r="JY341">
        <v>0</v>
      </c>
      <c r="JZ341">
        <v>0</v>
      </c>
      <c r="KA341">
        <v>0</v>
      </c>
      <c r="KB341">
        <v>0</v>
      </c>
      <c r="KC341">
        <v>0</v>
      </c>
      <c r="KD341">
        <v>0</v>
      </c>
      <c r="KE341">
        <v>0</v>
      </c>
      <c r="KF341">
        <v>0</v>
      </c>
      <c r="KI341">
        <v>344.6</v>
      </c>
      <c r="KJ341">
        <v>350.8</v>
      </c>
      <c r="KK341">
        <v>22.1</v>
      </c>
      <c r="KL341">
        <v>379.3</v>
      </c>
      <c r="KM341">
        <v>241.4</v>
      </c>
      <c r="KN341">
        <v>0</v>
      </c>
      <c r="KO341">
        <v>0</v>
      </c>
      <c r="KP341">
        <v>57.3</v>
      </c>
      <c r="KQ341">
        <v>224.4</v>
      </c>
      <c r="KR341">
        <v>338.3</v>
      </c>
      <c r="KS341">
        <v>215.8</v>
      </c>
      <c r="KT341">
        <v>40.700000000000003</v>
      </c>
      <c r="KW341">
        <v>2154.5</v>
      </c>
      <c r="KX341">
        <v>1255.7</v>
      </c>
      <c r="KY341">
        <v>1630.1</v>
      </c>
      <c r="KZ341">
        <v>1246.9000000000001</v>
      </c>
      <c r="LB341">
        <v>78.099999999999994</v>
      </c>
      <c r="LC341">
        <v>77.7</v>
      </c>
    </row>
    <row r="342" spans="1:315" ht="18.600000000000001" thickTop="1" thickBot="1">
      <c r="A342" s="181"/>
      <c r="B342" s="181"/>
      <c r="C342" s="333" t="s">
        <v>668</v>
      </c>
      <c r="D342" s="287"/>
      <c r="E342" s="442">
        <v>0</v>
      </c>
      <c r="F342" s="190">
        <v>0</v>
      </c>
      <c r="G342" s="427">
        <v>3413.8</v>
      </c>
      <c r="H342" s="155"/>
      <c r="I342">
        <v>735</v>
      </c>
      <c r="K342">
        <v>1973.1000000000001</v>
      </c>
      <c r="L342" s="4">
        <v>221.60000000000002</v>
      </c>
      <c r="M342" s="4">
        <v>54.9</v>
      </c>
      <c r="N342" s="4">
        <v>1989.7</v>
      </c>
      <c r="P342">
        <v>0</v>
      </c>
      <c r="Q342">
        <v>238.29999999999998</v>
      </c>
      <c r="R342">
        <v>0</v>
      </c>
      <c r="S342">
        <v>0</v>
      </c>
      <c r="T342">
        <v>368.5</v>
      </c>
      <c r="W342">
        <v>720.3</v>
      </c>
      <c r="X342">
        <v>1411.5</v>
      </c>
      <c r="Y342">
        <v>96.5</v>
      </c>
      <c r="AA342">
        <v>859.6</v>
      </c>
      <c r="AB342">
        <v>1577.6000000000001</v>
      </c>
      <c r="AE342">
        <v>1330</v>
      </c>
      <c r="AF342">
        <v>1025.5</v>
      </c>
      <c r="AH342">
        <v>509.9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1349.3</v>
      </c>
      <c r="AO342">
        <v>786.40000000000009</v>
      </c>
      <c r="AP342">
        <v>0</v>
      </c>
      <c r="AQ342">
        <v>68.3</v>
      </c>
      <c r="AR342">
        <v>234.9</v>
      </c>
      <c r="AS342">
        <v>600.40000000000009</v>
      </c>
      <c r="AU342">
        <v>985.69999999999993</v>
      </c>
      <c r="AW342">
        <v>792</v>
      </c>
      <c r="AX342">
        <v>1988.5</v>
      </c>
      <c r="AZ342">
        <v>763.5</v>
      </c>
      <c r="BA342">
        <v>0</v>
      </c>
      <c r="BB342">
        <v>0</v>
      </c>
      <c r="BC342">
        <v>1935.3</v>
      </c>
      <c r="BD342">
        <v>1006.5</v>
      </c>
      <c r="BE342">
        <v>0</v>
      </c>
      <c r="BF342">
        <v>0</v>
      </c>
      <c r="BG342">
        <v>0</v>
      </c>
      <c r="BH342">
        <v>1662.6</v>
      </c>
      <c r="BJ342">
        <v>0</v>
      </c>
      <c r="BK342">
        <v>0</v>
      </c>
      <c r="BL342">
        <v>1038.9000000000001</v>
      </c>
      <c r="BM342">
        <v>1101</v>
      </c>
      <c r="BO342">
        <v>1276.8000000000002</v>
      </c>
      <c r="BQ342">
        <v>0</v>
      </c>
      <c r="BR342">
        <v>270.7</v>
      </c>
      <c r="BS342">
        <v>230.5</v>
      </c>
      <c r="BT342">
        <v>472.3</v>
      </c>
      <c r="BU342">
        <v>537.29999999999995</v>
      </c>
      <c r="BV342">
        <v>346.3</v>
      </c>
      <c r="BW342">
        <v>386.2</v>
      </c>
      <c r="BX342">
        <v>767</v>
      </c>
      <c r="BY342">
        <v>757.2</v>
      </c>
      <c r="BZ342">
        <v>1037.2</v>
      </c>
      <c r="CA342">
        <v>1227.0999999999999</v>
      </c>
      <c r="CB342">
        <v>1232.0999999999999</v>
      </c>
      <c r="CC342">
        <v>1701.5</v>
      </c>
      <c r="CD342">
        <v>0</v>
      </c>
      <c r="CG342">
        <v>1385.3</v>
      </c>
      <c r="CJ342">
        <v>1630.2999999999997</v>
      </c>
      <c r="CM342">
        <v>1184.2</v>
      </c>
      <c r="CO342">
        <v>1248.0999999999999</v>
      </c>
      <c r="CQ342">
        <v>1435.3</v>
      </c>
      <c r="CR342">
        <v>798.2</v>
      </c>
      <c r="CS342">
        <v>923.8</v>
      </c>
      <c r="CT342">
        <v>0</v>
      </c>
      <c r="CU342">
        <v>0</v>
      </c>
      <c r="CV342">
        <v>0</v>
      </c>
      <c r="CW342">
        <v>0</v>
      </c>
      <c r="CX342">
        <v>163.69999999999999</v>
      </c>
      <c r="CY342">
        <v>0</v>
      </c>
      <c r="CZ342">
        <v>0</v>
      </c>
      <c r="DA342">
        <v>0</v>
      </c>
      <c r="DB342">
        <v>0</v>
      </c>
      <c r="DC342">
        <v>0</v>
      </c>
      <c r="DD342">
        <v>0</v>
      </c>
      <c r="DE342">
        <v>0</v>
      </c>
      <c r="DI342">
        <v>0</v>
      </c>
      <c r="EC342">
        <v>0</v>
      </c>
      <c r="ED342">
        <v>0</v>
      </c>
      <c r="EE342">
        <v>0</v>
      </c>
      <c r="EF342">
        <v>0</v>
      </c>
      <c r="EG342">
        <v>0</v>
      </c>
      <c r="EH342">
        <v>0</v>
      </c>
      <c r="EI342">
        <v>0</v>
      </c>
      <c r="EJ342">
        <v>0</v>
      </c>
      <c r="EM342">
        <v>0</v>
      </c>
      <c r="EN342">
        <v>0</v>
      </c>
      <c r="EO342">
        <v>0</v>
      </c>
      <c r="EP342">
        <v>0</v>
      </c>
      <c r="EQ342">
        <v>0</v>
      </c>
      <c r="ER342">
        <v>0</v>
      </c>
      <c r="ES342">
        <v>0</v>
      </c>
      <c r="ET342">
        <v>0</v>
      </c>
      <c r="EW342">
        <v>0</v>
      </c>
      <c r="EX342">
        <v>0</v>
      </c>
      <c r="EY342">
        <v>0</v>
      </c>
      <c r="EZ342">
        <v>0</v>
      </c>
      <c r="FA342">
        <v>0</v>
      </c>
      <c r="FB342">
        <v>0</v>
      </c>
      <c r="FC342">
        <v>0</v>
      </c>
      <c r="FD342">
        <v>0</v>
      </c>
      <c r="FG342" t="e">
        <v>#N/A</v>
      </c>
      <c r="FI342" t="e">
        <v>#N/A</v>
      </c>
      <c r="FK342" t="e">
        <v>#N/A</v>
      </c>
      <c r="FM342" t="e">
        <v>#N/A</v>
      </c>
      <c r="FO342" t="e">
        <v>#N/A</v>
      </c>
      <c r="FQ342" t="e">
        <v>#N/A</v>
      </c>
      <c r="FS342" t="e">
        <v>#N/A</v>
      </c>
      <c r="FU342" t="e">
        <v>#N/A</v>
      </c>
      <c r="FW342" t="e">
        <v>#N/A</v>
      </c>
      <c r="FY342" t="e">
        <v>#N/A</v>
      </c>
      <c r="GA342" t="e">
        <v>#N/A</v>
      </c>
      <c r="GC342" t="e">
        <v>#N/A</v>
      </c>
      <c r="GE342" t="e">
        <v>#N/A</v>
      </c>
      <c r="GG342" t="e">
        <v>#N/A</v>
      </c>
      <c r="GI342" t="e">
        <v>#N/A</v>
      </c>
      <c r="GK342" t="e">
        <v>#N/A</v>
      </c>
      <c r="GM342" t="e">
        <v>#N/A</v>
      </c>
      <c r="GO342" t="e">
        <v>#N/A</v>
      </c>
      <c r="GQ342" t="e">
        <v>#N/A</v>
      </c>
      <c r="GS342" t="e">
        <v>#N/A</v>
      </c>
      <c r="GU342" t="e">
        <v>#N/A</v>
      </c>
      <c r="GW342" t="e">
        <v>#N/A</v>
      </c>
      <c r="GY342" t="e">
        <v>#N/A</v>
      </c>
      <c r="HA342" t="e">
        <v>#N/A</v>
      </c>
      <c r="HC342">
        <v>0</v>
      </c>
      <c r="HD342">
        <v>0</v>
      </c>
      <c r="HE342">
        <v>0</v>
      </c>
      <c r="HF342">
        <v>0</v>
      </c>
      <c r="HG342">
        <v>0</v>
      </c>
      <c r="HH342">
        <v>0</v>
      </c>
      <c r="HI342">
        <v>0</v>
      </c>
      <c r="HJ342">
        <v>0</v>
      </c>
      <c r="HM342">
        <v>0</v>
      </c>
      <c r="HN342">
        <v>0</v>
      </c>
      <c r="HO342">
        <v>0</v>
      </c>
      <c r="HP342">
        <v>0</v>
      </c>
      <c r="HQ342">
        <v>0</v>
      </c>
      <c r="HR342">
        <v>0</v>
      </c>
      <c r="HS342">
        <v>0</v>
      </c>
      <c r="HT342">
        <v>0</v>
      </c>
      <c r="HW342">
        <v>0</v>
      </c>
      <c r="HX342">
        <v>0</v>
      </c>
      <c r="HY342">
        <v>0</v>
      </c>
      <c r="HZ342">
        <v>0</v>
      </c>
      <c r="IA342">
        <v>3930.6</v>
      </c>
      <c r="IB342">
        <v>3632.9</v>
      </c>
      <c r="IC342">
        <v>3795.5</v>
      </c>
      <c r="ID342">
        <v>0</v>
      </c>
      <c r="IE342">
        <v>0</v>
      </c>
      <c r="IF342">
        <v>3548.5</v>
      </c>
      <c r="IG342">
        <v>3395.2</v>
      </c>
      <c r="IH342">
        <v>3395.4</v>
      </c>
      <c r="II342">
        <v>3302.3</v>
      </c>
      <c r="IJ342">
        <v>3172.8</v>
      </c>
      <c r="IK342">
        <v>0</v>
      </c>
      <c r="IL342">
        <v>0</v>
      </c>
      <c r="IM342">
        <v>0</v>
      </c>
      <c r="IN342">
        <v>0</v>
      </c>
      <c r="IO342">
        <v>123.4</v>
      </c>
      <c r="IP342">
        <v>405.2</v>
      </c>
      <c r="IQ342">
        <v>418.7</v>
      </c>
      <c r="IR342">
        <v>0</v>
      </c>
      <c r="IS342">
        <v>0</v>
      </c>
      <c r="IT342">
        <v>0</v>
      </c>
      <c r="IU342">
        <v>0</v>
      </c>
      <c r="IV342">
        <v>396</v>
      </c>
      <c r="IW342">
        <v>0</v>
      </c>
      <c r="IX342">
        <v>0</v>
      </c>
      <c r="IZ342">
        <v>0</v>
      </c>
      <c r="JA342">
        <v>65.5</v>
      </c>
      <c r="JB342">
        <v>443.5</v>
      </c>
      <c r="JC342">
        <v>0</v>
      </c>
      <c r="JD342">
        <v>0</v>
      </c>
      <c r="JE342">
        <v>0</v>
      </c>
      <c r="JF342">
        <v>0</v>
      </c>
      <c r="JG342">
        <v>0</v>
      </c>
      <c r="JH342">
        <v>0</v>
      </c>
      <c r="JI342">
        <v>0</v>
      </c>
      <c r="JJ342">
        <v>0</v>
      </c>
      <c r="JK342">
        <v>0</v>
      </c>
      <c r="JL342">
        <v>0</v>
      </c>
      <c r="JM342">
        <v>0</v>
      </c>
      <c r="JN342">
        <v>0</v>
      </c>
      <c r="JO342">
        <v>0</v>
      </c>
      <c r="JP342">
        <v>0</v>
      </c>
      <c r="JQ342">
        <v>0</v>
      </c>
      <c r="JR342">
        <v>0</v>
      </c>
      <c r="JS342">
        <v>0</v>
      </c>
      <c r="JT342">
        <v>0</v>
      </c>
      <c r="JU342">
        <v>0</v>
      </c>
      <c r="JV342">
        <v>0</v>
      </c>
      <c r="JW342">
        <v>0</v>
      </c>
      <c r="JX342">
        <v>0</v>
      </c>
      <c r="JY342">
        <v>0</v>
      </c>
      <c r="JZ342">
        <v>0</v>
      </c>
      <c r="KA342">
        <v>0</v>
      </c>
      <c r="KB342">
        <v>0</v>
      </c>
      <c r="KC342">
        <v>0</v>
      </c>
      <c r="KD342">
        <v>0</v>
      </c>
      <c r="KE342">
        <v>0</v>
      </c>
      <c r="KF342">
        <v>0</v>
      </c>
      <c r="KI342">
        <v>344.6</v>
      </c>
      <c r="KJ342">
        <v>350.8</v>
      </c>
      <c r="KK342">
        <v>22.1</v>
      </c>
      <c r="KL342">
        <v>379.3</v>
      </c>
      <c r="KM342">
        <v>241.4</v>
      </c>
      <c r="KN342">
        <v>0</v>
      </c>
      <c r="KO342">
        <v>0</v>
      </c>
      <c r="KP342">
        <v>57.3</v>
      </c>
      <c r="KQ342">
        <v>224.4</v>
      </c>
      <c r="KR342">
        <v>338.3</v>
      </c>
      <c r="KS342">
        <v>215.8</v>
      </c>
      <c r="KT342">
        <v>40.700000000000003</v>
      </c>
      <c r="KW342">
        <v>2154.5</v>
      </c>
      <c r="KX342">
        <v>1255.7</v>
      </c>
      <c r="KY342">
        <v>1630.1</v>
      </c>
      <c r="KZ342">
        <v>1246.9000000000001</v>
      </c>
      <c r="LB342">
        <v>78.099999999999994</v>
      </c>
      <c r="LC342">
        <v>77.7</v>
      </c>
    </row>
    <row r="343" spans="1:315" ht="18" thickBot="1">
      <c r="A343" s="245"/>
      <c r="B343" s="245"/>
      <c r="C343" s="230" t="s">
        <v>669</v>
      </c>
      <c r="D343" s="295"/>
      <c r="E343" s="449">
        <v>0</v>
      </c>
      <c r="F343" s="211">
        <v>0</v>
      </c>
      <c r="G343" s="427">
        <v>3413.8</v>
      </c>
      <c r="H343" s="155"/>
      <c r="I343">
        <v>735</v>
      </c>
      <c r="K343">
        <v>1973.1000000000001</v>
      </c>
      <c r="L343" s="4">
        <v>221.60000000000002</v>
      </c>
      <c r="M343" s="4">
        <v>54.9</v>
      </c>
      <c r="N343" s="4">
        <v>1989.7</v>
      </c>
      <c r="P343">
        <v>0</v>
      </c>
      <c r="Q343">
        <v>238.29999999999998</v>
      </c>
      <c r="R343">
        <v>0</v>
      </c>
      <c r="S343">
        <v>0</v>
      </c>
      <c r="T343">
        <v>368.5</v>
      </c>
      <c r="W343">
        <v>720.3</v>
      </c>
      <c r="X343">
        <v>1411.5</v>
      </c>
      <c r="Y343">
        <v>96.5</v>
      </c>
      <c r="AA343">
        <v>859.6</v>
      </c>
      <c r="AB343">
        <v>1577.6000000000001</v>
      </c>
      <c r="AE343">
        <v>1330</v>
      </c>
      <c r="AF343">
        <v>1025.5</v>
      </c>
      <c r="AH343">
        <v>509.9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1349.3</v>
      </c>
      <c r="AO343">
        <v>786.40000000000009</v>
      </c>
      <c r="AP343">
        <v>0</v>
      </c>
      <c r="AQ343">
        <v>68.3</v>
      </c>
      <c r="AR343">
        <v>234.9</v>
      </c>
      <c r="AS343">
        <v>600.40000000000009</v>
      </c>
      <c r="AU343">
        <v>985.69999999999993</v>
      </c>
      <c r="AW343">
        <v>792</v>
      </c>
      <c r="AX343">
        <v>1988.5</v>
      </c>
      <c r="AZ343">
        <v>763.5</v>
      </c>
      <c r="BA343">
        <v>0</v>
      </c>
      <c r="BB343">
        <v>0</v>
      </c>
      <c r="BC343">
        <v>1935.3</v>
      </c>
      <c r="BD343">
        <v>1006.5</v>
      </c>
      <c r="BE343">
        <v>0</v>
      </c>
      <c r="BF343">
        <v>0</v>
      </c>
      <c r="BG343">
        <v>0</v>
      </c>
      <c r="BH343">
        <v>1662.6</v>
      </c>
      <c r="BJ343">
        <v>0</v>
      </c>
      <c r="BK343">
        <v>0</v>
      </c>
      <c r="BL343">
        <v>1038.9000000000001</v>
      </c>
      <c r="BM343">
        <v>1101</v>
      </c>
      <c r="BO343">
        <v>1276.8000000000002</v>
      </c>
      <c r="BQ343">
        <v>0</v>
      </c>
      <c r="BR343">
        <v>270.7</v>
      </c>
      <c r="BS343">
        <v>230.5</v>
      </c>
      <c r="BT343">
        <v>472.3</v>
      </c>
      <c r="BU343">
        <v>537.29999999999995</v>
      </c>
      <c r="BV343">
        <v>346.3</v>
      </c>
      <c r="BW343">
        <v>386.2</v>
      </c>
      <c r="BX343">
        <v>767</v>
      </c>
      <c r="BY343">
        <v>757.2</v>
      </c>
      <c r="BZ343">
        <v>1037.2</v>
      </c>
      <c r="CA343">
        <v>1227.0999999999999</v>
      </c>
      <c r="CB343">
        <v>1232.0999999999999</v>
      </c>
      <c r="CC343">
        <v>1701.5</v>
      </c>
      <c r="CD343">
        <v>0</v>
      </c>
      <c r="CG343">
        <v>1385.3</v>
      </c>
      <c r="CJ343">
        <v>1630.2999999999997</v>
      </c>
      <c r="CM343">
        <v>1184.2</v>
      </c>
      <c r="CO343">
        <v>1248.0999999999999</v>
      </c>
      <c r="CQ343">
        <v>1435.3</v>
      </c>
      <c r="CR343">
        <v>798.2</v>
      </c>
      <c r="CS343">
        <v>923.8</v>
      </c>
      <c r="CT343">
        <v>0</v>
      </c>
      <c r="CU343">
        <v>0</v>
      </c>
      <c r="CV343">
        <v>0</v>
      </c>
      <c r="CW343">
        <v>0</v>
      </c>
      <c r="CX343">
        <v>163.69999999999999</v>
      </c>
      <c r="CY343">
        <v>0</v>
      </c>
      <c r="CZ343">
        <v>0</v>
      </c>
      <c r="DA343">
        <v>0</v>
      </c>
      <c r="DB343">
        <v>0</v>
      </c>
      <c r="DC343">
        <v>0</v>
      </c>
      <c r="DD343">
        <v>0</v>
      </c>
      <c r="DE343">
        <v>0</v>
      </c>
      <c r="DI343">
        <v>0</v>
      </c>
      <c r="EC343">
        <v>0</v>
      </c>
      <c r="ED343">
        <v>0</v>
      </c>
      <c r="EE343">
        <v>0</v>
      </c>
      <c r="EF343">
        <v>0</v>
      </c>
      <c r="EG343">
        <v>0</v>
      </c>
      <c r="EH343">
        <v>0</v>
      </c>
      <c r="EI343">
        <v>0</v>
      </c>
      <c r="EJ343">
        <v>0</v>
      </c>
      <c r="EM343">
        <v>0</v>
      </c>
      <c r="EN343">
        <v>0</v>
      </c>
      <c r="EO343">
        <v>0</v>
      </c>
      <c r="EP343">
        <v>0</v>
      </c>
      <c r="EQ343">
        <v>0</v>
      </c>
      <c r="ER343">
        <v>0</v>
      </c>
      <c r="ES343">
        <v>0</v>
      </c>
      <c r="ET343">
        <v>0</v>
      </c>
      <c r="EW343">
        <v>0</v>
      </c>
      <c r="EX343">
        <v>0</v>
      </c>
      <c r="EY343">
        <v>0</v>
      </c>
      <c r="EZ343">
        <v>0</v>
      </c>
      <c r="FA343">
        <v>0</v>
      </c>
      <c r="FB343">
        <v>0</v>
      </c>
      <c r="FC343">
        <v>0</v>
      </c>
      <c r="FD343">
        <v>0</v>
      </c>
      <c r="FG343" t="e">
        <v>#N/A</v>
      </c>
      <c r="FI343" t="e">
        <v>#N/A</v>
      </c>
      <c r="FK343" t="e">
        <v>#N/A</v>
      </c>
      <c r="FM343" t="e">
        <v>#N/A</v>
      </c>
      <c r="FO343" t="e">
        <v>#N/A</v>
      </c>
      <c r="FQ343" t="e">
        <v>#N/A</v>
      </c>
      <c r="FS343" t="e">
        <v>#N/A</v>
      </c>
      <c r="FU343" t="e">
        <v>#N/A</v>
      </c>
      <c r="FW343" t="e">
        <v>#N/A</v>
      </c>
      <c r="FY343" t="e">
        <v>#N/A</v>
      </c>
      <c r="GA343" t="e">
        <v>#N/A</v>
      </c>
      <c r="GC343" t="e">
        <v>#N/A</v>
      </c>
      <c r="GE343" t="e">
        <v>#N/A</v>
      </c>
      <c r="GG343" t="e">
        <v>#N/A</v>
      </c>
      <c r="GI343" t="e">
        <v>#N/A</v>
      </c>
      <c r="GK343" t="e">
        <v>#N/A</v>
      </c>
      <c r="GM343" t="e">
        <v>#N/A</v>
      </c>
      <c r="GO343" t="e">
        <v>#N/A</v>
      </c>
      <c r="GQ343" t="e">
        <v>#N/A</v>
      </c>
      <c r="GS343" t="e">
        <v>#N/A</v>
      </c>
      <c r="GU343" t="e">
        <v>#N/A</v>
      </c>
      <c r="GW343" t="e">
        <v>#N/A</v>
      </c>
      <c r="GY343" t="e">
        <v>#N/A</v>
      </c>
      <c r="HA343" t="e">
        <v>#N/A</v>
      </c>
      <c r="HC343">
        <v>0</v>
      </c>
      <c r="HD343">
        <v>0</v>
      </c>
      <c r="HE343">
        <v>0</v>
      </c>
      <c r="HF343">
        <v>0</v>
      </c>
      <c r="HG343">
        <v>0</v>
      </c>
      <c r="HH343">
        <v>0</v>
      </c>
      <c r="HI343">
        <v>0</v>
      </c>
      <c r="HJ343">
        <v>0</v>
      </c>
      <c r="HM343">
        <v>0</v>
      </c>
      <c r="HN343">
        <v>0</v>
      </c>
      <c r="HO343">
        <v>0</v>
      </c>
      <c r="HP343">
        <v>0</v>
      </c>
      <c r="HQ343">
        <v>0</v>
      </c>
      <c r="HR343">
        <v>0</v>
      </c>
      <c r="HS343">
        <v>0</v>
      </c>
      <c r="HT343">
        <v>0</v>
      </c>
      <c r="HW343">
        <v>0</v>
      </c>
      <c r="HX343">
        <v>0</v>
      </c>
      <c r="HY343">
        <v>0</v>
      </c>
      <c r="HZ343">
        <v>0</v>
      </c>
      <c r="IA343">
        <v>3930.6</v>
      </c>
      <c r="IB343">
        <v>3632.9</v>
      </c>
      <c r="IC343">
        <v>3795.5</v>
      </c>
      <c r="ID343">
        <v>0</v>
      </c>
      <c r="IE343">
        <v>0</v>
      </c>
      <c r="IF343">
        <v>3548.5</v>
      </c>
      <c r="IG343">
        <v>3395.2</v>
      </c>
      <c r="IH343">
        <v>3395.4</v>
      </c>
      <c r="II343">
        <v>3302.3</v>
      </c>
      <c r="IJ343">
        <v>3172.8</v>
      </c>
      <c r="IK343">
        <v>0</v>
      </c>
      <c r="IL343">
        <v>0</v>
      </c>
      <c r="IM343">
        <v>0</v>
      </c>
      <c r="IN343">
        <v>0</v>
      </c>
      <c r="IO343">
        <v>123.4</v>
      </c>
      <c r="IP343">
        <v>405.2</v>
      </c>
      <c r="IQ343">
        <v>418.7</v>
      </c>
      <c r="IR343">
        <v>0</v>
      </c>
      <c r="IS343">
        <v>0</v>
      </c>
      <c r="IT343">
        <v>0</v>
      </c>
      <c r="IU343">
        <v>0</v>
      </c>
      <c r="IV343">
        <v>396</v>
      </c>
      <c r="IW343">
        <v>0</v>
      </c>
      <c r="IX343">
        <v>0</v>
      </c>
      <c r="IZ343">
        <v>0</v>
      </c>
      <c r="JA343">
        <v>65.5</v>
      </c>
      <c r="JB343">
        <v>443.5</v>
      </c>
      <c r="JC343">
        <v>0</v>
      </c>
      <c r="JD343">
        <v>0</v>
      </c>
      <c r="JE343">
        <v>0</v>
      </c>
      <c r="JF343">
        <v>0</v>
      </c>
      <c r="JG343">
        <v>0</v>
      </c>
      <c r="JH343">
        <v>0</v>
      </c>
      <c r="JI343">
        <v>0</v>
      </c>
      <c r="JJ343">
        <v>0</v>
      </c>
      <c r="JK343">
        <v>0</v>
      </c>
      <c r="JL343">
        <v>0</v>
      </c>
      <c r="JM343">
        <v>0</v>
      </c>
      <c r="JN343">
        <v>0</v>
      </c>
      <c r="JO343">
        <v>0</v>
      </c>
      <c r="JP343">
        <v>0</v>
      </c>
      <c r="JQ343">
        <v>0</v>
      </c>
      <c r="JR343">
        <v>0</v>
      </c>
      <c r="JS343">
        <v>0</v>
      </c>
      <c r="JT343">
        <v>0</v>
      </c>
      <c r="JU343">
        <v>0</v>
      </c>
      <c r="JV343">
        <v>0</v>
      </c>
      <c r="JW343">
        <v>0</v>
      </c>
      <c r="JX343">
        <v>0</v>
      </c>
      <c r="JY343">
        <v>0</v>
      </c>
      <c r="JZ343">
        <v>0</v>
      </c>
      <c r="KA343">
        <v>0</v>
      </c>
      <c r="KB343">
        <v>0</v>
      </c>
      <c r="KC343">
        <v>0</v>
      </c>
      <c r="KD343">
        <v>0</v>
      </c>
      <c r="KE343">
        <v>0</v>
      </c>
      <c r="KF343">
        <v>0</v>
      </c>
      <c r="KI343">
        <v>344.6</v>
      </c>
      <c r="KJ343">
        <v>350.8</v>
      </c>
      <c r="KK343">
        <v>22.1</v>
      </c>
      <c r="KL343">
        <v>379.3</v>
      </c>
      <c r="KM343">
        <v>241.4</v>
      </c>
      <c r="KN343">
        <v>0</v>
      </c>
      <c r="KO343">
        <v>0</v>
      </c>
      <c r="KP343">
        <v>57.3</v>
      </c>
      <c r="KQ343">
        <v>224.4</v>
      </c>
      <c r="KR343">
        <v>338.3</v>
      </c>
      <c r="KS343">
        <v>215.8</v>
      </c>
      <c r="KT343">
        <v>40.700000000000003</v>
      </c>
      <c r="KW343">
        <v>2154.5</v>
      </c>
      <c r="KX343">
        <v>1255.7</v>
      </c>
      <c r="KY343">
        <v>1630.1</v>
      </c>
      <c r="KZ343">
        <v>1246.9000000000001</v>
      </c>
      <c r="LB343">
        <v>78.099999999999994</v>
      </c>
      <c r="LC343">
        <v>77.7</v>
      </c>
    </row>
    <row r="344" spans="1:315" ht="18" thickBot="1">
      <c r="A344" s="245"/>
      <c r="B344" s="245"/>
      <c r="C344" s="230" t="s">
        <v>670</v>
      </c>
      <c r="D344" s="295"/>
      <c r="E344" s="449">
        <v>0</v>
      </c>
      <c r="F344" s="211">
        <v>0</v>
      </c>
      <c r="G344" s="427">
        <v>3413.8</v>
      </c>
      <c r="H344" s="155"/>
      <c r="I344">
        <v>735</v>
      </c>
      <c r="K344">
        <v>1973.1000000000001</v>
      </c>
      <c r="L344" s="4">
        <v>221.60000000000002</v>
      </c>
      <c r="M344" s="4">
        <v>54.9</v>
      </c>
      <c r="N344" s="4">
        <v>1989.7</v>
      </c>
      <c r="P344">
        <v>0</v>
      </c>
      <c r="Q344">
        <v>238.29999999999998</v>
      </c>
      <c r="R344">
        <v>0</v>
      </c>
      <c r="S344">
        <v>0</v>
      </c>
      <c r="T344">
        <v>368.5</v>
      </c>
      <c r="W344">
        <v>720.3</v>
      </c>
      <c r="X344">
        <v>1411.5</v>
      </c>
      <c r="Y344">
        <v>96.5</v>
      </c>
      <c r="AA344">
        <v>859.6</v>
      </c>
      <c r="AB344">
        <v>1577.6000000000001</v>
      </c>
      <c r="AE344">
        <v>1330</v>
      </c>
      <c r="AF344">
        <v>1025.5</v>
      </c>
      <c r="AH344">
        <v>509.9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1349.3</v>
      </c>
      <c r="AO344">
        <v>786.40000000000009</v>
      </c>
      <c r="AP344">
        <v>0</v>
      </c>
      <c r="AQ344">
        <v>68.3</v>
      </c>
      <c r="AR344">
        <v>234.9</v>
      </c>
      <c r="AS344">
        <v>600.40000000000009</v>
      </c>
      <c r="AU344">
        <v>985.69999999999993</v>
      </c>
      <c r="AW344">
        <v>792</v>
      </c>
      <c r="AX344">
        <v>1988.5</v>
      </c>
      <c r="AZ344">
        <v>763.5</v>
      </c>
      <c r="BA344">
        <v>0</v>
      </c>
      <c r="BB344">
        <v>0</v>
      </c>
      <c r="BC344">
        <v>1935.3</v>
      </c>
      <c r="BD344">
        <v>1006.5</v>
      </c>
      <c r="BE344">
        <v>0</v>
      </c>
      <c r="BF344">
        <v>0</v>
      </c>
      <c r="BG344">
        <v>0</v>
      </c>
      <c r="BH344">
        <v>1662.6</v>
      </c>
      <c r="BJ344">
        <v>0</v>
      </c>
      <c r="BK344">
        <v>0</v>
      </c>
      <c r="BL344">
        <v>1038.9000000000001</v>
      </c>
      <c r="BM344">
        <v>1101</v>
      </c>
      <c r="BO344">
        <v>1276.8000000000002</v>
      </c>
      <c r="BQ344">
        <v>0</v>
      </c>
      <c r="BR344">
        <v>270.7</v>
      </c>
      <c r="BS344">
        <v>230.5</v>
      </c>
      <c r="BT344">
        <v>472.3</v>
      </c>
      <c r="BU344">
        <v>537.29999999999995</v>
      </c>
      <c r="BV344">
        <v>346.3</v>
      </c>
      <c r="BW344">
        <v>386.2</v>
      </c>
      <c r="BX344">
        <v>767</v>
      </c>
      <c r="BY344">
        <v>757.2</v>
      </c>
      <c r="BZ344">
        <v>1037.2</v>
      </c>
      <c r="CA344">
        <v>1227.0999999999999</v>
      </c>
      <c r="CB344">
        <v>1232.0999999999999</v>
      </c>
      <c r="CC344">
        <v>1701.5</v>
      </c>
      <c r="CD344">
        <v>0</v>
      </c>
      <c r="CG344">
        <v>1385.3</v>
      </c>
      <c r="CJ344">
        <v>1630.2999999999997</v>
      </c>
      <c r="CM344">
        <v>1184.2</v>
      </c>
      <c r="CO344">
        <v>1248.0999999999999</v>
      </c>
      <c r="CQ344">
        <v>1435.3</v>
      </c>
      <c r="CR344">
        <v>798.2</v>
      </c>
      <c r="CS344">
        <v>923.8</v>
      </c>
      <c r="CT344">
        <v>0</v>
      </c>
      <c r="CU344">
        <v>0</v>
      </c>
      <c r="CV344">
        <v>0</v>
      </c>
      <c r="CW344">
        <v>0</v>
      </c>
      <c r="CX344">
        <v>163.69999999999999</v>
      </c>
      <c r="CY344">
        <v>0</v>
      </c>
      <c r="CZ344">
        <v>0</v>
      </c>
      <c r="DA344">
        <v>0</v>
      </c>
      <c r="DB344">
        <v>0</v>
      </c>
      <c r="DC344">
        <v>0</v>
      </c>
      <c r="DD344">
        <v>0</v>
      </c>
      <c r="DE344">
        <v>0</v>
      </c>
      <c r="DI344">
        <v>0</v>
      </c>
      <c r="EC344">
        <v>0</v>
      </c>
      <c r="ED344">
        <v>0</v>
      </c>
      <c r="EE344">
        <v>0</v>
      </c>
      <c r="EF344">
        <v>0</v>
      </c>
      <c r="EG344">
        <v>0</v>
      </c>
      <c r="EH344">
        <v>0</v>
      </c>
      <c r="EI344">
        <v>0</v>
      </c>
      <c r="EJ344">
        <v>0</v>
      </c>
      <c r="EM344">
        <v>0</v>
      </c>
      <c r="EN344">
        <v>0</v>
      </c>
      <c r="EO344">
        <v>0</v>
      </c>
      <c r="EP344">
        <v>0</v>
      </c>
      <c r="EQ344">
        <v>0</v>
      </c>
      <c r="ER344">
        <v>0</v>
      </c>
      <c r="ES344">
        <v>0</v>
      </c>
      <c r="ET344">
        <v>0</v>
      </c>
      <c r="EW344">
        <v>0</v>
      </c>
      <c r="EX344">
        <v>0</v>
      </c>
      <c r="EY344">
        <v>0</v>
      </c>
      <c r="EZ344">
        <v>0</v>
      </c>
      <c r="FA344">
        <v>0</v>
      </c>
      <c r="FB344">
        <v>0</v>
      </c>
      <c r="FC344">
        <v>0</v>
      </c>
      <c r="FD344">
        <v>0</v>
      </c>
      <c r="FG344" t="e">
        <v>#N/A</v>
      </c>
      <c r="FI344" t="e">
        <v>#N/A</v>
      </c>
      <c r="FK344" t="e">
        <v>#N/A</v>
      </c>
      <c r="FM344" t="e">
        <v>#N/A</v>
      </c>
      <c r="FO344" t="e">
        <v>#N/A</v>
      </c>
      <c r="FQ344" t="e">
        <v>#N/A</v>
      </c>
      <c r="FS344" t="e">
        <v>#N/A</v>
      </c>
      <c r="FU344" t="e">
        <v>#N/A</v>
      </c>
      <c r="FW344" t="e">
        <v>#N/A</v>
      </c>
      <c r="FY344" t="e">
        <v>#N/A</v>
      </c>
      <c r="GA344" t="e">
        <v>#N/A</v>
      </c>
      <c r="GC344" t="e">
        <v>#N/A</v>
      </c>
      <c r="GE344" t="e">
        <v>#N/A</v>
      </c>
      <c r="GG344" t="e">
        <v>#N/A</v>
      </c>
      <c r="GI344" t="e">
        <v>#N/A</v>
      </c>
      <c r="GK344" t="e">
        <v>#N/A</v>
      </c>
      <c r="GM344" t="e">
        <v>#N/A</v>
      </c>
      <c r="GO344" t="e">
        <v>#N/A</v>
      </c>
      <c r="GQ344" t="e">
        <v>#N/A</v>
      </c>
      <c r="GS344" t="e">
        <v>#N/A</v>
      </c>
      <c r="GU344" t="e">
        <v>#N/A</v>
      </c>
      <c r="GW344" t="e">
        <v>#N/A</v>
      </c>
      <c r="GY344" t="e">
        <v>#N/A</v>
      </c>
      <c r="HA344" t="e">
        <v>#N/A</v>
      </c>
      <c r="HC344">
        <v>0</v>
      </c>
      <c r="HD344">
        <v>0</v>
      </c>
      <c r="HE344">
        <v>0</v>
      </c>
      <c r="HF344">
        <v>0</v>
      </c>
      <c r="HG344">
        <v>0</v>
      </c>
      <c r="HH344">
        <v>0</v>
      </c>
      <c r="HI344">
        <v>0</v>
      </c>
      <c r="HJ344">
        <v>0</v>
      </c>
      <c r="HM344">
        <v>0</v>
      </c>
      <c r="HN344">
        <v>0</v>
      </c>
      <c r="HO344">
        <v>0</v>
      </c>
      <c r="HP344">
        <v>0</v>
      </c>
      <c r="HQ344">
        <v>0</v>
      </c>
      <c r="HR344">
        <v>0</v>
      </c>
      <c r="HS344">
        <v>0</v>
      </c>
      <c r="HT344">
        <v>0</v>
      </c>
      <c r="HW344">
        <v>0</v>
      </c>
      <c r="HX344">
        <v>0</v>
      </c>
      <c r="HY344">
        <v>0</v>
      </c>
      <c r="HZ344">
        <v>0</v>
      </c>
      <c r="IA344">
        <v>3930.6</v>
      </c>
      <c r="IB344">
        <v>3632.9</v>
      </c>
      <c r="IC344">
        <v>3795.5</v>
      </c>
      <c r="ID344">
        <v>0</v>
      </c>
      <c r="IE344">
        <v>0</v>
      </c>
      <c r="IF344">
        <v>3548.5</v>
      </c>
      <c r="IG344">
        <v>3395.2</v>
      </c>
      <c r="IH344">
        <v>3395.4</v>
      </c>
      <c r="II344">
        <v>3302.3</v>
      </c>
      <c r="IJ344">
        <v>3172.8</v>
      </c>
      <c r="IK344">
        <v>0</v>
      </c>
      <c r="IL344">
        <v>0</v>
      </c>
      <c r="IM344">
        <v>0</v>
      </c>
      <c r="IN344">
        <v>0</v>
      </c>
      <c r="IO344">
        <v>123.4</v>
      </c>
      <c r="IP344">
        <v>405.2</v>
      </c>
      <c r="IQ344">
        <v>418.7</v>
      </c>
      <c r="IR344">
        <v>0</v>
      </c>
      <c r="IS344">
        <v>0</v>
      </c>
      <c r="IT344">
        <v>0</v>
      </c>
      <c r="IU344">
        <v>0</v>
      </c>
      <c r="IV344">
        <v>396</v>
      </c>
      <c r="IW344">
        <v>0</v>
      </c>
      <c r="IX344">
        <v>0</v>
      </c>
      <c r="IZ344">
        <v>0</v>
      </c>
      <c r="JA344">
        <v>65.5</v>
      </c>
      <c r="JB344">
        <v>443.5</v>
      </c>
      <c r="JC344">
        <v>0</v>
      </c>
      <c r="JD344">
        <v>0</v>
      </c>
      <c r="JE344">
        <v>0</v>
      </c>
      <c r="JF344">
        <v>0</v>
      </c>
      <c r="JG344">
        <v>0</v>
      </c>
      <c r="JH344">
        <v>0</v>
      </c>
      <c r="JI344">
        <v>0</v>
      </c>
      <c r="JJ344">
        <v>0</v>
      </c>
      <c r="JK344">
        <v>0</v>
      </c>
      <c r="JL344">
        <v>0</v>
      </c>
      <c r="JM344">
        <v>0</v>
      </c>
      <c r="JN344">
        <v>0</v>
      </c>
      <c r="JO344">
        <v>0</v>
      </c>
      <c r="JP344">
        <v>0</v>
      </c>
      <c r="JQ344">
        <v>0</v>
      </c>
      <c r="JR344">
        <v>0</v>
      </c>
      <c r="JS344">
        <v>0</v>
      </c>
      <c r="JT344">
        <v>0</v>
      </c>
      <c r="JU344">
        <v>0</v>
      </c>
      <c r="JV344">
        <v>0</v>
      </c>
      <c r="JW344">
        <v>0</v>
      </c>
      <c r="JX344">
        <v>0</v>
      </c>
      <c r="JY344">
        <v>0</v>
      </c>
      <c r="JZ344">
        <v>0</v>
      </c>
      <c r="KA344">
        <v>0</v>
      </c>
      <c r="KB344">
        <v>0</v>
      </c>
      <c r="KC344">
        <v>0</v>
      </c>
      <c r="KD344">
        <v>0</v>
      </c>
      <c r="KE344">
        <v>0</v>
      </c>
      <c r="KF344">
        <v>0</v>
      </c>
      <c r="KI344">
        <v>344.6</v>
      </c>
      <c r="KJ344">
        <v>350.8</v>
      </c>
      <c r="KK344">
        <v>22.1</v>
      </c>
      <c r="KL344">
        <v>379.3</v>
      </c>
      <c r="KM344">
        <v>241.4</v>
      </c>
      <c r="KN344">
        <v>0</v>
      </c>
      <c r="KO344">
        <v>0</v>
      </c>
      <c r="KP344">
        <v>57.3</v>
      </c>
      <c r="KQ344">
        <v>224.4</v>
      </c>
      <c r="KR344">
        <v>338.3</v>
      </c>
      <c r="KS344">
        <v>215.8</v>
      </c>
      <c r="KT344">
        <v>40.700000000000003</v>
      </c>
      <c r="KW344">
        <v>2154.5</v>
      </c>
      <c r="KX344">
        <v>1255.7</v>
      </c>
      <c r="KY344">
        <v>1630.1</v>
      </c>
      <c r="KZ344">
        <v>1246.9000000000001</v>
      </c>
      <c r="LB344">
        <v>78.099999999999994</v>
      </c>
      <c r="LC344">
        <v>77.7</v>
      </c>
    </row>
    <row r="345" spans="1:315" ht="18" thickBot="1">
      <c r="A345" s="245"/>
      <c r="B345" s="245"/>
      <c r="C345" s="230" t="s">
        <v>671</v>
      </c>
      <c r="D345" s="295"/>
      <c r="E345" s="449">
        <v>0</v>
      </c>
      <c r="F345" s="211">
        <v>0</v>
      </c>
      <c r="G345" s="427">
        <v>3413.8</v>
      </c>
      <c r="H345" s="155"/>
      <c r="I345">
        <v>735</v>
      </c>
      <c r="K345">
        <v>1973.1000000000001</v>
      </c>
      <c r="L345" s="4">
        <v>221.60000000000002</v>
      </c>
      <c r="M345" s="4">
        <v>54.9</v>
      </c>
      <c r="N345" s="4">
        <v>1989.7</v>
      </c>
      <c r="P345">
        <v>0</v>
      </c>
      <c r="Q345">
        <v>238.29999999999998</v>
      </c>
      <c r="R345">
        <v>0</v>
      </c>
      <c r="S345">
        <v>0</v>
      </c>
      <c r="T345">
        <v>368.5</v>
      </c>
      <c r="W345">
        <v>720.3</v>
      </c>
      <c r="X345">
        <v>1411.5</v>
      </c>
      <c r="Y345">
        <v>96.5</v>
      </c>
      <c r="AA345">
        <v>859.6</v>
      </c>
      <c r="AB345">
        <v>1577.6000000000001</v>
      </c>
      <c r="AE345">
        <v>1330</v>
      </c>
      <c r="AF345">
        <v>1025.5</v>
      </c>
      <c r="AH345">
        <v>509.9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1349.3</v>
      </c>
      <c r="AO345">
        <v>786.40000000000009</v>
      </c>
      <c r="AP345">
        <v>0</v>
      </c>
      <c r="AQ345">
        <v>68.3</v>
      </c>
      <c r="AR345">
        <v>234.9</v>
      </c>
      <c r="AS345">
        <v>600.40000000000009</v>
      </c>
      <c r="AU345">
        <v>985.69999999999993</v>
      </c>
      <c r="AW345">
        <v>792</v>
      </c>
      <c r="AX345">
        <v>1988.5</v>
      </c>
      <c r="AZ345">
        <v>763.5</v>
      </c>
      <c r="BA345">
        <v>0</v>
      </c>
      <c r="BB345">
        <v>0</v>
      </c>
      <c r="BC345">
        <v>1935.3</v>
      </c>
      <c r="BD345">
        <v>1006.5</v>
      </c>
      <c r="BE345">
        <v>0</v>
      </c>
      <c r="BF345">
        <v>0</v>
      </c>
      <c r="BG345">
        <v>0</v>
      </c>
      <c r="BH345">
        <v>1662.6</v>
      </c>
      <c r="BJ345">
        <v>0</v>
      </c>
      <c r="BK345">
        <v>0</v>
      </c>
      <c r="BL345">
        <v>1038.9000000000001</v>
      </c>
      <c r="BM345">
        <v>1101</v>
      </c>
      <c r="BO345">
        <v>1276.8000000000002</v>
      </c>
      <c r="BQ345">
        <v>0</v>
      </c>
      <c r="BR345">
        <v>270.7</v>
      </c>
      <c r="BS345">
        <v>230.5</v>
      </c>
      <c r="BT345">
        <v>472.3</v>
      </c>
      <c r="BU345">
        <v>537.29999999999995</v>
      </c>
      <c r="BV345">
        <v>346.3</v>
      </c>
      <c r="BW345">
        <v>386.2</v>
      </c>
      <c r="BX345">
        <v>767</v>
      </c>
      <c r="BY345">
        <v>757.2</v>
      </c>
      <c r="BZ345">
        <v>1037.2</v>
      </c>
      <c r="CA345">
        <v>1227.0999999999999</v>
      </c>
      <c r="CB345">
        <v>1232.0999999999999</v>
      </c>
      <c r="CC345">
        <v>1701.5</v>
      </c>
      <c r="CD345">
        <v>0</v>
      </c>
      <c r="CG345">
        <v>1385.3</v>
      </c>
      <c r="CJ345">
        <v>1630.2999999999997</v>
      </c>
      <c r="CM345">
        <v>1184.2</v>
      </c>
      <c r="CO345">
        <v>1248.0999999999999</v>
      </c>
      <c r="CQ345">
        <v>1435.3</v>
      </c>
      <c r="CR345">
        <v>798.2</v>
      </c>
      <c r="CS345">
        <v>923.8</v>
      </c>
      <c r="CT345">
        <v>0</v>
      </c>
      <c r="CU345">
        <v>0</v>
      </c>
      <c r="CV345">
        <v>0</v>
      </c>
      <c r="CW345">
        <v>0</v>
      </c>
      <c r="CX345">
        <v>163.69999999999999</v>
      </c>
      <c r="CY345">
        <v>0</v>
      </c>
      <c r="CZ345">
        <v>0</v>
      </c>
      <c r="DA345">
        <v>0</v>
      </c>
      <c r="DB345">
        <v>0</v>
      </c>
      <c r="DC345">
        <v>0</v>
      </c>
      <c r="DD345">
        <v>0</v>
      </c>
      <c r="DE345">
        <v>0</v>
      </c>
      <c r="DI345">
        <v>0</v>
      </c>
      <c r="EC345">
        <v>0</v>
      </c>
      <c r="ED345">
        <v>0</v>
      </c>
      <c r="EE345">
        <v>0</v>
      </c>
      <c r="EF345">
        <v>0</v>
      </c>
      <c r="EG345">
        <v>0</v>
      </c>
      <c r="EH345">
        <v>0</v>
      </c>
      <c r="EI345">
        <v>0</v>
      </c>
      <c r="EJ345">
        <v>0</v>
      </c>
      <c r="EM345">
        <v>0</v>
      </c>
      <c r="EN345">
        <v>0</v>
      </c>
      <c r="EO345">
        <v>0</v>
      </c>
      <c r="EP345">
        <v>0</v>
      </c>
      <c r="EQ345">
        <v>0</v>
      </c>
      <c r="ER345">
        <v>0</v>
      </c>
      <c r="ES345">
        <v>0</v>
      </c>
      <c r="ET345">
        <v>0</v>
      </c>
      <c r="EW345">
        <v>0</v>
      </c>
      <c r="EX345">
        <v>0</v>
      </c>
      <c r="EY345">
        <v>0</v>
      </c>
      <c r="EZ345">
        <v>0</v>
      </c>
      <c r="FA345">
        <v>0</v>
      </c>
      <c r="FB345">
        <v>0</v>
      </c>
      <c r="FC345">
        <v>0</v>
      </c>
      <c r="FD345">
        <v>0</v>
      </c>
      <c r="FG345" t="e">
        <v>#N/A</v>
      </c>
      <c r="FI345" t="e">
        <v>#N/A</v>
      </c>
      <c r="FK345" t="e">
        <v>#N/A</v>
      </c>
      <c r="FM345" t="e">
        <v>#N/A</v>
      </c>
      <c r="FO345" t="e">
        <v>#N/A</v>
      </c>
      <c r="FQ345" t="e">
        <v>#N/A</v>
      </c>
      <c r="FS345" t="e">
        <v>#N/A</v>
      </c>
      <c r="FU345" t="e">
        <v>#N/A</v>
      </c>
      <c r="FW345" t="e">
        <v>#N/A</v>
      </c>
      <c r="FY345" t="e">
        <v>#N/A</v>
      </c>
      <c r="GA345" t="e">
        <v>#N/A</v>
      </c>
      <c r="GC345" t="e">
        <v>#N/A</v>
      </c>
      <c r="GE345" t="e">
        <v>#N/A</v>
      </c>
      <c r="GG345" t="e">
        <v>#N/A</v>
      </c>
      <c r="GI345" t="e">
        <v>#N/A</v>
      </c>
      <c r="GK345" t="e">
        <v>#N/A</v>
      </c>
      <c r="GM345" t="e">
        <v>#N/A</v>
      </c>
      <c r="GO345" t="e">
        <v>#N/A</v>
      </c>
      <c r="GQ345" t="e">
        <v>#N/A</v>
      </c>
      <c r="GS345" t="e">
        <v>#N/A</v>
      </c>
      <c r="GU345" t="e">
        <v>#N/A</v>
      </c>
      <c r="GW345" t="e">
        <v>#N/A</v>
      </c>
      <c r="GY345" t="e">
        <v>#N/A</v>
      </c>
      <c r="HA345" t="e">
        <v>#N/A</v>
      </c>
      <c r="HC345">
        <v>0</v>
      </c>
      <c r="HD345">
        <v>0</v>
      </c>
      <c r="HE345">
        <v>0</v>
      </c>
      <c r="HF345">
        <v>0</v>
      </c>
      <c r="HG345">
        <v>0</v>
      </c>
      <c r="HH345">
        <v>0</v>
      </c>
      <c r="HI345">
        <v>0</v>
      </c>
      <c r="HJ345">
        <v>0</v>
      </c>
      <c r="HM345">
        <v>0</v>
      </c>
      <c r="HN345">
        <v>0</v>
      </c>
      <c r="HO345">
        <v>0</v>
      </c>
      <c r="HP345">
        <v>0</v>
      </c>
      <c r="HQ345">
        <v>0</v>
      </c>
      <c r="HR345">
        <v>0</v>
      </c>
      <c r="HS345">
        <v>0</v>
      </c>
      <c r="HT345">
        <v>0</v>
      </c>
      <c r="HW345">
        <v>0</v>
      </c>
      <c r="HX345">
        <v>0</v>
      </c>
      <c r="HY345">
        <v>0</v>
      </c>
      <c r="HZ345">
        <v>0</v>
      </c>
      <c r="IA345">
        <v>3930.6</v>
      </c>
      <c r="IB345">
        <v>3632.9</v>
      </c>
      <c r="IC345">
        <v>3795.5</v>
      </c>
      <c r="ID345">
        <v>0</v>
      </c>
      <c r="IE345">
        <v>0</v>
      </c>
      <c r="IF345">
        <v>3548.5</v>
      </c>
      <c r="IG345">
        <v>3395.2</v>
      </c>
      <c r="IH345">
        <v>3395.4</v>
      </c>
      <c r="II345">
        <v>3302.3</v>
      </c>
      <c r="IJ345">
        <v>3172.8</v>
      </c>
      <c r="IK345">
        <v>0</v>
      </c>
      <c r="IL345">
        <v>0</v>
      </c>
      <c r="IM345">
        <v>0</v>
      </c>
      <c r="IN345">
        <v>0</v>
      </c>
      <c r="IO345">
        <v>123.4</v>
      </c>
      <c r="IP345">
        <v>405.2</v>
      </c>
      <c r="IQ345">
        <v>418.7</v>
      </c>
      <c r="IR345">
        <v>0</v>
      </c>
      <c r="IS345">
        <v>0</v>
      </c>
      <c r="IT345">
        <v>0</v>
      </c>
      <c r="IU345">
        <v>0</v>
      </c>
      <c r="IV345">
        <v>396</v>
      </c>
      <c r="IW345">
        <v>0</v>
      </c>
      <c r="IX345">
        <v>0</v>
      </c>
      <c r="IZ345">
        <v>0</v>
      </c>
      <c r="JA345">
        <v>65.5</v>
      </c>
      <c r="JB345">
        <v>443.5</v>
      </c>
      <c r="JC345">
        <v>0</v>
      </c>
      <c r="JD345">
        <v>0</v>
      </c>
      <c r="JE345">
        <v>0</v>
      </c>
      <c r="JF345">
        <v>0</v>
      </c>
      <c r="JG345">
        <v>0</v>
      </c>
      <c r="JH345">
        <v>0</v>
      </c>
      <c r="JI345">
        <v>0</v>
      </c>
      <c r="JJ345">
        <v>0</v>
      </c>
      <c r="JK345">
        <v>0</v>
      </c>
      <c r="JL345">
        <v>0</v>
      </c>
      <c r="JM345">
        <v>0</v>
      </c>
      <c r="JN345">
        <v>0</v>
      </c>
      <c r="JO345">
        <v>0</v>
      </c>
      <c r="JP345">
        <v>0</v>
      </c>
      <c r="JQ345">
        <v>0</v>
      </c>
      <c r="JR345">
        <v>0</v>
      </c>
      <c r="JS345">
        <v>0</v>
      </c>
      <c r="JT345">
        <v>0</v>
      </c>
      <c r="JU345">
        <v>0</v>
      </c>
      <c r="JV345">
        <v>0</v>
      </c>
      <c r="JW345">
        <v>0</v>
      </c>
      <c r="JX345">
        <v>0</v>
      </c>
      <c r="JY345">
        <v>0</v>
      </c>
      <c r="JZ345">
        <v>0</v>
      </c>
      <c r="KA345">
        <v>0</v>
      </c>
      <c r="KB345">
        <v>0</v>
      </c>
      <c r="KC345">
        <v>0</v>
      </c>
      <c r="KD345">
        <v>0</v>
      </c>
      <c r="KE345">
        <v>0</v>
      </c>
      <c r="KF345">
        <v>0</v>
      </c>
      <c r="KI345">
        <v>344.6</v>
      </c>
      <c r="KJ345">
        <v>350.8</v>
      </c>
      <c r="KK345">
        <v>22.1</v>
      </c>
      <c r="KL345">
        <v>379.3</v>
      </c>
      <c r="KM345">
        <v>241.4</v>
      </c>
      <c r="KN345">
        <v>0</v>
      </c>
      <c r="KO345">
        <v>0</v>
      </c>
      <c r="KP345">
        <v>57.3</v>
      </c>
      <c r="KQ345">
        <v>224.4</v>
      </c>
      <c r="KR345">
        <v>338.3</v>
      </c>
      <c r="KS345">
        <v>215.8</v>
      </c>
      <c r="KT345">
        <v>40.700000000000003</v>
      </c>
      <c r="KW345">
        <v>2154.5</v>
      </c>
      <c r="KX345">
        <v>1255.7</v>
      </c>
      <c r="KY345">
        <v>1630.1</v>
      </c>
      <c r="KZ345">
        <v>1246.9000000000001</v>
      </c>
      <c r="LB345">
        <v>78.099999999999994</v>
      </c>
      <c r="LC345">
        <v>77.7</v>
      </c>
    </row>
    <row r="346" spans="1:315" ht="18" thickBot="1">
      <c r="A346" s="245"/>
      <c r="B346" s="245"/>
      <c r="C346" s="230" t="s">
        <v>672</v>
      </c>
      <c r="D346" s="295"/>
      <c r="E346" s="449">
        <v>0</v>
      </c>
      <c r="F346" s="211">
        <v>0</v>
      </c>
      <c r="G346" s="427">
        <v>3413.8</v>
      </c>
      <c r="H346" s="155"/>
      <c r="I346">
        <v>735</v>
      </c>
      <c r="K346">
        <v>1973.1000000000001</v>
      </c>
      <c r="L346" s="4">
        <v>221.60000000000002</v>
      </c>
      <c r="M346" s="4">
        <v>54.9</v>
      </c>
      <c r="N346" s="4">
        <v>1989.7</v>
      </c>
      <c r="P346">
        <v>0</v>
      </c>
      <c r="Q346">
        <v>238.29999999999998</v>
      </c>
      <c r="R346">
        <v>0</v>
      </c>
      <c r="S346">
        <v>0</v>
      </c>
      <c r="T346">
        <v>368.5</v>
      </c>
      <c r="W346">
        <v>720.3</v>
      </c>
      <c r="X346">
        <v>1411.5</v>
      </c>
      <c r="Y346">
        <v>96.5</v>
      </c>
      <c r="AA346">
        <v>859.6</v>
      </c>
      <c r="AB346">
        <v>1577.6000000000001</v>
      </c>
      <c r="AE346">
        <v>1330</v>
      </c>
      <c r="AF346">
        <v>1025.5</v>
      </c>
      <c r="AH346">
        <v>509.9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1349.3</v>
      </c>
      <c r="AO346">
        <v>786.40000000000009</v>
      </c>
      <c r="AP346">
        <v>0</v>
      </c>
      <c r="AQ346">
        <v>68.3</v>
      </c>
      <c r="AR346">
        <v>234.9</v>
      </c>
      <c r="AS346">
        <v>600.40000000000009</v>
      </c>
      <c r="AU346">
        <v>985.69999999999993</v>
      </c>
      <c r="AW346">
        <v>792</v>
      </c>
      <c r="AX346">
        <v>1988.5</v>
      </c>
      <c r="AZ346">
        <v>763.5</v>
      </c>
      <c r="BA346">
        <v>0</v>
      </c>
      <c r="BB346">
        <v>0</v>
      </c>
      <c r="BC346">
        <v>1935.3</v>
      </c>
      <c r="BD346">
        <v>1006.5</v>
      </c>
      <c r="BE346">
        <v>0</v>
      </c>
      <c r="BF346">
        <v>0</v>
      </c>
      <c r="BG346">
        <v>0</v>
      </c>
      <c r="BH346">
        <v>1662.6</v>
      </c>
      <c r="BJ346">
        <v>0</v>
      </c>
      <c r="BK346">
        <v>0</v>
      </c>
      <c r="BL346">
        <v>1038.9000000000001</v>
      </c>
      <c r="BM346">
        <v>1101</v>
      </c>
      <c r="BO346">
        <v>1276.8000000000002</v>
      </c>
      <c r="BQ346">
        <v>0</v>
      </c>
      <c r="BR346">
        <v>270.7</v>
      </c>
      <c r="BS346">
        <v>230.5</v>
      </c>
      <c r="BT346">
        <v>472.3</v>
      </c>
      <c r="BU346">
        <v>537.29999999999995</v>
      </c>
      <c r="BV346">
        <v>346.3</v>
      </c>
      <c r="BW346">
        <v>386.2</v>
      </c>
      <c r="BX346">
        <v>767</v>
      </c>
      <c r="BY346">
        <v>757.2</v>
      </c>
      <c r="BZ346">
        <v>1037.2</v>
      </c>
      <c r="CA346">
        <v>1227.0999999999999</v>
      </c>
      <c r="CB346">
        <v>1232.0999999999999</v>
      </c>
      <c r="CC346">
        <v>1701.5</v>
      </c>
      <c r="CD346">
        <v>0</v>
      </c>
      <c r="CG346">
        <v>1385.3</v>
      </c>
      <c r="CJ346">
        <v>1630.2999999999997</v>
      </c>
      <c r="CM346">
        <v>1184.2</v>
      </c>
      <c r="CO346">
        <v>1248.0999999999999</v>
      </c>
      <c r="CQ346">
        <v>1435.3</v>
      </c>
      <c r="CR346">
        <v>798.2</v>
      </c>
      <c r="CS346">
        <v>923.8</v>
      </c>
      <c r="CT346">
        <v>0</v>
      </c>
      <c r="CU346">
        <v>0</v>
      </c>
      <c r="CV346">
        <v>0</v>
      </c>
      <c r="CW346">
        <v>0</v>
      </c>
      <c r="CX346">
        <v>163.69999999999999</v>
      </c>
      <c r="CY346">
        <v>0</v>
      </c>
      <c r="CZ346">
        <v>0</v>
      </c>
      <c r="DA346">
        <v>0</v>
      </c>
      <c r="DB346">
        <v>0</v>
      </c>
      <c r="DC346">
        <v>0</v>
      </c>
      <c r="DD346">
        <v>0</v>
      </c>
      <c r="DE346">
        <v>0</v>
      </c>
      <c r="DI346">
        <v>0</v>
      </c>
      <c r="EC346">
        <v>0</v>
      </c>
      <c r="ED346">
        <v>0</v>
      </c>
      <c r="EE346">
        <v>0</v>
      </c>
      <c r="EF346">
        <v>0</v>
      </c>
      <c r="EG346">
        <v>0</v>
      </c>
      <c r="EH346">
        <v>0</v>
      </c>
      <c r="EI346">
        <v>0</v>
      </c>
      <c r="EJ346">
        <v>0</v>
      </c>
      <c r="EM346">
        <v>0</v>
      </c>
      <c r="EN346">
        <v>0</v>
      </c>
      <c r="EO346">
        <v>0</v>
      </c>
      <c r="EP346">
        <v>0</v>
      </c>
      <c r="EQ346">
        <v>0</v>
      </c>
      <c r="ER346">
        <v>0</v>
      </c>
      <c r="ES346">
        <v>0</v>
      </c>
      <c r="ET346">
        <v>0</v>
      </c>
      <c r="EW346">
        <v>0</v>
      </c>
      <c r="EX346">
        <v>0</v>
      </c>
      <c r="EY346">
        <v>0</v>
      </c>
      <c r="EZ346">
        <v>0</v>
      </c>
      <c r="FA346">
        <v>0</v>
      </c>
      <c r="FB346">
        <v>0</v>
      </c>
      <c r="FC346">
        <v>0</v>
      </c>
      <c r="FD346">
        <v>0</v>
      </c>
      <c r="FG346" t="e">
        <v>#N/A</v>
      </c>
      <c r="FI346" t="e">
        <v>#N/A</v>
      </c>
      <c r="FK346" t="e">
        <v>#N/A</v>
      </c>
      <c r="FM346" t="e">
        <v>#N/A</v>
      </c>
      <c r="FO346" t="e">
        <v>#N/A</v>
      </c>
      <c r="FQ346" t="e">
        <v>#N/A</v>
      </c>
      <c r="FS346" t="e">
        <v>#N/A</v>
      </c>
      <c r="FU346" t="e">
        <v>#N/A</v>
      </c>
      <c r="FW346" t="e">
        <v>#N/A</v>
      </c>
      <c r="FY346" t="e">
        <v>#N/A</v>
      </c>
      <c r="GA346" t="e">
        <v>#N/A</v>
      </c>
      <c r="GC346" t="e">
        <v>#N/A</v>
      </c>
      <c r="GE346" t="e">
        <v>#N/A</v>
      </c>
      <c r="GG346" t="e">
        <v>#N/A</v>
      </c>
      <c r="GI346" t="e">
        <v>#N/A</v>
      </c>
      <c r="GK346" t="e">
        <v>#N/A</v>
      </c>
      <c r="GM346" t="e">
        <v>#N/A</v>
      </c>
      <c r="GO346" t="e">
        <v>#N/A</v>
      </c>
      <c r="GQ346" t="e">
        <v>#N/A</v>
      </c>
      <c r="GS346" t="e">
        <v>#N/A</v>
      </c>
      <c r="GU346" t="e">
        <v>#N/A</v>
      </c>
      <c r="GW346" t="e">
        <v>#N/A</v>
      </c>
      <c r="GY346" t="e">
        <v>#N/A</v>
      </c>
      <c r="HA346" t="e">
        <v>#N/A</v>
      </c>
      <c r="HC346">
        <v>0</v>
      </c>
      <c r="HD346">
        <v>0</v>
      </c>
      <c r="HE346">
        <v>0</v>
      </c>
      <c r="HF346">
        <v>0</v>
      </c>
      <c r="HG346">
        <v>0</v>
      </c>
      <c r="HH346">
        <v>0</v>
      </c>
      <c r="HI346">
        <v>0</v>
      </c>
      <c r="HJ346">
        <v>0</v>
      </c>
      <c r="HM346">
        <v>0</v>
      </c>
      <c r="HN346">
        <v>0</v>
      </c>
      <c r="HO346">
        <v>0</v>
      </c>
      <c r="HP346">
        <v>0</v>
      </c>
      <c r="HQ346">
        <v>0</v>
      </c>
      <c r="HR346">
        <v>0</v>
      </c>
      <c r="HS346">
        <v>0</v>
      </c>
      <c r="HT346">
        <v>0</v>
      </c>
      <c r="HW346">
        <v>0</v>
      </c>
      <c r="HX346">
        <v>0</v>
      </c>
      <c r="HY346">
        <v>0</v>
      </c>
      <c r="HZ346">
        <v>0</v>
      </c>
      <c r="IA346">
        <v>3930.6</v>
      </c>
      <c r="IB346">
        <v>3632.9</v>
      </c>
      <c r="IC346">
        <v>3795.5</v>
      </c>
      <c r="ID346">
        <v>0</v>
      </c>
      <c r="IE346">
        <v>0</v>
      </c>
      <c r="IF346">
        <v>3548.5</v>
      </c>
      <c r="IG346">
        <v>3395.2</v>
      </c>
      <c r="IH346">
        <v>3395.4</v>
      </c>
      <c r="II346">
        <v>3302.3</v>
      </c>
      <c r="IJ346">
        <v>3172.8</v>
      </c>
      <c r="IK346">
        <v>0</v>
      </c>
      <c r="IL346">
        <v>0</v>
      </c>
      <c r="IM346">
        <v>0</v>
      </c>
      <c r="IN346">
        <v>0</v>
      </c>
      <c r="IO346">
        <v>123.4</v>
      </c>
      <c r="IP346">
        <v>405.2</v>
      </c>
      <c r="IQ346">
        <v>418.7</v>
      </c>
      <c r="IR346">
        <v>0</v>
      </c>
      <c r="IS346">
        <v>0</v>
      </c>
      <c r="IT346">
        <v>0</v>
      </c>
      <c r="IU346">
        <v>0</v>
      </c>
      <c r="IV346">
        <v>396</v>
      </c>
      <c r="IW346">
        <v>0</v>
      </c>
      <c r="IX346">
        <v>0</v>
      </c>
      <c r="IZ346">
        <v>0</v>
      </c>
      <c r="JA346">
        <v>65.5</v>
      </c>
      <c r="JB346">
        <v>443.5</v>
      </c>
      <c r="JC346">
        <v>0</v>
      </c>
      <c r="JD346">
        <v>0</v>
      </c>
      <c r="JE346">
        <v>0</v>
      </c>
      <c r="JF346">
        <v>0</v>
      </c>
      <c r="JG346">
        <v>0</v>
      </c>
      <c r="JH346">
        <v>0</v>
      </c>
      <c r="JI346">
        <v>0</v>
      </c>
      <c r="JJ346">
        <v>0</v>
      </c>
      <c r="JK346">
        <v>0</v>
      </c>
      <c r="JL346">
        <v>0</v>
      </c>
      <c r="JM346">
        <v>0</v>
      </c>
      <c r="JN346">
        <v>0</v>
      </c>
      <c r="JO346">
        <v>0</v>
      </c>
      <c r="JP346">
        <v>0</v>
      </c>
      <c r="JQ346">
        <v>0</v>
      </c>
      <c r="JR346">
        <v>0</v>
      </c>
      <c r="JS346">
        <v>0</v>
      </c>
      <c r="JT346">
        <v>0</v>
      </c>
      <c r="JU346">
        <v>0</v>
      </c>
      <c r="JV346">
        <v>0</v>
      </c>
      <c r="JW346">
        <v>0</v>
      </c>
      <c r="JX346">
        <v>0</v>
      </c>
      <c r="JY346">
        <v>0</v>
      </c>
      <c r="JZ346">
        <v>0</v>
      </c>
      <c r="KA346">
        <v>0</v>
      </c>
      <c r="KB346">
        <v>0</v>
      </c>
      <c r="KC346">
        <v>0</v>
      </c>
      <c r="KD346">
        <v>0</v>
      </c>
      <c r="KE346">
        <v>0</v>
      </c>
      <c r="KF346">
        <v>0</v>
      </c>
      <c r="KI346">
        <v>344.6</v>
      </c>
      <c r="KJ346">
        <v>350.8</v>
      </c>
      <c r="KK346">
        <v>22.1</v>
      </c>
      <c r="KL346">
        <v>379.3</v>
      </c>
      <c r="KM346">
        <v>241.4</v>
      </c>
      <c r="KN346">
        <v>0</v>
      </c>
      <c r="KO346">
        <v>0</v>
      </c>
      <c r="KP346">
        <v>57.3</v>
      </c>
      <c r="KQ346">
        <v>224.4</v>
      </c>
      <c r="KR346">
        <v>338.3</v>
      </c>
      <c r="KS346">
        <v>215.8</v>
      </c>
      <c r="KT346">
        <v>40.700000000000003</v>
      </c>
      <c r="KW346">
        <v>2154.5</v>
      </c>
      <c r="KX346">
        <v>1255.7</v>
      </c>
      <c r="KY346">
        <v>1630.1</v>
      </c>
      <c r="KZ346">
        <v>1246.9000000000001</v>
      </c>
      <c r="LB346">
        <v>78.099999999999994</v>
      </c>
      <c r="LC346">
        <v>77.7</v>
      </c>
    </row>
    <row r="347" spans="1:315" ht="18" thickBot="1">
      <c r="A347" s="245"/>
      <c r="B347" s="245"/>
      <c r="C347" s="230" t="s">
        <v>673</v>
      </c>
      <c r="D347" s="295"/>
      <c r="E347" s="449">
        <v>0</v>
      </c>
      <c r="F347" s="211">
        <v>0</v>
      </c>
      <c r="G347" s="427">
        <v>3413.8</v>
      </c>
      <c r="H347" s="155"/>
      <c r="I347">
        <v>735</v>
      </c>
      <c r="K347">
        <v>1973.1000000000001</v>
      </c>
      <c r="L347" s="4">
        <v>221.60000000000002</v>
      </c>
      <c r="M347" s="4">
        <v>54.9</v>
      </c>
      <c r="N347" s="4">
        <v>1989.7</v>
      </c>
      <c r="P347">
        <v>0</v>
      </c>
      <c r="Q347">
        <v>238.29999999999998</v>
      </c>
      <c r="R347">
        <v>0</v>
      </c>
      <c r="S347">
        <v>0</v>
      </c>
      <c r="T347">
        <v>368.5</v>
      </c>
      <c r="W347">
        <v>720.3</v>
      </c>
      <c r="X347">
        <v>1411.5</v>
      </c>
      <c r="Y347">
        <v>96.5</v>
      </c>
      <c r="AA347">
        <v>859.6</v>
      </c>
      <c r="AB347">
        <v>1577.6000000000001</v>
      </c>
      <c r="AE347">
        <v>1330</v>
      </c>
      <c r="AF347">
        <v>1025.5</v>
      </c>
      <c r="AH347">
        <v>509.9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1349.3</v>
      </c>
      <c r="AO347">
        <v>786.40000000000009</v>
      </c>
      <c r="AP347">
        <v>0</v>
      </c>
      <c r="AQ347">
        <v>68.3</v>
      </c>
      <c r="AR347">
        <v>234.9</v>
      </c>
      <c r="AS347">
        <v>600.40000000000009</v>
      </c>
      <c r="AU347">
        <v>985.69999999999993</v>
      </c>
      <c r="AW347">
        <v>792</v>
      </c>
      <c r="AX347">
        <v>1988.5</v>
      </c>
      <c r="AZ347">
        <v>763.5</v>
      </c>
      <c r="BA347">
        <v>0</v>
      </c>
      <c r="BB347">
        <v>0</v>
      </c>
      <c r="BC347">
        <v>1935.3</v>
      </c>
      <c r="BD347">
        <v>1006.5</v>
      </c>
      <c r="BE347">
        <v>0</v>
      </c>
      <c r="BF347">
        <v>0</v>
      </c>
      <c r="BG347">
        <v>0</v>
      </c>
      <c r="BH347">
        <v>1662.6</v>
      </c>
      <c r="BJ347">
        <v>0</v>
      </c>
      <c r="BK347">
        <v>0</v>
      </c>
      <c r="BL347">
        <v>1038.9000000000001</v>
      </c>
      <c r="BM347">
        <v>1101</v>
      </c>
      <c r="BO347">
        <v>1276.8000000000002</v>
      </c>
      <c r="BQ347">
        <v>0</v>
      </c>
      <c r="BR347">
        <v>270.7</v>
      </c>
      <c r="BS347">
        <v>230.5</v>
      </c>
      <c r="BT347">
        <v>472.3</v>
      </c>
      <c r="BU347">
        <v>537.29999999999995</v>
      </c>
      <c r="BV347">
        <v>346.3</v>
      </c>
      <c r="BW347">
        <v>386.2</v>
      </c>
      <c r="BX347">
        <v>767</v>
      </c>
      <c r="BY347">
        <v>757.2</v>
      </c>
      <c r="BZ347">
        <v>1037.2</v>
      </c>
      <c r="CA347">
        <v>1227.0999999999999</v>
      </c>
      <c r="CB347">
        <v>1232.0999999999999</v>
      </c>
      <c r="CC347">
        <v>1701.5</v>
      </c>
      <c r="CD347">
        <v>0</v>
      </c>
      <c r="CG347">
        <v>1385.3</v>
      </c>
      <c r="CJ347">
        <v>1630.2999999999997</v>
      </c>
      <c r="CM347">
        <v>1184.2</v>
      </c>
      <c r="CO347">
        <v>1248.0999999999999</v>
      </c>
      <c r="CQ347">
        <v>1435.3</v>
      </c>
      <c r="CR347">
        <v>798.2</v>
      </c>
      <c r="CS347">
        <v>923.8</v>
      </c>
      <c r="CT347">
        <v>0</v>
      </c>
      <c r="CU347">
        <v>0</v>
      </c>
      <c r="CV347">
        <v>0</v>
      </c>
      <c r="CW347">
        <v>0</v>
      </c>
      <c r="CX347">
        <v>163.69999999999999</v>
      </c>
      <c r="CY347">
        <v>0</v>
      </c>
      <c r="CZ347">
        <v>0</v>
      </c>
      <c r="DA347">
        <v>0</v>
      </c>
      <c r="DB347">
        <v>0</v>
      </c>
      <c r="DC347">
        <v>0</v>
      </c>
      <c r="DD347">
        <v>0</v>
      </c>
      <c r="DE347">
        <v>0</v>
      </c>
      <c r="DI347">
        <v>0</v>
      </c>
      <c r="EC347">
        <v>0</v>
      </c>
      <c r="ED347">
        <v>0</v>
      </c>
      <c r="EE347">
        <v>0</v>
      </c>
      <c r="EF347">
        <v>0</v>
      </c>
      <c r="EG347">
        <v>0</v>
      </c>
      <c r="EH347">
        <v>0</v>
      </c>
      <c r="EI347">
        <v>0</v>
      </c>
      <c r="EJ347">
        <v>0</v>
      </c>
      <c r="EM347">
        <v>0</v>
      </c>
      <c r="EN347">
        <v>0</v>
      </c>
      <c r="EO347">
        <v>0</v>
      </c>
      <c r="EP347">
        <v>0</v>
      </c>
      <c r="EQ347">
        <v>0</v>
      </c>
      <c r="ER347">
        <v>0</v>
      </c>
      <c r="ES347">
        <v>0</v>
      </c>
      <c r="ET347">
        <v>0</v>
      </c>
      <c r="EW347">
        <v>0</v>
      </c>
      <c r="EX347">
        <v>0</v>
      </c>
      <c r="EY347">
        <v>0</v>
      </c>
      <c r="EZ347">
        <v>0</v>
      </c>
      <c r="FA347">
        <v>0</v>
      </c>
      <c r="FB347">
        <v>0</v>
      </c>
      <c r="FC347">
        <v>0</v>
      </c>
      <c r="FD347">
        <v>0</v>
      </c>
      <c r="FG347" t="e">
        <v>#N/A</v>
      </c>
      <c r="FI347" t="e">
        <v>#N/A</v>
      </c>
      <c r="FK347" t="e">
        <v>#N/A</v>
      </c>
      <c r="FM347" t="e">
        <v>#N/A</v>
      </c>
      <c r="FO347" t="e">
        <v>#N/A</v>
      </c>
      <c r="FQ347" t="e">
        <v>#N/A</v>
      </c>
      <c r="FS347" t="e">
        <v>#N/A</v>
      </c>
      <c r="FU347" t="e">
        <v>#N/A</v>
      </c>
      <c r="FW347" t="e">
        <v>#N/A</v>
      </c>
      <c r="FY347" t="e">
        <v>#N/A</v>
      </c>
      <c r="GA347" t="e">
        <v>#N/A</v>
      </c>
      <c r="GC347" t="e">
        <v>#N/A</v>
      </c>
      <c r="GE347" t="e">
        <v>#N/A</v>
      </c>
      <c r="GG347" t="e">
        <v>#N/A</v>
      </c>
      <c r="GI347" t="e">
        <v>#N/A</v>
      </c>
      <c r="GK347" t="e">
        <v>#N/A</v>
      </c>
      <c r="GM347" t="e">
        <v>#N/A</v>
      </c>
      <c r="GO347" t="e">
        <v>#N/A</v>
      </c>
      <c r="GQ347" t="e">
        <v>#N/A</v>
      </c>
      <c r="GS347" t="e">
        <v>#N/A</v>
      </c>
      <c r="GU347" t="e">
        <v>#N/A</v>
      </c>
      <c r="GW347" t="e">
        <v>#N/A</v>
      </c>
      <c r="GY347" t="e">
        <v>#N/A</v>
      </c>
      <c r="HA347" t="e">
        <v>#N/A</v>
      </c>
      <c r="HC347">
        <v>0</v>
      </c>
      <c r="HD347">
        <v>0</v>
      </c>
      <c r="HE347">
        <v>0</v>
      </c>
      <c r="HF347">
        <v>0</v>
      </c>
      <c r="HG347">
        <v>0</v>
      </c>
      <c r="HH347">
        <v>0</v>
      </c>
      <c r="HI347">
        <v>0</v>
      </c>
      <c r="HJ347">
        <v>0</v>
      </c>
      <c r="HM347">
        <v>0</v>
      </c>
      <c r="HN347">
        <v>0</v>
      </c>
      <c r="HO347">
        <v>0</v>
      </c>
      <c r="HP347">
        <v>0</v>
      </c>
      <c r="HQ347">
        <v>0</v>
      </c>
      <c r="HR347">
        <v>0</v>
      </c>
      <c r="HS347">
        <v>0</v>
      </c>
      <c r="HT347">
        <v>0</v>
      </c>
      <c r="HW347">
        <v>0</v>
      </c>
      <c r="HX347">
        <v>0</v>
      </c>
      <c r="HY347">
        <v>0</v>
      </c>
      <c r="HZ347">
        <v>0</v>
      </c>
      <c r="IA347">
        <v>3930.6</v>
      </c>
      <c r="IB347">
        <v>3632.9</v>
      </c>
      <c r="IC347">
        <v>3795.5</v>
      </c>
      <c r="ID347">
        <v>0</v>
      </c>
      <c r="IE347">
        <v>0</v>
      </c>
      <c r="IF347">
        <v>3548.5</v>
      </c>
      <c r="IG347">
        <v>3395.2</v>
      </c>
      <c r="IH347">
        <v>3395.4</v>
      </c>
      <c r="II347">
        <v>3302.3</v>
      </c>
      <c r="IJ347">
        <v>3172.8</v>
      </c>
      <c r="IK347">
        <v>0</v>
      </c>
      <c r="IL347">
        <v>0</v>
      </c>
      <c r="IM347">
        <v>0</v>
      </c>
      <c r="IN347">
        <v>0</v>
      </c>
      <c r="IO347">
        <v>123.4</v>
      </c>
      <c r="IP347">
        <v>405.2</v>
      </c>
      <c r="IQ347">
        <v>418.7</v>
      </c>
      <c r="IR347">
        <v>0</v>
      </c>
      <c r="IS347">
        <v>0</v>
      </c>
      <c r="IT347">
        <v>0</v>
      </c>
      <c r="IU347">
        <v>0</v>
      </c>
      <c r="IV347">
        <v>396</v>
      </c>
      <c r="IW347">
        <v>0</v>
      </c>
      <c r="IX347">
        <v>0</v>
      </c>
      <c r="IZ347">
        <v>0</v>
      </c>
      <c r="JA347">
        <v>65.5</v>
      </c>
      <c r="JB347">
        <v>443.5</v>
      </c>
      <c r="JC347">
        <v>0</v>
      </c>
      <c r="JD347">
        <v>0</v>
      </c>
      <c r="JE347">
        <v>0</v>
      </c>
      <c r="JF347">
        <v>0</v>
      </c>
      <c r="JG347">
        <v>0</v>
      </c>
      <c r="JH347">
        <v>0</v>
      </c>
      <c r="JI347">
        <v>0</v>
      </c>
      <c r="JJ347">
        <v>0</v>
      </c>
      <c r="JK347">
        <v>0</v>
      </c>
      <c r="JL347">
        <v>0</v>
      </c>
      <c r="JM347">
        <v>0</v>
      </c>
      <c r="JN347">
        <v>0</v>
      </c>
      <c r="JO347">
        <v>0</v>
      </c>
      <c r="JP347">
        <v>0</v>
      </c>
      <c r="JQ347">
        <v>0</v>
      </c>
      <c r="JR347">
        <v>0</v>
      </c>
      <c r="JS347">
        <v>0</v>
      </c>
      <c r="JT347">
        <v>0</v>
      </c>
      <c r="JU347">
        <v>0</v>
      </c>
      <c r="JV347">
        <v>0</v>
      </c>
      <c r="JW347">
        <v>0</v>
      </c>
      <c r="JX347">
        <v>0</v>
      </c>
      <c r="JY347">
        <v>0</v>
      </c>
      <c r="JZ347">
        <v>0</v>
      </c>
      <c r="KA347">
        <v>0</v>
      </c>
      <c r="KB347">
        <v>0</v>
      </c>
      <c r="KC347">
        <v>0</v>
      </c>
      <c r="KD347">
        <v>0</v>
      </c>
      <c r="KE347">
        <v>0</v>
      </c>
      <c r="KF347">
        <v>0</v>
      </c>
      <c r="KI347">
        <v>344.6</v>
      </c>
      <c r="KJ347">
        <v>350.8</v>
      </c>
      <c r="KK347">
        <v>22.1</v>
      </c>
      <c r="KL347">
        <v>379.3</v>
      </c>
      <c r="KM347">
        <v>241.4</v>
      </c>
      <c r="KN347">
        <v>0</v>
      </c>
      <c r="KO347">
        <v>0</v>
      </c>
      <c r="KP347">
        <v>57.3</v>
      </c>
      <c r="KQ347">
        <v>224.4</v>
      </c>
      <c r="KR347">
        <v>338.3</v>
      </c>
      <c r="KS347">
        <v>215.8</v>
      </c>
      <c r="KT347">
        <v>40.700000000000003</v>
      </c>
      <c r="KW347">
        <v>2154.5</v>
      </c>
      <c r="KX347">
        <v>1255.7</v>
      </c>
      <c r="KY347">
        <v>1630.1</v>
      </c>
      <c r="KZ347">
        <v>1246.9000000000001</v>
      </c>
      <c r="LB347">
        <v>78.099999999999994</v>
      </c>
      <c r="LC347">
        <v>77.7</v>
      </c>
    </row>
    <row r="348" spans="1:315" ht="18" thickBot="1">
      <c r="A348" s="245"/>
      <c r="B348" s="245"/>
      <c r="C348" s="230" t="s">
        <v>674</v>
      </c>
      <c r="D348" s="295"/>
      <c r="E348" s="449">
        <v>0</v>
      </c>
      <c r="F348" s="211">
        <v>0</v>
      </c>
      <c r="G348" s="427">
        <v>3413.8</v>
      </c>
      <c r="H348" s="155"/>
      <c r="I348">
        <v>735</v>
      </c>
      <c r="K348">
        <v>1973.1000000000001</v>
      </c>
      <c r="L348" s="4">
        <v>221.60000000000002</v>
      </c>
      <c r="M348" s="4">
        <v>54.9</v>
      </c>
      <c r="N348" s="4">
        <v>1989.7</v>
      </c>
      <c r="P348">
        <v>0</v>
      </c>
      <c r="Q348">
        <v>238.29999999999998</v>
      </c>
      <c r="R348">
        <v>0</v>
      </c>
      <c r="S348">
        <v>0</v>
      </c>
      <c r="T348">
        <v>368.5</v>
      </c>
      <c r="W348">
        <v>720.3</v>
      </c>
      <c r="X348">
        <v>1411.5</v>
      </c>
      <c r="Y348">
        <v>96.5</v>
      </c>
      <c r="AA348">
        <v>859.6</v>
      </c>
      <c r="AB348">
        <v>1577.6000000000001</v>
      </c>
      <c r="AE348">
        <v>1330</v>
      </c>
      <c r="AF348">
        <v>1025.5</v>
      </c>
      <c r="AH348">
        <v>509.9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1349.3</v>
      </c>
      <c r="AO348">
        <v>786.40000000000009</v>
      </c>
      <c r="AP348">
        <v>0</v>
      </c>
      <c r="AQ348">
        <v>68.3</v>
      </c>
      <c r="AR348">
        <v>234.9</v>
      </c>
      <c r="AS348">
        <v>600.40000000000009</v>
      </c>
      <c r="AU348">
        <v>985.69999999999993</v>
      </c>
      <c r="AW348">
        <v>792</v>
      </c>
      <c r="AX348">
        <v>1988.5</v>
      </c>
      <c r="AZ348">
        <v>763.5</v>
      </c>
      <c r="BA348">
        <v>0</v>
      </c>
      <c r="BB348">
        <v>0</v>
      </c>
      <c r="BC348">
        <v>1935.3</v>
      </c>
      <c r="BD348">
        <v>1006.5</v>
      </c>
      <c r="BE348">
        <v>0</v>
      </c>
      <c r="BF348">
        <v>0</v>
      </c>
      <c r="BG348">
        <v>0</v>
      </c>
      <c r="BH348">
        <v>1662.6</v>
      </c>
      <c r="BJ348">
        <v>0</v>
      </c>
      <c r="BK348">
        <v>0</v>
      </c>
      <c r="BL348">
        <v>1038.9000000000001</v>
      </c>
      <c r="BM348">
        <v>1101</v>
      </c>
      <c r="BO348">
        <v>1276.8000000000002</v>
      </c>
      <c r="BQ348">
        <v>0</v>
      </c>
      <c r="BR348">
        <v>270.7</v>
      </c>
      <c r="BS348">
        <v>230.5</v>
      </c>
      <c r="BT348">
        <v>472.3</v>
      </c>
      <c r="BU348">
        <v>537.29999999999995</v>
      </c>
      <c r="BV348">
        <v>346.3</v>
      </c>
      <c r="BW348">
        <v>386.2</v>
      </c>
      <c r="BX348">
        <v>767</v>
      </c>
      <c r="BY348">
        <v>757.2</v>
      </c>
      <c r="BZ348">
        <v>1037.2</v>
      </c>
      <c r="CA348">
        <v>1227.0999999999999</v>
      </c>
      <c r="CB348">
        <v>1232.0999999999999</v>
      </c>
      <c r="CC348">
        <v>1701.5</v>
      </c>
      <c r="CD348">
        <v>0</v>
      </c>
      <c r="CG348">
        <v>1385.3</v>
      </c>
      <c r="CJ348">
        <v>1630.2999999999997</v>
      </c>
      <c r="CM348">
        <v>1184.2</v>
      </c>
      <c r="CO348">
        <v>1248.0999999999999</v>
      </c>
      <c r="CQ348">
        <v>1435.3</v>
      </c>
      <c r="CR348">
        <v>798.2</v>
      </c>
      <c r="CS348">
        <v>923.8</v>
      </c>
      <c r="CT348">
        <v>0</v>
      </c>
      <c r="CU348">
        <v>0</v>
      </c>
      <c r="CV348">
        <v>0</v>
      </c>
      <c r="CW348">
        <v>0</v>
      </c>
      <c r="CX348">
        <v>163.69999999999999</v>
      </c>
      <c r="CY348">
        <v>0</v>
      </c>
      <c r="CZ348">
        <v>0</v>
      </c>
      <c r="DA348">
        <v>0</v>
      </c>
      <c r="DB348">
        <v>0</v>
      </c>
      <c r="DC348">
        <v>0</v>
      </c>
      <c r="DD348">
        <v>0</v>
      </c>
      <c r="DE348">
        <v>0</v>
      </c>
      <c r="DI348">
        <v>0</v>
      </c>
      <c r="EC348">
        <v>0</v>
      </c>
      <c r="ED348">
        <v>0</v>
      </c>
      <c r="EE348">
        <v>0</v>
      </c>
      <c r="EF348">
        <v>0</v>
      </c>
      <c r="EG348">
        <v>0</v>
      </c>
      <c r="EH348">
        <v>0</v>
      </c>
      <c r="EI348">
        <v>0</v>
      </c>
      <c r="EJ348">
        <v>0</v>
      </c>
      <c r="EM348">
        <v>0</v>
      </c>
      <c r="EN348">
        <v>0</v>
      </c>
      <c r="EO348">
        <v>0</v>
      </c>
      <c r="EP348">
        <v>0</v>
      </c>
      <c r="EQ348">
        <v>0</v>
      </c>
      <c r="ER348">
        <v>0</v>
      </c>
      <c r="ES348">
        <v>0</v>
      </c>
      <c r="ET348">
        <v>0</v>
      </c>
      <c r="EW348">
        <v>0</v>
      </c>
      <c r="EX348">
        <v>0</v>
      </c>
      <c r="EY348">
        <v>0</v>
      </c>
      <c r="EZ348">
        <v>0</v>
      </c>
      <c r="FA348">
        <v>0</v>
      </c>
      <c r="FB348">
        <v>0</v>
      </c>
      <c r="FC348">
        <v>0</v>
      </c>
      <c r="FD348">
        <v>0</v>
      </c>
      <c r="FG348" t="e">
        <v>#N/A</v>
      </c>
      <c r="FI348" t="e">
        <v>#N/A</v>
      </c>
      <c r="FK348" t="e">
        <v>#N/A</v>
      </c>
      <c r="FM348" t="e">
        <v>#N/A</v>
      </c>
      <c r="FO348" t="e">
        <v>#N/A</v>
      </c>
      <c r="FQ348" t="e">
        <v>#N/A</v>
      </c>
      <c r="FS348" t="e">
        <v>#N/A</v>
      </c>
      <c r="FU348" t="e">
        <v>#N/A</v>
      </c>
      <c r="FW348" t="e">
        <v>#N/A</v>
      </c>
      <c r="FY348" t="e">
        <v>#N/A</v>
      </c>
      <c r="GA348" t="e">
        <v>#N/A</v>
      </c>
      <c r="GC348" t="e">
        <v>#N/A</v>
      </c>
      <c r="GE348" t="e">
        <v>#N/A</v>
      </c>
      <c r="GG348" t="e">
        <v>#N/A</v>
      </c>
      <c r="GI348" t="e">
        <v>#N/A</v>
      </c>
      <c r="GK348" t="e">
        <v>#N/A</v>
      </c>
      <c r="GM348" t="e">
        <v>#N/A</v>
      </c>
      <c r="GO348" t="e">
        <v>#N/A</v>
      </c>
      <c r="GQ348" t="e">
        <v>#N/A</v>
      </c>
      <c r="GS348" t="e">
        <v>#N/A</v>
      </c>
      <c r="GU348" t="e">
        <v>#N/A</v>
      </c>
      <c r="GW348" t="e">
        <v>#N/A</v>
      </c>
      <c r="GY348" t="e">
        <v>#N/A</v>
      </c>
      <c r="HA348" t="e">
        <v>#N/A</v>
      </c>
      <c r="HC348">
        <v>0</v>
      </c>
      <c r="HD348">
        <v>0</v>
      </c>
      <c r="HE348">
        <v>0</v>
      </c>
      <c r="HF348">
        <v>0</v>
      </c>
      <c r="HG348">
        <v>0</v>
      </c>
      <c r="HH348">
        <v>0</v>
      </c>
      <c r="HI348">
        <v>0</v>
      </c>
      <c r="HJ348">
        <v>0</v>
      </c>
      <c r="HM348">
        <v>0</v>
      </c>
      <c r="HN348">
        <v>0</v>
      </c>
      <c r="HO348">
        <v>0</v>
      </c>
      <c r="HP348">
        <v>0</v>
      </c>
      <c r="HQ348">
        <v>0</v>
      </c>
      <c r="HR348">
        <v>0</v>
      </c>
      <c r="HS348">
        <v>0</v>
      </c>
      <c r="HT348">
        <v>0</v>
      </c>
      <c r="HW348">
        <v>0</v>
      </c>
      <c r="HX348">
        <v>0</v>
      </c>
      <c r="HY348">
        <v>0</v>
      </c>
      <c r="HZ348">
        <v>0</v>
      </c>
      <c r="IA348">
        <v>3930.6</v>
      </c>
      <c r="IB348">
        <v>3632.9</v>
      </c>
      <c r="IC348">
        <v>3795.5</v>
      </c>
      <c r="ID348">
        <v>0</v>
      </c>
      <c r="IE348">
        <v>0</v>
      </c>
      <c r="IF348">
        <v>3548.5</v>
      </c>
      <c r="IG348">
        <v>3395.2</v>
      </c>
      <c r="IH348">
        <v>3395.4</v>
      </c>
      <c r="II348">
        <v>3302.3</v>
      </c>
      <c r="IJ348">
        <v>3172.8</v>
      </c>
      <c r="IK348">
        <v>0</v>
      </c>
      <c r="IL348">
        <v>0</v>
      </c>
      <c r="IM348">
        <v>0</v>
      </c>
      <c r="IN348">
        <v>0</v>
      </c>
      <c r="IO348">
        <v>123.4</v>
      </c>
      <c r="IP348">
        <v>405.2</v>
      </c>
      <c r="IQ348">
        <v>418.7</v>
      </c>
      <c r="IR348">
        <v>0</v>
      </c>
      <c r="IS348">
        <v>0</v>
      </c>
      <c r="IT348">
        <v>0</v>
      </c>
      <c r="IU348">
        <v>0</v>
      </c>
      <c r="IV348">
        <v>396</v>
      </c>
      <c r="IW348">
        <v>0</v>
      </c>
      <c r="IX348">
        <v>0</v>
      </c>
      <c r="IZ348">
        <v>0</v>
      </c>
      <c r="JA348">
        <v>65.5</v>
      </c>
      <c r="JB348">
        <v>443.5</v>
      </c>
      <c r="JC348">
        <v>0</v>
      </c>
      <c r="JD348">
        <v>0</v>
      </c>
      <c r="JE348">
        <v>0</v>
      </c>
      <c r="JF348">
        <v>0</v>
      </c>
      <c r="JG348">
        <v>0</v>
      </c>
      <c r="JH348">
        <v>0</v>
      </c>
      <c r="JI348">
        <v>0</v>
      </c>
      <c r="JJ348">
        <v>0</v>
      </c>
      <c r="JK348">
        <v>0</v>
      </c>
      <c r="JL348">
        <v>0</v>
      </c>
      <c r="JM348">
        <v>0</v>
      </c>
      <c r="JN348">
        <v>0</v>
      </c>
      <c r="JO348">
        <v>0</v>
      </c>
      <c r="JP348">
        <v>0</v>
      </c>
      <c r="JQ348">
        <v>0</v>
      </c>
      <c r="JR348">
        <v>0</v>
      </c>
      <c r="JS348">
        <v>0</v>
      </c>
      <c r="JT348">
        <v>0</v>
      </c>
      <c r="JU348">
        <v>0</v>
      </c>
      <c r="JV348">
        <v>0</v>
      </c>
      <c r="JW348">
        <v>0</v>
      </c>
      <c r="JX348">
        <v>0</v>
      </c>
      <c r="JY348">
        <v>0</v>
      </c>
      <c r="JZ348">
        <v>0</v>
      </c>
      <c r="KA348">
        <v>0</v>
      </c>
      <c r="KB348">
        <v>0</v>
      </c>
      <c r="KC348">
        <v>0</v>
      </c>
      <c r="KD348">
        <v>0</v>
      </c>
      <c r="KE348">
        <v>0</v>
      </c>
      <c r="KF348">
        <v>0</v>
      </c>
      <c r="KI348">
        <v>344.6</v>
      </c>
      <c r="KJ348">
        <v>350.8</v>
      </c>
      <c r="KK348">
        <v>22.1</v>
      </c>
      <c r="KL348">
        <v>379.3</v>
      </c>
      <c r="KM348">
        <v>241.4</v>
      </c>
      <c r="KN348">
        <v>0</v>
      </c>
      <c r="KO348">
        <v>0</v>
      </c>
      <c r="KP348">
        <v>57.3</v>
      </c>
      <c r="KQ348">
        <v>224.4</v>
      </c>
      <c r="KR348">
        <v>338.3</v>
      </c>
      <c r="KS348">
        <v>215.8</v>
      </c>
      <c r="KT348">
        <v>40.700000000000003</v>
      </c>
      <c r="KW348">
        <v>2154.5</v>
      </c>
      <c r="KX348">
        <v>1255.7</v>
      </c>
      <c r="KY348">
        <v>1630.1</v>
      </c>
      <c r="KZ348">
        <v>1246.9000000000001</v>
      </c>
      <c r="LB348">
        <v>78.099999999999994</v>
      </c>
      <c r="LC348">
        <v>77.7</v>
      </c>
    </row>
    <row r="349" spans="1:315" ht="18" thickBot="1">
      <c r="A349" s="245"/>
      <c r="B349" s="245"/>
      <c r="C349" s="339"/>
      <c r="D349" s="295"/>
      <c r="E349" s="449">
        <v>0</v>
      </c>
      <c r="F349" s="211">
        <v>0</v>
      </c>
      <c r="G349" s="427">
        <v>3413.8</v>
      </c>
      <c r="H349" s="155"/>
      <c r="I349">
        <v>735</v>
      </c>
      <c r="K349">
        <v>1973.1000000000001</v>
      </c>
      <c r="L349" s="4">
        <v>221.60000000000002</v>
      </c>
      <c r="M349" s="4">
        <v>54.9</v>
      </c>
      <c r="N349" s="4">
        <v>1989.7</v>
      </c>
      <c r="P349">
        <v>0</v>
      </c>
      <c r="Q349">
        <v>238.29999999999998</v>
      </c>
      <c r="R349">
        <v>0</v>
      </c>
      <c r="S349">
        <v>0</v>
      </c>
      <c r="T349">
        <v>368.5</v>
      </c>
      <c r="W349">
        <v>720.3</v>
      </c>
      <c r="X349">
        <v>1411.5</v>
      </c>
      <c r="Y349">
        <v>96.5</v>
      </c>
      <c r="AA349">
        <v>859.6</v>
      </c>
      <c r="AB349">
        <v>1577.6000000000001</v>
      </c>
      <c r="AE349">
        <v>1330</v>
      </c>
      <c r="AF349">
        <v>1025.5</v>
      </c>
      <c r="AH349">
        <v>509.9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1349.3</v>
      </c>
      <c r="AO349">
        <v>786.40000000000009</v>
      </c>
      <c r="AP349">
        <v>0</v>
      </c>
      <c r="AQ349">
        <v>68.3</v>
      </c>
      <c r="AR349">
        <v>234.9</v>
      </c>
      <c r="AS349">
        <v>600.40000000000009</v>
      </c>
      <c r="AU349">
        <v>985.69999999999993</v>
      </c>
      <c r="AW349">
        <v>792</v>
      </c>
      <c r="AX349">
        <v>1988.5</v>
      </c>
      <c r="AZ349">
        <v>763.5</v>
      </c>
      <c r="BA349">
        <v>0</v>
      </c>
      <c r="BB349">
        <v>0</v>
      </c>
      <c r="BC349">
        <v>1935.3</v>
      </c>
      <c r="BD349">
        <v>1006.5</v>
      </c>
      <c r="BE349">
        <v>0</v>
      </c>
      <c r="BF349">
        <v>0</v>
      </c>
      <c r="BG349">
        <v>0</v>
      </c>
      <c r="BH349">
        <v>1662.6</v>
      </c>
      <c r="BJ349">
        <v>0</v>
      </c>
      <c r="BK349">
        <v>0</v>
      </c>
      <c r="BL349">
        <v>1038.9000000000001</v>
      </c>
      <c r="BM349">
        <v>1101</v>
      </c>
      <c r="BO349">
        <v>1276.8000000000002</v>
      </c>
      <c r="BQ349">
        <v>0</v>
      </c>
      <c r="BR349">
        <v>270.7</v>
      </c>
      <c r="BS349">
        <v>230.5</v>
      </c>
      <c r="BT349">
        <v>472.3</v>
      </c>
      <c r="BU349">
        <v>537.29999999999995</v>
      </c>
      <c r="BV349">
        <v>346.3</v>
      </c>
      <c r="BW349">
        <v>386.2</v>
      </c>
      <c r="BX349">
        <v>767</v>
      </c>
      <c r="BY349">
        <v>757.2</v>
      </c>
      <c r="BZ349">
        <v>1037.2</v>
      </c>
      <c r="CA349">
        <v>1227.0999999999999</v>
      </c>
      <c r="CB349">
        <v>1232.0999999999999</v>
      </c>
      <c r="CC349">
        <v>1701.5</v>
      </c>
      <c r="CD349">
        <v>0</v>
      </c>
      <c r="CG349">
        <v>1385.3</v>
      </c>
      <c r="CJ349">
        <v>1630.2999999999997</v>
      </c>
      <c r="CM349">
        <v>1184.2</v>
      </c>
      <c r="CO349">
        <v>1248.0999999999999</v>
      </c>
      <c r="CQ349">
        <v>1435.3</v>
      </c>
      <c r="CR349">
        <v>798.2</v>
      </c>
      <c r="CS349">
        <v>923.8</v>
      </c>
      <c r="CT349">
        <v>0</v>
      </c>
      <c r="CU349">
        <v>0</v>
      </c>
      <c r="CV349">
        <v>0</v>
      </c>
      <c r="CW349">
        <v>0</v>
      </c>
      <c r="CX349">
        <v>163.69999999999999</v>
      </c>
      <c r="CY349">
        <v>0</v>
      </c>
      <c r="CZ349">
        <v>0</v>
      </c>
      <c r="DA349">
        <v>0</v>
      </c>
      <c r="DB349">
        <v>0</v>
      </c>
      <c r="DC349">
        <v>0</v>
      </c>
      <c r="DD349">
        <v>0</v>
      </c>
      <c r="DE349">
        <v>0</v>
      </c>
      <c r="DI349">
        <v>0</v>
      </c>
      <c r="EC349">
        <v>0</v>
      </c>
      <c r="ED349">
        <v>0</v>
      </c>
      <c r="EE349">
        <v>0</v>
      </c>
      <c r="EF349">
        <v>0</v>
      </c>
      <c r="EG349">
        <v>0</v>
      </c>
      <c r="EH349">
        <v>0</v>
      </c>
      <c r="EI349">
        <v>0</v>
      </c>
      <c r="EJ349">
        <v>0</v>
      </c>
      <c r="EM349">
        <v>0</v>
      </c>
      <c r="EN349">
        <v>0</v>
      </c>
      <c r="EO349">
        <v>0</v>
      </c>
      <c r="EP349">
        <v>0</v>
      </c>
      <c r="EQ349">
        <v>0</v>
      </c>
      <c r="ER349">
        <v>0</v>
      </c>
      <c r="ES349">
        <v>0</v>
      </c>
      <c r="ET349">
        <v>0</v>
      </c>
      <c r="EW349">
        <v>0</v>
      </c>
      <c r="EX349">
        <v>0</v>
      </c>
      <c r="EY349">
        <v>0</v>
      </c>
      <c r="EZ349">
        <v>0</v>
      </c>
      <c r="FA349">
        <v>0</v>
      </c>
      <c r="FB349">
        <v>0</v>
      </c>
      <c r="FC349">
        <v>0</v>
      </c>
      <c r="FD349">
        <v>0</v>
      </c>
      <c r="FG349" t="e">
        <v>#N/A</v>
      </c>
      <c r="FI349" t="e">
        <v>#N/A</v>
      </c>
      <c r="FK349" t="e">
        <v>#N/A</v>
      </c>
      <c r="FM349" t="e">
        <v>#N/A</v>
      </c>
      <c r="FO349" t="e">
        <v>#N/A</v>
      </c>
      <c r="FQ349" t="e">
        <v>#N/A</v>
      </c>
      <c r="FS349" t="e">
        <v>#N/A</v>
      </c>
      <c r="FU349" t="e">
        <v>#N/A</v>
      </c>
      <c r="FW349" t="e">
        <v>#N/A</v>
      </c>
      <c r="FY349" t="e">
        <v>#N/A</v>
      </c>
      <c r="GA349" t="e">
        <v>#N/A</v>
      </c>
      <c r="GC349" t="e">
        <v>#N/A</v>
      </c>
      <c r="GE349" t="e">
        <v>#N/A</v>
      </c>
      <c r="GG349" t="e">
        <v>#N/A</v>
      </c>
      <c r="GI349" t="e">
        <v>#N/A</v>
      </c>
      <c r="GK349" t="e">
        <v>#N/A</v>
      </c>
      <c r="GM349" t="e">
        <v>#N/A</v>
      </c>
      <c r="GO349" t="e">
        <v>#N/A</v>
      </c>
      <c r="GQ349" t="e">
        <v>#N/A</v>
      </c>
      <c r="GS349" t="e">
        <v>#N/A</v>
      </c>
      <c r="GU349" t="e">
        <v>#N/A</v>
      </c>
      <c r="GW349" t="e">
        <v>#N/A</v>
      </c>
      <c r="GY349" t="e">
        <v>#N/A</v>
      </c>
      <c r="HA349" t="e">
        <v>#N/A</v>
      </c>
      <c r="HC349">
        <v>0</v>
      </c>
      <c r="HD349">
        <v>0</v>
      </c>
      <c r="HE349">
        <v>0</v>
      </c>
      <c r="HF349">
        <v>0</v>
      </c>
      <c r="HG349">
        <v>0</v>
      </c>
      <c r="HH349">
        <v>0</v>
      </c>
      <c r="HI349">
        <v>0</v>
      </c>
      <c r="HJ349">
        <v>0</v>
      </c>
      <c r="HM349">
        <v>0</v>
      </c>
      <c r="HN349">
        <v>0</v>
      </c>
      <c r="HO349">
        <v>0</v>
      </c>
      <c r="HP349">
        <v>0</v>
      </c>
      <c r="HQ349">
        <v>0</v>
      </c>
      <c r="HR349">
        <v>0</v>
      </c>
      <c r="HS349">
        <v>0</v>
      </c>
      <c r="HT349">
        <v>0</v>
      </c>
      <c r="HW349">
        <v>0</v>
      </c>
      <c r="HX349">
        <v>0</v>
      </c>
      <c r="HY349">
        <v>0</v>
      </c>
      <c r="HZ349">
        <v>0</v>
      </c>
      <c r="IA349">
        <v>3930.6</v>
      </c>
      <c r="IB349">
        <v>3632.9</v>
      </c>
      <c r="IC349">
        <v>3795.5</v>
      </c>
      <c r="ID349">
        <v>0</v>
      </c>
      <c r="IE349">
        <v>0</v>
      </c>
      <c r="IF349">
        <v>3548.5</v>
      </c>
      <c r="IG349">
        <v>3395.2</v>
      </c>
      <c r="IH349">
        <v>3395.4</v>
      </c>
      <c r="II349">
        <v>3302.3</v>
      </c>
      <c r="IJ349">
        <v>3172.8</v>
      </c>
      <c r="IK349">
        <v>0</v>
      </c>
      <c r="IL349">
        <v>0</v>
      </c>
      <c r="IM349">
        <v>0</v>
      </c>
      <c r="IN349">
        <v>0</v>
      </c>
      <c r="IO349">
        <v>123.4</v>
      </c>
      <c r="IP349">
        <v>405.2</v>
      </c>
      <c r="IQ349">
        <v>418.7</v>
      </c>
      <c r="IR349">
        <v>0</v>
      </c>
      <c r="IS349">
        <v>0</v>
      </c>
      <c r="IT349">
        <v>0</v>
      </c>
      <c r="IU349">
        <v>0</v>
      </c>
      <c r="IV349">
        <v>396</v>
      </c>
      <c r="IW349">
        <v>0</v>
      </c>
      <c r="IX349">
        <v>0</v>
      </c>
      <c r="IZ349">
        <v>0</v>
      </c>
      <c r="JA349">
        <v>65.5</v>
      </c>
      <c r="JB349">
        <v>443.5</v>
      </c>
      <c r="JC349">
        <v>0</v>
      </c>
      <c r="JD349">
        <v>0</v>
      </c>
      <c r="JE349">
        <v>0</v>
      </c>
      <c r="JF349">
        <v>0</v>
      </c>
      <c r="JG349">
        <v>0</v>
      </c>
      <c r="JH349">
        <v>0</v>
      </c>
      <c r="JI349">
        <v>0</v>
      </c>
      <c r="JJ349">
        <v>0</v>
      </c>
      <c r="JK349">
        <v>0</v>
      </c>
      <c r="JL349">
        <v>0</v>
      </c>
      <c r="JM349">
        <v>0</v>
      </c>
      <c r="JN349">
        <v>0</v>
      </c>
      <c r="JO349">
        <v>0</v>
      </c>
      <c r="JP349">
        <v>0</v>
      </c>
      <c r="JQ349">
        <v>0</v>
      </c>
      <c r="JR349">
        <v>0</v>
      </c>
      <c r="JS349">
        <v>0</v>
      </c>
      <c r="JT349">
        <v>0</v>
      </c>
      <c r="JU349">
        <v>0</v>
      </c>
      <c r="JV349">
        <v>0</v>
      </c>
      <c r="JW349">
        <v>0</v>
      </c>
      <c r="JX349">
        <v>0</v>
      </c>
      <c r="JY349">
        <v>0</v>
      </c>
      <c r="JZ349">
        <v>0</v>
      </c>
      <c r="KA349">
        <v>0</v>
      </c>
      <c r="KB349">
        <v>0</v>
      </c>
      <c r="KC349">
        <v>0</v>
      </c>
      <c r="KD349">
        <v>0</v>
      </c>
      <c r="KE349">
        <v>0</v>
      </c>
      <c r="KF349">
        <v>0</v>
      </c>
      <c r="KI349">
        <v>344.6</v>
      </c>
      <c r="KJ349">
        <v>350.8</v>
      </c>
      <c r="KK349">
        <v>22.1</v>
      </c>
      <c r="KL349">
        <v>379.3</v>
      </c>
      <c r="KM349">
        <v>241.4</v>
      </c>
      <c r="KN349">
        <v>0</v>
      </c>
      <c r="KO349">
        <v>0</v>
      </c>
      <c r="KP349">
        <v>57.3</v>
      </c>
      <c r="KQ349">
        <v>224.4</v>
      </c>
      <c r="KR349">
        <v>338.3</v>
      </c>
      <c r="KS349">
        <v>215.8</v>
      </c>
      <c r="KT349">
        <v>40.700000000000003</v>
      </c>
      <c r="KW349">
        <v>2154.5</v>
      </c>
      <c r="KX349">
        <v>1255.7</v>
      </c>
      <c r="KY349">
        <v>1630.1</v>
      </c>
      <c r="KZ349">
        <v>1246.9000000000001</v>
      </c>
      <c r="LB349">
        <v>78.099999999999994</v>
      </c>
      <c r="LC349">
        <v>77.7</v>
      </c>
    </row>
    <row r="350" spans="1:315" ht="18" thickBot="1">
      <c r="A350" s="245"/>
      <c r="B350" s="245"/>
      <c r="C350" s="339"/>
      <c r="D350" s="295"/>
      <c r="E350" s="449">
        <v>0</v>
      </c>
      <c r="F350" s="211">
        <v>0</v>
      </c>
      <c r="G350" s="427">
        <v>3413.8</v>
      </c>
      <c r="H350" s="155"/>
      <c r="I350">
        <v>735</v>
      </c>
      <c r="K350">
        <v>1973.1000000000001</v>
      </c>
      <c r="L350" s="4">
        <v>221.60000000000002</v>
      </c>
      <c r="M350" s="4">
        <v>54.9</v>
      </c>
      <c r="N350" s="4">
        <v>1989.7</v>
      </c>
      <c r="P350">
        <v>0</v>
      </c>
      <c r="Q350">
        <v>238.29999999999998</v>
      </c>
      <c r="R350">
        <v>0</v>
      </c>
      <c r="S350">
        <v>0</v>
      </c>
      <c r="T350">
        <v>368.5</v>
      </c>
      <c r="W350">
        <v>720.3</v>
      </c>
      <c r="X350">
        <v>1411.5</v>
      </c>
      <c r="Y350">
        <v>96.5</v>
      </c>
      <c r="AA350">
        <v>859.6</v>
      </c>
      <c r="AB350">
        <v>1577.6000000000001</v>
      </c>
      <c r="AE350">
        <v>1330</v>
      </c>
      <c r="AF350">
        <v>1025.5</v>
      </c>
      <c r="AH350">
        <v>509.9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1349.3</v>
      </c>
      <c r="AO350">
        <v>786.40000000000009</v>
      </c>
      <c r="AP350">
        <v>0</v>
      </c>
      <c r="AQ350">
        <v>68.3</v>
      </c>
      <c r="AR350">
        <v>234.9</v>
      </c>
      <c r="AS350">
        <v>600.40000000000009</v>
      </c>
      <c r="AU350">
        <v>985.69999999999993</v>
      </c>
      <c r="AW350">
        <v>792</v>
      </c>
      <c r="AX350">
        <v>1988.5</v>
      </c>
      <c r="AZ350">
        <v>763.5</v>
      </c>
      <c r="BA350">
        <v>0</v>
      </c>
      <c r="BB350">
        <v>0</v>
      </c>
      <c r="BC350">
        <v>1935.3</v>
      </c>
      <c r="BD350">
        <v>1006.5</v>
      </c>
      <c r="BE350">
        <v>0</v>
      </c>
      <c r="BF350">
        <v>0</v>
      </c>
      <c r="BG350">
        <v>0</v>
      </c>
      <c r="BH350">
        <v>1662.6</v>
      </c>
      <c r="BJ350">
        <v>0</v>
      </c>
      <c r="BK350">
        <v>0</v>
      </c>
      <c r="BL350">
        <v>1038.9000000000001</v>
      </c>
      <c r="BM350">
        <v>1101</v>
      </c>
      <c r="BO350">
        <v>1276.8000000000002</v>
      </c>
      <c r="BQ350">
        <v>0</v>
      </c>
      <c r="BR350">
        <v>270.7</v>
      </c>
      <c r="BS350">
        <v>230.5</v>
      </c>
      <c r="BT350">
        <v>472.3</v>
      </c>
      <c r="BU350">
        <v>537.29999999999995</v>
      </c>
      <c r="BV350">
        <v>346.3</v>
      </c>
      <c r="BW350">
        <v>386.2</v>
      </c>
      <c r="BX350">
        <v>767</v>
      </c>
      <c r="BY350">
        <v>757.2</v>
      </c>
      <c r="BZ350">
        <v>1037.2</v>
      </c>
      <c r="CA350">
        <v>1227.0999999999999</v>
      </c>
      <c r="CB350">
        <v>1232.0999999999999</v>
      </c>
      <c r="CC350">
        <v>1701.5</v>
      </c>
      <c r="CD350">
        <v>0</v>
      </c>
      <c r="CG350">
        <v>1385.3</v>
      </c>
      <c r="CJ350">
        <v>1630.2999999999997</v>
      </c>
      <c r="CM350">
        <v>1184.2</v>
      </c>
      <c r="CO350">
        <v>1248.0999999999999</v>
      </c>
      <c r="CQ350">
        <v>1435.3</v>
      </c>
      <c r="CR350">
        <v>798.2</v>
      </c>
      <c r="CS350">
        <v>923.8</v>
      </c>
      <c r="CT350">
        <v>0</v>
      </c>
      <c r="CU350">
        <v>0</v>
      </c>
      <c r="CV350">
        <v>0</v>
      </c>
      <c r="CW350">
        <v>0</v>
      </c>
      <c r="CX350">
        <v>163.69999999999999</v>
      </c>
      <c r="CY350">
        <v>0</v>
      </c>
      <c r="CZ350">
        <v>0</v>
      </c>
      <c r="DA350">
        <v>0</v>
      </c>
      <c r="DB350">
        <v>0</v>
      </c>
      <c r="DC350">
        <v>0</v>
      </c>
      <c r="DD350">
        <v>0</v>
      </c>
      <c r="DE350">
        <v>0</v>
      </c>
      <c r="DI350">
        <v>0</v>
      </c>
      <c r="EC350">
        <v>0</v>
      </c>
      <c r="ED350">
        <v>0</v>
      </c>
      <c r="EE350">
        <v>0</v>
      </c>
      <c r="EF350">
        <v>0</v>
      </c>
      <c r="EG350">
        <v>0</v>
      </c>
      <c r="EH350">
        <v>0</v>
      </c>
      <c r="EI350">
        <v>0</v>
      </c>
      <c r="EJ350">
        <v>0</v>
      </c>
      <c r="EM350">
        <v>0</v>
      </c>
      <c r="EN350">
        <v>0</v>
      </c>
      <c r="EO350">
        <v>0</v>
      </c>
      <c r="EP350">
        <v>0</v>
      </c>
      <c r="EQ350">
        <v>0</v>
      </c>
      <c r="ER350">
        <v>0</v>
      </c>
      <c r="ES350">
        <v>0</v>
      </c>
      <c r="ET350">
        <v>0</v>
      </c>
      <c r="EW350">
        <v>0</v>
      </c>
      <c r="EX350">
        <v>0</v>
      </c>
      <c r="EY350">
        <v>0</v>
      </c>
      <c r="EZ350">
        <v>0</v>
      </c>
      <c r="FA350">
        <v>0</v>
      </c>
      <c r="FB350">
        <v>0</v>
      </c>
      <c r="FC350">
        <v>0</v>
      </c>
      <c r="FD350">
        <v>0</v>
      </c>
      <c r="FG350" t="e">
        <v>#N/A</v>
      </c>
      <c r="FI350" t="e">
        <v>#N/A</v>
      </c>
      <c r="FK350" t="e">
        <v>#N/A</v>
      </c>
      <c r="FM350" t="e">
        <v>#N/A</v>
      </c>
      <c r="FO350" t="e">
        <v>#N/A</v>
      </c>
      <c r="FQ350" t="e">
        <v>#N/A</v>
      </c>
      <c r="FS350" t="e">
        <v>#N/A</v>
      </c>
      <c r="FU350" t="e">
        <v>#N/A</v>
      </c>
      <c r="FW350" t="e">
        <v>#N/A</v>
      </c>
      <c r="FY350" t="e">
        <v>#N/A</v>
      </c>
      <c r="GA350" t="e">
        <v>#N/A</v>
      </c>
      <c r="GC350" t="e">
        <v>#N/A</v>
      </c>
      <c r="GE350" t="e">
        <v>#N/A</v>
      </c>
      <c r="GG350" t="e">
        <v>#N/A</v>
      </c>
      <c r="GI350" t="e">
        <v>#N/A</v>
      </c>
      <c r="GK350" t="e">
        <v>#N/A</v>
      </c>
      <c r="GM350" t="e">
        <v>#N/A</v>
      </c>
      <c r="GO350" t="e">
        <v>#N/A</v>
      </c>
      <c r="GQ350" t="e">
        <v>#N/A</v>
      </c>
      <c r="GS350" t="e">
        <v>#N/A</v>
      </c>
      <c r="GU350" t="e">
        <v>#N/A</v>
      </c>
      <c r="GW350" t="e">
        <v>#N/A</v>
      </c>
      <c r="GY350" t="e">
        <v>#N/A</v>
      </c>
      <c r="HA350" t="e">
        <v>#N/A</v>
      </c>
      <c r="HC350">
        <v>0</v>
      </c>
      <c r="HD350">
        <v>0</v>
      </c>
      <c r="HE350">
        <v>0</v>
      </c>
      <c r="HF350">
        <v>0</v>
      </c>
      <c r="HG350">
        <v>0</v>
      </c>
      <c r="HH350">
        <v>0</v>
      </c>
      <c r="HI350">
        <v>0</v>
      </c>
      <c r="HJ350">
        <v>0</v>
      </c>
      <c r="HM350">
        <v>0</v>
      </c>
      <c r="HN350">
        <v>0</v>
      </c>
      <c r="HO350">
        <v>0</v>
      </c>
      <c r="HP350">
        <v>0</v>
      </c>
      <c r="HQ350">
        <v>0</v>
      </c>
      <c r="HR350">
        <v>0</v>
      </c>
      <c r="HS350">
        <v>0</v>
      </c>
      <c r="HT350">
        <v>0</v>
      </c>
      <c r="HW350">
        <v>0</v>
      </c>
      <c r="HX350">
        <v>0</v>
      </c>
      <c r="HY350">
        <v>0</v>
      </c>
      <c r="HZ350">
        <v>0</v>
      </c>
      <c r="IA350">
        <v>3930.6</v>
      </c>
      <c r="IB350">
        <v>3632.9</v>
      </c>
      <c r="IC350">
        <v>3795.5</v>
      </c>
      <c r="ID350">
        <v>0</v>
      </c>
      <c r="IE350">
        <v>0</v>
      </c>
      <c r="IF350">
        <v>3548.5</v>
      </c>
      <c r="IG350">
        <v>3395.2</v>
      </c>
      <c r="IH350">
        <v>3395.4</v>
      </c>
      <c r="II350">
        <v>3302.3</v>
      </c>
      <c r="IJ350">
        <v>3172.8</v>
      </c>
      <c r="IK350">
        <v>0</v>
      </c>
      <c r="IL350">
        <v>0</v>
      </c>
      <c r="IM350">
        <v>0</v>
      </c>
      <c r="IN350">
        <v>0</v>
      </c>
      <c r="IO350">
        <v>123.4</v>
      </c>
      <c r="IP350">
        <v>405.2</v>
      </c>
      <c r="IQ350">
        <v>418.7</v>
      </c>
      <c r="IR350">
        <v>0</v>
      </c>
      <c r="IS350">
        <v>0</v>
      </c>
      <c r="IT350">
        <v>0</v>
      </c>
      <c r="IU350">
        <v>0</v>
      </c>
      <c r="IV350">
        <v>396</v>
      </c>
      <c r="IW350">
        <v>0</v>
      </c>
      <c r="IX350">
        <v>0</v>
      </c>
      <c r="IZ350">
        <v>0</v>
      </c>
      <c r="JA350">
        <v>65.5</v>
      </c>
      <c r="JB350">
        <v>443.5</v>
      </c>
      <c r="JC350">
        <v>0</v>
      </c>
      <c r="JD350">
        <v>0</v>
      </c>
      <c r="JE350">
        <v>0</v>
      </c>
      <c r="JF350">
        <v>0</v>
      </c>
      <c r="JG350">
        <v>0</v>
      </c>
      <c r="JH350">
        <v>0</v>
      </c>
      <c r="JI350">
        <v>0</v>
      </c>
      <c r="JJ350">
        <v>0</v>
      </c>
      <c r="JK350">
        <v>0</v>
      </c>
      <c r="JL350">
        <v>0</v>
      </c>
      <c r="JM350">
        <v>0</v>
      </c>
      <c r="JN350">
        <v>0</v>
      </c>
      <c r="JO350">
        <v>0</v>
      </c>
      <c r="JP350">
        <v>0</v>
      </c>
      <c r="JQ350">
        <v>0</v>
      </c>
      <c r="JR350">
        <v>0</v>
      </c>
      <c r="JS350">
        <v>0</v>
      </c>
      <c r="JT350">
        <v>0</v>
      </c>
      <c r="JU350">
        <v>0</v>
      </c>
      <c r="JV350">
        <v>0</v>
      </c>
      <c r="JW350">
        <v>0</v>
      </c>
      <c r="JX350">
        <v>0</v>
      </c>
      <c r="JY350">
        <v>0</v>
      </c>
      <c r="JZ350">
        <v>0</v>
      </c>
      <c r="KA350">
        <v>0</v>
      </c>
      <c r="KB350">
        <v>0</v>
      </c>
      <c r="KC350">
        <v>0</v>
      </c>
      <c r="KD350">
        <v>0</v>
      </c>
      <c r="KE350">
        <v>0</v>
      </c>
      <c r="KF350">
        <v>0</v>
      </c>
      <c r="KI350">
        <v>344.6</v>
      </c>
      <c r="KJ350">
        <v>350.8</v>
      </c>
      <c r="KK350">
        <v>22.1</v>
      </c>
      <c r="KL350">
        <v>379.3</v>
      </c>
      <c r="KM350">
        <v>241.4</v>
      </c>
      <c r="KN350">
        <v>0</v>
      </c>
      <c r="KO350">
        <v>0</v>
      </c>
      <c r="KP350">
        <v>57.3</v>
      </c>
      <c r="KQ350">
        <v>224.4</v>
      </c>
      <c r="KR350">
        <v>338.3</v>
      </c>
      <c r="KS350">
        <v>215.8</v>
      </c>
      <c r="KT350">
        <v>40.700000000000003</v>
      </c>
      <c r="KW350">
        <v>2154.5</v>
      </c>
      <c r="KX350">
        <v>1255.7</v>
      </c>
      <c r="KY350">
        <v>1630.1</v>
      </c>
      <c r="KZ350">
        <v>1246.9000000000001</v>
      </c>
      <c r="LB350">
        <v>78.099999999999994</v>
      </c>
      <c r="LC350">
        <v>77.7</v>
      </c>
    </row>
    <row r="351" spans="1:315" ht="18" thickBot="1">
      <c r="A351" s="246"/>
      <c r="B351" s="246"/>
      <c r="C351" s="338"/>
      <c r="D351" s="294"/>
      <c r="E351" s="452">
        <v>0</v>
      </c>
      <c r="F351" s="210">
        <v>0</v>
      </c>
      <c r="G351" s="427">
        <v>3413.8</v>
      </c>
      <c r="H351" s="155"/>
      <c r="I351">
        <v>735</v>
      </c>
      <c r="K351">
        <v>1973.1000000000001</v>
      </c>
      <c r="L351" s="4">
        <v>221.60000000000002</v>
      </c>
      <c r="M351" s="4">
        <v>54.9</v>
      </c>
      <c r="N351" s="4">
        <v>1989.7</v>
      </c>
      <c r="P351">
        <v>0</v>
      </c>
      <c r="Q351">
        <v>238.29999999999998</v>
      </c>
      <c r="R351">
        <v>0</v>
      </c>
      <c r="S351">
        <v>0</v>
      </c>
      <c r="T351">
        <v>368.5</v>
      </c>
      <c r="W351">
        <v>720.3</v>
      </c>
      <c r="X351">
        <v>1411.5</v>
      </c>
      <c r="Y351">
        <v>96.5</v>
      </c>
      <c r="AA351">
        <v>859.6</v>
      </c>
      <c r="AB351">
        <v>1577.6000000000001</v>
      </c>
      <c r="AE351">
        <v>1330</v>
      </c>
      <c r="AF351">
        <v>1025.5</v>
      </c>
      <c r="AH351">
        <v>509.9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1349.3</v>
      </c>
      <c r="AO351">
        <v>786.40000000000009</v>
      </c>
      <c r="AP351">
        <v>0</v>
      </c>
      <c r="AQ351">
        <v>68.3</v>
      </c>
      <c r="AR351">
        <v>234.9</v>
      </c>
      <c r="AS351">
        <v>600.40000000000009</v>
      </c>
      <c r="AU351">
        <v>985.69999999999993</v>
      </c>
      <c r="AW351">
        <v>792</v>
      </c>
      <c r="AX351">
        <v>1988.5</v>
      </c>
      <c r="AZ351">
        <v>763.5</v>
      </c>
      <c r="BA351">
        <v>0</v>
      </c>
      <c r="BB351">
        <v>0</v>
      </c>
      <c r="BC351">
        <v>1935.3</v>
      </c>
      <c r="BD351">
        <v>1006.5</v>
      </c>
      <c r="BE351">
        <v>0</v>
      </c>
      <c r="BF351">
        <v>0</v>
      </c>
      <c r="BG351">
        <v>0</v>
      </c>
      <c r="BH351">
        <v>1662.6</v>
      </c>
      <c r="BJ351">
        <v>0</v>
      </c>
      <c r="BK351">
        <v>0</v>
      </c>
      <c r="BL351">
        <v>1038.9000000000001</v>
      </c>
      <c r="BM351">
        <v>1101</v>
      </c>
      <c r="BO351">
        <v>1276.8000000000002</v>
      </c>
      <c r="BQ351">
        <v>0</v>
      </c>
      <c r="BR351">
        <v>270.7</v>
      </c>
      <c r="BS351">
        <v>230.5</v>
      </c>
      <c r="BT351">
        <v>472.3</v>
      </c>
      <c r="BU351">
        <v>537.29999999999995</v>
      </c>
      <c r="BV351">
        <v>346.3</v>
      </c>
      <c r="BW351">
        <v>386.2</v>
      </c>
      <c r="BX351">
        <v>767</v>
      </c>
      <c r="BY351">
        <v>757.2</v>
      </c>
      <c r="BZ351">
        <v>1037.2</v>
      </c>
      <c r="CA351">
        <v>1227.0999999999999</v>
      </c>
      <c r="CB351">
        <v>1232.0999999999999</v>
      </c>
      <c r="CC351">
        <v>1701.5</v>
      </c>
      <c r="CD351">
        <v>0</v>
      </c>
      <c r="CG351">
        <v>1385.3</v>
      </c>
      <c r="CJ351">
        <v>1630.2999999999997</v>
      </c>
      <c r="CM351">
        <v>1184.2</v>
      </c>
      <c r="CO351">
        <v>1248.0999999999999</v>
      </c>
      <c r="CQ351">
        <v>1435.3</v>
      </c>
      <c r="CR351">
        <v>798.2</v>
      </c>
      <c r="CS351">
        <v>923.8</v>
      </c>
      <c r="CT351">
        <v>0</v>
      </c>
      <c r="CU351">
        <v>0</v>
      </c>
      <c r="CV351">
        <v>0</v>
      </c>
      <c r="CW351">
        <v>0</v>
      </c>
      <c r="CX351">
        <v>163.69999999999999</v>
      </c>
      <c r="CY351">
        <v>0</v>
      </c>
      <c r="CZ351">
        <v>0</v>
      </c>
      <c r="DA351">
        <v>0</v>
      </c>
      <c r="DB351">
        <v>0</v>
      </c>
      <c r="DC351">
        <v>0</v>
      </c>
      <c r="DD351">
        <v>0</v>
      </c>
      <c r="DE351">
        <v>0</v>
      </c>
      <c r="DI351">
        <v>0</v>
      </c>
      <c r="EC351">
        <v>0</v>
      </c>
      <c r="ED351">
        <v>0</v>
      </c>
      <c r="EE351">
        <v>0</v>
      </c>
      <c r="EF351">
        <v>0</v>
      </c>
      <c r="EG351">
        <v>0</v>
      </c>
      <c r="EH351">
        <v>0</v>
      </c>
      <c r="EI351">
        <v>0</v>
      </c>
      <c r="EJ351">
        <v>0</v>
      </c>
      <c r="EM351">
        <v>0</v>
      </c>
      <c r="EN351">
        <v>0</v>
      </c>
      <c r="EO351">
        <v>0</v>
      </c>
      <c r="EP351">
        <v>0</v>
      </c>
      <c r="EQ351">
        <v>0</v>
      </c>
      <c r="ER351">
        <v>0</v>
      </c>
      <c r="ES351">
        <v>0</v>
      </c>
      <c r="ET351">
        <v>0</v>
      </c>
      <c r="EW351">
        <v>0</v>
      </c>
      <c r="EX351">
        <v>0</v>
      </c>
      <c r="EY351">
        <v>0</v>
      </c>
      <c r="EZ351">
        <v>0</v>
      </c>
      <c r="FA351">
        <v>0</v>
      </c>
      <c r="FB351">
        <v>0</v>
      </c>
      <c r="FC351">
        <v>0</v>
      </c>
      <c r="FD351">
        <v>0</v>
      </c>
      <c r="FG351" t="e">
        <v>#N/A</v>
      </c>
      <c r="FI351" t="e">
        <v>#N/A</v>
      </c>
      <c r="FK351" t="e">
        <v>#N/A</v>
      </c>
      <c r="FM351" t="e">
        <v>#N/A</v>
      </c>
      <c r="FO351" t="e">
        <v>#N/A</v>
      </c>
      <c r="FQ351" t="e">
        <v>#N/A</v>
      </c>
      <c r="FS351" t="e">
        <v>#N/A</v>
      </c>
      <c r="FU351" t="e">
        <v>#N/A</v>
      </c>
      <c r="FW351" t="e">
        <v>#N/A</v>
      </c>
      <c r="FY351" t="e">
        <v>#N/A</v>
      </c>
      <c r="GA351" t="e">
        <v>#N/A</v>
      </c>
      <c r="GC351" t="e">
        <v>#N/A</v>
      </c>
      <c r="GE351" t="e">
        <v>#N/A</v>
      </c>
      <c r="GG351" t="e">
        <v>#N/A</v>
      </c>
      <c r="GI351" t="e">
        <v>#N/A</v>
      </c>
      <c r="GK351" t="e">
        <v>#N/A</v>
      </c>
      <c r="GM351" t="e">
        <v>#N/A</v>
      </c>
      <c r="GO351" t="e">
        <v>#N/A</v>
      </c>
      <c r="GQ351" t="e">
        <v>#N/A</v>
      </c>
      <c r="GS351" t="e">
        <v>#N/A</v>
      </c>
      <c r="GU351" t="e">
        <v>#N/A</v>
      </c>
      <c r="GW351" t="e">
        <v>#N/A</v>
      </c>
      <c r="GY351" t="e">
        <v>#N/A</v>
      </c>
      <c r="HA351" t="e">
        <v>#N/A</v>
      </c>
      <c r="HC351">
        <v>0</v>
      </c>
      <c r="HD351">
        <v>0</v>
      </c>
      <c r="HE351">
        <v>0</v>
      </c>
      <c r="HF351">
        <v>0</v>
      </c>
      <c r="HG351">
        <v>0</v>
      </c>
      <c r="HH351">
        <v>0</v>
      </c>
      <c r="HI351">
        <v>0</v>
      </c>
      <c r="HJ351">
        <v>0</v>
      </c>
      <c r="HM351">
        <v>0</v>
      </c>
      <c r="HN351">
        <v>0</v>
      </c>
      <c r="HO351">
        <v>0</v>
      </c>
      <c r="HP351">
        <v>0</v>
      </c>
      <c r="HQ351">
        <v>0</v>
      </c>
      <c r="HR351">
        <v>0</v>
      </c>
      <c r="HS351">
        <v>0</v>
      </c>
      <c r="HT351">
        <v>0</v>
      </c>
      <c r="HW351">
        <v>0</v>
      </c>
      <c r="HX351">
        <v>0</v>
      </c>
      <c r="HY351">
        <v>0</v>
      </c>
      <c r="HZ351">
        <v>0</v>
      </c>
      <c r="IA351">
        <v>3930.6</v>
      </c>
      <c r="IB351">
        <v>3632.9</v>
      </c>
      <c r="IC351">
        <v>3795.5</v>
      </c>
      <c r="ID351">
        <v>0</v>
      </c>
      <c r="IE351">
        <v>0</v>
      </c>
      <c r="IF351">
        <v>3548.5</v>
      </c>
      <c r="IG351">
        <v>3395.2</v>
      </c>
      <c r="IH351">
        <v>3395.4</v>
      </c>
      <c r="II351">
        <v>3302.3</v>
      </c>
      <c r="IJ351">
        <v>3172.8</v>
      </c>
      <c r="IK351">
        <v>0</v>
      </c>
      <c r="IL351">
        <v>0</v>
      </c>
      <c r="IM351">
        <v>0</v>
      </c>
      <c r="IN351">
        <v>0</v>
      </c>
      <c r="IO351">
        <v>123.4</v>
      </c>
      <c r="IP351">
        <v>405.2</v>
      </c>
      <c r="IQ351">
        <v>418.7</v>
      </c>
      <c r="IR351">
        <v>0</v>
      </c>
      <c r="IS351">
        <v>0</v>
      </c>
      <c r="IT351">
        <v>0</v>
      </c>
      <c r="IU351">
        <v>0</v>
      </c>
      <c r="IV351">
        <v>396</v>
      </c>
      <c r="IW351">
        <v>0</v>
      </c>
      <c r="IX351">
        <v>0</v>
      </c>
      <c r="IZ351">
        <v>0</v>
      </c>
      <c r="JA351">
        <v>65.5</v>
      </c>
      <c r="JB351">
        <v>443.5</v>
      </c>
      <c r="JC351">
        <v>0</v>
      </c>
      <c r="JD351">
        <v>0</v>
      </c>
      <c r="JE351">
        <v>0</v>
      </c>
      <c r="JF351">
        <v>0</v>
      </c>
      <c r="JG351">
        <v>0</v>
      </c>
      <c r="JH351">
        <v>0</v>
      </c>
      <c r="JI351">
        <v>0</v>
      </c>
      <c r="JJ351">
        <v>0</v>
      </c>
      <c r="JK351">
        <v>0</v>
      </c>
      <c r="JL351">
        <v>0</v>
      </c>
      <c r="JM351">
        <v>0</v>
      </c>
      <c r="JN351">
        <v>0</v>
      </c>
      <c r="JO351">
        <v>0</v>
      </c>
      <c r="JP351">
        <v>0</v>
      </c>
      <c r="JQ351">
        <v>0</v>
      </c>
      <c r="JR351">
        <v>0</v>
      </c>
      <c r="JS351">
        <v>0</v>
      </c>
      <c r="JT351">
        <v>0</v>
      </c>
      <c r="JU351">
        <v>0</v>
      </c>
      <c r="JV351">
        <v>0</v>
      </c>
      <c r="JW351">
        <v>0</v>
      </c>
      <c r="JX351">
        <v>0</v>
      </c>
      <c r="JY351">
        <v>0</v>
      </c>
      <c r="JZ351">
        <v>0</v>
      </c>
      <c r="KA351">
        <v>0</v>
      </c>
      <c r="KB351">
        <v>0</v>
      </c>
      <c r="KC351">
        <v>0</v>
      </c>
      <c r="KD351">
        <v>0</v>
      </c>
      <c r="KE351">
        <v>0</v>
      </c>
      <c r="KF351">
        <v>0</v>
      </c>
      <c r="KI351">
        <v>344.6</v>
      </c>
      <c r="KJ351">
        <v>350.8</v>
      </c>
      <c r="KK351">
        <v>22.1</v>
      </c>
      <c r="KL351">
        <v>379.3</v>
      </c>
      <c r="KM351">
        <v>241.4</v>
      </c>
      <c r="KN351">
        <v>0</v>
      </c>
      <c r="KO351">
        <v>0</v>
      </c>
      <c r="KP351">
        <v>57.3</v>
      </c>
      <c r="KQ351">
        <v>224.4</v>
      </c>
      <c r="KR351">
        <v>338.3</v>
      </c>
      <c r="KS351">
        <v>215.8</v>
      </c>
      <c r="KT351">
        <v>40.700000000000003</v>
      </c>
      <c r="KW351">
        <v>2154.5</v>
      </c>
      <c r="KX351">
        <v>1255.7</v>
      </c>
      <c r="KY351">
        <v>1630.1</v>
      </c>
      <c r="KZ351">
        <v>1246.9000000000001</v>
      </c>
      <c r="LB351">
        <v>78.099999999999994</v>
      </c>
      <c r="LC351">
        <v>77.7</v>
      </c>
    </row>
    <row r="352" spans="1:315" ht="18.600000000000001" thickTop="1" thickBot="1">
      <c r="A352" s="181"/>
      <c r="B352" s="181"/>
      <c r="C352" s="333" t="s">
        <v>863</v>
      </c>
      <c r="D352" s="287"/>
      <c r="E352" s="442">
        <v>0</v>
      </c>
      <c r="F352" s="190">
        <v>0</v>
      </c>
      <c r="G352" s="427">
        <v>3413.8</v>
      </c>
      <c r="H352" s="155"/>
      <c r="I352">
        <v>735</v>
      </c>
      <c r="K352">
        <v>1973.1000000000001</v>
      </c>
      <c r="L352" s="4">
        <v>221.60000000000002</v>
      </c>
      <c r="M352" s="4">
        <v>54.9</v>
      </c>
      <c r="N352" s="4">
        <v>1989.7</v>
      </c>
      <c r="P352">
        <v>0</v>
      </c>
      <c r="Q352">
        <v>238.29999999999998</v>
      </c>
      <c r="R352">
        <v>0</v>
      </c>
      <c r="S352">
        <v>0</v>
      </c>
      <c r="T352">
        <v>368.5</v>
      </c>
      <c r="W352">
        <v>720.3</v>
      </c>
      <c r="X352">
        <v>1411.5</v>
      </c>
      <c r="Y352">
        <v>96.5</v>
      </c>
      <c r="AA352">
        <v>859.6</v>
      </c>
      <c r="AB352">
        <v>1577.6000000000001</v>
      </c>
      <c r="AE352">
        <v>1330</v>
      </c>
      <c r="AF352">
        <v>1025.5</v>
      </c>
      <c r="AH352">
        <v>509.9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1349.3</v>
      </c>
      <c r="AO352">
        <v>786.40000000000009</v>
      </c>
      <c r="AP352">
        <v>0</v>
      </c>
      <c r="AQ352">
        <v>68.3</v>
      </c>
      <c r="AR352">
        <v>234.9</v>
      </c>
      <c r="AS352">
        <v>600.40000000000009</v>
      </c>
      <c r="AU352">
        <v>985.69999999999993</v>
      </c>
      <c r="AW352">
        <v>792</v>
      </c>
      <c r="AX352">
        <v>1988.5</v>
      </c>
      <c r="AZ352">
        <v>763.5</v>
      </c>
      <c r="BA352">
        <v>0</v>
      </c>
      <c r="BB352">
        <v>0</v>
      </c>
      <c r="BC352">
        <v>1935.3</v>
      </c>
      <c r="BD352">
        <v>1006.5</v>
      </c>
      <c r="BE352">
        <v>0</v>
      </c>
      <c r="BF352">
        <v>0</v>
      </c>
      <c r="BG352">
        <v>0</v>
      </c>
      <c r="BH352">
        <v>1662.6</v>
      </c>
      <c r="BJ352">
        <v>0</v>
      </c>
      <c r="BK352">
        <v>0</v>
      </c>
      <c r="BL352">
        <v>1038.9000000000001</v>
      </c>
      <c r="BM352">
        <v>1101</v>
      </c>
      <c r="BO352">
        <v>1276.8000000000002</v>
      </c>
      <c r="BQ352">
        <v>0</v>
      </c>
      <c r="BR352">
        <v>270.7</v>
      </c>
      <c r="BS352">
        <v>230.5</v>
      </c>
      <c r="BT352">
        <v>472.3</v>
      </c>
      <c r="BU352">
        <v>537.29999999999995</v>
      </c>
      <c r="BV352">
        <v>346.3</v>
      </c>
      <c r="BW352">
        <v>386.2</v>
      </c>
      <c r="BX352">
        <v>767</v>
      </c>
      <c r="BY352">
        <v>757.2</v>
      </c>
      <c r="BZ352">
        <v>1037.2</v>
      </c>
      <c r="CA352">
        <v>1227.0999999999999</v>
      </c>
      <c r="CB352">
        <v>1232.0999999999999</v>
      </c>
      <c r="CC352">
        <v>1701.5</v>
      </c>
      <c r="CD352">
        <v>0</v>
      </c>
      <c r="CG352">
        <v>1385.3</v>
      </c>
      <c r="CJ352">
        <v>1630.2999999999997</v>
      </c>
      <c r="CM352">
        <v>1184.2</v>
      </c>
      <c r="CO352">
        <v>1248.0999999999999</v>
      </c>
      <c r="CQ352">
        <v>1435.3</v>
      </c>
      <c r="CR352">
        <v>798.2</v>
      </c>
      <c r="CS352">
        <v>923.8</v>
      </c>
      <c r="CT352">
        <v>0</v>
      </c>
      <c r="CU352">
        <v>0</v>
      </c>
      <c r="CV352">
        <v>0</v>
      </c>
      <c r="CW352">
        <v>0</v>
      </c>
      <c r="CX352">
        <v>163.69999999999999</v>
      </c>
      <c r="CY352">
        <v>0</v>
      </c>
      <c r="CZ352">
        <v>0</v>
      </c>
      <c r="DA352">
        <v>0</v>
      </c>
      <c r="DB352">
        <v>0</v>
      </c>
      <c r="DC352">
        <v>0</v>
      </c>
      <c r="DD352">
        <v>0</v>
      </c>
      <c r="DE352">
        <v>0</v>
      </c>
      <c r="DI352">
        <v>0</v>
      </c>
      <c r="EC352">
        <v>0</v>
      </c>
      <c r="ED352">
        <v>0</v>
      </c>
      <c r="EE352">
        <v>0</v>
      </c>
      <c r="EF352">
        <v>0</v>
      </c>
      <c r="EG352">
        <v>0</v>
      </c>
      <c r="EH352">
        <v>0</v>
      </c>
      <c r="EI352">
        <v>0</v>
      </c>
      <c r="EJ352">
        <v>0</v>
      </c>
      <c r="EM352">
        <v>0</v>
      </c>
      <c r="EN352">
        <v>0</v>
      </c>
      <c r="EO352">
        <v>0</v>
      </c>
      <c r="EP352">
        <v>0</v>
      </c>
      <c r="EQ352">
        <v>0</v>
      </c>
      <c r="ER352">
        <v>0</v>
      </c>
      <c r="ES352">
        <v>0</v>
      </c>
      <c r="ET352">
        <v>0</v>
      </c>
      <c r="EW352">
        <v>0</v>
      </c>
      <c r="EX352">
        <v>0</v>
      </c>
      <c r="EY352">
        <v>0</v>
      </c>
      <c r="EZ352">
        <v>0</v>
      </c>
      <c r="FA352">
        <v>0</v>
      </c>
      <c r="FB352">
        <v>0</v>
      </c>
      <c r="FC352">
        <v>0</v>
      </c>
      <c r="FD352">
        <v>0</v>
      </c>
      <c r="FG352" t="e">
        <v>#N/A</v>
      </c>
      <c r="FI352" t="e">
        <v>#N/A</v>
      </c>
      <c r="FK352" t="e">
        <v>#N/A</v>
      </c>
      <c r="FM352" t="e">
        <v>#N/A</v>
      </c>
      <c r="FO352" t="e">
        <v>#N/A</v>
      </c>
      <c r="FQ352" t="e">
        <v>#N/A</v>
      </c>
      <c r="FS352" t="e">
        <v>#N/A</v>
      </c>
      <c r="FU352" t="e">
        <v>#N/A</v>
      </c>
      <c r="FW352" t="e">
        <v>#N/A</v>
      </c>
      <c r="FY352" t="e">
        <v>#N/A</v>
      </c>
      <c r="GA352" t="e">
        <v>#N/A</v>
      </c>
      <c r="GC352" t="e">
        <v>#N/A</v>
      </c>
      <c r="GE352" t="e">
        <v>#N/A</v>
      </c>
      <c r="GG352" t="e">
        <v>#N/A</v>
      </c>
      <c r="GI352" t="e">
        <v>#N/A</v>
      </c>
      <c r="GK352" t="e">
        <v>#N/A</v>
      </c>
      <c r="GM352" t="e">
        <v>#N/A</v>
      </c>
      <c r="GO352" t="e">
        <v>#N/A</v>
      </c>
      <c r="GQ352" t="e">
        <v>#N/A</v>
      </c>
      <c r="GS352" t="e">
        <v>#N/A</v>
      </c>
      <c r="GU352" t="e">
        <v>#N/A</v>
      </c>
      <c r="GW352" t="e">
        <v>#N/A</v>
      </c>
      <c r="GY352" t="e">
        <v>#N/A</v>
      </c>
      <c r="HA352" t="e">
        <v>#N/A</v>
      </c>
      <c r="HC352">
        <v>0</v>
      </c>
      <c r="HD352">
        <v>0</v>
      </c>
      <c r="HE352">
        <v>0</v>
      </c>
      <c r="HF352">
        <v>0</v>
      </c>
      <c r="HG352">
        <v>0</v>
      </c>
      <c r="HH352">
        <v>0</v>
      </c>
      <c r="HI352">
        <v>0</v>
      </c>
      <c r="HJ352">
        <v>0</v>
      </c>
      <c r="HM352">
        <v>0</v>
      </c>
      <c r="HN352">
        <v>0</v>
      </c>
      <c r="HO352">
        <v>0</v>
      </c>
      <c r="HP352">
        <v>0</v>
      </c>
      <c r="HQ352">
        <v>0</v>
      </c>
      <c r="HR352">
        <v>0</v>
      </c>
      <c r="HS352">
        <v>0</v>
      </c>
      <c r="HT352">
        <v>0</v>
      </c>
      <c r="HW352">
        <v>0</v>
      </c>
      <c r="HX352">
        <v>0</v>
      </c>
      <c r="HY352">
        <v>0</v>
      </c>
      <c r="HZ352">
        <v>0</v>
      </c>
      <c r="IA352">
        <v>3930.6</v>
      </c>
      <c r="IB352">
        <v>3632.9</v>
      </c>
      <c r="IC352">
        <v>3795.5</v>
      </c>
      <c r="ID352">
        <v>0</v>
      </c>
      <c r="IE352">
        <v>0</v>
      </c>
      <c r="IF352">
        <v>3548.5</v>
      </c>
      <c r="IG352">
        <v>3395.2</v>
      </c>
      <c r="IH352">
        <v>3395.4</v>
      </c>
      <c r="II352">
        <v>3302.3</v>
      </c>
      <c r="IJ352">
        <v>3172.8</v>
      </c>
      <c r="IK352">
        <v>0</v>
      </c>
      <c r="IL352">
        <v>0</v>
      </c>
      <c r="IM352">
        <v>0</v>
      </c>
      <c r="IN352">
        <v>0</v>
      </c>
      <c r="IO352">
        <v>123.4</v>
      </c>
      <c r="IP352">
        <v>405.2</v>
      </c>
      <c r="IQ352">
        <v>418.7</v>
      </c>
      <c r="IR352">
        <v>0</v>
      </c>
      <c r="IS352">
        <v>0</v>
      </c>
      <c r="IT352">
        <v>0</v>
      </c>
      <c r="IU352">
        <v>0</v>
      </c>
      <c r="IV352">
        <v>396</v>
      </c>
      <c r="IW352">
        <v>0</v>
      </c>
      <c r="IX352">
        <v>0</v>
      </c>
      <c r="IZ352">
        <v>0</v>
      </c>
      <c r="JA352">
        <v>65.5</v>
      </c>
      <c r="JB352">
        <v>443.5</v>
      </c>
      <c r="JC352">
        <v>0</v>
      </c>
      <c r="JD352">
        <v>0</v>
      </c>
      <c r="JE352">
        <v>0</v>
      </c>
      <c r="JF352">
        <v>0</v>
      </c>
      <c r="JG352">
        <v>0</v>
      </c>
      <c r="JH352">
        <v>0</v>
      </c>
      <c r="JI352">
        <v>0</v>
      </c>
      <c r="JJ352">
        <v>0</v>
      </c>
      <c r="JK352">
        <v>0</v>
      </c>
      <c r="JL352">
        <v>0</v>
      </c>
      <c r="JM352">
        <v>0</v>
      </c>
      <c r="JN352">
        <v>0</v>
      </c>
      <c r="JO352">
        <v>0</v>
      </c>
      <c r="JP352">
        <v>0</v>
      </c>
      <c r="JQ352">
        <v>0</v>
      </c>
      <c r="JR352">
        <v>0</v>
      </c>
      <c r="JS352">
        <v>0</v>
      </c>
      <c r="JT352">
        <v>0</v>
      </c>
      <c r="JU352">
        <v>0</v>
      </c>
      <c r="JV352">
        <v>0</v>
      </c>
      <c r="JW352">
        <v>0</v>
      </c>
      <c r="JX352">
        <v>0</v>
      </c>
      <c r="JY352">
        <v>0</v>
      </c>
      <c r="JZ352">
        <v>0</v>
      </c>
      <c r="KA352">
        <v>0</v>
      </c>
      <c r="KB352">
        <v>0</v>
      </c>
      <c r="KC352">
        <v>0</v>
      </c>
      <c r="KD352">
        <v>0</v>
      </c>
      <c r="KE352">
        <v>0</v>
      </c>
      <c r="KF352">
        <v>0</v>
      </c>
      <c r="KI352">
        <v>344.6</v>
      </c>
      <c r="KJ352">
        <v>350.8</v>
      </c>
      <c r="KK352">
        <v>22.1</v>
      </c>
      <c r="KL352">
        <v>379.3</v>
      </c>
      <c r="KM352">
        <v>241.4</v>
      </c>
      <c r="KN352">
        <v>0</v>
      </c>
      <c r="KO352">
        <v>0</v>
      </c>
      <c r="KP352">
        <v>57.3</v>
      </c>
      <c r="KQ352">
        <v>224.4</v>
      </c>
      <c r="KR352">
        <v>338.3</v>
      </c>
      <c r="KS352">
        <v>215.8</v>
      </c>
      <c r="KT352">
        <v>40.700000000000003</v>
      </c>
      <c r="KW352">
        <v>2154.5</v>
      </c>
      <c r="KX352">
        <v>1255.7</v>
      </c>
      <c r="KY352">
        <v>1630.1</v>
      </c>
      <c r="KZ352">
        <v>1246.9000000000001</v>
      </c>
      <c r="LB352">
        <v>78.099999999999994</v>
      </c>
      <c r="LC352">
        <v>77.7</v>
      </c>
    </row>
    <row r="353" spans="1:315" ht="18" thickBot="1">
      <c r="A353" s="245"/>
      <c r="B353" s="245"/>
      <c r="C353" s="230" t="s">
        <v>675</v>
      </c>
      <c r="D353" s="281"/>
      <c r="E353" s="443">
        <v>0</v>
      </c>
      <c r="F353" s="191">
        <v>0</v>
      </c>
      <c r="G353" s="427">
        <v>3413.8</v>
      </c>
      <c r="H353" s="155"/>
      <c r="I353">
        <v>735</v>
      </c>
      <c r="K353">
        <v>1973.1000000000001</v>
      </c>
      <c r="L353" s="4">
        <v>221.60000000000002</v>
      </c>
      <c r="M353" s="4">
        <v>54.9</v>
      </c>
      <c r="N353" s="4">
        <v>1989.7</v>
      </c>
      <c r="P353">
        <v>0</v>
      </c>
      <c r="Q353">
        <v>238.29999999999998</v>
      </c>
      <c r="R353">
        <v>0</v>
      </c>
      <c r="S353">
        <v>0</v>
      </c>
      <c r="T353">
        <v>368.5</v>
      </c>
      <c r="W353">
        <v>720.3</v>
      </c>
      <c r="X353">
        <v>1411.5</v>
      </c>
      <c r="Y353">
        <v>96.5</v>
      </c>
      <c r="AA353">
        <v>859.6</v>
      </c>
      <c r="AB353">
        <v>1577.6000000000001</v>
      </c>
      <c r="AE353">
        <v>1330</v>
      </c>
      <c r="AF353">
        <v>1025.5</v>
      </c>
      <c r="AH353">
        <v>509.9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1349.3</v>
      </c>
      <c r="AO353">
        <v>786.40000000000009</v>
      </c>
      <c r="AP353">
        <v>0</v>
      </c>
      <c r="AQ353">
        <v>68.3</v>
      </c>
      <c r="AR353">
        <v>234.9</v>
      </c>
      <c r="AS353">
        <v>600.40000000000009</v>
      </c>
      <c r="AU353">
        <v>985.69999999999993</v>
      </c>
      <c r="AW353">
        <v>792</v>
      </c>
      <c r="AX353">
        <v>1988.5</v>
      </c>
      <c r="AZ353">
        <v>763.5</v>
      </c>
      <c r="BA353">
        <v>0</v>
      </c>
      <c r="BB353">
        <v>0</v>
      </c>
      <c r="BC353">
        <v>1935.3</v>
      </c>
      <c r="BD353">
        <v>1006.5</v>
      </c>
      <c r="BE353">
        <v>0</v>
      </c>
      <c r="BF353">
        <v>0</v>
      </c>
      <c r="BG353">
        <v>0</v>
      </c>
      <c r="BH353">
        <v>1662.6</v>
      </c>
      <c r="BJ353">
        <v>0</v>
      </c>
      <c r="BK353">
        <v>0</v>
      </c>
      <c r="BL353">
        <v>1038.9000000000001</v>
      </c>
      <c r="BM353">
        <v>1101</v>
      </c>
      <c r="BO353">
        <v>1276.8000000000002</v>
      </c>
      <c r="BQ353">
        <v>0</v>
      </c>
      <c r="BR353">
        <v>270.7</v>
      </c>
      <c r="BS353">
        <v>230.5</v>
      </c>
      <c r="BT353">
        <v>472.3</v>
      </c>
      <c r="BU353">
        <v>537.29999999999995</v>
      </c>
      <c r="BV353">
        <v>346.3</v>
      </c>
      <c r="BW353">
        <v>386.2</v>
      </c>
      <c r="BX353">
        <v>767</v>
      </c>
      <c r="BY353">
        <v>757.2</v>
      </c>
      <c r="BZ353">
        <v>1037.2</v>
      </c>
      <c r="CA353">
        <v>1227.0999999999999</v>
      </c>
      <c r="CB353">
        <v>1232.0999999999999</v>
      </c>
      <c r="CC353">
        <v>1701.5</v>
      </c>
      <c r="CD353">
        <v>0</v>
      </c>
      <c r="CG353">
        <v>1385.3</v>
      </c>
      <c r="CJ353">
        <v>1630.2999999999997</v>
      </c>
      <c r="CM353">
        <v>1184.2</v>
      </c>
      <c r="CO353">
        <v>1248.0999999999999</v>
      </c>
      <c r="CQ353">
        <v>1435.3</v>
      </c>
      <c r="CR353">
        <v>798.2</v>
      </c>
      <c r="CS353">
        <v>923.8</v>
      </c>
      <c r="CT353">
        <v>0</v>
      </c>
      <c r="CU353">
        <v>0</v>
      </c>
      <c r="CV353">
        <v>0</v>
      </c>
      <c r="CW353">
        <v>0</v>
      </c>
      <c r="CX353">
        <v>163.69999999999999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I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  <c r="FD353">
        <v>0</v>
      </c>
      <c r="FG353" t="e">
        <v>#N/A</v>
      </c>
      <c r="FI353" t="e">
        <v>#N/A</v>
      </c>
      <c r="FK353" t="e">
        <v>#N/A</v>
      </c>
      <c r="FM353" t="e">
        <v>#N/A</v>
      </c>
      <c r="FO353" t="e">
        <v>#N/A</v>
      </c>
      <c r="FQ353" t="e">
        <v>#N/A</v>
      </c>
      <c r="FS353" t="e">
        <v>#N/A</v>
      </c>
      <c r="FU353" t="e">
        <v>#N/A</v>
      </c>
      <c r="FW353" t="e">
        <v>#N/A</v>
      </c>
      <c r="FY353" t="e">
        <v>#N/A</v>
      </c>
      <c r="GA353" t="e">
        <v>#N/A</v>
      </c>
      <c r="GC353" t="e">
        <v>#N/A</v>
      </c>
      <c r="GE353" t="e">
        <v>#N/A</v>
      </c>
      <c r="GG353" t="e">
        <v>#N/A</v>
      </c>
      <c r="GI353" t="e">
        <v>#N/A</v>
      </c>
      <c r="GK353" t="e">
        <v>#N/A</v>
      </c>
      <c r="GM353" t="e">
        <v>#N/A</v>
      </c>
      <c r="GO353" t="e">
        <v>#N/A</v>
      </c>
      <c r="GQ353" t="e">
        <v>#N/A</v>
      </c>
      <c r="GS353" t="e">
        <v>#N/A</v>
      </c>
      <c r="GU353" t="e">
        <v>#N/A</v>
      </c>
      <c r="GW353" t="e">
        <v>#N/A</v>
      </c>
      <c r="GY353" t="e">
        <v>#N/A</v>
      </c>
      <c r="HA353" t="e">
        <v>#N/A</v>
      </c>
      <c r="HC353">
        <v>0</v>
      </c>
      <c r="HD353">
        <v>0</v>
      </c>
      <c r="HE353">
        <v>0</v>
      </c>
      <c r="HF353">
        <v>0</v>
      </c>
      <c r="HG353">
        <v>0</v>
      </c>
      <c r="HH353">
        <v>0</v>
      </c>
      <c r="HI353">
        <v>0</v>
      </c>
      <c r="HJ353">
        <v>0</v>
      </c>
      <c r="HM353">
        <v>0</v>
      </c>
      <c r="HN353">
        <v>0</v>
      </c>
      <c r="HO353">
        <v>0</v>
      </c>
      <c r="HP353">
        <v>0</v>
      </c>
      <c r="HQ353">
        <v>0</v>
      </c>
      <c r="HR353">
        <v>0</v>
      </c>
      <c r="HS353">
        <v>0</v>
      </c>
      <c r="HT353">
        <v>0</v>
      </c>
      <c r="HW353">
        <v>0</v>
      </c>
      <c r="HX353">
        <v>0</v>
      </c>
      <c r="HY353">
        <v>0</v>
      </c>
      <c r="HZ353">
        <v>0</v>
      </c>
      <c r="IA353">
        <v>3930.6</v>
      </c>
      <c r="IB353">
        <v>3632.9</v>
      </c>
      <c r="IC353">
        <v>3795.5</v>
      </c>
      <c r="ID353">
        <v>0</v>
      </c>
      <c r="IE353">
        <v>0</v>
      </c>
      <c r="IF353">
        <v>3548.5</v>
      </c>
      <c r="IG353">
        <v>3395.2</v>
      </c>
      <c r="IH353">
        <v>3395.4</v>
      </c>
      <c r="II353">
        <v>3302.3</v>
      </c>
      <c r="IJ353">
        <v>3172.8</v>
      </c>
      <c r="IK353">
        <v>0</v>
      </c>
      <c r="IL353">
        <v>0</v>
      </c>
      <c r="IM353">
        <v>0</v>
      </c>
      <c r="IN353">
        <v>0</v>
      </c>
      <c r="IO353">
        <v>123.4</v>
      </c>
      <c r="IP353">
        <v>405.2</v>
      </c>
      <c r="IQ353">
        <v>418.7</v>
      </c>
      <c r="IR353">
        <v>0</v>
      </c>
      <c r="IS353">
        <v>0</v>
      </c>
      <c r="IT353">
        <v>0</v>
      </c>
      <c r="IU353">
        <v>0</v>
      </c>
      <c r="IV353">
        <v>396</v>
      </c>
      <c r="IW353">
        <v>0</v>
      </c>
      <c r="IX353">
        <v>0</v>
      </c>
      <c r="IZ353">
        <v>0</v>
      </c>
      <c r="JA353">
        <v>65.5</v>
      </c>
      <c r="JB353">
        <v>443.5</v>
      </c>
      <c r="JC353">
        <v>0</v>
      </c>
      <c r="JD353">
        <v>0</v>
      </c>
      <c r="JE353">
        <v>0</v>
      </c>
      <c r="JF353">
        <v>0</v>
      </c>
      <c r="JG353">
        <v>0</v>
      </c>
      <c r="JH353">
        <v>0</v>
      </c>
      <c r="JI353">
        <v>0</v>
      </c>
      <c r="JJ353">
        <v>0</v>
      </c>
      <c r="JK353">
        <v>0</v>
      </c>
      <c r="JL353">
        <v>0</v>
      </c>
      <c r="JM353">
        <v>0</v>
      </c>
      <c r="JN353">
        <v>0</v>
      </c>
      <c r="JO353">
        <v>0</v>
      </c>
      <c r="JP353">
        <v>0</v>
      </c>
      <c r="JQ353">
        <v>0</v>
      </c>
      <c r="JR353">
        <v>0</v>
      </c>
      <c r="JS353">
        <v>0</v>
      </c>
      <c r="JT353">
        <v>0</v>
      </c>
      <c r="JU353">
        <v>0</v>
      </c>
      <c r="JV353">
        <v>0</v>
      </c>
      <c r="JW353">
        <v>0</v>
      </c>
      <c r="JX353">
        <v>0</v>
      </c>
      <c r="JY353">
        <v>0</v>
      </c>
      <c r="JZ353">
        <v>0</v>
      </c>
      <c r="KA353">
        <v>0</v>
      </c>
      <c r="KB353">
        <v>0</v>
      </c>
      <c r="KC353">
        <v>0</v>
      </c>
      <c r="KD353">
        <v>0</v>
      </c>
      <c r="KE353">
        <v>0</v>
      </c>
      <c r="KF353">
        <v>0</v>
      </c>
      <c r="KI353">
        <v>344.6</v>
      </c>
      <c r="KJ353">
        <v>350.8</v>
      </c>
      <c r="KK353">
        <v>22.1</v>
      </c>
      <c r="KL353">
        <v>379.3</v>
      </c>
      <c r="KM353">
        <v>241.4</v>
      </c>
      <c r="KN353">
        <v>0</v>
      </c>
      <c r="KO353">
        <v>0</v>
      </c>
      <c r="KP353">
        <v>57.3</v>
      </c>
      <c r="KQ353">
        <v>224.4</v>
      </c>
      <c r="KR353">
        <v>338.3</v>
      </c>
      <c r="KS353">
        <v>215.8</v>
      </c>
      <c r="KT353">
        <v>40.700000000000003</v>
      </c>
      <c r="KW353">
        <v>2154.5</v>
      </c>
      <c r="KX353">
        <v>1255.7</v>
      </c>
      <c r="KY353">
        <v>1630.1</v>
      </c>
      <c r="KZ353">
        <v>1246.9000000000001</v>
      </c>
      <c r="LB353">
        <v>78.099999999999994</v>
      </c>
      <c r="LC353">
        <v>77.7</v>
      </c>
    </row>
    <row r="354" spans="1:315" ht="18" thickBot="1">
      <c r="A354" s="245"/>
      <c r="B354" s="245"/>
      <c r="C354" s="230" t="s">
        <v>676</v>
      </c>
      <c r="D354" s="281"/>
      <c r="E354" s="443">
        <v>0</v>
      </c>
      <c r="F354" s="191">
        <v>0</v>
      </c>
      <c r="G354" s="427">
        <v>3413.8</v>
      </c>
      <c r="H354" s="155"/>
      <c r="I354">
        <v>735</v>
      </c>
      <c r="K354">
        <v>1973.1000000000001</v>
      </c>
      <c r="L354" s="4">
        <v>221.60000000000002</v>
      </c>
      <c r="M354" s="4">
        <v>54.9</v>
      </c>
      <c r="N354" s="4">
        <v>1989.7</v>
      </c>
      <c r="P354">
        <v>0</v>
      </c>
      <c r="Q354">
        <v>238.29999999999998</v>
      </c>
      <c r="R354">
        <v>0</v>
      </c>
      <c r="S354">
        <v>0</v>
      </c>
      <c r="T354">
        <v>368.5</v>
      </c>
      <c r="W354">
        <v>720.3</v>
      </c>
      <c r="X354">
        <v>1411.5</v>
      </c>
      <c r="Y354">
        <v>96.5</v>
      </c>
      <c r="AA354">
        <v>859.6</v>
      </c>
      <c r="AB354">
        <v>1577.6000000000001</v>
      </c>
      <c r="AE354">
        <v>1330</v>
      </c>
      <c r="AF354">
        <v>1025.5</v>
      </c>
      <c r="AH354">
        <v>509.9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1349.3</v>
      </c>
      <c r="AO354">
        <v>786.40000000000009</v>
      </c>
      <c r="AP354">
        <v>0</v>
      </c>
      <c r="AQ354">
        <v>68.3</v>
      </c>
      <c r="AR354">
        <v>234.9</v>
      </c>
      <c r="AS354">
        <v>600.40000000000009</v>
      </c>
      <c r="AU354">
        <v>985.69999999999993</v>
      </c>
      <c r="AW354">
        <v>792</v>
      </c>
      <c r="AX354">
        <v>1988.5</v>
      </c>
      <c r="AZ354">
        <v>763.5</v>
      </c>
      <c r="BA354">
        <v>0</v>
      </c>
      <c r="BB354">
        <v>0</v>
      </c>
      <c r="BC354">
        <v>1935.3</v>
      </c>
      <c r="BD354">
        <v>1006.5</v>
      </c>
      <c r="BE354">
        <v>0</v>
      </c>
      <c r="BF354">
        <v>0</v>
      </c>
      <c r="BG354">
        <v>0</v>
      </c>
      <c r="BH354">
        <v>1662.6</v>
      </c>
      <c r="BJ354">
        <v>0</v>
      </c>
      <c r="BK354">
        <v>0</v>
      </c>
      <c r="BL354">
        <v>1038.9000000000001</v>
      </c>
      <c r="BM354">
        <v>1101</v>
      </c>
      <c r="BO354">
        <v>1276.8000000000002</v>
      </c>
      <c r="BQ354">
        <v>0</v>
      </c>
      <c r="BR354">
        <v>270.7</v>
      </c>
      <c r="BS354">
        <v>230.5</v>
      </c>
      <c r="BT354">
        <v>472.3</v>
      </c>
      <c r="BU354">
        <v>537.29999999999995</v>
      </c>
      <c r="BV354">
        <v>346.3</v>
      </c>
      <c r="BW354">
        <v>386.2</v>
      </c>
      <c r="BX354">
        <v>767</v>
      </c>
      <c r="BY354">
        <v>757.2</v>
      </c>
      <c r="BZ354">
        <v>1037.2</v>
      </c>
      <c r="CA354">
        <v>1227.0999999999999</v>
      </c>
      <c r="CB354">
        <v>1232.0999999999999</v>
      </c>
      <c r="CC354">
        <v>1701.5</v>
      </c>
      <c r="CD354">
        <v>0</v>
      </c>
      <c r="CG354">
        <v>1385.3</v>
      </c>
      <c r="CJ354">
        <v>1630.2999999999997</v>
      </c>
      <c r="CM354">
        <v>1184.2</v>
      </c>
      <c r="CO354">
        <v>1248.0999999999999</v>
      </c>
      <c r="CQ354">
        <v>1435.3</v>
      </c>
      <c r="CR354">
        <v>798.2</v>
      </c>
      <c r="CS354">
        <v>923.8</v>
      </c>
      <c r="CT354">
        <v>0</v>
      </c>
      <c r="CU354">
        <v>0</v>
      </c>
      <c r="CV354">
        <v>0</v>
      </c>
      <c r="CW354">
        <v>0</v>
      </c>
      <c r="CX354">
        <v>163.69999999999999</v>
      </c>
      <c r="CY354">
        <v>0</v>
      </c>
      <c r="CZ354">
        <v>0</v>
      </c>
      <c r="DA354">
        <v>0</v>
      </c>
      <c r="DB354">
        <v>0</v>
      </c>
      <c r="DC354">
        <v>0</v>
      </c>
      <c r="DD354">
        <v>0</v>
      </c>
      <c r="DE354">
        <v>0</v>
      </c>
      <c r="DI354">
        <v>0</v>
      </c>
      <c r="EC354">
        <v>0</v>
      </c>
      <c r="ED354">
        <v>0</v>
      </c>
      <c r="EE354">
        <v>0</v>
      </c>
      <c r="EF354">
        <v>0</v>
      </c>
      <c r="EG354">
        <v>0</v>
      </c>
      <c r="EH354">
        <v>0</v>
      </c>
      <c r="EI354">
        <v>0</v>
      </c>
      <c r="EJ354">
        <v>0</v>
      </c>
      <c r="EM354">
        <v>0</v>
      </c>
      <c r="EN354">
        <v>0</v>
      </c>
      <c r="EO354">
        <v>0</v>
      </c>
      <c r="EP354">
        <v>0</v>
      </c>
      <c r="EQ354">
        <v>0</v>
      </c>
      <c r="ER354">
        <v>0</v>
      </c>
      <c r="ES354">
        <v>0</v>
      </c>
      <c r="ET354">
        <v>0</v>
      </c>
      <c r="EW354">
        <v>0</v>
      </c>
      <c r="EX354">
        <v>0</v>
      </c>
      <c r="EY354">
        <v>0</v>
      </c>
      <c r="EZ354">
        <v>0</v>
      </c>
      <c r="FA354">
        <v>0</v>
      </c>
      <c r="FB354">
        <v>0</v>
      </c>
      <c r="FC354">
        <v>0</v>
      </c>
      <c r="FD354">
        <v>0</v>
      </c>
      <c r="FG354" t="e">
        <v>#N/A</v>
      </c>
      <c r="FI354" t="e">
        <v>#N/A</v>
      </c>
      <c r="FK354" t="e">
        <v>#N/A</v>
      </c>
      <c r="FM354" t="e">
        <v>#N/A</v>
      </c>
      <c r="FO354" t="e">
        <v>#N/A</v>
      </c>
      <c r="FQ354" t="e">
        <v>#N/A</v>
      </c>
      <c r="FS354" t="e">
        <v>#N/A</v>
      </c>
      <c r="FU354" t="e">
        <v>#N/A</v>
      </c>
      <c r="FW354" t="e">
        <v>#N/A</v>
      </c>
      <c r="FY354" t="e">
        <v>#N/A</v>
      </c>
      <c r="GA354" t="e">
        <v>#N/A</v>
      </c>
      <c r="GC354" t="e">
        <v>#N/A</v>
      </c>
      <c r="GE354" t="e">
        <v>#N/A</v>
      </c>
      <c r="GG354" t="e">
        <v>#N/A</v>
      </c>
      <c r="GI354" t="e">
        <v>#N/A</v>
      </c>
      <c r="GK354" t="e">
        <v>#N/A</v>
      </c>
      <c r="GM354" t="e">
        <v>#N/A</v>
      </c>
      <c r="GO354" t="e">
        <v>#N/A</v>
      </c>
      <c r="GQ354" t="e">
        <v>#N/A</v>
      </c>
      <c r="GS354" t="e">
        <v>#N/A</v>
      </c>
      <c r="GU354" t="e">
        <v>#N/A</v>
      </c>
      <c r="GW354" t="e">
        <v>#N/A</v>
      </c>
      <c r="GY354" t="e">
        <v>#N/A</v>
      </c>
      <c r="HA354" t="e">
        <v>#N/A</v>
      </c>
      <c r="HC354">
        <v>0</v>
      </c>
      <c r="HD354">
        <v>0</v>
      </c>
      <c r="HE354">
        <v>0</v>
      </c>
      <c r="HF354">
        <v>0</v>
      </c>
      <c r="HG354">
        <v>0</v>
      </c>
      <c r="HH354">
        <v>0</v>
      </c>
      <c r="HI354">
        <v>0</v>
      </c>
      <c r="HJ354">
        <v>0</v>
      </c>
      <c r="HM354">
        <v>0</v>
      </c>
      <c r="HN354">
        <v>0</v>
      </c>
      <c r="HO354">
        <v>0</v>
      </c>
      <c r="HP354">
        <v>0</v>
      </c>
      <c r="HQ354">
        <v>0</v>
      </c>
      <c r="HR354">
        <v>0</v>
      </c>
      <c r="HS354">
        <v>0</v>
      </c>
      <c r="HT354">
        <v>0</v>
      </c>
      <c r="HW354">
        <v>0</v>
      </c>
      <c r="HX354">
        <v>0</v>
      </c>
      <c r="HY354">
        <v>0</v>
      </c>
      <c r="HZ354">
        <v>0</v>
      </c>
      <c r="IA354">
        <v>3930.6</v>
      </c>
      <c r="IB354">
        <v>3632.9</v>
      </c>
      <c r="IC354">
        <v>3795.5</v>
      </c>
      <c r="ID354">
        <v>0</v>
      </c>
      <c r="IE354">
        <v>0</v>
      </c>
      <c r="IF354">
        <v>3548.5</v>
      </c>
      <c r="IG354">
        <v>3395.2</v>
      </c>
      <c r="IH354">
        <v>3395.4</v>
      </c>
      <c r="II354">
        <v>3302.3</v>
      </c>
      <c r="IJ354">
        <v>3172.8</v>
      </c>
      <c r="IK354">
        <v>0</v>
      </c>
      <c r="IL354">
        <v>0</v>
      </c>
      <c r="IM354">
        <v>0</v>
      </c>
      <c r="IN354">
        <v>0</v>
      </c>
      <c r="IO354">
        <v>123.4</v>
      </c>
      <c r="IP354">
        <v>405.2</v>
      </c>
      <c r="IQ354">
        <v>418.7</v>
      </c>
      <c r="IR354">
        <v>0</v>
      </c>
      <c r="IS354">
        <v>0</v>
      </c>
      <c r="IT354">
        <v>0</v>
      </c>
      <c r="IU354">
        <v>0</v>
      </c>
      <c r="IV354">
        <v>396</v>
      </c>
      <c r="IW354">
        <v>0</v>
      </c>
      <c r="IX354">
        <v>0</v>
      </c>
      <c r="IZ354">
        <v>0</v>
      </c>
      <c r="JA354">
        <v>65.5</v>
      </c>
      <c r="JB354">
        <v>443.5</v>
      </c>
      <c r="JC354">
        <v>0</v>
      </c>
      <c r="JD354">
        <v>0</v>
      </c>
      <c r="JE354">
        <v>0</v>
      </c>
      <c r="JF354">
        <v>0</v>
      </c>
      <c r="JG354">
        <v>0</v>
      </c>
      <c r="JH354">
        <v>0</v>
      </c>
      <c r="JI354">
        <v>0</v>
      </c>
      <c r="JJ354">
        <v>0</v>
      </c>
      <c r="JK354">
        <v>0</v>
      </c>
      <c r="JL354">
        <v>0</v>
      </c>
      <c r="JM354">
        <v>0</v>
      </c>
      <c r="JN354">
        <v>0</v>
      </c>
      <c r="JO354">
        <v>0</v>
      </c>
      <c r="JP354">
        <v>0</v>
      </c>
      <c r="JQ354">
        <v>0</v>
      </c>
      <c r="JR354">
        <v>0</v>
      </c>
      <c r="JS354">
        <v>0</v>
      </c>
      <c r="JT354">
        <v>0</v>
      </c>
      <c r="JU354">
        <v>0</v>
      </c>
      <c r="JV354">
        <v>0</v>
      </c>
      <c r="JW354">
        <v>0</v>
      </c>
      <c r="JX354">
        <v>0</v>
      </c>
      <c r="JY354">
        <v>0</v>
      </c>
      <c r="JZ354">
        <v>0</v>
      </c>
      <c r="KA354">
        <v>0</v>
      </c>
      <c r="KB354">
        <v>0</v>
      </c>
      <c r="KC354">
        <v>0</v>
      </c>
      <c r="KD354">
        <v>0</v>
      </c>
      <c r="KE354">
        <v>0</v>
      </c>
      <c r="KF354">
        <v>0</v>
      </c>
      <c r="KI354">
        <v>344.6</v>
      </c>
      <c r="KJ354">
        <v>350.8</v>
      </c>
      <c r="KK354">
        <v>22.1</v>
      </c>
      <c r="KL354">
        <v>379.3</v>
      </c>
      <c r="KM354">
        <v>241.4</v>
      </c>
      <c r="KN354">
        <v>0</v>
      </c>
      <c r="KO354">
        <v>0</v>
      </c>
      <c r="KP354">
        <v>57.3</v>
      </c>
      <c r="KQ354">
        <v>224.4</v>
      </c>
      <c r="KR354">
        <v>338.3</v>
      </c>
      <c r="KS354">
        <v>215.8</v>
      </c>
      <c r="KT354">
        <v>40.700000000000003</v>
      </c>
      <c r="KW354">
        <v>2154.5</v>
      </c>
      <c r="KX354">
        <v>1255.7</v>
      </c>
      <c r="KY354">
        <v>1630.1</v>
      </c>
      <c r="KZ354">
        <v>1246.9000000000001</v>
      </c>
      <c r="LB354">
        <v>78.099999999999994</v>
      </c>
      <c r="LC354">
        <v>77.7</v>
      </c>
    </row>
    <row r="355" spans="1:315" ht="18" thickBot="1">
      <c r="A355" s="245"/>
      <c r="B355" s="245"/>
      <c r="C355" s="230" t="s">
        <v>677</v>
      </c>
      <c r="D355" s="281"/>
      <c r="E355" s="443">
        <v>0</v>
      </c>
      <c r="F355" s="191">
        <v>0</v>
      </c>
      <c r="G355" s="427">
        <v>3413.8</v>
      </c>
      <c r="H355" s="155"/>
      <c r="I355">
        <v>735</v>
      </c>
      <c r="K355">
        <v>1973.1000000000001</v>
      </c>
      <c r="L355" s="4">
        <v>221.60000000000002</v>
      </c>
      <c r="M355" s="4">
        <v>54.9</v>
      </c>
      <c r="N355" s="4">
        <v>1989.7</v>
      </c>
      <c r="P355">
        <v>0</v>
      </c>
      <c r="Q355">
        <v>238.29999999999998</v>
      </c>
      <c r="R355">
        <v>0</v>
      </c>
      <c r="S355">
        <v>0</v>
      </c>
      <c r="T355">
        <v>368.5</v>
      </c>
      <c r="W355">
        <v>720.3</v>
      </c>
      <c r="X355">
        <v>1411.5</v>
      </c>
      <c r="Y355">
        <v>96.5</v>
      </c>
      <c r="AA355">
        <v>859.6</v>
      </c>
      <c r="AB355">
        <v>1577.6000000000001</v>
      </c>
      <c r="AE355">
        <v>1330</v>
      </c>
      <c r="AF355">
        <v>1025.5</v>
      </c>
      <c r="AH355">
        <v>509.9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1349.3</v>
      </c>
      <c r="AO355">
        <v>786.40000000000009</v>
      </c>
      <c r="AP355">
        <v>0</v>
      </c>
      <c r="AQ355">
        <v>68.3</v>
      </c>
      <c r="AR355">
        <v>234.9</v>
      </c>
      <c r="AS355">
        <v>600.40000000000009</v>
      </c>
      <c r="AU355">
        <v>985.69999999999993</v>
      </c>
      <c r="AW355">
        <v>792</v>
      </c>
      <c r="AX355">
        <v>1988.5</v>
      </c>
      <c r="AZ355">
        <v>763.5</v>
      </c>
      <c r="BA355">
        <v>0</v>
      </c>
      <c r="BB355">
        <v>0</v>
      </c>
      <c r="BC355">
        <v>1935.3</v>
      </c>
      <c r="BD355">
        <v>1006.5</v>
      </c>
      <c r="BE355">
        <v>0</v>
      </c>
      <c r="BF355">
        <v>0</v>
      </c>
      <c r="BG355">
        <v>0</v>
      </c>
      <c r="BH355">
        <v>1662.6</v>
      </c>
      <c r="BJ355">
        <v>0</v>
      </c>
      <c r="BK355">
        <v>0</v>
      </c>
      <c r="BL355">
        <v>1038.9000000000001</v>
      </c>
      <c r="BM355">
        <v>1101</v>
      </c>
      <c r="BO355">
        <v>1276.8000000000002</v>
      </c>
      <c r="BQ355">
        <v>0</v>
      </c>
      <c r="BR355">
        <v>270.7</v>
      </c>
      <c r="BS355">
        <v>230.5</v>
      </c>
      <c r="BT355">
        <v>472.3</v>
      </c>
      <c r="BU355">
        <v>537.29999999999995</v>
      </c>
      <c r="BV355">
        <v>346.3</v>
      </c>
      <c r="BW355">
        <v>386.2</v>
      </c>
      <c r="BX355">
        <v>767</v>
      </c>
      <c r="BY355">
        <v>757.2</v>
      </c>
      <c r="BZ355">
        <v>1037.2</v>
      </c>
      <c r="CA355">
        <v>1227.0999999999999</v>
      </c>
      <c r="CB355">
        <v>1232.0999999999999</v>
      </c>
      <c r="CC355">
        <v>1701.5</v>
      </c>
      <c r="CD355">
        <v>0</v>
      </c>
      <c r="CG355">
        <v>1385.3</v>
      </c>
      <c r="CJ355">
        <v>1630.2999999999997</v>
      </c>
      <c r="CM355">
        <v>1184.2</v>
      </c>
      <c r="CO355">
        <v>1248.0999999999999</v>
      </c>
      <c r="CQ355">
        <v>1435.3</v>
      </c>
      <c r="CR355">
        <v>798.2</v>
      </c>
      <c r="CS355">
        <v>923.8</v>
      </c>
      <c r="CT355">
        <v>0</v>
      </c>
      <c r="CU355">
        <v>0</v>
      </c>
      <c r="CV355">
        <v>0</v>
      </c>
      <c r="CW355">
        <v>0</v>
      </c>
      <c r="CX355">
        <v>163.69999999999999</v>
      </c>
      <c r="CY355">
        <v>0</v>
      </c>
      <c r="CZ355">
        <v>0</v>
      </c>
      <c r="DA355">
        <v>0</v>
      </c>
      <c r="DB355">
        <v>0</v>
      </c>
      <c r="DC355">
        <v>0</v>
      </c>
      <c r="DD355">
        <v>0</v>
      </c>
      <c r="DE355">
        <v>0</v>
      </c>
      <c r="DI355">
        <v>0</v>
      </c>
      <c r="EC355">
        <v>0</v>
      </c>
      <c r="ED355">
        <v>0</v>
      </c>
      <c r="EE355">
        <v>0</v>
      </c>
      <c r="EF355">
        <v>0</v>
      </c>
      <c r="EG355">
        <v>0</v>
      </c>
      <c r="EH355">
        <v>0</v>
      </c>
      <c r="EI355">
        <v>0</v>
      </c>
      <c r="EJ355">
        <v>0</v>
      </c>
      <c r="EM355">
        <v>0</v>
      </c>
      <c r="EN355">
        <v>0</v>
      </c>
      <c r="EO355">
        <v>0</v>
      </c>
      <c r="EP355">
        <v>0</v>
      </c>
      <c r="EQ355">
        <v>0</v>
      </c>
      <c r="ER355">
        <v>0</v>
      </c>
      <c r="ES355">
        <v>0</v>
      </c>
      <c r="ET355">
        <v>0</v>
      </c>
      <c r="EW355">
        <v>0</v>
      </c>
      <c r="EX355">
        <v>0</v>
      </c>
      <c r="EY355">
        <v>0</v>
      </c>
      <c r="EZ355">
        <v>0</v>
      </c>
      <c r="FA355">
        <v>0</v>
      </c>
      <c r="FB355">
        <v>0</v>
      </c>
      <c r="FC355">
        <v>0</v>
      </c>
      <c r="FD355">
        <v>0</v>
      </c>
      <c r="FG355" t="e">
        <v>#N/A</v>
      </c>
      <c r="FI355" t="e">
        <v>#N/A</v>
      </c>
      <c r="FK355" t="e">
        <v>#N/A</v>
      </c>
      <c r="FM355" t="e">
        <v>#N/A</v>
      </c>
      <c r="FO355" t="e">
        <v>#N/A</v>
      </c>
      <c r="FQ355" t="e">
        <v>#N/A</v>
      </c>
      <c r="FS355" t="e">
        <v>#N/A</v>
      </c>
      <c r="FU355" t="e">
        <v>#N/A</v>
      </c>
      <c r="FW355" t="e">
        <v>#N/A</v>
      </c>
      <c r="FY355" t="e">
        <v>#N/A</v>
      </c>
      <c r="GA355" t="e">
        <v>#N/A</v>
      </c>
      <c r="GC355" t="e">
        <v>#N/A</v>
      </c>
      <c r="GE355" t="e">
        <v>#N/A</v>
      </c>
      <c r="GG355" t="e">
        <v>#N/A</v>
      </c>
      <c r="GI355" t="e">
        <v>#N/A</v>
      </c>
      <c r="GK355" t="e">
        <v>#N/A</v>
      </c>
      <c r="GM355" t="e">
        <v>#N/A</v>
      </c>
      <c r="GO355" t="e">
        <v>#N/A</v>
      </c>
      <c r="GQ355" t="e">
        <v>#N/A</v>
      </c>
      <c r="GS355" t="e">
        <v>#N/A</v>
      </c>
      <c r="GU355" t="e">
        <v>#N/A</v>
      </c>
      <c r="GW355" t="e">
        <v>#N/A</v>
      </c>
      <c r="GY355" t="e">
        <v>#N/A</v>
      </c>
      <c r="HA355" t="e">
        <v>#N/A</v>
      </c>
      <c r="HC355">
        <v>0</v>
      </c>
      <c r="HD355">
        <v>0</v>
      </c>
      <c r="HE355">
        <v>0</v>
      </c>
      <c r="HF355">
        <v>0</v>
      </c>
      <c r="HG355">
        <v>0</v>
      </c>
      <c r="HH355">
        <v>0</v>
      </c>
      <c r="HI355">
        <v>0</v>
      </c>
      <c r="HJ355">
        <v>0</v>
      </c>
      <c r="HM355">
        <v>0</v>
      </c>
      <c r="HN355">
        <v>0</v>
      </c>
      <c r="HO355">
        <v>0</v>
      </c>
      <c r="HP355">
        <v>0</v>
      </c>
      <c r="HQ355">
        <v>0</v>
      </c>
      <c r="HR355">
        <v>0</v>
      </c>
      <c r="HS355">
        <v>0</v>
      </c>
      <c r="HT355">
        <v>0</v>
      </c>
      <c r="HW355">
        <v>0</v>
      </c>
      <c r="HX355">
        <v>0</v>
      </c>
      <c r="HY355">
        <v>0</v>
      </c>
      <c r="HZ355">
        <v>0</v>
      </c>
      <c r="IA355">
        <v>3930.6</v>
      </c>
      <c r="IB355">
        <v>3632.9</v>
      </c>
      <c r="IC355">
        <v>3795.5</v>
      </c>
      <c r="ID355">
        <v>0</v>
      </c>
      <c r="IE355">
        <v>0</v>
      </c>
      <c r="IF355">
        <v>3548.5</v>
      </c>
      <c r="IG355">
        <v>3395.2</v>
      </c>
      <c r="IH355">
        <v>3395.4</v>
      </c>
      <c r="II355">
        <v>3302.3</v>
      </c>
      <c r="IJ355">
        <v>3172.8</v>
      </c>
      <c r="IK355">
        <v>0</v>
      </c>
      <c r="IL355">
        <v>0</v>
      </c>
      <c r="IM355">
        <v>0</v>
      </c>
      <c r="IN355">
        <v>0</v>
      </c>
      <c r="IO355">
        <v>123.4</v>
      </c>
      <c r="IP355">
        <v>405.2</v>
      </c>
      <c r="IQ355">
        <v>418.7</v>
      </c>
      <c r="IR355">
        <v>0</v>
      </c>
      <c r="IS355">
        <v>0</v>
      </c>
      <c r="IT355">
        <v>0</v>
      </c>
      <c r="IU355">
        <v>0</v>
      </c>
      <c r="IV355">
        <v>396</v>
      </c>
      <c r="IW355">
        <v>0</v>
      </c>
      <c r="IX355">
        <v>0</v>
      </c>
      <c r="IZ355">
        <v>0</v>
      </c>
      <c r="JA355">
        <v>65.5</v>
      </c>
      <c r="JB355">
        <v>443.5</v>
      </c>
      <c r="JC355">
        <v>0</v>
      </c>
      <c r="JD355">
        <v>0</v>
      </c>
      <c r="JE355">
        <v>0</v>
      </c>
      <c r="JF355">
        <v>0</v>
      </c>
      <c r="JG355">
        <v>0</v>
      </c>
      <c r="JH355">
        <v>0</v>
      </c>
      <c r="JI355">
        <v>0</v>
      </c>
      <c r="JJ355">
        <v>0</v>
      </c>
      <c r="JK355">
        <v>0</v>
      </c>
      <c r="JL355">
        <v>0</v>
      </c>
      <c r="JM355">
        <v>0</v>
      </c>
      <c r="JN355">
        <v>0</v>
      </c>
      <c r="JO355">
        <v>0</v>
      </c>
      <c r="JP355">
        <v>0</v>
      </c>
      <c r="JQ355">
        <v>0</v>
      </c>
      <c r="JR355">
        <v>0</v>
      </c>
      <c r="JS355">
        <v>0</v>
      </c>
      <c r="JT355">
        <v>0</v>
      </c>
      <c r="JU355">
        <v>0</v>
      </c>
      <c r="JV355">
        <v>0</v>
      </c>
      <c r="JW355">
        <v>0</v>
      </c>
      <c r="JX355">
        <v>0</v>
      </c>
      <c r="JY355">
        <v>0</v>
      </c>
      <c r="JZ355">
        <v>0</v>
      </c>
      <c r="KA355">
        <v>0</v>
      </c>
      <c r="KB355">
        <v>0</v>
      </c>
      <c r="KC355">
        <v>0</v>
      </c>
      <c r="KD355">
        <v>0</v>
      </c>
      <c r="KE355">
        <v>0</v>
      </c>
      <c r="KF355">
        <v>0</v>
      </c>
      <c r="KI355">
        <v>344.6</v>
      </c>
      <c r="KJ355">
        <v>350.8</v>
      </c>
      <c r="KK355">
        <v>22.1</v>
      </c>
      <c r="KL355">
        <v>379.3</v>
      </c>
      <c r="KM355">
        <v>241.4</v>
      </c>
      <c r="KN355">
        <v>0</v>
      </c>
      <c r="KO355">
        <v>0</v>
      </c>
      <c r="KP355">
        <v>57.3</v>
      </c>
      <c r="KQ355">
        <v>224.4</v>
      </c>
      <c r="KR355">
        <v>338.3</v>
      </c>
      <c r="KS355">
        <v>215.8</v>
      </c>
      <c r="KT355">
        <v>40.700000000000003</v>
      </c>
      <c r="KW355">
        <v>2154.5</v>
      </c>
      <c r="KX355">
        <v>1255.7</v>
      </c>
      <c r="KY355">
        <v>1630.1</v>
      </c>
      <c r="KZ355">
        <v>1246.9000000000001</v>
      </c>
      <c r="LB355">
        <v>78.099999999999994</v>
      </c>
      <c r="LC355">
        <v>77.7</v>
      </c>
    </row>
    <row r="356" spans="1:315" ht="18" thickBot="1">
      <c r="A356" s="245"/>
      <c r="B356" s="245"/>
      <c r="C356" s="230" t="s">
        <v>678</v>
      </c>
      <c r="D356" s="281"/>
      <c r="E356" s="443">
        <v>0</v>
      </c>
      <c r="F356" s="191">
        <v>0</v>
      </c>
      <c r="G356" s="427">
        <v>3413.8</v>
      </c>
      <c r="H356" s="155"/>
      <c r="I356">
        <v>735</v>
      </c>
      <c r="K356">
        <v>1973.1000000000001</v>
      </c>
      <c r="L356" s="4">
        <v>221.60000000000002</v>
      </c>
      <c r="M356" s="4">
        <v>54.9</v>
      </c>
      <c r="N356" s="4">
        <v>1989.7</v>
      </c>
      <c r="P356">
        <v>0</v>
      </c>
      <c r="Q356">
        <v>238.29999999999998</v>
      </c>
      <c r="R356">
        <v>0</v>
      </c>
      <c r="S356">
        <v>0</v>
      </c>
      <c r="T356">
        <v>368.5</v>
      </c>
      <c r="W356">
        <v>720.3</v>
      </c>
      <c r="X356">
        <v>1411.5</v>
      </c>
      <c r="Y356">
        <v>96.5</v>
      </c>
      <c r="AA356">
        <v>859.6</v>
      </c>
      <c r="AB356">
        <v>1577.6000000000001</v>
      </c>
      <c r="AE356">
        <v>1330</v>
      </c>
      <c r="AF356">
        <v>1025.5</v>
      </c>
      <c r="AH356">
        <v>509.9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1349.3</v>
      </c>
      <c r="AO356">
        <v>786.40000000000009</v>
      </c>
      <c r="AP356">
        <v>0</v>
      </c>
      <c r="AQ356">
        <v>68.3</v>
      </c>
      <c r="AR356">
        <v>234.9</v>
      </c>
      <c r="AS356">
        <v>600.40000000000009</v>
      </c>
      <c r="AU356">
        <v>985.69999999999993</v>
      </c>
      <c r="AW356">
        <v>792</v>
      </c>
      <c r="AX356">
        <v>1988.5</v>
      </c>
      <c r="AZ356">
        <v>763.5</v>
      </c>
      <c r="BA356">
        <v>0</v>
      </c>
      <c r="BB356">
        <v>0</v>
      </c>
      <c r="BC356">
        <v>1935.3</v>
      </c>
      <c r="BD356">
        <v>1006.5</v>
      </c>
      <c r="BE356">
        <v>0</v>
      </c>
      <c r="BF356">
        <v>0</v>
      </c>
      <c r="BG356">
        <v>0</v>
      </c>
      <c r="BH356">
        <v>1662.6</v>
      </c>
      <c r="BJ356">
        <v>0</v>
      </c>
      <c r="BK356">
        <v>0</v>
      </c>
      <c r="BL356">
        <v>1038.9000000000001</v>
      </c>
      <c r="BM356">
        <v>1101</v>
      </c>
      <c r="BO356">
        <v>1276.8000000000002</v>
      </c>
      <c r="BQ356">
        <v>0</v>
      </c>
      <c r="BR356">
        <v>270.7</v>
      </c>
      <c r="BS356">
        <v>230.5</v>
      </c>
      <c r="BT356">
        <v>472.3</v>
      </c>
      <c r="BU356">
        <v>537.29999999999995</v>
      </c>
      <c r="BV356">
        <v>346.3</v>
      </c>
      <c r="BW356">
        <v>386.2</v>
      </c>
      <c r="BX356">
        <v>767</v>
      </c>
      <c r="BY356">
        <v>757.2</v>
      </c>
      <c r="BZ356">
        <v>1037.2</v>
      </c>
      <c r="CA356">
        <v>1227.0999999999999</v>
      </c>
      <c r="CB356">
        <v>1232.0999999999999</v>
      </c>
      <c r="CC356">
        <v>1701.5</v>
      </c>
      <c r="CD356">
        <v>0</v>
      </c>
      <c r="CG356">
        <v>1385.3</v>
      </c>
      <c r="CJ356">
        <v>1630.2999999999997</v>
      </c>
      <c r="CM356">
        <v>1184.2</v>
      </c>
      <c r="CO356">
        <v>1248.0999999999999</v>
      </c>
      <c r="CQ356">
        <v>1435.3</v>
      </c>
      <c r="CR356">
        <v>798.2</v>
      </c>
      <c r="CS356">
        <v>923.8</v>
      </c>
      <c r="CT356">
        <v>0</v>
      </c>
      <c r="CU356">
        <v>0</v>
      </c>
      <c r="CV356">
        <v>0</v>
      </c>
      <c r="CW356">
        <v>0</v>
      </c>
      <c r="CX356">
        <v>163.69999999999999</v>
      </c>
      <c r="CY356">
        <v>0</v>
      </c>
      <c r="CZ356">
        <v>0</v>
      </c>
      <c r="DA356">
        <v>0</v>
      </c>
      <c r="DB356">
        <v>0</v>
      </c>
      <c r="DC356">
        <v>0</v>
      </c>
      <c r="DD356">
        <v>0</v>
      </c>
      <c r="DE356">
        <v>0</v>
      </c>
      <c r="DI356">
        <v>0</v>
      </c>
      <c r="EC356">
        <v>0</v>
      </c>
      <c r="ED356">
        <v>0</v>
      </c>
      <c r="EE356">
        <v>0</v>
      </c>
      <c r="EF356">
        <v>0</v>
      </c>
      <c r="EG356">
        <v>0</v>
      </c>
      <c r="EH356">
        <v>0</v>
      </c>
      <c r="EI356">
        <v>0</v>
      </c>
      <c r="EJ356">
        <v>0</v>
      </c>
      <c r="EM356">
        <v>0</v>
      </c>
      <c r="EN356">
        <v>0</v>
      </c>
      <c r="EO356">
        <v>0</v>
      </c>
      <c r="EP356">
        <v>0</v>
      </c>
      <c r="EQ356">
        <v>0</v>
      </c>
      <c r="ER356">
        <v>0</v>
      </c>
      <c r="ES356">
        <v>0</v>
      </c>
      <c r="ET356">
        <v>0</v>
      </c>
      <c r="EW356">
        <v>0</v>
      </c>
      <c r="EX356">
        <v>0</v>
      </c>
      <c r="EY356">
        <v>0</v>
      </c>
      <c r="EZ356">
        <v>0</v>
      </c>
      <c r="FA356">
        <v>0</v>
      </c>
      <c r="FB356">
        <v>0</v>
      </c>
      <c r="FC356">
        <v>0</v>
      </c>
      <c r="FD356">
        <v>0</v>
      </c>
      <c r="FG356" t="e">
        <v>#N/A</v>
      </c>
      <c r="FI356" t="e">
        <v>#N/A</v>
      </c>
      <c r="FK356" t="e">
        <v>#N/A</v>
      </c>
      <c r="FM356" t="e">
        <v>#N/A</v>
      </c>
      <c r="FO356" t="e">
        <v>#N/A</v>
      </c>
      <c r="FQ356" t="e">
        <v>#N/A</v>
      </c>
      <c r="FS356" t="e">
        <v>#N/A</v>
      </c>
      <c r="FU356" t="e">
        <v>#N/A</v>
      </c>
      <c r="FW356" t="e">
        <v>#N/A</v>
      </c>
      <c r="FY356" t="e">
        <v>#N/A</v>
      </c>
      <c r="GA356" t="e">
        <v>#N/A</v>
      </c>
      <c r="GC356" t="e">
        <v>#N/A</v>
      </c>
      <c r="GE356" t="e">
        <v>#N/A</v>
      </c>
      <c r="GG356" t="e">
        <v>#N/A</v>
      </c>
      <c r="GI356" t="e">
        <v>#N/A</v>
      </c>
      <c r="GK356" t="e">
        <v>#N/A</v>
      </c>
      <c r="GM356" t="e">
        <v>#N/A</v>
      </c>
      <c r="GO356" t="e">
        <v>#N/A</v>
      </c>
      <c r="GQ356" t="e">
        <v>#N/A</v>
      </c>
      <c r="GS356" t="e">
        <v>#N/A</v>
      </c>
      <c r="GU356" t="e">
        <v>#N/A</v>
      </c>
      <c r="GW356" t="e">
        <v>#N/A</v>
      </c>
      <c r="GY356" t="e">
        <v>#N/A</v>
      </c>
      <c r="HA356" t="e">
        <v>#N/A</v>
      </c>
      <c r="HC356">
        <v>0</v>
      </c>
      <c r="HD356">
        <v>0</v>
      </c>
      <c r="HE356">
        <v>0</v>
      </c>
      <c r="HF356">
        <v>0</v>
      </c>
      <c r="HG356">
        <v>0</v>
      </c>
      <c r="HH356">
        <v>0</v>
      </c>
      <c r="HI356">
        <v>0</v>
      </c>
      <c r="HJ356">
        <v>0</v>
      </c>
      <c r="HM356">
        <v>0</v>
      </c>
      <c r="HN356">
        <v>0</v>
      </c>
      <c r="HO356">
        <v>0</v>
      </c>
      <c r="HP356">
        <v>0</v>
      </c>
      <c r="HQ356">
        <v>0</v>
      </c>
      <c r="HR356">
        <v>0</v>
      </c>
      <c r="HS356">
        <v>0</v>
      </c>
      <c r="HT356">
        <v>0</v>
      </c>
      <c r="HW356">
        <v>0</v>
      </c>
      <c r="HX356">
        <v>0</v>
      </c>
      <c r="HY356">
        <v>0</v>
      </c>
      <c r="HZ356">
        <v>0</v>
      </c>
      <c r="IA356">
        <v>3930.6</v>
      </c>
      <c r="IB356">
        <v>3632.9</v>
      </c>
      <c r="IC356">
        <v>3795.5</v>
      </c>
      <c r="ID356">
        <v>0</v>
      </c>
      <c r="IE356">
        <v>0</v>
      </c>
      <c r="IF356">
        <v>3548.5</v>
      </c>
      <c r="IG356">
        <v>3395.2</v>
      </c>
      <c r="IH356">
        <v>3395.4</v>
      </c>
      <c r="II356">
        <v>3302.3</v>
      </c>
      <c r="IJ356">
        <v>3172.8</v>
      </c>
      <c r="IK356">
        <v>0</v>
      </c>
      <c r="IL356">
        <v>0</v>
      </c>
      <c r="IM356">
        <v>0</v>
      </c>
      <c r="IN356">
        <v>0</v>
      </c>
      <c r="IO356">
        <v>123.4</v>
      </c>
      <c r="IP356">
        <v>405.2</v>
      </c>
      <c r="IQ356">
        <v>418.7</v>
      </c>
      <c r="IR356">
        <v>0</v>
      </c>
      <c r="IS356">
        <v>0</v>
      </c>
      <c r="IT356">
        <v>0</v>
      </c>
      <c r="IU356">
        <v>0</v>
      </c>
      <c r="IV356">
        <v>396</v>
      </c>
      <c r="IW356">
        <v>0</v>
      </c>
      <c r="IX356">
        <v>0</v>
      </c>
      <c r="IZ356">
        <v>0</v>
      </c>
      <c r="JA356">
        <v>65.5</v>
      </c>
      <c r="JB356">
        <v>443.5</v>
      </c>
      <c r="JC356">
        <v>0</v>
      </c>
      <c r="JD356">
        <v>0</v>
      </c>
      <c r="JE356">
        <v>0</v>
      </c>
      <c r="JF356">
        <v>0</v>
      </c>
      <c r="JG356">
        <v>0</v>
      </c>
      <c r="JH356">
        <v>0</v>
      </c>
      <c r="JI356">
        <v>0</v>
      </c>
      <c r="JJ356">
        <v>0</v>
      </c>
      <c r="JK356">
        <v>0</v>
      </c>
      <c r="JL356">
        <v>0</v>
      </c>
      <c r="JM356">
        <v>0</v>
      </c>
      <c r="JN356">
        <v>0</v>
      </c>
      <c r="JO356">
        <v>0</v>
      </c>
      <c r="JP356">
        <v>0</v>
      </c>
      <c r="JQ356">
        <v>0</v>
      </c>
      <c r="JR356">
        <v>0</v>
      </c>
      <c r="JS356">
        <v>0</v>
      </c>
      <c r="JT356">
        <v>0</v>
      </c>
      <c r="JU356">
        <v>0</v>
      </c>
      <c r="JV356">
        <v>0</v>
      </c>
      <c r="JW356">
        <v>0</v>
      </c>
      <c r="JX356">
        <v>0</v>
      </c>
      <c r="JY356">
        <v>0</v>
      </c>
      <c r="JZ356">
        <v>0</v>
      </c>
      <c r="KA356">
        <v>0</v>
      </c>
      <c r="KB356">
        <v>0</v>
      </c>
      <c r="KC356">
        <v>0</v>
      </c>
      <c r="KD356">
        <v>0</v>
      </c>
      <c r="KE356">
        <v>0</v>
      </c>
      <c r="KF356">
        <v>0</v>
      </c>
      <c r="KI356">
        <v>344.6</v>
      </c>
      <c r="KJ356">
        <v>350.8</v>
      </c>
      <c r="KK356">
        <v>22.1</v>
      </c>
      <c r="KL356">
        <v>379.3</v>
      </c>
      <c r="KM356">
        <v>241.4</v>
      </c>
      <c r="KN356">
        <v>0</v>
      </c>
      <c r="KO356">
        <v>0</v>
      </c>
      <c r="KP356">
        <v>57.3</v>
      </c>
      <c r="KQ356">
        <v>224.4</v>
      </c>
      <c r="KR356">
        <v>338.3</v>
      </c>
      <c r="KS356">
        <v>215.8</v>
      </c>
      <c r="KT356">
        <v>40.700000000000003</v>
      </c>
      <c r="KW356">
        <v>2154.5</v>
      </c>
      <c r="KX356">
        <v>1255.7</v>
      </c>
      <c r="KY356">
        <v>1630.1</v>
      </c>
      <c r="KZ356">
        <v>1246.9000000000001</v>
      </c>
      <c r="LB356">
        <v>78.099999999999994</v>
      </c>
      <c r="LC356">
        <v>77.7</v>
      </c>
    </row>
    <row r="357" spans="1:315" ht="18" thickBot="1">
      <c r="A357" s="245"/>
      <c r="B357" s="245"/>
      <c r="C357" s="230" t="s">
        <v>679</v>
      </c>
      <c r="D357" s="281"/>
      <c r="E357" s="443">
        <v>0</v>
      </c>
      <c r="F357" s="191">
        <v>0</v>
      </c>
      <c r="G357" s="427">
        <v>3413.8</v>
      </c>
      <c r="H357" s="155"/>
      <c r="I357">
        <v>735</v>
      </c>
      <c r="K357">
        <v>1973.1000000000001</v>
      </c>
      <c r="L357" s="4">
        <v>221.60000000000002</v>
      </c>
      <c r="M357" s="4">
        <v>54.9</v>
      </c>
      <c r="N357" s="4">
        <v>1989.7</v>
      </c>
      <c r="P357">
        <v>0</v>
      </c>
      <c r="Q357">
        <v>238.29999999999998</v>
      </c>
      <c r="R357">
        <v>0</v>
      </c>
      <c r="S357">
        <v>0</v>
      </c>
      <c r="T357">
        <v>368.5</v>
      </c>
      <c r="W357">
        <v>720.3</v>
      </c>
      <c r="X357">
        <v>1411.5</v>
      </c>
      <c r="Y357">
        <v>96.5</v>
      </c>
      <c r="AA357">
        <v>859.6</v>
      </c>
      <c r="AB357">
        <v>1577.6000000000001</v>
      </c>
      <c r="AE357">
        <v>1330</v>
      </c>
      <c r="AF357">
        <v>1025.5</v>
      </c>
      <c r="AH357">
        <v>509.9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1349.3</v>
      </c>
      <c r="AO357">
        <v>786.40000000000009</v>
      </c>
      <c r="AP357">
        <v>0</v>
      </c>
      <c r="AQ357">
        <v>68.3</v>
      </c>
      <c r="AR357">
        <v>234.9</v>
      </c>
      <c r="AS357">
        <v>600.40000000000009</v>
      </c>
      <c r="AU357">
        <v>985.69999999999993</v>
      </c>
      <c r="AW357">
        <v>792</v>
      </c>
      <c r="AX357">
        <v>1988.5</v>
      </c>
      <c r="AZ357">
        <v>763.5</v>
      </c>
      <c r="BA357">
        <v>0</v>
      </c>
      <c r="BB357">
        <v>0</v>
      </c>
      <c r="BC357">
        <v>1935.3</v>
      </c>
      <c r="BD357">
        <v>1006.5</v>
      </c>
      <c r="BE357">
        <v>0</v>
      </c>
      <c r="BF357">
        <v>0</v>
      </c>
      <c r="BG357">
        <v>0</v>
      </c>
      <c r="BH357">
        <v>1662.6</v>
      </c>
      <c r="BJ357">
        <v>0</v>
      </c>
      <c r="BK357">
        <v>0</v>
      </c>
      <c r="BL357">
        <v>1038.9000000000001</v>
      </c>
      <c r="BM357">
        <v>1101</v>
      </c>
      <c r="BO357">
        <v>1276.8000000000002</v>
      </c>
      <c r="BQ357">
        <v>0</v>
      </c>
      <c r="BR357">
        <v>270.7</v>
      </c>
      <c r="BS357">
        <v>230.5</v>
      </c>
      <c r="BT357">
        <v>472.3</v>
      </c>
      <c r="BU357">
        <v>537.29999999999995</v>
      </c>
      <c r="BV357">
        <v>346.3</v>
      </c>
      <c r="BW357">
        <v>386.2</v>
      </c>
      <c r="BX357">
        <v>767</v>
      </c>
      <c r="BY357">
        <v>757.2</v>
      </c>
      <c r="BZ357">
        <v>1037.2</v>
      </c>
      <c r="CA357">
        <v>1227.0999999999999</v>
      </c>
      <c r="CB357">
        <v>1232.0999999999999</v>
      </c>
      <c r="CC357">
        <v>1701.5</v>
      </c>
      <c r="CD357">
        <v>0</v>
      </c>
      <c r="CG357">
        <v>1385.3</v>
      </c>
      <c r="CJ357">
        <v>1630.2999999999997</v>
      </c>
      <c r="CM357">
        <v>1184.2</v>
      </c>
      <c r="CO357">
        <v>1248.0999999999999</v>
      </c>
      <c r="CQ357">
        <v>1435.3</v>
      </c>
      <c r="CR357">
        <v>798.2</v>
      </c>
      <c r="CS357">
        <v>923.8</v>
      </c>
      <c r="CT357">
        <v>0</v>
      </c>
      <c r="CU357">
        <v>0</v>
      </c>
      <c r="CV357">
        <v>0</v>
      </c>
      <c r="CW357">
        <v>0</v>
      </c>
      <c r="CX357">
        <v>163.69999999999999</v>
      </c>
      <c r="CY357">
        <v>0</v>
      </c>
      <c r="CZ357">
        <v>0</v>
      </c>
      <c r="DA357">
        <v>0</v>
      </c>
      <c r="DB357">
        <v>0</v>
      </c>
      <c r="DC357">
        <v>0</v>
      </c>
      <c r="DD357">
        <v>0</v>
      </c>
      <c r="DE357">
        <v>0</v>
      </c>
      <c r="DI357">
        <v>0</v>
      </c>
      <c r="EC357">
        <v>0</v>
      </c>
      <c r="ED357">
        <v>0</v>
      </c>
      <c r="EE357">
        <v>0</v>
      </c>
      <c r="EF357">
        <v>0</v>
      </c>
      <c r="EG357">
        <v>0</v>
      </c>
      <c r="EH357">
        <v>0</v>
      </c>
      <c r="EI357">
        <v>0</v>
      </c>
      <c r="EJ357">
        <v>0</v>
      </c>
      <c r="EM357">
        <v>0</v>
      </c>
      <c r="EN357">
        <v>0</v>
      </c>
      <c r="EO357">
        <v>0</v>
      </c>
      <c r="EP357">
        <v>0</v>
      </c>
      <c r="EQ357">
        <v>0</v>
      </c>
      <c r="ER357">
        <v>0</v>
      </c>
      <c r="ES357">
        <v>0</v>
      </c>
      <c r="ET357">
        <v>0</v>
      </c>
      <c r="EW357">
        <v>0</v>
      </c>
      <c r="EX357">
        <v>0</v>
      </c>
      <c r="EY357">
        <v>0</v>
      </c>
      <c r="EZ357">
        <v>0</v>
      </c>
      <c r="FA357">
        <v>0</v>
      </c>
      <c r="FB357">
        <v>0</v>
      </c>
      <c r="FC357">
        <v>0</v>
      </c>
      <c r="FD357">
        <v>0</v>
      </c>
      <c r="FG357" t="e">
        <v>#N/A</v>
      </c>
      <c r="FI357" t="e">
        <v>#N/A</v>
      </c>
      <c r="FK357" t="e">
        <v>#N/A</v>
      </c>
      <c r="FM357" t="e">
        <v>#N/A</v>
      </c>
      <c r="FO357" t="e">
        <v>#N/A</v>
      </c>
      <c r="FQ357" t="e">
        <v>#N/A</v>
      </c>
      <c r="FS357" t="e">
        <v>#N/A</v>
      </c>
      <c r="FU357" t="e">
        <v>#N/A</v>
      </c>
      <c r="FW357" t="e">
        <v>#N/A</v>
      </c>
      <c r="FY357" t="e">
        <v>#N/A</v>
      </c>
      <c r="GA357" t="e">
        <v>#N/A</v>
      </c>
      <c r="GC357" t="e">
        <v>#N/A</v>
      </c>
      <c r="GE357" t="e">
        <v>#N/A</v>
      </c>
      <c r="GG357" t="e">
        <v>#N/A</v>
      </c>
      <c r="GI357" t="e">
        <v>#N/A</v>
      </c>
      <c r="GK357" t="e">
        <v>#N/A</v>
      </c>
      <c r="GM357" t="e">
        <v>#N/A</v>
      </c>
      <c r="GO357" t="e">
        <v>#N/A</v>
      </c>
      <c r="GQ357" t="e">
        <v>#N/A</v>
      </c>
      <c r="GS357" t="e">
        <v>#N/A</v>
      </c>
      <c r="GU357" t="e">
        <v>#N/A</v>
      </c>
      <c r="GW357" t="e">
        <v>#N/A</v>
      </c>
      <c r="GY357" t="e">
        <v>#N/A</v>
      </c>
      <c r="HA357" t="e">
        <v>#N/A</v>
      </c>
      <c r="HC357">
        <v>0</v>
      </c>
      <c r="HD357">
        <v>0</v>
      </c>
      <c r="HE357">
        <v>0</v>
      </c>
      <c r="HF357">
        <v>0</v>
      </c>
      <c r="HG357">
        <v>0</v>
      </c>
      <c r="HH357">
        <v>0</v>
      </c>
      <c r="HI357">
        <v>0</v>
      </c>
      <c r="HJ357">
        <v>0</v>
      </c>
      <c r="HM357">
        <v>0</v>
      </c>
      <c r="HN357">
        <v>0</v>
      </c>
      <c r="HO357">
        <v>0</v>
      </c>
      <c r="HP357">
        <v>0</v>
      </c>
      <c r="HQ357">
        <v>0</v>
      </c>
      <c r="HR357">
        <v>0</v>
      </c>
      <c r="HS357">
        <v>0</v>
      </c>
      <c r="HT357">
        <v>0</v>
      </c>
      <c r="HW357">
        <v>0</v>
      </c>
      <c r="HX357">
        <v>0</v>
      </c>
      <c r="HY357">
        <v>0</v>
      </c>
      <c r="HZ357">
        <v>0</v>
      </c>
      <c r="IA357">
        <v>3930.6</v>
      </c>
      <c r="IB357">
        <v>3632.9</v>
      </c>
      <c r="IC357">
        <v>3795.5</v>
      </c>
      <c r="ID357">
        <v>0</v>
      </c>
      <c r="IE357">
        <v>0</v>
      </c>
      <c r="IF357">
        <v>3548.5</v>
      </c>
      <c r="IG357">
        <v>3395.2</v>
      </c>
      <c r="IH357">
        <v>3395.4</v>
      </c>
      <c r="II357">
        <v>3302.3</v>
      </c>
      <c r="IJ357">
        <v>3172.8</v>
      </c>
      <c r="IK357">
        <v>0</v>
      </c>
      <c r="IL357">
        <v>0</v>
      </c>
      <c r="IM357">
        <v>0</v>
      </c>
      <c r="IN357">
        <v>0</v>
      </c>
      <c r="IO357">
        <v>123.4</v>
      </c>
      <c r="IP357">
        <v>405.2</v>
      </c>
      <c r="IQ357">
        <v>418.7</v>
      </c>
      <c r="IR357">
        <v>0</v>
      </c>
      <c r="IS357">
        <v>0</v>
      </c>
      <c r="IT357">
        <v>0</v>
      </c>
      <c r="IU357">
        <v>0</v>
      </c>
      <c r="IV357">
        <v>396</v>
      </c>
      <c r="IW357">
        <v>0</v>
      </c>
      <c r="IX357">
        <v>0</v>
      </c>
      <c r="IZ357">
        <v>0</v>
      </c>
      <c r="JA357">
        <v>65.5</v>
      </c>
      <c r="JB357">
        <v>443.5</v>
      </c>
      <c r="JC357">
        <v>0</v>
      </c>
      <c r="JD357">
        <v>0</v>
      </c>
      <c r="JE357">
        <v>0</v>
      </c>
      <c r="JF357">
        <v>0</v>
      </c>
      <c r="JG357">
        <v>0</v>
      </c>
      <c r="JH357">
        <v>0</v>
      </c>
      <c r="JI357">
        <v>0</v>
      </c>
      <c r="JJ357">
        <v>0</v>
      </c>
      <c r="JK357">
        <v>0</v>
      </c>
      <c r="JL357">
        <v>0</v>
      </c>
      <c r="JM357">
        <v>0</v>
      </c>
      <c r="JN357">
        <v>0</v>
      </c>
      <c r="JO357">
        <v>0</v>
      </c>
      <c r="JP357">
        <v>0</v>
      </c>
      <c r="JQ357">
        <v>0</v>
      </c>
      <c r="JR357">
        <v>0</v>
      </c>
      <c r="JS357">
        <v>0</v>
      </c>
      <c r="JT357">
        <v>0</v>
      </c>
      <c r="JU357">
        <v>0</v>
      </c>
      <c r="JV357">
        <v>0</v>
      </c>
      <c r="JW357">
        <v>0</v>
      </c>
      <c r="JX357">
        <v>0</v>
      </c>
      <c r="JY357">
        <v>0</v>
      </c>
      <c r="JZ357">
        <v>0</v>
      </c>
      <c r="KA357">
        <v>0</v>
      </c>
      <c r="KB357">
        <v>0</v>
      </c>
      <c r="KC357">
        <v>0</v>
      </c>
      <c r="KD357">
        <v>0</v>
      </c>
      <c r="KE357">
        <v>0</v>
      </c>
      <c r="KF357">
        <v>0</v>
      </c>
      <c r="KI357">
        <v>344.6</v>
      </c>
      <c r="KJ357">
        <v>350.8</v>
      </c>
      <c r="KK357">
        <v>22.1</v>
      </c>
      <c r="KL357">
        <v>379.3</v>
      </c>
      <c r="KM357">
        <v>241.4</v>
      </c>
      <c r="KN357">
        <v>0</v>
      </c>
      <c r="KO357">
        <v>0</v>
      </c>
      <c r="KP357">
        <v>57.3</v>
      </c>
      <c r="KQ357">
        <v>224.4</v>
      </c>
      <c r="KR357">
        <v>338.3</v>
      </c>
      <c r="KS357">
        <v>215.8</v>
      </c>
      <c r="KT357">
        <v>40.700000000000003</v>
      </c>
      <c r="KW357">
        <v>2154.5</v>
      </c>
      <c r="KX357">
        <v>1255.7</v>
      </c>
      <c r="KY357">
        <v>1630.1</v>
      </c>
      <c r="KZ357">
        <v>1246.9000000000001</v>
      </c>
      <c r="LB357">
        <v>78.099999999999994</v>
      </c>
      <c r="LC357">
        <v>77.7</v>
      </c>
    </row>
    <row r="358" spans="1:315" ht="18" thickBot="1">
      <c r="A358" s="245"/>
      <c r="B358" s="245"/>
      <c r="C358" s="332"/>
      <c r="D358" s="286"/>
      <c r="E358" s="449">
        <v>0</v>
      </c>
      <c r="F358" s="209">
        <v>0</v>
      </c>
      <c r="G358" s="427">
        <v>3413.8</v>
      </c>
      <c r="H358" s="155"/>
      <c r="I358">
        <v>735</v>
      </c>
      <c r="K358">
        <v>1973.1000000000001</v>
      </c>
      <c r="L358" s="4">
        <v>221.60000000000002</v>
      </c>
      <c r="M358" s="4">
        <v>54.9</v>
      </c>
      <c r="N358" s="4">
        <v>1989.7</v>
      </c>
      <c r="P358">
        <v>0</v>
      </c>
      <c r="Q358">
        <v>238.29999999999998</v>
      </c>
      <c r="R358">
        <v>0</v>
      </c>
      <c r="S358">
        <v>0</v>
      </c>
      <c r="T358">
        <v>368.5</v>
      </c>
      <c r="W358">
        <v>720.3</v>
      </c>
      <c r="X358">
        <v>1411.5</v>
      </c>
      <c r="Y358">
        <v>96.5</v>
      </c>
      <c r="AA358">
        <v>859.6</v>
      </c>
      <c r="AB358">
        <v>1577.6000000000001</v>
      </c>
      <c r="AE358">
        <v>1330</v>
      </c>
      <c r="AF358">
        <v>1025.5</v>
      </c>
      <c r="AH358">
        <v>509.9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1349.3</v>
      </c>
      <c r="AO358">
        <v>786.40000000000009</v>
      </c>
      <c r="AP358">
        <v>0</v>
      </c>
      <c r="AQ358">
        <v>68.3</v>
      </c>
      <c r="AR358">
        <v>234.9</v>
      </c>
      <c r="AS358">
        <v>600.40000000000009</v>
      </c>
      <c r="AU358">
        <v>985.69999999999993</v>
      </c>
      <c r="AW358">
        <v>792</v>
      </c>
      <c r="AX358">
        <v>1988.5</v>
      </c>
      <c r="AZ358">
        <v>763.5</v>
      </c>
      <c r="BA358">
        <v>0</v>
      </c>
      <c r="BB358">
        <v>0</v>
      </c>
      <c r="BC358">
        <v>1935.3</v>
      </c>
      <c r="BD358">
        <v>1006.5</v>
      </c>
      <c r="BE358">
        <v>0</v>
      </c>
      <c r="BF358">
        <v>0</v>
      </c>
      <c r="BG358">
        <v>0</v>
      </c>
      <c r="BH358">
        <v>1662.6</v>
      </c>
      <c r="BJ358">
        <v>0</v>
      </c>
      <c r="BK358">
        <v>0</v>
      </c>
      <c r="BL358">
        <v>1038.9000000000001</v>
      </c>
      <c r="BM358">
        <v>1101</v>
      </c>
      <c r="BO358">
        <v>1276.8000000000002</v>
      </c>
      <c r="BQ358">
        <v>0</v>
      </c>
      <c r="BR358">
        <v>270.7</v>
      </c>
      <c r="BS358">
        <v>230.5</v>
      </c>
      <c r="BT358">
        <v>472.3</v>
      </c>
      <c r="BU358">
        <v>537.29999999999995</v>
      </c>
      <c r="BV358">
        <v>346.3</v>
      </c>
      <c r="BW358">
        <v>386.2</v>
      </c>
      <c r="BX358">
        <v>767</v>
      </c>
      <c r="BY358">
        <v>757.2</v>
      </c>
      <c r="BZ358">
        <v>1037.2</v>
      </c>
      <c r="CA358">
        <v>1227.0999999999999</v>
      </c>
      <c r="CB358">
        <v>1232.0999999999999</v>
      </c>
      <c r="CC358">
        <v>1701.5</v>
      </c>
      <c r="CD358">
        <v>0</v>
      </c>
      <c r="CG358">
        <v>1385.3</v>
      </c>
      <c r="CJ358">
        <v>1630.2999999999997</v>
      </c>
      <c r="CM358">
        <v>1184.2</v>
      </c>
      <c r="CO358">
        <v>1248.0999999999999</v>
      </c>
      <c r="CQ358">
        <v>1435.3</v>
      </c>
      <c r="CR358">
        <v>798.2</v>
      </c>
      <c r="CS358">
        <v>923.8</v>
      </c>
      <c r="CT358">
        <v>0</v>
      </c>
      <c r="CU358">
        <v>0</v>
      </c>
      <c r="CV358">
        <v>0</v>
      </c>
      <c r="CW358">
        <v>0</v>
      </c>
      <c r="CX358">
        <v>163.69999999999999</v>
      </c>
      <c r="CY358">
        <v>0</v>
      </c>
      <c r="CZ358">
        <v>0</v>
      </c>
      <c r="DA358">
        <v>0</v>
      </c>
      <c r="DB358">
        <v>0</v>
      </c>
      <c r="DC358">
        <v>0</v>
      </c>
      <c r="DD358">
        <v>0</v>
      </c>
      <c r="DE358">
        <v>0</v>
      </c>
      <c r="DI358">
        <v>0</v>
      </c>
      <c r="EC358">
        <v>0</v>
      </c>
      <c r="ED358">
        <v>0</v>
      </c>
      <c r="EE358">
        <v>0</v>
      </c>
      <c r="EF358">
        <v>0</v>
      </c>
      <c r="EG358">
        <v>0</v>
      </c>
      <c r="EH358">
        <v>0</v>
      </c>
      <c r="EI358">
        <v>0</v>
      </c>
      <c r="EJ358">
        <v>0</v>
      </c>
      <c r="EM358">
        <v>0</v>
      </c>
      <c r="EN358">
        <v>0</v>
      </c>
      <c r="EO358">
        <v>0</v>
      </c>
      <c r="EP358">
        <v>0</v>
      </c>
      <c r="EQ358">
        <v>0</v>
      </c>
      <c r="ER358">
        <v>0</v>
      </c>
      <c r="ES358">
        <v>0</v>
      </c>
      <c r="ET358">
        <v>0</v>
      </c>
      <c r="EW358">
        <v>0</v>
      </c>
      <c r="EX358">
        <v>0</v>
      </c>
      <c r="EY358">
        <v>0</v>
      </c>
      <c r="EZ358">
        <v>0</v>
      </c>
      <c r="FA358">
        <v>0</v>
      </c>
      <c r="FB358">
        <v>0</v>
      </c>
      <c r="FC358">
        <v>0</v>
      </c>
      <c r="FD358">
        <v>0</v>
      </c>
      <c r="FG358" t="e">
        <v>#N/A</v>
      </c>
      <c r="FI358" t="e">
        <v>#N/A</v>
      </c>
      <c r="FK358" t="e">
        <v>#N/A</v>
      </c>
      <c r="FM358" t="e">
        <v>#N/A</v>
      </c>
      <c r="FO358" t="e">
        <v>#N/A</v>
      </c>
      <c r="FQ358" t="e">
        <v>#N/A</v>
      </c>
      <c r="FS358" t="e">
        <v>#N/A</v>
      </c>
      <c r="FU358" t="e">
        <v>#N/A</v>
      </c>
      <c r="FW358" t="e">
        <v>#N/A</v>
      </c>
      <c r="FY358" t="e">
        <v>#N/A</v>
      </c>
      <c r="GA358" t="e">
        <v>#N/A</v>
      </c>
      <c r="GC358" t="e">
        <v>#N/A</v>
      </c>
      <c r="GE358" t="e">
        <v>#N/A</v>
      </c>
      <c r="GG358" t="e">
        <v>#N/A</v>
      </c>
      <c r="GI358" t="e">
        <v>#N/A</v>
      </c>
      <c r="GK358" t="e">
        <v>#N/A</v>
      </c>
      <c r="GM358" t="e">
        <v>#N/A</v>
      </c>
      <c r="GO358" t="e">
        <v>#N/A</v>
      </c>
      <c r="GQ358" t="e">
        <v>#N/A</v>
      </c>
      <c r="GS358" t="e">
        <v>#N/A</v>
      </c>
      <c r="GU358" t="e">
        <v>#N/A</v>
      </c>
      <c r="GW358" t="e">
        <v>#N/A</v>
      </c>
      <c r="GY358" t="e">
        <v>#N/A</v>
      </c>
      <c r="HA358" t="e">
        <v>#N/A</v>
      </c>
      <c r="HC358">
        <v>0</v>
      </c>
      <c r="HD358">
        <v>0</v>
      </c>
      <c r="HE358">
        <v>0</v>
      </c>
      <c r="HF358">
        <v>0</v>
      </c>
      <c r="HG358">
        <v>0</v>
      </c>
      <c r="HH358">
        <v>0</v>
      </c>
      <c r="HI358">
        <v>0</v>
      </c>
      <c r="HJ358">
        <v>0</v>
      </c>
      <c r="HM358">
        <v>0</v>
      </c>
      <c r="HN358">
        <v>0</v>
      </c>
      <c r="HO358">
        <v>0</v>
      </c>
      <c r="HP358">
        <v>0</v>
      </c>
      <c r="HQ358">
        <v>0</v>
      </c>
      <c r="HR358">
        <v>0</v>
      </c>
      <c r="HS358">
        <v>0</v>
      </c>
      <c r="HT358">
        <v>0</v>
      </c>
      <c r="HW358">
        <v>0</v>
      </c>
      <c r="HX358">
        <v>0</v>
      </c>
      <c r="HY358">
        <v>0</v>
      </c>
      <c r="HZ358">
        <v>0</v>
      </c>
      <c r="IA358">
        <v>3930.6</v>
      </c>
      <c r="IB358">
        <v>3632.9</v>
      </c>
      <c r="IC358">
        <v>3795.5</v>
      </c>
      <c r="ID358">
        <v>0</v>
      </c>
      <c r="IE358">
        <v>0</v>
      </c>
      <c r="IF358">
        <v>3548.5</v>
      </c>
      <c r="IG358">
        <v>3395.2</v>
      </c>
      <c r="IH358">
        <v>3395.4</v>
      </c>
      <c r="II358">
        <v>3302.3</v>
      </c>
      <c r="IJ358">
        <v>3172.8</v>
      </c>
      <c r="IK358">
        <v>0</v>
      </c>
      <c r="IL358">
        <v>0</v>
      </c>
      <c r="IM358">
        <v>0</v>
      </c>
      <c r="IN358">
        <v>0</v>
      </c>
      <c r="IO358">
        <v>123.4</v>
      </c>
      <c r="IP358">
        <v>405.2</v>
      </c>
      <c r="IQ358">
        <v>418.7</v>
      </c>
      <c r="IR358">
        <v>0</v>
      </c>
      <c r="IS358">
        <v>0</v>
      </c>
      <c r="IT358">
        <v>0</v>
      </c>
      <c r="IU358">
        <v>0</v>
      </c>
      <c r="IV358">
        <v>396</v>
      </c>
      <c r="IW358">
        <v>0</v>
      </c>
      <c r="IX358">
        <v>0</v>
      </c>
      <c r="IZ358">
        <v>0</v>
      </c>
      <c r="JA358">
        <v>65.5</v>
      </c>
      <c r="JB358">
        <v>443.5</v>
      </c>
      <c r="JC358">
        <v>0</v>
      </c>
      <c r="JD358">
        <v>0</v>
      </c>
      <c r="JE358">
        <v>0</v>
      </c>
      <c r="JF358">
        <v>0</v>
      </c>
      <c r="JG358">
        <v>0</v>
      </c>
      <c r="JH358">
        <v>0</v>
      </c>
      <c r="JI358">
        <v>0</v>
      </c>
      <c r="JJ358">
        <v>0</v>
      </c>
      <c r="JK358">
        <v>0</v>
      </c>
      <c r="JL358">
        <v>0</v>
      </c>
      <c r="JM358">
        <v>0</v>
      </c>
      <c r="JN358">
        <v>0</v>
      </c>
      <c r="JO358">
        <v>0</v>
      </c>
      <c r="JP358">
        <v>0</v>
      </c>
      <c r="JQ358">
        <v>0</v>
      </c>
      <c r="JR358">
        <v>0</v>
      </c>
      <c r="JS358">
        <v>0</v>
      </c>
      <c r="JT358">
        <v>0</v>
      </c>
      <c r="JU358">
        <v>0</v>
      </c>
      <c r="JV358">
        <v>0</v>
      </c>
      <c r="JW358">
        <v>0</v>
      </c>
      <c r="JX358">
        <v>0</v>
      </c>
      <c r="JY358">
        <v>0</v>
      </c>
      <c r="JZ358">
        <v>0</v>
      </c>
      <c r="KA358">
        <v>0</v>
      </c>
      <c r="KB358">
        <v>0</v>
      </c>
      <c r="KC358">
        <v>0</v>
      </c>
      <c r="KD358">
        <v>0</v>
      </c>
      <c r="KE358">
        <v>0</v>
      </c>
      <c r="KF358">
        <v>0</v>
      </c>
      <c r="KI358">
        <v>344.6</v>
      </c>
      <c r="KJ358">
        <v>350.8</v>
      </c>
      <c r="KK358">
        <v>22.1</v>
      </c>
      <c r="KL358">
        <v>379.3</v>
      </c>
      <c r="KM358">
        <v>241.4</v>
      </c>
      <c r="KN358">
        <v>0</v>
      </c>
      <c r="KO358">
        <v>0</v>
      </c>
      <c r="KP358">
        <v>57.3</v>
      </c>
      <c r="KQ358">
        <v>224.4</v>
      </c>
      <c r="KR358">
        <v>338.3</v>
      </c>
      <c r="KS358">
        <v>215.8</v>
      </c>
      <c r="KT358">
        <v>40.700000000000003</v>
      </c>
      <c r="KW358">
        <v>2154.5</v>
      </c>
      <c r="KX358">
        <v>1255.7</v>
      </c>
      <c r="KY358">
        <v>1630.1</v>
      </c>
      <c r="KZ358">
        <v>1246.9000000000001</v>
      </c>
      <c r="LB358">
        <v>78.099999999999994</v>
      </c>
      <c r="LC358">
        <v>77.7</v>
      </c>
    </row>
    <row r="359" spans="1:315" ht="18" thickBot="1">
      <c r="A359" s="245"/>
      <c r="B359" s="245"/>
      <c r="C359" s="332"/>
      <c r="D359" s="286"/>
      <c r="E359" s="449">
        <v>0</v>
      </c>
      <c r="F359" s="209">
        <v>0</v>
      </c>
      <c r="G359" s="427">
        <v>3413.8</v>
      </c>
      <c r="H359" s="155"/>
      <c r="I359">
        <v>735</v>
      </c>
      <c r="K359">
        <v>1973.1000000000001</v>
      </c>
      <c r="L359" s="4">
        <v>221.60000000000002</v>
      </c>
      <c r="M359" s="4">
        <v>54.9</v>
      </c>
      <c r="N359" s="4">
        <v>1989.7</v>
      </c>
      <c r="P359">
        <v>0</v>
      </c>
      <c r="Q359">
        <v>238.29999999999998</v>
      </c>
      <c r="R359">
        <v>0</v>
      </c>
      <c r="S359">
        <v>0</v>
      </c>
      <c r="T359">
        <v>368.5</v>
      </c>
      <c r="W359">
        <v>720.3</v>
      </c>
      <c r="X359">
        <v>1411.5</v>
      </c>
      <c r="Y359">
        <v>96.5</v>
      </c>
      <c r="AA359">
        <v>859.6</v>
      </c>
      <c r="AB359">
        <v>1577.6000000000001</v>
      </c>
      <c r="AE359">
        <v>1330</v>
      </c>
      <c r="AF359">
        <v>1025.5</v>
      </c>
      <c r="AH359">
        <v>509.9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1349.3</v>
      </c>
      <c r="AO359">
        <v>786.40000000000009</v>
      </c>
      <c r="AP359">
        <v>0</v>
      </c>
      <c r="AQ359">
        <v>68.3</v>
      </c>
      <c r="AR359">
        <v>234.9</v>
      </c>
      <c r="AS359">
        <v>600.40000000000009</v>
      </c>
      <c r="AU359">
        <v>985.69999999999993</v>
      </c>
      <c r="AW359">
        <v>792</v>
      </c>
      <c r="AX359">
        <v>1988.5</v>
      </c>
      <c r="AZ359">
        <v>763.5</v>
      </c>
      <c r="BA359">
        <v>0</v>
      </c>
      <c r="BB359">
        <v>0</v>
      </c>
      <c r="BC359">
        <v>1935.3</v>
      </c>
      <c r="BD359">
        <v>1006.5</v>
      </c>
      <c r="BE359">
        <v>0</v>
      </c>
      <c r="BF359">
        <v>0</v>
      </c>
      <c r="BG359">
        <v>0</v>
      </c>
      <c r="BH359">
        <v>1662.6</v>
      </c>
      <c r="BJ359">
        <v>0</v>
      </c>
      <c r="BK359">
        <v>0</v>
      </c>
      <c r="BL359">
        <v>1038.9000000000001</v>
      </c>
      <c r="BM359">
        <v>1101</v>
      </c>
      <c r="BO359">
        <v>1276.8000000000002</v>
      </c>
      <c r="BQ359">
        <v>0</v>
      </c>
      <c r="BR359">
        <v>270.7</v>
      </c>
      <c r="BS359">
        <v>230.5</v>
      </c>
      <c r="BT359">
        <v>472.3</v>
      </c>
      <c r="BU359">
        <v>537.29999999999995</v>
      </c>
      <c r="BV359">
        <v>346.3</v>
      </c>
      <c r="BW359">
        <v>386.2</v>
      </c>
      <c r="BX359">
        <v>767</v>
      </c>
      <c r="BY359">
        <v>757.2</v>
      </c>
      <c r="BZ359">
        <v>1037.2</v>
      </c>
      <c r="CA359">
        <v>1227.0999999999999</v>
      </c>
      <c r="CB359">
        <v>1232.0999999999999</v>
      </c>
      <c r="CC359">
        <v>1701.5</v>
      </c>
      <c r="CD359">
        <v>0</v>
      </c>
      <c r="CG359">
        <v>1385.3</v>
      </c>
      <c r="CJ359">
        <v>1630.2999999999997</v>
      </c>
      <c r="CM359">
        <v>1184.2</v>
      </c>
      <c r="CO359">
        <v>1248.0999999999999</v>
      </c>
      <c r="CQ359">
        <v>1435.3</v>
      </c>
      <c r="CR359">
        <v>798.2</v>
      </c>
      <c r="CS359">
        <v>923.8</v>
      </c>
      <c r="CT359">
        <v>0</v>
      </c>
      <c r="CU359">
        <v>0</v>
      </c>
      <c r="CV359">
        <v>0</v>
      </c>
      <c r="CW359">
        <v>0</v>
      </c>
      <c r="CX359">
        <v>163.69999999999999</v>
      </c>
      <c r="CY359">
        <v>0</v>
      </c>
      <c r="CZ359">
        <v>0</v>
      </c>
      <c r="DA359">
        <v>0</v>
      </c>
      <c r="DB359">
        <v>0</v>
      </c>
      <c r="DC359">
        <v>0</v>
      </c>
      <c r="DD359">
        <v>0</v>
      </c>
      <c r="DE359">
        <v>0</v>
      </c>
      <c r="DI359">
        <v>0</v>
      </c>
      <c r="EC359">
        <v>0</v>
      </c>
      <c r="ED359">
        <v>0</v>
      </c>
      <c r="EE359">
        <v>0</v>
      </c>
      <c r="EF359">
        <v>0</v>
      </c>
      <c r="EG359">
        <v>0</v>
      </c>
      <c r="EH359">
        <v>0</v>
      </c>
      <c r="EI359">
        <v>0</v>
      </c>
      <c r="EJ359">
        <v>0</v>
      </c>
      <c r="EM359">
        <v>0</v>
      </c>
      <c r="EN359">
        <v>0</v>
      </c>
      <c r="EO359">
        <v>0</v>
      </c>
      <c r="EP359">
        <v>0</v>
      </c>
      <c r="EQ359">
        <v>0</v>
      </c>
      <c r="ER359">
        <v>0</v>
      </c>
      <c r="ES359">
        <v>0</v>
      </c>
      <c r="ET359">
        <v>0</v>
      </c>
      <c r="EW359">
        <v>0</v>
      </c>
      <c r="EX359">
        <v>0</v>
      </c>
      <c r="EY359">
        <v>0</v>
      </c>
      <c r="EZ359">
        <v>0</v>
      </c>
      <c r="FA359">
        <v>0</v>
      </c>
      <c r="FB359">
        <v>0</v>
      </c>
      <c r="FC359">
        <v>0</v>
      </c>
      <c r="FD359">
        <v>0</v>
      </c>
      <c r="FG359" t="e">
        <v>#N/A</v>
      </c>
      <c r="FI359" t="e">
        <v>#N/A</v>
      </c>
      <c r="FK359" t="e">
        <v>#N/A</v>
      </c>
      <c r="FM359" t="e">
        <v>#N/A</v>
      </c>
      <c r="FO359" t="e">
        <v>#N/A</v>
      </c>
      <c r="FQ359" t="e">
        <v>#N/A</v>
      </c>
      <c r="FS359" t="e">
        <v>#N/A</v>
      </c>
      <c r="FU359" t="e">
        <v>#N/A</v>
      </c>
      <c r="FW359" t="e">
        <v>#N/A</v>
      </c>
      <c r="FY359" t="e">
        <v>#N/A</v>
      </c>
      <c r="GA359" t="e">
        <v>#N/A</v>
      </c>
      <c r="GC359" t="e">
        <v>#N/A</v>
      </c>
      <c r="GE359" t="e">
        <v>#N/A</v>
      </c>
      <c r="GG359" t="e">
        <v>#N/A</v>
      </c>
      <c r="GI359" t="e">
        <v>#N/A</v>
      </c>
      <c r="GK359" t="e">
        <v>#N/A</v>
      </c>
      <c r="GM359" t="e">
        <v>#N/A</v>
      </c>
      <c r="GO359" t="e">
        <v>#N/A</v>
      </c>
      <c r="GQ359" t="e">
        <v>#N/A</v>
      </c>
      <c r="GS359" t="e">
        <v>#N/A</v>
      </c>
      <c r="GU359" t="e">
        <v>#N/A</v>
      </c>
      <c r="GW359" t="e">
        <v>#N/A</v>
      </c>
      <c r="GY359" t="e">
        <v>#N/A</v>
      </c>
      <c r="HA359" t="e">
        <v>#N/A</v>
      </c>
      <c r="HC359">
        <v>0</v>
      </c>
      <c r="HD359">
        <v>0</v>
      </c>
      <c r="HE359">
        <v>0</v>
      </c>
      <c r="HF359">
        <v>0</v>
      </c>
      <c r="HG359">
        <v>0</v>
      </c>
      <c r="HH359">
        <v>0</v>
      </c>
      <c r="HI359">
        <v>0</v>
      </c>
      <c r="HJ359">
        <v>0</v>
      </c>
      <c r="HM359">
        <v>0</v>
      </c>
      <c r="HN359">
        <v>0</v>
      </c>
      <c r="HO359">
        <v>0</v>
      </c>
      <c r="HP359">
        <v>0</v>
      </c>
      <c r="HQ359">
        <v>0</v>
      </c>
      <c r="HR359">
        <v>0</v>
      </c>
      <c r="HS359">
        <v>0</v>
      </c>
      <c r="HT359">
        <v>0</v>
      </c>
      <c r="HW359">
        <v>0</v>
      </c>
      <c r="HX359">
        <v>0</v>
      </c>
      <c r="HY359">
        <v>0</v>
      </c>
      <c r="HZ359">
        <v>0</v>
      </c>
      <c r="IA359">
        <v>3930.6</v>
      </c>
      <c r="IB359">
        <v>3632.9</v>
      </c>
      <c r="IC359">
        <v>3795.5</v>
      </c>
      <c r="ID359">
        <v>0</v>
      </c>
      <c r="IE359">
        <v>0</v>
      </c>
      <c r="IF359">
        <v>3548.5</v>
      </c>
      <c r="IG359">
        <v>3395.2</v>
      </c>
      <c r="IH359">
        <v>3395.4</v>
      </c>
      <c r="II359">
        <v>3302.3</v>
      </c>
      <c r="IJ359">
        <v>3172.8</v>
      </c>
      <c r="IK359">
        <v>0</v>
      </c>
      <c r="IL359">
        <v>0</v>
      </c>
      <c r="IM359">
        <v>0</v>
      </c>
      <c r="IN359">
        <v>0</v>
      </c>
      <c r="IO359">
        <v>123.4</v>
      </c>
      <c r="IP359">
        <v>405.2</v>
      </c>
      <c r="IQ359">
        <v>418.7</v>
      </c>
      <c r="IR359">
        <v>0</v>
      </c>
      <c r="IS359">
        <v>0</v>
      </c>
      <c r="IT359">
        <v>0</v>
      </c>
      <c r="IU359">
        <v>0</v>
      </c>
      <c r="IV359">
        <v>396</v>
      </c>
      <c r="IW359">
        <v>0</v>
      </c>
      <c r="IX359">
        <v>0</v>
      </c>
      <c r="IZ359">
        <v>0</v>
      </c>
      <c r="JA359">
        <v>65.5</v>
      </c>
      <c r="JB359">
        <v>443.5</v>
      </c>
      <c r="JC359">
        <v>0</v>
      </c>
      <c r="JD359">
        <v>0</v>
      </c>
      <c r="JE359">
        <v>0</v>
      </c>
      <c r="JF359">
        <v>0</v>
      </c>
      <c r="JG359">
        <v>0</v>
      </c>
      <c r="JH359">
        <v>0</v>
      </c>
      <c r="JI359">
        <v>0</v>
      </c>
      <c r="JJ359">
        <v>0</v>
      </c>
      <c r="JK359">
        <v>0</v>
      </c>
      <c r="JL359">
        <v>0</v>
      </c>
      <c r="JM359">
        <v>0</v>
      </c>
      <c r="JN359">
        <v>0</v>
      </c>
      <c r="JO359">
        <v>0</v>
      </c>
      <c r="JP359">
        <v>0</v>
      </c>
      <c r="JQ359">
        <v>0</v>
      </c>
      <c r="JR359">
        <v>0</v>
      </c>
      <c r="JS359">
        <v>0</v>
      </c>
      <c r="JT359">
        <v>0</v>
      </c>
      <c r="JU359">
        <v>0</v>
      </c>
      <c r="JV359">
        <v>0</v>
      </c>
      <c r="JW359">
        <v>0</v>
      </c>
      <c r="JX359">
        <v>0</v>
      </c>
      <c r="JY359">
        <v>0</v>
      </c>
      <c r="JZ359">
        <v>0</v>
      </c>
      <c r="KA359">
        <v>0</v>
      </c>
      <c r="KB359">
        <v>0</v>
      </c>
      <c r="KC359">
        <v>0</v>
      </c>
      <c r="KD359">
        <v>0</v>
      </c>
      <c r="KE359">
        <v>0</v>
      </c>
      <c r="KF359">
        <v>0</v>
      </c>
      <c r="KI359">
        <v>344.6</v>
      </c>
      <c r="KJ359">
        <v>350.8</v>
      </c>
      <c r="KK359">
        <v>22.1</v>
      </c>
      <c r="KL359">
        <v>379.3</v>
      </c>
      <c r="KM359">
        <v>241.4</v>
      </c>
      <c r="KN359">
        <v>0</v>
      </c>
      <c r="KO359">
        <v>0</v>
      </c>
      <c r="KP359">
        <v>57.3</v>
      </c>
      <c r="KQ359">
        <v>224.4</v>
      </c>
      <c r="KR359">
        <v>338.3</v>
      </c>
      <c r="KS359">
        <v>215.8</v>
      </c>
      <c r="KT359">
        <v>40.700000000000003</v>
      </c>
      <c r="KW359">
        <v>2154.5</v>
      </c>
      <c r="KX359">
        <v>1255.7</v>
      </c>
      <c r="KY359">
        <v>1630.1</v>
      </c>
      <c r="KZ359">
        <v>1246.9000000000001</v>
      </c>
      <c r="LB359">
        <v>78.099999999999994</v>
      </c>
      <c r="LC359">
        <v>77.7</v>
      </c>
    </row>
    <row r="360" spans="1:315" ht="18" thickBot="1">
      <c r="A360" s="245"/>
      <c r="B360" s="245"/>
      <c r="C360" s="332"/>
      <c r="D360" s="286"/>
      <c r="E360" s="449">
        <v>0</v>
      </c>
      <c r="F360" s="209">
        <v>0</v>
      </c>
      <c r="G360" s="427">
        <v>3413.8</v>
      </c>
      <c r="H360" s="155"/>
      <c r="I360">
        <v>735</v>
      </c>
      <c r="K360">
        <v>1973.1000000000001</v>
      </c>
      <c r="L360" s="4">
        <v>221.60000000000002</v>
      </c>
      <c r="M360" s="4">
        <v>54.9</v>
      </c>
      <c r="N360" s="4">
        <v>1989.7</v>
      </c>
      <c r="P360">
        <v>0</v>
      </c>
      <c r="Q360">
        <v>238.29999999999998</v>
      </c>
      <c r="R360">
        <v>0</v>
      </c>
      <c r="S360">
        <v>0</v>
      </c>
      <c r="T360">
        <v>368.5</v>
      </c>
      <c r="W360">
        <v>720.3</v>
      </c>
      <c r="X360">
        <v>1411.5</v>
      </c>
      <c r="Y360">
        <v>96.5</v>
      </c>
      <c r="AA360">
        <v>859.6</v>
      </c>
      <c r="AB360">
        <v>1577.6000000000001</v>
      </c>
      <c r="AE360">
        <v>1330</v>
      </c>
      <c r="AF360">
        <v>1025.5</v>
      </c>
      <c r="AH360">
        <v>509.9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1349.3</v>
      </c>
      <c r="AO360">
        <v>786.40000000000009</v>
      </c>
      <c r="AP360">
        <v>0</v>
      </c>
      <c r="AQ360">
        <v>68.3</v>
      </c>
      <c r="AR360">
        <v>234.9</v>
      </c>
      <c r="AS360">
        <v>600.40000000000009</v>
      </c>
      <c r="AU360">
        <v>985.69999999999993</v>
      </c>
      <c r="AW360">
        <v>792</v>
      </c>
      <c r="AX360">
        <v>1988.5</v>
      </c>
      <c r="AZ360">
        <v>763.5</v>
      </c>
      <c r="BA360">
        <v>0</v>
      </c>
      <c r="BB360">
        <v>0</v>
      </c>
      <c r="BC360">
        <v>1935.3</v>
      </c>
      <c r="BD360">
        <v>1006.5</v>
      </c>
      <c r="BE360">
        <v>0</v>
      </c>
      <c r="BF360">
        <v>0</v>
      </c>
      <c r="BG360">
        <v>0</v>
      </c>
      <c r="BH360">
        <v>1662.6</v>
      </c>
      <c r="BJ360">
        <v>0</v>
      </c>
      <c r="BK360">
        <v>0</v>
      </c>
      <c r="BL360">
        <v>1038.9000000000001</v>
      </c>
      <c r="BM360">
        <v>1101</v>
      </c>
      <c r="BO360">
        <v>1276.8000000000002</v>
      </c>
      <c r="BQ360">
        <v>0</v>
      </c>
      <c r="BR360">
        <v>270.7</v>
      </c>
      <c r="BS360">
        <v>230.5</v>
      </c>
      <c r="BT360">
        <v>472.3</v>
      </c>
      <c r="BU360">
        <v>537.29999999999995</v>
      </c>
      <c r="BV360">
        <v>346.3</v>
      </c>
      <c r="BW360">
        <v>386.2</v>
      </c>
      <c r="BX360">
        <v>767</v>
      </c>
      <c r="BY360">
        <v>757.2</v>
      </c>
      <c r="BZ360">
        <v>1037.2</v>
      </c>
      <c r="CA360">
        <v>1227.0999999999999</v>
      </c>
      <c r="CB360">
        <v>1232.0999999999999</v>
      </c>
      <c r="CC360">
        <v>1701.5</v>
      </c>
      <c r="CD360">
        <v>0</v>
      </c>
      <c r="CG360">
        <v>1385.3</v>
      </c>
      <c r="CJ360">
        <v>1630.2999999999997</v>
      </c>
      <c r="CM360">
        <v>1184.2</v>
      </c>
      <c r="CO360">
        <v>1248.0999999999999</v>
      </c>
      <c r="CQ360">
        <v>1435.3</v>
      </c>
      <c r="CR360">
        <v>798.2</v>
      </c>
      <c r="CS360">
        <v>923.8</v>
      </c>
      <c r="CT360">
        <v>0</v>
      </c>
      <c r="CU360">
        <v>0</v>
      </c>
      <c r="CV360">
        <v>0</v>
      </c>
      <c r="CW360">
        <v>0</v>
      </c>
      <c r="CX360">
        <v>163.69999999999999</v>
      </c>
      <c r="CY360">
        <v>0</v>
      </c>
      <c r="CZ360">
        <v>0</v>
      </c>
      <c r="DA360">
        <v>0</v>
      </c>
      <c r="DB360">
        <v>0</v>
      </c>
      <c r="DC360">
        <v>0</v>
      </c>
      <c r="DD360">
        <v>0</v>
      </c>
      <c r="DE360">
        <v>0</v>
      </c>
      <c r="DI360">
        <v>0</v>
      </c>
      <c r="EC360">
        <v>0</v>
      </c>
      <c r="ED360">
        <v>0</v>
      </c>
      <c r="EE360">
        <v>0</v>
      </c>
      <c r="EF360">
        <v>0</v>
      </c>
      <c r="EG360">
        <v>0</v>
      </c>
      <c r="EH360">
        <v>0</v>
      </c>
      <c r="EI360">
        <v>0</v>
      </c>
      <c r="EJ360">
        <v>0</v>
      </c>
      <c r="EM360">
        <v>0</v>
      </c>
      <c r="EN360">
        <v>0</v>
      </c>
      <c r="EO360">
        <v>0</v>
      </c>
      <c r="EP360">
        <v>0</v>
      </c>
      <c r="EQ360">
        <v>0</v>
      </c>
      <c r="ER360">
        <v>0</v>
      </c>
      <c r="ES360">
        <v>0</v>
      </c>
      <c r="ET360">
        <v>0</v>
      </c>
      <c r="EW360">
        <v>0</v>
      </c>
      <c r="EX360">
        <v>0</v>
      </c>
      <c r="EY360">
        <v>0</v>
      </c>
      <c r="EZ360">
        <v>0</v>
      </c>
      <c r="FA360">
        <v>0</v>
      </c>
      <c r="FB360">
        <v>0</v>
      </c>
      <c r="FC360">
        <v>0</v>
      </c>
      <c r="FD360">
        <v>0</v>
      </c>
      <c r="FG360" t="e">
        <v>#N/A</v>
      </c>
      <c r="FI360" t="e">
        <v>#N/A</v>
      </c>
      <c r="FK360" t="e">
        <v>#N/A</v>
      </c>
      <c r="FM360" t="e">
        <v>#N/A</v>
      </c>
      <c r="FO360" t="e">
        <v>#N/A</v>
      </c>
      <c r="FQ360" t="e">
        <v>#N/A</v>
      </c>
      <c r="FS360" t="e">
        <v>#N/A</v>
      </c>
      <c r="FU360" t="e">
        <v>#N/A</v>
      </c>
      <c r="FW360" t="e">
        <v>#N/A</v>
      </c>
      <c r="FY360" t="e">
        <v>#N/A</v>
      </c>
      <c r="GA360" t="e">
        <v>#N/A</v>
      </c>
      <c r="GC360" t="e">
        <v>#N/A</v>
      </c>
      <c r="GE360" t="e">
        <v>#N/A</v>
      </c>
      <c r="GG360" t="e">
        <v>#N/A</v>
      </c>
      <c r="GI360" t="e">
        <v>#N/A</v>
      </c>
      <c r="GK360" t="e">
        <v>#N/A</v>
      </c>
      <c r="GM360" t="e">
        <v>#N/A</v>
      </c>
      <c r="GO360" t="e">
        <v>#N/A</v>
      </c>
      <c r="GQ360" t="e">
        <v>#N/A</v>
      </c>
      <c r="GS360" t="e">
        <v>#N/A</v>
      </c>
      <c r="GU360" t="e">
        <v>#N/A</v>
      </c>
      <c r="GW360" t="e">
        <v>#N/A</v>
      </c>
      <c r="GY360" t="e">
        <v>#N/A</v>
      </c>
      <c r="HA360" t="e">
        <v>#N/A</v>
      </c>
      <c r="HC360">
        <v>0</v>
      </c>
      <c r="HD360">
        <v>0</v>
      </c>
      <c r="HE360">
        <v>0</v>
      </c>
      <c r="HF360">
        <v>0</v>
      </c>
      <c r="HG360">
        <v>0</v>
      </c>
      <c r="HH360">
        <v>0</v>
      </c>
      <c r="HI360">
        <v>0</v>
      </c>
      <c r="HJ360">
        <v>0</v>
      </c>
      <c r="HM360">
        <v>0</v>
      </c>
      <c r="HN360">
        <v>0</v>
      </c>
      <c r="HO360">
        <v>0</v>
      </c>
      <c r="HP360">
        <v>0</v>
      </c>
      <c r="HQ360">
        <v>0</v>
      </c>
      <c r="HR360">
        <v>0</v>
      </c>
      <c r="HS360">
        <v>0</v>
      </c>
      <c r="HT360">
        <v>0</v>
      </c>
      <c r="HW360">
        <v>0</v>
      </c>
      <c r="HX360">
        <v>0</v>
      </c>
      <c r="HY360">
        <v>0</v>
      </c>
      <c r="HZ360">
        <v>0</v>
      </c>
      <c r="IA360">
        <v>3930.6</v>
      </c>
      <c r="IB360">
        <v>3632.9</v>
      </c>
      <c r="IC360">
        <v>3795.5</v>
      </c>
      <c r="ID360">
        <v>0</v>
      </c>
      <c r="IE360">
        <v>0</v>
      </c>
      <c r="IF360">
        <v>3548.5</v>
      </c>
      <c r="IG360">
        <v>3395.2</v>
      </c>
      <c r="IH360">
        <v>3395.4</v>
      </c>
      <c r="II360">
        <v>3302.3</v>
      </c>
      <c r="IJ360">
        <v>3172.8</v>
      </c>
      <c r="IK360">
        <v>0</v>
      </c>
      <c r="IL360">
        <v>0</v>
      </c>
      <c r="IM360">
        <v>0</v>
      </c>
      <c r="IN360">
        <v>0</v>
      </c>
      <c r="IO360">
        <v>123.4</v>
      </c>
      <c r="IP360">
        <v>405.2</v>
      </c>
      <c r="IQ360">
        <v>418.7</v>
      </c>
      <c r="IR360">
        <v>0</v>
      </c>
      <c r="IS360">
        <v>0</v>
      </c>
      <c r="IT360">
        <v>0</v>
      </c>
      <c r="IU360">
        <v>0</v>
      </c>
      <c r="IV360">
        <v>396</v>
      </c>
      <c r="IW360">
        <v>0</v>
      </c>
      <c r="IX360">
        <v>0</v>
      </c>
      <c r="IZ360">
        <v>0</v>
      </c>
      <c r="JA360">
        <v>65.5</v>
      </c>
      <c r="JB360">
        <v>443.5</v>
      </c>
      <c r="JC360">
        <v>0</v>
      </c>
      <c r="JD360">
        <v>0</v>
      </c>
      <c r="JE360">
        <v>0</v>
      </c>
      <c r="JF360">
        <v>0</v>
      </c>
      <c r="JG360">
        <v>0</v>
      </c>
      <c r="JH360">
        <v>0</v>
      </c>
      <c r="JI360">
        <v>0</v>
      </c>
      <c r="JJ360">
        <v>0</v>
      </c>
      <c r="JK360">
        <v>0</v>
      </c>
      <c r="JL360">
        <v>0</v>
      </c>
      <c r="JM360">
        <v>0</v>
      </c>
      <c r="JN360">
        <v>0</v>
      </c>
      <c r="JO360">
        <v>0</v>
      </c>
      <c r="JP360">
        <v>0</v>
      </c>
      <c r="JQ360">
        <v>0</v>
      </c>
      <c r="JR360">
        <v>0</v>
      </c>
      <c r="JS360">
        <v>0</v>
      </c>
      <c r="JT360">
        <v>0</v>
      </c>
      <c r="JU360">
        <v>0</v>
      </c>
      <c r="JV360">
        <v>0</v>
      </c>
      <c r="JW360">
        <v>0</v>
      </c>
      <c r="JX360">
        <v>0</v>
      </c>
      <c r="JY360">
        <v>0</v>
      </c>
      <c r="JZ360">
        <v>0</v>
      </c>
      <c r="KA360">
        <v>0</v>
      </c>
      <c r="KB360">
        <v>0</v>
      </c>
      <c r="KC360">
        <v>0</v>
      </c>
      <c r="KD360">
        <v>0</v>
      </c>
      <c r="KE360">
        <v>0</v>
      </c>
      <c r="KF360">
        <v>0</v>
      </c>
      <c r="KI360">
        <v>344.6</v>
      </c>
      <c r="KJ360">
        <v>350.8</v>
      </c>
      <c r="KK360">
        <v>22.1</v>
      </c>
      <c r="KL360">
        <v>379.3</v>
      </c>
      <c r="KM360">
        <v>241.4</v>
      </c>
      <c r="KN360">
        <v>0</v>
      </c>
      <c r="KO360">
        <v>0</v>
      </c>
      <c r="KP360">
        <v>57.3</v>
      </c>
      <c r="KQ360">
        <v>224.4</v>
      </c>
      <c r="KR360">
        <v>338.3</v>
      </c>
      <c r="KS360">
        <v>215.8</v>
      </c>
      <c r="KT360">
        <v>40.700000000000003</v>
      </c>
      <c r="KW360">
        <v>2154.5</v>
      </c>
      <c r="KX360">
        <v>1255.7</v>
      </c>
      <c r="KY360">
        <v>1630.1</v>
      </c>
      <c r="KZ360">
        <v>1246.9000000000001</v>
      </c>
      <c r="LB360">
        <v>78.099999999999994</v>
      </c>
      <c r="LC360">
        <v>77.7</v>
      </c>
    </row>
    <row r="361" spans="1:315" ht="18" thickBot="1">
      <c r="A361" s="246"/>
      <c r="B361" s="246"/>
      <c r="C361" s="340"/>
      <c r="D361" s="296"/>
      <c r="E361" s="452">
        <v>0</v>
      </c>
      <c r="F361" s="212">
        <v>0</v>
      </c>
      <c r="G361" s="427">
        <v>3413.8</v>
      </c>
      <c r="H361" s="155"/>
      <c r="I361">
        <v>735</v>
      </c>
      <c r="K361">
        <v>1973.1000000000001</v>
      </c>
      <c r="L361" s="4">
        <v>221.60000000000002</v>
      </c>
      <c r="M361" s="4">
        <v>54.9</v>
      </c>
      <c r="N361" s="4">
        <v>1989.7</v>
      </c>
      <c r="P361">
        <v>0</v>
      </c>
      <c r="Q361">
        <v>238.29999999999998</v>
      </c>
      <c r="R361">
        <v>0</v>
      </c>
      <c r="S361">
        <v>0</v>
      </c>
      <c r="T361">
        <v>368.5</v>
      </c>
      <c r="W361">
        <v>720.3</v>
      </c>
      <c r="X361">
        <v>1411.5</v>
      </c>
      <c r="Y361">
        <v>96.5</v>
      </c>
      <c r="AA361">
        <v>859.6</v>
      </c>
      <c r="AB361">
        <v>1577.6000000000001</v>
      </c>
      <c r="AE361">
        <v>1330</v>
      </c>
      <c r="AF361">
        <v>1025.5</v>
      </c>
      <c r="AH361">
        <v>509.9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1349.3</v>
      </c>
      <c r="AO361">
        <v>786.40000000000009</v>
      </c>
      <c r="AP361">
        <v>0</v>
      </c>
      <c r="AQ361">
        <v>68.3</v>
      </c>
      <c r="AR361">
        <v>234.9</v>
      </c>
      <c r="AS361">
        <v>600.40000000000009</v>
      </c>
      <c r="AU361">
        <v>985.69999999999993</v>
      </c>
      <c r="AW361">
        <v>792</v>
      </c>
      <c r="AX361">
        <v>1988.5</v>
      </c>
      <c r="AZ361">
        <v>763.5</v>
      </c>
      <c r="BA361">
        <v>0</v>
      </c>
      <c r="BB361">
        <v>0</v>
      </c>
      <c r="BC361">
        <v>1935.3</v>
      </c>
      <c r="BD361">
        <v>1006.5</v>
      </c>
      <c r="BE361">
        <v>0</v>
      </c>
      <c r="BF361">
        <v>0</v>
      </c>
      <c r="BG361">
        <v>0</v>
      </c>
      <c r="BH361">
        <v>1662.6</v>
      </c>
      <c r="BJ361">
        <v>0</v>
      </c>
      <c r="BK361">
        <v>0</v>
      </c>
      <c r="BL361">
        <v>1038.9000000000001</v>
      </c>
      <c r="BM361">
        <v>1101</v>
      </c>
      <c r="BO361">
        <v>1276.8000000000002</v>
      </c>
      <c r="BQ361">
        <v>0</v>
      </c>
      <c r="BR361">
        <v>270.7</v>
      </c>
      <c r="BS361">
        <v>230.5</v>
      </c>
      <c r="BT361">
        <v>472.3</v>
      </c>
      <c r="BU361">
        <v>537.29999999999995</v>
      </c>
      <c r="BV361">
        <v>346.3</v>
      </c>
      <c r="BW361">
        <v>386.2</v>
      </c>
      <c r="BX361">
        <v>767</v>
      </c>
      <c r="BY361">
        <v>757.2</v>
      </c>
      <c r="BZ361">
        <v>1037.2</v>
      </c>
      <c r="CA361">
        <v>1227.0999999999999</v>
      </c>
      <c r="CB361">
        <v>1232.0999999999999</v>
      </c>
      <c r="CC361">
        <v>1701.5</v>
      </c>
      <c r="CD361">
        <v>0</v>
      </c>
      <c r="CG361">
        <v>1385.3</v>
      </c>
      <c r="CJ361">
        <v>1630.2999999999997</v>
      </c>
      <c r="CM361">
        <v>1184.2</v>
      </c>
      <c r="CO361">
        <v>1248.0999999999999</v>
      </c>
      <c r="CQ361">
        <v>1435.3</v>
      </c>
      <c r="CR361">
        <v>798.2</v>
      </c>
      <c r="CS361">
        <v>923.8</v>
      </c>
      <c r="CT361">
        <v>0</v>
      </c>
      <c r="CU361">
        <v>0</v>
      </c>
      <c r="CV361">
        <v>0</v>
      </c>
      <c r="CW361">
        <v>0</v>
      </c>
      <c r="CX361">
        <v>163.69999999999999</v>
      </c>
      <c r="CY361">
        <v>0</v>
      </c>
      <c r="CZ361">
        <v>0</v>
      </c>
      <c r="DA361">
        <v>0</v>
      </c>
      <c r="DB361">
        <v>0</v>
      </c>
      <c r="DC361">
        <v>0</v>
      </c>
      <c r="DD361">
        <v>0</v>
      </c>
      <c r="DE361">
        <v>0</v>
      </c>
      <c r="DI361">
        <v>0</v>
      </c>
      <c r="EC361">
        <v>0</v>
      </c>
      <c r="ED361">
        <v>0</v>
      </c>
      <c r="EE361">
        <v>0</v>
      </c>
      <c r="EF361">
        <v>0</v>
      </c>
      <c r="EG361">
        <v>0</v>
      </c>
      <c r="EH361">
        <v>0</v>
      </c>
      <c r="EI361">
        <v>0</v>
      </c>
      <c r="EJ361">
        <v>0</v>
      </c>
      <c r="EM361">
        <v>0</v>
      </c>
      <c r="EN361">
        <v>0</v>
      </c>
      <c r="EO361">
        <v>0</v>
      </c>
      <c r="EP361">
        <v>0</v>
      </c>
      <c r="EQ361">
        <v>0</v>
      </c>
      <c r="ER361">
        <v>0</v>
      </c>
      <c r="ES361">
        <v>0</v>
      </c>
      <c r="ET361">
        <v>0</v>
      </c>
      <c r="EW361">
        <v>0</v>
      </c>
      <c r="EX361">
        <v>0</v>
      </c>
      <c r="EY361">
        <v>0</v>
      </c>
      <c r="EZ361">
        <v>0</v>
      </c>
      <c r="FA361">
        <v>0</v>
      </c>
      <c r="FB361">
        <v>0</v>
      </c>
      <c r="FC361">
        <v>0</v>
      </c>
      <c r="FD361">
        <v>0</v>
      </c>
      <c r="FG361" t="e">
        <v>#N/A</v>
      </c>
      <c r="FI361" t="e">
        <v>#N/A</v>
      </c>
      <c r="FK361" t="e">
        <v>#N/A</v>
      </c>
      <c r="FM361" t="e">
        <v>#N/A</v>
      </c>
      <c r="FO361" t="e">
        <v>#N/A</v>
      </c>
      <c r="FQ361" t="e">
        <v>#N/A</v>
      </c>
      <c r="FS361" t="e">
        <v>#N/A</v>
      </c>
      <c r="FU361" t="e">
        <v>#N/A</v>
      </c>
      <c r="FW361" t="e">
        <v>#N/A</v>
      </c>
      <c r="FY361" t="e">
        <v>#N/A</v>
      </c>
      <c r="GA361" t="e">
        <v>#N/A</v>
      </c>
      <c r="GC361" t="e">
        <v>#N/A</v>
      </c>
      <c r="GE361" t="e">
        <v>#N/A</v>
      </c>
      <c r="GG361" t="e">
        <v>#N/A</v>
      </c>
      <c r="GI361" t="e">
        <v>#N/A</v>
      </c>
      <c r="GK361" t="e">
        <v>#N/A</v>
      </c>
      <c r="GM361" t="e">
        <v>#N/A</v>
      </c>
      <c r="GO361" t="e">
        <v>#N/A</v>
      </c>
      <c r="GQ361" t="e">
        <v>#N/A</v>
      </c>
      <c r="GS361" t="e">
        <v>#N/A</v>
      </c>
      <c r="GU361" t="e">
        <v>#N/A</v>
      </c>
      <c r="GW361" t="e">
        <v>#N/A</v>
      </c>
      <c r="GY361" t="e">
        <v>#N/A</v>
      </c>
      <c r="HA361" t="e">
        <v>#N/A</v>
      </c>
      <c r="HC361">
        <v>0</v>
      </c>
      <c r="HD361">
        <v>0</v>
      </c>
      <c r="HE361">
        <v>0</v>
      </c>
      <c r="HF361">
        <v>0</v>
      </c>
      <c r="HG361">
        <v>0</v>
      </c>
      <c r="HH361">
        <v>0</v>
      </c>
      <c r="HI361">
        <v>0</v>
      </c>
      <c r="HJ361">
        <v>0</v>
      </c>
      <c r="HM361">
        <v>0</v>
      </c>
      <c r="HN361">
        <v>0</v>
      </c>
      <c r="HO361">
        <v>0</v>
      </c>
      <c r="HP361">
        <v>0</v>
      </c>
      <c r="HQ361">
        <v>0</v>
      </c>
      <c r="HR361">
        <v>0</v>
      </c>
      <c r="HS361">
        <v>0</v>
      </c>
      <c r="HT361">
        <v>0</v>
      </c>
      <c r="HW361">
        <v>0</v>
      </c>
      <c r="HX361">
        <v>0</v>
      </c>
      <c r="HY361">
        <v>0</v>
      </c>
      <c r="HZ361">
        <v>0</v>
      </c>
      <c r="IA361">
        <v>3930.6</v>
      </c>
      <c r="IB361">
        <v>3632.9</v>
      </c>
      <c r="IC361">
        <v>3795.5</v>
      </c>
      <c r="ID361">
        <v>0</v>
      </c>
      <c r="IE361">
        <v>0</v>
      </c>
      <c r="IF361">
        <v>3548.5</v>
      </c>
      <c r="IG361">
        <v>3395.2</v>
      </c>
      <c r="IH361">
        <v>3395.4</v>
      </c>
      <c r="II361">
        <v>3302.3</v>
      </c>
      <c r="IJ361">
        <v>3172.8</v>
      </c>
      <c r="IK361">
        <v>0</v>
      </c>
      <c r="IL361">
        <v>0</v>
      </c>
      <c r="IM361">
        <v>0</v>
      </c>
      <c r="IN361">
        <v>0</v>
      </c>
      <c r="IO361">
        <v>123.4</v>
      </c>
      <c r="IP361">
        <v>405.2</v>
      </c>
      <c r="IQ361">
        <v>418.7</v>
      </c>
      <c r="IR361">
        <v>0</v>
      </c>
      <c r="IS361">
        <v>0</v>
      </c>
      <c r="IT361">
        <v>0</v>
      </c>
      <c r="IU361">
        <v>0</v>
      </c>
      <c r="IV361">
        <v>396</v>
      </c>
      <c r="IW361">
        <v>0</v>
      </c>
      <c r="IX361">
        <v>0</v>
      </c>
      <c r="IZ361">
        <v>0</v>
      </c>
      <c r="JA361">
        <v>65.5</v>
      </c>
      <c r="JB361">
        <v>443.5</v>
      </c>
      <c r="JC361">
        <v>0</v>
      </c>
      <c r="JD361">
        <v>0</v>
      </c>
      <c r="JE361">
        <v>0</v>
      </c>
      <c r="JF361">
        <v>0</v>
      </c>
      <c r="JG361">
        <v>0</v>
      </c>
      <c r="JH361">
        <v>0</v>
      </c>
      <c r="JI361">
        <v>0</v>
      </c>
      <c r="JJ361">
        <v>0</v>
      </c>
      <c r="JK361">
        <v>0</v>
      </c>
      <c r="JL361">
        <v>0</v>
      </c>
      <c r="JM361">
        <v>0</v>
      </c>
      <c r="JN361">
        <v>0</v>
      </c>
      <c r="JO361">
        <v>0</v>
      </c>
      <c r="JP361">
        <v>0</v>
      </c>
      <c r="JQ361">
        <v>0</v>
      </c>
      <c r="JR361">
        <v>0</v>
      </c>
      <c r="JS361">
        <v>0</v>
      </c>
      <c r="JT361">
        <v>0</v>
      </c>
      <c r="JU361">
        <v>0</v>
      </c>
      <c r="JV361">
        <v>0</v>
      </c>
      <c r="JW361">
        <v>0</v>
      </c>
      <c r="JX361">
        <v>0</v>
      </c>
      <c r="JY361">
        <v>0</v>
      </c>
      <c r="JZ361">
        <v>0</v>
      </c>
      <c r="KA361">
        <v>0</v>
      </c>
      <c r="KB361">
        <v>0</v>
      </c>
      <c r="KC361">
        <v>0</v>
      </c>
      <c r="KD361">
        <v>0</v>
      </c>
      <c r="KE361">
        <v>0</v>
      </c>
      <c r="KF361">
        <v>0</v>
      </c>
      <c r="KI361">
        <v>344.6</v>
      </c>
      <c r="KJ361">
        <v>350.8</v>
      </c>
      <c r="KK361">
        <v>22.1</v>
      </c>
      <c r="KL361">
        <v>379.3</v>
      </c>
      <c r="KM361">
        <v>241.4</v>
      </c>
      <c r="KN361">
        <v>0</v>
      </c>
      <c r="KO361">
        <v>0</v>
      </c>
      <c r="KP361">
        <v>57.3</v>
      </c>
      <c r="KQ361">
        <v>224.4</v>
      </c>
      <c r="KR361">
        <v>338.3</v>
      </c>
      <c r="KS361">
        <v>215.8</v>
      </c>
      <c r="KT361">
        <v>40.700000000000003</v>
      </c>
      <c r="KW361">
        <v>2154.5</v>
      </c>
      <c r="KX361">
        <v>1255.7</v>
      </c>
      <c r="KY361">
        <v>1630.1</v>
      </c>
      <c r="KZ361">
        <v>1246.9000000000001</v>
      </c>
      <c r="LB361">
        <v>78.099999999999994</v>
      </c>
      <c r="LC361">
        <v>77.7</v>
      </c>
    </row>
    <row r="362" spans="1:315" ht="18.600000000000001" thickTop="1" thickBot="1">
      <c r="A362" s="181"/>
      <c r="B362" s="181"/>
      <c r="C362" s="333" t="s">
        <v>864</v>
      </c>
      <c r="D362" s="287"/>
      <c r="E362" s="442">
        <v>0</v>
      </c>
      <c r="F362" s="190">
        <v>0</v>
      </c>
      <c r="G362" s="427">
        <v>3413.8</v>
      </c>
      <c r="H362" s="155"/>
      <c r="I362">
        <v>735</v>
      </c>
      <c r="K362">
        <v>1973.1000000000001</v>
      </c>
      <c r="L362" s="4">
        <v>221.60000000000002</v>
      </c>
      <c r="M362" s="4">
        <v>54.9</v>
      </c>
      <c r="N362" s="4">
        <v>1989.7</v>
      </c>
      <c r="P362">
        <v>0</v>
      </c>
      <c r="Q362">
        <v>238.29999999999998</v>
      </c>
      <c r="R362">
        <v>0</v>
      </c>
      <c r="S362">
        <v>0</v>
      </c>
      <c r="T362">
        <v>368.5</v>
      </c>
      <c r="W362">
        <v>720.3</v>
      </c>
      <c r="X362">
        <v>1411.5</v>
      </c>
      <c r="Y362">
        <v>96.5</v>
      </c>
      <c r="AA362">
        <v>859.6</v>
      </c>
      <c r="AB362">
        <v>1577.6000000000001</v>
      </c>
      <c r="AE362">
        <v>1330</v>
      </c>
      <c r="AF362">
        <v>1025.5</v>
      </c>
      <c r="AH362">
        <v>509.9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1349.3</v>
      </c>
      <c r="AO362">
        <v>786.40000000000009</v>
      </c>
      <c r="AP362">
        <v>0</v>
      </c>
      <c r="AQ362">
        <v>68.3</v>
      </c>
      <c r="AR362">
        <v>234.9</v>
      </c>
      <c r="AS362">
        <v>600.40000000000009</v>
      </c>
      <c r="AU362">
        <v>985.69999999999993</v>
      </c>
      <c r="AW362">
        <v>792</v>
      </c>
      <c r="AX362">
        <v>1988.5</v>
      </c>
      <c r="AZ362">
        <v>763.5</v>
      </c>
      <c r="BA362">
        <v>0</v>
      </c>
      <c r="BB362">
        <v>0</v>
      </c>
      <c r="BC362">
        <v>1935.3</v>
      </c>
      <c r="BD362">
        <v>1006.5</v>
      </c>
      <c r="BE362">
        <v>0</v>
      </c>
      <c r="BF362">
        <v>0</v>
      </c>
      <c r="BG362">
        <v>0</v>
      </c>
      <c r="BH362">
        <v>1662.6</v>
      </c>
      <c r="BJ362">
        <v>0</v>
      </c>
      <c r="BK362">
        <v>0</v>
      </c>
      <c r="BL362">
        <v>1038.9000000000001</v>
      </c>
      <c r="BM362">
        <v>1101</v>
      </c>
      <c r="BO362">
        <v>1276.8000000000002</v>
      </c>
      <c r="BQ362">
        <v>0</v>
      </c>
      <c r="BR362">
        <v>270.7</v>
      </c>
      <c r="BS362">
        <v>230.5</v>
      </c>
      <c r="BT362">
        <v>472.3</v>
      </c>
      <c r="BU362">
        <v>537.29999999999995</v>
      </c>
      <c r="BV362">
        <v>346.3</v>
      </c>
      <c r="BW362">
        <v>386.2</v>
      </c>
      <c r="BX362">
        <v>767</v>
      </c>
      <c r="BY362">
        <v>757.2</v>
      </c>
      <c r="BZ362">
        <v>1037.2</v>
      </c>
      <c r="CA362">
        <v>1227.0999999999999</v>
      </c>
      <c r="CB362">
        <v>1232.0999999999999</v>
      </c>
      <c r="CC362">
        <v>1701.5</v>
      </c>
      <c r="CD362">
        <v>0</v>
      </c>
      <c r="CG362">
        <v>1385.3</v>
      </c>
      <c r="CJ362">
        <v>1630.2999999999997</v>
      </c>
      <c r="CM362">
        <v>1184.2</v>
      </c>
      <c r="CO362">
        <v>1248.0999999999999</v>
      </c>
      <c r="CQ362">
        <v>1435.3</v>
      </c>
      <c r="CR362">
        <v>798.2</v>
      </c>
      <c r="CS362">
        <v>923.8</v>
      </c>
      <c r="CT362">
        <v>0</v>
      </c>
      <c r="CU362">
        <v>0</v>
      </c>
      <c r="CV362">
        <v>0</v>
      </c>
      <c r="CW362">
        <v>0</v>
      </c>
      <c r="CX362">
        <v>163.69999999999999</v>
      </c>
      <c r="CY362">
        <v>0</v>
      </c>
      <c r="CZ362">
        <v>0</v>
      </c>
      <c r="DA362">
        <v>0</v>
      </c>
      <c r="DB362">
        <v>0</v>
      </c>
      <c r="DC362">
        <v>0</v>
      </c>
      <c r="DD362">
        <v>0</v>
      </c>
      <c r="DE362">
        <v>0</v>
      </c>
      <c r="DI362">
        <v>0</v>
      </c>
      <c r="EC362">
        <v>0</v>
      </c>
      <c r="ED362">
        <v>0</v>
      </c>
      <c r="EE362">
        <v>0</v>
      </c>
      <c r="EF362">
        <v>0</v>
      </c>
      <c r="EG362">
        <v>0</v>
      </c>
      <c r="EH362">
        <v>0</v>
      </c>
      <c r="EI362">
        <v>0</v>
      </c>
      <c r="EJ362">
        <v>0</v>
      </c>
      <c r="EM362">
        <v>0</v>
      </c>
      <c r="EN362">
        <v>0</v>
      </c>
      <c r="EO362">
        <v>0</v>
      </c>
      <c r="EP362">
        <v>0</v>
      </c>
      <c r="EQ362">
        <v>0</v>
      </c>
      <c r="ER362">
        <v>0</v>
      </c>
      <c r="ES362">
        <v>0</v>
      </c>
      <c r="ET362">
        <v>0</v>
      </c>
      <c r="EW362">
        <v>0</v>
      </c>
      <c r="EX362">
        <v>0</v>
      </c>
      <c r="EY362">
        <v>0</v>
      </c>
      <c r="EZ362">
        <v>0</v>
      </c>
      <c r="FA362">
        <v>0</v>
      </c>
      <c r="FB362">
        <v>0</v>
      </c>
      <c r="FC362">
        <v>0</v>
      </c>
      <c r="FD362">
        <v>0</v>
      </c>
      <c r="FG362" t="e">
        <v>#N/A</v>
      </c>
      <c r="FI362" t="e">
        <v>#N/A</v>
      </c>
      <c r="FK362" t="e">
        <v>#N/A</v>
      </c>
      <c r="FM362" t="e">
        <v>#N/A</v>
      </c>
      <c r="FO362" t="e">
        <v>#N/A</v>
      </c>
      <c r="FQ362" t="e">
        <v>#N/A</v>
      </c>
      <c r="FS362" t="e">
        <v>#N/A</v>
      </c>
      <c r="FU362" t="e">
        <v>#N/A</v>
      </c>
      <c r="FW362" t="e">
        <v>#N/A</v>
      </c>
      <c r="FY362" t="e">
        <v>#N/A</v>
      </c>
      <c r="GA362" t="e">
        <v>#N/A</v>
      </c>
      <c r="GC362" t="e">
        <v>#N/A</v>
      </c>
      <c r="GE362" t="e">
        <v>#N/A</v>
      </c>
      <c r="GG362" t="e">
        <v>#N/A</v>
      </c>
      <c r="GI362" t="e">
        <v>#N/A</v>
      </c>
      <c r="GK362" t="e">
        <v>#N/A</v>
      </c>
      <c r="GM362" t="e">
        <v>#N/A</v>
      </c>
      <c r="GO362" t="e">
        <v>#N/A</v>
      </c>
      <c r="GQ362" t="e">
        <v>#N/A</v>
      </c>
      <c r="GS362" t="e">
        <v>#N/A</v>
      </c>
      <c r="GU362" t="e">
        <v>#N/A</v>
      </c>
      <c r="GW362" t="e">
        <v>#N/A</v>
      </c>
      <c r="GY362" t="e">
        <v>#N/A</v>
      </c>
      <c r="HA362" t="e">
        <v>#N/A</v>
      </c>
      <c r="HC362">
        <v>0</v>
      </c>
      <c r="HD362">
        <v>0</v>
      </c>
      <c r="HE362">
        <v>0</v>
      </c>
      <c r="HF362">
        <v>0</v>
      </c>
      <c r="HG362">
        <v>0</v>
      </c>
      <c r="HH362">
        <v>0</v>
      </c>
      <c r="HI362">
        <v>0</v>
      </c>
      <c r="HJ362">
        <v>0</v>
      </c>
      <c r="HM362">
        <v>0</v>
      </c>
      <c r="HN362">
        <v>0</v>
      </c>
      <c r="HO362">
        <v>0</v>
      </c>
      <c r="HP362">
        <v>0</v>
      </c>
      <c r="HQ362">
        <v>0</v>
      </c>
      <c r="HR362">
        <v>0</v>
      </c>
      <c r="HS362">
        <v>0</v>
      </c>
      <c r="HT362">
        <v>0</v>
      </c>
      <c r="HW362">
        <v>0</v>
      </c>
      <c r="HX362">
        <v>0</v>
      </c>
      <c r="HY362">
        <v>0</v>
      </c>
      <c r="HZ362">
        <v>0</v>
      </c>
      <c r="IA362">
        <v>3930.6</v>
      </c>
      <c r="IB362">
        <v>3632.9</v>
      </c>
      <c r="IC362">
        <v>3795.5</v>
      </c>
      <c r="ID362">
        <v>0</v>
      </c>
      <c r="IE362">
        <v>0</v>
      </c>
      <c r="IF362">
        <v>3548.5</v>
      </c>
      <c r="IG362">
        <v>3395.2</v>
      </c>
      <c r="IH362">
        <v>3395.4</v>
      </c>
      <c r="II362">
        <v>3302.3</v>
      </c>
      <c r="IJ362">
        <v>3172.8</v>
      </c>
      <c r="IK362">
        <v>0</v>
      </c>
      <c r="IL362">
        <v>0</v>
      </c>
      <c r="IM362">
        <v>0</v>
      </c>
      <c r="IN362">
        <v>0</v>
      </c>
      <c r="IO362">
        <v>123.4</v>
      </c>
      <c r="IP362">
        <v>405.2</v>
      </c>
      <c r="IQ362">
        <v>418.7</v>
      </c>
      <c r="IR362">
        <v>0</v>
      </c>
      <c r="IS362">
        <v>0</v>
      </c>
      <c r="IT362">
        <v>0</v>
      </c>
      <c r="IU362">
        <v>0</v>
      </c>
      <c r="IV362">
        <v>396</v>
      </c>
      <c r="IW362">
        <v>0</v>
      </c>
      <c r="IX362">
        <v>0</v>
      </c>
      <c r="IZ362">
        <v>0</v>
      </c>
      <c r="JA362">
        <v>65.5</v>
      </c>
      <c r="JB362">
        <v>443.5</v>
      </c>
      <c r="JC362">
        <v>0</v>
      </c>
      <c r="JD362">
        <v>0</v>
      </c>
      <c r="JE362">
        <v>0</v>
      </c>
      <c r="JF362">
        <v>0</v>
      </c>
      <c r="JG362">
        <v>0</v>
      </c>
      <c r="JH362">
        <v>0</v>
      </c>
      <c r="JI362">
        <v>0</v>
      </c>
      <c r="JJ362">
        <v>0</v>
      </c>
      <c r="JK362">
        <v>0</v>
      </c>
      <c r="JL362">
        <v>0</v>
      </c>
      <c r="JM362">
        <v>0</v>
      </c>
      <c r="JN362">
        <v>0</v>
      </c>
      <c r="JO362">
        <v>0</v>
      </c>
      <c r="JP362">
        <v>0</v>
      </c>
      <c r="JQ362">
        <v>0</v>
      </c>
      <c r="JR362">
        <v>0</v>
      </c>
      <c r="JS362">
        <v>0</v>
      </c>
      <c r="JT362">
        <v>0</v>
      </c>
      <c r="JU362">
        <v>0</v>
      </c>
      <c r="JV362">
        <v>0</v>
      </c>
      <c r="JW362">
        <v>0</v>
      </c>
      <c r="JX362">
        <v>0</v>
      </c>
      <c r="JY362">
        <v>0</v>
      </c>
      <c r="JZ362">
        <v>0</v>
      </c>
      <c r="KA362">
        <v>0</v>
      </c>
      <c r="KB362">
        <v>0</v>
      </c>
      <c r="KC362">
        <v>0</v>
      </c>
      <c r="KD362">
        <v>0</v>
      </c>
      <c r="KE362">
        <v>0</v>
      </c>
      <c r="KF362">
        <v>0</v>
      </c>
      <c r="KI362">
        <v>344.6</v>
      </c>
      <c r="KJ362">
        <v>350.8</v>
      </c>
      <c r="KK362">
        <v>22.1</v>
      </c>
      <c r="KL362">
        <v>379.3</v>
      </c>
      <c r="KM362">
        <v>241.4</v>
      </c>
      <c r="KN362">
        <v>0</v>
      </c>
      <c r="KO362">
        <v>0</v>
      </c>
      <c r="KP362">
        <v>57.3</v>
      </c>
      <c r="KQ362">
        <v>224.4</v>
      </c>
      <c r="KR362">
        <v>338.3</v>
      </c>
      <c r="KS362">
        <v>215.8</v>
      </c>
      <c r="KT362">
        <v>40.700000000000003</v>
      </c>
      <c r="KW362">
        <v>2154.5</v>
      </c>
      <c r="KX362">
        <v>1255.7</v>
      </c>
      <c r="KY362">
        <v>1630.1</v>
      </c>
      <c r="KZ362">
        <v>1246.9000000000001</v>
      </c>
      <c r="LB362">
        <v>78.099999999999994</v>
      </c>
      <c r="LC362">
        <v>77.7</v>
      </c>
    </row>
    <row r="363" spans="1:315" ht="18" thickBot="1">
      <c r="A363" s="245"/>
      <c r="B363" s="245"/>
      <c r="C363" s="230" t="s">
        <v>680</v>
      </c>
      <c r="D363" s="281"/>
      <c r="E363" s="443">
        <v>0</v>
      </c>
      <c r="F363" s="191">
        <v>0</v>
      </c>
      <c r="G363" s="427">
        <v>3413.8</v>
      </c>
      <c r="H363" s="155"/>
      <c r="I363">
        <v>735</v>
      </c>
      <c r="K363">
        <v>1973.1000000000001</v>
      </c>
      <c r="L363" s="4">
        <v>221.60000000000002</v>
      </c>
      <c r="M363" s="4">
        <v>54.9</v>
      </c>
      <c r="N363" s="4">
        <v>1989.7</v>
      </c>
      <c r="P363">
        <v>0</v>
      </c>
      <c r="Q363">
        <v>238.29999999999998</v>
      </c>
      <c r="R363">
        <v>0</v>
      </c>
      <c r="S363">
        <v>0</v>
      </c>
      <c r="T363">
        <v>368.5</v>
      </c>
      <c r="W363">
        <v>720.3</v>
      </c>
      <c r="X363">
        <v>1411.5</v>
      </c>
      <c r="Y363">
        <v>96.5</v>
      </c>
      <c r="AA363">
        <v>859.6</v>
      </c>
      <c r="AB363">
        <v>1577.6000000000001</v>
      </c>
      <c r="AE363">
        <v>1330</v>
      </c>
      <c r="AF363">
        <v>1025.5</v>
      </c>
      <c r="AH363">
        <v>509.9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1349.3</v>
      </c>
      <c r="AO363">
        <v>786.40000000000009</v>
      </c>
      <c r="AP363">
        <v>0</v>
      </c>
      <c r="AQ363">
        <v>68.3</v>
      </c>
      <c r="AR363">
        <v>234.9</v>
      </c>
      <c r="AS363">
        <v>600.40000000000009</v>
      </c>
      <c r="AU363">
        <v>985.69999999999993</v>
      </c>
      <c r="AW363">
        <v>792</v>
      </c>
      <c r="AX363">
        <v>1988.5</v>
      </c>
      <c r="AZ363">
        <v>763.5</v>
      </c>
      <c r="BA363">
        <v>0</v>
      </c>
      <c r="BB363">
        <v>0</v>
      </c>
      <c r="BC363">
        <v>1935.3</v>
      </c>
      <c r="BD363">
        <v>1006.5</v>
      </c>
      <c r="BE363">
        <v>0</v>
      </c>
      <c r="BF363">
        <v>0</v>
      </c>
      <c r="BG363">
        <v>0</v>
      </c>
      <c r="BH363">
        <v>1662.6</v>
      </c>
      <c r="BJ363">
        <v>0</v>
      </c>
      <c r="BK363">
        <v>0</v>
      </c>
      <c r="BL363">
        <v>1038.9000000000001</v>
      </c>
      <c r="BM363">
        <v>1101</v>
      </c>
      <c r="BO363">
        <v>1276.8000000000002</v>
      </c>
      <c r="BQ363">
        <v>0</v>
      </c>
      <c r="BR363">
        <v>270.7</v>
      </c>
      <c r="BS363">
        <v>230.5</v>
      </c>
      <c r="BT363">
        <v>472.3</v>
      </c>
      <c r="BU363">
        <v>537.29999999999995</v>
      </c>
      <c r="BV363">
        <v>346.3</v>
      </c>
      <c r="BW363">
        <v>386.2</v>
      </c>
      <c r="BX363">
        <v>767</v>
      </c>
      <c r="BY363">
        <v>757.2</v>
      </c>
      <c r="BZ363">
        <v>1037.2</v>
      </c>
      <c r="CA363">
        <v>1227.0999999999999</v>
      </c>
      <c r="CB363">
        <v>1232.0999999999999</v>
      </c>
      <c r="CC363">
        <v>1701.5</v>
      </c>
      <c r="CD363">
        <v>0</v>
      </c>
      <c r="CG363">
        <v>1385.3</v>
      </c>
      <c r="CJ363">
        <v>1630.2999999999997</v>
      </c>
      <c r="CM363">
        <v>1184.2</v>
      </c>
      <c r="CO363">
        <v>1248.0999999999999</v>
      </c>
      <c r="CQ363">
        <v>1435.3</v>
      </c>
      <c r="CR363">
        <v>798.2</v>
      </c>
      <c r="CS363">
        <v>923.8</v>
      </c>
      <c r="CT363">
        <v>0</v>
      </c>
      <c r="CU363">
        <v>0</v>
      </c>
      <c r="CV363">
        <v>0</v>
      </c>
      <c r="CW363">
        <v>0</v>
      </c>
      <c r="CX363">
        <v>163.69999999999999</v>
      </c>
      <c r="CY363">
        <v>0</v>
      </c>
      <c r="CZ363">
        <v>0</v>
      </c>
      <c r="DA363">
        <v>0</v>
      </c>
      <c r="DB363">
        <v>0</v>
      </c>
      <c r="DC363">
        <v>0</v>
      </c>
      <c r="DD363">
        <v>0</v>
      </c>
      <c r="DE363">
        <v>0</v>
      </c>
      <c r="DI363">
        <v>0</v>
      </c>
      <c r="EC363">
        <v>0</v>
      </c>
      <c r="ED363">
        <v>0</v>
      </c>
      <c r="EE363">
        <v>0</v>
      </c>
      <c r="EF363">
        <v>0</v>
      </c>
      <c r="EG363">
        <v>0</v>
      </c>
      <c r="EH363">
        <v>0</v>
      </c>
      <c r="EI363">
        <v>0</v>
      </c>
      <c r="EJ363">
        <v>0</v>
      </c>
      <c r="EM363">
        <v>0</v>
      </c>
      <c r="EN363">
        <v>0</v>
      </c>
      <c r="EO363">
        <v>0</v>
      </c>
      <c r="EP363">
        <v>0</v>
      </c>
      <c r="EQ363">
        <v>0</v>
      </c>
      <c r="ER363">
        <v>0</v>
      </c>
      <c r="ES363">
        <v>0</v>
      </c>
      <c r="ET363">
        <v>0</v>
      </c>
      <c r="EW363">
        <v>0</v>
      </c>
      <c r="EX363">
        <v>0</v>
      </c>
      <c r="EY363">
        <v>0</v>
      </c>
      <c r="EZ363">
        <v>0</v>
      </c>
      <c r="FA363">
        <v>0</v>
      </c>
      <c r="FB363">
        <v>0</v>
      </c>
      <c r="FC363">
        <v>0</v>
      </c>
      <c r="FD363">
        <v>0</v>
      </c>
      <c r="FG363" t="e">
        <v>#N/A</v>
      </c>
      <c r="FI363" t="e">
        <v>#N/A</v>
      </c>
      <c r="FK363" t="e">
        <v>#N/A</v>
      </c>
      <c r="FM363" t="e">
        <v>#N/A</v>
      </c>
      <c r="FO363" t="e">
        <v>#N/A</v>
      </c>
      <c r="FQ363" t="e">
        <v>#N/A</v>
      </c>
      <c r="FS363" t="e">
        <v>#N/A</v>
      </c>
      <c r="FU363" t="e">
        <v>#N/A</v>
      </c>
      <c r="FW363" t="e">
        <v>#N/A</v>
      </c>
      <c r="FY363" t="e">
        <v>#N/A</v>
      </c>
      <c r="GA363" t="e">
        <v>#N/A</v>
      </c>
      <c r="GC363" t="e">
        <v>#N/A</v>
      </c>
      <c r="GE363" t="e">
        <v>#N/A</v>
      </c>
      <c r="GG363" t="e">
        <v>#N/A</v>
      </c>
      <c r="GI363" t="e">
        <v>#N/A</v>
      </c>
      <c r="GK363" t="e">
        <v>#N/A</v>
      </c>
      <c r="GM363" t="e">
        <v>#N/A</v>
      </c>
      <c r="GO363" t="e">
        <v>#N/A</v>
      </c>
      <c r="GQ363" t="e">
        <v>#N/A</v>
      </c>
      <c r="GS363" t="e">
        <v>#N/A</v>
      </c>
      <c r="GU363" t="e">
        <v>#N/A</v>
      </c>
      <c r="GW363" t="e">
        <v>#N/A</v>
      </c>
      <c r="GY363" t="e">
        <v>#N/A</v>
      </c>
      <c r="HA363" t="e">
        <v>#N/A</v>
      </c>
      <c r="HC363">
        <v>0</v>
      </c>
      <c r="HD363">
        <v>0</v>
      </c>
      <c r="HE363">
        <v>0</v>
      </c>
      <c r="HF363">
        <v>0</v>
      </c>
      <c r="HG363">
        <v>0</v>
      </c>
      <c r="HH363">
        <v>0</v>
      </c>
      <c r="HI363">
        <v>0</v>
      </c>
      <c r="HJ363">
        <v>0</v>
      </c>
      <c r="HM363">
        <v>0</v>
      </c>
      <c r="HN363">
        <v>0</v>
      </c>
      <c r="HO363">
        <v>0</v>
      </c>
      <c r="HP363">
        <v>0</v>
      </c>
      <c r="HQ363">
        <v>0</v>
      </c>
      <c r="HR363">
        <v>0</v>
      </c>
      <c r="HS363">
        <v>0</v>
      </c>
      <c r="HT363">
        <v>0</v>
      </c>
      <c r="HW363">
        <v>0</v>
      </c>
      <c r="HX363">
        <v>0</v>
      </c>
      <c r="HY363">
        <v>0</v>
      </c>
      <c r="HZ363">
        <v>0</v>
      </c>
      <c r="IA363">
        <v>3930.6</v>
      </c>
      <c r="IB363">
        <v>3632.9</v>
      </c>
      <c r="IC363">
        <v>3795.5</v>
      </c>
      <c r="ID363">
        <v>0</v>
      </c>
      <c r="IE363">
        <v>0</v>
      </c>
      <c r="IF363">
        <v>3548.5</v>
      </c>
      <c r="IG363">
        <v>3395.2</v>
      </c>
      <c r="IH363">
        <v>3395.4</v>
      </c>
      <c r="II363">
        <v>3302.3</v>
      </c>
      <c r="IJ363">
        <v>3172.8</v>
      </c>
      <c r="IK363">
        <v>0</v>
      </c>
      <c r="IL363">
        <v>0</v>
      </c>
      <c r="IM363">
        <v>0</v>
      </c>
      <c r="IN363">
        <v>0</v>
      </c>
      <c r="IO363">
        <v>123.4</v>
      </c>
      <c r="IP363">
        <v>405.2</v>
      </c>
      <c r="IQ363">
        <v>418.7</v>
      </c>
      <c r="IR363">
        <v>0</v>
      </c>
      <c r="IS363">
        <v>0</v>
      </c>
      <c r="IT363">
        <v>0</v>
      </c>
      <c r="IU363">
        <v>0</v>
      </c>
      <c r="IV363">
        <v>396</v>
      </c>
      <c r="IW363">
        <v>0</v>
      </c>
      <c r="IX363">
        <v>0</v>
      </c>
      <c r="IZ363">
        <v>0</v>
      </c>
      <c r="JA363">
        <v>65.5</v>
      </c>
      <c r="JB363">
        <v>443.5</v>
      </c>
      <c r="JC363">
        <v>0</v>
      </c>
      <c r="JD363">
        <v>0</v>
      </c>
      <c r="JE363">
        <v>0</v>
      </c>
      <c r="JF363">
        <v>0</v>
      </c>
      <c r="JG363">
        <v>0</v>
      </c>
      <c r="JH363">
        <v>0</v>
      </c>
      <c r="JI363">
        <v>0</v>
      </c>
      <c r="JJ363">
        <v>0</v>
      </c>
      <c r="JK363">
        <v>0</v>
      </c>
      <c r="JL363">
        <v>0</v>
      </c>
      <c r="JM363">
        <v>0</v>
      </c>
      <c r="JN363">
        <v>0</v>
      </c>
      <c r="JO363">
        <v>0</v>
      </c>
      <c r="JP363">
        <v>0</v>
      </c>
      <c r="JQ363">
        <v>0</v>
      </c>
      <c r="JR363">
        <v>0</v>
      </c>
      <c r="JS363">
        <v>0</v>
      </c>
      <c r="JT363">
        <v>0</v>
      </c>
      <c r="JU363">
        <v>0</v>
      </c>
      <c r="JV363">
        <v>0</v>
      </c>
      <c r="JW363">
        <v>0</v>
      </c>
      <c r="JX363">
        <v>0</v>
      </c>
      <c r="JY363">
        <v>0</v>
      </c>
      <c r="JZ363">
        <v>0</v>
      </c>
      <c r="KA363">
        <v>0</v>
      </c>
      <c r="KB363">
        <v>0</v>
      </c>
      <c r="KC363">
        <v>0</v>
      </c>
      <c r="KD363">
        <v>0</v>
      </c>
      <c r="KE363">
        <v>0</v>
      </c>
      <c r="KF363">
        <v>0</v>
      </c>
      <c r="KI363">
        <v>344.6</v>
      </c>
      <c r="KJ363">
        <v>350.8</v>
      </c>
      <c r="KK363">
        <v>22.1</v>
      </c>
      <c r="KL363">
        <v>379.3</v>
      </c>
      <c r="KM363">
        <v>241.4</v>
      </c>
      <c r="KN363">
        <v>0</v>
      </c>
      <c r="KO363">
        <v>0</v>
      </c>
      <c r="KP363">
        <v>57.3</v>
      </c>
      <c r="KQ363">
        <v>224.4</v>
      </c>
      <c r="KR363">
        <v>338.3</v>
      </c>
      <c r="KS363">
        <v>215.8</v>
      </c>
      <c r="KT363">
        <v>40.700000000000003</v>
      </c>
      <c r="KW363">
        <v>2154.5</v>
      </c>
      <c r="KX363">
        <v>1255.7</v>
      </c>
      <c r="KY363">
        <v>1630.1</v>
      </c>
      <c r="KZ363">
        <v>1246.9000000000001</v>
      </c>
      <c r="LB363">
        <v>78.099999999999994</v>
      </c>
      <c r="LC363">
        <v>77.7</v>
      </c>
    </row>
    <row r="364" spans="1:315" ht="18" thickBot="1">
      <c r="A364" s="245"/>
      <c r="B364" s="245"/>
      <c r="C364" s="230" t="s">
        <v>681</v>
      </c>
      <c r="D364" s="281"/>
      <c r="E364" s="443">
        <v>0</v>
      </c>
      <c r="F364" s="191">
        <v>0</v>
      </c>
      <c r="G364" s="427">
        <v>3413.8</v>
      </c>
      <c r="H364" s="155"/>
      <c r="I364">
        <v>735</v>
      </c>
      <c r="K364">
        <v>1973.1000000000001</v>
      </c>
      <c r="L364" s="4">
        <v>221.60000000000002</v>
      </c>
      <c r="M364" s="4">
        <v>54.9</v>
      </c>
      <c r="N364" s="4">
        <v>1989.7</v>
      </c>
      <c r="P364">
        <v>0</v>
      </c>
      <c r="Q364">
        <v>238.29999999999998</v>
      </c>
      <c r="R364">
        <v>0</v>
      </c>
      <c r="S364">
        <v>0</v>
      </c>
      <c r="T364">
        <v>368.5</v>
      </c>
      <c r="W364">
        <v>720.3</v>
      </c>
      <c r="X364">
        <v>1411.5</v>
      </c>
      <c r="Y364">
        <v>96.5</v>
      </c>
      <c r="AA364">
        <v>859.6</v>
      </c>
      <c r="AB364">
        <v>1577.6000000000001</v>
      </c>
      <c r="AE364">
        <v>1330</v>
      </c>
      <c r="AF364">
        <v>1025.5</v>
      </c>
      <c r="AH364">
        <v>509.9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1349.3</v>
      </c>
      <c r="AO364">
        <v>786.40000000000009</v>
      </c>
      <c r="AP364">
        <v>0</v>
      </c>
      <c r="AQ364">
        <v>68.3</v>
      </c>
      <c r="AR364">
        <v>234.9</v>
      </c>
      <c r="AS364">
        <v>600.40000000000009</v>
      </c>
      <c r="AU364">
        <v>985.69999999999993</v>
      </c>
      <c r="AW364">
        <v>792</v>
      </c>
      <c r="AX364">
        <v>1988.5</v>
      </c>
      <c r="AZ364">
        <v>763.5</v>
      </c>
      <c r="BA364">
        <v>0</v>
      </c>
      <c r="BB364">
        <v>0</v>
      </c>
      <c r="BC364">
        <v>1935.3</v>
      </c>
      <c r="BD364">
        <v>1006.5</v>
      </c>
      <c r="BE364">
        <v>0</v>
      </c>
      <c r="BF364">
        <v>0</v>
      </c>
      <c r="BG364">
        <v>0</v>
      </c>
      <c r="BH364">
        <v>1662.6</v>
      </c>
      <c r="BJ364">
        <v>0</v>
      </c>
      <c r="BK364">
        <v>0</v>
      </c>
      <c r="BL364">
        <v>1038.9000000000001</v>
      </c>
      <c r="BM364">
        <v>1101</v>
      </c>
      <c r="BO364">
        <v>1276.8000000000002</v>
      </c>
      <c r="BQ364">
        <v>0</v>
      </c>
      <c r="BR364">
        <v>270.7</v>
      </c>
      <c r="BS364">
        <v>230.5</v>
      </c>
      <c r="BT364">
        <v>472.3</v>
      </c>
      <c r="BU364">
        <v>537.29999999999995</v>
      </c>
      <c r="BV364">
        <v>346.3</v>
      </c>
      <c r="BW364">
        <v>386.2</v>
      </c>
      <c r="BX364">
        <v>767</v>
      </c>
      <c r="BY364">
        <v>757.2</v>
      </c>
      <c r="BZ364">
        <v>1037.2</v>
      </c>
      <c r="CA364">
        <v>1227.0999999999999</v>
      </c>
      <c r="CB364">
        <v>1232.0999999999999</v>
      </c>
      <c r="CC364">
        <v>1701.5</v>
      </c>
      <c r="CD364">
        <v>0</v>
      </c>
      <c r="CG364">
        <v>1385.3</v>
      </c>
      <c r="CJ364">
        <v>1630.2999999999997</v>
      </c>
      <c r="CM364">
        <v>1184.2</v>
      </c>
      <c r="CO364">
        <v>1248.0999999999999</v>
      </c>
      <c r="CQ364">
        <v>1435.3</v>
      </c>
      <c r="CR364">
        <v>798.2</v>
      </c>
      <c r="CS364">
        <v>923.8</v>
      </c>
      <c r="CT364">
        <v>0</v>
      </c>
      <c r="CU364">
        <v>0</v>
      </c>
      <c r="CV364">
        <v>0</v>
      </c>
      <c r="CW364">
        <v>0</v>
      </c>
      <c r="CX364">
        <v>163.69999999999999</v>
      </c>
      <c r="CY364">
        <v>0</v>
      </c>
      <c r="CZ364">
        <v>0</v>
      </c>
      <c r="DA364">
        <v>0</v>
      </c>
      <c r="DB364">
        <v>0</v>
      </c>
      <c r="DC364">
        <v>0</v>
      </c>
      <c r="DD364">
        <v>0</v>
      </c>
      <c r="DE364">
        <v>0</v>
      </c>
      <c r="DI364">
        <v>0</v>
      </c>
      <c r="EC364">
        <v>0</v>
      </c>
      <c r="ED364">
        <v>0</v>
      </c>
      <c r="EE364">
        <v>0</v>
      </c>
      <c r="EF364">
        <v>0</v>
      </c>
      <c r="EG364">
        <v>0</v>
      </c>
      <c r="EH364">
        <v>0</v>
      </c>
      <c r="EI364">
        <v>0</v>
      </c>
      <c r="EJ364">
        <v>0</v>
      </c>
      <c r="EM364">
        <v>0</v>
      </c>
      <c r="EN364">
        <v>0</v>
      </c>
      <c r="EO364">
        <v>0</v>
      </c>
      <c r="EP364">
        <v>0</v>
      </c>
      <c r="EQ364">
        <v>0</v>
      </c>
      <c r="ER364">
        <v>0</v>
      </c>
      <c r="ES364">
        <v>0</v>
      </c>
      <c r="ET364">
        <v>0</v>
      </c>
      <c r="EW364">
        <v>0</v>
      </c>
      <c r="EX364">
        <v>0</v>
      </c>
      <c r="EY364">
        <v>0</v>
      </c>
      <c r="EZ364">
        <v>0</v>
      </c>
      <c r="FA364">
        <v>0</v>
      </c>
      <c r="FB364">
        <v>0</v>
      </c>
      <c r="FC364">
        <v>0</v>
      </c>
      <c r="FD364">
        <v>0</v>
      </c>
      <c r="FG364" t="e">
        <v>#N/A</v>
      </c>
      <c r="FI364" t="e">
        <v>#N/A</v>
      </c>
      <c r="FK364" t="e">
        <v>#N/A</v>
      </c>
      <c r="FM364" t="e">
        <v>#N/A</v>
      </c>
      <c r="FO364" t="e">
        <v>#N/A</v>
      </c>
      <c r="FQ364" t="e">
        <v>#N/A</v>
      </c>
      <c r="FS364" t="e">
        <v>#N/A</v>
      </c>
      <c r="FU364" t="e">
        <v>#N/A</v>
      </c>
      <c r="FW364" t="e">
        <v>#N/A</v>
      </c>
      <c r="FY364" t="e">
        <v>#N/A</v>
      </c>
      <c r="GA364" t="e">
        <v>#N/A</v>
      </c>
      <c r="GC364" t="e">
        <v>#N/A</v>
      </c>
      <c r="GE364" t="e">
        <v>#N/A</v>
      </c>
      <c r="GG364" t="e">
        <v>#N/A</v>
      </c>
      <c r="GI364" t="e">
        <v>#N/A</v>
      </c>
      <c r="GK364" t="e">
        <v>#N/A</v>
      </c>
      <c r="GM364" t="e">
        <v>#N/A</v>
      </c>
      <c r="GO364" t="e">
        <v>#N/A</v>
      </c>
      <c r="GQ364" t="e">
        <v>#N/A</v>
      </c>
      <c r="GS364" t="e">
        <v>#N/A</v>
      </c>
      <c r="GU364" t="e">
        <v>#N/A</v>
      </c>
      <c r="GW364" t="e">
        <v>#N/A</v>
      </c>
      <c r="GY364" t="e">
        <v>#N/A</v>
      </c>
      <c r="HA364" t="e">
        <v>#N/A</v>
      </c>
      <c r="HC364">
        <v>0</v>
      </c>
      <c r="HD364">
        <v>0</v>
      </c>
      <c r="HE364">
        <v>0</v>
      </c>
      <c r="HF364">
        <v>0</v>
      </c>
      <c r="HG364">
        <v>0</v>
      </c>
      <c r="HH364">
        <v>0</v>
      </c>
      <c r="HI364">
        <v>0</v>
      </c>
      <c r="HJ364">
        <v>0</v>
      </c>
      <c r="HM364">
        <v>0</v>
      </c>
      <c r="HN364">
        <v>0</v>
      </c>
      <c r="HO364">
        <v>0</v>
      </c>
      <c r="HP364">
        <v>0</v>
      </c>
      <c r="HQ364">
        <v>0</v>
      </c>
      <c r="HR364">
        <v>0</v>
      </c>
      <c r="HS364">
        <v>0</v>
      </c>
      <c r="HT364">
        <v>0</v>
      </c>
      <c r="HW364">
        <v>0</v>
      </c>
      <c r="HX364">
        <v>0</v>
      </c>
      <c r="HY364">
        <v>0</v>
      </c>
      <c r="HZ364">
        <v>0</v>
      </c>
      <c r="IA364">
        <v>3930.6</v>
      </c>
      <c r="IB364">
        <v>3632.9</v>
      </c>
      <c r="IC364">
        <v>3795.5</v>
      </c>
      <c r="ID364">
        <v>0</v>
      </c>
      <c r="IE364">
        <v>0</v>
      </c>
      <c r="IF364">
        <v>3548.5</v>
      </c>
      <c r="IG364">
        <v>3395.2</v>
      </c>
      <c r="IH364">
        <v>3395.4</v>
      </c>
      <c r="II364">
        <v>3302.3</v>
      </c>
      <c r="IJ364">
        <v>3172.8</v>
      </c>
      <c r="IK364">
        <v>0</v>
      </c>
      <c r="IL364">
        <v>0</v>
      </c>
      <c r="IM364">
        <v>0</v>
      </c>
      <c r="IN364">
        <v>0</v>
      </c>
      <c r="IO364">
        <v>123.4</v>
      </c>
      <c r="IP364">
        <v>405.2</v>
      </c>
      <c r="IQ364">
        <v>418.7</v>
      </c>
      <c r="IR364">
        <v>0</v>
      </c>
      <c r="IS364">
        <v>0</v>
      </c>
      <c r="IT364">
        <v>0</v>
      </c>
      <c r="IU364">
        <v>0</v>
      </c>
      <c r="IV364">
        <v>396</v>
      </c>
      <c r="IW364">
        <v>0</v>
      </c>
      <c r="IX364">
        <v>0</v>
      </c>
      <c r="IZ364">
        <v>0</v>
      </c>
      <c r="JA364">
        <v>65.5</v>
      </c>
      <c r="JB364">
        <v>443.5</v>
      </c>
      <c r="JC364">
        <v>0</v>
      </c>
      <c r="JD364">
        <v>0</v>
      </c>
      <c r="JE364">
        <v>0</v>
      </c>
      <c r="JF364">
        <v>0</v>
      </c>
      <c r="JG364">
        <v>0</v>
      </c>
      <c r="JH364">
        <v>0</v>
      </c>
      <c r="JI364">
        <v>0</v>
      </c>
      <c r="JJ364">
        <v>0</v>
      </c>
      <c r="JK364">
        <v>0</v>
      </c>
      <c r="JL364">
        <v>0</v>
      </c>
      <c r="JM364">
        <v>0</v>
      </c>
      <c r="JN364">
        <v>0</v>
      </c>
      <c r="JO364">
        <v>0</v>
      </c>
      <c r="JP364">
        <v>0</v>
      </c>
      <c r="JQ364">
        <v>0</v>
      </c>
      <c r="JR364">
        <v>0</v>
      </c>
      <c r="JS364">
        <v>0</v>
      </c>
      <c r="JT364">
        <v>0</v>
      </c>
      <c r="JU364">
        <v>0</v>
      </c>
      <c r="JV364">
        <v>0</v>
      </c>
      <c r="JW364">
        <v>0</v>
      </c>
      <c r="JX364">
        <v>0</v>
      </c>
      <c r="JY364">
        <v>0</v>
      </c>
      <c r="JZ364">
        <v>0</v>
      </c>
      <c r="KA364">
        <v>0</v>
      </c>
      <c r="KB364">
        <v>0</v>
      </c>
      <c r="KC364">
        <v>0</v>
      </c>
      <c r="KD364">
        <v>0</v>
      </c>
      <c r="KE364">
        <v>0</v>
      </c>
      <c r="KF364">
        <v>0</v>
      </c>
      <c r="KI364">
        <v>344.6</v>
      </c>
      <c r="KJ364">
        <v>350.8</v>
      </c>
      <c r="KK364">
        <v>22.1</v>
      </c>
      <c r="KL364">
        <v>379.3</v>
      </c>
      <c r="KM364">
        <v>241.4</v>
      </c>
      <c r="KN364">
        <v>0</v>
      </c>
      <c r="KO364">
        <v>0</v>
      </c>
      <c r="KP364">
        <v>57.3</v>
      </c>
      <c r="KQ364">
        <v>224.4</v>
      </c>
      <c r="KR364">
        <v>338.3</v>
      </c>
      <c r="KS364">
        <v>215.8</v>
      </c>
      <c r="KT364">
        <v>40.700000000000003</v>
      </c>
      <c r="KW364">
        <v>2154.5</v>
      </c>
      <c r="KX364">
        <v>1255.7</v>
      </c>
      <c r="KY364">
        <v>1630.1</v>
      </c>
      <c r="KZ364">
        <v>1246.9000000000001</v>
      </c>
      <c r="LB364">
        <v>78.099999999999994</v>
      </c>
      <c r="LC364">
        <v>77.7</v>
      </c>
    </row>
    <row r="365" spans="1:315" ht="18" thickBot="1">
      <c r="A365" s="245"/>
      <c r="B365" s="245"/>
      <c r="C365" s="230" t="s">
        <v>682</v>
      </c>
      <c r="D365" s="281"/>
      <c r="E365" s="443">
        <v>0</v>
      </c>
      <c r="F365" s="191">
        <v>0</v>
      </c>
      <c r="G365" s="427">
        <v>3413.8</v>
      </c>
      <c r="H365" s="155"/>
      <c r="I365">
        <v>735</v>
      </c>
      <c r="K365">
        <v>1973.1000000000001</v>
      </c>
      <c r="L365" s="4">
        <v>221.60000000000002</v>
      </c>
      <c r="M365" s="4">
        <v>54.9</v>
      </c>
      <c r="N365" s="4">
        <v>1989.7</v>
      </c>
      <c r="P365">
        <v>0</v>
      </c>
      <c r="Q365">
        <v>238.29999999999998</v>
      </c>
      <c r="R365">
        <v>0</v>
      </c>
      <c r="S365">
        <v>0</v>
      </c>
      <c r="T365">
        <v>368.5</v>
      </c>
      <c r="W365">
        <v>720.3</v>
      </c>
      <c r="X365">
        <v>1411.5</v>
      </c>
      <c r="Y365">
        <v>96.5</v>
      </c>
      <c r="AA365">
        <v>859.6</v>
      </c>
      <c r="AB365">
        <v>1577.6000000000001</v>
      </c>
      <c r="AE365">
        <v>1330</v>
      </c>
      <c r="AF365">
        <v>1025.5</v>
      </c>
      <c r="AH365">
        <v>509.9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1349.3</v>
      </c>
      <c r="AO365">
        <v>786.40000000000009</v>
      </c>
      <c r="AP365">
        <v>0</v>
      </c>
      <c r="AQ365">
        <v>68.3</v>
      </c>
      <c r="AR365">
        <v>234.9</v>
      </c>
      <c r="AS365">
        <v>600.40000000000009</v>
      </c>
      <c r="AU365">
        <v>985.69999999999993</v>
      </c>
      <c r="AW365">
        <v>792</v>
      </c>
      <c r="AX365">
        <v>1988.5</v>
      </c>
      <c r="AZ365">
        <v>763.5</v>
      </c>
      <c r="BA365">
        <v>0</v>
      </c>
      <c r="BB365">
        <v>0</v>
      </c>
      <c r="BC365">
        <v>1935.3</v>
      </c>
      <c r="BD365">
        <v>1006.5</v>
      </c>
      <c r="BE365">
        <v>0</v>
      </c>
      <c r="BF365">
        <v>0</v>
      </c>
      <c r="BG365">
        <v>0</v>
      </c>
      <c r="BH365">
        <v>1662.6</v>
      </c>
      <c r="BJ365">
        <v>0</v>
      </c>
      <c r="BK365">
        <v>0</v>
      </c>
      <c r="BL365">
        <v>1038.9000000000001</v>
      </c>
      <c r="BM365">
        <v>1101</v>
      </c>
      <c r="BO365">
        <v>1276.8000000000002</v>
      </c>
      <c r="BQ365">
        <v>0</v>
      </c>
      <c r="BR365">
        <v>270.7</v>
      </c>
      <c r="BS365">
        <v>230.5</v>
      </c>
      <c r="BT365">
        <v>472.3</v>
      </c>
      <c r="BU365">
        <v>537.29999999999995</v>
      </c>
      <c r="BV365">
        <v>346.3</v>
      </c>
      <c r="BW365">
        <v>386.2</v>
      </c>
      <c r="BX365">
        <v>767</v>
      </c>
      <c r="BY365">
        <v>757.2</v>
      </c>
      <c r="BZ365">
        <v>1037.2</v>
      </c>
      <c r="CA365">
        <v>1227.0999999999999</v>
      </c>
      <c r="CB365">
        <v>1232.0999999999999</v>
      </c>
      <c r="CC365">
        <v>1701.5</v>
      </c>
      <c r="CD365">
        <v>0</v>
      </c>
      <c r="CG365">
        <v>1385.3</v>
      </c>
      <c r="CJ365">
        <v>1630.2999999999997</v>
      </c>
      <c r="CM365">
        <v>1184.2</v>
      </c>
      <c r="CO365">
        <v>1248.0999999999999</v>
      </c>
      <c r="CQ365">
        <v>1435.3</v>
      </c>
      <c r="CR365">
        <v>798.2</v>
      </c>
      <c r="CS365">
        <v>923.8</v>
      </c>
      <c r="CT365">
        <v>0</v>
      </c>
      <c r="CU365">
        <v>0</v>
      </c>
      <c r="CV365">
        <v>0</v>
      </c>
      <c r="CW365">
        <v>0</v>
      </c>
      <c r="CX365">
        <v>163.69999999999999</v>
      </c>
      <c r="CY365">
        <v>0</v>
      </c>
      <c r="CZ365">
        <v>0</v>
      </c>
      <c r="DA365">
        <v>0</v>
      </c>
      <c r="DB365">
        <v>0</v>
      </c>
      <c r="DC365">
        <v>0</v>
      </c>
      <c r="DD365">
        <v>0</v>
      </c>
      <c r="DE365">
        <v>0</v>
      </c>
      <c r="DI365">
        <v>0</v>
      </c>
      <c r="EC365">
        <v>0</v>
      </c>
      <c r="ED365">
        <v>0</v>
      </c>
      <c r="EE365">
        <v>0</v>
      </c>
      <c r="EF365">
        <v>0</v>
      </c>
      <c r="EG365">
        <v>0</v>
      </c>
      <c r="EH365">
        <v>0</v>
      </c>
      <c r="EI365">
        <v>0</v>
      </c>
      <c r="EJ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0</v>
      </c>
      <c r="ES365">
        <v>0</v>
      </c>
      <c r="ET365">
        <v>0</v>
      </c>
      <c r="EW365">
        <v>0</v>
      </c>
      <c r="EX365">
        <v>0</v>
      </c>
      <c r="EY365">
        <v>0</v>
      </c>
      <c r="EZ365">
        <v>0</v>
      </c>
      <c r="FA365">
        <v>0</v>
      </c>
      <c r="FB365">
        <v>0</v>
      </c>
      <c r="FC365">
        <v>0</v>
      </c>
      <c r="FD365">
        <v>0</v>
      </c>
      <c r="FG365" t="e">
        <v>#N/A</v>
      </c>
      <c r="FI365" t="e">
        <v>#N/A</v>
      </c>
      <c r="FK365" t="e">
        <v>#N/A</v>
      </c>
      <c r="FM365" t="e">
        <v>#N/A</v>
      </c>
      <c r="FO365" t="e">
        <v>#N/A</v>
      </c>
      <c r="FQ365" t="e">
        <v>#N/A</v>
      </c>
      <c r="FS365" t="e">
        <v>#N/A</v>
      </c>
      <c r="FU365" t="e">
        <v>#N/A</v>
      </c>
      <c r="FW365" t="e">
        <v>#N/A</v>
      </c>
      <c r="FY365" t="e">
        <v>#N/A</v>
      </c>
      <c r="GA365" t="e">
        <v>#N/A</v>
      </c>
      <c r="GC365" t="e">
        <v>#N/A</v>
      </c>
      <c r="GE365" t="e">
        <v>#N/A</v>
      </c>
      <c r="GG365" t="e">
        <v>#N/A</v>
      </c>
      <c r="GI365" t="e">
        <v>#N/A</v>
      </c>
      <c r="GK365" t="e">
        <v>#N/A</v>
      </c>
      <c r="GM365" t="e">
        <v>#N/A</v>
      </c>
      <c r="GO365" t="e">
        <v>#N/A</v>
      </c>
      <c r="GQ365" t="e">
        <v>#N/A</v>
      </c>
      <c r="GS365" t="e">
        <v>#N/A</v>
      </c>
      <c r="GU365" t="e">
        <v>#N/A</v>
      </c>
      <c r="GW365" t="e">
        <v>#N/A</v>
      </c>
      <c r="GY365" t="e">
        <v>#N/A</v>
      </c>
      <c r="HA365" t="e">
        <v>#N/A</v>
      </c>
      <c r="HC365">
        <v>0</v>
      </c>
      <c r="HD365">
        <v>0</v>
      </c>
      <c r="HE365">
        <v>0</v>
      </c>
      <c r="HF365">
        <v>0</v>
      </c>
      <c r="HG365">
        <v>0</v>
      </c>
      <c r="HH365">
        <v>0</v>
      </c>
      <c r="HI365">
        <v>0</v>
      </c>
      <c r="HJ365">
        <v>0</v>
      </c>
      <c r="HM365">
        <v>0</v>
      </c>
      <c r="HN365">
        <v>0</v>
      </c>
      <c r="HO365">
        <v>0</v>
      </c>
      <c r="HP365">
        <v>0</v>
      </c>
      <c r="HQ365">
        <v>0</v>
      </c>
      <c r="HR365">
        <v>0</v>
      </c>
      <c r="HS365">
        <v>0</v>
      </c>
      <c r="HT365">
        <v>0</v>
      </c>
      <c r="HW365">
        <v>0</v>
      </c>
      <c r="HX365">
        <v>0</v>
      </c>
      <c r="HY365">
        <v>0</v>
      </c>
      <c r="HZ365">
        <v>0</v>
      </c>
      <c r="IA365">
        <v>3930.6</v>
      </c>
      <c r="IB365">
        <v>3632.9</v>
      </c>
      <c r="IC365">
        <v>3795.5</v>
      </c>
      <c r="ID365">
        <v>0</v>
      </c>
      <c r="IE365">
        <v>0</v>
      </c>
      <c r="IF365">
        <v>3548.5</v>
      </c>
      <c r="IG365">
        <v>3395.2</v>
      </c>
      <c r="IH365">
        <v>3395.4</v>
      </c>
      <c r="II365">
        <v>3302.3</v>
      </c>
      <c r="IJ365">
        <v>3172.8</v>
      </c>
      <c r="IK365">
        <v>0</v>
      </c>
      <c r="IL365">
        <v>0</v>
      </c>
      <c r="IM365">
        <v>0</v>
      </c>
      <c r="IN365">
        <v>0</v>
      </c>
      <c r="IO365">
        <v>123.4</v>
      </c>
      <c r="IP365">
        <v>405.2</v>
      </c>
      <c r="IQ365">
        <v>418.7</v>
      </c>
      <c r="IR365">
        <v>0</v>
      </c>
      <c r="IS365">
        <v>0</v>
      </c>
      <c r="IT365">
        <v>0</v>
      </c>
      <c r="IU365">
        <v>0</v>
      </c>
      <c r="IV365">
        <v>396</v>
      </c>
      <c r="IW365">
        <v>0</v>
      </c>
      <c r="IX365">
        <v>0</v>
      </c>
      <c r="IZ365">
        <v>0</v>
      </c>
      <c r="JA365">
        <v>65.5</v>
      </c>
      <c r="JB365">
        <v>443.5</v>
      </c>
      <c r="JC365">
        <v>0</v>
      </c>
      <c r="JD365">
        <v>0</v>
      </c>
      <c r="JE365">
        <v>0</v>
      </c>
      <c r="JF365">
        <v>0</v>
      </c>
      <c r="JG365">
        <v>0</v>
      </c>
      <c r="JH365">
        <v>0</v>
      </c>
      <c r="JI365">
        <v>0</v>
      </c>
      <c r="JJ365">
        <v>0</v>
      </c>
      <c r="JK365">
        <v>0</v>
      </c>
      <c r="JL365">
        <v>0</v>
      </c>
      <c r="JM365">
        <v>0</v>
      </c>
      <c r="JN365">
        <v>0</v>
      </c>
      <c r="JO365">
        <v>0</v>
      </c>
      <c r="JP365">
        <v>0</v>
      </c>
      <c r="JQ365">
        <v>0</v>
      </c>
      <c r="JR365">
        <v>0</v>
      </c>
      <c r="JS365">
        <v>0</v>
      </c>
      <c r="JT365">
        <v>0</v>
      </c>
      <c r="JU365">
        <v>0</v>
      </c>
      <c r="JV365">
        <v>0</v>
      </c>
      <c r="JW365">
        <v>0</v>
      </c>
      <c r="JX365">
        <v>0</v>
      </c>
      <c r="JY365">
        <v>0</v>
      </c>
      <c r="JZ365">
        <v>0</v>
      </c>
      <c r="KA365">
        <v>0</v>
      </c>
      <c r="KB365">
        <v>0</v>
      </c>
      <c r="KC365">
        <v>0</v>
      </c>
      <c r="KD365">
        <v>0</v>
      </c>
      <c r="KE365">
        <v>0</v>
      </c>
      <c r="KF365">
        <v>0</v>
      </c>
      <c r="KI365">
        <v>344.6</v>
      </c>
      <c r="KJ365">
        <v>350.8</v>
      </c>
      <c r="KK365">
        <v>22.1</v>
      </c>
      <c r="KL365">
        <v>379.3</v>
      </c>
      <c r="KM365">
        <v>241.4</v>
      </c>
      <c r="KN365">
        <v>0</v>
      </c>
      <c r="KO365">
        <v>0</v>
      </c>
      <c r="KP365">
        <v>57.3</v>
      </c>
      <c r="KQ365">
        <v>224.4</v>
      </c>
      <c r="KR365">
        <v>338.3</v>
      </c>
      <c r="KS365">
        <v>215.8</v>
      </c>
      <c r="KT365">
        <v>40.700000000000003</v>
      </c>
      <c r="KW365">
        <v>2154.5</v>
      </c>
      <c r="KX365">
        <v>1255.7</v>
      </c>
      <c r="KY365">
        <v>1630.1</v>
      </c>
      <c r="KZ365">
        <v>1246.9000000000001</v>
      </c>
      <c r="LB365">
        <v>78.099999999999994</v>
      </c>
      <c r="LC365">
        <v>77.7</v>
      </c>
    </row>
    <row r="366" spans="1:315" ht="18" thickBot="1">
      <c r="A366" s="245"/>
      <c r="B366" s="245"/>
      <c r="C366" s="230" t="s">
        <v>683</v>
      </c>
      <c r="D366" s="281"/>
      <c r="E366" s="443">
        <v>0</v>
      </c>
      <c r="F366" s="191">
        <v>0</v>
      </c>
      <c r="G366" s="427">
        <v>3413.8</v>
      </c>
      <c r="H366" s="155"/>
      <c r="I366">
        <v>735</v>
      </c>
      <c r="K366">
        <v>1973.1000000000001</v>
      </c>
      <c r="L366" s="4">
        <v>221.60000000000002</v>
      </c>
      <c r="M366" s="4">
        <v>54.9</v>
      </c>
      <c r="N366" s="4">
        <v>1989.7</v>
      </c>
      <c r="P366">
        <v>0</v>
      </c>
      <c r="Q366">
        <v>238.29999999999998</v>
      </c>
      <c r="R366">
        <v>0</v>
      </c>
      <c r="S366">
        <v>0</v>
      </c>
      <c r="T366">
        <v>368.5</v>
      </c>
      <c r="W366">
        <v>720.3</v>
      </c>
      <c r="X366">
        <v>1411.5</v>
      </c>
      <c r="Y366">
        <v>96.5</v>
      </c>
      <c r="AA366">
        <v>859.6</v>
      </c>
      <c r="AB366">
        <v>1577.6000000000001</v>
      </c>
      <c r="AE366">
        <v>1330</v>
      </c>
      <c r="AF366">
        <v>1025.5</v>
      </c>
      <c r="AH366">
        <v>509.9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1349.3</v>
      </c>
      <c r="AO366">
        <v>786.40000000000009</v>
      </c>
      <c r="AP366">
        <v>0</v>
      </c>
      <c r="AQ366">
        <v>68.3</v>
      </c>
      <c r="AR366">
        <v>234.9</v>
      </c>
      <c r="AS366">
        <v>600.40000000000009</v>
      </c>
      <c r="AU366">
        <v>985.69999999999993</v>
      </c>
      <c r="AW366">
        <v>792</v>
      </c>
      <c r="AX366">
        <v>1988.5</v>
      </c>
      <c r="AZ366">
        <v>763.5</v>
      </c>
      <c r="BA366">
        <v>0</v>
      </c>
      <c r="BB366">
        <v>0</v>
      </c>
      <c r="BC366">
        <v>1935.3</v>
      </c>
      <c r="BD366">
        <v>1006.5</v>
      </c>
      <c r="BE366">
        <v>0</v>
      </c>
      <c r="BF366">
        <v>0</v>
      </c>
      <c r="BG366">
        <v>0</v>
      </c>
      <c r="BH366">
        <v>1662.6</v>
      </c>
      <c r="BJ366">
        <v>0</v>
      </c>
      <c r="BK366">
        <v>0</v>
      </c>
      <c r="BL366">
        <v>1038.9000000000001</v>
      </c>
      <c r="BM366">
        <v>1101</v>
      </c>
      <c r="BO366">
        <v>1276.8000000000002</v>
      </c>
      <c r="BQ366">
        <v>0</v>
      </c>
      <c r="BR366">
        <v>270.7</v>
      </c>
      <c r="BS366">
        <v>230.5</v>
      </c>
      <c r="BT366">
        <v>472.3</v>
      </c>
      <c r="BU366">
        <v>537.29999999999995</v>
      </c>
      <c r="BV366">
        <v>346.3</v>
      </c>
      <c r="BW366">
        <v>386.2</v>
      </c>
      <c r="BX366">
        <v>767</v>
      </c>
      <c r="BY366">
        <v>757.2</v>
      </c>
      <c r="BZ366">
        <v>1037.2</v>
      </c>
      <c r="CA366">
        <v>1227.0999999999999</v>
      </c>
      <c r="CB366">
        <v>1232.0999999999999</v>
      </c>
      <c r="CC366">
        <v>1701.5</v>
      </c>
      <c r="CD366">
        <v>0</v>
      </c>
      <c r="CG366">
        <v>1385.3</v>
      </c>
      <c r="CJ366">
        <v>1630.2999999999997</v>
      </c>
      <c r="CM366">
        <v>1184.2</v>
      </c>
      <c r="CO366">
        <v>1248.0999999999999</v>
      </c>
      <c r="CQ366">
        <v>1435.3</v>
      </c>
      <c r="CR366">
        <v>798.2</v>
      </c>
      <c r="CS366">
        <v>923.8</v>
      </c>
      <c r="CT366">
        <v>0</v>
      </c>
      <c r="CU366">
        <v>0</v>
      </c>
      <c r="CV366">
        <v>0</v>
      </c>
      <c r="CW366">
        <v>0</v>
      </c>
      <c r="CX366">
        <v>163.69999999999999</v>
      </c>
      <c r="CY366">
        <v>0</v>
      </c>
      <c r="CZ366">
        <v>0</v>
      </c>
      <c r="DA366">
        <v>0</v>
      </c>
      <c r="DB366">
        <v>0</v>
      </c>
      <c r="DC366">
        <v>0</v>
      </c>
      <c r="DD366">
        <v>0</v>
      </c>
      <c r="DE366">
        <v>0</v>
      </c>
      <c r="DI366">
        <v>0</v>
      </c>
      <c r="EC366">
        <v>0</v>
      </c>
      <c r="ED366">
        <v>0</v>
      </c>
      <c r="EE366">
        <v>0</v>
      </c>
      <c r="EF366">
        <v>0</v>
      </c>
      <c r="EG366">
        <v>0</v>
      </c>
      <c r="EH366">
        <v>0</v>
      </c>
      <c r="EI366">
        <v>0</v>
      </c>
      <c r="EJ366">
        <v>0</v>
      </c>
      <c r="EM366">
        <v>0</v>
      </c>
      <c r="EN366">
        <v>0</v>
      </c>
      <c r="EO366">
        <v>0</v>
      </c>
      <c r="EP366">
        <v>0</v>
      </c>
      <c r="EQ366">
        <v>0</v>
      </c>
      <c r="ER366">
        <v>0</v>
      </c>
      <c r="ES366">
        <v>0</v>
      </c>
      <c r="ET366">
        <v>0</v>
      </c>
      <c r="EW366">
        <v>0</v>
      </c>
      <c r="EX366">
        <v>0</v>
      </c>
      <c r="EY366">
        <v>0</v>
      </c>
      <c r="EZ366">
        <v>0</v>
      </c>
      <c r="FA366">
        <v>0</v>
      </c>
      <c r="FB366">
        <v>0</v>
      </c>
      <c r="FC366">
        <v>0</v>
      </c>
      <c r="FD366">
        <v>0</v>
      </c>
      <c r="FG366" t="e">
        <v>#N/A</v>
      </c>
      <c r="FI366" t="e">
        <v>#N/A</v>
      </c>
      <c r="FK366" t="e">
        <v>#N/A</v>
      </c>
      <c r="FM366" t="e">
        <v>#N/A</v>
      </c>
      <c r="FO366" t="e">
        <v>#N/A</v>
      </c>
      <c r="FQ366" t="e">
        <v>#N/A</v>
      </c>
      <c r="FS366" t="e">
        <v>#N/A</v>
      </c>
      <c r="FU366" t="e">
        <v>#N/A</v>
      </c>
      <c r="FW366" t="e">
        <v>#N/A</v>
      </c>
      <c r="FY366" t="e">
        <v>#N/A</v>
      </c>
      <c r="GA366" t="e">
        <v>#N/A</v>
      </c>
      <c r="GC366" t="e">
        <v>#N/A</v>
      </c>
      <c r="GE366" t="e">
        <v>#N/A</v>
      </c>
      <c r="GG366" t="e">
        <v>#N/A</v>
      </c>
      <c r="GI366" t="e">
        <v>#N/A</v>
      </c>
      <c r="GK366" t="e">
        <v>#N/A</v>
      </c>
      <c r="GM366" t="e">
        <v>#N/A</v>
      </c>
      <c r="GO366" t="e">
        <v>#N/A</v>
      </c>
      <c r="GQ366" t="e">
        <v>#N/A</v>
      </c>
      <c r="GS366" t="e">
        <v>#N/A</v>
      </c>
      <c r="GU366" t="e">
        <v>#N/A</v>
      </c>
      <c r="GW366" t="e">
        <v>#N/A</v>
      </c>
      <c r="GY366" t="e">
        <v>#N/A</v>
      </c>
      <c r="HA366" t="e">
        <v>#N/A</v>
      </c>
      <c r="HC366">
        <v>0</v>
      </c>
      <c r="HD366">
        <v>0</v>
      </c>
      <c r="HE366">
        <v>0</v>
      </c>
      <c r="HF366">
        <v>0</v>
      </c>
      <c r="HG366">
        <v>0</v>
      </c>
      <c r="HH366">
        <v>0</v>
      </c>
      <c r="HI366">
        <v>0</v>
      </c>
      <c r="HJ366">
        <v>0</v>
      </c>
      <c r="HM366">
        <v>0</v>
      </c>
      <c r="HN366">
        <v>0</v>
      </c>
      <c r="HO366">
        <v>0</v>
      </c>
      <c r="HP366">
        <v>0</v>
      </c>
      <c r="HQ366">
        <v>0</v>
      </c>
      <c r="HR366">
        <v>0</v>
      </c>
      <c r="HS366">
        <v>0</v>
      </c>
      <c r="HT366">
        <v>0</v>
      </c>
      <c r="HW366">
        <v>0</v>
      </c>
      <c r="HX366">
        <v>0</v>
      </c>
      <c r="HY366">
        <v>0</v>
      </c>
      <c r="HZ366">
        <v>0</v>
      </c>
      <c r="IA366">
        <v>3930.6</v>
      </c>
      <c r="IB366">
        <v>3632.9</v>
      </c>
      <c r="IC366">
        <v>3795.5</v>
      </c>
      <c r="ID366">
        <v>0</v>
      </c>
      <c r="IE366">
        <v>0</v>
      </c>
      <c r="IF366">
        <v>3548.5</v>
      </c>
      <c r="IG366">
        <v>3395.2</v>
      </c>
      <c r="IH366">
        <v>3395.4</v>
      </c>
      <c r="II366">
        <v>3302.3</v>
      </c>
      <c r="IJ366">
        <v>3172.8</v>
      </c>
      <c r="IK366">
        <v>0</v>
      </c>
      <c r="IL366">
        <v>0</v>
      </c>
      <c r="IM366">
        <v>0</v>
      </c>
      <c r="IN366">
        <v>0</v>
      </c>
      <c r="IO366">
        <v>123.4</v>
      </c>
      <c r="IP366">
        <v>405.2</v>
      </c>
      <c r="IQ366">
        <v>418.7</v>
      </c>
      <c r="IR366">
        <v>0</v>
      </c>
      <c r="IS366">
        <v>0</v>
      </c>
      <c r="IT366">
        <v>0</v>
      </c>
      <c r="IU366">
        <v>0</v>
      </c>
      <c r="IV366">
        <v>396</v>
      </c>
      <c r="IW366">
        <v>0</v>
      </c>
      <c r="IX366">
        <v>0</v>
      </c>
      <c r="IZ366">
        <v>0</v>
      </c>
      <c r="JA366">
        <v>65.5</v>
      </c>
      <c r="JB366">
        <v>443.5</v>
      </c>
      <c r="JC366">
        <v>0</v>
      </c>
      <c r="JD366">
        <v>0</v>
      </c>
      <c r="JE366">
        <v>0</v>
      </c>
      <c r="JF366">
        <v>0</v>
      </c>
      <c r="JG366">
        <v>0</v>
      </c>
      <c r="JH366">
        <v>0</v>
      </c>
      <c r="JI366">
        <v>0</v>
      </c>
      <c r="JJ366">
        <v>0</v>
      </c>
      <c r="JK366">
        <v>0</v>
      </c>
      <c r="JL366">
        <v>0</v>
      </c>
      <c r="JM366">
        <v>0</v>
      </c>
      <c r="JN366">
        <v>0</v>
      </c>
      <c r="JO366">
        <v>0</v>
      </c>
      <c r="JP366">
        <v>0</v>
      </c>
      <c r="JQ366">
        <v>0</v>
      </c>
      <c r="JR366">
        <v>0</v>
      </c>
      <c r="JS366">
        <v>0</v>
      </c>
      <c r="JT366">
        <v>0</v>
      </c>
      <c r="JU366">
        <v>0</v>
      </c>
      <c r="JV366">
        <v>0</v>
      </c>
      <c r="JW366">
        <v>0</v>
      </c>
      <c r="JX366">
        <v>0</v>
      </c>
      <c r="JY366">
        <v>0</v>
      </c>
      <c r="JZ366">
        <v>0</v>
      </c>
      <c r="KA366">
        <v>0</v>
      </c>
      <c r="KB366">
        <v>0</v>
      </c>
      <c r="KC366">
        <v>0</v>
      </c>
      <c r="KD366">
        <v>0</v>
      </c>
      <c r="KE366">
        <v>0</v>
      </c>
      <c r="KF366">
        <v>0</v>
      </c>
      <c r="KI366">
        <v>344.6</v>
      </c>
      <c r="KJ366">
        <v>350.8</v>
      </c>
      <c r="KK366">
        <v>22.1</v>
      </c>
      <c r="KL366">
        <v>379.3</v>
      </c>
      <c r="KM366">
        <v>241.4</v>
      </c>
      <c r="KN366">
        <v>0</v>
      </c>
      <c r="KO366">
        <v>0</v>
      </c>
      <c r="KP366">
        <v>57.3</v>
      </c>
      <c r="KQ366">
        <v>224.4</v>
      </c>
      <c r="KR366">
        <v>338.3</v>
      </c>
      <c r="KS366">
        <v>215.8</v>
      </c>
      <c r="KT366">
        <v>40.700000000000003</v>
      </c>
      <c r="KW366">
        <v>2154.5</v>
      </c>
      <c r="KX366">
        <v>1255.7</v>
      </c>
      <c r="KY366">
        <v>1630.1</v>
      </c>
      <c r="KZ366">
        <v>1246.9000000000001</v>
      </c>
      <c r="LB366">
        <v>78.099999999999994</v>
      </c>
      <c r="LC366">
        <v>77.7</v>
      </c>
    </row>
    <row r="367" spans="1:315" ht="18" thickBot="1">
      <c r="A367" s="245"/>
      <c r="B367" s="245"/>
      <c r="C367" s="230" t="s">
        <v>684</v>
      </c>
      <c r="D367" s="281"/>
      <c r="E367" s="443">
        <v>0</v>
      </c>
      <c r="F367" s="191">
        <v>0</v>
      </c>
      <c r="G367" s="427">
        <v>3413.8</v>
      </c>
      <c r="H367" s="155"/>
      <c r="I367">
        <v>735</v>
      </c>
      <c r="K367">
        <v>1973.1000000000001</v>
      </c>
      <c r="L367" s="4">
        <v>221.60000000000002</v>
      </c>
      <c r="M367" s="4">
        <v>54.9</v>
      </c>
      <c r="N367" s="4">
        <v>1989.7</v>
      </c>
      <c r="P367">
        <v>0</v>
      </c>
      <c r="Q367">
        <v>238.29999999999998</v>
      </c>
      <c r="R367">
        <v>0</v>
      </c>
      <c r="S367">
        <v>0</v>
      </c>
      <c r="T367">
        <v>368.5</v>
      </c>
      <c r="W367">
        <v>720.3</v>
      </c>
      <c r="X367">
        <v>1411.5</v>
      </c>
      <c r="Y367">
        <v>96.5</v>
      </c>
      <c r="AA367">
        <v>859.6</v>
      </c>
      <c r="AB367">
        <v>1577.6000000000001</v>
      </c>
      <c r="AE367">
        <v>1330</v>
      </c>
      <c r="AF367">
        <v>1025.5</v>
      </c>
      <c r="AH367">
        <v>509.9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1349.3</v>
      </c>
      <c r="AO367">
        <v>786.40000000000009</v>
      </c>
      <c r="AP367">
        <v>0</v>
      </c>
      <c r="AQ367">
        <v>68.3</v>
      </c>
      <c r="AR367">
        <v>234.9</v>
      </c>
      <c r="AS367">
        <v>600.40000000000009</v>
      </c>
      <c r="AU367">
        <v>985.69999999999993</v>
      </c>
      <c r="AW367">
        <v>792</v>
      </c>
      <c r="AX367">
        <v>1988.5</v>
      </c>
      <c r="AZ367">
        <v>763.5</v>
      </c>
      <c r="BA367">
        <v>0</v>
      </c>
      <c r="BB367">
        <v>0</v>
      </c>
      <c r="BC367">
        <v>1935.3</v>
      </c>
      <c r="BD367">
        <v>1006.5</v>
      </c>
      <c r="BE367">
        <v>0</v>
      </c>
      <c r="BF367">
        <v>0</v>
      </c>
      <c r="BG367">
        <v>0</v>
      </c>
      <c r="BH367">
        <v>1662.6</v>
      </c>
      <c r="BJ367">
        <v>0</v>
      </c>
      <c r="BK367">
        <v>0</v>
      </c>
      <c r="BL367">
        <v>1038.9000000000001</v>
      </c>
      <c r="BM367">
        <v>1101</v>
      </c>
      <c r="BO367">
        <v>1276.8000000000002</v>
      </c>
      <c r="BQ367">
        <v>0</v>
      </c>
      <c r="BR367">
        <v>270.7</v>
      </c>
      <c r="BS367">
        <v>230.5</v>
      </c>
      <c r="BT367">
        <v>472.3</v>
      </c>
      <c r="BU367">
        <v>537.29999999999995</v>
      </c>
      <c r="BV367">
        <v>346.3</v>
      </c>
      <c r="BW367">
        <v>386.2</v>
      </c>
      <c r="BX367">
        <v>767</v>
      </c>
      <c r="BY367">
        <v>757.2</v>
      </c>
      <c r="BZ367">
        <v>1037.2</v>
      </c>
      <c r="CA367">
        <v>1227.0999999999999</v>
      </c>
      <c r="CB367">
        <v>1232.0999999999999</v>
      </c>
      <c r="CC367">
        <v>1701.5</v>
      </c>
      <c r="CD367">
        <v>0</v>
      </c>
      <c r="CG367">
        <v>1385.3</v>
      </c>
      <c r="CJ367">
        <v>1630.2999999999997</v>
      </c>
      <c r="CM367">
        <v>1184.2</v>
      </c>
      <c r="CO367">
        <v>1248.0999999999999</v>
      </c>
      <c r="CQ367">
        <v>1435.3</v>
      </c>
      <c r="CR367">
        <v>798.2</v>
      </c>
      <c r="CS367">
        <v>923.8</v>
      </c>
      <c r="CT367">
        <v>0</v>
      </c>
      <c r="CU367">
        <v>0</v>
      </c>
      <c r="CV367">
        <v>0</v>
      </c>
      <c r="CW367">
        <v>0</v>
      </c>
      <c r="CX367">
        <v>163.69999999999999</v>
      </c>
      <c r="CY367">
        <v>0</v>
      </c>
      <c r="CZ367">
        <v>0</v>
      </c>
      <c r="DA367">
        <v>0</v>
      </c>
      <c r="DB367">
        <v>0</v>
      </c>
      <c r="DC367">
        <v>0</v>
      </c>
      <c r="DD367">
        <v>0</v>
      </c>
      <c r="DE367">
        <v>0</v>
      </c>
      <c r="DI367">
        <v>0</v>
      </c>
      <c r="EC367">
        <v>0</v>
      </c>
      <c r="ED367">
        <v>0</v>
      </c>
      <c r="EE367">
        <v>0</v>
      </c>
      <c r="EF367">
        <v>0</v>
      </c>
      <c r="EG367">
        <v>0</v>
      </c>
      <c r="EH367">
        <v>0</v>
      </c>
      <c r="EI367">
        <v>0</v>
      </c>
      <c r="EJ367">
        <v>0</v>
      </c>
      <c r="EM367">
        <v>0</v>
      </c>
      <c r="EN367">
        <v>0</v>
      </c>
      <c r="EO367">
        <v>0</v>
      </c>
      <c r="EP367">
        <v>0</v>
      </c>
      <c r="EQ367">
        <v>0</v>
      </c>
      <c r="ER367">
        <v>0</v>
      </c>
      <c r="ES367">
        <v>0</v>
      </c>
      <c r="ET367">
        <v>0</v>
      </c>
      <c r="EW367">
        <v>0</v>
      </c>
      <c r="EX367">
        <v>0</v>
      </c>
      <c r="EY367">
        <v>0</v>
      </c>
      <c r="EZ367">
        <v>0</v>
      </c>
      <c r="FA367">
        <v>0</v>
      </c>
      <c r="FB367">
        <v>0</v>
      </c>
      <c r="FC367">
        <v>0</v>
      </c>
      <c r="FD367">
        <v>0</v>
      </c>
      <c r="FG367" t="e">
        <v>#N/A</v>
      </c>
      <c r="FI367" t="e">
        <v>#N/A</v>
      </c>
      <c r="FK367" t="e">
        <v>#N/A</v>
      </c>
      <c r="FM367" t="e">
        <v>#N/A</v>
      </c>
      <c r="FO367" t="e">
        <v>#N/A</v>
      </c>
      <c r="FQ367" t="e">
        <v>#N/A</v>
      </c>
      <c r="FS367" t="e">
        <v>#N/A</v>
      </c>
      <c r="FU367" t="e">
        <v>#N/A</v>
      </c>
      <c r="FW367" t="e">
        <v>#N/A</v>
      </c>
      <c r="FY367" t="e">
        <v>#N/A</v>
      </c>
      <c r="GA367" t="e">
        <v>#N/A</v>
      </c>
      <c r="GC367" t="e">
        <v>#N/A</v>
      </c>
      <c r="GE367" t="e">
        <v>#N/A</v>
      </c>
      <c r="GG367" t="e">
        <v>#N/A</v>
      </c>
      <c r="GI367" t="e">
        <v>#N/A</v>
      </c>
      <c r="GK367" t="e">
        <v>#N/A</v>
      </c>
      <c r="GM367" t="e">
        <v>#N/A</v>
      </c>
      <c r="GO367" t="e">
        <v>#N/A</v>
      </c>
      <c r="GQ367" t="e">
        <v>#N/A</v>
      </c>
      <c r="GS367" t="e">
        <v>#N/A</v>
      </c>
      <c r="GU367" t="e">
        <v>#N/A</v>
      </c>
      <c r="GW367" t="e">
        <v>#N/A</v>
      </c>
      <c r="GY367" t="e">
        <v>#N/A</v>
      </c>
      <c r="HA367" t="e">
        <v>#N/A</v>
      </c>
      <c r="HC367">
        <v>0</v>
      </c>
      <c r="HD367">
        <v>0</v>
      </c>
      <c r="HE367">
        <v>0</v>
      </c>
      <c r="HF367">
        <v>0</v>
      </c>
      <c r="HG367">
        <v>0</v>
      </c>
      <c r="HH367">
        <v>0</v>
      </c>
      <c r="HI367">
        <v>0</v>
      </c>
      <c r="HJ367">
        <v>0</v>
      </c>
      <c r="HM367">
        <v>0</v>
      </c>
      <c r="HN367">
        <v>0</v>
      </c>
      <c r="HO367">
        <v>0</v>
      </c>
      <c r="HP367">
        <v>0</v>
      </c>
      <c r="HQ367">
        <v>0</v>
      </c>
      <c r="HR367">
        <v>0</v>
      </c>
      <c r="HS367">
        <v>0</v>
      </c>
      <c r="HT367">
        <v>0</v>
      </c>
      <c r="HW367">
        <v>0</v>
      </c>
      <c r="HX367">
        <v>0</v>
      </c>
      <c r="HY367">
        <v>0</v>
      </c>
      <c r="HZ367">
        <v>0</v>
      </c>
      <c r="IA367">
        <v>3930.6</v>
      </c>
      <c r="IB367">
        <v>3632.9</v>
      </c>
      <c r="IC367">
        <v>3795.5</v>
      </c>
      <c r="ID367">
        <v>0</v>
      </c>
      <c r="IE367">
        <v>0</v>
      </c>
      <c r="IF367">
        <v>3548.5</v>
      </c>
      <c r="IG367">
        <v>3395.2</v>
      </c>
      <c r="IH367">
        <v>3395.4</v>
      </c>
      <c r="II367">
        <v>3302.3</v>
      </c>
      <c r="IJ367">
        <v>3172.8</v>
      </c>
      <c r="IK367">
        <v>0</v>
      </c>
      <c r="IL367">
        <v>0</v>
      </c>
      <c r="IM367">
        <v>0</v>
      </c>
      <c r="IN367">
        <v>0</v>
      </c>
      <c r="IO367">
        <v>123.4</v>
      </c>
      <c r="IP367">
        <v>405.2</v>
      </c>
      <c r="IQ367">
        <v>418.7</v>
      </c>
      <c r="IR367">
        <v>0</v>
      </c>
      <c r="IS367">
        <v>0</v>
      </c>
      <c r="IT367">
        <v>0</v>
      </c>
      <c r="IU367">
        <v>0</v>
      </c>
      <c r="IV367">
        <v>396</v>
      </c>
      <c r="IW367">
        <v>0</v>
      </c>
      <c r="IX367">
        <v>0</v>
      </c>
      <c r="IZ367">
        <v>0</v>
      </c>
      <c r="JA367">
        <v>65.5</v>
      </c>
      <c r="JB367">
        <v>443.5</v>
      </c>
      <c r="JC367">
        <v>0</v>
      </c>
      <c r="JD367">
        <v>0</v>
      </c>
      <c r="JE367">
        <v>0</v>
      </c>
      <c r="JF367">
        <v>0</v>
      </c>
      <c r="JG367">
        <v>0</v>
      </c>
      <c r="JH367">
        <v>0</v>
      </c>
      <c r="JI367">
        <v>0</v>
      </c>
      <c r="JJ367">
        <v>0</v>
      </c>
      <c r="JK367">
        <v>0</v>
      </c>
      <c r="JL367">
        <v>0</v>
      </c>
      <c r="JM367">
        <v>0</v>
      </c>
      <c r="JN367">
        <v>0</v>
      </c>
      <c r="JO367">
        <v>0</v>
      </c>
      <c r="JP367">
        <v>0</v>
      </c>
      <c r="JQ367">
        <v>0</v>
      </c>
      <c r="JR367">
        <v>0</v>
      </c>
      <c r="JS367">
        <v>0</v>
      </c>
      <c r="JT367">
        <v>0</v>
      </c>
      <c r="JU367">
        <v>0</v>
      </c>
      <c r="JV367">
        <v>0</v>
      </c>
      <c r="JW367">
        <v>0</v>
      </c>
      <c r="JX367">
        <v>0</v>
      </c>
      <c r="JY367">
        <v>0</v>
      </c>
      <c r="JZ367">
        <v>0</v>
      </c>
      <c r="KA367">
        <v>0</v>
      </c>
      <c r="KB367">
        <v>0</v>
      </c>
      <c r="KC367">
        <v>0</v>
      </c>
      <c r="KD367">
        <v>0</v>
      </c>
      <c r="KE367">
        <v>0</v>
      </c>
      <c r="KF367">
        <v>0</v>
      </c>
      <c r="KI367">
        <v>344.6</v>
      </c>
      <c r="KJ367">
        <v>350.8</v>
      </c>
      <c r="KK367">
        <v>22.1</v>
      </c>
      <c r="KL367">
        <v>379.3</v>
      </c>
      <c r="KM367">
        <v>241.4</v>
      </c>
      <c r="KN367">
        <v>0</v>
      </c>
      <c r="KO367">
        <v>0</v>
      </c>
      <c r="KP367">
        <v>57.3</v>
      </c>
      <c r="KQ367">
        <v>224.4</v>
      </c>
      <c r="KR367">
        <v>338.3</v>
      </c>
      <c r="KS367">
        <v>215.8</v>
      </c>
      <c r="KT367">
        <v>40.700000000000003</v>
      </c>
      <c r="KW367">
        <v>2154.5</v>
      </c>
      <c r="KX367">
        <v>1255.7</v>
      </c>
      <c r="KY367">
        <v>1630.1</v>
      </c>
      <c r="KZ367">
        <v>1246.9000000000001</v>
      </c>
      <c r="LB367">
        <v>78.099999999999994</v>
      </c>
      <c r="LC367">
        <v>77.7</v>
      </c>
    </row>
    <row r="368" spans="1:315" ht="18" thickBot="1">
      <c r="A368" s="245"/>
      <c r="B368" s="245"/>
      <c r="C368" s="230" t="s">
        <v>685</v>
      </c>
      <c r="D368" s="281"/>
      <c r="E368" s="443">
        <v>0</v>
      </c>
      <c r="F368" s="191">
        <v>0</v>
      </c>
      <c r="G368" s="427">
        <v>3413.8</v>
      </c>
      <c r="H368" s="155"/>
      <c r="I368">
        <v>735</v>
      </c>
      <c r="K368">
        <v>1973.1000000000001</v>
      </c>
      <c r="L368" s="4">
        <v>221.60000000000002</v>
      </c>
      <c r="M368" s="4">
        <v>54.9</v>
      </c>
      <c r="N368" s="4">
        <v>1989.7</v>
      </c>
      <c r="P368">
        <v>0</v>
      </c>
      <c r="Q368">
        <v>238.29999999999998</v>
      </c>
      <c r="R368">
        <v>0</v>
      </c>
      <c r="S368">
        <v>0</v>
      </c>
      <c r="T368">
        <v>368.5</v>
      </c>
      <c r="W368">
        <v>720.3</v>
      </c>
      <c r="X368">
        <v>1411.5</v>
      </c>
      <c r="Y368">
        <v>96.5</v>
      </c>
      <c r="AA368">
        <v>859.6</v>
      </c>
      <c r="AB368">
        <v>1577.6000000000001</v>
      </c>
      <c r="AE368">
        <v>1330</v>
      </c>
      <c r="AF368">
        <v>1025.5</v>
      </c>
      <c r="AH368">
        <v>509.9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1349.3</v>
      </c>
      <c r="AO368">
        <v>786.40000000000009</v>
      </c>
      <c r="AP368">
        <v>0</v>
      </c>
      <c r="AQ368">
        <v>68.3</v>
      </c>
      <c r="AR368">
        <v>234.9</v>
      </c>
      <c r="AS368">
        <v>600.40000000000009</v>
      </c>
      <c r="AU368">
        <v>985.69999999999993</v>
      </c>
      <c r="AW368">
        <v>792</v>
      </c>
      <c r="AX368">
        <v>1988.5</v>
      </c>
      <c r="AZ368">
        <v>763.5</v>
      </c>
      <c r="BA368">
        <v>0</v>
      </c>
      <c r="BB368">
        <v>0</v>
      </c>
      <c r="BC368">
        <v>1935.3</v>
      </c>
      <c r="BD368">
        <v>1006.5</v>
      </c>
      <c r="BE368">
        <v>0</v>
      </c>
      <c r="BF368">
        <v>0</v>
      </c>
      <c r="BG368">
        <v>0</v>
      </c>
      <c r="BH368">
        <v>1662.6</v>
      </c>
      <c r="BJ368">
        <v>0</v>
      </c>
      <c r="BK368">
        <v>0</v>
      </c>
      <c r="BL368">
        <v>1038.9000000000001</v>
      </c>
      <c r="BM368">
        <v>1101</v>
      </c>
      <c r="BO368">
        <v>1276.8000000000002</v>
      </c>
      <c r="BQ368">
        <v>0</v>
      </c>
      <c r="BR368">
        <v>270.7</v>
      </c>
      <c r="BS368">
        <v>230.5</v>
      </c>
      <c r="BT368">
        <v>472.3</v>
      </c>
      <c r="BU368">
        <v>537.29999999999995</v>
      </c>
      <c r="BV368">
        <v>346.3</v>
      </c>
      <c r="BW368">
        <v>386.2</v>
      </c>
      <c r="BX368">
        <v>767</v>
      </c>
      <c r="BY368">
        <v>757.2</v>
      </c>
      <c r="BZ368">
        <v>1037.2</v>
      </c>
      <c r="CA368">
        <v>1227.0999999999999</v>
      </c>
      <c r="CB368">
        <v>1232.0999999999999</v>
      </c>
      <c r="CC368">
        <v>1701.5</v>
      </c>
      <c r="CD368">
        <v>0</v>
      </c>
      <c r="CG368">
        <v>1385.3</v>
      </c>
      <c r="CJ368">
        <v>1630.2999999999997</v>
      </c>
      <c r="CM368">
        <v>1184.2</v>
      </c>
      <c r="CO368">
        <v>1248.0999999999999</v>
      </c>
      <c r="CQ368">
        <v>1435.3</v>
      </c>
      <c r="CR368">
        <v>798.2</v>
      </c>
      <c r="CS368">
        <v>923.8</v>
      </c>
      <c r="CT368">
        <v>0</v>
      </c>
      <c r="CU368">
        <v>0</v>
      </c>
      <c r="CV368">
        <v>0</v>
      </c>
      <c r="CW368">
        <v>0</v>
      </c>
      <c r="CX368">
        <v>163.69999999999999</v>
      </c>
      <c r="CY368">
        <v>0</v>
      </c>
      <c r="CZ368">
        <v>0</v>
      </c>
      <c r="DA368">
        <v>0</v>
      </c>
      <c r="DB368">
        <v>0</v>
      </c>
      <c r="DC368">
        <v>0</v>
      </c>
      <c r="DD368">
        <v>0</v>
      </c>
      <c r="DE368">
        <v>0</v>
      </c>
      <c r="DI368">
        <v>0</v>
      </c>
      <c r="EC368">
        <v>0</v>
      </c>
      <c r="ED368">
        <v>0</v>
      </c>
      <c r="EE368">
        <v>0</v>
      </c>
      <c r="EF368">
        <v>0</v>
      </c>
      <c r="EG368">
        <v>0</v>
      </c>
      <c r="EH368">
        <v>0</v>
      </c>
      <c r="EI368">
        <v>0</v>
      </c>
      <c r="EJ368">
        <v>0</v>
      </c>
      <c r="EM368">
        <v>0</v>
      </c>
      <c r="EN368">
        <v>0</v>
      </c>
      <c r="EO368">
        <v>0</v>
      </c>
      <c r="EP368">
        <v>0</v>
      </c>
      <c r="EQ368">
        <v>0</v>
      </c>
      <c r="ER368">
        <v>0</v>
      </c>
      <c r="ES368">
        <v>0</v>
      </c>
      <c r="ET368">
        <v>0</v>
      </c>
      <c r="EW368">
        <v>0</v>
      </c>
      <c r="EX368">
        <v>0</v>
      </c>
      <c r="EY368">
        <v>0</v>
      </c>
      <c r="EZ368">
        <v>0</v>
      </c>
      <c r="FA368">
        <v>0</v>
      </c>
      <c r="FB368">
        <v>0</v>
      </c>
      <c r="FC368">
        <v>0</v>
      </c>
      <c r="FD368">
        <v>0</v>
      </c>
      <c r="FG368" t="e">
        <v>#N/A</v>
      </c>
      <c r="FI368" t="e">
        <v>#N/A</v>
      </c>
      <c r="FK368" t="e">
        <v>#N/A</v>
      </c>
      <c r="FM368" t="e">
        <v>#N/A</v>
      </c>
      <c r="FO368" t="e">
        <v>#N/A</v>
      </c>
      <c r="FQ368" t="e">
        <v>#N/A</v>
      </c>
      <c r="FS368" t="e">
        <v>#N/A</v>
      </c>
      <c r="FU368" t="e">
        <v>#N/A</v>
      </c>
      <c r="FW368" t="e">
        <v>#N/A</v>
      </c>
      <c r="FY368" t="e">
        <v>#N/A</v>
      </c>
      <c r="GA368" t="e">
        <v>#N/A</v>
      </c>
      <c r="GC368" t="e">
        <v>#N/A</v>
      </c>
      <c r="GE368" t="e">
        <v>#N/A</v>
      </c>
      <c r="GG368" t="e">
        <v>#N/A</v>
      </c>
      <c r="GI368" t="e">
        <v>#N/A</v>
      </c>
      <c r="GK368" t="e">
        <v>#N/A</v>
      </c>
      <c r="GM368" t="e">
        <v>#N/A</v>
      </c>
      <c r="GO368" t="e">
        <v>#N/A</v>
      </c>
      <c r="GQ368" t="e">
        <v>#N/A</v>
      </c>
      <c r="GS368" t="e">
        <v>#N/A</v>
      </c>
      <c r="GU368" t="e">
        <v>#N/A</v>
      </c>
      <c r="GW368" t="e">
        <v>#N/A</v>
      </c>
      <c r="GY368" t="e">
        <v>#N/A</v>
      </c>
      <c r="HA368" t="e">
        <v>#N/A</v>
      </c>
      <c r="HC368">
        <v>0</v>
      </c>
      <c r="HD368">
        <v>0</v>
      </c>
      <c r="HE368">
        <v>0</v>
      </c>
      <c r="HF368">
        <v>0</v>
      </c>
      <c r="HG368">
        <v>0</v>
      </c>
      <c r="HH368">
        <v>0</v>
      </c>
      <c r="HI368">
        <v>0</v>
      </c>
      <c r="HJ368">
        <v>0</v>
      </c>
      <c r="HM368">
        <v>0</v>
      </c>
      <c r="HN368">
        <v>0</v>
      </c>
      <c r="HO368">
        <v>0</v>
      </c>
      <c r="HP368">
        <v>0</v>
      </c>
      <c r="HQ368">
        <v>0</v>
      </c>
      <c r="HR368">
        <v>0</v>
      </c>
      <c r="HS368">
        <v>0</v>
      </c>
      <c r="HT368">
        <v>0</v>
      </c>
      <c r="HW368">
        <v>0</v>
      </c>
      <c r="HX368">
        <v>0</v>
      </c>
      <c r="HY368">
        <v>0</v>
      </c>
      <c r="HZ368">
        <v>0</v>
      </c>
      <c r="IA368">
        <v>3930.6</v>
      </c>
      <c r="IB368">
        <v>3632.9</v>
      </c>
      <c r="IC368">
        <v>3795.5</v>
      </c>
      <c r="ID368">
        <v>0</v>
      </c>
      <c r="IE368">
        <v>0</v>
      </c>
      <c r="IF368">
        <v>3548.5</v>
      </c>
      <c r="IG368">
        <v>3395.2</v>
      </c>
      <c r="IH368">
        <v>3395.4</v>
      </c>
      <c r="II368">
        <v>3302.3</v>
      </c>
      <c r="IJ368">
        <v>3172.8</v>
      </c>
      <c r="IK368">
        <v>0</v>
      </c>
      <c r="IL368">
        <v>0</v>
      </c>
      <c r="IM368">
        <v>0</v>
      </c>
      <c r="IN368">
        <v>0</v>
      </c>
      <c r="IO368">
        <v>123.4</v>
      </c>
      <c r="IP368">
        <v>405.2</v>
      </c>
      <c r="IQ368">
        <v>418.7</v>
      </c>
      <c r="IR368">
        <v>0</v>
      </c>
      <c r="IS368">
        <v>0</v>
      </c>
      <c r="IT368">
        <v>0</v>
      </c>
      <c r="IU368">
        <v>0</v>
      </c>
      <c r="IV368">
        <v>396</v>
      </c>
      <c r="IW368">
        <v>0</v>
      </c>
      <c r="IX368">
        <v>0</v>
      </c>
      <c r="IZ368">
        <v>0</v>
      </c>
      <c r="JA368">
        <v>65.5</v>
      </c>
      <c r="JB368">
        <v>443.5</v>
      </c>
      <c r="JC368">
        <v>0</v>
      </c>
      <c r="JD368">
        <v>0</v>
      </c>
      <c r="JE368">
        <v>0</v>
      </c>
      <c r="JF368">
        <v>0</v>
      </c>
      <c r="JG368">
        <v>0</v>
      </c>
      <c r="JH368">
        <v>0</v>
      </c>
      <c r="JI368">
        <v>0</v>
      </c>
      <c r="JJ368">
        <v>0</v>
      </c>
      <c r="JK368">
        <v>0</v>
      </c>
      <c r="JL368">
        <v>0</v>
      </c>
      <c r="JM368">
        <v>0</v>
      </c>
      <c r="JN368">
        <v>0</v>
      </c>
      <c r="JO368">
        <v>0</v>
      </c>
      <c r="JP368">
        <v>0</v>
      </c>
      <c r="JQ368">
        <v>0</v>
      </c>
      <c r="JR368">
        <v>0</v>
      </c>
      <c r="JS368">
        <v>0</v>
      </c>
      <c r="JT368">
        <v>0</v>
      </c>
      <c r="JU368">
        <v>0</v>
      </c>
      <c r="JV368">
        <v>0</v>
      </c>
      <c r="JW368">
        <v>0</v>
      </c>
      <c r="JX368">
        <v>0</v>
      </c>
      <c r="JY368">
        <v>0</v>
      </c>
      <c r="JZ368">
        <v>0</v>
      </c>
      <c r="KA368">
        <v>0</v>
      </c>
      <c r="KB368">
        <v>0</v>
      </c>
      <c r="KC368">
        <v>0</v>
      </c>
      <c r="KD368">
        <v>0</v>
      </c>
      <c r="KE368">
        <v>0</v>
      </c>
      <c r="KF368">
        <v>0</v>
      </c>
      <c r="KI368">
        <v>344.6</v>
      </c>
      <c r="KJ368">
        <v>350.8</v>
      </c>
      <c r="KK368">
        <v>22.1</v>
      </c>
      <c r="KL368">
        <v>379.3</v>
      </c>
      <c r="KM368">
        <v>241.4</v>
      </c>
      <c r="KN368">
        <v>0</v>
      </c>
      <c r="KO368">
        <v>0</v>
      </c>
      <c r="KP368">
        <v>57.3</v>
      </c>
      <c r="KQ368">
        <v>224.4</v>
      </c>
      <c r="KR368">
        <v>338.3</v>
      </c>
      <c r="KS368">
        <v>215.8</v>
      </c>
      <c r="KT368">
        <v>40.700000000000003</v>
      </c>
      <c r="KW368">
        <v>2154.5</v>
      </c>
      <c r="KX368">
        <v>1255.7</v>
      </c>
      <c r="KY368">
        <v>1630.1</v>
      </c>
      <c r="KZ368">
        <v>1246.9000000000001</v>
      </c>
      <c r="LB368">
        <v>78.099999999999994</v>
      </c>
      <c r="LC368">
        <v>77.7</v>
      </c>
    </row>
    <row r="369" spans="1:315" ht="18" thickBot="1">
      <c r="A369" s="245"/>
      <c r="B369" s="245"/>
      <c r="C369" s="230" t="s">
        <v>686</v>
      </c>
      <c r="D369" s="281"/>
      <c r="E369" s="443">
        <v>0</v>
      </c>
      <c r="F369" s="191">
        <v>0</v>
      </c>
      <c r="G369" s="427">
        <v>3413.8</v>
      </c>
      <c r="H369" s="155"/>
      <c r="I369">
        <v>735</v>
      </c>
      <c r="K369">
        <v>1973.1000000000001</v>
      </c>
      <c r="L369" s="4">
        <v>221.60000000000002</v>
      </c>
      <c r="M369" s="4">
        <v>54.9</v>
      </c>
      <c r="N369" s="4">
        <v>1989.7</v>
      </c>
      <c r="P369">
        <v>0</v>
      </c>
      <c r="Q369">
        <v>238.29999999999998</v>
      </c>
      <c r="R369">
        <v>0</v>
      </c>
      <c r="S369">
        <v>0</v>
      </c>
      <c r="T369">
        <v>368.5</v>
      </c>
      <c r="W369">
        <v>720.3</v>
      </c>
      <c r="X369">
        <v>1411.5</v>
      </c>
      <c r="Y369">
        <v>96.5</v>
      </c>
      <c r="AA369">
        <v>859.6</v>
      </c>
      <c r="AB369">
        <v>1577.6000000000001</v>
      </c>
      <c r="AE369">
        <v>1330</v>
      </c>
      <c r="AF369">
        <v>1025.5</v>
      </c>
      <c r="AH369">
        <v>509.9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1349.3</v>
      </c>
      <c r="AO369">
        <v>786.40000000000009</v>
      </c>
      <c r="AP369">
        <v>0</v>
      </c>
      <c r="AQ369">
        <v>68.3</v>
      </c>
      <c r="AR369">
        <v>234.9</v>
      </c>
      <c r="AS369">
        <v>600.40000000000009</v>
      </c>
      <c r="AU369">
        <v>985.69999999999993</v>
      </c>
      <c r="AW369">
        <v>792</v>
      </c>
      <c r="AX369">
        <v>1988.5</v>
      </c>
      <c r="AZ369">
        <v>763.5</v>
      </c>
      <c r="BA369">
        <v>0</v>
      </c>
      <c r="BB369">
        <v>0</v>
      </c>
      <c r="BC369">
        <v>1935.3</v>
      </c>
      <c r="BD369">
        <v>1006.5</v>
      </c>
      <c r="BE369">
        <v>0</v>
      </c>
      <c r="BF369">
        <v>0</v>
      </c>
      <c r="BG369">
        <v>0</v>
      </c>
      <c r="BH369">
        <v>1662.6</v>
      </c>
      <c r="BJ369">
        <v>0</v>
      </c>
      <c r="BK369">
        <v>0</v>
      </c>
      <c r="BL369">
        <v>1038.9000000000001</v>
      </c>
      <c r="BM369">
        <v>1101</v>
      </c>
      <c r="BO369">
        <v>1276.8000000000002</v>
      </c>
      <c r="BQ369">
        <v>0</v>
      </c>
      <c r="BR369">
        <v>270.7</v>
      </c>
      <c r="BS369">
        <v>230.5</v>
      </c>
      <c r="BT369">
        <v>472.3</v>
      </c>
      <c r="BU369">
        <v>537.29999999999995</v>
      </c>
      <c r="BV369">
        <v>346.3</v>
      </c>
      <c r="BW369">
        <v>386.2</v>
      </c>
      <c r="BX369">
        <v>767</v>
      </c>
      <c r="BY369">
        <v>757.2</v>
      </c>
      <c r="BZ369">
        <v>1037.2</v>
      </c>
      <c r="CA369">
        <v>1227.0999999999999</v>
      </c>
      <c r="CB369">
        <v>1232.0999999999999</v>
      </c>
      <c r="CC369">
        <v>1701.5</v>
      </c>
      <c r="CD369">
        <v>0</v>
      </c>
      <c r="CG369">
        <v>1385.3</v>
      </c>
      <c r="CJ369">
        <v>1630.2999999999997</v>
      </c>
      <c r="CM369">
        <v>1184.2</v>
      </c>
      <c r="CO369">
        <v>1248.0999999999999</v>
      </c>
      <c r="CQ369">
        <v>1435.3</v>
      </c>
      <c r="CR369">
        <v>798.2</v>
      </c>
      <c r="CS369">
        <v>923.8</v>
      </c>
      <c r="CT369">
        <v>0</v>
      </c>
      <c r="CU369">
        <v>0</v>
      </c>
      <c r="CV369">
        <v>0</v>
      </c>
      <c r="CW369">
        <v>0</v>
      </c>
      <c r="CX369">
        <v>163.69999999999999</v>
      </c>
      <c r="CY369">
        <v>0</v>
      </c>
      <c r="CZ369">
        <v>0</v>
      </c>
      <c r="DA369">
        <v>0</v>
      </c>
      <c r="DB369">
        <v>0</v>
      </c>
      <c r="DC369">
        <v>0</v>
      </c>
      <c r="DD369">
        <v>0</v>
      </c>
      <c r="DE369">
        <v>0</v>
      </c>
      <c r="DI369">
        <v>0</v>
      </c>
      <c r="EC369">
        <v>0</v>
      </c>
      <c r="ED369">
        <v>0</v>
      </c>
      <c r="EE369">
        <v>0</v>
      </c>
      <c r="EF369">
        <v>0</v>
      </c>
      <c r="EG369">
        <v>0</v>
      </c>
      <c r="EH369">
        <v>0</v>
      </c>
      <c r="EI369">
        <v>0</v>
      </c>
      <c r="EJ369">
        <v>0</v>
      </c>
      <c r="EM369">
        <v>0</v>
      </c>
      <c r="EN369">
        <v>0</v>
      </c>
      <c r="EO369">
        <v>0</v>
      </c>
      <c r="EP369">
        <v>0</v>
      </c>
      <c r="EQ369">
        <v>0</v>
      </c>
      <c r="ER369">
        <v>0</v>
      </c>
      <c r="ES369">
        <v>0</v>
      </c>
      <c r="ET369">
        <v>0</v>
      </c>
      <c r="EW369">
        <v>0</v>
      </c>
      <c r="EX369">
        <v>0</v>
      </c>
      <c r="EY369">
        <v>0</v>
      </c>
      <c r="EZ369">
        <v>0</v>
      </c>
      <c r="FA369">
        <v>0</v>
      </c>
      <c r="FB369">
        <v>0</v>
      </c>
      <c r="FC369">
        <v>0</v>
      </c>
      <c r="FD369">
        <v>0</v>
      </c>
      <c r="FG369" t="e">
        <v>#N/A</v>
      </c>
      <c r="FI369" t="e">
        <v>#N/A</v>
      </c>
      <c r="FK369" t="e">
        <v>#N/A</v>
      </c>
      <c r="FM369" t="e">
        <v>#N/A</v>
      </c>
      <c r="FO369" t="e">
        <v>#N/A</v>
      </c>
      <c r="FQ369" t="e">
        <v>#N/A</v>
      </c>
      <c r="FS369" t="e">
        <v>#N/A</v>
      </c>
      <c r="FU369" t="e">
        <v>#N/A</v>
      </c>
      <c r="FW369" t="e">
        <v>#N/A</v>
      </c>
      <c r="FY369" t="e">
        <v>#N/A</v>
      </c>
      <c r="GA369" t="e">
        <v>#N/A</v>
      </c>
      <c r="GC369" t="e">
        <v>#N/A</v>
      </c>
      <c r="GE369" t="e">
        <v>#N/A</v>
      </c>
      <c r="GG369" t="e">
        <v>#N/A</v>
      </c>
      <c r="GI369" t="e">
        <v>#N/A</v>
      </c>
      <c r="GK369" t="e">
        <v>#N/A</v>
      </c>
      <c r="GM369" t="e">
        <v>#N/A</v>
      </c>
      <c r="GO369" t="e">
        <v>#N/A</v>
      </c>
      <c r="GQ369" t="e">
        <v>#N/A</v>
      </c>
      <c r="GS369" t="e">
        <v>#N/A</v>
      </c>
      <c r="GU369" t="e">
        <v>#N/A</v>
      </c>
      <c r="GW369" t="e">
        <v>#N/A</v>
      </c>
      <c r="GY369" t="e">
        <v>#N/A</v>
      </c>
      <c r="HA369" t="e">
        <v>#N/A</v>
      </c>
      <c r="HC369">
        <v>0</v>
      </c>
      <c r="HD369">
        <v>0</v>
      </c>
      <c r="HE369">
        <v>0</v>
      </c>
      <c r="HF369">
        <v>0</v>
      </c>
      <c r="HG369">
        <v>0</v>
      </c>
      <c r="HH369">
        <v>0</v>
      </c>
      <c r="HI369">
        <v>0</v>
      </c>
      <c r="HJ369">
        <v>0</v>
      </c>
      <c r="HM369">
        <v>0</v>
      </c>
      <c r="HN369">
        <v>0</v>
      </c>
      <c r="HO369">
        <v>0</v>
      </c>
      <c r="HP369">
        <v>0</v>
      </c>
      <c r="HQ369">
        <v>0</v>
      </c>
      <c r="HR369">
        <v>0</v>
      </c>
      <c r="HS369">
        <v>0</v>
      </c>
      <c r="HT369">
        <v>0</v>
      </c>
      <c r="HW369">
        <v>0</v>
      </c>
      <c r="HX369">
        <v>0</v>
      </c>
      <c r="HY369">
        <v>0</v>
      </c>
      <c r="HZ369">
        <v>0</v>
      </c>
      <c r="IA369">
        <v>3930.6</v>
      </c>
      <c r="IB369">
        <v>3632.9</v>
      </c>
      <c r="IC369">
        <v>3795.5</v>
      </c>
      <c r="ID369">
        <v>0</v>
      </c>
      <c r="IE369">
        <v>0</v>
      </c>
      <c r="IF369">
        <v>3548.5</v>
      </c>
      <c r="IG369">
        <v>3395.2</v>
      </c>
      <c r="IH369">
        <v>3395.4</v>
      </c>
      <c r="II369">
        <v>3302.3</v>
      </c>
      <c r="IJ369">
        <v>3172.8</v>
      </c>
      <c r="IK369">
        <v>0</v>
      </c>
      <c r="IL369">
        <v>0</v>
      </c>
      <c r="IM369">
        <v>0</v>
      </c>
      <c r="IN369">
        <v>0</v>
      </c>
      <c r="IO369">
        <v>123.4</v>
      </c>
      <c r="IP369">
        <v>405.2</v>
      </c>
      <c r="IQ369">
        <v>418.7</v>
      </c>
      <c r="IR369">
        <v>0</v>
      </c>
      <c r="IS369">
        <v>0</v>
      </c>
      <c r="IT369">
        <v>0</v>
      </c>
      <c r="IU369">
        <v>0</v>
      </c>
      <c r="IV369">
        <v>396</v>
      </c>
      <c r="IW369">
        <v>0</v>
      </c>
      <c r="IX369">
        <v>0</v>
      </c>
      <c r="IZ369">
        <v>0</v>
      </c>
      <c r="JA369">
        <v>65.5</v>
      </c>
      <c r="JB369">
        <v>443.5</v>
      </c>
      <c r="JC369">
        <v>0</v>
      </c>
      <c r="JD369">
        <v>0</v>
      </c>
      <c r="JE369">
        <v>0</v>
      </c>
      <c r="JF369">
        <v>0</v>
      </c>
      <c r="JG369">
        <v>0</v>
      </c>
      <c r="JH369">
        <v>0</v>
      </c>
      <c r="JI369">
        <v>0</v>
      </c>
      <c r="JJ369">
        <v>0</v>
      </c>
      <c r="JK369">
        <v>0</v>
      </c>
      <c r="JL369">
        <v>0</v>
      </c>
      <c r="JM369">
        <v>0</v>
      </c>
      <c r="JN369">
        <v>0</v>
      </c>
      <c r="JO369">
        <v>0</v>
      </c>
      <c r="JP369">
        <v>0</v>
      </c>
      <c r="JQ369">
        <v>0</v>
      </c>
      <c r="JR369">
        <v>0</v>
      </c>
      <c r="JS369">
        <v>0</v>
      </c>
      <c r="JT369">
        <v>0</v>
      </c>
      <c r="JU369">
        <v>0</v>
      </c>
      <c r="JV369">
        <v>0</v>
      </c>
      <c r="JW369">
        <v>0</v>
      </c>
      <c r="JX369">
        <v>0</v>
      </c>
      <c r="JY369">
        <v>0</v>
      </c>
      <c r="JZ369">
        <v>0</v>
      </c>
      <c r="KA369">
        <v>0</v>
      </c>
      <c r="KB369">
        <v>0</v>
      </c>
      <c r="KC369">
        <v>0</v>
      </c>
      <c r="KD369">
        <v>0</v>
      </c>
      <c r="KE369">
        <v>0</v>
      </c>
      <c r="KF369">
        <v>0</v>
      </c>
      <c r="KI369">
        <v>344.6</v>
      </c>
      <c r="KJ369">
        <v>350.8</v>
      </c>
      <c r="KK369">
        <v>22.1</v>
      </c>
      <c r="KL369">
        <v>379.3</v>
      </c>
      <c r="KM369">
        <v>241.4</v>
      </c>
      <c r="KN369">
        <v>0</v>
      </c>
      <c r="KO369">
        <v>0</v>
      </c>
      <c r="KP369">
        <v>57.3</v>
      </c>
      <c r="KQ369">
        <v>224.4</v>
      </c>
      <c r="KR369">
        <v>338.3</v>
      </c>
      <c r="KS369">
        <v>215.8</v>
      </c>
      <c r="KT369">
        <v>40.700000000000003</v>
      </c>
      <c r="KW369">
        <v>2154.5</v>
      </c>
      <c r="KX369">
        <v>1255.7</v>
      </c>
      <c r="KY369">
        <v>1630.1</v>
      </c>
      <c r="KZ369">
        <v>1246.9000000000001</v>
      </c>
      <c r="LB369">
        <v>78.099999999999994</v>
      </c>
      <c r="LC369">
        <v>77.7</v>
      </c>
    </row>
    <row r="370" spans="1:315" ht="18" thickBot="1">
      <c r="A370" s="245"/>
      <c r="B370" s="245"/>
      <c r="C370" s="332"/>
      <c r="D370" s="286"/>
      <c r="E370" s="449">
        <v>0</v>
      </c>
      <c r="F370" s="209">
        <v>0</v>
      </c>
      <c r="G370" s="427">
        <v>3413.8</v>
      </c>
      <c r="H370" s="155"/>
      <c r="I370">
        <v>735</v>
      </c>
      <c r="K370">
        <v>1973.1000000000001</v>
      </c>
      <c r="L370" s="4">
        <v>221.60000000000002</v>
      </c>
      <c r="M370" s="4">
        <v>54.9</v>
      </c>
      <c r="N370" s="4">
        <v>1989.7</v>
      </c>
      <c r="P370">
        <v>0</v>
      </c>
      <c r="Q370">
        <v>238.29999999999998</v>
      </c>
      <c r="R370">
        <v>0</v>
      </c>
      <c r="S370">
        <v>0</v>
      </c>
      <c r="T370">
        <v>368.5</v>
      </c>
      <c r="W370">
        <v>720.3</v>
      </c>
      <c r="X370">
        <v>1411.5</v>
      </c>
      <c r="Y370">
        <v>96.5</v>
      </c>
      <c r="AA370">
        <v>859.6</v>
      </c>
      <c r="AB370">
        <v>1577.6000000000001</v>
      </c>
      <c r="AE370">
        <v>1330</v>
      </c>
      <c r="AF370">
        <v>1025.5</v>
      </c>
      <c r="AH370">
        <v>509.9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1349.3</v>
      </c>
      <c r="AO370">
        <v>786.40000000000009</v>
      </c>
      <c r="AP370">
        <v>0</v>
      </c>
      <c r="AQ370">
        <v>68.3</v>
      </c>
      <c r="AR370">
        <v>234.9</v>
      </c>
      <c r="AS370">
        <v>600.40000000000009</v>
      </c>
      <c r="AU370">
        <v>985.69999999999993</v>
      </c>
      <c r="AW370">
        <v>792</v>
      </c>
      <c r="AX370">
        <v>1988.5</v>
      </c>
      <c r="AZ370">
        <v>763.5</v>
      </c>
      <c r="BA370">
        <v>0</v>
      </c>
      <c r="BB370">
        <v>0</v>
      </c>
      <c r="BC370">
        <v>1935.3</v>
      </c>
      <c r="BD370">
        <v>1006.5</v>
      </c>
      <c r="BE370">
        <v>0</v>
      </c>
      <c r="BF370">
        <v>0</v>
      </c>
      <c r="BG370">
        <v>0</v>
      </c>
      <c r="BH370">
        <v>1662.6</v>
      </c>
      <c r="BJ370">
        <v>0</v>
      </c>
      <c r="BK370">
        <v>0</v>
      </c>
      <c r="BL370">
        <v>1038.9000000000001</v>
      </c>
      <c r="BM370">
        <v>1101</v>
      </c>
      <c r="BO370">
        <v>1276.8000000000002</v>
      </c>
      <c r="BQ370">
        <v>0</v>
      </c>
      <c r="BR370">
        <v>270.7</v>
      </c>
      <c r="BS370">
        <v>230.5</v>
      </c>
      <c r="BT370">
        <v>472.3</v>
      </c>
      <c r="BU370">
        <v>537.29999999999995</v>
      </c>
      <c r="BV370">
        <v>346.3</v>
      </c>
      <c r="BW370">
        <v>386.2</v>
      </c>
      <c r="BX370">
        <v>767</v>
      </c>
      <c r="BY370">
        <v>757.2</v>
      </c>
      <c r="BZ370">
        <v>1037.2</v>
      </c>
      <c r="CA370">
        <v>1227.0999999999999</v>
      </c>
      <c r="CB370">
        <v>1232.0999999999999</v>
      </c>
      <c r="CC370">
        <v>1701.5</v>
      </c>
      <c r="CD370">
        <v>0</v>
      </c>
      <c r="CG370">
        <v>1385.3</v>
      </c>
      <c r="CJ370">
        <v>1630.2999999999997</v>
      </c>
      <c r="CM370">
        <v>1184.2</v>
      </c>
      <c r="CO370">
        <v>1248.0999999999999</v>
      </c>
      <c r="CQ370">
        <v>1435.3</v>
      </c>
      <c r="CR370">
        <v>798.2</v>
      </c>
      <c r="CS370">
        <v>923.8</v>
      </c>
      <c r="CT370">
        <v>0</v>
      </c>
      <c r="CU370">
        <v>0</v>
      </c>
      <c r="CV370">
        <v>0</v>
      </c>
      <c r="CW370">
        <v>0</v>
      </c>
      <c r="CX370">
        <v>163.69999999999999</v>
      </c>
      <c r="CY370">
        <v>0</v>
      </c>
      <c r="CZ370">
        <v>0</v>
      </c>
      <c r="DA370">
        <v>0</v>
      </c>
      <c r="DB370">
        <v>0</v>
      </c>
      <c r="DC370">
        <v>0</v>
      </c>
      <c r="DD370">
        <v>0</v>
      </c>
      <c r="DE370">
        <v>0</v>
      </c>
      <c r="DI370">
        <v>0</v>
      </c>
      <c r="EC370">
        <v>0</v>
      </c>
      <c r="ED370">
        <v>0</v>
      </c>
      <c r="EE370">
        <v>0</v>
      </c>
      <c r="EF370">
        <v>0</v>
      </c>
      <c r="EG370">
        <v>0</v>
      </c>
      <c r="EH370">
        <v>0</v>
      </c>
      <c r="EI370">
        <v>0</v>
      </c>
      <c r="EJ370">
        <v>0</v>
      </c>
      <c r="EM370">
        <v>0</v>
      </c>
      <c r="EN370">
        <v>0</v>
      </c>
      <c r="EO370">
        <v>0</v>
      </c>
      <c r="EP370">
        <v>0</v>
      </c>
      <c r="EQ370">
        <v>0</v>
      </c>
      <c r="ER370">
        <v>0</v>
      </c>
      <c r="ES370">
        <v>0</v>
      </c>
      <c r="ET370">
        <v>0</v>
      </c>
      <c r="EW370">
        <v>0</v>
      </c>
      <c r="EX370">
        <v>0</v>
      </c>
      <c r="EY370">
        <v>0</v>
      </c>
      <c r="EZ370">
        <v>0</v>
      </c>
      <c r="FA370">
        <v>0</v>
      </c>
      <c r="FB370">
        <v>0</v>
      </c>
      <c r="FC370">
        <v>0</v>
      </c>
      <c r="FD370">
        <v>0</v>
      </c>
      <c r="FG370" t="e">
        <v>#N/A</v>
      </c>
      <c r="FI370" t="e">
        <v>#N/A</v>
      </c>
      <c r="FK370" t="e">
        <v>#N/A</v>
      </c>
      <c r="FM370" t="e">
        <v>#N/A</v>
      </c>
      <c r="FO370" t="e">
        <v>#N/A</v>
      </c>
      <c r="FQ370" t="e">
        <v>#N/A</v>
      </c>
      <c r="FS370" t="e">
        <v>#N/A</v>
      </c>
      <c r="FU370" t="e">
        <v>#N/A</v>
      </c>
      <c r="FW370" t="e">
        <v>#N/A</v>
      </c>
      <c r="FY370" t="e">
        <v>#N/A</v>
      </c>
      <c r="GA370" t="e">
        <v>#N/A</v>
      </c>
      <c r="GC370" t="e">
        <v>#N/A</v>
      </c>
      <c r="GE370" t="e">
        <v>#N/A</v>
      </c>
      <c r="GG370" t="e">
        <v>#N/A</v>
      </c>
      <c r="GI370" t="e">
        <v>#N/A</v>
      </c>
      <c r="GK370" t="e">
        <v>#N/A</v>
      </c>
      <c r="GM370" t="e">
        <v>#N/A</v>
      </c>
      <c r="GO370" t="e">
        <v>#N/A</v>
      </c>
      <c r="GQ370" t="e">
        <v>#N/A</v>
      </c>
      <c r="GS370" t="e">
        <v>#N/A</v>
      </c>
      <c r="GU370" t="e">
        <v>#N/A</v>
      </c>
      <c r="GW370" t="e">
        <v>#N/A</v>
      </c>
      <c r="GY370" t="e">
        <v>#N/A</v>
      </c>
      <c r="HA370" t="e">
        <v>#N/A</v>
      </c>
      <c r="HC370">
        <v>0</v>
      </c>
      <c r="HD370">
        <v>0</v>
      </c>
      <c r="HE370">
        <v>0</v>
      </c>
      <c r="HF370">
        <v>0</v>
      </c>
      <c r="HG370">
        <v>0</v>
      </c>
      <c r="HH370">
        <v>0</v>
      </c>
      <c r="HI370">
        <v>0</v>
      </c>
      <c r="HJ370">
        <v>0</v>
      </c>
      <c r="HM370">
        <v>0</v>
      </c>
      <c r="HN370">
        <v>0</v>
      </c>
      <c r="HO370">
        <v>0</v>
      </c>
      <c r="HP370">
        <v>0</v>
      </c>
      <c r="HQ370">
        <v>0</v>
      </c>
      <c r="HR370">
        <v>0</v>
      </c>
      <c r="HS370">
        <v>0</v>
      </c>
      <c r="HT370">
        <v>0</v>
      </c>
      <c r="HW370">
        <v>0</v>
      </c>
      <c r="HX370">
        <v>0</v>
      </c>
      <c r="HY370">
        <v>0</v>
      </c>
      <c r="HZ370">
        <v>0</v>
      </c>
      <c r="IA370">
        <v>3930.6</v>
      </c>
      <c r="IB370">
        <v>3632.9</v>
      </c>
      <c r="IC370">
        <v>3795.5</v>
      </c>
      <c r="ID370">
        <v>0</v>
      </c>
      <c r="IE370">
        <v>0</v>
      </c>
      <c r="IF370">
        <v>3548.5</v>
      </c>
      <c r="IG370">
        <v>3395.2</v>
      </c>
      <c r="IH370">
        <v>3395.4</v>
      </c>
      <c r="II370">
        <v>3302.3</v>
      </c>
      <c r="IJ370">
        <v>3172.8</v>
      </c>
      <c r="IK370">
        <v>0</v>
      </c>
      <c r="IL370">
        <v>0</v>
      </c>
      <c r="IM370">
        <v>0</v>
      </c>
      <c r="IN370">
        <v>0</v>
      </c>
      <c r="IO370">
        <v>123.4</v>
      </c>
      <c r="IP370">
        <v>405.2</v>
      </c>
      <c r="IQ370">
        <v>418.7</v>
      </c>
      <c r="IR370">
        <v>0</v>
      </c>
      <c r="IS370">
        <v>0</v>
      </c>
      <c r="IT370">
        <v>0</v>
      </c>
      <c r="IU370">
        <v>0</v>
      </c>
      <c r="IV370">
        <v>396</v>
      </c>
      <c r="IW370">
        <v>0</v>
      </c>
      <c r="IX370">
        <v>0</v>
      </c>
      <c r="IZ370">
        <v>0</v>
      </c>
      <c r="JA370">
        <v>65.5</v>
      </c>
      <c r="JB370">
        <v>443.5</v>
      </c>
      <c r="JC370">
        <v>0</v>
      </c>
      <c r="JD370">
        <v>0</v>
      </c>
      <c r="JE370">
        <v>0</v>
      </c>
      <c r="JF370">
        <v>0</v>
      </c>
      <c r="JG370">
        <v>0</v>
      </c>
      <c r="JH370">
        <v>0</v>
      </c>
      <c r="JI370">
        <v>0</v>
      </c>
      <c r="JJ370">
        <v>0</v>
      </c>
      <c r="JK370">
        <v>0</v>
      </c>
      <c r="JL370">
        <v>0</v>
      </c>
      <c r="JM370">
        <v>0</v>
      </c>
      <c r="JN370">
        <v>0</v>
      </c>
      <c r="JO370">
        <v>0</v>
      </c>
      <c r="JP370">
        <v>0</v>
      </c>
      <c r="JQ370">
        <v>0</v>
      </c>
      <c r="JR370">
        <v>0</v>
      </c>
      <c r="JS370">
        <v>0</v>
      </c>
      <c r="JT370">
        <v>0</v>
      </c>
      <c r="JU370">
        <v>0</v>
      </c>
      <c r="JV370">
        <v>0</v>
      </c>
      <c r="JW370">
        <v>0</v>
      </c>
      <c r="JX370">
        <v>0</v>
      </c>
      <c r="JY370">
        <v>0</v>
      </c>
      <c r="JZ370">
        <v>0</v>
      </c>
      <c r="KA370">
        <v>0</v>
      </c>
      <c r="KB370">
        <v>0</v>
      </c>
      <c r="KC370">
        <v>0</v>
      </c>
      <c r="KD370">
        <v>0</v>
      </c>
      <c r="KE370">
        <v>0</v>
      </c>
      <c r="KF370">
        <v>0</v>
      </c>
      <c r="KI370">
        <v>344.6</v>
      </c>
      <c r="KJ370">
        <v>350.8</v>
      </c>
      <c r="KK370">
        <v>22.1</v>
      </c>
      <c r="KL370">
        <v>379.3</v>
      </c>
      <c r="KM370">
        <v>241.4</v>
      </c>
      <c r="KN370">
        <v>0</v>
      </c>
      <c r="KO370">
        <v>0</v>
      </c>
      <c r="KP370">
        <v>57.3</v>
      </c>
      <c r="KQ370">
        <v>224.4</v>
      </c>
      <c r="KR370">
        <v>338.3</v>
      </c>
      <c r="KS370">
        <v>215.8</v>
      </c>
      <c r="KT370">
        <v>40.700000000000003</v>
      </c>
      <c r="KW370">
        <v>2154.5</v>
      </c>
      <c r="KX370">
        <v>1255.7</v>
      </c>
      <c r="KY370">
        <v>1630.1</v>
      </c>
      <c r="KZ370">
        <v>1246.9000000000001</v>
      </c>
      <c r="LB370">
        <v>78.099999999999994</v>
      </c>
      <c r="LC370">
        <v>77.7</v>
      </c>
    </row>
    <row r="371" spans="1:315" ht="18" thickBot="1">
      <c r="A371" s="246"/>
      <c r="B371" s="246"/>
      <c r="C371" s="340"/>
      <c r="D371" s="296"/>
      <c r="E371" s="452">
        <v>0</v>
      </c>
      <c r="F371" s="212">
        <v>0</v>
      </c>
      <c r="G371" s="427">
        <v>3413.8</v>
      </c>
      <c r="H371" s="155"/>
      <c r="I371">
        <v>735</v>
      </c>
      <c r="K371">
        <v>1973.1000000000001</v>
      </c>
      <c r="L371" s="4">
        <v>221.60000000000002</v>
      </c>
      <c r="M371" s="4">
        <v>54.9</v>
      </c>
      <c r="N371" s="4">
        <v>1989.7</v>
      </c>
      <c r="P371">
        <v>0</v>
      </c>
      <c r="Q371">
        <v>238.29999999999998</v>
      </c>
      <c r="R371">
        <v>0</v>
      </c>
      <c r="S371">
        <v>0</v>
      </c>
      <c r="T371">
        <v>368.5</v>
      </c>
      <c r="W371">
        <v>720.3</v>
      </c>
      <c r="X371">
        <v>1411.5</v>
      </c>
      <c r="Y371">
        <v>96.5</v>
      </c>
      <c r="AA371">
        <v>859.6</v>
      </c>
      <c r="AB371">
        <v>1577.6000000000001</v>
      </c>
      <c r="AE371">
        <v>1330</v>
      </c>
      <c r="AF371">
        <v>1025.5</v>
      </c>
      <c r="AH371">
        <v>509.9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1349.3</v>
      </c>
      <c r="AO371">
        <v>786.40000000000009</v>
      </c>
      <c r="AP371">
        <v>0</v>
      </c>
      <c r="AQ371">
        <v>68.3</v>
      </c>
      <c r="AR371">
        <v>234.9</v>
      </c>
      <c r="AS371">
        <v>600.40000000000009</v>
      </c>
      <c r="AU371">
        <v>985.69999999999993</v>
      </c>
      <c r="AW371">
        <v>792</v>
      </c>
      <c r="AX371">
        <v>1988.5</v>
      </c>
      <c r="AZ371">
        <v>763.5</v>
      </c>
      <c r="BA371">
        <v>0</v>
      </c>
      <c r="BB371">
        <v>0</v>
      </c>
      <c r="BC371">
        <v>1935.3</v>
      </c>
      <c r="BD371">
        <v>1006.5</v>
      </c>
      <c r="BE371">
        <v>0</v>
      </c>
      <c r="BF371">
        <v>0</v>
      </c>
      <c r="BG371">
        <v>0</v>
      </c>
      <c r="BH371">
        <v>1662.6</v>
      </c>
      <c r="BJ371">
        <v>0</v>
      </c>
      <c r="BK371">
        <v>0</v>
      </c>
      <c r="BL371">
        <v>1038.9000000000001</v>
      </c>
      <c r="BM371">
        <v>1101</v>
      </c>
      <c r="BO371">
        <v>1276.8000000000002</v>
      </c>
      <c r="BQ371">
        <v>0</v>
      </c>
      <c r="BR371">
        <v>270.7</v>
      </c>
      <c r="BS371">
        <v>230.5</v>
      </c>
      <c r="BT371">
        <v>472.3</v>
      </c>
      <c r="BU371">
        <v>537.29999999999995</v>
      </c>
      <c r="BV371">
        <v>346.3</v>
      </c>
      <c r="BW371">
        <v>386.2</v>
      </c>
      <c r="BX371">
        <v>767</v>
      </c>
      <c r="BY371">
        <v>757.2</v>
      </c>
      <c r="BZ371">
        <v>1037.2</v>
      </c>
      <c r="CA371">
        <v>1227.0999999999999</v>
      </c>
      <c r="CB371">
        <v>1232.0999999999999</v>
      </c>
      <c r="CC371">
        <v>1701.5</v>
      </c>
      <c r="CD371">
        <v>0</v>
      </c>
      <c r="CG371">
        <v>1385.3</v>
      </c>
      <c r="CJ371">
        <v>1630.2999999999997</v>
      </c>
      <c r="CM371">
        <v>1184.2</v>
      </c>
      <c r="CO371">
        <v>1248.0999999999999</v>
      </c>
      <c r="CQ371">
        <v>1435.3</v>
      </c>
      <c r="CR371">
        <v>798.2</v>
      </c>
      <c r="CS371">
        <v>923.8</v>
      </c>
      <c r="CT371">
        <v>0</v>
      </c>
      <c r="CU371">
        <v>0</v>
      </c>
      <c r="CV371">
        <v>0</v>
      </c>
      <c r="CW371">
        <v>0</v>
      </c>
      <c r="CX371">
        <v>163.69999999999999</v>
      </c>
      <c r="CY371">
        <v>0</v>
      </c>
      <c r="CZ371">
        <v>0</v>
      </c>
      <c r="DA371">
        <v>0</v>
      </c>
      <c r="DB371">
        <v>0</v>
      </c>
      <c r="DC371">
        <v>0</v>
      </c>
      <c r="DD371">
        <v>0</v>
      </c>
      <c r="DE371">
        <v>0</v>
      </c>
      <c r="DI371">
        <v>0</v>
      </c>
      <c r="EC371">
        <v>0</v>
      </c>
      <c r="ED371">
        <v>0</v>
      </c>
      <c r="EE371">
        <v>0</v>
      </c>
      <c r="EF371">
        <v>0</v>
      </c>
      <c r="EG371">
        <v>0</v>
      </c>
      <c r="EH371">
        <v>0</v>
      </c>
      <c r="EI371">
        <v>0</v>
      </c>
      <c r="EJ371">
        <v>0</v>
      </c>
      <c r="EM371">
        <v>0</v>
      </c>
      <c r="EN371">
        <v>0</v>
      </c>
      <c r="EO371">
        <v>0</v>
      </c>
      <c r="EP371">
        <v>0</v>
      </c>
      <c r="EQ371">
        <v>0</v>
      </c>
      <c r="ER371">
        <v>0</v>
      </c>
      <c r="ES371">
        <v>0</v>
      </c>
      <c r="ET371">
        <v>0</v>
      </c>
      <c r="EW371">
        <v>0</v>
      </c>
      <c r="EX371">
        <v>0</v>
      </c>
      <c r="EY371">
        <v>0</v>
      </c>
      <c r="EZ371">
        <v>0</v>
      </c>
      <c r="FA371">
        <v>0</v>
      </c>
      <c r="FB371">
        <v>0</v>
      </c>
      <c r="FC371">
        <v>0</v>
      </c>
      <c r="FD371">
        <v>0</v>
      </c>
      <c r="FG371" t="e">
        <v>#N/A</v>
      </c>
      <c r="FI371" t="e">
        <v>#N/A</v>
      </c>
      <c r="FK371" t="e">
        <v>#N/A</v>
      </c>
      <c r="FM371" t="e">
        <v>#N/A</v>
      </c>
      <c r="FO371" t="e">
        <v>#N/A</v>
      </c>
      <c r="FQ371" t="e">
        <v>#N/A</v>
      </c>
      <c r="FS371" t="e">
        <v>#N/A</v>
      </c>
      <c r="FU371" t="e">
        <v>#N/A</v>
      </c>
      <c r="FW371" t="e">
        <v>#N/A</v>
      </c>
      <c r="FY371" t="e">
        <v>#N/A</v>
      </c>
      <c r="GA371" t="e">
        <v>#N/A</v>
      </c>
      <c r="GC371" t="e">
        <v>#N/A</v>
      </c>
      <c r="GE371" t="e">
        <v>#N/A</v>
      </c>
      <c r="GG371" t="e">
        <v>#N/A</v>
      </c>
      <c r="GI371" t="e">
        <v>#N/A</v>
      </c>
      <c r="GK371" t="e">
        <v>#N/A</v>
      </c>
      <c r="GM371" t="e">
        <v>#N/A</v>
      </c>
      <c r="GO371" t="e">
        <v>#N/A</v>
      </c>
      <c r="GQ371" t="e">
        <v>#N/A</v>
      </c>
      <c r="GS371" t="e">
        <v>#N/A</v>
      </c>
      <c r="GU371" t="e">
        <v>#N/A</v>
      </c>
      <c r="GW371" t="e">
        <v>#N/A</v>
      </c>
      <c r="GY371" t="e">
        <v>#N/A</v>
      </c>
      <c r="HA371" t="e">
        <v>#N/A</v>
      </c>
      <c r="HC371">
        <v>0</v>
      </c>
      <c r="HD371">
        <v>0</v>
      </c>
      <c r="HE371">
        <v>0</v>
      </c>
      <c r="HF371">
        <v>0</v>
      </c>
      <c r="HG371">
        <v>0</v>
      </c>
      <c r="HH371">
        <v>0</v>
      </c>
      <c r="HI371">
        <v>0</v>
      </c>
      <c r="HJ371">
        <v>0</v>
      </c>
      <c r="HM371">
        <v>0</v>
      </c>
      <c r="HN371">
        <v>0</v>
      </c>
      <c r="HO371">
        <v>0</v>
      </c>
      <c r="HP371">
        <v>0</v>
      </c>
      <c r="HQ371">
        <v>0</v>
      </c>
      <c r="HR371">
        <v>0</v>
      </c>
      <c r="HS371">
        <v>0</v>
      </c>
      <c r="HT371">
        <v>0</v>
      </c>
      <c r="HW371">
        <v>0</v>
      </c>
      <c r="HX371">
        <v>0</v>
      </c>
      <c r="HY371">
        <v>0</v>
      </c>
      <c r="HZ371">
        <v>0</v>
      </c>
      <c r="IA371">
        <v>3930.6</v>
      </c>
      <c r="IB371">
        <v>3632.9</v>
      </c>
      <c r="IC371">
        <v>3795.5</v>
      </c>
      <c r="ID371">
        <v>0</v>
      </c>
      <c r="IE371">
        <v>0</v>
      </c>
      <c r="IF371">
        <v>3548.5</v>
      </c>
      <c r="IG371">
        <v>3395.2</v>
      </c>
      <c r="IH371">
        <v>3395.4</v>
      </c>
      <c r="II371">
        <v>3302.3</v>
      </c>
      <c r="IJ371">
        <v>3172.8</v>
      </c>
      <c r="IK371">
        <v>0</v>
      </c>
      <c r="IL371">
        <v>0</v>
      </c>
      <c r="IM371">
        <v>0</v>
      </c>
      <c r="IN371">
        <v>0</v>
      </c>
      <c r="IO371">
        <v>123.4</v>
      </c>
      <c r="IP371">
        <v>405.2</v>
      </c>
      <c r="IQ371">
        <v>418.7</v>
      </c>
      <c r="IR371">
        <v>0</v>
      </c>
      <c r="IS371">
        <v>0</v>
      </c>
      <c r="IT371">
        <v>0</v>
      </c>
      <c r="IU371">
        <v>0</v>
      </c>
      <c r="IV371">
        <v>396</v>
      </c>
      <c r="IW371">
        <v>0</v>
      </c>
      <c r="IX371">
        <v>0</v>
      </c>
      <c r="IZ371">
        <v>0</v>
      </c>
      <c r="JA371">
        <v>65.5</v>
      </c>
      <c r="JB371">
        <v>443.5</v>
      </c>
      <c r="JC371">
        <v>0</v>
      </c>
      <c r="JD371">
        <v>0</v>
      </c>
      <c r="JE371">
        <v>0</v>
      </c>
      <c r="JF371">
        <v>0</v>
      </c>
      <c r="JG371">
        <v>0</v>
      </c>
      <c r="JH371">
        <v>0</v>
      </c>
      <c r="JI371">
        <v>0</v>
      </c>
      <c r="JJ371">
        <v>0</v>
      </c>
      <c r="JK371">
        <v>0</v>
      </c>
      <c r="JL371">
        <v>0</v>
      </c>
      <c r="JM371">
        <v>0</v>
      </c>
      <c r="JN371">
        <v>0</v>
      </c>
      <c r="JO371">
        <v>0</v>
      </c>
      <c r="JP371">
        <v>0</v>
      </c>
      <c r="JQ371">
        <v>0</v>
      </c>
      <c r="JR371">
        <v>0</v>
      </c>
      <c r="JS371">
        <v>0</v>
      </c>
      <c r="JT371">
        <v>0</v>
      </c>
      <c r="JU371">
        <v>0</v>
      </c>
      <c r="JV371">
        <v>0</v>
      </c>
      <c r="JW371">
        <v>0</v>
      </c>
      <c r="JX371">
        <v>0</v>
      </c>
      <c r="JY371">
        <v>0</v>
      </c>
      <c r="JZ371">
        <v>0</v>
      </c>
      <c r="KA371">
        <v>0</v>
      </c>
      <c r="KB371">
        <v>0</v>
      </c>
      <c r="KC371">
        <v>0</v>
      </c>
      <c r="KD371">
        <v>0</v>
      </c>
      <c r="KE371">
        <v>0</v>
      </c>
      <c r="KF371">
        <v>0</v>
      </c>
      <c r="KI371">
        <v>344.6</v>
      </c>
      <c r="KJ371">
        <v>350.8</v>
      </c>
      <c r="KK371">
        <v>22.1</v>
      </c>
      <c r="KL371">
        <v>379.3</v>
      </c>
      <c r="KM371">
        <v>241.4</v>
      </c>
      <c r="KN371">
        <v>0</v>
      </c>
      <c r="KO371">
        <v>0</v>
      </c>
      <c r="KP371">
        <v>57.3</v>
      </c>
      <c r="KQ371">
        <v>224.4</v>
      </c>
      <c r="KR371">
        <v>338.3</v>
      </c>
      <c r="KS371">
        <v>215.8</v>
      </c>
      <c r="KT371">
        <v>40.700000000000003</v>
      </c>
      <c r="KW371">
        <v>2154.5</v>
      </c>
      <c r="KX371">
        <v>1255.7</v>
      </c>
      <c r="KY371">
        <v>1630.1</v>
      </c>
      <c r="KZ371">
        <v>1246.9000000000001</v>
      </c>
      <c r="LB371">
        <v>78.099999999999994</v>
      </c>
      <c r="LC371">
        <v>77.7</v>
      </c>
    </row>
    <row r="372" spans="1:315" ht="18.600000000000001" thickTop="1" thickBot="1">
      <c r="A372" s="181"/>
      <c r="B372" s="181"/>
      <c r="C372" s="333" t="s">
        <v>865</v>
      </c>
      <c r="D372" s="287"/>
      <c r="E372" s="442">
        <v>0</v>
      </c>
      <c r="F372" s="190">
        <v>0</v>
      </c>
      <c r="G372" s="427">
        <v>3413.8</v>
      </c>
      <c r="H372" s="155"/>
      <c r="I372">
        <v>735</v>
      </c>
      <c r="K372">
        <v>1973.1000000000001</v>
      </c>
      <c r="L372" s="4">
        <v>221.60000000000002</v>
      </c>
      <c r="M372" s="4">
        <v>54.9</v>
      </c>
      <c r="N372" s="4">
        <v>1989.7</v>
      </c>
      <c r="P372">
        <v>0</v>
      </c>
      <c r="Q372">
        <v>238.29999999999998</v>
      </c>
      <c r="R372">
        <v>0</v>
      </c>
      <c r="S372">
        <v>0</v>
      </c>
      <c r="T372">
        <v>368.5</v>
      </c>
      <c r="W372">
        <v>720.3</v>
      </c>
      <c r="X372">
        <v>1411.5</v>
      </c>
      <c r="Y372">
        <v>96.5</v>
      </c>
      <c r="AA372">
        <v>859.6</v>
      </c>
      <c r="AB372">
        <v>1577.6000000000001</v>
      </c>
      <c r="AE372">
        <v>1330</v>
      </c>
      <c r="AF372">
        <v>1025.5</v>
      </c>
      <c r="AH372">
        <v>509.9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1349.3</v>
      </c>
      <c r="AO372">
        <v>786.40000000000009</v>
      </c>
      <c r="AP372">
        <v>0</v>
      </c>
      <c r="AQ372">
        <v>68.3</v>
      </c>
      <c r="AR372">
        <v>234.9</v>
      </c>
      <c r="AS372">
        <v>600.40000000000009</v>
      </c>
      <c r="AU372">
        <v>985.69999999999993</v>
      </c>
      <c r="AW372">
        <v>792</v>
      </c>
      <c r="AX372">
        <v>1988.5</v>
      </c>
      <c r="AZ372">
        <v>763.5</v>
      </c>
      <c r="BA372">
        <v>0</v>
      </c>
      <c r="BB372">
        <v>0</v>
      </c>
      <c r="BC372">
        <v>1935.3</v>
      </c>
      <c r="BD372">
        <v>1006.5</v>
      </c>
      <c r="BE372">
        <v>0</v>
      </c>
      <c r="BF372">
        <v>0</v>
      </c>
      <c r="BG372">
        <v>0</v>
      </c>
      <c r="BH372">
        <v>1662.6</v>
      </c>
      <c r="BJ372">
        <v>0</v>
      </c>
      <c r="BK372">
        <v>0</v>
      </c>
      <c r="BL372">
        <v>1038.9000000000001</v>
      </c>
      <c r="BM372">
        <v>1101</v>
      </c>
      <c r="BO372">
        <v>1276.8000000000002</v>
      </c>
      <c r="BQ372">
        <v>0</v>
      </c>
      <c r="BR372">
        <v>270.7</v>
      </c>
      <c r="BS372">
        <v>230.5</v>
      </c>
      <c r="BT372">
        <v>472.3</v>
      </c>
      <c r="BU372">
        <v>537.29999999999995</v>
      </c>
      <c r="BV372">
        <v>346.3</v>
      </c>
      <c r="BW372">
        <v>386.2</v>
      </c>
      <c r="BX372">
        <v>767</v>
      </c>
      <c r="BY372">
        <v>757.2</v>
      </c>
      <c r="BZ372">
        <v>1037.2</v>
      </c>
      <c r="CA372">
        <v>1227.0999999999999</v>
      </c>
      <c r="CB372">
        <v>1232.0999999999999</v>
      </c>
      <c r="CC372">
        <v>1701.5</v>
      </c>
      <c r="CD372">
        <v>0</v>
      </c>
      <c r="CG372">
        <v>1385.3</v>
      </c>
      <c r="CJ372">
        <v>1630.2999999999997</v>
      </c>
      <c r="CM372">
        <v>1184.2</v>
      </c>
      <c r="CO372">
        <v>1248.0999999999999</v>
      </c>
      <c r="CQ372">
        <v>1435.3</v>
      </c>
      <c r="CR372">
        <v>798.2</v>
      </c>
      <c r="CS372">
        <v>923.8</v>
      </c>
      <c r="CT372">
        <v>0</v>
      </c>
      <c r="CU372">
        <v>0</v>
      </c>
      <c r="CV372">
        <v>0</v>
      </c>
      <c r="CW372">
        <v>0</v>
      </c>
      <c r="CX372">
        <v>163.69999999999999</v>
      </c>
      <c r="CY372">
        <v>0</v>
      </c>
      <c r="CZ372">
        <v>0</v>
      </c>
      <c r="DA372">
        <v>0</v>
      </c>
      <c r="DB372">
        <v>0</v>
      </c>
      <c r="DC372">
        <v>0</v>
      </c>
      <c r="DD372">
        <v>0</v>
      </c>
      <c r="DE372">
        <v>0</v>
      </c>
      <c r="DI372">
        <v>0</v>
      </c>
      <c r="EC372">
        <v>0</v>
      </c>
      <c r="ED372">
        <v>0</v>
      </c>
      <c r="EE372">
        <v>0</v>
      </c>
      <c r="EF372">
        <v>0</v>
      </c>
      <c r="EG372">
        <v>0</v>
      </c>
      <c r="EH372">
        <v>0</v>
      </c>
      <c r="EI372">
        <v>0</v>
      </c>
      <c r="EJ372">
        <v>0</v>
      </c>
      <c r="EM372">
        <v>0</v>
      </c>
      <c r="EN372">
        <v>0</v>
      </c>
      <c r="EO372">
        <v>0</v>
      </c>
      <c r="EP372">
        <v>0</v>
      </c>
      <c r="EQ372">
        <v>0</v>
      </c>
      <c r="ER372">
        <v>0</v>
      </c>
      <c r="ES372">
        <v>0</v>
      </c>
      <c r="ET372">
        <v>0</v>
      </c>
      <c r="EW372">
        <v>0</v>
      </c>
      <c r="EX372">
        <v>0</v>
      </c>
      <c r="EY372">
        <v>0</v>
      </c>
      <c r="EZ372">
        <v>0</v>
      </c>
      <c r="FA372">
        <v>0</v>
      </c>
      <c r="FB372">
        <v>0</v>
      </c>
      <c r="FC372">
        <v>0</v>
      </c>
      <c r="FD372">
        <v>0</v>
      </c>
      <c r="FG372" t="e">
        <v>#N/A</v>
      </c>
      <c r="FI372" t="e">
        <v>#N/A</v>
      </c>
      <c r="FK372" t="e">
        <v>#N/A</v>
      </c>
      <c r="FM372" t="e">
        <v>#N/A</v>
      </c>
      <c r="FO372" t="e">
        <v>#N/A</v>
      </c>
      <c r="FQ372" t="e">
        <v>#N/A</v>
      </c>
      <c r="FS372" t="e">
        <v>#N/A</v>
      </c>
      <c r="FU372" t="e">
        <v>#N/A</v>
      </c>
      <c r="FW372" t="e">
        <v>#N/A</v>
      </c>
      <c r="FY372" t="e">
        <v>#N/A</v>
      </c>
      <c r="GA372" t="e">
        <v>#N/A</v>
      </c>
      <c r="GC372" t="e">
        <v>#N/A</v>
      </c>
      <c r="GE372" t="e">
        <v>#N/A</v>
      </c>
      <c r="GG372" t="e">
        <v>#N/A</v>
      </c>
      <c r="GI372" t="e">
        <v>#N/A</v>
      </c>
      <c r="GK372" t="e">
        <v>#N/A</v>
      </c>
      <c r="GM372" t="e">
        <v>#N/A</v>
      </c>
      <c r="GO372" t="e">
        <v>#N/A</v>
      </c>
      <c r="GQ372" t="e">
        <v>#N/A</v>
      </c>
      <c r="GS372" t="e">
        <v>#N/A</v>
      </c>
      <c r="GU372" t="e">
        <v>#N/A</v>
      </c>
      <c r="GW372" t="e">
        <v>#N/A</v>
      </c>
      <c r="GY372" t="e">
        <v>#N/A</v>
      </c>
      <c r="HA372" t="e">
        <v>#N/A</v>
      </c>
      <c r="HC372">
        <v>0</v>
      </c>
      <c r="HD372">
        <v>0</v>
      </c>
      <c r="HE372">
        <v>0</v>
      </c>
      <c r="HF372">
        <v>0</v>
      </c>
      <c r="HG372">
        <v>0</v>
      </c>
      <c r="HH372">
        <v>0</v>
      </c>
      <c r="HI372">
        <v>0</v>
      </c>
      <c r="HJ372">
        <v>0</v>
      </c>
      <c r="HM372">
        <v>0</v>
      </c>
      <c r="HN372">
        <v>0</v>
      </c>
      <c r="HO372">
        <v>0</v>
      </c>
      <c r="HP372">
        <v>0</v>
      </c>
      <c r="HQ372">
        <v>0</v>
      </c>
      <c r="HR372">
        <v>0</v>
      </c>
      <c r="HS372">
        <v>0</v>
      </c>
      <c r="HT372">
        <v>0</v>
      </c>
      <c r="HW372">
        <v>0</v>
      </c>
      <c r="HX372">
        <v>0</v>
      </c>
      <c r="HY372">
        <v>0</v>
      </c>
      <c r="HZ372">
        <v>0</v>
      </c>
      <c r="IA372">
        <v>3930.6</v>
      </c>
      <c r="IB372">
        <v>3632.9</v>
      </c>
      <c r="IC372">
        <v>3795.5</v>
      </c>
      <c r="ID372">
        <v>0</v>
      </c>
      <c r="IE372">
        <v>0</v>
      </c>
      <c r="IF372">
        <v>3548.5</v>
      </c>
      <c r="IG372">
        <v>3395.2</v>
      </c>
      <c r="IH372">
        <v>3395.4</v>
      </c>
      <c r="II372">
        <v>3302.3</v>
      </c>
      <c r="IJ372">
        <v>3172.8</v>
      </c>
      <c r="IK372">
        <v>0</v>
      </c>
      <c r="IL372">
        <v>0</v>
      </c>
      <c r="IM372">
        <v>0</v>
      </c>
      <c r="IN372">
        <v>0</v>
      </c>
      <c r="IO372">
        <v>123.4</v>
      </c>
      <c r="IP372">
        <v>405.2</v>
      </c>
      <c r="IQ372">
        <v>418.7</v>
      </c>
      <c r="IR372">
        <v>0</v>
      </c>
      <c r="IS372">
        <v>0</v>
      </c>
      <c r="IT372">
        <v>0</v>
      </c>
      <c r="IU372">
        <v>0</v>
      </c>
      <c r="IV372">
        <v>396</v>
      </c>
      <c r="IW372">
        <v>0</v>
      </c>
      <c r="IX372">
        <v>0</v>
      </c>
      <c r="IZ372">
        <v>0</v>
      </c>
      <c r="JA372">
        <v>65.5</v>
      </c>
      <c r="JB372">
        <v>443.5</v>
      </c>
      <c r="JC372">
        <v>0</v>
      </c>
      <c r="JD372">
        <v>0</v>
      </c>
      <c r="JE372">
        <v>0</v>
      </c>
      <c r="JF372">
        <v>0</v>
      </c>
      <c r="JG372">
        <v>0</v>
      </c>
      <c r="JH372">
        <v>0</v>
      </c>
      <c r="JI372">
        <v>0</v>
      </c>
      <c r="JJ372">
        <v>0</v>
      </c>
      <c r="JK372">
        <v>0</v>
      </c>
      <c r="JL372">
        <v>0</v>
      </c>
      <c r="JM372">
        <v>0</v>
      </c>
      <c r="JN372">
        <v>0</v>
      </c>
      <c r="JO372">
        <v>0</v>
      </c>
      <c r="JP372">
        <v>0</v>
      </c>
      <c r="JQ372">
        <v>0</v>
      </c>
      <c r="JR372">
        <v>0</v>
      </c>
      <c r="JS372">
        <v>0</v>
      </c>
      <c r="JT372">
        <v>0</v>
      </c>
      <c r="JU372">
        <v>0</v>
      </c>
      <c r="JV372">
        <v>0</v>
      </c>
      <c r="JW372">
        <v>0</v>
      </c>
      <c r="JX372">
        <v>0</v>
      </c>
      <c r="JY372">
        <v>0</v>
      </c>
      <c r="JZ372">
        <v>0</v>
      </c>
      <c r="KA372">
        <v>0</v>
      </c>
      <c r="KB372">
        <v>0</v>
      </c>
      <c r="KC372">
        <v>0</v>
      </c>
      <c r="KD372">
        <v>0</v>
      </c>
      <c r="KE372">
        <v>0</v>
      </c>
      <c r="KF372">
        <v>0</v>
      </c>
      <c r="KI372">
        <v>344.6</v>
      </c>
      <c r="KJ372">
        <v>350.8</v>
      </c>
      <c r="KK372">
        <v>22.1</v>
      </c>
      <c r="KL372">
        <v>379.3</v>
      </c>
      <c r="KM372">
        <v>241.4</v>
      </c>
      <c r="KN372">
        <v>0</v>
      </c>
      <c r="KO372">
        <v>0</v>
      </c>
      <c r="KP372">
        <v>57.3</v>
      </c>
      <c r="KQ372">
        <v>224.4</v>
      </c>
      <c r="KR372">
        <v>338.3</v>
      </c>
      <c r="KS372">
        <v>215.8</v>
      </c>
      <c r="KT372">
        <v>40.700000000000003</v>
      </c>
      <c r="KW372">
        <v>2154.5</v>
      </c>
      <c r="KX372">
        <v>1255.7</v>
      </c>
      <c r="KY372">
        <v>1630.1</v>
      </c>
      <c r="KZ372">
        <v>1246.9000000000001</v>
      </c>
      <c r="LB372">
        <v>78.099999999999994</v>
      </c>
      <c r="LC372">
        <v>77.7</v>
      </c>
    </row>
    <row r="373" spans="1:315" ht="18" thickBot="1">
      <c r="A373" s="245"/>
      <c r="B373" s="245"/>
      <c r="C373" s="230" t="s">
        <v>687</v>
      </c>
      <c r="D373" s="281"/>
      <c r="E373" s="443">
        <v>0</v>
      </c>
      <c r="F373" s="191">
        <v>0</v>
      </c>
      <c r="G373" s="427">
        <v>3413.8</v>
      </c>
      <c r="H373" s="155"/>
      <c r="I373">
        <v>735</v>
      </c>
      <c r="K373">
        <v>1973.1000000000001</v>
      </c>
      <c r="L373" s="4">
        <v>221.60000000000002</v>
      </c>
      <c r="M373" s="4">
        <v>54.9</v>
      </c>
      <c r="N373" s="4">
        <v>1989.7</v>
      </c>
      <c r="P373">
        <v>0</v>
      </c>
      <c r="Q373">
        <v>238.29999999999998</v>
      </c>
      <c r="R373">
        <v>0</v>
      </c>
      <c r="S373">
        <v>0</v>
      </c>
      <c r="T373">
        <v>368.5</v>
      </c>
      <c r="W373">
        <v>720.3</v>
      </c>
      <c r="X373">
        <v>1411.5</v>
      </c>
      <c r="Y373">
        <v>96.5</v>
      </c>
      <c r="AA373">
        <v>859.6</v>
      </c>
      <c r="AB373">
        <v>1577.6000000000001</v>
      </c>
      <c r="AE373">
        <v>1330</v>
      </c>
      <c r="AF373">
        <v>1025.5</v>
      </c>
      <c r="AH373">
        <v>509.9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1349.3</v>
      </c>
      <c r="AO373">
        <v>786.40000000000009</v>
      </c>
      <c r="AP373">
        <v>0</v>
      </c>
      <c r="AQ373">
        <v>68.3</v>
      </c>
      <c r="AR373">
        <v>234.9</v>
      </c>
      <c r="AS373">
        <v>600.40000000000009</v>
      </c>
      <c r="AU373">
        <v>985.69999999999993</v>
      </c>
      <c r="AW373">
        <v>792</v>
      </c>
      <c r="AX373">
        <v>1988.5</v>
      </c>
      <c r="AZ373">
        <v>763.5</v>
      </c>
      <c r="BA373">
        <v>0</v>
      </c>
      <c r="BB373">
        <v>0</v>
      </c>
      <c r="BC373">
        <v>1935.3</v>
      </c>
      <c r="BD373">
        <v>1006.5</v>
      </c>
      <c r="BE373">
        <v>0</v>
      </c>
      <c r="BF373">
        <v>0</v>
      </c>
      <c r="BG373">
        <v>0</v>
      </c>
      <c r="BH373">
        <v>1662.6</v>
      </c>
      <c r="BJ373">
        <v>0</v>
      </c>
      <c r="BK373">
        <v>0</v>
      </c>
      <c r="BL373">
        <v>1038.9000000000001</v>
      </c>
      <c r="BM373">
        <v>1101</v>
      </c>
      <c r="BO373">
        <v>1276.8000000000002</v>
      </c>
      <c r="BQ373">
        <v>0</v>
      </c>
      <c r="BR373">
        <v>270.7</v>
      </c>
      <c r="BS373">
        <v>230.5</v>
      </c>
      <c r="BT373">
        <v>472.3</v>
      </c>
      <c r="BU373">
        <v>537.29999999999995</v>
      </c>
      <c r="BV373">
        <v>346.3</v>
      </c>
      <c r="BW373">
        <v>386.2</v>
      </c>
      <c r="BX373">
        <v>767</v>
      </c>
      <c r="BY373">
        <v>757.2</v>
      </c>
      <c r="BZ373">
        <v>1037.2</v>
      </c>
      <c r="CA373">
        <v>1227.0999999999999</v>
      </c>
      <c r="CB373">
        <v>1232.0999999999999</v>
      </c>
      <c r="CC373">
        <v>1701.5</v>
      </c>
      <c r="CD373">
        <v>0</v>
      </c>
      <c r="CG373">
        <v>1385.3</v>
      </c>
      <c r="CJ373">
        <v>1630.2999999999997</v>
      </c>
      <c r="CM373">
        <v>1184.2</v>
      </c>
      <c r="CO373">
        <v>1248.0999999999999</v>
      </c>
      <c r="CQ373">
        <v>1435.3</v>
      </c>
      <c r="CR373">
        <v>798.2</v>
      </c>
      <c r="CS373">
        <v>923.8</v>
      </c>
      <c r="CT373">
        <v>0</v>
      </c>
      <c r="CU373">
        <v>0</v>
      </c>
      <c r="CV373">
        <v>0</v>
      </c>
      <c r="CW373">
        <v>0</v>
      </c>
      <c r="CX373">
        <v>163.69999999999999</v>
      </c>
      <c r="CY373">
        <v>0</v>
      </c>
      <c r="CZ373">
        <v>0</v>
      </c>
      <c r="DA373">
        <v>0</v>
      </c>
      <c r="DB373">
        <v>0</v>
      </c>
      <c r="DC373">
        <v>0</v>
      </c>
      <c r="DD373">
        <v>0</v>
      </c>
      <c r="DE373">
        <v>0</v>
      </c>
      <c r="DI373">
        <v>0</v>
      </c>
      <c r="EC373">
        <v>0</v>
      </c>
      <c r="ED373">
        <v>0</v>
      </c>
      <c r="EE373">
        <v>0</v>
      </c>
      <c r="EF373">
        <v>0</v>
      </c>
      <c r="EG373">
        <v>0</v>
      </c>
      <c r="EH373">
        <v>0</v>
      </c>
      <c r="EI373">
        <v>0</v>
      </c>
      <c r="EJ373">
        <v>0</v>
      </c>
      <c r="EM373">
        <v>0</v>
      </c>
      <c r="EN373">
        <v>0</v>
      </c>
      <c r="EO373">
        <v>0</v>
      </c>
      <c r="EP373">
        <v>0</v>
      </c>
      <c r="EQ373">
        <v>0</v>
      </c>
      <c r="ER373">
        <v>0</v>
      </c>
      <c r="ES373">
        <v>0</v>
      </c>
      <c r="ET373">
        <v>0</v>
      </c>
      <c r="EW373">
        <v>0</v>
      </c>
      <c r="EX373">
        <v>0</v>
      </c>
      <c r="EY373">
        <v>0</v>
      </c>
      <c r="EZ373">
        <v>0</v>
      </c>
      <c r="FA373">
        <v>0</v>
      </c>
      <c r="FB373">
        <v>0</v>
      </c>
      <c r="FC373">
        <v>0</v>
      </c>
      <c r="FD373">
        <v>0</v>
      </c>
      <c r="FG373" t="e">
        <v>#N/A</v>
      </c>
      <c r="FI373" t="e">
        <v>#N/A</v>
      </c>
      <c r="FK373" t="e">
        <v>#N/A</v>
      </c>
      <c r="FM373" t="e">
        <v>#N/A</v>
      </c>
      <c r="FO373" t="e">
        <v>#N/A</v>
      </c>
      <c r="FQ373" t="e">
        <v>#N/A</v>
      </c>
      <c r="FS373" t="e">
        <v>#N/A</v>
      </c>
      <c r="FU373" t="e">
        <v>#N/A</v>
      </c>
      <c r="FW373" t="e">
        <v>#N/A</v>
      </c>
      <c r="FY373" t="e">
        <v>#N/A</v>
      </c>
      <c r="GA373" t="e">
        <v>#N/A</v>
      </c>
      <c r="GC373" t="e">
        <v>#N/A</v>
      </c>
      <c r="GE373" t="e">
        <v>#N/A</v>
      </c>
      <c r="GG373" t="e">
        <v>#N/A</v>
      </c>
      <c r="GI373" t="e">
        <v>#N/A</v>
      </c>
      <c r="GK373" t="e">
        <v>#N/A</v>
      </c>
      <c r="GM373" t="e">
        <v>#N/A</v>
      </c>
      <c r="GO373" t="e">
        <v>#N/A</v>
      </c>
      <c r="GQ373" t="e">
        <v>#N/A</v>
      </c>
      <c r="GS373" t="e">
        <v>#N/A</v>
      </c>
      <c r="GU373" t="e">
        <v>#N/A</v>
      </c>
      <c r="GW373" t="e">
        <v>#N/A</v>
      </c>
      <c r="GY373" t="e">
        <v>#N/A</v>
      </c>
      <c r="HA373" t="e">
        <v>#N/A</v>
      </c>
      <c r="HC373">
        <v>0</v>
      </c>
      <c r="HD373">
        <v>0</v>
      </c>
      <c r="HE373">
        <v>0</v>
      </c>
      <c r="HF373">
        <v>0</v>
      </c>
      <c r="HG373">
        <v>0</v>
      </c>
      <c r="HH373">
        <v>0</v>
      </c>
      <c r="HI373">
        <v>0</v>
      </c>
      <c r="HJ373">
        <v>0</v>
      </c>
      <c r="HM373">
        <v>0</v>
      </c>
      <c r="HN373">
        <v>0</v>
      </c>
      <c r="HO373">
        <v>0</v>
      </c>
      <c r="HP373">
        <v>0</v>
      </c>
      <c r="HQ373">
        <v>0</v>
      </c>
      <c r="HR373">
        <v>0</v>
      </c>
      <c r="HS373">
        <v>0</v>
      </c>
      <c r="HT373">
        <v>0</v>
      </c>
      <c r="HW373">
        <v>0</v>
      </c>
      <c r="HX373">
        <v>0</v>
      </c>
      <c r="HY373">
        <v>0</v>
      </c>
      <c r="HZ373">
        <v>0</v>
      </c>
      <c r="IA373">
        <v>3930.6</v>
      </c>
      <c r="IB373">
        <v>3632.9</v>
      </c>
      <c r="IC373">
        <v>3795.5</v>
      </c>
      <c r="ID373">
        <v>0</v>
      </c>
      <c r="IE373">
        <v>0</v>
      </c>
      <c r="IF373">
        <v>3548.5</v>
      </c>
      <c r="IG373">
        <v>3395.2</v>
      </c>
      <c r="IH373">
        <v>3395.4</v>
      </c>
      <c r="II373">
        <v>3302.3</v>
      </c>
      <c r="IJ373">
        <v>3172.8</v>
      </c>
      <c r="IK373">
        <v>0</v>
      </c>
      <c r="IL373">
        <v>0</v>
      </c>
      <c r="IM373">
        <v>0</v>
      </c>
      <c r="IN373">
        <v>0</v>
      </c>
      <c r="IO373">
        <v>123.4</v>
      </c>
      <c r="IP373">
        <v>405.2</v>
      </c>
      <c r="IQ373">
        <v>418.7</v>
      </c>
      <c r="IR373">
        <v>0</v>
      </c>
      <c r="IS373">
        <v>0</v>
      </c>
      <c r="IT373">
        <v>0</v>
      </c>
      <c r="IU373">
        <v>0</v>
      </c>
      <c r="IV373">
        <v>396</v>
      </c>
      <c r="IW373">
        <v>0</v>
      </c>
      <c r="IX373">
        <v>0</v>
      </c>
      <c r="IZ373">
        <v>0</v>
      </c>
      <c r="JA373">
        <v>65.5</v>
      </c>
      <c r="JB373">
        <v>443.5</v>
      </c>
      <c r="JC373">
        <v>0</v>
      </c>
      <c r="JD373">
        <v>0</v>
      </c>
      <c r="JE373">
        <v>0</v>
      </c>
      <c r="JF373">
        <v>0</v>
      </c>
      <c r="JG373">
        <v>0</v>
      </c>
      <c r="JH373">
        <v>0</v>
      </c>
      <c r="JI373">
        <v>0</v>
      </c>
      <c r="JJ373">
        <v>0</v>
      </c>
      <c r="JK373">
        <v>0</v>
      </c>
      <c r="JL373">
        <v>0</v>
      </c>
      <c r="JM373">
        <v>0</v>
      </c>
      <c r="JN373">
        <v>0</v>
      </c>
      <c r="JO373">
        <v>0</v>
      </c>
      <c r="JP373">
        <v>0</v>
      </c>
      <c r="JQ373">
        <v>0</v>
      </c>
      <c r="JR373">
        <v>0</v>
      </c>
      <c r="JS373">
        <v>0</v>
      </c>
      <c r="JT373">
        <v>0</v>
      </c>
      <c r="JU373">
        <v>0</v>
      </c>
      <c r="JV373">
        <v>0</v>
      </c>
      <c r="JW373">
        <v>0</v>
      </c>
      <c r="JX373">
        <v>0</v>
      </c>
      <c r="JY373">
        <v>0</v>
      </c>
      <c r="JZ373">
        <v>0</v>
      </c>
      <c r="KA373">
        <v>0</v>
      </c>
      <c r="KB373">
        <v>0</v>
      </c>
      <c r="KC373">
        <v>0</v>
      </c>
      <c r="KD373">
        <v>0</v>
      </c>
      <c r="KE373">
        <v>0</v>
      </c>
      <c r="KF373">
        <v>0</v>
      </c>
      <c r="KI373">
        <v>344.6</v>
      </c>
      <c r="KJ373">
        <v>350.8</v>
      </c>
      <c r="KK373">
        <v>22.1</v>
      </c>
      <c r="KL373">
        <v>379.3</v>
      </c>
      <c r="KM373">
        <v>241.4</v>
      </c>
      <c r="KN373">
        <v>0</v>
      </c>
      <c r="KO373">
        <v>0</v>
      </c>
      <c r="KP373">
        <v>57.3</v>
      </c>
      <c r="KQ373">
        <v>224.4</v>
      </c>
      <c r="KR373">
        <v>338.3</v>
      </c>
      <c r="KS373">
        <v>215.8</v>
      </c>
      <c r="KT373">
        <v>40.700000000000003</v>
      </c>
      <c r="KW373">
        <v>2154.5</v>
      </c>
      <c r="KX373">
        <v>1255.7</v>
      </c>
      <c r="KY373">
        <v>1630.1</v>
      </c>
      <c r="KZ373">
        <v>1246.9000000000001</v>
      </c>
      <c r="LB373">
        <v>78.099999999999994</v>
      </c>
      <c r="LC373">
        <v>77.7</v>
      </c>
    </row>
    <row r="374" spans="1:315" ht="18" thickBot="1">
      <c r="A374" s="245"/>
      <c r="B374" s="245"/>
      <c r="C374" s="230" t="s">
        <v>688</v>
      </c>
      <c r="D374" s="281"/>
      <c r="E374" s="443">
        <v>0</v>
      </c>
      <c r="F374" s="191">
        <v>0</v>
      </c>
      <c r="G374" s="427">
        <v>3413.8</v>
      </c>
      <c r="H374" s="155"/>
      <c r="I374">
        <v>735</v>
      </c>
      <c r="K374">
        <v>1973.1000000000001</v>
      </c>
      <c r="L374" s="4">
        <v>221.60000000000002</v>
      </c>
      <c r="M374" s="4">
        <v>54.9</v>
      </c>
      <c r="N374" s="4">
        <v>1989.7</v>
      </c>
      <c r="P374">
        <v>0</v>
      </c>
      <c r="Q374">
        <v>238.29999999999998</v>
      </c>
      <c r="R374">
        <v>0</v>
      </c>
      <c r="S374">
        <v>0</v>
      </c>
      <c r="T374">
        <v>368.5</v>
      </c>
      <c r="W374">
        <v>720.3</v>
      </c>
      <c r="X374">
        <v>1411.5</v>
      </c>
      <c r="Y374">
        <v>96.5</v>
      </c>
      <c r="AA374">
        <v>859.6</v>
      </c>
      <c r="AB374">
        <v>1577.6000000000001</v>
      </c>
      <c r="AE374">
        <v>1330</v>
      </c>
      <c r="AF374">
        <v>1025.5</v>
      </c>
      <c r="AH374">
        <v>509.9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1349.3</v>
      </c>
      <c r="AO374">
        <v>786.40000000000009</v>
      </c>
      <c r="AP374">
        <v>0</v>
      </c>
      <c r="AQ374">
        <v>68.3</v>
      </c>
      <c r="AR374">
        <v>234.9</v>
      </c>
      <c r="AS374">
        <v>600.40000000000009</v>
      </c>
      <c r="AU374">
        <v>985.69999999999993</v>
      </c>
      <c r="AW374">
        <v>792</v>
      </c>
      <c r="AX374">
        <v>1988.5</v>
      </c>
      <c r="AZ374">
        <v>763.5</v>
      </c>
      <c r="BA374">
        <v>0</v>
      </c>
      <c r="BB374">
        <v>0</v>
      </c>
      <c r="BC374">
        <v>1935.3</v>
      </c>
      <c r="BD374">
        <v>1006.5</v>
      </c>
      <c r="BE374">
        <v>0</v>
      </c>
      <c r="BF374">
        <v>0</v>
      </c>
      <c r="BG374">
        <v>0</v>
      </c>
      <c r="BH374">
        <v>1662.6</v>
      </c>
      <c r="BJ374">
        <v>0</v>
      </c>
      <c r="BK374">
        <v>0</v>
      </c>
      <c r="BL374">
        <v>1038.9000000000001</v>
      </c>
      <c r="BM374">
        <v>1101</v>
      </c>
      <c r="BO374">
        <v>1276.8000000000002</v>
      </c>
      <c r="BQ374">
        <v>0</v>
      </c>
      <c r="BR374">
        <v>270.7</v>
      </c>
      <c r="BS374">
        <v>230.5</v>
      </c>
      <c r="BT374">
        <v>472.3</v>
      </c>
      <c r="BU374">
        <v>537.29999999999995</v>
      </c>
      <c r="BV374">
        <v>346.3</v>
      </c>
      <c r="BW374">
        <v>386.2</v>
      </c>
      <c r="BX374">
        <v>767</v>
      </c>
      <c r="BY374">
        <v>757.2</v>
      </c>
      <c r="BZ374">
        <v>1037.2</v>
      </c>
      <c r="CA374">
        <v>1227.0999999999999</v>
      </c>
      <c r="CB374">
        <v>1232.0999999999999</v>
      </c>
      <c r="CC374">
        <v>1701.5</v>
      </c>
      <c r="CD374">
        <v>0</v>
      </c>
      <c r="CG374">
        <v>1385.3</v>
      </c>
      <c r="CJ374">
        <v>1630.2999999999997</v>
      </c>
      <c r="CM374">
        <v>1184.2</v>
      </c>
      <c r="CO374">
        <v>1248.0999999999999</v>
      </c>
      <c r="CQ374">
        <v>1435.3</v>
      </c>
      <c r="CR374">
        <v>798.2</v>
      </c>
      <c r="CS374">
        <v>923.8</v>
      </c>
      <c r="CT374">
        <v>0</v>
      </c>
      <c r="CU374">
        <v>0</v>
      </c>
      <c r="CV374">
        <v>0</v>
      </c>
      <c r="CW374">
        <v>0</v>
      </c>
      <c r="CX374">
        <v>163.69999999999999</v>
      </c>
      <c r="CY374">
        <v>0</v>
      </c>
      <c r="CZ374">
        <v>0</v>
      </c>
      <c r="DA374">
        <v>0</v>
      </c>
      <c r="DB374">
        <v>0</v>
      </c>
      <c r="DC374">
        <v>0</v>
      </c>
      <c r="DD374">
        <v>0</v>
      </c>
      <c r="DE374">
        <v>0</v>
      </c>
      <c r="DI374">
        <v>0</v>
      </c>
      <c r="EC374">
        <v>0</v>
      </c>
      <c r="ED374">
        <v>0</v>
      </c>
      <c r="EE374">
        <v>0</v>
      </c>
      <c r="EF374">
        <v>0</v>
      </c>
      <c r="EG374">
        <v>0</v>
      </c>
      <c r="EH374">
        <v>0</v>
      </c>
      <c r="EI374">
        <v>0</v>
      </c>
      <c r="EJ374">
        <v>0</v>
      </c>
      <c r="EM374">
        <v>0</v>
      </c>
      <c r="EN374">
        <v>0</v>
      </c>
      <c r="EO374">
        <v>0</v>
      </c>
      <c r="EP374">
        <v>0</v>
      </c>
      <c r="EQ374">
        <v>0</v>
      </c>
      <c r="ER374">
        <v>0</v>
      </c>
      <c r="ES374">
        <v>0</v>
      </c>
      <c r="ET374">
        <v>0</v>
      </c>
      <c r="EW374">
        <v>0</v>
      </c>
      <c r="EX374">
        <v>0</v>
      </c>
      <c r="EY374">
        <v>0</v>
      </c>
      <c r="EZ374">
        <v>0</v>
      </c>
      <c r="FA374">
        <v>0</v>
      </c>
      <c r="FB374">
        <v>0</v>
      </c>
      <c r="FC374">
        <v>0</v>
      </c>
      <c r="FD374">
        <v>0</v>
      </c>
      <c r="FG374" t="e">
        <v>#N/A</v>
      </c>
      <c r="FI374" t="e">
        <v>#N/A</v>
      </c>
      <c r="FK374" t="e">
        <v>#N/A</v>
      </c>
      <c r="FM374" t="e">
        <v>#N/A</v>
      </c>
      <c r="FO374" t="e">
        <v>#N/A</v>
      </c>
      <c r="FQ374" t="e">
        <v>#N/A</v>
      </c>
      <c r="FS374" t="e">
        <v>#N/A</v>
      </c>
      <c r="FU374" t="e">
        <v>#N/A</v>
      </c>
      <c r="FW374" t="e">
        <v>#N/A</v>
      </c>
      <c r="FY374" t="e">
        <v>#N/A</v>
      </c>
      <c r="GA374" t="e">
        <v>#N/A</v>
      </c>
      <c r="GC374" t="e">
        <v>#N/A</v>
      </c>
      <c r="GE374" t="e">
        <v>#N/A</v>
      </c>
      <c r="GG374" t="e">
        <v>#N/A</v>
      </c>
      <c r="GI374" t="e">
        <v>#N/A</v>
      </c>
      <c r="GK374" t="e">
        <v>#N/A</v>
      </c>
      <c r="GM374" t="e">
        <v>#N/A</v>
      </c>
      <c r="GO374" t="e">
        <v>#N/A</v>
      </c>
      <c r="GQ374" t="e">
        <v>#N/A</v>
      </c>
      <c r="GS374" t="e">
        <v>#N/A</v>
      </c>
      <c r="GU374" t="e">
        <v>#N/A</v>
      </c>
      <c r="GW374" t="e">
        <v>#N/A</v>
      </c>
      <c r="GY374" t="e">
        <v>#N/A</v>
      </c>
      <c r="HA374" t="e">
        <v>#N/A</v>
      </c>
      <c r="HC374">
        <v>0</v>
      </c>
      <c r="HD374">
        <v>0</v>
      </c>
      <c r="HE374">
        <v>0</v>
      </c>
      <c r="HF374">
        <v>0</v>
      </c>
      <c r="HG374">
        <v>0</v>
      </c>
      <c r="HH374">
        <v>0</v>
      </c>
      <c r="HI374">
        <v>0</v>
      </c>
      <c r="HJ374">
        <v>0</v>
      </c>
      <c r="HM374">
        <v>0</v>
      </c>
      <c r="HN374">
        <v>0</v>
      </c>
      <c r="HO374">
        <v>0</v>
      </c>
      <c r="HP374">
        <v>0</v>
      </c>
      <c r="HQ374">
        <v>0</v>
      </c>
      <c r="HR374">
        <v>0</v>
      </c>
      <c r="HS374">
        <v>0</v>
      </c>
      <c r="HT374">
        <v>0</v>
      </c>
      <c r="HW374">
        <v>0</v>
      </c>
      <c r="HX374">
        <v>0</v>
      </c>
      <c r="HY374">
        <v>0</v>
      </c>
      <c r="HZ374">
        <v>0</v>
      </c>
      <c r="IA374">
        <v>3930.6</v>
      </c>
      <c r="IB374">
        <v>3632.9</v>
      </c>
      <c r="IC374">
        <v>3795.5</v>
      </c>
      <c r="ID374">
        <v>0</v>
      </c>
      <c r="IE374">
        <v>0</v>
      </c>
      <c r="IF374">
        <v>3548.5</v>
      </c>
      <c r="IG374">
        <v>3395.2</v>
      </c>
      <c r="IH374">
        <v>3395.4</v>
      </c>
      <c r="II374">
        <v>3302.3</v>
      </c>
      <c r="IJ374">
        <v>3172.8</v>
      </c>
      <c r="IK374">
        <v>0</v>
      </c>
      <c r="IL374">
        <v>0</v>
      </c>
      <c r="IM374">
        <v>0</v>
      </c>
      <c r="IN374">
        <v>0</v>
      </c>
      <c r="IO374">
        <v>123.4</v>
      </c>
      <c r="IP374">
        <v>405.2</v>
      </c>
      <c r="IQ374">
        <v>418.7</v>
      </c>
      <c r="IR374">
        <v>0</v>
      </c>
      <c r="IS374">
        <v>0</v>
      </c>
      <c r="IT374">
        <v>0</v>
      </c>
      <c r="IU374">
        <v>0</v>
      </c>
      <c r="IV374">
        <v>396</v>
      </c>
      <c r="IW374">
        <v>0</v>
      </c>
      <c r="IX374">
        <v>0</v>
      </c>
      <c r="IZ374">
        <v>0</v>
      </c>
      <c r="JA374">
        <v>65.5</v>
      </c>
      <c r="JB374">
        <v>443.5</v>
      </c>
      <c r="JC374">
        <v>0</v>
      </c>
      <c r="JD374">
        <v>0</v>
      </c>
      <c r="JE374">
        <v>0</v>
      </c>
      <c r="JF374">
        <v>0</v>
      </c>
      <c r="JG374">
        <v>0</v>
      </c>
      <c r="JH374">
        <v>0</v>
      </c>
      <c r="JI374">
        <v>0</v>
      </c>
      <c r="JJ374">
        <v>0</v>
      </c>
      <c r="JK374">
        <v>0</v>
      </c>
      <c r="JL374">
        <v>0</v>
      </c>
      <c r="JM374">
        <v>0</v>
      </c>
      <c r="JN374">
        <v>0</v>
      </c>
      <c r="JO374">
        <v>0</v>
      </c>
      <c r="JP374">
        <v>0</v>
      </c>
      <c r="JQ374">
        <v>0</v>
      </c>
      <c r="JR374">
        <v>0</v>
      </c>
      <c r="JS374">
        <v>0</v>
      </c>
      <c r="JT374">
        <v>0</v>
      </c>
      <c r="JU374">
        <v>0</v>
      </c>
      <c r="JV374">
        <v>0</v>
      </c>
      <c r="JW374">
        <v>0</v>
      </c>
      <c r="JX374">
        <v>0</v>
      </c>
      <c r="JY374">
        <v>0</v>
      </c>
      <c r="JZ374">
        <v>0</v>
      </c>
      <c r="KA374">
        <v>0</v>
      </c>
      <c r="KB374">
        <v>0</v>
      </c>
      <c r="KC374">
        <v>0</v>
      </c>
      <c r="KD374">
        <v>0</v>
      </c>
      <c r="KE374">
        <v>0</v>
      </c>
      <c r="KF374">
        <v>0</v>
      </c>
      <c r="KI374">
        <v>344.6</v>
      </c>
      <c r="KJ374">
        <v>350.8</v>
      </c>
      <c r="KK374">
        <v>22.1</v>
      </c>
      <c r="KL374">
        <v>379.3</v>
      </c>
      <c r="KM374">
        <v>241.4</v>
      </c>
      <c r="KN374">
        <v>0</v>
      </c>
      <c r="KO374">
        <v>0</v>
      </c>
      <c r="KP374">
        <v>57.3</v>
      </c>
      <c r="KQ374">
        <v>224.4</v>
      </c>
      <c r="KR374">
        <v>338.3</v>
      </c>
      <c r="KS374">
        <v>215.8</v>
      </c>
      <c r="KT374">
        <v>40.700000000000003</v>
      </c>
      <c r="KW374">
        <v>2154.5</v>
      </c>
      <c r="KX374">
        <v>1255.7</v>
      </c>
      <c r="KY374">
        <v>1630.1</v>
      </c>
      <c r="KZ374">
        <v>1246.9000000000001</v>
      </c>
      <c r="LB374">
        <v>78.099999999999994</v>
      </c>
      <c r="LC374">
        <v>77.7</v>
      </c>
    </row>
    <row r="375" spans="1:315" ht="18" thickBot="1">
      <c r="A375" s="245"/>
      <c r="B375" s="245"/>
      <c r="C375" s="230" t="s">
        <v>689</v>
      </c>
      <c r="D375" s="281"/>
      <c r="E375" s="443">
        <v>0</v>
      </c>
      <c r="F375" s="191">
        <v>0</v>
      </c>
      <c r="G375" s="427">
        <v>3413.8</v>
      </c>
      <c r="H375" s="155"/>
      <c r="I375">
        <v>735</v>
      </c>
      <c r="K375">
        <v>1973.1000000000001</v>
      </c>
      <c r="L375" s="4">
        <v>221.60000000000002</v>
      </c>
      <c r="M375" s="4">
        <v>54.9</v>
      </c>
      <c r="N375" s="4">
        <v>1989.7</v>
      </c>
      <c r="P375">
        <v>0</v>
      </c>
      <c r="Q375">
        <v>238.29999999999998</v>
      </c>
      <c r="R375">
        <v>0</v>
      </c>
      <c r="S375">
        <v>0</v>
      </c>
      <c r="T375">
        <v>368.5</v>
      </c>
      <c r="W375">
        <v>720.3</v>
      </c>
      <c r="X375">
        <v>1411.5</v>
      </c>
      <c r="Y375">
        <v>96.5</v>
      </c>
      <c r="AA375">
        <v>859.6</v>
      </c>
      <c r="AB375">
        <v>1577.6000000000001</v>
      </c>
      <c r="AE375">
        <v>1330</v>
      </c>
      <c r="AF375">
        <v>1025.5</v>
      </c>
      <c r="AH375">
        <v>509.9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1349.3</v>
      </c>
      <c r="AO375">
        <v>786.40000000000009</v>
      </c>
      <c r="AP375">
        <v>0</v>
      </c>
      <c r="AQ375">
        <v>68.3</v>
      </c>
      <c r="AR375">
        <v>234.9</v>
      </c>
      <c r="AS375">
        <v>600.40000000000009</v>
      </c>
      <c r="AU375">
        <v>985.69999999999993</v>
      </c>
      <c r="AW375">
        <v>792</v>
      </c>
      <c r="AX375">
        <v>1988.5</v>
      </c>
      <c r="AZ375">
        <v>763.5</v>
      </c>
      <c r="BA375">
        <v>0</v>
      </c>
      <c r="BB375">
        <v>0</v>
      </c>
      <c r="BC375">
        <v>1935.3</v>
      </c>
      <c r="BD375">
        <v>1006.5</v>
      </c>
      <c r="BE375">
        <v>0</v>
      </c>
      <c r="BF375">
        <v>0</v>
      </c>
      <c r="BG375">
        <v>0</v>
      </c>
      <c r="BH375">
        <v>1662.6</v>
      </c>
      <c r="BJ375">
        <v>0</v>
      </c>
      <c r="BK375">
        <v>0</v>
      </c>
      <c r="BL375">
        <v>1038.9000000000001</v>
      </c>
      <c r="BM375">
        <v>1101</v>
      </c>
      <c r="BO375">
        <v>1276.8000000000002</v>
      </c>
      <c r="BQ375">
        <v>0</v>
      </c>
      <c r="BR375">
        <v>270.7</v>
      </c>
      <c r="BS375">
        <v>230.5</v>
      </c>
      <c r="BT375">
        <v>472.3</v>
      </c>
      <c r="BU375">
        <v>537.29999999999995</v>
      </c>
      <c r="BV375">
        <v>346.3</v>
      </c>
      <c r="BW375">
        <v>386.2</v>
      </c>
      <c r="BX375">
        <v>767</v>
      </c>
      <c r="BY375">
        <v>757.2</v>
      </c>
      <c r="BZ375">
        <v>1037.2</v>
      </c>
      <c r="CA375">
        <v>1227.0999999999999</v>
      </c>
      <c r="CB375">
        <v>1232.0999999999999</v>
      </c>
      <c r="CC375">
        <v>1701.5</v>
      </c>
      <c r="CD375">
        <v>0</v>
      </c>
      <c r="CG375">
        <v>1385.3</v>
      </c>
      <c r="CJ375">
        <v>1630.2999999999997</v>
      </c>
      <c r="CM375">
        <v>1184.2</v>
      </c>
      <c r="CO375">
        <v>1248.0999999999999</v>
      </c>
      <c r="CQ375">
        <v>1435.3</v>
      </c>
      <c r="CR375">
        <v>798.2</v>
      </c>
      <c r="CS375">
        <v>923.8</v>
      </c>
      <c r="CT375">
        <v>0</v>
      </c>
      <c r="CU375">
        <v>0</v>
      </c>
      <c r="CV375">
        <v>0</v>
      </c>
      <c r="CW375">
        <v>0</v>
      </c>
      <c r="CX375">
        <v>163.69999999999999</v>
      </c>
      <c r="CY375">
        <v>0</v>
      </c>
      <c r="CZ375">
        <v>0</v>
      </c>
      <c r="DA375">
        <v>0</v>
      </c>
      <c r="DB375">
        <v>0</v>
      </c>
      <c r="DC375">
        <v>0</v>
      </c>
      <c r="DD375">
        <v>0</v>
      </c>
      <c r="DE375">
        <v>0</v>
      </c>
      <c r="DI375">
        <v>0</v>
      </c>
      <c r="EC375">
        <v>0</v>
      </c>
      <c r="ED375">
        <v>0</v>
      </c>
      <c r="EE375">
        <v>0</v>
      </c>
      <c r="EF375">
        <v>0</v>
      </c>
      <c r="EG375">
        <v>0</v>
      </c>
      <c r="EH375">
        <v>0</v>
      </c>
      <c r="EI375">
        <v>0</v>
      </c>
      <c r="EJ375">
        <v>0</v>
      </c>
      <c r="EM375">
        <v>0</v>
      </c>
      <c r="EN375">
        <v>0</v>
      </c>
      <c r="EO375">
        <v>0</v>
      </c>
      <c r="EP375">
        <v>0</v>
      </c>
      <c r="EQ375">
        <v>0</v>
      </c>
      <c r="ER375">
        <v>0</v>
      </c>
      <c r="ES375">
        <v>0</v>
      </c>
      <c r="ET375">
        <v>0</v>
      </c>
      <c r="EW375">
        <v>0</v>
      </c>
      <c r="EX375">
        <v>0</v>
      </c>
      <c r="EY375">
        <v>0</v>
      </c>
      <c r="EZ375">
        <v>0</v>
      </c>
      <c r="FA375">
        <v>0</v>
      </c>
      <c r="FB375">
        <v>0</v>
      </c>
      <c r="FC375">
        <v>0</v>
      </c>
      <c r="FD375">
        <v>0</v>
      </c>
      <c r="FG375" t="e">
        <v>#N/A</v>
      </c>
      <c r="FI375" t="e">
        <v>#N/A</v>
      </c>
      <c r="FK375" t="e">
        <v>#N/A</v>
      </c>
      <c r="FM375" t="e">
        <v>#N/A</v>
      </c>
      <c r="FO375" t="e">
        <v>#N/A</v>
      </c>
      <c r="FQ375" t="e">
        <v>#N/A</v>
      </c>
      <c r="FS375" t="e">
        <v>#N/A</v>
      </c>
      <c r="FU375" t="e">
        <v>#N/A</v>
      </c>
      <c r="FW375" t="e">
        <v>#N/A</v>
      </c>
      <c r="FY375" t="e">
        <v>#N/A</v>
      </c>
      <c r="GA375" t="e">
        <v>#N/A</v>
      </c>
      <c r="GC375" t="e">
        <v>#N/A</v>
      </c>
      <c r="GE375" t="e">
        <v>#N/A</v>
      </c>
      <c r="GG375" t="e">
        <v>#N/A</v>
      </c>
      <c r="GI375" t="e">
        <v>#N/A</v>
      </c>
      <c r="GK375" t="e">
        <v>#N/A</v>
      </c>
      <c r="GM375" t="e">
        <v>#N/A</v>
      </c>
      <c r="GO375" t="e">
        <v>#N/A</v>
      </c>
      <c r="GQ375" t="e">
        <v>#N/A</v>
      </c>
      <c r="GS375" t="e">
        <v>#N/A</v>
      </c>
      <c r="GU375" t="e">
        <v>#N/A</v>
      </c>
      <c r="GW375" t="e">
        <v>#N/A</v>
      </c>
      <c r="GY375" t="e">
        <v>#N/A</v>
      </c>
      <c r="HA375" t="e">
        <v>#N/A</v>
      </c>
      <c r="HC375">
        <v>0</v>
      </c>
      <c r="HD375">
        <v>0</v>
      </c>
      <c r="HE375">
        <v>0</v>
      </c>
      <c r="HF375">
        <v>0</v>
      </c>
      <c r="HG375">
        <v>0</v>
      </c>
      <c r="HH375">
        <v>0</v>
      </c>
      <c r="HI375">
        <v>0</v>
      </c>
      <c r="HJ375">
        <v>0</v>
      </c>
      <c r="HM375">
        <v>0</v>
      </c>
      <c r="HN375">
        <v>0</v>
      </c>
      <c r="HO375">
        <v>0</v>
      </c>
      <c r="HP375">
        <v>0</v>
      </c>
      <c r="HQ375">
        <v>0</v>
      </c>
      <c r="HR375">
        <v>0</v>
      </c>
      <c r="HS375">
        <v>0</v>
      </c>
      <c r="HT375">
        <v>0</v>
      </c>
      <c r="HW375">
        <v>0</v>
      </c>
      <c r="HX375">
        <v>0</v>
      </c>
      <c r="HY375">
        <v>0</v>
      </c>
      <c r="HZ375">
        <v>0</v>
      </c>
      <c r="IA375">
        <v>3930.6</v>
      </c>
      <c r="IB375">
        <v>3632.9</v>
      </c>
      <c r="IC375">
        <v>3795.5</v>
      </c>
      <c r="ID375">
        <v>0</v>
      </c>
      <c r="IE375">
        <v>0</v>
      </c>
      <c r="IF375">
        <v>3548.5</v>
      </c>
      <c r="IG375">
        <v>3395.2</v>
      </c>
      <c r="IH375">
        <v>3395.4</v>
      </c>
      <c r="II375">
        <v>3302.3</v>
      </c>
      <c r="IJ375">
        <v>3172.8</v>
      </c>
      <c r="IK375">
        <v>0</v>
      </c>
      <c r="IL375">
        <v>0</v>
      </c>
      <c r="IM375">
        <v>0</v>
      </c>
      <c r="IN375">
        <v>0</v>
      </c>
      <c r="IO375">
        <v>123.4</v>
      </c>
      <c r="IP375">
        <v>405.2</v>
      </c>
      <c r="IQ375">
        <v>418.7</v>
      </c>
      <c r="IR375">
        <v>0</v>
      </c>
      <c r="IS375">
        <v>0</v>
      </c>
      <c r="IT375">
        <v>0</v>
      </c>
      <c r="IU375">
        <v>0</v>
      </c>
      <c r="IV375">
        <v>396</v>
      </c>
      <c r="IW375">
        <v>0</v>
      </c>
      <c r="IX375">
        <v>0</v>
      </c>
      <c r="IZ375">
        <v>0</v>
      </c>
      <c r="JA375">
        <v>65.5</v>
      </c>
      <c r="JB375">
        <v>443.5</v>
      </c>
      <c r="JC375">
        <v>0</v>
      </c>
      <c r="JD375">
        <v>0</v>
      </c>
      <c r="JE375">
        <v>0</v>
      </c>
      <c r="JF375">
        <v>0</v>
      </c>
      <c r="JG375">
        <v>0</v>
      </c>
      <c r="JH375">
        <v>0</v>
      </c>
      <c r="JI375">
        <v>0</v>
      </c>
      <c r="JJ375">
        <v>0</v>
      </c>
      <c r="JK375">
        <v>0</v>
      </c>
      <c r="JL375">
        <v>0</v>
      </c>
      <c r="JM375">
        <v>0</v>
      </c>
      <c r="JN375">
        <v>0</v>
      </c>
      <c r="JO375">
        <v>0</v>
      </c>
      <c r="JP375">
        <v>0</v>
      </c>
      <c r="JQ375">
        <v>0</v>
      </c>
      <c r="JR375">
        <v>0</v>
      </c>
      <c r="JS375">
        <v>0</v>
      </c>
      <c r="JT375">
        <v>0</v>
      </c>
      <c r="JU375">
        <v>0</v>
      </c>
      <c r="JV375">
        <v>0</v>
      </c>
      <c r="JW375">
        <v>0</v>
      </c>
      <c r="JX375">
        <v>0</v>
      </c>
      <c r="JY375">
        <v>0</v>
      </c>
      <c r="JZ375">
        <v>0</v>
      </c>
      <c r="KA375">
        <v>0</v>
      </c>
      <c r="KB375">
        <v>0</v>
      </c>
      <c r="KC375">
        <v>0</v>
      </c>
      <c r="KD375">
        <v>0</v>
      </c>
      <c r="KE375">
        <v>0</v>
      </c>
      <c r="KF375">
        <v>0</v>
      </c>
      <c r="KI375">
        <v>344.6</v>
      </c>
      <c r="KJ375">
        <v>350.8</v>
      </c>
      <c r="KK375">
        <v>22.1</v>
      </c>
      <c r="KL375">
        <v>379.3</v>
      </c>
      <c r="KM375">
        <v>241.4</v>
      </c>
      <c r="KN375">
        <v>0</v>
      </c>
      <c r="KO375">
        <v>0</v>
      </c>
      <c r="KP375">
        <v>57.3</v>
      </c>
      <c r="KQ375">
        <v>224.4</v>
      </c>
      <c r="KR375">
        <v>338.3</v>
      </c>
      <c r="KS375">
        <v>215.8</v>
      </c>
      <c r="KT375">
        <v>40.700000000000003</v>
      </c>
      <c r="KW375">
        <v>2154.5</v>
      </c>
      <c r="KX375">
        <v>1255.7</v>
      </c>
      <c r="KY375">
        <v>1630.1</v>
      </c>
      <c r="KZ375">
        <v>1246.9000000000001</v>
      </c>
      <c r="LB375">
        <v>78.099999999999994</v>
      </c>
      <c r="LC375">
        <v>77.7</v>
      </c>
    </row>
    <row r="376" spans="1:315" ht="18" thickBot="1">
      <c r="A376" s="245"/>
      <c r="B376" s="245"/>
      <c r="C376" s="230" t="s">
        <v>690</v>
      </c>
      <c r="D376" s="281"/>
      <c r="E376" s="443">
        <v>0</v>
      </c>
      <c r="F376" s="191">
        <v>0</v>
      </c>
      <c r="G376" s="427">
        <v>3413.8</v>
      </c>
      <c r="H376" s="155"/>
      <c r="I376">
        <v>735</v>
      </c>
      <c r="K376">
        <v>1973.1000000000001</v>
      </c>
      <c r="L376" s="4">
        <v>221.60000000000002</v>
      </c>
      <c r="M376" s="4">
        <v>54.9</v>
      </c>
      <c r="N376" s="4">
        <v>1989.7</v>
      </c>
      <c r="P376">
        <v>0</v>
      </c>
      <c r="Q376">
        <v>238.29999999999998</v>
      </c>
      <c r="R376">
        <v>0</v>
      </c>
      <c r="S376">
        <v>0</v>
      </c>
      <c r="T376">
        <v>368.5</v>
      </c>
      <c r="W376">
        <v>720.3</v>
      </c>
      <c r="X376">
        <v>1411.5</v>
      </c>
      <c r="Y376">
        <v>96.5</v>
      </c>
      <c r="AA376">
        <v>859.6</v>
      </c>
      <c r="AB376">
        <v>1577.6000000000001</v>
      </c>
      <c r="AE376">
        <v>1330</v>
      </c>
      <c r="AF376">
        <v>1025.5</v>
      </c>
      <c r="AH376">
        <v>509.9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1349.3</v>
      </c>
      <c r="AO376">
        <v>786.40000000000009</v>
      </c>
      <c r="AP376">
        <v>0</v>
      </c>
      <c r="AQ376">
        <v>68.3</v>
      </c>
      <c r="AR376">
        <v>234.9</v>
      </c>
      <c r="AS376">
        <v>600.40000000000009</v>
      </c>
      <c r="AU376">
        <v>985.69999999999993</v>
      </c>
      <c r="AW376">
        <v>792</v>
      </c>
      <c r="AX376">
        <v>1988.5</v>
      </c>
      <c r="AZ376">
        <v>763.5</v>
      </c>
      <c r="BA376">
        <v>0</v>
      </c>
      <c r="BB376">
        <v>0</v>
      </c>
      <c r="BC376">
        <v>1935.3</v>
      </c>
      <c r="BD376">
        <v>1006.5</v>
      </c>
      <c r="BE376">
        <v>0</v>
      </c>
      <c r="BF376">
        <v>0</v>
      </c>
      <c r="BG376">
        <v>0</v>
      </c>
      <c r="BH376">
        <v>1662.6</v>
      </c>
      <c r="BJ376">
        <v>0</v>
      </c>
      <c r="BK376">
        <v>0</v>
      </c>
      <c r="BL376">
        <v>1038.9000000000001</v>
      </c>
      <c r="BM376">
        <v>1101</v>
      </c>
      <c r="BO376">
        <v>1276.8000000000002</v>
      </c>
      <c r="BQ376">
        <v>0</v>
      </c>
      <c r="BR376">
        <v>270.7</v>
      </c>
      <c r="BS376">
        <v>230.5</v>
      </c>
      <c r="BT376">
        <v>472.3</v>
      </c>
      <c r="BU376">
        <v>537.29999999999995</v>
      </c>
      <c r="BV376">
        <v>346.3</v>
      </c>
      <c r="BW376">
        <v>386.2</v>
      </c>
      <c r="BX376">
        <v>767</v>
      </c>
      <c r="BY376">
        <v>757.2</v>
      </c>
      <c r="BZ376">
        <v>1037.2</v>
      </c>
      <c r="CA376">
        <v>1227.0999999999999</v>
      </c>
      <c r="CB376">
        <v>1232.0999999999999</v>
      </c>
      <c r="CC376">
        <v>1701.5</v>
      </c>
      <c r="CD376">
        <v>0</v>
      </c>
      <c r="CG376">
        <v>1385.3</v>
      </c>
      <c r="CJ376">
        <v>1630.2999999999997</v>
      </c>
      <c r="CM376">
        <v>1184.2</v>
      </c>
      <c r="CO376">
        <v>1248.0999999999999</v>
      </c>
      <c r="CQ376">
        <v>1435.3</v>
      </c>
      <c r="CR376">
        <v>798.2</v>
      </c>
      <c r="CS376">
        <v>923.8</v>
      </c>
      <c r="CT376">
        <v>0</v>
      </c>
      <c r="CU376">
        <v>0</v>
      </c>
      <c r="CV376">
        <v>0</v>
      </c>
      <c r="CW376">
        <v>0</v>
      </c>
      <c r="CX376">
        <v>163.69999999999999</v>
      </c>
      <c r="CY376">
        <v>0</v>
      </c>
      <c r="CZ376">
        <v>0</v>
      </c>
      <c r="DA376">
        <v>0</v>
      </c>
      <c r="DB376">
        <v>0</v>
      </c>
      <c r="DC376">
        <v>0</v>
      </c>
      <c r="DD376">
        <v>0</v>
      </c>
      <c r="DE376">
        <v>0</v>
      </c>
      <c r="DI376">
        <v>0</v>
      </c>
      <c r="EC376">
        <v>0</v>
      </c>
      <c r="ED376">
        <v>0</v>
      </c>
      <c r="EE376">
        <v>0</v>
      </c>
      <c r="EF376">
        <v>0</v>
      </c>
      <c r="EG376">
        <v>0</v>
      </c>
      <c r="EH376">
        <v>0</v>
      </c>
      <c r="EI376">
        <v>0</v>
      </c>
      <c r="EJ376">
        <v>0</v>
      </c>
      <c r="EM376">
        <v>0</v>
      </c>
      <c r="EN376">
        <v>0</v>
      </c>
      <c r="EO376">
        <v>0</v>
      </c>
      <c r="EP376">
        <v>0</v>
      </c>
      <c r="EQ376">
        <v>0</v>
      </c>
      <c r="ER376">
        <v>0</v>
      </c>
      <c r="ES376">
        <v>0</v>
      </c>
      <c r="ET376">
        <v>0</v>
      </c>
      <c r="EW376">
        <v>0</v>
      </c>
      <c r="EX376">
        <v>0</v>
      </c>
      <c r="EY376">
        <v>0</v>
      </c>
      <c r="EZ376">
        <v>0</v>
      </c>
      <c r="FA376">
        <v>0</v>
      </c>
      <c r="FB376">
        <v>0</v>
      </c>
      <c r="FC376">
        <v>0</v>
      </c>
      <c r="FD376">
        <v>0</v>
      </c>
      <c r="FG376" t="e">
        <v>#N/A</v>
      </c>
      <c r="FI376" t="e">
        <v>#N/A</v>
      </c>
      <c r="FK376" t="e">
        <v>#N/A</v>
      </c>
      <c r="FM376" t="e">
        <v>#N/A</v>
      </c>
      <c r="FO376" t="e">
        <v>#N/A</v>
      </c>
      <c r="FQ376" t="e">
        <v>#N/A</v>
      </c>
      <c r="FS376" t="e">
        <v>#N/A</v>
      </c>
      <c r="FU376" t="e">
        <v>#N/A</v>
      </c>
      <c r="FW376" t="e">
        <v>#N/A</v>
      </c>
      <c r="FY376" t="e">
        <v>#N/A</v>
      </c>
      <c r="GA376" t="e">
        <v>#N/A</v>
      </c>
      <c r="GC376" t="e">
        <v>#N/A</v>
      </c>
      <c r="GE376" t="e">
        <v>#N/A</v>
      </c>
      <c r="GG376" t="e">
        <v>#N/A</v>
      </c>
      <c r="GI376" t="e">
        <v>#N/A</v>
      </c>
      <c r="GK376" t="e">
        <v>#N/A</v>
      </c>
      <c r="GM376" t="e">
        <v>#N/A</v>
      </c>
      <c r="GO376" t="e">
        <v>#N/A</v>
      </c>
      <c r="GQ376" t="e">
        <v>#N/A</v>
      </c>
      <c r="GS376" t="e">
        <v>#N/A</v>
      </c>
      <c r="GU376" t="e">
        <v>#N/A</v>
      </c>
      <c r="GW376" t="e">
        <v>#N/A</v>
      </c>
      <c r="GY376" t="e">
        <v>#N/A</v>
      </c>
      <c r="HA376" t="e">
        <v>#N/A</v>
      </c>
      <c r="HC376">
        <v>0</v>
      </c>
      <c r="HD376">
        <v>0</v>
      </c>
      <c r="HE376">
        <v>0</v>
      </c>
      <c r="HF376">
        <v>0</v>
      </c>
      <c r="HG376">
        <v>0</v>
      </c>
      <c r="HH376">
        <v>0</v>
      </c>
      <c r="HI376">
        <v>0</v>
      </c>
      <c r="HJ376">
        <v>0</v>
      </c>
      <c r="HM376">
        <v>0</v>
      </c>
      <c r="HN376">
        <v>0</v>
      </c>
      <c r="HO376">
        <v>0</v>
      </c>
      <c r="HP376">
        <v>0</v>
      </c>
      <c r="HQ376">
        <v>0</v>
      </c>
      <c r="HR376">
        <v>0</v>
      </c>
      <c r="HS376">
        <v>0</v>
      </c>
      <c r="HT376">
        <v>0</v>
      </c>
      <c r="HW376">
        <v>0</v>
      </c>
      <c r="HX376">
        <v>0</v>
      </c>
      <c r="HY376">
        <v>0</v>
      </c>
      <c r="HZ376">
        <v>0</v>
      </c>
      <c r="IA376">
        <v>3930.6</v>
      </c>
      <c r="IB376">
        <v>3632.9</v>
      </c>
      <c r="IC376">
        <v>3795.5</v>
      </c>
      <c r="ID376">
        <v>0</v>
      </c>
      <c r="IE376">
        <v>0</v>
      </c>
      <c r="IF376">
        <v>3548.5</v>
      </c>
      <c r="IG376">
        <v>3395.2</v>
      </c>
      <c r="IH376">
        <v>3395.4</v>
      </c>
      <c r="II376">
        <v>3302.3</v>
      </c>
      <c r="IJ376">
        <v>3172.8</v>
      </c>
      <c r="IK376">
        <v>0</v>
      </c>
      <c r="IL376">
        <v>0</v>
      </c>
      <c r="IM376">
        <v>0</v>
      </c>
      <c r="IN376">
        <v>0</v>
      </c>
      <c r="IO376">
        <v>123.4</v>
      </c>
      <c r="IP376">
        <v>405.2</v>
      </c>
      <c r="IQ376">
        <v>418.7</v>
      </c>
      <c r="IR376">
        <v>0</v>
      </c>
      <c r="IS376">
        <v>0</v>
      </c>
      <c r="IT376">
        <v>0</v>
      </c>
      <c r="IU376">
        <v>0</v>
      </c>
      <c r="IV376">
        <v>396</v>
      </c>
      <c r="IW376">
        <v>0</v>
      </c>
      <c r="IX376">
        <v>0</v>
      </c>
      <c r="IZ376">
        <v>0</v>
      </c>
      <c r="JA376">
        <v>65.5</v>
      </c>
      <c r="JB376">
        <v>443.5</v>
      </c>
      <c r="JC376">
        <v>0</v>
      </c>
      <c r="JD376">
        <v>0</v>
      </c>
      <c r="JE376">
        <v>0</v>
      </c>
      <c r="JF376">
        <v>0</v>
      </c>
      <c r="JG376">
        <v>0</v>
      </c>
      <c r="JH376">
        <v>0</v>
      </c>
      <c r="JI376">
        <v>0</v>
      </c>
      <c r="JJ376">
        <v>0</v>
      </c>
      <c r="JK376">
        <v>0</v>
      </c>
      <c r="JL376">
        <v>0</v>
      </c>
      <c r="JM376">
        <v>0</v>
      </c>
      <c r="JN376">
        <v>0</v>
      </c>
      <c r="JO376">
        <v>0</v>
      </c>
      <c r="JP376">
        <v>0</v>
      </c>
      <c r="JQ376">
        <v>0</v>
      </c>
      <c r="JR376">
        <v>0</v>
      </c>
      <c r="JS376">
        <v>0</v>
      </c>
      <c r="JT376">
        <v>0</v>
      </c>
      <c r="JU376">
        <v>0</v>
      </c>
      <c r="JV376">
        <v>0</v>
      </c>
      <c r="JW376">
        <v>0</v>
      </c>
      <c r="JX376">
        <v>0</v>
      </c>
      <c r="JY376">
        <v>0</v>
      </c>
      <c r="JZ376">
        <v>0</v>
      </c>
      <c r="KA376">
        <v>0</v>
      </c>
      <c r="KB376">
        <v>0</v>
      </c>
      <c r="KC376">
        <v>0</v>
      </c>
      <c r="KD376">
        <v>0</v>
      </c>
      <c r="KE376">
        <v>0</v>
      </c>
      <c r="KF376">
        <v>0</v>
      </c>
      <c r="KI376">
        <v>344.6</v>
      </c>
      <c r="KJ376">
        <v>350.8</v>
      </c>
      <c r="KK376">
        <v>22.1</v>
      </c>
      <c r="KL376">
        <v>379.3</v>
      </c>
      <c r="KM376">
        <v>241.4</v>
      </c>
      <c r="KN376">
        <v>0</v>
      </c>
      <c r="KO376">
        <v>0</v>
      </c>
      <c r="KP376">
        <v>57.3</v>
      </c>
      <c r="KQ376">
        <v>224.4</v>
      </c>
      <c r="KR376">
        <v>338.3</v>
      </c>
      <c r="KS376">
        <v>215.8</v>
      </c>
      <c r="KT376">
        <v>40.700000000000003</v>
      </c>
      <c r="KW376">
        <v>2154.5</v>
      </c>
      <c r="KX376">
        <v>1255.7</v>
      </c>
      <c r="KY376">
        <v>1630.1</v>
      </c>
      <c r="KZ376">
        <v>1246.9000000000001</v>
      </c>
      <c r="LB376">
        <v>78.099999999999994</v>
      </c>
      <c r="LC376">
        <v>77.7</v>
      </c>
    </row>
    <row r="377" spans="1:315" ht="18" thickBot="1">
      <c r="A377" s="245"/>
      <c r="B377" s="245"/>
      <c r="C377" s="230" t="s">
        <v>691</v>
      </c>
      <c r="D377" s="281"/>
      <c r="E377" s="443">
        <v>0</v>
      </c>
      <c r="F377" s="191">
        <v>0</v>
      </c>
      <c r="G377" s="427">
        <v>3413.8</v>
      </c>
      <c r="H377" s="155"/>
      <c r="I377">
        <v>735</v>
      </c>
      <c r="K377">
        <v>1973.1000000000001</v>
      </c>
      <c r="L377" s="4">
        <v>221.60000000000002</v>
      </c>
      <c r="M377" s="4">
        <v>54.9</v>
      </c>
      <c r="N377" s="4">
        <v>1989.7</v>
      </c>
      <c r="P377">
        <v>0</v>
      </c>
      <c r="Q377">
        <v>238.29999999999998</v>
      </c>
      <c r="R377">
        <v>0</v>
      </c>
      <c r="S377">
        <v>0</v>
      </c>
      <c r="T377">
        <v>368.5</v>
      </c>
      <c r="W377">
        <v>720.3</v>
      </c>
      <c r="X377">
        <v>1411.5</v>
      </c>
      <c r="Y377">
        <v>96.5</v>
      </c>
      <c r="AA377">
        <v>859.6</v>
      </c>
      <c r="AB377">
        <v>1577.6000000000001</v>
      </c>
      <c r="AE377">
        <v>1330</v>
      </c>
      <c r="AF377">
        <v>1025.5</v>
      </c>
      <c r="AH377">
        <v>509.9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1349.3</v>
      </c>
      <c r="AO377">
        <v>786.40000000000009</v>
      </c>
      <c r="AP377">
        <v>0</v>
      </c>
      <c r="AQ377">
        <v>68.3</v>
      </c>
      <c r="AR377">
        <v>234.9</v>
      </c>
      <c r="AS377">
        <v>600.40000000000009</v>
      </c>
      <c r="AU377">
        <v>985.69999999999993</v>
      </c>
      <c r="AW377">
        <v>792</v>
      </c>
      <c r="AX377">
        <v>1988.5</v>
      </c>
      <c r="AZ377">
        <v>763.5</v>
      </c>
      <c r="BA377">
        <v>0</v>
      </c>
      <c r="BB377">
        <v>0</v>
      </c>
      <c r="BC377">
        <v>1935.3</v>
      </c>
      <c r="BD377">
        <v>1006.5</v>
      </c>
      <c r="BE377">
        <v>0</v>
      </c>
      <c r="BF377">
        <v>0</v>
      </c>
      <c r="BG377">
        <v>0</v>
      </c>
      <c r="BH377">
        <v>1662.6</v>
      </c>
      <c r="BJ377">
        <v>0</v>
      </c>
      <c r="BK377">
        <v>0</v>
      </c>
      <c r="BL377">
        <v>1038.9000000000001</v>
      </c>
      <c r="BM377">
        <v>1101</v>
      </c>
      <c r="BO377">
        <v>1276.8000000000002</v>
      </c>
      <c r="BQ377">
        <v>0</v>
      </c>
      <c r="BR377">
        <v>270.7</v>
      </c>
      <c r="BS377">
        <v>230.5</v>
      </c>
      <c r="BT377">
        <v>472.3</v>
      </c>
      <c r="BU377">
        <v>537.29999999999995</v>
      </c>
      <c r="BV377">
        <v>346.3</v>
      </c>
      <c r="BW377">
        <v>386.2</v>
      </c>
      <c r="BX377">
        <v>767</v>
      </c>
      <c r="BY377">
        <v>757.2</v>
      </c>
      <c r="BZ377">
        <v>1037.2</v>
      </c>
      <c r="CA377">
        <v>1227.0999999999999</v>
      </c>
      <c r="CB377">
        <v>1232.0999999999999</v>
      </c>
      <c r="CC377">
        <v>1701.5</v>
      </c>
      <c r="CD377">
        <v>0</v>
      </c>
      <c r="CG377">
        <v>1385.3</v>
      </c>
      <c r="CJ377">
        <v>1630.2999999999997</v>
      </c>
      <c r="CM377">
        <v>1184.2</v>
      </c>
      <c r="CO377">
        <v>1248.0999999999999</v>
      </c>
      <c r="CQ377">
        <v>1435.3</v>
      </c>
      <c r="CR377">
        <v>798.2</v>
      </c>
      <c r="CS377">
        <v>923.8</v>
      </c>
      <c r="CT377">
        <v>0</v>
      </c>
      <c r="CU377">
        <v>0</v>
      </c>
      <c r="CV377">
        <v>0</v>
      </c>
      <c r="CW377">
        <v>0</v>
      </c>
      <c r="CX377">
        <v>163.69999999999999</v>
      </c>
      <c r="CY377">
        <v>0</v>
      </c>
      <c r="CZ377">
        <v>0</v>
      </c>
      <c r="DA377">
        <v>0</v>
      </c>
      <c r="DB377">
        <v>0</v>
      </c>
      <c r="DC377">
        <v>0</v>
      </c>
      <c r="DD377">
        <v>0</v>
      </c>
      <c r="DE377">
        <v>0</v>
      </c>
      <c r="DI377">
        <v>0</v>
      </c>
      <c r="EC377">
        <v>0</v>
      </c>
      <c r="ED377">
        <v>0</v>
      </c>
      <c r="EE377">
        <v>0</v>
      </c>
      <c r="EF377">
        <v>0</v>
      </c>
      <c r="EG377">
        <v>0</v>
      </c>
      <c r="EH377">
        <v>0</v>
      </c>
      <c r="EI377">
        <v>0</v>
      </c>
      <c r="EJ377">
        <v>0</v>
      </c>
      <c r="EM377">
        <v>0</v>
      </c>
      <c r="EN377">
        <v>0</v>
      </c>
      <c r="EO377">
        <v>0</v>
      </c>
      <c r="EP377">
        <v>0</v>
      </c>
      <c r="EQ377">
        <v>0</v>
      </c>
      <c r="ER377">
        <v>0</v>
      </c>
      <c r="ES377">
        <v>0</v>
      </c>
      <c r="ET377">
        <v>0</v>
      </c>
      <c r="EW377">
        <v>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0</v>
      </c>
      <c r="FD377">
        <v>0</v>
      </c>
      <c r="FG377" t="e">
        <v>#N/A</v>
      </c>
      <c r="FI377" t="e">
        <v>#N/A</v>
      </c>
      <c r="FK377" t="e">
        <v>#N/A</v>
      </c>
      <c r="FM377" t="e">
        <v>#N/A</v>
      </c>
      <c r="FO377" t="e">
        <v>#N/A</v>
      </c>
      <c r="FQ377" t="e">
        <v>#N/A</v>
      </c>
      <c r="FS377" t="e">
        <v>#N/A</v>
      </c>
      <c r="FU377" t="e">
        <v>#N/A</v>
      </c>
      <c r="FW377" t="e">
        <v>#N/A</v>
      </c>
      <c r="FY377" t="e">
        <v>#N/A</v>
      </c>
      <c r="GA377" t="e">
        <v>#N/A</v>
      </c>
      <c r="GC377" t="e">
        <v>#N/A</v>
      </c>
      <c r="GE377" t="e">
        <v>#N/A</v>
      </c>
      <c r="GG377" t="e">
        <v>#N/A</v>
      </c>
      <c r="GI377" t="e">
        <v>#N/A</v>
      </c>
      <c r="GK377" t="e">
        <v>#N/A</v>
      </c>
      <c r="GM377" t="e">
        <v>#N/A</v>
      </c>
      <c r="GO377" t="e">
        <v>#N/A</v>
      </c>
      <c r="GQ377" t="e">
        <v>#N/A</v>
      </c>
      <c r="GS377" t="e">
        <v>#N/A</v>
      </c>
      <c r="GU377" t="e">
        <v>#N/A</v>
      </c>
      <c r="GW377" t="e">
        <v>#N/A</v>
      </c>
      <c r="GY377" t="e">
        <v>#N/A</v>
      </c>
      <c r="HA377" t="e">
        <v>#N/A</v>
      </c>
      <c r="HC377">
        <v>0</v>
      </c>
      <c r="HD377">
        <v>0</v>
      </c>
      <c r="HE377">
        <v>0</v>
      </c>
      <c r="HF377">
        <v>0</v>
      </c>
      <c r="HG377">
        <v>0</v>
      </c>
      <c r="HH377">
        <v>0</v>
      </c>
      <c r="HI377">
        <v>0</v>
      </c>
      <c r="HJ377">
        <v>0</v>
      </c>
      <c r="HM377">
        <v>0</v>
      </c>
      <c r="HN377">
        <v>0</v>
      </c>
      <c r="HO377">
        <v>0</v>
      </c>
      <c r="HP377">
        <v>0</v>
      </c>
      <c r="HQ377">
        <v>0</v>
      </c>
      <c r="HR377">
        <v>0</v>
      </c>
      <c r="HS377">
        <v>0</v>
      </c>
      <c r="HT377">
        <v>0</v>
      </c>
      <c r="HW377">
        <v>0</v>
      </c>
      <c r="HX377">
        <v>0</v>
      </c>
      <c r="HY377">
        <v>0</v>
      </c>
      <c r="HZ377">
        <v>0</v>
      </c>
      <c r="IA377">
        <v>3930.6</v>
      </c>
      <c r="IB377">
        <v>3632.9</v>
      </c>
      <c r="IC377">
        <v>3795.5</v>
      </c>
      <c r="ID377">
        <v>0</v>
      </c>
      <c r="IE377">
        <v>0</v>
      </c>
      <c r="IF377">
        <v>3548.5</v>
      </c>
      <c r="IG377">
        <v>3395.2</v>
      </c>
      <c r="IH377">
        <v>3395.4</v>
      </c>
      <c r="II377">
        <v>3302.3</v>
      </c>
      <c r="IJ377">
        <v>3172.8</v>
      </c>
      <c r="IK377">
        <v>0</v>
      </c>
      <c r="IL377">
        <v>0</v>
      </c>
      <c r="IM377">
        <v>0</v>
      </c>
      <c r="IN377">
        <v>0</v>
      </c>
      <c r="IO377">
        <v>123.4</v>
      </c>
      <c r="IP377">
        <v>405.2</v>
      </c>
      <c r="IQ377">
        <v>418.7</v>
      </c>
      <c r="IR377">
        <v>0</v>
      </c>
      <c r="IS377">
        <v>0</v>
      </c>
      <c r="IT377">
        <v>0</v>
      </c>
      <c r="IU377">
        <v>0</v>
      </c>
      <c r="IV377">
        <v>396</v>
      </c>
      <c r="IW377">
        <v>0</v>
      </c>
      <c r="IX377">
        <v>0</v>
      </c>
      <c r="IZ377">
        <v>0</v>
      </c>
      <c r="JA377">
        <v>65.5</v>
      </c>
      <c r="JB377">
        <v>443.5</v>
      </c>
      <c r="JC377">
        <v>0</v>
      </c>
      <c r="JD377">
        <v>0</v>
      </c>
      <c r="JE377">
        <v>0</v>
      </c>
      <c r="JF377">
        <v>0</v>
      </c>
      <c r="JG377">
        <v>0</v>
      </c>
      <c r="JH377">
        <v>0</v>
      </c>
      <c r="JI377">
        <v>0</v>
      </c>
      <c r="JJ377">
        <v>0</v>
      </c>
      <c r="JK377">
        <v>0</v>
      </c>
      <c r="JL377">
        <v>0</v>
      </c>
      <c r="JM377">
        <v>0</v>
      </c>
      <c r="JN377">
        <v>0</v>
      </c>
      <c r="JO377">
        <v>0</v>
      </c>
      <c r="JP377">
        <v>0</v>
      </c>
      <c r="JQ377">
        <v>0</v>
      </c>
      <c r="JR377">
        <v>0</v>
      </c>
      <c r="JS377">
        <v>0</v>
      </c>
      <c r="JT377">
        <v>0</v>
      </c>
      <c r="JU377">
        <v>0</v>
      </c>
      <c r="JV377">
        <v>0</v>
      </c>
      <c r="JW377">
        <v>0</v>
      </c>
      <c r="JX377">
        <v>0</v>
      </c>
      <c r="JY377">
        <v>0</v>
      </c>
      <c r="JZ377">
        <v>0</v>
      </c>
      <c r="KA377">
        <v>0</v>
      </c>
      <c r="KB377">
        <v>0</v>
      </c>
      <c r="KC377">
        <v>0</v>
      </c>
      <c r="KD377">
        <v>0</v>
      </c>
      <c r="KE377">
        <v>0</v>
      </c>
      <c r="KF377">
        <v>0</v>
      </c>
      <c r="KI377">
        <v>344.6</v>
      </c>
      <c r="KJ377">
        <v>350.8</v>
      </c>
      <c r="KK377">
        <v>22.1</v>
      </c>
      <c r="KL377">
        <v>379.3</v>
      </c>
      <c r="KM377">
        <v>241.4</v>
      </c>
      <c r="KN377">
        <v>0</v>
      </c>
      <c r="KO377">
        <v>0</v>
      </c>
      <c r="KP377">
        <v>57.3</v>
      </c>
      <c r="KQ377">
        <v>224.4</v>
      </c>
      <c r="KR377">
        <v>338.3</v>
      </c>
      <c r="KS377">
        <v>215.8</v>
      </c>
      <c r="KT377">
        <v>40.700000000000003</v>
      </c>
      <c r="KW377">
        <v>2154.5</v>
      </c>
      <c r="KX377">
        <v>1255.7</v>
      </c>
      <c r="KY377">
        <v>1630.1</v>
      </c>
      <c r="KZ377">
        <v>1246.9000000000001</v>
      </c>
      <c r="LB377">
        <v>78.099999999999994</v>
      </c>
      <c r="LC377">
        <v>77.7</v>
      </c>
    </row>
    <row r="378" spans="1:315" ht="18" thickBot="1">
      <c r="A378" s="245"/>
      <c r="B378" s="245"/>
      <c r="C378" s="230" t="s">
        <v>692</v>
      </c>
      <c r="D378" s="281"/>
      <c r="E378" s="443">
        <v>0</v>
      </c>
      <c r="F378" s="191">
        <v>0</v>
      </c>
      <c r="G378" s="427">
        <v>3413.8</v>
      </c>
      <c r="H378" s="155"/>
      <c r="I378">
        <v>735</v>
      </c>
      <c r="K378">
        <v>1973.1000000000001</v>
      </c>
      <c r="L378" s="4">
        <v>221.60000000000002</v>
      </c>
      <c r="M378" s="4">
        <v>54.9</v>
      </c>
      <c r="N378" s="4">
        <v>1989.7</v>
      </c>
      <c r="P378">
        <v>0</v>
      </c>
      <c r="Q378">
        <v>238.29999999999998</v>
      </c>
      <c r="R378">
        <v>0</v>
      </c>
      <c r="S378">
        <v>0</v>
      </c>
      <c r="T378">
        <v>368.5</v>
      </c>
      <c r="W378">
        <v>720.3</v>
      </c>
      <c r="X378">
        <v>1411.5</v>
      </c>
      <c r="Y378">
        <v>96.5</v>
      </c>
      <c r="AA378">
        <v>859.6</v>
      </c>
      <c r="AB378">
        <v>1577.6000000000001</v>
      </c>
      <c r="AE378">
        <v>1330</v>
      </c>
      <c r="AF378">
        <v>1025.5</v>
      </c>
      <c r="AH378">
        <v>509.9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1349.3</v>
      </c>
      <c r="AO378">
        <v>786.40000000000009</v>
      </c>
      <c r="AP378">
        <v>0</v>
      </c>
      <c r="AQ378">
        <v>68.3</v>
      </c>
      <c r="AR378">
        <v>234.9</v>
      </c>
      <c r="AS378">
        <v>600.40000000000009</v>
      </c>
      <c r="AU378">
        <v>985.69999999999993</v>
      </c>
      <c r="AW378">
        <v>792</v>
      </c>
      <c r="AX378">
        <v>1988.5</v>
      </c>
      <c r="AZ378">
        <v>763.5</v>
      </c>
      <c r="BA378">
        <v>0</v>
      </c>
      <c r="BB378">
        <v>0</v>
      </c>
      <c r="BC378">
        <v>1935.3</v>
      </c>
      <c r="BD378">
        <v>1006.5</v>
      </c>
      <c r="BE378">
        <v>0</v>
      </c>
      <c r="BF378">
        <v>0</v>
      </c>
      <c r="BG378">
        <v>0</v>
      </c>
      <c r="BH378">
        <v>1662.6</v>
      </c>
      <c r="BJ378">
        <v>0</v>
      </c>
      <c r="BK378">
        <v>0</v>
      </c>
      <c r="BL378">
        <v>1038.9000000000001</v>
      </c>
      <c r="BM378">
        <v>1101</v>
      </c>
      <c r="BO378">
        <v>1276.8000000000002</v>
      </c>
      <c r="BQ378">
        <v>0</v>
      </c>
      <c r="BR378">
        <v>270.7</v>
      </c>
      <c r="BS378">
        <v>230.5</v>
      </c>
      <c r="BT378">
        <v>472.3</v>
      </c>
      <c r="BU378">
        <v>537.29999999999995</v>
      </c>
      <c r="BV378">
        <v>346.3</v>
      </c>
      <c r="BW378">
        <v>386.2</v>
      </c>
      <c r="BX378">
        <v>767</v>
      </c>
      <c r="BY378">
        <v>757.2</v>
      </c>
      <c r="BZ378">
        <v>1037.2</v>
      </c>
      <c r="CA378">
        <v>1227.0999999999999</v>
      </c>
      <c r="CB378">
        <v>1232.0999999999999</v>
      </c>
      <c r="CC378">
        <v>1701.5</v>
      </c>
      <c r="CD378">
        <v>0</v>
      </c>
      <c r="CG378">
        <v>1385.3</v>
      </c>
      <c r="CJ378">
        <v>1630.2999999999997</v>
      </c>
      <c r="CM378">
        <v>1184.2</v>
      </c>
      <c r="CO378">
        <v>1248.0999999999999</v>
      </c>
      <c r="CQ378">
        <v>1435.3</v>
      </c>
      <c r="CR378">
        <v>798.2</v>
      </c>
      <c r="CS378">
        <v>923.8</v>
      </c>
      <c r="CT378">
        <v>0</v>
      </c>
      <c r="CU378">
        <v>0</v>
      </c>
      <c r="CV378">
        <v>0</v>
      </c>
      <c r="CW378">
        <v>0</v>
      </c>
      <c r="CX378">
        <v>163.69999999999999</v>
      </c>
      <c r="CY378">
        <v>0</v>
      </c>
      <c r="CZ378">
        <v>0</v>
      </c>
      <c r="DA378">
        <v>0</v>
      </c>
      <c r="DB378">
        <v>0</v>
      </c>
      <c r="DC378">
        <v>0</v>
      </c>
      <c r="DD378">
        <v>0</v>
      </c>
      <c r="DE378">
        <v>0</v>
      </c>
      <c r="DI378">
        <v>0</v>
      </c>
      <c r="EC378">
        <v>0</v>
      </c>
      <c r="ED378">
        <v>0</v>
      </c>
      <c r="EE378">
        <v>0</v>
      </c>
      <c r="EF378">
        <v>0</v>
      </c>
      <c r="EG378">
        <v>0</v>
      </c>
      <c r="EH378">
        <v>0</v>
      </c>
      <c r="EI378">
        <v>0</v>
      </c>
      <c r="EJ378">
        <v>0</v>
      </c>
      <c r="EM378">
        <v>0</v>
      </c>
      <c r="EN378">
        <v>0</v>
      </c>
      <c r="EO378">
        <v>0</v>
      </c>
      <c r="EP378">
        <v>0</v>
      </c>
      <c r="EQ378">
        <v>0</v>
      </c>
      <c r="ER378">
        <v>0</v>
      </c>
      <c r="ES378">
        <v>0</v>
      </c>
      <c r="ET378">
        <v>0</v>
      </c>
      <c r="EW378">
        <v>0</v>
      </c>
      <c r="EX378">
        <v>0</v>
      </c>
      <c r="EY378">
        <v>0</v>
      </c>
      <c r="EZ378">
        <v>0</v>
      </c>
      <c r="FA378">
        <v>0</v>
      </c>
      <c r="FB378">
        <v>0</v>
      </c>
      <c r="FC378">
        <v>0</v>
      </c>
      <c r="FD378">
        <v>0</v>
      </c>
      <c r="FG378" t="e">
        <v>#N/A</v>
      </c>
      <c r="FI378" t="e">
        <v>#N/A</v>
      </c>
      <c r="FK378" t="e">
        <v>#N/A</v>
      </c>
      <c r="FM378" t="e">
        <v>#N/A</v>
      </c>
      <c r="FO378" t="e">
        <v>#N/A</v>
      </c>
      <c r="FQ378" t="e">
        <v>#N/A</v>
      </c>
      <c r="FS378" t="e">
        <v>#N/A</v>
      </c>
      <c r="FU378" t="e">
        <v>#N/A</v>
      </c>
      <c r="FW378" t="e">
        <v>#N/A</v>
      </c>
      <c r="FY378" t="e">
        <v>#N/A</v>
      </c>
      <c r="GA378" t="e">
        <v>#N/A</v>
      </c>
      <c r="GC378" t="e">
        <v>#N/A</v>
      </c>
      <c r="GE378" t="e">
        <v>#N/A</v>
      </c>
      <c r="GG378" t="e">
        <v>#N/A</v>
      </c>
      <c r="GI378" t="e">
        <v>#N/A</v>
      </c>
      <c r="GK378" t="e">
        <v>#N/A</v>
      </c>
      <c r="GM378" t="e">
        <v>#N/A</v>
      </c>
      <c r="GO378" t="e">
        <v>#N/A</v>
      </c>
      <c r="GQ378" t="e">
        <v>#N/A</v>
      </c>
      <c r="GS378" t="e">
        <v>#N/A</v>
      </c>
      <c r="GU378" t="e">
        <v>#N/A</v>
      </c>
      <c r="GW378" t="e">
        <v>#N/A</v>
      </c>
      <c r="GY378" t="e">
        <v>#N/A</v>
      </c>
      <c r="HA378" t="e">
        <v>#N/A</v>
      </c>
      <c r="HC378">
        <v>0</v>
      </c>
      <c r="HD378">
        <v>0</v>
      </c>
      <c r="HE378">
        <v>0</v>
      </c>
      <c r="HF378">
        <v>0</v>
      </c>
      <c r="HG378">
        <v>0</v>
      </c>
      <c r="HH378">
        <v>0</v>
      </c>
      <c r="HI378">
        <v>0</v>
      </c>
      <c r="HJ378">
        <v>0</v>
      </c>
      <c r="HM378">
        <v>0</v>
      </c>
      <c r="HN378">
        <v>0</v>
      </c>
      <c r="HO378">
        <v>0</v>
      </c>
      <c r="HP378">
        <v>0</v>
      </c>
      <c r="HQ378">
        <v>0</v>
      </c>
      <c r="HR378">
        <v>0</v>
      </c>
      <c r="HS378">
        <v>0</v>
      </c>
      <c r="HT378">
        <v>0</v>
      </c>
      <c r="HW378">
        <v>0</v>
      </c>
      <c r="HX378">
        <v>0</v>
      </c>
      <c r="HY378">
        <v>0</v>
      </c>
      <c r="HZ378">
        <v>0</v>
      </c>
      <c r="IA378">
        <v>3930.6</v>
      </c>
      <c r="IB378">
        <v>3632.9</v>
      </c>
      <c r="IC378">
        <v>3795.5</v>
      </c>
      <c r="ID378">
        <v>0</v>
      </c>
      <c r="IE378">
        <v>0</v>
      </c>
      <c r="IF378">
        <v>3548.5</v>
      </c>
      <c r="IG378">
        <v>3395.2</v>
      </c>
      <c r="IH378">
        <v>3395.4</v>
      </c>
      <c r="II378">
        <v>3302.3</v>
      </c>
      <c r="IJ378">
        <v>3172.8</v>
      </c>
      <c r="IK378">
        <v>0</v>
      </c>
      <c r="IL378">
        <v>0</v>
      </c>
      <c r="IM378">
        <v>0</v>
      </c>
      <c r="IN378">
        <v>0</v>
      </c>
      <c r="IO378">
        <v>123.4</v>
      </c>
      <c r="IP378">
        <v>405.2</v>
      </c>
      <c r="IQ378">
        <v>418.7</v>
      </c>
      <c r="IR378">
        <v>0</v>
      </c>
      <c r="IS378">
        <v>0</v>
      </c>
      <c r="IT378">
        <v>0</v>
      </c>
      <c r="IU378">
        <v>0</v>
      </c>
      <c r="IV378">
        <v>396</v>
      </c>
      <c r="IW378">
        <v>0</v>
      </c>
      <c r="IX378">
        <v>0</v>
      </c>
      <c r="IZ378">
        <v>0</v>
      </c>
      <c r="JA378">
        <v>65.5</v>
      </c>
      <c r="JB378">
        <v>443.5</v>
      </c>
      <c r="JC378">
        <v>0</v>
      </c>
      <c r="JD378">
        <v>0</v>
      </c>
      <c r="JE378">
        <v>0</v>
      </c>
      <c r="JF378">
        <v>0</v>
      </c>
      <c r="JG378">
        <v>0</v>
      </c>
      <c r="JH378">
        <v>0</v>
      </c>
      <c r="JI378">
        <v>0</v>
      </c>
      <c r="JJ378">
        <v>0</v>
      </c>
      <c r="JK378">
        <v>0</v>
      </c>
      <c r="JL378">
        <v>0</v>
      </c>
      <c r="JM378">
        <v>0</v>
      </c>
      <c r="JN378">
        <v>0</v>
      </c>
      <c r="JO378">
        <v>0</v>
      </c>
      <c r="JP378">
        <v>0</v>
      </c>
      <c r="JQ378">
        <v>0</v>
      </c>
      <c r="JR378">
        <v>0</v>
      </c>
      <c r="JS378">
        <v>0</v>
      </c>
      <c r="JT378">
        <v>0</v>
      </c>
      <c r="JU378">
        <v>0</v>
      </c>
      <c r="JV378">
        <v>0</v>
      </c>
      <c r="JW378">
        <v>0</v>
      </c>
      <c r="JX378">
        <v>0</v>
      </c>
      <c r="JY378">
        <v>0</v>
      </c>
      <c r="JZ378">
        <v>0</v>
      </c>
      <c r="KA378">
        <v>0</v>
      </c>
      <c r="KB378">
        <v>0</v>
      </c>
      <c r="KC378">
        <v>0</v>
      </c>
      <c r="KD378">
        <v>0</v>
      </c>
      <c r="KE378">
        <v>0</v>
      </c>
      <c r="KF378">
        <v>0</v>
      </c>
      <c r="KI378">
        <v>344.6</v>
      </c>
      <c r="KJ378">
        <v>350.8</v>
      </c>
      <c r="KK378">
        <v>22.1</v>
      </c>
      <c r="KL378">
        <v>379.3</v>
      </c>
      <c r="KM378">
        <v>241.4</v>
      </c>
      <c r="KN378">
        <v>0</v>
      </c>
      <c r="KO378">
        <v>0</v>
      </c>
      <c r="KP378">
        <v>57.3</v>
      </c>
      <c r="KQ378">
        <v>224.4</v>
      </c>
      <c r="KR378">
        <v>338.3</v>
      </c>
      <c r="KS378">
        <v>215.8</v>
      </c>
      <c r="KT378">
        <v>40.700000000000003</v>
      </c>
      <c r="KW378">
        <v>2154.5</v>
      </c>
      <c r="KX378">
        <v>1255.7</v>
      </c>
      <c r="KY378">
        <v>1630.1</v>
      </c>
      <c r="KZ378">
        <v>1246.9000000000001</v>
      </c>
      <c r="LB378">
        <v>78.099999999999994</v>
      </c>
      <c r="LC378">
        <v>77.7</v>
      </c>
    </row>
    <row r="379" spans="1:315" ht="18" thickBot="1">
      <c r="A379" s="245"/>
      <c r="B379" s="245"/>
      <c r="C379" s="230" t="s">
        <v>693</v>
      </c>
      <c r="D379" s="281"/>
      <c r="E379" s="443">
        <v>0</v>
      </c>
      <c r="F379" s="191">
        <v>0</v>
      </c>
      <c r="G379" s="427">
        <v>3413.8</v>
      </c>
      <c r="H379" s="155"/>
      <c r="I379">
        <v>735</v>
      </c>
      <c r="K379">
        <v>1973.1000000000001</v>
      </c>
      <c r="L379" s="4">
        <v>221.60000000000002</v>
      </c>
      <c r="M379" s="4">
        <v>54.9</v>
      </c>
      <c r="N379" s="4">
        <v>1989.7</v>
      </c>
      <c r="P379">
        <v>0</v>
      </c>
      <c r="Q379">
        <v>238.29999999999998</v>
      </c>
      <c r="R379">
        <v>0</v>
      </c>
      <c r="S379">
        <v>0</v>
      </c>
      <c r="T379">
        <v>368.5</v>
      </c>
      <c r="W379">
        <v>720.3</v>
      </c>
      <c r="X379">
        <v>1411.5</v>
      </c>
      <c r="Y379">
        <v>96.5</v>
      </c>
      <c r="AA379">
        <v>859.6</v>
      </c>
      <c r="AB379">
        <v>1577.6000000000001</v>
      </c>
      <c r="AE379">
        <v>1330</v>
      </c>
      <c r="AF379">
        <v>1025.5</v>
      </c>
      <c r="AH379">
        <v>509.9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1349.3</v>
      </c>
      <c r="AO379">
        <v>786.40000000000009</v>
      </c>
      <c r="AP379">
        <v>0</v>
      </c>
      <c r="AQ379">
        <v>68.3</v>
      </c>
      <c r="AR379">
        <v>234.9</v>
      </c>
      <c r="AS379">
        <v>600.40000000000009</v>
      </c>
      <c r="AU379">
        <v>985.69999999999993</v>
      </c>
      <c r="AW379">
        <v>792</v>
      </c>
      <c r="AX379">
        <v>1988.5</v>
      </c>
      <c r="AZ379">
        <v>763.5</v>
      </c>
      <c r="BA379">
        <v>0</v>
      </c>
      <c r="BB379">
        <v>0</v>
      </c>
      <c r="BC379">
        <v>1935.3</v>
      </c>
      <c r="BD379">
        <v>1006.5</v>
      </c>
      <c r="BE379">
        <v>0</v>
      </c>
      <c r="BF379">
        <v>0</v>
      </c>
      <c r="BG379">
        <v>0</v>
      </c>
      <c r="BH379">
        <v>1662.6</v>
      </c>
      <c r="BJ379">
        <v>0</v>
      </c>
      <c r="BK379">
        <v>0</v>
      </c>
      <c r="BL379">
        <v>1038.9000000000001</v>
      </c>
      <c r="BM379">
        <v>1101</v>
      </c>
      <c r="BO379">
        <v>1276.8000000000002</v>
      </c>
      <c r="BQ379">
        <v>0</v>
      </c>
      <c r="BR379">
        <v>270.7</v>
      </c>
      <c r="BS379">
        <v>230.5</v>
      </c>
      <c r="BT379">
        <v>472.3</v>
      </c>
      <c r="BU379">
        <v>537.29999999999995</v>
      </c>
      <c r="BV379">
        <v>346.3</v>
      </c>
      <c r="BW379">
        <v>386.2</v>
      </c>
      <c r="BX379">
        <v>767</v>
      </c>
      <c r="BY379">
        <v>757.2</v>
      </c>
      <c r="BZ379">
        <v>1037.2</v>
      </c>
      <c r="CA379">
        <v>1227.0999999999999</v>
      </c>
      <c r="CB379">
        <v>1232.0999999999999</v>
      </c>
      <c r="CC379">
        <v>1701.5</v>
      </c>
      <c r="CD379">
        <v>0</v>
      </c>
      <c r="CG379">
        <v>1385.3</v>
      </c>
      <c r="CJ379">
        <v>1630.2999999999997</v>
      </c>
      <c r="CM379">
        <v>1184.2</v>
      </c>
      <c r="CO379">
        <v>1248.0999999999999</v>
      </c>
      <c r="CQ379">
        <v>1435.3</v>
      </c>
      <c r="CR379">
        <v>798.2</v>
      </c>
      <c r="CS379">
        <v>923.8</v>
      </c>
      <c r="CT379">
        <v>0</v>
      </c>
      <c r="CU379">
        <v>0</v>
      </c>
      <c r="CV379">
        <v>0</v>
      </c>
      <c r="CW379">
        <v>0</v>
      </c>
      <c r="CX379">
        <v>163.69999999999999</v>
      </c>
      <c r="CY379">
        <v>0</v>
      </c>
      <c r="CZ379">
        <v>0</v>
      </c>
      <c r="DA379">
        <v>0</v>
      </c>
      <c r="DB379">
        <v>0</v>
      </c>
      <c r="DC379">
        <v>0</v>
      </c>
      <c r="DD379">
        <v>0</v>
      </c>
      <c r="DE379">
        <v>0</v>
      </c>
      <c r="DI379">
        <v>0</v>
      </c>
      <c r="EC379">
        <v>0</v>
      </c>
      <c r="ED379">
        <v>0</v>
      </c>
      <c r="EE379">
        <v>0</v>
      </c>
      <c r="EF379">
        <v>0</v>
      </c>
      <c r="EG379">
        <v>0</v>
      </c>
      <c r="EH379">
        <v>0</v>
      </c>
      <c r="EI379">
        <v>0</v>
      </c>
      <c r="EJ379">
        <v>0</v>
      </c>
      <c r="EM379">
        <v>0</v>
      </c>
      <c r="EN379">
        <v>0</v>
      </c>
      <c r="EO379">
        <v>0</v>
      </c>
      <c r="EP379">
        <v>0</v>
      </c>
      <c r="EQ379">
        <v>0</v>
      </c>
      <c r="ER379">
        <v>0</v>
      </c>
      <c r="ES379">
        <v>0</v>
      </c>
      <c r="ET379">
        <v>0</v>
      </c>
      <c r="EW379">
        <v>0</v>
      </c>
      <c r="EX379">
        <v>0</v>
      </c>
      <c r="EY379">
        <v>0</v>
      </c>
      <c r="EZ379">
        <v>0</v>
      </c>
      <c r="FA379">
        <v>0</v>
      </c>
      <c r="FB379">
        <v>0</v>
      </c>
      <c r="FC379">
        <v>0</v>
      </c>
      <c r="FD379">
        <v>0</v>
      </c>
      <c r="FG379" t="e">
        <v>#N/A</v>
      </c>
      <c r="FI379" t="e">
        <v>#N/A</v>
      </c>
      <c r="FK379" t="e">
        <v>#N/A</v>
      </c>
      <c r="FM379" t="e">
        <v>#N/A</v>
      </c>
      <c r="FO379" t="e">
        <v>#N/A</v>
      </c>
      <c r="FQ379" t="e">
        <v>#N/A</v>
      </c>
      <c r="FS379" t="e">
        <v>#N/A</v>
      </c>
      <c r="FU379" t="e">
        <v>#N/A</v>
      </c>
      <c r="FW379" t="e">
        <v>#N/A</v>
      </c>
      <c r="FY379" t="e">
        <v>#N/A</v>
      </c>
      <c r="GA379" t="e">
        <v>#N/A</v>
      </c>
      <c r="GC379" t="e">
        <v>#N/A</v>
      </c>
      <c r="GE379" t="e">
        <v>#N/A</v>
      </c>
      <c r="GG379" t="e">
        <v>#N/A</v>
      </c>
      <c r="GI379" t="e">
        <v>#N/A</v>
      </c>
      <c r="GK379" t="e">
        <v>#N/A</v>
      </c>
      <c r="GM379" t="e">
        <v>#N/A</v>
      </c>
      <c r="GO379" t="e">
        <v>#N/A</v>
      </c>
      <c r="GQ379" t="e">
        <v>#N/A</v>
      </c>
      <c r="GS379" t="e">
        <v>#N/A</v>
      </c>
      <c r="GU379" t="e">
        <v>#N/A</v>
      </c>
      <c r="GW379" t="e">
        <v>#N/A</v>
      </c>
      <c r="GY379" t="e">
        <v>#N/A</v>
      </c>
      <c r="HA379" t="e">
        <v>#N/A</v>
      </c>
      <c r="HC379">
        <v>0</v>
      </c>
      <c r="HD379">
        <v>0</v>
      </c>
      <c r="HE379">
        <v>0</v>
      </c>
      <c r="HF379">
        <v>0</v>
      </c>
      <c r="HG379">
        <v>0</v>
      </c>
      <c r="HH379">
        <v>0</v>
      </c>
      <c r="HI379">
        <v>0</v>
      </c>
      <c r="HJ379">
        <v>0</v>
      </c>
      <c r="HM379">
        <v>0</v>
      </c>
      <c r="HN379">
        <v>0</v>
      </c>
      <c r="HO379">
        <v>0</v>
      </c>
      <c r="HP379">
        <v>0</v>
      </c>
      <c r="HQ379">
        <v>0</v>
      </c>
      <c r="HR379">
        <v>0</v>
      </c>
      <c r="HS379">
        <v>0</v>
      </c>
      <c r="HT379">
        <v>0</v>
      </c>
      <c r="HW379">
        <v>0</v>
      </c>
      <c r="HX379">
        <v>0</v>
      </c>
      <c r="HY379">
        <v>0</v>
      </c>
      <c r="HZ379">
        <v>0</v>
      </c>
      <c r="IA379">
        <v>3930.6</v>
      </c>
      <c r="IB379">
        <v>3632.9</v>
      </c>
      <c r="IC379">
        <v>3795.5</v>
      </c>
      <c r="ID379">
        <v>0</v>
      </c>
      <c r="IE379">
        <v>0</v>
      </c>
      <c r="IF379">
        <v>3548.5</v>
      </c>
      <c r="IG379">
        <v>3395.2</v>
      </c>
      <c r="IH379">
        <v>3395.4</v>
      </c>
      <c r="II379">
        <v>3302.3</v>
      </c>
      <c r="IJ379">
        <v>3172.8</v>
      </c>
      <c r="IK379">
        <v>0</v>
      </c>
      <c r="IL379">
        <v>0</v>
      </c>
      <c r="IM379">
        <v>0</v>
      </c>
      <c r="IN379">
        <v>0</v>
      </c>
      <c r="IO379">
        <v>123.4</v>
      </c>
      <c r="IP379">
        <v>405.2</v>
      </c>
      <c r="IQ379">
        <v>418.7</v>
      </c>
      <c r="IR379">
        <v>0</v>
      </c>
      <c r="IS379">
        <v>0</v>
      </c>
      <c r="IT379">
        <v>0</v>
      </c>
      <c r="IU379">
        <v>0</v>
      </c>
      <c r="IV379">
        <v>396</v>
      </c>
      <c r="IW379">
        <v>0</v>
      </c>
      <c r="IX379">
        <v>0</v>
      </c>
      <c r="IZ379">
        <v>0</v>
      </c>
      <c r="JA379">
        <v>65.5</v>
      </c>
      <c r="JB379">
        <v>443.5</v>
      </c>
      <c r="JC379">
        <v>0</v>
      </c>
      <c r="JD379">
        <v>0</v>
      </c>
      <c r="JE379">
        <v>0</v>
      </c>
      <c r="JF379">
        <v>0</v>
      </c>
      <c r="JG379">
        <v>0</v>
      </c>
      <c r="JH379">
        <v>0</v>
      </c>
      <c r="JI379">
        <v>0</v>
      </c>
      <c r="JJ379">
        <v>0</v>
      </c>
      <c r="JK379">
        <v>0</v>
      </c>
      <c r="JL379">
        <v>0</v>
      </c>
      <c r="JM379">
        <v>0</v>
      </c>
      <c r="JN379">
        <v>0</v>
      </c>
      <c r="JO379">
        <v>0</v>
      </c>
      <c r="JP379">
        <v>0</v>
      </c>
      <c r="JQ379">
        <v>0</v>
      </c>
      <c r="JR379">
        <v>0</v>
      </c>
      <c r="JS379">
        <v>0</v>
      </c>
      <c r="JT379">
        <v>0</v>
      </c>
      <c r="JU379">
        <v>0</v>
      </c>
      <c r="JV379">
        <v>0</v>
      </c>
      <c r="JW379">
        <v>0</v>
      </c>
      <c r="JX379">
        <v>0</v>
      </c>
      <c r="JY379">
        <v>0</v>
      </c>
      <c r="JZ379">
        <v>0</v>
      </c>
      <c r="KA379">
        <v>0</v>
      </c>
      <c r="KB379">
        <v>0</v>
      </c>
      <c r="KC379">
        <v>0</v>
      </c>
      <c r="KD379">
        <v>0</v>
      </c>
      <c r="KE379">
        <v>0</v>
      </c>
      <c r="KF379">
        <v>0</v>
      </c>
      <c r="KI379">
        <v>344.6</v>
      </c>
      <c r="KJ379">
        <v>350.8</v>
      </c>
      <c r="KK379">
        <v>22.1</v>
      </c>
      <c r="KL379">
        <v>379.3</v>
      </c>
      <c r="KM379">
        <v>241.4</v>
      </c>
      <c r="KN379">
        <v>0</v>
      </c>
      <c r="KO379">
        <v>0</v>
      </c>
      <c r="KP379">
        <v>57.3</v>
      </c>
      <c r="KQ379">
        <v>224.4</v>
      </c>
      <c r="KR379">
        <v>338.3</v>
      </c>
      <c r="KS379">
        <v>215.8</v>
      </c>
      <c r="KT379">
        <v>40.700000000000003</v>
      </c>
      <c r="KW379">
        <v>2154.5</v>
      </c>
      <c r="KX379">
        <v>1255.7</v>
      </c>
      <c r="KY379">
        <v>1630.1</v>
      </c>
      <c r="KZ379">
        <v>1246.9000000000001</v>
      </c>
      <c r="LB379">
        <v>78.099999999999994</v>
      </c>
      <c r="LC379">
        <v>77.7</v>
      </c>
    </row>
    <row r="380" spans="1:315" ht="18" thickBot="1">
      <c r="A380" s="245"/>
      <c r="B380" s="245"/>
      <c r="C380" s="332"/>
      <c r="D380" s="286"/>
      <c r="E380" s="449">
        <v>0</v>
      </c>
      <c r="F380" s="209">
        <v>0</v>
      </c>
      <c r="G380" s="427">
        <v>3413.8</v>
      </c>
      <c r="H380" s="155"/>
      <c r="I380">
        <v>735</v>
      </c>
      <c r="K380">
        <v>1973.1000000000001</v>
      </c>
      <c r="L380" s="4">
        <v>221.60000000000002</v>
      </c>
      <c r="M380" s="4">
        <v>54.9</v>
      </c>
      <c r="N380" s="4">
        <v>1989.7</v>
      </c>
      <c r="P380">
        <v>0</v>
      </c>
      <c r="Q380">
        <v>238.29999999999998</v>
      </c>
      <c r="R380">
        <v>0</v>
      </c>
      <c r="S380">
        <v>0</v>
      </c>
      <c r="T380">
        <v>368.5</v>
      </c>
      <c r="W380">
        <v>720.3</v>
      </c>
      <c r="X380">
        <v>1411.5</v>
      </c>
      <c r="Y380">
        <v>96.5</v>
      </c>
      <c r="AA380">
        <v>859.6</v>
      </c>
      <c r="AB380">
        <v>1577.6000000000001</v>
      </c>
      <c r="AE380">
        <v>1330</v>
      </c>
      <c r="AF380">
        <v>1025.5</v>
      </c>
      <c r="AH380">
        <v>509.9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1349.3</v>
      </c>
      <c r="AO380">
        <v>786.40000000000009</v>
      </c>
      <c r="AP380">
        <v>0</v>
      </c>
      <c r="AQ380">
        <v>68.3</v>
      </c>
      <c r="AR380">
        <v>234.9</v>
      </c>
      <c r="AS380">
        <v>600.40000000000009</v>
      </c>
      <c r="AU380">
        <v>985.69999999999993</v>
      </c>
      <c r="AW380">
        <v>792</v>
      </c>
      <c r="AX380">
        <v>1988.5</v>
      </c>
      <c r="AZ380">
        <v>763.5</v>
      </c>
      <c r="BA380">
        <v>0</v>
      </c>
      <c r="BB380">
        <v>0</v>
      </c>
      <c r="BC380">
        <v>1935.3</v>
      </c>
      <c r="BD380">
        <v>1006.5</v>
      </c>
      <c r="BE380">
        <v>0</v>
      </c>
      <c r="BF380">
        <v>0</v>
      </c>
      <c r="BG380">
        <v>0</v>
      </c>
      <c r="BH380">
        <v>1662.6</v>
      </c>
      <c r="BJ380">
        <v>0</v>
      </c>
      <c r="BK380">
        <v>0</v>
      </c>
      <c r="BL380">
        <v>1038.9000000000001</v>
      </c>
      <c r="BM380">
        <v>1101</v>
      </c>
      <c r="BO380">
        <v>1276.8000000000002</v>
      </c>
      <c r="BQ380">
        <v>0</v>
      </c>
      <c r="BR380">
        <v>270.7</v>
      </c>
      <c r="BS380">
        <v>230.5</v>
      </c>
      <c r="BT380">
        <v>472.3</v>
      </c>
      <c r="BU380">
        <v>537.29999999999995</v>
      </c>
      <c r="BV380">
        <v>346.3</v>
      </c>
      <c r="BW380">
        <v>386.2</v>
      </c>
      <c r="BX380">
        <v>767</v>
      </c>
      <c r="BY380">
        <v>757.2</v>
      </c>
      <c r="BZ380">
        <v>1037.2</v>
      </c>
      <c r="CA380">
        <v>1227.0999999999999</v>
      </c>
      <c r="CB380">
        <v>1232.0999999999999</v>
      </c>
      <c r="CC380">
        <v>1701.5</v>
      </c>
      <c r="CD380">
        <v>0</v>
      </c>
      <c r="CG380">
        <v>1385.3</v>
      </c>
      <c r="CJ380">
        <v>1630.2999999999997</v>
      </c>
      <c r="CM380">
        <v>1184.2</v>
      </c>
      <c r="CO380">
        <v>1248.0999999999999</v>
      </c>
      <c r="CQ380">
        <v>1435.3</v>
      </c>
      <c r="CR380">
        <v>798.2</v>
      </c>
      <c r="CS380">
        <v>923.8</v>
      </c>
      <c r="CT380">
        <v>0</v>
      </c>
      <c r="CU380">
        <v>0</v>
      </c>
      <c r="CV380">
        <v>0</v>
      </c>
      <c r="CW380">
        <v>0</v>
      </c>
      <c r="CX380">
        <v>163.69999999999999</v>
      </c>
      <c r="CY380">
        <v>0</v>
      </c>
      <c r="CZ380">
        <v>0</v>
      </c>
      <c r="DA380">
        <v>0</v>
      </c>
      <c r="DB380">
        <v>0</v>
      </c>
      <c r="DC380">
        <v>0</v>
      </c>
      <c r="DD380">
        <v>0</v>
      </c>
      <c r="DE380">
        <v>0</v>
      </c>
      <c r="DI380">
        <v>0</v>
      </c>
      <c r="EC380">
        <v>0</v>
      </c>
      <c r="ED380">
        <v>0</v>
      </c>
      <c r="EE380">
        <v>0</v>
      </c>
      <c r="EF380">
        <v>0</v>
      </c>
      <c r="EG380">
        <v>0</v>
      </c>
      <c r="EH380">
        <v>0</v>
      </c>
      <c r="EI380">
        <v>0</v>
      </c>
      <c r="EJ380">
        <v>0</v>
      </c>
      <c r="EM380">
        <v>0</v>
      </c>
      <c r="EN380">
        <v>0</v>
      </c>
      <c r="EO380">
        <v>0</v>
      </c>
      <c r="EP380">
        <v>0</v>
      </c>
      <c r="EQ380">
        <v>0</v>
      </c>
      <c r="ER380">
        <v>0</v>
      </c>
      <c r="ES380">
        <v>0</v>
      </c>
      <c r="ET380">
        <v>0</v>
      </c>
      <c r="EW380">
        <v>0</v>
      </c>
      <c r="EX380">
        <v>0</v>
      </c>
      <c r="EY380">
        <v>0</v>
      </c>
      <c r="EZ380">
        <v>0</v>
      </c>
      <c r="FA380">
        <v>0</v>
      </c>
      <c r="FB380">
        <v>0</v>
      </c>
      <c r="FC380">
        <v>0</v>
      </c>
      <c r="FD380">
        <v>0</v>
      </c>
      <c r="FG380" t="e">
        <v>#N/A</v>
      </c>
      <c r="FI380" t="e">
        <v>#N/A</v>
      </c>
      <c r="FK380" t="e">
        <v>#N/A</v>
      </c>
      <c r="FM380" t="e">
        <v>#N/A</v>
      </c>
      <c r="FO380" t="e">
        <v>#N/A</v>
      </c>
      <c r="FQ380" t="e">
        <v>#N/A</v>
      </c>
      <c r="FS380" t="e">
        <v>#N/A</v>
      </c>
      <c r="FU380" t="e">
        <v>#N/A</v>
      </c>
      <c r="FW380" t="e">
        <v>#N/A</v>
      </c>
      <c r="FY380" t="e">
        <v>#N/A</v>
      </c>
      <c r="GA380" t="e">
        <v>#N/A</v>
      </c>
      <c r="GC380" t="e">
        <v>#N/A</v>
      </c>
      <c r="GE380" t="e">
        <v>#N/A</v>
      </c>
      <c r="GG380" t="e">
        <v>#N/A</v>
      </c>
      <c r="GI380" t="e">
        <v>#N/A</v>
      </c>
      <c r="GK380" t="e">
        <v>#N/A</v>
      </c>
      <c r="GM380" t="e">
        <v>#N/A</v>
      </c>
      <c r="GO380" t="e">
        <v>#N/A</v>
      </c>
      <c r="GQ380" t="e">
        <v>#N/A</v>
      </c>
      <c r="GS380" t="e">
        <v>#N/A</v>
      </c>
      <c r="GU380" t="e">
        <v>#N/A</v>
      </c>
      <c r="GW380" t="e">
        <v>#N/A</v>
      </c>
      <c r="GY380" t="e">
        <v>#N/A</v>
      </c>
      <c r="HA380" t="e">
        <v>#N/A</v>
      </c>
      <c r="HC380">
        <v>0</v>
      </c>
      <c r="HD380">
        <v>0</v>
      </c>
      <c r="HE380">
        <v>0</v>
      </c>
      <c r="HF380">
        <v>0</v>
      </c>
      <c r="HG380">
        <v>0</v>
      </c>
      <c r="HH380">
        <v>0</v>
      </c>
      <c r="HI380">
        <v>0</v>
      </c>
      <c r="HJ380">
        <v>0</v>
      </c>
      <c r="HM380">
        <v>0</v>
      </c>
      <c r="HN380">
        <v>0</v>
      </c>
      <c r="HO380">
        <v>0</v>
      </c>
      <c r="HP380">
        <v>0</v>
      </c>
      <c r="HQ380">
        <v>0</v>
      </c>
      <c r="HR380">
        <v>0</v>
      </c>
      <c r="HS380">
        <v>0</v>
      </c>
      <c r="HT380">
        <v>0</v>
      </c>
      <c r="HW380">
        <v>0</v>
      </c>
      <c r="HX380">
        <v>0</v>
      </c>
      <c r="HY380">
        <v>0</v>
      </c>
      <c r="HZ380">
        <v>0</v>
      </c>
      <c r="IA380">
        <v>3930.6</v>
      </c>
      <c r="IB380">
        <v>3632.9</v>
      </c>
      <c r="IC380">
        <v>3795.5</v>
      </c>
      <c r="ID380">
        <v>0</v>
      </c>
      <c r="IE380">
        <v>0</v>
      </c>
      <c r="IF380">
        <v>3548.5</v>
      </c>
      <c r="IG380">
        <v>3395.2</v>
      </c>
      <c r="IH380">
        <v>3395.4</v>
      </c>
      <c r="II380">
        <v>3302.3</v>
      </c>
      <c r="IJ380">
        <v>3172.8</v>
      </c>
      <c r="IK380">
        <v>0</v>
      </c>
      <c r="IL380">
        <v>0</v>
      </c>
      <c r="IM380">
        <v>0</v>
      </c>
      <c r="IN380">
        <v>0</v>
      </c>
      <c r="IO380">
        <v>123.4</v>
      </c>
      <c r="IP380">
        <v>405.2</v>
      </c>
      <c r="IQ380">
        <v>418.7</v>
      </c>
      <c r="IR380">
        <v>0</v>
      </c>
      <c r="IS380">
        <v>0</v>
      </c>
      <c r="IT380">
        <v>0</v>
      </c>
      <c r="IU380">
        <v>0</v>
      </c>
      <c r="IV380">
        <v>396</v>
      </c>
      <c r="IW380">
        <v>0</v>
      </c>
      <c r="IX380">
        <v>0</v>
      </c>
      <c r="IZ380">
        <v>0</v>
      </c>
      <c r="JA380">
        <v>65.5</v>
      </c>
      <c r="JB380">
        <v>443.5</v>
      </c>
      <c r="JC380">
        <v>0</v>
      </c>
      <c r="JD380">
        <v>0</v>
      </c>
      <c r="JE380">
        <v>0</v>
      </c>
      <c r="JF380">
        <v>0</v>
      </c>
      <c r="JG380">
        <v>0</v>
      </c>
      <c r="JH380">
        <v>0</v>
      </c>
      <c r="JI380">
        <v>0</v>
      </c>
      <c r="JJ380">
        <v>0</v>
      </c>
      <c r="JK380">
        <v>0</v>
      </c>
      <c r="JL380">
        <v>0</v>
      </c>
      <c r="JM380">
        <v>0</v>
      </c>
      <c r="JN380">
        <v>0</v>
      </c>
      <c r="JO380">
        <v>0</v>
      </c>
      <c r="JP380">
        <v>0</v>
      </c>
      <c r="JQ380">
        <v>0</v>
      </c>
      <c r="JR380">
        <v>0</v>
      </c>
      <c r="JS380">
        <v>0</v>
      </c>
      <c r="JT380">
        <v>0</v>
      </c>
      <c r="JU380">
        <v>0</v>
      </c>
      <c r="JV380">
        <v>0</v>
      </c>
      <c r="JW380">
        <v>0</v>
      </c>
      <c r="JX380">
        <v>0</v>
      </c>
      <c r="JY380">
        <v>0</v>
      </c>
      <c r="JZ380">
        <v>0</v>
      </c>
      <c r="KA380">
        <v>0</v>
      </c>
      <c r="KB380">
        <v>0</v>
      </c>
      <c r="KC380">
        <v>0</v>
      </c>
      <c r="KD380">
        <v>0</v>
      </c>
      <c r="KE380">
        <v>0</v>
      </c>
      <c r="KF380">
        <v>0</v>
      </c>
      <c r="KI380">
        <v>344.6</v>
      </c>
      <c r="KJ380">
        <v>350.8</v>
      </c>
      <c r="KK380">
        <v>22.1</v>
      </c>
      <c r="KL380">
        <v>379.3</v>
      </c>
      <c r="KM380">
        <v>241.4</v>
      </c>
      <c r="KN380">
        <v>0</v>
      </c>
      <c r="KO380">
        <v>0</v>
      </c>
      <c r="KP380">
        <v>57.3</v>
      </c>
      <c r="KQ380">
        <v>224.4</v>
      </c>
      <c r="KR380">
        <v>338.3</v>
      </c>
      <c r="KS380">
        <v>215.8</v>
      </c>
      <c r="KT380">
        <v>40.700000000000003</v>
      </c>
      <c r="KW380">
        <v>2154.5</v>
      </c>
      <c r="KX380">
        <v>1255.7</v>
      </c>
      <c r="KY380">
        <v>1630.1</v>
      </c>
      <c r="KZ380">
        <v>1246.9000000000001</v>
      </c>
      <c r="LB380">
        <v>78.099999999999994</v>
      </c>
      <c r="LC380">
        <v>77.7</v>
      </c>
    </row>
    <row r="381" spans="1:315" ht="18" thickBot="1">
      <c r="A381" s="246"/>
      <c r="B381" s="246"/>
      <c r="C381" s="340"/>
      <c r="D381" s="296"/>
      <c r="E381" s="452">
        <v>0</v>
      </c>
      <c r="F381" s="212">
        <v>0</v>
      </c>
      <c r="G381" s="427">
        <v>3413.8</v>
      </c>
      <c r="H381" s="155"/>
      <c r="I381">
        <v>735</v>
      </c>
      <c r="K381">
        <v>1973.1000000000001</v>
      </c>
      <c r="L381" s="4">
        <v>221.60000000000002</v>
      </c>
      <c r="M381" s="4">
        <v>54.9</v>
      </c>
      <c r="N381" s="4">
        <v>1989.7</v>
      </c>
      <c r="P381">
        <v>0</v>
      </c>
      <c r="Q381">
        <v>238.29999999999998</v>
      </c>
      <c r="R381">
        <v>0</v>
      </c>
      <c r="S381">
        <v>0</v>
      </c>
      <c r="T381">
        <v>368.5</v>
      </c>
      <c r="W381">
        <v>720.3</v>
      </c>
      <c r="X381">
        <v>1411.5</v>
      </c>
      <c r="Y381">
        <v>96.5</v>
      </c>
      <c r="AA381">
        <v>859.6</v>
      </c>
      <c r="AB381">
        <v>1577.6000000000001</v>
      </c>
      <c r="AE381">
        <v>1330</v>
      </c>
      <c r="AF381">
        <v>1025.5</v>
      </c>
      <c r="AH381">
        <v>509.9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1349.3</v>
      </c>
      <c r="AO381">
        <v>786.40000000000009</v>
      </c>
      <c r="AP381">
        <v>0</v>
      </c>
      <c r="AQ381">
        <v>68.3</v>
      </c>
      <c r="AR381">
        <v>234.9</v>
      </c>
      <c r="AS381">
        <v>600.40000000000009</v>
      </c>
      <c r="AU381">
        <v>985.69999999999993</v>
      </c>
      <c r="AW381">
        <v>792</v>
      </c>
      <c r="AX381">
        <v>1988.5</v>
      </c>
      <c r="AZ381">
        <v>763.5</v>
      </c>
      <c r="BA381">
        <v>0</v>
      </c>
      <c r="BB381">
        <v>0</v>
      </c>
      <c r="BC381">
        <v>1935.3</v>
      </c>
      <c r="BD381">
        <v>1006.5</v>
      </c>
      <c r="BE381">
        <v>0</v>
      </c>
      <c r="BF381">
        <v>0</v>
      </c>
      <c r="BG381">
        <v>0</v>
      </c>
      <c r="BH381">
        <v>1662.6</v>
      </c>
      <c r="BJ381">
        <v>0</v>
      </c>
      <c r="BK381">
        <v>0</v>
      </c>
      <c r="BL381">
        <v>1038.9000000000001</v>
      </c>
      <c r="BM381">
        <v>1101</v>
      </c>
      <c r="BO381">
        <v>1276.8000000000002</v>
      </c>
      <c r="BQ381">
        <v>0</v>
      </c>
      <c r="BR381">
        <v>270.7</v>
      </c>
      <c r="BS381">
        <v>230.5</v>
      </c>
      <c r="BT381">
        <v>472.3</v>
      </c>
      <c r="BU381">
        <v>537.29999999999995</v>
      </c>
      <c r="BV381">
        <v>346.3</v>
      </c>
      <c r="BW381">
        <v>386.2</v>
      </c>
      <c r="BX381">
        <v>767</v>
      </c>
      <c r="BY381">
        <v>757.2</v>
      </c>
      <c r="BZ381">
        <v>1037.2</v>
      </c>
      <c r="CA381">
        <v>1227.0999999999999</v>
      </c>
      <c r="CB381">
        <v>1232.0999999999999</v>
      </c>
      <c r="CC381">
        <v>1701.5</v>
      </c>
      <c r="CD381">
        <v>0</v>
      </c>
      <c r="CG381">
        <v>1385.3</v>
      </c>
      <c r="CJ381">
        <v>1630.2999999999997</v>
      </c>
      <c r="CM381">
        <v>1184.2</v>
      </c>
      <c r="CO381">
        <v>1248.0999999999999</v>
      </c>
      <c r="CQ381">
        <v>1435.3</v>
      </c>
      <c r="CR381">
        <v>798.2</v>
      </c>
      <c r="CS381">
        <v>923.8</v>
      </c>
      <c r="CT381">
        <v>0</v>
      </c>
      <c r="CU381">
        <v>0</v>
      </c>
      <c r="CV381">
        <v>0</v>
      </c>
      <c r="CW381">
        <v>0</v>
      </c>
      <c r="CX381">
        <v>163.69999999999999</v>
      </c>
      <c r="CY381">
        <v>0</v>
      </c>
      <c r="CZ381">
        <v>0</v>
      </c>
      <c r="DA381">
        <v>0</v>
      </c>
      <c r="DB381">
        <v>0</v>
      </c>
      <c r="DC381">
        <v>0</v>
      </c>
      <c r="DD381">
        <v>0</v>
      </c>
      <c r="DE381">
        <v>0</v>
      </c>
      <c r="DI381">
        <v>0</v>
      </c>
      <c r="EC381">
        <v>0</v>
      </c>
      <c r="ED381">
        <v>0</v>
      </c>
      <c r="EE381">
        <v>0</v>
      </c>
      <c r="EF381">
        <v>0</v>
      </c>
      <c r="EG381">
        <v>0</v>
      </c>
      <c r="EH381">
        <v>0</v>
      </c>
      <c r="EI381">
        <v>0</v>
      </c>
      <c r="EJ381">
        <v>0</v>
      </c>
      <c r="EM381">
        <v>0</v>
      </c>
      <c r="EN381">
        <v>0</v>
      </c>
      <c r="EO381">
        <v>0</v>
      </c>
      <c r="EP381">
        <v>0</v>
      </c>
      <c r="EQ381">
        <v>0</v>
      </c>
      <c r="ER381">
        <v>0</v>
      </c>
      <c r="ES381">
        <v>0</v>
      </c>
      <c r="ET381">
        <v>0</v>
      </c>
      <c r="EW381">
        <v>0</v>
      </c>
      <c r="EX381">
        <v>0</v>
      </c>
      <c r="EY381">
        <v>0</v>
      </c>
      <c r="EZ381">
        <v>0</v>
      </c>
      <c r="FA381">
        <v>0</v>
      </c>
      <c r="FB381">
        <v>0</v>
      </c>
      <c r="FC381">
        <v>0</v>
      </c>
      <c r="FD381">
        <v>0</v>
      </c>
      <c r="FG381" t="e">
        <v>#N/A</v>
      </c>
      <c r="FI381" t="e">
        <v>#N/A</v>
      </c>
      <c r="FK381" t="e">
        <v>#N/A</v>
      </c>
      <c r="FM381" t="e">
        <v>#N/A</v>
      </c>
      <c r="FO381" t="e">
        <v>#N/A</v>
      </c>
      <c r="FQ381" t="e">
        <v>#N/A</v>
      </c>
      <c r="FS381" t="e">
        <v>#N/A</v>
      </c>
      <c r="FU381" t="e">
        <v>#N/A</v>
      </c>
      <c r="FW381" t="e">
        <v>#N/A</v>
      </c>
      <c r="FY381" t="e">
        <v>#N/A</v>
      </c>
      <c r="GA381" t="e">
        <v>#N/A</v>
      </c>
      <c r="GC381" t="e">
        <v>#N/A</v>
      </c>
      <c r="GE381" t="e">
        <v>#N/A</v>
      </c>
      <c r="GG381" t="e">
        <v>#N/A</v>
      </c>
      <c r="GI381" t="e">
        <v>#N/A</v>
      </c>
      <c r="GK381" t="e">
        <v>#N/A</v>
      </c>
      <c r="GM381" t="e">
        <v>#N/A</v>
      </c>
      <c r="GO381" t="e">
        <v>#N/A</v>
      </c>
      <c r="GQ381" t="e">
        <v>#N/A</v>
      </c>
      <c r="GS381" t="e">
        <v>#N/A</v>
      </c>
      <c r="GU381" t="e">
        <v>#N/A</v>
      </c>
      <c r="GW381" t="e">
        <v>#N/A</v>
      </c>
      <c r="GY381" t="e">
        <v>#N/A</v>
      </c>
      <c r="HA381" t="e">
        <v>#N/A</v>
      </c>
      <c r="HC381">
        <v>0</v>
      </c>
      <c r="HD381">
        <v>0</v>
      </c>
      <c r="HE381">
        <v>0</v>
      </c>
      <c r="HF381">
        <v>0</v>
      </c>
      <c r="HG381">
        <v>0</v>
      </c>
      <c r="HH381">
        <v>0</v>
      </c>
      <c r="HI381">
        <v>0</v>
      </c>
      <c r="HJ381">
        <v>0</v>
      </c>
      <c r="HM381">
        <v>0</v>
      </c>
      <c r="HN381">
        <v>0</v>
      </c>
      <c r="HO381">
        <v>0</v>
      </c>
      <c r="HP381">
        <v>0</v>
      </c>
      <c r="HQ381">
        <v>0</v>
      </c>
      <c r="HR381">
        <v>0</v>
      </c>
      <c r="HS381">
        <v>0</v>
      </c>
      <c r="HT381">
        <v>0</v>
      </c>
      <c r="HW381">
        <v>0</v>
      </c>
      <c r="HX381">
        <v>0</v>
      </c>
      <c r="HY381">
        <v>0</v>
      </c>
      <c r="HZ381">
        <v>0</v>
      </c>
      <c r="IA381">
        <v>3930.6</v>
      </c>
      <c r="IB381">
        <v>3632.9</v>
      </c>
      <c r="IC381">
        <v>3795.5</v>
      </c>
      <c r="ID381">
        <v>0</v>
      </c>
      <c r="IE381">
        <v>0</v>
      </c>
      <c r="IF381">
        <v>3548.5</v>
      </c>
      <c r="IG381">
        <v>3395.2</v>
      </c>
      <c r="IH381">
        <v>3395.4</v>
      </c>
      <c r="II381">
        <v>3302.3</v>
      </c>
      <c r="IJ381">
        <v>3172.8</v>
      </c>
      <c r="IK381">
        <v>0</v>
      </c>
      <c r="IL381">
        <v>0</v>
      </c>
      <c r="IM381">
        <v>0</v>
      </c>
      <c r="IN381">
        <v>0</v>
      </c>
      <c r="IO381">
        <v>123.4</v>
      </c>
      <c r="IP381">
        <v>405.2</v>
      </c>
      <c r="IQ381">
        <v>418.7</v>
      </c>
      <c r="IR381">
        <v>0</v>
      </c>
      <c r="IS381">
        <v>0</v>
      </c>
      <c r="IT381">
        <v>0</v>
      </c>
      <c r="IU381">
        <v>0</v>
      </c>
      <c r="IV381">
        <v>396</v>
      </c>
      <c r="IW381">
        <v>0</v>
      </c>
      <c r="IX381">
        <v>0</v>
      </c>
      <c r="IZ381">
        <v>0</v>
      </c>
      <c r="JA381">
        <v>65.5</v>
      </c>
      <c r="JB381">
        <v>443.5</v>
      </c>
      <c r="JC381">
        <v>0</v>
      </c>
      <c r="JD381">
        <v>0</v>
      </c>
      <c r="JE381">
        <v>0</v>
      </c>
      <c r="JF381">
        <v>0</v>
      </c>
      <c r="JG381">
        <v>0</v>
      </c>
      <c r="JH381">
        <v>0</v>
      </c>
      <c r="JI381">
        <v>0</v>
      </c>
      <c r="JJ381">
        <v>0</v>
      </c>
      <c r="JK381">
        <v>0</v>
      </c>
      <c r="JL381">
        <v>0</v>
      </c>
      <c r="JM381">
        <v>0</v>
      </c>
      <c r="JN381">
        <v>0</v>
      </c>
      <c r="JO381">
        <v>0</v>
      </c>
      <c r="JP381">
        <v>0</v>
      </c>
      <c r="JQ381">
        <v>0</v>
      </c>
      <c r="JR381">
        <v>0</v>
      </c>
      <c r="JS381">
        <v>0</v>
      </c>
      <c r="JT381">
        <v>0</v>
      </c>
      <c r="JU381">
        <v>0</v>
      </c>
      <c r="JV381">
        <v>0</v>
      </c>
      <c r="JW381">
        <v>0</v>
      </c>
      <c r="JX381">
        <v>0</v>
      </c>
      <c r="JY381">
        <v>0</v>
      </c>
      <c r="JZ381">
        <v>0</v>
      </c>
      <c r="KA381">
        <v>0</v>
      </c>
      <c r="KB381">
        <v>0</v>
      </c>
      <c r="KC381">
        <v>0</v>
      </c>
      <c r="KD381">
        <v>0</v>
      </c>
      <c r="KE381">
        <v>0</v>
      </c>
      <c r="KF381">
        <v>0</v>
      </c>
      <c r="KI381">
        <v>344.6</v>
      </c>
      <c r="KJ381">
        <v>350.8</v>
      </c>
      <c r="KK381">
        <v>22.1</v>
      </c>
      <c r="KL381">
        <v>379.3</v>
      </c>
      <c r="KM381">
        <v>241.4</v>
      </c>
      <c r="KN381">
        <v>0</v>
      </c>
      <c r="KO381">
        <v>0</v>
      </c>
      <c r="KP381">
        <v>57.3</v>
      </c>
      <c r="KQ381">
        <v>224.4</v>
      </c>
      <c r="KR381">
        <v>338.3</v>
      </c>
      <c r="KS381">
        <v>215.8</v>
      </c>
      <c r="KT381">
        <v>40.700000000000003</v>
      </c>
      <c r="KW381">
        <v>2154.5</v>
      </c>
      <c r="KX381">
        <v>1255.7</v>
      </c>
      <c r="KY381">
        <v>1630.1</v>
      </c>
      <c r="KZ381">
        <v>1246.9000000000001</v>
      </c>
      <c r="LB381">
        <v>78.099999999999994</v>
      </c>
      <c r="LC381">
        <v>77.7</v>
      </c>
    </row>
    <row r="382" spans="1:315" ht="18.600000000000001" thickTop="1" thickBot="1">
      <c r="A382" s="181"/>
      <c r="B382" s="181"/>
      <c r="C382" s="333" t="s">
        <v>866</v>
      </c>
      <c r="D382" s="287"/>
      <c r="E382" s="442">
        <v>0</v>
      </c>
      <c r="F382" s="190">
        <v>0</v>
      </c>
      <c r="G382" s="427">
        <v>3413.8</v>
      </c>
      <c r="H382" s="155"/>
      <c r="I382">
        <v>735</v>
      </c>
      <c r="K382">
        <v>1973.1000000000001</v>
      </c>
      <c r="L382" s="4">
        <v>221.60000000000002</v>
      </c>
      <c r="M382" s="4">
        <v>54.9</v>
      </c>
      <c r="N382" s="4">
        <v>1989.7</v>
      </c>
      <c r="P382">
        <v>0</v>
      </c>
      <c r="Q382">
        <v>238.29999999999998</v>
      </c>
      <c r="R382">
        <v>0</v>
      </c>
      <c r="S382">
        <v>0</v>
      </c>
      <c r="T382">
        <v>368.5</v>
      </c>
      <c r="W382">
        <v>720.3</v>
      </c>
      <c r="X382">
        <v>1411.5</v>
      </c>
      <c r="Y382">
        <v>96.5</v>
      </c>
      <c r="AA382">
        <v>859.6</v>
      </c>
      <c r="AB382">
        <v>1577.6000000000001</v>
      </c>
      <c r="AE382">
        <v>1330</v>
      </c>
      <c r="AF382">
        <v>1025.5</v>
      </c>
      <c r="AH382">
        <v>509.9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1349.3</v>
      </c>
      <c r="AO382">
        <v>786.40000000000009</v>
      </c>
      <c r="AP382">
        <v>0</v>
      </c>
      <c r="AQ382">
        <v>68.3</v>
      </c>
      <c r="AR382">
        <v>234.9</v>
      </c>
      <c r="AS382">
        <v>600.40000000000009</v>
      </c>
      <c r="AU382">
        <v>985.69999999999993</v>
      </c>
      <c r="AW382">
        <v>792</v>
      </c>
      <c r="AX382">
        <v>1988.5</v>
      </c>
      <c r="AZ382">
        <v>763.5</v>
      </c>
      <c r="BA382">
        <v>0</v>
      </c>
      <c r="BB382">
        <v>0</v>
      </c>
      <c r="BC382">
        <v>1935.3</v>
      </c>
      <c r="BD382">
        <v>1006.5</v>
      </c>
      <c r="BE382">
        <v>0</v>
      </c>
      <c r="BF382">
        <v>0</v>
      </c>
      <c r="BG382">
        <v>0</v>
      </c>
      <c r="BH382">
        <v>1662.6</v>
      </c>
      <c r="BJ382">
        <v>0</v>
      </c>
      <c r="BK382">
        <v>0</v>
      </c>
      <c r="BL382">
        <v>1038.9000000000001</v>
      </c>
      <c r="BM382">
        <v>1101</v>
      </c>
      <c r="BO382">
        <v>1276.8000000000002</v>
      </c>
      <c r="BQ382">
        <v>0</v>
      </c>
      <c r="BR382">
        <v>270.7</v>
      </c>
      <c r="BS382">
        <v>230.5</v>
      </c>
      <c r="BT382">
        <v>472.3</v>
      </c>
      <c r="BU382">
        <v>537.29999999999995</v>
      </c>
      <c r="BV382">
        <v>346.3</v>
      </c>
      <c r="BW382">
        <v>386.2</v>
      </c>
      <c r="BX382">
        <v>767</v>
      </c>
      <c r="BY382">
        <v>757.2</v>
      </c>
      <c r="BZ382">
        <v>1037.2</v>
      </c>
      <c r="CA382">
        <v>1227.0999999999999</v>
      </c>
      <c r="CB382">
        <v>1232.0999999999999</v>
      </c>
      <c r="CC382">
        <v>1701.5</v>
      </c>
      <c r="CD382">
        <v>0</v>
      </c>
      <c r="CG382">
        <v>1385.3</v>
      </c>
      <c r="CJ382">
        <v>1630.2999999999997</v>
      </c>
      <c r="CM382">
        <v>1184.2</v>
      </c>
      <c r="CO382">
        <v>1248.0999999999999</v>
      </c>
      <c r="CQ382">
        <v>1435.3</v>
      </c>
      <c r="CR382">
        <v>798.2</v>
      </c>
      <c r="CS382">
        <v>923.8</v>
      </c>
      <c r="CT382">
        <v>0</v>
      </c>
      <c r="CU382">
        <v>0</v>
      </c>
      <c r="CV382">
        <v>0</v>
      </c>
      <c r="CW382">
        <v>0</v>
      </c>
      <c r="CX382">
        <v>163.69999999999999</v>
      </c>
      <c r="CY382">
        <v>0</v>
      </c>
      <c r="CZ382">
        <v>0</v>
      </c>
      <c r="DA382">
        <v>0</v>
      </c>
      <c r="DB382">
        <v>0</v>
      </c>
      <c r="DC382">
        <v>0</v>
      </c>
      <c r="DD382">
        <v>0</v>
      </c>
      <c r="DE382">
        <v>0</v>
      </c>
      <c r="DI382">
        <v>0</v>
      </c>
      <c r="EC382">
        <v>0</v>
      </c>
      <c r="ED382">
        <v>0</v>
      </c>
      <c r="EE382">
        <v>0</v>
      </c>
      <c r="EF382">
        <v>0</v>
      </c>
      <c r="EG382">
        <v>0</v>
      </c>
      <c r="EH382">
        <v>0</v>
      </c>
      <c r="EI382">
        <v>0</v>
      </c>
      <c r="EJ382">
        <v>0</v>
      </c>
      <c r="EM382">
        <v>0</v>
      </c>
      <c r="EN382">
        <v>0</v>
      </c>
      <c r="EO382">
        <v>0</v>
      </c>
      <c r="EP382">
        <v>0</v>
      </c>
      <c r="EQ382">
        <v>0</v>
      </c>
      <c r="ER382">
        <v>0</v>
      </c>
      <c r="ES382">
        <v>0</v>
      </c>
      <c r="ET382">
        <v>0</v>
      </c>
      <c r="EW382">
        <v>0</v>
      </c>
      <c r="EX382">
        <v>0</v>
      </c>
      <c r="EY382">
        <v>0</v>
      </c>
      <c r="EZ382">
        <v>0</v>
      </c>
      <c r="FA382">
        <v>0</v>
      </c>
      <c r="FB382">
        <v>0</v>
      </c>
      <c r="FC382">
        <v>0</v>
      </c>
      <c r="FD382">
        <v>0</v>
      </c>
      <c r="FG382" t="e">
        <v>#N/A</v>
      </c>
      <c r="FI382" t="e">
        <v>#N/A</v>
      </c>
      <c r="FK382" t="e">
        <v>#N/A</v>
      </c>
      <c r="FM382" t="e">
        <v>#N/A</v>
      </c>
      <c r="FO382" t="e">
        <v>#N/A</v>
      </c>
      <c r="FQ382" t="e">
        <v>#N/A</v>
      </c>
      <c r="FS382" t="e">
        <v>#N/A</v>
      </c>
      <c r="FU382" t="e">
        <v>#N/A</v>
      </c>
      <c r="FW382" t="e">
        <v>#N/A</v>
      </c>
      <c r="FY382" t="e">
        <v>#N/A</v>
      </c>
      <c r="GA382" t="e">
        <v>#N/A</v>
      </c>
      <c r="GC382" t="e">
        <v>#N/A</v>
      </c>
      <c r="GE382" t="e">
        <v>#N/A</v>
      </c>
      <c r="GG382" t="e">
        <v>#N/A</v>
      </c>
      <c r="GI382" t="e">
        <v>#N/A</v>
      </c>
      <c r="GK382" t="e">
        <v>#N/A</v>
      </c>
      <c r="GM382" t="e">
        <v>#N/A</v>
      </c>
      <c r="GO382" t="e">
        <v>#N/A</v>
      </c>
      <c r="GQ382" t="e">
        <v>#N/A</v>
      </c>
      <c r="GS382" t="e">
        <v>#N/A</v>
      </c>
      <c r="GU382" t="e">
        <v>#N/A</v>
      </c>
      <c r="GW382" t="e">
        <v>#N/A</v>
      </c>
      <c r="GY382" t="e">
        <v>#N/A</v>
      </c>
      <c r="HA382" t="e">
        <v>#N/A</v>
      </c>
      <c r="HC382">
        <v>0</v>
      </c>
      <c r="HD382">
        <v>0</v>
      </c>
      <c r="HE382">
        <v>0</v>
      </c>
      <c r="HF382">
        <v>0</v>
      </c>
      <c r="HG382">
        <v>0</v>
      </c>
      <c r="HH382">
        <v>0</v>
      </c>
      <c r="HI382">
        <v>0</v>
      </c>
      <c r="HJ382">
        <v>0</v>
      </c>
      <c r="HM382">
        <v>0</v>
      </c>
      <c r="HN382">
        <v>0</v>
      </c>
      <c r="HO382">
        <v>0</v>
      </c>
      <c r="HP382">
        <v>0</v>
      </c>
      <c r="HQ382">
        <v>0</v>
      </c>
      <c r="HR382">
        <v>0</v>
      </c>
      <c r="HS382">
        <v>0</v>
      </c>
      <c r="HT382">
        <v>0</v>
      </c>
      <c r="HW382">
        <v>0</v>
      </c>
      <c r="HX382">
        <v>0</v>
      </c>
      <c r="HY382">
        <v>0</v>
      </c>
      <c r="HZ382">
        <v>0</v>
      </c>
      <c r="IA382">
        <v>3930.6</v>
      </c>
      <c r="IB382">
        <v>3632.9</v>
      </c>
      <c r="IC382">
        <v>3795.5</v>
      </c>
      <c r="ID382">
        <v>0</v>
      </c>
      <c r="IE382">
        <v>0</v>
      </c>
      <c r="IF382">
        <v>3548.5</v>
      </c>
      <c r="IG382">
        <v>3395.2</v>
      </c>
      <c r="IH382">
        <v>3395.4</v>
      </c>
      <c r="II382">
        <v>3302.3</v>
      </c>
      <c r="IJ382">
        <v>3172.8</v>
      </c>
      <c r="IK382">
        <v>0</v>
      </c>
      <c r="IL382">
        <v>0</v>
      </c>
      <c r="IM382">
        <v>0</v>
      </c>
      <c r="IN382">
        <v>0</v>
      </c>
      <c r="IO382">
        <v>123.4</v>
      </c>
      <c r="IP382">
        <v>405.2</v>
      </c>
      <c r="IQ382">
        <v>418.7</v>
      </c>
      <c r="IR382">
        <v>0</v>
      </c>
      <c r="IS382">
        <v>0</v>
      </c>
      <c r="IT382">
        <v>0</v>
      </c>
      <c r="IU382">
        <v>0</v>
      </c>
      <c r="IV382">
        <v>396</v>
      </c>
      <c r="IW382">
        <v>0</v>
      </c>
      <c r="IX382">
        <v>0</v>
      </c>
      <c r="IZ382">
        <v>0</v>
      </c>
      <c r="JA382">
        <v>65.5</v>
      </c>
      <c r="JB382">
        <v>443.5</v>
      </c>
      <c r="JC382">
        <v>0</v>
      </c>
      <c r="JD382">
        <v>0</v>
      </c>
      <c r="JE382">
        <v>0</v>
      </c>
      <c r="JF382">
        <v>0</v>
      </c>
      <c r="JG382">
        <v>0</v>
      </c>
      <c r="JH382">
        <v>0</v>
      </c>
      <c r="JI382">
        <v>0</v>
      </c>
      <c r="JJ382">
        <v>0</v>
      </c>
      <c r="JK382">
        <v>0</v>
      </c>
      <c r="JL382">
        <v>0</v>
      </c>
      <c r="JM382">
        <v>0</v>
      </c>
      <c r="JN382">
        <v>0</v>
      </c>
      <c r="JO382">
        <v>0</v>
      </c>
      <c r="JP382">
        <v>0</v>
      </c>
      <c r="JQ382">
        <v>0</v>
      </c>
      <c r="JR382">
        <v>0</v>
      </c>
      <c r="JS382">
        <v>0</v>
      </c>
      <c r="JT382">
        <v>0</v>
      </c>
      <c r="JU382">
        <v>0</v>
      </c>
      <c r="JV382">
        <v>0</v>
      </c>
      <c r="JW382">
        <v>0</v>
      </c>
      <c r="JX382">
        <v>0</v>
      </c>
      <c r="JY382">
        <v>0</v>
      </c>
      <c r="JZ382">
        <v>0</v>
      </c>
      <c r="KA382">
        <v>0</v>
      </c>
      <c r="KB382">
        <v>0</v>
      </c>
      <c r="KC382">
        <v>0</v>
      </c>
      <c r="KD382">
        <v>0</v>
      </c>
      <c r="KE382">
        <v>0</v>
      </c>
      <c r="KF382">
        <v>0</v>
      </c>
      <c r="KI382">
        <v>344.6</v>
      </c>
      <c r="KJ382">
        <v>350.8</v>
      </c>
      <c r="KK382">
        <v>22.1</v>
      </c>
      <c r="KL382">
        <v>379.3</v>
      </c>
      <c r="KM382">
        <v>241.4</v>
      </c>
      <c r="KN382">
        <v>0</v>
      </c>
      <c r="KO382">
        <v>0</v>
      </c>
      <c r="KP382">
        <v>57.3</v>
      </c>
      <c r="KQ382">
        <v>224.4</v>
      </c>
      <c r="KR382">
        <v>338.3</v>
      </c>
      <c r="KS382">
        <v>215.8</v>
      </c>
      <c r="KT382">
        <v>40.700000000000003</v>
      </c>
      <c r="KW382">
        <v>2154.5</v>
      </c>
      <c r="KX382">
        <v>1255.7</v>
      </c>
      <c r="KY382">
        <v>1630.1</v>
      </c>
      <c r="KZ382">
        <v>1246.9000000000001</v>
      </c>
      <c r="LB382">
        <v>78.099999999999994</v>
      </c>
      <c r="LC382">
        <v>77.7</v>
      </c>
    </row>
    <row r="383" spans="1:315" ht="18" thickBot="1">
      <c r="A383" s="245"/>
      <c r="B383" s="245"/>
      <c r="C383" s="230" t="s">
        <v>694</v>
      </c>
      <c r="D383" s="281"/>
      <c r="E383" s="443">
        <v>0</v>
      </c>
      <c r="F383" s="191">
        <v>0</v>
      </c>
      <c r="G383" s="427">
        <v>3413.8</v>
      </c>
      <c r="H383" s="155"/>
      <c r="I383">
        <v>735</v>
      </c>
      <c r="K383">
        <v>1973.1000000000001</v>
      </c>
      <c r="L383" s="4">
        <v>221.60000000000002</v>
      </c>
      <c r="M383" s="4">
        <v>54.9</v>
      </c>
      <c r="N383" s="4">
        <v>1989.7</v>
      </c>
      <c r="P383">
        <v>0</v>
      </c>
      <c r="Q383">
        <v>238.29999999999998</v>
      </c>
      <c r="R383">
        <v>0</v>
      </c>
      <c r="S383">
        <v>0</v>
      </c>
      <c r="T383">
        <v>368.5</v>
      </c>
      <c r="W383">
        <v>720.3</v>
      </c>
      <c r="X383">
        <v>1411.5</v>
      </c>
      <c r="Y383">
        <v>96.5</v>
      </c>
      <c r="AA383">
        <v>859.6</v>
      </c>
      <c r="AB383">
        <v>1577.6000000000001</v>
      </c>
      <c r="AE383">
        <v>1330</v>
      </c>
      <c r="AF383">
        <v>1025.5</v>
      </c>
      <c r="AH383">
        <v>509.9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1349.3</v>
      </c>
      <c r="AO383">
        <v>786.40000000000009</v>
      </c>
      <c r="AP383">
        <v>0</v>
      </c>
      <c r="AQ383">
        <v>68.3</v>
      </c>
      <c r="AR383">
        <v>234.9</v>
      </c>
      <c r="AS383">
        <v>600.40000000000009</v>
      </c>
      <c r="AU383">
        <v>985.69999999999993</v>
      </c>
      <c r="AW383">
        <v>792</v>
      </c>
      <c r="AX383">
        <v>1988.5</v>
      </c>
      <c r="AZ383">
        <v>763.5</v>
      </c>
      <c r="BA383">
        <v>0</v>
      </c>
      <c r="BB383">
        <v>0</v>
      </c>
      <c r="BC383">
        <v>1935.3</v>
      </c>
      <c r="BD383">
        <v>1006.5</v>
      </c>
      <c r="BE383">
        <v>0</v>
      </c>
      <c r="BF383">
        <v>0</v>
      </c>
      <c r="BG383">
        <v>0</v>
      </c>
      <c r="BH383">
        <v>1662.6</v>
      </c>
      <c r="BJ383">
        <v>0</v>
      </c>
      <c r="BK383">
        <v>0</v>
      </c>
      <c r="BL383">
        <v>1038.9000000000001</v>
      </c>
      <c r="BM383">
        <v>1101</v>
      </c>
      <c r="BO383">
        <v>1276.8000000000002</v>
      </c>
      <c r="BQ383">
        <v>0</v>
      </c>
      <c r="BR383">
        <v>270.7</v>
      </c>
      <c r="BS383">
        <v>230.5</v>
      </c>
      <c r="BT383">
        <v>472.3</v>
      </c>
      <c r="BU383">
        <v>537.29999999999995</v>
      </c>
      <c r="BV383">
        <v>346.3</v>
      </c>
      <c r="BW383">
        <v>386.2</v>
      </c>
      <c r="BX383">
        <v>767</v>
      </c>
      <c r="BY383">
        <v>757.2</v>
      </c>
      <c r="BZ383">
        <v>1037.2</v>
      </c>
      <c r="CA383">
        <v>1227.0999999999999</v>
      </c>
      <c r="CB383">
        <v>1232.0999999999999</v>
      </c>
      <c r="CC383">
        <v>1701.5</v>
      </c>
      <c r="CD383">
        <v>0</v>
      </c>
      <c r="CG383">
        <v>1385.3</v>
      </c>
      <c r="CJ383">
        <v>1630.2999999999997</v>
      </c>
      <c r="CM383">
        <v>1184.2</v>
      </c>
      <c r="CO383">
        <v>1248.0999999999999</v>
      </c>
      <c r="CQ383">
        <v>1435.3</v>
      </c>
      <c r="CR383">
        <v>798.2</v>
      </c>
      <c r="CS383">
        <v>923.8</v>
      </c>
      <c r="CT383">
        <v>0</v>
      </c>
      <c r="CU383">
        <v>0</v>
      </c>
      <c r="CV383">
        <v>0</v>
      </c>
      <c r="CW383">
        <v>0</v>
      </c>
      <c r="CX383">
        <v>163.69999999999999</v>
      </c>
      <c r="CY383">
        <v>0</v>
      </c>
      <c r="CZ383">
        <v>0</v>
      </c>
      <c r="DA383">
        <v>0</v>
      </c>
      <c r="DB383">
        <v>0</v>
      </c>
      <c r="DC383">
        <v>0</v>
      </c>
      <c r="DD383">
        <v>0</v>
      </c>
      <c r="DE383">
        <v>0</v>
      </c>
      <c r="DI383">
        <v>0</v>
      </c>
      <c r="EC383">
        <v>0</v>
      </c>
      <c r="ED383">
        <v>0</v>
      </c>
      <c r="EE383">
        <v>0</v>
      </c>
      <c r="EF383">
        <v>0</v>
      </c>
      <c r="EG383">
        <v>0</v>
      </c>
      <c r="EH383">
        <v>0</v>
      </c>
      <c r="EI383">
        <v>0</v>
      </c>
      <c r="EJ383">
        <v>0</v>
      </c>
      <c r="EM383">
        <v>0</v>
      </c>
      <c r="EN383">
        <v>0</v>
      </c>
      <c r="EO383">
        <v>0</v>
      </c>
      <c r="EP383">
        <v>0</v>
      </c>
      <c r="EQ383">
        <v>0</v>
      </c>
      <c r="ER383">
        <v>0</v>
      </c>
      <c r="ES383">
        <v>0</v>
      </c>
      <c r="ET383">
        <v>0</v>
      </c>
      <c r="EW383">
        <v>0</v>
      </c>
      <c r="EX383">
        <v>0</v>
      </c>
      <c r="EY383">
        <v>0</v>
      </c>
      <c r="EZ383">
        <v>0</v>
      </c>
      <c r="FA383">
        <v>0</v>
      </c>
      <c r="FB383">
        <v>0</v>
      </c>
      <c r="FC383">
        <v>0</v>
      </c>
      <c r="FD383">
        <v>0</v>
      </c>
      <c r="FG383" t="e">
        <v>#N/A</v>
      </c>
      <c r="FI383" t="e">
        <v>#N/A</v>
      </c>
      <c r="FK383" t="e">
        <v>#N/A</v>
      </c>
      <c r="FM383" t="e">
        <v>#N/A</v>
      </c>
      <c r="FO383" t="e">
        <v>#N/A</v>
      </c>
      <c r="FQ383" t="e">
        <v>#N/A</v>
      </c>
      <c r="FS383" t="e">
        <v>#N/A</v>
      </c>
      <c r="FU383" t="e">
        <v>#N/A</v>
      </c>
      <c r="FW383" t="e">
        <v>#N/A</v>
      </c>
      <c r="FY383" t="e">
        <v>#N/A</v>
      </c>
      <c r="GA383" t="e">
        <v>#N/A</v>
      </c>
      <c r="GC383" t="e">
        <v>#N/A</v>
      </c>
      <c r="GE383" t="e">
        <v>#N/A</v>
      </c>
      <c r="GG383" t="e">
        <v>#N/A</v>
      </c>
      <c r="GI383" t="e">
        <v>#N/A</v>
      </c>
      <c r="GK383" t="e">
        <v>#N/A</v>
      </c>
      <c r="GM383" t="e">
        <v>#N/A</v>
      </c>
      <c r="GO383" t="e">
        <v>#N/A</v>
      </c>
      <c r="GQ383" t="e">
        <v>#N/A</v>
      </c>
      <c r="GS383" t="e">
        <v>#N/A</v>
      </c>
      <c r="GU383" t="e">
        <v>#N/A</v>
      </c>
      <c r="GW383" t="e">
        <v>#N/A</v>
      </c>
      <c r="GY383" t="e">
        <v>#N/A</v>
      </c>
      <c r="HA383" t="e">
        <v>#N/A</v>
      </c>
      <c r="HC383">
        <v>0</v>
      </c>
      <c r="HD383">
        <v>0</v>
      </c>
      <c r="HE383">
        <v>0</v>
      </c>
      <c r="HF383">
        <v>0</v>
      </c>
      <c r="HG383">
        <v>0</v>
      </c>
      <c r="HH383">
        <v>0</v>
      </c>
      <c r="HI383">
        <v>0</v>
      </c>
      <c r="HJ383">
        <v>0</v>
      </c>
      <c r="HM383">
        <v>0</v>
      </c>
      <c r="HN383">
        <v>0</v>
      </c>
      <c r="HO383">
        <v>0</v>
      </c>
      <c r="HP383">
        <v>0</v>
      </c>
      <c r="HQ383">
        <v>0</v>
      </c>
      <c r="HR383">
        <v>0</v>
      </c>
      <c r="HS383">
        <v>0</v>
      </c>
      <c r="HT383">
        <v>0</v>
      </c>
      <c r="HW383">
        <v>0</v>
      </c>
      <c r="HX383">
        <v>0</v>
      </c>
      <c r="HY383">
        <v>0</v>
      </c>
      <c r="HZ383">
        <v>0</v>
      </c>
      <c r="IA383">
        <v>3930.6</v>
      </c>
      <c r="IB383">
        <v>3632.9</v>
      </c>
      <c r="IC383">
        <v>3795.5</v>
      </c>
      <c r="ID383">
        <v>0</v>
      </c>
      <c r="IE383">
        <v>0</v>
      </c>
      <c r="IF383">
        <v>3548.5</v>
      </c>
      <c r="IG383">
        <v>3395.2</v>
      </c>
      <c r="IH383">
        <v>3395.4</v>
      </c>
      <c r="II383">
        <v>3302.3</v>
      </c>
      <c r="IJ383">
        <v>3172.8</v>
      </c>
      <c r="IK383">
        <v>0</v>
      </c>
      <c r="IL383">
        <v>0</v>
      </c>
      <c r="IM383">
        <v>0</v>
      </c>
      <c r="IN383">
        <v>0</v>
      </c>
      <c r="IO383">
        <v>123.4</v>
      </c>
      <c r="IP383">
        <v>405.2</v>
      </c>
      <c r="IQ383">
        <v>418.7</v>
      </c>
      <c r="IR383">
        <v>0</v>
      </c>
      <c r="IS383">
        <v>0</v>
      </c>
      <c r="IT383">
        <v>0</v>
      </c>
      <c r="IU383">
        <v>0</v>
      </c>
      <c r="IV383">
        <v>396</v>
      </c>
      <c r="IW383">
        <v>0</v>
      </c>
      <c r="IX383">
        <v>0</v>
      </c>
      <c r="IZ383">
        <v>0</v>
      </c>
      <c r="JA383">
        <v>65.5</v>
      </c>
      <c r="JB383">
        <v>443.5</v>
      </c>
      <c r="JC383">
        <v>0</v>
      </c>
      <c r="JD383">
        <v>0</v>
      </c>
      <c r="JE383">
        <v>0</v>
      </c>
      <c r="JF383">
        <v>0</v>
      </c>
      <c r="JG383">
        <v>0</v>
      </c>
      <c r="JH383">
        <v>0</v>
      </c>
      <c r="JI383">
        <v>0</v>
      </c>
      <c r="JJ383">
        <v>0</v>
      </c>
      <c r="JK383">
        <v>0</v>
      </c>
      <c r="JL383">
        <v>0</v>
      </c>
      <c r="JM383">
        <v>0</v>
      </c>
      <c r="JN383">
        <v>0</v>
      </c>
      <c r="JO383">
        <v>0</v>
      </c>
      <c r="JP383">
        <v>0</v>
      </c>
      <c r="JQ383">
        <v>0</v>
      </c>
      <c r="JR383">
        <v>0</v>
      </c>
      <c r="JS383">
        <v>0</v>
      </c>
      <c r="JT383">
        <v>0</v>
      </c>
      <c r="JU383">
        <v>0</v>
      </c>
      <c r="JV383">
        <v>0</v>
      </c>
      <c r="JW383">
        <v>0</v>
      </c>
      <c r="JX383">
        <v>0</v>
      </c>
      <c r="JY383">
        <v>0</v>
      </c>
      <c r="JZ383">
        <v>0</v>
      </c>
      <c r="KA383">
        <v>0</v>
      </c>
      <c r="KB383">
        <v>0</v>
      </c>
      <c r="KC383">
        <v>0</v>
      </c>
      <c r="KD383">
        <v>0</v>
      </c>
      <c r="KE383">
        <v>0</v>
      </c>
      <c r="KF383">
        <v>0</v>
      </c>
      <c r="KI383">
        <v>344.6</v>
      </c>
      <c r="KJ383">
        <v>350.8</v>
      </c>
      <c r="KK383">
        <v>22.1</v>
      </c>
      <c r="KL383">
        <v>379.3</v>
      </c>
      <c r="KM383">
        <v>241.4</v>
      </c>
      <c r="KN383">
        <v>0</v>
      </c>
      <c r="KO383">
        <v>0</v>
      </c>
      <c r="KP383">
        <v>57.3</v>
      </c>
      <c r="KQ383">
        <v>224.4</v>
      </c>
      <c r="KR383">
        <v>338.3</v>
      </c>
      <c r="KS383">
        <v>215.8</v>
      </c>
      <c r="KT383">
        <v>40.700000000000003</v>
      </c>
      <c r="KW383">
        <v>2154.5</v>
      </c>
      <c r="KX383">
        <v>1255.7</v>
      </c>
      <c r="KY383">
        <v>1630.1</v>
      </c>
      <c r="KZ383">
        <v>1246.9000000000001</v>
      </c>
      <c r="LB383">
        <v>78.099999999999994</v>
      </c>
      <c r="LC383">
        <v>77.7</v>
      </c>
    </row>
    <row r="384" spans="1:315" ht="18" thickBot="1">
      <c r="A384" s="245"/>
      <c r="B384" s="245"/>
      <c r="C384" s="230" t="s">
        <v>695</v>
      </c>
      <c r="D384" s="281"/>
      <c r="E384" s="443">
        <v>0</v>
      </c>
      <c r="F384" s="191">
        <v>0</v>
      </c>
      <c r="G384" s="427">
        <v>3413.8</v>
      </c>
      <c r="H384" s="155"/>
      <c r="I384">
        <v>735</v>
      </c>
      <c r="K384">
        <v>1973.1000000000001</v>
      </c>
      <c r="L384" s="4">
        <v>221.60000000000002</v>
      </c>
      <c r="M384" s="4">
        <v>54.9</v>
      </c>
      <c r="N384" s="4">
        <v>1989.7</v>
      </c>
      <c r="P384">
        <v>0</v>
      </c>
      <c r="Q384">
        <v>238.29999999999998</v>
      </c>
      <c r="R384">
        <v>0</v>
      </c>
      <c r="S384">
        <v>0</v>
      </c>
      <c r="T384">
        <v>368.5</v>
      </c>
      <c r="W384">
        <v>720.3</v>
      </c>
      <c r="X384">
        <v>1411.5</v>
      </c>
      <c r="Y384">
        <v>96.5</v>
      </c>
      <c r="AA384">
        <v>859.6</v>
      </c>
      <c r="AB384">
        <v>1577.6000000000001</v>
      </c>
      <c r="AE384">
        <v>1330</v>
      </c>
      <c r="AF384">
        <v>1025.5</v>
      </c>
      <c r="AH384">
        <v>509.9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1349.3</v>
      </c>
      <c r="AO384">
        <v>786.40000000000009</v>
      </c>
      <c r="AP384">
        <v>0</v>
      </c>
      <c r="AQ384">
        <v>68.3</v>
      </c>
      <c r="AR384">
        <v>234.9</v>
      </c>
      <c r="AS384">
        <v>600.40000000000009</v>
      </c>
      <c r="AU384">
        <v>985.69999999999993</v>
      </c>
      <c r="AW384">
        <v>792</v>
      </c>
      <c r="AX384">
        <v>1988.5</v>
      </c>
      <c r="AZ384">
        <v>763.5</v>
      </c>
      <c r="BA384">
        <v>0</v>
      </c>
      <c r="BB384">
        <v>0</v>
      </c>
      <c r="BC384">
        <v>1935.3</v>
      </c>
      <c r="BD384">
        <v>1006.5</v>
      </c>
      <c r="BE384">
        <v>0</v>
      </c>
      <c r="BF384">
        <v>0</v>
      </c>
      <c r="BG384">
        <v>0</v>
      </c>
      <c r="BH384">
        <v>1662.6</v>
      </c>
      <c r="BJ384">
        <v>0</v>
      </c>
      <c r="BK384">
        <v>0</v>
      </c>
      <c r="BL384">
        <v>1038.9000000000001</v>
      </c>
      <c r="BM384">
        <v>1101</v>
      </c>
      <c r="BO384">
        <v>1276.8000000000002</v>
      </c>
      <c r="BQ384">
        <v>0</v>
      </c>
      <c r="BR384">
        <v>270.7</v>
      </c>
      <c r="BS384">
        <v>230.5</v>
      </c>
      <c r="BT384">
        <v>472.3</v>
      </c>
      <c r="BU384">
        <v>537.29999999999995</v>
      </c>
      <c r="BV384">
        <v>346.3</v>
      </c>
      <c r="BW384">
        <v>386.2</v>
      </c>
      <c r="BX384">
        <v>767</v>
      </c>
      <c r="BY384">
        <v>757.2</v>
      </c>
      <c r="BZ384">
        <v>1037.2</v>
      </c>
      <c r="CA384">
        <v>1227.0999999999999</v>
      </c>
      <c r="CB384">
        <v>1232.0999999999999</v>
      </c>
      <c r="CC384">
        <v>1701.5</v>
      </c>
      <c r="CD384">
        <v>0</v>
      </c>
      <c r="CG384">
        <v>1385.3</v>
      </c>
      <c r="CJ384">
        <v>1630.2999999999997</v>
      </c>
      <c r="CM384">
        <v>1184.2</v>
      </c>
      <c r="CO384">
        <v>1248.0999999999999</v>
      </c>
      <c r="CQ384">
        <v>1435.3</v>
      </c>
      <c r="CR384">
        <v>798.2</v>
      </c>
      <c r="CS384">
        <v>923.8</v>
      </c>
      <c r="CT384">
        <v>0</v>
      </c>
      <c r="CU384">
        <v>0</v>
      </c>
      <c r="CV384">
        <v>0</v>
      </c>
      <c r="CW384">
        <v>0</v>
      </c>
      <c r="CX384">
        <v>163.69999999999999</v>
      </c>
      <c r="CY384">
        <v>0</v>
      </c>
      <c r="CZ384">
        <v>0</v>
      </c>
      <c r="DA384">
        <v>0</v>
      </c>
      <c r="DB384">
        <v>0</v>
      </c>
      <c r="DC384">
        <v>0</v>
      </c>
      <c r="DD384">
        <v>0</v>
      </c>
      <c r="DE384">
        <v>0</v>
      </c>
      <c r="DI384">
        <v>0</v>
      </c>
      <c r="EC384">
        <v>0</v>
      </c>
      <c r="ED384">
        <v>0</v>
      </c>
      <c r="EE384">
        <v>0</v>
      </c>
      <c r="EF384">
        <v>0</v>
      </c>
      <c r="EG384">
        <v>0</v>
      </c>
      <c r="EH384">
        <v>0</v>
      </c>
      <c r="EI384">
        <v>0</v>
      </c>
      <c r="EJ384">
        <v>0</v>
      </c>
      <c r="EM384">
        <v>0</v>
      </c>
      <c r="EN384">
        <v>0</v>
      </c>
      <c r="EO384">
        <v>0</v>
      </c>
      <c r="EP384">
        <v>0</v>
      </c>
      <c r="EQ384">
        <v>0</v>
      </c>
      <c r="ER384">
        <v>0</v>
      </c>
      <c r="ES384">
        <v>0</v>
      </c>
      <c r="ET384">
        <v>0</v>
      </c>
      <c r="EW384">
        <v>0</v>
      </c>
      <c r="EX384">
        <v>0</v>
      </c>
      <c r="EY384">
        <v>0</v>
      </c>
      <c r="EZ384">
        <v>0</v>
      </c>
      <c r="FA384">
        <v>0</v>
      </c>
      <c r="FB384">
        <v>0</v>
      </c>
      <c r="FC384">
        <v>0</v>
      </c>
      <c r="FD384">
        <v>0</v>
      </c>
      <c r="FG384" t="e">
        <v>#N/A</v>
      </c>
      <c r="FI384" t="e">
        <v>#N/A</v>
      </c>
      <c r="FK384" t="e">
        <v>#N/A</v>
      </c>
      <c r="FM384" t="e">
        <v>#N/A</v>
      </c>
      <c r="FO384" t="e">
        <v>#N/A</v>
      </c>
      <c r="FQ384" t="e">
        <v>#N/A</v>
      </c>
      <c r="FS384" t="e">
        <v>#N/A</v>
      </c>
      <c r="FU384" t="e">
        <v>#N/A</v>
      </c>
      <c r="FW384" t="e">
        <v>#N/A</v>
      </c>
      <c r="FY384" t="e">
        <v>#N/A</v>
      </c>
      <c r="GA384" t="e">
        <v>#N/A</v>
      </c>
      <c r="GC384" t="e">
        <v>#N/A</v>
      </c>
      <c r="GE384" t="e">
        <v>#N/A</v>
      </c>
      <c r="GG384" t="e">
        <v>#N/A</v>
      </c>
      <c r="GI384" t="e">
        <v>#N/A</v>
      </c>
      <c r="GK384" t="e">
        <v>#N/A</v>
      </c>
      <c r="GM384" t="e">
        <v>#N/A</v>
      </c>
      <c r="GO384" t="e">
        <v>#N/A</v>
      </c>
      <c r="GQ384" t="e">
        <v>#N/A</v>
      </c>
      <c r="GS384" t="e">
        <v>#N/A</v>
      </c>
      <c r="GU384" t="e">
        <v>#N/A</v>
      </c>
      <c r="GW384" t="e">
        <v>#N/A</v>
      </c>
      <c r="GY384" t="e">
        <v>#N/A</v>
      </c>
      <c r="HA384" t="e">
        <v>#N/A</v>
      </c>
      <c r="HC384">
        <v>0</v>
      </c>
      <c r="HD384">
        <v>0</v>
      </c>
      <c r="HE384">
        <v>0</v>
      </c>
      <c r="HF384">
        <v>0</v>
      </c>
      <c r="HG384">
        <v>0</v>
      </c>
      <c r="HH384">
        <v>0</v>
      </c>
      <c r="HI384">
        <v>0</v>
      </c>
      <c r="HJ384">
        <v>0</v>
      </c>
      <c r="HM384">
        <v>0</v>
      </c>
      <c r="HN384">
        <v>0</v>
      </c>
      <c r="HO384">
        <v>0</v>
      </c>
      <c r="HP384">
        <v>0</v>
      </c>
      <c r="HQ384">
        <v>0</v>
      </c>
      <c r="HR384">
        <v>0</v>
      </c>
      <c r="HS384">
        <v>0</v>
      </c>
      <c r="HT384">
        <v>0</v>
      </c>
      <c r="HW384">
        <v>0</v>
      </c>
      <c r="HX384">
        <v>0</v>
      </c>
      <c r="HY384">
        <v>0</v>
      </c>
      <c r="HZ384">
        <v>0</v>
      </c>
      <c r="IA384">
        <v>3930.6</v>
      </c>
      <c r="IB384">
        <v>3632.9</v>
      </c>
      <c r="IC384">
        <v>3795.5</v>
      </c>
      <c r="ID384">
        <v>0</v>
      </c>
      <c r="IE384">
        <v>0</v>
      </c>
      <c r="IF384">
        <v>3548.5</v>
      </c>
      <c r="IG384">
        <v>3395.2</v>
      </c>
      <c r="IH384">
        <v>3395.4</v>
      </c>
      <c r="II384">
        <v>3302.3</v>
      </c>
      <c r="IJ384">
        <v>3172.8</v>
      </c>
      <c r="IK384">
        <v>0</v>
      </c>
      <c r="IL384">
        <v>0</v>
      </c>
      <c r="IM384">
        <v>0</v>
      </c>
      <c r="IN384">
        <v>0</v>
      </c>
      <c r="IO384">
        <v>123.4</v>
      </c>
      <c r="IP384">
        <v>405.2</v>
      </c>
      <c r="IQ384">
        <v>418.7</v>
      </c>
      <c r="IR384">
        <v>0</v>
      </c>
      <c r="IS384">
        <v>0</v>
      </c>
      <c r="IT384">
        <v>0</v>
      </c>
      <c r="IU384">
        <v>0</v>
      </c>
      <c r="IV384">
        <v>396</v>
      </c>
      <c r="IW384">
        <v>0</v>
      </c>
      <c r="IX384">
        <v>0</v>
      </c>
      <c r="IZ384">
        <v>0</v>
      </c>
      <c r="JA384">
        <v>65.5</v>
      </c>
      <c r="JB384">
        <v>443.5</v>
      </c>
      <c r="JC384">
        <v>0</v>
      </c>
      <c r="JD384">
        <v>0</v>
      </c>
      <c r="JE384">
        <v>0</v>
      </c>
      <c r="JF384">
        <v>0</v>
      </c>
      <c r="JG384">
        <v>0</v>
      </c>
      <c r="JH384">
        <v>0</v>
      </c>
      <c r="JI384">
        <v>0</v>
      </c>
      <c r="JJ384">
        <v>0</v>
      </c>
      <c r="JK384">
        <v>0</v>
      </c>
      <c r="JL384">
        <v>0</v>
      </c>
      <c r="JM384">
        <v>0</v>
      </c>
      <c r="JN384">
        <v>0</v>
      </c>
      <c r="JO384">
        <v>0</v>
      </c>
      <c r="JP384">
        <v>0</v>
      </c>
      <c r="JQ384">
        <v>0</v>
      </c>
      <c r="JR384">
        <v>0</v>
      </c>
      <c r="JS384">
        <v>0</v>
      </c>
      <c r="JT384">
        <v>0</v>
      </c>
      <c r="JU384">
        <v>0</v>
      </c>
      <c r="JV384">
        <v>0</v>
      </c>
      <c r="JW384">
        <v>0</v>
      </c>
      <c r="JX384">
        <v>0</v>
      </c>
      <c r="JY384">
        <v>0</v>
      </c>
      <c r="JZ384">
        <v>0</v>
      </c>
      <c r="KA384">
        <v>0</v>
      </c>
      <c r="KB384">
        <v>0</v>
      </c>
      <c r="KC384">
        <v>0</v>
      </c>
      <c r="KD384">
        <v>0</v>
      </c>
      <c r="KE384">
        <v>0</v>
      </c>
      <c r="KF384">
        <v>0</v>
      </c>
      <c r="KI384">
        <v>344.6</v>
      </c>
      <c r="KJ384">
        <v>350.8</v>
      </c>
      <c r="KK384">
        <v>22.1</v>
      </c>
      <c r="KL384">
        <v>379.3</v>
      </c>
      <c r="KM384">
        <v>241.4</v>
      </c>
      <c r="KN384">
        <v>0</v>
      </c>
      <c r="KO384">
        <v>0</v>
      </c>
      <c r="KP384">
        <v>57.3</v>
      </c>
      <c r="KQ384">
        <v>224.4</v>
      </c>
      <c r="KR384">
        <v>338.3</v>
      </c>
      <c r="KS384">
        <v>215.8</v>
      </c>
      <c r="KT384">
        <v>40.700000000000003</v>
      </c>
      <c r="KW384">
        <v>2154.5</v>
      </c>
      <c r="KX384">
        <v>1255.7</v>
      </c>
      <c r="KY384">
        <v>1630.1</v>
      </c>
      <c r="KZ384">
        <v>1246.9000000000001</v>
      </c>
      <c r="LB384">
        <v>78.099999999999994</v>
      </c>
      <c r="LC384">
        <v>77.7</v>
      </c>
    </row>
    <row r="385" spans="1:315" ht="18" thickBot="1">
      <c r="A385" s="245"/>
      <c r="B385" s="245"/>
      <c r="C385" s="230" t="s">
        <v>696</v>
      </c>
      <c r="D385" s="281"/>
      <c r="E385" s="443">
        <v>0</v>
      </c>
      <c r="F385" s="191">
        <v>0</v>
      </c>
      <c r="G385" s="427">
        <v>3413.8</v>
      </c>
      <c r="H385" s="155"/>
      <c r="I385">
        <v>735</v>
      </c>
      <c r="K385">
        <v>1973.1000000000001</v>
      </c>
      <c r="L385" s="4">
        <v>221.60000000000002</v>
      </c>
      <c r="M385" s="4">
        <v>54.9</v>
      </c>
      <c r="N385" s="4">
        <v>1989.7</v>
      </c>
      <c r="P385">
        <v>0</v>
      </c>
      <c r="Q385">
        <v>238.29999999999998</v>
      </c>
      <c r="R385">
        <v>0</v>
      </c>
      <c r="S385">
        <v>0</v>
      </c>
      <c r="T385">
        <v>368.5</v>
      </c>
      <c r="W385">
        <v>720.3</v>
      </c>
      <c r="X385">
        <v>1411.5</v>
      </c>
      <c r="Y385">
        <v>96.5</v>
      </c>
      <c r="AA385">
        <v>859.6</v>
      </c>
      <c r="AB385">
        <v>1577.6000000000001</v>
      </c>
      <c r="AE385">
        <v>1330</v>
      </c>
      <c r="AF385">
        <v>1025.5</v>
      </c>
      <c r="AH385">
        <v>509.9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1349.3</v>
      </c>
      <c r="AO385">
        <v>786.40000000000009</v>
      </c>
      <c r="AP385">
        <v>0</v>
      </c>
      <c r="AQ385">
        <v>68.3</v>
      </c>
      <c r="AR385">
        <v>234.9</v>
      </c>
      <c r="AS385">
        <v>600.40000000000009</v>
      </c>
      <c r="AU385">
        <v>985.69999999999993</v>
      </c>
      <c r="AW385">
        <v>792</v>
      </c>
      <c r="AX385">
        <v>1988.5</v>
      </c>
      <c r="AZ385">
        <v>763.5</v>
      </c>
      <c r="BA385">
        <v>0</v>
      </c>
      <c r="BB385">
        <v>0</v>
      </c>
      <c r="BC385">
        <v>1935.3</v>
      </c>
      <c r="BD385">
        <v>1006.5</v>
      </c>
      <c r="BE385">
        <v>0</v>
      </c>
      <c r="BF385">
        <v>0</v>
      </c>
      <c r="BG385">
        <v>0</v>
      </c>
      <c r="BH385">
        <v>1662.6</v>
      </c>
      <c r="BJ385">
        <v>0</v>
      </c>
      <c r="BK385">
        <v>0</v>
      </c>
      <c r="BL385">
        <v>1038.9000000000001</v>
      </c>
      <c r="BM385">
        <v>1101</v>
      </c>
      <c r="BO385">
        <v>1276.8000000000002</v>
      </c>
      <c r="BQ385">
        <v>0</v>
      </c>
      <c r="BR385">
        <v>270.7</v>
      </c>
      <c r="BS385">
        <v>230.5</v>
      </c>
      <c r="BT385">
        <v>472.3</v>
      </c>
      <c r="BU385">
        <v>537.29999999999995</v>
      </c>
      <c r="BV385">
        <v>346.3</v>
      </c>
      <c r="BW385">
        <v>386.2</v>
      </c>
      <c r="BX385">
        <v>767</v>
      </c>
      <c r="BY385">
        <v>757.2</v>
      </c>
      <c r="BZ385">
        <v>1037.2</v>
      </c>
      <c r="CA385">
        <v>1227.0999999999999</v>
      </c>
      <c r="CB385">
        <v>1232.0999999999999</v>
      </c>
      <c r="CC385">
        <v>1701.5</v>
      </c>
      <c r="CD385">
        <v>0</v>
      </c>
      <c r="CG385">
        <v>1385.3</v>
      </c>
      <c r="CJ385">
        <v>1630.2999999999997</v>
      </c>
      <c r="CM385">
        <v>1184.2</v>
      </c>
      <c r="CO385">
        <v>1248.0999999999999</v>
      </c>
      <c r="CQ385">
        <v>1435.3</v>
      </c>
      <c r="CR385">
        <v>798.2</v>
      </c>
      <c r="CS385">
        <v>923.8</v>
      </c>
      <c r="CT385">
        <v>0</v>
      </c>
      <c r="CU385">
        <v>0</v>
      </c>
      <c r="CV385">
        <v>0</v>
      </c>
      <c r="CW385">
        <v>0</v>
      </c>
      <c r="CX385">
        <v>163.69999999999999</v>
      </c>
      <c r="CY385">
        <v>0</v>
      </c>
      <c r="CZ385">
        <v>0</v>
      </c>
      <c r="DA385">
        <v>0</v>
      </c>
      <c r="DB385">
        <v>0</v>
      </c>
      <c r="DC385">
        <v>0</v>
      </c>
      <c r="DD385">
        <v>0</v>
      </c>
      <c r="DE385">
        <v>0</v>
      </c>
      <c r="DI385">
        <v>0</v>
      </c>
      <c r="EC385">
        <v>0</v>
      </c>
      <c r="ED385">
        <v>0</v>
      </c>
      <c r="EE385">
        <v>0</v>
      </c>
      <c r="EF385">
        <v>0</v>
      </c>
      <c r="EG385">
        <v>0</v>
      </c>
      <c r="EH385">
        <v>0</v>
      </c>
      <c r="EI385">
        <v>0</v>
      </c>
      <c r="EJ385">
        <v>0</v>
      </c>
      <c r="EM385">
        <v>0</v>
      </c>
      <c r="EN385">
        <v>0</v>
      </c>
      <c r="EO385">
        <v>0</v>
      </c>
      <c r="EP385">
        <v>0</v>
      </c>
      <c r="EQ385">
        <v>0</v>
      </c>
      <c r="ER385">
        <v>0</v>
      </c>
      <c r="ES385">
        <v>0</v>
      </c>
      <c r="ET385">
        <v>0</v>
      </c>
      <c r="EW385">
        <v>0</v>
      </c>
      <c r="EX385">
        <v>0</v>
      </c>
      <c r="EY385">
        <v>0</v>
      </c>
      <c r="EZ385">
        <v>0</v>
      </c>
      <c r="FA385">
        <v>0</v>
      </c>
      <c r="FB385">
        <v>0</v>
      </c>
      <c r="FC385">
        <v>0</v>
      </c>
      <c r="FD385">
        <v>0</v>
      </c>
      <c r="FG385" t="e">
        <v>#N/A</v>
      </c>
      <c r="FI385" t="e">
        <v>#N/A</v>
      </c>
      <c r="FK385" t="e">
        <v>#N/A</v>
      </c>
      <c r="FM385" t="e">
        <v>#N/A</v>
      </c>
      <c r="FO385" t="e">
        <v>#N/A</v>
      </c>
      <c r="FQ385" t="e">
        <v>#N/A</v>
      </c>
      <c r="FS385" t="e">
        <v>#N/A</v>
      </c>
      <c r="FU385" t="e">
        <v>#N/A</v>
      </c>
      <c r="FW385" t="e">
        <v>#N/A</v>
      </c>
      <c r="FY385" t="e">
        <v>#N/A</v>
      </c>
      <c r="GA385" t="e">
        <v>#N/A</v>
      </c>
      <c r="GC385" t="e">
        <v>#N/A</v>
      </c>
      <c r="GE385" t="e">
        <v>#N/A</v>
      </c>
      <c r="GG385" t="e">
        <v>#N/A</v>
      </c>
      <c r="GI385" t="e">
        <v>#N/A</v>
      </c>
      <c r="GK385" t="e">
        <v>#N/A</v>
      </c>
      <c r="GM385" t="e">
        <v>#N/A</v>
      </c>
      <c r="GO385" t="e">
        <v>#N/A</v>
      </c>
      <c r="GQ385" t="e">
        <v>#N/A</v>
      </c>
      <c r="GS385" t="e">
        <v>#N/A</v>
      </c>
      <c r="GU385" t="e">
        <v>#N/A</v>
      </c>
      <c r="GW385" t="e">
        <v>#N/A</v>
      </c>
      <c r="GY385" t="e">
        <v>#N/A</v>
      </c>
      <c r="HA385" t="e">
        <v>#N/A</v>
      </c>
      <c r="HC385">
        <v>0</v>
      </c>
      <c r="HD385">
        <v>0</v>
      </c>
      <c r="HE385">
        <v>0</v>
      </c>
      <c r="HF385">
        <v>0</v>
      </c>
      <c r="HG385">
        <v>0</v>
      </c>
      <c r="HH385">
        <v>0</v>
      </c>
      <c r="HI385">
        <v>0</v>
      </c>
      <c r="HJ385">
        <v>0</v>
      </c>
      <c r="HM385">
        <v>0</v>
      </c>
      <c r="HN385">
        <v>0</v>
      </c>
      <c r="HO385">
        <v>0</v>
      </c>
      <c r="HP385">
        <v>0</v>
      </c>
      <c r="HQ385">
        <v>0</v>
      </c>
      <c r="HR385">
        <v>0</v>
      </c>
      <c r="HS385">
        <v>0</v>
      </c>
      <c r="HT385">
        <v>0</v>
      </c>
      <c r="HW385">
        <v>0</v>
      </c>
      <c r="HX385">
        <v>0</v>
      </c>
      <c r="HY385">
        <v>0</v>
      </c>
      <c r="HZ385">
        <v>0</v>
      </c>
      <c r="IA385">
        <v>3930.6</v>
      </c>
      <c r="IB385">
        <v>3632.9</v>
      </c>
      <c r="IC385">
        <v>3795.5</v>
      </c>
      <c r="ID385">
        <v>0</v>
      </c>
      <c r="IE385">
        <v>0</v>
      </c>
      <c r="IF385">
        <v>3548.5</v>
      </c>
      <c r="IG385">
        <v>3395.2</v>
      </c>
      <c r="IH385">
        <v>3395.4</v>
      </c>
      <c r="II385">
        <v>3302.3</v>
      </c>
      <c r="IJ385">
        <v>3172.8</v>
      </c>
      <c r="IK385">
        <v>0</v>
      </c>
      <c r="IL385">
        <v>0</v>
      </c>
      <c r="IM385">
        <v>0</v>
      </c>
      <c r="IN385">
        <v>0</v>
      </c>
      <c r="IO385">
        <v>123.4</v>
      </c>
      <c r="IP385">
        <v>405.2</v>
      </c>
      <c r="IQ385">
        <v>418.7</v>
      </c>
      <c r="IR385">
        <v>0</v>
      </c>
      <c r="IS385">
        <v>0</v>
      </c>
      <c r="IT385">
        <v>0</v>
      </c>
      <c r="IU385">
        <v>0</v>
      </c>
      <c r="IV385">
        <v>396</v>
      </c>
      <c r="IW385">
        <v>0</v>
      </c>
      <c r="IX385">
        <v>0</v>
      </c>
      <c r="IZ385">
        <v>0</v>
      </c>
      <c r="JA385">
        <v>65.5</v>
      </c>
      <c r="JB385">
        <v>443.5</v>
      </c>
      <c r="JC385">
        <v>0</v>
      </c>
      <c r="JD385">
        <v>0</v>
      </c>
      <c r="JE385">
        <v>0</v>
      </c>
      <c r="JF385">
        <v>0</v>
      </c>
      <c r="JG385">
        <v>0</v>
      </c>
      <c r="JH385">
        <v>0</v>
      </c>
      <c r="JI385">
        <v>0</v>
      </c>
      <c r="JJ385">
        <v>0</v>
      </c>
      <c r="JK385">
        <v>0</v>
      </c>
      <c r="JL385">
        <v>0</v>
      </c>
      <c r="JM385">
        <v>0</v>
      </c>
      <c r="JN385">
        <v>0</v>
      </c>
      <c r="JO385">
        <v>0</v>
      </c>
      <c r="JP385">
        <v>0</v>
      </c>
      <c r="JQ385">
        <v>0</v>
      </c>
      <c r="JR385">
        <v>0</v>
      </c>
      <c r="JS385">
        <v>0</v>
      </c>
      <c r="JT385">
        <v>0</v>
      </c>
      <c r="JU385">
        <v>0</v>
      </c>
      <c r="JV385">
        <v>0</v>
      </c>
      <c r="JW385">
        <v>0</v>
      </c>
      <c r="JX385">
        <v>0</v>
      </c>
      <c r="JY385">
        <v>0</v>
      </c>
      <c r="JZ385">
        <v>0</v>
      </c>
      <c r="KA385">
        <v>0</v>
      </c>
      <c r="KB385">
        <v>0</v>
      </c>
      <c r="KC385">
        <v>0</v>
      </c>
      <c r="KD385">
        <v>0</v>
      </c>
      <c r="KE385">
        <v>0</v>
      </c>
      <c r="KF385">
        <v>0</v>
      </c>
      <c r="KI385">
        <v>344.6</v>
      </c>
      <c r="KJ385">
        <v>350.8</v>
      </c>
      <c r="KK385">
        <v>22.1</v>
      </c>
      <c r="KL385">
        <v>379.3</v>
      </c>
      <c r="KM385">
        <v>241.4</v>
      </c>
      <c r="KN385">
        <v>0</v>
      </c>
      <c r="KO385">
        <v>0</v>
      </c>
      <c r="KP385">
        <v>57.3</v>
      </c>
      <c r="KQ385">
        <v>224.4</v>
      </c>
      <c r="KR385">
        <v>338.3</v>
      </c>
      <c r="KS385">
        <v>215.8</v>
      </c>
      <c r="KT385">
        <v>40.700000000000003</v>
      </c>
      <c r="KW385">
        <v>2154.5</v>
      </c>
      <c r="KX385">
        <v>1255.7</v>
      </c>
      <c r="KY385">
        <v>1630.1</v>
      </c>
      <c r="KZ385">
        <v>1246.9000000000001</v>
      </c>
      <c r="LB385">
        <v>78.099999999999994</v>
      </c>
      <c r="LC385">
        <v>77.7</v>
      </c>
    </row>
    <row r="386" spans="1:315" ht="18" thickBot="1">
      <c r="A386" s="245"/>
      <c r="B386" s="245"/>
      <c r="C386" s="230" t="s">
        <v>697</v>
      </c>
      <c r="D386" s="281"/>
      <c r="E386" s="443">
        <v>0</v>
      </c>
      <c r="F386" s="191">
        <v>0</v>
      </c>
      <c r="G386" s="427">
        <v>3413.8</v>
      </c>
      <c r="H386" s="155"/>
      <c r="I386">
        <v>735</v>
      </c>
      <c r="K386">
        <v>1973.1000000000001</v>
      </c>
      <c r="L386" s="4">
        <v>221.60000000000002</v>
      </c>
      <c r="M386" s="4">
        <v>54.9</v>
      </c>
      <c r="N386" s="4">
        <v>1989.7</v>
      </c>
      <c r="P386">
        <v>0</v>
      </c>
      <c r="Q386">
        <v>238.29999999999998</v>
      </c>
      <c r="R386">
        <v>0</v>
      </c>
      <c r="S386">
        <v>0</v>
      </c>
      <c r="T386">
        <v>368.5</v>
      </c>
      <c r="W386">
        <v>720.3</v>
      </c>
      <c r="X386">
        <v>1411.5</v>
      </c>
      <c r="Y386">
        <v>96.5</v>
      </c>
      <c r="AA386">
        <v>859.6</v>
      </c>
      <c r="AB386">
        <v>1577.6000000000001</v>
      </c>
      <c r="AE386">
        <v>1330</v>
      </c>
      <c r="AF386">
        <v>1025.5</v>
      </c>
      <c r="AH386">
        <v>509.9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1349.3</v>
      </c>
      <c r="AO386">
        <v>786.40000000000009</v>
      </c>
      <c r="AP386">
        <v>0</v>
      </c>
      <c r="AQ386">
        <v>68.3</v>
      </c>
      <c r="AR386">
        <v>234.9</v>
      </c>
      <c r="AS386">
        <v>600.40000000000009</v>
      </c>
      <c r="AU386">
        <v>985.69999999999993</v>
      </c>
      <c r="AW386">
        <v>792</v>
      </c>
      <c r="AX386">
        <v>1988.5</v>
      </c>
      <c r="AZ386">
        <v>763.5</v>
      </c>
      <c r="BA386">
        <v>0</v>
      </c>
      <c r="BB386">
        <v>0</v>
      </c>
      <c r="BC386">
        <v>1935.3</v>
      </c>
      <c r="BD386">
        <v>1006.5</v>
      </c>
      <c r="BE386">
        <v>0</v>
      </c>
      <c r="BF386">
        <v>0</v>
      </c>
      <c r="BG386">
        <v>0</v>
      </c>
      <c r="BH386">
        <v>1662.6</v>
      </c>
      <c r="BJ386">
        <v>0</v>
      </c>
      <c r="BK386">
        <v>0</v>
      </c>
      <c r="BL386">
        <v>1038.9000000000001</v>
      </c>
      <c r="BM386">
        <v>1101</v>
      </c>
      <c r="BO386">
        <v>1276.8000000000002</v>
      </c>
      <c r="BQ386">
        <v>0</v>
      </c>
      <c r="BR386">
        <v>270.7</v>
      </c>
      <c r="BS386">
        <v>230.5</v>
      </c>
      <c r="BT386">
        <v>472.3</v>
      </c>
      <c r="BU386">
        <v>537.29999999999995</v>
      </c>
      <c r="BV386">
        <v>346.3</v>
      </c>
      <c r="BW386">
        <v>386.2</v>
      </c>
      <c r="BX386">
        <v>767</v>
      </c>
      <c r="BY386">
        <v>757.2</v>
      </c>
      <c r="BZ386">
        <v>1037.2</v>
      </c>
      <c r="CA386">
        <v>1227.0999999999999</v>
      </c>
      <c r="CB386">
        <v>1232.0999999999999</v>
      </c>
      <c r="CC386">
        <v>1701.5</v>
      </c>
      <c r="CD386">
        <v>0</v>
      </c>
      <c r="CG386">
        <v>1385.3</v>
      </c>
      <c r="CJ386">
        <v>1630.2999999999997</v>
      </c>
      <c r="CM386">
        <v>1184.2</v>
      </c>
      <c r="CO386">
        <v>1248.0999999999999</v>
      </c>
      <c r="CQ386">
        <v>1435.3</v>
      </c>
      <c r="CR386">
        <v>798.2</v>
      </c>
      <c r="CS386">
        <v>923.8</v>
      </c>
      <c r="CT386">
        <v>0</v>
      </c>
      <c r="CU386">
        <v>0</v>
      </c>
      <c r="CV386">
        <v>0</v>
      </c>
      <c r="CW386">
        <v>0</v>
      </c>
      <c r="CX386">
        <v>163.69999999999999</v>
      </c>
      <c r="CY386">
        <v>0</v>
      </c>
      <c r="CZ386">
        <v>0</v>
      </c>
      <c r="DA386">
        <v>0</v>
      </c>
      <c r="DB386">
        <v>0</v>
      </c>
      <c r="DC386">
        <v>0</v>
      </c>
      <c r="DD386">
        <v>0</v>
      </c>
      <c r="DE386">
        <v>0</v>
      </c>
      <c r="DI386">
        <v>0</v>
      </c>
      <c r="EC386">
        <v>0</v>
      </c>
      <c r="ED386">
        <v>0</v>
      </c>
      <c r="EE386">
        <v>0</v>
      </c>
      <c r="EF386">
        <v>0</v>
      </c>
      <c r="EG386">
        <v>0</v>
      </c>
      <c r="EH386">
        <v>0</v>
      </c>
      <c r="EI386">
        <v>0</v>
      </c>
      <c r="EJ386">
        <v>0</v>
      </c>
      <c r="EM386">
        <v>0</v>
      </c>
      <c r="EN386">
        <v>0</v>
      </c>
      <c r="EO386">
        <v>0</v>
      </c>
      <c r="EP386">
        <v>0</v>
      </c>
      <c r="EQ386">
        <v>0</v>
      </c>
      <c r="ER386">
        <v>0</v>
      </c>
      <c r="ES386">
        <v>0</v>
      </c>
      <c r="ET386">
        <v>0</v>
      </c>
      <c r="EW386">
        <v>0</v>
      </c>
      <c r="EX386">
        <v>0</v>
      </c>
      <c r="EY386">
        <v>0</v>
      </c>
      <c r="EZ386">
        <v>0</v>
      </c>
      <c r="FA386">
        <v>0</v>
      </c>
      <c r="FB386">
        <v>0</v>
      </c>
      <c r="FC386">
        <v>0</v>
      </c>
      <c r="FD386">
        <v>0</v>
      </c>
      <c r="FG386" t="e">
        <v>#N/A</v>
      </c>
      <c r="FI386" t="e">
        <v>#N/A</v>
      </c>
      <c r="FK386" t="e">
        <v>#N/A</v>
      </c>
      <c r="FM386" t="e">
        <v>#N/A</v>
      </c>
      <c r="FO386" t="e">
        <v>#N/A</v>
      </c>
      <c r="FQ386" t="e">
        <v>#N/A</v>
      </c>
      <c r="FS386" t="e">
        <v>#N/A</v>
      </c>
      <c r="FU386" t="e">
        <v>#N/A</v>
      </c>
      <c r="FW386" t="e">
        <v>#N/A</v>
      </c>
      <c r="FY386" t="e">
        <v>#N/A</v>
      </c>
      <c r="GA386" t="e">
        <v>#N/A</v>
      </c>
      <c r="GC386" t="e">
        <v>#N/A</v>
      </c>
      <c r="GE386" t="e">
        <v>#N/A</v>
      </c>
      <c r="GG386" t="e">
        <v>#N/A</v>
      </c>
      <c r="GI386" t="e">
        <v>#N/A</v>
      </c>
      <c r="GK386" t="e">
        <v>#N/A</v>
      </c>
      <c r="GM386" t="e">
        <v>#N/A</v>
      </c>
      <c r="GO386" t="e">
        <v>#N/A</v>
      </c>
      <c r="GQ386" t="e">
        <v>#N/A</v>
      </c>
      <c r="GS386" t="e">
        <v>#N/A</v>
      </c>
      <c r="GU386" t="e">
        <v>#N/A</v>
      </c>
      <c r="GW386" t="e">
        <v>#N/A</v>
      </c>
      <c r="GY386" t="e">
        <v>#N/A</v>
      </c>
      <c r="HA386" t="e">
        <v>#N/A</v>
      </c>
      <c r="HC386">
        <v>0</v>
      </c>
      <c r="HD386">
        <v>0</v>
      </c>
      <c r="HE386">
        <v>0</v>
      </c>
      <c r="HF386">
        <v>0</v>
      </c>
      <c r="HG386">
        <v>0</v>
      </c>
      <c r="HH386">
        <v>0</v>
      </c>
      <c r="HI386">
        <v>0</v>
      </c>
      <c r="HJ386">
        <v>0</v>
      </c>
      <c r="HM386">
        <v>0</v>
      </c>
      <c r="HN386">
        <v>0</v>
      </c>
      <c r="HO386">
        <v>0</v>
      </c>
      <c r="HP386">
        <v>0</v>
      </c>
      <c r="HQ386">
        <v>0</v>
      </c>
      <c r="HR386">
        <v>0</v>
      </c>
      <c r="HS386">
        <v>0</v>
      </c>
      <c r="HT386">
        <v>0</v>
      </c>
      <c r="HW386">
        <v>0</v>
      </c>
      <c r="HX386">
        <v>0</v>
      </c>
      <c r="HY386">
        <v>0</v>
      </c>
      <c r="HZ386">
        <v>0</v>
      </c>
      <c r="IA386">
        <v>3930.6</v>
      </c>
      <c r="IB386">
        <v>3632.9</v>
      </c>
      <c r="IC386">
        <v>3795.5</v>
      </c>
      <c r="ID386">
        <v>0</v>
      </c>
      <c r="IE386">
        <v>0</v>
      </c>
      <c r="IF386">
        <v>3548.5</v>
      </c>
      <c r="IG386">
        <v>3395.2</v>
      </c>
      <c r="IH386">
        <v>3395.4</v>
      </c>
      <c r="II386">
        <v>3302.3</v>
      </c>
      <c r="IJ386">
        <v>3172.8</v>
      </c>
      <c r="IK386">
        <v>0</v>
      </c>
      <c r="IL386">
        <v>0</v>
      </c>
      <c r="IM386">
        <v>0</v>
      </c>
      <c r="IN386">
        <v>0</v>
      </c>
      <c r="IO386">
        <v>123.4</v>
      </c>
      <c r="IP386">
        <v>405.2</v>
      </c>
      <c r="IQ386">
        <v>418.7</v>
      </c>
      <c r="IR386">
        <v>0</v>
      </c>
      <c r="IS386">
        <v>0</v>
      </c>
      <c r="IT386">
        <v>0</v>
      </c>
      <c r="IU386">
        <v>0</v>
      </c>
      <c r="IV386">
        <v>396</v>
      </c>
      <c r="IW386">
        <v>0</v>
      </c>
      <c r="IX386">
        <v>0</v>
      </c>
      <c r="IZ386">
        <v>0</v>
      </c>
      <c r="JA386">
        <v>65.5</v>
      </c>
      <c r="JB386">
        <v>443.5</v>
      </c>
      <c r="JC386">
        <v>0</v>
      </c>
      <c r="JD386">
        <v>0</v>
      </c>
      <c r="JE386">
        <v>0</v>
      </c>
      <c r="JF386">
        <v>0</v>
      </c>
      <c r="JG386">
        <v>0</v>
      </c>
      <c r="JH386">
        <v>0</v>
      </c>
      <c r="JI386">
        <v>0</v>
      </c>
      <c r="JJ386">
        <v>0</v>
      </c>
      <c r="JK386">
        <v>0</v>
      </c>
      <c r="JL386">
        <v>0</v>
      </c>
      <c r="JM386">
        <v>0</v>
      </c>
      <c r="JN386">
        <v>0</v>
      </c>
      <c r="JO386">
        <v>0</v>
      </c>
      <c r="JP386">
        <v>0</v>
      </c>
      <c r="JQ386">
        <v>0</v>
      </c>
      <c r="JR386">
        <v>0</v>
      </c>
      <c r="JS386">
        <v>0</v>
      </c>
      <c r="JT386">
        <v>0</v>
      </c>
      <c r="JU386">
        <v>0</v>
      </c>
      <c r="JV386">
        <v>0</v>
      </c>
      <c r="JW386">
        <v>0</v>
      </c>
      <c r="JX386">
        <v>0</v>
      </c>
      <c r="JY386">
        <v>0</v>
      </c>
      <c r="JZ386">
        <v>0</v>
      </c>
      <c r="KA386">
        <v>0</v>
      </c>
      <c r="KB386">
        <v>0</v>
      </c>
      <c r="KC386">
        <v>0</v>
      </c>
      <c r="KD386">
        <v>0</v>
      </c>
      <c r="KE386">
        <v>0</v>
      </c>
      <c r="KF386">
        <v>0</v>
      </c>
      <c r="KI386">
        <v>344.6</v>
      </c>
      <c r="KJ386">
        <v>350.8</v>
      </c>
      <c r="KK386">
        <v>22.1</v>
      </c>
      <c r="KL386">
        <v>379.3</v>
      </c>
      <c r="KM386">
        <v>241.4</v>
      </c>
      <c r="KN386">
        <v>0</v>
      </c>
      <c r="KO386">
        <v>0</v>
      </c>
      <c r="KP386">
        <v>57.3</v>
      </c>
      <c r="KQ386">
        <v>224.4</v>
      </c>
      <c r="KR386">
        <v>338.3</v>
      </c>
      <c r="KS386">
        <v>215.8</v>
      </c>
      <c r="KT386">
        <v>40.700000000000003</v>
      </c>
      <c r="KW386">
        <v>2154.5</v>
      </c>
      <c r="KX386">
        <v>1255.7</v>
      </c>
      <c r="KY386">
        <v>1630.1</v>
      </c>
      <c r="KZ386">
        <v>1246.9000000000001</v>
      </c>
      <c r="LB386">
        <v>78.099999999999994</v>
      </c>
      <c r="LC386">
        <v>77.7</v>
      </c>
    </row>
    <row r="387" spans="1:315" ht="18" thickBot="1">
      <c r="A387" s="245"/>
      <c r="B387" s="245"/>
      <c r="C387" s="230" t="s">
        <v>698</v>
      </c>
      <c r="D387" s="281"/>
      <c r="E387" s="443">
        <v>0</v>
      </c>
      <c r="F387" s="191">
        <v>0</v>
      </c>
      <c r="G387" s="427">
        <v>3413.8</v>
      </c>
      <c r="H387" s="155"/>
      <c r="I387">
        <v>735</v>
      </c>
      <c r="K387">
        <v>1973.1000000000001</v>
      </c>
      <c r="L387" s="4">
        <v>221.60000000000002</v>
      </c>
      <c r="M387" s="4">
        <v>54.9</v>
      </c>
      <c r="N387" s="4">
        <v>1989.7</v>
      </c>
      <c r="P387">
        <v>0</v>
      </c>
      <c r="Q387">
        <v>238.29999999999998</v>
      </c>
      <c r="R387">
        <v>0</v>
      </c>
      <c r="S387">
        <v>0</v>
      </c>
      <c r="T387">
        <v>368.5</v>
      </c>
      <c r="W387">
        <v>720.3</v>
      </c>
      <c r="X387">
        <v>1411.5</v>
      </c>
      <c r="Y387">
        <v>96.5</v>
      </c>
      <c r="AA387">
        <v>859.6</v>
      </c>
      <c r="AB387">
        <v>1577.6000000000001</v>
      </c>
      <c r="AE387">
        <v>1330</v>
      </c>
      <c r="AF387">
        <v>1025.5</v>
      </c>
      <c r="AH387">
        <v>509.9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1349.3</v>
      </c>
      <c r="AO387">
        <v>786.40000000000009</v>
      </c>
      <c r="AP387">
        <v>0</v>
      </c>
      <c r="AQ387">
        <v>68.3</v>
      </c>
      <c r="AR387">
        <v>234.9</v>
      </c>
      <c r="AS387">
        <v>600.40000000000009</v>
      </c>
      <c r="AU387">
        <v>985.69999999999993</v>
      </c>
      <c r="AW387">
        <v>792</v>
      </c>
      <c r="AX387">
        <v>1988.5</v>
      </c>
      <c r="AZ387">
        <v>763.5</v>
      </c>
      <c r="BA387">
        <v>0</v>
      </c>
      <c r="BB387">
        <v>0</v>
      </c>
      <c r="BC387">
        <v>1935.3</v>
      </c>
      <c r="BD387">
        <v>1006.5</v>
      </c>
      <c r="BE387">
        <v>0</v>
      </c>
      <c r="BF387">
        <v>0</v>
      </c>
      <c r="BG387">
        <v>0</v>
      </c>
      <c r="BH387">
        <v>1662.6</v>
      </c>
      <c r="BJ387">
        <v>0</v>
      </c>
      <c r="BK387">
        <v>0</v>
      </c>
      <c r="BL387">
        <v>1038.9000000000001</v>
      </c>
      <c r="BM387">
        <v>1101</v>
      </c>
      <c r="BO387">
        <v>1276.8000000000002</v>
      </c>
      <c r="BQ387">
        <v>0</v>
      </c>
      <c r="BR387">
        <v>270.7</v>
      </c>
      <c r="BS387">
        <v>230.5</v>
      </c>
      <c r="BT387">
        <v>472.3</v>
      </c>
      <c r="BU387">
        <v>537.29999999999995</v>
      </c>
      <c r="BV387">
        <v>346.3</v>
      </c>
      <c r="BW387">
        <v>386.2</v>
      </c>
      <c r="BX387">
        <v>767</v>
      </c>
      <c r="BY387">
        <v>757.2</v>
      </c>
      <c r="BZ387">
        <v>1037.2</v>
      </c>
      <c r="CA387">
        <v>1227.0999999999999</v>
      </c>
      <c r="CB387">
        <v>1232.0999999999999</v>
      </c>
      <c r="CC387">
        <v>1701.5</v>
      </c>
      <c r="CD387">
        <v>0</v>
      </c>
      <c r="CG387">
        <v>1385.3</v>
      </c>
      <c r="CJ387">
        <v>1630.2999999999997</v>
      </c>
      <c r="CM387">
        <v>1184.2</v>
      </c>
      <c r="CO387">
        <v>1248.0999999999999</v>
      </c>
      <c r="CQ387">
        <v>1435.3</v>
      </c>
      <c r="CR387">
        <v>798.2</v>
      </c>
      <c r="CS387">
        <v>923.8</v>
      </c>
      <c r="CT387">
        <v>0</v>
      </c>
      <c r="CU387">
        <v>0</v>
      </c>
      <c r="CV387">
        <v>0</v>
      </c>
      <c r="CW387">
        <v>0</v>
      </c>
      <c r="CX387">
        <v>163.69999999999999</v>
      </c>
      <c r="CY387">
        <v>0</v>
      </c>
      <c r="CZ387">
        <v>0</v>
      </c>
      <c r="DA387">
        <v>0</v>
      </c>
      <c r="DB387">
        <v>0</v>
      </c>
      <c r="DC387">
        <v>0</v>
      </c>
      <c r="DD387">
        <v>0</v>
      </c>
      <c r="DE387">
        <v>0</v>
      </c>
      <c r="DI387">
        <v>0</v>
      </c>
      <c r="EC387">
        <v>0</v>
      </c>
      <c r="ED387">
        <v>0</v>
      </c>
      <c r="EE387">
        <v>0</v>
      </c>
      <c r="EF387">
        <v>0</v>
      </c>
      <c r="EG387">
        <v>0</v>
      </c>
      <c r="EH387">
        <v>0</v>
      </c>
      <c r="EI387">
        <v>0</v>
      </c>
      <c r="EJ387">
        <v>0</v>
      </c>
      <c r="EM387">
        <v>0</v>
      </c>
      <c r="EN387">
        <v>0</v>
      </c>
      <c r="EO387">
        <v>0</v>
      </c>
      <c r="EP387">
        <v>0</v>
      </c>
      <c r="EQ387">
        <v>0</v>
      </c>
      <c r="ER387">
        <v>0</v>
      </c>
      <c r="ES387">
        <v>0</v>
      </c>
      <c r="ET387">
        <v>0</v>
      </c>
      <c r="EW387">
        <v>0</v>
      </c>
      <c r="EX387">
        <v>0</v>
      </c>
      <c r="EY387">
        <v>0</v>
      </c>
      <c r="EZ387">
        <v>0</v>
      </c>
      <c r="FA387">
        <v>0</v>
      </c>
      <c r="FB387">
        <v>0</v>
      </c>
      <c r="FC387">
        <v>0</v>
      </c>
      <c r="FD387">
        <v>0</v>
      </c>
      <c r="FG387" t="e">
        <v>#N/A</v>
      </c>
      <c r="FI387" t="e">
        <v>#N/A</v>
      </c>
      <c r="FK387" t="e">
        <v>#N/A</v>
      </c>
      <c r="FM387" t="e">
        <v>#N/A</v>
      </c>
      <c r="FO387" t="e">
        <v>#N/A</v>
      </c>
      <c r="FQ387" t="e">
        <v>#N/A</v>
      </c>
      <c r="FS387" t="e">
        <v>#N/A</v>
      </c>
      <c r="FU387" t="e">
        <v>#N/A</v>
      </c>
      <c r="FW387" t="e">
        <v>#N/A</v>
      </c>
      <c r="FY387" t="e">
        <v>#N/A</v>
      </c>
      <c r="GA387" t="e">
        <v>#N/A</v>
      </c>
      <c r="GC387" t="e">
        <v>#N/A</v>
      </c>
      <c r="GE387" t="e">
        <v>#N/A</v>
      </c>
      <c r="GG387" t="e">
        <v>#N/A</v>
      </c>
      <c r="GI387" t="e">
        <v>#N/A</v>
      </c>
      <c r="GK387" t="e">
        <v>#N/A</v>
      </c>
      <c r="GM387" t="e">
        <v>#N/A</v>
      </c>
      <c r="GO387" t="e">
        <v>#N/A</v>
      </c>
      <c r="GQ387" t="e">
        <v>#N/A</v>
      </c>
      <c r="GS387" t="e">
        <v>#N/A</v>
      </c>
      <c r="GU387" t="e">
        <v>#N/A</v>
      </c>
      <c r="GW387" t="e">
        <v>#N/A</v>
      </c>
      <c r="GY387" t="e">
        <v>#N/A</v>
      </c>
      <c r="HA387" t="e">
        <v>#N/A</v>
      </c>
      <c r="HC387">
        <v>0</v>
      </c>
      <c r="HD387">
        <v>0</v>
      </c>
      <c r="HE387">
        <v>0</v>
      </c>
      <c r="HF387">
        <v>0</v>
      </c>
      <c r="HG387">
        <v>0</v>
      </c>
      <c r="HH387">
        <v>0</v>
      </c>
      <c r="HI387">
        <v>0</v>
      </c>
      <c r="HJ387">
        <v>0</v>
      </c>
      <c r="HM387">
        <v>0</v>
      </c>
      <c r="HN387">
        <v>0</v>
      </c>
      <c r="HO387">
        <v>0</v>
      </c>
      <c r="HP387">
        <v>0</v>
      </c>
      <c r="HQ387">
        <v>0</v>
      </c>
      <c r="HR387">
        <v>0</v>
      </c>
      <c r="HS387">
        <v>0</v>
      </c>
      <c r="HT387">
        <v>0</v>
      </c>
      <c r="HW387">
        <v>0</v>
      </c>
      <c r="HX387">
        <v>0</v>
      </c>
      <c r="HY387">
        <v>0</v>
      </c>
      <c r="HZ387">
        <v>0</v>
      </c>
      <c r="IA387">
        <v>3930.6</v>
      </c>
      <c r="IB387">
        <v>3632.9</v>
      </c>
      <c r="IC387">
        <v>3795.5</v>
      </c>
      <c r="ID387">
        <v>0</v>
      </c>
      <c r="IE387">
        <v>0</v>
      </c>
      <c r="IF387">
        <v>3548.5</v>
      </c>
      <c r="IG387">
        <v>3395.2</v>
      </c>
      <c r="IH387">
        <v>3395.4</v>
      </c>
      <c r="II387">
        <v>3302.3</v>
      </c>
      <c r="IJ387">
        <v>3172.8</v>
      </c>
      <c r="IK387">
        <v>0</v>
      </c>
      <c r="IL387">
        <v>0</v>
      </c>
      <c r="IM387">
        <v>0</v>
      </c>
      <c r="IN387">
        <v>0</v>
      </c>
      <c r="IO387">
        <v>123.4</v>
      </c>
      <c r="IP387">
        <v>405.2</v>
      </c>
      <c r="IQ387">
        <v>418.7</v>
      </c>
      <c r="IR387">
        <v>0</v>
      </c>
      <c r="IS387">
        <v>0</v>
      </c>
      <c r="IT387">
        <v>0</v>
      </c>
      <c r="IU387">
        <v>0</v>
      </c>
      <c r="IV387">
        <v>396</v>
      </c>
      <c r="IW387">
        <v>0</v>
      </c>
      <c r="IX387">
        <v>0</v>
      </c>
      <c r="IZ387">
        <v>0</v>
      </c>
      <c r="JA387">
        <v>65.5</v>
      </c>
      <c r="JB387">
        <v>443.5</v>
      </c>
      <c r="JC387">
        <v>0</v>
      </c>
      <c r="JD387">
        <v>0</v>
      </c>
      <c r="JE387">
        <v>0</v>
      </c>
      <c r="JF387">
        <v>0</v>
      </c>
      <c r="JG387">
        <v>0</v>
      </c>
      <c r="JH387">
        <v>0</v>
      </c>
      <c r="JI387">
        <v>0</v>
      </c>
      <c r="JJ387">
        <v>0</v>
      </c>
      <c r="JK387">
        <v>0</v>
      </c>
      <c r="JL387">
        <v>0</v>
      </c>
      <c r="JM387">
        <v>0</v>
      </c>
      <c r="JN387">
        <v>0</v>
      </c>
      <c r="JO387">
        <v>0</v>
      </c>
      <c r="JP387">
        <v>0</v>
      </c>
      <c r="JQ387">
        <v>0</v>
      </c>
      <c r="JR387">
        <v>0</v>
      </c>
      <c r="JS387">
        <v>0</v>
      </c>
      <c r="JT387">
        <v>0</v>
      </c>
      <c r="JU387">
        <v>0</v>
      </c>
      <c r="JV387">
        <v>0</v>
      </c>
      <c r="JW387">
        <v>0</v>
      </c>
      <c r="JX387">
        <v>0</v>
      </c>
      <c r="JY387">
        <v>0</v>
      </c>
      <c r="JZ387">
        <v>0</v>
      </c>
      <c r="KA387">
        <v>0</v>
      </c>
      <c r="KB387">
        <v>0</v>
      </c>
      <c r="KC387">
        <v>0</v>
      </c>
      <c r="KD387">
        <v>0</v>
      </c>
      <c r="KE387">
        <v>0</v>
      </c>
      <c r="KF387">
        <v>0</v>
      </c>
      <c r="KI387">
        <v>344.6</v>
      </c>
      <c r="KJ387">
        <v>350.8</v>
      </c>
      <c r="KK387">
        <v>22.1</v>
      </c>
      <c r="KL387">
        <v>379.3</v>
      </c>
      <c r="KM387">
        <v>241.4</v>
      </c>
      <c r="KN387">
        <v>0</v>
      </c>
      <c r="KO387">
        <v>0</v>
      </c>
      <c r="KP387">
        <v>57.3</v>
      </c>
      <c r="KQ387">
        <v>224.4</v>
      </c>
      <c r="KR387">
        <v>338.3</v>
      </c>
      <c r="KS387">
        <v>215.8</v>
      </c>
      <c r="KT387">
        <v>40.700000000000003</v>
      </c>
      <c r="KW387">
        <v>2154.5</v>
      </c>
      <c r="KX387">
        <v>1255.7</v>
      </c>
      <c r="KY387">
        <v>1630.1</v>
      </c>
      <c r="KZ387">
        <v>1246.9000000000001</v>
      </c>
      <c r="LB387">
        <v>78.099999999999994</v>
      </c>
      <c r="LC387">
        <v>77.7</v>
      </c>
    </row>
    <row r="388" spans="1:315" ht="18" thickBot="1">
      <c r="A388" s="245"/>
      <c r="B388" s="245"/>
      <c r="C388" s="230" t="s">
        <v>699</v>
      </c>
      <c r="D388" s="281"/>
      <c r="E388" s="443">
        <v>0</v>
      </c>
      <c r="F388" s="191">
        <v>0</v>
      </c>
      <c r="G388" s="427">
        <v>3413.8</v>
      </c>
      <c r="H388" s="155"/>
      <c r="I388">
        <v>735</v>
      </c>
      <c r="K388">
        <v>1973.1000000000001</v>
      </c>
      <c r="L388" s="4">
        <v>221.60000000000002</v>
      </c>
      <c r="M388" s="4">
        <v>54.9</v>
      </c>
      <c r="N388" s="4">
        <v>1989.7</v>
      </c>
      <c r="P388">
        <v>0</v>
      </c>
      <c r="Q388">
        <v>238.29999999999998</v>
      </c>
      <c r="R388">
        <v>0</v>
      </c>
      <c r="S388">
        <v>0</v>
      </c>
      <c r="T388">
        <v>368.5</v>
      </c>
      <c r="W388">
        <v>720.3</v>
      </c>
      <c r="X388">
        <v>1411.5</v>
      </c>
      <c r="Y388">
        <v>96.5</v>
      </c>
      <c r="AA388">
        <v>859.6</v>
      </c>
      <c r="AB388">
        <v>1577.6000000000001</v>
      </c>
      <c r="AE388">
        <v>1330</v>
      </c>
      <c r="AF388">
        <v>1025.5</v>
      </c>
      <c r="AH388">
        <v>509.9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1349.3</v>
      </c>
      <c r="AO388">
        <v>786.40000000000009</v>
      </c>
      <c r="AP388">
        <v>0</v>
      </c>
      <c r="AQ388">
        <v>68.3</v>
      </c>
      <c r="AR388">
        <v>234.9</v>
      </c>
      <c r="AS388">
        <v>600.40000000000009</v>
      </c>
      <c r="AU388">
        <v>985.69999999999993</v>
      </c>
      <c r="AW388">
        <v>792</v>
      </c>
      <c r="AX388">
        <v>1988.5</v>
      </c>
      <c r="AZ388">
        <v>763.5</v>
      </c>
      <c r="BA388">
        <v>0</v>
      </c>
      <c r="BB388">
        <v>0</v>
      </c>
      <c r="BC388">
        <v>1935.3</v>
      </c>
      <c r="BD388">
        <v>1006.5</v>
      </c>
      <c r="BE388">
        <v>0</v>
      </c>
      <c r="BF388">
        <v>0</v>
      </c>
      <c r="BG388">
        <v>0</v>
      </c>
      <c r="BH388">
        <v>1662.6</v>
      </c>
      <c r="BJ388">
        <v>0</v>
      </c>
      <c r="BK388">
        <v>0</v>
      </c>
      <c r="BL388">
        <v>1038.9000000000001</v>
      </c>
      <c r="BM388">
        <v>1101</v>
      </c>
      <c r="BO388">
        <v>1276.8000000000002</v>
      </c>
      <c r="BQ388">
        <v>0</v>
      </c>
      <c r="BR388">
        <v>270.7</v>
      </c>
      <c r="BS388">
        <v>230.5</v>
      </c>
      <c r="BT388">
        <v>472.3</v>
      </c>
      <c r="BU388">
        <v>537.29999999999995</v>
      </c>
      <c r="BV388">
        <v>346.3</v>
      </c>
      <c r="BW388">
        <v>386.2</v>
      </c>
      <c r="BX388">
        <v>767</v>
      </c>
      <c r="BY388">
        <v>757.2</v>
      </c>
      <c r="BZ388">
        <v>1037.2</v>
      </c>
      <c r="CA388">
        <v>1227.0999999999999</v>
      </c>
      <c r="CB388">
        <v>1232.0999999999999</v>
      </c>
      <c r="CC388">
        <v>1701.5</v>
      </c>
      <c r="CD388">
        <v>0</v>
      </c>
      <c r="CG388">
        <v>1385.3</v>
      </c>
      <c r="CJ388">
        <v>1630.2999999999997</v>
      </c>
      <c r="CM388">
        <v>1184.2</v>
      </c>
      <c r="CO388">
        <v>1248.0999999999999</v>
      </c>
      <c r="CQ388">
        <v>1435.3</v>
      </c>
      <c r="CR388">
        <v>798.2</v>
      </c>
      <c r="CS388">
        <v>923.8</v>
      </c>
      <c r="CT388">
        <v>0</v>
      </c>
      <c r="CU388">
        <v>0</v>
      </c>
      <c r="CV388">
        <v>0</v>
      </c>
      <c r="CW388">
        <v>0</v>
      </c>
      <c r="CX388">
        <v>163.69999999999999</v>
      </c>
      <c r="CY388">
        <v>0</v>
      </c>
      <c r="CZ388">
        <v>0</v>
      </c>
      <c r="DA388">
        <v>0</v>
      </c>
      <c r="DB388">
        <v>0</v>
      </c>
      <c r="DC388">
        <v>0</v>
      </c>
      <c r="DD388">
        <v>0</v>
      </c>
      <c r="DE388">
        <v>0</v>
      </c>
      <c r="DI388">
        <v>0</v>
      </c>
      <c r="EC388">
        <v>0</v>
      </c>
      <c r="ED388">
        <v>0</v>
      </c>
      <c r="EE388">
        <v>0</v>
      </c>
      <c r="EF388">
        <v>0</v>
      </c>
      <c r="EG388">
        <v>0</v>
      </c>
      <c r="EH388">
        <v>0</v>
      </c>
      <c r="EI388">
        <v>0</v>
      </c>
      <c r="EJ388">
        <v>0</v>
      </c>
      <c r="EM388">
        <v>0</v>
      </c>
      <c r="EN388">
        <v>0</v>
      </c>
      <c r="EO388">
        <v>0</v>
      </c>
      <c r="EP388">
        <v>0</v>
      </c>
      <c r="EQ388">
        <v>0</v>
      </c>
      <c r="ER388">
        <v>0</v>
      </c>
      <c r="ES388">
        <v>0</v>
      </c>
      <c r="ET388">
        <v>0</v>
      </c>
      <c r="EW388">
        <v>0</v>
      </c>
      <c r="EX388">
        <v>0</v>
      </c>
      <c r="EY388">
        <v>0</v>
      </c>
      <c r="EZ388">
        <v>0</v>
      </c>
      <c r="FA388">
        <v>0</v>
      </c>
      <c r="FB388">
        <v>0</v>
      </c>
      <c r="FC388">
        <v>0</v>
      </c>
      <c r="FD388">
        <v>0</v>
      </c>
      <c r="FG388" t="e">
        <v>#N/A</v>
      </c>
      <c r="FI388" t="e">
        <v>#N/A</v>
      </c>
      <c r="FK388" t="e">
        <v>#N/A</v>
      </c>
      <c r="FM388" t="e">
        <v>#N/A</v>
      </c>
      <c r="FO388" t="e">
        <v>#N/A</v>
      </c>
      <c r="FQ388" t="e">
        <v>#N/A</v>
      </c>
      <c r="FS388" t="e">
        <v>#N/A</v>
      </c>
      <c r="FU388" t="e">
        <v>#N/A</v>
      </c>
      <c r="FW388" t="e">
        <v>#N/A</v>
      </c>
      <c r="FY388" t="e">
        <v>#N/A</v>
      </c>
      <c r="GA388" t="e">
        <v>#N/A</v>
      </c>
      <c r="GC388" t="e">
        <v>#N/A</v>
      </c>
      <c r="GE388" t="e">
        <v>#N/A</v>
      </c>
      <c r="GG388" t="e">
        <v>#N/A</v>
      </c>
      <c r="GI388" t="e">
        <v>#N/A</v>
      </c>
      <c r="GK388" t="e">
        <v>#N/A</v>
      </c>
      <c r="GM388" t="e">
        <v>#N/A</v>
      </c>
      <c r="GO388" t="e">
        <v>#N/A</v>
      </c>
      <c r="GQ388" t="e">
        <v>#N/A</v>
      </c>
      <c r="GS388" t="e">
        <v>#N/A</v>
      </c>
      <c r="GU388" t="e">
        <v>#N/A</v>
      </c>
      <c r="GW388" t="e">
        <v>#N/A</v>
      </c>
      <c r="GY388" t="e">
        <v>#N/A</v>
      </c>
      <c r="HA388" t="e">
        <v>#N/A</v>
      </c>
      <c r="HC388">
        <v>0</v>
      </c>
      <c r="HD388">
        <v>0</v>
      </c>
      <c r="HE388">
        <v>0</v>
      </c>
      <c r="HF388">
        <v>0</v>
      </c>
      <c r="HG388">
        <v>0</v>
      </c>
      <c r="HH388">
        <v>0</v>
      </c>
      <c r="HI388">
        <v>0</v>
      </c>
      <c r="HJ388">
        <v>0</v>
      </c>
      <c r="HM388">
        <v>0</v>
      </c>
      <c r="HN388">
        <v>0</v>
      </c>
      <c r="HO388">
        <v>0</v>
      </c>
      <c r="HP388">
        <v>0</v>
      </c>
      <c r="HQ388">
        <v>0</v>
      </c>
      <c r="HR388">
        <v>0</v>
      </c>
      <c r="HS388">
        <v>0</v>
      </c>
      <c r="HT388">
        <v>0</v>
      </c>
      <c r="HW388">
        <v>0</v>
      </c>
      <c r="HX388">
        <v>0</v>
      </c>
      <c r="HY388">
        <v>0</v>
      </c>
      <c r="HZ388">
        <v>0</v>
      </c>
      <c r="IA388">
        <v>3930.6</v>
      </c>
      <c r="IB388">
        <v>3632.9</v>
      </c>
      <c r="IC388">
        <v>3795.5</v>
      </c>
      <c r="ID388">
        <v>0</v>
      </c>
      <c r="IE388">
        <v>0</v>
      </c>
      <c r="IF388">
        <v>3548.5</v>
      </c>
      <c r="IG388">
        <v>3395.2</v>
      </c>
      <c r="IH388">
        <v>3395.4</v>
      </c>
      <c r="II388">
        <v>3302.3</v>
      </c>
      <c r="IJ388">
        <v>3172.8</v>
      </c>
      <c r="IK388">
        <v>0</v>
      </c>
      <c r="IL388">
        <v>0</v>
      </c>
      <c r="IM388">
        <v>0</v>
      </c>
      <c r="IN388">
        <v>0</v>
      </c>
      <c r="IO388">
        <v>123.4</v>
      </c>
      <c r="IP388">
        <v>405.2</v>
      </c>
      <c r="IQ388">
        <v>418.7</v>
      </c>
      <c r="IR388">
        <v>0</v>
      </c>
      <c r="IS388">
        <v>0</v>
      </c>
      <c r="IT388">
        <v>0</v>
      </c>
      <c r="IU388">
        <v>0</v>
      </c>
      <c r="IV388">
        <v>396</v>
      </c>
      <c r="IW388">
        <v>0</v>
      </c>
      <c r="IX388">
        <v>0</v>
      </c>
      <c r="IZ388">
        <v>0</v>
      </c>
      <c r="JA388">
        <v>65.5</v>
      </c>
      <c r="JB388">
        <v>443.5</v>
      </c>
      <c r="JC388">
        <v>0</v>
      </c>
      <c r="JD388">
        <v>0</v>
      </c>
      <c r="JE388">
        <v>0</v>
      </c>
      <c r="JF388">
        <v>0</v>
      </c>
      <c r="JG388">
        <v>0</v>
      </c>
      <c r="JH388">
        <v>0</v>
      </c>
      <c r="JI388">
        <v>0</v>
      </c>
      <c r="JJ388">
        <v>0</v>
      </c>
      <c r="JK388">
        <v>0</v>
      </c>
      <c r="JL388">
        <v>0</v>
      </c>
      <c r="JM388">
        <v>0</v>
      </c>
      <c r="JN388">
        <v>0</v>
      </c>
      <c r="JO388">
        <v>0</v>
      </c>
      <c r="JP388">
        <v>0</v>
      </c>
      <c r="JQ388">
        <v>0</v>
      </c>
      <c r="JR388">
        <v>0</v>
      </c>
      <c r="JS388">
        <v>0</v>
      </c>
      <c r="JT388">
        <v>0</v>
      </c>
      <c r="JU388">
        <v>0</v>
      </c>
      <c r="JV388">
        <v>0</v>
      </c>
      <c r="JW388">
        <v>0</v>
      </c>
      <c r="JX388">
        <v>0</v>
      </c>
      <c r="JY388">
        <v>0</v>
      </c>
      <c r="JZ388">
        <v>0</v>
      </c>
      <c r="KA388">
        <v>0</v>
      </c>
      <c r="KB388">
        <v>0</v>
      </c>
      <c r="KC388">
        <v>0</v>
      </c>
      <c r="KD388">
        <v>0</v>
      </c>
      <c r="KE388">
        <v>0</v>
      </c>
      <c r="KF388">
        <v>0</v>
      </c>
      <c r="KI388">
        <v>344.6</v>
      </c>
      <c r="KJ388">
        <v>350.8</v>
      </c>
      <c r="KK388">
        <v>22.1</v>
      </c>
      <c r="KL388">
        <v>379.3</v>
      </c>
      <c r="KM388">
        <v>241.4</v>
      </c>
      <c r="KN388">
        <v>0</v>
      </c>
      <c r="KO388">
        <v>0</v>
      </c>
      <c r="KP388">
        <v>57.3</v>
      </c>
      <c r="KQ388">
        <v>224.4</v>
      </c>
      <c r="KR388">
        <v>338.3</v>
      </c>
      <c r="KS388">
        <v>215.8</v>
      </c>
      <c r="KT388">
        <v>40.700000000000003</v>
      </c>
      <c r="KW388">
        <v>2154.5</v>
      </c>
      <c r="KX388">
        <v>1255.7</v>
      </c>
      <c r="KY388">
        <v>1630.1</v>
      </c>
      <c r="KZ388">
        <v>1246.9000000000001</v>
      </c>
      <c r="LB388">
        <v>78.099999999999994</v>
      </c>
      <c r="LC388">
        <v>77.7</v>
      </c>
    </row>
    <row r="389" spans="1:315" ht="18" thickBot="1">
      <c r="A389" s="245"/>
      <c r="B389" s="245"/>
      <c r="C389" s="230" t="s">
        <v>700</v>
      </c>
      <c r="D389" s="281"/>
      <c r="E389" s="443">
        <v>0</v>
      </c>
      <c r="F389" s="191">
        <v>0</v>
      </c>
      <c r="G389" s="427">
        <v>3413.8</v>
      </c>
      <c r="H389" s="155"/>
      <c r="I389">
        <v>735</v>
      </c>
      <c r="K389">
        <v>1973.1000000000001</v>
      </c>
      <c r="L389" s="4">
        <v>221.60000000000002</v>
      </c>
      <c r="M389" s="4">
        <v>54.9</v>
      </c>
      <c r="N389" s="4">
        <v>1989.7</v>
      </c>
      <c r="P389">
        <v>0</v>
      </c>
      <c r="Q389">
        <v>238.29999999999998</v>
      </c>
      <c r="R389">
        <v>0</v>
      </c>
      <c r="S389">
        <v>0</v>
      </c>
      <c r="T389">
        <v>368.5</v>
      </c>
      <c r="W389">
        <v>720.3</v>
      </c>
      <c r="X389">
        <v>1411.5</v>
      </c>
      <c r="Y389">
        <v>96.5</v>
      </c>
      <c r="AA389">
        <v>859.6</v>
      </c>
      <c r="AB389">
        <v>1577.6000000000001</v>
      </c>
      <c r="AE389">
        <v>1330</v>
      </c>
      <c r="AF389">
        <v>1025.5</v>
      </c>
      <c r="AH389">
        <v>509.9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1349.3</v>
      </c>
      <c r="AO389">
        <v>786.40000000000009</v>
      </c>
      <c r="AP389">
        <v>0</v>
      </c>
      <c r="AQ389">
        <v>68.3</v>
      </c>
      <c r="AR389">
        <v>234.9</v>
      </c>
      <c r="AS389">
        <v>600.40000000000009</v>
      </c>
      <c r="AU389">
        <v>985.69999999999993</v>
      </c>
      <c r="AW389">
        <v>792</v>
      </c>
      <c r="AX389">
        <v>1988.5</v>
      </c>
      <c r="AZ389">
        <v>763.5</v>
      </c>
      <c r="BA389">
        <v>0</v>
      </c>
      <c r="BB389">
        <v>0</v>
      </c>
      <c r="BC389">
        <v>1935.3</v>
      </c>
      <c r="BD389">
        <v>1006.5</v>
      </c>
      <c r="BE389">
        <v>0</v>
      </c>
      <c r="BF389">
        <v>0</v>
      </c>
      <c r="BG389">
        <v>0</v>
      </c>
      <c r="BH389">
        <v>1662.6</v>
      </c>
      <c r="BJ389">
        <v>0</v>
      </c>
      <c r="BK389">
        <v>0</v>
      </c>
      <c r="BL389">
        <v>1038.9000000000001</v>
      </c>
      <c r="BM389">
        <v>1101</v>
      </c>
      <c r="BO389">
        <v>1276.8000000000002</v>
      </c>
      <c r="BQ389">
        <v>0</v>
      </c>
      <c r="BR389">
        <v>270.7</v>
      </c>
      <c r="BS389">
        <v>230.5</v>
      </c>
      <c r="BT389">
        <v>472.3</v>
      </c>
      <c r="BU389">
        <v>537.29999999999995</v>
      </c>
      <c r="BV389">
        <v>346.3</v>
      </c>
      <c r="BW389">
        <v>386.2</v>
      </c>
      <c r="BX389">
        <v>767</v>
      </c>
      <c r="BY389">
        <v>757.2</v>
      </c>
      <c r="BZ389">
        <v>1037.2</v>
      </c>
      <c r="CA389">
        <v>1227.0999999999999</v>
      </c>
      <c r="CB389">
        <v>1232.0999999999999</v>
      </c>
      <c r="CC389">
        <v>1701.5</v>
      </c>
      <c r="CD389">
        <v>0</v>
      </c>
      <c r="CG389">
        <v>1385.3</v>
      </c>
      <c r="CJ389">
        <v>1630.2999999999997</v>
      </c>
      <c r="CM389">
        <v>1184.2</v>
      </c>
      <c r="CO389">
        <v>1248.0999999999999</v>
      </c>
      <c r="CQ389">
        <v>1435.3</v>
      </c>
      <c r="CR389">
        <v>798.2</v>
      </c>
      <c r="CS389">
        <v>923.8</v>
      </c>
      <c r="CT389">
        <v>0</v>
      </c>
      <c r="CU389">
        <v>0</v>
      </c>
      <c r="CV389">
        <v>0</v>
      </c>
      <c r="CW389">
        <v>0</v>
      </c>
      <c r="CX389">
        <v>163.69999999999999</v>
      </c>
      <c r="CY389">
        <v>0</v>
      </c>
      <c r="CZ389">
        <v>0</v>
      </c>
      <c r="DA389">
        <v>0</v>
      </c>
      <c r="DB389">
        <v>0</v>
      </c>
      <c r="DC389">
        <v>0</v>
      </c>
      <c r="DD389">
        <v>0</v>
      </c>
      <c r="DE389">
        <v>0</v>
      </c>
      <c r="DI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  <c r="FD389">
        <v>0</v>
      </c>
      <c r="FG389" t="e">
        <v>#N/A</v>
      </c>
      <c r="FI389" t="e">
        <v>#N/A</v>
      </c>
      <c r="FK389" t="e">
        <v>#N/A</v>
      </c>
      <c r="FM389" t="e">
        <v>#N/A</v>
      </c>
      <c r="FO389" t="e">
        <v>#N/A</v>
      </c>
      <c r="FQ389" t="e">
        <v>#N/A</v>
      </c>
      <c r="FS389" t="e">
        <v>#N/A</v>
      </c>
      <c r="FU389" t="e">
        <v>#N/A</v>
      </c>
      <c r="FW389" t="e">
        <v>#N/A</v>
      </c>
      <c r="FY389" t="e">
        <v>#N/A</v>
      </c>
      <c r="GA389" t="e">
        <v>#N/A</v>
      </c>
      <c r="GC389" t="e">
        <v>#N/A</v>
      </c>
      <c r="GE389" t="e">
        <v>#N/A</v>
      </c>
      <c r="GG389" t="e">
        <v>#N/A</v>
      </c>
      <c r="GI389" t="e">
        <v>#N/A</v>
      </c>
      <c r="GK389" t="e">
        <v>#N/A</v>
      </c>
      <c r="GM389" t="e">
        <v>#N/A</v>
      </c>
      <c r="GO389" t="e">
        <v>#N/A</v>
      </c>
      <c r="GQ389" t="e">
        <v>#N/A</v>
      </c>
      <c r="GS389" t="e">
        <v>#N/A</v>
      </c>
      <c r="GU389" t="e">
        <v>#N/A</v>
      </c>
      <c r="GW389" t="e">
        <v>#N/A</v>
      </c>
      <c r="GY389" t="e">
        <v>#N/A</v>
      </c>
      <c r="HA389" t="e">
        <v>#N/A</v>
      </c>
      <c r="HC389">
        <v>0</v>
      </c>
      <c r="HD389">
        <v>0</v>
      </c>
      <c r="HE389">
        <v>0</v>
      </c>
      <c r="HF389">
        <v>0</v>
      </c>
      <c r="HG389">
        <v>0</v>
      </c>
      <c r="HH389">
        <v>0</v>
      </c>
      <c r="HI389">
        <v>0</v>
      </c>
      <c r="HJ389">
        <v>0</v>
      </c>
      <c r="HM389">
        <v>0</v>
      </c>
      <c r="HN389">
        <v>0</v>
      </c>
      <c r="HO389">
        <v>0</v>
      </c>
      <c r="HP389">
        <v>0</v>
      </c>
      <c r="HQ389">
        <v>0</v>
      </c>
      <c r="HR389">
        <v>0</v>
      </c>
      <c r="HS389">
        <v>0</v>
      </c>
      <c r="HT389">
        <v>0</v>
      </c>
      <c r="HW389">
        <v>0</v>
      </c>
      <c r="HX389">
        <v>0</v>
      </c>
      <c r="HY389">
        <v>0</v>
      </c>
      <c r="HZ389">
        <v>0</v>
      </c>
      <c r="IA389">
        <v>3930.6</v>
      </c>
      <c r="IB389">
        <v>3632.9</v>
      </c>
      <c r="IC389">
        <v>3795.5</v>
      </c>
      <c r="ID389">
        <v>0</v>
      </c>
      <c r="IE389">
        <v>0</v>
      </c>
      <c r="IF389">
        <v>3548.5</v>
      </c>
      <c r="IG389">
        <v>3395.2</v>
      </c>
      <c r="IH389">
        <v>3395.4</v>
      </c>
      <c r="II389">
        <v>3302.3</v>
      </c>
      <c r="IJ389">
        <v>3172.8</v>
      </c>
      <c r="IK389">
        <v>0</v>
      </c>
      <c r="IL389">
        <v>0</v>
      </c>
      <c r="IM389">
        <v>0</v>
      </c>
      <c r="IN389">
        <v>0</v>
      </c>
      <c r="IO389">
        <v>123.4</v>
      </c>
      <c r="IP389">
        <v>405.2</v>
      </c>
      <c r="IQ389">
        <v>418.7</v>
      </c>
      <c r="IR389">
        <v>0</v>
      </c>
      <c r="IS389">
        <v>0</v>
      </c>
      <c r="IT389">
        <v>0</v>
      </c>
      <c r="IU389">
        <v>0</v>
      </c>
      <c r="IV389">
        <v>396</v>
      </c>
      <c r="IW389">
        <v>0</v>
      </c>
      <c r="IX389">
        <v>0</v>
      </c>
      <c r="IZ389">
        <v>0</v>
      </c>
      <c r="JA389">
        <v>65.5</v>
      </c>
      <c r="JB389">
        <v>443.5</v>
      </c>
      <c r="JC389">
        <v>0</v>
      </c>
      <c r="JD389">
        <v>0</v>
      </c>
      <c r="JE389">
        <v>0</v>
      </c>
      <c r="JF389">
        <v>0</v>
      </c>
      <c r="JG389">
        <v>0</v>
      </c>
      <c r="JH389">
        <v>0</v>
      </c>
      <c r="JI389">
        <v>0</v>
      </c>
      <c r="JJ389">
        <v>0</v>
      </c>
      <c r="JK389">
        <v>0</v>
      </c>
      <c r="JL389">
        <v>0</v>
      </c>
      <c r="JM389">
        <v>0</v>
      </c>
      <c r="JN389">
        <v>0</v>
      </c>
      <c r="JO389">
        <v>0</v>
      </c>
      <c r="JP389">
        <v>0</v>
      </c>
      <c r="JQ389">
        <v>0</v>
      </c>
      <c r="JR389">
        <v>0</v>
      </c>
      <c r="JS389">
        <v>0</v>
      </c>
      <c r="JT389">
        <v>0</v>
      </c>
      <c r="JU389">
        <v>0</v>
      </c>
      <c r="JV389">
        <v>0</v>
      </c>
      <c r="JW389">
        <v>0</v>
      </c>
      <c r="JX389">
        <v>0</v>
      </c>
      <c r="JY389">
        <v>0</v>
      </c>
      <c r="JZ389">
        <v>0</v>
      </c>
      <c r="KA389">
        <v>0</v>
      </c>
      <c r="KB389">
        <v>0</v>
      </c>
      <c r="KC389">
        <v>0</v>
      </c>
      <c r="KD389">
        <v>0</v>
      </c>
      <c r="KE389">
        <v>0</v>
      </c>
      <c r="KF389">
        <v>0</v>
      </c>
      <c r="KI389">
        <v>344.6</v>
      </c>
      <c r="KJ389">
        <v>350.8</v>
      </c>
      <c r="KK389">
        <v>22.1</v>
      </c>
      <c r="KL389">
        <v>379.3</v>
      </c>
      <c r="KM389">
        <v>241.4</v>
      </c>
      <c r="KN389">
        <v>0</v>
      </c>
      <c r="KO389">
        <v>0</v>
      </c>
      <c r="KP389">
        <v>57.3</v>
      </c>
      <c r="KQ389">
        <v>224.4</v>
      </c>
      <c r="KR389">
        <v>338.3</v>
      </c>
      <c r="KS389">
        <v>215.8</v>
      </c>
      <c r="KT389">
        <v>40.700000000000003</v>
      </c>
      <c r="KW389">
        <v>2154.5</v>
      </c>
      <c r="KX389">
        <v>1255.7</v>
      </c>
      <c r="KY389">
        <v>1630.1</v>
      </c>
      <c r="KZ389">
        <v>1246.9000000000001</v>
      </c>
      <c r="LB389">
        <v>78.099999999999994</v>
      </c>
      <c r="LC389">
        <v>77.7</v>
      </c>
    </row>
    <row r="390" spans="1:315" ht="18" thickBot="1">
      <c r="A390" s="245"/>
      <c r="B390" s="245"/>
      <c r="C390" s="332"/>
      <c r="D390" s="286"/>
      <c r="E390" s="449">
        <v>0</v>
      </c>
      <c r="F390" s="209">
        <v>0</v>
      </c>
      <c r="G390" s="427">
        <v>3413.8</v>
      </c>
      <c r="H390" s="155"/>
      <c r="I390">
        <v>735</v>
      </c>
      <c r="K390">
        <v>1973.1000000000001</v>
      </c>
      <c r="L390" s="4">
        <v>221.60000000000002</v>
      </c>
      <c r="M390" s="4">
        <v>54.9</v>
      </c>
      <c r="N390" s="4">
        <v>1989.7</v>
      </c>
      <c r="P390">
        <v>0</v>
      </c>
      <c r="Q390">
        <v>238.29999999999998</v>
      </c>
      <c r="R390">
        <v>0</v>
      </c>
      <c r="S390">
        <v>0</v>
      </c>
      <c r="T390">
        <v>368.5</v>
      </c>
      <c r="W390">
        <v>720.3</v>
      </c>
      <c r="X390">
        <v>1411.5</v>
      </c>
      <c r="Y390">
        <v>96.5</v>
      </c>
      <c r="AA390">
        <v>859.6</v>
      </c>
      <c r="AB390">
        <v>1577.6000000000001</v>
      </c>
      <c r="AE390">
        <v>1330</v>
      </c>
      <c r="AF390">
        <v>1025.5</v>
      </c>
      <c r="AH390">
        <v>509.9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1349.3</v>
      </c>
      <c r="AO390">
        <v>786.40000000000009</v>
      </c>
      <c r="AP390">
        <v>0</v>
      </c>
      <c r="AQ390">
        <v>68.3</v>
      </c>
      <c r="AR390">
        <v>234.9</v>
      </c>
      <c r="AS390">
        <v>600.40000000000009</v>
      </c>
      <c r="AU390">
        <v>985.69999999999993</v>
      </c>
      <c r="AW390">
        <v>792</v>
      </c>
      <c r="AX390">
        <v>1988.5</v>
      </c>
      <c r="AZ390">
        <v>763.5</v>
      </c>
      <c r="BA390">
        <v>0</v>
      </c>
      <c r="BB390">
        <v>0</v>
      </c>
      <c r="BC390">
        <v>1935.3</v>
      </c>
      <c r="BD390">
        <v>1006.5</v>
      </c>
      <c r="BE390">
        <v>0</v>
      </c>
      <c r="BF390">
        <v>0</v>
      </c>
      <c r="BG390">
        <v>0</v>
      </c>
      <c r="BH390">
        <v>1662.6</v>
      </c>
      <c r="BJ390">
        <v>0</v>
      </c>
      <c r="BK390">
        <v>0</v>
      </c>
      <c r="BL390">
        <v>1038.9000000000001</v>
      </c>
      <c r="BM390">
        <v>1101</v>
      </c>
      <c r="BO390">
        <v>1276.8000000000002</v>
      </c>
      <c r="BQ390">
        <v>0</v>
      </c>
      <c r="BR390">
        <v>270.7</v>
      </c>
      <c r="BS390">
        <v>230.5</v>
      </c>
      <c r="BT390">
        <v>472.3</v>
      </c>
      <c r="BU390">
        <v>537.29999999999995</v>
      </c>
      <c r="BV390">
        <v>346.3</v>
      </c>
      <c r="BW390">
        <v>386.2</v>
      </c>
      <c r="BX390">
        <v>767</v>
      </c>
      <c r="BY390">
        <v>757.2</v>
      </c>
      <c r="BZ390">
        <v>1037.2</v>
      </c>
      <c r="CA390">
        <v>1227.0999999999999</v>
      </c>
      <c r="CB390">
        <v>1232.0999999999999</v>
      </c>
      <c r="CC390">
        <v>1701.5</v>
      </c>
      <c r="CD390">
        <v>0</v>
      </c>
      <c r="CG390">
        <v>1385.3</v>
      </c>
      <c r="CJ390">
        <v>1630.2999999999997</v>
      </c>
      <c r="CM390">
        <v>1184.2</v>
      </c>
      <c r="CO390">
        <v>1248.0999999999999</v>
      </c>
      <c r="CQ390">
        <v>1435.3</v>
      </c>
      <c r="CR390">
        <v>798.2</v>
      </c>
      <c r="CS390">
        <v>923.8</v>
      </c>
      <c r="CT390">
        <v>0</v>
      </c>
      <c r="CU390">
        <v>0</v>
      </c>
      <c r="CV390">
        <v>0</v>
      </c>
      <c r="CW390">
        <v>0</v>
      </c>
      <c r="CX390">
        <v>163.69999999999999</v>
      </c>
      <c r="CY390">
        <v>0</v>
      </c>
      <c r="CZ390">
        <v>0</v>
      </c>
      <c r="DA390">
        <v>0</v>
      </c>
      <c r="DB390">
        <v>0</v>
      </c>
      <c r="DC390">
        <v>0</v>
      </c>
      <c r="DD390">
        <v>0</v>
      </c>
      <c r="DE390">
        <v>0</v>
      </c>
      <c r="DI390">
        <v>0</v>
      </c>
      <c r="EC390">
        <v>0</v>
      </c>
      <c r="ED390">
        <v>0</v>
      </c>
      <c r="EE390">
        <v>0</v>
      </c>
      <c r="EF390">
        <v>0</v>
      </c>
      <c r="EG390">
        <v>0</v>
      </c>
      <c r="EH390">
        <v>0</v>
      </c>
      <c r="EI390">
        <v>0</v>
      </c>
      <c r="EJ390">
        <v>0</v>
      </c>
      <c r="EM390">
        <v>0</v>
      </c>
      <c r="EN390">
        <v>0</v>
      </c>
      <c r="EO390">
        <v>0</v>
      </c>
      <c r="EP390">
        <v>0</v>
      </c>
      <c r="EQ390">
        <v>0</v>
      </c>
      <c r="ER390">
        <v>0</v>
      </c>
      <c r="ES390">
        <v>0</v>
      </c>
      <c r="ET390">
        <v>0</v>
      </c>
      <c r="EW390">
        <v>0</v>
      </c>
      <c r="EX390">
        <v>0</v>
      </c>
      <c r="EY390">
        <v>0</v>
      </c>
      <c r="EZ390">
        <v>0</v>
      </c>
      <c r="FA390">
        <v>0</v>
      </c>
      <c r="FB390">
        <v>0</v>
      </c>
      <c r="FC390">
        <v>0</v>
      </c>
      <c r="FD390">
        <v>0</v>
      </c>
      <c r="FG390" t="e">
        <v>#N/A</v>
      </c>
      <c r="FI390" t="e">
        <v>#N/A</v>
      </c>
      <c r="FK390" t="e">
        <v>#N/A</v>
      </c>
      <c r="FM390" t="e">
        <v>#N/A</v>
      </c>
      <c r="FO390" t="e">
        <v>#N/A</v>
      </c>
      <c r="FQ390" t="e">
        <v>#N/A</v>
      </c>
      <c r="FS390" t="e">
        <v>#N/A</v>
      </c>
      <c r="FU390" t="e">
        <v>#N/A</v>
      </c>
      <c r="FW390" t="e">
        <v>#N/A</v>
      </c>
      <c r="FY390" t="e">
        <v>#N/A</v>
      </c>
      <c r="GA390" t="e">
        <v>#N/A</v>
      </c>
      <c r="GC390" t="e">
        <v>#N/A</v>
      </c>
      <c r="GE390" t="e">
        <v>#N/A</v>
      </c>
      <c r="GG390" t="e">
        <v>#N/A</v>
      </c>
      <c r="GI390" t="e">
        <v>#N/A</v>
      </c>
      <c r="GK390" t="e">
        <v>#N/A</v>
      </c>
      <c r="GM390" t="e">
        <v>#N/A</v>
      </c>
      <c r="GO390" t="e">
        <v>#N/A</v>
      </c>
      <c r="GQ390" t="e">
        <v>#N/A</v>
      </c>
      <c r="GS390" t="e">
        <v>#N/A</v>
      </c>
      <c r="GU390" t="e">
        <v>#N/A</v>
      </c>
      <c r="GW390" t="e">
        <v>#N/A</v>
      </c>
      <c r="GY390" t="e">
        <v>#N/A</v>
      </c>
      <c r="HA390" t="e">
        <v>#N/A</v>
      </c>
      <c r="HC390">
        <v>0</v>
      </c>
      <c r="HD390">
        <v>0</v>
      </c>
      <c r="HE390">
        <v>0</v>
      </c>
      <c r="HF390">
        <v>0</v>
      </c>
      <c r="HG390">
        <v>0</v>
      </c>
      <c r="HH390">
        <v>0</v>
      </c>
      <c r="HI390">
        <v>0</v>
      </c>
      <c r="HJ390">
        <v>0</v>
      </c>
      <c r="HM390">
        <v>0</v>
      </c>
      <c r="HN390">
        <v>0</v>
      </c>
      <c r="HO390">
        <v>0</v>
      </c>
      <c r="HP390">
        <v>0</v>
      </c>
      <c r="HQ390">
        <v>0</v>
      </c>
      <c r="HR390">
        <v>0</v>
      </c>
      <c r="HS390">
        <v>0</v>
      </c>
      <c r="HT390">
        <v>0</v>
      </c>
      <c r="HW390">
        <v>0</v>
      </c>
      <c r="HX390">
        <v>0</v>
      </c>
      <c r="HY390">
        <v>0</v>
      </c>
      <c r="HZ390">
        <v>0</v>
      </c>
      <c r="IA390">
        <v>3930.6</v>
      </c>
      <c r="IB390">
        <v>3632.9</v>
      </c>
      <c r="IC390">
        <v>3795.5</v>
      </c>
      <c r="ID390">
        <v>0</v>
      </c>
      <c r="IE390">
        <v>0</v>
      </c>
      <c r="IF390">
        <v>3548.5</v>
      </c>
      <c r="IG390">
        <v>3395.2</v>
      </c>
      <c r="IH390">
        <v>3395.4</v>
      </c>
      <c r="II390">
        <v>3302.3</v>
      </c>
      <c r="IJ390">
        <v>3172.8</v>
      </c>
      <c r="IK390">
        <v>0</v>
      </c>
      <c r="IL390">
        <v>0</v>
      </c>
      <c r="IM390">
        <v>0</v>
      </c>
      <c r="IN390">
        <v>0</v>
      </c>
      <c r="IO390">
        <v>123.4</v>
      </c>
      <c r="IP390">
        <v>405.2</v>
      </c>
      <c r="IQ390">
        <v>418.7</v>
      </c>
      <c r="IR390">
        <v>0</v>
      </c>
      <c r="IS390">
        <v>0</v>
      </c>
      <c r="IT390">
        <v>0</v>
      </c>
      <c r="IU390">
        <v>0</v>
      </c>
      <c r="IV390">
        <v>396</v>
      </c>
      <c r="IW390">
        <v>0</v>
      </c>
      <c r="IX390">
        <v>0</v>
      </c>
      <c r="IZ390">
        <v>0</v>
      </c>
      <c r="JA390">
        <v>65.5</v>
      </c>
      <c r="JB390">
        <v>443.5</v>
      </c>
      <c r="JC390">
        <v>0</v>
      </c>
      <c r="JD390">
        <v>0</v>
      </c>
      <c r="JE390">
        <v>0</v>
      </c>
      <c r="JF390">
        <v>0</v>
      </c>
      <c r="JG390">
        <v>0</v>
      </c>
      <c r="JH390">
        <v>0</v>
      </c>
      <c r="JI390">
        <v>0</v>
      </c>
      <c r="JJ390">
        <v>0</v>
      </c>
      <c r="JK390">
        <v>0</v>
      </c>
      <c r="JL390">
        <v>0</v>
      </c>
      <c r="JM390">
        <v>0</v>
      </c>
      <c r="JN390">
        <v>0</v>
      </c>
      <c r="JO390">
        <v>0</v>
      </c>
      <c r="JP390">
        <v>0</v>
      </c>
      <c r="JQ390">
        <v>0</v>
      </c>
      <c r="JR390">
        <v>0</v>
      </c>
      <c r="JS390">
        <v>0</v>
      </c>
      <c r="JT390">
        <v>0</v>
      </c>
      <c r="JU390">
        <v>0</v>
      </c>
      <c r="JV390">
        <v>0</v>
      </c>
      <c r="JW390">
        <v>0</v>
      </c>
      <c r="JX390">
        <v>0</v>
      </c>
      <c r="JY390">
        <v>0</v>
      </c>
      <c r="JZ390">
        <v>0</v>
      </c>
      <c r="KA390">
        <v>0</v>
      </c>
      <c r="KB390">
        <v>0</v>
      </c>
      <c r="KC390">
        <v>0</v>
      </c>
      <c r="KD390">
        <v>0</v>
      </c>
      <c r="KE390">
        <v>0</v>
      </c>
      <c r="KF390">
        <v>0</v>
      </c>
      <c r="KI390">
        <v>344.6</v>
      </c>
      <c r="KJ390">
        <v>350.8</v>
      </c>
      <c r="KK390">
        <v>22.1</v>
      </c>
      <c r="KL390">
        <v>379.3</v>
      </c>
      <c r="KM390">
        <v>241.4</v>
      </c>
      <c r="KN390">
        <v>0</v>
      </c>
      <c r="KO390">
        <v>0</v>
      </c>
      <c r="KP390">
        <v>57.3</v>
      </c>
      <c r="KQ390">
        <v>224.4</v>
      </c>
      <c r="KR390">
        <v>338.3</v>
      </c>
      <c r="KS390">
        <v>215.8</v>
      </c>
      <c r="KT390">
        <v>40.700000000000003</v>
      </c>
      <c r="KW390">
        <v>2154.5</v>
      </c>
      <c r="KX390">
        <v>1255.7</v>
      </c>
      <c r="KY390">
        <v>1630.1</v>
      </c>
      <c r="KZ390">
        <v>1246.9000000000001</v>
      </c>
      <c r="LB390">
        <v>78.099999999999994</v>
      </c>
      <c r="LC390">
        <v>77.7</v>
      </c>
    </row>
    <row r="391" spans="1:315" ht="18" thickBot="1">
      <c r="A391" s="246"/>
      <c r="B391" s="246"/>
      <c r="C391" s="340"/>
      <c r="D391" s="307"/>
      <c r="E391" s="453">
        <v>0</v>
      </c>
      <c r="F391" s="212">
        <v>0</v>
      </c>
      <c r="G391" s="427">
        <v>3413.8</v>
      </c>
      <c r="H391" s="155"/>
      <c r="I391">
        <v>735</v>
      </c>
      <c r="K391">
        <v>1973.1000000000001</v>
      </c>
      <c r="L391" s="4">
        <v>221.60000000000002</v>
      </c>
      <c r="M391" s="4">
        <v>54.9</v>
      </c>
      <c r="N391" s="4">
        <v>1989.7</v>
      </c>
      <c r="P391">
        <v>0</v>
      </c>
      <c r="Q391">
        <v>238.29999999999998</v>
      </c>
      <c r="R391">
        <v>0</v>
      </c>
      <c r="S391">
        <v>0</v>
      </c>
      <c r="T391">
        <v>368.5</v>
      </c>
      <c r="W391">
        <v>720.3</v>
      </c>
      <c r="X391">
        <v>1411.5</v>
      </c>
      <c r="Y391">
        <v>96.5</v>
      </c>
      <c r="AA391">
        <v>859.6</v>
      </c>
      <c r="AB391">
        <v>1577.6000000000001</v>
      </c>
      <c r="AE391">
        <v>1330</v>
      </c>
      <c r="AF391">
        <v>1025.5</v>
      </c>
      <c r="AH391">
        <v>509.9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1349.3</v>
      </c>
      <c r="AO391">
        <v>786.40000000000009</v>
      </c>
      <c r="AP391">
        <v>0</v>
      </c>
      <c r="AQ391">
        <v>68.3</v>
      </c>
      <c r="AR391">
        <v>234.9</v>
      </c>
      <c r="AS391">
        <v>600.40000000000009</v>
      </c>
      <c r="AU391">
        <v>985.69999999999993</v>
      </c>
      <c r="AW391">
        <v>792</v>
      </c>
      <c r="AX391">
        <v>1988.5</v>
      </c>
      <c r="AZ391">
        <v>763.5</v>
      </c>
      <c r="BA391">
        <v>0</v>
      </c>
      <c r="BB391">
        <v>0</v>
      </c>
      <c r="BC391">
        <v>1935.3</v>
      </c>
      <c r="BD391">
        <v>1006.5</v>
      </c>
      <c r="BE391">
        <v>0</v>
      </c>
      <c r="BF391">
        <v>0</v>
      </c>
      <c r="BG391">
        <v>0</v>
      </c>
      <c r="BH391">
        <v>1662.6</v>
      </c>
      <c r="BJ391">
        <v>0</v>
      </c>
      <c r="BK391">
        <v>0</v>
      </c>
      <c r="BL391">
        <v>1038.9000000000001</v>
      </c>
      <c r="BM391">
        <v>1101</v>
      </c>
      <c r="BO391">
        <v>1276.8000000000002</v>
      </c>
      <c r="BQ391">
        <v>0</v>
      </c>
      <c r="BR391">
        <v>270.7</v>
      </c>
      <c r="BS391">
        <v>230.5</v>
      </c>
      <c r="BT391">
        <v>472.3</v>
      </c>
      <c r="BU391">
        <v>537.29999999999995</v>
      </c>
      <c r="BV391">
        <v>346.3</v>
      </c>
      <c r="BW391">
        <v>386.2</v>
      </c>
      <c r="BX391">
        <v>767</v>
      </c>
      <c r="BY391">
        <v>757.2</v>
      </c>
      <c r="BZ391">
        <v>1037.2</v>
      </c>
      <c r="CA391">
        <v>1227.0999999999999</v>
      </c>
      <c r="CB391">
        <v>1232.0999999999999</v>
      </c>
      <c r="CC391">
        <v>1701.5</v>
      </c>
      <c r="CD391">
        <v>0</v>
      </c>
      <c r="CG391">
        <v>1385.3</v>
      </c>
      <c r="CJ391">
        <v>1630.2999999999997</v>
      </c>
      <c r="CM391">
        <v>1184.2</v>
      </c>
      <c r="CO391">
        <v>1248.0999999999999</v>
      </c>
      <c r="CQ391">
        <v>1435.3</v>
      </c>
      <c r="CR391">
        <v>798.2</v>
      </c>
      <c r="CS391">
        <v>923.8</v>
      </c>
      <c r="CT391">
        <v>0</v>
      </c>
      <c r="CU391">
        <v>0</v>
      </c>
      <c r="CV391">
        <v>0</v>
      </c>
      <c r="CW391">
        <v>0</v>
      </c>
      <c r="CX391">
        <v>163.69999999999999</v>
      </c>
      <c r="CY391">
        <v>0</v>
      </c>
      <c r="CZ391">
        <v>0</v>
      </c>
      <c r="DA391">
        <v>0</v>
      </c>
      <c r="DB391">
        <v>0</v>
      </c>
      <c r="DC391">
        <v>0</v>
      </c>
      <c r="DD391">
        <v>0</v>
      </c>
      <c r="DE391">
        <v>0</v>
      </c>
      <c r="DI391">
        <v>0</v>
      </c>
      <c r="EC391">
        <v>0</v>
      </c>
      <c r="ED391">
        <v>0</v>
      </c>
      <c r="EE391">
        <v>0</v>
      </c>
      <c r="EF391">
        <v>0</v>
      </c>
      <c r="EG391">
        <v>0</v>
      </c>
      <c r="EH391">
        <v>0</v>
      </c>
      <c r="EI391">
        <v>0</v>
      </c>
      <c r="EJ391">
        <v>0</v>
      </c>
      <c r="EM391">
        <v>0</v>
      </c>
      <c r="EN391">
        <v>0</v>
      </c>
      <c r="EO391">
        <v>0</v>
      </c>
      <c r="EP391">
        <v>0</v>
      </c>
      <c r="EQ391">
        <v>0</v>
      </c>
      <c r="ER391">
        <v>0</v>
      </c>
      <c r="ES391">
        <v>0</v>
      </c>
      <c r="ET391">
        <v>0</v>
      </c>
      <c r="EW391">
        <v>0</v>
      </c>
      <c r="EX391">
        <v>0</v>
      </c>
      <c r="EY391">
        <v>0</v>
      </c>
      <c r="EZ391">
        <v>0</v>
      </c>
      <c r="FA391">
        <v>0</v>
      </c>
      <c r="FB391">
        <v>0</v>
      </c>
      <c r="FC391">
        <v>0</v>
      </c>
      <c r="FD391">
        <v>0</v>
      </c>
      <c r="FG391" t="e">
        <v>#N/A</v>
      </c>
      <c r="FI391" t="e">
        <v>#N/A</v>
      </c>
      <c r="FK391" t="e">
        <v>#N/A</v>
      </c>
      <c r="FM391" t="e">
        <v>#N/A</v>
      </c>
      <c r="FO391" t="e">
        <v>#N/A</v>
      </c>
      <c r="FQ391" t="e">
        <v>#N/A</v>
      </c>
      <c r="FS391" t="e">
        <v>#N/A</v>
      </c>
      <c r="FU391" t="e">
        <v>#N/A</v>
      </c>
      <c r="FW391" t="e">
        <v>#N/A</v>
      </c>
      <c r="FY391" t="e">
        <v>#N/A</v>
      </c>
      <c r="GA391" t="e">
        <v>#N/A</v>
      </c>
      <c r="GC391" t="e">
        <v>#N/A</v>
      </c>
      <c r="GE391" t="e">
        <v>#N/A</v>
      </c>
      <c r="GG391" t="e">
        <v>#N/A</v>
      </c>
      <c r="GI391" t="e">
        <v>#N/A</v>
      </c>
      <c r="GK391" t="e">
        <v>#N/A</v>
      </c>
      <c r="GM391" t="e">
        <v>#N/A</v>
      </c>
      <c r="GO391" t="e">
        <v>#N/A</v>
      </c>
      <c r="GQ391" t="e">
        <v>#N/A</v>
      </c>
      <c r="GS391" t="e">
        <v>#N/A</v>
      </c>
      <c r="GU391" t="e">
        <v>#N/A</v>
      </c>
      <c r="GW391" t="e">
        <v>#N/A</v>
      </c>
      <c r="GY391" t="e">
        <v>#N/A</v>
      </c>
      <c r="HA391" t="e">
        <v>#N/A</v>
      </c>
      <c r="HC391">
        <v>0</v>
      </c>
      <c r="HD391">
        <v>0</v>
      </c>
      <c r="HE391">
        <v>0</v>
      </c>
      <c r="HF391">
        <v>0</v>
      </c>
      <c r="HG391">
        <v>0</v>
      </c>
      <c r="HH391">
        <v>0</v>
      </c>
      <c r="HI391">
        <v>0</v>
      </c>
      <c r="HJ391">
        <v>0</v>
      </c>
      <c r="HM391">
        <v>0</v>
      </c>
      <c r="HN391">
        <v>0</v>
      </c>
      <c r="HO391">
        <v>0</v>
      </c>
      <c r="HP391">
        <v>0</v>
      </c>
      <c r="HQ391">
        <v>0</v>
      </c>
      <c r="HR391">
        <v>0</v>
      </c>
      <c r="HS391">
        <v>0</v>
      </c>
      <c r="HT391">
        <v>0</v>
      </c>
      <c r="HW391">
        <v>0</v>
      </c>
      <c r="HX391">
        <v>0</v>
      </c>
      <c r="HY391">
        <v>0</v>
      </c>
      <c r="HZ391">
        <v>0</v>
      </c>
      <c r="IA391">
        <v>3930.6</v>
      </c>
      <c r="IB391">
        <v>3632.9</v>
      </c>
      <c r="IC391">
        <v>3795.5</v>
      </c>
      <c r="ID391">
        <v>0</v>
      </c>
      <c r="IE391">
        <v>0</v>
      </c>
      <c r="IF391">
        <v>3548.5</v>
      </c>
      <c r="IG391">
        <v>3395.2</v>
      </c>
      <c r="IH391">
        <v>3395.4</v>
      </c>
      <c r="II391">
        <v>3302.3</v>
      </c>
      <c r="IJ391">
        <v>3172.8</v>
      </c>
      <c r="IK391">
        <v>0</v>
      </c>
      <c r="IL391">
        <v>0</v>
      </c>
      <c r="IM391">
        <v>0</v>
      </c>
      <c r="IN391">
        <v>0</v>
      </c>
      <c r="IO391">
        <v>123.4</v>
      </c>
      <c r="IP391">
        <v>405.2</v>
      </c>
      <c r="IQ391">
        <v>418.7</v>
      </c>
      <c r="IR391">
        <v>0</v>
      </c>
      <c r="IS391">
        <v>0</v>
      </c>
      <c r="IT391">
        <v>0</v>
      </c>
      <c r="IU391">
        <v>0</v>
      </c>
      <c r="IV391">
        <v>396</v>
      </c>
      <c r="IW391">
        <v>0</v>
      </c>
      <c r="IX391">
        <v>0</v>
      </c>
      <c r="IZ391">
        <v>0</v>
      </c>
      <c r="JA391">
        <v>65.5</v>
      </c>
      <c r="JB391">
        <v>443.5</v>
      </c>
      <c r="JC391">
        <v>0</v>
      </c>
      <c r="JD391">
        <v>0</v>
      </c>
      <c r="JE391">
        <v>0</v>
      </c>
      <c r="JF391">
        <v>0</v>
      </c>
      <c r="JG391">
        <v>0</v>
      </c>
      <c r="JH391">
        <v>0</v>
      </c>
      <c r="JI391">
        <v>0</v>
      </c>
      <c r="JJ391">
        <v>0</v>
      </c>
      <c r="JK391">
        <v>0</v>
      </c>
      <c r="JL391">
        <v>0</v>
      </c>
      <c r="JM391">
        <v>0</v>
      </c>
      <c r="JN391">
        <v>0</v>
      </c>
      <c r="JO391">
        <v>0</v>
      </c>
      <c r="JP391">
        <v>0</v>
      </c>
      <c r="JQ391">
        <v>0</v>
      </c>
      <c r="JR391">
        <v>0</v>
      </c>
      <c r="JS391">
        <v>0</v>
      </c>
      <c r="JT391">
        <v>0</v>
      </c>
      <c r="JU391">
        <v>0</v>
      </c>
      <c r="JV391">
        <v>0</v>
      </c>
      <c r="JW391">
        <v>0</v>
      </c>
      <c r="JX391">
        <v>0</v>
      </c>
      <c r="JY391">
        <v>0</v>
      </c>
      <c r="JZ391">
        <v>0</v>
      </c>
      <c r="KA391">
        <v>0</v>
      </c>
      <c r="KB391">
        <v>0</v>
      </c>
      <c r="KC391">
        <v>0</v>
      </c>
      <c r="KD391">
        <v>0</v>
      </c>
      <c r="KE391">
        <v>0</v>
      </c>
      <c r="KF391">
        <v>0</v>
      </c>
      <c r="KI391">
        <v>344.6</v>
      </c>
      <c r="KJ391">
        <v>350.8</v>
      </c>
      <c r="KK391">
        <v>22.1</v>
      </c>
      <c r="KL391">
        <v>379.3</v>
      </c>
      <c r="KM391">
        <v>241.4</v>
      </c>
      <c r="KN391">
        <v>0</v>
      </c>
      <c r="KO391">
        <v>0</v>
      </c>
      <c r="KP391">
        <v>57.3</v>
      </c>
      <c r="KQ391">
        <v>224.4</v>
      </c>
      <c r="KR391">
        <v>338.3</v>
      </c>
      <c r="KS391">
        <v>215.8</v>
      </c>
      <c r="KT391">
        <v>40.700000000000003</v>
      </c>
      <c r="KW391">
        <v>2154.5</v>
      </c>
      <c r="KX391">
        <v>1255.7</v>
      </c>
      <c r="KY391">
        <v>1630.1</v>
      </c>
      <c r="KZ391">
        <v>1246.9000000000001</v>
      </c>
      <c r="LB391">
        <v>78.099999999999994</v>
      </c>
      <c r="LC391">
        <v>77.7</v>
      </c>
    </row>
    <row r="392" spans="1:315" ht="18.600000000000001" thickTop="1" thickBot="1">
      <c r="A392" s="243"/>
      <c r="B392" s="572" t="s">
        <v>421</v>
      </c>
      <c r="C392" s="341" t="s">
        <v>701</v>
      </c>
      <c r="D392" s="308" t="s">
        <v>702</v>
      </c>
      <c r="E392" s="454">
        <v>0</v>
      </c>
      <c r="F392" s="213">
        <v>0</v>
      </c>
      <c r="G392" s="427">
        <v>3413.8</v>
      </c>
      <c r="H392" s="155"/>
      <c r="I392">
        <v>735</v>
      </c>
      <c r="K392">
        <v>1973.1000000000001</v>
      </c>
      <c r="L392" s="4">
        <v>221.60000000000002</v>
      </c>
      <c r="M392" s="4">
        <v>54.9</v>
      </c>
      <c r="N392" s="4">
        <v>1989.7</v>
      </c>
      <c r="P392">
        <v>0</v>
      </c>
      <c r="Q392">
        <v>238.29999999999998</v>
      </c>
      <c r="R392">
        <v>0</v>
      </c>
      <c r="S392">
        <v>0</v>
      </c>
      <c r="T392">
        <v>368.5</v>
      </c>
      <c r="W392">
        <v>720.3</v>
      </c>
      <c r="X392">
        <v>1411.5</v>
      </c>
      <c r="Y392">
        <v>96.5</v>
      </c>
      <c r="AA392">
        <v>859.6</v>
      </c>
      <c r="AB392">
        <v>1577.6000000000001</v>
      </c>
      <c r="AE392">
        <v>1330</v>
      </c>
      <c r="AF392">
        <v>1025.5</v>
      </c>
      <c r="AH392">
        <v>509.9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1349.3</v>
      </c>
      <c r="AO392">
        <v>786.40000000000009</v>
      </c>
      <c r="AP392">
        <v>0</v>
      </c>
      <c r="AQ392">
        <v>68.3</v>
      </c>
      <c r="AR392">
        <v>234.9</v>
      </c>
      <c r="AS392">
        <v>600.40000000000009</v>
      </c>
      <c r="AU392">
        <v>985.69999999999993</v>
      </c>
      <c r="AW392">
        <v>792</v>
      </c>
      <c r="AX392">
        <v>1988.5</v>
      </c>
      <c r="AZ392">
        <v>763.5</v>
      </c>
      <c r="BA392">
        <v>0</v>
      </c>
      <c r="BB392">
        <v>0</v>
      </c>
      <c r="BC392">
        <v>1935.3</v>
      </c>
      <c r="BD392">
        <v>1006.5</v>
      </c>
      <c r="BE392">
        <v>0</v>
      </c>
      <c r="BF392">
        <v>0</v>
      </c>
      <c r="BG392">
        <v>0</v>
      </c>
      <c r="BH392">
        <v>1662.6</v>
      </c>
      <c r="BJ392">
        <v>0</v>
      </c>
      <c r="BK392">
        <v>0</v>
      </c>
      <c r="BL392">
        <v>1038.9000000000001</v>
      </c>
      <c r="BM392">
        <v>1101</v>
      </c>
      <c r="BO392">
        <v>1276.8000000000002</v>
      </c>
      <c r="BQ392">
        <v>0</v>
      </c>
      <c r="BR392">
        <v>270.7</v>
      </c>
      <c r="BS392">
        <v>230.5</v>
      </c>
      <c r="BT392">
        <v>472.3</v>
      </c>
      <c r="BU392">
        <v>537.29999999999995</v>
      </c>
      <c r="BV392">
        <v>346.3</v>
      </c>
      <c r="BW392">
        <v>386.2</v>
      </c>
      <c r="BX392">
        <v>767</v>
      </c>
      <c r="BY392">
        <v>757.2</v>
      </c>
      <c r="BZ392">
        <v>1037.2</v>
      </c>
      <c r="CA392">
        <v>1227.0999999999999</v>
      </c>
      <c r="CB392">
        <v>1232.0999999999999</v>
      </c>
      <c r="CC392">
        <v>1701.5</v>
      </c>
      <c r="CD392">
        <v>0</v>
      </c>
      <c r="CG392">
        <v>1385.3</v>
      </c>
      <c r="CJ392">
        <v>1630.2999999999997</v>
      </c>
      <c r="CM392">
        <v>1184.2</v>
      </c>
      <c r="CO392">
        <v>1248.0999999999999</v>
      </c>
      <c r="CQ392">
        <v>1435.3</v>
      </c>
      <c r="CR392">
        <v>798.2</v>
      </c>
      <c r="CS392">
        <v>923.8</v>
      </c>
      <c r="CT392">
        <v>0</v>
      </c>
      <c r="CU392">
        <v>0</v>
      </c>
      <c r="CV392">
        <v>0</v>
      </c>
      <c r="CW392">
        <v>0</v>
      </c>
      <c r="CX392">
        <v>163.69999999999999</v>
      </c>
      <c r="CY392">
        <v>0</v>
      </c>
      <c r="CZ392">
        <v>0</v>
      </c>
      <c r="DA392">
        <v>0</v>
      </c>
      <c r="DB392">
        <v>0</v>
      </c>
      <c r="DC392">
        <v>0</v>
      </c>
      <c r="DD392">
        <v>0</v>
      </c>
      <c r="DE392">
        <v>0</v>
      </c>
      <c r="DI392">
        <v>0</v>
      </c>
      <c r="EC392">
        <v>0</v>
      </c>
      <c r="ED392">
        <v>0</v>
      </c>
      <c r="EE392">
        <v>0</v>
      </c>
      <c r="EF392">
        <v>0</v>
      </c>
      <c r="EG392">
        <v>0</v>
      </c>
      <c r="EH392">
        <v>0</v>
      </c>
      <c r="EI392">
        <v>0</v>
      </c>
      <c r="EJ392">
        <v>0</v>
      </c>
      <c r="EM392">
        <v>0</v>
      </c>
      <c r="EN392">
        <v>0</v>
      </c>
      <c r="EO392">
        <v>0</v>
      </c>
      <c r="EP392">
        <v>0</v>
      </c>
      <c r="EQ392">
        <v>0</v>
      </c>
      <c r="ER392">
        <v>0</v>
      </c>
      <c r="ES392">
        <v>0</v>
      </c>
      <c r="ET392">
        <v>0</v>
      </c>
      <c r="EW392">
        <v>0</v>
      </c>
      <c r="EX392">
        <v>0</v>
      </c>
      <c r="EY392">
        <v>0</v>
      </c>
      <c r="EZ392">
        <v>0</v>
      </c>
      <c r="FA392">
        <v>0</v>
      </c>
      <c r="FB392">
        <v>0</v>
      </c>
      <c r="FC392">
        <v>0</v>
      </c>
      <c r="FD392">
        <v>0</v>
      </c>
      <c r="FG392" t="e">
        <v>#N/A</v>
      </c>
      <c r="FI392" t="e">
        <v>#N/A</v>
      </c>
      <c r="FK392" t="e">
        <v>#N/A</v>
      </c>
      <c r="FM392" t="e">
        <v>#N/A</v>
      </c>
      <c r="FO392" t="e">
        <v>#N/A</v>
      </c>
      <c r="FQ392" t="e">
        <v>#N/A</v>
      </c>
      <c r="FS392" t="e">
        <v>#N/A</v>
      </c>
      <c r="FU392" t="e">
        <v>#N/A</v>
      </c>
      <c r="FW392" t="e">
        <v>#N/A</v>
      </c>
      <c r="FY392" t="e">
        <v>#N/A</v>
      </c>
      <c r="GA392" t="e">
        <v>#N/A</v>
      </c>
      <c r="GC392" t="e">
        <v>#N/A</v>
      </c>
      <c r="GE392" t="e">
        <v>#N/A</v>
      </c>
      <c r="GG392" t="e">
        <v>#N/A</v>
      </c>
      <c r="GI392" t="e">
        <v>#N/A</v>
      </c>
      <c r="GK392" t="e">
        <v>#N/A</v>
      </c>
      <c r="GM392" t="e">
        <v>#N/A</v>
      </c>
      <c r="GO392" t="e">
        <v>#N/A</v>
      </c>
      <c r="GQ392" t="e">
        <v>#N/A</v>
      </c>
      <c r="GS392" t="e">
        <v>#N/A</v>
      </c>
      <c r="GU392" t="e">
        <v>#N/A</v>
      </c>
      <c r="GW392" t="e">
        <v>#N/A</v>
      </c>
      <c r="GY392" t="e">
        <v>#N/A</v>
      </c>
      <c r="HA392" t="e">
        <v>#N/A</v>
      </c>
      <c r="HC392">
        <v>0</v>
      </c>
      <c r="HD392">
        <v>0</v>
      </c>
      <c r="HE392">
        <v>0</v>
      </c>
      <c r="HF392">
        <v>0</v>
      </c>
      <c r="HG392">
        <v>0</v>
      </c>
      <c r="HH392">
        <v>0</v>
      </c>
      <c r="HI392">
        <v>0</v>
      </c>
      <c r="HJ392">
        <v>0</v>
      </c>
      <c r="HM392">
        <v>0</v>
      </c>
      <c r="HN392">
        <v>0</v>
      </c>
      <c r="HO392">
        <v>0</v>
      </c>
      <c r="HP392">
        <v>0</v>
      </c>
      <c r="HQ392">
        <v>0</v>
      </c>
      <c r="HR392">
        <v>0</v>
      </c>
      <c r="HS392">
        <v>0</v>
      </c>
      <c r="HT392">
        <v>0</v>
      </c>
      <c r="HW392">
        <v>0</v>
      </c>
      <c r="HX392">
        <v>0</v>
      </c>
      <c r="HY392">
        <v>0</v>
      </c>
      <c r="HZ392">
        <v>0</v>
      </c>
      <c r="IA392">
        <v>3930.6</v>
      </c>
      <c r="IB392">
        <v>3632.9</v>
      </c>
      <c r="IC392">
        <v>3795.5</v>
      </c>
      <c r="ID392">
        <v>0</v>
      </c>
      <c r="IE392">
        <v>0</v>
      </c>
      <c r="IF392">
        <v>3548.5</v>
      </c>
      <c r="IG392">
        <v>3395.2</v>
      </c>
      <c r="IH392">
        <v>3395.4</v>
      </c>
      <c r="II392">
        <v>3302.3</v>
      </c>
      <c r="IJ392">
        <v>3172.8</v>
      </c>
      <c r="IK392">
        <v>0</v>
      </c>
      <c r="IL392">
        <v>0</v>
      </c>
      <c r="IM392">
        <v>0</v>
      </c>
      <c r="IN392">
        <v>0</v>
      </c>
      <c r="IO392">
        <v>123.4</v>
      </c>
      <c r="IP392">
        <v>405.2</v>
      </c>
      <c r="IQ392">
        <v>418.7</v>
      </c>
      <c r="IR392">
        <v>0</v>
      </c>
      <c r="IS392">
        <v>0</v>
      </c>
      <c r="IT392">
        <v>0</v>
      </c>
      <c r="IU392">
        <v>0</v>
      </c>
      <c r="IV392">
        <v>396</v>
      </c>
      <c r="IW392">
        <v>0</v>
      </c>
      <c r="IX392">
        <v>0</v>
      </c>
      <c r="IZ392">
        <v>0</v>
      </c>
      <c r="JA392">
        <v>65.5</v>
      </c>
      <c r="JB392">
        <v>443.5</v>
      </c>
      <c r="JC392">
        <v>0</v>
      </c>
      <c r="JD392">
        <v>0</v>
      </c>
      <c r="JE392">
        <v>0</v>
      </c>
      <c r="JF392">
        <v>0</v>
      </c>
      <c r="JG392">
        <v>0</v>
      </c>
      <c r="JH392">
        <v>0</v>
      </c>
      <c r="JI392">
        <v>0</v>
      </c>
      <c r="JJ392">
        <v>0</v>
      </c>
      <c r="JK392">
        <v>0</v>
      </c>
      <c r="JL392">
        <v>0</v>
      </c>
      <c r="JM392">
        <v>0</v>
      </c>
      <c r="JN392">
        <v>0</v>
      </c>
      <c r="JO392">
        <v>0</v>
      </c>
      <c r="JP392">
        <v>0</v>
      </c>
      <c r="JQ392">
        <v>0</v>
      </c>
      <c r="JR392">
        <v>0</v>
      </c>
      <c r="JS392">
        <v>0</v>
      </c>
      <c r="JT392">
        <v>0</v>
      </c>
      <c r="JU392">
        <v>0</v>
      </c>
      <c r="JV392">
        <v>0</v>
      </c>
      <c r="JW392">
        <v>0</v>
      </c>
      <c r="JX392">
        <v>0</v>
      </c>
      <c r="JY392">
        <v>0</v>
      </c>
      <c r="JZ392">
        <v>0</v>
      </c>
      <c r="KA392">
        <v>0</v>
      </c>
      <c r="KB392">
        <v>0</v>
      </c>
      <c r="KC392">
        <v>0</v>
      </c>
      <c r="KD392">
        <v>0</v>
      </c>
      <c r="KE392">
        <v>0</v>
      </c>
      <c r="KF392">
        <v>0</v>
      </c>
      <c r="KI392">
        <v>344.6</v>
      </c>
      <c r="KJ392">
        <v>350.8</v>
      </c>
      <c r="KK392">
        <v>22.1</v>
      </c>
      <c r="KL392">
        <v>379.3</v>
      </c>
      <c r="KM392">
        <v>241.4</v>
      </c>
      <c r="KN392">
        <v>0</v>
      </c>
      <c r="KO392">
        <v>0</v>
      </c>
      <c r="KP392">
        <v>57.3</v>
      </c>
      <c r="KQ392">
        <v>224.4</v>
      </c>
      <c r="KR392">
        <v>338.3</v>
      </c>
      <c r="KS392">
        <v>215.8</v>
      </c>
      <c r="KT392">
        <v>40.700000000000003</v>
      </c>
      <c r="KW392">
        <v>2154.5</v>
      </c>
      <c r="KX392">
        <v>1255.7</v>
      </c>
      <c r="KY392">
        <v>1630.1</v>
      </c>
      <c r="KZ392">
        <v>1246.9000000000001</v>
      </c>
      <c r="LB392">
        <v>78.099999999999994</v>
      </c>
      <c r="LC392">
        <v>77.7</v>
      </c>
    </row>
    <row r="393" spans="1:315" ht="18" thickBot="1">
      <c r="A393" s="254"/>
      <c r="B393" s="589"/>
      <c r="C393" s="342"/>
      <c r="D393" s="309"/>
      <c r="E393" s="454">
        <v>0</v>
      </c>
      <c r="F393" s="214">
        <v>0</v>
      </c>
      <c r="G393" s="427">
        <v>3413.8</v>
      </c>
      <c r="H393" s="155"/>
      <c r="I393">
        <v>735</v>
      </c>
      <c r="K393">
        <v>1973.1000000000001</v>
      </c>
      <c r="L393" s="4">
        <v>221.60000000000002</v>
      </c>
      <c r="M393" s="4">
        <v>54.9</v>
      </c>
      <c r="N393" s="4">
        <v>1989.7</v>
      </c>
      <c r="P393">
        <v>0</v>
      </c>
      <c r="Q393">
        <v>238.29999999999998</v>
      </c>
      <c r="R393">
        <v>0</v>
      </c>
      <c r="S393">
        <v>0</v>
      </c>
      <c r="T393">
        <v>368.5</v>
      </c>
      <c r="W393">
        <v>720.3</v>
      </c>
      <c r="X393">
        <v>1411.5</v>
      </c>
      <c r="Y393">
        <v>96.5</v>
      </c>
      <c r="AA393">
        <v>859.6</v>
      </c>
      <c r="AB393">
        <v>1577.6000000000001</v>
      </c>
      <c r="AE393">
        <v>1330</v>
      </c>
      <c r="AF393">
        <v>1025.5</v>
      </c>
      <c r="AH393">
        <v>509.9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1349.3</v>
      </c>
      <c r="AO393">
        <v>786.40000000000009</v>
      </c>
      <c r="AP393">
        <v>0</v>
      </c>
      <c r="AQ393">
        <v>68.3</v>
      </c>
      <c r="AR393">
        <v>234.9</v>
      </c>
      <c r="AS393">
        <v>600.40000000000009</v>
      </c>
      <c r="AU393">
        <v>985.69999999999993</v>
      </c>
      <c r="AW393">
        <v>792</v>
      </c>
      <c r="AX393">
        <v>1988.5</v>
      </c>
      <c r="AZ393">
        <v>763.5</v>
      </c>
      <c r="BA393">
        <v>0</v>
      </c>
      <c r="BB393">
        <v>0</v>
      </c>
      <c r="BC393">
        <v>1935.3</v>
      </c>
      <c r="BD393">
        <v>1006.5</v>
      </c>
      <c r="BE393">
        <v>0</v>
      </c>
      <c r="BF393">
        <v>0</v>
      </c>
      <c r="BG393">
        <v>0</v>
      </c>
      <c r="BH393">
        <v>1662.6</v>
      </c>
      <c r="BJ393">
        <v>0</v>
      </c>
      <c r="BK393">
        <v>0</v>
      </c>
      <c r="BL393">
        <v>1038.9000000000001</v>
      </c>
      <c r="BM393">
        <v>1101</v>
      </c>
      <c r="BO393">
        <v>1276.8000000000002</v>
      </c>
      <c r="BQ393">
        <v>0</v>
      </c>
      <c r="BR393">
        <v>270.7</v>
      </c>
      <c r="BS393">
        <v>230.5</v>
      </c>
      <c r="BT393">
        <v>472.3</v>
      </c>
      <c r="BU393">
        <v>537.29999999999995</v>
      </c>
      <c r="BV393">
        <v>346.3</v>
      </c>
      <c r="BW393">
        <v>386.2</v>
      </c>
      <c r="BX393">
        <v>767</v>
      </c>
      <c r="BY393">
        <v>757.2</v>
      </c>
      <c r="BZ393">
        <v>1037.2</v>
      </c>
      <c r="CA393">
        <v>1227.0999999999999</v>
      </c>
      <c r="CB393">
        <v>1232.0999999999999</v>
      </c>
      <c r="CC393">
        <v>1701.5</v>
      </c>
      <c r="CD393">
        <v>0</v>
      </c>
      <c r="CG393">
        <v>1385.3</v>
      </c>
      <c r="CJ393">
        <v>1630.2999999999997</v>
      </c>
      <c r="CM393">
        <v>1184.2</v>
      </c>
      <c r="CO393">
        <v>1248.0999999999999</v>
      </c>
      <c r="CQ393">
        <v>1435.3</v>
      </c>
      <c r="CR393">
        <v>798.2</v>
      </c>
      <c r="CS393">
        <v>923.8</v>
      </c>
      <c r="CT393">
        <v>0</v>
      </c>
      <c r="CU393">
        <v>0</v>
      </c>
      <c r="CV393">
        <v>0</v>
      </c>
      <c r="CW393">
        <v>0</v>
      </c>
      <c r="CX393">
        <v>163.69999999999999</v>
      </c>
      <c r="CY393">
        <v>0</v>
      </c>
      <c r="CZ393">
        <v>0</v>
      </c>
      <c r="DA393">
        <v>0</v>
      </c>
      <c r="DB393">
        <v>0</v>
      </c>
      <c r="DC393">
        <v>0</v>
      </c>
      <c r="DD393">
        <v>0</v>
      </c>
      <c r="DE393">
        <v>0</v>
      </c>
      <c r="DI393">
        <v>0</v>
      </c>
      <c r="EC393">
        <v>0</v>
      </c>
      <c r="ED393">
        <v>0</v>
      </c>
      <c r="EE393">
        <v>0</v>
      </c>
      <c r="EF393">
        <v>0</v>
      </c>
      <c r="EG393">
        <v>0</v>
      </c>
      <c r="EH393">
        <v>0</v>
      </c>
      <c r="EI393">
        <v>0</v>
      </c>
      <c r="EJ393">
        <v>0</v>
      </c>
      <c r="EM393">
        <v>0</v>
      </c>
      <c r="EN393">
        <v>0</v>
      </c>
      <c r="EO393">
        <v>0</v>
      </c>
      <c r="EP393">
        <v>0</v>
      </c>
      <c r="EQ393">
        <v>0</v>
      </c>
      <c r="ER393">
        <v>0</v>
      </c>
      <c r="ES393">
        <v>0</v>
      </c>
      <c r="ET393">
        <v>0</v>
      </c>
      <c r="EW393">
        <v>0</v>
      </c>
      <c r="EX393">
        <v>0</v>
      </c>
      <c r="EY393">
        <v>0</v>
      </c>
      <c r="EZ393">
        <v>0</v>
      </c>
      <c r="FA393">
        <v>0</v>
      </c>
      <c r="FB393">
        <v>0</v>
      </c>
      <c r="FC393">
        <v>0</v>
      </c>
      <c r="FD393">
        <v>0</v>
      </c>
      <c r="FG393" t="e">
        <v>#N/A</v>
      </c>
      <c r="FI393" t="e">
        <v>#N/A</v>
      </c>
      <c r="FK393" t="e">
        <v>#N/A</v>
      </c>
      <c r="FM393" t="e">
        <v>#N/A</v>
      </c>
      <c r="FO393" t="e">
        <v>#N/A</v>
      </c>
      <c r="FQ393" t="e">
        <v>#N/A</v>
      </c>
      <c r="FS393" t="e">
        <v>#N/A</v>
      </c>
      <c r="FU393" t="e">
        <v>#N/A</v>
      </c>
      <c r="FW393" t="e">
        <v>#N/A</v>
      </c>
      <c r="FY393" t="e">
        <v>#N/A</v>
      </c>
      <c r="GA393" t="e">
        <v>#N/A</v>
      </c>
      <c r="GC393" t="e">
        <v>#N/A</v>
      </c>
      <c r="GE393" t="e">
        <v>#N/A</v>
      </c>
      <c r="GG393" t="e">
        <v>#N/A</v>
      </c>
      <c r="GI393" t="e">
        <v>#N/A</v>
      </c>
      <c r="GK393" t="e">
        <v>#N/A</v>
      </c>
      <c r="GM393" t="e">
        <v>#N/A</v>
      </c>
      <c r="GO393" t="e">
        <v>#N/A</v>
      </c>
      <c r="GQ393" t="e">
        <v>#N/A</v>
      </c>
      <c r="GS393" t="e">
        <v>#N/A</v>
      </c>
      <c r="GU393" t="e">
        <v>#N/A</v>
      </c>
      <c r="GW393" t="e">
        <v>#N/A</v>
      </c>
      <c r="GY393" t="e">
        <v>#N/A</v>
      </c>
      <c r="HA393" t="e">
        <v>#N/A</v>
      </c>
      <c r="HC393">
        <v>0</v>
      </c>
      <c r="HD393">
        <v>0</v>
      </c>
      <c r="HE393">
        <v>0</v>
      </c>
      <c r="HF393">
        <v>0</v>
      </c>
      <c r="HG393">
        <v>0</v>
      </c>
      <c r="HH393">
        <v>0</v>
      </c>
      <c r="HI393">
        <v>0</v>
      </c>
      <c r="HJ393">
        <v>0</v>
      </c>
      <c r="HM393">
        <v>0</v>
      </c>
      <c r="HN393">
        <v>0</v>
      </c>
      <c r="HO393">
        <v>0</v>
      </c>
      <c r="HP393">
        <v>0</v>
      </c>
      <c r="HQ393">
        <v>0</v>
      </c>
      <c r="HR393">
        <v>0</v>
      </c>
      <c r="HS393">
        <v>0</v>
      </c>
      <c r="HT393">
        <v>0</v>
      </c>
      <c r="HW393">
        <v>0</v>
      </c>
      <c r="HX393">
        <v>0</v>
      </c>
      <c r="HY393">
        <v>0</v>
      </c>
      <c r="HZ393">
        <v>0</v>
      </c>
      <c r="IA393">
        <v>3930.6</v>
      </c>
      <c r="IB393">
        <v>3632.9</v>
      </c>
      <c r="IC393">
        <v>3795.5</v>
      </c>
      <c r="ID393">
        <v>0</v>
      </c>
      <c r="IE393">
        <v>0</v>
      </c>
      <c r="IF393">
        <v>3548.5</v>
      </c>
      <c r="IG393">
        <v>3395.2</v>
      </c>
      <c r="IH393">
        <v>3395.4</v>
      </c>
      <c r="II393">
        <v>3302.3</v>
      </c>
      <c r="IJ393">
        <v>3172.8</v>
      </c>
      <c r="IK393">
        <v>0</v>
      </c>
      <c r="IL393">
        <v>0</v>
      </c>
      <c r="IM393">
        <v>0</v>
      </c>
      <c r="IN393">
        <v>0</v>
      </c>
      <c r="IO393">
        <v>123.4</v>
      </c>
      <c r="IP393">
        <v>405.2</v>
      </c>
      <c r="IQ393">
        <v>418.7</v>
      </c>
      <c r="IR393">
        <v>0</v>
      </c>
      <c r="IS393">
        <v>0</v>
      </c>
      <c r="IT393">
        <v>0</v>
      </c>
      <c r="IU393">
        <v>0</v>
      </c>
      <c r="IV393">
        <v>396</v>
      </c>
      <c r="IW393">
        <v>0</v>
      </c>
      <c r="IX393">
        <v>0</v>
      </c>
      <c r="IZ393">
        <v>0</v>
      </c>
      <c r="JA393">
        <v>65.5</v>
      </c>
      <c r="JB393">
        <v>443.5</v>
      </c>
      <c r="JC393">
        <v>0</v>
      </c>
      <c r="JD393">
        <v>0</v>
      </c>
      <c r="JE393">
        <v>0</v>
      </c>
      <c r="JF393">
        <v>0</v>
      </c>
      <c r="JG393">
        <v>0</v>
      </c>
      <c r="JH393">
        <v>0</v>
      </c>
      <c r="JI393">
        <v>0</v>
      </c>
      <c r="JJ393">
        <v>0</v>
      </c>
      <c r="JK393">
        <v>0</v>
      </c>
      <c r="JL393">
        <v>0</v>
      </c>
      <c r="JM393">
        <v>0</v>
      </c>
      <c r="JN393">
        <v>0</v>
      </c>
      <c r="JO393">
        <v>0</v>
      </c>
      <c r="JP393">
        <v>0</v>
      </c>
      <c r="JQ393">
        <v>0</v>
      </c>
      <c r="JR393">
        <v>0</v>
      </c>
      <c r="JS393">
        <v>0</v>
      </c>
      <c r="JT393">
        <v>0</v>
      </c>
      <c r="JU393">
        <v>0</v>
      </c>
      <c r="JV393">
        <v>0</v>
      </c>
      <c r="JW393">
        <v>0</v>
      </c>
      <c r="JX393">
        <v>0</v>
      </c>
      <c r="JY393">
        <v>0</v>
      </c>
      <c r="JZ393">
        <v>0</v>
      </c>
      <c r="KA393">
        <v>0</v>
      </c>
      <c r="KB393">
        <v>0</v>
      </c>
      <c r="KC393">
        <v>0</v>
      </c>
      <c r="KD393">
        <v>0</v>
      </c>
      <c r="KE393">
        <v>0</v>
      </c>
      <c r="KF393">
        <v>0</v>
      </c>
      <c r="KI393">
        <v>344.6</v>
      </c>
      <c r="KJ393">
        <v>350.8</v>
      </c>
      <c r="KK393">
        <v>22.1</v>
      </c>
      <c r="KL393">
        <v>379.3</v>
      </c>
      <c r="KM393">
        <v>241.4</v>
      </c>
      <c r="KN393">
        <v>0</v>
      </c>
      <c r="KO393">
        <v>0</v>
      </c>
      <c r="KP393">
        <v>57.3</v>
      </c>
      <c r="KQ393">
        <v>224.4</v>
      </c>
      <c r="KR393">
        <v>338.3</v>
      </c>
      <c r="KS393">
        <v>215.8</v>
      </c>
      <c r="KT393">
        <v>40.700000000000003</v>
      </c>
      <c r="KW393">
        <v>2154.5</v>
      </c>
      <c r="KX393">
        <v>1255.7</v>
      </c>
      <c r="KY393">
        <v>1630.1</v>
      </c>
      <c r="KZ393">
        <v>1246.9000000000001</v>
      </c>
      <c r="LB393">
        <v>78.099999999999994</v>
      </c>
      <c r="LC393">
        <v>77.7</v>
      </c>
    </row>
    <row r="394" spans="1:315" ht="18.600000000000001" thickTop="1" thickBot="1">
      <c r="A394" s="243"/>
      <c r="B394" s="572" t="s">
        <v>422</v>
      </c>
      <c r="C394" s="341" t="s">
        <v>703</v>
      </c>
      <c r="D394" s="310" t="s">
        <v>702</v>
      </c>
      <c r="E394" s="454">
        <v>0</v>
      </c>
      <c r="F394" s="213">
        <v>0</v>
      </c>
      <c r="G394" s="427">
        <v>3413.8</v>
      </c>
      <c r="H394" s="155"/>
      <c r="I394">
        <v>735</v>
      </c>
      <c r="K394">
        <v>1973.1000000000001</v>
      </c>
      <c r="L394" s="4">
        <v>221.60000000000002</v>
      </c>
      <c r="M394" s="4">
        <v>54.9</v>
      </c>
      <c r="N394" s="4">
        <v>1989.7</v>
      </c>
      <c r="P394">
        <v>0</v>
      </c>
      <c r="Q394">
        <v>238.29999999999998</v>
      </c>
      <c r="R394">
        <v>0</v>
      </c>
      <c r="S394">
        <v>0</v>
      </c>
      <c r="T394">
        <v>368.5</v>
      </c>
      <c r="W394">
        <v>720.3</v>
      </c>
      <c r="X394">
        <v>1411.5</v>
      </c>
      <c r="Y394">
        <v>96.5</v>
      </c>
      <c r="AA394">
        <v>859.6</v>
      </c>
      <c r="AB394">
        <v>1577.6000000000001</v>
      </c>
      <c r="AE394">
        <v>1330</v>
      </c>
      <c r="AF394">
        <v>1025.5</v>
      </c>
      <c r="AH394">
        <v>509.9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1349.3</v>
      </c>
      <c r="AO394">
        <v>786.40000000000009</v>
      </c>
      <c r="AP394">
        <v>0</v>
      </c>
      <c r="AQ394">
        <v>68.3</v>
      </c>
      <c r="AR394">
        <v>234.9</v>
      </c>
      <c r="AS394">
        <v>600.40000000000009</v>
      </c>
      <c r="AU394">
        <v>985.69999999999993</v>
      </c>
      <c r="AW394">
        <v>792</v>
      </c>
      <c r="AX394">
        <v>1988.5</v>
      </c>
      <c r="AZ394">
        <v>763.5</v>
      </c>
      <c r="BA394">
        <v>0</v>
      </c>
      <c r="BB394">
        <v>0</v>
      </c>
      <c r="BC394">
        <v>1935.3</v>
      </c>
      <c r="BD394">
        <v>1006.5</v>
      </c>
      <c r="BE394">
        <v>0</v>
      </c>
      <c r="BF394">
        <v>0</v>
      </c>
      <c r="BG394">
        <v>0</v>
      </c>
      <c r="BH394">
        <v>1662.6</v>
      </c>
      <c r="BJ394">
        <v>0</v>
      </c>
      <c r="BK394">
        <v>0</v>
      </c>
      <c r="BL394">
        <v>1038.9000000000001</v>
      </c>
      <c r="BM394">
        <v>1101</v>
      </c>
      <c r="BO394">
        <v>1276.8000000000002</v>
      </c>
      <c r="BQ394">
        <v>0</v>
      </c>
      <c r="BR394">
        <v>270.7</v>
      </c>
      <c r="BS394">
        <v>230.5</v>
      </c>
      <c r="BT394">
        <v>472.3</v>
      </c>
      <c r="BU394">
        <v>537.29999999999995</v>
      </c>
      <c r="BV394">
        <v>346.3</v>
      </c>
      <c r="BW394">
        <v>386.2</v>
      </c>
      <c r="BX394">
        <v>767</v>
      </c>
      <c r="BY394">
        <v>757.2</v>
      </c>
      <c r="BZ394">
        <v>1037.2</v>
      </c>
      <c r="CA394">
        <v>1227.0999999999999</v>
      </c>
      <c r="CB394">
        <v>1232.0999999999999</v>
      </c>
      <c r="CC394">
        <v>1701.5</v>
      </c>
      <c r="CD394">
        <v>0</v>
      </c>
      <c r="CG394">
        <v>1385.3</v>
      </c>
      <c r="CJ394">
        <v>1630.2999999999997</v>
      </c>
      <c r="CM394">
        <v>1184.2</v>
      </c>
      <c r="CO394">
        <v>1248.0999999999999</v>
      </c>
      <c r="CQ394">
        <v>1435.3</v>
      </c>
      <c r="CR394">
        <v>798.2</v>
      </c>
      <c r="CS394">
        <v>923.8</v>
      </c>
      <c r="CT394">
        <v>0</v>
      </c>
      <c r="CU394">
        <v>0</v>
      </c>
      <c r="CV394">
        <v>0</v>
      </c>
      <c r="CW394">
        <v>0</v>
      </c>
      <c r="CX394">
        <v>163.69999999999999</v>
      </c>
      <c r="CY394">
        <v>0</v>
      </c>
      <c r="CZ394">
        <v>0</v>
      </c>
      <c r="DA394">
        <v>0</v>
      </c>
      <c r="DB394">
        <v>0</v>
      </c>
      <c r="DC394">
        <v>0</v>
      </c>
      <c r="DD394">
        <v>0</v>
      </c>
      <c r="DE394">
        <v>0</v>
      </c>
      <c r="DI394">
        <v>0</v>
      </c>
      <c r="EC394">
        <v>0</v>
      </c>
      <c r="ED394">
        <v>0</v>
      </c>
      <c r="EE394">
        <v>0</v>
      </c>
      <c r="EF394">
        <v>0</v>
      </c>
      <c r="EG394">
        <v>0</v>
      </c>
      <c r="EH394">
        <v>0</v>
      </c>
      <c r="EI394">
        <v>0</v>
      </c>
      <c r="EJ394">
        <v>0</v>
      </c>
      <c r="EM394">
        <v>0</v>
      </c>
      <c r="EN394">
        <v>0</v>
      </c>
      <c r="EO394">
        <v>0</v>
      </c>
      <c r="EP394">
        <v>0</v>
      </c>
      <c r="EQ394">
        <v>0</v>
      </c>
      <c r="ER394">
        <v>0</v>
      </c>
      <c r="ES394">
        <v>0</v>
      </c>
      <c r="ET394">
        <v>0</v>
      </c>
      <c r="EW394">
        <v>0</v>
      </c>
      <c r="EX394">
        <v>0</v>
      </c>
      <c r="EY394">
        <v>0</v>
      </c>
      <c r="EZ394">
        <v>0</v>
      </c>
      <c r="FA394">
        <v>0</v>
      </c>
      <c r="FB394">
        <v>0</v>
      </c>
      <c r="FC394">
        <v>0</v>
      </c>
      <c r="FD394">
        <v>0</v>
      </c>
      <c r="FG394" t="e">
        <v>#N/A</v>
      </c>
      <c r="FI394" t="e">
        <v>#N/A</v>
      </c>
      <c r="FK394" t="e">
        <v>#N/A</v>
      </c>
      <c r="FM394" t="e">
        <v>#N/A</v>
      </c>
      <c r="FO394" t="e">
        <v>#N/A</v>
      </c>
      <c r="FQ394" t="e">
        <v>#N/A</v>
      </c>
      <c r="FS394" t="e">
        <v>#N/A</v>
      </c>
      <c r="FU394" t="e">
        <v>#N/A</v>
      </c>
      <c r="FW394" t="e">
        <v>#N/A</v>
      </c>
      <c r="FY394" t="e">
        <v>#N/A</v>
      </c>
      <c r="GA394" t="e">
        <v>#N/A</v>
      </c>
      <c r="GC394" t="e">
        <v>#N/A</v>
      </c>
      <c r="GE394" t="e">
        <v>#N/A</v>
      </c>
      <c r="GG394" t="e">
        <v>#N/A</v>
      </c>
      <c r="GI394" t="e">
        <v>#N/A</v>
      </c>
      <c r="GK394" t="e">
        <v>#N/A</v>
      </c>
      <c r="GM394" t="e">
        <v>#N/A</v>
      </c>
      <c r="GO394" t="e">
        <v>#N/A</v>
      </c>
      <c r="GQ394" t="e">
        <v>#N/A</v>
      </c>
      <c r="GS394" t="e">
        <v>#N/A</v>
      </c>
      <c r="GU394" t="e">
        <v>#N/A</v>
      </c>
      <c r="GW394" t="e">
        <v>#N/A</v>
      </c>
      <c r="GY394" t="e">
        <v>#N/A</v>
      </c>
      <c r="HA394" t="e">
        <v>#N/A</v>
      </c>
      <c r="HC394">
        <v>0</v>
      </c>
      <c r="HD394">
        <v>0</v>
      </c>
      <c r="HE394">
        <v>0</v>
      </c>
      <c r="HF394">
        <v>0</v>
      </c>
      <c r="HG394">
        <v>0</v>
      </c>
      <c r="HH394">
        <v>0</v>
      </c>
      <c r="HI394">
        <v>0</v>
      </c>
      <c r="HJ394">
        <v>0</v>
      </c>
      <c r="HM394">
        <v>0</v>
      </c>
      <c r="HN394">
        <v>0</v>
      </c>
      <c r="HO394">
        <v>0</v>
      </c>
      <c r="HP394">
        <v>0</v>
      </c>
      <c r="HQ394">
        <v>0</v>
      </c>
      <c r="HR394">
        <v>0</v>
      </c>
      <c r="HS394">
        <v>0</v>
      </c>
      <c r="HT394">
        <v>0</v>
      </c>
      <c r="HW394">
        <v>0</v>
      </c>
      <c r="HX394">
        <v>0</v>
      </c>
      <c r="HY394">
        <v>0</v>
      </c>
      <c r="HZ394">
        <v>0</v>
      </c>
      <c r="IA394">
        <v>3930.6</v>
      </c>
      <c r="IB394">
        <v>3632.9</v>
      </c>
      <c r="IC394">
        <v>3795.5</v>
      </c>
      <c r="ID394">
        <v>0</v>
      </c>
      <c r="IE394">
        <v>0</v>
      </c>
      <c r="IF394">
        <v>3548.5</v>
      </c>
      <c r="IG394">
        <v>3395.2</v>
      </c>
      <c r="IH394">
        <v>3395.4</v>
      </c>
      <c r="II394">
        <v>3302.3</v>
      </c>
      <c r="IJ394">
        <v>3172.8</v>
      </c>
      <c r="IK394">
        <v>0</v>
      </c>
      <c r="IL394">
        <v>0</v>
      </c>
      <c r="IM394">
        <v>0</v>
      </c>
      <c r="IN394">
        <v>0</v>
      </c>
      <c r="IO394">
        <v>123.4</v>
      </c>
      <c r="IP394">
        <v>405.2</v>
      </c>
      <c r="IQ394">
        <v>418.7</v>
      </c>
      <c r="IR394">
        <v>0</v>
      </c>
      <c r="IS394">
        <v>0</v>
      </c>
      <c r="IT394">
        <v>0</v>
      </c>
      <c r="IU394">
        <v>0</v>
      </c>
      <c r="IV394">
        <v>396</v>
      </c>
      <c r="IW394">
        <v>0</v>
      </c>
      <c r="IX394">
        <v>0</v>
      </c>
      <c r="IZ394">
        <v>0</v>
      </c>
      <c r="JA394">
        <v>65.5</v>
      </c>
      <c r="JB394">
        <v>443.5</v>
      </c>
      <c r="JC394">
        <v>0</v>
      </c>
      <c r="JD394">
        <v>0</v>
      </c>
      <c r="JE394">
        <v>0</v>
      </c>
      <c r="JF394">
        <v>0</v>
      </c>
      <c r="JG394">
        <v>0</v>
      </c>
      <c r="JH394">
        <v>0</v>
      </c>
      <c r="JI394">
        <v>0</v>
      </c>
      <c r="JJ394">
        <v>0</v>
      </c>
      <c r="JK394">
        <v>0</v>
      </c>
      <c r="JL394">
        <v>0</v>
      </c>
      <c r="JM394">
        <v>0</v>
      </c>
      <c r="JN394">
        <v>0</v>
      </c>
      <c r="JO394">
        <v>0</v>
      </c>
      <c r="JP394">
        <v>0</v>
      </c>
      <c r="JQ394">
        <v>0</v>
      </c>
      <c r="JR394">
        <v>0</v>
      </c>
      <c r="JS394">
        <v>0</v>
      </c>
      <c r="JT394">
        <v>0</v>
      </c>
      <c r="JU394">
        <v>0</v>
      </c>
      <c r="JV394">
        <v>0</v>
      </c>
      <c r="JW394">
        <v>0</v>
      </c>
      <c r="JX394">
        <v>0</v>
      </c>
      <c r="JY394">
        <v>0</v>
      </c>
      <c r="JZ394">
        <v>0</v>
      </c>
      <c r="KA394">
        <v>0</v>
      </c>
      <c r="KB394">
        <v>0</v>
      </c>
      <c r="KC394">
        <v>0</v>
      </c>
      <c r="KD394">
        <v>0</v>
      </c>
      <c r="KE394">
        <v>0</v>
      </c>
      <c r="KF394">
        <v>0</v>
      </c>
      <c r="KI394">
        <v>344.6</v>
      </c>
      <c r="KJ394">
        <v>350.8</v>
      </c>
      <c r="KK394">
        <v>22.1</v>
      </c>
      <c r="KL394">
        <v>379.3</v>
      </c>
      <c r="KM394">
        <v>241.4</v>
      </c>
      <c r="KN394">
        <v>0</v>
      </c>
      <c r="KO394">
        <v>0</v>
      </c>
      <c r="KP394">
        <v>57.3</v>
      </c>
      <c r="KQ394">
        <v>224.4</v>
      </c>
      <c r="KR394">
        <v>338.3</v>
      </c>
      <c r="KS394">
        <v>215.8</v>
      </c>
      <c r="KT394">
        <v>40.700000000000003</v>
      </c>
      <c r="KW394">
        <v>2154.5</v>
      </c>
      <c r="KX394">
        <v>1255.7</v>
      </c>
      <c r="KY394">
        <v>1630.1</v>
      </c>
      <c r="KZ394">
        <v>1246.9000000000001</v>
      </c>
      <c r="LB394">
        <v>78.099999999999994</v>
      </c>
      <c r="LC394">
        <v>77.7</v>
      </c>
    </row>
    <row r="395" spans="1:315" ht="18" thickBot="1">
      <c r="A395" s="243"/>
      <c r="B395" s="572"/>
      <c r="C395" s="343"/>
      <c r="D395" s="311"/>
      <c r="E395" s="454">
        <v>0</v>
      </c>
      <c r="F395" s="215">
        <v>0</v>
      </c>
      <c r="G395" s="427">
        <v>3413.8</v>
      </c>
      <c r="H395" s="155"/>
      <c r="I395">
        <v>735</v>
      </c>
      <c r="K395">
        <v>1973.1000000000001</v>
      </c>
      <c r="L395" s="4">
        <v>221.60000000000002</v>
      </c>
      <c r="M395" s="4">
        <v>54.9</v>
      </c>
      <c r="N395" s="4">
        <v>1989.7</v>
      </c>
      <c r="P395">
        <v>0</v>
      </c>
      <c r="Q395">
        <v>238.29999999999998</v>
      </c>
      <c r="R395">
        <v>0</v>
      </c>
      <c r="S395">
        <v>0</v>
      </c>
      <c r="T395">
        <v>368.5</v>
      </c>
      <c r="W395">
        <v>720.3</v>
      </c>
      <c r="X395">
        <v>1411.5</v>
      </c>
      <c r="Y395">
        <v>96.5</v>
      </c>
      <c r="AA395">
        <v>859.6</v>
      </c>
      <c r="AB395">
        <v>1577.6000000000001</v>
      </c>
      <c r="AE395">
        <v>1330</v>
      </c>
      <c r="AF395">
        <v>1025.5</v>
      </c>
      <c r="AH395">
        <v>509.9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1349.3</v>
      </c>
      <c r="AO395">
        <v>786.40000000000009</v>
      </c>
      <c r="AP395">
        <v>0</v>
      </c>
      <c r="AQ395">
        <v>68.3</v>
      </c>
      <c r="AR395">
        <v>234.9</v>
      </c>
      <c r="AS395">
        <v>600.40000000000009</v>
      </c>
      <c r="AU395">
        <v>985.69999999999993</v>
      </c>
      <c r="AW395">
        <v>792</v>
      </c>
      <c r="AX395">
        <v>1988.5</v>
      </c>
      <c r="AZ395">
        <v>763.5</v>
      </c>
      <c r="BA395">
        <v>0</v>
      </c>
      <c r="BB395">
        <v>0</v>
      </c>
      <c r="BC395">
        <v>1935.3</v>
      </c>
      <c r="BD395">
        <v>1006.5</v>
      </c>
      <c r="BE395">
        <v>0</v>
      </c>
      <c r="BF395">
        <v>0</v>
      </c>
      <c r="BG395">
        <v>0</v>
      </c>
      <c r="BH395">
        <v>1662.6</v>
      </c>
      <c r="BJ395">
        <v>0</v>
      </c>
      <c r="BK395">
        <v>0</v>
      </c>
      <c r="BL395">
        <v>1038.9000000000001</v>
      </c>
      <c r="BM395">
        <v>1101</v>
      </c>
      <c r="BO395">
        <v>1276.8000000000002</v>
      </c>
      <c r="BQ395">
        <v>0</v>
      </c>
      <c r="BR395">
        <v>270.7</v>
      </c>
      <c r="BS395">
        <v>230.5</v>
      </c>
      <c r="BT395">
        <v>472.3</v>
      </c>
      <c r="BU395">
        <v>537.29999999999995</v>
      </c>
      <c r="BV395">
        <v>346.3</v>
      </c>
      <c r="BW395">
        <v>386.2</v>
      </c>
      <c r="BX395">
        <v>767</v>
      </c>
      <c r="BY395">
        <v>757.2</v>
      </c>
      <c r="BZ395">
        <v>1037.2</v>
      </c>
      <c r="CA395">
        <v>1227.0999999999999</v>
      </c>
      <c r="CB395">
        <v>1232.0999999999999</v>
      </c>
      <c r="CC395">
        <v>1701.5</v>
      </c>
      <c r="CD395">
        <v>0</v>
      </c>
      <c r="CG395">
        <v>1385.3</v>
      </c>
      <c r="CJ395">
        <v>1630.2999999999997</v>
      </c>
      <c r="CM395">
        <v>1184.2</v>
      </c>
      <c r="CO395">
        <v>1248.0999999999999</v>
      </c>
      <c r="CQ395">
        <v>1435.3</v>
      </c>
      <c r="CR395">
        <v>798.2</v>
      </c>
      <c r="CS395">
        <v>923.8</v>
      </c>
      <c r="CT395">
        <v>0</v>
      </c>
      <c r="CU395">
        <v>0</v>
      </c>
      <c r="CV395">
        <v>0</v>
      </c>
      <c r="CW395">
        <v>0</v>
      </c>
      <c r="CX395">
        <v>163.69999999999999</v>
      </c>
      <c r="CY395">
        <v>0</v>
      </c>
      <c r="CZ395">
        <v>0</v>
      </c>
      <c r="DA395">
        <v>0</v>
      </c>
      <c r="DB395">
        <v>0</v>
      </c>
      <c r="DC395">
        <v>0</v>
      </c>
      <c r="DD395">
        <v>0</v>
      </c>
      <c r="DE395">
        <v>0</v>
      </c>
      <c r="DI395">
        <v>0</v>
      </c>
      <c r="EC395">
        <v>0</v>
      </c>
      <c r="ED395">
        <v>0</v>
      </c>
      <c r="EE395">
        <v>0</v>
      </c>
      <c r="EF395">
        <v>0</v>
      </c>
      <c r="EG395">
        <v>0</v>
      </c>
      <c r="EH395">
        <v>0</v>
      </c>
      <c r="EI395">
        <v>0</v>
      </c>
      <c r="EJ395">
        <v>0</v>
      </c>
      <c r="EM395">
        <v>0</v>
      </c>
      <c r="EN395">
        <v>0</v>
      </c>
      <c r="EO395">
        <v>0</v>
      </c>
      <c r="EP395">
        <v>0</v>
      </c>
      <c r="EQ395">
        <v>0</v>
      </c>
      <c r="ER395">
        <v>0</v>
      </c>
      <c r="ES395">
        <v>0</v>
      </c>
      <c r="ET395">
        <v>0</v>
      </c>
      <c r="EW395">
        <v>0</v>
      </c>
      <c r="EX395">
        <v>0</v>
      </c>
      <c r="EY395">
        <v>0</v>
      </c>
      <c r="EZ395">
        <v>0</v>
      </c>
      <c r="FA395">
        <v>0</v>
      </c>
      <c r="FB395">
        <v>0</v>
      </c>
      <c r="FC395">
        <v>0</v>
      </c>
      <c r="FD395">
        <v>0</v>
      </c>
      <c r="FG395" t="e">
        <v>#N/A</v>
      </c>
      <c r="FI395" t="e">
        <v>#N/A</v>
      </c>
      <c r="FK395" t="e">
        <v>#N/A</v>
      </c>
      <c r="FM395" t="e">
        <v>#N/A</v>
      </c>
      <c r="FO395" t="e">
        <v>#N/A</v>
      </c>
      <c r="FQ395" t="e">
        <v>#N/A</v>
      </c>
      <c r="FS395" t="e">
        <v>#N/A</v>
      </c>
      <c r="FU395" t="e">
        <v>#N/A</v>
      </c>
      <c r="FW395" t="e">
        <v>#N/A</v>
      </c>
      <c r="FY395" t="e">
        <v>#N/A</v>
      </c>
      <c r="GA395" t="e">
        <v>#N/A</v>
      </c>
      <c r="GC395" t="e">
        <v>#N/A</v>
      </c>
      <c r="GE395" t="e">
        <v>#N/A</v>
      </c>
      <c r="GG395" t="e">
        <v>#N/A</v>
      </c>
      <c r="GI395" t="e">
        <v>#N/A</v>
      </c>
      <c r="GK395" t="e">
        <v>#N/A</v>
      </c>
      <c r="GM395" t="e">
        <v>#N/A</v>
      </c>
      <c r="GO395" t="e">
        <v>#N/A</v>
      </c>
      <c r="GQ395" t="e">
        <v>#N/A</v>
      </c>
      <c r="GS395" t="e">
        <v>#N/A</v>
      </c>
      <c r="GU395" t="e">
        <v>#N/A</v>
      </c>
      <c r="GW395" t="e">
        <v>#N/A</v>
      </c>
      <c r="GY395" t="e">
        <v>#N/A</v>
      </c>
      <c r="HA395" t="e">
        <v>#N/A</v>
      </c>
      <c r="HC395">
        <v>0</v>
      </c>
      <c r="HD395">
        <v>0</v>
      </c>
      <c r="HE395">
        <v>0</v>
      </c>
      <c r="HF395">
        <v>0</v>
      </c>
      <c r="HG395">
        <v>0</v>
      </c>
      <c r="HH395">
        <v>0</v>
      </c>
      <c r="HI395">
        <v>0</v>
      </c>
      <c r="HJ395">
        <v>0</v>
      </c>
      <c r="HM395">
        <v>0</v>
      </c>
      <c r="HN395">
        <v>0</v>
      </c>
      <c r="HO395">
        <v>0</v>
      </c>
      <c r="HP395">
        <v>0</v>
      </c>
      <c r="HQ395">
        <v>0</v>
      </c>
      <c r="HR395">
        <v>0</v>
      </c>
      <c r="HS395">
        <v>0</v>
      </c>
      <c r="HT395">
        <v>0</v>
      </c>
      <c r="HW395">
        <v>0</v>
      </c>
      <c r="HX395">
        <v>0</v>
      </c>
      <c r="HY395">
        <v>0</v>
      </c>
      <c r="HZ395">
        <v>0</v>
      </c>
      <c r="IA395">
        <v>3930.6</v>
      </c>
      <c r="IB395">
        <v>3632.9</v>
      </c>
      <c r="IC395">
        <v>3795.5</v>
      </c>
      <c r="ID395">
        <v>0</v>
      </c>
      <c r="IE395">
        <v>0</v>
      </c>
      <c r="IF395">
        <v>3548.5</v>
      </c>
      <c r="IG395">
        <v>3395.2</v>
      </c>
      <c r="IH395">
        <v>3395.4</v>
      </c>
      <c r="II395">
        <v>3302.3</v>
      </c>
      <c r="IJ395">
        <v>3172.8</v>
      </c>
      <c r="IK395">
        <v>0</v>
      </c>
      <c r="IL395">
        <v>0</v>
      </c>
      <c r="IM395">
        <v>0</v>
      </c>
      <c r="IN395">
        <v>0</v>
      </c>
      <c r="IO395">
        <v>123.4</v>
      </c>
      <c r="IP395">
        <v>405.2</v>
      </c>
      <c r="IQ395">
        <v>418.7</v>
      </c>
      <c r="IR395">
        <v>0</v>
      </c>
      <c r="IS395">
        <v>0</v>
      </c>
      <c r="IT395">
        <v>0</v>
      </c>
      <c r="IU395">
        <v>0</v>
      </c>
      <c r="IV395">
        <v>396</v>
      </c>
      <c r="IW395">
        <v>0</v>
      </c>
      <c r="IX395">
        <v>0</v>
      </c>
      <c r="IZ395">
        <v>0</v>
      </c>
      <c r="JA395">
        <v>65.5</v>
      </c>
      <c r="JB395">
        <v>443.5</v>
      </c>
      <c r="JC395">
        <v>0</v>
      </c>
      <c r="JD395">
        <v>0</v>
      </c>
      <c r="JE395">
        <v>0</v>
      </c>
      <c r="JF395">
        <v>0</v>
      </c>
      <c r="JG395">
        <v>0</v>
      </c>
      <c r="JH395">
        <v>0</v>
      </c>
      <c r="JI395">
        <v>0</v>
      </c>
      <c r="JJ395">
        <v>0</v>
      </c>
      <c r="JK395">
        <v>0</v>
      </c>
      <c r="JL395">
        <v>0</v>
      </c>
      <c r="JM395">
        <v>0</v>
      </c>
      <c r="JN395">
        <v>0</v>
      </c>
      <c r="JO395">
        <v>0</v>
      </c>
      <c r="JP395">
        <v>0</v>
      </c>
      <c r="JQ395">
        <v>0</v>
      </c>
      <c r="JR395">
        <v>0</v>
      </c>
      <c r="JS395">
        <v>0</v>
      </c>
      <c r="JT395">
        <v>0</v>
      </c>
      <c r="JU395">
        <v>0</v>
      </c>
      <c r="JV395">
        <v>0</v>
      </c>
      <c r="JW395">
        <v>0</v>
      </c>
      <c r="JX395">
        <v>0</v>
      </c>
      <c r="JY395">
        <v>0</v>
      </c>
      <c r="JZ395">
        <v>0</v>
      </c>
      <c r="KA395">
        <v>0</v>
      </c>
      <c r="KB395">
        <v>0</v>
      </c>
      <c r="KC395">
        <v>0</v>
      </c>
      <c r="KD395">
        <v>0</v>
      </c>
      <c r="KE395">
        <v>0</v>
      </c>
      <c r="KF395">
        <v>0</v>
      </c>
      <c r="KI395">
        <v>344.6</v>
      </c>
      <c r="KJ395">
        <v>350.8</v>
      </c>
      <c r="KK395">
        <v>22.1</v>
      </c>
      <c r="KL395">
        <v>379.3</v>
      </c>
      <c r="KM395">
        <v>241.4</v>
      </c>
      <c r="KN395">
        <v>0</v>
      </c>
      <c r="KO395">
        <v>0</v>
      </c>
      <c r="KP395">
        <v>57.3</v>
      </c>
      <c r="KQ395">
        <v>224.4</v>
      </c>
      <c r="KR395">
        <v>338.3</v>
      </c>
      <c r="KS395">
        <v>215.8</v>
      </c>
      <c r="KT395">
        <v>40.700000000000003</v>
      </c>
      <c r="KW395">
        <v>2154.5</v>
      </c>
      <c r="KX395">
        <v>1255.7</v>
      </c>
      <c r="KY395">
        <v>1630.1</v>
      </c>
      <c r="KZ395">
        <v>1246.9000000000001</v>
      </c>
      <c r="LB395">
        <v>78.099999999999994</v>
      </c>
      <c r="LC395">
        <v>77.7</v>
      </c>
    </row>
    <row r="396" spans="1:315" ht="18" thickBot="1">
      <c r="A396" s="250"/>
      <c r="B396" s="576" t="s">
        <v>423</v>
      </c>
      <c r="C396" s="341" t="s">
        <v>704</v>
      </c>
      <c r="D396" s="311" t="s">
        <v>702</v>
      </c>
      <c r="E396" s="454">
        <v>0</v>
      </c>
      <c r="F396" s="216">
        <v>0</v>
      </c>
      <c r="G396" s="427">
        <v>3413.8</v>
      </c>
      <c r="H396" s="155"/>
      <c r="I396">
        <v>735</v>
      </c>
      <c r="K396">
        <v>1973.1000000000001</v>
      </c>
      <c r="L396" s="4">
        <v>221.60000000000002</v>
      </c>
      <c r="M396" s="4">
        <v>54.9</v>
      </c>
      <c r="N396" s="4">
        <v>1989.7</v>
      </c>
      <c r="P396">
        <v>0</v>
      </c>
      <c r="Q396">
        <v>238.29999999999998</v>
      </c>
      <c r="R396">
        <v>0</v>
      </c>
      <c r="S396">
        <v>0</v>
      </c>
      <c r="T396">
        <v>368.5</v>
      </c>
      <c r="W396">
        <v>720.3</v>
      </c>
      <c r="X396">
        <v>1411.5</v>
      </c>
      <c r="Y396">
        <v>96.5</v>
      </c>
      <c r="AA396">
        <v>859.6</v>
      </c>
      <c r="AB396">
        <v>1577.6000000000001</v>
      </c>
      <c r="AE396">
        <v>1330</v>
      </c>
      <c r="AF396">
        <v>1025.5</v>
      </c>
      <c r="AH396">
        <v>509.9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1349.3</v>
      </c>
      <c r="AO396">
        <v>786.40000000000009</v>
      </c>
      <c r="AP396">
        <v>0</v>
      </c>
      <c r="AQ396">
        <v>68.3</v>
      </c>
      <c r="AR396">
        <v>234.9</v>
      </c>
      <c r="AS396">
        <v>600.40000000000009</v>
      </c>
      <c r="AU396">
        <v>985.69999999999993</v>
      </c>
      <c r="AW396">
        <v>792</v>
      </c>
      <c r="AX396">
        <v>1988.5</v>
      </c>
      <c r="AZ396">
        <v>763.5</v>
      </c>
      <c r="BA396">
        <v>0</v>
      </c>
      <c r="BB396">
        <v>0</v>
      </c>
      <c r="BC396">
        <v>1935.3</v>
      </c>
      <c r="BD396">
        <v>1006.5</v>
      </c>
      <c r="BE396">
        <v>0</v>
      </c>
      <c r="BF396">
        <v>0</v>
      </c>
      <c r="BG396">
        <v>0</v>
      </c>
      <c r="BH396">
        <v>1662.6</v>
      </c>
      <c r="BJ396">
        <v>0</v>
      </c>
      <c r="BK396">
        <v>0</v>
      </c>
      <c r="BL396">
        <v>1038.9000000000001</v>
      </c>
      <c r="BM396">
        <v>1101</v>
      </c>
      <c r="BO396">
        <v>1276.8000000000002</v>
      </c>
      <c r="BQ396">
        <v>0</v>
      </c>
      <c r="BR396">
        <v>270.7</v>
      </c>
      <c r="BS396">
        <v>230.5</v>
      </c>
      <c r="BT396">
        <v>472.3</v>
      </c>
      <c r="BU396">
        <v>537.29999999999995</v>
      </c>
      <c r="BV396">
        <v>346.3</v>
      </c>
      <c r="BW396">
        <v>386.2</v>
      </c>
      <c r="BX396">
        <v>767</v>
      </c>
      <c r="BY396">
        <v>757.2</v>
      </c>
      <c r="BZ396">
        <v>1037.2</v>
      </c>
      <c r="CA396">
        <v>1227.0999999999999</v>
      </c>
      <c r="CB396">
        <v>1232.0999999999999</v>
      </c>
      <c r="CC396">
        <v>1701.5</v>
      </c>
      <c r="CD396">
        <v>0</v>
      </c>
      <c r="CG396">
        <v>1385.3</v>
      </c>
      <c r="CJ396">
        <v>1630.2999999999997</v>
      </c>
      <c r="CM396">
        <v>1184.2</v>
      </c>
      <c r="CO396">
        <v>1248.0999999999999</v>
      </c>
      <c r="CQ396">
        <v>1435.3</v>
      </c>
      <c r="CR396">
        <v>798.2</v>
      </c>
      <c r="CS396">
        <v>923.8</v>
      </c>
      <c r="CT396">
        <v>0</v>
      </c>
      <c r="CU396">
        <v>0</v>
      </c>
      <c r="CV396">
        <v>0</v>
      </c>
      <c r="CW396">
        <v>0</v>
      </c>
      <c r="CX396">
        <v>163.69999999999999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I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G396" t="e">
        <v>#N/A</v>
      </c>
      <c r="FI396" t="e">
        <v>#N/A</v>
      </c>
      <c r="FK396" t="e">
        <v>#N/A</v>
      </c>
      <c r="FM396" t="e">
        <v>#N/A</v>
      </c>
      <c r="FO396" t="e">
        <v>#N/A</v>
      </c>
      <c r="FQ396" t="e">
        <v>#N/A</v>
      </c>
      <c r="FS396" t="e">
        <v>#N/A</v>
      </c>
      <c r="FU396" t="e">
        <v>#N/A</v>
      </c>
      <c r="FW396" t="e">
        <v>#N/A</v>
      </c>
      <c r="FY396" t="e">
        <v>#N/A</v>
      </c>
      <c r="GA396" t="e">
        <v>#N/A</v>
      </c>
      <c r="GC396" t="e">
        <v>#N/A</v>
      </c>
      <c r="GE396" t="e">
        <v>#N/A</v>
      </c>
      <c r="GG396" t="e">
        <v>#N/A</v>
      </c>
      <c r="GI396" t="e">
        <v>#N/A</v>
      </c>
      <c r="GK396" t="e">
        <v>#N/A</v>
      </c>
      <c r="GM396" t="e">
        <v>#N/A</v>
      </c>
      <c r="GO396" t="e">
        <v>#N/A</v>
      </c>
      <c r="GQ396" t="e">
        <v>#N/A</v>
      </c>
      <c r="GS396" t="e">
        <v>#N/A</v>
      </c>
      <c r="GU396" t="e">
        <v>#N/A</v>
      </c>
      <c r="GW396" t="e">
        <v>#N/A</v>
      </c>
      <c r="GY396" t="e">
        <v>#N/A</v>
      </c>
      <c r="HA396" t="e">
        <v>#N/A</v>
      </c>
      <c r="HC396">
        <v>0</v>
      </c>
      <c r="HD396">
        <v>0</v>
      </c>
      <c r="HE396">
        <v>0</v>
      </c>
      <c r="HF396">
        <v>0</v>
      </c>
      <c r="HG396">
        <v>0</v>
      </c>
      <c r="HH396">
        <v>0</v>
      </c>
      <c r="HI396">
        <v>0</v>
      </c>
      <c r="HJ396">
        <v>0</v>
      </c>
      <c r="HM396">
        <v>0</v>
      </c>
      <c r="HN396">
        <v>0</v>
      </c>
      <c r="HO396">
        <v>0</v>
      </c>
      <c r="HP396">
        <v>0</v>
      </c>
      <c r="HQ396">
        <v>0</v>
      </c>
      <c r="HR396">
        <v>0</v>
      </c>
      <c r="HS396">
        <v>0</v>
      </c>
      <c r="HT396">
        <v>0</v>
      </c>
      <c r="HW396">
        <v>0</v>
      </c>
      <c r="HX396">
        <v>0</v>
      </c>
      <c r="HY396">
        <v>0</v>
      </c>
      <c r="HZ396">
        <v>0</v>
      </c>
      <c r="IA396">
        <v>3930.6</v>
      </c>
      <c r="IB396">
        <v>3632.9</v>
      </c>
      <c r="IC396">
        <v>3795.5</v>
      </c>
      <c r="ID396">
        <v>0</v>
      </c>
      <c r="IE396">
        <v>0</v>
      </c>
      <c r="IF396">
        <v>3548.5</v>
      </c>
      <c r="IG396">
        <v>3395.2</v>
      </c>
      <c r="IH396">
        <v>3395.4</v>
      </c>
      <c r="II396">
        <v>3302.3</v>
      </c>
      <c r="IJ396">
        <v>3172.8</v>
      </c>
      <c r="IK396">
        <v>0</v>
      </c>
      <c r="IL396">
        <v>0</v>
      </c>
      <c r="IM396">
        <v>0</v>
      </c>
      <c r="IN396">
        <v>0</v>
      </c>
      <c r="IO396">
        <v>123.4</v>
      </c>
      <c r="IP396">
        <v>405.2</v>
      </c>
      <c r="IQ396">
        <v>418.7</v>
      </c>
      <c r="IR396">
        <v>0</v>
      </c>
      <c r="IS396">
        <v>0</v>
      </c>
      <c r="IT396">
        <v>0</v>
      </c>
      <c r="IU396">
        <v>0</v>
      </c>
      <c r="IV396">
        <v>396</v>
      </c>
      <c r="IW396">
        <v>0</v>
      </c>
      <c r="IX396">
        <v>0</v>
      </c>
      <c r="IZ396">
        <v>0</v>
      </c>
      <c r="JA396">
        <v>65.5</v>
      </c>
      <c r="JB396">
        <v>443.5</v>
      </c>
      <c r="JC396">
        <v>0</v>
      </c>
      <c r="JD396">
        <v>0</v>
      </c>
      <c r="JE396">
        <v>0</v>
      </c>
      <c r="JF396">
        <v>0</v>
      </c>
      <c r="JG396">
        <v>0</v>
      </c>
      <c r="JH396">
        <v>0</v>
      </c>
      <c r="JI396">
        <v>0</v>
      </c>
      <c r="JJ396">
        <v>0</v>
      </c>
      <c r="JK396">
        <v>0</v>
      </c>
      <c r="JL396">
        <v>0</v>
      </c>
      <c r="JM396">
        <v>0</v>
      </c>
      <c r="JN396">
        <v>0</v>
      </c>
      <c r="JO396">
        <v>0</v>
      </c>
      <c r="JP396">
        <v>0</v>
      </c>
      <c r="JQ396">
        <v>0</v>
      </c>
      <c r="JR396">
        <v>0</v>
      </c>
      <c r="JS396">
        <v>0</v>
      </c>
      <c r="JT396">
        <v>0</v>
      </c>
      <c r="JU396">
        <v>0</v>
      </c>
      <c r="JV396">
        <v>0</v>
      </c>
      <c r="JW396">
        <v>0</v>
      </c>
      <c r="JX396">
        <v>0</v>
      </c>
      <c r="JY396">
        <v>0</v>
      </c>
      <c r="JZ396">
        <v>0</v>
      </c>
      <c r="KA396">
        <v>0</v>
      </c>
      <c r="KB396">
        <v>0</v>
      </c>
      <c r="KC396">
        <v>0</v>
      </c>
      <c r="KD396">
        <v>0</v>
      </c>
      <c r="KE396">
        <v>0</v>
      </c>
      <c r="KF396">
        <v>0</v>
      </c>
      <c r="KI396">
        <v>344.6</v>
      </c>
      <c r="KJ396">
        <v>350.8</v>
      </c>
      <c r="KK396">
        <v>22.1</v>
      </c>
      <c r="KL396">
        <v>379.3</v>
      </c>
      <c r="KM396">
        <v>241.4</v>
      </c>
      <c r="KN396">
        <v>0</v>
      </c>
      <c r="KO396">
        <v>0</v>
      </c>
      <c r="KP396">
        <v>57.3</v>
      </c>
      <c r="KQ396">
        <v>224.4</v>
      </c>
      <c r="KR396">
        <v>338.3</v>
      </c>
      <c r="KS396">
        <v>215.8</v>
      </c>
      <c r="KT396">
        <v>40.700000000000003</v>
      </c>
      <c r="KW396">
        <v>2154.5</v>
      </c>
      <c r="KX396">
        <v>1255.7</v>
      </c>
      <c r="KY396">
        <v>1630.1</v>
      </c>
      <c r="KZ396">
        <v>1246.9000000000001</v>
      </c>
      <c r="LB396">
        <v>78.099999999999994</v>
      </c>
      <c r="LC396">
        <v>77.7</v>
      </c>
    </row>
    <row r="397" spans="1:315" ht="18" thickBot="1">
      <c r="A397" s="251"/>
      <c r="B397" s="577"/>
      <c r="C397" s="343"/>
      <c r="D397" s="311"/>
      <c r="E397" s="454">
        <v>0</v>
      </c>
      <c r="F397" s="217">
        <v>0</v>
      </c>
      <c r="G397" s="427">
        <v>3413.8</v>
      </c>
      <c r="H397" s="155"/>
      <c r="I397">
        <v>735</v>
      </c>
      <c r="K397">
        <v>1973.1000000000001</v>
      </c>
      <c r="L397" s="4">
        <v>221.60000000000002</v>
      </c>
      <c r="M397" s="4">
        <v>54.9</v>
      </c>
      <c r="N397" s="4">
        <v>1989.7</v>
      </c>
      <c r="P397">
        <v>0</v>
      </c>
      <c r="Q397">
        <v>238.29999999999998</v>
      </c>
      <c r="R397">
        <v>0</v>
      </c>
      <c r="S397">
        <v>0</v>
      </c>
      <c r="T397">
        <v>368.5</v>
      </c>
      <c r="W397">
        <v>720.3</v>
      </c>
      <c r="X397">
        <v>1411.5</v>
      </c>
      <c r="Y397">
        <v>96.5</v>
      </c>
      <c r="AA397">
        <v>859.6</v>
      </c>
      <c r="AB397">
        <v>1577.6000000000001</v>
      </c>
      <c r="AE397">
        <v>1330</v>
      </c>
      <c r="AF397">
        <v>1025.5</v>
      </c>
      <c r="AH397">
        <v>509.9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1349.3</v>
      </c>
      <c r="AO397">
        <v>786.40000000000009</v>
      </c>
      <c r="AP397">
        <v>0</v>
      </c>
      <c r="AQ397">
        <v>68.3</v>
      </c>
      <c r="AR397">
        <v>234.9</v>
      </c>
      <c r="AS397">
        <v>600.40000000000009</v>
      </c>
      <c r="AU397">
        <v>985.69999999999993</v>
      </c>
      <c r="AW397">
        <v>792</v>
      </c>
      <c r="AX397">
        <v>1988.5</v>
      </c>
      <c r="AZ397">
        <v>763.5</v>
      </c>
      <c r="BA397">
        <v>0</v>
      </c>
      <c r="BB397">
        <v>0</v>
      </c>
      <c r="BC397">
        <v>1935.3</v>
      </c>
      <c r="BD397">
        <v>1006.5</v>
      </c>
      <c r="BE397">
        <v>0</v>
      </c>
      <c r="BF397">
        <v>0</v>
      </c>
      <c r="BG397">
        <v>0</v>
      </c>
      <c r="BH397">
        <v>1662.6</v>
      </c>
      <c r="BJ397">
        <v>0</v>
      </c>
      <c r="BK397">
        <v>0</v>
      </c>
      <c r="BL397">
        <v>1038.9000000000001</v>
      </c>
      <c r="BM397">
        <v>1101</v>
      </c>
      <c r="BO397">
        <v>1276.8000000000002</v>
      </c>
      <c r="BQ397">
        <v>0</v>
      </c>
      <c r="BR397">
        <v>270.7</v>
      </c>
      <c r="BS397">
        <v>230.5</v>
      </c>
      <c r="BT397">
        <v>472.3</v>
      </c>
      <c r="BU397">
        <v>537.29999999999995</v>
      </c>
      <c r="BV397">
        <v>346.3</v>
      </c>
      <c r="BW397">
        <v>386.2</v>
      </c>
      <c r="BX397">
        <v>767</v>
      </c>
      <c r="BY397">
        <v>757.2</v>
      </c>
      <c r="BZ397">
        <v>1037.2</v>
      </c>
      <c r="CA397">
        <v>1227.0999999999999</v>
      </c>
      <c r="CB397">
        <v>1232.0999999999999</v>
      </c>
      <c r="CC397">
        <v>1701.5</v>
      </c>
      <c r="CD397">
        <v>0</v>
      </c>
      <c r="CG397">
        <v>1385.3</v>
      </c>
      <c r="CJ397">
        <v>1630.2999999999997</v>
      </c>
      <c r="CM397">
        <v>1184.2</v>
      </c>
      <c r="CO397">
        <v>1248.0999999999999</v>
      </c>
      <c r="CQ397">
        <v>1435.3</v>
      </c>
      <c r="CR397">
        <v>798.2</v>
      </c>
      <c r="CS397">
        <v>923.8</v>
      </c>
      <c r="CT397">
        <v>0</v>
      </c>
      <c r="CU397">
        <v>0</v>
      </c>
      <c r="CV397">
        <v>0</v>
      </c>
      <c r="CW397">
        <v>0</v>
      </c>
      <c r="CX397">
        <v>163.69999999999999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I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G397" t="e">
        <v>#N/A</v>
      </c>
      <c r="FI397" t="e">
        <v>#N/A</v>
      </c>
      <c r="FK397" t="e">
        <v>#N/A</v>
      </c>
      <c r="FM397" t="e">
        <v>#N/A</v>
      </c>
      <c r="FO397" t="e">
        <v>#N/A</v>
      </c>
      <c r="FQ397" t="e">
        <v>#N/A</v>
      </c>
      <c r="FS397" t="e">
        <v>#N/A</v>
      </c>
      <c r="FU397" t="e">
        <v>#N/A</v>
      </c>
      <c r="FW397" t="e">
        <v>#N/A</v>
      </c>
      <c r="FY397" t="e">
        <v>#N/A</v>
      </c>
      <c r="GA397" t="e">
        <v>#N/A</v>
      </c>
      <c r="GC397" t="e">
        <v>#N/A</v>
      </c>
      <c r="GE397" t="e">
        <v>#N/A</v>
      </c>
      <c r="GG397" t="e">
        <v>#N/A</v>
      </c>
      <c r="GI397" t="e">
        <v>#N/A</v>
      </c>
      <c r="GK397" t="e">
        <v>#N/A</v>
      </c>
      <c r="GM397" t="e">
        <v>#N/A</v>
      </c>
      <c r="GO397" t="e">
        <v>#N/A</v>
      </c>
      <c r="GQ397" t="e">
        <v>#N/A</v>
      </c>
      <c r="GS397" t="e">
        <v>#N/A</v>
      </c>
      <c r="GU397" t="e">
        <v>#N/A</v>
      </c>
      <c r="GW397" t="e">
        <v>#N/A</v>
      </c>
      <c r="GY397" t="e">
        <v>#N/A</v>
      </c>
      <c r="HA397" t="e">
        <v>#N/A</v>
      </c>
      <c r="HC397">
        <v>0</v>
      </c>
      <c r="HD397">
        <v>0</v>
      </c>
      <c r="HE397">
        <v>0</v>
      </c>
      <c r="HF397">
        <v>0</v>
      </c>
      <c r="HG397">
        <v>0</v>
      </c>
      <c r="HH397">
        <v>0</v>
      </c>
      <c r="HI397">
        <v>0</v>
      </c>
      <c r="HJ397">
        <v>0</v>
      </c>
      <c r="HM397">
        <v>0</v>
      </c>
      <c r="HN397">
        <v>0</v>
      </c>
      <c r="HO397">
        <v>0</v>
      </c>
      <c r="HP397">
        <v>0</v>
      </c>
      <c r="HQ397">
        <v>0</v>
      </c>
      <c r="HR397">
        <v>0</v>
      </c>
      <c r="HS397">
        <v>0</v>
      </c>
      <c r="HT397">
        <v>0</v>
      </c>
      <c r="HW397">
        <v>0</v>
      </c>
      <c r="HX397">
        <v>0</v>
      </c>
      <c r="HY397">
        <v>0</v>
      </c>
      <c r="HZ397">
        <v>0</v>
      </c>
      <c r="IA397">
        <v>3930.6</v>
      </c>
      <c r="IB397">
        <v>3632.9</v>
      </c>
      <c r="IC397">
        <v>3795.5</v>
      </c>
      <c r="ID397">
        <v>0</v>
      </c>
      <c r="IE397">
        <v>0</v>
      </c>
      <c r="IF397">
        <v>3548.5</v>
      </c>
      <c r="IG397">
        <v>3395.2</v>
      </c>
      <c r="IH397">
        <v>3395.4</v>
      </c>
      <c r="II397">
        <v>3302.3</v>
      </c>
      <c r="IJ397">
        <v>3172.8</v>
      </c>
      <c r="IK397">
        <v>0</v>
      </c>
      <c r="IL397">
        <v>0</v>
      </c>
      <c r="IM397">
        <v>0</v>
      </c>
      <c r="IN397">
        <v>0</v>
      </c>
      <c r="IO397">
        <v>123.4</v>
      </c>
      <c r="IP397">
        <v>405.2</v>
      </c>
      <c r="IQ397">
        <v>418.7</v>
      </c>
      <c r="IR397">
        <v>0</v>
      </c>
      <c r="IS397">
        <v>0</v>
      </c>
      <c r="IT397">
        <v>0</v>
      </c>
      <c r="IU397">
        <v>0</v>
      </c>
      <c r="IV397">
        <v>396</v>
      </c>
      <c r="IW397">
        <v>0</v>
      </c>
      <c r="IX397">
        <v>0</v>
      </c>
      <c r="IZ397">
        <v>0</v>
      </c>
      <c r="JA397">
        <v>65.5</v>
      </c>
      <c r="JB397">
        <v>443.5</v>
      </c>
      <c r="JC397">
        <v>0</v>
      </c>
      <c r="JD397">
        <v>0</v>
      </c>
      <c r="JE397">
        <v>0</v>
      </c>
      <c r="JF397">
        <v>0</v>
      </c>
      <c r="JG397">
        <v>0</v>
      </c>
      <c r="JH397">
        <v>0</v>
      </c>
      <c r="JI397">
        <v>0</v>
      </c>
      <c r="JJ397">
        <v>0</v>
      </c>
      <c r="JK397">
        <v>0</v>
      </c>
      <c r="JL397">
        <v>0</v>
      </c>
      <c r="JM397">
        <v>0</v>
      </c>
      <c r="JN397">
        <v>0</v>
      </c>
      <c r="JO397">
        <v>0</v>
      </c>
      <c r="JP397">
        <v>0</v>
      </c>
      <c r="JQ397">
        <v>0</v>
      </c>
      <c r="JR397">
        <v>0</v>
      </c>
      <c r="JS397">
        <v>0</v>
      </c>
      <c r="JT397">
        <v>0</v>
      </c>
      <c r="JU397">
        <v>0</v>
      </c>
      <c r="JV397">
        <v>0</v>
      </c>
      <c r="JW397">
        <v>0</v>
      </c>
      <c r="JX397">
        <v>0</v>
      </c>
      <c r="JY397">
        <v>0</v>
      </c>
      <c r="JZ397">
        <v>0</v>
      </c>
      <c r="KA397">
        <v>0</v>
      </c>
      <c r="KB397">
        <v>0</v>
      </c>
      <c r="KC397">
        <v>0</v>
      </c>
      <c r="KD397">
        <v>0</v>
      </c>
      <c r="KE397">
        <v>0</v>
      </c>
      <c r="KF397">
        <v>0</v>
      </c>
      <c r="KI397">
        <v>344.6</v>
      </c>
      <c r="KJ397">
        <v>350.8</v>
      </c>
      <c r="KK397">
        <v>22.1</v>
      </c>
      <c r="KL397">
        <v>379.3</v>
      </c>
      <c r="KM397">
        <v>241.4</v>
      </c>
      <c r="KN397">
        <v>0</v>
      </c>
      <c r="KO397">
        <v>0</v>
      </c>
      <c r="KP397">
        <v>57.3</v>
      </c>
      <c r="KQ397">
        <v>224.4</v>
      </c>
      <c r="KR397">
        <v>338.3</v>
      </c>
      <c r="KS397">
        <v>215.8</v>
      </c>
      <c r="KT397">
        <v>40.700000000000003</v>
      </c>
      <c r="KW397">
        <v>2154.5</v>
      </c>
      <c r="KX397">
        <v>1255.7</v>
      </c>
      <c r="KY397">
        <v>1630.1</v>
      </c>
      <c r="KZ397">
        <v>1246.9000000000001</v>
      </c>
      <c r="LB397">
        <v>78.099999999999994</v>
      </c>
      <c r="LC397">
        <v>77.7</v>
      </c>
    </row>
    <row r="398" spans="1:315" ht="18" thickBot="1">
      <c r="A398" s="243"/>
      <c r="B398" s="572" t="s">
        <v>424</v>
      </c>
      <c r="C398" s="341" t="s">
        <v>705</v>
      </c>
      <c r="D398" s="311" t="s">
        <v>702</v>
      </c>
      <c r="E398" s="454">
        <v>0</v>
      </c>
      <c r="F398" s="213">
        <v>0</v>
      </c>
      <c r="G398" s="427">
        <v>3413.8</v>
      </c>
      <c r="H398" s="155"/>
      <c r="I398">
        <v>735</v>
      </c>
      <c r="K398">
        <v>1973.1000000000001</v>
      </c>
      <c r="L398" s="4">
        <v>221.60000000000002</v>
      </c>
      <c r="M398" s="4">
        <v>54.9</v>
      </c>
      <c r="N398" s="4">
        <v>1989.7</v>
      </c>
      <c r="P398">
        <v>0</v>
      </c>
      <c r="Q398">
        <v>238.29999999999998</v>
      </c>
      <c r="R398">
        <v>0</v>
      </c>
      <c r="S398">
        <v>0</v>
      </c>
      <c r="T398">
        <v>368.5</v>
      </c>
      <c r="W398">
        <v>720.3</v>
      </c>
      <c r="X398">
        <v>1411.5</v>
      </c>
      <c r="Y398">
        <v>96.5</v>
      </c>
      <c r="AA398">
        <v>859.6</v>
      </c>
      <c r="AB398">
        <v>1577.6000000000001</v>
      </c>
      <c r="AE398">
        <v>1330</v>
      </c>
      <c r="AF398">
        <v>1025.5</v>
      </c>
      <c r="AH398">
        <v>509.9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1349.3</v>
      </c>
      <c r="AO398">
        <v>786.40000000000009</v>
      </c>
      <c r="AP398">
        <v>0</v>
      </c>
      <c r="AQ398">
        <v>68.3</v>
      </c>
      <c r="AR398">
        <v>234.9</v>
      </c>
      <c r="AS398">
        <v>600.40000000000009</v>
      </c>
      <c r="AU398">
        <v>985.69999999999993</v>
      </c>
      <c r="AW398">
        <v>792</v>
      </c>
      <c r="AX398">
        <v>1988.5</v>
      </c>
      <c r="AZ398">
        <v>763.5</v>
      </c>
      <c r="BA398">
        <v>0</v>
      </c>
      <c r="BB398">
        <v>0</v>
      </c>
      <c r="BC398">
        <v>1935.3</v>
      </c>
      <c r="BD398">
        <v>1006.5</v>
      </c>
      <c r="BE398">
        <v>0</v>
      </c>
      <c r="BF398">
        <v>0</v>
      </c>
      <c r="BG398">
        <v>0</v>
      </c>
      <c r="BH398">
        <v>1662.6</v>
      </c>
      <c r="BJ398">
        <v>0</v>
      </c>
      <c r="BK398">
        <v>0</v>
      </c>
      <c r="BL398">
        <v>1038.9000000000001</v>
      </c>
      <c r="BM398">
        <v>1101</v>
      </c>
      <c r="BO398">
        <v>1276.8000000000002</v>
      </c>
      <c r="BQ398">
        <v>0</v>
      </c>
      <c r="BR398">
        <v>270.7</v>
      </c>
      <c r="BS398">
        <v>230.5</v>
      </c>
      <c r="BT398">
        <v>472.3</v>
      </c>
      <c r="BU398">
        <v>537.29999999999995</v>
      </c>
      <c r="BV398">
        <v>346.3</v>
      </c>
      <c r="BW398">
        <v>386.2</v>
      </c>
      <c r="BX398">
        <v>767</v>
      </c>
      <c r="BY398">
        <v>757.2</v>
      </c>
      <c r="BZ398">
        <v>1037.2</v>
      </c>
      <c r="CA398">
        <v>1227.0999999999999</v>
      </c>
      <c r="CB398">
        <v>1232.0999999999999</v>
      </c>
      <c r="CC398">
        <v>1701.5</v>
      </c>
      <c r="CD398">
        <v>0</v>
      </c>
      <c r="CG398">
        <v>1385.3</v>
      </c>
      <c r="CJ398">
        <v>1630.2999999999997</v>
      </c>
      <c r="CM398">
        <v>1184.2</v>
      </c>
      <c r="CO398">
        <v>1248.0999999999999</v>
      </c>
      <c r="CQ398">
        <v>1435.3</v>
      </c>
      <c r="CR398">
        <v>798.2</v>
      </c>
      <c r="CS398">
        <v>923.8</v>
      </c>
      <c r="CT398">
        <v>0</v>
      </c>
      <c r="CU398">
        <v>0</v>
      </c>
      <c r="CV398">
        <v>0</v>
      </c>
      <c r="CW398">
        <v>0</v>
      </c>
      <c r="CX398">
        <v>163.69999999999999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I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G398" t="e">
        <v>#N/A</v>
      </c>
      <c r="FI398" t="e">
        <v>#N/A</v>
      </c>
      <c r="FK398" t="e">
        <v>#N/A</v>
      </c>
      <c r="FM398" t="e">
        <v>#N/A</v>
      </c>
      <c r="FO398" t="e">
        <v>#N/A</v>
      </c>
      <c r="FQ398" t="e">
        <v>#N/A</v>
      </c>
      <c r="FS398" t="e">
        <v>#N/A</v>
      </c>
      <c r="FU398" t="e">
        <v>#N/A</v>
      </c>
      <c r="FW398" t="e">
        <v>#N/A</v>
      </c>
      <c r="FY398" t="e">
        <v>#N/A</v>
      </c>
      <c r="GA398" t="e">
        <v>#N/A</v>
      </c>
      <c r="GC398" t="e">
        <v>#N/A</v>
      </c>
      <c r="GE398" t="e">
        <v>#N/A</v>
      </c>
      <c r="GG398" t="e">
        <v>#N/A</v>
      </c>
      <c r="GI398" t="e">
        <v>#N/A</v>
      </c>
      <c r="GK398" t="e">
        <v>#N/A</v>
      </c>
      <c r="GM398" t="e">
        <v>#N/A</v>
      </c>
      <c r="GO398" t="e">
        <v>#N/A</v>
      </c>
      <c r="GQ398" t="e">
        <v>#N/A</v>
      </c>
      <c r="GS398" t="e">
        <v>#N/A</v>
      </c>
      <c r="GU398" t="e">
        <v>#N/A</v>
      </c>
      <c r="GW398" t="e">
        <v>#N/A</v>
      </c>
      <c r="GY398" t="e">
        <v>#N/A</v>
      </c>
      <c r="HA398" t="e">
        <v>#N/A</v>
      </c>
      <c r="HC398">
        <v>0</v>
      </c>
      <c r="HD398">
        <v>0</v>
      </c>
      <c r="HE398">
        <v>0</v>
      </c>
      <c r="HF398">
        <v>0</v>
      </c>
      <c r="HG398">
        <v>0</v>
      </c>
      <c r="HH398">
        <v>0</v>
      </c>
      <c r="HI398">
        <v>0</v>
      </c>
      <c r="HJ398">
        <v>0</v>
      </c>
      <c r="HM398">
        <v>0</v>
      </c>
      <c r="HN398">
        <v>0</v>
      </c>
      <c r="HO398">
        <v>0</v>
      </c>
      <c r="HP398">
        <v>0</v>
      </c>
      <c r="HQ398">
        <v>0</v>
      </c>
      <c r="HR398">
        <v>0</v>
      </c>
      <c r="HS398">
        <v>0</v>
      </c>
      <c r="HT398">
        <v>0</v>
      </c>
      <c r="HW398">
        <v>0</v>
      </c>
      <c r="HX398">
        <v>0</v>
      </c>
      <c r="HY398">
        <v>0</v>
      </c>
      <c r="HZ398">
        <v>0</v>
      </c>
      <c r="IA398">
        <v>3930.6</v>
      </c>
      <c r="IB398">
        <v>3632.9</v>
      </c>
      <c r="IC398">
        <v>3795.5</v>
      </c>
      <c r="ID398">
        <v>0</v>
      </c>
      <c r="IE398">
        <v>0</v>
      </c>
      <c r="IF398">
        <v>3548.5</v>
      </c>
      <c r="IG398">
        <v>3395.2</v>
      </c>
      <c r="IH398">
        <v>3395.4</v>
      </c>
      <c r="II398">
        <v>3302.3</v>
      </c>
      <c r="IJ398">
        <v>3172.8</v>
      </c>
      <c r="IK398">
        <v>0</v>
      </c>
      <c r="IL398">
        <v>0</v>
      </c>
      <c r="IM398">
        <v>0</v>
      </c>
      <c r="IN398">
        <v>0</v>
      </c>
      <c r="IO398">
        <v>123.4</v>
      </c>
      <c r="IP398">
        <v>405.2</v>
      </c>
      <c r="IQ398">
        <v>418.7</v>
      </c>
      <c r="IR398">
        <v>0</v>
      </c>
      <c r="IS398">
        <v>0</v>
      </c>
      <c r="IT398">
        <v>0</v>
      </c>
      <c r="IU398">
        <v>0</v>
      </c>
      <c r="IV398">
        <v>396</v>
      </c>
      <c r="IW398">
        <v>0</v>
      </c>
      <c r="IX398">
        <v>0</v>
      </c>
      <c r="IZ398">
        <v>0</v>
      </c>
      <c r="JA398">
        <v>65.5</v>
      </c>
      <c r="JB398">
        <v>443.5</v>
      </c>
      <c r="JC398">
        <v>0</v>
      </c>
      <c r="JD398">
        <v>0</v>
      </c>
      <c r="JE398">
        <v>0</v>
      </c>
      <c r="JF398">
        <v>0</v>
      </c>
      <c r="JG398">
        <v>0</v>
      </c>
      <c r="JH398">
        <v>0</v>
      </c>
      <c r="JI398">
        <v>0</v>
      </c>
      <c r="JJ398">
        <v>0</v>
      </c>
      <c r="JK398">
        <v>0</v>
      </c>
      <c r="JL398">
        <v>0</v>
      </c>
      <c r="JM398">
        <v>0</v>
      </c>
      <c r="JN398">
        <v>0</v>
      </c>
      <c r="JO398">
        <v>0</v>
      </c>
      <c r="JP398">
        <v>0</v>
      </c>
      <c r="JQ398">
        <v>0</v>
      </c>
      <c r="JR398">
        <v>0</v>
      </c>
      <c r="JS398">
        <v>0</v>
      </c>
      <c r="JT398">
        <v>0</v>
      </c>
      <c r="JU398">
        <v>0</v>
      </c>
      <c r="JV398">
        <v>0</v>
      </c>
      <c r="JW398">
        <v>0</v>
      </c>
      <c r="JX398">
        <v>0</v>
      </c>
      <c r="JY398">
        <v>0</v>
      </c>
      <c r="JZ398">
        <v>0</v>
      </c>
      <c r="KA398">
        <v>0</v>
      </c>
      <c r="KB398">
        <v>0</v>
      </c>
      <c r="KC398">
        <v>0</v>
      </c>
      <c r="KD398">
        <v>0</v>
      </c>
      <c r="KE398">
        <v>0</v>
      </c>
      <c r="KF398">
        <v>0</v>
      </c>
      <c r="KI398">
        <v>344.6</v>
      </c>
      <c r="KJ398">
        <v>350.8</v>
      </c>
      <c r="KK398">
        <v>22.1</v>
      </c>
      <c r="KL398">
        <v>379.3</v>
      </c>
      <c r="KM398">
        <v>241.4</v>
      </c>
      <c r="KN398">
        <v>0</v>
      </c>
      <c r="KO398">
        <v>0</v>
      </c>
      <c r="KP398">
        <v>57.3</v>
      </c>
      <c r="KQ398">
        <v>224.4</v>
      </c>
      <c r="KR398">
        <v>338.3</v>
      </c>
      <c r="KS398">
        <v>215.8</v>
      </c>
      <c r="KT398">
        <v>40.700000000000003</v>
      </c>
      <c r="KW398">
        <v>2154.5</v>
      </c>
      <c r="KX398">
        <v>1255.7</v>
      </c>
      <c r="KY398">
        <v>1630.1</v>
      </c>
      <c r="KZ398">
        <v>1246.9000000000001</v>
      </c>
      <c r="LB398">
        <v>78.099999999999994</v>
      </c>
      <c r="LC398">
        <v>77.7</v>
      </c>
    </row>
    <row r="399" spans="1:315" ht="18" thickBot="1">
      <c r="A399" s="243"/>
      <c r="B399" s="572"/>
      <c r="C399" s="343"/>
      <c r="D399" s="311"/>
      <c r="E399" s="454">
        <v>0</v>
      </c>
      <c r="F399" s="215">
        <v>0</v>
      </c>
      <c r="G399" s="427">
        <v>3413.8</v>
      </c>
      <c r="H399" s="155"/>
      <c r="I399">
        <v>735</v>
      </c>
      <c r="K399">
        <v>1973.1000000000001</v>
      </c>
      <c r="L399" s="4">
        <v>221.60000000000002</v>
      </c>
      <c r="M399" s="4">
        <v>54.9</v>
      </c>
      <c r="N399" s="4">
        <v>1989.7</v>
      </c>
      <c r="P399">
        <v>0</v>
      </c>
      <c r="Q399">
        <v>238.29999999999998</v>
      </c>
      <c r="R399">
        <v>0</v>
      </c>
      <c r="S399">
        <v>0</v>
      </c>
      <c r="T399">
        <v>368.5</v>
      </c>
      <c r="W399">
        <v>720.3</v>
      </c>
      <c r="X399">
        <v>1411.5</v>
      </c>
      <c r="Y399">
        <v>96.5</v>
      </c>
      <c r="AA399">
        <v>859.6</v>
      </c>
      <c r="AB399">
        <v>1577.6000000000001</v>
      </c>
      <c r="AE399">
        <v>1330</v>
      </c>
      <c r="AF399">
        <v>1025.5</v>
      </c>
      <c r="AH399">
        <v>509.9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1349.3</v>
      </c>
      <c r="AO399">
        <v>786.40000000000009</v>
      </c>
      <c r="AP399">
        <v>0</v>
      </c>
      <c r="AQ399">
        <v>68.3</v>
      </c>
      <c r="AR399">
        <v>234.9</v>
      </c>
      <c r="AS399">
        <v>600.40000000000009</v>
      </c>
      <c r="AU399">
        <v>985.69999999999993</v>
      </c>
      <c r="AW399">
        <v>792</v>
      </c>
      <c r="AX399">
        <v>1988.5</v>
      </c>
      <c r="AZ399">
        <v>763.5</v>
      </c>
      <c r="BA399">
        <v>0</v>
      </c>
      <c r="BB399">
        <v>0</v>
      </c>
      <c r="BC399">
        <v>1935.3</v>
      </c>
      <c r="BD399">
        <v>1006.5</v>
      </c>
      <c r="BE399">
        <v>0</v>
      </c>
      <c r="BF399">
        <v>0</v>
      </c>
      <c r="BG399">
        <v>0</v>
      </c>
      <c r="BH399">
        <v>1662.6</v>
      </c>
      <c r="BJ399">
        <v>0</v>
      </c>
      <c r="BK399">
        <v>0</v>
      </c>
      <c r="BL399">
        <v>1038.9000000000001</v>
      </c>
      <c r="BM399">
        <v>1101</v>
      </c>
      <c r="BO399">
        <v>1276.8000000000002</v>
      </c>
      <c r="BQ399">
        <v>0</v>
      </c>
      <c r="BR399">
        <v>270.7</v>
      </c>
      <c r="BS399">
        <v>230.5</v>
      </c>
      <c r="BT399">
        <v>472.3</v>
      </c>
      <c r="BU399">
        <v>537.29999999999995</v>
      </c>
      <c r="BV399">
        <v>346.3</v>
      </c>
      <c r="BW399">
        <v>386.2</v>
      </c>
      <c r="BX399">
        <v>767</v>
      </c>
      <c r="BY399">
        <v>757.2</v>
      </c>
      <c r="BZ399">
        <v>1037.2</v>
      </c>
      <c r="CA399">
        <v>1227.0999999999999</v>
      </c>
      <c r="CB399">
        <v>1232.0999999999999</v>
      </c>
      <c r="CC399">
        <v>1701.5</v>
      </c>
      <c r="CD399">
        <v>0</v>
      </c>
      <c r="CG399">
        <v>1385.3</v>
      </c>
      <c r="CJ399">
        <v>1630.2999999999997</v>
      </c>
      <c r="CM399">
        <v>1184.2</v>
      </c>
      <c r="CO399">
        <v>1248.0999999999999</v>
      </c>
      <c r="CQ399">
        <v>1435.3</v>
      </c>
      <c r="CR399">
        <v>798.2</v>
      </c>
      <c r="CS399">
        <v>923.8</v>
      </c>
      <c r="CT399">
        <v>0</v>
      </c>
      <c r="CU399">
        <v>0</v>
      </c>
      <c r="CV399">
        <v>0</v>
      </c>
      <c r="CW399">
        <v>0</v>
      </c>
      <c r="CX399">
        <v>163.69999999999999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I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  <c r="EJ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G399" t="e">
        <v>#N/A</v>
      </c>
      <c r="FI399" t="e">
        <v>#N/A</v>
      </c>
      <c r="FK399" t="e">
        <v>#N/A</v>
      </c>
      <c r="FM399" t="e">
        <v>#N/A</v>
      </c>
      <c r="FO399" t="e">
        <v>#N/A</v>
      </c>
      <c r="FQ399" t="e">
        <v>#N/A</v>
      </c>
      <c r="FS399" t="e">
        <v>#N/A</v>
      </c>
      <c r="FU399" t="e">
        <v>#N/A</v>
      </c>
      <c r="FW399" t="e">
        <v>#N/A</v>
      </c>
      <c r="FY399" t="e">
        <v>#N/A</v>
      </c>
      <c r="GA399" t="e">
        <v>#N/A</v>
      </c>
      <c r="GC399" t="e">
        <v>#N/A</v>
      </c>
      <c r="GE399" t="e">
        <v>#N/A</v>
      </c>
      <c r="GG399" t="e">
        <v>#N/A</v>
      </c>
      <c r="GI399" t="e">
        <v>#N/A</v>
      </c>
      <c r="GK399" t="e">
        <v>#N/A</v>
      </c>
      <c r="GM399" t="e">
        <v>#N/A</v>
      </c>
      <c r="GO399" t="e">
        <v>#N/A</v>
      </c>
      <c r="GQ399" t="e">
        <v>#N/A</v>
      </c>
      <c r="GS399" t="e">
        <v>#N/A</v>
      </c>
      <c r="GU399" t="e">
        <v>#N/A</v>
      </c>
      <c r="GW399" t="e">
        <v>#N/A</v>
      </c>
      <c r="GY399" t="e">
        <v>#N/A</v>
      </c>
      <c r="HA399" t="e">
        <v>#N/A</v>
      </c>
      <c r="HC399">
        <v>0</v>
      </c>
      <c r="HD399">
        <v>0</v>
      </c>
      <c r="HE399">
        <v>0</v>
      </c>
      <c r="HF399">
        <v>0</v>
      </c>
      <c r="HG399">
        <v>0</v>
      </c>
      <c r="HH399">
        <v>0</v>
      </c>
      <c r="HI399">
        <v>0</v>
      </c>
      <c r="HJ399">
        <v>0</v>
      </c>
      <c r="HM399">
        <v>0</v>
      </c>
      <c r="HN399">
        <v>0</v>
      </c>
      <c r="HO399">
        <v>0</v>
      </c>
      <c r="HP399">
        <v>0</v>
      </c>
      <c r="HQ399">
        <v>0</v>
      </c>
      <c r="HR399">
        <v>0</v>
      </c>
      <c r="HS399">
        <v>0</v>
      </c>
      <c r="HT399">
        <v>0</v>
      </c>
      <c r="HW399">
        <v>0</v>
      </c>
      <c r="HX399">
        <v>0</v>
      </c>
      <c r="HY399">
        <v>0</v>
      </c>
      <c r="HZ399">
        <v>0</v>
      </c>
      <c r="IA399">
        <v>3930.6</v>
      </c>
      <c r="IB399">
        <v>3632.9</v>
      </c>
      <c r="IC399">
        <v>3795.5</v>
      </c>
      <c r="ID399">
        <v>0</v>
      </c>
      <c r="IE399">
        <v>0</v>
      </c>
      <c r="IF399">
        <v>3548.5</v>
      </c>
      <c r="IG399">
        <v>3395.2</v>
      </c>
      <c r="IH399">
        <v>3395.4</v>
      </c>
      <c r="II399">
        <v>3302.3</v>
      </c>
      <c r="IJ399">
        <v>3172.8</v>
      </c>
      <c r="IK399">
        <v>0</v>
      </c>
      <c r="IL399">
        <v>0</v>
      </c>
      <c r="IM399">
        <v>0</v>
      </c>
      <c r="IN399">
        <v>0</v>
      </c>
      <c r="IO399">
        <v>123.4</v>
      </c>
      <c r="IP399">
        <v>405.2</v>
      </c>
      <c r="IQ399">
        <v>418.7</v>
      </c>
      <c r="IR399">
        <v>0</v>
      </c>
      <c r="IS399">
        <v>0</v>
      </c>
      <c r="IT399">
        <v>0</v>
      </c>
      <c r="IU399">
        <v>0</v>
      </c>
      <c r="IV399">
        <v>396</v>
      </c>
      <c r="IW399">
        <v>0</v>
      </c>
      <c r="IX399">
        <v>0</v>
      </c>
      <c r="IZ399">
        <v>0</v>
      </c>
      <c r="JA399">
        <v>65.5</v>
      </c>
      <c r="JB399">
        <v>443.5</v>
      </c>
      <c r="JC399">
        <v>0</v>
      </c>
      <c r="JD399">
        <v>0</v>
      </c>
      <c r="JE399">
        <v>0</v>
      </c>
      <c r="JF399">
        <v>0</v>
      </c>
      <c r="JG399">
        <v>0</v>
      </c>
      <c r="JH399">
        <v>0</v>
      </c>
      <c r="JI399">
        <v>0</v>
      </c>
      <c r="JJ399">
        <v>0</v>
      </c>
      <c r="JK399">
        <v>0</v>
      </c>
      <c r="JL399">
        <v>0</v>
      </c>
      <c r="JM399">
        <v>0</v>
      </c>
      <c r="JN399">
        <v>0</v>
      </c>
      <c r="JO399">
        <v>0</v>
      </c>
      <c r="JP399">
        <v>0</v>
      </c>
      <c r="JQ399">
        <v>0</v>
      </c>
      <c r="JR399">
        <v>0</v>
      </c>
      <c r="JS399">
        <v>0</v>
      </c>
      <c r="JT399">
        <v>0</v>
      </c>
      <c r="JU399">
        <v>0</v>
      </c>
      <c r="JV399">
        <v>0</v>
      </c>
      <c r="JW399">
        <v>0</v>
      </c>
      <c r="JX399">
        <v>0</v>
      </c>
      <c r="JY399">
        <v>0</v>
      </c>
      <c r="JZ399">
        <v>0</v>
      </c>
      <c r="KA399">
        <v>0</v>
      </c>
      <c r="KB399">
        <v>0</v>
      </c>
      <c r="KC399">
        <v>0</v>
      </c>
      <c r="KD399">
        <v>0</v>
      </c>
      <c r="KE399">
        <v>0</v>
      </c>
      <c r="KF399">
        <v>0</v>
      </c>
      <c r="KI399">
        <v>344.6</v>
      </c>
      <c r="KJ399">
        <v>350.8</v>
      </c>
      <c r="KK399">
        <v>22.1</v>
      </c>
      <c r="KL399">
        <v>379.3</v>
      </c>
      <c r="KM399">
        <v>241.4</v>
      </c>
      <c r="KN399">
        <v>0</v>
      </c>
      <c r="KO399">
        <v>0</v>
      </c>
      <c r="KP399">
        <v>57.3</v>
      </c>
      <c r="KQ399">
        <v>224.4</v>
      </c>
      <c r="KR399">
        <v>338.3</v>
      </c>
      <c r="KS399">
        <v>215.8</v>
      </c>
      <c r="KT399">
        <v>40.700000000000003</v>
      </c>
      <c r="KW399">
        <v>2154.5</v>
      </c>
      <c r="KX399">
        <v>1255.7</v>
      </c>
      <c r="KY399">
        <v>1630.1</v>
      </c>
      <c r="KZ399">
        <v>1246.9000000000001</v>
      </c>
      <c r="LB399">
        <v>78.099999999999994</v>
      </c>
      <c r="LC399">
        <v>77.7</v>
      </c>
    </row>
    <row r="400" spans="1:315" ht="18" thickBot="1">
      <c r="A400" s="243"/>
      <c r="B400" s="572" t="s">
        <v>411</v>
      </c>
      <c r="C400" s="343" t="s">
        <v>867</v>
      </c>
      <c r="D400" s="311" t="s">
        <v>702</v>
      </c>
      <c r="E400" s="454">
        <v>0</v>
      </c>
      <c r="F400" s="234">
        <v>0</v>
      </c>
      <c r="G400" s="427">
        <v>3413.8</v>
      </c>
      <c r="H400" s="155"/>
      <c r="I400">
        <v>735</v>
      </c>
      <c r="K400">
        <v>1973.1000000000001</v>
      </c>
      <c r="L400" s="4">
        <v>221.60000000000002</v>
      </c>
      <c r="M400" s="4">
        <v>54.9</v>
      </c>
      <c r="N400" s="4">
        <v>1989.7</v>
      </c>
      <c r="P400">
        <v>0</v>
      </c>
      <c r="Q400">
        <v>238.29999999999998</v>
      </c>
      <c r="R400">
        <v>0</v>
      </c>
      <c r="S400">
        <v>0</v>
      </c>
      <c r="T400">
        <v>368.5</v>
      </c>
      <c r="W400">
        <v>720.3</v>
      </c>
      <c r="X400">
        <v>1411.5</v>
      </c>
      <c r="Y400">
        <v>96.5</v>
      </c>
      <c r="AA400">
        <v>859.6</v>
      </c>
      <c r="AB400">
        <v>1577.6000000000001</v>
      </c>
      <c r="AE400">
        <v>1330</v>
      </c>
      <c r="AF400">
        <v>1025.5</v>
      </c>
      <c r="AH400">
        <v>509.9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1349.3</v>
      </c>
      <c r="AO400">
        <v>786.40000000000009</v>
      </c>
      <c r="AP400">
        <v>0</v>
      </c>
      <c r="AQ400">
        <v>68.3</v>
      </c>
      <c r="AR400">
        <v>234.9</v>
      </c>
      <c r="AS400">
        <v>600.40000000000009</v>
      </c>
      <c r="AU400">
        <v>985.69999999999993</v>
      </c>
      <c r="AW400">
        <v>792</v>
      </c>
      <c r="AX400">
        <v>1988.5</v>
      </c>
      <c r="AZ400">
        <v>763.5</v>
      </c>
      <c r="BA400">
        <v>0</v>
      </c>
      <c r="BB400">
        <v>0</v>
      </c>
      <c r="BC400">
        <v>1935.3</v>
      </c>
      <c r="BD400">
        <v>1006.5</v>
      </c>
      <c r="BE400">
        <v>0</v>
      </c>
      <c r="BF400">
        <v>0</v>
      </c>
      <c r="BG400">
        <v>0</v>
      </c>
      <c r="BH400">
        <v>1662.6</v>
      </c>
      <c r="BJ400">
        <v>0</v>
      </c>
      <c r="BK400">
        <v>0</v>
      </c>
      <c r="BL400">
        <v>1038.9000000000001</v>
      </c>
      <c r="BM400">
        <v>1101</v>
      </c>
      <c r="BO400">
        <v>1276.8000000000002</v>
      </c>
      <c r="BQ400">
        <v>0</v>
      </c>
      <c r="BR400">
        <v>270.7</v>
      </c>
      <c r="BS400">
        <v>230.5</v>
      </c>
      <c r="BT400">
        <v>472.3</v>
      </c>
      <c r="BU400">
        <v>537.29999999999995</v>
      </c>
      <c r="BV400">
        <v>346.3</v>
      </c>
      <c r="BW400">
        <v>386.2</v>
      </c>
      <c r="BX400">
        <v>767</v>
      </c>
      <c r="BY400">
        <v>757.2</v>
      </c>
      <c r="BZ400">
        <v>1037.2</v>
      </c>
      <c r="CA400">
        <v>1227.0999999999999</v>
      </c>
      <c r="CB400">
        <v>1232.0999999999999</v>
      </c>
      <c r="CC400">
        <v>1701.5</v>
      </c>
      <c r="CD400">
        <v>0</v>
      </c>
      <c r="CG400">
        <v>1385.3</v>
      </c>
      <c r="CJ400">
        <v>1630.2999999999997</v>
      </c>
      <c r="CM400">
        <v>1184.2</v>
      </c>
      <c r="CO400">
        <v>1248.0999999999999</v>
      </c>
      <c r="CQ400">
        <v>1435.3</v>
      </c>
      <c r="CR400">
        <v>798.2</v>
      </c>
      <c r="CS400">
        <v>923.8</v>
      </c>
      <c r="CT400">
        <v>0</v>
      </c>
      <c r="CU400">
        <v>0</v>
      </c>
      <c r="CV400">
        <v>0</v>
      </c>
      <c r="CW400">
        <v>0</v>
      </c>
      <c r="CX400">
        <v>163.69999999999999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I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G400" t="e">
        <v>#N/A</v>
      </c>
      <c r="FI400" t="e">
        <v>#N/A</v>
      </c>
      <c r="FK400" t="e">
        <v>#N/A</v>
      </c>
      <c r="FM400" t="e">
        <v>#N/A</v>
      </c>
      <c r="FO400" t="e">
        <v>#N/A</v>
      </c>
      <c r="FQ400" t="e">
        <v>#N/A</v>
      </c>
      <c r="FS400" t="e">
        <v>#N/A</v>
      </c>
      <c r="FU400" t="e">
        <v>#N/A</v>
      </c>
      <c r="FW400" t="e">
        <v>#N/A</v>
      </c>
      <c r="FY400" t="e">
        <v>#N/A</v>
      </c>
      <c r="GA400" t="e">
        <v>#N/A</v>
      </c>
      <c r="GC400" t="e">
        <v>#N/A</v>
      </c>
      <c r="GE400" t="e">
        <v>#N/A</v>
      </c>
      <c r="GG400" t="e">
        <v>#N/A</v>
      </c>
      <c r="GI400" t="e">
        <v>#N/A</v>
      </c>
      <c r="GK400" t="e">
        <v>#N/A</v>
      </c>
      <c r="GM400" t="e">
        <v>#N/A</v>
      </c>
      <c r="GO400" t="e">
        <v>#N/A</v>
      </c>
      <c r="GQ400" t="e">
        <v>#N/A</v>
      </c>
      <c r="GS400" t="e">
        <v>#N/A</v>
      </c>
      <c r="GU400" t="e">
        <v>#N/A</v>
      </c>
      <c r="GW400" t="e">
        <v>#N/A</v>
      </c>
      <c r="GY400" t="e">
        <v>#N/A</v>
      </c>
      <c r="HA400" t="e">
        <v>#N/A</v>
      </c>
      <c r="HC400">
        <v>0</v>
      </c>
      <c r="HD400">
        <v>0</v>
      </c>
      <c r="HE400">
        <v>0</v>
      </c>
      <c r="HF400">
        <v>0</v>
      </c>
      <c r="HG400">
        <v>0</v>
      </c>
      <c r="HH400">
        <v>0</v>
      </c>
      <c r="HI400">
        <v>0</v>
      </c>
      <c r="HJ400">
        <v>0</v>
      </c>
      <c r="HM400">
        <v>0</v>
      </c>
      <c r="HN400">
        <v>0</v>
      </c>
      <c r="HO400">
        <v>0</v>
      </c>
      <c r="HP400">
        <v>0</v>
      </c>
      <c r="HQ400">
        <v>0</v>
      </c>
      <c r="HR400">
        <v>0</v>
      </c>
      <c r="HS400">
        <v>0</v>
      </c>
      <c r="HT400">
        <v>0</v>
      </c>
      <c r="HW400">
        <v>0</v>
      </c>
      <c r="HX400">
        <v>0</v>
      </c>
      <c r="HY400">
        <v>0</v>
      </c>
      <c r="HZ400">
        <v>0</v>
      </c>
      <c r="IA400">
        <v>3930.6</v>
      </c>
      <c r="IB400">
        <v>3632.9</v>
      </c>
      <c r="IC400">
        <v>3795.5</v>
      </c>
      <c r="ID400">
        <v>0</v>
      </c>
      <c r="IE400">
        <v>0</v>
      </c>
      <c r="IF400">
        <v>3548.5</v>
      </c>
      <c r="IG400">
        <v>3395.2</v>
      </c>
      <c r="IH400">
        <v>3395.4</v>
      </c>
      <c r="II400">
        <v>3302.3</v>
      </c>
      <c r="IJ400">
        <v>3172.8</v>
      </c>
      <c r="IK400">
        <v>0</v>
      </c>
      <c r="IL400">
        <v>0</v>
      </c>
      <c r="IM400">
        <v>0</v>
      </c>
      <c r="IN400">
        <v>0</v>
      </c>
      <c r="IO400">
        <v>123.4</v>
      </c>
      <c r="IP400">
        <v>405.2</v>
      </c>
      <c r="IQ400">
        <v>418.7</v>
      </c>
      <c r="IR400">
        <v>0</v>
      </c>
      <c r="IS400">
        <v>0</v>
      </c>
      <c r="IT400">
        <v>0</v>
      </c>
      <c r="IU400">
        <v>0</v>
      </c>
      <c r="IV400">
        <v>396</v>
      </c>
      <c r="IW400">
        <v>0</v>
      </c>
      <c r="IX400">
        <v>0</v>
      </c>
      <c r="IZ400">
        <v>0</v>
      </c>
      <c r="JA400">
        <v>65.5</v>
      </c>
      <c r="JB400">
        <v>443.5</v>
      </c>
      <c r="JC400">
        <v>0</v>
      </c>
      <c r="JD400">
        <v>0</v>
      </c>
      <c r="JE400">
        <v>0</v>
      </c>
      <c r="JF400">
        <v>0</v>
      </c>
      <c r="JG400">
        <v>0</v>
      </c>
      <c r="JH400">
        <v>0</v>
      </c>
      <c r="JI400">
        <v>0</v>
      </c>
      <c r="JJ400">
        <v>0</v>
      </c>
      <c r="JK400">
        <v>0</v>
      </c>
      <c r="JL400">
        <v>0</v>
      </c>
      <c r="JM400">
        <v>0</v>
      </c>
      <c r="JN400">
        <v>0</v>
      </c>
      <c r="JO400">
        <v>0</v>
      </c>
      <c r="JP400">
        <v>0</v>
      </c>
      <c r="JQ400">
        <v>0</v>
      </c>
      <c r="JR400">
        <v>0</v>
      </c>
      <c r="JS400">
        <v>0</v>
      </c>
      <c r="JT400">
        <v>0</v>
      </c>
      <c r="JU400">
        <v>0</v>
      </c>
      <c r="JV400">
        <v>0</v>
      </c>
      <c r="JW400">
        <v>0</v>
      </c>
      <c r="JX400">
        <v>0</v>
      </c>
      <c r="JY400">
        <v>0</v>
      </c>
      <c r="JZ400">
        <v>0</v>
      </c>
      <c r="KA400">
        <v>0</v>
      </c>
      <c r="KB400">
        <v>0</v>
      </c>
      <c r="KC400">
        <v>0</v>
      </c>
      <c r="KD400">
        <v>0</v>
      </c>
      <c r="KE400">
        <v>0</v>
      </c>
      <c r="KF400">
        <v>0</v>
      </c>
      <c r="KI400">
        <v>344.6</v>
      </c>
      <c r="KJ400">
        <v>350.8</v>
      </c>
      <c r="KK400">
        <v>22.1</v>
      </c>
      <c r="KL400">
        <v>379.3</v>
      </c>
      <c r="KM400">
        <v>241.4</v>
      </c>
      <c r="KN400">
        <v>0</v>
      </c>
      <c r="KO400">
        <v>0</v>
      </c>
      <c r="KP400">
        <v>57.3</v>
      </c>
      <c r="KQ400">
        <v>224.4</v>
      </c>
      <c r="KR400">
        <v>338.3</v>
      </c>
      <c r="KS400">
        <v>215.8</v>
      </c>
      <c r="KT400">
        <v>40.700000000000003</v>
      </c>
      <c r="KW400">
        <v>2154.5</v>
      </c>
      <c r="KX400">
        <v>1255.7</v>
      </c>
      <c r="KY400">
        <v>1630.1</v>
      </c>
      <c r="KZ400">
        <v>1246.9000000000001</v>
      </c>
      <c r="LB400">
        <v>78.099999999999994</v>
      </c>
      <c r="LC400">
        <v>77.7</v>
      </c>
    </row>
    <row r="401" spans="1:315" ht="18" thickBot="1">
      <c r="A401" s="243"/>
      <c r="B401" s="572"/>
      <c r="C401" s="344"/>
      <c r="D401" s="311"/>
      <c r="E401" s="454">
        <v>0</v>
      </c>
      <c r="F401" s="235">
        <v>0</v>
      </c>
      <c r="G401" s="427">
        <v>3413.8</v>
      </c>
      <c r="H401" s="155"/>
      <c r="I401">
        <v>735</v>
      </c>
      <c r="K401">
        <v>1973.1000000000001</v>
      </c>
      <c r="L401" s="4">
        <v>221.60000000000002</v>
      </c>
      <c r="M401" s="4">
        <v>54.9</v>
      </c>
      <c r="N401" s="4">
        <v>1989.7</v>
      </c>
      <c r="P401">
        <v>0</v>
      </c>
      <c r="Q401">
        <v>238.29999999999998</v>
      </c>
      <c r="R401">
        <v>0</v>
      </c>
      <c r="S401">
        <v>0</v>
      </c>
      <c r="T401">
        <v>368.5</v>
      </c>
      <c r="W401">
        <v>720.3</v>
      </c>
      <c r="X401">
        <v>1411.5</v>
      </c>
      <c r="Y401">
        <v>96.5</v>
      </c>
      <c r="AA401">
        <v>859.6</v>
      </c>
      <c r="AB401">
        <v>1577.6000000000001</v>
      </c>
      <c r="AE401">
        <v>1330</v>
      </c>
      <c r="AF401">
        <v>1025.5</v>
      </c>
      <c r="AH401">
        <v>509.9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1349.3</v>
      </c>
      <c r="AO401">
        <v>786.40000000000009</v>
      </c>
      <c r="AP401">
        <v>0</v>
      </c>
      <c r="AQ401">
        <v>68.3</v>
      </c>
      <c r="AR401">
        <v>234.9</v>
      </c>
      <c r="AS401">
        <v>600.40000000000009</v>
      </c>
      <c r="AU401">
        <v>985.69999999999993</v>
      </c>
      <c r="AW401">
        <v>792</v>
      </c>
      <c r="AX401">
        <v>1988.5</v>
      </c>
      <c r="AZ401">
        <v>763.5</v>
      </c>
      <c r="BA401">
        <v>0</v>
      </c>
      <c r="BB401">
        <v>0</v>
      </c>
      <c r="BC401">
        <v>1935.3</v>
      </c>
      <c r="BD401">
        <v>1006.5</v>
      </c>
      <c r="BE401">
        <v>0</v>
      </c>
      <c r="BF401">
        <v>0</v>
      </c>
      <c r="BG401">
        <v>0</v>
      </c>
      <c r="BH401">
        <v>1662.6</v>
      </c>
      <c r="BJ401">
        <v>0</v>
      </c>
      <c r="BK401">
        <v>0</v>
      </c>
      <c r="BL401">
        <v>1038.9000000000001</v>
      </c>
      <c r="BM401">
        <v>1101</v>
      </c>
      <c r="BO401">
        <v>1276.8000000000002</v>
      </c>
      <c r="BQ401">
        <v>0</v>
      </c>
      <c r="BR401">
        <v>270.7</v>
      </c>
      <c r="BS401">
        <v>230.5</v>
      </c>
      <c r="BT401">
        <v>472.3</v>
      </c>
      <c r="BU401">
        <v>537.29999999999995</v>
      </c>
      <c r="BV401">
        <v>346.3</v>
      </c>
      <c r="BW401">
        <v>386.2</v>
      </c>
      <c r="BX401">
        <v>767</v>
      </c>
      <c r="BY401">
        <v>757.2</v>
      </c>
      <c r="BZ401">
        <v>1037.2</v>
      </c>
      <c r="CA401">
        <v>1227.0999999999999</v>
      </c>
      <c r="CB401">
        <v>1232.0999999999999</v>
      </c>
      <c r="CC401">
        <v>1701.5</v>
      </c>
      <c r="CD401">
        <v>0</v>
      </c>
      <c r="CG401">
        <v>1385.3</v>
      </c>
      <c r="CJ401">
        <v>1630.2999999999997</v>
      </c>
      <c r="CM401">
        <v>1184.2</v>
      </c>
      <c r="CO401">
        <v>1248.0999999999999</v>
      </c>
      <c r="CQ401">
        <v>1435.3</v>
      </c>
      <c r="CR401">
        <v>798.2</v>
      </c>
      <c r="CS401">
        <v>923.8</v>
      </c>
      <c r="CT401">
        <v>0</v>
      </c>
      <c r="CU401">
        <v>0</v>
      </c>
      <c r="CV401">
        <v>0</v>
      </c>
      <c r="CW401">
        <v>0</v>
      </c>
      <c r="CX401">
        <v>163.69999999999999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I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0</v>
      </c>
      <c r="FG401" t="e">
        <v>#N/A</v>
      </c>
      <c r="FI401" t="e">
        <v>#N/A</v>
      </c>
      <c r="FK401" t="e">
        <v>#N/A</v>
      </c>
      <c r="FM401" t="e">
        <v>#N/A</v>
      </c>
      <c r="FO401" t="e">
        <v>#N/A</v>
      </c>
      <c r="FQ401" t="e">
        <v>#N/A</v>
      </c>
      <c r="FS401" t="e">
        <v>#N/A</v>
      </c>
      <c r="FU401" t="e">
        <v>#N/A</v>
      </c>
      <c r="FW401" t="e">
        <v>#N/A</v>
      </c>
      <c r="FY401" t="e">
        <v>#N/A</v>
      </c>
      <c r="GA401" t="e">
        <v>#N/A</v>
      </c>
      <c r="GC401" t="e">
        <v>#N/A</v>
      </c>
      <c r="GE401" t="e">
        <v>#N/A</v>
      </c>
      <c r="GG401" t="e">
        <v>#N/A</v>
      </c>
      <c r="GI401" t="e">
        <v>#N/A</v>
      </c>
      <c r="GK401" t="e">
        <v>#N/A</v>
      </c>
      <c r="GM401" t="e">
        <v>#N/A</v>
      </c>
      <c r="GO401" t="e">
        <v>#N/A</v>
      </c>
      <c r="GQ401" t="e">
        <v>#N/A</v>
      </c>
      <c r="GS401" t="e">
        <v>#N/A</v>
      </c>
      <c r="GU401" t="e">
        <v>#N/A</v>
      </c>
      <c r="GW401" t="e">
        <v>#N/A</v>
      </c>
      <c r="GY401" t="e">
        <v>#N/A</v>
      </c>
      <c r="HA401" t="e">
        <v>#N/A</v>
      </c>
      <c r="HC401">
        <v>0</v>
      </c>
      <c r="HD401">
        <v>0</v>
      </c>
      <c r="HE401">
        <v>0</v>
      </c>
      <c r="HF401">
        <v>0</v>
      </c>
      <c r="HG401">
        <v>0</v>
      </c>
      <c r="HH401">
        <v>0</v>
      </c>
      <c r="HI401">
        <v>0</v>
      </c>
      <c r="HJ401">
        <v>0</v>
      </c>
      <c r="HM401">
        <v>0</v>
      </c>
      <c r="HN401">
        <v>0</v>
      </c>
      <c r="HO401">
        <v>0</v>
      </c>
      <c r="HP401">
        <v>0</v>
      </c>
      <c r="HQ401">
        <v>0</v>
      </c>
      <c r="HR401">
        <v>0</v>
      </c>
      <c r="HS401">
        <v>0</v>
      </c>
      <c r="HT401">
        <v>0</v>
      </c>
      <c r="HW401">
        <v>0</v>
      </c>
      <c r="HX401">
        <v>0</v>
      </c>
      <c r="HY401">
        <v>0</v>
      </c>
      <c r="HZ401">
        <v>0</v>
      </c>
      <c r="IA401">
        <v>3930.6</v>
      </c>
      <c r="IB401">
        <v>3632.9</v>
      </c>
      <c r="IC401">
        <v>3795.5</v>
      </c>
      <c r="ID401">
        <v>0</v>
      </c>
      <c r="IE401">
        <v>0</v>
      </c>
      <c r="IF401">
        <v>3548.5</v>
      </c>
      <c r="IG401">
        <v>3395.2</v>
      </c>
      <c r="IH401">
        <v>3395.4</v>
      </c>
      <c r="II401">
        <v>3302.3</v>
      </c>
      <c r="IJ401">
        <v>3172.8</v>
      </c>
      <c r="IK401">
        <v>0</v>
      </c>
      <c r="IL401">
        <v>0</v>
      </c>
      <c r="IM401">
        <v>0</v>
      </c>
      <c r="IN401">
        <v>0</v>
      </c>
      <c r="IO401">
        <v>123.4</v>
      </c>
      <c r="IP401">
        <v>405.2</v>
      </c>
      <c r="IQ401">
        <v>418.7</v>
      </c>
      <c r="IR401">
        <v>0</v>
      </c>
      <c r="IS401">
        <v>0</v>
      </c>
      <c r="IT401">
        <v>0</v>
      </c>
      <c r="IU401">
        <v>0</v>
      </c>
      <c r="IV401">
        <v>396</v>
      </c>
      <c r="IW401">
        <v>0</v>
      </c>
      <c r="IX401">
        <v>0</v>
      </c>
      <c r="IZ401">
        <v>0</v>
      </c>
      <c r="JA401">
        <v>65.5</v>
      </c>
      <c r="JB401">
        <v>443.5</v>
      </c>
      <c r="JC401">
        <v>0</v>
      </c>
      <c r="JD401">
        <v>0</v>
      </c>
      <c r="JE401">
        <v>0</v>
      </c>
      <c r="JF401">
        <v>0</v>
      </c>
      <c r="JG401">
        <v>0</v>
      </c>
      <c r="JH401">
        <v>0</v>
      </c>
      <c r="JI401">
        <v>0</v>
      </c>
      <c r="JJ401">
        <v>0</v>
      </c>
      <c r="JK401">
        <v>0</v>
      </c>
      <c r="JL401">
        <v>0</v>
      </c>
      <c r="JM401">
        <v>0</v>
      </c>
      <c r="JN401">
        <v>0</v>
      </c>
      <c r="JO401">
        <v>0</v>
      </c>
      <c r="JP401">
        <v>0</v>
      </c>
      <c r="JQ401">
        <v>0</v>
      </c>
      <c r="JR401">
        <v>0</v>
      </c>
      <c r="JS401">
        <v>0</v>
      </c>
      <c r="JT401">
        <v>0</v>
      </c>
      <c r="JU401">
        <v>0</v>
      </c>
      <c r="JV401">
        <v>0</v>
      </c>
      <c r="JW401">
        <v>0</v>
      </c>
      <c r="JX401">
        <v>0</v>
      </c>
      <c r="JY401">
        <v>0</v>
      </c>
      <c r="JZ401">
        <v>0</v>
      </c>
      <c r="KA401">
        <v>0</v>
      </c>
      <c r="KB401">
        <v>0</v>
      </c>
      <c r="KC401">
        <v>0</v>
      </c>
      <c r="KD401">
        <v>0</v>
      </c>
      <c r="KE401">
        <v>0</v>
      </c>
      <c r="KF401">
        <v>0</v>
      </c>
      <c r="KI401">
        <v>344.6</v>
      </c>
      <c r="KJ401">
        <v>350.8</v>
      </c>
      <c r="KK401">
        <v>22.1</v>
      </c>
      <c r="KL401">
        <v>379.3</v>
      </c>
      <c r="KM401">
        <v>241.4</v>
      </c>
      <c r="KN401">
        <v>0</v>
      </c>
      <c r="KO401">
        <v>0</v>
      </c>
      <c r="KP401">
        <v>57.3</v>
      </c>
      <c r="KQ401">
        <v>224.4</v>
      </c>
      <c r="KR401">
        <v>338.3</v>
      </c>
      <c r="KS401">
        <v>215.8</v>
      </c>
      <c r="KT401">
        <v>40.700000000000003</v>
      </c>
      <c r="KW401">
        <v>2154.5</v>
      </c>
      <c r="KX401">
        <v>1255.7</v>
      </c>
      <c r="KY401">
        <v>1630.1</v>
      </c>
      <c r="KZ401">
        <v>1246.9000000000001</v>
      </c>
      <c r="LB401">
        <v>78.099999999999994</v>
      </c>
      <c r="LC401">
        <v>77.7</v>
      </c>
    </row>
    <row r="402" spans="1:315" ht="18" thickBot="1">
      <c r="A402" s="243"/>
      <c r="B402" s="572" t="s">
        <v>412</v>
      </c>
      <c r="C402" s="343" t="s">
        <v>868</v>
      </c>
      <c r="D402" s="311" t="s">
        <v>702</v>
      </c>
      <c r="E402" s="454">
        <v>0</v>
      </c>
      <c r="F402" s="213">
        <v>0</v>
      </c>
      <c r="G402" s="427">
        <v>3413.8</v>
      </c>
      <c r="H402" s="155"/>
      <c r="I402">
        <v>735</v>
      </c>
      <c r="K402">
        <v>1973.1000000000001</v>
      </c>
      <c r="L402" s="4">
        <v>221.60000000000002</v>
      </c>
      <c r="M402" s="4">
        <v>54.9</v>
      </c>
      <c r="N402" s="4">
        <v>1989.7</v>
      </c>
      <c r="P402">
        <v>0</v>
      </c>
      <c r="Q402">
        <v>238.29999999999998</v>
      </c>
      <c r="R402">
        <v>0</v>
      </c>
      <c r="S402">
        <v>0</v>
      </c>
      <c r="T402">
        <v>368.5</v>
      </c>
      <c r="W402">
        <v>720.3</v>
      </c>
      <c r="X402">
        <v>1411.5</v>
      </c>
      <c r="Y402">
        <v>96.5</v>
      </c>
      <c r="AA402">
        <v>859.6</v>
      </c>
      <c r="AB402">
        <v>1577.6000000000001</v>
      </c>
      <c r="AE402">
        <v>1330</v>
      </c>
      <c r="AF402">
        <v>1025.5</v>
      </c>
      <c r="AH402">
        <v>509.9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1349.3</v>
      </c>
      <c r="AO402">
        <v>786.40000000000009</v>
      </c>
      <c r="AP402">
        <v>0</v>
      </c>
      <c r="AQ402">
        <v>68.3</v>
      </c>
      <c r="AR402">
        <v>234.9</v>
      </c>
      <c r="AS402">
        <v>600.40000000000009</v>
      </c>
      <c r="AU402">
        <v>985.69999999999993</v>
      </c>
      <c r="AW402">
        <v>792</v>
      </c>
      <c r="AX402">
        <v>1988.5</v>
      </c>
      <c r="AZ402">
        <v>763.5</v>
      </c>
      <c r="BA402">
        <v>0</v>
      </c>
      <c r="BB402">
        <v>0</v>
      </c>
      <c r="BC402">
        <v>1935.3</v>
      </c>
      <c r="BD402">
        <v>1006.5</v>
      </c>
      <c r="BE402">
        <v>0</v>
      </c>
      <c r="BF402">
        <v>0</v>
      </c>
      <c r="BG402">
        <v>0</v>
      </c>
      <c r="BH402">
        <v>1662.6</v>
      </c>
      <c r="BJ402">
        <v>0</v>
      </c>
      <c r="BK402">
        <v>0</v>
      </c>
      <c r="BL402">
        <v>1038.9000000000001</v>
      </c>
      <c r="BM402">
        <v>1101</v>
      </c>
      <c r="BO402">
        <v>1276.8000000000002</v>
      </c>
      <c r="BQ402">
        <v>0</v>
      </c>
      <c r="BR402">
        <v>270.7</v>
      </c>
      <c r="BS402">
        <v>230.5</v>
      </c>
      <c r="BT402">
        <v>472.3</v>
      </c>
      <c r="BU402">
        <v>537.29999999999995</v>
      </c>
      <c r="BV402">
        <v>346.3</v>
      </c>
      <c r="BW402">
        <v>386.2</v>
      </c>
      <c r="BX402">
        <v>767</v>
      </c>
      <c r="BY402">
        <v>757.2</v>
      </c>
      <c r="BZ402">
        <v>1037.2</v>
      </c>
      <c r="CA402">
        <v>1227.0999999999999</v>
      </c>
      <c r="CB402">
        <v>1232.0999999999999</v>
      </c>
      <c r="CC402">
        <v>1701.5</v>
      </c>
      <c r="CD402">
        <v>0</v>
      </c>
      <c r="CG402">
        <v>1385.3</v>
      </c>
      <c r="CJ402">
        <v>1630.2999999999997</v>
      </c>
      <c r="CM402">
        <v>1184.2</v>
      </c>
      <c r="CO402">
        <v>1248.0999999999999</v>
      </c>
      <c r="CQ402">
        <v>1435.3</v>
      </c>
      <c r="CR402">
        <v>798.2</v>
      </c>
      <c r="CS402">
        <v>923.8</v>
      </c>
      <c r="CT402">
        <v>0</v>
      </c>
      <c r="CU402">
        <v>0</v>
      </c>
      <c r="CV402">
        <v>0</v>
      </c>
      <c r="CW402">
        <v>0</v>
      </c>
      <c r="CX402">
        <v>163.69999999999999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I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G402" t="e">
        <v>#N/A</v>
      </c>
      <c r="FI402" t="e">
        <v>#N/A</v>
      </c>
      <c r="FK402" t="e">
        <v>#N/A</v>
      </c>
      <c r="FM402" t="e">
        <v>#N/A</v>
      </c>
      <c r="FO402" t="e">
        <v>#N/A</v>
      </c>
      <c r="FQ402" t="e">
        <v>#N/A</v>
      </c>
      <c r="FS402" t="e">
        <v>#N/A</v>
      </c>
      <c r="FU402" t="e">
        <v>#N/A</v>
      </c>
      <c r="FW402" t="e">
        <v>#N/A</v>
      </c>
      <c r="FY402" t="e">
        <v>#N/A</v>
      </c>
      <c r="GA402" t="e">
        <v>#N/A</v>
      </c>
      <c r="GC402" t="e">
        <v>#N/A</v>
      </c>
      <c r="GE402" t="e">
        <v>#N/A</v>
      </c>
      <c r="GG402" t="e">
        <v>#N/A</v>
      </c>
      <c r="GI402" t="e">
        <v>#N/A</v>
      </c>
      <c r="GK402" t="e">
        <v>#N/A</v>
      </c>
      <c r="GM402" t="e">
        <v>#N/A</v>
      </c>
      <c r="GO402" t="e">
        <v>#N/A</v>
      </c>
      <c r="GQ402" t="e">
        <v>#N/A</v>
      </c>
      <c r="GS402" t="e">
        <v>#N/A</v>
      </c>
      <c r="GU402" t="e">
        <v>#N/A</v>
      </c>
      <c r="GW402" t="e">
        <v>#N/A</v>
      </c>
      <c r="GY402" t="e">
        <v>#N/A</v>
      </c>
      <c r="HA402" t="e">
        <v>#N/A</v>
      </c>
      <c r="HC402">
        <v>0</v>
      </c>
      <c r="HD402">
        <v>0</v>
      </c>
      <c r="HE402">
        <v>0</v>
      </c>
      <c r="HF402">
        <v>0</v>
      </c>
      <c r="HG402">
        <v>0</v>
      </c>
      <c r="HH402">
        <v>0</v>
      </c>
      <c r="HI402">
        <v>0</v>
      </c>
      <c r="HJ402">
        <v>0</v>
      </c>
      <c r="HM402">
        <v>0</v>
      </c>
      <c r="HN402">
        <v>0</v>
      </c>
      <c r="HO402">
        <v>0</v>
      </c>
      <c r="HP402">
        <v>0</v>
      </c>
      <c r="HQ402">
        <v>0</v>
      </c>
      <c r="HR402">
        <v>0</v>
      </c>
      <c r="HS402">
        <v>0</v>
      </c>
      <c r="HT402">
        <v>0</v>
      </c>
      <c r="HW402">
        <v>0</v>
      </c>
      <c r="HX402">
        <v>0</v>
      </c>
      <c r="HY402">
        <v>0</v>
      </c>
      <c r="HZ402">
        <v>0</v>
      </c>
      <c r="IA402">
        <v>3930.6</v>
      </c>
      <c r="IB402">
        <v>3632.9</v>
      </c>
      <c r="IC402">
        <v>3795.5</v>
      </c>
      <c r="ID402">
        <v>0</v>
      </c>
      <c r="IE402">
        <v>0</v>
      </c>
      <c r="IF402">
        <v>3548.5</v>
      </c>
      <c r="IG402">
        <v>3395.2</v>
      </c>
      <c r="IH402">
        <v>3395.4</v>
      </c>
      <c r="II402">
        <v>3302.3</v>
      </c>
      <c r="IJ402">
        <v>3172.8</v>
      </c>
      <c r="IK402">
        <v>0</v>
      </c>
      <c r="IL402">
        <v>0</v>
      </c>
      <c r="IM402">
        <v>0</v>
      </c>
      <c r="IN402">
        <v>0</v>
      </c>
      <c r="IO402">
        <v>123.4</v>
      </c>
      <c r="IP402">
        <v>405.2</v>
      </c>
      <c r="IQ402">
        <v>418.7</v>
      </c>
      <c r="IR402">
        <v>0</v>
      </c>
      <c r="IS402">
        <v>0</v>
      </c>
      <c r="IT402">
        <v>0</v>
      </c>
      <c r="IU402">
        <v>0</v>
      </c>
      <c r="IV402">
        <v>396</v>
      </c>
      <c r="IW402">
        <v>0</v>
      </c>
      <c r="IX402">
        <v>0</v>
      </c>
      <c r="IZ402">
        <v>0</v>
      </c>
      <c r="JA402">
        <v>65.5</v>
      </c>
      <c r="JB402">
        <v>443.5</v>
      </c>
      <c r="JC402">
        <v>0</v>
      </c>
      <c r="JD402">
        <v>0</v>
      </c>
      <c r="JE402">
        <v>0</v>
      </c>
      <c r="JF402">
        <v>0</v>
      </c>
      <c r="JG402">
        <v>0</v>
      </c>
      <c r="JH402">
        <v>0</v>
      </c>
      <c r="JI402">
        <v>0</v>
      </c>
      <c r="JJ402">
        <v>0</v>
      </c>
      <c r="JK402">
        <v>0</v>
      </c>
      <c r="JL402">
        <v>0</v>
      </c>
      <c r="JM402">
        <v>0</v>
      </c>
      <c r="JN402">
        <v>0</v>
      </c>
      <c r="JO402">
        <v>0</v>
      </c>
      <c r="JP402">
        <v>0</v>
      </c>
      <c r="JQ402">
        <v>0</v>
      </c>
      <c r="JR402">
        <v>0</v>
      </c>
      <c r="JS402">
        <v>0</v>
      </c>
      <c r="JT402">
        <v>0</v>
      </c>
      <c r="JU402">
        <v>0</v>
      </c>
      <c r="JV402">
        <v>0</v>
      </c>
      <c r="JW402">
        <v>0</v>
      </c>
      <c r="JX402">
        <v>0</v>
      </c>
      <c r="JY402">
        <v>0</v>
      </c>
      <c r="JZ402">
        <v>0</v>
      </c>
      <c r="KA402">
        <v>0</v>
      </c>
      <c r="KB402">
        <v>0</v>
      </c>
      <c r="KC402">
        <v>0</v>
      </c>
      <c r="KD402">
        <v>0</v>
      </c>
      <c r="KE402">
        <v>0</v>
      </c>
      <c r="KF402">
        <v>0</v>
      </c>
      <c r="KI402">
        <v>344.6</v>
      </c>
      <c r="KJ402">
        <v>350.8</v>
      </c>
      <c r="KK402">
        <v>22.1</v>
      </c>
      <c r="KL402">
        <v>379.3</v>
      </c>
      <c r="KM402">
        <v>241.4</v>
      </c>
      <c r="KN402">
        <v>0</v>
      </c>
      <c r="KO402">
        <v>0</v>
      </c>
      <c r="KP402">
        <v>57.3</v>
      </c>
      <c r="KQ402">
        <v>224.4</v>
      </c>
      <c r="KR402">
        <v>338.3</v>
      </c>
      <c r="KS402">
        <v>215.8</v>
      </c>
      <c r="KT402">
        <v>40.700000000000003</v>
      </c>
      <c r="KW402">
        <v>2154.5</v>
      </c>
      <c r="KX402">
        <v>1255.7</v>
      </c>
      <c r="KY402">
        <v>1630.1</v>
      </c>
      <c r="KZ402">
        <v>1246.9000000000001</v>
      </c>
      <c r="LB402">
        <v>78.099999999999994</v>
      </c>
      <c r="LC402">
        <v>77.7</v>
      </c>
    </row>
    <row r="403" spans="1:315" ht="18" thickBot="1">
      <c r="A403" s="243"/>
      <c r="B403" s="572"/>
      <c r="C403" s="344"/>
      <c r="D403" s="311"/>
      <c r="E403" s="454">
        <v>0</v>
      </c>
      <c r="F403" s="215">
        <v>0</v>
      </c>
      <c r="G403" s="427">
        <v>3413.8</v>
      </c>
      <c r="H403" s="155"/>
      <c r="I403">
        <v>735</v>
      </c>
      <c r="K403">
        <v>1973.1000000000001</v>
      </c>
      <c r="L403" s="4">
        <v>221.60000000000002</v>
      </c>
      <c r="M403" s="4">
        <v>54.9</v>
      </c>
      <c r="N403" s="4">
        <v>1989.7</v>
      </c>
      <c r="P403">
        <v>0</v>
      </c>
      <c r="Q403">
        <v>238.29999999999998</v>
      </c>
      <c r="R403">
        <v>0</v>
      </c>
      <c r="S403">
        <v>0</v>
      </c>
      <c r="T403">
        <v>368.5</v>
      </c>
      <c r="W403">
        <v>720.3</v>
      </c>
      <c r="X403">
        <v>1411.5</v>
      </c>
      <c r="Y403">
        <v>96.5</v>
      </c>
      <c r="AA403">
        <v>859.6</v>
      </c>
      <c r="AB403">
        <v>1577.6000000000001</v>
      </c>
      <c r="AE403">
        <v>1330</v>
      </c>
      <c r="AF403">
        <v>1025.5</v>
      </c>
      <c r="AH403">
        <v>509.9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1349.3</v>
      </c>
      <c r="AO403">
        <v>786.40000000000009</v>
      </c>
      <c r="AP403">
        <v>0</v>
      </c>
      <c r="AQ403">
        <v>68.3</v>
      </c>
      <c r="AR403">
        <v>234.9</v>
      </c>
      <c r="AS403">
        <v>600.40000000000009</v>
      </c>
      <c r="AU403">
        <v>985.69999999999993</v>
      </c>
      <c r="AW403">
        <v>792</v>
      </c>
      <c r="AX403">
        <v>1988.5</v>
      </c>
      <c r="AZ403">
        <v>763.5</v>
      </c>
      <c r="BA403">
        <v>0</v>
      </c>
      <c r="BB403">
        <v>0</v>
      </c>
      <c r="BC403">
        <v>1935.3</v>
      </c>
      <c r="BD403">
        <v>1006.5</v>
      </c>
      <c r="BE403">
        <v>0</v>
      </c>
      <c r="BF403">
        <v>0</v>
      </c>
      <c r="BG403">
        <v>0</v>
      </c>
      <c r="BH403">
        <v>1662.6</v>
      </c>
      <c r="BJ403">
        <v>0</v>
      </c>
      <c r="BK403">
        <v>0</v>
      </c>
      <c r="BL403">
        <v>1038.9000000000001</v>
      </c>
      <c r="BM403">
        <v>1101</v>
      </c>
      <c r="BO403">
        <v>1276.8000000000002</v>
      </c>
      <c r="BQ403">
        <v>0</v>
      </c>
      <c r="BR403">
        <v>270.7</v>
      </c>
      <c r="BS403">
        <v>230.5</v>
      </c>
      <c r="BT403">
        <v>472.3</v>
      </c>
      <c r="BU403">
        <v>537.29999999999995</v>
      </c>
      <c r="BV403">
        <v>346.3</v>
      </c>
      <c r="BW403">
        <v>386.2</v>
      </c>
      <c r="BX403">
        <v>767</v>
      </c>
      <c r="BY403">
        <v>757.2</v>
      </c>
      <c r="BZ403">
        <v>1037.2</v>
      </c>
      <c r="CA403">
        <v>1227.0999999999999</v>
      </c>
      <c r="CB403">
        <v>1232.0999999999999</v>
      </c>
      <c r="CC403">
        <v>1701.5</v>
      </c>
      <c r="CD403">
        <v>0</v>
      </c>
      <c r="CG403">
        <v>1385.3</v>
      </c>
      <c r="CJ403">
        <v>1630.2999999999997</v>
      </c>
      <c r="CM403">
        <v>1184.2</v>
      </c>
      <c r="CO403">
        <v>1248.0999999999999</v>
      </c>
      <c r="CQ403">
        <v>1435.3</v>
      </c>
      <c r="CR403">
        <v>798.2</v>
      </c>
      <c r="CS403">
        <v>923.8</v>
      </c>
      <c r="CT403">
        <v>0</v>
      </c>
      <c r="CU403">
        <v>0</v>
      </c>
      <c r="CV403">
        <v>0</v>
      </c>
      <c r="CW403">
        <v>0</v>
      </c>
      <c r="CX403">
        <v>163.69999999999999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I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G403" t="e">
        <v>#N/A</v>
      </c>
      <c r="FI403" t="e">
        <v>#N/A</v>
      </c>
      <c r="FK403" t="e">
        <v>#N/A</v>
      </c>
      <c r="FM403" t="e">
        <v>#N/A</v>
      </c>
      <c r="FO403" t="e">
        <v>#N/A</v>
      </c>
      <c r="FQ403" t="e">
        <v>#N/A</v>
      </c>
      <c r="FS403" t="e">
        <v>#N/A</v>
      </c>
      <c r="FU403" t="e">
        <v>#N/A</v>
      </c>
      <c r="FW403" t="e">
        <v>#N/A</v>
      </c>
      <c r="FY403" t="e">
        <v>#N/A</v>
      </c>
      <c r="GA403" t="e">
        <v>#N/A</v>
      </c>
      <c r="GC403" t="e">
        <v>#N/A</v>
      </c>
      <c r="GE403" t="e">
        <v>#N/A</v>
      </c>
      <c r="GG403" t="e">
        <v>#N/A</v>
      </c>
      <c r="GI403" t="e">
        <v>#N/A</v>
      </c>
      <c r="GK403" t="e">
        <v>#N/A</v>
      </c>
      <c r="GM403" t="e">
        <v>#N/A</v>
      </c>
      <c r="GO403" t="e">
        <v>#N/A</v>
      </c>
      <c r="GQ403" t="e">
        <v>#N/A</v>
      </c>
      <c r="GS403" t="e">
        <v>#N/A</v>
      </c>
      <c r="GU403" t="e">
        <v>#N/A</v>
      </c>
      <c r="GW403" t="e">
        <v>#N/A</v>
      </c>
      <c r="GY403" t="e">
        <v>#N/A</v>
      </c>
      <c r="HA403" t="e">
        <v>#N/A</v>
      </c>
      <c r="HC403">
        <v>0</v>
      </c>
      <c r="HD403">
        <v>0</v>
      </c>
      <c r="HE403">
        <v>0</v>
      </c>
      <c r="HF403">
        <v>0</v>
      </c>
      <c r="HG403">
        <v>0</v>
      </c>
      <c r="HH403">
        <v>0</v>
      </c>
      <c r="HI403">
        <v>0</v>
      </c>
      <c r="HJ403">
        <v>0</v>
      </c>
      <c r="HM403">
        <v>0</v>
      </c>
      <c r="HN403">
        <v>0</v>
      </c>
      <c r="HO403">
        <v>0</v>
      </c>
      <c r="HP403">
        <v>0</v>
      </c>
      <c r="HQ403">
        <v>0</v>
      </c>
      <c r="HR403">
        <v>0</v>
      </c>
      <c r="HS403">
        <v>0</v>
      </c>
      <c r="HT403">
        <v>0</v>
      </c>
      <c r="HW403">
        <v>0</v>
      </c>
      <c r="HX403">
        <v>0</v>
      </c>
      <c r="HY403">
        <v>0</v>
      </c>
      <c r="HZ403">
        <v>0</v>
      </c>
      <c r="IA403">
        <v>3930.6</v>
      </c>
      <c r="IB403">
        <v>3632.9</v>
      </c>
      <c r="IC403">
        <v>3795.5</v>
      </c>
      <c r="ID403">
        <v>0</v>
      </c>
      <c r="IE403">
        <v>0</v>
      </c>
      <c r="IF403">
        <v>3548.5</v>
      </c>
      <c r="IG403">
        <v>3395.2</v>
      </c>
      <c r="IH403">
        <v>3395.4</v>
      </c>
      <c r="II403">
        <v>3302.3</v>
      </c>
      <c r="IJ403">
        <v>3172.8</v>
      </c>
      <c r="IK403">
        <v>0</v>
      </c>
      <c r="IL403">
        <v>0</v>
      </c>
      <c r="IM403">
        <v>0</v>
      </c>
      <c r="IN403">
        <v>0</v>
      </c>
      <c r="IO403">
        <v>123.4</v>
      </c>
      <c r="IP403">
        <v>405.2</v>
      </c>
      <c r="IQ403">
        <v>418.7</v>
      </c>
      <c r="IR403">
        <v>0</v>
      </c>
      <c r="IS403">
        <v>0</v>
      </c>
      <c r="IT403">
        <v>0</v>
      </c>
      <c r="IU403">
        <v>0</v>
      </c>
      <c r="IV403">
        <v>396</v>
      </c>
      <c r="IW403">
        <v>0</v>
      </c>
      <c r="IX403">
        <v>0</v>
      </c>
      <c r="IZ403">
        <v>0</v>
      </c>
      <c r="JA403">
        <v>65.5</v>
      </c>
      <c r="JB403">
        <v>443.5</v>
      </c>
      <c r="JC403">
        <v>0</v>
      </c>
      <c r="JD403">
        <v>0</v>
      </c>
      <c r="JE403">
        <v>0</v>
      </c>
      <c r="JF403">
        <v>0</v>
      </c>
      <c r="JG403">
        <v>0</v>
      </c>
      <c r="JH403">
        <v>0</v>
      </c>
      <c r="JI403">
        <v>0</v>
      </c>
      <c r="JJ403">
        <v>0</v>
      </c>
      <c r="JK403">
        <v>0</v>
      </c>
      <c r="JL403">
        <v>0</v>
      </c>
      <c r="JM403">
        <v>0</v>
      </c>
      <c r="JN403">
        <v>0</v>
      </c>
      <c r="JO403">
        <v>0</v>
      </c>
      <c r="JP403">
        <v>0</v>
      </c>
      <c r="JQ403">
        <v>0</v>
      </c>
      <c r="JR403">
        <v>0</v>
      </c>
      <c r="JS403">
        <v>0</v>
      </c>
      <c r="JT403">
        <v>0</v>
      </c>
      <c r="JU403">
        <v>0</v>
      </c>
      <c r="JV403">
        <v>0</v>
      </c>
      <c r="JW403">
        <v>0</v>
      </c>
      <c r="JX403">
        <v>0</v>
      </c>
      <c r="JY403">
        <v>0</v>
      </c>
      <c r="JZ403">
        <v>0</v>
      </c>
      <c r="KA403">
        <v>0</v>
      </c>
      <c r="KB403">
        <v>0</v>
      </c>
      <c r="KC403">
        <v>0</v>
      </c>
      <c r="KD403">
        <v>0</v>
      </c>
      <c r="KE403">
        <v>0</v>
      </c>
      <c r="KF403">
        <v>0</v>
      </c>
      <c r="KI403">
        <v>344.6</v>
      </c>
      <c r="KJ403">
        <v>350.8</v>
      </c>
      <c r="KK403">
        <v>22.1</v>
      </c>
      <c r="KL403">
        <v>379.3</v>
      </c>
      <c r="KM403">
        <v>241.4</v>
      </c>
      <c r="KN403">
        <v>0</v>
      </c>
      <c r="KO403">
        <v>0</v>
      </c>
      <c r="KP403">
        <v>57.3</v>
      </c>
      <c r="KQ403">
        <v>224.4</v>
      </c>
      <c r="KR403">
        <v>338.3</v>
      </c>
      <c r="KS403">
        <v>215.8</v>
      </c>
      <c r="KT403">
        <v>40.700000000000003</v>
      </c>
      <c r="KW403">
        <v>2154.5</v>
      </c>
      <c r="KX403">
        <v>1255.7</v>
      </c>
      <c r="KY403">
        <v>1630.1</v>
      </c>
      <c r="KZ403">
        <v>1246.9000000000001</v>
      </c>
      <c r="LB403">
        <v>78.099999999999994</v>
      </c>
      <c r="LC403">
        <v>77.7</v>
      </c>
    </row>
    <row r="404" spans="1:315" ht="18" thickBot="1">
      <c r="A404" s="243"/>
      <c r="B404" s="572" t="s">
        <v>413</v>
      </c>
      <c r="C404" s="344" t="s">
        <v>869</v>
      </c>
      <c r="D404" s="311" t="s">
        <v>702</v>
      </c>
      <c r="E404" s="454">
        <v>0</v>
      </c>
      <c r="F404" s="213">
        <v>0</v>
      </c>
      <c r="G404" s="427">
        <v>3413.8</v>
      </c>
      <c r="H404" s="155"/>
      <c r="I404">
        <v>735</v>
      </c>
      <c r="K404">
        <v>1973.1000000000001</v>
      </c>
      <c r="L404" s="4">
        <v>221.60000000000002</v>
      </c>
      <c r="M404" s="4">
        <v>54.9</v>
      </c>
      <c r="N404" s="4">
        <v>1989.7</v>
      </c>
      <c r="P404">
        <v>0</v>
      </c>
      <c r="Q404">
        <v>238.29999999999998</v>
      </c>
      <c r="R404">
        <v>0</v>
      </c>
      <c r="S404">
        <v>0</v>
      </c>
      <c r="T404">
        <v>368.5</v>
      </c>
      <c r="W404">
        <v>720.3</v>
      </c>
      <c r="X404">
        <v>1411.5</v>
      </c>
      <c r="Y404">
        <v>96.5</v>
      </c>
      <c r="AA404">
        <v>859.6</v>
      </c>
      <c r="AB404">
        <v>1577.6000000000001</v>
      </c>
      <c r="AE404">
        <v>1330</v>
      </c>
      <c r="AF404">
        <v>1025.5</v>
      </c>
      <c r="AH404">
        <v>509.9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1349.3</v>
      </c>
      <c r="AO404">
        <v>786.40000000000009</v>
      </c>
      <c r="AP404">
        <v>0</v>
      </c>
      <c r="AQ404">
        <v>68.3</v>
      </c>
      <c r="AR404">
        <v>234.9</v>
      </c>
      <c r="AS404">
        <v>600.40000000000009</v>
      </c>
      <c r="AU404">
        <v>985.69999999999993</v>
      </c>
      <c r="AW404">
        <v>792</v>
      </c>
      <c r="AX404">
        <v>1988.5</v>
      </c>
      <c r="AZ404">
        <v>763.5</v>
      </c>
      <c r="BA404">
        <v>0</v>
      </c>
      <c r="BB404">
        <v>0</v>
      </c>
      <c r="BC404">
        <v>1935.3</v>
      </c>
      <c r="BD404">
        <v>1006.5</v>
      </c>
      <c r="BE404">
        <v>0</v>
      </c>
      <c r="BF404">
        <v>0</v>
      </c>
      <c r="BG404">
        <v>0</v>
      </c>
      <c r="BH404">
        <v>1662.6</v>
      </c>
      <c r="BJ404">
        <v>0</v>
      </c>
      <c r="BK404">
        <v>0</v>
      </c>
      <c r="BL404">
        <v>1038.9000000000001</v>
      </c>
      <c r="BM404">
        <v>1101</v>
      </c>
      <c r="BO404">
        <v>1276.8000000000002</v>
      </c>
      <c r="BQ404">
        <v>0</v>
      </c>
      <c r="BR404">
        <v>270.7</v>
      </c>
      <c r="BS404">
        <v>230.5</v>
      </c>
      <c r="BT404">
        <v>472.3</v>
      </c>
      <c r="BU404">
        <v>537.29999999999995</v>
      </c>
      <c r="BV404">
        <v>346.3</v>
      </c>
      <c r="BW404">
        <v>386.2</v>
      </c>
      <c r="BX404">
        <v>767</v>
      </c>
      <c r="BY404">
        <v>757.2</v>
      </c>
      <c r="BZ404">
        <v>1037.2</v>
      </c>
      <c r="CA404">
        <v>1227.0999999999999</v>
      </c>
      <c r="CB404">
        <v>1232.0999999999999</v>
      </c>
      <c r="CC404">
        <v>1701.5</v>
      </c>
      <c r="CD404">
        <v>0</v>
      </c>
      <c r="CG404">
        <v>1385.3</v>
      </c>
      <c r="CJ404">
        <v>1630.2999999999997</v>
      </c>
      <c r="CM404">
        <v>1184.2</v>
      </c>
      <c r="CO404">
        <v>1248.0999999999999</v>
      </c>
      <c r="CQ404">
        <v>1435.3</v>
      </c>
      <c r="CR404">
        <v>798.2</v>
      </c>
      <c r="CS404">
        <v>923.8</v>
      </c>
      <c r="CT404">
        <v>0</v>
      </c>
      <c r="CU404">
        <v>0</v>
      </c>
      <c r="CV404">
        <v>0</v>
      </c>
      <c r="CW404">
        <v>0</v>
      </c>
      <c r="CX404">
        <v>163.69999999999999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I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G404" t="e">
        <v>#N/A</v>
      </c>
      <c r="FI404" t="e">
        <v>#N/A</v>
      </c>
      <c r="FK404" t="e">
        <v>#N/A</v>
      </c>
      <c r="FM404" t="e">
        <v>#N/A</v>
      </c>
      <c r="FO404" t="e">
        <v>#N/A</v>
      </c>
      <c r="FQ404" t="e">
        <v>#N/A</v>
      </c>
      <c r="FS404" t="e">
        <v>#N/A</v>
      </c>
      <c r="FU404" t="e">
        <v>#N/A</v>
      </c>
      <c r="FW404" t="e">
        <v>#N/A</v>
      </c>
      <c r="FY404" t="e">
        <v>#N/A</v>
      </c>
      <c r="GA404" t="e">
        <v>#N/A</v>
      </c>
      <c r="GC404" t="e">
        <v>#N/A</v>
      </c>
      <c r="GE404" t="e">
        <v>#N/A</v>
      </c>
      <c r="GG404" t="e">
        <v>#N/A</v>
      </c>
      <c r="GI404" t="e">
        <v>#N/A</v>
      </c>
      <c r="GK404" t="e">
        <v>#N/A</v>
      </c>
      <c r="GM404" t="e">
        <v>#N/A</v>
      </c>
      <c r="GO404" t="e">
        <v>#N/A</v>
      </c>
      <c r="GQ404" t="e">
        <v>#N/A</v>
      </c>
      <c r="GS404" t="e">
        <v>#N/A</v>
      </c>
      <c r="GU404" t="e">
        <v>#N/A</v>
      </c>
      <c r="GW404" t="e">
        <v>#N/A</v>
      </c>
      <c r="GY404" t="e">
        <v>#N/A</v>
      </c>
      <c r="HA404" t="e">
        <v>#N/A</v>
      </c>
      <c r="HC404">
        <v>0</v>
      </c>
      <c r="HD404">
        <v>0</v>
      </c>
      <c r="HE404">
        <v>0</v>
      </c>
      <c r="HF404">
        <v>0</v>
      </c>
      <c r="HG404">
        <v>0</v>
      </c>
      <c r="HH404">
        <v>0</v>
      </c>
      <c r="HI404">
        <v>0</v>
      </c>
      <c r="HJ404">
        <v>0</v>
      </c>
      <c r="HM404">
        <v>0</v>
      </c>
      <c r="HN404">
        <v>0</v>
      </c>
      <c r="HO404">
        <v>0</v>
      </c>
      <c r="HP404">
        <v>0</v>
      </c>
      <c r="HQ404">
        <v>0</v>
      </c>
      <c r="HR404">
        <v>0</v>
      </c>
      <c r="HS404">
        <v>0</v>
      </c>
      <c r="HT404">
        <v>0</v>
      </c>
      <c r="HW404">
        <v>0</v>
      </c>
      <c r="HX404">
        <v>0</v>
      </c>
      <c r="HY404">
        <v>0</v>
      </c>
      <c r="HZ404">
        <v>0</v>
      </c>
      <c r="IA404">
        <v>3930.6</v>
      </c>
      <c r="IB404">
        <v>3632.9</v>
      </c>
      <c r="IC404">
        <v>3795.5</v>
      </c>
      <c r="ID404">
        <v>0</v>
      </c>
      <c r="IE404">
        <v>0</v>
      </c>
      <c r="IF404">
        <v>3548.5</v>
      </c>
      <c r="IG404">
        <v>3395.2</v>
      </c>
      <c r="IH404">
        <v>3395.4</v>
      </c>
      <c r="II404">
        <v>3302.3</v>
      </c>
      <c r="IJ404">
        <v>3172.8</v>
      </c>
      <c r="IK404">
        <v>0</v>
      </c>
      <c r="IL404">
        <v>0</v>
      </c>
      <c r="IM404">
        <v>0</v>
      </c>
      <c r="IN404">
        <v>0</v>
      </c>
      <c r="IO404">
        <v>123.4</v>
      </c>
      <c r="IP404">
        <v>405.2</v>
      </c>
      <c r="IQ404">
        <v>418.7</v>
      </c>
      <c r="IR404">
        <v>0</v>
      </c>
      <c r="IS404">
        <v>0</v>
      </c>
      <c r="IT404">
        <v>0</v>
      </c>
      <c r="IU404">
        <v>0</v>
      </c>
      <c r="IV404">
        <v>396</v>
      </c>
      <c r="IW404">
        <v>0</v>
      </c>
      <c r="IX404">
        <v>0</v>
      </c>
      <c r="IZ404">
        <v>0</v>
      </c>
      <c r="JA404">
        <v>65.5</v>
      </c>
      <c r="JB404">
        <v>443.5</v>
      </c>
      <c r="JC404">
        <v>0</v>
      </c>
      <c r="JD404">
        <v>0</v>
      </c>
      <c r="JE404">
        <v>0</v>
      </c>
      <c r="JF404">
        <v>0</v>
      </c>
      <c r="JG404">
        <v>0</v>
      </c>
      <c r="JH404">
        <v>0</v>
      </c>
      <c r="JI404">
        <v>0</v>
      </c>
      <c r="JJ404">
        <v>0</v>
      </c>
      <c r="JK404">
        <v>0</v>
      </c>
      <c r="JL404">
        <v>0</v>
      </c>
      <c r="JM404">
        <v>0</v>
      </c>
      <c r="JN404">
        <v>0</v>
      </c>
      <c r="JO404">
        <v>0</v>
      </c>
      <c r="JP404">
        <v>0</v>
      </c>
      <c r="JQ404">
        <v>0</v>
      </c>
      <c r="JR404">
        <v>0</v>
      </c>
      <c r="JS404">
        <v>0</v>
      </c>
      <c r="JT404">
        <v>0</v>
      </c>
      <c r="JU404">
        <v>0</v>
      </c>
      <c r="JV404">
        <v>0</v>
      </c>
      <c r="JW404">
        <v>0</v>
      </c>
      <c r="JX404">
        <v>0</v>
      </c>
      <c r="JY404">
        <v>0</v>
      </c>
      <c r="JZ404">
        <v>0</v>
      </c>
      <c r="KA404">
        <v>0</v>
      </c>
      <c r="KB404">
        <v>0</v>
      </c>
      <c r="KC404">
        <v>0</v>
      </c>
      <c r="KD404">
        <v>0</v>
      </c>
      <c r="KE404">
        <v>0</v>
      </c>
      <c r="KF404">
        <v>0</v>
      </c>
      <c r="KI404">
        <v>344.6</v>
      </c>
      <c r="KJ404">
        <v>350.8</v>
      </c>
      <c r="KK404">
        <v>22.1</v>
      </c>
      <c r="KL404">
        <v>379.3</v>
      </c>
      <c r="KM404">
        <v>241.4</v>
      </c>
      <c r="KN404">
        <v>0</v>
      </c>
      <c r="KO404">
        <v>0</v>
      </c>
      <c r="KP404">
        <v>57.3</v>
      </c>
      <c r="KQ404">
        <v>224.4</v>
      </c>
      <c r="KR404">
        <v>338.3</v>
      </c>
      <c r="KS404">
        <v>215.8</v>
      </c>
      <c r="KT404">
        <v>40.700000000000003</v>
      </c>
      <c r="KW404">
        <v>2154.5</v>
      </c>
      <c r="KX404">
        <v>1255.7</v>
      </c>
      <c r="KY404">
        <v>1630.1</v>
      </c>
      <c r="KZ404">
        <v>1246.9000000000001</v>
      </c>
      <c r="LB404">
        <v>78.099999999999994</v>
      </c>
      <c r="LC404">
        <v>77.7</v>
      </c>
    </row>
    <row r="405" spans="1:315" ht="18" thickBot="1">
      <c r="A405" s="243"/>
      <c r="B405" s="572"/>
      <c r="C405" s="344"/>
      <c r="D405" s="311"/>
      <c r="E405" s="454">
        <v>0</v>
      </c>
      <c r="F405" s="215">
        <v>0</v>
      </c>
      <c r="G405" s="427">
        <v>3413.8</v>
      </c>
      <c r="H405" s="155"/>
      <c r="I405">
        <v>735</v>
      </c>
      <c r="K405">
        <v>1973.1000000000001</v>
      </c>
      <c r="L405" s="4">
        <v>221.60000000000002</v>
      </c>
      <c r="M405" s="4">
        <v>54.9</v>
      </c>
      <c r="N405" s="4">
        <v>1989.7</v>
      </c>
      <c r="P405">
        <v>0</v>
      </c>
      <c r="Q405">
        <v>238.29999999999998</v>
      </c>
      <c r="R405">
        <v>0</v>
      </c>
      <c r="S405">
        <v>0</v>
      </c>
      <c r="T405">
        <v>368.5</v>
      </c>
      <c r="W405">
        <v>720.3</v>
      </c>
      <c r="X405">
        <v>1411.5</v>
      </c>
      <c r="Y405">
        <v>96.5</v>
      </c>
      <c r="AA405">
        <v>859.6</v>
      </c>
      <c r="AB405">
        <v>1577.6000000000001</v>
      </c>
      <c r="AE405">
        <v>1330</v>
      </c>
      <c r="AF405">
        <v>1025.5</v>
      </c>
      <c r="AH405">
        <v>509.9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1349.3</v>
      </c>
      <c r="AO405">
        <v>786.40000000000009</v>
      </c>
      <c r="AP405">
        <v>0</v>
      </c>
      <c r="AQ405">
        <v>68.3</v>
      </c>
      <c r="AR405">
        <v>234.9</v>
      </c>
      <c r="AS405">
        <v>600.40000000000009</v>
      </c>
      <c r="AU405">
        <v>985.69999999999993</v>
      </c>
      <c r="AW405">
        <v>792</v>
      </c>
      <c r="AX405">
        <v>1988.5</v>
      </c>
      <c r="AZ405">
        <v>763.5</v>
      </c>
      <c r="BA405">
        <v>0</v>
      </c>
      <c r="BB405">
        <v>0</v>
      </c>
      <c r="BC405">
        <v>1935.3</v>
      </c>
      <c r="BD405">
        <v>1006.5</v>
      </c>
      <c r="BE405">
        <v>0</v>
      </c>
      <c r="BF405">
        <v>0</v>
      </c>
      <c r="BG405">
        <v>0</v>
      </c>
      <c r="BH405">
        <v>1662.6</v>
      </c>
      <c r="BJ405">
        <v>0</v>
      </c>
      <c r="BK405">
        <v>0</v>
      </c>
      <c r="BL405">
        <v>1038.9000000000001</v>
      </c>
      <c r="BM405">
        <v>1101</v>
      </c>
      <c r="BO405">
        <v>1276.8000000000002</v>
      </c>
      <c r="BQ405">
        <v>0</v>
      </c>
      <c r="BR405">
        <v>270.7</v>
      </c>
      <c r="BS405">
        <v>230.5</v>
      </c>
      <c r="BT405">
        <v>472.3</v>
      </c>
      <c r="BU405">
        <v>537.29999999999995</v>
      </c>
      <c r="BV405">
        <v>346.3</v>
      </c>
      <c r="BW405">
        <v>386.2</v>
      </c>
      <c r="BX405">
        <v>767</v>
      </c>
      <c r="BY405">
        <v>757.2</v>
      </c>
      <c r="BZ405">
        <v>1037.2</v>
      </c>
      <c r="CA405">
        <v>1227.0999999999999</v>
      </c>
      <c r="CB405">
        <v>1232.0999999999999</v>
      </c>
      <c r="CC405">
        <v>1701.5</v>
      </c>
      <c r="CD405">
        <v>0</v>
      </c>
      <c r="CG405">
        <v>1385.3</v>
      </c>
      <c r="CJ405">
        <v>1630.2999999999997</v>
      </c>
      <c r="CM405">
        <v>1184.2</v>
      </c>
      <c r="CO405">
        <v>1248.0999999999999</v>
      </c>
      <c r="CQ405">
        <v>1435.3</v>
      </c>
      <c r="CR405">
        <v>798.2</v>
      </c>
      <c r="CS405">
        <v>923.8</v>
      </c>
      <c r="CT405">
        <v>0</v>
      </c>
      <c r="CU405">
        <v>0</v>
      </c>
      <c r="CV405">
        <v>0</v>
      </c>
      <c r="CW405">
        <v>0</v>
      </c>
      <c r="CX405">
        <v>163.69999999999999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I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G405" t="e">
        <v>#N/A</v>
      </c>
      <c r="FI405" t="e">
        <v>#N/A</v>
      </c>
      <c r="FK405" t="e">
        <v>#N/A</v>
      </c>
      <c r="FM405" t="e">
        <v>#N/A</v>
      </c>
      <c r="FO405" t="e">
        <v>#N/A</v>
      </c>
      <c r="FQ405" t="e">
        <v>#N/A</v>
      </c>
      <c r="FS405" t="e">
        <v>#N/A</v>
      </c>
      <c r="FU405" t="e">
        <v>#N/A</v>
      </c>
      <c r="FW405" t="e">
        <v>#N/A</v>
      </c>
      <c r="FY405" t="e">
        <v>#N/A</v>
      </c>
      <c r="GA405" t="e">
        <v>#N/A</v>
      </c>
      <c r="GC405" t="e">
        <v>#N/A</v>
      </c>
      <c r="GE405" t="e">
        <v>#N/A</v>
      </c>
      <c r="GG405" t="e">
        <v>#N/A</v>
      </c>
      <c r="GI405" t="e">
        <v>#N/A</v>
      </c>
      <c r="GK405" t="e">
        <v>#N/A</v>
      </c>
      <c r="GM405" t="e">
        <v>#N/A</v>
      </c>
      <c r="GO405" t="e">
        <v>#N/A</v>
      </c>
      <c r="GQ405" t="e">
        <v>#N/A</v>
      </c>
      <c r="GS405" t="e">
        <v>#N/A</v>
      </c>
      <c r="GU405" t="e">
        <v>#N/A</v>
      </c>
      <c r="GW405" t="e">
        <v>#N/A</v>
      </c>
      <c r="GY405" t="e">
        <v>#N/A</v>
      </c>
      <c r="HA405" t="e">
        <v>#N/A</v>
      </c>
      <c r="HC405">
        <v>0</v>
      </c>
      <c r="HD405">
        <v>0</v>
      </c>
      <c r="HE405">
        <v>0</v>
      </c>
      <c r="HF405">
        <v>0</v>
      </c>
      <c r="HG405">
        <v>0</v>
      </c>
      <c r="HH405">
        <v>0</v>
      </c>
      <c r="HI405">
        <v>0</v>
      </c>
      <c r="HJ405">
        <v>0</v>
      </c>
      <c r="HM405">
        <v>0</v>
      </c>
      <c r="HN405">
        <v>0</v>
      </c>
      <c r="HO405">
        <v>0</v>
      </c>
      <c r="HP405">
        <v>0</v>
      </c>
      <c r="HQ405">
        <v>0</v>
      </c>
      <c r="HR405">
        <v>0</v>
      </c>
      <c r="HS405">
        <v>0</v>
      </c>
      <c r="HT405">
        <v>0</v>
      </c>
      <c r="HW405">
        <v>0</v>
      </c>
      <c r="HX405">
        <v>0</v>
      </c>
      <c r="HY405">
        <v>0</v>
      </c>
      <c r="HZ405">
        <v>0</v>
      </c>
      <c r="IA405">
        <v>3930.6</v>
      </c>
      <c r="IB405">
        <v>3632.9</v>
      </c>
      <c r="IC405">
        <v>3795.5</v>
      </c>
      <c r="ID405">
        <v>0</v>
      </c>
      <c r="IE405">
        <v>0</v>
      </c>
      <c r="IF405">
        <v>3548.5</v>
      </c>
      <c r="IG405">
        <v>3395.2</v>
      </c>
      <c r="IH405">
        <v>3395.4</v>
      </c>
      <c r="II405">
        <v>3302.3</v>
      </c>
      <c r="IJ405">
        <v>3172.8</v>
      </c>
      <c r="IK405">
        <v>0</v>
      </c>
      <c r="IL405">
        <v>0</v>
      </c>
      <c r="IM405">
        <v>0</v>
      </c>
      <c r="IN405">
        <v>0</v>
      </c>
      <c r="IO405">
        <v>123.4</v>
      </c>
      <c r="IP405">
        <v>405.2</v>
      </c>
      <c r="IQ405">
        <v>418.7</v>
      </c>
      <c r="IR405">
        <v>0</v>
      </c>
      <c r="IS405">
        <v>0</v>
      </c>
      <c r="IT405">
        <v>0</v>
      </c>
      <c r="IU405">
        <v>0</v>
      </c>
      <c r="IV405">
        <v>396</v>
      </c>
      <c r="IW405">
        <v>0</v>
      </c>
      <c r="IX405">
        <v>0</v>
      </c>
      <c r="IZ405">
        <v>0</v>
      </c>
      <c r="JA405">
        <v>65.5</v>
      </c>
      <c r="JB405">
        <v>443.5</v>
      </c>
      <c r="JC405">
        <v>0</v>
      </c>
      <c r="JD405">
        <v>0</v>
      </c>
      <c r="JE405">
        <v>0</v>
      </c>
      <c r="JF405">
        <v>0</v>
      </c>
      <c r="JG405">
        <v>0</v>
      </c>
      <c r="JH405">
        <v>0</v>
      </c>
      <c r="JI405">
        <v>0</v>
      </c>
      <c r="JJ405">
        <v>0</v>
      </c>
      <c r="JK405">
        <v>0</v>
      </c>
      <c r="JL405">
        <v>0</v>
      </c>
      <c r="JM405">
        <v>0</v>
      </c>
      <c r="JN405">
        <v>0</v>
      </c>
      <c r="JO405">
        <v>0</v>
      </c>
      <c r="JP405">
        <v>0</v>
      </c>
      <c r="JQ405">
        <v>0</v>
      </c>
      <c r="JR405">
        <v>0</v>
      </c>
      <c r="JS405">
        <v>0</v>
      </c>
      <c r="JT405">
        <v>0</v>
      </c>
      <c r="JU405">
        <v>0</v>
      </c>
      <c r="JV405">
        <v>0</v>
      </c>
      <c r="JW405">
        <v>0</v>
      </c>
      <c r="JX405">
        <v>0</v>
      </c>
      <c r="JY405">
        <v>0</v>
      </c>
      <c r="JZ405">
        <v>0</v>
      </c>
      <c r="KA405">
        <v>0</v>
      </c>
      <c r="KB405">
        <v>0</v>
      </c>
      <c r="KC405">
        <v>0</v>
      </c>
      <c r="KD405">
        <v>0</v>
      </c>
      <c r="KE405">
        <v>0</v>
      </c>
      <c r="KF405">
        <v>0</v>
      </c>
      <c r="KI405">
        <v>344.6</v>
      </c>
      <c r="KJ405">
        <v>350.8</v>
      </c>
      <c r="KK405">
        <v>22.1</v>
      </c>
      <c r="KL405">
        <v>379.3</v>
      </c>
      <c r="KM405">
        <v>241.4</v>
      </c>
      <c r="KN405">
        <v>0</v>
      </c>
      <c r="KO405">
        <v>0</v>
      </c>
      <c r="KP405">
        <v>57.3</v>
      </c>
      <c r="KQ405">
        <v>224.4</v>
      </c>
      <c r="KR405">
        <v>338.3</v>
      </c>
      <c r="KS405">
        <v>215.8</v>
      </c>
      <c r="KT405">
        <v>40.700000000000003</v>
      </c>
      <c r="KW405">
        <v>2154.5</v>
      </c>
      <c r="KX405">
        <v>1255.7</v>
      </c>
      <c r="KY405">
        <v>1630.1</v>
      </c>
      <c r="KZ405">
        <v>1246.9000000000001</v>
      </c>
      <c r="LB405">
        <v>78.099999999999994</v>
      </c>
      <c r="LC405">
        <v>77.7</v>
      </c>
    </row>
    <row r="406" spans="1:315" ht="18" thickBot="1">
      <c r="A406" s="250"/>
      <c r="B406" s="576" t="s">
        <v>414</v>
      </c>
      <c r="C406" s="344" t="s">
        <v>870</v>
      </c>
      <c r="D406" s="311" t="s">
        <v>702</v>
      </c>
      <c r="E406" s="454">
        <v>0</v>
      </c>
      <c r="F406" s="216">
        <v>0</v>
      </c>
      <c r="G406" s="427">
        <v>3413.8</v>
      </c>
      <c r="H406" s="155"/>
      <c r="I406">
        <v>735</v>
      </c>
      <c r="K406">
        <v>1973.1000000000001</v>
      </c>
      <c r="L406" s="4">
        <v>221.60000000000002</v>
      </c>
      <c r="M406" s="4">
        <v>54.9</v>
      </c>
      <c r="N406" s="4">
        <v>1989.7</v>
      </c>
      <c r="P406">
        <v>0</v>
      </c>
      <c r="Q406">
        <v>238.29999999999998</v>
      </c>
      <c r="R406">
        <v>0</v>
      </c>
      <c r="S406">
        <v>0</v>
      </c>
      <c r="T406">
        <v>368.5</v>
      </c>
      <c r="W406">
        <v>720.3</v>
      </c>
      <c r="X406">
        <v>1411.5</v>
      </c>
      <c r="Y406">
        <v>96.5</v>
      </c>
      <c r="AA406">
        <v>859.6</v>
      </c>
      <c r="AB406">
        <v>1577.6000000000001</v>
      </c>
      <c r="AE406">
        <v>1330</v>
      </c>
      <c r="AF406">
        <v>1025.5</v>
      </c>
      <c r="AH406">
        <v>509.9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1349.3</v>
      </c>
      <c r="AO406">
        <v>786.40000000000009</v>
      </c>
      <c r="AP406">
        <v>0</v>
      </c>
      <c r="AQ406">
        <v>68.3</v>
      </c>
      <c r="AR406">
        <v>234.9</v>
      </c>
      <c r="AS406">
        <v>600.40000000000009</v>
      </c>
      <c r="AU406">
        <v>985.69999999999993</v>
      </c>
      <c r="AW406">
        <v>792</v>
      </c>
      <c r="AX406">
        <v>1988.5</v>
      </c>
      <c r="AZ406">
        <v>763.5</v>
      </c>
      <c r="BA406">
        <v>0</v>
      </c>
      <c r="BB406">
        <v>0</v>
      </c>
      <c r="BC406">
        <v>1935.3</v>
      </c>
      <c r="BD406">
        <v>1006.5</v>
      </c>
      <c r="BE406">
        <v>0</v>
      </c>
      <c r="BF406">
        <v>0</v>
      </c>
      <c r="BG406">
        <v>0</v>
      </c>
      <c r="BH406">
        <v>1662.6</v>
      </c>
      <c r="BJ406">
        <v>0</v>
      </c>
      <c r="BK406">
        <v>0</v>
      </c>
      <c r="BL406">
        <v>1038.9000000000001</v>
      </c>
      <c r="BM406">
        <v>1101</v>
      </c>
      <c r="BO406">
        <v>1276.8000000000002</v>
      </c>
      <c r="BQ406">
        <v>0</v>
      </c>
      <c r="BR406">
        <v>270.7</v>
      </c>
      <c r="BS406">
        <v>230.5</v>
      </c>
      <c r="BT406">
        <v>472.3</v>
      </c>
      <c r="BU406">
        <v>537.29999999999995</v>
      </c>
      <c r="BV406">
        <v>346.3</v>
      </c>
      <c r="BW406">
        <v>386.2</v>
      </c>
      <c r="BX406">
        <v>767</v>
      </c>
      <c r="BY406">
        <v>757.2</v>
      </c>
      <c r="BZ406">
        <v>1037.2</v>
      </c>
      <c r="CA406">
        <v>1227.0999999999999</v>
      </c>
      <c r="CB406">
        <v>1232.0999999999999</v>
      </c>
      <c r="CC406">
        <v>1701.5</v>
      </c>
      <c r="CD406">
        <v>0</v>
      </c>
      <c r="CG406">
        <v>1385.3</v>
      </c>
      <c r="CJ406">
        <v>1630.2999999999997</v>
      </c>
      <c r="CM406">
        <v>1184.2</v>
      </c>
      <c r="CO406">
        <v>1248.0999999999999</v>
      </c>
      <c r="CQ406">
        <v>1435.3</v>
      </c>
      <c r="CR406">
        <v>798.2</v>
      </c>
      <c r="CS406">
        <v>923.8</v>
      </c>
      <c r="CT406">
        <v>0</v>
      </c>
      <c r="CU406">
        <v>0</v>
      </c>
      <c r="CV406">
        <v>0</v>
      </c>
      <c r="CW406">
        <v>0</v>
      </c>
      <c r="CX406">
        <v>163.69999999999999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I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G406" t="e">
        <v>#N/A</v>
      </c>
      <c r="FI406" t="e">
        <v>#N/A</v>
      </c>
      <c r="FK406" t="e">
        <v>#N/A</v>
      </c>
      <c r="FM406" t="e">
        <v>#N/A</v>
      </c>
      <c r="FO406" t="e">
        <v>#N/A</v>
      </c>
      <c r="FQ406" t="e">
        <v>#N/A</v>
      </c>
      <c r="FS406" t="e">
        <v>#N/A</v>
      </c>
      <c r="FU406" t="e">
        <v>#N/A</v>
      </c>
      <c r="FW406" t="e">
        <v>#N/A</v>
      </c>
      <c r="FY406" t="e">
        <v>#N/A</v>
      </c>
      <c r="GA406" t="e">
        <v>#N/A</v>
      </c>
      <c r="GC406" t="e">
        <v>#N/A</v>
      </c>
      <c r="GE406" t="e">
        <v>#N/A</v>
      </c>
      <c r="GG406" t="e">
        <v>#N/A</v>
      </c>
      <c r="GI406" t="e">
        <v>#N/A</v>
      </c>
      <c r="GK406" t="e">
        <v>#N/A</v>
      </c>
      <c r="GM406" t="e">
        <v>#N/A</v>
      </c>
      <c r="GO406" t="e">
        <v>#N/A</v>
      </c>
      <c r="GQ406" t="e">
        <v>#N/A</v>
      </c>
      <c r="GS406" t="e">
        <v>#N/A</v>
      </c>
      <c r="GU406" t="e">
        <v>#N/A</v>
      </c>
      <c r="GW406" t="e">
        <v>#N/A</v>
      </c>
      <c r="GY406" t="e">
        <v>#N/A</v>
      </c>
      <c r="HA406" t="e">
        <v>#N/A</v>
      </c>
      <c r="HC406">
        <v>0</v>
      </c>
      <c r="HD406">
        <v>0</v>
      </c>
      <c r="HE406">
        <v>0</v>
      </c>
      <c r="HF406">
        <v>0</v>
      </c>
      <c r="HG406">
        <v>0</v>
      </c>
      <c r="HH406">
        <v>0</v>
      </c>
      <c r="HI406">
        <v>0</v>
      </c>
      <c r="HJ406">
        <v>0</v>
      </c>
      <c r="HM406">
        <v>0</v>
      </c>
      <c r="HN406">
        <v>0</v>
      </c>
      <c r="HO406">
        <v>0</v>
      </c>
      <c r="HP406">
        <v>0</v>
      </c>
      <c r="HQ406">
        <v>0</v>
      </c>
      <c r="HR406">
        <v>0</v>
      </c>
      <c r="HS406">
        <v>0</v>
      </c>
      <c r="HT406">
        <v>0</v>
      </c>
      <c r="HW406">
        <v>0</v>
      </c>
      <c r="HX406">
        <v>0</v>
      </c>
      <c r="HY406">
        <v>0</v>
      </c>
      <c r="HZ406">
        <v>0</v>
      </c>
      <c r="IA406">
        <v>3930.6</v>
      </c>
      <c r="IB406">
        <v>3632.9</v>
      </c>
      <c r="IC406">
        <v>3795.5</v>
      </c>
      <c r="ID406">
        <v>0</v>
      </c>
      <c r="IE406">
        <v>0</v>
      </c>
      <c r="IF406">
        <v>3548.5</v>
      </c>
      <c r="IG406">
        <v>3395.2</v>
      </c>
      <c r="IH406">
        <v>3395.4</v>
      </c>
      <c r="II406">
        <v>3302.3</v>
      </c>
      <c r="IJ406">
        <v>3172.8</v>
      </c>
      <c r="IK406">
        <v>0</v>
      </c>
      <c r="IL406">
        <v>0</v>
      </c>
      <c r="IM406">
        <v>0</v>
      </c>
      <c r="IN406">
        <v>0</v>
      </c>
      <c r="IO406">
        <v>123.4</v>
      </c>
      <c r="IP406">
        <v>405.2</v>
      </c>
      <c r="IQ406">
        <v>418.7</v>
      </c>
      <c r="IR406">
        <v>0</v>
      </c>
      <c r="IS406">
        <v>0</v>
      </c>
      <c r="IT406">
        <v>0</v>
      </c>
      <c r="IU406">
        <v>0</v>
      </c>
      <c r="IV406">
        <v>396</v>
      </c>
      <c r="IW406">
        <v>0</v>
      </c>
      <c r="IX406">
        <v>0</v>
      </c>
      <c r="IZ406">
        <v>0</v>
      </c>
      <c r="JA406">
        <v>65.5</v>
      </c>
      <c r="JB406">
        <v>443.5</v>
      </c>
      <c r="JC406">
        <v>0</v>
      </c>
      <c r="JD406">
        <v>0</v>
      </c>
      <c r="JE406">
        <v>0</v>
      </c>
      <c r="JF406">
        <v>0</v>
      </c>
      <c r="JG406">
        <v>0</v>
      </c>
      <c r="JH406">
        <v>0</v>
      </c>
      <c r="JI406">
        <v>0</v>
      </c>
      <c r="JJ406">
        <v>0</v>
      </c>
      <c r="JK406">
        <v>0</v>
      </c>
      <c r="JL406">
        <v>0</v>
      </c>
      <c r="JM406">
        <v>0</v>
      </c>
      <c r="JN406">
        <v>0</v>
      </c>
      <c r="JO406">
        <v>0</v>
      </c>
      <c r="JP406">
        <v>0</v>
      </c>
      <c r="JQ406">
        <v>0</v>
      </c>
      <c r="JR406">
        <v>0</v>
      </c>
      <c r="JS406">
        <v>0</v>
      </c>
      <c r="JT406">
        <v>0</v>
      </c>
      <c r="JU406">
        <v>0</v>
      </c>
      <c r="JV406">
        <v>0</v>
      </c>
      <c r="JW406">
        <v>0</v>
      </c>
      <c r="JX406">
        <v>0</v>
      </c>
      <c r="JY406">
        <v>0</v>
      </c>
      <c r="JZ406">
        <v>0</v>
      </c>
      <c r="KA406">
        <v>0</v>
      </c>
      <c r="KB406">
        <v>0</v>
      </c>
      <c r="KC406">
        <v>0</v>
      </c>
      <c r="KD406">
        <v>0</v>
      </c>
      <c r="KE406">
        <v>0</v>
      </c>
      <c r="KF406">
        <v>0</v>
      </c>
      <c r="KI406">
        <v>344.6</v>
      </c>
      <c r="KJ406">
        <v>350.8</v>
      </c>
      <c r="KK406">
        <v>22.1</v>
      </c>
      <c r="KL406">
        <v>379.3</v>
      </c>
      <c r="KM406">
        <v>241.4</v>
      </c>
      <c r="KN406">
        <v>0</v>
      </c>
      <c r="KO406">
        <v>0</v>
      </c>
      <c r="KP406">
        <v>57.3</v>
      </c>
      <c r="KQ406">
        <v>224.4</v>
      </c>
      <c r="KR406">
        <v>338.3</v>
      </c>
      <c r="KS406">
        <v>215.8</v>
      </c>
      <c r="KT406">
        <v>40.700000000000003</v>
      </c>
      <c r="KW406">
        <v>2154.5</v>
      </c>
      <c r="KX406">
        <v>1255.7</v>
      </c>
      <c r="KY406">
        <v>1630.1</v>
      </c>
      <c r="KZ406">
        <v>1246.9000000000001</v>
      </c>
      <c r="LB406">
        <v>78.099999999999994</v>
      </c>
      <c r="LC406">
        <v>77.7</v>
      </c>
    </row>
    <row r="407" spans="1:315" ht="18" thickBot="1">
      <c r="A407" s="251"/>
      <c r="B407" s="577"/>
      <c r="C407" s="344"/>
      <c r="D407" s="311"/>
      <c r="E407" s="454">
        <v>0</v>
      </c>
      <c r="F407" s="217">
        <v>0</v>
      </c>
      <c r="G407" s="427">
        <v>3413.8</v>
      </c>
      <c r="H407" s="155"/>
      <c r="I407">
        <v>735</v>
      </c>
      <c r="K407">
        <v>1973.1000000000001</v>
      </c>
      <c r="L407" s="4">
        <v>221.60000000000002</v>
      </c>
      <c r="M407" s="4">
        <v>54.9</v>
      </c>
      <c r="N407" s="4">
        <v>1989.7</v>
      </c>
      <c r="P407">
        <v>0</v>
      </c>
      <c r="Q407">
        <v>238.29999999999998</v>
      </c>
      <c r="R407">
        <v>0</v>
      </c>
      <c r="S407">
        <v>0</v>
      </c>
      <c r="T407">
        <v>368.5</v>
      </c>
      <c r="W407">
        <v>720.3</v>
      </c>
      <c r="X407">
        <v>1411.5</v>
      </c>
      <c r="Y407">
        <v>96.5</v>
      </c>
      <c r="AA407">
        <v>859.6</v>
      </c>
      <c r="AB407">
        <v>1577.6000000000001</v>
      </c>
      <c r="AE407">
        <v>1330</v>
      </c>
      <c r="AF407">
        <v>1025.5</v>
      </c>
      <c r="AH407">
        <v>509.9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1349.3</v>
      </c>
      <c r="AO407">
        <v>786.40000000000009</v>
      </c>
      <c r="AP407">
        <v>0</v>
      </c>
      <c r="AQ407">
        <v>68.3</v>
      </c>
      <c r="AR407">
        <v>234.9</v>
      </c>
      <c r="AS407">
        <v>600.40000000000009</v>
      </c>
      <c r="AU407">
        <v>985.69999999999993</v>
      </c>
      <c r="AW407">
        <v>792</v>
      </c>
      <c r="AX407">
        <v>1988.5</v>
      </c>
      <c r="AZ407">
        <v>763.5</v>
      </c>
      <c r="BA407">
        <v>0</v>
      </c>
      <c r="BB407">
        <v>0</v>
      </c>
      <c r="BC407">
        <v>1935.3</v>
      </c>
      <c r="BD407">
        <v>1006.5</v>
      </c>
      <c r="BE407">
        <v>0</v>
      </c>
      <c r="BF407">
        <v>0</v>
      </c>
      <c r="BG407">
        <v>0</v>
      </c>
      <c r="BH407">
        <v>1662.6</v>
      </c>
      <c r="BJ407">
        <v>0</v>
      </c>
      <c r="BK407">
        <v>0</v>
      </c>
      <c r="BL407">
        <v>1038.9000000000001</v>
      </c>
      <c r="BM407">
        <v>1101</v>
      </c>
      <c r="BO407">
        <v>1276.8000000000002</v>
      </c>
      <c r="BQ407">
        <v>0</v>
      </c>
      <c r="BR407">
        <v>270.7</v>
      </c>
      <c r="BS407">
        <v>230.5</v>
      </c>
      <c r="BT407">
        <v>472.3</v>
      </c>
      <c r="BU407">
        <v>537.29999999999995</v>
      </c>
      <c r="BV407">
        <v>346.3</v>
      </c>
      <c r="BW407">
        <v>386.2</v>
      </c>
      <c r="BX407">
        <v>767</v>
      </c>
      <c r="BY407">
        <v>757.2</v>
      </c>
      <c r="BZ407">
        <v>1037.2</v>
      </c>
      <c r="CA407">
        <v>1227.0999999999999</v>
      </c>
      <c r="CB407">
        <v>1232.0999999999999</v>
      </c>
      <c r="CC407">
        <v>1701.5</v>
      </c>
      <c r="CD407">
        <v>0</v>
      </c>
      <c r="CG407">
        <v>1385.3</v>
      </c>
      <c r="CJ407">
        <v>1630.2999999999997</v>
      </c>
      <c r="CM407">
        <v>1184.2</v>
      </c>
      <c r="CO407">
        <v>1248.0999999999999</v>
      </c>
      <c r="CQ407">
        <v>1435.3</v>
      </c>
      <c r="CR407">
        <v>798.2</v>
      </c>
      <c r="CS407">
        <v>923.8</v>
      </c>
      <c r="CT407">
        <v>0</v>
      </c>
      <c r="CU407">
        <v>0</v>
      </c>
      <c r="CV407">
        <v>0</v>
      </c>
      <c r="CW407">
        <v>0</v>
      </c>
      <c r="CX407">
        <v>163.69999999999999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I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0</v>
      </c>
      <c r="EM407">
        <v>0</v>
      </c>
      <c r="EN407">
        <v>0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G407" t="e">
        <v>#N/A</v>
      </c>
      <c r="FI407" t="e">
        <v>#N/A</v>
      </c>
      <c r="FK407" t="e">
        <v>#N/A</v>
      </c>
      <c r="FM407" t="e">
        <v>#N/A</v>
      </c>
      <c r="FO407" t="e">
        <v>#N/A</v>
      </c>
      <c r="FQ407" t="e">
        <v>#N/A</v>
      </c>
      <c r="FS407" t="e">
        <v>#N/A</v>
      </c>
      <c r="FU407" t="e">
        <v>#N/A</v>
      </c>
      <c r="FW407" t="e">
        <v>#N/A</v>
      </c>
      <c r="FY407" t="e">
        <v>#N/A</v>
      </c>
      <c r="GA407" t="e">
        <v>#N/A</v>
      </c>
      <c r="GC407" t="e">
        <v>#N/A</v>
      </c>
      <c r="GE407" t="e">
        <v>#N/A</v>
      </c>
      <c r="GG407" t="e">
        <v>#N/A</v>
      </c>
      <c r="GI407" t="e">
        <v>#N/A</v>
      </c>
      <c r="GK407" t="e">
        <v>#N/A</v>
      </c>
      <c r="GM407" t="e">
        <v>#N/A</v>
      </c>
      <c r="GO407" t="e">
        <v>#N/A</v>
      </c>
      <c r="GQ407" t="e">
        <v>#N/A</v>
      </c>
      <c r="GS407" t="e">
        <v>#N/A</v>
      </c>
      <c r="GU407" t="e">
        <v>#N/A</v>
      </c>
      <c r="GW407" t="e">
        <v>#N/A</v>
      </c>
      <c r="GY407" t="e">
        <v>#N/A</v>
      </c>
      <c r="HA407" t="e">
        <v>#N/A</v>
      </c>
      <c r="HC407">
        <v>0</v>
      </c>
      <c r="HD407">
        <v>0</v>
      </c>
      <c r="HE407">
        <v>0</v>
      </c>
      <c r="HF407">
        <v>0</v>
      </c>
      <c r="HG407">
        <v>0</v>
      </c>
      <c r="HH407">
        <v>0</v>
      </c>
      <c r="HI407">
        <v>0</v>
      </c>
      <c r="HJ407">
        <v>0</v>
      </c>
      <c r="HM407">
        <v>0</v>
      </c>
      <c r="HN407">
        <v>0</v>
      </c>
      <c r="HO407">
        <v>0</v>
      </c>
      <c r="HP407">
        <v>0</v>
      </c>
      <c r="HQ407">
        <v>0</v>
      </c>
      <c r="HR407">
        <v>0</v>
      </c>
      <c r="HS407">
        <v>0</v>
      </c>
      <c r="HT407">
        <v>0</v>
      </c>
      <c r="HW407">
        <v>0</v>
      </c>
      <c r="HX407">
        <v>0</v>
      </c>
      <c r="HY407">
        <v>0</v>
      </c>
      <c r="HZ407">
        <v>0</v>
      </c>
      <c r="IA407">
        <v>3930.6</v>
      </c>
      <c r="IB407">
        <v>3632.9</v>
      </c>
      <c r="IC407">
        <v>3795.5</v>
      </c>
      <c r="ID407">
        <v>0</v>
      </c>
      <c r="IE407">
        <v>0</v>
      </c>
      <c r="IF407">
        <v>3548.5</v>
      </c>
      <c r="IG407">
        <v>3395.2</v>
      </c>
      <c r="IH407">
        <v>3395.4</v>
      </c>
      <c r="II407">
        <v>3302.3</v>
      </c>
      <c r="IJ407">
        <v>3172.8</v>
      </c>
      <c r="IK407">
        <v>0</v>
      </c>
      <c r="IL407">
        <v>0</v>
      </c>
      <c r="IM407">
        <v>0</v>
      </c>
      <c r="IN407">
        <v>0</v>
      </c>
      <c r="IO407">
        <v>123.4</v>
      </c>
      <c r="IP407">
        <v>405.2</v>
      </c>
      <c r="IQ407">
        <v>418.7</v>
      </c>
      <c r="IR407">
        <v>0</v>
      </c>
      <c r="IS407">
        <v>0</v>
      </c>
      <c r="IT407">
        <v>0</v>
      </c>
      <c r="IU407">
        <v>0</v>
      </c>
      <c r="IV407">
        <v>396</v>
      </c>
      <c r="IW407">
        <v>0</v>
      </c>
      <c r="IX407">
        <v>0</v>
      </c>
      <c r="IZ407">
        <v>0</v>
      </c>
      <c r="JA407">
        <v>65.5</v>
      </c>
      <c r="JB407">
        <v>443.5</v>
      </c>
      <c r="JC407">
        <v>0</v>
      </c>
      <c r="JD407">
        <v>0</v>
      </c>
      <c r="JE407">
        <v>0</v>
      </c>
      <c r="JF407">
        <v>0</v>
      </c>
      <c r="JG407">
        <v>0</v>
      </c>
      <c r="JH407">
        <v>0</v>
      </c>
      <c r="JI407">
        <v>0</v>
      </c>
      <c r="JJ407">
        <v>0</v>
      </c>
      <c r="JK407">
        <v>0</v>
      </c>
      <c r="JL407">
        <v>0</v>
      </c>
      <c r="JM407">
        <v>0</v>
      </c>
      <c r="JN407">
        <v>0</v>
      </c>
      <c r="JO407">
        <v>0</v>
      </c>
      <c r="JP407">
        <v>0</v>
      </c>
      <c r="JQ407">
        <v>0</v>
      </c>
      <c r="JR407">
        <v>0</v>
      </c>
      <c r="JS407">
        <v>0</v>
      </c>
      <c r="JT407">
        <v>0</v>
      </c>
      <c r="JU407">
        <v>0</v>
      </c>
      <c r="JV407">
        <v>0</v>
      </c>
      <c r="JW407">
        <v>0</v>
      </c>
      <c r="JX407">
        <v>0</v>
      </c>
      <c r="JY407">
        <v>0</v>
      </c>
      <c r="JZ407">
        <v>0</v>
      </c>
      <c r="KA407">
        <v>0</v>
      </c>
      <c r="KB407">
        <v>0</v>
      </c>
      <c r="KC407">
        <v>0</v>
      </c>
      <c r="KD407">
        <v>0</v>
      </c>
      <c r="KE407">
        <v>0</v>
      </c>
      <c r="KF407">
        <v>0</v>
      </c>
      <c r="KI407">
        <v>344.6</v>
      </c>
      <c r="KJ407">
        <v>350.8</v>
      </c>
      <c r="KK407">
        <v>22.1</v>
      </c>
      <c r="KL407">
        <v>379.3</v>
      </c>
      <c r="KM407">
        <v>241.4</v>
      </c>
      <c r="KN407">
        <v>0</v>
      </c>
      <c r="KO407">
        <v>0</v>
      </c>
      <c r="KP407">
        <v>57.3</v>
      </c>
      <c r="KQ407">
        <v>224.4</v>
      </c>
      <c r="KR407">
        <v>338.3</v>
      </c>
      <c r="KS407">
        <v>215.8</v>
      </c>
      <c r="KT407">
        <v>40.700000000000003</v>
      </c>
      <c r="KW407">
        <v>2154.5</v>
      </c>
      <c r="KX407">
        <v>1255.7</v>
      </c>
      <c r="KY407">
        <v>1630.1</v>
      </c>
      <c r="KZ407">
        <v>1246.9000000000001</v>
      </c>
      <c r="LB407">
        <v>78.099999999999994</v>
      </c>
      <c r="LC407">
        <v>77.7</v>
      </c>
    </row>
    <row r="408" spans="1:315" ht="18" thickBot="1">
      <c r="A408" s="243"/>
      <c r="B408" s="572" t="s">
        <v>401</v>
      </c>
      <c r="C408" s="344" t="s">
        <v>871</v>
      </c>
      <c r="D408" s="311" t="s">
        <v>702</v>
      </c>
      <c r="E408" s="454">
        <v>0</v>
      </c>
      <c r="F408" s="213">
        <v>0</v>
      </c>
      <c r="G408" s="427">
        <v>3413.8</v>
      </c>
      <c r="H408" s="155"/>
      <c r="I408">
        <v>735</v>
      </c>
      <c r="K408">
        <v>1973.1000000000001</v>
      </c>
      <c r="L408" s="4">
        <v>221.60000000000002</v>
      </c>
      <c r="M408" s="4">
        <v>54.9</v>
      </c>
      <c r="N408" s="4">
        <v>1989.7</v>
      </c>
      <c r="P408">
        <v>0</v>
      </c>
      <c r="Q408">
        <v>238.29999999999998</v>
      </c>
      <c r="R408">
        <v>0</v>
      </c>
      <c r="S408">
        <v>0</v>
      </c>
      <c r="T408">
        <v>368.5</v>
      </c>
      <c r="W408">
        <v>720.3</v>
      </c>
      <c r="X408">
        <v>1411.5</v>
      </c>
      <c r="Y408">
        <v>96.5</v>
      </c>
      <c r="AA408">
        <v>859.6</v>
      </c>
      <c r="AB408">
        <v>1577.6000000000001</v>
      </c>
      <c r="AE408">
        <v>1330</v>
      </c>
      <c r="AF408">
        <v>1025.5</v>
      </c>
      <c r="AH408">
        <v>509.9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1349.3</v>
      </c>
      <c r="AO408">
        <v>786.40000000000009</v>
      </c>
      <c r="AP408">
        <v>0</v>
      </c>
      <c r="AQ408">
        <v>68.3</v>
      </c>
      <c r="AR408">
        <v>234.9</v>
      </c>
      <c r="AS408">
        <v>600.40000000000009</v>
      </c>
      <c r="AU408">
        <v>985.69999999999993</v>
      </c>
      <c r="AW408">
        <v>792</v>
      </c>
      <c r="AX408">
        <v>1988.5</v>
      </c>
      <c r="AZ408">
        <v>763.5</v>
      </c>
      <c r="BA408">
        <v>0</v>
      </c>
      <c r="BB408">
        <v>0</v>
      </c>
      <c r="BC408">
        <v>1935.3</v>
      </c>
      <c r="BD408">
        <v>1006.5</v>
      </c>
      <c r="BE408">
        <v>0</v>
      </c>
      <c r="BF408">
        <v>0</v>
      </c>
      <c r="BG408">
        <v>0</v>
      </c>
      <c r="BH408">
        <v>1662.6</v>
      </c>
      <c r="BJ408">
        <v>0</v>
      </c>
      <c r="BK408">
        <v>0</v>
      </c>
      <c r="BL408">
        <v>1038.9000000000001</v>
      </c>
      <c r="BM408">
        <v>1101</v>
      </c>
      <c r="BO408">
        <v>1276.8000000000002</v>
      </c>
      <c r="BQ408">
        <v>0</v>
      </c>
      <c r="BR408">
        <v>270.7</v>
      </c>
      <c r="BS408">
        <v>230.5</v>
      </c>
      <c r="BT408">
        <v>472.3</v>
      </c>
      <c r="BU408">
        <v>537.29999999999995</v>
      </c>
      <c r="BV408">
        <v>346.3</v>
      </c>
      <c r="BW408">
        <v>386.2</v>
      </c>
      <c r="BX408">
        <v>767</v>
      </c>
      <c r="BY408">
        <v>757.2</v>
      </c>
      <c r="BZ408">
        <v>1037.2</v>
      </c>
      <c r="CA408">
        <v>1227.0999999999999</v>
      </c>
      <c r="CB408">
        <v>1232.0999999999999</v>
      </c>
      <c r="CC408">
        <v>1701.5</v>
      </c>
      <c r="CD408">
        <v>0</v>
      </c>
      <c r="CG408">
        <v>1385.3</v>
      </c>
      <c r="CJ408">
        <v>1630.2999999999997</v>
      </c>
      <c r="CM408">
        <v>1184.2</v>
      </c>
      <c r="CO408">
        <v>1248.0999999999999</v>
      </c>
      <c r="CQ408">
        <v>1435.3</v>
      </c>
      <c r="CR408">
        <v>798.2</v>
      </c>
      <c r="CS408">
        <v>923.8</v>
      </c>
      <c r="CT408">
        <v>0</v>
      </c>
      <c r="CU408">
        <v>0</v>
      </c>
      <c r="CV408">
        <v>0</v>
      </c>
      <c r="CW408">
        <v>0</v>
      </c>
      <c r="CX408">
        <v>163.69999999999999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I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G408" t="e">
        <v>#N/A</v>
      </c>
      <c r="FI408" t="e">
        <v>#N/A</v>
      </c>
      <c r="FK408" t="e">
        <v>#N/A</v>
      </c>
      <c r="FM408" t="e">
        <v>#N/A</v>
      </c>
      <c r="FO408" t="e">
        <v>#N/A</v>
      </c>
      <c r="FQ408" t="e">
        <v>#N/A</v>
      </c>
      <c r="FS408" t="e">
        <v>#N/A</v>
      </c>
      <c r="FU408" t="e">
        <v>#N/A</v>
      </c>
      <c r="FW408" t="e">
        <v>#N/A</v>
      </c>
      <c r="FY408" t="e">
        <v>#N/A</v>
      </c>
      <c r="GA408" t="e">
        <v>#N/A</v>
      </c>
      <c r="GC408" t="e">
        <v>#N/A</v>
      </c>
      <c r="GE408" t="e">
        <v>#N/A</v>
      </c>
      <c r="GG408" t="e">
        <v>#N/A</v>
      </c>
      <c r="GI408" t="e">
        <v>#N/A</v>
      </c>
      <c r="GK408" t="e">
        <v>#N/A</v>
      </c>
      <c r="GM408" t="e">
        <v>#N/A</v>
      </c>
      <c r="GO408" t="e">
        <v>#N/A</v>
      </c>
      <c r="GQ408" t="e">
        <v>#N/A</v>
      </c>
      <c r="GS408" t="e">
        <v>#N/A</v>
      </c>
      <c r="GU408" t="e">
        <v>#N/A</v>
      </c>
      <c r="GW408" t="e">
        <v>#N/A</v>
      </c>
      <c r="GY408" t="e">
        <v>#N/A</v>
      </c>
      <c r="HA408" t="e">
        <v>#N/A</v>
      </c>
      <c r="HC408">
        <v>0</v>
      </c>
      <c r="HD408">
        <v>0</v>
      </c>
      <c r="HE408">
        <v>0</v>
      </c>
      <c r="HF408">
        <v>0</v>
      </c>
      <c r="HG408">
        <v>0</v>
      </c>
      <c r="HH408">
        <v>0</v>
      </c>
      <c r="HI408">
        <v>0</v>
      </c>
      <c r="HJ408">
        <v>0</v>
      </c>
      <c r="HM408">
        <v>0</v>
      </c>
      <c r="HN408">
        <v>0</v>
      </c>
      <c r="HO408">
        <v>0</v>
      </c>
      <c r="HP408">
        <v>0</v>
      </c>
      <c r="HQ408">
        <v>0</v>
      </c>
      <c r="HR408">
        <v>0</v>
      </c>
      <c r="HS408">
        <v>0</v>
      </c>
      <c r="HT408">
        <v>0</v>
      </c>
      <c r="HW408">
        <v>0</v>
      </c>
      <c r="HX408">
        <v>0</v>
      </c>
      <c r="HY408">
        <v>0</v>
      </c>
      <c r="HZ408">
        <v>0</v>
      </c>
      <c r="IA408">
        <v>3930.6</v>
      </c>
      <c r="IB408">
        <v>3632.9</v>
      </c>
      <c r="IC408">
        <v>3795.5</v>
      </c>
      <c r="ID408">
        <v>0</v>
      </c>
      <c r="IE408">
        <v>0</v>
      </c>
      <c r="IF408">
        <v>3548.5</v>
      </c>
      <c r="IG408">
        <v>3395.2</v>
      </c>
      <c r="IH408">
        <v>3395.4</v>
      </c>
      <c r="II408">
        <v>3302.3</v>
      </c>
      <c r="IJ408">
        <v>3172.8</v>
      </c>
      <c r="IK408">
        <v>0</v>
      </c>
      <c r="IL408">
        <v>0</v>
      </c>
      <c r="IM408">
        <v>0</v>
      </c>
      <c r="IN408">
        <v>0</v>
      </c>
      <c r="IO408">
        <v>123.4</v>
      </c>
      <c r="IP408">
        <v>405.2</v>
      </c>
      <c r="IQ408">
        <v>418.7</v>
      </c>
      <c r="IR408">
        <v>0</v>
      </c>
      <c r="IS408">
        <v>0</v>
      </c>
      <c r="IT408">
        <v>0</v>
      </c>
      <c r="IU408">
        <v>0</v>
      </c>
      <c r="IV408">
        <v>396</v>
      </c>
      <c r="IW408">
        <v>0</v>
      </c>
      <c r="IX408">
        <v>0</v>
      </c>
      <c r="IZ408">
        <v>0</v>
      </c>
      <c r="JA408">
        <v>65.5</v>
      </c>
      <c r="JB408">
        <v>443.5</v>
      </c>
      <c r="JC408">
        <v>0</v>
      </c>
      <c r="JD408">
        <v>0</v>
      </c>
      <c r="JE408">
        <v>0</v>
      </c>
      <c r="JF408">
        <v>0</v>
      </c>
      <c r="JG408">
        <v>0</v>
      </c>
      <c r="JH408">
        <v>0</v>
      </c>
      <c r="JI408">
        <v>0</v>
      </c>
      <c r="JJ408">
        <v>0</v>
      </c>
      <c r="JK408">
        <v>0</v>
      </c>
      <c r="JL408">
        <v>0</v>
      </c>
      <c r="JM408">
        <v>0</v>
      </c>
      <c r="JN408">
        <v>0</v>
      </c>
      <c r="JO408">
        <v>0</v>
      </c>
      <c r="JP408">
        <v>0</v>
      </c>
      <c r="JQ408">
        <v>0</v>
      </c>
      <c r="JR408">
        <v>0</v>
      </c>
      <c r="JS408">
        <v>0</v>
      </c>
      <c r="JT408">
        <v>0</v>
      </c>
      <c r="JU408">
        <v>0</v>
      </c>
      <c r="JV408">
        <v>0</v>
      </c>
      <c r="JW408">
        <v>0</v>
      </c>
      <c r="JX408">
        <v>0</v>
      </c>
      <c r="JY408">
        <v>0</v>
      </c>
      <c r="JZ408">
        <v>0</v>
      </c>
      <c r="KA408">
        <v>0</v>
      </c>
      <c r="KB408">
        <v>0</v>
      </c>
      <c r="KC408">
        <v>0</v>
      </c>
      <c r="KD408">
        <v>0</v>
      </c>
      <c r="KE408">
        <v>0</v>
      </c>
      <c r="KF408">
        <v>0</v>
      </c>
      <c r="KI408">
        <v>344.6</v>
      </c>
      <c r="KJ408">
        <v>350.8</v>
      </c>
      <c r="KK408">
        <v>22.1</v>
      </c>
      <c r="KL408">
        <v>379.3</v>
      </c>
      <c r="KM408">
        <v>241.4</v>
      </c>
      <c r="KN408">
        <v>0</v>
      </c>
      <c r="KO408">
        <v>0</v>
      </c>
      <c r="KP408">
        <v>57.3</v>
      </c>
      <c r="KQ408">
        <v>224.4</v>
      </c>
      <c r="KR408">
        <v>338.3</v>
      </c>
      <c r="KS408">
        <v>215.8</v>
      </c>
      <c r="KT408">
        <v>40.700000000000003</v>
      </c>
      <c r="KW408">
        <v>2154.5</v>
      </c>
      <c r="KX408">
        <v>1255.7</v>
      </c>
      <c r="KY408">
        <v>1630.1</v>
      </c>
      <c r="KZ408">
        <v>1246.9000000000001</v>
      </c>
      <c r="LB408">
        <v>78.099999999999994</v>
      </c>
      <c r="LC408">
        <v>77.7</v>
      </c>
    </row>
    <row r="409" spans="1:315" ht="18" thickBot="1">
      <c r="A409" s="243"/>
      <c r="B409" s="572"/>
      <c r="C409" s="344"/>
      <c r="D409" s="311"/>
      <c r="E409" s="454">
        <v>0</v>
      </c>
      <c r="F409" s="215">
        <v>0</v>
      </c>
      <c r="G409" s="427">
        <v>3413.8</v>
      </c>
      <c r="H409" s="155"/>
      <c r="I409">
        <v>735</v>
      </c>
      <c r="K409">
        <v>1973.1000000000001</v>
      </c>
      <c r="L409" s="4">
        <v>221.60000000000002</v>
      </c>
      <c r="M409" s="4">
        <v>54.9</v>
      </c>
      <c r="N409" s="4">
        <v>1989.7</v>
      </c>
      <c r="P409">
        <v>0</v>
      </c>
      <c r="Q409">
        <v>238.29999999999998</v>
      </c>
      <c r="R409">
        <v>0</v>
      </c>
      <c r="S409">
        <v>0</v>
      </c>
      <c r="T409">
        <v>368.5</v>
      </c>
      <c r="W409">
        <v>720.3</v>
      </c>
      <c r="X409">
        <v>1411.5</v>
      </c>
      <c r="Y409">
        <v>96.5</v>
      </c>
      <c r="AA409">
        <v>859.6</v>
      </c>
      <c r="AB409">
        <v>1577.6000000000001</v>
      </c>
      <c r="AE409">
        <v>1330</v>
      </c>
      <c r="AF409">
        <v>1025.5</v>
      </c>
      <c r="AH409">
        <v>509.9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1349.3</v>
      </c>
      <c r="AO409">
        <v>786.40000000000009</v>
      </c>
      <c r="AP409">
        <v>0</v>
      </c>
      <c r="AQ409">
        <v>68.3</v>
      </c>
      <c r="AR409">
        <v>234.9</v>
      </c>
      <c r="AS409">
        <v>600.40000000000009</v>
      </c>
      <c r="AU409">
        <v>985.69999999999993</v>
      </c>
      <c r="AW409">
        <v>792</v>
      </c>
      <c r="AX409">
        <v>1988.5</v>
      </c>
      <c r="AZ409">
        <v>763.5</v>
      </c>
      <c r="BA409">
        <v>0</v>
      </c>
      <c r="BB409">
        <v>0</v>
      </c>
      <c r="BC409">
        <v>1935.3</v>
      </c>
      <c r="BD409">
        <v>1006.5</v>
      </c>
      <c r="BE409">
        <v>0</v>
      </c>
      <c r="BF409">
        <v>0</v>
      </c>
      <c r="BG409">
        <v>0</v>
      </c>
      <c r="BH409">
        <v>1662.6</v>
      </c>
      <c r="BJ409">
        <v>0</v>
      </c>
      <c r="BK409">
        <v>0</v>
      </c>
      <c r="BL409">
        <v>1038.9000000000001</v>
      </c>
      <c r="BM409">
        <v>1101</v>
      </c>
      <c r="BO409">
        <v>1276.8000000000002</v>
      </c>
      <c r="BQ409">
        <v>0</v>
      </c>
      <c r="BR409">
        <v>270.7</v>
      </c>
      <c r="BS409">
        <v>230.5</v>
      </c>
      <c r="BT409">
        <v>472.3</v>
      </c>
      <c r="BU409">
        <v>537.29999999999995</v>
      </c>
      <c r="BV409">
        <v>346.3</v>
      </c>
      <c r="BW409">
        <v>386.2</v>
      </c>
      <c r="BX409">
        <v>767</v>
      </c>
      <c r="BY409">
        <v>757.2</v>
      </c>
      <c r="BZ409">
        <v>1037.2</v>
      </c>
      <c r="CA409">
        <v>1227.0999999999999</v>
      </c>
      <c r="CB409">
        <v>1232.0999999999999</v>
      </c>
      <c r="CC409">
        <v>1701.5</v>
      </c>
      <c r="CD409">
        <v>0</v>
      </c>
      <c r="CG409">
        <v>1385.3</v>
      </c>
      <c r="CJ409">
        <v>1630.2999999999997</v>
      </c>
      <c r="CM409">
        <v>1184.2</v>
      </c>
      <c r="CO409">
        <v>1248.0999999999999</v>
      </c>
      <c r="CQ409">
        <v>1435.3</v>
      </c>
      <c r="CR409">
        <v>798.2</v>
      </c>
      <c r="CS409">
        <v>923.8</v>
      </c>
      <c r="CT409">
        <v>0</v>
      </c>
      <c r="CU409">
        <v>0</v>
      </c>
      <c r="CV409">
        <v>0</v>
      </c>
      <c r="CW409">
        <v>0</v>
      </c>
      <c r="CX409">
        <v>163.69999999999999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I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G409" t="e">
        <v>#N/A</v>
      </c>
      <c r="FI409" t="e">
        <v>#N/A</v>
      </c>
      <c r="FK409" t="e">
        <v>#N/A</v>
      </c>
      <c r="FM409" t="e">
        <v>#N/A</v>
      </c>
      <c r="FO409" t="e">
        <v>#N/A</v>
      </c>
      <c r="FQ409" t="e">
        <v>#N/A</v>
      </c>
      <c r="FS409" t="e">
        <v>#N/A</v>
      </c>
      <c r="FU409" t="e">
        <v>#N/A</v>
      </c>
      <c r="FW409" t="e">
        <v>#N/A</v>
      </c>
      <c r="FY409" t="e">
        <v>#N/A</v>
      </c>
      <c r="GA409" t="e">
        <v>#N/A</v>
      </c>
      <c r="GC409" t="e">
        <v>#N/A</v>
      </c>
      <c r="GE409" t="e">
        <v>#N/A</v>
      </c>
      <c r="GG409" t="e">
        <v>#N/A</v>
      </c>
      <c r="GI409" t="e">
        <v>#N/A</v>
      </c>
      <c r="GK409" t="e">
        <v>#N/A</v>
      </c>
      <c r="GM409" t="e">
        <v>#N/A</v>
      </c>
      <c r="GO409" t="e">
        <v>#N/A</v>
      </c>
      <c r="GQ409" t="e">
        <v>#N/A</v>
      </c>
      <c r="GS409" t="e">
        <v>#N/A</v>
      </c>
      <c r="GU409" t="e">
        <v>#N/A</v>
      </c>
      <c r="GW409" t="e">
        <v>#N/A</v>
      </c>
      <c r="GY409" t="e">
        <v>#N/A</v>
      </c>
      <c r="HA409" t="e">
        <v>#N/A</v>
      </c>
      <c r="HC409">
        <v>0</v>
      </c>
      <c r="HD409">
        <v>0</v>
      </c>
      <c r="HE409">
        <v>0</v>
      </c>
      <c r="HF409">
        <v>0</v>
      </c>
      <c r="HG409">
        <v>0</v>
      </c>
      <c r="HH409">
        <v>0</v>
      </c>
      <c r="HI409">
        <v>0</v>
      </c>
      <c r="HJ409">
        <v>0</v>
      </c>
      <c r="HM409">
        <v>0</v>
      </c>
      <c r="HN409">
        <v>0</v>
      </c>
      <c r="HO409">
        <v>0</v>
      </c>
      <c r="HP409">
        <v>0</v>
      </c>
      <c r="HQ409">
        <v>0</v>
      </c>
      <c r="HR409">
        <v>0</v>
      </c>
      <c r="HS409">
        <v>0</v>
      </c>
      <c r="HT409">
        <v>0</v>
      </c>
      <c r="HW409">
        <v>0</v>
      </c>
      <c r="HX409">
        <v>0</v>
      </c>
      <c r="HY409">
        <v>0</v>
      </c>
      <c r="HZ409">
        <v>0</v>
      </c>
      <c r="IA409">
        <v>3930.6</v>
      </c>
      <c r="IB409">
        <v>3632.9</v>
      </c>
      <c r="IC409">
        <v>3795.5</v>
      </c>
      <c r="ID409">
        <v>0</v>
      </c>
      <c r="IE409">
        <v>0</v>
      </c>
      <c r="IF409">
        <v>3548.5</v>
      </c>
      <c r="IG409">
        <v>3395.2</v>
      </c>
      <c r="IH409">
        <v>3395.4</v>
      </c>
      <c r="II409">
        <v>3302.3</v>
      </c>
      <c r="IJ409">
        <v>3172.8</v>
      </c>
      <c r="IK409">
        <v>0</v>
      </c>
      <c r="IL409">
        <v>0</v>
      </c>
      <c r="IM409">
        <v>0</v>
      </c>
      <c r="IN409">
        <v>0</v>
      </c>
      <c r="IO409">
        <v>123.4</v>
      </c>
      <c r="IP409">
        <v>405.2</v>
      </c>
      <c r="IQ409">
        <v>418.7</v>
      </c>
      <c r="IR409">
        <v>0</v>
      </c>
      <c r="IS409">
        <v>0</v>
      </c>
      <c r="IT409">
        <v>0</v>
      </c>
      <c r="IU409">
        <v>0</v>
      </c>
      <c r="IV409">
        <v>396</v>
      </c>
      <c r="IW409">
        <v>0</v>
      </c>
      <c r="IX409">
        <v>0</v>
      </c>
      <c r="IZ409">
        <v>0</v>
      </c>
      <c r="JA409">
        <v>65.5</v>
      </c>
      <c r="JB409">
        <v>443.5</v>
      </c>
      <c r="JC409">
        <v>0</v>
      </c>
      <c r="JD409">
        <v>0</v>
      </c>
      <c r="JE409">
        <v>0</v>
      </c>
      <c r="JF409">
        <v>0</v>
      </c>
      <c r="JG409">
        <v>0</v>
      </c>
      <c r="JH409">
        <v>0</v>
      </c>
      <c r="JI409">
        <v>0</v>
      </c>
      <c r="JJ409">
        <v>0</v>
      </c>
      <c r="JK409">
        <v>0</v>
      </c>
      <c r="JL409">
        <v>0</v>
      </c>
      <c r="JM409">
        <v>0</v>
      </c>
      <c r="JN409">
        <v>0</v>
      </c>
      <c r="JO409">
        <v>0</v>
      </c>
      <c r="JP409">
        <v>0</v>
      </c>
      <c r="JQ409">
        <v>0</v>
      </c>
      <c r="JR409">
        <v>0</v>
      </c>
      <c r="JS409">
        <v>0</v>
      </c>
      <c r="JT409">
        <v>0</v>
      </c>
      <c r="JU409">
        <v>0</v>
      </c>
      <c r="JV409">
        <v>0</v>
      </c>
      <c r="JW409">
        <v>0</v>
      </c>
      <c r="JX409">
        <v>0</v>
      </c>
      <c r="JY409">
        <v>0</v>
      </c>
      <c r="JZ409">
        <v>0</v>
      </c>
      <c r="KA409">
        <v>0</v>
      </c>
      <c r="KB409">
        <v>0</v>
      </c>
      <c r="KC409">
        <v>0</v>
      </c>
      <c r="KD409">
        <v>0</v>
      </c>
      <c r="KE409">
        <v>0</v>
      </c>
      <c r="KF409">
        <v>0</v>
      </c>
      <c r="KI409">
        <v>344.6</v>
      </c>
      <c r="KJ409">
        <v>350.8</v>
      </c>
      <c r="KK409">
        <v>22.1</v>
      </c>
      <c r="KL409">
        <v>379.3</v>
      </c>
      <c r="KM409">
        <v>241.4</v>
      </c>
      <c r="KN409">
        <v>0</v>
      </c>
      <c r="KO409">
        <v>0</v>
      </c>
      <c r="KP409">
        <v>57.3</v>
      </c>
      <c r="KQ409">
        <v>224.4</v>
      </c>
      <c r="KR409">
        <v>338.3</v>
      </c>
      <c r="KS409">
        <v>215.8</v>
      </c>
      <c r="KT409">
        <v>40.700000000000003</v>
      </c>
      <c r="KW409">
        <v>2154.5</v>
      </c>
      <c r="KX409">
        <v>1255.7</v>
      </c>
      <c r="KY409">
        <v>1630.1</v>
      </c>
      <c r="KZ409">
        <v>1246.9000000000001</v>
      </c>
      <c r="LB409">
        <v>78.099999999999994</v>
      </c>
      <c r="LC409">
        <v>77.7</v>
      </c>
    </row>
    <row r="410" spans="1:315" ht="18" thickBot="1">
      <c r="A410" s="250"/>
      <c r="B410" s="576" t="s">
        <v>402</v>
      </c>
      <c r="C410" s="344" t="s">
        <v>872</v>
      </c>
      <c r="D410" s="311" t="s">
        <v>702</v>
      </c>
      <c r="E410" s="454">
        <v>0</v>
      </c>
      <c r="F410" s="216">
        <v>0</v>
      </c>
      <c r="G410" s="427">
        <v>3413.8</v>
      </c>
      <c r="H410" s="155"/>
      <c r="I410">
        <v>735</v>
      </c>
      <c r="K410">
        <v>1973.1000000000001</v>
      </c>
      <c r="L410" s="4">
        <v>221.60000000000002</v>
      </c>
      <c r="M410" s="4">
        <v>54.9</v>
      </c>
      <c r="N410" s="4">
        <v>1989.7</v>
      </c>
      <c r="P410">
        <v>0</v>
      </c>
      <c r="Q410">
        <v>238.29999999999998</v>
      </c>
      <c r="R410">
        <v>0</v>
      </c>
      <c r="S410">
        <v>0</v>
      </c>
      <c r="T410">
        <v>368.5</v>
      </c>
      <c r="W410">
        <v>720.3</v>
      </c>
      <c r="X410">
        <v>1411.5</v>
      </c>
      <c r="Y410">
        <v>96.5</v>
      </c>
      <c r="AA410">
        <v>859.6</v>
      </c>
      <c r="AB410">
        <v>1577.6000000000001</v>
      </c>
      <c r="AE410">
        <v>1330</v>
      </c>
      <c r="AF410">
        <v>1025.5</v>
      </c>
      <c r="AH410">
        <v>509.9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1349.3</v>
      </c>
      <c r="AO410">
        <v>786.40000000000009</v>
      </c>
      <c r="AP410">
        <v>0</v>
      </c>
      <c r="AQ410">
        <v>68.3</v>
      </c>
      <c r="AR410">
        <v>234.9</v>
      </c>
      <c r="AS410">
        <v>600.40000000000009</v>
      </c>
      <c r="AU410">
        <v>985.69999999999993</v>
      </c>
      <c r="AW410">
        <v>792</v>
      </c>
      <c r="AX410">
        <v>1988.5</v>
      </c>
      <c r="AZ410">
        <v>763.5</v>
      </c>
      <c r="BA410">
        <v>0</v>
      </c>
      <c r="BB410">
        <v>0</v>
      </c>
      <c r="BC410">
        <v>1935.3</v>
      </c>
      <c r="BD410">
        <v>1006.5</v>
      </c>
      <c r="BE410">
        <v>0</v>
      </c>
      <c r="BF410">
        <v>0</v>
      </c>
      <c r="BG410">
        <v>0</v>
      </c>
      <c r="BH410">
        <v>1662.6</v>
      </c>
      <c r="BJ410">
        <v>0</v>
      </c>
      <c r="BK410">
        <v>0</v>
      </c>
      <c r="BL410">
        <v>1038.9000000000001</v>
      </c>
      <c r="BM410">
        <v>1101</v>
      </c>
      <c r="BO410">
        <v>1276.8000000000002</v>
      </c>
      <c r="BQ410">
        <v>0</v>
      </c>
      <c r="BR410">
        <v>270.7</v>
      </c>
      <c r="BS410">
        <v>230.5</v>
      </c>
      <c r="BT410">
        <v>472.3</v>
      </c>
      <c r="BU410">
        <v>537.29999999999995</v>
      </c>
      <c r="BV410">
        <v>346.3</v>
      </c>
      <c r="BW410">
        <v>386.2</v>
      </c>
      <c r="BX410">
        <v>767</v>
      </c>
      <c r="BY410">
        <v>757.2</v>
      </c>
      <c r="BZ410">
        <v>1037.2</v>
      </c>
      <c r="CA410">
        <v>1227.0999999999999</v>
      </c>
      <c r="CB410">
        <v>1232.0999999999999</v>
      </c>
      <c r="CC410">
        <v>1701.5</v>
      </c>
      <c r="CD410">
        <v>0</v>
      </c>
      <c r="CG410">
        <v>1385.3</v>
      </c>
      <c r="CJ410">
        <v>1630.2999999999997</v>
      </c>
      <c r="CM410">
        <v>1184.2</v>
      </c>
      <c r="CO410">
        <v>1248.0999999999999</v>
      </c>
      <c r="CQ410">
        <v>1435.3</v>
      </c>
      <c r="CR410">
        <v>798.2</v>
      </c>
      <c r="CS410">
        <v>923.8</v>
      </c>
      <c r="CT410">
        <v>0</v>
      </c>
      <c r="CU410">
        <v>0</v>
      </c>
      <c r="CV410">
        <v>0</v>
      </c>
      <c r="CW410">
        <v>0</v>
      </c>
      <c r="CX410">
        <v>163.69999999999999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I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G410" t="e">
        <v>#N/A</v>
      </c>
      <c r="FI410" t="e">
        <v>#N/A</v>
      </c>
      <c r="FK410" t="e">
        <v>#N/A</v>
      </c>
      <c r="FM410" t="e">
        <v>#N/A</v>
      </c>
      <c r="FO410" t="e">
        <v>#N/A</v>
      </c>
      <c r="FQ410" t="e">
        <v>#N/A</v>
      </c>
      <c r="FS410" t="e">
        <v>#N/A</v>
      </c>
      <c r="FU410" t="e">
        <v>#N/A</v>
      </c>
      <c r="FW410" t="e">
        <v>#N/A</v>
      </c>
      <c r="FY410" t="e">
        <v>#N/A</v>
      </c>
      <c r="GA410" t="e">
        <v>#N/A</v>
      </c>
      <c r="GC410" t="e">
        <v>#N/A</v>
      </c>
      <c r="GE410" t="e">
        <v>#N/A</v>
      </c>
      <c r="GG410" t="e">
        <v>#N/A</v>
      </c>
      <c r="GI410" t="e">
        <v>#N/A</v>
      </c>
      <c r="GK410" t="e">
        <v>#N/A</v>
      </c>
      <c r="GM410" t="e">
        <v>#N/A</v>
      </c>
      <c r="GO410" t="e">
        <v>#N/A</v>
      </c>
      <c r="GQ410" t="e">
        <v>#N/A</v>
      </c>
      <c r="GS410" t="e">
        <v>#N/A</v>
      </c>
      <c r="GU410" t="e">
        <v>#N/A</v>
      </c>
      <c r="GW410" t="e">
        <v>#N/A</v>
      </c>
      <c r="GY410" t="e">
        <v>#N/A</v>
      </c>
      <c r="HA410" t="e">
        <v>#N/A</v>
      </c>
      <c r="HC410">
        <v>0</v>
      </c>
      <c r="HD410">
        <v>0</v>
      </c>
      <c r="HE410">
        <v>0</v>
      </c>
      <c r="HF410">
        <v>0</v>
      </c>
      <c r="HG410">
        <v>0</v>
      </c>
      <c r="HH410">
        <v>0</v>
      </c>
      <c r="HI410">
        <v>0</v>
      </c>
      <c r="HJ410">
        <v>0</v>
      </c>
      <c r="HM410">
        <v>0</v>
      </c>
      <c r="HN410">
        <v>0</v>
      </c>
      <c r="HO410">
        <v>0</v>
      </c>
      <c r="HP410">
        <v>0</v>
      </c>
      <c r="HQ410">
        <v>0</v>
      </c>
      <c r="HR410">
        <v>0</v>
      </c>
      <c r="HS410">
        <v>0</v>
      </c>
      <c r="HT410">
        <v>0</v>
      </c>
      <c r="HW410">
        <v>0</v>
      </c>
      <c r="HX410">
        <v>0</v>
      </c>
      <c r="HY410">
        <v>0</v>
      </c>
      <c r="HZ410">
        <v>0</v>
      </c>
      <c r="IA410">
        <v>3930.6</v>
      </c>
      <c r="IB410">
        <v>3632.9</v>
      </c>
      <c r="IC410">
        <v>3795.5</v>
      </c>
      <c r="ID410">
        <v>0</v>
      </c>
      <c r="IE410">
        <v>0</v>
      </c>
      <c r="IF410">
        <v>3548.5</v>
      </c>
      <c r="IG410">
        <v>3395.2</v>
      </c>
      <c r="IH410">
        <v>3395.4</v>
      </c>
      <c r="II410">
        <v>3302.3</v>
      </c>
      <c r="IJ410">
        <v>3172.8</v>
      </c>
      <c r="IK410">
        <v>0</v>
      </c>
      <c r="IL410">
        <v>0</v>
      </c>
      <c r="IM410">
        <v>0</v>
      </c>
      <c r="IN410">
        <v>0</v>
      </c>
      <c r="IO410">
        <v>123.4</v>
      </c>
      <c r="IP410">
        <v>405.2</v>
      </c>
      <c r="IQ410">
        <v>418.7</v>
      </c>
      <c r="IR410">
        <v>0</v>
      </c>
      <c r="IS410">
        <v>0</v>
      </c>
      <c r="IT410">
        <v>0</v>
      </c>
      <c r="IU410">
        <v>0</v>
      </c>
      <c r="IV410">
        <v>396</v>
      </c>
      <c r="IW410">
        <v>0</v>
      </c>
      <c r="IX410">
        <v>0</v>
      </c>
      <c r="IZ410">
        <v>0</v>
      </c>
      <c r="JA410">
        <v>65.5</v>
      </c>
      <c r="JB410">
        <v>443.5</v>
      </c>
      <c r="JC410">
        <v>0</v>
      </c>
      <c r="JD410">
        <v>0</v>
      </c>
      <c r="JE410">
        <v>0</v>
      </c>
      <c r="JF410">
        <v>0</v>
      </c>
      <c r="JG410">
        <v>0</v>
      </c>
      <c r="JH410">
        <v>0</v>
      </c>
      <c r="JI410">
        <v>0</v>
      </c>
      <c r="JJ410">
        <v>0</v>
      </c>
      <c r="JK410">
        <v>0</v>
      </c>
      <c r="JL410">
        <v>0</v>
      </c>
      <c r="JM410">
        <v>0</v>
      </c>
      <c r="JN410">
        <v>0</v>
      </c>
      <c r="JO410">
        <v>0</v>
      </c>
      <c r="JP410">
        <v>0</v>
      </c>
      <c r="JQ410">
        <v>0</v>
      </c>
      <c r="JR410">
        <v>0</v>
      </c>
      <c r="JS410">
        <v>0</v>
      </c>
      <c r="JT410">
        <v>0</v>
      </c>
      <c r="JU410">
        <v>0</v>
      </c>
      <c r="JV410">
        <v>0</v>
      </c>
      <c r="JW410">
        <v>0</v>
      </c>
      <c r="JX410">
        <v>0</v>
      </c>
      <c r="JY410">
        <v>0</v>
      </c>
      <c r="JZ410">
        <v>0</v>
      </c>
      <c r="KA410">
        <v>0</v>
      </c>
      <c r="KB410">
        <v>0</v>
      </c>
      <c r="KC410">
        <v>0</v>
      </c>
      <c r="KD410">
        <v>0</v>
      </c>
      <c r="KE410">
        <v>0</v>
      </c>
      <c r="KF410">
        <v>0</v>
      </c>
      <c r="KI410">
        <v>344.6</v>
      </c>
      <c r="KJ410">
        <v>350.8</v>
      </c>
      <c r="KK410">
        <v>22.1</v>
      </c>
      <c r="KL410">
        <v>379.3</v>
      </c>
      <c r="KM410">
        <v>241.4</v>
      </c>
      <c r="KN410">
        <v>0</v>
      </c>
      <c r="KO410">
        <v>0</v>
      </c>
      <c r="KP410">
        <v>57.3</v>
      </c>
      <c r="KQ410">
        <v>224.4</v>
      </c>
      <c r="KR410">
        <v>338.3</v>
      </c>
      <c r="KS410">
        <v>215.8</v>
      </c>
      <c r="KT410">
        <v>40.700000000000003</v>
      </c>
      <c r="KW410">
        <v>2154.5</v>
      </c>
      <c r="KX410">
        <v>1255.7</v>
      </c>
      <c r="KY410">
        <v>1630.1</v>
      </c>
      <c r="KZ410">
        <v>1246.9000000000001</v>
      </c>
      <c r="LB410">
        <v>78.099999999999994</v>
      </c>
      <c r="LC410">
        <v>77.7</v>
      </c>
    </row>
    <row r="411" spans="1:315" ht="18" thickBot="1">
      <c r="A411" s="251"/>
      <c r="B411" s="577"/>
      <c r="C411" s="344"/>
      <c r="D411" s="311"/>
      <c r="E411" s="454">
        <v>0</v>
      </c>
      <c r="F411" s="217">
        <v>0</v>
      </c>
      <c r="G411" s="427">
        <v>3413.8</v>
      </c>
      <c r="H411" s="155"/>
      <c r="I411">
        <v>735</v>
      </c>
      <c r="K411">
        <v>1973.1000000000001</v>
      </c>
      <c r="L411" s="4">
        <v>221.60000000000002</v>
      </c>
      <c r="M411" s="4">
        <v>54.9</v>
      </c>
      <c r="N411" s="4">
        <v>1989.7</v>
      </c>
      <c r="P411">
        <v>0</v>
      </c>
      <c r="Q411">
        <v>238.29999999999998</v>
      </c>
      <c r="R411">
        <v>0</v>
      </c>
      <c r="S411">
        <v>0</v>
      </c>
      <c r="T411">
        <v>368.5</v>
      </c>
      <c r="W411">
        <v>720.3</v>
      </c>
      <c r="X411">
        <v>1411.5</v>
      </c>
      <c r="Y411">
        <v>96.5</v>
      </c>
      <c r="AA411">
        <v>859.6</v>
      </c>
      <c r="AB411">
        <v>1577.6000000000001</v>
      </c>
      <c r="AE411">
        <v>1330</v>
      </c>
      <c r="AF411">
        <v>1025.5</v>
      </c>
      <c r="AH411">
        <v>509.9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1349.3</v>
      </c>
      <c r="AO411">
        <v>786.40000000000009</v>
      </c>
      <c r="AP411">
        <v>0</v>
      </c>
      <c r="AQ411">
        <v>68.3</v>
      </c>
      <c r="AR411">
        <v>234.9</v>
      </c>
      <c r="AS411">
        <v>600.40000000000009</v>
      </c>
      <c r="AU411">
        <v>985.69999999999993</v>
      </c>
      <c r="AW411">
        <v>792</v>
      </c>
      <c r="AX411">
        <v>1988.5</v>
      </c>
      <c r="AZ411">
        <v>763.5</v>
      </c>
      <c r="BA411">
        <v>0</v>
      </c>
      <c r="BB411">
        <v>0</v>
      </c>
      <c r="BC411">
        <v>1935.3</v>
      </c>
      <c r="BD411">
        <v>1006.5</v>
      </c>
      <c r="BE411">
        <v>0</v>
      </c>
      <c r="BF411">
        <v>0</v>
      </c>
      <c r="BG411">
        <v>0</v>
      </c>
      <c r="BH411">
        <v>1662.6</v>
      </c>
      <c r="BJ411">
        <v>0</v>
      </c>
      <c r="BK411">
        <v>0</v>
      </c>
      <c r="BL411">
        <v>1038.9000000000001</v>
      </c>
      <c r="BM411">
        <v>1101</v>
      </c>
      <c r="BO411">
        <v>1276.8000000000002</v>
      </c>
      <c r="BQ411">
        <v>0</v>
      </c>
      <c r="BR411">
        <v>270.7</v>
      </c>
      <c r="BS411">
        <v>230.5</v>
      </c>
      <c r="BT411">
        <v>472.3</v>
      </c>
      <c r="BU411">
        <v>537.29999999999995</v>
      </c>
      <c r="BV411">
        <v>346.3</v>
      </c>
      <c r="BW411">
        <v>386.2</v>
      </c>
      <c r="BX411">
        <v>767</v>
      </c>
      <c r="BY411">
        <v>757.2</v>
      </c>
      <c r="BZ411">
        <v>1037.2</v>
      </c>
      <c r="CA411">
        <v>1227.0999999999999</v>
      </c>
      <c r="CB411">
        <v>1232.0999999999999</v>
      </c>
      <c r="CC411">
        <v>1701.5</v>
      </c>
      <c r="CD411">
        <v>0</v>
      </c>
      <c r="CG411">
        <v>1385.3</v>
      </c>
      <c r="CJ411">
        <v>1630.2999999999997</v>
      </c>
      <c r="CM411">
        <v>1184.2</v>
      </c>
      <c r="CO411">
        <v>1248.0999999999999</v>
      </c>
      <c r="CQ411">
        <v>1435.3</v>
      </c>
      <c r="CR411">
        <v>798.2</v>
      </c>
      <c r="CS411">
        <v>923.8</v>
      </c>
      <c r="CT411">
        <v>0</v>
      </c>
      <c r="CU411">
        <v>0</v>
      </c>
      <c r="CV411">
        <v>0</v>
      </c>
      <c r="CW411">
        <v>0</v>
      </c>
      <c r="CX411">
        <v>163.69999999999999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I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G411" t="e">
        <v>#N/A</v>
      </c>
      <c r="FI411" t="e">
        <v>#N/A</v>
      </c>
      <c r="FK411" t="e">
        <v>#N/A</v>
      </c>
      <c r="FM411" t="e">
        <v>#N/A</v>
      </c>
      <c r="FO411" t="e">
        <v>#N/A</v>
      </c>
      <c r="FQ411" t="e">
        <v>#N/A</v>
      </c>
      <c r="FS411" t="e">
        <v>#N/A</v>
      </c>
      <c r="FU411" t="e">
        <v>#N/A</v>
      </c>
      <c r="FW411" t="e">
        <v>#N/A</v>
      </c>
      <c r="FY411" t="e">
        <v>#N/A</v>
      </c>
      <c r="GA411" t="e">
        <v>#N/A</v>
      </c>
      <c r="GC411" t="e">
        <v>#N/A</v>
      </c>
      <c r="GE411" t="e">
        <v>#N/A</v>
      </c>
      <c r="GG411" t="e">
        <v>#N/A</v>
      </c>
      <c r="GI411" t="e">
        <v>#N/A</v>
      </c>
      <c r="GK411" t="e">
        <v>#N/A</v>
      </c>
      <c r="GM411" t="e">
        <v>#N/A</v>
      </c>
      <c r="GO411" t="e">
        <v>#N/A</v>
      </c>
      <c r="GQ411" t="e">
        <v>#N/A</v>
      </c>
      <c r="GS411" t="e">
        <v>#N/A</v>
      </c>
      <c r="GU411" t="e">
        <v>#N/A</v>
      </c>
      <c r="GW411" t="e">
        <v>#N/A</v>
      </c>
      <c r="GY411" t="e">
        <v>#N/A</v>
      </c>
      <c r="HA411" t="e">
        <v>#N/A</v>
      </c>
      <c r="HC411">
        <v>0</v>
      </c>
      <c r="HD411">
        <v>0</v>
      </c>
      <c r="HE411">
        <v>0</v>
      </c>
      <c r="HF411">
        <v>0</v>
      </c>
      <c r="HG411">
        <v>0</v>
      </c>
      <c r="HH411">
        <v>0</v>
      </c>
      <c r="HI411">
        <v>0</v>
      </c>
      <c r="HJ411">
        <v>0</v>
      </c>
      <c r="HM411">
        <v>0</v>
      </c>
      <c r="HN411">
        <v>0</v>
      </c>
      <c r="HO411">
        <v>0</v>
      </c>
      <c r="HP411">
        <v>0</v>
      </c>
      <c r="HQ411">
        <v>0</v>
      </c>
      <c r="HR411">
        <v>0</v>
      </c>
      <c r="HS411">
        <v>0</v>
      </c>
      <c r="HT411">
        <v>0</v>
      </c>
      <c r="HW411">
        <v>0</v>
      </c>
      <c r="HX411">
        <v>0</v>
      </c>
      <c r="HY411">
        <v>0</v>
      </c>
      <c r="HZ411">
        <v>0</v>
      </c>
      <c r="IA411">
        <v>3930.6</v>
      </c>
      <c r="IB411">
        <v>3632.9</v>
      </c>
      <c r="IC411">
        <v>3795.5</v>
      </c>
      <c r="ID411">
        <v>0</v>
      </c>
      <c r="IE411">
        <v>0</v>
      </c>
      <c r="IF411">
        <v>3548.5</v>
      </c>
      <c r="IG411">
        <v>3395.2</v>
      </c>
      <c r="IH411">
        <v>3395.4</v>
      </c>
      <c r="II411">
        <v>3302.3</v>
      </c>
      <c r="IJ411">
        <v>3172.8</v>
      </c>
      <c r="IK411">
        <v>0</v>
      </c>
      <c r="IL411">
        <v>0</v>
      </c>
      <c r="IM411">
        <v>0</v>
      </c>
      <c r="IN411">
        <v>0</v>
      </c>
      <c r="IO411">
        <v>123.4</v>
      </c>
      <c r="IP411">
        <v>405.2</v>
      </c>
      <c r="IQ411">
        <v>418.7</v>
      </c>
      <c r="IR411">
        <v>0</v>
      </c>
      <c r="IS411">
        <v>0</v>
      </c>
      <c r="IT411">
        <v>0</v>
      </c>
      <c r="IU411">
        <v>0</v>
      </c>
      <c r="IV411">
        <v>396</v>
      </c>
      <c r="IW411">
        <v>0</v>
      </c>
      <c r="IX411">
        <v>0</v>
      </c>
      <c r="IZ411">
        <v>0</v>
      </c>
      <c r="JA411">
        <v>65.5</v>
      </c>
      <c r="JB411">
        <v>443.5</v>
      </c>
      <c r="JC411">
        <v>0</v>
      </c>
      <c r="JD411">
        <v>0</v>
      </c>
      <c r="JE411">
        <v>0</v>
      </c>
      <c r="JF411">
        <v>0</v>
      </c>
      <c r="JG411">
        <v>0</v>
      </c>
      <c r="JH411">
        <v>0</v>
      </c>
      <c r="JI411">
        <v>0</v>
      </c>
      <c r="JJ411">
        <v>0</v>
      </c>
      <c r="JK411">
        <v>0</v>
      </c>
      <c r="JL411">
        <v>0</v>
      </c>
      <c r="JM411">
        <v>0</v>
      </c>
      <c r="JN411">
        <v>0</v>
      </c>
      <c r="JO411">
        <v>0</v>
      </c>
      <c r="JP411">
        <v>0</v>
      </c>
      <c r="JQ411">
        <v>0</v>
      </c>
      <c r="JR411">
        <v>0</v>
      </c>
      <c r="JS411">
        <v>0</v>
      </c>
      <c r="JT411">
        <v>0</v>
      </c>
      <c r="JU411">
        <v>0</v>
      </c>
      <c r="JV411">
        <v>0</v>
      </c>
      <c r="JW411">
        <v>0</v>
      </c>
      <c r="JX411">
        <v>0</v>
      </c>
      <c r="JY411">
        <v>0</v>
      </c>
      <c r="JZ411">
        <v>0</v>
      </c>
      <c r="KA411">
        <v>0</v>
      </c>
      <c r="KB411">
        <v>0</v>
      </c>
      <c r="KC411">
        <v>0</v>
      </c>
      <c r="KD411">
        <v>0</v>
      </c>
      <c r="KE411">
        <v>0</v>
      </c>
      <c r="KF411">
        <v>0</v>
      </c>
      <c r="KI411">
        <v>344.6</v>
      </c>
      <c r="KJ411">
        <v>350.8</v>
      </c>
      <c r="KK411">
        <v>22.1</v>
      </c>
      <c r="KL411">
        <v>379.3</v>
      </c>
      <c r="KM411">
        <v>241.4</v>
      </c>
      <c r="KN411">
        <v>0</v>
      </c>
      <c r="KO411">
        <v>0</v>
      </c>
      <c r="KP411">
        <v>57.3</v>
      </c>
      <c r="KQ411">
        <v>224.4</v>
      </c>
      <c r="KR411">
        <v>338.3</v>
      </c>
      <c r="KS411">
        <v>215.8</v>
      </c>
      <c r="KT411">
        <v>40.700000000000003</v>
      </c>
      <c r="KW411">
        <v>2154.5</v>
      </c>
      <c r="KX411">
        <v>1255.7</v>
      </c>
      <c r="KY411">
        <v>1630.1</v>
      </c>
      <c r="KZ411">
        <v>1246.9000000000001</v>
      </c>
      <c r="LB411">
        <v>78.099999999999994</v>
      </c>
      <c r="LC411">
        <v>77.7</v>
      </c>
    </row>
    <row r="412" spans="1:315" ht="18" thickBot="1">
      <c r="A412" s="243"/>
      <c r="B412" s="572" t="s">
        <v>403</v>
      </c>
      <c r="C412" s="344" t="s">
        <v>873</v>
      </c>
      <c r="D412" s="311" t="s">
        <v>702</v>
      </c>
      <c r="E412" s="454">
        <v>0</v>
      </c>
      <c r="F412" s="213">
        <v>0</v>
      </c>
      <c r="G412" s="427">
        <v>3413.8</v>
      </c>
      <c r="H412" s="155"/>
      <c r="I412">
        <v>735</v>
      </c>
      <c r="K412">
        <v>1973.1000000000001</v>
      </c>
      <c r="L412" s="4">
        <v>221.60000000000002</v>
      </c>
      <c r="M412" s="4">
        <v>54.9</v>
      </c>
      <c r="N412" s="4">
        <v>1989.7</v>
      </c>
      <c r="P412">
        <v>0</v>
      </c>
      <c r="Q412">
        <v>238.29999999999998</v>
      </c>
      <c r="R412">
        <v>0</v>
      </c>
      <c r="S412">
        <v>0</v>
      </c>
      <c r="T412">
        <v>368.5</v>
      </c>
      <c r="W412">
        <v>720.3</v>
      </c>
      <c r="X412">
        <v>1411.5</v>
      </c>
      <c r="Y412">
        <v>96.5</v>
      </c>
      <c r="AA412">
        <v>859.6</v>
      </c>
      <c r="AB412">
        <v>1577.6000000000001</v>
      </c>
      <c r="AE412">
        <v>1330</v>
      </c>
      <c r="AF412">
        <v>1025.5</v>
      </c>
      <c r="AH412">
        <v>509.9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1349.3</v>
      </c>
      <c r="AO412">
        <v>786.40000000000009</v>
      </c>
      <c r="AP412">
        <v>0</v>
      </c>
      <c r="AQ412">
        <v>68.3</v>
      </c>
      <c r="AR412">
        <v>234.9</v>
      </c>
      <c r="AS412">
        <v>600.40000000000009</v>
      </c>
      <c r="AU412">
        <v>985.69999999999993</v>
      </c>
      <c r="AW412">
        <v>792</v>
      </c>
      <c r="AX412">
        <v>1988.5</v>
      </c>
      <c r="AZ412">
        <v>763.5</v>
      </c>
      <c r="BA412">
        <v>0</v>
      </c>
      <c r="BB412">
        <v>0</v>
      </c>
      <c r="BC412">
        <v>1935.3</v>
      </c>
      <c r="BD412">
        <v>1006.5</v>
      </c>
      <c r="BE412">
        <v>0</v>
      </c>
      <c r="BF412">
        <v>0</v>
      </c>
      <c r="BG412">
        <v>0</v>
      </c>
      <c r="BH412">
        <v>1662.6</v>
      </c>
      <c r="BJ412">
        <v>0</v>
      </c>
      <c r="BK412">
        <v>0</v>
      </c>
      <c r="BL412">
        <v>1038.9000000000001</v>
      </c>
      <c r="BM412">
        <v>1101</v>
      </c>
      <c r="BO412">
        <v>1276.8000000000002</v>
      </c>
      <c r="BQ412">
        <v>0</v>
      </c>
      <c r="BR412">
        <v>270.7</v>
      </c>
      <c r="BS412">
        <v>230.5</v>
      </c>
      <c r="BT412">
        <v>472.3</v>
      </c>
      <c r="BU412">
        <v>537.29999999999995</v>
      </c>
      <c r="BV412">
        <v>346.3</v>
      </c>
      <c r="BW412">
        <v>386.2</v>
      </c>
      <c r="BX412">
        <v>767</v>
      </c>
      <c r="BY412">
        <v>757.2</v>
      </c>
      <c r="BZ412">
        <v>1037.2</v>
      </c>
      <c r="CA412">
        <v>1227.0999999999999</v>
      </c>
      <c r="CB412">
        <v>1232.0999999999999</v>
      </c>
      <c r="CC412">
        <v>1701.5</v>
      </c>
      <c r="CD412">
        <v>0</v>
      </c>
      <c r="CG412">
        <v>1385.3</v>
      </c>
      <c r="CJ412">
        <v>1630.2999999999997</v>
      </c>
      <c r="CM412">
        <v>1184.2</v>
      </c>
      <c r="CO412">
        <v>1248.0999999999999</v>
      </c>
      <c r="CQ412">
        <v>1435.3</v>
      </c>
      <c r="CR412">
        <v>798.2</v>
      </c>
      <c r="CS412">
        <v>923.8</v>
      </c>
      <c r="CT412">
        <v>0</v>
      </c>
      <c r="CU412">
        <v>0</v>
      </c>
      <c r="CV412">
        <v>0</v>
      </c>
      <c r="CW412">
        <v>0</v>
      </c>
      <c r="CX412">
        <v>163.69999999999999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I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G412" t="e">
        <v>#N/A</v>
      </c>
      <c r="FI412" t="e">
        <v>#N/A</v>
      </c>
      <c r="FK412" t="e">
        <v>#N/A</v>
      </c>
      <c r="FM412" t="e">
        <v>#N/A</v>
      </c>
      <c r="FO412" t="e">
        <v>#N/A</v>
      </c>
      <c r="FQ412" t="e">
        <v>#N/A</v>
      </c>
      <c r="FS412" t="e">
        <v>#N/A</v>
      </c>
      <c r="FU412" t="e">
        <v>#N/A</v>
      </c>
      <c r="FW412" t="e">
        <v>#N/A</v>
      </c>
      <c r="FY412" t="e">
        <v>#N/A</v>
      </c>
      <c r="GA412" t="e">
        <v>#N/A</v>
      </c>
      <c r="GC412" t="e">
        <v>#N/A</v>
      </c>
      <c r="GE412" t="e">
        <v>#N/A</v>
      </c>
      <c r="GG412" t="e">
        <v>#N/A</v>
      </c>
      <c r="GI412" t="e">
        <v>#N/A</v>
      </c>
      <c r="GK412" t="e">
        <v>#N/A</v>
      </c>
      <c r="GM412" t="e">
        <v>#N/A</v>
      </c>
      <c r="GO412" t="e">
        <v>#N/A</v>
      </c>
      <c r="GQ412" t="e">
        <v>#N/A</v>
      </c>
      <c r="GS412" t="e">
        <v>#N/A</v>
      </c>
      <c r="GU412" t="e">
        <v>#N/A</v>
      </c>
      <c r="GW412" t="e">
        <v>#N/A</v>
      </c>
      <c r="GY412" t="e">
        <v>#N/A</v>
      </c>
      <c r="HA412" t="e">
        <v>#N/A</v>
      </c>
      <c r="HC412">
        <v>0</v>
      </c>
      <c r="HD412">
        <v>0</v>
      </c>
      <c r="HE412">
        <v>0</v>
      </c>
      <c r="HF412">
        <v>0</v>
      </c>
      <c r="HG412">
        <v>0</v>
      </c>
      <c r="HH412">
        <v>0</v>
      </c>
      <c r="HI412">
        <v>0</v>
      </c>
      <c r="HJ412">
        <v>0</v>
      </c>
      <c r="HM412">
        <v>0</v>
      </c>
      <c r="HN412">
        <v>0</v>
      </c>
      <c r="HO412">
        <v>0</v>
      </c>
      <c r="HP412">
        <v>0</v>
      </c>
      <c r="HQ412">
        <v>0</v>
      </c>
      <c r="HR412">
        <v>0</v>
      </c>
      <c r="HS412">
        <v>0</v>
      </c>
      <c r="HT412">
        <v>0</v>
      </c>
      <c r="HW412">
        <v>0</v>
      </c>
      <c r="HX412">
        <v>0</v>
      </c>
      <c r="HY412">
        <v>0</v>
      </c>
      <c r="HZ412">
        <v>0</v>
      </c>
      <c r="IA412">
        <v>3930.6</v>
      </c>
      <c r="IB412">
        <v>3632.9</v>
      </c>
      <c r="IC412">
        <v>3795.5</v>
      </c>
      <c r="ID412">
        <v>0</v>
      </c>
      <c r="IE412">
        <v>0</v>
      </c>
      <c r="IF412">
        <v>3548.5</v>
      </c>
      <c r="IG412">
        <v>3395.2</v>
      </c>
      <c r="IH412">
        <v>3395.4</v>
      </c>
      <c r="II412">
        <v>3302.3</v>
      </c>
      <c r="IJ412">
        <v>3172.8</v>
      </c>
      <c r="IK412">
        <v>0</v>
      </c>
      <c r="IL412">
        <v>0</v>
      </c>
      <c r="IM412">
        <v>0</v>
      </c>
      <c r="IN412">
        <v>0</v>
      </c>
      <c r="IO412">
        <v>123.4</v>
      </c>
      <c r="IP412">
        <v>405.2</v>
      </c>
      <c r="IQ412">
        <v>418.7</v>
      </c>
      <c r="IR412">
        <v>0</v>
      </c>
      <c r="IS412">
        <v>0</v>
      </c>
      <c r="IT412">
        <v>0</v>
      </c>
      <c r="IU412">
        <v>0</v>
      </c>
      <c r="IV412">
        <v>396</v>
      </c>
      <c r="IW412">
        <v>0</v>
      </c>
      <c r="IX412">
        <v>0</v>
      </c>
      <c r="IZ412">
        <v>0</v>
      </c>
      <c r="JA412">
        <v>65.5</v>
      </c>
      <c r="JB412">
        <v>443.5</v>
      </c>
      <c r="JC412">
        <v>0</v>
      </c>
      <c r="JD412">
        <v>0</v>
      </c>
      <c r="JE412">
        <v>0</v>
      </c>
      <c r="JF412">
        <v>0</v>
      </c>
      <c r="JG412">
        <v>0</v>
      </c>
      <c r="JH412">
        <v>0</v>
      </c>
      <c r="JI412">
        <v>0</v>
      </c>
      <c r="JJ412">
        <v>0</v>
      </c>
      <c r="JK412">
        <v>0</v>
      </c>
      <c r="JL412">
        <v>0</v>
      </c>
      <c r="JM412">
        <v>0</v>
      </c>
      <c r="JN412">
        <v>0</v>
      </c>
      <c r="JO412">
        <v>0</v>
      </c>
      <c r="JP412">
        <v>0</v>
      </c>
      <c r="JQ412">
        <v>0</v>
      </c>
      <c r="JR412">
        <v>0</v>
      </c>
      <c r="JS412">
        <v>0</v>
      </c>
      <c r="JT412">
        <v>0</v>
      </c>
      <c r="JU412">
        <v>0</v>
      </c>
      <c r="JV412">
        <v>0</v>
      </c>
      <c r="JW412">
        <v>0</v>
      </c>
      <c r="JX412">
        <v>0</v>
      </c>
      <c r="JY412">
        <v>0</v>
      </c>
      <c r="JZ412">
        <v>0</v>
      </c>
      <c r="KA412">
        <v>0</v>
      </c>
      <c r="KB412">
        <v>0</v>
      </c>
      <c r="KC412">
        <v>0</v>
      </c>
      <c r="KD412">
        <v>0</v>
      </c>
      <c r="KE412">
        <v>0</v>
      </c>
      <c r="KF412">
        <v>0</v>
      </c>
      <c r="KI412">
        <v>344.6</v>
      </c>
      <c r="KJ412">
        <v>350.8</v>
      </c>
      <c r="KK412">
        <v>22.1</v>
      </c>
      <c r="KL412">
        <v>379.3</v>
      </c>
      <c r="KM412">
        <v>241.4</v>
      </c>
      <c r="KN412">
        <v>0</v>
      </c>
      <c r="KO412">
        <v>0</v>
      </c>
      <c r="KP412">
        <v>57.3</v>
      </c>
      <c r="KQ412">
        <v>224.4</v>
      </c>
      <c r="KR412">
        <v>338.3</v>
      </c>
      <c r="KS412">
        <v>215.8</v>
      </c>
      <c r="KT412">
        <v>40.700000000000003</v>
      </c>
      <c r="KW412">
        <v>2154.5</v>
      </c>
      <c r="KX412">
        <v>1255.7</v>
      </c>
      <c r="KY412">
        <v>1630.1</v>
      </c>
      <c r="KZ412">
        <v>1246.9000000000001</v>
      </c>
      <c r="LB412">
        <v>78.099999999999994</v>
      </c>
      <c r="LC412">
        <v>77.7</v>
      </c>
    </row>
    <row r="413" spans="1:315" ht="18" thickBot="1">
      <c r="A413" s="243"/>
      <c r="B413" s="572"/>
      <c r="C413" s="344"/>
      <c r="D413" s="311"/>
      <c r="E413" s="454">
        <v>0</v>
      </c>
      <c r="F413" s="215">
        <v>0</v>
      </c>
      <c r="G413" s="427">
        <v>3413.8</v>
      </c>
      <c r="H413" s="155"/>
      <c r="I413">
        <v>735</v>
      </c>
      <c r="K413">
        <v>1973.1000000000001</v>
      </c>
      <c r="L413" s="4">
        <v>221.60000000000002</v>
      </c>
      <c r="M413" s="4">
        <v>54.9</v>
      </c>
      <c r="N413" s="4">
        <v>1989.7</v>
      </c>
      <c r="P413">
        <v>0</v>
      </c>
      <c r="Q413">
        <v>238.29999999999998</v>
      </c>
      <c r="R413">
        <v>0</v>
      </c>
      <c r="S413">
        <v>0</v>
      </c>
      <c r="T413">
        <v>368.5</v>
      </c>
      <c r="W413">
        <v>720.3</v>
      </c>
      <c r="X413">
        <v>1411.5</v>
      </c>
      <c r="Y413">
        <v>96.5</v>
      </c>
      <c r="AA413">
        <v>859.6</v>
      </c>
      <c r="AB413">
        <v>1577.6000000000001</v>
      </c>
      <c r="AE413">
        <v>1330</v>
      </c>
      <c r="AF413">
        <v>1025.5</v>
      </c>
      <c r="AH413">
        <v>509.9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1349.3</v>
      </c>
      <c r="AO413">
        <v>786.40000000000009</v>
      </c>
      <c r="AP413">
        <v>0</v>
      </c>
      <c r="AQ413">
        <v>68.3</v>
      </c>
      <c r="AR413">
        <v>234.9</v>
      </c>
      <c r="AS413">
        <v>600.40000000000009</v>
      </c>
      <c r="AU413">
        <v>985.69999999999993</v>
      </c>
      <c r="AW413">
        <v>792</v>
      </c>
      <c r="AX413">
        <v>1988.5</v>
      </c>
      <c r="AZ413">
        <v>763.5</v>
      </c>
      <c r="BA413">
        <v>0</v>
      </c>
      <c r="BB413">
        <v>0</v>
      </c>
      <c r="BC413">
        <v>1935.3</v>
      </c>
      <c r="BD413">
        <v>1006.5</v>
      </c>
      <c r="BE413">
        <v>0</v>
      </c>
      <c r="BF413">
        <v>0</v>
      </c>
      <c r="BG413">
        <v>0</v>
      </c>
      <c r="BH413">
        <v>1662.6</v>
      </c>
      <c r="BJ413">
        <v>0</v>
      </c>
      <c r="BK413">
        <v>0</v>
      </c>
      <c r="BL413">
        <v>1038.9000000000001</v>
      </c>
      <c r="BM413">
        <v>1101</v>
      </c>
      <c r="BO413">
        <v>1276.8000000000002</v>
      </c>
      <c r="BQ413">
        <v>0</v>
      </c>
      <c r="BR413">
        <v>270.7</v>
      </c>
      <c r="BS413">
        <v>230.5</v>
      </c>
      <c r="BT413">
        <v>472.3</v>
      </c>
      <c r="BU413">
        <v>537.29999999999995</v>
      </c>
      <c r="BV413">
        <v>346.3</v>
      </c>
      <c r="BW413">
        <v>386.2</v>
      </c>
      <c r="BX413">
        <v>767</v>
      </c>
      <c r="BY413">
        <v>757.2</v>
      </c>
      <c r="BZ413">
        <v>1037.2</v>
      </c>
      <c r="CA413">
        <v>1227.0999999999999</v>
      </c>
      <c r="CB413">
        <v>1232.0999999999999</v>
      </c>
      <c r="CC413">
        <v>1701.5</v>
      </c>
      <c r="CD413">
        <v>0</v>
      </c>
      <c r="CG413">
        <v>1385.3</v>
      </c>
      <c r="CJ413">
        <v>1630.2999999999997</v>
      </c>
      <c r="CM413">
        <v>1184.2</v>
      </c>
      <c r="CO413">
        <v>1248.0999999999999</v>
      </c>
      <c r="CQ413">
        <v>1435.3</v>
      </c>
      <c r="CR413">
        <v>798.2</v>
      </c>
      <c r="CS413">
        <v>923.8</v>
      </c>
      <c r="CT413">
        <v>0</v>
      </c>
      <c r="CU413">
        <v>0</v>
      </c>
      <c r="CV413">
        <v>0</v>
      </c>
      <c r="CW413">
        <v>0</v>
      </c>
      <c r="CX413">
        <v>163.69999999999999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I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G413" t="e">
        <v>#N/A</v>
      </c>
      <c r="FI413" t="e">
        <v>#N/A</v>
      </c>
      <c r="FK413" t="e">
        <v>#N/A</v>
      </c>
      <c r="FM413" t="e">
        <v>#N/A</v>
      </c>
      <c r="FO413" t="e">
        <v>#N/A</v>
      </c>
      <c r="FQ413" t="e">
        <v>#N/A</v>
      </c>
      <c r="FS413" t="e">
        <v>#N/A</v>
      </c>
      <c r="FU413" t="e">
        <v>#N/A</v>
      </c>
      <c r="FW413" t="e">
        <v>#N/A</v>
      </c>
      <c r="FY413" t="e">
        <v>#N/A</v>
      </c>
      <c r="GA413" t="e">
        <v>#N/A</v>
      </c>
      <c r="GC413" t="e">
        <v>#N/A</v>
      </c>
      <c r="GE413" t="e">
        <v>#N/A</v>
      </c>
      <c r="GG413" t="e">
        <v>#N/A</v>
      </c>
      <c r="GI413" t="e">
        <v>#N/A</v>
      </c>
      <c r="GK413" t="e">
        <v>#N/A</v>
      </c>
      <c r="GM413" t="e">
        <v>#N/A</v>
      </c>
      <c r="GO413" t="e">
        <v>#N/A</v>
      </c>
      <c r="GQ413" t="e">
        <v>#N/A</v>
      </c>
      <c r="GS413" t="e">
        <v>#N/A</v>
      </c>
      <c r="GU413" t="e">
        <v>#N/A</v>
      </c>
      <c r="GW413" t="e">
        <v>#N/A</v>
      </c>
      <c r="GY413" t="e">
        <v>#N/A</v>
      </c>
      <c r="HA413" t="e">
        <v>#N/A</v>
      </c>
      <c r="HC413">
        <v>0</v>
      </c>
      <c r="HD413">
        <v>0</v>
      </c>
      <c r="HE413">
        <v>0</v>
      </c>
      <c r="HF413">
        <v>0</v>
      </c>
      <c r="HG413">
        <v>0</v>
      </c>
      <c r="HH413">
        <v>0</v>
      </c>
      <c r="HI413">
        <v>0</v>
      </c>
      <c r="HJ413">
        <v>0</v>
      </c>
      <c r="HM413">
        <v>0</v>
      </c>
      <c r="HN413">
        <v>0</v>
      </c>
      <c r="HO413">
        <v>0</v>
      </c>
      <c r="HP413">
        <v>0</v>
      </c>
      <c r="HQ413">
        <v>0</v>
      </c>
      <c r="HR413">
        <v>0</v>
      </c>
      <c r="HS413">
        <v>0</v>
      </c>
      <c r="HT413">
        <v>0</v>
      </c>
      <c r="HW413">
        <v>0</v>
      </c>
      <c r="HX413">
        <v>0</v>
      </c>
      <c r="HY413">
        <v>0</v>
      </c>
      <c r="HZ413">
        <v>0</v>
      </c>
      <c r="IA413">
        <v>3930.6</v>
      </c>
      <c r="IB413">
        <v>3632.9</v>
      </c>
      <c r="IC413">
        <v>3795.5</v>
      </c>
      <c r="ID413">
        <v>0</v>
      </c>
      <c r="IE413">
        <v>0</v>
      </c>
      <c r="IF413">
        <v>3548.5</v>
      </c>
      <c r="IG413">
        <v>3395.2</v>
      </c>
      <c r="IH413">
        <v>3395.4</v>
      </c>
      <c r="II413">
        <v>3302.3</v>
      </c>
      <c r="IJ413">
        <v>3172.8</v>
      </c>
      <c r="IK413">
        <v>0</v>
      </c>
      <c r="IL413">
        <v>0</v>
      </c>
      <c r="IM413">
        <v>0</v>
      </c>
      <c r="IN413">
        <v>0</v>
      </c>
      <c r="IO413">
        <v>123.4</v>
      </c>
      <c r="IP413">
        <v>405.2</v>
      </c>
      <c r="IQ413">
        <v>418.7</v>
      </c>
      <c r="IR413">
        <v>0</v>
      </c>
      <c r="IS413">
        <v>0</v>
      </c>
      <c r="IT413">
        <v>0</v>
      </c>
      <c r="IU413">
        <v>0</v>
      </c>
      <c r="IV413">
        <v>396</v>
      </c>
      <c r="IW413">
        <v>0</v>
      </c>
      <c r="IX413">
        <v>0</v>
      </c>
      <c r="IZ413">
        <v>0</v>
      </c>
      <c r="JA413">
        <v>65.5</v>
      </c>
      <c r="JB413">
        <v>443.5</v>
      </c>
      <c r="JC413">
        <v>0</v>
      </c>
      <c r="JD413">
        <v>0</v>
      </c>
      <c r="JE413">
        <v>0</v>
      </c>
      <c r="JF413">
        <v>0</v>
      </c>
      <c r="JG413">
        <v>0</v>
      </c>
      <c r="JH413">
        <v>0</v>
      </c>
      <c r="JI413">
        <v>0</v>
      </c>
      <c r="JJ413">
        <v>0</v>
      </c>
      <c r="JK413">
        <v>0</v>
      </c>
      <c r="JL413">
        <v>0</v>
      </c>
      <c r="JM413">
        <v>0</v>
      </c>
      <c r="JN413">
        <v>0</v>
      </c>
      <c r="JO413">
        <v>0</v>
      </c>
      <c r="JP413">
        <v>0</v>
      </c>
      <c r="JQ413">
        <v>0</v>
      </c>
      <c r="JR413">
        <v>0</v>
      </c>
      <c r="JS413">
        <v>0</v>
      </c>
      <c r="JT413">
        <v>0</v>
      </c>
      <c r="JU413">
        <v>0</v>
      </c>
      <c r="JV413">
        <v>0</v>
      </c>
      <c r="JW413">
        <v>0</v>
      </c>
      <c r="JX413">
        <v>0</v>
      </c>
      <c r="JY413">
        <v>0</v>
      </c>
      <c r="JZ413">
        <v>0</v>
      </c>
      <c r="KA413">
        <v>0</v>
      </c>
      <c r="KB413">
        <v>0</v>
      </c>
      <c r="KC413">
        <v>0</v>
      </c>
      <c r="KD413">
        <v>0</v>
      </c>
      <c r="KE413">
        <v>0</v>
      </c>
      <c r="KF413">
        <v>0</v>
      </c>
      <c r="KI413">
        <v>344.6</v>
      </c>
      <c r="KJ413">
        <v>350.8</v>
      </c>
      <c r="KK413">
        <v>22.1</v>
      </c>
      <c r="KL413">
        <v>379.3</v>
      </c>
      <c r="KM413">
        <v>241.4</v>
      </c>
      <c r="KN413">
        <v>0</v>
      </c>
      <c r="KO413">
        <v>0</v>
      </c>
      <c r="KP413">
        <v>57.3</v>
      </c>
      <c r="KQ413">
        <v>224.4</v>
      </c>
      <c r="KR413">
        <v>338.3</v>
      </c>
      <c r="KS413">
        <v>215.8</v>
      </c>
      <c r="KT413">
        <v>40.700000000000003</v>
      </c>
      <c r="KW413">
        <v>2154.5</v>
      </c>
      <c r="KX413">
        <v>1255.7</v>
      </c>
      <c r="KY413">
        <v>1630.1</v>
      </c>
      <c r="KZ413">
        <v>1246.9000000000001</v>
      </c>
      <c r="LB413">
        <v>78.099999999999994</v>
      </c>
      <c r="LC413">
        <v>77.7</v>
      </c>
    </row>
    <row r="414" spans="1:315" ht="18" thickBot="1">
      <c r="A414" s="250"/>
      <c r="B414" s="576" t="s">
        <v>404</v>
      </c>
      <c r="C414" s="343" t="s">
        <v>874</v>
      </c>
      <c r="D414" s="311" t="s">
        <v>702</v>
      </c>
      <c r="E414" s="454">
        <v>0</v>
      </c>
      <c r="F414" s="216">
        <v>0</v>
      </c>
      <c r="G414" s="427">
        <v>3413.8</v>
      </c>
      <c r="H414" s="155"/>
      <c r="I414">
        <v>735</v>
      </c>
      <c r="K414">
        <v>1973.1000000000001</v>
      </c>
      <c r="L414" s="4">
        <v>221.60000000000002</v>
      </c>
      <c r="M414" s="4">
        <v>54.9</v>
      </c>
      <c r="N414" s="4">
        <v>1989.7</v>
      </c>
      <c r="P414">
        <v>0</v>
      </c>
      <c r="Q414">
        <v>238.29999999999998</v>
      </c>
      <c r="R414">
        <v>0</v>
      </c>
      <c r="S414">
        <v>0</v>
      </c>
      <c r="T414">
        <v>368.5</v>
      </c>
      <c r="W414">
        <v>720.3</v>
      </c>
      <c r="X414">
        <v>1411.5</v>
      </c>
      <c r="Y414">
        <v>96.5</v>
      </c>
      <c r="AA414">
        <v>859.6</v>
      </c>
      <c r="AB414">
        <v>1577.6000000000001</v>
      </c>
      <c r="AE414">
        <v>1330</v>
      </c>
      <c r="AF414">
        <v>1025.5</v>
      </c>
      <c r="AH414">
        <v>509.9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1349.3</v>
      </c>
      <c r="AO414">
        <v>786.40000000000009</v>
      </c>
      <c r="AP414">
        <v>0</v>
      </c>
      <c r="AQ414">
        <v>68.3</v>
      </c>
      <c r="AR414">
        <v>234.9</v>
      </c>
      <c r="AS414">
        <v>600.40000000000009</v>
      </c>
      <c r="AU414">
        <v>985.69999999999993</v>
      </c>
      <c r="AW414">
        <v>792</v>
      </c>
      <c r="AX414">
        <v>1988.5</v>
      </c>
      <c r="AZ414">
        <v>763.5</v>
      </c>
      <c r="BA414">
        <v>0</v>
      </c>
      <c r="BB414">
        <v>0</v>
      </c>
      <c r="BC414">
        <v>1935.3</v>
      </c>
      <c r="BD414">
        <v>1006.5</v>
      </c>
      <c r="BE414">
        <v>0</v>
      </c>
      <c r="BF414">
        <v>0</v>
      </c>
      <c r="BG414">
        <v>0</v>
      </c>
      <c r="BH414">
        <v>1662.6</v>
      </c>
      <c r="BJ414">
        <v>0</v>
      </c>
      <c r="BK414">
        <v>0</v>
      </c>
      <c r="BL414">
        <v>1038.9000000000001</v>
      </c>
      <c r="BM414">
        <v>1101</v>
      </c>
      <c r="BO414">
        <v>1276.8000000000002</v>
      </c>
      <c r="BQ414">
        <v>0</v>
      </c>
      <c r="BR414">
        <v>270.7</v>
      </c>
      <c r="BS414">
        <v>230.5</v>
      </c>
      <c r="BT414">
        <v>472.3</v>
      </c>
      <c r="BU414">
        <v>537.29999999999995</v>
      </c>
      <c r="BV414">
        <v>346.3</v>
      </c>
      <c r="BW414">
        <v>386.2</v>
      </c>
      <c r="BX414">
        <v>767</v>
      </c>
      <c r="BY414">
        <v>757.2</v>
      </c>
      <c r="BZ414">
        <v>1037.2</v>
      </c>
      <c r="CA414">
        <v>1227.0999999999999</v>
      </c>
      <c r="CB414">
        <v>1232.0999999999999</v>
      </c>
      <c r="CC414">
        <v>1701.5</v>
      </c>
      <c r="CD414">
        <v>0</v>
      </c>
      <c r="CG414">
        <v>1385.3</v>
      </c>
      <c r="CJ414">
        <v>1630.2999999999997</v>
      </c>
      <c r="CM414">
        <v>1184.2</v>
      </c>
      <c r="CO414">
        <v>1248.0999999999999</v>
      </c>
      <c r="CQ414">
        <v>1435.3</v>
      </c>
      <c r="CR414">
        <v>798.2</v>
      </c>
      <c r="CS414">
        <v>923.8</v>
      </c>
      <c r="CT414">
        <v>0</v>
      </c>
      <c r="CU414">
        <v>0</v>
      </c>
      <c r="CV414">
        <v>0</v>
      </c>
      <c r="CW414">
        <v>0</v>
      </c>
      <c r="CX414">
        <v>163.69999999999999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I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G414" t="e">
        <v>#N/A</v>
      </c>
      <c r="FI414" t="e">
        <v>#N/A</v>
      </c>
      <c r="FK414" t="e">
        <v>#N/A</v>
      </c>
      <c r="FM414" t="e">
        <v>#N/A</v>
      </c>
      <c r="FO414" t="e">
        <v>#N/A</v>
      </c>
      <c r="FQ414" t="e">
        <v>#N/A</v>
      </c>
      <c r="FS414" t="e">
        <v>#N/A</v>
      </c>
      <c r="FU414" t="e">
        <v>#N/A</v>
      </c>
      <c r="FW414" t="e">
        <v>#N/A</v>
      </c>
      <c r="FY414" t="e">
        <v>#N/A</v>
      </c>
      <c r="GA414" t="e">
        <v>#N/A</v>
      </c>
      <c r="GC414" t="e">
        <v>#N/A</v>
      </c>
      <c r="GE414" t="e">
        <v>#N/A</v>
      </c>
      <c r="GG414" t="e">
        <v>#N/A</v>
      </c>
      <c r="GI414" t="e">
        <v>#N/A</v>
      </c>
      <c r="GK414" t="e">
        <v>#N/A</v>
      </c>
      <c r="GM414" t="e">
        <v>#N/A</v>
      </c>
      <c r="GO414" t="e">
        <v>#N/A</v>
      </c>
      <c r="GQ414" t="e">
        <v>#N/A</v>
      </c>
      <c r="GS414" t="e">
        <v>#N/A</v>
      </c>
      <c r="GU414" t="e">
        <v>#N/A</v>
      </c>
      <c r="GW414" t="e">
        <v>#N/A</v>
      </c>
      <c r="GY414" t="e">
        <v>#N/A</v>
      </c>
      <c r="HA414" t="e">
        <v>#N/A</v>
      </c>
      <c r="HC414">
        <v>0</v>
      </c>
      <c r="HD414">
        <v>0</v>
      </c>
      <c r="HE414">
        <v>0</v>
      </c>
      <c r="HF414">
        <v>0</v>
      </c>
      <c r="HG414">
        <v>0</v>
      </c>
      <c r="HH414">
        <v>0</v>
      </c>
      <c r="HI414">
        <v>0</v>
      </c>
      <c r="HJ414">
        <v>0</v>
      </c>
      <c r="HM414">
        <v>0</v>
      </c>
      <c r="HN414">
        <v>0</v>
      </c>
      <c r="HO414">
        <v>0</v>
      </c>
      <c r="HP414">
        <v>0</v>
      </c>
      <c r="HQ414">
        <v>0</v>
      </c>
      <c r="HR414">
        <v>0</v>
      </c>
      <c r="HS414">
        <v>0</v>
      </c>
      <c r="HT414">
        <v>0</v>
      </c>
      <c r="HW414">
        <v>0</v>
      </c>
      <c r="HX414">
        <v>0</v>
      </c>
      <c r="HY414">
        <v>0</v>
      </c>
      <c r="HZ414">
        <v>0</v>
      </c>
      <c r="IA414">
        <v>3930.6</v>
      </c>
      <c r="IB414">
        <v>3632.9</v>
      </c>
      <c r="IC414">
        <v>3795.5</v>
      </c>
      <c r="ID414">
        <v>0</v>
      </c>
      <c r="IE414">
        <v>0</v>
      </c>
      <c r="IF414">
        <v>3548.5</v>
      </c>
      <c r="IG414">
        <v>3395.2</v>
      </c>
      <c r="IH414">
        <v>3395.4</v>
      </c>
      <c r="II414">
        <v>3302.3</v>
      </c>
      <c r="IJ414">
        <v>3172.8</v>
      </c>
      <c r="IK414">
        <v>0</v>
      </c>
      <c r="IL414">
        <v>0</v>
      </c>
      <c r="IM414">
        <v>0</v>
      </c>
      <c r="IN414">
        <v>0</v>
      </c>
      <c r="IO414">
        <v>123.4</v>
      </c>
      <c r="IP414">
        <v>405.2</v>
      </c>
      <c r="IQ414">
        <v>418.7</v>
      </c>
      <c r="IR414">
        <v>0</v>
      </c>
      <c r="IS414">
        <v>0</v>
      </c>
      <c r="IT414">
        <v>0</v>
      </c>
      <c r="IU414">
        <v>0</v>
      </c>
      <c r="IV414">
        <v>396</v>
      </c>
      <c r="IW414">
        <v>0</v>
      </c>
      <c r="IX414">
        <v>0</v>
      </c>
      <c r="IZ414">
        <v>0</v>
      </c>
      <c r="JA414">
        <v>65.5</v>
      </c>
      <c r="JB414">
        <v>443.5</v>
      </c>
      <c r="JC414">
        <v>0</v>
      </c>
      <c r="JD414">
        <v>0</v>
      </c>
      <c r="JE414">
        <v>0</v>
      </c>
      <c r="JF414">
        <v>0</v>
      </c>
      <c r="JG414">
        <v>0</v>
      </c>
      <c r="JH414">
        <v>0</v>
      </c>
      <c r="JI414">
        <v>0</v>
      </c>
      <c r="JJ414">
        <v>0</v>
      </c>
      <c r="JK414">
        <v>0</v>
      </c>
      <c r="JL414">
        <v>0</v>
      </c>
      <c r="JM414">
        <v>0</v>
      </c>
      <c r="JN414">
        <v>0</v>
      </c>
      <c r="JO414">
        <v>0</v>
      </c>
      <c r="JP414">
        <v>0</v>
      </c>
      <c r="JQ414">
        <v>0</v>
      </c>
      <c r="JR414">
        <v>0</v>
      </c>
      <c r="JS414">
        <v>0</v>
      </c>
      <c r="JT414">
        <v>0</v>
      </c>
      <c r="JU414">
        <v>0</v>
      </c>
      <c r="JV414">
        <v>0</v>
      </c>
      <c r="JW414">
        <v>0</v>
      </c>
      <c r="JX414">
        <v>0</v>
      </c>
      <c r="JY414">
        <v>0</v>
      </c>
      <c r="JZ414">
        <v>0</v>
      </c>
      <c r="KA414">
        <v>0</v>
      </c>
      <c r="KB414">
        <v>0</v>
      </c>
      <c r="KC414">
        <v>0</v>
      </c>
      <c r="KD414">
        <v>0</v>
      </c>
      <c r="KE414">
        <v>0</v>
      </c>
      <c r="KF414">
        <v>0</v>
      </c>
      <c r="KI414">
        <v>344.6</v>
      </c>
      <c r="KJ414">
        <v>350.8</v>
      </c>
      <c r="KK414">
        <v>22.1</v>
      </c>
      <c r="KL414">
        <v>379.3</v>
      </c>
      <c r="KM414">
        <v>241.4</v>
      </c>
      <c r="KN414">
        <v>0</v>
      </c>
      <c r="KO414">
        <v>0</v>
      </c>
      <c r="KP414">
        <v>57.3</v>
      </c>
      <c r="KQ414">
        <v>224.4</v>
      </c>
      <c r="KR414">
        <v>338.3</v>
      </c>
      <c r="KS414">
        <v>215.8</v>
      </c>
      <c r="KT414">
        <v>40.700000000000003</v>
      </c>
      <c r="KW414">
        <v>2154.5</v>
      </c>
      <c r="KX414">
        <v>1255.7</v>
      </c>
      <c r="KY414">
        <v>1630.1</v>
      </c>
      <c r="KZ414">
        <v>1246.9000000000001</v>
      </c>
      <c r="LB414">
        <v>78.099999999999994</v>
      </c>
      <c r="LC414">
        <v>77.7</v>
      </c>
    </row>
    <row r="415" spans="1:315" ht="18" thickBot="1">
      <c r="A415" s="251"/>
      <c r="B415" s="577"/>
      <c r="C415" s="341"/>
      <c r="D415" s="311"/>
      <c r="E415" s="454">
        <v>0</v>
      </c>
      <c r="F415" s="217">
        <v>0</v>
      </c>
      <c r="G415" s="427">
        <v>3413.8</v>
      </c>
      <c r="H415" s="155"/>
      <c r="I415">
        <v>735</v>
      </c>
      <c r="K415">
        <v>1973.1000000000001</v>
      </c>
      <c r="L415" s="4">
        <v>221.60000000000002</v>
      </c>
      <c r="M415" s="4">
        <v>54.9</v>
      </c>
      <c r="N415" s="4">
        <v>1989.7</v>
      </c>
      <c r="P415">
        <v>0</v>
      </c>
      <c r="Q415">
        <v>238.29999999999998</v>
      </c>
      <c r="R415">
        <v>0</v>
      </c>
      <c r="S415">
        <v>0</v>
      </c>
      <c r="T415">
        <v>368.5</v>
      </c>
      <c r="W415">
        <v>720.3</v>
      </c>
      <c r="X415">
        <v>1411.5</v>
      </c>
      <c r="Y415">
        <v>96.5</v>
      </c>
      <c r="AA415">
        <v>859.6</v>
      </c>
      <c r="AB415">
        <v>1577.6000000000001</v>
      </c>
      <c r="AE415">
        <v>1330</v>
      </c>
      <c r="AF415">
        <v>1025.5</v>
      </c>
      <c r="AH415">
        <v>509.9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1349.3</v>
      </c>
      <c r="AO415">
        <v>786.40000000000009</v>
      </c>
      <c r="AP415">
        <v>0</v>
      </c>
      <c r="AQ415">
        <v>68.3</v>
      </c>
      <c r="AR415">
        <v>234.9</v>
      </c>
      <c r="AS415">
        <v>600.40000000000009</v>
      </c>
      <c r="AU415">
        <v>985.69999999999993</v>
      </c>
      <c r="AW415">
        <v>792</v>
      </c>
      <c r="AX415">
        <v>1988.5</v>
      </c>
      <c r="AZ415">
        <v>763.5</v>
      </c>
      <c r="BA415">
        <v>0</v>
      </c>
      <c r="BB415">
        <v>0</v>
      </c>
      <c r="BC415">
        <v>1935.3</v>
      </c>
      <c r="BD415">
        <v>1006.5</v>
      </c>
      <c r="BE415">
        <v>0</v>
      </c>
      <c r="BF415">
        <v>0</v>
      </c>
      <c r="BG415">
        <v>0</v>
      </c>
      <c r="BH415">
        <v>1662.6</v>
      </c>
      <c r="BJ415">
        <v>0</v>
      </c>
      <c r="BK415">
        <v>0</v>
      </c>
      <c r="BL415">
        <v>1038.9000000000001</v>
      </c>
      <c r="BM415">
        <v>1101</v>
      </c>
      <c r="BO415">
        <v>1276.8000000000002</v>
      </c>
      <c r="BQ415">
        <v>0</v>
      </c>
      <c r="BR415">
        <v>270.7</v>
      </c>
      <c r="BS415">
        <v>230.5</v>
      </c>
      <c r="BT415">
        <v>472.3</v>
      </c>
      <c r="BU415">
        <v>537.29999999999995</v>
      </c>
      <c r="BV415">
        <v>346.3</v>
      </c>
      <c r="BW415">
        <v>386.2</v>
      </c>
      <c r="BX415">
        <v>767</v>
      </c>
      <c r="BY415">
        <v>757.2</v>
      </c>
      <c r="BZ415">
        <v>1037.2</v>
      </c>
      <c r="CA415">
        <v>1227.0999999999999</v>
      </c>
      <c r="CB415">
        <v>1232.0999999999999</v>
      </c>
      <c r="CC415">
        <v>1701.5</v>
      </c>
      <c r="CD415">
        <v>0</v>
      </c>
      <c r="CG415">
        <v>1385.3</v>
      </c>
      <c r="CJ415">
        <v>1630.2999999999997</v>
      </c>
      <c r="CM415">
        <v>1184.2</v>
      </c>
      <c r="CO415">
        <v>1248.0999999999999</v>
      </c>
      <c r="CQ415">
        <v>1435.3</v>
      </c>
      <c r="CR415">
        <v>798.2</v>
      </c>
      <c r="CS415">
        <v>923.8</v>
      </c>
      <c r="CT415">
        <v>0</v>
      </c>
      <c r="CU415">
        <v>0</v>
      </c>
      <c r="CV415">
        <v>0</v>
      </c>
      <c r="CW415">
        <v>0</v>
      </c>
      <c r="CX415">
        <v>163.69999999999999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I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G415" t="e">
        <v>#N/A</v>
      </c>
      <c r="FI415" t="e">
        <v>#N/A</v>
      </c>
      <c r="FK415" t="e">
        <v>#N/A</v>
      </c>
      <c r="FM415" t="e">
        <v>#N/A</v>
      </c>
      <c r="FO415" t="e">
        <v>#N/A</v>
      </c>
      <c r="FQ415" t="e">
        <v>#N/A</v>
      </c>
      <c r="FS415" t="e">
        <v>#N/A</v>
      </c>
      <c r="FU415" t="e">
        <v>#N/A</v>
      </c>
      <c r="FW415" t="e">
        <v>#N/A</v>
      </c>
      <c r="FY415" t="e">
        <v>#N/A</v>
      </c>
      <c r="GA415" t="e">
        <v>#N/A</v>
      </c>
      <c r="GC415" t="e">
        <v>#N/A</v>
      </c>
      <c r="GE415" t="e">
        <v>#N/A</v>
      </c>
      <c r="GG415" t="e">
        <v>#N/A</v>
      </c>
      <c r="GI415" t="e">
        <v>#N/A</v>
      </c>
      <c r="GK415" t="e">
        <v>#N/A</v>
      </c>
      <c r="GM415" t="e">
        <v>#N/A</v>
      </c>
      <c r="GO415" t="e">
        <v>#N/A</v>
      </c>
      <c r="GQ415" t="e">
        <v>#N/A</v>
      </c>
      <c r="GS415" t="e">
        <v>#N/A</v>
      </c>
      <c r="GU415" t="e">
        <v>#N/A</v>
      </c>
      <c r="GW415" t="e">
        <v>#N/A</v>
      </c>
      <c r="GY415" t="e">
        <v>#N/A</v>
      </c>
      <c r="HA415" t="e">
        <v>#N/A</v>
      </c>
      <c r="HC415">
        <v>0</v>
      </c>
      <c r="HD415">
        <v>0</v>
      </c>
      <c r="HE415">
        <v>0</v>
      </c>
      <c r="HF415">
        <v>0</v>
      </c>
      <c r="HG415">
        <v>0</v>
      </c>
      <c r="HH415">
        <v>0</v>
      </c>
      <c r="HI415">
        <v>0</v>
      </c>
      <c r="HJ415">
        <v>0</v>
      </c>
      <c r="HM415">
        <v>0</v>
      </c>
      <c r="HN415">
        <v>0</v>
      </c>
      <c r="HO415">
        <v>0</v>
      </c>
      <c r="HP415">
        <v>0</v>
      </c>
      <c r="HQ415">
        <v>0</v>
      </c>
      <c r="HR415">
        <v>0</v>
      </c>
      <c r="HS415">
        <v>0</v>
      </c>
      <c r="HT415">
        <v>0</v>
      </c>
      <c r="HW415">
        <v>0</v>
      </c>
      <c r="HX415">
        <v>0</v>
      </c>
      <c r="HY415">
        <v>0</v>
      </c>
      <c r="HZ415">
        <v>0</v>
      </c>
      <c r="IA415">
        <v>3930.6</v>
      </c>
      <c r="IB415">
        <v>3632.9</v>
      </c>
      <c r="IC415">
        <v>3795.5</v>
      </c>
      <c r="ID415">
        <v>0</v>
      </c>
      <c r="IE415">
        <v>0</v>
      </c>
      <c r="IF415">
        <v>3548.5</v>
      </c>
      <c r="IG415">
        <v>3395.2</v>
      </c>
      <c r="IH415">
        <v>3395.4</v>
      </c>
      <c r="II415">
        <v>3302.3</v>
      </c>
      <c r="IJ415">
        <v>3172.8</v>
      </c>
      <c r="IK415">
        <v>0</v>
      </c>
      <c r="IL415">
        <v>0</v>
      </c>
      <c r="IM415">
        <v>0</v>
      </c>
      <c r="IN415">
        <v>0</v>
      </c>
      <c r="IO415">
        <v>123.4</v>
      </c>
      <c r="IP415">
        <v>405.2</v>
      </c>
      <c r="IQ415">
        <v>418.7</v>
      </c>
      <c r="IR415">
        <v>0</v>
      </c>
      <c r="IS415">
        <v>0</v>
      </c>
      <c r="IT415">
        <v>0</v>
      </c>
      <c r="IU415">
        <v>0</v>
      </c>
      <c r="IV415">
        <v>396</v>
      </c>
      <c r="IW415">
        <v>0</v>
      </c>
      <c r="IX415">
        <v>0</v>
      </c>
      <c r="IZ415">
        <v>0</v>
      </c>
      <c r="JA415">
        <v>65.5</v>
      </c>
      <c r="JB415">
        <v>443.5</v>
      </c>
      <c r="JC415">
        <v>0</v>
      </c>
      <c r="JD415">
        <v>0</v>
      </c>
      <c r="JE415">
        <v>0</v>
      </c>
      <c r="JF415">
        <v>0</v>
      </c>
      <c r="JG415">
        <v>0</v>
      </c>
      <c r="JH415">
        <v>0</v>
      </c>
      <c r="JI415">
        <v>0</v>
      </c>
      <c r="JJ415">
        <v>0</v>
      </c>
      <c r="JK415">
        <v>0</v>
      </c>
      <c r="JL415">
        <v>0</v>
      </c>
      <c r="JM415">
        <v>0</v>
      </c>
      <c r="JN415">
        <v>0</v>
      </c>
      <c r="JO415">
        <v>0</v>
      </c>
      <c r="JP415">
        <v>0</v>
      </c>
      <c r="JQ415">
        <v>0</v>
      </c>
      <c r="JR415">
        <v>0</v>
      </c>
      <c r="JS415">
        <v>0</v>
      </c>
      <c r="JT415">
        <v>0</v>
      </c>
      <c r="JU415">
        <v>0</v>
      </c>
      <c r="JV415">
        <v>0</v>
      </c>
      <c r="JW415">
        <v>0</v>
      </c>
      <c r="JX415">
        <v>0</v>
      </c>
      <c r="JY415">
        <v>0</v>
      </c>
      <c r="JZ415">
        <v>0</v>
      </c>
      <c r="KA415">
        <v>0</v>
      </c>
      <c r="KB415">
        <v>0</v>
      </c>
      <c r="KC415">
        <v>0</v>
      </c>
      <c r="KD415">
        <v>0</v>
      </c>
      <c r="KE415">
        <v>0</v>
      </c>
      <c r="KF415">
        <v>0</v>
      </c>
      <c r="KI415">
        <v>344.6</v>
      </c>
      <c r="KJ415">
        <v>350.8</v>
      </c>
      <c r="KK415">
        <v>22.1</v>
      </c>
      <c r="KL415">
        <v>379.3</v>
      </c>
      <c r="KM415">
        <v>241.4</v>
      </c>
      <c r="KN415">
        <v>0</v>
      </c>
      <c r="KO415">
        <v>0</v>
      </c>
      <c r="KP415">
        <v>57.3</v>
      </c>
      <c r="KQ415">
        <v>224.4</v>
      </c>
      <c r="KR415">
        <v>338.3</v>
      </c>
      <c r="KS415">
        <v>215.8</v>
      </c>
      <c r="KT415">
        <v>40.700000000000003</v>
      </c>
      <c r="KW415">
        <v>2154.5</v>
      </c>
      <c r="KX415">
        <v>1255.7</v>
      </c>
      <c r="KY415">
        <v>1630.1</v>
      </c>
      <c r="KZ415">
        <v>1246.9000000000001</v>
      </c>
      <c r="LB415">
        <v>78.099999999999994</v>
      </c>
      <c r="LC415">
        <v>77.7</v>
      </c>
    </row>
    <row r="416" spans="1:315" ht="18" thickBot="1">
      <c r="A416" s="243"/>
      <c r="B416" s="572" t="s">
        <v>390</v>
      </c>
      <c r="C416" s="341" t="s">
        <v>875</v>
      </c>
      <c r="D416" s="311" t="s">
        <v>702</v>
      </c>
      <c r="E416" s="454">
        <v>0</v>
      </c>
      <c r="F416" s="234">
        <v>0</v>
      </c>
      <c r="G416" s="427">
        <v>3413.8</v>
      </c>
      <c r="H416" s="155"/>
      <c r="I416">
        <v>735</v>
      </c>
      <c r="K416">
        <v>1973.1000000000001</v>
      </c>
      <c r="L416" s="4">
        <v>221.60000000000002</v>
      </c>
      <c r="M416" s="4">
        <v>54.9</v>
      </c>
      <c r="N416" s="4">
        <v>1989.7</v>
      </c>
      <c r="P416">
        <v>0</v>
      </c>
      <c r="Q416">
        <v>238.29999999999998</v>
      </c>
      <c r="R416">
        <v>0</v>
      </c>
      <c r="S416">
        <v>0</v>
      </c>
      <c r="T416">
        <v>368.5</v>
      </c>
      <c r="W416">
        <v>720.3</v>
      </c>
      <c r="X416">
        <v>1411.5</v>
      </c>
      <c r="Y416">
        <v>96.5</v>
      </c>
      <c r="AA416">
        <v>859.6</v>
      </c>
      <c r="AB416">
        <v>1577.6000000000001</v>
      </c>
      <c r="AE416">
        <v>1330</v>
      </c>
      <c r="AF416">
        <v>1025.5</v>
      </c>
      <c r="AH416">
        <v>509.9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1349.3</v>
      </c>
      <c r="AO416">
        <v>786.40000000000009</v>
      </c>
      <c r="AP416">
        <v>0</v>
      </c>
      <c r="AQ416">
        <v>68.3</v>
      </c>
      <c r="AR416">
        <v>234.9</v>
      </c>
      <c r="AS416">
        <v>600.40000000000009</v>
      </c>
      <c r="AU416">
        <v>985.69999999999993</v>
      </c>
      <c r="AW416">
        <v>792</v>
      </c>
      <c r="AX416">
        <v>1988.5</v>
      </c>
      <c r="AZ416">
        <v>763.5</v>
      </c>
      <c r="BA416">
        <v>0</v>
      </c>
      <c r="BB416">
        <v>0</v>
      </c>
      <c r="BC416">
        <v>1935.3</v>
      </c>
      <c r="BD416">
        <v>1006.5</v>
      </c>
      <c r="BE416">
        <v>0</v>
      </c>
      <c r="BF416">
        <v>0</v>
      </c>
      <c r="BG416">
        <v>0</v>
      </c>
      <c r="BH416">
        <v>1662.6</v>
      </c>
      <c r="BJ416">
        <v>0</v>
      </c>
      <c r="BK416">
        <v>0</v>
      </c>
      <c r="BL416">
        <v>1038.9000000000001</v>
      </c>
      <c r="BM416">
        <v>1101</v>
      </c>
      <c r="BO416">
        <v>1276.8000000000002</v>
      </c>
      <c r="BQ416">
        <v>0</v>
      </c>
      <c r="BR416">
        <v>270.7</v>
      </c>
      <c r="BS416">
        <v>230.5</v>
      </c>
      <c r="BT416">
        <v>472.3</v>
      </c>
      <c r="BU416">
        <v>537.29999999999995</v>
      </c>
      <c r="BV416">
        <v>346.3</v>
      </c>
      <c r="BW416">
        <v>386.2</v>
      </c>
      <c r="BX416">
        <v>767</v>
      </c>
      <c r="BY416">
        <v>757.2</v>
      </c>
      <c r="BZ416">
        <v>1037.2</v>
      </c>
      <c r="CA416">
        <v>1227.0999999999999</v>
      </c>
      <c r="CB416">
        <v>1232.0999999999999</v>
      </c>
      <c r="CC416">
        <v>1701.5</v>
      </c>
      <c r="CD416">
        <v>0</v>
      </c>
      <c r="CG416">
        <v>1385.3</v>
      </c>
      <c r="CJ416">
        <v>1630.2999999999997</v>
      </c>
      <c r="CM416">
        <v>1184.2</v>
      </c>
      <c r="CO416">
        <v>1248.0999999999999</v>
      </c>
      <c r="CQ416">
        <v>1435.3</v>
      </c>
      <c r="CR416">
        <v>798.2</v>
      </c>
      <c r="CS416">
        <v>923.8</v>
      </c>
      <c r="CT416">
        <v>0</v>
      </c>
      <c r="CU416">
        <v>0</v>
      </c>
      <c r="CV416">
        <v>0</v>
      </c>
      <c r="CW416">
        <v>0</v>
      </c>
      <c r="CX416">
        <v>163.69999999999999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I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G416" t="e">
        <v>#N/A</v>
      </c>
      <c r="FI416" t="e">
        <v>#N/A</v>
      </c>
      <c r="FK416" t="e">
        <v>#N/A</v>
      </c>
      <c r="FM416" t="e">
        <v>#N/A</v>
      </c>
      <c r="FO416" t="e">
        <v>#N/A</v>
      </c>
      <c r="FQ416" t="e">
        <v>#N/A</v>
      </c>
      <c r="FS416" t="e">
        <v>#N/A</v>
      </c>
      <c r="FU416" t="e">
        <v>#N/A</v>
      </c>
      <c r="FW416" t="e">
        <v>#N/A</v>
      </c>
      <c r="FY416" t="e">
        <v>#N/A</v>
      </c>
      <c r="GA416" t="e">
        <v>#N/A</v>
      </c>
      <c r="GC416" t="e">
        <v>#N/A</v>
      </c>
      <c r="GE416" t="e">
        <v>#N/A</v>
      </c>
      <c r="GG416" t="e">
        <v>#N/A</v>
      </c>
      <c r="GI416" t="e">
        <v>#N/A</v>
      </c>
      <c r="GK416" t="e">
        <v>#N/A</v>
      </c>
      <c r="GM416" t="e">
        <v>#N/A</v>
      </c>
      <c r="GO416" t="e">
        <v>#N/A</v>
      </c>
      <c r="GQ416" t="e">
        <v>#N/A</v>
      </c>
      <c r="GS416" t="e">
        <v>#N/A</v>
      </c>
      <c r="GU416" t="e">
        <v>#N/A</v>
      </c>
      <c r="GW416" t="e">
        <v>#N/A</v>
      </c>
      <c r="GY416" t="e">
        <v>#N/A</v>
      </c>
      <c r="HA416" t="e">
        <v>#N/A</v>
      </c>
      <c r="HC416">
        <v>0</v>
      </c>
      <c r="HD416">
        <v>0</v>
      </c>
      <c r="HE416">
        <v>0</v>
      </c>
      <c r="HF416">
        <v>0</v>
      </c>
      <c r="HG416">
        <v>0</v>
      </c>
      <c r="HH416">
        <v>0</v>
      </c>
      <c r="HI416">
        <v>0</v>
      </c>
      <c r="HJ416">
        <v>0</v>
      </c>
      <c r="HM416">
        <v>0</v>
      </c>
      <c r="HN416">
        <v>0</v>
      </c>
      <c r="HO416">
        <v>0</v>
      </c>
      <c r="HP416">
        <v>0</v>
      </c>
      <c r="HQ416">
        <v>0</v>
      </c>
      <c r="HR416">
        <v>0</v>
      </c>
      <c r="HS416">
        <v>0</v>
      </c>
      <c r="HT416">
        <v>0</v>
      </c>
      <c r="HW416">
        <v>0</v>
      </c>
      <c r="HX416">
        <v>0</v>
      </c>
      <c r="HY416">
        <v>0</v>
      </c>
      <c r="HZ416">
        <v>0</v>
      </c>
      <c r="IA416">
        <v>3930.6</v>
      </c>
      <c r="IB416">
        <v>3632.9</v>
      </c>
      <c r="IC416">
        <v>3795.5</v>
      </c>
      <c r="ID416">
        <v>0</v>
      </c>
      <c r="IE416">
        <v>0</v>
      </c>
      <c r="IF416">
        <v>3548.5</v>
      </c>
      <c r="IG416">
        <v>3395.2</v>
      </c>
      <c r="IH416">
        <v>3395.4</v>
      </c>
      <c r="II416">
        <v>3302.3</v>
      </c>
      <c r="IJ416">
        <v>3172.8</v>
      </c>
      <c r="IK416">
        <v>0</v>
      </c>
      <c r="IL416">
        <v>0</v>
      </c>
      <c r="IM416">
        <v>0</v>
      </c>
      <c r="IN416">
        <v>0</v>
      </c>
      <c r="IO416">
        <v>123.4</v>
      </c>
      <c r="IP416">
        <v>405.2</v>
      </c>
      <c r="IQ416">
        <v>418.7</v>
      </c>
      <c r="IR416">
        <v>0</v>
      </c>
      <c r="IS416">
        <v>0</v>
      </c>
      <c r="IT416">
        <v>0</v>
      </c>
      <c r="IU416">
        <v>0</v>
      </c>
      <c r="IV416">
        <v>396</v>
      </c>
      <c r="IW416">
        <v>0</v>
      </c>
      <c r="IX416">
        <v>0</v>
      </c>
      <c r="IZ416">
        <v>0</v>
      </c>
      <c r="JA416">
        <v>65.5</v>
      </c>
      <c r="JB416">
        <v>443.5</v>
      </c>
      <c r="JC416">
        <v>0</v>
      </c>
      <c r="JD416">
        <v>0</v>
      </c>
      <c r="JE416">
        <v>0</v>
      </c>
      <c r="JF416">
        <v>0</v>
      </c>
      <c r="JG416">
        <v>0</v>
      </c>
      <c r="JH416">
        <v>0</v>
      </c>
      <c r="JI416">
        <v>0</v>
      </c>
      <c r="JJ416">
        <v>0</v>
      </c>
      <c r="JK416">
        <v>0</v>
      </c>
      <c r="JL416">
        <v>0</v>
      </c>
      <c r="JM416">
        <v>0</v>
      </c>
      <c r="JN416">
        <v>0</v>
      </c>
      <c r="JO416">
        <v>0</v>
      </c>
      <c r="JP416">
        <v>0</v>
      </c>
      <c r="JQ416">
        <v>0</v>
      </c>
      <c r="JR416">
        <v>0</v>
      </c>
      <c r="JS416">
        <v>0</v>
      </c>
      <c r="JT416">
        <v>0</v>
      </c>
      <c r="JU416">
        <v>0</v>
      </c>
      <c r="JV416">
        <v>0</v>
      </c>
      <c r="JW416">
        <v>0</v>
      </c>
      <c r="JX416">
        <v>0</v>
      </c>
      <c r="JY416">
        <v>0</v>
      </c>
      <c r="JZ416">
        <v>0</v>
      </c>
      <c r="KA416">
        <v>0</v>
      </c>
      <c r="KB416">
        <v>0</v>
      </c>
      <c r="KC416">
        <v>0</v>
      </c>
      <c r="KD416">
        <v>0</v>
      </c>
      <c r="KE416">
        <v>0</v>
      </c>
      <c r="KF416">
        <v>0</v>
      </c>
      <c r="KI416">
        <v>344.6</v>
      </c>
      <c r="KJ416">
        <v>350.8</v>
      </c>
      <c r="KK416">
        <v>22.1</v>
      </c>
      <c r="KL416">
        <v>379.3</v>
      </c>
      <c r="KM416">
        <v>241.4</v>
      </c>
      <c r="KN416">
        <v>0</v>
      </c>
      <c r="KO416">
        <v>0</v>
      </c>
      <c r="KP416">
        <v>57.3</v>
      </c>
      <c r="KQ416">
        <v>224.4</v>
      </c>
      <c r="KR416">
        <v>338.3</v>
      </c>
      <c r="KS416">
        <v>215.8</v>
      </c>
      <c r="KT416">
        <v>40.700000000000003</v>
      </c>
      <c r="KW416">
        <v>2154.5</v>
      </c>
      <c r="KX416">
        <v>1255.7</v>
      </c>
      <c r="KY416">
        <v>1630.1</v>
      </c>
      <c r="KZ416">
        <v>1246.9000000000001</v>
      </c>
      <c r="LB416">
        <v>78.099999999999994</v>
      </c>
      <c r="LC416">
        <v>77.7</v>
      </c>
    </row>
    <row r="417" spans="1:315" ht="18" thickBot="1">
      <c r="A417" s="243"/>
      <c r="B417" s="572"/>
      <c r="C417" s="343"/>
      <c r="D417" s="311"/>
      <c r="E417" s="454">
        <v>0</v>
      </c>
      <c r="F417" s="235">
        <v>0</v>
      </c>
      <c r="G417" s="427">
        <v>3413.8</v>
      </c>
      <c r="H417" s="155"/>
      <c r="I417">
        <v>735</v>
      </c>
      <c r="K417">
        <v>1973.1000000000001</v>
      </c>
      <c r="L417" s="4">
        <v>221.60000000000002</v>
      </c>
      <c r="M417" s="4">
        <v>54.9</v>
      </c>
      <c r="N417" s="4">
        <v>1989.7</v>
      </c>
      <c r="P417">
        <v>0</v>
      </c>
      <c r="Q417">
        <v>238.29999999999998</v>
      </c>
      <c r="R417">
        <v>0</v>
      </c>
      <c r="S417">
        <v>0</v>
      </c>
      <c r="T417">
        <v>368.5</v>
      </c>
      <c r="W417">
        <v>720.3</v>
      </c>
      <c r="X417">
        <v>1411.5</v>
      </c>
      <c r="Y417">
        <v>96.5</v>
      </c>
      <c r="AA417">
        <v>859.6</v>
      </c>
      <c r="AB417">
        <v>1577.6000000000001</v>
      </c>
      <c r="AE417">
        <v>1330</v>
      </c>
      <c r="AF417">
        <v>1025.5</v>
      </c>
      <c r="AH417">
        <v>509.9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1349.3</v>
      </c>
      <c r="AO417">
        <v>786.40000000000009</v>
      </c>
      <c r="AP417">
        <v>0</v>
      </c>
      <c r="AQ417">
        <v>68.3</v>
      </c>
      <c r="AR417">
        <v>234.9</v>
      </c>
      <c r="AS417">
        <v>600.40000000000009</v>
      </c>
      <c r="AU417">
        <v>985.69999999999993</v>
      </c>
      <c r="AW417">
        <v>792</v>
      </c>
      <c r="AX417">
        <v>1988.5</v>
      </c>
      <c r="AZ417">
        <v>763.5</v>
      </c>
      <c r="BA417">
        <v>0</v>
      </c>
      <c r="BB417">
        <v>0</v>
      </c>
      <c r="BC417">
        <v>1935.3</v>
      </c>
      <c r="BD417">
        <v>1006.5</v>
      </c>
      <c r="BE417">
        <v>0</v>
      </c>
      <c r="BF417">
        <v>0</v>
      </c>
      <c r="BG417">
        <v>0</v>
      </c>
      <c r="BH417">
        <v>1662.6</v>
      </c>
      <c r="BJ417">
        <v>0</v>
      </c>
      <c r="BK417">
        <v>0</v>
      </c>
      <c r="BL417">
        <v>1038.9000000000001</v>
      </c>
      <c r="BM417">
        <v>1101</v>
      </c>
      <c r="BO417">
        <v>1276.8000000000002</v>
      </c>
      <c r="BQ417">
        <v>0</v>
      </c>
      <c r="BR417">
        <v>270.7</v>
      </c>
      <c r="BS417">
        <v>230.5</v>
      </c>
      <c r="BT417">
        <v>472.3</v>
      </c>
      <c r="BU417">
        <v>537.29999999999995</v>
      </c>
      <c r="BV417">
        <v>346.3</v>
      </c>
      <c r="BW417">
        <v>386.2</v>
      </c>
      <c r="BX417">
        <v>767</v>
      </c>
      <c r="BY417">
        <v>757.2</v>
      </c>
      <c r="BZ417">
        <v>1037.2</v>
      </c>
      <c r="CA417">
        <v>1227.0999999999999</v>
      </c>
      <c r="CB417">
        <v>1232.0999999999999</v>
      </c>
      <c r="CC417">
        <v>1701.5</v>
      </c>
      <c r="CD417">
        <v>0</v>
      </c>
      <c r="CG417">
        <v>1385.3</v>
      </c>
      <c r="CJ417">
        <v>1630.2999999999997</v>
      </c>
      <c r="CM417">
        <v>1184.2</v>
      </c>
      <c r="CO417">
        <v>1248.0999999999999</v>
      </c>
      <c r="CQ417">
        <v>1435.3</v>
      </c>
      <c r="CR417">
        <v>798.2</v>
      </c>
      <c r="CS417">
        <v>923.8</v>
      </c>
      <c r="CT417">
        <v>0</v>
      </c>
      <c r="CU417">
        <v>0</v>
      </c>
      <c r="CV417">
        <v>0</v>
      </c>
      <c r="CW417">
        <v>0</v>
      </c>
      <c r="CX417">
        <v>163.69999999999999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I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  <c r="EJ417">
        <v>0</v>
      </c>
      <c r="EM417">
        <v>0</v>
      </c>
      <c r="EN417">
        <v>0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0</v>
      </c>
      <c r="FG417" t="e">
        <v>#N/A</v>
      </c>
      <c r="FI417" t="e">
        <v>#N/A</v>
      </c>
      <c r="FK417" t="e">
        <v>#N/A</v>
      </c>
      <c r="FM417" t="e">
        <v>#N/A</v>
      </c>
      <c r="FO417" t="e">
        <v>#N/A</v>
      </c>
      <c r="FQ417" t="e">
        <v>#N/A</v>
      </c>
      <c r="FS417" t="e">
        <v>#N/A</v>
      </c>
      <c r="FU417" t="e">
        <v>#N/A</v>
      </c>
      <c r="FW417" t="e">
        <v>#N/A</v>
      </c>
      <c r="FY417" t="e">
        <v>#N/A</v>
      </c>
      <c r="GA417" t="e">
        <v>#N/A</v>
      </c>
      <c r="GC417" t="e">
        <v>#N/A</v>
      </c>
      <c r="GE417" t="e">
        <v>#N/A</v>
      </c>
      <c r="GG417" t="e">
        <v>#N/A</v>
      </c>
      <c r="GI417" t="e">
        <v>#N/A</v>
      </c>
      <c r="GK417" t="e">
        <v>#N/A</v>
      </c>
      <c r="GM417" t="e">
        <v>#N/A</v>
      </c>
      <c r="GO417" t="e">
        <v>#N/A</v>
      </c>
      <c r="GQ417" t="e">
        <v>#N/A</v>
      </c>
      <c r="GS417" t="e">
        <v>#N/A</v>
      </c>
      <c r="GU417" t="e">
        <v>#N/A</v>
      </c>
      <c r="GW417" t="e">
        <v>#N/A</v>
      </c>
      <c r="GY417" t="e">
        <v>#N/A</v>
      </c>
      <c r="HA417" t="e">
        <v>#N/A</v>
      </c>
      <c r="HC417">
        <v>0</v>
      </c>
      <c r="HD417">
        <v>0</v>
      </c>
      <c r="HE417">
        <v>0</v>
      </c>
      <c r="HF417">
        <v>0</v>
      </c>
      <c r="HG417">
        <v>0</v>
      </c>
      <c r="HH417">
        <v>0</v>
      </c>
      <c r="HI417">
        <v>0</v>
      </c>
      <c r="HJ417">
        <v>0</v>
      </c>
      <c r="HM417">
        <v>0</v>
      </c>
      <c r="HN417">
        <v>0</v>
      </c>
      <c r="HO417">
        <v>0</v>
      </c>
      <c r="HP417">
        <v>0</v>
      </c>
      <c r="HQ417">
        <v>0</v>
      </c>
      <c r="HR417">
        <v>0</v>
      </c>
      <c r="HS417">
        <v>0</v>
      </c>
      <c r="HT417">
        <v>0</v>
      </c>
      <c r="HW417">
        <v>0</v>
      </c>
      <c r="HX417">
        <v>0</v>
      </c>
      <c r="HY417">
        <v>0</v>
      </c>
      <c r="HZ417">
        <v>0</v>
      </c>
      <c r="IA417">
        <v>3930.6</v>
      </c>
      <c r="IB417">
        <v>3632.9</v>
      </c>
      <c r="IC417">
        <v>3795.5</v>
      </c>
      <c r="ID417">
        <v>0</v>
      </c>
      <c r="IE417">
        <v>0</v>
      </c>
      <c r="IF417">
        <v>3548.5</v>
      </c>
      <c r="IG417">
        <v>3395.2</v>
      </c>
      <c r="IH417">
        <v>3395.4</v>
      </c>
      <c r="II417">
        <v>3302.3</v>
      </c>
      <c r="IJ417">
        <v>3172.8</v>
      </c>
      <c r="IK417">
        <v>0</v>
      </c>
      <c r="IL417">
        <v>0</v>
      </c>
      <c r="IM417">
        <v>0</v>
      </c>
      <c r="IN417">
        <v>0</v>
      </c>
      <c r="IO417">
        <v>123.4</v>
      </c>
      <c r="IP417">
        <v>405.2</v>
      </c>
      <c r="IQ417">
        <v>418.7</v>
      </c>
      <c r="IR417">
        <v>0</v>
      </c>
      <c r="IS417">
        <v>0</v>
      </c>
      <c r="IT417">
        <v>0</v>
      </c>
      <c r="IU417">
        <v>0</v>
      </c>
      <c r="IV417">
        <v>396</v>
      </c>
      <c r="IW417">
        <v>0</v>
      </c>
      <c r="IX417">
        <v>0</v>
      </c>
      <c r="IZ417">
        <v>0</v>
      </c>
      <c r="JA417">
        <v>65.5</v>
      </c>
      <c r="JB417">
        <v>443.5</v>
      </c>
      <c r="JC417">
        <v>0</v>
      </c>
      <c r="JD417">
        <v>0</v>
      </c>
      <c r="JE417">
        <v>0</v>
      </c>
      <c r="JF417">
        <v>0</v>
      </c>
      <c r="JG417">
        <v>0</v>
      </c>
      <c r="JH417">
        <v>0</v>
      </c>
      <c r="JI417">
        <v>0</v>
      </c>
      <c r="JJ417">
        <v>0</v>
      </c>
      <c r="JK417">
        <v>0</v>
      </c>
      <c r="JL417">
        <v>0</v>
      </c>
      <c r="JM417">
        <v>0</v>
      </c>
      <c r="JN417">
        <v>0</v>
      </c>
      <c r="JO417">
        <v>0</v>
      </c>
      <c r="JP417">
        <v>0</v>
      </c>
      <c r="JQ417">
        <v>0</v>
      </c>
      <c r="JR417">
        <v>0</v>
      </c>
      <c r="JS417">
        <v>0</v>
      </c>
      <c r="JT417">
        <v>0</v>
      </c>
      <c r="JU417">
        <v>0</v>
      </c>
      <c r="JV417">
        <v>0</v>
      </c>
      <c r="JW417">
        <v>0</v>
      </c>
      <c r="JX417">
        <v>0</v>
      </c>
      <c r="JY417">
        <v>0</v>
      </c>
      <c r="JZ417">
        <v>0</v>
      </c>
      <c r="KA417">
        <v>0</v>
      </c>
      <c r="KB417">
        <v>0</v>
      </c>
      <c r="KC417">
        <v>0</v>
      </c>
      <c r="KD417">
        <v>0</v>
      </c>
      <c r="KE417">
        <v>0</v>
      </c>
      <c r="KF417">
        <v>0</v>
      </c>
      <c r="KI417">
        <v>344.6</v>
      </c>
      <c r="KJ417">
        <v>350.8</v>
      </c>
      <c r="KK417">
        <v>22.1</v>
      </c>
      <c r="KL417">
        <v>379.3</v>
      </c>
      <c r="KM417">
        <v>241.4</v>
      </c>
      <c r="KN417">
        <v>0</v>
      </c>
      <c r="KO417">
        <v>0</v>
      </c>
      <c r="KP417">
        <v>57.3</v>
      </c>
      <c r="KQ417">
        <v>224.4</v>
      </c>
      <c r="KR417">
        <v>338.3</v>
      </c>
      <c r="KS417">
        <v>215.8</v>
      </c>
      <c r="KT417">
        <v>40.700000000000003</v>
      </c>
      <c r="KW417">
        <v>2154.5</v>
      </c>
      <c r="KX417">
        <v>1255.7</v>
      </c>
      <c r="KY417">
        <v>1630.1</v>
      </c>
      <c r="KZ417">
        <v>1246.9000000000001</v>
      </c>
      <c r="LB417">
        <v>78.099999999999994</v>
      </c>
      <c r="LC417">
        <v>77.7</v>
      </c>
    </row>
    <row r="418" spans="1:315" ht="35.4" thickBot="1">
      <c r="A418" s="243"/>
      <c r="B418" s="572" t="s">
        <v>391</v>
      </c>
      <c r="C418" s="341" t="s">
        <v>876</v>
      </c>
      <c r="D418" s="311" t="s">
        <v>702</v>
      </c>
      <c r="E418" s="454">
        <v>0</v>
      </c>
      <c r="F418" s="213">
        <v>0</v>
      </c>
      <c r="G418" s="427">
        <v>3413.8</v>
      </c>
      <c r="H418" s="155"/>
      <c r="I418">
        <v>735</v>
      </c>
      <c r="K418">
        <v>1973.1000000000001</v>
      </c>
      <c r="L418" s="4">
        <v>221.60000000000002</v>
      </c>
      <c r="M418" s="4">
        <v>54.9</v>
      </c>
      <c r="N418" s="4">
        <v>1989.7</v>
      </c>
      <c r="P418">
        <v>0</v>
      </c>
      <c r="Q418">
        <v>238.29999999999998</v>
      </c>
      <c r="R418">
        <v>0</v>
      </c>
      <c r="S418">
        <v>0</v>
      </c>
      <c r="T418">
        <v>368.5</v>
      </c>
      <c r="W418">
        <v>720.3</v>
      </c>
      <c r="X418">
        <v>1411.5</v>
      </c>
      <c r="Y418">
        <v>96.5</v>
      </c>
      <c r="AA418">
        <v>859.6</v>
      </c>
      <c r="AB418">
        <v>1577.6000000000001</v>
      </c>
      <c r="AE418">
        <v>1330</v>
      </c>
      <c r="AF418">
        <v>1025.5</v>
      </c>
      <c r="AH418">
        <v>509.9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1349.3</v>
      </c>
      <c r="AO418">
        <v>786.40000000000009</v>
      </c>
      <c r="AP418">
        <v>0</v>
      </c>
      <c r="AQ418">
        <v>68.3</v>
      </c>
      <c r="AR418">
        <v>234.9</v>
      </c>
      <c r="AS418">
        <v>600.40000000000009</v>
      </c>
      <c r="AU418">
        <v>985.69999999999993</v>
      </c>
      <c r="AW418">
        <v>792</v>
      </c>
      <c r="AX418">
        <v>1988.5</v>
      </c>
      <c r="AZ418">
        <v>763.5</v>
      </c>
      <c r="BA418">
        <v>0</v>
      </c>
      <c r="BB418">
        <v>0</v>
      </c>
      <c r="BC418">
        <v>1935.3</v>
      </c>
      <c r="BD418">
        <v>1006.5</v>
      </c>
      <c r="BE418">
        <v>0</v>
      </c>
      <c r="BF418">
        <v>0</v>
      </c>
      <c r="BG418">
        <v>0</v>
      </c>
      <c r="BH418">
        <v>1662.6</v>
      </c>
      <c r="BJ418">
        <v>0</v>
      </c>
      <c r="BK418">
        <v>0</v>
      </c>
      <c r="BL418">
        <v>1038.9000000000001</v>
      </c>
      <c r="BM418">
        <v>1101</v>
      </c>
      <c r="BO418">
        <v>1276.8000000000002</v>
      </c>
      <c r="BQ418">
        <v>0</v>
      </c>
      <c r="BR418">
        <v>270.7</v>
      </c>
      <c r="BS418">
        <v>230.5</v>
      </c>
      <c r="BT418">
        <v>472.3</v>
      </c>
      <c r="BU418">
        <v>537.29999999999995</v>
      </c>
      <c r="BV418">
        <v>346.3</v>
      </c>
      <c r="BW418">
        <v>386.2</v>
      </c>
      <c r="BX418">
        <v>767</v>
      </c>
      <c r="BY418">
        <v>757.2</v>
      </c>
      <c r="BZ418">
        <v>1037.2</v>
      </c>
      <c r="CA418">
        <v>1227.0999999999999</v>
      </c>
      <c r="CB418">
        <v>1232.0999999999999</v>
      </c>
      <c r="CC418">
        <v>1701.5</v>
      </c>
      <c r="CD418">
        <v>0</v>
      </c>
      <c r="CG418">
        <v>1385.3</v>
      </c>
      <c r="CJ418">
        <v>1630.2999999999997</v>
      </c>
      <c r="CM418">
        <v>1184.2</v>
      </c>
      <c r="CO418">
        <v>1248.0999999999999</v>
      </c>
      <c r="CQ418">
        <v>1435.3</v>
      </c>
      <c r="CR418">
        <v>798.2</v>
      </c>
      <c r="CS418">
        <v>923.8</v>
      </c>
      <c r="CT418">
        <v>0</v>
      </c>
      <c r="CU418">
        <v>0</v>
      </c>
      <c r="CV418">
        <v>0</v>
      </c>
      <c r="CW418">
        <v>0</v>
      </c>
      <c r="CX418">
        <v>163.69999999999999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I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G418" t="e">
        <v>#N/A</v>
      </c>
      <c r="FI418" t="e">
        <v>#N/A</v>
      </c>
      <c r="FK418" t="e">
        <v>#N/A</v>
      </c>
      <c r="FM418" t="e">
        <v>#N/A</v>
      </c>
      <c r="FO418" t="e">
        <v>#N/A</v>
      </c>
      <c r="FQ418" t="e">
        <v>#N/A</v>
      </c>
      <c r="FS418" t="e">
        <v>#N/A</v>
      </c>
      <c r="FU418" t="e">
        <v>#N/A</v>
      </c>
      <c r="FW418" t="e">
        <v>#N/A</v>
      </c>
      <c r="FY418" t="e">
        <v>#N/A</v>
      </c>
      <c r="GA418" t="e">
        <v>#N/A</v>
      </c>
      <c r="GC418" t="e">
        <v>#N/A</v>
      </c>
      <c r="GE418" t="e">
        <v>#N/A</v>
      </c>
      <c r="GG418" t="e">
        <v>#N/A</v>
      </c>
      <c r="GI418" t="e">
        <v>#N/A</v>
      </c>
      <c r="GK418" t="e">
        <v>#N/A</v>
      </c>
      <c r="GM418" t="e">
        <v>#N/A</v>
      </c>
      <c r="GO418" t="e">
        <v>#N/A</v>
      </c>
      <c r="GQ418" t="e">
        <v>#N/A</v>
      </c>
      <c r="GS418" t="e">
        <v>#N/A</v>
      </c>
      <c r="GU418" t="e">
        <v>#N/A</v>
      </c>
      <c r="GW418" t="e">
        <v>#N/A</v>
      </c>
      <c r="GY418" t="e">
        <v>#N/A</v>
      </c>
      <c r="HA418" t="e">
        <v>#N/A</v>
      </c>
      <c r="HC418">
        <v>0</v>
      </c>
      <c r="HD418">
        <v>0</v>
      </c>
      <c r="HE418">
        <v>0</v>
      </c>
      <c r="HF418">
        <v>0</v>
      </c>
      <c r="HG418">
        <v>0</v>
      </c>
      <c r="HH418">
        <v>0</v>
      </c>
      <c r="HI418">
        <v>0</v>
      </c>
      <c r="HJ418">
        <v>0</v>
      </c>
      <c r="HM418">
        <v>0</v>
      </c>
      <c r="HN418">
        <v>0</v>
      </c>
      <c r="HO418">
        <v>0</v>
      </c>
      <c r="HP418">
        <v>0</v>
      </c>
      <c r="HQ418">
        <v>0</v>
      </c>
      <c r="HR418">
        <v>0</v>
      </c>
      <c r="HS418">
        <v>0</v>
      </c>
      <c r="HT418">
        <v>0</v>
      </c>
      <c r="HW418">
        <v>0</v>
      </c>
      <c r="HX418">
        <v>0</v>
      </c>
      <c r="HY418">
        <v>0</v>
      </c>
      <c r="HZ418">
        <v>0</v>
      </c>
      <c r="IA418">
        <v>3930.6</v>
      </c>
      <c r="IB418">
        <v>3632.9</v>
      </c>
      <c r="IC418">
        <v>3795.5</v>
      </c>
      <c r="ID418">
        <v>0</v>
      </c>
      <c r="IE418">
        <v>0</v>
      </c>
      <c r="IF418">
        <v>3548.5</v>
      </c>
      <c r="IG418">
        <v>3395.2</v>
      </c>
      <c r="IH418">
        <v>3395.4</v>
      </c>
      <c r="II418">
        <v>3302.3</v>
      </c>
      <c r="IJ418">
        <v>3172.8</v>
      </c>
      <c r="IK418">
        <v>0</v>
      </c>
      <c r="IL418">
        <v>0</v>
      </c>
      <c r="IM418">
        <v>0</v>
      </c>
      <c r="IN418">
        <v>0</v>
      </c>
      <c r="IO418">
        <v>123.4</v>
      </c>
      <c r="IP418">
        <v>405.2</v>
      </c>
      <c r="IQ418">
        <v>418.7</v>
      </c>
      <c r="IR418">
        <v>0</v>
      </c>
      <c r="IS418">
        <v>0</v>
      </c>
      <c r="IT418">
        <v>0</v>
      </c>
      <c r="IU418">
        <v>0</v>
      </c>
      <c r="IV418">
        <v>396</v>
      </c>
      <c r="IW418">
        <v>0</v>
      </c>
      <c r="IX418">
        <v>0</v>
      </c>
      <c r="IZ418">
        <v>0</v>
      </c>
      <c r="JA418">
        <v>65.5</v>
      </c>
      <c r="JB418">
        <v>443.5</v>
      </c>
      <c r="JC418">
        <v>0</v>
      </c>
      <c r="JD418">
        <v>0</v>
      </c>
      <c r="JE418">
        <v>0</v>
      </c>
      <c r="JF418">
        <v>0</v>
      </c>
      <c r="JG418">
        <v>0</v>
      </c>
      <c r="JH418">
        <v>0</v>
      </c>
      <c r="JI418">
        <v>0</v>
      </c>
      <c r="JJ418">
        <v>0</v>
      </c>
      <c r="JK418">
        <v>0</v>
      </c>
      <c r="JL418">
        <v>0</v>
      </c>
      <c r="JM418">
        <v>0</v>
      </c>
      <c r="JN418">
        <v>0</v>
      </c>
      <c r="JO418">
        <v>0</v>
      </c>
      <c r="JP418">
        <v>0</v>
      </c>
      <c r="JQ418">
        <v>0</v>
      </c>
      <c r="JR418">
        <v>0</v>
      </c>
      <c r="JS418">
        <v>0</v>
      </c>
      <c r="JT418">
        <v>0</v>
      </c>
      <c r="JU418">
        <v>0</v>
      </c>
      <c r="JV418">
        <v>0</v>
      </c>
      <c r="JW418">
        <v>0</v>
      </c>
      <c r="JX418">
        <v>0</v>
      </c>
      <c r="JY418">
        <v>0</v>
      </c>
      <c r="JZ418">
        <v>0</v>
      </c>
      <c r="KA418">
        <v>0</v>
      </c>
      <c r="KB418">
        <v>0</v>
      </c>
      <c r="KC418">
        <v>0</v>
      </c>
      <c r="KD418">
        <v>0</v>
      </c>
      <c r="KE418">
        <v>0</v>
      </c>
      <c r="KF418">
        <v>0</v>
      </c>
      <c r="KI418">
        <v>344.6</v>
      </c>
      <c r="KJ418">
        <v>350.8</v>
      </c>
      <c r="KK418">
        <v>22.1</v>
      </c>
      <c r="KL418">
        <v>379.3</v>
      </c>
      <c r="KM418">
        <v>241.4</v>
      </c>
      <c r="KN418">
        <v>0</v>
      </c>
      <c r="KO418">
        <v>0</v>
      </c>
      <c r="KP418">
        <v>57.3</v>
      </c>
      <c r="KQ418">
        <v>224.4</v>
      </c>
      <c r="KR418">
        <v>338.3</v>
      </c>
      <c r="KS418">
        <v>215.8</v>
      </c>
      <c r="KT418">
        <v>40.700000000000003</v>
      </c>
      <c r="KW418">
        <v>2154.5</v>
      </c>
      <c r="KX418">
        <v>1255.7</v>
      </c>
      <c r="KY418">
        <v>1630.1</v>
      </c>
      <c r="KZ418">
        <v>1246.9000000000001</v>
      </c>
      <c r="LB418">
        <v>78.099999999999994</v>
      </c>
      <c r="LC418">
        <v>77.7</v>
      </c>
    </row>
    <row r="419" spans="1:315" ht="18" thickBot="1">
      <c r="A419" s="243"/>
      <c r="B419" s="572"/>
      <c r="C419" s="343"/>
      <c r="D419" s="311"/>
      <c r="E419" s="454">
        <v>0</v>
      </c>
      <c r="F419" s="215">
        <v>0</v>
      </c>
      <c r="G419" s="427">
        <v>3413.8</v>
      </c>
      <c r="H419" s="155"/>
      <c r="I419">
        <v>735</v>
      </c>
      <c r="K419">
        <v>1973.1000000000001</v>
      </c>
      <c r="L419" s="4">
        <v>221.60000000000002</v>
      </c>
      <c r="M419" s="4">
        <v>54.9</v>
      </c>
      <c r="N419" s="4">
        <v>1989.7</v>
      </c>
      <c r="P419">
        <v>0</v>
      </c>
      <c r="Q419">
        <v>238.29999999999998</v>
      </c>
      <c r="R419">
        <v>0</v>
      </c>
      <c r="S419">
        <v>0</v>
      </c>
      <c r="T419">
        <v>368.5</v>
      </c>
      <c r="W419">
        <v>720.3</v>
      </c>
      <c r="X419">
        <v>1411.5</v>
      </c>
      <c r="Y419">
        <v>96.5</v>
      </c>
      <c r="AA419">
        <v>859.6</v>
      </c>
      <c r="AB419">
        <v>1577.6000000000001</v>
      </c>
      <c r="AE419">
        <v>1330</v>
      </c>
      <c r="AF419">
        <v>1025.5</v>
      </c>
      <c r="AH419">
        <v>509.9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1349.3</v>
      </c>
      <c r="AO419">
        <v>786.40000000000009</v>
      </c>
      <c r="AP419">
        <v>0</v>
      </c>
      <c r="AQ419">
        <v>68.3</v>
      </c>
      <c r="AR419">
        <v>234.9</v>
      </c>
      <c r="AS419">
        <v>600.40000000000009</v>
      </c>
      <c r="AU419">
        <v>985.69999999999993</v>
      </c>
      <c r="AW419">
        <v>792</v>
      </c>
      <c r="AX419">
        <v>1988.5</v>
      </c>
      <c r="AZ419">
        <v>763.5</v>
      </c>
      <c r="BA419">
        <v>0</v>
      </c>
      <c r="BB419">
        <v>0</v>
      </c>
      <c r="BC419">
        <v>1935.3</v>
      </c>
      <c r="BD419">
        <v>1006.5</v>
      </c>
      <c r="BE419">
        <v>0</v>
      </c>
      <c r="BF419">
        <v>0</v>
      </c>
      <c r="BG419">
        <v>0</v>
      </c>
      <c r="BH419">
        <v>1662.6</v>
      </c>
      <c r="BJ419">
        <v>0</v>
      </c>
      <c r="BK419">
        <v>0</v>
      </c>
      <c r="BL419">
        <v>1038.9000000000001</v>
      </c>
      <c r="BM419">
        <v>1101</v>
      </c>
      <c r="BO419">
        <v>1276.8000000000002</v>
      </c>
      <c r="BQ419">
        <v>0</v>
      </c>
      <c r="BR419">
        <v>270.7</v>
      </c>
      <c r="BS419">
        <v>230.5</v>
      </c>
      <c r="BT419">
        <v>472.3</v>
      </c>
      <c r="BU419">
        <v>537.29999999999995</v>
      </c>
      <c r="BV419">
        <v>346.3</v>
      </c>
      <c r="BW419">
        <v>386.2</v>
      </c>
      <c r="BX419">
        <v>767</v>
      </c>
      <c r="BY419">
        <v>757.2</v>
      </c>
      <c r="BZ419">
        <v>1037.2</v>
      </c>
      <c r="CA419">
        <v>1227.0999999999999</v>
      </c>
      <c r="CB419">
        <v>1232.0999999999999</v>
      </c>
      <c r="CC419">
        <v>1701.5</v>
      </c>
      <c r="CD419">
        <v>0</v>
      </c>
      <c r="CG419">
        <v>1385.3</v>
      </c>
      <c r="CJ419">
        <v>1630.2999999999997</v>
      </c>
      <c r="CM419">
        <v>1184.2</v>
      </c>
      <c r="CO419">
        <v>1248.0999999999999</v>
      </c>
      <c r="CQ419">
        <v>1435.3</v>
      </c>
      <c r="CR419">
        <v>798.2</v>
      </c>
      <c r="CS419">
        <v>923.8</v>
      </c>
      <c r="CT419">
        <v>0</v>
      </c>
      <c r="CU419">
        <v>0</v>
      </c>
      <c r="CV419">
        <v>0</v>
      </c>
      <c r="CW419">
        <v>0</v>
      </c>
      <c r="CX419">
        <v>163.69999999999999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I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G419" t="e">
        <v>#N/A</v>
      </c>
      <c r="FI419" t="e">
        <v>#N/A</v>
      </c>
      <c r="FK419" t="e">
        <v>#N/A</v>
      </c>
      <c r="FM419" t="e">
        <v>#N/A</v>
      </c>
      <c r="FO419" t="e">
        <v>#N/A</v>
      </c>
      <c r="FQ419" t="e">
        <v>#N/A</v>
      </c>
      <c r="FS419" t="e">
        <v>#N/A</v>
      </c>
      <c r="FU419" t="e">
        <v>#N/A</v>
      </c>
      <c r="FW419" t="e">
        <v>#N/A</v>
      </c>
      <c r="FY419" t="e">
        <v>#N/A</v>
      </c>
      <c r="GA419" t="e">
        <v>#N/A</v>
      </c>
      <c r="GC419" t="e">
        <v>#N/A</v>
      </c>
      <c r="GE419" t="e">
        <v>#N/A</v>
      </c>
      <c r="GG419" t="e">
        <v>#N/A</v>
      </c>
      <c r="GI419" t="e">
        <v>#N/A</v>
      </c>
      <c r="GK419" t="e">
        <v>#N/A</v>
      </c>
      <c r="GM419" t="e">
        <v>#N/A</v>
      </c>
      <c r="GO419" t="e">
        <v>#N/A</v>
      </c>
      <c r="GQ419" t="e">
        <v>#N/A</v>
      </c>
      <c r="GS419" t="e">
        <v>#N/A</v>
      </c>
      <c r="GU419" t="e">
        <v>#N/A</v>
      </c>
      <c r="GW419" t="e">
        <v>#N/A</v>
      </c>
      <c r="GY419" t="e">
        <v>#N/A</v>
      </c>
      <c r="HA419" t="e">
        <v>#N/A</v>
      </c>
      <c r="HC419">
        <v>0</v>
      </c>
      <c r="HD419">
        <v>0</v>
      </c>
      <c r="HE419">
        <v>0</v>
      </c>
      <c r="HF419">
        <v>0</v>
      </c>
      <c r="HG419">
        <v>0</v>
      </c>
      <c r="HH419">
        <v>0</v>
      </c>
      <c r="HI419">
        <v>0</v>
      </c>
      <c r="HJ419">
        <v>0</v>
      </c>
      <c r="HM419">
        <v>0</v>
      </c>
      <c r="HN419">
        <v>0</v>
      </c>
      <c r="HO419">
        <v>0</v>
      </c>
      <c r="HP419">
        <v>0</v>
      </c>
      <c r="HQ419">
        <v>0</v>
      </c>
      <c r="HR419">
        <v>0</v>
      </c>
      <c r="HS419">
        <v>0</v>
      </c>
      <c r="HT419">
        <v>0</v>
      </c>
      <c r="HW419">
        <v>0</v>
      </c>
      <c r="HX419">
        <v>0</v>
      </c>
      <c r="HY419">
        <v>0</v>
      </c>
      <c r="HZ419">
        <v>0</v>
      </c>
      <c r="IA419">
        <v>3930.6</v>
      </c>
      <c r="IB419">
        <v>3632.9</v>
      </c>
      <c r="IC419">
        <v>3795.5</v>
      </c>
      <c r="ID419">
        <v>0</v>
      </c>
      <c r="IE419">
        <v>0</v>
      </c>
      <c r="IF419">
        <v>3548.5</v>
      </c>
      <c r="IG419">
        <v>3395.2</v>
      </c>
      <c r="IH419">
        <v>3395.4</v>
      </c>
      <c r="II419">
        <v>3302.3</v>
      </c>
      <c r="IJ419">
        <v>3172.8</v>
      </c>
      <c r="IK419">
        <v>0</v>
      </c>
      <c r="IL419">
        <v>0</v>
      </c>
      <c r="IM419">
        <v>0</v>
      </c>
      <c r="IN419">
        <v>0</v>
      </c>
      <c r="IO419">
        <v>123.4</v>
      </c>
      <c r="IP419">
        <v>405.2</v>
      </c>
      <c r="IQ419">
        <v>418.7</v>
      </c>
      <c r="IR419">
        <v>0</v>
      </c>
      <c r="IS419">
        <v>0</v>
      </c>
      <c r="IT419">
        <v>0</v>
      </c>
      <c r="IU419">
        <v>0</v>
      </c>
      <c r="IV419">
        <v>396</v>
      </c>
      <c r="IW419">
        <v>0</v>
      </c>
      <c r="IX419">
        <v>0</v>
      </c>
      <c r="IZ419">
        <v>0</v>
      </c>
      <c r="JA419">
        <v>65.5</v>
      </c>
      <c r="JB419">
        <v>443.5</v>
      </c>
      <c r="JC419">
        <v>0</v>
      </c>
      <c r="JD419">
        <v>0</v>
      </c>
      <c r="JE419">
        <v>0</v>
      </c>
      <c r="JF419">
        <v>0</v>
      </c>
      <c r="JG419">
        <v>0</v>
      </c>
      <c r="JH419">
        <v>0</v>
      </c>
      <c r="JI419">
        <v>0</v>
      </c>
      <c r="JJ419">
        <v>0</v>
      </c>
      <c r="JK419">
        <v>0</v>
      </c>
      <c r="JL419">
        <v>0</v>
      </c>
      <c r="JM419">
        <v>0</v>
      </c>
      <c r="JN419">
        <v>0</v>
      </c>
      <c r="JO419">
        <v>0</v>
      </c>
      <c r="JP419">
        <v>0</v>
      </c>
      <c r="JQ419">
        <v>0</v>
      </c>
      <c r="JR419">
        <v>0</v>
      </c>
      <c r="JS419">
        <v>0</v>
      </c>
      <c r="JT419">
        <v>0</v>
      </c>
      <c r="JU419">
        <v>0</v>
      </c>
      <c r="JV419">
        <v>0</v>
      </c>
      <c r="JW419">
        <v>0</v>
      </c>
      <c r="JX419">
        <v>0</v>
      </c>
      <c r="JY419">
        <v>0</v>
      </c>
      <c r="JZ419">
        <v>0</v>
      </c>
      <c r="KA419">
        <v>0</v>
      </c>
      <c r="KB419">
        <v>0</v>
      </c>
      <c r="KC419">
        <v>0</v>
      </c>
      <c r="KD419">
        <v>0</v>
      </c>
      <c r="KE419">
        <v>0</v>
      </c>
      <c r="KF419">
        <v>0</v>
      </c>
      <c r="KI419">
        <v>344.6</v>
      </c>
      <c r="KJ419">
        <v>350.8</v>
      </c>
      <c r="KK419">
        <v>22.1</v>
      </c>
      <c r="KL419">
        <v>379.3</v>
      </c>
      <c r="KM419">
        <v>241.4</v>
      </c>
      <c r="KN419">
        <v>0</v>
      </c>
      <c r="KO419">
        <v>0</v>
      </c>
      <c r="KP419">
        <v>57.3</v>
      </c>
      <c r="KQ419">
        <v>224.4</v>
      </c>
      <c r="KR419">
        <v>338.3</v>
      </c>
      <c r="KS419">
        <v>215.8</v>
      </c>
      <c r="KT419">
        <v>40.700000000000003</v>
      </c>
      <c r="KW419">
        <v>2154.5</v>
      </c>
      <c r="KX419">
        <v>1255.7</v>
      </c>
      <c r="KY419">
        <v>1630.1</v>
      </c>
      <c r="KZ419">
        <v>1246.9000000000001</v>
      </c>
      <c r="LB419">
        <v>78.099999999999994</v>
      </c>
      <c r="LC419">
        <v>77.7</v>
      </c>
    </row>
    <row r="420" spans="1:315" ht="18" thickBot="1">
      <c r="A420" s="243"/>
      <c r="B420" s="572" t="s">
        <v>392</v>
      </c>
      <c r="C420" s="341" t="s">
        <v>877</v>
      </c>
      <c r="D420" s="311" t="s">
        <v>702</v>
      </c>
      <c r="E420" s="454">
        <v>0</v>
      </c>
      <c r="F420" s="213">
        <v>0</v>
      </c>
      <c r="G420" s="427">
        <v>3413.8</v>
      </c>
      <c r="H420" s="155"/>
      <c r="I420">
        <v>735</v>
      </c>
      <c r="K420">
        <v>1973.1000000000001</v>
      </c>
      <c r="L420" s="4">
        <v>221.60000000000002</v>
      </c>
      <c r="M420" s="4">
        <v>54.9</v>
      </c>
      <c r="N420" s="4">
        <v>1989.7</v>
      </c>
      <c r="P420">
        <v>0</v>
      </c>
      <c r="Q420">
        <v>238.29999999999998</v>
      </c>
      <c r="R420">
        <v>0</v>
      </c>
      <c r="S420">
        <v>0</v>
      </c>
      <c r="T420">
        <v>368.5</v>
      </c>
      <c r="W420">
        <v>720.3</v>
      </c>
      <c r="X420">
        <v>1411.5</v>
      </c>
      <c r="Y420">
        <v>96.5</v>
      </c>
      <c r="AA420">
        <v>859.6</v>
      </c>
      <c r="AB420">
        <v>1577.6000000000001</v>
      </c>
      <c r="AE420">
        <v>1330</v>
      </c>
      <c r="AF420">
        <v>1025.5</v>
      </c>
      <c r="AH420">
        <v>509.9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1349.3</v>
      </c>
      <c r="AO420">
        <v>786.40000000000009</v>
      </c>
      <c r="AP420">
        <v>0</v>
      </c>
      <c r="AQ420">
        <v>68.3</v>
      </c>
      <c r="AR420">
        <v>234.9</v>
      </c>
      <c r="AS420">
        <v>600.40000000000009</v>
      </c>
      <c r="AU420">
        <v>985.69999999999993</v>
      </c>
      <c r="AW420">
        <v>792</v>
      </c>
      <c r="AX420">
        <v>1988.5</v>
      </c>
      <c r="AZ420">
        <v>763.5</v>
      </c>
      <c r="BA420">
        <v>0</v>
      </c>
      <c r="BB420">
        <v>0</v>
      </c>
      <c r="BC420">
        <v>1935.3</v>
      </c>
      <c r="BD420">
        <v>1006.5</v>
      </c>
      <c r="BE420">
        <v>0</v>
      </c>
      <c r="BF420">
        <v>0</v>
      </c>
      <c r="BG420">
        <v>0</v>
      </c>
      <c r="BH420">
        <v>1662.6</v>
      </c>
      <c r="BJ420">
        <v>0</v>
      </c>
      <c r="BK420">
        <v>0</v>
      </c>
      <c r="BL420">
        <v>1038.9000000000001</v>
      </c>
      <c r="BM420">
        <v>1101</v>
      </c>
      <c r="BO420">
        <v>1276.8000000000002</v>
      </c>
      <c r="BQ420">
        <v>0</v>
      </c>
      <c r="BR420">
        <v>270.7</v>
      </c>
      <c r="BS420">
        <v>230.5</v>
      </c>
      <c r="BT420">
        <v>472.3</v>
      </c>
      <c r="BU420">
        <v>537.29999999999995</v>
      </c>
      <c r="BV420">
        <v>346.3</v>
      </c>
      <c r="BW420">
        <v>386.2</v>
      </c>
      <c r="BX420">
        <v>767</v>
      </c>
      <c r="BY420">
        <v>757.2</v>
      </c>
      <c r="BZ420">
        <v>1037.2</v>
      </c>
      <c r="CA420">
        <v>1227.0999999999999</v>
      </c>
      <c r="CB420">
        <v>1232.0999999999999</v>
      </c>
      <c r="CC420">
        <v>1701.5</v>
      </c>
      <c r="CD420">
        <v>0</v>
      </c>
      <c r="CG420">
        <v>1385.3</v>
      </c>
      <c r="CJ420">
        <v>1630.2999999999997</v>
      </c>
      <c r="CM420">
        <v>1184.2</v>
      </c>
      <c r="CO420">
        <v>1248.0999999999999</v>
      </c>
      <c r="CQ420">
        <v>1435.3</v>
      </c>
      <c r="CR420">
        <v>798.2</v>
      </c>
      <c r="CS420">
        <v>923.8</v>
      </c>
      <c r="CT420">
        <v>0</v>
      </c>
      <c r="CU420">
        <v>0</v>
      </c>
      <c r="CV420">
        <v>0</v>
      </c>
      <c r="CW420">
        <v>0</v>
      </c>
      <c r="CX420">
        <v>163.69999999999999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I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G420" t="e">
        <v>#N/A</v>
      </c>
      <c r="FI420" t="e">
        <v>#N/A</v>
      </c>
      <c r="FK420" t="e">
        <v>#N/A</v>
      </c>
      <c r="FM420" t="e">
        <v>#N/A</v>
      </c>
      <c r="FO420" t="e">
        <v>#N/A</v>
      </c>
      <c r="FQ420" t="e">
        <v>#N/A</v>
      </c>
      <c r="FS420" t="e">
        <v>#N/A</v>
      </c>
      <c r="FU420" t="e">
        <v>#N/A</v>
      </c>
      <c r="FW420" t="e">
        <v>#N/A</v>
      </c>
      <c r="FY420" t="e">
        <v>#N/A</v>
      </c>
      <c r="GA420" t="e">
        <v>#N/A</v>
      </c>
      <c r="GC420" t="e">
        <v>#N/A</v>
      </c>
      <c r="GE420" t="e">
        <v>#N/A</v>
      </c>
      <c r="GG420" t="e">
        <v>#N/A</v>
      </c>
      <c r="GI420" t="e">
        <v>#N/A</v>
      </c>
      <c r="GK420" t="e">
        <v>#N/A</v>
      </c>
      <c r="GM420" t="e">
        <v>#N/A</v>
      </c>
      <c r="GO420" t="e">
        <v>#N/A</v>
      </c>
      <c r="GQ420" t="e">
        <v>#N/A</v>
      </c>
      <c r="GS420" t="e">
        <v>#N/A</v>
      </c>
      <c r="GU420" t="e">
        <v>#N/A</v>
      </c>
      <c r="GW420" t="e">
        <v>#N/A</v>
      </c>
      <c r="GY420" t="e">
        <v>#N/A</v>
      </c>
      <c r="HA420" t="e">
        <v>#N/A</v>
      </c>
      <c r="HC420">
        <v>0</v>
      </c>
      <c r="HD420">
        <v>0</v>
      </c>
      <c r="HE420">
        <v>0</v>
      </c>
      <c r="HF420">
        <v>0</v>
      </c>
      <c r="HG420">
        <v>0</v>
      </c>
      <c r="HH420">
        <v>0</v>
      </c>
      <c r="HI420">
        <v>0</v>
      </c>
      <c r="HJ420">
        <v>0</v>
      </c>
      <c r="HM420">
        <v>0</v>
      </c>
      <c r="HN420">
        <v>0</v>
      </c>
      <c r="HO420">
        <v>0</v>
      </c>
      <c r="HP420">
        <v>0</v>
      </c>
      <c r="HQ420">
        <v>0</v>
      </c>
      <c r="HR420">
        <v>0</v>
      </c>
      <c r="HS420">
        <v>0</v>
      </c>
      <c r="HT420">
        <v>0</v>
      </c>
      <c r="HW420">
        <v>0</v>
      </c>
      <c r="HX420">
        <v>0</v>
      </c>
      <c r="HY420">
        <v>0</v>
      </c>
      <c r="HZ420">
        <v>0</v>
      </c>
      <c r="IA420">
        <v>3930.6</v>
      </c>
      <c r="IB420">
        <v>3632.9</v>
      </c>
      <c r="IC420">
        <v>3795.5</v>
      </c>
      <c r="ID420">
        <v>0</v>
      </c>
      <c r="IE420">
        <v>0</v>
      </c>
      <c r="IF420">
        <v>3548.5</v>
      </c>
      <c r="IG420">
        <v>3395.2</v>
      </c>
      <c r="IH420">
        <v>3395.4</v>
      </c>
      <c r="II420">
        <v>3302.3</v>
      </c>
      <c r="IJ420">
        <v>3172.8</v>
      </c>
      <c r="IK420">
        <v>0</v>
      </c>
      <c r="IL420">
        <v>0</v>
      </c>
      <c r="IM420">
        <v>0</v>
      </c>
      <c r="IN420">
        <v>0</v>
      </c>
      <c r="IO420">
        <v>123.4</v>
      </c>
      <c r="IP420">
        <v>405.2</v>
      </c>
      <c r="IQ420">
        <v>418.7</v>
      </c>
      <c r="IR420">
        <v>0</v>
      </c>
      <c r="IS420">
        <v>0</v>
      </c>
      <c r="IT420">
        <v>0</v>
      </c>
      <c r="IU420">
        <v>0</v>
      </c>
      <c r="IV420">
        <v>396</v>
      </c>
      <c r="IW420">
        <v>0</v>
      </c>
      <c r="IX420">
        <v>0</v>
      </c>
      <c r="IZ420">
        <v>0</v>
      </c>
      <c r="JA420">
        <v>65.5</v>
      </c>
      <c r="JB420">
        <v>443.5</v>
      </c>
      <c r="JC420">
        <v>0</v>
      </c>
      <c r="JD420">
        <v>0</v>
      </c>
      <c r="JE420">
        <v>0</v>
      </c>
      <c r="JF420">
        <v>0</v>
      </c>
      <c r="JG420">
        <v>0</v>
      </c>
      <c r="JH420">
        <v>0</v>
      </c>
      <c r="JI420">
        <v>0</v>
      </c>
      <c r="JJ420">
        <v>0</v>
      </c>
      <c r="JK420">
        <v>0</v>
      </c>
      <c r="JL420">
        <v>0</v>
      </c>
      <c r="JM420">
        <v>0</v>
      </c>
      <c r="JN420">
        <v>0</v>
      </c>
      <c r="JO420">
        <v>0</v>
      </c>
      <c r="JP420">
        <v>0</v>
      </c>
      <c r="JQ420">
        <v>0</v>
      </c>
      <c r="JR420">
        <v>0</v>
      </c>
      <c r="JS420">
        <v>0</v>
      </c>
      <c r="JT420">
        <v>0</v>
      </c>
      <c r="JU420">
        <v>0</v>
      </c>
      <c r="JV420">
        <v>0</v>
      </c>
      <c r="JW420">
        <v>0</v>
      </c>
      <c r="JX420">
        <v>0</v>
      </c>
      <c r="JY420">
        <v>0</v>
      </c>
      <c r="JZ420">
        <v>0</v>
      </c>
      <c r="KA420">
        <v>0</v>
      </c>
      <c r="KB420">
        <v>0</v>
      </c>
      <c r="KC420">
        <v>0</v>
      </c>
      <c r="KD420">
        <v>0</v>
      </c>
      <c r="KE420">
        <v>0</v>
      </c>
      <c r="KF420">
        <v>0</v>
      </c>
      <c r="KI420">
        <v>344.6</v>
      </c>
      <c r="KJ420">
        <v>350.8</v>
      </c>
      <c r="KK420">
        <v>22.1</v>
      </c>
      <c r="KL420">
        <v>379.3</v>
      </c>
      <c r="KM420">
        <v>241.4</v>
      </c>
      <c r="KN420">
        <v>0</v>
      </c>
      <c r="KO420">
        <v>0</v>
      </c>
      <c r="KP420">
        <v>57.3</v>
      </c>
      <c r="KQ420">
        <v>224.4</v>
      </c>
      <c r="KR420">
        <v>338.3</v>
      </c>
      <c r="KS420">
        <v>215.8</v>
      </c>
      <c r="KT420">
        <v>40.700000000000003</v>
      </c>
      <c r="KW420">
        <v>2154.5</v>
      </c>
      <c r="KX420">
        <v>1255.7</v>
      </c>
      <c r="KY420">
        <v>1630.1</v>
      </c>
      <c r="KZ420">
        <v>1246.9000000000001</v>
      </c>
      <c r="LB420">
        <v>78.099999999999994</v>
      </c>
      <c r="LC420">
        <v>77.7</v>
      </c>
    </row>
    <row r="421" spans="1:315" ht="18" thickBot="1">
      <c r="A421" s="243"/>
      <c r="B421" s="572"/>
      <c r="C421" s="343"/>
      <c r="D421" s="311"/>
      <c r="E421" s="454">
        <v>0</v>
      </c>
      <c r="F421" s="215">
        <v>0</v>
      </c>
      <c r="G421" s="427">
        <v>3413.8</v>
      </c>
      <c r="H421" s="155"/>
      <c r="I421">
        <v>735</v>
      </c>
      <c r="K421">
        <v>1973.1000000000001</v>
      </c>
      <c r="L421" s="4">
        <v>221.60000000000002</v>
      </c>
      <c r="M421" s="4">
        <v>54.9</v>
      </c>
      <c r="N421" s="4">
        <v>1989.7</v>
      </c>
      <c r="P421">
        <v>0</v>
      </c>
      <c r="Q421">
        <v>238.29999999999998</v>
      </c>
      <c r="R421">
        <v>0</v>
      </c>
      <c r="S421">
        <v>0</v>
      </c>
      <c r="T421">
        <v>368.5</v>
      </c>
      <c r="W421">
        <v>720.3</v>
      </c>
      <c r="X421">
        <v>1411.5</v>
      </c>
      <c r="Y421">
        <v>96.5</v>
      </c>
      <c r="AA421">
        <v>859.6</v>
      </c>
      <c r="AB421">
        <v>1577.6000000000001</v>
      </c>
      <c r="AE421">
        <v>1330</v>
      </c>
      <c r="AF421">
        <v>1025.5</v>
      </c>
      <c r="AH421">
        <v>509.9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1349.3</v>
      </c>
      <c r="AO421">
        <v>786.40000000000009</v>
      </c>
      <c r="AP421">
        <v>0</v>
      </c>
      <c r="AQ421">
        <v>68.3</v>
      </c>
      <c r="AR421">
        <v>234.9</v>
      </c>
      <c r="AS421">
        <v>600.40000000000009</v>
      </c>
      <c r="AU421">
        <v>985.69999999999993</v>
      </c>
      <c r="AW421">
        <v>792</v>
      </c>
      <c r="AX421">
        <v>1988.5</v>
      </c>
      <c r="AZ421">
        <v>763.5</v>
      </c>
      <c r="BA421">
        <v>0</v>
      </c>
      <c r="BB421">
        <v>0</v>
      </c>
      <c r="BC421">
        <v>1935.3</v>
      </c>
      <c r="BD421">
        <v>1006.5</v>
      </c>
      <c r="BE421">
        <v>0</v>
      </c>
      <c r="BF421">
        <v>0</v>
      </c>
      <c r="BG421">
        <v>0</v>
      </c>
      <c r="BH421">
        <v>1662.6</v>
      </c>
      <c r="BJ421">
        <v>0</v>
      </c>
      <c r="BK421">
        <v>0</v>
      </c>
      <c r="BL421">
        <v>1038.9000000000001</v>
      </c>
      <c r="BM421">
        <v>1101</v>
      </c>
      <c r="BO421">
        <v>1276.8000000000002</v>
      </c>
      <c r="BQ421">
        <v>0</v>
      </c>
      <c r="BR421">
        <v>270.7</v>
      </c>
      <c r="BS421">
        <v>230.5</v>
      </c>
      <c r="BT421">
        <v>472.3</v>
      </c>
      <c r="BU421">
        <v>537.29999999999995</v>
      </c>
      <c r="BV421">
        <v>346.3</v>
      </c>
      <c r="BW421">
        <v>386.2</v>
      </c>
      <c r="BX421">
        <v>767</v>
      </c>
      <c r="BY421">
        <v>757.2</v>
      </c>
      <c r="BZ421">
        <v>1037.2</v>
      </c>
      <c r="CA421">
        <v>1227.0999999999999</v>
      </c>
      <c r="CB421">
        <v>1232.0999999999999</v>
      </c>
      <c r="CC421">
        <v>1701.5</v>
      </c>
      <c r="CD421">
        <v>0</v>
      </c>
      <c r="CG421">
        <v>1385.3</v>
      </c>
      <c r="CJ421">
        <v>1630.2999999999997</v>
      </c>
      <c r="CM421">
        <v>1184.2</v>
      </c>
      <c r="CO421">
        <v>1248.0999999999999</v>
      </c>
      <c r="CQ421">
        <v>1435.3</v>
      </c>
      <c r="CR421">
        <v>798.2</v>
      </c>
      <c r="CS421">
        <v>923.8</v>
      </c>
      <c r="CT421">
        <v>0</v>
      </c>
      <c r="CU421">
        <v>0</v>
      </c>
      <c r="CV421">
        <v>0</v>
      </c>
      <c r="CW421">
        <v>0</v>
      </c>
      <c r="CX421">
        <v>163.69999999999999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I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G421" t="e">
        <v>#N/A</v>
      </c>
      <c r="FI421" t="e">
        <v>#N/A</v>
      </c>
      <c r="FK421" t="e">
        <v>#N/A</v>
      </c>
      <c r="FM421" t="e">
        <v>#N/A</v>
      </c>
      <c r="FO421" t="e">
        <v>#N/A</v>
      </c>
      <c r="FQ421" t="e">
        <v>#N/A</v>
      </c>
      <c r="FS421" t="e">
        <v>#N/A</v>
      </c>
      <c r="FU421" t="e">
        <v>#N/A</v>
      </c>
      <c r="FW421" t="e">
        <v>#N/A</v>
      </c>
      <c r="FY421" t="e">
        <v>#N/A</v>
      </c>
      <c r="GA421" t="e">
        <v>#N/A</v>
      </c>
      <c r="GC421" t="e">
        <v>#N/A</v>
      </c>
      <c r="GE421" t="e">
        <v>#N/A</v>
      </c>
      <c r="GG421" t="e">
        <v>#N/A</v>
      </c>
      <c r="GI421" t="e">
        <v>#N/A</v>
      </c>
      <c r="GK421" t="e">
        <v>#N/A</v>
      </c>
      <c r="GM421" t="e">
        <v>#N/A</v>
      </c>
      <c r="GO421" t="e">
        <v>#N/A</v>
      </c>
      <c r="GQ421" t="e">
        <v>#N/A</v>
      </c>
      <c r="GS421" t="e">
        <v>#N/A</v>
      </c>
      <c r="GU421" t="e">
        <v>#N/A</v>
      </c>
      <c r="GW421" t="e">
        <v>#N/A</v>
      </c>
      <c r="GY421" t="e">
        <v>#N/A</v>
      </c>
      <c r="HA421" t="e">
        <v>#N/A</v>
      </c>
      <c r="HC421">
        <v>0</v>
      </c>
      <c r="HD421">
        <v>0</v>
      </c>
      <c r="HE421">
        <v>0</v>
      </c>
      <c r="HF421">
        <v>0</v>
      </c>
      <c r="HG421">
        <v>0</v>
      </c>
      <c r="HH421">
        <v>0</v>
      </c>
      <c r="HI421">
        <v>0</v>
      </c>
      <c r="HJ421">
        <v>0</v>
      </c>
      <c r="HM421">
        <v>0</v>
      </c>
      <c r="HN421">
        <v>0</v>
      </c>
      <c r="HO421">
        <v>0</v>
      </c>
      <c r="HP421">
        <v>0</v>
      </c>
      <c r="HQ421">
        <v>0</v>
      </c>
      <c r="HR421">
        <v>0</v>
      </c>
      <c r="HS421">
        <v>0</v>
      </c>
      <c r="HT421">
        <v>0</v>
      </c>
      <c r="HW421">
        <v>0</v>
      </c>
      <c r="HX421">
        <v>0</v>
      </c>
      <c r="HY421">
        <v>0</v>
      </c>
      <c r="HZ421">
        <v>0</v>
      </c>
      <c r="IA421">
        <v>3930.6</v>
      </c>
      <c r="IB421">
        <v>3632.9</v>
      </c>
      <c r="IC421">
        <v>3795.5</v>
      </c>
      <c r="ID421">
        <v>0</v>
      </c>
      <c r="IE421">
        <v>0</v>
      </c>
      <c r="IF421">
        <v>3548.5</v>
      </c>
      <c r="IG421">
        <v>3395.2</v>
      </c>
      <c r="IH421">
        <v>3395.4</v>
      </c>
      <c r="II421">
        <v>3302.3</v>
      </c>
      <c r="IJ421">
        <v>3172.8</v>
      </c>
      <c r="IK421">
        <v>0</v>
      </c>
      <c r="IL421">
        <v>0</v>
      </c>
      <c r="IM421">
        <v>0</v>
      </c>
      <c r="IN421">
        <v>0</v>
      </c>
      <c r="IO421">
        <v>123.4</v>
      </c>
      <c r="IP421">
        <v>405.2</v>
      </c>
      <c r="IQ421">
        <v>418.7</v>
      </c>
      <c r="IR421">
        <v>0</v>
      </c>
      <c r="IS421">
        <v>0</v>
      </c>
      <c r="IT421">
        <v>0</v>
      </c>
      <c r="IU421">
        <v>0</v>
      </c>
      <c r="IV421">
        <v>396</v>
      </c>
      <c r="IW421">
        <v>0</v>
      </c>
      <c r="IX421">
        <v>0</v>
      </c>
      <c r="IZ421">
        <v>0</v>
      </c>
      <c r="JA421">
        <v>65.5</v>
      </c>
      <c r="JB421">
        <v>443.5</v>
      </c>
      <c r="JC421">
        <v>0</v>
      </c>
      <c r="JD421">
        <v>0</v>
      </c>
      <c r="JE421">
        <v>0</v>
      </c>
      <c r="JF421">
        <v>0</v>
      </c>
      <c r="JG421">
        <v>0</v>
      </c>
      <c r="JH421">
        <v>0</v>
      </c>
      <c r="JI421">
        <v>0</v>
      </c>
      <c r="JJ421">
        <v>0</v>
      </c>
      <c r="JK421">
        <v>0</v>
      </c>
      <c r="JL421">
        <v>0</v>
      </c>
      <c r="JM421">
        <v>0</v>
      </c>
      <c r="JN421">
        <v>0</v>
      </c>
      <c r="JO421">
        <v>0</v>
      </c>
      <c r="JP421">
        <v>0</v>
      </c>
      <c r="JQ421">
        <v>0</v>
      </c>
      <c r="JR421">
        <v>0</v>
      </c>
      <c r="JS421">
        <v>0</v>
      </c>
      <c r="JT421">
        <v>0</v>
      </c>
      <c r="JU421">
        <v>0</v>
      </c>
      <c r="JV421">
        <v>0</v>
      </c>
      <c r="JW421">
        <v>0</v>
      </c>
      <c r="JX421">
        <v>0</v>
      </c>
      <c r="JY421">
        <v>0</v>
      </c>
      <c r="JZ421">
        <v>0</v>
      </c>
      <c r="KA421">
        <v>0</v>
      </c>
      <c r="KB421">
        <v>0</v>
      </c>
      <c r="KC421">
        <v>0</v>
      </c>
      <c r="KD421">
        <v>0</v>
      </c>
      <c r="KE421">
        <v>0</v>
      </c>
      <c r="KF421">
        <v>0</v>
      </c>
      <c r="KI421">
        <v>344.6</v>
      </c>
      <c r="KJ421">
        <v>350.8</v>
      </c>
      <c r="KK421">
        <v>22.1</v>
      </c>
      <c r="KL421">
        <v>379.3</v>
      </c>
      <c r="KM421">
        <v>241.4</v>
      </c>
      <c r="KN421">
        <v>0</v>
      </c>
      <c r="KO421">
        <v>0</v>
      </c>
      <c r="KP421">
        <v>57.3</v>
      </c>
      <c r="KQ421">
        <v>224.4</v>
      </c>
      <c r="KR421">
        <v>338.3</v>
      </c>
      <c r="KS421">
        <v>215.8</v>
      </c>
      <c r="KT421">
        <v>40.700000000000003</v>
      </c>
      <c r="KW421">
        <v>2154.5</v>
      </c>
      <c r="KX421">
        <v>1255.7</v>
      </c>
      <c r="KY421">
        <v>1630.1</v>
      </c>
      <c r="KZ421">
        <v>1246.9000000000001</v>
      </c>
      <c r="LB421">
        <v>78.099999999999994</v>
      </c>
      <c r="LC421">
        <v>77.7</v>
      </c>
    </row>
    <row r="422" spans="1:315" ht="18" thickBot="1">
      <c r="A422" s="243"/>
      <c r="B422" s="572" t="s">
        <v>393</v>
      </c>
      <c r="C422" s="341" t="s">
        <v>878</v>
      </c>
      <c r="D422" s="311" t="s">
        <v>702</v>
      </c>
      <c r="E422" s="454">
        <v>0</v>
      </c>
      <c r="F422" s="213">
        <v>0</v>
      </c>
      <c r="G422" s="427">
        <v>3413.8</v>
      </c>
      <c r="H422" s="155"/>
      <c r="I422">
        <v>735</v>
      </c>
      <c r="K422">
        <v>1973.1000000000001</v>
      </c>
      <c r="L422" s="4">
        <v>221.60000000000002</v>
      </c>
      <c r="M422" s="4">
        <v>54.9</v>
      </c>
      <c r="N422" s="4">
        <v>1989.7</v>
      </c>
      <c r="P422">
        <v>0</v>
      </c>
      <c r="Q422">
        <v>238.29999999999998</v>
      </c>
      <c r="R422">
        <v>0</v>
      </c>
      <c r="S422">
        <v>0</v>
      </c>
      <c r="T422">
        <v>368.5</v>
      </c>
      <c r="W422">
        <v>720.3</v>
      </c>
      <c r="X422">
        <v>1411.5</v>
      </c>
      <c r="Y422">
        <v>96.5</v>
      </c>
      <c r="AA422">
        <v>859.6</v>
      </c>
      <c r="AB422">
        <v>1577.6000000000001</v>
      </c>
      <c r="AE422">
        <v>1330</v>
      </c>
      <c r="AF422">
        <v>1025.5</v>
      </c>
      <c r="AH422">
        <v>509.9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1349.3</v>
      </c>
      <c r="AO422">
        <v>786.40000000000009</v>
      </c>
      <c r="AP422">
        <v>0</v>
      </c>
      <c r="AQ422">
        <v>68.3</v>
      </c>
      <c r="AR422">
        <v>234.9</v>
      </c>
      <c r="AS422">
        <v>600.40000000000009</v>
      </c>
      <c r="AU422">
        <v>985.69999999999993</v>
      </c>
      <c r="AW422">
        <v>792</v>
      </c>
      <c r="AX422">
        <v>1988.5</v>
      </c>
      <c r="AZ422">
        <v>763.5</v>
      </c>
      <c r="BA422">
        <v>0</v>
      </c>
      <c r="BB422">
        <v>0</v>
      </c>
      <c r="BC422">
        <v>1935.3</v>
      </c>
      <c r="BD422">
        <v>1006.5</v>
      </c>
      <c r="BE422">
        <v>0</v>
      </c>
      <c r="BF422">
        <v>0</v>
      </c>
      <c r="BG422">
        <v>0</v>
      </c>
      <c r="BH422">
        <v>1662.6</v>
      </c>
      <c r="BJ422">
        <v>0</v>
      </c>
      <c r="BK422">
        <v>0</v>
      </c>
      <c r="BL422">
        <v>1038.9000000000001</v>
      </c>
      <c r="BM422">
        <v>1101</v>
      </c>
      <c r="BO422">
        <v>1276.8000000000002</v>
      </c>
      <c r="BQ422">
        <v>0</v>
      </c>
      <c r="BR422">
        <v>270.7</v>
      </c>
      <c r="BS422">
        <v>230.5</v>
      </c>
      <c r="BT422">
        <v>472.3</v>
      </c>
      <c r="BU422">
        <v>537.29999999999995</v>
      </c>
      <c r="BV422">
        <v>346.3</v>
      </c>
      <c r="BW422">
        <v>386.2</v>
      </c>
      <c r="BX422">
        <v>767</v>
      </c>
      <c r="BY422">
        <v>757.2</v>
      </c>
      <c r="BZ422">
        <v>1037.2</v>
      </c>
      <c r="CA422">
        <v>1227.0999999999999</v>
      </c>
      <c r="CB422">
        <v>1232.0999999999999</v>
      </c>
      <c r="CC422">
        <v>1701.5</v>
      </c>
      <c r="CD422">
        <v>0</v>
      </c>
      <c r="CG422">
        <v>1385.3</v>
      </c>
      <c r="CJ422">
        <v>1630.2999999999997</v>
      </c>
      <c r="CM422">
        <v>1184.2</v>
      </c>
      <c r="CO422">
        <v>1248.0999999999999</v>
      </c>
      <c r="CQ422">
        <v>1435.3</v>
      </c>
      <c r="CR422">
        <v>798.2</v>
      </c>
      <c r="CS422">
        <v>923.8</v>
      </c>
      <c r="CT422">
        <v>0</v>
      </c>
      <c r="CU422">
        <v>0</v>
      </c>
      <c r="CV422">
        <v>0</v>
      </c>
      <c r="CW422">
        <v>0</v>
      </c>
      <c r="CX422">
        <v>163.69999999999999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I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G422" t="e">
        <v>#N/A</v>
      </c>
      <c r="FI422" t="e">
        <v>#N/A</v>
      </c>
      <c r="FK422" t="e">
        <v>#N/A</v>
      </c>
      <c r="FM422" t="e">
        <v>#N/A</v>
      </c>
      <c r="FO422" t="e">
        <v>#N/A</v>
      </c>
      <c r="FQ422" t="e">
        <v>#N/A</v>
      </c>
      <c r="FS422" t="e">
        <v>#N/A</v>
      </c>
      <c r="FU422" t="e">
        <v>#N/A</v>
      </c>
      <c r="FW422" t="e">
        <v>#N/A</v>
      </c>
      <c r="FY422" t="e">
        <v>#N/A</v>
      </c>
      <c r="GA422" t="e">
        <v>#N/A</v>
      </c>
      <c r="GC422" t="e">
        <v>#N/A</v>
      </c>
      <c r="GE422" t="e">
        <v>#N/A</v>
      </c>
      <c r="GG422" t="e">
        <v>#N/A</v>
      </c>
      <c r="GI422" t="e">
        <v>#N/A</v>
      </c>
      <c r="GK422" t="e">
        <v>#N/A</v>
      </c>
      <c r="GM422" t="e">
        <v>#N/A</v>
      </c>
      <c r="GO422" t="e">
        <v>#N/A</v>
      </c>
      <c r="GQ422" t="e">
        <v>#N/A</v>
      </c>
      <c r="GS422" t="e">
        <v>#N/A</v>
      </c>
      <c r="GU422" t="e">
        <v>#N/A</v>
      </c>
      <c r="GW422" t="e">
        <v>#N/A</v>
      </c>
      <c r="GY422" t="e">
        <v>#N/A</v>
      </c>
      <c r="HA422" t="e">
        <v>#N/A</v>
      </c>
      <c r="HC422">
        <v>0</v>
      </c>
      <c r="HD422">
        <v>0</v>
      </c>
      <c r="HE422">
        <v>0</v>
      </c>
      <c r="HF422">
        <v>0</v>
      </c>
      <c r="HG422">
        <v>0</v>
      </c>
      <c r="HH422">
        <v>0</v>
      </c>
      <c r="HI422">
        <v>0</v>
      </c>
      <c r="HJ422">
        <v>0</v>
      </c>
      <c r="HM422">
        <v>0</v>
      </c>
      <c r="HN422">
        <v>0</v>
      </c>
      <c r="HO422">
        <v>0</v>
      </c>
      <c r="HP422">
        <v>0</v>
      </c>
      <c r="HQ422">
        <v>0</v>
      </c>
      <c r="HR422">
        <v>0</v>
      </c>
      <c r="HS422">
        <v>0</v>
      </c>
      <c r="HT422">
        <v>0</v>
      </c>
      <c r="HW422">
        <v>0</v>
      </c>
      <c r="HX422">
        <v>0</v>
      </c>
      <c r="HY422">
        <v>0</v>
      </c>
      <c r="HZ422">
        <v>0</v>
      </c>
      <c r="IA422">
        <v>3930.6</v>
      </c>
      <c r="IB422">
        <v>3632.9</v>
      </c>
      <c r="IC422">
        <v>3795.5</v>
      </c>
      <c r="ID422">
        <v>0</v>
      </c>
      <c r="IE422">
        <v>0</v>
      </c>
      <c r="IF422">
        <v>3548.5</v>
      </c>
      <c r="IG422">
        <v>3395.2</v>
      </c>
      <c r="IH422">
        <v>3395.4</v>
      </c>
      <c r="II422">
        <v>3302.3</v>
      </c>
      <c r="IJ422">
        <v>3172.8</v>
      </c>
      <c r="IK422">
        <v>0</v>
      </c>
      <c r="IL422">
        <v>0</v>
      </c>
      <c r="IM422">
        <v>0</v>
      </c>
      <c r="IN422">
        <v>0</v>
      </c>
      <c r="IO422">
        <v>123.4</v>
      </c>
      <c r="IP422">
        <v>405.2</v>
      </c>
      <c r="IQ422">
        <v>418.7</v>
      </c>
      <c r="IR422">
        <v>0</v>
      </c>
      <c r="IS422">
        <v>0</v>
      </c>
      <c r="IT422">
        <v>0</v>
      </c>
      <c r="IU422">
        <v>0</v>
      </c>
      <c r="IV422">
        <v>396</v>
      </c>
      <c r="IW422">
        <v>0</v>
      </c>
      <c r="IX422">
        <v>0</v>
      </c>
      <c r="IZ422">
        <v>0</v>
      </c>
      <c r="JA422">
        <v>65.5</v>
      </c>
      <c r="JB422">
        <v>443.5</v>
      </c>
      <c r="JC422">
        <v>0</v>
      </c>
      <c r="JD422">
        <v>0</v>
      </c>
      <c r="JE422">
        <v>0</v>
      </c>
      <c r="JF422">
        <v>0</v>
      </c>
      <c r="JG422">
        <v>0</v>
      </c>
      <c r="JH422">
        <v>0</v>
      </c>
      <c r="JI422">
        <v>0</v>
      </c>
      <c r="JJ422">
        <v>0</v>
      </c>
      <c r="JK422">
        <v>0</v>
      </c>
      <c r="JL422">
        <v>0</v>
      </c>
      <c r="JM422">
        <v>0</v>
      </c>
      <c r="JN422">
        <v>0</v>
      </c>
      <c r="JO422">
        <v>0</v>
      </c>
      <c r="JP422">
        <v>0</v>
      </c>
      <c r="JQ422">
        <v>0</v>
      </c>
      <c r="JR422">
        <v>0</v>
      </c>
      <c r="JS422">
        <v>0</v>
      </c>
      <c r="JT422">
        <v>0</v>
      </c>
      <c r="JU422">
        <v>0</v>
      </c>
      <c r="JV422">
        <v>0</v>
      </c>
      <c r="JW422">
        <v>0</v>
      </c>
      <c r="JX422">
        <v>0</v>
      </c>
      <c r="JY422">
        <v>0</v>
      </c>
      <c r="JZ422">
        <v>0</v>
      </c>
      <c r="KA422">
        <v>0</v>
      </c>
      <c r="KB422">
        <v>0</v>
      </c>
      <c r="KC422">
        <v>0</v>
      </c>
      <c r="KD422">
        <v>0</v>
      </c>
      <c r="KE422">
        <v>0</v>
      </c>
      <c r="KF422">
        <v>0</v>
      </c>
      <c r="KI422">
        <v>344.6</v>
      </c>
      <c r="KJ422">
        <v>350.8</v>
      </c>
      <c r="KK422">
        <v>22.1</v>
      </c>
      <c r="KL422">
        <v>379.3</v>
      </c>
      <c r="KM422">
        <v>241.4</v>
      </c>
      <c r="KN422">
        <v>0</v>
      </c>
      <c r="KO422">
        <v>0</v>
      </c>
      <c r="KP422">
        <v>57.3</v>
      </c>
      <c r="KQ422">
        <v>224.4</v>
      </c>
      <c r="KR422">
        <v>338.3</v>
      </c>
      <c r="KS422">
        <v>215.8</v>
      </c>
      <c r="KT422">
        <v>40.700000000000003</v>
      </c>
      <c r="KW422">
        <v>2154.5</v>
      </c>
      <c r="KX422">
        <v>1255.7</v>
      </c>
      <c r="KY422">
        <v>1630.1</v>
      </c>
      <c r="KZ422">
        <v>1246.9000000000001</v>
      </c>
      <c r="LB422">
        <v>78.099999999999994</v>
      </c>
      <c r="LC422">
        <v>77.7</v>
      </c>
    </row>
    <row r="423" spans="1:315" ht="18" thickBot="1">
      <c r="A423" s="243"/>
      <c r="B423" s="572"/>
      <c r="C423" s="343"/>
      <c r="D423" s="311"/>
      <c r="E423" s="454">
        <v>0</v>
      </c>
      <c r="F423" s="215">
        <v>0</v>
      </c>
      <c r="G423" s="427">
        <v>3413.8</v>
      </c>
      <c r="H423" s="155"/>
      <c r="I423">
        <v>735</v>
      </c>
      <c r="K423">
        <v>1973.1000000000001</v>
      </c>
      <c r="L423" s="4">
        <v>221.60000000000002</v>
      </c>
      <c r="M423" s="4">
        <v>54.9</v>
      </c>
      <c r="N423" s="4">
        <v>1989.7</v>
      </c>
      <c r="P423">
        <v>0</v>
      </c>
      <c r="Q423">
        <v>238.29999999999998</v>
      </c>
      <c r="R423">
        <v>0</v>
      </c>
      <c r="S423">
        <v>0</v>
      </c>
      <c r="T423">
        <v>368.5</v>
      </c>
      <c r="W423">
        <v>720.3</v>
      </c>
      <c r="X423">
        <v>1411.5</v>
      </c>
      <c r="Y423">
        <v>96.5</v>
      </c>
      <c r="AA423">
        <v>859.6</v>
      </c>
      <c r="AB423">
        <v>1577.6000000000001</v>
      </c>
      <c r="AE423">
        <v>1330</v>
      </c>
      <c r="AF423">
        <v>1025.5</v>
      </c>
      <c r="AH423">
        <v>509.9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1349.3</v>
      </c>
      <c r="AO423">
        <v>786.40000000000009</v>
      </c>
      <c r="AP423">
        <v>0</v>
      </c>
      <c r="AQ423">
        <v>68.3</v>
      </c>
      <c r="AR423">
        <v>234.9</v>
      </c>
      <c r="AS423">
        <v>600.40000000000009</v>
      </c>
      <c r="AU423">
        <v>985.69999999999993</v>
      </c>
      <c r="AW423">
        <v>792</v>
      </c>
      <c r="AX423">
        <v>1988.5</v>
      </c>
      <c r="AZ423">
        <v>763.5</v>
      </c>
      <c r="BA423">
        <v>0</v>
      </c>
      <c r="BB423">
        <v>0</v>
      </c>
      <c r="BC423">
        <v>1935.3</v>
      </c>
      <c r="BD423">
        <v>1006.5</v>
      </c>
      <c r="BE423">
        <v>0</v>
      </c>
      <c r="BF423">
        <v>0</v>
      </c>
      <c r="BG423">
        <v>0</v>
      </c>
      <c r="BH423">
        <v>1662.6</v>
      </c>
      <c r="BJ423">
        <v>0</v>
      </c>
      <c r="BK423">
        <v>0</v>
      </c>
      <c r="BL423">
        <v>1038.9000000000001</v>
      </c>
      <c r="BM423">
        <v>1101</v>
      </c>
      <c r="BO423">
        <v>1276.8000000000002</v>
      </c>
      <c r="BQ423">
        <v>0</v>
      </c>
      <c r="BR423">
        <v>270.7</v>
      </c>
      <c r="BS423">
        <v>230.5</v>
      </c>
      <c r="BT423">
        <v>472.3</v>
      </c>
      <c r="BU423">
        <v>537.29999999999995</v>
      </c>
      <c r="BV423">
        <v>346.3</v>
      </c>
      <c r="BW423">
        <v>386.2</v>
      </c>
      <c r="BX423">
        <v>767</v>
      </c>
      <c r="BY423">
        <v>757.2</v>
      </c>
      <c r="BZ423">
        <v>1037.2</v>
      </c>
      <c r="CA423">
        <v>1227.0999999999999</v>
      </c>
      <c r="CB423">
        <v>1232.0999999999999</v>
      </c>
      <c r="CC423">
        <v>1701.5</v>
      </c>
      <c r="CD423">
        <v>0</v>
      </c>
      <c r="CG423">
        <v>1385.3</v>
      </c>
      <c r="CJ423">
        <v>1630.2999999999997</v>
      </c>
      <c r="CM423">
        <v>1184.2</v>
      </c>
      <c r="CO423">
        <v>1248.0999999999999</v>
      </c>
      <c r="CQ423">
        <v>1435.3</v>
      </c>
      <c r="CR423">
        <v>798.2</v>
      </c>
      <c r="CS423">
        <v>923.8</v>
      </c>
      <c r="CT423">
        <v>0</v>
      </c>
      <c r="CU423">
        <v>0</v>
      </c>
      <c r="CV423">
        <v>0</v>
      </c>
      <c r="CW423">
        <v>0</v>
      </c>
      <c r="CX423">
        <v>163.69999999999999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I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G423" t="e">
        <v>#N/A</v>
      </c>
      <c r="FI423" t="e">
        <v>#N/A</v>
      </c>
      <c r="FK423" t="e">
        <v>#N/A</v>
      </c>
      <c r="FM423" t="e">
        <v>#N/A</v>
      </c>
      <c r="FO423" t="e">
        <v>#N/A</v>
      </c>
      <c r="FQ423" t="e">
        <v>#N/A</v>
      </c>
      <c r="FS423" t="e">
        <v>#N/A</v>
      </c>
      <c r="FU423" t="e">
        <v>#N/A</v>
      </c>
      <c r="FW423" t="e">
        <v>#N/A</v>
      </c>
      <c r="FY423" t="e">
        <v>#N/A</v>
      </c>
      <c r="GA423" t="e">
        <v>#N/A</v>
      </c>
      <c r="GC423" t="e">
        <v>#N/A</v>
      </c>
      <c r="GE423" t="e">
        <v>#N/A</v>
      </c>
      <c r="GG423" t="e">
        <v>#N/A</v>
      </c>
      <c r="GI423" t="e">
        <v>#N/A</v>
      </c>
      <c r="GK423" t="e">
        <v>#N/A</v>
      </c>
      <c r="GM423" t="e">
        <v>#N/A</v>
      </c>
      <c r="GO423" t="e">
        <v>#N/A</v>
      </c>
      <c r="GQ423" t="e">
        <v>#N/A</v>
      </c>
      <c r="GS423" t="e">
        <v>#N/A</v>
      </c>
      <c r="GU423" t="e">
        <v>#N/A</v>
      </c>
      <c r="GW423" t="e">
        <v>#N/A</v>
      </c>
      <c r="GY423" t="e">
        <v>#N/A</v>
      </c>
      <c r="HA423" t="e">
        <v>#N/A</v>
      </c>
      <c r="HC423">
        <v>0</v>
      </c>
      <c r="HD423">
        <v>0</v>
      </c>
      <c r="HE423">
        <v>0</v>
      </c>
      <c r="HF423">
        <v>0</v>
      </c>
      <c r="HG423">
        <v>0</v>
      </c>
      <c r="HH423">
        <v>0</v>
      </c>
      <c r="HI423">
        <v>0</v>
      </c>
      <c r="HJ423">
        <v>0</v>
      </c>
      <c r="HM423">
        <v>0</v>
      </c>
      <c r="HN423">
        <v>0</v>
      </c>
      <c r="HO423">
        <v>0</v>
      </c>
      <c r="HP423">
        <v>0</v>
      </c>
      <c r="HQ423">
        <v>0</v>
      </c>
      <c r="HR423">
        <v>0</v>
      </c>
      <c r="HS423">
        <v>0</v>
      </c>
      <c r="HT423">
        <v>0</v>
      </c>
      <c r="HW423">
        <v>0</v>
      </c>
      <c r="HX423">
        <v>0</v>
      </c>
      <c r="HY423">
        <v>0</v>
      </c>
      <c r="HZ423">
        <v>0</v>
      </c>
      <c r="IA423">
        <v>3930.6</v>
      </c>
      <c r="IB423">
        <v>3632.9</v>
      </c>
      <c r="IC423">
        <v>3795.5</v>
      </c>
      <c r="ID423">
        <v>0</v>
      </c>
      <c r="IE423">
        <v>0</v>
      </c>
      <c r="IF423">
        <v>3548.5</v>
      </c>
      <c r="IG423">
        <v>3395.2</v>
      </c>
      <c r="IH423">
        <v>3395.4</v>
      </c>
      <c r="II423">
        <v>3302.3</v>
      </c>
      <c r="IJ423">
        <v>3172.8</v>
      </c>
      <c r="IK423">
        <v>0</v>
      </c>
      <c r="IL423">
        <v>0</v>
      </c>
      <c r="IM423">
        <v>0</v>
      </c>
      <c r="IN423">
        <v>0</v>
      </c>
      <c r="IO423">
        <v>123.4</v>
      </c>
      <c r="IP423">
        <v>405.2</v>
      </c>
      <c r="IQ423">
        <v>418.7</v>
      </c>
      <c r="IR423">
        <v>0</v>
      </c>
      <c r="IS423">
        <v>0</v>
      </c>
      <c r="IT423">
        <v>0</v>
      </c>
      <c r="IU423">
        <v>0</v>
      </c>
      <c r="IV423">
        <v>396</v>
      </c>
      <c r="IW423">
        <v>0</v>
      </c>
      <c r="IX423">
        <v>0</v>
      </c>
      <c r="IZ423">
        <v>0</v>
      </c>
      <c r="JA423">
        <v>65.5</v>
      </c>
      <c r="JB423">
        <v>443.5</v>
      </c>
      <c r="JC423">
        <v>0</v>
      </c>
      <c r="JD423">
        <v>0</v>
      </c>
      <c r="JE423">
        <v>0</v>
      </c>
      <c r="JF423">
        <v>0</v>
      </c>
      <c r="JG423">
        <v>0</v>
      </c>
      <c r="JH423">
        <v>0</v>
      </c>
      <c r="JI423">
        <v>0</v>
      </c>
      <c r="JJ423">
        <v>0</v>
      </c>
      <c r="JK423">
        <v>0</v>
      </c>
      <c r="JL423">
        <v>0</v>
      </c>
      <c r="JM423">
        <v>0</v>
      </c>
      <c r="JN423">
        <v>0</v>
      </c>
      <c r="JO423">
        <v>0</v>
      </c>
      <c r="JP423">
        <v>0</v>
      </c>
      <c r="JQ423">
        <v>0</v>
      </c>
      <c r="JR423">
        <v>0</v>
      </c>
      <c r="JS423">
        <v>0</v>
      </c>
      <c r="JT423">
        <v>0</v>
      </c>
      <c r="JU423">
        <v>0</v>
      </c>
      <c r="JV423">
        <v>0</v>
      </c>
      <c r="JW423">
        <v>0</v>
      </c>
      <c r="JX423">
        <v>0</v>
      </c>
      <c r="JY423">
        <v>0</v>
      </c>
      <c r="JZ423">
        <v>0</v>
      </c>
      <c r="KA423">
        <v>0</v>
      </c>
      <c r="KB423">
        <v>0</v>
      </c>
      <c r="KC423">
        <v>0</v>
      </c>
      <c r="KD423">
        <v>0</v>
      </c>
      <c r="KE423">
        <v>0</v>
      </c>
      <c r="KF423">
        <v>0</v>
      </c>
      <c r="KI423">
        <v>344.6</v>
      </c>
      <c r="KJ423">
        <v>350.8</v>
      </c>
      <c r="KK423">
        <v>22.1</v>
      </c>
      <c r="KL423">
        <v>379.3</v>
      </c>
      <c r="KM423">
        <v>241.4</v>
      </c>
      <c r="KN423">
        <v>0</v>
      </c>
      <c r="KO423">
        <v>0</v>
      </c>
      <c r="KP423">
        <v>57.3</v>
      </c>
      <c r="KQ423">
        <v>224.4</v>
      </c>
      <c r="KR423">
        <v>338.3</v>
      </c>
      <c r="KS423">
        <v>215.8</v>
      </c>
      <c r="KT423">
        <v>40.700000000000003</v>
      </c>
      <c r="KW423">
        <v>2154.5</v>
      </c>
      <c r="KX423">
        <v>1255.7</v>
      </c>
      <c r="KY423">
        <v>1630.1</v>
      </c>
      <c r="KZ423">
        <v>1246.9000000000001</v>
      </c>
      <c r="LB423">
        <v>78.099999999999994</v>
      </c>
      <c r="LC423">
        <v>77.7</v>
      </c>
    </row>
    <row r="424" spans="1:315" ht="18" thickBot="1">
      <c r="A424" s="250"/>
      <c r="B424" s="576" t="s">
        <v>378</v>
      </c>
      <c r="C424" s="341" t="s">
        <v>879</v>
      </c>
      <c r="D424" s="311" t="s">
        <v>702</v>
      </c>
      <c r="E424" s="454">
        <v>0</v>
      </c>
      <c r="F424" s="216">
        <v>0</v>
      </c>
      <c r="G424" s="427">
        <v>3413.8</v>
      </c>
      <c r="H424" s="155"/>
      <c r="I424">
        <v>735</v>
      </c>
      <c r="K424">
        <v>1973.1000000000001</v>
      </c>
      <c r="L424" s="4">
        <v>221.60000000000002</v>
      </c>
      <c r="M424" s="4">
        <v>54.9</v>
      </c>
      <c r="N424" s="4">
        <v>1989.7</v>
      </c>
      <c r="P424">
        <v>0</v>
      </c>
      <c r="Q424">
        <v>238.29999999999998</v>
      </c>
      <c r="R424">
        <v>0</v>
      </c>
      <c r="S424">
        <v>0</v>
      </c>
      <c r="T424">
        <v>368.5</v>
      </c>
      <c r="W424">
        <v>720.3</v>
      </c>
      <c r="X424">
        <v>1411.5</v>
      </c>
      <c r="Y424">
        <v>96.5</v>
      </c>
      <c r="AA424">
        <v>859.6</v>
      </c>
      <c r="AB424">
        <v>1577.6000000000001</v>
      </c>
      <c r="AE424">
        <v>1330</v>
      </c>
      <c r="AF424">
        <v>1025.5</v>
      </c>
      <c r="AH424">
        <v>509.9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1349.3</v>
      </c>
      <c r="AO424">
        <v>786.40000000000009</v>
      </c>
      <c r="AP424">
        <v>0</v>
      </c>
      <c r="AQ424">
        <v>68.3</v>
      </c>
      <c r="AR424">
        <v>234.9</v>
      </c>
      <c r="AS424">
        <v>600.40000000000009</v>
      </c>
      <c r="AU424">
        <v>985.69999999999993</v>
      </c>
      <c r="AW424">
        <v>792</v>
      </c>
      <c r="AX424">
        <v>1988.5</v>
      </c>
      <c r="AZ424">
        <v>763.5</v>
      </c>
      <c r="BA424">
        <v>0</v>
      </c>
      <c r="BB424">
        <v>0</v>
      </c>
      <c r="BC424">
        <v>1935.3</v>
      </c>
      <c r="BD424">
        <v>1006.5</v>
      </c>
      <c r="BE424">
        <v>0</v>
      </c>
      <c r="BF424">
        <v>0</v>
      </c>
      <c r="BG424">
        <v>0</v>
      </c>
      <c r="BH424">
        <v>1662.6</v>
      </c>
      <c r="BJ424">
        <v>0</v>
      </c>
      <c r="BK424">
        <v>0</v>
      </c>
      <c r="BL424">
        <v>1038.9000000000001</v>
      </c>
      <c r="BM424">
        <v>1101</v>
      </c>
      <c r="BO424">
        <v>1276.8000000000002</v>
      </c>
      <c r="BQ424">
        <v>0</v>
      </c>
      <c r="BR424">
        <v>270.7</v>
      </c>
      <c r="BS424">
        <v>230.5</v>
      </c>
      <c r="BT424">
        <v>472.3</v>
      </c>
      <c r="BU424">
        <v>537.29999999999995</v>
      </c>
      <c r="BV424">
        <v>346.3</v>
      </c>
      <c r="BW424">
        <v>386.2</v>
      </c>
      <c r="BX424">
        <v>767</v>
      </c>
      <c r="BY424">
        <v>757.2</v>
      </c>
      <c r="BZ424">
        <v>1037.2</v>
      </c>
      <c r="CA424">
        <v>1227.0999999999999</v>
      </c>
      <c r="CB424">
        <v>1232.0999999999999</v>
      </c>
      <c r="CC424">
        <v>1701.5</v>
      </c>
      <c r="CD424">
        <v>0</v>
      </c>
      <c r="CG424">
        <v>1385.3</v>
      </c>
      <c r="CJ424">
        <v>1630.2999999999997</v>
      </c>
      <c r="CM424">
        <v>1184.2</v>
      </c>
      <c r="CO424">
        <v>1248.0999999999999</v>
      </c>
      <c r="CQ424">
        <v>1435.3</v>
      </c>
      <c r="CR424">
        <v>798.2</v>
      </c>
      <c r="CS424">
        <v>923.8</v>
      </c>
      <c r="CT424">
        <v>0</v>
      </c>
      <c r="CU424">
        <v>0</v>
      </c>
      <c r="CV424">
        <v>0</v>
      </c>
      <c r="CW424">
        <v>0</v>
      </c>
      <c r="CX424">
        <v>163.69999999999999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I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G424" t="e">
        <v>#N/A</v>
      </c>
      <c r="FI424" t="e">
        <v>#N/A</v>
      </c>
      <c r="FK424" t="e">
        <v>#N/A</v>
      </c>
      <c r="FM424" t="e">
        <v>#N/A</v>
      </c>
      <c r="FO424" t="e">
        <v>#N/A</v>
      </c>
      <c r="FQ424" t="e">
        <v>#N/A</v>
      </c>
      <c r="FS424" t="e">
        <v>#N/A</v>
      </c>
      <c r="FU424" t="e">
        <v>#N/A</v>
      </c>
      <c r="FW424" t="e">
        <v>#N/A</v>
      </c>
      <c r="FY424" t="e">
        <v>#N/A</v>
      </c>
      <c r="GA424" t="e">
        <v>#N/A</v>
      </c>
      <c r="GC424" t="e">
        <v>#N/A</v>
      </c>
      <c r="GE424" t="e">
        <v>#N/A</v>
      </c>
      <c r="GG424" t="e">
        <v>#N/A</v>
      </c>
      <c r="GI424" t="e">
        <v>#N/A</v>
      </c>
      <c r="GK424" t="e">
        <v>#N/A</v>
      </c>
      <c r="GM424" t="e">
        <v>#N/A</v>
      </c>
      <c r="GO424" t="e">
        <v>#N/A</v>
      </c>
      <c r="GQ424" t="e">
        <v>#N/A</v>
      </c>
      <c r="GS424" t="e">
        <v>#N/A</v>
      </c>
      <c r="GU424" t="e">
        <v>#N/A</v>
      </c>
      <c r="GW424" t="e">
        <v>#N/A</v>
      </c>
      <c r="GY424" t="e">
        <v>#N/A</v>
      </c>
      <c r="HA424" t="e">
        <v>#N/A</v>
      </c>
      <c r="HC424">
        <v>0</v>
      </c>
      <c r="HD424">
        <v>0</v>
      </c>
      <c r="HE424">
        <v>0</v>
      </c>
      <c r="HF424">
        <v>0</v>
      </c>
      <c r="HG424">
        <v>0</v>
      </c>
      <c r="HH424">
        <v>0</v>
      </c>
      <c r="HI424">
        <v>0</v>
      </c>
      <c r="HJ424">
        <v>0</v>
      </c>
      <c r="HM424">
        <v>0</v>
      </c>
      <c r="HN424">
        <v>0</v>
      </c>
      <c r="HO424">
        <v>0</v>
      </c>
      <c r="HP424">
        <v>0</v>
      </c>
      <c r="HQ424">
        <v>0</v>
      </c>
      <c r="HR424">
        <v>0</v>
      </c>
      <c r="HS424">
        <v>0</v>
      </c>
      <c r="HT424">
        <v>0</v>
      </c>
      <c r="HW424">
        <v>0</v>
      </c>
      <c r="HX424">
        <v>0</v>
      </c>
      <c r="HY424">
        <v>0</v>
      </c>
      <c r="HZ424">
        <v>0</v>
      </c>
      <c r="IA424">
        <v>3930.6</v>
      </c>
      <c r="IB424">
        <v>3632.9</v>
      </c>
      <c r="IC424">
        <v>3795.5</v>
      </c>
      <c r="ID424">
        <v>0</v>
      </c>
      <c r="IE424">
        <v>0</v>
      </c>
      <c r="IF424">
        <v>3548.5</v>
      </c>
      <c r="IG424">
        <v>3395.2</v>
      </c>
      <c r="IH424">
        <v>3395.4</v>
      </c>
      <c r="II424">
        <v>3302.3</v>
      </c>
      <c r="IJ424">
        <v>3172.8</v>
      </c>
      <c r="IK424">
        <v>0</v>
      </c>
      <c r="IL424">
        <v>0</v>
      </c>
      <c r="IM424">
        <v>0</v>
      </c>
      <c r="IN424">
        <v>0</v>
      </c>
      <c r="IO424">
        <v>123.4</v>
      </c>
      <c r="IP424">
        <v>405.2</v>
      </c>
      <c r="IQ424">
        <v>418.7</v>
      </c>
      <c r="IR424">
        <v>0</v>
      </c>
      <c r="IS424">
        <v>0</v>
      </c>
      <c r="IT424">
        <v>0</v>
      </c>
      <c r="IU424">
        <v>0</v>
      </c>
      <c r="IV424">
        <v>396</v>
      </c>
      <c r="IW424">
        <v>0</v>
      </c>
      <c r="IX424">
        <v>0</v>
      </c>
      <c r="IZ424">
        <v>0</v>
      </c>
      <c r="JA424">
        <v>65.5</v>
      </c>
      <c r="JB424">
        <v>443.5</v>
      </c>
      <c r="JC424">
        <v>0</v>
      </c>
      <c r="JD424">
        <v>0</v>
      </c>
      <c r="JE424">
        <v>0</v>
      </c>
      <c r="JF424">
        <v>0</v>
      </c>
      <c r="JG424">
        <v>0</v>
      </c>
      <c r="JH424">
        <v>0</v>
      </c>
      <c r="JI424">
        <v>0</v>
      </c>
      <c r="JJ424">
        <v>0</v>
      </c>
      <c r="JK424">
        <v>0</v>
      </c>
      <c r="JL424">
        <v>0</v>
      </c>
      <c r="JM424">
        <v>0</v>
      </c>
      <c r="JN424">
        <v>0</v>
      </c>
      <c r="JO424">
        <v>0</v>
      </c>
      <c r="JP424">
        <v>0</v>
      </c>
      <c r="JQ424">
        <v>0</v>
      </c>
      <c r="JR424">
        <v>0</v>
      </c>
      <c r="JS424">
        <v>0</v>
      </c>
      <c r="JT424">
        <v>0</v>
      </c>
      <c r="JU424">
        <v>0</v>
      </c>
      <c r="JV424">
        <v>0</v>
      </c>
      <c r="JW424">
        <v>0</v>
      </c>
      <c r="JX424">
        <v>0</v>
      </c>
      <c r="JY424">
        <v>0</v>
      </c>
      <c r="JZ424">
        <v>0</v>
      </c>
      <c r="KA424">
        <v>0</v>
      </c>
      <c r="KB424">
        <v>0</v>
      </c>
      <c r="KC424">
        <v>0</v>
      </c>
      <c r="KD424">
        <v>0</v>
      </c>
      <c r="KE424">
        <v>0</v>
      </c>
      <c r="KF424">
        <v>0</v>
      </c>
      <c r="KI424">
        <v>344.6</v>
      </c>
      <c r="KJ424">
        <v>350.8</v>
      </c>
      <c r="KK424">
        <v>22.1</v>
      </c>
      <c r="KL424">
        <v>379.3</v>
      </c>
      <c r="KM424">
        <v>241.4</v>
      </c>
      <c r="KN424">
        <v>0</v>
      </c>
      <c r="KO424">
        <v>0</v>
      </c>
      <c r="KP424">
        <v>57.3</v>
      </c>
      <c r="KQ424">
        <v>224.4</v>
      </c>
      <c r="KR424">
        <v>338.3</v>
      </c>
      <c r="KS424">
        <v>215.8</v>
      </c>
      <c r="KT424">
        <v>40.700000000000003</v>
      </c>
      <c r="KW424">
        <v>2154.5</v>
      </c>
      <c r="KX424">
        <v>1255.7</v>
      </c>
      <c r="KY424">
        <v>1630.1</v>
      </c>
      <c r="KZ424">
        <v>1246.9000000000001</v>
      </c>
      <c r="LB424">
        <v>78.099999999999994</v>
      </c>
      <c r="LC424">
        <v>77.7</v>
      </c>
    </row>
    <row r="425" spans="1:315" ht="18" thickBot="1">
      <c r="A425" s="251"/>
      <c r="B425" s="577"/>
      <c r="C425" s="343"/>
      <c r="D425" s="311"/>
      <c r="E425" s="454">
        <v>0</v>
      </c>
      <c r="F425" s="217">
        <v>0</v>
      </c>
      <c r="G425" s="427">
        <v>3413.8</v>
      </c>
      <c r="H425" s="155"/>
      <c r="I425">
        <v>735</v>
      </c>
      <c r="K425">
        <v>1973.1000000000001</v>
      </c>
      <c r="L425" s="4">
        <v>221.60000000000002</v>
      </c>
      <c r="M425" s="4">
        <v>54.9</v>
      </c>
      <c r="N425" s="4">
        <v>1989.7</v>
      </c>
      <c r="P425">
        <v>0</v>
      </c>
      <c r="Q425">
        <v>238.29999999999998</v>
      </c>
      <c r="R425">
        <v>0</v>
      </c>
      <c r="S425">
        <v>0</v>
      </c>
      <c r="T425">
        <v>368.5</v>
      </c>
      <c r="W425">
        <v>720.3</v>
      </c>
      <c r="X425">
        <v>1411.5</v>
      </c>
      <c r="Y425">
        <v>96.5</v>
      </c>
      <c r="AA425">
        <v>859.6</v>
      </c>
      <c r="AB425">
        <v>1577.6000000000001</v>
      </c>
      <c r="AE425">
        <v>1330</v>
      </c>
      <c r="AF425">
        <v>1025.5</v>
      </c>
      <c r="AH425">
        <v>509.9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1349.3</v>
      </c>
      <c r="AO425">
        <v>786.40000000000009</v>
      </c>
      <c r="AP425">
        <v>0</v>
      </c>
      <c r="AQ425">
        <v>68.3</v>
      </c>
      <c r="AR425">
        <v>234.9</v>
      </c>
      <c r="AS425">
        <v>600.40000000000009</v>
      </c>
      <c r="AU425">
        <v>985.69999999999993</v>
      </c>
      <c r="AW425">
        <v>792</v>
      </c>
      <c r="AX425">
        <v>1988.5</v>
      </c>
      <c r="AZ425">
        <v>763.5</v>
      </c>
      <c r="BA425">
        <v>0</v>
      </c>
      <c r="BB425">
        <v>0</v>
      </c>
      <c r="BC425">
        <v>1935.3</v>
      </c>
      <c r="BD425">
        <v>1006.5</v>
      </c>
      <c r="BE425">
        <v>0</v>
      </c>
      <c r="BF425">
        <v>0</v>
      </c>
      <c r="BG425">
        <v>0</v>
      </c>
      <c r="BH425">
        <v>1662.6</v>
      </c>
      <c r="BJ425">
        <v>0</v>
      </c>
      <c r="BK425">
        <v>0</v>
      </c>
      <c r="BL425">
        <v>1038.9000000000001</v>
      </c>
      <c r="BM425">
        <v>1101</v>
      </c>
      <c r="BO425">
        <v>1276.8000000000002</v>
      </c>
      <c r="BQ425">
        <v>0</v>
      </c>
      <c r="BR425">
        <v>270.7</v>
      </c>
      <c r="BS425">
        <v>230.5</v>
      </c>
      <c r="BT425">
        <v>472.3</v>
      </c>
      <c r="BU425">
        <v>537.29999999999995</v>
      </c>
      <c r="BV425">
        <v>346.3</v>
      </c>
      <c r="BW425">
        <v>386.2</v>
      </c>
      <c r="BX425">
        <v>767</v>
      </c>
      <c r="BY425">
        <v>757.2</v>
      </c>
      <c r="BZ425">
        <v>1037.2</v>
      </c>
      <c r="CA425">
        <v>1227.0999999999999</v>
      </c>
      <c r="CB425">
        <v>1232.0999999999999</v>
      </c>
      <c r="CC425">
        <v>1701.5</v>
      </c>
      <c r="CD425">
        <v>0</v>
      </c>
      <c r="CG425">
        <v>1385.3</v>
      </c>
      <c r="CJ425">
        <v>1630.2999999999997</v>
      </c>
      <c r="CM425">
        <v>1184.2</v>
      </c>
      <c r="CO425">
        <v>1248.0999999999999</v>
      </c>
      <c r="CQ425">
        <v>1435.3</v>
      </c>
      <c r="CR425">
        <v>798.2</v>
      </c>
      <c r="CS425">
        <v>923.8</v>
      </c>
      <c r="CT425">
        <v>0</v>
      </c>
      <c r="CU425">
        <v>0</v>
      </c>
      <c r="CV425">
        <v>0</v>
      </c>
      <c r="CW425">
        <v>0</v>
      </c>
      <c r="CX425">
        <v>163.69999999999999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I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G425" t="e">
        <v>#N/A</v>
      </c>
      <c r="FI425" t="e">
        <v>#N/A</v>
      </c>
      <c r="FK425" t="e">
        <v>#N/A</v>
      </c>
      <c r="FM425" t="e">
        <v>#N/A</v>
      </c>
      <c r="FO425" t="e">
        <v>#N/A</v>
      </c>
      <c r="FQ425" t="e">
        <v>#N/A</v>
      </c>
      <c r="FS425" t="e">
        <v>#N/A</v>
      </c>
      <c r="FU425" t="e">
        <v>#N/A</v>
      </c>
      <c r="FW425" t="e">
        <v>#N/A</v>
      </c>
      <c r="FY425" t="e">
        <v>#N/A</v>
      </c>
      <c r="GA425" t="e">
        <v>#N/A</v>
      </c>
      <c r="GC425" t="e">
        <v>#N/A</v>
      </c>
      <c r="GE425" t="e">
        <v>#N/A</v>
      </c>
      <c r="GG425" t="e">
        <v>#N/A</v>
      </c>
      <c r="GI425" t="e">
        <v>#N/A</v>
      </c>
      <c r="GK425" t="e">
        <v>#N/A</v>
      </c>
      <c r="GM425" t="e">
        <v>#N/A</v>
      </c>
      <c r="GO425" t="e">
        <v>#N/A</v>
      </c>
      <c r="GQ425" t="e">
        <v>#N/A</v>
      </c>
      <c r="GS425" t="e">
        <v>#N/A</v>
      </c>
      <c r="GU425" t="e">
        <v>#N/A</v>
      </c>
      <c r="GW425" t="e">
        <v>#N/A</v>
      </c>
      <c r="GY425" t="e">
        <v>#N/A</v>
      </c>
      <c r="HA425" t="e">
        <v>#N/A</v>
      </c>
      <c r="HC425">
        <v>0</v>
      </c>
      <c r="HD425">
        <v>0</v>
      </c>
      <c r="HE425">
        <v>0</v>
      </c>
      <c r="HF425">
        <v>0</v>
      </c>
      <c r="HG425">
        <v>0</v>
      </c>
      <c r="HH425">
        <v>0</v>
      </c>
      <c r="HI425">
        <v>0</v>
      </c>
      <c r="HJ425">
        <v>0</v>
      </c>
      <c r="HM425">
        <v>0</v>
      </c>
      <c r="HN425">
        <v>0</v>
      </c>
      <c r="HO425">
        <v>0</v>
      </c>
      <c r="HP425">
        <v>0</v>
      </c>
      <c r="HQ425">
        <v>0</v>
      </c>
      <c r="HR425">
        <v>0</v>
      </c>
      <c r="HS425">
        <v>0</v>
      </c>
      <c r="HT425">
        <v>0</v>
      </c>
      <c r="HW425">
        <v>0</v>
      </c>
      <c r="HX425">
        <v>0</v>
      </c>
      <c r="HY425">
        <v>0</v>
      </c>
      <c r="HZ425">
        <v>0</v>
      </c>
      <c r="IA425">
        <v>3930.6</v>
      </c>
      <c r="IB425">
        <v>3632.9</v>
      </c>
      <c r="IC425">
        <v>3795.5</v>
      </c>
      <c r="ID425">
        <v>0</v>
      </c>
      <c r="IE425">
        <v>0</v>
      </c>
      <c r="IF425">
        <v>3548.5</v>
      </c>
      <c r="IG425">
        <v>3395.2</v>
      </c>
      <c r="IH425">
        <v>3395.4</v>
      </c>
      <c r="II425">
        <v>3302.3</v>
      </c>
      <c r="IJ425">
        <v>3172.8</v>
      </c>
      <c r="IK425">
        <v>0</v>
      </c>
      <c r="IL425">
        <v>0</v>
      </c>
      <c r="IM425">
        <v>0</v>
      </c>
      <c r="IN425">
        <v>0</v>
      </c>
      <c r="IO425">
        <v>123.4</v>
      </c>
      <c r="IP425">
        <v>405.2</v>
      </c>
      <c r="IQ425">
        <v>418.7</v>
      </c>
      <c r="IR425">
        <v>0</v>
      </c>
      <c r="IS425">
        <v>0</v>
      </c>
      <c r="IT425">
        <v>0</v>
      </c>
      <c r="IU425">
        <v>0</v>
      </c>
      <c r="IV425">
        <v>396</v>
      </c>
      <c r="IW425">
        <v>0</v>
      </c>
      <c r="IX425">
        <v>0</v>
      </c>
      <c r="IZ425">
        <v>0</v>
      </c>
      <c r="JA425">
        <v>65.5</v>
      </c>
      <c r="JB425">
        <v>443.5</v>
      </c>
      <c r="JC425">
        <v>0</v>
      </c>
      <c r="JD425">
        <v>0</v>
      </c>
      <c r="JE425">
        <v>0</v>
      </c>
      <c r="JF425">
        <v>0</v>
      </c>
      <c r="JG425">
        <v>0</v>
      </c>
      <c r="JH425">
        <v>0</v>
      </c>
      <c r="JI425">
        <v>0</v>
      </c>
      <c r="JJ425">
        <v>0</v>
      </c>
      <c r="JK425">
        <v>0</v>
      </c>
      <c r="JL425">
        <v>0</v>
      </c>
      <c r="JM425">
        <v>0</v>
      </c>
      <c r="JN425">
        <v>0</v>
      </c>
      <c r="JO425">
        <v>0</v>
      </c>
      <c r="JP425">
        <v>0</v>
      </c>
      <c r="JQ425">
        <v>0</v>
      </c>
      <c r="JR425">
        <v>0</v>
      </c>
      <c r="JS425">
        <v>0</v>
      </c>
      <c r="JT425">
        <v>0</v>
      </c>
      <c r="JU425">
        <v>0</v>
      </c>
      <c r="JV425">
        <v>0</v>
      </c>
      <c r="JW425">
        <v>0</v>
      </c>
      <c r="JX425">
        <v>0</v>
      </c>
      <c r="JY425">
        <v>0</v>
      </c>
      <c r="JZ425">
        <v>0</v>
      </c>
      <c r="KA425">
        <v>0</v>
      </c>
      <c r="KB425">
        <v>0</v>
      </c>
      <c r="KC425">
        <v>0</v>
      </c>
      <c r="KD425">
        <v>0</v>
      </c>
      <c r="KE425">
        <v>0</v>
      </c>
      <c r="KF425">
        <v>0</v>
      </c>
      <c r="KI425">
        <v>344.6</v>
      </c>
      <c r="KJ425">
        <v>350.8</v>
      </c>
      <c r="KK425">
        <v>22.1</v>
      </c>
      <c r="KL425">
        <v>379.3</v>
      </c>
      <c r="KM425">
        <v>241.4</v>
      </c>
      <c r="KN425">
        <v>0</v>
      </c>
      <c r="KO425">
        <v>0</v>
      </c>
      <c r="KP425">
        <v>57.3</v>
      </c>
      <c r="KQ425">
        <v>224.4</v>
      </c>
      <c r="KR425">
        <v>338.3</v>
      </c>
      <c r="KS425">
        <v>215.8</v>
      </c>
      <c r="KT425">
        <v>40.700000000000003</v>
      </c>
      <c r="KW425">
        <v>2154.5</v>
      </c>
      <c r="KX425">
        <v>1255.7</v>
      </c>
      <c r="KY425">
        <v>1630.1</v>
      </c>
      <c r="KZ425">
        <v>1246.9000000000001</v>
      </c>
      <c r="LB425">
        <v>78.099999999999994</v>
      </c>
      <c r="LC425">
        <v>77.7</v>
      </c>
    </row>
    <row r="426" spans="1:315" ht="18" thickBot="1">
      <c r="A426" s="243"/>
      <c r="B426" s="572" t="s">
        <v>379</v>
      </c>
      <c r="C426" s="341" t="s">
        <v>880</v>
      </c>
      <c r="D426" s="311" t="s">
        <v>702</v>
      </c>
      <c r="E426" s="454">
        <v>0</v>
      </c>
      <c r="F426" s="213">
        <v>0</v>
      </c>
      <c r="G426" s="427">
        <v>3413.8</v>
      </c>
      <c r="H426" s="155"/>
      <c r="I426">
        <v>735</v>
      </c>
      <c r="K426">
        <v>1973.1000000000001</v>
      </c>
      <c r="L426" s="4">
        <v>221.60000000000002</v>
      </c>
      <c r="M426" s="4">
        <v>54.9</v>
      </c>
      <c r="N426" s="4">
        <v>1989.7</v>
      </c>
      <c r="P426">
        <v>0</v>
      </c>
      <c r="Q426">
        <v>238.29999999999998</v>
      </c>
      <c r="R426">
        <v>0</v>
      </c>
      <c r="S426">
        <v>0</v>
      </c>
      <c r="T426">
        <v>368.5</v>
      </c>
      <c r="W426">
        <v>720.3</v>
      </c>
      <c r="X426">
        <v>1411.5</v>
      </c>
      <c r="Y426">
        <v>96.5</v>
      </c>
      <c r="AA426">
        <v>859.6</v>
      </c>
      <c r="AB426">
        <v>1577.6000000000001</v>
      </c>
      <c r="AE426">
        <v>1330</v>
      </c>
      <c r="AF426">
        <v>1025.5</v>
      </c>
      <c r="AH426">
        <v>509.9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1349.3</v>
      </c>
      <c r="AO426">
        <v>786.40000000000009</v>
      </c>
      <c r="AP426">
        <v>0</v>
      </c>
      <c r="AQ426">
        <v>68.3</v>
      </c>
      <c r="AR426">
        <v>234.9</v>
      </c>
      <c r="AS426">
        <v>600.40000000000009</v>
      </c>
      <c r="AU426">
        <v>985.69999999999993</v>
      </c>
      <c r="AW426">
        <v>792</v>
      </c>
      <c r="AX426">
        <v>1988.5</v>
      </c>
      <c r="AZ426">
        <v>763.5</v>
      </c>
      <c r="BA426">
        <v>0</v>
      </c>
      <c r="BB426">
        <v>0</v>
      </c>
      <c r="BC426">
        <v>1935.3</v>
      </c>
      <c r="BD426">
        <v>1006.5</v>
      </c>
      <c r="BE426">
        <v>0</v>
      </c>
      <c r="BF426">
        <v>0</v>
      </c>
      <c r="BG426">
        <v>0</v>
      </c>
      <c r="BH426">
        <v>1662.6</v>
      </c>
      <c r="BJ426">
        <v>0</v>
      </c>
      <c r="BK426">
        <v>0</v>
      </c>
      <c r="BL426">
        <v>1038.9000000000001</v>
      </c>
      <c r="BM426">
        <v>1101</v>
      </c>
      <c r="BO426">
        <v>1276.8000000000002</v>
      </c>
      <c r="BQ426">
        <v>0</v>
      </c>
      <c r="BR426">
        <v>270.7</v>
      </c>
      <c r="BS426">
        <v>230.5</v>
      </c>
      <c r="BT426">
        <v>472.3</v>
      </c>
      <c r="BU426">
        <v>537.29999999999995</v>
      </c>
      <c r="BV426">
        <v>346.3</v>
      </c>
      <c r="BW426">
        <v>386.2</v>
      </c>
      <c r="BX426">
        <v>767</v>
      </c>
      <c r="BY426">
        <v>757.2</v>
      </c>
      <c r="BZ426">
        <v>1037.2</v>
      </c>
      <c r="CA426">
        <v>1227.0999999999999</v>
      </c>
      <c r="CB426">
        <v>1232.0999999999999</v>
      </c>
      <c r="CC426">
        <v>1701.5</v>
      </c>
      <c r="CD426">
        <v>0</v>
      </c>
      <c r="CG426">
        <v>1385.3</v>
      </c>
      <c r="CJ426">
        <v>1630.2999999999997</v>
      </c>
      <c r="CM426">
        <v>1184.2</v>
      </c>
      <c r="CO426">
        <v>1248.0999999999999</v>
      </c>
      <c r="CQ426">
        <v>1435.3</v>
      </c>
      <c r="CR426">
        <v>798.2</v>
      </c>
      <c r="CS426">
        <v>923.8</v>
      </c>
      <c r="CT426">
        <v>0</v>
      </c>
      <c r="CU426">
        <v>0</v>
      </c>
      <c r="CV426">
        <v>0</v>
      </c>
      <c r="CW426">
        <v>0</v>
      </c>
      <c r="CX426">
        <v>163.69999999999999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I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G426" t="e">
        <v>#N/A</v>
      </c>
      <c r="FI426" t="e">
        <v>#N/A</v>
      </c>
      <c r="FK426" t="e">
        <v>#N/A</v>
      </c>
      <c r="FM426" t="e">
        <v>#N/A</v>
      </c>
      <c r="FO426" t="e">
        <v>#N/A</v>
      </c>
      <c r="FQ426" t="e">
        <v>#N/A</v>
      </c>
      <c r="FS426" t="e">
        <v>#N/A</v>
      </c>
      <c r="FU426" t="e">
        <v>#N/A</v>
      </c>
      <c r="FW426" t="e">
        <v>#N/A</v>
      </c>
      <c r="FY426" t="e">
        <v>#N/A</v>
      </c>
      <c r="GA426" t="e">
        <v>#N/A</v>
      </c>
      <c r="GC426" t="e">
        <v>#N/A</v>
      </c>
      <c r="GE426" t="e">
        <v>#N/A</v>
      </c>
      <c r="GG426" t="e">
        <v>#N/A</v>
      </c>
      <c r="GI426" t="e">
        <v>#N/A</v>
      </c>
      <c r="GK426" t="e">
        <v>#N/A</v>
      </c>
      <c r="GM426" t="e">
        <v>#N/A</v>
      </c>
      <c r="GO426" t="e">
        <v>#N/A</v>
      </c>
      <c r="GQ426" t="e">
        <v>#N/A</v>
      </c>
      <c r="GS426" t="e">
        <v>#N/A</v>
      </c>
      <c r="GU426" t="e">
        <v>#N/A</v>
      </c>
      <c r="GW426" t="e">
        <v>#N/A</v>
      </c>
      <c r="GY426" t="e">
        <v>#N/A</v>
      </c>
      <c r="HA426" t="e">
        <v>#N/A</v>
      </c>
      <c r="HC426">
        <v>0</v>
      </c>
      <c r="HD426">
        <v>0</v>
      </c>
      <c r="HE426">
        <v>0</v>
      </c>
      <c r="HF426">
        <v>0</v>
      </c>
      <c r="HG426">
        <v>0</v>
      </c>
      <c r="HH426">
        <v>0</v>
      </c>
      <c r="HI426">
        <v>0</v>
      </c>
      <c r="HJ426">
        <v>0</v>
      </c>
      <c r="HM426">
        <v>0</v>
      </c>
      <c r="HN426">
        <v>0</v>
      </c>
      <c r="HO426">
        <v>0</v>
      </c>
      <c r="HP426">
        <v>0</v>
      </c>
      <c r="HQ426">
        <v>0</v>
      </c>
      <c r="HR426">
        <v>0</v>
      </c>
      <c r="HS426">
        <v>0</v>
      </c>
      <c r="HT426">
        <v>0</v>
      </c>
      <c r="HW426">
        <v>0</v>
      </c>
      <c r="HX426">
        <v>0</v>
      </c>
      <c r="HY426">
        <v>0</v>
      </c>
      <c r="HZ426">
        <v>0</v>
      </c>
      <c r="IA426">
        <v>3930.6</v>
      </c>
      <c r="IB426">
        <v>3632.9</v>
      </c>
      <c r="IC426">
        <v>3795.5</v>
      </c>
      <c r="ID426">
        <v>0</v>
      </c>
      <c r="IE426">
        <v>0</v>
      </c>
      <c r="IF426">
        <v>3548.5</v>
      </c>
      <c r="IG426">
        <v>3395.2</v>
      </c>
      <c r="IH426">
        <v>3395.4</v>
      </c>
      <c r="II426">
        <v>3302.3</v>
      </c>
      <c r="IJ426">
        <v>3172.8</v>
      </c>
      <c r="IK426">
        <v>0</v>
      </c>
      <c r="IL426">
        <v>0</v>
      </c>
      <c r="IM426">
        <v>0</v>
      </c>
      <c r="IN426">
        <v>0</v>
      </c>
      <c r="IO426">
        <v>123.4</v>
      </c>
      <c r="IP426">
        <v>405.2</v>
      </c>
      <c r="IQ426">
        <v>418.7</v>
      </c>
      <c r="IR426">
        <v>0</v>
      </c>
      <c r="IS426">
        <v>0</v>
      </c>
      <c r="IT426">
        <v>0</v>
      </c>
      <c r="IU426">
        <v>0</v>
      </c>
      <c r="IV426">
        <v>396</v>
      </c>
      <c r="IW426">
        <v>0</v>
      </c>
      <c r="IX426">
        <v>0</v>
      </c>
      <c r="IZ426">
        <v>0</v>
      </c>
      <c r="JA426">
        <v>65.5</v>
      </c>
      <c r="JB426">
        <v>443.5</v>
      </c>
      <c r="JC426">
        <v>0</v>
      </c>
      <c r="JD426">
        <v>0</v>
      </c>
      <c r="JE426">
        <v>0</v>
      </c>
      <c r="JF426">
        <v>0</v>
      </c>
      <c r="JG426">
        <v>0</v>
      </c>
      <c r="JH426">
        <v>0</v>
      </c>
      <c r="JI426">
        <v>0</v>
      </c>
      <c r="JJ426">
        <v>0</v>
      </c>
      <c r="JK426">
        <v>0</v>
      </c>
      <c r="JL426">
        <v>0</v>
      </c>
      <c r="JM426">
        <v>0</v>
      </c>
      <c r="JN426">
        <v>0</v>
      </c>
      <c r="JO426">
        <v>0</v>
      </c>
      <c r="JP426">
        <v>0</v>
      </c>
      <c r="JQ426">
        <v>0</v>
      </c>
      <c r="JR426">
        <v>0</v>
      </c>
      <c r="JS426">
        <v>0</v>
      </c>
      <c r="JT426">
        <v>0</v>
      </c>
      <c r="JU426">
        <v>0</v>
      </c>
      <c r="JV426">
        <v>0</v>
      </c>
      <c r="JW426">
        <v>0</v>
      </c>
      <c r="JX426">
        <v>0</v>
      </c>
      <c r="JY426">
        <v>0</v>
      </c>
      <c r="JZ426">
        <v>0</v>
      </c>
      <c r="KA426">
        <v>0</v>
      </c>
      <c r="KB426">
        <v>0</v>
      </c>
      <c r="KC426">
        <v>0</v>
      </c>
      <c r="KD426">
        <v>0</v>
      </c>
      <c r="KE426">
        <v>0</v>
      </c>
      <c r="KF426">
        <v>0</v>
      </c>
      <c r="KI426">
        <v>344.6</v>
      </c>
      <c r="KJ426">
        <v>350.8</v>
      </c>
      <c r="KK426">
        <v>22.1</v>
      </c>
      <c r="KL426">
        <v>379.3</v>
      </c>
      <c r="KM426">
        <v>241.4</v>
      </c>
      <c r="KN426">
        <v>0</v>
      </c>
      <c r="KO426">
        <v>0</v>
      </c>
      <c r="KP426">
        <v>57.3</v>
      </c>
      <c r="KQ426">
        <v>224.4</v>
      </c>
      <c r="KR426">
        <v>338.3</v>
      </c>
      <c r="KS426">
        <v>215.8</v>
      </c>
      <c r="KT426">
        <v>40.700000000000003</v>
      </c>
      <c r="KW426">
        <v>2154.5</v>
      </c>
      <c r="KX426">
        <v>1255.7</v>
      </c>
      <c r="KY426">
        <v>1630.1</v>
      </c>
      <c r="KZ426">
        <v>1246.9000000000001</v>
      </c>
      <c r="LB426">
        <v>78.099999999999994</v>
      </c>
      <c r="LC426">
        <v>77.7</v>
      </c>
    </row>
    <row r="427" spans="1:315" ht="18" thickBot="1">
      <c r="A427" s="243"/>
      <c r="B427" s="572"/>
      <c r="C427" s="343"/>
      <c r="D427" s="311"/>
      <c r="E427" s="454">
        <v>0</v>
      </c>
      <c r="F427" s="215">
        <v>0</v>
      </c>
      <c r="G427" s="427">
        <v>3413.8</v>
      </c>
      <c r="H427" s="155"/>
      <c r="I427">
        <v>735</v>
      </c>
      <c r="K427">
        <v>1973.1000000000001</v>
      </c>
      <c r="L427" s="4">
        <v>221.60000000000002</v>
      </c>
      <c r="M427" s="4">
        <v>54.9</v>
      </c>
      <c r="N427" s="4">
        <v>1989.7</v>
      </c>
      <c r="P427">
        <v>0</v>
      </c>
      <c r="Q427">
        <v>238.29999999999998</v>
      </c>
      <c r="R427">
        <v>0</v>
      </c>
      <c r="S427">
        <v>0</v>
      </c>
      <c r="T427">
        <v>368.5</v>
      </c>
      <c r="W427">
        <v>720.3</v>
      </c>
      <c r="X427">
        <v>1411.5</v>
      </c>
      <c r="Y427">
        <v>96.5</v>
      </c>
      <c r="AA427">
        <v>859.6</v>
      </c>
      <c r="AB427">
        <v>1577.6000000000001</v>
      </c>
      <c r="AE427">
        <v>1330</v>
      </c>
      <c r="AF427">
        <v>1025.5</v>
      </c>
      <c r="AH427">
        <v>509.9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1349.3</v>
      </c>
      <c r="AO427">
        <v>786.40000000000009</v>
      </c>
      <c r="AP427">
        <v>0</v>
      </c>
      <c r="AQ427">
        <v>68.3</v>
      </c>
      <c r="AR427">
        <v>234.9</v>
      </c>
      <c r="AS427">
        <v>600.40000000000009</v>
      </c>
      <c r="AU427">
        <v>985.69999999999993</v>
      </c>
      <c r="AW427">
        <v>792</v>
      </c>
      <c r="AX427">
        <v>1988.5</v>
      </c>
      <c r="AZ427">
        <v>763.5</v>
      </c>
      <c r="BA427">
        <v>0</v>
      </c>
      <c r="BB427">
        <v>0</v>
      </c>
      <c r="BC427">
        <v>1935.3</v>
      </c>
      <c r="BD427">
        <v>1006.5</v>
      </c>
      <c r="BE427">
        <v>0</v>
      </c>
      <c r="BF427">
        <v>0</v>
      </c>
      <c r="BG427">
        <v>0</v>
      </c>
      <c r="BH427">
        <v>1662.6</v>
      </c>
      <c r="BJ427">
        <v>0</v>
      </c>
      <c r="BK427">
        <v>0</v>
      </c>
      <c r="BL427">
        <v>1038.9000000000001</v>
      </c>
      <c r="BM427">
        <v>1101</v>
      </c>
      <c r="BO427">
        <v>1276.8000000000002</v>
      </c>
      <c r="BQ427">
        <v>0</v>
      </c>
      <c r="BR427">
        <v>270.7</v>
      </c>
      <c r="BS427">
        <v>230.5</v>
      </c>
      <c r="BT427">
        <v>472.3</v>
      </c>
      <c r="BU427">
        <v>537.29999999999995</v>
      </c>
      <c r="BV427">
        <v>346.3</v>
      </c>
      <c r="BW427">
        <v>386.2</v>
      </c>
      <c r="BX427">
        <v>767</v>
      </c>
      <c r="BY427">
        <v>757.2</v>
      </c>
      <c r="BZ427">
        <v>1037.2</v>
      </c>
      <c r="CA427">
        <v>1227.0999999999999</v>
      </c>
      <c r="CB427">
        <v>1232.0999999999999</v>
      </c>
      <c r="CC427">
        <v>1701.5</v>
      </c>
      <c r="CD427">
        <v>0</v>
      </c>
      <c r="CG427">
        <v>1385.3</v>
      </c>
      <c r="CJ427">
        <v>1630.2999999999997</v>
      </c>
      <c r="CM427">
        <v>1184.2</v>
      </c>
      <c r="CO427">
        <v>1248.0999999999999</v>
      </c>
      <c r="CQ427">
        <v>1435.3</v>
      </c>
      <c r="CR427">
        <v>798.2</v>
      </c>
      <c r="CS427">
        <v>923.8</v>
      </c>
      <c r="CT427">
        <v>0</v>
      </c>
      <c r="CU427">
        <v>0</v>
      </c>
      <c r="CV427">
        <v>0</v>
      </c>
      <c r="CW427">
        <v>0</v>
      </c>
      <c r="CX427">
        <v>163.69999999999999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I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G427" t="e">
        <v>#N/A</v>
      </c>
      <c r="FI427" t="e">
        <v>#N/A</v>
      </c>
      <c r="FK427" t="e">
        <v>#N/A</v>
      </c>
      <c r="FM427" t="e">
        <v>#N/A</v>
      </c>
      <c r="FO427" t="e">
        <v>#N/A</v>
      </c>
      <c r="FQ427" t="e">
        <v>#N/A</v>
      </c>
      <c r="FS427" t="e">
        <v>#N/A</v>
      </c>
      <c r="FU427" t="e">
        <v>#N/A</v>
      </c>
      <c r="FW427" t="e">
        <v>#N/A</v>
      </c>
      <c r="FY427" t="e">
        <v>#N/A</v>
      </c>
      <c r="GA427" t="e">
        <v>#N/A</v>
      </c>
      <c r="GC427" t="e">
        <v>#N/A</v>
      </c>
      <c r="GE427" t="e">
        <v>#N/A</v>
      </c>
      <c r="GG427" t="e">
        <v>#N/A</v>
      </c>
      <c r="GI427" t="e">
        <v>#N/A</v>
      </c>
      <c r="GK427" t="e">
        <v>#N/A</v>
      </c>
      <c r="GM427" t="e">
        <v>#N/A</v>
      </c>
      <c r="GO427" t="e">
        <v>#N/A</v>
      </c>
      <c r="GQ427" t="e">
        <v>#N/A</v>
      </c>
      <c r="GS427" t="e">
        <v>#N/A</v>
      </c>
      <c r="GU427" t="e">
        <v>#N/A</v>
      </c>
      <c r="GW427" t="e">
        <v>#N/A</v>
      </c>
      <c r="GY427" t="e">
        <v>#N/A</v>
      </c>
      <c r="HA427" t="e">
        <v>#N/A</v>
      </c>
      <c r="HC427">
        <v>0</v>
      </c>
      <c r="HD427">
        <v>0</v>
      </c>
      <c r="HE427">
        <v>0</v>
      </c>
      <c r="HF427">
        <v>0</v>
      </c>
      <c r="HG427">
        <v>0</v>
      </c>
      <c r="HH427">
        <v>0</v>
      </c>
      <c r="HI427">
        <v>0</v>
      </c>
      <c r="HJ427">
        <v>0</v>
      </c>
      <c r="HM427">
        <v>0</v>
      </c>
      <c r="HN427">
        <v>0</v>
      </c>
      <c r="HO427">
        <v>0</v>
      </c>
      <c r="HP427">
        <v>0</v>
      </c>
      <c r="HQ427">
        <v>0</v>
      </c>
      <c r="HR427">
        <v>0</v>
      </c>
      <c r="HS427">
        <v>0</v>
      </c>
      <c r="HT427">
        <v>0</v>
      </c>
      <c r="HW427">
        <v>0</v>
      </c>
      <c r="HX427">
        <v>0</v>
      </c>
      <c r="HY427">
        <v>0</v>
      </c>
      <c r="HZ427">
        <v>0</v>
      </c>
      <c r="IA427">
        <v>3930.6</v>
      </c>
      <c r="IB427">
        <v>3632.9</v>
      </c>
      <c r="IC427">
        <v>3795.5</v>
      </c>
      <c r="ID427">
        <v>0</v>
      </c>
      <c r="IE427">
        <v>0</v>
      </c>
      <c r="IF427">
        <v>3548.5</v>
      </c>
      <c r="IG427">
        <v>3395.2</v>
      </c>
      <c r="IH427">
        <v>3395.4</v>
      </c>
      <c r="II427">
        <v>3302.3</v>
      </c>
      <c r="IJ427">
        <v>3172.8</v>
      </c>
      <c r="IK427">
        <v>0</v>
      </c>
      <c r="IL427">
        <v>0</v>
      </c>
      <c r="IM427">
        <v>0</v>
      </c>
      <c r="IN427">
        <v>0</v>
      </c>
      <c r="IO427">
        <v>123.4</v>
      </c>
      <c r="IP427">
        <v>405.2</v>
      </c>
      <c r="IQ427">
        <v>418.7</v>
      </c>
      <c r="IR427">
        <v>0</v>
      </c>
      <c r="IS427">
        <v>0</v>
      </c>
      <c r="IT427">
        <v>0</v>
      </c>
      <c r="IU427">
        <v>0</v>
      </c>
      <c r="IV427">
        <v>396</v>
      </c>
      <c r="IW427">
        <v>0</v>
      </c>
      <c r="IX427">
        <v>0</v>
      </c>
      <c r="IZ427">
        <v>0</v>
      </c>
      <c r="JA427">
        <v>65.5</v>
      </c>
      <c r="JB427">
        <v>443.5</v>
      </c>
      <c r="JC427">
        <v>0</v>
      </c>
      <c r="JD427">
        <v>0</v>
      </c>
      <c r="JE427">
        <v>0</v>
      </c>
      <c r="JF427">
        <v>0</v>
      </c>
      <c r="JG427">
        <v>0</v>
      </c>
      <c r="JH427">
        <v>0</v>
      </c>
      <c r="JI427">
        <v>0</v>
      </c>
      <c r="JJ427">
        <v>0</v>
      </c>
      <c r="JK427">
        <v>0</v>
      </c>
      <c r="JL427">
        <v>0</v>
      </c>
      <c r="JM427">
        <v>0</v>
      </c>
      <c r="JN427">
        <v>0</v>
      </c>
      <c r="JO427">
        <v>0</v>
      </c>
      <c r="JP427">
        <v>0</v>
      </c>
      <c r="JQ427">
        <v>0</v>
      </c>
      <c r="JR427">
        <v>0</v>
      </c>
      <c r="JS427">
        <v>0</v>
      </c>
      <c r="JT427">
        <v>0</v>
      </c>
      <c r="JU427">
        <v>0</v>
      </c>
      <c r="JV427">
        <v>0</v>
      </c>
      <c r="JW427">
        <v>0</v>
      </c>
      <c r="JX427">
        <v>0</v>
      </c>
      <c r="JY427">
        <v>0</v>
      </c>
      <c r="JZ427">
        <v>0</v>
      </c>
      <c r="KA427">
        <v>0</v>
      </c>
      <c r="KB427">
        <v>0</v>
      </c>
      <c r="KC427">
        <v>0</v>
      </c>
      <c r="KD427">
        <v>0</v>
      </c>
      <c r="KE427">
        <v>0</v>
      </c>
      <c r="KF427">
        <v>0</v>
      </c>
      <c r="KI427">
        <v>344.6</v>
      </c>
      <c r="KJ427">
        <v>350.8</v>
      </c>
      <c r="KK427">
        <v>22.1</v>
      </c>
      <c r="KL427">
        <v>379.3</v>
      </c>
      <c r="KM427">
        <v>241.4</v>
      </c>
      <c r="KN427">
        <v>0</v>
      </c>
      <c r="KO427">
        <v>0</v>
      </c>
      <c r="KP427">
        <v>57.3</v>
      </c>
      <c r="KQ427">
        <v>224.4</v>
      </c>
      <c r="KR427">
        <v>338.3</v>
      </c>
      <c r="KS427">
        <v>215.8</v>
      </c>
      <c r="KT427">
        <v>40.700000000000003</v>
      </c>
      <c r="KW427">
        <v>2154.5</v>
      </c>
      <c r="KX427">
        <v>1255.7</v>
      </c>
      <c r="KY427">
        <v>1630.1</v>
      </c>
      <c r="KZ427">
        <v>1246.9000000000001</v>
      </c>
      <c r="LB427">
        <v>78.099999999999994</v>
      </c>
      <c r="LC427">
        <v>77.7</v>
      </c>
    </row>
    <row r="428" spans="1:315" ht="18" thickBot="1">
      <c r="A428" s="250"/>
      <c r="B428" s="576" t="s">
        <v>380</v>
      </c>
      <c r="C428" s="341" t="s">
        <v>881</v>
      </c>
      <c r="D428" s="311" t="s">
        <v>702</v>
      </c>
      <c r="E428" s="454">
        <v>0</v>
      </c>
      <c r="F428" s="216">
        <v>0</v>
      </c>
      <c r="G428" s="427">
        <v>3413.8</v>
      </c>
      <c r="H428" s="155"/>
      <c r="I428">
        <v>735</v>
      </c>
      <c r="K428">
        <v>1973.1000000000001</v>
      </c>
      <c r="L428" s="4">
        <v>221.60000000000002</v>
      </c>
      <c r="M428" s="4">
        <v>54.9</v>
      </c>
      <c r="N428" s="4">
        <v>1989.7</v>
      </c>
      <c r="P428">
        <v>0</v>
      </c>
      <c r="Q428">
        <v>238.29999999999998</v>
      </c>
      <c r="R428">
        <v>0</v>
      </c>
      <c r="S428">
        <v>0</v>
      </c>
      <c r="T428">
        <v>368.5</v>
      </c>
      <c r="W428">
        <v>720.3</v>
      </c>
      <c r="X428">
        <v>1411.5</v>
      </c>
      <c r="Y428">
        <v>96.5</v>
      </c>
      <c r="AA428">
        <v>859.6</v>
      </c>
      <c r="AB428">
        <v>1577.6000000000001</v>
      </c>
      <c r="AE428">
        <v>1330</v>
      </c>
      <c r="AF428">
        <v>1025.5</v>
      </c>
      <c r="AH428">
        <v>509.9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1349.3</v>
      </c>
      <c r="AO428">
        <v>786.40000000000009</v>
      </c>
      <c r="AP428">
        <v>0</v>
      </c>
      <c r="AQ428">
        <v>68.3</v>
      </c>
      <c r="AR428">
        <v>234.9</v>
      </c>
      <c r="AS428">
        <v>600.40000000000009</v>
      </c>
      <c r="AU428">
        <v>985.69999999999993</v>
      </c>
      <c r="AW428">
        <v>792</v>
      </c>
      <c r="AX428">
        <v>1988.5</v>
      </c>
      <c r="AZ428">
        <v>763.5</v>
      </c>
      <c r="BA428">
        <v>0</v>
      </c>
      <c r="BB428">
        <v>0</v>
      </c>
      <c r="BC428">
        <v>1935.3</v>
      </c>
      <c r="BD428">
        <v>1006.5</v>
      </c>
      <c r="BE428">
        <v>0</v>
      </c>
      <c r="BF428">
        <v>0</v>
      </c>
      <c r="BG428">
        <v>0</v>
      </c>
      <c r="BH428">
        <v>1662.6</v>
      </c>
      <c r="BJ428">
        <v>0</v>
      </c>
      <c r="BK428">
        <v>0</v>
      </c>
      <c r="BL428">
        <v>1038.9000000000001</v>
      </c>
      <c r="BM428">
        <v>1101</v>
      </c>
      <c r="BO428">
        <v>1276.8000000000002</v>
      </c>
      <c r="BQ428">
        <v>0</v>
      </c>
      <c r="BR428">
        <v>270.7</v>
      </c>
      <c r="BS428">
        <v>230.5</v>
      </c>
      <c r="BT428">
        <v>472.3</v>
      </c>
      <c r="BU428">
        <v>537.29999999999995</v>
      </c>
      <c r="BV428">
        <v>346.3</v>
      </c>
      <c r="BW428">
        <v>386.2</v>
      </c>
      <c r="BX428">
        <v>767</v>
      </c>
      <c r="BY428">
        <v>757.2</v>
      </c>
      <c r="BZ428">
        <v>1037.2</v>
      </c>
      <c r="CA428">
        <v>1227.0999999999999</v>
      </c>
      <c r="CB428">
        <v>1232.0999999999999</v>
      </c>
      <c r="CC428">
        <v>1701.5</v>
      </c>
      <c r="CD428">
        <v>0</v>
      </c>
      <c r="CG428">
        <v>1385.3</v>
      </c>
      <c r="CJ428">
        <v>1630.2999999999997</v>
      </c>
      <c r="CM428">
        <v>1184.2</v>
      </c>
      <c r="CO428">
        <v>1248.0999999999999</v>
      </c>
      <c r="CQ428">
        <v>1435.3</v>
      </c>
      <c r="CR428">
        <v>798.2</v>
      </c>
      <c r="CS428">
        <v>923.8</v>
      </c>
      <c r="CT428">
        <v>0</v>
      </c>
      <c r="CU428">
        <v>0</v>
      </c>
      <c r="CV428">
        <v>0</v>
      </c>
      <c r="CW428">
        <v>0</v>
      </c>
      <c r="CX428">
        <v>163.69999999999999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I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G428" t="e">
        <v>#N/A</v>
      </c>
      <c r="FI428" t="e">
        <v>#N/A</v>
      </c>
      <c r="FK428" t="e">
        <v>#N/A</v>
      </c>
      <c r="FM428" t="e">
        <v>#N/A</v>
      </c>
      <c r="FO428" t="e">
        <v>#N/A</v>
      </c>
      <c r="FQ428" t="e">
        <v>#N/A</v>
      </c>
      <c r="FS428" t="e">
        <v>#N/A</v>
      </c>
      <c r="FU428" t="e">
        <v>#N/A</v>
      </c>
      <c r="FW428" t="e">
        <v>#N/A</v>
      </c>
      <c r="FY428" t="e">
        <v>#N/A</v>
      </c>
      <c r="GA428" t="e">
        <v>#N/A</v>
      </c>
      <c r="GC428" t="e">
        <v>#N/A</v>
      </c>
      <c r="GE428" t="e">
        <v>#N/A</v>
      </c>
      <c r="GG428" t="e">
        <v>#N/A</v>
      </c>
      <c r="GI428" t="e">
        <v>#N/A</v>
      </c>
      <c r="GK428" t="e">
        <v>#N/A</v>
      </c>
      <c r="GM428" t="e">
        <v>#N/A</v>
      </c>
      <c r="GO428" t="e">
        <v>#N/A</v>
      </c>
      <c r="GQ428" t="e">
        <v>#N/A</v>
      </c>
      <c r="GS428" t="e">
        <v>#N/A</v>
      </c>
      <c r="GU428" t="e">
        <v>#N/A</v>
      </c>
      <c r="GW428" t="e">
        <v>#N/A</v>
      </c>
      <c r="GY428" t="e">
        <v>#N/A</v>
      </c>
      <c r="HA428" t="e">
        <v>#N/A</v>
      </c>
      <c r="HC428">
        <v>0</v>
      </c>
      <c r="HD428">
        <v>0</v>
      </c>
      <c r="HE428">
        <v>0</v>
      </c>
      <c r="HF428">
        <v>0</v>
      </c>
      <c r="HG428">
        <v>0</v>
      </c>
      <c r="HH428">
        <v>0</v>
      </c>
      <c r="HI428">
        <v>0</v>
      </c>
      <c r="HJ428">
        <v>0</v>
      </c>
      <c r="HM428">
        <v>0</v>
      </c>
      <c r="HN428">
        <v>0</v>
      </c>
      <c r="HO428">
        <v>0</v>
      </c>
      <c r="HP428">
        <v>0</v>
      </c>
      <c r="HQ428">
        <v>0</v>
      </c>
      <c r="HR428">
        <v>0</v>
      </c>
      <c r="HS428">
        <v>0</v>
      </c>
      <c r="HT428">
        <v>0</v>
      </c>
      <c r="HW428">
        <v>0</v>
      </c>
      <c r="HX428">
        <v>0</v>
      </c>
      <c r="HY428">
        <v>0</v>
      </c>
      <c r="HZ428">
        <v>0</v>
      </c>
      <c r="IA428">
        <v>3930.6</v>
      </c>
      <c r="IB428">
        <v>3632.9</v>
      </c>
      <c r="IC428">
        <v>3795.5</v>
      </c>
      <c r="ID428">
        <v>0</v>
      </c>
      <c r="IE428">
        <v>0</v>
      </c>
      <c r="IF428">
        <v>3548.5</v>
      </c>
      <c r="IG428">
        <v>3395.2</v>
      </c>
      <c r="IH428">
        <v>3395.4</v>
      </c>
      <c r="II428">
        <v>3302.3</v>
      </c>
      <c r="IJ428">
        <v>3172.8</v>
      </c>
      <c r="IK428">
        <v>0</v>
      </c>
      <c r="IL428">
        <v>0</v>
      </c>
      <c r="IM428">
        <v>0</v>
      </c>
      <c r="IN428">
        <v>0</v>
      </c>
      <c r="IO428">
        <v>123.4</v>
      </c>
      <c r="IP428">
        <v>405.2</v>
      </c>
      <c r="IQ428">
        <v>418.7</v>
      </c>
      <c r="IR428">
        <v>0</v>
      </c>
      <c r="IS428">
        <v>0</v>
      </c>
      <c r="IT428">
        <v>0</v>
      </c>
      <c r="IU428">
        <v>0</v>
      </c>
      <c r="IV428">
        <v>396</v>
      </c>
      <c r="IW428">
        <v>0</v>
      </c>
      <c r="IX428">
        <v>0</v>
      </c>
      <c r="IZ428">
        <v>0</v>
      </c>
      <c r="JA428">
        <v>65.5</v>
      </c>
      <c r="JB428">
        <v>443.5</v>
      </c>
      <c r="JC428">
        <v>0</v>
      </c>
      <c r="JD428">
        <v>0</v>
      </c>
      <c r="JE428">
        <v>0</v>
      </c>
      <c r="JF428">
        <v>0</v>
      </c>
      <c r="JG428">
        <v>0</v>
      </c>
      <c r="JH428">
        <v>0</v>
      </c>
      <c r="JI428">
        <v>0</v>
      </c>
      <c r="JJ428">
        <v>0</v>
      </c>
      <c r="JK428">
        <v>0</v>
      </c>
      <c r="JL428">
        <v>0</v>
      </c>
      <c r="JM428">
        <v>0</v>
      </c>
      <c r="JN428">
        <v>0</v>
      </c>
      <c r="JO428">
        <v>0</v>
      </c>
      <c r="JP428">
        <v>0</v>
      </c>
      <c r="JQ428">
        <v>0</v>
      </c>
      <c r="JR428">
        <v>0</v>
      </c>
      <c r="JS428">
        <v>0</v>
      </c>
      <c r="JT428">
        <v>0</v>
      </c>
      <c r="JU428">
        <v>0</v>
      </c>
      <c r="JV428">
        <v>0</v>
      </c>
      <c r="JW428">
        <v>0</v>
      </c>
      <c r="JX428">
        <v>0</v>
      </c>
      <c r="JY428">
        <v>0</v>
      </c>
      <c r="JZ428">
        <v>0</v>
      </c>
      <c r="KA428">
        <v>0</v>
      </c>
      <c r="KB428">
        <v>0</v>
      </c>
      <c r="KC428">
        <v>0</v>
      </c>
      <c r="KD428">
        <v>0</v>
      </c>
      <c r="KE428">
        <v>0</v>
      </c>
      <c r="KF428">
        <v>0</v>
      </c>
      <c r="KI428">
        <v>344.6</v>
      </c>
      <c r="KJ428">
        <v>350.8</v>
      </c>
      <c r="KK428">
        <v>22.1</v>
      </c>
      <c r="KL428">
        <v>379.3</v>
      </c>
      <c r="KM428">
        <v>241.4</v>
      </c>
      <c r="KN428">
        <v>0</v>
      </c>
      <c r="KO428">
        <v>0</v>
      </c>
      <c r="KP428">
        <v>57.3</v>
      </c>
      <c r="KQ428">
        <v>224.4</v>
      </c>
      <c r="KR428">
        <v>338.3</v>
      </c>
      <c r="KS428">
        <v>215.8</v>
      </c>
      <c r="KT428">
        <v>40.700000000000003</v>
      </c>
      <c r="KW428">
        <v>2154.5</v>
      </c>
      <c r="KX428">
        <v>1255.7</v>
      </c>
      <c r="KY428">
        <v>1630.1</v>
      </c>
      <c r="KZ428">
        <v>1246.9000000000001</v>
      </c>
      <c r="LB428">
        <v>78.099999999999994</v>
      </c>
      <c r="LC428">
        <v>77.7</v>
      </c>
    </row>
    <row r="429" spans="1:315" ht="18" thickBot="1">
      <c r="A429" s="251"/>
      <c r="B429" s="577"/>
      <c r="C429" s="343"/>
      <c r="D429" s="311"/>
      <c r="E429" s="454">
        <v>0</v>
      </c>
      <c r="F429" s="217">
        <v>0</v>
      </c>
      <c r="G429" s="427">
        <v>3413.8</v>
      </c>
      <c r="H429" s="155"/>
      <c r="I429">
        <v>735</v>
      </c>
      <c r="K429">
        <v>1973.1000000000001</v>
      </c>
      <c r="L429" s="4">
        <v>221.60000000000002</v>
      </c>
      <c r="M429" s="4">
        <v>54.9</v>
      </c>
      <c r="N429" s="4">
        <v>1989.7</v>
      </c>
      <c r="P429">
        <v>0</v>
      </c>
      <c r="Q429">
        <v>238.29999999999998</v>
      </c>
      <c r="R429">
        <v>0</v>
      </c>
      <c r="S429">
        <v>0</v>
      </c>
      <c r="T429">
        <v>368.5</v>
      </c>
      <c r="W429">
        <v>720.3</v>
      </c>
      <c r="X429">
        <v>1411.5</v>
      </c>
      <c r="Y429">
        <v>96.5</v>
      </c>
      <c r="AA429">
        <v>859.6</v>
      </c>
      <c r="AB429">
        <v>1577.6000000000001</v>
      </c>
      <c r="AE429">
        <v>1330</v>
      </c>
      <c r="AF429">
        <v>1025.5</v>
      </c>
      <c r="AH429">
        <v>509.9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1349.3</v>
      </c>
      <c r="AO429">
        <v>786.40000000000009</v>
      </c>
      <c r="AP429">
        <v>0</v>
      </c>
      <c r="AQ429">
        <v>68.3</v>
      </c>
      <c r="AR429">
        <v>234.9</v>
      </c>
      <c r="AS429">
        <v>600.40000000000009</v>
      </c>
      <c r="AU429">
        <v>985.69999999999993</v>
      </c>
      <c r="AW429">
        <v>792</v>
      </c>
      <c r="AX429">
        <v>1988.5</v>
      </c>
      <c r="AZ429">
        <v>763.5</v>
      </c>
      <c r="BA429">
        <v>0</v>
      </c>
      <c r="BB429">
        <v>0</v>
      </c>
      <c r="BC429">
        <v>1935.3</v>
      </c>
      <c r="BD429">
        <v>1006.5</v>
      </c>
      <c r="BE429">
        <v>0</v>
      </c>
      <c r="BF429">
        <v>0</v>
      </c>
      <c r="BG429">
        <v>0</v>
      </c>
      <c r="BH429">
        <v>1662.6</v>
      </c>
      <c r="BJ429">
        <v>0</v>
      </c>
      <c r="BK429">
        <v>0</v>
      </c>
      <c r="BL429">
        <v>1038.9000000000001</v>
      </c>
      <c r="BM429">
        <v>1101</v>
      </c>
      <c r="BO429">
        <v>1276.8000000000002</v>
      </c>
      <c r="BQ429">
        <v>0</v>
      </c>
      <c r="BR429">
        <v>270.7</v>
      </c>
      <c r="BS429">
        <v>230.5</v>
      </c>
      <c r="BT429">
        <v>472.3</v>
      </c>
      <c r="BU429">
        <v>537.29999999999995</v>
      </c>
      <c r="BV429">
        <v>346.3</v>
      </c>
      <c r="BW429">
        <v>386.2</v>
      </c>
      <c r="BX429">
        <v>767</v>
      </c>
      <c r="BY429">
        <v>757.2</v>
      </c>
      <c r="BZ429">
        <v>1037.2</v>
      </c>
      <c r="CA429">
        <v>1227.0999999999999</v>
      </c>
      <c r="CB429">
        <v>1232.0999999999999</v>
      </c>
      <c r="CC429">
        <v>1701.5</v>
      </c>
      <c r="CD429">
        <v>0</v>
      </c>
      <c r="CG429">
        <v>1385.3</v>
      </c>
      <c r="CJ429">
        <v>1630.2999999999997</v>
      </c>
      <c r="CM429">
        <v>1184.2</v>
      </c>
      <c r="CO429">
        <v>1248.0999999999999</v>
      </c>
      <c r="CQ429">
        <v>1435.3</v>
      </c>
      <c r="CR429">
        <v>798.2</v>
      </c>
      <c r="CS429">
        <v>923.8</v>
      </c>
      <c r="CT429">
        <v>0</v>
      </c>
      <c r="CU429">
        <v>0</v>
      </c>
      <c r="CV429">
        <v>0</v>
      </c>
      <c r="CW429">
        <v>0</v>
      </c>
      <c r="CX429">
        <v>163.69999999999999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I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G429" t="e">
        <v>#N/A</v>
      </c>
      <c r="FI429" t="e">
        <v>#N/A</v>
      </c>
      <c r="FK429" t="e">
        <v>#N/A</v>
      </c>
      <c r="FM429" t="e">
        <v>#N/A</v>
      </c>
      <c r="FO429" t="e">
        <v>#N/A</v>
      </c>
      <c r="FQ429" t="e">
        <v>#N/A</v>
      </c>
      <c r="FS429" t="e">
        <v>#N/A</v>
      </c>
      <c r="FU429" t="e">
        <v>#N/A</v>
      </c>
      <c r="FW429" t="e">
        <v>#N/A</v>
      </c>
      <c r="FY429" t="e">
        <v>#N/A</v>
      </c>
      <c r="GA429" t="e">
        <v>#N/A</v>
      </c>
      <c r="GC429" t="e">
        <v>#N/A</v>
      </c>
      <c r="GE429" t="e">
        <v>#N/A</v>
      </c>
      <c r="GG429" t="e">
        <v>#N/A</v>
      </c>
      <c r="GI429" t="e">
        <v>#N/A</v>
      </c>
      <c r="GK429" t="e">
        <v>#N/A</v>
      </c>
      <c r="GM429" t="e">
        <v>#N/A</v>
      </c>
      <c r="GO429" t="e">
        <v>#N/A</v>
      </c>
      <c r="GQ429" t="e">
        <v>#N/A</v>
      </c>
      <c r="GS429" t="e">
        <v>#N/A</v>
      </c>
      <c r="GU429" t="e">
        <v>#N/A</v>
      </c>
      <c r="GW429" t="e">
        <v>#N/A</v>
      </c>
      <c r="GY429" t="e">
        <v>#N/A</v>
      </c>
      <c r="HA429" t="e">
        <v>#N/A</v>
      </c>
      <c r="HC429">
        <v>0</v>
      </c>
      <c r="HD429">
        <v>0</v>
      </c>
      <c r="HE429">
        <v>0</v>
      </c>
      <c r="HF429">
        <v>0</v>
      </c>
      <c r="HG429">
        <v>0</v>
      </c>
      <c r="HH429">
        <v>0</v>
      </c>
      <c r="HI429">
        <v>0</v>
      </c>
      <c r="HJ429">
        <v>0</v>
      </c>
      <c r="HM429">
        <v>0</v>
      </c>
      <c r="HN429">
        <v>0</v>
      </c>
      <c r="HO429">
        <v>0</v>
      </c>
      <c r="HP429">
        <v>0</v>
      </c>
      <c r="HQ429">
        <v>0</v>
      </c>
      <c r="HR429">
        <v>0</v>
      </c>
      <c r="HS429">
        <v>0</v>
      </c>
      <c r="HT429">
        <v>0</v>
      </c>
      <c r="HW429">
        <v>0</v>
      </c>
      <c r="HX429">
        <v>0</v>
      </c>
      <c r="HY429">
        <v>0</v>
      </c>
      <c r="HZ429">
        <v>0</v>
      </c>
      <c r="IA429">
        <v>3930.6</v>
      </c>
      <c r="IB429">
        <v>3632.9</v>
      </c>
      <c r="IC429">
        <v>3795.5</v>
      </c>
      <c r="ID429">
        <v>0</v>
      </c>
      <c r="IE429">
        <v>0</v>
      </c>
      <c r="IF429">
        <v>3548.5</v>
      </c>
      <c r="IG429">
        <v>3395.2</v>
      </c>
      <c r="IH429">
        <v>3395.4</v>
      </c>
      <c r="II429">
        <v>3302.3</v>
      </c>
      <c r="IJ429">
        <v>3172.8</v>
      </c>
      <c r="IK429">
        <v>0</v>
      </c>
      <c r="IL429">
        <v>0</v>
      </c>
      <c r="IM429">
        <v>0</v>
      </c>
      <c r="IN429">
        <v>0</v>
      </c>
      <c r="IO429">
        <v>123.4</v>
      </c>
      <c r="IP429">
        <v>405.2</v>
      </c>
      <c r="IQ429">
        <v>418.7</v>
      </c>
      <c r="IR429">
        <v>0</v>
      </c>
      <c r="IS429">
        <v>0</v>
      </c>
      <c r="IT429">
        <v>0</v>
      </c>
      <c r="IU429">
        <v>0</v>
      </c>
      <c r="IV429">
        <v>396</v>
      </c>
      <c r="IW429">
        <v>0</v>
      </c>
      <c r="IX429">
        <v>0</v>
      </c>
      <c r="IZ429">
        <v>0</v>
      </c>
      <c r="JA429">
        <v>65.5</v>
      </c>
      <c r="JB429">
        <v>443.5</v>
      </c>
      <c r="JC429">
        <v>0</v>
      </c>
      <c r="JD429">
        <v>0</v>
      </c>
      <c r="JE429">
        <v>0</v>
      </c>
      <c r="JF429">
        <v>0</v>
      </c>
      <c r="JG429">
        <v>0</v>
      </c>
      <c r="JH429">
        <v>0</v>
      </c>
      <c r="JI429">
        <v>0</v>
      </c>
      <c r="JJ429">
        <v>0</v>
      </c>
      <c r="JK429">
        <v>0</v>
      </c>
      <c r="JL429">
        <v>0</v>
      </c>
      <c r="JM429">
        <v>0</v>
      </c>
      <c r="JN429">
        <v>0</v>
      </c>
      <c r="JO429">
        <v>0</v>
      </c>
      <c r="JP429">
        <v>0</v>
      </c>
      <c r="JQ429">
        <v>0</v>
      </c>
      <c r="JR429">
        <v>0</v>
      </c>
      <c r="JS429">
        <v>0</v>
      </c>
      <c r="JT429">
        <v>0</v>
      </c>
      <c r="JU429">
        <v>0</v>
      </c>
      <c r="JV429">
        <v>0</v>
      </c>
      <c r="JW429">
        <v>0</v>
      </c>
      <c r="JX429">
        <v>0</v>
      </c>
      <c r="JY429">
        <v>0</v>
      </c>
      <c r="JZ429">
        <v>0</v>
      </c>
      <c r="KA429">
        <v>0</v>
      </c>
      <c r="KB429">
        <v>0</v>
      </c>
      <c r="KC429">
        <v>0</v>
      </c>
      <c r="KD429">
        <v>0</v>
      </c>
      <c r="KE429">
        <v>0</v>
      </c>
      <c r="KF429">
        <v>0</v>
      </c>
      <c r="KI429">
        <v>344.6</v>
      </c>
      <c r="KJ429">
        <v>350.8</v>
      </c>
      <c r="KK429">
        <v>22.1</v>
      </c>
      <c r="KL429">
        <v>379.3</v>
      </c>
      <c r="KM429">
        <v>241.4</v>
      </c>
      <c r="KN429">
        <v>0</v>
      </c>
      <c r="KO429">
        <v>0</v>
      </c>
      <c r="KP429">
        <v>57.3</v>
      </c>
      <c r="KQ429">
        <v>224.4</v>
      </c>
      <c r="KR429">
        <v>338.3</v>
      </c>
      <c r="KS429">
        <v>215.8</v>
      </c>
      <c r="KT429">
        <v>40.700000000000003</v>
      </c>
      <c r="KW429">
        <v>2154.5</v>
      </c>
      <c r="KX429">
        <v>1255.7</v>
      </c>
      <c r="KY429">
        <v>1630.1</v>
      </c>
      <c r="KZ429">
        <v>1246.9000000000001</v>
      </c>
      <c r="LB429">
        <v>78.099999999999994</v>
      </c>
      <c r="LC429">
        <v>77.7</v>
      </c>
    </row>
    <row r="430" spans="1:315" ht="18" thickBot="1">
      <c r="A430" s="243"/>
      <c r="B430" s="572" t="s">
        <v>381</v>
      </c>
      <c r="C430" s="341" t="s">
        <v>882</v>
      </c>
      <c r="D430" s="311" t="s">
        <v>702</v>
      </c>
      <c r="E430" s="454">
        <v>0</v>
      </c>
      <c r="F430" s="213">
        <v>0</v>
      </c>
      <c r="G430" s="427">
        <v>3413.8</v>
      </c>
      <c r="H430" s="155"/>
      <c r="I430">
        <v>735</v>
      </c>
      <c r="K430">
        <v>1973.1000000000001</v>
      </c>
      <c r="L430" s="4">
        <v>221.60000000000002</v>
      </c>
      <c r="M430" s="4">
        <v>54.9</v>
      </c>
      <c r="N430" s="4">
        <v>1989.7</v>
      </c>
      <c r="P430">
        <v>0</v>
      </c>
      <c r="Q430">
        <v>238.29999999999998</v>
      </c>
      <c r="R430">
        <v>0</v>
      </c>
      <c r="S430">
        <v>0</v>
      </c>
      <c r="T430">
        <v>368.5</v>
      </c>
      <c r="W430">
        <v>720.3</v>
      </c>
      <c r="X430">
        <v>1411.5</v>
      </c>
      <c r="Y430">
        <v>96.5</v>
      </c>
      <c r="AA430">
        <v>859.6</v>
      </c>
      <c r="AB430">
        <v>1577.6000000000001</v>
      </c>
      <c r="AE430">
        <v>1330</v>
      </c>
      <c r="AF430">
        <v>1025.5</v>
      </c>
      <c r="AH430">
        <v>509.9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1349.3</v>
      </c>
      <c r="AO430">
        <v>786.40000000000009</v>
      </c>
      <c r="AP430">
        <v>0</v>
      </c>
      <c r="AQ430">
        <v>68.3</v>
      </c>
      <c r="AR430">
        <v>234.9</v>
      </c>
      <c r="AS430">
        <v>600.40000000000009</v>
      </c>
      <c r="AU430">
        <v>985.69999999999993</v>
      </c>
      <c r="AW430">
        <v>792</v>
      </c>
      <c r="AX430">
        <v>1988.5</v>
      </c>
      <c r="AZ430">
        <v>763.5</v>
      </c>
      <c r="BA430">
        <v>0</v>
      </c>
      <c r="BB430">
        <v>0</v>
      </c>
      <c r="BC430">
        <v>1935.3</v>
      </c>
      <c r="BD430">
        <v>1006.5</v>
      </c>
      <c r="BE430">
        <v>0</v>
      </c>
      <c r="BF430">
        <v>0</v>
      </c>
      <c r="BG430">
        <v>0</v>
      </c>
      <c r="BH430">
        <v>1662.6</v>
      </c>
      <c r="BJ430">
        <v>0</v>
      </c>
      <c r="BK430">
        <v>0</v>
      </c>
      <c r="BL430">
        <v>1038.9000000000001</v>
      </c>
      <c r="BM430">
        <v>1101</v>
      </c>
      <c r="BO430">
        <v>1276.8000000000002</v>
      </c>
      <c r="BQ430">
        <v>0</v>
      </c>
      <c r="BR430">
        <v>270.7</v>
      </c>
      <c r="BS430">
        <v>230.5</v>
      </c>
      <c r="BT430">
        <v>472.3</v>
      </c>
      <c r="BU430">
        <v>537.29999999999995</v>
      </c>
      <c r="BV430">
        <v>346.3</v>
      </c>
      <c r="BW430">
        <v>386.2</v>
      </c>
      <c r="BX430">
        <v>767</v>
      </c>
      <c r="BY430">
        <v>757.2</v>
      </c>
      <c r="BZ430">
        <v>1037.2</v>
      </c>
      <c r="CA430">
        <v>1227.0999999999999</v>
      </c>
      <c r="CB430">
        <v>1232.0999999999999</v>
      </c>
      <c r="CC430">
        <v>1701.5</v>
      </c>
      <c r="CD430">
        <v>0</v>
      </c>
      <c r="CG430">
        <v>1385.3</v>
      </c>
      <c r="CJ430">
        <v>1630.2999999999997</v>
      </c>
      <c r="CM430">
        <v>1184.2</v>
      </c>
      <c r="CO430">
        <v>1248.0999999999999</v>
      </c>
      <c r="CQ430">
        <v>1435.3</v>
      </c>
      <c r="CR430">
        <v>798.2</v>
      </c>
      <c r="CS430">
        <v>923.8</v>
      </c>
      <c r="CT430">
        <v>0</v>
      </c>
      <c r="CU430">
        <v>0</v>
      </c>
      <c r="CV430">
        <v>0</v>
      </c>
      <c r="CW430">
        <v>0</v>
      </c>
      <c r="CX430">
        <v>163.69999999999999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I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G430" t="e">
        <v>#N/A</v>
      </c>
      <c r="FI430" t="e">
        <v>#N/A</v>
      </c>
      <c r="FK430" t="e">
        <v>#N/A</v>
      </c>
      <c r="FM430" t="e">
        <v>#N/A</v>
      </c>
      <c r="FO430" t="e">
        <v>#N/A</v>
      </c>
      <c r="FQ430" t="e">
        <v>#N/A</v>
      </c>
      <c r="FS430" t="e">
        <v>#N/A</v>
      </c>
      <c r="FU430" t="e">
        <v>#N/A</v>
      </c>
      <c r="FW430" t="e">
        <v>#N/A</v>
      </c>
      <c r="FY430" t="e">
        <v>#N/A</v>
      </c>
      <c r="GA430" t="e">
        <v>#N/A</v>
      </c>
      <c r="GC430" t="e">
        <v>#N/A</v>
      </c>
      <c r="GE430" t="e">
        <v>#N/A</v>
      </c>
      <c r="GG430" t="e">
        <v>#N/A</v>
      </c>
      <c r="GI430" t="e">
        <v>#N/A</v>
      </c>
      <c r="GK430" t="e">
        <v>#N/A</v>
      </c>
      <c r="GM430" t="e">
        <v>#N/A</v>
      </c>
      <c r="GO430" t="e">
        <v>#N/A</v>
      </c>
      <c r="GQ430" t="e">
        <v>#N/A</v>
      </c>
      <c r="GS430" t="e">
        <v>#N/A</v>
      </c>
      <c r="GU430" t="e">
        <v>#N/A</v>
      </c>
      <c r="GW430" t="e">
        <v>#N/A</v>
      </c>
      <c r="GY430" t="e">
        <v>#N/A</v>
      </c>
      <c r="HA430" t="e">
        <v>#N/A</v>
      </c>
      <c r="HC430">
        <v>0</v>
      </c>
      <c r="HD430">
        <v>0</v>
      </c>
      <c r="HE430">
        <v>0</v>
      </c>
      <c r="HF430">
        <v>0</v>
      </c>
      <c r="HG430">
        <v>0</v>
      </c>
      <c r="HH430">
        <v>0</v>
      </c>
      <c r="HI430">
        <v>0</v>
      </c>
      <c r="HJ430">
        <v>0</v>
      </c>
      <c r="HM430">
        <v>0</v>
      </c>
      <c r="HN430">
        <v>0</v>
      </c>
      <c r="HO430">
        <v>0</v>
      </c>
      <c r="HP430">
        <v>0</v>
      </c>
      <c r="HQ430">
        <v>0</v>
      </c>
      <c r="HR430">
        <v>0</v>
      </c>
      <c r="HS430">
        <v>0</v>
      </c>
      <c r="HT430">
        <v>0</v>
      </c>
      <c r="HW430">
        <v>0</v>
      </c>
      <c r="HX430">
        <v>0</v>
      </c>
      <c r="HY430">
        <v>0</v>
      </c>
      <c r="HZ430">
        <v>0</v>
      </c>
      <c r="IA430">
        <v>3930.6</v>
      </c>
      <c r="IB430">
        <v>3632.9</v>
      </c>
      <c r="IC430">
        <v>3795.5</v>
      </c>
      <c r="ID430">
        <v>0</v>
      </c>
      <c r="IE430">
        <v>0</v>
      </c>
      <c r="IF430">
        <v>3548.5</v>
      </c>
      <c r="IG430">
        <v>3395.2</v>
      </c>
      <c r="IH430">
        <v>3395.4</v>
      </c>
      <c r="II430">
        <v>3302.3</v>
      </c>
      <c r="IJ430">
        <v>3172.8</v>
      </c>
      <c r="IK430">
        <v>0</v>
      </c>
      <c r="IL430">
        <v>0</v>
      </c>
      <c r="IM430">
        <v>0</v>
      </c>
      <c r="IN430">
        <v>0</v>
      </c>
      <c r="IO430">
        <v>123.4</v>
      </c>
      <c r="IP430">
        <v>405.2</v>
      </c>
      <c r="IQ430">
        <v>418.7</v>
      </c>
      <c r="IR430">
        <v>0</v>
      </c>
      <c r="IS430">
        <v>0</v>
      </c>
      <c r="IT430">
        <v>0</v>
      </c>
      <c r="IU430">
        <v>0</v>
      </c>
      <c r="IV430">
        <v>396</v>
      </c>
      <c r="IW430">
        <v>0</v>
      </c>
      <c r="IX430">
        <v>0</v>
      </c>
      <c r="IZ430">
        <v>0</v>
      </c>
      <c r="JA430">
        <v>65.5</v>
      </c>
      <c r="JB430">
        <v>443.5</v>
      </c>
      <c r="JC430">
        <v>0</v>
      </c>
      <c r="JD430">
        <v>0</v>
      </c>
      <c r="JE430">
        <v>0</v>
      </c>
      <c r="JF430">
        <v>0</v>
      </c>
      <c r="JG430">
        <v>0</v>
      </c>
      <c r="JH430">
        <v>0</v>
      </c>
      <c r="JI430">
        <v>0</v>
      </c>
      <c r="JJ430">
        <v>0</v>
      </c>
      <c r="JK430">
        <v>0</v>
      </c>
      <c r="JL430">
        <v>0</v>
      </c>
      <c r="JM430">
        <v>0</v>
      </c>
      <c r="JN430">
        <v>0</v>
      </c>
      <c r="JO430">
        <v>0</v>
      </c>
      <c r="JP430">
        <v>0</v>
      </c>
      <c r="JQ430">
        <v>0</v>
      </c>
      <c r="JR430">
        <v>0</v>
      </c>
      <c r="JS430">
        <v>0</v>
      </c>
      <c r="JT430">
        <v>0</v>
      </c>
      <c r="JU430">
        <v>0</v>
      </c>
      <c r="JV430">
        <v>0</v>
      </c>
      <c r="JW430">
        <v>0</v>
      </c>
      <c r="JX430">
        <v>0</v>
      </c>
      <c r="JY430">
        <v>0</v>
      </c>
      <c r="JZ430">
        <v>0</v>
      </c>
      <c r="KA430">
        <v>0</v>
      </c>
      <c r="KB430">
        <v>0</v>
      </c>
      <c r="KC430">
        <v>0</v>
      </c>
      <c r="KD430">
        <v>0</v>
      </c>
      <c r="KE430">
        <v>0</v>
      </c>
      <c r="KF430">
        <v>0</v>
      </c>
      <c r="KI430">
        <v>344.6</v>
      </c>
      <c r="KJ430">
        <v>350.8</v>
      </c>
      <c r="KK430">
        <v>22.1</v>
      </c>
      <c r="KL430">
        <v>379.3</v>
      </c>
      <c r="KM430">
        <v>241.4</v>
      </c>
      <c r="KN430">
        <v>0</v>
      </c>
      <c r="KO430">
        <v>0</v>
      </c>
      <c r="KP430">
        <v>57.3</v>
      </c>
      <c r="KQ430">
        <v>224.4</v>
      </c>
      <c r="KR430">
        <v>338.3</v>
      </c>
      <c r="KS430">
        <v>215.8</v>
      </c>
      <c r="KT430">
        <v>40.700000000000003</v>
      </c>
      <c r="KW430">
        <v>2154.5</v>
      </c>
      <c r="KX430">
        <v>1255.7</v>
      </c>
      <c r="KY430">
        <v>1630.1</v>
      </c>
      <c r="KZ430">
        <v>1246.9000000000001</v>
      </c>
      <c r="LB430">
        <v>78.099999999999994</v>
      </c>
      <c r="LC430">
        <v>77.7</v>
      </c>
    </row>
    <row r="431" spans="1:315" ht="18" thickBot="1">
      <c r="A431" s="243"/>
      <c r="B431" s="572"/>
      <c r="C431" s="343"/>
      <c r="D431" s="311"/>
      <c r="E431" s="454">
        <v>0</v>
      </c>
      <c r="F431" s="215">
        <v>0</v>
      </c>
      <c r="G431" s="427">
        <v>3413.8</v>
      </c>
      <c r="H431" s="155"/>
      <c r="I431">
        <v>735</v>
      </c>
      <c r="K431">
        <v>1973.1000000000001</v>
      </c>
      <c r="L431" s="4">
        <v>221.60000000000002</v>
      </c>
      <c r="M431" s="4">
        <v>54.9</v>
      </c>
      <c r="N431" s="4">
        <v>1989.7</v>
      </c>
      <c r="P431">
        <v>0</v>
      </c>
      <c r="Q431">
        <v>238.29999999999998</v>
      </c>
      <c r="R431">
        <v>0</v>
      </c>
      <c r="S431">
        <v>0</v>
      </c>
      <c r="T431">
        <v>368.5</v>
      </c>
      <c r="W431">
        <v>720.3</v>
      </c>
      <c r="X431">
        <v>1411.5</v>
      </c>
      <c r="Y431">
        <v>96.5</v>
      </c>
      <c r="AA431">
        <v>859.6</v>
      </c>
      <c r="AB431">
        <v>1577.6000000000001</v>
      </c>
      <c r="AE431">
        <v>1330</v>
      </c>
      <c r="AF431">
        <v>1025.5</v>
      </c>
      <c r="AH431">
        <v>509.9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1349.3</v>
      </c>
      <c r="AO431">
        <v>786.40000000000009</v>
      </c>
      <c r="AP431">
        <v>0</v>
      </c>
      <c r="AQ431">
        <v>68.3</v>
      </c>
      <c r="AR431">
        <v>234.9</v>
      </c>
      <c r="AS431">
        <v>600.40000000000009</v>
      </c>
      <c r="AU431">
        <v>985.69999999999993</v>
      </c>
      <c r="AW431">
        <v>792</v>
      </c>
      <c r="AX431">
        <v>1988.5</v>
      </c>
      <c r="AZ431">
        <v>763.5</v>
      </c>
      <c r="BA431">
        <v>0</v>
      </c>
      <c r="BB431">
        <v>0</v>
      </c>
      <c r="BC431">
        <v>1935.3</v>
      </c>
      <c r="BD431">
        <v>1006.5</v>
      </c>
      <c r="BE431">
        <v>0</v>
      </c>
      <c r="BF431">
        <v>0</v>
      </c>
      <c r="BG431">
        <v>0</v>
      </c>
      <c r="BH431">
        <v>1662.6</v>
      </c>
      <c r="BJ431">
        <v>0</v>
      </c>
      <c r="BK431">
        <v>0</v>
      </c>
      <c r="BL431">
        <v>1038.9000000000001</v>
      </c>
      <c r="BM431">
        <v>1101</v>
      </c>
      <c r="BO431">
        <v>1276.8000000000002</v>
      </c>
      <c r="BQ431">
        <v>0</v>
      </c>
      <c r="BR431">
        <v>270.7</v>
      </c>
      <c r="BS431">
        <v>230.5</v>
      </c>
      <c r="BT431">
        <v>472.3</v>
      </c>
      <c r="BU431">
        <v>537.29999999999995</v>
      </c>
      <c r="BV431">
        <v>346.3</v>
      </c>
      <c r="BW431">
        <v>386.2</v>
      </c>
      <c r="BX431">
        <v>767</v>
      </c>
      <c r="BY431">
        <v>757.2</v>
      </c>
      <c r="BZ431">
        <v>1037.2</v>
      </c>
      <c r="CA431">
        <v>1227.0999999999999</v>
      </c>
      <c r="CB431">
        <v>1232.0999999999999</v>
      </c>
      <c r="CC431">
        <v>1701.5</v>
      </c>
      <c r="CD431">
        <v>0</v>
      </c>
      <c r="CG431">
        <v>1385.3</v>
      </c>
      <c r="CJ431">
        <v>1630.2999999999997</v>
      </c>
      <c r="CM431">
        <v>1184.2</v>
      </c>
      <c r="CO431">
        <v>1248.0999999999999</v>
      </c>
      <c r="CQ431">
        <v>1435.3</v>
      </c>
      <c r="CR431">
        <v>798.2</v>
      </c>
      <c r="CS431">
        <v>923.8</v>
      </c>
      <c r="CT431">
        <v>0</v>
      </c>
      <c r="CU431">
        <v>0</v>
      </c>
      <c r="CV431">
        <v>0</v>
      </c>
      <c r="CW431">
        <v>0</v>
      </c>
      <c r="CX431">
        <v>163.69999999999999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I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G431" t="e">
        <v>#N/A</v>
      </c>
      <c r="FI431" t="e">
        <v>#N/A</v>
      </c>
      <c r="FK431" t="e">
        <v>#N/A</v>
      </c>
      <c r="FM431" t="e">
        <v>#N/A</v>
      </c>
      <c r="FO431" t="e">
        <v>#N/A</v>
      </c>
      <c r="FQ431" t="e">
        <v>#N/A</v>
      </c>
      <c r="FS431" t="e">
        <v>#N/A</v>
      </c>
      <c r="FU431" t="e">
        <v>#N/A</v>
      </c>
      <c r="FW431" t="e">
        <v>#N/A</v>
      </c>
      <c r="FY431" t="e">
        <v>#N/A</v>
      </c>
      <c r="GA431" t="e">
        <v>#N/A</v>
      </c>
      <c r="GC431" t="e">
        <v>#N/A</v>
      </c>
      <c r="GE431" t="e">
        <v>#N/A</v>
      </c>
      <c r="GG431" t="e">
        <v>#N/A</v>
      </c>
      <c r="GI431" t="e">
        <v>#N/A</v>
      </c>
      <c r="GK431" t="e">
        <v>#N/A</v>
      </c>
      <c r="GM431" t="e">
        <v>#N/A</v>
      </c>
      <c r="GO431" t="e">
        <v>#N/A</v>
      </c>
      <c r="GQ431" t="e">
        <v>#N/A</v>
      </c>
      <c r="GS431" t="e">
        <v>#N/A</v>
      </c>
      <c r="GU431" t="e">
        <v>#N/A</v>
      </c>
      <c r="GW431" t="e">
        <v>#N/A</v>
      </c>
      <c r="GY431" t="e">
        <v>#N/A</v>
      </c>
      <c r="HA431" t="e">
        <v>#N/A</v>
      </c>
      <c r="HC431">
        <v>0</v>
      </c>
      <c r="HD431">
        <v>0</v>
      </c>
      <c r="HE431">
        <v>0</v>
      </c>
      <c r="HF431">
        <v>0</v>
      </c>
      <c r="HG431">
        <v>0</v>
      </c>
      <c r="HH431">
        <v>0</v>
      </c>
      <c r="HI431">
        <v>0</v>
      </c>
      <c r="HJ431">
        <v>0</v>
      </c>
      <c r="HM431">
        <v>0</v>
      </c>
      <c r="HN431">
        <v>0</v>
      </c>
      <c r="HO431">
        <v>0</v>
      </c>
      <c r="HP431">
        <v>0</v>
      </c>
      <c r="HQ431">
        <v>0</v>
      </c>
      <c r="HR431">
        <v>0</v>
      </c>
      <c r="HS431">
        <v>0</v>
      </c>
      <c r="HT431">
        <v>0</v>
      </c>
      <c r="HW431">
        <v>0</v>
      </c>
      <c r="HX431">
        <v>0</v>
      </c>
      <c r="HY431">
        <v>0</v>
      </c>
      <c r="HZ431">
        <v>0</v>
      </c>
      <c r="IA431">
        <v>3930.6</v>
      </c>
      <c r="IB431">
        <v>3632.9</v>
      </c>
      <c r="IC431">
        <v>3795.5</v>
      </c>
      <c r="ID431">
        <v>0</v>
      </c>
      <c r="IE431">
        <v>0</v>
      </c>
      <c r="IF431">
        <v>3548.5</v>
      </c>
      <c r="IG431">
        <v>3395.2</v>
      </c>
      <c r="IH431">
        <v>3395.4</v>
      </c>
      <c r="II431">
        <v>3302.3</v>
      </c>
      <c r="IJ431">
        <v>3172.8</v>
      </c>
      <c r="IK431">
        <v>0</v>
      </c>
      <c r="IL431">
        <v>0</v>
      </c>
      <c r="IM431">
        <v>0</v>
      </c>
      <c r="IN431">
        <v>0</v>
      </c>
      <c r="IO431">
        <v>123.4</v>
      </c>
      <c r="IP431">
        <v>405.2</v>
      </c>
      <c r="IQ431">
        <v>418.7</v>
      </c>
      <c r="IR431">
        <v>0</v>
      </c>
      <c r="IS431">
        <v>0</v>
      </c>
      <c r="IT431">
        <v>0</v>
      </c>
      <c r="IU431">
        <v>0</v>
      </c>
      <c r="IV431">
        <v>396</v>
      </c>
      <c r="IW431">
        <v>0</v>
      </c>
      <c r="IX431">
        <v>0</v>
      </c>
      <c r="IZ431">
        <v>0</v>
      </c>
      <c r="JA431">
        <v>65.5</v>
      </c>
      <c r="JB431">
        <v>443.5</v>
      </c>
      <c r="JC431">
        <v>0</v>
      </c>
      <c r="JD431">
        <v>0</v>
      </c>
      <c r="JE431">
        <v>0</v>
      </c>
      <c r="JF431">
        <v>0</v>
      </c>
      <c r="JG431">
        <v>0</v>
      </c>
      <c r="JH431">
        <v>0</v>
      </c>
      <c r="JI431">
        <v>0</v>
      </c>
      <c r="JJ431">
        <v>0</v>
      </c>
      <c r="JK431">
        <v>0</v>
      </c>
      <c r="JL431">
        <v>0</v>
      </c>
      <c r="JM431">
        <v>0</v>
      </c>
      <c r="JN431">
        <v>0</v>
      </c>
      <c r="JO431">
        <v>0</v>
      </c>
      <c r="JP431">
        <v>0</v>
      </c>
      <c r="JQ431">
        <v>0</v>
      </c>
      <c r="JR431">
        <v>0</v>
      </c>
      <c r="JS431">
        <v>0</v>
      </c>
      <c r="JT431">
        <v>0</v>
      </c>
      <c r="JU431">
        <v>0</v>
      </c>
      <c r="JV431">
        <v>0</v>
      </c>
      <c r="JW431">
        <v>0</v>
      </c>
      <c r="JX431">
        <v>0</v>
      </c>
      <c r="JY431">
        <v>0</v>
      </c>
      <c r="JZ431">
        <v>0</v>
      </c>
      <c r="KA431">
        <v>0</v>
      </c>
      <c r="KB431">
        <v>0</v>
      </c>
      <c r="KC431">
        <v>0</v>
      </c>
      <c r="KD431">
        <v>0</v>
      </c>
      <c r="KE431">
        <v>0</v>
      </c>
      <c r="KF431">
        <v>0</v>
      </c>
      <c r="KI431">
        <v>344.6</v>
      </c>
      <c r="KJ431">
        <v>350.8</v>
      </c>
      <c r="KK431">
        <v>22.1</v>
      </c>
      <c r="KL431">
        <v>379.3</v>
      </c>
      <c r="KM431">
        <v>241.4</v>
      </c>
      <c r="KN431">
        <v>0</v>
      </c>
      <c r="KO431">
        <v>0</v>
      </c>
      <c r="KP431">
        <v>57.3</v>
      </c>
      <c r="KQ431">
        <v>224.4</v>
      </c>
      <c r="KR431">
        <v>338.3</v>
      </c>
      <c r="KS431">
        <v>215.8</v>
      </c>
      <c r="KT431">
        <v>40.700000000000003</v>
      </c>
      <c r="KW431">
        <v>2154.5</v>
      </c>
      <c r="KX431">
        <v>1255.7</v>
      </c>
      <c r="KY431">
        <v>1630.1</v>
      </c>
      <c r="KZ431">
        <v>1246.9000000000001</v>
      </c>
      <c r="LB431">
        <v>78.099999999999994</v>
      </c>
      <c r="LC431">
        <v>77.7</v>
      </c>
    </row>
    <row r="432" spans="1:315" ht="18" thickBot="1">
      <c r="A432" s="250"/>
      <c r="B432" s="576" t="s">
        <v>366</v>
      </c>
      <c r="C432" s="345" t="s">
        <v>883</v>
      </c>
      <c r="D432" s="311" t="s">
        <v>702</v>
      </c>
      <c r="E432" s="454">
        <v>0</v>
      </c>
      <c r="F432" s="234">
        <v>0</v>
      </c>
      <c r="G432" s="427">
        <v>3413.8</v>
      </c>
      <c r="H432" s="155"/>
      <c r="I432">
        <v>735</v>
      </c>
      <c r="K432">
        <v>1973.1000000000001</v>
      </c>
      <c r="L432" s="4">
        <v>221.60000000000002</v>
      </c>
      <c r="M432" s="4">
        <v>54.9</v>
      </c>
      <c r="N432" s="4">
        <v>1989.7</v>
      </c>
      <c r="P432">
        <v>0</v>
      </c>
      <c r="Q432">
        <v>238.29999999999998</v>
      </c>
      <c r="R432">
        <v>0</v>
      </c>
      <c r="S432">
        <v>0</v>
      </c>
      <c r="T432">
        <v>368.5</v>
      </c>
      <c r="W432">
        <v>720.3</v>
      </c>
      <c r="X432">
        <v>1411.5</v>
      </c>
      <c r="Y432">
        <v>96.5</v>
      </c>
      <c r="AA432">
        <v>859.6</v>
      </c>
      <c r="AB432">
        <v>1577.6000000000001</v>
      </c>
      <c r="AE432">
        <v>1330</v>
      </c>
      <c r="AF432">
        <v>1025.5</v>
      </c>
      <c r="AH432">
        <v>509.9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1349.3</v>
      </c>
      <c r="AO432">
        <v>786.40000000000009</v>
      </c>
      <c r="AP432">
        <v>0</v>
      </c>
      <c r="AQ432">
        <v>68.3</v>
      </c>
      <c r="AR432">
        <v>234.9</v>
      </c>
      <c r="AS432">
        <v>600.40000000000009</v>
      </c>
      <c r="AU432">
        <v>985.69999999999993</v>
      </c>
      <c r="AW432">
        <v>792</v>
      </c>
      <c r="AX432">
        <v>1988.5</v>
      </c>
      <c r="AZ432">
        <v>763.5</v>
      </c>
      <c r="BA432">
        <v>0</v>
      </c>
      <c r="BB432">
        <v>0</v>
      </c>
      <c r="BC432">
        <v>1935.3</v>
      </c>
      <c r="BD432">
        <v>1006.5</v>
      </c>
      <c r="BE432">
        <v>0</v>
      </c>
      <c r="BF432">
        <v>0</v>
      </c>
      <c r="BG432">
        <v>0</v>
      </c>
      <c r="BH432">
        <v>1662.6</v>
      </c>
      <c r="BJ432">
        <v>0</v>
      </c>
      <c r="BK432">
        <v>0</v>
      </c>
      <c r="BL432">
        <v>1038.9000000000001</v>
      </c>
      <c r="BM432">
        <v>1101</v>
      </c>
      <c r="BO432">
        <v>1276.8000000000002</v>
      </c>
      <c r="BQ432">
        <v>0</v>
      </c>
      <c r="BR432">
        <v>270.7</v>
      </c>
      <c r="BS432">
        <v>230.5</v>
      </c>
      <c r="BT432">
        <v>472.3</v>
      </c>
      <c r="BU432">
        <v>537.29999999999995</v>
      </c>
      <c r="BV432">
        <v>346.3</v>
      </c>
      <c r="BW432">
        <v>386.2</v>
      </c>
      <c r="BX432">
        <v>767</v>
      </c>
      <c r="BY432">
        <v>757.2</v>
      </c>
      <c r="BZ432">
        <v>1037.2</v>
      </c>
      <c r="CA432">
        <v>1227.0999999999999</v>
      </c>
      <c r="CB432">
        <v>1232.0999999999999</v>
      </c>
      <c r="CC432">
        <v>1701.5</v>
      </c>
      <c r="CD432">
        <v>0</v>
      </c>
      <c r="CG432">
        <v>1385.3</v>
      </c>
      <c r="CJ432">
        <v>1630.2999999999997</v>
      </c>
      <c r="CM432">
        <v>1184.2</v>
      </c>
      <c r="CO432">
        <v>1248.0999999999999</v>
      </c>
      <c r="CQ432">
        <v>1435.3</v>
      </c>
      <c r="CR432">
        <v>798.2</v>
      </c>
      <c r="CS432">
        <v>923.8</v>
      </c>
      <c r="CT432">
        <v>0</v>
      </c>
      <c r="CU432">
        <v>0</v>
      </c>
      <c r="CV432">
        <v>0</v>
      </c>
      <c r="CW432">
        <v>0</v>
      </c>
      <c r="CX432">
        <v>163.69999999999999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I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G432" t="e">
        <v>#N/A</v>
      </c>
      <c r="FI432" t="e">
        <v>#N/A</v>
      </c>
      <c r="FK432" t="e">
        <v>#N/A</v>
      </c>
      <c r="FM432" t="e">
        <v>#N/A</v>
      </c>
      <c r="FO432" t="e">
        <v>#N/A</v>
      </c>
      <c r="FQ432" t="e">
        <v>#N/A</v>
      </c>
      <c r="FS432" t="e">
        <v>#N/A</v>
      </c>
      <c r="FU432" t="e">
        <v>#N/A</v>
      </c>
      <c r="FW432" t="e">
        <v>#N/A</v>
      </c>
      <c r="FY432" t="e">
        <v>#N/A</v>
      </c>
      <c r="GA432" t="e">
        <v>#N/A</v>
      </c>
      <c r="GC432" t="e">
        <v>#N/A</v>
      </c>
      <c r="GE432" t="e">
        <v>#N/A</v>
      </c>
      <c r="GG432" t="e">
        <v>#N/A</v>
      </c>
      <c r="GI432" t="e">
        <v>#N/A</v>
      </c>
      <c r="GK432" t="e">
        <v>#N/A</v>
      </c>
      <c r="GM432" t="e">
        <v>#N/A</v>
      </c>
      <c r="GO432" t="e">
        <v>#N/A</v>
      </c>
      <c r="GQ432" t="e">
        <v>#N/A</v>
      </c>
      <c r="GS432" t="e">
        <v>#N/A</v>
      </c>
      <c r="GU432" t="e">
        <v>#N/A</v>
      </c>
      <c r="GW432" t="e">
        <v>#N/A</v>
      </c>
      <c r="GY432" t="e">
        <v>#N/A</v>
      </c>
      <c r="HA432" t="e">
        <v>#N/A</v>
      </c>
      <c r="HC432">
        <v>0</v>
      </c>
      <c r="HD432">
        <v>0</v>
      </c>
      <c r="HE432">
        <v>0</v>
      </c>
      <c r="HF432">
        <v>0</v>
      </c>
      <c r="HG432">
        <v>0</v>
      </c>
      <c r="HH432">
        <v>0</v>
      </c>
      <c r="HI432">
        <v>0</v>
      </c>
      <c r="HJ432">
        <v>0</v>
      </c>
      <c r="HM432">
        <v>0</v>
      </c>
      <c r="HN432">
        <v>0</v>
      </c>
      <c r="HO432">
        <v>0</v>
      </c>
      <c r="HP432">
        <v>0</v>
      </c>
      <c r="HQ432">
        <v>0</v>
      </c>
      <c r="HR432">
        <v>0</v>
      </c>
      <c r="HS432">
        <v>0</v>
      </c>
      <c r="HT432">
        <v>0</v>
      </c>
      <c r="HW432">
        <v>0</v>
      </c>
      <c r="HX432">
        <v>0</v>
      </c>
      <c r="HY432">
        <v>0</v>
      </c>
      <c r="HZ432">
        <v>0</v>
      </c>
      <c r="IA432">
        <v>3930.6</v>
      </c>
      <c r="IB432">
        <v>3632.9</v>
      </c>
      <c r="IC432">
        <v>3795.5</v>
      </c>
      <c r="ID432">
        <v>0</v>
      </c>
      <c r="IE432">
        <v>0</v>
      </c>
      <c r="IF432">
        <v>3548.5</v>
      </c>
      <c r="IG432">
        <v>3395.2</v>
      </c>
      <c r="IH432">
        <v>3395.4</v>
      </c>
      <c r="II432">
        <v>3302.3</v>
      </c>
      <c r="IJ432">
        <v>3172.8</v>
      </c>
      <c r="IK432">
        <v>0</v>
      </c>
      <c r="IL432">
        <v>0</v>
      </c>
      <c r="IM432">
        <v>0</v>
      </c>
      <c r="IN432">
        <v>0</v>
      </c>
      <c r="IO432">
        <v>123.4</v>
      </c>
      <c r="IP432">
        <v>405.2</v>
      </c>
      <c r="IQ432">
        <v>418.7</v>
      </c>
      <c r="IR432">
        <v>0</v>
      </c>
      <c r="IS432">
        <v>0</v>
      </c>
      <c r="IT432">
        <v>0</v>
      </c>
      <c r="IU432">
        <v>0</v>
      </c>
      <c r="IV432">
        <v>396</v>
      </c>
      <c r="IW432">
        <v>0</v>
      </c>
      <c r="IX432">
        <v>0</v>
      </c>
      <c r="IZ432">
        <v>0</v>
      </c>
      <c r="JA432">
        <v>65.5</v>
      </c>
      <c r="JB432">
        <v>443.5</v>
      </c>
      <c r="JC432">
        <v>0</v>
      </c>
      <c r="JD432">
        <v>0</v>
      </c>
      <c r="JE432">
        <v>0</v>
      </c>
      <c r="JF432">
        <v>0</v>
      </c>
      <c r="JG432">
        <v>0</v>
      </c>
      <c r="JH432">
        <v>0</v>
      </c>
      <c r="JI432">
        <v>0</v>
      </c>
      <c r="JJ432">
        <v>0</v>
      </c>
      <c r="JK432">
        <v>0</v>
      </c>
      <c r="JL432">
        <v>0</v>
      </c>
      <c r="JM432">
        <v>0</v>
      </c>
      <c r="JN432">
        <v>0</v>
      </c>
      <c r="JO432">
        <v>0</v>
      </c>
      <c r="JP432">
        <v>0</v>
      </c>
      <c r="JQ432">
        <v>0</v>
      </c>
      <c r="JR432">
        <v>0</v>
      </c>
      <c r="JS432">
        <v>0</v>
      </c>
      <c r="JT432">
        <v>0</v>
      </c>
      <c r="JU432">
        <v>0</v>
      </c>
      <c r="JV432">
        <v>0</v>
      </c>
      <c r="JW432">
        <v>0</v>
      </c>
      <c r="JX432">
        <v>0</v>
      </c>
      <c r="JY432">
        <v>0</v>
      </c>
      <c r="JZ432">
        <v>0</v>
      </c>
      <c r="KA432">
        <v>0</v>
      </c>
      <c r="KB432">
        <v>0</v>
      </c>
      <c r="KC432">
        <v>0</v>
      </c>
      <c r="KD432">
        <v>0</v>
      </c>
      <c r="KE432">
        <v>0</v>
      </c>
      <c r="KF432">
        <v>0</v>
      </c>
      <c r="KI432">
        <v>344.6</v>
      </c>
      <c r="KJ432">
        <v>350.8</v>
      </c>
      <c r="KK432">
        <v>22.1</v>
      </c>
      <c r="KL432">
        <v>379.3</v>
      </c>
      <c r="KM432">
        <v>241.4</v>
      </c>
      <c r="KN432">
        <v>0</v>
      </c>
      <c r="KO432">
        <v>0</v>
      </c>
      <c r="KP432">
        <v>57.3</v>
      </c>
      <c r="KQ432">
        <v>224.4</v>
      </c>
      <c r="KR432">
        <v>338.3</v>
      </c>
      <c r="KS432">
        <v>215.8</v>
      </c>
      <c r="KT432">
        <v>40.700000000000003</v>
      </c>
      <c r="KW432">
        <v>2154.5</v>
      </c>
      <c r="KX432">
        <v>1255.7</v>
      </c>
      <c r="KY432">
        <v>1630.1</v>
      </c>
      <c r="KZ432">
        <v>1246.9000000000001</v>
      </c>
      <c r="LB432">
        <v>78.099999999999994</v>
      </c>
      <c r="LC432">
        <v>77.7</v>
      </c>
    </row>
    <row r="433" spans="1:315" ht="18" thickBot="1">
      <c r="A433" s="251"/>
      <c r="B433" s="577"/>
      <c r="C433" s="346"/>
      <c r="D433" s="311"/>
      <c r="E433" s="454">
        <v>0</v>
      </c>
      <c r="F433" s="235">
        <v>0</v>
      </c>
      <c r="G433" s="427">
        <v>3413.8</v>
      </c>
      <c r="H433" s="155"/>
      <c r="I433">
        <v>735</v>
      </c>
      <c r="K433">
        <v>1973.1000000000001</v>
      </c>
      <c r="L433" s="4">
        <v>221.60000000000002</v>
      </c>
      <c r="M433" s="4">
        <v>54.9</v>
      </c>
      <c r="N433" s="4">
        <v>1989.7</v>
      </c>
      <c r="P433">
        <v>0</v>
      </c>
      <c r="Q433">
        <v>238.29999999999998</v>
      </c>
      <c r="R433">
        <v>0</v>
      </c>
      <c r="S433">
        <v>0</v>
      </c>
      <c r="T433">
        <v>368.5</v>
      </c>
      <c r="W433">
        <v>720.3</v>
      </c>
      <c r="X433">
        <v>1411.5</v>
      </c>
      <c r="Y433">
        <v>96.5</v>
      </c>
      <c r="AA433">
        <v>859.6</v>
      </c>
      <c r="AB433">
        <v>1577.6000000000001</v>
      </c>
      <c r="AE433">
        <v>1330</v>
      </c>
      <c r="AF433">
        <v>1025.5</v>
      </c>
      <c r="AH433">
        <v>509.9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1349.3</v>
      </c>
      <c r="AO433">
        <v>786.40000000000009</v>
      </c>
      <c r="AP433">
        <v>0</v>
      </c>
      <c r="AQ433">
        <v>68.3</v>
      </c>
      <c r="AR433">
        <v>234.9</v>
      </c>
      <c r="AS433">
        <v>600.40000000000009</v>
      </c>
      <c r="AU433">
        <v>985.69999999999993</v>
      </c>
      <c r="AW433">
        <v>792</v>
      </c>
      <c r="AX433">
        <v>1988.5</v>
      </c>
      <c r="AZ433">
        <v>763.5</v>
      </c>
      <c r="BA433">
        <v>0</v>
      </c>
      <c r="BB433">
        <v>0</v>
      </c>
      <c r="BC433">
        <v>1935.3</v>
      </c>
      <c r="BD433">
        <v>1006.5</v>
      </c>
      <c r="BE433">
        <v>0</v>
      </c>
      <c r="BF433">
        <v>0</v>
      </c>
      <c r="BG433">
        <v>0</v>
      </c>
      <c r="BH433">
        <v>1662.6</v>
      </c>
      <c r="BJ433">
        <v>0</v>
      </c>
      <c r="BK433">
        <v>0</v>
      </c>
      <c r="BL433">
        <v>1038.9000000000001</v>
      </c>
      <c r="BM433">
        <v>1101</v>
      </c>
      <c r="BO433">
        <v>1276.8000000000002</v>
      </c>
      <c r="BQ433">
        <v>0</v>
      </c>
      <c r="BR433">
        <v>270.7</v>
      </c>
      <c r="BS433">
        <v>230.5</v>
      </c>
      <c r="BT433">
        <v>472.3</v>
      </c>
      <c r="BU433">
        <v>537.29999999999995</v>
      </c>
      <c r="BV433">
        <v>346.3</v>
      </c>
      <c r="BW433">
        <v>386.2</v>
      </c>
      <c r="BX433">
        <v>767</v>
      </c>
      <c r="BY433">
        <v>757.2</v>
      </c>
      <c r="BZ433">
        <v>1037.2</v>
      </c>
      <c r="CA433">
        <v>1227.0999999999999</v>
      </c>
      <c r="CB433">
        <v>1232.0999999999999</v>
      </c>
      <c r="CC433">
        <v>1701.5</v>
      </c>
      <c r="CD433">
        <v>0</v>
      </c>
      <c r="CG433">
        <v>1385.3</v>
      </c>
      <c r="CJ433">
        <v>1630.2999999999997</v>
      </c>
      <c r="CM433">
        <v>1184.2</v>
      </c>
      <c r="CO433">
        <v>1248.0999999999999</v>
      </c>
      <c r="CQ433">
        <v>1435.3</v>
      </c>
      <c r="CR433">
        <v>798.2</v>
      </c>
      <c r="CS433">
        <v>923.8</v>
      </c>
      <c r="CT433">
        <v>0</v>
      </c>
      <c r="CU433">
        <v>0</v>
      </c>
      <c r="CV433">
        <v>0</v>
      </c>
      <c r="CW433">
        <v>0</v>
      </c>
      <c r="CX433">
        <v>163.69999999999999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I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G433" t="e">
        <v>#N/A</v>
      </c>
      <c r="FI433" t="e">
        <v>#N/A</v>
      </c>
      <c r="FK433" t="e">
        <v>#N/A</v>
      </c>
      <c r="FM433" t="e">
        <v>#N/A</v>
      </c>
      <c r="FO433" t="e">
        <v>#N/A</v>
      </c>
      <c r="FQ433" t="e">
        <v>#N/A</v>
      </c>
      <c r="FS433" t="e">
        <v>#N/A</v>
      </c>
      <c r="FU433" t="e">
        <v>#N/A</v>
      </c>
      <c r="FW433" t="e">
        <v>#N/A</v>
      </c>
      <c r="FY433" t="e">
        <v>#N/A</v>
      </c>
      <c r="GA433" t="e">
        <v>#N/A</v>
      </c>
      <c r="GC433" t="e">
        <v>#N/A</v>
      </c>
      <c r="GE433" t="e">
        <v>#N/A</v>
      </c>
      <c r="GG433" t="e">
        <v>#N/A</v>
      </c>
      <c r="GI433" t="e">
        <v>#N/A</v>
      </c>
      <c r="GK433" t="e">
        <v>#N/A</v>
      </c>
      <c r="GM433" t="e">
        <v>#N/A</v>
      </c>
      <c r="GO433" t="e">
        <v>#N/A</v>
      </c>
      <c r="GQ433" t="e">
        <v>#N/A</v>
      </c>
      <c r="GS433" t="e">
        <v>#N/A</v>
      </c>
      <c r="GU433" t="e">
        <v>#N/A</v>
      </c>
      <c r="GW433" t="e">
        <v>#N/A</v>
      </c>
      <c r="GY433" t="e">
        <v>#N/A</v>
      </c>
      <c r="HA433" t="e">
        <v>#N/A</v>
      </c>
      <c r="HC433">
        <v>0</v>
      </c>
      <c r="HD433">
        <v>0</v>
      </c>
      <c r="HE433">
        <v>0</v>
      </c>
      <c r="HF433">
        <v>0</v>
      </c>
      <c r="HG433">
        <v>0</v>
      </c>
      <c r="HH433">
        <v>0</v>
      </c>
      <c r="HI433">
        <v>0</v>
      </c>
      <c r="HJ433">
        <v>0</v>
      </c>
      <c r="HM433">
        <v>0</v>
      </c>
      <c r="HN433">
        <v>0</v>
      </c>
      <c r="HO433">
        <v>0</v>
      </c>
      <c r="HP433">
        <v>0</v>
      </c>
      <c r="HQ433">
        <v>0</v>
      </c>
      <c r="HR433">
        <v>0</v>
      </c>
      <c r="HS433">
        <v>0</v>
      </c>
      <c r="HT433">
        <v>0</v>
      </c>
      <c r="HW433">
        <v>0</v>
      </c>
      <c r="HX433">
        <v>0</v>
      </c>
      <c r="HY433">
        <v>0</v>
      </c>
      <c r="HZ433">
        <v>0</v>
      </c>
      <c r="IA433">
        <v>3930.6</v>
      </c>
      <c r="IB433">
        <v>3632.9</v>
      </c>
      <c r="IC433">
        <v>3795.5</v>
      </c>
      <c r="ID433">
        <v>0</v>
      </c>
      <c r="IE433">
        <v>0</v>
      </c>
      <c r="IF433">
        <v>3548.5</v>
      </c>
      <c r="IG433">
        <v>3395.2</v>
      </c>
      <c r="IH433">
        <v>3395.4</v>
      </c>
      <c r="II433">
        <v>3302.3</v>
      </c>
      <c r="IJ433">
        <v>3172.8</v>
      </c>
      <c r="IK433">
        <v>0</v>
      </c>
      <c r="IL433">
        <v>0</v>
      </c>
      <c r="IM433">
        <v>0</v>
      </c>
      <c r="IN433">
        <v>0</v>
      </c>
      <c r="IO433">
        <v>123.4</v>
      </c>
      <c r="IP433">
        <v>405.2</v>
      </c>
      <c r="IQ433">
        <v>418.7</v>
      </c>
      <c r="IR433">
        <v>0</v>
      </c>
      <c r="IS433">
        <v>0</v>
      </c>
      <c r="IT433">
        <v>0</v>
      </c>
      <c r="IU433">
        <v>0</v>
      </c>
      <c r="IV433">
        <v>396</v>
      </c>
      <c r="IW433">
        <v>0</v>
      </c>
      <c r="IX433">
        <v>0</v>
      </c>
      <c r="IZ433">
        <v>0</v>
      </c>
      <c r="JA433">
        <v>65.5</v>
      </c>
      <c r="JB433">
        <v>443.5</v>
      </c>
      <c r="JC433">
        <v>0</v>
      </c>
      <c r="JD433">
        <v>0</v>
      </c>
      <c r="JE433">
        <v>0</v>
      </c>
      <c r="JF433">
        <v>0</v>
      </c>
      <c r="JG433">
        <v>0</v>
      </c>
      <c r="JH433">
        <v>0</v>
      </c>
      <c r="JI433">
        <v>0</v>
      </c>
      <c r="JJ433">
        <v>0</v>
      </c>
      <c r="JK433">
        <v>0</v>
      </c>
      <c r="JL433">
        <v>0</v>
      </c>
      <c r="JM433">
        <v>0</v>
      </c>
      <c r="JN433">
        <v>0</v>
      </c>
      <c r="JO433">
        <v>0</v>
      </c>
      <c r="JP433">
        <v>0</v>
      </c>
      <c r="JQ433">
        <v>0</v>
      </c>
      <c r="JR433">
        <v>0</v>
      </c>
      <c r="JS433">
        <v>0</v>
      </c>
      <c r="JT433">
        <v>0</v>
      </c>
      <c r="JU433">
        <v>0</v>
      </c>
      <c r="JV433">
        <v>0</v>
      </c>
      <c r="JW433">
        <v>0</v>
      </c>
      <c r="JX433">
        <v>0</v>
      </c>
      <c r="JY433">
        <v>0</v>
      </c>
      <c r="JZ433">
        <v>0</v>
      </c>
      <c r="KA433">
        <v>0</v>
      </c>
      <c r="KB433">
        <v>0</v>
      </c>
      <c r="KC433">
        <v>0</v>
      </c>
      <c r="KD433">
        <v>0</v>
      </c>
      <c r="KE433">
        <v>0</v>
      </c>
      <c r="KF433">
        <v>0</v>
      </c>
      <c r="KI433">
        <v>344.6</v>
      </c>
      <c r="KJ433">
        <v>350.8</v>
      </c>
      <c r="KK433">
        <v>22.1</v>
      </c>
      <c r="KL433">
        <v>379.3</v>
      </c>
      <c r="KM433">
        <v>241.4</v>
      </c>
      <c r="KN433">
        <v>0</v>
      </c>
      <c r="KO433">
        <v>0</v>
      </c>
      <c r="KP433">
        <v>57.3</v>
      </c>
      <c r="KQ433">
        <v>224.4</v>
      </c>
      <c r="KR433">
        <v>338.3</v>
      </c>
      <c r="KS433">
        <v>215.8</v>
      </c>
      <c r="KT433">
        <v>40.700000000000003</v>
      </c>
      <c r="KW433">
        <v>2154.5</v>
      </c>
      <c r="KX433">
        <v>1255.7</v>
      </c>
      <c r="KY433">
        <v>1630.1</v>
      </c>
      <c r="KZ433">
        <v>1246.9000000000001</v>
      </c>
      <c r="LB433">
        <v>78.099999999999994</v>
      </c>
      <c r="LC433">
        <v>77.7</v>
      </c>
    </row>
    <row r="434" spans="1:315" ht="18" thickBot="1">
      <c r="A434" s="250"/>
      <c r="B434" s="576" t="s">
        <v>367</v>
      </c>
      <c r="C434" s="341" t="s">
        <v>884</v>
      </c>
      <c r="D434" s="311" t="s">
        <v>702</v>
      </c>
      <c r="E434" s="454">
        <v>0</v>
      </c>
      <c r="F434" s="216">
        <v>0</v>
      </c>
      <c r="G434" s="427">
        <v>3413.8</v>
      </c>
      <c r="H434" s="155"/>
      <c r="I434">
        <v>735</v>
      </c>
      <c r="K434">
        <v>1973.1000000000001</v>
      </c>
      <c r="L434" s="4">
        <v>221.60000000000002</v>
      </c>
      <c r="M434" s="4">
        <v>54.9</v>
      </c>
      <c r="N434" s="4">
        <v>1989.7</v>
      </c>
      <c r="P434">
        <v>0</v>
      </c>
      <c r="Q434">
        <v>238.29999999999998</v>
      </c>
      <c r="R434">
        <v>0</v>
      </c>
      <c r="S434">
        <v>0</v>
      </c>
      <c r="T434">
        <v>368.5</v>
      </c>
      <c r="W434">
        <v>720.3</v>
      </c>
      <c r="X434">
        <v>1411.5</v>
      </c>
      <c r="Y434">
        <v>96.5</v>
      </c>
      <c r="AA434">
        <v>859.6</v>
      </c>
      <c r="AB434">
        <v>1577.6000000000001</v>
      </c>
      <c r="AE434">
        <v>1330</v>
      </c>
      <c r="AF434">
        <v>1025.5</v>
      </c>
      <c r="AH434">
        <v>509.9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1349.3</v>
      </c>
      <c r="AO434">
        <v>786.40000000000009</v>
      </c>
      <c r="AP434">
        <v>0</v>
      </c>
      <c r="AQ434">
        <v>68.3</v>
      </c>
      <c r="AR434">
        <v>234.9</v>
      </c>
      <c r="AS434">
        <v>600.40000000000009</v>
      </c>
      <c r="AU434">
        <v>985.69999999999993</v>
      </c>
      <c r="AW434">
        <v>792</v>
      </c>
      <c r="AX434">
        <v>1988.5</v>
      </c>
      <c r="AZ434">
        <v>763.5</v>
      </c>
      <c r="BA434">
        <v>0</v>
      </c>
      <c r="BB434">
        <v>0</v>
      </c>
      <c r="BC434">
        <v>1935.3</v>
      </c>
      <c r="BD434">
        <v>1006.5</v>
      </c>
      <c r="BE434">
        <v>0</v>
      </c>
      <c r="BF434">
        <v>0</v>
      </c>
      <c r="BG434">
        <v>0</v>
      </c>
      <c r="BH434">
        <v>1662.6</v>
      </c>
      <c r="BJ434">
        <v>0</v>
      </c>
      <c r="BK434">
        <v>0</v>
      </c>
      <c r="BL434">
        <v>1038.9000000000001</v>
      </c>
      <c r="BM434">
        <v>1101</v>
      </c>
      <c r="BO434">
        <v>1276.8000000000002</v>
      </c>
      <c r="BQ434">
        <v>0</v>
      </c>
      <c r="BR434">
        <v>270.7</v>
      </c>
      <c r="BS434">
        <v>230.5</v>
      </c>
      <c r="BT434">
        <v>472.3</v>
      </c>
      <c r="BU434">
        <v>537.29999999999995</v>
      </c>
      <c r="BV434">
        <v>346.3</v>
      </c>
      <c r="BW434">
        <v>386.2</v>
      </c>
      <c r="BX434">
        <v>767</v>
      </c>
      <c r="BY434">
        <v>757.2</v>
      </c>
      <c r="BZ434">
        <v>1037.2</v>
      </c>
      <c r="CA434">
        <v>1227.0999999999999</v>
      </c>
      <c r="CB434">
        <v>1232.0999999999999</v>
      </c>
      <c r="CC434">
        <v>1701.5</v>
      </c>
      <c r="CD434">
        <v>0</v>
      </c>
      <c r="CG434">
        <v>1385.3</v>
      </c>
      <c r="CJ434">
        <v>1630.2999999999997</v>
      </c>
      <c r="CM434">
        <v>1184.2</v>
      </c>
      <c r="CO434">
        <v>1248.0999999999999</v>
      </c>
      <c r="CQ434">
        <v>1435.3</v>
      </c>
      <c r="CR434">
        <v>798.2</v>
      </c>
      <c r="CS434">
        <v>923.8</v>
      </c>
      <c r="CT434">
        <v>0</v>
      </c>
      <c r="CU434">
        <v>0</v>
      </c>
      <c r="CV434">
        <v>0</v>
      </c>
      <c r="CW434">
        <v>0</v>
      </c>
      <c r="CX434">
        <v>163.69999999999999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I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  <c r="EJ434">
        <v>0</v>
      </c>
      <c r="EM434">
        <v>0</v>
      </c>
      <c r="EN434">
        <v>0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G434" t="e">
        <v>#N/A</v>
      </c>
      <c r="FI434" t="e">
        <v>#N/A</v>
      </c>
      <c r="FK434" t="e">
        <v>#N/A</v>
      </c>
      <c r="FM434" t="e">
        <v>#N/A</v>
      </c>
      <c r="FO434" t="e">
        <v>#N/A</v>
      </c>
      <c r="FQ434" t="e">
        <v>#N/A</v>
      </c>
      <c r="FS434" t="e">
        <v>#N/A</v>
      </c>
      <c r="FU434" t="e">
        <v>#N/A</v>
      </c>
      <c r="FW434" t="e">
        <v>#N/A</v>
      </c>
      <c r="FY434" t="e">
        <v>#N/A</v>
      </c>
      <c r="GA434" t="e">
        <v>#N/A</v>
      </c>
      <c r="GC434" t="e">
        <v>#N/A</v>
      </c>
      <c r="GE434" t="e">
        <v>#N/A</v>
      </c>
      <c r="GG434" t="e">
        <v>#N/A</v>
      </c>
      <c r="GI434" t="e">
        <v>#N/A</v>
      </c>
      <c r="GK434" t="e">
        <v>#N/A</v>
      </c>
      <c r="GM434" t="e">
        <v>#N/A</v>
      </c>
      <c r="GO434" t="e">
        <v>#N/A</v>
      </c>
      <c r="GQ434" t="e">
        <v>#N/A</v>
      </c>
      <c r="GS434" t="e">
        <v>#N/A</v>
      </c>
      <c r="GU434" t="e">
        <v>#N/A</v>
      </c>
      <c r="GW434" t="e">
        <v>#N/A</v>
      </c>
      <c r="GY434" t="e">
        <v>#N/A</v>
      </c>
      <c r="HA434" t="e">
        <v>#N/A</v>
      </c>
      <c r="HC434">
        <v>0</v>
      </c>
      <c r="HD434">
        <v>0</v>
      </c>
      <c r="HE434">
        <v>0</v>
      </c>
      <c r="HF434">
        <v>0</v>
      </c>
      <c r="HG434">
        <v>0</v>
      </c>
      <c r="HH434">
        <v>0</v>
      </c>
      <c r="HI434">
        <v>0</v>
      </c>
      <c r="HJ434">
        <v>0</v>
      </c>
      <c r="HM434">
        <v>0</v>
      </c>
      <c r="HN434">
        <v>0</v>
      </c>
      <c r="HO434">
        <v>0</v>
      </c>
      <c r="HP434">
        <v>0</v>
      </c>
      <c r="HQ434">
        <v>0</v>
      </c>
      <c r="HR434">
        <v>0</v>
      </c>
      <c r="HS434">
        <v>0</v>
      </c>
      <c r="HT434">
        <v>0</v>
      </c>
      <c r="HW434">
        <v>0</v>
      </c>
      <c r="HX434">
        <v>0</v>
      </c>
      <c r="HY434">
        <v>0</v>
      </c>
      <c r="HZ434">
        <v>0</v>
      </c>
      <c r="IA434">
        <v>3930.6</v>
      </c>
      <c r="IB434">
        <v>3632.9</v>
      </c>
      <c r="IC434">
        <v>3795.5</v>
      </c>
      <c r="ID434">
        <v>0</v>
      </c>
      <c r="IE434">
        <v>0</v>
      </c>
      <c r="IF434">
        <v>3548.5</v>
      </c>
      <c r="IG434">
        <v>3395.2</v>
      </c>
      <c r="IH434">
        <v>3395.4</v>
      </c>
      <c r="II434">
        <v>3302.3</v>
      </c>
      <c r="IJ434">
        <v>3172.8</v>
      </c>
      <c r="IK434">
        <v>0</v>
      </c>
      <c r="IL434">
        <v>0</v>
      </c>
      <c r="IM434">
        <v>0</v>
      </c>
      <c r="IN434">
        <v>0</v>
      </c>
      <c r="IO434">
        <v>123.4</v>
      </c>
      <c r="IP434">
        <v>405.2</v>
      </c>
      <c r="IQ434">
        <v>418.7</v>
      </c>
      <c r="IR434">
        <v>0</v>
      </c>
      <c r="IS434">
        <v>0</v>
      </c>
      <c r="IT434">
        <v>0</v>
      </c>
      <c r="IU434">
        <v>0</v>
      </c>
      <c r="IV434">
        <v>396</v>
      </c>
      <c r="IW434">
        <v>0</v>
      </c>
      <c r="IX434">
        <v>0</v>
      </c>
      <c r="IZ434">
        <v>0</v>
      </c>
      <c r="JA434">
        <v>65.5</v>
      </c>
      <c r="JB434">
        <v>443.5</v>
      </c>
      <c r="JC434">
        <v>0</v>
      </c>
      <c r="JD434">
        <v>0</v>
      </c>
      <c r="JE434">
        <v>0</v>
      </c>
      <c r="JF434">
        <v>0</v>
      </c>
      <c r="JG434">
        <v>0</v>
      </c>
      <c r="JH434">
        <v>0</v>
      </c>
      <c r="JI434">
        <v>0</v>
      </c>
      <c r="JJ434">
        <v>0</v>
      </c>
      <c r="JK434">
        <v>0</v>
      </c>
      <c r="JL434">
        <v>0</v>
      </c>
      <c r="JM434">
        <v>0</v>
      </c>
      <c r="JN434">
        <v>0</v>
      </c>
      <c r="JO434">
        <v>0</v>
      </c>
      <c r="JP434">
        <v>0</v>
      </c>
      <c r="JQ434">
        <v>0</v>
      </c>
      <c r="JR434">
        <v>0</v>
      </c>
      <c r="JS434">
        <v>0</v>
      </c>
      <c r="JT434">
        <v>0</v>
      </c>
      <c r="JU434">
        <v>0</v>
      </c>
      <c r="JV434">
        <v>0</v>
      </c>
      <c r="JW434">
        <v>0</v>
      </c>
      <c r="JX434">
        <v>0</v>
      </c>
      <c r="JY434">
        <v>0</v>
      </c>
      <c r="JZ434">
        <v>0</v>
      </c>
      <c r="KA434">
        <v>0</v>
      </c>
      <c r="KB434">
        <v>0</v>
      </c>
      <c r="KC434">
        <v>0</v>
      </c>
      <c r="KD434">
        <v>0</v>
      </c>
      <c r="KE434">
        <v>0</v>
      </c>
      <c r="KF434">
        <v>0</v>
      </c>
      <c r="KI434">
        <v>344.6</v>
      </c>
      <c r="KJ434">
        <v>350.8</v>
      </c>
      <c r="KK434">
        <v>22.1</v>
      </c>
      <c r="KL434">
        <v>379.3</v>
      </c>
      <c r="KM434">
        <v>241.4</v>
      </c>
      <c r="KN434">
        <v>0</v>
      </c>
      <c r="KO434">
        <v>0</v>
      </c>
      <c r="KP434">
        <v>57.3</v>
      </c>
      <c r="KQ434">
        <v>224.4</v>
      </c>
      <c r="KR434">
        <v>338.3</v>
      </c>
      <c r="KS434">
        <v>215.8</v>
      </c>
      <c r="KT434">
        <v>40.700000000000003</v>
      </c>
      <c r="KW434">
        <v>2154.5</v>
      </c>
      <c r="KX434">
        <v>1255.7</v>
      </c>
      <c r="KY434">
        <v>1630.1</v>
      </c>
      <c r="KZ434">
        <v>1246.9000000000001</v>
      </c>
      <c r="LB434">
        <v>78.099999999999994</v>
      </c>
      <c r="LC434">
        <v>77.7</v>
      </c>
    </row>
    <row r="435" spans="1:315" ht="18" thickBot="1">
      <c r="A435" s="251"/>
      <c r="B435" s="577"/>
      <c r="C435" s="343"/>
      <c r="D435" s="311"/>
      <c r="E435" s="454">
        <v>0</v>
      </c>
      <c r="F435" s="217">
        <v>0</v>
      </c>
      <c r="G435" s="427">
        <v>3413.8</v>
      </c>
      <c r="H435" s="155"/>
      <c r="I435">
        <v>735</v>
      </c>
      <c r="K435">
        <v>1973.1000000000001</v>
      </c>
      <c r="L435" s="4">
        <v>221.60000000000002</v>
      </c>
      <c r="M435" s="4">
        <v>54.9</v>
      </c>
      <c r="N435" s="4">
        <v>1989.7</v>
      </c>
      <c r="P435">
        <v>0</v>
      </c>
      <c r="Q435">
        <v>238.29999999999998</v>
      </c>
      <c r="R435">
        <v>0</v>
      </c>
      <c r="S435">
        <v>0</v>
      </c>
      <c r="T435">
        <v>368.5</v>
      </c>
      <c r="W435">
        <v>720.3</v>
      </c>
      <c r="X435">
        <v>1411.5</v>
      </c>
      <c r="Y435">
        <v>96.5</v>
      </c>
      <c r="AA435">
        <v>859.6</v>
      </c>
      <c r="AB435">
        <v>1577.6000000000001</v>
      </c>
      <c r="AE435">
        <v>1330</v>
      </c>
      <c r="AF435">
        <v>1025.5</v>
      </c>
      <c r="AH435">
        <v>509.9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1349.3</v>
      </c>
      <c r="AO435">
        <v>786.40000000000009</v>
      </c>
      <c r="AP435">
        <v>0</v>
      </c>
      <c r="AQ435">
        <v>68.3</v>
      </c>
      <c r="AR435">
        <v>234.9</v>
      </c>
      <c r="AS435">
        <v>600.40000000000009</v>
      </c>
      <c r="AU435">
        <v>985.69999999999993</v>
      </c>
      <c r="AW435">
        <v>792</v>
      </c>
      <c r="AX435">
        <v>1988.5</v>
      </c>
      <c r="AZ435">
        <v>763.5</v>
      </c>
      <c r="BA435">
        <v>0</v>
      </c>
      <c r="BB435">
        <v>0</v>
      </c>
      <c r="BC435">
        <v>1935.3</v>
      </c>
      <c r="BD435">
        <v>1006.5</v>
      </c>
      <c r="BE435">
        <v>0</v>
      </c>
      <c r="BF435">
        <v>0</v>
      </c>
      <c r="BG435">
        <v>0</v>
      </c>
      <c r="BH435">
        <v>1662.6</v>
      </c>
      <c r="BJ435">
        <v>0</v>
      </c>
      <c r="BK435">
        <v>0</v>
      </c>
      <c r="BL435">
        <v>1038.9000000000001</v>
      </c>
      <c r="BM435">
        <v>1101</v>
      </c>
      <c r="BO435">
        <v>1276.8000000000002</v>
      </c>
      <c r="BQ435">
        <v>0</v>
      </c>
      <c r="BR435">
        <v>270.7</v>
      </c>
      <c r="BS435">
        <v>230.5</v>
      </c>
      <c r="BT435">
        <v>472.3</v>
      </c>
      <c r="BU435">
        <v>537.29999999999995</v>
      </c>
      <c r="BV435">
        <v>346.3</v>
      </c>
      <c r="BW435">
        <v>386.2</v>
      </c>
      <c r="BX435">
        <v>767</v>
      </c>
      <c r="BY435">
        <v>757.2</v>
      </c>
      <c r="BZ435">
        <v>1037.2</v>
      </c>
      <c r="CA435">
        <v>1227.0999999999999</v>
      </c>
      <c r="CB435">
        <v>1232.0999999999999</v>
      </c>
      <c r="CC435">
        <v>1701.5</v>
      </c>
      <c r="CD435">
        <v>0</v>
      </c>
      <c r="CG435">
        <v>1385.3</v>
      </c>
      <c r="CJ435">
        <v>1630.2999999999997</v>
      </c>
      <c r="CM435">
        <v>1184.2</v>
      </c>
      <c r="CO435">
        <v>1248.0999999999999</v>
      </c>
      <c r="CQ435">
        <v>1435.3</v>
      </c>
      <c r="CR435">
        <v>798.2</v>
      </c>
      <c r="CS435">
        <v>923.8</v>
      </c>
      <c r="CT435">
        <v>0</v>
      </c>
      <c r="CU435">
        <v>0</v>
      </c>
      <c r="CV435">
        <v>0</v>
      </c>
      <c r="CW435">
        <v>0</v>
      </c>
      <c r="CX435">
        <v>163.69999999999999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I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G435" t="e">
        <v>#N/A</v>
      </c>
      <c r="FI435" t="e">
        <v>#N/A</v>
      </c>
      <c r="FK435" t="e">
        <v>#N/A</v>
      </c>
      <c r="FM435" t="e">
        <v>#N/A</v>
      </c>
      <c r="FO435" t="e">
        <v>#N/A</v>
      </c>
      <c r="FQ435" t="e">
        <v>#N/A</v>
      </c>
      <c r="FS435" t="e">
        <v>#N/A</v>
      </c>
      <c r="FU435" t="e">
        <v>#N/A</v>
      </c>
      <c r="FW435" t="e">
        <v>#N/A</v>
      </c>
      <c r="FY435" t="e">
        <v>#N/A</v>
      </c>
      <c r="GA435" t="e">
        <v>#N/A</v>
      </c>
      <c r="GC435" t="e">
        <v>#N/A</v>
      </c>
      <c r="GE435" t="e">
        <v>#N/A</v>
      </c>
      <c r="GG435" t="e">
        <v>#N/A</v>
      </c>
      <c r="GI435" t="e">
        <v>#N/A</v>
      </c>
      <c r="GK435" t="e">
        <v>#N/A</v>
      </c>
      <c r="GM435" t="e">
        <v>#N/A</v>
      </c>
      <c r="GO435" t="e">
        <v>#N/A</v>
      </c>
      <c r="GQ435" t="e">
        <v>#N/A</v>
      </c>
      <c r="GS435" t="e">
        <v>#N/A</v>
      </c>
      <c r="GU435" t="e">
        <v>#N/A</v>
      </c>
      <c r="GW435" t="e">
        <v>#N/A</v>
      </c>
      <c r="GY435" t="e">
        <v>#N/A</v>
      </c>
      <c r="HA435" t="e">
        <v>#N/A</v>
      </c>
      <c r="HC435">
        <v>0</v>
      </c>
      <c r="HD435">
        <v>0</v>
      </c>
      <c r="HE435">
        <v>0</v>
      </c>
      <c r="HF435">
        <v>0</v>
      </c>
      <c r="HG435">
        <v>0</v>
      </c>
      <c r="HH435">
        <v>0</v>
      </c>
      <c r="HI435">
        <v>0</v>
      </c>
      <c r="HJ435">
        <v>0</v>
      </c>
      <c r="HM435">
        <v>0</v>
      </c>
      <c r="HN435">
        <v>0</v>
      </c>
      <c r="HO435">
        <v>0</v>
      </c>
      <c r="HP435">
        <v>0</v>
      </c>
      <c r="HQ435">
        <v>0</v>
      </c>
      <c r="HR435">
        <v>0</v>
      </c>
      <c r="HS435">
        <v>0</v>
      </c>
      <c r="HT435">
        <v>0</v>
      </c>
      <c r="HW435">
        <v>0</v>
      </c>
      <c r="HX435">
        <v>0</v>
      </c>
      <c r="HY435">
        <v>0</v>
      </c>
      <c r="HZ435">
        <v>0</v>
      </c>
      <c r="IA435">
        <v>3930.6</v>
      </c>
      <c r="IB435">
        <v>3632.9</v>
      </c>
      <c r="IC435">
        <v>3795.5</v>
      </c>
      <c r="ID435">
        <v>0</v>
      </c>
      <c r="IE435">
        <v>0</v>
      </c>
      <c r="IF435">
        <v>3548.5</v>
      </c>
      <c r="IG435">
        <v>3395.2</v>
      </c>
      <c r="IH435">
        <v>3395.4</v>
      </c>
      <c r="II435">
        <v>3302.3</v>
      </c>
      <c r="IJ435">
        <v>3172.8</v>
      </c>
      <c r="IK435">
        <v>0</v>
      </c>
      <c r="IL435">
        <v>0</v>
      </c>
      <c r="IM435">
        <v>0</v>
      </c>
      <c r="IN435">
        <v>0</v>
      </c>
      <c r="IO435">
        <v>123.4</v>
      </c>
      <c r="IP435">
        <v>405.2</v>
      </c>
      <c r="IQ435">
        <v>418.7</v>
      </c>
      <c r="IR435">
        <v>0</v>
      </c>
      <c r="IS435">
        <v>0</v>
      </c>
      <c r="IT435">
        <v>0</v>
      </c>
      <c r="IU435">
        <v>0</v>
      </c>
      <c r="IV435">
        <v>396</v>
      </c>
      <c r="IW435">
        <v>0</v>
      </c>
      <c r="IX435">
        <v>0</v>
      </c>
      <c r="IZ435">
        <v>0</v>
      </c>
      <c r="JA435">
        <v>65.5</v>
      </c>
      <c r="JB435">
        <v>443.5</v>
      </c>
      <c r="JC435">
        <v>0</v>
      </c>
      <c r="JD435">
        <v>0</v>
      </c>
      <c r="JE435">
        <v>0</v>
      </c>
      <c r="JF435">
        <v>0</v>
      </c>
      <c r="JG435">
        <v>0</v>
      </c>
      <c r="JH435">
        <v>0</v>
      </c>
      <c r="JI435">
        <v>0</v>
      </c>
      <c r="JJ435">
        <v>0</v>
      </c>
      <c r="JK435">
        <v>0</v>
      </c>
      <c r="JL435">
        <v>0</v>
      </c>
      <c r="JM435">
        <v>0</v>
      </c>
      <c r="JN435">
        <v>0</v>
      </c>
      <c r="JO435">
        <v>0</v>
      </c>
      <c r="JP435">
        <v>0</v>
      </c>
      <c r="JQ435">
        <v>0</v>
      </c>
      <c r="JR435">
        <v>0</v>
      </c>
      <c r="JS435">
        <v>0</v>
      </c>
      <c r="JT435">
        <v>0</v>
      </c>
      <c r="JU435">
        <v>0</v>
      </c>
      <c r="JV435">
        <v>0</v>
      </c>
      <c r="JW435">
        <v>0</v>
      </c>
      <c r="JX435">
        <v>0</v>
      </c>
      <c r="JY435">
        <v>0</v>
      </c>
      <c r="JZ435">
        <v>0</v>
      </c>
      <c r="KA435">
        <v>0</v>
      </c>
      <c r="KB435">
        <v>0</v>
      </c>
      <c r="KC435">
        <v>0</v>
      </c>
      <c r="KD435">
        <v>0</v>
      </c>
      <c r="KE435">
        <v>0</v>
      </c>
      <c r="KF435">
        <v>0</v>
      </c>
      <c r="KI435">
        <v>344.6</v>
      </c>
      <c r="KJ435">
        <v>350.8</v>
      </c>
      <c r="KK435">
        <v>22.1</v>
      </c>
      <c r="KL435">
        <v>379.3</v>
      </c>
      <c r="KM435">
        <v>241.4</v>
      </c>
      <c r="KN435">
        <v>0</v>
      </c>
      <c r="KO435">
        <v>0</v>
      </c>
      <c r="KP435">
        <v>57.3</v>
      </c>
      <c r="KQ435">
        <v>224.4</v>
      </c>
      <c r="KR435">
        <v>338.3</v>
      </c>
      <c r="KS435">
        <v>215.8</v>
      </c>
      <c r="KT435">
        <v>40.700000000000003</v>
      </c>
      <c r="KW435">
        <v>2154.5</v>
      </c>
      <c r="KX435">
        <v>1255.7</v>
      </c>
      <c r="KY435">
        <v>1630.1</v>
      </c>
      <c r="KZ435">
        <v>1246.9000000000001</v>
      </c>
      <c r="LB435">
        <v>78.099999999999994</v>
      </c>
      <c r="LC435">
        <v>77.7</v>
      </c>
    </row>
    <row r="436" spans="1:315" ht="18" thickBot="1">
      <c r="A436" s="243"/>
      <c r="B436" s="572" t="s">
        <v>368</v>
      </c>
      <c r="C436" s="341" t="s">
        <v>885</v>
      </c>
      <c r="D436" s="311" t="s">
        <v>702</v>
      </c>
      <c r="E436" s="454">
        <v>0</v>
      </c>
      <c r="F436" s="213">
        <v>0</v>
      </c>
      <c r="G436" s="427">
        <v>3413.8</v>
      </c>
      <c r="H436" s="155"/>
      <c r="I436">
        <v>735</v>
      </c>
      <c r="K436">
        <v>1973.1000000000001</v>
      </c>
      <c r="L436" s="4">
        <v>221.60000000000002</v>
      </c>
      <c r="M436" s="4">
        <v>54.9</v>
      </c>
      <c r="N436" s="4">
        <v>1989.7</v>
      </c>
      <c r="P436">
        <v>0</v>
      </c>
      <c r="Q436">
        <v>238.29999999999998</v>
      </c>
      <c r="R436">
        <v>0</v>
      </c>
      <c r="S436">
        <v>0</v>
      </c>
      <c r="T436">
        <v>368.5</v>
      </c>
      <c r="W436">
        <v>720.3</v>
      </c>
      <c r="X436">
        <v>1411.5</v>
      </c>
      <c r="Y436">
        <v>96.5</v>
      </c>
      <c r="AA436">
        <v>859.6</v>
      </c>
      <c r="AB436">
        <v>1577.6000000000001</v>
      </c>
      <c r="AE436">
        <v>1330</v>
      </c>
      <c r="AF436">
        <v>1025.5</v>
      </c>
      <c r="AH436">
        <v>509.9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1349.3</v>
      </c>
      <c r="AO436">
        <v>786.40000000000009</v>
      </c>
      <c r="AP436">
        <v>0</v>
      </c>
      <c r="AQ436">
        <v>68.3</v>
      </c>
      <c r="AR436">
        <v>234.9</v>
      </c>
      <c r="AS436">
        <v>600.40000000000009</v>
      </c>
      <c r="AU436">
        <v>985.69999999999993</v>
      </c>
      <c r="AW436">
        <v>792</v>
      </c>
      <c r="AX436">
        <v>1988.5</v>
      </c>
      <c r="AZ436">
        <v>763.5</v>
      </c>
      <c r="BA436">
        <v>0</v>
      </c>
      <c r="BB436">
        <v>0</v>
      </c>
      <c r="BC436">
        <v>1935.3</v>
      </c>
      <c r="BD436">
        <v>1006.5</v>
      </c>
      <c r="BE436">
        <v>0</v>
      </c>
      <c r="BF436">
        <v>0</v>
      </c>
      <c r="BG436">
        <v>0</v>
      </c>
      <c r="BH436">
        <v>1662.6</v>
      </c>
      <c r="BJ436">
        <v>0</v>
      </c>
      <c r="BK436">
        <v>0</v>
      </c>
      <c r="BL436">
        <v>1038.9000000000001</v>
      </c>
      <c r="BM436">
        <v>1101</v>
      </c>
      <c r="BO436">
        <v>1276.8000000000002</v>
      </c>
      <c r="BQ436">
        <v>0</v>
      </c>
      <c r="BR436">
        <v>270.7</v>
      </c>
      <c r="BS436">
        <v>230.5</v>
      </c>
      <c r="BT436">
        <v>472.3</v>
      </c>
      <c r="BU436">
        <v>537.29999999999995</v>
      </c>
      <c r="BV436">
        <v>346.3</v>
      </c>
      <c r="BW436">
        <v>386.2</v>
      </c>
      <c r="BX436">
        <v>767</v>
      </c>
      <c r="BY436">
        <v>757.2</v>
      </c>
      <c r="BZ436">
        <v>1037.2</v>
      </c>
      <c r="CA436">
        <v>1227.0999999999999</v>
      </c>
      <c r="CB436">
        <v>1232.0999999999999</v>
      </c>
      <c r="CC436">
        <v>1701.5</v>
      </c>
      <c r="CD436">
        <v>0</v>
      </c>
      <c r="CG436">
        <v>1385.3</v>
      </c>
      <c r="CJ436">
        <v>1630.2999999999997</v>
      </c>
      <c r="CM436">
        <v>1184.2</v>
      </c>
      <c r="CO436">
        <v>1248.0999999999999</v>
      </c>
      <c r="CQ436">
        <v>1435.3</v>
      </c>
      <c r="CR436">
        <v>798.2</v>
      </c>
      <c r="CS436">
        <v>923.8</v>
      </c>
      <c r="CT436">
        <v>0</v>
      </c>
      <c r="CU436">
        <v>0</v>
      </c>
      <c r="CV436">
        <v>0</v>
      </c>
      <c r="CW436">
        <v>0</v>
      </c>
      <c r="CX436">
        <v>163.69999999999999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I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G436" t="e">
        <v>#N/A</v>
      </c>
      <c r="FI436" t="e">
        <v>#N/A</v>
      </c>
      <c r="FK436" t="e">
        <v>#N/A</v>
      </c>
      <c r="FM436" t="e">
        <v>#N/A</v>
      </c>
      <c r="FO436" t="e">
        <v>#N/A</v>
      </c>
      <c r="FQ436" t="e">
        <v>#N/A</v>
      </c>
      <c r="FS436" t="e">
        <v>#N/A</v>
      </c>
      <c r="FU436" t="e">
        <v>#N/A</v>
      </c>
      <c r="FW436" t="e">
        <v>#N/A</v>
      </c>
      <c r="FY436" t="e">
        <v>#N/A</v>
      </c>
      <c r="GA436" t="e">
        <v>#N/A</v>
      </c>
      <c r="GC436" t="e">
        <v>#N/A</v>
      </c>
      <c r="GE436" t="e">
        <v>#N/A</v>
      </c>
      <c r="GG436" t="e">
        <v>#N/A</v>
      </c>
      <c r="GI436" t="e">
        <v>#N/A</v>
      </c>
      <c r="GK436" t="e">
        <v>#N/A</v>
      </c>
      <c r="GM436" t="e">
        <v>#N/A</v>
      </c>
      <c r="GO436" t="e">
        <v>#N/A</v>
      </c>
      <c r="GQ436" t="e">
        <v>#N/A</v>
      </c>
      <c r="GS436" t="e">
        <v>#N/A</v>
      </c>
      <c r="GU436" t="e">
        <v>#N/A</v>
      </c>
      <c r="GW436" t="e">
        <v>#N/A</v>
      </c>
      <c r="GY436" t="e">
        <v>#N/A</v>
      </c>
      <c r="HA436" t="e">
        <v>#N/A</v>
      </c>
      <c r="HC436">
        <v>0</v>
      </c>
      <c r="HD436">
        <v>0</v>
      </c>
      <c r="HE436">
        <v>0</v>
      </c>
      <c r="HF436">
        <v>0</v>
      </c>
      <c r="HG436">
        <v>0</v>
      </c>
      <c r="HH436">
        <v>0</v>
      </c>
      <c r="HI436">
        <v>0</v>
      </c>
      <c r="HJ436">
        <v>0</v>
      </c>
      <c r="HM436">
        <v>0</v>
      </c>
      <c r="HN436">
        <v>0</v>
      </c>
      <c r="HO436">
        <v>0</v>
      </c>
      <c r="HP436">
        <v>0</v>
      </c>
      <c r="HQ436">
        <v>0</v>
      </c>
      <c r="HR436">
        <v>0</v>
      </c>
      <c r="HS436">
        <v>0</v>
      </c>
      <c r="HT436">
        <v>0</v>
      </c>
      <c r="HW436">
        <v>0</v>
      </c>
      <c r="HX436">
        <v>0</v>
      </c>
      <c r="HY436">
        <v>0</v>
      </c>
      <c r="HZ436">
        <v>0</v>
      </c>
      <c r="IA436">
        <v>3930.6</v>
      </c>
      <c r="IB436">
        <v>3632.9</v>
      </c>
      <c r="IC436">
        <v>3795.5</v>
      </c>
      <c r="ID436">
        <v>0</v>
      </c>
      <c r="IE436">
        <v>0</v>
      </c>
      <c r="IF436">
        <v>3548.5</v>
      </c>
      <c r="IG436">
        <v>3395.2</v>
      </c>
      <c r="IH436">
        <v>3395.4</v>
      </c>
      <c r="II436">
        <v>3302.3</v>
      </c>
      <c r="IJ436">
        <v>3172.8</v>
      </c>
      <c r="IK436">
        <v>0</v>
      </c>
      <c r="IL436">
        <v>0</v>
      </c>
      <c r="IM436">
        <v>0</v>
      </c>
      <c r="IN436">
        <v>0</v>
      </c>
      <c r="IO436">
        <v>123.4</v>
      </c>
      <c r="IP436">
        <v>405.2</v>
      </c>
      <c r="IQ436">
        <v>418.7</v>
      </c>
      <c r="IR436">
        <v>0</v>
      </c>
      <c r="IS436">
        <v>0</v>
      </c>
      <c r="IT436">
        <v>0</v>
      </c>
      <c r="IU436">
        <v>0</v>
      </c>
      <c r="IV436">
        <v>396</v>
      </c>
      <c r="IW436">
        <v>0</v>
      </c>
      <c r="IX436">
        <v>0</v>
      </c>
      <c r="IZ436">
        <v>0</v>
      </c>
      <c r="JA436">
        <v>65.5</v>
      </c>
      <c r="JB436">
        <v>443.5</v>
      </c>
      <c r="JC436">
        <v>0</v>
      </c>
      <c r="JD436">
        <v>0</v>
      </c>
      <c r="JE436">
        <v>0</v>
      </c>
      <c r="JF436">
        <v>0</v>
      </c>
      <c r="JG436">
        <v>0</v>
      </c>
      <c r="JH436">
        <v>0</v>
      </c>
      <c r="JI436">
        <v>0</v>
      </c>
      <c r="JJ436">
        <v>0</v>
      </c>
      <c r="JK436">
        <v>0</v>
      </c>
      <c r="JL436">
        <v>0</v>
      </c>
      <c r="JM436">
        <v>0</v>
      </c>
      <c r="JN436">
        <v>0</v>
      </c>
      <c r="JO436">
        <v>0</v>
      </c>
      <c r="JP436">
        <v>0</v>
      </c>
      <c r="JQ436">
        <v>0</v>
      </c>
      <c r="JR436">
        <v>0</v>
      </c>
      <c r="JS436">
        <v>0</v>
      </c>
      <c r="JT436">
        <v>0</v>
      </c>
      <c r="JU436">
        <v>0</v>
      </c>
      <c r="JV436">
        <v>0</v>
      </c>
      <c r="JW436">
        <v>0</v>
      </c>
      <c r="JX436">
        <v>0</v>
      </c>
      <c r="JY436">
        <v>0</v>
      </c>
      <c r="JZ436">
        <v>0</v>
      </c>
      <c r="KA436">
        <v>0</v>
      </c>
      <c r="KB436">
        <v>0</v>
      </c>
      <c r="KC436">
        <v>0</v>
      </c>
      <c r="KD436">
        <v>0</v>
      </c>
      <c r="KE436">
        <v>0</v>
      </c>
      <c r="KF436">
        <v>0</v>
      </c>
      <c r="KI436">
        <v>344.6</v>
      </c>
      <c r="KJ436">
        <v>350.8</v>
      </c>
      <c r="KK436">
        <v>22.1</v>
      </c>
      <c r="KL436">
        <v>379.3</v>
      </c>
      <c r="KM436">
        <v>241.4</v>
      </c>
      <c r="KN436">
        <v>0</v>
      </c>
      <c r="KO436">
        <v>0</v>
      </c>
      <c r="KP436">
        <v>57.3</v>
      </c>
      <c r="KQ436">
        <v>224.4</v>
      </c>
      <c r="KR436">
        <v>338.3</v>
      </c>
      <c r="KS436">
        <v>215.8</v>
      </c>
      <c r="KT436">
        <v>40.700000000000003</v>
      </c>
      <c r="KW436">
        <v>2154.5</v>
      </c>
      <c r="KX436">
        <v>1255.7</v>
      </c>
      <c r="KY436">
        <v>1630.1</v>
      </c>
      <c r="KZ436">
        <v>1246.9000000000001</v>
      </c>
      <c r="LB436">
        <v>78.099999999999994</v>
      </c>
      <c r="LC436">
        <v>77.7</v>
      </c>
    </row>
    <row r="437" spans="1:315" ht="18" thickBot="1">
      <c r="A437" s="243"/>
      <c r="B437" s="572"/>
      <c r="C437" s="343"/>
      <c r="D437" s="312"/>
      <c r="E437" s="454">
        <v>0</v>
      </c>
      <c r="F437" s="215">
        <v>0</v>
      </c>
      <c r="G437" s="427">
        <v>3413.8</v>
      </c>
      <c r="H437" s="155"/>
      <c r="I437">
        <v>735</v>
      </c>
      <c r="K437">
        <v>1973.1000000000001</v>
      </c>
      <c r="L437" s="4">
        <v>221.60000000000002</v>
      </c>
      <c r="M437" s="4">
        <v>54.9</v>
      </c>
      <c r="N437" s="4">
        <v>1989.7</v>
      </c>
      <c r="P437">
        <v>0</v>
      </c>
      <c r="Q437">
        <v>238.29999999999998</v>
      </c>
      <c r="R437">
        <v>0</v>
      </c>
      <c r="S437">
        <v>0</v>
      </c>
      <c r="T437">
        <v>368.5</v>
      </c>
      <c r="W437">
        <v>720.3</v>
      </c>
      <c r="X437">
        <v>1411.5</v>
      </c>
      <c r="Y437">
        <v>96.5</v>
      </c>
      <c r="AA437">
        <v>859.6</v>
      </c>
      <c r="AB437">
        <v>1577.6000000000001</v>
      </c>
      <c r="AE437">
        <v>1330</v>
      </c>
      <c r="AF437">
        <v>1025.5</v>
      </c>
      <c r="AH437">
        <v>509.9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1349.3</v>
      </c>
      <c r="AO437">
        <v>786.40000000000009</v>
      </c>
      <c r="AP437">
        <v>0</v>
      </c>
      <c r="AQ437">
        <v>68.3</v>
      </c>
      <c r="AR437">
        <v>234.9</v>
      </c>
      <c r="AS437">
        <v>600.40000000000009</v>
      </c>
      <c r="AU437">
        <v>985.69999999999993</v>
      </c>
      <c r="AW437">
        <v>792</v>
      </c>
      <c r="AX437">
        <v>1988.5</v>
      </c>
      <c r="AZ437">
        <v>763.5</v>
      </c>
      <c r="BA437">
        <v>0</v>
      </c>
      <c r="BB437">
        <v>0</v>
      </c>
      <c r="BC437">
        <v>1935.3</v>
      </c>
      <c r="BD437">
        <v>1006.5</v>
      </c>
      <c r="BE437">
        <v>0</v>
      </c>
      <c r="BF437">
        <v>0</v>
      </c>
      <c r="BG437">
        <v>0</v>
      </c>
      <c r="BH437">
        <v>1662.6</v>
      </c>
      <c r="BJ437">
        <v>0</v>
      </c>
      <c r="BK437">
        <v>0</v>
      </c>
      <c r="BL437">
        <v>1038.9000000000001</v>
      </c>
      <c r="BM437">
        <v>1101</v>
      </c>
      <c r="BO437">
        <v>1276.8000000000002</v>
      </c>
      <c r="BQ437">
        <v>0</v>
      </c>
      <c r="BR437">
        <v>270.7</v>
      </c>
      <c r="BS437">
        <v>230.5</v>
      </c>
      <c r="BT437">
        <v>472.3</v>
      </c>
      <c r="BU437">
        <v>537.29999999999995</v>
      </c>
      <c r="BV437">
        <v>346.3</v>
      </c>
      <c r="BW437">
        <v>386.2</v>
      </c>
      <c r="BX437">
        <v>767</v>
      </c>
      <c r="BY437">
        <v>757.2</v>
      </c>
      <c r="BZ437">
        <v>1037.2</v>
      </c>
      <c r="CA437">
        <v>1227.0999999999999</v>
      </c>
      <c r="CB437">
        <v>1232.0999999999999</v>
      </c>
      <c r="CC437">
        <v>1701.5</v>
      </c>
      <c r="CD437">
        <v>0</v>
      </c>
      <c r="CG437">
        <v>1385.3</v>
      </c>
      <c r="CJ437">
        <v>1630.2999999999997</v>
      </c>
      <c r="CM437">
        <v>1184.2</v>
      </c>
      <c r="CO437">
        <v>1248.0999999999999</v>
      </c>
      <c r="CQ437">
        <v>1435.3</v>
      </c>
      <c r="CR437">
        <v>798.2</v>
      </c>
      <c r="CS437">
        <v>923.8</v>
      </c>
      <c r="CT437">
        <v>0</v>
      </c>
      <c r="CU437">
        <v>0</v>
      </c>
      <c r="CV437">
        <v>0</v>
      </c>
      <c r="CW437">
        <v>0</v>
      </c>
      <c r="CX437">
        <v>163.69999999999999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I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G437" t="e">
        <v>#N/A</v>
      </c>
      <c r="FI437" t="e">
        <v>#N/A</v>
      </c>
      <c r="FK437" t="e">
        <v>#N/A</v>
      </c>
      <c r="FM437" t="e">
        <v>#N/A</v>
      </c>
      <c r="FO437" t="e">
        <v>#N/A</v>
      </c>
      <c r="FQ437" t="e">
        <v>#N/A</v>
      </c>
      <c r="FS437" t="e">
        <v>#N/A</v>
      </c>
      <c r="FU437" t="e">
        <v>#N/A</v>
      </c>
      <c r="FW437" t="e">
        <v>#N/A</v>
      </c>
      <c r="FY437" t="e">
        <v>#N/A</v>
      </c>
      <c r="GA437" t="e">
        <v>#N/A</v>
      </c>
      <c r="GC437" t="e">
        <v>#N/A</v>
      </c>
      <c r="GE437" t="e">
        <v>#N/A</v>
      </c>
      <c r="GG437" t="e">
        <v>#N/A</v>
      </c>
      <c r="GI437" t="e">
        <v>#N/A</v>
      </c>
      <c r="GK437" t="e">
        <v>#N/A</v>
      </c>
      <c r="GM437" t="e">
        <v>#N/A</v>
      </c>
      <c r="GO437" t="e">
        <v>#N/A</v>
      </c>
      <c r="GQ437" t="e">
        <v>#N/A</v>
      </c>
      <c r="GS437" t="e">
        <v>#N/A</v>
      </c>
      <c r="GU437" t="e">
        <v>#N/A</v>
      </c>
      <c r="GW437" t="e">
        <v>#N/A</v>
      </c>
      <c r="GY437" t="e">
        <v>#N/A</v>
      </c>
      <c r="HA437" t="e">
        <v>#N/A</v>
      </c>
      <c r="HC437">
        <v>0</v>
      </c>
      <c r="HD437">
        <v>0</v>
      </c>
      <c r="HE437">
        <v>0</v>
      </c>
      <c r="HF437">
        <v>0</v>
      </c>
      <c r="HG437">
        <v>0</v>
      </c>
      <c r="HH437">
        <v>0</v>
      </c>
      <c r="HI437">
        <v>0</v>
      </c>
      <c r="HJ437">
        <v>0</v>
      </c>
      <c r="HM437">
        <v>0</v>
      </c>
      <c r="HN437">
        <v>0</v>
      </c>
      <c r="HO437">
        <v>0</v>
      </c>
      <c r="HP437">
        <v>0</v>
      </c>
      <c r="HQ437">
        <v>0</v>
      </c>
      <c r="HR437">
        <v>0</v>
      </c>
      <c r="HS437">
        <v>0</v>
      </c>
      <c r="HT437">
        <v>0</v>
      </c>
      <c r="HW437">
        <v>0</v>
      </c>
      <c r="HX437">
        <v>0</v>
      </c>
      <c r="HY437">
        <v>0</v>
      </c>
      <c r="HZ437">
        <v>0</v>
      </c>
      <c r="IA437">
        <v>3930.6</v>
      </c>
      <c r="IB437">
        <v>3632.9</v>
      </c>
      <c r="IC437">
        <v>3795.5</v>
      </c>
      <c r="ID437">
        <v>0</v>
      </c>
      <c r="IE437">
        <v>0</v>
      </c>
      <c r="IF437">
        <v>3548.5</v>
      </c>
      <c r="IG437">
        <v>3395.2</v>
      </c>
      <c r="IH437">
        <v>3395.4</v>
      </c>
      <c r="II437">
        <v>3302.3</v>
      </c>
      <c r="IJ437">
        <v>3172.8</v>
      </c>
      <c r="IK437">
        <v>0</v>
      </c>
      <c r="IL437">
        <v>0</v>
      </c>
      <c r="IM437">
        <v>0</v>
      </c>
      <c r="IN437">
        <v>0</v>
      </c>
      <c r="IO437">
        <v>123.4</v>
      </c>
      <c r="IP437">
        <v>405.2</v>
      </c>
      <c r="IQ437">
        <v>418.7</v>
      </c>
      <c r="IR437">
        <v>0</v>
      </c>
      <c r="IS437">
        <v>0</v>
      </c>
      <c r="IT437">
        <v>0</v>
      </c>
      <c r="IU437">
        <v>0</v>
      </c>
      <c r="IV437">
        <v>396</v>
      </c>
      <c r="IW437">
        <v>0</v>
      </c>
      <c r="IX437">
        <v>0</v>
      </c>
      <c r="IZ437">
        <v>0</v>
      </c>
      <c r="JA437">
        <v>65.5</v>
      </c>
      <c r="JB437">
        <v>443.5</v>
      </c>
      <c r="JC437">
        <v>0</v>
      </c>
      <c r="JD437">
        <v>0</v>
      </c>
      <c r="JE437">
        <v>0</v>
      </c>
      <c r="JF437">
        <v>0</v>
      </c>
      <c r="JG437">
        <v>0</v>
      </c>
      <c r="JH437">
        <v>0</v>
      </c>
      <c r="JI437">
        <v>0</v>
      </c>
      <c r="JJ437">
        <v>0</v>
      </c>
      <c r="JK437">
        <v>0</v>
      </c>
      <c r="JL437">
        <v>0</v>
      </c>
      <c r="JM437">
        <v>0</v>
      </c>
      <c r="JN437">
        <v>0</v>
      </c>
      <c r="JO437">
        <v>0</v>
      </c>
      <c r="JP437">
        <v>0</v>
      </c>
      <c r="JQ437">
        <v>0</v>
      </c>
      <c r="JR437">
        <v>0</v>
      </c>
      <c r="JS437">
        <v>0</v>
      </c>
      <c r="JT437">
        <v>0</v>
      </c>
      <c r="JU437">
        <v>0</v>
      </c>
      <c r="JV437">
        <v>0</v>
      </c>
      <c r="JW437">
        <v>0</v>
      </c>
      <c r="JX437">
        <v>0</v>
      </c>
      <c r="JY437">
        <v>0</v>
      </c>
      <c r="JZ437">
        <v>0</v>
      </c>
      <c r="KA437">
        <v>0</v>
      </c>
      <c r="KB437">
        <v>0</v>
      </c>
      <c r="KC437">
        <v>0</v>
      </c>
      <c r="KD437">
        <v>0</v>
      </c>
      <c r="KE437">
        <v>0</v>
      </c>
      <c r="KF437">
        <v>0</v>
      </c>
      <c r="KI437">
        <v>344.6</v>
      </c>
      <c r="KJ437">
        <v>350.8</v>
      </c>
      <c r="KK437">
        <v>22.1</v>
      </c>
      <c r="KL437">
        <v>379.3</v>
      </c>
      <c r="KM437">
        <v>241.4</v>
      </c>
      <c r="KN437">
        <v>0</v>
      </c>
      <c r="KO437">
        <v>0</v>
      </c>
      <c r="KP437">
        <v>57.3</v>
      </c>
      <c r="KQ437">
        <v>224.4</v>
      </c>
      <c r="KR437">
        <v>338.3</v>
      </c>
      <c r="KS437">
        <v>215.8</v>
      </c>
      <c r="KT437">
        <v>40.700000000000003</v>
      </c>
      <c r="KW437">
        <v>2154.5</v>
      </c>
      <c r="KX437">
        <v>1255.7</v>
      </c>
      <c r="KY437">
        <v>1630.1</v>
      </c>
      <c r="KZ437">
        <v>1246.9000000000001</v>
      </c>
      <c r="LB437">
        <v>78.099999999999994</v>
      </c>
      <c r="LC437">
        <v>77.7</v>
      </c>
    </row>
    <row r="438" spans="1:315" ht="18.600000000000001" thickTop="1" thickBot="1">
      <c r="A438" s="244"/>
      <c r="B438" s="573" t="s">
        <v>369</v>
      </c>
      <c r="C438" s="347" t="s">
        <v>886</v>
      </c>
      <c r="D438" s="308" t="s">
        <v>825</v>
      </c>
      <c r="E438" s="454">
        <v>0</v>
      </c>
      <c r="F438" s="218">
        <v>0</v>
      </c>
      <c r="G438" s="427">
        <v>3413.8</v>
      </c>
      <c r="H438" s="155"/>
      <c r="I438">
        <v>735</v>
      </c>
      <c r="K438">
        <v>1973.1000000000001</v>
      </c>
      <c r="L438" s="4">
        <v>221.60000000000002</v>
      </c>
      <c r="M438" s="4">
        <v>54.9</v>
      </c>
      <c r="N438" s="4">
        <v>1989.7</v>
      </c>
      <c r="P438">
        <v>0</v>
      </c>
      <c r="Q438">
        <v>238.29999999999998</v>
      </c>
      <c r="R438">
        <v>0</v>
      </c>
      <c r="S438">
        <v>0</v>
      </c>
      <c r="T438">
        <v>368.5</v>
      </c>
      <c r="W438">
        <v>720.3</v>
      </c>
      <c r="X438">
        <v>1411.5</v>
      </c>
      <c r="Y438">
        <v>96.5</v>
      </c>
      <c r="AA438">
        <v>859.6</v>
      </c>
      <c r="AB438">
        <v>1577.6000000000001</v>
      </c>
      <c r="AE438">
        <v>1330</v>
      </c>
      <c r="AF438">
        <v>1025.5</v>
      </c>
      <c r="AH438">
        <v>509.9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1349.3</v>
      </c>
      <c r="AO438">
        <v>786.40000000000009</v>
      </c>
      <c r="AP438">
        <v>0</v>
      </c>
      <c r="AQ438">
        <v>68.3</v>
      </c>
      <c r="AR438">
        <v>234.9</v>
      </c>
      <c r="AS438">
        <v>600.40000000000009</v>
      </c>
      <c r="AU438">
        <v>985.69999999999993</v>
      </c>
      <c r="AW438">
        <v>792</v>
      </c>
      <c r="AX438">
        <v>1988.5</v>
      </c>
      <c r="AZ438">
        <v>763.5</v>
      </c>
      <c r="BA438">
        <v>0</v>
      </c>
      <c r="BB438">
        <v>0</v>
      </c>
      <c r="BC438">
        <v>1935.3</v>
      </c>
      <c r="BD438">
        <v>1006.5</v>
      </c>
      <c r="BE438">
        <v>0</v>
      </c>
      <c r="BF438">
        <v>0</v>
      </c>
      <c r="BG438">
        <v>0</v>
      </c>
      <c r="BH438">
        <v>1662.6</v>
      </c>
      <c r="BJ438">
        <v>0</v>
      </c>
      <c r="BK438">
        <v>0</v>
      </c>
      <c r="BL438">
        <v>1038.9000000000001</v>
      </c>
      <c r="BM438">
        <v>1101</v>
      </c>
      <c r="BO438">
        <v>1276.8000000000002</v>
      </c>
      <c r="BQ438">
        <v>0</v>
      </c>
      <c r="BR438">
        <v>270.7</v>
      </c>
      <c r="BS438">
        <v>230.5</v>
      </c>
      <c r="BT438">
        <v>472.3</v>
      </c>
      <c r="BU438">
        <v>537.29999999999995</v>
      </c>
      <c r="BV438">
        <v>346.3</v>
      </c>
      <c r="BW438">
        <v>386.2</v>
      </c>
      <c r="BX438">
        <v>767</v>
      </c>
      <c r="BY438">
        <v>757.2</v>
      </c>
      <c r="BZ438">
        <v>1037.2</v>
      </c>
      <c r="CA438">
        <v>1227.0999999999999</v>
      </c>
      <c r="CB438">
        <v>1232.0999999999999</v>
      </c>
      <c r="CC438">
        <v>1701.5</v>
      </c>
      <c r="CD438">
        <v>0</v>
      </c>
      <c r="CG438">
        <v>1385.3</v>
      </c>
      <c r="CJ438">
        <v>1630.2999999999997</v>
      </c>
      <c r="CM438">
        <v>1184.2</v>
      </c>
      <c r="CO438">
        <v>1248.0999999999999</v>
      </c>
      <c r="CQ438">
        <v>1435.3</v>
      </c>
      <c r="CR438">
        <v>798.2</v>
      </c>
      <c r="CS438">
        <v>923.8</v>
      </c>
      <c r="CT438">
        <v>0</v>
      </c>
      <c r="CU438">
        <v>0</v>
      </c>
      <c r="CV438">
        <v>0</v>
      </c>
      <c r="CW438">
        <v>0</v>
      </c>
      <c r="CX438">
        <v>163.69999999999999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I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G438" t="e">
        <v>#N/A</v>
      </c>
      <c r="FI438" t="e">
        <v>#N/A</v>
      </c>
      <c r="FK438" t="e">
        <v>#N/A</v>
      </c>
      <c r="FM438" t="e">
        <v>#N/A</v>
      </c>
      <c r="FO438" t="e">
        <v>#N/A</v>
      </c>
      <c r="FQ438" t="e">
        <v>#N/A</v>
      </c>
      <c r="FS438" t="e">
        <v>#N/A</v>
      </c>
      <c r="FU438" t="e">
        <v>#N/A</v>
      </c>
      <c r="FW438" t="e">
        <v>#N/A</v>
      </c>
      <c r="FY438" t="e">
        <v>#N/A</v>
      </c>
      <c r="GA438" t="e">
        <v>#N/A</v>
      </c>
      <c r="GC438" t="e">
        <v>#N/A</v>
      </c>
      <c r="GE438" t="e">
        <v>#N/A</v>
      </c>
      <c r="GG438" t="e">
        <v>#N/A</v>
      </c>
      <c r="GI438" t="e">
        <v>#N/A</v>
      </c>
      <c r="GK438" t="e">
        <v>#N/A</v>
      </c>
      <c r="GM438" t="e">
        <v>#N/A</v>
      </c>
      <c r="GO438" t="e">
        <v>#N/A</v>
      </c>
      <c r="GQ438" t="e">
        <v>#N/A</v>
      </c>
      <c r="GS438" t="e">
        <v>#N/A</v>
      </c>
      <c r="GU438" t="e">
        <v>#N/A</v>
      </c>
      <c r="GW438" t="e">
        <v>#N/A</v>
      </c>
      <c r="GY438" t="e">
        <v>#N/A</v>
      </c>
      <c r="HA438" t="e">
        <v>#N/A</v>
      </c>
      <c r="HC438">
        <v>0</v>
      </c>
      <c r="HD438">
        <v>0</v>
      </c>
      <c r="HE438">
        <v>0</v>
      </c>
      <c r="HF438">
        <v>0</v>
      </c>
      <c r="HG438">
        <v>0</v>
      </c>
      <c r="HH438">
        <v>0</v>
      </c>
      <c r="HI438">
        <v>0</v>
      </c>
      <c r="HJ438">
        <v>0</v>
      </c>
      <c r="HM438">
        <v>0</v>
      </c>
      <c r="HN438">
        <v>0</v>
      </c>
      <c r="HO438">
        <v>0</v>
      </c>
      <c r="HP438">
        <v>0</v>
      </c>
      <c r="HQ438">
        <v>0</v>
      </c>
      <c r="HR438">
        <v>0</v>
      </c>
      <c r="HS438">
        <v>0</v>
      </c>
      <c r="HT438">
        <v>0</v>
      </c>
      <c r="HW438">
        <v>0</v>
      </c>
      <c r="HX438">
        <v>0</v>
      </c>
      <c r="HY438">
        <v>0</v>
      </c>
      <c r="HZ438">
        <v>0</v>
      </c>
      <c r="IA438">
        <v>3930.6</v>
      </c>
      <c r="IB438">
        <v>3632.9</v>
      </c>
      <c r="IC438">
        <v>3795.5</v>
      </c>
      <c r="ID438">
        <v>0</v>
      </c>
      <c r="IE438">
        <v>0</v>
      </c>
      <c r="IF438">
        <v>3548.5</v>
      </c>
      <c r="IG438">
        <v>3395.2</v>
      </c>
      <c r="IH438">
        <v>3395.4</v>
      </c>
      <c r="II438">
        <v>3302.3</v>
      </c>
      <c r="IJ438">
        <v>3172.8</v>
      </c>
      <c r="IK438">
        <v>0</v>
      </c>
      <c r="IL438">
        <v>0</v>
      </c>
      <c r="IM438">
        <v>0</v>
      </c>
      <c r="IN438">
        <v>0</v>
      </c>
      <c r="IO438">
        <v>123.4</v>
      </c>
      <c r="IP438">
        <v>405.2</v>
      </c>
      <c r="IQ438">
        <v>418.7</v>
      </c>
      <c r="IR438">
        <v>0</v>
      </c>
      <c r="IS438">
        <v>0</v>
      </c>
      <c r="IT438">
        <v>0</v>
      </c>
      <c r="IU438">
        <v>0</v>
      </c>
      <c r="IV438">
        <v>396</v>
      </c>
      <c r="IW438">
        <v>0</v>
      </c>
      <c r="IX438">
        <v>0</v>
      </c>
      <c r="IZ438">
        <v>0</v>
      </c>
      <c r="JA438">
        <v>65.5</v>
      </c>
      <c r="JB438">
        <v>443.5</v>
      </c>
      <c r="JC438">
        <v>0</v>
      </c>
      <c r="JD438">
        <v>0</v>
      </c>
      <c r="JE438">
        <v>0</v>
      </c>
      <c r="JF438">
        <v>0</v>
      </c>
      <c r="JG438">
        <v>0</v>
      </c>
      <c r="JH438">
        <v>0</v>
      </c>
      <c r="JI438">
        <v>0</v>
      </c>
      <c r="JJ438">
        <v>0</v>
      </c>
      <c r="JK438">
        <v>0</v>
      </c>
      <c r="JL438">
        <v>0</v>
      </c>
      <c r="JM438">
        <v>0</v>
      </c>
      <c r="JN438">
        <v>0</v>
      </c>
      <c r="JO438">
        <v>0</v>
      </c>
      <c r="JP438">
        <v>0</v>
      </c>
      <c r="JQ438">
        <v>0</v>
      </c>
      <c r="JR438">
        <v>0</v>
      </c>
      <c r="JS438">
        <v>0</v>
      </c>
      <c r="JT438">
        <v>0</v>
      </c>
      <c r="JU438">
        <v>0</v>
      </c>
      <c r="JV438">
        <v>0</v>
      </c>
      <c r="JW438">
        <v>0</v>
      </c>
      <c r="JX438">
        <v>0</v>
      </c>
      <c r="JY438">
        <v>0</v>
      </c>
      <c r="JZ438">
        <v>0</v>
      </c>
      <c r="KA438">
        <v>0</v>
      </c>
      <c r="KB438">
        <v>0</v>
      </c>
      <c r="KC438">
        <v>0</v>
      </c>
      <c r="KD438">
        <v>0</v>
      </c>
      <c r="KE438">
        <v>0</v>
      </c>
      <c r="KF438">
        <v>0</v>
      </c>
      <c r="KI438">
        <v>344.6</v>
      </c>
      <c r="KJ438">
        <v>350.8</v>
      </c>
      <c r="KK438">
        <v>22.1</v>
      </c>
      <c r="KL438">
        <v>379.3</v>
      </c>
      <c r="KM438">
        <v>241.4</v>
      </c>
      <c r="KN438">
        <v>0</v>
      </c>
      <c r="KO438">
        <v>0</v>
      </c>
      <c r="KP438">
        <v>57.3</v>
      </c>
      <c r="KQ438">
        <v>224.4</v>
      </c>
      <c r="KR438">
        <v>338.3</v>
      </c>
      <c r="KS438">
        <v>215.8</v>
      </c>
      <c r="KT438">
        <v>40.700000000000003</v>
      </c>
      <c r="KW438">
        <v>2154.5</v>
      </c>
      <c r="KX438">
        <v>1255.7</v>
      </c>
      <c r="KY438">
        <v>1630.1</v>
      </c>
      <c r="KZ438">
        <v>1246.9000000000001</v>
      </c>
      <c r="LB438">
        <v>78.099999999999994</v>
      </c>
      <c r="LC438">
        <v>77.7</v>
      </c>
    </row>
    <row r="439" spans="1:315" ht="18" thickBot="1">
      <c r="A439" s="243"/>
      <c r="B439" s="572"/>
      <c r="C439" s="343"/>
      <c r="D439" s="309"/>
      <c r="E439" s="454">
        <v>0</v>
      </c>
      <c r="F439" s="215">
        <v>0</v>
      </c>
      <c r="G439" s="427">
        <v>3413.8</v>
      </c>
      <c r="H439" s="155"/>
      <c r="I439">
        <v>735</v>
      </c>
      <c r="K439">
        <v>1973.1000000000001</v>
      </c>
      <c r="L439" s="4">
        <v>221.60000000000002</v>
      </c>
      <c r="M439" s="4">
        <v>54.9</v>
      </c>
      <c r="N439" s="4">
        <v>1989.7</v>
      </c>
      <c r="P439">
        <v>0</v>
      </c>
      <c r="Q439">
        <v>238.29999999999998</v>
      </c>
      <c r="R439">
        <v>0</v>
      </c>
      <c r="S439">
        <v>0</v>
      </c>
      <c r="T439">
        <v>368.5</v>
      </c>
      <c r="W439">
        <v>720.3</v>
      </c>
      <c r="X439">
        <v>1411.5</v>
      </c>
      <c r="Y439">
        <v>96.5</v>
      </c>
      <c r="AA439">
        <v>859.6</v>
      </c>
      <c r="AB439">
        <v>1577.6000000000001</v>
      </c>
      <c r="AE439">
        <v>1330</v>
      </c>
      <c r="AF439">
        <v>1025.5</v>
      </c>
      <c r="AH439">
        <v>509.9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1349.3</v>
      </c>
      <c r="AO439">
        <v>786.40000000000009</v>
      </c>
      <c r="AP439">
        <v>0</v>
      </c>
      <c r="AQ439">
        <v>68.3</v>
      </c>
      <c r="AR439">
        <v>234.9</v>
      </c>
      <c r="AS439">
        <v>600.40000000000009</v>
      </c>
      <c r="AU439">
        <v>985.69999999999993</v>
      </c>
      <c r="AW439">
        <v>792</v>
      </c>
      <c r="AX439">
        <v>1988.5</v>
      </c>
      <c r="AZ439">
        <v>763.5</v>
      </c>
      <c r="BA439">
        <v>0</v>
      </c>
      <c r="BB439">
        <v>0</v>
      </c>
      <c r="BC439">
        <v>1935.3</v>
      </c>
      <c r="BD439">
        <v>1006.5</v>
      </c>
      <c r="BE439">
        <v>0</v>
      </c>
      <c r="BF439">
        <v>0</v>
      </c>
      <c r="BG439">
        <v>0</v>
      </c>
      <c r="BH439">
        <v>1662.6</v>
      </c>
      <c r="BJ439">
        <v>0</v>
      </c>
      <c r="BK439">
        <v>0</v>
      </c>
      <c r="BL439">
        <v>1038.9000000000001</v>
      </c>
      <c r="BM439">
        <v>1101</v>
      </c>
      <c r="BO439">
        <v>1276.8000000000002</v>
      </c>
      <c r="BQ439">
        <v>0</v>
      </c>
      <c r="BR439">
        <v>270.7</v>
      </c>
      <c r="BS439">
        <v>230.5</v>
      </c>
      <c r="BT439">
        <v>472.3</v>
      </c>
      <c r="BU439">
        <v>537.29999999999995</v>
      </c>
      <c r="BV439">
        <v>346.3</v>
      </c>
      <c r="BW439">
        <v>386.2</v>
      </c>
      <c r="BX439">
        <v>767</v>
      </c>
      <c r="BY439">
        <v>757.2</v>
      </c>
      <c r="BZ439">
        <v>1037.2</v>
      </c>
      <c r="CA439">
        <v>1227.0999999999999</v>
      </c>
      <c r="CB439">
        <v>1232.0999999999999</v>
      </c>
      <c r="CC439">
        <v>1701.5</v>
      </c>
      <c r="CD439">
        <v>0</v>
      </c>
      <c r="CG439">
        <v>1385.3</v>
      </c>
      <c r="CJ439">
        <v>1630.2999999999997</v>
      </c>
      <c r="CM439">
        <v>1184.2</v>
      </c>
      <c r="CO439">
        <v>1248.0999999999999</v>
      </c>
      <c r="CQ439">
        <v>1435.3</v>
      </c>
      <c r="CR439">
        <v>798.2</v>
      </c>
      <c r="CS439">
        <v>923.8</v>
      </c>
      <c r="CT439">
        <v>0</v>
      </c>
      <c r="CU439">
        <v>0</v>
      </c>
      <c r="CV439">
        <v>0</v>
      </c>
      <c r="CW439">
        <v>0</v>
      </c>
      <c r="CX439">
        <v>163.69999999999999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I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G439" t="e">
        <v>#N/A</v>
      </c>
      <c r="FI439" t="e">
        <v>#N/A</v>
      </c>
      <c r="FK439" t="e">
        <v>#N/A</v>
      </c>
      <c r="FM439" t="e">
        <v>#N/A</v>
      </c>
      <c r="FO439" t="e">
        <v>#N/A</v>
      </c>
      <c r="FQ439" t="e">
        <v>#N/A</v>
      </c>
      <c r="FS439" t="e">
        <v>#N/A</v>
      </c>
      <c r="FU439" t="e">
        <v>#N/A</v>
      </c>
      <c r="FW439" t="e">
        <v>#N/A</v>
      </c>
      <c r="FY439" t="e">
        <v>#N/A</v>
      </c>
      <c r="GA439" t="e">
        <v>#N/A</v>
      </c>
      <c r="GC439" t="e">
        <v>#N/A</v>
      </c>
      <c r="GE439" t="e">
        <v>#N/A</v>
      </c>
      <c r="GG439" t="e">
        <v>#N/A</v>
      </c>
      <c r="GI439" t="e">
        <v>#N/A</v>
      </c>
      <c r="GK439" t="e">
        <v>#N/A</v>
      </c>
      <c r="GM439" t="e">
        <v>#N/A</v>
      </c>
      <c r="GO439" t="e">
        <v>#N/A</v>
      </c>
      <c r="GQ439" t="e">
        <v>#N/A</v>
      </c>
      <c r="GS439" t="e">
        <v>#N/A</v>
      </c>
      <c r="GU439" t="e">
        <v>#N/A</v>
      </c>
      <c r="GW439" t="e">
        <v>#N/A</v>
      </c>
      <c r="GY439" t="e">
        <v>#N/A</v>
      </c>
      <c r="HA439" t="e">
        <v>#N/A</v>
      </c>
      <c r="HC439">
        <v>0</v>
      </c>
      <c r="HD439">
        <v>0</v>
      </c>
      <c r="HE439">
        <v>0</v>
      </c>
      <c r="HF439">
        <v>0</v>
      </c>
      <c r="HG439">
        <v>0</v>
      </c>
      <c r="HH439">
        <v>0</v>
      </c>
      <c r="HI439">
        <v>0</v>
      </c>
      <c r="HJ439">
        <v>0</v>
      </c>
      <c r="HM439">
        <v>0</v>
      </c>
      <c r="HN439">
        <v>0</v>
      </c>
      <c r="HO439">
        <v>0</v>
      </c>
      <c r="HP439">
        <v>0</v>
      </c>
      <c r="HQ439">
        <v>0</v>
      </c>
      <c r="HR439">
        <v>0</v>
      </c>
      <c r="HS439">
        <v>0</v>
      </c>
      <c r="HT439">
        <v>0</v>
      </c>
      <c r="HW439">
        <v>0</v>
      </c>
      <c r="HX439">
        <v>0</v>
      </c>
      <c r="HY439">
        <v>0</v>
      </c>
      <c r="HZ439">
        <v>0</v>
      </c>
      <c r="IA439">
        <v>3930.6</v>
      </c>
      <c r="IB439">
        <v>3632.9</v>
      </c>
      <c r="IC439">
        <v>3795.5</v>
      </c>
      <c r="ID439">
        <v>0</v>
      </c>
      <c r="IE439">
        <v>0</v>
      </c>
      <c r="IF439">
        <v>3548.5</v>
      </c>
      <c r="IG439">
        <v>3395.2</v>
      </c>
      <c r="IH439">
        <v>3395.4</v>
      </c>
      <c r="II439">
        <v>3302.3</v>
      </c>
      <c r="IJ439">
        <v>3172.8</v>
      </c>
      <c r="IK439">
        <v>0</v>
      </c>
      <c r="IL439">
        <v>0</v>
      </c>
      <c r="IM439">
        <v>0</v>
      </c>
      <c r="IN439">
        <v>0</v>
      </c>
      <c r="IO439">
        <v>123.4</v>
      </c>
      <c r="IP439">
        <v>405.2</v>
      </c>
      <c r="IQ439">
        <v>418.7</v>
      </c>
      <c r="IR439">
        <v>0</v>
      </c>
      <c r="IS439">
        <v>0</v>
      </c>
      <c r="IT439">
        <v>0</v>
      </c>
      <c r="IU439">
        <v>0</v>
      </c>
      <c r="IV439">
        <v>396</v>
      </c>
      <c r="IW439">
        <v>0</v>
      </c>
      <c r="IX439">
        <v>0</v>
      </c>
      <c r="IZ439">
        <v>0</v>
      </c>
      <c r="JA439">
        <v>65.5</v>
      </c>
      <c r="JB439">
        <v>443.5</v>
      </c>
      <c r="JC439">
        <v>0</v>
      </c>
      <c r="JD439">
        <v>0</v>
      </c>
      <c r="JE439">
        <v>0</v>
      </c>
      <c r="JF439">
        <v>0</v>
      </c>
      <c r="JG439">
        <v>0</v>
      </c>
      <c r="JH439">
        <v>0</v>
      </c>
      <c r="JI439">
        <v>0</v>
      </c>
      <c r="JJ439">
        <v>0</v>
      </c>
      <c r="JK439">
        <v>0</v>
      </c>
      <c r="JL439">
        <v>0</v>
      </c>
      <c r="JM439">
        <v>0</v>
      </c>
      <c r="JN439">
        <v>0</v>
      </c>
      <c r="JO439">
        <v>0</v>
      </c>
      <c r="JP439">
        <v>0</v>
      </c>
      <c r="JQ439">
        <v>0</v>
      </c>
      <c r="JR439">
        <v>0</v>
      </c>
      <c r="JS439">
        <v>0</v>
      </c>
      <c r="JT439">
        <v>0</v>
      </c>
      <c r="JU439">
        <v>0</v>
      </c>
      <c r="JV439">
        <v>0</v>
      </c>
      <c r="JW439">
        <v>0</v>
      </c>
      <c r="JX439">
        <v>0</v>
      </c>
      <c r="JY439">
        <v>0</v>
      </c>
      <c r="JZ439">
        <v>0</v>
      </c>
      <c r="KA439">
        <v>0</v>
      </c>
      <c r="KB439">
        <v>0</v>
      </c>
      <c r="KC439">
        <v>0</v>
      </c>
      <c r="KD439">
        <v>0</v>
      </c>
      <c r="KE439">
        <v>0</v>
      </c>
      <c r="KF439">
        <v>0</v>
      </c>
      <c r="KI439">
        <v>344.6</v>
      </c>
      <c r="KJ439">
        <v>350.8</v>
      </c>
      <c r="KK439">
        <v>22.1</v>
      </c>
      <c r="KL439">
        <v>379.3</v>
      </c>
      <c r="KM439">
        <v>241.4</v>
      </c>
      <c r="KN439">
        <v>0</v>
      </c>
      <c r="KO439">
        <v>0</v>
      </c>
      <c r="KP439">
        <v>57.3</v>
      </c>
      <c r="KQ439">
        <v>224.4</v>
      </c>
      <c r="KR439">
        <v>338.3</v>
      </c>
      <c r="KS439">
        <v>215.8</v>
      </c>
      <c r="KT439">
        <v>40.700000000000003</v>
      </c>
      <c r="KW439">
        <v>2154.5</v>
      </c>
      <c r="KX439">
        <v>1255.7</v>
      </c>
      <c r="KY439">
        <v>1630.1</v>
      </c>
      <c r="KZ439">
        <v>1246.9000000000001</v>
      </c>
      <c r="LB439">
        <v>78.099999999999994</v>
      </c>
      <c r="LC439">
        <v>77.7</v>
      </c>
    </row>
    <row r="440" spans="1:315" ht="18.600000000000001" thickTop="1" thickBot="1">
      <c r="A440" s="181"/>
      <c r="B440" s="181" t="s">
        <v>351</v>
      </c>
      <c r="C440" s="333" t="s">
        <v>887</v>
      </c>
      <c r="D440" s="287"/>
      <c r="E440" s="454">
        <v>0</v>
      </c>
      <c r="F440" s="190">
        <v>0</v>
      </c>
      <c r="G440" s="427">
        <v>3413.8</v>
      </c>
      <c r="H440" s="155"/>
      <c r="I440">
        <v>735</v>
      </c>
      <c r="K440">
        <v>1973.1000000000001</v>
      </c>
      <c r="L440" s="4">
        <v>221.60000000000002</v>
      </c>
      <c r="M440" s="4">
        <v>54.9</v>
      </c>
      <c r="N440" s="4">
        <v>1989.7</v>
      </c>
      <c r="P440">
        <v>0</v>
      </c>
      <c r="Q440">
        <v>238.29999999999998</v>
      </c>
      <c r="R440">
        <v>0</v>
      </c>
      <c r="S440">
        <v>0</v>
      </c>
      <c r="T440">
        <v>368.5</v>
      </c>
      <c r="W440">
        <v>720.3</v>
      </c>
      <c r="X440">
        <v>1411.5</v>
      </c>
      <c r="Y440">
        <v>96.5</v>
      </c>
      <c r="AA440">
        <v>859.6</v>
      </c>
      <c r="AB440">
        <v>1577.6000000000001</v>
      </c>
      <c r="AE440">
        <v>1330</v>
      </c>
      <c r="AF440">
        <v>1025.5</v>
      </c>
      <c r="AH440">
        <v>509.9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1349.3</v>
      </c>
      <c r="AO440">
        <v>786.40000000000009</v>
      </c>
      <c r="AP440">
        <v>0</v>
      </c>
      <c r="AQ440">
        <v>68.3</v>
      </c>
      <c r="AR440">
        <v>234.9</v>
      </c>
      <c r="AS440">
        <v>600.40000000000009</v>
      </c>
      <c r="AU440">
        <v>985.69999999999993</v>
      </c>
      <c r="AW440">
        <v>792</v>
      </c>
      <c r="AX440">
        <v>1988.5</v>
      </c>
      <c r="AZ440">
        <v>763.5</v>
      </c>
      <c r="BA440">
        <v>0</v>
      </c>
      <c r="BB440">
        <v>0</v>
      </c>
      <c r="BC440">
        <v>1935.3</v>
      </c>
      <c r="BD440">
        <v>1006.5</v>
      </c>
      <c r="BE440">
        <v>0</v>
      </c>
      <c r="BF440">
        <v>0</v>
      </c>
      <c r="BG440">
        <v>0</v>
      </c>
      <c r="BH440">
        <v>1662.6</v>
      </c>
      <c r="BJ440">
        <v>0</v>
      </c>
      <c r="BK440">
        <v>0</v>
      </c>
      <c r="BL440">
        <v>1038.9000000000001</v>
      </c>
      <c r="BM440">
        <v>1101</v>
      </c>
      <c r="BO440">
        <v>1276.8000000000002</v>
      </c>
      <c r="BQ440">
        <v>0</v>
      </c>
      <c r="BR440">
        <v>270.7</v>
      </c>
      <c r="BS440">
        <v>230.5</v>
      </c>
      <c r="BT440">
        <v>472.3</v>
      </c>
      <c r="BU440">
        <v>537.29999999999995</v>
      </c>
      <c r="BV440">
        <v>346.3</v>
      </c>
      <c r="BW440">
        <v>386.2</v>
      </c>
      <c r="BX440">
        <v>767</v>
      </c>
      <c r="BY440">
        <v>757.2</v>
      </c>
      <c r="BZ440">
        <v>1037.2</v>
      </c>
      <c r="CA440">
        <v>1227.0999999999999</v>
      </c>
      <c r="CB440">
        <v>1232.0999999999999</v>
      </c>
      <c r="CC440">
        <v>1701.5</v>
      </c>
      <c r="CD440">
        <v>0</v>
      </c>
      <c r="CG440">
        <v>1385.3</v>
      </c>
      <c r="CJ440">
        <v>1630.2999999999997</v>
      </c>
      <c r="CM440">
        <v>1184.2</v>
      </c>
      <c r="CO440">
        <v>1248.0999999999999</v>
      </c>
      <c r="CQ440">
        <v>1435.3</v>
      </c>
      <c r="CR440">
        <v>798.2</v>
      </c>
      <c r="CS440">
        <v>923.8</v>
      </c>
      <c r="CT440">
        <v>0</v>
      </c>
      <c r="CU440">
        <v>0</v>
      </c>
      <c r="CV440">
        <v>0</v>
      </c>
      <c r="CW440">
        <v>0</v>
      </c>
      <c r="CX440">
        <v>163.69999999999999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I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G440" t="e">
        <v>#N/A</v>
      </c>
      <c r="FI440" t="e">
        <v>#N/A</v>
      </c>
      <c r="FK440" t="e">
        <v>#N/A</v>
      </c>
      <c r="FM440" t="e">
        <v>#N/A</v>
      </c>
      <c r="FO440" t="e">
        <v>#N/A</v>
      </c>
      <c r="FQ440" t="e">
        <v>#N/A</v>
      </c>
      <c r="FS440" t="e">
        <v>#N/A</v>
      </c>
      <c r="FU440" t="e">
        <v>#N/A</v>
      </c>
      <c r="FW440" t="e">
        <v>#N/A</v>
      </c>
      <c r="FY440" t="e">
        <v>#N/A</v>
      </c>
      <c r="GA440" t="e">
        <v>#N/A</v>
      </c>
      <c r="GC440" t="e">
        <v>#N/A</v>
      </c>
      <c r="GE440" t="e">
        <v>#N/A</v>
      </c>
      <c r="GG440" t="e">
        <v>#N/A</v>
      </c>
      <c r="GI440" t="e">
        <v>#N/A</v>
      </c>
      <c r="GK440" t="e">
        <v>#N/A</v>
      </c>
      <c r="GM440" t="e">
        <v>#N/A</v>
      </c>
      <c r="GO440" t="e">
        <v>#N/A</v>
      </c>
      <c r="GQ440" t="e">
        <v>#N/A</v>
      </c>
      <c r="GS440" t="e">
        <v>#N/A</v>
      </c>
      <c r="GU440" t="e">
        <v>#N/A</v>
      </c>
      <c r="GW440" t="e">
        <v>#N/A</v>
      </c>
      <c r="GY440" t="e">
        <v>#N/A</v>
      </c>
      <c r="HA440" t="e">
        <v>#N/A</v>
      </c>
      <c r="HC440">
        <v>0</v>
      </c>
      <c r="HD440">
        <v>0</v>
      </c>
      <c r="HE440">
        <v>0</v>
      </c>
      <c r="HF440">
        <v>0</v>
      </c>
      <c r="HG440">
        <v>0</v>
      </c>
      <c r="HH440">
        <v>0</v>
      </c>
      <c r="HI440">
        <v>0</v>
      </c>
      <c r="HJ440">
        <v>0</v>
      </c>
      <c r="HM440">
        <v>0</v>
      </c>
      <c r="HN440">
        <v>0</v>
      </c>
      <c r="HO440">
        <v>0</v>
      </c>
      <c r="HP440">
        <v>0</v>
      </c>
      <c r="HQ440">
        <v>0</v>
      </c>
      <c r="HR440">
        <v>0</v>
      </c>
      <c r="HS440">
        <v>0</v>
      </c>
      <c r="HT440">
        <v>0</v>
      </c>
      <c r="HW440">
        <v>0</v>
      </c>
      <c r="HX440">
        <v>0</v>
      </c>
      <c r="HY440">
        <v>0</v>
      </c>
      <c r="HZ440">
        <v>0</v>
      </c>
      <c r="IA440">
        <v>3930.6</v>
      </c>
      <c r="IB440">
        <v>3632.9</v>
      </c>
      <c r="IC440">
        <v>3795.5</v>
      </c>
      <c r="ID440">
        <v>0</v>
      </c>
      <c r="IE440">
        <v>0</v>
      </c>
      <c r="IF440">
        <v>3548.5</v>
      </c>
      <c r="IG440">
        <v>3395.2</v>
      </c>
      <c r="IH440">
        <v>3395.4</v>
      </c>
      <c r="II440">
        <v>3302.3</v>
      </c>
      <c r="IJ440">
        <v>3172.8</v>
      </c>
      <c r="IK440">
        <v>0</v>
      </c>
      <c r="IL440">
        <v>0</v>
      </c>
      <c r="IM440">
        <v>0</v>
      </c>
      <c r="IN440">
        <v>0</v>
      </c>
      <c r="IO440">
        <v>123.4</v>
      </c>
      <c r="IP440">
        <v>405.2</v>
      </c>
      <c r="IQ440">
        <v>418.7</v>
      </c>
      <c r="IR440">
        <v>0</v>
      </c>
      <c r="IS440">
        <v>0</v>
      </c>
      <c r="IT440">
        <v>0</v>
      </c>
      <c r="IU440">
        <v>0</v>
      </c>
      <c r="IV440">
        <v>396</v>
      </c>
      <c r="IW440">
        <v>0</v>
      </c>
      <c r="IX440">
        <v>0</v>
      </c>
      <c r="IZ440">
        <v>0</v>
      </c>
      <c r="JA440">
        <v>65.5</v>
      </c>
      <c r="JB440">
        <v>443.5</v>
      </c>
      <c r="JC440">
        <v>0</v>
      </c>
      <c r="JD440">
        <v>0</v>
      </c>
      <c r="JE440">
        <v>0</v>
      </c>
      <c r="JF440">
        <v>0</v>
      </c>
      <c r="JG440">
        <v>0</v>
      </c>
      <c r="JH440">
        <v>0</v>
      </c>
      <c r="JI440">
        <v>0</v>
      </c>
      <c r="JJ440">
        <v>0</v>
      </c>
      <c r="JK440">
        <v>0</v>
      </c>
      <c r="JL440">
        <v>0</v>
      </c>
      <c r="JM440">
        <v>0</v>
      </c>
      <c r="JN440">
        <v>0</v>
      </c>
      <c r="JO440">
        <v>0</v>
      </c>
      <c r="JP440">
        <v>0</v>
      </c>
      <c r="JQ440">
        <v>0</v>
      </c>
      <c r="JR440">
        <v>0</v>
      </c>
      <c r="JS440">
        <v>0</v>
      </c>
      <c r="JT440">
        <v>0</v>
      </c>
      <c r="JU440">
        <v>0</v>
      </c>
      <c r="JV440">
        <v>0</v>
      </c>
      <c r="JW440">
        <v>0</v>
      </c>
      <c r="JX440">
        <v>0</v>
      </c>
      <c r="JY440">
        <v>0</v>
      </c>
      <c r="JZ440">
        <v>0</v>
      </c>
      <c r="KA440">
        <v>0</v>
      </c>
      <c r="KB440">
        <v>0</v>
      </c>
      <c r="KC440">
        <v>0</v>
      </c>
      <c r="KD440">
        <v>0</v>
      </c>
      <c r="KE440">
        <v>0</v>
      </c>
      <c r="KF440">
        <v>0</v>
      </c>
      <c r="KI440">
        <v>344.6</v>
      </c>
      <c r="KJ440">
        <v>350.8</v>
      </c>
      <c r="KK440">
        <v>22.1</v>
      </c>
      <c r="KL440">
        <v>379.3</v>
      </c>
      <c r="KM440">
        <v>241.4</v>
      </c>
      <c r="KN440">
        <v>0</v>
      </c>
      <c r="KO440">
        <v>0</v>
      </c>
      <c r="KP440">
        <v>57.3</v>
      </c>
      <c r="KQ440">
        <v>224.4</v>
      </c>
      <c r="KR440">
        <v>338.3</v>
      </c>
      <c r="KS440">
        <v>215.8</v>
      </c>
      <c r="KT440">
        <v>40.700000000000003</v>
      </c>
      <c r="KW440">
        <v>2154.5</v>
      </c>
      <c r="KX440">
        <v>1255.7</v>
      </c>
      <c r="KY440">
        <v>1630.1</v>
      </c>
      <c r="KZ440">
        <v>1246.9000000000001</v>
      </c>
      <c r="LB440">
        <v>78.099999999999994</v>
      </c>
      <c r="LC440">
        <v>77.7</v>
      </c>
    </row>
    <row r="441" spans="1:315" ht="18" thickBot="1">
      <c r="A441" s="245"/>
      <c r="B441" s="245" t="s">
        <v>352</v>
      </c>
      <c r="C441" s="230" t="s">
        <v>706</v>
      </c>
      <c r="D441" s="281"/>
      <c r="E441" s="443">
        <v>0</v>
      </c>
      <c r="F441" s="191">
        <v>0</v>
      </c>
      <c r="G441" s="427">
        <v>3413.8</v>
      </c>
      <c r="H441" s="155"/>
      <c r="I441">
        <v>735</v>
      </c>
      <c r="K441">
        <v>1973.1000000000001</v>
      </c>
      <c r="L441" s="4">
        <v>221.60000000000002</v>
      </c>
      <c r="M441" s="4">
        <v>54.9</v>
      </c>
      <c r="N441" s="4">
        <v>1989.7</v>
      </c>
      <c r="P441">
        <v>0</v>
      </c>
      <c r="Q441">
        <v>238.29999999999998</v>
      </c>
      <c r="R441">
        <v>0</v>
      </c>
      <c r="S441">
        <v>0</v>
      </c>
      <c r="T441">
        <v>368.5</v>
      </c>
      <c r="W441">
        <v>720.3</v>
      </c>
      <c r="X441">
        <v>1411.5</v>
      </c>
      <c r="Y441">
        <v>96.5</v>
      </c>
      <c r="AA441">
        <v>859.6</v>
      </c>
      <c r="AB441">
        <v>1577.6000000000001</v>
      </c>
      <c r="AE441">
        <v>1330</v>
      </c>
      <c r="AF441">
        <v>1025.5</v>
      </c>
      <c r="AH441">
        <v>509.9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1349.3</v>
      </c>
      <c r="AO441">
        <v>786.40000000000009</v>
      </c>
      <c r="AP441">
        <v>0</v>
      </c>
      <c r="AQ441">
        <v>68.3</v>
      </c>
      <c r="AR441">
        <v>234.9</v>
      </c>
      <c r="AS441">
        <v>600.40000000000009</v>
      </c>
      <c r="AU441">
        <v>985.69999999999993</v>
      </c>
      <c r="AW441">
        <v>792</v>
      </c>
      <c r="AX441">
        <v>1988.5</v>
      </c>
      <c r="AZ441">
        <v>763.5</v>
      </c>
      <c r="BA441">
        <v>0</v>
      </c>
      <c r="BB441">
        <v>0</v>
      </c>
      <c r="BC441">
        <v>1935.3</v>
      </c>
      <c r="BD441">
        <v>1006.5</v>
      </c>
      <c r="BE441">
        <v>0</v>
      </c>
      <c r="BF441">
        <v>0</v>
      </c>
      <c r="BG441">
        <v>0</v>
      </c>
      <c r="BH441">
        <v>1662.6</v>
      </c>
      <c r="BJ441">
        <v>0</v>
      </c>
      <c r="BK441">
        <v>0</v>
      </c>
      <c r="BL441">
        <v>1038.9000000000001</v>
      </c>
      <c r="BM441">
        <v>1101</v>
      </c>
      <c r="BO441">
        <v>1276.8000000000002</v>
      </c>
      <c r="BQ441">
        <v>0</v>
      </c>
      <c r="BR441">
        <v>270.7</v>
      </c>
      <c r="BS441">
        <v>230.5</v>
      </c>
      <c r="BT441">
        <v>472.3</v>
      </c>
      <c r="BU441">
        <v>537.29999999999995</v>
      </c>
      <c r="BV441">
        <v>346.3</v>
      </c>
      <c r="BW441">
        <v>386.2</v>
      </c>
      <c r="BX441">
        <v>767</v>
      </c>
      <c r="BY441">
        <v>757.2</v>
      </c>
      <c r="BZ441">
        <v>1037.2</v>
      </c>
      <c r="CA441">
        <v>1227.0999999999999</v>
      </c>
      <c r="CB441">
        <v>1232.0999999999999</v>
      </c>
      <c r="CC441">
        <v>1701.5</v>
      </c>
      <c r="CD441">
        <v>0</v>
      </c>
      <c r="CG441">
        <v>1385.3</v>
      </c>
      <c r="CJ441">
        <v>1630.2999999999997</v>
      </c>
      <c r="CM441">
        <v>1184.2</v>
      </c>
      <c r="CO441">
        <v>1248.0999999999999</v>
      </c>
      <c r="CQ441">
        <v>1435.3</v>
      </c>
      <c r="CR441">
        <v>798.2</v>
      </c>
      <c r="CS441">
        <v>923.8</v>
      </c>
      <c r="CT441">
        <v>0</v>
      </c>
      <c r="CU441">
        <v>0</v>
      </c>
      <c r="CV441">
        <v>0</v>
      </c>
      <c r="CW441">
        <v>0</v>
      </c>
      <c r="CX441">
        <v>163.69999999999999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I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G441" t="e">
        <v>#N/A</v>
      </c>
      <c r="FI441" t="e">
        <v>#N/A</v>
      </c>
      <c r="FK441" t="e">
        <v>#N/A</v>
      </c>
      <c r="FM441" t="e">
        <v>#N/A</v>
      </c>
      <c r="FO441" t="e">
        <v>#N/A</v>
      </c>
      <c r="FQ441" t="e">
        <v>#N/A</v>
      </c>
      <c r="FS441" t="e">
        <v>#N/A</v>
      </c>
      <c r="FU441" t="e">
        <v>#N/A</v>
      </c>
      <c r="FW441" t="e">
        <v>#N/A</v>
      </c>
      <c r="FY441" t="e">
        <v>#N/A</v>
      </c>
      <c r="GA441" t="e">
        <v>#N/A</v>
      </c>
      <c r="GC441" t="e">
        <v>#N/A</v>
      </c>
      <c r="GE441" t="e">
        <v>#N/A</v>
      </c>
      <c r="GG441" t="e">
        <v>#N/A</v>
      </c>
      <c r="GI441" t="e">
        <v>#N/A</v>
      </c>
      <c r="GK441" t="e">
        <v>#N/A</v>
      </c>
      <c r="GM441" t="e">
        <v>#N/A</v>
      </c>
      <c r="GO441" t="e">
        <v>#N/A</v>
      </c>
      <c r="GQ441" t="e">
        <v>#N/A</v>
      </c>
      <c r="GS441" t="e">
        <v>#N/A</v>
      </c>
      <c r="GU441" t="e">
        <v>#N/A</v>
      </c>
      <c r="GW441" t="e">
        <v>#N/A</v>
      </c>
      <c r="GY441" t="e">
        <v>#N/A</v>
      </c>
      <c r="HA441" t="e">
        <v>#N/A</v>
      </c>
      <c r="HC441">
        <v>0</v>
      </c>
      <c r="HD441">
        <v>0</v>
      </c>
      <c r="HE441">
        <v>0</v>
      </c>
      <c r="HF441">
        <v>0</v>
      </c>
      <c r="HG441">
        <v>0</v>
      </c>
      <c r="HH441">
        <v>0</v>
      </c>
      <c r="HI441">
        <v>0</v>
      </c>
      <c r="HJ441">
        <v>0</v>
      </c>
      <c r="HM441">
        <v>0</v>
      </c>
      <c r="HN441">
        <v>0</v>
      </c>
      <c r="HO441">
        <v>0</v>
      </c>
      <c r="HP441">
        <v>0</v>
      </c>
      <c r="HQ441">
        <v>0</v>
      </c>
      <c r="HR441">
        <v>0</v>
      </c>
      <c r="HS441">
        <v>0</v>
      </c>
      <c r="HT441">
        <v>0</v>
      </c>
      <c r="HW441">
        <v>0</v>
      </c>
      <c r="HX441">
        <v>0</v>
      </c>
      <c r="HY441">
        <v>0</v>
      </c>
      <c r="HZ441">
        <v>0</v>
      </c>
      <c r="IA441">
        <v>3930.6</v>
      </c>
      <c r="IB441">
        <v>3632.9</v>
      </c>
      <c r="IC441">
        <v>3795.5</v>
      </c>
      <c r="ID441">
        <v>0</v>
      </c>
      <c r="IE441">
        <v>0</v>
      </c>
      <c r="IF441">
        <v>3548.5</v>
      </c>
      <c r="IG441">
        <v>3395.2</v>
      </c>
      <c r="IH441">
        <v>3395.4</v>
      </c>
      <c r="II441">
        <v>3302.3</v>
      </c>
      <c r="IJ441">
        <v>3172.8</v>
      </c>
      <c r="IK441">
        <v>0</v>
      </c>
      <c r="IL441">
        <v>0</v>
      </c>
      <c r="IM441">
        <v>0</v>
      </c>
      <c r="IN441">
        <v>0</v>
      </c>
      <c r="IO441">
        <v>123.4</v>
      </c>
      <c r="IP441">
        <v>405.2</v>
      </c>
      <c r="IQ441">
        <v>418.7</v>
      </c>
      <c r="IR441">
        <v>0</v>
      </c>
      <c r="IS441">
        <v>0</v>
      </c>
      <c r="IT441">
        <v>0</v>
      </c>
      <c r="IU441">
        <v>0</v>
      </c>
      <c r="IV441">
        <v>396</v>
      </c>
      <c r="IW441">
        <v>0</v>
      </c>
      <c r="IX441">
        <v>0</v>
      </c>
      <c r="IZ441">
        <v>0</v>
      </c>
      <c r="JA441">
        <v>65.5</v>
      </c>
      <c r="JB441">
        <v>443.5</v>
      </c>
      <c r="JC441">
        <v>0</v>
      </c>
      <c r="JD441">
        <v>0</v>
      </c>
      <c r="JE441">
        <v>0</v>
      </c>
      <c r="JF441">
        <v>0</v>
      </c>
      <c r="JG441">
        <v>0</v>
      </c>
      <c r="JH441">
        <v>0</v>
      </c>
      <c r="JI441">
        <v>0</v>
      </c>
      <c r="JJ441">
        <v>0</v>
      </c>
      <c r="JK441">
        <v>0</v>
      </c>
      <c r="JL441">
        <v>0</v>
      </c>
      <c r="JM441">
        <v>0</v>
      </c>
      <c r="JN441">
        <v>0</v>
      </c>
      <c r="JO441">
        <v>0</v>
      </c>
      <c r="JP441">
        <v>0</v>
      </c>
      <c r="JQ441">
        <v>0</v>
      </c>
      <c r="JR441">
        <v>0</v>
      </c>
      <c r="JS441">
        <v>0</v>
      </c>
      <c r="JT441">
        <v>0</v>
      </c>
      <c r="JU441">
        <v>0</v>
      </c>
      <c r="JV441">
        <v>0</v>
      </c>
      <c r="JW441">
        <v>0</v>
      </c>
      <c r="JX441">
        <v>0</v>
      </c>
      <c r="JY441">
        <v>0</v>
      </c>
      <c r="JZ441">
        <v>0</v>
      </c>
      <c r="KA441">
        <v>0</v>
      </c>
      <c r="KB441">
        <v>0</v>
      </c>
      <c r="KC441">
        <v>0</v>
      </c>
      <c r="KD441">
        <v>0</v>
      </c>
      <c r="KE441">
        <v>0</v>
      </c>
      <c r="KF441">
        <v>0</v>
      </c>
      <c r="KI441">
        <v>344.6</v>
      </c>
      <c r="KJ441">
        <v>350.8</v>
      </c>
      <c r="KK441">
        <v>22.1</v>
      </c>
      <c r="KL441">
        <v>379.3</v>
      </c>
      <c r="KM441">
        <v>241.4</v>
      </c>
      <c r="KN441">
        <v>0</v>
      </c>
      <c r="KO441">
        <v>0</v>
      </c>
      <c r="KP441">
        <v>57.3</v>
      </c>
      <c r="KQ441">
        <v>224.4</v>
      </c>
      <c r="KR441">
        <v>338.3</v>
      </c>
      <c r="KS441">
        <v>215.8</v>
      </c>
      <c r="KT441">
        <v>40.700000000000003</v>
      </c>
      <c r="KW441">
        <v>2154.5</v>
      </c>
      <c r="KX441">
        <v>1255.7</v>
      </c>
      <c r="KY441">
        <v>1630.1</v>
      </c>
      <c r="KZ441">
        <v>1246.9000000000001</v>
      </c>
      <c r="LB441">
        <v>78.099999999999994</v>
      </c>
      <c r="LC441">
        <v>77.7</v>
      </c>
    </row>
    <row r="442" spans="1:315" ht="18" thickBot="1">
      <c r="A442" s="245"/>
      <c r="B442" s="245" t="s">
        <v>353</v>
      </c>
      <c r="C442" s="230" t="s">
        <v>707</v>
      </c>
      <c r="D442" s="281"/>
      <c r="E442" s="443">
        <v>0</v>
      </c>
      <c r="F442" s="191">
        <v>0</v>
      </c>
      <c r="G442" s="427">
        <v>3413.8</v>
      </c>
      <c r="H442" s="155"/>
      <c r="I442">
        <v>735</v>
      </c>
      <c r="K442">
        <v>1973.1000000000001</v>
      </c>
      <c r="L442" s="4">
        <v>221.60000000000002</v>
      </c>
      <c r="M442" s="4">
        <v>54.9</v>
      </c>
      <c r="N442" s="4">
        <v>1989.7</v>
      </c>
      <c r="P442">
        <v>0</v>
      </c>
      <c r="Q442">
        <v>238.29999999999998</v>
      </c>
      <c r="R442">
        <v>0</v>
      </c>
      <c r="S442">
        <v>0</v>
      </c>
      <c r="T442">
        <v>368.5</v>
      </c>
      <c r="W442">
        <v>720.3</v>
      </c>
      <c r="X442">
        <v>1411.5</v>
      </c>
      <c r="Y442">
        <v>96.5</v>
      </c>
      <c r="AA442">
        <v>859.6</v>
      </c>
      <c r="AB442">
        <v>1577.6000000000001</v>
      </c>
      <c r="AE442">
        <v>1330</v>
      </c>
      <c r="AF442">
        <v>1025.5</v>
      </c>
      <c r="AH442">
        <v>509.9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1349.3</v>
      </c>
      <c r="AO442">
        <v>786.40000000000009</v>
      </c>
      <c r="AP442">
        <v>0</v>
      </c>
      <c r="AQ442">
        <v>68.3</v>
      </c>
      <c r="AR442">
        <v>234.9</v>
      </c>
      <c r="AS442">
        <v>600.40000000000009</v>
      </c>
      <c r="AU442">
        <v>985.69999999999993</v>
      </c>
      <c r="AW442">
        <v>792</v>
      </c>
      <c r="AX442">
        <v>1988.5</v>
      </c>
      <c r="AZ442">
        <v>763.5</v>
      </c>
      <c r="BA442">
        <v>0</v>
      </c>
      <c r="BB442">
        <v>0</v>
      </c>
      <c r="BC442">
        <v>1935.3</v>
      </c>
      <c r="BD442">
        <v>1006.5</v>
      </c>
      <c r="BE442">
        <v>0</v>
      </c>
      <c r="BF442">
        <v>0</v>
      </c>
      <c r="BG442">
        <v>0</v>
      </c>
      <c r="BH442">
        <v>1662.6</v>
      </c>
      <c r="BJ442">
        <v>0</v>
      </c>
      <c r="BK442">
        <v>0</v>
      </c>
      <c r="BL442">
        <v>1038.9000000000001</v>
      </c>
      <c r="BM442">
        <v>1101</v>
      </c>
      <c r="BO442">
        <v>1276.8000000000002</v>
      </c>
      <c r="BQ442">
        <v>0</v>
      </c>
      <c r="BR442">
        <v>270.7</v>
      </c>
      <c r="BS442">
        <v>230.5</v>
      </c>
      <c r="BT442">
        <v>472.3</v>
      </c>
      <c r="BU442">
        <v>537.29999999999995</v>
      </c>
      <c r="BV442">
        <v>346.3</v>
      </c>
      <c r="BW442">
        <v>386.2</v>
      </c>
      <c r="BX442">
        <v>767</v>
      </c>
      <c r="BY442">
        <v>757.2</v>
      </c>
      <c r="BZ442">
        <v>1037.2</v>
      </c>
      <c r="CA442">
        <v>1227.0999999999999</v>
      </c>
      <c r="CB442">
        <v>1232.0999999999999</v>
      </c>
      <c r="CC442">
        <v>1701.5</v>
      </c>
      <c r="CD442">
        <v>0</v>
      </c>
      <c r="CG442">
        <v>1385.3</v>
      </c>
      <c r="CJ442">
        <v>1630.2999999999997</v>
      </c>
      <c r="CM442">
        <v>1184.2</v>
      </c>
      <c r="CO442">
        <v>1248.0999999999999</v>
      </c>
      <c r="CQ442">
        <v>1435.3</v>
      </c>
      <c r="CR442">
        <v>798.2</v>
      </c>
      <c r="CS442">
        <v>923.8</v>
      </c>
      <c r="CT442">
        <v>0</v>
      </c>
      <c r="CU442">
        <v>0</v>
      </c>
      <c r="CV442">
        <v>0</v>
      </c>
      <c r="CW442">
        <v>0</v>
      </c>
      <c r="CX442">
        <v>163.69999999999999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I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G442" t="e">
        <v>#N/A</v>
      </c>
      <c r="FI442" t="e">
        <v>#N/A</v>
      </c>
      <c r="FK442" t="e">
        <v>#N/A</v>
      </c>
      <c r="FM442" t="e">
        <v>#N/A</v>
      </c>
      <c r="FO442" t="e">
        <v>#N/A</v>
      </c>
      <c r="FQ442" t="e">
        <v>#N/A</v>
      </c>
      <c r="FS442" t="e">
        <v>#N/A</v>
      </c>
      <c r="FU442" t="e">
        <v>#N/A</v>
      </c>
      <c r="FW442" t="e">
        <v>#N/A</v>
      </c>
      <c r="FY442" t="e">
        <v>#N/A</v>
      </c>
      <c r="GA442" t="e">
        <v>#N/A</v>
      </c>
      <c r="GC442" t="e">
        <v>#N/A</v>
      </c>
      <c r="GE442" t="e">
        <v>#N/A</v>
      </c>
      <c r="GG442" t="e">
        <v>#N/A</v>
      </c>
      <c r="GI442" t="e">
        <v>#N/A</v>
      </c>
      <c r="GK442" t="e">
        <v>#N/A</v>
      </c>
      <c r="GM442" t="e">
        <v>#N/A</v>
      </c>
      <c r="GO442" t="e">
        <v>#N/A</v>
      </c>
      <c r="GQ442" t="e">
        <v>#N/A</v>
      </c>
      <c r="GS442" t="e">
        <v>#N/A</v>
      </c>
      <c r="GU442" t="e">
        <v>#N/A</v>
      </c>
      <c r="GW442" t="e">
        <v>#N/A</v>
      </c>
      <c r="GY442" t="e">
        <v>#N/A</v>
      </c>
      <c r="HA442" t="e">
        <v>#N/A</v>
      </c>
      <c r="HC442">
        <v>0</v>
      </c>
      <c r="HD442">
        <v>0</v>
      </c>
      <c r="HE442">
        <v>0</v>
      </c>
      <c r="HF442">
        <v>0</v>
      </c>
      <c r="HG442">
        <v>0</v>
      </c>
      <c r="HH442">
        <v>0</v>
      </c>
      <c r="HI442">
        <v>0</v>
      </c>
      <c r="HJ442">
        <v>0</v>
      </c>
      <c r="HM442">
        <v>0</v>
      </c>
      <c r="HN442">
        <v>0</v>
      </c>
      <c r="HO442">
        <v>0</v>
      </c>
      <c r="HP442">
        <v>0</v>
      </c>
      <c r="HQ442">
        <v>0</v>
      </c>
      <c r="HR442">
        <v>0</v>
      </c>
      <c r="HS442">
        <v>0</v>
      </c>
      <c r="HT442">
        <v>0</v>
      </c>
      <c r="HW442">
        <v>0</v>
      </c>
      <c r="HX442">
        <v>0</v>
      </c>
      <c r="HY442">
        <v>0</v>
      </c>
      <c r="HZ442">
        <v>0</v>
      </c>
      <c r="IA442">
        <v>3930.6</v>
      </c>
      <c r="IB442">
        <v>3632.9</v>
      </c>
      <c r="IC442">
        <v>3795.5</v>
      </c>
      <c r="ID442">
        <v>0</v>
      </c>
      <c r="IE442">
        <v>0</v>
      </c>
      <c r="IF442">
        <v>3548.5</v>
      </c>
      <c r="IG442">
        <v>3395.2</v>
      </c>
      <c r="IH442">
        <v>3395.4</v>
      </c>
      <c r="II442">
        <v>3302.3</v>
      </c>
      <c r="IJ442">
        <v>3172.8</v>
      </c>
      <c r="IK442">
        <v>0</v>
      </c>
      <c r="IL442">
        <v>0</v>
      </c>
      <c r="IM442">
        <v>0</v>
      </c>
      <c r="IN442">
        <v>0</v>
      </c>
      <c r="IO442">
        <v>123.4</v>
      </c>
      <c r="IP442">
        <v>405.2</v>
      </c>
      <c r="IQ442">
        <v>418.7</v>
      </c>
      <c r="IR442">
        <v>0</v>
      </c>
      <c r="IS442">
        <v>0</v>
      </c>
      <c r="IT442">
        <v>0</v>
      </c>
      <c r="IU442">
        <v>0</v>
      </c>
      <c r="IV442">
        <v>396</v>
      </c>
      <c r="IW442">
        <v>0</v>
      </c>
      <c r="IX442">
        <v>0</v>
      </c>
      <c r="IZ442">
        <v>0</v>
      </c>
      <c r="JA442">
        <v>65.5</v>
      </c>
      <c r="JB442">
        <v>443.5</v>
      </c>
      <c r="JC442">
        <v>0</v>
      </c>
      <c r="JD442">
        <v>0</v>
      </c>
      <c r="JE442">
        <v>0</v>
      </c>
      <c r="JF442">
        <v>0</v>
      </c>
      <c r="JG442">
        <v>0</v>
      </c>
      <c r="JH442">
        <v>0</v>
      </c>
      <c r="JI442">
        <v>0</v>
      </c>
      <c r="JJ442">
        <v>0</v>
      </c>
      <c r="JK442">
        <v>0</v>
      </c>
      <c r="JL442">
        <v>0</v>
      </c>
      <c r="JM442">
        <v>0</v>
      </c>
      <c r="JN442">
        <v>0</v>
      </c>
      <c r="JO442">
        <v>0</v>
      </c>
      <c r="JP442">
        <v>0</v>
      </c>
      <c r="JQ442">
        <v>0</v>
      </c>
      <c r="JR442">
        <v>0</v>
      </c>
      <c r="JS442">
        <v>0</v>
      </c>
      <c r="JT442">
        <v>0</v>
      </c>
      <c r="JU442">
        <v>0</v>
      </c>
      <c r="JV442">
        <v>0</v>
      </c>
      <c r="JW442">
        <v>0</v>
      </c>
      <c r="JX442">
        <v>0</v>
      </c>
      <c r="JY442">
        <v>0</v>
      </c>
      <c r="JZ442">
        <v>0</v>
      </c>
      <c r="KA442">
        <v>0</v>
      </c>
      <c r="KB442">
        <v>0</v>
      </c>
      <c r="KC442">
        <v>0</v>
      </c>
      <c r="KD442">
        <v>0</v>
      </c>
      <c r="KE442">
        <v>0</v>
      </c>
      <c r="KF442">
        <v>0</v>
      </c>
      <c r="KI442">
        <v>344.6</v>
      </c>
      <c r="KJ442">
        <v>350.8</v>
      </c>
      <c r="KK442">
        <v>22.1</v>
      </c>
      <c r="KL442">
        <v>379.3</v>
      </c>
      <c r="KM442">
        <v>241.4</v>
      </c>
      <c r="KN442">
        <v>0</v>
      </c>
      <c r="KO442">
        <v>0</v>
      </c>
      <c r="KP442">
        <v>57.3</v>
      </c>
      <c r="KQ442">
        <v>224.4</v>
      </c>
      <c r="KR442">
        <v>338.3</v>
      </c>
      <c r="KS442">
        <v>215.8</v>
      </c>
      <c r="KT442">
        <v>40.700000000000003</v>
      </c>
      <c r="KW442">
        <v>2154.5</v>
      </c>
      <c r="KX442">
        <v>1255.7</v>
      </c>
      <c r="KY442">
        <v>1630.1</v>
      </c>
      <c r="KZ442">
        <v>1246.9000000000001</v>
      </c>
      <c r="LB442">
        <v>78.099999999999994</v>
      </c>
      <c r="LC442">
        <v>77.7</v>
      </c>
    </row>
    <row r="443" spans="1:315" ht="18" thickBot="1">
      <c r="A443" s="245"/>
      <c r="B443" s="245" t="s">
        <v>354</v>
      </c>
      <c r="C443" s="230" t="s">
        <v>708</v>
      </c>
      <c r="D443" s="281"/>
      <c r="E443" s="443">
        <v>0</v>
      </c>
      <c r="F443" s="191">
        <v>0</v>
      </c>
      <c r="G443" s="427">
        <v>3413.8</v>
      </c>
      <c r="H443" s="155"/>
      <c r="I443">
        <v>735</v>
      </c>
      <c r="K443">
        <v>1973.1000000000001</v>
      </c>
      <c r="L443" s="4">
        <v>221.60000000000002</v>
      </c>
      <c r="M443" s="4">
        <v>54.9</v>
      </c>
      <c r="N443" s="4">
        <v>1989.7</v>
      </c>
      <c r="P443">
        <v>0</v>
      </c>
      <c r="Q443">
        <v>238.29999999999998</v>
      </c>
      <c r="R443">
        <v>0</v>
      </c>
      <c r="S443">
        <v>0</v>
      </c>
      <c r="T443">
        <v>368.5</v>
      </c>
      <c r="W443">
        <v>720.3</v>
      </c>
      <c r="X443">
        <v>1411.5</v>
      </c>
      <c r="Y443">
        <v>96.5</v>
      </c>
      <c r="AA443">
        <v>859.6</v>
      </c>
      <c r="AB443">
        <v>1577.6000000000001</v>
      </c>
      <c r="AE443">
        <v>1330</v>
      </c>
      <c r="AF443">
        <v>1025.5</v>
      </c>
      <c r="AH443">
        <v>509.9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1349.3</v>
      </c>
      <c r="AO443">
        <v>786.40000000000009</v>
      </c>
      <c r="AP443">
        <v>0</v>
      </c>
      <c r="AQ443">
        <v>68.3</v>
      </c>
      <c r="AR443">
        <v>234.9</v>
      </c>
      <c r="AS443">
        <v>600.40000000000009</v>
      </c>
      <c r="AU443">
        <v>985.69999999999993</v>
      </c>
      <c r="AW443">
        <v>792</v>
      </c>
      <c r="AX443">
        <v>1988.5</v>
      </c>
      <c r="AZ443">
        <v>763.5</v>
      </c>
      <c r="BA443">
        <v>0</v>
      </c>
      <c r="BB443">
        <v>0</v>
      </c>
      <c r="BC443">
        <v>1935.3</v>
      </c>
      <c r="BD443">
        <v>1006.5</v>
      </c>
      <c r="BE443">
        <v>0</v>
      </c>
      <c r="BF443">
        <v>0</v>
      </c>
      <c r="BG443">
        <v>0</v>
      </c>
      <c r="BH443">
        <v>1662.6</v>
      </c>
      <c r="BJ443">
        <v>0</v>
      </c>
      <c r="BK443">
        <v>0</v>
      </c>
      <c r="BL443">
        <v>1038.9000000000001</v>
      </c>
      <c r="BM443">
        <v>1101</v>
      </c>
      <c r="BO443">
        <v>1276.8000000000002</v>
      </c>
      <c r="BQ443">
        <v>0</v>
      </c>
      <c r="BR443">
        <v>270.7</v>
      </c>
      <c r="BS443">
        <v>230.5</v>
      </c>
      <c r="BT443">
        <v>472.3</v>
      </c>
      <c r="BU443">
        <v>537.29999999999995</v>
      </c>
      <c r="BV443">
        <v>346.3</v>
      </c>
      <c r="BW443">
        <v>386.2</v>
      </c>
      <c r="BX443">
        <v>767</v>
      </c>
      <c r="BY443">
        <v>757.2</v>
      </c>
      <c r="BZ443">
        <v>1037.2</v>
      </c>
      <c r="CA443">
        <v>1227.0999999999999</v>
      </c>
      <c r="CB443">
        <v>1232.0999999999999</v>
      </c>
      <c r="CC443">
        <v>1701.5</v>
      </c>
      <c r="CD443">
        <v>0</v>
      </c>
      <c r="CG443">
        <v>1385.3</v>
      </c>
      <c r="CJ443">
        <v>1630.2999999999997</v>
      </c>
      <c r="CM443">
        <v>1184.2</v>
      </c>
      <c r="CO443">
        <v>1248.0999999999999</v>
      </c>
      <c r="CQ443">
        <v>1435.3</v>
      </c>
      <c r="CR443">
        <v>798.2</v>
      </c>
      <c r="CS443">
        <v>923.8</v>
      </c>
      <c r="CT443">
        <v>0</v>
      </c>
      <c r="CU443">
        <v>0</v>
      </c>
      <c r="CV443">
        <v>0</v>
      </c>
      <c r="CW443">
        <v>0</v>
      </c>
      <c r="CX443">
        <v>163.69999999999999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I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G443" t="e">
        <v>#N/A</v>
      </c>
      <c r="FI443" t="e">
        <v>#N/A</v>
      </c>
      <c r="FK443" t="e">
        <v>#N/A</v>
      </c>
      <c r="FM443" t="e">
        <v>#N/A</v>
      </c>
      <c r="FO443" t="e">
        <v>#N/A</v>
      </c>
      <c r="FQ443" t="e">
        <v>#N/A</v>
      </c>
      <c r="FS443" t="e">
        <v>#N/A</v>
      </c>
      <c r="FU443" t="e">
        <v>#N/A</v>
      </c>
      <c r="FW443" t="e">
        <v>#N/A</v>
      </c>
      <c r="FY443" t="e">
        <v>#N/A</v>
      </c>
      <c r="GA443" t="e">
        <v>#N/A</v>
      </c>
      <c r="GC443" t="e">
        <v>#N/A</v>
      </c>
      <c r="GE443" t="e">
        <v>#N/A</v>
      </c>
      <c r="GG443" t="e">
        <v>#N/A</v>
      </c>
      <c r="GI443" t="e">
        <v>#N/A</v>
      </c>
      <c r="GK443" t="e">
        <v>#N/A</v>
      </c>
      <c r="GM443" t="e">
        <v>#N/A</v>
      </c>
      <c r="GO443" t="e">
        <v>#N/A</v>
      </c>
      <c r="GQ443" t="e">
        <v>#N/A</v>
      </c>
      <c r="GS443" t="e">
        <v>#N/A</v>
      </c>
      <c r="GU443" t="e">
        <v>#N/A</v>
      </c>
      <c r="GW443" t="e">
        <v>#N/A</v>
      </c>
      <c r="GY443" t="e">
        <v>#N/A</v>
      </c>
      <c r="HA443" t="e">
        <v>#N/A</v>
      </c>
      <c r="HC443">
        <v>0</v>
      </c>
      <c r="HD443">
        <v>0</v>
      </c>
      <c r="HE443">
        <v>0</v>
      </c>
      <c r="HF443">
        <v>0</v>
      </c>
      <c r="HG443">
        <v>0</v>
      </c>
      <c r="HH443">
        <v>0</v>
      </c>
      <c r="HI443">
        <v>0</v>
      </c>
      <c r="HJ443">
        <v>0</v>
      </c>
      <c r="HM443">
        <v>0</v>
      </c>
      <c r="HN443">
        <v>0</v>
      </c>
      <c r="HO443">
        <v>0</v>
      </c>
      <c r="HP443">
        <v>0</v>
      </c>
      <c r="HQ443">
        <v>0</v>
      </c>
      <c r="HR443">
        <v>0</v>
      </c>
      <c r="HS443">
        <v>0</v>
      </c>
      <c r="HT443">
        <v>0</v>
      </c>
      <c r="HW443">
        <v>0</v>
      </c>
      <c r="HX443">
        <v>0</v>
      </c>
      <c r="HY443">
        <v>0</v>
      </c>
      <c r="HZ443">
        <v>0</v>
      </c>
      <c r="IA443">
        <v>3930.6</v>
      </c>
      <c r="IB443">
        <v>3632.9</v>
      </c>
      <c r="IC443">
        <v>3795.5</v>
      </c>
      <c r="ID443">
        <v>0</v>
      </c>
      <c r="IE443">
        <v>0</v>
      </c>
      <c r="IF443">
        <v>3548.5</v>
      </c>
      <c r="IG443">
        <v>3395.2</v>
      </c>
      <c r="IH443">
        <v>3395.4</v>
      </c>
      <c r="II443">
        <v>3302.3</v>
      </c>
      <c r="IJ443">
        <v>3172.8</v>
      </c>
      <c r="IK443">
        <v>0</v>
      </c>
      <c r="IL443">
        <v>0</v>
      </c>
      <c r="IM443">
        <v>0</v>
      </c>
      <c r="IN443">
        <v>0</v>
      </c>
      <c r="IO443">
        <v>123.4</v>
      </c>
      <c r="IP443">
        <v>405.2</v>
      </c>
      <c r="IQ443">
        <v>418.7</v>
      </c>
      <c r="IR443">
        <v>0</v>
      </c>
      <c r="IS443">
        <v>0</v>
      </c>
      <c r="IT443">
        <v>0</v>
      </c>
      <c r="IU443">
        <v>0</v>
      </c>
      <c r="IV443">
        <v>396</v>
      </c>
      <c r="IW443">
        <v>0</v>
      </c>
      <c r="IX443">
        <v>0</v>
      </c>
      <c r="IZ443">
        <v>0</v>
      </c>
      <c r="JA443">
        <v>65.5</v>
      </c>
      <c r="JB443">
        <v>443.5</v>
      </c>
      <c r="JC443">
        <v>0</v>
      </c>
      <c r="JD443">
        <v>0</v>
      </c>
      <c r="JE443">
        <v>0</v>
      </c>
      <c r="JF443">
        <v>0</v>
      </c>
      <c r="JG443">
        <v>0</v>
      </c>
      <c r="JH443">
        <v>0</v>
      </c>
      <c r="JI443">
        <v>0</v>
      </c>
      <c r="JJ443">
        <v>0</v>
      </c>
      <c r="JK443">
        <v>0</v>
      </c>
      <c r="JL443">
        <v>0</v>
      </c>
      <c r="JM443">
        <v>0</v>
      </c>
      <c r="JN443">
        <v>0</v>
      </c>
      <c r="JO443">
        <v>0</v>
      </c>
      <c r="JP443">
        <v>0</v>
      </c>
      <c r="JQ443">
        <v>0</v>
      </c>
      <c r="JR443">
        <v>0</v>
      </c>
      <c r="JS443">
        <v>0</v>
      </c>
      <c r="JT443">
        <v>0</v>
      </c>
      <c r="JU443">
        <v>0</v>
      </c>
      <c r="JV443">
        <v>0</v>
      </c>
      <c r="JW443">
        <v>0</v>
      </c>
      <c r="JX443">
        <v>0</v>
      </c>
      <c r="JY443">
        <v>0</v>
      </c>
      <c r="JZ443">
        <v>0</v>
      </c>
      <c r="KA443">
        <v>0</v>
      </c>
      <c r="KB443">
        <v>0</v>
      </c>
      <c r="KC443">
        <v>0</v>
      </c>
      <c r="KD443">
        <v>0</v>
      </c>
      <c r="KE443">
        <v>0</v>
      </c>
      <c r="KF443">
        <v>0</v>
      </c>
      <c r="KI443">
        <v>344.6</v>
      </c>
      <c r="KJ443">
        <v>350.8</v>
      </c>
      <c r="KK443">
        <v>22.1</v>
      </c>
      <c r="KL443">
        <v>379.3</v>
      </c>
      <c r="KM443">
        <v>241.4</v>
      </c>
      <c r="KN443">
        <v>0</v>
      </c>
      <c r="KO443">
        <v>0</v>
      </c>
      <c r="KP443">
        <v>57.3</v>
      </c>
      <c r="KQ443">
        <v>224.4</v>
      </c>
      <c r="KR443">
        <v>338.3</v>
      </c>
      <c r="KS443">
        <v>215.8</v>
      </c>
      <c r="KT443">
        <v>40.700000000000003</v>
      </c>
      <c r="KW443">
        <v>2154.5</v>
      </c>
      <c r="KX443">
        <v>1255.7</v>
      </c>
      <c r="KY443">
        <v>1630.1</v>
      </c>
      <c r="KZ443">
        <v>1246.9000000000001</v>
      </c>
      <c r="LB443">
        <v>78.099999999999994</v>
      </c>
      <c r="LC443">
        <v>77.7</v>
      </c>
    </row>
    <row r="444" spans="1:315" ht="18" thickBot="1">
      <c r="A444" s="245"/>
      <c r="B444" s="245" t="s">
        <v>355</v>
      </c>
      <c r="C444" s="230" t="s">
        <v>709</v>
      </c>
      <c r="D444" s="281"/>
      <c r="E444" s="443">
        <v>0</v>
      </c>
      <c r="F444" s="191">
        <v>0</v>
      </c>
      <c r="G444" s="427">
        <v>3413.8</v>
      </c>
      <c r="H444" s="155"/>
      <c r="I444">
        <v>735</v>
      </c>
      <c r="K444">
        <v>1973.1000000000001</v>
      </c>
      <c r="L444" s="4">
        <v>221.60000000000002</v>
      </c>
      <c r="M444" s="4">
        <v>54.9</v>
      </c>
      <c r="N444" s="4">
        <v>1989.7</v>
      </c>
      <c r="P444">
        <v>0</v>
      </c>
      <c r="Q444">
        <v>238.29999999999998</v>
      </c>
      <c r="R444">
        <v>0</v>
      </c>
      <c r="S444">
        <v>0</v>
      </c>
      <c r="T444">
        <v>368.5</v>
      </c>
      <c r="W444">
        <v>720.3</v>
      </c>
      <c r="X444">
        <v>1411.5</v>
      </c>
      <c r="Y444">
        <v>96.5</v>
      </c>
      <c r="AA444">
        <v>859.6</v>
      </c>
      <c r="AB444">
        <v>1577.6000000000001</v>
      </c>
      <c r="AE444">
        <v>1330</v>
      </c>
      <c r="AF444">
        <v>1025.5</v>
      </c>
      <c r="AH444">
        <v>509.9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1349.3</v>
      </c>
      <c r="AO444">
        <v>786.40000000000009</v>
      </c>
      <c r="AP444">
        <v>0</v>
      </c>
      <c r="AQ444">
        <v>68.3</v>
      </c>
      <c r="AR444">
        <v>234.9</v>
      </c>
      <c r="AS444">
        <v>600.40000000000009</v>
      </c>
      <c r="AU444">
        <v>985.69999999999993</v>
      </c>
      <c r="AW444">
        <v>792</v>
      </c>
      <c r="AX444">
        <v>1988.5</v>
      </c>
      <c r="AZ444">
        <v>763.5</v>
      </c>
      <c r="BA444">
        <v>0</v>
      </c>
      <c r="BB444">
        <v>0</v>
      </c>
      <c r="BC444">
        <v>1935.3</v>
      </c>
      <c r="BD444">
        <v>1006.5</v>
      </c>
      <c r="BE444">
        <v>0</v>
      </c>
      <c r="BF444">
        <v>0</v>
      </c>
      <c r="BG444">
        <v>0</v>
      </c>
      <c r="BH444">
        <v>1662.6</v>
      </c>
      <c r="BJ444">
        <v>0</v>
      </c>
      <c r="BK444">
        <v>0</v>
      </c>
      <c r="BL444">
        <v>1038.9000000000001</v>
      </c>
      <c r="BM444">
        <v>1101</v>
      </c>
      <c r="BO444">
        <v>1276.8000000000002</v>
      </c>
      <c r="BQ444">
        <v>0</v>
      </c>
      <c r="BR444">
        <v>270.7</v>
      </c>
      <c r="BS444">
        <v>230.5</v>
      </c>
      <c r="BT444">
        <v>472.3</v>
      </c>
      <c r="BU444">
        <v>537.29999999999995</v>
      </c>
      <c r="BV444">
        <v>346.3</v>
      </c>
      <c r="BW444">
        <v>386.2</v>
      </c>
      <c r="BX444">
        <v>767</v>
      </c>
      <c r="BY444">
        <v>757.2</v>
      </c>
      <c r="BZ444">
        <v>1037.2</v>
      </c>
      <c r="CA444">
        <v>1227.0999999999999</v>
      </c>
      <c r="CB444">
        <v>1232.0999999999999</v>
      </c>
      <c r="CC444">
        <v>1701.5</v>
      </c>
      <c r="CD444">
        <v>0</v>
      </c>
      <c r="CG444">
        <v>1385.3</v>
      </c>
      <c r="CJ444">
        <v>1630.2999999999997</v>
      </c>
      <c r="CM444">
        <v>1184.2</v>
      </c>
      <c r="CO444">
        <v>1248.0999999999999</v>
      </c>
      <c r="CQ444">
        <v>1435.3</v>
      </c>
      <c r="CR444">
        <v>798.2</v>
      </c>
      <c r="CS444">
        <v>923.8</v>
      </c>
      <c r="CT444">
        <v>0</v>
      </c>
      <c r="CU444">
        <v>0</v>
      </c>
      <c r="CV444">
        <v>0</v>
      </c>
      <c r="CW444">
        <v>0</v>
      </c>
      <c r="CX444">
        <v>163.69999999999999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I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G444" t="e">
        <v>#N/A</v>
      </c>
      <c r="FI444" t="e">
        <v>#N/A</v>
      </c>
      <c r="FK444" t="e">
        <v>#N/A</v>
      </c>
      <c r="FM444" t="e">
        <v>#N/A</v>
      </c>
      <c r="FO444" t="e">
        <v>#N/A</v>
      </c>
      <c r="FQ444" t="e">
        <v>#N/A</v>
      </c>
      <c r="FS444" t="e">
        <v>#N/A</v>
      </c>
      <c r="FU444" t="e">
        <v>#N/A</v>
      </c>
      <c r="FW444" t="e">
        <v>#N/A</v>
      </c>
      <c r="FY444" t="e">
        <v>#N/A</v>
      </c>
      <c r="GA444" t="e">
        <v>#N/A</v>
      </c>
      <c r="GC444" t="e">
        <v>#N/A</v>
      </c>
      <c r="GE444" t="e">
        <v>#N/A</v>
      </c>
      <c r="GG444" t="e">
        <v>#N/A</v>
      </c>
      <c r="GI444" t="e">
        <v>#N/A</v>
      </c>
      <c r="GK444" t="e">
        <v>#N/A</v>
      </c>
      <c r="GM444" t="e">
        <v>#N/A</v>
      </c>
      <c r="GO444" t="e">
        <v>#N/A</v>
      </c>
      <c r="GQ444" t="e">
        <v>#N/A</v>
      </c>
      <c r="GS444" t="e">
        <v>#N/A</v>
      </c>
      <c r="GU444" t="e">
        <v>#N/A</v>
      </c>
      <c r="GW444" t="e">
        <v>#N/A</v>
      </c>
      <c r="GY444" t="e">
        <v>#N/A</v>
      </c>
      <c r="HA444" t="e">
        <v>#N/A</v>
      </c>
      <c r="HC444">
        <v>0</v>
      </c>
      <c r="HD444">
        <v>0</v>
      </c>
      <c r="HE444">
        <v>0</v>
      </c>
      <c r="HF444">
        <v>0</v>
      </c>
      <c r="HG444">
        <v>0</v>
      </c>
      <c r="HH444">
        <v>0</v>
      </c>
      <c r="HI444">
        <v>0</v>
      </c>
      <c r="HJ444">
        <v>0</v>
      </c>
      <c r="HM444">
        <v>0</v>
      </c>
      <c r="HN444">
        <v>0</v>
      </c>
      <c r="HO444">
        <v>0</v>
      </c>
      <c r="HP444">
        <v>0</v>
      </c>
      <c r="HQ444">
        <v>0</v>
      </c>
      <c r="HR444">
        <v>0</v>
      </c>
      <c r="HS444">
        <v>0</v>
      </c>
      <c r="HT444">
        <v>0</v>
      </c>
      <c r="HW444">
        <v>0</v>
      </c>
      <c r="HX444">
        <v>0</v>
      </c>
      <c r="HY444">
        <v>0</v>
      </c>
      <c r="HZ444">
        <v>0</v>
      </c>
      <c r="IA444">
        <v>3930.6</v>
      </c>
      <c r="IB444">
        <v>3632.9</v>
      </c>
      <c r="IC444">
        <v>3795.5</v>
      </c>
      <c r="ID444">
        <v>0</v>
      </c>
      <c r="IE444">
        <v>0</v>
      </c>
      <c r="IF444">
        <v>3548.5</v>
      </c>
      <c r="IG444">
        <v>3395.2</v>
      </c>
      <c r="IH444">
        <v>3395.4</v>
      </c>
      <c r="II444">
        <v>3302.3</v>
      </c>
      <c r="IJ444">
        <v>3172.8</v>
      </c>
      <c r="IK444">
        <v>0</v>
      </c>
      <c r="IL444">
        <v>0</v>
      </c>
      <c r="IM444">
        <v>0</v>
      </c>
      <c r="IN444">
        <v>0</v>
      </c>
      <c r="IO444">
        <v>123.4</v>
      </c>
      <c r="IP444">
        <v>405.2</v>
      </c>
      <c r="IQ444">
        <v>418.7</v>
      </c>
      <c r="IR444">
        <v>0</v>
      </c>
      <c r="IS444">
        <v>0</v>
      </c>
      <c r="IT444">
        <v>0</v>
      </c>
      <c r="IU444">
        <v>0</v>
      </c>
      <c r="IV444">
        <v>396</v>
      </c>
      <c r="IW444">
        <v>0</v>
      </c>
      <c r="IX444">
        <v>0</v>
      </c>
      <c r="IZ444">
        <v>0</v>
      </c>
      <c r="JA444">
        <v>65.5</v>
      </c>
      <c r="JB444">
        <v>443.5</v>
      </c>
      <c r="JC444">
        <v>0</v>
      </c>
      <c r="JD444">
        <v>0</v>
      </c>
      <c r="JE444">
        <v>0</v>
      </c>
      <c r="JF444">
        <v>0</v>
      </c>
      <c r="JG444">
        <v>0</v>
      </c>
      <c r="JH444">
        <v>0</v>
      </c>
      <c r="JI444">
        <v>0</v>
      </c>
      <c r="JJ444">
        <v>0</v>
      </c>
      <c r="JK444">
        <v>0</v>
      </c>
      <c r="JL444">
        <v>0</v>
      </c>
      <c r="JM444">
        <v>0</v>
      </c>
      <c r="JN444">
        <v>0</v>
      </c>
      <c r="JO444">
        <v>0</v>
      </c>
      <c r="JP444">
        <v>0</v>
      </c>
      <c r="JQ444">
        <v>0</v>
      </c>
      <c r="JR444">
        <v>0</v>
      </c>
      <c r="JS444">
        <v>0</v>
      </c>
      <c r="JT444">
        <v>0</v>
      </c>
      <c r="JU444">
        <v>0</v>
      </c>
      <c r="JV444">
        <v>0</v>
      </c>
      <c r="JW444">
        <v>0</v>
      </c>
      <c r="JX444">
        <v>0</v>
      </c>
      <c r="JY444">
        <v>0</v>
      </c>
      <c r="JZ444">
        <v>0</v>
      </c>
      <c r="KA444">
        <v>0</v>
      </c>
      <c r="KB444">
        <v>0</v>
      </c>
      <c r="KC444">
        <v>0</v>
      </c>
      <c r="KD444">
        <v>0</v>
      </c>
      <c r="KE444">
        <v>0</v>
      </c>
      <c r="KF444">
        <v>0</v>
      </c>
      <c r="KI444">
        <v>344.6</v>
      </c>
      <c r="KJ444">
        <v>350.8</v>
      </c>
      <c r="KK444">
        <v>22.1</v>
      </c>
      <c r="KL444">
        <v>379.3</v>
      </c>
      <c r="KM444">
        <v>241.4</v>
      </c>
      <c r="KN444">
        <v>0</v>
      </c>
      <c r="KO444">
        <v>0</v>
      </c>
      <c r="KP444">
        <v>57.3</v>
      </c>
      <c r="KQ444">
        <v>224.4</v>
      </c>
      <c r="KR444">
        <v>338.3</v>
      </c>
      <c r="KS444">
        <v>215.8</v>
      </c>
      <c r="KT444">
        <v>40.700000000000003</v>
      </c>
      <c r="KW444">
        <v>2154.5</v>
      </c>
      <c r="KX444">
        <v>1255.7</v>
      </c>
      <c r="KY444">
        <v>1630.1</v>
      </c>
      <c r="KZ444">
        <v>1246.9000000000001</v>
      </c>
      <c r="LB444">
        <v>78.099999999999994</v>
      </c>
      <c r="LC444">
        <v>77.7</v>
      </c>
    </row>
    <row r="445" spans="1:315" ht="18" thickBot="1">
      <c r="A445" s="245"/>
      <c r="B445" s="245" t="s">
        <v>356</v>
      </c>
      <c r="C445" s="230" t="s">
        <v>710</v>
      </c>
      <c r="D445" s="281"/>
      <c r="E445" s="443">
        <v>0</v>
      </c>
      <c r="F445" s="191">
        <v>0</v>
      </c>
      <c r="G445" s="427">
        <v>3413.8</v>
      </c>
      <c r="H445" s="155"/>
      <c r="I445">
        <v>735</v>
      </c>
      <c r="K445">
        <v>1973.1000000000001</v>
      </c>
      <c r="L445" s="4">
        <v>221.60000000000002</v>
      </c>
      <c r="M445" s="4">
        <v>54.9</v>
      </c>
      <c r="N445" s="4">
        <v>1989.7</v>
      </c>
      <c r="P445">
        <v>0</v>
      </c>
      <c r="Q445">
        <v>238.29999999999998</v>
      </c>
      <c r="R445">
        <v>0</v>
      </c>
      <c r="S445">
        <v>0</v>
      </c>
      <c r="T445">
        <v>368.5</v>
      </c>
      <c r="W445">
        <v>720.3</v>
      </c>
      <c r="X445">
        <v>1411.5</v>
      </c>
      <c r="Y445">
        <v>96.5</v>
      </c>
      <c r="AA445">
        <v>859.6</v>
      </c>
      <c r="AB445">
        <v>1577.6000000000001</v>
      </c>
      <c r="AE445">
        <v>1330</v>
      </c>
      <c r="AF445">
        <v>1025.5</v>
      </c>
      <c r="AH445">
        <v>509.9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1349.3</v>
      </c>
      <c r="AO445">
        <v>786.40000000000009</v>
      </c>
      <c r="AP445">
        <v>0</v>
      </c>
      <c r="AQ445">
        <v>68.3</v>
      </c>
      <c r="AR445">
        <v>234.9</v>
      </c>
      <c r="AS445">
        <v>600.40000000000009</v>
      </c>
      <c r="AU445">
        <v>985.69999999999993</v>
      </c>
      <c r="AW445">
        <v>792</v>
      </c>
      <c r="AX445">
        <v>1988.5</v>
      </c>
      <c r="AZ445">
        <v>763.5</v>
      </c>
      <c r="BA445">
        <v>0</v>
      </c>
      <c r="BB445">
        <v>0</v>
      </c>
      <c r="BC445">
        <v>1935.3</v>
      </c>
      <c r="BD445">
        <v>1006.5</v>
      </c>
      <c r="BE445">
        <v>0</v>
      </c>
      <c r="BF445">
        <v>0</v>
      </c>
      <c r="BG445">
        <v>0</v>
      </c>
      <c r="BH445">
        <v>1662.6</v>
      </c>
      <c r="BJ445">
        <v>0</v>
      </c>
      <c r="BK445">
        <v>0</v>
      </c>
      <c r="BL445">
        <v>1038.9000000000001</v>
      </c>
      <c r="BM445">
        <v>1101</v>
      </c>
      <c r="BO445">
        <v>1276.8000000000002</v>
      </c>
      <c r="BQ445">
        <v>0</v>
      </c>
      <c r="BR445">
        <v>270.7</v>
      </c>
      <c r="BS445">
        <v>230.5</v>
      </c>
      <c r="BT445">
        <v>472.3</v>
      </c>
      <c r="BU445">
        <v>537.29999999999995</v>
      </c>
      <c r="BV445">
        <v>346.3</v>
      </c>
      <c r="BW445">
        <v>386.2</v>
      </c>
      <c r="BX445">
        <v>767</v>
      </c>
      <c r="BY445">
        <v>757.2</v>
      </c>
      <c r="BZ445">
        <v>1037.2</v>
      </c>
      <c r="CA445">
        <v>1227.0999999999999</v>
      </c>
      <c r="CB445">
        <v>1232.0999999999999</v>
      </c>
      <c r="CC445">
        <v>1701.5</v>
      </c>
      <c r="CD445">
        <v>0</v>
      </c>
      <c r="CG445">
        <v>1385.3</v>
      </c>
      <c r="CJ445">
        <v>1630.2999999999997</v>
      </c>
      <c r="CM445">
        <v>1184.2</v>
      </c>
      <c r="CO445">
        <v>1248.0999999999999</v>
      </c>
      <c r="CQ445">
        <v>1435.3</v>
      </c>
      <c r="CR445">
        <v>798.2</v>
      </c>
      <c r="CS445">
        <v>923.8</v>
      </c>
      <c r="CT445">
        <v>0</v>
      </c>
      <c r="CU445">
        <v>0</v>
      </c>
      <c r="CV445">
        <v>0</v>
      </c>
      <c r="CW445">
        <v>0</v>
      </c>
      <c r="CX445">
        <v>163.69999999999999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I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G445" t="e">
        <v>#N/A</v>
      </c>
      <c r="FI445" t="e">
        <v>#N/A</v>
      </c>
      <c r="FK445" t="e">
        <v>#N/A</v>
      </c>
      <c r="FM445" t="e">
        <v>#N/A</v>
      </c>
      <c r="FO445" t="e">
        <v>#N/A</v>
      </c>
      <c r="FQ445" t="e">
        <v>#N/A</v>
      </c>
      <c r="FS445" t="e">
        <v>#N/A</v>
      </c>
      <c r="FU445" t="e">
        <v>#N/A</v>
      </c>
      <c r="FW445" t="e">
        <v>#N/A</v>
      </c>
      <c r="FY445" t="e">
        <v>#N/A</v>
      </c>
      <c r="GA445" t="e">
        <v>#N/A</v>
      </c>
      <c r="GC445" t="e">
        <v>#N/A</v>
      </c>
      <c r="GE445" t="e">
        <v>#N/A</v>
      </c>
      <c r="GG445" t="e">
        <v>#N/A</v>
      </c>
      <c r="GI445" t="e">
        <v>#N/A</v>
      </c>
      <c r="GK445" t="e">
        <v>#N/A</v>
      </c>
      <c r="GM445" t="e">
        <v>#N/A</v>
      </c>
      <c r="GO445" t="e">
        <v>#N/A</v>
      </c>
      <c r="GQ445" t="e">
        <v>#N/A</v>
      </c>
      <c r="GS445" t="e">
        <v>#N/A</v>
      </c>
      <c r="GU445" t="e">
        <v>#N/A</v>
      </c>
      <c r="GW445" t="e">
        <v>#N/A</v>
      </c>
      <c r="GY445" t="e">
        <v>#N/A</v>
      </c>
      <c r="HA445" t="e">
        <v>#N/A</v>
      </c>
      <c r="HC445">
        <v>0</v>
      </c>
      <c r="HD445">
        <v>0</v>
      </c>
      <c r="HE445">
        <v>0</v>
      </c>
      <c r="HF445">
        <v>0</v>
      </c>
      <c r="HG445">
        <v>0</v>
      </c>
      <c r="HH445">
        <v>0</v>
      </c>
      <c r="HI445">
        <v>0</v>
      </c>
      <c r="HJ445">
        <v>0</v>
      </c>
      <c r="HM445">
        <v>0</v>
      </c>
      <c r="HN445">
        <v>0</v>
      </c>
      <c r="HO445">
        <v>0</v>
      </c>
      <c r="HP445">
        <v>0</v>
      </c>
      <c r="HQ445">
        <v>0</v>
      </c>
      <c r="HR445">
        <v>0</v>
      </c>
      <c r="HS445">
        <v>0</v>
      </c>
      <c r="HT445">
        <v>0</v>
      </c>
      <c r="HW445">
        <v>0</v>
      </c>
      <c r="HX445">
        <v>0</v>
      </c>
      <c r="HY445">
        <v>0</v>
      </c>
      <c r="HZ445">
        <v>0</v>
      </c>
      <c r="IA445">
        <v>3930.6</v>
      </c>
      <c r="IB445">
        <v>3632.9</v>
      </c>
      <c r="IC445">
        <v>3795.5</v>
      </c>
      <c r="ID445">
        <v>0</v>
      </c>
      <c r="IE445">
        <v>0</v>
      </c>
      <c r="IF445">
        <v>3548.5</v>
      </c>
      <c r="IG445">
        <v>3395.2</v>
      </c>
      <c r="IH445">
        <v>3395.4</v>
      </c>
      <c r="II445">
        <v>3302.3</v>
      </c>
      <c r="IJ445">
        <v>3172.8</v>
      </c>
      <c r="IK445">
        <v>0</v>
      </c>
      <c r="IL445">
        <v>0</v>
      </c>
      <c r="IM445">
        <v>0</v>
      </c>
      <c r="IN445">
        <v>0</v>
      </c>
      <c r="IO445">
        <v>123.4</v>
      </c>
      <c r="IP445">
        <v>405.2</v>
      </c>
      <c r="IQ445">
        <v>418.7</v>
      </c>
      <c r="IR445">
        <v>0</v>
      </c>
      <c r="IS445">
        <v>0</v>
      </c>
      <c r="IT445">
        <v>0</v>
      </c>
      <c r="IU445">
        <v>0</v>
      </c>
      <c r="IV445">
        <v>396</v>
      </c>
      <c r="IW445">
        <v>0</v>
      </c>
      <c r="IX445">
        <v>0</v>
      </c>
      <c r="IZ445">
        <v>0</v>
      </c>
      <c r="JA445">
        <v>65.5</v>
      </c>
      <c r="JB445">
        <v>443.5</v>
      </c>
      <c r="JC445">
        <v>0</v>
      </c>
      <c r="JD445">
        <v>0</v>
      </c>
      <c r="JE445">
        <v>0</v>
      </c>
      <c r="JF445">
        <v>0</v>
      </c>
      <c r="JG445">
        <v>0</v>
      </c>
      <c r="JH445">
        <v>0</v>
      </c>
      <c r="JI445">
        <v>0</v>
      </c>
      <c r="JJ445">
        <v>0</v>
      </c>
      <c r="JK445">
        <v>0</v>
      </c>
      <c r="JL445">
        <v>0</v>
      </c>
      <c r="JM445">
        <v>0</v>
      </c>
      <c r="JN445">
        <v>0</v>
      </c>
      <c r="JO445">
        <v>0</v>
      </c>
      <c r="JP445">
        <v>0</v>
      </c>
      <c r="JQ445">
        <v>0</v>
      </c>
      <c r="JR445">
        <v>0</v>
      </c>
      <c r="JS445">
        <v>0</v>
      </c>
      <c r="JT445">
        <v>0</v>
      </c>
      <c r="JU445">
        <v>0</v>
      </c>
      <c r="JV445">
        <v>0</v>
      </c>
      <c r="JW445">
        <v>0</v>
      </c>
      <c r="JX445">
        <v>0</v>
      </c>
      <c r="JY445">
        <v>0</v>
      </c>
      <c r="JZ445">
        <v>0</v>
      </c>
      <c r="KA445">
        <v>0</v>
      </c>
      <c r="KB445">
        <v>0</v>
      </c>
      <c r="KC445">
        <v>0</v>
      </c>
      <c r="KD445">
        <v>0</v>
      </c>
      <c r="KE445">
        <v>0</v>
      </c>
      <c r="KF445">
        <v>0</v>
      </c>
      <c r="KI445">
        <v>344.6</v>
      </c>
      <c r="KJ445">
        <v>350.8</v>
      </c>
      <c r="KK445">
        <v>22.1</v>
      </c>
      <c r="KL445">
        <v>379.3</v>
      </c>
      <c r="KM445">
        <v>241.4</v>
      </c>
      <c r="KN445">
        <v>0</v>
      </c>
      <c r="KO445">
        <v>0</v>
      </c>
      <c r="KP445">
        <v>57.3</v>
      </c>
      <c r="KQ445">
        <v>224.4</v>
      </c>
      <c r="KR445">
        <v>338.3</v>
      </c>
      <c r="KS445">
        <v>215.8</v>
      </c>
      <c r="KT445">
        <v>40.700000000000003</v>
      </c>
      <c r="KW445">
        <v>2154.5</v>
      </c>
      <c r="KX445">
        <v>1255.7</v>
      </c>
      <c r="KY445">
        <v>1630.1</v>
      </c>
      <c r="KZ445">
        <v>1246.9000000000001</v>
      </c>
      <c r="LB445">
        <v>78.099999999999994</v>
      </c>
      <c r="LC445">
        <v>77.7</v>
      </c>
    </row>
    <row r="446" spans="1:315" ht="18" thickBot="1">
      <c r="A446" s="245"/>
      <c r="B446" s="245" t="s">
        <v>357</v>
      </c>
      <c r="C446" s="230" t="s">
        <v>711</v>
      </c>
      <c r="D446" s="281"/>
      <c r="E446" s="443">
        <v>0</v>
      </c>
      <c r="F446" s="191">
        <v>0</v>
      </c>
      <c r="G446" s="427">
        <v>3413.8</v>
      </c>
      <c r="H446" s="155"/>
      <c r="I446">
        <v>735</v>
      </c>
      <c r="K446">
        <v>1973.1000000000001</v>
      </c>
      <c r="L446" s="4">
        <v>221.60000000000002</v>
      </c>
      <c r="M446" s="4">
        <v>54.9</v>
      </c>
      <c r="N446" s="4">
        <v>1989.7</v>
      </c>
      <c r="P446">
        <v>0</v>
      </c>
      <c r="Q446">
        <v>238.29999999999998</v>
      </c>
      <c r="R446">
        <v>0</v>
      </c>
      <c r="S446">
        <v>0</v>
      </c>
      <c r="T446">
        <v>368.5</v>
      </c>
      <c r="W446">
        <v>720.3</v>
      </c>
      <c r="X446">
        <v>1411.5</v>
      </c>
      <c r="Y446">
        <v>96.5</v>
      </c>
      <c r="AA446">
        <v>859.6</v>
      </c>
      <c r="AB446">
        <v>1577.6000000000001</v>
      </c>
      <c r="AE446">
        <v>1330</v>
      </c>
      <c r="AF446">
        <v>1025.5</v>
      </c>
      <c r="AH446">
        <v>509.9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1349.3</v>
      </c>
      <c r="AO446">
        <v>786.40000000000009</v>
      </c>
      <c r="AP446">
        <v>0</v>
      </c>
      <c r="AQ446">
        <v>68.3</v>
      </c>
      <c r="AR446">
        <v>234.9</v>
      </c>
      <c r="AS446">
        <v>600.40000000000009</v>
      </c>
      <c r="AU446">
        <v>985.69999999999993</v>
      </c>
      <c r="AW446">
        <v>792</v>
      </c>
      <c r="AX446">
        <v>1988.5</v>
      </c>
      <c r="AZ446">
        <v>763.5</v>
      </c>
      <c r="BA446">
        <v>0</v>
      </c>
      <c r="BB446">
        <v>0</v>
      </c>
      <c r="BC446">
        <v>1935.3</v>
      </c>
      <c r="BD446">
        <v>1006.5</v>
      </c>
      <c r="BE446">
        <v>0</v>
      </c>
      <c r="BF446">
        <v>0</v>
      </c>
      <c r="BG446">
        <v>0</v>
      </c>
      <c r="BH446">
        <v>1662.6</v>
      </c>
      <c r="BJ446">
        <v>0</v>
      </c>
      <c r="BK446">
        <v>0</v>
      </c>
      <c r="BL446">
        <v>1038.9000000000001</v>
      </c>
      <c r="BM446">
        <v>1101</v>
      </c>
      <c r="BO446">
        <v>1276.8000000000002</v>
      </c>
      <c r="BQ446">
        <v>0</v>
      </c>
      <c r="BR446">
        <v>270.7</v>
      </c>
      <c r="BS446">
        <v>230.5</v>
      </c>
      <c r="BT446">
        <v>472.3</v>
      </c>
      <c r="BU446">
        <v>537.29999999999995</v>
      </c>
      <c r="BV446">
        <v>346.3</v>
      </c>
      <c r="BW446">
        <v>386.2</v>
      </c>
      <c r="BX446">
        <v>767</v>
      </c>
      <c r="BY446">
        <v>757.2</v>
      </c>
      <c r="BZ446">
        <v>1037.2</v>
      </c>
      <c r="CA446">
        <v>1227.0999999999999</v>
      </c>
      <c r="CB446">
        <v>1232.0999999999999</v>
      </c>
      <c r="CC446">
        <v>1701.5</v>
      </c>
      <c r="CD446">
        <v>0</v>
      </c>
      <c r="CG446">
        <v>1385.3</v>
      </c>
      <c r="CJ446">
        <v>1630.2999999999997</v>
      </c>
      <c r="CM446">
        <v>1184.2</v>
      </c>
      <c r="CO446">
        <v>1248.0999999999999</v>
      </c>
      <c r="CQ446">
        <v>1435.3</v>
      </c>
      <c r="CR446">
        <v>798.2</v>
      </c>
      <c r="CS446">
        <v>923.8</v>
      </c>
      <c r="CT446">
        <v>0</v>
      </c>
      <c r="CU446">
        <v>0</v>
      </c>
      <c r="CV446">
        <v>0</v>
      </c>
      <c r="CW446">
        <v>0</v>
      </c>
      <c r="CX446">
        <v>163.69999999999999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I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  <c r="EJ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G446" t="e">
        <v>#N/A</v>
      </c>
      <c r="FI446" t="e">
        <v>#N/A</v>
      </c>
      <c r="FK446" t="e">
        <v>#N/A</v>
      </c>
      <c r="FM446" t="e">
        <v>#N/A</v>
      </c>
      <c r="FO446" t="e">
        <v>#N/A</v>
      </c>
      <c r="FQ446" t="e">
        <v>#N/A</v>
      </c>
      <c r="FS446" t="e">
        <v>#N/A</v>
      </c>
      <c r="FU446" t="e">
        <v>#N/A</v>
      </c>
      <c r="FW446" t="e">
        <v>#N/A</v>
      </c>
      <c r="FY446" t="e">
        <v>#N/A</v>
      </c>
      <c r="GA446" t="e">
        <v>#N/A</v>
      </c>
      <c r="GC446" t="e">
        <v>#N/A</v>
      </c>
      <c r="GE446" t="e">
        <v>#N/A</v>
      </c>
      <c r="GG446" t="e">
        <v>#N/A</v>
      </c>
      <c r="GI446" t="e">
        <v>#N/A</v>
      </c>
      <c r="GK446" t="e">
        <v>#N/A</v>
      </c>
      <c r="GM446" t="e">
        <v>#N/A</v>
      </c>
      <c r="GO446" t="e">
        <v>#N/A</v>
      </c>
      <c r="GQ446" t="e">
        <v>#N/A</v>
      </c>
      <c r="GS446" t="e">
        <v>#N/A</v>
      </c>
      <c r="GU446" t="e">
        <v>#N/A</v>
      </c>
      <c r="GW446" t="e">
        <v>#N/A</v>
      </c>
      <c r="GY446" t="e">
        <v>#N/A</v>
      </c>
      <c r="HA446" t="e">
        <v>#N/A</v>
      </c>
      <c r="HC446">
        <v>0</v>
      </c>
      <c r="HD446">
        <v>0</v>
      </c>
      <c r="HE446">
        <v>0</v>
      </c>
      <c r="HF446">
        <v>0</v>
      </c>
      <c r="HG446">
        <v>0</v>
      </c>
      <c r="HH446">
        <v>0</v>
      </c>
      <c r="HI446">
        <v>0</v>
      </c>
      <c r="HJ446">
        <v>0</v>
      </c>
      <c r="HM446">
        <v>0</v>
      </c>
      <c r="HN446">
        <v>0</v>
      </c>
      <c r="HO446">
        <v>0</v>
      </c>
      <c r="HP446">
        <v>0</v>
      </c>
      <c r="HQ446">
        <v>0</v>
      </c>
      <c r="HR446">
        <v>0</v>
      </c>
      <c r="HS446">
        <v>0</v>
      </c>
      <c r="HT446">
        <v>0</v>
      </c>
      <c r="HW446">
        <v>0</v>
      </c>
      <c r="HX446">
        <v>0</v>
      </c>
      <c r="HY446">
        <v>0</v>
      </c>
      <c r="HZ446">
        <v>0</v>
      </c>
      <c r="IA446">
        <v>3930.6</v>
      </c>
      <c r="IB446">
        <v>3632.9</v>
      </c>
      <c r="IC446">
        <v>3795.5</v>
      </c>
      <c r="ID446">
        <v>0</v>
      </c>
      <c r="IE446">
        <v>0</v>
      </c>
      <c r="IF446">
        <v>3548.5</v>
      </c>
      <c r="IG446">
        <v>3395.2</v>
      </c>
      <c r="IH446">
        <v>3395.4</v>
      </c>
      <c r="II446">
        <v>3302.3</v>
      </c>
      <c r="IJ446">
        <v>3172.8</v>
      </c>
      <c r="IK446">
        <v>0</v>
      </c>
      <c r="IL446">
        <v>0</v>
      </c>
      <c r="IM446">
        <v>0</v>
      </c>
      <c r="IN446">
        <v>0</v>
      </c>
      <c r="IO446">
        <v>123.4</v>
      </c>
      <c r="IP446">
        <v>405.2</v>
      </c>
      <c r="IQ446">
        <v>418.7</v>
      </c>
      <c r="IR446">
        <v>0</v>
      </c>
      <c r="IS446">
        <v>0</v>
      </c>
      <c r="IT446">
        <v>0</v>
      </c>
      <c r="IU446">
        <v>0</v>
      </c>
      <c r="IV446">
        <v>396</v>
      </c>
      <c r="IW446">
        <v>0</v>
      </c>
      <c r="IX446">
        <v>0</v>
      </c>
      <c r="IZ446">
        <v>0</v>
      </c>
      <c r="JA446">
        <v>65.5</v>
      </c>
      <c r="JB446">
        <v>443.5</v>
      </c>
      <c r="JC446">
        <v>0</v>
      </c>
      <c r="JD446">
        <v>0</v>
      </c>
      <c r="JE446">
        <v>0</v>
      </c>
      <c r="JF446">
        <v>0</v>
      </c>
      <c r="JG446">
        <v>0</v>
      </c>
      <c r="JH446">
        <v>0</v>
      </c>
      <c r="JI446">
        <v>0</v>
      </c>
      <c r="JJ446">
        <v>0</v>
      </c>
      <c r="JK446">
        <v>0</v>
      </c>
      <c r="JL446">
        <v>0</v>
      </c>
      <c r="JM446">
        <v>0</v>
      </c>
      <c r="JN446">
        <v>0</v>
      </c>
      <c r="JO446">
        <v>0</v>
      </c>
      <c r="JP446">
        <v>0</v>
      </c>
      <c r="JQ446">
        <v>0</v>
      </c>
      <c r="JR446">
        <v>0</v>
      </c>
      <c r="JS446">
        <v>0</v>
      </c>
      <c r="JT446">
        <v>0</v>
      </c>
      <c r="JU446">
        <v>0</v>
      </c>
      <c r="JV446">
        <v>0</v>
      </c>
      <c r="JW446">
        <v>0</v>
      </c>
      <c r="JX446">
        <v>0</v>
      </c>
      <c r="JY446">
        <v>0</v>
      </c>
      <c r="JZ446">
        <v>0</v>
      </c>
      <c r="KA446">
        <v>0</v>
      </c>
      <c r="KB446">
        <v>0</v>
      </c>
      <c r="KC446">
        <v>0</v>
      </c>
      <c r="KD446">
        <v>0</v>
      </c>
      <c r="KE446">
        <v>0</v>
      </c>
      <c r="KF446">
        <v>0</v>
      </c>
      <c r="KI446">
        <v>344.6</v>
      </c>
      <c r="KJ446">
        <v>350.8</v>
      </c>
      <c r="KK446">
        <v>22.1</v>
      </c>
      <c r="KL446">
        <v>379.3</v>
      </c>
      <c r="KM446">
        <v>241.4</v>
      </c>
      <c r="KN446">
        <v>0</v>
      </c>
      <c r="KO446">
        <v>0</v>
      </c>
      <c r="KP446">
        <v>57.3</v>
      </c>
      <c r="KQ446">
        <v>224.4</v>
      </c>
      <c r="KR446">
        <v>338.3</v>
      </c>
      <c r="KS446">
        <v>215.8</v>
      </c>
      <c r="KT446">
        <v>40.700000000000003</v>
      </c>
      <c r="KW446">
        <v>2154.5</v>
      </c>
      <c r="KX446">
        <v>1255.7</v>
      </c>
      <c r="KY446">
        <v>1630.1</v>
      </c>
      <c r="KZ446">
        <v>1246.9000000000001</v>
      </c>
      <c r="LB446">
        <v>78.099999999999994</v>
      </c>
      <c r="LC446">
        <v>77.7</v>
      </c>
    </row>
    <row r="447" spans="1:315" ht="18" thickBot="1">
      <c r="A447" s="245"/>
      <c r="B447" s="245" t="s">
        <v>358</v>
      </c>
      <c r="C447" s="230" t="s">
        <v>712</v>
      </c>
      <c r="D447" s="281"/>
      <c r="E447" s="443">
        <v>0</v>
      </c>
      <c r="F447" s="191">
        <v>0</v>
      </c>
      <c r="G447" s="427">
        <v>3413.8</v>
      </c>
      <c r="H447" s="155"/>
      <c r="I447">
        <v>735</v>
      </c>
      <c r="K447">
        <v>1973.1000000000001</v>
      </c>
      <c r="L447" s="4">
        <v>221.60000000000002</v>
      </c>
      <c r="M447" s="4">
        <v>54.9</v>
      </c>
      <c r="N447" s="4">
        <v>1989.7</v>
      </c>
      <c r="P447">
        <v>0</v>
      </c>
      <c r="Q447">
        <v>238.29999999999998</v>
      </c>
      <c r="R447">
        <v>0</v>
      </c>
      <c r="S447">
        <v>0</v>
      </c>
      <c r="T447">
        <v>368.5</v>
      </c>
      <c r="W447">
        <v>720.3</v>
      </c>
      <c r="X447">
        <v>1411.5</v>
      </c>
      <c r="Y447">
        <v>96.5</v>
      </c>
      <c r="AA447">
        <v>859.6</v>
      </c>
      <c r="AB447">
        <v>1577.6000000000001</v>
      </c>
      <c r="AE447">
        <v>1330</v>
      </c>
      <c r="AF447">
        <v>1025.5</v>
      </c>
      <c r="AH447">
        <v>509.9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1349.3</v>
      </c>
      <c r="AO447">
        <v>786.40000000000009</v>
      </c>
      <c r="AP447">
        <v>0</v>
      </c>
      <c r="AQ447">
        <v>68.3</v>
      </c>
      <c r="AR447">
        <v>234.9</v>
      </c>
      <c r="AS447">
        <v>600.40000000000009</v>
      </c>
      <c r="AU447">
        <v>985.69999999999993</v>
      </c>
      <c r="AW447">
        <v>792</v>
      </c>
      <c r="AX447">
        <v>1988.5</v>
      </c>
      <c r="AZ447">
        <v>763.5</v>
      </c>
      <c r="BA447">
        <v>0</v>
      </c>
      <c r="BB447">
        <v>0</v>
      </c>
      <c r="BC447">
        <v>1935.3</v>
      </c>
      <c r="BD447">
        <v>1006.5</v>
      </c>
      <c r="BE447">
        <v>0</v>
      </c>
      <c r="BF447">
        <v>0</v>
      </c>
      <c r="BG447">
        <v>0</v>
      </c>
      <c r="BH447">
        <v>1662.6</v>
      </c>
      <c r="BJ447">
        <v>0</v>
      </c>
      <c r="BK447">
        <v>0</v>
      </c>
      <c r="BL447">
        <v>1038.9000000000001</v>
      </c>
      <c r="BM447">
        <v>1101</v>
      </c>
      <c r="BO447">
        <v>1276.8000000000002</v>
      </c>
      <c r="BQ447">
        <v>0</v>
      </c>
      <c r="BR447">
        <v>270.7</v>
      </c>
      <c r="BS447">
        <v>230.5</v>
      </c>
      <c r="BT447">
        <v>472.3</v>
      </c>
      <c r="BU447">
        <v>537.29999999999995</v>
      </c>
      <c r="BV447">
        <v>346.3</v>
      </c>
      <c r="BW447">
        <v>386.2</v>
      </c>
      <c r="BX447">
        <v>767</v>
      </c>
      <c r="BY447">
        <v>757.2</v>
      </c>
      <c r="BZ447">
        <v>1037.2</v>
      </c>
      <c r="CA447">
        <v>1227.0999999999999</v>
      </c>
      <c r="CB447">
        <v>1232.0999999999999</v>
      </c>
      <c r="CC447">
        <v>1701.5</v>
      </c>
      <c r="CD447">
        <v>0</v>
      </c>
      <c r="CG447">
        <v>1385.3</v>
      </c>
      <c r="CJ447">
        <v>1630.2999999999997</v>
      </c>
      <c r="CM447">
        <v>1184.2</v>
      </c>
      <c r="CO447">
        <v>1248.0999999999999</v>
      </c>
      <c r="CQ447">
        <v>1435.3</v>
      </c>
      <c r="CR447">
        <v>798.2</v>
      </c>
      <c r="CS447">
        <v>923.8</v>
      </c>
      <c r="CT447">
        <v>0</v>
      </c>
      <c r="CU447">
        <v>0</v>
      </c>
      <c r="CV447">
        <v>0</v>
      </c>
      <c r="CW447">
        <v>0</v>
      </c>
      <c r="CX447">
        <v>163.69999999999999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I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M447">
        <v>0</v>
      </c>
      <c r="EN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G447" t="e">
        <v>#N/A</v>
      </c>
      <c r="FI447" t="e">
        <v>#N/A</v>
      </c>
      <c r="FK447" t="e">
        <v>#N/A</v>
      </c>
      <c r="FM447" t="e">
        <v>#N/A</v>
      </c>
      <c r="FO447" t="e">
        <v>#N/A</v>
      </c>
      <c r="FQ447" t="e">
        <v>#N/A</v>
      </c>
      <c r="FS447" t="e">
        <v>#N/A</v>
      </c>
      <c r="FU447" t="e">
        <v>#N/A</v>
      </c>
      <c r="FW447" t="e">
        <v>#N/A</v>
      </c>
      <c r="FY447" t="e">
        <v>#N/A</v>
      </c>
      <c r="GA447" t="e">
        <v>#N/A</v>
      </c>
      <c r="GC447" t="e">
        <v>#N/A</v>
      </c>
      <c r="GE447" t="e">
        <v>#N/A</v>
      </c>
      <c r="GG447" t="e">
        <v>#N/A</v>
      </c>
      <c r="GI447" t="e">
        <v>#N/A</v>
      </c>
      <c r="GK447" t="e">
        <v>#N/A</v>
      </c>
      <c r="GM447" t="e">
        <v>#N/A</v>
      </c>
      <c r="GO447" t="e">
        <v>#N/A</v>
      </c>
      <c r="GQ447" t="e">
        <v>#N/A</v>
      </c>
      <c r="GS447" t="e">
        <v>#N/A</v>
      </c>
      <c r="GU447" t="e">
        <v>#N/A</v>
      </c>
      <c r="GW447" t="e">
        <v>#N/A</v>
      </c>
      <c r="GY447" t="e">
        <v>#N/A</v>
      </c>
      <c r="HA447" t="e">
        <v>#N/A</v>
      </c>
      <c r="HC447">
        <v>0</v>
      </c>
      <c r="HD447">
        <v>0</v>
      </c>
      <c r="HE447">
        <v>0</v>
      </c>
      <c r="HF447">
        <v>0</v>
      </c>
      <c r="HG447">
        <v>0</v>
      </c>
      <c r="HH447">
        <v>0</v>
      </c>
      <c r="HI447">
        <v>0</v>
      </c>
      <c r="HJ447">
        <v>0</v>
      </c>
      <c r="HM447">
        <v>0</v>
      </c>
      <c r="HN447">
        <v>0</v>
      </c>
      <c r="HO447">
        <v>0</v>
      </c>
      <c r="HP447">
        <v>0</v>
      </c>
      <c r="HQ447">
        <v>0</v>
      </c>
      <c r="HR447">
        <v>0</v>
      </c>
      <c r="HS447">
        <v>0</v>
      </c>
      <c r="HT447">
        <v>0</v>
      </c>
      <c r="HW447">
        <v>0</v>
      </c>
      <c r="HX447">
        <v>0</v>
      </c>
      <c r="HY447">
        <v>0</v>
      </c>
      <c r="HZ447">
        <v>0</v>
      </c>
      <c r="IA447">
        <v>3930.6</v>
      </c>
      <c r="IB447">
        <v>3632.9</v>
      </c>
      <c r="IC447">
        <v>3795.5</v>
      </c>
      <c r="ID447">
        <v>0</v>
      </c>
      <c r="IE447">
        <v>0</v>
      </c>
      <c r="IF447">
        <v>3548.5</v>
      </c>
      <c r="IG447">
        <v>3395.2</v>
      </c>
      <c r="IH447">
        <v>3395.4</v>
      </c>
      <c r="II447">
        <v>3302.3</v>
      </c>
      <c r="IJ447">
        <v>3172.8</v>
      </c>
      <c r="IK447">
        <v>0</v>
      </c>
      <c r="IL447">
        <v>0</v>
      </c>
      <c r="IM447">
        <v>0</v>
      </c>
      <c r="IN447">
        <v>0</v>
      </c>
      <c r="IO447">
        <v>123.4</v>
      </c>
      <c r="IP447">
        <v>405.2</v>
      </c>
      <c r="IQ447">
        <v>418.7</v>
      </c>
      <c r="IR447">
        <v>0</v>
      </c>
      <c r="IS447">
        <v>0</v>
      </c>
      <c r="IT447">
        <v>0</v>
      </c>
      <c r="IU447">
        <v>0</v>
      </c>
      <c r="IV447">
        <v>396</v>
      </c>
      <c r="IW447">
        <v>0</v>
      </c>
      <c r="IX447">
        <v>0</v>
      </c>
      <c r="IZ447">
        <v>0</v>
      </c>
      <c r="JA447">
        <v>65.5</v>
      </c>
      <c r="JB447">
        <v>443.5</v>
      </c>
      <c r="JC447">
        <v>0</v>
      </c>
      <c r="JD447">
        <v>0</v>
      </c>
      <c r="JE447">
        <v>0</v>
      </c>
      <c r="JF447">
        <v>0</v>
      </c>
      <c r="JG447">
        <v>0</v>
      </c>
      <c r="JH447">
        <v>0</v>
      </c>
      <c r="JI447">
        <v>0</v>
      </c>
      <c r="JJ447">
        <v>0</v>
      </c>
      <c r="JK447">
        <v>0</v>
      </c>
      <c r="JL447">
        <v>0</v>
      </c>
      <c r="JM447">
        <v>0</v>
      </c>
      <c r="JN447">
        <v>0</v>
      </c>
      <c r="JO447">
        <v>0</v>
      </c>
      <c r="JP447">
        <v>0</v>
      </c>
      <c r="JQ447">
        <v>0</v>
      </c>
      <c r="JR447">
        <v>0</v>
      </c>
      <c r="JS447">
        <v>0</v>
      </c>
      <c r="JT447">
        <v>0</v>
      </c>
      <c r="JU447">
        <v>0</v>
      </c>
      <c r="JV447">
        <v>0</v>
      </c>
      <c r="JW447">
        <v>0</v>
      </c>
      <c r="JX447">
        <v>0</v>
      </c>
      <c r="JY447">
        <v>0</v>
      </c>
      <c r="JZ447">
        <v>0</v>
      </c>
      <c r="KA447">
        <v>0</v>
      </c>
      <c r="KB447">
        <v>0</v>
      </c>
      <c r="KC447">
        <v>0</v>
      </c>
      <c r="KD447">
        <v>0</v>
      </c>
      <c r="KE447">
        <v>0</v>
      </c>
      <c r="KF447">
        <v>0</v>
      </c>
      <c r="KI447">
        <v>344.6</v>
      </c>
      <c r="KJ447">
        <v>350.8</v>
      </c>
      <c r="KK447">
        <v>22.1</v>
      </c>
      <c r="KL447">
        <v>379.3</v>
      </c>
      <c r="KM447">
        <v>241.4</v>
      </c>
      <c r="KN447">
        <v>0</v>
      </c>
      <c r="KO447">
        <v>0</v>
      </c>
      <c r="KP447">
        <v>57.3</v>
      </c>
      <c r="KQ447">
        <v>224.4</v>
      </c>
      <c r="KR447">
        <v>338.3</v>
      </c>
      <c r="KS447">
        <v>215.8</v>
      </c>
      <c r="KT447">
        <v>40.700000000000003</v>
      </c>
      <c r="KW447">
        <v>2154.5</v>
      </c>
      <c r="KX447">
        <v>1255.7</v>
      </c>
      <c r="KY447">
        <v>1630.1</v>
      </c>
      <c r="KZ447">
        <v>1246.9000000000001</v>
      </c>
      <c r="LB447">
        <v>78.099999999999994</v>
      </c>
      <c r="LC447">
        <v>77.7</v>
      </c>
    </row>
    <row r="448" spans="1:315" ht="18" thickBot="1">
      <c r="A448" s="245"/>
      <c r="B448" s="245" t="s">
        <v>359</v>
      </c>
      <c r="C448" s="332"/>
      <c r="D448" s="286"/>
      <c r="E448" s="449">
        <v>0</v>
      </c>
      <c r="F448" s="209">
        <v>0</v>
      </c>
      <c r="G448" s="427">
        <v>3413.8</v>
      </c>
      <c r="H448" s="155"/>
      <c r="I448">
        <v>735</v>
      </c>
      <c r="K448">
        <v>1973.1000000000001</v>
      </c>
      <c r="L448" s="4">
        <v>221.60000000000002</v>
      </c>
      <c r="M448" s="4">
        <v>54.9</v>
      </c>
      <c r="N448" s="4">
        <v>1989.7</v>
      </c>
      <c r="P448">
        <v>0</v>
      </c>
      <c r="Q448">
        <v>238.29999999999998</v>
      </c>
      <c r="R448">
        <v>0</v>
      </c>
      <c r="S448">
        <v>0</v>
      </c>
      <c r="T448">
        <v>368.5</v>
      </c>
      <c r="W448">
        <v>720.3</v>
      </c>
      <c r="X448">
        <v>1411.5</v>
      </c>
      <c r="Y448">
        <v>96.5</v>
      </c>
      <c r="AA448">
        <v>859.6</v>
      </c>
      <c r="AB448">
        <v>1577.6000000000001</v>
      </c>
      <c r="AE448">
        <v>1330</v>
      </c>
      <c r="AF448">
        <v>1025.5</v>
      </c>
      <c r="AH448">
        <v>509.9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1349.3</v>
      </c>
      <c r="AO448">
        <v>786.40000000000009</v>
      </c>
      <c r="AP448">
        <v>0</v>
      </c>
      <c r="AQ448">
        <v>68.3</v>
      </c>
      <c r="AR448">
        <v>234.9</v>
      </c>
      <c r="AS448">
        <v>600.40000000000009</v>
      </c>
      <c r="AU448">
        <v>985.69999999999993</v>
      </c>
      <c r="AW448">
        <v>792</v>
      </c>
      <c r="AX448">
        <v>1988.5</v>
      </c>
      <c r="AZ448">
        <v>763.5</v>
      </c>
      <c r="BA448">
        <v>0</v>
      </c>
      <c r="BB448">
        <v>0</v>
      </c>
      <c r="BC448">
        <v>1935.3</v>
      </c>
      <c r="BD448">
        <v>1006.5</v>
      </c>
      <c r="BE448">
        <v>0</v>
      </c>
      <c r="BF448">
        <v>0</v>
      </c>
      <c r="BG448">
        <v>0</v>
      </c>
      <c r="BH448">
        <v>1662.6</v>
      </c>
      <c r="BJ448">
        <v>0</v>
      </c>
      <c r="BK448">
        <v>0</v>
      </c>
      <c r="BL448">
        <v>1038.9000000000001</v>
      </c>
      <c r="BM448">
        <v>1101</v>
      </c>
      <c r="BO448">
        <v>1276.8000000000002</v>
      </c>
      <c r="BQ448">
        <v>0</v>
      </c>
      <c r="BR448">
        <v>270.7</v>
      </c>
      <c r="BS448">
        <v>230.5</v>
      </c>
      <c r="BT448">
        <v>472.3</v>
      </c>
      <c r="BU448">
        <v>537.29999999999995</v>
      </c>
      <c r="BV448">
        <v>346.3</v>
      </c>
      <c r="BW448">
        <v>386.2</v>
      </c>
      <c r="BX448">
        <v>767</v>
      </c>
      <c r="BY448">
        <v>757.2</v>
      </c>
      <c r="BZ448">
        <v>1037.2</v>
      </c>
      <c r="CA448">
        <v>1227.0999999999999</v>
      </c>
      <c r="CB448">
        <v>1232.0999999999999</v>
      </c>
      <c r="CC448">
        <v>1701.5</v>
      </c>
      <c r="CD448">
        <v>0</v>
      </c>
      <c r="CG448">
        <v>1385.3</v>
      </c>
      <c r="CJ448">
        <v>1630.2999999999997</v>
      </c>
      <c r="CM448">
        <v>1184.2</v>
      </c>
      <c r="CO448">
        <v>1248.0999999999999</v>
      </c>
      <c r="CQ448">
        <v>1435.3</v>
      </c>
      <c r="CR448">
        <v>798.2</v>
      </c>
      <c r="CS448">
        <v>923.8</v>
      </c>
      <c r="CT448">
        <v>0</v>
      </c>
      <c r="CU448">
        <v>0</v>
      </c>
      <c r="CV448">
        <v>0</v>
      </c>
      <c r="CW448">
        <v>0</v>
      </c>
      <c r="CX448">
        <v>163.69999999999999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I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G448" t="e">
        <v>#N/A</v>
      </c>
      <c r="FI448" t="e">
        <v>#N/A</v>
      </c>
      <c r="FK448" t="e">
        <v>#N/A</v>
      </c>
      <c r="FM448" t="e">
        <v>#N/A</v>
      </c>
      <c r="FO448" t="e">
        <v>#N/A</v>
      </c>
      <c r="FQ448" t="e">
        <v>#N/A</v>
      </c>
      <c r="FS448" t="e">
        <v>#N/A</v>
      </c>
      <c r="FU448" t="e">
        <v>#N/A</v>
      </c>
      <c r="FW448" t="e">
        <v>#N/A</v>
      </c>
      <c r="FY448" t="e">
        <v>#N/A</v>
      </c>
      <c r="GA448" t="e">
        <v>#N/A</v>
      </c>
      <c r="GC448" t="e">
        <v>#N/A</v>
      </c>
      <c r="GE448" t="e">
        <v>#N/A</v>
      </c>
      <c r="GG448" t="e">
        <v>#N/A</v>
      </c>
      <c r="GI448" t="e">
        <v>#N/A</v>
      </c>
      <c r="GK448" t="e">
        <v>#N/A</v>
      </c>
      <c r="GM448" t="e">
        <v>#N/A</v>
      </c>
      <c r="GO448" t="e">
        <v>#N/A</v>
      </c>
      <c r="GQ448" t="e">
        <v>#N/A</v>
      </c>
      <c r="GS448" t="e">
        <v>#N/A</v>
      </c>
      <c r="GU448" t="e">
        <v>#N/A</v>
      </c>
      <c r="GW448" t="e">
        <v>#N/A</v>
      </c>
      <c r="GY448" t="e">
        <v>#N/A</v>
      </c>
      <c r="HA448" t="e">
        <v>#N/A</v>
      </c>
      <c r="HC448">
        <v>0</v>
      </c>
      <c r="HD448">
        <v>0</v>
      </c>
      <c r="HE448">
        <v>0</v>
      </c>
      <c r="HF448">
        <v>0</v>
      </c>
      <c r="HG448">
        <v>0</v>
      </c>
      <c r="HH448">
        <v>0</v>
      </c>
      <c r="HI448">
        <v>0</v>
      </c>
      <c r="HJ448">
        <v>0</v>
      </c>
      <c r="HM448">
        <v>0</v>
      </c>
      <c r="HN448">
        <v>0</v>
      </c>
      <c r="HO448">
        <v>0</v>
      </c>
      <c r="HP448">
        <v>0</v>
      </c>
      <c r="HQ448">
        <v>0</v>
      </c>
      <c r="HR448">
        <v>0</v>
      </c>
      <c r="HS448">
        <v>0</v>
      </c>
      <c r="HT448">
        <v>0</v>
      </c>
      <c r="HW448">
        <v>0</v>
      </c>
      <c r="HX448">
        <v>0</v>
      </c>
      <c r="HY448">
        <v>0</v>
      </c>
      <c r="HZ448">
        <v>0</v>
      </c>
      <c r="IA448">
        <v>3930.6</v>
      </c>
      <c r="IB448">
        <v>3632.9</v>
      </c>
      <c r="IC448">
        <v>3795.5</v>
      </c>
      <c r="ID448">
        <v>0</v>
      </c>
      <c r="IE448">
        <v>0</v>
      </c>
      <c r="IF448">
        <v>3548.5</v>
      </c>
      <c r="IG448">
        <v>3395.2</v>
      </c>
      <c r="IH448">
        <v>3395.4</v>
      </c>
      <c r="II448">
        <v>3302.3</v>
      </c>
      <c r="IJ448">
        <v>3172.8</v>
      </c>
      <c r="IK448">
        <v>0</v>
      </c>
      <c r="IL448">
        <v>0</v>
      </c>
      <c r="IM448">
        <v>0</v>
      </c>
      <c r="IN448">
        <v>0</v>
      </c>
      <c r="IO448">
        <v>123.4</v>
      </c>
      <c r="IP448">
        <v>405.2</v>
      </c>
      <c r="IQ448">
        <v>418.7</v>
      </c>
      <c r="IR448">
        <v>0</v>
      </c>
      <c r="IS448">
        <v>0</v>
      </c>
      <c r="IT448">
        <v>0</v>
      </c>
      <c r="IU448">
        <v>0</v>
      </c>
      <c r="IV448">
        <v>396</v>
      </c>
      <c r="IW448">
        <v>0</v>
      </c>
      <c r="IX448">
        <v>0</v>
      </c>
      <c r="IZ448">
        <v>0</v>
      </c>
      <c r="JA448">
        <v>65.5</v>
      </c>
      <c r="JB448">
        <v>443.5</v>
      </c>
      <c r="JC448">
        <v>0</v>
      </c>
      <c r="JD448">
        <v>0</v>
      </c>
      <c r="JE448">
        <v>0</v>
      </c>
      <c r="JF448">
        <v>0</v>
      </c>
      <c r="JG448">
        <v>0</v>
      </c>
      <c r="JH448">
        <v>0</v>
      </c>
      <c r="JI448">
        <v>0</v>
      </c>
      <c r="JJ448">
        <v>0</v>
      </c>
      <c r="JK448">
        <v>0</v>
      </c>
      <c r="JL448">
        <v>0</v>
      </c>
      <c r="JM448">
        <v>0</v>
      </c>
      <c r="JN448">
        <v>0</v>
      </c>
      <c r="JO448">
        <v>0</v>
      </c>
      <c r="JP448">
        <v>0</v>
      </c>
      <c r="JQ448">
        <v>0</v>
      </c>
      <c r="JR448">
        <v>0</v>
      </c>
      <c r="JS448">
        <v>0</v>
      </c>
      <c r="JT448">
        <v>0</v>
      </c>
      <c r="JU448">
        <v>0</v>
      </c>
      <c r="JV448">
        <v>0</v>
      </c>
      <c r="JW448">
        <v>0</v>
      </c>
      <c r="JX448">
        <v>0</v>
      </c>
      <c r="JY448">
        <v>0</v>
      </c>
      <c r="JZ448">
        <v>0</v>
      </c>
      <c r="KA448">
        <v>0</v>
      </c>
      <c r="KB448">
        <v>0</v>
      </c>
      <c r="KC448">
        <v>0</v>
      </c>
      <c r="KD448">
        <v>0</v>
      </c>
      <c r="KE448">
        <v>0</v>
      </c>
      <c r="KF448">
        <v>0</v>
      </c>
      <c r="KI448">
        <v>344.6</v>
      </c>
      <c r="KJ448">
        <v>350.8</v>
      </c>
      <c r="KK448">
        <v>22.1</v>
      </c>
      <c r="KL448">
        <v>379.3</v>
      </c>
      <c r="KM448">
        <v>241.4</v>
      </c>
      <c r="KN448">
        <v>0</v>
      </c>
      <c r="KO448">
        <v>0</v>
      </c>
      <c r="KP448">
        <v>57.3</v>
      </c>
      <c r="KQ448">
        <v>224.4</v>
      </c>
      <c r="KR448">
        <v>338.3</v>
      </c>
      <c r="KS448">
        <v>215.8</v>
      </c>
      <c r="KT448">
        <v>40.700000000000003</v>
      </c>
      <c r="KW448">
        <v>2154.5</v>
      </c>
      <c r="KX448">
        <v>1255.7</v>
      </c>
      <c r="KY448">
        <v>1630.1</v>
      </c>
      <c r="KZ448">
        <v>1246.9000000000001</v>
      </c>
      <c r="LB448">
        <v>78.099999999999994</v>
      </c>
      <c r="LC448">
        <v>77.7</v>
      </c>
    </row>
    <row r="449" spans="1:315" ht="18" thickBot="1">
      <c r="A449" s="246"/>
      <c r="B449" s="246" t="s">
        <v>360</v>
      </c>
      <c r="C449" s="340"/>
      <c r="D449" s="296"/>
      <c r="E449" s="452">
        <v>0</v>
      </c>
      <c r="F449" s="212">
        <v>0</v>
      </c>
      <c r="G449" s="427">
        <v>3413.8</v>
      </c>
      <c r="H449" s="155"/>
      <c r="I449">
        <v>735</v>
      </c>
      <c r="K449">
        <v>1973.1000000000001</v>
      </c>
      <c r="L449" s="4">
        <v>221.60000000000002</v>
      </c>
      <c r="M449" s="4">
        <v>54.9</v>
      </c>
      <c r="N449" s="4">
        <v>1989.7</v>
      </c>
      <c r="P449">
        <v>0</v>
      </c>
      <c r="Q449">
        <v>238.29999999999998</v>
      </c>
      <c r="R449">
        <v>0</v>
      </c>
      <c r="S449">
        <v>0</v>
      </c>
      <c r="T449">
        <v>368.5</v>
      </c>
      <c r="W449">
        <v>720.3</v>
      </c>
      <c r="X449">
        <v>1411.5</v>
      </c>
      <c r="Y449">
        <v>96.5</v>
      </c>
      <c r="AA449">
        <v>859.6</v>
      </c>
      <c r="AB449">
        <v>1577.6000000000001</v>
      </c>
      <c r="AE449">
        <v>1330</v>
      </c>
      <c r="AF449">
        <v>1025.5</v>
      </c>
      <c r="AH449">
        <v>509.9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1349.3</v>
      </c>
      <c r="AO449">
        <v>786.40000000000009</v>
      </c>
      <c r="AP449">
        <v>0</v>
      </c>
      <c r="AQ449">
        <v>68.3</v>
      </c>
      <c r="AR449">
        <v>234.9</v>
      </c>
      <c r="AS449">
        <v>600.40000000000009</v>
      </c>
      <c r="AU449">
        <v>985.69999999999993</v>
      </c>
      <c r="AW449">
        <v>792</v>
      </c>
      <c r="AX449">
        <v>1988.5</v>
      </c>
      <c r="AZ449">
        <v>763.5</v>
      </c>
      <c r="BA449">
        <v>0</v>
      </c>
      <c r="BB449">
        <v>0</v>
      </c>
      <c r="BC449">
        <v>1935.3</v>
      </c>
      <c r="BD449">
        <v>1006.5</v>
      </c>
      <c r="BE449">
        <v>0</v>
      </c>
      <c r="BF449">
        <v>0</v>
      </c>
      <c r="BG449">
        <v>0</v>
      </c>
      <c r="BH449">
        <v>1662.6</v>
      </c>
      <c r="BJ449">
        <v>0</v>
      </c>
      <c r="BK449">
        <v>0</v>
      </c>
      <c r="BL449">
        <v>1038.9000000000001</v>
      </c>
      <c r="BM449">
        <v>1101</v>
      </c>
      <c r="BO449">
        <v>1276.8000000000002</v>
      </c>
      <c r="BQ449">
        <v>0</v>
      </c>
      <c r="BR449">
        <v>270.7</v>
      </c>
      <c r="BS449">
        <v>230.5</v>
      </c>
      <c r="BT449">
        <v>472.3</v>
      </c>
      <c r="BU449">
        <v>537.29999999999995</v>
      </c>
      <c r="BV449">
        <v>346.3</v>
      </c>
      <c r="BW449">
        <v>386.2</v>
      </c>
      <c r="BX449">
        <v>767</v>
      </c>
      <c r="BY449">
        <v>757.2</v>
      </c>
      <c r="BZ449">
        <v>1037.2</v>
      </c>
      <c r="CA449">
        <v>1227.0999999999999</v>
      </c>
      <c r="CB449">
        <v>1232.0999999999999</v>
      </c>
      <c r="CC449">
        <v>1701.5</v>
      </c>
      <c r="CD449">
        <v>0</v>
      </c>
      <c r="CG449">
        <v>1385.3</v>
      </c>
      <c r="CJ449">
        <v>1630.2999999999997</v>
      </c>
      <c r="CM449">
        <v>1184.2</v>
      </c>
      <c r="CO449">
        <v>1248.0999999999999</v>
      </c>
      <c r="CQ449">
        <v>1435.3</v>
      </c>
      <c r="CR449">
        <v>798.2</v>
      </c>
      <c r="CS449">
        <v>923.8</v>
      </c>
      <c r="CT449">
        <v>0</v>
      </c>
      <c r="CU449">
        <v>0</v>
      </c>
      <c r="CV449">
        <v>0</v>
      </c>
      <c r="CW449">
        <v>0</v>
      </c>
      <c r="CX449">
        <v>163.69999999999999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I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G449" t="e">
        <v>#N/A</v>
      </c>
      <c r="FI449" t="e">
        <v>#N/A</v>
      </c>
      <c r="FK449" t="e">
        <v>#N/A</v>
      </c>
      <c r="FM449" t="e">
        <v>#N/A</v>
      </c>
      <c r="FO449" t="e">
        <v>#N/A</v>
      </c>
      <c r="FQ449" t="e">
        <v>#N/A</v>
      </c>
      <c r="FS449" t="e">
        <v>#N/A</v>
      </c>
      <c r="FU449" t="e">
        <v>#N/A</v>
      </c>
      <c r="FW449" t="e">
        <v>#N/A</v>
      </c>
      <c r="FY449" t="e">
        <v>#N/A</v>
      </c>
      <c r="GA449" t="e">
        <v>#N/A</v>
      </c>
      <c r="GC449" t="e">
        <v>#N/A</v>
      </c>
      <c r="GE449" t="e">
        <v>#N/A</v>
      </c>
      <c r="GG449" t="e">
        <v>#N/A</v>
      </c>
      <c r="GI449" t="e">
        <v>#N/A</v>
      </c>
      <c r="GK449" t="e">
        <v>#N/A</v>
      </c>
      <c r="GM449" t="e">
        <v>#N/A</v>
      </c>
      <c r="GO449" t="e">
        <v>#N/A</v>
      </c>
      <c r="GQ449" t="e">
        <v>#N/A</v>
      </c>
      <c r="GS449" t="e">
        <v>#N/A</v>
      </c>
      <c r="GU449" t="e">
        <v>#N/A</v>
      </c>
      <c r="GW449" t="e">
        <v>#N/A</v>
      </c>
      <c r="GY449" t="e">
        <v>#N/A</v>
      </c>
      <c r="HA449" t="e">
        <v>#N/A</v>
      </c>
      <c r="HC449">
        <v>0</v>
      </c>
      <c r="HD449">
        <v>0</v>
      </c>
      <c r="HE449">
        <v>0</v>
      </c>
      <c r="HF449">
        <v>0</v>
      </c>
      <c r="HG449">
        <v>0</v>
      </c>
      <c r="HH449">
        <v>0</v>
      </c>
      <c r="HI449">
        <v>0</v>
      </c>
      <c r="HJ449">
        <v>0</v>
      </c>
      <c r="HM449">
        <v>0</v>
      </c>
      <c r="HN449">
        <v>0</v>
      </c>
      <c r="HO449">
        <v>0</v>
      </c>
      <c r="HP449">
        <v>0</v>
      </c>
      <c r="HQ449">
        <v>0</v>
      </c>
      <c r="HR449">
        <v>0</v>
      </c>
      <c r="HS449">
        <v>0</v>
      </c>
      <c r="HT449">
        <v>0</v>
      </c>
      <c r="HW449">
        <v>0</v>
      </c>
      <c r="HX449">
        <v>0</v>
      </c>
      <c r="HY449">
        <v>0</v>
      </c>
      <c r="HZ449">
        <v>0</v>
      </c>
      <c r="IA449">
        <v>3930.6</v>
      </c>
      <c r="IB449">
        <v>3632.9</v>
      </c>
      <c r="IC449">
        <v>3795.5</v>
      </c>
      <c r="ID449">
        <v>0</v>
      </c>
      <c r="IE449">
        <v>0</v>
      </c>
      <c r="IF449">
        <v>3548.5</v>
      </c>
      <c r="IG449">
        <v>3395.2</v>
      </c>
      <c r="IH449">
        <v>3395.4</v>
      </c>
      <c r="II449">
        <v>3302.3</v>
      </c>
      <c r="IJ449">
        <v>3172.8</v>
      </c>
      <c r="IK449">
        <v>0</v>
      </c>
      <c r="IL449">
        <v>0</v>
      </c>
      <c r="IM449">
        <v>0</v>
      </c>
      <c r="IN449">
        <v>0</v>
      </c>
      <c r="IO449">
        <v>123.4</v>
      </c>
      <c r="IP449">
        <v>405.2</v>
      </c>
      <c r="IQ449">
        <v>418.7</v>
      </c>
      <c r="IR449">
        <v>0</v>
      </c>
      <c r="IS449">
        <v>0</v>
      </c>
      <c r="IT449">
        <v>0</v>
      </c>
      <c r="IU449">
        <v>0</v>
      </c>
      <c r="IV449">
        <v>396</v>
      </c>
      <c r="IW449">
        <v>0</v>
      </c>
      <c r="IX449">
        <v>0</v>
      </c>
      <c r="IZ449">
        <v>0</v>
      </c>
      <c r="JA449">
        <v>65.5</v>
      </c>
      <c r="JB449">
        <v>443.5</v>
      </c>
      <c r="JC449">
        <v>0</v>
      </c>
      <c r="JD449">
        <v>0</v>
      </c>
      <c r="JE449">
        <v>0</v>
      </c>
      <c r="JF449">
        <v>0</v>
      </c>
      <c r="JG449">
        <v>0</v>
      </c>
      <c r="JH449">
        <v>0</v>
      </c>
      <c r="JI449">
        <v>0</v>
      </c>
      <c r="JJ449">
        <v>0</v>
      </c>
      <c r="JK449">
        <v>0</v>
      </c>
      <c r="JL449">
        <v>0</v>
      </c>
      <c r="JM449">
        <v>0</v>
      </c>
      <c r="JN449">
        <v>0</v>
      </c>
      <c r="JO449">
        <v>0</v>
      </c>
      <c r="JP449">
        <v>0</v>
      </c>
      <c r="JQ449">
        <v>0</v>
      </c>
      <c r="JR449">
        <v>0</v>
      </c>
      <c r="JS449">
        <v>0</v>
      </c>
      <c r="JT449">
        <v>0</v>
      </c>
      <c r="JU449">
        <v>0</v>
      </c>
      <c r="JV449">
        <v>0</v>
      </c>
      <c r="JW449">
        <v>0</v>
      </c>
      <c r="JX449">
        <v>0</v>
      </c>
      <c r="JY449">
        <v>0</v>
      </c>
      <c r="JZ449">
        <v>0</v>
      </c>
      <c r="KA449">
        <v>0</v>
      </c>
      <c r="KB449">
        <v>0</v>
      </c>
      <c r="KC449">
        <v>0</v>
      </c>
      <c r="KD449">
        <v>0</v>
      </c>
      <c r="KE449">
        <v>0</v>
      </c>
      <c r="KF449">
        <v>0</v>
      </c>
      <c r="KI449">
        <v>344.6</v>
      </c>
      <c r="KJ449">
        <v>350.8</v>
      </c>
      <c r="KK449">
        <v>22.1</v>
      </c>
      <c r="KL449">
        <v>379.3</v>
      </c>
      <c r="KM449">
        <v>241.4</v>
      </c>
      <c r="KN449">
        <v>0</v>
      </c>
      <c r="KO449">
        <v>0</v>
      </c>
      <c r="KP449">
        <v>57.3</v>
      </c>
      <c r="KQ449">
        <v>224.4</v>
      </c>
      <c r="KR449">
        <v>338.3</v>
      </c>
      <c r="KS449">
        <v>215.8</v>
      </c>
      <c r="KT449">
        <v>40.700000000000003</v>
      </c>
      <c r="KW449">
        <v>2154.5</v>
      </c>
      <c r="KX449">
        <v>1255.7</v>
      </c>
      <c r="KY449">
        <v>1630.1</v>
      </c>
      <c r="KZ449">
        <v>1246.9000000000001</v>
      </c>
      <c r="LB449">
        <v>78.099999999999994</v>
      </c>
      <c r="LC449">
        <v>77.7</v>
      </c>
    </row>
    <row r="450" spans="1:315" ht="18.600000000000001" thickTop="1" thickBot="1">
      <c r="A450" s="181"/>
      <c r="B450" s="181" t="s">
        <v>339</v>
      </c>
      <c r="C450" s="333" t="s">
        <v>888</v>
      </c>
      <c r="D450" s="287"/>
      <c r="E450" s="442">
        <v>0</v>
      </c>
      <c r="F450" s="190">
        <v>0</v>
      </c>
      <c r="G450" s="427">
        <v>3413.8</v>
      </c>
      <c r="H450" s="155"/>
      <c r="I450">
        <v>735</v>
      </c>
      <c r="K450">
        <v>1973.1000000000001</v>
      </c>
      <c r="L450" s="4">
        <v>221.60000000000002</v>
      </c>
      <c r="M450" s="4">
        <v>54.9</v>
      </c>
      <c r="N450" s="4">
        <v>1989.7</v>
      </c>
      <c r="P450">
        <v>0</v>
      </c>
      <c r="Q450">
        <v>238.29999999999998</v>
      </c>
      <c r="R450">
        <v>0</v>
      </c>
      <c r="S450">
        <v>0</v>
      </c>
      <c r="T450">
        <v>368.5</v>
      </c>
      <c r="W450">
        <v>720.3</v>
      </c>
      <c r="X450">
        <v>1411.5</v>
      </c>
      <c r="Y450">
        <v>96.5</v>
      </c>
      <c r="AA450">
        <v>859.6</v>
      </c>
      <c r="AB450">
        <v>1577.6000000000001</v>
      </c>
      <c r="AE450">
        <v>1330</v>
      </c>
      <c r="AF450">
        <v>1025.5</v>
      </c>
      <c r="AH450">
        <v>509.9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1349.3</v>
      </c>
      <c r="AO450">
        <v>786.40000000000009</v>
      </c>
      <c r="AP450">
        <v>0</v>
      </c>
      <c r="AQ450">
        <v>68.3</v>
      </c>
      <c r="AR450">
        <v>234.9</v>
      </c>
      <c r="AS450">
        <v>600.40000000000009</v>
      </c>
      <c r="AU450">
        <v>985.69999999999993</v>
      </c>
      <c r="AW450">
        <v>792</v>
      </c>
      <c r="AX450">
        <v>1988.5</v>
      </c>
      <c r="AZ450">
        <v>763.5</v>
      </c>
      <c r="BA450">
        <v>0</v>
      </c>
      <c r="BB450">
        <v>0</v>
      </c>
      <c r="BC450">
        <v>1935.3</v>
      </c>
      <c r="BD450">
        <v>1006.5</v>
      </c>
      <c r="BE450">
        <v>0</v>
      </c>
      <c r="BF450">
        <v>0</v>
      </c>
      <c r="BG450">
        <v>0</v>
      </c>
      <c r="BH450">
        <v>1662.6</v>
      </c>
      <c r="BJ450">
        <v>0</v>
      </c>
      <c r="BK450">
        <v>0</v>
      </c>
      <c r="BL450">
        <v>1038.9000000000001</v>
      </c>
      <c r="BM450">
        <v>1101</v>
      </c>
      <c r="BO450">
        <v>1276.8000000000002</v>
      </c>
      <c r="BQ450">
        <v>0</v>
      </c>
      <c r="BR450">
        <v>270.7</v>
      </c>
      <c r="BS450">
        <v>230.5</v>
      </c>
      <c r="BT450">
        <v>472.3</v>
      </c>
      <c r="BU450">
        <v>537.29999999999995</v>
      </c>
      <c r="BV450">
        <v>346.3</v>
      </c>
      <c r="BW450">
        <v>386.2</v>
      </c>
      <c r="BX450">
        <v>767</v>
      </c>
      <c r="BY450">
        <v>757.2</v>
      </c>
      <c r="BZ450">
        <v>1037.2</v>
      </c>
      <c r="CA450">
        <v>1227.0999999999999</v>
      </c>
      <c r="CB450">
        <v>1232.0999999999999</v>
      </c>
      <c r="CC450">
        <v>1701.5</v>
      </c>
      <c r="CD450">
        <v>0</v>
      </c>
      <c r="CG450">
        <v>1385.3</v>
      </c>
      <c r="CJ450">
        <v>1630.2999999999997</v>
      </c>
      <c r="CM450">
        <v>1184.2</v>
      </c>
      <c r="CO450">
        <v>1248.0999999999999</v>
      </c>
      <c r="CQ450">
        <v>1435.3</v>
      </c>
      <c r="CR450">
        <v>798.2</v>
      </c>
      <c r="CS450">
        <v>923.8</v>
      </c>
      <c r="CT450">
        <v>0</v>
      </c>
      <c r="CU450">
        <v>0</v>
      </c>
      <c r="CV450">
        <v>0</v>
      </c>
      <c r="CW450">
        <v>0</v>
      </c>
      <c r="CX450">
        <v>163.69999999999999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I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G450" t="e">
        <v>#N/A</v>
      </c>
      <c r="FI450" t="e">
        <v>#N/A</v>
      </c>
      <c r="FK450" t="e">
        <v>#N/A</v>
      </c>
      <c r="FM450" t="e">
        <v>#N/A</v>
      </c>
      <c r="FO450" t="e">
        <v>#N/A</v>
      </c>
      <c r="FQ450" t="e">
        <v>#N/A</v>
      </c>
      <c r="FS450" t="e">
        <v>#N/A</v>
      </c>
      <c r="FU450" t="e">
        <v>#N/A</v>
      </c>
      <c r="FW450" t="e">
        <v>#N/A</v>
      </c>
      <c r="FY450" t="e">
        <v>#N/A</v>
      </c>
      <c r="GA450" t="e">
        <v>#N/A</v>
      </c>
      <c r="GC450" t="e">
        <v>#N/A</v>
      </c>
      <c r="GE450" t="e">
        <v>#N/A</v>
      </c>
      <c r="GG450" t="e">
        <v>#N/A</v>
      </c>
      <c r="GI450" t="e">
        <v>#N/A</v>
      </c>
      <c r="GK450" t="e">
        <v>#N/A</v>
      </c>
      <c r="GM450" t="e">
        <v>#N/A</v>
      </c>
      <c r="GO450" t="e">
        <v>#N/A</v>
      </c>
      <c r="GQ450" t="e">
        <v>#N/A</v>
      </c>
      <c r="GS450" t="e">
        <v>#N/A</v>
      </c>
      <c r="GU450" t="e">
        <v>#N/A</v>
      </c>
      <c r="GW450" t="e">
        <v>#N/A</v>
      </c>
      <c r="GY450" t="e">
        <v>#N/A</v>
      </c>
      <c r="HA450" t="e">
        <v>#N/A</v>
      </c>
      <c r="HC450">
        <v>0</v>
      </c>
      <c r="HD450">
        <v>0</v>
      </c>
      <c r="HE450">
        <v>0</v>
      </c>
      <c r="HF450">
        <v>0</v>
      </c>
      <c r="HG450">
        <v>0</v>
      </c>
      <c r="HH450">
        <v>0</v>
      </c>
      <c r="HI450">
        <v>0</v>
      </c>
      <c r="HJ450">
        <v>0</v>
      </c>
      <c r="HM450">
        <v>0</v>
      </c>
      <c r="HN450">
        <v>0</v>
      </c>
      <c r="HO450">
        <v>0</v>
      </c>
      <c r="HP450">
        <v>0</v>
      </c>
      <c r="HQ450">
        <v>0</v>
      </c>
      <c r="HR450">
        <v>0</v>
      </c>
      <c r="HS450">
        <v>0</v>
      </c>
      <c r="HT450">
        <v>0</v>
      </c>
      <c r="HW450">
        <v>0</v>
      </c>
      <c r="HX450">
        <v>0</v>
      </c>
      <c r="HY450">
        <v>0</v>
      </c>
      <c r="HZ450">
        <v>0</v>
      </c>
      <c r="IA450">
        <v>3930.6</v>
      </c>
      <c r="IB450">
        <v>3632.9</v>
      </c>
      <c r="IC450">
        <v>3795.5</v>
      </c>
      <c r="ID450">
        <v>0</v>
      </c>
      <c r="IE450">
        <v>0</v>
      </c>
      <c r="IF450">
        <v>3548.5</v>
      </c>
      <c r="IG450">
        <v>3395.2</v>
      </c>
      <c r="IH450">
        <v>3395.4</v>
      </c>
      <c r="II450">
        <v>3302.3</v>
      </c>
      <c r="IJ450">
        <v>3172.8</v>
      </c>
      <c r="IK450">
        <v>0</v>
      </c>
      <c r="IL450">
        <v>0</v>
      </c>
      <c r="IM450">
        <v>0</v>
      </c>
      <c r="IN450">
        <v>0</v>
      </c>
      <c r="IO450">
        <v>123.4</v>
      </c>
      <c r="IP450">
        <v>405.2</v>
      </c>
      <c r="IQ450">
        <v>418.7</v>
      </c>
      <c r="IR450">
        <v>0</v>
      </c>
      <c r="IS450">
        <v>0</v>
      </c>
      <c r="IT450">
        <v>0</v>
      </c>
      <c r="IU450">
        <v>0</v>
      </c>
      <c r="IV450">
        <v>396</v>
      </c>
      <c r="IW450">
        <v>0</v>
      </c>
      <c r="IX450">
        <v>0</v>
      </c>
      <c r="IZ450">
        <v>0</v>
      </c>
      <c r="JA450">
        <v>65.5</v>
      </c>
      <c r="JB450">
        <v>443.5</v>
      </c>
      <c r="JC450">
        <v>0</v>
      </c>
      <c r="JD450">
        <v>0</v>
      </c>
      <c r="JE450">
        <v>0</v>
      </c>
      <c r="JF450">
        <v>0</v>
      </c>
      <c r="JG450">
        <v>0</v>
      </c>
      <c r="JH450">
        <v>0</v>
      </c>
      <c r="JI450">
        <v>0</v>
      </c>
      <c r="JJ450">
        <v>0</v>
      </c>
      <c r="JK450">
        <v>0</v>
      </c>
      <c r="JL450">
        <v>0</v>
      </c>
      <c r="JM450">
        <v>0</v>
      </c>
      <c r="JN450">
        <v>0</v>
      </c>
      <c r="JO450">
        <v>0</v>
      </c>
      <c r="JP450">
        <v>0</v>
      </c>
      <c r="JQ450">
        <v>0</v>
      </c>
      <c r="JR450">
        <v>0</v>
      </c>
      <c r="JS450">
        <v>0</v>
      </c>
      <c r="JT450">
        <v>0</v>
      </c>
      <c r="JU450">
        <v>0</v>
      </c>
      <c r="JV450">
        <v>0</v>
      </c>
      <c r="JW450">
        <v>0</v>
      </c>
      <c r="JX450">
        <v>0</v>
      </c>
      <c r="JY450">
        <v>0</v>
      </c>
      <c r="JZ450">
        <v>0</v>
      </c>
      <c r="KA450">
        <v>0</v>
      </c>
      <c r="KB450">
        <v>0</v>
      </c>
      <c r="KC450">
        <v>0</v>
      </c>
      <c r="KD450">
        <v>0</v>
      </c>
      <c r="KE450">
        <v>0</v>
      </c>
      <c r="KF450">
        <v>0</v>
      </c>
      <c r="KI450">
        <v>344.6</v>
      </c>
      <c r="KJ450">
        <v>350.8</v>
      </c>
      <c r="KK450">
        <v>22.1</v>
      </c>
      <c r="KL450">
        <v>379.3</v>
      </c>
      <c r="KM450">
        <v>241.4</v>
      </c>
      <c r="KN450">
        <v>0</v>
      </c>
      <c r="KO450">
        <v>0</v>
      </c>
      <c r="KP450">
        <v>57.3</v>
      </c>
      <c r="KQ450">
        <v>224.4</v>
      </c>
      <c r="KR450">
        <v>338.3</v>
      </c>
      <c r="KS450">
        <v>215.8</v>
      </c>
      <c r="KT450">
        <v>40.700000000000003</v>
      </c>
      <c r="KW450">
        <v>2154.5</v>
      </c>
      <c r="KX450">
        <v>1255.7</v>
      </c>
      <c r="KY450">
        <v>1630.1</v>
      </c>
      <c r="KZ450">
        <v>1246.9000000000001</v>
      </c>
      <c r="LB450">
        <v>78.099999999999994</v>
      </c>
      <c r="LC450">
        <v>77.7</v>
      </c>
    </row>
    <row r="451" spans="1:315" ht="18" thickBot="1">
      <c r="A451" s="245"/>
      <c r="B451" s="245" t="s">
        <v>599</v>
      </c>
      <c r="C451" s="230" t="s">
        <v>713</v>
      </c>
      <c r="D451" s="281"/>
      <c r="E451" s="443">
        <v>0</v>
      </c>
      <c r="F451" s="191">
        <v>0</v>
      </c>
      <c r="G451" s="427">
        <v>3413.8</v>
      </c>
      <c r="H451" s="155"/>
      <c r="I451">
        <v>735</v>
      </c>
      <c r="K451">
        <v>1973.1000000000001</v>
      </c>
      <c r="L451" s="4">
        <v>221.60000000000002</v>
      </c>
      <c r="M451" s="4">
        <v>54.9</v>
      </c>
      <c r="N451" s="4">
        <v>1989.7</v>
      </c>
      <c r="P451">
        <v>0</v>
      </c>
      <c r="Q451">
        <v>238.29999999999998</v>
      </c>
      <c r="R451">
        <v>0</v>
      </c>
      <c r="S451">
        <v>0</v>
      </c>
      <c r="T451">
        <v>368.5</v>
      </c>
      <c r="W451">
        <v>720.3</v>
      </c>
      <c r="X451">
        <v>1411.5</v>
      </c>
      <c r="Y451">
        <v>96.5</v>
      </c>
      <c r="AA451">
        <v>859.6</v>
      </c>
      <c r="AB451">
        <v>1577.6000000000001</v>
      </c>
      <c r="AE451">
        <v>1330</v>
      </c>
      <c r="AF451">
        <v>1025.5</v>
      </c>
      <c r="AH451">
        <v>509.9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1349.3</v>
      </c>
      <c r="AO451">
        <v>786.40000000000009</v>
      </c>
      <c r="AP451">
        <v>0</v>
      </c>
      <c r="AQ451">
        <v>68.3</v>
      </c>
      <c r="AR451">
        <v>234.9</v>
      </c>
      <c r="AS451">
        <v>600.40000000000009</v>
      </c>
      <c r="AU451">
        <v>985.69999999999993</v>
      </c>
      <c r="AW451">
        <v>792</v>
      </c>
      <c r="AX451">
        <v>1988.5</v>
      </c>
      <c r="AZ451">
        <v>763.5</v>
      </c>
      <c r="BA451">
        <v>0</v>
      </c>
      <c r="BB451">
        <v>0</v>
      </c>
      <c r="BC451">
        <v>1935.3</v>
      </c>
      <c r="BD451">
        <v>1006.5</v>
      </c>
      <c r="BE451">
        <v>0</v>
      </c>
      <c r="BF451">
        <v>0</v>
      </c>
      <c r="BG451">
        <v>0</v>
      </c>
      <c r="BH451">
        <v>1662.6</v>
      </c>
      <c r="BJ451">
        <v>0</v>
      </c>
      <c r="BK451">
        <v>0</v>
      </c>
      <c r="BL451">
        <v>1038.9000000000001</v>
      </c>
      <c r="BM451">
        <v>1101</v>
      </c>
      <c r="BO451">
        <v>1276.8000000000002</v>
      </c>
      <c r="BQ451">
        <v>0</v>
      </c>
      <c r="BR451">
        <v>270.7</v>
      </c>
      <c r="BS451">
        <v>230.5</v>
      </c>
      <c r="BT451">
        <v>472.3</v>
      </c>
      <c r="BU451">
        <v>537.29999999999995</v>
      </c>
      <c r="BV451">
        <v>346.3</v>
      </c>
      <c r="BW451">
        <v>386.2</v>
      </c>
      <c r="BX451">
        <v>767</v>
      </c>
      <c r="BY451">
        <v>757.2</v>
      </c>
      <c r="BZ451">
        <v>1037.2</v>
      </c>
      <c r="CA451">
        <v>1227.0999999999999</v>
      </c>
      <c r="CB451">
        <v>1232.0999999999999</v>
      </c>
      <c r="CC451">
        <v>1701.5</v>
      </c>
      <c r="CD451">
        <v>0</v>
      </c>
      <c r="CG451">
        <v>1385.3</v>
      </c>
      <c r="CJ451">
        <v>1630.2999999999997</v>
      </c>
      <c r="CM451">
        <v>1184.2</v>
      </c>
      <c r="CO451">
        <v>1248.0999999999999</v>
      </c>
      <c r="CQ451">
        <v>1435.3</v>
      </c>
      <c r="CR451">
        <v>798.2</v>
      </c>
      <c r="CS451">
        <v>923.8</v>
      </c>
      <c r="CT451">
        <v>0</v>
      </c>
      <c r="CU451">
        <v>0</v>
      </c>
      <c r="CV451">
        <v>0</v>
      </c>
      <c r="CW451">
        <v>0</v>
      </c>
      <c r="CX451">
        <v>163.69999999999999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I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M451">
        <v>0</v>
      </c>
      <c r="EN451">
        <v>0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G451" t="e">
        <v>#N/A</v>
      </c>
      <c r="FI451" t="e">
        <v>#N/A</v>
      </c>
      <c r="FK451" t="e">
        <v>#N/A</v>
      </c>
      <c r="FM451" t="e">
        <v>#N/A</v>
      </c>
      <c r="FO451" t="e">
        <v>#N/A</v>
      </c>
      <c r="FQ451" t="e">
        <v>#N/A</v>
      </c>
      <c r="FS451" t="e">
        <v>#N/A</v>
      </c>
      <c r="FU451" t="e">
        <v>#N/A</v>
      </c>
      <c r="FW451" t="e">
        <v>#N/A</v>
      </c>
      <c r="FY451" t="e">
        <v>#N/A</v>
      </c>
      <c r="GA451" t="e">
        <v>#N/A</v>
      </c>
      <c r="GC451" t="e">
        <v>#N/A</v>
      </c>
      <c r="GE451" t="e">
        <v>#N/A</v>
      </c>
      <c r="GG451" t="e">
        <v>#N/A</v>
      </c>
      <c r="GI451" t="e">
        <v>#N/A</v>
      </c>
      <c r="GK451" t="e">
        <v>#N/A</v>
      </c>
      <c r="GM451" t="e">
        <v>#N/A</v>
      </c>
      <c r="GO451" t="e">
        <v>#N/A</v>
      </c>
      <c r="GQ451" t="e">
        <v>#N/A</v>
      </c>
      <c r="GS451" t="e">
        <v>#N/A</v>
      </c>
      <c r="GU451" t="e">
        <v>#N/A</v>
      </c>
      <c r="GW451" t="e">
        <v>#N/A</v>
      </c>
      <c r="GY451" t="e">
        <v>#N/A</v>
      </c>
      <c r="HA451" t="e">
        <v>#N/A</v>
      </c>
      <c r="HC451">
        <v>0</v>
      </c>
      <c r="HD451">
        <v>0</v>
      </c>
      <c r="HE451">
        <v>0</v>
      </c>
      <c r="HF451">
        <v>0</v>
      </c>
      <c r="HG451">
        <v>0</v>
      </c>
      <c r="HH451">
        <v>0</v>
      </c>
      <c r="HI451">
        <v>0</v>
      </c>
      <c r="HJ451">
        <v>0</v>
      </c>
      <c r="HM451">
        <v>0</v>
      </c>
      <c r="HN451">
        <v>0</v>
      </c>
      <c r="HO451">
        <v>0</v>
      </c>
      <c r="HP451">
        <v>0</v>
      </c>
      <c r="HQ451">
        <v>0</v>
      </c>
      <c r="HR451">
        <v>0</v>
      </c>
      <c r="HS451">
        <v>0</v>
      </c>
      <c r="HT451">
        <v>0</v>
      </c>
      <c r="HW451">
        <v>0</v>
      </c>
      <c r="HX451">
        <v>0</v>
      </c>
      <c r="HY451">
        <v>0</v>
      </c>
      <c r="HZ451">
        <v>0</v>
      </c>
      <c r="IA451">
        <v>3930.6</v>
      </c>
      <c r="IB451">
        <v>3632.9</v>
      </c>
      <c r="IC451">
        <v>3795.5</v>
      </c>
      <c r="ID451">
        <v>0</v>
      </c>
      <c r="IE451">
        <v>0</v>
      </c>
      <c r="IF451">
        <v>3548.5</v>
      </c>
      <c r="IG451">
        <v>3395.2</v>
      </c>
      <c r="IH451">
        <v>3395.4</v>
      </c>
      <c r="II451">
        <v>3302.3</v>
      </c>
      <c r="IJ451">
        <v>3172.8</v>
      </c>
      <c r="IK451">
        <v>0</v>
      </c>
      <c r="IL451">
        <v>0</v>
      </c>
      <c r="IM451">
        <v>0</v>
      </c>
      <c r="IN451">
        <v>0</v>
      </c>
      <c r="IO451">
        <v>123.4</v>
      </c>
      <c r="IP451">
        <v>405.2</v>
      </c>
      <c r="IQ451">
        <v>418.7</v>
      </c>
      <c r="IR451">
        <v>0</v>
      </c>
      <c r="IS451">
        <v>0</v>
      </c>
      <c r="IT451">
        <v>0</v>
      </c>
      <c r="IU451">
        <v>0</v>
      </c>
      <c r="IV451">
        <v>396</v>
      </c>
      <c r="IW451">
        <v>0</v>
      </c>
      <c r="IX451">
        <v>0</v>
      </c>
      <c r="IZ451">
        <v>0</v>
      </c>
      <c r="JA451">
        <v>65.5</v>
      </c>
      <c r="JB451">
        <v>443.5</v>
      </c>
      <c r="JC451">
        <v>0</v>
      </c>
      <c r="JD451">
        <v>0</v>
      </c>
      <c r="JE451">
        <v>0</v>
      </c>
      <c r="JF451">
        <v>0</v>
      </c>
      <c r="JG451">
        <v>0</v>
      </c>
      <c r="JH451">
        <v>0</v>
      </c>
      <c r="JI451">
        <v>0</v>
      </c>
      <c r="JJ451">
        <v>0</v>
      </c>
      <c r="JK451">
        <v>0</v>
      </c>
      <c r="JL451">
        <v>0</v>
      </c>
      <c r="JM451">
        <v>0</v>
      </c>
      <c r="JN451">
        <v>0</v>
      </c>
      <c r="JO451">
        <v>0</v>
      </c>
      <c r="JP451">
        <v>0</v>
      </c>
      <c r="JQ451">
        <v>0</v>
      </c>
      <c r="JR451">
        <v>0</v>
      </c>
      <c r="JS451">
        <v>0</v>
      </c>
      <c r="JT451">
        <v>0</v>
      </c>
      <c r="JU451">
        <v>0</v>
      </c>
      <c r="JV451">
        <v>0</v>
      </c>
      <c r="JW451">
        <v>0</v>
      </c>
      <c r="JX451">
        <v>0</v>
      </c>
      <c r="JY451">
        <v>0</v>
      </c>
      <c r="JZ451">
        <v>0</v>
      </c>
      <c r="KA451">
        <v>0</v>
      </c>
      <c r="KB451">
        <v>0</v>
      </c>
      <c r="KC451">
        <v>0</v>
      </c>
      <c r="KD451">
        <v>0</v>
      </c>
      <c r="KE451">
        <v>0</v>
      </c>
      <c r="KF451">
        <v>0</v>
      </c>
      <c r="KI451">
        <v>344.6</v>
      </c>
      <c r="KJ451">
        <v>350.8</v>
      </c>
      <c r="KK451">
        <v>22.1</v>
      </c>
      <c r="KL451">
        <v>379.3</v>
      </c>
      <c r="KM451">
        <v>241.4</v>
      </c>
      <c r="KN451">
        <v>0</v>
      </c>
      <c r="KO451">
        <v>0</v>
      </c>
      <c r="KP451">
        <v>57.3</v>
      </c>
      <c r="KQ451">
        <v>224.4</v>
      </c>
      <c r="KR451">
        <v>338.3</v>
      </c>
      <c r="KS451">
        <v>215.8</v>
      </c>
      <c r="KT451">
        <v>40.700000000000003</v>
      </c>
      <c r="KW451">
        <v>2154.5</v>
      </c>
      <c r="KX451">
        <v>1255.7</v>
      </c>
      <c r="KY451">
        <v>1630.1</v>
      </c>
      <c r="KZ451">
        <v>1246.9000000000001</v>
      </c>
      <c r="LB451">
        <v>78.099999999999994</v>
      </c>
      <c r="LC451">
        <v>77.7</v>
      </c>
    </row>
    <row r="452" spans="1:315" ht="18" thickBot="1">
      <c r="A452" s="245"/>
      <c r="B452" s="245" t="s">
        <v>341</v>
      </c>
      <c r="C452" s="230" t="s">
        <v>714</v>
      </c>
      <c r="D452" s="281"/>
      <c r="E452" s="443">
        <v>0</v>
      </c>
      <c r="F452" s="191">
        <v>0</v>
      </c>
      <c r="G452" s="427">
        <v>3413.8</v>
      </c>
      <c r="H452" s="155"/>
      <c r="I452">
        <v>735</v>
      </c>
      <c r="K452">
        <v>1973.1000000000001</v>
      </c>
      <c r="L452" s="4">
        <v>221.60000000000002</v>
      </c>
      <c r="M452" s="4">
        <v>54.9</v>
      </c>
      <c r="N452" s="4">
        <v>1989.7</v>
      </c>
      <c r="P452">
        <v>0</v>
      </c>
      <c r="Q452">
        <v>238.29999999999998</v>
      </c>
      <c r="R452">
        <v>0</v>
      </c>
      <c r="S452">
        <v>0</v>
      </c>
      <c r="T452">
        <v>368.5</v>
      </c>
      <c r="W452">
        <v>720.3</v>
      </c>
      <c r="X452">
        <v>1411.5</v>
      </c>
      <c r="Y452">
        <v>96.5</v>
      </c>
      <c r="AA452">
        <v>859.6</v>
      </c>
      <c r="AB452">
        <v>1577.6000000000001</v>
      </c>
      <c r="AE452">
        <v>1330</v>
      </c>
      <c r="AF452">
        <v>1025.5</v>
      </c>
      <c r="AH452">
        <v>509.9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1349.3</v>
      </c>
      <c r="AO452">
        <v>786.40000000000009</v>
      </c>
      <c r="AP452">
        <v>0</v>
      </c>
      <c r="AQ452">
        <v>68.3</v>
      </c>
      <c r="AR452">
        <v>234.9</v>
      </c>
      <c r="AS452">
        <v>600.40000000000009</v>
      </c>
      <c r="AU452">
        <v>985.69999999999993</v>
      </c>
      <c r="AW452">
        <v>792</v>
      </c>
      <c r="AX452">
        <v>1988.5</v>
      </c>
      <c r="AZ452">
        <v>763.5</v>
      </c>
      <c r="BA452">
        <v>0</v>
      </c>
      <c r="BB452">
        <v>0</v>
      </c>
      <c r="BC452">
        <v>1935.3</v>
      </c>
      <c r="BD452">
        <v>1006.5</v>
      </c>
      <c r="BE452">
        <v>0</v>
      </c>
      <c r="BF452">
        <v>0</v>
      </c>
      <c r="BG452">
        <v>0</v>
      </c>
      <c r="BH452">
        <v>1662.6</v>
      </c>
      <c r="BJ452">
        <v>0</v>
      </c>
      <c r="BK452">
        <v>0</v>
      </c>
      <c r="BL452">
        <v>1038.9000000000001</v>
      </c>
      <c r="BM452">
        <v>1101</v>
      </c>
      <c r="BO452">
        <v>1276.8000000000002</v>
      </c>
      <c r="BQ452">
        <v>0</v>
      </c>
      <c r="BR452">
        <v>270.7</v>
      </c>
      <c r="BS452">
        <v>230.5</v>
      </c>
      <c r="BT452">
        <v>472.3</v>
      </c>
      <c r="BU452">
        <v>537.29999999999995</v>
      </c>
      <c r="BV452">
        <v>346.3</v>
      </c>
      <c r="BW452">
        <v>386.2</v>
      </c>
      <c r="BX452">
        <v>767</v>
      </c>
      <c r="BY452">
        <v>757.2</v>
      </c>
      <c r="BZ452">
        <v>1037.2</v>
      </c>
      <c r="CA452">
        <v>1227.0999999999999</v>
      </c>
      <c r="CB452">
        <v>1232.0999999999999</v>
      </c>
      <c r="CC452">
        <v>1701.5</v>
      </c>
      <c r="CD452">
        <v>0</v>
      </c>
      <c r="CG452">
        <v>1385.3</v>
      </c>
      <c r="CJ452">
        <v>1630.2999999999997</v>
      </c>
      <c r="CM452">
        <v>1184.2</v>
      </c>
      <c r="CO452">
        <v>1248.0999999999999</v>
      </c>
      <c r="CQ452">
        <v>1435.3</v>
      </c>
      <c r="CR452">
        <v>798.2</v>
      </c>
      <c r="CS452">
        <v>923.8</v>
      </c>
      <c r="CT452">
        <v>0</v>
      </c>
      <c r="CU452">
        <v>0</v>
      </c>
      <c r="CV452">
        <v>0</v>
      </c>
      <c r="CW452">
        <v>0</v>
      </c>
      <c r="CX452">
        <v>163.69999999999999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I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0</v>
      </c>
      <c r="EJ452">
        <v>0</v>
      </c>
      <c r="EM452">
        <v>0</v>
      </c>
      <c r="EN452">
        <v>0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G452" t="e">
        <v>#N/A</v>
      </c>
      <c r="FI452" t="e">
        <v>#N/A</v>
      </c>
      <c r="FK452" t="e">
        <v>#N/A</v>
      </c>
      <c r="FM452" t="e">
        <v>#N/A</v>
      </c>
      <c r="FO452" t="e">
        <v>#N/A</v>
      </c>
      <c r="FQ452" t="e">
        <v>#N/A</v>
      </c>
      <c r="FS452" t="e">
        <v>#N/A</v>
      </c>
      <c r="FU452" t="e">
        <v>#N/A</v>
      </c>
      <c r="FW452" t="e">
        <v>#N/A</v>
      </c>
      <c r="FY452" t="e">
        <v>#N/A</v>
      </c>
      <c r="GA452" t="e">
        <v>#N/A</v>
      </c>
      <c r="GC452" t="e">
        <v>#N/A</v>
      </c>
      <c r="GE452" t="e">
        <v>#N/A</v>
      </c>
      <c r="GG452" t="e">
        <v>#N/A</v>
      </c>
      <c r="GI452" t="e">
        <v>#N/A</v>
      </c>
      <c r="GK452" t="e">
        <v>#N/A</v>
      </c>
      <c r="GM452" t="e">
        <v>#N/A</v>
      </c>
      <c r="GO452" t="e">
        <v>#N/A</v>
      </c>
      <c r="GQ452" t="e">
        <v>#N/A</v>
      </c>
      <c r="GS452" t="e">
        <v>#N/A</v>
      </c>
      <c r="GU452" t="e">
        <v>#N/A</v>
      </c>
      <c r="GW452" t="e">
        <v>#N/A</v>
      </c>
      <c r="GY452" t="e">
        <v>#N/A</v>
      </c>
      <c r="HA452" t="e">
        <v>#N/A</v>
      </c>
      <c r="HC452">
        <v>0</v>
      </c>
      <c r="HD452">
        <v>0</v>
      </c>
      <c r="HE452">
        <v>0</v>
      </c>
      <c r="HF452">
        <v>0</v>
      </c>
      <c r="HG452">
        <v>0</v>
      </c>
      <c r="HH452">
        <v>0</v>
      </c>
      <c r="HI452">
        <v>0</v>
      </c>
      <c r="HJ452">
        <v>0</v>
      </c>
      <c r="HM452">
        <v>0</v>
      </c>
      <c r="HN452">
        <v>0</v>
      </c>
      <c r="HO452">
        <v>0</v>
      </c>
      <c r="HP452">
        <v>0</v>
      </c>
      <c r="HQ452">
        <v>0</v>
      </c>
      <c r="HR452">
        <v>0</v>
      </c>
      <c r="HS452">
        <v>0</v>
      </c>
      <c r="HT452">
        <v>0</v>
      </c>
      <c r="HW452">
        <v>0</v>
      </c>
      <c r="HX452">
        <v>0</v>
      </c>
      <c r="HY452">
        <v>0</v>
      </c>
      <c r="HZ452">
        <v>0</v>
      </c>
      <c r="IA452">
        <v>3930.6</v>
      </c>
      <c r="IB452">
        <v>3632.9</v>
      </c>
      <c r="IC452">
        <v>3795.5</v>
      </c>
      <c r="ID452">
        <v>0</v>
      </c>
      <c r="IE452">
        <v>0</v>
      </c>
      <c r="IF452">
        <v>3548.5</v>
      </c>
      <c r="IG452">
        <v>3395.2</v>
      </c>
      <c r="IH452">
        <v>3395.4</v>
      </c>
      <c r="II452">
        <v>3302.3</v>
      </c>
      <c r="IJ452">
        <v>3172.8</v>
      </c>
      <c r="IK452">
        <v>0</v>
      </c>
      <c r="IL452">
        <v>0</v>
      </c>
      <c r="IM452">
        <v>0</v>
      </c>
      <c r="IN452">
        <v>0</v>
      </c>
      <c r="IO452">
        <v>123.4</v>
      </c>
      <c r="IP452">
        <v>405.2</v>
      </c>
      <c r="IQ452">
        <v>418.7</v>
      </c>
      <c r="IR452">
        <v>0</v>
      </c>
      <c r="IS452">
        <v>0</v>
      </c>
      <c r="IT452">
        <v>0</v>
      </c>
      <c r="IU452">
        <v>0</v>
      </c>
      <c r="IV452">
        <v>396</v>
      </c>
      <c r="IW452">
        <v>0</v>
      </c>
      <c r="IX452">
        <v>0</v>
      </c>
      <c r="IZ452">
        <v>0</v>
      </c>
      <c r="JA452">
        <v>65.5</v>
      </c>
      <c r="JB452">
        <v>443.5</v>
      </c>
      <c r="JC452">
        <v>0</v>
      </c>
      <c r="JD452">
        <v>0</v>
      </c>
      <c r="JE452">
        <v>0</v>
      </c>
      <c r="JF452">
        <v>0</v>
      </c>
      <c r="JG452">
        <v>0</v>
      </c>
      <c r="JH452">
        <v>0</v>
      </c>
      <c r="JI452">
        <v>0</v>
      </c>
      <c r="JJ452">
        <v>0</v>
      </c>
      <c r="JK452">
        <v>0</v>
      </c>
      <c r="JL452">
        <v>0</v>
      </c>
      <c r="JM452">
        <v>0</v>
      </c>
      <c r="JN452">
        <v>0</v>
      </c>
      <c r="JO452">
        <v>0</v>
      </c>
      <c r="JP452">
        <v>0</v>
      </c>
      <c r="JQ452">
        <v>0</v>
      </c>
      <c r="JR452">
        <v>0</v>
      </c>
      <c r="JS452">
        <v>0</v>
      </c>
      <c r="JT452">
        <v>0</v>
      </c>
      <c r="JU452">
        <v>0</v>
      </c>
      <c r="JV452">
        <v>0</v>
      </c>
      <c r="JW452">
        <v>0</v>
      </c>
      <c r="JX452">
        <v>0</v>
      </c>
      <c r="JY452">
        <v>0</v>
      </c>
      <c r="JZ452">
        <v>0</v>
      </c>
      <c r="KA452">
        <v>0</v>
      </c>
      <c r="KB452">
        <v>0</v>
      </c>
      <c r="KC452">
        <v>0</v>
      </c>
      <c r="KD452">
        <v>0</v>
      </c>
      <c r="KE452">
        <v>0</v>
      </c>
      <c r="KF452">
        <v>0</v>
      </c>
      <c r="KI452">
        <v>344.6</v>
      </c>
      <c r="KJ452">
        <v>350.8</v>
      </c>
      <c r="KK452">
        <v>22.1</v>
      </c>
      <c r="KL452">
        <v>379.3</v>
      </c>
      <c r="KM452">
        <v>241.4</v>
      </c>
      <c r="KN452">
        <v>0</v>
      </c>
      <c r="KO452">
        <v>0</v>
      </c>
      <c r="KP452">
        <v>57.3</v>
      </c>
      <c r="KQ452">
        <v>224.4</v>
      </c>
      <c r="KR452">
        <v>338.3</v>
      </c>
      <c r="KS452">
        <v>215.8</v>
      </c>
      <c r="KT452">
        <v>40.700000000000003</v>
      </c>
      <c r="KW452">
        <v>2154.5</v>
      </c>
      <c r="KX452">
        <v>1255.7</v>
      </c>
      <c r="KY452">
        <v>1630.1</v>
      </c>
      <c r="KZ452">
        <v>1246.9000000000001</v>
      </c>
      <c r="LB452">
        <v>78.099999999999994</v>
      </c>
      <c r="LC452">
        <v>77.7</v>
      </c>
    </row>
    <row r="453" spans="1:315" ht="18" thickBot="1">
      <c r="A453" s="245"/>
      <c r="B453" s="245" t="s">
        <v>342</v>
      </c>
      <c r="C453" s="230" t="s">
        <v>715</v>
      </c>
      <c r="D453" s="281"/>
      <c r="E453" s="443">
        <v>0</v>
      </c>
      <c r="F453" s="191">
        <v>0</v>
      </c>
      <c r="G453" s="427">
        <v>3413.8</v>
      </c>
      <c r="H453" s="155"/>
      <c r="I453">
        <v>735</v>
      </c>
      <c r="K453">
        <v>1973.1000000000001</v>
      </c>
      <c r="L453" s="4">
        <v>221.60000000000002</v>
      </c>
      <c r="M453" s="4">
        <v>54.9</v>
      </c>
      <c r="N453" s="4">
        <v>1989.7</v>
      </c>
      <c r="P453">
        <v>0</v>
      </c>
      <c r="Q453">
        <v>238.29999999999998</v>
      </c>
      <c r="R453">
        <v>0</v>
      </c>
      <c r="S453">
        <v>0</v>
      </c>
      <c r="T453">
        <v>368.5</v>
      </c>
      <c r="W453">
        <v>720.3</v>
      </c>
      <c r="X453">
        <v>1411.5</v>
      </c>
      <c r="Y453">
        <v>96.5</v>
      </c>
      <c r="AA453">
        <v>859.6</v>
      </c>
      <c r="AB453">
        <v>1577.6000000000001</v>
      </c>
      <c r="AE453">
        <v>1330</v>
      </c>
      <c r="AF453">
        <v>1025.5</v>
      </c>
      <c r="AH453">
        <v>509.9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1349.3</v>
      </c>
      <c r="AO453">
        <v>786.40000000000009</v>
      </c>
      <c r="AP453">
        <v>0</v>
      </c>
      <c r="AQ453">
        <v>68.3</v>
      </c>
      <c r="AR453">
        <v>234.9</v>
      </c>
      <c r="AS453">
        <v>600.40000000000009</v>
      </c>
      <c r="AU453">
        <v>985.69999999999993</v>
      </c>
      <c r="AW453">
        <v>792</v>
      </c>
      <c r="AX453">
        <v>1988.5</v>
      </c>
      <c r="AZ453">
        <v>763.5</v>
      </c>
      <c r="BA453">
        <v>0</v>
      </c>
      <c r="BB453">
        <v>0</v>
      </c>
      <c r="BC453">
        <v>1935.3</v>
      </c>
      <c r="BD453">
        <v>1006.5</v>
      </c>
      <c r="BE453">
        <v>0</v>
      </c>
      <c r="BF453">
        <v>0</v>
      </c>
      <c r="BG453">
        <v>0</v>
      </c>
      <c r="BH453">
        <v>1662.6</v>
      </c>
      <c r="BJ453">
        <v>0</v>
      </c>
      <c r="BK453">
        <v>0</v>
      </c>
      <c r="BL453">
        <v>1038.9000000000001</v>
      </c>
      <c r="BM453">
        <v>1101</v>
      </c>
      <c r="BO453">
        <v>1276.8000000000002</v>
      </c>
      <c r="BQ453">
        <v>0</v>
      </c>
      <c r="BR453">
        <v>270.7</v>
      </c>
      <c r="BS453">
        <v>230.5</v>
      </c>
      <c r="BT453">
        <v>472.3</v>
      </c>
      <c r="BU453">
        <v>537.29999999999995</v>
      </c>
      <c r="BV453">
        <v>346.3</v>
      </c>
      <c r="BW453">
        <v>386.2</v>
      </c>
      <c r="BX453">
        <v>767</v>
      </c>
      <c r="BY453">
        <v>757.2</v>
      </c>
      <c r="BZ453">
        <v>1037.2</v>
      </c>
      <c r="CA453">
        <v>1227.0999999999999</v>
      </c>
      <c r="CB453">
        <v>1232.0999999999999</v>
      </c>
      <c r="CC453">
        <v>1701.5</v>
      </c>
      <c r="CD453">
        <v>0</v>
      </c>
      <c r="CG453">
        <v>1385.3</v>
      </c>
      <c r="CJ453">
        <v>1630.2999999999997</v>
      </c>
      <c r="CM453">
        <v>1184.2</v>
      </c>
      <c r="CO453">
        <v>1248.0999999999999</v>
      </c>
      <c r="CQ453">
        <v>1435.3</v>
      </c>
      <c r="CR453">
        <v>798.2</v>
      </c>
      <c r="CS453">
        <v>923.8</v>
      </c>
      <c r="CT453">
        <v>0</v>
      </c>
      <c r="CU453">
        <v>0</v>
      </c>
      <c r="CV453">
        <v>0</v>
      </c>
      <c r="CW453">
        <v>0</v>
      </c>
      <c r="CX453">
        <v>163.69999999999999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I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  <c r="EI453">
        <v>0</v>
      </c>
      <c r="EJ453">
        <v>0</v>
      </c>
      <c r="EM453">
        <v>0</v>
      </c>
      <c r="EN453">
        <v>0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G453" t="e">
        <v>#N/A</v>
      </c>
      <c r="FI453" t="e">
        <v>#N/A</v>
      </c>
      <c r="FK453" t="e">
        <v>#N/A</v>
      </c>
      <c r="FM453" t="e">
        <v>#N/A</v>
      </c>
      <c r="FO453" t="e">
        <v>#N/A</v>
      </c>
      <c r="FQ453" t="e">
        <v>#N/A</v>
      </c>
      <c r="FS453" t="e">
        <v>#N/A</v>
      </c>
      <c r="FU453" t="e">
        <v>#N/A</v>
      </c>
      <c r="FW453" t="e">
        <v>#N/A</v>
      </c>
      <c r="FY453" t="e">
        <v>#N/A</v>
      </c>
      <c r="GA453" t="e">
        <v>#N/A</v>
      </c>
      <c r="GC453" t="e">
        <v>#N/A</v>
      </c>
      <c r="GE453" t="e">
        <v>#N/A</v>
      </c>
      <c r="GG453" t="e">
        <v>#N/A</v>
      </c>
      <c r="GI453" t="e">
        <v>#N/A</v>
      </c>
      <c r="GK453" t="e">
        <v>#N/A</v>
      </c>
      <c r="GM453" t="e">
        <v>#N/A</v>
      </c>
      <c r="GO453" t="e">
        <v>#N/A</v>
      </c>
      <c r="GQ453" t="e">
        <v>#N/A</v>
      </c>
      <c r="GS453" t="e">
        <v>#N/A</v>
      </c>
      <c r="GU453" t="e">
        <v>#N/A</v>
      </c>
      <c r="GW453" t="e">
        <v>#N/A</v>
      </c>
      <c r="GY453" t="e">
        <v>#N/A</v>
      </c>
      <c r="HA453" t="e">
        <v>#N/A</v>
      </c>
      <c r="HC453">
        <v>0</v>
      </c>
      <c r="HD453">
        <v>0</v>
      </c>
      <c r="HE453">
        <v>0</v>
      </c>
      <c r="HF453">
        <v>0</v>
      </c>
      <c r="HG453">
        <v>0</v>
      </c>
      <c r="HH453">
        <v>0</v>
      </c>
      <c r="HI453">
        <v>0</v>
      </c>
      <c r="HJ453">
        <v>0</v>
      </c>
      <c r="HM453">
        <v>0</v>
      </c>
      <c r="HN453">
        <v>0</v>
      </c>
      <c r="HO453">
        <v>0</v>
      </c>
      <c r="HP453">
        <v>0</v>
      </c>
      <c r="HQ453">
        <v>0</v>
      </c>
      <c r="HR453">
        <v>0</v>
      </c>
      <c r="HS453">
        <v>0</v>
      </c>
      <c r="HT453">
        <v>0</v>
      </c>
      <c r="HW453">
        <v>0</v>
      </c>
      <c r="HX453">
        <v>0</v>
      </c>
      <c r="HY453">
        <v>0</v>
      </c>
      <c r="HZ453">
        <v>0</v>
      </c>
      <c r="IA453">
        <v>3930.6</v>
      </c>
      <c r="IB453">
        <v>3632.9</v>
      </c>
      <c r="IC453">
        <v>3795.5</v>
      </c>
      <c r="ID453">
        <v>0</v>
      </c>
      <c r="IE453">
        <v>0</v>
      </c>
      <c r="IF453">
        <v>3548.5</v>
      </c>
      <c r="IG453">
        <v>3395.2</v>
      </c>
      <c r="IH453">
        <v>3395.4</v>
      </c>
      <c r="II453">
        <v>3302.3</v>
      </c>
      <c r="IJ453">
        <v>3172.8</v>
      </c>
      <c r="IK453">
        <v>0</v>
      </c>
      <c r="IL453">
        <v>0</v>
      </c>
      <c r="IM453">
        <v>0</v>
      </c>
      <c r="IN453">
        <v>0</v>
      </c>
      <c r="IO453">
        <v>123.4</v>
      </c>
      <c r="IP453">
        <v>405.2</v>
      </c>
      <c r="IQ453">
        <v>418.7</v>
      </c>
      <c r="IR453">
        <v>0</v>
      </c>
      <c r="IS453">
        <v>0</v>
      </c>
      <c r="IT453">
        <v>0</v>
      </c>
      <c r="IU453">
        <v>0</v>
      </c>
      <c r="IV453">
        <v>396</v>
      </c>
      <c r="IW453">
        <v>0</v>
      </c>
      <c r="IX453">
        <v>0</v>
      </c>
      <c r="IZ453">
        <v>0</v>
      </c>
      <c r="JA453">
        <v>65.5</v>
      </c>
      <c r="JB453">
        <v>443.5</v>
      </c>
      <c r="JC453">
        <v>0</v>
      </c>
      <c r="JD453">
        <v>0</v>
      </c>
      <c r="JE453">
        <v>0</v>
      </c>
      <c r="JF453">
        <v>0</v>
      </c>
      <c r="JG453">
        <v>0</v>
      </c>
      <c r="JH453">
        <v>0</v>
      </c>
      <c r="JI453">
        <v>0</v>
      </c>
      <c r="JJ453">
        <v>0</v>
      </c>
      <c r="JK453">
        <v>0</v>
      </c>
      <c r="JL453">
        <v>0</v>
      </c>
      <c r="JM453">
        <v>0</v>
      </c>
      <c r="JN453">
        <v>0</v>
      </c>
      <c r="JO453">
        <v>0</v>
      </c>
      <c r="JP453">
        <v>0</v>
      </c>
      <c r="JQ453">
        <v>0</v>
      </c>
      <c r="JR453">
        <v>0</v>
      </c>
      <c r="JS453">
        <v>0</v>
      </c>
      <c r="JT453">
        <v>0</v>
      </c>
      <c r="JU453">
        <v>0</v>
      </c>
      <c r="JV453">
        <v>0</v>
      </c>
      <c r="JW453">
        <v>0</v>
      </c>
      <c r="JX453">
        <v>0</v>
      </c>
      <c r="JY453">
        <v>0</v>
      </c>
      <c r="JZ453">
        <v>0</v>
      </c>
      <c r="KA453">
        <v>0</v>
      </c>
      <c r="KB453">
        <v>0</v>
      </c>
      <c r="KC453">
        <v>0</v>
      </c>
      <c r="KD453">
        <v>0</v>
      </c>
      <c r="KE453">
        <v>0</v>
      </c>
      <c r="KF453">
        <v>0</v>
      </c>
      <c r="KI453">
        <v>344.6</v>
      </c>
      <c r="KJ453">
        <v>350.8</v>
      </c>
      <c r="KK453">
        <v>22.1</v>
      </c>
      <c r="KL453">
        <v>379.3</v>
      </c>
      <c r="KM453">
        <v>241.4</v>
      </c>
      <c r="KN453">
        <v>0</v>
      </c>
      <c r="KO453">
        <v>0</v>
      </c>
      <c r="KP453">
        <v>57.3</v>
      </c>
      <c r="KQ453">
        <v>224.4</v>
      </c>
      <c r="KR453">
        <v>338.3</v>
      </c>
      <c r="KS453">
        <v>215.8</v>
      </c>
      <c r="KT453">
        <v>40.700000000000003</v>
      </c>
      <c r="KW453">
        <v>2154.5</v>
      </c>
      <c r="KX453">
        <v>1255.7</v>
      </c>
      <c r="KY453">
        <v>1630.1</v>
      </c>
      <c r="KZ453">
        <v>1246.9000000000001</v>
      </c>
      <c r="LB453">
        <v>78.099999999999994</v>
      </c>
      <c r="LC453">
        <v>77.7</v>
      </c>
    </row>
    <row r="454" spans="1:315" ht="18" thickBot="1">
      <c r="A454" s="245"/>
      <c r="B454" s="245" t="s">
        <v>343</v>
      </c>
      <c r="C454" s="230" t="s">
        <v>716</v>
      </c>
      <c r="D454" s="281"/>
      <c r="E454" s="443">
        <v>0</v>
      </c>
      <c r="F454" s="191">
        <v>0</v>
      </c>
      <c r="G454" s="427">
        <v>3413.8</v>
      </c>
      <c r="H454" s="155"/>
      <c r="I454">
        <v>735</v>
      </c>
      <c r="K454">
        <v>1973.1000000000001</v>
      </c>
      <c r="L454" s="4">
        <v>221.60000000000002</v>
      </c>
      <c r="M454" s="4">
        <v>54.9</v>
      </c>
      <c r="N454" s="4">
        <v>1989.7</v>
      </c>
      <c r="P454">
        <v>0</v>
      </c>
      <c r="Q454">
        <v>238.29999999999998</v>
      </c>
      <c r="R454">
        <v>0</v>
      </c>
      <c r="S454">
        <v>0</v>
      </c>
      <c r="T454">
        <v>368.5</v>
      </c>
      <c r="W454">
        <v>720.3</v>
      </c>
      <c r="X454">
        <v>1411.5</v>
      </c>
      <c r="Y454">
        <v>96.5</v>
      </c>
      <c r="AA454">
        <v>859.6</v>
      </c>
      <c r="AB454">
        <v>1577.6000000000001</v>
      </c>
      <c r="AE454">
        <v>1330</v>
      </c>
      <c r="AF454">
        <v>1025.5</v>
      </c>
      <c r="AH454">
        <v>509.9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1349.3</v>
      </c>
      <c r="AO454">
        <v>786.40000000000009</v>
      </c>
      <c r="AP454">
        <v>0</v>
      </c>
      <c r="AQ454">
        <v>68.3</v>
      </c>
      <c r="AR454">
        <v>234.9</v>
      </c>
      <c r="AS454">
        <v>600.40000000000009</v>
      </c>
      <c r="AU454">
        <v>985.69999999999993</v>
      </c>
      <c r="AW454">
        <v>792</v>
      </c>
      <c r="AX454">
        <v>1988.5</v>
      </c>
      <c r="AZ454">
        <v>763.5</v>
      </c>
      <c r="BA454">
        <v>0</v>
      </c>
      <c r="BB454">
        <v>0</v>
      </c>
      <c r="BC454">
        <v>1935.3</v>
      </c>
      <c r="BD454">
        <v>1006.5</v>
      </c>
      <c r="BE454">
        <v>0</v>
      </c>
      <c r="BF454">
        <v>0</v>
      </c>
      <c r="BG454">
        <v>0</v>
      </c>
      <c r="BH454">
        <v>1662.6</v>
      </c>
      <c r="BJ454">
        <v>0</v>
      </c>
      <c r="BK454">
        <v>0</v>
      </c>
      <c r="BL454">
        <v>1038.9000000000001</v>
      </c>
      <c r="BM454">
        <v>1101</v>
      </c>
      <c r="BO454">
        <v>1276.8000000000002</v>
      </c>
      <c r="BQ454">
        <v>0</v>
      </c>
      <c r="BR454">
        <v>270.7</v>
      </c>
      <c r="BS454">
        <v>230.5</v>
      </c>
      <c r="BT454">
        <v>472.3</v>
      </c>
      <c r="BU454">
        <v>537.29999999999995</v>
      </c>
      <c r="BV454">
        <v>346.3</v>
      </c>
      <c r="BW454">
        <v>386.2</v>
      </c>
      <c r="BX454">
        <v>767</v>
      </c>
      <c r="BY454">
        <v>757.2</v>
      </c>
      <c r="BZ454">
        <v>1037.2</v>
      </c>
      <c r="CA454">
        <v>1227.0999999999999</v>
      </c>
      <c r="CB454">
        <v>1232.0999999999999</v>
      </c>
      <c r="CC454">
        <v>1701.5</v>
      </c>
      <c r="CD454">
        <v>0</v>
      </c>
      <c r="CG454">
        <v>1385.3</v>
      </c>
      <c r="CJ454">
        <v>1630.2999999999997</v>
      </c>
      <c r="CM454">
        <v>1184.2</v>
      </c>
      <c r="CO454">
        <v>1248.0999999999999</v>
      </c>
      <c r="CQ454">
        <v>1435.3</v>
      </c>
      <c r="CR454">
        <v>798.2</v>
      </c>
      <c r="CS454">
        <v>923.8</v>
      </c>
      <c r="CT454">
        <v>0</v>
      </c>
      <c r="CU454">
        <v>0</v>
      </c>
      <c r="CV454">
        <v>0</v>
      </c>
      <c r="CW454">
        <v>0</v>
      </c>
      <c r="CX454">
        <v>163.69999999999999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0</v>
      </c>
      <c r="DI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M454">
        <v>0</v>
      </c>
      <c r="EN454">
        <v>0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G454" t="e">
        <v>#N/A</v>
      </c>
      <c r="FI454" t="e">
        <v>#N/A</v>
      </c>
      <c r="FK454" t="e">
        <v>#N/A</v>
      </c>
      <c r="FM454" t="e">
        <v>#N/A</v>
      </c>
      <c r="FO454" t="e">
        <v>#N/A</v>
      </c>
      <c r="FQ454" t="e">
        <v>#N/A</v>
      </c>
      <c r="FS454" t="e">
        <v>#N/A</v>
      </c>
      <c r="FU454" t="e">
        <v>#N/A</v>
      </c>
      <c r="FW454" t="e">
        <v>#N/A</v>
      </c>
      <c r="FY454" t="e">
        <v>#N/A</v>
      </c>
      <c r="GA454" t="e">
        <v>#N/A</v>
      </c>
      <c r="GC454" t="e">
        <v>#N/A</v>
      </c>
      <c r="GE454" t="e">
        <v>#N/A</v>
      </c>
      <c r="GG454" t="e">
        <v>#N/A</v>
      </c>
      <c r="GI454" t="e">
        <v>#N/A</v>
      </c>
      <c r="GK454" t="e">
        <v>#N/A</v>
      </c>
      <c r="GM454" t="e">
        <v>#N/A</v>
      </c>
      <c r="GO454" t="e">
        <v>#N/A</v>
      </c>
      <c r="GQ454" t="e">
        <v>#N/A</v>
      </c>
      <c r="GS454" t="e">
        <v>#N/A</v>
      </c>
      <c r="GU454" t="e">
        <v>#N/A</v>
      </c>
      <c r="GW454" t="e">
        <v>#N/A</v>
      </c>
      <c r="GY454" t="e">
        <v>#N/A</v>
      </c>
      <c r="HA454" t="e">
        <v>#N/A</v>
      </c>
      <c r="HC454">
        <v>0</v>
      </c>
      <c r="HD454">
        <v>0</v>
      </c>
      <c r="HE454">
        <v>0</v>
      </c>
      <c r="HF454">
        <v>0</v>
      </c>
      <c r="HG454">
        <v>0</v>
      </c>
      <c r="HH454">
        <v>0</v>
      </c>
      <c r="HI454">
        <v>0</v>
      </c>
      <c r="HJ454">
        <v>0</v>
      </c>
      <c r="HM454">
        <v>0</v>
      </c>
      <c r="HN454">
        <v>0</v>
      </c>
      <c r="HO454">
        <v>0</v>
      </c>
      <c r="HP454">
        <v>0</v>
      </c>
      <c r="HQ454">
        <v>0</v>
      </c>
      <c r="HR454">
        <v>0</v>
      </c>
      <c r="HS454">
        <v>0</v>
      </c>
      <c r="HT454">
        <v>0</v>
      </c>
      <c r="HW454">
        <v>0</v>
      </c>
      <c r="HX454">
        <v>0</v>
      </c>
      <c r="HY454">
        <v>0</v>
      </c>
      <c r="HZ454">
        <v>0</v>
      </c>
      <c r="IA454">
        <v>3930.6</v>
      </c>
      <c r="IB454">
        <v>3632.9</v>
      </c>
      <c r="IC454">
        <v>3795.5</v>
      </c>
      <c r="ID454">
        <v>0</v>
      </c>
      <c r="IE454">
        <v>0</v>
      </c>
      <c r="IF454">
        <v>3548.5</v>
      </c>
      <c r="IG454">
        <v>3395.2</v>
      </c>
      <c r="IH454">
        <v>3395.4</v>
      </c>
      <c r="II454">
        <v>3302.3</v>
      </c>
      <c r="IJ454">
        <v>3172.8</v>
      </c>
      <c r="IK454">
        <v>0</v>
      </c>
      <c r="IL454">
        <v>0</v>
      </c>
      <c r="IM454">
        <v>0</v>
      </c>
      <c r="IN454">
        <v>0</v>
      </c>
      <c r="IO454">
        <v>123.4</v>
      </c>
      <c r="IP454">
        <v>405.2</v>
      </c>
      <c r="IQ454">
        <v>418.7</v>
      </c>
      <c r="IR454">
        <v>0</v>
      </c>
      <c r="IS454">
        <v>0</v>
      </c>
      <c r="IT454">
        <v>0</v>
      </c>
      <c r="IU454">
        <v>0</v>
      </c>
      <c r="IV454">
        <v>396</v>
      </c>
      <c r="IW454">
        <v>0</v>
      </c>
      <c r="IX454">
        <v>0</v>
      </c>
      <c r="IZ454">
        <v>0</v>
      </c>
      <c r="JA454">
        <v>65.5</v>
      </c>
      <c r="JB454">
        <v>443.5</v>
      </c>
      <c r="JC454">
        <v>0</v>
      </c>
      <c r="JD454">
        <v>0</v>
      </c>
      <c r="JE454">
        <v>0</v>
      </c>
      <c r="JF454">
        <v>0</v>
      </c>
      <c r="JG454">
        <v>0</v>
      </c>
      <c r="JH454">
        <v>0</v>
      </c>
      <c r="JI454">
        <v>0</v>
      </c>
      <c r="JJ454">
        <v>0</v>
      </c>
      <c r="JK454">
        <v>0</v>
      </c>
      <c r="JL454">
        <v>0</v>
      </c>
      <c r="JM454">
        <v>0</v>
      </c>
      <c r="JN454">
        <v>0</v>
      </c>
      <c r="JO454">
        <v>0</v>
      </c>
      <c r="JP454">
        <v>0</v>
      </c>
      <c r="JQ454">
        <v>0</v>
      </c>
      <c r="JR454">
        <v>0</v>
      </c>
      <c r="JS454">
        <v>0</v>
      </c>
      <c r="JT454">
        <v>0</v>
      </c>
      <c r="JU454">
        <v>0</v>
      </c>
      <c r="JV454">
        <v>0</v>
      </c>
      <c r="JW454">
        <v>0</v>
      </c>
      <c r="JX454">
        <v>0</v>
      </c>
      <c r="JY454">
        <v>0</v>
      </c>
      <c r="JZ454">
        <v>0</v>
      </c>
      <c r="KA454">
        <v>0</v>
      </c>
      <c r="KB454">
        <v>0</v>
      </c>
      <c r="KC454">
        <v>0</v>
      </c>
      <c r="KD454">
        <v>0</v>
      </c>
      <c r="KE454">
        <v>0</v>
      </c>
      <c r="KF454">
        <v>0</v>
      </c>
      <c r="KI454">
        <v>344.6</v>
      </c>
      <c r="KJ454">
        <v>350.8</v>
      </c>
      <c r="KK454">
        <v>22.1</v>
      </c>
      <c r="KL454">
        <v>379.3</v>
      </c>
      <c r="KM454">
        <v>241.4</v>
      </c>
      <c r="KN454">
        <v>0</v>
      </c>
      <c r="KO454">
        <v>0</v>
      </c>
      <c r="KP454">
        <v>57.3</v>
      </c>
      <c r="KQ454">
        <v>224.4</v>
      </c>
      <c r="KR454">
        <v>338.3</v>
      </c>
      <c r="KS454">
        <v>215.8</v>
      </c>
      <c r="KT454">
        <v>40.700000000000003</v>
      </c>
      <c r="KW454">
        <v>2154.5</v>
      </c>
      <c r="KX454">
        <v>1255.7</v>
      </c>
      <c r="KY454">
        <v>1630.1</v>
      </c>
      <c r="KZ454">
        <v>1246.9000000000001</v>
      </c>
      <c r="LB454">
        <v>78.099999999999994</v>
      </c>
      <c r="LC454">
        <v>77.7</v>
      </c>
    </row>
    <row r="455" spans="1:315" ht="18" thickBot="1">
      <c r="A455" s="245"/>
      <c r="B455" s="245" t="s">
        <v>344</v>
      </c>
      <c r="C455" s="230" t="s">
        <v>717</v>
      </c>
      <c r="D455" s="281"/>
      <c r="E455" s="443">
        <v>0</v>
      </c>
      <c r="F455" s="191">
        <v>0</v>
      </c>
      <c r="G455" s="427">
        <v>3413.8</v>
      </c>
      <c r="H455" s="155"/>
      <c r="I455">
        <v>735</v>
      </c>
      <c r="K455">
        <v>1973.1000000000001</v>
      </c>
      <c r="L455" s="4">
        <v>221.60000000000002</v>
      </c>
      <c r="M455" s="4">
        <v>54.9</v>
      </c>
      <c r="N455" s="4">
        <v>1989.7</v>
      </c>
      <c r="P455">
        <v>0</v>
      </c>
      <c r="Q455">
        <v>238.29999999999998</v>
      </c>
      <c r="R455">
        <v>0</v>
      </c>
      <c r="S455">
        <v>0</v>
      </c>
      <c r="T455">
        <v>368.5</v>
      </c>
      <c r="W455">
        <v>720.3</v>
      </c>
      <c r="X455">
        <v>1411.5</v>
      </c>
      <c r="Y455">
        <v>96.5</v>
      </c>
      <c r="AA455">
        <v>859.6</v>
      </c>
      <c r="AB455">
        <v>1577.6000000000001</v>
      </c>
      <c r="AE455">
        <v>1330</v>
      </c>
      <c r="AF455">
        <v>1025.5</v>
      </c>
      <c r="AH455">
        <v>509.9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1349.3</v>
      </c>
      <c r="AO455">
        <v>786.40000000000009</v>
      </c>
      <c r="AP455">
        <v>0</v>
      </c>
      <c r="AQ455">
        <v>68.3</v>
      </c>
      <c r="AR455">
        <v>234.9</v>
      </c>
      <c r="AS455">
        <v>600.40000000000009</v>
      </c>
      <c r="AU455">
        <v>985.69999999999993</v>
      </c>
      <c r="AW455">
        <v>792</v>
      </c>
      <c r="AX455">
        <v>1988.5</v>
      </c>
      <c r="AZ455">
        <v>763.5</v>
      </c>
      <c r="BA455">
        <v>0</v>
      </c>
      <c r="BB455">
        <v>0</v>
      </c>
      <c r="BC455">
        <v>1935.3</v>
      </c>
      <c r="BD455">
        <v>1006.5</v>
      </c>
      <c r="BE455">
        <v>0</v>
      </c>
      <c r="BF455">
        <v>0</v>
      </c>
      <c r="BG455">
        <v>0</v>
      </c>
      <c r="BH455">
        <v>1662.6</v>
      </c>
      <c r="BJ455">
        <v>0</v>
      </c>
      <c r="BK455">
        <v>0</v>
      </c>
      <c r="BL455">
        <v>1038.9000000000001</v>
      </c>
      <c r="BM455">
        <v>1101</v>
      </c>
      <c r="BO455">
        <v>1276.8000000000002</v>
      </c>
      <c r="BQ455">
        <v>0</v>
      </c>
      <c r="BR455">
        <v>270.7</v>
      </c>
      <c r="BS455">
        <v>230.5</v>
      </c>
      <c r="BT455">
        <v>472.3</v>
      </c>
      <c r="BU455">
        <v>537.29999999999995</v>
      </c>
      <c r="BV455">
        <v>346.3</v>
      </c>
      <c r="BW455">
        <v>386.2</v>
      </c>
      <c r="BX455">
        <v>767</v>
      </c>
      <c r="BY455">
        <v>757.2</v>
      </c>
      <c r="BZ455">
        <v>1037.2</v>
      </c>
      <c r="CA455">
        <v>1227.0999999999999</v>
      </c>
      <c r="CB455">
        <v>1232.0999999999999</v>
      </c>
      <c r="CC455">
        <v>1701.5</v>
      </c>
      <c r="CD455">
        <v>0</v>
      </c>
      <c r="CG455">
        <v>1385.3</v>
      </c>
      <c r="CJ455">
        <v>1630.2999999999997</v>
      </c>
      <c r="CM455">
        <v>1184.2</v>
      </c>
      <c r="CO455">
        <v>1248.0999999999999</v>
      </c>
      <c r="CQ455">
        <v>1435.3</v>
      </c>
      <c r="CR455">
        <v>798.2</v>
      </c>
      <c r="CS455">
        <v>923.8</v>
      </c>
      <c r="CT455">
        <v>0</v>
      </c>
      <c r="CU455">
        <v>0</v>
      </c>
      <c r="CV455">
        <v>0</v>
      </c>
      <c r="CW455">
        <v>0</v>
      </c>
      <c r="CX455">
        <v>163.69999999999999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I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G455" t="e">
        <v>#N/A</v>
      </c>
      <c r="FI455" t="e">
        <v>#N/A</v>
      </c>
      <c r="FK455" t="e">
        <v>#N/A</v>
      </c>
      <c r="FM455" t="e">
        <v>#N/A</v>
      </c>
      <c r="FO455" t="e">
        <v>#N/A</v>
      </c>
      <c r="FQ455" t="e">
        <v>#N/A</v>
      </c>
      <c r="FS455" t="e">
        <v>#N/A</v>
      </c>
      <c r="FU455" t="e">
        <v>#N/A</v>
      </c>
      <c r="FW455" t="e">
        <v>#N/A</v>
      </c>
      <c r="FY455" t="e">
        <v>#N/A</v>
      </c>
      <c r="GA455" t="e">
        <v>#N/A</v>
      </c>
      <c r="GC455" t="e">
        <v>#N/A</v>
      </c>
      <c r="GE455" t="e">
        <v>#N/A</v>
      </c>
      <c r="GG455" t="e">
        <v>#N/A</v>
      </c>
      <c r="GI455" t="e">
        <v>#N/A</v>
      </c>
      <c r="GK455" t="e">
        <v>#N/A</v>
      </c>
      <c r="GM455" t="e">
        <v>#N/A</v>
      </c>
      <c r="GO455" t="e">
        <v>#N/A</v>
      </c>
      <c r="GQ455" t="e">
        <v>#N/A</v>
      </c>
      <c r="GS455" t="e">
        <v>#N/A</v>
      </c>
      <c r="GU455" t="e">
        <v>#N/A</v>
      </c>
      <c r="GW455" t="e">
        <v>#N/A</v>
      </c>
      <c r="GY455" t="e">
        <v>#N/A</v>
      </c>
      <c r="HA455" t="e">
        <v>#N/A</v>
      </c>
      <c r="HC455">
        <v>0</v>
      </c>
      <c r="HD455">
        <v>0</v>
      </c>
      <c r="HE455">
        <v>0</v>
      </c>
      <c r="HF455">
        <v>0</v>
      </c>
      <c r="HG455">
        <v>0</v>
      </c>
      <c r="HH455">
        <v>0</v>
      </c>
      <c r="HI455">
        <v>0</v>
      </c>
      <c r="HJ455">
        <v>0</v>
      </c>
      <c r="HM455">
        <v>0</v>
      </c>
      <c r="HN455">
        <v>0</v>
      </c>
      <c r="HO455">
        <v>0</v>
      </c>
      <c r="HP455">
        <v>0</v>
      </c>
      <c r="HQ455">
        <v>0</v>
      </c>
      <c r="HR455">
        <v>0</v>
      </c>
      <c r="HS455">
        <v>0</v>
      </c>
      <c r="HT455">
        <v>0</v>
      </c>
      <c r="HW455">
        <v>0</v>
      </c>
      <c r="HX455">
        <v>0</v>
      </c>
      <c r="HY455">
        <v>0</v>
      </c>
      <c r="HZ455">
        <v>0</v>
      </c>
      <c r="IA455">
        <v>3930.6</v>
      </c>
      <c r="IB455">
        <v>3632.9</v>
      </c>
      <c r="IC455">
        <v>3795.5</v>
      </c>
      <c r="ID455">
        <v>0</v>
      </c>
      <c r="IE455">
        <v>0</v>
      </c>
      <c r="IF455">
        <v>3548.5</v>
      </c>
      <c r="IG455">
        <v>3395.2</v>
      </c>
      <c r="IH455">
        <v>3395.4</v>
      </c>
      <c r="II455">
        <v>3302.3</v>
      </c>
      <c r="IJ455">
        <v>3172.8</v>
      </c>
      <c r="IK455">
        <v>0</v>
      </c>
      <c r="IL455">
        <v>0</v>
      </c>
      <c r="IM455">
        <v>0</v>
      </c>
      <c r="IN455">
        <v>0</v>
      </c>
      <c r="IO455">
        <v>123.4</v>
      </c>
      <c r="IP455">
        <v>405.2</v>
      </c>
      <c r="IQ455">
        <v>418.7</v>
      </c>
      <c r="IR455">
        <v>0</v>
      </c>
      <c r="IS455">
        <v>0</v>
      </c>
      <c r="IT455">
        <v>0</v>
      </c>
      <c r="IU455">
        <v>0</v>
      </c>
      <c r="IV455">
        <v>396</v>
      </c>
      <c r="IW455">
        <v>0</v>
      </c>
      <c r="IX455">
        <v>0</v>
      </c>
      <c r="IZ455">
        <v>0</v>
      </c>
      <c r="JA455">
        <v>65.5</v>
      </c>
      <c r="JB455">
        <v>443.5</v>
      </c>
      <c r="JC455">
        <v>0</v>
      </c>
      <c r="JD455">
        <v>0</v>
      </c>
      <c r="JE455">
        <v>0</v>
      </c>
      <c r="JF455">
        <v>0</v>
      </c>
      <c r="JG455">
        <v>0</v>
      </c>
      <c r="JH455">
        <v>0</v>
      </c>
      <c r="JI455">
        <v>0</v>
      </c>
      <c r="JJ455">
        <v>0</v>
      </c>
      <c r="JK455">
        <v>0</v>
      </c>
      <c r="JL455">
        <v>0</v>
      </c>
      <c r="JM455">
        <v>0</v>
      </c>
      <c r="JN455">
        <v>0</v>
      </c>
      <c r="JO455">
        <v>0</v>
      </c>
      <c r="JP455">
        <v>0</v>
      </c>
      <c r="JQ455">
        <v>0</v>
      </c>
      <c r="JR455">
        <v>0</v>
      </c>
      <c r="JS455">
        <v>0</v>
      </c>
      <c r="JT455">
        <v>0</v>
      </c>
      <c r="JU455">
        <v>0</v>
      </c>
      <c r="JV455">
        <v>0</v>
      </c>
      <c r="JW455">
        <v>0</v>
      </c>
      <c r="JX455">
        <v>0</v>
      </c>
      <c r="JY455">
        <v>0</v>
      </c>
      <c r="JZ455">
        <v>0</v>
      </c>
      <c r="KA455">
        <v>0</v>
      </c>
      <c r="KB455">
        <v>0</v>
      </c>
      <c r="KC455">
        <v>0</v>
      </c>
      <c r="KD455">
        <v>0</v>
      </c>
      <c r="KE455">
        <v>0</v>
      </c>
      <c r="KF455">
        <v>0</v>
      </c>
      <c r="KI455">
        <v>344.6</v>
      </c>
      <c r="KJ455">
        <v>350.8</v>
      </c>
      <c r="KK455">
        <v>22.1</v>
      </c>
      <c r="KL455">
        <v>379.3</v>
      </c>
      <c r="KM455">
        <v>241.4</v>
      </c>
      <c r="KN455">
        <v>0</v>
      </c>
      <c r="KO455">
        <v>0</v>
      </c>
      <c r="KP455">
        <v>57.3</v>
      </c>
      <c r="KQ455">
        <v>224.4</v>
      </c>
      <c r="KR455">
        <v>338.3</v>
      </c>
      <c r="KS455">
        <v>215.8</v>
      </c>
      <c r="KT455">
        <v>40.700000000000003</v>
      </c>
      <c r="KW455">
        <v>2154.5</v>
      </c>
      <c r="KX455">
        <v>1255.7</v>
      </c>
      <c r="KY455">
        <v>1630.1</v>
      </c>
      <c r="KZ455">
        <v>1246.9000000000001</v>
      </c>
      <c r="LB455">
        <v>78.099999999999994</v>
      </c>
      <c r="LC455">
        <v>77.7</v>
      </c>
    </row>
    <row r="456" spans="1:315" ht="18" thickBot="1">
      <c r="A456" s="245"/>
      <c r="B456" s="245" t="s">
        <v>345</v>
      </c>
      <c r="C456" s="230" t="s">
        <v>718</v>
      </c>
      <c r="D456" s="281"/>
      <c r="E456" s="443">
        <v>0</v>
      </c>
      <c r="F456" s="191">
        <v>0</v>
      </c>
      <c r="G456" s="427">
        <v>3413.8</v>
      </c>
      <c r="H456" s="155"/>
      <c r="I456">
        <v>735</v>
      </c>
      <c r="K456">
        <v>1973.1000000000001</v>
      </c>
      <c r="L456" s="4">
        <v>221.60000000000002</v>
      </c>
      <c r="M456" s="4">
        <v>54.9</v>
      </c>
      <c r="N456" s="4">
        <v>1989.7</v>
      </c>
      <c r="P456">
        <v>0</v>
      </c>
      <c r="Q456">
        <v>238.29999999999998</v>
      </c>
      <c r="R456">
        <v>0</v>
      </c>
      <c r="S456">
        <v>0</v>
      </c>
      <c r="T456">
        <v>368.5</v>
      </c>
      <c r="W456">
        <v>720.3</v>
      </c>
      <c r="X456">
        <v>1411.5</v>
      </c>
      <c r="Y456">
        <v>96.5</v>
      </c>
      <c r="AA456">
        <v>859.6</v>
      </c>
      <c r="AB456">
        <v>1577.6000000000001</v>
      </c>
      <c r="AE456">
        <v>1330</v>
      </c>
      <c r="AF456">
        <v>1025.5</v>
      </c>
      <c r="AH456">
        <v>509.9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1349.3</v>
      </c>
      <c r="AO456">
        <v>786.40000000000009</v>
      </c>
      <c r="AP456">
        <v>0</v>
      </c>
      <c r="AQ456">
        <v>68.3</v>
      </c>
      <c r="AR456">
        <v>234.9</v>
      </c>
      <c r="AS456">
        <v>600.40000000000009</v>
      </c>
      <c r="AU456">
        <v>985.69999999999993</v>
      </c>
      <c r="AW456">
        <v>792</v>
      </c>
      <c r="AX456">
        <v>1988.5</v>
      </c>
      <c r="AZ456">
        <v>763.5</v>
      </c>
      <c r="BA456">
        <v>0</v>
      </c>
      <c r="BB456">
        <v>0</v>
      </c>
      <c r="BC456">
        <v>1935.3</v>
      </c>
      <c r="BD456">
        <v>1006.5</v>
      </c>
      <c r="BE456">
        <v>0</v>
      </c>
      <c r="BF456">
        <v>0</v>
      </c>
      <c r="BG456">
        <v>0</v>
      </c>
      <c r="BH456">
        <v>1662.6</v>
      </c>
      <c r="BJ456">
        <v>0</v>
      </c>
      <c r="BK456">
        <v>0</v>
      </c>
      <c r="BL456">
        <v>1038.9000000000001</v>
      </c>
      <c r="BM456">
        <v>1101</v>
      </c>
      <c r="BO456">
        <v>1276.8000000000002</v>
      </c>
      <c r="BQ456">
        <v>0</v>
      </c>
      <c r="BR456">
        <v>270.7</v>
      </c>
      <c r="BS456">
        <v>230.5</v>
      </c>
      <c r="BT456">
        <v>472.3</v>
      </c>
      <c r="BU456">
        <v>537.29999999999995</v>
      </c>
      <c r="BV456">
        <v>346.3</v>
      </c>
      <c r="BW456">
        <v>386.2</v>
      </c>
      <c r="BX456">
        <v>767</v>
      </c>
      <c r="BY456">
        <v>757.2</v>
      </c>
      <c r="BZ456">
        <v>1037.2</v>
      </c>
      <c r="CA456">
        <v>1227.0999999999999</v>
      </c>
      <c r="CB456">
        <v>1232.0999999999999</v>
      </c>
      <c r="CC456">
        <v>1701.5</v>
      </c>
      <c r="CD456">
        <v>0</v>
      </c>
      <c r="CG456">
        <v>1385.3</v>
      </c>
      <c r="CJ456">
        <v>1630.2999999999997</v>
      </c>
      <c r="CM456">
        <v>1184.2</v>
      </c>
      <c r="CO456">
        <v>1248.0999999999999</v>
      </c>
      <c r="CQ456">
        <v>1435.3</v>
      </c>
      <c r="CR456">
        <v>798.2</v>
      </c>
      <c r="CS456">
        <v>923.8</v>
      </c>
      <c r="CT456">
        <v>0</v>
      </c>
      <c r="CU456">
        <v>0</v>
      </c>
      <c r="CV456">
        <v>0</v>
      </c>
      <c r="CW456">
        <v>0</v>
      </c>
      <c r="CX456">
        <v>163.69999999999999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I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G456" t="e">
        <v>#N/A</v>
      </c>
      <c r="FI456" t="e">
        <v>#N/A</v>
      </c>
      <c r="FK456" t="e">
        <v>#N/A</v>
      </c>
      <c r="FM456" t="e">
        <v>#N/A</v>
      </c>
      <c r="FO456" t="e">
        <v>#N/A</v>
      </c>
      <c r="FQ456" t="e">
        <v>#N/A</v>
      </c>
      <c r="FS456" t="e">
        <v>#N/A</v>
      </c>
      <c r="FU456" t="e">
        <v>#N/A</v>
      </c>
      <c r="FW456" t="e">
        <v>#N/A</v>
      </c>
      <c r="FY456" t="e">
        <v>#N/A</v>
      </c>
      <c r="GA456" t="e">
        <v>#N/A</v>
      </c>
      <c r="GC456" t="e">
        <v>#N/A</v>
      </c>
      <c r="GE456" t="e">
        <v>#N/A</v>
      </c>
      <c r="GG456" t="e">
        <v>#N/A</v>
      </c>
      <c r="GI456" t="e">
        <v>#N/A</v>
      </c>
      <c r="GK456" t="e">
        <v>#N/A</v>
      </c>
      <c r="GM456" t="e">
        <v>#N/A</v>
      </c>
      <c r="GO456" t="e">
        <v>#N/A</v>
      </c>
      <c r="GQ456" t="e">
        <v>#N/A</v>
      </c>
      <c r="GS456" t="e">
        <v>#N/A</v>
      </c>
      <c r="GU456" t="e">
        <v>#N/A</v>
      </c>
      <c r="GW456" t="e">
        <v>#N/A</v>
      </c>
      <c r="GY456" t="e">
        <v>#N/A</v>
      </c>
      <c r="HA456" t="e">
        <v>#N/A</v>
      </c>
      <c r="HC456">
        <v>0</v>
      </c>
      <c r="HD456">
        <v>0</v>
      </c>
      <c r="HE456">
        <v>0</v>
      </c>
      <c r="HF456">
        <v>0</v>
      </c>
      <c r="HG456">
        <v>0</v>
      </c>
      <c r="HH456">
        <v>0</v>
      </c>
      <c r="HI456">
        <v>0</v>
      </c>
      <c r="HJ456">
        <v>0</v>
      </c>
      <c r="HM456">
        <v>0</v>
      </c>
      <c r="HN456">
        <v>0</v>
      </c>
      <c r="HO456">
        <v>0</v>
      </c>
      <c r="HP456">
        <v>0</v>
      </c>
      <c r="HQ456">
        <v>0</v>
      </c>
      <c r="HR456">
        <v>0</v>
      </c>
      <c r="HS456">
        <v>0</v>
      </c>
      <c r="HT456">
        <v>0</v>
      </c>
      <c r="HW456">
        <v>0</v>
      </c>
      <c r="HX456">
        <v>0</v>
      </c>
      <c r="HY456">
        <v>0</v>
      </c>
      <c r="HZ456">
        <v>0</v>
      </c>
      <c r="IA456">
        <v>3930.6</v>
      </c>
      <c r="IB456">
        <v>3632.9</v>
      </c>
      <c r="IC456">
        <v>3795.5</v>
      </c>
      <c r="ID456">
        <v>0</v>
      </c>
      <c r="IE456">
        <v>0</v>
      </c>
      <c r="IF456">
        <v>3548.5</v>
      </c>
      <c r="IG456">
        <v>3395.2</v>
      </c>
      <c r="IH456">
        <v>3395.4</v>
      </c>
      <c r="II456">
        <v>3302.3</v>
      </c>
      <c r="IJ456">
        <v>3172.8</v>
      </c>
      <c r="IK456">
        <v>0</v>
      </c>
      <c r="IL456">
        <v>0</v>
      </c>
      <c r="IM456">
        <v>0</v>
      </c>
      <c r="IN456">
        <v>0</v>
      </c>
      <c r="IO456">
        <v>123.4</v>
      </c>
      <c r="IP456">
        <v>405.2</v>
      </c>
      <c r="IQ456">
        <v>418.7</v>
      </c>
      <c r="IR456">
        <v>0</v>
      </c>
      <c r="IS456">
        <v>0</v>
      </c>
      <c r="IT456">
        <v>0</v>
      </c>
      <c r="IU456">
        <v>0</v>
      </c>
      <c r="IV456">
        <v>396</v>
      </c>
      <c r="IW456">
        <v>0</v>
      </c>
      <c r="IX456">
        <v>0</v>
      </c>
      <c r="IZ456">
        <v>0</v>
      </c>
      <c r="JA456">
        <v>65.5</v>
      </c>
      <c r="JB456">
        <v>443.5</v>
      </c>
      <c r="JC456">
        <v>0</v>
      </c>
      <c r="JD456">
        <v>0</v>
      </c>
      <c r="JE456">
        <v>0</v>
      </c>
      <c r="JF456">
        <v>0</v>
      </c>
      <c r="JG456">
        <v>0</v>
      </c>
      <c r="JH456">
        <v>0</v>
      </c>
      <c r="JI456">
        <v>0</v>
      </c>
      <c r="JJ456">
        <v>0</v>
      </c>
      <c r="JK456">
        <v>0</v>
      </c>
      <c r="JL456">
        <v>0</v>
      </c>
      <c r="JM456">
        <v>0</v>
      </c>
      <c r="JN456">
        <v>0</v>
      </c>
      <c r="JO456">
        <v>0</v>
      </c>
      <c r="JP456">
        <v>0</v>
      </c>
      <c r="JQ456">
        <v>0</v>
      </c>
      <c r="JR456">
        <v>0</v>
      </c>
      <c r="JS456">
        <v>0</v>
      </c>
      <c r="JT456">
        <v>0</v>
      </c>
      <c r="JU456">
        <v>0</v>
      </c>
      <c r="JV456">
        <v>0</v>
      </c>
      <c r="JW456">
        <v>0</v>
      </c>
      <c r="JX456">
        <v>0</v>
      </c>
      <c r="JY456">
        <v>0</v>
      </c>
      <c r="JZ456">
        <v>0</v>
      </c>
      <c r="KA456">
        <v>0</v>
      </c>
      <c r="KB456">
        <v>0</v>
      </c>
      <c r="KC456">
        <v>0</v>
      </c>
      <c r="KD456">
        <v>0</v>
      </c>
      <c r="KE456">
        <v>0</v>
      </c>
      <c r="KF456">
        <v>0</v>
      </c>
      <c r="KI456">
        <v>344.6</v>
      </c>
      <c r="KJ456">
        <v>350.8</v>
      </c>
      <c r="KK456">
        <v>22.1</v>
      </c>
      <c r="KL456">
        <v>379.3</v>
      </c>
      <c r="KM456">
        <v>241.4</v>
      </c>
      <c r="KN456">
        <v>0</v>
      </c>
      <c r="KO456">
        <v>0</v>
      </c>
      <c r="KP456">
        <v>57.3</v>
      </c>
      <c r="KQ456">
        <v>224.4</v>
      </c>
      <c r="KR456">
        <v>338.3</v>
      </c>
      <c r="KS456">
        <v>215.8</v>
      </c>
      <c r="KT456">
        <v>40.700000000000003</v>
      </c>
      <c r="KW456">
        <v>2154.5</v>
      </c>
      <c r="KX456">
        <v>1255.7</v>
      </c>
      <c r="KY456">
        <v>1630.1</v>
      </c>
      <c r="KZ456">
        <v>1246.9000000000001</v>
      </c>
      <c r="LB456">
        <v>78.099999999999994</v>
      </c>
      <c r="LC456">
        <v>77.7</v>
      </c>
    </row>
    <row r="457" spans="1:315" ht="18" thickBot="1">
      <c r="A457" s="245"/>
      <c r="B457" s="245" t="s">
        <v>346</v>
      </c>
      <c r="C457" s="230" t="s">
        <v>719</v>
      </c>
      <c r="D457" s="281"/>
      <c r="E457" s="443">
        <v>0</v>
      </c>
      <c r="F457" s="191">
        <v>0</v>
      </c>
      <c r="G457" s="427">
        <v>3413.8</v>
      </c>
      <c r="H457" s="155"/>
      <c r="I457">
        <v>735</v>
      </c>
      <c r="K457">
        <v>1973.1000000000001</v>
      </c>
      <c r="L457" s="4">
        <v>221.60000000000002</v>
      </c>
      <c r="M457" s="4">
        <v>54.9</v>
      </c>
      <c r="N457" s="4">
        <v>1989.7</v>
      </c>
      <c r="P457">
        <v>0</v>
      </c>
      <c r="Q457">
        <v>238.29999999999998</v>
      </c>
      <c r="R457">
        <v>0</v>
      </c>
      <c r="S457">
        <v>0</v>
      </c>
      <c r="T457">
        <v>368.5</v>
      </c>
      <c r="W457">
        <v>720.3</v>
      </c>
      <c r="X457">
        <v>1411.5</v>
      </c>
      <c r="Y457">
        <v>96.5</v>
      </c>
      <c r="AA457">
        <v>859.6</v>
      </c>
      <c r="AB457">
        <v>1577.6000000000001</v>
      </c>
      <c r="AE457">
        <v>1330</v>
      </c>
      <c r="AF457">
        <v>1025.5</v>
      </c>
      <c r="AH457">
        <v>509.9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1349.3</v>
      </c>
      <c r="AO457">
        <v>786.40000000000009</v>
      </c>
      <c r="AP457">
        <v>0</v>
      </c>
      <c r="AQ457">
        <v>68.3</v>
      </c>
      <c r="AR457">
        <v>234.9</v>
      </c>
      <c r="AS457">
        <v>600.40000000000009</v>
      </c>
      <c r="AU457">
        <v>985.69999999999993</v>
      </c>
      <c r="AW457">
        <v>792</v>
      </c>
      <c r="AX457">
        <v>1988.5</v>
      </c>
      <c r="AZ457">
        <v>763.5</v>
      </c>
      <c r="BA457">
        <v>0</v>
      </c>
      <c r="BB457">
        <v>0</v>
      </c>
      <c r="BC457">
        <v>1935.3</v>
      </c>
      <c r="BD457">
        <v>1006.5</v>
      </c>
      <c r="BE457">
        <v>0</v>
      </c>
      <c r="BF457">
        <v>0</v>
      </c>
      <c r="BG457">
        <v>0</v>
      </c>
      <c r="BH457">
        <v>1662.6</v>
      </c>
      <c r="BJ457">
        <v>0</v>
      </c>
      <c r="BK457">
        <v>0</v>
      </c>
      <c r="BL457">
        <v>1038.9000000000001</v>
      </c>
      <c r="BM457">
        <v>1101</v>
      </c>
      <c r="BO457">
        <v>1276.8000000000002</v>
      </c>
      <c r="BQ457">
        <v>0</v>
      </c>
      <c r="BR457">
        <v>270.7</v>
      </c>
      <c r="BS457">
        <v>230.5</v>
      </c>
      <c r="BT457">
        <v>472.3</v>
      </c>
      <c r="BU457">
        <v>537.29999999999995</v>
      </c>
      <c r="BV457">
        <v>346.3</v>
      </c>
      <c r="BW457">
        <v>386.2</v>
      </c>
      <c r="BX457">
        <v>767</v>
      </c>
      <c r="BY457">
        <v>757.2</v>
      </c>
      <c r="BZ457">
        <v>1037.2</v>
      </c>
      <c r="CA457">
        <v>1227.0999999999999</v>
      </c>
      <c r="CB457">
        <v>1232.0999999999999</v>
      </c>
      <c r="CC457">
        <v>1701.5</v>
      </c>
      <c r="CD457">
        <v>0</v>
      </c>
      <c r="CG457">
        <v>1385.3</v>
      </c>
      <c r="CJ457">
        <v>1630.2999999999997</v>
      </c>
      <c r="CM457">
        <v>1184.2</v>
      </c>
      <c r="CO457">
        <v>1248.0999999999999</v>
      </c>
      <c r="CQ457">
        <v>1435.3</v>
      </c>
      <c r="CR457">
        <v>798.2</v>
      </c>
      <c r="CS457">
        <v>923.8</v>
      </c>
      <c r="CT457">
        <v>0</v>
      </c>
      <c r="CU457">
        <v>0</v>
      </c>
      <c r="CV457">
        <v>0</v>
      </c>
      <c r="CW457">
        <v>0</v>
      </c>
      <c r="CX457">
        <v>163.69999999999999</v>
      </c>
      <c r="CY457">
        <v>0</v>
      </c>
      <c r="CZ457">
        <v>0</v>
      </c>
      <c r="DA457">
        <v>0</v>
      </c>
      <c r="DB457">
        <v>0</v>
      </c>
      <c r="DC457">
        <v>0</v>
      </c>
      <c r="DD457">
        <v>0</v>
      </c>
      <c r="DE457">
        <v>0</v>
      </c>
      <c r="DI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  <c r="EJ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G457" t="e">
        <v>#N/A</v>
      </c>
      <c r="FI457" t="e">
        <v>#N/A</v>
      </c>
      <c r="FK457" t="e">
        <v>#N/A</v>
      </c>
      <c r="FM457" t="e">
        <v>#N/A</v>
      </c>
      <c r="FO457" t="e">
        <v>#N/A</v>
      </c>
      <c r="FQ457" t="e">
        <v>#N/A</v>
      </c>
      <c r="FS457" t="e">
        <v>#N/A</v>
      </c>
      <c r="FU457" t="e">
        <v>#N/A</v>
      </c>
      <c r="FW457" t="e">
        <v>#N/A</v>
      </c>
      <c r="FY457" t="e">
        <v>#N/A</v>
      </c>
      <c r="GA457" t="e">
        <v>#N/A</v>
      </c>
      <c r="GC457" t="e">
        <v>#N/A</v>
      </c>
      <c r="GE457" t="e">
        <v>#N/A</v>
      </c>
      <c r="GG457" t="e">
        <v>#N/A</v>
      </c>
      <c r="GI457" t="e">
        <v>#N/A</v>
      </c>
      <c r="GK457" t="e">
        <v>#N/A</v>
      </c>
      <c r="GM457" t="e">
        <v>#N/A</v>
      </c>
      <c r="GO457" t="e">
        <v>#N/A</v>
      </c>
      <c r="GQ457" t="e">
        <v>#N/A</v>
      </c>
      <c r="GS457" t="e">
        <v>#N/A</v>
      </c>
      <c r="GU457" t="e">
        <v>#N/A</v>
      </c>
      <c r="GW457" t="e">
        <v>#N/A</v>
      </c>
      <c r="GY457" t="e">
        <v>#N/A</v>
      </c>
      <c r="HA457" t="e">
        <v>#N/A</v>
      </c>
      <c r="HC457">
        <v>0</v>
      </c>
      <c r="HD457">
        <v>0</v>
      </c>
      <c r="HE457">
        <v>0</v>
      </c>
      <c r="HF457">
        <v>0</v>
      </c>
      <c r="HG457">
        <v>0</v>
      </c>
      <c r="HH457">
        <v>0</v>
      </c>
      <c r="HI457">
        <v>0</v>
      </c>
      <c r="HJ457">
        <v>0</v>
      </c>
      <c r="HM457">
        <v>0</v>
      </c>
      <c r="HN457">
        <v>0</v>
      </c>
      <c r="HO457">
        <v>0</v>
      </c>
      <c r="HP457">
        <v>0</v>
      </c>
      <c r="HQ457">
        <v>0</v>
      </c>
      <c r="HR457">
        <v>0</v>
      </c>
      <c r="HS457">
        <v>0</v>
      </c>
      <c r="HT457">
        <v>0</v>
      </c>
      <c r="HW457">
        <v>0</v>
      </c>
      <c r="HX457">
        <v>0</v>
      </c>
      <c r="HY457">
        <v>0</v>
      </c>
      <c r="HZ457">
        <v>0</v>
      </c>
      <c r="IA457">
        <v>3930.6</v>
      </c>
      <c r="IB457">
        <v>3632.9</v>
      </c>
      <c r="IC457">
        <v>3795.5</v>
      </c>
      <c r="ID457">
        <v>0</v>
      </c>
      <c r="IE457">
        <v>0</v>
      </c>
      <c r="IF457">
        <v>3548.5</v>
      </c>
      <c r="IG457">
        <v>3395.2</v>
      </c>
      <c r="IH457">
        <v>3395.4</v>
      </c>
      <c r="II457">
        <v>3302.3</v>
      </c>
      <c r="IJ457">
        <v>3172.8</v>
      </c>
      <c r="IK457">
        <v>0</v>
      </c>
      <c r="IL457">
        <v>0</v>
      </c>
      <c r="IM457">
        <v>0</v>
      </c>
      <c r="IN457">
        <v>0</v>
      </c>
      <c r="IO457">
        <v>123.4</v>
      </c>
      <c r="IP457">
        <v>405.2</v>
      </c>
      <c r="IQ457">
        <v>418.7</v>
      </c>
      <c r="IR457">
        <v>0</v>
      </c>
      <c r="IS457">
        <v>0</v>
      </c>
      <c r="IT457">
        <v>0</v>
      </c>
      <c r="IU457">
        <v>0</v>
      </c>
      <c r="IV457">
        <v>396</v>
      </c>
      <c r="IW457">
        <v>0</v>
      </c>
      <c r="IX457">
        <v>0</v>
      </c>
      <c r="IZ457">
        <v>0</v>
      </c>
      <c r="JA457">
        <v>65.5</v>
      </c>
      <c r="JB457">
        <v>443.5</v>
      </c>
      <c r="JC457">
        <v>0</v>
      </c>
      <c r="JD457">
        <v>0</v>
      </c>
      <c r="JE457">
        <v>0</v>
      </c>
      <c r="JF457">
        <v>0</v>
      </c>
      <c r="JG457">
        <v>0</v>
      </c>
      <c r="JH457">
        <v>0</v>
      </c>
      <c r="JI457">
        <v>0</v>
      </c>
      <c r="JJ457">
        <v>0</v>
      </c>
      <c r="JK457">
        <v>0</v>
      </c>
      <c r="JL457">
        <v>0</v>
      </c>
      <c r="JM457">
        <v>0</v>
      </c>
      <c r="JN457">
        <v>0</v>
      </c>
      <c r="JO457">
        <v>0</v>
      </c>
      <c r="JP457">
        <v>0</v>
      </c>
      <c r="JQ457">
        <v>0</v>
      </c>
      <c r="JR457">
        <v>0</v>
      </c>
      <c r="JS457">
        <v>0</v>
      </c>
      <c r="JT457">
        <v>0</v>
      </c>
      <c r="JU457">
        <v>0</v>
      </c>
      <c r="JV457">
        <v>0</v>
      </c>
      <c r="JW457">
        <v>0</v>
      </c>
      <c r="JX457">
        <v>0</v>
      </c>
      <c r="JY457">
        <v>0</v>
      </c>
      <c r="JZ457">
        <v>0</v>
      </c>
      <c r="KA457">
        <v>0</v>
      </c>
      <c r="KB457">
        <v>0</v>
      </c>
      <c r="KC457">
        <v>0</v>
      </c>
      <c r="KD457">
        <v>0</v>
      </c>
      <c r="KE457">
        <v>0</v>
      </c>
      <c r="KF457">
        <v>0</v>
      </c>
      <c r="KI457">
        <v>344.6</v>
      </c>
      <c r="KJ457">
        <v>350.8</v>
      </c>
      <c r="KK457">
        <v>22.1</v>
      </c>
      <c r="KL457">
        <v>379.3</v>
      </c>
      <c r="KM457">
        <v>241.4</v>
      </c>
      <c r="KN457">
        <v>0</v>
      </c>
      <c r="KO457">
        <v>0</v>
      </c>
      <c r="KP457">
        <v>57.3</v>
      </c>
      <c r="KQ457">
        <v>224.4</v>
      </c>
      <c r="KR457">
        <v>338.3</v>
      </c>
      <c r="KS457">
        <v>215.8</v>
      </c>
      <c r="KT457">
        <v>40.700000000000003</v>
      </c>
      <c r="KW457">
        <v>2154.5</v>
      </c>
      <c r="KX457">
        <v>1255.7</v>
      </c>
      <c r="KY457">
        <v>1630.1</v>
      </c>
      <c r="KZ457">
        <v>1246.9000000000001</v>
      </c>
      <c r="LB457">
        <v>78.099999999999994</v>
      </c>
      <c r="LC457">
        <v>77.7</v>
      </c>
    </row>
    <row r="458" spans="1:315" ht="18" thickBot="1">
      <c r="A458" s="245"/>
      <c r="B458" s="245" t="s">
        <v>347</v>
      </c>
      <c r="C458" s="332"/>
      <c r="D458" s="286"/>
      <c r="E458" s="449">
        <v>0</v>
      </c>
      <c r="F458" s="209">
        <v>0</v>
      </c>
      <c r="G458" s="427">
        <v>3413.8</v>
      </c>
      <c r="H458" s="155"/>
      <c r="I458">
        <v>735</v>
      </c>
      <c r="K458">
        <v>1973.1000000000001</v>
      </c>
      <c r="L458" s="4">
        <v>221.60000000000002</v>
      </c>
      <c r="M458" s="4">
        <v>54.9</v>
      </c>
      <c r="N458" s="4">
        <v>1989.7</v>
      </c>
      <c r="P458">
        <v>0</v>
      </c>
      <c r="Q458">
        <v>238.29999999999998</v>
      </c>
      <c r="R458">
        <v>0</v>
      </c>
      <c r="S458">
        <v>0</v>
      </c>
      <c r="T458">
        <v>368.5</v>
      </c>
      <c r="W458">
        <v>720.3</v>
      </c>
      <c r="X458">
        <v>1411.5</v>
      </c>
      <c r="Y458">
        <v>96.5</v>
      </c>
      <c r="AA458">
        <v>859.6</v>
      </c>
      <c r="AB458">
        <v>1577.6000000000001</v>
      </c>
      <c r="AE458">
        <v>1330</v>
      </c>
      <c r="AF458">
        <v>1025.5</v>
      </c>
      <c r="AH458">
        <v>509.9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1349.3</v>
      </c>
      <c r="AO458">
        <v>786.40000000000009</v>
      </c>
      <c r="AP458">
        <v>0</v>
      </c>
      <c r="AQ458">
        <v>68.3</v>
      </c>
      <c r="AR458">
        <v>234.9</v>
      </c>
      <c r="AS458">
        <v>600.40000000000009</v>
      </c>
      <c r="AU458">
        <v>985.69999999999993</v>
      </c>
      <c r="AW458">
        <v>792</v>
      </c>
      <c r="AX458">
        <v>1988.5</v>
      </c>
      <c r="AZ458">
        <v>763.5</v>
      </c>
      <c r="BA458">
        <v>0</v>
      </c>
      <c r="BB458">
        <v>0</v>
      </c>
      <c r="BC458">
        <v>1935.3</v>
      </c>
      <c r="BD458">
        <v>1006.5</v>
      </c>
      <c r="BE458">
        <v>0</v>
      </c>
      <c r="BF458">
        <v>0</v>
      </c>
      <c r="BG458">
        <v>0</v>
      </c>
      <c r="BH458">
        <v>1662.6</v>
      </c>
      <c r="BJ458">
        <v>0</v>
      </c>
      <c r="BK458">
        <v>0</v>
      </c>
      <c r="BL458">
        <v>1038.9000000000001</v>
      </c>
      <c r="BM458">
        <v>1101</v>
      </c>
      <c r="BO458">
        <v>1276.8000000000002</v>
      </c>
      <c r="BQ458">
        <v>0</v>
      </c>
      <c r="BR458">
        <v>270.7</v>
      </c>
      <c r="BS458">
        <v>230.5</v>
      </c>
      <c r="BT458">
        <v>472.3</v>
      </c>
      <c r="BU458">
        <v>537.29999999999995</v>
      </c>
      <c r="BV458">
        <v>346.3</v>
      </c>
      <c r="BW458">
        <v>386.2</v>
      </c>
      <c r="BX458">
        <v>767</v>
      </c>
      <c r="BY458">
        <v>757.2</v>
      </c>
      <c r="BZ458">
        <v>1037.2</v>
      </c>
      <c r="CA458">
        <v>1227.0999999999999</v>
      </c>
      <c r="CB458">
        <v>1232.0999999999999</v>
      </c>
      <c r="CC458">
        <v>1701.5</v>
      </c>
      <c r="CD458">
        <v>0</v>
      </c>
      <c r="CG458">
        <v>1385.3</v>
      </c>
      <c r="CJ458">
        <v>1630.2999999999997</v>
      </c>
      <c r="CM458">
        <v>1184.2</v>
      </c>
      <c r="CO458">
        <v>1248.0999999999999</v>
      </c>
      <c r="CQ458">
        <v>1435.3</v>
      </c>
      <c r="CR458">
        <v>798.2</v>
      </c>
      <c r="CS458">
        <v>923.8</v>
      </c>
      <c r="CT458">
        <v>0</v>
      </c>
      <c r="CU458">
        <v>0</v>
      </c>
      <c r="CV458">
        <v>0</v>
      </c>
      <c r="CW458">
        <v>0</v>
      </c>
      <c r="CX458">
        <v>163.69999999999999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I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0</v>
      </c>
      <c r="EM458">
        <v>0</v>
      </c>
      <c r="EN458">
        <v>0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G458" t="e">
        <v>#N/A</v>
      </c>
      <c r="FI458" t="e">
        <v>#N/A</v>
      </c>
      <c r="FK458" t="e">
        <v>#N/A</v>
      </c>
      <c r="FM458" t="e">
        <v>#N/A</v>
      </c>
      <c r="FO458" t="e">
        <v>#N/A</v>
      </c>
      <c r="FQ458" t="e">
        <v>#N/A</v>
      </c>
      <c r="FS458" t="e">
        <v>#N/A</v>
      </c>
      <c r="FU458" t="e">
        <v>#N/A</v>
      </c>
      <c r="FW458" t="e">
        <v>#N/A</v>
      </c>
      <c r="FY458" t="e">
        <v>#N/A</v>
      </c>
      <c r="GA458" t="e">
        <v>#N/A</v>
      </c>
      <c r="GC458" t="e">
        <v>#N/A</v>
      </c>
      <c r="GE458" t="e">
        <v>#N/A</v>
      </c>
      <c r="GG458" t="e">
        <v>#N/A</v>
      </c>
      <c r="GI458" t="e">
        <v>#N/A</v>
      </c>
      <c r="GK458" t="e">
        <v>#N/A</v>
      </c>
      <c r="GM458" t="e">
        <v>#N/A</v>
      </c>
      <c r="GO458" t="e">
        <v>#N/A</v>
      </c>
      <c r="GQ458" t="e">
        <v>#N/A</v>
      </c>
      <c r="GS458" t="e">
        <v>#N/A</v>
      </c>
      <c r="GU458" t="e">
        <v>#N/A</v>
      </c>
      <c r="GW458" t="e">
        <v>#N/A</v>
      </c>
      <c r="GY458" t="e">
        <v>#N/A</v>
      </c>
      <c r="HA458" t="e">
        <v>#N/A</v>
      </c>
      <c r="HC458">
        <v>0</v>
      </c>
      <c r="HD458">
        <v>0</v>
      </c>
      <c r="HE458">
        <v>0</v>
      </c>
      <c r="HF458">
        <v>0</v>
      </c>
      <c r="HG458">
        <v>0</v>
      </c>
      <c r="HH458">
        <v>0</v>
      </c>
      <c r="HI458">
        <v>0</v>
      </c>
      <c r="HJ458">
        <v>0</v>
      </c>
      <c r="HM458">
        <v>0</v>
      </c>
      <c r="HN458">
        <v>0</v>
      </c>
      <c r="HO458">
        <v>0</v>
      </c>
      <c r="HP458">
        <v>0</v>
      </c>
      <c r="HQ458">
        <v>0</v>
      </c>
      <c r="HR458">
        <v>0</v>
      </c>
      <c r="HS458">
        <v>0</v>
      </c>
      <c r="HT458">
        <v>0</v>
      </c>
      <c r="HW458">
        <v>0</v>
      </c>
      <c r="HX458">
        <v>0</v>
      </c>
      <c r="HY458">
        <v>0</v>
      </c>
      <c r="HZ458">
        <v>0</v>
      </c>
      <c r="IA458">
        <v>3930.6</v>
      </c>
      <c r="IB458">
        <v>3632.9</v>
      </c>
      <c r="IC458">
        <v>3795.5</v>
      </c>
      <c r="ID458">
        <v>0</v>
      </c>
      <c r="IE458">
        <v>0</v>
      </c>
      <c r="IF458">
        <v>3548.5</v>
      </c>
      <c r="IG458">
        <v>3395.2</v>
      </c>
      <c r="IH458">
        <v>3395.4</v>
      </c>
      <c r="II458">
        <v>3302.3</v>
      </c>
      <c r="IJ458">
        <v>3172.8</v>
      </c>
      <c r="IK458">
        <v>0</v>
      </c>
      <c r="IL458">
        <v>0</v>
      </c>
      <c r="IM458">
        <v>0</v>
      </c>
      <c r="IN458">
        <v>0</v>
      </c>
      <c r="IO458">
        <v>123.4</v>
      </c>
      <c r="IP458">
        <v>405.2</v>
      </c>
      <c r="IQ458">
        <v>418.7</v>
      </c>
      <c r="IR458">
        <v>0</v>
      </c>
      <c r="IS458">
        <v>0</v>
      </c>
      <c r="IT458">
        <v>0</v>
      </c>
      <c r="IU458">
        <v>0</v>
      </c>
      <c r="IV458">
        <v>396</v>
      </c>
      <c r="IW458">
        <v>0</v>
      </c>
      <c r="IX458">
        <v>0</v>
      </c>
      <c r="IZ458">
        <v>0</v>
      </c>
      <c r="JA458">
        <v>65.5</v>
      </c>
      <c r="JB458">
        <v>443.5</v>
      </c>
      <c r="JC458">
        <v>0</v>
      </c>
      <c r="JD458">
        <v>0</v>
      </c>
      <c r="JE458">
        <v>0</v>
      </c>
      <c r="JF458">
        <v>0</v>
      </c>
      <c r="JG458">
        <v>0</v>
      </c>
      <c r="JH458">
        <v>0</v>
      </c>
      <c r="JI458">
        <v>0</v>
      </c>
      <c r="JJ458">
        <v>0</v>
      </c>
      <c r="JK458">
        <v>0</v>
      </c>
      <c r="JL458">
        <v>0</v>
      </c>
      <c r="JM458">
        <v>0</v>
      </c>
      <c r="JN458">
        <v>0</v>
      </c>
      <c r="JO458">
        <v>0</v>
      </c>
      <c r="JP458">
        <v>0</v>
      </c>
      <c r="JQ458">
        <v>0</v>
      </c>
      <c r="JR458">
        <v>0</v>
      </c>
      <c r="JS458">
        <v>0</v>
      </c>
      <c r="JT458">
        <v>0</v>
      </c>
      <c r="JU458">
        <v>0</v>
      </c>
      <c r="JV458">
        <v>0</v>
      </c>
      <c r="JW458">
        <v>0</v>
      </c>
      <c r="JX458">
        <v>0</v>
      </c>
      <c r="JY458">
        <v>0</v>
      </c>
      <c r="JZ458">
        <v>0</v>
      </c>
      <c r="KA458">
        <v>0</v>
      </c>
      <c r="KB458">
        <v>0</v>
      </c>
      <c r="KC458">
        <v>0</v>
      </c>
      <c r="KD458">
        <v>0</v>
      </c>
      <c r="KE458">
        <v>0</v>
      </c>
      <c r="KF458">
        <v>0</v>
      </c>
      <c r="KI458">
        <v>344.6</v>
      </c>
      <c r="KJ458">
        <v>350.8</v>
      </c>
      <c r="KK458">
        <v>22.1</v>
      </c>
      <c r="KL458">
        <v>379.3</v>
      </c>
      <c r="KM458">
        <v>241.4</v>
      </c>
      <c r="KN458">
        <v>0</v>
      </c>
      <c r="KO458">
        <v>0</v>
      </c>
      <c r="KP458">
        <v>57.3</v>
      </c>
      <c r="KQ458">
        <v>224.4</v>
      </c>
      <c r="KR458">
        <v>338.3</v>
      </c>
      <c r="KS458">
        <v>215.8</v>
      </c>
      <c r="KT458">
        <v>40.700000000000003</v>
      </c>
      <c r="KW458">
        <v>2154.5</v>
      </c>
      <c r="KX458">
        <v>1255.7</v>
      </c>
      <c r="KY458">
        <v>1630.1</v>
      </c>
      <c r="KZ458">
        <v>1246.9000000000001</v>
      </c>
      <c r="LB458">
        <v>78.099999999999994</v>
      </c>
      <c r="LC458">
        <v>77.7</v>
      </c>
    </row>
    <row r="459" spans="1:315" ht="18" thickBot="1">
      <c r="A459" s="246"/>
      <c r="B459" s="246" t="s">
        <v>348</v>
      </c>
      <c r="C459" s="340"/>
      <c r="D459" s="296"/>
      <c r="E459" s="452">
        <v>0</v>
      </c>
      <c r="F459" s="212">
        <v>0</v>
      </c>
      <c r="G459" s="427">
        <v>3413.8</v>
      </c>
      <c r="H459" s="155"/>
      <c r="I459">
        <v>735</v>
      </c>
      <c r="K459">
        <v>1973.1000000000001</v>
      </c>
      <c r="L459" s="4">
        <v>221.60000000000002</v>
      </c>
      <c r="M459" s="4">
        <v>54.9</v>
      </c>
      <c r="N459" s="4">
        <v>1989.7</v>
      </c>
      <c r="P459">
        <v>0</v>
      </c>
      <c r="Q459">
        <v>238.29999999999998</v>
      </c>
      <c r="R459">
        <v>0</v>
      </c>
      <c r="S459">
        <v>0</v>
      </c>
      <c r="T459">
        <v>368.5</v>
      </c>
      <c r="W459">
        <v>720.3</v>
      </c>
      <c r="X459">
        <v>1411.5</v>
      </c>
      <c r="Y459">
        <v>96.5</v>
      </c>
      <c r="AA459">
        <v>859.6</v>
      </c>
      <c r="AB459">
        <v>1577.6000000000001</v>
      </c>
      <c r="AE459">
        <v>1330</v>
      </c>
      <c r="AF459">
        <v>1025.5</v>
      </c>
      <c r="AH459">
        <v>509.9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1349.3</v>
      </c>
      <c r="AO459">
        <v>786.40000000000009</v>
      </c>
      <c r="AP459">
        <v>0</v>
      </c>
      <c r="AQ459">
        <v>68.3</v>
      </c>
      <c r="AR459">
        <v>234.9</v>
      </c>
      <c r="AS459">
        <v>600.40000000000009</v>
      </c>
      <c r="AU459">
        <v>985.69999999999993</v>
      </c>
      <c r="AW459">
        <v>792</v>
      </c>
      <c r="AX459">
        <v>1988.5</v>
      </c>
      <c r="AZ459">
        <v>763.5</v>
      </c>
      <c r="BA459">
        <v>0</v>
      </c>
      <c r="BB459">
        <v>0</v>
      </c>
      <c r="BC459">
        <v>1935.3</v>
      </c>
      <c r="BD459">
        <v>1006.5</v>
      </c>
      <c r="BE459">
        <v>0</v>
      </c>
      <c r="BF459">
        <v>0</v>
      </c>
      <c r="BG459">
        <v>0</v>
      </c>
      <c r="BH459">
        <v>1662.6</v>
      </c>
      <c r="BJ459">
        <v>0</v>
      </c>
      <c r="BK459">
        <v>0</v>
      </c>
      <c r="BL459">
        <v>1038.9000000000001</v>
      </c>
      <c r="BM459">
        <v>1101</v>
      </c>
      <c r="BO459">
        <v>1276.8000000000002</v>
      </c>
      <c r="BQ459">
        <v>0</v>
      </c>
      <c r="BR459">
        <v>270.7</v>
      </c>
      <c r="BS459">
        <v>230.5</v>
      </c>
      <c r="BT459">
        <v>472.3</v>
      </c>
      <c r="BU459">
        <v>537.29999999999995</v>
      </c>
      <c r="BV459">
        <v>346.3</v>
      </c>
      <c r="BW459">
        <v>386.2</v>
      </c>
      <c r="BX459">
        <v>767</v>
      </c>
      <c r="BY459">
        <v>757.2</v>
      </c>
      <c r="BZ459">
        <v>1037.2</v>
      </c>
      <c r="CA459">
        <v>1227.0999999999999</v>
      </c>
      <c r="CB459">
        <v>1232.0999999999999</v>
      </c>
      <c r="CC459">
        <v>1701.5</v>
      </c>
      <c r="CD459">
        <v>0</v>
      </c>
      <c r="CG459">
        <v>1385.3</v>
      </c>
      <c r="CJ459">
        <v>1630.2999999999997</v>
      </c>
      <c r="CM459">
        <v>1184.2</v>
      </c>
      <c r="CO459">
        <v>1248.0999999999999</v>
      </c>
      <c r="CQ459">
        <v>1435.3</v>
      </c>
      <c r="CR459">
        <v>798.2</v>
      </c>
      <c r="CS459">
        <v>923.8</v>
      </c>
      <c r="CT459">
        <v>0</v>
      </c>
      <c r="CU459">
        <v>0</v>
      </c>
      <c r="CV459">
        <v>0</v>
      </c>
      <c r="CW459">
        <v>0</v>
      </c>
      <c r="CX459">
        <v>163.69999999999999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I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G459" t="e">
        <v>#N/A</v>
      </c>
      <c r="FI459" t="e">
        <v>#N/A</v>
      </c>
      <c r="FK459" t="e">
        <v>#N/A</v>
      </c>
      <c r="FM459" t="e">
        <v>#N/A</v>
      </c>
      <c r="FO459" t="e">
        <v>#N/A</v>
      </c>
      <c r="FQ459" t="e">
        <v>#N/A</v>
      </c>
      <c r="FS459" t="e">
        <v>#N/A</v>
      </c>
      <c r="FU459" t="e">
        <v>#N/A</v>
      </c>
      <c r="FW459" t="e">
        <v>#N/A</v>
      </c>
      <c r="FY459" t="e">
        <v>#N/A</v>
      </c>
      <c r="GA459" t="e">
        <v>#N/A</v>
      </c>
      <c r="GC459" t="e">
        <v>#N/A</v>
      </c>
      <c r="GE459" t="e">
        <v>#N/A</v>
      </c>
      <c r="GG459" t="e">
        <v>#N/A</v>
      </c>
      <c r="GI459" t="e">
        <v>#N/A</v>
      </c>
      <c r="GK459" t="e">
        <v>#N/A</v>
      </c>
      <c r="GM459" t="e">
        <v>#N/A</v>
      </c>
      <c r="GO459" t="e">
        <v>#N/A</v>
      </c>
      <c r="GQ459" t="e">
        <v>#N/A</v>
      </c>
      <c r="GS459" t="e">
        <v>#N/A</v>
      </c>
      <c r="GU459" t="e">
        <v>#N/A</v>
      </c>
      <c r="GW459" t="e">
        <v>#N/A</v>
      </c>
      <c r="GY459" t="e">
        <v>#N/A</v>
      </c>
      <c r="HA459" t="e">
        <v>#N/A</v>
      </c>
      <c r="HC459">
        <v>0</v>
      </c>
      <c r="HD459">
        <v>0</v>
      </c>
      <c r="HE459">
        <v>0</v>
      </c>
      <c r="HF459">
        <v>0</v>
      </c>
      <c r="HG459">
        <v>0</v>
      </c>
      <c r="HH459">
        <v>0</v>
      </c>
      <c r="HI459">
        <v>0</v>
      </c>
      <c r="HJ459">
        <v>0</v>
      </c>
      <c r="HM459">
        <v>0</v>
      </c>
      <c r="HN459">
        <v>0</v>
      </c>
      <c r="HO459">
        <v>0</v>
      </c>
      <c r="HP459">
        <v>0</v>
      </c>
      <c r="HQ459">
        <v>0</v>
      </c>
      <c r="HR459">
        <v>0</v>
      </c>
      <c r="HS459">
        <v>0</v>
      </c>
      <c r="HT459">
        <v>0</v>
      </c>
      <c r="HW459">
        <v>0</v>
      </c>
      <c r="HX459">
        <v>0</v>
      </c>
      <c r="HY459">
        <v>0</v>
      </c>
      <c r="HZ459">
        <v>0</v>
      </c>
      <c r="IA459">
        <v>3930.6</v>
      </c>
      <c r="IB459">
        <v>3632.9</v>
      </c>
      <c r="IC459">
        <v>3795.5</v>
      </c>
      <c r="ID459">
        <v>0</v>
      </c>
      <c r="IE459">
        <v>0</v>
      </c>
      <c r="IF459">
        <v>3548.5</v>
      </c>
      <c r="IG459">
        <v>3395.2</v>
      </c>
      <c r="IH459">
        <v>3395.4</v>
      </c>
      <c r="II459">
        <v>3302.3</v>
      </c>
      <c r="IJ459">
        <v>3172.8</v>
      </c>
      <c r="IK459">
        <v>0</v>
      </c>
      <c r="IL459">
        <v>0</v>
      </c>
      <c r="IM459">
        <v>0</v>
      </c>
      <c r="IN459">
        <v>0</v>
      </c>
      <c r="IO459">
        <v>123.4</v>
      </c>
      <c r="IP459">
        <v>405.2</v>
      </c>
      <c r="IQ459">
        <v>418.7</v>
      </c>
      <c r="IR459">
        <v>0</v>
      </c>
      <c r="IS459">
        <v>0</v>
      </c>
      <c r="IT459">
        <v>0</v>
      </c>
      <c r="IU459">
        <v>0</v>
      </c>
      <c r="IV459">
        <v>396</v>
      </c>
      <c r="IW459">
        <v>0</v>
      </c>
      <c r="IX459">
        <v>0</v>
      </c>
      <c r="IZ459">
        <v>0</v>
      </c>
      <c r="JA459">
        <v>65.5</v>
      </c>
      <c r="JB459">
        <v>443.5</v>
      </c>
      <c r="JC459">
        <v>0</v>
      </c>
      <c r="JD459">
        <v>0</v>
      </c>
      <c r="JE459">
        <v>0</v>
      </c>
      <c r="JF459">
        <v>0</v>
      </c>
      <c r="JG459">
        <v>0</v>
      </c>
      <c r="JH459">
        <v>0</v>
      </c>
      <c r="JI459">
        <v>0</v>
      </c>
      <c r="JJ459">
        <v>0</v>
      </c>
      <c r="JK459">
        <v>0</v>
      </c>
      <c r="JL459">
        <v>0</v>
      </c>
      <c r="JM459">
        <v>0</v>
      </c>
      <c r="JN459">
        <v>0</v>
      </c>
      <c r="JO459">
        <v>0</v>
      </c>
      <c r="JP459">
        <v>0</v>
      </c>
      <c r="JQ459">
        <v>0</v>
      </c>
      <c r="JR459">
        <v>0</v>
      </c>
      <c r="JS459">
        <v>0</v>
      </c>
      <c r="JT459">
        <v>0</v>
      </c>
      <c r="JU459">
        <v>0</v>
      </c>
      <c r="JV459">
        <v>0</v>
      </c>
      <c r="JW459">
        <v>0</v>
      </c>
      <c r="JX459">
        <v>0</v>
      </c>
      <c r="JY459">
        <v>0</v>
      </c>
      <c r="JZ459">
        <v>0</v>
      </c>
      <c r="KA459">
        <v>0</v>
      </c>
      <c r="KB459">
        <v>0</v>
      </c>
      <c r="KC459">
        <v>0</v>
      </c>
      <c r="KD459">
        <v>0</v>
      </c>
      <c r="KE459">
        <v>0</v>
      </c>
      <c r="KF459">
        <v>0</v>
      </c>
      <c r="KI459">
        <v>344.6</v>
      </c>
      <c r="KJ459">
        <v>350.8</v>
      </c>
      <c r="KK459">
        <v>22.1</v>
      </c>
      <c r="KL459">
        <v>379.3</v>
      </c>
      <c r="KM459">
        <v>241.4</v>
      </c>
      <c r="KN459">
        <v>0</v>
      </c>
      <c r="KO459">
        <v>0</v>
      </c>
      <c r="KP459">
        <v>57.3</v>
      </c>
      <c r="KQ459">
        <v>224.4</v>
      </c>
      <c r="KR459">
        <v>338.3</v>
      </c>
      <c r="KS459">
        <v>215.8</v>
      </c>
      <c r="KT459">
        <v>40.700000000000003</v>
      </c>
      <c r="KW459">
        <v>2154.5</v>
      </c>
      <c r="KX459">
        <v>1255.7</v>
      </c>
      <c r="KY459">
        <v>1630.1</v>
      </c>
      <c r="KZ459">
        <v>1246.9000000000001</v>
      </c>
      <c r="LB459">
        <v>78.099999999999994</v>
      </c>
      <c r="LC459">
        <v>77.7</v>
      </c>
    </row>
    <row r="460" spans="1:315" ht="18.600000000000001" thickTop="1" thickBot="1">
      <c r="A460" s="181"/>
      <c r="B460" s="181"/>
      <c r="C460" s="333"/>
      <c r="D460" s="287"/>
      <c r="E460" s="450">
        <v>0</v>
      </c>
      <c r="F460" s="190">
        <v>0</v>
      </c>
      <c r="G460" s="427">
        <v>3413.8</v>
      </c>
      <c r="H460" s="155"/>
      <c r="I460">
        <v>735</v>
      </c>
      <c r="K460">
        <v>1973.1000000000001</v>
      </c>
      <c r="L460" s="4">
        <v>221.60000000000002</v>
      </c>
      <c r="M460" s="4">
        <v>54.9</v>
      </c>
      <c r="N460" s="4">
        <v>1989.7</v>
      </c>
      <c r="P460">
        <v>0</v>
      </c>
      <c r="Q460">
        <v>238.29999999999998</v>
      </c>
      <c r="R460">
        <v>0</v>
      </c>
      <c r="S460">
        <v>0</v>
      </c>
      <c r="T460">
        <v>368.5</v>
      </c>
      <c r="W460">
        <v>720.3</v>
      </c>
      <c r="X460">
        <v>1411.5</v>
      </c>
      <c r="Y460">
        <v>96.5</v>
      </c>
      <c r="AA460">
        <v>859.6</v>
      </c>
      <c r="AB460">
        <v>1577.6000000000001</v>
      </c>
      <c r="AE460">
        <v>1330</v>
      </c>
      <c r="AF460">
        <v>1025.5</v>
      </c>
      <c r="AH460">
        <v>509.9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1349.3</v>
      </c>
      <c r="AO460">
        <v>786.40000000000009</v>
      </c>
      <c r="AP460">
        <v>0</v>
      </c>
      <c r="AQ460">
        <v>68.3</v>
      </c>
      <c r="AR460">
        <v>234.9</v>
      </c>
      <c r="AS460">
        <v>600.40000000000009</v>
      </c>
      <c r="AU460">
        <v>985.69999999999993</v>
      </c>
      <c r="AW460">
        <v>792</v>
      </c>
      <c r="AX460">
        <v>1988.5</v>
      </c>
      <c r="AZ460">
        <v>763.5</v>
      </c>
      <c r="BA460">
        <v>0</v>
      </c>
      <c r="BB460">
        <v>0</v>
      </c>
      <c r="BC460">
        <v>1935.3</v>
      </c>
      <c r="BD460">
        <v>1006.5</v>
      </c>
      <c r="BE460">
        <v>0</v>
      </c>
      <c r="BF460">
        <v>0</v>
      </c>
      <c r="BG460">
        <v>0</v>
      </c>
      <c r="BH460">
        <v>1662.6</v>
      </c>
      <c r="BJ460">
        <v>0</v>
      </c>
      <c r="BK460">
        <v>0</v>
      </c>
      <c r="BL460">
        <v>1038.9000000000001</v>
      </c>
      <c r="BM460">
        <v>1101</v>
      </c>
      <c r="BO460">
        <v>1276.8000000000002</v>
      </c>
      <c r="BQ460">
        <v>0</v>
      </c>
      <c r="BR460">
        <v>270.7</v>
      </c>
      <c r="BS460">
        <v>230.5</v>
      </c>
      <c r="BT460">
        <v>472.3</v>
      </c>
      <c r="BU460">
        <v>537.29999999999995</v>
      </c>
      <c r="BV460">
        <v>346.3</v>
      </c>
      <c r="BW460">
        <v>386.2</v>
      </c>
      <c r="BX460">
        <v>767</v>
      </c>
      <c r="BY460">
        <v>757.2</v>
      </c>
      <c r="BZ460">
        <v>1037.2</v>
      </c>
      <c r="CA460">
        <v>1227.0999999999999</v>
      </c>
      <c r="CB460">
        <v>1232.0999999999999</v>
      </c>
      <c r="CC460">
        <v>1701.5</v>
      </c>
      <c r="CD460">
        <v>0</v>
      </c>
      <c r="CG460">
        <v>1385.3</v>
      </c>
      <c r="CJ460">
        <v>1630.2999999999997</v>
      </c>
      <c r="CM460">
        <v>1184.2</v>
      </c>
      <c r="CO460">
        <v>1248.0999999999999</v>
      </c>
      <c r="CQ460">
        <v>1435.3</v>
      </c>
      <c r="CR460">
        <v>798.2</v>
      </c>
      <c r="CS460">
        <v>923.8</v>
      </c>
      <c r="CT460">
        <v>0</v>
      </c>
      <c r="CU460">
        <v>0</v>
      </c>
      <c r="CV460">
        <v>0</v>
      </c>
      <c r="CW460">
        <v>0</v>
      </c>
      <c r="CX460">
        <v>163.69999999999999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I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  <c r="EJ460">
        <v>0</v>
      </c>
      <c r="EM460">
        <v>0</v>
      </c>
      <c r="EN460">
        <v>0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G460" t="e">
        <v>#N/A</v>
      </c>
      <c r="FI460" t="e">
        <v>#N/A</v>
      </c>
      <c r="FK460" t="e">
        <v>#N/A</v>
      </c>
      <c r="FM460" t="e">
        <v>#N/A</v>
      </c>
      <c r="FO460" t="e">
        <v>#N/A</v>
      </c>
      <c r="FQ460" t="e">
        <v>#N/A</v>
      </c>
      <c r="FS460" t="e">
        <v>#N/A</v>
      </c>
      <c r="FU460" t="e">
        <v>#N/A</v>
      </c>
      <c r="FW460" t="e">
        <v>#N/A</v>
      </c>
      <c r="FY460" t="e">
        <v>#N/A</v>
      </c>
      <c r="GA460" t="e">
        <v>#N/A</v>
      </c>
      <c r="GC460" t="e">
        <v>#N/A</v>
      </c>
      <c r="GE460" t="e">
        <v>#N/A</v>
      </c>
      <c r="GG460" t="e">
        <v>#N/A</v>
      </c>
      <c r="GI460" t="e">
        <v>#N/A</v>
      </c>
      <c r="GK460" t="e">
        <v>#N/A</v>
      </c>
      <c r="GM460" t="e">
        <v>#N/A</v>
      </c>
      <c r="GO460" t="e">
        <v>#N/A</v>
      </c>
      <c r="GQ460" t="e">
        <v>#N/A</v>
      </c>
      <c r="GS460" t="e">
        <v>#N/A</v>
      </c>
      <c r="GU460" t="e">
        <v>#N/A</v>
      </c>
      <c r="GW460" t="e">
        <v>#N/A</v>
      </c>
      <c r="GY460" t="e">
        <v>#N/A</v>
      </c>
      <c r="HA460" t="e">
        <v>#N/A</v>
      </c>
      <c r="HC460">
        <v>0</v>
      </c>
      <c r="HD460">
        <v>0</v>
      </c>
      <c r="HE460">
        <v>0</v>
      </c>
      <c r="HF460">
        <v>0</v>
      </c>
      <c r="HG460">
        <v>0</v>
      </c>
      <c r="HH460">
        <v>0</v>
      </c>
      <c r="HI460">
        <v>0</v>
      </c>
      <c r="HJ460">
        <v>0</v>
      </c>
      <c r="HM460">
        <v>0</v>
      </c>
      <c r="HN460">
        <v>0</v>
      </c>
      <c r="HO460">
        <v>0</v>
      </c>
      <c r="HP460">
        <v>0</v>
      </c>
      <c r="HQ460">
        <v>0</v>
      </c>
      <c r="HR460">
        <v>0</v>
      </c>
      <c r="HS460">
        <v>0</v>
      </c>
      <c r="HT460">
        <v>0</v>
      </c>
      <c r="HW460">
        <v>0</v>
      </c>
      <c r="HX460">
        <v>0</v>
      </c>
      <c r="HY460">
        <v>0</v>
      </c>
      <c r="HZ460">
        <v>0</v>
      </c>
      <c r="IA460">
        <v>3930.6</v>
      </c>
      <c r="IB460">
        <v>3632.9</v>
      </c>
      <c r="IC460">
        <v>3795.5</v>
      </c>
      <c r="ID460">
        <v>0</v>
      </c>
      <c r="IE460">
        <v>0</v>
      </c>
      <c r="IF460">
        <v>3548.5</v>
      </c>
      <c r="IG460">
        <v>3395.2</v>
      </c>
      <c r="IH460">
        <v>3395.4</v>
      </c>
      <c r="II460">
        <v>3302.3</v>
      </c>
      <c r="IJ460">
        <v>3172.8</v>
      </c>
      <c r="IK460">
        <v>0</v>
      </c>
      <c r="IL460">
        <v>0</v>
      </c>
      <c r="IM460">
        <v>0</v>
      </c>
      <c r="IN460">
        <v>0</v>
      </c>
      <c r="IO460">
        <v>123.4</v>
      </c>
      <c r="IP460">
        <v>405.2</v>
      </c>
      <c r="IQ460">
        <v>418.7</v>
      </c>
      <c r="IR460">
        <v>0</v>
      </c>
      <c r="IS460">
        <v>0</v>
      </c>
      <c r="IT460">
        <v>0</v>
      </c>
      <c r="IU460">
        <v>0</v>
      </c>
      <c r="IV460">
        <v>396</v>
      </c>
      <c r="IW460">
        <v>0</v>
      </c>
      <c r="IX460">
        <v>0</v>
      </c>
      <c r="IZ460">
        <v>0</v>
      </c>
      <c r="JA460">
        <v>65.5</v>
      </c>
      <c r="JB460">
        <v>443.5</v>
      </c>
      <c r="JC460">
        <v>0</v>
      </c>
      <c r="JD460">
        <v>0</v>
      </c>
      <c r="JE460">
        <v>0</v>
      </c>
      <c r="JF460">
        <v>0</v>
      </c>
      <c r="JG460">
        <v>0</v>
      </c>
      <c r="JH460">
        <v>0</v>
      </c>
      <c r="JI460">
        <v>0</v>
      </c>
      <c r="JJ460">
        <v>0</v>
      </c>
      <c r="JK460">
        <v>0</v>
      </c>
      <c r="JL460">
        <v>0</v>
      </c>
      <c r="JM460">
        <v>0</v>
      </c>
      <c r="JN460">
        <v>0</v>
      </c>
      <c r="JO460">
        <v>0</v>
      </c>
      <c r="JP460">
        <v>0</v>
      </c>
      <c r="JQ460">
        <v>0</v>
      </c>
      <c r="JR460">
        <v>0</v>
      </c>
      <c r="JS460">
        <v>0</v>
      </c>
      <c r="JT460">
        <v>0</v>
      </c>
      <c r="JU460">
        <v>0</v>
      </c>
      <c r="JV460">
        <v>0</v>
      </c>
      <c r="JW460">
        <v>0</v>
      </c>
      <c r="JX460">
        <v>0</v>
      </c>
      <c r="JY460">
        <v>0</v>
      </c>
      <c r="JZ460">
        <v>0</v>
      </c>
      <c r="KA460">
        <v>0</v>
      </c>
      <c r="KB460">
        <v>0</v>
      </c>
      <c r="KC460">
        <v>0</v>
      </c>
      <c r="KD460">
        <v>0</v>
      </c>
      <c r="KE460">
        <v>0</v>
      </c>
      <c r="KF460">
        <v>0</v>
      </c>
      <c r="KI460">
        <v>344.6</v>
      </c>
      <c r="KJ460">
        <v>350.8</v>
      </c>
      <c r="KK460">
        <v>22.1</v>
      </c>
      <c r="KL460">
        <v>379.3</v>
      </c>
      <c r="KM460">
        <v>241.4</v>
      </c>
      <c r="KN460">
        <v>0</v>
      </c>
      <c r="KO460">
        <v>0</v>
      </c>
      <c r="KP460">
        <v>57.3</v>
      </c>
      <c r="KQ460">
        <v>224.4</v>
      </c>
      <c r="KR460">
        <v>338.3</v>
      </c>
      <c r="KS460">
        <v>215.8</v>
      </c>
      <c r="KT460">
        <v>40.700000000000003</v>
      </c>
      <c r="KW460">
        <v>2154.5</v>
      </c>
      <c r="KX460">
        <v>1255.7</v>
      </c>
      <c r="KY460">
        <v>1630.1</v>
      </c>
      <c r="KZ460">
        <v>1246.9000000000001</v>
      </c>
      <c r="LB460">
        <v>78.099999999999994</v>
      </c>
      <c r="LC460">
        <v>77.7</v>
      </c>
    </row>
    <row r="461" spans="1:315" ht="18" thickBot="1">
      <c r="A461" s="245"/>
      <c r="B461" s="245"/>
      <c r="C461" s="230" t="s">
        <v>889</v>
      </c>
      <c r="D461" s="281"/>
      <c r="E461" s="443">
        <v>0</v>
      </c>
      <c r="F461" s="191">
        <v>0</v>
      </c>
      <c r="G461" s="427">
        <v>3413.8</v>
      </c>
      <c r="H461" s="155"/>
      <c r="I461">
        <v>735</v>
      </c>
      <c r="K461">
        <v>1973.1000000000001</v>
      </c>
      <c r="L461" s="4">
        <v>221.60000000000002</v>
      </c>
      <c r="M461" s="4">
        <v>54.9</v>
      </c>
      <c r="N461" s="4">
        <v>1989.7</v>
      </c>
      <c r="P461">
        <v>0</v>
      </c>
      <c r="Q461">
        <v>238.29999999999998</v>
      </c>
      <c r="R461">
        <v>0</v>
      </c>
      <c r="S461">
        <v>0</v>
      </c>
      <c r="T461">
        <v>368.5</v>
      </c>
      <c r="W461">
        <v>720.3</v>
      </c>
      <c r="X461">
        <v>1411.5</v>
      </c>
      <c r="Y461">
        <v>96.5</v>
      </c>
      <c r="AA461">
        <v>859.6</v>
      </c>
      <c r="AB461">
        <v>1577.6000000000001</v>
      </c>
      <c r="AE461">
        <v>1330</v>
      </c>
      <c r="AF461">
        <v>1025.5</v>
      </c>
      <c r="AH461">
        <v>509.9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1349.3</v>
      </c>
      <c r="AO461">
        <v>786.40000000000009</v>
      </c>
      <c r="AP461">
        <v>0</v>
      </c>
      <c r="AQ461">
        <v>68.3</v>
      </c>
      <c r="AR461">
        <v>234.9</v>
      </c>
      <c r="AS461">
        <v>600.40000000000009</v>
      </c>
      <c r="AU461">
        <v>985.69999999999993</v>
      </c>
      <c r="AW461">
        <v>792</v>
      </c>
      <c r="AX461">
        <v>1988.5</v>
      </c>
      <c r="AZ461">
        <v>763.5</v>
      </c>
      <c r="BA461">
        <v>0</v>
      </c>
      <c r="BB461">
        <v>0</v>
      </c>
      <c r="BC461">
        <v>1935.3</v>
      </c>
      <c r="BD461">
        <v>1006.5</v>
      </c>
      <c r="BE461">
        <v>0</v>
      </c>
      <c r="BF461">
        <v>0</v>
      </c>
      <c r="BG461">
        <v>0</v>
      </c>
      <c r="BH461">
        <v>1662.6</v>
      </c>
      <c r="BJ461">
        <v>0</v>
      </c>
      <c r="BK461">
        <v>0</v>
      </c>
      <c r="BL461">
        <v>1038.9000000000001</v>
      </c>
      <c r="BM461">
        <v>1101</v>
      </c>
      <c r="BO461">
        <v>1276.8000000000002</v>
      </c>
      <c r="BQ461">
        <v>0</v>
      </c>
      <c r="BR461">
        <v>270.7</v>
      </c>
      <c r="BS461">
        <v>230.5</v>
      </c>
      <c r="BT461">
        <v>472.3</v>
      </c>
      <c r="BU461">
        <v>537.29999999999995</v>
      </c>
      <c r="BV461">
        <v>346.3</v>
      </c>
      <c r="BW461">
        <v>386.2</v>
      </c>
      <c r="BX461">
        <v>767</v>
      </c>
      <c r="BY461">
        <v>757.2</v>
      </c>
      <c r="BZ461">
        <v>1037.2</v>
      </c>
      <c r="CA461">
        <v>1227.0999999999999</v>
      </c>
      <c r="CB461">
        <v>1232.0999999999999</v>
      </c>
      <c r="CC461">
        <v>1701.5</v>
      </c>
      <c r="CD461">
        <v>0</v>
      </c>
      <c r="CG461">
        <v>1385.3</v>
      </c>
      <c r="CJ461">
        <v>1630.2999999999997</v>
      </c>
      <c r="CM461">
        <v>1184.2</v>
      </c>
      <c r="CO461">
        <v>1248.0999999999999</v>
      </c>
      <c r="CQ461">
        <v>1435.3</v>
      </c>
      <c r="CR461">
        <v>798.2</v>
      </c>
      <c r="CS461">
        <v>923.8</v>
      </c>
      <c r="CT461">
        <v>0</v>
      </c>
      <c r="CU461">
        <v>0</v>
      </c>
      <c r="CV461">
        <v>0</v>
      </c>
      <c r="CW461">
        <v>0</v>
      </c>
      <c r="CX461">
        <v>163.69999999999999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I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G461" t="e">
        <v>#N/A</v>
      </c>
      <c r="FI461" t="e">
        <v>#N/A</v>
      </c>
      <c r="FK461" t="e">
        <v>#N/A</v>
      </c>
      <c r="FM461" t="e">
        <v>#N/A</v>
      </c>
      <c r="FO461" t="e">
        <v>#N/A</v>
      </c>
      <c r="FQ461" t="e">
        <v>#N/A</v>
      </c>
      <c r="FS461" t="e">
        <v>#N/A</v>
      </c>
      <c r="FU461" t="e">
        <v>#N/A</v>
      </c>
      <c r="FW461" t="e">
        <v>#N/A</v>
      </c>
      <c r="FY461" t="e">
        <v>#N/A</v>
      </c>
      <c r="GA461" t="e">
        <v>#N/A</v>
      </c>
      <c r="GC461" t="e">
        <v>#N/A</v>
      </c>
      <c r="GE461" t="e">
        <v>#N/A</v>
      </c>
      <c r="GG461" t="e">
        <v>#N/A</v>
      </c>
      <c r="GI461" t="e">
        <v>#N/A</v>
      </c>
      <c r="GK461" t="e">
        <v>#N/A</v>
      </c>
      <c r="GM461" t="e">
        <v>#N/A</v>
      </c>
      <c r="GO461" t="e">
        <v>#N/A</v>
      </c>
      <c r="GQ461" t="e">
        <v>#N/A</v>
      </c>
      <c r="GS461" t="e">
        <v>#N/A</v>
      </c>
      <c r="GU461" t="e">
        <v>#N/A</v>
      </c>
      <c r="GW461" t="e">
        <v>#N/A</v>
      </c>
      <c r="GY461" t="e">
        <v>#N/A</v>
      </c>
      <c r="HA461" t="e">
        <v>#N/A</v>
      </c>
      <c r="HC461">
        <v>0</v>
      </c>
      <c r="HD461">
        <v>0</v>
      </c>
      <c r="HE461">
        <v>0</v>
      </c>
      <c r="HF461">
        <v>0</v>
      </c>
      <c r="HG461">
        <v>0</v>
      </c>
      <c r="HH461">
        <v>0</v>
      </c>
      <c r="HI461">
        <v>0</v>
      </c>
      <c r="HJ461">
        <v>0</v>
      </c>
      <c r="HM461">
        <v>0</v>
      </c>
      <c r="HN461">
        <v>0</v>
      </c>
      <c r="HO461">
        <v>0</v>
      </c>
      <c r="HP461">
        <v>0</v>
      </c>
      <c r="HQ461">
        <v>0</v>
      </c>
      <c r="HR461">
        <v>0</v>
      </c>
      <c r="HS461">
        <v>0</v>
      </c>
      <c r="HT461">
        <v>0</v>
      </c>
      <c r="HW461">
        <v>0</v>
      </c>
      <c r="HX461">
        <v>0</v>
      </c>
      <c r="HY461">
        <v>0</v>
      </c>
      <c r="HZ461">
        <v>0</v>
      </c>
      <c r="IA461">
        <v>3930.6</v>
      </c>
      <c r="IB461">
        <v>3632.9</v>
      </c>
      <c r="IC461">
        <v>3795.5</v>
      </c>
      <c r="ID461">
        <v>0</v>
      </c>
      <c r="IE461">
        <v>0</v>
      </c>
      <c r="IF461">
        <v>3548.5</v>
      </c>
      <c r="IG461">
        <v>3395.2</v>
      </c>
      <c r="IH461">
        <v>3395.4</v>
      </c>
      <c r="II461">
        <v>3302.3</v>
      </c>
      <c r="IJ461">
        <v>3172.8</v>
      </c>
      <c r="IK461">
        <v>0</v>
      </c>
      <c r="IL461">
        <v>0</v>
      </c>
      <c r="IM461">
        <v>0</v>
      </c>
      <c r="IN461">
        <v>0</v>
      </c>
      <c r="IO461">
        <v>123.4</v>
      </c>
      <c r="IP461">
        <v>405.2</v>
      </c>
      <c r="IQ461">
        <v>418.7</v>
      </c>
      <c r="IR461">
        <v>0</v>
      </c>
      <c r="IS461">
        <v>0</v>
      </c>
      <c r="IT461">
        <v>0</v>
      </c>
      <c r="IU461">
        <v>0</v>
      </c>
      <c r="IV461">
        <v>396</v>
      </c>
      <c r="IW461">
        <v>0</v>
      </c>
      <c r="IX461">
        <v>0</v>
      </c>
      <c r="IZ461">
        <v>0</v>
      </c>
      <c r="JA461">
        <v>65.5</v>
      </c>
      <c r="JB461">
        <v>443.5</v>
      </c>
      <c r="JC461">
        <v>0</v>
      </c>
      <c r="JD461">
        <v>0</v>
      </c>
      <c r="JE461">
        <v>0</v>
      </c>
      <c r="JF461">
        <v>0</v>
      </c>
      <c r="JG461">
        <v>0</v>
      </c>
      <c r="JH461">
        <v>0</v>
      </c>
      <c r="JI461">
        <v>0</v>
      </c>
      <c r="JJ461">
        <v>0</v>
      </c>
      <c r="JK461">
        <v>0</v>
      </c>
      <c r="JL461">
        <v>0</v>
      </c>
      <c r="JM461">
        <v>0</v>
      </c>
      <c r="JN461">
        <v>0</v>
      </c>
      <c r="JO461">
        <v>0</v>
      </c>
      <c r="JP461">
        <v>0</v>
      </c>
      <c r="JQ461">
        <v>0</v>
      </c>
      <c r="JR461">
        <v>0</v>
      </c>
      <c r="JS461">
        <v>0</v>
      </c>
      <c r="JT461">
        <v>0</v>
      </c>
      <c r="JU461">
        <v>0</v>
      </c>
      <c r="JV461">
        <v>0</v>
      </c>
      <c r="JW461">
        <v>0</v>
      </c>
      <c r="JX461">
        <v>0</v>
      </c>
      <c r="JY461">
        <v>0</v>
      </c>
      <c r="JZ461">
        <v>0</v>
      </c>
      <c r="KA461">
        <v>0</v>
      </c>
      <c r="KB461">
        <v>0</v>
      </c>
      <c r="KC461">
        <v>0</v>
      </c>
      <c r="KD461">
        <v>0</v>
      </c>
      <c r="KE461">
        <v>0</v>
      </c>
      <c r="KF461">
        <v>0</v>
      </c>
      <c r="KI461">
        <v>344.6</v>
      </c>
      <c r="KJ461">
        <v>350.8</v>
      </c>
      <c r="KK461">
        <v>22.1</v>
      </c>
      <c r="KL461">
        <v>379.3</v>
      </c>
      <c r="KM461">
        <v>241.4</v>
      </c>
      <c r="KN461">
        <v>0</v>
      </c>
      <c r="KO461">
        <v>0</v>
      </c>
      <c r="KP461">
        <v>57.3</v>
      </c>
      <c r="KQ461">
        <v>224.4</v>
      </c>
      <c r="KR461">
        <v>338.3</v>
      </c>
      <c r="KS461">
        <v>215.8</v>
      </c>
      <c r="KT461">
        <v>40.700000000000003</v>
      </c>
      <c r="KW461">
        <v>2154.5</v>
      </c>
      <c r="KX461">
        <v>1255.7</v>
      </c>
      <c r="KY461">
        <v>1630.1</v>
      </c>
      <c r="KZ461">
        <v>1246.9000000000001</v>
      </c>
      <c r="LB461">
        <v>78.099999999999994</v>
      </c>
      <c r="LC461">
        <v>77.7</v>
      </c>
    </row>
    <row r="462" spans="1:315" ht="18" thickBot="1">
      <c r="A462" s="245"/>
      <c r="B462" s="245"/>
      <c r="C462" s="230" t="s">
        <v>720</v>
      </c>
      <c r="D462" s="281"/>
      <c r="E462" s="443">
        <v>0</v>
      </c>
      <c r="F462" s="191">
        <v>0</v>
      </c>
      <c r="G462" s="427">
        <v>3413.8</v>
      </c>
      <c r="H462" s="155"/>
      <c r="I462">
        <v>735</v>
      </c>
      <c r="K462">
        <v>1973.1000000000001</v>
      </c>
      <c r="L462" s="4">
        <v>221.60000000000002</v>
      </c>
      <c r="M462" s="4">
        <v>54.9</v>
      </c>
      <c r="N462" s="4">
        <v>1989.7</v>
      </c>
      <c r="P462">
        <v>0</v>
      </c>
      <c r="Q462">
        <v>238.29999999999998</v>
      </c>
      <c r="R462">
        <v>0</v>
      </c>
      <c r="S462">
        <v>0</v>
      </c>
      <c r="T462">
        <v>368.5</v>
      </c>
      <c r="W462">
        <v>720.3</v>
      </c>
      <c r="X462">
        <v>1411.5</v>
      </c>
      <c r="Y462">
        <v>96.5</v>
      </c>
      <c r="AA462">
        <v>859.6</v>
      </c>
      <c r="AB462">
        <v>1577.6000000000001</v>
      </c>
      <c r="AE462">
        <v>1330</v>
      </c>
      <c r="AF462">
        <v>1025.5</v>
      </c>
      <c r="AH462">
        <v>509.9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1349.3</v>
      </c>
      <c r="AO462">
        <v>786.40000000000009</v>
      </c>
      <c r="AP462">
        <v>0</v>
      </c>
      <c r="AQ462">
        <v>68.3</v>
      </c>
      <c r="AR462">
        <v>234.9</v>
      </c>
      <c r="AS462">
        <v>600.40000000000009</v>
      </c>
      <c r="AU462">
        <v>985.69999999999993</v>
      </c>
      <c r="AW462">
        <v>792</v>
      </c>
      <c r="AX462">
        <v>1988.5</v>
      </c>
      <c r="AZ462">
        <v>763.5</v>
      </c>
      <c r="BA462">
        <v>0</v>
      </c>
      <c r="BB462">
        <v>0</v>
      </c>
      <c r="BC462">
        <v>1935.3</v>
      </c>
      <c r="BD462">
        <v>1006.5</v>
      </c>
      <c r="BE462">
        <v>0</v>
      </c>
      <c r="BF462">
        <v>0</v>
      </c>
      <c r="BG462">
        <v>0</v>
      </c>
      <c r="BH462">
        <v>1662.6</v>
      </c>
      <c r="BJ462">
        <v>0</v>
      </c>
      <c r="BK462">
        <v>0</v>
      </c>
      <c r="BL462">
        <v>1038.9000000000001</v>
      </c>
      <c r="BM462">
        <v>1101</v>
      </c>
      <c r="BO462">
        <v>1276.8000000000002</v>
      </c>
      <c r="BQ462">
        <v>0</v>
      </c>
      <c r="BR462">
        <v>270.7</v>
      </c>
      <c r="BS462">
        <v>230.5</v>
      </c>
      <c r="BT462">
        <v>472.3</v>
      </c>
      <c r="BU462">
        <v>537.29999999999995</v>
      </c>
      <c r="BV462">
        <v>346.3</v>
      </c>
      <c r="BW462">
        <v>386.2</v>
      </c>
      <c r="BX462">
        <v>767</v>
      </c>
      <c r="BY462">
        <v>757.2</v>
      </c>
      <c r="BZ462">
        <v>1037.2</v>
      </c>
      <c r="CA462">
        <v>1227.0999999999999</v>
      </c>
      <c r="CB462">
        <v>1232.0999999999999</v>
      </c>
      <c r="CC462">
        <v>1701.5</v>
      </c>
      <c r="CD462">
        <v>0</v>
      </c>
      <c r="CG462">
        <v>1385.3</v>
      </c>
      <c r="CJ462">
        <v>1630.2999999999997</v>
      </c>
      <c r="CM462">
        <v>1184.2</v>
      </c>
      <c r="CO462">
        <v>1248.0999999999999</v>
      </c>
      <c r="CQ462">
        <v>1435.3</v>
      </c>
      <c r="CR462">
        <v>798.2</v>
      </c>
      <c r="CS462">
        <v>923.8</v>
      </c>
      <c r="CT462">
        <v>0</v>
      </c>
      <c r="CU462">
        <v>0</v>
      </c>
      <c r="CV462">
        <v>0</v>
      </c>
      <c r="CW462">
        <v>0</v>
      </c>
      <c r="CX462">
        <v>163.69999999999999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I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  <c r="EJ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G462" t="e">
        <v>#N/A</v>
      </c>
      <c r="FI462" t="e">
        <v>#N/A</v>
      </c>
      <c r="FK462" t="e">
        <v>#N/A</v>
      </c>
      <c r="FM462" t="e">
        <v>#N/A</v>
      </c>
      <c r="FO462" t="e">
        <v>#N/A</v>
      </c>
      <c r="FQ462" t="e">
        <v>#N/A</v>
      </c>
      <c r="FS462" t="e">
        <v>#N/A</v>
      </c>
      <c r="FU462" t="e">
        <v>#N/A</v>
      </c>
      <c r="FW462" t="e">
        <v>#N/A</v>
      </c>
      <c r="FY462" t="e">
        <v>#N/A</v>
      </c>
      <c r="GA462" t="e">
        <v>#N/A</v>
      </c>
      <c r="GC462" t="e">
        <v>#N/A</v>
      </c>
      <c r="GE462" t="e">
        <v>#N/A</v>
      </c>
      <c r="GG462" t="e">
        <v>#N/A</v>
      </c>
      <c r="GI462" t="e">
        <v>#N/A</v>
      </c>
      <c r="GK462" t="e">
        <v>#N/A</v>
      </c>
      <c r="GM462" t="e">
        <v>#N/A</v>
      </c>
      <c r="GO462" t="e">
        <v>#N/A</v>
      </c>
      <c r="GQ462" t="e">
        <v>#N/A</v>
      </c>
      <c r="GS462" t="e">
        <v>#N/A</v>
      </c>
      <c r="GU462" t="e">
        <v>#N/A</v>
      </c>
      <c r="GW462" t="e">
        <v>#N/A</v>
      </c>
      <c r="GY462" t="e">
        <v>#N/A</v>
      </c>
      <c r="HA462" t="e">
        <v>#N/A</v>
      </c>
      <c r="HC462">
        <v>0</v>
      </c>
      <c r="HD462">
        <v>0</v>
      </c>
      <c r="HE462">
        <v>0</v>
      </c>
      <c r="HF462">
        <v>0</v>
      </c>
      <c r="HG462">
        <v>0</v>
      </c>
      <c r="HH462">
        <v>0</v>
      </c>
      <c r="HI462">
        <v>0</v>
      </c>
      <c r="HJ462">
        <v>0</v>
      </c>
      <c r="HM462">
        <v>0</v>
      </c>
      <c r="HN462">
        <v>0</v>
      </c>
      <c r="HO462">
        <v>0</v>
      </c>
      <c r="HP462">
        <v>0</v>
      </c>
      <c r="HQ462">
        <v>0</v>
      </c>
      <c r="HR462">
        <v>0</v>
      </c>
      <c r="HS462">
        <v>0</v>
      </c>
      <c r="HT462">
        <v>0</v>
      </c>
      <c r="HW462">
        <v>0</v>
      </c>
      <c r="HX462">
        <v>0</v>
      </c>
      <c r="HY462">
        <v>0</v>
      </c>
      <c r="HZ462">
        <v>0</v>
      </c>
      <c r="IA462">
        <v>3930.6</v>
      </c>
      <c r="IB462">
        <v>3632.9</v>
      </c>
      <c r="IC462">
        <v>3795.5</v>
      </c>
      <c r="ID462">
        <v>0</v>
      </c>
      <c r="IE462">
        <v>0</v>
      </c>
      <c r="IF462">
        <v>3548.5</v>
      </c>
      <c r="IG462">
        <v>3395.2</v>
      </c>
      <c r="IH462">
        <v>3395.4</v>
      </c>
      <c r="II462">
        <v>3302.3</v>
      </c>
      <c r="IJ462">
        <v>3172.8</v>
      </c>
      <c r="IK462">
        <v>0</v>
      </c>
      <c r="IL462">
        <v>0</v>
      </c>
      <c r="IM462">
        <v>0</v>
      </c>
      <c r="IN462">
        <v>0</v>
      </c>
      <c r="IO462">
        <v>123.4</v>
      </c>
      <c r="IP462">
        <v>405.2</v>
      </c>
      <c r="IQ462">
        <v>418.7</v>
      </c>
      <c r="IR462">
        <v>0</v>
      </c>
      <c r="IS462">
        <v>0</v>
      </c>
      <c r="IT462">
        <v>0</v>
      </c>
      <c r="IU462">
        <v>0</v>
      </c>
      <c r="IV462">
        <v>396</v>
      </c>
      <c r="IW462">
        <v>0</v>
      </c>
      <c r="IX462">
        <v>0</v>
      </c>
      <c r="IZ462">
        <v>0</v>
      </c>
      <c r="JA462">
        <v>65.5</v>
      </c>
      <c r="JB462">
        <v>443.5</v>
      </c>
      <c r="JC462">
        <v>0</v>
      </c>
      <c r="JD462">
        <v>0</v>
      </c>
      <c r="JE462">
        <v>0</v>
      </c>
      <c r="JF462">
        <v>0</v>
      </c>
      <c r="JG462">
        <v>0</v>
      </c>
      <c r="JH462">
        <v>0</v>
      </c>
      <c r="JI462">
        <v>0</v>
      </c>
      <c r="JJ462">
        <v>0</v>
      </c>
      <c r="JK462">
        <v>0</v>
      </c>
      <c r="JL462">
        <v>0</v>
      </c>
      <c r="JM462">
        <v>0</v>
      </c>
      <c r="JN462">
        <v>0</v>
      </c>
      <c r="JO462">
        <v>0</v>
      </c>
      <c r="JP462">
        <v>0</v>
      </c>
      <c r="JQ462">
        <v>0</v>
      </c>
      <c r="JR462">
        <v>0</v>
      </c>
      <c r="JS462">
        <v>0</v>
      </c>
      <c r="JT462">
        <v>0</v>
      </c>
      <c r="JU462">
        <v>0</v>
      </c>
      <c r="JV462">
        <v>0</v>
      </c>
      <c r="JW462">
        <v>0</v>
      </c>
      <c r="JX462">
        <v>0</v>
      </c>
      <c r="JY462">
        <v>0</v>
      </c>
      <c r="JZ462">
        <v>0</v>
      </c>
      <c r="KA462">
        <v>0</v>
      </c>
      <c r="KB462">
        <v>0</v>
      </c>
      <c r="KC462">
        <v>0</v>
      </c>
      <c r="KD462">
        <v>0</v>
      </c>
      <c r="KE462">
        <v>0</v>
      </c>
      <c r="KF462">
        <v>0</v>
      </c>
      <c r="KI462">
        <v>344.6</v>
      </c>
      <c r="KJ462">
        <v>350.8</v>
      </c>
      <c r="KK462">
        <v>22.1</v>
      </c>
      <c r="KL462">
        <v>379.3</v>
      </c>
      <c r="KM462">
        <v>241.4</v>
      </c>
      <c r="KN462">
        <v>0</v>
      </c>
      <c r="KO462">
        <v>0</v>
      </c>
      <c r="KP462">
        <v>57.3</v>
      </c>
      <c r="KQ462">
        <v>224.4</v>
      </c>
      <c r="KR462">
        <v>338.3</v>
      </c>
      <c r="KS462">
        <v>215.8</v>
      </c>
      <c r="KT462">
        <v>40.700000000000003</v>
      </c>
      <c r="KW462">
        <v>2154.5</v>
      </c>
      <c r="KX462">
        <v>1255.7</v>
      </c>
      <c r="KY462">
        <v>1630.1</v>
      </c>
      <c r="KZ462">
        <v>1246.9000000000001</v>
      </c>
      <c r="LB462">
        <v>78.099999999999994</v>
      </c>
      <c r="LC462">
        <v>77.7</v>
      </c>
    </row>
    <row r="463" spans="1:315" ht="18" thickBot="1">
      <c r="A463" s="245"/>
      <c r="B463" s="245"/>
      <c r="C463" s="230" t="s">
        <v>721</v>
      </c>
      <c r="D463" s="281"/>
      <c r="E463" s="443">
        <v>0</v>
      </c>
      <c r="F463" s="191">
        <v>0</v>
      </c>
      <c r="G463" s="427">
        <v>3413.8</v>
      </c>
      <c r="H463" s="155"/>
      <c r="I463">
        <v>735</v>
      </c>
      <c r="K463">
        <v>1973.1000000000001</v>
      </c>
      <c r="L463" s="4">
        <v>221.60000000000002</v>
      </c>
      <c r="M463" s="4">
        <v>54.9</v>
      </c>
      <c r="N463" s="4">
        <v>1989.7</v>
      </c>
      <c r="P463">
        <v>0</v>
      </c>
      <c r="Q463">
        <v>238.29999999999998</v>
      </c>
      <c r="R463">
        <v>0</v>
      </c>
      <c r="S463">
        <v>0</v>
      </c>
      <c r="T463">
        <v>368.5</v>
      </c>
      <c r="W463">
        <v>720.3</v>
      </c>
      <c r="X463">
        <v>1411.5</v>
      </c>
      <c r="Y463">
        <v>96.5</v>
      </c>
      <c r="AA463">
        <v>859.6</v>
      </c>
      <c r="AB463">
        <v>1577.6000000000001</v>
      </c>
      <c r="AE463">
        <v>1330</v>
      </c>
      <c r="AF463">
        <v>1025.5</v>
      </c>
      <c r="AH463">
        <v>509.9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1349.3</v>
      </c>
      <c r="AO463">
        <v>786.40000000000009</v>
      </c>
      <c r="AP463">
        <v>0</v>
      </c>
      <c r="AQ463">
        <v>68.3</v>
      </c>
      <c r="AR463">
        <v>234.9</v>
      </c>
      <c r="AS463">
        <v>600.40000000000009</v>
      </c>
      <c r="AU463">
        <v>985.69999999999993</v>
      </c>
      <c r="AW463">
        <v>792</v>
      </c>
      <c r="AX463">
        <v>1988.5</v>
      </c>
      <c r="AZ463">
        <v>763.5</v>
      </c>
      <c r="BA463">
        <v>0</v>
      </c>
      <c r="BB463">
        <v>0</v>
      </c>
      <c r="BC463">
        <v>1935.3</v>
      </c>
      <c r="BD463">
        <v>1006.5</v>
      </c>
      <c r="BE463">
        <v>0</v>
      </c>
      <c r="BF463">
        <v>0</v>
      </c>
      <c r="BG463">
        <v>0</v>
      </c>
      <c r="BH463">
        <v>1662.6</v>
      </c>
      <c r="BJ463">
        <v>0</v>
      </c>
      <c r="BK463">
        <v>0</v>
      </c>
      <c r="BL463">
        <v>1038.9000000000001</v>
      </c>
      <c r="BM463">
        <v>1101</v>
      </c>
      <c r="BO463">
        <v>1276.8000000000002</v>
      </c>
      <c r="BQ463">
        <v>0</v>
      </c>
      <c r="BR463">
        <v>270.7</v>
      </c>
      <c r="BS463">
        <v>230.5</v>
      </c>
      <c r="BT463">
        <v>472.3</v>
      </c>
      <c r="BU463">
        <v>537.29999999999995</v>
      </c>
      <c r="BV463">
        <v>346.3</v>
      </c>
      <c r="BW463">
        <v>386.2</v>
      </c>
      <c r="BX463">
        <v>767</v>
      </c>
      <c r="BY463">
        <v>757.2</v>
      </c>
      <c r="BZ463">
        <v>1037.2</v>
      </c>
      <c r="CA463">
        <v>1227.0999999999999</v>
      </c>
      <c r="CB463">
        <v>1232.0999999999999</v>
      </c>
      <c r="CC463">
        <v>1701.5</v>
      </c>
      <c r="CD463">
        <v>0</v>
      </c>
      <c r="CG463">
        <v>1385.3</v>
      </c>
      <c r="CJ463">
        <v>1630.2999999999997</v>
      </c>
      <c r="CM463">
        <v>1184.2</v>
      </c>
      <c r="CO463">
        <v>1248.0999999999999</v>
      </c>
      <c r="CQ463">
        <v>1435.3</v>
      </c>
      <c r="CR463">
        <v>798.2</v>
      </c>
      <c r="CS463">
        <v>923.8</v>
      </c>
      <c r="CT463">
        <v>0</v>
      </c>
      <c r="CU463">
        <v>0</v>
      </c>
      <c r="CV463">
        <v>0</v>
      </c>
      <c r="CW463">
        <v>0</v>
      </c>
      <c r="CX463">
        <v>163.69999999999999</v>
      </c>
      <c r="CY463">
        <v>0</v>
      </c>
      <c r="CZ463">
        <v>0</v>
      </c>
      <c r="DA463">
        <v>0</v>
      </c>
      <c r="DB463">
        <v>0</v>
      </c>
      <c r="DC463">
        <v>0</v>
      </c>
      <c r="DD463">
        <v>0</v>
      </c>
      <c r="DE463">
        <v>0</v>
      </c>
      <c r="DI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G463" t="e">
        <v>#N/A</v>
      </c>
      <c r="FI463" t="e">
        <v>#N/A</v>
      </c>
      <c r="FK463" t="e">
        <v>#N/A</v>
      </c>
      <c r="FM463" t="e">
        <v>#N/A</v>
      </c>
      <c r="FO463" t="e">
        <v>#N/A</v>
      </c>
      <c r="FQ463" t="e">
        <v>#N/A</v>
      </c>
      <c r="FS463" t="e">
        <v>#N/A</v>
      </c>
      <c r="FU463" t="e">
        <v>#N/A</v>
      </c>
      <c r="FW463" t="e">
        <v>#N/A</v>
      </c>
      <c r="FY463" t="e">
        <v>#N/A</v>
      </c>
      <c r="GA463" t="e">
        <v>#N/A</v>
      </c>
      <c r="GC463" t="e">
        <v>#N/A</v>
      </c>
      <c r="GE463" t="e">
        <v>#N/A</v>
      </c>
      <c r="GG463" t="e">
        <v>#N/A</v>
      </c>
      <c r="GI463" t="e">
        <v>#N/A</v>
      </c>
      <c r="GK463" t="e">
        <v>#N/A</v>
      </c>
      <c r="GM463" t="e">
        <v>#N/A</v>
      </c>
      <c r="GO463" t="e">
        <v>#N/A</v>
      </c>
      <c r="GQ463" t="e">
        <v>#N/A</v>
      </c>
      <c r="GS463" t="e">
        <v>#N/A</v>
      </c>
      <c r="GU463" t="e">
        <v>#N/A</v>
      </c>
      <c r="GW463" t="e">
        <v>#N/A</v>
      </c>
      <c r="GY463" t="e">
        <v>#N/A</v>
      </c>
      <c r="HA463" t="e">
        <v>#N/A</v>
      </c>
      <c r="HC463">
        <v>0</v>
      </c>
      <c r="HD463">
        <v>0</v>
      </c>
      <c r="HE463">
        <v>0</v>
      </c>
      <c r="HF463">
        <v>0</v>
      </c>
      <c r="HG463">
        <v>0</v>
      </c>
      <c r="HH463">
        <v>0</v>
      </c>
      <c r="HI463">
        <v>0</v>
      </c>
      <c r="HJ463">
        <v>0</v>
      </c>
      <c r="HM463">
        <v>0</v>
      </c>
      <c r="HN463">
        <v>0</v>
      </c>
      <c r="HO463">
        <v>0</v>
      </c>
      <c r="HP463">
        <v>0</v>
      </c>
      <c r="HQ463">
        <v>0</v>
      </c>
      <c r="HR463">
        <v>0</v>
      </c>
      <c r="HS463">
        <v>0</v>
      </c>
      <c r="HT463">
        <v>0</v>
      </c>
      <c r="HW463">
        <v>0</v>
      </c>
      <c r="HX463">
        <v>0</v>
      </c>
      <c r="HY463">
        <v>0</v>
      </c>
      <c r="HZ463">
        <v>0</v>
      </c>
      <c r="IA463">
        <v>3930.6</v>
      </c>
      <c r="IB463">
        <v>3632.9</v>
      </c>
      <c r="IC463">
        <v>3795.5</v>
      </c>
      <c r="ID463">
        <v>0</v>
      </c>
      <c r="IE463">
        <v>0</v>
      </c>
      <c r="IF463">
        <v>3548.5</v>
      </c>
      <c r="IG463">
        <v>3395.2</v>
      </c>
      <c r="IH463">
        <v>3395.4</v>
      </c>
      <c r="II463">
        <v>3302.3</v>
      </c>
      <c r="IJ463">
        <v>3172.8</v>
      </c>
      <c r="IK463">
        <v>0</v>
      </c>
      <c r="IL463">
        <v>0</v>
      </c>
      <c r="IM463">
        <v>0</v>
      </c>
      <c r="IN463">
        <v>0</v>
      </c>
      <c r="IO463">
        <v>123.4</v>
      </c>
      <c r="IP463">
        <v>405.2</v>
      </c>
      <c r="IQ463">
        <v>418.7</v>
      </c>
      <c r="IR463">
        <v>0</v>
      </c>
      <c r="IS463">
        <v>0</v>
      </c>
      <c r="IT463">
        <v>0</v>
      </c>
      <c r="IU463">
        <v>0</v>
      </c>
      <c r="IV463">
        <v>396</v>
      </c>
      <c r="IW463">
        <v>0</v>
      </c>
      <c r="IX463">
        <v>0</v>
      </c>
      <c r="IZ463">
        <v>0</v>
      </c>
      <c r="JA463">
        <v>65.5</v>
      </c>
      <c r="JB463">
        <v>443.5</v>
      </c>
      <c r="JC463">
        <v>0</v>
      </c>
      <c r="JD463">
        <v>0</v>
      </c>
      <c r="JE463">
        <v>0</v>
      </c>
      <c r="JF463">
        <v>0</v>
      </c>
      <c r="JG463">
        <v>0</v>
      </c>
      <c r="JH463">
        <v>0</v>
      </c>
      <c r="JI463">
        <v>0</v>
      </c>
      <c r="JJ463">
        <v>0</v>
      </c>
      <c r="JK463">
        <v>0</v>
      </c>
      <c r="JL463">
        <v>0</v>
      </c>
      <c r="JM463">
        <v>0</v>
      </c>
      <c r="JN463">
        <v>0</v>
      </c>
      <c r="JO463">
        <v>0</v>
      </c>
      <c r="JP463">
        <v>0</v>
      </c>
      <c r="JQ463">
        <v>0</v>
      </c>
      <c r="JR463">
        <v>0</v>
      </c>
      <c r="JS463">
        <v>0</v>
      </c>
      <c r="JT463">
        <v>0</v>
      </c>
      <c r="JU463">
        <v>0</v>
      </c>
      <c r="JV463">
        <v>0</v>
      </c>
      <c r="JW463">
        <v>0</v>
      </c>
      <c r="JX463">
        <v>0</v>
      </c>
      <c r="JY463">
        <v>0</v>
      </c>
      <c r="JZ463">
        <v>0</v>
      </c>
      <c r="KA463">
        <v>0</v>
      </c>
      <c r="KB463">
        <v>0</v>
      </c>
      <c r="KC463">
        <v>0</v>
      </c>
      <c r="KD463">
        <v>0</v>
      </c>
      <c r="KE463">
        <v>0</v>
      </c>
      <c r="KF463">
        <v>0</v>
      </c>
      <c r="KI463">
        <v>344.6</v>
      </c>
      <c r="KJ463">
        <v>350.8</v>
      </c>
      <c r="KK463">
        <v>22.1</v>
      </c>
      <c r="KL463">
        <v>379.3</v>
      </c>
      <c r="KM463">
        <v>241.4</v>
      </c>
      <c r="KN463">
        <v>0</v>
      </c>
      <c r="KO463">
        <v>0</v>
      </c>
      <c r="KP463">
        <v>57.3</v>
      </c>
      <c r="KQ463">
        <v>224.4</v>
      </c>
      <c r="KR463">
        <v>338.3</v>
      </c>
      <c r="KS463">
        <v>215.8</v>
      </c>
      <c r="KT463">
        <v>40.700000000000003</v>
      </c>
      <c r="KW463">
        <v>2154.5</v>
      </c>
      <c r="KX463">
        <v>1255.7</v>
      </c>
      <c r="KY463">
        <v>1630.1</v>
      </c>
      <c r="KZ463">
        <v>1246.9000000000001</v>
      </c>
      <c r="LB463">
        <v>78.099999999999994</v>
      </c>
      <c r="LC463">
        <v>77.7</v>
      </c>
    </row>
    <row r="464" spans="1:315" ht="18" thickBot="1">
      <c r="A464" s="245"/>
      <c r="B464" s="245" t="s">
        <v>510</v>
      </c>
      <c r="C464" s="88" t="s">
        <v>722</v>
      </c>
      <c r="D464" s="281" t="s">
        <v>826</v>
      </c>
      <c r="E464" s="443">
        <v>0</v>
      </c>
      <c r="F464" s="191">
        <v>0</v>
      </c>
      <c r="G464" s="427">
        <v>3413.8</v>
      </c>
      <c r="H464" s="155"/>
      <c r="I464">
        <v>735</v>
      </c>
      <c r="K464">
        <v>1973.1000000000001</v>
      </c>
      <c r="L464" s="4">
        <v>221.60000000000002</v>
      </c>
      <c r="M464" s="4">
        <v>54.9</v>
      </c>
      <c r="N464" s="4">
        <v>1989.7</v>
      </c>
      <c r="P464">
        <v>0</v>
      </c>
      <c r="Q464">
        <v>238.29999999999998</v>
      </c>
      <c r="R464">
        <v>0</v>
      </c>
      <c r="S464">
        <v>0</v>
      </c>
      <c r="T464">
        <v>368.5</v>
      </c>
      <c r="W464">
        <v>720.3</v>
      </c>
      <c r="X464">
        <v>1411.5</v>
      </c>
      <c r="Y464">
        <v>96.5</v>
      </c>
      <c r="AA464">
        <v>859.6</v>
      </c>
      <c r="AB464">
        <v>1577.6000000000001</v>
      </c>
      <c r="AE464">
        <v>1330</v>
      </c>
      <c r="AF464">
        <v>1025.5</v>
      </c>
      <c r="AH464">
        <v>509.9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1349.3</v>
      </c>
      <c r="AO464">
        <v>786.40000000000009</v>
      </c>
      <c r="AP464">
        <v>0</v>
      </c>
      <c r="AQ464">
        <v>68.3</v>
      </c>
      <c r="AR464">
        <v>234.9</v>
      </c>
      <c r="AS464">
        <v>600.40000000000009</v>
      </c>
      <c r="AU464">
        <v>985.69999999999993</v>
      </c>
      <c r="AW464">
        <v>792</v>
      </c>
      <c r="AX464">
        <v>1988.5</v>
      </c>
      <c r="AZ464">
        <v>763.5</v>
      </c>
      <c r="BA464">
        <v>0</v>
      </c>
      <c r="BB464">
        <v>0</v>
      </c>
      <c r="BC464">
        <v>1935.3</v>
      </c>
      <c r="BD464">
        <v>1006.5</v>
      </c>
      <c r="BE464">
        <v>0</v>
      </c>
      <c r="BF464">
        <v>0</v>
      </c>
      <c r="BG464">
        <v>0</v>
      </c>
      <c r="BH464">
        <v>1662.6</v>
      </c>
      <c r="BJ464">
        <v>0</v>
      </c>
      <c r="BK464">
        <v>0</v>
      </c>
      <c r="BL464">
        <v>1038.9000000000001</v>
      </c>
      <c r="BM464">
        <v>1101</v>
      </c>
      <c r="BO464">
        <v>1276.8000000000002</v>
      </c>
      <c r="BQ464">
        <v>0</v>
      </c>
      <c r="BR464">
        <v>270.7</v>
      </c>
      <c r="BS464">
        <v>230.5</v>
      </c>
      <c r="BT464">
        <v>472.3</v>
      </c>
      <c r="BU464">
        <v>537.29999999999995</v>
      </c>
      <c r="BV464">
        <v>346.3</v>
      </c>
      <c r="BW464">
        <v>386.2</v>
      </c>
      <c r="BX464">
        <v>767</v>
      </c>
      <c r="BY464">
        <v>757.2</v>
      </c>
      <c r="BZ464">
        <v>1037.2</v>
      </c>
      <c r="CA464">
        <v>1227.0999999999999</v>
      </c>
      <c r="CB464">
        <v>1232.0999999999999</v>
      </c>
      <c r="CC464">
        <v>1701.5</v>
      </c>
      <c r="CD464">
        <v>0</v>
      </c>
      <c r="CG464">
        <v>1385.3</v>
      </c>
      <c r="CJ464">
        <v>1630.2999999999997</v>
      </c>
      <c r="CM464">
        <v>1184.2</v>
      </c>
      <c r="CO464">
        <v>1248.0999999999999</v>
      </c>
      <c r="CQ464">
        <v>1435.3</v>
      </c>
      <c r="CR464">
        <v>798.2</v>
      </c>
      <c r="CS464">
        <v>923.8</v>
      </c>
      <c r="CT464">
        <v>0</v>
      </c>
      <c r="CU464">
        <v>0</v>
      </c>
      <c r="CV464">
        <v>0</v>
      </c>
      <c r="CW464">
        <v>0</v>
      </c>
      <c r="CX464">
        <v>163.69999999999999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I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M464">
        <v>0</v>
      </c>
      <c r="EN464">
        <v>0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G464" t="e">
        <v>#N/A</v>
      </c>
      <c r="FI464" t="e">
        <v>#N/A</v>
      </c>
      <c r="FK464" t="e">
        <v>#N/A</v>
      </c>
      <c r="FM464" t="e">
        <v>#N/A</v>
      </c>
      <c r="FO464" t="e">
        <v>#N/A</v>
      </c>
      <c r="FQ464" t="e">
        <v>#N/A</v>
      </c>
      <c r="FS464" t="e">
        <v>#N/A</v>
      </c>
      <c r="FU464" t="e">
        <v>#N/A</v>
      </c>
      <c r="FW464" t="e">
        <v>#N/A</v>
      </c>
      <c r="FY464" t="e">
        <v>#N/A</v>
      </c>
      <c r="GA464" t="e">
        <v>#N/A</v>
      </c>
      <c r="GC464" t="e">
        <v>#N/A</v>
      </c>
      <c r="GE464" t="e">
        <v>#N/A</v>
      </c>
      <c r="GG464" t="e">
        <v>#N/A</v>
      </c>
      <c r="GI464" t="e">
        <v>#N/A</v>
      </c>
      <c r="GK464" t="e">
        <v>#N/A</v>
      </c>
      <c r="GM464" t="e">
        <v>#N/A</v>
      </c>
      <c r="GO464" t="e">
        <v>#N/A</v>
      </c>
      <c r="GQ464" t="e">
        <v>#N/A</v>
      </c>
      <c r="GS464" t="e">
        <v>#N/A</v>
      </c>
      <c r="GU464" t="e">
        <v>#N/A</v>
      </c>
      <c r="GW464" t="e">
        <v>#N/A</v>
      </c>
      <c r="GY464" t="e">
        <v>#N/A</v>
      </c>
      <c r="HA464" t="e">
        <v>#N/A</v>
      </c>
      <c r="HC464">
        <v>0</v>
      </c>
      <c r="HD464">
        <v>0</v>
      </c>
      <c r="HE464">
        <v>0</v>
      </c>
      <c r="HF464">
        <v>0</v>
      </c>
      <c r="HG464">
        <v>0</v>
      </c>
      <c r="HH464">
        <v>0</v>
      </c>
      <c r="HI464">
        <v>0</v>
      </c>
      <c r="HJ464">
        <v>0</v>
      </c>
      <c r="HM464">
        <v>0</v>
      </c>
      <c r="HN464">
        <v>0</v>
      </c>
      <c r="HO464">
        <v>0</v>
      </c>
      <c r="HP464">
        <v>0</v>
      </c>
      <c r="HQ464">
        <v>0</v>
      </c>
      <c r="HR464">
        <v>0</v>
      </c>
      <c r="HS464">
        <v>0</v>
      </c>
      <c r="HT464">
        <v>0</v>
      </c>
      <c r="HW464">
        <v>0</v>
      </c>
      <c r="HX464">
        <v>0</v>
      </c>
      <c r="HY464">
        <v>0</v>
      </c>
      <c r="HZ464">
        <v>0</v>
      </c>
      <c r="IA464">
        <v>3930.6</v>
      </c>
      <c r="IB464">
        <v>3632.9</v>
      </c>
      <c r="IC464">
        <v>3795.5</v>
      </c>
      <c r="ID464">
        <v>0</v>
      </c>
      <c r="IE464">
        <v>0</v>
      </c>
      <c r="IF464">
        <v>3548.5</v>
      </c>
      <c r="IG464">
        <v>3395.2</v>
      </c>
      <c r="IH464">
        <v>3395.4</v>
      </c>
      <c r="II464">
        <v>3302.3</v>
      </c>
      <c r="IJ464">
        <v>3172.8</v>
      </c>
      <c r="IK464">
        <v>0</v>
      </c>
      <c r="IL464">
        <v>0</v>
      </c>
      <c r="IM464">
        <v>0</v>
      </c>
      <c r="IN464">
        <v>0</v>
      </c>
      <c r="IO464">
        <v>123.4</v>
      </c>
      <c r="IP464">
        <v>405.2</v>
      </c>
      <c r="IQ464">
        <v>418.7</v>
      </c>
      <c r="IR464">
        <v>0</v>
      </c>
      <c r="IS464">
        <v>0</v>
      </c>
      <c r="IT464">
        <v>0</v>
      </c>
      <c r="IU464">
        <v>0</v>
      </c>
      <c r="IV464">
        <v>396</v>
      </c>
      <c r="IW464">
        <v>0</v>
      </c>
      <c r="IX464">
        <v>0</v>
      </c>
      <c r="IZ464">
        <v>0</v>
      </c>
      <c r="JA464">
        <v>65.5</v>
      </c>
      <c r="JB464">
        <v>443.5</v>
      </c>
      <c r="JC464">
        <v>0</v>
      </c>
      <c r="JD464">
        <v>0</v>
      </c>
      <c r="JE464">
        <v>0</v>
      </c>
      <c r="JF464">
        <v>0</v>
      </c>
      <c r="JG464">
        <v>0</v>
      </c>
      <c r="JH464">
        <v>0</v>
      </c>
      <c r="JI464">
        <v>0</v>
      </c>
      <c r="JJ464">
        <v>0</v>
      </c>
      <c r="JK464">
        <v>0</v>
      </c>
      <c r="JL464">
        <v>0</v>
      </c>
      <c r="JM464">
        <v>0</v>
      </c>
      <c r="JN464">
        <v>0</v>
      </c>
      <c r="JO464">
        <v>0</v>
      </c>
      <c r="JP464">
        <v>0</v>
      </c>
      <c r="JQ464">
        <v>0</v>
      </c>
      <c r="JR464">
        <v>0</v>
      </c>
      <c r="JS464">
        <v>0</v>
      </c>
      <c r="JT464">
        <v>0</v>
      </c>
      <c r="JU464">
        <v>0</v>
      </c>
      <c r="JV464">
        <v>0</v>
      </c>
      <c r="JW464">
        <v>0</v>
      </c>
      <c r="JX464">
        <v>0</v>
      </c>
      <c r="JY464">
        <v>0</v>
      </c>
      <c r="JZ464">
        <v>0</v>
      </c>
      <c r="KA464">
        <v>0</v>
      </c>
      <c r="KB464">
        <v>0</v>
      </c>
      <c r="KC464">
        <v>0</v>
      </c>
      <c r="KD464">
        <v>0</v>
      </c>
      <c r="KE464">
        <v>0</v>
      </c>
      <c r="KF464">
        <v>0</v>
      </c>
      <c r="KI464">
        <v>344.6</v>
      </c>
      <c r="KJ464">
        <v>350.8</v>
      </c>
      <c r="KK464">
        <v>22.1</v>
      </c>
      <c r="KL464">
        <v>379.3</v>
      </c>
      <c r="KM464">
        <v>241.4</v>
      </c>
      <c r="KN464">
        <v>0</v>
      </c>
      <c r="KO464">
        <v>0</v>
      </c>
      <c r="KP464">
        <v>57.3</v>
      </c>
      <c r="KQ464">
        <v>224.4</v>
      </c>
      <c r="KR464">
        <v>338.3</v>
      </c>
      <c r="KS464">
        <v>215.8</v>
      </c>
      <c r="KT464">
        <v>40.700000000000003</v>
      </c>
      <c r="KW464">
        <v>2154.5</v>
      </c>
      <c r="KX464">
        <v>1255.7</v>
      </c>
      <c r="KY464">
        <v>1630.1</v>
      </c>
      <c r="KZ464">
        <v>1246.9000000000001</v>
      </c>
      <c r="LB464">
        <v>78.099999999999994</v>
      </c>
      <c r="LC464">
        <v>77.7</v>
      </c>
    </row>
    <row r="465" spans="1:315" ht="18" thickBot="1">
      <c r="A465" s="245"/>
      <c r="B465" s="245" t="s">
        <v>600</v>
      </c>
      <c r="C465" s="88" t="s">
        <v>724</v>
      </c>
      <c r="D465" s="281" t="s">
        <v>723</v>
      </c>
      <c r="E465" s="443">
        <v>0</v>
      </c>
      <c r="F465" s="191">
        <v>0</v>
      </c>
      <c r="G465" s="427">
        <v>3413.8</v>
      </c>
      <c r="H465" s="155"/>
      <c r="I465">
        <v>735</v>
      </c>
      <c r="K465">
        <v>1973.1000000000001</v>
      </c>
      <c r="L465" s="4">
        <v>221.60000000000002</v>
      </c>
      <c r="M465" s="4">
        <v>54.9</v>
      </c>
      <c r="N465" s="4">
        <v>1989.7</v>
      </c>
      <c r="P465">
        <v>0</v>
      </c>
      <c r="Q465">
        <v>238.29999999999998</v>
      </c>
      <c r="R465">
        <v>0</v>
      </c>
      <c r="S465">
        <v>0</v>
      </c>
      <c r="T465">
        <v>368.5</v>
      </c>
      <c r="W465">
        <v>720.3</v>
      </c>
      <c r="X465">
        <v>1411.5</v>
      </c>
      <c r="Y465">
        <v>96.5</v>
      </c>
      <c r="AA465">
        <v>859.6</v>
      </c>
      <c r="AB465">
        <v>1577.6000000000001</v>
      </c>
      <c r="AE465">
        <v>1330</v>
      </c>
      <c r="AF465">
        <v>1025.5</v>
      </c>
      <c r="AH465">
        <v>509.9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1349.3</v>
      </c>
      <c r="AO465">
        <v>786.40000000000009</v>
      </c>
      <c r="AP465">
        <v>0</v>
      </c>
      <c r="AQ465">
        <v>68.3</v>
      </c>
      <c r="AR465">
        <v>234.9</v>
      </c>
      <c r="AS465">
        <v>600.40000000000009</v>
      </c>
      <c r="AU465">
        <v>985.69999999999993</v>
      </c>
      <c r="AW465">
        <v>792</v>
      </c>
      <c r="AX465">
        <v>1988.5</v>
      </c>
      <c r="AZ465">
        <v>763.5</v>
      </c>
      <c r="BA465">
        <v>0</v>
      </c>
      <c r="BB465">
        <v>0</v>
      </c>
      <c r="BC465">
        <v>1935.3</v>
      </c>
      <c r="BD465">
        <v>1006.5</v>
      </c>
      <c r="BE465">
        <v>0</v>
      </c>
      <c r="BF465">
        <v>0</v>
      </c>
      <c r="BG465">
        <v>0</v>
      </c>
      <c r="BH465">
        <v>1662.6</v>
      </c>
      <c r="BJ465">
        <v>0</v>
      </c>
      <c r="BK465">
        <v>0</v>
      </c>
      <c r="BL465">
        <v>1038.9000000000001</v>
      </c>
      <c r="BM465">
        <v>1101</v>
      </c>
      <c r="BO465">
        <v>1276.8000000000002</v>
      </c>
      <c r="BQ465">
        <v>0</v>
      </c>
      <c r="BR465">
        <v>270.7</v>
      </c>
      <c r="BS465">
        <v>230.5</v>
      </c>
      <c r="BT465">
        <v>472.3</v>
      </c>
      <c r="BU465">
        <v>537.29999999999995</v>
      </c>
      <c r="BV465">
        <v>346.3</v>
      </c>
      <c r="BW465">
        <v>386.2</v>
      </c>
      <c r="BX465">
        <v>767</v>
      </c>
      <c r="BY465">
        <v>757.2</v>
      </c>
      <c r="BZ465">
        <v>1037.2</v>
      </c>
      <c r="CA465">
        <v>1227.0999999999999</v>
      </c>
      <c r="CB465">
        <v>1232.0999999999999</v>
      </c>
      <c r="CC465">
        <v>1701.5</v>
      </c>
      <c r="CD465">
        <v>0</v>
      </c>
      <c r="CG465">
        <v>1385.3</v>
      </c>
      <c r="CJ465">
        <v>1630.2999999999997</v>
      </c>
      <c r="CM465">
        <v>1184.2</v>
      </c>
      <c r="CO465">
        <v>1248.0999999999999</v>
      </c>
      <c r="CQ465">
        <v>1435.3</v>
      </c>
      <c r="CR465">
        <v>798.2</v>
      </c>
      <c r="CS465">
        <v>923.8</v>
      </c>
      <c r="CT465">
        <v>0</v>
      </c>
      <c r="CU465">
        <v>0</v>
      </c>
      <c r="CV465">
        <v>0</v>
      </c>
      <c r="CW465">
        <v>0</v>
      </c>
      <c r="CX465">
        <v>163.69999999999999</v>
      </c>
      <c r="CY465">
        <v>0</v>
      </c>
      <c r="CZ465">
        <v>0</v>
      </c>
      <c r="DA465">
        <v>0</v>
      </c>
      <c r="DB465">
        <v>0</v>
      </c>
      <c r="DC465">
        <v>0</v>
      </c>
      <c r="DD465">
        <v>0</v>
      </c>
      <c r="DE465">
        <v>0</v>
      </c>
      <c r="DI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  <c r="EJ465">
        <v>0</v>
      </c>
      <c r="EM465">
        <v>0</v>
      </c>
      <c r="EN465">
        <v>0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G465" t="e">
        <v>#N/A</v>
      </c>
      <c r="FI465" t="e">
        <v>#N/A</v>
      </c>
      <c r="FK465" t="e">
        <v>#N/A</v>
      </c>
      <c r="FM465" t="e">
        <v>#N/A</v>
      </c>
      <c r="FO465" t="e">
        <v>#N/A</v>
      </c>
      <c r="FQ465" t="e">
        <v>#N/A</v>
      </c>
      <c r="FS465" t="e">
        <v>#N/A</v>
      </c>
      <c r="FU465" t="e">
        <v>#N/A</v>
      </c>
      <c r="FW465" t="e">
        <v>#N/A</v>
      </c>
      <c r="FY465" t="e">
        <v>#N/A</v>
      </c>
      <c r="GA465" t="e">
        <v>#N/A</v>
      </c>
      <c r="GC465" t="e">
        <v>#N/A</v>
      </c>
      <c r="GE465" t="e">
        <v>#N/A</v>
      </c>
      <c r="GG465" t="e">
        <v>#N/A</v>
      </c>
      <c r="GI465" t="e">
        <v>#N/A</v>
      </c>
      <c r="GK465" t="e">
        <v>#N/A</v>
      </c>
      <c r="GM465" t="e">
        <v>#N/A</v>
      </c>
      <c r="GO465" t="e">
        <v>#N/A</v>
      </c>
      <c r="GQ465" t="e">
        <v>#N/A</v>
      </c>
      <c r="GS465" t="e">
        <v>#N/A</v>
      </c>
      <c r="GU465" t="e">
        <v>#N/A</v>
      </c>
      <c r="GW465" t="e">
        <v>#N/A</v>
      </c>
      <c r="GY465" t="e">
        <v>#N/A</v>
      </c>
      <c r="HA465" t="e">
        <v>#N/A</v>
      </c>
      <c r="HC465">
        <v>0</v>
      </c>
      <c r="HD465">
        <v>0</v>
      </c>
      <c r="HE465">
        <v>0</v>
      </c>
      <c r="HF465">
        <v>0</v>
      </c>
      <c r="HG465">
        <v>0</v>
      </c>
      <c r="HH465">
        <v>0</v>
      </c>
      <c r="HI465">
        <v>0</v>
      </c>
      <c r="HJ465">
        <v>0</v>
      </c>
      <c r="HM465">
        <v>0</v>
      </c>
      <c r="HN465">
        <v>0</v>
      </c>
      <c r="HO465">
        <v>0</v>
      </c>
      <c r="HP465">
        <v>0</v>
      </c>
      <c r="HQ465">
        <v>0</v>
      </c>
      <c r="HR465">
        <v>0</v>
      </c>
      <c r="HS465">
        <v>0</v>
      </c>
      <c r="HT465">
        <v>0</v>
      </c>
      <c r="HW465">
        <v>0</v>
      </c>
      <c r="HX465">
        <v>0</v>
      </c>
      <c r="HY465">
        <v>0</v>
      </c>
      <c r="HZ465">
        <v>0</v>
      </c>
      <c r="IA465">
        <v>3930.6</v>
      </c>
      <c r="IB465">
        <v>3632.9</v>
      </c>
      <c r="IC465">
        <v>3795.5</v>
      </c>
      <c r="ID465">
        <v>0</v>
      </c>
      <c r="IE465">
        <v>0</v>
      </c>
      <c r="IF465">
        <v>3548.5</v>
      </c>
      <c r="IG465">
        <v>3395.2</v>
      </c>
      <c r="IH465">
        <v>3395.4</v>
      </c>
      <c r="II465">
        <v>3302.3</v>
      </c>
      <c r="IJ465">
        <v>3172.8</v>
      </c>
      <c r="IK465">
        <v>0</v>
      </c>
      <c r="IL465">
        <v>0</v>
      </c>
      <c r="IM465">
        <v>0</v>
      </c>
      <c r="IN465">
        <v>0</v>
      </c>
      <c r="IO465">
        <v>123.4</v>
      </c>
      <c r="IP465">
        <v>405.2</v>
      </c>
      <c r="IQ465">
        <v>418.7</v>
      </c>
      <c r="IR465">
        <v>0</v>
      </c>
      <c r="IS465">
        <v>0</v>
      </c>
      <c r="IT465">
        <v>0</v>
      </c>
      <c r="IU465">
        <v>0</v>
      </c>
      <c r="IV465">
        <v>396</v>
      </c>
      <c r="IW465">
        <v>0</v>
      </c>
      <c r="IX465">
        <v>0</v>
      </c>
      <c r="IZ465">
        <v>0</v>
      </c>
      <c r="JA465">
        <v>65.5</v>
      </c>
      <c r="JB465">
        <v>443.5</v>
      </c>
      <c r="JC465">
        <v>0</v>
      </c>
      <c r="JD465">
        <v>0</v>
      </c>
      <c r="JE465">
        <v>0</v>
      </c>
      <c r="JF465">
        <v>0</v>
      </c>
      <c r="JG465">
        <v>0</v>
      </c>
      <c r="JH465">
        <v>0</v>
      </c>
      <c r="JI465">
        <v>0</v>
      </c>
      <c r="JJ465">
        <v>0</v>
      </c>
      <c r="JK465">
        <v>0</v>
      </c>
      <c r="JL465">
        <v>0</v>
      </c>
      <c r="JM465">
        <v>0</v>
      </c>
      <c r="JN465">
        <v>0</v>
      </c>
      <c r="JO465">
        <v>0</v>
      </c>
      <c r="JP465">
        <v>0</v>
      </c>
      <c r="JQ465">
        <v>0</v>
      </c>
      <c r="JR465">
        <v>0</v>
      </c>
      <c r="JS465">
        <v>0</v>
      </c>
      <c r="JT465">
        <v>0</v>
      </c>
      <c r="JU465">
        <v>0</v>
      </c>
      <c r="JV465">
        <v>0</v>
      </c>
      <c r="JW465">
        <v>0</v>
      </c>
      <c r="JX465">
        <v>0</v>
      </c>
      <c r="JY465">
        <v>0</v>
      </c>
      <c r="JZ465">
        <v>0</v>
      </c>
      <c r="KA465">
        <v>0</v>
      </c>
      <c r="KB465">
        <v>0</v>
      </c>
      <c r="KC465">
        <v>0</v>
      </c>
      <c r="KD465">
        <v>0</v>
      </c>
      <c r="KE465">
        <v>0</v>
      </c>
      <c r="KF465">
        <v>0</v>
      </c>
      <c r="KI465">
        <v>344.6</v>
      </c>
      <c r="KJ465">
        <v>350.8</v>
      </c>
      <c r="KK465">
        <v>22.1</v>
      </c>
      <c r="KL465">
        <v>379.3</v>
      </c>
      <c r="KM465">
        <v>241.4</v>
      </c>
      <c r="KN465">
        <v>0</v>
      </c>
      <c r="KO465">
        <v>0</v>
      </c>
      <c r="KP465">
        <v>57.3</v>
      </c>
      <c r="KQ465">
        <v>224.4</v>
      </c>
      <c r="KR465">
        <v>338.3</v>
      </c>
      <c r="KS465">
        <v>215.8</v>
      </c>
      <c r="KT465">
        <v>40.700000000000003</v>
      </c>
      <c r="KW465">
        <v>2154.5</v>
      </c>
      <c r="KX465">
        <v>1255.7</v>
      </c>
      <c r="KY465">
        <v>1630.1</v>
      </c>
      <c r="KZ465">
        <v>1246.9000000000001</v>
      </c>
      <c r="LB465">
        <v>78.099999999999994</v>
      </c>
      <c r="LC465">
        <v>77.7</v>
      </c>
    </row>
    <row r="466" spans="1:315" ht="18" thickBot="1">
      <c r="A466" s="245"/>
      <c r="B466" s="245" t="s">
        <v>601</v>
      </c>
      <c r="C466" s="88" t="s">
        <v>725</v>
      </c>
      <c r="D466" s="281" t="s">
        <v>723</v>
      </c>
      <c r="E466" s="443">
        <v>0</v>
      </c>
      <c r="F466" s="191">
        <v>0</v>
      </c>
      <c r="G466" s="427">
        <v>3413.8</v>
      </c>
      <c r="H466" s="155"/>
      <c r="I466">
        <v>735</v>
      </c>
      <c r="K466">
        <v>1973.1000000000001</v>
      </c>
      <c r="L466" s="4">
        <v>221.60000000000002</v>
      </c>
      <c r="M466" s="4">
        <v>54.9</v>
      </c>
      <c r="N466" s="4">
        <v>1989.7</v>
      </c>
      <c r="P466">
        <v>0</v>
      </c>
      <c r="Q466">
        <v>238.29999999999998</v>
      </c>
      <c r="R466">
        <v>0</v>
      </c>
      <c r="S466">
        <v>0</v>
      </c>
      <c r="T466">
        <v>368.5</v>
      </c>
      <c r="W466">
        <v>720.3</v>
      </c>
      <c r="X466">
        <v>1411.5</v>
      </c>
      <c r="Y466">
        <v>96.5</v>
      </c>
      <c r="AA466">
        <v>859.6</v>
      </c>
      <c r="AB466">
        <v>1577.6000000000001</v>
      </c>
      <c r="AE466">
        <v>1330</v>
      </c>
      <c r="AF466">
        <v>1025.5</v>
      </c>
      <c r="AH466">
        <v>509.9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1349.3</v>
      </c>
      <c r="AO466">
        <v>786.40000000000009</v>
      </c>
      <c r="AP466">
        <v>0</v>
      </c>
      <c r="AQ466">
        <v>68.3</v>
      </c>
      <c r="AR466">
        <v>234.9</v>
      </c>
      <c r="AS466">
        <v>600.40000000000009</v>
      </c>
      <c r="AU466">
        <v>985.69999999999993</v>
      </c>
      <c r="AW466">
        <v>792</v>
      </c>
      <c r="AX466">
        <v>1988.5</v>
      </c>
      <c r="AZ466">
        <v>763.5</v>
      </c>
      <c r="BA466">
        <v>0</v>
      </c>
      <c r="BB466">
        <v>0</v>
      </c>
      <c r="BC466">
        <v>1935.3</v>
      </c>
      <c r="BD466">
        <v>1006.5</v>
      </c>
      <c r="BE466">
        <v>0</v>
      </c>
      <c r="BF466">
        <v>0</v>
      </c>
      <c r="BG466">
        <v>0</v>
      </c>
      <c r="BH466">
        <v>1662.6</v>
      </c>
      <c r="BJ466">
        <v>0</v>
      </c>
      <c r="BK466">
        <v>0</v>
      </c>
      <c r="BL466">
        <v>1038.9000000000001</v>
      </c>
      <c r="BM466">
        <v>1101</v>
      </c>
      <c r="BO466">
        <v>1276.8000000000002</v>
      </c>
      <c r="BQ466">
        <v>0</v>
      </c>
      <c r="BR466">
        <v>270.7</v>
      </c>
      <c r="BS466">
        <v>230.5</v>
      </c>
      <c r="BT466">
        <v>472.3</v>
      </c>
      <c r="BU466">
        <v>537.29999999999995</v>
      </c>
      <c r="BV466">
        <v>346.3</v>
      </c>
      <c r="BW466">
        <v>386.2</v>
      </c>
      <c r="BX466">
        <v>767</v>
      </c>
      <c r="BY466">
        <v>757.2</v>
      </c>
      <c r="BZ466">
        <v>1037.2</v>
      </c>
      <c r="CA466">
        <v>1227.0999999999999</v>
      </c>
      <c r="CB466">
        <v>1232.0999999999999</v>
      </c>
      <c r="CC466">
        <v>1701.5</v>
      </c>
      <c r="CD466">
        <v>0</v>
      </c>
      <c r="CG466">
        <v>1385.3</v>
      </c>
      <c r="CJ466">
        <v>1630.2999999999997</v>
      </c>
      <c r="CM466">
        <v>1184.2</v>
      </c>
      <c r="CO466">
        <v>1248.0999999999999</v>
      </c>
      <c r="CQ466">
        <v>1435.3</v>
      </c>
      <c r="CR466">
        <v>798.2</v>
      </c>
      <c r="CS466">
        <v>923.8</v>
      </c>
      <c r="CT466">
        <v>0</v>
      </c>
      <c r="CU466">
        <v>0</v>
      </c>
      <c r="CV466">
        <v>0</v>
      </c>
      <c r="CW466">
        <v>0</v>
      </c>
      <c r="CX466">
        <v>163.69999999999999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I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G466" t="e">
        <v>#N/A</v>
      </c>
      <c r="FI466" t="e">
        <v>#N/A</v>
      </c>
      <c r="FK466" t="e">
        <v>#N/A</v>
      </c>
      <c r="FM466" t="e">
        <v>#N/A</v>
      </c>
      <c r="FO466" t="e">
        <v>#N/A</v>
      </c>
      <c r="FQ466" t="e">
        <v>#N/A</v>
      </c>
      <c r="FS466" t="e">
        <v>#N/A</v>
      </c>
      <c r="FU466" t="e">
        <v>#N/A</v>
      </c>
      <c r="FW466" t="e">
        <v>#N/A</v>
      </c>
      <c r="FY466" t="e">
        <v>#N/A</v>
      </c>
      <c r="GA466" t="e">
        <v>#N/A</v>
      </c>
      <c r="GC466" t="e">
        <v>#N/A</v>
      </c>
      <c r="GE466" t="e">
        <v>#N/A</v>
      </c>
      <c r="GG466" t="e">
        <v>#N/A</v>
      </c>
      <c r="GI466" t="e">
        <v>#N/A</v>
      </c>
      <c r="GK466" t="e">
        <v>#N/A</v>
      </c>
      <c r="GM466" t="e">
        <v>#N/A</v>
      </c>
      <c r="GO466" t="e">
        <v>#N/A</v>
      </c>
      <c r="GQ466" t="e">
        <v>#N/A</v>
      </c>
      <c r="GS466" t="e">
        <v>#N/A</v>
      </c>
      <c r="GU466" t="e">
        <v>#N/A</v>
      </c>
      <c r="GW466" t="e">
        <v>#N/A</v>
      </c>
      <c r="GY466" t="e">
        <v>#N/A</v>
      </c>
      <c r="HA466" t="e">
        <v>#N/A</v>
      </c>
      <c r="HC466">
        <v>0</v>
      </c>
      <c r="HD466">
        <v>0</v>
      </c>
      <c r="HE466">
        <v>0</v>
      </c>
      <c r="HF466">
        <v>0</v>
      </c>
      <c r="HG466">
        <v>0</v>
      </c>
      <c r="HH466">
        <v>0</v>
      </c>
      <c r="HI466">
        <v>0</v>
      </c>
      <c r="HJ466">
        <v>0</v>
      </c>
      <c r="HM466">
        <v>0</v>
      </c>
      <c r="HN466">
        <v>0</v>
      </c>
      <c r="HO466">
        <v>0</v>
      </c>
      <c r="HP466">
        <v>0</v>
      </c>
      <c r="HQ466">
        <v>0</v>
      </c>
      <c r="HR466">
        <v>0</v>
      </c>
      <c r="HS466">
        <v>0</v>
      </c>
      <c r="HT466">
        <v>0</v>
      </c>
      <c r="HW466">
        <v>0</v>
      </c>
      <c r="HX466">
        <v>0</v>
      </c>
      <c r="HY466">
        <v>0</v>
      </c>
      <c r="HZ466">
        <v>0</v>
      </c>
      <c r="IA466">
        <v>3930.6</v>
      </c>
      <c r="IB466">
        <v>3632.9</v>
      </c>
      <c r="IC466">
        <v>3795.5</v>
      </c>
      <c r="ID466">
        <v>0</v>
      </c>
      <c r="IE466">
        <v>0</v>
      </c>
      <c r="IF466">
        <v>3548.5</v>
      </c>
      <c r="IG466">
        <v>3395.2</v>
      </c>
      <c r="IH466">
        <v>3395.4</v>
      </c>
      <c r="II466">
        <v>3302.3</v>
      </c>
      <c r="IJ466">
        <v>3172.8</v>
      </c>
      <c r="IK466">
        <v>0</v>
      </c>
      <c r="IL466">
        <v>0</v>
      </c>
      <c r="IM466">
        <v>0</v>
      </c>
      <c r="IN466">
        <v>0</v>
      </c>
      <c r="IO466">
        <v>123.4</v>
      </c>
      <c r="IP466">
        <v>405.2</v>
      </c>
      <c r="IQ466">
        <v>418.7</v>
      </c>
      <c r="IR466">
        <v>0</v>
      </c>
      <c r="IS466">
        <v>0</v>
      </c>
      <c r="IT466">
        <v>0</v>
      </c>
      <c r="IU466">
        <v>0</v>
      </c>
      <c r="IV466">
        <v>396</v>
      </c>
      <c r="IW466">
        <v>0</v>
      </c>
      <c r="IX466">
        <v>0</v>
      </c>
      <c r="IZ466">
        <v>0</v>
      </c>
      <c r="JA466">
        <v>65.5</v>
      </c>
      <c r="JB466">
        <v>443.5</v>
      </c>
      <c r="JC466">
        <v>0</v>
      </c>
      <c r="JD466">
        <v>0</v>
      </c>
      <c r="JE466">
        <v>0</v>
      </c>
      <c r="JF466">
        <v>0</v>
      </c>
      <c r="JG466">
        <v>0</v>
      </c>
      <c r="JH466">
        <v>0</v>
      </c>
      <c r="JI466">
        <v>0</v>
      </c>
      <c r="JJ466">
        <v>0</v>
      </c>
      <c r="JK466">
        <v>0</v>
      </c>
      <c r="JL466">
        <v>0</v>
      </c>
      <c r="JM466">
        <v>0</v>
      </c>
      <c r="JN466">
        <v>0</v>
      </c>
      <c r="JO466">
        <v>0</v>
      </c>
      <c r="JP466">
        <v>0</v>
      </c>
      <c r="JQ466">
        <v>0</v>
      </c>
      <c r="JR466">
        <v>0</v>
      </c>
      <c r="JS466">
        <v>0</v>
      </c>
      <c r="JT466">
        <v>0</v>
      </c>
      <c r="JU466">
        <v>0</v>
      </c>
      <c r="JV466">
        <v>0</v>
      </c>
      <c r="JW466">
        <v>0</v>
      </c>
      <c r="JX466">
        <v>0</v>
      </c>
      <c r="JY466">
        <v>0</v>
      </c>
      <c r="JZ466">
        <v>0</v>
      </c>
      <c r="KA466">
        <v>0</v>
      </c>
      <c r="KB466">
        <v>0</v>
      </c>
      <c r="KC466">
        <v>0</v>
      </c>
      <c r="KD466">
        <v>0</v>
      </c>
      <c r="KE466">
        <v>0</v>
      </c>
      <c r="KF466">
        <v>0</v>
      </c>
      <c r="KI466">
        <v>344.6</v>
      </c>
      <c r="KJ466">
        <v>350.8</v>
      </c>
      <c r="KK466">
        <v>22.1</v>
      </c>
      <c r="KL466">
        <v>379.3</v>
      </c>
      <c r="KM466">
        <v>241.4</v>
      </c>
      <c r="KN466">
        <v>0</v>
      </c>
      <c r="KO466">
        <v>0</v>
      </c>
      <c r="KP466">
        <v>57.3</v>
      </c>
      <c r="KQ466">
        <v>224.4</v>
      </c>
      <c r="KR466">
        <v>338.3</v>
      </c>
      <c r="KS466">
        <v>215.8</v>
      </c>
      <c r="KT466">
        <v>40.700000000000003</v>
      </c>
      <c r="KW466">
        <v>2154.5</v>
      </c>
      <c r="KX466">
        <v>1255.7</v>
      </c>
      <c r="KY466">
        <v>1630.1</v>
      </c>
      <c r="KZ466">
        <v>1246.9000000000001</v>
      </c>
      <c r="LB466">
        <v>78.099999999999994</v>
      </c>
      <c r="LC466">
        <v>77.7</v>
      </c>
    </row>
    <row r="467" spans="1:315" ht="18" thickBot="1">
      <c r="A467" s="245"/>
      <c r="B467" s="245" t="s">
        <v>602</v>
      </c>
      <c r="C467" s="230" t="s">
        <v>726</v>
      </c>
      <c r="D467" s="281" t="s">
        <v>723</v>
      </c>
      <c r="E467" s="443">
        <v>0</v>
      </c>
      <c r="F467" s="191">
        <v>0</v>
      </c>
      <c r="G467" s="427">
        <v>3413.8</v>
      </c>
      <c r="H467" s="155"/>
      <c r="I467">
        <v>735</v>
      </c>
      <c r="K467">
        <v>1973.1000000000001</v>
      </c>
      <c r="L467" s="4">
        <v>221.60000000000002</v>
      </c>
      <c r="M467" s="4">
        <v>54.9</v>
      </c>
      <c r="N467" s="4">
        <v>1989.7</v>
      </c>
      <c r="P467">
        <v>0</v>
      </c>
      <c r="Q467">
        <v>238.29999999999998</v>
      </c>
      <c r="R467">
        <v>0</v>
      </c>
      <c r="S467">
        <v>0</v>
      </c>
      <c r="T467">
        <v>368.5</v>
      </c>
      <c r="W467">
        <v>720.3</v>
      </c>
      <c r="X467">
        <v>1411.5</v>
      </c>
      <c r="Y467">
        <v>96.5</v>
      </c>
      <c r="AA467">
        <v>859.6</v>
      </c>
      <c r="AB467">
        <v>1577.6000000000001</v>
      </c>
      <c r="AE467">
        <v>1330</v>
      </c>
      <c r="AF467">
        <v>1025.5</v>
      </c>
      <c r="AH467">
        <v>509.9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1349.3</v>
      </c>
      <c r="AO467">
        <v>786.40000000000009</v>
      </c>
      <c r="AP467">
        <v>0</v>
      </c>
      <c r="AQ467">
        <v>68.3</v>
      </c>
      <c r="AR467">
        <v>234.9</v>
      </c>
      <c r="AS467">
        <v>600.40000000000009</v>
      </c>
      <c r="AU467">
        <v>985.69999999999993</v>
      </c>
      <c r="AW467">
        <v>792</v>
      </c>
      <c r="AX467">
        <v>1988.5</v>
      </c>
      <c r="AZ467">
        <v>763.5</v>
      </c>
      <c r="BA467">
        <v>0</v>
      </c>
      <c r="BB467">
        <v>0</v>
      </c>
      <c r="BC467">
        <v>1935.3</v>
      </c>
      <c r="BD467">
        <v>1006.5</v>
      </c>
      <c r="BE467">
        <v>0</v>
      </c>
      <c r="BF467">
        <v>0</v>
      </c>
      <c r="BG467">
        <v>0</v>
      </c>
      <c r="BH467">
        <v>1662.6</v>
      </c>
      <c r="BJ467">
        <v>0</v>
      </c>
      <c r="BK467">
        <v>0</v>
      </c>
      <c r="BL467">
        <v>1038.9000000000001</v>
      </c>
      <c r="BM467">
        <v>1101</v>
      </c>
      <c r="BO467">
        <v>1276.8000000000002</v>
      </c>
      <c r="BQ467">
        <v>0</v>
      </c>
      <c r="BR467">
        <v>270.7</v>
      </c>
      <c r="BS467">
        <v>230.5</v>
      </c>
      <c r="BT467">
        <v>472.3</v>
      </c>
      <c r="BU467">
        <v>537.29999999999995</v>
      </c>
      <c r="BV467">
        <v>346.3</v>
      </c>
      <c r="BW467">
        <v>386.2</v>
      </c>
      <c r="BX467">
        <v>767</v>
      </c>
      <c r="BY467">
        <v>757.2</v>
      </c>
      <c r="BZ467">
        <v>1037.2</v>
      </c>
      <c r="CA467">
        <v>1227.0999999999999</v>
      </c>
      <c r="CB467">
        <v>1232.0999999999999</v>
      </c>
      <c r="CC467">
        <v>1701.5</v>
      </c>
      <c r="CD467">
        <v>0</v>
      </c>
      <c r="CG467">
        <v>1385.3</v>
      </c>
      <c r="CJ467">
        <v>1630.2999999999997</v>
      </c>
      <c r="CM467">
        <v>1184.2</v>
      </c>
      <c r="CO467">
        <v>1248.0999999999999</v>
      </c>
      <c r="CQ467">
        <v>1435.3</v>
      </c>
      <c r="CR467">
        <v>798.2</v>
      </c>
      <c r="CS467">
        <v>923.8</v>
      </c>
      <c r="CT467">
        <v>0</v>
      </c>
      <c r="CU467">
        <v>0</v>
      </c>
      <c r="CV467">
        <v>0</v>
      </c>
      <c r="CW467">
        <v>0</v>
      </c>
      <c r="CX467">
        <v>163.69999999999999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I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  <c r="EJ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G467" t="e">
        <v>#N/A</v>
      </c>
      <c r="FI467" t="e">
        <v>#N/A</v>
      </c>
      <c r="FK467" t="e">
        <v>#N/A</v>
      </c>
      <c r="FM467" t="e">
        <v>#N/A</v>
      </c>
      <c r="FO467" t="e">
        <v>#N/A</v>
      </c>
      <c r="FQ467" t="e">
        <v>#N/A</v>
      </c>
      <c r="FS467" t="e">
        <v>#N/A</v>
      </c>
      <c r="FU467" t="e">
        <v>#N/A</v>
      </c>
      <c r="FW467" t="e">
        <v>#N/A</v>
      </c>
      <c r="FY467" t="e">
        <v>#N/A</v>
      </c>
      <c r="GA467" t="e">
        <v>#N/A</v>
      </c>
      <c r="GC467" t="e">
        <v>#N/A</v>
      </c>
      <c r="GE467" t="e">
        <v>#N/A</v>
      </c>
      <c r="GG467" t="e">
        <v>#N/A</v>
      </c>
      <c r="GI467" t="e">
        <v>#N/A</v>
      </c>
      <c r="GK467" t="e">
        <v>#N/A</v>
      </c>
      <c r="GM467" t="e">
        <v>#N/A</v>
      </c>
      <c r="GO467" t="e">
        <v>#N/A</v>
      </c>
      <c r="GQ467" t="e">
        <v>#N/A</v>
      </c>
      <c r="GS467" t="e">
        <v>#N/A</v>
      </c>
      <c r="GU467" t="e">
        <v>#N/A</v>
      </c>
      <c r="GW467" t="e">
        <v>#N/A</v>
      </c>
      <c r="GY467" t="e">
        <v>#N/A</v>
      </c>
      <c r="HA467" t="e">
        <v>#N/A</v>
      </c>
      <c r="HC467">
        <v>0</v>
      </c>
      <c r="HD467">
        <v>0</v>
      </c>
      <c r="HE467">
        <v>0</v>
      </c>
      <c r="HF467">
        <v>0</v>
      </c>
      <c r="HG467">
        <v>0</v>
      </c>
      <c r="HH467">
        <v>0</v>
      </c>
      <c r="HI467">
        <v>0</v>
      </c>
      <c r="HJ467">
        <v>0</v>
      </c>
      <c r="HM467">
        <v>0</v>
      </c>
      <c r="HN467">
        <v>0</v>
      </c>
      <c r="HO467">
        <v>0</v>
      </c>
      <c r="HP467">
        <v>0</v>
      </c>
      <c r="HQ467">
        <v>0</v>
      </c>
      <c r="HR467">
        <v>0</v>
      </c>
      <c r="HS467">
        <v>0</v>
      </c>
      <c r="HT467">
        <v>0</v>
      </c>
      <c r="HW467">
        <v>0</v>
      </c>
      <c r="HX467">
        <v>0</v>
      </c>
      <c r="HY467">
        <v>0</v>
      </c>
      <c r="HZ467">
        <v>0</v>
      </c>
      <c r="IA467">
        <v>3930.6</v>
      </c>
      <c r="IB467">
        <v>3632.9</v>
      </c>
      <c r="IC467">
        <v>3795.5</v>
      </c>
      <c r="ID467">
        <v>0</v>
      </c>
      <c r="IE467">
        <v>0</v>
      </c>
      <c r="IF467">
        <v>3548.5</v>
      </c>
      <c r="IG467">
        <v>3395.2</v>
      </c>
      <c r="IH467">
        <v>3395.4</v>
      </c>
      <c r="II467">
        <v>3302.3</v>
      </c>
      <c r="IJ467">
        <v>3172.8</v>
      </c>
      <c r="IK467">
        <v>0</v>
      </c>
      <c r="IL467">
        <v>0</v>
      </c>
      <c r="IM467">
        <v>0</v>
      </c>
      <c r="IN467">
        <v>0</v>
      </c>
      <c r="IO467">
        <v>123.4</v>
      </c>
      <c r="IP467">
        <v>405.2</v>
      </c>
      <c r="IQ467">
        <v>418.7</v>
      </c>
      <c r="IR467">
        <v>0</v>
      </c>
      <c r="IS467">
        <v>0</v>
      </c>
      <c r="IT467">
        <v>0</v>
      </c>
      <c r="IU467">
        <v>0</v>
      </c>
      <c r="IV467">
        <v>396</v>
      </c>
      <c r="IW467">
        <v>0</v>
      </c>
      <c r="IX467">
        <v>0</v>
      </c>
      <c r="IZ467">
        <v>0</v>
      </c>
      <c r="JA467">
        <v>65.5</v>
      </c>
      <c r="JB467">
        <v>443.5</v>
      </c>
      <c r="JC467">
        <v>0</v>
      </c>
      <c r="JD467">
        <v>0</v>
      </c>
      <c r="JE467">
        <v>0</v>
      </c>
      <c r="JF467">
        <v>0</v>
      </c>
      <c r="JG467">
        <v>0</v>
      </c>
      <c r="JH467">
        <v>0</v>
      </c>
      <c r="JI467">
        <v>0</v>
      </c>
      <c r="JJ467">
        <v>0</v>
      </c>
      <c r="JK467">
        <v>0</v>
      </c>
      <c r="JL467">
        <v>0</v>
      </c>
      <c r="JM467">
        <v>0</v>
      </c>
      <c r="JN467">
        <v>0</v>
      </c>
      <c r="JO467">
        <v>0</v>
      </c>
      <c r="JP467">
        <v>0</v>
      </c>
      <c r="JQ467">
        <v>0</v>
      </c>
      <c r="JR467">
        <v>0</v>
      </c>
      <c r="JS467">
        <v>0</v>
      </c>
      <c r="JT467">
        <v>0</v>
      </c>
      <c r="JU467">
        <v>0</v>
      </c>
      <c r="JV467">
        <v>0</v>
      </c>
      <c r="JW467">
        <v>0</v>
      </c>
      <c r="JX467">
        <v>0</v>
      </c>
      <c r="JY467">
        <v>0</v>
      </c>
      <c r="JZ467">
        <v>0</v>
      </c>
      <c r="KA467">
        <v>0</v>
      </c>
      <c r="KB467">
        <v>0</v>
      </c>
      <c r="KC467">
        <v>0</v>
      </c>
      <c r="KD467">
        <v>0</v>
      </c>
      <c r="KE467">
        <v>0</v>
      </c>
      <c r="KF467">
        <v>0</v>
      </c>
      <c r="KI467">
        <v>344.6</v>
      </c>
      <c r="KJ467">
        <v>350.8</v>
      </c>
      <c r="KK467">
        <v>22.1</v>
      </c>
      <c r="KL467">
        <v>379.3</v>
      </c>
      <c r="KM467">
        <v>241.4</v>
      </c>
      <c r="KN467">
        <v>0</v>
      </c>
      <c r="KO467">
        <v>0</v>
      </c>
      <c r="KP467">
        <v>57.3</v>
      </c>
      <c r="KQ467">
        <v>224.4</v>
      </c>
      <c r="KR467">
        <v>338.3</v>
      </c>
      <c r="KS467">
        <v>215.8</v>
      </c>
      <c r="KT467">
        <v>40.700000000000003</v>
      </c>
      <c r="KW467">
        <v>2154.5</v>
      </c>
      <c r="KX467">
        <v>1255.7</v>
      </c>
      <c r="KY467">
        <v>1630.1</v>
      </c>
      <c r="KZ467">
        <v>1246.9000000000001</v>
      </c>
      <c r="LB467">
        <v>78.099999999999994</v>
      </c>
      <c r="LC467">
        <v>77.7</v>
      </c>
    </row>
    <row r="468" spans="1:315" ht="18" thickBot="1">
      <c r="A468" s="246"/>
      <c r="B468" s="246" t="s">
        <v>603</v>
      </c>
      <c r="C468" s="334" t="s">
        <v>727</v>
      </c>
      <c r="D468" s="282" t="s">
        <v>723</v>
      </c>
      <c r="E468" s="447">
        <v>0</v>
      </c>
      <c r="F468" s="193">
        <v>0</v>
      </c>
      <c r="G468" s="427">
        <v>3413.8</v>
      </c>
      <c r="H468" s="155"/>
      <c r="I468">
        <v>735</v>
      </c>
      <c r="K468">
        <v>1973.1000000000001</v>
      </c>
      <c r="L468" s="4">
        <v>221.60000000000002</v>
      </c>
      <c r="M468" s="4">
        <v>54.9</v>
      </c>
      <c r="N468" s="4">
        <v>1989.7</v>
      </c>
      <c r="P468">
        <v>0</v>
      </c>
      <c r="Q468">
        <v>238.29999999999998</v>
      </c>
      <c r="R468">
        <v>0</v>
      </c>
      <c r="S468">
        <v>0</v>
      </c>
      <c r="T468">
        <v>368.5</v>
      </c>
      <c r="W468">
        <v>720.3</v>
      </c>
      <c r="X468">
        <v>1411.5</v>
      </c>
      <c r="Y468">
        <v>96.5</v>
      </c>
      <c r="AA468">
        <v>859.6</v>
      </c>
      <c r="AB468">
        <v>1577.6000000000001</v>
      </c>
      <c r="AE468">
        <v>1330</v>
      </c>
      <c r="AF468">
        <v>1025.5</v>
      </c>
      <c r="AH468">
        <v>509.9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1349.3</v>
      </c>
      <c r="AO468">
        <v>786.40000000000009</v>
      </c>
      <c r="AP468">
        <v>0</v>
      </c>
      <c r="AQ468">
        <v>68.3</v>
      </c>
      <c r="AR468">
        <v>234.9</v>
      </c>
      <c r="AS468">
        <v>600.40000000000009</v>
      </c>
      <c r="AU468">
        <v>985.69999999999993</v>
      </c>
      <c r="AW468">
        <v>792</v>
      </c>
      <c r="AX468">
        <v>1988.5</v>
      </c>
      <c r="AZ468">
        <v>763.5</v>
      </c>
      <c r="BA468">
        <v>0</v>
      </c>
      <c r="BB468">
        <v>0</v>
      </c>
      <c r="BC468">
        <v>1935.3</v>
      </c>
      <c r="BD468">
        <v>1006.5</v>
      </c>
      <c r="BE468">
        <v>0</v>
      </c>
      <c r="BF468">
        <v>0</v>
      </c>
      <c r="BG468">
        <v>0</v>
      </c>
      <c r="BH468">
        <v>1662.6</v>
      </c>
      <c r="BJ468">
        <v>0</v>
      </c>
      <c r="BK468">
        <v>0</v>
      </c>
      <c r="BL468">
        <v>1038.9000000000001</v>
      </c>
      <c r="BM468">
        <v>1101</v>
      </c>
      <c r="BO468">
        <v>1276.8000000000002</v>
      </c>
      <c r="BQ468">
        <v>0</v>
      </c>
      <c r="BR468">
        <v>270.7</v>
      </c>
      <c r="BS468">
        <v>230.5</v>
      </c>
      <c r="BT468">
        <v>472.3</v>
      </c>
      <c r="BU468">
        <v>537.29999999999995</v>
      </c>
      <c r="BV468">
        <v>346.3</v>
      </c>
      <c r="BW468">
        <v>386.2</v>
      </c>
      <c r="BX468">
        <v>767</v>
      </c>
      <c r="BY468">
        <v>757.2</v>
      </c>
      <c r="BZ468">
        <v>1037.2</v>
      </c>
      <c r="CA468">
        <v>1227.0999999999999</v>
      </c>
      <c r="CB468">
        <v>1232.0999999999999</v>
      </c>
      <c r="CC468">
        <v>1701.5</v>
      </c>
      <c r="CD468">
        <v>0</v>
      </c>
      <c r="CG468">
        <v>1385.3</v>
      </c>
      <c r="CJ468">
        <v>1630.2999999999997</v>
      </c>
      <c r="CM468">
        <v>1184.2</v>
      </c>
      <c r="CO468">
        <v>1248.0999999999999</v>
      </c>
      <c r="CQ468">
        <v>1435.3</v>
      </c>
      <c r="CR468">
        <v>798.2</v>
      </c>
      <c r="CS468">
        <v>923.8</v>
      </c>
      <c r="CT468">
        <v>0</v>
      </c>
      <c r="CU468">
        <v>0</v>
      </c>
      <c r="CV468">
        <v>0</v>
      </c>
      <c r="CW468">
        <v>0</v>
      </c>
      <c r="CX468">
        <v>163.69999999999999</v>
      </c>
      <c r="CY468">
        <v>0</v>
      </c>
      <c r="CZ468">
        <v>0</v>
      </c>
      <c r="DA468">
        <v>0</v>
      </c>
      <c r="DB468">
        <v>0</v>
      </c>
      <c r="DC468">
        <v>0</v>
      </c>
      <c r="DD468">
        <v>0</v>
      </c>
      <c r="DE468">
        <v>0</v>
      </c>
      <c r="DI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  <c r="EJ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G468" t="e">
        <v>#N/A</v>
      </c>
      <c r="FI468" t="e">
        <v>#N/A</v>
      </c>
      <c r="FK468" t="e">
        <v>#N/A</v>
      </c>
      <c r="FM468" t="e">
        <v>#N/A</v>
      </c>
      <c r="FO468" t="e">
        <v>#N/A</v>
      </c>
      <c r="FQ468" t="e">
        <v>#N/A</v>
      </c>
      <c r="FS468" t="e">
        <v>#N/A</v>
      </c>
      <c r="FU468" t="e">
        <v>#N/A</v>
      </c>
      <c r="FW468" t="e">
        <v>#N/A</v>
      </c>
      <c r="FY468" t="e">
        <v>#N/A</v>
      </c>
      <c r="GA468" t="e">
        <v>#N/A</v>
      </c>
      <c r="GC468" t="e">
        <v>#N/A</v>
      </c>
      <c r="GE468" t="e">
        <v>#N/A</v>
      </c>
      <c r="GG468" t="e">
        <v>#N/A</v>
      </c>
      <c r="GI468" t="e">
        <v>#N/A</v>
      </c>
      <c r="GK468" t="e">
        <v>#N/A</v>
      </c>
      <c r="GM468" t="e">
        <v>#N/A</v>
      </c>
      <c r="GO468" t="e">
        <v>#N/A</v>
      </c>
      <c r="GQ468" t="e">
        <v>#N/A</v>
      </c>
      <c r="GS468" t="e">
        <v>#N/A</v>
      </c>
      <c r="GU468" t="e">
        <v>#N/A</v>
      </c>
      <c r="GW468" t="e">
        <v>#N/A</v>
      </c>
      <c r="GY468" t="e">
        <v>#N/A</v>
      </c>
      <c r="HA468" t="e">
        <v>#N/A</v>
      </c>
      <c r="HC468">
        <v>0</v>
      </c>
      <c r="HD468">
        <v>0</v>
      </c>
      <c r="HE468">
        <v>0</v>
      </c>
      <c r="HF468">
        <v>0</v>
      </c>
      <c r="HG468">
        <v>0</v>
      </c>
      <c r="HH468">
        <v>0</v>
      </c>
      <c r="HI468">
        <v>0</v>
      </c>
      <c r="HJ468">
        <v>0</v>
      </c>
      <c r="HM468">
        <v>0</v>
      </c>
      <c r="HN468">
        <v>0</v>
      </c>
      <c r="HO468">
        <v>0</v>
      </c>
      <c r="HP468">
        <v>0</v>
      </c>
      <c r="HQ468">
        <v>0</v>
      </c>
      <c r="HR468">
        <v>0</v>
      </c>
      <c r="HS468">
        <v>0</v>
      </c>
      <c r="HT468">
        <v>0</v>
      </c>
      <c r="HW468">
        <v>0</v>
      </c>
      <c r="HX468">
        <v>0</v>
      </c>
      <c r="HY468">
        <v>0</v>
      </c>
      <c r="HZ468">
        <v>0</v>
      </c>
      <c r="IA468">
        <v>3930.6</v>
      </c>
      <c r="IB468">
        <v>3632.9</v>
      </c>
      <c r="IC468">
        <v>3795.5</v>
      </c>
      <c r="ID468">
        <v>0</v>
      </c>
      <c r="IE468">
        <v>0</v>
      </c>
      <c r="IF468">
        <v>3548.5</v>
      </c>
      <c r="IG468">
        <v>3395.2</v>
      </c>
      <c r="IH468">
        <v>3395.4</v>
      </c>
      <c r="II468">
        <v>3302.3</v>
      </c>
      <c r="IJ468">
        <v>3172.8</v>
      </c>
      <c r="IK468">
        <v>0</v>
      </c>
      <c r="IL468">
        <v>0</v>
      </c>
      <c r="IM468">
        <v>0</v>
      </c>
      <c r="IN468">
        <v>0</v>
      </c>
      <c r="IO468">
        <v>123.4</v>
      </c>
      <c r="IP468">
        <v>405.2</v>
      </c>
      <c r="IQ468">
        <v>418.7</v>
      </c>
      <c r="IR468">
        <v>0</v>
      </c>
      <c r="IS468">
        <v>0</v>
      </c>
      <c r="IT468">
        <v>0</v>
      </c>
      <c r="IU468">
        <v>0</v>
      </c>
      <c r="IV468">
        <v>396</v>
      </c>
      <c r="IW468">
        <v>0</v>
      </c>
      <c r="IX468">
        <v>0</v>
      </c>
      <c r="IZ468">
        <v>0</v>
      </c>
      <c r="JA468">
        <v>65.5</v>
      </c>
      <c r="JB468">
        <v>443.5</v>
      </c>
      <c r="JC468">
        <v>0</v>
      </c>
      <c r="JD468">
        <v>0</v>
      </c>
      <c r="JE468">
        <v>0</v>
      </c>
      <c r="JF468">
        <v>0</v>
      </c>
      <c r="JG468">
        <v>0</v>
      </c>
      <c r="JH468">
        <v>0</v>
      </c>
      <c r="JI468">
        <v>0</v>
      </c>
      <c r="JJ468">
        <v>0</v>
      </c>
      <c r="JK468">
        <v>0</v>
      </c>
      <c r="JL468">
        <v>0</v>
      </c>
      <c r="JM468">
        <v>0</v>
      </c>
      <c r="JN468">
        <v>0</v>
      </c>
      <c r="JO468">
        <v>0</v>
      </c>
      <c r="JP468">
        <v>0</v>
      </c>
      <c r="JQ468">
        <v>0</v>
      </c>
      <c r="JR468">
        <v>0</v>
      </c>
      <c r="JS468">
        <v>0</v>
      </c>
      <c r="JT468">
        <v>0</v>
      </c>
      <c r="JU468">
        <v>0</v>
      </c>
      <c r="JV468">
        <v>0</v>
      </c>
      <c r="JW468">
        <v>0</v>
      </c>
      <c r="JX468">
        <v>0</v>
      </c>
      <c r="JY468">
        <v>0</v>
      </c>
      <c r="JZ468">
        <v>0</v>
      </c>
      <c r="KA468">
        <v>0</v>
      </c>
      <c r="KB468">
        <v>0</v>
      </c>
      <c r="KC468">
        <v>0</v>
      </c>
      <c r="KD468">
        <v>0</v>
      </c>
      <c r="KE468">
        <v>0</v>
      </c>
      <c r="KF468">
        <v>0</v>
      </c>
      <c r="KI468">
        <v>344.6</v>
      </c>
      <c r="KJ468">
        <v>350.8</v>
      </c>
      <c r="KK468">
        <v>22.1</v>
      </c>
      <c r="KL468">
        <v>379.3</v>
      </c>
      <c r="KM468">
        <v>241.4</v>
      </c>
      <c r="KN468">
        <v>0</v>
      </c>
      <c r="KO468">
        <v>0</v>
      </c>
      <c r="KP468">
        <v>57.3</v>
      </c>
      <c r="KQ468">
        <v>224.4</v>
      </c>
      <c r="KR468">
        <v>338.3</v>
      </c>
      <c r="KS468">
        <v>215.8</v>
      </c>
      <c r="KT468">
        <v>40.700000000000003</v>
      </c>
      <c r="KW468">
        <v>2154.5</v>
      </c>
      <c r="KX468">
        <v>1255.7</v>
      </c>
      <c r="KY468">
        <v>1630.1</v>
      </c>
      <c r="KZ468">
        <v>1246.9000000000001</v>
      </c>
      <c r="LB468">
        <v>78.099999999999994</v>
      </c>
      <c r="LC468">
        <v>77.7</v>
      </c>
    </row>
    <row r="469" spans="1:315" ht="18.600000000000001" thickTop="1" thickBot="1">
      <c r="A469" s="181"/>
      <c r="B469" s="181" t="s">
        <v>521</v>
      </c>
      <c r="C469" s="326" t="s">
        <v>890</v>
      </c>
      <c r="D469" s="287" t="s">
        <v>723</v>
      </c>
      <c r="E469" s="450">
        <v>0</v>
      </c>
      <c r="F469" s="190">
        <v>0</v>
      </c>
      <c r="G469" s="427">
        <v>3413.8</v>
      </c>
      <c r="H469" s="155"/>
      <c r="I469">
        <v>735</v>
      </c>
      <c r="K469">
        <v>1973.1000000000001</v>
      </c>
      <c r="L469" s="4">
        <v>221.60000000000002</v>
      </c>
      <c r="M469" s="4">
        <v>54.9</v>
      </c>
      <c r="N469" s="4">
        <v>1989.7</v>
      </c>
      <c r="P469">
        <v>0</v>
      </c>
      <c r="Q469">
        <v>238.29999999999998</v>
      </c>
      <c r="R469">
        <v>0</v>
      </c>
      <c r="S469">
        <v>0</v>
      </c>
      <c r="T469">
        <v>368.5</v>
      </c>
      <c r="W469">
        <v>720.3</v>
      </c>
      <c r="X469">
        <v>1411.5</v>
      </c>
      <c r="Y469">
        <v>96.5</v>
      </c>
      <c r="AA469">
        <v>859.6</v>
      </c>
      <c r="AB469">
        <v>1577.6000000000001</v>
      </c>
      <c r="AE469">
        <v>1330</v>
      </c>
      <c r="AF469">
        <v>1025.5</v>
      </c>
      <c r="AH469">
        <v>509.9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1349.3</v>
      </c>
      <c r="AO469">
        <v>786.40000000000009</v>
      </c>
      <c r="AP469">
        <v>0</v>
      </c>
      <c r="AQ469">
        <v>68.3</v>
      </c>
      <c r="AR469">
        <v>234.9</v>
      </c>
      <c r="AS469">
        <v>600.40000000000009</v>
      </c>
      <c r="AU469">
        <v>985.69999999999993</v>
      </c>
      <c r="AW469">
        <v>792</v>
      </c>
      <c r="AX469">
        <v>1988.5</v>
      </c>
      <c r="AZ469">
        <v>763.5</v>
      </c>
      <c r="BA469">
        <v>0</v>
      </c>
      <c r="BB469">
        <v>0</v>
      </c>
      <c r="BC469">
        <v>1935.3</v>
      </c>
      <c r="BD469">
        <v>1006.5</v>
      </c>
      <c r="BE469">
        <v>0</v>
      </c>
      <c r="BF469">
        <v>0</v>
      </c>
      <c r="BG469">
        <v>0</v>
      </c>
      <c r="BH469">
        <v>1662.6</v>
      </c>
      <c r="BJ469">
        <v>0</v>
      </c>
      <c r="BK469">
        <v>0</v>
      </c>
      <c r="BL469">
        <v>1038.9000000000001</v>
      </c>
      <c r="BM469">
        <v>1101</v>
      </c>
      <c r="BO469">
        <v>1276.8000000000002</v>
      </c>
      <c r="BQ469">
        <v>0</v>
      </c>
      <c r="BR469">
        <v>270.7</v>
      </c>
      <c r="BS469">
        <v>230.5</v>
      </c>
      <c r="BT469">
        <v>472.3</v>
      </c>
      <c r="BU469">
        <v>537.29999999999995</v>
      </c>
      <c r="BV469">
        <v>346.3</v>
      </c>
      <c r="BW469">
        <v>386.2</v>
      </c>
      <c r="BX469">
        <v>767</v>
      </c>
      <c r="BY469">
        <v>757.2</v>
      </c>
      <c r="BZ469">
        <v>1037.2</v>
      </c>
      <c r="CA469">
        <v>1227.0999999999999</v>
      </c>
      <c r="CB469">
        <v>1232.0999999999999</v>
      </c>
      <c r="CC469">
        <v>1701.5</v>
      </c>
      <c r="CD469">
        <v>0</v>
      </c>
      <c r="CG469">
        <v>1385.3</v>
      </c>
      <c r="CJ469">
        <v>1630.2999999999997</v>
      </c>
      <c r="CM469">
        <v>1184.2</v>
      </c>
      <c r="CO469">
        <v>1248.0999999999999</v>
      </c>
      <c r="CQ469">
        <v>1435.3</v>
      </c>
      <c r="CR469">
        <v>798.2</v>
      </c>
      <c r="CS469">
        <v>923.8</v>
      </c>
      <c r="CT469">
        <v>0</v>
      </c>
      <c r="CU469">
        <v>0</v>
      </c>
      <c r="CV469">
        <v>0</v>
      </c>
      <c r="CW469">
        <v>0</v>
      </c>
      <c r="CX469">
        <v>163.69999999999999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I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  <c r="EJ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G469" t="e">
        <v>#N/A</v>
      </c>
      <c r="FI469" t="e">
        <v>#N/A</v>
      </c>
      <c r="FK469" t="e">
        <v>#N/A</v>
      </c>
      <c r="FM469" t="e">
        <v>#N/A</v>
      </c>
      <c r="FO469" t="e">
        <v>#N/A</v>
      </c>
      <c r="FQ469" t="e">
        <v>#N/A</v>
      </c>
      <c r="FS469" t="e">
        <v>#N/A</v>
      </c>
      <c r="FU469" t="e">
        <v>#N/A</v>
      </c>
      <c r="FW469" t="e">
        <v>#N/A</v>
      </c>
      <c r="FY469" t="e">
        <v>#N/A</v>
      </c>
      <c r="GA469" t="e">
        <v>#N/A</v>
      </c>
      <c r="GC469" t="e">
        <v>#N/A</v>
      </c>
      <c r="GE469" t="e">
        <v>#N/A</v>
      </c>
      <c r="GG469" t="e">
        <v>#N/A</v>
      </c>
      <c r="GI469" t="e">
        <v>#N/A</v>
      </c>
      <c r="GK469" t="e">
        <v>#N/A</v>
      </c>
      <c r="GM469" t="e">
        <v>#N/A</v>
      </c>
      <c r="GO469" t="e">
        <v>#N/A</v>
      </c>
      <c r="GQ469" t="e">
        <v>#N/A</v>
      </c>
      <c r="GS469" t="e">
        <v>#N/A</v>
      </c>
      <c r="GU469" t="e">
        <v>#N/A</v>
      </c>
      <c r="GW469" t="e">
        <v>#N/A</v>
      </c>
      <c r="GY469" t="e">
        <v>#N/A</v>
      </c>
      <c r="HA469" t="e">
        <v>#N/A</v>
      </c>
      <c r="HC469">
        <v>0</v>
      </c>
      <c r="HD469">
        <v>0</v>
      </c>
      <c r="HE469">
        <v>0</v>
      </c>
      <c r="HF469">
        <v>0</v>
      </c>
      <c r="HG469">
        <v>0</v>
      </c>
      <c r="HH469">
        <v>0</v>
      </c>
      <c r="HI469">
        <v>0</v>
      </c>
      <c r="HJ469">
        <v>0</v>
      </c>
      <c r="HM469">
        <v>0</v>
      </c>
      <c r="HN469">
        <v>0</v>
      </c>
      <c r="HO469">
        <v>0</v>
      </c>
      <c r="HP469">
        <v>0</v>
      </c>
      <c r="HQ469">
        <v>0</v>
      </c>
      <c r="HR469">
        <v>0</v>
      </c>
      <c r="HS469">
        <v>0</v>
      </c>
      <c r="HT469">
        <v>0</v>
      </c>
      <c r="HW469">
        <v>0</v>
      </c>
      <c r="HX469">
        <v>0</v>
      </c>
      <c r="HY469">
        <v>0</v>
      </c>
      <c r="HZ469">
        <v>0</v>
      </c>
      <c r="IA469">
        <v>3930.6</v>
      </c>
      <c r="IB469">
        <v>3632.9</v>
      </c>
      <c r="IC469">
        <v>3795.5</v>
      </c>
      <c r="ID469">
        <v>0</v>
      </c>
      <c r="IE469">
        <v>0</v>
      </c>
      <c r="IF469">
        <v>3548.5</v>
      </c>
      <c r="IG469">
        <v>3395.2</v>
      </c>
      <c r="IH469">
        <v>3395.4</v>
      </c>
      <c r="II469">
        <v>3302.3</v>
      </c>
      <c r="IJ469">
        <v>3172.8</v>
      </c>
      <c r="IK469">
        <v>0</v>
      </c>
      <c r="IL469">
        <v>0</v>
      </c>
      <c r="IM469">
        <v>0</v>
      </c>
      <c r="IN469">
        <v>0</v>
      </c>
      <c r="IO469">
        <v>123.4</v>
      </c>
      <c r="IP469">
        <v>405.2</v>
      </c>
      <c r="IQ469">
        <v>418.7</v>
      </c>
      <c r="IR469">
        <v>0</v>
      </c>
      <c r="IS469">
        <v>0</v>
      </c>
      <c r="IT469">
        <v>0</v>
      </c>
      <c r="IU469">
        <v>0</v>
      </c>
      <c r="IV469">
        <v>396</v>
      </c>
      <c r="IW469">
        <v>0</v>
      </c>
      <c r="IX469">
        <v>0</v>
      </c>
      <c r="IZ469">
        <v>0</v>
      </c>
      <c r="JA469">
        <v>65.5</v>
      </c>
      <c r="JB469">
        <v>443.5</v>
      </c>
      <c r="JC469">
        <v>0</v>
      </c>
      <c r="JD469">
        <v>0</v>
      </c>
      <c r="JE469">
        <v>0</v>
      </c>
      <c r="JF469">
        <v>0</v>
      </c>
      <c r="JG469">
        <v>0</v>
      </c>
      <c r="JH469">
        <v>0</v>
      </c>
      <c r="JI469">
        <v>0</v>
      </c>
      <c r="JJ469">
        <v>0</v>
      </c>
      <c r="JK469">
        <v>0</v>
      </c>
      <c r="JL469">
        <v>0</v>
      </c>
      <c r="JM469">
        <v>0</v>
      </c>
      <c r="JN469">
        <v>0</v>
      </c>
      <c r="JO469">
        <v>0</v>
      </c>
      <c r="JP469">
        <v>0</v>
      </c>
      <c r="JQ469">
        <v>0</v>
      </c>
      <c r="JR469">
        <v>0</v>
      </c>
      <c r="JS469">
        <v>0</v>
      </c>
      <c r="JT469">
        <v>0</v>
      </c>
      <c r="JU469">
        <v>0</v>
      </c>
      <c r="JV469">
        <v>0</v>
      </c>
      <c r="JW469">
        <v>0</v>
      </c>
      <c r="JX469">
        <v>0</v>
      </c>
      <c r="JY469">
        <v>0</v>
      </c>
      <c r="JZ469">
        <v>0</v>
      </c>
      <c r="KA469">
        <v>0</v>
      </c>
      <c r="KB469">
        <v>0</v>
      </c>
      <c r="KC469">
        <v>0</v>
      </c>
      <c r="KD469">
        <v>0</v>
      </c>
      <c r="KE469">
        <v>0</v>
      </c>
      <c r="KF469">
        <v>0</v>
      </c>
      <c r="KI469">
        <v>344.6</v>
      </c>
      <c r="KJ469">
        <v>350.8</v>
      </c>
      <c r="KK469">
        <v>22.1</v>
      </c>
      <c r="KL469">
        <v>379.3</v>
      </c>
      <c r="KM469">
        <v>241.4</v>
      </c>
      <c r="KN469">
        <v>0</v>
      </c>
      <c r="KO469">
        <v>0</v>
      </c>
      <c r="KP469">
        <v>57.3</v>
      </c>
      <c r="KQ469">
        <v>224.4</v>
      </c>
      <c r="KR469">
        <v>338.3</v>
      </c>
      <c r="KS469">
        <v>215.8</v>
      </c>
      <c r="KT469">
        <v>40.700000000000003</v>
      </c>
      <c r="KW469">
        <v>2154.5</v>
      </c>
      <c r="KX469">
        <v>1255.7</v>
      </c>
      <c r="KY469">
        <v>1630.1</v>
      </c>
      <c r="KZ469">
        <v>1246.9000000000001</v>
      </c>
      <c r="LB469">
        <v>78.099999999999994</v>
      </c>
      <c r="LC469">
        <v>77.7</v>
      </c>
    </row>
    <row r="470" spans="1:315" ht="18" thickBot="1">
      <c r="A470" s="245"/>
      <c r="B470" s="245" t="s">
        <v>522</v>
      </c>
      <c r="C470" s="88" t="s">
        <v>891</v>
      </c>
      <c r="D470" s="281" t="s">
        <v>723</v>
      </c>
      <c r="E470" s="443">
        <v>0</v>
      </c>
      <c r="F470" s="191">
        <v>0</v>
      </c>
      <c r="G470" s="427">
        <v>3413.8</v>
      </c>
      <c r="H470" s="155"/>
      <c r="I470">
        <v>735</v>
      </c>
      <c r="K470">
        <v>1973.1000000000001</v>
      </c>
      <c r="L470" s="4">
        <v>221.60000000000002</v>
      </c>
      <c r="M470" s="4">
        <v>54.9</v>
      </c>
      <c r="N470" s="4">
        <v>1989.7</v>
      </c>
      <c r="P470">
        <v>0</v>
      </c>
      <c r="Q470">
        <v>238.29999999999998</v>
      </c>
      <c r="R470">
        <v>0</v>
      </c>
      <c r="S470">
        <v>0</v>
      </c>
      <c r="T470">
        <v>368.5</v>
      </c>
      <c r="W470">
        <v>720.3</v>
      </c>
      <c r="X470">
        <v>1411.5</v>
      </c>
      <c r="Y470">
        <v>96.5</v>
      </c>
      <c r="AA470">
        <v>859.6</v>
      </c>
      <c r="AB470">
        <v>1577.6000000000001</v>
      </c>
      <c r="AE470">
        <v>1330</v>
      </c>
      <c r="AF470">
        <v>1025.5</v>
      </c>
      <c r="AH470">
        <v>509.9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1349.3</v>
      </c>
      <c r="AO470">
        <v>786.40000000000009</v>
      </c>
      <c r="AP470">
        <v>0</v>
      </c>
      <c r="AQ470">
        <v>68.3</v>
      </c>
      <c r="AR470">
        <v>234.9</v>
      </c>
      <c r="AS470">
        <v>600.40000000000009</v>
      </c>
      <c r="AU470">
        <v>985.69999999999993</v>
      </c>
      <c r="AW470">
        <v>792</v>
      </c>
      <c r="AX470">
        <v>1988.5</v>
      </c>
      <c r="AZ470">
        <v>763.5</v>
      </c>
      <c r="BA470">
        <v>0</v>
      </c>
      <c r="BB470">
        <v>0</v>
      </c>
      <c r="BC470">
        <v>1935.3</v>
      </c>
      <c r="BD470">
        <v>1006.5</v>
      </c>
      <c r="BE470">
        <v>0</v>
      </c>
      <c r="BF470">
        <v>0</v>
      </c>
      <c r="BG470">
        <v>0</v>
      </c>
      <c r="BH470">
        <v>1662.6</v>
      </c>
      <c r="BJ470">
        <v>0</v>
      </c>
      <c r="BK470">
        <v>0</v>
      </c>
      <c r="BL470">
        <v>1038.9000000000001</v>
      </c>
      <c r="BM470">
        <v>1101</v>
      </c>
      <c r="BO470">
        <v>1276.8000000000002</v>
      </c>
      <c r="BQ470">
        <v>0</v>
      </c>
      <c r="BR470">
        <v>270.7</v>
      </c>
      <c r="BS470">
        <v>230.5</v>
      </c>
      <c r="BT470">
        <v>472.3</v>
      </c>
      <c r="BU470">
        <v>537.29999999999995</v>
      </c>
      <c r="BV470">
        <v>346.3</v>
      </c>
      <c r="BW470">
        <v>386.2</v>
      </c>
      <c r="BX470">
        <v>767</v>
      </c>
      <c r="BY470">
        <v>757.2</v>
      </c>
      <c r="BZ470">
        <v>1037.2</v>
      </c>
      <c r="CA470">
        <v>1227.0999999999999</v>
      </c>
      <c r="CB470">
        <v>1232.0999999999999</v>
      </c>
      <c r="CC470">
        <v>1701.5</v>
      </c>
      <c r="CD470">
        <v>0</v>
      </c>
      <c r="CG470">
        <v>1385.3</v>
      </c>
      <c r="CJ470">
        <v>1630.2999999999997</v>
      </c>
      <c r="CM470">
        <v>1184.2</v>
      </c>
      <c r="CO470">
        <v>1248.0999999999999</v>
      </c>
      <c r="CQ470">
        <v>1435.3</v>
      </c>
      <c r="CR470">
        <v>798.2</v>
      </c>
      <c r="CS470">
        <v>923.8</v>
      </c>
      <c r="CT470">
        <v>0</v>
      </c>
      <c r="CU470">
        <v>0</v>
      </c>
      <c r="CV470">
        <v>0</v>
      </c>
      <c r="CW470">
        <v>0</v>
      </c>
      <c r="CX470">
        <v>163.69999999999999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I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G470" t="e">
        <v>#N/A</v>
      </c>
      <c r="FI470" t="e">
        <v>#N/A</v>
      </c>
      <c r="FK470" t="e">
        <v>#N/A</v>
      </c>
      <c r="FM470" t="e">
        <v>#N/A</v>
      </c>
      <c r="FO470" t="e">
        <v>#N/A</v>
      </c>
      <c r="FQ470" t="e">
        <v>#N/A</v>
      </c>
      <c r="FS470" t="e">
        <v>#N/A</v>
      </c>
      <c r="FU470" t="e">
        <v>#N/A</v>
      </c>
      <c r="FW470" t="e">
        <v>#N/A</v>
      </c>
      <c r="FY470" t="e">
        <v>#N/A</v>
      </c>
      <c r="GA470" t="e">
        <v>#N/A</v>
      </c>
      <c r="GC470" t="e">
        <v>#N/A</v>
      </c>
      <c r="GE470" t="e">
        <v>#N/A</v>
      </c>
      <c r="GG470" t="e">
        <v>#N/A</v>
      </c>
      <c r="GI470" t="e">
        <v>#N/A</v>
      </c>
      <c r="GK470" t="e">
        <v>#N/A</v>
      </c>
      <c r="GM470" t="e">
        <v>#N/A</v>
      </c>
      <c r="GO470" t="e">
        <v>#N/A</v>
      </c>
      <c r="GQ470" t="e">
        <v>#N/A</v>
      </c>
      <c r="GS470" t="e">
        <v>#N/A</v>
      </c>
      <c r="GU470" t="e">
        <v>#N/A</v>
      </c>
      <c r="GW470" t="e">
        <v>#N/A</v>
      </c>
      <c r="GY470" t="e">
        <v>#N/A</v>
      </c>
      <c r="HA470" t="e">
        <v>#N/A</v>
      </c>
      <c r="HC470">
        <v>0</v>
      </c>
      <c r="HD470">
        <v>0</v>
      </c>
      <c r="HE470">
        <v>0</v>
      </c>
      <c r="HF470">
        <v>0</v>
      </c>
      <c r="HG470">
        <v>0</v>
      </c>
      <c r="HH470">
        <v>0</v>
      </c>
      <c r="HI470">
        <v>0</v>
      </c>
      <c r="HJ470">
        <v>0</v>
      </c>
      <c r="HM470">
        <v>0</v>
      </c>
      <c r="HN470">
        <v>0</v>
      </c>
      <c r="HO470">
        <v>0</v>
      </c>
      <c r="HP470">
        <v>0</v>
      </c>
      <c r="HQ470">
        <v>0</v>
      </c>
      <c r="HR470">
        <v>0</v>
      </c>
      <c r="HS470">
        <v>0</v>
      </c>
      <c r="HT470">
        <v>0</v>
      </c>
      <c r="HW470">
        <v>0</v>
      </c>
      <c r="HX470">
        <v>0</v>
      </c>
      <c r="HY470">
        <v>0</v>
      </c>
      <c r="HZ470">
        <v>0</v>
      </c>
      <c r="IA470">
        <v>3930.6</v>
      </c>
      <c r="IB470">
        <v>3632.9</v>
      </c>
      <c r="IC470">
        <v>3795.5</v>
      </c>
      <c r="ID470">
        <v>0</v>
      </c>
      <c r="IE470">
        <v>0</v>
      </c>
      <c r="IF470">
        <v>3548.5</v>
      </c>
      <c r="IG470">
        <v>3395.2</v>
      </c>
      <c r="IH470">
        <v>3395.4</v>
      </c>
      <c r="II470">
        <v>3302.3</v>
      </c>
      <c r="IJ470">
        <v>3172.8</v>
      </c>
      <c r="IK470">
        <v>0</v>
      </c>
      <c r="IL470">
        <v>0</v>
      </c>
      <c r="IM470">
        <v>0</v>
      </c>
      <c r="IN470">
        <v>0</v>
      </c>
      <c r="IO470">
        <v>123.4</v>
      </c>
      <c r="IP470">
        <v>405.2</v>
      </c>
      <c r="IQ470">
        <v>418.7</v>
      </c>
      <c r="IR470">
        <v>0</v>
      </c>
      <c r="IS470">
        <v>0</v>
      </c>
      <c r="IT470">
        <v>0</v>
      </c>
      <c r="IU470">
        <v>0</v>
      </c>
      <c r="IV470">
        <v>396</v>
      </c>
      <c r="IW470">
        <v>0</v>
      </c>
      <c r="IX470">
        <v>0</v>
      </c>
      <c r="IZ470">
        <v>0</v>
      </c>
      <c r="JA470">
        <v>65.5</v>
      </c>
      <c r="JB470">
        <v>443.5</v>
      </c>
      <c r="JC470">
        <v>0</v>
      </c>
      <c r="JD470">
        <v>0</v>
      </c>
      <c r="JE470">
        <v>0</v>
      </c>
      <c r="JF470">
        <v>0</v>
      </c>
      <c r="JG470">
        <v>0</v>
      </c>
      <c r="JH470">
        <v>0</v>
      </c>
      <c r="JI470">
        <v>0</v>
      </c>
      <c r="JJ470">
        <v>0</v>
      </c>
      <c r="JK470">
        <v>0</v>
      </c>
      <c r="JL470">
        <v>0</v>
      </c>
      <c r="JM470">
        <v>0</v>
      </c>
      <c r="JN470">
        <v>0</v>
      </c>
      <c r="JO470">
        <v>0</v>
      </c>
      <c r="JP470">
        <v>0</v>
      </c>
      <c r="JQ470">
        <v>0</v>
      </c>
      <c r="JR470">
        <v>0</v>
      </c>
      <c r="JS470">
        <v>0</v>
      </c>
      <c r="JT470">
        <v>0</v>
      </c>
      <c r="JU470">
        <v>0</v>
      </c>
      <c r="JV470">
        <v>0</v>
      </c>
      <c r="JW470">
        <v>0</v>
      </c>
      <c r="JX470">
        <v>0</v>
      </c>
      <c r="JY470">
        <v>0</v>
      </c>
      <c r="JZ470">
        <v>0</v>
      </c>
      <c r="KA470">
        <v>0</v>
      </c>
      <c r="KB470">
        <v>0</v>
      </c>
      <c r="KC470">
        <v>0</v>
      </c>
      <c r="KD470">
        <v>0</v>
      </c>
      <c r="KE470">
        <v>0</v>
      </c>
      <c r="KF470">
        <v>0</v>
      </c>
      <c r="KI470">
        <v>344.6</v>
      </c>
      <c r="KJ470">
        <v>350.8</v>
      </c>
      <c r="KK470">
        <v>22.1</v>
      </c>
      <c r="KL470">
        <v>379.3</v>
      </c>
      <c r="KM470">
        <v>241.4</v>
      </c>
      <c r="KN470">
        <v>0</v>
      </c>
      <c r="KO470">
        <v>0</v>
      </c>
      <c r="KP470">
        <v>57.3</v>
      </c>
      <c r="KQ470">
        <v>224.4</v>
      </c>
      <c r="KR470">
        <v>338.3</v>
      </c>
      <c r="KS470">
        <v>215.8</v>
      </c>
      <c r="KT470">
        <v>40.700000000000003</v>
      </c>
      <c r="KW470">
        <v>2154.5</v>
      </c>
      <c r="KX470">
        <v>1255.7</v>
      </c>
      <c r="KY470">
        <v>1630.1</v>
      </c>
      <c r="KZ470">
        <v>1246.9000000000001</v>
      </c>
      <c r="LB470">
        <v>78.099999999999994</v>
      </c>
      <c r="LC470">
        <v>77.7</v>
      </c>
    </row>
    <row r="471" spans="1:315" ht="18" thickBot="1">
      <c r="A471" s="245"/>
      <c r="B471" s="245" t="s">
        <v>604</v>
      </c>
      <c r="C471" s="88" t="s">
        <v>728</v>
      </c>
      <c r="D471" s="281" t="s">
        <v>723</v>
      </c>
      <c r="E471" s="443">
        <v>0</v>
      </c>
      <c r="F471" s="191">
        <v>0</v>
      </c>
      <c r="G471" s="427">
        <v>3413.8</v>
      </c>
      <c r="H471" s="155"/>
      <c r="I471">
        <v>735</v>
      </c>
      <c r="K471">
        <v>1973.1000000000001</v>
      </c>
      <c r="L471" s="4">
        <v>221.60000000000002</v>
      </c>
      <c r="M471" s="4">
        <v>54.9</v>
      </c>
      <c r="N471" s="4">
        <v>1989.7</v>
      </c>
      <c r="P471">
        <v>0</v>
      </c>
      <c r="Q471">
        <v>238.29999999999998</v>
      </c>
      <c r="R471">
        <v>0</v>
      </c>
      <c r="S471">
        <v>0</v>
      </c>
      <c r="T471">
        <v>368.5</v>
      </c>
      <c r="W471">
        <v>720.3</v>
      </c>
      <c r="X471">
        <v>1411.5</v>
      </c>
      <c r="Y471">
        <v>96.5</v>
      </c>
      <c r="AA471">
        <v>859.6</v>
      </c>
      <c r="AB471">
        <v>1577.6000000000001</v>
      </c>
      <c r="AE471">
        <v>1330</v>
      </c>
      <c r="AF471">
        <v>1025.5</v>
      </c>
      <c r="AH471">
        <v>509.9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1349.3</v>
      </c>
      <c r="AO471">
        <v>786.40000000000009</v>
      </c>
      <c r="AP471">
        <v>0</v>
      </c>
      <c r="AQ471">
        <v>68.3</v>
      </c>
      <c r="AR471">
        <v>234.9</v>
      </c>
      <c r="AS471">
        <v>600.40000000000009</v>
      </c>
      <c r="AU471">
        <v>985.69999999999993</v>
      </c>
      <c r="AW471">
        <v>792</v>
      </c>
      <c r="AX471">
        <v>1988.5</v>
      </c>
      <c r="AZ471">
        <v>763.5</v>
      </c>
      <c r="BA471">
        <v>0</v>
      </c>
      <c r="BB471">
        <v>0</v>
      </c>
      <c r="BC471">
        <v>1935.3</v>
      </c>
      <c r="BD471">
        <v>1006.5</v>
      </c>
      <c r="BE471">
        <v>0</v>
      </c>
      <c r="BF471">
        <v>0</v>
      </c>
      <c r="BG471">
        <v>0</v>
      </c>
      <c r="BH471">
        <v>1662.6</v>
      </c>
      <c r="BJ471">
        <v>0</v>
      </c>
      <c r="BK471">
        <v>0</v>
      </c>
      <c r="BL471">
        <v>1038.9000000000001</v>
      </c>
      <c r="BM471">
        <v>1101</v>
      </c>
      <c r="BO471">
        <v>1276.8000000000002</v>
      </c>
      <c r="BQ471">
        <v>0</v>
      </c>
      <c r="BR471">
        <v>270.7</v>
      </c>
      <c r="BS471">
        <v>230.5</v>
      </c>
      <c r="BT471">
        <v>472.3</v>
      </c>
      <c r="BU471">
        <v>537.29999999999995</v>
      </c>
      <c r="BV471">
        <v>346.3</v>
      </c>
      <c r="BW471">
        <v>386.2</v>
      </c>
      <c r="BX471">
        <v>767</v>
      </c>
      <c r="BY471">
        <v>757.2</v>
      </c>
      <c r="BZ471">
        <v>1037.2</v>
      </c>
      <c r="CA471">
        <v>1227.0999999999999</v>
      </c>
      <c r="CB471">
        <v>1232.0999999999999</v>
      </c>
      <c r="CC471">
        <v>1701.5</v>
      </c>
      <c r="CD471">
        <v>0</v>
      </c>
      <c r="CG471">
        <v>1385.3</v>
      </c>
      <c r="CJ471">
        <v>1630.2999999999997</v>
      </c>
      <c r="CM471">
        <v>1184.2</v>
      </c>
      <c r="CO471">
        <v>1248.0999999999999</v>
      </c>
      <c r="CQ471">
        <v>1435.3</v>
      </c>
      <c r="CR471">
        <v>798.2</v>
      </c>
      <c r="CS471">
        <v>923.8</v>
      </c>
      <c r="CT471">
        <v>0</v>
      </c>
      <c r="CU471">
        <v>0</v>
      </c>
      <c r="CV471">
        <v>0</v>
      </c>
      <c r="CW471">
        <v>0</v>
      </c>
      <c r="CX471">
        <v>163.69999999999999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I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G471" t="e">
        <v>#N/A</v>
      </c>
      <c r="FI471" t="e">
        <v>#N/A</v>
      </c>
      <c r="FK471" t="e">
        <v>#N/A</v>
      </c>
      <c r="FM471" t="e">
        <v>#N/A</v>
      </c>
      <c r="FO471" t="e">
        <v>#N/A</v>
      </c>
      <c r="FQ471" t="e">
        <v>#N/A</v>
      </c>
      <c r="FS471" t="e">
        <v>#N/A</v>
      </c>
      <c r="FU471" t="e">
        <v>#N/A</v>
      </c>
      <c r="FW471" t="e">
        <v>#N/A</v>
      </c>
      <c r="FY471" t="e">
        <v>#N/A</v>
      </c>
      <c r="GA471" t="e">
        <v>#N/A</v>
      </c>
      <c r="GC471" t="e">
        <v>#N/A</v>
      </c>
      <c r="GE471" t="e">
        <v>#N/A</v>
      </c>
      <c r="GG471" t="e">
        <v>#N/A</v>
      </c>
      <c r="GI471" t="e">
        <v>#N/A</v>
      </c>
      <c r="GK471" t="e">
        <v>#N/A</v>
      </c>
      <c r="GM471" t="e">
        <v>#N/A</v>
      </c>
      <c r="GO471" t="e">
        <v>#N/A</v>
      </c>
      <c r="GQ471" t="e">
        <v>#N/A</v>
      </c>
      <c r="GS471" t="e">
        <v>#N/A</v>
      </c>
      <c r="GU471" t="e">
        <v>#N/A</v>
      </c>
      <c r="GW471" t="e">
        <v>#N/A</v>
      </c>
      <c r="GY471" t="e">
        <v>#N/A</v>
      </c>
      <c r="HA471" t="e">
        <v>#N/A</v>
      </c>
      <c r="HC471">
        <v>0</v>
      </c>
      <c r="HD471">
        <v>0</v>
      </c>
      <c r="HE471">
        <v>0</v>
      </c>
      <c r="HF471">
        <v>0</v>
      </c>
      <c r="HG471">
        <v>0</v>
      </c>
      <c r="HH471">
        <v>0</v>
      </c>
      <c r="HI471">
        <v>0</v>
      </c>
      <c r="HJ471">
        <v>0</v>
      </c>
      <c r="HM471">
        <v>0</v>
      </c>
      <c r="HN471">
        <v>0</v>
      </c>
      <c r="HO471">
        <v>0</v>
      </c>
      <c r="HP471">
        <v>0</v>
      </c>
      <c r="HQ471">
        <v>0</v>
      </c>
      <c r="HR471">
        <v>0</v>
      </c>
      <c r="HS471">
        <v>0</v>
      </c>
      <c r="HT471">
        <v>0</v>
      </c>
      <c r="HW471">
        <v>0</v>
      </c>
      <c r="HX471">
        <v>0</v>
      </c>
      <c r="HY471">
        <v>0</v>
      </c>
      <c r="HZ471">
        <v>0</v>
      </c>
      <c r="IA471">
        <v>3930.6</v>
      </c>
      <c r="IB471">
        <v>3632.9</v>
      </c>
      <c r="IC471">
        <v>3795.5</v>
      </c>
      <c r="ID471">
        <v>0</v>
      </c>
      <c r="IE471">
        <v>0</v>
      </c>
      <c r="IF471">
        <v>3548.5</v>
      </c>
      <c r="IG471">
        <v>3395.2</v>
      </c>
      <c r="IH471">
        <v>3395.4</v>
      </c>
      <c r="II471">
        <v>3302.3</v>
      </c>
      <c r="IJ471">
        <v>3172.8</v>
      </c>
      <c r="IK471">
        <v>0</v>
      </c>
      <c r="IL471">
        <v>0</v>
      </c>
      <c r="IM471">
        <v>0</v>
      </c>
      <c r="IN471">
        <v>0</v>
      </c>
      <c r="IO471">
        <v>123.4</v>
      </c>
      <c r="IP471">
        <v>405.2</v>
      </c>
      <c r="IQ471">
        <v>418.7</v>
      </c>
      <c r="IR471">
        <v>0</v>
      </c>
      <c r="IS471">
        <v>0</v>
      </c>
      <c r="IT471">
        <v>0</v>
      </c>
      <c r="IU471">
        <v>0</v>
      </c>
      <c r="IV471">
        <v>396</v>
      </c>
      <c r="IW471">
        <v>0</v>
      </c>
      <c r="IX471">
        <v>0</v>
      </c>
      <c r="IZ471">
        <v>0</v>
      </c>
      <c r="JA471">
        <v>65.5</v>
      </c>
      <c r="JB471">
        <v>443.5</v>
      </c>
      <c r="JC471">
        <v>0</v>
      </c>
      <c r="JD471">
        <v>0</v>
      </c>
      <c r="JE471">
        <v>0</v>
      </c>
      <c r="JF471">
        <v>0</v>
      </c>
      <c r="JG471">
        <v>0</v>
      </c>
      <c r="JH471">
        <v>0</v>
      </c>
      <c r="JI471">
        <v>0</v>
      </c>
      <c r="JJ471">
        <v>0</v>
      </c>
      <c r="JK471">
        <v>0</v>
      </c>
      <c r="JL471">
        <v>0</v>
      </c>
      <c r="JM471">
        <v>0</v>
      </c>
      <c r="JN471">
        <v>0</v>
      </c>
      <c r="JO471">
        <v>0</v>
      </c>
      <c r="JP471">
        <v>0</v>
      </c>
      <c r="JQ471">
        <v>0</v>
      </c>
      <c r="JR471">
        <v>0</v>
      </c>
      <c r="JS471">
        <v>0</v>
      </c>
      <c r="JT471">
        <v>0</v>
      </c>
      <c r="JU471">
        <v>0</v>
      </c>
      <c r="JV471">
        <v>0</v>
      </c>
      <c r="JW471">
        <v>0</v>
      </c>
      <c r="JX471">
        <v>0</v>
      </c>
      <c r="JY471">
        <v>0</v>
      </c>
      <c r="JZ471">
        <v>0</v>
      </c>
      <c r="KA471">
        <v>0</v>
      </c>
      <c r="KB471">
        <v>0</v>
      </c>
      <c r="KC471">
        <v>0</v>
      </c>
      <c r="KD471">
        <v>0</v>
      </c>
      <c r="KE471">
        <v>0</v>
      </c>
      <c r="KF471">
        <v>0</v>
      </c>
      <c r="KI471">
        <v>344.6</v>
      </c>
      <c r="KJ471">
        <v>350.8</v>
      </c>
      <c r="KK471">
        <v>22.1</v>
      </c>
      <c r="KL471">
        <v>379.3</v>
      </c>
      <c r="KM471">
        <v>241.4</v>
      </c>
      <c r="KN471">
        <v>0</v>
      </c>
      <c r="KO471">
        <v>0</v>
      </c>
      <c r="KP471">
        <v>57.3</v>
      </c>
      <c r="KQ471">
        <v>224.4</v>
      </c>
      <c r="KR471">
        <v>338.3</v>
      </c>
      <c r="KS471">
        <v>215.8</v>
      </c>
      <c r="KT471">
        <v>40.700000000000003</v>
      </c>
      <c r="KW471">
        <v>2154.5</v>
      </c>
      <c r="KX471">
        <v>1255.7</v>
      </c>
      <c r="KY471">
        <v>1630.1</v>
      </c>
      <c r="KZ471">
        <v>1246.9000000000001</v>
      </c>
      <c r="LB471">
        <v>78.099999999999994</v>
      </c>
      <c r="LC471">
        <v>77.7</v>
      </c>
    </row>
    <row r="472" spans="1:315" ht="18" thickBot="1">
      <c r="A472" s="245"/>
      <c r="B472" s="245" t="s">
        <v>517</v>
      </c>
      <c r="C472" s="88" t="s">
        <v>729</v>
      </c>
      <c r="D472" s="281" t="s">
        <v>723</v>
      </c>
      <c r="E472" s="443">
        <v>0</v>
      </c>
      <c r="F472" s="191">
        <v>0</v>
      </c>
      <c r="G472" s="427">
        <v>3413.8</v>
      </c>
      <c r="H472" s="155"/>
      <c r="I472">
        <v>735</v>
      </c>
      <c r="K472">
        <v>1973.1000000000001</v>
      </c>
      <c r="L472" s="4">
        <v>221.60000000000002</v>
      </c>
      <c r="M472" s="4">
        <v>54.9</v>
      </c>
      <c r="N472" s="4">
        <v>1989.7</v>
      </c>
      <c r="P472">
        <v>0</v>
      </c>
      <c r="Q472">
        <v>238.29999999999998</v>
      </c>
      <c r="R472">
        <v>0</v>
      </c>
      <c r="S472">
        <v>0</v>
      </c>
      <c r="T472">
        <v>368.5</v>
      </c>
      <c r="W472">
        <v>720.3</v>
      </c>
      <c r="X472">
        <v>1411.5</v>
      </c>
      <c r="Y472">
        <v>96.5</v>
      </c>
      <c r="AA472">
        <v>859.6</v>
      </c>
      <c r="AB472">
        <v>1577.6000000000001</v>
      </c>
      <c r="AE472">
        <v>1330</v>
      </c>
      <c r="AF472">
        <v>1025.5</v>
      </c>
      <c r="AH472">
        <v>509.9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1349.3</v>
      </c>
      <c r="AO472">
        <v>786.40000000000009</v>
      </c>
      <c r="AP472">
        <v>0</v>
      </c>
      <c r="AQ472">
        <v>68.3</v>
      </c>
      <c r="AR472">
        <v>234.9</v>
      </c>
      <c r="AS472">
        <v>600.40000000000009</v>
      </c>
      <c r="AU472">
        <v>985.69999999999993</v>
      </c>
      <c r="AW472">
        <v>792</v>
      </c>
      <c r="AX472">
        <v>1988.5</v>
      </c>
      <c r="AZ472">
        <v>763.5</v>
      </c>
      <c r="BA472">
        <v>0</v>
      </c>
      <c r="BB472">
        <v>0</v>
      </c>
      <c r="BC472">
        <v>1935.3</v>
      </c>
      <c r="BD472">
        <v>1006.5</v>
      </c>
      <c r="BE472">
        <v>0</v>
      </c>
      <c r="BF472">
        <v>0</v>
      </c>
      <c r="BG472">
        <v>0</v>
      </c>
      <c r="BH472">
        <v>1662.6</v>
      </c>
      <c r="BJ472">
        <v>0</v>
      </c>
      <c r="BK472">
        <v>0</v>
      </c>
      <c r="BL472">
        <v>1038.9000000000001</v>
      </c>
      <c r="BM472">
        <v>1101</v>
      </c>
      <c r="BO472">
        <v>1276.8000000000002</v>
      </c>
      <c r="BQ472">
        <v>0</v>
      </c>
      <c r="BR472">
        <v>270.7</v>
      </c>
      <c r="BS472">
        <v>230.5</v>
      </c>
      <c r="BT472">
        <v>472.3</v>
      </c>
      <c r="BU472">
        <v>537.29999999999995</v>
      </c>
      <c r="BV472">
        <v>346.3</v>
      </c>
      <c r="BW472">
        <v>386.2</v>
      </c>
      <c r="BX472">
        <v>767</v>
      </c>
      <c r="BY472">
        <v>757.2</v>
      </c>
      <c r="BZ472">
        <v>1037.2</v>
      </c>
      <c r="CA472">
        <v>1227.0999999999999</v>
      </c>
      <c r="CB472">
        <v>1232.0999999999999</v>
      </c>
      <c r="CC472">
        <v>1701.5</v>
      </c>
      <c r="CD472">
        <v>0</v>
      </c>
      <c r="CG472">
        <v>1385.3</v>
      </c>
      <c r="CJ472">
        <v>1630.2999999999997</v>
      </c>
      <c r="CM472">
        <v>1184.2</v>
      </c>
      <c r="CO472">
        <v>1248.0999999999999</v>
      </c>
      <c r="CQ472">
        <v>1435.3</v>
      </c>
      <c r="CR472">
        <v>798.2</v>
      </c>
      <c r="CS472">
        <v>923.8</v>
      </c>
      <c r="CT472">
        <v>0</v>
      </c>
      <c r="CU472">
        <v>0</v>
      </c>
      <c r="CV472">
        <v>0</v>
      </c>
      <c r="CW472">
        <v>0</v>
      </c>
      <c r="CX472">
        <v>163.69999999999999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I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G472" t="e">
        <v>#N/A</v>
      </c>
      <c r="FI472" t="e">
        <v>#N/A</v>
      </c>
      <c r="FK472" t="e">
        <v>#N/A</v>
      </c>
      <c r="FM472" t="e">
        <v>#N/A</v>
      </c>
      <c r="FO472" t="e">
        <v>#N/A</v>
      </c>
      <c r="FQ472" t="e">
        <v>#N/A</v>
      </c>
      <c r="FS472" t="e">
        <v>#N/A</v>
      </c>
      <c r="FU472" t="e">
        <v>#N/A</v>
      </c>
      <c r="FW472" t="e">
        <v>#N/A</v>
      </c>
      <c r="FY472" t="e">
        <v>#N/A</v>
      </c>
      <c r="GA472" t="e">
        <v>#N/A</v>
      </c>
      <c r="GC472" t="e">
        <v>#N/A</v>
      </c>
      <c r="GE472" t="e">
        <v>#N/A</v>
      </c>
      <c r="GG472" t="e">
        <v>#N/A</v>
      </c>
      <c r="GI472" t="e">
        <v>#N/A</v>
      </c>
      <c r="GK472" t="e">
        <v>#N/A</v>
      </c>
      <c r="GM472" t="e">
        <v>#N/A</v>
      </c>
      <c r="GO472" t="e">
        <v>#N/A</v>
      </c>
      <c r="GQ472" t="e">
        <v>#N/A</v>
      </c>
      <c r="GS472" t="e">
        <v>#N/A</v>
      </c>
      <c r="GU472" t="e">
        <v>#N/A</v>
      </c>
      <c r="GW472" t="e">
        <v>#N/A</v>
      </c>
      <c r="GY472" t="e">
        <v>#N/A</v>
      </c>
      <c r="HA472" t="e">
        <v>#N/A</v>
      </c>
      <c r="HC472">
        <v>0</v>
      </c>
      <c r="HD472">
        <v>0</v>
      </c>
      <c r="HE472">
        <v>0</v>
      </c>
      <c r="HF472">
        <v>0</v>
      </c>
      <c r="HG472">
        <v>0</v>
      </c>
      <c r="HH472">
        <v>0</v>
      </c>
      <c r="HI472">
        <v>0</v>
      </c>
      <c r="HJ472">
        <v>0</v>
      </c>
      <c r="HM472">
        <v>0</v>
      </c>
      <c r="HN472">
        <v>0</v>
      </c>
      <c r="HO472">
        <v>0</v>
      </c>
      <c r="HP472">
        <v>0</v>
      </c>
      <c r="HQ472">
        <v>0</v>
      </c>
      <c r="HR472">
        <v>0</v>
      </c>
      <c r="HS472">
        <v>0</v>
      </c>
      <c r="HT472">
        <v>0</v>
      </c>
      <c r="HW472">
        <v>0</v>
      </c>
      <c r="HX472">
        <v>0</v>
      </c>
      <c r="HY472">
        <v>0</v>
      </c>
      <c r="HZ472">
        <v>0</v>
      </c>
      <c r="IA472">
        <v>3930.6</v>
      </c>
      <c r="IB472">
        <v>3632.9</v>
      </c>
      <c r="IC472">
        <v>3795.5</v>
      </c>
      <c r="ID472">
        <v>0</v>
      </c>
      <c r="IE472">
        <v>0</v>
      </c>
      <c r="IF472">
        <v>3548.5</v>
      </c>
      <c r="IG472">
        <v>3395.2</v>
      </c>
      <c r="IH472">
        <v>3395.4</v>
      </c>
      <c r="II472">
        <v>3302.3</v>
      </c>
      <c r="IJ472">
        <v>3172.8</v>
      </c>
      <c r="IK472">
        <v>0</v>
      </c>
      <c r="IL472">
        <v>0</v>
      </c>
      <c r="IM472">
        <v>0</v>
      </c>
      <c r="IN472">
        <v>0</v>
      </c>
      <c r="IO472">
        <v>123.4</v>
      </c>
      <c r="IP472">
        <v>405.2</v>
      </c>
      <c r="IQ472">
        <v>418.7</v>
      </c>
      <c r="IR472">
        <v>0</v>
      </c>
      <c r="IS472">
        <v>0</v>
      </c>
      <c r="IT472">
        <v>0</v>
      </c>
      <c r="IU472">
        <v>0</v>
      </c>
      <c r="IV472">
        <v>396</v>
      </c>
      <c r="IW472">
        <v>0</v>
      </c>
      <c r="IX472">
        <v>0</v>
      </c>
      <c r="IZ472">
        <v>0</v>
      </c>
      <c r="JA472">
        <v>65.5</v>
      </c>
      <c r="JB472">
        <v>443.5</v>
      </c>
      <c r="JC472">
        <v>0</v>
      </c>
      <c r="JD472">
        <v>0</v>
      </c>
      <c r="JE472">
        <v>0</v>
      </c>
      <c r="JF472">
        <v>0</v>
      </c>
      <c r="JG472">
        <v>0</v>
      </c>
      <c r="JH472">
        <v>0</v>
      </c>
      <c r="JI472">
        <v>0</v>
      </c>
      <c r="JJ472">
        <v>0</v>
      </c>
      <c r="JK472">
        <v>0</v>
      </c>
      <c r="JL472">
        <v>0</v>
      </c>
      <c r="JM472">
        <v>0</v>
      </c>
      <c r="JN472">
        <v>0</v>
      </c>
      <c r="JO472">
        <v>0</v>
      </c>
      <c r="JP472">
        <v>0</v>
      </c>
      <c r="JQ472">
        <v>0</v>
      </c>
      <c r="JR472">
        <v>0</v>
      </c>
      <c r="JS472">
        <v>0</v>
      </c>
      <c r="JT472">
        <v>0</v>
      </c>
      <c r="JU472">
        <v>0</v>
      </c>
      <c r="JV472">
        <v>0</v>
      </c>
      <c r="JW472">
        <v>0</v>
      </c>
      <c r="JX472">
        <v>0</v>
      </c>
      <c r="JY472">
        <v>0</v>
      </c>
      <c r="JZ472">
        <v>0</v>
      </c>
      <c r="KA472">
        <v>0</v>
      </c>
      <c r="KB472">
        <v>0</v>
      </c>
      <c r="KC472">
        <v>0</v>
      </c>
      <c r="KD472">
        <v>0</v>
      </c>
      <c r="KE472">
        <v>0</v>
      </c>
      <c r="KF472">
        <v>0</v>
      </c>
      <c r="KI472">
        <v>344.6</v>
      </c>
      <c r="KJ472">
        <v>350.8</v>
      </c>
      <c r="KK472">
        <v>22.1</v>
      </c>
      <c r="KL472">
        <v>379.3</v>
      </c>
      <c r="KM472">
        <v>241.4</v>
      </c>
      <c r="KN472">
        <v>0</v>
      </c>
      <c r="KO472">
        <v>0</v>
      </c>
      <c r="KP472">
        <v>57.3</v>
      </c>
      <c r="KQ472">
        <v>224.4</v>
      </c>
      <c r="KR472">
        <v>338.3</v>
      </c>
      <c r="KS472">
        <v>215.8</v>
      </c>
      <c r="KT472">
        <v>40.700000000000003</v>
      </c>
      <c r="KW472">
        <v>2154.5</v>
      </c>
      <c r="KX472">
        <v>1255.7</v>
      </c>
      <c r="KY472">
        <v>1630.1</v>
      </c>
      <c r="KZ472">
        <v>1246.9000000000001</v>
      </c>
      <c r="LB472">
        <v>78.099999999999994</v>
      </c>
      <c r="LC472">
        <v>77.7</v>
      </c>
    </row>
    <row r="473" spans="1:315" ht="18" thickBot="1">
      <c r="A473" s="245"/>
      <c r="B473" s="245" t="s">
        <v>518</v>
      </c>
      <c r="C473" s="88" t="s">
        <v>730</v>
      </c>
      <c r="D473" s="281" t="s">
        <v>723</v>
      </c>
      <c r="E473" s="443">
        <v>0</v>
      </c>
      <c r="F473" s="191">
        <v>0</v>
      </c>
      <c r="G473" s="427">
        <v>3413.8</v>
      </c>
      <c r="H473" s="155"/>
      <c r="I473">
        <v>735</v>
      </c>
      <c r="K473">
        <v>1973.1000000000001</v>
      </c>
      <c r="L473" s="4">
        <v>221.60000000000002</v>
      </c>
      <c r="M473" s="4">
        <v>54.9</v>
      </c>
      <c r="N473" s="4">
        <v>1989.7</v>
      </c>
      <c r="P473">
        <v>0</v>
      </c>
      <c r="Q473">
        <v>238.29999999999998</v>
      </c>
      <c r="R473">
        <v>0</v>
      </c>
      <c r="S473">
        <v>0</v>
      </c>
      <c r="T473">
        <v>368.5</v>
      </c>
      <c r="W473">
        <v>720.3</v>
      </c>
      <c r="X473">
        <v>1411.5</v>
      </c>
      <c r="Y473">
        <v>96.5</v>
      </c>
      <c r="AA473">
        <v>859.6</v>
      </c>
      <c r="AB473">
        <v>1577.6000000000001</v>
      </c>
      <c r="AE473">
        <v>1330</v>
      </c>
      <c r="AF473">
        <v>1025.5</v>
      </c>
      <c r="AH473">
        <v>509.9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1349.3</v>
      </c>
      <c r="AO473">
        <v>786.40000000000009</v>
      </c>
      <c r="AP473">
        <v>0</v>
      </c>
      <c r="AQ473">
        <v>68.3</v>
      </c>
      <c r="AR473">
        <v>234.9</v>
      </c>
      <c r="AS473">
        <v>600.40000000000009</v>
      </c>
      <c r="AU473">
        <v>985.69999999999993</v>
      </c>
      <c r="AW473">
        <v>792</v>
      </c>
      <c r="AX473">
        <v>1988.5</v>
      </c>
      <c r="AZ473">
        <v>763.5</v>
      </c>
      <c r="BA473">
        <v>0</v>
      </c>
      <c r="BB473">
        <v>0</v>
      </c>
      <c r="BC473">
        <v>1935.3</v>
      </c>
      <c r="BD473">
        <v>1006.5</v>
      </c>
      <c r="BE473">
        <v>0</v>
      </c>
      <c r="BF473">
        <v>0</v>
      </c>
      <c r="BG473">
        <v>0</v>
      </c>
      <c r="BH473">
        <v>1662.6</v>
      </c>
      <c r="BJ473">
        <v>0</v>
      </c>
      <c r="BK473">
        <v>0</v>
      </c>
      <c r="BL473">
        <v>1038.9000000000001</v>
      </c>
      <c r="BM473">
        <v>1101</v>
      </c>
      <c r="BO473">
        <v>1276.8000000000002</v>
      </c>
      <c r="BQ473">
        <v>0</v>
      </c>
      <c r="BR473">
        <v>270.7</v>
      </c>
      <c r="BS473">
        <v>230.5</v>
      </c>
      <c r="BT473">
        <v>472.3</v>
      </c>
      <c r="BU473">
        <v>537.29999999999995</v>
      </c>
      <c r="BV473">
        <v>346.3</v>
      </c>
      <c r="BW473">
        <v>386.2</v>
      </c>
      <c r="BX473">
        <v>767</v>
      </c>
      <c r="BY473">
        <v>757.2</v>
      </c>
      <c r="BZ473">
        <v>1037.2</v>
      </c>
      <c r="CA473">
        <v>1227.0999999999999</v>
      </c>
      <c r="CB473">
        <v>1232.0999999999999</v>
      </c>
      <c r="CC473">
        <v>1701.5</v>
      </c>
      <c r="CD473">
        <v>0</v>
      </c>
      <c r="CG473">
        <v>1385.3</v>
      </c>
      <c r="CJ473">
        <v>1630.2999999999997</v>
      </c>
      <c r="CM473">
        <v>1184.2</v>
      </c>
      <c r="CO473">
        <v>1248.0999999999999</v>
      </c>
      <c r="CQ473">
        <v>1435.3</v>
      </c>
      <c r="CR473">
        <v>798.2</v>
      </c>
      <c r="CS473">
        <v>923.8</v>
      </c>
      <c r="CT473">
        <v>0</v>
      </c>
      <c r="CU473">
        <v>0</v>
      </c>
      <c r="CV473">
        <v>0</v>
      </c>
      <c r="CW473">
        <v>0</v>
      </c>
      <c r="CX473">
        <v>163.69999999999999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I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G473" t="e">
        <v>#N/A</v>
      </c>
      <c r="FI473" t="e">
        <v>#N/A</v>
      </c>
      <c r="FK473" t="e">
        <v>#N/A</v>
      </c>
      <c r="FM473" t="e">
        <v>#N/A</v>
      </c>
      <c r="FO473" t="e">
        <v>#N/A</v>
      </c>
      <c r="FQ473" t="e">
        <v>#N/A</v>
      </c>
      <c r="FS473" t="e">
        <v>#N/A</v>
      </c>
      <c r="FU473" t="e">
        <v>#N/A</v>
      </c>
      <c r="FW473" t="e">
        <v>#N/A</v>
      </c>
      <c r="FY473" t="e">
        <v>#N/A</v>
      </c>
      <c r="GA473" t="e">
        <v>#N/A</v>
      </c>
      <c r="GC473" t="e">
        <v>#N/A</v>
      </c>
      <c r="GE473" t="e">
        <v>#N/A</v>
      </c>
      <c r="GG473" t="e">
        <v>#N/A</v>
      </c>
      <c r="GI473" t="e">
        <v>#N/A</v>
      </c>
      <c r="GK473" t="e">
        <v>#N/A</v>
      </c>
      <c r="GM473" t="e">
        <v>#N/A</v>
      </c>
      <c r="GO473" t="e">
        <v>#N/A</v>
      </c>
      <c r="GQ473" t="e">
        <v>#N/A</v>
      </c>
      <c r="GS473" t="e">
        <v>#N/A</v>
      </c>
      <c r="GU473" t="e">
        <v>#N/A</v>
      </c>
      <c r="GW473" t="e">
        <v>#N/A</v>
      </c>
      <c r="GY473" t="e">
        <v>#N/A</v>
      </c>
      <c r="HA473" t="e">
        <v>#N/A</v>
      </c>
      <c r="HC473">
        <v>0</v>
      </c>
      <c r="HD473">
        <v>0</v>
      </c>
      <c r="HE473">
        <v>0</v>
      </c>
      <c r="HF473">
        <v>0</v>
      </c>
      <c r="HG473">
        <v>0</v>
      </c>
      <c r="HH473">
        <v>0</v>
      </c>
      <c r="HI473">
        <v>0</v>
      </c>
      <c r="HJ473">
        <v>0</v>
      </c>
      <c r="HM473">
        <v>0</v>
      </c>
      <c r="HN473">
        <v>0</v>
      </c>
      <c r="HO473">
        <v>0</v>
      </c>
      <c r="HP473">
        <v>0</v>
      </c>
      <c r="HQ473">
        <v>0</v>
      </c>
      <c r="HR473">
        <v>0</v>
      </c>
      <c r="HS473">
        <v>0</v>
      </c>
      <c r="HT473">
        <v>0</v>
      </c>
      <c r="HW473">
        <v>0</v>
      </c>
      <c r="HX473">
        <v>0</v>
      </c>
      <c r="HY473">
        <v>0</v>
      </c>
      <c r="HZ473">
        <v>0</v>
      </c>
      <c r="IA473">
        <v>3930.6</v>
      </c>
      <c r="IB473">
        <v>3632.9</v>
      </c>
      <c r="IC473">
        <v>3795.5</v>
      </c>
      <c r="ID473">
        <v>0</v>
      </c>
      <c r="IE473">
        <v>0</v>
      </c>
      <c r="IF473">
        <v>3548.5</v>
      </c>
      <c r="IG473">
        <v>3395.2</v>
      </c>
      <c r="IH473">
        <v>3395.4</v>
      </c>
      <c r="II473">
        <v>3302.3</v>
      </c>
      <c r="IJ473">
        <v>3172.8</v>
      </c>
      <c r="IK473">
        <v>0</v>
      </c>
      <c r="IL473">
        <v>0</v>
      </c>
      <c r="IM473">
        <v>0</v>
      </c>
      <c r="IN473">
        <v>0</v>
      </c>
      <c r="IO473">
        <v>123.4</v>
      </c>
      <c r="IP473">
        <v>405.2</v>
      </c>
      <c r="IQ473">
        <v>418.7</v>
      </c>
      <c r="IR473">
        <v>0</v>
      </c>
      <c r="IS473">
        <v>0</v>
      </c>
      <c r="IT473">
        <v>0</v>
      </c>
      <c r="IU473">
        <v>0</v>
      </c>
      <c r="IV473">
        <v>396</v>
      </c>
      <c r="IW473">
        <v>0</v>
      </c>
      <c r="IX473">
        <v>0</v>
      </c>
      <c r="IZ473">
        <v>0</v>
      </c>
      <c r="JA473">
        <v>65.5</v>
      </c>
      <c r="JB473">
        <v>443.5</v>
      </c>
      <c r="JC473">
        <v>0</v>
      </c>
      <c r="JD473">
        <v>0</v>
      </c>
      <c r="JE473">
        <v>0</v>
      </c>
      <c r="JF473">
        <v>0</v>
      </c>
      <c r="JG473">
        <v>0</v>
      </c>
      <c r="JH473">
        <v>0</v>
      </c>
      <c r="JI473">
        <v>0</v>
      </c>
      <c r="JJ473">
        <v>0</v>
      </c>
      <c r="JK473">
        <v>0</v>
      </c>
      <c r="JL473">
        <v>0</v>
      </c>
      <c r="JM473">
        <v>0</v>
      </c>
      <c r="JN473">
        <v>0</v>
      </c>
      <c r="JO473">
        <v>0</v>
      </c>
      <c r="JP473">
        <v>0</v>
      </c>
      <c r="JQ473">
        <v>0</v>
      </c>
      <c r="JR473">
        <v>0</v>
      </c>
      <c r="JS473">
        <v>0</v>
      </c>
      <c r="JT473">
        <v>0</v>
      </c>
      <c r="JU473">
        <v>0</v>
      </c>
      <c r="JV473">
        <v>0</v>
      </c>
      <c r="JW473">
        <v>0</v>
      </c>
      <c r="JX473">
        <v>0</v>
      </c>
      <c r="JY473">
        <v>0</v>
      </c>
      <c r="JZ473">
        <v>0</v>
      </c>
      <c r="KA473">
        <v>0</v>
      </c>
      <c r="KB473">
        <v>0</v>
      </c>
      <c r="KC473">
        <v>0</v>
      </c>
      <c r="KD473">
        <v>0</v>
      </c>
      <c r="KE473">
        <v>0</v>
      </c>
      <c r="KF473">
        <v>0</v>
      </c>
      <c r="KI473">
        <v>344.6</v>
      </c>
      <c r="KJ473">
        <v>350.8</v>
      </c>
      <c r="KK473">
        <v>22.1</v>
      </c>
      <c r="KL473">
        <v>379.3</v>
      </c>
      <c r="KM473">
        <v>241.4</v>
      </c>
      <c r="KN473">
        <v>0</v>
      </c>
      <c r="KO473">
        <v>0</v>
      </c>
      <c r="KP473">
        <v>57.3</v>
      </c>
      <c r="KQ473">
        <v>224.4</v>
      </c>
      <c r="KR473">
        <v>338.3</v>
      </c>
      <c r="KS473">
        <v>215.8</v>
      </c>
      <c r="KT473">
        <v>40.700000000000003</v>
      </c>
      <c r="KW473">
        <v>2154.5</v>
      </c>
      <c r="KX473">
        <v>1255.7</v>
      </c>
      <c r="KY473">
        <v>1630.1</v>
      </c>
      <c r="KZ473">
        <v>1246.9000000000001</v>
      </c>
      <c r="LB473">
        <v>78.099999999999994</v>
      </c>
      <c r="LC473">
        <v>77.7</v>
      </c>
    </row>
    <row r="474" spans="1:315" ht="18" thickBot="1">
      <c r="A474" s="245"/>
      <c r="B474" s="245"/>
      <c r="C474" s="230" t="s">
        <v>731</v>
      </c>
      <c r="D474" s="281"/>
      <c r="E474" s="443">
        <v>0</v>
      </c>
      <c r="F474" s="191">
        <v>0</v>
      </c>
      <c r="G474" s="427">
        <v>3413.8</v>
      </c>
      <c r="H474" s="155"/>
      <c r="I474">
        <v>735</v>
      </c>
      <c r="K474">
        <v>1973.1000000000001</v>
      </c>
      <c r="L474" s="4">
        <v>221.60000000000002</v>
      </c>
      <c r="M474" s="4">
        <v>54.9</v>
      </c>
      <c r="N474" s="4">
        <v>1989.7</v>
      </c>
      <c r="P474">
        <v>0</v>
      </c>
      <c r="Q474">
        <v>238.29999999999998</v>
      </c>
      <c r="R474">
        <v>0</v>
      </c>
      <c r="S474">
        <v>0</v>
      </c>
      <c r="T474">
        <v>368.5</v>
      </c>
      <c r="W474">
        <v>720.3</v>
      </c>
      <c r="X474">
        <v>1411.5</v>
      </c>
      <c r="Y474">
        <v>96.5</v>
      </c>
      <c r="AA474">
        <v>859.6</v>
      </c>
      <c r="AB474">
        <v>1577.6000000000001</v>
      </c>
      <c r="AE474">
        <v>1330</v>
      </c>
      <c r="AF474">
        <v>1025.5</v>
      </c>
      <c r="AH474">
        <v>509.9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1349.3</v>
      </c>
      <c r="AO474">
        <v>786.40000000000009</v>
      </c>
      <c r="AP474">
        <v>0</v>
      </c>
      <c r="AQ474">
        <v>68.3</v>
      </c>
      <c r="AR474">
        <v>234.9</v>
      </c>
      <c r="AS474">
        <v>600.40000000000009</v>
      </c>
      <c r="AU474">
        <v>985.69999999999993</v>
      </c>
      <c r="AW474">
        <v>792</v>
      </c>
      <c r="AX474">
        <v>1988.5</v>
      </c>
      <c r="AZ474">
        <v>763.5</v>
      </c>
      <c r="BA474">
        <v>0</v>
      </c>
      <c r="BB474">
        <v>0</v>
      </c>
      <c r="BC474">
        <v>1935.3</v>
      </c>
      <c r="BD474">
        <v>1006.5</v>
      </c>
      <c r="BE474">
        <v>0</v>
      </c>
      <c r="BF474">
        <v>0</v>
      </c>
      <c r="BG474">
        <v>0</v>
      </c>
      <c r="BH474">
        <v>1662.6</v>
      </c>
      <c r="BJ474">
        <v>0</v>
      </c>
      <c r="BK474">
        <v>0</v>
      </c>
      <c r="BL474">
        <v>1038.9000000000001</v>
      </c>
      <c r="BM474">
        <v>1101</v>
      </c>
      <c r="BO474">
        <v>1276.8000000000002</v>
      </c>
      <c r="BQ474">
        <v>0</v>
      </c>
      <c r="BR474">
        <v>270.7</v>
      </c>
      <c r="BS474">
        <v>230.5</v>
      </c>
      <c r="BT474">
        <v>472.3</v>
      </c>
      <c r="BU474">
        <v>537.29999999999995</v>
      </c>
      <c r="BV474">
        <v>346.3</v>
      </c>
      <c r="BW474">
        <v>386.2</v>
      </c>
      <c r="BX474">
        <v>767</v>
      </c>
      <c r="BY474">
        <v>757.2</v>
      </c>
      <c r="BZ474">
        <v>1037.2</v>
      </c>
      <c r="CA474">
        <v>1227.0999999999999</v>
      </c>
      <c r="CB474">
        <v>1232.0999999999999</v>
      </c>
      <c r="CC474">
        <v>1701.5</v>
      </c>
      <c r="CD474">
        <v>0</v>
      </c>
      <c r="CG474">
        <v>1385.3</v>
      </c>
      <c r="CJ474">
        <v>1630.2999999999997</v>
      </c>
      <c r="CM474">
        <v>1184.2</v>
      </c>
      <c r="CO474">
        <v>1248.0999999999999</v>
      </c>
      <c r="CQ474">
        <v>1435.3</v>
      </c>
      <c r="CR474">
        <v>798.2</v>
      </c>
      <c r="CS474">
        <v>923.8</v>
      </c>
      <c r="CT474">
        <v>0</v>
      </c>
      <c r="CU474">
        <v>0</v>
      </c>
      <c r="CV474">
        <v>0</v>
      </c>
      <c r="CW474">
        <v>0</v>
      </c>
      <c r="CX474">
        <v>163.69999999999999</v>
      </c>
      <c r="CY474">
        <v>0</v>
      </c>
      <c r="CZ474">
        <v>0</v>
      </c>
      <c r="DA474">
        <v>0</v>
      </c>
      <c r="DB474">
        <v>0</v>
      </c>
      <c r="DC474">
        <v>0</v>
      </c>
      <c r="DD474">
        <v>0</v>
      </c>
      <c r="DE474">
        <v>0</v>
      </c>
      <c r="DI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G474" t="e">
        <v>#N/A</v>
      </c>
      <c r="FI474" t="e">
        <v>#N/A</v>
      </c>
      <c r="FK474" t="e">
        <v>#N/A</v>
      </c>
      <c r="FM474" t="e">
        <v>#N/A</v>
      </c>
      <c r="FO474" t="e">
        <v>#N/A</v>
      </c>
      <c r="FQ474" t="e">
        <v>#N/A</v>
      </c>
      <c r="FS474" t="e">
        <v>#N/A</v>
      </c>
      <c r="FU474" t="e">
        <v>#N/A</v>
      </c>
      <c r="FW474" t="e">
        <v>#N/A</v>
      </c>
      <c r="FY474" t="e">
        <v>#N/A</v>
      </c>
      <c r="GA474" t="e">
        <v>#N/A</v>
      </c>
      <c r="GC474" t="e">
        <v>#N/A</v>
      </c>
      <c r="GE474" t="e">
        <v>#N/A</v>
      </c>
      <c r="GG474" t="e">
        <v>#N/A</v>
      </c>
      <c r="GI474" t="e">
        <v>#N/A</v>
      </c>
      <c r="GK474" t="e">
        <v>#N/A</v>
      </c>
      <c r="GM474" t="e">
        <v>#N/A</v>
      </c>
      <c r="GO474" t="e">
        <v>#N/A</v>
      </c>
      <c r="GQ474" t="e">
        <v>#N/A</v>
      </c>
      <c r="GS474" t="e">
        <v>#N/A</v>
      </c>
      <c r="GU474" t="e">
        <v>#N/A</v>
      </c>
      <c r="GW474" t="e">
        <v>#N/A</v>
      </c>
      <c r="GY474" t="e">
        <v>#N/A</v>
      </c>
      <c r="HA474" t="e">
        <v>#N/A</v>
      </c>
      <c r="HC474">
        <v>0</v>
      </c>
      <c r="HD474">
        <v>0</v>
      </c>
      <c r="HE474">
        <v>0</v>
      </c>
      <c r="HF474">
        <v>0</v>
      </c>
      <c r="HG474">
        <v>0</v>
      </c>
      <c r="HH474">
        <v>0</v>
      </c>
      <c r="HI474">
        <v>0</v>
      </c>
      <c r="HJ474">
        <v>0</v>
      </c>
      <c r="HM474">
        <v>0</v>
      </c>
      <c r="HN474">
        <v>0</v>
      </c>
      <c r="HO474">
        <v>0</v>
      </c>
      <c r="HP474">
        <v>0</v>
      </c>
      <c r="HQ474">
        <v>0</v>
      </c>
      <c r="HR474">
        <v>0</v>
      </c>
      <c r="HS474">
        <v>0</v>
      </c>
      <c r="HT474">
        <v>0</v>
      </c>
      <c r="HW474">
        <v>0</v>
      </c>
      <c r="HX474">
        <v>0</v>
      </c>
      <c r="HY474">
        <v>0</v>
      </c>
      <c r="HZ474">
        <v>0</v>
      </c>
      <c r="IA474">
        <v>3930.6</v>
      </c>
      <c r="IB474">
        <v>3632.9</v>
      </c>
      <c r="IC474">
        <v>3795.5</v>
      </c>
      <c r="ID474">
        <v>0</v>
      </c>
      <c r="IE474">
        <v>0</v>
      </c>
      <c r="IF474">
        <v>3548.5</v>
      </c>
      <c r="IG474">
        <v>3395.2</v>
      </c>
      <c r="IH474">
        <v>3395.4</v>
      </c>
      <c r="II474">
        <v>3302.3</v>
      </c>
      <c r="IJ474">
        <v>3172.8</v>
      </c>
      <c r="IK474">
        <v>0</v>
      </c>
      <c r="IL474">
        <v>0</v>
      </c>
      <c r="IM474">
        <v>0</v>
      </c>
      <c r="IN474">
        <v>0</v>
      </c>
      <c r="IO474">
        <v>123.4</v>
      </c>
      <c r="IP474">
        <v>405.2</v>
      </c>
      <c r="IQ474">
        <v>418.7</v>
      </c>
      <c r="IR474">
        <v>0</v>
      </c>
      <c r="IS474">
        <v>0</v>
      </c>
      <c r="IT474">
        <v>0</v>
      </c>
      <c r="IU474">
        <v>0</v>
      </c>
      <c r="IV474">
        <v>396</v>
      </c>
      <c r="IW474">
        <v>0</v>
      </c>
      <c r="IX474">
        <v>0</v>
      </c>
      <c r="IZ474">
        <v>0</v>
      </c>
      <c r="JA474">
        <v>65.5</v>
      </c>
      <c r="JB474">
        <v>443.5</v>
      </c>
      <c r="JC474">
        <v>0</v>
      </c>
      <c r="JD474">
        <v>0</v>
      </c>
      <c r="JE474">
        <v>0</v>
      </c>
      <c r="JF474">
        <v>0</v>
      </c>
      <c r="JG474">
        <v>0</v>
      </c>
      <c r="JH474">
        <v>0</v>
      </c>
      <c r="JI474">
        <v>0</v>
      </c>
      <c r="JJ474">
        <v>0</v>
      </c>
      <c r="JK474">
        <v>0</v>
      </c>
      <c r="JL474">
        <v>0</v>
      </c>
      <c r="JM474">
        <v>0</v>
      </c>
      <c r="JN474">
        <v>0</v>
      </c>
      <c r="JO474">
        <v>0</v>
      </c>
      <c r="JP474">
        <v>0</v>
      </c>
      <c r="JQ474">
        <v>0</v>
      </c>
      <c r="JR474">
        <v>0</v>
      </c>
      <c r="JS474">
        <v>0</v>
      </c>
      <c r="JT474">
        <v>0</v>
      </c>
      <c r="JU474">
        <v>0</v>
      </c>
      <c r="JV474">
        <v>0</v>
      </c>
      <c r="JW474">
        <v>0</v>
      </c>
      <c r="JX474">
        <v>0</v>
      </c>
      <c r="JY474">
        <v>0</v>
      </c>
      <c r="JZ474">
        <v>0</v>
      </c>
      <c r="KA474">
        <v>0</v>
      </c>
      <c r="KB474">
        <v>0</v>
      </c>
      <c r="KC474">
        <v>0</v>
      </c>
      <c r="KD474">
        <v>0</v>
      </c>
      <c r="KE474">
        <v>0</v>
      </c>
      <c r="KF474">
        <v>0</v>
      </c>
      <c r="KI474">
        <v>344.6</v>
      </c>
      <c r="KJ474">
        <v>350.8</v>
      </c>
      <c r="KK474">
        <v>22.1</v>
      </c>
      <c r="KL474">
        <v>379.3</v>
      </c>
      <c r="KM474">
        <v>241.4</v>
      </c>
      <c r="KN474">
        <v>0</v>
      </c>
      <c r="KO474">
        <v>0</v>
      </c>
      <c r="KP474">
        <v>57.3</v>
      </c>
      <c r="KQ474">
        <v>224.4</v>
      </c>
      <c r="KR474">
        <v>338.3</v>
      </c>
      <c r="KS474">
        <v>215.8</v>
      </c>
      <c r="KT474">
        <v>40.700000000000003</v>
      </c>
      <c r="KW474">
        <v>2154.5</v>
      </c>
      <c r="KX474">
        <v>1255.7</v>
      </c>
      <c r="KY474">
        <v>1630.1</v>
      </c>
      <c r="KZ474">
        <v>1246.9000000000001</v>
      </c>
      <c r="LB474">
        <v>78.099999999999994</v>
      </c>
      <c r="LC474">
        <v>77.7</v>
      </c>
    </row>
    <row r="475" spans="1:315" ht="18" thickBot="1">
      <c r="A475" s="245"/>
      <c r="B475" s="245"/>
      <c r="C475" s="230" t="s">
        <v>732</v>
      </c>
      <c r="D475" s="281"/>
      <c r="E475" s="443">
        <v>0</v>
      </c>
      <c r="F475" s="191">
        <v>0</v>
      </c>
      <c r="G475" s="427">
        <v>3413.8</v>
      </c>
      <c r="H475" s="155"/>
      <c r="I475">
        <v>735</v>
      </c>
      <c r="K475">
        <v>1973.1000000000001</v>
      </c>
      <c r="L475" s="4">
        <v>221.60000000000002</v>
      </c>
      <c r="M475" s="4">
        <v>54.9</v>
      </c>
      <c r="N475" s="4">
        <v>1989.7</v>
      </c>
      <c r="P475">
        <v>0</v>
      </c>
      <c r="Q475">
        <v>238.29999999999998</v>
      </c>
      <c r="R475">
        <v>0</v>
      </c>
      <c r="S475">
        <v>0</v>
      </c>
      <c r="T475">
        <v>368.5</v>
      </c>
      <c r="W475">
        <v>720.3</v>
      </c>
      <c r="X475">
        <v>1411.5</v>
      </c>
      <c r="Y475">
        <v>96.5</v>
      </c>
      <c r="AA475">
        <v>859.6</v>
      </c>
      <c r="AB475">
        <v>1577.6000000000001</v>
      </c>
      <c r="AE475">
        <v>1330</v>
      </c>
      <c r="AF475">
        <v>1025.5</v>
      </c>
      <c r="AH475">
        <v>509.9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1349.3</v>
      </c>
      <c r="AO475">
        <v>786.40000000000009</v>
      </c>
      <c r="AP475">
        <v>0</v>
      </c>
      <c r="AQ475">
        <v>68.3</v>
      </c>
      <c r="AR475">
        <v>234.9</v>
      </c>
      <c r="AS475">
        <v>600.40000000000009</v>
      </c>
      <c r="AU475">
        <v>985.69999999999993</v>
      </c>
      <c r="AW475">
        <v>792</v>
      </c>
      <c r="AX475">
        <v>1988.5</v>
      </c>
      <c r="AZ475">
        <v>763.5</v>
      </c>
      <c r="BA475">
        <v>0</v>
      </c>
      <c r="BB475">
        <v>0</v>
      </c>
      <c r="BC475">
        <v>1935.3</v>
      </c>
      <c r="BD475">
        <v>1006.5</v>
      </c>
      <c r="BE475">
        <v>0</v>
      </c>
      <c r="BF475">
        <v>0</v>
      </c>
      <c r="BG475">
        <v>0</v>
      </c>
      <c r="BH475">
        <v>1662.6</v>
      </c>
      <c r="BJ475">
        <v>0</v>
      </c>
      <c r="BK475">
        <v>0</v>
      </c>
      <c r="BL475">
        <v>1038.9000000000001</v>
      </c>
      <c r="BM475">
        <v>1101</v>
      </c>
      <c r="BO475">
        <v>1276.8000000000002</v>
      </c>
      <c r="BQ475">
        <v>0</v>
      </c>
      <c r="BR475">
        <v>270.7</v>
      </c>
      <c r="BS475">
        <v>230.5</v>
      </c>
      <c r="BT475">
        <v>472.3</v>
      </c>
      <c r="BU475">
        <v>537.29999999999995</v>
      </c>
      <c r="BV475">
        <v>346.3</v>
      </c>
      <c r="BW475">
        <v>386.2</v>
      </c>
      <c r="BX475">
        <v>767</v>
      </c>
      <c r="BY475">
        <v>757.2</v>
      </c>
      <c r="BZ475">
        <v>1037.2</v>
      </c>
      <c r="CA475">
        <v>1227.0999999999999</v>
      </c>
      <c r="CB475">
        <v>1232.0999999999999</v>
      </c>
      <c r="CC475">
        <v>1701.5</v>
      </c>
      <c r="CD475">
        <v>0</v>
      </c>
      <c r="CG475">
        <v>1385.3</v>
      </c>
      <c r="CJ475">
        <v>1630.2999999999997</v>
      </c>
      <c r="CM475">
        <v>1184.2</v>
      </c>
      <c r="CO475">
        <v>1248.0999999999999</v>
      </c>
      <c r="CQ475">
        <v>1435.3</v>
      </c>
      <c r="CR475">
        <v>798.2</v>
      </c>
      <c r="CS475">
        <v>923.8</v>
      </c>
      <c r="CT475">
        <v>0</v>
      </c>
      <c r="CU475">
        <v>0</v>
      </c>
      <c r="CV475">
        <v>0</v>
      </c>
      <c r="CW475">
        <v>0</v>
      </c>
      <c r="CX475">
        <v>163.69999999999999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</v>
      </c>
      <c r="DI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G475" t="e">
        <v>#N/A</v>
      </c>
      <c r="FI475" t="e">
        <v>#N/A</v>
      </c>
      <c r="FK475" t="e">
        <v>#N/A</v>
      </c>
      <c r="FM475" t="e">
        <v>#N/A</v>
      </c>
      <c r="FO475" t="e">
        <v>#N/A</v>
      </c>
      <c r="FQ475" t="e">
        <v>#N/A</v>
      </c>
      <c r="FS475" t="e">
        <v>#N/A</v>
      </c>
      <c r="FU475" t="e">
        <v>#N/A</v>
      </c>
      <c r="FW475" t="e">
        <v>#N/A</v>
      </c>
      <c r="FY475" t="e">
        <v>#N/A</v>
      </c>
      <c r="GA475" t="e">
        <v>#N/A</v>
      </c>
      <c r="GC475" t="e">
        <v>#N/A</v>
      </c>
      <c r="GE475" t="e">
        <v>#N/A</v>
      </c>
      <c r="GG475" t="e">
        <v>#N/A</v>
      </c>
      <c r="GI475" t="e">
        <v>#N/A</v>
      </c>
      <c r="GK475" t="e">
        <v>#N/A</v>
      </c>
      <c r="GM475" t="e">
        <v>#N/A</v>
      </c>
      <c r="GO475" t="e">
        <v>#N/A</v>
      </c>
      <c r="GQ475" t="e">
        <v>#N/A</v>
      </c>
      <c r="GS475" t="e">
        <v>#N/A</v>
      </c>
      <c r="GU475" t="e">
        <v>#N/A</v>
      </c>
      <c r="GW475" t="e">
        <v>#N/A</v>
      </c>
      <c r="GY475" t="e">
        <v>#N/A</v>
      </c>
      <c r="HA475" t="e">
        <v>#N/A</v>
      </c>
      <c r="HC475">
        <v>0</v>
      </c>
      <c r="HD475">
        <v>0</v>
      </c>
      <c r="HE475">
        <v>0</v>
      </c>
      <c r="HF475">
        <v>0</v>
      </c>
      <c r="HG475">
        <v>0</v>
      </c>
      <c r="HH475">
        <v>0</v>
      </c>
      <c r="HI475">
        <v>0</v>
      </c>
      <c r="HJ475">
        <v>0</v>
      </c>
      <c r="HM475">
        <v>0</v>
      </c>
      <c r="HN475">
        <v>0</v>
      </c>
      <c r="HO475">
        <v>0</v>
      </c>
      <c r="HP475">
        <v>0</v>
      </c>
      <c r="HQ475">
        <v>0</v>
      </c>
      <c r="HR475">
        <v>0</v>
      </c>
      <c r="HS475">
        <v>0</v>
      </c>
      <c r="HT475">
        <v>0</v>
      </c>
      <c r="HW475">
        <v>0</v>
      </c>
      <c r="HX475">
        <v>0</v>
      </c>
      <c r="HY475">
        <v>0</v>
      </c>
      <c r="HZ475">
        <v>0</v>
      </c>
      <c r="IA475">
        <v>3930.6</v>
      </c>
      <c r="IB475">
        <v>3632.9</v>
      </c>
      <c r="IC475">
        <v>3795.5</v>
      </c>
      <c r="ID475">
        <v>0</v>
      </c>
      <c r="IE475">
        <v>0</v>
      </c>
      <c r="IF475">
        <v>3548.5</v>
      </c>
      <c r="IG475">
        <v>3395.2</v>
      </c>
      <c r="IH475">
        <v>3395.4</v>
      </c>
      <c r="II475">
        <v>3302.3</v>
      </c>
      <c r="IJ475">
        <v>3172.8</v>
      </c>
      <c r="IK475">
        <v>0</v>
      </c>
      <c r="IL475">
        <v>0</v>
      </c>
      <c r="IM475">
        <v>0</v>
      </c>
      <c r="IN475">
        <v>0</v>
      </c>
      <c r="IO475">
        <v>123.4</v>
      </c>
      <c r="IP475">
        <v>405.2</v>
      </c>
      <c r="IQ475">
        <v>418.7</v>
      </c>
      <c r="IR475">
        <v>0</v>
      </c>
      <c r="IS475">
        <v>0</v>
      </c>
      <c r="IT475">
        <v>0</v>
      </c>
      <c r="IU475">
        <v>0</v>
      </c>
      <c r="IV475">
        <v>396</v>
      </c>
      <c r="IW475">
        <v>0</v>
      </c>
      <c r="IX475">
        <v>0</v>
      </c>
      <c r="IZ475">
        <v>0</v>
      </c>
      <c r="JA475">
        <v>65.5</v>
      </c>
      <c r="JB475">
        <v>443.5</v>
      </c>
      <c r="JC475">
        <v>0</v>
      </c>
      <c r="JD475">
        <v>0</v>
      </c>
      <c r="JE475">
        <v>0</v>
      </c>
      <c r="JF475">
        <v>0</v>
      </c>
      <c r="JG475">
        <v>0</v>
      </c>
      <c r="JH475">
        <v>0</v>
      </c>
      <c r="JI475">
        <v>0</v>
      </c>
      <c r="JJ475">
        <v>0</v>
      </c>
      <c r="JK475">
        <v>0</v>
      </c>
      <c r="JL475">
        <v>0</v>
      </c>
      <c r="JM475">
        <v>0</v>
      </c>
      <c r="JN475">
        <v>0</v>
      </c>
      <c r="JO475">
        <v>0</v>
      </c>
      <c r="JP475">
        <v>0</v>
      </c>
      <c r="JQ475">
        <v>0</v>
      </c>
      <c r="JR475">
        <v>0</v>
      </c>
      <c r="JS475">
        <v>0</v>
      </c>
      <c r="JT475">
        <v>0</v>
      </c>
      <c r="JU475">
        <v>0</v>
      </c>
      <c r="JV475">
        <v>0</v>
      </c>
      <c r="JW475">
        <v>0</v>
      </c>
      <c r="JX475">
        <v>0</v>
      </c>
      <c r="JY475">
        <v>0</v>
      </c>
      <c r="JZ475">
        <v>0</v>
      </c>
      <c r="KA475">
        <v>0</v>
      </c>
      <c r="KB475">
        <v>0</v>
      </c>
      <c r="KC475">
        <v>0</v>
      </c>
      <c r="KD475">
        <v>0</v>
      </c>
      <c r="KE475">
        <v>0</v>
      </c>
      <c r="KF475">
        <v>0</v>
      </c>
      <c r="KI475">
        <v>344.6</v>
      </c>
      <c r="KJ475">
        <v>350.8</v>
      </c>
      <c r="KK475">
        <v>22.1</v>
      </c>
      <c r="KL475">
        <v>379.3</v>
      </c>
      <c r="KM475">
        <v>241.4</v>
      </c>
      <c r="KN475">
        <v>0</v>
      </c>
      <c r="KO475">
        <v>0</v>
      </c>
      <c r="KP475">
        <v>57.3</v>
      </c>
      <c r="KQ475">
        <v>224.4</v>
      </c>
      <c r="KR475">
        <v>338.3</v>
      </c>
      <c r="KS475">
        <v>215.8</v>
      </c>
      <c r="KT475">
        <v>40.700000000000003</v>
      </c>
      <c r="KW475">
        <v>2154.5</v>
      </c>
      <c r="KX475">
        <v>1255.7</v>
      </c>
      <c r="KY475">
        <v>1630.1</v>
      </c>
      <c r="KZ475">
        <v>1246.9000000000001</v>
      </c>
      <c r="LB475">
        <v>78.099999999999994</v>
      </c>
      <c r="LC475">
        <v>77.7</v>
      </c>
    </row>
    <row r="476" spans="1:315" ht="18" thickBot="1">
      <c r="A476" s="245"/>
      <c r="B476" s="245"/>
      <c r="C476" s="230" t="s">
        <v>733</v>
      </c>
      <c r="D476" s="281"/>
      <c r="E476" s="443">
        <v>0</v>
      </c>
      <c r="F476" s="191">
        <v>0</v>
      </c>
      <c r="G476" s="427">
        <v>3413.8</v>
      </c>
      <c r="H476" s="155"/>
      <c r="I476">
        <v>735</v>
      </c>
      <c r="K476">
        <v>1973.1000000000001</v>
      </c>
      <c r="L476" s="4">
        <v>221.60000000000002</v>
      </c>
      <c r="M476" s="4">
        <v>54.9</v>
      </c>
      <c r="N476" s="4">
        <v>1989.7</v>
      </c>
      <c r="P476">
        <v>0</v>
      </c>
      <c r="Q476">
        <v>238.29999999999998</v>
      </c>
      <c r="R476">
        <v>0</v>
      </c>
      <c r="S476">
        <v>0</v>
      </c>
      <c r="T476">
        <v>368.5</v>
      </c>
      <c r="W476">
        <v>720.3</v>
      </c>
      <c r="X476">
        <v>1411.5</v>
      </c>
      <c r="Y476">
        <v>96.5</v>
      </c>
      <c r="AA476">
        <v>859.6</v>
      </c>
      <c r="AB476">
        <v>1577.6000000000001</v>
      </c>
      <c r="AE476">
        <v>1330</v>
      </c>
      <c r="AF476">
        <v>1025.5</v>
      </c>
      <c r="AH476">
        <v>509.9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1349.3</v>
      </c>
      <c r="AO476">
        <v>786.40000000000009</v>
      </c>
      <c r="AP476">
        <v>0</v>
      </c>
      <c r="AQ476">
        <v>68.3</v>
      </c>
      <c r="AR476">
        <v>234.9</v>
      </c>
      <c r="AS476">
        <v>600.40000000000009</v>
      </c>
      <c r="AU476">
        <v>985.69999999999993</v>
      </c>
      <c r="AW476">
        <v>792</v>
      </c>
      <c r="AX476">
        <v>1988.5</v>
      </c>
      <c r="AZ476">
        <v>763.5</v>
      </c>
      <c r="BA476">
        <v>0</v>
      </c>
      <c r="BB476">
        <v>0</v>
      </c>
      <c r="BC476">
        <v>1935.3</v>
      </c>
      <c r="BD476">
        <v>1006.5</v>
      </c>
      <c r="BE476">
        <v>0</v>
      </c>
      <c r="BF476">
        <v>0</v>
      </c>
      <c r="BG476">
        <v>0</v>
      </c>
      <c r="BH476">
        <v>1662.6</v>
      </c>
      <c r="BJ476">
        <v>0</v>
      </c>
      <c r="BK476">
        <v>0</v>
      </c>
      <c r="BL476">
        <v>1038.9000000000001</v>
      </c>
      <c r="BM476">
        <v>1101</v>
      </c>
      <c r="BO476">
        <v>1276.8000000000002</v>
      </c>
      <c r="BQ476">
        <v>0</v>
      </c>
      <c r="BR476">
        <v>270.7</v>
      </c>
      <c r="BS476">
        <v>230.5</v>
      </c>
      <c r="BT476">
        <v>472.3</v>
      </c>
      <c r="BU476">
        <v>537.29999999999995</v>
      </c>
      <c r="BV476">
        <v>346.3</v>
      </c>
      <c r="BW476">
        <v>386.2</v>
      </c>
      <c r="BX476">
        <v>767</v>
      </c>
      <c r="BY476">
        <v>757.2</v>
      </c>
      <c r="BZ476">
        <v>1037.2</v>
      </c>
      <c r="CA476">
        <v>1227.0999999999999</v>
      </c>
      <c r="CB476">
        <v>1232.0999999999999</v>
      </c>
      <c r="CC476">
        <v>1701.5</v>
      </c>
      <c r="CD476">
        <v>0</v>
      </c>
      <c r="CG476">
        <v>1385.3</v>
      </c>
      <c r="CJ476">
        <v>1630.2999999999997</v>
      </c>
      <c r="CM476">
        <v>1184.2</v>
      </c>
      <c r="CO476">
        <v>1248.0999999999999</v>
      </c>
      <c r="CQ476">
        <v>1435.3</v>
      </c>
      <c r="CR476">
        <v>798.2</v>
      </c>
      <c r="CS476">
        <v>923.8</v>
      </c>
      <c r="CT476">
        <v>0</v>
      </c>
      <c r="CU476">
        <v>0</v>
      </c>
      <c r="CV476">
        <v>0</v>
      </c>
      <c r="CW476">
        <v>0</v>
      </c>
      <c r="CX476">
        <v>163.69999999999999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I476">
        <v>0</v>
      </c>
      <c r="EC476">
        <v>0</v>
      </c>
      <c r="ED476">
        <v>0</v>
      </c>
      <c r="EE476">
        <v>0</v>
      </c>
      <c r="EF476">
        <v>0</v>
      </c>
      <c r="EG476">
        <v>0</v>
      </c>
      <c r="EH476">
        <v>0</v>
      </c>
      <c r="EI476">
        <v>0</v>
      </c>
      <c r="EJ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G476" t="e">
        <v>#N/A</v>
      </c>
      <c r="FI476" t="e">
        <v>#N/A</v>
      </c>
      <c r="FK476" t="e">
        <v>#N/A</v>
      </c>
      <c r="FM476" t="e">
        <v>#N/A</v>
      </c>
      <c r="FO476" t="e">
        <v>#N/A</v>
      </c>
      <c r="FQ476" t="e">
        <v>#N/A</v>
      </c>
      <c r="FS476" t="e">
        <v>#N/A</v>
      </c>
      <c r="FU476" t="e">
        <v>#N/A</v>
      </c>
      <c r="FW476" t="e">
        <v>#N/A</v>
      </c>
      <c r="FY476" t="e">
        <v>#N/A</v>
      </c>
      <c r="GA476" t="e">
        <v>#N/A</v>
      </c>
      <c r="GC476" t="e">
        <v>#N/A</v>
      </c>
      <c r="GE476" t="e">
        <v>#N/A</v>
      </c>
      <c r="GG476" t="e">
        <v>#N/A</v>
      </c>
      <c r="GI476" t="e">
        <v>#N/A</v>
      </c>
      <c r="GK476" t="e">
        <v>#N/A</v>
      </c>
      <c r="GM476" t="e">
        <v>#N/A</v>
      </c>
      <c r="GO476" t="e">
        <v>#N/A</v>
      </c>
      <c r="GQ476" t="e">
        <v>#N/A</v>
      </c>
      <c r="GS476" t="e">
        <v>#N/A</v>
      </c>
      <c r="GU476" t="e">
        <v>#N/A</v>
      </c>
      <c r="GW476" t="e">
        <v>#N/A</v>
      </c>
      <c r="GY476" t="e">
        <v>#N/A</v>
      </c>
      <c r="HA476" t="e">
        <v>#N/A</v>
      </c>
      <c r="HC476">
        <v>0</v>
      </c>
      <c r="HD476">
        <v>0</v>
      </c>
      <c r="HE476">
        <v>0</v>
      </c>
      <c r="HF476">
        <v>0</v>
      </c>
      <c r="HG476">
        <v>0</v>
      </c>
      <c r="HH476">
        <v>0</v>
      </c>
      <c r="HI476">
        <v>0</v>
      </c>
      <c r="HJ476">
        <v>0</v>
      </c>
      <c r="HM476">
        <v>0</v>
      </c>
      <c r="HN476">
        <v>0</v>
      </c>
      <c r="HO476">
        <v>0</v>
      </c>
      <c r="HP476">
        <v>0</v>
      </c>
      <c r="HQ476">
        <v>0</v>
      </c>
      <c r="HR476">
        <v>0</v>
      </c>
      <c r="HS476">
        <v>0</v>
      </c>
      <c r="HT476">
        <v>0</v>
      </c>
      <c r="HW476">
        <v>0</v>
      </c>
      <c r="HX476">
        <v>0</v>
      </c>
      <c r="HY476">
        <v>0</v>
      </c>
      <c r="HZ476">
        <v>0</v>
      </c>
      <c r="IA476">
        <v>3930.6</v>
      </c>
      <c r="IB476">
        <v>3632.9</v>
      </c>
      <c r="IC476">
        <v>3795.5</v>
      </c>
      <c r="ID476">
        <v>0</v>
      </c>
      <c r="IE476">
        <v>0</v>
      </c>
      <c r="IF476">
        <v>3548.5</v>
      </c>
      <c r="IG476">
        <v>3395.2</v>
      </c>
      <c r="IH476">
        <v>3395.4</v>
      </c>
      <c r="II476">
        <v>3302.3</v>
      </c>
      <c r="IJ476">
        <v>3172.8</v>
      </c>
      <c r="IK476">
        <v>0</v>
      </c>
      <c r="IL476">
        <v>0</v>
      </c>
      <c r="IM476">
        <v>0</v>
      </c>
      <c r="IN476">
        <v>0</v>
      </c>
      <c r="IO476">
        <v>123.4</v>
      </c>
      <c r="IP476">
        <v>405.2</v>
      </c>
      <c r="IQ476">
        <v>418.7</v>
      </c>
      <c r="IR476">
        <v>0</v>
      </c>
      <c r="IS476">
        <v>0</v>
      </c>
      <c r="IT476">
        <v>0</v>
      </c>
      <c r="IU476">
        <v>0</v>
      </c>
      <c r="IV476">
        <v>396</v>
      </c>
      <c r="IW476">
        <v>0</v>
      </c>
      <c r="IX476">
        <v>0</v>
      </c>
      <c r="IZ476">
        <v>0</v>
      </c>
      <c r="JA476">
        <v>65.5</v>
      </c>
      <c r="JB476">
        <v>443.5</v>
      </c>
      <c r="JC476">
        <v>0</v>
      </c>
      <c r="JD476">
        <v>0</v>
      </c>
      <c r="JE476">
        <v>0</v>
      </c>
      <c r="JF476">
        <v>0</v>
      </c>
      <c r="JG476">
        <v>0</v>
      </c>
      <c r="JH476">
        <v>0</v>
      </c>
      <c r="JI476">
        <v>0</v>
      </c>
      <c r="JJ476">
        <v>0</v>
      </c>
      <c r="JK476">
        <v>0</v>
      </c>
      <c r="JL476">
        <v>0</v>
      </c>
      <c r="JM476">
        <v>0</v>
      </c>
      <c r="JN476">
        <v>0</v>
      </c>
      <c r="JO476">
        <v>0</v>
      </c>
      <c r="JP476">
        <v>0</v>
      </c>
      <c r="JQ476">
        <v>0</v>
      </c>
      <c r="JR476">
        <v>0</v>
      </c>
      <c r="JS476">
        <v>0</v>
      </c>
      <c r="JT476">
        <v>0</v>
      </c>
      <c r="JU476">
        <v>0</v>
      </c>
      <c r="JV476">
        <v>0</v>
      </c>
      <c r="JW476">
        <v>0</v>
      </c>
      <c r="JX476">
        <v>0</v>
      </c>
      <c r="JY476">
        <v>0</v>
      </c>
      <c r="JZ476">
        <v>0</v>
      </c>
      <c r="KA476">
        <v>0</v>
      </c>
      <c r="KB476">
        <v>0</v>
      </c>
      <c r="KC476">
        <v>0</v>
      </c>
      <c r="KD476">
        <v>0</v>
      </c>
      <c r="KE476">
        <v>0</v>
      </c>
      <c r="KF476">
        <v>0</v>
      </c>
      <c r="KI476">
        <v>344.6</v>
      </c>
      <c r="KJ476">
        <v>350.8</v>
      </c>
      <c r="KK476">
        <v>22.1</v>
      </c>
      <c r="KL476">
        <v>379.3</v>
      </c>
      <c r="KM476">
        <v>241.4</v>
      </c>
      <c r="KN476">
        <v>0</v>
      </c>
      <c r="KO476">
        <v>0</v>
      </c>
      <c r="KP476">
        <v>57.3</v>
      </c>
      <c r="KQ476">
        <v>224.4</v>
      </c>
      <c r="KR476">
        <v>338.3</v>
      </c>
      <c r="KS476">
        <v>215.8</v>
      </c>
      <c r="KT476">
        <v>40.700000000000003</v>
      </c>
      <c r="KW476">
        <v>2154.5</v>
      </c>
      <c r="KX476">
        <v>1255.7</v>
      </c>
      <c r="KY476">
        <v>1630.1</v>
      </c>
      <c r="KZ476">
        <v>1246.9000000000001</v>
      </c>
      <c r="LB476">
        <v>78.099999999999994</v>
      </c>
      <c r="LC476">
        <v>77.7</v>
      </c>
    </row>
    <row r="477" spans="1:315" ht="18" thickBot="1">
      <c r="A477" s="246"/>
      <c r="B477" s="246"/>
      <c r="C477" s="334" t="s">
        <v>734</v>
      </c>
      <c r="D477" s="282"/>
      <c r="E477" s="447">
        <v>0</v>
      </c>
      <c r="F477" s="193">
        <v>0</v>
      </c>
      <c r="G477" s="427">
        <v>3413.8</v>
      </c>
      <c r="H477" s="155"/>
      <c r="I477">
        <v>735</v>
      </c>
      <c r="K477">
        <v>1973.1000000000001</v>
      </c>
      <c r="L477" s="4">
        <v>221.60000000000002</v>
      </c>
      <c r="M477" s="4">
        <v>54.9</v>
      </c>
      <c r="N477" s="4">
        <v>1989.7</v>
      </c>
      <c r="P477">
        <v>0</v>
      </c>
      <c r="Q477">
        <v>238.29999999999998</v>
      </c>
      <c r="R477">
        <v>0</v>
      </c>
      <c r="S477">
        <v>0</v>
      </c>
      <c r="T477">
        <v>368.5</v>
      </c>
      <c r="W477">
        <v>720.3</v>
      </c>
      <c r="X477">
        <v>1411.5</v>
      </c>
      <c r="Y477">
        <v>96.5</v>
      </c>
      <c r="AA477">
        <v>859.6</v>
      </c>
      <c r="AB477">
        <v>1577.6000000000001</v>
      </c>
      <c r="AE477">
        <v>1330</v>
      </c>
      <c r="AF477">
        <v>1025.5</v>
      </c>
      <c r="AH477">
        <v>509.9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1349.3</v>
      </c>
      <c r="AO477">
        <v>786.40000000000009</v>
      </c>
      <c r="AP477">
        <v>0</v>
      </c>
      <c r="AQ477">
        <v>68.3</v>
      </c>
      <c r="AR477">
        <v>234.9</v>
      </c>
      <c r="AS477">
        <v>600.40000000000009</v>
      </c>
      <c r="AU477">
        <v>985.69999999999993</v>
      </c>
      <c r="AW477">
        <v>792</v>
      </c>
      <c r="AX477">
        <v>1988.5</v>
      </c>
      <c r="AZ477">
        <v>763.5</v>
      </c>
      <c r="BA477">
        <v>0</v>
      </c>
      <c r="BB477">
        <v>0</v>
      </c>
      <c r="BC477">
        <v>1935.3</v>
      </c>
      <c r="BD477">
        <v>1006.5</v>
      </c>
      <c r="BE477">
        <v>0</v>
      </c>
      <c r="BF477">
        <v>0</v>
      </c>
      <c r="BG477">
        <v>0</v>
      </c>
      <c r="BH477">
        <v>1662.6</v>
      </c>
      <c r="BJ477">
        <v>0</v>
      </c>
      <c r="BK477">
        <v>0</v>
      </c>
      <c r="BL477">
        <v>1038.9000000000001</v>
      </c>
      <c r="BM477">
        <v>1101</v>
      </c>
      <c r="BO477">
        <v>1276.8000000000002</v>
      </c>
      <c r="BQ477">
        <v>0</v>
      </c>
      <c r="BR477">
        <v>270.7</v>
      </c>
      <c r="BS477">
        <v>230.5</v>
      </c>
      <c r="BT477">
        <v>472.3</v>
      </c>
      <c r="BU477">
        <v>537.29999999999995</v>
      </c>
      <c r="BV477">
        <v>346.3</v>
      </c>
      <c r="BW477">
        <v>386.2</v>
      </c>
      <c r="BX477">
        <v>767</v>
      </c>
      <c r="BY477">
        <v>757.2</v>
      </c>
      <c r="BZ477">
        <v>1037.2</v>
      </c>
      <c r="CA477">
        <v>1227.0999999999999</v>
      </c>
      <c r="CB477">
        <v>1232.0999999999999</v>
      </c>
      <c r="CC477">
        <v>1701.5</v>
      </c>
      <c r="CD477">
        <v>0</v>
      </c>
      <c r="CG477">
        <v>1385.3</v>
      </c>
      <c r="CJ477">
        <v>1630.2999999999997</v>
      </c>
      <c r="CM477">
        <v>1184.2</v>
      </c>
      <c r="CO477">
        <v>1248.0999999999999</v>
      </c>
      <c r="CQ477">
        <v>1435.3</v>
      </c>
      <c r="CR477">
        <v>798.2</v>
      </c>
      <c r="CS477">
        <v>923.8</v>
      </c>
      <c r="CT477">
        <v>0</v>
      </c>
      <c r="CU477">
        <v>0</v>
      </c>
      <c r="CV477">
        <v>0</v>
      </c>
      <c r="CW477">
        <v>0</v>
      </c>
      <c r="CX477">
        <v>163.69999999999999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I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  <c r="EJ477">
        <v>0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G477" t="e">
        <v>#N/A</v>
      </c>
      <c r="FI477" t="e">
        <v>#N/A</v>
      </c>
      <c r="FK477" t="e">
        <v>#N/A</v>
      </c>
      <c r="FM477" t="e">
        <v>#N/A</v>
      </c>
      <c r="FO477" t="e">
        <v>#N/A</v>
      </c>
      <c r="FQ477" t="e">
        <v>#N/A</v>
      </c>
      <c r="FS477" t="e">
        <v>#N/A</v>
      </c>
      <c r="FU477" t="e">
        <v>#N/A</v>
      </c>
      <c r="FW477" t="e">
        <v>#N/A</v>
      </c>
      <c r="FY477" t="e">
        <v>#N/A</v>
      </c>
      <c r="GA477" t="e">
        <v>#N/A</v>
      </c>
      <c r="GC477" t="e">
        <v>#N/A</v>
      </c>
      <c r="GE477" t="e">
        <v>#N/A</v>
      </c>
      <c r="GG477" t="e">
        <v>#N/A</v>
      </c>
      <c r="GI477" t="e">
        <v>#N/A</v>
      </c>
      <c r="GK477" t="e">
        <v>#N/A</v>
      </c>
      <c r="GM477" t="e">
        <v>#N/A</v>
      </c>
      <c r="GO477" t="e">
        <v>#N/A</v>
      </c>
      <c r="GQ477" t="e">
        <v>#N/A</v>
      </c>
      <c r="GS477" t="e">
        <v>#N/A</v>
      </c>
      <c r="GU477" t="e">
        <v>#N/A</v>
      </c>
      <c r="GW477" t="e">
        <v>#N/A</v>
      </c>
      <c r="GY477" t="e">
        <v>#N/A</v>
      </c>
      <c r="HA477" t="e">
        <v>#N/A</v>
      </c>
      <c r="HC477">
        <v>0</v>
      </c>
      <c r="HD477">
        <v>0</v>
      </c>
      <c r="HE477">
        <v>0</v>
      </c>
      <c r="HF477">
        <v>0</v>
      </c>
      <c r="HG477">
        <v>0</v>
      </c>
      <c r="HH477">
        <v>0</v>
      </c>
      <c r="HI477">
        <v>0</v>
      </c>
      <c r="HJ477">
        <v>0</v>
      </c>
      <c r="HM477">
        <v>0</v>
      </c>
      <c r="HN477">
        <v>0</v>
      </c>
      <c r="HO477">
        <v>0</v>
      </c>
      <c r="HP477">
        <v>0</v>
      </c>
      <c r="HQ477">
        <v>0</v>
      </c>
      <c r="HR477">
        <v>0</v>
      </c>
      <c r="HS477">
        <v>0</v>
      </c>
      <c r="HT477">
        <v>0</v>
      </c>
      <c r="HW477">
        <v>0</v>
      </c>
      <c r="HX477">
        <v>0</v>
      </c>
      <c r="HY477">
        <v>0</v>
      </c>
      <c r="HZ477">
        <v>0</v>
      </c>
      <c r="IA477">
        <v>3930.6</v>
      </c>
      <c r="IB477">
        <v>3632.9</v>
      </c>
      <c r="IC477">
        <v>3795.5</v>
      </c>
      <c r="ID477">
        <v>0</v>
      </c>
      <c r="IE477">
        <v>0</v>
      </c>
      <c r="IF477">
        <v>3548.5</v>
      </c>
      <c r="IG477">
        <v>3395.2</v>
      </c>
      <c r="IH477">
        <v>3395.4</v>
      </c>
      <c r="II477">
        <v>3302.3</v>
      </c>
      <c r="IJ477">
        <v>3172.8</v>
      </c>
      <c r="IK477">
        <v>0</v>
      </c>
      <c r="IL477">
        <v>0</v>
      </c>
      <c r="IM477">
        <v>0</v>
      </c>
      <c r="IN477">
        <v>0</v>
      </c>
      <c r="IO477">
        <v>123.4</v>
      </c>
      <c r="IP477">
        <v>405.2</v>
      </c>
      <c r="IQ477">
        <v>418.7</v>
      </c>
      <c r="IR477">
        <v>0</v>
      </c>
      <c r="IS477">
        <v>0</v>
      </c>
      <c r="IT477">
        <v>0</v>
      </c>
      <c r="IU477">
        <v>0</v>
      </c>
      <c r="IV477">
        <v>396</v>
      </c>
      <c r="IW477">
        <v>0</v>
      </c>
      <c r="IX477">
        <v>0</v>
      </c>
      <c r="IZ477">
        <v>0</v>
      </c>
      <c r="JA477">
        <v>65.5</v>
      </c>
      <c r="JB477">
        <v>443.5</v>
      </c>
      <c r="JC477">
        <v>0</v>
      </c>
      <c r="JD477">
        <v>0</v>
      </c>
      <c r="JE477">
        <v>0</v>
      </c>
      <c r="JF477">
        <v>0</v>
      </c>
      <c r="JG477">
        <v>0</v>
      </c>
      <c r="JH477">
        <v>0</v>
      </c>
      <c r="JI477">
        <v>0</v>
      </c>
      <c r="JJ477">
        <v>0</v>
      </c>
      <c r="JK477">
        <v>0</v>
      </c>
      <c r="JL477">
        <v>0</v>
      </c>
      <c r="JM477">
        <v>0</v>
      </c>
      <c r="JN477">
        <v>0</v>
      </c>
      <c r="JO477">
        <v>0</v>
      </c>
      <c r="JP477">
        <v>0</v>
      </c>
      <c r="JQ477">
        <v>0</v>
      </c>
      <c r="JR477">
        <v>0</v>
      </c>
      <c r="JS477">
        <v>0</v>
      </c>
      <c r="JT477">
        <v>0</v>
      </c>
      <c r="JU477">
        <v>0</v>
      </c>
      <c r="JV477">
        <v>0</v>
      </c>
      <c r="JW477">
        <v>0</v>
      </c>
      <c r="JX477">
        <v>0</v>
      </c>
      <c r="JY477">
        <v>0</v>
      </c>
      <c r="JZ477">
        <v>0</v>
      </c>
      <c r="KA477">
        <v>0</v>
      </c>
      <c r="KB477">
        <v>0</v>
      </c>
      <c r="KC477">
        <v>0</v>
      </c>
      <c r="KD477">
        <v>0</v>
      </c>
      <c r="KE477">
        <v>0</v>
      </c>
      <c r="KF477">
        <v>0</v>
      </c>
      <c r="KI477">
        <v>344.6</v>
      </c>
      <c r="KJ477">
        <v>350.8</v>
      </c>
      <c r="KK477">
        <v>22.1</v>
      </c>
      <c r="KL477">
        <v>379.3</v>
      </c>
      <c r="KM477">
        <v>241.4</v>
      </c>
      <c r="KN477">
        <v>0</v>
      </c>
      <c r="KO477">
        <v>0</v>
      </c>
      <c r="KP477">
        <v>57.3</v>
      </c>
      <c r="KQ477">
        <v>224.4</v>
      </c>
      <c r="KR477">
        <v>338.3</v>
      </c>
      <c r="KS477">
        <v>215.8</v>
      </c>
      <c r="KT477">
        <v>40.700000000000003</v>
      </c>
      <c r="KW477">
        <v>2154.5</v>
      </c>
      <c r="KX477">
        <v>1255.7</v>
      </c>
      <c r="KY477">
        <v>1630.1</v>
      </c>
      <c r="KZ477">
        <v>1246.9000000000001</v>
      </c>
      <c r="LB477">
        <v>78.099999999999994</v>
      </c>
      <c r="LC477">
        <v>77.7</v>
      </c>
    </row>
    <row r="478" spans="1:315" ht="18.600000000000001" thickTop="1" thickBot="1">
      <c r="A478" s="181"/>
      <c r="B478" s="181" t="s">
        <v>605</v>
      </c>
      <c r="C478" s="348" t="s">
        <v>892</v>
      </c>
      <c r="D478" s="287" t="s">
        <v>827</v>
      </c>
      <c r="E478" s="442">
        <v>0</v>
      </c>
      <c r="F478" s="190">
        <v>0</v>
      </c>
      <c r="G478" s="427">
        <v>3413.8</v>
      </c>
      <c r="H478" s="155"/>
      <c r="I478">
        <v>735</v>
      </c>
      <c r="K478">
        <v>1973.1000000000001</v>
      </c>
      <c r="L478" s="4">
        <v>221.60000000000002</v>
      </c>
      <c r="M478" s="4">
        <v>54.9</v>
      </c>
      <c r="N478" s="4">
        <v>1989.7</v>
      </c>
      <c r="P478">
        <v>0</v>
      </c>
      <c r="Q478">
        <v>238.29999999999998</v>
      </c>
      <c r="R478">
        <v>0</v>
      </c>
      <c r="S478">
        <v>0</v>
      </c>
      <c r="T478">
        <v>368.5</v>
      </c>
      <c r="W478">
        <v>720.3</v>
      </c>
      <c r="X478">
        <v>1411.5</v>
      </c>
      <c r="Y478">
        <v>96.5</v>
      </c>
      <c r="AA478">
        <v>859.6</v>
      </c>
      <c r="AB478">
        <v>1577.6000000000001</v>
      </c>
      <c r="AE478">
        <v>1330</v>
      </c>
      <c r="AF478">
        <v>1025.5</v>
      </c>
      <c r="AH478">
        <v>509.9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1349.3</v>
      </c>
      <c r="AO478">
        <v>786.40000000000009</v>
      </c>
      <c r="AP478">
        <v>0</v>
      </c>
      <c r="AQ478">
        <v>68.3</v>
      </c>
      <c r="AR478">
        <v>234.9</v>
      </c>
      <c r="AS478">
        <v>600.40000000000009</v>
      </c>
      <c r="AU478">
        <v>985.69999999999993</v>
      </c>
      <c r="AW478">
        <v>792</v>
      </c>
      <c r="AX478">
        <v>1988.5</v>
      </c>
      <c r="AZ478">
        <v>763.5</v>
      </c>
      <c r="BA478">
        <v>0</v>
      </c>
      <c r="BB478">
        <v>0</v>
      </c>
      <c r="BC478">
        <v>1935.3</v>
      </c>
      <c r="BD478">
        <v>1006.5</v>
      </c>
      <c r="BE478">
        <v>0</v>
      </c>
      <c r="BF478">
        <v>0</v>
      </c>
      <c r="BG478">
        <v>0</v>
      </c>
      <c r="BH478">
        <v>1662.6</v>
      </c>
      <c r="BJ478">
        <v>0</v>
      </c>
      <c r="BK478">
        <v>0</v>
      </c>
      <c r="BL478">
        <v>1038.9000000000001</v>
      </c>
      <c r="BM478">
        <v>1101</v>
      </c>
      <c r="BO478">
        <v>1276.8000000000002</v>
      </c>
      <c r="BQ478">
        <v>0</v>
      </c>
      <c r="BR478">
        <v>270.7</v>
      </c>
      <c r="BS478">
        <v>230.5</v>
      </c>
      <c r="BT478">
        <v>472.3</v>
      </c>
      <c r="BU478">
        <v>537.29999999999995</v>
      </c>
      <c r="BV478">
        <v>346.3</v>
      </c>
      <c r="BW478">
        <v>386.2</v>
      </c>
      <c r="BX478">
        <v>767</v>
      </c>
      <c r="BY478">
        <v>757.2</v>
      </c>
      <c r="BZ478">
        <v>1037.2</v>
      </c>
      <c r="CA478">
        <v>1227.0999999999999</v>
      </c>
      <c r="CB478">
        <v>1232.0999999999999</v>
      </c>
      <c r="CC478">
        <v>1701.5</v>
      </c>
      <c r="CD478">
        <v>0</v>
      </c>
      <c r="CG478">
        <v>1385.3</v>
      </c>
      <c r="CJ478">
        <v>1630.2999999999997</v>
      </c>
      <c r="CM478">
        <v>1184.2</v>
      </c>
      <c r="CO478">
        <v>1248.0999999999999</v>
      </c>
      <c r="CQ478">
        <v>1435.3</v>
      </c>
      <c r="CR478">
        <v>798.2</v>
      </c>
      <c r="CS478">
        <v>923.8</v>
      </c>
      <c r="CT478">
        <v>0</v>
      </c>
      <c r="CU478">
        <v>0</v>
      </c>
      <c r="CV478">
        <v>0</v>
      </c>
      <c r="CW478">
        <v>0</v>
      </c>
      <c r="CX478">
        <v>163.69999999999999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I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  <c r="EI478">
        <v>0</v>
      </c>
      <c r="EJ478">
        <v>0</v>
      </c>
      <c r="EM478">
        <v>0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G478" t="e">
        <v>#N/A</v>
      </c>
      <c r="FI478" t="e">
        <v>#N/A</v>
      </c>
      <c r="FK478" t="e">
        <v>#N/A</v>
      </c>
      <c r="FM478" t="e">
        <v>#N/A</v>
      </c>
      <c r="FO478" t="e">
        <v>#N/A</v>
      </c>
      <c r="FQ478" t="e">
        <v>#N/A</v>
      </c>
      <c r="FS478" t="e">
        <v>#N/A</v>
      </c>
      <c r="FU478" t="e">
        <v>#N/A</v>
      </c>
      <c r="FW478" t="e">
        <v>#N/A</v>
      </c>
      <c r="FY478" t="e">
        <v>#N/A</v>
      </c>
      <c r="GA478" t="e">
        <v>#N/A</v>
      </c>
      <c r="GC478" t="e">
        <v>#N/A</v>
      </c>
      <c r="GE478" t="e">
        <v>#N/A</v>
      </c>
      <c r="GG478" t="e">
        <v>#N/A</v>
      </c>
      <c r="GI478" t="e">
        <v>#N/A</v>
      </c>
      <c r="GK478" t="e">
        <v>#N/A</v>
      </c>
      <c r="GM478" t="e">
        <v>#N/A</v>
      </c>
      <c r="GO478" t="e">
        <v>#N/A</v>
      </c>
      <c r="GQ478" t="e">
        <v>#N/A</v>
      </c>
      <c r="GS478" t="e">
        <v>#N/A</v>
      </c>
      <c r="GU478" t="e">
        <v>#N/A</v>
      </c>
      <c r="GW478" t="e">
        <v>#N/A</v>
      </c>
      <c r="GY478" t="e">
        <v>#N/A</v>
      </c>
      <c r="HA478" t="e">
        <v>#N/A</v>
      </c>
      <c r="HC478">
        <v>0</v>
      </c>
      <c r="HD478">
        <v>0</v>
      </c>
      <c r="HE478">
        <v>0</v>
      </c>
      <c r="HF478">
        <v>0</v>
      </c>
      <c r="HG478">
        <v>0</v>
      </c>
      <c r="HH478">
        <v>0</v>
      </c>
      <c r="HI478">
        <v>0</v>
      </c>
      <c r="HJ478">
        <v>0</v>
      </c>
      <c r="HM478">
        <v>0</v>
      </c>
      <c r="HN478">
        <v>0</v>
      </c>
      <c r="HO478">
        <v>0</v>
      </c>
      <c r="HP478">
        <v>0</v>
      </c>
      <c r="HQ478">
        <v>0</v>
      </c>
      <c r="HR478">
        <v>0</v>
      </c>
      <c r="HS478">
        <v>0</v>
      </c>
      <c r="HT478">
        <v>0</v>
      </c>
      <c r="HW478">
        <v>0</v>
      </c>
      <c r="HX478">
        <v>0</v>
      </c>
      <c r="HY478">
        <v>0</v>
      </c>
      <c r="HZ478">
        <v>0</v>
      </c>
      <c r="IA478">
        <v>3930.6</v>
      </c>
      <c r="IB478">
        <v>3632.9</v>
      </c>
      <c r="IC478">
        <v>3795.5</v>
      </c>
      <c r="ID478">
        <v>0</v>
      </c>
      <c r="IE478">
        <v>0</v>
      </c>
      <c r="IF478">
        <v>3548.5</v>
      </c>
      <c r="IG478">
        <v>3395.2</v>
      </c>
      <c r="IH478">
        <v>3395.4</v>
      </c>
      <c r="II478">
        <v>3302.3</v>
      </c>
      <c r="IJ478">
        <v>3172.8</v>
      </c>
      <c r="IK478">
        <v>0</v>
      </c>
      <c r="IL478">
        <v>0</v>
      </c>
      <c r="IM478">
        <v>0</v>
      </c>
      <c r="IN478">
        <v>0</v>
      </c>
      <c r="IO478">
        <v>123.4</v>
      </c>
      <c r="IP478">
        <v>405.2</v>
      </c>
      <c r="IQ478">
        <v>418.7</v>
      </c>
      <c r="IR478">
        <v>0</v>
      </c>
      <c r="IS478">
        <v>0</v>
      </c>
      <c r="IT478">
        <v>0</v>
      </c>
      <c r="IU478">
        <v>0</v>
      </c>
      <c r="IV478">
        <v>396</v>
      </c>
      <c r="IW478">
        <v>0</v>
      </c>
      <c r="IX478">
        <v>0</v>
      </c>
      <c r="IZ478">
        <v>0</v>
      </c>
      <c r="JA478">
        <v>65.5</v>
      </c>
      <c r="JB478">
        <v>443.5</v>
      </c>
      <c r="JC478">
        <v>0</v>
      </c>
      <c r="JD478">
        <v>0</v>
      </c>
      <c r="JE478">
        <v>0</v>
      </c>
      <c r="JF478">
        <v>0</v>
      </c>
      <c r="JG478">
        <v>0</v>
      </c>
      <c r="JH478">
        <v>0</v>
      </c>
      <c r="JI478">
        <v>0</v>
      </c>
      <c r="JJ478">
        <v>0</v>
      </c>
      <c r="JK478">
        <v>0</v>
      </c>
      <c r="JL478">
        <v>0</v>
      </c>
      <c r="JM478">
        <v>0</v>
      </c>
      <c r="JN478">
        <v>0</v>
      </c>
      <c r="JO478">
        <v>0</v>
      </c>
      <c r="JP478">
        <v>0</v>
      </c>
      <c r="JQ478">
        <v>0</v>
      </c>
      <c r="JR478">
        <v>0</v>
      </c>
      <c r="JS478">
        <v>0</v>
      </c>
      <c r="JT478">
        <v>0</v>
      </c>
      <c r="JU478">
        <v>0</v>
      </c>
      <c r="JV478">
        <v>0</v>
      </c>
      <c r="JW478">
        <v>0</v>
      </c>
      <c r="JX478">
        <v>0</v>
      </c>
      <c r="JY478">
        <v>0</v>
      </c>
      <c r="JZ478">
        <v>0</v>
      </c>
      <c r="KA478">
        <v>0</v>
      </c>
      <c r="KB478">
        <v>0</v>
      </c>
      <c r="KC478">
        <v>0</v>
      </c>
      <c r="KD478">
        <v>0</v>
      </c>
      <c r="KE478">
        <v>0</v>
      </c>
      <c r="KF478">
        <v>0</v>
      </c>
      <c r="KI478">
        <v>344.6</v>
      </c>
      <c r="KJ478">
        <v>350.8</v>
      </c>
      <c r="KK478">
        <v>22.1</v>
      </c>
      <c r="KL478">
        <v>379.3</v>
      </c>
      <c r="KM478">
        <v>241.4</v>
      </c>
      <c r="KN478">
        <v>0</v>
      </c>
      <c r="KO478">
        <v>0</v>
      </c>
      <c r="KP478">
        <v>57.3</v>
      </c>
      <c r="KQ478">
        <v>224.4</v>
      </c>
      <c r="KR478">
        <v>338.3</v>
      </c>
      <c r="KS478">
        <v>215.8</v>
      </c>
      <c r="KT478">
        <v>40.700000000000003</v>
      </c>
      <c r="KW478">
        <v>2154.5</v>
      </c>
      <c r="KX478">
        <v>1255.7</v>
      </c>
      <c r="KY478">
        <v>1630.1</v>
      </c>
      <c r="KZ478">
        <v>1246.9000000000001</v>
      </c>
      <c r="LB478">
        <v>78.099999999999994</v>
      </c>
      <c r="LC478">
        <v>77.7</v>
      </c>
    </row>
    <row r="479" spans="1:315" ht="18" thickBot="1">
      <c r="A479" s="245"/>
      <c r="B479" s="245" t="s">
        <v>606</v>
      </c>
      <c r="C479" s="272" t="s">
        <v>893</v>
      </c>
      <c r="D479" s="281" t="s">
        <v>827</v>
      </c>
      <c r="E479" s="443">
        <v>0</v>
      </c>
      <c r="F479" s="191">
        <v>0</v>
      </c>
      <c r="G479" s="427">
        <v>3413.8</v>
      </c>
      <c r="H479" s="155"/>
      <c r="I479">
        <v>735</v>
      </c>
      <c r="K479">
        <v>1973.1000000000001</v>
      </c>
      <c r="L479" s="4">
        <v>221.60000000000002</v>
      </c>
      <c r="M479" s="4">
        <v>54.9</v>
      </c>
      <c r="N479" s="4">
        <v>1989.7</v>
      </c>
      <c r="P479">
        <v>0</v>
      </c>
      <c r="Q479">
        <v>238.29999999999998</v>
      </c>
      <c r="R479">
        <v>0</v>
      </c>
      <c r="S479">
        <v>0</v>
      </c>
      <c r="T479">
        <v>368.5</v>
      </c>
      <c r="W479">
        <v>720.3</v>
      </c>
      <c r="X479">
        <v>1411.5</v>
      </c>
      <c r="Y479">
        <v>96.5</v>
      </c>
      <c r="AA479">
        <v>859.6</v>
      </c>
      <c r="AB479">
        <v>1577.6000000000001</v>
      </c>
      <c r="AE479">
        <v>1330</v>
      </c>
      <c r="AF479">
        <v>1025.5</v>
      </c>
      <c r="AH479">
        <v>509.9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1349.3</v>
      </c>
      <c r="AO479">
        <v>786.40000000000009</v>
      </c>
      <c r="AP479">
        <v>0</v>
      </c>
      <c r="AQ479">
        <v>68.3</v>
      </c>
      <c r="AR479">
        <v>234.9</v>
      </c>
      <c r="AS479">
        <v>600.40000000000009</v>
      </c>
      <c r="AU479">
        <v>985.69999999999993</v>
      </c>
      <c r="AW479">
        <v>792</v>
      </c>
      <c r="AX479">
        <v>1988.5</v>
      </c>
      <c r="AZ479">
        <v>763.5</v>
      </c>
      <c r="BA479">
        <v>0</v>
      </c>
      <c r="BB479">
        <v>0</v>
      </c>
      <c r="BC479">
        <v>1935.3</v>
      </c>
      <c r="BD479">
        <v>1006.5</v>
      </c>
      <c r="BE479">
        <v>0</v>
      </c>
      <c r="BF479">
        <v>0</v>
      </c>
      <c r="BG479">
        <v>0</v>
      </c>
      <c r="BH479">
        <v>1662.6</v>
      </c>
      <c r="BJ479">
        <v>0</v>
      </c>
      <c r="BK479">
        <v>0</v>
      </c>
      <c r="BL479">
        <v>1038.9000000000001</v>
      </c>
      <c r="BM479">
        <v>1101</v>
      </c>
      <c r="BO479">
        <v>1276.8000000000002</v>
      </c>
      <c r="BQ479">
        <v>0</v>
      </c>
      <c r="BR479">
        <v>270.7</v>
      </c>
      <c r="BS479">
        <v>230.5</v>
      </c>
      <c r="BT479">
        <v>472.3</v>
      </c>
      <c r="BU479">
        <v>537.29999999999995</v>
      </c>
      <c r="BV479">
        <v>346.3</v>
      </c>
      <c r="BW479">
        <v>386.2</v>
      </c>
      <c r="BX479">
        <v>767</v>
      </c>
      <c r="BY479">
        <v>757.2</v>
      </c>
      <c r="BZ479">
        <v>1037.2</v>
      </c>
      <c r="CA479">
        <v>1227.0999999999999</v>
      </c>
      <c r="CB479">
        <v>1232.0999999999999</v>
      </c>
      <c r="CC479">
        <v>1701.5</v>
      </c>
      <c r="CD479">
        <v>0</v>
      </c>
      <c r="CG479">
        <v>1385.3</v>
      </c>
      <c r="CJ479">
        <v>1630.2999999999997</v>
      </c>
      <c r="CM479">
        <v>1184.2</v>
      </c>
      <c r="CO479">
        <v>1248.0999999999999</v>
      </c>
      <c r="CQ479">
        <v>1435.3</v>
      </c>
      <c r="CR479">
        <v>798.2</v>
      </c>
      <c r="CS479">
        <v>923.8</v>
      </c>
      <c r="CT479">
        <v>0</v>
      </c>
      <c r="CU479">
        <v>0</v>
      </c>
      <c r="CV479">
        <v>0</v>
      </c>
      <c r="CW479">
        <v>0</v>
      </c>
      <c r="CX479">
        <v>163.69999999999999</v>
      </c>
      <c r="CY479">
        <v>0</v>
      </c>
      <c r="CZ479">
        <v>0</v>
      </c>
      <c r="DA479">
        <v>0</v>
      </c>
      <c r="DB479">
        <v>0</v>
      </c>
      <c r="DC479">
        <v>0</v>
      </c>
      <c r="DD479">
        <v>0</v>
      </c>
      <c r="DE479">
        <v>0</v>
      </c>
      <c r="DI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G479" t="e">
        <v>#N/A</v>
      </c>
      <c r="FI479" t="e">
        <v>#N/A</v>
      </c>
      <c r="FK479" t="e">
        <v>#N/A</v>
      </c>
      <c r="FM479" t="e">
        <v>#N/A</v>
      </c>
      <c r="FO479" t="e">
        <v>#N/A</v>
      </c>
      <c r="FQ479" t="e">
        <v>#N/A</v>
      </c>
      <c r="FS479" t="e">
        <v>#N/A</v>
      </c>
      <c r="FU479" t="e">
        <v>#N/A</v>
      </c>
      <c r="FW479" t="e">
        <v>#N/A</v>
      </c>
      <c r="FY479" t="e">
        <v>#N/A</v>
      </c>
      <c r="GA479" t="e">
        <v>#N/A</v>
      </c>
      <c r="GC479" t="e">
        <v>#N/A</v>
      </c>
      <c r="GE479" t="e">
        <v>#N/A</v>
      </c>
      <c r="GG479" t="e">
        <v>#N/A</v>
      </c>
      <c r="GI479" t="e">
        <v>#N/A</v>
      </c>
      <c r="GK479" t="e">
        <v>#N/A</v>
      </c>
      <c r="GM479" t="e">
        <v>#N/A</v>
      </c>
      <c r="GO479" t="e">
        <v>#N/A</v>
      </c>
      <c r="GQ479" t="e">
        <v>#N/A</v>
      </c>
      <c r="GS479" t="e">
        <v>#N/A</v>
      </c>
      <c r="GU479" t="e">
        <v>#N/A</v>
      </c>
      <c r="GW479" t="e">
        <v>#N/A</v>
      </c>
      <c r="GY479" t="e">
        <v>#N/A</v>
      </c>
      <c r="HA479" t="e">
        <v>#N/A</v>
      </c>
      <c r="HC479">
        <v>0</v>
      </c>
      <c r="HD479">
        <v>0</v>
      </c>
      <c r="HE479">
        <v>0</v>
      </c>
      <c r="HF479">
        <v>0</v>
      </c>
      <c r="HG479">
        <v>0</v>
      </c>
      <c r="HH479">
        <v>0</v>
      </c>
      <c r="HI479">
        <v>0</v>
      </c>
      <c r="HJ479">
        <v>0</v>
      </c>
      <c r="HM479">
        <v>0</v>
      </c>
      <c r="HN479">
        <v>0</v>
      </c>
      <c r="HO479">
        <v>0</v>
      </c>
      <c r="HP479">
        <v>0</v>
      </c>
      <c r="HQ479">
        <v>0</v>
      </c>
      <c r="HR479">
        <v>0</v>
      </c>
      <c r="HS479">
        <v>0</v>
      </c>
      <c r="HT479">
        <v>0</v>
      </c>
      <c r="HW479">
        <v>0</v>
      </c>
      <c r="HX479">
        <v>0</v>
      </c>
      <c r="HY479">
        <v>0</v>
      </c>
      <c r="HZ479">
        <v>0</v>
      </c>
      <c r="IA479">
        <v>3930.6</v>
      </c>
      <c r="IB479">
        <v>3632.9</v>
      </c>
      <c r="IC479">
        <v>3795.5</v>
      </c>
      <c r="ID479">
        <v>0</v>
      </c>
      <c r="IE479">
        <v>0</v>
      </c>
      <c r="IF479">
        <v>3548.5</v>
      </c>
      <c r="IG479">
        <v>3395.2</v>
      </c>
      <c r="IH479">
        <v>3395.4</v>
      </c>
      <c r="II479">
        <v>3302.3</v>
      </c>
      <c r="IJ479">
        <v>3172.8</v>
      </c>
      <c r="IK479">
        <v>0</v>
      </c>
      <c r="IL479">
        <v>0</v>
      </c>
      <c r="IM479">
        <v>0</v>
      </c>
      <c r="IN479">
        <v>0</v>
      </c>
      <c r="IO479">
        <v>123.4</v>
      </c>
      <c r="IP479">
        <v>405.2</v>
      </c>
      <c r="IQ479">
        <v>418.7</v>
      </c>
      <c r="IR479">
        <v>0</v>
      </c>
      <c r="IS479">
        <v>0</v>
      </c>
      <c r="IT479">
        <v>0</v>
      </c>
      <c r="IU479">
        <v>0</v>
      </c>
      <c r="IV479">
        <v>396</v>
      </c>
      <c r="IW479">
        <v>0</v>
      </c>
      <c r="IX479">
        <v>0</v>
      </c>
      <c r="IZ479">
        <v>0</v>
      </c>
      <c r="JA479">
        <v>65.5</v>
      </c>
      <c r="JB479">
        <v>443.5</v>
      </c>
      <c r="JC479">
        <v>0</v>
      </c>
      <c r="JD479">
        <v>0</v>
      </c>
      <c r="JE479">
        <v>0</v>
      </c>
      <c r="JF479">
        <v>0</v>
      </c>
      <c r="JG479">
        <v>0</v>
      </c>
      <c r="JH479">
        <v>0</v>
      </c>
      <c r="JI479">
        <v>0</v>
      </c>
      <c r="JJ479">
        <v>0</v>
      </c>
      <c r="JK479">
        <v>0</v>
      </c>
      <c r="JL479">
        <v>0</v>
      </c>
      <c r="JM479">
        <v>0</v>
      </c>
      <c r="JN479">
        <v>0</v>
      </c>
      <c r="JO479">
        <v>0</v>
      </c>
      <c r="JP479">
        <v>0</v>
      </c>
      <c r="JQ479">
        <v>0</v>
      </c>
      <c r="JR479">
        <v>0</v>
      </c>
      <c r="JS479">
        <v>0</v>
      </c>
      <c r="JT479">
        <v>0</v>
      </c>
      <c r="JU479">
        <v>0</v>
      </c>
      <c r="JV479">
        <v>0</v>
      </c>
      <c r="JW479">
        <v>0</v>
      </c>
      <c r="JX479">
        <v>0</v>
      </c>
      <c r="JY479">
        <v>0</v>
      </c>
      <c r="JZ479">
        <v>0</v>
      </c>
      <c r="KA479">
        <v>0</v>
      </c>
      <c r="KB479">
        <v>0</v>
      </c>
      <c r="KC479">
        <v>0</v>
      </c>
      <c r="KD479">
        <v>0</v>
      </c>
      <c r="KE479">
        <v>0</v>
      </c>
      <c r="KF479">
        <v>0</v>
      </c>
      <c r="KI479">
        <v>344.6</v>
      </c>
      <c r="KJ479">
        <v>350.8</v>
      </c>
      <c r="KK479">
        <v>22.1</v>
      </c>
      <c r="KL479">
        <v>379.3</v>
      </c>
      <c r="KM479">
        <v>241.4</v>
      </c>
      <c r="KN479">
        <v>0</v>
      </c>
      <c r="KO479">
        <v>0</v>
      </c>
      <c r="KP479">
        <v>57.3</v>
      </c>
      <c r="KQ479">
        <v>224.4</v>
      </c>
      <c r="KR479">
        <v>338.3</v>
      </c>
      <c r="KS479">
        <v>215.8</v>
      </c>
      <c r="KT479">
        <v>40.700000000000003</v>
      </c>
      <c r="KW479">
        <v>2154.5</v>
      </c>
      <c r="KX479">
        <v>1255.7</v>
      </c>
      <c r="KY479">
        <v>1630.1</v>
      </c>
      <c r="KZ479">
        <v>1246.9000000000001</v>
      </c>
      <c r="LB479">
        <v>78.099999999999994</v>
      </c>
      <c r="LC479">
        <v>77.7</v>
      </c>
    </row>
    <row r="480" spans="1:315" ht="18" thickBot="1">
      <c r="A480" s="245"/>
      <c r="B480" s="245" t="s">
        <v>607</v>
      </c>
      <c r="C480" s="272" t="s">
        <v>894</v>
      </c>
      <c r="D480" s="281" t="s">
        <v>827</v>
      </c>
      <c r="E480" s="443">
        <v>0</v>
      </c>
      <c r="F480" s="191">
        <v>0</v>
      </c>
      <c r="G480" s="427">
        <v>3413.8</v>
      </c>
      <c r="H480" s="155"/>
      <c r="I480">
        <v>735</v>
      </c>
      <c r="K480">
        <v>1973.1000000000001</v>
      </c>
      <c r="L480" s="4">
        <v>221.60000000000002</v>
      </c>
      <c r="M480" s="4">
        <v>54.9</v>
      </c>
      <c r="N480" s="4">
        <v>1989.7</v>
      </c>
      <c r="P480">
        <v>0</v>
      </c>
      <c r="Q480">
        <v>238.29999999999998</v>
      </c>
      <c r="R480">
        <v>0</v>
      </c>
      <c r="S480">
        <v>0</v>
      </c>
      <c r="T480">
        <v>368.5</v>
      </c>
      <c r="W480">
        <v>720.3</v>
      </c>
      <c r="X480">
        <v>1411.5</v>
      </c>
      <c r="Y480">
        <v>96.5</v>
      </c>
      <c r="AA480">
        <v>859.6</v>
      </c>
      <c r="AB480">
        <v>1577.6000000000001</v>
      </c>
      <c r="AE480">
        <v>1330</v>
      </c>
      <c r="AF480">
        <v>1025.5</v>
      </c>
      <c r="AH480">
        <v>509.9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1349.3</v>
      </c>
      <c r="AO480">
        <v>786.40000000000009</v>
      </c>
      <c r="AP480">
        <v>0</v>
      </c>
      <c r="AQ480">
        <v>68.3</v>
      </c>
      <c r="AR480">
        <v>234.9</v>
      </c>
      <c r="AS480">
        <v>600.40000000000009</v>
      </c>
      <c r="AU480">
        <v>985.69999999999993</v>
      </c>
      <c r="AW480">
        <v>792</v>
      </c>
      <c r="AX480">
        <v>1988.5</v>
      </c>
      <c r="AZ480">
        <v>763.5</v>
      </c>
      <c r="BA480">
        <v>0</v>
      </c>
      <c r="BB480">
        <v>0</v>
      </c>
      <c r="BC480">
        <v>1935.3</v>
      </c>
      <c r="BD480">
        <v>1006.5</v>
      </c>
      <c r="BE480">
        <v>0</v>
      </c>
      <c r="BF480">
        <v>0</v>
      </c>
      <c r="BG480">
        <v>0</v>
      </c>
      <c r="BH480">
        <v>1662.6</v>
      </c>
      <c r="BJ480">
        <v>0</v>
      </c>
      <c r="BK480">
        <v>0</v>
      </c>
      <c r="BL480">
        <v>1038.9000000000001</v>
      </c>
      <c r="BM480">
        <v>1101</v>
      </c>
      <c r="BO480">
        <v>1276.8000000000002</v>
      </c>
      <c r="BQ480">
        <v>0</v>
      </c>
      <c r="BR480">
        <v>270.7</v>
      </c>
      <c r="BS480">
        <v>230.5</v>
      </c>
      <c r="BT480">
        <v>472.3</v>
      </c>
      <c r="BU480">
        <v>537.29999999999995</v>
      </c>
      <c r="BV480">
        <v>346.3</v>
      </c>
      <c r="BW480">
        <v>386.2</v>
      </c>
      <c r="BX480">
        <v>767</v>
      </c>
      <c r="BY480">
        <v>757.2</v>
      </c>
      <c r="BZ480">
        <v>1037.2</v>
      </c>
      <c r="CA480">
        <v>1227.0999999999999</v>
      </c>
      <c r="CB480">
        <v>1232.0999999999999</v>
      </c>
      <c r="CC480">
        <v>1701.5</v>
      </c>
      <c r="CD480">
        <v>0</v>
      </c>
      <c r="CG480">
        <v>1385.3</v>
      </c>
      <c r="CJ480">
        <v>1630.2999999999997</v>
      </c>
      <c r="CM480">
        <v>1184.2</v>
      </c>
      <c r="CO480">
        <v>1248.0999999999999</v>
      </c>
      <c r="CQ480">
        <v>1435.3</v>
      </c>
      <c r="CR480">
        <v>798.2</v>
      </c>
      <c r="CS480">
        <v>923.8</v>
      </c>
      <c r="CT480">
        <v>0</v>
      </c>
      <c r="CU480">
        <v>0</v>
      </c>
      <c r="CV480">
        <v>0</v>
      </c>
      <c r="CW480">
        <v>0</v>
      </c>
      <c r="CX480">
        <v>163.69999999999999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I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G480" t="e">
        <v>#N/A</v>
      </c>
      <c r="FI480" t="e">
        <v>#N/A</v>
      </c>
      <c r="FK480" t="e">
        <v>#N/A</v>
      </c>
      <c r="FM480" t="e">
        <v>#N/A</v>
      </c>
      <c r="FO480" t="e">
        <v>#N/A</v>
      </c>
      <c r="FQ480" t="e">
        <v>#N/A</v>
      </c>
      <c r="FS480" t="e">
        <v>#N/A</v>
      </c>
      <c r="FU480" t="e">
        <v>#N/A</v>
      </c>
      <c r="FW480" t="e">
        <v>#N/A</v>
      </c>
      <c r="FY480" t="e">
        <v>#N/A</v>
      </c>
      <c r="GA480" t="e">
        <v>#N/A</v>
      </c>
      <c r="GC480" t="e">
        <v>#N/A</v>
      </c>
      <c r="GE480" t="e">
        <v>#N/A</v>
      </c>
      <c r="GG480" t="e">
        <v>#N/A</v>
      </c>
      <c r="GI480" t="e">
        <v>#N/A</v>
      </c>
      <c r="GK480" t="e">
        <v>#N/A</v>
      </c>
      <c r="GM480" t="e">
        <v>#N/A</v>
      </c>
      <c r="GO480" t="e">
        <v>#N/A</v>
      </c>
      <c r="GQ480" t="e">
        <v>#N/A</v>
      </c>
      <c r="GS480" t="e">
        <v>#N/A</v>
      </c>
      <c r="GU480" t="e">
        <v>#N/A</v>
      </c>
      <c r="GW480" t="e">
        <v>#N/A</v>
      </c>
      <c r="GY480" t="e">
        <v>#N/A</v>
      </c>
      <c r="HA480" t="e">
        <v>#N/A</v>
      </c>
      <c r="HC480">
        <v>0</v>
      </c>
      <c r="HD480">
        <v>0</v>
      </c>
      <c r="HE480">
        <v>0</v>
      </c>
      <c r="HF480">
        <v>0</v>
      </c>
      <c r="HG480">
        <v>0</v>
      </c>
      <c r="HH480">
        <v>0</v>
      </c>
      <c r="HI480">
        <v>0</v>
      </c>
      <c r="HJ480">
        <v>0</v>
      </c>
      <c r="HM480">
        <v>0</v>
      </c>
      <c r="HN480">
        <v>0</v>
      </c>
      <c r="HO480">
        <v>0</v>
      </c>
      <c r="HP480">
        <v>0</v>
      </c>
      <c r="HQ480">
        <v>0</v>
      </c>
      <c r="HR480">
        <v>0</v>
      </c>
      <c r="HS480">
        <v>0</v>
      </c>
      <c r="HT480">
        <v>0</v>
      </c>
      <c r="HW480">
        <v>0</v>
      </c>
      <c r="HX480">
        <v>0</v>
      </c>
      <c r="HY480">
        <v>0</v>
      </c>
      <c r="HZ480">
        <v>0</v>
      </c>
      <c r="IA480">
        <v>3930.6</v>
      </c>
      <c r="IB480">
        <v>3632.9</v>
      </c>
      <c r="IC480">
        <v>3795.5</v>
      </c>
      <c r="ID480">
        <v>0</v>
      </c>
      <c r="IE480">
        <v>0</v>
      </c>
      <c r="IF480">
        <v>3548.5</v>
      </c>
      <c r="IG480">
        <v>3395.2</v>
      </c>
      <c r="IH480">
        <v>3395.4</v>
      </c>
      <c r="II480">
        <v>3302.3</v>
      </c>
      <c r="IJ480">
        <v>3172.8</v>
      </c>
      <c r="IK480">
        <v>0</v>
      </c>
      <c r="IL480">
        <v>0</v>
      </c>
      <c r="IM480">
        <v>0</v>
      </c>
      <c r="IN480">
        <v>0</v>
      </c>
      <c r="IO480">
        <v>123.4</v>
      </c>
      <c r="IP480">
        <v>405.2</v>
      </c>
      <c r="IQ480">
        <v>418.7</v>
      </c>
      <c r="IR480">
        <v>0</v>
      </c>
      <c r="IS480">
        <v>0</v>
      </c>
      <c r="IT480">
        <v>0</v>
      </c>
      <c r="IU480">
        <v>0</v>
      </c>
      <c r="IV480">
        <v>396</v>
      </c>
      <c r="IW480">
        <v>0</v>
      </c>
      <c r="IX480">
        <v>0</v>
      </c>
      <c r="IZ480">
        <v>0</v>
      </c>
      <c r="JA480">
        <v>65.5</v>
      </c>
      <c r="JB480">
        <v>443.5</v>
      </c>
      <c r="JC480">
        <v>0</v>
      </c>
      <c r="JD480">
        <v>0</v>
      </c>
      <c r="JE480">
        <v>0</v>
      </c>
      <c r="JF480">
        <v>0</v>
      </c>
      <c r="JG480">
        <v>0</v>
      </c>
      <c r="JH480">
        <v>0</v>
      </c>
      <c r="JI480">
        <v>0</v>
      </c>
      <c r="JJ480">
        <v>0</v>
      </c>
      <c r="JK480">
        <v>0</v>
      </c>
      <c r="JL480">
        <v>0</v>
      </c>
      <c r="JM480">
        <v>0</v>
      </c>
      <c r="JN480">
        <v>0</v>
      </c>
      <c r="JO480">
        <v>0</v>
      </c>
      <c r="JP480">
        <v>0</v>
      </c>
      <c r="JQ480">
        <v>0</v>
      </c>
      <c r="JR480">
        <v>0</v>
      </c>
      <c r="JS480">
        <v>0</v>
      </c>
      <c r="JT480">
        <v>0</v>
      </c>
      <c r="JU480">
        <v>0</v>
      </c>
      <c r="JV480">
        <v>0</v>
      </c>
      <c r="JW480">
        <v>0</v>
      </c>
      <c r="JX480">
        <v>0</v>
      </c>
      <c r="JY480">
        <v>0</v>
      </c>
      <c r="JZ480">
        <v>0</v>
      </c>
      <c r="KA480">
        <v>0</v>
      </c>
      <c r="KB480">
        <v>0</v>
      </c>
      <c r="KC480">
        <v>0</v>
      </c>
      <c r="KD480">
        <v>0</v>
      </c>
      <c r="KE480">
        <v>0</v>
      </c>
      <c r="KF480">
        <v>0</v>
      </c>
      <c r="KI480">
        <v>344.6</v>
      </c>
      <c r="KJ480">
        <v>350.8</v>
      </c>
      <c r="KK480">
        <v>22.1</v>
      </c>
      <c r="KL480">
        <v>379.3</v>
      </c>
      <c r="KM480">
        <v>241.4</v>
      </c>
      <c r="KN480">
        <v>0</v>
      </c>
      <c r="KO480">
        <v>0</v>
      </c>
      <c r="KP480">
        <v>57.3</v>
      </c>
      <c r="KQ480">
        <v>224.4</v>
      </c>
      <c r="KR480">
        <v>338.3</v>
      </c>
      <c r="KS480">
        <v>215.8</v>
      </c>
      <c r="KT480">
        <v>40.700000000000003</v>
      </c>
      <c r="KW480">
        <v>2154.5</v>
      </c>
      <c r="KX480">
        <v>1255.7</v>
      </c>
      <c r="KY480">
        <v>1630.1</v>
      </c>
      <c r="KZ480">
        <v>1246.9000000000001</v>
      </c>
      <c r="LB480">
        <v>78.099999999999994</v>
      </c>
      <c r="LC480">
        <v>77.7</v>
      </c>
    </row>
    <row r="481" spans="1:315" ht="18" thickBot="1">
      <c r="A481" s="246"/>
      <c r="B481" s="246" t="s">
        <v>608</v>
      </c>
      <c r="C481" s="349" t="s">
        <v>895</v>
      </c>
      <c r="D481" s="282" t="s">
        <v>827</v>
      </c>
      <c r="E481" s="447">
        <v>0</v>
      </c>
      <c r="F481" s="193">
        <v>0</v>
      </c>
      <c r="G481" s="427">
        <v>3413.8</v>
      </c>
      <c r="H481" s="155"/>
      <c r="I481">
        <v>735</v>
      </c>
      <c r="K481">
        <v>1973.1000000000001</v>
      </c>
      <c r="L481" s="4">
        <v>221.60000000000002</v>
      </c>
      <c r="M481" s="4">
        <v>54.9</v>
      </c>
      <c r="N481" s="4">
        <v>1989.7</v>
      </c>
      <c r="P481">
        <v>0</v>
      </c>
      <c r="Q481">
        <v>238.29999999999998</v>
      </c>
      <c r="R481">
        <v>0</v>
      </c>
      <c r="S481">
        <v>0</v>
      </c>
      <c r="T481">
        <v>368.5</v>
      </c>
      <c r="W481">
        <v>720.3</v>
      </c>
      <c r="X481">
        <v>1411.5</v>
      </c>
      <c r="Y481">
        <v>96.5</v>
      </c>
      <c r="AA481">
        <v>859.6</v>
      </c>
      <c r="AB481">
        <v>1577.6000000000001</v>
      </c>
      <c r="AE481">
        <v>1330</v>
      </c>
      <c r="AF481">
        <v>1025.5</v>
      </c>
      <c r="AH481">
        <v>509.9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1349.3</v>
      </c>
      <c r="AO481">
        <v>786.40000000000009</v>
      </c>
      <c r="AP481">
        <v>0</v>
      </c>
      <c r="AQ481">
        <v>68.3</v>
      </c>
      <c r="AR481">
        <v>234.9</v>
      </c>
      <c r="AS481">
        <v>600.40000000000009</v>
      </c>
      <c r="AU481">
        <v>985.69999999999993</v>
      </c>
      <c r="AW481">
        <v>792</v>
      </c>
      <c r="AX481">
        <v>1988.5</v>
      </c>
      <c r="AZ481">
        <v>763.5</v>
      </c>
      <c r="BA481">
        <v>0</v>
      </c>
      <c r="BB481">
        <v>0</v>
      </c>
      <c r="BC481">
        <v>1935.3</v>
      </c>
      <c r="BD481">
        <v>1006.5</v>
      </c>
      <c r="BE481">
        <v>0</v>
      </c>
      <c r="BF481">
        <v>0</v>
      </c>
      <c r="BG481">
        <v>0</v>
      </c>
      <c r="BH481">
        <v>1662.6</v>
      </c>
      <c r="BJ481">
        <v>0</v>
      </c>
      <c r="BK481">
        <v>0</v>
      </c>
      <c r="BL481">
        <v>1038.9000000000001</v>
      </c>
      <c r="BM481">
        <v>1101</v>
      </c>
      <c r="BO481">
        <v>1276.8000000000002</v>
      </c>
      <c r="BQ481">
        <v>0</v>
      </c>
      <c r="BR481">
        <v>270.7</v>
      </c>
      <c r="BS481">
        <v>230.5</v>
      </c>
      <c r="BT481">
        <v>472.3</v>
      </c>
      <c r="BU481">
        <v>537.29999999999995</v>
      </c>
      <c r="BV481">
        <v>346.3</v>
      </c>
      <c r="BW481">
        <v>386.2</v>
      </c>
      <c r="BX481">
        <v>767</v>
      </c>
      <c r="BY481">
        <v>757.2</v>
      </c>
      <c r="BZ481">
        <v>1037.2</v>
      </c>
      <c r="CA481">
        <v>1227.0999999999999</v>
      </c>
      <c r="CB481">
        <v>1232.0999999999999</v>
      </c>
      <c r="CC481">
        <v>1701.5</v>
      </c>
      <c r="CD481">
        <v>0</v>
      </c>
      <c r="CG481">
        <v>1385.3</v>
      </c>
      <c r="CJ481">
        <v>1630.2999999999997</v>
      </c>
      <c r="CM481">
        <v>1184.2</v>
      </c>
      <c r="CO481">
        <v>1248.0999999999999</v>
      </c>
      <c r="CQ481">
        <v>1435.3</v>
      </c>
      <c r="CR481">
        <v>798.2</v>
      </c>
      <c r="CS481">
        <v>923.8</v>
      </c>
      <c r="CT481">
        <v>0</v>
      </c>
      <c r="CU481">
        <v>0</v>
      </c>
      <c r="CV481">
        <v>0</v>
      </c>
      <c r="CW481">
        <v>0</v>
      </c>
      <c r="CX481">
        <v>163.69999999999999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I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G481" t="e">
        <v>#N/A</v>
      </c>
      <c r="FI481" t="e">
        <v>#N/A</v>
      </c>
      <c r="FK481" t="e">
        <v>#N/A</v>
      </c>
      <c r="FM481" t="e">
        <v>#N/A</v>
      </c>
      <c r="FO481" t="e">
        <v>#N/A</v>
      </c>
      <c r="FQ481" t="e">
        <v>#N/A</v>
      </c>
      <c r="FS481" t="e">
        <v>#N/A</v>
      </c>
      <c r="FU481" t="e">
        <v>#N/A</v>
      </c>
      <c r="FW481" t="e">
        <v>#N/A</v>
      </c>
      <c r="FY481" t="e">
        <v>#N/A</v>
      </c>
      <c r="GA481" t="e">
        <v>#N/A</v>
      </c>
      <c r="GC481" t="e">
        <v>#N/A</v>
      </c>
      <c r="GE481" t="e">
        <v>#N/A</v>
      </c>
      <c r="GG481" t="e">
        <v>#N/A</v>
      </c>
      <c r="GI481" t="e">
        <v>#N/A</v>
      </c>
      <c r="GK481" t="e">
        <v>#N/A</v>
      </c>
      <c r="GM481" t="e">
        <v>#N/A</v>
      </c>
      <c r="GO481" t="e">
        <v>#N/A</v>
      </c>
      <c r="GQ481" t="e">
        <v>#N/A</v>
      </c>
      <c r="GS481" t="e">
        <v>#N/A</v>
      </c>
      <c r="GU481" t="e">
        <v>#N/A</v>
      </c>
      <c r="GW481" t="e">
        <v>#N/A</v>
      </c>
      <c r="GY481" t="e">
        <v>#N/A</v>
      </c>
      <c r="HA481" t="e">
        <v>#N/A</v>
      </c>
      <c r="HC481">
        <v>0</v>
      </c>
      <c r="HD481">
        <v>0</v>
      </c>
      <c r="HE481">
        <v>0</v>
      </c>
      <c r="HF481">
        <v>0</v>
      </c>
      <c r="HG481">
        <v>0</v>
      </c>
      <c r="HH481">
        <v>0</v>
      </c>
      <c r="HI481">
        <v>0</v>
      </c>
      <c r="HJ481">
        <v>0</v>
      </c>
      <c r="HM481">
        <v>0</v>
      </c>
      <c r="HN481">
        <v>0</v>
      </c>
      <c r="HO481">
        <v>0</v>
      </c>
      <c r="HP481">
        <v>0</v>
      </c>
      <c r="HQ481">
        <v>0</v>
      </c>
      <c r="HR481">
        <v>0</v>
      </c>
      <c r="HS481">
        <v>0</v>
      </c>
      <c r="HT481">
        <v>0</v>
      </c>
      <c r="HW481">
        <v>0</v>
      </c>
      <c r="HX481">
        <v>0</v>
      </c>
      <c r="HY481">
        <v>0</v>
      </c>
      <c r="HZ481">
        <v>0</v>
      </c>
      <c r="IA481">
        <v>3930.6</v>
      </c>
      <c r="IB481">
        <v>3632.9</v>
      </c>
      <c r="IC481">
        <v>3795.5</v>
      </c>
      <c r="ID481">
        <v>0</v>
      </c>
      <c r="IE481">
        <v>0</v>
      </c>
      <c r="IF481">
        <v>3548.5</v>
      </c>
      <c r="IG481">
        <v>3395.2</v>
      </c>
      <c r="IH481">
        <v>3395.4</v>
      </c>
      <c r="II481">
        <v>3302.3</v>
      </c>
      <c r="IJ481">
        <v>3172.8</v>
      </c>
      <c r="IK481">
        <v>0</v>
      </c>
      <c r="IL481">
        <v>0</v>
      </c>
      <c r="IM481">
        <v>0</v>
      </c>
      <c r="IN481">
        <v>0</v>
      </c>
      <c r="IO481">
        <v>123.4</v>
      </c>
      <c r="IP481">
        <v>405.2</v>
      </c>
      <c r="IQ481">
        <v>418.7</v>
      </c>
      <c r="IR481">
        <v>0</v>
      </c>
      <c r="IS481">
        <v>0</v>
      </c>
      <c r="IT481">
        <v>0</v>
      </c>
      <c r="IU481">
        <v>0</v>
      </c>
      <c r="IV481">
        <v>396</v>
      </c>
      <c r="IW481">
        <v>0</v>
      </c>
      <c r="IX481">
        <v>0</v>
      </c>
      <c r="IZ481">
        <v>0</v>
      </c>
      <c r="JA481">
        <v>65.5</v>
      </c>
      <c r="JB481">
        <v>443.5</v>
      </c>
      <c r="JC481">
        <v>0</v>
      </c>
      <c r="JD481">
        <v>0</v>
      </c>
      <c r="JE481">
        <v>0</v>
      </c>
      <c r="JF481">
        <v>0</v>
      </c>
      <c r="JG481">
        <v>0</v>
      </c>
      <c r="JH481">
        <v>0</v>
      </c>
      <c r="JI481">
        <v>0</v>
      </c>
      <c r="JJ481">
        <v>0</v>
      </c>
      <c r="JK481">
        <v>0</v>
      </c>
      <c r="JL481">
        <v>0</v>
      </c>
      <c r="JM481">
        <v>0</v>
      </c>
      <c r="JN481">
        <v>0</v>
      </c>
      <c r="JO481">
        <v>0</v>
      </c>
      <c r="JP481">
        <v>0</v>
      </c>
      <c r="JQ481">
        <v>0</v>
      </c>
      <c r="JR481">
        <v>0</v>
      </c>
      <c r="JS481">
        <v>0</v>
      </c>
      <c r="JT481">
        <v>0</v>
      </c>
      <c r="JU481">
        <v>0</v>
      </c>
      <c r="JV481">
        <v>0</v>
      </c>
      <c r="JW481">
        <v>0</v>
      </c>
      <c r="JX481">
        <v>0</v>
      </c>
      <c r="JY481">
        <v>0</v>
      </c>
      <c r="JZ481">
        <v>0</v>
      </c>
      <c r="KA481">
        <v>0</v>
      </c>
      <c r="KB481">
        <v>0</v>
      </c>
      <c r="KC481">
        <v>0</v>
      </c>
      <c r="KD481">
        <v>0</v>
      </c>
      <c r="KE481">
        <v>0</v>
      </c>
      <c r="KF481">
        <v>0</v>
      </c>
      <c r="KI481">
        <v>344.6</v>
      </c>
      <c r="KJ481">
        <v>350.8</v>
      </c>
      <c r="KK481">
        <v>22.1</v>
      </c>
      <c r="KL481">
        <v>379.3</v>
      </c>
      <c r="KM481">
        <v>241.4</v>
      </c>
      <c r="KN481">
        <v>0</v>
      </c>
      <c r="KO481">
        <v>0</v>
      </c>
      <c r="KP481">
        <v>57.3</v>
      </c>
      <c r="KQ481">
        <v>224.4</v>
      </c>
      <c r="KR481">
        <v>338.3</v>
      </c>
      <c r="KS481">
        <v>215.8</v>
      </c>
      <c r="KT481">
        <v>40.700000000000003</v>
      </c>
      <c r="KW481">
        <v>2154.5</v>
      </c>
      <c r="KX481">
        <v>1255.7</v>
      </c>
      <c r="KY481">
        <v>1630.1</v>
      </c>
      <c r="KZ481">
        <v>1246.9000000000001</v>
      </c>
      <c r="LB481">
        <v>78.099999999999994</v>
      </c>
      <c r="LC481">
        <v>77.7</v>
      </c>
    </row>
    <row r="482" spans="1:315" ht="18.600000000000001" thickTop="1" thickBot="1">
      <c r="A482" s="181"/>
      <c r="B482" s="181"/>
      <c r="C482" s="350" t="s">
        <v>890</v>
      </c>
      <c r="D482" s="298"/>
      <c r="E482" s="442">
        <v>0</v>
      </c>
      <c r="F482" s="219">
        <v>0</v>
      </c>
      <c r="G482" s="427">
        <v>3413.8</v>
      </c>
      <c r="H482" s="155"/>
      <c r="I482">
        <v>735</v>
      </c>
      <c r="K482">
        <v>1973.1000000000001</v>
      </c>
      <c r="L482" s="4">
        <v>221.60000000000002</v>
      </c>
      <c r="M482" s="4">
        <v>54.9</v>
      </c>
      <c r="N482" s="4">
        <v>1989.7</v>
      </c>
      <c r="P482">
        <v>0</v>
      </c>
      <c r="Q482">
        <v>238.29999999999998</v>
      </c>
      <c r="R482">
        <v>0</v>
      </c>
      <c r="S482">
        <v>0</v>
      </c>
      <c r="T482">
        <v>368.5</v>
      </c>
      <c r="W482">
        <v>720.3</v>
      </c>
      <c r="X482">
        <v>1411.5</v>
      </c>
      <c r="Y482">
        <v>96.5</v>
      </c>
      <c r="AA482">
        <v>859.6</v>
      </c>
      <c r="AB482">
        <v>1577.6000000000001</v>
      </c>
      <c r="AE482">
        <v>1330</v>
      </c>
      <c r="AF482">
        <v>1025.5</v>
      </c>
      <c r="AH482">
        <v>509.9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1349.3</v>
      </c>
      <c r="AO482">
        <v>786.40000000000009</v>
      </c>
      <c r="AP482">
        <v>0</v>
      </c>
      <c r="AQ482">
        <v>68.3</v>
      </c>
      <c r="AR482">
        <v>234.9</v>
      </c>
      <c r="AS482">
        <v>600.40000000000009</v>
      </c>
      <c r="AU482">
        <v>985.69999999999993</v>
      </c>
      <c r="AW482">
        <v>792</v>
      </c>
      <c r="AX482">
        <v>1988.5</v>
      </c>
      <c r="AZ482">
        <v>763.5</v>
      </c>
      <c r="BA482">
        <v>0</v>
      </c>
      <c r="BB482">
        <v>0</v>
      </c>
      <c r="BC482">
        <v>1935.3</v>
      </c>
      <c r="BD482">
        <v>1006.5</v>
      </c>
      <c r="BE482">
        <v>0</v>
      </c>
      <c r="BF482">
        <v>0</v>
      </c>
      <c r="BG482">
        <v>0</v>
      </c>
      <c r="BH482">
        <v>1662.6</v>
      </c>
      <c r="BJ482">
        <v>0</v>
      </c>
      <c r="BK482">
        <v>0</v>
      </c>
      <c r="BL482">
        <v>1038.9000000000001</v>
      </c>
      <c r="BM482">
        <v>1101</v>
      </c>
      <c r="BO482">
        <v>1276.8000000000002</v>
      </c>
      <c r="BQ482">
        <v>0</v>
      </c>
      <c r="BR482">
        <v>270.7</v>
      </c>
      <c r="BS482">
        <v>230.5</v>
      </c>
      <c r="BT482">
        <v>472.3</v>
      </c>
      <c r="BU482">
        <v>537.29999999999995</v>
      </c>
      <c r="BV482">
        <v>346.3</v>
      </c>
      <c r="BW482">
        <v>386.2</v>
      </c>
      <c r="BX482">
        <v>767</v>
      </c>
      <c r="BY482">
        <v>757.2</v>
      </c>
      <c r="BZ482">
        <v>1037.2</v>
      </c>
      <c r="CA482">
        <v>1227.0999999999999</v>
      </c>
      <c r="CB482">
        <v>1232.0999999999999</v>
      </c>
      <c r="CC482">
        <v>1701.5</v>
      </c>
      <c r="CD482">
        <v>0</v>
      </c>
      <c r="CG482">
        <v>1385.3</v>
      </c>
      <c r="CJ482">
        <v>1630.2999999999997</v>
      </c>
      <c r="CM482">
        <v>1184.2</v>
      </c>
      <c r="CO482">
        <v>1248.0999999999999</v>
      </c>
      <c r="CQ482">
        <v>1435.3</v>
      </c>
      <c r="CR482">
        <v>798.2</v>
      </c>
      <c r="CS482">
        <v>923.8</v>
      </c>
      <c r="CT482">
        <v>0</v>
      </c>
      <c r="CU482">
        <v>0</v>
      </c>
      <c r="CV482">
        <v>0</v>
      </c>
      <c r="CW482">
        <v>0</v>
      </c>
      <c r="CX482">
        <v>163.69999999999999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I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G482" t="e">
        <v>#N/A</v>
      </c>
      <c r="FI482" t="e">
        <v>#N/A</v>
      </c>
      <c r="FK482" t="e">
        <v>#N/A</v>
      </c>
      <c r="FM482" t="e">
        <v>#N/A</v>
      </c>
      <c r="FO482" t="e">
        <v>#N/A</v>
      </c>
      <c r="FQ482" t="e">
        <v>#N/A</v>
      </c>
      <c r="FS482" t="e">
        <v>#N/A</v>
      </c>
      <c r="FU482" t="e">
        <v>#N/A</v>
      </c>
      <c r="FW482" t="e">
        <v>#N/A</v>
      </c>
      <c r="FY482" t="e">
        <v>#N/A</v>
      </c>
      <c r="GA482" t="e">
        <v>#N/A</v>
      </c>
      <c r="GC482" t="e">
        <v>#N/A</v>
      </c>
      <c r="GE482" t="e">
        <v>#N/A</v>
      </c>
      <c r="GG482" t="e">
        <v>#N/A</v>
      </c>
      <c r="GI482" t="e">
        <v>#N/A</v>
      </c>
      <c r="GK482" t="e">
        <v>#N/A</v>
      </c>
      <c r="GM482" t="e">
        <v>#N/A</v>
      </c>
      <c r="GO482" t="e">
        <v>#N/A</v>
      </c>
      <c r="GQ482" t="e">
        <v>#N/A</v>
      </c>
      <c r="GS482" t="e">
        <v>#N/A</v>
      </c>
      <c r="GU482" t="e">
        <v>#N/A</v>
      </c>
      <c r="GW482" t="e">
        <v>#N/A</v>
      </c>
      <c r="GY482" t="e">
        <v>#N/A</v>
      </c>
      <c r="HA482" t="e">
        <v>#N/A</v>
      </c>
      <c r="HC482">
        <v>0</v>
      </c>
      <c r="HD482">
        <v>0</v>
      </c>
      <c r="HE482">
        <v>0</v>
      </c>
      <c r="HF482">
        <v>0</v>
      </c>
      <c r="HG482">
        <v>0</v>
      </c>
      <c r="HH482">
        <v>0</v>
      </c>
      <c r="HI482">
        <v>0</v>
      </c>
      <c r="HJ482">
        <v>0</v>
      </c>
      <c r="HM482">
        <v>0</v>
      </c>
      <c r="HN482">
        <v>0</v>
      </c>
      <c r="HO482">
        <v>0</v>
      </c>
      <c r="HP482">
        <v>0</v>
      </c>
      <c r="HQ482">
        <v>0</v>
      </c>
      <c r="HR482">
        <v>0</v>
      </c>
      <c r="HS482">
        <v>0</v>
      </c>
      <c r="HT482">
        <v>0</v>
      </c>
      <c r="HW482">
        <v>0</v>
      </c>
      <c r="HX482">
        <v>0</v>
      </c>
      <c r="HY482">
        <v>0</v>
      </c>
      <c r="HZ482">
        <v>0</v>
      </c>
      <c r="IA482">
        <v>3930.6</v>
      </c>
      <c r="IB482">
        <v>3632.9</v>
      </c>
      <c r="IC482">
        <v>3795.5</v>
      </c>
      <c r="ID482">
        <v>0</v>
      </c>
      <c r="IE482">
        <v>0</v>
      </c>
      <c r="IF482">
        <v>3548.5</v>
      </c>
      <c r="IG482">
        <v>3395.2</v>
      </c>
      <c r="IH482">
        <v>3395.4</v>
      </c>
      <c r="II482">
        <v>3302.3</v>
      </c>
      <c r="IJ482">
        <v>3172.8</v>
      </c>
      <c r="IK482">
        <v>0</v>
      </c>
      <c r="IL482">
        <v>0</v>
      </c>
      <c r="IM482">
        <v>0</v>
      </c>
      <c r="IN482">
        <v>0</v>
      </c>
      <c r="IO482">
        <v>123.4</v>
      </c>
      <c r="IP482">
        <v>405.2</v>
      </c>
      <c r="IQ482">
        <v>418.7</v>
      </c>
      <c r="IR482">
        <v>0</v>
      </c>
      <c r="IS482">
        <v>0</v>
      </c>
      <c r="IT482">
        <v>0</v>
      </c>
      <c r="IU482">
        <v>0</v>
      </c>
      <c r="IV482">
        <v>396</v>
      </c>
      <c r="IW482">
        <v>0</v>
      </c>
      <c r="IX482">
        <v>0</v>
      </c>
      <c r="IZ482">
        <v>0</v>
      </c>
      <c r="JA482">
        <v>65.5</v>
      </c>
      <c r="JB482">
        <v>443.5</v>
      </c>
      <c r="JC482">
        <v>0</v>
      </c>
      <c r="JD482">
        <v>0</v>
      </c>
      <c r="JE482">
        <v>0</v>
      </c>
      <c r="JF482">
        <v>0</v>
      </c>
      <c r="JG482">
        <v>0</v>
      </c>
      <c r="JH482">
        <v>0</v>
      </c>
      <c r="JI482">
        <v>0</v>
      </c>
      <c r="JJ482">
        <v>0</v>
      </c>
      <c r="JK482">
        <v>0</v>
      </c>
      <c r="JL482">
        <v>0</v>
      </c>
      <c r="JM482">
        <v>0</v>
      </c>
      <c r="JN482">
        <v>0</v>
      </c>
      <c r="JO482">
        <v>0</v>
      </c>
      <c r="JP482">
        <v>0</v>
      </c>
      <c r="JQ482">
        <v>0</v>
      </c>
      <c r="JR482">
        <v>0</v>
      </c>
      <c r="JS482">
        <v>0</v>
      </c>
      <c r="JT482">
        <v>0</v>
      </c>
      <c r="JU482">
        <v>0</v>
      </c>
      <c r="JV482">
        <v>0</v>
      </c>
      <c r="JW482">
        <v>0</v>
      </c>
      <c r="JX482">
        <v>0</v>
      </c>
      <c r="JY482">
        <v>0</v>
      </c>
      <c r="JZ482">
        <v>0</v>
      </c>
      <c r="KA482">
        <v>0</v>
      </c>
      <c r="KB482">
        <v>0</v>
      </c>
      <c r="KC482">
        <v>0</v>
      </c>
      <c r="KD482">
        <v>0</v>
      </c>
      <c r="KE482">
        <v>0</v>
      </c>
      <c r="KF482">
        <v>0</v>
      </c>
      <c r="KI482">
        <v>344.6</v>
      </c>
      <c r="KJ482">
        <v>350.8</v>
      </c>
      <c r="KK482">
        <v>22.1</v>
      </c>
      <c r="KL482">
        <v>379.3</v>
      </c>
      <c r="KM482">
        <v>241.4</v>
      </c>
      <c r="KN482">
        <v>0</v>
      </c>
      <c r="KO482">
        <v>0</v>
      </c>
      <c r="KP482">
        <v>57.3</v>
      </c>
      <c r="KQ482">
        <v>224.4</v>
      </c>
      <c r="KR482">
        <v>338.3</v>
      </c>
      <c r="KS482">
        <v>215.8</v>
      </c>
      <c r="KT482">
        <v>40.700000000000003</v>
      </c>
      <c r="KW482">
        <v>2154.5</v>
      </c>
      <c r="KX482">
        <v>1255.7</v>
      </c>
      <c r="KY482">
        <v>1630.1</v>
      </c>
      <c r="KZ482">
        <v>1246.9000000000001</v>
      </c>
      <c r="LB482">
        <v>78.099999999999994</v>
      </c>
      <c r="LC482">
        <v>77.7</v>
      </c>
    </row>
    <row r="483" spans="1:315" ht="18" thickBot="1">
      <c r="A483" s="183"/>
      <c r="B483" s="183"/>
      <c r="C483" s="230" t="s">
        <v>896</v>
      </c>
      <c r="D483" s="281"/>
      <c r="E483" s="443">
        <v>0</v>
      </c>
      <c r="F483" s="220">
        <v>0</v>
      </c>
      <c r="G483" s="427">
        <v>3413.8</v>
      </c>
      <c r="H483" s="155"/>
      <c r="I483">
        <v>735</v>
      </c>
      <c r="K483">
        <v>1973.1000000000001</v>
      </c>
      <c r="L483" s="4">
        <v>221.60000000000002</v>
      </c>
      <c r="M483" s="4">
        <v>54.9</v>
      </c>
      <c r="N483" s="4">
        <v>1989.7</v>
      </c>
      <c r="P483">
        <v>0</v>
      </c>
      <c r="Q483">
        <v>238.29999999999998</v>
      </c>
      <c r="R483">
        <v>0</v>
      </c>
      <c r="S483">
        <v>0</v>
      </c>
      <c r="T483">
        <v>368.5</v>
      </c>
      <c r="W483">
        <v>720.3</v>
      </c>
      <c r="X483">
        <v>1411.5</v>
      </c>
      <c r="Y483">
        <v>96.5</v>
      </c>
      <c r="AA483">
        <v>859.6</v>
      </c>
      <c r="AB483">
        <v>1577.6000000000001</v>
      </c>
      <c r="AE483">
        <v>1330</v>
      </c>
      <c r="AF483">
        <v>1025.5</v>
      </c>
      <c r="AH483">
        <v>509.9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1349.3</v>
      </c>
      <c r="AO483">
        <v>786.40000000000009</v>
      </c>
      <c r="AP483">
        <v>0</v>
      </c>
      <c r="AQ483">
        <v>68.3</v>
      </c>
      <c r="AR483">
        <v>234.9</v>
      </c>
      <c r="AS483">
        <v>600.40000000000009</v>
      </c>
      <c r="AU483">
        <v>985.69999999999993</v>
      </c>
      <c r="AW483">
        <v>792</v>
      </c>
      <c r="AX483">
        <v>1988.5</v>
      </c>
      <c r="AZ483">
        <v>763.5</v>
      </c>
      <c r="BA483">
        <v>0</v>
      </c>
      <c r="BB483">
        <v>0</v>
      </c>
      <c r="BC483">
        <v>1935.3</v>
      </c>
      <c r="BD483">
        <v>1006.5</v>
      </c>
      <c r="BE483">
        <v>0</v>
      </c>
      <c r="BF483">
        <v>0</v>
      </c>
      <c r="BG483">
        <v>0</v>
      </c>
      <c r="BH483">
        <v>1662.6</v>
      </c>
      <c r="BJ483">
        <v>0</v>
      </c>
      <c r="BK483">
        <v>0</v>
      </c>
      <c r="BL483">
        <v>1038.9000000000001</v>
      </c>
      <c r="BM483">
        <v>1101</v>
      </c>
      <c r="BO483">
        <v>1276.8000000000002</v>
      </c>
      <c r="BQ483">
        <v>0</v>
      </c>
      <c r="BR483">
        <v>270.7</v>
      </c>
      <c r="BS483">
        <v>230.5</v>
      </c>
      <c r="BT483">
        <v>472.3</v>
      </c>
      <c r="BU483">
        <v>537.29999999999995</v>
      </c>
      <c r="BV483">
        <v>346.3</v>
      </c>
      <c r="BW483">
        <v>386.2</v>
      </c>
      <c r="BX483">
        <v>767</v>
      </c>
      <c r="BY483">
        <v>757.2</v>
      </c>
      <c r="BZ483">
        <v>1037.2</v>
      </c>
      <c r="CA483">
        <v>1227.0999999999999</v>
      </c>
      <c r="CB483">
        <v>1232.0999999999999</v>
      </c>
      <c r="CC483">
        <v>1701.5</v>
      </c>
      <c r="CD483">
        <v>0</v>
      </c>
      <c r="CG483">
        <v>1385.3</v>
      </c>
      <c r="CJ483">
        <v>1630.2999999999997</v>
      </c>
      <c r="CM483">
        <v>1184.2</v>
      </c>
      <c r="CO483">
        <v>1248.0999999999999</v>
      </c>
      <c r="CQ483">
        <v>1435.3</v>
      </c>
      <c r="CR483">
        <v>798.2</v>
      </c>
      <c r="CS483">
        <v>923.8</v>
      </c>
      <c r="CT483">
        <v>0</v>
      </c>
      <c r="CU483">
        <v>0</v>
      </c>
      <c r="CV483">
        <v>0</v>
      </c>
      <c r="CW483">
        <v>0</v>
      </c>
      <c r="CX483">
        <v>163.69999999999999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I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G483" t="e">
        <v>#N/A</v>
      </c>
      <c r="FI483" t="e">
        <v>#N/A</v>
      </c>
      <c r="FK483" t="e">
        <v>#N/A</v>
      </c>
      <c r="FM483" t="e">
        <v>#N/A</v>
      </c>
      <c r="FO483" t="e">
        <v>#N/A</v>
      </c>
      <c r="FQ483" t="e">
        <v>#N/A</v>
      </c>
      <c r="FS483" t="e">
        <v>#N/A</v>
      </c>
      <c r="FU483" t="e">
        <v>#N/A</v>
      </c>
      <c r="FW483" t="e">
        <v>#N/A</v>
      </c>
      <c r="FY483" t="e">
        <v>#N/A</v>
      </c>
      <c r="GA483" t="e">
        <v>#N/A</v>
      </c>
      <c r="GC483" t="e">
        <v>#N/A</v>
      </c>
      <c r="GE483" t="e">
        <v>#N/A</v>
      </c>
      <c r="GG483" t="e">
        <v>#N/A</v>
      </c>
      <c r="GI483" t="e">
        <v>#N/A</v>
      </c>
      <c r="GK483" t="e">
        <v>#N/A</v>
      </c>
      <c r="GM483" t="e">
        <v>#N/A</v>
      </c>
      <c r="GO483" t="e">
        <v>#N/A</v>
      </c>
      <c r="GQ483" t="e">
        <v>#N/A</v>
      </c>
      <c r="GS483" t="e">
        <v>#N/A</v>
      </c>
      <c r="GU483" t="e">
        <v>#N/A</v>
      </c>
      <c r="GW483" t="e">
        <v>#N/A</v>
      </c>
      <c r="GY483" t="e">
        <v>#N/A</v>
      </c>
      <c r="HA483" t="e">
        <v>#N/A</v>
      </c>
      <c r="HC483">
        <v>0</v>
      </c>
      <c r="HD483">
        <v>0</v>
      </c>
      <c r="HE483">
        <v>0</v>
      </c>
      <c r="HF483">
        <v>0</v>
      </c>
      <c r="HG483">
        <v>0</v>
      </c>
      <c r="HH483">
        <v>0</v>
      </c>
      <c r="HI483">
        <v>0</v>
      </c>
      <c r="HJ483">
        <v>0</v>
      </c>
      <c r="HM483">
        <v>0</v>
      </c>
      <c r="HN483">
        <v>0</v>
      </c>
      <c r="HO483">
        <v>0</v>
      </c>
      <c r="HP483">
        <v>0</v>
      </c>
      <c r="HQ483">
        <v>0</v>
      </c>
      <c r="HR483">
        <v>0</v>
      </c>
      <c r="HS483">
        <v>0</v>
      </c>
      <c r="HT483">
        <v>0</v>
      </c>
      <c r="HW483">
        <v>0</v>
      </c>
      <c r="HX483">
        <v>0</v>
      </c>
      <c r="HY483">
        <v>0</v>
      </c>
      <c r="HZ483">
        <v>0</v>
      </c>
      <c r="IA483">
        <v>3930.6</v>
      </c>
      <c r="IB483">
        <v>3632.9</v>
      </c>
      <c r="IC483">
        <v>3795.5</v>
      </c>
      <c r="ID483">
        <v>0</v>
      </c>
      <c r="IE483">
        <v>0</v>
      </c>
      <c r="IF483">
        <v>3548.5</v>
      </c>
      <c r="IG483">
        <v>3395.2</v>
      </c>
      <c r="IH483">
        <v>3395.4</v>
      </c>
      <c r="II483">
        <v>3302.3</v>
      </c>
      <c r="IJ483">
        <v>3172.8</v>
      </c>
      <c r="IK483">
        <v>0</v>
      </c>
      <c r="IL483">
        <v>0</v>
      </c>
      <c r="IM483">
        <v>0</v>
      </c>
      <c r="IN483">
        <v>0</v>
      </c>
      <c r="IO483">
        <v>123.4</v>
      </c>
      <c r="IP483">
        <v>405.2</v>
      </c>
      <c r="IQ483">
        <v>418.7</v>
      </c>
      <c r="IR483">
        <v>0</v>
      </c>
      <c r="IS483">
        <v>0</v>
      </c>
      <c r="IT483">
        <v>0</v>
      </c>
      <c r="IU483">
        <v>0</v>
      </c>
      <c r="IV483">
        <v>396</v>
      </c>
      <c r="IW483">
        <v>0</v>
      </c>
      <c r="IX483">
        <v>0</v>
      </c>
      <c r="IZ483">
        <v>0</v>
      </c>
      <c r="JA483">
        <v>65.5</v>
      </c>
      <c r="JB483">
        <v>443.5</v>
      </c>
      <c r="JC483">
        <v>0</v>
      </c>
      <c r="JD483">
        <v>0</v>
      </c>
      <c r="JE483">
        <v>0</v>
      </c>
      <c r="JF483">
        <v>0</v>
      </c>
      <c r="JG483">
        <v>0</v>
      </c>
      <c r="JH483">
        <v>0</v>
      </c>
      <c r="JI483">
        <v>0</v>
      </c>
      <c r="JJ483">
        <v>0</v>
      </c>
      <c r="JK483">
        <v>0</v>
      </c>
      <c r="JL483">
        <v>0</v>
      </c>
      <c r="JM483">
        <v>0</v>
      </c>
      <c r="JN483">
        <v>0</v>
      </c>
      <c r="JO483">
        <v>0</v>
      </c>
      <c r="JP483">
        <v>0</v>
      </c>
      <c r="JQ483">
        <v>0</v>
      </c>
      <c r="JR483">
        <v>0</v>
      </c>
      <c r="JS483">
        <v>0</v>
      </c>
      <c r="JT483">
        <v>0</v>
      </c>
      <c r="JU483">
        <v>0</v>
      </c>
      <c r="JV483">
        <v>0</v>
      </c>
      <c r="JW483">
        <v>0</v>
      </c>
      <c r="JX483">
        <v>0</v>
      </c>
      <c r="JY483">
        <v>0</v>
      </c>
      <c r="JZ483">
        <v>0</v>
      </c>
      <c r="KA483">
        <v>0</v>
      </c>
      <c r="KB483">
        <v>0</v>
      </c>
      <c r="KC483">
        <v>0</v>
      </c>
      <c r="KD483">
        <v>0</v>
      </c>
      <c r="KE483">
        <v>0</v>
      </c>
      <c r="KF483">
        <v>0</v>
      </c>
      <c r="KI483">
        <v>344.6</v>
      </c>
      <c r="KJ483">
        <v>350.8</v>
      </c>
      <c r="KK483">
        <v>22.1</v>
      </c>
      <c r="KL483">
        <v>379.3</v>
      </c>
      <c r="KM483">
        <v>241.4</v>
      </c>
      <c r="KN483">
        <v>0</v>
      </c>
      <c r="KO483">
        <v>0</v>
      </c>
      <c r="KP483">
        <v>57.3</v>
      </c>
      <c r="KQ483">
        <v>224.4</v>
      </c>
      <c r="KR483">
        <v>338.3</v>
      </c>
      <c r="KS483">
        <v>215.8</v>
      </c>
      <c r="KT483">
        <v>40.700000000000003</v>
      </c>
      <c r="KW483">
        <v>2154.5</v>
      </c>
      <c r="KX483">
        <v>1255.7</v>
      </c>
      <c r="KY483">
        <v>1630.1</v>
      </c>
      <c r="KZ483">
        <v>1246.9000000000001</v>
      </c>
      <c r="LB483">
        <v>78.099999999999994</v>
      </c>
      <c r="LC483">
        <v>77.7</v>
      </c>
    </row>
    <row r="484" spans="1:315" ht="18" thickBot="1">
      <c r="A484" s="245"/>
      <c r="B484" s="245" t="s">
        <v>501</v>
      </c>
      <c r="C484" s="281" t="s">
        <v>897</v>
      </c>
      <c r="D484" s="281" t="s">
        <v>827</v>
      </c>
      <c r="E484" s="443">
        <v>0</v>
      </c>
      <c r="F484" s="191">
        <v>0</v>
      </c>
      <c r="G484" s="427">
        <v>3413.8</v>
      </c>
      <c r="H484" s="155"/>
      <c r="I484">
        <v>735</v>
      </c>
      <c r="K484">
        <v>1973.1000000000001</v>
      </c>
      <c r="L484" s="4">
        <v>221.60000000000002</v>
      </c>
      <c r="M484" s="4">
        <v>54.9</v>
      </c>
      <c r="N484" s="4">
        <v>1989.7</v>
      </c>
      <c r="P484">
        <v>0</v>
      </c>
      <c r="Q484">
        <v>238.29999999999998</v>
      </c>
      <c r="R484">
        <v>0</v>
      </c>
      <c r="S484">
        <v>0</v>
      </c>
      <c r="T484">
        <v>368.5</v>
      </c>
      <c r="W484">
        <v>720.3</v>
      </c>
      <c r="X484">
        <v>1411.5</v>
      </c>
      <c r="Y484">
        <v>96.5</v>
      </c>
      <c r="AA484">
        <v>859.6</v>
      </c>
      <c r="AB484">
        <v>1577.6000000000001</v>
      </c>
      <c r="AE484">
        <v>1330</v>
      </c>
      <c r="AF484">
        <v>1025.5</v>
      </c>
      <c r="AH484">
        <v>509.9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1349.3</v>
      </c>
      <c r="AO484">
        <v>786.40000000000009</v>
      </c>
      <c r="AP484">
        <v>0</v>
      </c>
      <c r="AQ484">
        <v>68.3</v>
      </c>
      <c r="AR484">
        <v>234.9</v>
      </c>
      <c r="AS484">
        <v>600.40000000000009</v>
      </c>
      <c r="AU484">
        <v>985.69999999999993</v>
      </c>
      <c r="AW484">
        <v>792</v>
      </c>
      <c r="AX484">
        <v>1988.5</v>
      </c>
      <c r="AZ484">
        <v>763.5</v>
      </c>
      <c r="BA484">
        <v>0</v>
      </c>
      <c r="BB484">
        <v>0</v>
      </c>
      <c r="BC484">
        <v>1935.3</v>
      </c>
      <c r="BD484">
        <v>1006.5</v>
      </c>
      <c r="BE484">
        <v>0</v>
      </c>
      <c r="BF484">
        <v>0</v>
      </c>
      <c r="BG484">
        <v>0</v>
      </c>
      <c r="BH484">
        <v>1662.6</v>
      </c>
      <c r="BJ484">
        <v>0</v>
      </c>
      <c r="BK484">
        <v>0</v>
      </c>
      <c r="BL484">
        <v>1038.9000000000001</v>
      </c>
      <c r="BM484">
        <v>1101</v>
      </c>
      <c r="BO484">
        <v>1276.8000000000002</v>
      </c>
      <c r="BQ484">
        <v>0</v>
      </c>
      <c r="BR484">
        <v>270.7</v>
      </c>
      <c r="BS484">
        <v>230.5</v>
      </c>
      <c r="BT484">
        <v>472.3</v>
      </c>
      <c r="BU484">
        <v>537.29999999999995</v>
      </c>
      <c r="BV484">
        <v>346.3</v>
      </c>
      <c r="BW484">
        <v>386.2</v>
      </c>
      <c r="BX484">
        <v>767</v>
      </c>
      <c r="BY484">
        <v>757.2</v>
      </c>
      <c r="BZ484">
        <v>1037.2</v>
      </c>
      <c r="CA484">
        <v>1227.0999999999999</v>
      </c>
      <c r="CB484">
        <v>1232.0999999999999</v>
      </c>
      <c r="CC484">
        <v>1701.5</v>
      </c>
      <c r="CD484">
        <v>0</v>
      </c>
      <c r="CG484">
        <v>1385.3</v>
      </c>
      <c r="CJ484">
        <v>1630.2999999999997</v>
      </c>
      <c r="CM484">
        <v>1184.2</v>
      </c>
      <c r="CO484">
        <v>1248.0999999999999</v>
      </c>
      <c r="CQ484">
        <v>1435.3</v>
      </c>
      <c r="CR484">
        <v>798.2</v>
      </c>
      <c r="CS484">
        <v>923.8</v>
      </c>
      <c r="CT484">
        <v>0</v>
      </c>
      <c r="CU484">
        <v>0</v>
      </c>
      <c r="CV484">
        <v>0</v>
      </c>
      <c r="CW484">
        <v>0</v>
      </c>
      <c r="CX484">
        <v>163.69999999999999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I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G484" t="e">
        <v>#N/A</v>
      </c>
      <c r="FI484" t="e">
        <v>#N/A</v>
      </c>
      <c r="FK484" t="e">
        <v>#N/A</v>
      </c>
      <c r="FM484" t="e">
        <v>#N/A</v>
      </c>
      <c r="FO484" t="e">
        <v>#N/A</v>
      </c>
      <c r="FQ484" t="e">
        <v>#N/A</v>
      </c>
      <c r="FS484" t="e">
        <v>#N/A</v>
      </c>
      <c r="FU484" t="e">
        <v>#N/A</v>
      </c>
      <c r="FW484" t="e">
        <v>#N/A</v>
      </c>
      <c r="FY484" t="e">
        <v>#N/A</v>
      </c>
      <c r="GA484" t="e">
        <v>#N/A</v>
      </c>
      <c r="GC484" t="e">
        <v>#N/A</v>
      </c>
      <c r="GE484" t="e">
        <v>#N/A</v>
      </c>
      <c r="GG484" t="e">
        <v>#N/A</v>
      </c>
      <c r="GI484" t="e">
        <v>#N/A</v>
      </c>
      <c r="GK484" t="e">
        <v>#N/A</v>
      </c>
      <c r="GM484" t="e">
        <v>#N/A</v>
      </c>
      <c r="GO484" t="e">
        <v>#N/A</v>
      </c>
      <c r="GQ484" t="e">
        <v>#N/A</v>
      </c>
      <c r="GS484" t="e">
        <v>#N/A</v>
      </c>
      <c r="GU484" t="e">
        <v>#N/A</v>
      </c>
      <c r="GW484" t="e">
        <v>#N/A</v>
      </c>
      <c r="GY484" t="e">
        <v>#N/A</v>
      </c>
      <c r="HA484" t="e">
        <v>#N/A</v>
      </c>
      <c r="HC484">
        <v>0</v>
      </c>
      <c r="HD484">
        <v>0</v>
      </c>
      <c r="HE484">
        <v>0</v>
      </c>
      <c r="HF484">
        <v>0</v>
      </c>
      <c r="HG484">
        <v>0</v>
      </c>
      <c r="HH484">
        <v>0</v>
      </c>
      <c r="HI484">
        <v>0</v>
      </c>
      <c r="HJ484">
        <v>0</v>
      </c>
      <c r="HM484">
        <v>0</v>
      </c>
      <c r="HN484">
        <v>0</v>
      </c>
      <c r="HO484">
        <v>0</v>
      </c>
      <c r="HP484">
        <v>0</v>
      </c>
      <c r="HQ484">
        <v>0</v>
      </c>
      <c r="HR484">
        <v>0</v>
      </c>
      <c r="HS484">
        <v>0</v>
      </c>
      <c r="HT484">
        <v>0</v>
      </c>
      <c r="HW484">
        <v>0</v>
      </c>
      <c r="HX484">
        <v>0</v>
      </c>
      <c r="HY484">
        <v>0</v>
      </c>
      <c r="HZ484">
        <v>0</v>
      </c>
      <c r="IA484">
        <v>3930.6</v>
      </c>
      <c r="IB484">
        <v>3632.9</v>
      </c>
      <c r="IC484">
        <v>3795.5</v>
      </c>
      <c r="ID484">
        <v>0</v>
      </c>
      <c r="IE484">
        <v>0</v>
      </c>
      <c r="IF484">
        <v>3548.5</v>
      </c>
      <c r="IG484">
        <v>3395.2</v>
      </c>
      <c r="IH484">
        <v>3395.4</v>
      </c>
      <c r="II484">
        <v>3302.3</v>
      </c>
      <c r="IJ484">
        <v>3172.8</v>
      </c>
      <c r="IK484">
        <v>0</v>
      </c>
      <c r="IL484">
        <v>0</v>
      </c>
      <c r="IM484">
        <v>0</v>
      </c>
      <c r="IN484">
        <v>0</v>
      </c>
      <c r="IO484">
        <v>123.4</v>
      </c>
      <c r="IP484">
        <v>405.2</v>
      </c>
      <c r="IQ484">
        <v>418.7</v>
      </c>
      <c r="IR484">
        <v>0</v>
      </c>
      <c r="IS484">
        <v>0</v>
      </c>
      <c r="IT484">
        <v>0</v>
      </c>
      <c r="IU484">
        <v>0</v>
      </c>
      <c r="IV484">
        <v>396</v>
      </c>
      <c r="IW484">
        <v>0</v>
      </c>
      <c r="IX484">
        <v>0</v>
      </c>
      <c r="IZ484">
        <v>0</v>
      </c>
      <c r="JA484">
        <v>65.5</v>
      </c>
      <c r="JB484">
        <v>443.5</v>
      </c>
      <c r="JC484">
        <v>0</v>
      </c>
      <c r="JD484">
        <v>0</v>
      </c>
      <c r="JE484">
        <v>0</v>
      </c>
      <c r="JF484">
        <v>0</v>
      </c>
      <c r="JG484">
        <v>0</v>
      </c>
      <c r="JH484">
        <v>0</v>
      </c>
      <c r="JI484">
        <v>0</v>
      </c>
      <c r="JJ484">
        <v>0</v>
      </c>
      <c r="JK484">
        <v>0</v>
      </c>
      <c r="JL484">
        <v>0</v>
      </c>
      <c r="JM484">
        <v>0</v>
      </c>
      <c r="JN484">
        <v>0</v>
      </c>
      <c r="JO484">
        <v>0</v>
      </c>
      <c r="JP484">
        <v>0</v>
      </c>
      <c r="JQ484">
        <v>0</v>
      </c>
      <c r="JR484">
        <v>0</v>
      </c>
      <c r="JS484">
        <v>0</v>
      </c>
      <c r="JT484">
        <v>0</v>
      </c>
      <c r="JU484">
        <v>0</v>
      </c>
      <c r="JV484">
        <v>0</v>
      </c>
      <c r="JW484">
        <v>0</v>
      </c>
      <c r="JX484">
        <v>0</v>
      </c>
      <c r="JY484">
        <v>0</v>
      </c>
      <c r="JZ484">
        <v>0</v>
      </c>
      <c r="KA484">
        <v>0</v>
      </c>
      <c r="KB484">
        <v>0</v>
      </c>
      <c r="KC484">
        <v>0</v>
      </c>
      <c r="KD484">
        <v>0</v>
      </c>
      <c r="KE484">
        <v>0</v>
      </c>
      <c r="KF484">
        <v>0</v>
      </c>
      <c r="KI484">
        <v>344.6</v>
      </c>
      <c r="KJ484">
        <v>350.8</v>
      </c>
      <c r="KK484">
        <v>22.1</v>
      </c>
      <c r="KL484">
        <v>379.3</v>
      </c>
      <c r="KM484">
        <v>241.4</v>
      </c>
      <c r="KN484">
        <v>0</v>
      </c>
      <c r="KO484">
        <v>0</v>
      </c>
      <c r="KP484">
        <v>57.3</v>
      </c>
      <c r="KQ484">
        <v>224.4</v>
      </c>
      <c r="KR484">
        <v>338.3</v>
      </c>
      <c r="KS484">
        <v>215.8</v>
      </c>
      <c r="KT484">
        <v>40.700000000000003</v>
      </c>
      <c r="KW484">
        <v>2154.5</v>
      </c>
      <c r="KX484">
        <v>1255.7</v>
      </c>
      <c r="KY484">
        <v>1630.1</v>
      </c>
      <c r="KZ484">
        <v>1246.9000000000001</v>
      </c>
      <c r="LB484">
        <v>78.099999999999994</v>
      </c>
      <c r="LC484">
        <v>77.7</v>
      </c>
    </row>
    <row r="485" spans="1:315" ht="18" thickBot="1">
      <c r="A485" s="245"/>
      <c r="B485" s="245" t="s">
        <v>609</v>
      </c>
      <c r="C485" s="272" t="s">
        <v>898</v>
      </c>
      <c r="D485" s="281" t="s">
        <v>827</v>
      </c>
      <c r="E485" s="443">
        <v>0</v>
      </c>
      <c r="F485" s="191">
        <v>0</v>
      </c>
      <c r="G485" s="427">
        <v>3413.8</v>
      </c>
      <c r="H485" s="155"/>
      <c r="I485">
        <v>735</v>
      </c>
      <c r="K485">
        <v>1973.1000000000001</v>
      </c>
      <c r="L485" s="4">
        <v>221.60000000000002</v>
      </c>
      <c r="M485" s="4">
        <v>54.9</v>
      </c>
      <c r="N485" s="4">
        <v>1989.7</v>
      </c>
      <c r="P485">
        <v>0</v>
      </c>
      <c r="Q485">
        <v>238.29999999999998</v>
      </c>
      <c r="R485">
        <v>0</v>
      </c>
      <c r="S485">
        <v>0</v>
      </c>
      <c r="T485">
        <v>368.5</v>
      </c>
      <c r="W485">
        <v>720.3</v>
      </c>
      <c r="X485">
        <v>1411.5</v>
      </c>
      <c r="Y485">
        <v>96.5</v>
      </c>
      <c r="AA485">
        <v>859.6</v>
      </c>
      <c r="AB485">
        <v>1577.6000000000001</v>
      </c>
      <c r="AE485">
        <v>1330</v>
      </c>
      <c r="AF485">
        <v>1025.5</v>
      </c>
      <c r="AH485">
        <v>509.9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1349.3</v>
      </c>
      <c r="AO485">
        <v>786.40000000000009</v>
      </c>
      <c r="AP485">
        <v>0</v>
      </c>
      <c r="AQ485">
        <v>68.3</v>
      </c>
      <c r="AR485">
        <v>234.9</v>
      </c>
      <c r="AS485">
        <v>600.40000000000009</v>
      </c>
      <c r="AU485">
        <v>985.69999999999993</v>
      </c>
      <c r="AW485">
        <v>792</v>
      </c>
      <c r="AX485">
        <v>1988.5</v>
      </c>
      <c r="AZ485">
        <v>763.5</v>
      </c>
      <c r="BA485">
        <v>0</v>
      </c>
      <c r="BB485">
        <v>0</v>
      </c>
      <c r="BC485">
        <v>1935.3</v>
      </c>
      <c r="BD485">
        <v>1006.5</v>
      </c>
      <c r="BE485">
        <v>0</v>
      </c>
      <c r="BF485">
        <v>0</v>
      </c>
      <c r="BG485">
        <v>0</v>
      </c>
      <c r="BH485">
        <v>1662.6</v>
      </c>
      <c r="BJ485">
        <v>0</v>
      </c>
      <c r="BK485">
        <v>0</v>
      </c>
      <c r="BL485">
        <v>1038.9000000000001</v>
      </c>
      <c r="BM485">
        <v>1101</v>
      </c>
      <c r="BO485">
        <v>1276.8000000000002</v>
      </c>
      <c r="BQ485">
        <v>0</v>
      </c>
      <c r="BR485">
        <v>270.7</v>
      </c>
      <c r="BS485">
        <v>230.5</v>
      </c>
      <c r="BT485">
        <v>472.3</v>
      </c>
      <c r="BU485">
        <v>537.29999999999995</v>
      </c>
      <c r="BV485">
        <v>346.3</v>
      </c>
      <c r="BW485">
        <v>386.2</v>
      </c>
      <c r="BX485">
        <v>767</v>
      </c>
      <c r="BY485">
        <v>757.2</v>
      </c>
      <c r="BZ485">
        <v>1037.2</v>
      </c>
      <c r="CA485">
        <v>1227.0999999999999</v>
      </c>
      <c r="CB485">
        <v>1232.0999999999999</v>
      </c>
      <c r="CC485">
        <v>1701.5</v>
      </c>
      <c r="CD485">
        <v>0</v>
      </c>
      <c r="CG485">
        <v>1385.3</v>
      </c>
      <c r="CJ485">
        <v>1630.2999999999997</v>
      </c>
      <c r="CM485">
        <v>1184.2</v>
      </c>
      <c r="CO485">
        <v>1248.0999999999999</v>
      </c>
      <c r="CQ485">
        <v>1435.3</v>
      </c>
      <c r="CR485">
        <v>798.2</v>
      </c>
      <c r="CS485">
        <v>923.8</v>
      </c>
      <c r="CT485">
        <v>0</v>
      </c>
      <c r="CU485">
        <v>0</v>
      </c>
      <c r="CV485">
        <v>0</v>
      </c>
      <c r="CW485">
        <v>0</v>
      </c>
      <c r="CX485">
        <v>163.69999999999999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I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G485" t="e">
        <v>#N/A</v>
      </c>
      <c r="FI485" t="e">
        <v>#N/A</v>
      </c>
      <c r="FK485" t="e">
        <v>#N/A</v>
      </c>
      <c r="FM485" t="e">
        <v>#N/A</v>
      </c>
      <c r="FO485" t="e">
        <v>#N/A</v>
      </c>
      <c r="FQ485" t="e">
        <v>#N/A</v>
      </c>
      <c r="FS485" t="e">
        <v>#N/A</v>
      </c>
      <c r="FU485" t="e">
        <v>#N/A</v>
      </c>
      <c r="FW485" t="e">
        <v>#N/A</v>
      </c>
      <c r="FY485" t="e">
        <v>#N/A</v>
      </c>
      <c r="GA485" t="e">
        <v>#N/A</v>
      </c>
      <c r="GC485" t="e">
        <v>#N/A</v>
      </c>
      <c r="GE485" t="e">
        <v>#N/A</v>
      </c>
      <c r="GG485" t="e">
        <v>#N/A</v>
      </c>
      <c r="GI485" t="e">
        <v>#N/A</v>
      </c>
      <c r="GK485" t="e">
        <v>#N/A</v>
      </c>
      <c r="GM485" t="e">
        <v>#N/A</v>
      </c>
      <c r="GO485" t="e">
        <v>#N/A</v>
      </c>
      <c r="GQ485" t="e">
        <v>#N/A</v>
      </c>
      <c r="GS485" t="e">
        <v>#N/A</v>
      </c>
      <c r="GU485" t="e">
        <v>#N/A</v>
      </c>
      <c r="GW485" t="e">
        <v>#N/A</v>
      </c>
      <c r="GY485" t="e">
        <v>#N/A</v>
      </c>
      <c r="HA485" t="e">
        <v>#N/A</v>
      </c>
      <c r="HC485">
        <v>0</v>
      </c>
      <c r="HD485">
        <v>0</v>
      </c>
      <c r="HE485">
        <v>0</v>
      </c>
      <c r="HF485">
        <v>0</v>
      </c>
      <c r="HG485">
        <v>0</v>
      </c>
      <c r="HH485">
        <v>0</v>
      </c>
      <c r="HI485">
        <v>0</v>
      </c>
      <c r="HJ485">
        <v>0</v>
      </c>
      <c r="HM485">
        <v>0</v>
      </c>
      <c r="HN485">
        <v>0</v>
      </c>
      <c r="HO485">
        <v>0</v>
      </c>
      <c r="HP485">
        <v>0</v>
      </c>
      <c r="HQ485">
        <v>0</v>
      </c>
      <c r="HR485">
        <v>0</v>
      </c>
      <c r="HS485">
        <v>0</v>
      </c>
      <c r="HT485">
        <v>0</v>
      </c>
      <c r="HW485">
        <v>0</v>
      </c>
      <c r="HX485">
        <v>0</v>
      </c>
      <c r="HY485">
        <v>0</v>
      </c>
      <c r="HZ485">
        <v>0</v>
      </c>
      <c r="IA485">
        <v>3930.6</v>
      </c>
      <c r="IB485">
        <v>3632.9</v>
      </c>
      <c r="IC485">
        <v>3795.5</v>
      </c>
      <c r="ID485">
        <v>0</v>
      </c>
      <c r="IE485">
        <v>0</v>
      </c>
      <c r="IF485">
        <v>3548.5</v>
      </c>
      <c r="IG485">
        <v>3395.2</v>
      </c>
      <c r="IH485">
        <v>3395.4</v>
      </c>
      <c r="II485">
        <v>3302.3</v>
      </c>
      <c r="IJ485">
        <v>3172.8</v>
      </c>
      <c r="IK485">
        <v>0</v>
      </c>
      <c r="IL485">
        <v>0</v>
      </c>
      <c r="IM485">
        <v>0</v>
      </c>
      <c r="IN485">
        <v>0</v>
      </c>
      <c r="IO485">
        <v>123.4</v>
      </c>
      <c r="IP485">
        <v>405.2</v>
      </c>
      <c r="IQ485">
        <v>418.7</v>
      </c>
      <c r="IR485">
        <v>0</v>
      </c>
      <c r="IS485">
        <v>0</v>
      </c>
      <c r="IT485">
        <v>0</v>
      </c>
      <c r="IU485">
        <v>0</v>
      </c>
      <c r="IV485">
        <v>396</v>
      </c>
      <c r="IW485">
        <v>0</v>
      </c>
      <c r="IX485">
        <v>0</v>
      </c>
      <c r="IZ485">
        <v>0</v>
      </c>
      <c r="JA485">
        <v>65.5</v>
      </c>
      <c r="JB485">
        <v>443.5</v>
      </c>
      <c r="JC485">
        <v>0</v>
      </c>
      <c r="JD485">
        <v>0</v>
      </c>
      <c r="JE485">
        <v>0</v>
      </c>
      <c r="JF485">
        <v>0</v>
      </c>
      <c r="JG485">
        <v>0</v>
      </c>
      <c r="JH485">
        <v>0</v>
      </c>
      <c r="JI485">
        <v>0</v>
      </c>
      <c r="JJ485">
        <v>0</v>
      </c>
      <c r="JK485">
        <v>0</v>
      </c>
      <c r="JL485">
        <v>0</v>
      </c>
      <c r="JM485">
        <v>0</v>
      </c>
      <c r="JN485">
        <v>0</v>
      </c>
      <c r="JO485">
        <v>0</v>
      </c>
      <c r="JP485">
        <v>0</v>
      </c>
      <c r="JQ485">
        <v>0</v>
      </c>
      <c r="JR485">
        <v>0</v>
      </c>
      <c r="JS485">
        <v>0</v>
      </c>
      <c r="JT485">
        <v>0</v>
      </c>
      <c r="JU485">
        <v>0</v>
      </c>
      <c r="JV485">
        <v>0</v>
      </c>
      <c r="JW485">
        <v>0</v>
      </c>
      <c r="JX485">
        <v>0</v>
      </c>
      <c r="JY485">
        <v>0</v>
      </c>
      <c r="JZ485">
        <v>0</v>
      </c>
      <c r="KA485">
        <v>0</v>
      </c>
      <c r="KB485">
        <v>0</v>
      </c>
      <c r="KC485">
        <v>0</v>
      </c>
      <c r="KD485">
        <v>0</v>
      </c>
      <c r="KE485">
        <v>0</v>
      </c>
      <c r="KF485">
        <v>0</v>
      </c>
      <c r="KI485">
        <v>344.6</v>
      </c>
      <c r="KJ485">
        <v>350.8</v>
      </c>
      <c r="KK485">
        <v>22.1</v>
      </c>
      <c r="KL485">
        <v>379.3</v>
      </c>
      <c r="KM485">
        <v>241.4</v>
      </c>
      <c r="KN485">
        <v>0</v>
      </c>
      <c r="KO485">
        <v>0</v>
      </c>
      <c r="KP485">
        <v>57.3</v>
      </c>
      <c r="KQ485">
        <v>224.4</v>
      </c>
      <c r="KR485">
        <v>338.3</v>
      </c>
      <c r="KS485">
        <v>215.8</v>
      </c>
      <c r="KT485">
        <v>40.700000000000003</v>
      </c>
      <c r="KW485">
        <v>2154.5</v>
      </c>
      <c r="KX485">
        <v>1255.7</v>
      </c>
      <c r="KY485">
        <v>1630.1</v>
      </c>
      <c r="KZ485">
        <v>1246.9000000000001</v>
      </c>
      <c r="LB485">
        <v>78.099999999999994</v>
      </c>
      <c r="LC485">
        <v>77.7</v>
      </c>
    </row>
    <row r="486" spans="1:315" ht="18" thickBot="1">
      <c r="A486" s="183"/>
      <c r="B486" s="183"/>
      <c r="C486" s="88" t="s">
        <v>899</v>
      </c>
      <c r="D486" s="281" t="s">
        <v>827</v>
      </c>
      <c r="E486" s="443">
        <v>0</v>
      </c>
      <c r="F486" s="191">
        <v>0</v>
      </c>
      <c r="G486" s="427">
        <v>3413.8</v>
      </c>
      <c r="H486" s="155"/>
      <c r="I486">
        <v>735</v>
      </c>
      <c r="K486">
        <v>1973.1000000000001</v>
      </c>
      <c r="L486" s="4">
        <v>221.60000000000002</v>
      </c>
      <c r="M486" s="4">
        <v>54.9</v>
      </c>
      <c r="N486" s="4">
        <v>1989.7</v>
      </c>
      <c r="P486">
        <v>0</v>
      </c>
      <c r="Q486">
        <v>238.29999999999998</v>
      </c>
      <c r="R486">
        <v>0</v>
      </c>
      <c r="S486">
        <v>0</v>
      </c>
      <c r="T486">
        <v>368.5</v>
      </c>
      <c r="W486">
        <v>720.3</v>
      </c>
      <c r="X486">
        <v>1411.5</v>
      </c>
      <c r="Y486">
        <v>96.5</v>
      </c>
      <c r="AA486">
        <v>859.6</v>
      </c>
      <c r="AB486">
        <v>1577.6000000000001</v>
      </c>
      <c r="AE486">
        <v>1330</v>
      </c>
      <c r="AF486">
        <v>1025.5</v>
      </c>
      <c r="AH486">
        <v>509.9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1349.3</v>
      </c>
      <c r="AO486">
        <v>786.40000000000009</v>
      </c>
      <c r="AP486">
        <v>0</v>
      </c>
      <c r="AQ486">
        <v>68.3</v>
      </c>
      <c r="AR486">
        <v>234.9</v>
      </c>
      <c r="AS486">
        <v>600.40000000000009</v>
      </c>
      <c r="AU486">
        <v>985.69999999999993</v>
      </c>
      <c r="AW486">
        <v>792</v>
      </c>
      <c r="AX486">
        <v>1988.5</v>
      </c>
      <c r="AZ486">
        <v>763.5</v>
      </c>
      <c r="BA486">
        <v>0</v>
      </c>
      <c r="BB486">
        <v>0</v>
      </c>
      <c r="BC486">
        <v>1935.3</v>
      </c>
      <c r="BD486">
        <v>1006.5</v>
      </c>
      <c r="BE486">
        <v>0</v>
      </c>
      <c r="BF486">
        <v>0</v>
      </c>
      <c r="BG486">
        <v>0</v>
      </c>
      <c r="BH486">
        <v>1662.6</v>
      </c>
      <c r="BJ486">
        <v>0</v>
      </c>
      <c r="BK486">
        <v>0</v>
      </c>
      <c r="BL486">
        <v>1038.9000000000001</v>
      </c>
      <c r="BM486">
        <v>1101</v>
      </c>
      <c r="BO486">
        <v>1276.8000000000002</v>
      </c>
      <c r="BQ486">
        <v>0</v>
      </c>
      <c r="BR486">
        <v>270.7</v>
      </c>
      <c r="BS486">
        <v>230.5</v>
      </c>
      <c r="BT486">
        <v>472.3</v>
      </c>
      <c r="BU486">
        <v>537.29999999999995</v>
      </c>
      <c r="BV486">
        <v>346.3</v>
      </c>
      <c r="BW486">
        <v>386.2</v>
      </c>
      <c r="BX486">
        <v>767</v>
      </c>
      <c r="BY486">
        <v>757.2</v>
      </c>
      <c r="BZ486">
        <v>1037.2</v>
      </c>
      <c r="CA486">
        <v>1227.0999999999999</v>
      </c>
      <c r="CB486">
        <v>1232.0999999999999</v>
      </c>
      <c r="CC486">
        <v>1701.5</v>
      </c>
      <c r="CD486">
        <v>0</v>
      </c>
      <c r="CG486">
        <v>1385.3</v>
      </c>
      <c r="CJ486">
        <v>1630.2999999999997</v>
      </c>
      <c r="CM486">
        <v>1184.2</v>
      </c>
      <c r="CO486">
        <v>1248.0999999999999</v>
      </c>
      <c r="CQ486">
        <v>1435.3</v>
      </c>
      <c r="CR486">
        <v>798.2</v>
      </c>
      <c r="CS486">
        <v>923.8</v>
      </c>
      <c r="CT486">
        <v>0</v>
      </c>
      <c r="CU486">
        <v>0</v>
      </c>
      <c r="CV486">
        <v>0</v>
      </c>
      <c r="CW486">
        <v>0</v>
      </c>
      <c r="CX486">
        <v>163.69999999999999</v>
      </c>
      <c r="CY486">
        <v>0</v>
      </c>
      <c r="CZ486">
        <v>0</v>
      </c>
      <c r="DA486">
        <v>0</v>
      </c>
      <c r="DB486">
        <v>0</v>
      </c>
      <c r="DC486">
        <v>0</v>
      </c>
      <c r="DD486">
        <v>0</v>
      </c>
      <c r="DE486">
        <v>0</v>
      </c>
      <c r="DI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  <c r="EI486">
        <v>0</v>
      </c>
      <c r="EJ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G486" t="e">
        <v>#N/A</v>
      </c>
      <c r="FI486" t="e">
        <v>#N/A</v>
      </c>
      <c r="FK486" t="e">
        <v>#N/A</v>
      </c>
      <c r="FM486" t="e">
        <v>#N/A</v>
      </c>
      <c r="FO486" t="e">
        <v>#N/A</v>
      </c>
      <c r="FQ486" t="e">
        <v>#N/A</v>
      </c>
      <c r="FS486" t="e">
        <v>#N/A</v>
      </c>
      <c r="FU486" t="e">
        <v>#N/A</v>
      </c>
      <c r="FW486" t="e">
        <v>#N/A</v>
      </c>
      <c r="FY486" t="e">
        <v>#N/A</v>
      </c>
      <c r="GA486" t="e">
        <v>#N/A</v>
      </c>
      <c r="GC486" t="e">
        <v>#N/A</v>
      </c>
      <c r="GE486" t="e">
        <v>#N/A</v>
      </c>
      <c r="GG486" t="e">
        <v>#N/A</v>
      </c>
      <c r="GI486" t="e">
        <v>#N/A</v>
      </c>
      <c r="GK486" t="e">
        <v>#N/A</v>
      </c>
      <c r="GM486" t="e">
        <v>#N/A</v>
      </c>
      <c r="GO486" t="e">
        <v>#N/A</v>
      </c>
      <c r="GQ486" t="e">
        <v>#N/A</v>
      </c>
      <c r="GS486" t="e">
        <v>#N/A</v>
      </c>
      <c r="GU486" t="e">
        <v>#N/A</v>
      </c>
      <c r="GW486" t="e">
        <v>#N/A</v>
      </c>
      <c r="GY486" t="e">
        <v>#N/A</v>
      </c>
      <c r="HA486" t="e">
        <v>#N/A</v>
      </c>
      <c r="HC486">
        <v>0</v>
      </c>
      <c r="HD486">
        <v>0</v>
      </c>
      <c r="HE486">
        <v>0</v>
      </c>
      <c r="HF486">
        <v>0</v>
      </c>
      <c r="HG486">
        <v>0</v>
      </c>
      <c r="HH486">
        <v>0</v>
      </c>
      <c r="HI486">
        <v>0</v>
      </c>
      <c r="HJ486">
        <v>0</v>
      </c>
      <c r="HM486">
        <v>0</v>
      </c>
      <c r="HN486">
        <v>0</v>
      </c>
      <c r="HO486">
        <v>0</v>
      </c>
      <c r="HP486">
        <v>0</v>
      </c>
      <c r="HQ486">
        <v>0</v>
      </c>
      <c r="HR486">
        <v>0</v>
      </c>
      <c r="HS486">
        <v>0</v>
      </c>
      <c r="HT486">
        <v>0</v>
      </c>
      <c r="HW486">
        <v>0</v>
      </c>
      <c r="HX486">
        <v>0</v>
      </c>
      <c r="HY486">
        <v>0</v>
      </c>
      <c r="HZ486">
        <v>0</v>
      </c>
      <c r="IA486">
        <v>3930.6</v>
      </c>
      <c r="IB486">
        <v>3632.9</v>
      </c>
      <c r="IC486">
        <v>3795.5</v>
      </c>
      <c r="ID486">
        <v>0</v>
      </c>
      <c r="IE486">
        <v>0</v>
      </c>
      <c r="IF486">
        <v>3548.5</v>
      </c>
      <c r="IG486">
        <v>3395.2</v>
      </c>
      <c r="IH486">
        <v>3395.4</v>
      </c>
      <c r="II486">
        <v>3302.3</v>
      </c>
      <c r="IJ486">
        <v>3172.8</v>
      </c>
      <c r="IK486">
        <v>0</v>
      </c>
      <c r="IL486">
        <v>0</v>
      </c>
      <c r="IM486">
        <v>0</v>
      </c>
      <c r="IN486">
        <v>0</v>
      </c>
      <c r="IO486">
        <v>123.4</v>
      </c>
      <c r="IP486">
        <v>405.2</v>
      </c>
      <c r="IQ486">
        <v>418.7</v>
      </c>
      <c r="IR486">
        <v>0</v>
      </c>
      <c r="IS486">
        <v>0</v>
      </c>
      <c r="IT486">
        <v>0</v>
      </c>
      <c r="IU486">
        <v>0</v>
      </c>
      <c r="IV486">
        <v>396</v>
      </c>
      <c r="IW486">
        <v>0</v>
      </c>
      <c r="IX486">
        <v>0</v>
      </c>
      <c r="IZ486">
        <v>0</v>
      </c>
      <c r="JA486">
        <v>65.5</v>
      </c>
      <c r="JB486">
        <v>443.5</v>
      </c>
      <c r="JC486">
        <v>0</v>
      </c>
      <c r="JD486">
        <v>0</v>
      </c>
      <c r="JE486">
        <v>0</v>
      </c>
      <c r="JF486">
        <v>0</v>
      </c>
      <c r="JG486">
        <v>0</v>
      </c>
      <c r="JH486">
        <v>0</v>
      </c>
      <c r="JI486">
        <v>0</v>
      </c>
      <c r="JJ486">
        <v>0</v>
      </c>
      <c r="JK486">
        <v>0</v>
      </c>
      <c r="JL486">
        <v>0</v>
      </c>
      <c r="JM486">
        <v>0</v>
      </c>
      <c r="JN486">
        <v>0</v>
      </c>
      <c r="JO486">
        <v>0</v>
      </c>
      <c r="JP486">
        <v>0</v>
      </c>
      <c r="JQ486">
        <v>0</v>
      </c>
      <c r="JR486">
        <v>0</v>
      </c>
      <c r="JS486">
        <v>0</v>
      </c>
      <c r="JT486">
        <v>0</v>
      </c>
      <c r="JU486">
        <v>0</v>
      </c>
      <c r="JV486">
        <v>0</v>
      </c>
      <c r="JW486">
        <v>0</v>
      </c>
      <c r="JX486">
        <v>0</v>
      </c>
      <c r="JY486">
        <v>0</v>
      </c>
      <c r="JZ486">
        <v>0</v>
      </c>
      <c r="KA486">
        <v>0</v>
      </c>
      <c r="KB486">
        <v>0</v>
      </c>
      <c r="KC486">
        <v>0</v>
      </c>
      <c r="KD486">
        <v>0</v>
      </c>
      <c r="KE486">
        <v>0</v>
      </c>
      <c r="KF486">
        <v>0</v>
      </c>
      <c r="KI486">
        <v>344.6</v>
      </c>
      <c r="KJ486">
        <v>350.8</v>
      </c>
      <c r="KK486">
        <v>22.1</v>
      </c>
      <c r="KL486">
        <v>379.3</v>
      </c>
      <c r="KM486">
        <v>241.4</v>
      </c>
      <c r="KN486">
        <v>0</v>
      </c>
      <c r="KO486">
        <v>0</v>
      </c>
      <c r="KP486">
        <v>57.3</v>
      </c>
      <c r="KQ486">
        <v>224.4</v>
      </c>
      <c r="KR486">
        <v>338.3</v>
      </c>
      <c r="KS486">
        <v>215.8</v>
      </c>
      <c r="KT486">
        <v>40.700000000000003</v>
      </c>
      <c r="KW486">
        <v>2154.5</v>
      </c>
      <c r="KX486">
        <v>1255.7</v>
      </c>
      <c r="KY486">
        <v>1630.1</v>
      </c>
      <c r="KZ486">
        <v>1246.9000000000001</v>
      </c>
      <c r="LB486">
        <v>78.099999999999994</v>
      </c>
      <c r="LC486">
        <v>77.7</v>
      </c>
    </row>
    <row r="487" spans="1:315" ht="18" thickBot="1">
      <c r="A487" s="187"/>
      <c r="B487" s="187"/>
      <c r="C487" s="329" t="s">
        <v>900</v>
      </c>
      <c r="D487" s="282" t="s">
        <v>827</v>
      </c>
      <c r="E487" s="447">
        <v>0</v>
      </c>
      <c r="F487" s="193">
        <v>0</v>
      </c>
      <c r="G487" s="427">
        <v>3413.8</v>
      </c>
      <c r="H487" s="155"/>
      <c r="I487">
        <v>735</v>
      </c>
      <c r="K487">
        <v>1973.1000000000001</v>
      </c>
      <c r="L487" s="4">
        <v>221.60000000000002</v>
      </c>
      <c r="M487" s="4">
        <v>54.9</v>
      </c>
      <c r="N487" s="4">
        <v>1989.7</v>
      </c>
      <c r="P487">
        <v>0</v>
      </c>
      <c r="Q487">
        <v>238.29999999999998</v>
      </c>
      <c r="R487">
        <v>0</v>
      </c>
      <c r="S487">
        <v>0</v>
      </c>
      <c r="T487">
        <v>368.5</v>
      </c>
      <c r="W487">
        <v>720.3</v>
      </c>
      <c r="X487">
        <v>1411.5</v>
      </c>
      <c r="Y487">
        <v>96.5</v>
      </c>
      <c r="AA487">
        <v>859.6</v>
      </c>
      <c r="AB487">
        <v>1577.6000000000001</v>
      </c>
      <c r="AE487">
        <v>1330</v>
      </c>
      <c r="AF487">
        <v>1025.5</v>
      </c>
      <c r="AH487">
        <v>509.9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1349.3</v>
      </c>
      <c r="AO487">
        <v>786.40000000000009</v>
      </c>
      <c r="AP487">
        <v>0</v>
      </c>
      <c r="AQ487">
        <v>68.3</v>
      </c>
      <c r="AR487">
        <v>234.9</v>
      </c>
      <c r="AS487">
        <v>600.40000000000009</v>
      </c>
      <c r="AU487">
        <v>985.69999999999993</v>
      </c>
      <c r="AW487">
        <v>792</v>
      </c>
      <c r="AX487">
        <v>1988.5</v>
      </c>
      <c r="AZ487">
        <v>763.5</v>
      </c>
      <c r="BA487">
        <v>0</v>
      </c>
      <c r="BB487">
        <v>0</v>
      </c>
      <c r="BC487">
        <v>1935.3</v>
      </c>
      <c r="BD487">
        <v>1006.5</v>
      </c>
      <c r="BE487">
        <v>0</v>
      </c>
      <c r="BF487">
        <v>0</v>
      </c>
      <c r="BG487">
        <v>0</v>
      </c>
      <c r="BH487">
        <v>1662.6</v>
      </c>
      <c r="BJ487">
        <v>0</v>
      </c>
      <c r="BK487">
        <v>0</v>
      </c>
      <c r="BL487">
        <v>1038.9000000000001</v>
      </c>
      <c r="BM487">
        <v>1101</v>
      </c>
      <c r="BO487">
        <v>1276.8000000000002</v>
      </c>
      <c r="BQ487">
        <v>0</v>
      </c>
      <c r="BR487">
        <v>270.7</v>
      </c>
      <c r="BS487">
        <v>230.5</v>
      </c>
      <c r="BT487">
        <v>472.3</v>
      </c>
      <c r="BU487">
        <v>537.29999999999995</v>
      </c>
      <c r="BV487">
        <v>346.3</v>
      </c>
      <c r="BW487">
        <v>386.2</v>
      </c>
      <c r="BX487">
        <v>767</v>
      </c>
      <c r="BY487">
        <v>757.2</v>
      </c>
      <c r="BZ487">
        <v>1037.2</v>
      </c>
      <c r="CA487">
        <v>1227.0999999999999</v>
      </c>
      <c r="CB487">
        <v>1232.0999999999999</v>
      </c>
      <c r="CC487">
        <v>1701.5</v>
      </c>
      <c r="CD487">
        <v>0</v>
      </c>
      <c r="CG487">
        <v>1385.3</v>
      </c>
      <c r="CJ487">
        <v>1630.2999999999997</v>
      </c>
      <c r="CM487">
        <v>1184.2</v>
      </c>
      <c r="CO487">
        <v>1248.0999999999999</v>
      </c>
      <c r="CQ487">
        <v>1435.3</v>
      </c>
      <c r="CR487">
        <v>798.2</v>
      </c>
      <c r="CS487">
        <v>923.8</v>
      </c>
      <c r="CT487">
        <v>0</v>
      </c>
      <c r="CU487">
        <v>0</v>
      </c>
      <c r="CV487">
        <v>0</v>
      </c>
      <c r="CW487">
        <v>0</v>
      </c>
      <c r="CX487">
        <v>163.69999999999999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I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G487" t="e">
        <v>#N/A</v>
      </c>
      <c r="FI487" t="e">
        <v>#N/A</v>
      </c>
      <c r="FK487" t="e">
        <v>#N/A</v>
      </c>
      <c r="FM487" t="e">
        <v>#N/A</v>
      </c>
      <c r="FO487" t="e">
        <v>#N/A</v>
      </c>
      <c r="FQ487" t="e">
        <v>#N/A</v>
      </c>
      <c r="FS487" t="e">
        <v>#N/A</v>
      </c>
      <c r="FU487" t="e">
        <v>#N/A</v>
      </c>
      <c r="FW487" t="e">
        <v>#N/A</v>
      </c>
      <c r="FY487" t="e">
        <v>#N/A</v>
      </c>
      <c r="GA487" t="e">
        <v>#N/A</v>
      </c>
      <c r="GC487" t="e">
        <v>#N/A</v>
      </c>
      <c r="GE487" t="e">
        <v>#N/A</v>
      </c>
      <c r="GG487" t="e">
        <v>#N/A</v>
      </c>
      <c r="GI487" t="e">
        <v>#N/A</v>
      </c>
      <c r="GK487" t="e">
        <v>#N/A</v>
      </c>
      <c r="GM487" t="e">
        <v>#N/A</v>
      </c>
      <c r="GO487" t="e">
        <v>#N/A</v>
      </c>
      <c r="GQ487" t="e">
        <v>#N/A</v>
      </c>
      <c r="GS487" t="e">
        <v>#N/A</v>
      </c>
      <c r="GU487" t="e">
        <v>#N/A</v>
      </c>
      <c r="GW487" t="e">
        <v>#N/A</v>
      </c>
      <c r="GY487" t="e">
        <v>#N/A</v>
      </c>
      <c r="HA487" t="e">
        <v>#N/A</v>
      </c>
      <c r="HC487">
        <v>0</v>
      </c>
      <c r="HD487">
        <v>0</v>
      </c>
      <c r="HE487">
        <v>0</v>
      </c>
      <c r="HF487">
        <v>0</v>
      </c>
      <c r="HG487">
        <v>0</v>
      </c>
      <c r="HH487">
        <v>0</v>
      </c>
      <c r="HI487">
        <v>0</v>
      </c>
      <c r="HJ487">
        <v>0</v>
      </c>
      <c r="HM487">
        <v>0</v>
      </c>
      <c r="HN487">
        <v>0</v>
      </c>
      <c r="HO487">
        <v>0</v>
      </c>
      <c r="HP487">
        <v>0</v>
      </c>
      <c r="HQ487">
        <v>0</v>
      </c>
      <c r="HR487">
        <v>0</v>
      </c>
      <c r="HS487">
        <v>0</v>
      </c>
      <c r="HT487">
        <v>0</v>
      </c>
      <c r="HW487">
        <v>0</v>
      </c>
      <c r="HX487">
        <v>0</v>
      </c>
      <c r="HY487">
        <v>0</v>
      </c>
      <c r="HZ487">
        <v>0</v>
      </c>
      <c r="IA487">
        <v>3930.6</v>
      </c>
      <c r="IB487">
        <v>3632.9</v>
      </c>
      <c r="IC487">
        <v>3795.5</v>
      </c>
      <c r="ID487">
        <v>0</v>
      </c>
      <c r="IE487">
        <v>0</v>
      </c>
      <c r="IF487">
        <v>3548.5</v>
      </c>
      <c r="IG487">
        <v>3395.2</v>
      </c>
      <c r="IH487">
        <v>3395.4</v>
      </c>
      <c r="II487">
        <v>3302.3</v>
      </c>
      <c r="IJ487">
        <v>3172.8</v>
      </c>
      <c r="IK487">
        <v>0</v>
      </c>
      <c r="IL487">
        <v>0</v>
      </c>
      <c r="IM487">
        <v>0</v>
      </c>
      <c r="IN487">
        <v>0</v>
      </c>
      <c r="IO487">
        <v>123.4</v>
      </c>
      <c r="IP487">
        <v>405.2</v>
      </c>
      <c r="IQ487">
        <v>418.7</v>
      </c>
      <c r="IR487">
        <v>0</v>
      </c>
      <c r="IS487">
        <v>0</v>
      </c>
      <c r="IT487">
        <v>0</v>
      </c>
      <c r="IU487">
        <v>0</v>
      </c>
      <c r="IV487">
        <v>396</v>
      </c>
      <c r="IW487">
        <v>0</v>
      </c>
      <c r="IX487">
        <v>0</v>
      </c>
      <c r="IZ487">
        <v>0</v>
      </c>
      <c r="JA487">
        <v>65.5</v>
      </c>
      <c r="JB487">
        <v>443.5</v>
      </c>
      <c r="JC487">
        <v>0</v>
      </c>
      <c r="JD487">
        <v>0</v>
      </c>
      <c r="JE487">
        <v>0</v>
      </c>
      <c r="JF487">
        <v>0</v>
      </c>
      <c r="JG487">
        <v>0</v>
      </c>
      <c r="JH487">
        <v>0</v>
      </c>
      <c r="JI487">
        <v>0</v>
      </c>
      <c r="JJ487">
        <v>0</v>
      </c>
      <c r="JK487">
        <v>0</v>
      </c>
      <c r="JL487">
        <v>0</v>
      </c>
      <c r="JM487">
        <v>0</v>
      </c>
      <c r="JN487">
        <v>0</v>
      </c>
      <c r="JO487">
        <v>0</v>
      </c>
      <c r="JP487">
        <v>0</v>
      </c>
      <c r="JQ487">
        <v>0</v>
      </c>
      <c r="JR487">
        <v>0</v>
      </c>
      <c r="JS487">
        <v>0</v>
      </c>
      <c r="JT487">
        <v>0</v>
      </c>
      <c r="JU487">
        <v>0</v>
      </c>
      <c r="JV487">
        <v>0</v>
      </c>
      <c r="JW487">
        <v>0</v>
      </c>
      <c r="JX487">
        <v>0</v>
      </c>
      <c r="JY487">
        <v>0</v>
      </c>
      <c r="JZ487">
        <v>0</v>
      </c>
      <c r="KA487">
        <v>0</v>
      </c>
      <c r="KB487">
        <v>0</v>
      </c>
      <c r="KC487">
        <v>0</v>
      </c>
      <c r="KD487">
        <v>0</v>
      </c>
      <c r="KE487">
        <v>0</v>
      </c>
      <c r="KF487">
        <v>0</v>
      </c>
      <c r="KI487">
        <v>344.6</v>
      </c>
      <c r="KJ487">
        <v>350.8</v>
      </c>
      <c r="KK487">
        <v>22.1</v>
      </c>
      <c r="KL487">
        <v>379.3</v>
      </c>
      <c r="KM487">
        <v>241.4</v>
      </c>
      <c r="KN487">
        <v>0</v>
      </c>
      <c r="KO487">
        <v>0</v>
      </c>
      <c r="KP487">
        <v>57.3</v>
      </c>
      <c r="KQ487">
        <v>224.4</v>
      </c>
      <c r="KR487">
        <v>338.3</v>
      </c>
      <c r="KS487">
        <v>215.8</v>
      </c>
      <c r="KT487">
        <v>40.700000000000003</v>
      </c>
      <c r="KW487">
        <v>2154.5</v>
      </c>
      <c r="KX487">
        <v>1255.7</v>
      </c>
      <c r="KY487">
        <v>1630.1</v>
      </c>
      <c r="KZ487">
        <v>1246.9000000000001</v>
      </c>
      <c r="LB487">
        <v>78.099999999999994</v>
      </c>
      <c r="LC487">
        <v>77.7</v>
      </c>
    </row>
    <row r="488" spans="1:315" ht="36" thickTop="1" thickBot="1">
      <c r="A488" s="181"/>
      <c r="B488" s="181" t="s">
        <v>451</v>
      </c>
      <c r="C488" s="333" t="s">
        <v>901</v>
      </c>
      <c r="D488" s="273" t="s">
        <v>828</v>
      </c>
      <c r="E488" s="442">
        <v>0</v>
      </c>
      <c r="F488" s="190">
        <v>0</v>
      </c>
      <c r="G488" s="427">
        <v>3413.8</v>
      </c>
      <c r="H488" s="155"/>
      <c r="I488">
        <v>735</v>
      </c>
      <c r="K488">
        <v>1973.1000000000001</v>
      </c>
      <c r="L488" s="4">
        <v>221.60000000000002</v>
      </c>
      <c r="M488" s="4">
        <v>54.9</v>
      </c>
      <c r="N488" s="4">
        <v>1989.7</v>
      </c>
      <c r="P488">
        <v>0</v>
      </c>
      <c r="Q488">
        <v>238.29999999999998</v>
      </c>
      <c r="R488">
        <v>0</v>
      </c>
      <c r="S488">
        <v>0</v>
      </c>
      <c r="T488">
        <v>368.5</v>
      </c>
      <c r="W488">
        <v>720.3</v>
      </c>
      <c r="X488">
        <v>1411.5</v>
      </c>
      <c r="Y488">
        <v>96.5</v>
      </c>
      <c r="AA488">
        <v>859.6</v>
      </c>
      <c r="AB488">
        <v>1577.6000000000001</v>
      </c>
      <c r="AE488">
        <v>1330</v>
      </c>
      <c r="AF488">
        <v>1025.5</v>
      </c>
      <c r="AH488">
        <v>509.9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1349.3</v>
      </c>
      <c r="AO488">
        <v>786.40000000000009</v>
      </c>
      <c r="AP488">
        <v>0</v>
      </c>
      <c r="AQ488">
        <v>68.3</v>
      </c>
      <c r="AR488">
        <v>234.9</v>
      </c>
      <c r="AS488">
        <v>600.40000000000009</v>
      </c>
      <c r="AU488">
        <v>985.69999999999993</v>
      </c>
      <c r="AW488">
        <v>792</v>
      </c>
      <c r="AX488">
        <v>1988.5</v>
      </c>
      <c r="AZ488">
        <v>763.5</v>
      </c>
      <c r="BA488">
        <v>0</v>
      </c>
      <c r="BB488">
        <v>0</v>
      </c>
      <c r="BC488">
        <v>1935.3</v>
      </c>
      <c r="BD488">
        <v>1006.5</v>
      </c>
      <c r="BE488">
        <v>0</v>
      </c>
      <c r="BF488">
        <v>0</v>
      </c>
      <c r="BG488">
        <v>0</v>
      </c>
      <c r="BH488">
        <v>1662.6</v>
      </c>
      <c r="BJ488">
        <v>0</v>
      </c>
      <c r="BK488">
        <v>0</v>
      </c>
      <c r="BL488">
        <v>1038.9000000000001</v>
      </c>
      <c r="BM488">
        <v>1101</v>
      </c>
      <c r="BO488">
        <v>1276.8000000000002</v>
      </c>
      <c r="BQ488">
        <v>0</v>
      </c>
      <c r="BR488">
        <v>270.7</v>
      </c>
      <c r="BS488">
        <v>230.5</v>
      </c>
      <c r="BT488">
        <v>472.3</v>
      </c>
      <c r="BU488">
        <v>537.29999999999995</v>
      </c>
      <c r="BV488">
        <v>346.3</v>
      </c>
      <c r="BW488">
        <v>386.2</v>
      </c>
      <c r="BX488">
        <v>767</v>
      </c>
      <c r="BY488">
        <v>757.2</v>
      </c>
      <c r="BZ488">
        <v>1037.2</v>
      </c>
      <c r="CA488">
        <v>1227.0999999999999</v>
      </c>
      <c r="CB488">
        <v>1232.0999999999999</v>
      </c>
      <c r="CC488">
        <v>1701.5</v>
      </c>
      <c r="CD488">
        <v>0</v>
      </c>
      <c r="CG488">
        <v>1385.3</v>
      </c>
      <c r="CJ488">
        <v>1630.2999999999997</v>
      </c>
      <c r="CM488">
        <v>1184.2</v>
      </c>
      <c r="CO488">
        <v>1248.0999999999999</v>
      </c>
      <c r="CQ488">
        <v>1435.3</v>
      </c>
      <c r="CR488">
        <v>798.2</v>
      </c>
      <c r="CS488">
        <v>923.8</v>
      </c>
      <c r="CT488">
        <v>0</v>
      </c>
      <c r="CU488">
        <v>0</v>
      </c>
      <c r="CV488">
        <v>0</v>
      </c>
      <c r="CW488">
        <v>0</v>
      </c>
      <c r="CX488">
        <v>163.69999999999999</v>
      </c>
      <c r="CY488">
        <v>0</v>
      </c>
      <c r="CZ488">
        <v>0</v>
      </c>
      <c r="DA488">
        <v>0</v>
      </c>
      <c r="DB488">
        <v>0</v>
      </c>
      <c r="DC488">
        <v>0</v>
      </c>
      <c r="DD488">
        <v>0</v>
      </c>
      <c r="DE488">
        <v>0</v>
      </c>
      <c r="DI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  <c r="EI488">
        <v>0</v>
      </c>
      <c r="EJ488">
        <v>0</v>
      </c>
      <c r="EM488">
        <v>0</v>
      </c>
      <c r="EN488">
        <v>0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G488" t="e">
        <v>#N/A</v>
      </c>
      <c r="FI488" t="e">
        <v>#N/A</v>
      </c>
      <c r="FK488" t="e">
        <v>#N/A</v>
      </c>
      <c r="FM488" t="e">
        <v>#N/A</v>
      </c>
      <c r="FO488" t="e">
        <v>#N/A</v>
      </c>
      <c r="FQ488" t="e">
        <v>#N/A</v>
      </c>
      <c r="FS488" t="e">
        <v>#N/A</v>
      </c>
      <c r="FU488" t="e">
        <v>#N/A</v>
      </c>
      <c r="FW488" t="e">
        <v>#N/A</v>
      </c>
      <c r="FY488" t="e">
        <v>#N/A</v>
      </c>
      <c r="GA488" t="e">
        <v>#N/A</v>
      </c>
      <c r="GC488" t="e">
        <v>#N/A</v>
      </c>
      <c r="GE488" t="e">
        <v>#N/A</v>
      </c>
      <c r="GG488" t="e">
        <v>#N/A</v>
      </c>
      <c r="GI488" t="e">
        <v>#N/A</v>
      </c>
      <c r="GK488" t="e">
        <v>#N/A</v>
      </c>
      <c r="GM488" t="e">
        <v>#N/A</v>
      </c>
      <c r="GO488" t="e">
        <v>#N/A</v>
      </c>
      <c r="GQ488" t="e">
        <v>#N/A</v>
      </c>
      <c r="GS488" t="e">
        <v>#N/A</v>
      </c>
      <c r="GU488" t="e">
        <v>#N/A</v>
      </c>
      <c r="GW488" t="e">
        <v>#N/A</v>
      </c>
      <c r="GY488" t="e">
        <v>#N/A</v>
      </c>
      <c r="HA488" t="e">
        <v>#N/A</v>
      </c>
      <c r="HC488">
        <v>0</v>
      </c>
      <c r="HD488">
        <v>0</v>
      </c>
      <c r="HE488">
        <v>0</v>
      </c>
      <c r="HF488">
        <v>0</v>
      </c>
      <c r="HG488">
        <v>0</v>
      </c>
      <c r="HH488">
        <v>0</v>
      </c>
      <c r="HI488">
        <v>0</v>
      </c>
      <c r="HJ488">
        <v>0</v>
      </c>
      <c r="HM488">
        <v>0</v>
      </c>
      <c r="HN488">
        <v>0</v>
      </c>
      <c r="HO488">
        <v>0</v>
      </c>
      <c r="HP488">
        <v>0</v>
      </c>
      <c r="HQ488">
        <v>0</v>
      </c>
      <c r="HR488">
        <v>0</v>
      </c>
      <c r="HS488">
        <v>0</v>
      </c>
      <c r="HT488">
        <v>0</v>
      </c>
      <c r="HW488">
        <v>0</v>
      </c>
      <c r="HX488">
        <v>0</v>
      </c>
      <c r="HY488">
        <v>0</v>
      </c>
      <c r="HZ488">
        <v>0</v>
      </c>
      <c r="IA488">
        <v>3930.6</v>
      </c>
      <c r="IB488">
        <v>3632.9</v>
      </c>
      <c r="IC488">
        <v>3795.5</v>
      </c>
      <c r="ID488">
        <v>0</v>
      </c>
      <c r="IE488">
        <v>0</v>
      </c>
      <c r="IF488">
        <v>3548.5</v>
      </c>
      <c r="IG488">
        <v>3395.2</v>
      </c>
      <c r="IH488">
        <v>3395.4</v>
      </c>
      <c r="II488">
        <v>3302.3</v>
      </c>
      <c r="IJ488">
        <v>3172.8</v>
      </c>
      <c r="IK488">
        <v>0</v>
      </c>
      <c r="IL488">
        <v>0</v>
      </c>
      <c r="IM488">
        <v>0</v>
      </c>
      <c r="IN488">
        <v>0</v>
      </c>
      <c r="IO488">
        <v>123.4</v>
      </c>
      <c r="IP488">
        <v>405.2</v>
      </c>
      <c r="IQ488">
        <v>418.7</v>
      </c>
      <c r="IR488">
        <v>0</v>
      </c>
      <c r="IS488">
        <v>0</v>
      </c>
      <c r="IT488">
        <v>0</v>
      </c>
      <c r="IU488">
        <v>0</v>
      </c>
      <c r="IV488">
        <v>396</v>
      </c>
      <c r="IW488">
        <v>0</v>
      </c>
      <c r="IX488">
        <v>0</v>
      </c>
      <c r="IZ488">
        <v>0</v>
      </c>
      <c r="JA488">
        <v>65.5</v>
      </c>
      <c r="JB488">
        <v>443.5</v>
      </c>
      <c r="JC488">
        <v>0</v>
      </c>
      <c r="JD488">
        <v>0</v>
      </c>
      <c r="JE488">
        <v>0</v>
      </c>
      <c r="JF488">
        <v>0</v>
      </c>
      <c r="JG488">
        <v>0</v>
      </c>
      <c r="JH488">
        <v>0</v>
      </c>
      <c r="JI488">
        <v>0</v>
      </c>
      <c r="JJ488">
        <v>0</v>
      </c>
      <c r="JK488">
        <v>0</v>
      </c>
      <c r="JL488">
        <v>0</v>
      </c>
      <c r="JM488">
        <v>0</v>
      </c>
      <c r="JN488">
        <v>0</v>
      </c>
      <c r="JO488">
        <v>0</v>
      </c>
      <c r="JP488">
        <v>0</v>
      </c>
      <c r="JQ488">
        <v>0</v>
      </c>
      <c r="JR488">
        <v>0</v>
      </c>
      <c r="JS488">
        <v>0</v>
      </c>
      <c r="JT488">
        <v>0</v>
      </c>
      <c r="JU488">
        <v>0</v>
      </c>
      <c r="JV488">
        <v>0</v>
      </c>
      <c r="JW488">
        <v>0</v>
      </c>
      <c r="JX488">
        <v>0</v>
      </c>
      <c r="JY488">
        <v>0</v>
      </c>
      <c r="JZ488">
        <v>0</v>
      </c>
      <c r="KA488">
        <v>0</v>
      </c>
      <c r="KB488">
        <v>0</v>
      </c>
      <c r="KC488">
        <v>0</v>
      </c>
      <c r="KD488">
        <v>0</v>
      </c>
      <c r="KE488">
        <v>0</v>
      </c>
      <c r="KF488">
        <v>0</v>
      </c>
      <c r="KI488">
        <v>344.6</v>
      </c>
      <c r="KJ488">
        <v>350.8</v>
      </c>
      <c r="KK488">
        <v>22.1</v>
      </c>
      <c r="KL488">
        <v>379.3</v>
      </c>
      <c r="KM488">
        <v>241.4</v>
      </c>
      <c r="KN488">
        <v>0</v>
      </c>
      <c r="KO488">
        <v>0</v>
      </c>
      <c r="KP488">
        <v>57.3</v>
      </c>
      <c r="KQ488">
        <v>224.4</v>
      </c>
      <c r="KR488">
        <v>338.3</v>
      </c>
      <c r="KS488">
        <v>215.8</v>
      </c>
      <c r="KT488">
        <v>40.700000000000003</v>
      </c>
      <c r="KW488">
        <v>2154.5</v>
      </c>
      <c r="KX488">
        <v>1255.7</v>
      </c>
      <c r="KY488">
        <v>1630.1</v>
      </c>
      <c r="KZ488">
        <v>1246.9000000000001</v>
      </c>
      <c r="LB488">
        <v>78.099999999999994</v>
      </c>
      <c r="LC488">
        <v>77.7</v>
      </c>
    </row>
    <row r="489" spans="1:315" ht="35.4" thickBot="1">
      <c r="A489" s="245"/>
      <c r="B489" s="245" t="s">
        <v>452</v>
      </c>
      <c r="C489" s="88" t="s">
        <v>902</v>
      </c>
      <c r="D489" s="299" t="s">
        <v>828</v>
      </c>
      <c r="E489" s="443">
        <v>0</v>
      </c>
      <c r="F489" s="156">
        <v>0</v>
      </c>
      <c r="G489" s="427">
        <v>3413.8</v>
      </c>
      <c r="H489" s="155"/>
      <c r="I489">
        <v>735</v>
      </c>
      <c r="K489">
        <v>1973.1000000000001</v>
      </c>
      <c r="L489" s="4">
        <v>221.60000000000002</v>
      </c>
      <c r="M489" s="4">
        <v>54.9</v>
      </c>
      <c r="N489" s="4">
        <v>1989.7</v>
      </c>
      <c r="P489">
        <v>0</v>
      </c>
      <c r="Q489">
        <v>238.29999999999998</v>
      </c>
      <c r="R489">
        <v>0</v>
      </c>
      <c r="S489">
        <v>0</v>
      </c>
      <c r="T489">
        <v>368.5</v>
      </c>
      <c r="W489">
        <v>720.3</v>
      </c>
      <c r="X489">
        <v>1411.5</v>
      </c>
      <c r="Y489">
        <v>96.5</v>
      </c>
      <c r="AA489">
        <v>859.6</v>
      </c>
      <c r="AB489">
        <v>1577.6000000000001</v>
      </c>
      <c r="AE489">
        <v>1330</v>
      </c>
      <c r="AF489">
        <v>1025.5</v>
      </c>
      <c r="AH489">
        <v>509.9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1349.3</v>
      </c>
      <c r="AO489">
        <v>786.40000000000009</v>
      </c>
      <c r="AP489">
        <v>0</v>
      </c>
      <c r="AQ489">
        <v>68.3</v>
      </c>
      <c r="AR489">
        <v>234.9</v>
      </c>
      <c r="AS489">
        <v>600.40000000000009</v>
      </c>
      <c r="AU489">
        <v>985.69999999999993</v>
      </c>
      <c r="AW489">
        <v>792</v>
      </c>
      <c r="AX489">
        <v>1988.5</v>
      </c>
      <c r="AZ489">
        <v>763.5</v>
      </c>
      <c r="BA489">
        <v>0</v>
      </c>
      <c r="BB489">
        <v>0</v>
      </c>
      <c r="BC489">
        <v>1935.3</v>
      </c>
      <c r="BD489">
        <v>1006.5</v>
      </c>
      <c r="BE489">
        <v>0</v>
      </c>
      <c r="BF489">
        <v>0</v>
      </c>
      <c r="BG489">
        <v>0</v>
      </c>
      <c r="BH489">
        <v>1662.6</v>
      </c>
      <c r="BJ489">
        <v>0</v>
      </c>
      <c r="BK489">
        <v>0</v>
      </c>
      <c r="BL489">
        <v>1038.9000000000001</v>
      </c>
      <c r="BM489">
        <v>1101</v>
      </c>
      <c r="BO489">
        <v>1276.8000000000002</v>
      </c>
      <c r="BQ489">
        <v>0</v>
      </c>
      <c r="BR489">
        <v>270.7</v>
      </c>
      <c r="BS489">
        <v>230.5</v>
      </c>
      <c r="BT489">
        <v>472.3</v>
      </c>
      <c r="BU489">
        <v>537.29999999999995</v>
      </c>
      <c r="BV489">
        <v>346.3</v>
      </c>
      <c r="BW489">
        <v>386.2</v>
      </c>
      <c r="BX489">
        <v>767</v>
      </c>
      <c r="BY489">
        <v>757.2</v>
      </c>
      <c r="BZ489">
        <v>1037.2</v>
      </c>
      <c r="CA489">
        <v>1227.0999999999999</v>
      </c>
      <c r="CB489">
        <v>1232.0999999999999</v>
      </c>
      <c r="CC489">
        <v>1701.5</v>
      </c>
      <c r="CD489">
        <v>0</v>
      </c>
      <c r="CG489">
        <v>1385.3</v>
      </c>
      <c r="CJ489">
        <v>1630.2999999999997</v>
      </c>
      <c r="CM489">
        <v>1184.2</v>
      </c>
      <c r="CO489">
        <v>1248.0999999999999</v>
      </c>
      <c r="CQ489">
        <v>1435.3</v>
      </c>
      <c r="CR489">
        <v>798.2</v>
      </c>
      <c r="CS489">
        <v>923.8</v>
      </c>
      <c r="CT489">
        <v>0</v>
      </c>
      <c r="CU489">
        <v>0</v>
      </c>
      <c r="CV489">
        <v>0</v>
      </c>
      <c r="CW489">
        <v>0</v>
      </c>
      <c r="CX489">
        <v>163.69999999999999</v>
      </c>
      <c r="CY489">
        <v>0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I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G489" t="e">
        <v>#N/A</v>
      </c>
      <c r="FI489" t="e">
        <v>#N/A</v>
      </c>
      <c r="FK489" t="e">
        <v>#N/A</v>
      </c>
      <c r="FM489" t="e">
        <v>#N/A</v>
      </c>
      <c r="FO489" t="e">
        <v>#N/A</v>
      </c>
      <c r="FQ489" t="e">
        <v>#N/A</v>
      </c>
      <c r="FS489" t="e">
        <v>#N/A</v>
      </c>
      <c r="FU489" t="e">
        <v>#N/A</v>
      </c>
      <c r="FW489" t="e">
        <v>#N/A</v>
      </c>
      <c r="FY489" t="e">
        <v>#N/A</v>
      </c>
      <c r="GA489" t="e">
        <v>#N/A</v>
      </c>
      <c r="GC489" t="e">
        <v>#N/A</v>
      </c>
      <c r="GE489" t="e">
        <v>#N/A</v>
      </c>
      <c r="GG489" t="e">
        <v>#N/A</v>
      </c>
      <c r="GI489" t="e">
        <v>#N/A</v>
      </c>
      <c r="GK489" t="e">
        <v>#N/A</v>
      </c>
      <c r="GM489" t="e">
        <v>#N/A</v>
      </c>
      <c r="GO489" t="e">
        <v>#N/A</v>
      </c>
      <c r="GQ489" t="e">
        <v>#N/A</v>
      </c>
      <c r="GS489" t="e">
        <v>#N/A</v>
      </c>
      <c r="GU489" t="e">
        <v>#N/A</v>
      </c>
      <c r="GW489" t="e">
        <v>#N/A</v>
      </c>
      <c r="GY489" t="e">
        <v>#N/A</v>
      </c>
      <c r="HA489" t="e">
        <v>#N/A</v>
      </c>
      <c r="HC489">
        <v>0</v>
      </c>
      <c r="HD489">
        <v>0</v>
      </c>
      <c r="HE489">
        <v>0</v>
      </c>
      <c r="HF489">
        <v>0</v>
      </c>
      <c r="HG489">
        <v>0</v>
      </c>
      <c r="HH489">
        <v>0</v>
      </c>
      <c r="HI489">
        <v>0</v>
      </c>
      <c r="HJ489">
        <v>0</v>
      </c>
      <c r="HM489">
        <v>0</v>
      </c>
      <c r="HN489">
        <v>0</v>
      </c>
      <c r="HO489">
        <v>0</v>
      </c>
      <c r="HP489">
        <v>0</v>
      </c>
      <c r="HQ489">
        <v>0</v>
      </c>
      <c r="HR489">
        <v>0</v>
      </c>
      <c r="HS489">
        <v>0</v>
      </c>
      <c r="HT489">
        <v>0</v>
      </c>
      <c r="HW489">
        <v>0</v>
      </c>
      <c r="HX489">
        <v>0</v>
      </c>
      <c r="HY489">
        <v>0</v>
      </c>
      <c r="HZ489">
        <v>0</v>
      </c>
      <c r="IA489">
        <v>3930.6</v>
      </c>
      <c r="IB489">
        <v>3632.9</v>
      </c>
      <c r="IC489">
        <v>3795.5</v>
      </c>
      <c r="ID489">
        <v>0</v>
      </c>
      <c r="IE489">
        <v>0</v>
      </c>
      <c r="IF489">
        <v>3548.5</v>
      </c>
      <c r="IG489">
        <v>3395.2</v>
      </c>
      <c r="IH489">
        <v>3395.4</v>
      </c>
      <c r="II489">
        <v>3302.3</v>
      </c>
      <c r="IJ489">
        <v>3172.8</v>
      </c>
      <c r="IK489">
        <v>0</v>
      </c>
      <c r="IL489">
        <v>0</v>
      </c>
      <c r="IM489">
        <v>0</v>
      </c>
      <c r="IN489">
        <v>0</v>
      </c>
      <c r="IO489">
        <v>123.4</v>
      </c>
      <c r="IP489">
        <v>405.2</v>
      </c>
      <c r="IQ489">
        <v>418.7</v>
      </c>
      <c r="IR489">
        <v>0</v>
      </c>
      <c r="IS489">
        <v>0</v>
      </c>
      <c r="IT489">
        <v>0</v>
      </c>
      <c r="IU489">
        <v>0</v>
      </c>
      <c r="IV489">
        <v>396</v>
      </c>
      <c r="IW489">
        <v>0</v>
      </c>
      <c r="IX489">
        <v>0</v>
      </c>
      <c r="IZ489">
        <v>0</v>
      </c>
      <c r="JA489">
        <v>65.5</v>
      </c>
      <c r="JB489">
        <v>443.5</v>
      </c>
      <c r="JC489">
        <v>0</v>
      </c>
      <c r="JD489">
        <v>0</v>
      </c>
      <c r="JE489">
        <v>0</v>
      </c>
      <c r="JF489">
        <v>0</v>
      </c>
      <c r="JG489">
        <v>0</v>
      </c>
      <c r="JH489">
        <v>0</v>
      </c>
      <c r="JI489">
        <v>0</v>
      </c>
      <c r="JJ489">
        <v>0</v>
      </c>
      <c r="JK489">
        <v>0</v>
      </c>
      <c r="JL489">
        <v>0</v>
      </c>
      <c r="JM489">
        <v>0</v>
      </c>
      <c r="JN489">
        <v>0</v>
      </c>
      <c r="JO489">
        <v>0</v>
      </c>
      <c r="JP489">
        <v>0</v>
      </c>
      <c r="JQ489">
        <v>0</v>
      </c>
      <c r="JR489">
        <v>0</v>
      </c>
      <c r="JS489">
        <v>0</v>
      </c>
      <c r="JT489">
        <v>0</v>
      </c>
      <c r="JU489">
        <v>0</v>
      </c>
      <c r="JV489">
        <v>0</v>
      </c>
      <c r="JW489">
        <v>0</v>
      </c>
      <c r="JX489">
        <v>0</v>
      </c>
      <c r="JY489">
        <v>0</v>
      </c>
      <c r="JZ489">
        <v>0</v>
      </c>
      <c r="KA489">
        <v>0</v>
      </c>
      <c r="KB489">
        <v>0</v>
      </c>
      <c r="KC489">
        <v>0</v>
      </c>
      <c r="KD489">
        <v>0</v>
      </c>
      <c r="KE489">
        <v>0</v>
      </c>
      <c r="KF489">
        <v>0</v>
      </c>
      <c r="KI489">
        <v>344.6</v>
      </c>
      <c r="KJ489">
        <v>350.8</v>
      </c>
      <c r="KK489">
        <v>22.1</v>
      </c>
      <c r="KL489">
        <v>379.3</v>
      </c>
      <c r="KM489">
        <v>241.4</v>
      </c>
      <c r="KN489">
        <v>0</v>
      </c>
      <c r="KO489">
        <v>0</v>
      </c>
      <c r="KP489">
        <v>57.3</v>
      </c>
      <c r="KQ489">
        <v>224.4</v>
      </c>
      <c r="KR489">
        <v>338.3</v>
      </c>
      <c r="KS489">
        <v>215.8</v>
      </c>
      <c r="KT489">
        <v>40.700000000000003</v>
      </c>
      <c r="KW489">
        <v>2154.5</v>
      </c>
      <c r="KX489">
        <v>1255.7</v>
      </c>
      <c r="KY489">
        <v>1630.1</v>
      </c>
      <c r="KZ489">
        <v>1246.9000000000001</v>
      </c>
      <c r="LB489">
        <v>78.099999999999994</v>
      </c>
      <c r="LC489">
        <v>77.7</v>
      </c>
    </row>
    <row r="490" spans="1:315" ht="35.4" thickBot="1">
      <c r="A490" s="245"/>
      <c r="B490" s="570" t="s">
        <v>610</v>
      </c>
      <c r="C490" s="88" t="s">
        <v>903</v>
      </c>
      <c r="D490" s="299" t="s">
        <v>828</v>
      </c>
      <c r="E490" s="429">
        <v>0</v>
      </c>
      <c r="F490" s="156">
        <v>0</v>
      </c>
      <c r="G490" s="427">
        <v>3413.8</v>
      </c>
      <c r="H490" s="155"/>
      <c r="I490">
        <v>735</v>
      </c>
      <c r="K490">
        <v>1973.1000000000001</v>
      </c>
      <c r="L490" s="4">
        <v>221.60000000000002</v>
      </c>
      <c r="M490" s="4">
        <v>54.9</v>
      </c>
      <c r="N490" s="4">
        <v>1989.7</v>
      </c>
      <c r="P490">
        <v>0</v>
      </c>
      <c r="Q490">
        <v>238.29999999999998</v>
      </c>
      <c r="R490">
        <v>0</v>
      </c>
      <c r="S490">
        <v>0</v>
      </c>
      <c r="T490">
        <v>368.5</v>
      </c>
      <c r="W490">
        <v>720.3</v>
      </c>
      <c r="X490">
        <v>1411.5</v>
      </c>
      <c r="Y490">
        <v>96.5</v>
      </c>
      <c r="AA490">
        <v>859.6</v>
      </c>
      <c r="AB490">
        <v>1577.6000000000001</v>
      </c>
      <c r="AE490">
        <v>1330</v>
      </c>
      <c r="AF490">
        <v>1025.5</v>
      </c>
      <c r="AH490">
        <v>509.9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1349.3</v>
      </c>
      <c r="AO490">
        <v>786.40000000000009</v>
      </c>
      <c r="AP490">
        <v>0</v>
      </c>
      <c r="AQ490">
        <v>68.3</v>
      </c>
      <c r="AR490">
        <v>234.9</v>
      </c>
      <c r="AS490">
        <v>600.40000000000009</v>
      </c>
      <c r="AU490">
        <v>985.69999999999993</v>
      </c>
      <c r="AW490">
        <v>792</v>
      </c>
      <c r="AX490">
        <v>1988.5</v>
      </c>
      <c r="AZ490">
        <v>763.5</v>
      </c>
      <c r="BA490">
        <v>0</v>
      </c>
      <c r="BB490">
        <v>0</v>
      </c>
      <c r="BC490">
        <v>1935.3</v>
      </c>
      <c r="BD490">
        <v>1006.5</v>
      </c>
      <c r="BE490">
        <v>0</v>
      </c>
      <c r="BF490">
        <v>0</v>
      </c>
      <c r="BG490">
        <v>0</v>
      </c>
      <c r="BH490">
        <v>1662.6</v>
      </c>
      <c r="BJ490">
        <v>0</v>
      </c>
      <c r="BK490">
        <v>0</v>
      </c>
      <c r="BL490">
        <v>1038.9000000000001</v>
      </c>
      <c r="BM490">
        <v>1101</v>
      </c>
      <c r="BO490">
        <v>1276.8000000000002</v>
      </c>
      <c r="BQ490">
        <v>0</v>
      </c>
      <c r="BR490">
        <v>270.7</v>
      </c>
      <c r="BS490">
        <v>230.5</v>
      </c>
      <c r="BT490">
        <v>472.3</v>
      </c>
      <c r="BU490">
        <v>537.29999999999995</v>
      </c>
      <c r="BV490">
        <v>346.3</v>
      </c>
      <c r="BW490">
        <v>386.2</v>
      </c>
      <c r="BX490">
        <v>767</v>
      </c>
      <c r="BY490">
        <v>757.2</v>
      </c>
      <c r="BZ490">
        <v>1037.2</v>
      </c>
      <c r="CA490">
        <v>1227.0999999999999</v>
      </c>
      <c r="CB490">
        <v>1232.0999999999999</v>
      </c>
      <c r="CC490">
        <v>1701.5</v>
      </c>
      <c r="CD490">
        <v>0</v>
      </c>
      <c r="CG490">
        <v>1385.3</v>
      </c>
      <c r="CJ490">
        <v>1630.2999999999997</v>
      </c>
      <c r="CM490">
        <v>1184.2</v>
      </c>
      <c r="CO490">
        <v>1248.0999999999999</v>
      </c>
      <c r="CQ490">
        <v>1435.3</v>
      </c>
      <c r="CR490">
        <v>798.2</v>
      </c>
      <c r="CS490">
        <v>923.8</v>
      </c>
      <c r="CT490">
        <v>0</v>
      </c>
      <c r="CU490">
        <v>0</v>
      </c>
      <c r="CV490">
        <v>0</v>
      </c>
      <c r="CW490">
        <v>0</v>
      </c>
      <c r="CX490">
        <v>163.69999999999999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</v>
      </c>
      <c r="DI490">
        <v>0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G490" t="e">
        <v>#N/A</v>
      </c>
      <c r="FI490" t="e">
        <v>#N/A</v>
      </c>
      <c r="FK490" t="e">
        <v>#N/A</v>
      </c>
      <c r="FM490" t="e">
        <v>#N/A</v>
      </c>
      <c r="FO490" t="e">
        <v>#N/A</v>
      </c>
      <c r="FQ490" t="e">
        <v>#N/A</v>
      </c>
      <c r="FS490" t="e">
        <v>#N/A</v>
      </c>
      <c r="FU490" t="e">
        <v>#N/A</v>
      </c>
      <c r="FW490" t="e">
        <v>#N/A</v>
      </c>
      <c r="FY490" t="e">
        <v>#N/A</v>
      </c>
      <c r="GA490" t="e">
        <v>#N/A</v>
      </c>
      <c r="GC490" t="e">
        <v>#N/A</v>
      </c>
      <c r="GE490" t="e">
        <v>#N/A</v>
      </c>
      <c r="GG490" t="e">
        <v>#N/A</v>
      </c>
      <c r="GI490" t="e">
        <v>#N/A</v>
      </c>
      <c r="GK490" t="e">
        <v>#N/A</v>
      </c>
      <c r="GM490" t="e">
        <v>#N/A</v>
      </c>
      <c r="GO490" t="e">
        <v>#N/A</v>
      </c>
      <c r="GQ490" t="e">
        <v>#N/A</v>
      </c>
      <c r="GS490" t="e">
        <v>#N/A</v>
      </c>
      <c r="GU490" t="e">
        <v>#N/A</v>
      </c>
      <c r="GW490" t="e">
        <v>#N/A</v>
      </c>
      <c r="GY490" t="e">
        <v>#N/A</v>
      </c>
      <c r="HA490" t="e">
        <v>#N/A</v>
      </c>
      <c r="HC490">
        <v>0</v>
      </c>
      <c r="HD490">
        <v>0</v>
      </c>
      <c r="HE490">
        <v>0</v>
      </c>
      <c r="HF490">
        <v>0</v>
      </c>
      <c r="HG490">
        <v>0</v>
      </c>
      <c r="HH490">
        <v>0</v>
      </c>
      <c r="HI490">
        <v>0</v>
      </c>
      <c r="HJ490">
        <v>0</v>
      </c>
      <c r="HM490">
        <v>0</v>
      </c>
      <c r="HN490">
        <v>0</v>
      </c>
      <c r="HO490">
        <v>0</v>
      </c>
      <c r="HP490">
        <v>0</v>
      </c>
      <c r="HQ490">
        <v>0</v>
      </c>
      <c r="HR490">
        <v>0</v>
      </c>
      <c r="HS490">
        <v>0</v>
      </c>
      <c r="HT490">
        <v>0</v>
      </c>
      <c r="HW490">
        <v>0</v>
      </c>
      <c r="HX490">
        <v>0</v>
      </c>
      <c r="HY490">
        <v>0</v>
      </c>
      <c r="HZ490">
        <v>0</v>
      </c>
      <c r="IA490">
        <v>3930.6</v>
      </c>
      <c r="IB490">
        <v>3632.9</v>
      </c>
      <c r="IC490">
        <v>3795.5</v>
      </c>
      <c r="ID490">
        <v>0</v>
      </c>
      <c r="IE490">
        <v>0</v>
      </c>
      <c r="IF490">
        <v>3548.5</v>
      </c>
      <c r="IG490">
        <v>3395.2</v>
      </c>
      <c r="IH490">
        <v>3395.4</v>
      </c>
      <c r="II490">
        <v>3302.3</v>
      </c>
      <c r="IJ490">
        <v>3172.8</v>
      </c>
      <c r="IK490">
        <v>0</v>
      </c>
      <c r="IL490">
        <v>0</v>
      </c>
      <c r="IM490">
        <v>0</v>
      </c>
      <c r="IN490">
        <v>0</v>
      </c>
      <c r="IO490">
        <v>123.4</v>
      </c>
      <c r="IP490">
        <v>405.2</v>
      </c>
      <c r="IQ490">
        <v>418.7</v>
      </c>
      <c r="IR490">
        <v>0</v>
      </c>
      <c r="IS490">
        <v>0</v>
      </c>
      <c r="IT490">
        <v>0</v>
      </c>
      <c r="IU490">
        <v>0</v>
      </c>
      <c r="IV490">
        <v>396</v>
      </c>
      <c r="IW490">
        <v>0</v>
      </c>
      <c r="IX490">
        <v>0</v>
      </c>
      <c r="IZ490">
        <v>0</v>
      </c>
      <c r="JA490">
        <v>65.5</v>
      </c>
      <c r="JB490">
        <v>443.5</v>
      </c>
      <c r="JC490">
        <v>0</v>
      </c>
      <c r="JD490">
        <v>0</v>
      </c>
      <c r="JE490">
        <v>0</v>
      </c>
      <c r="JF490">
        <v>0</v>
      </c>
      <c r="JG490">
        <v>0</v>
      </c>
      <c r="JH490">
        <v>0</v>
      </c>
      <c r="JI490">
        <v>0</v>
      </c>
      <c r="JJ490">
        <v>0</v>
      </c>
      <c r="JK490">
        <v>0</v>
      </c>
      <c r="JL490">
        <v>0</v>
      </c>
      <c r="JM490">
        <v>0</v>
      </c>
      <c r="JN490">
        <v>0</v>
      </c>
      <c r="JO490">
        <v>0</v>
      </c>
      <c r="JP490">
        <v>0</v>
      </c>
      <c r="JQ490">
        <v>0</v>
      </c>
      <c r="JR490">
        <v>0</v>
      </c>
      <c r="JS490">
        <v>0</v>
      </c>
      <c r="JT490">
        <v>0</v>
      </c>
      <c r="JU490">
        <v>0</v>
      </c>
      <c r="JV490">
        <v>0</v>
      </c>
      <c r="JW490">
        <v>0</v>
      </c>
      <c r="JX490">
        <v>0</v>
      </c>
      <c r="JY490">
        <v>0</v>
      </c>
      <c r="JZ490">
        <v>0</v>
      </c>
      <c r="KA490">
        <v>0</v>
      </c>
      <c r="KB490">
        <v>0</v>
      </c>
      <c r="KC490">
        <v>0</v>
      </c>
      <c r="KD490">
        <v>0</v>
      </c>
      <c r="KE490">
        <v>0</v>
      </c>
      <c r="KF490">
        <v>0</v>
      </c>
      <c r="KI490">
        <v>344.6</v>
      </c>
      <c r="KJ490">
        <v>350.8</v>
      </c>
      <c r="KK490">
        <v>22.1</v>
      </c>
      <c r="KL490">
        <v>379.3</v>
      </c>
      <c r="KM490">
        <v>241.4</v>
      </c>
      <c r="KN490">
        <v>0</v>
      </c>
      <c r="KO490">
        <v>0</v>
      </c>
      <c r="KP490">
        <v>57.3</v>
      </c>
      <c r="KQ490">
        <v>224.4</v>
      </c>
      <c r="KR490">
        <v>338.3</v>
      </c>
      <c r="KS490">
        <v>215.8</v>
      </c>
      <c r="KT490">
        <v>40.700000000000003</v>
      </c>
      <c r="KW490">
        <v>2154.5</v>
      </c>
      <c r="KX490">
        <v>1255.7</v>
      </c>
      <c r="KY490">
        <v>1630.1</v>
      </c>
      <c r="KZ490">
        <v>1246.9000000000001</v>
      </c>
      <c r="LB490">
        <v>78.099999999999994</v>
      </c>
      <c r="LC490">
        <v>77.7</v>
      </c>
    </row>
    <row r="491" spans="1:315" ht="18" thickBot="1">
      <c r="A491" s="246"/>
      <c r="B491" s="571"/>
      <c r="C491" s="329"/>
      <c r="D491" s="300"/>
      <c r="E491" s="430">
        <v>0</v>
      </c>
      <c r="F491" s="157">
        <v>0</v>
      </c>
      <c r="G491" s="427">
        <v>3413.8</v>
      </c>
      <c r="H491" s="155"/>
      <c r="I491">
        <v>735</v>
      </c>
      <c r="K491">
        <v>1973.1000000000001</v>
      </c>
      <c r="L491" s="4">
        <v>221.60000000000002</v>
      </c>
      <c r="M491" s="4">
        <v>54.9</v>
      </c>
      <c r="N491" s="4">
        <v>1989.7</v>
      </c>
      <c r="P491">
        <v>0</v>
      </c>
      <c r="Q491">
        <v>238.29999999999998</v>
      </c>
      <c r="R491">
        <v>0</v>
      </c>
      <c r="S491">
        <v>0</v>
      </c>
      <c r="T491">
        <v>368.5</v>
      </c>
      <c r="W491">
        <v>720.3</v>
      </c>
      <c r="X491">
        <v>1411.5</v>
      </c>
      <c r="Y491">
        <v>96.5</v>
      </c>
      <c r="AA491">
        <v>859.6</v>
      </c>
      <c r="AB491">
        <v>1577.6000000000001</v>
      </c>
      <c r="AE491">
        <v>1330</v>
      </c>
      <c r="AF491">
        <v>1025.5</v>
      </c>
      <c r="AH491">
        <v>509.9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1349.3</v>
      </c>
      <c r="AO491">
        <v>786.40000000000009</v>
      </c>
      <c r="AP491">
        <v>0</v>
      </c>
      <c r="AQ491">
        <v>68.3</v>
      </c>
      <c r="AR491">
        <v>234.9</v>
      </c>
      <c r="AS491">
        <v>600.40000000000009</v>
      </c>
      <c r="AU491">
        <v>985.69999999999993</v>
      </c>
      <c r="AW491">
        <v>792</v>
      </c>
      <c r="AX491">
        <v>1988.5</v>
      </c>
      <c r="AZ491">
        <v>763.5</v>
      </c>
      <c r="BA491">
        <v>0</v>
      </c>
      <c r="BB491">
        <v>0</v>
      </c>
      <c r="BC491">
        <v>1935.3</v>
      </c>
      <c r="BD491">
        <v>1006.5</v>
      </c>
      <c r="BE491">
        <v>0</v>
      </c>
      <c r="BF491">
        <v>0</v>
      </c>
      <c r="BG491">
        <v>0</v>
      </c>
      <c r="BH491">
        <v>1662.6</v>
      </c>
      <c r="BJ491">
        <v>0</v>
      </c>
      <c r="BK491">
        <v>0</v>
      </c>
      <c r="BL491">
        <v>1038.9000000000001</v>
      </c>
      <c r="BM491">
        <v>1101</v>
      </c>
      <c r="BO491">
        <v>1276.8000000000002</v>
      </c>
      <c r="BQ491">
        <v>0</v>
      </c>
      <c r="BR491">
        <v>270.7</v>
      </c>
      <c r="BS491">
        <v>230.5</v>
      </c>
      <c r="BT491">
        <v>472.3</v>
      </c>
      <c r="BU491">
        <v>537.29999999999995</v>
      </c>
      <c r="BV491">
        <v>346.3</v>
      </c>
      <c r="BW491">
        <v>386.2</v>
      </c>
      <c r="BX491">
        <v>767</v>
      </c>
      <c r="BY491">
        <v>757.2</v>
      </c>
      <c r="BZ491">
        <v>1037.2</v>
      </c>
      <c r="CA491">
        <v>1227.0999999999999</v>
      </c>
      <c r="CB491">
        <v>1232.0999999999999</v>
      </c>
      <c r="CC491">
        <v>1701.5</v>
      </c>
      <c r="CD491">
        <v>0</v>
      </c>
      <c r="CG491">
        <v>1385.3</v>
      </c>
      <c r="CJ491">
        <v>1630.2999999999997</v>
      </c>
      <c r="CM491">
        <v>1184.2</v>
      </c>
      <c r="CO491">
        <v>1248.0999999999999</v>
      </c>
      <c r="CQ491">
        <v>1435.3</v>
      </c>
      <c r="CR491">
        <v>798.2</v>
      </c>
      <c r="CS491">
        <v>923.8</v>
      </c>
      <c r="CT491">
        <v>0</v>
      </c>
      <c r="CU491">
        <v>0</v>
      </c>
      <c r="CV491">
        <v>0</v>
      </c>
      <c r="CW491">
        <v>0</v>
      </c>
      <c r="CX491">
        <v>163.69999999999999</v>
      </c>
      <c r="CY491">
        <v>0</v>
      </c>
      <c r="CZ491">
        <v>0</v>
      </c>
      <c r="DA491">
        <v>0</v>
      </c>
      <c r="DB491">
        <v>0</v>
      </c>
      <c r="DC491">
        <v>0</v>
      </c>
      <c r="DD491">
        <v>0</v>
      </c>
      <c r="DE491">
        <v>0</v>
      </c>
      <c r="DI491">
        <v>0</v>
      </c>
      <c r="EC491">
        <v>0</v>
      </c>
      <c r="ED491">
        <v>0</v>
      </c>
      <c r="EE491">
        <v>0</v>
      </c>
      <c r="EF491">
        <v>0</v>
      </c>
      <c r="EG491">
        <v>0</v>
      </c>
      <c r="EH491">
        <v>0</v>
      </c>
      <c r="EI491">
        <v>0</v>
      </c>
      <c r="EJ491">
        <v>0</v>
      </c>
      <c r="EM491">
        <v>0</v>
      </c>
      <c r="EN491">
        <v>0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G491" t="e">
        <v>#N/A</v>
      </c>
      <c r="FI491" t="e">
        <v>#N/A</v>
      </c>
      <c r="FK491" t="e">
        <v>#N/A</v>
      </c>
      <c r="FM491" t="e">
        <v>#N/A</v>
      </c>
      <c r="FO491" t="e">
        <v>#N/A</v>
      </c>
      <c r="FQ491" t="e">
        <v>#N/A</v>
      </c>
      <c r="FS491" t="e">
        <v>#N/A</v>
      </c>
      <c r="FU491" t="e">
        <v>#N/A</v>
      </c>
      <c r="FW491" t="e">
        <v>#N/A</v>
      </c>
      <c r="FY491" t="e">
        <v>#N/A</v>
      </c>
      <c r="GA491" t="e">
        <v>#N/A</v>
      </c>
      <c r="GC491" t="e">
        <v>#N/A</v>
      </c>
      <c r="GE491" t="e">
        <v>#N/A</v>
      </c>
      <c r="GG491" t="e">
        <v>#N/A</v>
      </c>
      <c r="GI491" t="e">
        <v>#N/A</v>
      </c>
      <c r="GK491" t="e">
        <v>#N/A</v>
      </c>
      <c r="GM491" t="e">
        <v>#N/A</v>
      </c>
      <c r="GO491" t="e">
        <v>#N/A</v>
      </c>
      <c r="GQ491" t="e">
        <v>#N/A</v>
      </c>
      <c r="GS491" t="e">
        <v>#N/A</v>
      </c>
      <c r="GU491" t="e">
        <v>#N/A</v>
      </c>
      <c r="GW491" t="e">
        <v>#N/A</v>
      </c>
      <c r="GY491" t="e">
        <v>#N/A</v>
      </c>
      <c r="HA491" t="e">
        <v>#N/A</v>
      </c>
      <c r="HC491">
        <v>0</v>
      </c>
      <c r="HD491">
        <v>0</v>
      </c>
      <c r="HE491">
        <v>0</v>
      </c>
      <c r="HF491">
        <v>0</v>
      </c>
      <c r="HG491">
        <v>0</v>
      </c>
      <c r="HH491">
        <v>0</v>
      </c>
      <c r="HI491">
        <v>0</v>
      </c>
      <c r="HJ491">
        <v>0</v>
      </c>
      <c r="HM491">
        <v>0</v>
      </c>
      <c r="HN491">
        <v>0</v>
      </c>
      <c r="HO491">
        <v>0</v>
      </c>
      <c r="HP491">
        <v>0</v>
      </c>
      <c r="HQ491">
        <v>0</v>
      </c>
      <c r="HR491">
        <v>0</v>
      </c>
      <c r="HS491">
        <v>0</v>
      </c>
      <c r="HT491">
        <v>0</v>
      </c>
      <c r="HW491">
        <v>0</v>
      </c>
      <c r="HX491">
        <v>0</v>
      </c>
      <c r="HY491">
        <v>0</v>
      </c>
      <c r="HZ491">
        <v>0</v>
      </c>
      <c r="IA491">
        <v>3930.6</v>
      </c>
      <c r="IB491">
        <v>3632.9</v>
      </c>
      <c r="IC491">
        <v>3795.5</v>
      </c>
      <c r="ID491">
        <v>0</v>
      </c>
      <c r="IE491">
        <v>0</v>
      </c>
      <c r="IF491">
        <v>3548.5</v>
      </c>
      <c r="IG491">
        <v>3395.2</v>
      </c>
      <c r="IH491">
        <v>3395.4</v>
      </c>
      <c r="II491">
        <v>3302.3</v>
      </c>
      <c r="IJ491">
        <v>3172.8</v>
      </c>
      <c r="IK491">
        <v>0</v>
      </c>
      <c r="IL491">
        <v>0</v>
      </c>
      <c r="IM491">
        <v>0</v>
      </c>
      <c r="IN491">
        <v>0</v>
      </c>
      <c r="IO491">
        <v>123.4</v>
      </c>
      <c r="IP491">
        <v>405.2</v>
      </c>
      <c r="IQ491">
        <v>418.7</v>
      </c>
      <c r="IR491">
        <v>0</v>
      </c>
      <c r="IS491">
        <v>0</v>
      </c>
      <c r="IT491">
        <v>0</v>
      </c>
      <c r="IU491">
        <v>0</v>
      </c>
      <c r="IV491">
        <v>396</v>
      </c>
      <c r="IW491">
        <v>0</v>
      </c>
      <c r="IX491">
        <v>0</v>
      </c>
      <c r="IZ491">
        <v>0</v>
      </c>
      <c r="JA491">
        <v>65.5</v>
      </c>
      <c r="JB491">
        <v>443.5</v>
      </c>
      <c r="JC491">
        <v>0</v>
      </c>
      <c r="JD491">
        <v>0</v>
      </c>
      <c r="JE491">
        <v>0</v>
      </c>
      <c r="JF491">
        <v>0</v>
      </c>
      <c r="JG491">
        <v>0</v>
      </c>
      <c r="JH491">
        <v>0</v>
      </c>
      <c r="JI491">
        <v>0</v>
      </c>
      <c r="JJ491">
        <v>0</v>
      </c>
      <c r="JK491">
        <v>0</v>
      </c>
      <c r="JL491">
        <v>0</v>
      </c>
      <c r="JM491">
        <v>0</v>
      </c>
      <c r="JN491">
        <v>0</v>
      </c>
      <c r="JO491">
        <v>0</v>
      </c>
      <c r="JP491">
        <v>0</v>
      </c>
      <c r="JQ491">
        <v>0</v>
      </c>
      <c r="JR491">
        <v>0</v>
      </c>
      <c r="JS491">
        <v>0</v>
      </c>
      <c r="JT491">
        <v>0</v>
      </c>
      <c r="JU491">
        <v>0</v>
      </c>
      <c r="JV491">
        <v>0</v>
      </c>
      <c r="JW491">
        <v>0</v>
      </c>
      <c r="JX491">
        <v>0</v>
      </c>
      <c r="JY491">
        <v>0</v>
      </c>
      <c r="JZ491">
        <v>0</v>
      </c>
      <c r="KA491">
        <v>0</v>
      </c>
      <c r="KB491">
        <v>0</v>
      </c>
      <c r="KC491">
        <v>0</v>
      </c>
      <c r="KD491">
        <v>0</v>
      </c>
      <c r="KE491">
        <v>0</v>
      </c>
      <c r="KF491">
        <v>0</v>
      </c>
      <c r="KI491">
        <v>344.6</v>
      </c>
      <c r="KJ491">
        <v>350.8</v>
      </c>
      <c r="KK491">
        <v>22.1</v>
      </c>
      <c r="KL491">
        <v>379.3</v>
      </c>
      <c r="KM491">
        <v>241.4</v>
      </c>
      <c r="KN491">
        <v>0</v>
      </c>
      <c r="KO491">
        <v>0</v>
      </c>
      <c r="KP491">
        <v>57.3</v>
      </c>
      <c r="KQ491">
        <v>224.4</v>
      </c>
      <c r="KR491">
        <v>338.3</v>
      </c>
      <c r="KS491">
        <v>215.8</v>
      </c>
      <c r="KT491">
        <v>40.700000000000003</v>
      </c>
      <c r="KW491">
        <v>2154.5</v>
      </c>
      <c r="KX491">
        <v>1255.7</v>
      </c>
      <c r="KY491">
        <v>1630.1</v>
      </c>
      <c r="KZ491">
        <v>1246.9000000000001</v>
      </c>
      <c r="LB491">
        <v>78.099999999999994</v>
      </c>
      <c r="LC491">
        <v>77.7</v>
      </c>
    </row>
    <row r="492" spans="1:315" ht="18.600000000000001" thickTop="1" thickBot="1">
      <c r="A492" s="181"/>
      <c r="B492" s="4"/>
      <c r="C492" s="330" t="s">
        <v>890</v>
      </c>
      <c r="D492" s="283"/>
      <c r="E492" s="448">
        <v>0</v>
      </c>
      <c r="F492" s="221">
        <v>0</v>
      </c>
      <c r="G492" s="427">
        <v>3413.8</v>
      </c>
      <c r="H492" s="155"/>
      <c r="I492">
        <v>735</v>
      </c>
      <c r="K492">
        <v>1973.1000000000001</v>
      </c>
      <c r="L492" s="4">
        <v>221.60000000000002</v>
      </c>
      <c r="M492" s="4">
        <v>54.9</v>
      </c>
      <c r="N492" s="4">
        <v>1989.7</v>
      </c>
      <c r="P492">
        <v>0</v>
      </c>
      <c r="Q492">
        <v>238.29999999999998</v>
      </c>
      <c r="R492">
        <v>0</v>
      </c>
      <c r="S492">
        <v>0</v>
      </c>
      <c r="T492">
        <v>368.5</v>
      </c>
      <c r="W492">
        <v>720.3</v>
      </c>
      <c r="X492">
        <v>1411.5</v>
      </c>
      <c r="Y492">
        <v>96.5</v>
      </c>
      <c r="AA492">
        <v>859.6</v>
      </c>
      <c r="AB492">
        <v>1577.6000000000001</v>
      </c>
      <c r="AE492">
        <v>1330</v>
      </c>
      <c r="AF492">
        <v>1025.5</v>
      </c>
      <c r="AH492">
        <v>509.9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1349.3</v>
      </c>
      <c r="AO492">
        <v>786.40000000000009</v>
      </c>
      <c r="AP492">
        <v>0</v>
      </c>
      <c r="AQ492">
        <v>68.3</v>
      </c>
      <c r="AR492">
        <v>234.9</v>
      </c>
      <c r="AS492">
        <v>600.40000000000009</v>
      </c>
      <c r="AU492">
        <v>985.69999999999993</v>
      </c>
      <c r="AW492">
        <v>792</v>
      </c>
      <c r="AX492">
        <v>1988.5</v>
      </c>
      <c r="AZ492">
        <v>763.5</v>
      </c>
      <c r="BA492">
        <v>0</v>
      </c>
      <c r="BB492">
        <v>0</v>
      </c>
      <c r="BC492">
        <v>1935.3</v>
      </c>
      <c r="BD492">
        <v>1006.5</v>
      </c>
      <c r="BE492">
        <v>0</v>
      </c>
      <c r="BF492">
        <v>0</v>
      </c>
      <c r="BG492">
        <v>0</v>
      </c>
      <c r="BH492">
        <v>1662.6</v>
      </c>
      <c r="BJ492">
        <v>0</v>
      </c>
      <c r="BK492">
        <v>0</v>
      </c>
      <c r="BL492">
        <v>1038.9000000000001</v>
      </c>
      <c r="BM492">
        <v>1101</v>
      </c>
      <c r="BO492">
        <v>1276.8000000000002</v>
      </c>
      <c r="BQ492">
        <v>0</v>
      </c>
      <c r="BR492">
        <v>270.7</v>
      </c>
      <c r="BS492">
        <v>230.5</v>
      </c>
      <c r="BT492">
        <v>472.3</v>
      </c>
      <c r="BU492">
        <v>537.29999999999995</v>
      </c>
      <c r="BV492">
        <v>346.3</v>
      </c>
      <c r="BW492">
        <v>386.2</v>
      </c>
      <c r="BX492">
        <v>767</v>
      </c>
      <c r="BY492">
        <v>757.2</v>
      </c>
      <c r="BZ492">
        <v>1037.2</v>
      </c>
      <c r="CA492">
        <v>1227.0999999999999</v>
      </c>
      <c r="CB492">
        <v>1232.0999999999999</v>
      </c>
      <c r="CC492">
        <v>1701.5</v>
      </c>
      <c r="CD492">
        <v>0</v>
      </c>
      <c r="CG492">
        <v>1385.3</v>
      </c>
      <c r="CJ492">
        <v>1630.2999999999997</v>
      </c>
      <c r="CM492">
        <v>1184.2</v>
      </c>
      <c r="CO492">
        <v>1248.0999999999999</v>
      </c>
      <c r="CQ492">
        <v>1435.3</v>
      </c>
      <c r="CR492">
        <v>798.2</v>
      </c>
      <c r="CS492">
        <v>923.8</v>
      </c>
      <c r="CT492">
        <v>0</v>
      </c>
      <c r="CU492">
        <v>0</v>
      </c>
      <c r="CV492">
        <v>0</v>
      </c>
      <c r="CW492">
        <v>0</v>
      </c>
      <c r="CX492">
        <v>163.69999999999999</v>
      </c>
      <c r="CY492">
        <v>0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I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  <c r="EJ492">
        <v>0</v>
      </c>
      <c r="EM492">
        <v>0</v>
      </c>
      <c r="EN492">
        <v>0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W492">
        <v>0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0</v>
      </c>
      <c r="FD492">
        <v>0</v>
      </c>
      <c r="FG492" t="e">
        <v>#N/A</v>
      </c>
      <c r="FI492" t="e">
        <v>#N/A</v>
      </c>
      <c r="FK492" t="e">
        <v>#N/A</v>
      </c>
      <c r="FM492" t="e">
        <v>#N/A</v>
      </c>
      <c r="FO492" t="e">
        <v>#N/A</v>
      </c>
      <c r="FQ492" t="e">
        <v>#N/A</v>
      </c>
      <c r="FS492" t="e">
        <v>#N/A</v>
      </c>
      <c r="FU492" t="e">
        <v>#N/A</v>
      </c>
      <c r="FW492" t="e">
        <v>#N/A</v>
      </c>
      <c r="FY492" t="e">
        <v>#N/A</v>
      </c>
      <c r="GA492" t="e">
        <v>#N/A</v>
      </c>
      <c r="GC492" t="e">
        <v>#N/A</v>
      </c>
      <c r="GE492" t="e">
        <v>#N/A</v>
      </c>
      <c r="GG492" t="e">
        <v>#N/A</v>
      </c>
      <c r="GI492" t="e">
        <v>#N/A</v>
      </c>
      <c r="GK492" t="e">
        <v>#N/A</v>
      </c>
      <c r="GM492" t="e">
        <v>#N/A</v>
      </c>
      <c r="GO492" t="e">
        <v>#N/A</v>
      </c>
      <c r="GQ492" t="e">
        <v>#N/A</v>
      </c>
      <c r="GS492" t="e">
        <v>#N/A</v>
      </c>
      <c r="GU492" t="e">
        <v>#N/A</v>
      </c>
      <c r="GW492" t="e">
        <v>#N/A</v>
      </c>
      <c r="GY492" t="e">
        <v>#N/A</v>
      </c>
      <c r="HA492" t="e">
        <v>#N/A</v>
      </c>
      <c r="HC492">
        <v>0</v>
      </c>
      <c r="HD492">
        <v>0</v>
      </c>
      <c r="HE492">
        <v>0</v>
      </c>
      <c r="HF492">
        <v>0</v>
      </c>
      <c r="HG492">
        <v>0</v>
      </c>
      <c r="HH492">
        <v>0</v>
      </c>
      <c r="HI492">
        <v>0</v>
      </c>
      <c r="HJ492">
        <v>0</v>
      </c>
      <c r="HM492">
        <v>0</v>
      </c>
      <c r="HN492">
        <v>0</v>
      </c>
      <c r="HO492">
        <v>0</v>
      </c>
      <c r="HP492">
        <v>0</v>
      </c>
      <c r="HQ492">
        <v>0</v>
      </c>
      <c r="HR492">
        <v>0</v>
      </c>
      <c r="HS492">
        <v>0</v>
      </c>
      <c r="HT492">
        <v>0</v>
      </c>
      <c r="HW492">
        <v>0</v>
      </c>
      <c r="HX492">
        <v>0</v>
      </c>
      <c r="HY492">
        <v>0</v>
      </c>
      <c r="HZ492">
        <v>0</v>
      </c>
      <c r="IA492">
        <v>3930.6</v>
      </c>
      <c r="IB492">
        <v>3632.9</v>
      </c>
      <c r="IC492">
        <v>3795.5</v>
      </c>
      <c r="ID492">
        <v>0</v>
      </c>
      <c r="IE492">
        <v>0</v>
      </c>
      <c r="IF492">
        <v>3548.5</v>
      </c>
      <c r="IG492">
        <v>3395.2</v>
      </c>
      <c r="IH492">
        <v>3395.4</v>
      </c>
      <c r="II492">
        <v>3302.3</v>
      </c>
      <c r="IJ492">
        <v>3172.8</v>
      </c>
      <c r="IK492">
        <v>0</v>
      </c>
      <c r="IL492">
        <v>0</v>
      </c>
      <c r="IM492">
        <v>0</v>
      </c>
      <c r="IN492">
        <v>0</v>
      </c>
      <c r="IO492">
        <v>123.4</v>
      </c>
      <c r="IP492">
        <v>405.2</v>
      </c>
      <c r="IQ492">
        <v>418.7</v>
      </c>
      <c r="IR492">
        <v>0</v>
      </c>
      <c r="IS492">
        <v>0</v>
      </c>
      <c r="IT492">
        <v>0</v>
      </c>
      <c r="IU492">
        <v>0</v>
      </c>
      <c r="IV492">
        <v>396</v>
      </c>
      <c r="IW492">
        <v>0</v>
      </c>
      <c r="IX492">
        <v>0</v>
      </c>
      <c r="IZ492">
        <v>0</v>
      </c>
      <c r="JA492">
        <v>65.5</v>
      </c>
      <c r="JB492">
        <v>443.5</v>
      </c>
      <c r="JC492">
        <v>0</v>
      </c>
      <c r="JD492">
        <v>0</v>
      </c>
      <c r="JE492">
        <v>0</v>
      </c>
      <c r="JF492">
        <v>0</v>
      </c>
      <c r="JG492">
        <v>0</v>
      </c>
      <c r="JH492">
        <v>0</v>
      </c>
      <c r="JI492">
        <v>0</v>
      </c>
      <c r="JJ492">
        <v>0</v>
      </c>
      <c r="JK492">
        <v>0</v>
      </c>
      <c r="JL492">
        <v>0</v>
      </c>
      <c r="JM492">
        <v>0</v>
      </c>
      <c r="JN492">
        <v>0</v>
      </c>
      <c r="JO492">
        <v>0</v>
      </c>
      <c r="JP492">
        <v>0</v>
      </c>
      <c r="JQ492">
        <v>0</v>
      </c>
      <c r="JR492">
        <v>0</v>
      </c>
      <c r="JS492">
        <v>0</v>
      </c>
      <c r="JT492">
        <v>0</v>
      </c>
      <c r="JU492">
        <v>0</v>
      </c>
      <c r="JV492">
        <v>0</v>
      </c>
      <c r="JW492">
        <v>0</v>
      </c>
      <c r="JX492">
        <v>0</v>
      </c>
      <c r="JY492">
        <v>0</v>
      </c>
      <c r="JZ492">
        <v>0</v>
      </c>
      <c r="KA492">
        <v>0</v>
      </c>
      <c r="KB492">
        <v>0</v>
      </c>
      <c r="KC492">
        <v>0</v>
      </c>
      <c r="KD492">
        <v>0</v>
      </c>
      <c r="KE492">
        <v>0</v>
      </c>
      <c r="KF492">
        <v>0</v>
      </c>
      <c r="KI492">
        <v>344.6</v>
      </c>
      <c r="KJ492">
        <v>350.8</v>
      </c>
      <c r="KK492">
        <v>22.1</v>
      </c>
      <c r="KL492">
        <v>379.3</v>
      </c>
      <c r="KM492">
        <v>241.4</v>
      </c>
      <c r="KN492">
        <v>0</v>
      </c>
      <c r="KO492">
        <v>0</v>
      </c>
      <c r="KP492">
        <v>57.3</v>
      </c>
      <c r="KQ492">
        <v>224.4</v>
      </c>
      <c r="KR492">
        <v>338.3</v>
      </c>
      <c r="KS492">
        <v>215.8</v>
      </c>
      <c r="KT492">
        <v>40.700000000000003</v>
      </c>
      <c r="KW492">
        <v>2154.5</v>
      </c>
      <c r="KX492">
        <v>1255.7</v>
      </c>
      <c r="KY492">
        <v>1630.1</v>
      </c>
      <c r="KZ492">
        <v>1246.9000000000001</v>
      </c>
      <c r="LB492">
        <v>78.099999999999994</v>
      </c>
      <c r="LC492">
        <v>77.7</v>
      </c>
    </row>
    <row r="493" spans="1:315" ht="18" thickBot="1">
      <c r="A493" s="245"/>
      <c r="B493" s="4"/>
      <c r="C493" s="332" t="s">
        <v>904</v>
      </c>
      <c r="D493" s="286"/>
      <c r="E493" s="449">
        <v>0</v>
      </c>
      <c r="F493" s="209">
        <v>0</v>
      </c>
      <c r="G493" s="427">
        <v>3413.8</v>
      </c>
      <c r="H493" s="155"/>
      <c r="I493">
        <v>735</v>
      </c>
      <c r="K493">
        <v>1973.1000000000001</v>
      </c>
      <c r="L493" s="4">
        <v>221.60000000000002</v>
      </c>
      <c r="M493" s="4">
        <v>54.9</v>
      </c>
      <c r="N493" s="4">
        <v>1989.7</v>
      </c>
      <c r="P493">
        <v>0</v>
      </c>
      <c r="Q493">
        <v>238.29999999999998</v>
      </c>
      <c r="R493">
        <v>0</v>
      </c>
      <c r="S493">
        <v>0</v>
      </c>
      <c r="T493">
        <v>368.5</v>
      </c>
      <c r="W493">
        <v>720.3</v>
      </c>
      <c r="X493">
        <v>1411.5</v>
      </c>
      <c r="Y493">
        <v>96.5</v>
      </c>
      <c r="AA493">
        <v>859.6</v>
      </c>
      <c r="AB493">
        <v>1577.6000000000001</v>
      </c>
      <c r="AE493">
        <v>1330</v>
      </c>
      <c r="AF493">
        <v>1025.5</v>
      </c>
      <c r="AH493">
        <v>509.9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1349.3</v>
      </c>
      <c r="AO493">
        <v>786.40000000000009</v>
      </c>
      <c r="AP493">
        <v>0</v>
      </c>
      <c r="AQ493">
        <v>68.3</v>
      </c>
      <c r="AR493">
        <v>234.9</v>
      </c>
      <c r="AS493">
        <v>600.40000000000009</v>
      </c>
      <c r="AU493">
        <v>985.69999999999993</v>
      </c>
      <c r="AW493">
        <v>792</v>
      </c>
      <c r="AX493">
        <v>1988.5</v>
      </c>
      <c r="AZ493">
        <v>763.5</v>
      </c>
      <c r="BA493">
        <v>0</v>
      </c>
      <c r="BB493">
        <v>0</v>
      </c>
      <c r="BC493">
        <v>1935.3</v>
      </c>
      <c r="BD493">
        <v>1006.5</v>
      </c>
      <c r="BE493">
        <v>0</v>
      </c>
      <c r="BF493">
        <v>0</v>
      </c>
      <c r="BG493">
        <v>0</v>
      </c>
      <c r="BH493">
        <v>1662.6</v>
      </c>
      <c r="BJ493">
        <v>0</v>
      </c>
      <c r="BK493">
        <v>0</v>
      </c>
      <c r="BL493">
        <v>1038.9000000000001</v>
      </c>
      <c r="BM493">
        <v>1101</v>
      </c>
      <c r="BO493">
        <v>1276.8000000000002</v>
      </c>
      <c r="BQ493">
        <v>0</v>
      </c>
      <c r="BR493">
        <v>270.7</v>
      </c>
      <c r="BS493">
        <v>230.5</v>
      </c>
      <c r="BT493">
        <v>472.3</v>
      </c>
      <c r="BU493">
        <v>537.29999999999995</v>
      </c>
      <c r="BV493">
        <v>346.3</v>
      </c>
      <c r="BW493">
        <v>386.2</v>
      </c>
      <c r="BX493">
        <v>767</v>
      </c>
      <c r="BY493">
        <v>757.2</v>
      </c>
      <c r="BZ493">
        <v>1037.2</v>
      </c>
      <c r="CA493">
        <v>1227.0999999999999</v>
      </c>
      <c r="CB493">
        <v>1232.0999999999999</v>
      </c>
      <c r="CC493">
        <v>1701.5</v>
      </c>
      <c r="CD493">
        <v>0</v>
      </c>
      <c r="CG493">
        <v>1385.3</v>
      </c>
      <c r="CJ493">
        <v>1630.2999999999997</v>
      </c>
      <c r="CM493">
        <v>1184.2</v>
      </c>
      <c r="CO493">
        <v>1248.0999999999999</v>
      </c>
      <c r="CQ493">
        <v>1435.3</v>
      </c>
      <c r="CR493">
        <v>798.2</v>
      </c>
      <c r="CS493">
        <v>923.8</v>
      </c>
      <c r="CT493">
        <v>0</v>
      </c>
      <c r="CU493">
        <v>0</v>
      </c>
      <c r="CV493">
        <v>0</v>
      </c>
      <c r="CW493">
        <v>0</v>
      </c>
      <c r="CX493">
        <v>163.69999999999999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I493">
        <v>0</v>
      </c>
      <c r="EC493">
        <v>0</v>
      </c>
      <c r="ED493">
        <v>0</v>
      </c>
      <c r="EE493">
        <v>0</v>
      </c>
      <c r="EF493">
        <v>0</v>
      </c>
      <c r="EG493">
        <v>0</v>
      </c>
      <c r="EH493">
        <v>0</v>
      </c>
      <c r="EI493">
        <v>0</v>
      </c>
      <c r="EJ493">
        <v>0</v>
      </c>
      <c r="EM493">
        <v>0</v>
      </c>
      <c r="EN493">
        <v>0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G493" t="e">
        <v>#N/A</v>
      </c>
      <c r="FI493" t="e">
        <v>#N/A</v>
      </c>
      <c r="FK493" t="e">
        <v>#N/A</v>
      </c>
      <c r="FM493" t="e">
        <v>#N/A</v>
      </c>
      <c r="FO493" t="e">
        <v>#N/A</v>
      </c>
      <c r="FQ493" t="e">
        <v>#N/A</v>
      </c>
      <c r="FS493" t="e">
        <v>#N/A</v>
      </c>
      <c r="FU493" t="e">
        <v>#N/A</v>
      </c>
      <c r="FW493" t="e">
        <v>#N/A</v>
      </c>
      <c r="FY493" t="e">
        <v>#N/A</v>
      </c>
      <c r="GA493" t="e">
        <v>#N/A</v>
      </c>
      <c r="GC493" t="e">
        <v>#N/A</v>
      </c>
      <c r="GE493" t="e">
        <v>#N/A</v>
      </c>
      <c r="GG493" t="e">
        <v>#N/A</v>
      </c>
      <c r="GI493" t="e">
        <v>#N/A</v>
      </c>
      <c r="GK493" t="e">
        <v>#N/A</v>
      </c>
      <c r="GM493" t="e">
        <v>#N/A</v>
      </c>
      <c r="GO493" t="e">
        <v>#N/A</v>
      </c>
      <c r="GQ493" t="e">
        <v>#N/A</v>
      </c>
      <c r="GS493" t="e">
        <v>#N/A</v>
      </c>
      <c r="GU493" t="e">
        <v>#N/A</v>
      </c>
      <c r="GW493" t="e">
        <v>#N/A</v>
      </c>
      <c r="GY493" t="e">
        <v>#N/A</v>
      </c>
      <c r="HA493" t="e">
        <v>#N/A</v>
      </c>
      <c r="HC493">
        <v>0</v>
      </c>
      <c r="HD493">
        <v>0</v>
      </c>
      <c r="HE493">
        <v>0</v>
      </c>
      <c r="HF493">
        <v>0</v>
      </c>
      <c r="HG493">
        <v>0</v>
      </c>
      <c r="HH493">
        <v>0</v>
      </c>
      <c r="HI493">
        <v>0</v>
      </c>
      <c r="HJ493">
        <v>0</v>
      </c>
      <c r="HM493">
        <v>0</v>
      </c>
      <c r="HN493">
        <v>0</v>
      </c>
      <c r="HO493">
        <v>0</v>
      </c>
      <c r="HP493">
        <v>0</v>
      </c>
      <c r="HQ493">
        <v>0</v>
      </c>
      <c r="HR493">
        <v>0</v>
      </c>
      <c r="HS493">
        <v>0</v>
      </c>
      <c r="HT493">
        <v>0</v>
      </c>
      <c r="HW493">
        <v>0</v>
      </c>
      <c r="HX493">
        <v>0</v>
      </c>
      <c r="HY493">
        <v>0</v>
      </c>
      <c r="HZ493">
        <v>0</v>
      </c>
      <c r="IA493">
        <v>3930.6</v>
      </c>
      <c r="IB493">
        <v>3632.9</v>
      </c>
      <c r="IC493">
        <v>3795.5</v>
      </c>
      <c r="ID493">
        <v>0</v>
      </c>
      <c r="IE493">
        <v>0</v>
      </c>
      <c r="IF493">
        <v>3548.5</v>
      </c>
      <c r="IG493">
        <v>3395.2</v>
      </c>
      <c r="IH493">
        <v>3395.4</v>
      </c>
      <c r="II493">
        <v>3302.3</v>
      </c>
      <c r="IJ493">
        <v>3172.8</v>
      </c>
      <c r="IK493">
        <v>0</v>
      </c>
      <c r="IL493">
        <v>0</v>
      </c>
      <c r="IM493">
        <v>0</v>
      </c>
      <c r="IN493">
        <v>0</v>
      </c>
      <c r="IO493">
        <v>123.4</v>
      </c>
      <c r="IP493">
        <v>405.2</v>
      </c>
      <c r="IQ493">
        <v>418.7</v>
      </c>
      <c r="IR493">
        <v>0</v>
      </c>
      <c r="IS493">
        <v>0</v>
      </c>
      <c r="IT493">
        <v>0</v>
      </c>
      <c r="IU493">
        <v>0</v>
      </c>
      <c r="IV493">
        <v>396</v>
      </c>
      <c r="IW493">
        <v>0</v>
      </c>
      <c r="IX493">
        <v>0</v>
      </c>
      <c r="IZ493">
        <v>0</v>
      </c>
      <c r="JA493">
        <v>65.5</v>
      </c>
      <c r="JB493">
        <v>443.5</v>
      </c>
      <c r="JC493">
        <v>0</v>
      </c>
      <c r="JD493">
        <v>0</v>
      </c>
      <c r="JE493">
        <v>0</v>
      </c>
      <c r="JF493">
        <v>0</v>
      </c>
      <c r="JG493">
        <v>0</v>
      </c>
      <c r="JH493">
        <v>0</v>
      </c>
      <c r="JI493">
        <v>0</v>
      </c>
      <c r="JJ493">
        <v>0</v>
      </c>
      <c r="JK493">
        <v>0</v>
      </c>
      <c r="JL493">
        <v>0</v>
      </c>
      <c r="JM493">
        <v>0</v>
      </c>
      <c r="JN493">
        <v>0</v>
      </c>
      <c r="JO493">
        <v>0</v>
      </c>
      <c r="JP493">
        <v>0</v>
      </c>
      <c r="JQ493">
        <v>0</v>
      </c>
      <c r="JR493">
        <v>0</v>
      </c>
      <c r="JS493">
        <v>0</v>
      </c>
      <c r="JT493">
        <v>0</v>
      </c>
      <c r="JU493">
        <v>0</v>
      </c>
      <c r="JV493">
        <v>0</v>
      </c>
      <c r="JW493">
        <v>0</v>
      </c>
      <c r="JX493">
        <v>0</v>
      </c>
      <c r="JY493">
        <v>0</v>
      </c>
      <c r="JZ493">
        <v>0</v>
      </c>
      <c r="KA493">
        <v>0</v>
      </c>
      <c r="KB493">
        <v>0</v>
      </c>
      <c r="KC493">
        <v>0</v>
      </c>
      <c r="KD493">
        <v>0</v>
      </c>
      <c r="KE493">
        <v>0</v>
      </c>
      <c r="KF493">
        <v>0</v>
      </c>
      <c r="KI493">
        <v>344.6</v>
      </c>
      <c r="KJ493">
        <v>350.8</v>
      </c>
      <c r="KK493">
        <v>22.1</v>
      </c>
      <c r="KL493">
        <v>379.3</v>
      </c>
      <c r="KM493">
        <v>241.4</v>
      </c>
      <c r="KN493">
        <v>0</v>
      </c>
      <c r="KO493">
        <v>0</v>
      </c>
      <c r="KP493">
        <v>57.3</v>
      </c>
      <c r="KQ493">
        <v>224.4</v>
      </c>
      <c r="KR493">
        <v>338.3</v>
      </c>
      <c r="KS493">
        <v>215.8</v>
      </c>
      <c r="KT493">
        <v>40.700000000000003</v>
      </c>
      <c r="KW493">
        <v>2154.5</v>
      </c>
      <c r="KX493">
        <v>1255.7</v>
      </c>
      <c r="KY493">
        <v>1630.1</v>
      </c>
      <c r="KZ493">
        <v>1246.9000000000001</v>
      </c>
      <c r="LB493">
        <v>78.099999999999994</v>
      </c>
      <c r="LC493">
        <v>77.7</v>
      </c>
    </row>
    <row r="494" spans="1:315" ht="18" thickBot="1">
      <c r="A494" s="245"/>
      <c r="B494" s="4"/>
      <c r="C494" s="332" t="s">
        <v>735</v>
      </c>
      <c r="D494" s="286"/>
      <c r="E494" s="449">
        <v>0</v>
      </c>
      <c r="F494" s="209">
        <v>0</v>
      </c>
      <c r="G494" s="427">
        <v>3413.8</v>
      </c>
      <c r="H494" s="155"/>
      <c r="I494">
        <v>735</v>
      </c>
      <c r="K494">
        <v>1973.1000000000001</v>
      </c>
      <c r="L494" s="4">
        <v>221.60000000000002</v>
      </c>
      <c r="M494" s="4">
        <v>54.9</v>
      </c>
      <c r="N494" s="4">
        <v>1989.7</v>
      </c>
      <c r="P494">
        <v>0</v>
      </c>
      <c r="Q494">
        <v>238.29999999999998</v>
      </c>
      <c r="R494">
        <v>0</v>
      </c>
      <c r="S494">
        <v>0</v>
      </c>
      <c r="T494">
        <v>368.5</v>
      </c>
      <c r="W494">
        <v>720.3</v>
      </c>
      <c r="X494">
        <v>1411.5</v>
      </c>
      <c r="Y494">
        <v>96.5</v>
      </c>
      <c r="AA494">
        <v>859.6</v>
      </c>
      <c r="AB494">
        <v>1577.6000000000001</v>
      </c>
      <c r="AE494">
        <v>1330</v>
      </c>
      <c r="AF494">
        <v>1025.5</v>
      </c>
      <c r="AH494">
        <v>509.9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1349.3</v>
      </c>
      <c r="AO494">
        <v>786.40000000000009</v>
      </c>
      <c r="AP494">
        <v>0</v>
      </c>
      <c r="AQ494">
        <v>68.3</v>
      </c>
      <c r="AR494">
        <v>234.9</v>
      </c>
      <c r="AS494">
        <v>600.40000000000009</v>
      </c>
      <c r="AU494">
        <v>985.69999999999993</v>
      </c>
      <c r="AW494">
        <v>792</v>
      </c>
      <c r="AX494">
        <v>1988.5</v>
      </c>
      <c r="AZ494">
        <v>763.5</v>
      </c>
      <c r="BA494">
        <v>0</v>
      </c>
      <c r="BB494">
        <v>0</v>
      </c>
      <c r="BC494">
        <v>1935.3</v>
      </c>
      <c r="BD494">
        <v>1006.5</v>
      </c>
      <c r="BE494">
        <v>0</v>
      </c>
      <c r="BF494">
        <v>0</v>
      </c>
      <c r="BG494">
        <v>0</v>
      </c>
      <c r="BH494">
        <v>1662.6</v>
      </c>
      <c r="BJ494">
        <v>0</v>
      </c>
      <c r="BK494">
        <v>0</v>
      </c>
      <c r="BL494">
        <v>1038.9000000000001</v>
      </c>
      <c r="BM494">
        <v>1101</v>
      </c>
      <c r="BO494">
        <v>1276.8000000000002</v>
      </c>
      <c r="BQ494">
        <v>0</v>
      </c>
      <c r="BR494">
        <v>270.7</v>
      </c>
      <c r="BS494">
        <v>230.5</v>
      </c>
      <c r="BT494">
        <v>472.3</v>
      </c>
      <c r="BU494">
        <v>537.29999999999995</v>
      </c>
      <c r="BV494">
        <v>346.3</v>
      </c>
      <c r="BW494">
        <v>386.2</v>
      </c>
      <c r="BX494">
        <v>767</v>
      </c>
      <c r="BY494">
        <v>757.2</v>
      </c>
      <c r="BZ494">
        <v>1037.2</v>
      </c>
      <c r="CA494">
        <v>1227.0999999999999</v>
      </c>
      <c r="CB494">
        <v>1232.0999999999999</v>
      </c>
      <c r="CC494">
        <v>1701.5</v>
      </c>
      <c r="CD494">
        <v>0</v>
      </c>
      <c r="CG494">
        <v>1385.3</v>
      </c>
      <c r="CJ494">
        <v>1630.2999999999997</v>
      </c>
      <c r="CM494">
        <v>1184.2</v>
      </c>
      <c r="CO494">
        <v>1248.0999999999999</v>
      </c>
      <c r="CQ494">
        <v>1435.3</v>
      </c>
      <c r="CR494">
        <v>798.2</v>
      </c>
      <c r="CS494">
        <v>923.8</v>
      </c>
      <c r="CT494">
        <v>0</v>
      </c>
      <c r="CU494">
        <v>0</v>
      </c>
      <c r="CV494">
        <v>0</v>
      </c>
      <c r="CW494">
        <v>0</v>
      </c>
      <c r="CX494">
        <v>163.69999999999999</v>
      </c>
      <c r="CY494">
        <v>0</v>
      </c>
      <c r="CZ494">
        <v>0</v>
      </c>
      <c r="DA494">
        <v>0</v>
      </c>
      <c r="DB494">
        <v>0</v>
      </c>
      <c r="DC494">
        <v>0</v>
      </c>
      <c r="DD494">
        <v>0</v>
      </c>
      <c r="DE494">
        <v>0</v>
      </c>
      <c r="DI494">
        <v>0</v>
      </c>
      <c r="EC494">
        <v>0</v>
      </c>
      <c r="ED494">
        <v>0</v>
      </c>
      <c r="EE494">
        <v>0</v>
      </c>
      <c r="EF494">
        <v>0</v>
      </c>
      <c r="EG494">
        <v>0</v>
      </c>
      <c r="EH494">
        <v>0</v>
      </c>
      <c r="EI494">
        <v>0</v>
      </c>
      <c r="EJ494">
        <v>0</v>
      </c>
      <c r="EM494">
        <v>0</v>
      </c>
      <c r="EN494">
        <v>0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G494" t="e">
        <v>#N/A</v>
      </c>
      <c r="FI494" t="e">
        <v>#N/A</v>
      </c>
      <c r="FK494" t="e">
        <v>#N/A</v>
      </c>
      <c r="FM494" t="e">
        <v>#N/A</v>
      </c>
      <c r="FO494" t="e">
        <v>#N/A</v>
      </c>
      <c r="FQ494" t="e">
        <v>#N/A</v>
      </c>
      <c r="FS494" t="e">
        <v>#N/A</v>
      </c>
      <c r="FU494" t="e">
        <v>#N/A</v>
      </c>
      <c r="FW494" t="e">
        <v>#N/A</v>
      </c>
      <c r="FY494" t="e">
        <v>#N/A</v>
      </c>
      <c r="GA494" t="e">
        <v>#N/A</v>
      </c>
      <c r="GC494" t="e">
        <v>#N/A</v>
      </c>
      <c r="GE494" t="e">
        <v>#N/A</v>
      </c>
      <c r="GG494" t="e">
        <v>#N/A</v>
      </c>
      <c r="GI494" t="e">
        <v>#N/A</v>
      </c>
      <c r="GK494" t="e">
        <v>#N/A</v>
      </c>
      <c r="GM494" t="e">
        <v>#N/A</v>
      </c>
      <c r="GO494" t="e">
        <v>#N/A</v>
      </c>
      <c r="GQ494" t="e">
        <v>#N/A</v>
      </c>
      <c r="GS494" t="e">
        <v>#N/A</v>
      </c>
      <c r="GU494" t="e">
        <v>#N/A</v>
      </c>
      <c r="GW494" t="e">
        <v>#N/A</v>
      </c>
      <c r="GY494" t="e">
        <v>#N/A</v>
      </c>
      <c r="HA494" t="e">
        <v>#N/A</v>
      </c>
      <c r="HC494">
        <v>0</v>
      </c>
      <c r="HD494">
        <v>0</v>
      </c>
      <c r="HE494">
        <v>0</v>
      </c>
      <c r="HF494">
        <v>0</v>
      </c>
      <c r="HG494">
        <v>0</v>
      </c>
      <c r="HH494">
        <v>0</v>
      </c>
      <c r="HI494">
        <v>0</v>
      </c>
      <c r="HJ494">
        <v>0</v>
      </c>
      <c r="HM494">
        <v>0</v>
      </c>
      <c r="HN494">
        <v>0</v>
      </c>
      <c r="HO494">
        <v>0</v>
      </c>
      <c r="HP494">
        <v>0</v>
      </c>
      <c r="HQ494">
        <v>0</v>
      </c>
      <c r="HR494">
        <v>0</v>
      </c>
      <c r="HS494">
        <v>0</v>
      </c>
      <c r="HT494">
        <v>0</v>
      </c>
      <c r="HW494">
        <v>0</v>
      </c>
      <c r="HX494">
        <v>0</v>
      </c>
      <c r="HY494">
        <v>0</v>
      </c>
      <c r="HZ494">
        <v>0</v>
      </c>
      <c r="IA494">
        <v>3930.6</v>
      </c>
      <c r="IB494">
        <v>3632.9</v>
      </c>
      <c r="IC494">
        <v>3795.5</v>
      </c>
      <c r="ID494">
        <v>0</v>
      </c>
      <c r="IE494">
        <v>0</v>
      </c>
      <c r="IF494">
        <v>3548.5</v>
      </c>
      <c r="IG494">
        <v>3395.2</v>
      </c>
      <c r="IH494">
        <v>3395.4</v>
      </c>
      <c r="II494">
        <v>3302.3</v>
      </c>
      <c r="IJ494">
        <v>3172.8</v>
      </c>
      <c r="IK494">
        <v>0</v>
      </c>
      <c r="IL494">
        <v>0</v>
      </c>
      <c r="IM494">
        <v>0</v>
      </c>
      <c r="IN494">
        <v>0</v>
      </c>
      <c r="IO494">
        <v>123.4</v>
      </c>
      <c r="IP494">
        <v>405.2</v>
      </c>
      <c r="IQ494">
        <v>418.7</v>
      </c>
      <c r="IR494">
        <v>0</v>
      </c>
      <c r="IS494">
        <v>0</v>
      </c>
      <c r="IT494">
        <v>0</v>
      </c>
      <c r="IU494">
        <v>0</v>
      </c>
      <c r="IV494">
        <v>396</v>
      </c>
      <c r="IW494">
        <v>0</v>
      </c>
      <c r="IX494">
        <v>0</v>
      </c>
      <c r="IZ494">
        <v>0</v>
      </c>
      <c r="JA494">
        <v>65.5</v>
      </c>
      <c r="JB494">
        <v>443.5</v>
      </c>
      <c r="JC494">
        <v>0</v>
      </c>
      <c r="JD494">
        <v>0</v>
      </c>
      <c r="JE494">
        <v>0</v>
      </c>
      <c r="JF494">
        <v>0</v>
      </c>
      <c r="JG494">
        <v>0</v>
      </c>
      <c r="JH494">
        <v>0</v>
      </c>
      <c r="JI494">
        <v>0</v>
      </c>
      <c r="JJ494">
        <v>0</v>
      </c>
      <c r="JK494">
        <v>0</v>
      </c>
      <c r="JL494">
        <v>0</v>
      </c>
      <c r="JM494">
        <v>0</v>
      </c>
      <c r="JN494">
        <v>0</v>
      </c>
      <c r="JO494">
        <v>0</v>
      </c>
      <c r="JP494">
        <v>0</v>
      </c>
      <c r="JQ494">
        <v>0</v>
      </c>
      <c r="JR494">
        <v>0</v>
      </c>
      <c r="JS494">
        <v>0</v>
      </c>
      <c r="JT494">
        <v>0</v>
      </c>
      <c r="JU494">
        <v>0</v>
      </c>
      <c r="JV494">
        <v>0</v>
      </c>
      <c r="JW494">
        <v>0</v>
      </c>
      <c r="JX494">
        <v>0</v>
      </c>
      <c r="JY494">
        <v>0</v>
      </c>
      <c r="JZ494">
        <v>0</v>
      </c>
      <c r="KA494">
        <v>0</v>
      </c>
      <c r="KB494">
        <v>0</v>
      </c>
      <c r="KC494">
        <v>0</v>
      </c>
      <c r="KD494">
        <v>0</v>
      </c>
      <c r="KE494">
        <v>0</v>
      </c>
      <c r="KF494">
        <v>0</v>
      </c>
      <c r="KI494">
        <v>344.6</v>
      </c>
      <c r="KJ494">
        <v>350.8</v>
      </c>
      <c r="KK494">
        <v>22.1</v>
      </c>
      <c r="KL494">
        <v>379.3</v>
      </c>
      <c r="KM494">
        <v>241.4</v>
      </c>
      <c r="KN494">
        <v>0</v>
      </c>
      <c r="KO494">
        <v>0</v>
      </c>
      <c r="KP494">
        <v>57.3</v>
      </c>
      <c r="KQ494">
        <v>224.4</v>
      </c>
      <c r="KR494">
        <v>338.3</v>
      </c>
      <c r="KS494">
        <v>215.8</v>
      </c>
      <c r="KT494">
        <v>40.700000000000003</v>
      </c>
      <c r="KW494">
        <v>2154.5</v>
      </c>
      <c r="KX494">
        <v>1255.7</v>
      </c>
      <c r="KY494">
        <v>1630.1</v>
      </c>
      <c r="KZ494">
        <v>1246.9000000000001</v>
      </c>
      <c r="LB494">
        <v>78.099999999999994</v>
      </c>
      <c r="LC494">
        <v>77.7</v>
      </c>
    </row>
    <row r="495" spans="1:315" ht="18" thickBot="1">
      <c r="A495" s="245"/>
      <c r="B495" s="4"/>
      <c r="C495" s="332" t="s">
        <v>736</v>
      </c>
      <c r="D495" s="286"/>
      <c r="E495" s="449">
        <v>0</v>
      </c>
      <c r="F495" s="209">
        <v>0</v>
      </c>
      <c r="G495" s="427">
        <v>3413.8</v>
      </c>
      <c r="H495" s="155"/>
      <c r="I495">
        <v>735</v>
      </c>
      <c r="K495">
        <v>1973.1000000000001</v>
      </c>
      <c r="L495" s="4">
        <v>221.60000000000002</v>
      </c>
      <c r="M495" s="4">
        <v>54.9</v>
      </c>
      <c r="N495" s="4">
        <v>1989.7</v>
      </c>
      <c r="P495">
        <v>0</v>
      </c>
      <c r="Q495">
        <v>238.29999999999998</v>
      </c>
      <c r="R495">
        <v>0</v>
      </c>
      <c r="S495">
        <v>0</v>
      </c>
      <c r="T495">
        <v>368.5</v>
      </c>
      <c r="W495">
        <v>720.3</v>
      </c>
      <c r="X495">
        <v>1411.5</v>
      </c>
      <c r="Y495">
        <v>96.5</v>
      </c>
      <c r="AA495">
        <v>859.6</v>
      </c>
      <c r="AB495">
        <v>1577.6000000000001</v>
      </c>
      <c r="AE495">
        <v>1330</v>
      </c>
      <c r="AF495">
        <v>1025.5</v>
      </c>
      <c r="AH495">
        <v>509.9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1349.3</v>
      </c>
      <c r="AO495">
        <v>786.40000000000009</v>
      </c>
      <c r="AP495">
        <v>0</v>
      </c>
      <c r="AQ495">
        <v>68.3</v>
      </c>
      <c r="AR495">
        <v>234.9</v>
      </c>
      <c r="AS495">
        <v>600.40000000000009</v>
      </c>
      <c r="AU495">
        <v>985.69999999999993</v>
      </c>
      <c r="AW495">
        <v>792</v>
      </c>
      <c r="AX495">
        <v>1988.5</v>
      </c>
      <c r="AZ495">
        <v>763.5</v>
      </c>
      <c r="BA495">
        <v>0</v>
      </c>
      <c r="BB495">
        <v>0</v>
      </c>
      <c r="BC495">
        <v>1935.3</v>
      </c>
      <c r="BD495">
        <v>1006.5</v>
      </c>
      <c r="BE495">
        <v>0</v>
      </c>
      <c r="BF495">
        <v>0</v>
      </c>
      <c r="BG495">
        <v>0</v>
      </c>
      <c r="BH495">
        <v>1662.6</v>
      </c>
      <c r="BJ495">
        <v>0</v>
      </c>
      <c r="BK495">
        <v>0</v>
      </c>
      <c r="BL495">
        <v>1038.9000000000001</v>
      </c>
      <c r="BM495">
        <v>1101</v>
      </c>
      <c r="BO495">
        <v>1276.8000000000002</v>
      </c>
      <c r="BQ495">
        <v>0</v>
      </c>
      <c r="BR495">
        <v>270.7</v>
      </c>
      <c r="BS495">
        <v>230.5</v>
      </c>
      <c r="BT495">
        <v>472.3</v>
      </c>
      <c r="BU495">
        <v>537.29999999999995</v>
      </c>
      <c r="BV495">
        <v>346.3</v>
      </c>
      <c r="BW495">
        <v>386.2</v>
      </c>
      <c r="BX495">
        <v>767</v>
      </c>
      <c r="BY495">
        <v>757.2</v>
      </c>
      <c r="BZ495">
        <v>1037.2</v>
      </c>
      <c r="CA495">
        <v>1227.0999999999999</v>
      </c>
      <c r="CB495">
        <v>1232.0999999999999</v>
      </c>
      <c r="CC495">
        <v>1701.5</v>
      </c>
      <c r="CD495">
        <v>0</v>
      </c>
      <c r="CG495">
        <v>1385.3</v>
      </c>
      <c r="CJ495">
        <v>1630.2999999999997</v>
      </c>
      <c r="CM495">
        <v>1184.2</v>
      </c>
      <c r="CO495">
        <v>1248.0999999999999</v>
      </c>
      <c r="CQ495">
        <v>1435.3</v>
      </c>
      <c r="CR495">
        <v>798.2</v>
      </c>
      <c r="CS495">
        <v>923.8</v>
      </c>
      <c r="CT495">
        <v>0</v>
      </c>
      <c r="CU495">
        <v>0</v>
      </c>
      <c r="CV495">
        <v>0</v>
      </c>
      <c r="CW495">
        <v>0</v>
      </c>
      <c r="CX495">
        <v>163.69999999999999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I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G495" t="e">
        <v>#N/A</v>
      </c>
      <c r="FI495" t="e">
        <v>#N/A</v>
      </c>
      <c r="FK495" t="e">
        <v>#N/A</v>
      </c>
      <c r="FM495" t="e">
        <v>#N/A</v>
      </c>
      <c r="FO495" t="e">
        <v>#N/A</v>
      </c>
      <c r="FQ495" t="e">
        <v>#N/A</v>
      </c>
      <c r="FS495" t="e">
        <v>#N/A</v>
      </c>
      <c r="FU495" t="e">
        <v>#N/A</v>
      </c>
      <c r="FW495" t="e">
        <v>#N/A</v>
      </c>
      <c r="FY495" t="e">
        <v>#N/A</v>
      </c>
      <c r="GA495" t="e">
        <v>#N/A</v>
      </c>
      <c r="GC495" t="e">
        <v>#N/A</v>
      </c>
      <c r="GE495" t="e">
        <v>#N/A</v>
      </c>
      <c r="GG495" t="e">
        <v>#N/A</v>
      </c>
      <c r="GI495" t="e">
        <v>#N/A</v>
      </c>
      <c r="GK495" t="e">
        <v>#N/A</v>
      </c>
      <c r="GM495" t="e">
        <v>#N/A</v>
      </c>
      <c r="GO495" t="e">
        <v>#N/A</v>
      </c>
      <c r="GQ495" t="e">
        <v>#N/A</v>
      </c>
      <c r="GS495" t="e">
        <v>#N/A</v>
      </c>
      <c r="GU495" t="e">
        <v>#N/A</v>
      </c>
      <c r="GW495" t="e">
        <v>#N/A</v>
      </c>
      <c r="GY495" t="e">
        <v>#N/A</v>
      </c>
      <c r="HA495" t="e">
        <v>#N/A</v>
      </c>
      <c r="HC495">
        <v>0</v>
      </c>
      <c r="HD495">
        <v>0</v>
      </c>
      <c r="HE495">
        <v>0</v>
      </c>
      <c r="HF495">
        <v>0</v>
      </c>
      <c r="HG495">
        <v>0</v>
      </c>
      <c r="HH495">
        <v>0</v>
      </c>
      <c r="HI495">
        <v>0</v>
      </c>
      <c r="HJ495">
        <v>0</v>
      </c>
      <c r="HM495">
        <v>0</v>
      </c>
      <c r="HN495">
        <v>0</v>
      </c>
      <c r="HO495">
        <v>0</v>
      </c>
      <c r="HP495">
        <v>0</v>
      </c>
      <c r="HQ495">
        <v>0</v>
      </c>
      <c r="HR495">
        <v>0</v>
      </c>
      <c r="HS495">
        <v>0</v>
      </c>
      <c r="HT495">
        <v>0</v>
      </c>
      <c r="HW495">
        <v>0</v>
      </c>
      <c r="HX495">
        <v>0</v>
      </c>
      <c r="HY495">
        <v>0</v>
      </c>
      <c r="HZ495">
        <v>0</v>
      </c>
      <c r="IA495">
        <v>3930.6</v>
      </c>
      <c r="IB495">
        <v>3632.9</v>
      </c>
      <c r="IC495">
        <v>3795.5</v>
      </c>
      <c r="ID495">
        <v>0</v>
      </c>
      <c r="IE495">
        <v>0</v>
      </c>
      <c r="IF495">
        <v>3548.5</v>
      </c>
      <c r="IG495">
        <v>3395.2</v>
      </c>
      <c r="IH495">
        <v>3395.4</v>
      </c>
      <c r="II495">
        <v>3302.3</v>
      </c>
      <c r="IJ495">
        <v>3172.8</v>
      </c>
      <c r="IK495">
        <v>0</v>
      </c>
      <c r="IL495">
        <v>0</v>
      </c>
      <c r="IM495">
        <v>0</v>
      </c>
      <c r="IN495">
        <v>0</v>
      </c>
      <c r="IO495">
        <v>123.4</v>
      </c>
      <c r="IP495">
        <v>405.2</v>
      </c>
      <c r="IQ495">
        <v>418.7</v>
      </c>
      <c r="IR495">
        <v>0</v>
      </c>
      <c r="IS495">
        <v>0</v>
      </c>
      <c r="IT495">
        <v>0</v>
      </c>
      <c r="IU495">
        <v>0</v>
      </c>
      <c r="IV495">
        <v>396</v>
      </c>
      <c r="IW495">
        <v>0</v>
      </c>
      <c r="IX495">
        <v>0</v>
      </c>
      <c r="IZ495">
        <v>0</v>
      </c>
      <c r="JA495">
        <v>65.5</v>
      </c>
      <c r="JB495">
        <v>443.5</v>
      </c>
      <c r="JC495">
        <v>0</v>
      </c>
      <c r="JD495">
        <v>0</v>
      </c>
      <c r="JE495">
        <v>0</v>
      </c>
      <c r="JF495">
        <v>0</v>
      </c>
      <c r="JG495">
        <v>0</v>
      </c>
      <c r="JH495">
        <v>0</v>
      </c>
      <c r="JI495">
        <v>0</v>
      </c>
      <c r="JJ495">
        <v>0</v>
      </c>
      <c r="JK495">
        <v>0</v>
      </c>
      <c r="JL495">
        <v>0</v>
      </c>
      <c r="JM495">
        <v>0</v>
      </c>
      <c r="JN495">
        <v>0</v>
      </c>
      <c r="JO495">
        <v>0</v>
      </c>
      <c r="JP495">
        <v>0</v>
      </c>
      <c r="JQ495">
        <v>0</v>
      </c>
      <c r="JR495">
        <v>0</v>
      </c>
      <c r="JS495">
        <v>0</v>
      </c>
      <c r="JT495">
        <v>0</v>
      </c>
      <c r="JU495">
        <v>0</v>
      </c>
      <c r="JV495">
        <v>0</v>
      </c>
      <c r="JW495">
        <v>0</v>
      </c>
      <c r="JX495">
        <v>0</v>
      </c>
      <c r="JY495">
        <v>0</v>
      </c>
      <c r="JZ495">
        <v>0</v>
      </c>
      <c r="KA495">
        <v>0</v>
      </c>
      <c r="KB495">
        <v>0</v>
      </c>
      <c r="KC495">
        <v>0</v>
      </c>
      <c r="KD495">
        <v>0</v>
      </c>
      <c r="KE495">
        <v>0</v>
      </c>
      <c r="KF495">
        <v>0</v>
      </c>
      <c r="KI495">
        <v>344.6</v>
      </c>
      <c r="KJ495">
        <v>350.8</v>
      </c>
      <c r="KK495">
        <v>22.1</v>
      </c>
      <c r="KL495">
        <v>379.3</v>
      </c>
      <c r="KM495">
        <v>241.4</v>
      </c>
      <c r="KN495">
        <v>0</v>
      </c>
      <c r="KO495">
        <v>0</v>
      </c>
      <c r="KP495">
        <v>57.3</v>
      </c>
      <c r="KQ495">
        <v>224.4</v>
      </c>
      <c r="KR495">
        <v>338.3</v>
      </c>
      <c r="KS495">
        <v>215.8</v>
      </c>
      <c r="KT495">
        <v>40.700000000000003</v>
      </c>
      <c r="KW495">
        <v>2154.5</v>
      </c>
      <c r="KX495">
        <v>1255.7</v>
      </c>
      <c r="KY495">
        <v>1630.1</v>
      </c>
      <c r="KZ495">
        <v>1246.9000000000001</v>
      </c>
      <c r="LB495">
        <v>78.099999999999994</v>
      </c>
      <c r="LC495">
        <v>77.7</v>
      </c>
    </row>
    <row r="496" spans="1:315" ht="18" thickBot="1">
      <c r="A496" s="245"/>
      <c r="B496" s="4"/>
      <c r="C496" s="332" t="s">
        <v>737</v>
      </c>
      <c r="D496" s="286"/>
      <c r="E496" s="449">
        <v>0</v>
      </c>
      <c r="F496" s="209">
        <v>0</v>
      </c>
      <c r="G496" s="427">
        <v>3413.8</v>
      </c>
      <c r="H496" s="155"/>
      <c r="I496">
        <v>735</v>
      </c>
      <c r="K496">
        <v>1973.1000000000001</v>
      </c>
      <c r="L496" s="4">
        <v>221.60000000000002</v>
      </c>
      <c r="M496" s="4">
        <v>54.9</v>
      </c>
      <c r="N496" s="4">
        <v>1989.7</v>
      </c>
      <c r="P496">
        <v>0</v>
      </c>
      <c r="Q496">
        <v>238.29999999999998</v>
      </c>
      <c r="R496">
        <v>0</v>
      </c>
      <c r="S496">
        <v>0</v>
      </c>
      <c r="T496">
        <v>368.5</v>
      </c>
      <c r="W496">
        <v>720.3</v>
      </c>
      <c r="X496">
        <v>1411.5</v>
      </c>
      <c r="Y496">
        <v>96.5</v>
      </c>
      <c r="AA496">
        <v>859.6</v>
      </c>
      <c r="AB496">
        <v>1577.6000000000001</v>
      </c>
      <c r="AE496">
        <v>1330</v>
      </c>
      <c r="AF496">
        <v>1025.5</v>
      </c>
      <c r="AH496">
        <v>509.9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1349.3</v>
      </c>
      <c r="AO496">
        <v>786.40000000000009</v>
      </c>
      <c r="AP496">
        <v>0</v>
      </c>
      <c r="AQ496">
        <v>68.3</v>
      </c>
      <c r="AR496">
        <v>234.9</v>
      </c>
      <c r="AS496">
        <v>600.40000000000009</v>
      </c>
      <c r="AU496">
        <v>985.69999999999993</v>
      </c>
      <c r="AW496">
        <v>792</v>
      </c>
      <c r="AX496">
        <v>1988.5</v>
      </c>
      <c r="AZ496">
        <v>763.5</v>
      </c>
      <c r="BA496">
        <v>0</v>
      </c>
      <c r="BB496">
        <v>0</v>
      </c>
      <c r="BC496">
        <v>1935.3</v>
      </c>
      <c r="BD496">
        <v>1006.5</v>
      </c>
      <c r="BE496">
        <v>0</v>
      </c>
      <c r="BF496">
        <v>0</v>
      </c>
      <c r="BG496">
        <v>0</v>
      </c>
      <c r="BH496">
        <v>1662.6</v>
      </c>
      <c r="BJ496">
        <v>0</v>
      </c>
      <c r="BK496">
        <v>0</v>
      </c>
      <c r="BL496">
        <v>1038.9000000000001</v>
      </c>
      <c r="BM496">
        <v>1101</v>
      </c>
      <c r="BO496">
        <v>1276.8000000000002</v>
      </c>
      <c r="BQ496">
        <v>0</v>
      </c>
      <c r="BR496">
        <v>270.7</v>
      </c>
      <c r="BS496">
        <v>230.5</v>
      </c>
      <c r="BT496">
        <v>472.3</v>
      </c>
      <c r="BU496">
        <v>537.29999999999995</v>
      </c>
      <c r="BV496">
        <v>346.3</v>
      </c>
      <c r="BW496">
        <v>386.2</v>
      </c>
      <c r="BX496">
        <v>767</v>
      </c>
      <c r="BY496">
        <v>757.2</v>
      </c>
      <c r="BZ496">
        <v>1037.2</v>
      </c>
      <c r="CA496">
        <v>1227.0999999999999</v>
      </c>
      <c r="CB496">
        <v>1232.0999999999999</v>
      </c>
      <c r="CC496">
        <v>1701.5</v>
      </c>
      <c r="CD496">
        <v>0</v>
      </c>
      <c r="CG496">
        <v>1385.3</v>
      </c>
      <c r="CJ496">
        <v>1630.2999999999997</v>
      </c>
      <c r="CM496">
        <v>1184.2</v>
      </c>
      <c r="CO496">
        <v>1248.0999999999999</v>
      </c>
      <c r="CQ496">
        <v>1435.3</v>
      </c>
      <c r="CR496">
        <v>798.2</v>
      </c>
      <c r="CS496">
        <v>923.8</v>
      </c>
      <c r="CT496">
        <v>0</v>
      </c>
      <c r="CU496">
        <v>0</v>
      </c>
      <c r="CV496">
        <v>0</v>
      </c>
      <c r="CW496">
        <v>0</v>
      </c>
      <c r="CX496">
        <v>163.69999999999999</v>
      </c>
      <c r="CY496">
        <v>0</v>
      </c>
      <c r="CZ496">
        <v>0</v>
      </c>
      <c r="DA496">
        <v>0</v>
      </c>
      <c r="DB496">
        <v>0</v>
      </c>
      <c r="DC496">
        <v>0</v>
      </c>
      <c r="DD496">
        <v>0</v>
      </c>
      <c r="DE496">
        <v>0</v>
      </c>
      <c r="DI496">
        <v>0</v>
      </c>
      <c r="EC496">
        <v>0</v>
      </c>
      <c r="ED496">
        <v>0</v>
      </c>
      <c r="EE496">
        <v>0</v>
      </c>
      <c r="EF496">
        <v>0</v>
      </c>
      <c r="EG496">
        <v>0</v>
      </c>
      <c r="EH496">
        <v>0</v>
      </c>
      <c r="EI496">
        <v>0</v>
      </c>
      <c r="EJ496">
        <v>0</v>
      </c>
      <c r="EM496">
        <v>0</v>
      </c>
      <c r="EN496">
        <v>0</v>
      </c>
      <c r="EO496">
        <v>0</v>
      </c>
      <c r="EP496">
        <v>0</v>
      </c>
      <c r="EQ496">
        <v>0</v>
      </c>
      <c r="ER496">
        <v>0</v>
      </c>
      <c r="ES496">
        <v>0</v>
      </c>
      <c r="ET496">
        <v>0</v>
      </c>
      <c r="EW496">
        <v>0</v>
      </c>
      <c r="EX496">
        <v>0</v>
      </c>
      <c r="EY496">
        <v>0</v>
      </c>
      <c r="EZ496">
        <v>0</v>
      </c>
      <c r="FA496">
        <v>0</v>
      </c>
      <c r="FB496">
        <v>0</v>
      </c>
      <c r="FC496">
        <v>0</v>
      </c>
      <c r="FD496">
        <v>0</v>
      </c>
      <c r="FG496" t="e">
        <v>#N/A</v>
      </c>
      <c r="FI496" t="e">
        <v>#N/A</v>
      </c>
      <c r="FK496" t="e">
        <v>#N/A</v>
      </c>
      <c r="FM496" t="e">
        <v>#N/A</v>
      </c>
      <c r="FO496" t="e">
        <v>#N/A</v>
      </c>
      <c r="FQ496" t="e">
        <v>#N/A</v>
      </c>
      <c r="FS496" t="e">
        <v>#N/A</v>
      </c>
      <c r="FU496" t="e">
        <v>#N/A</v>
      </c>
      <c r="FW496" t="e">
        <v>#N/A</v>
      </c>
      <c r="FY496" t="e">
        <v>#N/A</v>
      </c>
      <c r="GA496" t="e">
        <v>#N/A</v>
      </c>
      <c r="GC496" t="e">
        <v>#N/A</v>
      </c>
      <c r="GE496" t="e">
        <v>#N/A</v>
      </c>
      <c r="GG496" t="e">
        <v>#N/A</v>
      </c>
      <c r="GI496" t="e">
        <v>#N/A</v>
      </c>
      <c r="GK496" t="e">
        <v>#N/A</v>
      </c>
      <c r="GM496" t="e">
        <v>#N/A</v>
      </c>
      <c r="GO496" t="e">
        <v>#N/A</v>
      </c>
      <c r="GQ496" t="e">
        <v>#N/A</v>
      </c>
      <c r="GS496" t="e">
        <v>#N/A</v>
      </c>
      <c r="GU496" t="e">
        <v>#N/A</v>
      </c>
      <c r="GW496" t="e">
        <v>#N/A</v>
      </c>
      <c r="GY496" t="e">
        <v>#N/A</v>
      </c>
      <c r="HA496" t="e">
        <v>#N/A</v>
      </c>
      <c r="HC496">
        <v>0</v>
      </c>
      <c r="HD496">
        <v>0</v>
      </c>
      <c r="HE496">
        <v>0</v>
      </c>
      <c r="HF496">
        <v>0</v>
      </c>
      <c r="HG496">
        <v>0</v>
      </c>
      <c r="HH496">
        <v>0</v>
      </c>
      <c r="HI496">
        <v>0</v>
      </c>
      <c r="HJ496">
        <v>0</v>
      </c>
      <c r="HM496">
        <v>0</v>
      </c>
      <c r="HN496">
        <v>0</v>
      </c>
      <c r="HO496">
        <v>0</v>
      </c>
      <c r="HP496">
        <v>0</v>
      </c>
      <c r="HQ496">
        <v>0</v>
      </c>
      <c r="HR496">
        <v>0</v>
      </c>
      <c r="HS496">
        <v>0</v>
      </c>
      <c r="HT496">
        <v>0</v>
      </c>
      <c r="HW496">
        <v>0</v>
      </c>
      <c r="HX496">
        <v>0</v>
      </c>
      <c r="HY496">
        <v>0</v>
      </c>
      <c r="HZ496">
        <v>0</v>
      </c>
      <c r="IA496">
        <v>3930.6</v>
      </c>
      <c r="IB496">
        <v>3632.9</v>
      </c>
      <c r="IC496">
        <v>3795.5</v>
      </c>
      <c r="ID496">
        <v>0</v>
      </c>
      <c r="IE496">
        <v>0</v>
      </c>
      <c r="IF496">
        <v>3548.5</v>
      </c>
      <c r="IG496">
        <v>3395.2</v>
      </c>
      <c r="IH496">
        <v>3395.4</v>
      </c>
      <c r="II496">
        <v>3302.3</v>
      </c>
      <c r="IJ496">
        <v>3172.8</v>
      </c>
      <c r="IK496">
        <v>0</v>
      </c>
      <c r="IL496">
        <v>0</v>
      </c>
      <c r="IM496">
        <v>0</v>
      </c>
      <c r="IN496">
        <v>0</v>
      </c>
      <c r="IO496">
        <v>123.4</v>
      </c>
      <c r="IP496">
        <v>405.2</v>
      </c>
      <c r="IQ496">
        <v>418.7</v>
      </c>
      <c r="IR496">
        <v>0</v>
      </c>
      <c r="IS496">
        <v>0</v>
      </c>
      <c r="IT496">
        <v>0</v>
      </c>
      <c r="IU496">
        <v>0</v>
      </c>
      <c r="IV496">
        <v>396</v>
      </c>
      <c r="IW496">
        <v>0</v>
      </c>
      <c r="IX496">
        <v>0</v>
      </c>
      <c r="IZ496">
        <v>0</v>
      </c>
      <c r="JA496">
        <v>65.5</v>
      </c>
      <c r="JB496">
        <v>443.5</v>
      </c>
      <c r="JC496">
        <v>0</v>
      </c>
      <c r="JD496">
        <v>0</v>
      </c>
      <c r="JE496">
        <v>0</v>
      </c>
      <c r="JF496">
        <v>0</v>
      </c>
      <c r="JG496">
        <v>0</v>
      </c>
      <c r="JH496">
        <v>0</v>
      </c>
      <c r="JI496">
        <v>0</v>
      </c>
      <c r="JJ496">
        <v>0</v>
      </c>
      <c r="JK496">
        <v>0</v>
      </c>
      <c r="JL496">
        <v>0</v>
      </c>
      <c r="JM496">
        <v>0</v>
      </c>
      <c r="JN496">
        <v>0</v>
      </c>
      <c r="JO496">
        <v>0</v>
      </c>
      <c r="JP496">
        <v>0</v>
      </c>
      <c r="JQ496">
        <v>0</v>
      </c>
      <c r="JR496">
        <v>0</v>
      </c>
      <c r="JS496">
        <v>0</v>
      </c>
      <c r="JT496">
        <v>0</v>
      </c>
      <c r="JU496">
        <v>0</v>
      </c>
      <c r="JV496">
        <v>0</v>
      </c>
      <c r="JW496">
        <v>0</v>
      </c>
      <c r="JX496">
        <v>0</v>
      </c>
      <c r="JY496">
        <v>0</v>
      </c>
      <c r="JZ496">
        <v>0</v>
      </c>
      <c r="KA496">
        <v>0</v>
      </c>
      <c r="KB496">
        <v>0</v>
      </c>
      <c r="KC496">
        <v>0</v>
      </c>
      <c r="KD496">
        <v>0</v>
      </c>
      <c r="KE496">
        <v>0</v>
      </c>
      <c r="KF496">
        <v>0</v>
      </c>
      <c r="KI496">
        <v>344.6</v>
      </c>
      <c r="KJ496">
        <v>350.8</v>
      </c>
      <c r="KK496">
        <v>22.1</v>
      </c>
      <c r="KL496">
        <v>379.3</v>
      </c>
      <c r="KM496">
        <v>241.4</v>
      </c>
      <c r="KN496">
        <v>0</v>
      </c>
      <c r="KO496">
        <v>0</v>
      </c>
      <c r="KP496">
        <v>57.3</v>
      </c>
      <c r="KQ496">
        <v>224.4</v>
      </c>
      <c r="KR496">
        <v>338.3</v>
      </c>
      <c r="KS496">
        <v>215.8</v>
      </c>
      <c r="KT496">
        <v>40.700000000000003</v>
      </c>
      <c r="KW496">
        <v>2154.5</v>
      </c>
      <c r="KX496">
        <v>1255.7</v>
      </c>
      <c r="KY496">
        <v>1630.1</v>
      </c>
      <c r="KZ496">
        <v>1246.9000000000001</v>
      </c>
      <c r="LB496">
        <v>78.099999999999994</v>
      </c>
      <c r="LC496">
        <v>77.7</v>
      </c>
    </row>
    <row r="497" spans="1:315" ht="18" thickBot="1">
      <c r="A497" s="245"/>
      <c r="B497" s="4"/>
      <c r="C497" s="332" t="s">
        <v>738</v>
      </c>
      <c r="D497" s="286"/>
      <c r="E497" s="449">
        <v>0</v>
      </c>
      <c r="F497" s="209">
        <v>0</v>
      </c>
      <c r="G497" s="427">
        <v>3413.8</v>
      </c>
      <c r="H497" s="155"/>
      <c r="I497">
        <v>735</v>
      </c>
      <c r="K497">
        <v>1973.1000000000001</v>
      </c>
      <c r="L497" s="4">
        <v>221.60000000000002</v>
      </c>
      <c r="M497" s="4">
        <v>54.9</v>
      </c>
      <c r="N497" s="4">
        <v>1989.7</v>
      </c>
      <c r="P497">
        <v>0</v>
      </c>
      <c r="Q497">
        <v>238.29999999999998</v>
      </c>
      <c r="R497">
        <v>0</v>
      </c>
      <c r="S497">
        <v>0</v>
      </c>
      <c r="T497">
        <v>368.5</v>
      </c>
      <c r="W497">
        <v>720.3</v>
      </c>
      <c r="X497">
        <v>1411.5</v>
      </c>
      <c r="Y497">
        <v>96.5</v>
      </c>
      <c r="AA497">
        <v>859.6</v>
      </c>
      <c r="AB497">
        <v>1577.6000000000001</v>
      </c>
      <c r="AE497">
        <v>1330</v>
      </c>
      <c r="AF497">
        <v>1025.5</v>
      </c>
      <c r="AH497">
        <v>509.9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1349.3</v>
      </c>
      <c r="AO497">
        <v>786.40000000000009</v>
      </c>
      <c r="AP497">
        <v>0</v>
      </c>
      <c r="AQ497">
        <v>68.3</v>
      </c>
      <c r="AR497">
        <v>234.9</v>
      </c>
      <c r="AS497">
        <v>600.40000000000009</v>
      </c>
      <c r="AU497">
        <v>985.69999999999993</v>
      </c>
      <c r="AW497">
        <v>792</v>
      </c>
      <c r="AX497">
        <v>1988.5</v>
      </c>
      <c r="AZ497">
        <v>763.5</v>
      </c>
      <c r="BA497">
        <v>0</v>
      </c>
      <c r="BB497">
        <v>0</v>
      </c>
      <c r="BC497">
        <v>1935.3</v>
      </c>
      <c r="BD497">
        <v>1006.5</v>
      </c>
      <c r="BE497">
        <v>0</v>
      </c>
      <c r="BF497">
        <v>0</v>
      </c>
      <c r="BG497">
        <v>0</v>
      </c>
      <c r="BH497">
        <v>1662.6</v>
      </c>
      <c r="BJ497">
        <v>0</v>
      </c>
      <c r="BK497">
        <v>0</v>
      </c>
      <c r="BL497">
        <v>1038.9000000000001</v>
      </c>
      <c r="BM497">
        <v>1101</v>
      </c>
      <c r="BO497">
        <v>1276.8000000000002</v>
      </c>
      <c r="BQ497">
        <v>0</v>
      </c>
      <c r="BR497">
        <v>270.7</v>
      </c>
      <c r="BS497">
        <v>230.5</v>
      </c>
      <c r="BT497">
        <v>472.3</v>
      </c>
      <c r="BU497">
        <v>537.29999999999995</v>
      </c>
      <c r="BV497">
        <v>346.3</v>
      </c>
      <c r="BW497">
        <v>386.2</v>
      </c>
      <c r="BX497">
        <v>767</v>
      </c>
      <c r="BY497">
        <v>757.2</v>
      </c>
      <c r="BZ497">
        <v>1037.2</v>
      </c>
      <c r="CA497">
        <v>1227.0999999999999</v>
      </c>
      <c r="CB497">
        <v>1232.0999999999999</v>
      </c>
      <c r="CC497">
        <v>1701.5</v>
      </c>
      <c r="CD497">
        <v>0</v>
      </c>
      <c r="CG497">
        <v>1385.3</v>
      </c>
      <c r="CJ497">
        <v>1630.2999999999997</v>
      </c>
      <c r="CM497">
        <v>1184.2</v>
      </c>
      <c r="CO497">
        <v>1248.0999999999999</v>
      </c>
      <c r="CQ497">
        <v>1435.3</v>
      </c>
      <c r="CR497">
        <v>798.2</v>
      </c>
      <c r="CS497">
        <v>923.8</v>
      </c>
      <c r="CT497">
        <v>0</v>
      </c>
      <c r="CU497">
        <v>0</v>
      </c>
      <c r="CV497">
        <v>0</v>
      </c>
      <c r="CW497">
        <v>0</v>
      </c>
      <c r="CX497">
        <v>163.69999999999999</v>
      </c>
      <c r="CY497">
        <v>0</v>
      </c>
      <c r="CZ497">
        <v>0</v>
      </c>
      <c r="DA497">
        <v>0</v>
      </c>
      <c r="DB497">
        <v>0</v>
      </c>
      <c r="DC497">
        <v>0</v>
      </c>
      <c r="DD497">
        <v>0</v>
      </c>
      <c r="DE497">
        <v>0</v>
      </c>
      <c r="DI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  <c r="EJ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  <c r="FD497">
        <v>0</v>
      </c>
      <c r="FG497" t="e">
        <v>#N/A</v>
      </c>
      <c r="FI497" t="e">
        <v>#N/A</v>
      </c>
      <c r="FK497" t="e">
        <v>#N/A</v>
      </c>
      <c r="FM497" t="e">
        <v>#N/A</v>
      </c>
      <c r="FO497" t="e">
        <v>#N/A</v>
      </c>
      <c r="FQ497" t="e">
        <v>#N/A</v>
      </c>
      <c r="FS497" t="e">
        <v>#N/A</v>
      </c>
      <c r="FU497" t="e">
        <v>#N/A</v>
      </c>
      <c r="FW497" t="e">
        <v>#N/A</v>
      </c>
      <c r="FY497" t="e">
        <v>#N/A</v>
      </c>
      <c r="GA497" t="e">
        <v>#N/A</v>
      </c>
      <c r="GC497" t="e">
        <v>#N/A</v>
      </c>
      <c r="GE497" t="e">
        <v>#N/A</v>
      </c>
      <c r="GG497" t="e">
        <v>#N/A</v>
      </c>
      <c r="GI497" t="e">
        <v>#N/A</v>
      </c>
      <c r="GK497" t="e">
        <v>#N/A</v>
      </c>
      <c r="GM497" t="e">
        <v>#N/A</v>
      </c>
      <c r="GO497" t="e">
        <v>#N/A</v>
      </c>
      <c r="GQ497" t="e">
        <v>#N/A</v>
      </c>
      <c r="GS497" t="e">
        <v>#N/A</v>
      </c>
      <c r="GU497" t="e">
        <v>#N/A</v>
      </c>
      <c r="GW497" t="e">
        <v>#N/A</v>
      </c>
      <c r="GY497" t="e">
        <v>#N/A</v>
      </c>
      <c r="HA497" t="e">
        <v>#N/A</v>
      </c>
      <c r="HC497">
        <v>0</v>
      </c>
      <c r="HD497">
        <v>0</v>
      </c>
      <c r="HE497">
        <v>0</v>
      </c>
      <c r="HF497">
        <v>0</v>
      </c>
      <c r="HG497">
        <v>0</v>
      </c>
      <c r="HH497">
        <v>0</v>
      </c>
      <c r="HI497">
        <v>0</v>
      </c>
      <c r="HJ497">
        <v>0</v>
      </c>
      <c r="HM497">
        <v>0</v>
      </c>
      <c r="HN497">
        <v>0</v>
      </c>
      <c r="HO497">
        <v>0</v>
      </c>
      <c r="HP497">
        <v>0</v>
      </c>
      <c r="HQ497">
        <v>0</v>
      </c>
      <c r="HR497">
        <v>0</v>
      </c>
      <c r="HS497">
        <v>0</v>
      </c>
      <c r="HT497">
        <v>0</v>
      </c>
      <c r="HW497">
        <v>0</v>
      </c>
      <c r="HX497">
        <v>0</v>
      </c>
      <c r="HY497">
        <v>0</v>
      </c>
      <c r="HZ497">
        <v>0</v>
      </c>
      <c r="IA497">
        <v>3930.6</v>
      </c>
      <c r="IB497">
        <v>3632.9</v>
      </c>
      <c r="IC497">
        <v>3795.5</v>
      </c>
      <c r="ID497">
        <v>0</v>
      </c>
      <c r="IE497">
        <v>0</v>
      </c>
      <c r="IF497">
        <v>3548.5</v>
      </c>
      <c r="IG497">
        <v>3395.2</v>
      </c>
      <c r="IH497">
        <v>3395.4</v>
      </c>
      <c r="II497">
        <v>3302.3</v>
      </c>
      <c r="IJ497">
        <v>3172.8</v>
      </c>
      <c r="IK497">
        <v>0</v>
      </c>
      <c r="IL497">
        <v>0</v>
      </c>
      <c r="IM497">
        <v>0</v>
      </c>
      <c r="IN497">
        <v>0</v>
      </c>
      <c r="IO497">
        <v>123.4</v>
      </c>
      <c r="IP497">
        <v>405.2</v>
      </c>
      <c r="IQ497">
        <v>418.7</v>
      </c>
      <c r="IR497">
        <v>0</v>
      </c>
      <c r="IS497">
        <v>0</v>
      </c>
      <c r="IT497">
        <v>0</v>
      </c>
      <c r="IU497">
        <v>0</v>
      </c>
      <c r="IV497">
        <v>396</v>
      </c>
      <c r="IW497">
        <v>0</v>
      </c>
      <c r="IX497">
        <v>0</v>
      </c>
      <c r="IZ497">
        <v>0</v>
      </c>
      <c r="JA497">
        <v>65.5</v>
      </c>
      <c r="JB497">
        <v>443.5</v>
      </c>
      <c r="JC497">
        <v>0</v>
      </c>
      <c r="JD497">
        <v>0</v>
      </c>
      <c r="JE497">
        <v>0</v>
      </c>
      <c r="JF497">
        <v>0</v>
      </c>
      <c r="JG497">
        <v>0</v>
      </c>
      <c r="JH497">
        <v>0</v>
      </c>
      <c r="JI497">
        <v>0</v>
      </c>
      <c r="JJ497">
        <v>0</v>
      </c>
      <c r="JK497">
        <v>0</v>
      </c>
      <c r="JL497">
        <v>0</v>
      </c>
      <c r="JM497">
        <v>0</v>
      </c>
      <c r="JN497">
        <v>0</v>
      </c>
      <c r="JO497">
        <v>0</v>
      </c>
      <c r="JP497">
        <v>0</v>
      </c>
      <c r="JQ497">
        <v>0</v>
      </c>
      <c r="JR497">
        <v>0</v>
      </c>
      <c r="JS497">
        <v>0</v>
      </c>
      <c r="JT497">
        <v>0</v>
      </c>
      <c r="JU497">
        <v>0</v>
      </c>
      <c r="JV497">
        <v>0</v>
      </c>
      <c r="JW497">
        <v>0</v>
      </c>
      <c r="JX497">
        <v>0</v>
      </c>
      <c r="JY497">
        <v>0</v>
      </c>
      <c r="JZ497">
        <v>0</v>
      </c>
      <c r="KA497">
        <v>0</v>
      </c>
      <c r="KB497">
        <v>0</v>
      </c>
      <c r="KC497">
        <v>0</v>
      </c>
      <c r="KD497">
        <v>0</v>
      </c>
      <c r="KE497">
        <v>0</v>
      </c>
      <c r="KF497">
        <v>0</v>
      </c>
      <c r="KI497">
        <v>344.6</v>
      </c>
      <c r="KJ497">
        <v>350.8</v>
      </c>
      <c r="KK497">
        <v>22.1</v>
      </c>
      <c r="KL497">
        <v>379.3</v>
      </c>
      <c r="KM497">
        <v>241.4</v>
      </c>
      <c r="KN497">
        <v>0</v>
      </c>
      <c r="KO497">
        <v>0</v>
      </c>
      <c r="KP497">
        <v>57.3</v>
      </c>
      <c r="KQ497">
        <v>224.4</v>
      </c>
      <c r="KR497">
        <v>338.3</v>
      </c>
      <c r="KS497">
        <v>215.8</v>
      </c>
      <c r="KT497">
        <v>40.700000000000003</v>
      </c>
      <c r="KW497">
        <v>2154.5</v>
      </c>
      <c r="KX497">
        <v>1255.7</v>
      </c>
      <c r="KY497">
        <v>1630.1</v>
      </c>
      <c r="KZ497">
        <v>1246.9000000000001</v>
      </c>
      <c r="LB497">
        <v>78.099999999999994</v>
      </c>
      <c r="LC497">
        <v>77.7</v>
      </c>
    </row>
    <row r="498" spans="1:315" ht="18" thickBot="1">
      <c r="A498" s="245"/>
      <c r="B498" s="4"/>
      <c r="C498" s="332" t="s">
        <v>739</v>
      </c>
      <c r="D498" s="286"/>
      <c r="E498" s="449">
        <v>0</v>
      </c>
      <c r="F498" s="209">
        <v>0</v>
      </c>
      <c r="G498" s="427">
        <v>3413.8</v>
      </c>
      <c r="H498" s="155"/>
      <c r="I498">
        <v>735</v>
      </c>
      <c r="K498">
        <v>1973.1000000000001</v>
      </c>
      <c r="L498" s="4">
        <v>221.60000000000002</v>
      </c>
      <c r="M498" s="4">
        <v>54.9</v>
      </c>
      <c r="N498" s="4">
        <v>1989.7</v>
      </c>
      <c r="P498">
        <v>0</v>
      </c>
      <c r="Q498">
        <v>238.29999999999998</v>
      </c>
      <c r="R498">
        <v>0</v>
      </c>
      <c r="S498">
        <v>0</v>
      </c>
      <c r="T498">
        <v>368.5</v>
      </c>
      <c r="W498">
        <v>720.3</v>
      </c>
      <c r="X498">
        <v>1411.5</v>
      </c>
      <c r="Y498">
        <v>96.5</v>
      </c>
      <c r="AA498">
        <v>859.6</v>
      </c>
      <c r="AB498">
        <v>1577.6000000000001</v>
      </c>
      <c r="AE498">
        <v>1330</v>
      </c>
      <c r="AF498">
        <v>1025.5</v>
      </c>
      <c r="AH498">
        <v>509.9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1349.3</v>
      </c>
      <c r="AO498">
        <v>786.40000000000009</v>
      </c>
      <c r="AP498">
        <v>0</v>
      </c>
      <c r="AQ498">
        <v>68.3</v>
      </c>
      <c r="AR498">
        <v>234.9</v>
      </c>
      <c r="AS498">
        <v>600.40000000000009</v>
      </c>
      <c r="AU498">
        <v>985.69999999999993</v>
      </c>
      <c r="AW498">
        <v>792</v>
      </c>
      <c r="AX498">
        <v>1988.5</v>
      </c>
      <c r="AZ498">
        <v>763.5</v>
      </c>
      <c r="BA498">
        <v>0</v>
      </c>
      <c r="BB498">
        <v>0</v>
      </c>
      <c r="BC498">
        <v>1935.3</v>
      </c>
      <c r="BD498">
        <v>1006.5</v>
      </c>
      <c r="BE498">
        <v>0</v>
      </c>
      <c r="BF498">
        <v>0</v>
      </c>
      <c r="BG498">
        <v>0</v>
      </c>
      <c r="BH498">
        <v>1662.6</v>
      </c>
      <c r="BJ498">
        <v>0</v>
      </c>
      <c r="BK498">
        <v>0</v>
      </c>
      <c r="BL498">
        <v>1038.9000000000001</v>
      </c>
      <c r="BM498">
        <v>1101</v>
      </c>
      <c r="BO498">
        <v>1276.8000000000002</v>
      </c>
      <c r="BQ498">
        <v>0</v>
      </c>
      <c r="BR498">
        <v>270.7</v>
      </c>
      <c r="BS498">
        <v>230.5</v>
      </c>
      <c r="BT498">
        <v>472.3</v>
      </c>
      <c r="BU498">
        <v>537.29999999999995</v>
      </c>
      <c r="BV498">
        <v>346.3</v>
      </c>
      <c r="BW498">
        <v>386.2</v>
      </c>
      <c r="BX498">
        <v>767</v>
      </c>
      <c r="BY498">
        <v>757.2</v>
      </c>
      <c r="BZ498">
        <v>1037.2</v>
      </c>
      <c r="CA498">
        <v>1227.0999999999999</v>
      </c>
      <c r="CB498">
        <v>1232.0999999999999</v>
      </c>
      <c r="CC498">
        <v>1701.5</v>
      </c>
      <c r="CD498">
        <v>0</v>
      </c>
      <c r="CG498">
        <v>1385.3</v>
      </c>
      <c r="CJ498">
        <v>1630.2999999999997</v>
      </c>
      <c r="CM498">
        <v>1184.2</v>
      </c>
      <c r="CO498">
        <v>1248.0999999999999</v>
      </c>
      <c r="CQ498">
        <v>1435.3</v>
      </c>
      <c r="CR498">
        <v>798.2</v>
      </c>
      <c r="CS498">
        <v>923.8</v>
      </c>
      <c r="CT498">
        <v>0</v>
      </c>
      <c r="CU498">
        <v>0</v>
      </c>
      <c r="CV498">
        <v>0</v>
      </c>
      <c r="CW498">
        <v>0</v>
      </c>
      <c r="CX498">
        <v>163.69999999999999</v>
      </c>
      <c r="CY498">
        <v>0</v>
      </c>
      <c r="CZ498">
        <v>0</v>
      </c>
      <c r="DA498">
        <v>0</v>
      </c>
      <c r="DB498">
        <v>0</v>
      </c>
      <c r="DC498">
        <v>0</v>
      </c>
      <c r="DD498">
        <v>0</v>
      </c>
      <c r="DE498">
        <v>0</v>
      </c>
      <c r="DI498">
        <v>0</v>
      </c>
      <c r="EC498">
        <v>0</v>
      </c>
      <c r="ED498">
        <v>0</v>
      </c>
      <c r="EE498">
        <v>0</v>
      </c>
      <c r="EF498">
        <v>0</v>
      </c>
      <c r="EG498">
        <v>0</v>
      </c>
      <c r="EH498">
        <v>0</v>
      </c>
      <c r="EI498">
        <v>0</v>
      </c>
      <c r="EJ498">
        <v>0</v>
      </c>
      <c r="EM498">
        <v>0</v>
      </c>
      <c r="EN498">
        <v>0</v>
      </c>
      <c r="EO498">
        <v>0</v>
      </c>
      <c r="EP498">
        <v>0</v>
      </c>
      <c r="EQ498">
        <v>0</v>
      </c>
      <c r="ER498">
        <v>0</v>
      </c>
      <c r="ES498">
        <v>0</v>
      </c>
      <c r="ET498">
        <v>0</v>
      </c>
      <c r="EW498">
        <v>0</v>
      </c>
      <c r="EX498">
        <v>0</v>
      </c>
      <c r="EY498">
        <v>0</v>
      </c>
      <c r="EZ498">
        <v>0</v>
      </c>
      <c r="FA498">
        <v>0</v>
      </c>
      <c r="FB498">
        <v>0</v>
      </c>
      <c r="FC498">
        <v>0</v>
      </c>
      <c r="FD498">
        <v>0</v>
      </c>
      <c r="FG498" t="e">
        <v>#N/A</v>
      </c>
      <c r="FI498" t="e">
        <v>#N/A</v>
      </c>
      <c r="FK498" t="e">
        <v>#N/A</v>
      </c>
      <c r="FM498" t="e">
        <v>#N/A</v>
      </c>
      <c r="FO498" t="e">
        <v>#N/A</v>
      </c>
      <c r="FQ498" t="e">
        <v>#N/A</v>
      </c>
      <c r="FS498" t="e">
        <v>#N/A</v>
      </c>
      <c r="FU498" t="e">
        <v>#N/A</v>
      </c>
      <c r="FW498" t="e">
        <v>#N/A</v>
      </c>
      <c r="FY498" t="e">
        <v>#N/A</v>
      </c>
      <c r="GA498" t="e">
        <v>#N/A</v>
      </c>
      <c r="GC498" t="e">
        <v>#N/A</v>
      </c>
      <c r="GE498" t="e">
        <v>#N/A</v>
      </c>
      <c r="GG498" t="e">
        <v>#N/A</v>
      </c>
      <c r="GI498" t="e">
        <v>#N/A</v>
      </c>
      <c r="GK498" t="e">
        <v>#N/A</v>
      </c>
      <c r="GM498" t="e">
        <v>#N/A</v>
      </c>
      <c r="GO498" t="e">
        <v>#N/A</v>
      </c>
      <c r="GQ498" t="e">
        <v>#N/A</v>
      </c>
      <c r="GS498" t="e">
        <v>#N/A</v>
      </c>
      <c r="GU498" t="e">
        <v>#N/A</v>
      </c>
      <c r="GW498" t="e">
        <v>#N/A</v>
      </c>
      <c r="GY498" t="e">
        <v>#N/A</v>
      </c>
      <c r="HA498" t="e">
        <v>#N/A</v>
      </c>
      <c r="HC498">
        <v>0</v>
      </c>
      <c r="HD498">
        <v>0</v>
      </c>
      <c r="HE498">
        <v>0</v>
      </c>
      <c r="HF498">
        <v>0</v>
      </c>
      <c r="HG498">
        <v>0</v>
      </c>
      <c r="HH498">
        <v>0</v>
      </c>
      <c r="HI498">
        <v>0</v>
      </c>
      <c r="HJ498">
        <v>0</v>
      </c>
      <c r="HM498">
        <v>0</v>
      </c>
      <c r="HN498">
        <v>0</v>
      </c>
      <c r="HO498">
        <v>0</v>
      </c>
      <c r="HP498">
        <v>0</v>
      </c>
      <c r="HQ498">
        <v>0</v>
      </c>
      <c r="HR498">
        <v>0</v>
      </c>
      <c r="HS498">
        <v>0</v>
      </c>
      <c r="HT498">
        <v>0</v>
      </c>
      <c r="HW498">
        <v>0</v>
      </c>
      <c r="HX498">
        <v>0</v>
      </c>
      <c r="HY498">
        <v>0</v>
      </c>
      <c r="HZ498">
        <v>0</v>
      </c>
      <c r="IA498">
        <v>3930.6</v>
      </c>
      <c r="IB498">
        <v>3632.9</v>
      </c>
      <c r="IC498">
        <v>3795.5</v>
      </c>
      <c r="ID498">
        <v>0</v>
      </c>
      <c r="IE498">
        <v>0</v>
      </c>
      <c r="IF498">
        <v>3548.5</v>
      </c>
      <c r="IG498">
        <v>3395.2</v>
      </c>
      <c r="IH498">
        <v>3395.4</v>
      </c>
      <c r="II498">
        <v>3302.3</v>
      </c>
      <c r="IJ498">
        <v>3172.8</v>
      </c>
      <c r="IK498">
        <v>0</v>
      </c>
      <c r="IL498">
        <v>0</v>
      </c>
      <c r="IM498">
        <v>0</v>
      </c>
      <c r="IN498">
        <v>0</v>
      </c>
      <c r="IO498">
        <v>123.4</v>
      </c>
      <c r="IP498">
        <v>405.2</v>
      </c>
      <c r="IQ498">
        <v>418.7</v>
      </c>
      <c r="IR498">
        <v>0</v>
      </c>
      <c r="IS498">
        <v>0</v>
      </c>
      <c r="IT498">
        <v>0</v>
      </c>
      <c r="IU498">
        <v>0</v>
      </c>
      <c r="IV498">
        <v>396</v>
      </c>
      <c r="IW498">
        <v>0</v>
      </c>
      <c r="IX498">
        <v>0</v>
      </c>
      <c r="IZ498">
        <v>0</v>
      </c>
      <c r="JA498">
        <v>65.5</v>
      </c>
      <c r="JB498">
        <v>443.5</v>
      </c>
      <c r="JC498">
        <v>0</v>
      </c>
      <c r="JD498">
        <v>0</v>
      </c>
      <c r="JE498">
        <v>0</v>
      </c>
      <c r="JF498">
        <v>0</v>
      </c>
      <c r="JG498">
        <v>0</v>
      </c>
      <c r="JH498">
        <v>0</v>
      </c>
      <c r="JI498">
        <v>0</v>
      </c>
      <c r="JJ498">
        <v>0</v>
      </c>
      <c r="JK498">
        <v>0</v>
      </c>
      <c r="JL498">
        <v>0</v>
      </c>
      <c r="JM498">
        <v>0</v>
      </c>
      <c r="JN498">
        <v>0</v>
      </c>
      <c r="JO498">
        <v>0</v>
      </c>
      <c r="JP498">
        <v>0</v>
      </c>
      <c r="JQ498">
        <v>0</v>
      </c>
      <c r="JR498">
        <v>0</v>
      </c>
      <c r="JS498">
        <v>0</v>
      </c>
      <c r="JT498">
        <v>0</v>
      </c>
      <c r="JU498">
        <v>0</v>
      </c>
      <c r="JV498">
        <v>0</v>
      </c>
      <c r="JW498">
        <v>0</v>
      </c>
      <c r="JX498">
        <v>0</v>
      </c>
      <c r="JY498">
        <v>0</v>
      </c>
      <c r="JZ498">
        <v>0</v>
      </c>
      <c r="KA498">
        <v>0</v>
      </c>
      <c r="KB498">
        <v>0</v>
      </c>
      <c r="KC498">
        <v>0</v>
      </c>
      <c r="KD498">
        <v>0</v>
      </c>
      <c r="KE498">
        <v>0</v>
      </c>
      <c r="KF498">
        <v>0</v>
      </c>
      <c r="KI498">
        <v>344.6</v>
      </c>
      <c r="KJ498">
        <v>350.8</v>
      </c>
      <c r="KK498">
        <v>22.1</v>
      </c>
      <c r="KL498">
        <v>379.3</v>
      </c>
      <c r="KM498">
        <v>241.4</v>
      </c>
      <c r="KN498">
        <v>0</v>
      </c>
      <c r="KO498">
        <v>0</v>
      </c>
      <c r="KP498">
        <v>57.3</v>
      </c>
      <c r="KQ498">
        <v>224.4</v>
      </c>
      <c r="KR498">
        <v>338.3</v>
      </c>
      <c r="KS498">
        <v>215.8</v>
      </c>
      <c r="KT498">
        <v>40.700000000000003</v>
      </c>
      <c r="KW498">
        <v>2154.5</v>
      </c>
      <c r="KX498">
        <v>1255.7</v>
      </c>
      <c r="KY498">
        <v>1630.1</v>
      </c>
      <c r="KZ498">
        <v>1246.9000000000001</v>
      </c>
      <c r="LB498">
        <v>78.099999999999994</v>
      </c>
      <c r="LC498">
        <v>77.7</v>
      </c>
    </row>
    <row r="499" spans="1:315" ht="18" thickBot="1">
      <c r="A499" s="245"/>
      <c r="B499" s="4"/>
      <c r="C499" s="332" t="s">
        <v>740</v>
      </c>
      <c r="D499" s="286"/>
      <c r="E499" s="449">
        <v>0</v>
      </c>
      <c r="F499" s="222">
        <v>0</v>
      </c>
      <c r="G499" s="427">
        <v>3413.8</v>
      </c>
      <c r="H499" s="155"/>
      <c r="I499">
        <v>735</v>
      </c>
      <c r="K499">
        <v>1973.1000000000001</v>
      </c>
      <c r="L499" s="4">
        <v>221.60000000000002</v>
      </c>
      <c r="M499" s="4">
        <v>54.9</v>
      </c>
      <c r="N499" s="4">
        <v>1989.7</v>
      </c>
      <c r="P499">
        <v>0</v>
      </c>
      <c r="Q499">
        <v>238.29999999999998</v>
      </c>
      <c r="R499">
        <v>0</v>
      </c>
      <c r="S499">
        <v>0</v>
      </c>
      <c r="T499">
        <v>368.5</v>
      </c>
      <c r="W499">
        <v>720.3</v>
      </c>
      <c r="X499">
        <v>1411.5</v>
      </c>
      <c r="Y499">
        <v>96.5</v>
      </c>
      <c r="AA499">
        <v>859.6</v>
      </c>
      <c r="AB499">
        <v>1577.6000000000001</v>
      </c>
      <c r="AE499">
        <v>1330</v>
      </c>
      <c r="AF499">
        <v>1025.5</v>
      </c>
      <c r="AH499">
        <v>509.9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1349.3</v>
      </c>
      <c r="AO499">
        <v>786.40000000000009</v>
      </c>
      <c r="AP499">
        <v>0</v>
      </c>
      <c r="AQ499">
        <v>68.3</v>
      </c>
      <c r="AR499">
        <v>234.9</v>
      </c>
      <c r="AS499">
        <v>600.40000000000009</v>
      </c>
      <c r="AU499">
        <v>985.69999999999993</v>
      </c>
      <c r="AW499">
        <v>792</v>
      </c>
      <c r="AX499">
        <v>1988.5</v>
      </c>
      <c r="AZ499">
        <v>763.5</v>
      </c>
      <c r="BA499">
        <v>0</v>
      </c>
      <c r="BB499">
        <v>0</v>
      </c>
      <c r="BC499">
        <v>1935.3</v>
      </c>
      <c r="BD499">
        <v>1006.5</v>
      </c>
      <c r="BE499">
        <v>0</v>
      </c>
      <c r="BF499">
        <v>0</v>
      </c>
      <c r="BG499">
        <v>0</v>
      </c>
      <c r="BH499">
        <v>1662.6</v>
      </c>
      <c r="BJ499">
        <v>0</v>
      </c>
      <c r="BK499">
        <v>0</v>
      </c>
      <c r="BL499">
        <v>1038.9000000000001</v>
      </c>
      <c r="BM499">
        <v>1101</v>
      </c>
      <c r="BO499">
        <v>1276.8000000000002</v>
      </c>
      <c r="BQ499">
        <v>0</v>
      </c>
      <c r="BR499">
        <v>270.7</v>
      </c>
      <c r="BS499">
        <v>230.5</v>
      </c>
      <c r="BT499">
        <v>472.3</v>
      </c>
      <c r="BU499">
        <v>537.29999999999995</v>
      </c>
      <c r="BV499">
        <v>346.3</v>
      </c>
      <c r="BW499">
        <v>386.2</v>
      </c>
      <c r="BX499">
        <v>767</v>
      </c>
      <c r="BY499">
        <v>757.2</v>
      </c>
      <c r="BZ499">
        <v>1037.2</v>
      </c>
      <c r="CA499">
        <v>1227.0999999999999</v>
      </c>
      <c r="CB499">
        <v>1232.0999999999999</v>
      </c>
      <c r="CC499">
        <v>1701.5</v>
      </c>
      <c r="CD499">
        <v>0</v>
      </c>
      <c r="CG499">
        <v>1385.3</v>
      </c>
      <c r="CJ499">
        <v>1630.2999999999997</v>
      </c>
      <c r="CM499">
        <v>1184.2</v>
      </c>
      <c r="CO499">
        <v>1248.0999999999999</v>
      </c>
      <c r="CQ499">
        <v>1435.3</v>
      </c>
      <c r="CR499">
        <v>798.2</v>
      </c>
      <c r="CS499">
        <v>923.8</v>
      </c>
      <c r="CT499">
        <v>0</v>
      </c>
      <c r="CU499">
        <v>0</v>
      </c>
      <c r="CV499">
        <v>0</v>
      </c>
      <c r="CW499">
        <v>0</v>
      </c>
      <c r="CX499">
        <v>163.69999999999999</v>
      </c>
      <c r="CY499">
        <v>0</v>
      </c>
      <c r="CZ499">
        <v>0</v>
      </c>
      <c r="DA499">
        <v>0</v>
      </c>
      <c r="DB499">
        <v>0</v>
      </c>
      <c r="DC499">
        <v>0</v>
      </c>
      <c r="DD499">
        <v>0</v>
      </c>
      <c r="DE499">
        <v>0</v>
      </c>
      <c r="DI499">
        <v>0</v>
      </c>
      <c r="EC499">
        <v>0</v>
      </c>
      <c r="ED499">
        <v>0</v>
      </c>
      <c r="EE499">
        <v>0</v>
      </c>
      <c r="EF499">
        <v>0</v>
      </c>
      <c r="EG499">
        <v>0</v>
      </c>
      <c r="EH499">
        <v>0</v>
      </c>
      <c r="EI499">
        <v>0</v>
      </c>
      <c r="EJ499">
        <v>0</v>
      </c>
      <c r="EM499">
        <v>0</v>
      </c>
      <c r="EN499">
        <v>0</v>
      </c>
      <c r="EO499">
        <v>0</v>
      </c>
      <c r="EP499">
        <v>0</v>
      </c>
      <c r="EQ499">
        <v>0</v>
      </c>
      <c r="ER499">
        <v>0</v>
      </c>
      <c r="ES499">
        <v>0</v>
      </c>
      <c r="ET499">
        <v>0</v>
      </c>
      <c r="EW499">
        <v>0</v>
      </c>
      <c r="EX499">
        <v>0</v>
      </c>
      <c r="EY499">
        <v>0</v>
      </c>
      <c r="EZ499">
        <v>0</v>
      </c>
      <c r="FA499">
        <v>0</v>
      </c>
      <c r="FB499">
        <v>0</v>
      </c>
      <c r="FC499">
        <v>0</v>
      </c>
      <c r="FD499">
        <v>0</v>
      </c>
      <c r="FG499" t="e">
        <v>#N/A</v>
      </c>
      <c r="FI499" t="e">
        <v>#N/A</v>
      </c>
      <c r="FK499" t="e">
        <v>#N/A</v>
      </c>
      <c r="FM499" t="e">
        <v>#N/A</v>
      </c>
      <c r="FO499" t="e">
        <v>#N/A</v>
      </c>
      <c r="FQ499" t="e">
        <v>#N/A</v>
      </c>
      <c r="FS499" t="e">
        <v>#N/A</v>
      </c>
      <c r="FU499" t="e">
        <v>#N/A</v>
      </c>
      <c r="FW499" t="e">
        <v>#N/A</v>
      </c>
      <c r="FY499" t="e">
        <v>#N/A</v>
      </c>
      <c r="GA499" t="e">
        <v>#N/A</v>
      </c>
      <c r="GC499" t="e">
        <v>#N/A</v>
      </c>
      <c r="GE499" t="e">
        <v>#N/A</v>
      </c>
      <c r="GG499" t="e">
        <v>#N/A</v>
      </c>
      <c r="GI499" t="e">
        <v>#N/A</v>
      </c>
      <c r="GK499" t="e">
        <v>#N/A</v>
      </c>
      <c r="GM499" t="e">
        <v>#N/A</v>
      </c>
      <c r="GO499" t="e">
        <v>#N/A</v>
      </c>
      <c r="GQ499" t="e">
        <v>#N/A</v>
      </c>
      <c r="GS499" t="e">
        <v>#N/A</v>
      </c>
      <c r="GU499" t="e">
        <v>#N/A</v>
      </c>
      <c r="GW499" t="e">
        <v>#N/A</v>
      </c>
      <c r="GY499" t="e">
        <v>#N/A</v>
      </c>
      <c r="HA499" t="e">
        <v>#N/A</v>
      </c>
      <c r="HC499">
        <v>0</v>
      </c>
      <c r="HD499">
        <v>0</v>
      </c>
      <c r="HE499">
        <v>0</v>
      </c>
      <c r="HF499">
        <v>0</v>
      </c>
      <c r="HG499">
        <v>0</v>
      </c>
      <c r="HH499">
        <v>0</v>
      </c>
      <c r="HI499">
        <v>0</v>
      </c>
      <c r="HJ499">
        <v>0</v>
      </c>
      <c r="HM499">
        <v>0</v>
      </c>
      <c r="HN499">
        <v>0</v>
      </c>
      <c r="HO499">
        <v>0</v>
      </c>
      <c r="HP499">
        <v>0</v>
      </c>
      <c r="HQ499">
        <v>0</v>
      </c>
      <c r="HR499">
        <v>0</v>
      </c>
      <c r="HS499">
        <v>0</v>
      </c>
      <c r="HT499">
        <v>0</v>
      </c>
      <c r="HW499">
        <v>0</v>
      </c>
      <c r="HX499">
        <v>0</v>
      </c>
      <c r="HY499">
        <v>0</v>
      </c>
      <c r="HZ499">
        <v>0</v>
      </c>
      <c r="IA499">
        <v>3930.6</v>
      </c>
      <c r="IB499">
        <v>3632.9</v>
      </c>
      <c r="IC499">
        <v>3795.5</v>
      </c>
      <c r="ID499">
        <v>0</v>
      </c>
      <c r="IE499">
        <v>0</v>
      </c>
      <c r="IF499">
        <v>3548.5</v>
      </c>
      <c r="IG499">
        <v>3395.2</v>
      </c>
      <c r="IH499">
        <v>3395.4</v>
      </c>
      <c r="II499">
        <v>3302.3</v>
      </c>
      <c r="IJ499">
        <v>3172.8</v>
      </c>
      <c r="IK499">
        <v>0</v>
      </c>
      <c r="IL499">
        <v>0</v>
      </c>
      <c r="IM499">
        <v>0</v>
      </c>
      <c r="IN499">
        <v>0</v>
      </c>
      <c r="IO499">
        <v>123.4</v>
      </c>
      <c r="IP499">
        <v>405.2</v>
      </c>
      <c r="IQ499">
        <v>418.7</v>
      </c>
      <c r="IR499">
        <v>0</v>
      </c>
      <c r="IS499">
        <v>0</v>
      </c>
      <c r="IT499">
        <v>0</v>
      </c>
      <c r="IU499">
        <v>0</v>
      </c>
      <c r="IV499">
        <v>396</v>
      </c>
      <c r="IW499">
        <v>0</v>
      </c>
      <c r="IX499">
        <v>0</v>
      </c>
      <c r="IZ499">
        <v>0</v>
      </c>
      <c r="JA499">
        <v>65.5</v>
      </c>
      <c r="JB499">
        <v>443.5</v>
      </c>
      <c r="JC499">
        <v>0</v>
      </c>
      <c r="JD499">
        <v>0</v>
      </c>
      <c r="JE499">
        <v>0</v>
      </c>
      <c r="JF499">
        <v>0</v>
      </c>
      <c r="JG499">
        <v>0</v>
      </c>
      <c r="JH499">
        <v>0</v>
      </c>
      <c r="JI499">
        <v>0</v>
      </c>
      <c r="JJ499">
        <v>0</v>
      </c>
      <c r="JK499">
        <v>0</v>
      </c>
      <c r="JL499">
        <v>0</v>
      </c>
      <c r="JM499">
        <v>0</v>
      </c>
      <c r="JN499">
        <v>0</v>
      </c>
      <c r="JO499">
        <v>0</v>
      </c>
      <c r="JP499">
        <v>0</v>
      </c>
      <c r="JQ499">
        <v>0</v>
      </c>
      <c r="JR499">
        <v>0</v>
      </c>
      <c r="JS499">
        <v>0</v>
      </c>
      <c r="JT499">
        <v>0</v>
      </c>
      <c r="JU499">
        <v>0</v>
      </c>
      <c r="JV499">
        <v>0</v>
      </c>
      <c r="JW499">
        <v>0</v>
      </c>
      <c r="JX499">
        <v>0</v>
      </c>
      <c r="JY499">
        <v>0</v>
      </c>
      <c r="JZ499">
        <v>0</v>
      </c>
      <c r="KA499">
        <v>0</v>
      </c>
      <c r="KB499">
        <v>0</v>
      </c>
      <c r="KC499">
        <v>0</v>
      </c>
      <c r="KD499">
        <v>0</v>
      </c>
      <c r="KE499">
        <v>0</v>
      </c>
      <c r="KF499">
        <v>0</v>
      </c>
      <c r="KI499">
        <v>344.6</v>
      </c>
      <c r="KJ499">
        <v>350.8</v>
      </c>
      <c r="KK499">
        <v>22.1</v>
      </c>
      <c r="KL499">
        <v>379.3</v>
      </c>
      <c r="KM499">
        <v>241.4</v>
      </c>
      <c r="KN499">
        <v>0</v>
      </c>
      <c r="KO499">
        <v>0</v>
      </c>
      <c r="KP499">
        <v>57.3</v>
      </c>
      <c r="KQ499">
        <v>224.4</v>
      </c>
      <c r="KR499">
        <v>338.3</v>
      </c>
      <c r="KS499">
        <v>215.8</v>
      </c>
      <c r="KT499">
        <v>40.700000000000003</v>
      </c>
      <c r="KW499">
        <v>2154.5</v>
      </c>
      <c r="KX499">
        <v>1255.7</v>
      </c>
      <c r="KY499">
        <v>1630.1</v>
      </c>
      <c r="KZ499">
        <v>1246.9000000000001</v>
      </c>
      <c r="LB499">
        <v>78.099999999999994</v>
      </c>
      <c r="LC499">
        <v>77.7</v>
      </c>
    </row>
    <row r="500" spans="1:315" ht="18" thickBot="1">
      <c r="A500" s="245"/>
      <c r="B500" s="4"/>
      <c r="C500" s="332" t="s">
        <v>741</v>
      </c>
      <c r="D500" s="286"/>
      <c r="E500" s="449">
        <v>0</v>
      </c>
      <c r="F500" s="209">
        <v>0</v>
      </c>
      <c r="G500" s="427">
        <v>3413.8</v>
      </c>
      <c r="H500" s="155"/>
      <c r="I500">
        <v>735</v>
      </c>
      <c r="K500">
        <v>1973.1000000000001</v>
      </c>
      <c r="L500" s="4">
        <v>221.60000000000002</v>
      </c>
      <c r="M500" s="4">
        <v>54.9</v>
      </c>
      <c r="N500" s="4">
        <v>1989.7</v>
      </c>
      <c r="P500">
        <v>0</v>
      </c>
      <c r="Q500">
        <v>238.29999999999998</v>
      </c>
      <c r="R500">
        <v>0</v>
      </c>
      <c r="S500">
        <v>0</v>
      </c>
      <c r="T500">
        <v>368.5</v>
      </c>
      <c r="W500">
        <v>720.3</v>
      </c>
      <c r="X500">
        <v>1411.5</v>
      </c>
      <c r="Y500">
        <v>96.5</v>
      </c>
      <c r="AA500">
        <v>859.6</v>
      </c>
      <c r="AB500">
        <v>1577.6000000000001</v>
      </c>
      <c r="AE500">
        <v>1330</v>
      </c>
      <c r="AF500">
        <v>1025.5</v>
      </c>
      <c r="AH500">
        <v>509.9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1349.3</v>
      </c>
      <c r="AO500">
        <v>786.40000000000009</v>
      </c>
      <c r="AP500">
        <v>0</v>
      </c>
      <c r="AQ500">
        <v>68.3</v>
      </c>
      <c r="AR500">
        <v>234.9</v>
      </c>
      <c r="AS500">
        <v>600.40000000000009</v>
      </c>
      <c r="AU500">
        <v>985.69999999999993</v>
      </c>
      <c r="AW500">
        <v>792</v>
      </c>
      <c r="AX500">
        <v>1988.5</v>
      </c>
      <c r="AZ500">
        <v>763.5</v>
      </c>
      <c r="BA500">
        <v>0</v>
      </c>
      <c r="BB500">
        <v>0</v>
      </c>
      <c r="BC500">
        <v>1935.3</v>
      </c>
      <c r="BD500">
        <v>1006.5</v>
      </c>
      <c r="BE500">
        <v>0</v>
      </c>
      <c r="BF500">
        <v>0</v>
      </c>
      <c r="BG500">
        <v>0</v>
      </c>
      <c r="BH500">
        <v>1662.6</v>
      </c>
      <c r="BJ500">
        <v>0</v>
      </c>
      <c r="BK500">
        <v>0</v>
      </c>
      <c r="BL500">
        <v>1038.9000000000001</v>
      </c>
      <c r="BM500">
        <v>1101</v>
      </c>
      <c r="BO500">
        <v>1276.8000000000002</v>
      </c>
      <c r="BQ500">
        <v>0</v>
      </c>
      <c r="BR500">
        <v>270.7</v>
      </c>
      <c r="BS500">
        <v>230.5</v>
      </c>
      <c r="BT500">
        <v>472.3</v>
      </c>
      <c r="BU500">
        <v>537.29999999999995</v>
      </c>
      <c r="BV500">
        <v>346.3</v>
      </c>
      <c r="BW500">
        <v>386.2</v>
      </c>
      <c r="BX500">
        <v>767</v>
      </c>
      <c r="BY500">
        <v>757.2</v>
      </c>
      <c r="BZ500">
        <v>1037.2</v>
      </c>
      <c r="CA500">
        <v>1227.0999999999999</v>
      </c>
      <c r="CB500">
        <v>1232.0999999999999</v>
      </c>
      <c r="CC500">
        <v>1701.5</v>
      </c>
      <c r="CD500">
        <v>0</v>
      </c>
      <c r="CG500">
        <v>1385.3</v>
      </c>
      <c r="CJ500">
        <v>1630.2999999999997</v>
      </c>
      <c r="CM500">
        <v>1184.2</v>
      </c>
      <c r="CO500">
        <v>1248.0999999999999</v>
      </c>
      <c r="CQ500">
        <v>1435.3</v>
      </c>
      <c r="CR500">
        <v>798.2</v>
      </c>
      <c r="CS500">
        <v>923.8</v>
      </c>
      <c r="CT500">
        <v>0</v>
      </c>
      <c r="CU500">
        <v>0</v>
      </c>
      <c r="CV500">
        <v>0</v>
      </c>
      <c r="CW500">
        <v>0</v>
      </c>
      <c r="CX500">
        <v>163.69999999999999</v>
      </c>
      <c r="CY500">
        <v>0</v>
      </c>
      <c r="CZ500">
        <v>0</v>
      </c>
      <c r="DA500">
        <v>0</v>
      </c>
      <c r="DB500">
        <v>0</v>
      </c>
      <c r="DC500">
        <v>0</v>
      </c>
      <c r="DD500">
        <v>0</v>
      </c>
      <c r="DE500">
        <v>0</v>
      </c>
      <c r="DI500">
        <v>0</v>
      </c>
      <c r="EC500">
        <v>0</v>
      </c>
      <c r="ED500">
        <v>0</v>
      </c>
      <c r="EE500">
        <v>0</v>
      </c>
      <c r="EF500">
        <v>0</v>
      </c>
      <c r="EG500">
        <v>0</v>
      </c>
      <c r="EH500">
        <v>0</v>
      </c>
      <c r="EI500">
        <v>0</v>
      </c>
      <c r="EJ500">
        <v>0</v>
      </c>
      <c r="EM500">
        <v>0</v>
      </c>
      <c r="EN500">
        <v>0</v>
      </c>
      <c r="EO500">
        <v>0</v>
      </c>
      <c r="EP500">
        <v>0</v>
      </c>
      <c r="EQ500">
        <v>0</v>
      </c>
      <c r="ER500">
        <v>0</v>
      </c>
      <c r="ES500">
        <v>0</v>
      </c>
      <c r="ET500">
        <v>0</v>
      </c>
      <c r="EW500">
        <v>0</v>
      </c>
      <c r="EX500">
        <v>0</v>
      </c>
      <c r="EY500">
        <v>0</v>
      </c>
      <c r="EZ500">
        <v>0</v>
      </c>
      <c r="FA500">
        <v>0</v>
      </c>
      <c r="FB500">
        <v>0</v>
      </c>
      <c r="FC500">
        <v>0</v>
      </c>
      <c r="FD500">
        <v>0</v>
      </c>
      <c r="FG500" t="e">
        <v>#N/A</v>
      </c>
      <c r="FI500" t="e">
        <v>#N/A</v>
      </c>
      <c r="FK500" t="e">
        <v>#N/A</v>
      </c>
      <c r="FM500" t="e">
        <v>#N/A</v>
      </c>
      <c r="FO500" t="e">
        <v>#N/A</v>
      </c>
      <c r="FQ500" t="e">
        <v>#N/A</v>
      </c>
      <c r="FS500" t="e">
        <v>#N/A</v>
      </c>
      <c r="FU500" t="e">
        <v>#N/A</v>
      </c>
      <c r="FW500" t="e">
        <v>#N/A</v>
      </c>
      <c r="FY500" t="e">
        <v>#N/A</v>
      </c>
      <c r="GA500" t="e">
        <v>#N/A</v>
      </c>
      <c r="GC500" t="e">
        <v>#N/A</v>
      </c>
      <c r="GE500" t="e">
        <v>#N/A</v>
      </c>
      <c r="GG500" t="e">
        <v>#N/A</v>
      </c>
      <c r="GI500" t="e">
        <v>#N/A</v>
      </c>
      <c r="GK500" t="e">
        <v>#N/A</v>
      </c>
      <c r="GM500" t="e">
        <v>#N/A</v>
      </c>
      <c r="GO500" t="e">
        <v>#N/A</v>
      </c>
      <c r="GQ500" t="e">
        <v>#N/A</v>
      </c>
      <c r="GS500" t="e">
        <v>#N/A</v>
      </c>
      <c r="GU500" t="e">
        <v>#N/A</v>
      </c>
      <c r="GW500" t="e">
        <v>#N/A</v>
      </c>
      <c r="GY500" t="e">
        <v>#N/A</v>
      </c>
      <c r="HA500" t="e">
        <v>#N/A</v>
      </c>
      <c r="HC500">
        <v>0</v>
      </c>
      <c r="HD500">
        <v>0</v>
      </c>
      <c r="HE500">
        <v>0</v>
      </c>
      <c r="HF500">
        <v>0</v>
      </c>
      <c r="HG500">
        <v>0</v>
      </c>
      <c r="HH500">
        <v>0</v>
      </c>
      <c r="HI500">
        <v>0</v>
      </c>
      <c r="HJ500">
        <v>0</v>
      </c>
      <c r="HM500">
        <v>0</v>
      </c>
      <c r="HN500">
        <v>0</v>
      </c>
      <c r="HO500">
        <v>0</v>
      </c>
      <c r="HP500">
        <v>0</v>
      </c>
      <c r="HQ500">
        <v>0</v>
      </c>
      <c r="HR500">
        <v>0</v>
      </c>
      <c r="HS500">
        <v>0</v>
      </c>
      <c r="HT500">
        <v>0</v>
      </c>
      <c r="HW500">
        <v>0</v>
      </c>
      <c r="HX500">
        <v>0</v>
      </c>
      <c r="HY500">
        <v>0</v>
      </c>
      <c r="HZ500">
        <v>0</v>
      </c>
      <c r="IA500">
        <v>3930.6</v>
      </c>
      <c r="IB500">
        <v>3632.9</v>
      </c>
      <c r="IC500">
        <v>3795.5</v>
      </c>
      <c r="ID500">
        <v>0</v>
      </c>
      <c r="IE500">
        <v>0</v>
      </c>
      <c r="IF500">
        <v>3548.5</v>
      </c>
      <c r="IG500">
        <v>3395.2</v>
      </c>
      <c r="IH500">
        <v>3395.4</v>
      </c>
      <c r="II500">
        <v>3302.3</v>
      </c>
      <c r="IJ500">
        <v>3172.8</v>
      </c>
      <c r="IK500">
        <v>0</v>
      </c>
      <c r="IL500">
        <v>0</v>
      </c>
      <c r="IM500">
        <v>0</v>
      </c>
      <c r="IN500">
        <v>0</v>
      </c>
      <c r="IO500">
        <v>123.4</v>
      </c>
      <c r="IP500">
        <v>405.2</v>
      </c>
      <c r="IQ500">
        <v>418.7</v>
      </c>
      <c r="IR500">
        <v>0</v>
      </c>
      <c r="IS500">
        <v>0</v>
      </c>
      <c r="IT500">
        <v>0</v>
      </c>
      <c r="IU500">
        <v>0</v>
      </c>
      <c r="IV500">
        <v>396</v>
      </c>
      <c r="IW500">
        <v>0</v>
      </c>
      <c r="IX500">
        <v>0</v>
      </c>
      <c r="IZ500">
        <v>0</v>
      </c>
      <c r="JA500">
        <v>65.5</v>
      </c>
      <c r="JB500">
        <v>443.5</v>
      </c>
      <c r="JC500">
        <v>0</v>
      </c>
      <c r="JD500">
        <v>0</v>
      </c>
      <c r="JE500">
        <v>0</v>
      </c>
      <c r="JF500">
        <v>0</v>
      </c>
      <c r="JG500">
        <v>0</v>
      </c>
      <c r="JH500">
        <v>0</v>
      </c>
      <c r="JI500">
        <v>0</v>
      </c>
      <c r="JJ500">
        <v>0</v>
      </c>
      <c r="JK500">
        <v>0</v>
      </c>
      <c r="JL500">
        <v>0</v>
      </c>
      <c r="JM500">
        <v>0</v>
      </c>
      <c r="JN500">
        <v>0</v>
      </c>
      <c r="JO500">
        <v>0</v>
      </c>
      <c r="JP500">
        <v>0</v>
      </c>
      <c r="JQ500">
        <v>0</v>
      </c>
      <c r="JR500">
        <v>0</v>
      </c>
      <c r="JS500">
        <v>0</v>
      </c>
      <c r="JT500">
        <v>0</v>
      </c>
      <c r="JU500">
        <v>0</v>
      </c>
      <c r="JV500">
        <v>0</v>
      </c>
      <c r="JW500">
        <v>0</v>
      </c>
      <c r="JX500">
        <v>0</v>
      </c>
      <c r="JY500">
        <v>0</v>
      </c>
      <c r="JZ500">
        <v>0</v>
      </c>
      <c r="KA500">
        <v>0</v>
      </c>
      <c r="KB500">
        <v>0</v>
      </c>
      <c r="KC500">
        <v>0</v>
      </c>
      <c r="KD500">
        <v>0</v>
      </c>
      <c r="KE500">
        <v>0</v>
      </c>
      <c r="KF500">
        <v>0</v>
      </c>
      <c r="KI500">
        <v>344.6</v>
      </c>
      <c r="KJ500">
        <v>350.8</v>
      </c>
      <c r="KK500">
        <v>22.1</v>
      </c>
      <c r="KL500">
        <v>379.3</v>
      </c>
      <c r="KM500">
        <v>241.4</v>
      </c>
      <c r="KN500">
        <v>0</v>
      </c>
      <c r="KO500">
        <v>0</v>
      </c>
      <c r="KP500">
        <v>57.3</v>
      </c>
      <c r="KQ500">
        <v>224.4</v>
      </c>
      <c r="KR500">
        <v>338.3</v>
      </c>
      <c r="KS500">
        <v>215.8</v>
      </c>
      <c r="KT500">
        <v>40.700000000000003</v>
      </c>
      <c r="KW500">
        <v>2154.5</v>
      </c>
      <c r="KX500">
        <v>1255.7</v>
      </c>
      <c r="KY500">
        <v>1630.1</v>
      </c>
      <c r="KZ500">
        <v>1246.9000000000001</v>
      </c>
      <c r="LB500">
        <v>78.099999999999994</v>
      </c>
      <c r="LC500">
        <v>77.7</v>
      </c>
    </row>
    <row r="501" spans="1:315" ht="18" thickBot="1">
      <c r="A501" s="245"/>
      <c r="B501" s="4"/>
      <c r="C501" s="332" t="s">
        <v>890</v>
      </c>
      <c r="D501" s="286"/>
      <c r="E501" s="449">
        <v>0</v>
      </c>
      <c r="F501" s="209">
        <v>0</v>
      </c>
      <c r="G501" s="427">
        <v>3413.8</v>
      </c>
      <c r="H501" s="155"/>
      <c r="I501">
        <v>735</v>
      </c>
      <c r="K501">
        <v>1973.1000000000001</v>
      </c>
      <c r="L501" s="4">
        <v>221.60000000000002</v>
      </c>
      <c r="M501" s="4">
        <v>54.9</v>
      </c>
      <c r="N501" s="4">
        <v>1989.7</v>
      </c>
      <c r="P501">
        <v>0</v>
      </c>
      <c r="Q501">
        <v>238.29999999999998</v>
      </c>
      <c r="R501">
        <v>0</v>
      </c>
      <c r="S501">
        <v>0</v>
      </c>
      <c r="T501">
        <v>368.5</v>
      </c>
      <c r="W501">
        <v>720.3</v>
      </c>
      <c r="X501">
        <v>1411.5</v>
      </c>
      <c r="Y501">
        <v>96.5</v>
      </c>
      <c r="AA501">
        <v>859.6</v>
      </c>
      <c r="AB501">
        <v>1577.6000000000001</v>
      </c>
      <c r="AE501">
        <v>1330</v>
      </c>
      <c r="AF501">
        <v>1025.5</v>
      </c>
      <c r="AH501">
        <v>509.9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1349.3</v>
      </c>
      <c r="AO501">
        <v>786.40000000000009</v>
      </c>
      <c r="AP501">
        <v>0</v>
      </c>
      <c r="AQ501">
        <v>68.3</v>
      </c>
      <c r="AR501">
        <v>234.9</v>
      </c>
      <c r="AS501">
        <v>600.40000000000009</v>
      </c>
      <c r="AU501">
        <v>985.69999999999993</v>
      </c>
      <c r="AW501">
        <v>792</v>
      </c>
      <c r="AX501">
        <v>1988.5</v>
      </c>
      <c r="AZ501">
        <v>763.5</v>
      </c>
      <c r="BA501">
        <v>0</v>
      </c>
      <c r="BB501">
        <v>0</v>
      </c>
      <c r="BC501">
        <v>1935.3</v>
      </c>
      <c r="BD501">
        <v>1006.5</v>
      </c>
      <c r="BE501">
        <v>0</v>
      </c>
      <c r="BF501">
        <v>0</v>
      </c>
      <c r="BG501">
        <v>0</v>
      </c>
      <c r="BH501">
        <v>1662.6</v>
      </c>
      <c r="BJ501">
        <v>0</v>
      </c>
      <c r="BK501">
        <v>0</v>
      </c>
      <c r="BL501">
        <v>1038.9000000000001</v>
      </c>
      <c r="BM501">
        <v>1101</v>
      </c>
      <c r="BO501">
        <v>1276.8000000000002</v>
      </c>
      <c r="BQ501">
        <v>0</v>
      </c>
      <c r="BR501">
        <v>270.7</v>
      </c>
      <c r="BS501">
        <v>230.5</v>
      </c>
      <c r="BT501">
        <v>472.3</v>
      </c>
      <c r="BU501">
        <v>537.29999999999995</v>
      </c>
      <c r="BV501">
        <v>346.3</v>
      </c>
      <c r="BW501">
        <v>386.2</v>
      </c>
      <c r="BX501">
        <v>767</v>
      </c>
      <c r="BY501">
        <v>757.2</v>
      </c>
      <c r="BZ501">
        <v>1037.2</v>
      </c>
      <c r="CA501">
        <v>1227.0999999999999</v>
      </c>
      <c r="CB501">
        <v>1232.0999999999999</v>
      </c>
      <c r="CC501">
        <v>1701.5</v>
      </c>
      <c r="CD501">
        <v>0</v>
      </c>
      <c r="CG501">
        <v>1385.3</v>
      </c>
      <c r="CJ501">
        <v>1630.2999999999997</v>
      </c>
      <c r="CM501">
        <v>1184.2</v>
      </c>
      <c r="CO501">
        <v>1248.0999999999999</v>
      </c>
      <c r="CQ501">
        <v>1435.3</v>
      </c>
      <c r="CR501">
        <v>798.2</v>
      </c>
      <c r="CS501">
        <v>923.8</v>
      </c>
      <c r="CT501">
        <v>0</v>
      </c>
      <c r="CU501">
        <v>0</v>
      </c>
      <c r="CV501">
        <v>0</v>
      </c>
      <c r="CW501">
        <v>0</v>
      </c>
      <c r="CX501">
        <v>163.69999999999999</v>
      </c>
      <c r="CY501">
        <v>0</v>
      </c>
      <c r="CZ501">
        <v>0</v>
      </c>
      <c r="DA501">
        <v>0</v>
      </c>
      <c r="DB501">
        <v>0</v>
      </c>
      <c r="DC501">
        <v>0</v>
      </c>
      <c r="DD501">
        <v>0</v>
      </c>
      <c r="DE501">
        <v>0</v>
      </c>
      <c r="DI501">
        <v>0</v>
      </c>
      <c r="EC501">
        <v>0</v>
      </c>
      <c r="ED501">
        <v>0</v>
      </c>
      <c r="EE501">
        <v>0</v>
      </c>
      <c r="EF501">
        <v>0</v>
      </c>
      <c r="EG501">
        <v>0</v>
      </c>
      <c r="EH501">
        <v>0</v>
      </c>
      <c r="EI501">
        <v>0</v>
      </c>
      <c r="EJ501">
        <v>0</v>
      </c>
      <c r="EM501">
        <v>0</v>
      </c>
      <c r="EN501">
        <v>0</v>
      </c>
      <c r="EO501">
        <v>0</v>
      </c>
      <c r="EP501">
        <v>0</v>
      </c>
      <c r="EQ501">
        <v>0</v>
      </c>
      <c r="ER501">
        <v>0</v>
      </c>
      <c r="ES501">
        <v>0</v>
      </c>
      <c r="ET501">
        <v>0</v>
      </c>
      <c r="EW501">
        <v>0</v>
      </c>
      <c r="EX501">
        <v>0</v>
      </c>
      <c r="EY501">
        <v>0</v>
      </c>
      <c r="EZ501">
        <v>0</v>
      </c>
      <c r="FA501">
        <v>0</v>
      </c>
      <c r="FB501">
        <v>0</v>
      </c>
      <c r="FC501">
        <v>0</v>
      </c>
      <c r="FD501">
        <v>0</v>
      </c>
      <c r="FG501" t="e">
        <v>#N/A</v>
      </c>
      <c r="FI501" t="e">
        <v>#N/A</v>
      </c>
      <c r="FK501" t="e">
        <v>#N/A</v>
      </c>
      <c r="FM501" t="e">
        <v>#N/A</v>
      </c>
      <c r="FO501" t="e">
        <v>#N/A</v>
      </c>
      <c r="FQ501" t="e">
        <v>#N/A</v>
      </c>
      <c r="FS501" t="e">
        <v>#N/A</v>
      </c>
      <c r="FU501" t="e">
        <v>#N/A</v>
      </c>
      <c r="FW501" t="e">
        <v>#N/A</v>
      </c>
      <c r="FY501" t="e">
        <v>#N/A</v>
      </c>
      <c r="GA501" t="e">
        <v>#N/A</v>
      </c>
      <c r="GC501" t="e">
        <v>#N/A</v>
      </c>
      <c r="GE501" t="e">
        <v>#N/A</v>
      </c>
      <c r="GG501" t="e">
        <v>#N/A</v>
      </c>
      <c r="GI501" t="e">
        <v>#N/A</v>
      </c>
      <c r="GK501" t="e">
        <v>#N/A</v>
      </c>
      <c r="GM501" t="e">
        <v>#N/A</v>
      </c>
      <c r="GO501" t="e">
        <v>#N/A</v>
      </c>
      <c r="GQ501" t="e">
        <v>#N/A</v>
      </c>
      <c r="GS501" t="e">
        <v>#N/A</v>
      </c>
      <c r="GU501" t="e">
        <v>#N/A</v>
      </c>
      <c r="GW501" t="e">
        <v>#N/A</v>
      </c>
      <c r="GY501" t="e">
        <v>#N/A</v>
      </c>
      <c r="HA501" t="e">
        <v>#N/A</v>
      </c>
      <c r="HC501">
        <v>0</v>
      </c>
      <c r="HD501">
        <v>0</v>
      </c>
      <c r="HE501">
        <v>0</v>
      </c>
      <c r="HF501">
        <v>0</v>
      </c>
      <c r="HG501">
        <v>0</v>
      </c>
      <c r="HH501">
        <v>0</v>
      </c>
      <c r="HI501">
        <v>0</v>
      </c>
      <c r="HJ501">
        <v>0</v>
      </c>
      <c r="HM501">
        <v>0</v>
      </c>
      <c r="HN501">
        <v>0</v>
      </c>
      <c r="HO501">
        <v>0</v>
      </c>
      <c r="HP501">
        <v>0</v>
      </c>
      <c r="HQ501">
        <v>0</v>
      </c>
      <c r="HR501">
        <v>0</v>
      </c>
      <c r="HS501">
        <v>0</v>
      </c>
      <c r="HT501">
        <v>0</v>
      </c>
      <c r="HW501">
        <v>0</v>
      </c>
      <c r="HX501">
        <v>0</v>
      </c>
      <c r="HY501">
        <v>0</v>
      </c>
      <c r="HZ501">
        <v>0</v>
      </c>
      <c r="IA501">
        <v>3930.6</v>
      </c>
      <c r="IB501">
        <v>3632.9</v>
      </c>
      <c r="IC501">
        <v>3795.5</v>
      </c>
      <c r="ID501">
        <v>0</v>
      </c>
      <c r="IE501">
        <v>0</v>
      </c>
      <c r="IF501">
        <v>3548.5</v>
      </c>
      <c r="IG501">
        <v>3395.2</v>
      </c>
      <c r="IH501">
        <v>3395.4</v>
      </c>
      <c r="II501">
        <v>3302.3</v>
      </c>
      <c r="IJ501">
        <v>3172.8</v>
      </c>
      <c r="IK501">
        <v>0</v>
      </c>
      <c r="IL501">
        <v>0</v>
      </c>
      <c r="IM501">
        <v>0</v>
      </c>
      <c r="IN501">
        <v>0</v>
      </c>
      <c r="IO501">
        <v>123.4</v>
      </c>
      <c r="IP501">
        <v>405.2</v>
      </c>
      <c r="IQ501">
        <v>418.7</v>
      </c>
      <c r="IR501">
        <v>0</v>
      </c>
      <c r="IS501">
        <v>0</v>
      </c>
      <c r="IT501">
        <v>0</v>
      </c>
      <c r="IU501">
        <v>0</v>
      </c>
      <c r="IV501">
        <v>396</v>
      </c>
      <c r="IW501">
        <v>0</v>
      </c>
      <c r="IX501">
        <v>0</v>
      </c>
      <c r="IZ501">
        <v>0</v>
      </c>
      <c r="JA501">
        <v>65.5</v>
      </c>
      <c r="JB501">
        <v>443.5</v>
      </c>
      <c r="JC501">
        <v>0</v>
      </c>
      <c r="JD501">
        <v>0</v>
      </c>
      <c r="JE501">
        <v>0</v>
      </c>
      <c r="JF501">
        <v>0</v>
      </c>
      <c r="JG501">
        <v>0</v>
      </c>
      <c r="JH501">
        <v>0</v>
      </c>
      <c r="JI501">
        <v>0</v>
      </c>
      <c r="JJ501">
        <v>0</v>
      </c>
      <c r="JK501">
        <v>0</v>
      </c>
      <c r="JL501">
        <v>0</v>
      </c>
      <c r="JM501">
        <v>0</v>
      </c>
      <c r="JN501">
        <v>0</v>
      </c>
      <c r="JO501">
        <v>0</v>
      </c>
      <c r="JP501">
        <v>0</v>
      </c>
      <c r="JQ501">
        <v>0</v>
      </c>
      <c r="JR501">
        <v>0</v>
      </c>
      <c r="JS501">
        <v>0</v>
      </c>
      <c r="JT501">
        <v>0</v>
      </c>
      <c r="JU501">
        <v>0</v>
      </c>
      <c r="JV501">
        <v>0</v>
      </c>
      <c r="JW501">
        <v>0</v>
      </c>
      <c r="JX501">
        <v>0</v>
      </c>
      <c r="JY501">
        <v>0</v>
      </c>
      <c r="JZ501">
        <v>0</v>
      </c>
      <c r="KA501">
        <v>0</v>
      </c>
      <c r="KB501">
        <v>0</v>
      </c>
      <c r="KC501">
        <v>0</v>
      </c>
      <c r="KD501">
        <v>0</v>
      </c>
      <c r="KE501">
        <v>0</v>
      </c>
      <c r="KF501">
        <v>0</v>
      </c>
      <c r="KI501">
        <v>344.6</v>
      </c>
      <c r="KJ501">
        <v>350.8</v>
      </c>
      <c r="KK501">
        <v>22.1</v>
      </c>
      <c r="KL501">
        <v>379.3</v>
      </c>
      <c r="KM501">
        <v>241.4</v>
      </c>
      <c r="KN501">
        <v>0</v>
      </c>
      <c r="KO501">
        <v>0</v>
      </c>
      <c r="KP501">
        <v>57.3</v>
      </c>
      <c r="KQ501">
        <v>224.4</v>
      </c>
      <c r="KR501">
        <v>338.3</v>
      </c>
      <c r="KS501">
        <v>215.8</v>
      </c>
      <c r="KT501">
        <v>40.700000000000003</v>
      </c>
      <c r="KW501">
        <v>2154.5</v>
      </c>
      <c r="KX501">
        <v>1255.7</v>
      </c>
      <c r="KY501">
        <v>1630.1</v>
      </c>
      <c r="KZ501">
        <v>1246.9000000000001</v>
      </c>
      <c r="LB501">
        <v>78.099999999999994</v>
      </c>
      <c r="LC501">
        <v>77.7</v>
      </c>
    </row>
    <row r="502" spans="1:315" ht="18" thickBot="1">
      <c r="A502" s="245"/>
      <c r="B502" s="4"/>
      <c r="C502" s="332" t="s">
        <v>905</v>
      </c>
      <c r="D502" s="286"/>
      <c r="E502" s="449">
        <v>0</v>
      </c>
      <c r="F502" s="209">
        <v>0</v>
      </c>
      <c r="G502" s="427">
        <v>3413.8</v>
      </c>
      <c r="H502" s="155"/>
      <c r="I502">
        <v>735</v>
      </c>
      <c r="K502">
        <v>1973.1000000000001</v>
      </c>
      <c r="L502" s="4">
        <v>221.60000000000002</v>
      </c>
      <c r="M502" s="4">
        <v>54.9</v>
      </c>
      <c r="N502" s="4">
        <v>1989.7</v>
      </c>
      <c r="P502">
        <v>0</v>
      </c>
      <c r="Q502">
        <v>238.29999999999998</v>
      </c>
      <c r="R502">
        <v>0</v>
      </c>
      <c r="S502">
        <v>0</v>
      </c>
      <c r="T502">
        <v>368.5</v>
      </c>
      <c r="W502">
        <v>720.3</v>
      </c>
      <c r="X502">
        <v>1411.5</v>
      </c>
      <c r="Y502">
        <v>96.5</v>
      </c>
      <c r="AA502">
        <v>859.6</v>
      </c>
      <c r="AB502">
        <v>1577.6000000000001</v>
      </c>
      <c r="AE502">
        <v>1330</v>
      </c>
      <c r="AF502">
        <v>1025.5</v>
      </c>
      <c r="AH502">
        <v>509.9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1349.3</v>
      </c>
      <c r="AO502">
        <v>786.40000000000009</v>
      </c>
      <c r="AP502">
        <v>0</v>
      </c>
      <c r="AQ502">
        <v>68.3</v>
      </c>
      <c r="AR502">
        <v>234.9</v>
      </c>
      <c r="AS502">
        <v>600.40000000000009</v>
      </c>
      <c r="AU502">
        <v>985.69999999999993</v>
      </c>
      <c r="AW502">
        <v>792</v>
      </c>
      <c r="AX502">
        <v>1988.5</v>
      </c>
      <c r="AZ502">
        <v>763.5</v>
      </c>
      <c r="BA502">
        <v>0</v>
      </c>
      <c r="BB502">
        <v>0</v>
      </c>
      <c r="BC502">
        <v>1935.3</v>
      </c>
      <c r="BD502">
        <v>1006.5</v>
      </c>
      <c r="BE502">
        <v>0</v>
      </c>
      <c r="BF502">
        <v>0</v>
      </c>
      <c r="BG502">
        <v>0</v>
      </c>
      <c r="BH502">
        <v>1662.6</v>
      </c>
      <c r="BJ502">
        <v>0</v>
      </c>
      <c r="BK502">
        <v>0</v>
      </c>
      <c r="BL502">
        <v>1038.9000000000001</v>
      </c>
      <c r="BM502">
        <v>1101</v>
      </c>
      <c r="BO502">
        <v>1276.8000000000002</v>
      </c>
      <c r="BQ502">
        <v>0</v>
      </c>
      <c r="BR502">
        <v>270.7</v>
      </c>
      <c r="BS502">
        <v>230.5</v>
      </c>
      <c r="BT502">
        <v>472.3</v>
      </c>
      <c r="BU502">
        <v>537.29999999999995</v>
      </c>
      <c r="BV502">
        <v>346.3</v>
      </c>
      <c r="BW502">
        <v>386.2</v>
      </c>
      <c r="BX502">
        <v>767</v>
      </c>
      <c r="BY502">
        <v>757.2</v>
      </c>
      <c r="BZ502">
        <v>1037.2</v>
      </c>
      <c r="CA502">
        <v>1227.0999999999999</v>
      </c>
      <c r="CB502">
        <v>1232.0999999999999</v>
      </c>
      <c r="CC502">
        <v>1701.5</v>
      </c>
      <c r="CD502">
        <v>0</v>
      </c>
      <c r="CG502">
        <v>1385.3</v>
      </c>
      <c r="CJ502">
        <v>1630.2999999999997</v>
      </c>
      <c r="CM502">
        <v>1184.2</v>
      </c>
      <c r="CO502">
        <v>1248.0999999999999</v>
      </c>
      <c r="CQ502">
        <v>1435.3</v>
      </c>
      <c r="CR502">
        <v>798.2</v>
      </c>
      <c r="CS502">
        <v>923.8</v>
      </c>
      <c r="CT502">
        <v>0</v>
      </c>
      <c r="CU502">
        <v>0</v>
      </c>
      <c r="CV502">
        <v>0</v>
      </c>
      <c r="CW502">
        <v>0</v>
      </c>
      <c r="CX502">
        <v>163.69999999999999</v>
      </c>
      <c r="CY502">
        <v>0</v>
      </c>
      <c r="CZ502">
        <v>0</v>
      </c>
      <c r="DA502">
        <v>0</v>
      </c>
      <c r="DB502">
        <v>0</v>
      </c>
      <c r="DC502">
        <v>0</v>
      </c>
      <c r="DD502">
        <v>0</v>
      </c>
      <c r="DE502">
        <v>0</v>
      </c>
      <c r="DI502">
        <v>0</v>
      </c>
      <c r="EC502">
        <v>0</v>
      </c>
      <c r="ED502">
        <v>0</v>
      </c>
      <c r="EE502">
        <v>0</v>
      </c>
      <c r="EF502">
        <v>0</v>
      </c>
      <c r="EG502">
        <v>0</v>
      </c>
      <c r="EH502">
        <v>0</v>
      </c>
      <c r="EI502">
        <v>0</v>
      </c>
      <c r="EJ502">
        <v>0</v>
      </c>
      <c r="EM502">
        <v>0</v>
      </c>
      <c r="EN502">
        <v>0</v>
      </c>
      <c r="EO502">
        <v>0</v>
      </c>
      <c r="EP502">
        <v>0</v>
      </c>
      <c r="EQ502">
        <v>0</v>
      </c>
      <c r="ER502">
        <v>0</v>
      </c>
      <c r="ES502">
        <v>0</v>
      </c>
      <c r="ET502">
        <v>0</v>
      </c>
      <c r="EW502">
        <v>0</v>
      </c>
      <c r="EX502">
        <v>0</v>
      </c>
      <c r="EY502">
        <v>0</v>
      </c>
      <c r="EZ502">
        <v>0</v>
      </c>
      <c r="FA502">
        <v>0</v>
      </c>
      <c r="FB502">
        <v>0</v>
      </c>
      <c r="FC502">
        <v>0</v>
      </c>
      <c r="FD502">
        <v>0</v>
      </c>
      <c r="FG502" t="e">
        <v>#N/A</v>
      </c>
      <c r="FI502" t="e">
        <v>#N/A</v>
      </c>
      <c r="FK502" t="e">
        <v>#N/A</v>
      </c>
      <c r="FM502" t="e">
        <v>#N/A</v>
      </c>
      <c r="FO502" t="e">
        <v>#N/A</v>
      </c>
      <c r="FQ502" t="e">
        <v>#N/A</v>
      </c>
      <c r="FS502" t="e">
        <v>#N/A</v>
      </c>
      <c r="FU502" t="e">
        <v>#N/A</v>
      </c>
      <c r="FW502" t="e">
        <v>#N/A</v>
      </c>
      <c r="FY502" t="e">
        <v>#N/A</v>
      </c>
      <c r="GA502" t="e">
        <v>#N/A</v>
      </c>
      <c r="GC502" t="e">
        <v>#N/A</v>
      </c>
      <c r="GE502" t="e">
        <v>#N/A</v>
      </c>
      <c r="GG502" t="e">
        <v>#N/A</v>
      </c>
      <c r="GI502" t="e">
        <v>#N/A</v>
      </c>
      <c r="GK502" t="e">
        <v>#N/A</v>
      </c>
      <c r="GM502" t="e">
        <v>#N/A</v>
      </c>
      <c r="GO502" t="e">
        <v>#N/A</v>
      </c>
      <c r="GQ502" t="e">
        <v>#N/A</v>
      </c>
      <c r="GS502" t="e">
        <v>#N/A</v>
      </c>
      <c r="GU502" t="e">
        <v>#N/A</v>
      </c>
      <c r="GW502" t="e">
        <v>#N/A</v>
      </c>
      <c r="GY502" t="e">
        <v>#N/A</v>
      </c>
      <c r="HA502" t="e">
        <v>#N/A</v>
      </c>
      <c r="HC502">
        <v>0</v>
      </c>
      <c r="HD502">
        <v>0</v>
      </c>
      <c r="HE502">
        <v>0</v>
      </c>
      <c r="HF502">
        <v>0</v>
      </c>
      <c r="HG502">
        <v>0</v>
      </c>
      <c r="HH502">
        <v>0</v>
      </c>
      <c r="HI502">
        <v>0</v>
      </c>
      <c r="HJ502">
        <v>0</v>
      </c>
      <c r="HM502">
        <v>0</v>
      </c>
      <c r="HN502">
        <v>0</v>
      </c>
      <c r="HO502">
        <v>0</v>
      </c>
      <c r="HP502">
        <v>0</v>
      </c>
      <c r="HQ502">
        <v>0</v>
      </c>
      <c r="HR502">
        <v>0</v>
      </c>
      <c r="HS502">
        <v>0</v>
      </c>
      <c r="HT502">
        <v>0</v>
      </c>
      <c r="HW502">
        <v>0</v>
      </c>
      <c r="HX502">
        <v>0</v>
      </c>
      <c r="HY502">
        <v>0</v>
      </c>
      <c r="HZ502">
        <v>0</v>
      </c>
      <c r="IA502">
        <v>3930.6</v>
      </c>
      <c r="IB502">
        <v>3632.9</v>
      </c>
      <c r="IC502">
        <v>3795.5</v>
      </c>
      <c r="ID502">
        <v>0</v>
      </c>
      <c r="IE502">
        <v>0</v>
      </c>
      <c r="IF502">
        <v>3548.5</v>
      </c>
      <c r="IG502">
        <v>3395.2</v>
      </c>
      <c r="IH502">
        <v>3395.4</v>
      </c>
      <c r="II502">
        <v>3302.3</v>
      </c>
      <c r="IJ502">
        <v>3172.8</v>
      </c>
      <c r="IK502">
        <v>0</v>
      </c>
      <c r="IL502">
        <v>0</v>
      </c>
      <c r="IM502">
        <v>0</v>
      </c>
      <c r="IN502">
        <v>0</v>
      </c>
      <c r="IO502">
        <v>123.4</v>
      </c>
      <c r="IP502">
        <v>405.2</v>
      </c>
      <c r="IQ502">
        <v>418.7</v>
      </c>
      <c r="IR502">
        <v>0</v>
      </c>
      <c r="IS502">
        <v>0</v>
      </c>
      <c r="IT502">
        <v>0</v>
      </c>
      <c r="IU502">
        <v>0</v>
      </c>
      <c r="IV502">
        <v>396</v>
      </c>
      <c r="IW502">
        <v>0</v>
      </c>
      <c r="IX502">
        <v>0</v>
      </c>
      <c r="IZ502">
        <v>0</v>
      </c>
      <c r="JA502">
        <v>65.5</v>
      </c>
      <c r="JB502">
        <v>443.5</v>
      </c>
      <c r="JC502">
        <v>0</v>
      </c>
      <c r="JD502">
        <v>0</v>
      </c>
      <c r="JE502">
        <v>0</v>
      </c>
      <c r="JF502">
        <v>0</v>
      </c>
      <c r="JG502">
        <v>0</v>
      </c>
      <c r="JH502">
        <v>0</v>
      </c>
      <c r="JI502">
        <v>0</v>
      </c>
      <c r="JJ502">
        <v>0</v>
      </c>
      <c r="JK502">
        <v>0</v>
      </c>
      <c r="JL502">
        <v>0</v>
      </c>
      <c r="JM502">
        <v>0</v>
      </c>
      <c r="JN502">
        <v>0</v>
      </c>
      <c r="JO502">
        <v>0</v>
      </c>
      <c r="JP502">
        <v>0</v>
      </c>
      <c r="JQ502">
        <v>0</v>
      </c>
      <c r="JR502">
        <v>0</v>
      </c>
      <c r="JS502">
        <v>0</v>
      </c>
      <c r="JT502">
        <v>0</v>
      </c>
      <c r="JU502">
        <v>0</v>
      </c>
      <c r="JV502">
        <v>0</v>
      </c>
      <c r="JW502">
        <v>0</v>
      </c>
      <c r="JX502">
        <v>0</v>
      </c>
      <c r="JY502">
        <v>0</v>
      </c>
      <c r="JZ502">
        <v>0</v>
      </c>
      <c r="KA502">
        <v>0</v>
      </c>
      <c r="KB502">
        <v>0</v>
      </c>
      <c r="KC502">
        <v>0</v>
      </c>
      <c r="KD502">
        <v>0</v>
      </c>
      <c r="KE502">
        <v>0</v>
      </c>
      <c r="KF502">
        <v>0</v>
      </c>
      <c r="KI502">
        <v>344.6</v>
      </c>
      <c r="KJ502">
        <v>350.8</v>
      </c>
      <c r="KK502">
        <v>22.1</v>
      </c>
      <c r="KL502">
        <v>379.3</v>
      </c>
      <c r="KM502">
        <v>241.4</v>
      </c>
      <c r="KN502">
        <v>0</v>
      </c>
      <c r="KO502">
        <v>0</v>
      </c>
      <c r="KP502">
        <v>57.3</v>
      </c>
      <c r="KQ502">
        <v>224.4</v>
      </c>
      <c r="KR502">
        <v>338.3</v>
      </c>
      <c r="KS502">
        <v>215.8</v>
      </c>
      <c r="KT502">
        <v>40.700000000000003</v>
      </c>
      <c r="KW502">
        <v>2154.5</v>
      </c>
      <c r="KX502">
        <v>1255.7</v>
      </c>
      <c r="KY502">
        <v>1630.1</v>
      </c>
      <c r="KZ502">
        <v>1246.9000000000001</v>
      </c>
      <c r="LB502">
        <v>78.099999999999994</v>
      </c>
      <c r="LC502">
        <v>77.7</v>
      </c>
    </row>
    <row r="503" spans="1:315" ht="18" thickBot="1">
      <c r="A503" s="245"/>
      <c r="B503" s="4"/>
      <c r="C503" s="332" t="s">
        <v>742</v>
      </c>
      <c r="D503" s="286"/>
      <c r="E503" s="449">
        <v>0</v>
      </c>
      <c r="F503" s="209">
        <v>0</v>
      </c>
      <c r="G503" s="427">
        <v>3413.8</v>
      </c>
      <c r="H503" s="155"/>
      <c r="I503">
        <v>735</v>
      </c>
      <c r="K503">
        <v>1973.1000000000001</v>
      </c>
      <c r="L503" s="4">
        <v>221.60000000000002</v>
      </c>
      <c r="M503" s="4">
        <v>54.9</v>
      </c>
      <c r="N503" s="4">
        <v>1989.7</v>
      </c>
      <c r="P503">
        <v>0</v>
      </c>
      <c r="Q503">
        <v>238.29999999999998</v>
      </c>
      <c r="R503">
        <v>0</v>
      </c>
      <c r="S503">
        <v>0</v>
      </c>
      <c r="T503">
        <v>368.5</v>
      </c>
      <c r="W503">
        <v>720.3</v>
      </c>
      <c r="X503">
        <v>1411.5</v>
      </c>
      <c r="Y503">
        <v>96.5</v>
      </c>
      <c r="AA503">
        <v>859.6</v>
      </c>
      <c r="AB503">
        <v>1577.6000000000001</v>
      </c>
      <c r="AE503">
        <v>1330</v>
      </c>
      <c r="AF503">
        <v>1025.5</v>
      </c>
      <c r="AH503">
        <v>509.9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1349.3</v>
      </c>
      <c r="AO503">
        <v>786.40000000000009</v>
      </c>
      <c r="AP503">
        <v>0</v>
      </c>
      <c r="AQ503">
        <v>68.3</v>
      </c>
      <c r="AR503">
        <v>234.9</v>
      </c>
      <c r="AS503">
        <v>600.40000000000009</v>
      </c>
      <c r="AU503">
        <v>985.69999999999993</v>
      </c>
      <c r="AW503">
        <v>792</v>
      </c>
      <c r="AX503">
        <v>1988.5</v>
      </c>
      <c r="AZ503">
        <v>763.5</v>
      </c>
      <c r="BA503">
        <v>0</v>
      </c>
      <c r="BB503">
        <v>0</v>
      </c>
      <c r="BC503">
        <v>1935.3</v>
      </c>
      <c r="BD503">
        <v>1006.5</v>
      </c>
      <c r="BE503">
        <v>0</v>
      </c>
      <c r="BF503">
        <v>0</v>
      </c>
      <c r="BG503">
        <v>0</v>
      </c>
      <c r="BH503">
        <v>1662.6</v>
      </c>
      <c r="BJ503">
        <v>0</v>
      </c>
      <c r="BK503">
        <v>0</v>
      </c>
      <c r="BL503">
        <v>1038.9000000000001</v>
      </c>
      <c r="BM503">
        <v>1101</v>
      </c>
      <c r="BO503">
        <v>1276.8000000000002</v>
      </c>
      <c r="BQ503">
        <v>0</v>
      </c>
      <c r="BR503">
        <v>270.7</v>
      </c>
      <c r="BS503">
        <v>230.5</v>
      </c>
      <c r="BT503">
        <v>472.3</v>
      </c>
      <c r="BU503">
        <v>537.29999999999995</v>
      </c>
      <c r="BV503">
        <v>346.3</v>
      </c>
      <c r="BW503">
        <v>386.2</v>
      </c>
      <c r="BX503">
        <v>767</v>
      </c>
      <c r="BY503">
        <v>757.2</v>
      </c>
      <c r="BZ503">
        <v>1037.2</v>
      </c>
      <c r="CA503">
        <v>1227.0999999999999</v>
      </c>
      <c r="CB503">
        <v>1232.0999999999999</v>
      </c>
      <c r="CC503">
        <v>1701.5</v>
      </c>
      <c r="CD503">
        <v>0</v>
      </c>
      <c r="CG503">
        <v>1385.3</v>
      </c>
      <c r="CJ503">
        <v>1630.2999999999997</v>
      </c>
      <c r="CM503">
        <v>1184.2</v>
      </c>
      <c r="CO503">
        <v>1248.0999999999999</v>
      </c>
      <c r="CQ503">
        <v>1435.3</v>
      </c>
      <c r="CR503">
        <v>798.2</v>
      </c>
      <c r="CS503">
        <v>923.8</v>
      </c>
      <c r="CT503">
        <v>0</v>
      </c>
      <c r="CU503">
        <v>0</v>
      </c>
      <c r="CV503">
        <v>0</v>
      </c>
      <c r="CW503">
        <v>0</v>
      </c>
      <c r="CX503">
        <v>163.69999999999999</v>
      </c>
      <c r="CY503">
        <v>0</v>
      </c>
      <c r="CZ503">
        <v>0</v>
      </c>
      <c r="DA503">
        <v>0</v>
      </c>
      <c r="DB503">
        <v>0</v>
      </c>
      <c r="DC503">
        <v>0</v>
      </c>
      <c r="DD503">
        <v>0</v>
      </c>
      <c r="DE503">
        <v>0</v>
      </c>
      <c r="DI503">
        <v>0</v>
      </c>
      <c r="EC503">
        <v>0</v>
      </c>
      <c r="ED503">
        <v>0</v>
      </c>
      <c r="EE503">
        <v>0</v>
      </c>
      <c r="EF503">
        <v>0</v>
      </c>
      <c r="EG503">
        <v>0</v>
      </c>
      <c r="EH503">
        <v>0</v>
      </c>
      <c r="EI503">
        <v>0</v>
      </c>
      <c r="EJ503">
        <v>0</v>
      </c>
      <c r="EM503">
        <v>0</v>
      </c>
      <c r="EN503">
        <v>0</v>
      </c>
      <c r="EO503">
        <v>0</v>
      </c>
      <c r="EP503">
        <v>0</v>
      </c>
      <c r="EQ503">
        <v>0</v>
      </c>
      <c r="ER503">
        <v>0</v>
      </c>
      <c r="ES503">
        <v>0</v>
      </c>
      <c r="ET503">
        <v>0</v>
      </c>
      <c r="EW503">
        <v>0</v>
      </c>
      <c r="EX503">
        <v>0</v>
      </c>
      <c r="EY503">
        <v>0</v>
      </c>
      <c r="EZ503">
        <v>0</v>
      </c>
      <c r="FA503">
        <v>0</v>
      </c>
      <c r="FB503">
        <v>0</v>
      </c>
      <c r="FC503">
        <v>0</v>
      </c>
      <c r="FD503">
        <v>0</v>
      </c>
      <c r="FG503" t="e">
        <v>#N/A</v>
      </c>
      <c r="FI503" t="e">
        <v>#N/A</v>
      </c>
      <c r="FK503" t="e">
        <v>#N/A</v>
      </c>
      <c r="FM503" t="e">
        <v>#N/A</v>
      </c>
      <c r="FO503" t="e">
        <v>#N/A</v>
      </c>
      <c r="FQ503" t="e">
        <v>#N/A</v>
      </c>
      <c r="FS503" t="e">
        <v>#N/A</v>
      </c>
      <c r="FU503" t="e">
        <v>#N/A</v>
      </c>
      <c r="FW503" t="e">
        <v>#N/A</v>
      </c>
      <c r="FY503" t="e">
        <v>#N/A</v>
      </c>
      <c r="GA503" t="e">
        <v>#N/A</v>
      </c>
      <c r="GC503" t="e">
        <v>#N/A</v>
      </c>
      <c r="GE503" t="e">
        <v>#N/A</v>
      </c>
      <c r="GG503" t="e">
        <v>#N/A</v>
      </c>
      <c r="GI503" t="e">
        <v>#N/A</v>
      </c>
      <c r="GK503" t="e">
        <v>#N/A</v>
      </c>
      <c r="GM503" t="e">
        <v>#N/A</v>
      </c>
      <c r="GO503" t="e">
        <v>#N/A</v>
      </c>
      <c r="GQ503" t="e">
        <v>#N/A</v>
      </c>
      <c r="GS503" t="e">
        <v>#N/A</v>
      </c>
      <c r="GU503" t="e">
        <v>#N/A</v>
      </c>
      <c r="GW503" t="e">
        <v>#N/A</v>
      </c>
      <c r="GY503" t="e">
        <v>#N/A</v>
      </c>
      <c r="HA503" t="e">
        <v>#N/A</v>
      </c>
      <c r="HC503">
        <v>0</v>
      </c>
      <c r="HD503">
        <v>0</v>
      </c>
      <c r="HE503">
        <v>0</v>
      </c>
      <c r="HF503">
        <v>0</v>
      </c>
      <c r="HG503">
        <v>0</v>
      </c>
      <c r="HH503">
        <v>0</v>
      </c>
      <c r="HI503">
        <v>0</v>
      </c>
      <c r="HJ503">
        <v>0</v>
      </c>
      <c r="HM503">
        <v>0</v>
      </c>
      <c r="HN503">
        <v>0</v>
      </c>
      <c r="HO503">
        <v>0</v>
      </c>
      <c r="HP503">
        <v>0</v>
      </c>
      <c r="HQ503">
        <v>0</v>
      </c>
      <c r="HR503">
        <v>0</v>
      </c>
      <c r="HS503">
        <v>0</v>
      </c>
      <c r="HT503">
        <v>0</v>
      </c>
      <c r="HW503">
        <v>0</v>
      </c>
      <c r="HX503">
        <v>0</v>
      </c>
      <c r="HY503">
        <v>0</v>
      </c>
      <c r="HZ503">
        <v>0</v>
      </c>
      <c r="IA503">
        <v>3930.6</v>
      </c>
      <c r="IB503">
        <v>3632.9</v>
      </c>
      <c r="IC503">
        <v>3795.5</v>
      </c>
      <c r="ID503">
        <v>0</v>
      </c>
      <c r="IE503">
        <v>0</v>
      </c>
      <c r="IF503">
        <v>3548.5</v>
      </c>
      <c r="IG503">
        <v>3395.2</v>
      </c>
      <c r="IH503">
        <v>3395.4</v>
      </c>
      <c r="II503">
        <v>3302.3</v>
      </c>
      <c r="IJ503">
        <v>3172.8</v>
      </c>
      <c r="IK503">
        <v>0</v>
      </c>
      <c r="IL503">
        <v>0</v>
      </c>
      <c r="IM503">
        <v>0</v>
      </c>
      <c r="IN503">
        <v>0</v>
      </c>
      <c r="IO503">
        <v>123.4</v>
      </c>
      <c r="IP503">
        <v>405.2</v>
      </c>
      <c r="IQ503">
        <v>418.7</v>
      </c>
      <c r="IR503">
        <v>0</v>
      </c>
      <c r="IS503">
        <v>0</v>
      </c>
      <c r="IT503">
        <v>0</v>
      </c>
      <c r="IU503">
        <v>0</v>
      </c>
      <c r="IV503">
        <v>396</v>
      </c>
      <c r="IW503">
        <v>0</v>
      </c>
      <c r="IX503">
        <v>0</v>
      </c>
      <c r="IZ503">
        <v>0</v>
      </c>
      <c r="JA503">
        <v>65.5</v>
      </c>
      <c r="JB503">
        <v>443.5</v>
      </c>
      <c r="JC503">
        <v>0</v>
      </c>
      <c r="JD503">
        <v>0</v>
      </c>
      <c r="JE503">
        <v>0</v>
      </c>
      <c r="JF503">
        <v>0</v>
      </c>
      <c r="JG503">
        <v>0</v>
      </c>
      <c r="JH503">
        <v>0</v>
      </c>
      <c r="JI503">
        <v>0</v>
      </c>
      <c r="JJ503">
        <v>0</v>
      </c>
      <c r="JK503">
        <v>0</v>
      </c>
      <c r="JL503">
        <v>0</v>
      </c>
      <c r="JM503">
        <v>0</v>
      </c>
      <c r="JN503">
        <v>0</v>
      </c>
      <c r="JO503">
        <v>0</v>
      </c>
      <c r="JP503">
        <v>0</v>
      </c>
      <c r="JQ503">
        <v>0</v>
      </c>
      <c r="JR503">
        <v>0</v>
      </c>
      <c r="JS503">
        <v>0</v>
      </c>
      <c r="JT503">
        <v>0</v>
      </c>
      <c r="JU503">
        <v>0</v>
      </c>
      <c r="JV503">
        <v>0</v>
      </c>
      <c r="JW503">
        <v>0</v>
      </c>
      <c r="JX503">
        <v>0</v>
      </c>
      <c r="JY503">
        <v>0</v>
      </c>
      <c r="JZ503">
        <v>0</v>
      </c>
      <c r="KA503">
        <v>0</v>
      </c>
      <c r="KB503">
        <v>0</v>
      </c>
      <c r="KC503">
        <v>0</v>
      </c>
      <c r="KD503">
        <v>0</v>
      </c>
      <c r="KE503">
        <v>0</v>
      </c>
      <c r="KF503">
        <v>0</v>
      </c>
      <c r="KI503">
        <v>344.6</v>
      </c>
      <c r="KJ503">
        <v>350.8</v>
      </c>
      <c r="KK503">
        <v>22.1</v>
      </c>
      <c r="KL503">
        <v>379.3</v>
      </c>
      <c r="KM503">
        <v>241.4</v>
      </c>
      <c r="KN503">
        <v>0</v>
      </c>
      <c r="KO503">
        <v>0</v>
      </c>
      <c r="KP503">
        <v>57.3</v>
      </c>
      <c r="KQ503">
        <v>224.4</v>
      </c>
      <c r="KR503">
        <v>338.3</v>
      </c>
      <c r="KS503">
        <v>215.8</v>
      </c>
      <c r="KT503">
        <v>40.700000000000003</v>
      </c>
      <c r="KW503">
        <v>2154.5</v>
      </c>
      <c r="KX503">
        <v>1255.7</v>
      </c>
      <c r="KY503">
        <v>1630.1</v>
      </c>
      <c r="KZ503">
        <v>1246.9000000000001</v>
      </c>
      <c r="LB503">
        <v>78.099999999999994</v>
      </c>
      <c r="LC503">
        <v>77.7</v>
      </c>
    </row>
    <row r="504" spans="1:315" ht="18" thickBot="1">
      <c r="A504" s="245"/>
      <c r="B504" s="4"/>
      <c r="C504" s="332" t="s">
        <v>743</v>
      </c>
      <c r="D504" s="286"/>
      <c r="E504" s="449">
        <v>0</v>
      </c>
      <c r="F504" s="209">
        <v>0</v>
      </c>
      <c r="G504" s="427">
        <v>3413.8</v>
      </c>
      <c r="H504" s="155"/>
      <c r="I504">
        <v>735</v>
      </c>
      <c r="K504">
        <v>1973.1000000000001</v>
      </c>
      <c r="L504" s="4">
        <v>221.60000000000002</v>
      </c>
      <c r="M504" s="4">
        <v>54.9</v>
      </c>
      <c r="N504" s="4">
        <v>1989.7</v>
      </c>
      <c r="P504">
        <v>0</v>
      </c>
      <c r="Q504">
        <v>238.29999999999998</v>
      </c>
      <c r="R504">
        <v>0</v>
      </c>
      <c r="S504">
        <v>0</v>
      </c>
      <c r="T504">
        <v>368.5</v>
      </c>
      <c r="W504">
        <v>720.3</v>
      </c>
      <c r="X504">
        <v>1411.5</v>
      </c>
      <c r="Y504">
        <v>96.5</v>
      </c>
      <c r="AA504">
        <v>859.6</v>
      </c>
      <c r="AB504">
        <v>1577.6000000000001</v>
      </c>
      <c r="AE504">
        <v>1330</v>
      </c>
      <c r="AF504">
        <v>1025.5</v>
      </c>
      <c r="AH504">
        <v>509.9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1349.3</v>
      </c>
      <c r="AO504">
        <v>786.40000000000009</v>
      </c>
      <c r="AP504">
        <v>0</v>
      </c>
      <c r="AQ504">
        <v>68.3</v>
      </c>
      <c r="AR504">
        <v>234.9</v>
      </c>
      <c r="AS504">
        <v>600.40000000000009</v>
      </c>
      <c r="AU504">
        <v>985.69999999999993</v>
      </c>
      <c r="AW504">
        <v>792</v>
      </c>
      <c r="AX504">
        <v>1988.5</v>
      </c>
      <c r="AZ504">
        <v>763.5</v>
      </c>
      <c r="BA504">
        <v>0</v>
      </c>
      <c r="BB504">
        <v>0</v>
      </c>
      <c r="BC504">
        <v>1935.3</v>
      </c>
      <c r="BD504">
        <v>1006.5</v>
      </c>
      <c r="BE504">
        <v>0</v>
      </c>
      <c r="BF504">
        <v>0</v>
      </c>
      <c r="BG504">
        <v>0</v>
      </c>
      <c r="BH504">
        <v>1662.6</v>
      </c>
      <c r="BJ504">
        <v>0</v>
      </c>
      <c r="BK504">
        <v>0</v>
      </c>
      <c r="BL504">
        <v>1038.9000000000001</v>
      </c>
      <c r="BM504">
        <v>1101</v>
      </c>
      <c r="BO504">
        <v>1276.8000000000002</v>
      </c>
      <c r="BQ504">
        <v>0</v>
      </c>
      <c r="BR504">
        <v>270.7</v>
      </c>
      <c r="BS504">
        <v>230.5</v>
      </c>
      <c r="BT504">
        <v>472.3</v>
      </c>
      <c r="BU504">
        <v>537.29999999999995</v>
      </c>
      <c r="BV504">
        <v>346.3</v>
      </c>
      <c r="BW504">
        <v>386.2</v>
      </c>
      <c r="BX504">
        <v>767</v>
      </c>
      <c r="BY504">
        <v>757.2</v>
      </c>
      <c r="BZ504">
        <v>1037.2</v>
      </c>
      <c r="CA504">
        <v>1227.0999999999999</v>
      </c>
      <c r="CB504">
        <v>1232.0999999999999</v>
      </c>
      <c r="CC504">
        <v>1701.5</v>
      </c>
      <c r="CD504">
        <v>0</v>
      </c>
      <c r="CG504">
        <v>1385.3</v>
      </c>
      <c r="CJ504">
        <v>1630.2999999999997</v>
      </c>
      <c r="CM504">
        <v>1184.2</v>
      </c>
      <c r="CO504">
        <v>1248.0999999999999</v>
      </c>
      <c r="CQ504">
        <v>1435.3</v>
      </c>
      <c r="CR504">
        <v>798.2</v>
      </c>
      <c r="CS504">
        <v>923.8</v>
      </c>
      <c r="CT504">
        <v>0</v>
      </c>
      <c r="CU504">
        <v>0</v>
      </c>
      <c r="CV504">
        <v>0</v>
      </c>
      <c r="CW504">
        <v>0</v>
      </c>
      <c r="CX504">
        <v>163.69999999999999</v>
      </c>
      <c r="CY504">
        <v>0</v>
      </c>
      <c r="CZ504">
        <v>0</v>
      </c>
      <c r="DA504">
        <v>0</v>
      </c>
      <c r="DB504">
        <v>0</v>
      </c>
      <c r="DC504">
        <v>0</v>
      </c>
      <c r="DD504">
        <v>0</v>
      </c>
      <c r="DE504">
        <v>0</v>
      </c>
      <c r="DI504">
        <v>0</v>
      </c>
      <c r="EC504">
        <v>0</v>
      </c>
      <c r="ED504">
        <v>0</v>
      </c>
      <c r="EE504">
        <v>0</v>
      </c>
      <c r="EF504">
        <v>0</v>
      </c>
      <c r="EG504">
        <v>0</v>
      </c>
      <c r="EH504">
        <v>0</v>
      </c>
      <c r="EI504">
        <v>0</v>
      </c>
      <c r="EJ504">
        <v>0</v>
      </c>
      <c r="EM504">
        <v>0</v>
      </c>
      <c r="EN504">
        <v>0</v>
      </c>
      <c r="EO504">
        <v>0</v>
      </c>
      <c r="EP504">
        <v>0</v>
      </c>
      <c r="EQ504">
        <v>0</v>
      </c>
      <c r="ER504">
        <v>0</v>
      </c>
      <c r="ES504">
        <v>0</v>
      </c>
      <c r="ET504">
        <v>0</v>
      </c>
      <c r="EW504">
        <v>0</v>
      </c>
      <c r="EX504">
        <v>0</v>
      </c>
      <c r="EY504">
        <v>0</v>
      </c>
      <c r="EZ504">
        <v>0</v>
      </c>
      <c r="FA504">
        <v>0</v>
      </c>
      <c r="FB504">
        <v>0</v>
      </c>
      <c r="FC504">
        <v>0</v>
      </c>
      <c r="FD504">
        <v>0</v>
      </c>
      <c r="FG504" t="e">
        <v>#N/A</v>
      </c>
      <c r="FI504" t="e">
        <v>#N/A</v>
      </c>
      <c r="FK504" t="e">
        <v>#N/A</v>
      </c>
      <c r="FM504" t="e">
        <v>#N/A</v>
      </c>
      <c r="FO504" t="e">
        <v>#N/A</v>
      </c>
      <c r="FQ504" t="e">
        <v>#N/A</v>
      </c>
      <c r="FS504" t="e">
        <v>#N/A</v>
      </c>
      <c r="FU504" t="e">
        <v>#N/A</v>
      </c>
      <c r="FW504" t="e">
        <v>#N/A</v>
      </c>
      <c r="FY504" t="e">
        <v>#N/A</v>
      </c>
      <c r="GA504" t="e">
        <v>#N/A</v>
      </c>
      <c r="GC504" t="e">
        <v>#N/A</v>
      </c>
      <c r="GE504" t="e">
        <v>#N/A</v>
      </c>
      <c r="GG504" t="e">
        <v>#N/A</v>
      </c>
      <c r="GI504" t="e">
        <v>#N/A</v>
      </c>
      <c r="GK504" t="e">
        <v>#N/A</v>
      </c>
      <c r="GM504" t="e">
        <v>#N/A</v>
      </c>
      <c r="GO504" t="e">
        <v>#N/A</v>
      </c>
      <c r="GQ504" t="e">
        <v>#N/A</v>
      </c>
      <c r="GS504" t="e">
        <v>#N/A</v>
      </c>
      <c r="GU504" t="e">
        <v>#N/A</v>
      </c>
      <c r="GW504" t="e">
        <v>#N/A</v>
      </c>
      <c r="GY504" t="e">
        <v>#N/A</v>
      </c>
      <c r="HA504" t="e">
        <v>#N/A</v>
      </c>
      <c r="HC504">
        <v>0</v>
      </c>
      <c r="HD504">
        <v>0</v>
      </c>
      <c r="HE504">
        <v>0</v>
      </c>
      <c r="HF504">
        <v>0</v>
      </c>
      <c r="HG504">
        <v>0</v>
      </c>
      <c r="HH504">
        <v>0</v>
      </c>
      <c r="HI504">
        <v>0</v>
      </c>
      <c r="HJ504">
        <v>0</v>
      </c>
      <c r="HM504">
        <v>0</v>
      </c>
      <c r="HN504">
        <v>0</v>
      </c>
      <c r="HO504">
        <v>0</v>
      </c>
      <c r="HP504">
        <v>0</v>
      </c>
      <c r="HQ504">
        <v>0</v>
      </c>
      <c r="HR504">
        <v>0</v>
      </c>
      <c r="HS504">
        <v>0</v>
      </c>
      <c r="HT504">
        <v>0</v>
      </c>
      <c r="HW504">
        <v>0</v>
      </c>
      <c r="HX504">
        <v>0</v>
      </c>
      <c r="HY504">
        <v>0</v>
      </c>
      <c r="HZ504">
        <v>0</v>
      </c>
      <c r="IA504">
        <v>3930.6</v>
      </c>
      <c r="IB504">
        <v>3632.9</v>
      </c>
      <c r="IC504">
        <v>3795.5</v>
      </c>
      <c r="ID504">
        <v>0</v>
      </c>
      <c r="IE504">
        <v>0</v>
      </c>
      <c r="IF504">
        <v>3548.5</v>
      </c>
      <c r="IG504">
        <v>3395.2</v>
      </c>
      <c r="IH504">
        <v>3395.4</v>
      </c>
      <c r="II504">
        <v>3302.3</v>
      </c>
      <c r="IJ504">
        <v>3172.8</v>
      </c>
      <c r="IK504">
        <v>0</v>
      </c>
      <c r="IL504">
        <v>0</v>
      </c>
      <c r="IM504">
        <v>0</v>
      </c>
      <c r="IN504">
        <v>0</v>
      </c>
      <c r="IO504">
        <v>123.4</v>
      </c>
      <c r="IP504">
        <v>405.2</v>
      </c>
      <c r="IQ504">
        <v>418.7</v>
      </c>
      <c r="IR504">
        <v>0</v>
      </c>
      <c r="IS504">
        <v>0</v>
      </c>
      <c r="IT504">
        <v>0</v>
      </c>
      <c r="IU504">
        <v>0</v>
      </c>
      <c r="IV504">
        <v>396</v>
      </c>
      <c r="IW504">
        <v>0</v>
      </c>
      <c r="IX504">
        <v>0</v>
      </c>
      <c r="IZ504">
        <v>0</v>
      </c>
      <c r="JA504">
        <v>65.5</v>
      </c>
      <c r="JB504">
        <v>443.5</v>
      </c>
      <c r="JC504">
        <v>0</v>
      </c>
      <c r="JD504">
        <v>0</v>
      </c>
      <c r="JE504">
        <v>0</v>
      </c>
      <c r="JF504">
        <v>0</v>
      </c>
      <c r="JG504">
        <v>0</v>
      </c>
      <c r="JH504">
        <v>0</v>
      </c>
      <c r="JI504">
        <v>0</v>
      </c>
      <c r="JJ504">
        <v>0</v>
      </c>
      <c r="JK504">
        <v>0</v>
      </c>
      <c r="JL504">
        <v>0</v>
      </c>
      <c r="JM504">
        <v>0</v>
      </c>
      <c r="JN504">
        <v>0</v>
      </c>
      <c r="JO504">
        <v>0</v>
      </c>
      <c r="JP504">
        <v>0</v>
      </c>
      <c r="JQ504">
        <v>0</v>
      </c>
      <c r="JR504">
        <v>0</v>
      </c>
      <c r="JS504">
        <v>0</v>
      </c>
      <c r="JT504">
        <v>0</v>
      </c>
      <c r="JU504">
        <v>0</v>
      </c>
      <c r="JV504">
        <v>0</v>
      </c>
      <c r="JW504">
        <v>0</v>
      </c>
      <c r="JX504">
        <v>0</v>
      </c>
      <c r="JY504">
        <v>0</v>
      </c>
      <c r="JZ504">
        <v>0</v>
      </c>
      <c r="KA504">
        <v>0</v>
      </c>
      <c r="KB504">
        <v>0</v>
      </c>
      <c r="KC504">
        <v>0</v>
      </c>
      <c r="KD504">
        <v>0</v>
      </c>
      <c r="KE504">
        <v>0</v>
      </c>
      <c r="KF504">
        <v>0</v>
      </c>
      <c r="KI504">
        <v>344.6</v>
      </c>
      <c r="KJ504">
        <v>350.8</v>
      </c>
      <c r="KK504">
        <v>22.1</v>
      </c>
      <c r="KL504">
        <v>379.3</v>
      </c>
      <c r="KM504">
        <v>241.4</v>
      </c>
      <c r="KN504">
        <v>0</v>
      </c>
      <c r="KO504">
        <v>0</v>
      </c>
      <c r="KP504">
        <v>57.3</v>
      </c>
      <c r="KQ504">
        <v>224.4</v>
      </c>
      <c r="KR504">
        <v>338.3</v>
      </c>
      <c r="KS504">
        <v>215.8</v>
      </c>
      <c r="KT504">
        <v>40.700000000000003</v>
      </c>
      <c r="KW504">
        <v>2154.5</v>
      </c>
      <c r="KX504">
        <v>1255.7</v>
      </c>
      <c r="KY504">
        <v>1630.1</v>
      </c>
      <c r="KZ504">
        <v>1246.9000000000001</v>
      </c>
      <c r="LB504">
        <v>78.099999999999994</v>
      </c>
      <c r="LC504">
        <v>77.7</v>
      </c>
    </row>
    <row r="505" spans="1:315" ht="18" thickBot="1">
      <c r="A505" s="245"/>
      <c r="B505" s="4"/>
      <c r="C505" s="332" t="s">
        <v>744</v>
      </c>
      <c r="D505" s="286"/>
      <c r="E505" s="449">
        <v>0</v>
      </c>
      <c r="F505" s="209">
        <v>0</v>
      </c>
      <c r="G505" s="427">
        <v>3413.8</v>
      </c>
      <c r="H505" s="155"/>
      <c r="I505">
        <v>735</v>
      </c>
      <c r="K505">
        <v>1973.1000000000001</v>
      </c>
      <c r="L505" s="4">
        <v>221.60000000000002</v>
      </c>
      <c r="M505" s="4">
        <v>54.9</v>
      </c>
      <c r="N505" s="4">
        <v>1989.7</v>
      </c>
      <c r="P505">
        <v>0</v>
      </c>
      <c r="Q505">
        <v>238.29999999999998</v>
      </c>
      <c r="R505">
        <v>0</v>
      </c>
      <c r="S505">
        <v>0</v>
      </c>
      <c r="T505">
        <v>368.5</v>
      </c>
      <c r="W505">
        <v>720.3</v>
      </c>
      <c r="X505">
        <v>1411.5</v>
      </c>
      <c r="Y505">
        <v>96.5</v>
      </c>
      <c r="AA505">
        <v>859.6</v>
      </c>
      <c r="AB505">
        <v>1577.6000000000001</v>
      </c>
      <c r="AE505">
        <v>1330</v>
      </c>
      <c r="AF505">
        <v>1025.5</v>
      </c>
      <c r="AH505">
        <v>509.9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1349.3</v>
      </c>
      <c r="AO505">
        <v>786.40000000000009</v>
      </c>
      <c r="AP505">
        <v>0</v>
      </c>
      <c r="AQ505">
        <v>68.3</v>
      </c>
      <c r="AR505">
        <v>234.9</v>
      </c>
      <c r="AS505">
        <v>600.40000000000009</v>
      </c>
      <c r="AU505">
        <v>985.69999999999993</v>
      </c>
      <c r="AW505">
        <v>792</v>
      </c>
      <c r="AX505">
        <v>1988.5</v>
      </c>
      <c r="AZ505">
        <v>763.5</v>
      </c>
      <c r="BA505">
        <v>0</v>
      </c>
      <c r="BB505">
        <v>0</v>
      </c>
      <c r="BC505">
        <v>1935.3</v>
      </c>
      <c r="BD505">
        <v>1006.5</v>
      </c>
      <c r="BE505">
        <v>0</v>
      </c>
      <c r="BF505">
        <v>0</v>
      </c>
      <c r="BG505">
        <v>0</v>
      </c>
      <c r="BH505">
        <v>1662.6</v>
      </c>
      <c r="BJ505">
        <v>0</v>
      </c>
      <c r="BK505">
        <v>0</v>
      </c>
      <c r="BL505">
        <v>1038.9000000000001</v>
      </c>
      <c r="BM505">
        <v>1101</v>
      </c>
      <c r="BO505">
        <v>1276.8000000000002</v>
      </c>
      <c r="BQ505">
        <v>0</v>
      </c>
      <c r="BR505">
        <v>270.7</v>
      </c>
      <c r="BS505">
        <v>230.5</v>
      </c>
      <c r="BT505">
        <v>472.3</v>
      </c>
      <c r="BU505">
        <v>537.29999999999995</v>
      </c>
      <c r="BV505">
        <v>346.3</v>
      </c>
      <c r="BW505">
        <v>386.2</v>
      </c>
      <c r="BX505">
        <v>767</v>
      </c>
      <c r="BY505">
        <v>757.2</v>
      </c>
      <c r="BZ505">
        <v>1037.2</v>
      </c>
      <c r="CA505">
        <v>1227.0999999999999</v>
      </c>
      <c r="CB505">
        <v>1232.0999999999999</v>
      </c>
      <c r="CC505">
        <v>1701.5</v>
      </c>
      <c r="CD505">
        <v>0</v>
      </c>
      <c r="CG505">
        <v>1385.3</v>
      </c>
      <c r="CJ505">
        <v>1630.2999999999997</v>
      </c>
      <c r="CM505">
        <v>1184.2</v>
      </c>
      <c r="CO505">
        <v>1248.0999999999999</v>
      </c>
      <c r="CQ505">
        <v>1435.3</v>
      </c>
      <c r="CR505">
        <v>798.2</v>
      </c>
      <c r="CS505">
        <v>923.8</v>
      </c>
      <c r="CT505">
        <v>0</v>
      </c>
      <c r="CU505">
        <v>0</v>
      </c>
      <c r="CV505">
        <v>0</v>
      </c>
      <c r="CW505">
        <v>0</v>
      </c>
      <c r="CX505">
        <v>163.69999999999999</v>
      </c>
      <c r="CY505">
        <v>0</v>
      </c>
      <c r="CZ505">
        <v>0</v>
      </c>
      <c r="DA505">
        <v>0</v>
      </c>
      <c r="DB505">
        <v>0</v>
      </c>
      <c r="DC505">
        <v>0</v>
      </c>
      <c r="DD505">
        <v>0</v>
      </c>
      <c r="DE505">
        <v>0</v>
      </c>
      <c r="DI505">
        <v>0</v>
      </c>
      <c r="EC505">
        <v>0</v>
      </c>
      <c r="ED505">
        <v>0</v>
      </c>
      <c r="EE505">
        <v>0</v>
      </c>
      <c r="EF505">
        <v>0</v>
      </c>
      <c r="EG505">
        <v>0</v>
      </c>
      <c r="EH505">
        <v>0</v>
      </c>
      <c r="EI505">
        <v>0</v>
      </c>
      <c r="EJ505">
        <v>0</v>
      </c>
      <c r="EM505">
        <v>0</v>
      </c>
      <c r="EN505">
        <v>0</v>
      </c>
      <c r="EO505">
        <v>0</v>
      </c>
      <c r="EP505">
        <v>0</v>
      </c>
      <c r="EQ505">
        <v>0</v>
      </c>
      <c r="ER505">
        <v>0</v>
      </c>
      <c r="ES505">
        <v>0</v>
      </c>
      <c r="ET505">
        <v>0</v>
      </c>
      <c r="EW505">
        <v>0</v>
      </c>
      <c r="EX505">
        <v>0</v>
      </c>
      <c r="EY505">
        <v>0</v>
      </c>
      <c r="EZ505">
        <v>0</v>
      </c>
      <c r="FA505">
        <v>0</v>
      </c>
      <c r="FB505">
        <v>0</v>
      </c>
      <c r="FC505">
        <v>0</v>
      </c>
      <c r="FD505">
        <v>0</v>
      </c>
      <c r="FG505" t="e">
        <v>#N/A</v>
      </c>
      <c r="FI505" t="e">
        <v>#N/A</v>
      </c>
      <c r="FK505" t="e">
        <v>#N/A</v>
      </c>
      <c r="FM505" t="e">
        <v>#N/A</v>
      </c>
      <c r="FO505" t="e">
        <v>#N/A</v>
      </c>
      <c r="FQ505" t="e">
        <v>#N/A</v>
      </c>
      <c r="FS505" t="e">
        <v>#N/A</v>
      </c>
      <c r="FU505" t="e">
        <v>#N/A</v>
      </c>
      <c r="FW505" t="e">
        <v>#N/A</v>
      </c>
      <c r="FY505" t="e">
        <v>#N/A</v>
      </c>
      <c r="GA505" t="e">
        <v>#N/A</v>
      </c>
      <c r="GC505" t="e">
        <v>#N/A</v>
      </c>
      <c r="GE505" t="e">
        <v>#N/A</v>
      </c>
      <c r="GG505" t="e">
        <v>#N/A</v>
      </c>
      <c r="GI505" t="e">
        <v>#N/A</v>
      </c>
      <c r="GK505" t="e">
        <v>#N/A</v>
      </c>
      <c r="GM505" t="e">
        <v>#N/A</v>
      </c>
      <c r="GO505" t="e">
        <v>#N/A</v>
      </c>
      <c r="GQ505" t="e">
        <v>#N/A</v>
      </c>
      <c r="GS505" t="e">
        <v>#N/A</v>
      </c>
      <c r="GU505" t="e">
        <v>#N/A</v>
      </c>
      <c r="GW505" t="e">
        <v>#N/A</v>
      </c>
      <c r="GY505" t="e">
        <v>#N/A</v>
      </c>
      <c r="HA505" t="e">
        <v>#N/A</v>
      </c>
      <c r="HC505">
        <v>0</v>
      </c>
      <c r="HD505">
        <v>0</v>
      </c>
      <c r="HE505">
        <v>0</v>
      </c>
      <c r="HF505">
        <v>0</v>
      </c>
      <c r="HG505">
        <v>0</v>
      </c>
      <c r="HH505">
        <v>0</v>
      </c>
      <c r="HI505">
        <v>0</v>
      </c>
      <c r="HJ505">
        <v>0</v>
      </c>
      <c r="HM505">
        <v>0</v>
      </c>
      <c r="HN505">
        <v>0</v>
      </c>
      <c r="HO505">
        <v>0</v>
      </c>
      <c r="HP505">
        <v>0</v>
      </c>
      <c r="HQ505">
        <v>0</v>
      </c>
      <c r="HR505">
        <v>0</v>
      </c>
      <c r="HS505">
        <v>0</v>
      </c>
      <c r="HT505">
        <v>0</v>
      </c>
      <c r="HW505">
        <v>0</v>
      </c>
      <c r="HX505">
        <v>0</v>
      </c>
      <c r="HY505">
        <v>0</v>
      </c>
      <c r="HZ505">
        <v>0</v>
      </c>
      <c r="IA505">
        <v>3930.6</v>
      </c>
      <c r="IB505">
        <v>3632.9</v>
      </c>
      <c r="IC505">
        <v>3795.5</v>
      </c>
      <c r="ID505">
        <v>0</v>
      </c>
      <c r="IE505">
        <v>0</v>
      </c>
      <c r="IF505">
        <v>3548.5</v>
      </c>
      <c r="IG505">
        <v>3395.2</v>
      </c>
      <c r="IH505">
        <v>3395.4</v>
      </c>
      <c r="II505">
        <v>3302.3</v>
      </c>
      <c r="IJ505">
        <v>3172.8</v>
      </c>
      <c r="IK505">
        <v>0</v>
      </c>
      <c r="IL505">
        <v>0</v>
      </c>
      <c r="IM505">
        <v>0</v>
      </c>
      <c r="IN505">
        <v>0</v>
      </c>
      <c r="IO505">
        <v>123.4</v>
      </c>
      <c r="IP505">
        <v>405.2</v>
      </c>
      <c r="IQ505">
        <v>418.7</v>
      </c>
      <c r="IR505">
        <v>0</v>
      </c>
      <c r="IS505">
        <v>0</v>
      </c>
      <c r="IT505">
        <v>0</v>
      </c>
      <c r="IU505">
        <v>0</v>
      </c>
      <c r="IV505">
        <v>396</v>
      </c>
      <c r="IW505">
        <v>0</v>
      </c>
      <c r="IX505">
        <v>0</v>
      </c>
      <c r="IZ505">
        <v>0</v>
      </c>
      <c r="JA505">
        <v>65.5</v>
      </c>
      <c r="JB505">
        <v>443.5</v>
      </c>
      <c r="JC505">
        <v>0</v>
      </c>
      <c r="JD505">
        <v>0</v>
      </c>
      <c r="JE505">
        <v>0</v>
      </c>
      <c r="JF505">
        <v>0</v>
      </c>
      <c r="JG505">
        <v>0</v>
      </c>
      <c r="JH505">
        <v>0</v>
      </c>
      <c r="JI505">
        <v>0</v>
      </c>
      <c r="JJ505">
        <v>0</v>
      </c>
      <c r="JK505">
        <v>0</v>
      </c>
      <c r="JL505">
        <v>0</v>
      </c>
      <c r="JM505">
        <v>0</v>
      </c>
      <c r="JN505">
        <v>0</v>
      </c>
      <c r="JO505">
        <v>0</v>
      </c>
      <c r="JP505">
        <v>0</v>
      </c>
      <c r="JQ505">
        <v>0</v>
      </c>
      <c r="JR505">
        <v>0</v>
      </c>
      <c r="JS505">
        <v>0</v>
      </c>
      <c r="JT505">
        <v>0</v>
      </c>
      <c r="JU505">
        <v>0</v>
      </c>
      <c r="JV505">
        <v>0</v>
      </c>
      <c r="JW505">
        <v>0</v>
      </c>
      <c r="JX505">
        <v>0</v>
      </c>
      <c r="JY505">
        <v>0</v>
      </c>
      <c r="JZ505">
        <v>0</v>
      </c>
      <c r="KA505">
        <v>0</v>
      </c>
      <c r="KB505">
        <v>0</v>
      </c>
      <c r="KC505">
        <v>0</v>
      </c>
      <c r="KD505">
        <v>0</v>
      </c>
      <c r="KE505">
        <v>0</v>
      </c>
      <c r="KF505">
        <v>0</v>
      </c>
      <c r="KI505">
        <v>344.6</v>
      </c>
      <c r="KJ505">
        <v>350.8</v>
      </c>
      <c r="KK505">
        <v>22.1</v>
      </c>
      <c r="KL505">
        <v>379.3</v>
      </c>
      <c r="KM505">
        <v>241.4</v>
      </c>
      <c r="KN505">
        <v>0</v>
      </c>
      <c r="KO505">
        <v>0</v>
      </c>
      <c r="KP505">
        <v>57.3</v>
      </c>
      <c r="KQ505">
        <v>224.4</v>
      </c>
      <c r="KR505">
        <v>338.3</v>
      </c>
      <c r="KS505">
        <v>215.8</v>
      </c>
      <c r="KT505">
        <v>40.700000000000003</v>
      </c>
      <c r="KW505">
        <v>2154.5</v>
      </c>
      <c r="KX505">
        <v>1255.7</v>
      </c>
      <c r="KY505">
        <v>1630.1</v>
      </c>
      <c r="KZ505">
        <v>1246.9000000000001</v>
      </c>
      <c r="LB505">
        <v>78.099999999999994</v>
      </c>
      <c r="LC505">
        <v>77.7</v>
      </c>
    </row>
    <row r="506" spans="1:315" ht="18" thickBot="1">
      <c r="A506" s="245"/>
      <c r="B506" s="4"/>
      <c r="C506" s="332" t="s">
        <v>745</v>
      </c>
      <c r="D506" s="286"/>
      <c r="E506" s="449">
        <v>0</v>
      </c>
      <c r="F506" s="209">
        <v>0</v>
      </c>
      <c r="G506" s="427">
        <v>3413.8</v>
      </c>
      <c r="H506" s="155"/>
      <c r="I506">
        <v>735</v>
      </c>
      <c r="K506">
        <v>1973.1000000000001</v>
      </c>
      <c r="L506" s="4">
        <v>221.60000000000002</v>
      </c>
      <c r="M506" s="4">
        <v>54.9</v>
      </c>
      <c r="N506" s="4">
        <v>1989.7</v>
      </c>
      <c r="P506">
        <v>0</v>
      </c>
      <c r="Q506">
        <v>238.29999999999998</v>
      </c>
      <c r="R506">
        <v>0</v>
      </c>
      <c r="S506">
        <v>0</v>
      </c>
      <c r="T506">
        <v>368.5</v>
      </c>
      <c r="W506">
        <v>720.3</v>
      </c>
      <c r="X506">
        <v>1411.5</v>
      </c>
      <c r="Y506">
        <v>96.5</v>
      </c>
      <c r="AA506">
        <v>859.6</v>
      </c>
      <c r="AB506">
        <v>1577.6000000000001</v>
      </c>
      <c r="AE506">
        <v>1330</v>
      </c>
      <c r="AF506">
        <v>1025.5</v>
      </c>
      <c r="AH506">
        <v>509.9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1349.3</v>
      </c>
      <c r="AO506">
        <v>786.40000000000009</v>
      </c>
      <c r="AP506">
        <v>0</v>
      </c>
      <c r="AQ506">
        <v>68.3</v>
      </c>
      <c r="AR506">
        <v>234.9</v>
      </c>
      <c r="AS506">
        <v>600.40000000000009</v>
      </c>
      <c r="AU506">
        <v>985.69999999999993</v>
      </c>
      <c r="AW506">
        <v>792</v>
      </c>
      <c r="AX506">
        <v>1988.5</v>
      </c>
      <c r="AZ506">
        <v>763.5</v>
      </c>
      <c r="BA506">
        <v>0</v>
      </c>
      <c r="BB506">
        <v>0</v>
      </c>
      <c r="BC506">
        <v>1935.3</v>
      </c>
      <c r="BD506">
        <v>1006.5</v>
      </c>
      <c r="BE506">
        <v>0</v>
      </c>
      <c r="BF506">
        <v>0</v>
      </c>
      <c r="BG506">
        <v>0</v>
      </c>
      <c r="BH506">
        <v>1662.6</v>
      </c>
      <c r="BJ506">
        <v>0</v>
      </c>
      <c r="BK506">
        <v>0</v>
      </c>
      <c r="BL506">
        <v>1038.9000000000001</v>
      </c>
      <c r="BM506">
        <v>1101</v>
      </c>
      <c r="BO506">
        <v>1276.8000000000002</v>
      </c>
      <c r="BQ506">
        <v>0</v>
      </c>
      <c r="BR506">
        <v>270.7</v>
      </c>
      <c r="BS506">
        <v>230.5</v>
      </c>
      <c r="BT506">
        <v>472.3</v>
      </c>
      <c r="BU506">
        <v>537.29999999999995</v>
      </c>
      <c r="BV506">
        <v>346.3</v>
      </c>
      <c r="BW506">
        <v>386.2</v>
      </c>
      <c r="BX506">
        <v>767</v>
      </c>
      <c r="BY506">
        <v>757.2</v>
      </c>
      <c r="BZ506">
        <v>1037.2</v>
      </c>
      <c r="CA506">
        <v>1227.0999999999999</v>
      </c>
      <c r="CB506">
        <v>1232.0999999999999</v>
      </c>
      <c r="CC506">
        <v>1701.5</v>
      </c>
      <c r="CD506">
        <v>0</v>
      </c>
      <c r="CG506">
        <v>1385.3</v>
      </c>
      <c r="CJ506">
        <v>1630.2999999999997</v>
      </c>
      <c r="CM506">
        <v>1184.2</v>
      </c>
      <c r="CO506">
        <v>1248.0999999999999</v>
      </c>
      <c r="CQ506">
        <v>1435.3</v>
      </c>
      <c r="CR506">
        <v>798.2</v>
      </c>
      <c r="CS506">
        <v>923.8</v>
      </c>
      <c r="CT506">
        <v>0</v>
      </c>
      <c r="CU506">
        <v>0</v>
      </c>
      <c r="CV506">
        <v>0</v>
      </c>
      <c r="CW506">
        <v>0</v>
      </c>
      <c r="CX506">
        <v>163.69999999999999</v>
      </c>
      <c r="CY506">
        <v>0</v>
      </c>
      <c r="CZ506">
        <v>0</v>
      </c>
      <c r="DA506">
        <v>0</v>
      </c>
      <c r="DB506">
        <v>0</v>
      </c>
      <c r="DC506">
        <v>0</v>
      </c>
      <c r="DD506">
        <v>0</v>
      </c>
      <c r="DE506">
        <v>0</v>
      </c>
      <c r="DI506">
        <v>0</v>
      </c>
      <c r="EC506">
        <v>0</v>
      </c>
      <c r="ED506">
        <v>0</v>
      </c>
      <c r="EE506">
        <v>0</v>
      </c>
      <c r="EF506">
        <v>0</v>
      </c>
      <c r="EG506">
        <v>0</v>
      </c>
      <c r="EH506">
        <v>0</v>
      </c>
      <c r="EI506">
        <v>0</v>
      </c>
      <c r="EJ506">
        <v>0</v>
      </c>
      <c r="EM506">
        <v>0</v>
      </c>
      <c r="EN506">
        <v>0</v>
      </c>
      <c r="EO506">
        <v>0</v>
      </c>
      <c r="EP506">
        <v>0</v>
      </c>
      <c r="EQ506">
        <v>0</v>
      </c>
      <c r="ER506">
        <v>0</v>
      </c>
      <c r="ES506">
        <v>0</v>
      </c>
      <c r="ET506">
        <v>0</v>
      </c>
      <c r="EW506">
        <v>0</v>
      </c>
      <c r="EX506">
        <v>0</v>
      </c>
      <c r="EY506">
        <v>0</v>
      </c>
      <c r="EZ506">
        <v>0</v>
      </c>
      <c r="FA506">
        <v>0</v>
      </c>
      <c r="FB506">
        <v>0</v>
      </c>
      <c r="FC506">
        <v>0</v>
      </c>
      <c r="FD506">
        <v>0</v>
      </c>
      <c r="FG506" t="e">
        <v>#N/A</v>
      </c>
      <c r="FI506" t="e">
        <v>#N/A</v>
      </c>
      <c r="FK506" t="e">
        <v>#N/A</v>
      </c>
      <c r="FM506" t="e">
        <v>#N/A</v>
      </c>
      <c r="FO506" t="e">
        <v>#N/A</v>
      </c>
      <c r="FQ506" t="e">
        <v>#N/A</v>
      </c>
      <c r="FS506" t="e">
        <v>#N/A</v>
      </c>
      <c r="FU506" t="e">
        <v>#N/A</v>
      </c>
      <c r="FW506" t="e">
        <v>#N/A</v>
      </c>
      <c r="FY506" t="e">
        <v>#N/A</v>
      </c>
      <c r="GA506" t="e">
        <v>#N/A</v>
      </c>
      <c r="GC506" t="e">
        <v>#N/A</v>
      </c>
      <c r="GE506" t="e">
        <v>#N/A</v>
      </c>
      <c r="GG506" t="e">
        <v>#N/A</v>
      </c>
      <c r="GI506" t="e">
        <v>#N/A</v>
      </c>
      <c r="GK506" t="e">
        <v>#N/A</v>
      </c>
      <c r="GM506" t="e">
        <v>#N/A</v>
      </c>
      <c r="GO506" t="e">
        <v>#N/A</v>
      </c>
      <c r="GQ506" t="e">
        <v>#N/A</v>
      </c>
      <c r="GS506" t="e">
        <v>#N/A</v>
      </c>
      <c r="GU506" t="e">
        <v>#N/A</v>
      </c>
      <c r="GW506" t="e">
        <v>#N/A</v>
      </c>
      <c r="GY506" t="e">
        <v>#N/A</v>
      </c>
      <c r="HA506" t="e">
        <v>#N/A</v>
      </c>
      <c r="HC506">
        <v>0</v>
      </c>
      <c r="HD506">
        <v>0</v>
      </c>
      <c r="HE506">
        <v>0</v>
      </c>
      <c r="HF506">
        <v>0</v>
      </c>
      <c r="HG506">
        <v>0</v>
      </c>
      <c r="HH506">
        <v>0</v>
      </c>
      <c r="HI506">
        <v>0</v>
      </c>
      <c r="HJ506">
        <v>0</v>
      </c>
      <c r="HM506">
        <v>0</v>
      </c>
      <c r="HN506">
        <v>0</v>
      </c>
      <c r="HO506">
        <v>0</v>
      </c>
      <c r="HP506">
        <v>0</v>
      </c>
      <c r="HQ506">
        <v>0</v>
      </c>
      <c r="HR506">
        <v>0</v>
      </c>
      <c r="HS506">
        <v>0</v>
      </c>
      <c r="HT506">
        <v>0</v>
      </c>
      <c r="HW506">
        <v>0</v>
      </c>
      <c r="HX506">
        <v>0</v>
      </c>
      <c r="HY506">
        <v>0</v>
      </c>
      <c r="HZ506">
        <v>0</v>
      </c>
      <c r="IA506">
        <v>3930.6</v>
      </c>
      <c r="IB506">
        <v>3632.9</v>
      </c>
      <c r="IC506">
        <v>3795.5</v>
      </c>
      <c r="ID506">
        <v>0</v>
      </c>
      <c r="IE506">
        <v>0</v>
      </c>
      <c r="IF506">
        <v>3548.5</v>
      </c>
      <c r="IG506">
        <v>3395.2</v>
      </c>
      <c r="IH506">
        <v>3395.4</v>
      </c>
      <c r="II506">
        <v>3302.3</v>
      </c>
      <c r="IJ506">
        <v>3172.8</v>
      </c>
      <c r="IK506">
        <v>0</v>
      </c>
      <c r="IL506">
        <v>0</v>
      </c>
      <c r="IM506">
        <v>0</v>
      </c>
      <c r="IN506">
        <v>0</v>
      </c>
      <c r="IO506">
        <v>123.4</v>
      </c>
      <c r="IP506">
        <v>405.2</v>
      </c>
      <c r="IQ506">
        <v>418.7</v>
      </c>
      <c r="IR506">
        <v>0</v>
      </c>
      <c r="IS506">
        <v>0</v>
      </c>
      <c r="IT506">
        <v>0</v>
      </c>
      <c r="IU506">
        <v>0</v>
      </c>
      <c r="IV506">
        <v>396</v>
      </c>
      <c r="IW506">
        <v>0</v>
      </c>
      <c r="IX506">
        <v>0</v>
      </c>
      <c r="IZ506">
        <v>0</v>
      </c>
      <c r="JA506">
        <v>65.5</v>
      </c>
      <c r="JB506">
        <v>443.5</v>
      </c>
      <c r="JC506">
        <v>0</v>
      </c>
      <c r="JD506">
        <v>0</v>
      </c>
      <c r="JE506">
        <v>0</v>
      </c>
      <c r="JF506">
        <v>0</v>
      </c>
      <c r="JG506">
        <v>0</v>
      </c>
      <c r="JH506">
        <v>0</v>
      </c>
      <c r="JI506">
        <v>0</v>
      </c>
      <c r="JJ506">
        <v>0</v>
      </c>
      <c r="JK506">
        <v>0</v>
      </c>
      <c r="JL506">
        <v>0</v>
      </c>
      <c r="JM506">
        <v>0</v>
      </c>
      <c r="JN506">
        <v>0</v>
      </c>
      <c r="JO506">
        <v>0</v>
      </c>
      <c r="JP506">
        <v>0</v>
      </c>
      <c r="JQ506">
        <v>0</v>
      </c>
      <c r="JR506">
        <v>0</v>
      </c>
      <c r="JS506">
        <v>0</v>
      </c>
      <c r="JT506">
        <v>0</v>
      </c>
      <c r="JU506">
        <v>0</v>
      </c>
      <c r="JV506">
        <v>0</v>
      </c>
      <c r="JW506">
        <v>0</v>
      </c>
      <c r="JX506">
        <v>0</v>
      </c>
      <c r="JY506">
        <v>0</v>
      </c>
      <c r="JZ506">
        <v>0</v>
      </c>
      <c r="KA506">
        <v>0</v>
      </c>
      <c r="KB506">
        <v>0</v>
      </c>
      <c r="KC506">
        <v>0</v>
      </c>
      <c r="KD506">
        <v>0</v>
      </c>
      <c r="KE506">
        <v>0</v>
      </c>
      <c r="KF506">
        <v>0</v>
      </c>
      <c r="KI506">
        <v>344.6</v>
      </c>
      <c r="KJ506">
        <v>350.8</v>
      </c>
      <c r="KK506">
        <v>22.1</v>
      </c>
      <c r="KL506">
        <v>379.3</v>
      </c>
      <c r="KM506">
        <v>241.4</v>
      </c>
      <c r="KN506">
        <v>0</v>
      </c>
      <c r="KO506">
        <v>0</v>
      </c>
      <c r="KP506">
        <v>57.3</v>
      </c>
      <c r="KQ506">
        <v>224.4</v>
      </c>
      <c r="KR506">
        <v>338.3</v>
      </c>
      <c r="KS506">
        <v>215.8</v>
      </c>
      <c r="KT506">
        <v>40.700000000000003</v>
      </c>
      <c r="KW506">
        <v>2154.5</v>
      </c>
      <c r="KX506">
        <v>1255.7</v>
      </c>
      <c r="KY506">
        <v>1630.1</v>
      </c>
      <c r="KZ506">
        <v>1246.9000000000001</v>
      </c>
      <c r="LB506">
        <v>78.099999999999994</v>
      </c>
      <c r="LC506">
        <v>77.7</v>
      </c>
    </row>
    <row r="507" spans="1:315" ht="18" thickBot="1">
      <c r="A507" s="245"/>
      <c r="B507" s="4"/>
      <c r="C507" s="332" t="s">
        <v>746</v>
      </c>
      <c r="D507" s="286"/>
      <c r="E507" s="449">
        <v>0</v>
      </c>
      <c r="F507" s="209">
        <v>0</v>
      </c>
      <c r="G507" s="427">
        <v>3413.8</v>
      </c>
      <c r="H507" s="155"/>
      <c r="I507">
        <v>735</v>
      </c>
      <c r="K507">
        <v>1973.1000000000001</v>
      </c>
      <c r="L507" s="4">
        <v>221.60000000000002</v>
      </c>
      <c r="M507" s="4">
        <v>54.9</v>
      </c>
      <c r="N507" s="4">
        <v>1989.7</v>
      </c>
      <c r="P507">
        <v>0</v>
      </c>
      <c r="Q507">
        <v>238.29999999999998</v>
      </c>
      <c r="R507">
        <v>0</v>
      </c>
      <c r="S507">
        <v>0</v>
      </c>
      <c r="T507">
        <v>368.5</v>
      </c>
      <c r="W507">
        <v>720.3</v>
      </c>
      <c r="X507">
        <v>1411.5</v>
      </c>
      <c r="Y507">
        <v>96.5</v>
      </c>
      <c r="AA507">
        <v>859.6</v>
      </c>
      <c r="AB507">
        <v>1577.6000000000001</v>
      </c>
      <c r="AE507">
        <v>1330</v>
      </c>
      <c r="AF507">
        <v>1025.5</v>
      </c>
      <c r="AH507">
        <v>509.9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1349.3</v>
      </c>
      <c r="AO507">
        <v>786.40000000000009</v>
      </c>
      <c r="AP507">
        <v>0</v>
      </c>
      <c r="AQ507">
        <v>68.3</v>
      </c>
      <c r="AR507">
        <v>234.9</v>
      </c>
      <c r="AS507">
        <v>600.40000000000009</v>
      </c>
      <c r="AU507">
        <v>985.69999999999993</v>
      </c>
      <c r="AW507">
        <v>792</v>
      </c>
      <c r="AX507">
        <v>1988.5</v>
      </c>
      <c r="AZ507">
        <v>763.5</v>
      </c>
      <c r="BA507">
        <v>0</v>
      </c>
      <c r="BB507">
        <v>0</v>
      </c>
      <c r="BC507">
        <v>1935.3</v>
      </c>
      <c r="BD507">
        <v>1006.5</v>
      </c>
      <c r="BE507">
        <v>0</v>
      </c>
      <c r="BF507">
        <v>0</v>
      </c>
      <c r="BG507">
        <v>0</v>
      </c>
      <c r="BH507">
        <v>1662.6</v>
      </c>
      <c r="BJ507">
        <v>0</v>
      </c>
      <c r="BK507">
        <v>0</v>
      </c>
      <c r="BL507">
        <v>1038.9000000000001</v>
      </c>
      <c r="BM507">
        <v>1101</v>
      </c>
      <c r="BO507">
        <v>1276.8000000000002</v>
      </c>
      <c r="BQ507">
        <v>0</v>
      </c>
      <c r="BR507">
        <v>270.7</v>
      </c>
      <c r="BS507">
        <v>230.5</v>
      </c>
      <c r="BT507">
        <v>472.3</v>
      </c>
      <c r="BU507">
        <v>537.29999999999995</v>
      </c>
      <c r="BV507">
        <v>346.3</v>
      </c>
      <c r="BW507">
        <v>386.2</v>
      </c>
      <c r="BX507">
        <v>767</v>
      </c>
      <c r="BY507">
        <v>757.2</v>
      </c>
      <c r="BZ507">
        <v>1037.2</v>
      </c>
      <c r="CA507">
        <v>1227.0999999999999</v>
      </c>
      <c r="CB507">
        <v>1232.0999999999999</v>
      </c>
      <c r="CC507">
        <v>1701.5</v>
      </c>
      <c r="CD507">
        <v>0</v>
      </c>
      <c r="CG507">
        <v>1385.3</v>
      </c>
      <c r="CJ507">
        <v>1630.2999999999997</v>
      </c>
      <c r="CM507">
        <v>1184.2</v>
      </c>
      <c r="CO507">
        <v>1248.0999999999999</v>
      </c>
      <c r="CQ507">
        <v>1435.3</v>
      </c>
      <c r="CR507">
        <v>798.2</v>
      </c>
      <c r="CS507">
        <v>923.8</v>
      </c>
      <c r="CT507">
        <v>0</v>
      </c>
      <c r="CU507">
        <v>0</v>
      </c>
      <c r="CV507">
        <v>0</v>
      </c>
      <c r="CW507">
        <v>0</v>
      </c>
      <c r="CX507">
        <v>163.69999999999999</v>
      </c>
      <c r="CY507">
        <v>0</v>
      </c>
      <c r="CZ507">
        <v>0</v>
      </c>
      <c r="DA507">
        <v>0</v>
      </c>
      <c r="DB507">
        <v>0</v>
      </c>
      <c r="DC507">
        <v>0</v>
      </c>
      <c r="DD507">
        <v>0</v>
      </c>
      <c r="DE507">
        <v>0</v>
      </c>
      <c r="DI507">
        <v>0</v>
      </c>
      <c r="EC507">
        <v>0</v>
      </c>
      <c r="ED507">
        <v>0</v>
      </c>
      <c r="EE507">
        <v>0</v>
      </c>
      <c r="EF507">
        <v>0</v>
      </c>
      <c r="EG507">
        <v>0</v>
      </c>
      <c r="EH507">
        <v>0</v>
      </c>
      <c r="EI507">
        <v>0</v>
      </c>
      <c r="EJ507">
        <v>0</v>
      </c>
      <c r="EM507">
        <v>0</v>
      </c>
      <c r="EN507">
        <v>0</v>
      </c>
      <c r="EO507">
        <v>0</v>
      </c>
      <c r="EP507">
        <v>0</v>
      </c>
      <c r="EQ507">
        <v>0</v>
      </c>
      <c r="ER507">
        <v>0</v>
      </c>
      <c r="ES507">
        <v>0</v>
      </c>
      <c r="ET507">
        <v>0</v>
      </c>
      <c r="EW507">
        <v>0</v>
      </c>
      <c r="EX507">
        <v>0</v>
      </c>
      <c r="EY507">
        <v>0</v>
      </c>
      <c r="EZ507">
        <v>0</v>
      </c>
      <c r="FA507">
        <v>0</v>
      </c>
      <c r="FB507">
        <v>0</v>
      </c>
      <c r="FC507">
        <v>0</v>
      </c>
      <c r="FD507">
        <v>0</v>
      </c>
      <c r="FG507" t="e">
        <v>#N/A</v>
      </c>
      <c r="FI507" t="e">
        <v>#N/A</v>
      </c>
      <c r="FK507" t="e">
        <v>#N/A</v>
      </c>
      <c r="FM507" t="e">
        <v>#N/A</v>
      </c>
      <c r="FO507" t="e">
        <v>#N/A</v>
      </c>
      <c r="FQ507" t="e">
        <v>#N/A</v>
      </c>
      <c r="FS507" t="e">
        <v>#N/A</v>
      </c>
      <c r="FU507" t="e">
        <v>#N/A</v>
      </c>
      <c r="FW507" t="e">
        <v>#N/A</v>
      </c>
      <c r="FY507" t="e">
        <v>#N/A</v>
      </c>
      <c r="GA507" t="e">
        <v>#N/A</v>
      </c>
      <c r="GC507" t="e">
        <v>#N/A</v>
      </c>
      <c r="GE507" t="e">
        <v>#N/A</v>
      </c>
      <c r="GG507" t="e">
        <v>#N/A</v>
      </c>
      <c r="GI507" t="e">
        <v>#N/A</v>
      </c>
      <c r="GK507" t="e">
        <v>#N/A</v>
      </c>
      <c r="GM507" t="e">
        <v>#N/A</v>
      </c>
      <c r="GO507" t="e">
        <v>#N/A</v>
      </c>
      <c r="GQ507" t="e">
        <v>#N/A</v>
      </c>
      <c r="GS507" t="e">
        <v>#N/A</v>
      </c>
      <c r="GU507" t="e">
        <v>#N/A</v>
      </c>
      <c r="GW507" t="e">
        <v>#N/A</v>
      </c>
      <c r="GY507" t="e">
        <v>#N/A</v>
      </c>
      <c r="HA507" t="e">
        <v>#N/A</v>
      </c>
      <c r="HC507">
        <v>0</v>
      </c>
      <c r="HD507">
        <v>0</v>
      </c>
      <c r="HE507">
        <v>0</v>
      </c>
      <c r="HF507">
        <v>0</v>
      </c>
      <c r="HG507">
        <v>0</v>
      </c>
      <c r="HH507">
        <v>0</v>
      </c>
      <c r="HI507">
        <v>0</v>
      </c>
      <c r="HJ507">
        <v>0</v>
      </c>
      <c r="HM507">
        <v>0</v>
      </c>
      <c r="HN507">
        <v>0</v>
      </c>
      <c r="HO507">
        <v>0</v>
      </c>
      <c r="HP507">
        <v>0</v>
      </c>
      <c r="HQ507">
        <v>0</v>
      </c>
      <c r="HR507">
        <v>0</v>
      </c>
      <c r="HS507">
        <v>0</v>
      </c>
      <c r="HT507">
        <v>0</v>
      </c>
      <c r="HW507">
        <v>0</v>
      </c>
      <c r="HX507">
        <v>0</v>
      </c>
      <c r="HY507">
        <v>0</v>
      </c>
      <c r="HZ507">
        <v>0</v>
      </c>
      <c r="IA507">
        <v>3930.6</v>
      </c>
      <c r="IB507">
        <v>3632.9</v>
      </c>
      <c r="IC507">
        <v>3795.5</v>
      </c>
      <c r="ID507">
        <v>0</v>
      </c>
      <c r="IE507">
        <v>0</v>
      </c>
      <c r="IF507">
        <v>3548.5</v>
      </c>
      <c r="IG507">
        <v>3395.2</v>
      </c>
      <c r="IH507">
        <v>3395.4</v>
      </c>
      <c r="II507">
        <v>3302.3</v>
      </c>
      <c r="IJ507">
        <v>3172.8</v>
      </c>
      <c r="IK507">
        <v>0</v>
      </c>
      <c r="IL507">
        <v>0</v>
      </c>
      <c r="IM507">
        <v>0</v>
      </c>
      <c r="IN507">
        <v>0</v>
      </c>
      <c r="IO507">
        <v>123.4</v>
      </c>
      <c r="IP507">
        <v>405.2</v>
      </c>
      <c r="IQ507">
        <v>418.7</v>
      </c>
      <c r="IR507">
        <v>0</v>
      </c>
      <c r="IS507">
        <v>0</v>
      </c>
      <c r="IT507">
        <v>0</v>
      </c>
      <c r="IU507">
        <v>0</v>
      </c>
      <c r="IV507">
        <v>396</v>
      </c>
      <c r="IW507">
        <v>0</v>
      </c>
      <c r="IX507">
        <v>0</v>
      </c>
      <c r="IZ507">
        <v>0</v>
      </c>
      <c r="JA507">
        <v>65.5</v>
      </c>
      <c r="JB507">
        <v>443.5</v>
      </c>
      <c r="JC507">
        <v>0</v>
      </c>
      <c r="JD507">
        <v>0</v>
      </c>
      <c r="JE507">
        <v>0</v>
      </c>
      <c r="JF507">
        <v>0</v>
      </c>
      <c r="JG507">
        <v>0</v>
      </c>
      <c r="JH507">
        <v>0</v>
      </c>
      <c r="JI507">
        <v>0</v>
      </c>
      <c r="JJ507">
        <v>0</v>
      </c>
      <c r="JK507">
        <v>0</v>
      </c>
      <c r="JL507">
        <v>0</v>
      </c>
      <c r="JM507">
        <v>0</v>
      </c>
      <c r="JN507">
        <v>0</v>
      </c>
      <c r="JO507">
        <v>0</v>
      </c>
      <c r="JP507">
        <v>0</v>
      </c>
      <c r="JQ507">
        <v>0</v>
      </c>
      <c r="JR507">
        <v>0</v>
      </c>
      <c r="JS507">
        <v>0</v>
      </c>
      <c r="JT507">
        <v>0</v>
      </c>
      <c r="JU507">
        <v>0</v>
      </c>
      <c r="JV507">
        <v>0</v>
      </c>
      <c r="JW507">
        <v>0</v>
      </c>
      <c r="JX507">
        <v>0</v>
      </c>
      <c r="JY507">
        <v>0</v>
      </c>
      <c r="JZ507">
        <v>0</v>
      </c>
      <c r="KA507">
        <v>0</v>
      </c>
      <c r="KB507">
        <v>0</v>
      </c>
      <c r="KC507">
        <v>0</v>
      </c>
      <c r="KD507">
        <v>0</v>
      </c>
      <c r="KE507">
        <v>0</v>
      </c>
      <c r="KF507">
        <v>0</v>
      </c>
      <c r="KI507">
        <v>344.6</v>
      </c>
      <c r="KJ507">
        <v>350.8</v>
      </c>
      <c r="KK507">
        <v>22.1</v>
      </c>
      <c r="KL507">
        <v>379.3</v>
      </c>
      <c r="KM507">
        <v>241.4</v>
      </c>
      <c r="KN507">
        <v>0</v>
      </c>
      <c r="KO507">
        <v>0</v>
      </c>
      <c r="KP507">
        <v>57.3</v>
      </c>
      <c r="KQ507">
        <v>224.4</v>
      </c>
      <c r="KR507">
        <v>338.3</v>
      </c>
      <c r="KS507">
        <v>215.8</v>
      </c>
      <c r="KT507">
        <v>40.700000000000003</v>
      </c>
      <c r="KW507">
        <v>2154.5</v>
      </c>
      <c r="KX507">
        <v>1255.7</v>
      </c>
      <c r="KY507">
        <v>1630.1</v>
      </c>
      <c r="KZ507">
        <v>1246.9000000000001</v>
      </c>
      <c r="LB507">
        <v>78.099999999999994</v>
      </c>
      <c r="LC507">
        <v>77.7</v>
      </c>
    </row>
    <row r="508" spans="1:315" ht="18" thickBot="1">
      <c r="A508" s="245"/>
      <c r="B508" s="4"/>
      <c r="C508" s="332" t="s">
        <v>747</v>
      </c>
      <c r="D508" s="286"/>
      <c r="E508" s="449">
        <v>0</v>
      </c>
      <c r="F508" s="209">
        <v>0</v>
      </c>
      <c r="G508" s="427">
        <v>3413.8</v>
      </c>
      <c r="H508" s="155"/>
      <c r="I508">
        <v>735</v>
      </c>
      <c r="K508">
        <v>1973.1000000000001</v>
      </c>
      <c r="L508" s="4">
        <v>221.60000000000002</v>
      </c>
      <c r="M508" s="4">
        <v>54.9</v>
      </c>
      <c r="N508" s="4">
        <v>1989.7</v>
      </c>
      <c r="P508">
        <v>0</v>
      </c>
      <c r="Q508">
        <v>238.29999999999998</v>
      </c>
      <c r="R508">
        <v>0</v>
      </c>
      <c r="S508">
        <v>0</v>
      </c>
      <c r="T508">
        <v>368.5</v>
      </c>
      <c r="W508">
        <v>720.3</v>
      </c>
      <c r="X508">
        <v>1411.5</v>
      </c>
      <c r="Y508">
        <v>96.5</v>
      </c>
      <c r="AA508">
        <v>859.6</v>
      </c>
      <c r="AB508">
        <v>1577.6000000000001</v>
      </c>
      <c r="AE508">
        <v>1330</v>
      </c>
      <c r="AF508">
        <v>1025.5</v>
      </c>
      <c r="AH508">
        <v>509.9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1349.3</v>
      </c>
      <c r="AO508">
        <v>786.40000000000009</v>
      </c>
      <c r="AP508">
        <v>0</v>
      </c>
      <c r="AQ508">
        <v>68.3</v>
      </c>
      <c r="AR508">
        <v>234.9</v>
      </c>
      <c r="AS508">
        <v>600.40000000000009</v>
      </c>
      <c r="AU508">
        <v>985.69999999999993</v>
      </c>
      <c r="AW508">
        <v>792</v>
      </c>
      <c r="AX508">
        <v>1988.5</v>
      </c>
      <c r="AZ508">
        <v>763.5</v>
      </c>
      <c r="BA508">
        <v>0</v>
      </c>
      <c r="BB508">
        <v>0</v>
      </c>
      <c r="BC508">
        <v>1935.3</v>
      </c>
      <c r="BD508">
        <v>1006.5</v>
      </c>
      <c r="BE508">
        <v>0</v>
      </c>
      <c r="BF508">
        <v>0</v>
      </c>
      <c r="BG508">
        <v>0</v>
      </c>
      <c r="BH508">
        <v>1662.6</v>
      </c>
      <c r="BJ508">
        <v>0</v>
      </c>
      <c r="BK508">
        <v>0</v>
      </c>
      <c r="BL508">
        <v>1038.9000000000001</v>
      </c>
      <c r="BM508">
        <v>1101</v>
      </c>
      <c r="BO508">
        <v>1276.8000000000002</v>
      </c>
      <c r="BQ508">
        <v>0</v>
      </c>
      <c r="BR508">
        <v>270.7</v>
      </c>
      <c r="BS508">
        <v>230.5</v>
      </c>
      <c r="BT508">
        <v>472.3</v>
      </c>
      <c r="BU508">
        <v>537.29999999999995</v>
      </c>
      <c r="BV508">
        <v>346.3</v>
      </c>
      <c r="BW508">
        <v>386.2</v>
      </c>
      <c r="BX508">
        <v>767</v>
      </c>
      <c r="BY508">
        <v>757.2</v>
      </c>
      <c r="BZ508">
        <v>1037.2</v>
      </c>
      <c r="CA508">
        <v>1227.0999999999999</v>
      </c>
      <c r="CB508">
        <v>1232.0999999999999</v>
      </c>
      <c r="CC508">
        <v>1701.5</v>
      </c>
      <c r="CD508">
        <v>0</v>
      </c>
      <c r="CG508">
        <v>1385.3</v>
      </c>
      <c r="CJ508">
        <v>1630.2999999999997</v>
      </c>
      <c r="CM508">
        <v>1184.2</v>
      </c>
      <c r="CO508">
        <v>1248.0999999999999</v>
      </c>
      <c r="CQ508">
        <v>1435.3</v>
      </c>
      <c r="CR508">
        <v>798.2</v>
      </c>
      <c r="CS508">
        <v>923.8</v>
      </c>
      <c r="CT508">
        <v>0</v>
      </c>
      <c r="CU508">
        <v>0</v>
      </c>
      <c r="CV508">
        <v>0</v>
      </c>
      <c r="CW508">
        <v>0</v>
      </c>
      <c r="CX508">
        <v>163.69999999999999</v>
      </c>
      <c r="CY508">
        <v>0</v>
      </c>
      <c r="CZ508">
        <v>0</v>
      </c>
      <c r="DA508">
        <v>0</v>
      </c>
      <c r="DB508">
        <v>0</v>
      </c>
      <c r="DC508">
        <v>0</v>
      </c>
      <c r="DD508">
        <v>0</v>
      </c>
      <c r="DE508">
        <v>0</v>
      </c>
      <c r="DI508">
        <v>0</v>
      </c>
      <c r="EC508">
        <v>0</v>
      </c>
      <c r="ED508">
        <v>0</v>
      </c>
      <c r="EE508">
        <v>0</v>
      </c>
      <c r="EF508">
        <v>0</v>
      </c>
      <c r="EG508">
        <v>0</v>
      </c>
      <c r="EH508">
        <v>0</v>
      </c>
      <c r="EI508">
        <v>0</v>
      </c>
      <c r="EJ508">
        <v>0</v>
      </c>
      <c r="EM508">
        <v>0</v>
      </c>
      <c r="EN508">
        <v>0</v>
      </c>
      <c r="EO508">
        <v>0</v>
      </c>
      <c r="EP508">
        <v>0</v>
      </c>
      <c r="EQ508">
        <v>0</v>
      </c>
      <c r="ER508">
        <v>0</v>
      </c>
      <c r="ES508">
        <v>0</v>
      </c>
      <c r="ET508">
        <v>0</v>
      </c>
      <c r="EW508">
        <v>0</v>
      </c>
      <c r="EX508">
        <v>0</v>
      </c>
      <c r="EY508">
        <v>0</v>
      </c>
      <c r="EZ508">
        <v>0</v>
      </c>
      <c r="FA508">
        <v>0</v>
      </c>
      <c r="FB508">
        <v>0</v>
      </c>
      <c r="FC508">
        <v>0</v>
      </c>
      <c r="FD508">
        <v>0</v>
      </c>
      <c r="FG508" t="e">
        <v>#N/A</v>
      </c>
      <c r="FI508" t="e">
        <v>#N/A</v>
      </c>
      <c r="FK508" t="e">
        <v>#N/A</v>
      </c>
      <c r="FM508" t="e">
        <v>#N/A</v>
      </c>
      <c r="FO508" t="e">
        <v>#N/A</v>
      </c>
      <c r="FQ508" t="e">
        <v>#N/A</v>
      </c>
      <c r="FS508" t="e">
        <v>#N/A</v>
      </c>
      <c r="FU508" t="e">
        <v>#N/A</v>
      </c>
      <c r="FW508" t="e">
        <v>#N/A</v>
      </c>
      <c r="FY508" t="e">
        <v>#N/A</v>
      </c>
      <c r="GA508" t="e">
        <v>#N/A</v>
      </c>
      <c r="GC508" t="e">
        <v>#N/A</v>
      </c>
      <c r="GE508" t="e">
        <v>#N/A</v>
      </c>
      <c r="GG508" t="e">
        <v>#N/A</v>
      </c>
      <c r="GI508" t="e">
        <v>#N/A</v>
      </c>
      <c r="GK508" t="e">
        <v>#N/A</v>
      </c>
      <c r="GM508" t="e">
        <v>#N/A</v>
      </c>
      <c r="GO508" t="e">
        <v>#N/A</v>
      </c>
      <c r="GQ508" t="e">
        <v>#N/A</v>
      </c>
      <c r="GS508" t="e">
        <v>#N/A</v>
      </c>
      <c r="GU508" t="e">
        <v>#N/A</v>
      </c>
      <c r="GW508" t="e">
        <v>#N/A</v>
      </c>
      <c r="GY508" t="e">
        <v>#N/A</v>
      </c>
      <c r="HA508" t="e">
        <v>#N/A</v>
      </c>
      <c r="HC508">
        <v>0</v>
      </c>
      <c r="HD508">
        <v>0</v>
      </c>
      <c r="HE508">
        <v>0</v>
      </c>
      <c r="HF508">
        <v>0</v>
      </c>
      <c r="HG508">
        <v>0</v>
      </c>
      <c r="HH508">
        <v>0</v>
      </c>
      <c r="HI508">
        <v>0</v>
      </c>
      <c r="HJ508">
        <v>0</v>
      </c>
      <c r="HM508">
        <v>0</v>
      </c>
      <c r="HN508">
        <v>0</v>
      </c>
      <c r="HO508">
        <v>0</v>
      </c>
      <c r="HP508">
        <v>0</v>
      </c>
      <c r="HQ508">
        <v>0</v>
      </c>
      <c r="HR508">
        <v>0</v>
      </c>
      <c r="HS508">
        <v>0</v>
      </c>
      <c r="HT508">
        <v>0</v>
      </c>
      <c r="HW508">
        <v>0</v>
      </c>
      <c r="HX508">
        <v>0</v>
      </c>
      <c r="HY508">
        <v>0</v>
      </c>
      <c r="HZ508">
        <v>0</v>
      </c>
      <c r="IA508">
        <v>3930.6</v>
      </c>
      <c r="IB508">
        <v>3632.9</v>
      </c>
      <c r="IC508">
        <v>3795.5</v>
      </c>
      <c r="ID508">
        <v>0</v>
      </c>
      <c r="IE508">
        <v>0</v>
      </c>
      <c r="IF508">
        <v>3548.5</v>
      </c>
      <c r="IG508">
        <v>3395.2</v>
      </c>
      <c r="IH508">
        <v>3395.4</v>
      </c>
      <c r="II508">
        <v>3302.3</v>
      </c>
      <c r="IJ508">
        <v>3172.8</v>
      </c>
      <c r="IK508">
        <v>0</v>
      </c>
      <c r="IL508">
        <v>0</v>
      </c>
      <c r="IM508">
        <v>0</v>
      </c>
      <c r="IN508">
        <v>0</v>
      </c>
      <c r="IO508">
        <v>123.4</v>
      </c>
      <c r="IP508">
        <v>405.2</v>
      </c>
      <c r="IQ508">
        <v>418.7</v>
      </c>
      <c r="IR508">
        <v>0</v>
      </c>
      <c r="IS508">
        <v>0</v>
      </c>
      <c r="IT508">
        <v>0</v>
      </c>
      <c r="IU508">
        <v>0</v>
      </c>
      <c r="IV508">
        <v>396</v>
      </c>
      <c r="IW508">
        <v>0</v>
      </c>
      <c r="IX508">
        <v>0</v>
      </c>
      <c r="IZ508">
        <v>0</v>
      </c>
      <c r="JA508">
        <v>65.5</v>
      </c>
      <c r="JB508">
        <v>443.5</v>
      </c>
      <c r="JC508">
        <v>0</v>
      </c>
      <c r="JD508">
        <v>0</v>
      </c>
      <c r="JE508">
        <v>0</v>
      </c>
      <c r="JF508">
        <v>0</v>
      </c>
      <c r="JG508">
        <v>0</v>
      </c>
      <c r="JH508">
        <v>0</v>
      </c>
      <c r="JI508">
        <v>0</v>
      </c>
      <c r="JJ508">
        <v>0</v>
      </c>
      <c r="JK508">
        <v>0</v>
      </c>
      <c r="JL508">
        <v>0</v>
      </c>
      <c r="JM508">
        <v>0</v>
      </c>
      <c r="JN508">
        <v>0</v>
      </c>
      <c r="JO508">
        <v>0</v>
      </c>
      <c r="JP508">
        <v>0</v>
      </c>
      <c r="JQ508">
        <v>0</v>
      </c>
      <c r="JR508">
        <v>0</v>
      </c>
      <c r="JS508">
        <v>0</v>
      </c>
      <c r="JT508">
        <v>0</v>
      </c>
      <c r="JU508">
        <v>0</v>
      </c>
      <c r="JV508">
        <v>0</v>
      </c>
      <c r="JW508">
        <v>0</v>
      </c>
      <c r="JX508">
        <v>0</v>
      </c>
      <c r="JY508">
        <v>0</v>
      </c>
      <c r="JZ508">
        <v>0</v>
      </c>
      <c r="KA508">
        <v>0</v>
      </c>
      <c r="KB508">
        <v>0</v>
      </c>
      <c r="KC508">
        <v>0</v>
      </c>
      <c r="KD508">
        <v>0</v>
      </c>
      <c r="KE508">
        <v>0</v>
      </c>
      <c r="KF508">
        <v>0</v>
      </c>
      <c r="KI508">
        <v>344.6</v>
      </c>
      <c r="KJ508">
        <v>350.8</v>
      </c>
      <c r="KK508">
        <v>22.1</v>
      </c>
      <c r="KL508">
        <v>379.3</v>
      </c>
      <c r="KM508">
        <v>241.4</v>
      </c>
      <c r="KN508">
        <v>0</v>
      </c>
      <c r="KO508">
        <v>0</v>
      </c>
      <c r="KP508">
        <v>57.3</v>
      </c>
      <c r="KQ508">
        <v>224.4</v>
      </c>
      <c r="KR508">
        <v>338.3</v>
      </c>
      <c r="KS508">
        <v>215.8</v>
      </c>
      <c r="KT508">
        <v>40.700000000000003</v>
      </c>
      <c r="KW508">
        <v>2154.5</v>
      </c>
      <c r="KX508">
        <v>1255.7</v>
      </c>
      <c r="KY508">
        <v>1630.1</v>
      </c>
      <c r="KZ508">
        <v>1246.9000000000001</v>
      </c>
      <c r="LB508">
        <v>78.099999999999994</v>
      </c>
      <c r="LC508">
        <v>77.7</v>
      </c>
    </row>
    <row r="509" spans="1:315" ht="18" thickBot="1">
      <c r="A509" s="245"/>
      <c r="B509" s="4"/>
      <c r="C509" s="332" t="s">
        <v>748</v>
      </c>
      <c r="D509" s="286"/>
      <c r="E509" s="449">
        <v>0</v>
      </c>
      <c r="F509" s="209">
        <v>0</v>
      </c>
      <c r="G509" s="427">
        <v>3413.8</v>
      </c>
      <c r="H509" s="155"/>
      <c r="I509">
        <v>735</v>
      </c>
      <c r="K509">
        <v>1973.1000000000001</v>
      </c>
      <c r="L509" s="4">
        <v>221.60000000000002</v>
      </c>
      <c r="M509" s="4">
        <v>54.9</v>
      </c>
      <c r="N509" s="4">
        <v>1989.7</v>
      </c>
      <c r="P509">
        <v>0</v>
      </c>
      <c r="Q509">
        <v>238.29999999999998</v>
      </c>
      <c r="R509">
        <v>0</v>
      </c>
      <c r="S509">
        <v>0</v>
      </c>
      <c r="T509">
        <v>368.5</v>
      </c>
      <c r="W509">
        <v>720.3</v>
      </c>
      <c r="X509">
        <v>1411.5</v>
      </c>
      <c r="Y509">
        <v>96.5</v>
      </c>
      <c r="AA509">
        <v>859.6</v>
      </c>
      <c r="AB509">
        <v>1577.6000000000001</v>
      </c>
      <c r="AE509">
        <v>1330</v>
      </c>
      <c r="AF509">
        <v>1025.5</v>
      </c>
      <c r="AH509">
        <v>509.9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1349.3</v>
      </c>
      <c r="AO509">
        <v>786.40000000000009</v>
      </c>
      <c r="AP509">
        <v>0</v>
      </c>
      <c r="AQ509">
        <v>68.3</v>
      </c>
      <c r="AR509">
        <v>234.9</v>
      </c>
      <c r="AS509">
        <v>600.40000000000009</v>
      </c>
      <c r="AU509">
        <v>985.69999999999993</v>
      </c>
      <c r="AW509">
        <v>792</v>
      </c>
      <c r="AX509">
        <v>1988.5</v>
      </c>
      <c r="AZ509">
        <v>763.5</v>
      </c>
      <c r="BA509">
        <v>0</v>
      </c>
      <c r="BB509">
        <v>0</v>
      </c>
      <c r="BC509">
        <v>1935.3</v>
      </c>
      <c r="BD509">
        <v>1006.5</v>
      </c>
      <c r="BE509">
        <v>0</v>
      </c>
      <c r="BF509">
        <v>0</v>
      </c>
      <c r="BG509">
        <v>0</v>
      </c>
      <c r="BH509">
        <v>1662.6</v>
      </c>
      <c r="BJ509">
        <v>0</v>
      </c>
      <c r="BK509">
        <v>0</v>
      </c>
      <c r="BL509">
        <v>1038.9000000000001</v>
      </c>
      <c r="BM509">
        <v>1101</v>
      </c>
      <c r="BO509">
        <v>1276.8000000000002</v>
      </c>
      <c r="BQ509">
        <v>0</v>
      </c>
      <c r="BR509">
        <v>270.7</v>
      </c>
      <c r="BS509">
        <v>230.5</v>
      </c>
      <c r="BT509">
        <v>472.3</v>
      </c>
      <c r="BU509">
        <v>537.29999999999995</v>
      </c>
      <c r="BV509">
        <v>346.3</v>
      </c>
      <c r="BW509">
        <v>386.2</v>
      </c>
      <c r="BX509">
        <v>767</v>
      </c>
      <c r="BY509">
        <v>757.2</v>
      </c>
      <c r="BZ509">
        <v>1037.2</v>
      </c>
      <c r="CA509">
        <v>1227.0999999999999</v>
      </c>
      <c r="CB509">
        <v>1232.0999999999999</v>
      </c>
      <c r="CC509">
        <v>1701.5</v>
      </c>
      <c r="CD509">
        <v>0</v>
      </c>
      <c r="CG509">
        <v>1385.3</v>
      </c>
      <c r="CJ509">
        <v>1630.2999999999997</v>
      </c>
      <c r="CM509">
        <v>1184.2</v>
      </c>
      <c r="CO509">
        <v>1248.0999999999999</v>
      </c>
      <c r="CQ509">
        <v>1435.3</v>
      </c>
      <c r="CR509">
        <v>798.2</v>
      </c>
      <c r="CS509">
        <v>923.8</v>
      </c>
      <c r="CT509">
        <v>0</v>
      </c>
      <c r="CU509">
        <v>0</v>
      </c>
      <c r="CV509">
        <v>0</v>
      </c>
      <c r="CW509">
        <v>0</v>
      </c>
      <c r="CX509">
        <v>163.69999999999999</v>
      </c>
      <c r="CY509">
        <v>0</v>
      </c>
      <c r="CZ509">
        <v>0</v>
      </c>
      <c r="DA509">
        <v>0</v>
      </c>
      <c r="DB509">
        <v>0</v>
      </c>
      <c r="DC509">
        <v>0</v>
      </c>
      <c r="DD509">
        <v>0</v>
      </c>
      <c r="DE509">
        <v>0</v>
      </c>
      <c r="DI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  <c r="EJ509">
        <v>0</v>
      </c>
      <c r="EM509">
        <v>0</v>
      </c>
      <c r="EN509">
        <v>0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  <c r="FD509">
        <v>0</v>
      </c>
      <c r="FG509" t="e">
        <v>#N/A</v>
      </c>
      <c r="FI509" t="e">
        <v>#N/A</v>
      </c>
      <c r="FK509" t="e">
        <v>#N/A</v>
      </c>
      <c r="FM509" t="e">
        <v>#N/A</v>
      </c>
      <c r="FO509" t="e">
        <v>#N/A</v>
      </c>
      <c r="FQ509" t="e">
        <v>#N/A</v>
      </c>
      <c r="FS509" t="e">
        <v>#N/A</v>
      </c>
      <c r="FU509" t="e">
        <v>#N/A</v>
      </c>
      <c r="FW509" t="e">
        <v>#N/A</v>
      </c>
      <c r="FY509" t="e">
        <v>#N/A</v>
      </c>
      <c r="GA509" t="e">
        <v>#N/A</v>
      </c>
      <c r="GC509" t="e">
        <v>#N/A</v>
      </c>
      <c r="GE509" t="e">
        <v>#N/A</v>
      </c>
      <c r="GG509" t="e">
        <v>#N/A</v>
      </c>
      <c r="GI509" t="e">
        <v>#N/A</v>
      </c>
      <c r="GK509" t="e">
        <v>#N/A</v>
      </c>
      <c r="GM509" t="e">
        <v>#N/A</v>
      </c>
      <c r="GO509" t="e">
        <v>#N/A</v>
      </c>
      <c r="GQ509" t="e">
        <v>#N/A</v>
      </c>
      <c r="GS509" t="e">
        <v>#N/A</v>
      </c>
      <c r="GU509" t="e">
        <v>#N/A</v>
      </c>
      <c r="GW509" t="e">
        <v>#N/A</v>
      </c>
      <c r="GY509" t="e">
        <v>#N/A</v>
      </c>
      <c r="HA509" t="e">
        <v>#N/A</v>
      </c>
      <c r="HC509">
        <v>0</v>
      </c>
      <c r="HD509">
        <v>0</v>
      </c>
      <c r="HE509">
        <v>0</v>
      </c>
      <c r="HF509">
        <v>0</v>
      </c>
      <c r="HG509">
        <v>0</v>
      </c>
      <c r="HH509">
        <v>0</v>
      </c>
      <c r="HI509">
        <v>0</v>
      </c>
      <c r="HJ509">
        <v>0</v>
      </c>
      <c r="HM509">
        <v>0</v>
      </c>
      <c r="HN509">
        <v>0</v>
      </c>
      <c r="HO509">
        <v>0</v>
      </c>
      <c r="HP509">
        <v>0</v>
      </c>
      <c r="HQ509">
        <v>0</v>
      </c>
      <c r="HR509">
        <v>0</v>
      </c>
      <c r="HS509">
        <v>0</v>
      </c>
      <c r="HT509">
        <v>0</v>
      </c>
      <c r="HW509">
        <v>0</v>
      </c>
      <c r="HX509">
        <v>0</v>
      </c>
      <c r="HY509">
        <v>0</v>
      </c>
      <c r="HZ509">
        <v>0</v>
      </c>
      <c r="IA509">
        <v>3930.6</v>
      </c>
      <c r="IB509">
        <v>3632.9</v>
      </c>
      <c r="IC509">
        <v>3795.5</v>
      </c>
      <c r="ID509">
        <v>0</v>
      </c>
      <c r="IE509">
        <v>0</v>
      </c>
      <c r="IF509">
        <v>3548.5</v>
      </c>
      <c r="IG509">
        <v>3395.2</v>
      </c>
      <c r="IH509">
        <v>3395.4</v>
      </c>
      <c r="II509">
        <v>3302.3</v>
      </c>
      <c r="IJ509">
        <v>3172.8</v>
      </c>
      <c r="IK509">
        <v>0</v>
      </c>
      <c r="IL509">
        <v>0</v>
      </c>
      <c r="IM509">
        <v>0</v>
      </c>
      <c r="IN509">
        <v>0</v>
      </c>
      <c r="IO509">
        <v>123.4</v>
      </c>
      <c r="IP509">
        <v>405.2</v>
      </c>
      <c r="IQ509">
        <v>418.7</v>
      </c>
      <c r="IR509">
        <v>0</v>
      </c>
      <c r="IS509">
        <v>0</v>
      </c>
      <c r="IT509">
        <v>0</v>
      </c>
      <c r="IU509">
        <v>0</v>
      </c>
      <c r="IV509">
        <v>396</v>
      </c>
      <c r="IW509">
        <v>0</v>
      </c>
      <c r="IX509">
        <v>0</v>
      </c>
      <c r="IZ509">
        <v>0</v>
      </c>
      <c r="JA509">
        <v>65.5</v>
      </c>
      <c r="JB509">
        <v>443.5</v>
      </c>
      <c r="JC509">
        <v>0</v>
      </c>
      <c r="JD509">
        <v>0</v>
      </c>
      <c r="JE509">
        <v>0</v>
      </c>
      <c r="JF509">
        <v>0</v>
      </c>
      <c r="JG509">
        <v>0</v>
      </c>
      <c r="JH509">
        <v>0</v>
      </c>
      <c r="JI509">
        <v>0</v>
      </c>
      <c r="JJ509">
        <v>0</v>
      </c>
      <c r="JK509">
        <v>0</v>
      </c>
      <c r="JL509">
        <v>0</v>
      </c>
      <c r="JM509">
        <v>0</v>
      </c>
      <c r="JN509">
        <v>0</v>
      </c>
      <c r="JO509">
        <v>0</v>
      </c>
      <c r="JP509">
        <v>0</v>
      </c>
      <c r="JQ509">
        <v>0</v>
      </c>
      <c r="JR509">
        <v>0</v>
      </c>
      <c r="JS509">
        <v>0</v>
      </c>
      <c r="JT509">
        <v>0</v>
      </c>
      <c r="JU509">
        <v>0</v>
      </c>
      <c r="JV509">
        <v>0</v>
      </c>
      <c r="JW509">
        <v>0</v>
      </c>
      <c r="JX509">
        <v>0</v>
      </c>
      <c r="JY509">
        <v>0</v>
      </c>
      <c r="JZ509">
        <v>0</v>
      </c>
      <c r="KA509">
        <v>0</v>
      </c>
      <c r="KB509">
        <v>0</v>
      </c>
      <c r="KC509">
        <v>0</v>
      </c>
      <c r="KD509">
        <v>0</v>
      </c>
      <c r="KE509">
        <v>0</v>
      </c>
      <c r="KF509">
        <v>0</v>
      </c>
      <c r="KI509">
        <v>344.6</v>
      </c>
      <c r="KJ509">
        <v>350.8</v>
      </c>
      <c r="KK509">
        <v>22.1</v>
      </c>
      <c r="KL509">
        <v>379.3</v>
      </c>
      <c r="KM509">
        <v>241.4</v>
      </c>
      <c r="KN509">
        <v>0</v>
      </c>
      <c r="KO509">
        <v>0</v>
      </c>
      <c r="KP509">
        <v>57.3</v>
      </c>
      <c r="KQ509">
        <v>224.4</v>
      </c>
      <c r="KR509">
        <v>338.3</v>
      </c>
      <c r="KS509">
        <v>215.8</v>
      </c>
      <c r="KT509">
        <v>40.700000000000003</v>
      </c>
      <c r="KW509">
        <v>2154.5</v>
      </c>
      <c r="KX509">
        <v>1255.7</v>
      </c>
      <c r="KY509">
        <v>1630.1</v>
      </c>
      <c r="KZ509">
        <v>1246.9000000000001</v>
      </c>
      <c r="LB509">
        <v>78.099999999999994</v>
      </c>
      <c r="LC509">
        <v>77.7</v>
      </c>
    </row>
    <row r="510" spans="1:315" ht="18" thickBot="1">
      <c r="A510" s="245"/>
      <c r="B510" s="4"/>
      <c r="C510" s="332" t="s">
        <v>749</v>
      </c>
      <c r="D510" s="286"/>
      <c r="E510" s="449">
        <v>0</v>
      </c>
      <c r="F510" s="209">
        <v>0</v>
      </c>
      <c r="G510" s="427">
        <v>3413.8</v>
      </c>
      <c r="H510" s="155"/>
      <c r="I510">
        <v>735</v>
      </c>
      <c r="K510">
        <v>1973.1000000000001</v>
      </c>
      <c r="L510" s="4">
        <v>221.60000000000002</v>
      </c>
      <c r="M510" s="4">
        <v>54.9</v>
      </c>
      <c r="N510" s="4">
        <v>1989.7</v>
      </c>
      <c r="P510">
        <v>0</v>
      </c>
      <c r="Q510">
        <v>238.29999999999998</v>
      </c>
      <c r="R510">
        <v>0</v>
      </c>
      <c r="S510">
        <v>0</v>
      </c>
      <c r="T510">
        <v>368.5</v>
      </c>
      <c r="W510">
        <v>720.3</v>
      </c>
      <c r="X510">
        <v>1411.5</v>
      </c>
      <c r="Y510">
        <v>96.5</v>
      </c>
      <c r="AA510">
        <v>859.6</v>
      </c>
      <c r="AB510">
        <v>1577.6000000000001</v>
      </c>
      <c r="AE510">
        <v>1330</v>
      </c>
      <c r="AF510">
        <v>1025.5</v>
      </c>
      <c r="AH510">
        <v>509.9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1349.3</v>
      </c>
      <c r="AO510">
        <v>786.40000000000009</v>
      </c>
      <c r="AP510">
        <v>0</v>
      </c>
      <c r="AQ510">
        <v>68.3</v>
      </c>
      <c r="AR510">
        <v>234.9</v>
      </c>
      <c r="AS510">
        <v>600.40000000000009</v>
      </c>
      <c r="AU510">
        <v>985.69999999999993</v>
      </c>
      <c r="AW510">
        <v>792</v>
      </c>
      <c r="AX510">
        <v>1988.5</v>
      </c>
      <c r="AZ510">
        <v>763.5</v>
      </c>
      <c r="BA510">
        <v>0</v>
      </c>
      <c r="BB510">
        <v>0</v>
      </c>
      <c r="BC510">
        <v>1935.3</v>
      </c>
      <c r="BD510">
        <v>1006.5</v>
      </c>
      <c r="BE510">
        <v>0</v>
      </c>
      <c r="BF510">
        <v>0</v>
      </c>
      <c r="BG510">
        <v>0</v>
      </c>
      <c r="BH510">
        <v>1662.6</v>
      </c>
      <c r="BJ510">
        <v>0</v>
      </c>
      <c r="BK510">
        <v>0</v>
      </c>
      <c r="BL510">
        <v>1038.9000000000001</v>
      </c>
      <c r="BM510">
        <v>1101</v>
      </c>
      <c r="BO510">
        <v>1276.8000000000002</v>
      </c>
      <c r="BQ510">
        <v>0</v>
      </c>
      <c r="BR510">
        <v>270.7</v>
      </c>
      <c r="BS510">
        <v>230.5</v>
      </c>
      <c r="BT510">
        <v>472.3</v>
      </c>
      <c r="BU510">
        <v>537.29999999999995</v>
      </c>
      <c r="BV510">
        <v>346.3</v>
      </c>
      <c r="BW510">
        <v>386.2</v>
      </c>
      <c r="BX510">
        <v>767</v>
      </c>
      <c r="BY510">
        <v>757.2</v>
      </c>
      <c r="BZ510">
        <v>1037.2</v>
      </c>
      <c r="CA510">
        <v>1227.0999999999999</v>
      </c>
      <c r="CB510">
        <v>1232.0999999999999</v>
      </c>
      <c r="CC510">
        <v>1701.5</v>
      </c>
      <c r="CD510">
        <v>0</v>
      </c>
      <c r="CG510">
        <v>1385.3</v>
      </c>
      <c r="CJ510">
        <v>1630.2999999999997</v>
      </c>
      <c r="CM510">
        <v>1184.2</v>
      </c>
      <c r="CO510">
        <v>1248.0999999999999</v>
      </c>
      <c r="CQ510">
        <v>1435.3</v>
      </c>
      <c r="CR510">
        <v>798.2</v>
      </c>
      <c r="CS510">
        <v>923.8</v>
      </c>
      <c r="CT510">
        <v>0</v>
      </c>
      <c r="CU510">
        <v>0</v>
      </c>
      <c r="CV510">
        <v>0</v>
      </c>
      <c r="CW510">
        <v>0</v>
      </c>
      <c r="CX510">
        <v>163.69999999999999</v>
      </c>
      <c r="CY510">
        <v>0</v>
      </c>
      <c r="CZ510">
        <v>0</v>
      </c>
      <c r="DA510">
        <v>0</v>
      </c>
      <c r="DB510">
        <v>0</v>
      </c>
      <c r="DC510">
        <v>0</v>
      </c>
      <c r="DD510">
        <v>0</v>
      </c>
      <c r="DE510">
        <v>0</v>
      </c>
      <c r="DI510">
        <v>0</v>
      </c>
      <c r="EC510">
        <v>0</v>
      </c>
      <c r="ED510">
        <v>0</v>
      </c>
      <c r="EE510">
        <v>0</v>
      </c>
      <c r="EF510">
        <v>0</v>
      </c>
      <c r="EG510">
        <v>0</v>
      </c>
      <c r="EH510">
        <v>0</v>
      </c>
      <c r="EI510">
        <v>0</v>
      </c>
      <c r="EJ510">
        <v>0</v>
      </c>
      <c r="EM510">
        <v>0</v>
      </c>
      <c r="EN510">
        <v>0</v>
      </c>
      <c r="EO510">
        <v>0</v>
      </c>
      <c r="EP510">
        <v>0</v>
      </c>
      <c r="EQ510">
        <v>0</v>
      </c>
      <c r="ER510">
        <v>0</v>
      </c>
      <c r="ES510">
        <v>0</v>
      </c>
      <c r="ET510">
        <v>0</v>
      </c>
      <c r="EW510">
        <v>0</v>
      </c>
      <c r="EX510">
        <v>0</v>
      </c>
      <c r="EY510">
        <v>0</v>
      </c>
      <c r="EZ510">
        <v>0</v>
      </c>
      <c r="FA510">
        <v>0</v>
      </c>
      <c r="FB510">
        <v>0</v>
      </c>
      <c r="FC510">
        <v>0</v>
      </c>
      <c r="FD510">
        <v>0</v>
      </c>
      <c r="FG510" t="e">
        <v>#N/A</v>
      </c>
      <c r="FI510" t="e">
        <v>#N/A</v>
      </c>
      <c r="FK510" t="e">
        <v>#N/A</v>
      </c>
      <c r="FM510" t="e">
        <v>#N/A</v>
      </c>
      <c r="FO510" t="e">
        <v>#N/A</v>
      </c>
      <c r="FQ510" t="e">
        <v>#N/A</v>
      </c>
      <c r="FS510" t="e">
        <v>#N/A</v>
      </c>
      <c r="FU510" t="e">
        <v>#N/A</v>
      </c>
      <c r="FW510" t="e">
        <v>#N/A</v>
      </c>
      <c r="FY510" t="e">
        <v>#N/A</v>
      </c>
      <c r="GA510" t="e">
        <v>#N/A</v>
      </c>
      <c r="GC510" t="e">
        <v>#N/A</v>
      </c>
      <c r="GE510" t="e">
        <v>#N/A</v>
      </c>
      <c r="GG510" t="e">
        <v>#N/A</v>
      </c>
      <c r="GI510" t="e">
        <v>#N/A</v>
      </c>
      <c r="GK510" t="e">
        <v>#N/A</v>
      </c>
      <c r="GM510" t="e">
        <v>#N/A</v>
      </c>
      <c r="GO510" t="e">
        <v>#N/A</v>
      </c>
      <c r="GQ510" t="e">
        <v>#N/A</v>
      </c>
      <c r="GS510" t="e">
        <v>#N/A</v>
      </c>
      <c r="GU510" t="e">
        <v>#N/A</v>
      </c>
      <c r="GW510" t="e">
        <v>#N/A</v>
      </c>
      <c r="GY510" t="e">
        <v>#N/A</v>
      </c>
      <c r="HA510" t="e">
        <v>#N/A</v>
      </c>
      <c r="HC510">
        <v>0</v>
      </c>
      <c r="HD510">
        <v>0</v>
      </c>
      <c r="HE510">
        <v>0</v>
      </c>
      <c r="HF510">
        <v>0</v>
      </c>
      <c r="HG510">
        <v>0</v>
      </c>
      <c r="HH510">
        <v>0</v>
      </c>
      <c r="HI510">
        <v>0</v>
      </c>
      <c r="HJ510">
        <v>0</v>
      </c>
      <c r="HM510">
        <v>0</v>
      </c>
      <c r="HN510">
        <v>0</v>
      </c>
      <c r="HO510">
        <v>0</v>
      </c>
      <c r="HP510">
        <v>0</v>
      </c>
      <c r="HQ510">
        <v>0</v>
      </c>
      <c r="HR510">
        <v>0</v>
      </c>
      <c r="HS510">
        <v>0</v>
      </c>
      <c r="HT510">
        <v>0</v>
      </c>
      <c r="HW510">
        <v>0</v>
      </c>
      <c r="HX510">
        <v>0</v>
      </c>
      <c r="HY510">
        <v>0</v>
      </c>
      <c r="HZ510">
        <v>0</v>
      </c>
      <c r="IA510">
        <v>3930.6</v>
      </c>
      <c r="IB510">
        <v>3632.9</v>
      </c>
      <c r="IC510">
        <v>3795.5</v>
      </c>
      <c r="ID510">
        <v>0</v>
      </c>
      <c r="IE510">
        <v>0</v>
      </c>
      <c r="IF510">
        <v>3548.5</v>
      </c>
      <c r="IG510">
        <v>3395.2</v>
      </c>
      <c r="IH510">
        <v>3395.4</v>
      </c>
      <c r="II510">
        <v>3302.3</v>
      </c>
      <c r="IJ510">
        <v>3172.8</v>
      </c>
      <c r="IK510">
        <v>0</v>
      </c>
      <c r="IL510">
        <v>0</v>
      </c>
      <c r="IM510">
        <v>0</v>
      </c>
      <c r="IN510">
        <v>0</v>
      </c>
      <c r="IO510">
        <v>123.4</v>
      </c>
      <c r="IP510">
        <v>405.2</v>
      </c>
      <c r="IQ510">
        <v>418.7</v>
      </c>
      <c r="IR510">
        <v>0</v>
      </c>
      <c r="IS510">
        <v>0</v>
      </c>
      <c r="IT510">
        <v>0</v>
      </c>
      <c r="IU510">
        <v>0</v>
      </c>
      <c r="IV510">
        <v>396</v>
      </c>
      <c r="IW510">
        <v>0</v>
      </c>
      <c r="IX510">
        <v>0</v>
      </c>
      <c r="IZ510">
        <v>0</v>
      </c>
      <c r="JA510">
        <v>65.5</v>
      </c>
      <c r="JB510">
        <v>443.5</v>
      </c>
      <c r="JC510">
        <v>0</v>
      </c>
      <c r="JD510">
        <v>0</v>
      </c>
      <c r="JE510">
        <v>0</v>
      </c>
      <c r="JF510">
        <v>0</v>
      </c>
      <c r="JG510">
        <v>0</v>
      </c>
      <c r="JH510">
        <v>0</v>
      </c>
      <c r="JI510">
        <v>0</v>
      </c>
      <c r="JJ510">
        <v>0</v>
      </c>
      <c r="JK510">
        <v>0</v>
      </c>
      <c r="JL510">
        <v>0</v>
      </c>
      <c r="JM510">
        <v>0</v>
      </c>
      <c r="JN510">
        <v>0</v>
      </c>
      <c r="JO510">
        <v>0</v>
      </c>
      <c r="JP510">
        <v>0</v>
      </c>
      <c r="JQ510">
        <v>0</v>
      </c>
      <c r="JR510">
        <v>0</v>
      </c>
      <c r="JS510">
        <v>0</v>
      </c>
      <c r="JT510">
        <v>0</v>
      </c>
      <c r="JU510">
        <v>0</v>
      </c>
      <c r="JV510">
        <v>0</v>
      </c>
      <c r="JW510">
        <v>0</v>
      </c>
      <c r="JX510">
        <v>0</v>
      </c>
      <c r="JY510">
        <v>0</v>
      </c>
      <c r="JZ510">
        <v>0</v>
      </c>
      <c r="KA510">
        <v>0</v>
      </c>
      <c r="KB510">
        <v>0</v>
      </c>
      <c r="KC510">
        <v>0</v>
      </c>
      <c r="KD510">
        <v>0</v>
      </c>
      <c r="KE510">
        <v>0</v>
      </c>
      <c r="KF510">
        <v>0</v>
      </c>
      <c r="KI510">
        <v>344.6</v>
      </c>
      <c r="KJ510">
        <v>350.8</v>
      </c>
      <c r="KK510">
        <v>22.1</v>
      </c>
      <c r="KL510">
        <v>379.3</v>
      </c>
      <c r="KM510">
        <v>241.4</v>
      </c>
      <c r="KN510">
        <v>0</v>
      </c>
      <c r="KO510">
        <v>0</v>
      </c>
      <c r="KP510">
        <v>57.3</v>
      </c>
      <c r="KQ510">
        <v>224.4</v>
      </c>
      <c r="KR510">
        <v>338.3</v>
      </c>
      <c r="KS510">
        <v>215.8</v>
      </c>
      <c r="KT510">
        <v>40.700000000000003</v>
      </c>
      <c r="KW510">
        <v>2154.5</v>
      </c>
      <c r="KX510">
        <v>1255.7</v>
      </c>
      <c r="KY510">
        <v>1630.1</v>
      </c>
      <c r="KZ510">
        <v>1246.9000000000001</v>
      </c>
      <c r="LB510">
        <v>78.099999999999994</v>
      </c>
      <c r="LC510">
        <v>77.7</v>
      </c>
    </row>
    <row r="511" spans="1:315" ht="18" thickBot="1">
      <c r="A511" s="245"/>
      <c r="B511" s="4"/>
      <c r="C511" s="332" t="s">
        <v>750</v>
      </c>
      <c r="D511" s="286"/>
      <c r="E511" s="449">
        <v>0</v>
      </c>
      <c r="F511" s="209">
        <v>0</v>
      </c>
      <c r="G511" s="427">
        <v>3413.8</v>
      </c>
      <c r="H511" s="155"/>
      <c r="I511">
        <v>735</v>
      </c>
      <c r="K511">
        <v>1973.1000000000001</v>
      </c>
      <c r="L511" s="4">
        <v>221.60000000000002</v>
      </c>
      <c r="M511" s="4">
        <v>54.9</v>
      </c>
      <c r="N511" s="4">
        <v>1989.7</v>
      </c>
      <c r="P511">
        <v>0</v>
      </c>
      <c r="Q511">
        <v>238.29999999999998</v>
      </c>
      <c r="R511">
        <v>0</v>
      </c>
      <c r="S511">
        <v>0</v>
      </c>
      <c r="T511">
        <v>368.5</v>
      </c>
      <c r="W511">
        <v>720.3</v>
      </c>
      <c r="X511">
        <v>1411.5</v>
      </c>
      <c r="Y511">
        <v>96.5</v>
      </c>
      <c r="AA511">
        <v>859.6</v>
      </c>
      <c r="AB511">
        <v>1577.6000000000001</v>
      </c>
      <c r="AE511">
        <v>1330</v>
      </c>
      <c r="AF511">
        <v>1025.5</v>
      </c>
      <c r="AH511">
        <v>509.9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1349.3</v>
      </c>
      <c r="AO511">
        <v>786.40000000000009</v>
      </c>
      <c r="AP511">
        <v>0</v>
      </c>
      <c r="AQ511">
        <v>68.3</v>
      </c>
      <c r="AR511">
        <v>234.9</v>
      </c>
      <c r="AS511">
        <v>600.40000000000009</v>
      </c>
      <c r="AU511">
        <v>985.69999999999993</v>
      </c>
      <c r="AW511">
        <v>792</v>
      </c>
      <c r="AX511">
        <v>1988.5</v>
      </c>
      <c r="AZ511">
        <v>763.5</v>
      </c>
      <c r="BA511">
        <v>0</v>
      </c>
      <c r="BB511">
        <v>0</v>
      </c>
      <c r="BC511">
        <v>1935.3</v>
      </c>
      <c r="BD511">
        <v>1006.5</v>
      </c>
      <c r="BE511">
        <v>0</v>
      </c>
      <c r="BF511">
        <v>0</v>
      </c>
      <c r="BG511">
        <v>0</v>
      </c>
      <c r="BH511">
        <v>1662.6</v>
      </c>
      <c r="BJ511">
        <v>0</v>
      </c>
      <c r="BK511">
        <v>0</v>
      </c>
      <c r="BL511">
        <v>1038.9000000000001</v>
      </c>
      <c r="BM511">
        <v>1101</v>
      </c>
      <c r="BO511">
        <v>1276.8000000000002</v>
      </c>
      <c r="BQ511">
        <v>0</v>
      </c>
      <c r="BR511">
        <v>270.7</v>
      </c>
      <c r="BS511">
        <v>230.5</v>
      </c>
      <c r="BT511">
        <v>472.3</v>
      </c>
      <c r="BU511">
        <v>537.29999999999995</v>
      </c>
      <c r="BV511">
        <v>346.3</v>
      </c>
      <c r="BW511">
        <v>386.2</v>
      </c>
      <c r="BX511">
        <v>767</v>
      </c>
      <c r="BY511">
        <v>757.2</v>
      </c>
      <c r="BZ511">
        <v>1037.2</v>
      </c>
      <c r="CA511">
        <v>1227.0999999999999</v>
      </c>
      <c r="CB511">
        <v>1232.0999999999999</v>
      </c>
      <c r="CC511">
        <v>1701.5</v>
      </c>
      <c r="CD511">
        <v>0</v>
      </c>
      <c r="CG511">
        <v>1385.3</v>
      </c>
      <c r="CJ511">
        <v>1630.2999999999997</v>
      </c>
      <c r="CM511">
        <v>1184.2</v>
      </c>
      <c r="CO511">
        <v>1248.0999999999999</v>
      </c>
      <c r="CQ511">
        <v>1435.3</v>
      </c>
      <c r="CR511">
        <v>798.2</v>
      </c>
      <c r="CS511">
        <v>923.8</v>
      </c>
      <c r="CT511">
        <v>0</v>
      </c>
      <c r="CU511">
        <v>0</v>
      </c>
      <c r="CV511">
        <v>0</v>
      </c>
      <c r="CW511">
        <v>0</v>
      </c>
      <c r="CX511">
        <v>163.69999999999999</v>
      </c>
      <c r="CY511">
        <v>0</v>
      </c>
      <c r="CZ511">
        <v>0</v>
      </c>
      <c r="DA511">
        <v>0</v>
      </c>
      <c r="DB511">
        <v>0</v>
      </c>
      <c r="DC511">
        <v>0</v>
      </c>
      <c r="DD511">
        <v>0</v>
      </c>
      <c r="DE511">
        <v>0</v>
      </c>
      <c r="DI511">
        <v>0</v>
      </c>
      <c r="EC511">
        <v>0</v>
      </c>
      <c r="ED511">
        <v>0</v>
      </c>
      <c r="EE511">
        <v>0</v>
      </c>
      <c r="EF511">
        <v>0</v>
      </c>
      <c r="EG511">
        <v>0</v>
      </c>
      <c r="EH511">
        <v>0</v>
      </c>
      <c r="EI511">
        <v>0</v>
      </c>
      <c r="EJ511">
        <v>0</v>
      </c>
      <c r="EM511">
        <v>0</v>
      </c>
      <c r="EN511">
        <v>0</v>
      </c>
      <c r="EO511">
        <v>0</v>
      </c>
      <c r="EP511">
        <v>0</v>
      </c>
      <c r="EQ511">
        <v>0</v>
      </c>
      <c r="ER511">
        <v>0</v>
      </c>
      <c r="ES511">
        <v>0</v>
      </c>
      <c r="ET511">
        <v>0</v>
      </c>
      <c r="EW511">
        <v>0</v>
      </c>
      <c r="EX511">
        <v>0</v>
      </c>
      <c r="EY511">
        <v>0</v>
      </c>
      <c r="EZ511">
        <v>0</v>
      </c>
      <c r="FA511">
        <v>0</v>
      </c>
      <c r="FB511">
        <v>0</v>
      </c>
      <c r="FC511">
        <v>0</v>
      </c>
      <c r="FD511">
        <v>0</v>
      </c>
      <c r="FG511" t="e">
        <v>#N/A</v>
      </c>
      <c r="FI511" t="e">
        <v>#N/A</v>
      </c>
      <c r="FK511" t="e">
        <v>#N/A</v>
      </c>
      <c r="FM511" t="e">
        <v>#N/A</v>
      </c>
      <c r="FO511" t="e">
        <v>#N/A</v>
      </c>
      <c r="FQ511" t="e">
        <v>#N/A</v>
      </c>
      <c r="FS511" t="e">
        <v>#N/A</v>
      </c>
      <c r="FU511" t="e">
        <v>#N/A</v>
      </c>
      <c r="FW511" t="e">
        <v>#N/A</v>
      </c>
      <c r="FY511" t="e">
        <v>#N/A</v>
      </c>
      <c r="GA511" t="e">
        <v>#N/A</v>
      </c>
      <c r="GC511" t="e">
        <v>#N/A</v>
      </c>
      <c r="GE511" t="e">
        <v>#N/A</v>
      </c>
      <c r="GG511" t="e">
        <v>#N/A</v>
      </c>
      <c r="GI511" t="e">
        <v>#N/A</v>
      </c>
      <c r="GK511" t="e">
        <v>#N/A</v>
      </c>
      <c r="GM511" t="e">
        <v>#N/A</v>
      </c>
      <c r="GO511" t="e">
        <v>#N/A</v>
      </c>
      <c r="GQ511" t="e">
        <v>#N/A</v>
      </c>
      <c r="GS511" t="e">
        <v>#N/A</v>
      </c>
      <c r="GU511" t="e">
        <v>#N/A</v>
      </c>
      <c r="GW511" t="e">
        <v>#N/A</v>
      </c>
      <c r="GY511" t="e">
        <v>#N/A</v>
      </c>
      <c r="HA511" t="e">
        <v>#N/A</v>
      </c>
      <c r="HC511">
        <v>0</v>
      </c>
      <c r="HD511">
        <v>0</v>
      </c>
      <c r="HE511">
        <v>0</v>
      </c>
      <c r="HF511">
        <v>0</v>
      </c>
      <c r="HG511">
        <v>0</v>
      </c>
      <c r="HH511">
        <v>0</v>
      </c>
      <c r="HI511">
        <v>0</v>
      </c>
      <c r="HJ511">
        <v>0</v>
      </c>
      <c r="HM511">
        <v>0</v>
      </c>
      <c r="HN511">
        <v>0</v>
      </c>
      <c r="HO511">
        <v>0</v>
      </c>
      <c r="HP511">
        <v>0</v>
      </c>
      <c r="HQ511">
        <v>0</v>
      </c>
      <c r="HR511">
        <v>0</v>
      </c>
      <c r="HS511">
        <v>0</v>
      </c>
      <c r="HT511">
        <v>0</v>
      </c>
      <c r="HW511">
        <v>0</v>
      </c>
      <c r="HX511">
        <v>0</v>
      </c>
      <c r="HY511">
        <v>0</v>
      </c>
      <c r="HZ511">
        <v>0</v>
      </c>
      <c r="IA511">
        <v>3930.6</v>
      </c>
      <c r="IB511">
        <v>3632.9</v>
      </c>
      <c r="IC511">
        <v>3795.5</v>
      </c>
      <c r="ID511">
        <v>0</v>
      </c>
      <c r="IE511">
        <v>0</v>
      </c>
      <c r="IF511">
        <v>3548.5</v>
      </c>
      <c r="IG511">
        <v>3395.2</v>
      </c>
      <c r="IH511">
        <v>3395.4</v>
      </c>
      <c r="II511">
        <v>3302.3</v>
      </c>
      <c r="IJ511">
        <v>3172.8</v>
      </c>
      <c r="IK511">
        <v>0</v>
      </c>
      <c r="IL511">
        <v>0</v>
      </c>
      <c r="IM511">
        <v>0</v>
      </c>
      <c r="IN511">
        <v>0</v>
      </c>
      <c r="IO511">
        <v>123.4</v>
      </c>
      <c r="IP511">
        <v>405.2</v>
      </c>
      <c r="IQ511">
        <v>418.7</v>
      </c>
      <c r="IR511">
        <v>0</v>
      </c>
      <c r="IS511">
        <v>0</v>
      </c>
      <c r="IT511">
        <v>0</v>
      </c>
      <c r="IU511">
        <v>0</v>
      </c>
      <c r="IV511">
        <v>396</v>
      </c>
      <c r="IW511">
        <v>0</v>
      </c>
      <c r="IX511">
        <v>0</v>
      </c>
      <c r="IZ511">
        <v>0</v>
      </c>
      <c r="JA511">
        <v>65.5</v>
      </c>
      <c r="JB511">
        <v>443.5</v>
      </c>
      <c r="JC511">
        <v>0</v>
      </c>
      <c r="JD511">
        <v>0</v>
      </c>
      <c r="JE511">
        <v>0</v>
      </c>
      <c r="JF511">
        <v>0</v>
      </c>
      <c r="JG511">
        <v>0</v>
      </c>
      <c r="JH511">
        <v>0</v>
      </c>
      <c r="JI511">
        <v>0</v>
      </c>
      <c r="JJ511">
        <v>0</v>
      </c>
      <c r="JK511">
        <v>0</v>
      </c>
      <c r="JL511">
        <v>0</v>
      </c>
      <c r="JM511">
        <v>0</v>
      </c>
      <c r="JN511">
        <v>0</v>
      </c>
      <c r="JO511">
        <v>0</v>
      </c>
      <c r="JP511">
        <v>0</v>
      </c>
      <c r="JQ511">
        <v>0</v>
      </c>
      <c r="JR511">
        <v>0</v>
      </c>
      <c r="JS511">
        <v>0</v>
      </c>
      <c r="JT511">
        <v>0</v>
      </c>
      <c r="JU511">
        <v>0</v>
      </c>
      <c r="JV511">
        <v>0</v>
      </c>
      <c r="JW511">
        <v>0</v>
      </c>
      <c r="JX511">
        <v>0</v>
      </c>
      <c r="JY511">
        <v>0</v>
      </c>
      <c r="JZ511">
        <v>0</v>
      </c>
      <c r="KA511">
        <v>0</v>
      </c>
      <c r="KB511">
        <v>0</v>
      </c>
      <c r="KC511">
        <v>0</v>
      </c>
      <c r="KD511">
        <v>0</v>
      </c>
      <c r="KE511">
        <v>0</v>
      </c>
      <c r="KF511">
        <v>0</v>
      </c>
      <c r="KI511">
        <v>344.6</v>
      </c>
      <c r="KJ511">
        <v>350.8</v>
      </c>
      <c r="KK511">
        <v>22.1</v>
      </c>
      <c r="KL511">
        <v>379.3</v>
      </c>
      <c r="KM511">
        <v>241.4</v>
      </c>
      <c r="KN511">
        <v>0</v>
      </c>
      <c r="KO511">
        <v>0</v>
      </c>
      <c r="KP511">
        <v>57.3</v>
      </c>
      <c r="KQ511">
        <v>224.4</v>
      </c>
      <c r="KR511">
        <v>338.3</v>
      </c>
      <c r="KS511">
        <v>215.8</v>
      </c>
      <c r="KT511">
        <v>40.700000000000003</v>
      </c>
      <c r="KW511">
        <v>2154.5</v>
      </c>
      <c r="KX511">
        <v>1255.7</v>
      </c>
      <c r="KY511">
        <v>1630.1</v>
      </c>
      <c r="KZ511">
        <v>1246.9000000000001</v>
      </c>
      <c r="LB511">
        <v>78.099999999999994</v>
      </c>
      <c r="LC511">
        <v>77.7</v>
      </c>
    </row>
    <row r="512" spans="1:315" ht="18" thickBot="1">
      <c r="A512" s="245"/>
      <c r="B512" s="4"/>
      <c r="C512" s="332" t="s">
        <v>751</v>
      </c>
      <c r="D512" s="286"/>
      <c r="E512" s="449">
        <v>0</v>
      </c>
      <c r="F512" s="209">
        <v>0</v>
      </c>
      <c r="G512" s="427">
        <v>3413.8</v>
      </c>
      <c r="H512" s="155"/>
      <c r="I512">
        <v>735</v>
      </c>
      <c r="K512">
        <v>1973.1000000000001</v>
      </c>
      <c r="L512" s="4">
        <v>221.60000000000002</v>
      </c>
      <c r="M512" s="4">
        <v>54.9</v>
      </c>
      <c r="N512" s="4">
        <v>1989.7</v>
      </c>
      <c r="P512">
        <v>0</v>
      </c>
      <c r="Q512">
        <v>238.29999999999998</v>
      </c>
      <c r="R512">
        <v>0</v>
      </c>
      <c r="S512">
        <v>0</v>
      </c>
      <c r="T512">
        <v>368.5</v>
      </c>
      <c r="W512">
        <v>720.3</v>
      </c>
      <c r="X512">
        <v>1411.5</v>
      </c>
      <c r="Y512">
        <v>96.5</v>
      </c>
      <c r="AA512">
        <v>859.6</v>
      </c>
      <c r="AB512">
        <v>1577.6000000000001</v>
      </c>
      <c r="AE512">
        <v>1330</v>
      </c>
      <c r="AF512">
        <v>1025.5</v>
      </c>
      <c r="AH512">
        <v>509.9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1349.3</v>
      </c>
      <c r="AO512">
        <v>786.40000000000009</v>
      </c>
      <c r="AP512">
        <v>0</v>
      </c>
      <c r="AQ512">
        <v>68.3</v>
      </c>
      <c r="AR512">
        <v>234.9</v>
      </c>
      <c r="AS512">
        <v>600.40000000000009</v>
      </c>
      <c r="AU512">
        <v>985.69999999999993</v>
      </c>
      <c r="AW512">
        <v>792</v>
      </c>
      <c r="AX512">
        <v>1988.5</v>
      </c>
      <c r="AZ512">
        <v>763.5</v>
      </c>
      <c r="BA512">
        <v>0</v>
      </c>
      <c r="BB512">
        <v>0</v>
      </c>
      <c r="BC512">
        <v>1935.3</v>
      </c>
      <c r="BD512">
        <v>1006.5</v>
      </c>
      <c r="BE512">
        <v>0</v>
      </c>
      <c r="BF512">
        <v>0</v>
      </c>
      <c r="BG512">
        <v>0</v>
      </c>
      <c r="BH512">
        <v>1662.6</v>
      </c>
      <c r="BJ512">
        <v>0</v>
      </c>
      <c r="BK512">
        <v>0</v>
      </c>
      <c r="BL512">
        <v>1038.9000000000001</v>
      </c>
      <c r="BM512">
        <v>1101</v>
      </c>
      <c r="BO512">
        <v>1276.8000000000002</v>
      </c>
      <c r="BQ512">
        <v>0</v>
      </c>
      <c r="BR512">
        <v>270.7</v>
      </c>
      <c r="BS512">
        <v>230.5</v>
      </c>
      <c r="BT512">
        <v>472.3</v>
      </c>
      <c r="BU512">
        <v>537.29999999999995</v>
      </c>
      <c r="BV512">
        <v>346.3</v>
      </c>
      <c r="BW512">
        <v>386.2</v>
      </c>
      <c r="BX512">
        <v>767</v>
      </c>
      <c r="BY512">
        <v>757.2</v>
      </c>
      <c r="BZ512">
        <v>1037.2</v>
      </c>
      <c r="CA512">
        <v>1227.0999999999999</v>
      </c>
      <c r="CB512">
        <v>1232.0999999999999</v>
      </c>
      <c r="CC512">
        <v>1701.5</v>
      </c>
      <c r="CD512">
        <v>0</v>
      </c>
      <c r="CG512">
        <v>1385.3</v>
      </c>
      <c r="CJ512">
        <v>1630.2999999999997</v>
      </c>
      <c r="CM512">
        <v>1184.2</v>
      </c>
      <c r="CO512">
        <v>1248.0999999999999</v>
      </c>
      <c r="CQ512">
        <v>1435.3</v>
      </c>
      <c r="CR512">
        <v>798.2</v>
      </c>
      <c r="CS512">
        <v>923.8</v>
      </c>
      <c r="CT512">
        <v>0</v>
      </c>
      <c r="CU512">
        <v>0</v>
      </c>
      <c r="CV512">
        <v>0</v>
      </c>
      <c r="CW512">
        <v>0</v>
      </c>
      <c r="CX512">
        <v>163.69999999999999</v>
      </c>
      <c r="CY512">
        <v>0</v>
      </c>
      <c r="CZ512">
        <v>0</v>
      </c>
      <c r="DA512">
        <v>0</v>
      </c>
      <c r="DB512">
        <v>0</v>
      </c>
      <c r="DC512">
        <v>0</v>
      </c>
      <c r="DD512">
        <v>0</v>
      </c>
      <c r="DE512">
        <v>0</v>
      </c>
      <c r="DI512">
        <v>0</v>
      </c>
      <c r="EC512">
        <v>0</v>
      </c>
      <c r="ED512">
        <v>0</v>
      </c>
      <c r="EE512">
        <v>0</v>
      </c>
      <c r="EF512">
        <v>0</v>
      </c>
      <c r="EG512">
        <v>0</v>
      </c>
      <c r="EH512">
        <v>0</v>
      </c>
      <c r="EI512">
        <v>0</v>
      </c>
      <c r="EJ512">
        <v>0</v>
      </c>
      <c r="EM512">
        <v>0</v>
      </c>
      <c r="EN512">
        <v>0</v>
      </c>
      <c r="EO512">
        <v>0</v>
      </c>
      <c r="EP512">
        <v>0</v>
      </c>
      <c r="EQ512">
        <v>0</v>
      </c>
      <c r="ER512">
        <v>0</v>
      </c>
      <c r="ES512">
        <v>0</v>
      </c>
      <c r="ET512">
        <v>0</v>
      </c>
      <c r="EW512">
        <v>0</v>
      </c>
      <c r="EX512">
        <v>0</v>
      </c>
      <c r="EY512">
        <v>0</v>
      </c>
      <c r="EZ512">
        <v>0</v>
      </c>
      <c r="FA512">
        <v>0</v>
      </c>
      <c r="FB512">
        <v>0</v>
      </c>
      <c r="FC512">
        <v>0</v>
      </c>
      <c r="FD512">
        <v>0</v>
      </c>
      <c r="FG512" t="e">
        <v>#N/A</v>
      </c>
      <c r="FI512" t="e">
        <v>#N/A</v>
      </c>
      <c r="FK512" t="e">
        <v>#N/A</v>
      </c>
      <c r="FM512" t="e">
        <v>#N/A</v>
      </c>
      <c r="FO512" t="e">
        <v>#N/A</v>
      </c>
      <c r="FQ512" t="e">
        <v>#N/A</v>
      </c>
      <c r="FS512" t="e">
        <v>#N/A</v>
      </c>
      <c r="FU512" t="e">
        <v>#N/A</v>
      </c>
      <c r="FW512" t="e">
        <v>#N/A</v>
      </c>
      <c r="FY512" t="e">
        <v>#N/A</v>
      </c>
      <c r="GA512" t="e">
        <v>#N/A</v>
      </c>
      <c r="GC512" t="e">
        <v>#N/A</v>
      </c>
      <c r="GE512" t="e">
        <v>#N/A</v>
      </c>
      <c r="GG512" t="e">
        <v>#N/A</v>
      </c>
      <c r="GI512" t="e">
        <v>#N/A</v>
      </c>
      <c r="GK512" t="e">
        <v>#N/A</v>
      </c>
      <c r="GM512" t="e">
        <v>#N/A</v>
      </c>
      <c r="GO512" t="e">
        <v>#N/A</v>
      </c>
      <c r="GQ512" t="e">
        <v>#N/A</v>
      </c>
      <c r="GS512" t="e">
        <v>#N/A</v>
      </c>
      <c r="GU512" t="e">
        <v>#N/A</v>
      </c>
      <c r="GW512" t="e">
        <v>#N/A</v>
      </c>
      <c r="GY512" t="e">
        <v>#N/A</v>
      </c>
      <c r="HA512" t="e">
        <v>#N/A</v>
      </c>
      <c r="HC512">
        <v>0</v>
      </c>
      <c r="HD512">
        <v>0</v>
      </c>
      <c r="HE512">
        <v>0</v>
      </c>
      <c r="HF512">
        <v>0</v>
      </c>
      <c r="HG512">
        <v>0</v>
      </c>
      <c r="HH512">
        <v>0</v>
      </c>
      <c r="HI512">
        <v>0</v>
      </c>
      <c r="HJ512">
        <v>0</v>
      </c>
      <c r="HM512">
        <v>0</v>
      </c>
      <c r="HN512">
        <v>0</v>
      </c>
      <c r="HO512">
        <v>0</v>
      </c>
      <c r="HP512">
        <v>0</v>
      </c>
      <c r="HQ512">
        <v>0</v>
      </c>
      <c r="HR512">
        <v>0</v>
      </c>
      <c r="HS512">
        <v>0</v>
      </c>
      <c r="HT512">
        <v>0</v>
      </c>
      <c r="HW512">
        <v>0</v>
      </c>
      <c r="HX512">
        <v>0</v>
      </c>
      <c r="HY512">
        <v>0</v>
      </c>
      <c r="HZ512">
        <v>0</v>
      </c>
      <c r="IA512">
        <v>3930.6</v>
      </c>
      <c r="IB512">
        <v>3632.9</v>
      </c>
      <c r="IC512">
        <v>3795.5</v>
      </c>
      <c r="ID512">
        <v>0</v>
      </c>
      <c r="IE512">
        <v>0</v>
      </c>
      <c r="IF512">
        <v>3548.5</v>
      </c>
      <c r="IG512">
        <v>3395.2</v>
      </c>
      <c r="IH512">
        <v>3395.4</v>
      </c>
      <c r="II512">
        <v>3302.3</v>
      </c>
      <c r="IJ512">
        <v>3172.8</v>
      </c>
      <c r="IK512">
        <v>0</v>
      </c>
      <c r="IL512">
        <v>0</v>
      </c>
      <c r="IM512">
        <v>0</v>
      </c>
      <c r="IN512">
        <v>0</v>
      </c>
      <c r="IO512">
        <v>123.4</v>
      </c>
      <c r="IP512">
        <v>405.2</v>
      </c>
      <c r="IQ512">
        <v>418.7</v>
      </c>
      <c r="IR512">
        <v>0</v>
      </c>
      <c r="IS512">
        <v>0</v>
      </c>
      <c r="IT512">
        <v>0</v>
      </c>
      <c r="IU512">
        <v>0</v>
      </c>
      <c r="IV512">
        <v>396</v>
      </c>
      <c r="IW512">
        <v>0</v>
      </c>
      <c r="IX512">
        <v>0</v>
      </c>
      <c r="IZ512">
        <v>0</v>
      </c>
      <c r="JA512">
        <v>65.5</v>
      </c>
      <c r="JB512">
        <v>443.5</v>
      </c>
      <c r="JC512">
        <v>0</v>
      </c>
      <c r="JD512">
        <v>0</v>
      </c>
      <c r="JE512">
        <v>0</v>
      </c>
      <c r="JF512">
        <v>0</v>
      </c>
      <c r="JG512">
        <v>0</v>
      </c>
      <c r="JH512">
        <v>0</v>
      </c>
      <c r="JI512">
        <v>0</v>
      </c>
      <c r="JJ512">
        <v>0</v>
      </c>
      <c r="JK512">
        <v>0</v>
      </c>
      <c r="JL512">
        <v>0</v>
      </c>
      <c r="JM512">
        <v>0</v>
      </c>
      <c r="JN512">
        <v>0</v>
      </c>
      <c r="JO512">
        <v>0</v>
      </c>
      <c r="JP512">
        <v>0</v>
      </c>
      <c r="JQ512">
        <v>0</v>
      </c>
      <c r="JR512">
        <v>0</v>
      </c>
      <c r="JS512">
        <v>0</v>
      </c>
      <c r="JT512">
        <v>0</v>
      </c>
      <c r="JU512">
        <v>0</v>
      </c>
      <c r="JV512">
        <v>0</v>
      </c>
      <c r="JW512">
        <v>0</v>
      </c>
      <c r="JX512">
        <v>0</v>
      </c>
      <c r="JY512">
        <v>0</v>
      </c>
      <c r="JZ512">
        <v>0</v>
      </c>
      <c r="KA512">
        <v>0</v>
      </c>
      <c r="KB512">
        <v>0</v>
      </c>
      <c r="KC512">
        <v>0</v>
      </c>
      <c r="KD512">
        <v>0</v>
      </c>
      <c r="KE512">
        <v>0</v>
      </c>
      <c r="KF512">
        <v>0</v>
      </c>
      <c r="KI512">
        <v>344.6</v>
      </c>
      <c r="KJ512">
        <v>350.8</v>
      </c>
      <c r="KK512">
        <v>22.1</v>
      </c>
      <c r="KL512">
        <v>379.3</v>
      </c>
      <c r="KM512">
        <v>241.4</v>
      </c>
      <c r="KN512">
        <v>0</v>
      </c>
      <c r="KO512">
        <v>0</v>
      </c>
      <c r="KP512">
        <v>57.3</v>
      </c>
      <c r="KQ512">
        <v>224.4</v>
      </c>
      <c r="KR512">
        <v>338.3</v>
      </c>
      <c r="KS512">
        <v>215.8</v>
      </c>
      <c r="KT512">
        <v>40.700000000000003</v>
      </c>
      <c r="KW512">
        <v>2154.5</v>
      </c>
      <c r="KX512">
        <v>1255.7</v>
      </c>
      <c r="KY512">
        <v>1630.1</v>
      </c>
      <c r="KZ512">
        <v>1246.9000000000001</v>
      </c>
      <c r="LB512">
        <v>78.099999999999994</v>
      </c>
      <c r="LC512">
        <v>77.7</v>
      </c>
    </row>
    <row r="513" spans="1:315" ht="18" thickBot="1">
      <c r="A513" s="245"/>
      <c r="B513" s="4"/>
      <c r="C513" s="332" t="s">
        <v>752</v>
      </c>
      <c r="D513" s="286"/>
      <c r="E513" s="449">
        <v>0</v>
      </c>
      <c r="F513" s="209">
        <v>0</v>
      </c>
      <c r="G513" s="427">
        <v>3413.8</v>
      </c>
      <c r="H513" s="155"/>
      <c r="I513">
        <v>735</v>
      </c>
      <c r="K513">
        <v>1973.1000000000001</v>
      </c>
      <c r="L513" s="4">
        <v>221.60000000000002</v>
      </c>
      <c r="M513" s="4">
        <v>54.9</v>
      </c>
      <c r="N513" s="4">
        <v>1989.7</v>
      </c>
      <c r="P513">
        <v>0</v>
      </c>
      <c r="Q513">
        <v>238.29999999999998</v>
      </c>
      <c r="R513">
        <v>0</v>
      </c>
      <c r="S513">
        <v>0</v>
      </c>
      <c r="T513">
        <v>368.5</v>
      </c>
      <c r="W513">
        <v>720.3</v>
      </c>
      <c r="X513">
        <v>1411.5</v>
      </c>
      <c r="Y513">
        <v>96.5</v>
      </c>
      <c r="AA513">
        <v>859.6</v>
      </c>
      <c r="AB513">
        <v>1577.6000000000001</v>
      </c>
      <c r="AE513">
        <v>1330</v>
      </c>
      <c r="AF513">
        <v>1025.5</v>
      </c>
      <c r="AH513">
        <v>509.9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1349.3</v>
      </c>
      <c r="AO513">
        <v>786.40000000000009</v>
      </c>
      <c r="AP513">
        <v>0</v>
      </c>
      <c r="AQ513">
        <v>68.3</v>
      </c>
      <c r="AR513">
        <v>234.9</v>
      </c>
      <c r="AS513">
        <v>600.40000000000009</v>
      </c>
      <c r="AU513">
        <v>985.69999999999993</v>
      </c>
      <c r="AW513">
        <v>792</v>
      </c>
      <c r="AX513">
        <v>1988.5</v>
      </c>
      <c r="AZ513">
        <v>763.5</v>
      </c>
      <c r="BA513">
        <v>0</v>
      </c>
      <c r="BB513">
        <v>0</v>
      </c>
      <c r="BC513">
        <v>1935.3</v>
      </c>
      <c r="BD513">
        <v>1006.5</v>
      </c>
      <c r="BE513">
        <v>0</v>
      </c>
      <c r="BF513">
        <v>0</v>
      </c>
      <c r="BG513">
        <v>0</v>
      </c>
      <c r="BH513">
        <v>1662.6</v>
      </c>
      <c r="BJ513">
        <v>0</v>
      </c>
      <c r="BK513">
        <v>0</v>
      </c>
      <c r="BL513">
        <v>1038.9000000000001</v>
      </c>
      <c r="BM513">
        <v>1101</v>
      </c>
      <c r="BO513">
        <v>1276.8000000000002</v>
      </c>
      <c r="BQ513">
        <v>0</v>
      </c>
      <c r="BR513">
        <v>270.7</v>
      </c>
      <c r="BS513">
        <v>230.5</v>
      </c>
      <c r="BT513">
        <v>472.3</v>
      </c>
      <c r="BU513">
        <v>537.29999999999995</v>
      </c>
      <c r="BV513">
        <v>346.3</v>
      </c>
      <c r="BW513">
        <v>386.2</v>
      </c>
      <c r="BX513">
        <v>767</v>
      </c>
      <c r="BY513">
        <v>757.2</v>
      </c>
      <c r="BZ513">
        <v>1037.2</v>
      </c>
      <c r="CA513">
        <v>1227.0999999999999</v>
      </c>
      <c r="CB513">
        <v>1232.0999999999999</v>
      </c>
      <c r="CC513">
        <v>1701.5</v>
      </c>
      <c r="CD513">
        <v>0</v>
      </c>
      <c r="CG513">
        <v>1385.3</v>
      </c>
      <c r="CJ513">
        <v>1630.2999999999997</v>
      </c>
      <c r="CM513">
        <v>1184.2</v>
      </c>
      <c r="CO513">
        <v>1248.0999999999999</v>
      </c>
      <c r="CQ513">
        <v>1435.3</v>
      </c>
      <c r="CR513">
        <v>798.2</v>
      </c>
      <c r="CS513">
        <v>923.8</v>
      </c>
      <c r="CT513">
        <v>0</v>
      </c>
      <c r="CU513">
        <v>0</v>
      </c>
      <c r="CV513">
        <v>0</v>
      </c>
      <c r="CW513">
        <v>0</v>
      </c>
      <c r="CX513">
        <v>163.69999999999999</v>
      </c>
      <c r="CY513">
        <v>0</v>
      </c>
      <c r="CZ513">
        <v>0</v>
      </c>
      <c r="DA513">
        <v>0</v>
      </c>
      <c r="DB513">
        <v>0</v>
      </c>
      <c r="DC513">
        <v>0</v>
      </c>
      <c r="DD513">
        <v>0</v>
      </c>
      <c r="DE513">
        <v>0</v>
      </c>
      <c r="DI513">
        <v>0</v>
      </c>
      <c r="EC513">
        <v>0</v>
      </c>
      <c r="ED513">
        <v>0</v>
      </c>
      <c r="EE513">
        <v>0</v>
      </c>
      <c r="EF513">
        <v>0</v>
      </c>
      <c r="EG513">
        <v>0</v>
      </c>
      <c r="EH513">
        <v>0</v>
      </c>
      <c r="EI513">
        <v>0</v>
      </c>
      <c r="EJ513">
        <v>0</v>
      </c>
      <c r="EM513">
        <v>0</v>
      </c>
      <c r="EN513">
        <v>0</v>
      </c>
      <c r="EO513">
        <v>0</v>
      </c>
      <c r="EP513">
        <v>0</v>
      </c>
      <c r="EQ513">
        <v>0</v>
      </c>
      <c r="ER513">
        <v>0</v>
      </c>
      <c r="ES513">
        <v>0</v>
      </c>
      <c r="ET513">
        <v>0</v>
      </c>
      <c r="EW513">
        <v>0</v>
      </c>
      <c r="EX513">
        <v>0</v>
      </c>
      <c r="EY513">
        <v>0</v>
      </c>
      <c r="EZ513">
        <v>0</v>
      </c>
      <c r="FA513">
        <v>0</v>
      </c>
      <c r="FB513">
        <v>0</v>
      </c>
      <c r="FC513">
        <v>0</v>
      </c>
      <c r="FD513">
        <v>0</v>
      </c>
      <c r="FG513" t="e">
        <v>#N/A</v>
      </c>
      <c r="FI513" t="e">
        <v>#N/A</v>
      </c>
      <c r="FK513" t="e">
        <v>#N/A</v>
      </c>
      <c r="FM513" t="e">
        <v>#N/A</v>
      </c>
      <c r="FO513" t="e">
        <v>#N/A</v>
      </c>
      <c r="FQ513" t="e">
        <v>#N/A</v>
      </c>
      <c r="FS513" t="e">
        <v>#N/A</v>
      </c>
      <c r="FU513" t="e">
        <v>#N/A</v>
      </c>
      <c r="FW513" t="e">
        <v>#N/A</v>
      </c>
      <c r="FY513" t="e">
        <v>#N/A</v>
      </c>
      <c r="GA513" t="e">
        <v>#N/A</v>
      </c>
      <c r="GC513" t="e">
        <v>#N/A</v>
      </c>
      <c r="GE513" t="e">
        <v>#N/A</v>
      </c>
      <c r="GG513" t="e">
        <v>#N/A</v>
      </c>
      <c r="GI513" t="e">
        <v>#N/A</v>
      </c>
      <c r="GK513" t="e">
        <v>#N/A</v>
      </c>
      <c r="GM513" t="e">
        <v>#N/A</v>
      </c>
      <c r="GO513" t="e">
        <v>#N/A</v>
      </c>
      <c r="GQ513" t="e">
        <v>#N/A</v>
      </c>
      <c r="GS513" t="e">
        <v>#N/A</v>
      </c>
      <c r="GU513" t="e">
        <v>#N/A</v>
      </c>
      <c r="GW513" t="e">
        <v>#N/A</v>
      </c>
      <c r="GY513" t="e">
        <v>#N/A</v>
      </c>
      <c r="HA513" t="e">
        <v>#N/A</v>
      </c>
      <c r="HC513">
        <v>0</v>
      </c>
      <c r="HD513">
        <v>0</v>
      </c>
      <c r="HE513">
        <v>0</v>
      </c>
      <c r="HF513">
        <v>0</v>
      </c>
      <c r="HG513">
        <v>0</v>
      </c>
      <c r="HH513">
        <v>0</v>
      </c>
      <c r="HI513">
        <v>0</v>
      </c>
      <c r="HJ513">
        <v>0</v>
      </c>
      <c r="HM513">
        <v>0</v>
      </c>
      <c r="HN513">
        <v>0</v>
      </c>
      <c r="HO513">
        <v>0</v>
      </c>
      <c r="HP513">
        <v>0</v>
      </c>
      <c r="HQ513">
        <v>0</v>
      </c>
      <c r="HR513">
        <v>0</v>
      </c>
      <c r="HS513">
        <v>0</v>
      </c>
      <c r="HT513">
        <v>0</v>
      </c>
      <c r="HW513">
        <v>0</v>
      </c>
      <c r="HX513">
        <v>0</v>
      </c>
      <c r="HY513">
        <v>0</v>
      </c>
      <c r="HZ513">
        <v>0</v>
      </c>
      <c r="IA513">
        <v>3930.6</v>
      </c>
      <c r="IB513">
        <v>3632.9</v>
      </c>
      <c r="IC513">
        <v>3795.5</v>
      </c>
      <c r="ID513">
        <v>0</v>
      </c>
      <c r="IE513">
        <v>0</v>
      </c>
      <c r="IF513">
        <v>3548.5</v>
      </c>
      <c r="IG513">
        <v>3395.2</v>
      </c>
      <c r="IH513">
        <v>3395.4</v>
      </c>
      <c r="II513">
        <v>3302.3</v>
      </c>
      <c r="IJ513">
        <v>3172.8</v>
      </c>
      <c r="IK513">
        <v>0</v>
      </c>
      <c r="IL513">
        <v>0</v>
      </c>
      <c r="IM513">
        <v>0</v>
      </c>
      <c r="IN513">
        <v>0</v>
      </c>
      <c r="IO513">
        <v>123.4</v>
      </c>
      <c r="IP513">
        <v>405.2</v>
      </c>
      <c r="IQ513">
        <v>418.7</v>
      </c>
      <c r="IR513">
        <v>0</v>
      </c>
      <c r="IS513">
        <v>0</v>
      </c>
      <c r="IT513">
        <v>0</v>
      </c>
      <c r="IU513">
        <v>0</v>
      </c>
      <c r="IV513">
        <v>396</v>
      </c>
      <c r="IW513">
        <v>0</v>
      </c>
      <c r="IX513">
        <v>0</v>
      </c>
      <c r="IZ513">
        <v>0</v>
      </c>
      <c r="JA513">
        <v>65.5</v>
      </c>
      <c r="JB513">
        <v>443.5</v>
      </c>
      <c r="JC513">
        <v>0</v>
      </c>
      <c r="JD513">
        <v>0</v>
      </c>
      <c r="JE513">
        <v>0</v>
      </c>
      <c r="JF513">
        <v>0</v>
      </c>
      <c r="JG513">
        <v>0</v>
      </c>
      <c r="JH513">
        <v>0</v>
      </c>
      <c r="JI513">
        <v>0</v>
      </c>
      <c r="JJ513">
        <v>0</v>
      </c>
      <c r="JK513">
        <v>0</v>
      </c>
      <c r="JL513">
        <v>0</v>
      </c>
      <c r="JM513">
        <v>0</v>
      </c>
      <c r="JN513">
        <v>0</v>
      </c>
      <c r="JO513">
        <v>0</v>
      </c>
      <c r="JP513">
        <v>0</v>
      </c>
      <c r="JQ513">
        <v>0</v>
      </c>
      <c r="JR513">
        <v>0</v>
      </c>
      <c r="JS513">
        <v>0</v>
      </c>
      <c r="JT513">
        <v>0</v>
      </c>
      <c r="JU513">
        <v>0</v>
      </c>
      <c r="JV513">
        <v>0</v>
      </c>
      <c r="JW513">
        <v>0</v>
      </c>
      <c r="JX513">
        <v>0</v>
      </c>
      <c r="JY513">
        <v>0</v>
      </c>
      <c r="JZ513">
        <v>0</v>
      </c>
      <c r="KA513">
        <v>0</v>
      </c>
      <c r="KB513">
        <v>0</v>
      </c>
      <c r="KC513">
        <v>0</v>
      </c>
      <c r="KD513">
        <v>0</v>
      </c>
      <c r="KE513">
        <v>0</v>
      </c>
      <c r="KF513">
        <v>0</v>
      </c>
      <c r="KI513">
        <v>344.6</v>
      </c>
      <c r="KJ513">
        <v>350.8</v>
      </c>
      <c r="KK513">
        <v>22.1</v>
      </c>
      <c r="KL513">
        <v>379.3</v>
      </c>
      <c r="KM513">
        <v>241.4</v>
      </c>
      <c r="KN513">
        <v>0</v>
      </c>
      <c r="KO513">
        <v>0</v>
      </c>
      <c r="KP513">
        <v>57.3</v>
      </c>
      <c r="KQ513">
        <v>224.4</v>
      </c>
      <c r="KR513">
        <v>338.3</v>
      </c>
      <c r="KS513">
        <v>215.8</v>
      </c>
      <c r="KT513">
        <v>40.700000000000003</v>
      </c>
      <c r="KW513">
        <v>2154.5</v>
      </c>
      <c r="KX513">
        <v>1255.7</v>
      </c>
      <c r="KY513">
        <v>1630.1</v>
      </c>
      <c r="KZ513">
        <v>1246.9000000000001</v>
      </c>
      <c r="LB513">
        <v>78.099999999999994</v>
      </c>
      <c r="LC513">
        <v>77.7</v>
      </c>
    </row>
    <row r="514" spans="1:315" ht="18" thickBot="1">
      <c r="A514" s="245"/>
      <c r="B514" s="4"/>
      <c r="C514" s="332" t="s">
        <v>753</v>
      </c>
      <c r="D514" s="286"/>
      <c r="E514" s="449">
        <v>0</v>
      </c>
      <c r="F514" s="209">
        <v>0</v>
      </c>
      <c r="G514" s="427">
        <v>3413.8</v>
      </c>
      <c r="H514" s="155"/>
      <c r="I514">
        <v>735</v>
      </c>
      <c r="K514">
        <v>1973.1000000000001</v>
      </c>
      <c r="L514" s="4">
        <v>221.60000000000002</v>
      </c>
      <c r="M514" s="4">
        <v>54.9</v>
      </c>
      <c r="N514" s="4">
        <v>1989.7</v>
      </c>
      <c r="P514">
        <v>0</v>
      </c>
      <c r="Q514">
        <v>238.29999999999998</v>
      </c>
      <c r="R514">
        <v>0</v>
      </c>
      <c r="S514">
        <v>0</v>
      </c>
      <c r="T514">
        <v>368.5</v>
      </c>
      <c r="W514">
        <v>720.3</v>
      </c>
      <c r="X514">
        <v>1411.5</v>
      </c>
      <c r="Y514">
        <v>96.5</v>
      </c>
      <c r="AA514">
        <v>859.6</v>
      </c>
      <c r="AB514">
        <v>1577.6000000000001</v>
      </c>
      <c r="AE514">
        <v>1330</v>
      </c>
      <c r="AF514">
        <v>1025.5</v>
      </c>
      <c r="AH514">
        <v>509.9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1349.3</v>
      </c>
      <c r="AO514">
        <v>786.40000000000009</v>
      </c>
      <c r="AP514">
        <v>0</v>
      </c>
      <c r="AQ514">
        <v>68.3</v>
      </c>
      <c r="AR514">
        <v>234.9</v>
      </c>
      <c r="AS514">
        <v>600.40000000000009</v>
      </c>
      <c r="AU514">
        <v>985.69999999999993</v>
      </c>
      <c r="AW514">
        <v>792</v>
      </c>
      <c r="AX514">
        <v>1988.5</v>
      </c>
      <c r="AZ514">
        <v>763.5</v>
      </c>
      <c r="BA514">
        <v>0</v>
      </c>
      <c r="BB514">
        <v>0</v>
      </c>
      <c r="BC514">
        <v>1935.3</v>
      </c>
      <c r="BD514">
        <v>1006.5</v>
      </c>
      <c r="BE514">
        <v>0</v>
      </c>
      <c r="BF514">
        <v>0</v>
      </c>
      <c r="BG514">
        <v>0</v>
      </c>
      <c r="BH514">
        <v>1662.6</v>
      </c>
      <c r="BJ514">
        <v>0</v>
      </c>
      <c r="BK514">
        <v>0</v>
      </c>
      <c r="BL514">
        <v>1038.9000000000001</v>
      </c>
      <c r="BM514">
        <v>1101</v>
      </c>
      <c r="BO514">
        <v>1276.8000000000002</v>
      </c>
      <c r="BQ514">
        <v>0</v>
      </c>
      <c r="BR514">
        <v>270.7</v>
      </c>
      <c r="BS514">
        <v>230.5</v>
      </c>
      <c r="BT514">
        <v>472.3</v>
      </c>
      <c r="BU514">
        <v>537.29999999999995</v>
      </c>
      <c r="BV514">
        <v>346.3</v>
      </c>
      <c r="BW514">
        <v>386.2</v>
      </c>
      <c r="BX514">
        <v>767</v>
      </c>
      <c r="BY514">
        <v>757.2</v>
      </c>
      <c r="BZ514">
        <v>1037.2</v>
      </c>
      <c r="CA514">
        <v>1227.0999999999999</v>
      </c>
      <c r="CB514">
        <v>1232.0999999999999</v>
      </c>
      <c r="CC514">
        <v>1701.5</v>
      </c>
      <c r="CD514">
        <v>0</v>
      </c>
      <c r="CG514">
        <v>1385.3</v>
      </c>
      <c r="CJ514">
        <v>1630.2999999999997</v>
      </c>
      <c r="CM514">
        <v>1184.2</v>
      </c>
      <c r="CO514">
        <v>1248.0999999999999</v>
      </c>
      <c r="CQ514">
        <v>1435.3</v>
      </c>
      <c r="CR514">
        <v>798.2</v>
      </c>
      <c r="CS514">
        <v>923.8</v>
      </c>
      <c r="CT514">
        <v>0</v>
      </c>
      <c r="CU514">
        <v>0</v>
      </c>
      <c r="CV514">
        <v>0</v>
      </c>
      <c r="CW514">
        <v>0</v>
      </c>
      <c r="CX514">
        <v>163.69999999999999</v>
      </c>
      <c r="CY514">
        <v>0</v>
      </c>
      <c r="CZ514">
        <v>0</v>
      </c>
      <c r="DA514">
        <v>0</v>
      </c>
      <c r="DB514">
        <v>0</v>
      </c>
      <c r="DC514">
        <v>0</v>
      </c>
      <c r="DD514">
        <v>0</v>
      </c>
      <c r="DE514">
        <v>0</v>
      </c>
      <c r="DI514">
        <v>0</v>
      </c>
      <c r="EC514">
        <v>0</v>
      </c>
      <c r="ED514">
        <v>0</v>
      </c>
      <c r="EE514">
        <v>0</v>
      </c>
      <c r="EF514">
        <v>0</v>
      </c>
      <c r="EG514">
        <v>0</v>
      </c>
      <c r="EH514">
        <v>0</v>
      </c>
      <c r="EI514">
        <v>0</v>
      </c>
      <c r="EJ514">
        <v>0</v>
      </c>
      <c r="EM514">
        <v>0</v>
      </c>
      <c r="EN514">
        <v>0</v>
      </c>
      <c r="EO514">
        <v>0</v>
      </c>
      <c r="EP514">
        <v>0</v>
      </c>
      <c r="EQ514">
        <v>0</v>
      </c>
      <c r="ER514">
        <v>0</v>
      </c>
      <c r="ES514">
        <v>0</v>
      </c>
      <c r="ET514">
        <v>0</v>
      </c>
      <c r="EW514">
        <v>0</v>
      </c>
      <c r="EX514">
        <v>0</v>
      </c>
      <c r="EY514">
        <v>0</v>
      </c>
      <c r="EZ514">
        <v>0</v>
      </c>
      <c r="FA514">
        <v>0</v>
      </c>
      <c r="FB514">
        <v>0</v>
      </c>
      <c r="FC514">
        <v>0</v>
      </c>
      <c r="FD514">
        <v>0</v>
      </c>
      <c r="FG514" t="e">
        <v>#N/A</v>
      </c>
      <c r="FI514" t="e">
        <v>#N/A</v>
      </c>
      <c r="FK514" t="e">
        <v>#N/A</v>
      </c>
      <c r="FM514" t="e">
        <v>#N/A</v>
      </c>
      <c r="FO514" t="e">
        <v>#N/A</v>
      </c>
      <c r="FQ514" t="e">
        <v>#N/A</v>
      </c>
      <c r="FS514" t="e">
        <v>#N/A</v>
      </c>
      <c r="FU514" t="e">
        <v>#N/A</v>
      </c>
      <c r="FW514" t="e">
        <v>#N/A</v>
      </c>
      <c r="FY514" t="e">
        <v>#N/A</v>
      </c>
      <c r="GA514" t="e">
        <v>#N/A</v>
      </c>
      <c r="GC514" t="e">
        <v>#N/A</v>
      </c>
      <c r="GE514" t="e">
        <v>#N/A</v>
      </c>
      <c r="GG514" t="e">
        <v>#N/A</v>
      </c>
      <c r="GI514" t="e">
        <v>#N/A</v>
      </c>
      <c r="GK514" t="e">
        <v>#N/A</v>
      </c>
      <c r="GM514" t="e">
        <v>#N/A</v>
      </c>
      <c r="GO514" t="e">
        <v>#N/A</v>
      </c>
      <c r="GQ514" t="e">
        <v>#N/A</v>
      </c>
      <c r="GS514" t="e">
        <v>#N/A</v>
      </c>
      <c r="GU514" t="e">
        <v>#N/A</v>
      </c>
      <c r="GW514" t="e">
        <v>#N/A</v>
      </c>
      <c r="GY514" t="e">
        <v>#N/A</v>
      </c>
      <c r="HA514" t="e">
        <v>#N/A</v>
      </c>
      <c r="HC514">
        <v>0</v>
      </c>
      <c r="HD514">
        <v>0</v>
      </c>
      <c r="HE514">
        <v>0</v>
      </c>
      <c r="HF514">
        <v>0</v>
      </c>
      <c r="HG514">
        <v>0</v>
      </c>
      <c r="HH514">
        <v>0</v>
      </c>
      <c r="HI514">
        <v>0</v>
      </c>
      <c r="HJ514">
        <v>0</v>
      </c>
      <c r="HM514">
        <v>0</v>
      </c>
      <c r="HN514">
        <v>0</v>
      </c>
      <c r="HO514">
        <v>0</v>
      </c>
      <c r="HP514">
        <v>0</v>
      </c>
      <c r="HQ514">
        <v>0</v>
      </c>
      <c r="HR514">
        <v>0</v>
      </c>
      <c r="HS514">
        <v>0</v>
      </c>
      <c r="HT514">
        <v>0</v>
      </c>
      <c r="HW514">
        <v>0</v>
      </c>
      <c r="HX514">
        <v>0</v>
      </c>
      <c r="HY514">
        <v>0</v>
      </c>
      <c r="HZ514">
        <v>0</v>
      </c>
      <c r="IA514">
        <v>3930.6</v>
      </c>
      <c r="IB514">
        <v>3632.9</v>
      </c>
      <c r="IC514">
        <v>3795.5</v>
      </c>
      <c r="ID514">
        <v>0</v>
      </c>
      <c r="IE514">
        <v>0</v>
      </c>
      <c r="IF514">
        <v>3548.5</v>
      </c>
      <c r="IG514">
        <v>3395.2</v>
      </c>
      <c r="IH514">
        <v>3395.4</v>
      </c>
      <c r="II514">
        <v>3302.3</v>
      </c>
      <c r="IJ514">
        <v>3172.8</v>
      </c>
      <c r="IK514">
        <v>0</v>
      </c>
      <c r="IL514">
        <v>0</v>
      </c>
      <c r="IM514">
        <v>0</v>
      </c>
      <c r="IN514">
        <v>0</v>
      </c>
      <c r="IO514">
        <v>123.4</v>
      </c>
      <c r="IP514">
        <v>405.2</v>
      </c>
      <c r="IQ514">
        <v>418.7</v>
      </c>
      <c r="IR514">
        <v>0</v>
      </c>
      <c r="IS514">
        <v>0</v>
      </c>
      <c r="IT514">
        <v>0</v>
      </c>
      <c r="IU514">
        <v>0</v>
      </c>
      <c r="IV514">
        <v>396</v>
      </c>
      <c r="IW514">
        <v>0</v>
      </c>
      <c r="IX514">
        <v>0</v>
      </c>
      <c r="IZ514">
        <v>0</v>
      </c>
      <c r="JA514">
        <v>65.5</v>
      </c>
      <c r="JB514">
        <v>443.5</v>
      </c>
      <c r="JC514">
        <v>0</v>
      </c>
      <c r="JD514">
        <v>0</v>
      </c>
      <c r="JE514">
        <v>0</v>
      </c>
      <c r="JF514">
        <v>0</v>
      </c>
      <c r="JG514">
        <v>0</v>
      </c>
      <c r="JH514">
        <v>0</v>
      </c>
      <c r="JI514">
        <v>0</v>
      </c>
      <c r="JJ514">
        <v>0</v>
      </c>
      <c r="JK514">
        <v>0</v>
      </c>
      <c r="JL514">
        <v>0</v>
      </c>
      <c r="JM514">
        <v>0</v>
      </c>
      <c r="JN514">
        <v>0</v>
      </c>
      <c r="JO514">
        <v>0</v>
      </c>
      <c r="JP514">
        <v>0</v>
      </c>
      <c r="JQ514">
        <v>0</v>
      </c>
      <c r="JR514">
        <v>0</v>
      </c>
      <c r="JS514">
        <v>0</v>
      </c>
      <c r="JT514">
        <v>0</v>
      </c>
      <c r="JU514">
        <v>0</v>
      </c>
      <c r="JV514">
        <v>0</v>
      </c>
      <c r="JW514">
        <v>0</v>
      </c>
      <c r="JX514">
        <v>0</v>
      </c>
      <c r="JY514">
        <v>0</v>
      </c>
      <c r="JZ514">
        <v>0</v>
      </c>
      <c r="KA514">
        <v>0</v>
      </c>
      <c r="KB514">
        <v>0</v>
      </c>
      <c r="KC514">
        <v>0</v>
      </c>
      <c r="KD514">
        <v>0</v>
      </c>
      <c r="KE514">
        <v>0</v>
      </c>
      <c r="KF514">
        <v>0</v>
      </c>
      <c r="KI514">
        <v>344.6</v>
      </c>
      <c r="KJ514">
        <v>350.8</v>
      </c>
      <c r="KK514">
        <v>22.1</v>
      </c>
      <c r="KL514">
        <v>379.3</v>
      </c>
      <c r="KM514">
        <v>241.4</v>
      </c>
      <c r="KN514">
        <v>0</v>
      </c>
      <c r="KO514">
        <v>0</v>
      </c>
      <c r="KP514">
        <v>57.3</v>
      </c>
      <c r="KQ514">
        <v>224.4</v>
      </c>
      <c r="KR514">
        <v>338.3</v>
      </c>
      <c r="KS514">
        <v>215.8</v>
      </c>
      <c r="KT514">
        <v>40.700000000000003</v>
      </c>
      <c r="KW514">
        <v>2154.5</v>
      </c>
      <c r="KX514">
        <v>1255.7</v>
      </c>
      <c r="KY514">
        <v>1630.1</v>
      </c>
      <c r="KZ514">
        <v>1246.9000000000001</v>
      </c>
      <c r="LB514">
        <v>78.099999999999994</v>
      </c>
      <c r="LC514">
        <v>77.7</v>
      </c>
    </row>
    <row r="515" spans="1:315" ht="18" thickBot="1">
      <c r="A515" s="245"/>
      <c r="B515" s="4"/>
      <c r="C515" s="339" t="s">
        <v>890</v>
      </c>
      <c r="D515" s="295"/>
      <c r="E515" s="449">
        <v>0</v>
      </c>
      <c r="F515" s="211">
        <v>0</v>
      </c>
      <c r="G515" s="427">
        <v>3413.8</v>
      </c>
      <c r="H515" s="155"/>
      <c r="I515">
        <v>735</v>
      </c>
      <c r="K515">
        <v>1973.1000000000001</v>
      </c>
      <c r="L515" s="4">
        <v>221.60000000000002</v>
      </c>
      <c r="M515" s="4">
        <v>54.9</v>
      </c>
      <c r="N515" s="4">
        <v>1989.7</v>
      </c>
      <c r="P515">
        <v>0</v>
      </c>
      <c r="Q515">
        <v>238.29999999999998</v>
      </c>
      <c r="R515">
        <v>0</v>
      </c>
      <c r="S515">
        <v>0</v>
      </c>
      <c r="T515">
        <v>368.5</v>
      </c>
      <c r="W515">
        <v>720.3</v>
      </c>
      <c r="X515">
        <v>1411.5</v>
      </c>
      <c r="Y515">
        <v>96.5</v>
      </c>
      <c r="AA515">
        <v>859.6</v>
      </c>
      <c r="AB515">
        <v>1577.6000000000001</v>
      </c>
      <c r="AE515">
        <v>1330</v>
      </c>
      <c r="AF515">
        <v>1025.5</v>
      </c>
      <c r="AH515">
        <v>509.9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1349.3</v>
      </c>
      <c r="AO515">
        <v>786.40000000000009</v>
      </c>
      <c r="AP515">
        <v>0</v>
      </c>
      <c r="AQ515">
        <v>68.3</v>
      </c>
      <c r="AR515">
        <v>234.9</v>
      </c>
      <c r="AS515">
        <v>600.40000000000009</v>
      </c>
      <c r="AU515">
        <v>985.69999999999993</v>
      </c>
      <c r="AW515">
        <v>792</v>
      </c>
      <c r="AX515">
        <v>1988.5</v>
      </c>
      <c r="AZ515">
        <v>763.5</v>
      </c>
      <c r="BA515">
        <v>0</v>
      </c>
      <c r="BB515">
        <v>0</v>
      </c>
      <c r="BC515">
        <v>1935.3</v>
      </c>
      <c r="BD515">
        <v>1006.5</v>
      </c>
      <c r="BE515">
        <v>0</v>
      </c>
      <c r="BF515">
        <v>0</v>
      </c>
      <c r="BG515">
        <v>0</v>
      </c>
      <c r="BH515">
        <v>1662.6</v>
      </c>
      <c r="BJ515">
        <v>0</v>
      </c>
      <c r="BK515">
        <v>0</v>
      </c>
      <c r="BL515">
        <v>1038.9000000000001</v>
      </c>
      <c r="BM515">
        <v>1101</v>
      </c>
      <c r="BO515">
        <v>1276.8000000000002</v>
      </c>
      <c r="BQ515">
        <v>0</v>
      </c>
      <c r="BR515">
        <v>270.7</v>
      </c>
      <c r="BS515">
        <v>230.5</v>
      </c>
      <c r="BT515">
        <v>472.3</v>
      </c>
      <c r="BU515">
        <v>537.29999999999995</v>
      </c>
      <c r="BV515">
        <v>346.3</v>
      </c>
      <c r="BW515">
        <v>386.2</v>
      </c>
      <c r="BX515">
        <v>767</v>
      </c>
      <c r="BY515">
        <v>757.2</v>
      </c>
      <c r="BZ515">
        <v>1037.2</v>
      </c>
      <c r="CA515">
        <v>1227.0999999999999</v>
      </c>
      <c r="CB515">
        <v>1232.0999999999999</v>
      </c>
      <c r="CC515">
        <v>1701.5</v>
      </c>
      <c r="CD515">
        <v>0</v>
      </c>
      <c r="CG515">
        <v>1385.3</v>
      </c>
      <c r="CJ515">
        <v>1630.2999999999997</v>
      </c>
      <c r="CM515">
        <v>1184.2</v>
      </c>
      <c r="CO515">
        <v>1248.0999999999999</v>
      </c>
      <c r="CQ515">
        <v>1435.3</v>
      </c>
      <c r="CR515">
        <v>798.2</v>
      </c>
      <c r="CS515">
        <v>923.8</v>
      </c>
      <c r="CT515">
        <v>0</v>
      </c>
      <c r="CU515">
        <v>0</v>
      </c>
      <c r="CV515">
        <v>0</v>
      </c>
      <c r="CW515">
        <v>0</v>
      </c>
      <c r="CX515">
        <v>163.69999999999999</v>
      </c>
      <c r="CY515">
        <v>0</v>
      </c>
      <c r="CZ515">
        <v>0</v>
      </c>
      <c r="DA515">
        <v>0</v>
      </c>
      <c r="DB515">
        <v>0</v>
      </c>
      <c r="DC515">
        <v>0</v>
      </c>
      <c r="DD515">
        <v>0</v>
      </c>
      <c r="DE515">
        <v>0</v>
      </c>
      <c r="DI515">
        <v>0</v>
      </c>
      <c r="EC515">
        <v>0</v>
      </c>
      <c r="ED515">
        <v>0</v>
      </c>
      <c r="EE515">
        <v>0</v>
      </c>
      <c r="EF515">
        <v>0</v>
      </c>
      <c r="EG515">
        <v>0</v>
      </c>
      <c r="EH515">
        <v>0</v>
      </c>
      <c r="EI515">
        <v>0</v>
      </c>
      <c r="EJ515">
        <v>0</v>
      </c>
      <c r="EM515">
        <v>0</v>
      </c>
      <c r="EN515">
        <v>0</v>
      </c>
      <c r="EO515">
        <v>0</v>
      </c>
      <c r="EP515">
        <v>0</v>
      </c>
      <c r="EQ515">
        <v>0</v>
      </c>
      <c r="ER515">
        <v>0</v>
      </c>
      <c r="ES515">
        <v>0</v>
      </c>
      <c r="ET515">
        <v>0</v>
      </c>
      <c r="EW515">
        <v>0</v>
      </c>
      <c r="EX515">
        <v>0</v>
      </c>
      <c r="EY515">
        <v>0</v>
      </c>
      <c r="EZ515">
        <v>0</v>
      </c>
      <c r="FA515">
        <v>0</v>
      </c>
      <c r="FB515">
        <v>0</v>
      </c>
      <c r="FC515">
        <v>0</v>
      </c>
      <c r="FD515">
        <v>0</v>
      </c>
      <c r="FG515" t="e">
        <v>#N/A</v>
      </c>
      <c r="FI515" t="e">
        <v>#N/A</v>
      </c>
      <c r="FK515" t="e">
        <v>#N/A</v>
      </c>
      <c r="FM515" t="e">
        <v>#N/A</v>
      </c>
      <c r="FO515" t="e">
        <v>#N/A</v>
      </c>
      <c r="FQ515" t="e">
        <v>#N/A</v>
      </c>
      <c r="FS515" t="e">
        <v>#N/A</v>
      </c>
      <c r="FU515" t="e">
        <v>#N/A</v>
      </c>
      <c r="FW515" t="e">
        <v>#N/A</v>
      </c>
      <c r="FY515" t="e">
        <v>#N/A</v>
      </c>
      <c r="GA515" t="e">
        <v>#N/A</v>
      </c>
      <c r="GC515" t="e">
        <v>#N/A</v>
      </c>
      <c r="GE515" t="e">
        <v>#N/A</v>
      </c>
      <c r="GG515" t="e">
        <v>#N/A</v>
      </c>
      <c r="GI515" t="e">
        <v>#N/A</v>
      </c>
      <c r="GK515" t="e">
        <v>#N/A</v>
      </c>
      <c r="GM515" t="e">
        <v>#N/A</v>
      </c>
      <c r="GO515" t="e">
        <v>#N/A</v>
      </c>
      <c r="GQ515" t="e">
        <v>#N/A</v>
      </c>
      <c r="GS515" t="e">
        <v>#N/A</v>
      </c>
      <c r="GU515" t="e">
        <v>#N/A</v>
      </c>
      <c r="GW515" t="e">
        <v>#N/A</v>
      </c>
      <c r="GY515" t="e">
        <v>#N/A</v>
      </c>
      <c r="HA515" t="e">
        <v>#N/A</v>
      </c>
      <c r="HC515">
        <v>0</v>
      </c>
      <c r="HD515">
        <v>0</v>
      </c>
      <c r="HE515">
        <v>0</v>
      </c>
      <c r="HF515">
        <v>0</v>
      </c>
      <c r="HG515">
        <v>0</v>
      </c>
      <c r="HH515">
        <v>0</v>
      </c>
      <c r="HI515">
        <v>0</v>
      </c>
      <c r="HJ515">
        <v>0</v>
      </c>
      <c r="HM515">
        <v>0</v>
      </c>
      <c r="HN515">
        <v>0</v>
      </c>
      <c r="HO515">
        <v>0</v>
      </c>
      <c r="HP515">
        <v>0</v>
      </c>
      <c r="HQ515">
        <v>0</v>
      </c>
      <c r="HR515">
        <v>0</v>
      </c>
      <c r="HS515">
        <v>0</v>
      </c>
      <c r="HT515">
        <v>0</v>
      </c>
      <c r="HW515">
        <v>0</v>
      </c>
      <c r="HX515">
        <v>0</v>
      </c>
      <c r="HY515">
        <v>0</v>
      </c>
      <c r="HZ515">
        <v>0</v>
      </c>
      <c r="IA515">
        <v>3930.6</v>
      </c>
      <c r="IB515">
        <v>3632.9</v>
      </c>
      <c r="IC515">
        <v>3795.5</v>
      </c>
      <c r="ID515">
        <v>0</v>
      </c>
      <c r="IE515">
        <v>0</v>
      </c>
      <c r="IF515">
        <v>3548.5</v>
      </c>
      <c r="IG515">
        <v>3395.2</v>
      </c>
      <c r="IH515">
        <v>3395.4</v>
      </c>
      <c r="II515">
        <v>3302.3</v>
      </c>
      <c r="IJ515">
        <v>3172.8</v>
      </c>
      <c r="IK515">
        <v>0</v>
      </c>
      <c r="IL515">
        <v>0</v>
      </c>
      <c r="IM515">
        <v>0</v>
      </c>
      <c r="IN515">
        <v>0</v>
      </c>
      <c r="IO515">
        <v>123.4</v>
      </c>
      <c r="IP515">
        <v>405.2</v>
      </c>
      <c r="IQ515">
        <v>418.7</v>
      </c>
      <c r="IR515">
        <v>0</v>
      </c>
      <c r="IS515">
        <v>0</v>
      </c>
      <c r="IT515">
        <v>0</v>
      </c>
      <c r="IU515">
        <v>0</v>
      </c>
      <c r="IV515">
        <v>396</v>
      </c>
      <c r="IW515">
        <v>0</v>
      </c>
      <c r="IX515">
        <v>0</v>
      </c>
      <c r="IZ515">
        <v>0</v>
      </c>
      <c r="JA515">
        <v>65.5</v>
      </c>
      <c r="JB515">
        <v>443.5</v>
      </c>
      <c r="JC515">
        <v>0</v>
      </c>
      <c r="JD515">
        <v>0</v>
      </c>
      <c r="JE515">
        <v>0</v>
      </c>
      <c r="JF515">
        <v>0</v>
      </c>
      <c r="JG515">
        <v>0</v>
      </c>
      <c r="JH515">
        <v>0</v>
      </c>
      <c r="JI515">
        <v>0</v>
      </c>
      <c r="JJ515">
        <v>0</v>
      </c>
      <c r="JK515">
        <v>0</v>
      </c>
      <c r="JL515">
        <v>0</v>
      </c>
      <c r="JM515">
        <v>0</v>
      </c>
      <c r="JN515">
        <v>0</v>
      </c>
      <c r="JO515">
        <v>0</v>
      </c>
      <c r="JP515">
        <v>0</v>
      </c>
      <c r="JQ515">
        <v>0</v>
      </c>
      <c r="JR515">
        <v>0</v>
      </c>
      <c r="JS515">
        <v>0</v>
      </c>
      <c r="JT515">
        <v>0</v>
      </c>
      <c r="JU515">
        <v>0</v>
      </c>
      <c r="JV515">
        <v>0</v>
      </c>
      <c r="JW515">
        <v>0</v>
      </c>
      <c r="JX515">
        <v>0</v>
      </c>
      <c r="JY515">
        <v>0</v>
      </c>
      <c r="JZ515">
        <v>0</v>
      </c>
      <c r="KA515">
        <v>0</v>
      </c>
      <c r="KB515">
        <v>0</v>
      </c>
      <c r="KC515">
        <v>0</v>
      </c>
      <c r="KD515">
        <v>0</v>
      </c>
      <c r="KE515">
        <v>0</v>
      </c>
      <c r="KF515">
        <v>0</v>
      </c>
      <c r="KI515">
        <v>344.6</v>
      </c>
      <c r="KJ515">
        <v>350.8</v>
      </c>
      <c r="KK515">
        <v>22.1</v>
      </c>
      <c r="KL515">
        <v>379.3</v>
      </c>
      <c r="KM515">
        <v>241.4</v>
      </c>
      <c r="KN515">
        <v>0</v>
      </c>
      <c r="KO515">
        <v>0</v>
      </c>
      <c r="KP515">
        <v>57.3</v>
      </c>
      <c r="KQ515">
        <v>224.4</v>
      </c>
      <c r="KR515">
        <v>338.3</v>
      </c>
      <c r="KS515">
        <v>215.8</v>
      </c>
      <c r="KT515">
        <v>40.700000000000003</v>
      </c>
      <c r="KW515">
        <v>2154.5</v>
      </c>
      <c r="KX515">
        <v>1255.7</v>
      </c>
      <c r="KY515">
        <v>1630.1</v>
      </c>
      <c r="KZ515">
        <v>1246.9000000000001</v>
      </c>
      <c r="LB515">
        <v>78.099999999999994</v>
      </c>
      <c r="LC515">
        <v>77.7</v>
      </c>
    </row>
    <row r="516" spans="1:315" ht="18" thickBot="1">
      <c r="A516" s="245"/>
      <c r="B516" s="4"/>
      <c r="C516" s="332" t="s">
        <v>754</v>
      </c>
      <c r="D516" s="286"/>
      <c r="E516" s="449">
        <v>0</v>
      </c>
      <c r="F516" s="209">
        <v>0</v>
      </c>
      <c r="G516" s="427">
        <v>3413.8</v>
      </c>
      <c r="H516" s="155"/>
      <c r="I516">
        <v>735</v>
      </c>
      <c r="K516">
        <v>1973.1000000000001</v>
      </c>
      <c r="L516" s="4">
        <v>221.60000000000002</v>
      </c>
      <c r="M516" s="4">
        <v>54.9</v>
      </c>
      <c r="N516" s="4">
        <v>1989.7</v>
      </c>
      <c r="P516">
        <v>0</v>
      </c>
      <c r="Q516">
        <v>238.29999999999998</v>
      </c>
      <c r="R516">
        <v>0</v>
      </c>
      <c r="S516">
        <v>0</v>
      </c>
      <c r="T516">
        <v>368.5</v>
      </c>
      <c r="W516">
        <v>720.3</v>
      </c>
      <c r="X516">
        <v>1411.5</v>
      </c>
      <c r="Y516">
        <v>96.5</v>
      </c>
      <c r="AA516">
        <v>859.6</v>
      </c>
      <c r="AB516">
        <v>1577.6000000000001</v>
      </c>
      <c r="AE516">
        <v>1330</v>
      </c>
      <c r="AF516">
        <v>1025.5</v>
      </c>
      <c r="AH516">
        <v>509.9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1349.3</v>
      </c>
      <c r="AO516">
        <v>786.40000000000009</v>
      </c>
      <c r="AP516">
        <v>0</v>
      </c>
      <c r="AQ516">
        <v>68.3</v>
      </c>
      <c r="AR516">
        <v>234.9</v>
      </c>
      <c r="AS516">
        <v>600.40000000000009</v>
      </c>
      <c r="AU516">
        <v>985.69999999999993</v>
      </c>
      <c r="AW516">
        <v>792</v>
      </c>
      <c r="AX516">
        <v>1988.5</v>
      </c>
      <c r="AZ516">
        <v>763.5</v>
      </c>
      <c r="BA516">
        <v>0</v>
      </c>
      <c r="BB516">
        <v>0</v>
      </c>
      <c r="BC516">
        <v>1935.3</v>
      </c>
      <c r="BD516">
        <v>1006.5</v>
      </c>
      <c r="BE516">
        <v>0</v>
      </c>
      <c r="BF516">
        <v>0</v>
      </c>
      <c r="BG516">
        <v>0</v>
      </c>
      <c r="BH516">
        <v>1662.6</v>
      </c>
      <c r="BJ516">
        <v>0</v>
      </c>
      <c r="BK516">
        <v>0</v>
      </c>
      <c r="BL516">
        <v>1038.9000000000001</v>
      </c>
      <c r="BM516">
        <v>1101</v>
      </c>
      <c r="BO516">
        <v>1276.8000000000002</v>
      </c>
      <c r="BQ516">
        <v>0</v>
      </c>
      <c r="BR516">
        <v>270.7</v>
      </c>
      <c r="BS516">
        <v>230.5</v>
      </c>
      <c r="BT516">
        <v>472.3</v>
      </c>
      <c r="BU516">
        <v>537.29999999999995</v>
      </c>
      <c r="BV516">
        <v>346.3</v>
      </c>
      <c r="BW516">
        <v>386.2</v>
      </c>
      <c r="BX516">
        <v>767</v>
      </c>
      <c r="BY516">
        <v>757.2</v>
      </c>
      <c r="BZ516">
        <v>1037.2</v>
      </c>
      <c r="CA516">
        <v>1227.0999999999999</v>
      </c>
      <c r="CB516">
        <v>1232.0999999999999</v>
      </c>
      <c r="CC516">
        <v>1701.5</v>
      </c>
      <c r="CD516">
        <v>0</v>
      </c>
      <c r="CG516">
        <v>1385.3</v>
      </c>
      <c r="CJ516">
        <v>1630.2999999999997</v>
      </c>
      <c r="CM516">
        <v>1184.2</v>
      </c>
      <c r="CO516">
        <v>1248.0999999999999</v>
      </c>
      <c r="CQ516">
        <v>1435.3</v>
      </c>
      <c r="CR516">
        <v>798.2</v>
      </c>
      <c r="CS516">
        <v>923.8</v>
      </c>
      <c r="CT516">
        <v>0</v>
      </c>
      <c r="CU516">
        <v>0</v>
      </c>
      <c r="CV516">
        <v>0</v>
      </c>
      <c r="CW516">
        <v>0</v>
      </c>
      <c r="CX516">
        <v>163.69999999999999</v>
      </c>
      <c r="CY516">
        <v>0</v>
      </c>
      <c r="CZ516">
        <v>0</v>
      </c>
      <c r="DA516">
        <v>0</v>
      </c>
      <c r="DB516">
        <v>0</v>
      </c>
      <c r="DC516">
        <v>0</v>
      </c>
      <c r="DD516">
        <v>0</v>
      </c>
      <c r="DE516">
        <v>0</v>
      </c>
      <c r="DI516">
        <v>0</v>
      </c>
      <c r="EC516">
        <v>0</v>
      </c>
      <c r="ED516">
        <v>0</v>
      </c>
      <c r="EE516">
        <v>0</v>
      </c>
      <c r="EF516">
        <v>0</v>
      </c>
      <c r="EG516">
        <v>0</v>
      </c>
      <c r="EH516">
        <v>0</v>
      </c>
      <c r="EI516">
        <v>0</v>
      </c>
      <c r="EJ516">
        <v>0</v>
      </c>
      <c r="EM516">
        <v>0</v>
      </c>
      <c r="EN516">
        <v>0</v>
      </c>
      <c r="EO516">
        <v>0</v>
      </c>
      <c r="EP516">
        <v>0</v>
      </c>
      <c r="EQ516">
        <v>0</v>
      </c>
      <c r="ER516">
        <v>0</v>
      </c>
      <c r="ES516">
        <v>0</v>
      </c>
      <c r="ET516">
        <v>0</v>
      </c>
      <c r="EW516">
        <v>0</v>
      </c>
      <c r="EX516">
        <v>0</v>
      </c>
      <c r="EY516">
        <v>0</v>
      </c>
      <c r="EZ516">
        <v>0</v>
      </c>
      <c r="FA516">
        <v>0</v>
      </c>
      <c r="FB516">
        <v>0</v>
      </c>
      <c r="FC516">
        <v>0</v>
      </c>
      <c r="FD516">
        <v>0</v>
      </c>
      <c r="FG516" t="e">
        <v>#N/A</v>
      </c>
      <c r="FI516" t="e">
        <v>#N/A</v>
      </c>
      <c r="FK516" t="e">
        <v>#N/A</v>
      </c>
      <c r="FM516" t="e">
        <v>#N/A</v>
      </c>
      <c r="FO516" t="e">
        <v>#N/A</v>
      </c>
      <c r="FQ516" t="e">
        <v>#N/A</v>
      </c>
      <c r="FS516" t="e">
        <v>#N/A</v>
      </c>
      <c r="FU516" t="e">
        <v>#N/A</v>
      </c>
      <c r="FW516" t="e">
        <v>#N/A</v>
      </c>
      <c r="FY516" t="e">
        <v>#N/A</v>
      </c>
      <c r="GA516" t="e">
        <v>#N/A</v>
      </c>
      <c r="GC516" t="e">
        <v>#N/A</v>
      </c>
      <c r="GE516" t="e">
        <v>#N/A</v>
      </c>
      <c r="GG516" t="e">
        <v>#N/A</v>
      </c>
      <c r="GI516" t="e">
        <v>#N/A</v>
      </c>
      <c r="GK516" t="e">
        <v>#N/A</v>
      </c>
      <c r="GM516" t="e">
        <v>#N/A</v>
      </c>
      <c r="GO516" t="e">
        <v>#N/A</v>
      </c>
      <c r="GQ516" t="e">
        <v>#N/A</v>
      </c>
      <c r="GS516" t="e">
        <v>#N/A</v>
      </c>
      <c r="GU516" t="e">
        <v>#N/A</v>
      </c>
      <c r="GW516" t="e">
        <v>#N/A</v>
      </c>
      <c r="GY516" t="e">
        <v>#N/A</v>
      </c>
      <c r="HA516" t="e">
        <v>#N/A</v>
      </c>
      <c r="HC516">
        <v>0</v>
      </c>
      <c r="HD516">
        <v>0</v>
      </c>
      <c r="HE516">
        <v>0</v>
      </c>
      <c r="HF516">
        <v>0</v>
      </c>
      <c r="HG516">
        <v>0</v>
      </c>
      <c r="HH516">
        <v>0</v>
      </c>
      <c r="HI516">
        <v>0</v>
      </c>
      <c r="HJ516">
        <v>0</v>
      </c>
      <c r="HM516">
        <v>0</v>
      </c>
      <c r="HN516">
        <v>0</v>
      </c>
      <c r="HO516">
        <v>0</v>
      </c>
      <c r="HP516">
        <v>0</v>
      </c>
      <c r="HQ516">
        <v>0</v>
      </c>
      <c r="HR516">
        <v>0</v>
      </c>
      <c r="HS516">
        <v>0</v>
      </c>
      <c r="HT516">
        <v>0</v>
      </c>
      <c r="HW516">
        <v>0</v>
      </c>
      <c r="HX516">
        <v>0</v>
      </c>
      <c r="HY516">
        <v>0</v>
      </c>
      <c r="HZ516">
        <v>0</v>
      </c>
      <c r="IA516">
        <v>3930.6</v>
      </c>
      <c r="IB516">
        <v>3632.9</v>
      </c>
      <c r="IC516">
        <v>3795.5</v>
      </c>
      <c r="ID516">
        <v>0</v>
      </c>
      <c r="IE516">
        <v>0</v>
      </c>
      <c r="IF516">
        <v>3548.5</v>
      </c>
      <c r="IG516">
        <v>3395.2</v>
      </c>
      <c r="IH516">
        <v>3395.4</v>
      </c>
      <c r="II516">
        <v>3302.3</v>
      </c>
      <c r="IJ516">
        <v>3172.8</v>
      </c>
      <c r="IK516">
        <v>0</v>
      </c>
      <c r="IL516">
        <v>0</v>
      </c>
      <c r="IM516">
        <v>0</v>
      </c>
      <c r="IN516">
        <v>0</v>
      </c>
      <c r="IO516">
        <v>123.4</v>
      </c>
      <c r="IP516">
        <v>405.2</v>
      </c>
      <c r="IQ516">
        <v>418.7</v>
      </c>
      <c r="IR516">
        <v>0</v>
      </c>
      <c r="IS516">
        <v>0</v>
      </c>
      <c r="IT516">
        <v>0</v>
      </c>
      <c r="IU516">
        <v>0</v>
      </c>
      <c r="IV516">
        <v>396</v>
      </c>
      <c r="IW516">
        <v>0</v>
      </c>
      <c r="IX516">
        <v>0</v>
      </c>
      <c r="IZ516">
        <v>0</v>
      </c>
      <c r="JA516">
        <v>65.5</v>
      </c>
      <c r="JB516">
        <v>443.5</v>
      </c>
      <c r="JC516">
        <v>0</v>
      </c>
      <c r="JD516">
        <v>0</v>
      </c>
      <c r="JE516">
        <v>0</v>
      </c>
      <c r="JF516">
        <v>0</v>
      </c>
      <c r="JG516">
        <v>0</v>
      </c>
      <c r="JH516">
        <v>0</v>
      </c>
      <c r="JI516">
        <v>0</v>
      </c>
      <c r="JJ516">
        <v>0</v>
      </c>
      <c r="JK516">
        <v>0</v>
      </c>
      <c r="JL516">
        <v>0</v>
      </c>
      <c r="JM516">
        <v>0</v>
      </c>
      <c r="JN516">
        <v>0</v>
      </c>
      <c r="JO516">
        <v>0</v>
      </c>
      <c r="JP516">
        <v>0</v>
      </c>
      <c r="JQ516">
        <v>0</v>
      </c>
      <c r="JR516">
        <v>0</v>
      </c>
      <c r="JS516">
        <v>0</v>
      </c>
      <c r="JT516">
        <v>0</v>
      </c>
      <c r="JU516">
        <v>0</v>
      </c>
      <c r="JV516">
        <v>0</v>
      </c>
      <c r="JW516">
        <v>0</v>
      </c>
      <c r="JX516">
        <v>0</v>
      </c>
      <c r="JY516">
        <v>0</v>
      </c>
      <c r="JZ516">
        <v>0</v>
      </c>
      <c r="KA516">
        <v>0</v>
      </c>
      <c r="KB516">
        <v>0</v>
      </c>
      <c r="KC516">
        <v>0</v>
      </c>
      <c r="KD516">
        <v>0</v>
      </c>
      <c r="KE516">
        <v>0</v>
      </c>
      <c r="KF516">
        <v>0</v>
      </c>
      <c r="KI516">
        <v>344.6</v>
      </c>
      <c r="KJ516">
        <v>350.8</v>
      </c>
      <c r="KK516">
        <v>22.1</v>
      </c>
      <c r="KL516">
        <v>379.3</v>
      </c>
      <c r="KM516">
        <v>241.4</v>
      </c>
      <c r="KN516">
        <v>0</v>
      </c>
      <c r="KO516">
        <v>0</v>
      </c>
      <c r="KP516">
        <v>57.3</v>
      </c>
      <c r="KQ516">
        <v>224.4</v>
      </c>
      <c r="KR516">
        <v>338.3</v>
      </c>
      <c r="KS516">
        <v>215.8</v>
      </c>
      <c r="KT516">
        <v>40.700000000000003</v>
      </c>
      <c r="KW516">
        <v>2154.5</v>
      </c>
      <c r="KX516">
        <v>1255.7</v>
      </c>
      <c r="KY516">
        <v>1630.1</v>
      </c>
      <c r="KZ516">
        <v>1246.9000000000001</v>
      </c>
      <c r="LB516">
        <v>78.099999999999994</v>
      </c>
      <c r="LC516">
        <v>77.7</v>
      </c>
    </row>
    <row r="517" spans="1:315" ht="18" thickBot="1">
      <c r="A517" s="245"/>
      <c r="B517" s="4"/>
      <c r="C517" s="332" t="s">
        <v>755</v>
      </c>
      <c r="D517" s="286"/>
      <c r="E517" s="449">
        <v>0</v>
      </c>
      <c r="F517" s="209">
        <v>0</v>
      </c>
      <c r="G517" s="427">
        <v>3413.8</v>
      </c>
      <c r="H517" s="155"/>
      <c r="I517">
        <v>735</v>
      </c>
      <c r="K517">
        <v>1973.1000000000001</v>
      </c>
      <c r="L517" s="4">
        <v>221.60000000000002</v>
      </c>
      <c r="M517" s="4">
        <v>54.9</v>
      </c>
      <c r="N517" s="4">
        <v>1989.7</v>
      </c>
      <c r="P517">
        <v>0</v>
      </c>
      <c r="Q517">
        <v>238.29999999999998</v>
      </c>
      <c r="R517">
        <v>0</v>
      </c>
      <c r="S517">
        <v>0</v>
      </c>
      <c r="T517">
        <v>368.5</v>
      </c>
      <c r="W517">
        <v>720.3</v>
      </c>
      <c r="X517">
        <v>1411.5</v>
      </c>
      <c r="Y517">
        <v>96.5</v>
      </c>
      <c r="AA517">
        <v>859.6</v>
      </c>
      <c r="AB517">
        <v>1577.6000000000001</v>
      </c>
      <c r="AE517">
        <v>1330</v>
      </c>
      <c r="AF517">
        <v>1025.5</v>
      </c>
      <c r="AH517">
        <v>509.9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1349.3</v>
      </c>
      <c r="AO517">
        <v>786.40000000000009</v>
      </c>
      <c r="AP517">
        <v>0</v>
      </c>
      <c r="AQ517">
        <v>68.3</v>
      </c>
      <c r="AR517">
        <v>234.9</v>
      </c>
      <c r="AS517">
        <v>600.40000000000009</v>
      </c>
      <c r="AU517">
        <v>985.69999999999993</v>
      </c>
      <c r="AW517">
        <v>792</v>
      </c>
      <c r="AX517">
        <v>1988.5</v>
      </c>
      <c r="AZ517">
        <v>763.5</v>
      </c>
      <c r="BA517">
        <v>0</v>
      </c>
      <c r="BB517">
        <v>0</v>
      </c>
      <c r="BC517">
        <v>1935.3</v>
      </c>
      <c r="BD517">
        <v>1006.5</v>
      </c>
      <c r="BE517">
        <v>0</v>
      </c>
      <c r="BF517">
        <v>0</v>
      </c>
      <c r="BG517">
        <v>0</v>
      </c>
      <c r="BH517">
        <v>1662.6</v>
      </c>
      <c r="BJ517">
        <v>0</v>
      </c>
      <c r="BK517">
        <v>0</v>
      </c>
      <c r="BL517">
        <v>1038.9000000000001</v>
      </c>
      <c r="BM517">
        <v>1101</v>
      </c>
      <c r="BO517">
        <v>1276.8000000000002</v>
      </c>
      <c r="BQ517">
        <v>0</v>
      </c>
      <c r="BR517">
        <v>270.7</v>
      </c>
      <c r="BS517">
        <v>230.5</v>
      </c>
      <c r="BT517">
        <v>472.3</v>
      </c>
      <c r="BU517">
        <v>537.29999999999995</v>
      </c>
      <c r="BV517">
        <v>346.3</v>
      </c>
      <c r="BW517">
        <v>386.2</v>
      </c>
      <c r="BX517">
        <v>767</v>
      </c>
      <c r="BY517">
        <v>757.2</v>
      </c>
      <c r="BZ517">
        <v>1037.2</v>
      </c>
      <c r="CA517">
        <v>1227.0999999999999</v>
      </c>
      <c r="CB517">
        <v>1232.0999999999999</v>
      </c>
      <c r="CC517">
        <v>1701.5</v>
      </c>
      <c r="CD517">
        <v>0</v>
      </c>
      <c r="CG517">
        <v>1385.3</v>
      </c>
      <c r="CJ517">
        <v>1630.2999999999997</v>
      </c>
      <c r="CM517">
        <v>1184.2</v>
      </c>
      <c r="CO517">
        <v>1248.0999999999999</v>
      </c>
      <c r="CQ517">
        <v>1435.3</v>
      </c>
      <c r="CR517">
        <v>798.2</v>
      </c>
      <c r="CS517">
        <v>923.8</v>
      </c>
      <c r="CT517">
        <v>0</v>
      </c>
      <c r="CU517">
        <v>0</v>
      </c>
      <c r="CV517">
        <v>0</v>
      </c>
      <c r="CW517">
        <v>0</v>
      </c>
      <c r="CX517">
        <v>163.69999999999999</v>
      </c>
      <c r="CY517">
        <v>0</v>
      </c>
      <c r="CZ517">
        <v>0</v>
      </c>
      <c r="DA517">
        <v>0</v>
      </c>
      <c r="DB517">
        <v>0</v>
      </c>
      <c r="DC517">
        <v>0</v>
      </c>
      <c r="DD517">
        <v>0</v>
      </c>
      <c r="DE517">
        <v>0</v>
      </c>
      <c r="DI517">
        <v>0</v>
      </c>
      <c r="EC517">
        <v>0</v>
      </c>
      <c r="ED517">
        <v>0</v>
      </c>
      <c r="EE517">
        <v>0</v>
      </c>
      <c r="EF517">
        <v>0</v>
      </c>
      <c r="EG517">
        <v>0</v>
      </c>
      <c r="EH517">
        <v>0</v>
      </c>
      <c r="EI517">
        <v>0</v>
      </c>
      <c r="EJ517">
        <v>0</v>
      </c>
      <c r="EM517">
        <v>0</v>
      </c>
      <c r="EN517">
        <v>0</v>
      </c>
      <c r="EO517">
        <v>0</v>
      </c>
      <c r="EP517">
        <v>0</v>
      </c>
      <c r="EQ517">
        <v>0</v>
      </c>
      <c r="ER517">
        <v>0</v>
      </c>
      <c r="ES517">
        <v>0</v>
      </c>
      <c r="ET517">
        <v>0</v>
      </c>
      <c r="EW517">
        <v>0</v>
      </c>
      <c r="EX517">
        <v>0</v>
      </c>
      <c r="EY517">
        <v>0</v>
      </c>
      <c r="EZ517">
        <v>0</v>
      </c>
      <c r="FA517">
        <v>0</v>
      </c>
      <c r="FB517">
        <v>0</v>
      </c>
      <c r="FC517">
        <v>0</v>
      </c>
      <c r="FD517">
        <v>0</v>
      </c>
      <c r="FG517" t="e">
        <v>#N/A</v>
      </c>
      <c r="FI517" t="e">
        <v>#N/A</v>
      </c>
      <c r="FK517" t="e">
        <v>#N/A</v>
      </c>
      <c r="FM517" t="e">
        <v>#N/A</v>
      </c>
      <c r="FO517" t="e">
        <v>#N/A</v>
      </c>
      <c r="FQ517" t="e">
        <v>#N/A</v>
      </c>
      <c r="FS517" t="e">
        <v>#N/A</v>
      </c>
      <c r="FU517" t="e">
        <v>#N/A</v>
      </c>
      <c r="FW517" t="e">
        <v>#N/A</v>
      </c>
      <c r="FY517" t="e">
        <v>#N/A</v>
      </c>
      <c r="GA517" t="e">
        <v>#N/A</v>
      </c>
      <c r="GC517" t="e">
        <v>#N/A</v>
      </c>
      <c r="GE517" t="e">
        <v>#N/A</v>
      </c>
      <c r="GG517" t="e">
        <v>#N/A</v>
      </c>
      <c r="GI517" t="e">
        <v>#N/A</v>
      </c>
      <c r="GK517" t="e">
        <v>#N/A</v>
      </c>
      <c r="GM517" t="e">
        <v>#N/A</v>
      </c>
      <c r="GO517" t="e">
        <v>#N/A</v>
      </c>
      <c r="GQ517" t="e">
        <v>#N/A</v>
      </c>
      <c r="GS517" t="e">
        <v>#N/A</v>
      </c>
      <c r="GU517" t="e">
        <v>#N/A</v>
      </c>
      <c r="GW517" t="e">
        <v>#N/A</v>
      </c>
      <c r="GY517" t="e">
        <v>#N/A</v>
      </c>
      <c r="HA517" t="e">
        <v>#N/A</v>
      </c>
      <c r="HC517">
        <v>0</v>
      </c>
      <c r="HD517">
        <v>0</v>
      </c>
      <c r="HE517">
        <v>0</v>
      </c>
      <c r="HF517">
        <v>0</v>
      </c>
      <c r="HG517">
        <v>0</v>
      </c>
      <c r="HH517">
        <v>0</v>
      </c>
      <c r="HI517">
        <v>0</v>
      </c>
      <c r="HJ517">
        <v>0</v>
      </c>
      <c r="HM517">
        <v>0</v>
      </c>
      <c r="HN517">
        <v>0</v>
      </c>
      <c r="HO517">
        <v>0</v>
      </c>
      <c r="HP517">
        <v>0</v>
      </c>
      <c r="HQ517">
        <v>0</v>
      </c>
      <c r="HR517">
        <v>0</v>
      </c>
      <c r="HS517">
        <v>0</v>
      </c>
      <c r="HT517">
        <v>0</v>
      </c>
      <c r="HW517">
        <v>0</v>
      </c>
      <c r="HX517">
        <v>0</v>
      </c>
      <c r="HY517">
        <v>0</v>
      </c>
      <c r="HZ517">
        <v>0</v>
      </c>
      <c r="IA517">
        <v>3930.6</v>
      </c>
      <c r="IB517">
        <v>3632.9</v>
      </c>
      <c r="IC517">
        <v>3795.5</v>
      </c>
      <c r="ID517">
        <v>0</v>
      </c>
      <c r="IE517">
        <v>0</v>
      </c>
      <c r="IF517">
        <v>3548.5</v>
      </c>
      <c r="IG517">
        <v>3395.2</v>
      </c>
      <c r="IH517">
        <v>3395.4</v>
      </c>
      <c r="II517">
        <v>3302.3</v>
      </c>
      <c r="IJ517">
        <v>3172.8</v>
      </c>
      <c r="IK517">
        <v>0</v>
      </c>
      <c r="IL517">
        <v>0</v>
      </c>
      <c r="IM517">
        <v>0</v>
      </c>
      <c r="IN517">
        <v>0</v>
      </c>
      <c r="IO517">
        <v>123.4</v>
      </c>
      <c r="IP517">
        <v>405.2</v>
      </c>
      <c r="IQ517">
        <v>418.7</v>
      </c>
      <c r="IR517">
        <v>0</v>
      </c>
      <c r="IS517">
        <v>0</v>
      </c>
      <c r="IT517">
        <v>0</v>
      </c>
      <c r="IU517">
        <v>0</v>
      </c>
      <c r="IV517">
        <v>396</v>
      </c>
      <c r="IW517">
        <v>0</v>
      </c>
      <c r="IX517">
        <v>0</v>
      </c>
      <c r="IZ517">
        <v>0</v>
      </c>
      <c r="JA517">
        <v>65.5</v>
      </c>
      <c r="JB517">
        <v>443.5</v>
      </c>
      <c r="JC517">
        <v>0</v>
      </c>
      <c r="JD517">
        <v>0</v>
      </c>
      <c r="JE517">
        <v>0</v>
      </c>
      <c r="JF517">
        <v>0</v>
      </c>
      <c r="JG517">
        <v>0</v>
      </c>
      <c r="JH517">
        <v>0</v>
      </c>
      <c r="JI517">
        <v>0</v>
      </c>
      <c r="JJ517">
        <v>0</v>
      </c>
      <c r="JK517">
        <v>0</v>
      </c>
      <c r="JL517">
        <v>0</v>
      </c>
      <c r="JM517">
        <v>0</v>
      </c>
      <c r="JN517">
        <v>0</v>
      </c>
      <c r="JO517">
        <v>0</v>
      </c>
      <c r="JP517">
        <v>0</v>
      </c>
      <c r="JQ517">
        <v>0</v>
      </c>
      <c r="JR517">
        <v>0</v>
      </c>
      <c r="JS517">
        <v>0</v>
      </c>
      <c r="JT517">
        <v>0</v>
      </c>
      <c r="JU517">
        <v>0</v>
      </c>
      <c r="JV517">
        <v>0</v>
      </c>
      <c r="JW517">
        <v>0</v>
      </c>
      <c r="JX517">
        <v>0</v>
      </c>
      <c r="JY517">
        <v>0</v>
      </c>
      <c r="JZ517">
        <v>0</v>
      </c>
      <c r="KA517">
        <v>0</v>
      </c>
      <c r="KB517">
        <v>0</v>
      </c>
      <c r="KC517">
        <v>0</v>
      </c>
      <c r="KD517">
        <v>0</v>
      </c>
      <c r="KE517">
        <v>0</v>
      </c>
      <c r="KF517">
        <v>0</v>
      </c>
      <c r="KI517">
        <v>344.6</v>
      </c>
      <c r="KJ517">
        <v>350.8</v>
      </c>
      <c r="KK517">
        <v>22.1</v>
      </c>
      <c r="KL517">
        <v>379.3</v>
      </c>
      <c r="KM517">
        <v>241.4</v>
      </c>
      <c r="KN517">
        <v>0</v>
      </c>
      <c r="KO517">
        <v>0</v>
      </c>
      <c r="KP517">
        <v>57.3</v>
      </c>
      <c r="KQ517">
        <v>224.4</v>
      </c>
      <c r="KR517">
        <v>338.3</v>
      </c>
      <c r="KS517">
        <v>215.8</v>
      </c>
      <c r="KT517">
        <v>40.700000000000003</v>
      </c>
      <c r="KW517">
        <v>2154.5</v>
      </c>
      <c r="KX517">
        <v>1255.7</v>
      </c>
      <c r="KY517">
        <v>1630.1</v>
      </c>
      <c r="KZ517">
        <v>1246.9000000000001</v>
      </c>
      <c r="LB517">
        <v>78.099999999999994</v>
      </c>
      <c r="LC517">
        <v>77.7</v>
      </c>
    </row>
    <row r="518" spans="1:315" ht="18" thickBot="1">
      <c r="A518" s="245"/>
      <c r="B518" s="4"/>
      <c r="C518" s="332" t="s">
        <v>756</v>
      </c>
      <c r="D518" s="286"/>
      <c r="E518" s="449">
        <v>0</v>
      </c>
      <c r="F518" s="209">
        <v>0</v>
      </c>
      <c r="G518" s="427">
        <v>3413.8</v>
      </c>
      <c r="H518" s="155"/>
      <c r="I518">
        <v>735</v>
      </c>
      <c r="K518">
        <v>1973.1000000000001</v>
      </c>
      <c r="L518" s="4">
        <v>221.60000000000002</v>
      </c>
      <c r="M518" s="4">
        <v>54.9</v>
      </c>
      <c r="N518" s="4">
        <v>1989.7</v>
      </c>
      <c r="P518">
        <v>0</v>
      </c>
      <c r="Q518">
        <v>238.29999999999998</v>
      </c>
      <c r="R518">
        <v>0</v>
      </c>
      <c r="S518">
        <v>0</v>
      </c>
      <c r="T518">
        <v>368.5</v>
      </c>
      <c r="W518">
        <v>720.3</v>
      </c>
      <c r="X518">
        <v>1411.5</v>
      </c>
      <c r="Y518">
        <v>96.5</v>
      </c>
      <c r="AA518">
        <v>859.6</v>
      </c>
      <c r="AB518">
        <v>1577.6000000000001</v>
      </c>
      <c r="AE518">
        <v>1330</v>
      </c>
      <c r="AF518">
        <v>1025.5</v>
      </c>
      <c r="AH518">
        <v>509.9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1349.3</v>
      </c>
      <c r="AO518">
        <v>786.40000000000009</v>
      </c>
      <c r="AP518">
        <v>0</v>
      </c>
      <c r="AQ518">
        <v>68.3</v>
      </c>
      <c r="AR518">
        <v>234.9</v>
      </c>
      <c r="AS518">
        <v>600.40000000000009</v>
      </c>
      <c r="AU518">
        <v>985.69999999999993</v>
      </c>
      <c r="AW518">
        <v>792</v>
      </c>
      <c r="AX518">
        <v>1988.5</v>
      </c>
      <c r="AZ518">
        <v>763.5</v>
      </c>
      <c r="BA518">
        <v>0</v>
      </c>
      <c r="BB518">
        <v>0</v>
      </c>
      <c r="BC518">
        <v>1935.3</v>
      </c>
      <c r="BD518">
        <v>1006.5</v>
      </c>
      <c r="BE518">
        <v>0</v>
      </c>
      <c r="BF518">
        <v>0</v>
      </c>
      <c r="BG518">
        <v>0</v>
      </c>
      <c r="BH518">
        <v>1662.6</v>
      </c>
      <c r="BJ518">
        <v>0</v>
      </c>
      <c r="BK518">
        <v>0</v>
      </c>
      <c r="BL518">
        <v>1038.9000000000001</v>
      </c>
      <c r="BM518">
        <v>1101</v>
      </c>
      <c r="BO518">
        <v>1276.8000000000002</v>
      </c>
      <c r="BQ518">
        <v>0</v>
      </c>
      <c r="BR518">
        <v>270.7</v>
      </c>
      <c r="BS518">
        <v>230.5</v>
      </c>
      <c r="BT518">
        <v>472.3</v>
      </c>
      <c r="BU518">
        <v>537.29999999999995</v>
      </c>
      <c r="BV518">
        <v>346.3</v>
      </c>
      <c r="BW518">
        <v>386.2</v>
      </c>
      <c r="BX518">
        <v>767</v>
      </c>
      <c r="BY518">
        <v>757.2</v>
      </c>
      <c r="BZ518">
        <v>1037.2</v>
      </c>
      <c r="CA518">
        <v>1227.0999999999999</v>
      </c>
      <c r="CB518">
        <v>1232.0999999999999</v>
      </c>
      <c r="CC518">
        <v>1701.5</v>
      </c>
      <c r="CD518">
        <v>0</v>
      </c>
      <c r="CG518">
        <v>1385.3</v>
      </c>
      <c r="CJ518">
        <v>1630.2999999999997</v>
      </c>
      <c r="CM518">
        <v>1184.2</v>
      </c>
      <c r="CO518">
        <v>1248.0999999999999</v>
      </c>
      <c r="CQ518">
        <v>1435.3</v>
      </c>
      <c r="CR518">
        <v>798.2</v>
      </c>
      <c r="CS518">
        <v>923.8</v>
      </c>
      <c r="CT518">
        <v>0</v>
      </c>
      <c r="CU518">
        <v>0</v>
      </c>
      <c r="CV518">
        <v>0</v>
      </c>
      <c r="CW518">
        <v>0</v>
      </c>
      <c r="CX518">
        <v>163.69999999999999</v>
      </c>
      <c r="CY518">
        <v>0</v>
      </c>
      <c r="CZ518">
        <v>0</v>
      </c>
      <c r="DA518">
        <v>0</v>
      </c>
      <c r="DB518">
        <v>0</v>
      </c>
      <c r="DC518">
        <v>0</v>
      </c>
      <c r="DD518">
        <v>0</v>
      </c>
      <c r="DE518">
        <v>0</v>
      </c>
      <c r="DI518">
        <v>0</v>
      </c>
      <c r="EC518">
        <v>0</v>
      </c>
      <c r="ED518">
        <v>0</v>
      </c>
      <c r="EE518">
        <v>0</v>
      </c>
      <c r="EF518">
        <v>0</v>
      </c>
      <c r="EG518">
        <v>0</v>
      </c>
      <c r="EH518">
        <v>0</v>
      </c>
      <c r="EI518">
        <v>0</v>
      </c>
      <c r="EJ518">
        <v>0</v>
      </c>
      <c r="EM518">
        <v>0</v>
      </c>
      <c r="EN518">
        <v>0</v>
      </c>
      <c r="EO518">
        <v>0</v>
      </c>
      <c r="EP518">
        <v>0</v>
      </c>
      <c r="EQ518">
        <v>0</v>
      </c>
      <c r="ER518">
        <v>0</v>
      </c>
      <c r="ES518">
        <v>0</v>
      </c>
      <c r="ET518">
        <v>0</v>
      </c>
      <c r="EW518">
        <v>0</v>
      </c>
      <c r="EX518">
        <v>0</v>
      </c>
      <c r="EY518">
        <v>0</v>
      </c>
      <c r="EZ518">
        <v>0</v>
      </c>
      <c r="FA518">
        <v>0</v>
      </c>
      <c r="FB518">
        <v>0</v>
      </c>
      <c r="FC518">
        <v>0</v>
      </c>
      <c r="FD518">
        <v>0</v>
      </c>
      <c r="FG518" t="e">
        <v>#N/A</v>
      </c>
      <c r="FI518" t="e">
        <v>#N/A</v>
      </c>
      <c r="FK518" t="e">
        <v>#N/A</v>
      </c>
      <c r="FM518" t="e">
        <v>#N/A</v>
      </c>
      <c r="FO518" t="e">
        <v>#N/A</v>
      </c>
      <c r="FQ518" t="e">
        <v>#N/A</v>
      </c>
      <c r="FS518" t="e">
        <v>#N/A</v>
      </c>
      <c r="FU518" t="e">
        <v>#N/A</v>
      </c>
      <c r="FW518" t="e">
        <v>#N/A</v>
      </c>
      <c r="FY518" t="e">
        <v>#N/A</v>
      </c>
      <c r="GA518" t="e">
        <v>#N/A</v>
      </c>
      <c r="GC518" t="e">
        <v>#N/A</v>
      </c>
      <c r="GE518" t="e">
        <v>#N/A</v>
      </c>
      <c r="GG518" t="e">
        <v>#N/A</v>
      </c>
      <c r="GI518" t="e">
        <v>#N/A</v>
      </c>
      <c r="GK518" t="e">
        <v>#N/A</v>
      </c>
      <c r="GM518" t="e">
        <v>#N/A</v>
      </c>
      <c r="GO518" t="e">
        <v>#N/A</v>
      </c>
      <c r="GQ518" t="e">
        <v>#N/A</v>
      </c>
      <c r="GS518" t="e">
        <v>#N/A</v>
      </c>
      <c r="GU518" t="e">
        <v>#N/A</v>
      </c>
      <c r="GW518" t="e">
        <v>#N/A</v>
      </c>
      <c r="GY518" t="e">
        <v>#N/A</v>
      </c>
      <c r="HA518" t="e">
        <v>#N/A</v>
      </c>
      <c r="HC518">
        <v>0</v>
      </c>
      <c r="HD518">
        <v>0</v>
      </c>
      <c r="HE518">
        <v>0</v>
      </c>
      <c r="HF518">
        <v>0</v>
      </c>
      <c r="HG518">
        <v>0</v>
      </c>
      <c r="HH518">
        <v>0</v>
      </c>
      <c r="HI518">
        <v>0</v>
      </c>
      <c r="HJ518">
        <v>0</v>
      </c>
      <c r="HM518">
        <v>0</v>
      </c>
      <c r="HN518">
        <v>0</v>
      </c>
      <c r="HO518">
        <v>0</v>
      </c>
      <c r="HP518">
        <v>0</v>
      </c>
      <c r="HQ518">
        <v>0</v>
      </c>
      <c r="HR518">
        <v>0</v>
      </c>
      <c r="HS518">
        <v>0</v>
      </c>
      <c r="HT518">
        <v>0</v>
      </c>
      <c r="HW518">
        <v>0</v>
      </c>
      <c r="HX518">
        <v>0</v>
      </c>
      <c r="HY518">
        <v>0</v>
      </c>
      <c r="HZ518">
        <v>0</v>
      </c>
      <c r="IA518">
        <v>3930.6</v>
      </c>
      <c r="IB518">
        <v>3632.9</v>
      </c>
      <c r="IC518">
        <v>3795.5</v>
      </c>
      <c r="ID518">
        <v>0</v>
      </c>
      <c r="IE518">
        <v>0</v>
      </c>
      <c r="IF518">
        <v>3548.5</v>
      </c>
      <c r="IG518">
        <v>3395.2</v>
      </c>
      <c r="IH518">
        <v>3395.4</v>
      </c>
      <c r="II518">
        <v>3302.3</v>
      </c>
      <c r="IJ518">
        <v>3172.8</v>
      </c>
      <c r="IK518">
        <v>0</v>
      </c>
      <c r="IL518">
        <v>0</v>
      </c>
      <c r="IM518">
        <v>0</v>
      </c>
      <c r="IN518">
        <v>0</v>
      </c>
      <c r="IO518">
        <v>123.4</v>
      </c>
      <c r="IP518">
        <v>405.2</v>
      </c>
      <c r="IQ518">
        <v>418.7</v>
      </c>
      <c r="IR518">
        <v>0</v>
      </c>
      <c r="IS518">
        <v>0</v>
      </c>
      <c r="IT518">
        <v>0</v>
      </c>
      <c r="IU518">
        <v>0</v>
      </c>
      <c r="IV518">
        <v>396</v>
      </c>
      <c r="IW518">
        <v>0</v>
      </c>
      <c r="IX518">
        <v>0</v>
      </c>
      <c r="IZ518">
        <v>0</v>
      </c>
      <c r="JA518">
        <v>65.5</v>
      </c>
      <c r="JB518">
        <v>443.5</v>
      </c>
      <c r="JC518">
        <v>0</v>
      </c>
      <c r="JD518">
        <v>0</v>
      </c>
      <c r="JE518">
        <v>0</v>
      </c>
      <c r="JF518">
        <v>0</v>
      </c>
      <c r="JG518">
        <v>0</v>
      </c>
      <c r="JH518">
        <v>0</v>
      </c>
      <c r="JI518">
        <v>0</v>
      </c>
      <c r="JJ518">
        <v>0</v>
      </c>
      <c r="JK518">
        <v>0</v>
      </c>
      <c r="JL518">
        <v>0</v>
      </c>
      <c r="JM518">
        <v>0</v>
      </c>
      <c r="JN518">
        <v>0</v>
      </c>
      <c r="JO518">
        <v>0</v>
      </c>
      <c r="JP518">
        <v>0</v>
      </c>
      <c r="JQ518">
        <v>0</v>
      </c>
      <c r="JR518">
        <v>0</v>
      </c>
      <c r="JS518">
        <v>0</v>
      </c>
      <c r="JT518">
        <v>0</v>
      </c>
      <c r="JU518">
        <v>0</v>
      </c>
      <c r="JV518">
        <v>0</v>
      </c>
      <c r="JW518">
        <v>0</v>
      </c>
      <c r="JX518">
        <v>0</v>
      </c>
      <c r="JY518">
        <v>0</v>
      </c>
      <c r="JZ518">
        <v>0</v>
      </c>
      <c r="KA518">
        <v>0</v>
      </c>
      <c r="KB518">
        <v>0</v>
      </c>
      <c r="KC518">
        <v>0</v>
      </c>
      <c r="KD518">
        <v>0</v>
      </c>
      <c r="KE518">
        <v>0</v>
      </c>
      <c r="KF518">
        <v>0</v>
      </c>
      <c r="KI518">
        <v>344.6</v>
      </c>
      <c r="KJ518">
        <v>350.8</v>
      </c>
      <c r="KK518">
        <v>22.1</v>
      </c>
      <c r="KL518">
        <v>379.3</v>
      </c>
      <c r="KM518">
        <v>241.4</v>
      </c>
      <c r="KN518">
        <v>0</v>
      </c>
      <c r="KO518">
        <v>0</v>
      </c>
      <c r="KP518">
        <v>57.3</v>
      </c>
      <c r="KQ518">
        <v>224.4</v>
      </c>
      <c r="KR518">
        <v>338.3</v>
      </c>
      <c r="KS518">
        <v>215.8</v>
      </c>
      <c r="KT518">
        <v>40.700000000000003</v>
      </c>
      <c r="KW518">
        <v>2154.5</v>
      </c>
      <c r="KX518">
        <v>1255.7</v>
      </c>
      <c r="KY518">
        <v>1630.1</v>
      </c>
      <c r="KZ518">
        <v>1246.9000000000001</v>
      </c>
      <c r="LB518">
        <v>78.099999999999994</v>
      </c>
      <c r="LC518">
        <v>77.7</v>
      </c>
    </row>
    <row r="519" spans="1:315" ht="18" thickBot="1">
      <c r="A519" s="183"/>
      <c r="B519" s="4"/>
      <c r="C519" s="332" t="s">
        <v>757</v>
      </c>
      <c r="D519" s="286"/>
      <c r="E519" s="449">
        <v>0</v>
      </c>
      <c r="F519" s="209">
        <v>0</v>
      </c>
      <c r="G519" s="427">
        <v>3413.8</v>
      </c>
      <c r="H519" s="155"/>
      <c r="I519">
        <v>735</v>
      </c>
      <c r="K519">
        <v>1973.1000000000001</v>
      </c>
      <c r="L519" s="4">
        <v>221.60000000000002</v>
      </c>
      <c r="M519" s="4">
        <v>54.9</v>
      </c>
      <c r="N519" s="4">
        <v>1989.7</v>
      </c>
      <c r="P519">
        <v>0</v>
      </c>
      <c r="Q519">
        <v>238.29999999999998</v>
      </c>
      <c r="R519">
        <v>0</v>
      </c>
      <c r="S519">
        <v>0</v>
      </c>
      <c r="T519">
        <v>368.5</v>
      </c>
      <c r="W519">
        <v>720.3</v>
      </c>
      <c r="X519">
        <v>1411.5</v>
      </c>
      <c r="Y519">
        <v>96.5</v>
      </c>
      <c r="AA519">
        <v>859.6</v>
      </c>
      <c r="AB519">
        <v>1577.6000000000001</v>
      </c>
      <c r="AE519">
        <v>1330</v>
      </c>
      <c r="AF519">
        <v>1025.5</v>
      </c>
      <c r="AH519">
        <v>509.9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1349.3</v>
      </c>
      <c r="AO519">
        <v>786.40000000000009</v>
      </c>
      <c r="AP519">
        <v>0</v>
      </c>
      <c r="AQ519">
        <v>68.3</v>
      </c>
      <c r="AR519">
        <v>234.9</v>
      </c>
      <c r="AS519">
        <v>600.40000000000009</v>
      </c>
      <c r="AU519">
        <v>985.69999999999993</v>
      </c>
      <c r="AW519">
        <v>792</v>
      </c>
      <c r="AX519">
        <v>1988.5</v>
      </c>
      <c r="AZ519">
        <v>763.5</v>
      </c>
      <c r="BA519">
        <v>0</v>
      </c>
      <c r="BB519">
        <v>0</v>
      </c>
      <c r="BC519">
        <v>1935.3</v>
      </c>
      <c r="BD519">
        <v>1006.5</v>
      </c>
      <c r="BE519">
        <v>0</v>
      </c>
      <c r="BF519">
        <v>0</v>
      </c>
      <c r="BG519">
        <v>0</v>
      </c>
      <c r="BH519">
        <v>1662.6</v>
      </c>
      <c r="BJ519">
        <v>0</v>
      </c>
      <c r="BK519">
        <v>0</v>
      </c>
      <c r="BL519">
        <v>1038.9000000000001</v>
      </c>
      <c r="BM519">
        <v>1101</v>
      </c>
      <c r="BO519">
        <v>1276.8000000000002</v>
      </c>
      <c r="BQ519">
        <v>0</v>
      </c>
      <c r="BR519">
        <v>270.7</v>
      </c>
      <c r="BS519">
        <v>230.5</v>
      </c>
      <c r="BT519">
        <v>472.3</v>
      </c>
      <c r="BU519">
        <v>537.29999999999995</v>
      </c>
      <c r="BV519">
        <v>346.3</v>
      </c>
      <c r="BW519">
        <v>386.2</v>
      </c>
      <c r="BX519">
        <v>767</v>
      </c>
      <c r="BY519">
        <v>757.2</v>
      </c>
      <c r="BZ519">
        <v>1037.2</v>
      </c>
      <c r="CA519">
        <v>1227.0999999999999</v>
      </c>
      <c r="CB519">
        <v>1232.0999999999999</v>
      </c>
      <c r="CC519">
        <v>1701.5</v>
      </c>
      <c r="CD519">
        <v>0</v>
      </c>
      <c r="CG519">
        <v>1385.3</v>
      </c>
      <c r="CJ519">
        <v>1630.2999999999997</v>
      </c>
      <c r="CM519">
        <v>1184.2</v>
      </c>
      <c r="CO519">
        <v>1248.0999999999999</v>
      </c>
      <c r="CQ519">
        <v>1435.3</v>
      </c>
      <c r="CR519">
        <v>798.2</v>
      </c>
      <c r="CS519">
        <v>923.8</v>
      </c>
      <c r="CT519">
        <v>0</v>
      </c>
      <c r="CU519">
        <v>0</v>
      </c>
      <c r="CV519">
        <v>0</v>
      </c>
      <c r="CW519">
        <v>0</v>
      </c>
      <c r="CX519">
        <v>163.69999999999999</v>
      </c>
      <c r="CY519">
        <v>0</v>
      </c>
      <c r="CZ519">
        <v>0</v>
      </c>
      <c r="DA519">
        <v>0</v>
      </c>
      <c r="DB519">
        <v>0</v>
      </c>
      <c r="DC519">
        <v>0</v>
      </c>
      <c r="DD519">
        <v>0</v>
      </c>
      <c r="DE519">
        <v>0</v>
      </c>
      <c r="DI519">
        <v>0</v>
      </c>
      <c r="EC519">
        <v>0</v>
      </c>
      <c r="ED519">
        <v>0</v>
      </c>
      <c r="EE519">
        <v>0</v>
      </c>
      <c r="EF519">
        <v>0</v>
      </c>
      <c r="EG519">
        <v>0</v>
      </c>
      <c r="EH519">
        <v>0</v>
      </c>
      <c r="EI519">
        <v>0</v>
      </c>
      <c r="EJ519">
        <v>0</v>
      </c>
      <c r="EM519">
        <v>0</v>
      </c>
      <c r="EN519">
        <v>0</v>
      </c>
      <c r="EO519">
        <v>0</v>
      </c>
      <c r="EP519">
        <v>0</v>
      </c>
      <c r="EQ519">
        <v>0</v>
      </c>
      <c r="ER519">
        <v>0</v>
      </c>
      <c r="ES519">
        <v>0</v>
      </c>
      <c r="ET519">
        <v>0</v>
      </c>
      <c r="EW519">
        <v>0</v>
      </c>
      <c r="EX519">
        <v>0</v>
      </c>
      <c r="EY519">
        <v>0</v>
      </c>
      <c r="EZ519">
        <v>0</v>
      </c>
      <c r="FA519">
        <v>0</v>
      </c>
      <c r="FB519">
        <v>0</v>
      </c>
      <c r="FC519">
        <v>0</v>
      </c>
      <c r="FD519">
        <v>0</v>
      </c>
      <c r="FG519" t="e">
        <v>#N/A</v>
      </c>
      <c r="FI519" t="e">
        <v>#N/A</v>
      </c>
      <c r="FK519" t="e">
        <v>#N/A</v>
      </c>
      <c r="FM519" t="e">
        <v>#N/A</v>
      </c>
      <c r="FO519" t="e">
        <v>#N/A</v>
      </c>
      <c r="FQ519" t="e">
        <v>#N/A</v>
      </c>
      <c r="FS519" t="e">
        <v>#N/A</v>
      </c>
      <c r="FU519" t="e">
        <v>#N/A</v>
      </c>
      <c r="FW519" t="e">
        <v>#N/A</v>
      </c>
      <c r="FY519" t="e">
        <v>#N/A</v>
      </c>
      <c r="GA519" t="e">
        <v>#N/A</v>
      </c>
      <c r="GC519" t="e">
        <v>#N/A</v>
      </c>
      <c r="GE519" t="e">
        <v>#N/A</v>
      </c>
      <c r="GG519" t="e">
        <v>#N/A</v>
      </c>
      <c r="GI519" t="e">
        <v>#N/A</v>
      </c>
      <c r="GK519" t="e">
        <v>#N/A</v>
      </c>
      <c r="GM519" t="e">
        <v>#N/A</v>
      </c>
      <c r="GO519" t="e">
        <v>#N/A</v>
      </c>
      <c r="GQ519" t="e">
        <v>#N/A</v>
      </c>
      <c r="GS519" t="e">
        <v>#N/A</v>
      </c>
      <c r="GU519" t="e">
        <v>#N/A</v>
      </c>
      <c r="GW519" t="e">
        <v>#N/A</v>
      </c>
      <c r="GY519" t="e">
        <v>#N/A</v>
      </c>
      <c r="HA519" t="e">
        <v>#N/A</v>
      </c>
      <c r="HC519">
        <v>0</v>
      </c>
      <c r="HD519">
        <v>0</v>
      </c>
      <c r="HE519">
        <v>0</v>
      </c>
      <c r="HF519">
        <v>0</v>
      </c>
      <c r="HG519">
        <v>0</v>
      </c>
      <c r="HH519">
        <v>0</v>
      </c>
      <c r="HI519">
        <v>0</v>
      </c>
      <c r="HJ519">
        <v>0</v>
      </c>
      <c r="HM519">
        <v>0</v>
      </c>
      <c r="HN519">
        <v>0</v>
      </c>
      <c r="HO519">
        <v>0</v>
      </c>
      <c r="HP519">
        <v>0</v>
      </c>
      <c r="HQ519">
        <v>0</v>
      </c>
      <c r="HR519">
        <v>0</v>
      </c>
      <c r="HS519">
        <v>0</v>
      </c>
      <c r="HT519">
        <v>0</v>
      </c>
      <c r="HW519">
        <v>0</v>
      </c>
      <c r="HX519">
        <v>0</v>
      </c>
      <c r="HY519">
        <v>0</v>
      </c>
      <c r="HZ519">
        <v>0</v>
      </c>
      <c r="IA519">
        <v>3930.6</v>
      </c>
      <c r="IB519">
        <v>3632.9</v>
      </c>
      <c r="IC519">
        <v>3795.5</v>
      </c>
      <c r="ID519">
        <v>0</v>
      </c>
      <c r="IE519">
        <v>0</v>
      </c>
      <c r="IF519">
        <v>3548.5</v>
      </c>
      <c r="IG519">
        <v>3395.2</v>
      </c>
      <c r="IH519">
        <v>3395.4</v>
      </c>
      <c r="II519">
        <v>3302.3</v>
      </c>
      <c r="IJ519">
        <v>3172.8</v>
      </c>
      <c r="IK519">
        <v>0</v>
      </c>
      <c r="IL519">
        <v>0</v>
      </c>
      <c r="IM519">
        <v>0</v>
      </c>
      <c r="IN519">
        <v>0</v>
      </c>
      <c r="IO519">
        <v>123.4</v>
      </c>
      <c r="IP519">
        <v>405.2</v>
      </c>
      <c r="IQ519">
        <v>418.7</v>
      </c>
      <c r="IR519">
        <v>0</v>
      </c>
      <c r="IS519">
        <v>0</v>
      </c>
      <c r="IT519">
        <v>0</v>
      </c>
      <c r="IU519">
        <v>0</v>
      </c>
      <c r="IV519">
        <v>396</v>
      </c>
      <c r="IW519">
        <v>0</v>
      </c>
      <c r="IX519">
        <v>0</v>
      </c>
      <c r="IZ519">
        <v>0</v>
      </c>
      <c r="JA519">
        <v>65.5</v>
      </c>
      <c r="JB519">
        <v>443.5</v>
      </c>
      <c r="JC519">
        <v>0</v>
      </c>
      <c r="JD519">
        <v>0</v>
      </c>
      <c r="JE519">
        <v>0</v>
      </c>
      <c r="JF519">
        <v>0</v>
      </c>
      <c r="JG519">
        <v>0</v>
      </c>
      <c r="JH519">
        <v>0</v>
      </c>
      <c r="JI519">
        <v>0</v>
      </c>
      <c r="JJ519">
        <v>0</v>
      </c>
      <c r="JK519">
        <v>0</v>
      </c>
      <c r="JL519">
        <v>0</v>
      </c>
      <c r="JM519">
        <v>0</v>
      </c>
      <c r="JN519">
        <v>0</v>
      </c>
      <c r="JO519">
        <v>0</v>
      </c>
      <c r="JP519">
        <v>0</v>
      </c>
      <c r="JQ519">
        <v>0</v>
      </c>
      <c r="JR519">
        <v>0</v>
      </c>
      <c r="JS519">
        <v>0</v>
      </c>
      <c r="JT519">
        <v>0</v>
      </c>
      <c r="JU519">
        <v>0</v>
      </c>
      <c r="JV519">
        <v>0</v>
      </c>
      <c r="JW519">
        <v>0</v>
      </c>
      <c r="JX519">
        <v>0</v>
      </c>
      <c r="JY519">
        <v>0</v>
      </c>
      <c r="JZ519">
        <v>0</v>
      </c>
      <c r="KA519">
        <v>0</v>
      </c>
      <c r="KB519">
        <v>0</v>
      </c>
      <c r="KC519">
        <v>0</v>
      </c>
      <c r="KD519">
        <v>0</v>
      </c>
      <c r="KE519">
        <v>0</v>
      </c>
      <c r="KF519">
        <v>0</v>
      </c>
      <c r="KI519">
        <v>344.6</v>
      </c>
      <c r="KJ519">
        <v>350.8</v>
      </c>
      <c r="KK519">
        <v>22.1</v>
      </c>
      <c r="KL519">
        <v>379.3</v>
      </c>
      <c r="KM519">
        <v>241.4</v>
      </c>
      <c r="KN519">
        <v>0</v>
      </c>
      <c r="KO519">
        <v>0</v>
      </c>
      <c r="KP519">
        <v>57.3</v>
      </c>
      <c r="KQ519">
        <v>224.4</v>
      </c>
      <c r="KR519">
        <v>338.3</v>
      </c>
      <c r="KS519">
        <v>215.8</v>
      </c>
      <c r="KT519">
        <v>40.700000000000003</v>
      </c>
      <c r="KW519">
        <v>2154.5</v>
      </c>
      <c r="KX519">
        <v>1255.7</v>
      </c>
      <c r="KY519">
        <v>1630.1</v>
      </c>
      <c r="KZ519">
        <v>1246.9000000000001</v>
      </c>
      <c r="LB519">
        <v>78.099999999999994</v>
      </c>
      <c r="LC519">
        <v>77.7</v>
      </c>
    </row>
    <row r="520" spans="1:315" ht="18" thickBot="1">
      <c r="A520" s="187"/>
      <c r="B520" s="4"/>
      <c r="C520" s="340" t="s">
        <v>890</v>
      </c>
      <c r="D520" s="296"/>
      <c r="E520" s="452">
        <v>0</v>
      </c>
      <c r="F520" s="212">
        <v>0</v>
      </c>
      <c r="G520" s="427">
        <v>3413.8</v>
      </c>
      <c r="H520" s="155"/>
      <c r="I520">
        <v>735</v>
      </c>
      <c r="K520">
        <v>1973.1000000000001</v>
      </c>
      <c r="L520" s="4">
        <v>221.60000000000002</v>
      </c>
      <c r="M520" s="4">
        <v>54.9</v>
      </c>
      <c r="N520" s="4">
        <v>1989.7</v>
      </c>
      <c r="P520">
        <v>0</v>
      </c>
      <c r="Q520">
        <v>238.29999999999998</v>
      </c>
      <c r="R520">
        <v>0</v>
      </c>
      <c r="S520">
        <v>0</v>
      </c>
      <c r="T520">
        <v>368.5</v>
      </c>
      <c r="W520">
        <v>720.3</v>
      </c>
      <c r="X520">
        <v>1411.5</v>
      </c>
      <c r="Y520">
        <v>96.5</v>
      </c>
      <c r="AA520">
        <v>859.6</v>
      </c>
      <c r="AB520">
        <v>1577.6000000000001</v>
      </c>
      <c r="AE520">
        <v>1330</v>
      </c>
      <c r="AF520">
        <v>1025.5</v>
      </c>
      <c r="AH520">
        <v>509.9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1349.3</v>
      </c>
      <c r="AO520">
        <v>786.40000000000009</v>
      </c>
      <c r="AP520">
        <v>0</v>
      </c>
      <c r="AQ520">
        <v>68.3</v>
      </c>
      <c r="AR520">
        <v>234.9</v>
      </c>
      <c r="AS520">
        <v>600.40000000000009</v>
      </c>
      <c r="AU520">
        <v>985.69999999999993</v>
      </c>
      <c r="AW520">
        <v>792</v>
      </c>
      <c r="AX520">
        <v>1988.5</v>
      </c>
      <c r="AZ520">
        <v>763.5</v>
      </c>
      <c r="BA520">
        <v>0</v>
      </c>
      <c r="BB520">
        <v>0</v>
      </c>
      <c r="BC520">
        <v>1935.3</v>
      </c>
      <c r="BD520">
        <v>1006.5</v>
      </c>
      <c r="BE520">
        <v>0</v>
      </c>
      <c r="BF520">
        <v>0</v>
      </c>
      <c r="BG520">
        <v>0</v>
      </c>
      <c r="BH520">
        <v>1662.6</v>
      </c>
      <c r="BJ520">
        <v>0</v>
      </c>
      <c r="BK520">
        <v>0</v>
      </c>
      <c r="BL520">
        <v>1038.9000000000001</v>
      </c>
      <c r="BM520">
        <v>1101</v>
      </c>
      <c r="BO520">
        <v>1276.8000000000002</v>
      </c>
      <c r="BQ520">
        <v>0</v>
      </c>
      <c r="BR520">
        <v>270.7</v>
      </c>
      <c r="BS520">
        <v>230.5</v>
      </c>
      <c r="BT520">
        <v>472.3</v>
      </c>
      <c r="BU520">
        <v>537.29999999999995</v>
      </c>
      <c r="BV520">
        <v>346.3</v>
      </c>
      <c r="BW520">
        <v>386.2</v>
      </c>
      <c r="BX520">
        <v>767</v>
      </c>
      <c r="BY520">
        <v>757.2</v>
      </c>
      <c r="BZ520">
        <v>1037.2</v>
      </c>
      <c r="CA520">
        <v>1227.0999999999999</v>
      </c>
      <c r="CB520">
        <v>1232.0999999999999</v>
      </c>
      <c r="CC520">
        <v>1701.5</v>
      </c>
      <c r="CD520">
        <v>0</v>
      </c>
      <c r="CG520">
        <v>1385.3</v>
      </c>
      <c r="CJ520">
        <v>1630.2999999999997</v>
      </c>
      <c r="CM520">
        <v>1184.2</v>
      </c>
      <c r="CO520">
        <v>1248.0999999999999</v>
      </c>
      <c r="CQ520">
        <v>1435.3</v>
      </c>
      <c r="CR520">
        <v>798.2</v>
      </c>
      <c r="CS520">
        <v>923.8</v>
      </c>
      <c r="CT520">
        <v>0</v>
      </c>
      <c r="CU520">
        <v>0</v>
      </c>
      <c r="CV520">
        <v>0</v>
      </c>
      <c r="CW520">
        <v>0</v>
      </c>
      <c r="CX520">
        <v>163.69999999999999</v>
      </c>
      <c r="CY520">
        <v>0</v>
      </c>
      <c r="CZ520">
        <v>0</v>
      </c>
      <c r="DA520">
        <v>0</v>
      </c>
      <c r="DB520">
        <v>0</v>
      </c>
      <c r="DC520">
        <v>0</v>
      </c>
      <c r="DD520">
        <v>0</v>
      </c>
      <c r="DE520">
        <v>0</v>
      </c>
      <c r="DI520">
        <v>0</v>
      </c>
      <c r="EC520">
        <v>0</v>
      </c>
      <c r="ED520">
        <v>0</v>
      </c>
      <c r="EE520">
        <v>0</v>
      </c>
      <c r="EF520">
        <v>0</v>
      </c>
      <c r="EG520">
        <v>0</v>
      </c>
      <c r="EH520">
        <v>0</v>
      </c>
      <c r="EI520">
        <v>0</v>
      </c>
      <c r="EJ520">
        <v>0</v>
      </c>
      <c r="EM520">
        <v>0</v>
      </c>
      <c r="EN520">
        <v>0</v>
      </c>
      <c r="EO520">
        <v>0</v>
      </c>
      <c r="EP520">
        <v>0</v>
      </c>
      <c r="EQ520">
        <v>0</v>
      </c>
      <c r="ER520">
        <v>0</v>
      </c>
      <c r="ES520">
        <v>0</v>
      </c>
      <c r="ET520">
        <v>0</v>
      </c>
      <c r="EW520">
        <v>0</v>
      </c>
      <c r="EX520">
        <v>0</v>
      </c>
      <c r="EY520">
        <v>0</v>
      </c>
      <c r="EZ520">
        <v>0</v>
      </c>
      <c r="FA520">
        <v>0</v>
      </c>
      <c r="FB520">
        <v>0</v>
      </c>
      <c r="FC520">
        <v>0</v>
      </c>
      <c r="FD520">
        <v>0</v>
      </c>
      <c r="FG520" t="e">
        <v>#N/A</v>
      </c>
      <c r="FI520" t="e">
        <v>#N/A</v>
      </c>
      <c r="FK520" t="e">
        <v>#N/A</v>
      </c>
      <c r="FM520" t="e">
        <v>#N/A</v>
      </c>
      <c r="FO520" t="e">
        <v>#N/A</v>
      </c>
      <c r="FQ520" t="e">
        <v>#N/A</v>
      </c>
      <c r="FS520" t="e">
        <v>#N/A</v>
      </c>
      <c r="FU520" t="e">
        <v>#N/A</v>
      </c>
      <c r="FW520" t="e">
        <v>#N/A</v>
      </c>
      <c r="FY520" t="e">
        <v>#N/A</v>
      </c>
      <c r="GA520" t="e">
        <v>#N/A</v>
      </c>
      <c r="GC520" t="e">
        <v>#N/A</v>
      </c>
      <c r="GE520" t="e">
        <v>#N/A</v>
      </c>
      <c r="GG520" t="e">
        <v>#N/A</v>
      </c>
      <c r="GI520" t="e">
        <v>#N/A</v>
      </c>
      <c r="GK520" t="e">
        <v>#N/A</v>
      </c>
      <c r="GM520" t="e">
        <v>#N/A</v>
      </c>
      <c r="GO520" t="e">
        <v>#N/A</v>
      </c>
      <c r="GQ520" t="e">
        <v>#N/A</v>
      </c>
      <c r="GS520" t="e">
        <v>#N/A</v>
      </c>
      <c r="GU520" t="e">
        <v>#N/A</v>
      </c>
      <c r="GW520" t="e">
        <v>#N/A</v>
      </c>
      <c r="GY520" t="e">
        <v>#N/A</v>
      </c>
      <c r="HA520" t="e">
        <v>#N/A</v>
      </c>
      <c r="HC520">
        <v>0</v>
      </c>
      <c r="HD520">
        <v>0</v>
      </c>
      <c r="HE520">
        <v>0</v>
      </c>
      <c r="HF520">
        <v>0</v>
      </c>
      <c r="HG520">
        <v>0</v>
      </c>
      <c r="HH520">
        <v>0</v>
      </c>
      <c r="HI520">
        <v>0</v>
      </c>
      <c r="HJ520">
        <v>0</v>
      </c>
      <c r="HM520">
        <v>0</v>
      </c>
      <c r="HN520">
        <v>0</v>
      </c>
      <c r="HO520">
        <v>0</v>
      </c>
      <c r="HP520">
        <v>0</v>
      </c>
      <c r="HQ520">
        <v>0</v>
      </c>
      <c r="HR520">
        <v>0</v>
      </c>
      <c r="HS520">
        <v>0</v>
      </c>
      <c r="HT520">
        <v>0</v>
      </c>
      <c r="HW520">
        <v>0</v>
      </c>
      <c r="HX520">
        <v>0</v>
      </c>
      <c r="HY520">
        <v>0</v>
      </c>
      <c r="HZ520">
        <v>0</v>
      </c>
      <c r="IA520">
        <v>3930.6</v>
      </c>
      <c r="IB520">
        <v>3632.9</v>
      </c>
      <c r="IC520">
        <v>3795.5</v>
      </c>
      <c r="ID520">
        <v>0</v>
      </c>
      <c r="IE520">
        <v>0</v>
      </c>
      <c r="IF520">
        <v>3548.5</v>
      </c>
      <c r="IG520">
        <v>3395.2</v>
      </c>
      <c r="IH520">
        <v>3395.4</v>
      </c>
      <c r="II520">
        <v>3302.3</v>
      </c>
      <c r="IJ520">
        <v>3172.8</v>
      </c>
      <c r="IK520">
        <v>0</v>
      </c>
      <c r="IL520">
        <v>0</v>
      </c>
      <c r="IM520">
        <v>0</v>
      </c>
      <c r="IN520">
        <v>0</v>
      </c>
      <c r="IO520">
        <v>123.4</v>
      </c>
      <c r="IP520">
        <v>405.2</v>
      </c>
      <c r="IQ520">
        <v>418.7</v>
      </c>
      <c r="IR520">
        <v>0</v>
      </c>
      <c r="IS520">
        <v>0</v>
      </c>
      <c r="IT520">
        <v>0</v>
      </c>
      <c r="IU520">
        <v>0</v>
      </c>
      <c r="IV520">
        <v>396</v>
      </c>
      <c r="IW520">
        <v>0</v>
      </c>
      <c r="IX520">
        <v>0</v>
      </c>
      <c r="IZ520">
        <v>0</v>
      </c>
      <c r="JA520">
        <v>65.5</v>
      </c>
      <c r="JB520">
        <v>443.5</v>
      </c>
      <c r="JC520">
        <v>0</v>
      </c>
      <c r="JD520">
        <v>0</v>
      </c>
      <c r="JE520">
        <v>0</v>
      </c>
      <c r="JF520">
        <v>0</v>
      </c>
      <c r="JG520">
        <v>0</v>
      </c>
      <c r="JH520">
        <v>0</v>
      </c>
      <c r="JI520">
        <v>0</v>
      </c>
      <c r="JJ520">
        <v>0</v>
      </c>
      <c r="JK520">
        <v>0</v>
      </c>
      <c r="JL520">
        <v>0</v>
      </c>
      <c r="JM520">
        <v>0</v>
      </c>
      <c r="JN520">
        <v>0</v>
      </c>
      <c r="JO520">
        <v>0</v>
      </c>
      <c r="JP520">
        <v>0</v>
      </c>
      <c r="JQ520">
        <v>0</v>
      </c>
      <c r="JR520">
        <v>0</v>
      </c>
      <c r="JS520">
        <v>0</v>
      </c>
      <c r="JT520">
        <v>0</v>
      </c>
      <c r="JU520">
        <v>0</v>
      </c>
      <c r="JV520">
        <v>0</v>
      </c>
      <c r="JW520">
        <v>0</v>
      </c>
      <c r="JX520">
        <v>0</v>
      </c>
      <c r="JY520">
        <v>0</v>
      </c>
      <c r="JZ520">
        <v>0</v>
      </c>
      <c r="KA520">
        <v>0</v>
      </c>
      <c r="KB520">
        <v>0</v>
      </c>
      <c r="KC520">
        <v>0</v>
      </c>
      <c r="KD520">
        <v>0</v>
      </c>
      <c r="KE520">
        <v>0</v>
      </c>
      <c r="KF520">
        <v>0</v>
      </c>
      <c r="KI520">
        <v>344.6</v>
      </c>
      <c r="KJ520">
        <v>350.8</v>
      </c>
      <c r="KK520">
        <v>22.1</v>
      </c>
      <c r="KL520">
        <v>379.3</v>
      </c>
      <c r="KM520">
        <v>241.4</v>
      </c>
      <c r="KN520">
        <v>0</v>
      </c>
      <c r="KO520">
        <v>0</v>
      </c>
      <c r="KP520">
        <v>57.3</v>
      </c>
      <c r="KQ520">
        <v>224.4</v>
      </c>
      <c r="KR520">
        <v>338.3</v>
      </c>
      <c r="KS520">
        <v>215.8</v>
      </c>
      <c r="KT520">
        <v>40.700000000000003</v>
      </c>
      <c r="KW520">
        <v>2154.5</v>
      </c>
      <c r="KX520">
        <v>1255.7</v>
      </c>
      <c r="KY520">
        <v>1630.1</v>
      </c>
      <c r="KZ520">
        <v>1246.9000000000001</v>
      </c>
      <c r="LB520">
        <v>78.099999999999994</v>
      </c>
      <c r="LC520">
        <v>77.7</v>
      </c>
    </row>
    <row r="521" spans="1:315" ht="18.600000000000001" thickTop="1" thickBot="1">
      <c r="A521" s="188"/>
      <c r="B521" s="4"/>
      <c r="C521" s="351"/>
      <c r="D521" s="301"/>
      <c r="E521" s="455">
        <v>0</v>
      </c>
      <c r="F521" s="223">
        <v>0</v>
      </c>
      <c r="G521" s="427">
        <v>3413.8</v>
      </c>
      <c r="H521" s="155"/>
      <c r="I521">
        <v>735</v>
      </c>
      <c r="K521">
        <v>1973.1000000000001</v>
      </c>
      <c r="L521" s="4">
        <v>221.60000000000002</v>
      </c>
      <c r="M521" s="4">
        <v>54.9</v>
      </c>
      <c r="N521" s="4">
        <v>1989.7</v>
      </c>
      <c r="P521">
        <v>0</v>
      </c>
      <c r="Q521">
        <v>238.29999999999998</v>
      </c>
      <c r="R521">
        <v>0</v>
      </c>
      <c r="S521">
        <v>0</v>
      </c>
      <c r="T521">
        <v>368.5</v>
      </c>
      <c r="W521">
        <v>720.3</v>
      </c>
      <c r="X521">
        <v>1411.5</v>
      </c>
      <c r="Y521">
        <v>96.5</v>
      </c>
      <c r="AA521">
        <v>859.6</v>
      </c>
      <c r="AB521">
        <v>1577.6000000000001</v>
      </c>
      <c r="AE521">
        <v>1330</v>
      </c>
      <c r="AF521">
        <v>1025.5</v>
      </c>
      <c r="AH521">
        <v>509.9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1349.3</v>
      </c>
      <c r="AO521">
        <v>786.40000000000009</v>
      </c>
      <c r="AP521">
        <v>0</v>
      </c>
      <c r="AQ521">
        <v>68.3</v>
      </c>
      <c r="AR521">
        <v>234.9</v>
      </c>
      <c r="AS521">
        <v>600.40000000000009</v>
      </c>
      <c r="AU521">
        <v>985.69999999999993</v>
      </c>
      <c r="AW521">
        <v>792</v>
      </c>
      <c r="AX521">
        <v>1988.5</v>
      </c>
      <c r="AZ521">
        <v>763.5</v>
      </c>
      <c r="BA521">
        <v>0</v>
      </c>
      <c r="BB521">
        <v>0</v>
      </c>
      <c r="BC521">
        <v>1935.3</v>
      </c>
      <c r="BD521">
        <v>1006.5</v>
      </c>
      <c r="BE521">
        <v>0</v>
      </c>
      <c r="BF521">
        <v>0</v>
      </c>
      <c r="BG521">
        <v>0</v>
      </c>
      <c r="BH521">
        <v>1662.6</v>
      </c>
      <c r="BJ521">
        <v>0</v>
      </c>
      <c r="BK521">
        <v>0</v>
      </c>
      <c r="BL521">
        <v>1038.9000000000001</v>
      </c>
      <c r="BM521">
        <v>1101</v>
      </c>
      <c r="BO521">
        <v>1276.8000000000002</v>
      </c>
      <c r="BQ521">
        <v>0</v>
      </c>
      <c r="BR521">
        <v>270.7</v>
      </c>
      <c r="BS521">
        <v>230.5</v>
      </c>
      <c r="BT521">
        <v>472.3</v>
      </c>
      <c r="BU521">
        <v>537.29999999999995</v>
      </c>
      <c r="BV521">
        <v>346.3</v>
      </c>
      <c r="BW521">
        <v>386.2</v>
      </c>
      <c r="BX521">
        <v>767</v>
      </c>
      <c r="BY521">
        <v>757.2</v>
      </c>
      <c r="BZ521">
        <v>1037.2</v>
      </c>
      <c r="CA521">
        <v>1227.0999999999999</v>
      </c>
      <c r="CB521">
        <v>1232.0999999999999</v>
      </c>
      <c r="CC521">
        <v>1701.5</v>
      </c>
      <c r="CD521">
        <v>0</v>
      </c>
      <c r="CG521">
        <v>1385.3</v>
      </c>
      <c r="CJ521">
        <v>1630.2999999999997</v>
      </c>
      <c r="CM521">
        <v>1184.2</v>
      </c>
      <c r="CO521">
        <v>1248.0999999999999</v>
      </c>
      <c r="CQ521">
        <v>1435.3</v>
      </c>
      <c r="CR521">
        <v>798.2</v>
      </c>
      <c r="CS521">
        <v>923.8</v>
      </c>
      <c r="CT521">
        <v>0</v>
      </c>
      <c r="CU521">
        <v>0</v>
      </c>
      <c r="CV521">
        <v>0</v>
      </c>
      <c r="CW521">
        <v>0</v>
      </c>
      <c r="CX521">
        <v>163.69999999999999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0</v>
      </c>
      <c r="DE521">
        <v>0</v>
      </c>
      <c r="DI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0</v>
      </c>
      <c r="EJ521">
        <v>0</v>
      </c>
      <c r="EM521">
        <v>0</v>
      </c>
      <c r="EN521">
        <v>0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0</v>
      </c>
      <c r="FD521">
        <v>0</v>
      </c>
      <c r="FG521" t="e">
        <v>#N/A</v>
      </c>
      <c r="FI521" t="e">
        <v>#N/A</v>
      </c>
      <c r="FK521" t="e">
        <v>#N/A</v>
      </c>
      <c r="FM521" t="e">
        <v>#N/A</v>
      </c>
      <c r="FO521" t="e">
        <v>#N/A</v>
      </c>
      <c r="FQ521" t="e">
        <v>#N/A</v>
      </c>
      <c r="FS521" t="e">
        <v>#N/A</v>
      </c>
      <c r="FU521" t="e">
        <v>#N/A</v>
      </c>
      <c r="FW521" t="e">
        <v>#N/A</v>
      </c>
      <c r="FY521" t="e">
        <v>#N/A</v>
      </c>
      <c r="GA521" t="e">
        <v>#N/A</v>
      </c>
      <c r="GC521" t="e">
        <v>#N/A</v>
      </c>
      <c r="GE521" t="e">
        <v>#N/A</v>
      </c>
      <c r="GG521" t="e">
        <v>#N/A</v>
      </c>
      <c r="GI521" t="e">
        <v>#N/A</v>
      </c>
      <c r="GK521" t="e">
        <v>#N/A</v>
      </c>
      <c r="GM521" t="e">
        <v>#N/A</v>
      </c>
      <c r="GO521" t="e">
        <v>#N/A</v>
      </c>
      <c r="GQ521" t="e">
        <v>#N/A</v>
      </c>
      <c r="GS521" t="e">
        <v>#N/A</v>
      </c>
      <c r="GU521" t="e">
        <v>#N/A</v>
      </c>
      <c r="GW521" t="e">
        <v>#N/A</v>
      </c>
      <c r="GY521" t="e">
        <v>#N/A</v>
      </c>
      <c r="HA521" t="e">
        <v>#N/A</v>
      </c>
      <c r="HC521">
        <v>0</v>
      </c>
      <c r="HD521">
        <v>0</v>
      </c>
      <c r="HE521">
        <v>0</v>
      </c>
      <c r="HF521">
        <v>0</v>
      </c>
      <c r="HG521">
        <v>0</v>
      </c>
      <c r="HH521">
        <v>0</v>
      </c>
      <c r="HI521">
        <v>0</v>
      </c>
      <c r="HJ521">
        <v>0</v>
      </c>
      <c r="HM521">
        <v>0</v>
      </c>
      <c r="HN521">
        <v>0</v>
      </c>
      <c r="HO521">
        <v>0</v>
      </c>
      <c r="HP521">
        <v>0</v>
      </c>
      <c r="HQ521">
        <v>0</v>
      </c>
      <c r="HR521">
        <v>0</v>
      </c>
      <c r="HS521">
        <v>0</v>
      </c>
      <c r="HT521">
        <v>0</v>
      </c>
      <c r="HW521">
        <v>0</v>
      </c>
      <c r="HX521">
        <v>0</v>
      </c>
      <c r="HY521">
        <v>0</v>
      </c>
      <c r="HZ521">
        <v>0</v>
      </c>
      <c r="IA521">
        <v>3930.6</v>
      </c>
      <c r="IB521">
        <v>3632.9</v>
      </c>
      <c r="IC521">
        <v>3795.5</v>
      </c>
      <c r="ID521">
        <v>0</v>
      </c>
      <c r="IE521">
        <v>0</v>
      </c>
      <c r="IF521">
        <v>3548.5</v>
      </c>
      <c r="IG521">
        <v>3395.2</v>
      </c>
      <c r="IH521">
        <v>3395.4</v>
      </c>
      <c r="II521">
        <v>3302.3</v>
      </c>
      <c r="IJ521">
        <v>3172.8</v>
      </c>
      <c r="IK521">
        <v>0</v>
      </c>
      <c r="IL521">
        <v>0</v>
      </c>
      <c r="IM521">
        <v>0</v>
      </c>
      <c r="IN521">
        <v>0</v>
      </c>
      <c r="IO521">
        <v>123.4</v>
      </c>
      <c r="IP521">
        <v>405.2</v>
      </c>
      <c r="IQ521">
        <v>418.7</v>
      </c>
      <c r="IR521">
        <v>0</v>
      </c>
      <c r="IS521">
        <v>0</v>
      </c>
      <c r="IT521">
        <v>0</v>
      </c>
      <c r="IU521">
        <v>0</v>
      </c>
      <c r="IV521">
        <v>396</v>
      </c>
      <c r="IW521">
        <v>0</v>
      </c>
      <c r="IX521">
        <v>0</v>
      </c>
      <c r="IZ521">
        <v>0</v>
      </c>
      <c r="JA521">
        <v>65.5</v>
      </c>
      <c r="JB521">
        <v>443.5</v>
      </c>
      <c r="JC521">
        <v>0</v>
      </c>
      <c r="JD521">
        <v>0</v>
      </c>
      <c r="JE521">
        <v>0</v>
      </c>
      <c r="JF521">
        <v>0</v>
      </c>
      <c r="JG521">
        <v>0</v>
      </c>
      <c r="JH521">
        <v>0</v>
      </c>
      <c r="JI521">
        <v>0</v>
      </c>
      <c r="JJ521">
        <v>0</v>
      </c>
      <c r="JK521">
        <v>0</v>
      </c>
      <c r="JL521">
        <v>0</v>
      </c>
      <c r="JM521">
        <v>0</v>
      </c>
      <c r="JN521">
        <v>0</v>
      </c>
      <c r="JO521">
        <v>0</v>
      </c>
      <c r="JP521">
        <v>0</v>
      </c>
      <c r="JQ521">
        <v>0</v>
      </c>
      <c r="JR521">
        <v>0</v>
      </c>
      <c r="JS521">
        <v>0</v>
      </c>
      <c r="JT521">
        <v>0</v>
      </c>
      <c r="JU521">
        <v>0</v>
      </c>
      <c r="JV521">
        <v>0</v>
      </c>
      <c r="JW521">
        <v>0</v>
      </c>
      <c r="JX521">
        <v>0</v>
      </c>
      <c r="JY521">
        <v>0</v>
      </c>
      <c r="JZ521">
        <v>0</v>
      </c>
      <c r="KA521">
        <v>0</v>
      </c>
      <c r="KB521">
        <v>0</v>
      </c>
      <c r="KC521">
        <v>0</v>
      </c>
      <c r="KD521">
        <v>0</v>
      </c>
      <c r="KE521">
        <v>0</v>
      </c>
      <c r="KF521">
        <v>0</v>
      </c>
      <c r="KI521">
        <v>344.6</v>
      </c>
      <c r="KJ521">
        <v>350.8</v>
      </c>
      <c r="KK521">
        <v>22.1</v>
      </c>
      <c r="KL521">
        <v>379.3</v>
      </c>
      <c r="KM521">
        <v>241.4</v>
      </c>
      <c r="KN521">
        <v>0</v>
      </c>
      <c r="KO521">
        <v>0</v>
      </c>
      <c r="KP521">
        <v>57.3</v>
      </c>
      <c r="KQ521">
        <v>224.4</v>
      </c>
      <c r="KR521">
        <v>338.3</v>
      </c>
      <c r="KS521">
        <v>215.8</v>
      </c>
      <c r="KT521">
        <v>40.700000000000003</v>
      </c>
      <c r="KW521">
        <v>2154.5</v>
      </c>
      <c r="KX521">
        <v>1255.7</v>
      </c>
      <c r="KY521">
        <v>1630.1</v>
      </c>
      <c r="KZ521">
        <v>1246.9000000000001</v>
      </c>
      <c r="LB521">
        <v>78.099999999999994</v>
      </c>
      <c r="LC521">
        <v>77.7</v>
      </c>
    </row>
    <row r="522" spans="1:315" ht="53.4" thickTop="1" thickBot="1">
      <c r="A522" s="247"/>
      <c r="B522" s="4"/>
      <c r="C522" s="352" t="s">
        <v>906</v>
      </c>
      <c r="D522" s="302" t="s">
        <v>829</v>
      </c>
      <c r="E522" s="442">
        <v>0</v>
      </c>
      <c r="F522" s="236">
        <v>0</v>
      </c>
      <c r="G522" s="427">
        <v>3413.8</v>
      </c>
      <c r="H522" s="155"/>
      <c r="I522">
        <v>735</v>
      </c>
      <c r="K522">
        <v>1973.1000000000001</v>
      </c>
      <c r="L522" s="4">
        <v>221.60000000000002</v>
      </c>
      <c r="M522" s="4">
        <v>54.9</v>
      </c>
      <c r="N522" s="4">
        <v>1989.7</v>
      </c>
      <c r="P522">
        <v>0</v>
      </c>
      <c r="Q522">
        <v>238.29999999999998</v>
      </c>
      <c r="R522">
        <v>0</v>
      </c>
      <c r="S522">
        <v>0</v>
      </c>
      <c r="T522">
        <v>368.5</v>
      </c>
      <c r="W522">
        <v>720.3</v>
      </c>
      <c r="X522">
        <v>1411.5</v>
      </c>
      <c r="Y522">
        <v>96.5</v>
      </c>
      <c r="AA522">
        <v>859.6</v>
      </c>
      <c r="AB522">
        <v>1577.6000000000001</v>
      </c>
      <c r="AE522">
        <v>1330</v>
      </c>
      <c r="AF522">
        <v>1025.5</v>
      </c>
      <c r="AH522">
        <v>509.9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1349.3</v>
      </c>
      <c r="AO522">
        <v>786.40000000000009</v>
      </c>
      <c r="AP522">
        <v>0</v>
      </c>
      <c r="AQ522">
        <v>68.3</v>
      </c>
      <c r="AR522">
        <v>234.9</v>
      </c>
      <c r="AS522">
        <v>600.40000000000009</v>
      </c>
      <c r="AU522">
        <v>985.69999999999993</v>
      </c>
      <c r="AW522">
        <v>792</v>
      </c>
      <c r="AX522">
        <v>1988.5</v>
      </c>
      <c r="AZ522">
        <v>763.5</v>
      </c>
      <c r="BA522">
        <v>0</v>
      </c>
      <c r="BB522">
        <v>0</v>
      </c>
      <c r="BC522">
        <v>1935.3</v>
      </c>
      <c r="BD522">
        <v>1006.5</v>
      </c>
      <c r="BE522">
        <v>0</v>
      </c>
      <c r="BF522">
        <v>0</v>
      </c>
      <c r="BG522">
        <v>0</v>
      </c>
      <c r="BH522">
        <v>1662.6</v>
      </c>
      <c r="BJ522">
        <v>0</v>
      </c>
      <c r="BK522">
        <v>0</v>
      </c>
      <c r="BL522">
        <v>1038.9000000000001</v>
      </c>
      <c r="BM522">
        <v>1101</v>
      </c>
      <c r="BO522">
        <v>1276.8000000000002</v>
      </c>
      <c r="BQ522">
        <v>0</v>
      </c>
      <c r="BR522">
        <v>270.7</v>
      </c>
      <c r="BS522">
        <v>230.5</v>
      </c>
      <c r="BT522">
        <v>472.3</v>
      </c>
      <c r="BU522">
        <v>537.29999999999995</v>
      </c>
      <c r="BV522">
        <v>346.3</v>
      </c>
      <c r="BW522">
        <v>386.2</v>
      </c>
      <c r="BX522">
        <v>767</v>
      </c>
      <c r="BY522">
        <v>757.2</v>
      </c>
      <c r="BZ522">
        <v>1037.2</v>
      </c>
      <c r="CA522">
        <v>1227.0999999999999</v>
      </c>
      <c r="CB522">
        <v>1232.0999999999999</v>
      </c>
      <c r="CC522">
        <v>1701.5</v>
      </c>
      <c r="CD522">
        <v>0</v>
      </c>
      <c r="CG522">
        <v>1385.3</v>
      </c>
      <c r="CJ522">
        <v>1630.2999999999997</v>
      </c>
      <c r="CM522">
        <v>1184.2</v>
      </c>
      <c r="CO522">
        <v>1248.0999999999999</v>
      </c>
      <c r="CQ522">
        <v>1435.3</v>
      </c>
      <c r="CR522">
        <v>798.2</v>
      </c>
      <c r="CS522">
        <v>923.8</v>
      </c>
      <c r="CT522">
        <v>0</v>
      </c>
      <c r="CU522">
        <v>0</v>
      </c>
      <c r="CV522">
        <v>0</v>
      </c>
      <c r="CW522">
        <v>0</v>
      </c>
      <c r="CX522">
        <v>163.69999999999999</v>
      </c>
      <c r="CY522">
        <v>0</v>
      </c>
      <c r="CZ522">
        <v>0</v>
      </c>
      <c r="DA522">
        <v>0</v>
      </c>
      <c r="DB522">
        <v>0</v>
      </c>
      <c r="DC522">
        <v>0</v>
      </c>
      <c r="DD522">
        <v>0</v>
      </c>
      <c r="DE522">
        <v>0</v>
      </c>
      <c r="DI522">
        <v>0</v>
      </c>
      <c r="EC522">
        <v>0</v>
      </c>
      <c r="ED522">
        <v>0</v>
      </c>
      <c r="EE522">
        <v>0</v>
      </c>
      <c r="EF522">
        <v>0</v>
      </c>
      <c r="EG522">
        <v>0</v>
      </c>
      <c r="EH522">
        <v>0</v>
      </c>
      <c r="EI522">
        <v>0</v>
      </c>
      <c r="EJ522">
        <v>0</v>
      </c>
      <c r="EM522">
        <v>0</v>
      </c>
      <c r="EN522">
        <v>0</v>
      </c>
      <c r="EO522">
        <v>0</v>
      </c>
      <c r="EP522">
        <v>0</v>
      </c>
      <c r="EQ522">
        <v>0</v>
      </c>
      <c r="ER522">
        <v>0</v>
      </c>
      <c r="ES522">
        <v>0</v>
      </c>
      <c r="ET522">
        <v>0</v>
      </c>
      <c r="EW522">
        <v>0</v>
      </c>
      <c r="EX522">
        <v>0</v>
      </c>
      <c r="EY522">
        <v>0</v>
      </c>
      <c r="EZ522">
        <v>0</v>
      </c>
      <c r="FA522">
        <v>0</v>
      </c>
      <c r="FB522">
        <v>0</v>
      </c>
      <c r="FC522">
        <v>0</v>
      </c>
      <c r="FD522">
        <v>0</v>
      </c>
      <c r="FG522" t="e">
        <v>#N/A</v>
      </c>
      <c r="FI522" t="e">
        <v>#N/A</v>
      </c>
      <c r="FK522" t="e">
        <v>#N/A</v>
      </c>
      <c r="FM522" t="e">
        <v>#N/A</v>
      </c>
      <c r="FO522" t="e">
        <v>#N/A</v>
      </c>
      <c r="FQ522" t="e">
        <v>#N/A</v>
      </c>
      <c r="FS522" t="e">
        <v>#N/A</v>
      </c>
      <c r="FU522" t="e">
        <v>#N/A</v>
      </c>
      <c r="FW522" t="e">
        <v>#N/A</v>
      </c>
      <c r="FY522" t="e">
        <v>#N/A</v>
      </c>
      <c r="GA522" t="e">
        <v>#N/A</v>
      </c>
      <c r="GC522" t="e">
        <v>#N/A</v>
      </c>
      <c r="GE522" t="e">
        <v>#N/A</v>
      </c>
      <c r="GG522" t="e">
        <v>#N/A</v>
      </c>
      <c r="GI522" t="e">
        <v>#N/A</v>
      </c>
      <c r="GK522" t="e">
        <v>#N/A</v>
      </c>
      <c r="GM522" t="e">
        <v>#N/A</v>
      </c>
      <c r="GO522" t="e">
        <v>#N/A</v>
      </c>
      <c r="GQ522" t="e">
        <v>#N/A</v>
      </c>
      <c r="GS522" t="e">
        <v>#N/A</v>
      </c>
      <c r="GU522" t="e">
        <v>#N/A</v>
      </c>
      <c r="GW522" t="e">
        <v>#N/A</v>
      </c>
      <c r="GY522" t="e">
        <v>#N/A</v>
      </c>
      <c r="HA522" t="e">
        <v>#N/A</v>
      </c>
      <c r="HC522">
        <v>0</v>
      </c>
      <c r="HD522">
        <v>0</v>
      </c>
      <c r="HE522">
        <v>0</v>
      </c>
      <c r="HF522">
        <v>0</v>
      </c>
      <c r="HG522">
        <v>0</v>
      </c>
      <c r="HH522">
        <v>0</v>
      </c>
      <c r="HI522">
        <v>0</v>
      </c>
      <c r="HJ522">
        <v>0</v>
      </c>
      <c r="HM522">
        <v>0</v>
      </c>
      <c r="HN522">
        <v>0</v>
      </c>
      <c r="HO522">
        <v>0</v>
      </c>
      <c r="HP522">
        <v>0</v>
      </c>
      <c r="HQ522">
        <v>0</v>
      </c>
      <c r="HR522">
        <v>0</v>
      </c>
      <c r="HS522">
        <v>0</v>
      </c>
      <c r="HT522">
        <v>0</v>
      </c>
      <c r="HW522">
        <v>0</v>
      </c>
      <c r="HX522">
        <v>0</v>
      </c>
      <c r="HY522">
        <v>0</v>
      </c>
      <c r="HZ522">
        <v>0</v>
      </c>
      <c r="IA522">
        <v>3930.6</v>
      </c>
      <c r="IB522">
        <v>3632.9</v>
      </c>
      <c r="IC522">
        <v>3795.5</v>
      </c>
      <c r="ID522">
        <v>0</v>
      </c>
      <c r="IE522">
        <v>0</v>
      </c>
      <c r="IF522">
        <v>3548.5</v>
      </c>
      <c r="IG522">
        <v>3395.2</v>
      </c>
      <c r="IH522">
        <v>3395.4</v>
      </c>
      <c r="II522">
        <v>3302.3</v>
      </c>
      <c r="IJ522">
        <v>3172.8</v>
      </c>
      <c r="IK522">
        <v>0</v>
      </c>
      <c r="IL522">
        <v>0</v>
      </c>
      <c r="IM522">
        <v>0</v>
      </c>
      <c r="IN522">
        <v>0</v>
      </c>
      <c r="IO522">
        <v>123.4</v>
      </c>
      <c r="IP522">
        <v>405.2</v>
      </c>
      <c r="IQ522">
        <v>418.7</v>
      </c>
      <c r="IR522">
        <v>0</v>
      </c>
      <c r="IS522">
        <v>0</v>
      </c>
      <c r="IT522">
        <v>0</v>
      </c>
      <c r="IU522">
        <v>0</v>
      </c>
      <c r="IV522">
        <v>396</v>
      </c>
      <c r="IW522">
        <v>0</v>
      </c>
      <c r="IX522">
        <v>0</v>
      </c>
      <c r="IZ522">
        <v>0</v>
      </c>
      <c r="JA522">
        <v>65.5</v>
      </c>
      <c r="JB522">
        <v>443.5</v>
      </c>
      <c r="JC522">
        <v>0</v>
      </c>
      <c r="JD522">
        <v>0</v>
      </c>
      <c r="JE522">
        <v>0</v>
      </c>
      <c r="JF522">
        <v>0</v>
      </c>
      <c r="JG522">
        <v>0</v>
      </c>
      <c r="JH522">
        <v>0</v>
      </c>
      <c r="JI522">
        <v>0</v>
      </c>
      <c r="JJ522">
        <v>0</v>
      </c>
      <c r="JK522">
        <v>0</v>
      </c>
      <c r="JL522">
        <v>0</v>
      </c>
      <c r="JM522">
        <v>0</v>
      </c>
      <c r="JN522">
        <v>0</v>
      </c>
      <c r="JO522">
        <v>0</v>
      </c>
      <c r="JP522">
        <v>0</v>
      </c>
      <c r="JQ522">
        <v>0</v>
      </c>
      <c r="JR522">
        <v>0</v>
      </c>
      <c r="JS522">
        <v>0</v>
      </c>
      <c r="JT522">
        <v>0</v>
      </c>
      <c r="JU522">
        <v>0</v>
      </c>
      <c r="JV522">
        <v>0</v>
      </c>
      <c r="JW522">
        <v>0</v>
      </c>
      <c r="JX522">
        <v>0</v>
      </c>
      <c r="JY522">
        <v>0</v>
      </c>
      <c r="JZ522">
        <v>0</v>
      </c>
      <c r="KA522">
        <v>0</v>
      </c>
      <c r="KB522">
        <v>0</v>
      </c>
      <c r="KC522">
        <v>0</v>
      </c>
      <c r="KD522">
        <v>0</v>
      </c>
      <c r="KE522">
        <v>0</v>
      </c>
      <c r="KF522">
        <v>0</v>
      </c>
      <c r="KI522">
        <v>344.6</v>
      </c>
      <c r="KJ522">
        <v>350.8</v>
      </c>
      <c r="KK522">
        <v>22.1</v>
      </c>
      <c r="KL522">
        <v>379.3</v>
      </c>
      <c r="KM522">
        <v>241.4</v>
      </c>
      <c r="KN522">
        <v>0</v>
      </c>
      <c r="KO522">
        <v>0</v>
      </c>
      <c r="KP522">
        <v>57.3</v>
      </c>
      <c r="KQ522">
        <v>224.4</v>
      </c>
      <c r="KR522">
        <v>338.3</v>
      </c>
      <c r="KS522">
        <v>215.8</v>
      </c>
      <c r="KT522">
        <v>40.700000000000003</v>
      </c>
      <c r="KW522">
        <v>2154.5</v>
      </c>
      <c r="KX522">
        <v>1255.7</v>
      </c>
      <c r="KY522">
        <v>1630.1</v>
      </c>
      <c r="KZ522">
        <v>1246.9000000000001</v>
      </c>
      <c r="LB522">
        <v>78.099999999999994</v>
      </c>
      <c r="LC522">
        <v>77.7</v>
      </c>
    </row>
    <row r="523" spans="1:315" ht="35.4" thickBot="1">
      <c r="A523" s="248"/>
      <c r="B523" s="4"/>
      <c r="C523" s="353"/>
      <c r="D523" s="303" t="s">
        <v>830</v>
      </c>
      <c r="E523" s="456">
        <v>0</v>
      </c>
      <c r="F523" s="237">
        <v>0</v>
      </c>
      <c r="G523" s="427">
        <v>3413.8</v>
      </c>
      <c r="H523" s="155"/>
      <c r="I523">
        <v>735</v>
      </c>
      <c r="K523">
        <v>1973.1000000000001</v>
      </c>
      <c r="L523" s="4">
        <v>221.60000000000002</v>
      </c>
      <c r="M523" s="4">
        <v>54.9</v>
      </c>
      <c r="N523" s="4">
        <v>1989.7</v>
      </c>
      <c r="P523">
        <v>0</v>
      </c>
      <c r="Q523">
        <v>238.29999999999998</v>
      </c>
      <c r="R523">
        <v>0</v>
      </c>
      <c r="S523">
        <v>0</v>
      </c>
      <c r="T523">
        <v>368.5</v>
      </c>
      <c r="W523">
        <v>720.3</v>
      </c>
      <c r="X523">
        <v>1411.5</v>
      </c>
      <c r="Y523">
        <v>96.5</v>
      </c>
      <c r="AA523">
        <v>859.6</v>
      </c>
      <c r="AB523">
        <v>1577.6000000000001</v>
      </c>
      <c r="AE523">
        <v>1330</v>
      </c>
      <c r="AF523">
        <v>1025.5</v>
      </c>
      <c r="AH523">
        <v>509.9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1349.3</v>
      </c>
      <c r="AO523">
        <v>786.40000000000009</v>
      </c>
      <c r="AP523">
        <v>0</v>
      </c>
      <c r="AQ523">
        <v>68.3</v>
      </c>
      <c r="AR523">
        <v>234.9</v>
      </c>
      <c r="AS523">
        <v>600.40000000000009</v>
      </c>
      <c r="AU523">
        <v>985.69999999999993</v>
      </c>
      <c r="AW523">
        <v>792</v>
      </c>
      <c r="AX523">
        <v>1988.5</v>
      </c>
      <c r="AZ523">
        <v>763.5</v>
      </c>
      <c r="BA523">
        <v>0</v>
      </c>
      <c r="BB523">
        <v>0</v>
      </c>
      <c r="BC523">
        <v>1935.3</v>
      </c>
      <c r="BD523">
        <v>1006.5</v>
      </c>
      <c r="BE523">
        <v>0</v>
      </c>
      <c r="BF523">
        <v>0</v>
      </c>
      <c r="BG523">
        <v>0</v>
      </c>
      <c r="BH523">
        <v>1662.6</v>
      </c>
      <c r="BJ523">
        <v>0</v>
      </c>
      <c r="BK523">
        <v>0</v>
      </c>
      <c r="BL523">
        <v>1038.9000000000001</v>
      </c>
      <c r="BM523">
        <v>1101</v>
      </c>
      <c r="BO523">
        <v>1276.8000000000002</v>
      </c>
      <c r="BQ523">
        <v>0</v>
      </c>
      <c r="BR523">
        <v>270.7</v>
      </c>
      <c r="BS523">
        <v>230.5</v>
      </c>
      <c r="BT523">
        <v>472.3</v>
      </c>
      <c r="BU523">
        <v>537.29999999999995</v>
      </c>
      <c r="BV523">
        <v>346.3</v>
      </c>
      <c r="BW523">
        <v>386.2</v>
      </c>
      <c r="BX523">
        <v>767</v>
      </c>
      <c r="BY523">
        <v>757.2</v>
      </c>
      <c r="BZ523">
        <v>1037.2</v>
      </c>
      <c r="CA523">
        <v>1227.0999999999999</v>
      </c>
      <c r="CB523">
        <v>1232.0999999999999</v>
      </c>
      <c r="CC523">
        <v>1701.5</v>
      </c>
      <c r="CD523">
        <v>0</v>
      </c>
      <c r="CG523">
        <v>1385.3</v>
      </c>
      <c r="CJ523">
        <v>1630.2999999999997</v>
      </c>
      <c r="CM523">
        <v>1184.2</v>
      </c>
      <c r="CO523">
        <v>1248.0999999999999</v>
      </c>
      <c r="CQ523">
        <v>1435.3</v>
      </c>
      <c r="CR523">
        <v>798.2</v>
      </c>
      <c r="CS523">
        <v>923.8</v>
      </c>
      <c r="CT523">
        <v>0</v>
      </c>
      <c r="CU523">
        <v>0</v>
      </c>
      <c r="CV523">
        <v>0</v>
      </c>
      <c r="CW523">
        <v>0</v>
      </c>
      <c r="CX523">
        <v>163.69999999999999</v>
      </c>
      <c r="CY523">
        <v>0</v>
      </c>
      <c r="CZ523">
        <v>0</v>
      </c>
      <c r="DA523">
        <v>0</v>
      </c>
      <c r="DB523">
        <v>0</v>
      </c>
      <c r="DC523">
        <v>0</v>
      </c>
      <c r="DD523">
        <v>0</v>
      </c>
      <c r="DE523">
        <v>0</v>
      </c>
      <c r="DI523">
        <v>0</v>
      </c>
      <c r="EC523">
        <v>0</v>
      </c>
      <c r="ED523">
        <v>0</v>
      </c>
      <c r="EE523">
        <v>0</v>
      </c>
      <c r="EF523">
        <v>0</v>
      </c>
      <c r="EG523">
        <v>0</v>
      </c>
      <c r="EH523">
        <v>0</v>
      </c>
      <c r="EI523">
        <v>0</v>
      </c>
      <c r="EJ523">
        <v>0</v>
      </c>
      <c r="EM523">
        <v>0</v>
      </c>
      <c r="EN523">
        <v>0</v>
      </c>
      <c r="EO523">
        <v>0</v>
      </c>
      <c r="EP523">
        <v>0</v>
      </c>
      <c r="EQ523">
        <v>0</v>
      </c>
      <c r="ER523">
        <v>0</v>
      </c>
      <c r="ES523">
        <v>0</v>
      </c>
      <c r="ET523">
        <v>0</v>
      </c>
      <c r="EW523">
        <v>0</v>
      </c>
      <c r="EX523">
        <v>0</v>
      </c>
      <c r="EY523">
        <v>0</v>
      </c>
      <c r="EZ523">
        <v>0</v>
      </c>
      <c r="FA523">
        <v>0</v>
      </c>
      <c r="FB523">
        <v>0</v>
      </c>
      <c r="FC523">
        <v>0</v>
      </c>
      <c r="FD523">
        <v>0</v>
      </c>
      <c r="FG523" t="e">
        <v>#N/A</v>
      </c>
      <c r="FI523" t="e">
        <v>#N/A</v>
      </c>
      <c r="FK523" t="e">
        <v>#N/A</v>
      </c>
      <c r="FM523" t="e">
        <v>#N/A</v>
      </c>
      <c r="FO523" t="e">
        <v>#N/A</v>
      </c>
      <c r="FQ523" t="e">
        <v>#N/A</v>
      </c>
      <c r="FS523" t="e">
        <v>#N/A</v>
      </c>
      <c r="FU523" t="e">
        <v>#N/A</v>
      </c>
      <c r="FW523" t="e">
        <v>#N/A</v>
      </c>
      <c r="FY523" t="e">
        <v>#N/A</v>
      </c>
      <c r="GA523" t="e">
        <v>#N/A</v>
      </c>
      <c r="GC523" t="e">
        <v>#N/A</v>
      </c>
      <c r="GE523" t="e">
        <v>#N/A</v>
      </c>
      <c r="GG523" t="e">
        <v>#N/A</v>
      </c>
      <c r="GI523" t="e">
        <v>#N/A</v>
      </c>
      <c r="GK523" t="e">
        <v>#N/A</v>
      </c>
      <c r="GM523" t="e">
        <v>#N/A</v>
      </c>
      <c r="GO523" t="e">
        <v>#N/A</v>
      </c>
      <c r="GQ523" t="e">
        <v>#N/A</v>
      </c>
      <c r="GS523" t="e">
        <v>#N/A</v>
      </c>
      <c r="GU523" t="e">
        <v>#N/A</v>
      </c>
      <c r="GW523" t="e">
        <v>#N/A</v>
      </c>
      <c r="GY523" t="e">
        <v>#N/A</v>
      </c>
      <c r="HA523" t="e">
        <v>#N/A</v>
      </c>
      <c r="HC523">
        <v>0</v>
      </c>
      <c r="HD523">
        <v>0</v>
      </c>
      <c r="HE523">
        <v>0</v>
      </c>
      <c r="HF523">
        <v>0</v>
      </c>
      <c r="HG523">
        <v>0</v>
      </c>
      <c r="HH523">
        <v>0</v>
      </c>
      <c r="HI523">
        <v>0</v>
      </c>
      <c r="HJ523">
        <v>0</v>
      </c>
      <c r="HM523">
        <v>0</v>
      </c>
      <c r="HN523">
        <v>0</v>
      </c>
      <c r="HO523">
        <v>0</v>
      </c>
      <c r="HP523">
        <v>0</v>
      </c>
      <c r="HQ523">
        <v>0</v>
      </c>
      <c r="HR523">
        <v>0</v>
      </c>
      <c r="HS523">
        <v>0</v>
      </c>
      <c r="HT523">
        <v>0</v>
      </c>
      <c r="HW523">
        <v>0</v>
      </c>
      <c r="HX523">
        <v>0</v>
      </c>
      <c r="HY523">
        <v>0</v>
      </c>
      <c r="HZ523">
        <v>0</v>
      </c>
      <c r="IA523">
        <v>3930.6</v>
      </c>
      <c r="IB523">
        <v>3632.9</v>
      </c>
      <c r="IC523">
        <v>3795.5</v>
      </c>
      <c r="ID523">
        <v>0</v>
      </c>
      <c r="IE523">
        <v>0</v>
      </c>
      <c r="IF523">
        <v>3548.5</v>
      </c>
      <c r="IG523">
        <v>3395.2</v>
      </c>
      <c r="IH523">
        <v>3395.4</v>
      </c>
      <c r="II523">
        <v>3302.3</v>
      </c>
      <c r="IJ523">
        <v>3172.8</v>
      </c>
      <c r="IK523">
        <v>0</v>
      </c>
      <c r="IL523">
        <v>0</v>
      </c>
      <c r="IM523">
        <v>0</v>
      </c>
      <c r="IN523">
        <v>0</v>
      </c>
      <c r="IO523">
        <v>123.4</v>
      </c>
      <c r="IP523">
        <v>405.2</v>
      </c>
      <c r="IQ523">
        <v>418.7</v>
      </c>
      <c r="IR523">
        <v>0</v>
      </c>
      <c r="IS523">
        <v>0</v>
      </c>
      <c r="IT523">
        <v>0</v>
      </c>
      <c r="IU523">
        <v>0</v>
      </c>
      <c r="IV523">
        <v>396</v>
      </c>
      <c r="IW523">
        <v>0</v>
      </c>
      <c r="IX523">
        <v>0</v>
      </c>
      <c r="IZ523">
        <v>0</v>
      </c>
      <c r="JA523">
        <v>65.5</v>
      </c>
      <c r="JB523">
        <v>443.5</v>
      </c>
      <c r="JC523">
        <v>0</v>
      </c>
      <c r="JD523">
        <v>0</v>
      </c>
      <c r="JE523">
        <v>0</v>
      </c>
      <c r="JF523">
        <v>0</v>
      </c>
      <c r="JG523">
        <v>0</v>
      </c>
      <c r="JH523">
        <v>0</v>
      </c>
      <c r="JI523">
        <v>0</v>
      </c>
      <c r="JJ523">
        <v>0</v>
      </c>
      <c r="JK523">
        <v>0</v>
      </c>
      <c r="JL523">
        <v>0</v>
      </c>
      <c r="JM523">
        <v>0</v>
      </c>
      <c r="JN523">
        <v>0</v>
      </c>
      <c r="JO523">
        <v>0</v>
      </c>
      <c r="JP523">
        <v>0</v>
      </c>
      <c r="JQ523">
        <v>0</v>
      </c>
      <c r="JR523">
        <v>0</v>
      </c>
      <c r="JS523">
        <v>0</v>
      </c>
      <c r="JT523">
        <v>0</v>
      </c>
      <c r="JU523">
        <v>0</v>
      </c>
      <c r="JV523">
        <v>0</v>
      </c>
      <c r="JW523">
        <v>0</v>
      </c>
      <c r="JX523">
        <v>0</v>
      </c>
      <c r="JY523">
        <v>0</v>
      </c>
      <c r="JZ523">
        <v>0</v>
      </c>
      <c r="KA523">
        <v>0</v>
      </c>
      <c r="KB523">
        <v>0</v>
      </c>
      <c r="KC523">
        <v>0</v>
      </c>
      <c r="KD523">
        <v>0</v>
      </c>
      <c r="KE523">
        <v>0</v>
      </c>
      <c r="KF523">
        <v>0</v>
      </c>
      <c r="KI523">
        <v>344.6</v>
      </c>
      <c r="KJ523">
        <v>350.8</v>
      </c>
      <c r="KK523">
        <v>22.1</v>
      </c>
      <c r="KL523">
        <v>379.3</v>
      </c>
      <c r="KM523">
        <v>241.4</v>
      </c>
      <c r="KN523">
        <v>0</v>
      </c>
      <c r="KO523">
        <v>0</v>
      </c>
      <c r="KP523">
        <v>57.3</v>
      </c>
      <c r="KQ523">
        <v>224.4</v>
      </c>
      <c r="KR523">
        <v>338.3</v>
      </c>
      <c r="KS523">
        <v>215.8</v>
      </c>
      <c r="KT523">
        <v>40.700000000000003</v>
      </c>
      <c r="KW523">
        <v>2154.5</v>
      </c>
      <c r="KX523">
        <v>1255.7</v>
      </c>
      <c r="KY523">
        <v>1630.1</v>
      </c>
      <c r="KZ523">
        <v>1246.9000000000001</v>
      </c>
      <c r="LB523">
        <v>78.099999999999994</v>
      </c>
      <c r="LC523">
        <v>77.7</v>
      </c>
    </row>
    <row r="524" spans="1:315" ht="18" thickBot="1">
      <c r="A524" s="248"/>
      <c r="B524" s="4"/>
      <c r="C524" s="354" t="s">
        <v>907</v>
      </c>
      <c r="D524" s="304" t="s">
        <v>831</v>
      </c>
      <c r="E524" s="443">
        <v>0</v>
      </c>
      <c r="F524" s="224">
        <v>0</v>
      </c>
      <c r="G524" s="427">
        <v>3413.8</v>
      </c>
      <c r="H524" s="155"/>
      <c r="I524">
        <v>735</v>
      </c>
      <c r="K524">
        <v>1973.1000000000001</v>
      </c>
      <c r="L524" s="4">
        <v>221.60000000000002</v>
      </c>
      <c r="M524" s="4">
        <v>54.9</v>
      </c>
      <c r="N524" s="4">
        <v>1989.7</v>
      </c>
      <c r="P524">
        <v>0</v>
      </c>
      <c r="Q524">
        <v>238.29999999999998</v>
      </c>
      <c r="R524">
        <v>0</v>
      </c>
      <c r="S524">
        <v>0</v>
      </c>
      <c r="T524">
        <v>368.5</v>
      </c>
      <c r="W524">
        <v>720.3</v>
      </c>
      <c r="X524">
        <v>1411.5</v>
      </c>
      <c r="Y524">
        <v>96.5</v>
      </c>
      <c r="AA524">
        <v>859.6</v>
      </c>
      <c r="AB524">
        <v>1577.6000000000001</v>
      </c>
      <c r="AE524">
        <v>1330</v>
      </c>
      <c r="AF524">
        <v>1025.5</v>
      </c>
      <c r="AH524">
        <v>509.9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1349.3</v>
      </c>
      <c r="AO524">
        <v>786.40000000000009</v>
      </c>
      <c r="AP524">
        <v>0</v>
      </c>
      <c r="AQ524">
        <v>68.3</v>
      </c>
      <c r="AR524">
        <v>234.9</v>
      </c>
      <c r="AS524">
        <v>600.40000000000009</v>
      </c>
      <c r="AU524">
        <v>985.69999999999993</v>
      </c>
      <c r="AW524">
        <v>792</v>
      </c>
      <c r="AX524">
        <v>1988.5</v>
      </c>
      <c r="AZ524">
        <v>763.5</v>
      </c>
      <c r="BA524">
        <v>0</v>
      </c>
      <c r="BB524">
        <v>0</v>
      </c>
      <c r="BC524">
        <v>1935.3</v>
      </c>
      <c r="BD524">
        <v>1006.5</v>
      </c>
      <c r="BE524">
        <v>0</v>
      </c>
      <c r="BF524">
        <v>0</v>
      </c>
      <c r="BG524">
        <v>0</v>
      </c>
      <c r="BH524">
        <v>1662.6</v>
      </c>
      <c r="BJ524">
        <v>0</v>
      </c>
      <c r="BK524">
        <v>0</v>
      </c>
      <c r="BL524">
        <v>1038.9000000000001</v>
      </c>
      <c r="BM524">
        <v>1101</v>
      </c>
      <c r="BO524">
        <v>1276.8000000000002</v>
      </c>
      <c r="BQ524">
        <v>0</v>
      </c>
      <c r="BR524">
        <v>270.7</v>
      </c>
      <c r="BS524">
        <v>230.5</v>
      </c>
      <c r="BT524">
        <v>472.3</v>
      </c>
      <c r="BU524">
        <v>537.29999999999995</v>
      </c>
      <c r="BV524">
        <v>346.3</v>
      </c>
      <c r="BW524">
        <v>386.2</v>
      </c>
      <c r="BX524">
        <v>767</v>
      </c>
      <c r="BY524">
        <v>757.2</v>
      </c>
      <c r="BZ524">
        <v>1037.2</v>
      </c>
      <c r="CA524">
        <v>1227.0999999999999</v>
      </c>
      <c r="CB524">
        <v>1232.0999999999999</v>
      </c>
      <c r="CC524">
        <v>1701.5</v>
      </c>
      <c r="CD524">
        <v>0</v>
      </c>
      <c r="CG524">
        <v>1385.3</v>
      </c>
      <c r="CJ524">
        <v>1630.2999999999997</v>
      </c>
      <c r="CM524">
        <v>1184.2</v>
      </c>
      <c r="CO524">
        <v>1248.0999999999999</v>
      </c>
      <c r="CQ524">
        <v>1435.3</v>
      </c>
      <c r="CR524">
        <v>798.2</v>
      </c>
      <c r="CS524">
        <v>923.8</v>
      </c>
      <c r="CT524">
        <v>0</v>
      </c>
      <c r="CU524">
        <v>0</v>
      </c>
      <c r="CV524">
        <v>0</v>
      </c>
      <c r="CW524">
        <v>0</v>
      </c>
      <c r="CX524">
        <v>163.69999999999999</v>
      </c>
      <c r="CY524">
        <v>0</v>
      </c>
      <c r="CZ524">
        <v>0</v>
      </c>
      <c r="DA524">
        <v>0</v>
      </c>
      <c r="DB524">
        <v>0</v>
      </c>
      <c r="DC524">
        <v>0</v>
      </c>
      <c r="DD524">
        <v>0</v>
      </c>
      <c r="DE524">
        <v>0</v>
      </c>
      <c r="DI524">
        <v>0</v>
      </c>
      <c r="EC524">
        <v>0</v>
      </c>
      <c r="ED524">
        <v>0</v>
      </c>
      <c r="EE524">
        <v>0</v>
      </c>
      <c r="EF524">
        <v>0</v>
      </c>
      <c r="EG524">
        <v>0</v>
      </c>
      <c r="EH524">
        <v>0</v>
      </c>
      <c r="EI524">
        <v>0</v>
      </c>
      <c r="EJ524">
        <v>0</v>
      </c>
      <c r="EM524">
        <v>0</v>
      </c>
      <c r="EN524">
        <v>0</v>
      </c>
      <c r="EO524">
        <v>0</v>
      </c>
      <c r="EP524">
        <v>0</v>
      </c>
      <c r="EQ524">
        <v>0</v>
      </c>
      <c r="ER524">
        <v>0</v>
      </c>
      <c r="ES524">
        <v>0</v>
      </c>
      <c r="ET524">
        <v>0</v>
      </c>
      <c r="EW524">
        <v>0</v>
      </c>
      <c r="EX524">
        <v>0</v>
      </c>
      <c r="EY524">
        <v>0</v>
      </c>
      <c r="EZ524">
        <v>0</v>
      </c>
      <c r="FA524">
        <v>0</v>
      </c>
      <c r="FB524">
        <v>0</v>
      </c>
      <c r="FC524">
        <v>0</v>
      </c>
      <c r="FD524">
        <v>0</v>
      </c>
      <c r="FG524" t="e">
        <v>#N/A</v>
      </c>
      <c r="FI524" t="e">
        <v>#N/A</v>
      </c>
      <c r="FK524" t="e">
        <v>#N/A</v>
      </c>
      <c r="FM524" t="e">
        <v>#N/A</v>
      </c>
      <c r="FO524" t="e">
        <v>#N/A</v>
      </c>
      <c r="FQ524" t="e">
        <v>#N/A</v>
      </c>
      <c r="FS524" t="e">
        <v>#N/A</v>
      </c>
      <c r="FU524" t="e">
        <v>#N/A</v>
      </c>
      <c r="FW524" t="e">
        <v>#N/A</v>
      </c>
      <c r="FY524" t="e">
        <v>#N/A</v>
      </c>
      <c r="GA524" t="e">
        <v>#N/A</v>
      </c>
      <c r="GC524" t="e">
        <v>#N/A</v>
      </c>
      <c r="GE524" t="e">
        <v>#N/A</v>
      </c>
      <c r="GG524" t="e">
        <v>#N/A</v>
      </c>
      <c r="GI524" t="e">
        <v>#N/A</v>
      </c>
      <c r="GK524" t="e">
        <v>#N/A</v>
      </c>
      <c r="GM524" t="e">
        <v>#N/A</v>
      </c>
      <c r="GO524" t="e">
        <v>#N/A</v>
      </c>
      <c r="GQ524" t="e">
        <v>#N/A</v>
      </c>
      <c r="GS524" t="e">
        <v>#N/A</v>
      </c>
      <c r="GU524" t="e">
        <v>#N/A</v>
      </c>
      <c r="GW524" t="e">
        <v>#N/A</v>
      </c>
      <c r="GY524" t="e">
        <v>#N/A</v>
      </c>
      <c r="HA524" t="e">
        <v>#N/A</v>
      </c>
      <c r="HC524">
        <v>0</v>
      </c>
      <c r="HD524">
        <v>0</v>
      </c>
      <c r="HE524">
        <v>0</v>
      </c>
      <c r="HF524">
        <v>0</v>
      </c>
      <c r="HG524">
        <v>0</v>
      </c>
      <c r="HH524">
        <v>0</v>
      </c>
      <c r="HI524">
        <v>0</v>
      </c>
      <c r="HJ524">
        <v>0</v>
      </c>
      <c r="HM524">
        <v>0</v>
      </c>
      <c r="HN524">
        <v>0</v>
      </c>
      <c r="HO524">
        <v>0</v>
      </c>
      <c r="HP524">
        <v>0</v>
      </c>
      <c r="HQ524">
        <v>0</v>
      </c>
      <c r="HR524">
        <v>0</v>
      </c>
      <c r="HS524">
        <v>0</v>
      </c>
      <c r="HT524">
        <v>0</v>
      </c>
      <c r="HW524">
        <v>0</v>
      </c>
      <c r="HX524">
        <v>0</v>
      </c>
      <c r="HY524">
        <v>0</v>
      </c>
      <c r="HZ524">
        <v>0</v>
      </c>
      <c r="IA524">
        <v>3930.6</v>
      </c>
      <c r="IB524">
        <v>3632.9</v>
      </c>
      <c r="IC524">
        <v>3795.5</v>
      </c>
      <c r="ID524">
        <v>0</v>
      </c>
      <c r="IE524">
        <v>0</v>
      </c>
      <c r="IF524">
        <v>3548.5</v>
      </c>
      <c r="IG524">
        <v>3395.2</v>
      </c>
      <c r="IH524">
        <v>3395.4</v>
      </c>
      <c r="II524">
        <v>3302.3</v>
      </c>
      <c r="IJ524">
        <v>3172.8</v>
      </c>
      <c r="IK524">
        <v>0</v>
      </c>
      <c r="IL524">
        <v>0</v>
      </c>
      <c r="IM524">
        <v>0</v>
      </c>
      <c r="IN524">
        <v>0</v>
      </c>
      <c r="IO524">
        <v>123.4</v>
      </c>
      <c r="IP524">
        <v>405.2</v>
      </c>
      <c r="IQ524">
        <v>418.7</v>
      </c>
      <c r="IR524">
        <v>0</v>
      </c>
      <c r="IS524">
        <v>0</v>
      </c>
      <c r="IT524">
        <v>0</v>
      </c>
      <c r="IU524">
        <v>0</v>
      </c>
      <c r="IV524">
        <v>396</v>
      </c>
      <c r="IW524">
        <v>0</v>
      </c>
      <c r="IX524">
        <v>0</v>
      </c>
      <c r="IZ524">
        <v>0</v>
      </c>
      <c r="JA524">
        <v>65.5</v>
      </c>
      <c r="JB524">
        <v>443.5</v>
      </c>
      <c r="JC524">
        <v>0</v>
      </c>
      <c r="JD524">
        <v>0</v>
      </c>
      <c r="JE524">
        <v>0</v>
      </c>
      <c r="JF524">
        <v>0</v>
      </c>
      <c r="JG524">
        <v>0</v>
      </c>
      <c r="JH524">
        <v>0</v>
      </c>
      <c r="JI524">
        <v>0</v>
      </c>
      <c r="JJ524">
        <v>0</v>
      </c>
      <c r="JK524">
        <v>0</v>
      </c>
      <c r="JL524">
        <v>0</v>
      </c>
      <c r="JM524">
        <v>0</v>
      </c>
      <c r="JN524">
        <v>0</v>
      </c>
      <c r="JO524">
        <v>0</v>
      </c>
      <c r="JP524">
        <v>0</v>
      </c>
      <c r="JQ524">
        <v>0</v>
      </c>
      <c r="JR524">
        <v>0</v>
      </c>
      <c r="JS524">
        <v>0</v>
      </c>
      <c r="JT524">
        <v>0</v>
      </c>
      <c r="JU524">
        <v>0</v>
      </c>
      <c r="JV524">
        <v>0</v>
      </c>
      <c r="JW524">
        <v>0</v>
      </c>
      <c r="JX524">
        <v>0</v>
      </c>
      <c r="JY524">
        <v>0</v>
      </c>
      <c r="JZ524">
        <v>0</v>
      </c>
      <c r="KA524">
        <v>0</v>
      </c>
      <c r="KB524">
        <v>0</v>
      </c>
      <c r="KC524">
        <v>0</v>
      </c>
      <c r="KD524">
        <v>0</v>
      </c>
      <c r="KE524">
        <v>0</v>
      </c>
      <c r="KF524">
        <v>0</v>
      </c>
      <c r="KI524">
        <v>344.6</v>
      </c>
      <c r="KJ524">
        <v>350.8</v>
      </c>
      <c r="KK524">
        <v>22.1</v>
      </c>
      <c r="KL524">
        <v>379.3</v>
      </c>
      <c r="KM524">
        <v>241.4</v>
      </c>
      <c r="KN524">
        <v>0</v>
      </c>
      <c r="KO524">
        <v>0</v>
      </c>
      <c r="KP524">
        <v>57.3</v>
      </c>
      <c r="KQ524">
        <v>224.4</v>
      </c>
      <c r="KR524">
        <v>338.3</v>
      </c>
      <c r="KS524">
        <v>215.8</v>
      </c>
      <c r="KT524">
        <v>40.700000000000003</v>
      </c>
      <c r="KW524">
        <v>2154.5</v>
      </c>
      <c r="KX524">
        <v>1255.7</v>
      </c>
      <c r="KY524">
        <v>1630.1</v>
      </c>
      <c r="KZ524">
        <v>1246.9000000000001</v>
      </c>
      <c r="LB524">
        <v>78.099999999999994</v>
      </c>
      <c r="LC524">
        <v>77.7</v>
      </c>
    </row>
    <row r="525" spans="1:315" ht="18" thickBot="1">
      <c r="A525" s="248"/>
      <c r="B525" s="4"/>
      <c r="C525" s="354"/>
      <c r="D525" s="304" t="s">
        <v>758</v>
      </c>
      <c r="E525" s="443">
        <v>0</v>
      </c>
      <c r="F525" s="224">
        <v>0</v>
      </c>
      <c r="G525" s="427">
        <v>3413.8</v>
      </c>
      <c r="H525" s="155"/>
      <c r="I525">
        <v>735</v>
      </c>
      <c r="K525">
        <v>1973.1000000000001</v>
      </c>
      <c r="L525" s="4">
        <v>221.60000000000002</v>
      </c>
      <c r="M525" s="4">
        <v>54.9</v>
      </c>
      <c r="N525" s="4">
        <v>1989.7</v>
      </c>
      <c r="P525">
        <v>0</v>
      </c>
      <c r="Q525">
        <v>238.29999999999998</v>
      </c>
      <c r="R525">
        <v>0</v>
      </c>
      <c r="S525">
        <v>0</v>
      </c>
      <c r="T525">
        <v>368.5</v>
      </c>
      <c r="W525">
        <v>720.3</v>
      </c>
      <c r="X525">
        <v>1411.5</v>
      </c>
      <c r="Y525">
        <v>96.5</v>
      </c>
      <c r="AA525">
        <v>859.6</v>
      </c>
      <c r="AB525">
        <v>1577.6000000000001</v>
      </c>
      <c r="AE525">
        <v>1330</v>
      </c>
      <c r="AF525">
        <v>1025.5</v>
      </c>
      <c r="AH525">
        <v>509.9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1349.3</v>
      </c>
      <c r="AO525">
        <v>786.40000000000009</v>
      </c>
      <c r="AP525">
        <v>0</v>
      </c>
      <c r="AQ525">
        <v>68.3</v>
      </c>
      <c r="AR525">
        <v>234.9</v>
      </c>
      <c r="AS525">
        <v>600.40000000000009</v>
      </c>
      <c r="AU525">
        <v>985.69999999999993</v>
      </c>
      <c r="AW525">
        <v>792</v>
      </c>
      <c r="AX525">
        <v>1988.5</v>
      </c>
      <c r="AZ525">
        <v>763.5</v>
      </c>
      <c r="BA525">
        <v>0</v>
      </c>
      <c r="BB525">
        <v>0</v>
      </c>
      <c r="BC525">
        <v>1935.3</v>
      </c>
      <c r="BD525">
        <v>1006.5</v>
      </c>
      <c r="BE525">
        <v>0</v>
      </c>
      <c r="BF525">
        <v>0</v>
      </c>
      <c r="BG525">
        <v>0</v>
      </c>
      <c r="BH525">
        <v>1662.6</v>
      </c>
      <c r="BJ525">
        <v>0</v>
      </c>
      <c r="BK525">
        <v>0</v>
      </c>
      <c r="BL525">
        <v>1038.9000000000001</v>
      </c>
      <c r="BM525">
        <v>1101</v>
      </c>
      <c r="BO525">
        <v>1276.8000000000002</v>
      </c>
      <c r="BQ525">
        <v>0</v>
      </c>
      <c r="BR525">
        <v>270.7</v>
      </c>
      <c r="BS525">
        <v>230.5</v>
      </c>
      <c r="BT525">
        <v>472.3</v>
      </c>
      <c r="BU525">
        <v>537.29999999999995</v>
      </c>
      <c r="BV525">
        <v>346.3</v>
      </c>
      <c r="BW525">
        <v>386.2</v>
      </c>
      <c r="BX525">
        <v>767</v>
      </c>
      <c r="BY525">
        <v>757.2</v>
      </c>
      <c r="BZ525">
        <v>1037.2</v>
      </c>
      <c r="CA525">
        <v>1227.0999999999999</v>
      </c>
      <c r="CB525">
        <v>1232.0999999999999</v>
      </c>
      <c r="CC525">
        <v>1701.5</v>
      </c>
      <c r="CD525">
        <v>0</v>
      </c>
      <c r="CG525">
        <v>1385.3</v>
      </c>
      <c r="CJ525">
        <v>1630.2999999999997</v>
      </c>
      <c r="CM525">
        <v>1184.2</v>
      </c>
      <c r="CO525">
        <v>1248.0999999999999</v>
      </c>
      <c r="CQ525">
        <v>1435.3</v>
      </c>
      <c r="CR525">
        <v>798.2</v>
      </c>
      <c r="CS525">
        <v>923.8</v>
      </c>
      <c r="CT525">
        <v>0</v>
      </c>
      <c r="CU525">
        <v>0</v>
      </c>
      <c r="CV525">
        <v>0</v>
      </c>
      <c r="CW525">
        <v>0</v>
      </c>
      <c r="CX525">
        <v>163.69999999999999</v>
      </c>
      <c r="CY525">
        <v>0</v>
      </c>
      <c r="CZ525">
        <v>0</v>
      </c>
      <c r="DA525">
        <v>0</v>
      </c>
      <c r="DB525">
        <v>0</v>
      </c>
      <c r="DC525">
        <v>0</v>
      </c>
      <c r="DD525">
        <v>0</v>
      </c>
      <c r="DE525">
        <v>0</v>
      </c>
      <c r="DI525">
        <v>0</v>
      </c>
      <c r="EC525">
        <v>0</v>
      </c>
      <c r="ED525">
        <v>0</v>
      </c>
      <c r="EE525">
        <v>0</v>
      </c>
      <c r="EF525">
        <v>0</v>
      </c>
      <c r="EG525">
        <v>0</v>
      </c>
      <c r="EH525">
        <v>0</v>
      </c>
      <c r="EI525">
        <v>0</v>
      </c>
      <c r="EJ525">
        <v>0</v>
      </c>
      <c r="EM525">
        <v>0</v>
      </c>
      <c r="EN525">
        <v>0</v>
      </c>
      <c r="EO525">
        <v>0</v>
      </c>
      <c r="EP525">
        <v>0</v>
      </c>
      <c r="EQ525">
        <v>0</v>
      </c>
      <c r="ER525">
        <v>0</v>
      </c>
      <c r="ES525">
        <v>0</v>
      </c>
      <c r="ET525">
        <v>0</v>
      </c>
      <c r="EW525">
        <v>0</v>
      </c>
      <c r="EX525">
        <v>0</v>
      </c>
      <c r="EY525">
        <v>0</v>
      </c>
      <c r="EZ525">
        <v>0</v>
      </c>
      <c r="FA525">
        <v>0</v>
      </c>
      <c r="FB525">
        <v>0</v>
      </c>
      <c r="FC525">
        <v>0</v>
      </c>
      <c r="FD525">
        <v>0</v>
      </c>
      <c r="FG525" t="e">
        <v>#N/A</v>
      </c>
      <c r="FI525" t="e">
        <v>#N/A</v>
      </c>
      <c r="FK525" t="e">
        <v>#N/A</v>
      </c>
      <c r="FM525" t="e">
        <v>#N/A</v>
      </c>
      <c r="FO525" t="e">
        <v>#N/A</v>
      </c>
      <c r="FQ525" t="e">
        <v>#N/A</v>
      </c>
      <c r="FS525" t="e">
        <v>#N/A</v>
      </c>
      <c r="FU525" t="e">
        <v>#N/A</v>
      </c>
      <c r="FW525" t="e">
        <v>#N/A</v>
      </c>
      <c r="FY525" t="e">
        <v>#N/A</v>
      </c>
      <c r="GA525" t="e">
        <v>#N/A</v>
      </c>
      <c r="GC525" t="e">
        <v>#N/A</v>
      </c>
      <c r="GE525" t="e">
        <v>#N/A</v>
      </c>
      <c r="GG525" t="e">
        <v>#N/A</v>
      </c>
      <c r="GI525" t="e">
        <v>#N/A</v>
      </c>
      <c r="GK525" t="e">
        <v>#N/A</v>
      </c>
      <c r="GM525" t="e">
        <v>#N/A</v>
      </c>
      <c r="GO525" t="e">
        <v>#N/A</v>
      </c>
      <c r="GQ525" t="e">
        <v>#N/A</v>
      </c>
      <c r="GS525" t="e">
        <v>#N/A</v>
      </c>
      <c r="GU525" t="e">
        <v>#N/A</v>
      </c>
      <c r="GW525" t="e">
        <v>#N/A</v>
      </c>
      <c r="GY525" t="e">
        <v>#N/A</v>
      </c>
      <c r="HA525" t="e">
        <v>#N/A</v>
      </c>
      <c r="HC525">
        <v>0</v>
      </c>
      <c r="HD525">
        <v>0</v>
      </c>
      <c r="HE525">
        <v>0</v>
      </c>
      <c r="HF525">
        <v>0</v>
      </c>
      <c r="HG525">
        <v>0</v>
      </c>
      <c r="HH525">
        <v>0</v>
      </c>
      <c r="HI525">
        <v>0</v>
      </c>
      <c r="HJ525">
        <v>0</v>
      </c>
      <c r="HM525">
        <v>0</v>
      </c>
      <c r="HN525">
        <v>0</v>
      </c>
      <c r="HO525">
        <v>0</v>
      </c>
      <c r="HP525">
        <v>0</v>
      </c>
      <c r="HQ525">
        <v>0</v>
      </c>
      <c r="HR525">
        <v>0</v>
      </c>
      <c r="HS525">
        <v>0</v>
      </c>
      <c r="HT525">
        <v>0</v>
      </c>
      <c r="HW525">
        <v>0</v>
      </c>
      <c r="HX525">
        <v>0</v>
      </c>
      <c r="HY525">
        <v>0</v>
      </c>
      <c r="HZ525">
        <v>0</v>
      </c>
      <c r="IA525">
        <v>3930.6</v>
      </c>
      <c r="IB525">
        <v>3632.9</v>
      </c>
      <c r="IC525">
        <v>3795.5</v>
      </c>
      <c r="ID525">
        <v>0</v>
      </c>
      <c r="IE525">
        <v>0</v>
      </c>
      <c r="IF525">
        <v>3548.5</v>
      </c>
      <c r="IG525">
        <v>3395.2</v>
      </c>
      <c r="IH525">
        <v>3395.4</v>
      </c>
      <c r="II525">
        <v>3302.3</v>
      </c>
      <c r="IJ525">
        <v>3172.8</v>
      </c>
      <c r="IK525">
        <v>0</v>
      </c>
      <c r="IL525">
        <v>0</v>
      </c>
      <c r="IM525">
        <v>0</v>
      </c>
      <c r="IN525">
        <v>0</v>
      </c>
      <c r="IO525">
        <v>123.4</v>
      </c>
      <c r="IP525">
        <v>405.2</v>
      </c>
      <c r="IQ525">
        <v>418.7</v>
      </c>
      <c r="IR525">
        <v>0</v>
      </c>
      <c r="IS525">
        <v>0</v>
      </c>
      <c r="IT525">
        <v>0</v>
      </c>
      <c r="IU525">
        <v>0</v>
      </c>
      <c r="IV525">
        <v>396</v>
      </c>
      <c r="IW525">
        <v>0</v>
      </c>
      <c r="IX525">
        <v>0</v>
      </c>
      <c r="IZ525">
        <v>0</v>
      </c>
      <c r="JA525">
        <v>65.5</v>
      </c>
      <c r="JB525">
        <v>443.5</v>
      </c>
      <c r="JC525">
        <v>0</v>
      </c>
      <c r="JD525">
        <v>0</v>
      </c>
      <c r="JE525">
        <v>0</v>
      </c>
      <c r="JF525">
        <v>0</v>
      </c>
      <c r="JG525">
        <v>0</v>
      </c>
      <c r="JH525">
        <v>0</v>
      </c>
      <c r="JI525">
        <v>0</v>
      </c>
      <c r="JJ525">
        <v>0</v>
      </c>
      <c r="JK525">
        <v>0</v>
      </c>
      <c r="JL525">
        <v>0</v>
      </c>
      <c r="JM525">
        <v>0</v>
      </c>
      <c r="JN525">
        <v>0</v>
      </c>
      <c r="JO525">
        <v>0</v>
      </c>
      <c r="JP525">
        <v>0</v>
      </c>
      <c r="JQ525">
        <v>0</v>
      </c>
      <c r="JR525">
        <v>0</v>
      </c>
      <c r="JS525">
        <v>0</v>
      </c>
      <c r="JT525">
        <v>0</v>
      </c>
      <c r="JU525">
        <v>0</v>
      </c>
      <c r="JV525">
        <v>0</v>
      </c>
      <c r="JW525">
        <v>0</v>
      </c>
      <c r="JX525">
        <v>0</v>
      </c>
      <c r="JY525">
        <v>0</v>
      </c>
      <c r="JZ525">
        <v>0</v>
      </c>
      <c r="KA525">
        <v>0</v>
      </c>
      <c r="KB525">
        <v>0</v>
      </c>
      <c r="KC525">
        <v>0</v>
      </c>
      <c r="KD525">
        <v>0</v>
      </c>
      <c r="KE525">
        <v>0</v>
      </c>
      <c r="KF525">
        <v>0</v>
      </c>
      <c r="KI525">
        <v>344.6</v>
      </c>
      <c r="KJ525">
        <v>350.8</v>
      </c>
      <c r="KK525">
        <v>22.1</v>
      </c>
      <c r="KL525">
        <v>379.3</v>
      </c>
      <c r="KM525">
        <v>241.4</v>
      </c>
      <c r="KN525">
        <v>0</v>
      </c>
      <c r="KO525">
        <v>0</v>
      </c>
      <c r="KP525">
        <v>57.3</v>
      </c>
      <c r="KQ525">
        <v>224.4</v>
      </c>
      <c r="KR525">
        <v>338.3</v>
      </c>
      <c r="KS525">
        <v>215.8</v>
      </c>
      <c r="KT525">
        <v>40.700000000000003</v>
      </c>
      <c r="KW525">
        <v>2154.5</v>
      </c>
      <c r="KX525">
        <v>1255.7</v>
      </c>
      <c r="KY525">
        <v>1630.1</v>
      </c>
      <c r="KZ525">
        <v>1246.9000000000001</v>
      </c>
      <c r="LB525">
        <v>78.099999999999994</v>
      </c>
      <c r="LC525">
        <v>77.7</v>
      </c>
    </row>
    <row r="526" spans="1:315" ht="18" thickBot="1">
      <c r="A526" s="248"/>
      <c r="B526" s="4"/>
      <c r="C526" s="354"/>
      <c r="D526" s="304" t="s">
        <v>832</v>
      </c>
      <c r="E526" s="443">
        <v>0</v>
      </c>
      <c r="F526" s="224">
        <v>0</v>
      </c>
      <c r="G526" s="427">
        <v>3413.8</v>
      </c>
      <c r="H526" s="155"/>
      <c r="I526">
        <v>735</v>
      </c>
      <c r="K526">
        <v>1973.1000000000001</v>
      </c>
      <c r="L526" s="4">
        <v>221.60000000000002</v>
      </c>
      <c r="M526" s="4">
        <v>54.9</v>
      </c>
      <c r="N526" s="4">
        <v>1989.7</v>
      </c>
      <c r="P526">
        <v>0</v>
      </c>
      <c r="Q526">
        <v>238.29999999999998</v>
      </c>
      <c r="R526">
        <v>0</v>
      </c>
      <c r="S526">
        <v>0</v>
      </c>
      <c r="T526">
        <v>368.5</v>
      </c>
      <c r="W526">
        <v>720.3</v>
      </c>
      <c r="X526">
        <v>1411.5</v>
      </c>
      <c r="Y526">
        <v>96.5</v>
      </c>
      <c r="AA526">
        <v>859.6</v>
      </c>
      <c r="AB526">
        <v>1577.6000000000001</v>
      </c>
      <c r="AE526">
        <v>1330</v>
      </c>
      <c r="AF526">
        <v>1025.5</v>
      </c>
      <c r="AH526">
        <v>509.9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1349.3</v>
      </c>
      <c r="AO526">
        <v>786.40000000000009</v>
      </c>
      <c r="AP526">
        <v>0</v>
      </c>
      <c r="AQ526">
        <v>68.3</v>
      </c>
      <c r="AR526">
        <v>234.9</v>
      </c>
      <c r="AS526">
        <v>600.40000000000009</v>
      </c>
      <c r="AU526">
        <v>985.69999999999993</v>
      </c>
      <c r="AW526">
        <v>792</v>
      </c>
      <c r="AX526">
        <v>1988.5</v>
      </c>
      <c r="AZ526">
        <v>763.5</v>
      </c>
      <c r="BA526">
        <v>0</v>
      </c>
      <c r="BB526">
        <v>0</v>
      </c>
      <c r="BC526">
        <v>1935.3</v>
      </c>
      <c r="BD526">
        <v>1006.5</v>
      </c>
      <c r="BE526">
        <v>0</v>
      </c>
      <c r="BF526">
        <v>0</v>
      </c>
      <c r="BG526">
        <v>0</v>
      </c>
      <c r="BH526">
        <v>1662.6</v>
      </c>
      <c r="BJ526">
        <v>0</v>
      </c>
      <c r="BK526">
        <v>0</v>
      </c>
      <c r="BL526">
        <v>1038.9000000000001</v>
      </c>
      <c r="BM526">
        <v>1101</v>
      </c>
      <c r="BO526">
        <v>1276.8000000000002</v>
      </c>
      <c r="BQ526">
        <v>0</v>
      </c>
      <c r="BR526">
        <v>270.7</v>
      </c>
      <c r="BS526">
        <v>230.5</v>
      </c>
      <c r="BT526">
        <v>472.3</v>
      </c>
      <c r="BU526">
        <v>537.29999999999995</v>
      </c>
      <c r="BV526">
        <v>346.3</v>
      </c>
      <c r="BW526">
        <v>386.2</v>
      </c>
      <c r="BX526">
        <v>767</v>
      </c>
      <c r="BY526">
        <v>757.2</v>
      </c>
      <c r="BZ526">
        <v>1037.2</v>
      </c>
      <c r="CA526">
        <v>1227.0999999999999</v>
      </c>
      <c r="CB526">
        <v>1232.0999999999999</v>
      </c>
      <c r="CC526">
        <v>1701.5</v>
      </c>
      <c r="CD526">
        <v>0</v>
      </c>
      <c r="CG526">
        <v>1385.3</v>
      </c>
      <c r="CJ526">
        <v>1630.2999999999997</v>
      </c>
      <c r="CM526">
        <v>1184.2</v>
      </c>
      <c r="CO526">
        <v>1248.0999999999999</v>
      </c>
      <c r="CQ526">
        <v>1435.3</v>
      </c>
      <c r="CR526">
        <v>798.2</v>
      </c>
      <c r="CS526">
        <v>923.8</v>
      </c>
      <c r="CT526">
        <v>0</v>
      </c>
      <c r="CU526">
        <v>0</v>
      </c>
      <c r="CV526">
        <v>0</v>
      </c>
      <c r="CW526">
        <v>0</v>
      </c>
      <c r="CX526">
        <v>163.69999999999999</v>
      </c>
      <c r="CY526">
        <v>0</v>
      </c>
      <c r="CZ526">
        <v>0</v>
      </c>
      <c r="DA526">
        <v>0</v>
      </c>
      <c r="DB526">
        <v>0</v>
      </c>
      <c r="DC526">
        <v>0</v>
      </c>
      <c r="DD526">
        <v>0</v>
      </c>
      <c r="DE526">
        <v>0</v>
      </c>
      <c r="DI526">
        <v>0</v>
      </c>
      <c r="EC526">
        <v>0</v>
      </c>
      <c r="ED526">
        <v>0</v>
      </c>
      <c r="EE526">
        <v>0</v>
      </c>
      <c r="EF526">
        <v>0</v>
      </c>
      <c r="EG526">
        <v>0</v>
      </c>
      <c r="EH526">
        <v>0</v>
      </c>
      <c r="EI526">
        <v>0</v>
      </c>
      <c r="EJ526">
        <v>0</v>
      </c>
      <c r="EM526">
        <v>0</v>
      </c>
      <c r="EN526">
        <v>0</v>
      </c>
      <c r="EO526">
        <v>0</v>
      </c>
      <c r="EP526">
        <v>0</v>
      </c>
      <c r="EQ526">
        <v>0</v>
      </c>
      <c r="ER526">
        <v>0</v>
      </c>
      <c r="ES526">
        <v>0</v>
      </c>
      <c r="ET526">
        <v>0</v>
      </c>
      <c r="EW526">
        <v>0</v>
      </c>
      <c r="EX526">
        <v>0</v>
      </c>
      <c r="EY526">
        <v>0</v>
      </c>
      <c r="EZ526">
        <v>0</v>
      </c>
      <c r="FA526">
        <v>0</v>
      </c>
      <c r="FB526">
        <v>0</v>
      </c>
      <c r="FC526">
        <v>0</v>
      </c>
      <c r="FD526">
        <v>0</v>
      </c>
      <c r="FG526" t="e">
        <v>#N/A</v>
      </c>
      <c r="FI526" t="e">
        <v>#N/A</v>
      </c>
      <c r="FK526" t="e">
        <v>#N/A</v>
      </c>
      <c r="FM526" t="e">
        <v>#N/A</v>
      </c>
      <c r="FO526" t="e">
        <v>#N/A</v>
      </c>
      <c r="FQ526" t="e">
        <v>#N/A</v>
      </c>
      <c r="FS526" t="e">
        <v>#N/A</v>
      </c>
      <c r="FU526" t="e">
        <v>#N/A</v>
      </c>
      <c r="FW526" t="e">
        <v>#N/A</v>
      </c>
      <c r="FY526" t="e">
        <v>#N/A</v>
      </c>
      <c r="GA526" t="e">
        <v>#N/A</v>
      </c>
      <c r="GC526" t="e">
        <v>#N/A</v>
      </c>
      <c r="GE526" t="e">
        <v>#N/A</v>
      </c>
      <c r="GG526" t="e">
        <v>#N/A</v>
      </c>
      <c r="GI526" t="e">
        <v>#N/A</v>
      </c>
      <c r="GK526" t="e">
        <v>#N/A</v>
      </c>
      <c r="GM526" t="e">
        <v>#N/A</v>
      </c>
      <c r="GO526" t="e">
        <v>#N/A</v>
      </c>
      <c r="GQ526" t="e">
        <v>#N/A</v>
      </c>
      <c r="GS526" t="e">
        <v>#N/A</v>
      </c>
      <c r="GU526" t="e">
        <v>#N/A</v>
      </c>
      <c r="GW526" t="e">
        <v>#N/A</v>
      </c>
      <c r="GY526" t="e">
        <v>#N/A</v>
      </c>
      <c r="HA526" t="e">
        <v>#N/A</v>
      </c>
      <c r="HC526">
        <v>0</v>
      </c>
      <c r="HD526">
        <v>0</v>
      </c>
      <c r="HE526">
        <v>0</v>
      </c>
      <c r="HF526">
        <v>0</v>
      </c>
      <c r="HG526">
        <v>0</v>
      </c>
      <c r="HH526">
        <v>0</v>
      </c>
      <c r="HI526">
        <v>0</v>
      </c>
      <c r="HJ526">
        <v>0</v>
      </c>
      <c r="HM526">
        <v>0</v>
      </c>
      <c r="HN526">
        <v>0</v>
      </c>
      <c r="HO526">
        <v>0</v>
      </c>
      <c r="HP526">
        <v>0</v>
      </c>
      <c r="HQ526">
        <v>0</v>
      </c>
      <c r="HR526">
        <v>0</v>
      </c>
      <c r="HS526">
        <v>0</v>
      </c>
      <c r="HT526">
        <v>0</v>
      </c>
      <c r="HW526">
        <v>0</v>
      </c>
      <c r="HX526">
        <v>0</v>
      </c>
      <c r="HY526">
        <v>0</v>
      </c>
      <c r="HZ526">
        <v>0</v>
      </c>
      <c r="IA526">
        <v>3930.6</v>
      </c>
      <c r="IB526">
        <v>3632.9</v>
      </c>
      <c r="IC526">
        <v>3795.5</v>
      </c>
      <c r="ID526">
        <v>0</v>
      </c>
      <c r="IE526">
        <v>0</v>
      </c>
      <c r="IF526">
        <v>3548.5</v>
      </c>
      <c r="IG526">
        <v>3395.2</v>
      </c>
      <c r="IH526">
        <v>3395.4</v>
      </c>
      <c r="II526">
        <v>3302.3</v>
      </c>
      <c r="IJ526">
        <v>3172.8</v>
      </c>
      <c r="IK526">
        <v>0</v>
      </c>
      <c r="IL526">
        <v>0</v>
      </c>
      <c r="IM526">
        <v>0</v>
      </c>
      <c r="IN526">
        <v>0</v>
      </c>
      <c r="IO526">
        <v>123.4</v>
      </c>
      <c r="IP526">
        <v>405.2</v>
      </c>
      <c r="IQ526">
        <v>418.7</v>
      </c>
      <c r="IR526">
        <v>0</v>
      </c>
      <c r="IS526">
        <v>0</v>
      </c>
      <c r="IT526">
        <v>0</v>
      </c>
      <c r="IU526">
        <v>0</v>
      </c>
      <c r="IV526">
        <v>396</v>
      </c>
      <c r="IW526">
        <v>0</v>
      </c>
      <c r="IX526">
        <v>0</v>
      </c>
      <c r="IZ526">
        <v>0</v>
      </c>
      <c r="JA526">
        <v>65.5</v>
      </c>
      <c r="JB526">
        <v>443.5</v>
      </c>
      <c r="JC526">
        <v>0</v>
      </c>
      <c r="JD526">
        <v>0</v>
      </c>
      <c r="JE526">
        <v>0</v>
      </c>
      <c r="JF526">
        <v>0</v>
      </c>
      <c r="JG526">
        <v>0</v>
      </c>
      <c r="JH526">
        <v>0</v>
      </c>
      <c r="JI526">
        <v>0</v>
      </c>
      <c r="JJ526">
        <v>0</v>
      </c>
      <c r="JK526">
        <v>0</v>
      </c>
      <c r="JL526">
        <v>0</v>
      </c>
      <c r="JM526">
        <v>0</v>
      </c>
      <c r="JN526">
        <v>0</v>
      </c>
      <c r="JO526">
        <v>0</v>
      </c>
      <c r="JP526">
        <v>0</v>
      </c>
      <c r="JQ526">
        <v>0</v>
      </c>
      <c r="JR526">
        <v>0</v>
      </c>
      <c r="JS526">
        <v>0</v>
      </c>
      <c r="JT526">
        <v>0</v>
      </c>
      <c r="JU526">
        <v>0</v>
      </c>
      <c r="JV526">
        <v>0</v>
      </c>
      <c r="JW526">
        <v>0</v>
      </c>
      <c r="JX526">
        <v>0</v>
      </c>
      <c r="JY526">
        <v>0</v>
      </c>
      <c r="JZ526">
        <v>0</v>
      </c>
      <c r="KA526">
        <v>0</v>
      </c>
      <c r="KB526">
        <v>0</v>
      </c>
      <c r="KC526">
        <v>0</v>
      </c>
      <c r="KD526">
        <v>0</v>
      </c>
      <c r="KE526">
        <v>0</v>
      </c>
      <c r="KF526">
        <v>0</v>
      </c>
      <c r="KI526">
        <v>344.6</v>
      </c>
      <c r="KJ526">
        <v>350.8</v>
      </c>
      <c r="KK526">
        <v>22.1</v>
      </c>
      <c r="KL526">
        <v>379.3</v>
      </c>
      <c r="KM526">
        <v>241.4</v>
      </c>
      <c r="KN526">
        <v>0</v>
      </c>
      <c r="KO526">
        <v>0</v>
      </c>
      <c r="KP526">
        <v>57.3</v>
      </c>
      <c r="KQ526">
        <v>224.4</v>
      </c>
      <c r="KR526">
        <v>338.3</v>
      </c>
      <c r="KS526">
        <v>215.8</v>
      </c>
      <c r="KT526">
        <v>40.700000000000003</v>
      </c>
      <c r="KW526">
        <v>2154.5</v>
      </c>
      <c r="KX526">
        <v>1255.7</v>
      </c>
      <c r="KY526">
        <v>1630.1</v>
      </c>
      <c r="KZ526">
        <v>1246.9000000000001</v>
      </c>
      <c r="LB526">
        <v>78.099999999999994</v>
      </c>
      <c r="LC526">
        <v>77.7</v>
      </c>
    </row>
    <row r="527" spans="1:315" ht="35.4" thickBot="1">
      <c r="A527" s="248"/>
      <c r="B527" s="4"/>
      <c r="C527" s="354"/>
      <c r="D527" s="304" t="s">
        <v>833</v>
      </c>
      <c r="E527" s="443">
        <v>0</v>
      </c>
      <c r="F527" s="224">
        <v>0</v>
      </c>
      <c r="G527" s="427">
        <v>3413.8</v>
      </c>
      <c r="H527" s="155"/>
      <c r="I527">
        <v>735</v>
      </c>
      <c r="K527">
        <v>1973.1000000000001</v>
      </c>
      <c r="L527" s="4">
        <v>221.60000000000002</v>
      </c>
      <c r="M527" s="4">
        <v>54.9</v>
      </c>
      <c r="N527" s="4">
        <v>1989.7</v>
      </c>
      <c r="P527">
        <v>0</v>
      </c>
      <c r="Q527">
        <v>238.29999999999998</v>
      </c>
      <c r="R527">
        <v>0</v>
      </c>
      <c r="S527">
        <v>0</v>
      </c>
      <c r="T527">
        <v>368.5</v>
      </c>
      <c r="W527">
        <v>720.3</v>
      </c>
      <c r="X527">
        <v>1411.5</v>
      </c>
      <c r="Y527">
        <v>96.5</v>
      </c>
      <c r="AA527">
        <v>859.6</v>
      </c>
      <c r="AB527">
        <v>1577.6000000000001</v>
      </c>
      <c r="AE527">
        <v>1330</v>
      </c>
      <c r="AF527">
        <v>1025.5</v>
      </c>
      <c r="AH527">
        <v>509.9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1349.3</v>
      </c>
      <c r="AO527">
        <v>786.40000000000009</v>
      </c>
      <c r="AP527">
        <v>0</v>
      </c>
      <c r="AQ527">
        <v>68.3</v>
      </c>
      <c r="AR527">
        <v>234.9</v>
      </c>
      <c r="AS527">
        <v>600.40000000000009</v>
      </c>
      <c r="AU527">
        <v>985.69999999999993</v>
      </c>
      <c r="AW527">
        <v>792</v>
      </c>
      <c r="AX527">
        <v>1988.5</v>
      </c>
      <c r="AZ527">
        <v>763.5</v>
      </c>
      <c r="BA527">
        <v>0</v>
      </c>
      <c r="BB527">
        <v>0</v>
      </c>
      <c r="BC527">
        <v>1935.3</v>
      </c>
      <c r="BD527">
        <v>1006.5</v>
      </c>
      <c r="BE527">
        <v>0</v>
      </c>
      <c r="BF527">
        <v>0</v>
      </c>
      <c r="BG527">
        <v>0</v>
      </c>
      <c r="BH527">
        <v>1662.6</v>
      </c>
      <c r="BJ527">
        <v>0</v>
      </c>
      <c r="BK527">
        <v>0</v>
      </c>
      <c r="BL527">
        <v>1038.9000000000001</v>
      </c>
      <c r="BM527">
        <v>1101</v>
      </c>
      <c r="BO527">
        <v>1276.8000000000002</v>
      </c>
      <c r="BQ527">
        <v>0</v>
      </c>
      <c r="BR527">
        <v>270.7</v>
      </c>
      <c r="BS527">
        <v>230.5</v>
      </c>
      <c r="BT527">
        <v>472.3</v>
      </c>
      <c r="BU527">
        <v>537.29999999999995</v>
      </c>
      <c r="BV527">
        <v>346.3</v>
      </c>
      <c r="BW527">
        <v>386.2</v>
      </c>
      <c r="BX527">
        <v>767</v>
      </c>
      <c r="BY527">
        <v>757.2</v>
      </c>
      <c r="BZ527">
        <v>1037.2</v>
      </c>
      <c r="CA527">
        <v>1227.0999999999999</v>
      </c>
      <c r="CB527">
        <v>1232.0999999999999</v>
      </c>
      <c r="CC527">
        <v>1701.5</v>
      </c>
      <c r="CD527">
        <v>0</v>
      </c>
      <c r="CG527">
        <v>1385.3</v>
      </c>
      <c r="CJ527">
        <v>1630.2999999999997</v>
      </c>
      <c r="CM527">
        <v>1184.2</v>
      </c>
      <c r="CO527">
        <v>1248.0999999999999</v>
      </c>
      <c r="CQ527">
        <v>1435.3</v>
      </c>
      <c r="CR527">
        <v>798.2</v>
      </c>
      <c r="CS527">
        <v>923.8</v>
      </c>
      <c r="CT527">
        <v>0</v>
      </c>
      <c r="CU527">
        <v>0</v>
      </c>
      <c r="CV527">
        <v>0</v>
      </c>
      <c r="CW527">
        <v>0</v>
      </c>
      <c r="CX527">
        <v>163.69999999999999</v>
      </c>
      <c r="CY527">
        <v>0</v>
      </c>
      <c r="CZ527">
        <v>0</v>
      </c>
      <c r="DA527">
        <v>0</v>
      </c>
      <c r="DB527">
        <v>0</v>
      </c>
      <c r="DC527">
        <v>0</v>
      </c>
      <c r="DD527">
        <v>0</v>
      </c>
      <c r="DE527">
        <v>0</v>
      </c>
      <c r="DI527">
        <v>0</v>
      </c>
      <c r="EC527">
        <v>0</v>
      </c>
      <c r="ED527">
        <v>0</v>
      </c>
      <c r="EE527">
        <v>0</v>
      </c>
      <c r="EF527">
        <v>0</v>
      </c>
      <c r="EG527">
        <v>0</v>
      </c>
      <c r="EH527">
        <v>0</v>
      </c>
      <c r="EI527">
        <v>0</v>
      </c>
      <c r="EJ527">
        <v>0</v>
      </c>
      <c r="EM527">
        <v>0</v>
      </c>
      <c r="EN527">
        <v>0</v>
      </c>
      <c r="EO527">
        <v>0</v>
      </c>
      <c r="EP527">
        <v>0</v>
      </c>
      <c r="EQ527">
        <v>0</v>
      </c>
      <c r="ER527">
        <v>0</v>
      </c>
      <c r="ES527">
        <v>0</v>
      </c>
      <c r="ET527">
        <v>0</v>
      </c>
      <c r="EW527">
        <v>0</v>
      </c>
      <c r="EX527">
        <v>0</v>
      </c>
      <c r="EY527">
        <v>0</v>
      </c>
      <c r="EZ527">
        <v>0</v>
      </c>
      <c r="FA527">
        <v>0</v>
      </c>
      <c r="FB527">
        <v>0</v>
      </c>
      <c r="FC527">
        <v>0</v>
      </c>
      <c r="FD527">
        <v>0</v>
      </c>
      <c r="FG527" t="e">
        <v>#N/A</v>
      </c>
      <c r="FI527" t="e">
        <v>#N/A</v>
      </c>
      <c r="FK527" t="e">
        <v>#N/A</v>
      </c>
      <c r="FM527" t="e">
        <v>#N/A</v>
      </c>
      <c r="FO527" t="e">
        <v>#N/A</v>
      </c>
      <c r="FQ527" t="e">
        <v>#N/A</v>
      </c>
      <c r="FS527" t="e">
        <v>#N/A</v>
      </c>
      <c r="FU527" t="e">
        <v>#N/A</v>
      </c>
      <c r="FW527" t="e">
        <v>#N/A</v>
      </c>
      <c r="FY527" t="e">
        <v>#N/A</v>
      </c>
      <c r="GA527" t="e">
        <v>#N/A</v>
      </c>
      <c r="GC527" t="e">
        <v>#N/A</v>
      </c>
      <c r="GE527" t="e">
        <v>#N/A</v>
      </c>
      <c r="GG527" t="e">
        <v>#N/A</v>
      </c>
      <c r="GI527" t="e">
        <v>#N/A</v>
      </c>
      <c r="GK527" t="e">
        <v>#N/A</v>
      </c>
      <c r="GM527" t="e">
        <v>#N/A</v>
      </c>
      <c r="GO527" t="e">
        <v>#N/A</v>
      </c>
      <c r="GQ527" t="e">
        <v>#N/A</v>
      </c>
      <c r="GS527" t="e">
        <v>#N/A</v>
      </c>
      <c r="GU527" t="e">
        <v>#N/A</v>
      </c>
      <c r="GW527" t="e">
        <v>#N/A</v>
      </c>
      <c r="GY527" t="e">
        <v>#N/A</v>
      </c>
      <c r="HA527" t="e">
        <v>#N/A</v>
      </c>
      <c r="HC527">
        <v>0</v>
      </c>
      <c r="HD527">
        <v>0</v>
      </c>
      <c r="HE527">
        <v>0</v>
      </c>
      <c r="HF527">
        <v>0</v>
      </c>
      <c r="HG527">
        <v>0</v>
      </c>
      <c r="HH527">
        <v>0</v>
      </c>
      <c r="HI527">
        <v>0</v>
      </c>
      <c r="HJ527">
        <v>0</v>
      </c>
      <c r="HM527">
        <v>0</v>
      </c>
      <c r="HN527">
        <v>0</v>
      </c>
      <c r="HO527">
        <v>0</v>
      </c>
      <c r="HP527">
        <v>0</v>
      </c>
      <c r="HQ527">
        <v>0</v>
      </c>
      <c r="HR527">
        <v>0</v>
      </c>
      <c r="HS527">
        <v>0</v>
      </c>
      <c r="HT527">
        <v>0</v>
      </c>
      <c r="HW527">
        <v>0</v>
      </c>
      <c r="HX527">
        <v>0</v>
      </c>
      <c r="HY527">
        <v>0</v>
      </c>
      <c r="HZ527">
        <v>0</v>
      </c>
      <c r="IA527">
        <v>3930.6</v>
      </c>
      <c r="IB527">
        <v>3632.9</v>
      </c>
      <c r="IC527">
        <v>3795.5</v>
      </c>
      <c r="ID527">
        <v>0</v>
      </c>
      <c r="IE527">
        <v>0</v>
      </c>
      <c r="IF527">
        <v>3548.5</v>
      </c>
      <c r="IG527">
        <v>3395.2</v>
      </c>
      <c r="IH527">
        <v>3395.4</v>
      </c>
      <c r="II527">
        <v>3302.3</v>
      </c>
      <c r="IJ527">
        <v>3172.8</v>
      </c>
      <c r="IK527">
        <v>0</v>
      </c>
      <c r="IL527">
        <v>0</v>
      </c>
      <c r="IM527">
        <v>0</v>
      </c>
      <c r="IN527">
        <v>0</v>
      </c>
      <c r="IO527">
        <v>123.4</v>
      </c>
      <c r="IP527">
        <v>405.2</v>
      </c>
      <c r="IQ527">
        <v>418.7</v>
      </c>
      <c r="IR527">
        <v>0</v>
      </c>
      <c r="IS527">
        <v>0</v>
      </c>
      <c r="IT527">
        <v>0</v>
      </c>
      <c r="IU527">
        <v>0</v>
      </c>
      <c r="IV527">
        <v>396</v>
      </c>
      <c r="IW527">
        <v>0</v>
      </c>
      <c r="IX527">
        <v>0</v>
      </c>
      <c r="IZ527">
        <v>0</v>
      </c>
      <c r="JA527">
        <v>65.5</v>
      </c>
      <c r="JB527">
        <v>443.5</v>
      </c>
      <c r="JC527">
        <v>0</v>
      </c>
      <c r="JD527">
        <v>0</v>
      </c>
      <c r="JE527">
        <v>0</v>
      </c>
      <c r="JF527">
        <v>0</v>
      </c>
      <c r="JG527">
        <v>0</v>
      </c>
      <c r="JH527">
        <v>0</v>
      </c>
      <c r="JI527">
        <v>0</v>
      </c>
      <c r="JJ527">
        <v>0</v>
      </c>
      <c r="JK527">
        <v>0</v>
      </c>
      <c r="JL527">
        <v>0</v>
      </c>
      <c r="JM527">
        <v>0</v>
      </c>
      <c r="JN527">
        <v>0</v>
      </c>
      <c r="JO527">
        <v>0</v>
      </c>
      <c r="JP527">
        <v>0</v>
      </c>
      <c r="JQ527">
        <v>0</v>
      </c>
      <c r="JR527">
        <v>0</v>
      </c>
      <c r="JS527">
        <v>0</v>
      </c>
      <c r="JT527">
        <v>0</v>
      </c>
      <c r="JU527">
        <v>0</v>
      </c>
      <c r="JV527">
        <v>0</v>
      </c>
      <c r="JW527">
        <v>0</v>
      </c>
      <c r="JX527">
        <v>0</v>
      </c>
      <c r="JY527">
        <v>0</v>
      </c>
      <c r="JZ527">
        <v>0</v>
      </c>
      <c r="KA527">
        <v>0</v>
      </c>
      <c r="KB527">
        <v>0</v>
      </c>
      <c r="KC527">
        <v>0</v>
      </c>
      <c r="KD527">
        <v>0</v>
      </c>
      <c r="KE527">
        <v>0</v>
      </c>
      <c r="KF527">
        <v>0</v>
      </c>
      <c r="KI527">
        <v>344.6</v>
      </c>
      <c r="KJ527">
        <v>350.8</v>
      </c>
      <c r="KK527">
        <v>22.1</v>
      </c>
      <c r="KL527">
        <v>379.3</v>
      </c>
      <c r="KM527">
        <v>241.4</v>
      </c>
      <c r="KN527">
        <v>0</v>
      </c>
      <c r="KO527">
        <v>0</v>
      </c>
      <c r="KP527">
        <v>57.3</v>
      </c>
      <c r="KQ527">
        <v>224.4</v>
      </c>
      <c r="KR527">
        <v>338.3</v>
      </c>
      <c r="KS527">
        <v>215.8</v>
      </c>
      <c r="KT527">
        <v>40.700000000000003</v>
      </c>
      <c r="KW527">
        <v>2154.5</v>
      </c>
      <c r="KX527">
        <v>1255.7</v>
      </c>
      <c r="KY527">
        <v>1630.1</v>
      </c>
      <c r="KZ527">
        <v>1246.9000000000001</v>
      </c>
      <c r="LB527">
        <v>78.099999999999994</v>
      </c>
      <c r="LC527">
        <v>77.7</v>
      </c>
    </row>
    <row r="528" spans="1:315" ht="35.4" thickBot="1">
      <c r="A528" s="248"/>
      <c r="B528" s="4"/>
      <c r="C528" s="354"/>
      <c r="D528" s="304" t="s">
        <v>759</v>
      </c>
      <c r="E528" s="443">
        <v>0</v>
      </c>
      <c r="F528" s="224">
        <v>0</v>
      </c>
      <c r="G528" s="427">
        <v>3413.8</v>
      </c>
      <c r="H528" s="155"/>
      <c r="I528">
        <v>735</v>
      </c>
      <c r="K528">
        <v>1973.1000000000001</v>
      </c>
      <c r="L528" s="4">
        <v>221.60000000000002</v>
      </c>
      <c r="M528" s="4">
        <v>54.9</v>
      </c>
      <c r="N528" s="4">
        <v>1989.7</v>
      </c>
      <c r="P528">
        <v>0</v>
      </c>
      <c r="Q528">
        <v>238.29999999999998</v>
      </c>
      <c r="R528">
        <v>0</v>
      </c>
      <c r="S528">
        <v>0</v>
      </c>
      <c r="T528">
        <v>368.5</v>
      </c>
      <c r="W528">
        <v>720.3</v>
      </c>
      <c r="X528">
        <v>1411.5</v>
      </c>
      <c r="Y528">
        <v>96.5</v>
      </c>
      <c r="AA528">
        <v>859.6</v>
      </c>
      <c r="AB528">
        <v>1577.6000000000001</v>
      </c>
      <c r="AE528">
        <v>1330</v>
      </c>
      <c r="AF528">
        <v>1025.5</v>
      </c>
      <c r="AH528">
        <v>509.9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1349.3</v>
      </c>
      <c r="AO528">
        <v>786.40000000000009</v>
      </c>
      <c r="AP528">
        <v>0</v>
      </c>
      <c r="AQ528">
        <v>68.3</v>
      </c>
      <c r="AR528">
        <v>234.9</v>
      </c>
      <c r="AS528">
        <v>600.40000000000009</v>
      </c>
      <c r="AU528">
        <v>985.69999999999993</v>
      </c>
      <c r="AW528">
        <v>792</v>
      </c>
      <c r="AX528">
        <v>1988.5</v>
      </c>
      <c r="AZ528">
        <v>763.5</v>
      </c>
      <c r="BA528">
        <v>0</v>
      </c>
      <c r="BB528">
        <v>0</v>
      </c>
      <c r="BC528">
        <v>1935.3</v>
      </c>
      <c r="BD528">
        <v>1006.5</v>
      </c>
      <c r="BE528">
        <v>0</v>
      </c>
      <c r="BF528">
        <v>0</v>
      </c>
      <c r="BG528">
        <v>0</v>
      </c>
      <c r="BH528">
        <v>1662.6</v>
      </c>
      <c r="BJ528">
        <v>0</v>
      </c>
      <c r="BK528">
        <v>0</v>
      </c>
      <c r="BL528">
        <v>1038.9000000000001</v>
      </c>
      <c r="BM528">
        <v>1101</v>
      </c>
      <c r="BO528">
        <v>1276.8000000000002</v>
      </c>
      <c r="BQ528">
        <v>0</v>
      </c>
      <c r="BR528">
        <v>270.7</v>
      </c>
      <c r="BS528">
        <v>230.5</v>
      </c>
      <c r="BT528">
        <v>472.3</v>
      </c>
      <c r="BU528">
        <v>537.29999999999995</v>
      </c>
      <c r="BV528">
        <v>346.3</v>
      </c>
      <c r="BW528">
        <v>386.2</v>
      </c>
      <c r="BX528">
        <v>767</v>
      </c>
      <c r="BY528">
        <v>757.2</v>
      </c>
      <c r="BZ528">
        <v>1037.2</v>
      </c>
      <c r="CA528">
        <v>1227.0999999999999</v>
      </c>
      <c r="CB528">
        <v>1232.0999999999999</v>
      </c>
      <c r="CC528">
        <v>1701.5</v>
      </c>
      <c r="CD528">
        <v>0</v>
      </c>
      <c r="CG528">
        <v>1385.3</v>
      </c>
      <c r="CJ528">
        <v>1630.2999999999997</v>
      </c>
      <c r="CM528">
        <v>1184.2</v>
      </c>
      <c r="CO528">
        <v>1248.0999999999999</v>
      </c>
      <c r="CQ528">
        <v>1435.3</v>
      </c>
      <c r="CR528">
        <v>798.2</v>
      </c>
      <c r="CS528">
        <v>923.8</v>
      </c>
      <c r="CT528">
        <v>0</v>
      </c>
      <c r="CU528">
        <v>0</v>
      </c>
      <c r="CV528">
        <v>0</v>
      </c>
      <c r="CW528">
        <v>0</v>
      </c>
      <c r="CX528">
        <v>163.69999999999999</v>
      </c>
      <c r="CY528">
        <v>0</v>
      </c>
      <c r="CZ528">
        <v>0</v>
      </c>
      <c r="DA528">
        <v>0</v>
      </c>
      <c r="DB528">
        <v>0</v>
      </c>
      <c r="DC528">
        <v>0</v>
      </c>
      <c r="DD528">
        <v>0</v>
      </c>
      <c r="DE528">
        <v>0</v>
      </c>
      <c r="DI528">
        <v>0</v>
      </c>
      <c r="EC528">
        <v>0</v>
      </c>
      <c r="ED528">
        <v>0</v>
      </c>
      <c r="EE528">
        <v>0</v>
      </c>
      <c r="EF528">
        <v>0</v>
      </c>
      <c r="EG528">
        <v>0</v>
      </c>
      <c r="EH528">
        <v>0</v>
      </c>
      <c r="EI528">
        <v>0</v>
      </c>
      <c r="EJ528">
        <v>0</v>
      </c>
      <c r="EM528">
        <v>0</v>
      </c>
      <c r="EN528">
        <v>0</v>
      </c>
      <c r="EO528">
        <v>0</v>
      </c>
      <c r="EP528">
        <v>0</v>
      </c>
      <c r="EQ528">
        <v>0</v>
      </c>
      <c r="ER528">
        <v>0</v>
      </c>
      <c r="ES528">
        <v>0</v>
      </c>
      <c r="ET528">
        <v>0</v>
      </c>
      <c r="EW528">
        <v>0</v>
      </c>
      <c r="EX528">
        <v>0</v>
      </c>
      <c r="EY528">
        <v>0</v>
      </c>
      <c r="EZ528">
        <v>0</v>
      </c>
      <c r="FA528">
        <v>0</v>
      </c>
      <c r="FB528">
        <v>0</v>
      </c>
      <c r="FC528">
        <v>0</v>
      </c>
      <c r="FD528">
        <v>0</v>
      </c>
      <c r="FG528" t="e">
        <v>#N/A</v>
      </c>
      <c r="FI528" t="e">
        <v>#N/A</v>
      </c>
      <c r="FK528" t="e">
        <v>#N/A</v>
      </c>
      <c r="FM528" t="e">
        <v>#N/A</v>
      </c>
      <c r="FO528" t="e">
        <v>#N/A</v>
      </c>
      <c r="FQ528" t="e">
        <v>#N/A</v>
      </c>
      <c r="FS528" t="e">
        <v>#N/A</v>
      </c>
      <c r="FU528" t="e">
        <v>#N/A</v>
      </c>
      <c r="FW528" t="e">
        <v>#N/A</v>
      </c>
      <c r="FY528" t="e">
        <v>#N/A</v>
      </c>
      <c r="GA528" t="e">
        <v>#N/A</v>
      </c>
      <c r="GC528" t="e">
        <v>#N/A</v>
      </c>
      <c r="GE528" t="e">
        <v>#N/A</v>
      </c>
      <c r="GG528" t="e">
        <v>#N/A</v>
      </c>
      <c r="GI528" t="e">
        <v>#N/A</v>
      </c>
      <c r="GK528" t="e">
        <v>#N/A</v>
      </c>
      <c r="GM528" t="e">
        <v>#N/A</v>
      </c>
      <c r="GO528" t="e">
        <v>#N/A</v>
      </c>
      <c r="GQ528" t="e">
        <v>#N/A</v>
      </c>
      <c r="GS528" t="e">
        <v>#N/A</v>
      </c>
      <c r="GU528" t="e">
        <v>#N/A</v>
      </c>
      <c r="GW528" t="e">
        <v>#N/A</v>
      </c>
      <c r="GY528" t="e">
        <v>#N/A</v>
      </c>
      <c r="HA528" t="e">
        <v>#N/A</v>
      </c>
      <c r="HC528">
        <v>0</v>
      </c>
      <c r="HD528">
        <v>0</v>
      </c>
      <c r="HE528">
        <v>0</v>
      </c>
      <c r="HF528">
        <v>0</v>
      </c>
      <c r="HG528">
        <v>0</v>
      </c>
      <c r="HH528">
        <v>0</v>
      </c>
      <c r="HI528">
        <v>0</v>
      </c>
      <c r="HJ528">
        <v>0</v>
      </c>
      <c r="HM528">
        <v>0</v>
      </c>
      <c r="HN528">
        <v>0</v>
      </c>
      <c r="HO528">
        <v>0</v>
      </c>
      <c r="HP528">
        <v>0</v>
      </c>
      <c r="HQ528">
        <v>0</v>
      </c>
      <c r="HR528">
        <v>0</v>
      </c>
      <c r="HS528">
        <v>0</v>
      </c>
      <c r="HT528">
        <v>0</v>
      </c>
      <c r="HW528">
        <v>0</v>
      </c>
      <c r="HX528">
        <v>0</v>
      </c>
      <c r="HY528">
        <v>0</v>
      </c>
      <c r="HZ528">
        <v>0</v>
      </c>
      <c r="IA528">
        <v>3930.6</v>
      </c>
      <c r="IB528">
        <v>3632.9</v>
      </c>
      <c r="IC528">
        <v>3795.5</v>
      </c>
      <c r="ID528">
        <v>0</v>
      </c>
      <c r="IE528">
        <v>0</v>
      </c>
      <c r="IF528">
        <v>3548.5</v>
      </c>
      <c r="IG528">
        <v>3395.2</v>
      </c>
      <c r="IH528">
        <v>3395.4</v>
      </c>
      <c r="II528">
        <v>3302.3</v>
      </c>
      <c r="IJ528">
        <v>3172.8</v>
      </c>
      <c r="IK528">
        <v>0</v>
      </c>
      <c r="IL528">
        <v>0</v>
      </c>
      <c r="IM528">
        <v>0</v>
      </c>
      <c r="IN528">
        <v>0</v>
      </c>
      <c r="IO528">
        <v>123.4</v>
      </c>
      <c r="IP528">
        <v>405.2</v>
      </c>
      <c r="IQ528">
        <v>418.7</v>
      </c>
      <c r="IR528">
        <v>0</v>
      </c>
      <c r="IS528">
        <v>0</v>
      </c>
      <c r="IT528">
        <v>0</v>
      </c>
      <c r="IU528">
        <v>0</v>
      </c>
      <c r="IV528">
        <v>396</v>
      </c>
      <c r="IW528">
        <v>0</v>
      </c>
      <c r="IX528">
        <v>0</v>
      </c>
      <c r="IZ528">
        <v>0</v>
      </c>
      <c r="JA528">
        <v>65.5</v>
      </c>
      <c r="JB528">
        <v>443.5</v>
      </c>
      <c r="JC528">
        <v>0</v>
      </c>
      <c r="JD528">
        <v>0</v>
      </c>
      <c r="JE528">
        <v>0</v>
      </c>
      <c r="JF528">
        <v>0</v>
      </c>
      <c r="JG528">
        <v>0</v>
      </c>
      <c r="JH528">
        <v>0</v>
      </c>
      <c r="JI528">
        <v>0</v>
      </c>
      <c r="JJ528">
        <v>0</v>
      </c>
      <c r="JK528">
        <v>0</v>
      </c>
      <c r="JL528">
        <v>0</v>
      </c>
      <c r="JM528">
        <v>0</v>
      </c>
      <c r="JN528">
        <v>0</v>
      </c>
      <c r="JO528">
        <v>0</v>
      </c>
      <c r="JP528">
        <v>0</v>
      </c>
      <c r="JQ528">
        <v>0</v>
      </c>
      <c r="JR528">
        <v>0</v>
      </c>
      <c r="JS528">
        <v>0</v>
      </c>
      <c r="JT528">
        <v>0</v>
      </c>
      <c r="JU528">
        <v>0</v>
      </c>
      <c r="JV528">
        <v>0</v>
      </c>
      <c r="JW528">
        <v>0</v>
      </c>
      <c r="JX528">
        <v>0</v>
      </c>
      <c r="JY528">
        <v>0</v>
      </c>
      <c r="JZ528">
        <v>0</v>
      </c>
      <c r="KA528">
        <v>0</v>
      </c>
      <c r="KB528">
        <v>0</v>
      </c>
      <c r="KC528">
        <v>0</v>
      </c>
      <c r="KD528">
        <v>0</v>
      </c>
      <c r="KE528">
        <v>0</v>
      </c>
      <c r="KF528">
        <v>0</v>
      </c>
      <c r="KI528">
        <v>344.6</v>
      </c>
      <c r="KJ528">
        <v>350.8</v>
      </c>
      <c r="KK528">
        <v>22.1</v>
      </c>
      <c r="KL528">
        <v>379.3</v>
      </c>
      <c r="KM528">
        <v>241.4</v>
      </c>
      <c r="KN528">
        <v>0</v>
      </c>
      <c r="KO528">
        <v>0</v>
      </c>
      <c r="KP528">
        <v>57.3</v>
      </c>
      <c r="KQ528">
        <v>224.4</v>
      </c>
      <c r="KR528">
        <v>338.3</v>
      </c>
      <c r="KS528">
        <v>215.8</v>
      </c>
      <c r="KT528">
        <v>40.700000000000003</v>
      </c>
      <c r="KW528">
        <v>2154.5</v>
      </c>
      <c r="KX528">
        <v>1255.7</v>
      </c>
      <c r="KY528">
        <v>1630.1</v>
      </c>
      <c r="KZ528">
        <v>1246.9000000000001</v>
      </c>
      <c r="LB528">
        <v>78.099999999999994</v>
      </c>
      <c r="LC528">
        <v>77.7</v>
      </c>
    </row>
    <row r="529" spans="1:315" ht="35.4" thickBot="1">
      <c r="A529" s="248"/>
      <c r="B529" s="4"/>
      <c r="C529" s="354"/>
      <c r="D529" s="304" t="s">
        <v>760</v>
      </c>
      <c r="E529" s="443">
        <v>0</v>
      </c>
      <c r="F529" s="224">
        <v>0</v>
      </c>
      <c r="G529" s="427">
        <v>3413.8</v>
      </c>
      <c r="H529" s="155"/>
      <c r="I529">
        <v>735</v>
      </c>
      <c r="K529">
        <v>1973.1000000000001</v>
      </c>
      <c r="L529" s="4">
        <v>221.60000000000002</v>
      </c>
      <c r="M529" s="4">
        <v>54.9</v>
      </c>
      <c r="N529" s="4">
        <v>1989.7</v>
      </c>
      <c r="P529">
        <v>0</v>
      </c>
      <c r="Q529">
        <v>238.29999999999998</v>
      </c>
      <c r="R529">
        <v>0</v>
      </c>
      <c r="S529">
        <v>0</v>
      </c>
      <c r="T529">
        <v>368.5</v>
      </c>
      <c r="W529">
        <v>720.3</v>
      </c>
      <c r="X529">
        <v>1411.5</v>
      </c>
      <c r="Y529">
        <v>96.5</v>
      </c>
      <c r="AA529">
        <v>859.6</v>
      </c>
      <c r="AB529">
        <v>1577.6000000000001</v>
      </c>
      <c r="AE529">
        <v>1330</v>
      </c>
      <c r="AF529">
        <v>1025.5</v>
      </c>
      <c r="AH529">
        <v>509.9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1349.3</v>
      </c>
      <c r="AO529">
        <v>786.40000000000009</v>
      </c>
      <c r="AP529">
        <v>0</v>
      </c>
      <c r="AQ529">
        <v>68.3</v>
      </c>
      <c r="AR529">
        <v>234.9</v>
      </c>
      <c r="AS529">
        <v>600.40000000000009</v>
      </c>
      <c r="AU529">
        <v>985.69999999999993</v>
      </c>
      <c r="AW529">
        <v>792</v>
      </c>
      <c r="AX529">
        <v>1988.5</v>
      </c>
      <c r="AZ529">
        <v>763.5</v>
      </c>
      <c r="BA529">
        <v>0</v>
      </c>
      <c r="BB529">
        <v>0</v>
      </c>
      <c r="BC529">
        <v>1935.3</v>
      </c>
      <c r="BD529">
        <v>1006.5</v>
      </c>
      <c r="BE529">
        <v>0</v>
      </c>
      <c r="BF529">
        <v>0</v>
      </c>
      <c r="BG529">
        <v>0</v>
      </c>
      <c r="BH529">
        <v>1662.6</v>
      </c>
      <c r="BJ529">
        <v>0</v>
      </c>
      <c r="BK529">
        <v>0</v>
      </c>
      <c r="BL529">
        <v>1038.9000000000001</v>
      </c>
      <c r="BM529">
        <v>1101</v>
      </c>
      <c r="BO529">
        <v>1276.8000000000002</v>
      </c>
      <c r="BQ529">
        <v>0</v>
      </c>
      <c r="BR529">
        <v>270.7</v>
      </c>
      <c r="BS529">
        <v>230.5</v>
      </c>
      <c r="BT529">
        <v>472.3</v>
      </c>
      <c r="BU529">
        <v>537.29999999999995</v>
      </c>
      <c r="BV529">
        <v>346.3</v>
      </c>
      <c r="BW529">
        <v>386.2</v>
      </c>
      <c r="BX529">
        <v>767</v>
      </c>
      <c r="BY529">
        <v>757.2</v>
      </c>
      <c r="BZ529">
        <v>1037.2</v>
      </c>
      <c r="CA529">
        <v>1227.0999999999999</v>
      </c>
      <c r="CB529">
        <v>1232.0999999999999</v>
      </c>
      <c r="CC529">
        <v>1701.5</v>
      </c>
      <c r="CD529">
        <v>0</v>
      </c>
      <c r="CG529">
        <v>1385.3</v>
      </c>
      <c r="CJ529">
        <v>1630.2999999999997</v>
      </c>
      <c r="CM529">
        <v>1184.2</v>
      </c>
      <c r="CO529">
        <v>1248.0999999999999</v>
      </c>
      <c r="CQ529">
        <v>1435.3</v>
      </c>
      <c r="CR529">
        <v>798.2</v>
      </c>
      <c r="CS529">
        <v>923.8</v>
      </c>
      <c r="CT529">
        <v>0</v>
      </c>
      <c r="CU529">
        <v>0</v>
      </c>
      <c r="CV529">
        <v>0</v>
      </c>
      <c r="CW529">
        <v>0</v>
      </c>
      <c r="CX529">
        <v>163.69999999999999</v>
      </c>
      <c r="CY529">
        <v>0</v>
      </c>
      <c r="CZ529">
        <v>0</v>
      </c>
      <c r="DA529">
        <v>0</v>
      </c>
      <c r="DB529">
        <v>0</v>
      </c>
      <c r="DC529">
        <v>0</v>
      </c>
      <c r="DD529">
        <v>0</v>
      </c>
      <c r="DE529">
        <v>0</v>
      </c>
      <c r="DI529">
        <v>0</v>
      </c>
      <c r="EC529">
        <v>0</v>
      </c>
      <c r="ED529">
        <v>0</v>
      </c>
      <c r="EE529">
        <v>0</v>
      </c>
      <c r="EF529">
        <v>0</v>
      </c>
      <c r="EG529">
        <v>0</v>
      </c>
      <c r="EH529">
        <v>0</v>
      </c>
      <c r="EI529">
        <v>0</v>
      </c>
      <c r="EJ529">
        <v>0</v>
      </c>
      <c r="EM529">
        <v>0</v>
      </c>
      <c r="EN529">
        <v>0</v>
      </c>
      <c r="EO529">
        <v>0</v>
      </c>
      <c r="EP529">
        <v>0</v>
      </c>
      <c r="EQ529">
        <v>0</v>
      </c>
      <c r="ER529">
        <v>0</v>
      </c>
      <c r="ES529">
        <v>0</v>
      </c>
      <c r="ET529">
        <v>0</v>
      </c>
      <c r="EW529">
        <v>0</v>
      </c>
      <c r="EX529">
        <v>0</v>
      </c>
      <c r="EY529">
        <v>0</v>
      </c>
      <c r="EZ529">
        <v>0</v>
      </c>
      <c r="FA529">
        <v>0</v>
      </c>
      <c r="FB529">
        <v>0</v>
      </c>
      <c r="FC529">
        <v>0</v>
      </c>
      <c r="FD529">
        <v>0</v>
      </c>
      <c r="FG529" t="e">
        <v>#N/A</v>
      </c>
      <c r="FI529" t="e">
        <v>#N/A</v>
      </c>
      <c r="FK529" t="e">
        <v>#N/A</v>
      </c>
      <c r="FM529" t="e">
        <v>#N/A</v>
      </c>
      <c r="FO529" t="e">
        <v>#N/A</v>
      </c>
      <c r="FQ529" t="e">
        <v>#N/A</v>
      </c>
      <c r="FS529" t="e">
        <v>#N/A</v>
      </c>
      <c r="FU529" t="e">
        <v>#N/A</v>
      </c>
      <c r="FW529" t="e">
        <v>#N/A</v>
      </c>
      <c r="FY529" t="e">
        <v>#N/A</v>
      </c>
      <c r="GA529" t="e">
        <v>#N/A</v>
      </c>
      <c r="GC529" t="e">
        <v>#N/A</v>
      </c>
      <c r="GE529" t="e">
        <v>#N/A</v>
      </c>
      <c r="GG529" t="e">
        <v>#N/A</v>
      </c>
      <c r="GI529" t="e">
        <v>#N/A</v>
      </c>
      <c r="GK529" t="e">
        <v>#N/A</v>
      </c>
      <c r="GM529" t="e">
        <v>#N/A</v>
      </c>
      <c r="GO529" t="e">
        <v>#N/A</v>
      </c>
      <c r="GQ529" t="e">
        <v>#N/A</v>
      </c>
      <c r="GS529" t="e">
        <v>#N/A</v>
      </c>
      <c r="GU529" t="e">
        <v>#N/A</v>
      </c>
      <c r="GW529" t="e">
        <v>#N/A</v>
      </c>
      <c r="GY529" t="e">
        <v>#N/A</v>
      </c>
      <c r="HA529" t="e">
        <v>#N/A</v>
      </c>
      <c r="HC529">
        <v>0</v>
      </c>
      <c r="HD529">
        <v>0</v>
      </c>
      <c r="HE529">
        <v>0</v>
      </c>
      <c r="HF529">
        <v>0</v>
      </c>
      <c r="HG529">
        <v>0</v>
      </c>
      <c r="HH529">
        <v>0</v>
      </c>
      <c r="HI529">
        <v>0</v>
      </c>
      <c r="HJ529">
        <v>0</v>
      </c>
      <c r="HM529">
        <v>0</v>
      </c>
      <c r="HN529">
        <v>0</v>
      </c>
      <c r="HO529">
        <v>0</v>
      </c>
      <c r="HP529">
        <v>0</v>
      </c>
      <c r="HQ529">
        <v>0</v>
      </c>
      <c r="HR529">
        <v>0</v>
      </c>
      <c r="HS529">
        <v>0</v>
      </c>
      <c r="HT529">
        <v>0</v>
      </c>
      <c r="HW529">
        <v>0</v>
      </c>
      <c r="HX529">
        <v>0</v>
      </c>
      <c r="HY529">
        <v>0</v>
      </c>
      <c r="HZ529">
        <v>0</v>
      </c>
      <c r="IA529">
        <v>3930.6</v>
      </c>
      <c r="IB529">
        <v>3632.9</v>
      </c>
      <c r="IC529">
        <v>3795.5</v>
      </c>
      <c r="ID529">
        <v>0</v>
      </c>
      <c r="IE529">
        <v>0</v>
      </c>
      <c r="IF529">
        <v>3548.5</v>
      </c>
      <c r="IG529">
        <v>3395.2</v>
      </c>
      <c r="IH529">
        <v>3395.4</v>
      </c>
      <c r="II529">
        <v>3302.3</v>
      </c>
      <c r="IJ529">
        <v>3172.8</v>
      </c>
      <c r="IK529">
        <v>0</v>
      </c>
      <c r="IL529">
        <v>0</v>
      </c>
      <c r="IM529">
        <v>0</v>
      </c>
      <c r="IN529">
        <v>0</v>
      </c>
      <c r="IO529">
        <v>123.4</v>
      </c>
      <c r="IP529">
        <v>405.2</v>
      </c>
      <c r="IQ529">
        <v>418.7</v>
      </c>
      <c r="IR529">
        <v>0</v>
      </c>
      <c r="IS529">
        <v>0</v>
      </c>
      <c r="IT529">
        <v>0</v>
      </c>
      <c r="IU529">
        <v>0</v>
      </c>
      <c r="IV529">
        <v>396</v>
      </c>
      <c r="IW529">
        <v>0</v>
      </c>
      <c r="IX529">
        <v>0</v>
      </c>
      <c r="IZ529">
        <v>0</v>
      </c>
      <c r="JA529">
        <v>65.5</v>
      </c>
      <c r="JB529">
        <v>443.5</v>
      </c>
      <c r="JC529">
        <v>0</v>
      </c>
      <c r="JD529">
        <v>0</v>
      </c>
      <c r="JE529">
        <v>0</v>
      </c>
      <c r="JF529">
        <v>0</v>
      </c>
      <c r="JG529">
        <v>0</v>
      </c>
      <c r="JH529">
        <v>0</v>
      </c>
      <c r="JI529">
        <v>0</v>
      </c>
      <c r="JJ529">
        <v>0</v>
      </c>
      <c r="JK529">
        <v>0</v>
      </c>
      <c r="JL529">
        <v>0</v>
      </c>
      <c r="JM529">
        <v>0</v>
      </c>
      <c r="JN529">
        <v>0</v>
      </c>
      <c r="JO529">
        <v>0</v>
      </c>
      <c r="JP529">
        <v>0</v>
      </c>
      <c r="JQ529">
        <v>0</v>
      </c>
      <c r="JR529">
        <v>0</v>
      </c>
      <c r="JS529">
        <v>0</v>
      </c>
      <c r="JT529">
        <v>0</v>
      </c>
      <c r="JU529">
        <v>0</v>
      </c>
      <c r="JV529">
        <v>0</v>
      </c>
      <c r="JW529">
        <v>0</v>
      </c>
      <c r="JX529">
        <v>0</v>
      </c>
      <c r="JY529">
        <v>0</v>
      </c>
      <c r="JZ529">
        <v>0</v>
      </c>
      <c r="KA529">
        <v>0</v>
      </c>
      <c r="KB529">
        <v>0</v>
      </c>
      <c r="KC529">
        <v>0</v>
      </c>
      <c r="KD529">
        <v>0</v>
      </c>
      <c r="KE529">
        <v>0</v>
      </c>
      <c r="KF529">
        <v>0</v>
      </c>
      <c r="KI529">
        <v>344.6</v>
      </c>
      <c r="KJ529">
        <v>350.8</v>
      </c>
      <c r="KK529">
        <v>22.1</v>
      </c>
      <c r="KL529">
        <v>379.3</v>
      </c>
      <c r="KM529">
        <v>241.4</v>
      </c>
      <c r="KN529">
        <v>0</v>
      </c>
      <c r="KO529">
        <v>0</v>
      </c>
      <c r="KP529">
        <v>57.3</v>
      </c>
      <c r="KQ529">
        <v>224.4</v>
      </c>
      <c r="KR529">
        <v>338.3</v>
      </c>
      <c r="KS529">
        <v>215.8</v>
      </c>
      <c r="KT529">
        <v>40.700000000000003</v>
      </c>
      <c r="KW529">
        <v>2154.5</v>
      </c>
      <c r="KX529">
        <v>1255.7</v>
      </c>
      <c r="KY529">
        <v>1630.1</v>
      </c>
      <c r="KZ529">
        <v>1246.9000000000001</v>
      </c>
      <c r="LB529">
        <v>78.099999999999994</v>
      </c>
      <c r="LC529">
        <v>77.7</v>
      </c>
    </row>
    <row r="530" spans="1:315" ht="18" thickBot="1">
      <c r="A530" s="248"/>
      <c r="B530" s="4"/>
      <c r="C530" s="354"/>
      <c r="D530" s="304" t="s">
        <v>832</v>
      </c>
      <c r="E530" s="443">
        <v>0</v>
      </c>
      <c r="F530" s="224">
        <v>0</v>
      </c>
      <c r="G530" s="427">
        <v>3413.8</v>
      </c>
      <c r="H530" s="155"/>
      <c r="I530">
        <v>735</v>
      </c>
      <c r="K530">
        <v>1973.1000000000001</v>
      </c>
      <c r="L530" s="4">
        <v>221.60000000000002</v>
      </c>
      <c r="M530" s="4">
        <v>54.9</v>
      </c>
      <c r="N530" s="4">
        <v>1989.7</v>
      </c>
      <c r="P530">
        <v>0</v>
      </c>
      <c r="Q530">
        <v>238.29999999999998</v>
      </c>
      <c r="R530">
        <v>0</v>
      </c>
      <c r="S530">
        <v>0</v>
      </c>
      <c r="T530">
        <v>368.5</v>
      </c>
      <c r="W530">
        <v>720.3</v>
      </c>
      <c r="X530">
        <v>1411.5</v>
      </c>
      <c r="Y530">
        <v>96.5</v>
      </c>
      <c r="AA530">
        <v>859.6</v>
      </c>
      <c r="AB530">
        <v>1577.6000000000001</v>
      </c>
      <c r="AE530">
        <v>1330</v>
      </c>
      <c r="AF530">
        <v>1025.5</v>
      </c>
      <c r="AH530">
        <v>509.9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1349.3</v>
      </c>
      <c r="AO530">
        <v>786.40000000000009</v>
      </c>
      <c r="AP530">
        <v>0</v>
      </c>
      <c r="AQ530">
        <v>68.3</v>
      </c>
      <c r="AR530">
        <v>234.9</v>
      </c>
      <c r="AS530">
        <v>600.40000000000009</v>
      </c>
      <c r="AU530">
        <v>985.69999999999993</v>
      </c>
      <c r="AW530">
        <v>792</v>
      </c>
      <c r="AX530">
        <v>1988.5</v>
      </c>
      <c r="AZ530">
        <v>763.5</v>
      </c>
      <c r="BA530">
        <v>0</v>
      </c>
      <c r="BB530">
        <v>0</v>
      </c>
      <c r="BC530">
        <v>1935.3</v>
      </c>
      <c r="BD530">
        <v>1006.5</v>
      </c>
      <c r="BE530">
        <v>0</v>
      </c>
      <c r="BF530">
        <v>0</v>
      </c>
      <c r="BG530">
        <v>0</v>
      </c>
      <c r="BH530">
        <v>1662.6</v>
      </c>
      <c r="BJ530">
        <v>0</v>
      </c>
      <c r="BK530">
        <v>0</v>
      </c>
      <c r="BL530">
        <v>1038.9000000000001</v>
      </c>
      <c r="BM530">
        <v>1101</v>
      </c>
      <c r="BO530">
        <v>1276.8000000000002</v>
      </c>
      <c r="BQ530">
        <v>0</v>
      </c>
      <c r="BR530">
        <v>270.7</v>
      </c>
      <c r="BS530">
        <v>230.5</v>
      </c>
      <c r="BT530">
        <v>472.3</v>
      </c>
      <c r="BU530">
        <v>537.29999999999995</v>
      </c>
      <c r="BV530">
        <v>346.3</v>
      </c>
      <c r="BW530">
        <v>386.2</v>
      </c>
      <c r="BX530">
        <v>767</v>
      </c>
      <c r="BY530">
        <v>757.2</v>
      </c>
      <c r="BZ530">
        <v>1037.2</v>
      </c>
      <c r="CA530">
        <v>1227.0999999999999</v>
      </c>
      <c r="CB530">
        <v>1232.0999999999999</v>
      </c>
      <c r="CC530">
        <v>1701.5</v>
      </c>
      <c r="CD530">
        <v>0</v>
      </c>
      <c r="CG530">
        <v>1385.3</v>
      </c>
      <c r="CJ530">
        <v>1630.2999999999997</v>
      </c>
      <c r="CM530">
        <v>1184.2</v>
      </c>
      <c r="CO530">
        <v>1248.0999999999999</v>
      </c>
      <c r="CQ530">
        <v>1435.3</v>
      </c>
      <c r="CR530">
        <v>798.2</v>
      </c>
      <c r="CS530">
        <v>923.8</v>
      </c>
      <c r="CT530">
        <v>0</v>
      </c>
      <c r="CU530">
        <v>0</v>
      </c>
      <c r="CV530">
        <v>0</v>
      </c>
      <c r="CW530">
        <v>0</v>
      </c>
      <c r="CX530">
        <v>163.69999999999999</v>
      </c>
      <c r="CY530">
        <v>0</v>
      </c>
      <c r="CZ530">
        <v>0</v>
      </c>
      <c r="DA530">
        <v>0</v>
      </c>
      <c r="DB530">
        <v>0</v>
      </c>
      <c r="DC530">
        <v>0</v>
      </c>
      <c r="DD530">
        <v>0</v>
      </c>
      <c r="DE530">
        <v>0</v>
      </c>
      <c r="DI530">
        <v>0</v>
      </c>
      <c r="EC530">
        <v>0</v>
      </c>
      <c r="ED530">
        <v>0</v>
      </c>
      <c r="EE530">
        <v>0</v>
      </c>
      <c r="EF530">
        <v>0</v>
      </c>
      <c r="EG530">
        <v>0</v>
      </c>
      <c r="EH530">
        <v>0</v>
      </c>
      <c r="EI530">
        <v>0</v>
      </c>
      <c r="EJ530">
        <v>0</v>
      </c>
      <c r="EM530">
        <v>0</v>
      </c>
      <c r="EN530">
        <v>0</v>
      </c>
      <c r="EO530">
        <v>0</v>
      </c>
      <c r="EP530">
        <v>0</v>
      </c>
      <c r="EQ530">
        <v>0</v>
      </c>
      <c r="ER530">
        <v>0</v>
      </c>
      <c r="ES530">
        <v>0</v>
      </c>
      <c r="ET530">
        <v>0</v>
      </c>
      <c r="EW530">
        <v>0</v>
      </c>
      <c r="EX530">
        <v>0</v>
      </c>
      <c r="EY530">
        <v>0</v>
      </c>
      <c r="EZ530">
        <v>0</v>
      </c>
      <c r="FA530">
        <v>0</v>
      </c>
      <c r="FB530">
        <v>0</v>
      </c>
      <c r="FC530">
        <v>0</v>
      </c>
      <c r="FD530">
        <v>0</v>
      </c>
      <c r="FG530" t="e">
        <v>#N/A</v>
      </c>
      <c r="FI530" t="e">
        <v>#N/A</v>
      </c>
      <c r="FK530" t="e">
        <v>#N/A</v>
      </c>
      <c r="FM530" t="e">
        <v>#N/A</v>
      </c>
      <c r="FO530" t="e">
        <v>#N/A</v>
      </c>
      <c r="FQ530" t="e">
        <v>#N/A</v>
      </c>
      <c r="FS530" t="e">
        <v>#N/A</v>
      </c>
      <c r="FU530" t="e">
        <v>#N/A</v>
      </c>
      <c r="FW530" t="e">
        <v>#N/A</v>
      </c>
      <c r="FY530" t="e">
        <v>#N/A</v>
      </c>
      <c r="GA530" t="e">
        <v>#N/A</v>
      </c>
      <c r="GC530" t="e">
        <v>#N/A</v>
      </c>
      <c r="GE530" t="e">
        <v>#N/A</v>
      </c>
      <c r="GG530" t="e">
        <v>#N/A</v>
      </c>
      <c r="GI530" t="e">
        <v>#N/A</v>
      </c>
      <c r="GK530" t="e">
        <v>#N/A</v>
      </c>
      <c r="GM530" t="e">
        <v>#N/A</v>
      </c>
      <c r="GO530" t="e">
        <v>#N/A</v>
      </c>
      <c r="GQ530" t="e">
        <v>#N/A</v>
      </c>
      <c r="GS530" t="e">
        <v>#N/A</v>
      </c>
      <c r="GU530" t="e">
        <v>#N/A</v>
      </c>
      <c r="GW530" t="e">
        <v>#N/A</v>
      </c>
      <c r="GY530" t="e">
        <v>#N/A</v>
      </c>
      <c r="HA530" t="e">
        <v>#N/A</v>
      </c>
      <c r="HC530">
        <v>0</v>
      </c>
      <c r="HD530">
        <v>0</v>
      </c>
      <c r="HE530">
        <v>0</v>
      </c>
      <c r="HF530">
        <v>0</v>
      </c>
      <c r="HG530">
        <v>0</v>
      </c>
      <c r="HH530">
        <v>0</v>
      </c>
      <c r="HI530">
        <v>0</v>
      </c>
      <c r="HJ530">
        <v>0</v>
      </c>
      <c r="HM530">
        <v>0</v>
      </c>
      <c r="HN530">
        <v>0</v>
      </c>
      <c r="HO530">
        <v>0</v>
      </c>
      <c r="HP530">
        <v>0</v>
      </c>
      <c r="HQ530">
        <v>0</v>
      </c>
      <c r="HR530">
        <v>0</v>
      </c>
      <c r="HS530">
        <v>0</v>
      </c>
      <c r="HT530">
        <v>0</v>
      </c>
      <c r="HW530">
        <v>0</v>
      </c>
      <c r="HX530">
        <v>0</v>
      </c>
      <c r="HY530">
        <v>0</v>
      </c>
      <c r="HZ530">
        <v>0</v>
      </c>
      <c r="IA530">
        <v>3930.6</v>
      </c>
      <c r="IB530">
        <v>3632.9</v>
      </c>
      <c r="IC530">
        <v>3795.5</v>
      </c>
      <c r="ID530">
        <v>0</v>
      </c>
      <c r="IE530">
        <v>0</v>
      </c>
      <c r="IF530">
        <v>3548.5</v>
      </c>
      <c r="IG530">
        <v>3395.2</v>
      </c>
      <c r="IH530">
        <v>3395.4</v>
      </c>
      <c r="II530">
        <v>3302.3</v>
      </c>
      <c r="IJ530">
        <v>3172.8</v>
      </c>
      <c r="IK530">
        <v>0</v>
      </c>
      <c r="IL530">
        <v>0</v>
      </c>
      <c r="IM530">
        <v>0</v>
      </c>
      <c r="IN530">
        <v>0</v>
      </c>
      <c r="IO530">
        <v>123.4</v>
      </c>
      <c r="IP530">
        <v>405.2</v>
      </c>
      <c r="IQ530">
        <v>418.7</v>
      </c>
      <c r="IR530">
        <v>0</v>
      </c>
      <c r="IS530">
        <v>0</v>
      </c>
      <c r="IT530">
        <v>0</v>
      </c>
      <c r="IU530">
        <v>0</v>
      </c>
      <c r="IV530">
        <v>396</v>
      </c>
      <c r="IW530">
        <v>0</v>
      </c>
      <c r="IX530">
        <v>0</v>
      </c>
      <c r="IZ530">
        <v>0</v>
      </c>
      <c r="JA530">
        <v>65.5</v>
      </c>
      <c r="JB530">
        <v>443.5</v>
      </c>
      <c r="JC530">
        <v>0</v>
      </c>
      <c r="JD530">
        <v>0</v>
      </c>
      <c r="JE530">
        <v>0</v>
      </c>
      <c r="JF530">
        <v>0</v>
      </c>
      <c r="JG530">
        <v>0</v>
      </c>
      <c r="JH530">
        <v>0</v>
      </c>
      <c r="JI530">
        <v>0</v>
      </c>
      <c r="JJ530">
        <v>0</v>
      </c>
      <c r="JK530">
        <v>0</v>
      </c>
      <c r="JL530">
        <v>0</v>
      </c>
      <c r="JM530">
        <v>0</v>
      </c>
      <c r="JN530">
        <v>0</v>
      </c>
      <c r="JO530">
        <v>0</v>
      </c>
      <c r="JP530">
        <v>0</v>
      </c>
      <c r="JQ530">
        <v>0</v>
      </c>
      <c r="JR530">
        <v>0</v>
      </c>
      <c r="JS530">
        <v>0</v>
      </c>
      <c r="JT530">
        <v>0</v>
      </c>
      <c r="JU530">
        <v>0</v>
      </c>
      <c r="JV530">
        <v>0</v>
      </c>
      <c r="JW530">
        <v>0</v>
      </c>
      <c r="JX530">
        <v>0</v>
      </c>
      <c r="JY530">
        <v>0</v>
      </c>
      <c r="JZ530">
        <v>0</v>
      </c>
      <c r="KA530">
        <v>0</v>
      </c>
      <c r="KB530">
        <v>0</v>
      </c>
      <c r="KC530">
        <v>0</v>
      </c>
      <c r="KD530">
        <v>0</v>
      </c>
      <c r="KE530">
        <v>0</v>
      </c>
      <c r="KF530">
        <v>0</v>
      </c>
      <c r="KI530">
        <v>344.6</v>
      </c>
      <c r="KJ530">
        <v>350.8</v>
      </c>
      <c r="KK530">
        <v>22.1</v>
      </c>
      <c r="KL530">
        <v>379.3</v>
      </c>
      <c r="KM530">
        <v>241.4</v>
      </c>
      <c r="KN530">
        <v>0</v>
      </c>
      <c r="KO530">
        <v>0</v>
      </c>
      <c r="KP530">
        <v>57.3</v>
      </c>
      <c r="KQ530">
        <v>224.4</v>
      </c>
      <c r="KR530">
        <v>338.3</v>
      </c>
      <c r="KS530">
        <v>215.8</v>
      </c>
      <c r="KT530">
        <v>40.700000000000003</v>
      </c>
      <c r="KW530">
        <v>2154.5</v>
      </c>
      <c r="KX530">
        <v>1255.7</v>
      </c>
      <c r="KY530">
        <v>1630.1</v>
      </c>
      <c r="KZ530">
        <v>1246.9000000000001</v>
      </c>
      <c r="LB530">
        <v>78.099999999999994</v>
      </c>
      <c r="LC530">
        <v>77.7</v>
      </c>
    </row>
    <row r="531" spans="1:315" ht="18" thickBot="1">
      <c r="A531" s="248"/>
      <c r="B531" s="4"/>
      <c r="C531" s="354"/>
      <c r="D531" s="304" t="s">
        <v>758</v>
      </c>
      <c r="E531" s="443">
        <v>0</v>
      </c>
      <c r="F531" s="224">
        <v>0</v>
      </c>
      <c r="G531" s="427">
        <v>3413.8</v>
      </c>
      <c r="H531" s="155"/>
      <c r="I531">
        <v>735</v>
      </c>
      <c r="K531">
        <v>1973.1000000000001</v>
      </c>
      <c r="L531" s="4">
        <v>221.60000000000002</v>
      </c>
      <c r="M531" s="4">
        <v>54.9</v>
      </c>
      <c r="N531" s="4">
        <v>1989.7</v>
      </c>
      <c r="P531">
        <v>0</v>
      </c>
      <c r="Q531">
        <v>238.29999999999998</v>
      </c>
      <c r="R531">
        <v>0</v>
      </c>
      <c r="S531">
        <v>0</v>
      </c>
      <c r="T531">
        <v>368.5</v>
      </c>
      <c r="W531">
        <v>720.3</v>
      </c>
      <c r="X531">
        <v>1411.5</v>
      </c>
      <c r="Y531">
        <v>96.5</v>
      </c>
      <c r="AA531">
        <v>859.6</v>
      </c>
      <c r="AB531">
        <v>1577.6000000000001</v>
      </c>
      <c r="AE531">
        <v>1330</v>
      </c>
      <c r="AF531">
        <v>1025.5</v>
      </c>
      <c r="AH531">
        <v>509.9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1349.3</v>
      </c>
      <c r="AO531">
        <v>786.40000000000009</v>
      </c>
      <c r="AP531">
        <v>0</v>
      </c>
      <c r="AQ531">
        <v>68.3</v>
      </c>
      <c r="AR531">
        <v>234.9</v>
      </c>
      <c r="AS531">
        <v>600.40000000000009</v>
      </c>
      <c r="AU531">
        <v>985.69999999999993</v>
      </c>
      <c r="AW531">
        <v>792</v>
      </c>
      <c r="AX531">
        <v>1988.5</v>
      </c>
      <c r="AZ531">
        <v>763.5</v>
      </c>
      <c r="BA531">
        <v>0</v>
      </c>
      <c r="BB531">
        <v>0</v>
      </c>
      <c r="BC531">
        <v>1935.3</v>
      </c>
      <c r="BD531">
        <v>1006.5</v>
      </c>
      <c r="BE531">
        <v>0</v>
      </c>
      <c r="BF531">
        <v>0</v>
      </c>
      <c r="BG531">
        <v>0</v>
      </c>
      <c r="BH531">
        <v>1662.6</v>
      </c>
      <c r="BJ531">
        <v>0</v>
      </c>
      <c r="BK531">
        <v>0</v>
      </c>
      <c r="BL531">
        <v>1038.9000000000001</v>
      </c>
      <c r="BM531">
        <v>1101</v>
      </c>
      <c r="BO531">
        <v>1276.8000000000002</v>
      </c>
      <c r="BQ531">
        <v>0</v>
      </c>
      <c r="BR531">
        <v>270.7</v>
      </c>
      <c r="BS531">
        <v>230.5</v>
      </c>
      <c r="BT531">
        <v>472.3</v>
      </c>
      <c r="BU531">
        <v>537.29999999999995</v>
      </c>
      <c r="BV531">
        <v>346.3</v>
      </c>
      <c r="BW531">
        <v>386.2</v>
      </c>
      <c r="BX531">
        <v>767</v>
      </c>
      <c r="BY531">
        <v>757.2</v>
      </c>
      <c r="BZ531">
        <v>1037.2</v>
      </c>
      <c r="CA531">
        <v>1227.0999999999999</v>
      </c>
      <c r="CB531">
        <v>1232.0999999999999</v>
      </c>
      <c r="CC531">
        <v>1701.5</v>
      </c>
      <c r="CD531">
        <v>0</v>
      </c>
      <c r="CG531">
        <v>1385.3</v>
      </c>
      <c r="CJ531">
        <v>1630.2999999999997</v>
      </c>
      <c r="CM531">
        <v>1184.2</v>
      </c>
      <c r="CO531">
        <v>1248.0999999999999</v>
      </c>
      <c r="CQ531">
        <v>1435.3</v>
      </c>
      <c r="CR531">
        <v>798.2</v>
      </c>
      <c r="CS531">
        <v>923.8</v>
      </c>
      <c r="CT531">
        <v>0</v>
      </c>
      <c r="CU531">
        <v>0</v>
      </c>
      <c r="CV531">
        <v>0</v>
      </c>
      <c r="CW531">
        <v>0</v>
      </c>
      <c r="CX531">
        <v>163.69999999999999</v>
      </c>
      <c r="CY531">
        <v>0</v>
      </c>
      <c r="CZ531">
        <v>0</v>
      </c>
      <c r="DA531">
        <v>0</v>
      </c>
      <c r="DB531">
        <v>0</v>
      </c>
      <c r="DC531">
        <v>0</v>
      </c>
      <c r="DD531">
        <v>0</v>
      </c>
      <c r="DE531">
        <v>0</v>
      </c>
      <c r="DI531">
        <v>0</v>
      </c>
      <c r="EC531">
        <v>0</v>
      </c>
      <c r="ED531">
        <v>0</v>
      </c>
      <c r="EE531">
        <v>0</v>
      </c>
      <c r="EF531">
        <v>0</v>
      </c>
      <c r="EG531">
        <v>0</v>
      </c>
      <c r="EH531">
        <v>0</v>
      </c>
      <c r="EI531">
        <v>0</v>
      </c>
      <c r="EJ531">
        <v>0</v>
      </c>
      <c r="EM531">
        <v>0</v>
      </c>
      <c r="EN531">
        <v>0</v>
      </c>
      <c r="EO531">
        <v>0</v>
      </c>
      <c r="EP531">
        <v>0</v>
      </c>
      <c r="EQ531">
        <v>0</v>
      </c>
      <c r="ER531">
        <v>0</v>
      </c>
      <c r="ES531">
        <v>0</v>
      </c>
      <c r="ET531">
        <v>0</v>
      </c>
      <c r="EW531">
        <v>0</v>
      </c>
      <c r="EX531">
        <v>0</v>
      </c>
      <c r="EY531">
        <v>0</v>
      </c>
      <c r="EZ531">
        <v>0</v>
      </c>
      <c r="FA531">
        <v>0</v>
      </c>
      <c r="FB531">
        <v>0</v>
      </c>
      <c r="FC531">
        <v>0</v>
      </c>
      <c r="FD531">
        <v>0</v>
      </c>
      <c r="FG531" t="e">
        <v>#N/A</v>
      </c>
      <c r="FI531" t="e">
        <v>#N/A</v>
      </c>
      <c r="FK531" t="e">
        <v>#N/A</v>
      </c>
      <c r="FM531" t="e">
        <v>#N/A</v>
      </c>
      <c r="FO531" t="e">
        <v>#N/A</v>
      </c>
      <c r="FQ531" t="e">
        <v>#N/A</v>
      </c>
      <c r="FS531" t="e">
        <v>#N/A</v>
      </c>
      <c r="FU531" t="e">
        <v>#N/A</v>
      </c>
      <c r="FW531" t="e">
        <v>#N/A</v>
      </c>
      <c r="FY531" t="e">
        <v>#N/A</v>
      </c>
      <c r="GA531" t="e">
        <v>#N/A</v>
      </c>
      <c r="GC531" t="e">
        <v>#N/A</v>
      </c>
      <c r="GE531" t="e">
        <v>#N/A</v>
      </c>
      <c r="GG531" t="e">
        <v>#N/A</v>
      </c>
      <c r="GI531" t="e">
        <v>#N/A</v>
      </c>
      <c r="GK531" t="e">
        <v>#N/A</v>
      </c>
      <c r="GM531" t="e">
        <v>#N/A</v>
      </c>
      <c r="GO531" t="e">
        <v>#N/A</v>
      </c>
      <c r="GQ531" t="e">
        <v>#N/A</v>
      </c>
      <c r="GS531" t="e">
        <v>#N/A</v>
      </c>
      <c r="GU531" t="e">
        <v>#N/A</v>
      </c>
      <c r="GW531" t="e">
        <v>#N/A</v>
      </c>
      <c r="GY531" t="e">
        <v>#N/A</v>
      </c>
      <c r="HA531" t="e">
        <v>#N/A</v>
      </c>
      <c r="HC531">
        <v>0</v>
      </c>
      <c r="HD531">
        <v>0</v>
      </c>
      <c r="HE531">
        <v>0</v>
      </c>
      <c r="HF531">
        <v>0</v>
      </c>
      <c r="HG531">
        <v>0</v>
      </c>
      <c r="HH531">
        <v>0</v>
      </c>
      <c r="HI531">
        <v>0</v>
      </c>
      <c r="HJ531">
        <v>0</v>
      </c>
      <c r="HM531">
        <v>0</v>
      </c>
      <c r="HN531">
        <v>0</v>
      </c>
      <c r="HO531">
        <v>0</v>
      </c>
      <c r="HP531">
        <v>0</v>
      </c>
      <c r="HQ531">
        <v>0</v>
      </c>
      <c r="HR531">
        <v>0</v>
      </c>
      <c r="HS531">
        <v>0</v>
      </c>
      <c r="HT531">
        <v>0</v>
      </c>
      <c r="HW531">
        <v>0</v>
      </c>
      <c r="HX531">
        <v>0</v>
      </c>
      <c r="HY531">
        <v>0</v>
      </c>
      <c r="HZ531">
        <v>0</v>
      </c>
      <c r="IA531">
        <v>3930.6</v>
      </c>
      <c r="IB531">
        <v>3632.9</v>
      </c>
      <c r="IC531">
        <v>3795.5</v>
      </c>
      <c r="ID531">
        <v>0</v>
      </c>
      <c r="IE531">
        <v>0</v>
      </c>
      <c r="IF531">
        <v>3548.5</v>
      </c>
      <c r="IG531">
        <v>3395.2</v>
      </c>
      <c r="IH531">
        <v>3395.4</v>
      </c>
      <c r="II531">
        <v>3302.3</v>
      </c>
      <c r="IJ531">
        <v>3172.8</v>
      </c>
      <c r="IK531">
        <v>0</v>
      </c>
      <c r="IL531">
        <v>0</v>
      </c>
      <c r="IM531">
        <v>0</v>
      </c>
      <c r="IN531">
        <v>0</v>
      </c>
      <c r="IO531">
        <v>123.4</v>
      </c>
      <c r="IP531">
        <v>405.2</v>
      </c>
      <c r="IQ531">
        <v>418.7</v>
      </c>
      <c r="IR531">
        <v>0</v>
      </c>
      <c r="IS531">
        <v>0</v>
      </c>
      <c r="IT531">
        <v>0</v>
      </c>
      <c r="IU531">
        <v>0</v>
      </c>
      <c r="IV531">
        <v>396</v>
      </c>
      <c r="IW531">
        <v>0</v>
      </c>
      <c r="IX531">
        <v>0</v>
      </c>
      <c r="IZ531">
        <v>0</v>
      </c>
      <c r="JA531">
        <v>65.5</v>
      </c>
      <c r="JB531">
        <v>443.5</v>
      </c>
      <c r="JC531">
        <v>0</v>
      </c>
      <c r="JD531">
        <v>0</v>
      </c>
      <c r="JE531">
        <v>0</v>
      </c>
      <c r="JF531">
        <v>0</v>
      </c>
      <c r="JG531">
        <v>0</v>
      </c>
      <c r="JH531">
        <v>0</v>
      </c>
      <c r="JI531">
        <v>0</v>
      </c>
      <c r="JJ531">
        <v>0</v>
      </c>
      <c r="JK531">
        <v>0</v>
      </c>
      <c r="JL531">
        <v>0</v>
      </c>
      <c r="JM531">
        <v>0</v>
      </c>
      <c r="JN531">
        <v>0</v>
      </c>
      <c r="JO531">
        <v>0</v>
      </c>
      <c r="JP531">
        <v>0</v>
      </c>
      <c r="JQ531">
        <v>0</v>
      </c>
      <c r="JR531">
        <v>0</v>
      </c>
      <c r="JS531">
        <v>0</v>
      </c>
      <c r="JT531">
        <v>0</v>
      </c>
      <c r="JU531">
        <v>0</v>
      </c>
      <c r="JV531">
        <v>0</v>
      </c>
      <c r="JW531">
        <v>0</v>
      </c>
      <c r="JX531">
        <v>0</v>
      </c>
      <c r="JY531">
        <v>0</v>
      </c>
      <c r="JZ531">
        <v>0</v>
      </c>
      <c r="KA531">
        <v>0</v>
      </c>
      <c r="KB531">
        <v>0</v>
      </c>
      <c r="KC531">
        <v>0</v>
      </c>
      <c r="KD531">
        <v>0</v>
      </c>
      <c r="KE531">
        <v>0</v>
      </c>
      <c r="KF531">
        <v>0</v>
      </c>
      <c r="KI531">
        <v>344.6</v>
      </c>
      <c r="KJ531">
        <v>350.8</v>
      </c>
      <c r="KK531">
        <v>22.1</v>
      </c>
      <c r="KL531">
        <v>379.3</v>
      </c>
      <c r="KM531">
        <v>241.4</v>
      </c>
      <c r="KN531">
        <v>0</v>
      </c>
      <c r="KO531">
        <v>0</v>
      </c>
      <c r="KP531">
        <v>57.3</v>
      </c>
      <c r="KQ531">
        <v>224.4</v>
      </c>
      <c r="KR531">
        <v>338.3</v>
      </c>
      <c r="KS531">
        <v>215.8</v>
      </c>
      <c r="KT531">
        <v>40.700000000000003</v>
      </c>
      <c r="KW531">
        <v>2154.5</v>
      </c>
      <c r="KX531">
        <v>1255.7</v>
      </c>
      <c r="KY531">
        <v>1630.1</v>
      </c>
      <c r="KZ531">
        <v>1246.9000000000001</v>
      </c>
      <c r="LB531">
        <v>78.099999999999994</v>
      </c>
      <c r="LC531">
        <v>77.7</v>
      </c>
    </row>
    <row r="532" spans="1:315" ht="18" thickBot="1">
      <c r="A532" s="248"/>
      <c r="B532" s="4"/>
      <c r="C532" s="354"/>
      <c r="D532" s="304" t="s">
        <v>758</v>
      </c>
      <c r="E532" s="443">
        <v>0</v>
      </c>
      <c r="F532" s="224">
        <v>0</v>
      </c>
      <c r="G532" s="427">
        <v>3413.8</v>
      </c>
      <c r="H532" s="155"/>
      <c r="I532">
        <v>735</v>
      </c>
      <c r="K532">
        <v>1973.1000000000001</v>
      </c>
      <c r="L532" s="4">
        <v>221.60000000000002</v>
      </c>
      <c r="M532" s="4">
        <v>54.9</v>
      </c>
      <c r="N532" s="4">
        <v>1989.7</v>
      </c>
      <c r="P532">
        <v>0</v>
      </c>
      <c r="Q532">
        <v>238.29999999999998</v>
      </c>
      <c r="R532">
        <v>0</v>
      </c>
      <c r="S532">
        <v>0</v>
      </c>
      <c r="T532">
        <v>368.5</v>
      </c>
      <c r="W532">
        <v>720.3</v>
      </c>
      <c r="X532">
        <v>1411.5</v>
      </c>
      <c r="Y532">
        <v>96.5</v>
      </c>
      <c r="AA532">
        <v>859.6</v>
      </c>
      <c r="AB532">
        <v>1577.6000000000001</v>
      </c>
      <c r="AE532">
        <v>1330</v>
      </c>
      <c r="AF532">
        <v>1025.5</v>
      </c>
      <c r="AH532">
        <v>509.9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1349.3</v>
      </c>
      <c r="AO532">
        <v>786.40000000000009</v>
      </c>
      <c r="AP532">
        <v>0</v>
      </c>
      <c r="AQ532">
        <v>68.3</v>
      </c>
      <c r="AR532">
        <v>234.9</v>
      </c>
      <c r="AS532">
        <v>600.40000000000009</v>
      </c>
      <c r="AU532">
        <v>985.69999999999993</v>
      </c>
      <c r="AW532">
        <v>792</v>
      </c>
      <c r="AX532">
        <v>1988.5</v>
      </c>
      <c r="AZ532">
        <v>763.5</v>
      </c>
      <c r="BA532">
        <v>0</v>
      </c>
      <c r="BB532">
        <v>0</v>
      </c>
      <c r="BC532">
        <v>1935.3</v>
      </c>
      <c r="BD532">
        <v>1006.5</v>
      </c>
      <c r="BE532">
        <v>0</v>
      </c>
      <c r="BF532">
        <v>0</v>
      </c>
      <c r="BG532">
        <v>0</v>
      </c>
      <c r="BH532">
        <v>1662.6</v>
      </c>
      <c r="BJ532">
        <v>0</v>
      </c>
      <c r="BK532">
        <v>0</v>
      </c>
      <c r="BL532">
        <v>1038.9000000000001</v>
      </c>
      <c r="BM532">
        <v>1101</v>
      </c>
      <c r="BO532">
        <v>1276.8000000000002</v>
      </c>
      <c r="BQ532">
        <v>0</v>
      </c>
      <c r="BR532">
        <v>270.7</v>
      </c>
      <c r="BS532">
        <v>230.5</v>
      </c>
      <c r="BT532">
        <v>472.3</v>
      </c>
      <c r="BU532">
        <v>537.29999999999995</v>
      </c>
      <c r="BV532">
        <v>346.3</v>
      </c>
      <c r="BW532">
        <v>386.2</v>
      </c>
      <c r="BX532">
        <v>767</v>
      </c>
      <c r="BY532">
        <v>757.2</v>
      </c>
      <c r="BZ532">
        <v>1037.2</v>
      </c>
      <c r="CA532">
        <v>1227.0999999999999</v>
      </c>
      <c r="CB532">
        <v>1232.0999999999999</v>
      </c>
      <c r="CC532">
        <v>1701.5</v>
      </c>
      <c r="CD532">
        <v>0</v>
      </c>
      <c r="CG532">
        <v>1385.3</v>
      </c>
      <c r="CJ532">
        <v>1630.2999999999997</v>
      </c>
      <c r="CM532">
        <v>1184.2</v>
      </c>
      <c r="CO532">
        <v>1248.0999999999999</v>
      </c>
      <c r="CQ532">
        <v>1435.3</v>
      </c>
      <c r="CR532">
        <v>798.2</v>
      </c>
      <c r="CS532">
        <v>923.8</v>
      </c>
      <c r="CT532">
        <v>0</v>
      </c>
      <c r="CU532">
        <v>0</v>
      </c>
      <c r="CV532">
        <v>0</v>
      </c>
      <c r="CW532">
        <v>0</v>
      </c>
      <c r="CX532">
        <v>163.69999999999999</v>
      </c>
      <c r="CY532">
        <v>0</v>
      </c>
      <c r="CZ532">
        <v>0</v>
      </c>
      <c r="DA532">
        <v>0</v>
      </c>
      <c r="DB532">
        <v>0</v>
      </c>
      <c r="DC532">
        <v>0</v>
      </c>
      <c r="DD532">
        <v>0</v>
      </c>
      <c r="DE532">
        <v>0</v>
      </c>
      <c r="DI532">
        <v>0</v>
      </c>
      <c r="EC532">
        <v>0</v>
      </c>
      <c r="ED532">
        <v>0</v>
      </c>
      <c r="EE532">
        <v>0</v>
      </c>
      <c r="EF532">
        <v>0</v>
      </c>
      <c r="EG532">
        <v>0</v>
      </c>
      <c r="EH532">
        <v>0</v>
      </c>
      <c r="EI532">
        <v>0</v>
      </c>
      <c r="EJ532">
        <v>0</v>
      </c>
      <c r="EM532">
        <v>0</v>
      </c>
      <c r="EN532">
        <v>0</v>
      </c>
      <c r="EO532">
        <v>0</v>
      </c>
      <c r="EP532">
        <v>0</v>
      </c>
      <c r="EQ532">
        <v>0</v>
      </c>
      <c r="ER532">
        <v>0</v>
      </c>
      <c r="ES532">
        <v>0</v>
      </c>
      <c r="ET532">
        <v>0</v>
      </c>
      <c r="EW532">
        <v>0</v>
      </c>
      <c r="EX532">
        <v>0</v>
      </c>
      <c r="EY532">
        <v>0</v>
      </c>
      <c r="EZ532">
        <v>0</v>
      </c>
      <c r="FA532">
        <v>0</v>
      </c>
      <c r="FB532">
        <v>0</v>
      </c>
      <c r="FC532">
        <v>0</v>
      </c>
      <c r="FD532">
        <v>0</v>
      </c>
      <c r="FG532" t="e">
        <v>#N/A</v>
      </c>
      <c r="FI532" t="e">
        <v>#N/A</v>
      </c>
      <c r="FK532" t="e">
        <v>#N/A</v>
      </c>
      <c r="FM532" t="e">
        <v>#N/A</v>
      </c>
      <c r="FO532" t="e">
        <v>#N/A</v>
      </c>
      <c r="FQ532" t="e">
        <v>#N/A</v>
      </c>
      <c r="FS532" t="e">
        <v>#N/A</v>
      </c>
      <c r="FU532" t="e">
        <v>#N/A</v>
      </c>
      <c r="FW532" t="e">
        <v>#N/A</v>
      </c>
      <c r="FY532" t="e">
        <v>#N/A</v>
      </c>
      <c r="GA532" t="e">
        <v>#N/A</v>
      </c>
      <c r="GC532" t="e">
        <v>#N/A</v>
      </c>
      <c r="GE532" t="e">
        <v>#N/A</v>
      </c>
      <c r="GG532" t="e">
        <v>#N/A</v>
      </c>
      <c r="GI532" t="e">
        <v>#N/A</v>
      </c>
      <c r="GK532" t="e">
        <v>#N/A</v>
      </c>
      <c r="GM532" t="e">
        <v>#N/A</v>
      </c>
      <c r="GO532" t="e">
        <v>#N/A</v>
      </c>
      <c r="GQ532" t="e">
        <v>#N/A</v>
      </c>
      <c r="GS532" t="e">
        <v>#N/A</v>
      </c>
      <c r="GU532" t="e">
        <v>#N/A</v>
      </c>
      <c r="GW532" t="e">
        <v>#N/A</v>
      </c>
      <c r="GY532" t="e">
        <v>#N/A</v>
      </c>
      <c r="HA532" t="e">
        <v>#N/A</v>
      </c>
      <c r="HC532">
        <v>0</v>
      </c>
      <c r="HD532">
        <v>0</v>
      </c>
      <c r="HE532">
        <v>0</v>
      </c>
      <c r="HF532">
        <v>0</v>
      </c>
      <c r="HG532">
        <v>0</v>
      </c>
      <c r="HH532">
        <v>0</v>
      </c>
      <c r="HI532">
        <v>0</v>
      </c>
      <c r="HJ532">
        <v>0</v>
      </c>
      <c r="HM532">
        <v>0</v>
      </c>
      <c r="HN532">
        <v>0</v>
      </c>
      <c r="HO532">
        <v>0</v>
      </c>
      <c r="HP532">
        <v>0</v>
      </c>
      <c r="HQ532">
        <v>0</v>
      </c>
      <c r="HR532">
        <v>0</v>
      </c>
      <c r="HS532">
        <v>0</v>
      </c>
      <c r="HT532">
        <v>0</v>
      </c>
      <c r="HW532">
        <v>0</v>
      </c>
      <c r="HX532">
        <v>0</v>
      </c>
      <c r="HY532">
        <v>0</v>
      </c>
      <c r="HZ532">
        <v>0</v>
      </c>
      <c r="IA532">
        <v>3930.6</v>
      </c>
      <c r="IB532">
        <v>3632.9</v>
      </c>
      <c r="IC532">
        <v>3795.5</v>
      </c>
      <c r="ID532">
        <v>0</v>
      </c>
      <c r="IE532">
        <v>0</v>
      </c>
      <c r="IF532">
        <v>3548.5</v>
      </c>
      <c r="IG532">
        <v>3395.2</v>
      </c>
      <c r="IH532">
        <v>3395.4</v>
      </c>
      <c r="II532">
        <v>3302.3</v>
      </c>
      <c r="IJ532">
        <v>3172.8</v>
      </c>
      <c r="IK532">
        <v>0</v>
      </c>
      <c r="IL532">
        <v>0</v>
      </c>
      <c r="IM532">
        <v>0</v>
      </c>
      <c r="IN532">
        <v>0</v>
      </c>
      <c r="IO532">
        <v>123.4</v>
      </c>
      <c r="IP532">
        <v>405.2</v>
      </c>
      <c r="IQ532">
        <v>418.7</v>
      </c>
      <c r="IR532">
        <v>0</v>
      </c>
      <c r="IS532">
        <v>0</v>
      </c>
      <c r="IT532">
        <v>0</v>
      </c>
      <c r="IU532">
        <v>0</v>
      </c>
      <c r="IV532">
        <v>396</v>
      </c>
      <c r="IW532">
        <v>0</v>
      </c>
      <c r="IX532">
        <v>0</v>
      </c>
      <c r="IZ532">
        <v>0</v>
      </c>
      <c r="JA532">
        <v>65.5</v>
      </c>
      <c r="JB532">
        <v>443.5</v>
      </c>
      <c r="JC532">
        <v>0</v>
      </c>
      <c r="JD532">
        <v>0</v>
      </c>
      <c r="JE532">
        <v>0</v>
      </c>
      <c r="JF532">
        <v>0</v>
      </c>
      <c r="JG532">
        <v>0</v>
      </c>
      <c r="JH532">
        <v>0</v>
      </c>
      <c r="JI532">
        <v>0</v>
      </c>
      <c r="JJ532">
        <v>0</v>
      </c>
      <c r="JK532">
        <v>0</v>
      </c>
      <c r="JL532">
        <v>0</v>
      </c>
      <c r="JM532">
        <v>0</v>
      </c>
      <c r="JN532">
        <v>0</v>
      </c>
      <c r="JO532">
        <v>0</v>
      </c>
      <c r="JP532">
        <v>0</v>
      </c>
      <c r="JQ532">
        <v>0</v>
      </c>
      <c r="JR532">
        <v>0</v>
      </c>
      <c r="JS532">
        <v>0</v>
      </c>
      <c r="JT532">
        <v>0</v>
      </c>
      <c r="JU532">
        <v>0</v>
      </c>
      <c r="JV532">
        <v>0</v>
      </c>
      <c r="JW532">
        <v>0</v>
      </c>
      <c r="JX532">
        <v>0</v>
      </c>
      <c r="JY532">
        <v>0</v>
      </c>
      <c r="JZ532">
        <v>0</v>
      </c>
      <c r="KA532">
        <v>0</v>
      </c>
      <c r="KB532">
        <v>0</v>
      </c>
      <c r="KC532">
        <v>0</v>
      </c>
      <c r="KD532">
        <v>0</v>
      </c>
      <c r="KE532">
        <v>0</v>
      </c>
      <c r="KF532">
        <v>0</v>
      </c>
      <c r="KI532">
        <v>344.6</v>
      </c>
      <c r="KJ532">
        <v>350.8</v>
      </c>
      <c r="KK532">
        <v>22.1</v>
      </c>
      <c r="KL532">
        <v>379.3</v>
      </c>
      <c r="KM532">
        <v>241.4</v>
      </c>
      <c r="KN532">
        <v>0</v>
      </c>
      <c r="KO532">
        <v>0</v>
      </c>
      <c r="KP532">
        <v>57.3</v>
      </c>
      <c r="KQ532">
        <v>224.4</v>
      </c>
      <c r="KR532">
        <v>338.3</v>
      </c>
      <c r="KS532">
        <v>215.8</v>
      </c>
      <c r="KT532">
        <v>40.700000000000003</v>
      </c>
      <c r="KW532">
        <v>2154.5</v>
      </c>
      <c r="KX532">
        <v>1255.7</v>
      </c>
      <c r="KY532">
        <v>1630.1</v>
      </c>
      <c r="KZ532">
        <v>1246.9000000000001</v>
      </c>
      <c r="LB532">
        <v>78.099999999999994</v>
      </c>
      <c r="LC532">
        <v>77.7</v>
      </c>
    </row>
    <row r="533" spans="1:315" ht="18" thickBot="1">
      <c r="A533" s="248"/>
      <c r="B533" s="4"/>
      <c r="C533" s="354"/>
      <c r="D533" s="304" t="s">
        <v>758</v>
      </c>
      <c r="E533" s="443">
        <v>0</v>
      </c>
      <c r="F533" s="224">
        <v>0</v>
      </c>
      <c r="G533" s="427">
        <v>3413.8</v>
      </c>
      <c r="H533" s="155"/>
      <c r="I533">
        <v>735</v>
      </c>
      <c r="K533">
        <v>1973.1000000000001</v>
      </c>
      <c r="L533" s="4">
        <v>221.60000000000002</v>
      </c>
      <c r="M533" s="4">
        <v>54.9</v>
      </c>
      <c r="N533" s="4">
        <v>1989.7</v>
      </c>
      <c r="P533">
        <v>0</v>
      </c>
      <c r="Q533">
        <v>238.29999999999998</v>
      </c>
      <c r="R533">
        <v>0</v>
      </c>
      <c r="S533">
        <v>0</v>
      </c>
      <c r="T533">
        <v>368.5</v>
      </c>
      <c r="W533">
        <v>720.3</v>
      </c>
      <c r="X533">
        <v>1411.5</v>
      </c>
      <c r="Y533">
        <v>96.5</v>
      </c>
      <c r="AA533">
        <v>859.6</v>
      </c>
      <c r="AB533">
        <v>1577.6000000000001</v>
      </c>
      <c r="AE533">
        <v>1330</v>
      </c>
      <c r="AF533">
        <v>1025.5</v>
      </c>
      <c r="AH533">
        <v>509.9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1349.3</v>
      </c>
      <c r="AO533">
        <v>786.40000000000009</v>
      </c>
      <c r="AP533">
        <v>0</v>
      </c>
      <c r="AQ533">
        <v>68.3</v>
      </c>
      <c r="AR533">
        <v>234.9</v>
      </c>
      <c r="AS533">
        <v>600.40000000000009</v>
      </c>
      <c r="AU533">
        <v>985.69999999999993</v>
      </c>
      <c r="AW533">
        <v>792</v>
      </c>
      <c r="AX533">
        <v>1988.5</v>
      </c>
      <c r="AZ533">
        <v>763.5</v>
      </c>
      <c r="BA533">
        <v>0</v>
      </c>
      <c r="BB533">
        <v>0</v>
      </c>
      <c r="BC533">
        <v>1935.3</v>
      </c>
      <c r="BD533">
        <v>1006.5</v>
      </c>
      <c r="BE533">
        <v>0</v>
      </c>
      <c r="BF533">
        <v>0</v>
      </c>
      <c r="BG533">
        <v>0</v>
      </c>
      <c r="BH533">
        <v>1662.6</v>
      </c>
      <c r="BJ533">
        <v>0</v>
      </c>
      <c r="BK533">
        <v>0</v>
      </c>
      <c r="BL533">
        <v>1038.9000000000001</v>
      </c>
      <c r="BM533">
        <v>1101</v>
      </c>
      <c r="BO533">
        <v>1276.8000000000002</v>
      </c>
      <c r="BQ533">
        <v>0</v>
      </c>
      <c r="BR533">
        <v>270.7</v>
      </c>
      <c r="BS533">
        <v>230.5</v>
      </c>
      <c r="BT533">
        <v>472.3</v>
      </c>
      <c r="BU533">
        <v>537.29999999999995</v>
      </c>
      <c r="BV533">
        <v>346.3</v>
      </c>
      <c r="BW533">
        <v>386.2</v>
      </c>
      <c r="BX533">
        <v>767</v>
      </c>
      <c r="BY533">
        <v>757.2</v>
      </c>
      <c r="BZ533">
        <v>1037.2</v>
      </c>
      <c r="CA533">
        <v>1227.0999999999999</v>
      </c>
      <c r="CB533">
        <v>1232.0999999999999</v>
      </c>
      <c r="CC533">
        <v>1701.5</v>
      </c>
      <c r="CD533">
        <v>0</v>
      </c>
      <c r="CG533">
        <v>1385.3</v>
      </c>
      <c r="CJ533">
        <v>1630.2999999999997</v>
      </c>
      <c r="CM533">
        <v>1184.2</v>
      </c>
      <c r="CO533">
        <v>1248.0999999999999</v>
      </c>
      <c r="CQ533">
        <v>1435.3</v>
      </c>
      <c r="CR533">
        <v>798.2</v>
      </c>
      <c r="CS533">
        <v>923.8</v>
      </c>
      <c r="CT533">
        <v>0</v>
      </c>
      <c r="CU533">
        <v>0</v>
      </c>
      <c r="CV533">
        <v>0</v>
      </c>
      <c r="CW533">
        <v>0</v>
      </c>
      <c r="CX533">
        <v>163.69999999999999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0</v>
      </c>
      <c r="DE533">
        <v>0</v>
      </c>
      <c r="DI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  <c r="EI533">
        <v>0</v>
      </c>
      <c r="EJ533">
        <v>0</v>
      </c>
      <c r="EM533">
        <v>0</v>
      </c>
      <c r="EN533">
        <v>0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  <c r="FD533">
        <v>0</v>
      </c>
      <c r="FG533" t="e">
        <v>#N/A</v>
      </c>
      <c r="FI533" t="e">
        <v>#N/A</v>
      </c>
      <c r="FK533" t="e">
        <v>#N/A</v>
      </c>
      <c r="FM533" t="e">
        <v>#N/A</v>
      </c>
      <c r="FO533" t="e">
        <v>#N/A</v>
      </c>
      <c r="FQ533" t="e">
        <v>#N/A</v>
      </c>
      <c r="FS533" t="e">
        <v>#N/A</v>
      </c>
      <c r="FU533" t="e">
        <v>#N/A</v>
      </c>
      <c r="FW533" t="e">
        <v>#N/A</v>
      </c>
      <c r="FY533" t="e">
        <v>#N/A</v>
      </c>
      <c r="GA533" t="e">
        <v>#N/A</v>
      </c>
      <c r="GC533" t="e">
        <v>#N/A</v>
      </c>
      <c r="GE533" t="e">
        <v>#N/A</v>
      </c>
      <c r="GG533" t="e">
        <v>#N/A</v>
      </c>
      <c r="GI533" t="e">
        <v>#N/A</v>
      </c>
      <c r="GK533" t="e">
        <v>#N/A</v>
      </c>
      <c r="GM533" t="e">
        <v>#N/A</v>
      </c>
      <c r="GO533" t="e">
        <v>#N/A</v>
      </c>
      <c r="GQ533" t="e">
        <v>#N/A</v>
      </c>
      <c r="GS533" t="e">
        <v>#N/A</v>
      </c>
      <c r="GU533" t="e">
        <v>#N/A</v>
      </c>
      <c r="GW533" t="e">
        <v>#N/A</v>
      </c>
      <c r="GY533" t="e">
        <v>#N/A</v>
      </c>
      <c r="HA533" t="e">
        <v>#N/A</v>
      </c>
      <c r="HC533">
        <v>0</v>
      </c>
      <c r="HD533">
        <v>0</v>
      </c>
      <c r="HE533">
        <v>0</v>
      </c>
      <c r="HF533">
        <v>0</v>
      </c>
      <c r="HG533">
        <v>0</v>
      </c>
      <c r="HH533">
        <v>0</v>
      </c>
      <c r="HI533">
        <v>0</v>
      </c>
      <c r="HJ533">
        <v>0</v>
      </c>
      <c r="HM533">
        <v>0</v>
      </c>
      <c r="HN533">
        <v>0</v>
      </c>
      <c r="HO533">
        <v>0</v>
      </c>
      <c r="HP533">
        <v>0</v>
      </c>
      <c r="HQ533">
        <v>0</v>
      </c>
      <c r="HR533">
        <v>0</v>
      </c>
      <c r="HS533">
        <v>0</v>
      </c>
      <c r="HT533">
        <v>0</v>
      </c>
      <c r="HW533">
        <v>0</v>
      </c>
      <c r="HX533">
        <v>0</v>
      </c>
      <c r="HY533">
        <v>0</v>
      </c>
      <c r="HZ533">
        <v>0</v>
      </c>
      <c r="IA533">
        <v>3930.6</v>
      </c>
      <c r="IB533">
        <v>3632.9</v>
      </c>
      <c r="IC533">
        <v>3795.5</v>
      </c>
      <c r="ID533">
        <v>0</v>
      </c>
      <c r="IE533">
        <v>0</v>
      </c>
      <c r="IF533">
        <v>3548.5</v>
      </c>
      <c r="IG533">
        <v>3395.2</v>
      </c>
      <c r="IH533">
        <v>3395.4</v>
      </c>
      <c r="II533">
        <v>3302.3</v>
      </c>
      <c r="IJ533">
        <v>3172.8</v>
      </c>
      <c r="IK533">
        <v>0</v>
      </c>
      <c r="IL533">
        <v>0</v>
      </c>
      <c r="IM533">
        <v>0</v>
      </c>
      <c r="IN533">
        <v>0</v>
      </c>
      <c r="IO533">
        <v>123.4</v>
      </c>
      <c r="IP533">
        <v>405.2</v>
      </c>
      <c r="IQ533">
        <v>418.7</v>
      </c>
      <c r="IR533">
        <v>0</v>
      </c>
      <c r="IS533">
        <v>0</v>
      </c>
      <c r="IT533">
        <v>0</v>
      </c>
      <c r="IU533">
        <v>0</v>
      </c>
      <c r="IV533">
        <v>396</v>
      </c>
      <c r="IW533">
        <v>0</v>
      </c>
      <c r="IX533">
        <v>0</v>
      </c>
      <c r="IZ533">
        <v>0</v>
      </c>
      <c r="JA533">
        <v>65.5</v>
      </c>
      <c r="JB533">
        <v>443.5</v>
      </c>
      <c r="JC533">
        <v>0</v>
      </c>
      <c r="JD533">
        <v>0</v>
      </c>
      <c r="JE533">
        <v>0</v>
      </c>
      <c r="JF533">
        <v>0</v>
      </c>
      <c r="JG533">
        <v>0</v>
      </c>
      <c r="JH533">
        <v>0</v>
      </c>
      <c r="JI533">
        <v>0</v>
      </c>
      <c r="JJ533">
        <v>0</v>
      </c>
      <c r="JK533">
        <v>0</v>
      </c>
      <c r="JL533">
        <v>0</v>
      </c>
      <c r="JM533">
        <v>0</v>
      </c>
      <c r="JN533">
        <v>0</v>
      </c>
      <c r="JO533">
        <v>0</v>
      </c>
      <c r="JP533">
        <v>0</v>
      </c>
      <c r="JQ533">
        <v>0</v>
      </c>
      <c r="JR533">
        <v>0</v>
      </c>
      <c r="JS533">
        <v>0</v>
      </c>
      <c r="JT533">
        <v>0</v>
      </c>
      <c r="JU533">
        <v>0</v>
      </c>
      <c r="JV533">
        <v>0</v>
      </c>
      <c r="JW533">
        <v>0</v>
      </c>
      <c r="JX533">
        <v>0</v>
      </c>
      <c r="JY533">
        <v>0</v>
      </c>
      <c r="JZ533">
        <v>0</v>
      </c>
      <c r="KA533">
        <v>0</v>
      </c>
      <c r="KB533">
        <v>0</v>
      </c>
      <c r="KC533">
        <v>0</v>
      </c>
      <c r="KD533">
        <v>0</v>
      </c>
      <c r="KE533">
        <v>0</v>
      </c>
      <c r="KF533">
        <v>0</v>
      </c>
      <c r="KI533">
        <v>344.6</v>
      </c>
      <c r="KJ533">
        <v>350.8</v>
      </c>
      <c r="KK533">
        <v>22.1</v>
      </c>
      <c r="KL533">
        <v>379.3</v>
      </c>
      <c r="KM533">
        <v>241.4</v>
      </c>
      <c r="KN533">
        <v>0</v>
      </c>
      <c r="KO533">
        <v>0</v>
      </c>
      <c r="KP533">
        <v>57.3</v>
      </c>
      <c r="KQ533">
        <v>224.4</v>
      </c>
      <c r="KR533">
        <v>338.3</v>
      </c>
      <c r="KS533">
        <v>215.8</v>
      </c>
      <c r="KT533">
        <v>40.700000000000003</v>
      </c>
      <c r="KW533">
        <v>2154.5</v>
      </c>
      <c r="KX533">
        <v>1255.7</v>
      </c>
      <c r="KY533">
        <v>1630.1</v>
      </c>
      <c r="KZ533">
        <v>1246.9000000000001</v>
      </c>
      <c r="LB533">
        <v>78.099999999999994</v>
      </c>
      <c r="LC533">
        <v>77.7</v>
      </c>
    </row>
    <row r="534" spans="1:315" ht="18" thickBot="1">
      <c r="A534" s="248"/>
      <c r="B534" s="4"/>
      <c r="C534" s="354"/>
      <c r="D534" s="304" t="s">
        <v>758</v>
      </c>
      <c r="E534" s="443">
        <v>0</v>
      </c>
      <c r="F534" s="224">
        <v>0</v>
      </c>
      <c r="G534" s="427">
        <v>3413.8</v>
      </c>
      <c r="H534" s="155"/>
      <c r="I534">
        <v>735</v>
      </c>
      <c r="K534">
        <v>1973.1000000000001</v>
      </c>
      <c r="L534" s="4">
        <v>221.60000000000002</v>
      </c>
      <c r="M534" s="4">
        <v>54.9</v>
      </c>
      <c r="N534" s="4">
        <v>1989.7</v>
      </c>
      <c r="P534">
        <v>0</v>
      </c>
      <c r="Q534">
        <v>238.29999999999998</v>
      </c>
      <c r="R534">
        <v>0</v>
      </c>
      <c r="S534">
        <v>0</v>
      </c>
      <c r="T534">
        <v>368.5</v>
      </c>
      <c r="W534">
        <v>720.3</v>
      </c>
      <c r="X534">
        <v>1411.5</v>
      </c>
      <c r="Y534">
        <v>96.5</v>
      </c>
      <c r="AA534">
        <v>859.6</v>
      </c>
      <c r="AB534">
        <v>1577.6000000000001</v>
      </c>
      <c r="AE534">
        <v>1330</v>
      </c>
      <c r="AF534">
        <v>1025.5</v>
      </c>
      <c r="AH534">
        <v>509.9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1349.3</v>
      </c>
      <c r="AO534">
        <v>786.40000000000009</v>
      </c>
      <c r="AP534">
        <v>0</v>
      </c>
      <c r="AQ534">
        <v>68.3</v>
      </c>
      <c r="AR534">
        <v>234.9</v>
      </c>
      <c r="AS534">
        <v>600.40000000000009</v>
      </c>
      <c r="AU534">
        <v>985.69999999999993</v>
      </c>
      <c r="AW534">
        <v>792</v>
      </c>
      <c r="AX534">
        <v>1988.5</v>
      </c>
      <c r="AZ534">
        <v>763.5</v>
      </c>
      <c r="BA534">
        <v>0</v>
      </c>
      <c r="BB534">
        <v>0</v>
      </c>
      <c r="BC534">
        <v>1935.3</v>
      </c>
      <c r="BD534">
        <v>1006.5</v>
      </c>
      <c r="BE534">
        <v>0</v>
      </c>
      <c r="BF534">
        <v>0</v>
      </c>
      <c r="BG534">
        <v>0</v>
      </c>
      <c r="BH534">
        <v>1662.6</v>
      </c>
      <c r="BJ534">
        <v>0</v>
      </c>
      <c r="BK534">
        <v>0</v>
      </c>
      <c r="BL534">
        <v>1038.9000000000001</v>
      </c>
      <c r="BM534">
        <v>1101</v>
      </c>
      <c r="BO534">
        <v>1276.8000000000002</v>
      </c>
      <c r="BQ534">
        <v>0</v>
      </c>
      <c r="BR534">
        <v>270.7</v>
      </c>
      <c r="BS534">
        <v>230.5</v>
      </c>
      <c r="BT534">
        <v>472.3</v>
      </c>
      <c r="BU534">
        <v>537.29999999999995</v>
      </c>
      <c r="BV534">
        <v>346.3</v>
      </c>
      <c r="BW534">
        <v>386.2</v>
      </c>
      <c r="BX534">
        <v>767</v>
      </c>
      <c r="BY534">
        <v>757.2</v>
      </c>
      <c r="BZ534">
        <v>1037.2</v>
      </c>
      <c r="CA534">
        <v>1227.0999999999999</v>
      </c>
      <c r="CB534">
        <v>1232.0999999999999</v>
      </c>
      <c r="CC534">
        <v>1701.5</v>
      </c>
      <c r="CD534">
        <v>0</v>
      </c>
      <c r="CG534">
        <v>1385.3</v>
      </c>
      <c r="CJ534">
        <v>1630.2999999999997</v>
      </c>
      <c r="CM534">
        <v>1184.2</v>
      </c>
      <c r="CO534">
        <v>1248.0999999999999</v>
      </c>
      <c r="CQ534">
        <v>1435.3</v>
      </c>
      <c r="CR534">
        <v>798.2</v>
      </c>
      <c r="CS534">
        <v>923.8</v>
      </c>
      <c r="CT534">
        <v>0</v>
      </c>
      <c r="CU534">
        <v>0</v>
      </c>
      <c r="CV534">
        <v>0</v>
      </c>
      <c r="CW534">
        <v>0</v>
      </c>
      <c r="CX534">
        <v>163.69999999999999</v>
      </c>
      <c r="CY534">
        <v>0</v>
      </c>
      <c r="CZ534">
        <v>0</v>
      </c>
      <c r="DA534">
        <v>0</v>
      </c>
      <c r="DB534">
        <v>0</v>
      </c>
      <c r="DC534">
        <v>0</v>
      </c>
      <c r="DD534">
        <v>0</v>
      </c>
      <c r="DE534">
        <v>0</v>
      </c>
      <c r="DI534">
        <v>0</v>
      </c>
      <c r="EC534">
        <v>0</v>
      </c>
      <c r="ED534">
        <v>0</v>
      </c>
      <c r="EE534">
        <v>0</v>
      </c>
      <c r="EF534">
        <v>0</v>
      </c>
      <c r="EG534">
        <v>0</v>
      </c>
      <c r="EH534">
        <v>0</v>
      </c>
      <c r="EI534">
        <v>0</v>
      </c>
      <c r="EJ534">
        <v>0</v>
      </c>
      <c r="EM534">
        <v>0</v>
      </c>
      <c r="EN534">
        <v>0</v>
      </c>
      <c r="EO534">
        <v>0</v>
      </c>
      <c r="EP534">
        <v>0</v>
      </c>
      <c r="EQ534">
        <v>0</v>
      </c>
      <c r="ER534">
        <v>0</v>
      </c>
      <c r="ES534">
        <v>0</v>
      </c>
      <c r="ET534">
        <v>0</v>
      </c>
      <c r="EW534">
        <v>0</v>
      </c>
      <c r="EX534">
        <v>0</v>
      </c>
      <c r="EY534">
        <v>0</v>
      </c>
      <c r="EZ534">
        <v>0</v>
      </c>
      <c r="FA534">
        <v>0</v>
      </c>
      <c r="FB534">
        <v>0</v>
      </c>
      <c r="FC534">
        <v>0</v>
      </c>
      <c r="FD534">
        <v>0</v>
      </c>
      <c r="FG534" t="e">
        <v>#N/A</v>
      </c>
      <c r="FI534" t="e">
        <v>#N/A</v>
      </c>
      <c r="FK534" t="e">
        <v>#N/A</v>
      </c>
      <c r="FM534" t="e">
        <v>#N/A</v>
      </c>
      <c r="FO534" t="e">
        <v>#N/A</v>
      </c>
      <c r="FQ534" t="e">
        <v>#N/A</v>
      </c>
      <c r="FS534" t="e">
        <v>#N/A</v>
      </c>
      <c r="FU534" t="e">
        <v>#N/A</v>
      </c>
      <c r="FW534" t="e">
        <v>#N/A</v>
      </c>
      <c r="FY534" t="e">
        <v>#N/A</v>
      </c>
      <c r="GA534" t="e">
        <v>#N/A</v>
      </c>
      <c r="GC534" t="e">
        <v>#N/A</v>
      </c>
      <c r="GE534" t="e">
        <v>#N/A</v>
      </c>
      <c r="GG534" t="e">
        <v>#N/A</v>
      </c>
      <c r="GI534" t="e">
        <v>#N/A</v>
      </c>
      <c r="GK534" t="e">
        <v>#N/A</v>
      </c>
      <c r="GM534" t="e">
        <v>#N/A</v>
      </c>
      <c r="GO534" t="e">
        <v>#N/A</v>
      </c>
      <c r="GQ534" t="e">
        <v>#N/A</v>
      </c>
      <c r="GS534" t="e">
        <v>#N/A</v>
      </c>
      <c r="GU534" t="e">
        <v>#N/A</v>
      </c>
      <c r="GW534" t="e">
        <v>#N/A</v>
      </c>
      <c r="GY534" t="e">
        <v>#N/A</v>
      </c>
      <c r="HA534" t="e">
        <v>#N/A</v>
      </c>
      <c r="HC534">
        <v>0</v>
      </c>
      <c r="HD534">
        <v>0</v>
      </c>
      <c r="HE534">
        <v>0</v>
      </c>
      <c r="HF534">
        <v>0</v>
      </c>
      <c r="HG534">
        <v>0</v>
      </c>
      <c r="HH534">
        <v>0</v>
      </c>
      <c r="HI534">
        <v>0</v>
      </c>
      <c r="HJ534">
        <v>0</v>
      </c>
      <c r="HM534">
        <v>0</v>
      </c>
      <c r="HN534">
        <v>0</v>
      </c>
      <c r="HO534">
        <v>0</v>
      </c>
      <c r="HP534">
        <v>0</v>
      </c>
      <c r="HQ534">
        <v>0</v>
      </c>
      <c r="HR534">
        <v>0</v>
      </c>
      <c r="HS534">
        <v>0</v>
      </c>
      <c r="HT534">
        <v>0</v>
      </c>
      <c r="HW534">
        <v>0</v>
      </c>
      <c r="HX534">
        <v>0</v>
      </c>
      <c r="HY534">
        <v>0</v>
      </c>
      <c r="HZ534">
        <v>0</v>
      </c>
      <c r="IA534">
        <v>3930.6</v>
      </c>
      <c r="IB534">
        <v>3632.9</v>
      </c>
      <c r="IC534">
        <v>3795.5</v>
      </c>
      <c r="ID534">
        <v>0</v>
      </c>
      <c r="IE534">
        <v>0</v>
      </c>
      <c r="IF534">
        <v>3548.5</v>
      </c>
      <c r="IG534">
        <v>3395.2</v>
      </c>
      <c r="IH534">
        <v>3395.4</v>
      </c>
      <c r="II534">
        <v>3302.3</v>
      </c>
      <c r="IJ534">
        <v>3172.8</v>
      </c>
      <c r="IK534">
        <v>0</v>
      </c>
      <c r="IL534">
        <v>0</v>
      </c>
      <c r="IM534">
        <v>0</v>
      </c>
      <c r="IN534">
        <v>0</v>
      </c>
      <c r="IO534">
        <v>123.4</v>
      </c>
      <c r="IP534">
        <v>405.2</v>
      </c>
      <c r="IQ534">
        <v>418.7</v>
      </c>
      <c r="IR534">
        <v>0</v>
      </c>
      <c r="IS534">
        <v>0</v>
      </c>
      <c r="IT534">
        <v>0</v>
      </c>
      <c r="IU534">
        <v>0</v>
      </c>
      <c r="IV534">
        <v>396</v>
      </c>
      <c r="IW534">
        <v>0</v>
      </c>
      <c r="IX534">
        <v>0</v>
      </c>
      <c r="IZ534">
        <v>0</v>
      </c>
      <c r="JA534">
        <v>65.5</v>
      </c>
      <c r="JB534">
        <v>443.5</v>
      </c>
      <c r="JC534">
        <v>0</v>
      </c>
      <c r="JD534">
        <v>0</v>
      </c>
      <c r="JE534">
        <v>0</v>
      </c>
      <c r="JF534">
        <v>0</v>
      </c>
      <c r="JG534">
        <v>0</v>
      </c>
      <c r="JH534">
        <v>0</v>
      </c>
      <c r="JI534">
        <v>0</v>
      </c>
      <c r="JJ534">
        <v>0</v>
      </c>
      <c r="JK534">
        <v>0</v>
      </c>
      <c r="JL534">
        <v>0</v>
      </c>
      <c r="JM534">
        <v>0</v>
      </c>
      <c r="JN534">
        <v>0</v>
      </c>
      <c r="JO534">
        <v>0</v>
      </c>
      <c r="JP534">
        <v>0</v>
      </c>
      <c r="JQ534">
        <v>0</v>
      </c>
      <c r="JR534">
        <v>0</v>
      </c>
      <c r="JS534">
        <v>0</v>
      </c>
      <c r="JT534">
        <v>0</v>
      </c>
      <c r="JU534">
        <v>0</v>
      </c>
      <c r="JV534">
        <v>0</v>
      </c>
      <c r="JW534">
        <v>0</v>
      </c>
      <c r="JX534">
        <v>0</v>
      </c>
      <c r="JY534">
        <v>0</v>
      </c>
      <c r="JZ534">
        <v>0</v>
      </c>
      <c r="KA534">
        <v>0</v>
      </c>
      <c r="KB534">
        <v>0</v>
      </c>
      <c r="KC534">
        <v>0</v>
      </c>
      <c r="KD534">
        <v>0</v>
      </c>
      <c r="KE534">
        <v>0</v>
      </c>
      <c r="KF534">
        <v>0</v>
      </c>
      <c r="KI534">
        <v>344.6</v>
      </c>
      <c r="KJ534">
        <v>350.8</v>
      </c>
      <c r="KK534">
        <v>22.1</v>
      </c>
      <c r="KL534">
        <v>379.3</v>
      </c>
      <c r="KM534">
        <v>241.4</v>
      </c>
      <c r="KN534">
        <v>0</v>
      </c>
      <c r="KO534">
        <v>0</v>
      </c>
      <c r="KP534">
        <v>57.3</v>
      </c>
      <c r="KQ534">
        <v>224.4</v>
      </c>
      <c r="KR534">
        <v>338.3</v>
      </c>
      <c r="KS534">
        <v>215.8</v>
      </c>
      <c r="KT534">
        <v>40.700000000000003</v>
      </c>
      <c r="KW534">
        <v>2154.5</v>
      </c>
      <c r="KX534">
        <v>1255.7</v>
      </c>
      <c r="KY534">
        <v>1630.1</v>
      </c>
      <c r="KZ534">
        <v>1246.9000000000001</v>
      </c>
      <c r="LB534">
        <v>78.099999999999994</v>
      </c>
      <c r="LC534">
        <v>77.7</v>
      </c>
    </row>
    <row r="535" spans="1:315" ht="18" thickBot="1">
      <c r="A535" s="248"/>
      <c r="B535" s="4"/>
      <c r="C535" s="355"/>
      <c r="D535" s="305" t="s">
        <v>758</v>
      </c>
      <c r="E535" s="447">
        <v>0</v>
      </c>
      <c r="F535" s="225">
        <v>0</v>
      </c>
      <c r="G535" s="427">
        <v>3413.8</v>
      </c>
      <c r="H535" s="155"/>
      <c r="I535">
        <v>735</v>
      </c>
      <c r="K535">
        <v>1973.1000000000001</v>
      </c>
      <c r="L535" s="4">
        <v>221.60000000000002</v>
      </c>
      <c r="M535" s="4">
        <v>54.9</v>
      </c>
      <c r="N535" s="4">
        <v>1989.7</v>
      </c>
      <c r="P535">
        <v>0</v>
      </c>
      <c r="Q535">
        <v>238.29999999999998</v>
      </c>
      <c r="R535">
        <v>0</v>
      </c>
      <c r="S535">
        <v>0</v>
      </c>
      <c r="T535">
        <v>368.5</v>
      </c>
      <c r="W535">
        <v>720.3</v>
      </c>
      <c r="X535">
        <v>1411.5</v>
      </c>
      <c r="Y535">
        <v>96.5</v>
      </c>
      <c r="AA535">
        <v>859.6</v>
      </c>
      <c r="AB535">
        <v>1577.6000000000001</v>
      </c>
      <c r="AE535">
        <v>1330</v>
      </c>
      <c r="AF535">
        <v>1025.5</v>
      </c>
      <c r="AH535">
        <v>509.9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1349.3</v>
      </c>
      <c r="AO535">
        <v>786.40000000000009</v>
      </c>
      <c r="AP535">
        <v>0</v>
      </c>
      <c r="AQ535">
        <v>68.3</v>
      </c>
      <c r="AR535">
        <v>234.9</v>
      </c>
      <c r="AS535">
        <v>600.40000000000009</v>
      </c>
      <c r="AU535">
        <v>985.69999999999993</v>
      </c>
      <c r="AW535">
        <v>792</v>
      </c>
      <c r="AX535">
        <v>1988.5</v>
      </c>
      <c r="AZ535">
        <v>763.5</v>
      </c>
      <c r="BA535">
        <v>0</v>
      </c>
      <c r="BB535">
        <v>0</v>
      </c>
      <c r="BC535">
        <v>1935.3</v>
      </c>
      <c r="BD535">
        <v>1006.5</v>
      </c>
      <c r="BE535">
        <v>0</v>
      </c>
      <c r="BF535">
        <v>0</v>
      </c>
      <c r="BG535">
        <v>0</v>
      </c>
      <c r="BH535">
        <v>1662.6</v>
      </c>
      <c r="BJ535">
        <v>0</v>
      </c>
      <c r="BK535">
        <v>0</v>
      </c>
      <c r="BL535">
        <v>1038.9000000000001</v>
      </c>
      <c r="BM535">
        <v>1101</v>
      </c>
      <c r="BO535">
        <v>1276.8000000000002</v>
      </c>
      <c r="BQ535">
        <v>0</v>
      </c>
      <c r="BR535">
        <v>270.7</v>
      </c>
      <c r="BS535">
        <v>230.5</v>
      </c>
      <c r="BT535">
        <v>472.3</v>
      </c>
      <c r="BU535">
        <v>537.29999999999995</v>
      </c>
      <c r="BV535">
        <v>346.3</v>
      </c>
      <c r="BW535">
        <v>386.2</v>
      </c>
      <c r="BX535">
        <v>767</v>
      </c>
      <c r="BY535">
        <v>757.2</v>
      </c>
      <c r="BZ535">
        <v>1037.2</v>
      </c>
      <c r="CA535">
        <v>1227.0999999999999</v>
      </c>
      <c r="CB535">
        <v>1232.0999999999999</v>
      </c>
      <c r="CC535">
        <v>1701.5</v>
      </c>
      <c r="CD535">
        <v>0</v>
      </c>
      <c r="CG535">
        <v>1385.3</v>
      </c>
      <c r="CJ535">
        <v>1630.2999999999997</v>
      </c>
      <c r="CM535">
        <v>1184.2</v>
      </c>
      <c r="CO535">
        <v>1248.0999999999999</v>
      </c>
      <c r="CQ535">
        <v>1435.3</v>
      </c>
      <c r="CR535">
        <v>798.2</v>
      </c>
      <c r="CS535">
        <v>923.8</v>
      </c>
      <c r="CT535">
        <v>0</v>
      </c>
      <c r="CU535">
        <v>0</v>
      </c>
      <c r="CV535">
        <v>0</v>
      </c>
      <c r="CW535">
        <v>0</v>
      </c>
      <c r="CX535">
        <v>163.69999999999999</v>
      </c>
      <c r="CY535">
        <v>0</v>
      </c>
      <c r="CZ535">
        <v>0</v>
      </c>
      <c r="DA535">
        <v>0</v>
      </c>
      <c r="DB535">
        <v>0</v>
      </c>
      <c r="DC535">
        <v>0</v>
      </c>
      <c r="DD535">
        <v>0</v>
      </c>
      <c r="DE535">
        <v>0</v>
      </c>
      <c r="DI535">
        <v>0</v>
      </c>
      <c r="EC535">
        <v>0</v>
      </c>
      <c r="ED535">
        <v>0</v>
      </c>
      <c r="EE535">
        <v>0</v>
      </c>
      <c r="EF535">
        <v>0</v>
      </c>
      <c r="EG535">
        <v>0</v>
      </c>
      <c r="EH535">
        <v>0</v>
      </c>
      <c r="EI535">
        <v>0</v>
      </c>
      <c r="EJ535">
        <v>0</v>
      </c>
      <c r="EM535">
        <v>0</v>
      </c>
      <c r="EN535">
        <v>0</v>
      </c>
      <c r="EO535">
        <v>0</v>
      </c>
      <c r="EP535">
        <v>0</v>
      </c>
      <c r="EQ535">
        <v>0</v>
      </c>
      <c r="ER535">
        <v>0</v>
      </c>
      <c r="ES535">
        <v>0</v>
      </c>
      <c r="ET535">
        <v>0</v>
      </c>
      <c r="EW535">
        <v>0</v>
      </c>
      <c r="EX535">
        <v>0</v>
      </c>
      <c r="EY535">
        <v>0</v>
      </c>
      <c r="EZ535">
        <v>0</v>
      </c>
      <c r="FA535">
        <v>0</v>
      </c>
      <c r="FB535">
        <v>0</v>
      </c>
      <c r="FC535">
        <v>0</v>
      </c>
      <c r="FD535">
        <v>0</v>
      </c>
      <c r="FG535" t="e">
        <v>#N/A</v>
      </c>
      <c r="FI535" t="e">
        <v>#N/A</v>
      </c>
      <c r="FK535" t="e">
        <v>#N/A</v>
      </c>
      <c r="FM535" t="e">
        <v>#N/A</v>
      </c>
      <c r="FO535" t="e">
        <v>#N/A</v>
      </c>
      <c r="FQ535" t="e">
        <v>#N/A</v>
      </c>
      <c r="FS535" t="e">
        <v>#N/A</v>
      </c>
      <c r="FU535" t="e">
        <v>#N/A</v>
      </c>
      <c r="FW535" t="e">
        <v>#N/A</v>
      </c>
      <c r="FY535" t="e">
        <v>#N/A</v>
      </c>
      <c r="GA535" t="e">
        <v>#N/A</v>
      </c>
      <c r="GC535" t="e">
        <v>#N/A</v>
      </c>
      <c r="GE535" t="e">
        <v>#N/A</v>
      </c>
      <c r="GG535" t="e">
        <v>#N/A</v>
      </c>
      <c r="GI535" t="e">
        <v>#N/A</v>
      </c>
      <c r="GK535" t="e">
        <v>#N/A</v>
      </c>
      <c r="GM535" t="e">
        <v>#N/A</v>
      </c>
      <c r="GO535" t="e">
        <v>#N/A</v>
      </c>
      <c r="GQ535" t="e">
        <v>#N/A</v>
      </c>
      <c r="GS535" t="e">
        <v>#N/A</v>
      </c>
      <c r="GU535" t="e">
        <v>#N/A</v>
      </c>
      <c r="GW535" t="e">
        <v>#N/A</v>
      </c>
      <c r="GY535" t="e">
        <v>#N/A</v>
      </c>
      <c r="HA535" t="e">
        <v>#N/A</v>
      </c>
      <c r="HC535">
        <v>0</v>
      </c>
      <c r="HD535">
        <v>0</v>
      </c>
      <c r="HE535">
        <v>0</v>
      </c>
      <c r="HF535">
        <v>0</v>
      </c>
      <c r="HG535">
        <v>0</v>
      </c>
      <c r="HH535">
        <v>0</v>
      </c>
      <c r="HI535">
        <v>0</v>
      </c>
      <c r="HJ535">
        <v>0</v>
      </c>
      <c r="HM535">
        <v>0</v>
      </c>
      <c r="HN535">
        <v>0</v>
      </c>
      <c r="HO535">
        <v>0</v>
      </c>
      <c r="HP535">
        <v>0</v>
      </c>
      <c r="HQ535">
        <v>0</v>
      </c>
      <c r="HR535">
        <v>0</v>
      </c>
      <c r="HS535">
        <v>0</v>
      </c>
      <c r="HT535">
        <v>0</v>
      </c>
      <c r="HW535">
        <v>0</v>
      </c>
      <c r="HX535">
        <v>0</v>
      </c>
      <c r="HY535">
        <v>0</v>
      </c>
      <c r="HZ535">
        <v>0</v>
      </c>
      <c r="IA535">
        <v>3930.6</v>
      </c>
      <c r="IB535">
        <v>3632.9</v>
      </c>
      <c r="IC535">
        <v>3795.5</v>
      </c>
      <c r="ID535">
        <v>0</v>
      </c>
      <c r="IE535">
        <v>0</v>
      </c>
      <c r="IF535">
        <v>3548.5</v>
      </c>
      <c r="IG535">
        <v>3395.2</v>
      </c>
      <c r="IH535">
        <v>3395.4</v>
      </c>
      <c r="II535">
        <v>3302.3</v>
      </c>
      <c r="IJ535">
        <v>3172.8</v>
      </c>
      <c r="IK535">
        <v>0</v>
      </c>
      <c r="IL535">
        <v>0</v>
      </c>
      <c r="IM535">
        <v>0</v>
      </c>
      <c r="IN535">
        <v>0</v>
      </c>
      <c r="IO535">
        <v>123.4</v>
      </c>
      <c r="IP535">
        <v>405.2</v>
      </c>
      <c r="IQ535">
        <v>418.7</v>
      </c>
      <c r="IR535">
        <v>0</v>
      </c>
      <c r="IS535">
        <v>0</v>
      </c>
      <c r="IT535">
        <v>0</v>
      </c>
      <c r="IU535">
        <v>0</v>
      </c>
      <c r="IV535">
        <v>396</v>
      </c>
      <c r="IW535">
        <v>0</v>
      </c>
      <c r="IX535">
        <v>0</v>
      </c>
      <c r="IZ535">
        <v>0</v>
      </c>
      <c r="JA535">
        <v>65.5</v>
      </c>
      <c r="JB535">
        <v>443.5</v>
      </c>
      <c r="JC535">
        <v>0</v>
      </c>
      <c r="JD535">
        <v>0</v>
      </c>
      <c r="JE535">
        <v>0</v>
      </c>
      <c r="JF535">
        <v>0</v>
      </c>
      <c r="JG535">
        <v>0</v>
      </c>
      <c r="JH535">
        <v>0</v>
      </c>
      <c r="JI535">
        <v>0</v>
      </c>
      <c r="JJ535">
        <v>0</v>
      </c>
      <c r="JK535">
        <v>0</v>
      </c>
      <c r="JL535">
        <v>0</v>
      </c>
      <c r="JM535">
        <v>0</v>
      </c>
      <c r="JN535">
        <v>0</v>
      </c>
      <c r="JO535">
        <v>0</v>
      </c>
      <c r="JP535">
        <v>0</v>
      </c>
      <c r="JQ535">
        <v>0</v>
      </c>
      <c r="JR535">
        <v>0</v>
      </c>
      <c r="JS535">
        <v>0</v>
      </c>
      <c r="JT535">
        <v>0</v>
      </c>
      <c r="JU535">
        <v>0</v>
      </c>
      <c r="JV535">
        <v>0</v>
      </c>
      <c r="JW535">
        <v>0</v>
      </c>
      <c r="JX535">
        <v>0</v>
      </c>
      <c r="JY535">
        <v>0</v>
      </c>
      <c r="JZ535">
        <v>0</v>
      </c>
      <c r="KA535">
        <v>0</v>
      </c>
      <c r="KB535">
        <v>0</v>
      </c>
      <c r="KC535">
        <v>0</v>
      </c>
      <c r="KD535">
        <v>0</v>
      </c>
      <c r="KE535">
        <v>0</v>
      </c>
      <c r="KF535">
        <v>0</v>
      </c>
      <c r="KI535">
        <v>344.6</v>
      </c>
      <c r="KJ535">
        <v>350.8</v>
      </c>
      <c r="KK535">
        <v>22.1</v>
      </c>
      <c r="KL535">
        <v>379.3</v>
      </c>
      <c r="KM535">
        <v>241.4</v>
      </c>
      <c r="KN535">
        <v>0</v>
      </c>
      <c r="KO535">
        <v>0</v>
      </c>
      <c r="KP535">
        <v>57.3</v>
      </c>
      <c r="KQ535">
        <v>224.4</v>
      </c>
      <c r="KR535">
        <v>338.3</v>
      </c>
      <c r="KS535">
        <v>215.8</v>
      </c>
      <c r="KT535">
        <v>40.700000000000003</v>
      </c>
      <c r="KW535">
        <v>2154.5</v>
      </c>
      <c r="KX535">
        <v>1255.7</v>
      </c>
      <c r="KY535">
        <v>1630.1</v>
      </c>
      <c r="KZ535">
        <v>1246.9000000000001</v>
      </c>
      <c r="LB535">
        <v>78.099999999999994</v>
      </c>
      <c r="LC535">
        <v>77.7</v>
      </c>
    </row>
    <row r="536" spans="1:315" ht="18.600000000000001" thickTop="1" thickBot="1">
      <c r="A536" s="247"/>
      <c r="B536" s="4"/>
      <c r="C536" s="347" t="s">
        <v>908</v>
      </c>
      <c r="D536" s="306" t="s">
        <v>834</v>
      </c>
      <c r="E536" s="442">
        <v>0</v>
      </c>
      <c r="F536" s="226">
        <v>0</v>
      </c>
      <c r="G536" s="427">
        <v>3413.8</v>
      </c>
      <c r="H536" s="155"/>
      <c r="I536">
        <v>735</v>
      </c>
      <c r="K536">
        <v>1973.1000000000001</v>
      </c>
      <c r="L536" s="4">
        <v>221.60000000000002</v>
      </c>
      <c r="M536" s="4">
        <v>54.9</v>
      </c>
      <c r="N536" s="4">
        <v>1989.7</v>
      </c>
      <c r="P536">
        <v>0</v>
      </c>
      <c r="Q536">
        <v>238.29999999999998</v>
      </c>
      <c r="R536">
        <v>0</v>
      </c>
      <c r="S536">
        <v>0</v>
      </c>
      <c r="T536">
        <v>368.5</v>
      </c>
      <c r="W536">
        <v>720.3</v>
      </c>
      <c r="X536">
        <v>1411.5</v>
      </c>
      <c r="Y536">
        <v>96.5</v>
      </c>
      <c r="AA536">
        <v>859.6</v>
      </c>
      <c r="AB536">
        <v>1577.6000000000001</v>
      </c>
      <c r="AE536">
        <v>1330</v>
      </c>
      <c r="AF536">
        <v>1025.5</v>
      </c>
      <c r="AH536">
        <v>509.9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1349.3</v>
      </c>
      <c r="AO536">
        <v>786.40000000000009</v>
      </c>
      <c r="AP536">
        <v>0</v>
      </c>
      <c r="AQ536">
        <v>68.3</v>
      </c>
      <c r="AR536">
        <v>234.9</v>
      </c>
      <c r="AS536">
        <v>600.40000000000009</v>
      </c>
      <c r="AU536">
        <v>985.69999999999993</v>
      </c>
      <c r="AW536">
        <v>792</v>
      </c>
      <c r="AX536">
        <v>1988.5</v>
      </c>
      <c r="AZ536">
        <v>763.5</v>
      </c>
      <c r="BA536">
        <v>0</v>
      </c>
      <c r="BB536">
        <v>0</v>
      </c>
      <c r="BC536">
        <v>1935.3</v>
      </c>
      <c r="BD536">
        <v>1006.5</v>
      </c>
      <c r="BE536">
        <v>0</v>
      </c>
      <c r="BF536">
        <v>0</v>
      </c>
      <c r="BG536">
        <v>0</v>
      </c>
      <c r="BH536">
        <v>1662.6</v>
      </c>
      <c r="BJ536">
        <v>0</v>
      </c>
      <c r="BK536">
        <v>0</v>
      </c>
      <c r="BL536">
        <v>1038.9000000000001</v>
      </c>
      <c r="BM536">
        <v>1101</v>
      </c>
      <c r="BO536">
        <v>1276.8000000000002</v>
      </c>
      <c r="BQ536">
        <v>0</v>
      </c>
      <c r="BR536">
        <v>270.7</v>
      </c>
      <c r="BS536">
        <v>230.5</v>
      </c>
      <c r="BT536">
        <v>472.3</v>
      </c>
      <c r="BU536">
        <v>537.29999999999995</v>
      </c>
      <c r="BV536">
        <v>346.3</v>
      </c>
      <c r="BW536">
        <v>386.2</v>
      </c>
      <c r="BX536">
        <v>767</v>
      </c>
      <c r="BY536">
        <v>757.2</v>
      </c>
      <c r="BZ536">
        <v>1037.2</v>
      </c>
      <c r="CA536">
        <v>1227.0999999999999</v>
      </c>
      <c r="CB536">
        <v>1232.0999999999999</v>
      </c>
      <c r="CC536">
        <v>1701.5</v>
      </c>
      <c r="CD536">
        <v>0</v>
      </c>
      <c r="CG536">
        <v>1385.3</v>
      </c>
      <c r="CJ536">
        <v>1630.2999999999997</v>
      </c>
      <c r="CM536">
        <v>1184.2</v>
      </c>
      <c r="CO536">
        <v>1248.0999999999999</v>
      </c>
      <c r="CQ536">
        <v>1435.3</v>
      </c>
      <c r="CR536">
        <v>798.2</v>
      </c>
      <c r="CS536">
        <v>923.8</v>
      </c>
      <c r="CT536">
        <v>0</v>
      </c>
      <c r="CU536">
        <v>0</v>
      </c>
      <c r="CV536">
        <v>0</v>
      </c>
      <c r="CW536">
        <v>0</v>
      </c>
      <c r="CX536">
        <v>163.69999999999999</v>
      </c>
      <c r="CY536">
        <v>0</v>
      </c>
      <c r="CZ536">
        <v>0</v>
      </c>
      <c r="DA536">
        <v>0</v>
      </c>
      <c r="DB536">
        <v>0</v>
      </c>
      <c r="DC536">
        <v>0</v>
      </c>
      <c r="DD536">
        <v>0</v>
      </c>
      <c r="DE536">
        <v>0</v>
      </c>
      <c r="DI536">
        <v>0</v>
      </c>
      <c r="EC536">
        <v>0</v>
      </c>
      <c r="ED536">
        <v>0</v>
      </c>
      <c r="EE536">
        <v>0</v>
      </c>
      <c r="EF536">
        <v>0</v>
      </c>
      <c r="EG536">
        <v>0</v>
      </c>
      <c r="EH536">
        <v>0</v>
      </c>
      <c r="EI536">
        <v>0</v>
      </c>
      <c r="EJ536">
        <v>0</v>
      </c>
      <c r="EM536">
        <v>0</v>
      </c>
      <c r="EN536">
        <v>0</v>
      </c>
      <c r="EO536">
        <v>0</v>
      </c>
      <c r="EP536">
        <v>0</v>
      </c>
      <c r="EQ536">
        <v>0</v>
      </c>
      <c r="ER536">
        <v>0</v>
      </c>
      <c r="ES536">
        <v>0</v>
      </c>
      <c r="ET536">
        <v>0</v>
      </c>
      <c r="EW536">
        <v>0</v>
      </c>
      <c r="EX536">
        <v>0</v>
      </c>
      <c r="EY536">
        <v>0</v>
      </c>
      <c r="EZ536">
        <v>0</v>
      </c>
      <c r="FA536">
        <v>0</v>
      </c>
      <c r="FB536">
        <v>0</v>
      </c>
      <c r="FC536">
        <v>0</v>
      </c>
      <c r="FD536">
        <v>0</v>
      </c>
      <c r="FG536" t="e">
        <v>#N/A</v>
      </c>
      <c r="FI536" t="e">
        <v>#N/A</v>
      </c>
      <c r="FK536" t="e">
        <v>#N/A</v>
      </c>
      <c r="FM536" t="e">
        <v>#N/A</v>
      </c>
      <c r="FO536" t="e">
        <v>#N/A</v>
      </c>
      <c r="FQ536" t="e">
        <v>#N/A</v>
      </c>
      <c r="FS536" t="e">
        <v>#N/A</v>
      </c>
      <c r="FU536" t="e">
        <v>#N/A</v>
      </c>
      <c r="FW536" t="e">
        <v>#N/A</v>
      </c>
      <c r="FY536" t="e">
        <v>#N/A</v>
      </c>
      <c r="GA536" t="e">
        <v>#N/A</v>
      </c>
      <c r="GC536" t="e">
        <v>#N/A</v>
      </c>
      <c r="GE536" t="e">
        <v>#N/A</v>
      </c>
      <c r="GG536" t="e">
        <v>#N/A</v>
      </c>
      <c r="GI536" t="e">
        <v>#N/A</v>
      </c>
      <c r="GK536" t="e">
        <v>#N/A</v>
      </c>
      <c r="GM536" t="e">
        <v>#N/A</v>
      </c>
      <c r="GO536" t="e">
        <v>#N/A</v>
      </c>
      <c r="GQ536" t="e">
        <v>#N/A</v>
      </c>
      <c r="GS536" t="e">
        <v>#N/A</v>
      </c>
      <c r="GU536" t="e">
        <v>#N/A</v>
      </c>
      <c r="GW536" t="e">
        <v>#N/A</v>
      </c>
      <c r="GY536" t="e">
        <v>#N/A</v>
      </c>
      <c r="HA536" t="e">
        <v>#N/A</v>
      </c>
      <c r="HC536">
        <v>0</v>
      </c>
      <c r="HD536">
        <v>0</v>
      </c>
      <c r="HE536">
        <v>0</v>
      </c>
      <c r="HF536">
        <v>0</v>
      </c>
      <c r="HG536">
        <v>0</v>
      </c>
      <c r="HH536">
        <v>0</v>
      </c>
      <c r="HI536">
        <v>0</v>
      </c>
      <c r="HJ536">
        <v>0</v>
      </c>
      <c r="HM536">
        <v>0</v>
      </c>
      <c r="HN536">
        <v>0</v>
      </c>
      <c r="HO536">
        <v>0</v>
      </c>
      <c r="HP536">
        <v>0</v>
      </c>
      <c r="HQ536">
        <v>0</v>
      </c>
      <c r="HR536">
        <v>0</v>
      </c>
      <c r="HS536">
        <v>0</v>
      </c>
      <c r="HT536">
        <v>0</v>
      </c>
      <c r="HW536">
        <v>0</v>
      </c>
      <c r="HX536">
        <v>0</v>
      </c>
      <c r="HY536">
        <v>0</v>
      </c>
      <c r="HZ536">
        <v>0</v>
      </c>
      <c r="IA536">
        <v>3930.6</v>
      </c>
      <c r="IB536">
        <v>3632.9</v>
      </c>
      <c r="IC536">
        <v>3795.5</v>
      </c>
      <c r="ID536">
        <v>0</v>
      </c>
      <c r="IE536">
        <v>0</v>
      </c>
      <c r="IF536">
        <v>3548.5</v>
      </c>
      <c r="IG536">
        <v>3395.2</v>
      </c>
      <c r="IH536">
        <v>3395.4</v>
      </c>
      <c r="II536">
        <v>3302.3</v>
      </c>
      <c r="IJ536">
        <v>3172.8</v>
      </c>
      <c r="IK536">
        <v>0</v>
      </c>
      <c r="IL536">
        <v>0</v>
      </c>
      <c r="IM536">
        <v>0</v>
      </c>
      <c r="IN536">
        <v>0</v>
      </c>
      <c r="IO536">
        <v>123.4</v>
      </c>
      <c r="IP536">
        <v>405.2</v>
      </c>
      <c r="IQ536">
        <v>418.7</v>
      </c>
      <c r="IR536">
        <v>0</v>
      </c>
      <c r="IS536">
        <v>0</v>
      </c>
      <c r="IT536">
        <v>0</v>
      </c>
      <c r="IU536">
        <v>0</v>
      </c>
      <c r="IV536">
        <v>396</v>
      </c>
      <c r="IW536">
        <v>0</v>
      </c>
      <c r="IX536">
        <v>0</v>
      </c>
      <c r="IZ536">
        <v>0</v>
      </c>
      <c r="JA536">
        <v>65.5</v>
      </c>
      <c r="JB536">
        <v>443.5</v>
      </c>
      <c r="JC536">
        <v>0</v>
      </c>
      <c r="JD536">
        <v>0</v>
      </c>
      <c r="JE536">
        <v>0</v>
      </c>
      <c r="JF536">
        <v>0</v>
      </c>
      <c r="JG536">
        <v>0</v>
      </c>
      <c r="JH536">
        <v>0</v>
      </c>
      <c r="JI536">
        <v>0</v>
      </c>
      <c r="JJ536">
        <v>0</v>
      </c>
      <c r="JK536">
        <v>0</v>
      </c>
      <c r="JL536">
        <v>0</v>
      </c>
      <c r="JM536">
        <v>0</v>
      </c>
      <c r="JN536">
        <v>0</v>
      </c>
      <c r="JO536">
        <v>0</v>
      </c>
      <c r="JP536">
        <v>0</v>
      </c>
      <c r="JQ536">
        <v>0</v>
      </c>
      <c r="JR536">
        <v>0</v>
      </c>
      <c r="JS536">
        <v>0</v>
      </c>
      <c r="JT536">
        <v>0</v>
      </c>
      <c r="JU536">
        <v>0</v>
      </c>
      <c r="JV536">
        <v>0</v>
      </c>
      <c r="JW536">
        <v>0</v>
      </c>
      <c r="JX536">
        <v>0</v>
      </c>
      <c r="JY536">
        <v>0</v>
      </c>
      <c r="JZ536">
        <v>0</v>
      </c>
      <c r="KA536">
        <v>0</v>
      </c>
      <c r="KB536">
        <v>0</v>
      </c>
      <c r="KC536">
        <v>0</v>
      </c>
      <c r="KD536">
        <v>0</v>
      </c>
      <c r="KE536">
        <v>0</v>
      </c>
      <c r="KF536">
        <v>0</v>
      </c>
      <c r="KI536">
        <v>344.6</v>
      </c>
      <c r="KJ536">
        <v>350.8</v>
      </c>
      <c r="KK536">
        <v>22.1</v>
      </c>
      <c r="KL536">
        <v>379.3</v>
      </c>
      <c r="KM536">
        <v>241.4</v>
      </c>
      <c r="KN536">
        <v>0</v>
      </c>
      <c r="KO536">
        <v>0</v>
      </c>
      <c r="KP536">
        <v>57.3</v>
      </c>
      <c r="KQ536">
        <v>224.4</v>
      </c>
      <c r="KR536">
        <v>338.3</v>
      </c>
      <c r="KS536">
        <v>215.8</v>
      </c>
      <c r="KT536">
        <v>40.700000000000003</v>
      </c>
      <c r="KW536">
        <v>2154.5</v>
      </c>
      <c r="KX536">
        <v>1255.7</v>
      </c>
      <c r="KY536">
        <v>1630.1</v>
      </c>
      <c r="KZ536">
        <v>1246.9000000000001</v>
      </c>
      <c r="LB536">
        <v>78.099999999999994</v>
      </c>
      <c r="LC536">
        <v>77.7</v>
      </c>
    </row>
    <row r="537" spans="1:315" ht="18" thickBot="1">
      <c r="A537" s="248"/>
      <c r="B537" s="4"/>
      <c r="C537" s="356"/>
      <c r="D537" s="297" t="s">
        <v>761</v>
      </c>
      <c r="E537" s="443">
        <v>0</v>
      </c>
      <c r="F537" s="227">
        <v>0</v>
      </c>
      <c r="G537" s="427">
        <v>3413.8</v>
      </c>
      <c r="H537" s="155"/>
      <c r="I537">
        <v>735</v>
      </c>
      <c r="K537">
        <v>1973.1000000000001</v>
      </c>
      <c r="L537" s="4">
        <v>221.60000000000002</v>
      </c>
      <c r="M537" s="4">
        <v>54.9</v>
      </c>
      <c r="N537" s="4">
        <v>1989.7</v>
      </c>
      <c r="P537">
        <v>0</v>
      </c>
      <c r="Q537">
        <v>238.29999999999998</v>
      </c>
      <c r="R537">
        <v>0</v>
      </c>
      <c r="S537">
        <v>0</v>
      </c>
      <c r="T537">
        <v>368.5</v>
      </c>
      <c r="W537">
        <v>720.3</v>
      </c>
      <c r="X537">
        <v>1411.5</v>
      </c>
      <c r="Y537">
        <v>96.5</v>
      </c>
      <c r="AA537">
        <v>859.6</v>
      </c>
      <c r="AB537">
        <v>1577.6000000000001</v>
      </c>
      <c r="AE537">
        <v>1330</v>
      </c>
      <c r="AF537">
        <v>1025.5</v>
      </c>
      <c r="AH537">
        <v>509.9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1349.3</v>
      </c>
      <c r="AO537">
        <v>786.40000000000009</v>
      </c>
      <c r="AP537">
        <v>0</v>
      </c>
      <c r="AQ537">
        <v>68.3</v>
      </c>
      <c r="AR537">
        <v>234.9</v>
      </c>
      <c r="AS537">
        <v>600.40000000000009</v>
      </c>
      <c r="AU537">
        <v>985.69999999999993</v>
      </c>
      <c r="AW537">
        <v>792</v>
      </c>
      <c r="AX537">
        <v>1988.5</v>
      </c>
      <c r="AZ537">
        <v>763.5</v>
      </c>
      <c r="BA537">
        <v>0</v>
      </c>
      <c r="BB537">
        <v>0</v>
      </c>
      <c r="BC537">
        <v>1935.3</v>
      </c>
      <c r="BD537">
        <v>1006.5</v>
      </c>
      <c r="BE537">
        <v>0</v>
      </c>
      <c r="BF537">
        <v>0</v>
      </c>
      <c r="BG537">
        <v>0</v>
      </c>
      <c r="BH537">
        <v>1662.6</v>
      </c>
      <c r="BJ537">
        <v>0</v>
      </c>
      <c r="BK537">
        <v>0</v>
      </c>
      <c r="BL537">
        <v>1038.9000000000001</v>
      </c>
      <c r="BM537">
        <v>1101</v>
      </c>
      <c r="BO537">
        <v>1276.8000000000002</v>
      </c>
      <c r="BQ537">
        <v>0</v>
      </c>
      <c r="BR537">
        <v>270.7</v>
      </c>
      <c r="BS537">
        <v>230.5</v>
      </c>
      <c r="BT537">
        <v>472.3</v>
      </c>
      <c r="BU537">
        <v>537.29999999999995</v>
      </c>
      <c r="BV537">
        <v>346.3</v>
      </c>
      <c r="BW537">
        <v>386.2</v>
      </c>
      <c r="BX537">
        <v>767</v>
      </c>
      <c r="BY537">
        <v>757.2</v>
      </c>
      <c r="BZ537">
        <v>1037.2</v>
      </c>
      <c r="CA537">
        <v>1227.0999999999999</v>
      </c>
      <c r="CB537">
        <v>1232.0999999999999</v>
      </c>
      <c r="CC537">
        <v>1701.5</v>
      </c>
      <c r="CD537">
        <v>0</v>
      </c>
      <c r="CG537">
        <v>1385.3</v>
      </c>
      <c r="CJ537">
        <v>1630.2999999999997</v>
      </c>
      <c r="CM537">
        <v>1184.2</v>
      </c>
      <c r="CO537">
        <v>1248.0999999999999</v>
      </c>
      <c r="CQ537">
        <v>1435.3</v>
      </c>
      <c r="CR537">
        <v>798.2</v>
      </c>
      <c r="CS537">
        <v>923.8</v>
      </c>
      <c r="CT537">
        <v>0</v>
      </c>
      <c r="CU537">
        <v>0</v>
      </c>
      <c r="CV537">
        <v>0</v>
      </c>
      <c r="CW537">
        <v>0</v>
      </c>
      <c r="CX537">
        <v>163.69999999999999</v>
      </c>
      <c r="CY537">
        <v>0</v>
      </c>
      <c r="CZ537">
        <v>0</v>
      </c>
      <c r="DA537">
        <v>0</v>
      </c>
      <c r="DB537">
        <v>0</v>
      </c>
      <c r="DC537">
        <v>0</v>
      </c>
      <c r="DD537">
        <v>0</v>
      </c>
      <c r="DE537">
        <v>0</v>
      </c>
      <c r="DI537">
        <v>0</v>
      </c>
      <c r="EC537">
        <v>0</v>
      </c>
      <c r="ED537">
        <v>0</v>
      </c>
      <c r="EE537">
        <v>0</v>
      </c>
      <c r="EF537">
        <v>0</v>
      </c>
      <c r="EG537">
        <v>0</v>
      </c>
      <c r="EH537">
        <v>0</v>
      </c>
      <c r="EI537">
        <v>0</v>
      </c>
      <c r="EJ537">
        <v>0</v>
      </c>
      <c r="EM537">
        <v>0</v>
      </c>
      <c r="EN537">
        <v>0</v>
      </c>
      <c r="EO537">
        <v>0</v>
      </c>
      <c r="EP537">
        <v>0</v>
      </c>
      <c r="EQ537">
        <v>0</v>
      </c>
      <c r="ER537">
        <v>0</v>
      </c>
      <c r="ES537">
        <v>0</v>
      </c>
      <c r="ET537">
        <v>0</v>
      </c>
      <c r="EW537">
        <v>0</v>
      </c>
      <c r="EX537">
        <v>0</v>
      </c>
      <c r="EY537">
        <v>0</v>
      </c>
      <c r="EZ537">
        <v>0</v>
      </c>
      <c r="FA537">
        <v>0</v>
      </c>
      <c r="FB537">
        <v>0</v>
      </c>
      <c r="FC537">
        <v>0</v>
      </c>
      <c r="FD537">
        <v>0</v>
      </c>
      <c r="FG537" t="e">
        <v>#N/A</v>
      </c>
      <c r="FI537" t="e">
        <v>#N/A</v>
      </c>
      <c r="FK537" t="e">
        <v>#N/A</v>
      </c>
      <c r="FM537" t="e">
        <v>#N/A</v>
      </c>
      <c r="FO537" t="e">
        <v>#N/A</v>
      </c>
      <c r="FQ537" t="e">
        <v>#N/A</v>
      </c>
      <c r="FS537" t="e">
        <v>#N/A</v>
      </c>
      <c r="FU537" t="e">
        <v>#N/A</v>
      </c>
      <c r="FW537" t="e">
        <v>#N/A</v>
      </c>
      <c r="FY537" t="e">
        <v>#N/A</v>
      </c>
      <c r="GA537" t="e">
        <v>#N/A</v>
      </c>
      <c r="GC537" t="e">
        <v>#N/A</v>
      </c>
      <c r="GE537" t="e">
        <v>#N/A</v>
      </c>
      <c r="GG537" t="e">
        <v>#N/A</v>
      </c>
      <c r="GI537" t="e">
        <v>#N/A</v>
      </c>
      <c r="GK537" t="e">
        <v>#N/A</v>
      </c>
      <c r="GM537" t="e">
        <v>#N/A</v>
      </c>
      <c r="GO537" t="e">
        <v>#N/A</v>
      </c>
      <c r="GQ537" t="e">
        <v>#N/A</v>
      </c>
      <c r="GS537" t="e">
        <v>#N/A</v>
      </c>
      <c r="GU537" t="e">
        <v>#N/A</v>
      </c>
      <c r="GW537" t="e">
        <v>#N/A</v>
      </c>
      <c r="GY537" t="e">
        <v>#N/A</v>
      </c>
      <c r="HA537" t="e">
        <v>#N/A</v>
      </c>
      <c r="HC537">
        <v>0</v>
      </c>
      <c r="HD537">
        <v>0</v>
      </c>
      <c r="HE537">
        <v>0</v>
      </c>
      <c r="HF537">
        <v>0</v>
      </c>
      <c r="HG537">
        <v>0</v>
      </c>
      <c r="HH537">
        <v>0</v>
      </c>
      <c r="HI537">
        <v>0</v>
      </c>
      <c r="HJ537">
        <v>0</v>
      </c>
      <c r="HM537">
        <v>0</v>
      </c>
      <c r="HN537">
        <v>0</v>
      </c>
      <c r="HO537">
        <v>0</v>
      </c>
      <c r="HP537">
        <v>0</v>
      </c>
      <c r="HQ537">
        <v>0</v>
      </c>
      <c r="HR537">
        <v>0</v>
      </c>
      <c r="HS537">
        <v>0</v>
      </c>
      <c r="HT537">
        <v>0</v>
      </c>
      <c r="HW537">
        <v>0</v>
      </c>
      <c r="HX537">
        <v>0</v>
      </c>
      <c r="HY537">
        <v>0</v>
      </c>
      <c r="HZ537">
        <v>0</v>
      </c>
      <c r="IA537">
        <v>3930.6</v>
      </c>
      <c r="IB537">
        <v>3632.9</v>
      </c>
      <c r="IC537">
        <v>3795.5</v>
      </c>
      <c r="ID537">
        <v>0</v>
      </c>
      <c r="IE537">
        <v>0</v>
      </c>
      <c r="IF537">
        <v>3548.5</v>
      </c>
      <c r="IG537">
        <v>3395.2</v>
      </c>
      <c r="IH537">
        <v>3395.4</v>
      </c>
      <c r="II537">
        <v>3302.3</v>
      </c>
      <c r="IJ537">
        <v>3172.8</v>
      </c>
      <c r="IK537">
        <v>0</v>
      </c>
      <c r="IL537">
        <v>0</v>
      </c>
      <c r="IM537">
        <v>0</v>
      </c>
      <c r="IN537">
        <v>0</v>
      </c>
      <c r="IO537">
        <v>123.4</v>
      </c>
      <c r="IP537">
        <v>405.2</v>
      </c>
      <c r="IQ537">
        <v>418.7</v>
      </c>
      <c r="IR537">
        <v>0</v>
      </c>
      <c r="IS537">
        <v>0</v>
      </c>
      <c r="IT537">
        <v>0</v>
      </c>
      <c r="IU537">
        <v>0</v>
      </c>
      <c r="IV537">
        <v>396</v>
      </c>
      <c r="IW537">
        <v>0</v>
      </c>
      <c r="IX537">
        <v>0</v>
      </c>
      <c r="IZ537">
        <v>0</v>
      </c>
      <c r="JA537">
        <v>65.5</v>
      </c>
      <c r="JB537">
        <v>443.5</v>
      </c>
      <c r="JC537">
        <v>0</v>
      </c>
      <c r="JD537">
        <v>0</v>
      </c>
      <c r="JE537">
        <v>0</v>
      </c>
      <c r="JF537">
        <v>0</v>
      </c>
      <c r="JG537">
        <v>0</v>
      </c>
      <c r="JH537">
        <v>0</v>
      </c>
      <c r="JI537">
        <v>0</v>
      </c>
      <c r="JJ537">
        <v>0</v>
      </c>
      <c r="JK537">
        <v>0</v>
      </c>
      <c r="JL537">
        <v>0</v>
      </c>
      <c r="JM537">
        <v>0</v>
      </c>
      <c r="JN537">
        <v>0</v>
      </c>
      <c r="JO537">
        <v>0</v>
      </c>
      <c r="JP537">
        <v>0</v>
      </c>
      <c r="JQ537">
        <v>0</v>
      </c>
      <c r="JR537">
        <v>0</v>
      </c>
      <c r="JS537">
        <v>0</v>
      </c>
      <c r="JT537">
        <v>0</v>
      </c>
      <c r="JU537">
        <v>0</v>
      </c>
      <c r="JV537">
        <v>0</v>
      </c>
      <c r="JW537">
        <v>0</v>
      </c>
      <c r="JX537">
        <v>0</v>
      </c>
      <c r="JY537">
        <v>0</v>
      </c>
      <c r="JZ537">
        <v>0</v>
      </c>
      <c r="KA537">
        <v>0</v>
      </c>
      <c r="KB537">
        <v>0</v>
      </c>
      <c r="KC537">
        <v>0</v>
      </c>
      <c r="KD537">
        <v>0</v>
      </c>
      <c r="KE537">
        <v>0</v>
      </c>
      <c r="KF537">
        <v>0</v>
      </c>
      <c r="KI537">
        <v>344.6</v>
      </c>
      <c r="KJ537">
        <v>350.8</v>
      </c>
      <c r="KK537">
        <v>22.1</v>
      </c>
      <c r="KL537">
        <v>379.3</v>
      </c>
      <c r="KM537">
        <v>241.4</v>
      </c>
      <c r="KN537">
        <v>0</v>
      </c>
      <c r="KO537">
        <v>0</v>
      </c>
      <c r="KP537">
        <v>57.3</v>
      </c>
      <c r="KQ537">
        <v>224.4</v>
      </c>
      <c r="KR537">
        <v>338.3</v>
      </c>
      <c r="KS537">
        <v>215.8</v>
      </c>
      <c r="KT537">
        <v>40.700000000000003</v>
      </c>
      <c r="KW537">
        <v>2154.5</v>
      </c>
      <c r="KX537">
        <v>1255.7</v>
      </c>
      <c r="KY537">
        <v>1630.1</v>
      </c>
      <c r="KZ537">
        <v>1246.9000000000001</v>
      </c>
      <c r="LB537">
        <v>78.099999999999994</v>
      </c>
      <c r="LC537">
        <v>77.7</v>
      </c>
    </row>
    <row r="538" spans="1:315" ht="18" thickBot="1">
      <c r="A538" s="248"/>
      <c r="B538" s="4"/>
      <c r="C538" s="356"/>
      <c r="D538" s="297" t="s">
        <v>761</v>
      </c>
      <c r="E538" s="429">
        <v>0</v>
      </c>
      <c r="F538" s="227">
        <v>0</v>
      </c>
      <c r="G538" s="427">
        <v>3413.8</v>
      </c>
      <c r="H538" s="155"/>
      <c r="I538">
        <v>735</v>
      </c>
      <c r="K538">
        <v>1973.1000000000001</v>
      </c>
      <c r="L538" s="4">
        <v>221.60000000000002</v>
      </c>
      <c r="M538" s="4">
        <v>54.9</v>
      </c>
      <c r="N538" s="4">
        <v>1989.7</v>
      </c>
      <c r="P538">
        <v>0</v>
      </c>
      <c r="Q538">
        <v>238.29999999999998</v>
      </c>
      <c r="R538">
        <v>0</v>
      </c>
      <c r="S538">
        <v>0</v>
      </c>
      <c r="T538">
        <v>368.5</v>
      </c>
      <c r="W538">
        <v>720.3</v>
      </c>
      <c r="X538">
        <v>1411.5</v>
      </c>
      <c r="Y538">
        <v>96.5</v>
      </c>
      <c r="AA538">
        <v>859.6</v>
      </c>
      <c r="AB538">
        <v>1577.6000000000001</v>
      </c>
      <c r="AE538">
        <v>1330</v>
      </c>
      <c r="AF538">
        <v>1025.5</v>
      </c>
      <c r="AH538">
        <v>509.9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1349.3</v>
      </c>
      <c r="AO538">
        <v>786.40000000000009</v>
      </c>
      <c r="AP538">
        <v>0</v>
      </c>
      <c r="AQ538">
        <v>68.3</v>
      </c>
      <c r="AR538">
        <v>234.9</v>
      </c>
      <c r="AS538">
        <v>600.40000000000009</v>
      </c>
      <c r="AU538">
        <v>985.69999999999993</v>
      </c>
      <c r="AW538">
        <v>792</v>
      </c>
      <c r="AX538">
        <v>1988.5</v>
      </c>
      <c r="AZ538">
        <v>763.5</v>
      </c>
      <c r="BA538">
        <v>0</v>
      </c>
      <c r="BB538">
        <v>0</v>
      </c>
      <c r="BC538">
        <v>1935.3</v>
      </c>
      <c r="BD538">
        <v>1006.5</v>
      </c>
      <c r="BE538">
        <v>0</v>
      </c>
      <c r="BF538">
        <v>0</v>
      </c>
      <c r="BG538">
        <v>0</v>
      </c>
      <c r="BH538">
        <v>1662.6</v>
      </c>
      <c r="BJ538">
        <v>0</v>
      </c>
      <c r="BK538">
        <v>0</v>
      </c>
      <c r="BL538">
        <v>1038.9000000000001</v>
      </c>
      <c r="BM538">
        <v>1101</v>
      </c>
      <c r="BO538">
        <v>1276.8000000000002</v>
      </c>
      <c r="BQ538">
        <v>0</v>
      </c>
      <c r="BR538">
        <v>270.7</v>
      </c>
      <c r="BS538">
        <v>230.5</v>
      </c>
      <c r="BT538">
        <v>472.3</v>
      </c>
      <c r="BU538">
        <v>537.29999999999995</v>
      </c>
      <c r="BV538">
        <v>346.3</v>
      </c>
      <c r="BW538">
        <v>386.2</v>
      </c>
      <c r="BX538">
        <v>767</v>
      </c>
      <c r="BY538">
        <v>757.2</v>
      </c>
      <c r="BZ538">
        <v>1037.2</v>
      </c>
      <c r="CA538">
        <v>1227.0999999999999</v>
      </c>
      <c r="CB538">
        <v>1232.0999999999999</v>
      </c>
      <c r="CC538">
        <v>1701.5</v>
      </c>
      <c r="CD538">
        <v>0</v>
      </c>
      <c r="CG538">
        <v>1385.3</v>
      </c>
      <c r="CJ538">
        <v>1630.2999999999997</v>
      </c>
      <c r="CM538">
        <v>1184.2</v>
      </c>
      <c r="CO538">
        <v>1248.0999999999999</v>
      </c>
      <c r="CQ538">
        <v>1435.3</v>
      </c>
      <c r="CR538">
        <v>798.2</v>
      </c>
      <c r="CS538">
        <v>923.8</v>
      </c>
      <c r="CT538">
        <v>0</v>
      </c>
      <c r="CU538">
        <v>0</v>
      </c>
      <c r="CV538">
        <v>0</v>
      </c>
      <c r="CW538">
        <v>0</v>
      </c>
      <c r="CX538">
        <v>163.69999999999999</v>
      </c>
      <c r="CY538">
        <v>0</v>
      </c>
      <c r="CZ538">
        <v>0</v>
      </c>
      <c r="DA538">
        <v>0</v>
      </c>
      <c r="DB538">
        <v>0</v>
      </c>
      <c r="DC538">
        <v>0</v>
      </c>
      <c r="DD538">
        <v>0</v>
      </c>
      <c r="DE538">
        <v>0</v>
      </c>
      <c r="DI538">
        <v>0</v>
      </c>
      <c r="EC538">
        <v>0</v>
      </c>
      <c r="ED538">
        <v>0</v>
      </c>
      <c r="EE538">
        <v>0</v>
      </c>
      <c r="EF538">
        <v>0</v>
      </c>
      <c r="EG538">
        <v>0</v>
      </c>
      <c r="EH538">
        <v>0</v>
      </c>
      <c r="EI538">
        <v>0</v>
      </c>
      <c r="EJ538">
        <v>0</v>
      </c>
      <c r="EM538">
        <v>0</v>
      </c>
      <c r="EN538">
        <v>0</v>
      </c>
      <c r="EO538">
        <v>0</v>
      </c>
      <c r="EP538">
        <v>0</v>
      </c>
      <c r="EQ538">
        <v>0</v>
      </c>
      <c r="ER538">
        <v>0</v>
      </c>
      <c r="ES538">
        <v>0</v>
      </c>
      <c r="ET538">
        <v>0</v>
      </c>
      <c r="EW538">
        <v>0</v>
      </c>
      <c r="EX538">
        <v>0</v>
      </c>
      <c r="EY538">
        <v>0</v>
      </c>
      <c r="EZ538">
        <v>0</v>
      </c>
      <c r="FA538">
        <v>0</v>
      </c>
      <c r="FB538">
        <v>0</v>
      </c>
      <c r="FC538">
        <v>0</v>
      </c>
      <c r="FD538">
        <v>0</v>
      </c>
      <c r="FG538" t="e">
        <v>#N/A</v>
      </c>
      <c r="FI538" t="e">
        <v>#N/A</v>
      </c>
      <c r="FK538" t="e">
        <v>#N/A</v>
      </c>
      <c r="FM538" t="e">
        <v>#N/A</v>
      </c>
      <c r="FO538" t="e">
        <v>#N/A</v>
      </c>
      <c r="FQ538" t="e">
        <v>#N/A</v>
      </c>
      <c r="FS538" t="e">
        <v>#N/A</v>
      </c>
      <c r="FU538" t="e">
        <v>#N/A</v>
      </c>
      <c r="FW538" t="e">
        <v>#N/A</v>
      </c>
      <c r="FY538" t="e">
        <v>#N/A</v>
      </c>
      <c r="GA538" t="e">
        <v>#N/A</v>
      </c>
      <c r="GC538" t="e">
        <v>#N/A</v>
      </c>
      <c r="GE538" t="e">
        <v>#N/A</v>
      </c>
      <c r="GG538" t="e">
        <v>#N/A</v>
      </c>
      <c r="GI538" t="e">
        <v>#N/A</v>
      </c>
      <c r="GK538" t="e">
        <v>#N/A</v>
      </c>
      <c r="GM538" t="e">
        <v>#N/A</v>
      </c>
      <c r="GO538" t="e">
        <v>#N/A</v>
      </c>
      <c r="GQ538" t="e">
        <v>#N/A</v>
      </c>
      <c r="GS538" t="e">
        <v>#N/A</v>
      </c>
      <c r="GU538" t="e">
        <v>#N/A</v>
      </c>
      <c r="GW538" t="e">
        <v>#N/A</v>
      </c>
      <c r="GY538" t="e">
        <v>#N/A</v>
      </c>
      <c r="HA538" t="e">
        <v>#N/A</v>
      </c>
      <c r="HC538">
        <v>0</v>
      </c>
      <c r="HD538">
        <v>0</v>
      </c>
      <c r="HE538">
        <v>0</v>
      </c>
      <c r="HF538">
        <v>0</v>
      </c>
      <c r="HG538">
        <v>0</v>
      </c>
      <c r="HH538">
        <v>0</v>
      </c>
      <c r="HI538">
        <v>0</v>
      </c>
      <c r="HJ538">
        <v>0</v>
      </c>
      <c r="HM538">
        <v>0</v>
      </c>
      <c r="HN538">
        <v>0</v>
      </c>
      <c r="HO538">
        <v>0</v>
      </c>
      <c r="HP538">
        <v>0</v>
      </c>
      <c r="HQ538">
        <v>0</v>
      </c>
      <c r="HR538">
        <v>0</v>
      </c>
      <c r="HS538">
        <v>0</v>
      </c>
      <c r="HT538">
        <v>0</v>
      </c>
      <c r="HW538">
        <v>0</v>
      </c>
      <c r="HX538">
        <v>0</v>
      </c>
      <c r="HY538">
        <v>0</v>
      </c>
      <c r="HZ538">
        <v>0</v>
      </c>
      <c r="IA538">
        <v>3930.6</v>
      </c>
      <c r="IB538">
        <v>3632.9</v>
      </c>
      <c r="IC538">
        <v>3795.5</v>
      </c>
      <c r="ID538">
        <v>0</v>
      </c>
      <c r="IE538">
        <v>0</v>
      </c>
      <c r="IF538">
        <v>3548.5</v>
      </c>
      <c r="IG538">
        <v>3395.2</v>
      </c>
      <c r="IH538">
        <v>3395.4</v>
      </c>
      <c r="II538">
        <v>3302.3</v>
      </c>
      <c r="IJ538">
        <v>3172.8</v>
      </c>
      <c r="IK538">
        <v>0</v>
      </c>
      <c r="IL538">
        <v>0</v>
      </c>
      <c r="IM538">
        <v>0</v>
      </c>
      <c r="IN538">
        <v>0</v>
      </c>
      <c r="IO538">
        <v>123.4</v>
      </c>
      <c r="IP538">
        <v>405.2</v>
      </c>
      <c r="IQ538">
        <v>418.7</v>
      </c>
      <c r="IR538">
        <v>0</v>
      </c>
      <c r="IS538">
        <v>0</v>
      </c>
      <c r="IT538">
        <v>0</v>
      </c>
      <c r="IU538">
        <v>0</v>
      </c>
      <c r="IV538">
        <v>396</v>
      </c>
      <c r="IW538">
        <v>0</v>
      </c>
      <c r="IX538">
        <v>0</v>
      </c>
      <c r="IZ538">
        <v>0</v>
      </c>
      <c r="JA538">
        <v>65.5</v>
      </c>
      <c r="JB538">
        <v>443.5</v>
      </c>
      <c r="JC538">
        <v>0</v>
      </c>
      <c r="JD538">
        <v>0</v>
      </c>
      <c r="JE538">
        <v>0</v>
      </c>
      <c r="JF538">
        <v>0</v>
      </c>
      <c r="JG538">
        <v>0</v>
      </c>
      <c r="JH538">
        <v>0</v>
      </c>
      <c r="JI538">
        <v>0</v>
      </c>
      <c r="JJ538">
        <v>0</v>
      </c>
      <c r="JK538">
        <v>0</v>
      </c>
      <c r="JL538">
        <v>0</v>
      </c>
      <c r="JM538">
        <v>0</v>
      </c>
      <c r="JN538">
        <v>0</v>
      </c>
      <c r="JO538">
        <v>0</v>
      </c>
      <c r="JP538">
        <v>0</v>
      </c>
      <c r="JQ538">
        <v>0</v>
      </c>
      <c r="JR538">
        <v>0</v>
      </c>
      <c r="JS538">
        <v>0</v>
      </c>
      <c r="JT538">
        <v>0</v>
      </c>
      <c r="JU538">
        <v>0</v>
      </c>
      <c r="JV538">
        <v>0</v>
      </c>
      <c r="JW538">
        <v>0</v>
      </c>
      <c r="JX538">
        <v>0</v>
      </c>
      <c r="JY538">
        <v>0</v>
      </c>
      <c r="JZ538">
        <v>0</v>
      </c>
      <c r="KA538">
        <v>0</v>
      </c>
      <c r="KB538">
        <v>0</v>
      </c>
      <c r="KC538">
        <v>0</v>
      </c>
      <c r="KD538">
        <v>0</v>
      </c>
      <c r="KE538">
        <v>0</v>
      </c>
      <c r="KF538">
        <v>0</v>
      </c>
      <c r="KI538">
        <v>344.6</v>
      </c>
      <c r="KJ538">
        <v>350.8</v>
      </c>
      <c r="KK538">
        <v>22.1</v>
      </c>
      <c r="KL538">
        <v>379.3</v>
      </c>
      <c r="KM538">
        <v>241.4</v>
      </c>
      <c r="KN538">
        <v>0</v>
      </c>
      <c r="KO538">
        <v>0</v>
      </c>
      <c r="KP538">
        <v>57.3</v>
      </c>
      <c r="KQ538">
        <v>224.4</v>
      </c>
      <c r="KR538">
        <v>338.3</v>
      </c>
      <c r="KS538">
        <v>215.8</v>
      </c>
      <c r="KT538">
        <v>40.700000000000003</v>
      </c>
      <c r="KW538">
        <v>2154.5</v>
      </c>
      <c r="KX538">
        <v>1255.7</v>
      </c>
      <c r="KY538">
        <v>1630.1</v>
      </c>
      <c r="KZ538">
        <v>1246.9000000000001</v>
      </c>
      <c r="LB538">
        <v>78.099999999999994</v>
      </c>
      <c r="LC538">
        <v>77.7</v>
      </c>
    </row>
    <row r="539" spans="1:315" ht="18" thickBot="1">
      <c r="A539" s="248"/>
      <c r="B539" s="4"/>
      <c r="C539" s="356"/>
      <c r="D539" s="297" t="s">
        <v>761</v>
      </c>
      <c r="E539" s="429">
        <v>0</v>
      </c>
      <c r="F539" s="227">
        <v>0</v>
      </c>
      <c r="G539" s="427">
        <v>3413.8</v>
      </c>
      <c r="H539" s="155"/>
      <c r="I539">
        <v>735</v>
      </c>
      <c r="K539">
        <v>1973.1000000000001</v>
      </c>
      <c r="L539" s="4">
        <v>221.60000000000002</v>
      </c>
      <c r="M539" s="4">
        <v>54.9</v>
      </c>
      <c r="N539" s="4">
        <v>1989.7</v>
      </c>
      <c r="P539">
        <v>0</v>
      </c>
      <c r="Q539">
        <v>238.29999999999998</v>
      </c>
      <c r="R539">
        <v>0</v>
      </c>
      <c r="S539">
        <v>0</v>
      </c>
      <c r="T539">
        <v>368.5</v>
      </c>
      <c r="W539">
        <v>720.3</v>
      </c>
      <c r="X539">
        <v>1411.5</v>
      </c>
      <c r="Y539">
        <v>96.5</v>
      </c>
      <c r="AA539">
        <v>859.6</v>
      </c>
      <c r="AB539">
        <v>1577.6000000000001</v>
      </c>
      <c r="AE539">
        <v>1330</v>
      </c>
      <c r="AF539">
        <v>1025.5</v>
      </c>
      <c r="AH539">
        <v>509.9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1349.3</v>
      </c>
      <c r="AO539">
        <v>786.40000000000009</v>
      </c>
      <c r="AP539">
        <v>0</v>
      </c>
      <c r="AQ539">
        <v>68.3</v>
      </c>
      <c r="AR539">
        <v>234.9</v>
      </c>
      <c r="AS539">
        <v>600.40000000000009</v>
      </c>
      <c r="AU539">
        <v>985.69999999999993</v>
      </c>
      <c r="AW539">
        <v>792</v>
      </c>
      <c r="AX539">
        <v>1988.5</v>
      </c>
      <c r="AZ539">
        <v>763.5</v>
      </c>
      <c r="BA539">
        <v>0</v>
      </c>
      <c r="BB539">
        <v>0</v>
      </c>
      <c r="BC539">
        <v>1935.3</v>
      </c>
      <c r="BD539">
        <v>1006.5</v>
      </c>
      <c r="BE539">
        <v>0</v>
      </c>
      <c r="BF539">
        <v>0</v>
      </c>
      <c r="BG539">
        <v>0</v>
      </c>
      <c r="BH539">
        <v>1662.6</v>
      </c>
      <c r="BJ539">
        <v>0</v>
      </c>
      <c r="BK539">
        <v>0</v>
      </c>
      <c r="BL539">
        <v>1038.9000000000001</v>
      </c>
      <c r="BM539">
        <v>1101</v>
      </c>
      <c r="BO539">
        <v>1276.8000000000002</v>
      </c>
      <c r="BQ539">
        <v>0</v>
      </c>
      <c r="BR539">
        <v>270.7</v>
      </c>
      <c r="BS539">
        <v>230.5</v>
      </c>
      <c r="BT539">
        <v>472.3</v>
      </c>
      <c r="BU539">
        <v>537.29999999999995</v>
      </c>
      <c r="BV539">
        <v>346.3</v>
      </c>
      <c r="BW539">
        <v>386.2</v>
      </c>
      <c r="BX539">
        <v>767</v>
      </c>
      <c r="BY539">
        <v>757.2</v>
      </c>
      <c r="BZ539">
        <v>1037.2</v>
      </c>
      <c r="CA539">
        <v>1227.0999999999999</v>
      </c>
      <c r="CB539">
        <v>1232.0999999999999</v>
      </c>
      <c r="CC539">
        <v>1701.5</v>
      </c>
      <c r="CD539">
        <v>0</v>
      </c>
      <c r="CG539">
        <v>1385.3</v>
      </c>
      <c r="CJ539">
        <v>1630.2999999999997</v>
      </c>
      <c r="CM539">
        <v>1184.2</v>
      </c>
      <c r="CO539">
        <v>1248.0999999999999</v>
      </c>
      <c r="CQ539">
        <v>1435.3</v>
      </c>
      <c r="CR539">
        <v>798.2</v>
      </c>
      <c r="CS539">
        <v>923.8</v>
      </c>
      <c r="CT539">
        <v>0</v>
      </c>
      <c r="CU539">
        <v>0</v>
      </c>
      <c r="CV539">
        <v>0</v>
      </c>
      <c r="CW539">
        <v>0</v>
      </c>
      <c r="CX539">
        <v>163.69999999999999</v>
      </c>
      <c r="CY539">
        <v>0</v>
      </c>
      <c r="CZ539">
        <v>0</v>
      </c>
      <c r="DA539">
        <v>0</v>
      </c>
      <c r="DB539">
        <v>0</v>
      </c>
      <c r="DC539">
        <v>0</v>
      </c>
      <c r="DD539">
        <v>0</v>
      </c>
      <c r="DE539">
        <v>0</v>
      </c>
      <c r="DI539">
        <v>0</v>
      </c>
      <c r="EC539">
        <v>0</v>
      </c>
      <c r="ED539">
        <v>0</v>
      </c>
      <c r="EE539">
        <v>0</v>
      </c>
      <c r="EF539">
        <v>0</v>
      </c>
      <c r="EG539">
        <v>0</v>
      </c>
      <c r="EH539">
        <v>0</v>
      </c>
      <c r="EI539">
        <v>0</v>
      </c>
      <c r="EJ539">
        <v>0</v>
      </c>
      <c r="EM539">
        <v>0</v>
      </c>
      <c r="EN539">
        <v>0</v>
      </c>
      <c r="EO539">
        <v>0</v>
      </c>
      <c r="EP539">
        <v>0</v>
      </c>
      <c r="EQ539">
        <v>0</v>
      </c>
      <c r="ER539">
        <v>0</v>
      </c>
      <c r="ES539">
        <v>0</v>
      </c>
      <c r="ET539">
        <v>0</v>
      </c>
      <c r="EW539">
        <v>0</v>
      </c>
      <c r="EX539">
        <v>0</v>
      </c>
      <c r="EY539">
        <v>0</v>
      </c>
      <c r="EZ539">
        <v>0</v>
      </c>
      <c r="FA539">
        <v>0</v>
      </c>
      <c r="FB539">
        <v>0</v>
      </c>
      <c r="FC539">
        <v>0</v>
      </c>
      <c r="FD539">
        <v>0</v>
      </c>
      <c r="FG539" t="e">
        <v>#N/A</v>
      </c>
      <c r="FI539" t="e">
        <v>#N/A</v>
      </c>
      <c r="FK539" t="e">
        <v>#N/A</v>
      </c>
      <c r="FM539" t="e">
        <v>#N/A</v>
      </c>
      <c r="FO539" t="e">
        <v>#N/A</v>
      </c>
      <c r="FQ539" t="e">
        <v>#N/A</v>
      </c>
      <c r="FS539" t="e">
        <v>#N/A</v>
      </c>
      <c r="FU539" t="e">
        <v>#N/A</v>
      </c>
      <c r="FW539" t="e">
        <v>#N/A</v>
      </c>
      <c r="FY539" t="e">
        <v>#N/A</v>
      </c>
      <c r="GA539" t="e">
        <v>#N/A</v>
      </c>
      <c r="GC539" t="e">
        <v>#N/A</v>
      </c>
      <c r="GE539" t="e">
        <v>#N/A</v>
      </c>
      <c r="GG539" t="e">
        <v>#N/A</v>
      </c>
      <c r="GI539" t="e">
        <v>#N/A</v>
      </c>
      <c r="GK539" t="e">
        <v>#N/A</v>
      </c>
      <c r="GM539" t="e">
        <v>#N/A</v>
      </c>
      <c r="GO539" t="e">
        <v>#N/A</v>
      </c>
      <c r="GQ539" t="e">
        <v>#N/A</v>
      </c>
      <c r="GS539" t="e">
        <v>#N/A</v>
      </c>
      <c r="GU539" t="e">
        <v>#N/A</v>
      </c>
      <c r="GW539" t="e">
        <v>#N/A</v>
      </c>
      <c r="GY539" t="e">
        <v>#N/A</v>
      </c>
      <c r="HA539" t="e">
        <v>#N/A</v>
      </c>
      <c r="HC539">
        <v>0</v>
      </c>
      <c r="HD539">
        <v>0</v>
      </c>
      <c r="HE539">
        <v>0</v>
      </c>
      <c r="HF539">
        <v>0</v>
      </c>
      <c r="HG539">
        <v>0</v>
      </c>
      <c r="HH539">
        <v>0</v>
      </c>
      <c r="HI539">
        <v>0</v>
      </c>
      <c r="HJ539">
        <v>0</v>
      </c>
      <c r="HM539">
        <v>0</v>
      </c>
      <c r="HN539">
        <v>0</v>
      </c>
      <c r="HO539">
        <v>0</v>
      </c>
      <c r="HP539">
        <v>0</v>
      </c>
      <c r="HQ539">
        <v>0</v>
      </c>
      <c r="HR539">
        <v>0</v>
      </c>
      <c r="HS539">
        <v>0</v>
      </c>
      <c r="HT539">
        <v>0</v>
      </c>
      <c r="HW539">
        <v>0</v>
      </c>
      <c r="HX539">
        <v>0</v>
      </c>
      <c r="HY539">
        <v>0</v>
      </c>
      <c r="HZ539">
        <v>0</v>
      </c>
      <c r="IA539">
        <v>3930.6</v>
      </c>
      <c r="IB539">
        <v>3632.9</v>
      </c>
      <c r="IC539">
        <v>3795.5</v>
      </c>
      <c r="ID539">
        <v>0</v>
      </c>
      <c r="IE539">
        <v>0</v>
      </c>
      <c r="IF539">
        <v>3548.5</v>
      </c>
      <c r="IG539">
        <v>3395.2</v>
      </c>
      <c r="IH539">
        <v>3395.4</v>
      </c>
      <c r="II539">
        <v>3302.3</v>
      </c>
      <c r="IJ539">
        <v>3172.8</v>
      </c>
      <c r="IK539">
        <v>0</v>
      </c>
      <c r="IL539">
        <v>0</v>
      </c>
      <c r="IM539">
        <v>0</v>
      </c>
      <c r="IN539">
        <v>0</v>
      </c>
      <c r="IO539">
        <v>123.4</v>
      </c>
      <c r="IP539">
        <v>405.2</v>
      </c>
      <c r="IQ539">
        <v>418.7</v>
      </c>
      <c r="IR539">
        <v>0</v>
      </c>
      <c r="IS539">
        <v>0</v>
      </c>
      <c r="IT539">
        <v>0</v>
      </c>
      <c r="IU539">
        <v>0</v>
      </c>
      <c r="IV539">
        <v>396</v>
      </c>
      <c r="IW539">
        <v>0</v>
      </c>
      <c r="IX539">
        <v>0</v>
      </c>
      <c r="IZ539">
        <v>0</v>
      </c>
      <c r="JA539">
        <v>65.5</v>
      </c>
      <c r="JB539">
        <v>443.5</v>
      </c>
      <c r="JC539">
        <v>0</v>
      </c>
      <c r="JD539">
        <v>0</v>
      </c>
      <c r="JE539">
        <v>0</v>
      </c>
      <c r="JF539">
        <v>0</v>
      </c>
      <c r="JG539">
        <v>0</v>
      </c>
      <c r="JH539">
        <v>0</v>
      </c>
      <c r="JI539">
        <v>0</v>
      </c>
      <c r="JJ539">
        <v>0</v>
      </c>
      <c r="JK539">
        <v>0</v>
      </c>
      <c r="JL539">
        <v>0</v>
      </c>
      <c r="JM539">
        <v>0</v>
      </c>
      <c r="JN539">
        <v>0</v>
      </c>
      <c r="JO539">
        <v>0</v>
      </c>
      <c r="JP539">
        <v>0</v>
      </c>
      <c r="JQ539">
        <v>0</v>
      </c>
      <c r="JR539">
        <v>0</v>
      </c>
      <c r="JS539">
        <v>0</v>
      </c>
      <c r="JT539">
        <v>0</v>
      </c>
      <c r="JU539">
        <v>0</v>
      </c>
      <c r="JV539">
        <v>0</v>
      </c>
      <c r="JW539">
        <v>0</v>
      </c>
      <c r="JX539">
        <v>0</v>
      </c>
      <c r="JY539">
        <v>0</v>
      </c>
      <c r="JZ539">
        <v>0</v>
      </c>
      <c r="KA539">
        <v>0</v>
      </c>
      <c r="KB539">
        <v>0</v>
      </c>
      <c r="KC539">
        <v>0</v>
      </c>
      <c r="KD539">
        <v>0</v>
      </c>
      <c r="KE539">
        <v>0</v>
      </c>
      <c r="KF539">
        <v>0</v>
      </c>
      <c r="KI539">
        <v>344.6</v>
      </c>
      <c r="KJ539">
        <v>350.8</v>
      </c>
      <c r="KK539">
        <v>22.1</v>
      </c>
      <c r="KL539">
        <v>379.3</v>
      </c>
      <c r="KM539">
        <v>241.4</v>
      </c>
      <c r="KN539">
        <v>0</v>
      </c>
      <c r="KO539">
        <v>0</v>
      </c>
      <c r="KP539">
        <v>57.3</v>
      </c>
      <c r="KQ539">
        <v>224.4</v>
      </c>
      <c r="KR539">
        <v>338.3</v>
      </c>
      <c r="KS539">
        <v>215.8</v>
      </c>
      <c r="KT539">
        <v>40.700000000000003</v>
      </c>
      <c r="KW539">
        <v>2154.5</v>
      </c>
      <c r="KX539">
        <v>1255.7</v>
      </c>
      <c r="KY539">
        <v>1630.1</v>
      </c>
      <c r="KZ539">
        <v>1246.9000000000001</v>
      </c>
      <c r="LB539">
        <v>78.099999999999994</v>
      </c>
      <c r="LC539">
        <v>77.7</v>
      </c>
    </row>
    <row r="540" spans="1:315" ht="18" thickBot="1">
      <c r="A540" s="248"/>
      <c r="B540" s="4"/>
      <c r="C540" s="356"/>
      <c r="D540" s="297" t="s">
        <v>761</v>
      </c>
      <c r="E540" s="429">
        <v>0</v>
      </c>
      <c r="F540" s="227">
        <v>0</v>
      </c>
      <c r="G540" s="427">
        <v>3413.8</v>
      </c>
      <c r="H540" s="155"/>
      <c r="I540">
        <v>735</v>
      </c>
      <c r="K540">
        <v>1973.1000000000001</v>
      </c>
      <c r="L540" s="4">
        <v>221.60000000000002</v>
      </c>
      <c r="M540" s="4">
        <v>54.9</v>
      </c>
      <c r="N540" s="4">
        <v>1989.7</v>
      </c>
      <c r="P540">
        <v>0</v>
      </c>
      <c r="Q540">
        <v>238.29999999999998</v>
      </c>
      <c r="R540">
        <v>0</v>
      </c>
      <c r="S540">
        <v>0</v>
      </c>
      <c r="T540">
        <v>368.5</v>
      </c>
      <c r="W540">
        <v>720.3</v>
      </c>
      <c r="X540">
        <v>1411.5</v>
      </c>
      <c r="Y540">
        <v>96.5</v>
      </c>
      <c r="AA540">
        <v>859.6</v>
      </c>
      <c r="AB540">
        <v>1577.6000000000001</v>
      </c>
      <c r="AE540">
        <v>1330</v>
      </c>
      <c r="AF540">
        <v>1025.5</v>
      </c>
      <c r="AH540">
        <v>509.9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1349.3</v>
      </c>
      <c r="AO540">
        <v>786.40000000000009</v>
      </c>
      <c r="AP540">
        <v>0</v>
      </c>
      <c r="AQ540">
        <v>68.3</v>
      </c>
      <c r="AR540">
        <v>234.9</v>
      </c>
      <c r="AS540">
        <v>600.40000000000009</v>
      </c>
      <c r="AU540">
        <v>985.69999999999993</v>
      </c>
      <c r="AW540">
        <v>792</v>
      </c>
      <c r="AX540">
        <v>1988.5</v>
      </c>
      <c r="AZ540">
        <v>763.5</v>
      </c>
      <c r="BA540">
        <v>0</v>
      </c>
      <c r="BB540">
        <v>0</v>
      </c>
      <c r="BC540">
        <v>1935.3</v>
      </c>
      <c r="BD540">
        <v>1006.5</v>
      </c>
      <c r="BE540">
        <v>0</v>
      </c>
      <c r="BF540">
        <v>0</v>
      </c>
      <c r="BG540">
        <v>0</v>
      </c>
      <c r="BH540">
        <v>1662.6</v>
      </c>
      <c r="BJ540">
        <v>0</v>
      </c>
      <c r="BK540">
        <v>0</v>
      </c>
      <c r="BL540">
        <v>1038.9000000000001</v>
      </c>
      <c r="BM540">
        <v>1101</v>
      </c>
      <c r="BO540">
        <v>1276.8000000000002</v>
      </c>
      <c r="BQ540">
        <v>0</v>
      </c>
      <c r="BR540">
        <v>270.7</v>
      </c>
      <c r="BS540">
        <v>230.5</v>
      </c>
      <c r="BT540">
        <v>472.3</v>
      </c>
      <c r="BU540">
        <v>537.29999999999995</v>
      </c>
      <c r="BV540">
        <v>346.3</v>
      </c>
      <c r="BW540">
        <v>386.2</v>
      </c>
      <c r="BX540">
        <v>767</v>
      </c>
      <c r="BY540">
        <v>757.2</v>
      </c>
      <c r="BZ540">
        <v>1037.2</v>
      </c>
      <c r="CA540">
        <v>1227.0999999999999</v>
      </c>
      <c r="CB540">
        <v>1232.0999999999999</v>
      </c>
      <c r="CC540">
        <v>1701.5</v>
      </c>
      <c r="CD540">
        <v>0</v>
      </c>
      <c r="CG540">
        <v>1385.3</v>
      </c>
      <c r="CJ540">
        <v>1630.2999999999997</v>
      </c>
      <c r="CM540">
        <v>1184.2</v>
      </c>
      <c r="CO540">
        <v>1248.0999999999999</v>
      </c>
      <c r="CQ540">
        <v>1435.3</v>
      </c>
      <c r="CR540">
        <v>798.2</v>
      </c>
      <c r="CS540">
        <v>923.8</v>
      </c>
      <c r="CT540">
        <v>0</v>
      </c>
      <c r="CU540">
        <v>0</v>
      </c>
      <c r="CV540">
        <v>0</v>
      </c>
      <c r="CW540">
        <v>0</v>
      </c>
      <c r="CX540">
        <v>163.69999999999999</v>
      </c>
      <c r="CY540">
        <v>0</v>
      </c>
      <c r="CZ540">
        <v>0</v>
      </c>
      <c r="DA540">
        <v>0</v>
      </c>
      <c r="DB540">
        <v>0</v>
      </c>
      <c r="DC540">
        <v>0</v>
      </c>
      <c r="DD540">
        <v>0</v>
      </c>
      <c r="DE540">
        <v>0</v>
      </c>
      <c r="DI540">
        <v>0</v>
      </c>
      <c r="EC540">
        <v>0</v>
      </c>
      <c r="ED540">
        <v>0</v>
      </c>
      <c r="EE540">
        <v>0</v>
      </c>
      <c r="EF540">
        <v>0</v>
      </c>
      <c r="EG540">
        <v>0</v>
      </c>
      <c r="EH540">
        <v>0</v>
      </c>
      <c r="EI540">
        <v>0</v>
      </c>
      <c r="EJ540">
        <v>0</v>
      </c>
      <c r="EM540">
        <v>0</v>
      </c>
      <c r="EN540">
        <v>0</v>
      </c>
      <c r="EO540">
        <v>0</v>
      </c>
      <c r="EP540">
        <v>0</v>
      </c>
      <c r="EQ540">
        <v>0</v>
      </c>
      <c r="ER540">
        <v>0</v>
      </c>
      <c r="ES540">
        <v>0</v>
      </c>
      <c r="ET540">
        <v>0</v>
      </c>
      <c r="EW540">
        <v>0</v>
      </c>
      <c r="EX540">
        <v>0</v>
      </c>
      <c r="EY540">
        <v>0</v>
      </c>
      <c r="EZ540">
        <v>0</v>
      </c>
      <c r="FA540">
        <v>0</v>
      </c>
      <c r="FB540">
        <v>0</v>
      </c>
      <c r="FC540">
        <v>0</v>
      </c>
      <c r="FD540">
        <v>0</v>
      </c>
      <c r="FG540" t="e">
        <v>#N/A</v>
      </c>
      <c r="FI540" t="e">
        <v>#N/A</v>
      </c>
      <c r="FK540" t="e">
        <v>#N/A</v>
      </c>
      <c r="FM540" t="e">
        <v>#N/A</v>
      </c>
      <c r="FO540" t="e">
        <v>#N/A</v>
      </c>
      <c r="FQ540" t="e">
        <v>#N/A</v>
      </c>
      <c r="FS540" t="e">
        <v>#N/A</v>
      </c>
      <c r="FU540" t="e">
        <v>#N/A</v>
      </c>
      <c r="FW540" t="e">
        <v>#N/A</v>
      </c>
      <c r="FY540" t="e">
        <v>#N/A</v>
      </c>
      <c r="GA540" t="e">
        <v>#N/A</v>
      </c>
      <c r="GC540" t="e">
        <v>#N/A</v>
      </c>
      <c r="GE540" t="e">
        <v>#N/A</v>
      </c>
      <c r="GG540" t="e">
        <v>#N/A</v>
      </c>
      <c r="GI540" t="e">
        <v>#N/A</v>
      </c>
      <c r="GK540" t="e">
        <v>#N/A</v>
      </c>
      <c r="GM540" t="e">
        <v>#N/A</v>
      </c>
      <c r="GO540" t="e">
        <v>#N/A</v>
      </c>
      <c r="GQ540" t="e">
        <v>#N/A</v>
      </c>
      <c r="GS540" t="e">
        <v>#N/A</v>
      </c>
      <c r="GU540" t="e">
        <v>#N/A</v>
      </c>
      <c r="GW540" t="e">
        <v>#N/A</v>
      </c>
      <c r="GY540" t="e">
        <v>#N/A</v>
      </c>
      <c r="HA540" t="e">
        <v>#N/A</v>
      </c>
      <c r="HC540">
        <v>0</v>
      </c>
      <c r="HD540">
        <v>0</v>
      </c>
      <c r="HE540">
        <v>0</v>
      </c>
      <c r="HF540">
        <v>0</v>
      </c>
      <c r="HG540">
        <v>0</v>
      </c>
      <c r="HH540">
        <v>0</v>
      </c>
      <c r="HI540">
        <v>0</v>
      </c>
      <c r="HJ540">
        <v>0</v>
      </c>
      <c r="HM540">
        <v>0</v>
      </c>
      <c r="HN540">
        <v>0</v>
      </c>
      <c r="HO540">
        <v>0</v>
      </c>
      <c r="HP540">
        <v>0</v>
      </c>
      <c r="HQ540">
        <v>0</v>
      </c>
      <c r="HR540">
        <v>0</v>
      </c>
      <c r="HS540">
        <v>0</v>
      </c>
      <c r="HT540">
        <v>0</v>
      </c>
      <c r="HW540">
        <v>0</v>
      </c>
      <c r="HX540">
        <v>0</v>
      </c>
      <c r="HY540">
        <v>0</v>
      </c>
      <c r="HZ540">
        <v>0</v>
      </c>
      <c r="IA540">
        <v>3930.6</v>
      </c>
      <c r="IB540">
        <v>3632.9</v>
      </c>
      <c r="IC540">
        <v>3795.5</v>
      </c>
      <c r="ID540">
        <v>0</v>
      </c>
      <c r="IE540">
        <v>0</v>
      </c>
      <c r="IF540">
        <v>3548.5</v>
      </c>
      <c r="IG540">
        <v>3395.2</v>
      </c>
      <c r="IH540">
        <v>3395.4</v>
      </c>
      <c r="II540">
        <v>3302.3</v>
      </c>
      <c r="IJ540">
        <v>3172.8</v>
      </c>
      <c r="IK540">
        <v>0</v>
      </c>
      <c r="IL540">
        <v>0</v>
      </c>
      <c r="IM540">
        <v>0</v>
      </c>
      <c r="IN540">
        <v>0</v>
      </c>
      <c r="IO540">
        <v>123.4</v>
      </c>
      <c r="IP540">
        <v>405.2</v>
      </c>
      <c r="IQ540">
        <v>418.7</v>
      </c>
      <c r="IR540">
        <v>0</v>
      </c>
      <c r="IS540">
        <v>0</v>
      </c>
      <c r="IT540">
        <v>0</v>
      </c>
      <c r="IU540">
        <v>0</v>
      </c>
      <c r="IV540">
        <v>396</v>
      </c>
      <c r="IW540">
        <v>0</v>
      </c>
      <c r="IX540">
        <v>0</v>
      </c>
      <c r="IZ540">
        <v>0</v>
      </c>
      <c r="JA540">
        <v>65.5</v>
      </c>
      <c r="JB540">
        <v>443.5</v>
      </c>
      <c r="JC540">
        <v>0</v>
      </c>
      <c r="JD540">
        <v>0</v>
      </c>
      <c r="JE540">
        <v>0</v>
      </c>
      <c r="JF540">
        <v>0</v>
      </c>
      <c r="JG540">
        <v>0</v>
      </c>
      <c r="JH540">
        <v>0</v>
      </c>
      <c r="JI540">
        <v>0</v>
      </c>
      <c r="JJ540">
        <v>0</v>
      </c>
      <c r="JK540">
        <v>0</v>
      </c>
      <c r="JL540">
        <v>0</v>
      </c>
      <c r="JM540">
        <v>0</v>
      </c>
      <c r="JN540">
        <v>0</v>
      </c>
      <c r="JO540">
        <v>0</v>
      </c>
      <c r="JP540">
        <v>0</v>
      </c>
      <c r="JQ540">
        <v>0</v>
      </c>
      <c r="JR540">
        <v>0</v>
      </c>
      <c r="JS540">
        <v>0</v>
      </c>
      <c r="JT540">
        <v>0</v>
      </c>
      <c r="JU540">
        <v>0</v>
      </c>
      <c r="JV540">
        <v>0</v>
      </c>
      <c r="JW540">
        <v>0</v>
      </c>
      <c r="JX540">
        <v>0</v>
      </c>
      <c r="JY540">
        <v>0</v>
      </c>
      <c r="JZ540">
        <v>0</v>
      </c>
      <c r="KA540">
        <v>0</v>
      </c>
      <c r="KB540">
        <v>0</v>
      </c>
      <c r="KC540">
        <v>0</v>
      </c>
      <c r="KD540">
        <v>0</v>
      </c>
      <c r="KE540">
        <v>0</v>
      </c>
      <c r="KF540">
        <v>0</v>
      </c>
      <c r="KI540">
        <v>344.6</v>
      </c>
      <c r="KJ540">
        <v>350.8</v>
      </c>
      <c r="KK540">
        <v>22.1</v>
      </c>
      <c r="KL540">
        <v>379.3</v>
      </c>
      <c r="KM540">
        <v>241.4</v>
      </c>
      <c r="KN540">
        <v>0</v>
      </c>
      <c r="KO540">
        <v>0</v>
      </c>
      <c r="KP540">
        <v>57.3</v>
      </c>
      <c r="KQ540">
        <v>224.4</v>
      </c>
      <c r="KR540">
        <v>338.3</v>
      </c>
      <c r="KS540">
        <v>215.8</v>
      </c>
      <c r="KT540">
        <v>40.700000000000003</v>
      </c>
      <c r="KW540">
        <v>2154.5</v>
      </c>
      <c r="KX540">
        <v>1255.7</v>
      </c>
      <c r="KY540">
        <v>1630.1</v>
      </c>
      <c r="KZ540">
        <v>1246.9000000000001</v>
      </c>
      <c r="LB540">
        <v>78.099999999999994</v>
      </c>
      <c r="LC540">
        <v>77.7</v>
      </c>
    </row>
    <row r="541" spans="1:315" ht="18" thickBot="1">
      <c r="A541" s="248"/>
      <c r="B541" s="4"/>
      <c r="C541" s="356"/>
      <c r="D541" s="297" t="s">
        <v>761</v>
      </c>
      <c r="E541" s="430">
        <v>0</v>
      </c>
      <c r="F541" s="228">
        <v>0</v>
      </c>
      <c r="G541" s="427">
        <v>3413.8</v>
      </c>
      <c r="H541" s="155"/>
      <c r="I541">
        <v>735</v>
      </c>
      <c r="K541">
        <v>1973.1000000000001</v>
      </c>
      <c r="L541" s="4">
        <v>221.60000000000002</v>
      </c>
      <c r="M541" s="4">
        <v>54.9</v>
      </c>
      <c r="N541" s="4">
        <v>1989.7</v>
      </c>
      <c r="P541">
        <v>0</v>
      </c>
      <c r="Q541">
        <v>238.29999999999998</v>
      </c>
      <c r="R541">
        <v>0</v>
      </c>
      <c r="S541">
        <v>0</v>
      </c>
      <c r="T541">
        <v>368.5</v>
      </c>
      <c r="W541">
        <v>720.3</v>
      </c>
      <c r="X541">
        <v>1411.5</v>
      </c>
      <c r="Y541">
        <v>96.5</v>
      </c>
      <c r="AA541">
        <v>859.6</v>
      </c>
      <c r="AB541">
        <v>1577.6000000000001</v>
      </c>
      <c r="AE541">
        <v>1330</v>
      </c>
      <c r="AF541">
        <v>1025.5</v>
      </c>
      <c r="AH541">
        <v>509.9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1349.3</v>
      </c>
      <c r="AO541">
        <v>786.40000000000009</v>
      </c>
      <c r="AP541">
        <v>0</v>
      </c>
      <c r="AQ541">
        <v>68.3</v>
      </c>
      <c r="AR541">
        <v>234.9</v>
      </c>
      <c r="AS541">
        <v>600.40000000000009</v>
      </c>
      <c r="AU541">
        <v>985.69999999999993</v>
      </c>
      <c r="AW541">
        <v>792</v>
      </c>
      <c r="AX541">
        <v>1988.5</v>
      </c>
      <c r="AZ541">
        <v>763.5</v>
      </c>
      <c r="BA541">
        <v>0</v>
      </c>
      <c r="BB541">
        <v>0</v>
      </c>
      <c r="BC541">
        <v>1935.3</v>
      </c>
      <c r="BD541">
        <v>1006.5</v>
      </c>
      <c r="BE541">
        <v>0</v>
      </c>
      <c r="BF541">
        <v>0</v>
      </c>
      <c r="BG541">
        <v>0</v>
      </c>
      <c r="BH541">
        <v>1662.6</v>
      </c>
      <c r="BJ541">
        <v>0</v>
      </c>
      <c r="BK541">
        <v>0</v>
      </c>
      <c r="BL541">
        <v>1038.9000000000001</v>
      </c>
      <c r="BM541">
        <v>1101</v>
      </c>
      <c r="BO541">
        <v>1276.8000000000002</v>
      </c>
      <c r="BQ541">
        <v>0</v>
      </c>
      <c r="BR541">
        <v>270.7</v>
      </c>
      <c r="BS541">
        <v>230.5</v>
      </c>
      <c r="BT541">
        <v>472.3</v>
      </c>
      <c r="BU541">
        <v>537.29999999999995</v>
      </c>
      <c r="BV541">
        <v>346.3</v>
      </c>
      <c r="BW541">
        <v>386.2</v>
      </c>
      <c r="BX541">
        <v>767</v>
      </c>
      <c r="BY541">
        <v>757.2</v>
      </c>
      <c r="BZ541">
        <v>1037.2</v>
      </c>
      <c r="CA541">
        <v>1227.0999999999999</v>
      </c>
      <c r="CB541">
        <v>1232.0999999999999</v>
      </c>
      <c r="CC541">
        <v>1701.5</v>
      </c>
      <c r="CD541">
        <v>0</v>
      </c>
      <c r="CG541">
        <v>1385.3</v>
      </c>
      <c r="CJ541">
        <v>1630.2999999999997</v>
      </c>
      <c r="CM541">
        <v>1184.2</v>
      </c>
      <c r="CO541">
        <v>1248.0999999999999</v>
      </c>
      <c r="CQ541">
        <v>1435.3</v>
      </c>
      <c r="CR541">
        <v>798.2</v>
      </c>
      <c r="CS541">
        <v>923.8</v>
      </c>
      <c r="CT541">
        <v>0</v>
      </c>
      <c r="CU541">
        <v>0</v>
      </c>
      <c r="CV541">
        <v>0</v>
      </c>
      <c r="CW541">
        <v>0</v>
      </c>
      <c r="CX541">
        <v>163.69999999999999</v>
      </c>
      <c r="CY541">
        <v>0</v>
      </c>
      <c r="CZ541">
        <v>0</v>
      </c>
      <c r="DA541">
        <v>0</v>
      </c>
      <c r="DB541">
        <v>0</v>
      </c>
      <c r="DC541">
        <v>0</v>
      </c>
      <c r="DD541">
        <v>0</v>
      </c>
      <c r="DE541">
        <v>0</v>
      </c>
      <c r="DI541">
        <v>0</v>
      </c>
      <c r="EC541">
        <v>0</v>
      </c>
      <c r="ED541">
        <v>0</v>
      </c>
      <c r="EE541">
        <v>0</v>
      </c>
      <c r="EF541">
        <v>0</v>
      </c>
      <c r="EG541">
        <v>0</v>
      </c>
      <c r="EH541">
        <v>0</v>
      </c>
      <c r="EI541">
        <v>0</v>
      </c>
      <c r="EJ541">
        <v>0</v>
      </c>
      <c r="EM541">
        <v>0</v>
      </c>
      <c r="EN541">
        <v>0</v>
      </c>
      <c r="EO541">
        <v>0</v>
      </c>
      <c r="EP541">
        <v>0</v>
      </c>
      <c r="EQ541">
        <v>0</v>
      </c>
      <c r="ER541">
        <v>0</v>
      </c>
      <c r="ES541">
        <v>0</v>
      </c>
      <c r="ET541">
        <v>0</v>
      </c>
      <c r="EW541">
        <v>0</v>
      </c>
      <c r="EX541">
        <v>0</v>
      </c>
      <c r="EY541">
        <v>0</v>
      </c>
      <c r="EZ541">
        <v>0</v>
      </c>
      <c r="FA541">
        <v>0</v>
      </c>
      <c r="FB541">
        <v>0</v>
      </c>
      <c r="FC541">
        <v>0</v>
      </c>
      <c r="FD541">
        <v>0</v>
      </c>
      <c r="FG541" t="e">
        <v>#N/A</v>
      </c>
      <c r="FI541" t="e">
        <v>#N/A</v>
      </c>
      <c r="FK541" t="e">
        <v>#N/A</v>
      </c>
      <c r="FM541" t="e">
        <v>#N/A</v>
      </c>
      <c r="FO541" t="e">
        <v>#N/A</v>
      </c>
      <c r="FQ541" t="e">
        <v>#N/A</v>
      </c>
      <c r="FS541" t="e">
        <v>#N/A</v>
      </c>
      <c r="FU541" t="e">
        <v>#N/A</v>
      </c>
      <c r="FW541" t="e">
        <v>#N/A</v>
      </c>
      <c r="FY541" t="e">
        <v>#N/A</v>
      </c>
      <c r="GA541" t="e">
        <v>#N/A</v>
      </c>
      <c r="GC541" t="e">
        <v>#N/A</v>
      </c>
      <c r="GE541" t="e">
        <v>#N/A</v>
      </c>
      <c r="GG541" t="e">
        <v>#N/A</v>
      </c>
      <c r="GI541" t="e">
        <v>#N/A</v>
      </c>
      <c r="GK541" t="e">
        <v>#N/A</v>
      </c>
      <c r="GM541" t="e">
        <v>#N/A</v>
      </c>
      <c r="GO541" t="e">
        <v>#N/A</v>
      </c>
      <c r="GQ541" t="e">
        <v>#N/A</v>
      </c>
      <c r="GS541" t="e">
        <v>#N/A</v>
      </c>
      <c r="GU541" t="e">
        <v>#N/A</v>
      </c>
      <c r="GW541" t="e">
        <v>#N/A</v>
      </c>
      <c r="GY541" t="e">
        <v>#N/A</v>
      </c>
      <c r="HA541" t="e">
        <v>#N/A</v>
      </c>
      <c r="HC541">
        <v>0</v>
      </c>
      <c r="HD541">
        <v>0</v>
      </c>
      <c r="HE541">
        <v>0</v>
      </c>
      <c r="HF541">
        <v>0</v>
      </c>
      <c r="HG541">
        <v>0</v>
      </c>
      <c r="HH541">
        <v>0</v>
      </c>
      <c r="HI541">
        <v>0</v>
      </c>
      <c r="HJ541">
        <v>0</v>
      </c>
      <c r="HM541">
        <v>0</v>
      </c>
      <c r="HN541">
        <v>0</v>
      </c>
      <c r="HO541">
        <v>0</v>
      </c>
      <c r="HP541">
        <v>0</v>
      </c>
      <c r="HQ541">
        <v>0</v>
      </c>
      <c r="HR541">
        <v>0</v>
      </c>
      <c r="HS541">
        <v>0</v>
      </c>
      <c r="HT541">
        <v>0</v>
      </c>
      <c r="HW541">
        <v>0</v>
      </c>
      <c r="HX541">
        <v>0</v>
      </c>
      <c r="HY541">
        <v>0</v>
      </c>
      <c r="HZ541">
        <v>0</v>
      </c>
      <c r="IA541">
        <v>3930.6</v>
      </c>
      <c r="IB541">
        <v>3632.9</v>
      </c>
      <c r="IC541">
        <v>3795.5</v>
      </c>
      <c r="ID541">
        <v>0</v>
      </c>
      <c r="IE541">
        <v>0</v>
      </c>
      <c r="IF541">
        <v>3548.5</v>
      </c>
      <c r="IG541">
        <v>3395.2</v>
      </c>
      <c r="IH541">
        <v>3395.4</v>
      </c>
      <c r="II541">
        <v>3302.3</v>
      </c>
      <c r="IJ541">
        <v>3172.8</v>
      </c>
      <c r="IK541">
        <v>0</v>
      </c>
      <c r="IL541">
        <v>0</v>
      </c>
      <c r="IM541">
        <v>0</v>
      </c>
      <c r="IN541">
        <v>0</v>
      </c>
      <c r="IO541">
        <v>123.4</v>
      </c>
      <c r="IP541">
        <v>405.2</v>
      </c>
      <c r="IQ541">
        <v>418.7</v>
      </c>
      <c r="IR541">
        <v>0</v>
      </c>
      <c r="IS541">
        <v>0</v>
      </c>
      <c r="IT541">
        <v>0</v>
      </c>
      <c r="IU541">
        <v>0</v>
      </c>
      <c r="IV541">
        <v>396</v>
      </c>
      <c r="IW541">
        <v>0</v>
      </c>
      <c r="IX541">
        <v>0</v>
      </c>
      <c r="IZ541">
        <v>0</v>
      </c>
      <c r="JA541">
        <v>65.5</v>
      </c>
      <c r="JB541">
        <v>443.5</v>
      </c>
      <c r="JC541">
        <v>0</v>
      </c>
      <c r="JD541">
        <v>0</v>
      </c>
      <c r="JE541">
        <v>0</v>
      </c>
      <c r="JF541">
        <v>0</v>
      </c>
      <c r="JG541">
        <v>0</v>
      </c>
      <c r="JH541">
        <v>0</v>
      </c>
      <c r="JI541">
        <v>0</v>
      </c>
      <c r="JJ541">
        <v>0</v>
      </c>
      <c r="JK541">
        <v>0</v>
      </c>
      <c r="JL541">
        <v>0</v>
      </c>
      <c r="JM541">
        <v>0</v>
      </c>
      <c r="JN541">
        <v>0</v>
      </c>
      <c r="JO541">
        <v>0</v>
      </c>
      <c r="JP541">
        <v>0</v>
      </c>
      <c r="JQ541">
        <v>0</v>
      </c>
      <c r="JR541">
        <v>0</v>
      </c>
      <c r="JS541">
        <v>0</v>
      </c>
      <c r="JT541">
        <v>0</v>
      </c>
      <c r="JU541">
        <v>0</v>
      </c>
      <c r="JV541">
        <v>0</v>
      </c>
      <c r="JW541">
        <v>0</v>
      </c>
      <c r="JX541">
        <v>0</v>
      </c>
      <c r="JY541">
        <v>0</v>
      </c>
      <c r="JZ541">
        <v>0</v>
      </c>
      <c r="KA541">
        <v>0</v>
      </c>
      <c r="KB541">
        <v>0</v>
      </c>
      <c r="KC541">
        <v>0</v>
      </c>
      <c r="KD541">
        <v>0</v>
      </c>
      <c r="KE541">
        <v>0</v>
      </c>
      <c r="KF541">
        <v>0</v>
      </c>
      <c r="KI541">
        <v>344.6</v>
      </c>
      <c r="KJ541">
        <v>350.8</v>
      </c>
      <c r="KK541">
        <v>22.1</v>
      </c>
      <c r="KL541">
        <v>379.3</v>
      </c>
      <c r="KM541">
        <v>241.4</v>
      </c>
      <c r="KN541">
        <v>0</v>
      </c>
      <c r="KO541">
        <v>0</v>
      </c>
      <c r="KP541">
        <v>57.3</v>
      </c>
      <c r="KQ541">
        <v>224.4</v>
      </c>
      <c r="KR541">
        <v>338.3</v>
      </c>
      <c r="KS541">
        <v>215.8</v>
      </c>
      <c r="KT541">
        <v>40.700000000000003</v>
      </c>
      <c r="KW541">
        <v>2154.5</v>
      </c>
      <c r="KX541">
        <v>1255.7</v>
      </c>
      <c r="KY541">
        <v>1630.1</v>
      </c>
      <c r="KZ541">
        <v>1246.9000000000001</v>
      </c>
      <c r="LB541">
        <v>78.099999999999994</v>
      </c>
      <c r="LC541">
        <v>77.7</v>
      </c>
    </row>
    <row r="542" spans="1:315" ht="18.600000000000001" thickTop="1" thickBot="1">
      <c r="A542" s="249"/>
      <c r="B542" s="4"/>
      <c r="C542" s="342"/>
      <c r="D542" s="297" t="s">
        <v>761</v>
      </c>
      <c r="E542" s="457">
        <v>0</v>
      </c>
      <c r="F542" s="229">
        <v>0</v>
      </c>
      <c r="G542" s="427">
        <v>3413.8</v>
      </c>
      <c r="H542" s="155"/>
      <c r="I542">
        <v>735</v>
      </c>
      <c r="K542">
        <v>1973.1000000000001</v>
      </c>
      <c r="L542" s="4">
        <v>221.60000000000002</v>
      </c>
      <c r="M542" s="4">
        <v>54.9</v>
      </c>
      <c r="N542" s="4">
        <v>1989.7</v>
      </c>
      <c r="P542">
        <v>0</v>
      </c>
      <c r="Q542">
        <v>238.29999999999998</v>
      </c>
      <c r="R542">
        <v>0</v>
      </c>
      <c r="S542">
        <v>0</v>
      </c>
      <c r="T542">
        <v>368.5</v>
      </c>
      <c r="W542">
        <v>720.3</v>
      </c>
      <c r="X542">
        <v>1411.5</v>
      </c>
      <c r="Y542">
        <v>96.5</v>
      </c>
      <c r="AA542">
        <v>859.6</v>
      </c>
      <c r="AB542">
        <v>1577.6000000000001</v>
      </c>
      <c r="AE542">
        <v>1330</v>
      </c>
      <c r="AF542">
        <v>1025.5</v>
      </c>
      <c r="AH542">
        <v>509.9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1349.3</v>
      </c>
      <c r="AO542">
        <v>786.40000000000009</v>
      </c>
      <c r="AP542">
        <v>0</v>
      </c>
      <c r="AQ542">
        <v>68.3</v>
      </c>
      <c r="AR542">
        <v>234.9</v>
      </c>
      <c r="AS542">
        <v>600.40000000000009</v>
      </c>
      <c r="AU542">
        <v>985.69999999999993</v>
      </c>
      <c r="AW542">
        <v>792</v>
      </c>
      <c r="AX542">
        <v>1988.5</v>
      </c>
      <c r="AZ542">
        <v>763.5</v>
      </c>
      <c r="BA542">
        <v>0</v>
      </c>
      <c r="BB542">
        <v>0</v>
      </c>
      <c r="BC542">
        <v>1935.3</v>
      </c>
      <c r="BD542">
        <v>1006.5</v>
      </c>
      <c r="BE542">
        <v>0</v>
      </c>
      <c r="BF542">
        <v>0</v>
      </c>
      <c r="BG542">
        <v>0</v>
      </c>
      <c r="BH542">
        <v>1662.6</v>
      </c>
      <c r="BJ542">
        <v>0</v>
      </c>
      <c r="BK542">
        <v>0</v>
      </c>
      <c r="BL542">
        <v>1038.9000000000001</v>
      </c>
      <c r="BM542">
        <v>1101</v>
      </c>
      <c r="BO542">
        <v>1276.8000000000002</v>
      </c>
      <c r="BQ542">
        <v>0</v>
      </c>
      <c r="BR542">
        <v>270.7</v>
      </c>
      <c r="BS542">
        <v>230.5</v>
      </c>
      <c r="BT542">
        <v>472.3</v>
      </c>
      <c r="BU542">
        <v>537.29999999999995</v>
      </c>
      <c r="BV542">
        <v>346.3</v>
      </c>
      <c r="BW542">
        <v>386.2</v>
      </c>
      <c r="BX542">
        <v>767</v>
      </c>
      <c r="BY542">
        <v>757.2</v>
      </c>
      <c r="BZ542">
        <v>1037.2</v>
      </c>
      <c r="CA542">
        <v>1227.0999999999999</v>
      </c>
      <c r="CB542">
        <v>1232.0999999999999</v>
      </c>
      <c r="CC542">
        <v>1701.5</v>
      </c>
      <c r="CD542">
        <v>0</v>
      </c>
      <c r="CG542">
        <v>1385.3</v>
      </c>
      <c r="CJ542">
        <v>1630.2999999999997</v>
      </c>
      <c r="CM542">
        <v>1184.2</v>
      </c>
      <c r="CO542">
        <v>1248.0999999999999</v>
      </c>
      <c r="CQ542">
        <v>1435.3</v>
      </c>
      <c r="CR542">
        <v>798.2</v>
      </c>
      <c r="CS542">
        <v>923.8</v>
      </c>
      <c r="CT542">
        <v>0</v>
      </c>
      <c r="CU542">
        <v>0</v>
      </c>
      <c r="CV542">
        <v>0</v>
      </c>
      <c r="CW542">
        <v>0</v>
      </c>
      <c r="CX542">
        <v>163.69999999999999</v>
      </c>
      <c r="CY542">
        <v>0</v>
      </c>
      <c r="CZ542">
        <v>0</v>
      </c>
      <c r="DA542">
        <v>0</v>
      </c>
      <c r="DB542">
        <v>0</v>
      </c>
      <c r="DC542">
        <v>0</v>
      </c>
      <c r="DD542">
        <v>0</v>
      </c>
      <c r="DE542">
        <v>0</v>
      </c>
      <c r="DI542">
        <v>0</v>
      </c>
      <c r="EC542">
        <v>0</v>
      </c>
      <c r="ED542">
        <v>0</v>
      </c>
      <c r="EE542">
        <v>0</v>
      </c>
      <c r="EF542">
        <v>0</v>
      </c>
      <c r="EG542">
        <v>0</v>
      </c>
      <c r="EH542">
        <v>0</v>
      </c>
      <c r="EI542">
        <v>0</v>
      </c>
      <c r="EJ542">
        <v>0</v>
      </c>
      <c r="EM542">
        <v>0</v>
      </c>
      <c r="EN542">
        <v>0</v>
      </c>
      <c r="EO542">
        <v>0</v>
      </c>
      <c r="EP542">
        <v>0</v>
      </c>
      <c r="EQ542">
        <v>0</v>
      </c>
      <c r="ER542">
        <v>0</v>
      </c>
      <c r="ES542">
        <v>0</v>
      </c>
      <c r="ET542">
        <v>0</v>
      </c>
      <c r="EW542">
        <v>0</v>
      </c>
      <c r="EX542">
        <v>0</v>
      </c>
      <c r="EY542">
        <v>0</v>
      </c>
      <c r="EZ542">
        <v>0</v>
      </c>
      <c r="FA542">
        <v>0</v>
      </c>
      <c r="FB542">
        <v>0</v>
      </c>
      <c r="FC542">
        <v>0</v>
      </c>
      <c r="FD542">
        <v>0</v>
      </c>
      <c r="FG542" t="e">
        <v>#N/A</v>
      </c>
      <c r="FI542" t="e">
        <v>#N/A</v>
      </c>
      <c r="FK542" t="e">
        <v>#N/A</v>
      </c>
      <c r="FM542" t="e">
        <v>#N/A</v>
      </c>
      <c r="FO542" t="e">
        <v>#N/A</v>
      </c>
      <c r="FQ542" t="e">
        <v>#N/A</v>
      </c>
      <c r="FS542" t="e">
        <v>#N/A</v>
      </c>
      <c r="FU542" t="e">
        <v>#N/A</v>
      </c>
      <c r="FW542" t="e">
        <v>#N/A</v>
      </c>
      <c r="FY542" t="e">
        <v>#N/A</v>
      </c>
      <c r="GA542" t="e">
        <v>#N/A</v>
      </c>
      <c r="GC542" t="e">
        <v>#N/A</v>
      </c>
      <c r="GE542" t="e">
        <v>#N/A</v>
      </c>
      <c r="GG542" t="e">
        <v>#N/A</v>
      </c>
      <c r="GI542" t="e">
        <v>#N/A</v>
      </c>
      <c r="GK542" t="e">
        <v>#N/A</v>
      </c>
      <c r="GM542" t="e">
        <v>#N/A</v>
      </c>
      <c r="GO542" t="e">
        <v>#N/A</v>
      </c>
      <c r="GQ542" t="e">
        <v>#N/A</v>
      </c>
      <c r="GS542" t="e">
        <v>#N/A</v>
      </c>
      <c r="GU542" t="e">
        <v>#N/A</v>
      </c>
      <c r="GW542" t="e">
        <v>#N/A</v>
      </c>
      <c r="GY542" t="e">
        <v>#N/A</v>
      </c>
      <c r="HA542" t="e">
        <v>#N/A</v>
      </c>
      <c r="HC542">
        <v>0</v>
      </c>
      <c r="HD542">
        <v>0</v>
      </c>
      <c r="HE542">
        <v>0</v>
      </c>
      <c r="HF542">
        <v>0</v>
      </c>
      <c r="HG542">
        <v>0</v>
      </c>
      <c r="HH542">
        <v>0</v>
      </c>
      <c r="HI542">
        <v>0</v>
      </c>
      <c r="HJ542">
        <v>0</v>
      </c>
      <c r="HM542">
        <v>0</v>
      </c>
      <c r="HN542">
        <v>0</v>
      </c>
      <c r="HO542">
        <v>0</v>
      </c>
      <c r="HP542">
        <v>0</v>
      </c>
      <c r="HQ542">
        <v>0</v>
      </c>
      <c r="HR542">
        <v>0</v>
      </c>
      <c r="HS542">
        <v>0</v>
      </c>
      <c r="HT542">
        <v>0</v>
      </c>
      <c r="HW542">
        <v>0</v>
      </c>
      <c r="HX542">
        <v>0</v>
      </c>
      <c r="HY542">
        <v>0</v>
      </c>
      <c r="HZ542">
        <v>0</v>
      </c>
      <c r="IA542">
        <v>3930.6</v>
      </c>
      <c r="IB542">
        <v>3632.9</v>
      </c>
      <c r="IC542">
        <v>3795.5</v>
      </c>
      <c r="ID542">
        <v>0</v>
      </c>
      <c r="IE542">
        <v>0</v>
      </c>
      <c r="IF542">
        <v>3548.5</v>
      </c>
      <c r="IG542">
        <v>3395.2</v>
      </c>
      <c r="IH542">
        <v>3395.4</v>
      </c>
      <c r="II542">
        <v>3302.3</v>
      </c>
      <c r="IJ542">
        <v>3172.8</v>
      </c>
      <c r="IK542">
        <v>0</v>
      </c>
      <c r="IL542">
        <v>0</v>
      </c>
      <c r="IM542">
        <v>0</v>
      </c>
      <c r="IN542">
        <v>0</v>
      </c>
      <c r="IO542">
        <v>123.4</v>
      </c>
      <c r="IP542">
        <v>405.2</v>
      </c>
      <c r="IQ542">
        <v>418.7</v>
      </c>
      <c r="IR542">
        <v>0</v>
      </c>
      <c r="IS542">
        <v>0</v>
      </c>
      <c r="IT542">
        <v>0</v>
      </c>
      <c r="IU542">
        <v>0</v>
      </c>
      <c r="IV542">
        <v>396</v>
      </c>
      <c r="IW542">
        <v>0</v>
      </c>
      <c r="IX542">
        <v>0</v>
      </c>
      <c r="IZ542">
        <v>0</v>
      </c>
      <c r="JA542">
        <v>65.5</v>
      </c>
      <c r="JB542">
        <v>443.5</v>
      </c>
      <c r="JC542">
        <v>0</v>
      </c>
      <c r="JD542">
        <v>0</v>
      </c>
      <c r="JE542">
        <v>0</v>
      </c>
      <c r="JF542">
        <v>0</v>
      </c>
      <c r="JG542">
        <v>0</v>
      </c>
      <c r="JH542">
        <v>0</v>
      </c>
      <c r="JI542">
        <v>0</v>
      </c>
      <c r="JJ542">
        <v>0</v>
      </c>
      <c r="JK542">
        <v>0</v>
      </c>
      <c r="JL542">
        <v>0</v>
      </c>
      <c r="JM542">
        <v>0</v>
      </c>
      <c r="JN542">
        <v>0</v>
      </c>
      <c r="JO542">
        <v>0</v>
      </c>
      <c r="JP542">
        <v>0</v>
      </c>
      <c r="JQ542">
        <v>0</v>
      </c>
      <c r="JR542">
        <v>0</v>
      </c>
      <c r="JS542">
        <v>0</v>
      </c>
      <c r="JT542">
        <v>0</v>
      </c>
      <c r="JU542">
        <v>0</v>
      </c>
      <c r="JV542">
        <v>0</v>
      </c>
      <c r="JW542">
        <v>0</v>
      </c>
      <c r="JX542">
        <v>0</v>
      </c>
      <c r="JY542">
        <v>0</v>
      </c>
      <c r="JZ542">
        <v>0</v>
      </c>
      <c r="KA542">
        <v>0</v>
      </c>
      <c r="KB542">
        <v>0</v>
      </c>
      <c r="KC542">
        <v>0</v>
      </c>
      <c r="KD542">
        <v>0</v>
      </c>
      <c r="KE542">
        <v>0</v>
      </c>
      <c r="KF542">
        <v>0</v>
      </c>
      <c r="KI542">
        <v>344.6</v>
      </c>
      <c r="KJ542">
        <v>350.8</v>
      </c>
      <c r="KK542">
        <v>22.1</v>
      </c>
      <c r="KL542">
        <v>379.3</v>
      </c>
      <c r="KM542">
        <v>241.4</v>
      </c>
      <c r="KN542">
        <v>0</v>
      </c>
      <c r="KO542">
        <v>0</v>
      </c>
      <c r="KP542">
        <v>57.3</v>
      </c>
      <c r="KQ542">
        <v>224.4</v>
      </c>
      <c r="KR542">
        <v>338.3</v>
      </c>
      <c r="KS542">
        <v>215.8</v>
      </c>
      <c r="KT542">
        <v>40.700000000000003</v>
      </c>
      <c r="KW542">
        <v>2154.5</v>
      </c>
      <c r="KX542">
        <v>1255.7</v>
      </c>
      <c r="KY542">
        <v>1630.1</v>
      </c>
      <c r="KZ542">
        <v>1246.9000000000001</v>
      </c>
      <c r="LB542">
        <v>78.099999999999994</v>
      </c>
      <c r="LC542">
        <v>77.7</v>
      </c>
    </row>
    <row r="543" spans="1:315" ht="18.600000000000001" thickTop="1" thickBot="1">
      <c r="A543" s="243"/>
      <c r="B543" s="4"/>
      <c r="C543" s="344" t="s">
        <v>762</v>
      </c>
      <c r="D543" s="4"/>
      <c r="E543" s="443">
        <v>0</v>
      </c>
      <c r="F543" s="224">
        <v>0</v>
      </c>
      <c r="G543" s="427">
        <v>3413.8</v>
      </c>
      <c r="H543" s="155"/>
      <c r="I543">
        <v>735</v>
      </c>
      <c r="K543">
        <v>1973.1000000000001</v>
      </c>
      <c r="L543" s="4">
        <v>221.60000000000002</v>
      </c>
      <c r="M543" s="4">
        <v>54.9</v>
      </c>
      <c r="N543" s="4">
        <v>1989.7</v>
      </c>
      <c r="P543">
        <v>0</v>
      </c>
      <c r="Q543">
        <v>238.29999999999998</v>
      </c>
      <c r="R543">
        <v>0</v>
      </c>
      <c r="S543">
        <v>0</v>
      </c>
      <c r="T543">
        <v>368.5</v>
      </c>
      <c r="W543">
        <v>720.3</v>
      </c>
      <c r="X543">
        <v>1411.5</v>
      </c>
      <c r="Y543">
        <v>96.5</v>
      </c>
      <c r="AA543">
        <v>859.6</v>
      </c>
      <c r="AB543">
        <v>1577.6000000000001</v>
      </c>
      <c r="AE543">
        <v>1330</v>
      </c>
      <c r="AF543">
        <v>1025.5</v>
      </c>
      <c r="AH543">
        <v>509.9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1349.3</v>
      </c>
      <c r="AO543">
        <v>786.40000000000009</v>
      </c>
      <c r="AP543">
        <v>0</v>
      </c>
      <c r="AQ543">
        <v>68.3</v>
      </c>
      <c r="AR543">
        <v>234.9</v>
      </c>
      <c r="AS543">
        <v>600.40000000000009</v>
      </c>
      <c r="AU543">
        <v>985.69999999999993</v>
      </c>
      <c r="AW543">
        <v>792</v>
      </c>
      <c r="AX543">
        <v>1988.5</v>
      </c>
      <c r="AZ543">
        <v>763.5</v>
      </c>
      <c r="BA543">
        <v>0</v>
      </c>
      <c r="BB543">
        <v>0</v>
      </c>
      <c r="BC543">
        <v>1935.3</v>
      </c>
      <c r="BD543">
        <v>1006.5</v>
      </c>
      <c r="BE543">
        <v>0</v>
      </c>
      <c r="BF543">
        <v>0</v>
      </c>
      <c r="BG543">
        <v>0</v>
      </c>
      <c r="BH543">
        <v>1662.6</v>
      </c>
      <c r="BJ543">
        <v>0</v>
      </c>
      <c r="BK543">
        <v>0</v>
      </c>
      <c r="BL543">
        <v>1038.9000000000001</v>
      </c>
      <c r="BM543">
        <v>1101</v>
      </c>
      <c r="BO543">
        <v>1276.8000000000002</v>
      </c>
      <c r="BQ543">
        <v>0</v>
      </c>
      <c r="BR543">
        <v>270.7</v>
      </c>
      <c r="BS543">
        <v>230.5</v>
      </c>
      <c r="BT543">
        <v>472.3</v>
      </c>
      <c r="BU543">
        <v>537.29999999999995</v>
      </c>
      <c r="BV543">
        <v>346.3</v>
      </c>
      <c r="BW543">
        <v>386.2</v>
      </c>
      <c r="BX543">
        <v>767</v>
      </c>
      <c r="BY543">
        <v>757.2</v>
      </c>
      <c r="BZ543">
        <v>1037.2</v>
      </c>
      <c r="CA543">
        <v>1227.0999999999999</v>
      </c>
      <c r="CB543">
        <v>1232.0999999999999</v>
      </c>
      <c r="CC543">
        <v>1701.5</v>
      </c>
      <c r="CD543">
        <v>0</v>
      </c>
      <c r="CG543">
        <v>1385.3</v>
      </c>
      <c r="CJ543">
        <v>1630.2999999999997</v>
      </c>
      <c r="CM543">
        <v>1184.2</v>
      </c>
      <c r="CO543">
        <v>1248.0999999999999</v>
      </c>
      <c r="CQ543">
        <v>1435.3</v>
      </c>
      <c r="CR543">
        <v>798.2</v>
      </c>
      <c r="CS543">
        <v>923.8</v>
      </c>
      <c r="CT543">
        <v>0</v>
      </c>
      <c r="CU543">
        <v>0</v>
      </c>
      <c r="CV543">
        <v>0</v>
      </c>
      <c r="CW543">
        <v>0</v>
      </c>
      <c r="CX543">
        <v>163.69999999999999</v>
      </c>
      <c r="CY543">
        <v>0</v>
      </c>
      <c r="CZ543">
        <v>0</v>
      </c>
      <c r="DA543">
        <v>0</v>
      </c>
      <c r="DB543">
        <v>0</v>
      </c>
      <c r="DC543">
        <v>0</v>
      </c>
      <c r="DD543">
        <v>0</v>
      </c>
      <c r="DE543">
        <v>0</v>
      </c>
      <c r="DI543">
        <v>0</v>
      </c>
      <c r="EC543">
        <v>0</v>
      </c>
      <c r="ED543">
        <v>0</v>
      </c>
      <c r="EE543">
        <v>0</v>
      </c>
      <c r="EF543">
        <v>0</v>
      </c>
      <c r="EG543">
        <v>0</v>
      </c>
      <c r="EH543">
        <v>0</v>
      </c>
      <c r="EI543">
        <v>0</v>
      </c>
      <c r="EJ543">
        <v>0</v>
      </c>
      <c r="EM543">
        <v>0</v>
      </c>
      <c r="EN543">
        <v>0</v>
      </c>
      <c r="EO543">
        <v>0</v>
      </c>
      <c r="EP543">
        <v>0</v>
      </c>
      <c r="EQ543">
        <v>0</v>
      </c>
      <c r="ER543">
        <v>0</v>
      </c>
      <c r="ES543">
        <v>0</v>
      </c>
      <c r="ET543">
        <v>0</v>
      </c>
      <c r="EW543">
        <v>0</v>
      </c>
      <c r="EX543">
        <v>0</v>
      </c>
      <c r="EY543">
        <v>0</v>
      </c>
      <c r="EZ543">
        <v>0</v>
      </c>
      <c r="FA543">
        <v>0</v>
      </c>
      <c r="FB543">
        <v>0</v>
      </c>
      <c r="FC543">
        <v>0</v>
      </c>
      <c r="FD543">
        <v>0</v>
      </c>
      <c r="FG543" t="e">
        <v>#N/A</v>
      </c>
      <c r="FI543" t="e">
        <v>#N/A</v>
      </c>
      <c r="FK543" t="e">
        <v>#N/A</v>
      </c>
      <c r="FM543" t="e">
        <v>#N/A</v>
      </c>
      <c r="FO543" t="e">
        <v>#N/A</v>
      </c>
      <c r="FQ543" t="e">
        <v>#N/A</v>
      </c>
      <c r="FS543" t="e">
        <v>#N/A</v>
      </c>
      <c r="FU543" t="e">
        <v>#N/A</v>
      </c>
      <c r="FW543" t="e">
        <v>#N/A</v>
      </c>
      <c r="FY543" t="e">
        <v>#N/A</v>
      </c>
      <c r="GA543" t="e">
        <v>#N/A</v>
      </c>
      <c r="GC543" t="e">
        <v>#N/A</v>
      </c>
      <c r="GE543" t="e">
        <v>#N/A</v>
      </c>
      <c r="GG543" t="e">
        <v>#N/A</v>
      </c>
      <c r="GI543" t="e">
        <v>#N/A</v>
      </c>
      <c r="GK543" t="e">
        <v>#N/A</v>
      </c>
      <c r="GM543" t="e">
        <v>#N/A</v>
      </c>
      <c r="GO543" t="e">
        <v>#N/A</v>
      </c>
      <c r="GQ543" t="e">
        <v>#N/A</v>
      </c>
      <c r="GS543" t="e">
        <v>#N/A</v>
      </c>
      <c r="GU543" t="e">
        <v>#N/A</v>
      </c>
      <c r="GW543" t="e">
        <v>#N/A</v>
      </c>
      <c r="GY543" t="e">
        <v>#N/A</v>
      </c>
      <c r="HA543" t="e">
        <v>#N/A</v>
      </c>
      <c r="HC543">
        <v>0</v>
      </c>
      <c r="HD543">
        <v>0</v>
      </c>
      <c r="HE543">
        <v>0</v>
      </c>
      <c r="HF543">
        <v>0</v>
      </c>
      <c r="HG543">
        <v>0</v>
      </c>
      <c r="HH543">
        <v>0</v>
      </c>
      <c r="HI543">
        <v>0</v>
      </c>
      <c r="HJ543">
        <v>0</v>
      </c>
      <c r="HM543">
        <v>0</v>
      </c>
      <c r="HN543">
        <v>0</v>
      </c>
      <c r="HO543">
        <v>0</v>
      </c>
      <c r="HP543">
        <v>0</v>
      </c>
      <c r="HQ543">
        <v>0</v>
      </c>
      <c r="HR543">
        <v>0</v>
      </c>
      <c r="HS543">
        <v>0</v>
      </c>
      <c r="HT543">
        <v>0</v>
      </c>
      <c r="HW543">
        <v>0</v>
      </c>
      <c r="HX543">
        <v>0</v>
      </c>
      <c r="HY543">
        <v>0</v>
      </c>
      <c r="HZ543">
        <v>0</v>
      </c>
      <c r="IA543">
        <v>3930.6</v>
      </c>
      <c r="IB543">
        <v>3632.9</v>
      </c>
      <c r="IC543">
        <v>3795.5</v>
      </c>
      <c r="ID543">
        <v>0</v>
      </c>
      <c r="IE543">
        <v>0</v>
      </c>
      <c r="IF543">
        <v>3548.5</v>
      </c>
      <c r="IG543">
        <v>3395.2</v>
      </c>
      <c r="IH543">
        <v>3395.4</v>
      </c>
      <c r="II543">
        <v>3302.3</v>
      </c>
      <c r="IJ543">
        <v>3172.8</v>
      </c>
      <c r="IK543">
        <v>0</v>
      </c>
      <c r="IL543">
        <v>0</v>
      </c>
      <c r="IM543">
        <v>0</v>
      </c>
      <c r="IN543">
        <v>0</v>
      </c>
      <c r="IO543">
        <v>123.4</v>
      </c>
      <c r="IP543">
        <v>405.2</v>
      </c>
      <c r="IQ543">
        <v>418.7</v>
      </c>
      <c r="IR543">
        <v>0</v>
      </c>
      <c r="IS543">
        <v>0</v>
      </c>
      <c r="IT543">
        <v>0</v>
      </c>
      <c r="IU543">
        <v>0</v>
      </c>
      <c r="IV543">
        <v>396</v>
      </c>
      <c r="IW543">
        <v>0</v>
      </c>
      <c r="IX543">
        <v>0</v>
      </c>
      <c r="IZ543">
        <v>0</v>
      </c>
      <c r="JA543">
        <v>65.5</v>
      </c>
      <c r="JB543">
        <v>443.5</v>
      </c>
      <c r="JC543">
        <v>0</v>
      </c>
      <c r="JD543">
        <v>0</v>
      </c>
      <c r="JE543">
        <v>0</v>
      </c>
      <c r="JF543">
        <v>0</v>
      </c>
      <c r="JG543">
        <v>0</v>
      </c>
      <c r="JH543">
        <v>0</v>
      </c>
      <c r="JI543">
        <v>0</v>
      </c>
      <c r="JJ543">
        <v>0</v>
      </c>
      <c r="JK543">
        <v>0</v>
      </c>
      <c r="JL543">
        <v>0</v>
      </c>
      <c r="JM543">
        <v>0</v>
      </c>
      <c r="JN543">
        <v>0</v>
      </c>
      <c r="JO543">
        <v>0</v>
      </c>
      <c r="JP543">
        <v>0</v>
      </c>
      <c r="JQ543">
        <v>0</v>
      </c>
      <c r="JR543">
        <v>0</v>
      </c>
      <c r="JS543">
        <v>0</v>
      </c>
      <c r="JT543">
        <v>0</v>
      </c>
      <c r="JU543">
        <v>0</v>
      </c>
      <c r="JV543">
        <v>0</v>
      </c>
      <c r="JW543">
        <v>0</v>
      </c>
      <c r="JX543">
        <v>0</v>
      </c>
      <c r="JY543">
        <v>0</v>
      </c>
      <c r="JZ543">
        <v>0</v>
      </c>
      <c r="KA543">
        <v>0</v>
      </c>
      <c r="KB543">
        <v>0</v>
      </c>
      <c r="KC543">
        <v>0</v>
      </c>
      <c r="KD543">
        <v>0</v>
      </c>
      <c r="KE543">
        <v>0</v>
      </c>
      <c r="KF543">
        <v>0</v>
      </c>
      <c r="KI543">
        <v>344.6</v>
      </c>
      <c r="KJ543">
        <v>350.8</v>
      </c>
      <c r="KK543">
        <v>22.1</v>
      </c>
      <c r="KL543">
        <v>379.3</v>
      </c>
      <c r="KM543">
        <v>241.4</v>
      </c>
      <c r="KN543">
        <v>0</v>
      </c>
      <c r="KO543">
        <v>0</v>
      </c>
      <c r="KP543">
        <v>57.3</v>
      </c>
      <c r="KQ543">
        <v>224.4</v>
      </c>
      <c r="KR543">
        <v>338.3</v>
      </c>
      <c r="KS543">
        <v>215.8</v>
      </c>
      <c r="KT543">
        <v>40.700000000000003</v>
      </c>
      <c r="KW543">
        <v>2154.5</v>
      </c>
      <c r="KX543">
        <v>1255.7</v>
      </c>
      <c r="KY543">
        <v>1630.1</v>
      </c>
      <c r="KZ543">
        <v>1246.9000000000001</v>
      </c>
      <c r="LB543">
        <v>78.099999999999994</v>
      </c>
      <c r="LC543">
        <v>77.7</v>
      </c>
    </row>
    <row r="544" spans="1:315" ht="18" thickBot="1">
      <c r="A544" s="254"/>
      <c r="B544" s="4"/>
      <c r="C544" s="357" t="s">
        <v>763</v>
      </c>
      <c r="D544" s="4"/>
      <c r="E544" s="456">
        <v>0</v>
      </c>
      <c r="F544" s="225">
        <v>0</v>
      </c>
      <c r="G544" s="427">
        <v>3413.8</v>
      </c>
      <c r="H544" s="155"/>
      <c r="I544" s="313">
        <v>735</v>
      </c>
      <c r="K544">
        <v>1973.1000000000001</v>
      </c>
      <c r="L544" s="4">
        <v>221.60000000000002</v>
      </c>
      <c r="M544" s="4">
        <v>54.9</v>
      </c>
      <c r="N544" s="4">
        <v>1989.7</v>
      </c>
      <c r="P544">
        <v>0</v>
      </c>
      <c r="Q544">
        <v>238.29999999999998</v>
      </c>
      <c r="R544">
        <v>0</v>
      </c>
      <c r="S544">
        <v>0</v>
      </c>
      <c r="T544">
        <v>368.5</v>
      </c>
      <c r="W544">
        <v>720.3</v>
      </c>
      <c r="X544">
        <v>1411.5</v>
      </c>
      <c r="Y544">
        <v>96.5</v>
      </c>
      <c r="AA544">
        <v>859.6</v>
      </c>
      <c r="AB544">
        <v>1577.6000000000001</v>
      </c>
      <c r="AE544">
        <v>1330</v>
      </c>
      <c r="AF544">
        <v>1025.5</v>
      </c>
      <c r="AH544">
        <v>509.9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1349.3</v>
      </c>
      <c r="AO544">
        <v>786.40000000000009</v>
      </c>
      <c r="AP544">
        <v>0</v>
      </c>
      <c r="AQ544">
        <v>68.3</v>
      </c>
      <c r="AR544">
        <v>234.9</v>
      </c>
      <c r="AS544">
        <v>600.40000000000009</v>
      </c>
      <c r="AU544">
        <v>985.69999999999993</v>
      </c>
      <c r="AW544">
        <v>792</v>
      </c>
      <c r="AX544">
        <v>1988.5</v>
      </c>
      <c r="AZ544">
        <v>763.5</v>
      </c>
      <c r="BA544">
        <v>0</v>
      </c>
      <c r="BB544">
        <v>0</v>
      </c>
      <c r="BC544">
        <v>1935.3</v>
      </c>
      <c r="BD544">
        <v>1006.5</v>
      </c>
      <c r="BE544">
        <v>0</v>
      </c>
      <c r="BF544">
        <v>0</v>
      </c>
      <c r="BG544">
        <v>0</v>
      </c>
      <c r="BH544">
        <v>1662.6</v>
      </c>
      <c r="BJ544">
        <v>0</v>
      </c>
      <c r="BK544">
        <v>0</v>
      </c>
      <c r="BL544">
        <v>1038.9000000000001</v>
      </c>
      <c r="BM544">
        <v>1101</v>
      </c>
      <c r="BO544">
        <v>1276.8000000000002</v>
      </c>
      <c r="BQ544">
        <v>0</v>
      </c>
      <c r="BR544">
        <v>270.7</v>
      </c>
      <c r="BS544">
        <v>230.5</v>
      </c>
      <c r="BT544">
        <v>472.3</v>
      </c>
      <c r="BU544">
        <v>537.29999999999995</v>
      </c>
      <c r="BV544">
        <v>346.3</v>
      </c>
      <c r="BW544">
        <v>386.2</v>
      </c>
      <c r="BX544">
        <v>767</v>
      </c>
      <c r="BY544">
        <v>757.2</v>
      </c>
      <c r="BZ544">
        <v>1037.2</v>
      </c>
      <c r="CA544">
        <v>1227.0999999999999</v>
      </c>
      <c r="CB544">
        <v>1232.0999999999999</v>
      </c>
      <c r="CC544">
        <v>1701.5</v>
      </c>
      <c r="CD544">
        <v>0</v>
      </c>
      <c r="CG544">
        <v>1385.3</v>
      </c>
      <c r="CJ544">
        <v>1630.2999999999997</v>
      </c>
      <c r="CM544">
        <v>1184.2</v>
      </c>
      <c r="CO544">
        <v>1248.0999999999999</v>
      </c>
      <c r="CQ544">
        <v>1435.3</v>
      </c>
      <c r="CR544">
        <v>798.2</v>
      </c>
      <c r="CS544">
        <v>923.8</v>
      </c>
      <c r="CT544">
        <v>0</v>
      </c>
      <c r="CU544">
        <v>0</v>
      </c>
      <c r="CV544">
        <v>0</v>
      </c>
      <c r="CW544">
        <v>0</v>
      </c>
      <c r="CX544">
        <v>163.69999999999999</v>
      </c>
      <c r="CY544">
        <v>0</v>
      </c>
      <c r="CZ544">
        <v>0</v>
      </c>
      <c r="DA544">
        <v>0</v>
      </c>
      <c r="DB544">
        <v>0</v>
      </c>
      <c r="DC544">
        <v>0</v>
      </c>
      <c r="DD544">
        <v>0</v>
      </c>
      <c r="DE544">
        <v>0</v>
      </c>
      <c r="DI544">
        <v>0</v>
      </c>
      <c r="EC544">
        <v>0</v>
      </c>
      <c r="ED544">
        <v>0</v>
      </c>
      <c r="EE544">
        <v>0</v>
      </c>
      <c r="EF544">
        <v>0</v>
      </c>
      <c r="EG544">
        <v>0</v>
      </c>
      <c r="EH544">
        <v>0</v>
      </c>
      <c r="EI544">
        <v>0</v>
      </c>
      <c r="EJ544">
        <v>0</v>
      </c>
      <c r="EM544">
        <v>0</v>
      </c>
      <c r="EN544">
        <v>0</v>
      </c>
      <c r="EO544">
        <v>0</v>
      </c>
      <c r="EP544">
        <v>0</v>
      </c>
      <c r="EQ544">
        <v>0</v>
      </c>
      <c r="ER544">
        <v>0</v>
      </c>
      <c r="ES544">
        <v>0</v>
      </c>
      <c r="ET544">
        <v>0</v>
      </c>
      <c r="EW544">
        <v>0</v>
      </c>
      <c r="EX544">
        <v>0</v>
      </c>
      <c r="EY544">
        <v>0</v>
      </c>
      <c r="EZ544">
        <v>0</v>
      </c>
      <c r="FA544">
        <v>0</v>
      </c>
      <c r="FB544">
        <v>0</v>
      </c>
      <c r="FC544">
        <v>0</v>
      </c>
      <c r="FD544">
        <v>0</v>
      </c>
      <c r="FG544" t="e">
        <v>#N/A</v>
      </c>
      <c r="FI544" t="e">
        <v>#N/A</v>
      </c>
      <c r="FK544" t="e">
        <v>#N/A</v>
      </c>
      <c r="FM544" t="e">
        <v>#N/A</v>
      </c>
      <c r="FO544" t="e">
        <v>#N/A</v>
      </c>
      <c r="FQ544" t="e">
        <v>#N/A</v>
      </c>
      <c r="FS544" t="e">
        <v>#N/A</v>
      </c>
      <c r="FU544" t="e">
        <v>#N/A</v>
      </c>
      <c r="FW544" t="e">
        <v>#N/A</v>
      </c>
      <c r="FY544" t="e">
        <v>#N/A</v>
      </c>
      <c r="GA544" t="e">
        <v>#N/A</v>
      </c>
      <c r="GC544" t="e">
        <v>#N/A</v>
      </c>
      <c r="GE544" t="e">
        <v>#N/A</v>
      </c>
      <c r="GG544" t="e">
        <v>#N/A</v>
      </c>
      <c r="GI544" t="e">
        <v>#N/A</v>
      </c>
      <c r="GK544" t="e">
        <v>#N/A</v>
      </c>
      <c r="GM544" t="e">
        <v>#N/A</v>
      </c>
      <c r="GO544" t="e">
        <v>#N/A</v>
      </c>
      <c r="GQ544" t="e">
        <v>#N/A</v>
      </c>
      <c r="GS544" t="e">
        <v>#N/A</v>
      </c>
      <c r="GU544" t="e">
        <v>#N/A</v>
      </c>
      <c r="GW544" t="e">
        <v>#N/A</v>
      </c>
      <c r="GY544" t="e">
        <v>#N/A</v>
      </c>
      <c r="HA544" t="e">
        <v>#N/A</v>
      </c>
      <c r="HC544">
        <v>0</v>
      </c>
      <c r="HD544">
        <v>0</v>
      </c>
      <c r="HE544">
        <v>0</v>
      </c>
      <c r="HF544">
        <v>0</v>
      </c>
      <c r="HG544">
        <v>0</v>
      </c>
      <c r="HH544">
        <v>0</v>
      </c>
      <c r="HI544">
        <v>0</v>
      </c>
      <c r="HJ544">
        <v>0</v>
      </c>
      <c r="HM544">
        <v>0</v>
      </c>
      <c r="HN544">
        <v>0</v>
      </c>
      <c r="HO544">
        <v>0</v>
      </c>
      <c r="HP544">
        <v>0</v>
      </c>
      <c r="HQ544">
        <v>0</v>
      </c>
      <c r="HR544">
        <v>0</v>
      </c>
      <c r="HS544">
        <v>0</v>
      </c>
      <c r="HT544">
        <v>0</v>
      </c>
      <c r="HW544">
        <v>0</v>
      </c>
      <c r="HX544">
        <v>0</v>
      </c>
      <c r="HY544">
        <v>0</v>
      </c>
      <c r="HZ544">
        <v>0</v>
      </c>
      <c r="IA544">
        <v>3930.6</v>
      </c>
      <c r="IB544">
        <v>3632.9</v>
      </c>
      <c r="IC544">
        <v>3795.5</v>
      </c>
      <c r="ID544">
        <v>0</v>
      </c>
      <c r="IE544">
        <v>0</v>
      </c>
      <c r="IF544">
        <v>3548.5</v>
      </c>
      <c r="IG544">
        <v>3395.2</v>
      </c>
      <c r="IH544">
        <v>3395.4</v>
      </c>
      <c r="II544">
        <v>3302.3</v>
      </c>
      <c r="IJ544">
        <v>3172.8</v>
      </c>
      <c r="IK544">
        <v>0</v>
      </c>
      <c r="IL544">
        <v>0</v>
      </c>
      <c r="IM544">
        <v>0</v>
      </c>
      <c r="IN544">
        <v>0</v>
      </c>
      <c r="IO544">
        <v>123.4</v>
      </c>
      <c r="IP544">
        <v>405.2</v>
      </c>
      <c r="IQ544">
        <v>418.7</v>
      </c>
      <c r="IR544">
        <v>0</v>
      </c>
      <c r="IS544">
        <v>0</v>
      </c>
      <c r="IT544">
        <v>0</v>
      </c>
      <c r="IU544">
        <v>0</v>
      </c>
      <c r="IV544">
        <v>396</v>
      </c>
      <c r="IW544">
        <v>0</v>
      </c>
      <c r="IX544">
        <v>0</v>
      </c>
      <c r="IZ544">
        <v>0</v>
      </c>
      <c r="JA544">
        <v>65.5</v>
      </c>
      <c r="JB544">
        <v>443.5</v>
      </c>
      <c r="JC544">
        <v>0</v>
      </c>
      <c r="JD544">
        <v>0</v>
      </c>
      <c r="JE544">
        <v>0</v>
      </c>
      <c r="JF544">
        <v>0</v>
      </c>
      <c r="JG544">
        <v>0</v>
      </c>
      <c r="JH544">
        <v>0</v>
      </c>
      <c r="JI544">
        <v>0</v>
      </c>
      <c r="JJ544">
        <v>0</v>
      </c>
      <c r="JK544">
        <v>0</v>
      </c>
      <c r="JL544">
        <v>0</v>
      </c>
      <c r="JM544">
        <v>0</v>
      </c>
      <c r="JN544">
        <v>0</v>
      </c>
      <c r="JO544">
        <v>0</v>
      </c>
      <c r="JP544">
        <v>0</v>
      </c>
      <c r="JQ544">
        <v>0</v>
      </c>
      <c r="JR544">
        <v>0</v>
      </c>
      <c r="JS544">
        <v>0</v>
      </c>
      <c r="JT544">
        <v>0</v>
      </c>
      <c r="JU544">
        <v>0</v>
      </c>
      <c r="JV544">
        <v>0</v>
      </c>
      <c r="JW544">
        <v>0</v>
      </c>
      <c r="JX544">
        <v>0</v>
      </c>
      <c r="JY544">
        <v>0</v>
      </c>
      <c r="JZ544">
        <v>0</v>
      </c>
      <c r="KA544">
        <v>0</v>
      </c>
      <c r="KB544">
        <v>0</v>
      </c>
      <c r="KC544">
        <v>0</v>
      </c>
      <c r="KD544">
        <v>0</v>
      </c>
      <c r="KE544">
        <v>0</v>
      </c>
      <c r="KF544">
        <v>0</v>
      </c>
      <c r="KI544">
        <v>344.6</v>
      </c>
      <c r="KJ544">
        <v>350.8</v>
      </c>
      <c r="KK544">
        <v>22.1</v>
      </c>
      <c r="KL544">
        <v>379.3</v>
      </c>
      <c r="KM544">
        <v>241.4</v>
      </c>
      <c r="KN544">
        <v>0</v>
      </c>
      <c r="KO544">
        <v>0</v>
      </c>
      <c r="KP544">
        <v>57.3</v>
      </c>
      <c r="KQ544">
        <v>224.4</v>
      </c>
      <c r="KR544">
        <v>338.3</v>
      </c>
      <c r="KS544">
        <v>215.8</v>
      </c>
      <c r="KT544">
        <v>40.700000000000003</v>
      </c>
      <c r="KW544">
        <v>2154.5</v>
      </c>
      <c r="KX544">
        <v>1255.7</v>
      </c>
      <c r="KY544">
        <v>1630.1</v>
      </c>
      <c r="KZ544">
        <v>1246.9000000000001</v>
      </c>
      <c r="LB544">
        <v>78.099999999999994</v>
      </c>
      <c r="LC544">
        <v>77.7</v>
      </c>
    </row>
    <row r="545" spans="1:250" ht="18.600000000000001" thickTop="1" thickBot="1">
      <c r="A545" s="477"/>
      <c r="B545" s="477" t="s">
        <v>909</v>
      </c>
      <c r="C545" s="478"/>
      <c r="D545" s="479"/>
      <c r="E545" s="473">
        <v>0</v>
      </c>
      <c r="F545" s="474">
        <v>0</v>
      </c>
      <c r="G545" s="475">
        <v>0</v>
      </c>
      <c r="H545" s="476">
        <v>0</v>
      </c>
      <c r="I545" s="189">
        <v>0</v>
      </c>
      <c r="J545" s="313">
        <v>0</v>
      </c>
      <c r="K545">
        <v>0</v>
      </c>
      <c r="L545" s="4">
        <v>0</v>
      </c>
      <c r="M545" s="4">
        <v>0</v>
      </c>
      <c r="N545" s="4">
        <v>0</v>
      </c>
      <c r="O545" s="4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R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G545">
        <v>0</v>
      </c>
      <c r="BI545">
        <v>0</v>
      </c>
      <c r="BK545">
        <v>0</v>
      </c>
      <c r="BL545">
        <v>0</v>
      </c>
      <c r="BM545">
        <v>0</v>
      </c>
      <c r="BN545">
        <v>0</v>
      </c>
      <c r="BO545">
        <v>344.70000000000005</v>
      </c>
      <c r="BP545">
        <v>625.70000000000005</v>
      </c>
      <c r="BQ545">
        <v>912.2</v>
      </c>
      <c r="BR545">
        <v>237.7</v>
      </c>
      <c r="BS545">
        <v>0</v>
      </c>
      <c r="BT545">
        <v>0</v>
      </c>
      <c r="BU545">
        <v>0</v>
      </c>
      <c r="BV545">
        <v>0</v>
      </c>
      <c r="BW545">
        <v>1647.4</v>
      </c>
      <c r="BY545">
        <v>453.1</v>
      </c>
      <c r="CA545">
        <v>285.39999999999998</v>
      </c>
      <c r="CB545">
        <v>280.8</v>
      </c>
      <c r="CC545">
        <v>127.7</v>
      </c>
      <c r="CD545">
        <v>0</v>
      </c>
      <c r="CE545">
        <v>0</v>
      </c>
      <c r="CF545">
        <v>0</v>
      </c>
      <c r="CG545">
        <v>0</v>
      </c>
      <c r="CI545">
        <v>0</v>
      </c>
      <c r="CJ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621.70000000000005</v>
      </c>
      <c r="CR545">
        <v>481.70000000000005</v>
      </c>
      <c r="CS545">
        <v>0</v>
      </c>
      <c r="CT545">
        <v>524.6</v>
      </c>
      <c r="CU545">
        <v>514.1</v>
      </c>
      <c r="CV545">
        <v>175.2</v>
      </c>
      <c r="CW545">
        <v>0</v>
      </c>
      <c r="CX545">
        <v>65.099999999999994</v>
      </c>
      <c r="CY545">
        <v>199</v>
      </c>
      <c r="CZ545">
        <v>1907.9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1065.4000000000001</v>
      </c>
      <c r="DN545">
        <v>599.70000000000005</v>
      </c>
      <c r="DO545">
        <v>319.7</v>
      </c>
      <c r="DP545">
        <v>1570.6999999999998</v>
      </c>
      <c r="DQ545">
        <v>1399.5</v>
      </c>
      <c r="DR545">
        <v>3581</v>
      </c>
      <c r="DU545">
        <v>1393.2</v>
      </c>
      <c r="DV545">
        <v>2862.6</v>
      </c>
      <c r="DY545">
        <v>2361</v>
      </c>
      <c r="EA545">
        <v>2409.6</v>
      </c>
      <c r="EC545">
        <v>1661.3999999999999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944.5</v>
      </c>
      <c r="EQ545">
        <v>3459.7</v>
      </c>
      <c r="ER545">
        <v>1353.5</v>
      </c>
      <c r="ES545">
        <v>182.2</v>
      </c>
      <c r="ET545">
        <v>855.59999999999991</v>
      </c>
      <c r="EU545">
        <v>172.2</v>
      </c>
      <c r="EV545">
        <v>203.2</v>
      </c>
      <c r="EW545">
        <v>1173.0999999999999</v>
      </c>
      <c r="EX545">
        <v>1078.3</v>
      </c>
      <c r="EY545">
        <v>1194.4000000000001</v>
      </c>
      <c r="EZ545">
        <v>1207.0999999999999</v>
      </c>
      <c r="FA545">
        <v>0</v>
      </c>
      <c r="FB545">
        <v>0</v>
      </c>
      <c r="FC545">
        <v>0</v>
      </c>
      <c r="FD545">
        <v>0</v>
      </c>
      <c r="FE545">
        <v>0</v>
      </c>
      <c r="FF545">
        <v>0</v>
      </c>
      <c r="FG545">
        <v>0</v>
      </c>
      <c r="FH545">
        <v>0</v>
      </c>
      <c r="FI545">
        <v>0</v>
      </c>
      <c r="FJ545">
        <v>0</v>
      </c>
      <c r="FK545">
        <v>0</v>
      </c>
      <c r="FL545">
        <v>0</v>
      </c>
      <c r="FM545">
        <v>0</v>
      </c>
      <c r="FN545">
        <v>0</v>
      </c>
      <c r="FO545">
        <v>0</v>
      </c>
      <c r="FP545">
        <v>0</v>
      </c>
      <c r="FQ545">
        <v>0</v>
      </c>
      <c r="FR545">
        <v>0</v>
      </c>
      <c r="FS545">
        <v>0</v>
      </c>
      <c r="FT545">
        <v>0</v>
      </c>
      <c r="FU545">
        <v>0</v>
      </c>
      <c r="FV545">
        <v>0</v>
      </c>
      <c r="FW545">
        <v>0</v>
      </c>
      <c r="FX545">
        <v>0</v>
      </c>
      <c r="FY545">
        <v>0</v>
      </c>
      <c r="FZ545">
        <v>0</v>
      </c>
      <c r="GA545">
        <v>0</v>
      </c>
      <c r="GB545">
        <v>0</v>
      </c>
      <c r="GC545">
        <v>0</v>
      </c>
      <c r="GD545">
        <v>0</v>
      </c>
      <c r="GE545">
        <v>0</v>
      </c>
      <c r="GF545">
        <v>0</v>
      </c>
      <c r="GG545">
        <v>0</v>
      </c>
      <c r="GH545">
        <v>0</v>
      </c>
      <c r="GI545">
        <v>0</v>
      </c>
      <c r="GJ545">
        <v>0</v>
      </c>
      <c r="GK545">
        <v>0</v>
      </c>
      <c r="GL545">
        <v>0</v>
      </c>
      <c r="GO545">
        <v>0</v>
      </c>
      <c r="GP545">
        <v>0</v>
      </c>
      <c r="GQ545">
        <v>0</v>
      </c>
      <c r="GR545">
        <v>0</v>
      </c>
      <c r="GS545">
        <v>0</v>
      </c>
      <c r="GT545">
        <v>0</v>
      </c>
      <c r="GU545">
        <v>0</v>
      </c>
      <c r="GV545">
        <v>0</v>
      </c>
      <c r="GW545">
        <v>0</v>
      </c>
      <c r="GX545">
        <v>0</v>
      </c>
      <c r="GY545">
        <v>0</v>
      </c>
      <c r="GZ545">
        <v>0</v>
      </c>
      <c r="HA545">
        <v>0</v>
      </c>
      <c r="HB545">
        <v>0</v>
      </c>
      <c r="HC545">
        <v>0</v>
      </c>
      <c r="HD545">
        <v>0</v>
      </c>
      <c r="HE545">
        <v>0</v>
      </c>
      <c r="HF545">
        <v>0</v>
      </c>
      <c r="HG545">
        <v>0</v>
      </c>
      <c r="HH545">
        <v>0</v>
      </c>
      <c r="HI545">
        <v>0</v>
      </c>
      <c r="HJ545">
        <v>0</v>
      </c>
      <c r="HK545">
        <v>0</v>
      </c>
      <c r="HL545">
        <v>0</v>
      </c>
      <c r="HM545">
        <v>0</v>
      </c>
      <c r="HN545">
        <v>0</v>
      </c>
      <c r="HO545">
        <v>0</v>
      </c>
      <c r="HP545">
        <v>0</v>
      </c>
      <c r="HQ545">
        <v>0</v>
      </c>
      <c r="HR545">
        <v>0</v>
      </c>
      <c r="HS545">
        <v>0</v>
      </c>
      <c r="HT545">
        <v>0</v>
      </c>
      <c r="HU545">
        <v>0</v>
      </c>
      <c r="HV545">
        <v>0</v>
      </c>
      <c r="HW545">
        <v>404.70000000000005</v>
      </c>
      <c r="HX545">
        <v>342.3</v>
      </c>
      <c r="HZ545">
        <v>866.2</v>
      </c>
      <c r="IA545">
        <v>1142.8</v>
      </c>
      <c r="IB545">
        <v>1121.5</v>
      </c>
      <c r="IC545">
        <v>2403</v>
      </c>
      <c r="ID545">
        <v>2659.3</v>
      </c>
      <c r="IE545">
        <v>1923.4</v>
      </c>
      <c r="IF545">
        <v>1465.7</v>
      </c>
      <c r="IG545">
        <v>1608.3</v>
      </c>
      <c r="IH545">
        <v>0</v>
      </c>
      <c r="II545">
        <v>0</v>
      </c>
      <c r="IJ545">
        <v>0</v>
      </c>
      <c r="IK545">
        <v>0</v>
      </c>
      <c r="IL545">
        <v>0</v>
      </c>
      <c r="IM545">
        <v>0</v>
      </c>
      <c r="IN545">
        <v>0</v>
      </c>
      <c r="IO545">
        <v>0</v>
      </c>
      <c r="IP545">
        <v>75.099999999999994</v>
      </c>
    </row>
    <row r="546" spans="1:250" ht="18" thickBot="1">
      <c r="A546" s="245"/>
      <c r="B546" s="245" t="s">
        <v>910</v>
      </c>
      <c r="C546" s="332" t="s">
        <v>1006</v>
      </c>
      <c r="D546" s="396"/>
      <c r="E546" s="454">
        <v>0</v>
      </c>
      <c r="F546">
        <v>0</v>
      </c>
      <c r="G546" s="427">
        <v>0</v>
      </c>
      <c r="H546" s="155">
        <v>0</v>
      </c>
      <c r="I546">
        <v>0</v>
      </c>
      <c r="J546">
        <v>0</v>
      </c>
      <c r="K546">
        <v>0</v>
      </c>
      <c r="L546" s="4">
        <v>0</v>
      </c>
      <c r="M546" s="4">
        <v>0</v>
      </c>
      <c r="N546" s="4">
        <v>0</v>
      </c>
      <c r="O546" s="4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R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G546">
        <v>0</v>
      </c>
      <c r="BI546">
        <v>0</v>
      </c>
      <c r="BK546">
        <v>0</v>
      </c>
      <c r="BL546">
        <v>0</v>
      </c>
      <c r="BM546">
        <v>0</v>
      </c>
      <c r="BN546">
        <v>0</v>
      </c>
      <c r="BO546">
        <v>344.70000000000005</v>
      </c>
      <c r="BP546">
        <v>625.70000000000005</v>
      </c>
      <c r="BQ546">
        <v>912.2</v>
      </c>
      <c r="BR546">
        <v>237.7</v>
      </c>
      <c r="BS546">
        <v>0</v>
      </c>
      <c r="BT546">
        <v>0</v>
      </c>
      <c r="BU546">
        <v>0</v>
      </c>
      <c r="BV546">
        <v>0</v>
      </c>
      <c r="BW546">
        <v>1647.4</v>
      </c>
      <c r="BY546">
        <v>453.1</v>
      </c>
      <c r="CA546">
        <v>285.39999999999998</v>
      </c>
      <c r="CB546">
        <v>280.8</v>
      </c>
      <c r="CC546">
        <v>127.7</v>
      </c>
      <c r="CD546">
        <v>0</v>
      </c>
      <c r="CE546">
        <v>0</v>
      </c>
      <c r="CF546">
        <v>0</v>
      </c>
      <c r="CG546">
        <v>0</v>
      </c>
      <c r="CI546">
        <v>0</v>
      </c>
      <c r="CJ546">
        <v>0</v>
      </c>
      <c r="CL546">
        <v>0</v>
      </c>
      <c r="CM546">
        <v>0</v>
      </c>
      <c r="CN546">
        <v>0</v>
      </c>
      <c r="CO546">
        <v>0</v>
      </c>
      <c r="CP546">
        <v>0</v>
      </c>
      <c r="CQ546">
        <v>621.70000000000005</v>
      </c>
      <c r="CR546">
        <v>481.70000000000005</v>
      </c>
      <c r="CS546">
        <v>0</v>
      </c>
      <c r="CT546">
        <v>524.6</v>
      </c>
      <c r="CU546">
        <v>514.1</v>
      </c>
      <c r="CV546">
        <v>175.2</v>
      </c>
      <c r="CW546">
        <v>0</v>
      </c>
      <c r="CX546">
        <v>65.099999999999994</v>
      </c>
      <c r="CY546">
        <v>199</v>
      </c>
      <c r="CZ546">
        <v>1907.9</v>
      </c>
      <c r="DA546">
        <v>0</v>
      </c>
      <c r="DB546">
        <v>0</v>
      </c>
      <c r="DC546">
        <v>0</v>
      </c>
      <c r="DD546">
        <v>0</v>
      </c>
      <c r="DE546">
        <v>0</v>
      </c>
      <c r="DF546">
        <v>0</v>
      </c>
      <c r="DG546">
        <v>0</v>
      </c>
      <c r="DH546">
        <v>0</v>
      </c>
      <c r="DI546">
        <v>0</v>
      </c>
      <c r="DJ546">
        <v>0</v>
      </c>
      <c r="DK546">
        <v>0</v>
      </c>
      <c r="DL546">
        <v>0</v>
      </c>
      <c r="DM546">
        <v>1065.4000000000001</v>
      </c>
      <c r="DN546">
        <v>599.70000000000005</v>
      </c>
      <c r="DO546">
        <v>319.7</v>
      </c>
      <c r="DP546">
        <v>1570.6999999999998</v>
      </c>
      <c r="DQ546">
        <v>1399.5</v>
      </c>
      <c r="DR546">
        <v>3581</v>
      </c>
      <c r="DU546">
        <v>1393.2</v>
      </c>
      <c r="DV546">
        <v>2862.6</v>
      </c>
      <c r="DY546">
        <v>2361</v>
      </c>
      <c r="EA546">
        <v>2409.6</v>
      </c>
      <c r="EC546">
        <v>1661.3999999999999</v>
      </c>
      <c r="EE546">
        <v>0</v>
      </c>
      <c r="EF546">
        <v>0</v>
      </c>
      <c r="EG546">
        <v>0</v>
      </c>
      <c r="EH546">
        <v>0</v>
      </c>
      <c r="EI546">
        <v>0</v>
      </c>
      <c r="EJ546">
        <v>0</v>
      </c>
      <c r="EK546">
        <v>0</v>
      </c>
      <c r="EL546">
        <v>0</v>
      </c>
      <c r="EM546">
        <v>0</v>
      </c>
      <c r="EN546">
        <v>0</v>
      </c>
      <c r="EO546">
        <v>0</v>
      </c>
      <c r="EP546">
        <v>944.5</v>
      </c>
      <c r="EQ546">
        <v>3459.7</v>
      </c>
      <c r="ER546">
        <v>1353.5</v>
      </c>
      <c r="ES546">
        <v>182.2</v>
      </c>
      <c r="ET546">
        <v>855.59999999999991</v>
      </c>
      <c r="EU546">
        <v>172.2</v>
      </c>
      <c r="EV546">
        <v>203.2</v>
      </c>
      <c r="EW546">
        <v>1173.0999999999999</v>
      </c>
      <c r="EX546">
        <v>1078.3</v>
      </c>
      <c r="EY546">
        <v>1194.4000000000001</v>
      </c>
      <c r="EZ546">
        <v>1207.0999999999999</v>
      </c>
      <c r="FA546">
        <v>0</v>
      </c>
      <c r="FB546">
        <v>0</v>
      </c>
      <c r="FC546">
        <v>0</v>
      </c>
      <c r="FD546">
        <v>0</v>
      </c>
      <c r="FE546">
        <v>0</v>
      </c>
      <c r="FF546">
        <v>0</v>
      </c>
      <c r="FG546">
        <v>0</v>
      </c>
      <c r="FH546">
        <v>0</v>
      </c>
      <c r="FI546">
        <v>0</v>
      </c>
      <c r="FJ546">
        <v>0</v>
      </c>
      <c r="FK546">
        <v>0</v>
      </c>
      <c r="FL546">
        <v>0</v>
      </c>
      <c r="FM546">
        <v>0</v>
      </c>
      <c r="FN546">
        <v>0</v>
      </c>
      <c r="FO546">
        <v>0</v>
      </c>
      <c r="FP546">
        <v>0</v>
      </c>
      <c r="FQ546">
        <v>0</v>
      </c>
      <c r="FR546">
        <v>0</v>
      </c>
      <c r="FS546">
        <v>0</v>
      </c>
      <c r="FT546">
        <v>0</v>
      </c>
      <c r="FU546">
        <v>0</v>
      </c>
      <c r="FV546">
        <v>0</v>
      </c>
      <c r="FW546">
        <v>0</v>
      </c>
      <c r="FX546">
        <v>0</v>
      </c>
      <c r="FY546">
        <v>0</v>
      </c>
      <c r="FZ546">
        <v>0</v>
      </c>
      <c r="GA546">
        <v>0</v>
      </c>
      <c r="GB546">
        <v>0</v>
      </c>
      <c r="GC546">
        <v>0</v>
      </c>
      <c r="GD546">
        <v>0</v>
      </c>
      <c r="GE546">
        <v>0</v>
      </c>
      <c r="GF546">
        <v>0</v>
      </c>
      <c r="GG546">
        <v>0</v>
      </c>
      <c r="GH546">
        <v>0</v>
      </c>
      <c r="GI546">
        <v>0</v>
      </c>
      <c r="GJ546">
        <v>0</v>
      </c>
      <c r="GK546">
        <v>0</v>
      </c>
      <c r="GL546">
        <v>0</v>
      </c>
      <c r="GO546">
        <v>0</v>
      </c>
      <c r="GP546">
        <v>0</v>
      </c>
      <c r="GQ546">
        <v>0</v>
      </c>
      <c r="GR546">
        <v>0</v>
      </c>
      <c r="GS546">
        <v>0</v>
      </c>
      <c r="GT546">
        <v>0</v>
      </c>
      <c r="GU546">
        <v>0</v>
      </c>
      <c r="GV546">
        <v>0</v>
      </c>
      <c r="GW546">
        <v>0</v>
      </c>
      <c r="GX546">
        <v>0</v>
      </c>
      <c r="GY546">
        <v>0</v>
      </c>
      <c r="GZ546">
        <v>0</v>
      </c>
      <c r="HA546">
        <v>0</v>
      </c>
      <c r="HB546">
        <v>0</v>
      </c>
      <c r="HC546">
        <v>0</v>
      </c>
      <c r="HD546">
        <v>0</v>
      </c>
      <c r="HE546">
        <v>0</v>
      </c>
      <c r="HF546">
        <v>0</v>
      </c>
      <c r="HG546">
        <v>0</v>
      </c>
      <c r="HH546">
        <v>0</v>
      </c>
      <c r="HI546">
        <v>0</v>
      </c>
      <c r="HJ546">
        <v>0</v>
      </c>
      <c r="HK546">
        <v>0</v>
      </c>
      <c r="HL546">
        <v>0</v>
      </c>
      <c r="HM546">
        <v>0</v>
      </c>
      <c r="HN546">
        <v>0</v>
      </c>
      <c r="HO546">
        <v>0</v>
      </c>
      <c r="HP546">
        <v>0</v>
      </c>
      <c r="HQ546">
        <v>0</v>
      </c>
      <c r="HR546">
        <v>0</v>
      </c>
      <c r="HS546">
        <v>0</v>
      </c>
      <c r="HT546">
        <v>0</v>
      </c>
      <c r="HU546">
        <v>0</v>
      </c>
      <c r="HV546">
        <v>0</v>
      </c>
      <c r="HW546">
        <v>404.70000000000005</v>
      </c>
      <c r="HX546">
        <v>342.3</v>
      </c>
      <c r="HZ546">
        <v>866.2</v>
      </c>
      <c r="IA546">
        <v>1142.8</v>
      </c>
      <c r="IB546">
        <v>1121.5</v>
      </c>
      <c r="IC546">
        <v>2403</v>
      </c>
      <c r="ID546">
        <v>2659.3</v>
      </c>
      <c r="IE546">
        <v>1923.4</v>
      </c>
      <c r="IF546">
        <v>1465.7</v>
      </c>
      <c r="IG546">
        <v>1608.3</v>
      </c>
      <c r="IH546">
        <v>0</v>
      </c>
      <c r="II546">
        <v>0</v>
      </c>
      <c r="IJ546">
        <v>0</v>
      </c>
      <c r="IK546">
        <v>0</v>
      </c>
      <c r="IL546">
        <v>0</v>
      </c>
      <c r="IM546">
        <v>0</v>
      </c>
      <c r="IN546">
        <v>0</v>
      </c>
      <c r="IO546">
        <v>0</v>
      </c>
      <c r="IP546">
        <v>75.099999999999994</v>
      </c>
    </row>
    <row r="547" spans="1:250" ht="18" thickBot="1">
      <c r="A547" s="245"/>
      <c r="B547" s="245" t="s">
        <v>911</v>
      </c>
      <c r="C547" s="332" t="s">
        <v>1007</v>
      </c>
      <c r="D547" s="396"/>
      <c r="E547" s="454">
        <v>0</v>
      </c>
      <c r="F547">
        <v>0</v>
      </c>
      <c r="G547" s="427">
        <v>0</v>
      </c>
      <c r="H547" s="155">
        <v>0</v>
      </c>
      <c r="I547">
        <v>0</v>
      </c>
      <c r="J547">
        <v>0</v>
      </c>
      <c r="K547">
        <v>0</v>
      </c>
      <c r="L547" s="4">
        <v>0</v>
      </c>
      <c r="M547" s="4">
        <v>0</v>
      </c>
      <c r="N547" s="4">
        <v>0</v>
      </c>
      <c r="O547" s="4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R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G547">
        <v>0</v>
      </c>
      <c r="BI547">
        <v>0</v>
      </c>
      <c r="BK547">
        <v>0</v>
      </c>
      <c r="BL547">
        <v>0</v>
      </c>
      <c r="BM547">
        <v>0</v>
      </c>
      <c r="BN547">
        <v>0</v>
      </c>
      <c r="BO547">
        <v>344.70000000000005</v>
      </c>
      <c r="BP547">
        <v>625.70000000000005</v>
      </c>
      <c r="BQ547">
        <v>912.2</v>
      </c>
      <c r="BR547">
        <v>237.7</v>
      </c>
      <c r="BS547">
        <v>0</v>
      </c>
      <c r="BT547">
        <v>0</v>
      </c>
      <c r="BU547">
        <v>0</v>
      </c>
      <c r="BV547">
        <v>0</v>
      </c>
      <c r="BW547">
        <v>1647.4</v>
      </c>
      <c r="BY547">
        <v>453.1</v>
      </c>
      <c r="CA547">
        <v>285.39999999999998</v>
      </c>
      <c r="CB547">
        <v>280.8</v>
      </c>
      <c r="CC547">
        <v>127.7</v>
      </c>
      <c r="CD547">
        <v>0</v>
      </c>
      <c r="CE547">
        <v>0</v>
      </c>
      <c r="CF547">
        <v>0</v>
      </c>
      <c r="CG547">
        <v>0</v>
      </c>
      <c r="CI547">
        <v>0</v>
      </c>
      <c r="CJ547">
        <v>0</v>
      </c>
      <c r="CL547">
        <v>0</v>
      </c>
      <c r="CM547">
        <v>0</v>
      </c>
      <c r="CN547">
        <v>0</v>
      </c>
      <c r="CO547">
        <v>0</v>
      </c>
      <c r="CP547">
        <v>0</v>
      </c>
      <c r="CQ547">
        <v>621.70000000000005</v>
      </c>
      <c r="CR547">
        <v>481.70000000000005</v>
      </c>
      <c r="CS547">
        <v>0</v>
      </c>
      <c r="CT547">
        <v>524.6</v>
      </c>
      <c r="CU547">
        <v>514.1</v>
      </c>
      <c r="CV547">
        <v>175.2</v>
      </c>
      <c r="CW547">
        <v>0</v>
      </c>
      <c r="CX547">
        <v>65.099999999999994</v>
      </c>
      <c r="CY547">
        <v>199</v>
      </c>
      <c r="CZ547">
        <v>1907.9</v>
      </c>
      <c r="DA547">
        <v>0</v>
      </c>
      <c r="DB547">
        <v>0</v>
      </c>
      <c r="DC547">
        <v>0</v>
      </c>
      <c r="DD547">
        <v>0</v>
      </c>
      <c r="DE547">
        <v>0</v>
      </c>
      <c r="DF547">
        <v>0</v>
      </c>
      <c r="DG547">
        <v>0</v>
      </c>
      <c r="DH547">
        <v>0</v>
      </c>
      <c r="DI547">
        <v>0</v>
      </c>
      <c r="DJ547">
        <v>0</v>
      </c>
      <c r="DK547">
        <v>0</v>
      </c>
      <c r="DL547">
        <v>0</v>
      </c>
      <c r="DM547">
        <v>1065.4000000000001</v>
      </c>
      <c r="DN547">
        <v>599.70000000000005</v>
      </c>
      <c r="DO547">
        <v>319.7</v>
      </c>
      <c r="DP547">
        <v>1570.6999999999998</v>
      </c>
      <c r="DQ547">
        <v>1399.5</v>
      </c>
      <c r="DR547">
        <v>3581</v>
      </c>
      <c r="DU547">
        <v>1393.2</v>
      </c>
      <c r="DV547">
        <v>2862.6</v>
      </c>
      <c r="DY547">
        <v>2361</v>
      </c>
      <c r="EA547">
        <v>2409.6</v>
      </c>
      <c r="EC547">
        <v>1661.3999999999999</v>
      </c>
      <c r="EE547">
        <v>0</v>
      </c>
      <c r="EF547">
        <v>0</v>
      </c>
      <c r="EG547">
        <v>0</v>
      </c>
      <c r="EH547">
        <v>0</v>
      </c>
      <c r="EI547">
        <v>0</v>
      </c>
      <c r="EJ547">
        <v>0</v>
      </c>
      <c r="EK547">
        <v>0</v>
      </c>
      <c r="EL547">
        <v>0</v>
      </c>
      <c r="EM547">
        <v>0</v>
      </c>
      <c r="EN547">
        <v>0</v>
      </c>
      <c r="EO547">
        <v>0</v>
      </c>
      <c r="EP547">
        <v>944.5</v>
      </c>
      <c r="EQ547">
        <v>3459.7</v>
      </c>
      <c r="ER547">
        <v>1353.5</v>
      </c>
      <c r="ES547">
        <v>182.2</v>
      </c>
      <c r="ET547">
        <v>855.59999999999991</v>
      </c>
      <c r="EU547">
        <v>172.2</v>
      </c>
      <c r="EV547">
        <v>203.2</v>
      </c>
      <c r="EW547">
        <v>1173.0999999999999</v>
      </c>
      <c r="EX547">
        <v>1078.3</v>
      </c>
      <c r="EY547">
        <v>1194.4000000000001</v>
      </c>
      <c r="EZ547">
        <v>1207.0999999999999</v>
      </c>
      <c r="FA547">
        <v>0</v>
      </c>
      <c r="FB547">
        <v>0</v>
      </c>
      <c r="FC547">
        <v>0</v>
      </c>
      <c r="FD547">
        <v>0</v>
      </c>
      <c r="FE547">
        <v>0</v>
      </c>
      <c r="FF547">
        <v>0</v>
      </c>
      <c r="FG547">
        <v>0</v>
      </c>
      <c r="FH547">
        <v>0</v>
      </c>
      <c r="FI547">
        <v>0</v>
      </c>
      <c r="FJ547">
        <v>0</v>
      </c>
      <c r="FK547">
        <v>0</v>
      </c>
      <c r="FL547">
        <v>0</v>
      </c>
      <c r="FM547">
        <v>0</v>
      </c>
      <c r="FN547">
        <v>0</v>
      </c>
      <c r="FO547">
        <v>0</v>
      </c>
      <c r="FP547">
        <v>0</v>
      </c>
      <c r="FQ547">
        <v>0</v>
      </c>
      <c r="FR547">
        <v>0</v>
      </c>
      <c r="FS547">
        <v>0</v>
      </c>
      <c r="FT547">
        <v>0</v>
      </c>
      <c r="FU547">
        <v>0</v>
      </c>
      <c r="FV547">
        <v>0</v>
      </c>
      <c r="FW547">
        <v>0</v>
      </c>
      <c r="FX547">
        <v>0</v>
      </c>
      <c r="FY547">
        <v>0</v>
      </c>
      <c r="FZ547">
        <v>0</v>
      </c>
      <c r="GA547">
        <v>0</v>
      </c>
      <c r="GB547">
        <v>0</v>
      </c>
      <c r="GC547">
        <v>0</v>
      </c>
      <c r="GD547">
        <v>0</v>
      </c>
      <c r="GE547">
        <v>0</v>
      </c>
      <c r="GF547">
        <v>0</v>
      </c>
      <c r="GG547">
        <v>0</v>
      </c>
      <c r="GH547">
        <v>0</v>
      </c>
      <c r="GI547">
        <v>0</v>
      </c>
      <c r="GJ547">
        <v>0</v>
      </c>
      <c r="GK547">
        <v>0</v>
      </c>
      <c r="GL547">
        <v>0</v>
      </c>
      <c r="GO547">
        <v>0</v>
      </c>
      <c r="GP547">
        <v>0</v>
      </c>
      <c r="GQ547">
        <v>0</v>
      </c>
      <c r="GR547">
        <v>0</v>
      </c>
      <c r="GS547">
        <v>0</v>
      </c>
      <c r="GT547">
        <v>0</v>
      </c>
      <c r="GU547">
        <v>0</v>
      </c>
      <c r="GV547">
        <v>0</v>
      </c>
      <c r="GW547">
        <v>0</v>
      </c>
      <c r="GX547">
        <v>0</v>
      </c>
      <c r="GY547">
        <v>0</v>
      </c>
      <c r="GZ547">
        <v>0</v>
      </c>
      <c r="HA547">
        <v>0</v>
      </c>
      <c r="HB547">
        <v>0</v>
      </c>
      <c r="HC547">
        <v>0</v>
      </c>
      <c r="HD547">
        <v>0</v>
      </c>
      <c r="HE547">
        <v>0</v>
      </c>
      <c r="HF547">
        <v>0</v>
      </c>
      <c r="HG547">
        <v>0</v>
      </c>
      <c r="HH547">
        <v>0</v>
      </c>
      <c r="HI547">
        <v>0</v>
      </c>
      <c r="HJ547">
        <v>0</v>
      </c>
      <c r="HK547">
        <v>0</v>
      </c>
      <c r="HL547">
        <v>0</v>
      </c>
      <c r="HM547">
        <v>0</v>
      </c>
      <c r="HN547">
        <v>0</v>
      </c>
      <c r="HO547">
        <v>0</v>
      </c>
      <c r="HP547">
        <v>0</v>
      </c>
      <c r="HQ547">
        <v>0</v>
      </c>
      <c r="HR547">
        <v>0</v>
      </c>
      <c r="HS547">
        <v>0</v>
      </c>
      <c r="HT547">
        <v>0</v>
      </c>
      <c r="HU547">
        <v>0</v>
      </c>
      <c r="HV547">
        <v>0</v>
      </c>
      <c r="HW547">
        <v>404.70000000000005</v>
      </c>
      <c r="HX547">
        <v>342.3</v>
      </c>
      <c r="HZ547">
        <v>866.2</v>
      </c>
      <c r="IA547">
        <v>1142.8</v>
      </c>
      <c r="IB547">
        <v>1121.5</v>
      </c>
      <c r="IC547">
        <v>2403</v>
      </c>
      <c r="ID547">
        <v>2659.3</v>
      </c>
      <c r="IE547">
        <v>1923.4</v>
      </c>
      <c r="IF547">
        <v>1465.7</v>
      </c>
      <c r="IG547">
        <v>1608.3</v>
      </c>
      <c r="IH547">
        <v>0</v>
      </c>
      <c r="II547">
        <v>0</v>
      </c>
      <c r="IJ547">
        <v>0</v>
      </c>
      <c r="IK547">
        <v>0</v>
      </c>
      <c r="IL547">
        <v>0</v>
      </c>
      <c r="IM547">
        <v>0</v>
      </c>
      <c r="IN547">
        <v>0</v>
      </c>
      <c r="IO547">
        <v>0</v>
      </c>
      <c r="IP547">
        <v>75.099999999999994</v>
      </c>
    </row>
    <row r="548" spans="1:250" ht="18" thickBot="1">
      <c r="A548" s="245"/>
      <c r="B548" s="245" t="s">
        <v>912</v>
      </c>
      <c r="C548" s="332" t="s">
        <v>1008</v>
      </c>
      <c r="D548" s="396"/>
      <c r="E548" s="454">
        <v>0</v>
      </c>
      <c r="F548">
        <v>0</v>
      </c>
      <c r="G548" s="427">
        <v>0</v>
      </c>
      <c r="H548" s="155">
        <v>0</v>
      </c>
      <c r="I548">
        <v>0</v>
      </c>
      <c r="J548">
        <v>0</v>
      </c>
      <c r="K548">
        <v>0</v>
      </c>
      <c r="L548" s="4">
        <v>0</v>
      </c>
      <c r="M548" s="4">
        <v>0</v>
      </c>
      <c r="N548" s="4">
        <v>0</v>
      </c>
      <c r="O548" s="4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R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G548">
        <v>0</v>
      </c>
      <c r="BI548">
        <v>0</v>
      </c>
      <c r="BK548">
        <v>0</v>
      </c>
      <c r="BL548">
        <v>0</v>
      </c>
      <c r="BM548">
        <v>0</v>
      </c>
      <c r="BN548">
        <v>0</v>
      </c>
      <c r="BO548">
        <v>344.70000000000005</v>
      </c>
      <c r="BP548">
        <v>625.70000000000005</v>
      </c>
      <c r="BQ548">
        <v>912.2</v>
      </c>
      <c r="BR548">
        <v>237.7</v>
      </c>
      <c r="BS548">
        <v>0</v>
      </c>
      <c r="BT548">
        <v>0</v>
      </c>
      <c r="BU548">
        <v>0</v>
      </c>
      <c r="BV548">
        <v>0</v>
      </c>
      <c r="BW548">
        <v>1647.4</v>
      </c>
      <c r="BY548">
        <v>453.1</v>
      </c>
      <c r="CA548">
        <v>285.39999999999998</v>
      </c>
      <c r="CB548">
        <v>280.8</v>
      </c>
      <c r="CC548">
        <v>127.7</v>
      </c>
      <c r="CD548">
        <v>0</v>
      </c>
      <c r="CE548">
        <v>0</v>
      </c>
      <c r="CF548">
        <v>0</v>
      </c>
      <c r="CG548">
        <v>0</v>
      </c>
      <c r="CI548">
        <v>0</v>
      </c>
      <c r="CJ548">
        <v>0</v>
      </c>
      <c r="CL548">
        <v>0</v>
      </c>
      <c r="CM548">
        <v>0</v>
      </c>
      <c r="CN548">
        <v>0</v>
      </c>
      <c r="CO548">
        <v>0</v>
      </c>
      <c r="CP548">
        <v>0</v>
      </c>
      <c r="CQ548">
        <v>621.70000000000005</v>
      </c>
      <c r="CR548">
        <v>481.70000000000005</v>
      </c>
      <c r="CS548">
        <v>0</v>
      </c>
      <c r="CT548">
        <v>524.6</v>
      </c>
      <c r="CU548">
        <v>514.1</v>
      </c>
      <c r="CV548">
        <v>175.2</v>
      </c>
      <c r="CW548">
        <v>0</v>
      </c>
      <c r="CX548">
        <v>65.099999999999994</v>
      </c>
      <c r="CY548">
        <v>199</v>
      </c>
      <c r="CZ548">
        <v>1907.9</v>
      </c>
      <c r="DA548">
        <v>0</v>
      </c>
      <c r="DB548">
        <v>0</v>
      </c>
      <c r="DC548">
        <v>0</v>
      </c>
      <c r="DD548">
        <v>0</v>
      </c>
      <c r="DE548">
        <v>0</v>
      </c>
      <c r="DF548">
        <v>0</v>
      </c>
      <c r="DG548">
        <v>0</v>
      </c>
      <c r="DH548">
        <v>0</v>
      </c>
      <c r="DI548">
        <v>0</v>
      </c>
      <c r="DJ548">
        <v>0</v>
      </c>
      <c r="DK548">
        <v>0</v>
      </c>
      <c r="DL548">
        <v>0</v>
      </c>
      <c r="DM548">
        <v>1065.4000000000001</v>
      </c>
      <c r="DN548">
        <v>599.70000000000005</v>
      </c>
      <c r="DO548">
        <v>319.7</v>
      </c>
      <c r="DP548">
        <v>1570.6999999999998</v>
      </c>
      <c r="DQ548">
        <v>1399.5</v>
      </c>
      <c r="DR548">
        <v>3581</v>
      </c>
      <c r="DU548">
        <v>1393.2</v>
      </c>
      <c r="DV548">
        <v>2862.6</v>
      </c>
      <c r="DY548">
        <v>2361</v>
      </c>
      <c r="EA548">
        <v>2409.6</v>
      </c>
      <c r="EC548">
        <v>1661.3999999999999</v>
      </c>
      <c r="EE548">
        <v>0</v>
      </c>
      <c r="EF548">
        <v>0</v>
      </c>
      <c r="EG548">
        <v>0</v>
      </c>
      <c r="EH548">
        <v>0</v>
      </c>
      <c r="EI548">
        <v>0</v>
      </c>
      <c r="EJ548">
        <v>0</v>
      </c>
      <c r="EK548">
        <v>0</v>
      </c>
      <c r="EL548">
        <v>0</v>
      </c>
      <c r="EM548">
        <v>0</v>
      </c>
      <c r="EN548">
        <v>0</v>
      </c>
      <c r="EO548">
        <v>0</v>
      </c>
      <c r="EP548">
        <v>944.5</v>
      </c>
      <c r="EQ548">
        <v>3459.7</v>
      </c>
      <c r="ER548">
        <v>1353.5</v>
      </c>
      <c r="ES548">
        <v>182.2</v>
      </c>
      <c r="ET548">
        <v>855.59999999999991</v>
      </c>
      <c r="EU548">
        <v>172.2</v>
      </c>
      <c r="EV548">
        <v>203.2</v>
      </c>
      <c r="EW548">
        <v>1173.0999999999999</v>
      </c>
      <c r="EX548">
        <v>1078.3</v>
      </c>
      <c r="EY548">
        <v>1194.4000000000001</v>
      </c>
      <c r="EZ548">
        <v>1207.0999999999999</v>
      </c>
      <c r="FA548">
        <v>0</v>
      </c>
      <c r="FB548">
        <v>0</v>
      </c>
      <c r="FC548">
        <v>0</v>
      </c>
      <c r="FD548">
        <v>0</v>
      </c>
      <c r="FE548">
        <v>0</v>
      </c>
      <c r="FF548">
        <v>0</v>
      </c>
      <c r="FG548">
        <v>0</v>
      </c>
      <c r="FH548">
        <v>0</v>
      </c>
      <c r="FI548">
        <v>0</v>
      </c>
      <c r="FJ548">
        <v>0</v>
      </c>
      <c r="FK548">
        <v>0</v>
      </c>
      <c r="FL548">
        <v>0</v>
      </c>
      <c r="FM548">
        <v>0</v>
      </c>
      <c r="FN548">
        <v>0</v>
      </c>
      <c r="FO548">
        <v>0</v>
      </c>
      <c r="FP548">
        <v>0</v>
      </c>
      <c r="FQ548">
        <v>0</v>
      </c>
      <c r="FR548">
        <v>0</v>
      </c>
      <c r="FS548">
        <v>0</v>
      </c>
      <c r="FT548">
        <v>0</v>
      </c>
      <c r="FU548">
        <v>0</v>
      </c>
      <c r="FV548">
        <v>0</v>
      </c>
      <c r="FW548">
        <v>0</v>
      </c>
      <c r="FX548">
        <v>0</v>
      </c>
      <c r="FY548">
        <v>0</v>
      </c>
      <c r="FZ548">
        <v>0</v>
      </c>
      <c r="GA548">
        <v>0</v>
      </c>
      <c r="GB548">
        <v>0</v>
      </c>
      <c r="GC548">
        <v>0</v>
      </c>
      <c r="GD548">
        <v>0</v>
      </c>
      <c r="GE548">
        <v>0</v>
      </c>
      <c r="GF548">
        <v>0</v>
      </c>
      <c r="GG548">
        <v>0</v>
      </c>
      <c r="GH548">
        <v>0</v>
      </c>
      <c r="GI548">
        <v>0</v>
      </c>
      <c r="GJ548">
        <v>0</v>
      </c>
      <c r="GK548">
        <v>0</v>
      </c>
      <c r="GL548">
        <v>0</v>
      </c>
      <c r="GO548">
        <v>0</v>
      </c>
      <c r="GP548">
        <v>0</v>
      </c>
      <c r="GQ548">
        <v>0</v>
      </c>
      <c r="GR548">
        <v>0</v>
      </c>
      <c r="GS548">
        <v>0</v>
      </c>
      <c r="GT548">
        <v>0</v>
      </c>
      <c r="GU548">
        <v>0</v>
      </c>
      <c r="GV548">
        <v>0</v>
      </c>
      <c r="GW548">
        <v>0</v>
      </c>
      <c r="GX548">
        <v>0</v>
      </c>
      <c r="GY548">
        <v>0</v>
      </c>
      <c r="GZ548">
        <v>0</v>
      </c>
      <c r="HA548">
        <v>0</v>
      </c>
      <c r="HB548">
        <v>0</v>
      </c>
      <c r="HC548">
        <v>0</v>
      </c>
      <c r="HD548">
        <v>0</v>
      </c>
      <c r="HE548">
        <v>0</v>
      </c>
      <c r="HF548">
        <v>0</v>
      </c>
      <c r="HG548">
        <v>0</v>
      </c>
      <c r="HH548">
        <v>0</v>
      </c>
      <c r="HI548">
        <v>0</v>
      </c>
      <c r="HJ548">
        <v>0</v>
      </c>
      <c r="HK548">
        <v>0</v>
      </c>
      <c r="HL548">
        <v>0</v>
      </c>
      <c r="HM548">
        <v>0</v>
      </c>
      <c r="HN548">
        <v>0</v>
      </c>
      <c r="HO548">
        <v>0</v>
      </c>
      <c r="HP548">
        <v>0</v>
      </c>
      <c r="HQ548">
        <v>0</v>
      </c>
      <c r="HR548">
        <v>0</v>
      </c>
      <c r="HS548">
        <v>0</v>
      </c>
      <c r="HT548">
        <v>0</v>
      </c>
      <c r="HU548">
        <v>0</v>
      </c>
      <c r="HV548">
        <v>0</v>
      </c>
      <c r="HW548">
        <v>404.70000000000005</v>
      </c>
      <c r="HX548">
        <v>342.3</v>
      </c>
      <c r="HZ548">
        <v>866.2</v>
      </c>
      <c r="IA548">
        <v>1142.8</v>
      </c>
      <c r="IB548">
        <v>1121.5</v>
      </c>
      <c r="IC548">
        <v>2403</v>
      </c>
      <c r="ID548">
        <v>2659.3</v>
      </c>
      <c r="IE548">
        <v>1923.4</v>
      </c>
      <c r="IF548">
        <v>1465.7</v>
      </c>
      <c r="IG548">
        <v>1608.3</v>
      </c>
      <c r="IH548">
        <v>0</v>
      </c>
      <c r="II548">
        <v>0</v>
      </c>
      <c r="IJ548">
        <v>0</v>
      </c>
      <c r="IK548">
        <v>0</v>
      </c>
      <c r="IL548">
        <v>0</v>
      </c>
      <c r="IM548">
        <v>0</v>
      </c>
      <c r="IN548">
        <v>0</v>
      </c>
      <c r="IO548">
        <v>0</v>
      </c>
      <c r="IP548">
        <v>75.099999999999994</v>
      </c>
    </row>
    <row r="549" spans="1:250" ht="18" thickBot="1">
      <c r="A549" s="245"/>
      <c r="B549" s="245" t="s">
        <v>913</v>
      </c>
      <c r="C549" s="230" t="s">
        <v>1009</v>
      </c>
      <c r="D549" s="397"/>
      <c r="E549" s="454">
        <v>0</v>
      </c>
      <c r="F549">
        <v>0</v>
      </c>
      <c r="G549" s="427">
        <v>0</v>
      </c>
      <c r="H549" s="155">
        <v>0</v>
      </c>
      <c r="I549">
        <v>0</v>
      </c>
      <c r="J549">
        <v>0</v>
      </c>
      <c r="K549">
        <v>0</v>
      </c>
      <c r="L549" s="4">
        <v>0</v>
      </c>
      <c r="M549" s="4">
        <v>0</v>
      </c>
      <c r="N549" s="4">
        <v>0</v>
      </c>
      <c r="O549" s="4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R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G549">
        <v>0</v>
      </c>
      <c r="BI549">
        <v>0</v>
      </c>
      <c r="BK549">
        <v>0</v>
      </c>
      <c r="BL549">
        <v>0</v>
      </c>
      <c r="BM549">
        <v>0</v>
      </c>
      <c r="BN549">
        <v>0</v>
      </c>
      <c r="BO549">
        <v>344.70000000000005</v>
      </c>
      <c r="BP549">
        <v>625.70000000000005</v>
      </c>
      <c r="BQ549">
        <v>912.2</v>
      </c>
      <c r="BR549">
        <v>237.7</v>
      </c>
      <c r="BS549">
        <v>0</v>
      </c>
      <c r="BT549">
        <v>0</v>
      </c>
      <c r="BU549">
        <v>0</v>
      </c>
      <c r="BV549">
        <v>0</v>
      </c>
      <c r="BW549">
        <v>1647.4</v>
      </c>
      <c r="BY549">
        <v>453.1</v>
      </c>
      <c r="CA549">
        <v>285.39999999999998</v>
      </c>
      <c r="CB549">
        <v>280.8</v>
      </c>
      <c r="CC549">
        <v>127.7</v>
      </c>
      <c r="CD549">
        <v>0</v>
      </c>
      <c r="CE549">
        <v>0</v>
      </c>
      <c r="CF549">
        <v>0</v>
      </c>
      <c r="CG549">
        <v>0</v>
      </c>
      <c r="CI549">
        <v>0</v>
      </c>
      <c r="CJ549">
        <v>0</v>
      </c>
      <c r="CL549">
        <v>0</v>
      </c>
      <c r="CM549">
        <v>0</v>
      </c>
      <c r="CN549">
        <v>0</v>
      </c>
      <c r="CO549">
        <v>0</v>
      </c>
      <c r="CP549">
        <v>0</v>
      </c>
      <c r="CQ549">
        <v>621.70000000000005</v>
      </c>
      <c r="CR549">
        <v>481.70000000000005</v>
      </c>
      <c r="CS549">
        <v>0</v>
      </c>
      <c r="CT549">
        <v>524.6</v>
      </c>
      <c r="CU549">
        <v>514.1</v>
      </c>
      <c r="CV549">
        <v>175.2</v>
      </c>
      <c r="CW549">
        <v>0</v>
      </c>
      <c r="CX549">
        <v>65.099999999999994</v>
      </c>
      <c r="CY549">
        <v>199</v>
      </c>
      <c r="CZ549">
        <v>1907.9</v>
      </c>
      <c r="DA549">
        <v>0</v>
      </c>
      <c r="DB549">
        <v>0</v>
      </c>
      <c r="DC549">
        <v>0</v>
      </c>
      <c r="DD549">
        <v>0</v>
      </c>
      <c r="DE549">
        <v>0</v>
      </c>
      <c r="DF549">
        <v>0</v>
      </c>
      <c r="DG549">
        <v>0</v>
      </c>
      <c r="DH549">
        <v>0</v>
      </c>
      <c r="DI549">
        <v>0</v>
      </c>
      <c r="DJ549">
        <v>0</v>
      </c>
      <c r="DK549">
        <v>0</v>
      </c>
      <c r="DL549">
        <v>0</v>
      </c>
      <c r="DM549">
        <v>1065.4000000000001</v>
      </c>
      <c r="DN549">
        <v>599.70000000000005</v>
      </c>
      <c r="DO549">
        <v>319.7</v>
      </c>
      <c r="DP549">
        <v>1570.6999999999998</v>
      </c>
      <c r="DQ549">
        <v>1399.5</v>
      </c>
      <c r="DR549">
        <v>3581</v>
      </c>
      <c r="DU549">
        <v>1393.2</v>
      </c>
      <c r="DV549">
        <v>2862.6</v>
      </c>
      <c r="DY549">
        <v>2361</v>
      </c>
      <c r="EA549">
        <v>2409.6</v>
      </c>
      <c r="EC549">
        <v>1661.3999999999999</v>
      </c>
      <c r="EE549">
        <v>0</v>
      </c>
      <c r="EF549">
        <v>0</v>
      </c>
      <c r="EG549">
        <v>0</v>
      </c>
      <c r="EH549">
        <v>0</v>
      </c>
      <c r="EI549">
        <v>0</v>
      </c>
      <c r="EJ549">
        <v>0</v>
      </c>
      <c r="EK549">
        <v>0</v>
      </c>
      <c r="EL549">
        <v>0</v>
      </c>
      <c r="EM549">
        <v>0</v>
      </c>
      <c r="EN549">
        <v>0</v>
      </c>
      <c r="EO549">
        <v>0</v>
      </c>
      <c r="EP549">
        <v>944.5</v>
      </c>
      <c r="EQ549">
        <v>3459.7</v>
      </c>
      <c r="ER549">
        <v>1353.5</v>
      </c>
      <c r="ES549">
        <v>182.2</v>
      </c>
      <c r="ET549">
        <v>855.59999999999991</v>
      </c>
      <c r="EU549">
        <v>172.2</v>
      </c>
      <c r="EV549">
        <v>203.2</v>
      </c>
      <c r="EW549">
        <v>1173.0999999999999</v>
      </c>
      <c r="EX549">
        <v>1078.3</v>
      </c>
      <c r="EY549">
        <v>1194.4000000000001</v>
      </c>
      <c r="EZ549">
        <v>1207.0999999999999</v>
      </c>
      <c r="FA549">
        <v>0</v>
      </c>
      <c r="FB549">
        <v>0</v>
      </c>
      <c r="FC549">
        <v>0</v>
      </c>
      <c r="FD549">
        <v>0</v>
      </c>
      <c r="FE549">
        <v>0</v>
      </c>
      <c r="FF549">
        <v>0</v>
      </c>
      <c r="FG549">
        <v>0</v>
      </c>
      <c r="FH549">
        <v>0</v>
      </c>
      <c r="FI549">
        <v>0</v>
      </c>
      <c r="FJ549">
        <v>0</v>
      </c>
      <c r="FK549">
        <v>0</v>
      </c>
      <c r="FL549">
        <v>0</v>
      </c>
      <c r="FM549">
        <v>0</v>
      </c>
      <c r="FN549">
        <v>0</v>
      </c>
      <c r="FO549">
        <v>0</v>
      </c>
      <c r="FP549">
        <v>0</v>
      </c>
      <c r="FQ549">
        <v>0</v>
      </c>
      <c r="FR549">
        <v>0</v>
      </c>
      <c r="FS549">
        <v>0</v>
      </c>
      <c r="FT549">
        <v>0</v>
      </c>
      <c r="FU549">
        <v>0</v>
      </c>
      <c r="FV549">
        <v>0</v>
      </c>
      <c r="FW549">
        <v>0</v>
      </c>
      <c r="FX549">
        <v>0</v>
      </c>
      <c r="FY549">
        <v>0</v>
      </c>
      <c r="FZ549">
        <v>0</v>
      </c>
      <c r="GA549">
        <v>0</v>
      </c>
      <c r="GB549">
        <v>0</v>
      </c>
      <c r="GC549">
        <v>0</v>
      </c>
      <c r="GD549">
        <v>0</v>
      </c>
      <c r="GE549">
        <v>0</v>
      </c>
      <c r="GF549">
        <v>0</v>
      </c>
      <c r="GG549">
        <v>0</v>
      </c>
      <c r="GH549">
        <v>0</v>
      </c>
      <c r="GI549">
        <v>0</v>
      </c>
      <c r="GJ549">
        <v>0</v>
      </c>
      <c r="GK549">
        <v>0</v>
      </c>
      <c r="GL549">
        <v>0</v>
      </c>
      <c r="GO549">
        <v>0</v>
      </c>
      <c r="GP549">
        <v>0</v>
      </c>
      <c r="GQ549">
        <v>0</v>
      </c>
      <c r="GR549">
        <v>0</v>
      </c>
      <c r="GS549">
        <v>0</v>
      </c>
      <c r="GT549">
        <v>0</v>
      </c>
      <c r="GU549">
        <v>0</v>
      </c>
      <c r="GV549">
        <v>0</v>
      </c>
      <c r="GW549">
        <v>0</v>
      </c>
      <c r="GX549">
        <v>0</v>
      </c>
      <c r="GY549">
        <v>0</v>
      </c>
      <c r="GZ549">
        <v>0</v>
      </c>
      <c r="HA549">
        <v>0</v>
      </c>
      <c r="HB549">
        <v>0</v>
      </c>
      <c r="HC549">
        <v>0</v>
      </c>
      <c r="HD549">
        <v>0</v>
      </c>
      <c r="HE549">
        <v>0</v>
      </c>
      <c r="HF549">
        <v>0</v>
      </c>
      <c r="HG549">
        <v>0</v>
      </c>
      <c r="HH549">
        <v>0</v>
      </c>
      <c r="HI549">
        <v>0</v>
      </c>
      <c r="HJ549">
        <v>0</v>
      </c>
      <c r="HK549">
        <v>0</v>
      </c>
      <c r="HL549">
        <v>0</v>
      </c>
      <c r="HM549">
        <v>0</v>
      </c>
      <c r="HN549">
        <v>0</v>
      </c>
      <c r="HO549">
        <v>0</v>
      </c>
      <c r="HP549">
        <v>0</v>
      </c>
      <c r="HQ549">
        <v>0</v>
      </c>
      <c r="HR549">
        <v>0</v>
      </c>
      <c r="HS549">
        <v>0</v>
      </c>
      <c r="HT549">
        <v>0</v>
      </c>
      <c r="HU549">
        <v>0</v>
      </c>
      <c r="HV549">
        <v>0</v>
      </c>
      <c r="HW549">
        <v>404.70000000000005</v>
      </c>
      <c r="HX549">
        <v>342.3</v>
      </c>
      <c r="HZ549">
        <v>866.2</v>
      </c>
      <c r="IA549">
        <v>1142.8</v>
      </c>
      <c r="IB549">
        <v>1121.5</v>
      </c>
      <c r="IC549">
        <v>2403</v>
      </c>
      <c r="ID549">
        <v>2659.3</v>
      </c>
      <c r="IE549">
        <v>1923.4</v>
      </c>
      <c r="IF549">
        <v>1465.7</v>
      </c>
      <c r="IG549">
        <v>1608.3</v>
      </c>
      <c r="IH549">
        <v>0</v>
      </c>
      <c r="II549">
        <v>0</v>
      </c>
      <c r="IJ549">
        <v>0</v>
      </c>
      <c r="IK549">
        <v>0</v>
      </c>
      <c r="IL549">
        <v>0</v>
      </c>
      <c r="IM549">
        <v>0</v>
      </c>
      <c r="IN549">
        <v>0</v>
      </c>
      <c r="IO549">
        <v>0</v>
      </c>
      <c r="IP549">
        <v>75.099999999999994</v>
      </c>
    </row>
    <row r="550" spans="1:250" ht="18" thickBot="1">
      <c r="A550" s="245"/>
      <c r="B550" s="245" t="s">
        <v>914</v>
      </c>
      <c r="C550" s="230" t="s">
        <v>1010</v>
      </c>
      <c r="D550" s="397"/>
      <c r="E550" s="454">
        <v>0</v>
      </c>
      <c r="F550">
        <v>0</v>
      </c>
      <c r="G550" s="427">
        <v>0</v>
      </c>
      <c r="H550" s="155">
        <v>0</v>
      </c>
      <c r="I550">
        <v>0</v>
      </c>
      <c r="J550">
        <v>0</v>
      </c>
      <c r="K550">
        <v>0</v>
      </c>
      <c r="L550" s="4">
        <v>0</v>
      </c>
      <c r="M550" s="4">
        <v>0</v>
      </c>
      <c r="N550" s="4">
        <v>0</v>
      </c>
      <c r="O550" s="4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R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G550">
        <v>0</v>
      </c>
      <c r="BI550">
        <v>0</v>
      </c>
      <c r="BK550">
        <v>0</v>
      </c>
      <c r="BL550">
        <v>0</v>
      </c>
      <c r="BM550">
        <v>0</v>
      </c>
      <c r="BN550">
        <v>0</v>
      </c>
      <c r="BO550">
        <v>344.70000000000005</v>
      </c>
      <c r="BP550">
        <v>625.70000000000005</v>
      </c>
      <c r="BQ550">
        <v>912.2</v>
      </c>
      <c r="BR550">
        <v>237.7</v>
      </c>
      <c r="BS550">
        <v>0</v>
      </c>
      <c r="BT550">
        <v>0</v>
      </c>
      <c r="BU550">
        <v>0</v>
      </c>
      <c r="BV550">
        <v>0</v>
      </c>
      <c r="BW550">
        <v>1647.4</v>
      </c>
      <c r="BY550">
        <v>453.1</v>
      </c>
      <c r="CA550">
        <v>285.39999999999998</v>
      </c>
      <c r="CB550">
        <v>280.8</v>
      </c>
      <c r="CC550">
        <v>127.7</v>
      </c>
      <c r="CD550">
        <v>0</v>
      </c>
      <c r="CE550">
        <v>0</v>
      </c>
      <c r="CF550">
        <v>0</v>
      </c>
      <c r="CG550">
        <v>0</v>
      </c>
      <c r="CI550">
        <v>0</v>
      </c>
      <c r="CJ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621.70000000000005</v>
      </c>
      <c r="CR550">
        <v>481.70000000000005</v>
      </c>
      <c r="CS550">
        <v>0</v>
      </c>
      <c r="CT550">
        <v>524.6</v>
      </c>
      <c r="CU550">
        <v>514.1</v>
      </c>
      <c r="CV550">
        <v>175.2</v>
      </c>
      <c r="CW550">
        <v>0</v>
      </c>
      <c r="CX550">
        <v>65.099999999999994</v>
      </c>
      <c r="CY550">
        <v>199</v>
      </c>
      <c r="CZ550">
        <v>1907.9</v>
      </c>
      <c r="DA550">
        <v>0</v>
      </c>
      <c r="DB550">
        <v>0</v>
      </c>
      <c r="DC550">
        <v>0</v>
      </c>
      <c r="DD550">
        <v>0</v>
      </c>
      <c r="DE550">
        <v>0</v>
      </c>
      <c r="DF550">
        <v>0</v>
      </c>
      <c r="DG550">
        <v>0</v>
      </c>
      <c r="DH550">
        <v>0</v>
      </c>
      <c r="DI550">
        <v>0</v>
      </c>
      <c r="DJ550">
        <v>0</v>
      </c>
      <c r="DK550">
        <v>0</v>
      </c>
      <c r="DL550">
        <v>0</v>
      </c>
      <c r="DM550">
        <v>1065.4000000000001</v>
      </c>
      <c r="DN550">
        <v>599.70000000000005</v>
      </c>
      <c r="DO550">
        <v>319.7</v>
      </c>
      <c r="DP550">
        <v>1570.6999999999998</v>
      </c>
      <c r="DQ550">
        <v>1399.5</v>
      </c>
      <c r="DR550">
        <v>3581</v>
      </c>
      <c r="DU550">
        <v>1393.2</v>
      </c>
      <c r="DV550">
        <v>2862.6</v>
      </c>
      <c r="DY550">
        <v>2361</v>
      </c>
      <c r="EA550">
        <v>2409.6</v>
      </c>
      <c r="EC550">
        <v>1661.3999999999999</v>
      </c>
      <c r="EE550">
        <v>0</v>
      </c>
      <c r="EF550">
        <v>0</v>
      </c>
      <c r="EG550">
        <v>0</v>
      </c>
      <c r="EH550">
        <v>0</v>
      </c>
      <c r="EI550">
        <v>0</v>
      </c>
      <c r="EJ550">
        <v>0</v>
      </c>
      <c r="EK550">
        <v>0</v>
      </c>
      <c r="EL550">
        <v>0</v>
      </c>
      <c r="EM550">
        <v>0</v>
      </c>
      <c r="EN550">
        <v>0</v>
      </c>
      <c r="EO550">
        <v>0</v>
      </c>
      <c r="EP550">
        <v>944.5</v>
      </c>
      <c r="EQ550">
        <v>3459.7</v>
      </c>
      <c r="ER550">
        <v>1353.5</v>
      </c>
      <c r="ES550">
        <v>182.2</v>
      </c>
      <c r="ET550">
        <v>855.59999999999991</v>
      </c>
      <c r="EU550">
        <v>172.2</v>
      </c>
      <c r="EV550">
        <v>203.2</v>
      </c>
      <c r="EW550">
        <v>1173.0999999999999</v>
      </c>
      <c r="EX550">
        <v>1078.3</v>
      </c>
      <c r="EY550">
        <v>1194.4000000000001</v>
      </c>
      <c r="EZ550">
        <v>1207.0999999999999</v>
      </c>
      <c r="FA550">
        <v>0</v>
      </c>
      <c r="FB550">
        <v>0</v>
      </c>
      <c r="FC550">
        <v>0</v>
      </c>
      <c r="FD550">
        <v>0</v>
      </c>
      <c r="FE550">
        <v>0</v>
      </c>
      <c r="FF550">
        <v>0</v>
      </c>
      <c r="FG550">
        <v>0</v>
      </c>
      <c r="FH550">
        <v>0</v>
      </c>
      <c r="FI550">
        <v>0</v>
      </c>
      <c r="FJ550">
        <v>0</v>
      </c>
      <c r="FK550">
        <v>0</v>
      </c>
      <c r="FL550">
        <v>0</v>
      </c>
      <c r="FM550">
        <v>0</v>
      </c>
      <c r="FN550">
        <v>0</v>
      </c>
      <c r="FO550">
        <v>0</v>
      </c>
      <c r="FP550">
        <v>0</v>
      </c>
      <c r="FQ550">
        <v>0</v>
      </c>
      <c r="FR550">
        <v>0</v>
      </c>
      <c r="FS550">
        <v>0</v>
      </c>
      <c r="FT550">
        <v>0</v>
      </c>
      <c r="FU550">
        <v>0</v>
      </c>
      <c r="FV550">
        <v>0</v>
      </c>
      <c r="FW550">
        <v>0</v>
      </c>
      <c r="FX550">
        <v>0</v>
      </c>
      <c r="FY550">
        <v>0</v>
      </c>
      <c r="FZ550">
        <v>0</v>
      </c>
      <c r="GA550">
        <v>0</v>
      </c>
      <c r="GB550">
        <v>0</v>
      </c>
      <c r="GC550">
        <v>0</v>
      </c>
      <c r="GD550">
        <v>0</v>
      </c>
      <c r="GE550">
        <v>0</v>
      </c>
      <c r="GF550">
        <v>0</v>
      </c>
      <c r="GG550">
        <v>0</v>
      </c>
      <c r="GH550">
        <v>0</v>
      </c>
      <c r="GI550">
        <v>0</v>
      </c>
      <c r="GJ550">
        <v>0</v>
      </c>
      <c r="GK550">
        <v>0</v>
      </c>
      <c r="GL550">
        <v>0</v>
      </c>
      <c r="GO550">
        <v>0</v>
      </c>
      <c r="GP550">
        <v>0</v>
      </c>
      <c r="GQ550">
        <v>0</v>
      </c>
      <c r="GR550">
        <v>0</v>
      </c>
      <c r="GS550">
        <v>0</v>
      </c>
      <c r="GT550">
        <v>0</v>
      </c>
      <c r="GU550">
        <v>0</v>
      </c>
      <c r="GV550">
        <v>0</v>
      </c>
      <c r="GW550">
        <v>0</v>
      </c>
      <c r="GX550">
        <v>0</v>
      </c>
      <c r="GY550">
        <v>0</v>
      </c>
      <c r="GZ550">
        <v>0</v>
      </c>
      <c r="HA550">
        <v>0</v>
      </c>
      <c r="HB550">
        <v>0</v>
      </c>
      <c r="HC550">
        <v>0</v>
      </c>
      <c r="HD550">
        <v>0</v>
      </c>
      <c r="HE550">
        <v>0</v>
      </c>
      <c r="HF550">
        <v>0</v>
      </c>
      <c r="HG550">
        <v>0</v>
      </c>
      <c r="HH550">
        <v>0</v>
      </c>
      <c r="HI550">
        <v>0</v>
      </c>
      <c r="HJ550">
        <v>0</v>
      </c>
      <c r="HK550">
        <v>0</v>
      </c>
      <c r="HL550">
        <v>0</v>
      </c>
      <c r="HM550">
        <v>0</v>
      </c>
      <c r="HN550">
        <v>0</v>
      </c>
      <c r="HO550">
        <v>0</v>
      </c>
      <c r="HP550">
        <v>0</v>
      </c>
      <c r="HQ550">
        <v>0</v>
      </c>
      <c r="HR550">
        <v>0</v>
      </c>
      <c r="HS550">
        <v>0</v>
      </c>
      <c r="HT550">
        <v>0</v>
      </c>
      <c r="HU550">
        <v>0</v>
      </c>
      <c r="HV550">
        <v>0</v>
      </c>
      <c r="HW550">
        <v>404.70000000000005</v>
      </c>
      <c r="HX550">
        <v>342.3</v>
      </c>
      <c r="HZ550">
        <v>866.2</v>
      </c>
      <c r="IA550">
        <v>1142.8</v>
      </c>
      <c r="IB550">
        <v>1121.5</v>
      </c>
      <c r="IC550">
        <v>2403</v>
      </c>
      <c r="ID550">
        <v>2659.3</v>
      </c>
      <c r="IE550">
        <v>1923.4</v>
      </c>
      <c r="IF550">
        <v>1465.7</v>
      </c>
      <c r="IG550">
        <v>1608.3</v>
      </c>
      <c r="IH550">
        <v>0</v>
      </c>
      <c r="II550">
        <v>0</v>
      </c>
      <c r="IJ550">
        <v>0</v>
      </c>
      <c r="IK550">
        <v>0</v>
      </c>
      <c r="IL550">
        <v>0</v>
      </c>
      <c r="IM550">
        <v>0</v>
      </c>
      <c r="IN550">
        <v>0</v>
      </c>
      <c r="IO550">
        <v>0</v>
      </c>
      <c r="IP550">
        <v>75.099999999999994</v>
      </c>
    </row>
    <row r="551" spans="1:250" ht="18" thickBot="1">
      <c r="A551" s="245"/>
      <c r="B551" s="245" t="s">
        <v>915</v>
      </c>
      <c r="C551" s="230" t="s">
        <v>1011</v>
      </c>
      <c r="D551" s="397"/>
      <c r="E551" s="454">
        <v>0</v>
      </c>
      <c r="F551">
        <v>0</v>
      </c>
      <c r="G551" s="427">
        <v>0</v>
      </c>
      <c r="H551" s="155">
        <v>0</v>
      </c>
      <c r="I551">
        <v>0</v>
      </c>
      <c r="J551">
        <v>0</v>
      </c>
      <c r="K551">
        <v>0</v>
      </c>
      <c r="L551" s="4">
        <v>0</v>
      </c>
      <c r="M551" s="4">
        <v>0</v>
      </c>
      <c r="N551" s="4">
        <v>0</v>
      </c>
      <c r="O551" s="4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R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G551">
        <v>0</v>
      </c>
      <c r="BI551">
        <v>0</v>
      </c>
      <c r="BK551">
        <v>0</v>
      </c>
      <c r="BL551">
        <v>0</v>
      </c>
      <c r="BM551">
        <v>0</v>
      </c>
      <c r="BN551">
        <v>0</v>
      </c>
      <c r="BO551">
        <v>344.70000000000005</v>
      </c>
      <c r="BP551">
        <v>625.70000000000005</v>
      </c>
      <c r="BQ551">
        <v>912.2</v>
      </c>
      <c r="BR551">
        <v>237.7</v>
      </c>
      <c r="BS551">
        <v>0</v>
      </c>
      <c r="BT551">
        <v>0</v>
      </c>
      <c r="BU551">
        <v>0</v>
      </c>
      <c r="BV551">
        <v>0</v>
      </c>
      <c r="BW551">
        <v>1647.4</v>
      </c>
      <c r="BY551">
        <v>453.1</v>
      </c>
      <c r="CA551">
        <v>285.39999999999998</v>
      </c>
      <c r="CB551">
        <v>280.8</v>
      </c>
      <c r="CC551">
        <v>127.7</v>
      </c>
      <c r="CD551">
        <v>0</v>
      </c>
      <c r="CE551">
        <v>0</v>
      </c>
      <c r="CF551">
        <v>0</v>
      </c>
      <c r="CG551">
        <v>0</v>
      </c>
      <c r="CI551">
        <v>0</v>
      </c>
      <c r="CJ551">
        <v>0</v>
      </c>
      <c r="CL551">
        <v>0</v>
      </c>
      <c r="CM551">
        <v>0</v>
      </c>
      <c r="CN551">
        <v>0</v>
      </c>
      <c r="CO551">
        <v>0</v>
      </c>
      <c r="CP551">
        <v>0</v>
      </c>
      <c r="CQ551">
        <v>621.70000000000005</v>
      </c>
      <c r="CR551">
        <v>481.70000000000005</v>
      </c>
      <c r="CS551">
        <v>0</v>
      </c>
      <c r="CT551">
        <v>524.6</v>
      </c>
      <c r="CU551">
        <v>514.1</v>
      </c>
      <c r="CV551">
        <v>175.2</v>
      </c>
      <c r="CW551">
        <v>0</v>
      </c>
      <c r="CX551">
        <v>65.099999999999994</v>
      </c>
      <c r="CY551">
        <v>199</v>
      </c>
      <c r="CZ551">
        <v>1907.9</v>
      </c>
      <c r="DA551">
        <v>0</v>
      </c>
      <c r="DB551">
        <v>0</v>
      </c>
      <c r="DC551">
        <v>0</v>
      </c>
      <c r="DD551">
        <v>0</v>
      </c>
      <c r="DE551">
        <v>0</v>
      </c>
      <c r="DF551">
        <v>0</v>
      </c>
      <c r="DG551">
        <v>0</v>
      </c>
      <c r="DH551">
        <v>0</v>
      </c>
      <c r="DI551">
        <v>0</v>
      </c>
      <c r="DJ551">
        <v>0</v>
      </c>
      <c r="DK551">
        <v>0</v>
      </c>
      <c r="DL551">
        <v>0</v>
      </c>
      <c r="DM551">
        <v>1065.4000000000001</v>
      </c>
      <c r="DN551">
        <v>599.70000000000005</v>
      </c>
      <c r="DO551">
        <v>319.7</v>
      </c>
      <c r="DP551">
        <v>1570.6999999999998</v>
      </c>
      <c r="DQ551">
        <v>1399.5</v>
      </c>
      <c r="DR551">
        <v>3581</v>
      </c>
      <c r="DU551">
        <v>1393.2</v>
      </c>
      <c r="DV551">
        <v>2862.6</v>
      </c>
      <c r="DY551">
        <v>2361</v>
      </c>
      <c r="EA551">
        <v>2409.6</v>
      </c>
      <c r="EC551">
        <v>1661.3999999999999</v>
      </c>
      <c r="EE551">
        <v>0</v>
      </c>
      <c r="EF551">
        <v>0</v>
      </c>
      <c r="EG551">
        <v>0</v>
      </c>
      <c r="EH551">
        <v>0</v>
      </c>
      <c r="EI551">
        <v>0</v>
      </c>
      <c r="EJ551">
        <v>0</v>
      </c>
      <c r="EK551">
        <v>0</v>
      </c>
      <c r="EL551">
        <v>0</v>
      </c>
      <c r="EM551">
        <v>0</v>
      </c>
      <c r="EN551">
        <v>0</v>
      </c>
      <c r="EO551">
        <v>0</v>
      </c>
      <c r="EP551">
        <v>944.5</v>
      </c>
      <c r="EQ551">
        <v>3459.7</v>
      </c>
      <c r="ER551">
        <v>1353.5</v>
      </c>
      <c r="ES551">
        <v>182.2</v>
      </c>
      <c r="ET551">
        <v>855.59999999999991</v>
      </c>
      <c r="EU551">
        <v>172.2</v>
      </c>
      <c r="EV551">
        <v>203.2</v>
      </c>
      <c r="EW551">
        <v>1173.0999999999999</v>
      </c>
      <c r="EX551">
        <v>1078.3</v>
      </c>
      <c r="EY551">
        <v>1194.4000000000001</v>
      </c>
      <c r="EZ551">
        <v>1207.0999999999999</v>
      </c>
      <c r="FA551">
        <v>0</v>
      </c>
      <c r="FB551">
        <v>0</v>
      </c>
      <c r="FC551">
        <v>0</v>
      </c>
      <c r="FD551">
        <v>0</v>
      </c>
      <c r="FE551">
        <v>0</v>
      </c>
      <c r="FF551">
        <v>0</v>
      </c>
      <c r="FG551">
        <v>0</v>
      </c>
      <c r="FH551">
        <v>0</v>
      </c>
      <c r="FI551">
        <v>0</v>
      </c>
      <c r="FJ551">
        <v>0</v>
      </c>
      <c r="FK551">
        <v>0</v>
      </c>
      <c r="FL551">
        <v>0</v>
      </c>
      <c r="FM551">
        <v>0</v>
      </c>
      <c r="FN551">
        <v>0</v>
      </c>
      <c r="FO551">
        <v>0</v>
      </c>
      <c r="FP551">
        <v>0</v>
      </c>
      <c r="FQ551">
        <v>0</v>
      </c>
      <c r="FR551">
        <v>0</v>
      </c>
      <c r="FS551">
        <v>0</v>
      </c>
      <c r="FT551">
        <v>0</v>
      </c>
      <c r="FU551">
        <v>0</v>
      </c>
      <c r="FV551">
        <v>0</v>
      </c>
      <c r="FW551">
        <v>0</v>
      </c>
      <c r="FX551">
        <v>0</v>
      </c>
      <c r="FY551">
        <v>0</v>
      </c>
      <c r="FZ551">
        <v>0</v>
      </c>
      <c r="GA551">
        <v>0</v>
      </c>
      <c r="GB551">
        <v>0</v>
      </c>
      <c r="GC551">
        <v>0</v>
      </c>
      <c r="GD551">
        <v>0</v>
      </c>
      <c r="GE551">
        <v>0</v>
      </c>
      <c r="GF551">
        <v>0</v>
      </c>
      <c r="GG551">
        <v>0</v>
      </c>
      <c r="GH551">
        <v>0</v>
      </c>
      <c r="GI551">
        <v>0</v>
      </c>
      <c r="GJ551">
        <v>0</v>
      </c>
      <c r="GK551">
        <v>0</v>
      </c>
      <c r="GL551">
        <v>0</v>
      </c>
      <c r="GO551">
        <v>0</v>
      </c>
      <c r="GP551">
        <v>0</v>
      </c>
      <c r="GQ551">
        <v>0</v>
      </c>
      <c r="GR551">
        <v>0</v>
      </c>
      <c r="GS551">
        <v>0</v>
      </c>
      <c r="GT551">
        <v>0</v>
      </c>
      <c r="GU551">
        <v>0</v>
      </c>
      <c r="GV551">
        <v>0</v>
      </c>
      <c r="GW551">
        <v>0</v>
      </c>
      <c r="GX551">
        <v>0</v>
      </c>
      <c r="GY551">
        <v>0</v>
      </c>
      <c r="GZ551">
        <v>0</v>
      </c>
      <c r="HA551">
        <v>0</v>
      </c>
      <c r="HB551">
        <v>0</v>
      </c>
      <c r="HC551">
        <v>0</v>
      </c>
      <c r="HD551">
        <v>0</v>
      </c>
      <c r="HE551">
        <v>0</v>
      </c>
      <c r="HF551">
        <v>0</v>
      </c>
      <c r="HG551">
        <v>0</v>
      </c>
      <c r="HH551">
        <v>0</v>
      </c>
      <c r="HI551">
        <v>0</v>
      </c>
      <c r="HJ551">
        <v>0</v>
      </c>
      <c r="HK551">
        <v>0</v>
      </c>
      <c r="HL551">
        <v>0</v>
      </c>
      <c r="HM551">
        <v>0</v>
      </c>
      <c r="HN551">
        <v>0</v>
      </c>
      <c r="HO551">
        <v>0</v>
      </c>
      <c r="HP551">
        <v>0</v>
      </c>
      <c r="HQ551">
        <v>0</v>
      </c>
      <c r="HR551">
        <v>0</v>
      </c>
      <c r="HS551">
        <v>0</v>
      </c>
      <c r="HT551">
        <v>0</v>
      </c>
      <c r="HU551">
        <v>0</v>
      </c>
      <c r="HV551">
        <v>0</v>
      </c>
      <c r="HW551">
        <v>404.70000000000005</v>
      </c>
      <c r="HX551">
        <v>342.3</v>
      </c>
      <c r="HZ551">
        <v>866.2</v>
      </c>
      <c r="IA551">
        <v>1142.8</v>
      </c>
      <c r="IB551">
        <v>1121.5</v>
      </c>
      <c r="IC551">
        <v>2403</v>
      </c>
      <c r="ID551">
        <v>2659.3</v>
      </c>
      <c r="IE551">
        <v>1923.4</v>
      </c>
      <c r="IF551">
        <v>1465.7</v>
      </c>
      <c r="IG551">
        <v>1608.3</v>
      </c>
      <c r="IH551">
        <v>0</v>
      </c>
      <c r="II551">
        <v>0</v>
      </c>
      <c r="IJ551">
        <v>0</v>
      </c>
      <c r="IK551">
        <v>0</v>
      </c>
      <c r="IL551">
        <v>0</v>
      </c>
      <c r="IM551">
        <v>0</v>
      </c>
      <c r="IN551">
        <v>0</v>
      </c>
      <c r="IO551">
        <v>0</v>
      </c>
      <c r="IP551">
        <v>75.099999999999994</v>
      </c>
    </row>
    <row r="552" spans="1:250" ht="18" thickBot="1">
      <c r="A552" s="245"/>
      <c r="B552" s="245" t="s">
        <v>916</v>
      </c>
      <c r="C552" s="230" t="s">
        <v>1012</v>
      </c>
      <c r="D552" s="397"/>
      <c r="E552" s="454">
        <v>0</v>
      </c>
      <c r="F552">
        <v>0</v>
      </c>
      <c r="G552" s="427">
        <v>0</v>
      </c>
      <c r="H552" s="155">
        <v>0</v>
      </c>
      <c r="I552">
        <v>0</v>
      </c>
      <c r="J552">
        <v>0</v>
      </c>
      <c r="K552">
        <v>0</v>
      </c>
      <c r="L552" s="4">
        <v>0</v>
      </c>
      <c r="M552" s="4">
        <v>0</v>
      </c>
      <c r="N552" s="4">
        <v>0</v>
      </c>
      <c r="O552" s="4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R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G552">
        <v>0</v>
      </c>
      <c r="BI552">
        <v>0</v>
      </c>
      <c r="BK552">
        <v>0</v>
      </c>
      <c r="BL552">
        <v>0</v>
      </c>
      <c r="BM552">
        <v>0</v>
      </c>
      <c r="BN552">
        <v>0</v>
      </c>
      <c r="BO552">
        <v>344.70000000000005</v>
      </c>
      <c r="BP552">
        <v>625.70000000000005</v>
      </c>
      <c r="BQ552">
        <v>912.2</v>
      </c>
      <c r="BR552">
        <v>237.7</v>
      </c>
      <c r="BS552">
        <v>0</v>
      </c>
      <c r="BT552">
        <v>0</v>
      </c>
      <c r="BU552">
        <v>0</v>
      </c>
      <c r="BV552">
        <v>0</v>
      </c>
      <c r="BW552">
        <v>1647.4</v>
      </c>
      <c r="BY552">
        <v>453.1</v>
      </c>
      <c r="CA552">
        <v>285.39999999999998</v>
      </c>
      <c r="CB552">
        <v>280.8</v>
      </c>
      <c r="CC552">
        <v>127.7</v>
      </c>
      <c r="CD552">
        <v>0</v>
      </c>
      <c r="CE552">
        <v>0</v>
      </c>
      <c r="CF552">
        <v>0</v>
      </c>
      <c r="CG552">
        <v>0</v>
      </c>
      <c r="CI552">
        <v>0</v>
      </c>
      <c r="CJ552">
        <v>0</v>
      </c>
      <c r="CL552">
        <v>0</v>
      </c>
      <c r="CM552">
        <v>0</v>
      </c>
      <c r="CN552">
        <v>0</v>
      </c>
      <c r="CO552">
        <v>0</v>
      </c>
      <c r="CP552">
        <v>0</v>
      </c>
      <c r="CQ552">
        <v>621.70000000000005</v>
      </c>
      <c r="CR552">
        <v>481.70000000000005</v>
      </c>
      <c r="CS552">
        <v>0</v>
      </c>
      <c r="CT552">
        <v>524.6</v>
      </c>
      <c r="CU552">
        <v>514.1</v>
      </c>
      <c r="CV552">
        <v>175.2</v>
      </c>
      <c r="CW552">
        <v>0</v>
      </c>
      <c r="CX552">
        <v>65.099999999999994</v>
      </c>
      <c r="CY552">
        <v>199</v>
      </c>
      <c r="CZ552">
        <v>1907.9</v>
      </c>
      <c r="DA552">
        <v>0</v>
      </c>
      <c r="DB552">
        <v>0</v>
      </c>
      <c r="DC552">
        <v>0</v>
      </c>
      <c r="DD552">
        <v>0</v>
      </c>
      <c r="DE552">
        <v>0</v>
      </c>
      <c r="DF552">
        <v>0</v>
      </c>
      <c r="DG552">
        <v>0</v>
      </c>
      <c r="DH552">
        <v>0</v>
      </c>
      <c r="DI552">
        <v>0</v>
      </c>
      <c r="DJ552">
        <v>0</v>
      </c>
      <c r="DK552">
        <v>0</v>
      </c>
      <c r="DL552">
        <v>0</v>
      </c>
      <c r="DM552">
        <v>1065.4000000000001</v>
      </c>
      <c r="DN552">
        <v>599.70000000000005</v>
      </c>
      <c r="DO552">
        <v>319.7</v>
      </c>
      <c r="DP552">
        <v>1570.6999999999998</v>
      </c>
      <c r="DQ552">
        <v>1399.5</v>
      </c>
      <c r="DR552">
        <v>3581</v>
      </c>
      <c r="DU552">
        <v>1393.2</v>
      </c>
      <c r="DV552">
        <v>2862.6</v>
      </c>
      <c r="DY552">
        <v>2361</v>
      </c>
      <c r="EA552">
        <v>2409.6</v>
      </c>
      <c r="EC552">
        <v>1661.3999999999999</v>
      </c>
      <c r="EE552">
        <v>0</v>
      </c>
      <c r="EF552">
        <v>0</v>
      </c>
      <c r="EG552">
        <v>0</v>
      </c>
      <c r="EH552">
        <v>0</v>
      </c>
      <c r="EI552">
        <v>0</v>
      </c>
      <c r="EJ552">
        <v>0</v>
      </c>
      <c r="EK552">
        <v>0</v>
      </c>
      <c r="EL552">
        <v>0</v>
      </c>
      <c r="EM552">
        <v>0</v>
      </c>
      <c r="EN552">
        <v>0</v>
      </c>
      <c r="EO552">
        <v>0</v>
      </c>
      <c r="EP552">
        <v>944.5</v>
      </c>
      <c r="EQ552">
        <v>3459.7</v>
      </c>
      <c r="ER552">
        <v>1353.5</v>
      </c>
      <c r="ES552">
        <v>182.2</v>
      </c>
      <c r="ET552">
        <v>855.59999999999991</v>
      </c>
      <c r="EU552">
        <v>172.2</v>
      </c>
      <c r="EV552">
        <v>203.2</v>
      </c>
      <c r="EW552">
        <v>1173.0999999999999</v>
      </c>
      <c r="EX552">
        <v>1078.3</v>
      </c>
      <c r="EY552">
        <v>1194.4000000000001</v>
      </c>
      <c r="EZ552">
        <v>1207.0999999999999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0</v>
      </c>
      <c r="FG552">
        <v>0</v>
      </c>
      <c r="FH552">
        <v>0</v>
      </c>
      <c r="FI552">
        <v>0</v>
      </c>
      <c r="FJ552">
        <v>0</v>
      </c>
      <c r="FK552">
        <v>0</v>
      </c>
      <c r="FL552">
        <v>0</v>
      </c>
      <c r="FM552">
        <v>0</v>
      </c>
      <c r="FN552">
        <v>0</v>
      </c>
      <c r="FO552">
        <v>0</v>
      </c>
      <c r="FP552">
        <v>0</v>
      </c>
      <c r="FQ552">
        <v>0</v>
      </c>
      <c r="FR552">
        <v>0</v>
      </c>
      <c r="FS552">
        <v>0</v>
      </c>
      <c r="FT552">
        <v>0</v>
      </c>
      <c r="FU552">
        <v>0</v>
      </c>
      <c r="FV552">
        <v>0</v>
      </c>
      <c r="FW552">
        <v>0</v>
      </c>
      <c r="FX552">
        <v>0</v>
      </c>
      <c r="FY552">
        <v>0</v>
      </c>
      <c r="FZ552">
        <v>0</v>
      </c>
      <c r="GA552">
        <v>0</v>
      </c>
      <c r="GB552">
        <v>0</v>
      </c>
      <c r="GC552">
        <v>0</v>
      </c>
      <c r="GD552">
        <v>0</v>
      </c>
      <c r="GE552">
        <v>0</v>
      </c>
      <c r="GF552">
        <v>0</v>
      </c>
      <c r="GG552">
        <v>0</v>
      </c>
      <c r="GH552">
        <v>0</v>
      </c>
      <c r="GI552">
        <v>0</v>
      </c>
      <c r="GJ552">
        <v>0</v>
      </c>
      <c r="GK552">
        <v>0</v>
      </c>
      <c r="GL552">
        <v>0</v>
      </c>
      <c r="GO552">
        <v>0</v>
      </c>
      <c r="GP552">
        <v>0</v>
      </c>
      <c r="GQ552">
        <v>0</v>
      </c>
      <c r="GR552">
        <v>0</v>
      </c>
      <c r="GS552">
        <v>0</v>
      </c>
      <c r="GT552">
        <v>0</v>
      </c>
      <c r="GU552">
        <v>0</v>
      </c>
      <c r="GV552">
        <v>0</v>
      </c>
      <c r="GW552">
        <v>0</v>
      </c>
      <c r="GX552">
        <v>0</v>
      </c>
      <c r="GY552">
        <v>0</v>
      </c>
      <c r="GZ552">
        <v>0</v>
      </c>
      <c r="HA552">
        <v>0</v>
      </c>
      <c r="HB552">
        <v>0</v>
      </c>
      <c r="HC552">
        <v>0</v>
      </c>
      <c r="HD552">
        <v>0</v>
      </c>
      <c r="HE552">
        <v>0</v>
      </c>
      <c r="HF552">
        <v>0</v>
      </c>
      <c r="HG552">
        <v>0</v>
      </c>
      <c r="HH552">
        <v>0</v>
      </c>
      <c r="HI552">
        <v>0</v>
      </c>
      <c r="HJ552">
        <v>0</v>
      </c>
      <c r="HK552">
        <v>0</v>
      </c>
      <c r="HL552">
        <v>0</v>
      </c>
      <c r="HM552">
        <v>0</v>
      </c>
      <c r="HN552">
        <v>0</v>
      </c>
      <c r="HO552">
        <v>0</v>
      </c>
      <c r="HP552">
        <v>0</v>
      </c>
      <c r="HQ552">
        <v>0</v>
      </c>
      <c r="HR552">
        <v>0</v>
      </c>
      <c r="HS552">
        <v>0</v>
      </c>
      <c r="HT552">
        <v>0</v>
      </c>
      <c r="HU552">
        <v>0</v>
      </c>
      <c r="HV552">
        <v>0</v>
      </c>
      <c r="HW552">
        <v>404.70000000000005</v>
      </c>
      <c r="HX552">
        <v>342.3</v>
      </c>
      <c r="HZ552">
        <v>866.2</v>
      </c>
      <c r="IA552">
        <v>1142.8</v>
      </c>
      <c r="IB552">
        <v>1121.5</v>
      </c>
      <c r="IC552">
        <v>2403</v>
      </c>
      <c r="ID552">
        <v>2659.3</v>
      </c>
      <c r="IE552">
        <v>1923.4</v>
      </c>
      <c r="IF552">
        <v>1465.7</v>
      </c>
      <c r="IG552">
        <v>1608.3</v>
      </c>
      <c r="IH552">
        <v>0</v>
      </c>
      <c r="II552">
        <v>0</v>
      </c>
      <c r="IJ552">
        <v>0</v>
      </c>
      <c r="IK552">
        <v>0</v>
      </c>
      <c r="IL552">
        <v>0</v>
      </c>
      <c r="IM552">
        <v>0</v>
      </c>
      <c r="IN552">
        <v>0</v>
      </c>
      <c r="IO552">
        <v>0</v>
      </c>
      <c r="IP552">
        <v>75.099999999999994</v>
      </c>
    </row>
    <row r="553" spans="1:250" ht="18" thickBot="1">
      <c r="A553" s="245"/>
      <c r="B553" s="245" t="s">
        <v>917</v>
      </c>
      <c r="C553" s="230" t="s">
        <v>1013</v>
      </c>
      <c r="D553" s="397"/>
      <c r="E553" s="454">
        <v>0</v>
      </c>
      <c r="F553">
        <v>0</v>
      </c>
      <c r="G553" s="427">
        <v>0</v>
      </c>
      <c r="H553" s="155">
        <v>0</v>
      </c>
      <c r="I553">
        <v>0</v>
      </c>
      <c r="J553">
        <v>0</v>
      </c>
      <c r="K553">
        <v>0</v>
      </c>
      <c r="L553" s="4">
        <v>0</v>
      </c>
      <c r="M553" s="4">
        <v>0</v>
      </c>
      <c r="N553" s="4">
        <v>0</v>
      </c>
      <c r="O553" s="4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R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G553">
        <v>0</v>
      </c>
      <c r="BI553">
        <v>0</v>
      </c>
      <c r="BK553">
        <v>0</v>
      </c>
      <c r="BL553">
        <v>0</v>
      </c>
      <c r="BM553">
        <v>0</v>
      </c>
      <c r="BN553">
        <v>0</v>
      </c>
      <c r="BO553">
        <v>344.70000000000005</v>
      </c>
      <c r="BP553">
        <v>625.70000000000005</v>
      </c>
      <c r="BQ553">
        <v>912.2</v>
      </c>
      <c r="BR553">
        <v>237.7</v>
      </c>
      <c r="BS553">
        <v>0</v>
      </c>
      <c r="BT553">
        <v>0</v>
      </c>
      <c r="BU553">
        <v>0</v>
      </c>
      <c r="BV553">
        <v>0</v>
      </c>
      <c r="BW553">
        <v>1647.4</v>
      </c>
      <c r="BY553">
        <v>453.1</v>
      </c>
      <c r="CA553">
        <v>285.39999999999998</v>
      </c>
      <c r="CB553">
        <v>280.8</v>
      </c>
      <c r="CC553">
        <v>127.7</v>
      </c>
      <c r="CD553">
        <v>0</v>
      </c>
      <c r="CE553">
        <v>0</v>
      </c>
      <c r="CF553">
        <v>0</v>
      </c>
      <c r="CG553">
        <v>0</v>
      </c>
      <c r="CI553">
        <v>0</v>
      </c>
      <c r="CJ553">
        <v>0</v>
      </c>
      <c r="CL553">
        <v>0</v>
      </c>
      <c r="CM553">
        <v>0</v>
      </c>
      <c r="CN553">
        <v>0</v>
      </c>
      <c r="CO553">
        <v>0</v>
      </c>
      <c r="CP553">
        <v>0</v>
      </c>
      <c r="CQ553">
        <v>621.70000000000005</v>
      </c>
      <c r="CR553">
        <v>481.70000000000005</v>
      </c>
      <c r="CS553">
        <v>0</v>
      </c>
      <c r="CT553">
        <v>524.6</v>
      </c>
      <c r="CU553">
        <v>514.1</v>
      </c>
      <c r="CV553">
        <v>175.2</v>
      </c>
      <c r="CW553">
        <v>0</v>
      </c>
      <c r="CX553">
        <v>65.099999999999994</v>
      </c>
      <c r="CY553">
        <v>199</v>
      </c>
      <c r="CZ553">
        <v>1907.9</v>
      </c>
      <c r="DA553">
        <v>0</v>
      </c>
      <c r="DB553">
        <v>0</v>
      </c>
      <c r="DC553">
        <v>0</v>
      </c>
      <c r="DD553">
        <v>0</v>
      </c>
      <c r="DE553">
        <v>0</v>
      </c>
      <c r="DF553">
        <v>0</v>
      </c>
      <c r="DG553">
        <v>0</v>
      </c>
      <c r="DH553">
        <v>0</v>
      </c>
      <c r="DI553">
        <v>0</v>
      </c>
      <c r="DJ553">
        <v>0</v>
      </c>
      <c r="DK553">
        <v>0</v>
      </c>
      <c r="DL553">
        <v>0</v>
      </c>
      <c r="DM553">
        <v>1065.4000000000001</v>
      </c>
      <c r="DN553">
        <v>599.70000000000005</v>
      </c>
      <c r="DO553">
        <v>319.7</v>
      </c>
      <c r="DP553">
        <v>1570.6999999999998</v>
      </c>
      <c r="DQ553">
        <v>1399.5</v>
      </c>
      <c r="DR553">
        <v>3581</v>
      </c>
      <c r="DU553">
        <v>1393.2</v>
      </c>
      <c r="DV553">
        <v>2862.6</v>
      </c>
      <c r="DY553">
        <v>2361</v>
      </c>
      <c r="EA553">
        <v>2409.6</v>
      </c>
      <c r="EC553">
        <v>1661.3999999999999</v>
      </c>
      <c r="EE553">
        <v>0</v>
      </c>
      <c r="EF553">
        <v>0</v>
      </c>
      <c r="EG553">
        <v>0</v>
      </c>
      <c r="EH553">
        <v>0</v>
      </c>
      <c r="EI553">
        <v>0</v>
      </c>
      <c r="EJ553">
        <v>0</v>
      </c>
      <c r="EK553">
        <v>0</v>
      </c>
      <c r="EL553">
        <v>0</v>
      </c>
      <c r="EM553">
        <v>0</v>
      </c>
      <c r="EN553">
        <v>0</v>
      </c>
      <c r="EO553">
        <v>0</v>
      </c>
      <c r="EP553">
        <v>944.5</v>
      </c>
      <c r="EQ553">
        <v>3459.7</v>
      </c>
      <c r="ER553">
        <v>1353.5</v>
      </c>
      <c r="ES553">
        <v>182.2</v>
      </c>
      <c r="ET553">
        <v>855.59999999999991</v>
      </c>
      <c r="EU553">
        <v>172.2</v>
      </c>
      <c r="EV553">
        <v>203.2</v>
      </c>
      <c r="EW553">
        <v>1173.0999999999999</v>
      </c>
      <c r="EX553">
        <v>1078.3</v>
      </c>
      <c r="EY553">
        <v>1194.4000000000001</v>
      </c>
      <c r="EZ553">
        <v>1207.0999999999999</v>
      </c>
      <c r="FA553">
        <v>0</v>
      </c>
      <c r="FB553">
        <v>0</v>
      </c>
      <c r="FC553">
        <v>0</v>
      </c>
      <c r="FD553">
        <v>0</v>
      </c>
      <c r="FE553">
        <v>0</v>
      </c>
      <c r="FF553">
        <v>0</v>
      </c>
      <c r="FG553">
        <v>0</v>
      </c>
      <c r="FH553">
        <v>0</v>
      </c>
      <c r="FI553">
        <v>0</v>
      </c>
      <c r="FJ553">
        <v>0</v>
      </c>
      <c r="FK553">
        <v>0</v>
      </c>
      <c r="FL553">
        <v>0</v>
      </c>
      <c r="FM553">
        <v>0</v>
      </c>
      <c r="FN553">
        <v>0</v>
      </c>
      <c r="FO553">
        <v>0</v>
      </c>
      <c r="FP553">
        <v>0</v>
      </c>
      <c r="FQ553">
        <v>0</v>
      </c>
      <c r="FR553">
        <v>0</v>
      </c>
      <c r="FS553">
        <v>0</v>
      </c>
      <c r="FT553">
        <v>0</v>
      </c>
      <c r="FU553">
        <v>0</v>
      </c>
      <c r="FV553">
        <v>0</v>
      </c>
      <c r="FW553">
        <v>0</v>
      </c>
      <c r="FX553">
        <v>0</v>
      </c>
      <c r="FY553">
        <v>0</v>
      </c>
      <c r="FZ553">
        <v>0</v>
      </c>
      <c r="GA553">
        <v>0</v>
      </c>
      <c r="GB553">
        <v>0</v>
      </c>
      <c r="GC553">
        <v>0</v>
      </c>
      <c r="GD553">
        <v>0</v>
      </c>
      <c r="GE553">
        <v>0</v>
      </c>
      <c r="GF553">
        <v>0</v>
      </c>
      <c r="GG553">
        <v>0</v>
      </c>
      <c r="GH553">
        <v>0</v>
      </c>
      <c r="GI553">
        <v>0</v>
      </c>
      <c r="GJ553">
        <v>0</v>
      </c>
      <c r="GK553">
        <v>0</v>
      </c>
      <c r="GL553">
        <v>0</v>
      </c>
      <c r="GO553">
        <v>0</v>
      </c>
      <c r="GP553">
        <v>0</v>
      </c>
      <c r="GQ553">
        <v>0</v>
      </c>
      <c r="GR553">
        <v>0</v>
      </c>
      <c r="GS553">
        <v>0</v>
      </c>
      <c r="GT553">
        <v>0</v>
      </c>
      <c r="GU553">
        <v>0</v>
      </c>
      <c r="GV553">
        <v>0</v>
      </c>
      <c r="GW553">
        <v>0</v>
      </c>
      <c r="GX553">
        <v>0</v>
      </c>
      <c r="GY553">
        <v>0</v>
      </c>
      <c r="GZ553">
        <v>0</v>
      </c>
      <c r="HA553">
        <v>0</v>
      </c>
      <c r="HB553">
        <v>0</v>
      </c>
      <c r="HC553">
        <v>0</v>
      </c>
      <c r="HD553">
        <v>0</v>
      </c>
      <c r="HE553">
        <v>0</v>
      </c>
      <c r="HF553">
        <v>0</v>
      </c>
      <c r="HG553">
        <v>0</v>
      </c>
      <c r="HH553">
        <v>0</v>
      </c>
      <c r="HI553">
        <v>0</v>
      </c>
      <c r="HJ553">
        <v>0</v>
      </c>
      <c r="HK553">
        <v>0</v>
      </c>
      <c r="HL553">
        <v>0</v>
      </c>
      <c r="HM553">
        <v>0</v>
      </c>
      <c r="HN553">
        <v>0</v>
      </c>
      <c r="HO553">
        <v>0</v>
      </c>
      <c r="HP553">
        <v>0</v>
      </c>
      <c r="HQ553">
        <v>0</v>
      </c>
      <c r="HR553">
        <v>0</v>
      </c>
      <c r="HS553">
        <v>0</v>
      </c>
      <c r="HT553">
        <v>0</v>
      </c>
      <c r="HU553">
        <v>0</v>
      </c>
      <c r="HV553">
        <v>0</v>
      </c>
      <c r="HW553">
        <v>404.70000000000005</v>
      </c>
      <c r="HX553">
        <v>342.3</v>
      </c>
      <c r="HZ553">
        <v>866.2</v>
      </c>
      <c r="IA553">
        <v>1142.8</v>
      </c>
      <c r="IB553">
        <v>1121.5</v>
      </c>
      <c r="IC553">
        <v>2403</v>
      </c>
      <c r="ID553">
        <v>2659.3</v>
      </c>
      <c r="IE553">
        <v>1923.4</v>
      </c>
      <c r="IF553">
        <v>1465.7</v>
      </c>
      <c r="IG553">
        <v>1608.3</v>
      </c>
      <c r="IH553">
        <v>0</v>
      </c>
      <c r="II553">
        <v>0</v>
      </c>
      <c r="IJ553">
        <v>0</v>
      </c>
      <c r="IK553">
        <v>0</v>
      </c>
      <c r="IL553">
        <v>0</v>
      </c>
      <c r="IM553">
        <v>0</v>
      </c>
      <c r="IN553">
        <v>0</v>
      </c>
      <c r="IO553">
        <v>0</v>
      </c>
      <c r="IP553">
        <v>75.099999999999994</v>
      </c>
    </row>
    <row r="554" spans="1:250" ht="18" thickBot="1">
      <c r="A554" s="246"/>
      <c r="B554" s="246" t="s">
        <v>918</v>
      </c>
      <c r="C554" s="334" t="s">
        <v>1014</v>
      </c>
      <c r="D554" s="398"/>
      <c r="E554" s="454">
        <v>0</v>
      </c>
      <c r="F554">
        <v>0</v>
      </c>
      <c r="G554" s="427">
        <v>0</v>
      </c>
      <c r="H554" s="155">
        <v>0</v>
      </c>
      <c r="I554">
        <v>0</v>
      </c>
      <c r="J554">
        <v>0</v>
      </c>
      <c r="K554">
        <v>0</v>
      </c>
      <c r="L554" s="4">
        <v>0</v>
      </c>
      <c r="M554" s="4">
        <v>0</v>
      </c>
      <c r="N554" s="4">
        <v>0</v>
      </c>
      <c r="O554" s="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R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G554">
        <v>0</v>
      </c>
      <c r="BI554">
        <v>0</v>
      </c>
      <c r="BK554">
        <v>0</v>
      </c>
      <c r="BL554">
        <v>0</v>
      </c>
      <c r="BM554">
        <v>0</v>
      </c>
      <c r="BN554">
        <v>0</v>
      </c>
      <c r="BO554">
        <v>344.70000000000005</v>
      </c>
      <c r="BP554">
        <v>625.70000000000005</v>
      </c>
      <c r="BQ554">
        <v>912.2</v>
      </c>
      <c r="BR554">
        <v>237.7</v>
      </c>
      <c r="BS554">
        <v>0</v>
      </c>
      <c r="BT554">
        <v>0</v>
      </c>
      <c r="BU554">
        <v>0</v>
      </c>
      <c r="BV554">
        <v>0</v>
      </c>
      <c r="BW554">
        <v>1647.4</v>
      </c>
      <c r="BY554">
        <v>453.1</v>
      </c>
      <c r="CA554">
        <v>285.39999999999998</v>
      </c>
      <c r="CB554">
        <v>280.8</v>
      </c>
      <c r="CC554">
        <v>127.7</v>
      </c>
      <c r="CD554">
        <v>0</v>
      </c>
      <c r="CE554">
        <v>0</v>
      </c>
      <c r="CF554">
        <v>0</v>
      </c>
      <c r="CG554">
        <v>0</v>
      </c>
      <c r="CI554">
        <v>0</v>
      </c>
      <c r="CJ554">
        <v>0</v>
      </c>
      <c r="CL554">
        <v>0</v>
      </c>
      <c r="CM554">
        <v>0</v>
      </c>
      <c r="CN554">
        <v>0</v>
      </c>
      <c r="CO554">
        <v>0</v>
      </c>
      <c r="CP554">
        <v>0</v>
      </c>
      <c r="CQ554">
        <v>621.70000000000005</v>
      </c>
      <c r="CR554">
        <v>481.70000000000005</v>
      </c>
      <c r="CS554">
        <v>0</v>
      </c>
      <c r="CT554">
        <v>524.6</v>
      </c>
      <c r="CU554">
        <v>514.1</v>
      </c>
      <c r="CV554">
        <v>175.2</v>
      </c>
      <c r="CW554">
        <v>0</v>
      </c>
      <c r="CX554">
        <v>65.099999999999994</v>
      </c>
      <c r="CY554">
        <v>199</v>
      </c>
      <c r="CZ554">
        <v>1907.9</v>
      </c>
      <c r="DA554">
        <v>0</v>
      </c>
      <c r="DB554">
        <v>0</v>
      </c>
      <c r="DC554">
        <v>0</v>
      </c>
      <c r="DD554">
        <v>0</v>
      </c>
      <c r="DE554">
        <v>0</v>
      </c>
      <c r="DF554">
        <v>0</v>
      </c>
      <c r="DG554">
        <v>0</v>
      </c>
      <c r="DH554">
        <v>0</v>
      </c>
      <c r="DI554">
        <v>0</v>
      </c>
      <c r="DJ554">
        <v>0</v>
      </c>
      <c r="DK554">
        <v>0</v>
      </c>
      <c r="DL554">
        <v>0</v>
      </c>
      <c r="DM554">
        <v>1065.4000000000001</v>
      </c>
      <c r="DN554">
        <v>599.70000000000005</v>
      </c>
      <c r="DO554">
        <v>319.7</v>
      </c>
      <c r="DP554">
        <v>1570.6999999999998</v>
      </c>
      <c r="DQ554">
        <v>1399.5</v>
      </c>
      <c r="DR554">
        <v>3581</v>
      </c>
      <c r="DU554">
        <v>1393.2</v>
      </c>
      <c r="DV554">
        <v>2862.6</v>
      </c>
      <c r="DY554">
        <v>2361</v>
      </c>
      <c r="EA554">
        <v>2409.6</v>
      </c>
      <c r="EC554">
        <v>1661.3999999999999</v>
      </c>
      <c r="EE554">
        <v>0</v>
      </c>
      <c r="EF554">
        <v>0</v>
      </c>
      <c r="EG554">
        <v>0</v>
      </c>
      <c r="EH554">
        <v>0</v>
      </c>
      <c r="EI554">
        <v>0</v>
      </c>
      <c r="EJ554">
        <v>0</v>
      </c>
      <c r="EK554">
        <v>0</v>
      </c>
      <c r="EL554">
        <v>0</v>
      </c>
      <c r="EM554">
        <v>0</v>
      </c>
      <c r="EN554">
        <v>0</v>
      </c>
      <c r="EO554">
        <v>0</v>
      </c>
      <c r="EP554">
        <v>944.5</v>
      </c>
      <c r="EQ554">
        <v>3459.7</v>
      </c>
      <c r="ER554">
        <v>1353.5</v>
      </c>
      <c r="ES554">
        <v>182.2</v>
      </c>
      <c r="ET554">
        <v>855.59999999999991</v>
      </c>
      <c r="EU554">
        <v>172.2</v>
      </c>
      <c r="EV554">
        <v>203.2</v>
      </c>
      <c r="EW554">
        <v>1173.0999999999999</v>
      </c>
      <c r="EX554">
        <v>1078.3</v>
      </c>
      <c r="EY554">
        <v>1194.4000000000001</v>
      </c>
      <c r="EZ554">
        <v>1207.0999999999999</v>
      </c>
      <c r="FA554">
        <v>0</v>
      </c>
      <c r="FB554">
        <v>0</v>
      </c>
      <c r="FC554">
        <v>0</v>
      </c>
      <c r="FD554">
        <v>0</v>
      </c>
      <c r="FE554">
        <v>0</v>
      </c>
      <c r="FF554">
        <v>0</v>
      </c>
      <c r="FG554">
        <v>0</v>
      </c>
      <c r="FH554">
        <v>0</v>
      </c>
      <c r="FI554">
        <v>0</v>
      </c>
      <c r="FJ554">
        <v>0</v>
      </c>
      <c r="FK554">
        <v>0</v>
      </c>
      <c r="FL554">
        <v>0</v>
      </c>
      <c r="FM554">
        <v>0</v>
      </c>
      <c r="FN554">
        <v>0</v>
      </c>
      <c r="FO554">
        <v>0</v>
      </c>
      <c r="FP554">
        <v>0</v>
      </c>
      <c r="FQ554">
        <v>0</v>
      </c>
      <c r="FR554">
        <v>0</v>
      </c>
      <c r="FS554">
        <v>0</v>
      </c>
      <c r="FT554">
        <v>0</v>
      </c>
      <c r="FU554">
        <v>0</v>
      </c>
      <c r="FV554">
        <v>0</v>
      </c>
      <c r="FW554">
        <v>0</v>
      </c>
      <c r="FX554">
        <v>0</v>
      </c>
      <c r="FY554">
        <v>0</v>
      </c>
      <c r="FZ554">
        <v>0</v>
      </c>
      <c r="GA554">
        <v>0</v>
      </c>
      <c r="GB554">
        <v>0</v>
      </c>
      <c r="GC554">
        <v>0</v>
      </c>
      <c r="GD554">
        <v>0</v>
      </c>
      <c r="GE554">
        <v>0</v>
      </c>
      <c r="GF554">
        <v>0</v>
      </c>
      <c r="GG554">
        <v>0</v>
      </c>
      <c r="GH554">
        <v>0</v>
      </c>
      <c r="GI554">
        <v>0</v>
      </c>
      <c r="GJ554">
        <v>0</v>
      </c>
      <c r="GK554">
        <v>0</v>
      </c>
      <c r="GL554">
        <v>0</v>
      </c>
      <c r="GO554">
        <v>0</v>
      </c>
      <c r="GP554">
        <v>0</v>
      </c>
      <c r="GQ554">
        <v>0</v>
      </c>
      <c r="GR554">
        <v>0</v>
      </c>
      <c r="GS554">
        <v>0</v>
      </c>
      <c r="GT554">
        <v>0</v>
      </c>
      <c r="GU554">
        <v>0</v>
      </c>
      <c r="GV554">
        <v>0</v>
      </c>
      <c r="GW554">
        <v>0</v>
      </c>
      <c r="GX554">
        <v>0</v>
      </c>
      <c r="GY554">
        <v>0</v>
      </c>
      <c r="GZ554">
        <v>0</v>
      </c>
      <c r="HA554">
        <v>0</v>
      </c>
      <c r="HB554">
        <v>0</v>
      </c>
      <c r="HC554">
        <v>0</v>
      </c>
      <c r="HD554">
        <v>0</v>
      </c>
      <c r="HE554">
        <v>0</v>
      </c>
      <c r="HF554">
        <v>0</v>
      </c>
      <c r="HG554">
        <v>0</v>
      </c>
      <c r="HH554">
        <v>0</v>
      </c>
      <c r="HI554">
        <v>0</v>
      </c>
      <c r="HJ554">
        <v>0</v>
      </c>
      <c r="HK554">
        <v>0</v>
      </c>
      <c r="HL554">
        <v>0</v>
      </c>
      <c r="HM554">
        <v>0</v>
      </c>
      <c r="HN554">
        <v>0</v>
      </c>
      <c r="HO554">
        <v>0</v>
      </c>
      <c r="HP554">
        <v>0</v>
      </c>
      <c r="HQ554">
        <v>0</v>
      </c>
      <c r="HR554">
        <v>0</v>
      </c>
      <c r="HS554">
        <v>0</v>
      </c>
      <c r="HT554">
        <v>0</v>
      </c>
      <c r="HU554">
        <v>0</v>
      </c>
      <c r="HV554">
        <v>0</v>
      </c>
      <c r="HW554">
        <v>404.70000000000005</v>
      </c>
      <c r="HX554">
        <v>342.3</v>
      </c>
      <c r="HZ554">
        <v>866.2</v>
      </c>
      <c r="IA554">
        <v>1142.8</v>
      </c>
      <c r="IB554">
        <v>1121.5</v>
      </c>
      <c r="IC554">
        <v>2403</v>
      </c>
      <c r="ID554">
        <v>2659.3</v>
      </c>
      <c r="IE554">
        <v>1923.4</v>
      </c>
      <c r="IF554">
        <v>1465.7</v>
      </c>
      <c r="IG554">
        <v>1608.3</v>
      </c>
      <c r="IH554">
        <v>0</v>
      </c>
      <c r="II554">
        <v>0</v>
      </c>
      <c r="IJ554">
        <v>0</v>
      </c>
      <c r="IK554">
        <v>0</v>
      </c>
      <c r="IL554">
        <v>0</v>
      </c>
      <c r="IM554">
        <v>0</v>
      </c>
      <c r="IN554">
        <v>0</v>
      </c>
      <c r="IO554">
        <v>0</v>
      </c>
      <c r="IP554">
        <v>75.099999999999994</v>
      </c>
    </row>
    <row r="555" spans="1:250" ht="18.600000000000001" thickTop="1" thickBot="1">
      <c r="A555" s="181"/>
      <c r="B555" s="181" t="s">
        <v>919</v>
      </c>
      <c r="C555" s="330"/>
      <c r="D555" s="395"/>
      <c r="E555" s="454">
        <v>0</v>
      </c>
      <c r="F555">
        <v>0</v>
      </c>
      <c r="G555" s="427">
        <v>0</v>
      </c>
      <c r="H555" s="155">
        <v>0</v>
      </c>
      <c r="I555">
        <v>0</v>
      </c>
      <c r="J555">
        <v>0</v>
      </c>
      <c r="K555">
        <v>0</v>
      </c>
      <c r="L555" s="4">
        <v>0</v>
      </c>
      <c r="M555" s="4">
        <v>0</v>
      </c>
      <c r="N555" s="4">
        <v>0</v>
      </c>
      <c r="O555" s="4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R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G555">
        <v>0</v>
      </c>
      <c r="BI555">
        <v>0</v>
      </c>
      <c r="BK555">
        <v>0</v>
      </c>
      <c r="BL555">
        <v>0</v>
      </c>
      <c r="BM555">
        <v>0</v>
      </c>
      <c r="BN555">
        <v>0</v>
      </c>
      <c r="BO555">
        <v>344.70000000000005</v>
      </c>
      <c r="BP555">
        <v>625.70000000000005</v>
      </c>
      <c r="BQ555">
        <v>912.2</v>
      </c>
      <c r="BR555">
        <v>237.7</v>
      </c>
      <c r="BS555">
        <v>0</v>
      </c>
      <c r="BT555">
        <v>0</v>
      </c>
      <c r="BU555">
        <v>0</v>
      </c>
      <c r="BV555">
        <v>0</v>
      </c>
      <c r="BW555">
        <v>1647.4</v>
      </c>
      <c r="BY555">
        <v>453.1</v>
      </c>
      <c r="CA555">
        <v>285.39999999999998</v>
      </c>
      <c r="CB555">
        <v>280.8</v>
      </c>
      <c r="CC555">
        <v>127.7</v>
      </c>
      <c r="CD555">
        <v>0</v>
      </c>
      <c r="CE555">
        <v>0</v>
      </c>
      <c r="CF555">
        <v>0</v>
      </c>
      <c r="CG555">
        <v>0</v>
      </c>
      <c r="CI555">
        <v>0</v>
      </c>
      <c r="CJ555">
        <v>0</v>
      </c>
      <c r="CL555">
        <v>0</v>
      </c>
      <c r="CM555">
        <v>0</v>
      </c>
      <c r="CN555">
        <v>0</v>
      </c>
      <c r="CO555">
        <v>0</v>
      </c>
      <c r="CP555">
        <v>0</v>
      </c>
      <c r="CQ555">
        <v>621.70000000000005</v>
      </c>
      <c r="CR555">
        <v>481.70000000000005</v>
      </c>
      <c r="CS555">
        <v>0</v>
      </c>
      <c r="CT555">
        <v>524.6</v>
      </c>
      <c r="CU555">
        <v>514.1</v>
      </c>
      <c r="CV555">
        <v>175.2</v>
      </c>
      <c r="CW555">
        <v>0</v>
      </c>
      <c r="CX555">
        <v>65.099999999999994</v>
      </c>
      <c r="CY555">
        <v>199</v>
      </c>
      <c r="CZ555">
        <v>1907.9</v>
      </c>
      <c r="DA555">
        <v>0</v>
      </c>
      <c r="DB555">
        <v>0</v>
      </c>
      <c r="DC555">
        <v>0</v>
      </c>
      <c r="DD555">
        <v>0</v>
      </c>
      <c r="DE555">
        <v>0</v>
      </c>
      <c r="DF555">
        <v>0</v>
      </c>
      <c r="DG555">
        <v>0</v>
      </c>
      <c r="DH555">
        <v>0</v>
      </c>
      <c r="DI555">
        <v>0</v>
      </c>
      <c r="DJ555">
        <v>0</v>
      </c>
      <c r="DK555">
        <v>0</v>
      </c>
      <c r="DL555">
        <v>0</v>
      </c>
      <c r="DM555">
        <v>1065.4000000000001</v>
      </c>
      <c r="DN555">
        <v>599.70000000000005</v>
      </c>
      <c r="DO555">
        <v>319.7</v>
      </c>
      <c r="DP555">
        <v>1570.6999999999998</v>
      </c>
      <c r="DQ555">
        <v>1399.5</v>
      </c>
      <c r="DR555">
        <v>3581</v>
      </c>
      <c r="DU555">
        <v>1393.2</v>
      </c>
      <c r="DV555">
        <v>2862.6</v>
      </c>
      <c r="DY555">
        <v>2361</v>
      </c>
      <c r="EA555">
        <v>2409.6</v>
      </c>
      <c r="EC555">
        <v>1661.3999999999999</v>
      </c>
      <c r="EE555">
        <v>0</v>
      </c>
      <c r="EF555">
        <v>0</v>
      </c>
      <c r="EG555">
        <v>0</v>
      </c>
      <c r="EH555">
        <v>0</v>
      </c>
      <c r="EI555">
        <v>0</v>
      </c>
      <c r="EJ555">
        <v>0</v>
      </c>
      <c r="EK555">
        <v>0</v>
      </c>
      <c r="EL555">
        <v>0</v>
      </c>
      <c r="EM555">
        <v>0</v>
      </c>
      <c r="EN555">
        <v>0</v>
      </c>
      <c r="EO555">
        <v>0</v>
      </c>
      <c r="EP555">
        <v>944.5</v>
      </c>
      <c r="EQ555">
        <v>3459.7</v>
      </c>
      <c r="ER555">
        <v>1353.5</v>
      </c>
      <c r="ES555">
        <v>182.2</v>
      </c>
      <c r="ET555">
        <v>855.59999999999991</v>
      </c>
      <c r="EU555">
        <v>172.2</v>
      </c>
      <c r="EV555">
        <v>203.2</v>
      </c>
      <c r="EW555">
        <v>1173.0999999999999</v>
      </c>
      <c r="EX555">
        <v>1078.3</v>
      </c>
      <c r="EY555">
        <v>1194.4000000000001</v>
      </c>
      <c r="EZ555">
        <v>1207.0999999999999</v>
      </c>
      <c r="FA555">
        <v>0</v>
      </c>
      <c r="FB555">
        <v>0</v>
      </c>
      <c r="FC555">
        <v>0</v>
      </c>
      <c r="FD555">
        <v>0</v>
      </c>
      <c r="FE555">
        <v>0</v>
      </c>
      <c r="FF555">
        <v>0</v>
      </c>
      <c r="FG555">
        <v>0</v>
      </c>
      <c r="FH555">
        <v>0</v>
      </c>
      <c r="FI555">
        <v>0</v>
      </c>
      <c r="FJ555">
        <v>0</v>
      </c>
      <c r="FK555">
        <v>0</v>
      </c>
      <c r="FL555">
        <v>0</v>
      </c>
      <c r="FM555">
        <v>0</v>
      </c>
      <c r="FN555">
        <v>0</v>
      </c>
      <c r="FO555">
        <v>0</v>
      </c>
      <c r="FP555">
        <v>0</v>
      </c>
      <c r="FQ555">
        <v>0</v>
      </c>
      <c r="FR555">
        <v>0</v>
      </c>
      <c r="FS555">
        <v>0</v>
      </c>
      <c r="FT555">
        <v>0</v>
      </c>
      <c r="FU555">
        <v>0</v>
      </c>
      <c r="FV555">
        <v>0</v>
      </c>
      <c r="FW555">
        <v>0</v>
      </c>
      <c r="FX555">
        <v>0</v>
      </c>
      <c r="FY555">
        <v>0</v>
      </c>
      <c r="FZ555">
        <v>0</v>
      </c>
      <c r="GA555">
        <v>0</v>
      </c>
      <c r="GB555">
        <v>0</v>
      </c>
      <c r="GC555">
        <v>0</v>
      </c>
      <c r="GD555">
        <v>0</v>
      </c>
      <c r="GE555">
        <v>0</v>
      </c>
      <c r="GF555">
        <v>0</v>
      </c>
      <c r="GG555">
        <v>0</v>
      </c>
      <c r="GH555">
        <v>0</v>
      </c>
      <c r="GI555">
        <v>0</v>
      </c>
      <c r="GJ555">
        <v>0</v>
      </c>
      <c r="GK555">
        <v>0</v>
      </c>
      <c r="GL555">
        <v>0</v>
      </c>
      <c r="GO555">
        <v>0</v>
      </c>
      <c r="GP555">
        <v>0</v>
      </c>
      <c r="GQ555">
        <v>0</v>
      </c>
      <c r="GR555">
        <v>0</v>
      </c>
      <c r="GS555">
        <v>0</v>
      </c>
      <c r="GT555">
        <v>0</v>
      </c>
      <c r="GU555">
        <v>0</v>
      </c>
      <c r="GV555">
        <v>0</v>
      </c>
      <c r="GW555">
        <v>0</v>
      </c>
      <c r="GX555">
        <v>0</v>
      </c>
      <c r="GY555">
        <v>0</v>
      </c>
      <c r="GZ555">
        <v>0</v>
      </c>
      <c r="HA555">
        <v>0</v>
      </c>
      <c r="HB555">
        <v>0</v>
      </c>
      <c r="HC555">
        <v>0</v>
      </c>
      <c r="HD555">
        <v>0</v>
      </c>
      <c r="HE555">
        <v>0</v>
      </c>
      <c r="HF555">
        <v>0</v>
      </c>
      <c r="HG555">
        <v>0</v>
      </c>
      <c r="HH555">
        <v>0</v>
      </c>
      <c r="HI555">
        <v>0</v>
      </c>
      <c r="HJ555">
        <v>0</v>
      </c>
      <c r="HK555">
        <v>0</v>
      </c>
      <c r="HL555">
        <v>0</v>
      </c>
      <c r="HM555">
        <v>0</v>
      </c>
      <c r="HN555">
        <v>0</v>
      </c>
      <c r="HO555">
        <v>0</v>
      </c>
      <c r="HP555">
        <v>0</v>
      </c>
      <c r="HQ555">
        <v>0</v>
      </c>
      <c r="HR555">
        <v>0</v>
      </c>
      <c r="HS555">
        <v>0</v>
      </c>
      <c r="HT555">
        <v>0</v>
      </c>
      <c r="HU555">
        <v>0</v>
      </c>
      <c r="HV555">
        <v>0</v>
      </c>
      <c r="HW555">
        <v>404.70000000000005</v>
      </c>
      <c r="HX555">
        <v>342.3</v>
      </c>
      <c r="HZ555">
        <v>866.2</v>
      </c>
      <c r="IA555">
        <v>1142.8</v>
      </c>
      <c r="IB555">
        <v>1121.5</v>
      </c>
      <c r="IC555">
        <v>2403</v>
      </c>
      <c r="ID555">
        <v>2659.3</v>
      </c>
      <c r="IE555">
        <v>1923.4</v>
      </c>
      <c r="IF555">
        <v>1465.7</v>
      </c>
      <c r="IG555">
        <v>1608.3</v>
      </c>
      <c r="IH555">
        <v>0</v>
      </c>
      <c r="II555">
        <v>0</v>
      </c>
      <c r="IJ555">
        <v>0</v>
      </c>
      <c r="IK555">
        <v>0</v>
      </c>
      <c r="IL555">
        <v>0</v>
      </c>
      <c r="IM555">
        <v>0</v>
      </c>
      <c r="IN555">
        <v>0</v>
      </c>
      <c r="IO555">
        <v>0</v>
      </c>
      <c r="IP555">
        <v>75.099999999999994</v>
      </c>
    </row>
    <row r="556" spans="1:250" ht="18" thickBot="1">
      <c r="A556" s="245"/>
      <c r="B556" s="245" t="s">
        <v>920</v>
      </c>
      <c r="C556" s="332" t="s">
        <v>1015</v>
      </c>
      <c r="D556" s="396"/>
      <c r="E556" s="454">
        <v>0</v>
      </c>
      <c r="F556">
        <v>0</v>
      </c>
      <c r="G556" s="427">
        <v>0</v>
      </c>
      <c r="H556" s="155">
        <v>0</v>
      </c>
      <c r="I556">
        <v>0</v>
      </c>
      <c r="J556">
        <v>0</v>
      </c>
      <c r="K556">
        <v>0</v>
      </c>
      <c r="L556" s="4">
        <v>0</v>
      </c>
      <c r="M556" s="4">
        <v>0</v>
      </c>
      <c r="N556" s="4">
        <v>0</v>
      </c>
      <c r="O556" s="4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R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G556">
        <v>0</v>
      </c>
      <c r="BI556">
        <v>0</v>
      </c>
      <c r="BK556">
        <v>0</v>
      </c>
      <c r="BL556">
        <v>0</v>
      </c>
      <c r="BM556">
        <v>0</v>
      </c>
      <c r="BN556">
        <v>0</v>
      </c>
      <c r="BO556">
        <v>344.70000000000005</v>
      </c>
      <c r="BP556">
        <v>625.70000000000005</v>
      </c>
      <c r="BQ556">
        <v>912.2</v>
      </c>
      <c r="BR556">
        <v>237.7</v>
      </c>
      <c r="BS556">
        <v>0</v>
      </c>
      <c r="BT556">
        <v>0</v>
      </c>
      <c r="BU556">
        <v>0</v>
      </c>
      <c r="BV556">
        <v>0</v>
      </c>
      <c r="BW556">
        <v>1647.4</v>
      </c>
      <c r="BY556">
        <v>453.1</v>
      </c>
      <c r="CA556">
        <v>285.39999999999998</v>
      </c>
      <c r="CB556">
        <v>280.8</v>
      </c>
      <c r="CC556">
        <v>127.7</v>
      </c>
      <c r="CD556">
        <v>0</v>
      </c>
      <c r="CE556">
        <v>0</v>
      </c>
      <c r="CF556">
        <v>0</v>
      </c>
      <c r="CG556">
        <v>0</v>
      </c>
      <c r="CI556">
        <v>0</v>
      </c>
      <c r="CJ556">
        <v>0</v>
      </c>
      <c r="CL556">
        <v>0</v>
      </c>
      <c r="CM556">
        <v>0</v>
      </c>
      <c r="CN556">
        <v>0</v>
      </c>
      <c r="CO556">
        <v>0</v>
      </c>
      <c r="CP556">
        <v>0</v>
      </c>
      <c r="CQ556">
        <v>621.70000000000005</v>
      </c>
      <c r="CR556">
        <v>481.70000000000005</v>
      </c>
      <c r="CS556">
        <v>0</v>
      </c>
      <c r="CT556">
        <v>524.6</v>
      </c>
      <c r="CU556">
        <v>514.1</v>
      </c>
      <c r="CV556">
        <v>175.2</v>
      </c>
      <c r="CW556">
        <v>0</v>
      </c>
      <c r="CX556">
        <v>65.099999999999994</v>
      </c>
      <c r="CY556">
        <v>199</v>
      </c>
      <c r="CZ556">
        <v>1907.9</v>
      </c>
      <c r="DA556">
        <v>0</v>
      </c>
      <c r="DB556">
        <v>0</v>
      </c>
      <c r="DC556">
        <v>0</v>
      </c>
      <c r="DD556">
        <v>0</v>
      </c>
      <c r="DE556">
        <v>0</v>
      </c>
      <c r="DF556">
        <v>0</v>
      </c>
      <c r="DG556">
        <v>0</v>
      </c>
      <c r="DH556">
        <v>0</v>
      </c>
      <c r="DI556">
        <v>0</v>
      </c>
      <c r="DJ556">
        <v>0</v>
      </c>
      <c r="DK556">
        <v>0</v>
      </c>
      <c r="DL556">
        <v>0</v>
      </c>
      <c r="DM556">
        <v>1065.4000000000001</v>
      </c>
      <c r="DN556">
        <v>599.70000000000005</v>
      </c>
      <c r="DO556">
        <v>319.7</v>
      </c>
      <c r="DP556">
        <v>1570.6999999999998</v>
      </c>
      <c r="DQ556">
        <v>1399.5</v>
      </c>
      <c r="DR556">
        <v>3581</v>
      </c>
      <c r="DU556">
        <v>1393.2</v>
      </c>
      <c r="DV556">
        <v>2862.6</v>
      </c>
      <c r="DY556">
        <v>2361</v>
      </c>
      <c r="EA556">
        <v>2409.6</v>
      </c>
      <c r="EC556">
        <v>1661.3999999999999</v>
      </c>
      <c r="EE556">
        <v>0</v>
      </c>
      <c r="EF556">
        <v>0</v>
      </c>
      <c r="EG556">
        <v>0</v>
      </c>
      <c r="EH556">
        <v>0</v>
      </c>
      <c r="EI556">
        <v>0</v>
      </c>
      <c r="EJ556">
        <v>0</v>
      </c>
      <c r="EK556">
        <v>0</v>
      </c>
      <c r="EL556">
        <v>0</v>
      </c>
      <c r="EM556">
        <v>0</v>
      </c>
      <c r="EN556">
        <v>0</v>
      </c>
      <c r="EO556">
        <v>0</v>
      </c>
      <c r="EP556">
        <v>944.5</v>
      </c>
      <c r="EQ556">
        <v>3459.7</v>
      </c>
      <c r="ER556">
        <v>1353.5</v>
      </c>
      <c r="ES556">
        <v>182.2</v>
      </c>
      <c r="ET556">
        <v>855.59999999999991</v>
      </c>
      <c r="EU556">
        <v>172.2</v>
      </c>
      <c r="EV556">
        <v>203.2</v>
      </c>
      <c r="EW556">
        <v>1173.0999999999999</v>
      </c>
      <c r="EX556">
        <v>1078.3</v>
      </c>
      <c r="EY556">
        <v>1194.4000000000001</v>
      </c>
      <c r="EZ556">
        <v>1207.0999999999999</v>
      </c>
      <c r="FA556">
        <v>0</v>
      </c>
      <c r="FB556">
        <v>0</v>
      </c>
      <c r="FC556">
        <v>0</v>
      </c>
      <c r="FD556">
        <v>0</v>
      </c>
      <c r="FE556">
        <v>0</v>
      </c>
      <c r="FF556">
        <v>0</v>
      </c>
      <c r="FG556">
        <v>0</v>
      </c>
      <c r="FH556">
        <v>0</v>
      </c>
      <c r="FI556">
        <v>0</v>
      </c>
      <c r="FJ556">
        <v>0</v>
      </c>
      <c r="FK556">
        <v>0</v>
      </c>
      <c r="FL556">
        <v>0</v>
      </c>
      <c r="FM556">
        <v>0</v>
      </c>
      <c r="FN556">
        <v>0</v>
      </c>
      <c r="FO556">
        <v>0</v>
      </c>
      <c r="FP556">
        <v>0</v>
      </c>
      <c r="FQ556">
        <v>0</v>
      </c>
      <c r="FR556">
        <v>0</v>
      </c>
      <c r="FS556">
        <v>0</v>
      </c>
      <c r="FT556">
        <v>0</v>
      </c>
      <c r="FU556">
        <v>0</v>
      </c>
      <c r="FV556">
        <v>0</v>
      </c>
      <c r="FW556">
        <v>0</v>
      </c>
      <c r="FX556">
        <v>0</v>
      </c>
      <c r="FY556">
        <v>0</v>
      </c>
      <c r="FZ556">
        <v>0</v>
      </c>
      <c r="GA556">
        <v>0</v>
      </c>
      <c r="GB556">
        <v>0</v>
      </c>
      <c r="GC556">
        <v>0</v>
      </c>
      <c r="GD556">
        <v>0</v>
      </c>
      <c r="GE556">
        <v>0</v>
      </c>
      <c r="GF556">
        <v>0</v>
      </c>
      <c r="GG556">
        <v>0</v>
      </c>
      <c r="GH556">
        <v>0</v>
      </c>
      <c r="GI556">
        <v>0</v>
      </c>
      <c r="GJ556">
        <v>0</v>
      </c>
      <c r="GK556">
        <v>0</v>
      </c>
      <c r="GL556">
        <v>0</v>
      </c>
      <c r="GO556">
        <v>0</v>
      </c>
      <c r="GP556">
        <v>0</v>
      </c>
      <c r="GQ556">
        <v>0</v>
      </c>
      <c r="GR556">
        <v>0</v>
      </c>
      <c r="GS556">
        <v>0</v>
      </c>
      <c r="GT556">
        <v>0</v>
      </c>
      <c r="GU556">
        <v>0</v>
      </c>
      <c r="GV556">
        <v>0</v>
      </c>
      <c r="GW556">
        <v>0</v>
      </c>
      <c r="GX556">
        <v>0</v>
      </c>
      <c r="GY556">
        <v>0</v>
      </c>
      <c r="GZ556">
        <v>0</v>
      </c>
      <c r="HA556">
        <v>0</v>
      </c>
      <c r="HB556">
        <v>0</v>
      </c>
      <c r="HC556">
        <v>0</v>
      </c>
      <c r="HD556">
        <v>0</v>
      </c>
      <c r="HE556">
        <v>0</v>
      </c>
      <c r="HF556">
        <v>0</v>
      </c>
      <c r="HG556">
        <v>0</v>
      </c>
      <c r="HH556">
        <v>0</v>
      </c>
      <c r="HI556">
        <v>0</v>
      </c>
      <c r="HJ556">
        <v>0</v>
      </c>
      <c r="HK556">
        <v>0</v>
      </c>
      <c r="HL556">
        <v>0</v>
      </c>
      <c r="HM556">
        <v>0</v>
      </c>
      <c r="HN556">
        <v>0</v>
      </c>
      <c r="HO556">
        <v>0</v>
      </c>
      <c r="HP556">
        <v>0</v>
      </c>
      <c r="HQ556">
        <v>0</v>
      </c>
      <c r="HR556">
        <v>0</v>
      </c>
      <c r="HS556">
        <v>0</v>
      </c>
      <c r="HT556">
        <v>0</v>
      </c>
      <c r="HU556">
        <v>0</v>
      </c>
      <c r="HV556">
        <v>0</v>
      </c>
      <c r="HW556">
        <v>404.70000000000005</v>
      </c>
      <c r="HX556">
        <v>342.3</v>
      </c>
      <c r="HZ556">
        <v>866.2</v>
      </c>
      <c r="IA556">
        <v>1142.8</v>
      </c>
      <c r="IB556">
        <v>1121.5</v>
      </c>
      <c r="IC556">
        <v>2403</v>
      </c>
      <c r="ID556">
        <v>2659.3</v>
      </c>
      <c r="IE556">
        <v>1923.4</v>
      </c>
      <c r="IF556">
        <v>1465.7</v>
      </c>
      <c r="IG556">
        <v>1608.3</v>
      </c>
      <c r="IH556">
        <v>0</v>
      </c>
      <c r="II556">
        <v>0</v>
      </c>
      <c r="IJ556">
        <v>0</v>
      </c>
      <c r="IK556">
        <v>0</v>
      </c>
      <c r="IL556">
        <v>0</v>
      </c>
      <c r="IM556">
        <v>0</v>
      </c>
      <c r="IN556">
        <v>0</v>
      </c>
      <c r="IO556">
        <v>0</v>
      </c>
      <c r="IP556">
        <v>75.099999999999994</v>
      </c>
    </row>
    <row r="557" spans="1:250" ht="18" thickBot="1">
      <c r="A557" s="245"/>
      <c r="B557" s="245" t="s">
        <v>921</v>
      </c>
      <c r="C557" s="332" t="s">
        <v>1016</v>
      </c>
      <c r="D557" s="396"/>
      <c r="E557" s="454">
        <v>0</v>
      </c>
      <c r="F557">
        <v>0</v>
      </c>
      <c r="G557" s="427">
        <v>0</v>
      </c>
      <c r="H557" s="155">
        <v>0</v>
      </c>
      <c r="I557">
        <v>0</v>
      </c>
      <c r="J557">
        <v>0</v>
      </c>
      <c r="K557">
        <v>0</v>
      </c>
      <c r="L557" s="4">
        <v>0</v>
      </c>
      <c r="M557" s="4">
        <v>0</v>
      </c>
      <c r="N557" s="4">
        <v>0</v>
      </c>
      <c r="O557" s="4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R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G557">
        <v>0</v>
      </c>
      <c r="BI557">
        <v>0</v>
      </c>
      <c r="BK557">
        <v>0</v>
      </c>
      <c r="BL557">
        <v>0</v>
      </c>
      <c r="BM557">
        <v>0</v>
      </c>
      <c r="BN557">
        <v>0</v>
      </c>
      <c r="BO557">
        <v>344.70000000000005</v>
      </c>
      <c r="BP557">
        <v>625.70000000000005</v>
      </c>
      <c r="BQ557">
        <v>912.2</v>
      </c>
      <c r="BR557">
        <v>237.7</v>
      </c>
      <c r="BS557">
        <v>0</v>
      </c>
      <c r="BT557">
        <v>0</v>
      </c>
      <c r="BU557">
        <v>0</v>
      </c>
      <c r="BV557">
        <v>0</v>
      </c>
      <c r="BW557">
        <v>1647.4</v>
      </c>
      <c r="BY557">
        <v>453.1</v>
      </c>
      <c r="CA557">
        <v>285.39999999999998</v>
      </c>
      <c r="CB557">
        <v>280.8</v>
      </c>
      <c r="CC557">
        <v>127.7</v>
      </c>
      <c r="CD557">
        <v>0</v>
      </c>
      <c r="CE557">
        <v>0</v>
      </c>
      <c r="CF557">
        <v>0</v>
      </c>
      <c r="CG557">
        <v>0</v>
      </c>
      <c r="CI557">
        <v>0</v>
      </c>
      <c r="CJ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621.70000000000005</v>
      </c>
      <c r="CR557">
        <v>481.70000000000005</v>
      </c>
      <c r="CS557">
        <v>0</v>
      </c>
      <c r="CT557">
        <v>524.6</v>
      </c>
      <c r="CU557">
        <v>514.1</v>
      </c>
      <c r="CV557">
        <v>175.2</v>
      </c>
      <c r="CW557">
        <v>0</v>
      </c>
      <c r="CX557">
        <v>65.099999999999994</v>
      </c>
      <c r="CY557">
        <v>199</v>
      </c>
      <c r="CZ557">
        <v>1907.9</v>
      </c>
      <c r="DA557">
        <v>0</v>
      </c>
      <c r="DB557">
        <v>0</v>
      </c>
      <c r="DC557">
        <v>0</v>
      </c>
      <c r="DD557">
        <v>0</v>
      </c>
      <c r="DE557">
        <v>0</v>
      </c>
      <c r="DF557">
        <v>0</v>
      </c>
      <c r="DG557">
        <v>0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1065.4000000000001</v>
      </c>
      <c r="DN557">
        <v>599.70000000000005</v>
      </c>
      <c r="DO557">
        <v>319.7</v>
      </c>
      <c r="DP557">
        <v>1570.6999999999998</v>
      </c>
      <c r="DQ557">
        <v>1399.5</v>
      </c>
      <c r="DR557">
        <v>3581</v>
      </c>
      <c r="DU557">
        <v>1393.2</v>
      </c>
      <c r="DV557">
        <v>2862.6</v>
      </c>
      <c r="DY557">
        <v>2361</v>
      </c>
      <c r="EA557">
        <v>2409.6</v>
      </c>
      <c r="EC557">
        <v>1661.3999999999999</v>
      </c>
      <c r="EE557">
        <v>0</v>
      </c>
      <c r="EF557">
        <v>0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944.5</v>
      </c>
      <c r="EQ557">
        <v>3459.7</v>
      </c>
      <c r="ER557">
        <v>1353.5</v>
      </c>
      <c r="ES557">
        <v>182.2</v>
      </c>
      <c r="ET557">
        <v>855.59999999999991</v>
      </c>
      <c r="EU557">
        <v>172.2</v>
      </c>
      <c r="EV557">
        <v>203.2</v>
      </c>
      <c r="EW557">
        <v>1173.0999999999999</v>
      </c>
      <c r="EX557">
        <v>1078.3</v>
      </c>
      <c r="EY557">
        <v>1194.4000000000001</v>
      </c>
      <c r="EZ557">
        <v>1207.0999999999999</v>
      </c>
      <c r="FA557">
        <v>0</v>
      </c>
      <c r="FB557">
        <v>0</v>
      </c>
      <c r="FC557">
        <v>0</v>
      </c>
      <c r="FD557">
        <v>0</v>
      </c>
      <c r="FE557">
        <v>0</v>
      </c>
      <c r="FF557">
        <v>0</v>
      </c>
      <c r="FG557">
        <v>0</v>
      </c>
      <c r="FH557">
        <v>0</v>
      </c>
      <c r="FI557">
        <v>0</v>
      </c>
      <c r="FJ557">
        <v>0</v>
      </c>
      <c r="FK557">
        <v>0</v>
      </c>
      <c r="FL557">
        <v>0</v>
      </c>
      <c r="FM557">
        <v>0</v>
      </c>
      <c r="FN557">
        <v>0</v>
      </c>
      <c r="FO557">
        <v>0</v>
      </c>
      <c r="FP557">
        <v>0</v>
      </c>
      <c r="FQ557">
        <v>0</v>
      </c>
      <c r="FR557">
        <v>0</v>
      </c>
      <c r="FS557">
        <v>0</v>
      </c>
      <c r="FT557">
        <v>0</v>
      </c>
      <c r="FU557">
        <v>0</v>
      </c>
      <c r="FV557">
        <v>0</v>
      </c>
      <c r="FW557">
        <v>0</v>
      </c>
      <c r="FX557">
        <v>0</v>
      </c>
      <c r="FY557">
        <v>0</v>
      </c>
      <c r="FZ557">
        <v>0</v>
      </c>
      <c r="GA557">
        <v>0</v>
      </c>
      <c r="GB557">
        <v>0</v>
      </c>
      <c r="GC557">
        <v>0</v>
      </c>
      <c r="GD557">
        <v>0</v>
      </c>
      <c r="GE557">
        <v>0</v>
      </c>
      <c r="GF557">
        <v>0</v>
      </c>
      <c r="GG557">
        <v>0</v>
      </c>
      <c r="GH557">
        <v>0</v>
      </c>
      <c r="GI557">
        <v>0</v>
      </c>
      <c r="GJ557">
        <v>0</v>
      </c>
      <c r="GK557">
        <v>0</v>
      </c>
      <c r="GL557">
        <v>0</v>
      </c>
      <c r="GO557">
        <v>0</v>
      </c>
      <c r="GP557">
        <v>0</v>
      </c>
      <c r="GQ557">
        <v>0</v>
      </c>
      <c r="GR557">
        <v>0</v>
      </c>
      <c r="GS557">
        <v>0</v>
      </c>
      <c r="GT557">
        <v>0</v>
      </c>
      <c r="GU557">
        <v>0</v>
      </c>
      <c r="GV557">
        <v>0</v>
      </c>
      <c r="GW557">
        <v>0</v>
      </c>
      <c r="GX557">
        <v>0</v>
      </c>
      <c r="GY557">
        <v>0</v>
      </c>
      <c r="GZ557">
        <v>0</v>
      </c>
      <c r="HA557">
        <v>0</v>
      </c>
      <c r="HB557">
        <v>0</v>
      </c>
      <c r="HC557">
        <v>0</v>
      </c>
      <c r="HD557">
        <v>0</v>
      </c>
      <c r="HE557">
        <v>0</v>
      </c>
      <c r="HF557">
        <v>0</v>
      </c>
      <c r="HG557">
        <v>0</v>
      </c>
      <c r="HH557">
        <v>0</v>
      </c>
      <c r="HI557">
        <v>0</v>
      </c>
      <c r="HJ557">
        <v>0</v>
      </c>
      <c r="HK557">
        <v>0</v>
      </c>
      <c r="HL557">
        <v>0</v>
      </c>
      <c r="HM557">
        <v>0</v>
      </c>
      <c r="HN557">
        <v>0</v>
      </c>
      <c r="HO557">
        <v>0</v>
      </c>
      <c r="HP557">
        <v>0</v>
      </c>
      <c r="HQ557">
        <v>0</v>
      </c>
      <c r="HR557">
        <v>0</v>
      </c>
      <c r="HS557">
        <v>0</v>
      </c>
      <c r="HT557">
        <v>0</v>
      </c>
      <c r="HU557">
        <v>0</v>
      </c>
      <c r="HV557">
        <v>0</v>
      </c>
      <c r="HW557">
        <v>404.70000000000005</v>
      </c>
      <c r="HX557">
        <v>342.3</v>
      </c>
      <c r="HZ557">
        <v>866.2</v>
      </c>
      <c r="IA557">
        <v>1142.8</v>
      </c>
      <c r="IB557">
        <v>1121.5</v>
      </c>
      <c r="IC557">
        <v>2403</v>
      </c>
      <c r="ID557">
        <v>2659.3</v>
      </c>
      <c r="IE557">
        <v>1923.4</v>
      </c>
      <c r="IF557">
        <v>1465.7</v>
      </c>
      <c r="IG557">
        <v>1608.3</v>
      </c>
      <c r="IH557">
        <v>0</v>
      </c>
      <c r="II557">
        <v>0</v>
      </c>
      <c r="IJ557">
        <v>0</v>
      </c>
      <c r="IK557">
        <v>0</v>
      </c>
      <c r="IL557">
        <v>0</v>
      </c>
      <c r="IM557">
        <v>0</v>
      </c>
      <c r="IN557">
        <v>0</v>
      </c>
      <c r="IO557">
        <v>0</v>
      </c>
      <c r="IP557">
        <v>75.099999999999994</v>
      </c>
    </row>
    <row r="558" spans="1:250" ht="18" thickBot="1">
      <c r="A558" s="245"/>
      <c r="B558" s="245" t="s">
        <v>922</v>
      </c>
      <c r="C558" s="332" t="s">
        <v>1017</v>
      </c>
      <c r="D558" s="396"/>
      <c r="E558" s="454">
        <v>0</v>
      </c>
      <c r="F558">
        <v>0</v>
      </c>
      <c r="G558" s="427">
        <v>0</v>
      </c>
      <c r="H558" s="155">
        <v>0</v>
      </c>
      <c r="I558">
        <v>0</v>
      </c>
      <c r="J558">
        <v>0</v>
      </c>
      <c r="K558">
        <v>0</v>
      </c>
      <c r="L558" s="4">
        <v>0</v>
      </c>
      <c r="M558" s="4">
        <v>0</v>
      </c>
      <c r="N558" s="4">
        <v>0</v>
      </c>
      <c r="O558" s="4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R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G558">
        <v>0</v>
      </c>
      <c r="BI558">
        <v>0</v>
      </c>
      <c r="BK558">
        <v>0</v>
      </c>
      <c r="BL558">
        <v>0</v>
      </c>
      <c r="BM558">
        <v>0</v>
      </c>
      <c r="BN558">
        <v>0</v>
      </c>
      <c r="BO558">
        <v>344.70000000000005</v>
      </c>
      <c r="BP558">
        <v>625.70000000000005</v>
      </c>
      <c r="BQ558">
        <v>912.2</v>
      </c>
      <c r="BR558">
        <v>237.7</v>
      </c>
      <c r="BS558">
        <v>0</v>
      </c>
      <c r="BT558">
        <v>0</v>
      </c>
      <c r="BU558">
        <v>0</v>
      </c>
      <c r="BV558">
        <v>0</v>
      </c>
      <c r="BW558">
        <v>1647.4</v>
      </c>
      <c r="BY558">
        <v>453.1</v>
      </c>
      <c r="CA558">
        <v>285.39999999999998</v>
      </c>
      <c r="CB558">
        <v>280.8</v>
      </c>
      <c r="CC558">
        <v>127.7</v>
      </c>
      <c r="CD558">
        <v>0</v>
      </c>
      <c r="CE558">
        <v>0</v>
      </c>
      <c r="CF558">
        <v>0</v>
      </c>
      <c r="CG558">
        <v>0</v>
      </c>
      <c r="CI558">
        <v>0</v>
      </c>
      <c r="CJ558">
        <v>0</v>
      </c>
      <c r="CL558">
        <v>0</v>
      </c>
      <c r="CM558">
        <v>0</v>
      </c>
      <c r="CN558">
        <v>0</v>
      </c>
      <c r="CO558">
        <v>0</v>
      </c>
      <c r="CP558">
        <v>0</v>
      </c>
      <c r="CQ558">
        <v>621.70000000000005</v>
      </c>
      <c r="CR558">
        <v>481.70000000000005</v>
      </c>
      <c r="CS558">
        <v>0</v>
      </c>
      <c r="CT558">
        <v>524.6</v>
      </c>
      <c r="CU558">
        <v>514.1</v>
      </c>
      <c r="CV558">
        <v>175.2</v>
      </c>
      <c r="CW558">
        <v>0</v>
      </c>
      <c r="CX558">
        <v>65.099999999999994</v>
      </c>
      <c r="CY558">
        <v>199</v>
      </c>
      <c r="CZ558">
        <v>1907.9</v>
      </c>
      <c r="DA558">
        <v>0</v>
      </c>
      <c r="DB558">
        <v>0</v>
      </c>
      <c r="DC558">
        <v>0</v>
      </c>
      <c r="DD558">
        <v>0</v>
      </c>
      <c r="DE558">
        <v>0</v>
      </c>
      <c r="DF558">
        <v>0</v>
      </c>
      <c r="DG558">
        <v>0</v>
      </c>
      <c r="DH558">
        <v>0</v>
      </c>
      <c r="DI558">
        <v>0</v>
      </c>
      <c r="DJ558">
        <v>0</v>
      </c>
      <c r="DK558">
        <v>0</v>
      </c>
      <c r="DL558">
        <v>0</v>
      </c>
      <c r="DM558">
        <v>1065.4000000000001</v>
      </c>
      <c r="DN558">
        <v>599.70000000000005</v>
      </c>
      <c r="DO558">
        <v>319.7</v>
      </c>
      <c r="DP558">
        <v>1570.6999999999998</v>
      </c>
      <c r="DQ558">
        <v>1399.5</v>
      </c>
      <c r="DR558">
        <v>3581</v>
      </c>
      <c r="DU558">
        <v>1393.2</v>
      </c>
      <c r="DV558">
        <v>2862.6</v>
      </c>
      <c r="DY558">
        <v>2361</v>
      </c>
      <c r="EA558">
        <v>2409.6</v>
      </c>
      <c r="EC558">
        <v>1661.3999999999999</v>
      </c>
      <c r="EE558">
        <v>0</v>
      </c>
      <c r="EF558">
        <v>0</v>
      </c>
      <c r="EG558">
        <v>0</v>
      </c>
      <c r="EH558">
        <v>0</v>
      </c>
      <c r="EI558">
        <v>0</v>
      </c>
      <c r="EJ558">
        <v>0</v>
      </c>
      <c r="EK558">
        <v>0</v>
      </c>
      <c r="EL558">
        <v>0</v>
      </c>
      <c r="EM558">
        <v>0</v>
      </c>
      <c r="EN558">
        <v>0</v>
      </c>
      <c r="EO558">
        <v>0</v>
      </c>
      <c r="EP558">
        <v>944.5</v>
      </c>
      <c r="EQ558">
        <v>3459.7</v>
      </c>
      <c r="ER558">
        <v>1353.5</v>
      </c>
      <c r="ES558">
        <v>182.2</v>
      </c>
      <c r="ET558">
        <v>855.59999999999991</v>
      </c>
      <c r="EU558">
        <v>172.2</v>
      </c>
      <c r="EV558">
        <v>203.2</v>
      </c>
      <c r="EW558">
        <v>1173.0999999999999</v>
      </c>
      <c r="EX558">
        <v>1078.3</v>
      </c>
      <c r="EY558">
        <v>1194.4000000000001</v>
      </c>
      <c r="EZ558">
        <v>1207.0999999999999</v>
      </c>
      <c r="FA558">
        <v>0</v>
      </c>
      <c r="FB558">
        <v>0</v>
      </c>
      <c r="FC558">
        <v>0</v>
      </c>
      <c r="FD558">
        <v>0</v>
      </c>
      <c r="FE558">
        <v>0</v>
      </c>
      <c r="FF558">
        <v>0</v>
      </c>
      <c r="FG558">
        <v>0</v>
      </c>
      <c r="FH558">
        <v>0</v>
      </c>
      <c r="FI558">
        <v>0</v>
      </c>
      <c r="FJ558">
        <v>0</v>
      </c>
      <c r="FK558">
        <v>0</v>
      </c>
      <c r="FL558">
        <v>0</v>
      </c>
      <c r="FM558">
        <v>0</v>
      </c>
      <c r="FN558">
        <v>0</v>
      </c>
      <c r="FO558">
        <v>0</v>
      </c>
      <c r="FP558">
        <v>0</v>
      </c>
      <c r="FQ558">
        <v>0</v>
      </c>
      <c r="FR558">
        <v>0</v>
      </c>
      <c r="FS558">
        <v>0</v>
      </c>
      <c r="FT558">
        <v>0</v>
      </c>
      <c r="FU558">
        <v>0</v>
      </c>
      <c r="FV558">
        <v>0</v>
      </c>
      <c r="FW558">
        <v>0</v>
      </c>
      <c r="FX558">
        <v>0</v>
      </c>
      <c r="FY558">
        <v>0</v>
      </c>
      <c r="FZ558">
        <v>0</v>
      </c>
      <c r="GA558">
        <v>0</v>
      </c>
      <c r="GB558">
        <v>0</v>
      </c>
      <c r="GC558">
        <v>0</v>
      </c>
      <c r="GD558">
        <v>0</v>
      </c>
      <c r="GE558">
        <v>0</v>
      </c>
      <c r="GF558">
        <v>0</v>
      </c>
      <c r="GG558">
        <v>0</v>
      </c>
      <c r="GH558">
        <v>0</v>
      </c>
      <c r="GI558">
        <v>0</v>
      </c>
      <c r="GJ558">
        <v>0</v>
      </c>
      <c r="GK558">
        <v>0</v>
      </c>
      <c r="GL558">
        <v>0</v>
      </c>
      <c r="GO558">
        <v>0</v>
      </c>
      <c r="GP558">
        <v>0</v>
      </c>
      <c r="GQ558">
        <v>0</v>
      </c>
      <c r="GR558">
        <v>0</v>
      </c>
      <c r="GS558">
        <v>0</v>
      </c>
      <c r="GT558">
        <v>0</v>
      </c>
      <c r="GU558">
        <v>0</v>
      </c>
      <c r="GV558">
        <v>0</v>
      </c>
      <c r="GW558">
        <v>0</v>
      </c>
      <c r="GX558">
        <v>0</v>
      </c>
      <c r="GY558">
        <v>0</v>
      </c>
      <c r="GZ558">
        <v>0</v>
      </c>
      <c r="HA558">
        <v>0</v>
      </c>
      <c r="HB558">
        <v>0</v>
      </c>
      <c r="HC558">
        <v>0</v>
      </c>
      <c r="HD558">
        <v>0</v>
      </c>
      <c r="HE558">
        <v>0</v>
      </c>
      <c r="HF558">
        <v>0</v>
      </c>
      <c r="HG558">
        <v>0</v>
      </c>
      <c r="HH558">
        <v>0</v>
      </c>
      <c r="HI558">
        <v>0</v>
      </c>
      <c r="HJ558">
        <v>0</v>
      </c>
      <c r="HK558">
        <v>0</v>
      </c>
      <c r="HL558">
        <v>0</v>
      </c>
      <c r="HM558">
        <v>0</v>
      </c>
      <c r="HN558">
        <v>0</v>
      </c>
      <c r="HO558">
        <v>0</v>
      </c>
      <c r="HP558">
        <v>0</v>
      </c>
      <c r="HQ558">
        <v>0</v>
      </c>
      <c r="HR558">
        <v>0</v>
      </c>
      <c r="HS558">
        <v>0</v>
      </c>
      <c r="HT558">
        <v>0</v>
      </c>
      <c r="HU558">
        <v>0</v>
      </c>
      <c r="HV558">
        <v>0</v>
      </c>
      <c r="HW558">
        <v>404.70000000000005</v>
      </c>
      <c r="HX558">
        <v>342.3</v>
      </c>
      <c r="HZ558">
        <v>866.2</v>
      </c>
      <c r="IA558">
        <v>1142.8</v>
      </c>
      <c r="IB558">
        <v>1121.5</v>
      </c>
      <c r="IC558">
        <v>2403</v>
      </c>
      <c r="ID558">
        <v>2659.3</v>
      </c>
      <c r="IE558">
        <v>1923.4</v>
      </c>
      <c r="IF558">
        <v>1465.7</v>
      </c>
      <c r="IG558">
        <v>1608.3</v>
      </c>
      <c r="IH558">
        <v>0</v>
      </c>
      <c r="II558">
        <v>0</v>
      </c>
      <c r="IJ558">
        <v>0</v>
      </c>
      <c r="IK558">
        <v>0</v>
      </c>
      <c r="IL558">
        <v>0</v>
      </c>
      <c r="IM558">
        <v>0</v>
      </c>
      <c r="IN558">
        <v>0</v>
      </c>
      <c r="IO558">
        <v>0</v>
      </c>
      <c r="IP558">
        <v>75.099999999999994</v>
      </c>
    </row>
    <row r="559" spans="1:250" ht="18" thickBot="1">
      <c r="A559" s="245"/>
      <c r="B559" s="245" t="s">
        <v>923</v>
      </c>
      <c r="C559" s="230" t="s">
        <v>1018</v>
      </c>
      <c r="D559" s="397"/>
      <c r="E559" s="454">
        <v>0</v>
      </c>
      <c r="F559">
        <v>0</v>
      </c>
      <c r="G559" s="427">
        <v>0</v>
      </c>
      <c r="H559" s="155">
        <v>0</v>
      </c>
      <c r="I559">
        <v>0</v>
      </c>
      <c r="J559">
        <v>0</v>
      </c>
      <c r="K559">
        <v>0</v>
      </c>
      <c r="L559" s="4">
        <v>0</v>
      </c>
      <c r="M559" s="4">
        <v>0</v>
      </c>
      <c r="N559" s="4">
        <v>0</v>
      </c>
      <c r="O559" s="4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R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G559">
        <v>0</v>
      </c>
      <c r="BI559">
        <v>0</v>
      </c>
      <c r="BK559">
        <v>0</v>
      </c>
      <c r="BL559">
        <v>0</v>
      </c>
      <c r="BM559">
        <v>0</v>
      </c>
      <c r="BN559">
        <v>0</v>
      </c>
      <c r="BO559">
        <v>344.70000000000005</v>
      </c>
      <c r="BP559">
        <v>625.70000000000005</v>
      </c>
      <c r="BQ559">
        <v>912.2</v>
      </c>
      <c r="BR559">
        <v>237.7</v>
      </c>
      <c r="BS559">
        <v>0</v>
      </c>
      <c r="BT559">
        <v>0</v>
      </c>
      <c r="BU559">
        <v>0</v>
      </c>
      <c r="BV559">
        <v>0</v>
      </c>
      <c r="BW559">
        <v>1647.4</v>
      </c>
      <c r="BY559">
        <v>453.1</v>
      </c>
      <c r="CA559">
        <v>285.39999999999998</v>
      </c>
      <c r="CB559">
        <v>280.8</v>
      </c>
      <c r="CC559">
        <v>127.7</v>
      </c>
      <c r="CD559">
        <v>0</v>
      </c>
      <c r="CE559">
        <v>0</v>
      </c>
      <c r="CF559">
        <v>0</v>
      </c>
      <c r="CG559">
        <v>0</v>
      </c>
      <c r="CI559">
        <v>0</v>
      </c>
      <c r="CJ559">
        <v>0</v>
      </c>
      <c r="CL559">
        <v>0</v>
      </c>
      <c r="CM559">
        <v>0</v>
      </c>
      <c r="CN559">
        <v>0</v>
      </c>
      <c r="CO559">
        <v>0</v>
      </c>
      <c r="CP559">
        <v>0</v>
      </c>
      <c r="CQ559">
        <v>621.70000000000005</v>
      </c>
      <c r="CR559">
        <v>481.70000000000005</v>
      </c>
      <c r="CS559">
        <v>0</v>
      </c>
      <c r="CT559">
        <v>524.6</v>
      </c>
      <c r="CU559">
        <v>514.1</v>
      </c>
      <c r="CV559">
        <v>175.2</v>
      </c>
      <c r="CW559">
        <v>0</v>
      </c>
      <c r="CX559">
        <v>65.099999999999994</v>
      </c>
      <c r="CY559">
        <v>199</v>
      </c>
      <c r="CZ559">
        <v>1907.9</v>
      </c>
      <c r="DA559">
        <v>0</v>
      </c>
      <c r="DB559">
        <v>0</v>
      </c>
      <c r="DC559">
        <v>0</v>
      </c>
      <c r="DD559">
        <v>0</v>
      </c>
      <c r="DE559">
        <v>0</v>
      </c>
      <c r="DF559">
        <v>0</v>
      </c>
      <c r="DG559">
        <v>0</v>
      </c>
      <c r="DH559">
        <v>0</v>
      </c>
      <c r="DI559">
        <v>0</v>
      </c>
      <c r="DJ559">
        <v>0</v>
      </c>
      <c r="DK559">
        <v>0</v>
      </c>
      <c r="DL559">
        <v>0</v>
      </c>
      <c r="DM559">
        <v>1065.4000000000001</v>
      </c>
      <c r="DN559">
        <v>599.70000000000005</v>
      </c>
      <c r="DO559">
        <v>319.7</v>
      </c>
      <c r="DP559">
        <v>1570.6999999999998</v>
      </c>
      <c r="DQ559">
        <v>1399.5</v>
      </c>
      <c r="DR559">
        <v>3581</v>
      </c>
      <c r="DU559">
        <v>1393.2</v>
      </c>
      <c r="DV559">
        <v>2862.6</v>
      </c>
      <c r="DY559">
        <v>2361</v>
      </c>
      <c r="EA559">
        <v>2409.6</v>
      </c>
      <c r="EC559">
        <v>1661.3999999999999</v>
      </c>
      <c r="EE559">
        <v>0</v>
      </c>
      <c r="EF559">
        <v>0</v>
      </c>
      <c r="EG559">
        <v>0</v>
      </c>
      <c r="EH559">
        <v>0</v>
      </c>
      <c r="EI559">
        <v>0</v>
      </c>
      <c r="EJ559">
        <v>0</v>
      </c>
      <c r="EK559">
        <v>0</v>
      </c>
      <c r="EL559">
        <v>0</v>
      </c>
      <c r="EM559">
        <v>0</v>
      </c>
      <c r="EN559">
        <v>0</v>
      </c>
      <c r="EO559">
        <v>0</v>
      </c>
      <c r="EP559">
        <v>944.5</v>
      </c>
      <c r="EQ559">
        <v>3459.7</v>
      </c>
      <c r="ER559">
        <v>1353.5</v>
      </c>
      <c r="ES559">
        <v>182.2</v>
      </c>
      <c r="ET559">
        <v>855.59999999999991</v>
      </c>
      <c r="EU559">
        <v>172.2</v>
      </c>
      <c r="EV559">
        <v>203.2</v>
      </c>
      <c r="EW559">
        <v>1173.0999999999999</v>
      </c>
      <c r="EX559">
        <v>1078.3</v>
      </c>
      <c r="EY559">
        <v>1194.4000000000001</v>
      </c>
      <c r="EZ559">
        <v>1207.0999999999999</v>
      </c>
      <c r="FA559">
        <v>0</v>
      </c>
      <c r="FB559">
        <v>0</v>
      </c>
      <c r="FC559">
        <v>0</v>
      </c>
      <c r="FD559">
        <v>0</v>
      </c>
      <c r="FE559">
        <v>0</v>
      </c>
      <c r="FF559">
        <v>0</v>
      </c>
      <c r="FG559">
        <v>0</v>
      </c>
      <c r="FH559">
        <v>0</v>
      </c>
      <c r="FI559">
        <v>0</v>
      </c>
      <c r="FJ559">
        <v>0</v>
      </c>
      <c r="FK559">
        <v>0</v>
      </c>
      <c r="FL559">
        <v>0</v>
      </c>
      <c r="FM559">
        <v>0</v>
      </c>
      <c r="FN559">
        <v>0</v>
      </c>
      <c r="FO559">
        <v>0</v>
      </c>
      <c r="FP559">
        <v>0</v>
      </c>
      <c r="FQ559">
        <v>0</v>
      </c>
      <c r="FR559">
        <v>0</v>
      </c>
      <c r="FS559">
        <v>0</v>
      </c>
      <c r="FT559">
        <v>0</v>
      </c>
      <c r="FU559">
        <v>0</v>
      </c>
      <c r="FV559">
        <v>0</v>
      </c>
      <c r="FW559">
        <v>0</v>
      </c>
      <c r="FX559">
        <v>0</v>
      </c>
      <c r="FY559">
        <v>0</v>
      </c>
      <c r="FZ559">
        <v>0</v>
      </c>
      <c r="GA559">
        <v>0</v>
      </c>
      <c r="GB559">
        <v>0</v>
      </c>
      <c r="GC559">
        <v>0</v>
      </c>
      <c r="GD559">
        <v>0</v>
      </c>
      <c r="GE559">
        <v>0</v>
      </c>
      <c r="GF559">
        <v>0</v>
      </c>
      <c r="GG559">
        <v>0</v>
      </c>
      <c r="GH559">
        <v>0</v>
      </c>
      <c r="GI559">
        <v>0</v>
      </c>
      <c r="GJ559">
        <v>0</v>
      </c>
      <c r="GK559">
        <v>0</v>
      </c>
      <c r="GL559">
        <v>0</v>
      </c>
      <c r="GO559">
        <v>0</v>
      </c>
      <c r="GP559">
        <v>0</v>
      </c>
      <c r="GQ559">
        <v>0</v>
      </c>
      <c r="GR559">
        <v>0</v>
      </c>
      <c r="GS559">
        <v>0</v>
      </c>
      <c r="GT559">
        <v>0</v>
      </c>
      <c r="GU559">
        <v>0</v>
      </c>
      <c r="GV559">
        <v>0</v>
      </c>
      <c r="GW559">
        <v>0</v>
      </c>
      <c r="GX559">
        <v>0</v>
      </c>
      <c r="GY559">
        <v>0</v>
      </c>
      <c r="GZ559">
        <v>0</v>
      </c>
      <c r="HA559">
        <v>0</v>
      </c>
      <c r="HB559">
        <v>0</v>
      </c>
      <c r="HC559">
        <v>0</v>
      </c>
      <c r="HD559">
        <v>0</v>
      </c>
      <c r="HE559">
        <v>0</v>
      </c>
      <c r="HF559">
        <v>0</v>
      </c>
      <c r="HG559">
        <v>0</v>
      </c>
      <c r="HH559">
        <v>0</v>
      </c>
      <c r="HI559">
        <v>0</v>
      </c>
      <c r="HJ559">
        <v>0</v>
      </c>
      <c r="HK559">
        <v>0</v>
      </c>
      <c r="HL559">
        <v>0</v>
      </c>
      <c r="HM559">
        <v>0</v>
      </c>
      <c r="HN559">
        <v>0</v>
      </c>
      <c r="HO559">
        <v>0</v>
      </c>
      <c r="HP559">
        <v>0</v>
      </c>
      <c r="HQ559">
        <v>0</v>
      </c>
      <c r="HR559">
        <v>0</v>
      </c>
      <c r="HS559">
        <v>0</v>
      </c>
      <c r="HT559">
        <v>0</v>
      </c>
      <c r="HU559">
        <v>0</v>
      </c>
      <c r="HV559">
        <v>0</v>
      </c>
      <c r="HW559">
        <v>404.70000000000005</v>
      </c>
      <c r="HX559">
        <v>342.3</v>
      </c>
      <c r="HZ559">
        <v>866.2</v>
      </c>
      <c r="IA559">
        <v>1142.8</v>
      </c>
      <c r="IB559">
        <v>1121.5</v>
      </c>
      <c r="IC559">
        <v>2403</v>
      </c>
      <c r="ID559">
        <v>2659.3</v>
      </c>
      <c r="IE559">
        <v>1923.4</v>
      </c>
      <c r="IF559">
        <v>1465.7</v>
      </c>
      <c r="IG559">
        <v>1608.3</v>
      </c>
      <c r="IH559">
        <v>0</v>
      </c>
      <c r="II559">
        <v>0</v>
      </c>
      <c r="IJ559">
        <v>0</v>
      </c>
      <c r="IK559">
        <v>0</v>
      </c>
      <c r="IL559">
        <v>0</v>
      </c>
      <c r="IM559">
        <v>0</v>
      </c>
      <c r="IN559">
        <v>0</v>
      </c>
      <c r="IO559">
        <v>0</v>
      </c>
      <c r="IP559">
        <v>75.099999999999994</v>
      </c>
    </row>
    <row r="560" spans="1:250" ht="18" thickBot="1">
      <c r="A560" s="245"/>
      <c r="B560" s="245" t="s">
        <v>924</v>
      </c>
      <c r="C560" s="230" t="s">
        <v>1019</v>
      </c>
      <c r="D560" s="397"/>
      <c r="E560" s="454">
        <v>0</v>
      </c>
      <c r="F560">
        <v>0</v>
      </c>
      <c r="G560" s="427">
        <v>0</v>
      </c>
      <c r="H560" s="155">
        <v>0</v>
      </c>
      <c r="I560">
        <v>0</v>
      </c>
      <c r="J560">
        <v>0</v>
      </c>
      <c r="K560">
        <v>0</v>
      </c>
      <c r="L560" s="4">
        <v>0</v>
      </c>
      <c r="M560" s="4">
        <v>0</v>
      </c>
      <c r="N560" s="4">
        <v>0</v>
      </c>
      <c r="O560" s="4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R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G560">
        <v>0</v>
      </c>
      <c r="BI560">
        <v>0</v>
      </c>
      <c r="BK560">
        <v>0</v>
      </c>
      <c r="BL560">
        <v>0</v>
      </c>
      <c r="BM560">
        <v>0</v>
      </c>
      <c r="BN560">
        <v>0</v>
      </c>
      <c r="BO560">
        <v>344.70000000000005</v>
      </c>
      <c r="BP560">
        <v>625.70000000000005</v>
      </c>
      <c r="BQ560">
        <v>912.2</v>
      </c>
      <c r="BR560">
        <v>237.7</v>
      </c>
      <c r="BS560">
        <v>0</v>
      </c>
      <c r="BT560">
        <v>0</v>
      </c>
      <c r="BU560">
        <v>0</v>
      </c>
      <c r="BV560">
        <v>0</v>
      </c>
      <c r="BW560">
        <v>1647.4</v>
      </c>
      <c r="BY560">
        <v>453.1</v>
      </c>
      <c r="CA560">
        <v>285.39999999999998</v>
      </c>
      <c r="CB560">
        <v>280.8</v>
      </c>
      <c r="CC560">
        <v>127.7</v>
      </c>
      <c r="CD560">
        <v>0</v>
      </c>
      <c r="CE560">
        <v>0</v>
      </c>
      <c r="CF560">
        <v>0</v>
      </c>
      <c r="CG560">
        <v>0</v>
      </c>
      <c r="CI560">
        <v>0</v>
      </c>
      <c r="CJ560">
        <v>0</v>
      </c>
      <c r="CL560">
        <v>0</v>
      </c>
      <c r="CM560">
        <v>0</v>
      </c>
      <c r="CN560">
        <v>0</v>
      </c>
      <c r="CO560">
        <v>0</v>
      </c>
      <c r="CP560">
        <v>0</v>
      </c>
      <c r="CQ560">
        <v>621.70000000000005</v>
      </c>
      <c r="CR560">
        <v>481.70000000000005</v>
      </c>
      <c r="CS560">
        <v>0</v>
      </c>
      <c r="CT560">
        <v>524.6</v>
      </c>
      <c r="CU560">
        <v>514.1</v>
      </c>
      <c r="CV560">
        <v>175.2</v>
      </c>
      <c r="CW560">
        <v>0</v>
      </c>
      <c r="CX560">
        <v>65.099999999999994</v>
      </c>
      <c r="CY560">
        <v>199</v>
      </c>
      <c r="CZ560">
        <v>1907.9</v>
      </c>
      <c r="DA560">
        <v>0</v>
      </c>
      <c r="DB560">
        <v>0</v>
      </c>
      <c r="DC560">
        <v>0</v>
      </c>
      <c r="DD560">
        <v>0</v>
      </c>
      <c r="DE560">
        <v>0</v>
      </c>
      <c r="DF560">
        <v>0</v>
      </c>
      <c r="DG560">
        <v>0</v>
      </c>
      <c r="DH560">
        <v>0</v>
      </c>
      <c r="DI560">
        <v>0</v>
      </c>
      <c r="DJ560">
        <v>0</v>
      </c>
      <c r="DK560">
        <v>0</v>
      </c>
      <c r="DL560">
        <v>0</v>
      </c>
      <c r="DM560">
        <v>1065.4000000000001</v>
      </c>
      <c r="DN560">
        <v>599.70000000000005</v>
      </c>
      <c r="DO560">
        <v>319.7</v>
      </c>
      <c r="DP560">
        <v>1570.6999999999998</v>
      </c>
      <c r="DQ560">
        <v>1399.5</v>
      </c>
      <c r="DR560">
        <v>3581</v>
      </c>
      <c r="DU560">
        <v>1393.2</v>
      </c>
      <c r="DV560">
        <v>2862.6</v>
      </c>
      <c r="DY560">
        <v>2361</v>
      </c>
      <c r="EA560">
        <v>2409.6</v>
      </c>
      <c r="EC560">
        <v>1661.3999999999999</v>
      </c>
      <c r="EE560">
        <v>0</v>
      </c>
      <c r="EF560">
        <v>0</v>
      </c>
      <c r="EG560">
        <v>0</v>
      </c>
      <c r="EH560">
        <v>0</v>
      </c>
      <c r="EI560">
        <v>0</v>
      </c>
      <c r="EJ560">
        <v>0</v>
      </c>
      <c r="EK560">
        <v>0</v>
      </c>
      <c r="EL560">
        <v>0</v>
      </c>
      <c r="EM560">
        <v>0</v>
      </c>
      <c r="EN560">
        <v>0</v>
      </c>
      <c r="EO560">
        <v>0</v>
      </c>
      <c r="EP560">
        <v>944.5</v>
      </c>
      <c r="EQ560">
        <v>3459.7</v>
      </c>
      <c r="ER560">
        <v>1353.5</v>
      </c>
      <c r="ES560">
        <v>182.2</v>
      </c>
      <c r="ET560">
        <v>855.59999999999991</v>
      </c>
      <c r="EU560">
        <v>172.2</v>
      </c>
      <c r="EV560">
        <v>203.2</v>
      </c>
      <c r="EW560">
        <v>1173.0999999999999</v>
      </c>
      <c r="EX560">
        <v>1078.3</v>
      </c>
      <c r="EY560">
        <v>1194.4000000000001</v>
      </c>
      <c r="EZ560">
        <v>1207.0999999999999</v>
      </c>
      <c r="FA560">
        <v>0</v>
      </c>
      <c r="FB560">
        <v>0</v>
      </c>
      <c r="FC560">
        <v>0</v>
      </c>
      <c r="FD560">
        <v>0</v>
      </c>
      <c r="FE560">
        <v>0</v>
      </c>
      <c r="FF560">
        <v>0</v>
      </c>
      <c r="FG560">
        <v>0</v>
      </c>
      <c r="FH560">
        <v>0</v>
      </c>
      <c r="FI560">
        <v>0</v>
      </c>
      <c r="FJ560">
        <v>0</v>
      </c>
      <c r="FK560">
        <v>0</v>
      </c>
      <c r="FL560">
        <v>0</v>
      </c>
      <c r="FM560">
        <v>0</v>
      </c>
      <c r="FN560">
        <v>0</v>
      </c>
      <c r="FO560">
        <v>0</v>
      </c>
      <c r="FP560">
        <v>0</v>
      </c>
      <c r="FQ560">
        <v>0</v>
      </c>
      <c r="FR560">
        <v>0</v>
      </c>
      <c r="FS560">
        <v>0</v>
      </c>
      <c r="FT560">
        <v>0</v>
      </c>
      <c r="FU560">
        <v>0</v>
      </c>
      <c r="FV560">
        <v>0</v>
      </c>
      <c r="FW560">
        <v>0</v>
      </c>
      <c r="FX560">
        <v>0</v>
      </c>
      <c r="FY560">
        <v>0</v>
      </c>
      <c r="FZ560">
        <v>0</v>
      </c>
      <c r="GA560">
        <v>0</v>
      </c>
      <c r="GB560">
        <v>0</v>
      </c>
      <c r="GC560">
        <v>0</v>
      </c>
      <c r="GD560">
        <v>0</v>
      </c>
      <c r="GE560">
        <v>0</v>
      </c>
      <c r="GF560">
        <v>0</v>
      </c>
      <c r="GG560">
        <v>0</v>
      </c>
      <c r="GH560">
        <v>0</v>
      </c>
      <c r="GI560">
        <v>0</v>
      </c>
      <c r="GJ560">
        <v>0</v>
      </c>
      <c r="GK560">
        <v>0</v>
      </c>
      <c r="GL560">
        <v>0</v>
      </c>
      <c r="GO560">
        <v>0</v>
      </c>
      <c r="GP560">
        <v>0</v>
      </c>
      <c r="GQ560">
        <v>0</v>
      </c>
      <c r="GR560">
        <v>0</v>
      </c>
      <c r="GS560">
        <v>0</v>
      </c>
      <c r="GT560">
        <v>0</v>
      </c>
      <c r="GU560">
        <v>0</v>
      </c>
      <c r="GV560">
        <v>0</v>
      </c>
      <c r="GW560">
        <v>0</v>
      </c>
      <c r="GX560">
        <v>0</v>
      </c>
      <c r="GY560">
        <v>0</v>
      </c>
      <c r="GZ560">
        <v>0</v>
      </c>
      <c r="HA560">
        <v>0</v>
      </c>
      <c r="HB560">
        <v>0</v>
      </c>
      <c r="HC560">
        <v>0</v>
      </c>
      <c r="HD560">
        <v>0</v>
      </c>
      <c r="HE560">
        <v>0</v>
      </c>
      <c r="HF560">
        <v>0</v>
      </c>
      <c r="HG560">
        <v>0</v>
      </c>
      <c r="HH560">
        <v>0</v>
      </c>
      <c r="HI560">
        <v>0</v>
      </c>
      <c r="HJ560">
        <v>0</v>
      </c>
      <c r="HK560">
        <v>0</v>
      </c>
      <c r="HL560">
        <v>0</v>
      </c>
      <c r="HM560">
        <v>0</v>
      </c>
      <c r="HN560">
        <v>0</v>
      </c>
      <c r="HO560">
        <v>0</v>
      </c>
      <c r="HP560">
        <v>0</v>
      </c>
      <c r="HQ560">
        <v>0</v>
      </c>
      <c r="HR560">
        <v>0</v>
      </c>
      <c r="HS560">
        <v>0</v>
      </c>
      <c r="HT560">
        <v>0</v>
      </c>
      <c r="HU560">
        <v>0</v>
      </c>
      <c r="HV560">
        <v>0</v>
      </c>
      <c r="HW560">
        <v>404.70000000000005</v>
      </c>
      <c r="HX560">
        <v>342.3</v>
      </c>
      <c r="HZ560">
        <v>866.2</v>
      </c>
      <c r="IA560">
        <v>1142.8</v>
      </c>
      <c r="IB560">
        <v>1121.5</v>
      </c>
      <c r="IC560">
        <v>2403</v>
      </c>
      <c r="ID560">
        <v>2659.3</v>
      </c>
      <c r="IE560">
        <v>1923.4</v>
      </c>
      <c r="IF560">
        <v>1465.7</v>
      </c>
      <c r="IG560">
        <v>1608.3</v>
      </c>
      <c r="IH560">
        <v>0</v>
      </c>
      <c r="II560">
        <v>0</v>
      </c>
      <c r="IJ560">
        <v>0</v>
      </c>
      <c r="IK560">
        <v>0</v>
      </c>
      <c r="IL560">
        <v>0</v>
      </c>
      <c r="IM560">
        <v>0</v>
      </c>
      <c r="IN560">
        <v>0</v>
      </c>
      <c r="IO560">
        <v>0</v>
      </c>
      <c r="IP560">
        <v>75.099999999999994</v>
      </c>
    </row>
    <row r="561" spans="1:250" ht="18" thickBot="1">
      <c r="A561" s="245"/>
      <c r="B561" s="245" t="s">
        <v>925</v>
      </c>
      <c r="C561" s="230" t="s">
        <v>1020</v>
      </c>
      <c r="D561" s="397"/>
      <c r="E561" s="454">
        <v>0</v>
      </c>
      <c r="F561">
        <v>0</v>
      </c>
      <c r="G561" s="427">
        <v>0</v>
      </c>
      <c r="H561" s="155">
        <v>0</v>
      </c>
      <c r="I561">
        <v>0</v>
      </c>
      <c r="J561">
        <v>0</v>
      </c>
      <c r="K561">
        <v>0</v>
      </c>
      <c r="L561" s="4">
        <v>0</v>
      </c>
      <c r="M561" s="4">
        <v>0</v>
      </c>
      <c r="N561" s="4">
        <v>0</v>
      </c>
      <c r="O561" s="4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R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G561">
        <v>0</v>
      </c>
      <c r="BI561">
        <v>0</v>
      </c>
      <c r="BK561">
        <v>0</v>
      </c>
      <c r="BL561">
        <v>0</v>
      </c>
      <c r="BM561">
        <v>0</v>
      </c>
      <c r="BN561">
        <v>0</v>
      </c>
      <c r="BO561">
        <v>344.70000000000005</v>
      </c>
      <c r="BP561">
        <v>625.70000000000005</v>
      </c>
      <c r="BQ561">
        <v>912.2</v>
      </c>
      <c r="BR561">
        <v>237.7</v>
      </c>
      <c r="BS561">
        <v>0</v>
      </c>
      <c r="BT561">
        <v>0</v>
      </c>
      <c r="BU561">
        <v>0</v>
      </c>
      <c r="BV561">
        <v>0</v>
      </c>
      <c r="BW561">
        <v>1647.4</v>
      </c>
      <c r="BY561">
        <v>453.1</v>
      </c>
      <c r="CA561">
        <v>285.39999999999998</v>
      </c>
      <c r="CB561">
        <v>280.8</v>
      </c>
      <c r="CC561">
        <v>127.7</v>
      </c>
      <c r="CD561">
        <v>0</v>
      </c>
      <c r="CE561">
        <v>0</v>
      </c>
      <c r="CF561">
        <v>0</v>
      </c>
      <c r="CG561">
        <v>0</v>
      </c>
      <c r="CI561">
        <v>0</v>
      </c>
      <c r="CJ561">
        <v>0</v>
      </c>
      <c r="CL561">
        <v>0</v>
      </c>
      <c r="CM561">
        <v>0</v>
      </c>
      <c r="CN561">
        <v>0</v>
      </c>
      <c r="CO561">
        <v>0</v>
      </c>
      <c r="CP561">
        <v>0</v>
      </c>
      <c r="CQ561">
        <v>621.70000000000005</v>
      </c>
      <c r="CR561">
        <v>481.70000000000005</v>
      </c>
      <c r="CS561">
        <v>0</v>
      </c>
      <c r="CT561">
        <v>524.6</v>
      </c>
      <c r="CU561">
        <v>514.1</v>
      </c>
      <c r="CV561">
        <v>175.2</v>
      </c>
      <c r="CW561">
        <v>0</v>
      </c>
      <c r="CX561">
        <v>65.099999999999994</v>
      </c>
      <c r="CY561">
        <v>199</v>
      </c>
      <c r="CZ561">
        <v>1907.9</v>
      </c>
      <c r="DA561">
        <v>0</v>
      </c>
      <c r="DB561">
        <v>0</v>
      </c>
      <c r="DC561">
        <v>0</v>
      </c>
      <c r="DD561">
        <v>0</v>
      </c>
      <c r="DE561">
        <v>0</v>
      </c>
      <c r="DF561">
        <v>0</v>
      </c>
      <c r="DG561">
        <v>0</v>
      </c>
      <c r="DH561">
        <v>0</v>
      </c>
      <c r="DI561">
        <v>0</v>
      </c>
      <c r="DJ561">
        <v>0</v>
      </c>
      <c r="DK561">
        <v>0</v>
      </c>
      <c r="DL561">
        <v>0</v>
      </c>
      <c r="DM561">
        <v>1065.4000000000001</v>
      </c>
      <c r="DN561">
        <v>599.70000000000005</v>
      </c>
      <c r="DO561">
        <v>319.7</v>
      </c>
      <c r="DP561">
        <v>1570.6999999999998</v>
      </c>
      <c r="DQ561">
        <v>1399.5</v>
      </c>
      <c r="DR561">
        <v>3581</v>
      </c>
      <c r="DU561">
        <v>1393.2</v>
      </c>
      <c r="DV561">
        <v>2862.6</v>
      </c>
      <c r="DY561">
        <v>2361</v>
      </c>
      <c r="EA561">
        <v>2409.6</v>
      </c>
      <c r="EC561">
        <v>1661.3999999999999</v>
      </c>
      <c r="EE561">
        <v>0</v>
      </c>
      <c r="EF561">
        <v>0</v>
      </c>
      <c r="EG561">
        <v>0</v>
      </c>
      <c r="EH561">
        <v>0</v>
      </c>
      <c r="EI561">
        <v>0</v>
      </c>
      <c r="EJ561">
        <v>0</v>
      </c>
      <c r="EK561">
        <v>0</v>
      </c>
      <c r="EL561">
        <v>0</v>
      </c>
      <c r="EM561">
        <v>0</v>
      </c>
      <c r="EN561">
        <v>0</v>
      </c>
      <c r="EO561">
        <v>0</v>
      </c>
      <c r="EP561">
        <v>944.5</v>
      </c>
      <c r="EQ561">
        <v>3459.7</v>
      </c>
      <c r="ER561">
        <v>1353.5</v>
      </c>
      <c r="ES561">
        <v>182.2</v>
      </c>
      <c r="ET561">
        <v>855.59999999999991</v>
      </c>
      <c r="EU561">
        <v>172.2</v>
      </c>
      <c r="EV561">
        <v>203.2</v>
      </c>
      <c r="EW561">
        <v>1173.0999999999999</v>
      </c>
      <c r="EX561">
        <v>1078.3</v>
      </c>
      <c r="EY561">
        <v>1194.4000000000001</v>
      </c>
      <c r="EZ561">
        <v>1207.0999999999999</v>
      </c>
      <c r="FA561">
        <v>0</v>
      </c>
      <c r="FB561">
        <v>0</v>
      </c>
      <c r="FC561">
        <v>0</v>
      </c>
      <c r="FD561">
        <v>0</v>
      </c>
      <c r="FE561">
        <v>0</v>
      </c>
      <c r="FF561">
        <v>0</v>
      </c>
      <c r="FG561">
        <v>0</v>
      </c>
      <c r="FH561">
        <v>0</v>
      </c>
      <c r="FI561">
        <v>0</v>
      </c>
      <c r="FJ561">
        <v>0</v>
      </c>
      <c r="FK561">
        <v>0</v>
      </c>
      <c r="FL561">
        <v>0</v>
      </c>
      <c r="FM561">
        <v>0</v>
      </c>
      <c r="FN561">
        <v>0</v>
      </c>
      <c r="FO561">
        <v>0</v>
      </c>
      <c r="FP561">
        <v>0</v>
      </c>
      <c r="FQ561">
        <v>0</v>
      </c>
      <c r="FR561">
        <v>0</v>
      </c>
      <c r="FS561">
        <v>0</v>
      </c>
      <c r="FT561">
        <v>0</v>
      </c>
      <c r="FU561">
        <v>0</v>
      </c>
      <c r="FV561">
        <v>0</v>
      </c>
      <c r="FW561">
        <v>0</v>
      </c>
      <c r="FX561">
        <v>0</v>
      </c>
      <c r="FY561">
        <v>0</v>
      </c>
      <c r="FZ561">
        <v>0</v>
      </c>
      <c r="GA561">
        <v>0</v>
      </c>
      <c r="GB561">
        <v>0</v>
      </c>
      <c r="GC561">
        <v>0</v>
      </c>
      <c r="GD561">
        <v>0</v>
      </c>
      <c r="GE561">
        <v>0</v>
      </c>
      <c r="GF561">
        <v>0</v>
      </c>
      <c r="GG561">
        <v>0</v>
      </c>
      <c r="GH561">
        <v>0</v>
      </c>
      <c r="GI561">
        <v>0</v>
      </c>
      <c r="GJ561">
        <v>0</v>
      </c>
      <c r="GK561">
        <v>0</v>
      </c>
      <c r="GL561">
        <v>0</v>
      </c>
      <c r="GO561">
        <v>0</v>
      </c>
      <c r="GP561">
        <v>0</v>
      </c>
      <c r="GQ561">
        <v>0</v>
      </c>
      <c r="GR561">
        <v>0</v>
      </c>
      <c r="GS561">
        <v>0</v>
      </c>
      <c r="GT561">
        <v>0</v>
      </c>
      <c r="GU561">
        <v>0</v>
      </c>
      <c r="GV561">
        <v>0</v>
      </c>
      <c r="GW561">
        <v>0</v>
      </c>
      <c r="GX561">
        <v>0</v>
      </c>
      <c r="GY561">
        <v>0</v>
      </c>
      <c r="GZ561">
        <v>0</v>
      </c>
      <c r="HA561">
        <v>0</v>
      </c>
      <c r="HB561">
        <v>0</v>
      </c>
      <c r="HC561">
        <v>0</v>
      </c>
      <c r="HD561">
        <v>0</v>
      </c>
      <c r="HE561">
        <v>0</v>
      </c>
      <c r="HF561">
        <v>0</v>
      </c>
      <c r="HG561">
        <v>0</v>
      </c>
      <c r="HH561">
        <v>0</v>
      </c>
      <c r="HI561">
        <v>0</v>
      </c>
      <c r="HJ561">
        <v>0</v>
      </c>
      <c r="HK561">
        <v>0</v>
      </c>
      <c r="HL561">
        <v>0</v>
      </c>
      <c r="HM561">
        <v>0</v>
      </c>
      <c r="HN561">
        <v>0</v>
      </c>
      <c r="HO561">
        <v>0</v>
      </c>
      <c r="HP561">
        <v>0</v>
      </c>
      <c r="HQ561">
        <v>0</v>
      </c>
      <c r="HR561">
        <v>0</v>
      </c>
      <c r="HS561">
        <v>0</v>
      </c>
      <c r="HT561">
        <v>0</v>
      </c>
      <c r="HU561">
        <v>0</v>
      </c>
      <c r="HV561">
        <v>0</v>
      </c>
      <c r="HW561">
        <v>404.70000000000005</v>
      </c>
      <c r="HX561">
        <v>342.3</v>
      </c>
      <c r="HZ561">
        <v>866.2</v>
      </c>
      <c r="IA561">
        <v>1142.8</v>
      </c>
      <c r="IB561">
        <v>1121.5</v>
      </c>
      <c r="IC561">
        <v>2403</v>
      </c>
      <c r="ID561">
        <v>2659.3</v>
      </c>
      <c r="IE561">
        <v>1923.4</v>
      </c>
      <c r="IF561">
        <v>1465.7</v>
      </c>
      <c r="IG561">
        <v>1608.3</v>
      </c>
      <c r="IH561">
        <v>0</v>
      </c>
      <c r="II561">
        <v>0</v>
      </c>
      <c r="IJ561">
        <v>0</v>
      </c>
      <c r="IK561">
        <v>0</v>
      </c>
      <c r="IL561">
        <v>0</v>
      </c>
      <c r="IM561">
        <v>0</v>
      </c>
      <c r="IN561">
        <v>0</v>
      </c>
      <c r="IO561">
        <v>0</v>
      </c>
      <c r="IP561">
        <v>75.099999999999994</v>
      </c>
    </row>
    <row r="562" spans="1:250" ht="18" thickBot="1">
      <c r="A562" s="245"/>
      <c r="B562" s="245" t="s">
        <v>926</v>
      </c>
      <c r="C562" s="230" t="s">
        <v>1021</v>
      </c>
      <c r="D562" s="397"/>
      <c r="E562" s="454">
        <v>0</v>
      </c>
      <c r="F562">
        <v>0</v>
      </c>
      <c r="G562" s="427">
        <v>0</v>
      </c>
      <c r="H562" s="155">
        <v>0</v>
      </c>
      <c r="I562">
        <v>0</v>
      </c>
      <c r="J562">
        <v>0</v>
      </c>
      <c r="K562">
        <v>0</v>
      </c>
      <c r="L562" s="4">
        <v>0</v>
      </c>
      <c r="M562" s="4">
        <v>0</v>
      </c>
      <c r="N562" s="4">
        <v>0</v>
      </c>
      <c r="O562" s="4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R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G562">
        <v>0</v>
      </c>
      <c r="BI562">
        <v>0</v>
      </c>
      <c r="BK562">
        <v>0</v>
      </c>
      <c r="BL562">
        <v>0</v>
      </c>
      <c r="BM562">
        <v>0</v>
      </c>
      <c r="BN562">
        <v>0</v>
      </c>
      <c r="BO562">
        <v>344.70000000000005</v>
      </c>
      <c r="BP562">
        <v>625.70000000000005</v>
      </c>
      <c r="BQ562">
        <v>912.2</v>
      </c>
      <c r="BR562">
        <v>237.7</v>
      </c>
      <c r="BS562">
        <v>0</v>
      </c>
      <c r="BT562">
        <v>0</v>
      </c>
      <c r="BU562">
        <v>0</v>
      </c>
      <c r="BV562">
        <v>0</v>
      </c>
      <c r="BW562">
        <v>1647.4</v>
      </c>
      <c r="BY562">
        <v>453.1</v>
      </c>
      <c r="CA562">
        <v>285.39999999999998</v>
      </c>
      <c r="CB562">
        <v>280.8</v>
      </c>
      <c r="CC562">
        <v>127.7</v>
      </c>
      <c r="CD562">
        <v>0</v>
      </c>
      <c r="CE562">
        <v>0</v>
      </c>
      <c r="CF562">
        <v>0</v>
      </c>
      <c r="CG562">
        <v>0</v>
      </c>
      <c r="CI562">
        <v>0</v>
      </c>
      <c r="CJ562">
        <v>0</v>
      </c>
      <c r="CL562">
        <v>0</v>
      </c>
      <c r="CM562">
        <v>0</v>
      </c>
      <c r="CN562">
        <v>0</v>
      </c>
      <c r="CO562">
        <v>0</v>
      </c>
      <c r="CP562">
        <v>0</v>
      </c>
      <c r="CQ562">
        <v>621.70000000000005</v>
      </c>
      <c r="CR562">
        <v>481.70000000000005</v>
      </c>
      <c r="CS562">
        <v>0</v>
      </c>
      <c r="CT562">
        <v>524.6</v>
      </c>
      <c r="CU562">
        <v>514.1</v>
      </c>
      <c r="CV562">
        <v>175.2</v>
      </c>
      <c r="CW562">
        <v>0</v>
      </c>
      <c r="CX562">
        <v>65.099999999999994</v>
      </c>
      <c r="CY562">
        <v>199</v>
      </c>
      <c r="CZ562">
        <v>1907.9</v>
      </c>
      <c r="DA562">
        <v>0</v>
      </c>
      <c r="DB562">
        <v>0</v>
      </c>
      <c r="DC562">
        <v>0</v>
      </c>
      <c r="DD562">
        <v>0</v>
      </c>
      <c r="DE562">
        <v>0</v>
      </c>
      <c r="DF562">
        <v>0</v>
      </c>
      <c r="DG562">
        <v>0</v>
      </c>
      <c r="DH562">
        <v>0</v>
      </c>
      <c r="DI562">
        <v>0</v>
      </c>
      <c r="DJ562">
        <v>0</v>
      </c>
      <c r="DK562">
        <v>0</v>
      </c>
      <c r="DL562">
        <v>0</v>
      </c>
      <c r="DM562">
        <v>1065.4000000000001</v>
      </c>
      <c r="DN562">
        <v>599.70000000000005</v>
      </c>
      <c r="DO562">
        <v>319.7</v>
      </c>
      <c r="DP562">
        <v>1570.6999999999998</v>
      </c>
      <c r="DQ562">
        <v>1399.5</v>
      </c>
      <c r="DR562">
        <v>3581</v>
      </c>
      <c r="DU562">
        <v>1393.2</v>
      </c>
      <c r="DV562">
        <v>2862.6</v>
      </c>
      <c r="DY562">
        <v>2361</v>
      </c>
      <c r="EA562">
        <v>2409.6</v>
      </c>
      <c r="EC562">
        <v>1661.3999999999999</v>
      </c>
      <c r="EE562">
        <v>0</v>
      </c>
      <c r="EF562">
        <v>0</v>
      </c>
      <c r="EG562">
        <v>0</v>
      </c>
      <c r="EH562">
        <v>0</v>
      </c>
      <c r="EI562">
        <v>0</v>
      </c>
      <c r="EJ562">
        <v>0</v>
      </c>
      <c r="EK562">
        <v>0</v>
      </c>
      <c r="EL562">
        <v>0</v>
      </c>
      <c r="EM562">
        <v>0</v>
      </c>
      <c r="EN562">
        <v>0</v>
      </c>
      <c r="EO562">
        <v>0</v>
      </c>
      <c r="EP562">
        <v>944.5</v>
      </c>
      <c r="EQ562">
        <v>3459.7</v>
      </c>
      <c r="ER562">
        <v>1353.5</v>
      </c>
      <c r="ES562">
        <v>182.2</v>
      </c>
      <c r="ET562">
        <v>855.59999999999991</v>
      </c>
      <c r="EU562">
        <v>172.2</v>
      </c>
      <c r="EV562">
        <v>203.2</v>
      </c>
      <c r="EW562">
        <v>1173.0999999999999</v>
      </c>
      <c r="EX562">
        <v>1078.3</v>
      </c>
      <c r="EY562">
        <v>1194.4000000000001</v>
      </c>
      <c r="EZ562">
        <v>1207.0999999999999</v>
      </c>
      <c r="FA562">
        <v>0</v>
      </c>
      <c r="FB562">
        <v>0</v>
      </c>
      <c r="FC562">
        <v>0</v>
      </c>
      <c r="FD562">
        <v>0</v>
      </c>
      <c r="FE562">
        <v>0</v>
      </c>
      <c r="FF562">
        <v>0</v>
      </c>
      <c r="FG562">
        <v>0</v>
      </c>
      <c r="FH562">
        <v>0</v>
      </c>
      <c r="FI562">
        <v>0</v>
      </c>
      <c r="FJ562">
        <v>0</v>
      </c>
      <c r="FK562">
        <v>0</v>
      </c>
      <c r="FL562">
        <v>0</v>
      </c>
      <c r="FM562">
        <v>0</v>
      </c>
      <c r="FN562">
        <v>0</v>
      </c>
      <c r="FO562">
        <v>0</v>
      </c>
      <c r="FP562">
        <v>0</v>
      </c>
      <c r="FQ562">
        <v>0</v>
      </c>
      <c r="FR562">
        <v>0</v>
      </c>
      <c r="FS562">
        <v>0</v>
      </c>
      <c r="FT562">
        <v>0</v>
      </c>
      <c r="FU562">
        <v>0</v>
      </c>
      <c r="FV562">
        <v>0</v>
      </c>
      <c r="FW562">
        <v>0</v>
      </c>
      <c r="FX562">
        <v>0</v>
      </c>
      <c r="FY562">
        <v>0</v>
      </c>
      <c r="FZ562">
        <v>0</v>
      </c>
      <c r="GA562">
        <v>0</v>
      </c>
      <c r="GB562">
        <v>0</v>
      </c>
      <c r="GC562">
        <v>0</v>
      </c>
      <c r="GD562">
        <v>0</v>
      </c>
      <c r="GE562">
        <v>0</v>
      </c>
      <c r="GF562">
        <v>0</v>
      </c>
      <c r="GG562">
        <v>0</v>
      </c>
      <c r="GH562">
        <v>0</v>
      </c>
      <c r="GI562">
        <v>0</v>
      </c>
      <c r="GJ562">
        <v>0</v>
      </c>
      <c r="GK562">
        <v>0</v>
      </c>
      <c r="GL562">
        <v>0</v>
      </c>
      <c r="GO562">
        <v>0</v>
      </c>
      <c r="GP562">
        <v>0</v>
      </c>
      <c r="GQ562">
        <v>0</v>
      </c>
      <c r="GR562">
        <v>0</v>
      </c>
      <c r="GS562">
        <v>0</v>
      </c>
      <c r="GT562">
        <v>0</v>
      </c>
      <c r="GU562">
        <v>0</v>
      </c>
      <c r="GV562">
        <v>0</v>
      </c>
      <c r="GW562">
        <v>0</v>
      </c>
      <c r="GX562">
        <v>0</v>
      </c>
      <c r="GY562">
        <v>0</v>
      </c>
      <c r="GZ562">
        <v>0</v>
      </c>
      <c r="HA562">
        <v>0</v>
      </c>
      <c r="HB562">
        <v>0</v>
      </c>
      <c r="HC562">
        <v>0</v>
      </c>
      <c r="HD562">
        <v>0</v>
      </c>
      <c r="HE562">
        <v>0</v>
      </c>
      <c r="HF562">
        <v>0</v>
      </c>
      <c r="HG562">
        <v>0</v>
      </c>
      <c r="HH562">
        <v>0</v>
      </c>
      <c r="HI562">
        <v>0</v>
      </c>
      <c r="HJ562">
        <v>0</v>
      </c>
      <c r="HK562">
        <v>0</v>
      </c>
      <c r="HL562">
        <v>0</v>
      </c>
      <c r="HM562">
        <v>0</v>
      </c>
      <c r="HN562">
        <v>0</v>
      </c>
      <c r="HO562">
        <v>0</v>
      </c>
      <c r="HP562">
        <v>0</v>
      </c>
      <c r="HQ562">
        <v>0</v>
      </c>
      <c r="HR562">
        <v>0</v>
      </c>
      <c r="HS562">
        <v>0</v>
      </c>
      <c r="HT562">
        <v>0</v>
      </c>
      <c r="HU562">
        <v>0</v>
      </c>
      <c r="HV562">
        <v>0</v>
      </c>
      <c r="HW562">
        <v>404.70000000000005</v>
      </c>
      <c r="HX562">
        <v>342.3</v>
      </c>
      <c r="HZ562">
        <v>866.2</v>
      </c>
      <c r="IA562">
        <v>1142.8</v>
      </c>
      <c r="IB562">
        <v>1121.5</v>
      </c>
      <c r="IC562">
        <v>2403</v>
      </c>
      <c r="ID562">
        <v>2659.3</v>
      </c>
      <c r="IE562">
        <v>1923.4</v>
      </c>
      <c r="IF562">
        <v>1465.7</v>
      </c>
      <c r="IG562">
        <v>1608.3</v>
      </c>
      <c r="IH562">
        <v>0</v>
      </c>
      <c r="II562">
        <v>0</v>
      </c>
      <c r="IJ562">
        <v>0</v>
      </c>
      <c r="IK562">
        <v>0</v>
      </c>
      <c r="IL562">
        <v>0</v>
      </c>
      <c r="IM562">
        <v>0</v>
      </c>
      <c r="IN562">
        <v>0</v>
      </c>
      <c r="IO562">
        <v>0</v>
      </c>
      <c r="IP562">
        <v>75.099999999999994</v>
      </c>
    </row>
    <row r="563" spans="1:250" ht="18" thickBot="1">
      <c r="A563" s="245"/>
      <c r="B563" s="245" t="s">
        <v>927</v>
      </c>
      <c r="C563" s="230" t="s">
        <v>1022</v>
      </c>
      <c r="D563" s="397"/>
      <c r="E563" s="454">
        <v>0</v>
      </c>
      <c r="F563">
        <v>0</v>
      </c>
      <c r="G563" s="427">
        <v>0</v>
      </c>
      <c r="H563" s="155">
        <v>0</v>
      </c>
      <c r="I563">
        <v>0</v>
      </c>
      <c r="J563">
        <v>0</v>
      </c>
      <c r="K563">
        <v>0</v>
      </c>
      <c r="L563" s="4">
        <v>0</v>
      </c>
      <c r="M563" s="4">
        <v>0</v>
      </c>
      <c r="N563" s="4">
        <v>0</v>
      </c>
      <c r="O563" s="4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R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G563">
        <v>0</v>
      </c>
      <c r="BI563">
        <v>0</v>
      </c>
      <c r="BK563">
        <v>0</v>
      </c>
      <c r="BL563">
        <v>0</v>
      </c>
      <c r="BM563">
        <v>0</v>
      </c>
      <c r="BN563">
        <v>0</v>
      </c>
      <c r="BO563">
        <v>344.70000000000005</v>
      </c>
      <c r="BP563">
        <v>625.70000000000005</v>
      </c>
      <c r="BQ563">
        <v>912.2</v>
      </c>
      <c r="BR563">
        <v>237.7</v>
      </c>
      <c r="BS563">
        <v>0</v>
      </c>
      <c r="BT563">
        <v>0</v>
      </c>
      <c r="BU563">
        <v>0</v>
      </c>
      <c r="BV563">
        <v>0</v>
      </c>
      <c r="BW563">
        <v>1647.4</v>
      </c>
      <c r="BY563">
        <v>453.1</v>
      </c>
      <c r="CA563">
        <v>285.39999999999998</v>
      </c>
      <c r="CB563">
        <v>280.8</v>
      </c>
      <c r="CC563">
        <v>127.7</v>
      </c>
      <c r="CD563">
        <v>0</v>
      </c>
      <c r="CE563">
        <v>0</v>
      </c>
      <c r="CF563">
        <v>0</v>
      </c>
      <c r="CG563">
        <v>0</v>
      </c>
      <c r="CI563">
        <v>0</v>
      </c>
      <c r="CJ563">
        <v>0</v>
      </c>
      <c r="CL563">
        <v>0</v>
      </c>
      <c r="CM563">
        <v>0</v>
      </c>
      <c r="CN563">
        <v>0</v>
      </c>
      <c r="CO563">
        <v>0</v>
      </c>
      <c r="CP563">
        <v>0</v>
      </c>
      <c r="CQ563">
        <v>621.70000000000005</v>
      </c>
      <c r="CR563">
        <v>481.70000000000005</v>
      </c>
      <c r="CS563">
        <v>0</v>
      </c>
      <c r="CT563">
        <v>524.6</v>
      </c>
      <c r="CU563">
        <v>514.1</v>
      </c>
      <c r="CV563">
        <v>175.2</v>
      </c>
      <c r="CW563">
        <v>0</v>
      </c>
      <c r="CX563">
        <v>65.099999999999994</v>
      </c>
      <c r="CY563">
        <v>199</v>
      </c>
      <c r="CZ563">
        <v>1907.9</v>
      </c>
      <c r="DA563">
        <v>0</v>
      </c>
      <c r="DB563">
        <v>0</v>
      </c>
      <c r="DC563">
        <v>0</v>
      </c>
      <c r="DD563">
        <v>0</v>
      </c>
      <c r="DE563">
        <v>0</v>
      </c>
      <c r="DF563">
        <v>0</v>
      </c>
      <c r="DG563">
        <v>0</v>
      </c>
      <c r="DH563">
        <v>0</v>
      </c>
      <c r="DI563">
        <v>0</v>
      </c>
      <c r="DJ563">
        <v>0</v>
      </c>
      <c r="DK563">
        <v>0</v>
      </c>
      <c r="DL563">
        <v>0</v>
      </c>
      <c r="DM563">
        <v>1065.4000000000001</v>
      </c>
      <c r="DN563">
        <v>599.70000000000005</v>
      </c>
      <c r="DO563">
        <v>319.7</v>
      </c>
      <c r="DP563">
        <v>1570.6999999999998</v>
      </c>
      <c r="DQ563">
        <v>1399.5</v>
      </c>
      <c r="DR563">
        <v>3581</v>
      </c>
      <c r="DU563">
        <v>1393.2</v>
      </c>
      <c r="DV563">
        <v>2862.6</v>
      </c>
      <c r="DY563">
        <v>2361</v>
      </c>
      <c r="EA563">
        <v>2409.6</v>
      </c>
      <c r="EC563">
        <v>1661.3999999999999</v>
      </c>
      <c r="EE563">
        <v>0</v>
      </c>
      <c r="EF563">
        <v>0</v>
      </c>
      <c r="EG563">
        <v>0</v>
      </c>
      <c r="EH563">
        <v>0</v>
      </c>
      <c r="EI563">
        <v>0</v>
      </c>
      <c r="EJ563">
        <v>0</v>
      </c>
      <c r="EK563">
        <v>0</v>
      </c>
      <c r="EL563">
        <v>0</v>
      </c>
      <c r="EM563">
        <v>0</v>
      </c>
      <c r="EN563">
        <v>0</v>
      </c>
      <c r="EO563">
        <v>0</v>
      </c>
      <c r="EP563">
        <v>944.5</v>
      </c>
      <c r="EQ563">
        <v>3459.7</v>
      </c>
      <c r="ER563">
        <v>1353.5</v>
      </c>
      <c r="ES563">
        <v>182.2</v>
      </c>
      <c r="ET563">
        <v>855.59999999999991</v>
      </c>
      <c r="EU563">
        <v>172.2</v>
      </c>
      <c r="EV563">
        <v>203.2</v>
      </c>
      <c r="EW563">
        <v>1173.0999999999999</v>
      </c>
      <c r="EX563">
        <v>1078.3</v>
      </c>
      <c r="EY563">
        <v>1194.4000000000001</v>
      </c>
      <c r="EZ563">
        <v>1207.0999999999999</v>
      </c>
      <c r="FA563">
        <v>0</v>
      </c>
      <c r="FB563">
        <v>0</v>
      </c>
      <c r="FC563">
        <v>0</v>
      </c>
      <c r="FD563">
        <v>0</v>
      </c>
      <c r="FE563">
        <v>0</v>
      </c>
      <c r="FF563">
        <v>0</v>
      </c>
      <c r="FG563">
        <v>0</v>
      </c>
      <c r="FH563">
        <v>0</v>
      </c>
      <c r="FI563">
        <v>0</v>
      </c>
      <c r="FJ563">
        <v>0</v>
      </c>
      <c r="FK563">
        <v>0</v>
      </c>
      <c r="FL563">
        <v>0</v>
      </c>
      <c r="FM563">
        <v>0</v>
      </c>
      <c r="FN563">
        <v>0</v>
      </c>
      <c r="FO563">
        <v>0</v>
      </c>
      <c r="FP563">
        <v>0</v>
      </c>
      <c r="FQ563">
        <v>0</v>
      </c>
      <c r="FR563">
        <v>0</v>
      </c>
      <c r="FS563">
        <v>0</v>
      </c>
      <c r="FT563">
        <v>0</v>
      </c>
      <c r="FU563">
        <v>0</v>
      </c>
      <c r="FV563">
        <v>0</v>
      </c>
      <c r="FW563">
        <v>0</v>
      </c>
      <c r="FX563">
        <v>0</v>
      </c>
      <c r="FY563">
        <v>0</v>
      </c>
      <c r="FZ563">
        <v>0</v>
      </c>
      <c r="GA563">
        <v>0</v>
      </c>
      <c r="GB563">
        <v>0</v>
      </c>
      <c r="GC563">
        <v>0</v>
      </c>
      <c r="GD563">
        <v>0</v>
      </c>
      <c r="GE563">
        <v>0</v>
      </c>
      <c r="GF563">
        <v>0</v>
      </c>
      <c r="GG563">
        <v>0</v>
      </c>
      <c r="GH563">
        <v>0</v>
      </c>
      <c r="GI563">
        <v>0</v>
      </c>
      <c r="GJ563">
        <v>0</v>
      </c>
      <c r="GK563">
        <v>0</v>
      </c>
      <c r="GL563">
        <v>0</v>
      </c>
      <c r="GO563">
        <v>0</v>
      </c>
      <c r="GP563">
        <v>0</v>
      </c>
      <c r="GQ563">
        <v>0</v>
      </c>
      <c r="GR563">
        <v>0</v>
      </c>
      <c r="GS563">
        <v>0</v>
      </c>
      <c r="GT563">
        <v>0</v>
      </c>
      <c r="GU563">
        <v>0</v>
      </c>
      <c r="GV563">
        <v>0</v>
      </c>
      <c r="GW563">
        <v>0</v>
      </c>
      <c r="GX563">
        <v>0</v>
      </c>
      <c r="GY563">
        <v>0</v>
      </c>
      <c r="GZ563">
        <v>0</v>
      </c>
      <c r="HA563">
        <v>0</v>
      </c>
      <c r="HB563">
        <v>0</v>
      </c>
      <c r="HC563">
        <v>0</v>
      </c>
      <c r="HD563">
        <v>0</v>
      </c>
      <c r="HE563">
        <v>0</v>
      </c>
      <c r="HF563">
        <v>0</v>
      </c>
      <c r="HG563">
        <v>0</v>
      </c>
      <c r="HH563">
        <v>0</v>
      </c>
      <c r="HI563">
        <v>0</v>
      </c>
      <c r="HJ563">
        <v>0</v>
      </c>
      <c r="HK563">
        <v>0</v>
      </c>
      <c r="HL563">
        <v>0</v>
      </c>
      <c r="HM563">
        <v>0</v>
      </c>
      <c r="HN563">
        <v>0</v>
      </c>
      <c r="HO563">
        <v>0</v>
      </c>
      <c r="HP563">
        <v>0</v>
      </c>
      <c r="HQ563">
        <v>0</v>
      </c>
      <c r="HR563">
        <v>0</v>
      </c>
      <c r="HS563">
        <v>0</v>
      </c>
      <c r="HT563">
        <v>0</v>
      </c>
      <c r="HU563">
        <v>0</v>
      </c>
      <c r="HV563">
        <v>0</v>
      </c>
      <c r="HW563">
        <v>404.70000000000005</v>
      </c>
      <c r="HX563">
        <v>342.3</v>
      </c>
      <c r="HZ563">
        <v>866.2</v>
      </c>
      <c r="IA563">
        <v>1142.8</v>
      </c>
      <c r="IB563">
        <v>1121.5</v>
      </c>
      <c r="IC563">
        <v>2403</v>
      </c>
      <c r="ID563">
        <v>2659.3</v>
      </c>
      <c r="IE563">
        <v>1923.4</v>
      </c>
      <c r="IF563">
        <v>1465.7</v>
      </c>
      <c r="IG563">
        <v>1608.3</v>
      </c>
      <c r="IH563">
        <v>0</v>
      </c>
      <c r="II563">
        <v>0</v>
      </c>
      <c r="IJ563">
        <v>0</v>
      </c>
      <c r="IK563">
        <v>0</v>
      </c>
      <c r="IL563">
        <v>0</v>
      </c>
      <c r="IM563">
        <v>0</v>
      </c>
      <c r="IN563">
        <v>0</v>
      </c>
      <c r="IO563">
        <v>0</v>
      </c>
      <c r="IP563">
        <v>75.099999999999994</v>
      </c>
    </row>
    <row r="564" spans="1:250" ht="18" thickBot="1">
      <c r="A564" s="246"/>
      <c r="B564" s="246" t="s">
        <v>928</v>
      </c>
      <c r="C564" s="334" t="s">
        <v>1023</v>
      </c>
      <c r="D564" s="398"/>
      <c r="E564" s="454">
        <v>0</v>
      </c>
      <c r="F564">
        <v>0</v>
      </c>
      <c r="G564" s="427">
        <v>0</v>
      </c>
      <c r="H564" s="155">
        <v>0</v>
      </c>
      <c r="I564">
        <v>0</v>
      </c>
      <c r="J564">
        <v>0</v>
      </c>
      <c r="K564">
        <v>0</v>
      </c>
      <c r="L564" s="4">
        <v>0</v>
      </c>
      <c r="M564" s="4">
        <v>0</v>
      </c>
      <c r="N564" s="4">
        <v>0</v>
      </c>
      <c r="O564" s="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R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G564">
        <v>0</v>
      </c>
      <c r="BI564">
        <v>0</v>
      </c>
      <c r="BK564">
        <v>0</v>
      </c>
      <c r="BL564">
        <v>0</v>
      </c>
      <c r="BM564">
        <v>0</v>
      </c>
      <c r="BN564">
        <v>0</v>
      </c>
      <c r="BO564">
        <v>344.70000000000005</v>
      </c>
      <c r="BP564">
        <v>625.70000000000005</v>
      </c>
      <c r="BQ564">
        <v>912.2</v>
      </c>
      <c r="BR564">
        <v>237.7</v>
      </c>
      <c r="BS564">
        <v>0</v>
      </c>
      <c r="BT564">
        <v>0</v>
      </c>
      <c r="BU564">
        <v>0</v>
      </c>
      <c r="BV564">
        <v>0</v>
      </c>
      <c r="BW564">
        <v>1647.4</v>
      </c>
      <c r="BY564">
        <v>453.1</v>
      </c>
      <c r="CA564">
        <v>285.39999999999998</v>
      </c>
      <c r="CB564">
        <v>280.8</v>
      </c>
      <c r="CC564">
        <v>127.7</v>
      </c>
      <c r="CD564">
        <v>0</v>
      </c>
      <c r="CE564">
        <v>0</v>
      </c>
      <c r="CF564">
        <v>0</v>
      </c>
      <c r="CG564">
        <v>0</v>
      </c>
      <c r="CI564">
        <v>0</v>
      </c>
      <c r="CJ564">
        <v>0</v>
      </c>
      <c r="CL564">
        <v>0</v>
      </c>
      <c r="CM564">
        <v>0</v>
      </c>
      <c r="CN564">
        <v>0</v>
      </c>
      <c r="CO564">
        <v>0</v>
      </c>
      <c r="CP564">
        <v>0</v>
      </c>
      <c r="CQ564">
        <v>621.70000000000005</v>
      </c>
      <c r="CR564">
        <v>481.70000000000005</v>
      </c>
      <c r="CS564">
        <v>0</v>
      </c>
      <c r="CT564">
        <v>524.6</v>
      </c>
      <c r="CU564">
        <v>514.1</v>
      </c>
      <c r="CV564">
        <v>175.2</v>
      </c>
      <c r="CW564">
        <v>0</v>
      </c>
      <c r="CX564">
        <v>65.099999999999994</v>
      </c>
      <c r="CY564">
        <v>199</v>
      </c>
      <c r="CZ564">
        <v>1907.9</v>
      </c>
      <c r="DA564">
        <v>0</v>
      </c>
      <c r="DB564">
        <v>0</v>
      </c>
      <c r="DC564">
        <v>0</v>
      </c>
      <c r="DD564">
        <v>0</v>
      </c>
      <c r="DE564">
        <v>0</v>
      </c>
      <c r="DF564">
        <v>0</v>
      </c>
      <c r="DG564">
        <v>0</v>
      </c>
      <c r="DH564">
        <v>0</v>
      </c>
      <c r="DI564">
        <v>0</v>
      </c>
      <c r="DJ564">
        <v>0</v>
      </c>
      <c r="DK564">
        <v>0</v>
      </c>
      <c r="DL564">
        <v>0</v>
      </c>
      <c r="DM564">
        <v>1065.4000000000001</v>
      </c>
      <c r="DN564">
        <v>599.70000000000005</v>
      </c>
      <c r="DO564">
        <v>319.7</v>
      </c>
      <c r="DP564">
        <v>1570.6999999999998</v>
      </c>
      <c r="DQ564">
        <v>1399.5</v>
      </c>
      <c r="DR564">
        <v>3581</v>
      </c>
      <c r="DU564">
        <v>1393.2</v>
      </c>
      <c r="DV564">
        <v>2862.6</v>
      </c>
      <c r="DY564">
        <v>2361</v>
      </c>
      <c r="EA564">
        <v>2409.6</v>
      </c>
      <c r="EC564">
        <v>1661.3999999999999</v>
      </c>
      <c r="EE564">
        <v>0</v>
      </c>
      <c r="EF564">
        <v>0</v>
      </c>
      <c r="EG564">
        <v>0</v>
      </c>
      <c r="EH564">
        <v>0</v>
      </c>
      <c r="EI564">
        <v>0</v>
      </c>
      <c r="EJ564">
        <v>0</v>
      </c>
      <c r="EK564">
        <v>0</v>
      </c>
      <c r="EL564">
        <v>0</v>
      </c>
      <c r="EM564">
        <v>0</v>
      </c>
      <c r="EN564">
        <v>0</v>
      </c>
      <c r="EO564">
        <v>0</v>
      </c>
      <c r="EP564">
        <v>944.5</v>
      </c>
      <c r="EQ564">
        <v>3459.7</v>
      </c>
      <c r="ER564">
        <v>1353.5</v>
      </c>
      <c r="ES564">
        <v>182.2</v>
      </c>
      <c r="ET564">
        <v>855.59999999999991</v>
      </c>
      <c r="EU564">
        <v>172.2</v>
      </c>
      <c r="EV564">
        <v>203.2</v>
      </c>
      <c r="EW564">
        <v>1173.0999999999999</v>
      </c>
      <c r="EX564">
        <v>1078.3</v>
      </c>
      <c r="EY564">
        <v>1194.4000000000001</v>
      </c>
      <c r="EZ564">
        <v>1207.0999999999999</v>
      </c>
      <c r="FA564">
        <v>0</v>
      </c>
      <c r="FB564">
        <v>0</v>
      </c>
      <c r="FC564">
        <v>0</v>
      </c>
      <c r="FD564">
        <v>0</v>
      </c>
      <c r="FE564">
        <v>0</v>
      </c>
      <c r="FF564">
        <v>0</v>
      </c>
      <c r="FG564">
        <v>0</v>
      </c>
      <c r="FH564">
        <v>0</v>
      </c>
      <c r="FI564">
        <v>0</v>
      </c>
      <c r="FJ564">
        <v>0</v>
      </c>
      <c r="FK564">
        <v>0</v>
      </c>
      <c r="FL564">
        <v>0</v>
      </c>
      <c r="FM564">
        <v>0</v>
      </c>
      <c r="FN564">
        <v>0</v>
      </c>
      <c r="FO564">
        <v>0</v>
      </c>
      <c r="FP564">
        <v>0</v>
      </c>
      <c r="FQ564">
        <v>0</v>
      </c>
      <c r="FR564">
        <v>0</v>
      </c>
      <c r="FS564">
        <v>0</v>
      </c>
      <c r="FT564">
        <v>0</v>
      </c>
      <c r="FU564">
        <v>0</v>
      </c>
      <c r="FV564">
        <v>0</v>
      </c>
      <c r="FW564">
        <v>0</v>
      </c>
      <c r="FX564">
        <v>0</v>
      </c>
      <c r="FY564">
        <v>0</v>
      </c>
      <c r="FZ564">
        <v>0</v>
      </c>
      <c r="GA564">
        <v>0</v>
      </c>
      <c r="GB564">
        <v>0</v>
      </c>
      <c r="GC564">
        <v>0</v>
      </c>
      <c r="GD564">
        <v>0</v>
      </c>
      <c r="GE564">
        <v>0</v>
      </c>
      <c r="GF564">
        <v>0</v>
      </c>
      <c r="GG564">
        <v>0</v>
      </c>
      <c r="GH564">
        <v>0</v>
      </c>
      <c r="GI564">
        <v>0</v>
      </c>
      <c r="GJ564">
        <v>0</v>
      </c>
      <c r="GK564">
        <v>0</v>
      </c>
      <c r="GL564">
        <v>0</v>
      </c>
      <c r="GO564">
        <v>0</v>
      </c>
      <c r="GP564">
        <v>0</v>
      </c>
      <c r="GQ564">
        <v>0</v>
      </c>
      <c r="GR564">
        <v>0</v>
      </c>
      <c r="GS564">
        <v>0</v>
      </c>
      <c r="GT564">
        <v>0</v>
      </c>
      <c r="GU564">
        <v>0</v>
      </c>
      <c r="GV564">
        <v>0</v>
      </c>
      <c r="GW564">
        <v>0</v>
      </c>
      <c r="GX564">
        <v>0</v>
      </c>
      <c r="GY564">
        <v>0</v>
      </c>
      <c r="GZ564">
        <v>0</v>
      </c>
      <c r="HA564">
        <v>0</v>
      </c>
      <c r="HB564">
        <v>0</v>
      </c>
      <c r="HC564">
        <v>0</v>
      </c>
      <c r="HD564">
        <v>0</v>
      </c>
      <c r="HE564">
        <v>0</v>
      </c>
      <c r="HF564">
        <v>0</v>
      </c>
      <c r="HG564">
        <v>0</v>
      </c>
      <c r="HH564">
        <v>0</v>
      </c>
      <c r="HI564">
        <v>0</v>
      </c>
      <c r="HJ564">
        <v>0</v>
      </c>
      <c r="HK564">
        <v>0</v>
      </c>
      <c r="HL564">
        <v>0</v>
      </c>
      <c r="HM564">
        <v>0</v>
      </c>
      <c r="HN564">
        <v>0</v>
      </c>
      <c r="HO564">
        <v>0</v>
      </c>
      <c r="HP564">
        <v>0</v>
      </c>
      <c r="HQ564">
        <v>0</v>
      </c>
      <c r="HR564">
        <v>0</v>
      </c>
      <c r="HS564">
        <v>0</v>
      </c>
      <c r="HT564">
        <v>0</v>
      </c>
      <c r="HU564">
        <v>0</v>
      </c>
      <c r="HV564">
        <v>0</v>
      </c>
      <c r="HW564">
        <v>404.70000000000005</v>
      </c>
      <c r="HX564">
        <v>342.3</v>
      </c>
      <c r="HZ564">
        <v>866.2</v>
      </c>
      <c r="IA564">
        <v>1142.8</v>
      </c>
      <c r="IB564">
        <v>1121.5</v>
      </c>
      <c r="IC564">
        <v>2403</v>
      </c>
      <c r="ID564">
        <v>2659.3</v>
      </c>
      <c r="IE564">
        <v>1923.4</v>
      </c>
      <c r="IF564">
        <v>1465.7</v>
      </c>
      <c r="IG564">
        <v>1608.3</v>
      </c>
      <c r="IH564">
        <v>0</v>
      </c>
      <c r="II564">
        <v>0</v>
      </c>
      <c r="IJ564">
        <v>0</v>
      </c>
      <c r="IK564">
        <v>0</v>
      </c>
      <c r="IL564">
        <v>0</v>
      </c>
      <c r="IM564">
        <v>0</v>
      </c>
      <c r="IN564">
        <v>0</v>
      </c>
      <c r="IO564">
        <v>0</v>
      </c>
      <c r="IP564">
        <v>75.099999999999994</v>
      </c>
    </row>
    <row r="565" spans="1:250" ht="18.600000000000001" thickTop="1" thickBot="1">
      <c r="A565" s="181"/>
      <c r="B565" s="181" t="s">
        <v>929</v>
      </c>
      <c r="C565" s="330" t="s">
        <v>1024</v>
      </c>
      <c r="D565" s="395"/>
      <c r="E565" s="454">
        <v>0</v>
      </c>
      <c r="F565">
        <v>0</v>
      </c>
      <c r="G565" s="427">
        <v>0</v>
      </c>
      <c r="H565" s="155">
        <v>0</v>
      </c>
      <c r="I565">
        <v>0</v>
      </c>
      <c r="J565">
        <v>0</v>
      </c>
      <c r="K565">
        <v>0</v>
      </c>
      <c r="L565" s="4">
        <v>0</v>
      </c>
      <c r="M565" s="4">
        <v>0</v>
      </c>
      <c r="N565" s="4">
        <v>0</v>
      </c>
      <c r="O565" s="4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R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G565">
        <v>0</v>
      </c>
      <c r="BI565">
        <v>0</v>
      </c>
      <c r="BK565">
        <v>0</v>
      </c>
      <c r="BL565">
        <v>0</v>
      </c>
      <c r="BM565">
        <v>0</v>
      </c>
      <c r="BN565">
        <v>0</v>
      </c>
      <c r="BO565">
        <v>344.70000000000005</v>
      </c>
      <c r="BP565">
        <v>625.70000000000005</v>
      </c>
      <c r="BQ565">
        <v>912.2</v>
      </c>
      <c r="BR565">
        <v>237.7</v>
      </c>
      <c r="BS565">
        <v>0</v>
      </c>
      <c r="BT565">
        <v>0</v>
      </c>
      <c r="BU565">
        <v>0</v>
      </c>
      <c r="BV565">
        <v>0</v>
      </c>
      <c r="BW565">
        <v>1647.4</v>
      </c>
      <c r="BY565">
        <v>453.1</v>
      </c>
      <c r="CA565">
        <v>285.39999999999998</v>
      </c>
      <c r="CB565">
        <v>280.8</v>
      </c>
      <c r="CC565">
        <v>127.7</v>
      </c>
      <c r="CD565">
        <v>0</v>
      </c>
      <c r="CE565">
        <v>0</v>
      </c>
      <c r="CF565">
        <v>0</v>
      </c>
      <c r="CG565">
        <v>0</v>
      </c>
      <c r="CI565">
        <v>0</v>
      </c>
      <c r="CJ565">
        <v>0</v>
      </c>
      <c r="CL565">
        <v>0</v>
      </c>
      <c r="CM565">
        <v>0</v>
      </c>
      <c r="CN565">
        <v>0</v>
      </c>
      <c r="CO565">
        <v>0</v>
      </c>
      <c r="CP565">
        <v>0</v>
      </c>
      <c r="CQ565">
        <v>621.70000000000005</v>
      </c>
      <c r="CR565">
        <v>481.70000000000005</v>
      </c>
      <c r="CS565">
        <v>0</v>
      </c>
      <c r="CT565">
        <v>524.6</v>
      </c>
      <c r="CU565">
        <v>514.1</v>
      </c>
      <c r="CV565">
        <v>175.2</v>
      </c>
      <c r="CW565">
        <v>0</v>
      </c>
      <c r="CX565">
        <v>65.099999999999994</v>
      </c>
      <c r="CY565">
        <v>199</v>
      </c>
      <c r="CZ565">
        <v>1907.9</v>
      </c>
      <c r="DA565">
        <v>0</v>
      </c>
      <c r="DB565">
        <v>0</v>
      </c>
      <c r="DC565">
        <v>0</v>
      </c>
      <c r="DD565">
        <v>0</v>
      </c>
      <c r="DE565">
        <v>0</v>
      </c>
      <c r="DF565">
        <v>0</v>
      </c>
      <c r="DG565">
        <v>0</v>
      </c>
      <c r="DH565">
        <v>0</v>
      </c>
      <c r="DI565">
        <v>0</v>
      </c>
      <c r="DJ565">
        <v>0</v>
      </c>
      <c r="DK565">
        <v>0</v>
      </c>
      <c r="DL565">
        <v>0</v>
      </c>
      <c r="DM565">
        <v>1065.4000000000001</v>
      </c>
      <c r="DN565">
        <v>599.70000000000005</v>
      </c>
      <c r="DO565">
        <v>319.7</v>
      </c>
      <c r="DP565">
        <v>1570.6999999999998</v>
      </c>
      <c r="DQ565">
        <v>1399.5</v>
      </c>
      <c r="DR565">
        <v>3581</v>
      </c>
      <c r="DU565">
        <v>1393.2</v>
      </c>
      <c r="DV565">
        <v>2862.6</v>
      </c>
      <c r="DY565">
        <v>2361</v>
      </c>
      <c r="EA565">
        <v>2409.6</v>
      </c>
      <c r="EC565">
        <v>1661.3999999999999</v>
      </c>
      <c r="EE565">
        <v>0</v>
      </c>
      <c r="EF565">
        <v>0</v>
      </c>
      <c r="EG565">
        <v>0</v>
      </c>
      <c r="EH565">
        <v>0</v>
      </c>
      <c r="EI565">
        <v>0</v>
      </c>
      <c r="EJ565">
        <v>0</v>
      </c>
      <c r="EK565">
        <v>0</v>
      </c>
      <c r="EL565">
        <v>0</v>
      </c>
      <c r="EM565">
        <v>0</v>
      </c>
      <c r="EN565">
        <v>0</v>
      </c>
      <c r="EO565">
        <v>0</v>
      </c>
      <c r="EP565">
        <v>944.5</v>
      </c>
      <c r="EQ565">
        <v>3459.7</v>
      </c>
      <c r="ER565">
        <v>1353.5</v>
      </c>
      <c r="ES565">
        <v>182.2</v>
      </c>
      <c r="ET565">
        <v>855.59999999999991</v>
      </c>
      <c r="EU565">
        <v>172.2</v>
      </c>
      <c r="EV565">
        <v>203.2</v>
      </c>
      <c r="EW565">
        <v>1173.0999999999999</v>
      </c>
      <c r="EX565">
        <v>1078.3</v>
      </c>
      <c r="EY565">
        <v>1194.4000000000001</v>
      </c>
      <c r="EZ565">
        <v>1207.0999999999999</v>
      </c>
      <c r="FA565">
        <v>0</v>
      </c>
      <c r="FB565">
        <v>0</v>
      </c>
      <c r="FC565">
        <v>0</v>
      </c>
      <c r="FD565">
        <v>0</v>
      </c>
      <c r="FE565">
        <v>0</v>
      </c>
      <c r="FF565">
        <v>0</v>
      </c>
      <c r="FG565">
        <v>0</v>
      </c>
      <c r="FH565">
        <v>0</v>
      </c>
      <c r="FI565">
        <v>0</v>
      </c>
      <c r="FJ565">
        <v>0</v>
      </c>
      <c r="FK565">
        <v>0</v>
      </c>
      <c r="FL565">
        <v>0</v>
      </c>
      <c r="FM565">
        <v>0</v>
      </c>
      <c r="FN565">
        <v>0</v>
      </c>
      <c r="FO565">
        <v>0</v>
      </c>
      <c r="FP565">
        <v>0</v>
      </c>
      <c r="FQ565">
        <v>0</v>
      </c>
      <c r="FR565">
        <v>0</v>
      </c>
      <c r="FS565">
        <v>0</v>
      </c>
      <c r="FT565">
        <v>0</v>
      </c>
      <c r="FU565">
        <v>0</v>
      </c>
      <c r="FV565">
        <v>0</v>
      </c>
      <c r="FW565">
        <v>0</v>
      </c>
      <c r="FX565">
        <v>0</v>
      </c>
      <c r="FY565">
        <v>0</v>
      </c>
      <c r="FZ565">
        <v>0</v>
      </c>
      <c r="GA565">
        <v>0</v>
      </c>
      <c r="GB565">
        <v>0</v>
      </c>
      <c r="GC565">
        <v>0</v>
      </c>
      <c r="GD565">
        <v>0</v>
      </c>
      <c r="GE565">
        <v>0</v>
      </c>
      <c r="GF565">
        <v>0</v>
      </c>
      <c r="GG565">
        <v>0</v>
      </c>
      <c r="GH565">
        <v>0</v>
      </c>
      <c r="GI565">
        <v>0</v>
      </c>
      <c r="GJ565">
        <v>0</v>
      </c>
      <c r="GK565">
        <v>0</v>
      </c>
      <c r="GL565">
        <v>0</v>
      </c>
      <c r="GO565">
        <v>0</v>
      </c>
      <c r="GP565">
        <v>0</v>
      </c>
      <c r="GQ565">
        <v>0</v>
      </c>
      <c r="GR565">
        <v>0</v>
      </c>
      <c r="GS565">
        <v>0</v>
      </c>
      <c r="GT565">
        <v>0</v>
      </c>
      <c r="GU565">
        <v>0</v>
      </c>
      <c r="GV565">
        <v>0</v>
      </c>
      <c r="GW565">
        <v>0</v>
      </c>
      <c r="GX565">
        <v>0</v>
      </c>
      <c r="GY565">
        <v>0</v>
      </c>
      <c r="GZ565">
        <v>0</v>
      </c>
      <c r="HA565">
        <v>0</v>
      </c>
      <c r="HB565">
        <v>0</v>
      </c>
      <c r="HC565">
        <v>0</v>
      </c>
      <c r="HD565">
        <v>0</v>
      </c>
      <c r="HE565">
        <v>0</v>
      </c>
      <c r="HF565">
        <v>0</v>
      </c>
      <c r="HG565">
        <v>0</v>
      </c>
      <c r="HH565">
        <v>0</v>
      </c>
      <c r="HI565">
        <v>0</v>
      </c>
      <c r="HJ565">
        <v>0</v>
      </c>
      <c r="HK565">
        <v>0</v>
      </c>
      <c r="HL565">
        <v>0</v>
      </c>
      <c r="HM565">
        <v>0</v>
      </c>
      <c r="HN565">
        <v>0</v>
      </c>
      <c r="HO565">
        <v>0</v>
      </c>
      <c r="HP565">
        <v>0</v>
      </c>
      <c r="HQ565">
        <v>0</v>
      </c>
      <c r="HR565">
        <v>0</v>
      </c>
      <c r="HS565">
        <v>0</v>
      </c>
      <c r="HT565">
        <v>0</v>
      </c>
      <c r="HU565">
        <v>0</v>
      </c>
      <c r="HV565">
        <v>0</v>
      </c>
      <c r="HW565">
        <v>404.70000000000005</v>
      </c>
      <c r="HX565">
        <v>342.3</v>
      </c>
      <c r="HZ565">
        <v>866.2</v>
      </c>
      <c r="IA565">
        <v>1142.8</v>
      </c>
      <c r="IB565">
        <v>1121.5</v>
      </c>
      <c r="IC565">
        <v>2403</v>
      </c>
      <c r="ID565">
        <v>2659.3</v>
      </c>
      <c r="IE565">
        <v>1923.4</v>
      </c>
      <c r="IF565">
        <v>1465.7</v>
      </c>
      <c r="IG565">
        <v>1608.3</v>
      </c>
      <c r="IH565">
        <v>0</v>
      </c>
      <c r="II565">
        <v>0</v>
      </c>
      <c r="IJ565">
        <v>0</v>
      </c>
      <c r="IK565">
        <v>0</v>
      </c>
      <c r="IL565">
        <v>0</v>
      </c>
      <c r="IM565">
        <v>0</v>
      </c>
      <c r="IN565">
        <v>0</v>
      </c>
      <c r="IO565">
        <v>0</v>
      </c>
      <c r="IP565">
        <v>75.099999999999994</v>
      </c>
    </row>
    <row r="566" spans="1:250" ht="18" thickBot="1">
      <c r="A566" s="245"/>
      <c r="B566" s="245" t="s">
        <v>930</v>
      </c>
      <c r="C566" s="332" t="s">
        <v>1025</v>
      </c>
      <c r="D566" s="396"/>
      <c r="E566" s="454">
        <v>0</v>
      </c>
      <c r="F566">
        <v>0</v>
      </c>
      <c r="G566" s="427">
        <v>0</v>
      </c>
      <c r="H566" s="155">
        <v>0</v>
      </c>
      <c r="I566">
        <v>0</v>
      </c>
      <c r="J566">
        <v>0</v>
      </c>
      <c r="K566">
        <v>0</v>
      </c>
      <c r="L566" s="4">
        <v>0</v>
      </c>
      <c r="M566" s="4">
        <v>0</v>
      </c>
      <c r="N566" s="4">
        <v>0</v>
      </c>
      <c r="O566" s="4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R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G566">
        <v>0</v>
      </c>
      <c r="BI566">
        <v>0</v>
      </c>
      <c r="BK566">
        <v>0</v>
      </c>
      <c r="BL566">
        <v>0</v>
      </c>
      <c r="BM566">
        <v>0</v>
      </c>
      <c r="BN566">
        <v>0</v>
      </c>
      <c r="BO566">
        <v>344.70000000000005</v>
      </c>
      <c r="BP566">
        <v>625.70000000000005</v>
      </c>
      <c r="BQ566">
        <v>912.2</v>
      </c>
      <c r="BR566">
        <v>237.7</v>
      </c>
      <c r="BS566">
        <v>0</v>
      </c>
      <c r="BT566">
        <v>0</v>
      </c>
      <c r="BU566">
        <v>0</v>
      </c>
      <c r="BV566">
        <v>0</v>
      </c>
      <c r="BW566">
        <v>1647.4</v>
      </c>
      <c r="BY566">
        <v>453.1</v>
      </c>
      <c r="CA566">
        <v>285.39999999999998</v>
      </c>
      <c r="CB566">
        <v>280.8</v>
      </c>
      <c r="CC566">
        <v>127.7</v>
      </c>
      <c r="CD566">
        <v>0</v>
      </c>
      <c r="CE566">
        <v>0</v>
      </c>
      <c r="CF566">
        <v>0</v>
      </c>
      <c r="CG566">
        <v>0</v>
      </c>
      <c r="CI566">
        <v>0</v>
      </c>
      <c r="CJ566">
        <v>0</v>
      </c>
      <c r="CL566">
        <v>0</v>
      </c>
      <c r="CM566">
        <v>0</v>
      </c>
      <c r="CN566">
        <v>0</v>
      </c>
      <c r="CO566">
        <v>0</v>
      </c>
      <c r="CP566">
        <v>0</v>
      </c>
      <c r="CQ566">
        <v>621.70000000000005</v>
      </c>
      <c r="CR566">
        <v>481.70000000000005</v>
      </c>
      <c r="CS566">
        <v>0</v>
      </c>
      <c r="CT566">
        <v>524.6</v>
      </c>
      <c r="CU566">
        <v>514.1</v>
      </c>
      <c r="CV566">
        <v>175.2</v>
      </c>
      <c r="CW566">
        <v>0</v>
      </c>
      <c r="CX566">
        <v>65.099999999999994</v>
      </c>
      <c r="CY566">
        <v>199</v>
      </c>
      <c r="CZ566">
        <v>1907.9</v>
      </c>
      <c r="DA566">
        <v>0</v>
      </c>
      <c r="DB566">
        <v>0</v>
      </c>
      <c r="DC566">
        <v>0</v>
      </c>
      <c r="DD566">
        <v>0</v>
      </c>
      <c r="DE566">
        <v>0</v>
      </c>
      <c r="DF566">
        <v>0</v>
      </c>
      <c r="DG566">
        <v>0</v>
      </c>
      <c r="DH566">
        <v>0</v>
      </c>
      <c r="DI566">
        <v>0</v>
      </c>
      <c r="DJ566">
        <v>0</v>
      </c>
      <c r="DK566">
        <v>0</v>
      </c>
      <c r="DL566">
        <v>0</v>
      </c>
      <c r="DM566">
        <v>1065.4000000000001</v>
      </c>
      <c r="DN566">
        <v>599.70000000000005</v>
      </c>
      <c r="DO566">
        <v>319.7</v>
      </c>
      <c r="DP566">
        <v>1570.6999999999998</v>
      </c>
      <c r="DQ566">
        <v>1399.5</v>
      </c>
      <c r="DR566">
        <v>3581</v>
      </c>
      <c r="DU566">
        <v>1393.2</v>
      </c>
      <c r="DV566">
        <v>2862.6</v>
      </c>
      <c r="DY566">
        <v>2361</v>
      </c>
      <c r="EA566">
        <v>2409.6</v>
      </c>
      <c r="EC566">
        <v>1661.3999999999999</v>
      </c>
      <c r="EE566">
        <v>0</v>
      </c>
      <c r="EF566">
        <v>0</v>
      </c>
      <c r="EG566">
        <v>0</v>
      </c>
      <c r="EH566">
        <v>0</v>
      </c>
      <c r="EI566">
        <v>0</v>
      </c>
      <c r="EJ566">
        <v>0</v>
      </c>
      <c r="EK566">
        <v>0</v>
      </c>
      <c r="EL566">
        <v>0</v>
      </c>
      <c r="EM566">
        <v>0</v>
      </c>
      <c r="EN566">
        <v>0</v>
      </c>
      <c r="EO566">
        <v>0</v>
      </c>
      <c r="EP566">
        <v>944.5</v>
      </c>
      <c r="EQ566">
        <v>3459.7</v>
      </c>
      <c r="ER566">
        <v>1353.5</v>
      </c>
      <c r="ES566">
        <v>182.2</v>
      </c>
      <c r="ET566">
        <v>855.59999999999991</v>
      </c>
      <c r="EU566">
        <v>172.2</v>
      </c>
      <c r="EV566">
        <v>203.2</v>
      </c>
      <c r="EW566">
        <v>1173.0999999999999</v>
      </c>
      <c r="EX566">
        <v>1078.3</v>
      </c>
      <c r="EY566">
        <v>1194.4000000000001</v>
      </c>
      <c r="EZ566">
        <v>1207.0999999999999</v>
      </c>
      <c r="FA566">
        <v>0</v>
      </c>
      <c r="FB566">
        <v>0</v>
      </c>
      <c r="FC566">
        <v>0</v>
      </c>
      <c r="FD566">
        <v>0</v>
      </c>
      <c r="FE566">
        <v>0</v>
      </c>
      <c r="FF566">
        <v>0</v>
      </c>
      <c r="FG566">
        <v>0</v>
      </c>
      <c r="FH566">
        <v>0</v>
      </c>
      <c r="FI566">
        <v>0</v>
      </c>
      <c r="FJ566">
        <v>0</v>
      </c>
      <c r="FK566">
        <v>0</v>
      </c>
      <c r="FL566">
        <v>0</v>
      </c>
      <c r="FM566">
        <v>0</v>
      </c>
      <c r="FN566">
        <v>0</v>
      </c>
      <c r="FO566">
        <v>0</v>
      </c>
      <c r="FP566">
        <v>0</v>
      </c>
      <c r="FQ566">
        <v>0</v>
      </c>
      <c r="FR566">
        <v>0</v>
      </c>
      <c r="FS566">
        <v>0</v>
      </c>
      <c r="FT566">
        <v>0</v>
      </c>
      <c r="FU566">
        <v>0</v>
      </c>
      <c r="FV566">
        <v>0</v>
      </c>
      <c r="FW566">
        <v>0</v>
      </c>
      <c r="FX566">
        <v>0</v>
      </c>
      <c r="FY566">
        <v>0</v>
      </c>
      <c r="FZ566">
        <v>0</v>
      </c>
      <c r="GA566">
        <v>0</v>
      </c>
      <c r="GB566">
        <v>0</v>
      </c>
      <c r="GC566">
        <v>0</v>
      </c>
      <c r="GD566">
        <v>0</v>
      </c>
      <c r="GE566">
        <v>0</v>
      </c>
      <c r="GF566">
        <v>0</v>
      </c>
      <c r="GG566">
        <v>0</v>
      </c>
      <c r="GH566">
        <v>0</v>
      </c>
      <c r="GI566">
        <v>0</v>
      </c>
      <c r="GJ566">
        <v>0</v>
      </c>
      <c r="GK566">
        <v>0</v>
      </c>
      <c r="GL566">
        <v>0</v>
      </c>
      <c r="GO566">
        <v>0</v>
      </c>
      <c r="GP566">
        <v>0</v>
      </c>
      <c r="GQ566">
        <v>0</v>
      </c>
      <c r="GR566">
        <v>0</v>
      </c>
      <c r="GS566">
        <v>0</v>
      </c>
      <c r="GT566">
        <v>0</v>
      </c>
      <c r="GU566">
        <v>0</v>
      </c>
      <c r="GV566">
        <v>0</v>
      </c>
      <c r="GW566">
        <v>0</v>
      </c>
      <c r="GX566">
        <v>0</v>
      </c>
      <c r="GY566">
        <v>0</v>
      </c>
      <c r="GZ566">
        <v>0</v>
      </c>
      <c r="HA566">
        <v>0</v>
      </c>
      <c r="HB566">
        <v>0</v>
      </c>
      <c r="HC566">
        <v>0</v>
      </c>
      <c r="HD566">
        <v>0</v>
      </c>
      <c r="HE566">
        <v>0</v>
      </c>
      <c r="HF566">
        <v>0</v>
      </c>
      <c r="HG566">
        <v>0</v>
      </c>
      <c r="HH566">
        <v>0</v>
      </c>
      <c r="HI566">
        <v>0</v>
      </c>
      <c r="HJ566">
        <v>0</v>
      </c>
      <c r="HK566">
        <v>0</v>
      </c>
      <c r="HL566">
        <v>0</v>
      </c>
      <c r="HM566">
        <v>0</v>
      </c>
      <c r="HN566">
        <v>0</v>
      </c>
      <c r="HO566">
        <v>0</v>
      </c>
      <c r="HP566">
        <v>0</v>
      </c>
      <c r="HQ566">
        <v>0</v>
      </c>
      <c r="HR566">
        <v>0</v>
      </c>
      <c r="HS566">
        <v>0</v>
      </c>
      <c r="HT566">
        <v>0</v>
      </c>
      <c r="HU566">
        <v>0</v>
      </c>
      <c r="HV566">
        <v>0</v>
      </c>
      <c r="HW566">
        <v>404.70000000000005</v>
      </c>
      <c r="HX566">
        <v>342.3</v>
      </c>
      <c r="HZ566">
        <v>866.2</v>
      </c>
      <c r="IA566">
        <v>1142.8</v>
      </c>
      <c r="IB566">
        <v>1121.5</v>
      </c>
      <c r="IC566">
        <v>2403</v>
      </c>
      <c r="ID566">
        <v>2659.3</v>
      </c>
      <c r="IE566">
        <v>1923.4</v>
      </c>
      <c r="IF566">
        <v>1465.7</v>
      </c>
      <c r="IG566">
        <v>1608.3</v>
      </c>
      <c r="IH566">
        <v>0</v>
      </c>
      <c r="II566">
        <v>0</v>
      </c>
      <c r="IJ566">
        <v>0</v>
      </c>
      <c r="IK566">
        <v>0</v>
      </c>
      <c r="IL566">
        <v>0</v>
      </c>
      <c r="IM566">
        <v>0</v>
      </c>
      <c r="IN566">
        <v>0</v>
      </c>
      <c r="IO566">
        <v>0</v>
      </c>
      <c r="IP566">
        <v>75.099999999999994</v>
      </c>
    </row>
    <row r="567" spans="1:250" ht="18" thickBot="1">
      <c r="A567" s="245"/>
      <c r="B567" s="245" t="s">
        <v>931</v>
      </c>
      <c r="C567" s="230" t="s">
        <v>1026</v>
      </c>
      <c r="D567" s="399"/>
      <c r="E567" s="454">
        <v>0</v>
      </c>
      <c r="F567">
        <v>0</v>
      </c>
      <c r="G567" s="427">
        <v>0</v>
      </c>
      <c r="H567" s="155">
        <v>0</v>
      </c>
      <c r="I567">
        <v>0</v>
      </c>
      <c r="J567">
        <v>0</v>
      </c>
      <c r="K567">
        <v>0</v>
      </c>
      <c r="L567" s="4">
        <v>0</v>
      </c>
      <c r="M567" s="4">
        <v>0</v>
      </c>
      <c r="N567" s="4">
        <v>0</v>
      </c>
      <c r="O567" s="4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R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G567">
        <v>0</v>
      </c>
      <c r="BI567">
        <v>0</v>
      </c>
      <c r="BK567">
        <v>0</v>
      </c>
      <c r="BL567">
        <v>0</v>
      </c>
      <c r="BM567">
        <v>0</v>
      </c>
      <c r="BN567">
        <v>0</v>
      </c>
      <c r="BO567">
        <v>344.70000000000005</v>
      </c>
      <c r="BP567">
        <v>625.70000000000005</v>
      </c>
      <c r="BQ567">
        <v>912.2</v>
      </c>
      <c r="BR567">
        <v>237.7</v>
      </c>
      <c r="BS567">
        <v>0</v>
      </c>
      <c r="BT567">
        <v>0</v>
      </c>
      <c r="BU567">
        <v>0</v>
      </c>
      <c r="BV567">
        <v>0</v>
      </c>
      <c r="BW567">
        <v>1647.4</v>
      </c>
      <c r="BY567">
        <v>453.1</v>
      </c>
      <c r="CA567">
        <v>285.39999999999998</v>
      </c>
      <c r="CB567">
        <v>280.8</v>
      </c>
      <c r="CC567">
        <v>127.7</v>
      </c>
      <c r="CD567">
        <v>0</v>
      </c>
      <c r="CE567">
        <v>0</v>
      </c>
      <c r="CF567">
        <v>0</v>
      </c>
      <c r="CG567">
        <v>0</v>
      </c>
      <c r="CI567">
        <v>0</v>
      </c>
      <c r="CJ567">
        <v>0</v>
      </c>
      <c r="CL567">
        <v>0</v>
      </c>
      <c r="CM567">
        <v>0</v>
      </c>
      <c r="CN567">
        <v>0</v>
      </c>
      <c r="CO567">
        <v>0</v>
      </c>
      <c r="CP567">
        <v>0</v>
      </c>
      <c r="CQ567">
        <v>621.70000000000005</v>
      </c>
      <c r="CR567">
        <v>481.70000000000005</v>
      </c>
      <c r="CS567">
        <v>0</v>
      </c>
      <c r="CT567">
        <v>524.6</v>
      </c>
      <c r="CU567">
        <v>514.1</v>
      </c>
      <c r="CV567">
        <v>175.2</v>
      </c>
      <c r="CW567">
        <v>0</v>
      </c>
      <c r="CX567">
        <v>65.099999999999994</v>
      </c>
      <c r="CY567">
        <v>199</v>
      </c>
      <c r="CZ567">
        <v>1907.9</v>
      </c>
      <c r="DA567">
        <v>0</v>
      </c>
      <c r="DB567">
        <v>0</v>
      </c>
      <c r="DC567">
        <v>0</v>
      </c>
      <c r="DD567">
        <v>0</v>
      </c>
      <c r="DE567">
        <v>0</v>
      </c>
      <c r="DF567">
        <v>0</v>
      </c>
      <c r="DG567">
        <v>0</v>
      </c>
      <c r="DH567">
        <v>0</v>
      </c>
      <c r="DI567">
        <v>0</v>
      </c>
      <c r="DJ567">
        <v>0</v>
      </c>
      <c r="DK567">
        <v>0</v>
      </c>
      <c r="DL567">
        <v>0</v>
      </c>
      <c r="DM567">
        <v>1065.4000000000001</v>
      </c>
      <c r="DN567">
        <v>599.70000000000005</v>
      </c>
      <c r="DO567">
        <v>319.7</v>
      </c>
      <c r="DP567">
        <v>1570.6999999999998</v>
      </c>
      <c r="DQ567">
        <v>1399.5</v>
      </c>
      <c r="DR567">
        <v>3581</v>
      </c>
      <c r="DU567">
        <v>1393.2</v>
      </c>
      <c r="DV567">
        <v>2862.6</v>
      </c>
      <c r="DY567">
        <v>2361</v>
      </c>
      <c r="EA567">
        <v>2409.6</v>
      </c>
      <c r="EC567">
        <v>1661.3999999999999</v>
      </c>
      <c r="EE567">
        <v>0</v>
      </c>
      <c r="EF567">
        <v>0</v>
      </c>
      <c r="EG567">
        <v>0</v>
      </c>
      <c r="EH567">
        <v>0</v>
      </c>
      <c r="EI567">
        <v>0</v>
      </c>
      <c r="EJ567">
        <v>0</v>
      </c>
      <c r="EK567">
        <v>0</v>
      </c>
      <c r="EL567">
        <v>0</v>
      </c>
      <c r="EM567">
        <v>0</v>
      </c>
      <c r="EN567">
        <v>0</v>
      </c>
      <c r="EO567">
        <v>0</v>
      </c>
      <c r="EP567">
        <v>944.5</v>
      </c>
      <c r="EQ567">
        <v>3459.7</v>
      </c>
      <c r="ER567">
        <v>1353.5</v>
      </c>
      <c r="ES567">
        <v>182.2</v>
      </c>
      <c r="ET567">
        <v>855.59999999999991</v>
      </c>
      <c r="EU567">
        <v>172.2</v>
      </c>
      <c r="EV567">
        <v>203.2</v>
      </c>
      <c r="EW567">
        <v>1173.0999999999999</v>
      </c>
      <c r="EX567">
        <v>1078.3</v>
      </c>
      <c r="EY567">
        <v>1194.4000000000001</v>
      </c>
      <c r="EZ567">
        <v>1207.0999999999999</v>
      </c>
      <c r="FA567">
        <v>0</v>
      </c>
      <c r="FB567">
        <v>0</v>
      </c>
      <c r="FC567">
        <v>0</v>
      </c>
      <c r="FD567">
        <v>0</v>
      </c>
      <c r="FE567">
        <v>0</v>
      </c>
      <c r="FF567">
        <v>0</v>
      </c>
      <c r="FG567">
        <v>0</v>
      </c>
      <c r="FH567">
        <v>0</v>
      </c>
      <c r="FI567">
        <v>0</v>
      </c>
      <c r="FJ567">
        <v>0</v>
      </c>
      <c r="FK567">
        <v>0</v>
      </c>
      <c r="FL567">
        <v>0</v>
      </c>
      <c r="FM567">
        <v>0</v>
      </c>
      <c r="FN567">
        <v>0</v>
      </c>
      <c r="FO567">
        <v>0</v>
      </c>
      <c r="FP567">
        <v>0</v>
      </c>
      <c r="FQ567">
        <v>0</v>
      </c>
      <c r="FR567">
        <v>0</v>
      </c>
      <c r="FS567">
        <v>0</v>
      </c>
      <c r="FT567">
        <v>0</v>
      </c>
      <c r="FU567">
        <v>0</v>
      </c>
      <c r="FV567">
        <v>0</v>
      </c>
      <c r="FW567">
        <v>0</v>
      </c>
      <c r="FX567">
        <v>0</v>
      </c>
      <c r="FY567">
        <v>0</v>
      </c>
      <c r="FZ567">
        <v>0</v>
      </c>
      <c r="GA567">
        <v>0</v>
      </c>
      <c r="GB567">
        <v>0</v>
      </c>
      <c r="GC567">
        <v>0</v>
      </c>
      <c r="GD567">
        <v>0</v>
      </c>
      <c r="GE567">
        <v>0</v>
      </c>
      <c r="GF567">
        <v>0</v>
      </c>
      <c r="GG567">
        <v>0</v>
      </c>
      <c r="GH567">
        <v>0</v>
      </c>
      <c r="GI567">
        <v>0</v>
      </c>
      <c r="GJ567">
        <v>0</v>
      </c>
      <c r="GK567">
        <v>0</v>
      </c>
      <c r="GL567">
        <v>0</v>
      </c>
      <c r="GO567">
        <v>0</v>
      </c>
      <c r="GP567">
        <v>0</v>
      </c>
      <c r="GQ567">
        <v>0</v>
      </c>
      <c r="GR567">
        <v>0</v>
      </c>
      <c r="GS567">
        <v>0</v>
      </c>
      <c r="GT567">
        <v>0</v>
      </c>
      <c r="GU567">
        <v>0</v>
      </c>
      <c r="GV567">
        <v>0</v>
      </c>
      <c r="GW567">
        <v>0</v>
      </c>
      <c r="GX567">
        <v>0</v>
      </c>
      <c r="GY567">
        <v>0</v>
      </c>
      <c r="GZ567">
        <v>0</v>
      </c>
      <c r="HA567">
        <v>0</v>
      </c>
      <c r="HB567">
        <v>0</v>
      </c>
      <c r="HC567">
        <v>0</v>
      </c>
      <c r="HD567">
        <v>0</v>
      </c>
      <c r="HE567">
        <v>0</v>
      </c>
      <c r="HF567">
        <v>0</v>
      </c>
      <c r="HG567">
        <v>0</v>
      </c>
      <c r="HH567">
        <v>0</v>
      </c>
      <c r="HI567">
        <v>0</v>
      </c>
      <c r="HJ567">
        <v>0</v>
      </c>
      <c r="HK567">
        <v>0</v>
      </c>
      <c r="HL567">
        <v>0</v>
      </c>
      <c r="HM567">
        <v>0</v>
      </c>
      <c r="HN567">
        <v>0</v>
      </c>
      <c r="HO567">
        <v>0</v>
      </c>
      <c r="HP567">
        <v>0</v>
      </c>
      <c r="HQ567">
        <v>0</v>
      </c>
      <c r="HR567">
        <v>0</v>
      </c>
      <c r="HS567">
        <v>0</v>
      </c>
      <c r="HT567">
        <v>0</v>
      </c>
      <c r="HU567">
        <v>0</v>
      </c>
      <c r="HV567">
        <v>0</v>
      </c>
      <c r="HW567">
        <v>404.70000000000005</v>
      </c>
      <c r="HX567">
        <v>342.3</v>
      </c>
      <c r="HZ567">
        <v>866.2</v>
      </c>
      <c r="IA567">
        <v>1142.8</v>
      </c>
      <c r="IB567">
        <v>1121.5</v>
      </c>
      <c r="IC567">
        <v>2403</v>
      </c>
      <c r="ID567">
        <v>2659.3</v>
      </c>
      <c r="IE567">
        <v>1923.4</v>
      </c>
      <c r="IF567">
        <v>1465.7</v>
      </c>
      <c r="IG567">
        <v>1608.3</v>
      </c>
      <c r="IH567">
        <v>0</v>
      </c>
      <c r="II567">
        <v>0</v>
      </c>
      <c r="IJ567">
        <v>0</v>
      </c>
      <c r="IK567">
        <v>0</v>
      </c>
      <c r="IL567">
        <v>0</v>
      </c>
      <c r="IM567">
        <v>0</v>
      </c>
      <c r="IN567">
        <v>0</v>
      </c>
      <c r="IO567">
        <v>0</v>
      </c>
      <c r="IP567">
        <v>75.099999999999994</v>
      </c>
    </row>
    <row r="568" spans="1:250" ht="18" thickBot="1">
      <c r="A568" s="245"/>
      <c r="B568" s="245" t="s">
        <v>932</v>
      </c>
      <c r="C568" s="230" t="s">
        <v>1027</v>
      </c>
      <c r="D568" s="399"/>
      <c r="E568" s="454">
        <v>0</v>
      </c>
      <c r="F568">
        <v>0</v>
      </c>
      <c r="G568" s="427">
        <v>0</v>
      </c>
      <c r="H568" s="155">
        <v>0</v>
      </c>
      <c r="I568">
        <v>0</v>
      </c>
      <c r="J568">
        <v>0</v>
      </c>
      <c r="K568">
        <v>0</v>
      </c>
      <c r="L568" s="4">
        <v>0</v>
      </c>
      <c r="M568" s="4">
        <v>0</v>
      </c>
      <c r="N568" s="4">
        <v>0</v>
      </c>
      <c r="O568" s="4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R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G568">
        <v>0</v>
      </c>
      <c r="BI568">
        <v>0</v>
      </c>
      <c r="BK568">
        <v>0</v>
      </c>
      <c r="BL568">
        <v>0</v>
      </c>
      <c r="BM568">
        <v>0</v>
      </c>
      <c r="BN568">
        <v>0</v>
      </c>
      <c r="BO568">
        <v>344.70000000000005</v>
      </c>
      <c r="BP568">
        <v>625.70000000000005</v>
      </c>
      <c r="BQ568">
        <v>912.2</v>
      </c>
      <c r="BR568">
        <v>237.7</v>
      </c>
      <c r="BS568">
        <v>0</v>
      </c>
      <c r="BT568">
        <v>0</v>
      </c>
      <c r="BU568">
        <v>0</v>
      </c>
      <c r="BV568">
        <v>0</v>
      </c>
      <c r="BW568">
        <v>1647.4</v>
      </c>
      <c r="BY568">
        <v>453.1</v>
      </c>
      <c r="CA568">
        <v>285.39999999999998</v>
      </c>
      <c r="CB568">
        <v>280.8</v>
      </c>
      <c r="CC568">
        <v>127.7</v>
      </c>
      <c r="CD568">
        <v>0</v>
      </c>
      <c r="CE568">
        <v>0</v>
      </c>
      <c r="CF568">
        <v>0</v>
      </c>
      <c r="CG568">
        <v>0</v>
      </c>
      <c r="CI568">
        <v>0</v>
      </c>
      <c r="CJ568">
        <v>0</v>
      </c>
      <c r="CL568">
        <v>0</v>
      </c>
      <c r="CM568">
        <v>0</v>
      </c>
      <c r="CN568">
        <v>0</v>
      </c>
      <c r="CO568">
        <v>0</v>
      </c>
      <c r="CP568">
        <v>0</v>
      </c>
      <c r="CQ568">
        <v>621.70000000000005</v>
      </c>
      <c r="CR568">
        <v>481.70000000000005</v>
      </c>
      <c r="CS568">
        <v>0</v>
      </c>
      <c r="CT568">
        <v>524.6</v>
      </c>
      <c r="CU568">
        <v>514.1</v>
      </c>
      <c r="CV568">
        <v>175.2</v>
      </c>
      <c r="CW568">
        <v>0</v>
      </c>
      <c r="CX568">
        <v>65.099999999999994</v>
      </c>
      <c r="CY568">
        <v>199</v>
      </c>
      <c r="CZ568">
        <v>1907.9</v>
      </c>
      <c r="DA568">
        <v>0</v>
      </c>
      <c r="DB568">
        <v>0</v>
      </c>
      <c r="DC568">
        <v>0</v>
      </c>
      <c r="DD568">
        <v>0</v>
      </c>
      <c r="DE568">
        <v>0</v>
      </c>
      <c r="DF568">
        <v>0</v>
      </c>
      <c r="DG568">
        <v>0</v>
      </c>
      <c r="DH568">
        <v>0</v>
      </c>
      <c r="DI568">
        <v>0</v>
      </c>
      <c r="DJ568">
        <v>0</v>
      </c>
      <c r="DK568">
        <v>0</v>
      </c>
      <c r="DL568">
        <v>0</v>
      </c>
      <c r="DM568">
        <v>1065.4000000000001</v>
      </c>
      <c r="DN568">
        <v>599.70000000000005</v>
      </c>
      <c r="DO568">
        <v>319.7</v>
      </c>
      <c r="DP568">
        <v>1570.6999999999998</v>
      </c>
      <c r="DQ568">
        <v>1399.5</v>
      </c>
      <c r="DR568">
        <v>3581</v>
      </c>
      <c r="DU568">
        <v>1393.2</v>
      </c>
      <c r="DV568">
        <v>2862.6</v>
      </c>
      <c r="DY568">
        <v>2361</v>
      </c>
      <c r="EA568">
        <v>2409.6</v>
      </c>
      <c r="EC568">
        <v>1661.3999999999999</v>
      </c>
      <c r="EE568">
        <v>0</v>
      </c>
      <c r="EF568">
        <v>0</v>
      </c>
      <c r="EG568">
        <v>0</v>
      </c>
      <c r="EH568">
        <v>0</v>
      </c>
      <c r="EI568">
        <v>0</v>
      </c>
      <c r="EJ568">
        <v>0</v>
      </c>
      <c r="EK568">
        <v>0</v>
      </c>
      <c r="EL568">
        <v>0</v>
      </c>
      <c r="EM568">
        <v>0</v>
      </c>
      <c r="EN568">
        <v>0</v>
      </c>
      <c r="EO568">
        <v>0</v>
      </c>
      <c r="EP568">
        <v>944.5</v>
      </c>
      <c r="EQ568">
        <v>3459.7</v>
      </c>
      <c r="ER568">
        <v>1353.5</v>
      </c>
      <c r="ES568">
        <v>182.2</v>
      </c>
      <c r="ET568">
        <v>855.59999999999991</v>
      </c>
      <c r="EU568">
        <v>172.2</v>
      </c>
      <c r="EV568">
        <v>203.2</v>
      </c>
      <c r="EW568">
        <v>1173.0999999999999</v>
      </c>
      <c r="EX568">
        <v>1078.3</v>
      </c>
      <c r="EY568">
        <v>1194.4000000000001</v>
      </c>
      <c r="EZ568">
        <v>1207.0999999999999</v>
      </c>
      <c r="FA568">
        <v>0</v>
      </c>
      <c r="FB568">
        <v>0</v>
      </c>
      <c r="FC568">
        <v>0</v>
      </c>
      <c r="FD568">
        <v>0</v>
      </c>
      <c r="FE568">
        <v>0</v>
      </c>
      <c r="FF568">
        <v>0</v>
      </c>
      <c r="FG568">
        <v>0</v>
      </c>
      <c r="FH568">
        <v>0</v>
      </c>
      <c r="FI568">
        <v>0</v>
      </c>
      <c r="FJ568">
        <v>0</v>
      </c>
      <c r="FK568">
        <v>0</v>
      </c>
      <c r="FL568">
        <v>0</v>
      </c>
      <c r="FM568">
        <v>0</v>
      </c>
      <c r="FN568">
        <v>0</v>
      </c>
      <c r="FO568">
        <v>0</v>
      </c>
      <c r="FP568">
        <v>0</v>
      </c>
      <c r="FQ568">
        <v>0</v>
      </c>
      <c r="FR568">
        <v>0</v>
      </c>
      <c r="FS568">
        <v>0</v>
      </c>
      <c r="FT568">
        <v>0</v>
      </c>
      <c r="FU568">
        <v>0</v>
      </c>
      <c r="FV568">
        <v>0</v>
      </c>
      <c r="FW568">
        <v>0</v>
      </c>
      <c r="FX568">
        <v>0</v>
      </c>
      <c r="FY568">
        <v>0</v>
      </c>
      <c r="FZ568">
        <v>0</v>
      </c>
      <c r="GA568">
        <v>0</v>
      </c>
      <c r="GB568">
        <v>0</v>
      </c>
      <c r="GC568">
        <v>0</v>
      </c>
      <c r="GD568">
        <v>0</v>
      </c>
      <c r="GE568">
        <v>0</v>
      </c>
      <c r="GF568">
        <v>0</v>
      </c>
      <c r="GG568">
        <v>0</v>
      </c>
      <c r="GH568">
        <v>0</v>
      </c>
      <c r="GI568">
        <v>0</v>
      </c>
      <c r="GJ568">
        <v>0</v>
      </c>
      <c r="GK568">
        <v>0</v>
      </c>
      <c r="GL568">
        <v>0</v>
      </c>
      <c r="GO568">
        <v>0</v>
      </c>
      <c r="GP568">
        <v>0</v>
      </c>
      <c r="GQ568">
        <v>0</v>
      </c>
      <c r="GR568">
        <v>0</v>
      </c>
      <c r="GS568">
        <v>0</v>
      </c>
      <c r="GT568">
        <v>0</v>
      </c>
      <c r="GU568">
        <v>0</v>
      </c>
      <c r="GV568">
        <v>0</v>
      </c>
      <c r="GW568">
        <v>0</v>
      </c>
      <c r="GX568">
        <v>0</v>
      </c>
      <c r="GY568">
        <v>0</v>
      </c>
      <c r="GZ568">
        <v>0</v>
      </c>
      <c r="HA568">
        <v>0</v>
      </c>
      <c r="HB568">
        <v>0</v>
      </c>
      <c r="HC568">
        <v>0</v>
      </c>
      <c r="HD568">
        <v>0</v>
      </c>
      <c r="HE568">
        <v>0</v>
      </c>
      <c r="HF568">
        <v>0</v>
      </c>
      <c r="HG568">
        <v>0</v>
      </c>
      <c r="HH568">
        <v>0</v>
      </c>
      <c r="HI568">
        <v>0</v>
      </c>
      <c r="HJ568">
        <v>0</v>
      </c>
      <c r="HK568">
        <v>0</v>
      </c>
      <c r="HL568">
        <v>0</v>
      </c>
      <c r="HM568">
        <v>0</v>
      </c>
      <c r="HN568">
        <v>0</v>
      </c>
      <c r="HO568">
        <v>0</v>
      </c>
      <c r="HP568">
        <v>0</v>
      </c>
      <c r="HQ568">
        <v>0</v>
      </c>
      <c r="HR568">
        <v>0</v>
      </c>
      <c r="HS568">
        <v>0</v>
      </c>
      <c r="HT568">
        <v>0</v>
      </c>
      <c r="HU568">
        <v>0</v>
      </c>
      <c r="HV568">
        <v>0</v>
      </c>
      <c r="HW568">
        <v>404.70000000000005</v>
      </c>
      <c r="HX568">
        <v>342.3</v>
      </c>
      <c r="HZ568">
        <v>866.2</v>
      </c>
      <c r="IA568">
        <v>1142.8</v>
      </c>
      <c r="IB568">
        <v>1121.5</v>
      </c>
      <c r="IC568">
        <v>2403</v>
      </c>
      <c r="ID568">
        <v>2659.3</v>
      </c>
      <c r="IE568">
        <v>1923.4</v>
      </c>
      <c r="IF568">
        <v>1465.7</v>
      </c>
      <c r="IG568">
        <v>1608.3</v>
      </c>
      <c r="IH568">
        <v>0</v>
      </c>
      <c r="II568">
        <v>0</v>
      </c>
      <c r="IJ568">
        <v>0</v>
      </c>
      <c r="IK568">
        <v>0</v>
      </c>
      <c r="IL568">
        <v>0</v>
      </c>
      <c r="IM568">
        <v>0</v>
      </c>
      <c r="IN568">
        <v>0</v>
      </c>
      <c r="IO568">
        <v>0</v>
      </c>
      <c r="IP568">
        <v>75.099999999999994</v>
      </c>
    </row>
    <row r="569" spans="1:250" ht="18" thickBot="1">
      <c r="A569" s="245"/>
      <c r="B569" s="245" t="s">
        <v>933</v>
      </c>
      <c r="C569" s="230" t="s">
        <v>1028</v>
      </c>
      <c r="D569" s="399"/>
      <c r="E569" s="454">
        <v>0</v>
      </c>
      <c r="F569">
        <v>0</v>
      </c>
      <c r="G569" s="427">
        <v>0</v>
      </c>
      <c r="H569" s="155">
        <v>0</v>
      </c>
      <c r="I569">
        <v>0</v>
      </c>
      <c r="J569">
        <v>0</v>
      </c>
      <c r="K569">
        <v>0</v>
      </c>
      <c r="L569" s="4">
        <v>0</v>
      </c>
      <c r="M569" s="4">
        <v>0</v>
      </c>
      <c r="N569" s="4">
        <v>0</v>
      </c>
      <c r="O569" s="4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R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G569">
        <v>0</v>
      </c>
      <c r="BI569">
        <v>0</v>
      </c>
      <c r="BK569">
        <v>0</v>
      </c>
      <c r="BL569">
        <v>0</v>
      </c>
      <c r="BM569">
        <v>0</v>
      </c>
      <c r="BN569">
        <v>0</v>
      </c>
      <c r="BO569">
        <v>344.70000000000005</v>
      </c>
      <c r="BP569">
        <v>625.70000000000005</v>
      </c>
      <c r="BQ569">
        <v>912.2</v>
      </c>
      <c r="BR569">
        <v>237.7</v>
      </c>
      <c r="BS569">
        <v>0</v>
      </c>
      <c r="BT569">
        <v>0</v>
      </c>
      <c r="BU569">
        <v>0</v>
      </c>
      <c r="BV569">
        <v>0</v>
      </c>
      <c r="BW569">
        <v>1647.4</v>
      </c>
      <c r="BY569">
        <v>453.1</v>
      </c>
      <c r="CA569">
        <v>285.39999999999998</v>
      </c>
      <c r="CB569">
        <v>280.8</v>
      </c>
      <c r="CC569">
        <v>127.7</v>
      </c>
      <c r="CD569">
        <v>0</v>
      </c>
      <c r="CE569">
        <v>0</v>
      </c>
      <c r="CF569">
        <v>0</v>
      </c>
      <c r="CG569">
        <v>0</v>
      </c>
      <c r="CI569">
        <v>0</v>
      </c>
      <c r="CJ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621.70000000000005</v>
      </c>
      <c r="CR569">
        <v>481.70000000000005</v>
      </c>
      <c r="CS569">
        <v>0</v>
      </c>
      <c r="CT569">
        <v>524.6</v>
      </c>
      <c r="CU569">
        <v>514.1</v>
      </c>
      <c r="CV569">
        <v>175.2</v>
      </c>
      <c r="CW569">
        <v>0</v>
      </c>
      <c r="CX569">
        <v>65.099999999999994</v>
      </c>
      <c r="CY569">
        <v>199</v>
      </c>
      <c r="CZ569">
        <v>1907.9</v>
      </c>
      <c r="DA569">
        <v>0</v>
      </c>
      <c r="DB569">
        <v>0</v>
      </c>
      <c r="DC569">
        <v>0</v>
      </c>
      <c r="DD569">
        <v>0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1065.4000000000001</v>
      </c>
      <c r="DN569">
        <v>599.70000000000005</v>
      </c>
      <c r="DO569">
        <v>319.7</v>
      </c>
      <c r="DP569">
        <v>1570.6999999999998</v>
      </c>
      <c r="DQ569">
        <v>1399.5</v>
      </c>
      <c r="DR569">
        <v>3581</v>
      </c>
      <c r="DU569">
        <v>1393.2</v>
      </c>
      <c r="DV569">
        <v>2862.6</v>
      </c>
      <c r="DY569">
        <v>2361</v>
      </c>
      <c r="EA569">
        <v>2409.6</v>
      </c>
      <c r="EC569">
        <v>1661.3999999999999</v>
      </c>
      <c r="EE569">
        <v>0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944.5</v>
      </c>
      <c r="EQ569">
        <v>3459.7</v>
      </c>
      <c r="ER569">
        <v>1353.5</v>
      </c>
      <c r="ES569">
        <v>182.2</v>
      </c>
      <c r="ET569">
        <v>855.59999999999991</v>
      </c>
      <c r="EU569">
        <v>172.2</v>
      </c>
      <c r="EV569">
        <v>203.2</v>
      </c>
      <c r="EW569">
        <v>1173.0999999999999</v>
      </c>
      <c r="EX569">
        <v>1078.3</v>
      </c>
      <c r="EY569">
        <v>1194.4000000000001</v>
      </c>
      <c r="EZ569">
        <v>1207.0999999999999</v>
      </c>
      <c r="FA569">
        <v>0</v>
      </c>
      <c r="FB569">
        <v>0</v>
      </c>
      <c r="FC569">
        <v>0</v>
      </c>
      <c r="FD569">
        <v>0</v>
      </c>
      <c r="FE569">
        <v>0</v>
      </c>
      <c r="FF569">
        <v>0</v>
      </c>
      <c r="FG569">
        <v>0</v>
      </c>
      <c r="FH569">
        <v>0</v>
      </c>
      <c r="FI569">
        <v>0</v>
      </c>
      <c r="FJ569">
        <v>0</v>
      </c>
      <c r="FK569">
        <v>0</v>
      </c>
      <c r="FL569">
        <v>0</v>
      </c>
      <c r="FM569">
        <v>0</v>
      </c>
      <c r="FN569">
        <v>0</v>
      </c>
      <c r="FO569">
        <v>0</v>
      </c>
      <c r="FP569">
        <v>0</v>
      </c>
      <c r="FQ569">
        <v>0</v>
      </c>
      <c r="FR569">
        <v>0</v>
      </c>
      <c r="FS569">
        <v>0</v>
      </c>
      <c r="FT569">
        <v>0</v>
      </c>
      <c r="FU569">
        <v>0</v>
      </c>
      <c r="FV569">
        <v>0</v>
      </c>
      <c r="FW569">
        <v>0</v>
      </c>
      <c r="FX569">
        <v>0</v>
      </c>
      <c r="FY569">
        <v>0</v>
      </c>
      <c r="FZ569">
        <v>0</v>
      </c>
      <c r="GA569">
        <v>0</v>
      </c>
      <c r="GB569">
        <v>0</v>
      </c>
      <c r="GC569">
        <v>0</v>
      </c>
      <c r="GD569">
        <v>0</v>
      </c>
      <c r="GE569">
        <v>0</v>
      </c>
      <c r="GF569">
        <v>0</v>
      </c>
      <c r="GG569">
        <v>0</v>
      </c>
      <c r="GH569">
        <v>0</v>
      </c>
      <c r="GI569">
        <v>0</v>
      </c>
      <c r="GJ569">
        <v>0</v>
      </c>
      <c r="GK569">
        <v>0</v>
      </c>
      <c r="GL569">
        <v>0</v>
      </c>
      <c r="GO569">
        <v>0</v>
      </c>
      <c r="GP569">
        <v>0</v>
      </c>
      <c r="GQ569">
        <v>0</v>
      </c>
      <c r="GR569">
        <v>0</v>
      </c>
      <c r="GS569">
        <v>0</v>
      </c>
      <c r="GT569">
        <v>0</v>
      </c>
      <c r="GU569">
        <v>0</v>
      </c>
      <c r="GV569">
        <v>0</v>
      </c>
      <c r="GW569">
        <v>0</v>
      </c>
      <c r="GX569">
        <v>0</v>
      </c>
      <c r="GY569">
        <v>0</v>
      </c>
      <c r="GZ569">
        <v>0</v>
      </c>
      <c r="HA569">
        <v>0</v>
      </c>
      <c r="HB569">
        <v>0</v>
      </c>
      <c r="HC569">
        <v>0</v>
      </c>
      <c r="HD569">
        <v>0</v>
      </c>
      <c r="HE569">
        <v>0</v>
      </c>
      <c r="HF569">
        <v>0</v>
      </c>
      <c r="HG569">
        <v>0</v>
      </c>
      <c r="HH569">
        <v>0</v>
      </c>
      <c r="HI569">
        <v>0</v>
      </c>
      <c r="HJ569">
        <v>0</v>
      </c>
      <c r="HK569">
        <v>0</v>
      </c>
      <c r="HL569">
        <v>0</v>
      </c>
      <c r="HM569">
        <v>0</v>
      </c>
      <c r="HN569">
        <v>0</v>
      </c>
      <c r="HO569">
        <v>0</v>
      </c>
      <c r="HP569">
        <v>0</v>
      </c>
      <c r="HQ569">
        <v>0</v>
      </c>
      <c r="HR569">
        <v>0</v>
      </c>
      <c r="HS569">
        <v>0</v>
      </c>
      <c r="HT569">
        <v>0</v>
      </c>
      <c r="HU569">
        <v>0</v>
      </c>
      <c r="HV569">
        <v>0</v>
      </c>
      <c r="HW569">
        <v>404.70000000000005</v>
      </c>
      <c r="HX569">
        <v>342.3</v>
      </c>
      <c r="HZ569">
        <v>866.2</v>
      </c>
      <c r="IA569">
        <v>1142.8</v>
      </c>
      <c r="IB569">
        <v>1121.5</v>
      </c>
      <c r="IC569">
        <v>2403</v>
      </c>
      <c r="ID569">
        <v>2659.3</v>
      </c>
      <c r="IE569">
        <v>1923.4</v>
      </c>
      <c r="IF569">
        <v>1465.7</v>
      </c>
      <c r="IG569">
        <v>1608.3</v>
      </c>
      <c r="IH569">
        <v>0</v>
      </c>
      <c r="II569">
        <v>0</v>
      </c>
      <c r="IJ569">
        <v>0</v>
      </c>
      <c r="IK569">
        <v>0</v>
      </c>
      <c r="IL569">
        <v>0</v>
      </c>
      <c r="IM569">
        <v>0</v>
      </c>
      <c r="IN569">
        <v>0</v>
      </c>
      <c r="IO569">
        <v>0</v>
      </c>
      <c r="IP569">
        <v>75.099999999999994</v>
      </c>
    </row>
    <row r="570" spans="1:250" ht="18" thickBot="1">
      <c r="A570" s="245"/>
      <c r="B570" s="245" t="s">
        <v>934</v>
      </c>
      <c r="C570" s="230" t="s">
        <v>1029</v>
      </c>
      <c r="D570" s="399"/>
      <c r="E570" s="454">
        <v>0</v>
      </c>
      <c r="F570">
        <v>0</v>
      </c>
      <c r="G570" s="427">
        <v>0</v>
      </c>
      <c r="H570" s="155">
        <v>0</v>
      </c>
      <c r="I570">
        <v>0</v>
      </c>
      <c r="J570">
        <v>0</v>
      </c>
      <c r="K570">
        <v>0</v>
      </c>
      <c r="L570" s="4">
        <v>0</v>
      </c>
      <c r="M570" s="4">
        <v>0</v>
      </c>
      <c r="N570" s="4">
        <v>0</v>
      </c>
      <c r="O570" s="4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R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G570">
        <v>0</v>
      </c>
      <c r="BI570">
        <v>0</v>
      </c>
      <c r="BK570">
        <v>0</v>
      </c>
      <c r="BL570">
        <v>0</v>
      </c>
      <c r="BM570">
        <v>0</v>
      </c>
      <c r="BN570">
        <v>0</v>
      </c>
      <c r="BO570">
        <v>344.70000000000005</v>
      </c>
      <c r="BP570">
        <v>625.70000000000005</v>
      </c>
      <c r="BQ570">
        <v>912.2</v>
      </c>
      <c r="BR570">
        <v>237.7</v>
      </c>
      <c r="BS570">
        <v>0</v>
      </c>
      <c r="BT570">
        <v>0</v>
      </c>
      <c r="BU570">
        <v>0</v>
      </c>
      <c r="BV570">
        <v>0</v>
      </c>
      <c r="BW570">
        <v>1647.4</v>
      </c>
      <c r="BY570">
        <v>453.1</v>
      </c>
      <c r="CA570">
        <v>285.39999999999998</v>
      </c>
      <c r="CB570">
        <v>280.8</v>
      </c>
      <c r="CC570">
        <v>127.7</v>
      </c>
      <c r="CD570">
        <v>0</v>
      </c>
      <c r="CE570">
        <v>0</v>
      </c>
      <c r="CF570">
        <v>0</v>
      </c>
      <c r="CG570">
        <v>0</v>
      </c>
      <c r="CI570">
        <v>0</v>
      </c>
      <c r="CJ570">
        <v>0</v>
      </c>
      <c r="CL570">
        <v>0</v>
      </c>
      <c r="CM570">
        <v>0</v>
      </c>
      <c r="CN570">
        <v>0</v>
      </c>
      <c r="CO570">
        <v>0</v>
      </c>
      <c r="CP570">
        <v>0</v>
      </c>
      <c r="CQ570">
        <v>621.70000000000005</v>
      </c>
      <c r="CR570">
        <v>481.70000000000005</v>
      </c>
      <c r="CS570">
        <v>0</v>
      </c>
      <c r="CT570">
        <v>524.6</v>
      </c>
      <c r="CU570">
        <v>514.1</v>
      </c>
      <c r="CV570">
        <v>175.2</v>
      </c>
      <c r="CW570">
        <v>0</v>
      </c>
      <c r="CX570">
        <v>65.099999999999994</v>
      </c>
      <c r="CY570">
        <v>199</v>
      </c>
      <c r="CZ570">
        <v>1907.9</v>
      </c>
      <c r="DA570">
        <v>0</v>
      </c>
      <c r="DB570">
        <v>0</v>
      </c>
      <c r="DC570">
        <v>0</v>
      </c>
      <c r="DD570">
        <v>0</v>
      </c>
      <c r="DE570">
        <v>0</v>
      </c>
      <c r="DF570">
        <v>0</v>
      </c>
      <c r="DG570">
        <v>0</v>
      </c>
      <c r="DH570">
        <v>0</v>
      </c>
      <c r="DI570">
        <v>0</v>
      </c>
      <c r="DJ570">
        <v>0</v>
      </c>
      <c r="DK570">
        <v>0</v>
      </c>
      <c r="DL570">
        <v>0</v>
      </c>
      <c r="DM570">
        <v>1065.4000000000001</v>
      </c>
      <c r="DN570">
        <v>599.70000000000005</v>
      </c>
      <c r="DO570">
        <v>319.7</v>
      </c>
      <c r="DP570">
        <v>1570.6999999999998</v>
      </c>
      <c r="DQ570">
        <v>1399.5</v>
      </c>
      <c r="DR570">
        <v>3581</v>
      </c>
      <c r="DU570">
        <v>1393.2</v>
      </c>
      <c r="DV570">
        <v>2862.6</v>
      </c>
      <c r="DY570">
        <v>2361</v>
      </c>
      <c r="EA570">
        <v>2409.6</v>
      </c>
      <c r="EC570">
        <v>1661.3999999999999</v>
      </c>
      <c r="EE570">
        <v>0</v>
      </c>
      <c r="EF570">
        <v>0</v>
      </c>
      <c r="EG570">
        <v>0</v>
      </c>
      <c r="EH570">
        <v>0</v>
      </c>
      <c r="EI570">
        <v>0</v>
      </c>
      <c r="EJ570">
        <v>0</v>
      </c>
      <c r="EK570">
        <v>0</v>
      </c>
      <c r="EL570">
        <v>0</v>
      </c>
      <c r="EM570">
        <v>0</v>
      </c>
      <c r="EN570">
        <v>0</v>
      </c>
      <c r="EO570">
        <v>0</v>
      </c>
      <c r="EP570">
        <v>944.5</v>
      </c>
      <c r="EQ570">
        <v>3459.7</v>
      </c>
      <c r="ER570">
        <v>1353.5</v>
      </c>
      <c r="ES570">
        <v>182.2</v>
      </c>
      <c r="ET570">
        <v>855.59999999999991</v>
      </c>
      <c r="EU570">
        <v>172.2</v>
      </c>
      <c r="EV570">
        <v>203.2</v>
      </c>
      <c r="EW570">
        <v>1173.0999999999999</v>
      </c>
      <c r="EX570">
        <v>1078.3</v>
      </c>
      <c r="EY570">
        <v>1194.4000000000001</v>
      </c>
      <c r="EZ570">
        <v>1207.0999999999999</v>
      </c>
      <c r="FA570">
        <v>0</v>
      </c>
      <c r="FB570">
        <v>0</v>
      </c>
      <c r="FC570">
        <v>0</v>
      </c>
      <c r="FD570">
        <v>0</v>
      </c>
      <c r="FE570">
        <v>0</v>
      </c>
      <c r="FF570">
        <v>0</v>
      </c>
      <c r="FG570">
        <v>0</v>
      </c>
      <c r="FH570">
        <v>0</v>
      </c>
      <c r="FI570">
        <v>0</v>
      </c>
      <c r="FJ570">
        <v>0</v>
      </c>
      <c r="FK570">
        <v>0</v>
      </c>
      <c r="FL570">
        <v>0</v>
      </c>
      <c r="FM570">
        <v>0</v>
      </c>
      <c r="FN570">
        <v>0</v>
      </c>
      <c r="FO570">
        <v>0</v>
      </c>
      <c r="FP570">
        <v>0</v>
      </c>
      <c r="FQ570">
        <v>0</v>
      </c>
      <c r="FR570">
        <v>0</v>
      </c>
      <c r="FS570">
        <v>0</v>
      </c>
      <c r="FT570">
        <v>0</v>
      </c>
      <c r="FU570">
        <v>0</v>
      </c>
      <c r="FV570">
        <v>0</v>
      </c>
      <c r="FW570">
        <v>0</v>
      </c>
      <c r="FX570">
        <v>0</v>
      </c>
      <c r="FY570">
        <v>0</v>
      </c>
      <c r="FZ570">
        <v>0</v>
      </c>
      <c r="GA570">
        <v>0</v>
      </c>
      <c r="GB570">
        <v>0</v>
      </c>
      <c r="GC570">
        <v>0</v>
      </c>
      <c r="GD570">
        <v>0</v>
      </c>
      <c r="GE570">
        <v>0</v>
      </c>
      <c r="GF570">
        <v>0</v>
      </c>
      <c r="GG570">
        <v>0</v>
      </c>
      <c r="GH570">
        <v>0</v>
      </c>
      <c r="GI570">
        <v>0</v>
      </c>
      <c r="GJ570">
        <v>0</v>
      </c>
      <c r="GK570">
        <v>0</v>
      </c>
      <c r="GL570">
        <v>0</v>
      </c>
      <c r="GO570">
        <v>0</v>
      </c>
      <c r="GP570">
        <v>0</v>
      </c>
      <c r="GQ570">
        <v>0</v>
      </c>
      <c r="GR570">
        <v>0</v>
      </c>
      <c r="GS570">
        <v>0</v>
      </c>
      <c r="GT570">
        <v>0</v>
      </c>
      <c r="GU570">
        <v>0</v>
      </c>
      <c r="GV570">
        <v>0</v>
      </c>
      <c r="GW570">
        <v>0</v>
      </c>
      <c r="GX570">
        <v>0</v>
      </c>
      <c r="GY570">
        <v>0</v>
      </c>
      <c r="GZ570">
        <v>0</v>
      </c>
      <c r="HA570">
        <v>0</v>
      </c>
      <c r="HB570">
        <v>0</v>
      </c>
      <c r="HC570">
        <v>0</v>
      </c>
      <c r="HD570">
        <v>0</v>
      </c>
      <c r="HE570">
        <v>0</v>
      </c>
      <c r="HF570">
        <v>0</v>
      </c>
      <c r="HG570">
        <v>0</v>
      </c>
      <c r="HH570">
        <v>0</v>
      </c>
      <c r="HI570">
        <v>0</v>
      </c>
      <c r="HJ570">
        <v>0</v>
      </c>
      <c r="HK570">
        <v>0</v>
      </c>
      <c r="HL570">
        <v>0</v>
      </c>
      <c r="HM570">
        <v>0</v>
      </c>
      <c r="HN570">
        <v>0</v>
      </c>
      <c r="HO570">
        <v>0</v>
      </c>
      <c r="HP570">
        <v>0</v>
      </c>
      <c r="HQ570">
        <v>0</v>
      </c>
      <c r="HR570">
        <v>0</v>
      </c>
      <c r="HS570">
        <v>0</v>
      </c>
      <c r="HT570">
        <v>0</v>
      </c>
      <c r="HU570">
        <v>0</v>
      </c>
      <c r="HV570">
        <v>0</v>
      </c>
      <c r="HW570">
        <v>404.70000000000005</v>
      </c>
      <c r="HX570">
        <v>342.3</v>
      </c>
      <c r="HZ570">
        <v>866.2</v>
      </c>
      <c r="IA570">
        <v>1142.8</v>
      </c>
      <c r="IB570">
        <v>1121.5</v>
      </c>
      <c r="IC570">
        <v>2403</v>
      </c>
      <c r="ID570">
        <v>2659.3</v>
      </c>
      <c r="IE570">
        <v>1923.4</v>
      </c>
      <c r="IF570">
        <v>1465.7</v>
      </c>
      <c r="IG570">
        <v>1608.3</v>
      </c>
      <c r="IH570">
        <v>0</v>
      </c>
      <c r="II570">
        <v>0</v>
      </c>
      <c r="IJ570">
        <v>0</v>
      </c>
      <c r="IK570">
        <v>0</v>
      </c>
      <c r="IL570">
        <v>0</v>
      </c>
      <c r="IM570">
        <v>0</v>
      </c>
      <c r="IN570">
        <v>0</v>
      </c>
      <c r="IO570">
        <v>0</v>
      </c>
      <c r="IP570">
        <v>75.099999999999994</v>
      </c>
    </row>
    <row r="571" spans="1:250" ht="18" thickBot="1">
      <c r="A571" s="245"/>
      <c r="B571" s="245" t="s">
        <v>935</v>
      </c>
      <c r="C571" s="230" t="s">
        <v>1030</v>
      </c>
      <c r="D571" s="399"/>
      <c r="E571" s="454">
        <v>0</v>
      </c>
      <c r="F571">
        <v>0</v>
      </c>
      <c r="G571" s="427">
        <v>0</v>
      </c>
      <c r="H571" s="155">
        <v>0</v>
      </c>
      <c r="I571">
        <v>0</v>
      </c>
      <c r="J571">
        <v>0</v>
      </c>
      <c r="K571">
        <v>0</v>
      </c>
      <c r="L571" s="4">
        <v>0</v>
      </c>
      <c r="M571" s="4">
        <v>0</v>
      </c>
      <c r="N571" s="4">
        <v>0</v>
      </c>
      <c r="O571" s="4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R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G571">
        <v>0</v>
      </c>
      <c r="BI571">
        <v>0</v>
      </c>
      <c r="BK571">
        <v>0</v>
      </c>
      <c r="BL571">
        <v>0</v>
      </c>
      <c r="BM571">
        <v>0</v>
      </c>
      <c r="BN571">
        <v>0</v>
      </c>
      <c r="BO571">
        <v>344.70000000000005</v>
      </c>
      <c r="BP571">
        <v>625.70000000000005</v>
      </c>
      <c r="BQ571">
        <v>912.2</v>
      </c>
      <c r="BR571">
        <v>237.7</v>
      </c>
      <c r="BS571">
        <v>0</v>
      </c>
      <c r="BT571">
        <v>0</v>
      </c>
      <c r="BU571">
        <v>0</v>
      </c>
      <c r="BV571">
        <v>0</v>
      </c>
      <c r="BW571">
        <v>1647.4</v>
      </c>
      <c r="BY571">
        <v>453.1</v>
      </c>
      <c r="CA571">
        <v>285.39999999999998</v>
      </c>
      <c r="CB571">
        <v>280.8</v>
      </c>
      <c r="CC571">
        <v>127.7</v>
      </c>
      <c r="CD571">
        <v>0</v>
      </c>
      <c r="CE571">
        <v>0</v>
      </c>
      <c r="CF571">
        <v>0</v>
      </c>
      <c r="CG571">
        <v>0</v>
      </c>
      <c r="CI571">
        <v>0</v>
      </c>
      <c r="CJ571">
        <v>0</v>
      </c>
      <c r="CL571">
        <v>0</v>
      </c>
      <c r="CM571">
        <v>0</v>
      </c>
      <c r="CN571">
        <v>0</v>
      </c>
      <c r="CO571">
        <v>0</v>
      </c>
      <c r="CP571">
        <v>0</v>
      </c>
      <c r="CQ571">
        <v>621.70000000000005</v>
      </c>
      <c r="CR571">
        <v>481.70000000000005</v>
      </c>
      <c r="CS571">
        <v>0</v>
      </c>
      <c r="CT571">
        <v>524.6</v>
      </c>
      <c r="CU571">
        <v>514.1</v>
      </c>
      <c r="CV571">
        <v>175.2</v>
      </c>
      <c r="CW571">
        <v>0</v>
      </c>
      <c r="CX571">
        <v>65.099999999999994</v>
      </c>
      <c r="CY571">
        <v>199</v>
      </c>
      <c r="CZ571">
        <v>1907.9</v>
      </c>
      <c r="DA571">
        <v>0</v>
      </c>
      <c r="DB571">
        <v>0</v>
      </c>
      <c r="DC571">
        <v>0</v>
      </c>
      <c r="DD571">
        <v>0</v>
      </c>
      <c r="DE571">
        <v>0</v>
      </c>
      <c r="DF571">
        <v>0</v>
      </c>
      <c r="DG571">
        <v>0</v>
      </c>
      <c r="DH571">
        <v>0</v>
      </c>
      <c r="DI571">
        <v>0</v>
      </c>
      <c r="DJ571">
        <v>0</v>
      </c>
      <c r="DK571">
        <v>0</v>
      </c>
      <c r="DL571">
        <v>0</v>
      </c>
      <c r="DM571">
        <v>1065.4000000000001</v>
      </c>
      <c r="DN571">
        <v>599.70000000000005</v>
      </c>
      <c r="DO571">
        <v>319.7</v>
      </c>
      <c r="DP571">
        <v>1570.6999999999998</v>
      </c>
      <c r="DQ571">
        <v>1399.5</v>
      </c>
      <c r="DR571">
        <v>3581</v>
      </c>
      <c r="DU571">
        <v>1393.2</v>
      </c>
      <c r="DV571">
        <v>2862.6</v>
      </c>
      <c r="DY571">
        <v>2361</v>
      </c>
      <c r="EA571">
        <v>2409.6</v>
      </c>
      <c r="EC571">
        <v>1661.3999999999999</v>
      </c>
      <c r="EE571">
        <v>0</v>
      </c>
      <c r="EF571">
        <v>0</v>
      </c>
      <c r="EG571">
        <v>0</v>
      </c>
      <c r="EH571">
        <v>0</v>
      </c>
      <c r="EI571">
        <v>0</v>
      </c>
      <c r="EJ571">
        <v>0</v>
      </c>
      <c r="EK571">
        <v>0</v>
      </c>
      <c r="EL571">
        <v>0</v>
      </c>
      <c r="EM571">
        <v>0</v>
      </c>
      <c r="EN571">
        <v>0</v>
      </c>
      <c r="EO571">
        <v>0</v>
      </c>
      <c r="EP571">
        <v>944.5</v>
      </c>
      <c r="EQ571">
        <v>3459.7</v>
      </c>
      <c r="ER571">
        <v>1353.5</v>
      </c>
      <c r="ES571">
        <v>182.2</v>
      </c>
      <c r="ET571">
        <v>855.59999999999991</v>
      </c>
      <c r="EU571">
        <v>172.2</v>
      </c>
      <c r="EV571">
        <v>203.2</v>
      </c>
      <c r="EW571">
        <v>1173.0999999999999</v>
      </c>
      <c r="EX571">
        <v>1078.3</v>
      </c>
      <c r="EY571">
        <v>1194.4000000000001</v>
      </c>
      <c r="EZ571">
        <v>1207.0999999999999</v>
      </c>
      <c r="FA571">
        <v>0</v>
      </c>
      <c r="FB571">
        <v>0</v>
      </c>
      <c r="FC571">
        <v>0</v>
      </c>
      <c r="FD571">
        <v>0</v>
      </c>
      <c r="FE571">
        <v>0</v>
      </c>
      <c r="FF571">
        <v>0</v>
      </c>
      <c r="FG571">
        <v>0</v>
      </c>
      <c r="FH571">
        <v>0</v>
      </c>
      <c r="FI571">
        <v>0</v>
      </c>
      <c r="FJ571">
        <v>0</v>
      </c>
      <c r="FK571">
        <v>0</v>
      </c>
      <c r="FL571">
        <v>0</v>
      </c>
      <c r="FM571">
        <v>0</v>
      </c>
      <c r="FN571">
        <v>0</v>
      </c>
      <c r="FO571">
        <v>0</v>
      </c>
      <c r="FP571">
        <v>0</v>
      </c>
      <c r="FQ571">
        <v>0</v>
      </c>
      <c r="FR571">
        <v>0</v>
      </c>
      <c r="FS571">
        <v>0</v>
      </c>
      <c r="FT571">
        <v>0</v>
      </c>
      <c r="FU571">
        <v>0</v>
      </c>
      <c r="FV571">
        <v>0</v>
      </c>
      <c r="FW571">
        <v>0</v>
      </c>
      <c r="FX571">
        <v>0</v>
      </c>
      <c r="FY571">
        <v>0</v>
      </c>
      <c r="FZ571">
        <v>0</v>
      </c>
      <c r="GA571">
        <v>0</v>
      </c>
      <c r="GB571">
        <v>0</v>
      </c>
      <c r="GC571">
        <v>0</v>
      </c>
      <c r="GD571">
        <v>0</v>
      </c>
      <c r="GE571">
        <v>0</v>
      </c>
      <c r="GF571">
        <v>0</v>
      </c>
      <c r="GG571">
        <v>0</v>
      </c>
      <c r="GH571">
        <v>0</v>
      </c>
      <c r="GI571">
        <v>0</v>
      </c>
      <c r="GJ571">
        <v>0</v>
      </c>
      <c r="GK571">
        <v>0</v>
      </c>
      <c r="GL571">
        <v>0</v>
      </c>
      <c r="GO571">
        <v>0</v>
      </c>
      <c r="GP571">
        <v>0</v>
      </c>
      <c r="GQ571">
        <v>0</v>
      </c>
      <c r="GR571">
        <v>0</v>
      </c>
      <c r="GS571">
        <v>0</v>
      </c>
      <c r="GT571">
        <v>0</v>
      </c>
      <c r="GU571">
        <v>0</v>
      </c>
      <c r="GV571">
        <v>0</v>
      </c>
      <c r="GW571">
        <v>0</v>
      </c>
      <c r="GX571">
        <v>0</v>
      </c>
      <c r="GY571">
        <v>0</v>
      </c>
      <c r="GZ571">
        <v>0</v>
      </c>
      <c r="HA571">
        <v>0</v>
      </c>
      <c r="HB571">
        <v>0</v>
      </c>
      <c r="HC571">
        <v>0</v>
      </c>
      <c r="HD571">
        <v>0</v>
      </c>
      <c r="HE571">
        <v>0</v>
      </c>
      <c r="HF571">
        <v>0</v>
      </c>
      <c r="HG571">
        <v>0</v>
      </c>
      <c r="HH571">
        <v>0</v>
      </c>
      <c r="HI571">
        <v>0</v>
      </c>
      <c r="HJ571">
        <v>0</v>
      </c>
      <c r="HK571">
        <v>0</v>
      </c>
      <c r="HL571">
        <v>0</v>
      </c>
      <c r="HM571">
        <v>0</v>
      </c>
      <c r="HN571">
        <v>0</v>
      </c>
      <c r="HO571">
        <v>0</v>
      </c>
      <c r="HP571">
        <v>0</v>
      </c>
      <c r="HQ571">
        <v>0</v>
      </c>
      <c r="HR571">
        <v>0</v>
      </c>
      <c r="HS571">
        <v>0</v>
      </c>
      <c r="HT571">
        <v>0</v>
      </c>
      <c r="HU571">
        <v>0</v>
      </c>
      <c r="HV571">
        <v>0</v>
      </c>
      <c r="HW571">
        <v>404.70000000000005</v>
      </c>
      <c r="HX571">
        <v>342.3</v>
      </c>
      <c r="HZ571">
        <v>866.2</v>
      </c>
      <c r="IA571">
        <v>1142.8</v>
      </c>
      <c r="IB571">
        <v>1121.5</v>
      </c>
      <c r="IC571">
        <v>2403</v>
      </c>
      <c r="ID571">
        <v>2659.3</v>
      </c>
      <c r="IE571">
        <v>1923.4</v>
      </c>
      <c r="IF571">
        <v>1465.7</v>
      </c>
      <c r="IG571">
        <v>1608.3</v>
      </c>
      <c r="IH571">
        <v>0</v>
      </c>
      <c r="II571">
        <v>0</v>
      </c>
      <c r="IJ571">
        <v>0</v>
      </c>
      <c r="IK571">
        <v>0</v>
      </c>
      <c r="IL571">
        <v>0</v>
      </c>
      <c r="IM571">
        <v>0</v>
      </c>
      <c r="IN571">
        <v>0</v>
      </c>
      <c r="IO571">
        <v>0</v>
      </c>
      <c r="IP571">
        <v>75.099999999999994</v>
      </c>
    </row>
    <row r="572" spans="1:250" ht="18" thickBot="1">
      <c r="A572" s="246"/>
      <c r="B572" s="246" t="s">
        <v>936</v>
      </c>
      <c r="C572" s="334" t="s">
        <v>1031</v>
      </c>
      <c r="D572" s="400"/>
      <c r="E572" s="454">
        <v>0</v>
      </c>
      <c r="F572">
        <v>0</v>
      </c>
      <c r="G572" s="427">
        <v>0</v>
      </c>
      <c r="H572" s="155">
        <v>0</v>
      </c>
      <c r="I572">
        <v>0</v>
      </c>
      <c r="J572">
        <v>0</v>
      </c>
      <c r="K572">
        <v>0</v>
      </c>
      <c r="L572" s="4">
        <v>0</v>
      </c>
      <c r="M572" s="4">
        <v>0</v>
      </c>
      <c r="N572" s="4">
        <v>0</v>
      </c>
      <c r="O572" s="4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R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G572">
        <v>0</v>
      </c>
      <c r="BI572">
        <v>0</v>
      </c>
      <c r="BK572">
        <v>0</v>
      </c>
      <c r="BL572">
        <v>0</v>
      </c>
      <c r="BM572">
        <v>0</v>
      </c>
      <c r="BN572">
        <v>0</v>
      </c>
      <c r="BO572">
        <v>344.70000000000005</v>
      </c>
      <c r="BP572">
        <v>625.70000000000005</v>
      </c>
      <c r="BQ572">
        <v>912.2</v>
      </c>
      <c r="BR572">
        <v>237.7</v>
      </c>
      <c r="BS572">
        <v>0</v>
      </c>
      <c r="BT572">
        <v>0</v>
      </c>
      <c r="BU572">
        <v>0</v>
      </c>
      <c r="BV572">
        <v>0</v>
      </c>
      <c r="BW572">
        <v>1647.4</v>
      </c>
      <c r="BY572">
        <v>453.1</v>
      </c>
      <c r="CA572">
        <v>285.39999999999998</v>
      </c>
      <c r="CB572">
        <v>280.8</v>
      </c>
      <c r="CC572">
        <v>127.7</v>
      </c>
      <c r="CD572">
        <v>0</v>
      </c>
      <c r="CE572">
        <v>0</v>
      </c>
      <c r="CF572">
        <v>0</v>
      </c>
      <c r="CG572">
        <v>0</v>
      </c>
      <c r="CI572">
        <v>0</v>
      </c>
      <c r="CJ572">
        <v>0</v>
      </c>
      <c r="CL572">
        <v>0</v>
      </c>
      <c r="CM572">
        <v>0</v>
      </c>
      <c r="CN572">
        <v>0</v>
      </c>
      <c r="CO572">
        <v>0</v>
      </c>
      <c r="CP572">
        <v>0</v>
      </c>
      <c r="CQ572">
        <v>621.70000000000005</v>
      </c>
      <c r="CR572">
        <v>481.70000000000005</v>
      </c>
      <c r="CS572">
        <v>0</v>
      </c>
      <c r="CT572">
        <v>524.6</v>
      </c>
      <c r="CU572">
        <v>514.1</v>
      </c>
      <c r="CV572">
        <v>175.2</v>
      </c>
      <c r="CW572">
        <v>0</v>
      </c>
      <c r="CX572">
        <v>65.099999999999994</v>
      </c>
      <c r="CY572">
        <v>199</v>
      </c>
      <c r="CZ572">
        <v>1907.9</v>
      </c>
      <c r="DA572">
        <v>0</v>
      </c>
      <c r="DB572">
        <v>0</v>
      </c>
      <c r="DC572">
        <v>0</v>
      </c>
      <c r="DD572">
        <v>0</v>
      </c>
      <c r="DE572">
        <v>0</v>
      </c>
      <c r="DF572">
        <v>0</v>
      </c>
      <c r="DG572">
        <v>0</v>
      </c>
      <c r="DH572">
        <v>0</v>
      </c>
      <c r="DI572">
        <v>0</v>
      </c>
      <c r="DJ572">
        <v>0</v>
      </c>
      <c r="DK572">
        <v>0</v>
      </c>
      <c r="DL572">
        <v>0</v>
      </c>
      <c r="DM572">
        <v>1065.4000000000001</v>
      </c>
      <c r="DN572">
        <v>599.70000000000005</v>
      </c>
      <c r="DO572">
        <v>319.7</v>
      </c>
      <c r="DP572">
        <v>1570.6999999999998</v>
      </c>
      <c r="DQ572">
        <v>1399.5</v>
      </c>
      <c r="DR572">
        <v>3581</v>
      </c>
      <c r="DU572">
        <v>1393.2</v>
      </c>
      <c r="DV572">
        <v>2862.6</v>
      </c>
      <c r="DY572">
        <v>2361</v>
      </c>
      <c r="EA572">
        <v>2409.6</v>
      </c>
      <c r="EC572">
        <v>1661.3999999999999</v>
      </c>
      <c r="EE572">
        <v>0</v>
      </c>
      <c r="EF572">
        <v>0</v>
      </c>
      <c r="EG572">
        <v>0</v>
      </c>
      <c r="EH572">
        <v>0</v>
      </c>
      <c r="EI572">
        <v>0</v>
      </c>
      <c r="EJ572">
        <v>0</v>
      </c>
      <c r="EK572">
        <v>0</v>
      </c>
      <c r="EL572">
        <v>0</v>
      </c>
      <c r="EM572">
        <v>0</v>
      </c>
      <c r="EN572">
        <v>0</v>
      </c>
      <c r="EO572">
        <v>0</v>
      </c>
      <c r="EP572">
        <v>944.5</v>
      </c>
      <c r="EQ572">
        <v>3459.7</v>
      </c>
      <c r="ER572">
        <v>1353.5</v>
      </c>
      <c r="ES572">
        <v>182.2</v>
      </c>
      <c r="ET572">
        <v>855.59999999999991</v>
      </c>
      <c r="EU572">
        <v>172.2</v>
      </c>
      <c r="EV572">
        <v>203.2</v>
      </c>
      <c r="EW572">
        <v>1173.0999999999999</v>
      </c>
      <c r="EX572">
        <v>1078.3</v>
      </c>
      <c r="EY572">
        <v>1194.4000000000001</v>
      </c>
      <c r="EZ572">
        <v>1207.0999999999999</v>
      </c>
      <c r="FA572">
        <v>0</v>
      </c>
      <c r="FB572">
        <v>0</v>
      </c>
      <c r="FC572">
        <v>0</v>
      </c>
      <c r="FD572">
        <v>0</v>
      </c>
      <c r="FE572">
        <v>0</v>
      </c>
      <c r="FF572">
        <v>0</v>
      </c>
      <c r="FG572">
        <v>0</v>
      </c>
      <c r="FH572">
        <v>0</v>
      </c>
      <c r="FI572">
        <v>0</v>
      </c>
      <c r="FJ572">
        <v>0</v>
      </c>
      <c r="FK572">
        <v>0</v>
      </c>
      <c r="FL572">
        <v>0</v>
      </c>
      <c r="FM572">
        <v>0</v>
      </c>
      <c r="FN572">
        <v>0</v>
      </c>
      <c r="FO572">
        <v>0</v>
      </c>
      <c r="FP572">
        <v>0</v>
      </c>
      <c r="FQ572">
        <v>0</v>
      </c>
      <c r="FR572">
        <v>0</v>
      </c>
      <c r="FS572">
        <v>0</v>
      </c>
      <c r="FT572">
        <v>0</v>
      </c>
      <c r="FU572">
        <v>0</v>
      </c>
      <c r="FV572">
        <v>0</v>
      </c>
      <c r="FW572">
        <v>0</v>
      </c>
      <c r="FX572">
        <v>0</v>
      </c>
      <c r="FY572">
        <v>0</v>
      </c>
      <c r="FZ572">
        <v>0</v>
      </c>
      <c r="GA572">
        <v>0</v>
      </c>
      <c r="GB572">
        <v>0</v>
      </c>
      <c r="GC572">
        <v>0</v>
      </c>
      <c r="GD572">
        <v>0</v>
      </c>
      <c r="GE572">
        <v>0</v>
      </c>
      <c r="GF572">
        <v>0</v>
      </c>
      <c r="GG572">
        <v>0</v>
      </c>
      <c r="GH572">
        <v>0</v>
      </c>
      <c r="GI572">
        <v>0</v>
      </c>
      <c r="GJ572">
        <v>0</v>
      </c>
      <c r="GK572">
        <v>0</v>
      </c>
      <c r="GL572">
        <v>0</v>
      </c>
      <c r="GO572">
        <v>0</v>
      </c>
      <c r="GP572">
        <v>0</v>
      </c>
      <c r="GQ572">
        <v>0</v>
      </c>
      <c r="GR572">
        <v>0</v>
      </c>
      <c r="GS572">
        <v>0</v>
      </c>
      <c r="GT572">
        <v>0</v>
      </c>
      <c r="GU572">
        <v>0</v>
      </c>
      <c r="GV572">
        <v>0</v>
      </c>
      <c r="GW572">
        <v>0</v>
      </c>
      <c r="GX572">
        <v>0</v>
      </c>
      <c r="GY572">
        <v>0</v>
      </c>
      <c r="GZ572">
        <v>0</v>
      </c>
      <c r="HA572">
        <v>0</v>
      </c>
      <c r="HB572">
        <v>0</v>
      </c>
      <c r="HC572">
        <v>0</v>
      </c>
      <c r="HD572">
        <v>0</v>
      </c>
      <c r="HE572">
        <v>0</v>
      </c>
      <c r="HF572">
        <v>0</v>
      </c>
      <c r="HG572">
        <v>0</v>
      </c>
      <c r="HH572">
        <v>0</v>
      </c>
      <c r="HI572">
        <v>0</v>
      </c>
      <c r="HJ572">
        <v>0</v>
      </c>
      <c r="HK572">
        <v>0</v>
      </c>
      <c r="HL572">
        <v>0</v>
      </c>
      <c r="HM572">
        <v>0</v>
      </c>
      <c r="HN572">
        <v>0</v>
      </c>
      <c r="HO572">
        <v>0</v>
      </c>
      <c r="HP572">
        <v>0</v>
      </c>
      <c r="HQ572">
        <v>0</v>
      </c>
      <c r="HR572">
        <v>0</v>
      </c>
      <c r="HS572">
        <v>0</v>
      </c>
      <c r="HT572">
        <v>0</v>
      </c>
      <c r="HU572">
        <v>0</v>
      </c>
      <c r="HV572">
        <v>0</v>
      </c>
      <c r="HW572">
        <v>404.70000000000005</v>
      </c>
      <c r="HX572">
        <v>342.3</v>
      </c>
      <c r="HZ572">
        <v>866.2</v>
      </c>
      <c r="IA572">
        <v>1142.8</v>
      </c>
      <c r="IB572">
        <v>1121.5</v>
      </c>
      <c r="IC572">
        <v>2403</v>
      </c>
      <c r="ID572">
        <v>2659.3</v>
      </c>
      <c r="IE572">
        <v>1923.4</v>
      </c>
      <c r="IF572">
        <v>1465.7</v>
      </c>
      <c r="IG572">
        <v>1608.3</v>
      </c>
      <c r="IH572">
        <v>0</v>
      </c>
      <c r="II572">
        <v>0</v>
      </c>
      <c r="IJ572">
        <v>0</v>
      </c>
      <c r="IK572">
        <v>0</v>
      </c>
      <c r="IL572">
        <v>0</v>
      </c>
      <c r="IM572">
        <v>0</v>
      </c>
      <c r="IN572">
        <v>0</v>
      </c>
      <c r="IO572">
        <v>0</v>
      </c>
      <c r="IP572">
        <v>75.099999999999994</v>
      </c>
    </row>
    <row r="573" spans="1:250" ht="18.600000000000001" thickTop="1" thickBot="1">
      <c r="A573" s="181"/>
      <c r="B573" s="181" t="s">
        <v>937</v>
      </c>
      <c r="C573" s="330" t="s">
        <v>1032</v>
      </c>
      <c r="D573" s="401"/>
      <c r="E573" s="454">
        <v>0</v>
      </c>
      <c r="F573">
        <v>0</v>
      </c>
      <c r="G573" s="427">
        <v>0</v>
      </c>
      <c r="H573" s="155">
        <v>0</v>
      </c>
      <c r="I573">
        <v>0</v>
      </c>
      <c r="J573">
        <v>0</v>
      </c>
      <c r="K573">
        <v>0</v>
      </c>
      <c r="L573" s="4">
        <v>0</v>
      </c>
      <c r="M573" s="4">
        <v>0</v>
      </c>
      <c r="N573" s="4">
        <v>0</v>
      </c>
      <c r="O573" s="4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R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G573">
        <v>0</v>
      </c>
      <c r="BI573">
        <v>0</v>
      </c>
      <c r="BK573">
        <v>0</v>
      </c>
      <c r="BL573">
        <v>0</v>
      </c>
      <c r="BM573">
        <v>0</v>
      </c>
      <c r="BN573">
        <v>0</v>
      </c>
      <c r="BO573">
        <v>344.70000000000005</v>
      </c>
      <c r="BP573">
        <v>625.70000000000005</v>
      </c>
      <c r="BQ573">
        <v>912.2</v>
      </c>
      <c r="BR573">
        <v>237.7</v>
      </c>
      <c r="BS573">
        <v>0</v>
      </c>
      <c r="BT573">
        <v>0</v>
      </c>
      <c r="BU573">
        <v>0</v>
      </c>
      <c r="BV573">
        <v>0</v>
      </c>
      <c r="BW573">
        <v>1647.4</v>
      </c>
      <c r="BY573">
        <v>453.1</v>
      </c>
      <c r="CA573">
        <v>285.39999999999998</v>
      </c>
      <c r="CB573">
        <v>280.8</v>
      </c>
      <c r="CC573">
        <v>127.7</v>
      </c>
      <c r="CD573">
        <v>0</v>
      </c>
      <c r="CE573">
        <v>0</v>
      </c>
      <c r="CF573">
        <v>0</v>
      </c>
      <c r="CG573">
        <v>0</v>
      </c>
      <c r="CI573">
        <v>0</v>
      </c>
      <c r="CJ573">
        <v>0</v>
      </c>
      <c r="CL573">
        <v>0</v>
      </c>
      <c r="CM573">
        <v>0</v>
      </c>
      <c r="CN573">
        <v>0</v>
      </c>
      <c r="CO573">
        <v>0</v>
      </c>
      <c r="CP573">
        <v>0</v>
      </c>
      <c r="CQ573">
        <v>621.70000000000005</v>
      </c>
      <c r="CR573">
        <v>481.70000000000005</v>
      </c>
      <c r="CS573">
        <v>0</v>
      </c>
      <c r="CT573">
        <v>524.6</v>
      </c>
      <c r="CU573">
        <v>514.1</v>
      </c>
      <c r="CV573">
        <v>175.2</v>
      </c>
      <c r="CW573">
        <v>0</v>
      </c>
      <c r="CX573">
        <v>65.099999999999994</v>
      </c>
      <c r="CY573">
        <v>199</v>
      </c>
      <c r="CZ573">
        <v>1907.9</v>
      </c>
      <c r="DA573">
        <v>0</v>
      </c>
      <c r="DB573">
        <v>0</v>
      </c>
      <c r="DC573">
        <v>0</v>
      </c>
      <c r="DD573">
        <v>0</v>
      </c>
      <c r="DE573">
        <v>0</v>
      </c>
      <c r="DF573">
        <v>0</v>
      </c>
      <c r="DG573">
        <v>0</v>
      </c>
      <c r="DH573">
        <v>0</v>
      </c>
      <c r="DI573">
        <v>0</v>
      </c>
      <c r="DJ573">
        <v>0</v>
      </c>
      <c r="DK573">
        <v>0</v>
      </c>
      <c r="DL573">
        <v>0</v>
      </c>
      <c r="DM573">
        <v>1065.4000000000001</v>
      </c>
      <c r="DN573">
        <v>599.70000000000005</v>
      </c>
      <c r="DO573">
        <v>319.7</v>
      </c>
      <c r="DP573">
        <v>1570.6999999999998</v>
      </c>
      <c r="DQ573">
        <v>1399.5</v>
      </c>
      <c r="DR573">
        <v>3581</v>
      </c>
      <c r="DU573">
        <v>1393.2</v>
      </c>
      <c r="DV573">
        <v>2862.6</v>
      </c>
      <c r="DY573">
        <v>2361</v>
      </c>
      <c r="EA573">
        <v>2409.6</v>
      </c>
      <c r="EC573">
        <v>1661.3999999999999</v>
      </c>
      <c r="EE573">
        <v>0</v>
      </c>
      <c r="EF573">
        <v>0</v>
      </c>
      <c r="EG573">
        <v>0</v>
      </c>
      <c r="EH573">
        <v>0</v>
      </c>
      <c r="EI573">
        <v>0</v>
      </c>
      <c r="EJ573">
        <v>0</v>
      </c>
      <c r="EK573">
        <v>0</v>
      </c>
      <c r="EL573">
        <v>0</v>
      </c>
      <c r="EM573">
        <v>0</v>
      </c>
      <c r="EN573">
        <v>0</v>
      </c>
      <c r="EO573">
        <v>0</v>
      </c>
      <c r="EP573">
        <v>944.5</v>
      </c>
      <c r="EQ573">
        <v>3459.7</v>
      </c>
      <c r="ER573">
        <v>1353.5</v>
      </c>
      <c r="ES573">
        <v>182.2</v>
      </c>
      <c r="ET573">
        <v>855.59999999999991</v>
      </c>
      <c r="EU573">
        <v>172.2</v>
      </c>
      <c r="EV573">
        <v>203.2</v>
      </c>
      <c r="EW573">
        <v>1173.0999999999999</v>
      </c>
      <c r="EX573">
        <v>1078.3</v>
      </c>
      <c r="EY573">
        <v>1194.4000000000001</v>
      </c>
      <c r="EZ573">
        <v>1207.0999999999999</v>
      </c>
      <c r="FA573">
        <v>0</v>
      </c>
      <c r="FB573">
        <v>0</v>
      </c>
      <c r="FC573">
        <v>0</v>
      </c>
      <c r="FD573">
        <v>0</v>
      </c>
      <c r="FE573">
        <v>0</v>
      </c>
      <c r="FF573">
        <v>0</v>
      </c>
      <c r="FG573">
        <v>0</v>
      </c>
      <c r="FH573">
        <v>0</v>
      </c>
      <c r="FI573">
        <v>0</v>
      </c>
      <c r="FJ573">
        <v>0</v>
      </c>
      <c r="FK573">
        <v>0</v>
      </c>
      <c r="FL573">
        <v>0</v>
      </c>
      <c r="FM573">
        <v>0</v>
      </c>
      <c r="FN573">
        <v>0</v>
      </c>
      <c r="FO573">
        <v>0</v>
      </c>
      <c r="FP573">
        <v>0</v>
      </c>
      <c r="FQ573">
        <v>0</v>
      </c>
      <c r="FR573">
        <v>0</v>
      </c>
      <c r="FS573">
        <v>0</v>
      </c>
      <c r="FT573">
        <v>0</v>
      </c>
      <c r="FU573">
        <v>0</v>
      </c>
      <c r="FV573">
        <v>0</v>
      </c>
      <c r="FW573">
        <v>0</v>
      </c>
      <c r="FX573">
        <v>0</v>
      </c>
      <c r="FY573">
        <v>0</v>
      </c>
      <c r="FZ573">
        <v>0</v>
      </c>
      <c r="GA573">
        <v>0</v>
      </c>
      <c r="GB573">
        <v>0</v>
      </c>
      <c r="GC573">
        <v>0</v>
      </c>
      <c r="GD573">
        <v>0</v>
      </c>
      <c r="GE573">
        <v>0</v>
      </c>
      <c r="GF573">
        <v>0</v>
      </c>
      <c r="GG573">
        <v>0</v>
      </c>
      <c r="GH573">
        <v>0</v>
      </c>
      <c r="GI573">
        <v>0</v>
      </c>
      <c r="GJ573">
        <v>0</v>
      </c>
      <c r="GK573">
        <v>0</v>
      </c>
      <c r="GL573">
        <v>0</v>
      </c>
      <c r="GO573">
        <v>0</v>
      </c>
      <c r="GP573">
        <v>0</v>
      </c>
      <c r="GQ573">
        <v>0</v>
      </c>
      <c r="GR573">
        <v>0</v>
      </c>
      <c r="GS573">
        <v>0</v>
      </c>
      <c r="GT573">
        <v>0</v>
      </c>
      <c r="GU573">
        <v>0</v>
      </c>
      <c r="GV573">
        <v>0</v>
      </c>
      <c r="GW573">
        <v>0</v>
      </c>
      <c r="GX573">
        <v>0</v>
      </c>
      <c r="GY573">
        <v>0</v>
      </c>
      <c r="GZ573">
        <v>0</v>
      </c>
      <c r="HA573">
        <v>0</v>
      </c>
      <c r="HB573">
        <v>0</v>
      </c>
      <c r="HC573">
        <v>0</v>
      </c>
      <c r="HD573">
        <v>0</v>
      </c>
      <c r="HE573">
        <v>0</v>
      </c>
      <c r="HF573">
        <v>0</v>
      </c>
      <c r="HG573">
        <v>0</v>
      </c>
      <c r="HH573">
        <v>0</v>
      </c>
      <c r="HI573">
        <v>0</v>
      </c>
      <c r="HJ573">
        <v>0</v>
      </c>
      <c r="HK573">
        <v>0</v>
      </c>
      <c r="HL573">
        <v>0</v>
      </c>
      <c r="HM573">
        <v>0</v>
      </c>
      <c r="HN573">
        <v>0</v>
      </c>
      <c r="HO573">
        <v>0</v>
      </c>
      <c r="HP573">
        <v>0</v>
      </c>
      <c r="HQ573">
        <v>0</v>
      </c>
      <c r="HR573">
        <v>0</v>
      </c>
      <c r="HS573">
        <v>0</v>
      </c>
      <c r="HT573">
        <v>0</v>
      </c>
      <c r="HU573">
        <v>0</v>
      </c>
      <c r="HV573">
        <v>0</v>
      </c>
      <c r="HW573">
        <v>404.70000000000005</v>
      </c>
      <c r="HX573">
        <v>342.3</v>
      </c>
      <c r="HZ573">
        <v>866.2</v>
      </c>
      <c r="IA573">
        <v>1142.8</v>
      </c>
      <c r="IB573">
        <v>1121.5</v>
      </c>
      <c r="IC573">
        <v>2403</v>
      </c>
      <c r="ID573">
        <v>2659.3</v>
      </c>
      <c r="IE573">
        <v>1923.4</v>
      </c>
      <c r="IF573">
        <v>1465.7</v>
      </c>
      <c r="IG573">
        <v>1608.3</v>
      </c>
      <c r="IH573">
        <v>0</v>
      </c>
      <c r="II573">
        <v>0</v>
      </c>
      <c r="IJ573">
        <v>0</v>
      </c>
      <c r="IK573">
        <v>0</v>
      </c>
      <c r="IL573">
        <v>0</v>
      </c>
      <c r="IM573">
        <v>0</v>
      </c>
      <c r="IN573">
        <v>0</v>
      </c>
      <c r="IO573">
        <v>0</v>
      </c>
      <c r="IP573">
        <v>75.099999999999994</v>
      </c>
    </row>
    <row r="574" spans="1:250" ht="18" thickBot="1">
      <c r="A574" s="245"/>
      <c r="B574" s="245" t="s">
        <v>938</v>
      </c>
      <c r="C574" s="332" t="s">
        <v>1033</v>
      </c>
      <c r="D574" s="402"/>
      <c r="E574" s="454">
        <v>0</v>
      </c>
      <c r="F574">
        <v>0</v>
      </c>
      <c r="G574" s="427">
        <v>0</v>
      </c>
      <c r="H574" s="155">
        <v>0</v>
      </c>
      <c r="I574">
        <v>0</v>
      </c>
      <c r="J574">
        <v>0</v>
      </c>
      <c r="K574">
        <v>0</v>
      </c>
      <c r="L574" s="4">
        <v>0</v>
      </c>
      <c r="M574" s="4">
        <v>0</v>
      </c>
      <c r="N574" s="4">
        <v>0</v>
      </c>
      <c r="O574" s="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R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G574">
        <v>0</v>
      </c>
      <c r="BI574">
        <v>0</v>
      </c>
      <c r="BK574">
        <v>0</v>
      </c>
      <c r="BL574">
        <v>0</v>
      </c>
      <c r="BM574">
        <v>0</v>
      </c>
      <c r="BN574">
        <v>0</v>
      </c>
      <c r="BO574">
        <v>344.70000000000005</v>
      </c>
      <c r="BP574">
        <v>625.70000000000005</v>
      </c>
      <c r="BQ574">
        <v>912.2</v>
      </c>
      <c r="BR574">
        <v>237.7</v>
      </c>
      <c r="BS574">
        <v>0</v>
      </c>
      <c r="BT574">
        <v>0</v>
      </c>
      <c r="BU574">
        <v>0</v>
      </c>
      <c r="BV574">
        <v>0</v>
      </c>
      <c r="BW574">
        <v>1647.4</v>
      </c>
      <c r="BY574">
        <v>453.1</v>
      </c>
      <c r="CA574">
        <v>285.39999999999998</v>
      </c>
      <c r="CB574">
        <v>280.8</v>
      </c>
      <c r="CC574">
        <v>127.7</v>
      </c>
      <c r="CD574">
        <v>0</v>
      </c>
      <c r="CE574">
        <v>0</v>
      </c>
      <c r="CF574">
        <v>0</v>
      </c>
      <c r="CG574">
        <v>0</v>
      </c>
      <c r="CI574">
        <v>0</v>
      </c>
      <c r="CJ574">
        <v>0</v>
      </c>
      <c r="CL574">
        <v>0</v>
      </c>
      <c r="CM574">
        <v>0</v>
      </c>
      <c r="CN574">
        <v>0</v>
      </c>
      <c r="CO574">
        <v>0</v>
      </c>
      <c r="CP574">
        <v>0</v>
      </c>
      <c r="CQ574">
        <v>621.70000000000005</v>
      </c>
      <c r="CR574">
        <v>481.70000000000005</v>
      </c>
      <c r="CS574">
        <v>0</v>
      </c>
      <c r="CT574">
        <v>524.6</v>
      </c>
      <c r="CU574">
        <v>514.1</v>
      </c>
      <c r="CV574">
        <v>175.2</v>
      </c>
      <c r="CW574">
        <v>0</v>
      </c>
      <c r="CX574">
        <v>65.099999999999994</v>
      </c>
      <c r="CY574">
        <v>199</v>
      </c>
      <c r="CZ574">
        <v>1907.9</v>
      </c>
      <c r="DA574">
        <v>0</v>
      </c>
      <c r="DB574">
        <v>0</v>
      </c>
      <c r="DC574">
        <v>0</v>
      </c>
      <c r="DD574">
        <v>0</v>
      </c>
      <c r="DE574">
        <v>0</v>
      </c>
      <c r="DF574">
        <v>0</v>
      </c>
      <c r="DG574">
        <v>0</v>
      </c>
      <c r="DH574">
        <v>0</v>
      </c>
      <c r="DI574">
        <v>0</v>
      </c>
      <c r="DJ574">
        <v>0</v>
      </c>
      <c r="DK574">
        <v>0</v>
      </c>
      <c r="DL574">
        <v>0</v>
      </c>
      <c r="DM574">
        <v>1065.4000000000001</v>
      </c>
      <c r="DN574">
        <v>599.70000000000005</v>
      </c>
      <c r="DO574">
        <v>319.7</v>
      </c>
      <c r="DP574">
        <v>1570.6999999999998</v>
      </c>
      <c r="DQ574">
        <v>1399.5</v>
      </c>
      <c r="DR574">
        <v>3581</v>
      </c>
      <c r="DU574">
        <v>1393.2</v>
      </c>
      <c r="DV574">
        <v>2862.6</v>
      </c>
      <c r="DY574">
        <v>2361</v>
      </c>
      <c r="EA574">
        <v>2409.6</v>
      </c>
      <c r="EC574">
        <v>1661.3999999999999</v>
      </c>
      <c r="EE574">
        <v>0</v>
      </c>
      <c r="EF574">
        <v>0</v>
      </c>
      <c r="EG574">
        <v>0</v>
      </c>
      <c r="EH574">
        <v>0</v>
      </c>
      <c r="EI574">
        <v>0</v>
      </c>
      <c r="EJ574">
        <v>0</v>
      </c>
      <c r="EK574">
        <v>0</v>
      </c>
      <c r="EL574">
        <v>0</v>
      </c>
      <c r="EM574">
        <v>0</v>
      </c>
      <c r="EN574">
        <v>0</v>
      </c>
      <c r="EO574">
        <v>0</v>
      </c>
      <c r="EP574">
        <v>944.5</v>
      </c>
      <c r="EQ574">
        <v>3459.7</v>
      </c>
      <c r="ER574">
        <v>1353.5</v>
      </c>
      <c r="ES574">
        <v>182.2</v>
      </c>
      <c r="ET574">
        <v>855.59999999999991</v>
      </c>
      <c r="EU574">
        <v>172.2</v>
      </c>
      <c r="EV574">
        <v>203.2</v>
      </c>
      <c r="EW574">
        <v>1173.0999999999999</v>
      </c>
      <c r="EX574">
        <v>1078.3</v>
      </c>
      <c r="EY574">
        <v>1194.4000000000001</v>
      </c>
      <c r="EZ574">
        <v>1207.0999999999999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0</v>
      </c>
      <c r="FG574">
        <v>0</v>
      </c>
      <c r="FH574">
        <v>0</v>
      </c>
      <c r="FI574">
        <v>0</v>
      </c>
      <c r="FJ574">
        <v>0</v>
      </c>
      <c r="FK574">
        <v>0</v>
      </c>
      <c r="FL574">
        <v>0</v>
      </c>
      <c r="FM574">
        <v>0</v>
      </c>
      <c r="FN574">
        <v>0</v>
      </c>
      <c r="FO574">
        <v>0</v>
      </c>
      <c r="FP574">
        <v>0</v>
      </c>
      <c r="FQ574">
        <v>0</v>
      </c>
      <c r="FR574">
        <v>0</v>
      </c>
      <c r="FS574">
        <v>0</v>
      </c>
      <c r="FT574">
        <v>0</v>
      </c>
      <c r="FU574">
        <v>0</v>
      </c>
      <c r="FV574">
        <v>0</v>
      </c>
      <c r="FW574">
        <v>0</v>
      </c>
      <c r="FX574">
        <v>0</v>
      </c>
      <c r="FY574">
        <v>0</v>
      </c>
      <c r="FZ574">
        <v>0</v>
      </c>
      <c r="GA574">
        <v>0</v>
      </c>
      <c r="GB574">
        <v>0</v>
      </c>
      <c r="GC574">
        <v>0</v>
      </c>
      <c r="GD574">
        <v>0</v>
      </c>
      <c r="GE574">
        <v>0</v>
      </c>
      <c r="GF574">
        <v>0</v>
      </c>
      <c r="GG574">
        <v>0</v>
      </c>
      <c r="GH574">
        <v>0</v>
      </c>
      <c r="GI574">
        <v>0</v>
      </c>
      <c r="GJ574">
        <v>0</v>
      </c>
      <c r="GK574">
        <v>0</v>
      </c>
      <c r="GL574">
        <v>0</v>
      </c>
      <c r="GO574">
        <v>0</v>
      </c>
      <c r="GP574">
        <v>0</v>
      </c>
      <c r="GQ574">
        <v>0</v>
      </c>
      <c r="GR574">
        <v>0</v>
      </c>
      <c r="GS574">
        <v>0</v>
      </c>
      <c r="GT574">
        <v>0</v>
      </c>
      <c r="GU574">
        <v>0</v>
      </c>
      <c r="GV574">
        <v>0</v>
      </c>
      <c r="GW574">
        <v>0</v>
      </c>
      <c r="GX574">
        <v>0</v>
      </c>
      <c r="GY574">
        <v>0</v>
      </c>
      <c r="GZ574">
        <v>0</v>
      </c>
      <c r="HA574">
        <v>0</v>
      </c>
      <c r="HB574">
        <v>0</v>
      </c>
      <c r="HC574">
        <v>0</v>
      </c>
      <c r="HD574">
        <v>0</v>
      </c>
      <c r="HE574">
        <v>0</v>
      </c>
      <c r="HF574">
        <v>0</v>
      </c>
      <c r="HG574">
        <v>0</v>
      </c>
      <c r="HH574">
        <v>0</v>
      </c>
      <c r="HI574">
        <v>0</v>
      </c>
      <c r="HJ574">
        <v>0</v>
      </c>
      <c r="HK574">
        <v>0</v>
      </c>
      <c r="HL574">
        <v>0</v>
      </c>
      <c r="HM574">
        <v>0</v>
      </c>
      <c r="HN574">
        <v>0</v>
      </c>
      <c r="HO574">
        <v>0</v>
      </c>
      <c r="HP574">
        <v>0</v>
      </c>
      <c r="HQ574">
        <v>0</v>
      </c>
      <c r="HR574">
        <v>0</v>
      </c>
      <c r="HS574">
        <v>0</v>
      </c>
      <c r="HT574">
        <v>0</v>
      </c>
      <c r="HU574">
        <v>0</v>
      </c>
      <c r="HV574">
        <v>0</v>
      </c>
      <c r="HW574">
        <v>404.70000000000005</v>
      </c>
      <c r="HX574">
        <v>342.3</v>
      </c>
      <c r="HZ574">
        <v>866.2</v>
      </c>
      <c r="IA574">
        <v>1142.8</v>
      </c>
      <c r="IB574">
        <v>1121.5</v>
      </c>
      <c r="IC574">
        <v>2403</v>
      </c>
      <c r="ID574">
        <v>2659.3</v>
      </c>
      <c r="IE574">
        <v>1923.4</v>
      </c>
      <c r="IF574">
        <v>1465.7</v>
      </c>
      <c r="IG574">
        <v>1608.3</v>
      </c>
      <c r="IH574">
        <v>0</v>
      </c>
      <c r="II574">
        <v>0</v>
      </c>
      <c r="IJ574">
        <v>0</v>
      </c>
      <c r="IK574">
        <v>0</v>
      </c>
      <c r="IL574">
        <v>0</v>
      </c>
      <c r="IM574">
        <v>0</v>
      </c>
      <c r="IN574">
        <v>0</v>
      </c>
      <c r="IO574">
        <v>0</v>
      </c>
      <c r="IP574">
        <v>75.099999999999994</v>
      </c>
    </row>
    <row r="575" spans="1:250" ht="18" thickBot="1">
      <c r="A575" s="245"/>
      <c r="B575" s="245" t="s">
        <v>939</v>
      </c>
      <c r="C575" s="230" t="s">
        <v>1034</v>
      </c>
      <c r="D575" s="399"/>
      <c r="E575" s="454">
        <v>0</v>
      </c>
      <c r="F575">
        <v>0</v>
      </c>
      <c r="G575" s="427">
        <v>0</v>
      </c>
      <c r="H575" s="155">
        <v>0</v>
      </c>
      <c r="I575">
        <v>0</v>
      </c>
      <c r="J575">
        <v>0</v>
      </c>
      <c r="K575">
        <v>0</v>
      </c>
      <c r="L575" s="4">
        <v>0</v>
      </c>
      <c r="M575" s="4">
        <v>0</v>
      </c>
      <c r="N575" s="4">
        <v>0</v>
      </c>
      <c r="O575" s="4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R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G575">
        <v>0</v>
      </c>
      <c r="BI575">
        <v>0</v>
      </c>
      <c r="BK575">
        <v>0</v>
      </c>
      <c r="BL575">
        <v>0</v>
      </c>
      <c r="BM575">
        <v>0</v>
      </c>
      <c r="BN575">
        <v>0</v>
      </c>
      <c r="BO575">
        <v>344.70000000000005</v>
      </c>
      <c r="BP575">
        <v>625.70000000000005</v>
      </c>
      <c r="BQ575">
        <v>912.2</v>
      </c>
      <c r="BR575">
        <v>237.7</v>
      </c>
      <c r="BS575">
        <v>0</v>
      </c>
      <c r="BT575">
        <v>0</v>
      </c>
      <c r="BU575">
        <v>0</v>
      </c>
      <c r="BV575">
        <v>0</v>
      </c>
      <c r="BW575">
        <v>1647.4</v>
      </c>
      <c r="BY575">
        <v>453.1</v>
      </c>
      <c r="CA575">
        <v>285.39999999999998</v>
      </c>
      <c r="CB575">
        <v>280.8</v>
      </c>
      <c r="CC575">
        <v>127.7</v>
      </c>
      <c r="CD575">
        <v>0</v>
      </c>
      <c r="CE575">
        <v>0</v>
      </c>
      <c r="CF575">
        <v>0</v>
      </c>
      <c r="CG575">
        <v>0</v>
      </c>
      <c r="CI575">
        <v>0</v>
      </c>
      <c r="CJ575">
        <v>0</v>
      </c>
      <c r="CL575">
        <v>0</v>
      </c>
      <c r="CM575">
        <v>0</v>
      </c>
      <c r="CN575">
        <v>0</v>
      </c>
      <c r="CO575">
        <v>0</v>
      </c>
      <c r="CP575">
        <v>0</v>
      </c>
      <c r="CQ575">
        <v>621.70000000000005</v>
      </c>
      <c r="CR575">
        <v>481.70000000000005</v>
      </c>
      <c r="CS575">
        <v>0</v>
      </c>
      <c r="CT575">
        <v>524.6</v>
      </c>
      <c r="CU575">
        <v>514.1</v>
      </c>
      <c r="CV575">
        <v>175.2</v>
      </c>
      <c r="CW575">
        <v>0</v>
      </c>
      <c r="CX575">
        <v>65.099999999999994</v>
      </c>
      <c r="CY575">
        <v>199</v>
      </c>
      <c r="CZ575">
        <v>1907.9</v>
      </c>
      <c r="DA575">
        <v>0</v>
      </c>
      <c r="DB575">
        <v>0</v>
      </c>
      <c r="DC575">
        <v>0</v>
      </c>
      <c r="DD575">
        <v>0</v>
      </c>
      <c r="DE575">
        <v>0</v>
      </c>
      <c r="DF575">
        <v>0</v>
      </c>
      <c r="DG575">
        <v>0</v>
      </c>
      <c r="DH575">
        <v>0</v>
      </c>
      <c r="DI575">
        <v>0</v>
      </c>
      <c r="DJ575">
        <v>0</v>
      </c>
      <c r="DK575">
        <v>0</v>
      </c>
      <c r="DL575">
        <v>0</v>
      </c>
      <c r="DM575">
        <v>1065.4000000000001</v>
      </c>
      <c r="DN575">
        <v>599.70000000000005</v>
      </c>
      <c r="DO575">
        <v>319.7</v>
      </c>
      <c r="DP575">
        <v>1570.6999999999998</v>
      </c>
      <c r="DQ575">
        <v>1399.5</v>
      </c>
      <c r="DR575">
        <v>3581</v>
      </c>
      <c r="DU575">
        <v>1393.2</v>
      </c>
      <c r="DV575">
        <v>2862.6</v>
      </c>
      <c r="DY575">
        <v>2361</v>
      </c>
      <c r="EA575">
        <v>2409.6</v>
      </c>
      <c r="EC575">
        <v>1661.3999999999999</v>
      </c>
      <c r="EE575">
        <v>0</v>
      </c>
      <c r="EF575">
        <v>0</v>
      </c>
      <c r="EG575">
        <v>0</v>
      </c>
      <c r="EH575">
        <v>0</v>
      </c>
      <c r="EI575">
        <v>0</v>
      </c>
      <c r="EJ575">
        <v>0</v>
      </c>
      <c r="EK575">
        <v>0</v>
      </c>
      <c r="EL575">
        <v>0</v>
      </c>
      <c r="EM575">
        <v>0</v>
      </c>
      <c r="EN575">
        <v>0</v>
      </c>
      <c r="EO575">
        <v>0</v>
      </c>
      <c r="EP575">
        <v>944.5</v>
      </c>
      <c r="EQ575">
        <v>3459.7</v>
      </c>
      <c r="ER575">
        <v>1353.5</v>
      </c>
      <c r="ES575">
        <v>182.2</v>
      </c>
      <c r="ET575">
        <v>855.59999999999991</v>
      </c>
      <c r="EU575">
        <v>172.2</v>
      </c>
      <c r="EV575">
        <v>203.2</v>
      </c>
      <c r="EW575">
        <v>1173.0999999999999</v>
      </c>
      <c r="EX575">
        <v>1078.3</v>
      </c>
      <c r="EY575">
        <v>1194.4000000000001</v>
      </c>
      <c r="EZ575">
        <v>1207.0999999999999</v>
      </c>
      <c r="FA575">
        <v>0</v>
      </c>
      <c r="FB575">
        <v>0</v>
      </c>
      <c r="FC575">
        <v>0</v>
      </c>
      <c r="FD575">
        <v>0</v>
      </c>
      <c r="FE575">
        <v>0</v>
      </c>
      <c r="FF575">
        <v>0</v>
      </c>
      <c r="FG575">
        <v>0</v>
      </c>
      <c r="FH575">
        <v>0</v>
      </c>
      <c r="FI575">
        <v>0</v>
      </c>
      <c r="FJ575">
        <v>0</v>
      </c>
      <c r="FK575">
        <v>0</v>
      </c>
      <c r="FL575">
        <v>0</v>
      </c>
      <c r="FM575">
        <v>0</v>
      </c>
      <c r="FN575">
        <v>0</v>
      </c>
      <c r="FO575">
        <v>0</v>
      </c>
      <c r="FP575">
        <v>0</v>
      </c>
      <c r="FQ575">
        <v>0</v>
      </c>
      <c r="FR575">
        <v>0</v>
      </c>
      <c r="FS575">
        <v>0</v>
      </c>
      <c r="FT575">
        <v>0</v>
      </c>
      <c r="FU575">
        <v>0</v>
      </c>
      <c r="FV575">
        <v>0</v>
      </c>
      <c r="FW575">
        <v>0</v>
      </c>
      <c r="FX575">
        <v>0</v>
      </c>
      <c r="FY575">
        <v>0</v>
      </c>
      <c r="FZ575">
        <v>0</v>
      </c>
      <c r="GA575">
        <v>0</v>
      </c>
      <c r="GB575">
        <v>0</v>
      </c>
      <c r="GC575">
        <v>0</v>
      </c>
      <c r="GD575">
        <v>0</v>
      </c>
      <c r="GE575">
        <v>0</v>
      </c>
      <c r="GF575">
        <v>0</v>
      </c>
      <c r="GG575">
        <v>0</v>
      </c>
      <c r="GH575">
        <v>0</v>
      </c>
      <c r="GI575">
        <v>0</v>
      </c>
      <c r="GJ575">
        <v>0</v>
      </c>
      <c r="GK575">
        <v>0</v>
      </c>
      <c r="GL575">
        <v>0</v>
      </c>
      <c r="GO575">
        <v>0</v>
      </c>
      <c r="GP575">
        <v>0</v>
      </c>
      <c r="GQ575">
        <v>0</v>
      </c>
      <c r="GR575">
        <v>0</v>
      </c>
      <c r="GS575">
        <v>0</v>
      </c>
      <c r="GT575">
        <v>0</v>
      </c>
      <c r="GU575">
        <v>0</v>
      </c>
      <c r="GV575">
        <v>0</v>
      </c>
      <c r="GW575">
        <v>0</v>
      </c>
      <c r="GX575">
        <v>0</v>
      </c>
      <c r="GY575">
        <v>0</v>
      </c>
      <c r="GZ575">
        <v>0</v>
      </c>
      <c r="HA575">
        <v>0</v>
      </c>
      <c r="HB575">
        <v>0</v>
      </c>
      <c r="HC575">
        <v>0</v>
      </c>
      <c r="HD575">
        <v>0</v>
      </c>
      <c r="HE575">
        <v>0</v>
      </c>
      <c r="HF575">
        <v>0</v>
      </c>
      <c r="HG575">
        <v>0</v>
      </c>
      <c r="HH575">
        <v>0</v>
      </c>
      <c r="HI575">
        <v>0</v>
      </c>
      <c r="HJ575">
        <v>0</v>
      </c>
      <c r="HK575">
        <v>0</v>
      </c>
      <c r="HL575">
        <v>0</v>
      </c>
      <c r="HM575">
        <v>0</v>
      </c>
      <c r="HN575">
        <v>0</v>
      </c>
      <c r="HO575">
        <v>0</v>
      </c>
      <c r="HP575">
        <v>0</v>
      </c>
      <c r="HQ575">
        <v>0</v>
      </c>
      <c r="HR575">
        <v>0</v>
      </c>
      <c r="HS575">
        <v>0</v>
      </c>
      <c r="HT575">
        <v>0</v>
      </c>
      <c r="HU575">
        <v>0</v>
      </c>
      <c r="HV575">
        <v>0</v>
      </c>
      <c r="HW575">
        <v>404.70000000000005</v>
      </c>
      <c r="HX575">
        <v>342.3</v>
      </c>
      <c r="HZ575">
        <v>866.2</v>
      </c>
      <c r="IA575">
        <v>1142.8</v>
      </c>
      <c r="IB575">
        <v>1121.5</v>
      </c>
      <c r="IC575">
        <v>2403</v>
      </c>
      <c r="ID575">
        <v>2659.3</v>
      </c>
      <c r="IE575">
        <v>1923.4</v>
      </c>
      <c r="IF575">
        <v>1465.7</v>
      </c>
      <c r="IG575">
        <v>1608.3</v>
      </c>
      <c r="IH575">
        <v>0</v>
      </c>
      <c r="II575">
        <v>0</v>
      </c>
      <c r="IJ575">
        <v>0</v>
      </c>
      <c r="IK575">
        <v>0</v>
      </c>
      <c r="IL575">
        <v>0</v>
      </c>
      <c r="IM575">
        <v>0</v>
      </c>
      <c r="IN575">
        <v>0</v>
      </c>
      <c r="IO575">
        <v>0</v>
      </c>
      <c r="IP575">
        <v>75.099999999999994</v>
      </c>
    </row>
    <row r="576" spans="1:250" ht="18" thickBot="1">
      <c r="A576" s="245"/>
      <c r="B576" s="245" t="s">
        <v>940</v>
      </c>
      <c r="C576" s="230" t="s">
        <v>1035</v>
      </c>
      <c r="D576" s="399"/>
      <c r="E576" s="454">
        <v>0</v>
      </c>
      <c r="F576">
        <v>0</v>
      </c>
      <c r="G576" s="427">
        <v>0</v>
      </c>
      <c r="H576" s="155">
        <v>0</v>
      </c>
      <c r="I576">
        <v>0</v>
      </c>
      <c r="J576">
        <v>0</v>
      </c>
      <c r="K576">
        <v>0</v>
      </c>
      <c r="L576" s="4">
        <v>0</v>
      </c>
      <c r="M576" s="4">
        <v>0</v>
      </c>
      <c r="N576" s="4">
        <v>0</v>
      </c>
      <c r="O576" s="4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R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G576">
        <v>0</v>
      </c>
      <c r="BI576">
        <v>0</v>
      </c>
      <c r="BK576">
        <v>0</v>
      </c>
      <c r="BL576">
        <v>0</v>
      </c>
      <c r="BM576">
        <v>0</v>
      </c>
      <c r="BN576">
        <v>0</v>
      </c>
      <c r="BO576">
        <v>344.70000000000005</v>
      </c>
      <c r="BP576">
        <v>625.70000000000005</v>
      </c>
      <c r="BQ576">
        <v>912.2</v>
      </c>
      <c r="BR576">
        <v>237.7</v>
      </c>
      <c r="BS576">
        <v>0</v>
      </c>
      <c r="BT576">
        <v>0</v>
      </c>
      <c r="BU576">
        <v>0</v>
      </c>
      <c r="BV576">
        <v>0</v>
      </c>
      <c r="BW576">
        <v>1647.4</v>
      </c>
      <c r="BY576">
        <v>453.1</v>
      </c>
      <c r="CA576">
        <v>285.39999999999998</v>
      </c>
      <c r="CB576">
        <v>280.8</v>
      </c>
      <c r="CC576">
        <v>127.7</v>
      </c>
      <c r="CD576">
        <v>0</v>
      </c>
      <c r="CE576">
        <v>0</v>
      </c>
      <c r="CF576">
        <v>0</v>
      </c>
      <c r="CG576">
        <v>0</v>
      </c>
      <c r="CI576">
        <v>0</v>
      </c>
      <c r="CJ576">
        <v>0</v>
      </c>
      <c r="CL576">
        <v>0</v>
      </c>
      <c r="CM576">
        <v>0</v>
      </c>
      <c r="CN576">
        <v>0</v>
      </c>
      <c r="CO576">
        <v>0</v>
      </c>
      <c r="CP576">
        <v>0</v>
      </c>
      <c r="CQ576">
        <v>621.70000000000005</v>
      </c>
      <c r="CR576">
        <v>481.70000000000005</v>
      </c>
      <c r="CS576">
        <v>0</v>
      </c>
      <c r="CT576">
        <v>524.6</v>
      </c>
      <c r="CU576">
        <v>514.1</v>
      </c>
      <c r="CV576">
        <v>175.2</v>
      </c>
      <c r="CW576">
        <v>0</v>
      </c>
      <c r="CX576">
        <v>65.099999999999994</v>
      </c>
      <c r="CY576">
        <v>199</v>
      </c>
      <c r="CZ576">
        <v>1907.9</v>
      </c>
      <c r="DA576">
        <v>0</v>
      </c>
      <c r="DB576">
        <v>0</v>
      </c>
      <c r="DC576">
        <v>0</v>
      </c>
      <c r="DD576">
        <v>0</v>
      </c>
      <c r="DE576">
        <v>0</v>
      </c>
      <c r="DF576">
        <v>0</v>
      </c>
      <c r="DG576">
        <v>0</v>
      </c>
      <c r="DH576">
        <v>0</v>
      </c>
      <c r="DI576">
        <v>0</v>
      </c>
      <c r="DJ576">
        <v>0</v>
      </c>
      <c r="DK576">
        <v>0</v>
      </c>
      <c r="DL576">
        <v>0</v>
      </c>
      <c r="DM576">
        <v>1065.4000000000001</v>
      </c>
      <c r="DN576">
        <v>599.70000000000005</v>
      </c>
      <c r="DO576">
        <v>319.7</v>
      </c>
      <c r="DP576">
        <v>1570.6999999999998</v>
      </c>
      <c r="DQ576">
        <v>1399.5</v>
      </c>
      <c r="DR576">
        <v>3581</v>
      </c>
      <c r="DU576">
        <v>1393.2</v>
      </c>
      <c r="DV576">
        <v>2862.6</v>
      </c>
      <c r="DY576">
        <v>2361</v>
      </c>
      <c r="EA576">
        <v>2409.6</v>
      </c>
      <c r="EC576">
        <v>1661.3999999999999</v>
      </c>
      <c r="EE576">
        <v>0</v>
      </c>
      <c r="EF576">
        <v>0</v>
      </c>
      <c r="EG576">
        <v>0</v>
      </c>
      <c r="EH576">
        <v>0</v>
      </c>
      <c r="EI576">
        <v>0</v>
      </c>
      <c r="EJ576">
        <v>0</v>
      </c>
      <c r="EK576">
        <v>0</v>
      </c>
      <c r="EL576">
        <v>0</v>
      </c>
      <c r="EM576">
        <v>0</v>
      </c>
      <c r="EN576">
        <v>0</v>
      </c>
      <c r="EO576">
        <v>0</v>
      </c>
      <c r="EP576">
        <v>944.5</v>
      </c>
      <c r="EQ576">
        <v>3459.7</v>
      </c>
      <c r="ER576">
        <v>1353.5</v>
      </c>
      <c r="ES576">
        <v>182.2</v>
      </c>
      <c r="ET576">
        <v>855.59999999999991</v>
      </c>
      <c r="EU576">
        <v>172.2</v>
      </c>
      <c r="EV576">
        <v>203.2</v>
      </c>
      <c r="EW576">
        <v>1173.0999999999999</v>
      </c>
      <c r="EX576">
        <v>1078.3</v>
      </c>
      <c r="EY576">
        <v>1194.4000000000001</v>
      </c>
      <c r="EZ576">
        <v>1207.0999999999999</v>
      </c>
      <c r="FA576">
        <v>0</v>
      </c>
      <c r="FB576">
        <v>0</v>
      </c>
      <c r="FC576">
        <v>0</v>
      </c>
      <c r="FD576">
        <v>0</v>
      </c>
      <c r="FE576">
        <v>0</v>
      </c>
      <c r="FF576">
        <v>0</v>
      </c>
      <c r="FG576">
        <v>0</v>
      </c>
      <c r="FH576">
        <v>0</v>
      </c>
      <c r="FI576">
        <v>0</v>
      </c>
      <c r="FJ576">
        <v>0</v>
      </c>
      <c r="FK576">
        <v>0</v>
      </c>
      <c r="FL576">
        <v>0</v>
      </c>
      <c r="FM576">
        <v>0</v>
      </c>
      <c r="FN576">
        <v>0</v>
      </c>
      <c r="FO576">
        <v>0</v>
      </c>
      <c r="FP576">
        <v>0</v>
      </c>
      <c r="FQ576">
        <v>0</v>
      </c>
      <c r="FR576">
        <v>0</v>
      </c>
      <c r="FS576">
        <v>0</v>
      </c>
      <c r="FT576">
        <v>0</v>
      </c>
      <c r="FU576">
        <v>0</v>
      </c>
      <c r="FV576">
        <v>0</v>
      </c>
      <c r="FW576">
        <v>0</v>
      </c>
      <c r="FX576">
        <v>0</v>
      </c>
      <c r="FY576">
        <v>0</v>
      </c>
      <c r="FZ576">
        <v>0</v>
      </c>
      <c r="GA576">
        <v>0</v>
      </c>
      <c r="GB576">
        <v>0</v>
      </c>
      <c r="GC576">
        <v>0</v>
      </c>
      <c r="GD576">
        <v>0</v>
      </c>
      <c r="GE576">
        <v>0</v>
      </c>
      <c r="GF576">
        <v>0</v>
      </c>
      <c r="GG576">
        <v>0</v>
      </c>
      <c r="GH576">
        <v>0</v>
      </c>
      <c r="GI576">
        <v>0</v>
      </c>
      <c r="GJ576">
        <v>0</v>
      </c>
      <c r="GK576">
        <v>0</v>
      </c>
      <c r="GL576">
        <v>0</v>
      </c>
      <c r="GO576">
        <v>0</v>
      </c>
      <c r="GP576">
        <v>0</v>
      </c>
      <c r="GQ576">
        <v>0</v>
      </c>
      <c r="GR576">
        <v>0</v>
      </c>
      <c r="GS576">
        <v>0</v>
      </c>
      <c r="GT576">
        <v>0</v>
      </c>
      <c r="GU576">
        <v>0</v>
      </c>
      <c r="GV576">
        <v>0</v>
      </c>
      <c r="GW576">
        <v>0</v>
      </c>
      <c r="GX576">
        <v>0</v>
      </c>
      <c r="GY576">
        <v>0</v>
      </c>
      <c r="GZ576">
        <v>0</v>
      </c>
      <c r="HA576">
        <v>0</v>
      </c>
      <c r="HB576">
        <v>0</v>
      </c>
      <c r="HC576">
        <v>0</v>
      </c>
      <c r="HD576">
        <v>0</v>
      </c>
      <c r="HE576">
        <v>0</v>
      </c>
      <c r="HF576">
        <v>0</v>
      </c>
      <c r="HG576">
        <v>0</v>
      </c>
      <c r="HH576">
        <v>0</v>
      </c>
      <c r="HI576">
        <v>0</v>
      </c>
      <c r="HJ576">
        <v>0</v>
      </c>
      <c r="HK576">
        <v>0</v>
      </c>
      <c r="HL576">
        <v>0</v>
      </c>
      <c r="HM576">
        <v>0</v>
      </c>
      <c r="HN576">
        <v>0</v>
      </c>
      <c r="HO576">
        <v>0</v>
      </c>
      <c r="HP576">
        <v>0</v>
      </c>
      <c r="HQ576">
        <v>0</v>
      </c>
      <c r="HR576">
        <v>0</v>
      </c>
      <c r="HS576">
        <v>0</v>
      </c>
      <c r="HT576">
        <v>0</v>
      </c>
      <c r="HU576">
        <v>0</v>
      </c>
      <c r="HV576">
        <v>0</v>
      </c>
      <c r="HW576">
        <v>404.70000000000005</v>
      </c>
      <c r="HX576">
        <v>342.3</v>
      </c>
      <c r="HZ576">
        <v>866.2</v>
      </c>
      <c r="IA576">
        <v>1142.8</v>
      </c>
      <c r="IB576">
        <v>1121.5</v>
      </c>
      <c r="IC576">
        <v>2403</v>
      </c>
      <c r="ID576">
        <v>2659.3</v>
      </c>
      <c r="IE576">
        <v>1923.4</v>
      </c>
      <c r="IF576">
        <v>1465.7</v>
      </c>
      <c r="IG576">
        <v>1608.3</v>
      </c>
      <c r="IH576">
        <v>0</v>
      </c>
      <c r="II576">
        <v>0</v>
      </c>
      <c r="IJ576">
        <v>0</v>
      </c>
      <c r="IK576">
        <v>0</v>
      </c>
      <c r="IL576">
        <v>0</v>
      </c>
      <c r="IM576">
        <v>0</v>
      </c>
      <c r="IN576">
        <v>0</v>
      </c>
      <c r="IO576">
        <v>0</v>
      </c>
      <c r="IP576">
        <v>75.099999999999994</v>
      </c>
    </row>
    <row r="577" spans="1:250" ht="18" thickBot="1">
      <c r="A577" s="245"/>
      <c r="B577" s="245" t="s">
        <v>941</v>
      </c>
      <c r="C577" s="230" t="s">
        <v>1036</v>
      </c>
      <c r="D577" s="399"/>
      <c r="E577" s="454">
        <v>0</v>
      </c>
      <c r="F577">
        <v>0</v>
      </c>
      <c r="G577" s="427">
        <v>0</v>
      </c>
      <c r="H577" s="155">
        <v>0</v>
      </c>
      <c r="I577">
        <v>0</v>
      </c>
      <c r="J577">
        <v>0</v>
      </c>
      <c r="K577">
        <v>0</v>
      </c>
      <c r="L577" s="4">
        <v>0</v>
      </c>
      <c r="M577" s="4">
        <v>0</v>
      </c>
      <c r="N577" s="4">
        <v>0</v>
      </c>
      <c r="O577" s="4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R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G577">
        <v>0</v>
      </c>
      <c r="BI577">
        <v>0</v>
      </c>
      <c r="BK577">
        <v>0</v>
      </c>
      <c r="BL577">
        <v>0</v>
      </c>
      <c r="BM577">
        <v>0</v>
      </c>
      <c r="BN577">
        <v>0</v>
      </c>
      <c r="BO577">
        <v>344.70000000000005</v>
      </c>
      <c r="BP577">
        <v>625.70000000000005</v>
      </c>
      <c r="BQ577">
        <v>912.2</v>
      </c>
      <c r="BR577">
        <v>237.7</v>
      </c>
      <c r="BS577">
        <v>0</v>
      </c>
      <c r="BT577">
        <v>0</v>
      </c>
      <c r="BU577">
        <v>0</v>
      </c>
      <c r="BV577">
        <v>0</v>
      </c>
      <c r="BW577">
        <v>1647.4</v>
      </c>
      <c r="BY577">
        <v>453.1</v>
      </c>
      <c r="CA577">
        <v>285.39999999999998</v>
      </c>
      <c r="CB577">
        <v>280.8</v>
      </c>
      <c r="CC577">
        <v>127.7</v>
      </c>
      <c r="CD577">
        <v>0</v>
      </c>
      <c r="CE577">
        <v>0</v>
      </c>
      <c r="CF577">
        <v>0</v>
      </c>
      <c r="CG577">
        <v>0</v>
      </c>
      <c r="CI577">
        <v>0</v>
      </c>
      <c r="CJ577">
        <v>0</v>
      </c>
      <c r="CL577">
        <v>0</v>
      </c>
      <c r="CM577">
        <v>0</v>
      </c>
      <c r="CN577">
        <v>0</v>
      </c>
      <c r="CO577">
        <v>0</v>
      </c>
      <c r="CP577">
        <v>0</v>
      </c>
      <c r="CQ577">
        <v>621.70000000000005</v>
      </c>
      <c r="CR577">
        <v>481.70000000000005</v>
      </c>
      <c r="CS577">
        <v>0</v>
      </c>
      <c r="CT577">
        <v>524.6</v>
      </c>
      <c r="CU577">
        <v>514.1</v>
      </c>
      <c r="CV577">
        <v>175.2</v>
      </c>
      <c r="CW577">
        <v>0</v>
      </c>
      <c r="CX577">
        <v>65.099999999999994</v>
      </c>
      <c r="CY577">
        <v>199</v>
      </c>
      <c r="CZ577">
        <v>1907.9</v>
      </c>
      <c r="DA577">
        <v>0</v>
      </c>
      <c r="DB577">
        <v>0</v>
      </c>
      <c r="DC577">
        <v>0</v>
      </c>
      <c r="DD577">
        <v>0</v>
      </c>
      <c r="DE577">
        <v>0</v>
      </c>
      <c r="DF577">
        <v>0</v>
      </c>
      <c r="DG577">
        <v>0</v>
      </c>
      <c r="DH577">
        <v>0</v>
      </c>
      <c r="DI577">
        <v>0</v>
      </c>
      <c r="DJ577">
        <v>0</v>
      </c>
      <c r="DK577">
        <v>0</v>
      </c>
      <c r="DL577">
        <v>0</v>
      </c>
      <c r="DM577">
        <v>1065.4000000000001</v>
      </c>
      <c r="DN577">
        <v>599.70000000000005</v>
      </c>
      <c r="DO577">
        <v>319.7</v>
      </c>
      <c r="DP577">
        <v>1570.6999999999998</v>
      </c>
      <c r="DQ577">
        <v>1399.5</v>
      </c>
      <c r="DR577">
        <v>3581</v>
      </c>
      <c r="DU577">
        <v>1393.2</v>
      </c>
      <c r="DV577">
        <v>2862.6</v>
      </c>
      <c r="DY577">
        <v>2361</v>
      </c>
      <c r="EA577">
        <v>2409.6</v>
      </c>
      <c r="EC577">
        <v>1661.3999999999999</v>
      </c>
      <c r="EE577">
        <v>0</v>
      </c>
      <c r="EF577">
        <v>0</v>
      </c>
      <c r="EG577">
        <v>0</v>
      </c>
      <c r="EH577">
        <v>0</v>
      </c>
      <c r="EI577">
        <v>0</v>
      </c>
      <c r="EJ577">
        <v>0</v>
      </c>
      <c r="EK577">
        <v>0</v>
      </c>
      <c r="EL577">
        <v>0</v>
      </c>
      <c r="EM577">
        <v>0</v>
      </c>
      <c r="EN577">
        <v>0</v>
      </c>
      <c r="EO577">
        <v>0</v>
      </c>
      <c r="EP577">
        <v>944.5</v>
      </c>
      <c r="EQ577">
        <v>3459.7</v>
      </c>
      <c r="ER577">
        <v>1353.5</v>
      </c>
      <c r="ES577">
        <v>182.2</v>
      </c>
      <c r="ET577">
        <v>855.59999999999991</v>
      </c>
      <c r="EU577">
        <v>172.2</v>
      </c>
      <c r="EV577">
        <v>203.2</v>
      </c>
      <c r="EW577">
        <v>1173.0999999999999</v>
      </c>
      <c r="EX577">
        <v>1078.3</v>
      </c>
      <c r="EY577">
        <v>1194.4000000000001</v>
      </c>
      <c r="EZ577">
        <v>1207.0999999999999</v>
      </c>
      <c r="FA577">
        <v>0</v>
      </c>
      <c r="FB577">
        <v>0</v>
      </c>
      <c r="FC577">
        <v>0</v>
      </c>
      <c r="FD577">
        <v>0</v>
      </c>
      <c r="FE577">
        <v>0</v>
      </c>
      <c r="FF577">
        <v>0</v>
      </c>
      <c r="FG577">
        <v>0</v>
      </c>
      <c r="FH577">
        <v>0</v>
      </c>
      <c r="FI577">
        <v>0</v>
      </c>
      <c r="FJ577">
        <v>0</v>
      </c>
      <c r="FK577">
        <v>0</v>
      </c>
      <c r="FL577">
        <v>0</v>
      </c>
      <c r="FM577">
        <v>0</v>
      </c>
      <c r="FN577">
        <v>0</v>
      </c>
      <c r="FO577">
        <v>0</v>
      </c>
      <c r="FP577">
        <v>0</v>
      </c>
      <c r="FQ577">
        <v>0</v>
      </c>
      <c r="FR577">
        <v>0</v>
      </c>
      <c r="FS577">
        <v>0</v>
      </c>
      <c r="FT577">
        <v>0</v>
      </c>
      <c r="FU577">
        <v>0</v>
      </c>
      <c r="FV577">
        <v>0</v>
      </c>
      <c r="FW577">
        <v>0</v>
      </c>
      <c r="FX577">
        <v>0</v>
      </c>
      <c r="FY577">
        <v>0</v>
      </c>
      <c r="FZ577">
        <v>0</v>
      </c>
      <c r="GA577">
        <v>0</v>
      </c>
      <c r="GB577">
        <v>0</v>
      </c>
      <c r="GC577">
        <v>0</v>
      </c>
      <c r="GD577">
        <v>0</v>
      </c>
      <c r="GE577">
        <v>0</v>
      </c>
      <c r="GF577">
        <v>0</v>
      </c>
      <c r="GG577">
        <v>0</v>
      </c>
      <c r="GH577">
        <v>0</v>
      </c>
      <c r="GI577">
        <v>0</v>
      </c>
      <c r="GJ577">
        <v>0</v>
      </c>
      <c r="GK577">
        <v>0</v>
      </c>
      <c r="GL577">
        <v>0</v>
      </c>
      <c r="GO577">
        <v>0</v>
      </c>
      <c r="GP577">
        <v>0</v>
      </c>
      <c r="GQ577">
        <v>0</v>
      </c>
      <c r="GR577">
        <v>0</v>
      </c>
      <c r="GS577">
        <v>0</v>
      </c>
      <c r="GT577">
        <v>0</v>
      </c>
      <c r="GU577">
        <v>0</v>
      </c>
      <c r="GV577">
        <v>0</v>
      </c>
      <c r="GW577">
        <v>0</v>
      </c>
      <c r="GX577">
        <v>0</v>
      </c>
      <c r="GY577">
        <v>0</v>
      </c>
      <c r="GZ577">
        <v>0</v>
      </c>
      <c r="HA577">
        <v>0</v>
      </c>
      <c r="HB577">
        <v>0</v>
      </c>
      <c r="HC577">
        <v>0</v>
      </c>
      <c r="HD577">
        <v>0</v>
      </c>
      <c r="HE577">
        <v>0</v>
      </c>
      <c r="HF577">
        <v>0</v>
      </c>
      <c r="HG577">
        <v>0</v>
      </c>
      <c r="HH577">
        <v>0</v>
      </c>
      <c r="HI577">
        <v>0</v>
      </c>
      <c r="HJ577">
        <v>0</v>
      </c>
      <c r="HK577">
        <v>0</v>
      </c>
      <c r="HL577">
        <v>0</v>
      </c>
      <c r="HM577">
        <v>0</v>
      </c>
      <c r="HN577">
        <v>0</v>
      </c>
      <c r="HO577">
        <v>0</v>
      </c>
      <c r="HP577">
        <v>0</v>
      </c>
      <c r="HQ577">
        <v>0</v>
      </c>
      <c r="HR577">
        <v>0</v>
      </c>
      <c r="HS577">
        <v>0</v>
      </c>
      <c r="HT577">
        <v>0</v>
      </c>
      <c r="HU577">
        <v>0</v>
      </c>
      <c r="HV577">
        <v>0</v>
      </c>
      <c r="HW577">
        <v>404.70000000000005</v>
      </c>
      <c r="HX577">
        <v>342.3</v>
      </c>
      <c r="HZ577">
        <v>866.2</v>
      </c>
      <c r="IA577">
        <v>1142.8</v>
      </c>
      <c r="IB577">
        <v>1121.5</v>
      </c>
      <c r="IC577">
        <v>2403</v>
      </c>
      <c r="ID577">
        <v>2659.3</v>
      </c>
      <c r="IE577">
        <v>1923.4</v>
      </c>
      <c r="IF577">
        <v>1465.7</v>
      </c>
      <c r="IG577">
        <v>1608.3</v>
      </c>
      <c r="IH577">
        <v>0</v>
      </c>
      <c r="II577">
        <v>0</v>
      </c>
      <c r="IJ577">
        <v>0</v>
      </c>
      <c r="IK577">
        <v>0</v>
      </c>
      <c r="IL577">
        <v>0</v>
      </c>
      <c r="IM577">
        <v>0</v>
      </c>
      <c r="IN577">
        <v>0</v>
      </c>
      <c r="IO577">
        <v>0</v>
      </c>
      <c r="IP577">
        <v>75.099999999999994</v>
      </c>
    </row>
    <row r="578" spans="1:250" ht="18" thickBot="1">
      <c r="A578" s="245"/>
      <c r="B578" s="245" t="s">
        <v>942</v>
      </c>
      <c r="C578" s="230" t="s">
        <v>1037</v>
      </c>
      <c r="D578" s="399"/>
      <c r="E578" s="454">
        <v>0</v>
      </c>
      <c r="F578">
        <v>0</v>
      </c>
      <c r="G578" s="427">
        <v>0</v>
      </c>
      <c r="H578" s="155">
        <v>0</v>
      </c>
      <c r="I578">
        <v>0</v>
      </c>
      <c r="J578">
        <v>0</v>
      </c>
      <c r="K578">
        <v>0</v>
      </c>
      <c r="L578" s="4">
        <v>0</v>
      </c>
      <c r="M578" s="4">
        <v>0</v>
      </c>
      <c r="N578" s="4">
        <v>0</v>
      </c>
      <c r="O578" s="4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R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G578">
        <v>0</v>
      </c>
      <c r="BI578">
        <v>0</v>
      </c>
      <c r="BK578">
        <v>0</v>
      </c>
      <c r="BL578">
        <v>0</v>
      </c>
      <c r="BM578">
        <v>0</v>
      </c>
      <c r="BN578">
        <v>0</v>
      </c>
      <c r="BO578">
        <v>344.70000000000005</v>
      </c>
      <c r="BP578">
        <v>625.70000000000005</v>
      </c>
      <c r="BQ578">
        <v>912.2</v>
      </c>
      <c r="BR578">
        <v>237.7</v>
      </c>
      <c r="BS578">
        <v>0</v>
      </c>
      <c r="BT578">
        <v>0</v>
      </c>
      <c r="BU578">
        <v>0</v>
      </c>
      <c r="BV578">
        <v>0</v>
      </c>
      <c r="BW578">
        <v>1647.4</v>
      </c>
      <c r="BY578">
        <v>453.1</v>
      </c>
      <c r="CA578">
        <v>285.39999999999998</v>
      </c>
      <c r="CB578">
        <v>280.8</v>
      </c>
      <c r="CC578">
        <v>127.7</v>
      </c>
      <c r="CD578">
        <v>0</v>
      </c>
      <c r="CE578">
        <v>0</v>
      </c>
      <c r="CF578">
        <v>0</v>
      </c>
      <c r="CG578">
        <v>0</v>
      </c>
      <c r="CI578">
        <v>0</v>
      </c>
      <c r="CJ578">
        <v>0</v>
      </c>
      <c r="CL578">
        <v>0</v>
      </c>
      <c r="CM578">
        <v>0</v>
      </c>
      <c r="CN578">
        <v>0</v>
      </c>
      <c r="CO578">
        <v>0</v>
      </c>
      <c r="CP578">
        <v>0</v>
      </c>
      <c r="CQ578">
        <v>621.70000000000005</v>
      </c>
      <c r="CR578">
        <v>481.70000000000005</v>
      </c>
      <c r="CS578">
        <v>0</v>
      </c>
      <c r="CT578">
        <v>524.6</v>
      </c>
      <c r="CU578">
        <v>514.1</v>
      </c>
      <c r="CV578">
        <v>175.2</v>
      </c>
      <c r="CW578">
        <v>0</v>
      </c>
      <c r="CX578">
        <v>65.099999999999994</v>
      </c>
      <c r="CY578">
        <v>199</v>
      </c>
      <c r="CZ578">
        <v>1907.9</v>
      </c>
      <c r="DA578">
        <v>0</v>
      </c>
      <c r="DB578">
        <v>0</v>
      </c>
      <c r="DC578">
        <v>0</v>
      </c>
      <c r="DD578">
        <v>0</v>
      </c>
      <c r="DE578">
        <v>0</v>
      </c>
      <c r="DF578">
        <v>0</v>
      </c>
      <c r="DG578">
        <v>0</v>
      </c>
      <c r="DH578">
        <v>0</v>
      </c>
      <c r="DI578">
        <v>0</v>
      </c>
      <c r="DJ578">
        <v>0</v>
      </c>
      <c r="DK578">
        <v>0</v>
      </c>
      <c r="DL578">
        <v>0</v>
      </c>
      <c r="DM578">
        <v>1065.4000000000001</v>
      </c>
      <c r="DN578">
        <v>599.70000000000005</v>
      </c>
      <c r="DO578">
        <v>319.7</v>
      </c>
      <c r="DP578">
        <v>1570.6999999999998</v>
      </c>
      <c r="DQ578">
        <v>1399.5</v>
      </c>
      <c r="DR578">
        <v>3581</v>
      </c>
      <c r="DU578">
        <v>1393.2</v>
      </c>
      <c r="DV578">
        <v>2862.6</v>
      </c>
      <c r="DY578">
        <v>2361</v>
      </c>
      <c r="EA578">
        <v>2409.6</v>
      </c>
      <c r="EC578">
        <v>1661.3999999999999</v>
      </c>
      <c r="EE578">
        <v>0</v>
      </c>
      <c r="EF578">
        <v>0</v>
      </c>
      <c r="EG578">
        <v>0</v>
      </c>
      <c r="EH578">
        <v>0</v>
      </c>
      <c r="EI578">
        <v>0</v>
      </c>
      <c r="EJ578">
        <v>0</v>
      </c>
      <c r="EK578">
        <v>0</v>
      </c>
      <c r="EL578">
        <v>0</v>
      </c>
      <c r="EM578">
        <v>0</v>
      </c>
      <c r="EN578">
        <v>0</v>
      </c>
      <c r="EO578">
        <v>0</v>
      </c>
      <c r="EP578">
        <v>944.5</v>
      </c>
      <c r="EQ578">
        <v>3459.7</v>
      </c>
      <c r="ER578">
        <v>1353.5</v>
      </c>
      <c r="ES578">
        <v>182.2</v>
      </c>
      <c r="ET578">
        <v>855.59999999999991</v>
      </c>
      <c r="EU578">
        <v>172.2</v>
      </c>
      <c r="EV578">
        <v>203.2</v>
      </c>
      <c r="EW578">
        <v>1173.0999999999999</v>
      </c>
      <c r="EX578">
        <v>1078.3</v>
      </c>
      <c r="EY578">
        <v>1194.4000000000001</v>
      </c>
      <c r="EZ578">
        <v>1207.0999999999999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0</v>
      </c>
      <c r="FG578">
        <v>0</v>
      </c>
      <c r="FH578">
        <v>0</v>
      </c>
      <c r="FI578">
        <v>0</v>
      </c>
      <c r="FJ578">
        <v>0</v>
      </c>
      <c r="FK578">
        <v>0</v>
      </c>
      <c r="FL578">
        <v>0</v>
      </c>
      <c r="FM578">
        <v>0</v>
      </c>
      <c r="FN578">
        <v>0</v>
      </c>
      <c r="FO578">
        <v>0</v>
      </c>
      <c r="FP578">
        <v>0</v>
      </c>
      <c r="FQ578">
        <v>0</v>
      </c>
      <c r="FR578">
        <v>0</v>
      </c>
      <c r="FS578">
        <v>0</v>
      </c>
      <c r="FT578">
        <v>0</v>
      </c>
      <c r="FU578">
        <v>0</v>
      </c>
      <c r="FV578">
        <v>0</v>
      </c>
      <c r="FW578">
        <v>0</v>
      </c>
      <c r="FX578">
        <v>0</v>
      </c>
      <c r="FY578">
        <v>0</v>
      </c>
      <c r="FZ578">
        <v>0</v>
      </c>
      <c r="GA578">
        <v>0</v>
      </c>
      <c r="GB578">
        <v>0</v>
      </c>
      <c r="GC578">
        <v>0</v>
      </c>
      <c r="GD578">
        <v>0</v>
      </c>
      <c r="GE578">
        <v>0</v>
      </c>
      <c r="GF578">
        <v>0</v>
      </c>
      <c r="GG578">
        <v>0</v>
      </c>
      <c r="GH578">
        <v>0</v>
      </c>
      <c r="GI578">
        <v>0</v>
      </c>
      <c r="GJ578">
        <v>0</v>
      </c>
      <c r="GK578">
        <v>0</v>
      </c>
      <c r="GL578">
        <v>0</v>
      </c>
      <c r="GO578">
        <v>0</v>
      </c>
      <c r="GP578">
        <v>0</v>
      </c>
      <c r="GQ578">
        <v>0</v>
      </c>
      <c r="GR578">
        <v>0</v>
      </c>
      <c r="GS578">
        <v>0</v>
      </c>
      <c r="GT578">
        <v>0</v>
      </c>
      <c r="GU578">
        <v>0</v>
      </c>
      <c r="GV578">
        <v>0</v>
      </c>
      <c r="GW578">
        <v>0</v>
      </c>
      <c r="GX578">
        <v>0</v>
      </c>
      <c r="GY578">
        <v>0</v>
      </c>
      <c r="GZ578">
        <v>0</v>
      </c>
      <c r="HA578">
        <v>0</v>
      </c>
      <c r="HB578">
        <v>0</v>
      </c>
      <c r="HC578">
        <v>0</v>
      </c>
      <c r="HD578">
        <v>0</v>
      </c>
      <c r="HE578">
        <v>0</v>
      </c>
      <c r="HF578">
        <v>0</v>
      </c>
      <c r="HG578">
        <v>0</v>
      </c>
      <c r="HH578">
        <v>0</v>
      </c>
      <c r="HI578">
        <v>0</v>
      </c>
      <c r="HJ578">
        <v>0</v>
      </c>
      <c r="HK578">
        <v>0</v>
      </c>
      <c r="HL578">
        <v>0</v>
      </c>
      <c r="HM578">
        <v>0</v>
      </c>
      <c r="HN578">
        <v>0</v>
      </c>
      <c r="HO578">
        <v>0</v>
      </c>
      <c r="HP578">
        <v>0</v>
      </c>
      <c r="HQ578">
        <v>0</v>
      </c>
      <c r="HR578">
        <v>0</v>
      </c>
      <c r="HS578">
        <v>0</v>
      </c>
      <c r="HT578">
        <v>0</v>
      </c>
      <c r="HU578">
        <v>0</v>
      </c>
      <c r="HV578">
        <v>0</v>
      </c>
      <c r="HW578">
        <v>404.70000000000005</v>
      </c>
      <c r="HX578">
        <v>342.3</v>
      </c>
      <c r="HZ578">
        <v>866.2</v>
      </c>
      <c r="IA578">
        <v>1142.8</v>
      </c>
      <c r="IB578">
        <v>1121.5</v>
      </c>
      <c r="IC578">
        <v>2403</v>
      </c>
      <c r="ID578">
        <v>2659.3</v>
      </c>
      <c r="IE578">
        <v>1923.4</v>
      </c>
      <c r="IF578">
        <v>1465.7</v>
      </c>
      <c r="IG578">
        <v>1608.3</v>
      </c>
      <c r="IH578">
        <v>0</v>
      </c>
      <c r="II578">
        <v>0</v>
      </c>
      <c r="IJ578">
        <v>0</v>
      </c>
      <c r="IK578">
        <v>0</v>
      </c>
      <c r="IL578">
        <v>0</v>
      </c>
      <c r="IM578">
        <v>0</v>
      </c>
      <c r="IN578">
        <v>0</v>
      </c>
      <c r="IO578">
        <v>0</v>
      </c>
      <c r="IP578">
        <v>75.099999999999994</v>
      </c>
    </row>
    <row r="579" spans="1:250" ht="18" thickBot="1">
      <c r="A579" s="245"/>
      <c r="B579" s="245" t="s">
        <v>943</v>
      </c>
      <c r="C579" s="230" t="s">
        <v>1038</v>
      </c>
      <c r="D579" s="399"/>
      <c r="E579" s="454">
        <v>0</v>
      </c>
      <c r="F579">
        <v>0</v>
      </c>
      <c r="G579" s="427">
        <v>0</v>
      </c>
      <c r="H579" s="155">
        <v>0</v>
      </c>
      <c r="I579">
        <v>0</v>
      </c>
      <c r="J579">
        <v>0</v>
      </c>
      <c r="K579">
        <v>0</v>
      </c>
      <c r="L579" s="4">
        <v>0</v>
      </c>
      <c r="M579" s="4">
        <v>0</v>
      </c>
      <c r="N579" s="4">
        <v>0</v>
      </c>
      <c r="O579" s="4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R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G579">
        <v>0</v>
      </c>
      <c r="BI579">
        <v>0</v>
      </c>
      <c r="BK579">
        <v>0</v>
      </c>
      <c r="BL579">
        <v>0</v>
      </c>
      <c r="BM579">
        <v>0</v>
      </c>
      <c r="BN579">
        <v>0</v>
      </c>
      <c r="BO579">
        <v>344.70000000000005</v>
      </c>
      <c r="BP579">
        <v>625.70000000000005</v>
      </c>
      <c r="BQ579">
        <v>912.2</v>
      </c>
      <c r="BR579">
        <v>237.7</v>
      </c>
      <c r="BS579">
        <v>0</v>
      </c>
      <c r="BT579">
        <v>0</v>
      </c>
      <c r="BU579">
        <v>0</v>
      </c>
      <c r="BV579">
        <v>0</v>
      </c>
      <c r="BW579">
        <v>1647.4</v>
      </c>
      <c r="BY579">
        <v>453.1</v>
      </c>
      <c r="CA579">
        <v>285.39999999999998</v>
      </c>
      <c r="CB579">
        <v>280.8</v>
      </c>
      <c r="CC579">
        <v>127.7</v>
      </c>
      <c r="CD579">
        <v>0</v>
      </c>
      <c r="CE579">
        <v>0</v>
      </c>
      <c r="CF579">
        <v>0</v>
      </c>
      <c r="CG579">
        <v>0</v>
      </c>
      <c r="CI579">
        <v>0</v>
      </c>
      <c r="CJ579">
        <v>0</v>
      </c>
      <c r="CL579">
        <v>0</v>
      </c>
      <c r="CM579">
        <v>0</v>
      </c>
      <c r="CN579">
        <v>0</v>
      </c>
      <c r="CO579">
        <v>0</v>
      </c>
      <c r="CP579">
        <v>0</v>
      </c>
      <c r="CQ579">
        <v>621.70000000000005</v>
      </c>
      <c r="CR579">
        <v>481.70000000000005</v>
      </c>
      <c r="CS579">
        <v>0</v>
      </c>
      <c r="CT579">
        <v>524.6</v>
      </c>
      <c r="CU579">
        <v>514.1</v>
      </c>
      <c r="CV579">
        <v>175.2</v>
      </c>
      <c r="CW579">
        <v>0</v>
      </c>
      <c r="CX579">
        <v>65.099999999999994</v>
      </c>
      <c r="CY579">
        <v>199</v>
      </c>
      <c r="CZ579">
        <v>1907.9</v>
      </c>
      <c r="DA579">
        <v>0</v>
      </c>
      <c r="DB579">
        <v>0</v>
      </c>
      <c r="DC579">
        <v>0</v>
      </c>
      <c r="DD579">
        <v>0</v>
      </c>
      <c r="DE579">
        <v>0</v>
      </c>
      <c r="DF579">
        <v>0</v>
      </c>
      <c r="DG579">
        <v>0</v>
      </c>
      <c r="DH579">
        <v>0</v>
      </c>
      <c r="DI579">
        <v>0</v>
      </c>
      <c r="DJ579">
        <v>0</v>
      </c>
      <c r="DK579">
        <v>0</v>
      </c>
      <c r="DL579">
        <v>0</v>
      </c>
      <c r="DM579">
        <v>1065.4000000000001</v>
      </c>
      <c r="DN579">
        <v>599.70000000000005</v>
      </c>
      <c r="DO579">
        <v>319.7</v>
      </c>
      <c r="DP579">
        <v>1570.6999999999998</v>
      </c>
      <c r="DQ579">
        <v>1399.5</v>
      </c>
      <c r="DR579">
        <v>3581</v>
      </c>
      <c r="DU579">
        <v>1393.2</v>
      </c>
      <c r="DV579">
        <v>2862.6</v>
      </c>
      <c r="DY579">
        <v>2361</v>
      </c>
      <c r="EA579">
        <v>2409.6</v>
      </c>
      <c r="EC579">
        <v>1661.3999999999999</v>
      </c>
      <c r="EE579">
        <v>0</v>
      </c>
      <c r="EF579">
        <v>0</v>
      </c>
      <c r="EG579">
        <v>0</v>
      </c>
      <c r="EH579">
        <v>0</v>
      </c>
      <c r="EI579">
        <v>0</v>
      </c>
      <c r="EJ579">
        <v>0</v>
      </c>
      <c r="EK579">
        <v>0</v>
      </c>
      <c r="EL579">
        <v>0</v>
      </c>
      <c r="EM579">
        <v>0</v>
      </c>
      <c r="EN579">
        <v>0</v>
      </c>
      <c r="EO579">
        <v>0</v>
      </c>
      <c r="EP579">
        <v>944.5</v>
      </c>
      <c r="EQ579">
        <v>3459.7</v>
      </c>
      <c r="ER579">
        <v>1353.5</v>
      </c>
      <c r="ES579">
        <v>182.2</v>
      </c>
      <c r="ET579">
        <v>855.59999999999991</v>
      </c>
      <c r="EU579">
        <v>172.2</v>
      </c>
      <c r="EV579">
        <v>203.2</v>
      </c>
      <c r="EW579">
        <v>1173.0999999999999</v>
      </c>
      <c r="EX579">
        <v>1078.3</v>
      </c>
      <c r="EY579">
        <v>1194.4000000000001</v>
      </c>
      <c r="EZ579">
        <v>1207.0999999999999</v>
      </c>
      <c r="FA579">
        <v>0</v>
      </c>
      <c r="FB579">
        <v>0</v>
      </c>
      <c r="FC579">
        <v>0</v>
      </c>
      <c r="FD579">
        <v>0</v>
      </c>
      <c r="FE579">
        <v>0</v>
      </c>
      <c r="FF579">
        <v>0</v>
      </c>
      <c r="FG579">
        <v>0</v>
      </c>
      <c r="FH579">
        <v>0</v>
      </c>
      <c r="FI579">
        <v>0</v>
      </c>
      <c r="FJ579">
        <v>0</v>
      </c>
      <c r="FK579">
        <v>0</v>
      </c>
      <c r="FL579">
        <v>0</v>
      </c>
      <c r="FM579">
        <v>0</v>
      </c>
      <c r="FN579">
        <v>0</v>
      </c>
      <c r="FO579">
        <v>0</v>
      </c>
      <c r="FP579">
        <v>0</v>
      </c>
      <c r="FQ579">
        <v>0</v>
      </c>
      <c r="FR579">
        <v>0</v>
      </c>
      <c r="FS579">
        <v>0</v>
      </c>
      <c r="FT579">
        <v>0</v>
      </c>
      <c r="FU579">
        <v>0</v>
      </c>
      <c r="FV579">
        <v>0</v>
      </c>
      <c r="FW579">
        <v>0</v>
      </c>
      <c r="FX579">
        <v>0</v>
      </c>
      <c r="FY579">
        <v>0</v>
      </c>
      <c r="FZ579">
        <v>0</v>
      </c>
      <c r="GA579">
        <v>0</v>
      </c>
      <c r="GB579">
        <v>0</v>
      </c>
      <c r="GC579">
        <v>0</v>
      </c>
      <c r="GD579">
        <v>0</v>
      </c>
      <c r="GE579">
        <v>0</v>
      </c>
      <c r="GF579">
        <v>0</v>
      </c>
      <c r="GG579">
        <v>0</v>
      </c>
      <c r="GH579">
        <v>0</v>
      </c>
      <c r="GI579">
        <v>0</v>
      </c>
      <c r="GJ579">
        <v>0</v>
      </c>
      <c r="GK579">
        <v>0</v>
      </c>
      <c r="GL579">
        <v>0</v>
      </c>
      <c r="GO579">
        <v>0</v>
      </c>
      <c r="GP579">
        <v>0</v>
      </c>
      <c r="GQ579">
        <v>0</v>
      </c>
      <c r="GR579">
        <v>0</v>
      </c>
      <c r="GS579">
        <v>0</v>
      </c>
      <c r="GT579">
        <v>0</v>
      </c>
      <c r="GU579">
        <v>0</v>
      </c>
      <c r="GV579">
        <v>0</v>
      </c>
      <c r="GW579">
        <v>0</v>
      </c>
      <c r="GX579">
        <v>0</v>
      </c>
      <c r="GY579">
        <v>0</v>
      </c>
      <c r="GZ579">
        <v>0</v>
      </c>
      <c r="HA579">
        <v>0</v>
      </c>
      <c r="HB579">
        <v>0</v>
      </c>
      <c r="HC579">
        <v>0</v>
      </c>
      <c r="HD579">
        <v>0</v>
      </c>
      <c r="HE579">
        <v>0</v>
      </c>
      <c r="HF579">
        <v>0</v>
      </c>
      <c r="HG579">
        <v>0</v>
      </c>
      <c r="HH579">
        <v>0</v>
      </c>
      <c r="HI579">
        <v>0</v>
      </c>
      <c r="HJ579">
        <v>0</v>
      </c>
      <c r="HK579">
        <v>0</v>
      </c>
      <c r="HL579">
        <v>0</v>
      </c>
      <c r="HM579">
        <v>0</v>
      </c>
      <c r="HN579">
        <v>0</v>
      </c>
      <c r="HO579">
        <v>0</v>
      </c>
      <c r="HP579">
        <v>0</v>
      </c>
      <c r="HQ579">
        <v>0</v>
      </c>
      <c r="HR579">
        <v>0</v>
      </c>
      <c r="HS579">
        <v>0</v>
      </c>
      <c r="HT579">
        <v>0</v>
      </c>
      <c r="HU579">
        <v>0</v>
      </c>
      <c r="HV579">
        <v>0</v>
      </c>
      <c r="HW579">
        <v>404.70000000000005</v>
      </c>
      <c r="HX579">
        <v>342.3</v>
      </c>
      <c r="HZ579">
        <v>866.2</v>
      </c>
      <c r="IA579">
        <v>1142.8</v>
      </c>
      <c r="IB579">
        <v>1121.5</v>
      </c>
      <c r="IC579">
        <v>2403</v>
      </c>
      <c r="ID579">
        <v>2659.3</v>
      </c>
      <c r="IE579">
        <v>1923.4</v>
      </c>
      <c r="IF579">
        <v>1465.7</v>
      </c>
      <c r="IG579">
        <v>1608.3</v>
      </c>
      <c r="IH579">
        <v>0</v>
      </c>
      <c r="II579">
        <v>0</v>
      </c>
      <c r="IJ579">
        <v>0</v>
      </c>
      <c r="IK579">
        <v>0</v>
      </c>
      <c r="IL579">
        <v>0</v>
      </c>
      <c r="IM579">
        <v>0</v>
      </c>
      <c r="IN579">
        <v>0</v>
      </c>
      <c r="IO579">
        <v>0</v>
      </c>
      <c r="IP579">
        <v>75.099999999999994</v>
      </c>
    </row>
    <row r="580" spans="1:250" ht="18" thickBot="1">
      <c r="A580" s="246"/>
      <c r="B580" s="246" t="s">
        <v>944</v>
      </c>
      <c r="C580" s="334" t="s">
        <v>1039</v>
      </c>
      <c r="D580" s="400"/>
      <c r="E580" s="454">
        <v>0</v>
      </c>
      <c r="F580">
        <v>0</v>
      </c>
      <c r="G580" s="427">
        <v>0</v>
      </c>
      <c r="H580" s="155">
        <v>0</v>
      </c>
      <c r="I580">
        <v>0</v>
      </c>
      <c r="J580">
        <v>0</v>
      </c>
      <c r="K580">
        <v>0</v>
      </c>
      <c r="L580" s="4">
        <v>0</v>
      </c>
      <c r="M580" s="4">
        <v>0</v>
      </c>
      <c r="N580" s="4">
        <v>0</v>
      </c>
      <c r="O580" s="4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R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G580">
        <v>0</v>
      </c>
      <c r="BI580">
        <v>0</v>
      </c>
      <c r="BK580">
        <v>0</v>
      </c>
      <c r="BL580">
        <v>0</v>
      </c>
      <c r="BM580">
        <v>0</v>
      </c>
      <c r="BN580">
        <v>0</v>
      </c>
      <c r="BO580">
        <v>344.70000000000005</v>
      </c>
      <c r="BP580">
        <v>625.70000000000005</v>
      </c>
      <c r="BQ580">
        <v>912.2</v>
      </c>
      <c r="BR580">
        <v>237.7</v>
      </c>
      <c r="BS580">
        <v>0</v>
      </c>
      <c r="BT580">
        <v>0</v>
      </c>
      <c r="BU580">
        <v>0</v>
      </c>
      <c r="BV580">
        <v>0</v>
      </c>
      <c r="BW580">
        <v>1647.4</v>
      </c>
      <c r="BY580">
        <v>453.1</v>
      </c>
      <c r="CA580">
        <v>285.39999999999998</v>
      </c>
      <c r="CB580">
        <v>280.8</v>
      </c>
      <c r="CC580">
        <v>127.7</v>
      </c>
      <c r="CD580">
        <v>0</v>
      </c>
      <c r="CE580">
        <v>0</v>
      </c>
      <c r="CF580">
        <v>0</v>
      </c>
      <c r="CG580">
        <v>0</v>
      </c>
      <c r="CI580">
        <v>0</v>
      </c>
      <c r="CJ580">
        <v>0</v>
      </c>
      <c r="CL580">
        <v>0</v>
      </c>
      <c r="CM580">
        <v>0</v>
      </c>
      <c r="CN580">
        <v>0</v>
      </c>
      <c r="CO580">
        <v>0</v>
      </c>
      <c r="CP580">
        <v>0</v>
      </c>
      <c r="CQ580">
        <v>621.70000000000005</v>
      </c>
      <c r="CR580">
        <v>481.70000000000005</v>
      </c>
      <c r="CS580">
        <v>0</v>
      </c>
      <c r="CT580">
        <v>524.6</v>
      </c>
      <c r="CU580">
        <v>514.1</v>
      </c>
      <c r="CV580">
        <v>175.2</v>
      </c>
      <c r="CW580">
        <v>0</v>
      </c>
      <c r="CX580">
        <v>65.099999999999994</v>
      </c>
      <c r="CY580">
        <v>199</v>
      </c>
      <c r="CZ580">
        <v>1907.9</v>
      </c>
      <c r="DA580">
        <v>0</v>
      </c>
      <c r="DB580">
        <v>0</v>
      </c>
      <c r="DC580">
        <v>0</v>
      </c>
      <c r="DD580">
        <v>0</v>
      </c>
      <c r="DE580">
        <v>0</v>
      </c>
      <c r="DF580">
        <v>0</v>
      </c>
      <c r="DG580">
        <v>0</v>
      </c>
      <c r="DH580">
        <v>0</v>
      </c>
      <c r="DI580">
        <v>0</v>
      </c>
      <c r="DJ580">
        <v>0</v>
      </c>
      <c r="DK580">
        <v>0</v>
      </c>
      <c r="DL580">
        <v>0</v>
      </c>
      <c r="DM580">
        <v>1065.4000000000001</v>
      </c>
      <c r="DN580">
        <v>599.70000000000005</v>
      </c>
      <c r="DO580">
        <v>319.7</v>
      </c>
      <c r="DP580">
        <v>1570.6999999999998</v>
      </c>
      <c r="DQ580">
        <v>1399.5</v>
      </c>
      <c r="DR580">
        <v>3581</v>
      </c>
      <c r="DU580">
        <v>1393.2</v>
      </c>
      <c r="DV580">
        <v>2862.6</v>
      </c>
      <c r="DY580">
        <v>2361</v>
      </c>
      <c r="EA580">
        <v>2409.6</v>
      </c>
      <c r="EC580">
        <v>1661.3999999999999</v>
      </c>
      <c r="EE580">
        <v>0</v>
      </c>
      <c r="EF580">
        <v>0</v>
      </c>
      <c r="EG580">
        <v>0</v>
      </c>
      <c r="EH580">
        <v>0</v>
      </c>
      <c r="EI580">
        <v>0</v>
      </c>
      <c r="EJ580">
        <v>0</v>
      </c>
      <c r="EK580">
        <v>0</v>
      </c>
      <c r="EL580">
        <v>0</v>
      </c>
      <c r="EM580">
        <v>0</v>
      </c>
      <c r="EN580">
        <v>0</v>
      </c>
      <c r="EO580">
        <v>0</v>
      </c>
      <c r="EP580">
        <v>944.5</v>
      </c>
      <c r="EQ580">
        <v>3459.7</v>
      </c>
      <c r="ER580">
        <v>1353.5</v>
      </c>
      <c r="ES580">
        <v>182.2</v>
      </c>
      <c r="ET580">
        <v>855.59999999999991</v>
      </c>
      <c r="EU580">
        <v>172.2</v>
      </c>
      <c r="EV580">
        <v>203.2</v>
      </c>
      <c r="EW580">
        <v>1173.0999999999999</v>
      </c>
      <c r="EX580">
        <v>1078.3</v>
      </c>
      <c r="EY580">
        <v>1194.4000000000001</v>
      </c>
      <c r="EZ580">
        <v>1207.0999999999999</v>
      </c>
      <c r="FA580">
        <v>0</v>
      </c>
      <c r="FB580">
        <v>0</v>
      </c>
      <c r="FC580">
        <v>0</v>
      </c>
      <c r="FD580">
        <v>0</v>
      </c>
      <c r="FE580">
        <v>0</v>
      </c>
      <c r="FF580">
        <v>0</v>
      </c>
      <c r="FG580">
        <v>0</v>
      </c>
      <c r="FH580">
        <v>0</v>
      </c>
      <c r="FI580">
        <v>0</v>
      </c>
      <c r="FJ580">
        <v>0</v>
      </c>
      <c r="FK580">
        <v>0</v>
      </c>
      <c r="FL580">
        <v>0</v>
      </c>
      <c r="FM580">
        <v>0</v>
      </c>
      <c r="FN580">
        <v>0</v>
      </c>
      <c r="FO580">
        <v>0</v>
      </c>
      <c r="FP580">
        <v>0</v>
      </c>
      <c r="FQ580">
        <v>0</v>
      </c>
      <c r="FR580">
        <v>0</v>
      </c>
      <c r="FS580">
        <v>0</v>
      </c>
      <c r="FT580">
        <v>0</v>
      </c>
      <c r="FU580">
        <v>0</v>
      </c>
      <c r="FV580">
        <v>0</v>
      </c>
      <c r="FW580">
        <v>0</v>
      </c>
      <c r="FX580">
        <v>0</v>
      </c>
      <c r="FY580">
        <v>0</v>
      </c>
      <c r="FZ580">
        <v>0</v>
      </c>
      <c r="GA580">
        <v>0</v>
      </c>
      <c r="GB580">
        <v>0</v>
      </c>
      <c r="GC580">
        <v>0</v>
      </c>
      <c r="GD580">
        <v>0</v>
      </c>
      <c r="GE580">
        <v>0</v>
      </c>
      <c r="GF580">
        <v>0</v>
      </c>
      <c r="GG580">
        <v>0</v>
      </c>
      <c r="GH580">
        <v>0</v>
      </c>
      <c r="GI580">
        <v>0</v>
      </c>
      <c r="GJ580">
        <v>0</v>
      </c>
      <c r="GK580">
        <v>0</v>
      </c>
      <c r="GL580">
        <v>0</v>
      </c>
      <c r="GO580">
        <v>0</v>
      </c>
      <c r="GP580">
        <v>0</v>
      </c>
      <c r="GQ580">
        <v>0</v>
      </c>
      <c r="GR580">
        <v>0</v>
      </c>
      <c r="GS580">
        <v>0</v>
      </c>
      <c r="GT580">
        <v>0</v>
      </c>
      <c r="GU580">
        <v>0</v>
      </c>
      <c r="GV580">
        <v>0</v>
      </c>
      <c r="GW580">
        <v>0</v>
      </c>
      <c r="GX580">
        <v>0</v>
      </c>
      <c r="GY580">
        <v>0</v>
      </c>
      <c r="GZ580">
        <v>0</v>
      </c>
      <c r="HA580">
        <v>0</v>
      </c>
      <c r="HB580">
        <v>0</v>
      </c>
      <c r="HC580">
        <v>0</v>
      </c>
      <c r="HD580">
        <v>0</v>
      </c>
      <c r="HE580">
        <v>0</v>
      </c>
      <c r="HF580">
        <v>0</v>
      </c>
      <c r="HG580">
        <v>0</v>
      </c>
      <c r="HH580">
        <v>0</v>
      </c>
      <c r="HI580">
        <v>0</v>
      </c>
      <c r="HJ580">
        <v>0</v>
      </c>
      <c r="HK580">
        <v>0</v>
      </c>
      <c r="HL580">
        <v>0</v>
      </c>
      <c r="HM580">
        <v>0</v>
      </c>
      <c r="HN580">
        <v>0</v>
      </c>
      <c r="HO580">
        <v>0</v>
      </c>
      <c r="HP580">
        <v>0</v>
      </c>
      <c r="HQ580">
        <v>0</v>
      </c>
      <c r="HR580">
        <v>0</v>
      </c>
      <c r="HS580">
        <v>0</v>
      </c>
      <c r="HT580">
        <v>0</v>
      </c>
      <c r="HU580">
        <v>0</v>
      </c>
      <c r="HV580">
        <v>0</v>
      </c>
      <c r="HW580">
        <v>404.70000000000005</v>
      </c>
      <c r="HX580">
        <v>342.3</v>
      </c>
      <c r="HZ580">
        <v>866.2</v>
      </c>
      <c r="IA580">
        <v>1142.8</v>
      </c>
      <c r="IB580">
        <v>1121.5</v>
      </c>
      <c r="IC580">
        <v>2403</v>
      </c>
      <c r="ID580">
        <v>2659.3</v>
      </c>
      <c r="IE580">
        <v>1923.4</v>
      </c>
      <c r="IF580">
        <v>1465.7</v>
      </c>
      <c r="IG580">
        <v>1608.3</v>
      </c>
      <c r="IH580">
        <v>0</v>
      </c>
      <c r="II580">
        <v>0</v>
      </c>
      <c r="IJ580">
        <v>0</v>
      </c>
      <c r="IK580">
        <v>0</v>
      </c>
      <c r="IL580">
        <v>0</v>
      </c>
      <c r="IM580">
        <v>0</v>
      </c>
      <c r="IN580">
        <v>0</v>
      </c>
      <c r="IO580">
        <v>0</v>
      </c>
      <c r="IP580">
        <v>75.099999999999994</v>
      </c>
    </row>
    <row r="581" spans="1:250" ht="18.600000000000001" thickTop="1" thickBot="1">
      <c r="A581" s="181"/>
      <c r="B581" s="181" t="s">
        <v>945</v>
      </c>
      <c r="C581" s="330" t="s">
        <v>1040</v>
      </c>
      <c r="D581" s="395"/>
      <c r="E581" s="454">
        <v>0</v>
      </c>
      <c r="F581">
        <v>0</v>
      </c>
      <c r="G581" s="427">
        <v>0</v>
      </c>
      <c r="H581" s="155">
        <v>0</v>
      </c>
      <c r="I581">
        <v>0</v>
      </c>
      <c r="J581">
        <v>0</v>
      </c>
      <c r="K581">
        <v>0</v>
      </c>
      <c r="L581" s="4">
        <v>0</v>
      </c>
      <c r="M581" s="4">
        <v>0</v>
      </c>
      <c r="N581" s="4">
        <v>0</v>
      </c>
      <c r="O581" s="4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R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G581">
        <v>0</v>
      </c>
      <c r="BI581">
        <v>0</v>
      </c>
      <c r="BK581">
        <v>0</v>
      </c>
      <c r="BL581">
        <v>0</v>
      </c>
      <c r="BM581">
        <v>0</v>
      </c>
      <c r="BN581">
        <v>0</v>
      </c>
      <c r="BO581">
        <v>344.70000000000005</v>
      </c>
      <c r="BP581">
        <v>625.70000000000005</v>
      </c>
      <c r="BQ581">
        <v>912.2</v>
      </c>
      <c r="BR581">
        <v>237.7</v>
      </c>
      <c r="BS581">
        <v>0</v>
      </c>
      <c r="BT581">
        <v>0</v>
      </c>
      <c r="BU581">
        <v>0</v>
      </c>
      <c r="BV581">
        <v>0</v>
      </c>
      <c r="BW581">
        <v>1647.4</v>
      </c>
      <c r="BY581">
        <v>453.1</v>
      </c>
      <c r="CA581">
        <v>285.39999999999998</v>
      </c>
      <c r="CB581">
        <v>280.8</v>
      </c>
      <c r="CC581">
        <v>127.7</v>
      </c>
      <c r="CD581">
        <v>0</v>
      </c>
      <c r="CE581">
        <v>0</v>
      </c>
      <c r="CF581">
        <v>0</v>
      </c>
      <c r="CG581">
        <v>0</v>
      </c>
      <c r="CI581">
        <v>0</v>
      </c>
      <c r="CJ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621.70000000000005</v>
      </c>
      <c r="CR581">
        <v>481.70000000000005</v>
      </c>
      <c r="CS581">
        <v>0</v>
      </c>
      <c r="CT581">
        <v>524.6</v>
      </c>
      <c r="CU581">
        <v>514.1</v>
      </c>
      <c r="CV581">
        <v>175.2</v>
      </c>
      <c r="CW581">
        <v>0</v>
      </c>
      <c r="CX581">
        <v>65.099999999999994</v>
      </c>
      <c r="CY581">
        <v>199</v>
      </c>
      <c r="CZ581">
        <v>1907.9</v>
      </c>
      <c r="DA581">
        <v>0</v>
      </c>
      <c r="DB581">
        <v>0</v>
      </c>
      <c r="DC581">
        <v>0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1065.4000000000001</v>
      </c>
      <c r="DN581">
        <v>599.70000000000005</v>
      </c>
      <c r="DO581">
        <v>319.7</v>
      </c>
      <c r="DP581">
        <v>1570.6999999999998</v>
      </c>
      <c r="DQ581">
        <v>1399.5</v>
      </c>
      <c r="DR581">
        <v>3581</v>
      </c>
      <c r="DU581">
        <v>1393.2</v>
      </c>
      <c r="DV581">
        <v>2862.6</v>
      </c>
      <c r="DY581">
        <v>2361</v>
      </c>
      <c r="EA581">
        <v>2409.6</v>
      </c>
      <c r="EC581">
        <v>1661.3999999999999</v>
      </c>
      <c r="EE581">
        <v>0</v>
      </c>
      <c r="EF581">
        <v>0</v>
      </c>
      <c r="EG581">
        <v>0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944.5</v>
      </c>
      <c r="EQ581">
        <v>3459.7</v>
      </c>
      <c r="ER581">
        <v>1353.5</v>
      </c>
      <c r="ES581">
        <v>182.2</v>
      </c>
      <c r="ET581">
        <v>855.59999999999991</v>
      </c>
      <c r="EU581">
        <v>172.2</v>
      </c>
      <c r="EV581">
        <v>203.2</v>
      </c>
      <c r="EW581">
        <v>1173.0999999999999</v>
      </c>
      <c r="EX581">
        <v>1078.3</v>
      </c>
      <c r="EY581">
        <v>1194.4000000000001</v>
      </c>
      <c r="EZ581">
        <v>1207.0999999999999</v>
      </c>
      <c r="FA581">
        <v>0</v>
      </c>
      <c r="FB581">
        <v>0</v>
      </c>
      <c r="FC581">
        <v>0</v>
      </c>
      <c r="FD581">
        <v>0</v>
      </c>
      <c r="FE581">
        <v>0</v>
      </c>
      <c r="FF581">
        <v>0</v>
      </c>
      <c r="FG581">
        <v>0</v>
      </c>
      <c r="FH581">
        <v>0</v>
      </c>
      <c r="FI581">
        <v>0</v>
      </c>
      <c r="FJ581">
        <v>0</v>
      </c>
      <c r="FK581">
        <v>0</v>
      </c>
      <c r="FL581">
        <v>0</v>
      </c>
      <c r="FM581">
        <v>0</v>
      </c>
      <c r="FN581">
        <v>0</v>
      </c>
      <c r="FO581">
        <v>0</v>
      </c>
      <c r="FP581">
        <v>0</v>
      </c>
      <c r="FQ581">
        <v>0</v>
      </c>
      <c r="FR581">
        <v>0</v>
      </c>
      <c r="FS581">
        <v>0</v>
      </c>
      <c r="FT581">
        <v>0</v>
      </c>
      <c r="FU581">
        <v>0</v>
      </c>
      <c r="FV581">
        <v>0</v>
      </c>
      <c r="FW581">
        <v>0</v>
      </c>
      <c r="FX581">
        <v>0</v>
      </c>
      <c r="FY581">
        <v>0</v>
      </c>
      <c r="FZ581">
        <v>0</v>
      </c>
      <c r="GA581">
        <v>0</v>
      </c>
      <c r="GB581">
        <v>0</v>
      </c>
      <c r="GC581">
        <v>0</v>
      </c>
      <c r="GD581">
        <v>0</v>
      </c>
      <c r="GE581">
        <v>0</v>
      </c>
      <c r="GF581">
        <v>0</v>
      </c>
      <c r="GG581">
        <v>0</v>
      </c>
      <c r="GH581">
        <v>0</v>
      </c>
      <c r="GI581">
        <v>0</v>
      </c>
      <c r="GJ581">
        <v>0</v>
      </c>
      <c r="GK581">
        <v>0</v>
      </c>
      <c r="GL581">
        <v>0</v>
      </c>
      <c r="GO581">
        <v>0</v>
      </c>
      <c r="GP581">
        <v>0</v>
      </c>
      <c r="GQ581">
        <v>0</v>
      </c>
      <c r="GR581">
        <v>0</v>
      </c>
      <c r="GS581">
        <v>0</v>
      </c>
      <c r="GT581">
        <v>0</v>
      </c>
      <c r="GU581">
        <v>0</v>
      </c>
      <c r="GV581">
        <v>0</v>
      </c>
      <c r="GW581">
        <v>0</v>
      </c>
      <c r="GX581">
        <v>0</v>
      </c>
      <c r="GY581">
        <v>0</v>
      </c>
      <c r="GZ581">
        <v>0</v>
      </c>
      <c r="HA581">
        <v>0</v>
      </c>
      <c r="HB581">
        <v>0</v>
      </c>
      <c r="HC581">
        <v>0</v>
      </c>
      <c r="HD581">
        <v>0</v>
      </c>
      <c r="HE581">
        <v>0</v>
      </c>
      <c r="HF581">
        <v>0</v>
      </c>
      <c r="HG581">
        <v>0</v>
      </c>
      <c r="HH581">
        <v>0</v>
      </c>
      <c r="HI581">
        <v>0</v>
      </c>
      <c r="HJ581">
        <v>0</v>
      </c>
      <c r="HK581">
        <v>0</v>
      </c>
      <c r="HL581">
        <v>0</v>
      </c>
      <c r="HM581">
        <v>0</v>
      </c>
      <c r="HN581">
        <v>0</v>
      </c>
      <c r="HO581">
        <v>0</v>
      </c>
      <c r="HP581">
        <v>0</v>
      </c>
      <c r="HQ581">
        <v>0</v>
      </c>
      <c r="HR581">
        <v>0</v>
      </c>
      <c r="HS581">
        <v>0</v>
      </c>
      <c r="HT581">
        <v>0</v>
      </c>
      <c r="HU581">
        <v>0</v>
      </c>
      <c r="HV581">
        <v>0</v>
      </c>
      <c r="HW581">
        <v>404.70000000000005</v>
      </c>
      <c r="HX581">
        <v>342.3</v>
      </c>
      <c r="HZ581">
        <v>866.2</v>
      </c>
      <c r="IA581">
        <v>1142.8</v>
      </c>
      <c r="IB581">
        <v>1121.5</v>
      </c>
      <c r="IC581">
        <v>2403</v>
      </c>
      <c r="ID581">
        <v>2659.3</v>
      </c>
      <c r="IE581">
        <v>1923.4</v>
      </c>
      <c r="IF581">
        <v>1465.7</v>
      </c>
      <c r="IG581">
        <v>1608.3</v>
      </c>
      <c r="IH581">
        <v>0</v>
      </c>
      <c r="II581">
        <v>0</v>
      </c>
      <c r="IJ581">
        <v>0</v>
      </c>
      <c r="IK581">
        <v>0</v>
      </c>
      <c r="IL581">
        <v>0</v>
      </c>
      <c r="IM581">
        <v>0</v>
      </c>
      <c r="IN581">
        <v>0</v>
      </c>
      <c r="IO581">
        <v>0</v>
      </c>
      <c r="IP581">
        <v>75.099999999999994</v>
      </c>
    </row>
    <row r="582" spans="1:250" ht="18" thickBot="1">
      <c r="A582" s="570"/>
      <c r="B582" s="570" t="s">
        <v>541</v>
      </c>
      <c r="C582" s="554" t="s">
        <v>1041</v>
      </c>
      <c r="D582" s="557"/>
      <c r="E582" s="454">
        <v>0</v>
      </c>
      <c r="F582">
        <v>0</v>
      </c>
      <c r="G582" s="427">
        <v>0</v>
      </c>
      <c r="H582" s="155">
        <v>0</v>
      </c>
      <c r="I582">
        <v>0</v>
      </c>
      <c r="J582">
        <v>0</v>
      </c>
      <c r="K582">
        <v>0</v>
      </c>
      <c r="L582" s="4">
        <v>0</v>
      </c>
      <c r="M582" s="4">
        <v>0</v>
      </c>
      <c r="N582" s="4">
        <v>0</v>
      </c>
      <c r="O582" s="4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R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G582">
        <v>0</v>
      </c>
      <c r="BI582">
        <v>0</v>
      </c>
      <c r="BK582">
        <v>0</v>
      </c>
      <c r="BL582">
        <v>0</v>
      </c>
      <c r="BM582">
        <v>0</v>
      </c>
      <c r="BN582">
        <v>0</v>
      </c>
      <c r="BO582">
        <v>344.70000000000005</v>
      </c>
      <c r="BP582">
        <v>625.70000000000005</v>
      </c>
      <c r="BQ582">
        <v>912.2</v>
      </c>
      <c r="BR582">
        <v>237.7</v>
      </c>
      <c r="BS582">
        <v>0</v>
      </c>
      <c r="BT582">
        <v>0</v>
      </c>
      <c r="BU582">
        <v>0</v>
      </c>
      <c r="BV582">
        <v>0</v>
      </c>
      <c r="BW582">
        <v>1647.4</v>
      </c>
      <c r="BY582">
        <v>453.1</v>
      </c>
      <c r="CA582">
        <v>285.39999999999998</v>
      </c>
      <c r="CB582">
        <v>280.8</v>
      </c>
      <c r="CC582">
        <v>127.7</v>
      </c>
      <c r="CD582">
        <v>0</v>
      </c>
      <c r="CE582">
        <v>0</v>
      </c>
      <c r="CF582">
        <v>0</v>
      </c>
      <c r="CG582">
        <v>0</v>
      </c>
      <c r="CI582">
        <v>0</v>
      </c>
      <c r="CJ582">
        <v>0</v>
      </c>
      <c r="CL582">
        <v>0</v>
      </c>
      <c r="CM582">
        <v>0</v>
      </c>
      <c r="CN582">
        <v>0</v>
      </c>
      <c r="CO582">
        <v>0</v>
      </c>
      <c r="CP582">
        <v>0</v>
      </c>
      <c r="CQ582">
        <v>621.70000000000005</v>
      </c>
      <c r="CR582">
        <v>481.70000000000005</v>
      </c>
      <c r="CS582">
        <v>0</v>
      </c>
      <c r="CT582">
        <v>524.6</v>
      </c>
      <c r="CU582">
        <v>514.1</v>
      </c>
      <c r="CV582">
        <v>175.2</v>
      </c>
      <c r="CW582">
        <v>0</v>
      </c>
      <c r="CX582">
        <v>65.099999999999994</v>
      </c>
      <c r="CY582">
        <v>199</v>
      </c>
      <c r="CZ582">
        <v>1907.9</v>
      </c>
      <c r="DA582">
        <v>0</v>
      </c>
      <c r="DB582">
        <v>0</v>
      </c>
      <c r="DC582">
        <v>0</v>
      </c>
      <c r="DD582">
        <v>0</v>
      </c>
      <c r="DE582">
        <v>0</v>
      </c>
      <c r="DF582">
        <v>0</v>
      </c>
      <c r="DG582">
        <v>0</v>
      </c>
      <c r="DH582">
        <v>0</v>
      </c>
      <c r="DI582">
        <v>0</v>
      </c>
      <c r="DJ582">
        <v>0</v>
      </c>
      <c r="DK582">
        <v>0</v>
      </c>
      <c r="DL582">
        <v>0</v>
      </c>
      <c r="DM582">
        <v>1065.4000000000001</v>
      </c>
      <c r="DN582">
        <v>599.70000000000005</v>
      </c>
      <c r="DO582">
        <v>319.7</v>
      </c>
      <c r="DP582">
        <v>1570.6999999999998</v>
      </c>
      <c r="DQ582">
        <v>1399.5</v>
      </c>
      <c r="DR582">
        <v>3581</v>
      </c>
      <c r="DU582">
        <v>1393.2</v>
      </c>
      <c r="DV582">
        <v>2862.6</v>
      </c>
      <c r="DY582">
        <v>2361</v>
      </c>
      <c r="EA582">
        <v>2409.6</v>
      </c>
      <c r="EC582">
        <v>1661.3999999999999</v>
      </c>
      <c r="EE582">
        <v>0</v>
      </c>
      <c r="EF582">
        <v>0</v>
      </c>
      <c r="EG582">
        <v>0</v>
      </c>
      <c r="EH582">
        <v>0</v>
      </c>
      <c r="EI582">
        <v>0</v>
      </c>
      <c r="EJ582">
        <v>0</v>
      </c>
      <c r="EK582">
        <v>0</v>
      </c>
      <c r="EL582">
        <v>0</v>
      </c>
      <c r="EM582">
        <v>0</v>
      </c>
      <c r="EN582">
        <v>0</v>
      </c>
      <c r="EO582">
        <v>0</v>
      </c>
      <c r="EP582">
        <v>944.5</v>
      </c>
      <c r="EQ582">
        <v>3459.7</v>
      </c>
      <c r="ER582">
        <v>1353.5</v>
      </c>
      <c r="ES582">
        <v>182.2</v>
      </c>
      <c r="ET582">
        <v>855.59999999999991</v>
      </c>
      <c r="EU582">
        <v>172.2</v>
      </c>
      <c r="EV582">
        <v>203.2</v>
      </c>
      <c r="EW582">
        <v>1173.0999999999999</v>
      </c>
      <c r="EX582">
        <v>1078.3</v>
      </c>
      <c r="EY582">
        <v>1194.4000000000001</v>
      </c>
      <c r="EZ582">
        <v>1207.0999999999999</v>
      </c>
      <c r="FA582">
        <v>0</v>
      </c>
      <c r="FB582">
        <v>0</v>
      </c>
      <c r="FC582">
        <v>0</v>
      </c>
      <c r="FD582">
        <v>0</v>
      </c>
      <c r="FE582">
        <v>0</v>
      </c>
      <c r="FF582">
        <v>0</v>
      </c>
      <c r="FG582">
        <v>0</v>
      </c>
      <c r="FH582">
        <v>0</v>
      </c>
      <c r="FI582">
        <v>0</v>
      </c>
      <c r="FJ582">
        <v>0</v>
      </c>
      <c r="FK582">
        <v>0</v>
      </c>
      <c r="FL582">
        <v>0</v>
      </c>
      <c r="FM582">
        <v>0</v>
      </c>
      <c r="FN582">
        <v>0</v>
      </c>
      <c r="FO582">
        <v>0</v>
      </c>
      <c r="FP582">
        <v>0</v>
      </c>
      <c r="FQ582">
        <v>0</v>
      </c>
      <c r="FR582">
        <v>0</v>
      </c>
      <c r="FS582">
        <v>0</v>
      </c>
      <c r="FT582">
        <v>0</v>
      </c>
      <c r="FU582">
        <v>0</v>
      </c>
      <c r="FV582">
        <v>0</v>
      </c>
      <c r="FW582">
        <v>0</v>
      </c>
      <c r="FX582">
        <v>0</v>
      </c>
      <c r="FY582">
        <v>0</v>
      </c>
      <c r="FZ582">
        <v>0</v>
      </c>
      <c r="GA582">
        <v>0</v>
      </c>
      <c r="GB582">
        <v>0</v>
      </c>
      <c r="GC582">
        <v>0</v>
      </c>
      <c r="GD582">
        <v>0</v>
      </c>
      <c r="GE582">
        <v>0</v>
      </c>
      <c r="GF582">
        <v>0</v>
      </c>
      <c r="GG582">
        <v>0</v>
      </c>
      <c r="GH582">
        <v>0</v>
      </c>
      <c r="GI582">
        <v>0</v>
      </c>
      <c r="GJ582">
        <v>0</v>
      </c>
      <c r="GK582">
        <v>0</v>
      </c>
      <c r="GL582">
        <v>0</v>
      </c>
      <c r="GO582">
        <v>0</v>
      </c>
      <c r="GP582">
        <v>0</v>
      </c>
      <c r="GQ582">
        <v>0</v>
      </c>
      <c r="GR582">
        <v>0</v>
      </c>
      <c r="GS582">
        <v>0</v>
      </c>
      <c r="GT582">
        <v>0</v>
      </c>
      <c r="GU582">
        <v>0</v>
      </c>
      <c r="GV582">
        <v>0</v>
      </c>
      <c r="GW582">
        <v>0</v>
      </c>
      <c r="GX582">
        <v>0</v>
      </c>
      <c r="GY582">
        <v>0</v>
      </c>
      <c r="GZ582">
        <v>0</v>
      </c>
      <c r="HA582">
        <v>0</v>
      </c>
      <c r="HB582">
        <v>0</v>
      </c>
      <c r="HC582">
        <v>0</v>
      </c>
      <c r="HD582">
        <v>0</v>
      </c>
      <c r="HE582">
        <v>0</v>
      </c>
      <c r="HF582">
        <v>0</v>
      </c>
      <c r="HG582">
        <v>0</v>
      </c>
      <c r="HH582">
        <v>0</v>
      </c>
      <c r="HI582">
        <v>0</v>
      </c>
      <c r="HJ582">
        <v>0</v>
      </c>
      <c r="HK582">
        <v>0</v>
      </c>
      <c r="HL582">
        <v>0</v>
      </c>
      <c r="HM582">
        <v>0</v>
      </c>
      <c r="HN582">
        <v>0</v>
      </c>
      <c r="HO582">
        <v>0</v>
      </c>
      <c r="HP582">
        <v>0</v>
      </c>
      <c r="HQ582">
        <v>0</v>
      </c>
      <c r="HR582">
        <v>0</v>
      </c>
      <c r="HS582">
        <v>0</v>
      </c>
      <c r="HT582">
        <v>0</v>
      </c>
      <c r="HU582">
        <v>0</v>
      </c>
      <c r="HV582">
        <v>0</v>
      </c>
      <c r="HW582">
        <v>404.70000000000005</v>
      </c>
      <c r="HX582">
        <v>342.3</v>
      </c>
      <c r="HZ582">
        <v>866.2</v>
      </c>
      <c r="IA582">
        <v>1142.8</v>
      </c>
      <c r="IB582">
        <v>1121.5</v>
      </c>
      <c r="IC582">
        <v>2403</v>
      </c>
      <c r="ID582">
        <v>2659.3</v>
      </c>
      <c r="IE582">
        <v>1923.4</v>
      </c>
      <c r="IF582">
        <v>1465.7</v>
      </c>
      <c r="IG582">
        <v>1608.3</v>
      </c>
      <c r="IH582">
        <v>0</v>
      </c>
      <c r="II582">
        <v>0</v>
      </c>
      <c r="IJ582">
        <v>0</v>
      </c>
      <c r="IK582">
        <v>0</v>
      </c>
      <c r="IL582">
        <v>0</v>
      </c>
      <c r="IM582">
        <v>0</v>
      </c>
      <c r="IN582">
        <v>0</v>
      </c>
      <c r="IO582">
        <v>0</v>
      </c>
      <c r="IP582">
        <v>75.099999999999994</v>
      </c>
    </row>
    <row r="583" spans="1:250" ht="18" thickBot="1">
      <c r="A583" s="570"/>
      <c r="B583" s="570"/>
      <c r="C583" s="554"/>
      <c r="D583" s="557"/>
      <c r="E583" s="454">
        <v>0</v>
      </c>
      <c r="F583">
        <v>0</v>
      </c>
      <c r="G583" s="427">
        <v>0</v>
      </c>
      <c r="H583" s="155">
        <v>0</v>
      </c>
      <c r="I583">
        <v>0</v>
      </c>
      <c r="J583">
        <v>0</v>
      </c>
      <c r="K583">
        <v>0</v>
      </c>
      <c r="L583" s="4">
        <v>0</v>
      </c>
      <c r="M583" s="4">
        <v>0</v>
      </c>
      <c r="N583" s="4">
        <v>0</v>
      </c>
      <c r="O583" s="4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R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G583">
        <v>0</v>
      </c>
      <c r="BI583">
        <v>0</v>
      </c>
      <c r="BK583">
        <v>0</v>
      </c>
      <c r="BL583">
        <v>0</v>
      </c>
      <c r="BM583">
        <v>0</v>
      </c>
      <c r="BN583">
        <v>0</v>
      </c>
      <c r="BO583">
        <v>344.70000000000005</v>
      </c>
      <c r="BP583">
        <v>625.70000000000005</v>
      </c>
      <c r="BQ583">
        <v>912.2</v>
      </c>
      <c r="BR583">
        <v>237.7</v>
      </c>
      <c r="BS583">
        <v>0</v>
      </c>
      <c r="BT583">
        <v>0</v>
      </c>
      <c r="BU583">
        <v>0</v>
      </c>
      <c r="BV583">
        <v>0</v>
      </c>
      <c r="BW583">
        <v>1647.4</v>
      </c>
      <c r="BY583">
        <v>453.1</v>
      </c>
      <c r="CA583">
        <v>285.39999999999998</v>
      </c>
      <c r="CB583">
        <v>280.8</v>
      </c>
      <c r="CC583">
        <v>127.7</v>
      </c>
      <c r="CD583">
        <v>0</v>
      </c>
      <c r="CE583">
        <v>0</v>
      </c>
      <c r="CF583">
        <v>0</v>
      </c>
      <c r="CG583">
        <v>0</v>
      </c>
      <c r="CI583">
        <v>0</v>
      </c>
      <c r="CJ583">
        <v>0</v>
      </c>
      <c r="CL583">
        <v>0</v>
      </c>
      <c r="CM583">
        <v>0</v>
      </c>
      <c r="CN583">
        <v>0</v>
      </c>
      <c r="CO583">
        <v>0</v>
      </c>
      <c r="CP583">
        <v>0</v>
      </c>
      <c r="CQ583">
        <v>621.70000000000005</v>
      </c>
      <c r="CR583">
        <v>481.70000000000005</v>
      </c>
      <c r="CS583">
        <v>0</v>
      </c>
      <c r="CT583">
        <v>524.6</v>
      </c>
      <c r="CU583">
        <v>514.1</v>
      </c>
      <c r="CV583">
        <v>175.2</v>
      </c>
      <c r="CW583">
        <v>0</v>
      </c>
      <c r="CX583">
        <v>65.099999999999994</v>
      </c>
      <c r="CY583">
        <v>199</v>
      </c>
      <c r="CZ583">
        <v>1907.9</v>
      </c>
      <c r="DA583">
        <v>0</v>
      </c>
      <c r="DB583">
        <v>0</v>
      </c>
      <c r="DC583">
        <v>0</v>
      </c>
      <c r="DD583">
        <v>0</v>
      </c>
      <c r="DE583">
        <v>0</v>
      </c>
      <c r="DF583">
        <v>0</v>
      </c>
      <c r="DG583">
        <v>0</v>
      </c>
      <c r="DH583">
        <v>0</v>
      </c>
      <c r="DI583">
        <v>0</v>
      </c>
      <c r="DJ583">
        <v>0</v>
      </c>
      <c r="DK583">
        <v>0</v>
      </c>
      <c r="DL583">
        <v>0</v>
      </c>
      <c r="DM583">
        <v>1065.4000000000001</v>
      </c>
      <c r="DN583">
        <v>599.70000000000005</v>
      </c>
      <c r="DO583">
        <v>319.7</v>
      </c>
      <c r="DP583">
        <v>1570.6999999999998</v>
      </c>
      <c r="DQ583">
        <v>1399.5</v>
      </c>
      <c r="DR583">
        <v>3581</v>
      </c>
      <c r="DU583">
        <v>1393.2</v>
      </c>
      <c r="DV583">
        <v>2862.6</v>
      </c>
      <c r="DY583">
        <v>2361</v>
      </c>
      <c r="EA583">
        <v>2409.6</v>
      </c>
      <c r="EC583">
        <v>1661.3999999999999</v>
      </c>
      <c r="EE583">
        <v>0</v>
      </c>
      <c r="EF583">
        <v>0</v>
      </c>
      <c r="EG583">
        <v>0</v>
      </c>
      <c r="EH583">
        <v>0</v>
      </c>
      <c r="EI583">
        <v>0</v>
      </c>
      <c r="EJ583">
        <v>0</v>
      </c>
      <c r="EK583">
        <v>0</v>
      </c>
      <c r="EL583">
        <v>0</v>
      </c>
      <c r="EM583">
        <v>0</v>
      </c>
      <c r="EN583">
        <v>0</v>
      </c>
      <c r="EO583">
        <v>0</v>
      </c>
      <c r="EP583">
        <v>944.5</v>
      </c>
      <c r="EQ583">
        <v>3459.7</v>
      </c>
      <c r="ER583">
        <v>1353.5</v>
      </c>
      <c r="ES583">
        <v>182.2</v>
      </c>
      <c r="ET583">
        <v>855.59999999999991</v>
      </c>
      <c r="EU583">
        <v>172.2</v>
      </c>
      <c r="EV583">
        <v>203.2</v>
      </c>
      <c r="EW583">
        <v>1173.0999999999999</v>
      </c>
      <c r="EX583">
        <v>1078.3</v>
      </c>
      <c r="EY583">
        <v>1194.4000000000001</v>
      </c>
      <c r="EZ583">
        <v>1207.0999999999999</v>
      </c>
      <c r="FA583">
        <v>0</v>
      </c>
      <c r="FB583">
        <v>0</v>
      </c>
      <c r="FC583">
        <v>0</v>
      </c>
      <c r="FD583">
        <v>0</v>
      </c>
      <c r="FE583">
        <v>0</v>
      </c>
      <c r="FF583">
        <v>0</v>
      </c>
      <c r="FG583">
        <v>0</v>
      </c>
      <c r="FH583">
        <v>0</v>
      </c>
      <c r="FI583">
        <v>0</v>
      </c>
      <c r="FJ583">
        <v>0</v>
      </c>
      <c r="FK583">
        <v>0</v>
      </c>
      <c r="FL583">
        <v>0</v>
      </c>
      <c r="FM583">
        <v>0</v>
      </c>
      <c r="FN583">
        <v>0</v>
      </c>
      <c r="FO583">
        <v>0</v>
      </c>
      <c r="FP583">
        <v>0</v>
      </c>
      <c r="FQ583">
        <v>0</v>
      </c>
      <c r="FR583">
        <v>0</v>
      </c>
      <c r="FS583">
        <v>0</v>
      </c>
      <c r="FT583">
        <v>0</v>
      </c>
      <c r="FU583">
        <v>0</v>
      </c>
      <c r="FV583">
        <v>0</v>
      </c>
      <c r="FW583">
        <v>0</v>
      </c>
      <c r="FX583">
        <v>0</v>
      </c>
      <c r="FY583">
        <v>0</v>
      </c>
      <c r="FZ583">
        <v>0</v>
      </c>
      <c r="GA583">
        <v>0</v>
      </c>
      <c r="GB583">
        <v>0</v>
      </c>
      <c r="GC583">
        <v>0</v>
      </c>
      <c r="GD583">
        <v>0</v>
      </c>
      <c r="GE583">
        <v>0</v>
      </c>
      <c r="GF583">
        <v>0</v>
      </c>
      <c r="GG583">
        <v>0</v>
      </c>
      <c r="GH583">
        <v>0</v>
      </c>
      <c r="GI583">
        <v>0</v>
      </c>
      <c r="GJ583">
        <v>0</v>
      </c>
      <c r="GK583">
        <v>0</v>
      </c>
      <c r="GL583">
        <v>0</v>
      </c>
      <c r="GO583">
        <v>0</v>
      </c>
      <c r="GP583">
        <v>0</v>
      </c>
      <c r="GQ583">
        <v>0</v>
      </c>
      <c r="GR583">
        <v>0</v>
      </c>
      <c r="GS583">
        <v>0</v>
      </c>
      <c r="GT583">
        <v>0</v>
      </c>
      <c r="GU583">
        <v>0</v>
      </c>
      <c r="GV583">
        <v>0</v>
      </c>
      <c r="GW583">
        <v>0</v>
      </c>
      <c r="GX583">
        <v>0</v>
      </c>
      <c r="GY583">
        <v>0</v>
      </c>
      <c r="GZ583">
        <v>0</v>
      </c>
      <c r="HA583">
        <v>0</v>
      </c>
      <c r="HB583">
        <v>0</v>
      </c>
      <c r="HC583">
        <v>0</v>
      </c>
      <c r="HD583">
        <v>0</v>
      </c>
      <c r="HE583">
        <v>0</v>
      </c>
      <c r="HF583">
        <v>0</v>
      </c>
      <c r="HG583">
        <v>0</v>
      </c>
      <c r="HH583">
        <v>0</v>
      </c>
      <c r="HI583">
        <v>0</v>
      </c>
      <c r="HJ583">
        <v>0</v>
      </c>
      <c r="HK583">
        <v>0</v>
      </c>
      <c r="HL583">
        <v>0</v>
      </c>
      <c r="HM583">
        <v>0</v>
      </c>
      <c r="HN583">
        <v>0</v>
      </c>
      <c r="HO583">
        <v>0</v>
      </c>
      <c r="HP583">
        <v>0</v>
      </c>
      <c r="HQ583">
        <v>0</v>
      </c>
      <c r="HR583">
        <v>0</v>
      </c>
      <c r="HS583">
        <v>0</v>
      </c>
      <c r="HT583">
        <v>0</v>
      </c>
      <c r="HU583">
        <v>0</v>
      </c>
      <c r="HV583">
        <v>0</v>
      </c>
      <c r="HW583">
        <v>404.70000000000005</v>
      </c>
      <c r="HX583">
        <v>342.3</v>
      </c>
      <c r="HZ583">
        <v>866.2</v>
      </c>
      <c r="IA583">
        <v>1142.8</v>
      </c>
      <c r="IB583">
        <v>1121.5</v>
      </c>
      <c r="IC583">
        <v>2403</v>
      </c>
      <c r="ID583">
        <v>2659.3</v>
      </c>
      <c r="IE583">
        <v>1923.4</v>
      </c>
      <c r="IF583">
        <v>1465.7</v>
      </c>
      <c r="IG583">
        <v>1608.3</v>
      </c>
      <c r="IH583">
        <v>0</v>
      </c>
      <c r="II583">
        <v>0</v>
      </c>
      <c r="IJ583">
        <v>0</v>
      </c>
      <c r="IK583">
        <v>0</v>
      </c>
      <c r="IL583">
        <v>0</v>
      </c>
      <c r="IM583">
        <v>0</v>
      </c>
      <c r="IN583">
        <v>0</v>
      </c>
      <c r="IO583">
        <v>0</v>
      </c>
      <c r="IP583">
        <v>75.099999999999994</v>
      </c>
    </row>
    <row r="584" spans="1:250" ht="18" thickBot="1">
      <c r="A584" s="570"/>
      <c r="B584" s="570" t="s">
        <v>542</v>
      </c>
      <c r="C584" s="554" t="s">
        <v>1042</v>
      </c>
      <c r="D584" s="557"/>
      <c r="E584" s="454">
        <v>0</v>
      </c>
      <c r="F584">
        <v>0</v>
      </c>
      <c r="G584" s="427">
        <v>0</v>
      </c>
      <c r="H584" s="155">
        <v>0</v>
      </c>
      <c r="I584">
        <v>0</v>
      </c>
      <c r="J584">
        <v>0</v>
      </c>
      <c r="K584">
        <v>0</v>
      </c>
      <c r="L584" s="4">
        <v>0</v>
      </c>
      <c r="M584" s="4">
        <v>0</v>
      </c>
      <c r="N584" s="4">
        <v>0</v>
      </c>
      <c r="O584" s="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R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G584">
        <v>0</v>
      </c>
      <c r="BI584">
        <v>0</v>
      </c>
      <c r="BK584">
        <v>0</v>
      </c>
      <c r="BL584">
        <v>0</v>
      </c>
      <c r="BM584">
        <v>0</v>
      </c>
      <c r="BN584">
        <v>0</v>
      </c>
      <c r="BO584">
        <v>344.70000000000005</v>
      </c>
      <c r="BP584">
        <v>625.70000000000005</v>
      </c>
      <c r="BQ584">
        <v>912.2</v>
      </c>
      <c r="BR584">
        <v>237.7</v>
      </c>
      <c r="BS584">
        <v>0</v>
      </c>
      <c r="BT584">
        <v>0</v>
      </c>
      <c r="BU584">
        <v>0</v>
      </c>
      <c r="BV584">
        <v>0</v>
      </c>
      <c r="BW584">
        <v>1647.4</v>
      </c>
      <c r="BY584">
        <v>453.1</v>
      </c>
      <c r="CA584">
        <v>285.39999999999998</v>
      </c>
      <c r="CB584">
        <v>280.8</v>
      </c>
      <c r="CC584">
        <v>127.7</v>
      </c>
      <c r="CD584">
        <v>0</v>
      </c>
      <c r="CE584">
        <v>0</v>
      </c>
      <c r="CF584">
        <v>0</v>
      </c>
      <c r="CG584">
        <v>0</v>
      </c>
      <c r="CI584">
        <v>0</v>
      </c>
      <c r="CJ584">
        <v>0</v>
      </c>
      <c r="CL584">
        <v>0</v>
      </c>
      <c r="CM584">
        <v>0</v>
      </c>
      <c r="CN584">
        <v>0</v>
      </c>
      <c r="CO584">
        <v>0</v>
      </c>
      <c r="CP584">
        <v>0</v>
      </c>
      <c r="CQ584">
        <v>621.70000000000005</v>
      </c>
      <c r="CR584">
        <v>481.70000000000005</v>
      </c>
      <c r="CS584">
        <v>0</v>
      </c>
      <c r="CT584">
        <v>524.6</v>
      </c>
      <c r="CU584">
        <v>514.1</v>
      </c>
      <c r="CV584">
        <v>175.2</v>
      </c>
      <c r="CW584">
        <v>0</v>
      </c>
      <c r="CX584">
        <v>65.099999999999994</v>
      </c>
      <c r="CY584">
        <v>199</v>
      </c>
      <c r="CZ584">
        <v>1907.9</v>
      </c>
      <c r="DA584">
        <v>0</v>
      </c>
      <c r="DB584">
        <v>0</v>
      </c>
      <c r="DC584">
        <v>0</v>
      </c>
      <c r="DD584">
        <v>0</v>
      </c>
      <c r="DE584">
        <v>0</v>
      </c>
      <c r="DF584">
        <v>0</v>
      </c>
      <c r="DG584">
        <v>0</v>
      </c>
      <c r="DH584">
        <v>0</v>
      </c>
      <c r="DI584">
        <v>0</v>
      </c>
      <c r="DJ584">
        <v>0</v>
      </c>
      <c r="DK584">
        <v>0</v>
      </c>
      <c r="DL584">
        <v>0</v>
      </c>
      <c r="DM584">
        <v>1065.4000000000001</v>
      </c>
      <c r="DN584">
        <v>599.70000000000005</v>
      </c>
      <c r="DO584">
        <v>319.7</v>
      </c>
      <c r="DP584">
        <v>1570.6999999999998</v>
      </c>
      <c r="DQ584">
        <v>1399.5</v>
      </c>
      <c r="DR584">
        <v>3581</v>
      </c>
      <c r="DU584">
        <v>1393.2</v>
      </c>
      <c r="DV584">
        <v>2862.6</v>
      </c>
      <c r="DY584">
        <v>2361</v>
      </c>
      <c r="EA584">
        <v>2409.6</v>
      </c>
      <c r="EC584">
        <v>1661.3999999999999</v>
      </c>
      <c r="EE584">
        <v>0</v>
      </c>
      <c r="EF584">
        <v>0</v>
      </c>
      <c r="EG584">
        <v>0</v>
      </c>
      <c r="EH584">
        <v>0</v>
      </c>
      <c r="EI584">
        <v>0</v>
      </c>
      <c r="EJ584">
        <v>0</v>
      </c>
      <c r="EK584">
        <v>0</v>
      </c>
      <c r="EL584">
        <v>0</v>
      </c>
      <c r="EM584">
        <v>0</v>
      </c>
      <c r="EN584">
        <v>0</v>
      </c>
      <c r="EO584">
        <v>0</v>
      </c>
      <c r="EP584">
        <v>944.5</v>
      </c>
      <c r="EQ584">
        <v>3459.7</v>
      </c>
      <c r="ER584">
        <v>1353.5</v>
      </c>
      <c r="ES584">
        <v>182.2</v>
      </c>
      <c r="ET584">
        <v>855.59999999999991</v>
      </c>
      <c r="EU584">
        <v>172.2</v>
      </c>
      <c r="EV584">
        <v>203.2</v>
      </c>
      <c r="EW584">
        <v>1173.0999999999999</v>
      </c>
      <c r="EX584">
        <v>1078.3</v>
      </c>
      <c r="EY584">
        <v>1194.4000000000001</v>
      </c>
      <c r="EZ584">
        <v>1207.0999999999999</v>
      </c>
      <c r="FA584">
        <v>0</v>
      </c>
      <c r="FB584">
        <v>0</v>
      </c>
      <c r="FC584">
        <v>0</v>
      </c>
      <c r="FD584">
        <v>0</v>
      </c>
      <c r="FE584">
        <v>0</v>
      </c>
      <c r="FF584">
        <v>0</v>
      </c>
      <c r="FG584">
        <v>0</v>
      </c>
      <c r="FH584">
        <v>0</v>
      </c>
      <c r="FI584">
        <v>0</v>
      </c>
      <c r="FJ584">
        <v>0</v>
      </c>
      <c r="FK584">
        <v>0</v>
      </c>
      <c r="FL584">
        <v>0</v>
      </c>
      <c r="FM584">
        <v>0</v>
      </c>
      <c r="FN584">
        <v>0</v>
      </c>
      <c r="FO584">
        <v>0</v>
      </c>
      <c r="FP584">
        <v>0</v>
      </c>
      <c r="FQ584">
        <v>0</v>
      </c>
      <c r="FR584">
        <v>0</v>
      </c>
      <c r="FS584">
        <v>0</v>
      </c>
      <c r="FT584">
        <v>0</v>
      </c>
      <c r="FU584">
        <v>0</v>
      </c>
      <c r="FV584">
        <v>0</v>
      </c>
      <c r="FW584">
        <v>0</v>
      </c>
      <c r="FX584">
        <v>0</v>
      </c>
      <c r="FY584">
        <v>0</v>
      </c>
      <c r="FZ584">
        <v>0</v>
      </c>
      <c r="GA584">
        <v>0</v>
      </c>
      <c r="GB584">
        <v>0</v>
      </c>
      <c r="GC584">
        <v>0</v>
      </c>
      <c r="GD584">
        <v>0</v>
      </c>
      <c r="GE584">
        <v>0</v>
      </c>
      <c r="GF584">
        <v>0</v>
      </c>
      <c r="GG584">
        <v>0</v>
      </c>
      <c r="GH584">
        <v>0</v>
      </c>
      <c r="GI584">
        <v>0</v>
      </c>
      <c r="GJ584">
        <v>0</v>
      </c>
      <c r="GK584">
        <v>0</v>
      </c>
      <c r="GL584">
        <v>0</v>
      </c>
      <c r="GO584">
        <v>0</v>
      </c>
      <c r="GP584">
        <v>0</v>
      </c>
      <c r="GQ584">
        <v>0</v>
      </c>
      <c r="GR584">
        <v>0</v>
      </c>
      <c r="GS584">
        <v>0</v>
      </c>
      <c r="GT584">
        <v>0</v>
      </c>
      <c r="GU584">
        <v>0</v>
      </c>
      <c r="GV584">
        <v>0</v>
      </c>
      <c r="GW584">
        <v>0</v>
      </c>
      <c r="GX584">
        <v>0</v>
      </c>
      <c r="GY584">
        <v>0</v>
      </c>
      <c r="GZ584">
        <v>0</v>
      </c>
      <c r="HA584">
        <v>0</v>
      </c>
      <c r="HB584">
        <v>0</v>
      </c>
      <c r="HC584">
        <v>0</v>
      </c>
      <c r="HD584">
        <v>0</v>
      </c>
      <c r="HE584">
        <v>0</v>
      </c>
      <c r="HF584">
        <v>0</v>
      </c>
      <c r="HG584">
        <v>0</v>
      </c>
      <c r="HH584">
        <v>0</v>
      </c>
      <c r="HI584">
        <v>0</v>
      </c>
      <c r="HJ584">
        <v>0</v>
      </c>
      <c r="HK584">
        <v>0</v>
      </c>
      <c r="HL584">
        <v>0</v>
      </c>
      <c r="HM584">
        <v>0</v>
      </c>
      <c r="HN584">
        <v>0</v>
      </c>
      <c r="HO584">
        <v>0</v>
      </c>
      <c r="HP584">
        <v>0</v>
      </c>
      <c r="HQ584">
        <v>0</v>
      </c>
      <c r="HR584">
        <v>0</v>
      </c>
      <c r="HS584">
        <v>0</v>
      </c>
      <c r="HT584">
        <v>0</v>
      </c>
      <c r="HU584">
        <v>0</v>
      </c>
      <c r="HV584">
        <v>0</v>
      </c>
      <c r="HW584">
        <v>404.70000000000005</v>
      </c>
      <c r="HX584">
        <v>342.3</v>
      </c>
      <c r="HZ584">
        <v>866.2</v>
      </c>
      <c r="IA584">
        <v>1142.8</v>
      </c>
      <c r="IB584">
        <v>1121.5</v>
      </c>
      <c r="IC584">
        <v>2403</v>
      </c>
      <c r="ID584">
        <v>2659.3</v>
      </c>
      <c r="IE584">
        <v>1923.4</v>
      </c>
      <c r="IF584">
        <v>1465.7</v>
      </c>
      <c r="IG584">
        <v>1608.3</v>
      </c>
      <c r="IH584">
        <v>0</v>
      </c>
      <c r="II584">
        <v>0</v>
      </c>
      <c r="IJ584">
        <v>0</v>
      </c>
      <c r="IK584">
        <v>0</v>
      </c>
      <c r="IL584">
        <v>0</v>
      </c>
      <c r="IM584">
        <v>0</v>
      </c>
      <c r="IN584">
        <v>0</v>
      </c>
      <c r="IO584">
        <v>0</v>
      </c>
      <c r="IP584">
        <v>75.099999999999994</v>
      </c>
    </row>
    <row r="585" spans="1:250" ht="18" thickBot="1">
      <c r="A585" s="570"/>
      <c r="B585" s="570"/>
      <c r="C585" s="554"/>
      <c r="D585" s="557"/>
      <c r="E585" s="454">
        <v>0</v>
      </c>
      <c r="F585">
        <v>0</v>
      </c>
      <c r="G585" s="427">
        <v>0</v>
      </c>
      <c r="H585" s="155">
        <v>0</v>
      </c>
      <c r="I585">
        <v>0</v>
      </c>
      <c r="J585">
        <v>0</v>
      </c>
      <c r="K585">
        <v>0</v>
      </c>
      <c r="L585" s="4">
        <v>0</v>
      </c>
      <c r="M585" s="4">
        <v>0</v>
      </c>
      <c r="N585" s="4">
        <v>0</v>
      </c>
      <c r="O585" s="4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R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G585">
        <v>0</v>
      </c>
      <c r="BI585">
        <v>0</v>
      </c>
      <c r="BK585">
        <v>0</v>
      </c>
      <c r="BL585">
        <v>0</v>
      </c>
      <c r="BM585">
        <v>0</v>
      </c>
      <c r="BN585">
        <v>0</v>
      </c>
      <c r="BO585">
        <v>344.70000000000005</v>
      </c>
      <c r="BP585">
        <v>625.70000000000005</v>
      </c>
      <c r="BQ585">
        <v>912.2</v>
      </c>
      <c r="BR585">
        <v>237.7</v>
      </c>
      <c r="BS585">
        <v>0</v>
      </c>
      <c r="BT585">
        <v>0</v>
      </c>
      <c r="BU585">
        <v>0</v>
      </c>
      <c r="BV585">
        <v>0</v>
      </c>
      <c r="BW585">
        <v>1647.4</v>
      </c>
      <c r="BY585">
        <v>453.1</v>
      </c>
      <c r="CA585">
        <v>285.39999999999998</v>
      </c>
      <c r="CB585">
        <v>280.8</v>
      </c>
      <c r="CC585">
        <v>127.7</v>
      </c>
      <c r="CD585">
        <v>0</v>
      </c>
      <c r="CE585">
        <v>0</v>
      </c>
      <c r="CF585">
        <v>0</v>
      </c>
      <c r="CG585">
        <v>0</v>
      </c>
      <c r="CI585">
        <v>0</v>
      </c>
      <c r="CJ585">
        <v>0</v>
      </c>
      <c r="CL585">
        <v>0</v>
      </c>
      <c r="CM585">
        <v>0</v>
      </c>
      <c r="CN585">
        <v>0</v>
      </c>
      <c r="CO585">
        <v>0</v>
      </c>
      <c r="CP585">
        <v>0</v>
      </c>
      <c r="CQ585">
        <v>621.70000000000005</v>
      </c>
      <c r="CR585">
        <v>481.70000000000005</v>
      </c>
      <c r="CS585">
        <v>0</v>
      </c>
      <c r="CT585">
        <v>524.6</v>
      </c>
      <c r="CU585">
        <v>514.1</v>
      </c>
      <c r="CV585">
        <v>175.2</v>
      </c>
      <c r="CW585">
        <v>0</v>
      </c>
      <c r="CX585">
        <v>65.099999999999994</v>
      </c>
      <c r="CY585">
        <v>199</v>
      </c>
      <c r="CZ585">
        <v>1907.9</v>
      </c>
      <c r="DA585">
        <v>0</v>
      </c>
      <c r="DB585">
        <v>0</v>
      </c>
      <c r="DC585">
        <v>0</v>
      </c>
      <c r="DD585">
        <v>0</v>
      </c>
      <c r="DE585">
        <v>0</v>
      </c>
      <c r="DF585">
        <v>0</v>
      </c>
      <c r="DG585">
        <v>0</v>
      </c>
      <c r="DH585">
        <v>0</v>
      </c>
      <c r="DI585">
        <v>0</v>
      </c>
      <c r="DJ585">
        <v>0</v>
      </c>
      <c r="DK585">
        <v>0</v>
      </c>
      <c r="DL585">
        <v>0</v>
      </c>
      <c r="DM585">
        <v>1065.4000000000001</v>
      </c>
      <c r="DN585">
        <v>599.70000000000005</v>
      </c>
      <c r="DO585">
        <v>319.7</v>
      </c>
      <c r="DP585">
        <v>1570.6999999999998</v>
      </c>
      <c r="DQ585">
        <v>1399.5</v>
      </c>
      <c r="DR585">
        <v>3581</v>
      </c>
      <c r="DU585">
        <v>1393.2</v>
      </c>
      <c r="DV585">
        <v>2862.6</v>
      </c>
      <c r="DY585">
        <v>2361</v>
      </c>
      <c r="EA585">
        <v>2409.6</v>
      </c>
      <c r="EC585">
        <v>1661.3999999999999</v>
      </c>
      <c r="EE585">
        <v>0</v>
      </c>
      <c r="EF585">
        <v>0</v>
      </c>
      <c r="EG585">
        <v>0</v>
      </c>
      <c r="EH585">
        <v>0</v>
      </c>
      <c r="EI585">
        <v>0</v>
      </c>
      <c r="EJ585">
        <v>0</v>
      </c>
      <c r="EK585">
        <v>0</v>
      </c>
      <c r="EL585">
        <v>0</v>
      </c>
      <c r="EM585">
        <v>0</v>
      </c>
      <c r="EN585">
        <v>0</v>
      </c>
      <c r="EO585">
        <v>0</v>
      </c>
      <c r="EP585">
        <v>944.5</v>
      </c>
      <c r="EQ585">
        <v>3459.7</v>
      </c>
      <c r="ER585">
        <v>1353.5</v>
      </c>
      <c r="ES585">
        <v>182.2</v>
      </c>
      <c r="ET585">
        <v>855.59999999999991</v>
      </c>
      <c r="EU585">
        <v>172.2</v>
      </c>
      <c r="EV585">
        <v>203.2</v>
      </c>
      <c r="EW585">
        <v>1173.0999999999999</v>
      </c>
      <c r="EX585">
        <v>1078.3</v>
      </c>
      <c r="EY585">
        <v>1194.4000000000001</v>
      </c>
      <c r="EZ585">
        <v>1207.0999999999999</v>
      </c>
      <c r="FA585">
        <v>0</v>
      </c>
      <c r="FB585">
        <v>0</v>
      </c>
      <c r="FC585">
        <v>0</v>
      </c>
      <c r="FD585">
        <v>0</v>
      </c>
      <c r="FE585">
        <v>0</v>
      </c>
      <c r="FF585">
        <v>0</v>
      </c>
      <c r="FG585">
        <v>0</v>
      </c>
      <c r="FH585">
        <v>0</v>
      </c>
      <c r="FI585">
        <v>0</v>
      </c>
      <c r="FJ585">
        <v>0</v>
      </c>
      <c r="FK585">
        <v>0</v>
      </c>
      <c r="FL585">
        <v>0</v>
      </c>
      <c r="FM585">
        <v>0</v>
      </c>
      <c r="FN585">
        <v>0</v>
      </c>
      <c r="FO585">
        <v>0</v>
      </c>
      <c r="FP585">
        <v>0</v>
      </c>
      <c r="FQ585">
        <v>0</v>
      </c>
      <c r="FR585">
        <v>0</v>
      </c>
      <c r="FS585">
        <v>0</v>
      </c>
      <c r="FT585">
        <v>0</v>
      </c>
      <c r="FU585">
        <v>0</v>
      </c>
      <c r="FV585">
        <v>0</v>
      </c>
      <c r="FW585">
        <v>0</v>
      </c>
      <c r="FX585">
        <v>0</v>
      </c>
      <c r="FY585">
        <v>0</v>
      </c>
      <c r="FZ585">
        <v>0</v>
      </c>
      <c r="GA585">
        <v>0</v>
      </c>
      <c r="GB585">
        <v>0</v>
      </c>
      <c r="GC585">
        <v>0</v>
      </c>
      <c r="GD585">
        <v>0</v>
      </c>
      <c r="GE585">
        <v>0</v>
      </c>
      <c r="GF585">
        <v>0</v>
      </c>
      <c r="GG585">
        <v>0</v>
      </c>
      <c r="GH585">
        <v>0</v>
      </c>
      <c r="GI585">
        <v>0</v>
      </c>
      <c r="GJ585">
        <v>0</v>
      </c>
      <c r="GK585">
        <v>0</v>
      </c>
      <c r="GL585">
        <v>0</v>
      </c>
      <c r="GO585">
        <v>0</v>
      </c>
      <c r="GP585">
        <v>0</v>
      </c>
      <c r="GQ585">
        <v>0</v>
      </c>
      <c r="GR585">
        <v>0</v>
      </c>
      <c r="GS585">
        <v>0</v>
      </c>
      <c r="GT585">
        <v>0</v>
      </c>
      <c r="GU585">
        <v>0</v>
      </c>
      <c r="GV585">
        <v>0</v>
      </c>
      <c r="GW585">
        <v>0</v>
      </c>
      <c r="GX585">
        <v>0</v>
      </c>
      <c r="GY585">
        <v>0</v>
      </c>
      <c r="GZ585">
        <v>0</v>
      </c>
      <c r="HA585">
        <v>0</v>
      </c>
      <c r="HB585">
        <v>0</v>
      </c>
      <c r="HC585">
        <v>0</v>
      </c>
      <c r="HD585">
        <v>0</v>
      </c>
      <c r="HE585">
        <v>0</v>
      </c>
      <c r="HF585">
        <v>0</v>
      </c>
      <c r="HG585">
        <v>0</v>
      </c>
      <c r="HH585">
        <v>0</v>
      </c>
      <c r="HI585">
        <v>0</v>
      </c>
      <c r="HJ585">
        <v>0</v>
      </c>
      <c r="HK585">
        <v>0</v>
      </c>
      <c r="HL585">
        <v>0</v>
      </c>
      <c r="HM585">
        <v>0</v>
      </c>
      <c r="HN585">
        <v>0</v>
      </c>
      <c r="HO585">
        <v>0</v>
      </c>
      <c r="HP585">
        <v>0</v>
      </c>
      <c r="HQ585">
        <v>0</v>
      </c>
      <c r="HR585">
        <v>0</v>
      </c>
      <c r="HS585">
        <v>0</v>
      </c>
      <c r="HT585">
        <v>0</v>
      </c>
      <c r="HU585">
        <v>0</v>
      </c>
      <c r="HV585">
        <v>0</v>
      </c>
      <c r="HW585">
        <v>404.70000000000005</v>
      </c>
      <c r="HX585">
        <v>342.3</v>
      </c>
      <c r="HZ585">
        <v>866.2</v>
      </c>
      <c r="IA585">
        <v>1142.8</v>
      </c>
      <c r="IB585">
        <v>1121.5</v>
      </c>
      <c r="IC585">
        <v>2403</v>
      </c>
      <c r="ID585">
        <v>2659.3</v>
      </c>
      <c r="IE585">
        <v>1923.4</v>
      </c>
      <c r="IF585">
        <v>1465.7</v>
      </c>
      <c r="IG585">
        <v>1608.3</v>
      </c>
      <c r="IH585">
        <v>0</v>
      </c>
      <c r="II585">
        <v>0</v>
      </c>
      <c r="IJ585">
        <v>0</v>
      </c>
      <c r="IK585">
        <v>0</v>
      </c>
      <c r="IL585">
        <v>0</v>
      </c>
      <c r="IM585">
        <v>0</v>
      </c>
      <c r="IN585">
        <v>0</v>
      </c>
      <c r="IO585">
        <v>0</v>
      </c>
      <c r="IP585">
        <v>75.099999999999994</v>
      </c>
    </row>
    <row r="586" spans="1:250" ht="18" thickBot="1">
      <c r="A586" s="245"/>
      <c r="B586" s="245" t="s">
        <v>946</v>
      </c>
      <c r="C586" s="88" t="s">
        <v>1043</v>
      </c>
      <c r="D586" s="397"/>
      <c r="E586" s="454">
        <v>0</v>
      </c>
      <c r="F586">
        <v>0</v>
      </c>
      <c r="G586" s="427">
        <v>0</v>
      </c>
      <c r="H586" s="155">
        <v>0</v>
      </c>
      <c r="I586">
        <v>0</v>
      </c>
      <c r="J586">
        <v>0</v>
      </c>
      <c r="K586">
        <v>0</v>
      </c>
      <c r="L586" s="4">
        <v>0</v>
      </c>
      <c r="M586" s="4">
        <v>0</v>
      </c>
      <c r="N586" s="4">
        <v>0</v>
      </c>
      <c r="O586" s="4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R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G586">
        <v>0</v>
      </c>
      <c r="BI586">
        <v>0</v>
      </c>
      <c r="BK586">
        <v>0</v>
      </c>
      <c r="BL586">
        <v>0</v>
      </c>
      <c r="BM586">
        <v>0</v>
      </c>
      <c r="BN586">
        <v>0</v>
      </c>
      <c r="BO586">
        <v>344.70000000000005</v>
      </c>
      <c r="BP586">
        <v>625.70000000000005</v>
      </c>
      <c r="BQ586">
        <v>912.2</v>
      </c>
      <c r="BR586">
        <v>237.7</v>
      </c>
      <c r="BS586">
        <v>0</v>
      </c>
      <c r="BT586">
        <v>0</v>
      </c>
      <c r="BU586">
        <v>0</v>
      </c>
      <c r="BV586">
        <v>0</v>
      </c>
      <c r="BW586">
        <v>1647.4</v>
      </c>
      <c r="BY586">
        <v>453.1</v>
      </c>
      <c r="CA586">
        <v>285.39999999999998</v>
      </c>
      <c r="CB586">
        <v>280.8</v>
      </c>
      <c r="CC586">
        <v>127.7</v>
      </c>
      <c r="CD586">
        <v>0</v>
      </c>
      <c r="CE586">
        <v>0</v>
      </c>
      <c r="CF586">
        <v>0</v>
      </c>
      <c r="CG586">
        <v>0</v>
      </c>
      <c r="CI586">
        <v>0</v>
      </c>
      <c r="CJ586">
        <v>0</v>
      </c>
      <c r="CL586">
        <v>0</v>
      </c>
      <c r="CM586">
        <v>0</v>
      </c>
      <c r="CN586">
        <v>0</v>
      </c>
      <c r="CO586">
        <v>0</v>
      </c>
      <c r="CP586">
        <v>0</v>
      </c>
      <c r="CQ586">
        <v>621.70000000000005</v>
      </c>
      <c r="CR586">
        <v>481.70000000000005</v>
      </c>
      <c r="CS586">
        <v>0</v>
      </c>
      <c r="CT586">
        <v>524.6</v>
      </c>
      <c r="CU586">
        <v>514.1</v>
      </c>
      <c r="CV586">
        <v>175.2</v>
      </c>
      <c r="CW586">
        <v>0</v>
      </c>
      <c r="CX586">
        <v>65.099999999999994</v>
      </c>
      <c r="CY586">
        <v>199</v>
      </c>
      <c r="CZ586">
        <v>1907.9</v>
      </c>
      <c r="DA586">
        <v>0</v>
      </c>
      <c r="DB586">
        <v>0</v>
      </c>
      <c r="DC586">
        <v>0</v>
      </c>
      <c r="DD586">
        <v>0</v>
      </c>
      <c r="DE586">
        <v>0</v>
      </c>
      <c r="DF586">
        <v>0</v>
      </c>
      <c r="DG586">
        <v>0</v>
      </c>
      <c r="DH586">
        <v>0</v>
      </c>
      <c r="DI586">
        <v>0</v>
      </c>
      <c r="DJ586">
        <v>0</v>
      </c>
      <c r="DK586">
        <v>0</v>
      </c>
      <c r="DL586">
        <v>0</v>
      </c>
      <c r="DM586">
        <v>1065.4000000000001</v>
      </c>
      <c r="DN586">
        <v>599.70000000000005</v>
      </c>
      <c r="DO586">
        <v>319.7</v>
      </c>
      <c r="DP586">
        <v>1570.6999999999998</v>
      </c>
      <c r="DQ586">
        <v>1399.5</v>
      </c>
      <c r="DR586">
        <v>3581</v>
      </c>
      <c r="DU586">
        <v>1393.2</v>
      </c>
      <c r="DV586">
        <v>2862.6</v>
      </c>
      <c r="DY586">
        <v>2361</v>
      </c>
      <c r="EA586">
        <v>2409.6</v>
      </c>
      <c r="EC586">
        <v>1661.3999999999999</v>
      </c>
      <c r="EE586">
        <v>0</v>
      </c>
      <c r="EF586">
        <v>0</v>
      </c>
      <c r="EG586">
        <v>0</v>
      </c>
      <c r="EH586">
        <v>0</v>
      </c>
      <c r="EI586">
        <v>0</v>
      </c>
      <c r="EJ586">
        <v>0</v>
      </c>
      <c r="EK586">
        <v>0</v>
      </c>
      <c r="EL586">
        <v>0</v>
      </c>
      <c r="EM586">
        <v>0</v>
      </c>
      <c r="EN586">
        <v>0</v>
      </c>
      <c r="EO586">
        <v>0</v>
      </c>
      <c r="EP586">
        <v>944.5</v>
      </c>
      <c r="EQ586">
        <v>3459.7</v>
      </c>
      <c r="ER586">
        <v>1353.5</v>
      </c>
      <c r="ES586">
        <v>182.2</v>
      </c>
      <c r="ET586">
        <v>855.59999999999991</v>
      </c>
      <c r="EU586">
        <v>172.2</v>
      </c>
      <c r="EV586">
        <v>203.2</v>
      </c>
      <c r="EW586">
        <v>1173.0999999999999</v>
      </c>
      <c r="EX586">
        <v>1078.3</v>
      </c>
      <c r="EY586">
        <v>1194.4000000000001</v>
      </c>
      <c r="EZ586">
        <v>1207.0999999999999</v>
      </c>
      <c r="FA586">
        <v>0</v>
      </c>
      <c r="FB586">
        <v>0</v>
      </c>
      <c r="FC586">
        <v>0</v>
      </c>
      <c r="FD586">
        <v>0</v>
      </c>
      <c r="FE586">
        <v>0</v>
      </c>
      <c r="FF586">
        <v>0</v>
      </c>
      <c r="FG586">
        <v>0</v>
      </c>
      <c r="FH586">
        <v>0</v>
      </c>
      <c r="FI586">
        <v>0</v>
      </c>
      <c r="FJ586">
        <v>0</v>
      </c>
      <c r="FK586">
        <v>0</v>
      </c>
      <c r="FL586">
        <v>0</v>
      </c>
      <c r="FM586">
        <v>0</v>
      </c>
      <c r="FN586">
        <v>0</v>
      </c>
      <c r="FO586">
        <v>0</v>
      </c>
      <c r="FP586">
        <v>0</v>
      </c>
      <c r="FQ586">
        <v>0</v>
      </c>
      <c r="FR586">
        <v>0</v>
      </c>
      <c r="FS586">
        <v>0</v>
      </c>
      <c r="FT586">
        <v>0</v>
      </c>
      <c r="FU586">
        <v>0</v>
      </c>
      <c r="FV586">
        <v>0</v>
      </c>
      <c r="FW586">
        <v>0</v>
      </c>
      <c r="FX586">
        <v>0</v>
      </c>
      <c r="FY586">
        <v>0</v>
      </c>
      <c r="FZ586">
        <v>0</v>
      </c>
      <c r="GA586">
        <v>0</v>
      </c>
      <c r="GB586">
        <v>0</v>
      </c>
      <c r="GC586">
        <v>0</v>
      </c>
      <c r="GD586">
        <v>0</v>
      </c>
      <c r="GE586">
        <v>0</v>
      </c>
      <c r="GF586">
        <v>0</v>
      </c>
      <c r="GG586">
        <v>0</v>
      </c>
      <c r="GH586">
        <v>0</v>
      </c>
      <c r="GI586">
        <v>0</v>
      </c>
      <c r="GJ586">
        <v>0</v>
      </c>
      <c r="GK586">
        <v>0</v>
      </c>
      <c r="GL586">
        <v>0</v>
      </c>
      <c r="GO586">
        <v>0</v>
      </c>
      <c r="GP586">
        <v>0</v>
      </c>
      <c r="GQ586">
        <v>0</v>
      </c>
      <c r="GR586">
        <v>0</v>
      </c>
      <c r="GS586">
        <v>0</v>
      </c>
      <c r="GT586">
        <v>0</v>
      </c>
      <c r="GU586">
        <v>0</v>
      </c>
      <c r="GV586">
        <v>0</v>
      </c>
      <c r="GW586">
        <v>0</v>
      </c>
      <c r="GX586">
        <v>0</v>
      </c>
      <c r="GY586">
        <v>0</v>
      </c>
      <c r="GZ586">
        <v>0</v>
      </c>
      <c r="HA586">
        <v>0</v>
      </c>
      <c r="HB586">
        <v>0</v>
      </c>
      <c r="HC586">
        <v>0</v>
      </c>
      <c r="HD586">
        <v>0</v>
      </c>
      <c r="HE586">
        <v>0</v>
      </c>
      <c r="HF586">
        <v>0</v>
      </c>
      <c r="HG586">
        <v>0</v>
      </c>
      <c r="HH586">
        <v>0</v>
      </c>
      <c r="HI586">
        <v>0</v>
      </c>
      <c r="HJ586">
        <v>0</v>
      </c>
      <c r="HK586">
        <v>0</v>
      </c>
      <c r="HL586">
        <v>0</v>
      </c>
      <c r="HM586">
        <v>0</v>
      </c>
      <c r="HN586">
        <v>0</v>
      </c>
      <c r="HO586">
        <v>0</v>
      </c>
      <c r="HP586">
        <v>0</v>
      </c>
      <c r="HQ586">
        <v>0</v>
      </c>
      <c r="HR586">
        <v>0</v>
      </c>
      <c r="HS586">
        <v>0</v>
      </c>
      <c r="HT586">
        <v>0</v>
      </c>
      <c r="HU586">
        <v>0</v>
      </c>
      <c r="HV586">
        <v>0</v>
      </c>
      <c r="HW586">
        <v>404.70000000000005</v>
      </c>
      <c r="HX586">
        <v>342.3</v>
      </c>
      <c r="HZ586">
        <v>866.2</v>
      </c>
      <c r="IA586">
        <v>1142.8</v>
      </c>
      <c r="IB586">
        <v>1121.5</v>
      </c>
      <c r="IC586">
        <v>2403</v>
      </c>
      <c r="ID586">
        <v>2659.3</v>
      </c>
      <c r="IE586">
        <v>1923.4</v>
      </c>
      <c r="IF586">
        <v>1465.7</v>
      </c>
      <c r="IG586">
        <v>1608.3</v>
      </c>
      <c r="IH586">
        <v>0</v>
      </c>
      <c r="II586">
        <v>0</v>
      </c>
      <c r="IJ586">
        <v>0</v>
      </c>
      <c r="IK586">
        <v>0</v>
      </c>
      <c r="IL586">
        <v>0</v>
      </c>
      <c r="IM586">
        <v>0</v>
      </c>
      <c r="IN586">
        <v>0</v>
      </c>
      <c r="IO586">
        <v>0</v>
      </c>
      <c r="IP586">
        <v>75.099999999999994</v>
      </c>
    </row>
    <row r="587" spans="1:250" ht="18" thickBot="1">
      <c r="A587" s="245"/>
      <c r="B587" s="245" t="s">
        <v>947</v>
      </c>
      <c r="C587" s="88" t="s">
        <v>1044</v>
      </c>
      <c r="D587" s="397"/>
      <c r="E587" s="454">
        <v>0</v>
      </c>
      <c r="F587">
        <v>0</v>
      </c>
      <c r="G587" s="427">
        <v>0</v>
      </c>
      <c r="H587" s="155">
        <v>0</v>
      </c>
      <c r="I587">
        <v>0</v>
      </c>
      <c r="J587">
        <v>0</v>
      </c>
      <c r="K587">
        <v>0</v>
      </c>
      <c r="L587" s="4">
        <v>0</v>
      </c>
      <c r="M587" s="4">
        <v>0</v>
      </c>
      <c r="N587" s="4">
        <v>0</v>
      </c>
      <c r="O587" s="4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R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G587">
        <v>0</v>
      </c>
      <c r="BI587">
        <v>0</v>
      </c>
      <c r="BK587">
        <v>0</v>
      </c>
      <c r="BL587">
        <v>0</v>
      </c>
      <c r="BM587">
        <v>0</v>
      </c>
      <c r="BN587">
        <v>0</v>
      </c>
      <c r="BO587">
        <v>344.70000000000005</v>
      </c>
      <c r="BP587">
        <v>625.70000000000005</v>
      </c>
      <c r="BQ587">
        <v>912.2</v>
      </c>
      <c r="BR587">
        <v>237.7</v>
      </c>
      <c r="BS587">
        <v>0</v>
      </c>
      <c r="BT587">
        <v>0</v>
      </c>
      <c r="BU587">
        <v>0</v>
      </c>
      <c r="BV587">
        <v>0</v>
      </c>
      <c r="BW587">
        <v>1647.4</v>
      </c>
      <c r="BY587">
        <v>453.1</v>
      </c>
      <c r="CA587">
        <v>285.39999999999998</v>
      </c>
      <c r="CB587">
        <v>280.8</v>
      </c>
      <c r="CC587">
        <v>127.7</v>
      </c>
      <c r="CD587">
        <v>0</v>
      </c>
      <c r="CE587">
        <v>0</v>
      </c>
      <c r="CF587">
        <v>0</v>
      </c>
      <c r="CG587">
        <v>0</v>
      </c>
      <c r="CI587">
        <v>0</v>
      </c>
      <c r="CJ587">
        <v>0</v>
      </c>
      <c r="CL587">
        <v>0</v>
      </c>
      <c r="CM587">
        <v>0</v>
      </c>
      <c r="CN587">
        <v>0</v>
      </c>
      <c r="CO587">
        <v>0</v>
      </c>
      <c r="CP587">
        <v>0</v>
      </c>
      <c r="CQ587">
        <v>621.70000000000005</v>
      </c>
      <c r="CR587">
        <v>481.70000000000005</v>
      </c>
      <c r="CS587">
        <v>0</v>
      </c>
      <c r="CT587">
        <v>524.6</v>
      </c>
      <c r="CU587">
        <v>514.1</v>
      </c>
      <c r="CV587">
        <v>175.2</v>
      </c>
      <c r="CW587">
        <v>0</v>
      </c>
      <c r="CX587">
        <v>65.099999999999994</v>
      </c>
      <c r="CY587">
        <v>199</v>
      </c>
      <c r="CZ587">
        <v>1907.9</v>
      </c>
      <c r="DA587">
        <v>0</v>
      </c>
      <c r="DB587">
        <v>0</v>
      </c>
      <c r="DC587">
        <v>0</v>
      </c>
      <c r="DD587">
        <v>0</v>
      </c>
      <c r="DE587">
        <v>0</v>
      </c>
      <c r="DF587">
        <v>0</v>
      </c>
      <c r="DG587">
        <v>0</v>
      </c>
      <c r="DH587">
        <v>0</v>
      </c>
      <c r="DI587">
        <v>0</v>
      </c>
      <c r="DJ587">
        <v>0</v>
      </c>
      <c r="DK587">
        <v>0</v>
      </c>
      <c r="DL587">
        <v>0</v>
      </c>
      <c r="DM587">
        <v>1065.4000000000001</v>
      </c>
      <c r="DN587">
        <v>599.70000000000005</v>
      </c>
      <c r="DO587">
        <v>319.7</v>
      </c>
      <c r="DP587">
        <v>1570.6999999999998</v>
      </c>
      <c r="DQ587">
        <v>1399.5</v>
      </c>
      <c r="DR587">
        <v>3581</v>
      </c>
      <c r="DU587">
        <v>1393.2</v>
      </c>
      <c r="DV587">
        <v>2862.6</v>
      </c>
      <c r="DY587">
        <v>2361</v>
      </c>
      <c r="EA587">
        <v>2409.6</v>
      </c>
      <c r="EC587">
        <v>1661.3999999999999</v>
      </c>
      <c r="EE587">
        <v>0</v>
      </c>
      <c r="EF587">
        <v>0</v>
      </c>
      <c r="EG587">
        <v>0</v>
      </c>
      <c r="EH587">
        <v>0</v>
      </c>
      <c r="EI587">
        <v>0</v>
      </c>
      <c r="EJ587">
        <v>0</v>
      </c>
      <c r="EK587">
        <v>0</v>
      </c>
      <c r="EL587">
        <v>0</v>
      </c>
      <c r="EM587">
        <v>0</v>
      </c>
      <c r="EN587">
        <v>0</v>
      </c>
      <c r="EO587">
        <v>0</v>
      </c>
      <c r="EP587">
        <v>944.5</v>
      </c>
      <c r="EQ587">
        <v>3459.7</v>
      </c>
      <c r="ER587">
        <v>1353.5</v>
      </c>
      <c r="ES587">
        <v>182.2</v>
      </c>
      <c r="ET587">
        <v>855.59999999999991</v>
      </c>
      <c r="EU587">
        <v>172.2</v>
      </c>
      <c r="EV587">
        <v>203.2</v>
      </c>
      <c r="EW587">
        <v>1173.0999999999999</v>
      </c>
      <c r="EX587">
        <v>1078.3</v>
      </c>
      <c r="EY587">
        <v>1194.4000000000001</v>
      </c>
      <c r="EZ587">
        <v>1207.0999999999999</v>
      </c>
      <c r="FA587">
        <v>0</v>
      </c>
      <c r="FB587">
        <v>0</v>
      </c>
      <c r="FC587">
        <v>0</v>
      </c>
      <c r="FD587">
        <v>0</v>
      </c>
      <c r="FE587">
        <v>0</v>
      </c>
      <c r="FF587">
        <v>0</v>
      </c>
      <c r="FG587">
        <v>0</v>
      </c>
      <c r="FH587">
        <v>0</v>
      </c>
      <c r="FI587">
        <v>0</v>
      </c>
      <c r="FJ587">
        <v>0</v>
      </c>
      <c r="FK587">
        <v>0</v>
      </c>
      <c r="FL587">
        <v>0</v>
      </c>
      <c r="FM587">
        <v>0</v>
      </c>
      <c r="FN587">
        <v>0</v>
      </c>
      <c r="FO587">
        <v>0</v>
      </c>
      <c r="FP587">
        <v>0</v>
      </c>
      <c r="FQ587">
        <v>0</v>
      </c>
      <c r="FR587">
        <v>0</v>
      </c>
      <c r="FS587">
        <v>0</v>
      </c>
      <c r="FT587">
        <v>0</v>
      </c>
      <c r="FU587">
        <v>0</v>
      </c>
      <c r="FV587">
        <v>0</v>
      </c>
      <c r="FW587">
        <v>0</v>
      </c>
      <c r="FX587">
        <v>0</v>
      </c>
      <c r="FY587">
        <v>0</v>
      </c>
      <c r="FZ587">
        <v>0</v>
      </c>
      <c r="GA587">
        <v>0</v>
      </c>
      <c r="GB587">
        <v>0</v>
      </c>
      <c r="GC587">
        <v>0</v>
      </c>
      <c r="GD587">
        <v>0</v>
      </c>
      <c r="GE587">
        <v>0</v>
      </c>
      <c r="GF587">
        <v>0</v>
      </c>
      <c r="GG587">
        <v>0</v>
      </c>
      <c r="GH587">
        <v>0</v>
      </c>
      <c r="GI587">
        <v>0</v>
      </c>
      <c r="GJ587">
        <v>0</v>
      </c>
      <c r="GK587">
        <v>0</v>
      </c>
      <c r="GL587">
        <v>0</v>
      </c>
      <c r="GO587">
        <v>0</v>
      </c>
      <c r="GP587">
        <v>0</v>
      </c>
      <c r="GQ587">
        <v>0</v>
      </c>
      <c r="GR587">
        <v>0</v>
      </c>
      <c r="GS587">
        <v>0</v>
      </c>
      <c r="GT587">
        <v>0</v>
      </c>
      <c r="GU587">
        <v>0</v>
      </c>
      <c r="GV587">
        <v>0</v>
      </c>
      <c r="GW587">
        <v>0</v>
      </c>
      <c r="GX587">
        <v>0</v>
      </c>
      <c r="GY587">
        <v>0</v>
      </c>
      <c r="GZ587">
        <v>0</v>
      </c>
      <c r="HA587">
        <v>0</v>
      </c>
      <c r="HB587">
        <v>0</v>
      </c>
      <c r="HC587">
        <v>0</v>
      </c>
      <c r="HD587">
        <v>0</v>
      </c>
      <c r="HE587">
        <v>0</v>
      </c>
      <c r="HF587">
        <v>0</v>
      </c>
      <c r="HG587">
        <v>0</v>
      </c>
      <c r="HH587">
        <v>0</v>
      </c>
      <c r="HI587">
        <v>0</v>
      </c>
      <c r="HJ587">
        <v>0</v>
      </c>
      <c r="HK587">
        <v>0</v>
      </c>
      <c r="HL587">
        <v>0</v>
      </c>
      <c r="HM587">
        <v>0</v>
      </c>
      <c r="HN587">
        <v>0</v>
      </c>
      <c r="HO587">
        <v>0</v>
      </c>
      <c r="HP587">
        <v>0</v>
      </c>
      <c r="HQ587">
        <v>0</v>
      </c>
      <c r="HR587">
        <v>0</v>
      </c>
      <c r="HS587">
        <v>0</v>
      </c>
      <c r="HT587">
        <v>0</v>
      </c>
      <c r="HU587">
        <v>0</v>
      </c>
      <c r="HV587">
        <v>0</v>
      </c>
      <c r="HW587">
        <v>404.70000000000005</v>
      </c>
      <c r="HX587">
        <v>342.3</v>
      </c>
      <c r="HZ587">
        <v>866.2</v>
      </c>
      <c r="IA587">
        <v>1142.8</v>
      </c>
      <c r="IB587">
        <v>1121.5</v>
      </c>
      <c r="IC587">
        <v>2403</v>
      </c>
      <c r="ID587">
        <v>2659.3</v>
      </c>
      <c r="IE587">
        <v>1923.4</v>
      </c>
      <c r="IF587">
        <v>1465.7</v>
      </c>
      <c r="IG587">
        <v>1608.3</v>
      </c>
      <c r="IH587">
        <v>0</v>
      </c>
      <c r="II587">
        <v>0</v>
      </c>
      <c r="IJ587">
        <v>0</v>
      </c>
      <c r="IK587">
        <v>0</v>
      </c>
      <c r="IL587">
        <v>0</v>
      </c>
      <c r="IM587">
        <v>0</v>
      </c>
      <c r="IN587">
        <v>0</v>
      </c>
      <c r="IO587">
        <v>0</v>
      </c>
      <c r="IP587">
        <v>75.099999999999994</v>
      </c>
    </row>
    <row r="588" spans="1:250" ht="18" thickBot="1">
      <c r="A588" s="245"/>
      <c r="B588" s="245" t="s">
        <v>948</v>
      </c>
      <c r="C588" s="230" t="s">
        <v>1045</v>
      </c>
      <c r="D588" s="397"/>
      <c r="E588" s="454">
        <v>0</v>
      </c>
      <c r="F588">
        <v>0</v>
      </c>
      <c r="G588" s="427">
        <v>0</v>
      </c>
      <c r="H588" s="155">
        <v>0</v>
      </c>
      <c r="I588">
        <v>0</v>
      </c>
      <c r="J588">
        <v>0</v>
      </c>
      <c r="K588">
        <v>0</v>
      </c>
      <c r="L588" s="4">
        <v>0</v>
      </c>
      <c r="M588" s="4">
        <v>0</v>
      </c>
      <c r="N588" s="4">
        <v>0</v>
      </c>
      <c r="O588" s="4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R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G588">
        <v>0</v>
      </c>
      <c r="BI588">
        <v>0</v>
      </c>
      <c r="BK588">
        <v>0</v>
      </c>
      <c r="BL588">
        <v>0</v>
      </c>
      <c r="BM588">
        <v>0</v>
      </c>
      <c r="BN588">
        <v>0</v>
      </c>
      <c r="BO588">
        <v>344.70000000000005</v>
      </c>
      <c r="BP588">
        <v>625.70000000000005</v>
      </c>
      <c r="BQ588">
        <v>912.2</v>
      </c>
      <c r="BR588">
        <v>237.7</v>
      </c>
      <c r="BS588">
        <v>0</v>
      </c>
      <c r="BT588">
        <v>0</v>
      </c>
      <c r="BU588">
        <v>0</v>
      </c>
      <c r="BV588">
        <v>0</v>
      </c>
      <c r="BW588">
        <v>1647.4</v>
      </c>
      <c r="BY588">
        <v>453.1</v>
      </c>
      <c r="CA588">
        <v>285.39999999999998</v>
      </c>
      <c r="CB588">
        <v>280.8</v>
      </c>
      <c r="CC588">
        <v>127.7</v>
      </c>
      <c r="CD588">
        <v>0</v>
      </c>
      <c r="CE588">
        <v>0</v>
      </c>
      <c r="CF588">
        <v>0</v>
      </c>
      <c r="CG588">
        <v>0</v>
      </c>
      <c r="CI588">
        <v>0</v>
      </c>
      <c r="CJ588">
        <v>0</v>
      </c>
      <c r="CL588">
        <v>0</v>
      </c>
      <c r="CM588">
        <v>0</v>
      </c>
      <c r="CN588">
        <v>0</v>
      </c>
      <c r="CO588">
        <v>0</v>
      </c>
      <c r="CP588">
        <v>0</v>
      </c>
      <c r="CQ588">
        <v>621.70000000000005</v>
      </c>
      <c r="CR588">
        <v>481.70000000000005</v>
      </c>
      <c r="CS588">
        <v>0</v>
      </c>
      <c r="CT588">
        <v>524.6</v>
      </c>
      <c r="CU588">
        <v>514.1</v>
      </c>
      <c r="CV588">
        <v>175.2</v>
      </c>
      <c r="CW588">
        <v>0</v>
      </c>
      <c r="CX588">
        <v>65.099999999999994</v>
      </c>
      <c r="CY588">
        <v>199</v>
      </c>
      <c r="CZ588">
        <v>1907.9</v>
      </c>
      <c r="DA588">
        <v>0</v>
      </c>
      <c r="DB588">
        <v>0</v>
      </c>
      <c r="DC588">
        <v>0</v>
      </c>
      <c r="DD588">
        <v>0</v>
      </c>
      <c r="DE588">
        <v>0</v>
      </c>
      <c r="DF588">
        <v>0</v>
      </c>
      <c r="DG588">
        <v>0</v>
      </c>
      <c r="DH588">
        <v>0</v>
      </c>
      <c r="DI588">
        <v>0</v>
      </c>
      <c r="DJ588">
        <v>0</v>
      </c>
      <c r="DK588">
        <v>0</v>
      </c>
      <c r="DL588">
        <v>0</v>
      </c>
      <c r="DM588">
        <v>1065.4000000000001</v>
      </c>
      <c r="DN588">
        <v>599.70000000000005</v>
      </c>
      <c r="DO588">
        <v>319.7</v>
      </c>
      <c r="DP588">
        <v>1570.6999999999998</v>
      </c>
      <c r="DQ588">
        <v>1399.5</v>
      </c>
      <c r="DR588">
        <v>3581</v>
      </c>
      <c r="DU588">
        <v>1393.2</v>
      </c>
      <c r="DV588">
        <v>2862.6</v>
      </c>
      <c r="DY588">
        <v>2361</v>
      </c>
      <c r="EA588">
        <v>2409.6</v>
      </c>
      <c r="EC588">
        <v>1661.3999999999999</v>
      </c>
      <c r="EE588">
        <v>0</v>
      </c>
      <c r="EF588">
        <v>0</v>
      </c>
      <c r="EG588">
        <v>0</v>
      </c>
      <c r="EH588">
        <v>0</v>
      </c>
      <c r="EI588">
        <v>0</v>
      </c>
      <c r="EJ588">
        <v>0</v>
      </c>
      <c r="EK588">
        <v>0</v>
      </c>
      <c r="EL588">
        <v>0</v>
      </c>
      <c r="EM588">
        <v>0</v>
      </c>
      <c r="EN588">
        <v>0</v>
      </c>
      <c r="EO588">
        <v>0</v>
      </c>
      <c r="EP588">
        <v>944.5</v>
      </c>
      <c r="EQ588">
        <v>3459.7</v>
      </c>
      <c r="ER588">
        <v>1353.5</v>
      </c>
      <c r="ES588">
        <v>182.2</v>
      </c>
      <c r="ET588">
        <v>855.59999999999991</v>
      </c>
      <c r="EU588">
        <v>172.2</v>
      </c>
      <c r="EV588">
        <v>203.2</v>
      </c>
      <c r="EW588">
        <v>1173.0999999999999</v>
      </c>
      <c r="EX588">
        <v>1078.3</v>
      </c>
      <c r="EY588">
        <v>1194.4000000000001</v>
      </c>
      <c r="EZ588">
        <v>1207.0999999999999</v>
      </c>
      <c r="FA588">
        <v>0</v>
      </c>
      <c r="FB588">
        <v>0</v>
      </c>
      <c r="FC588">
        <v>0</v>
      </c>
      <c r="FD588">
        <v>0</v>
      </c>
      <c r="FE588">
        <v>0</v>
      </c>
      <c r="FF588">
        <v>0</v>
      </c>
      <c r="FG588">
        <v>0</v>
      </c>
      <c r="FH588">
        <v>0</v>
      </c>
      <c r="FI588">
        <v>0</v>
      </c>
      <c r="FJ588">
        <v>0</v>
      </c>
      <c r="FK588">
        <v>0</v>
      </c>
      <c r="FL588">
        <v>0</v>
      </c>
      <c r="FM588">
        <v>0</v>
      </c>
      <c r="FN588">
        <v>0</v>
      </c>
      <c r="FO588">
        <v>0</v>
      </c>
      <c r="FP588">
        <v>0</v>
      </c>
      <c r="FQ588">
        <v>0</v>
      </c>
      <c r="FR588">
        <v>0</v>
      </c>
      <c r="FS588">
        <v>0</v>
      </c>
      <c r="FT588">
        <v>0</v>
      </c>
      <c r="FU588">
        <v>0</v>
      </c>
      <c r="FV588">
        <v>0</v>
      </c>
      <c r="FW588">
        <v>0</v>
      </c>
      <c r="FX588">
        <v>0</v>
      </c>
      <c r="FY588">
        <v>0</v>
      </c>
      <c r="FZ588">
        <v>0</v>
      </c>
      <c r="GA588">
        <v>0</v>
      </c>
      <c r="GB588">
        <v>0</v>
      </c>
      <c r="GC588">
        <v>0</v>
      </c>
      <c r="GD588">
        <v>0</v>
      </c>
      <c r="GE588">
        <v>0</v>
      </c>
      <c r="GF588">
        <v>0</v>
      </c>
      <c r="GG588">
        <v>0</v>
      </c>
      <c r="GH588">
        <v>0</v>
      </c>
      <c r="GI588">
        <v>0</v>
      </c>
      <c r="GJ588">
        <v>0</v>
      </c>
      <c r="GK588">
        <v>0</v>
      </c>
      <c r="GL588">
        <v>0</v>
      </c>
      <c r="GO588">
        <v>0</v>
      </c>
      <c r="GP588">
        <v>0</v>
      </c>
      <c r="GQ588">
        <v>0</v>
      </c>
      <c r="GR588">
        <v>0</v>
      </c>
      <c r="GS588">
        <v>0</v>
      </c>
      <c r="GT588">
        <v>0</v>
      </c>
      <c r="GU588">
        <v>0</v>
      </c>
      <c r="GV588">
        <v>0</v>
      </c>
      <c r="GW588">
        <v>0</v>
      </c>
      <c r="GX588">
        <v>0</v>
      </c>
      <c r="GY588">
        <v>0</v>
      </c>
      <c r="GZ588">
        <v>0</v>
      </c>
      <c r="HA588">
        <v>0</v>
      </c>
      <c r="HB588">
        <v>0</v>
      </c>
      <c r="HC588">
        <v>0</v>
      </c>
      <c r="HD588">
        <v>0</v>
      </c>
      <c r="HE588">
        <v>0</v>
      </c>
      <c r="HF588">
        <v>0</v>
      </c>
      <c r="HG588">
        <v>0</v>
      </c>
      <c r="HH588">
        <v>0</v>
      </c>
      <c r="HI588">
        <v>0</v>
      </c>
      <c r="HJ588">
        <v>0</v>
      </c>
      <c r="HK588">
        <v>0</v>
      </c>
      <c r="HL588">
        <v>0</v>
      </c>
      <c r="HM588">
        <v>0</v>
      </c>
      <c r="HN588">
        <v>0</v>
      </c>
      <c r="HO588">
        <v>0</v>
      </c>
      <c r="HP588">
        <v>0</v>
      </c>
      <c r="HQ588">
        <v>0</v>
      </c>
      <c r="HR588">
        <v>0</v>
      </c>
      <c r="HS588">
        <v>0</v>
      </c>
      <c r="HT588">
        <v>0</v>
      </c>
      <c r="HU588">
        <v>0</v>
      </c>
      <c r="HV588">
        <v>0</v>
      </c>
      <c r="HW588">
        <v>404.70000000000005</v>
      </c>
      <c r="HX588">
        <v>342.3</v>
      </c>
      <c r="HZ588">
        <v>866.2</v>
      </c>
      <c r="IA588">
        <v>1142.8</v>
      </c>
      <c r="IB588">
        <v>1121.5</v>
      </c>
      <c r="IC588">
        <v>2403</v>
      </c>
      <c r="ID588">
        <v>2659.3</v>
      </c>
      <c r="IE588">
        <v>1923.4</v>
      </c>
      <c r="IF588">
        <v>1465.7</v>
      </c>
      <c r="IG588">
        <v>1608.3</v>
      </c>
      <c r="IH588">
        <v>0</v>
      </c>
      <c r="II588">
        <v>0</v>
      </c>
      <c r="IJ588">
        <v>0</v>
      </c>
      <c r="IK588">
        <v>0</v>
      </c>
      <c r="IL588">
        <v>0</v>
      </c>
      <c r="IM588">
        <v>0</v>
      </c>
      <c r="IN588">
        <v>0</v>
      </c>
      <c r="IO588">
        <v>0</v>
      </c>
      <c r="IP588">
        <v>75.099999999999994</v>
      </c>
    </row>
    <row r="589" spans="1:250" ht="18" thickBot="1">
      <c r="A589" s="245"/>
      <c r="B589" s="245" t="s">
        <v>546</v>
      </c>
      <c r="C589" s="230" t="s">
        <v>1046</v>
      </c>
      <c r="D589" s="397"/>
      <c r="E589" s="454">
        <v>0</v>
      </c>
      <c r="F589">
        <v>0</v>
      </c>
      <c r="G589" s="427">
        <v>0</v>
      </c>
      <c r="H589" s="155">
        <v>0</v>
      </c>
      <c r="I589">
        <v>0</v>
      </c>
      <c r="J589">
        <v>0</v>
      </c>
      <c r="K589">
        <v>0</v>
      </c>
      <c r="L589" s="4">
        <v>0</v>
      </c>
      <c r="M589" s="4">
        <v>0</v>
      </c>
      <c r="N589" s="4">
        <v>0</v>
      </c>
      <c r="O589" s="4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R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G589">
        <v>0</v>
      </c>
      <c r="BI589">
        <v>0</v>
      </c>
      <c r="BK589">
        <v>0</v>
      </c>
      <c r="BL589">
        <v>0</v>
      </c>
      <c r="BM589">
        <v>0</v>
      </c>
      <c r="BN589">
        <v>0</v>
      </c>
      <c r="BO589">
        <v>344.70000000000005</v>
      </c>
      <c r="BP589">
        <v>625.70000000000005</v>
      </c>
      <c r="BQ589">
        <v>912.2</v>
      </c>
      <c r="BR589">
        <v>237.7</v>
      </c>
      <c r="BS589">
        <v>0</v>
      </c>
      <c r="BT589">
        <v>0</v>
      </c>
      <c r="BU589">
        <v>0</v>
      </c>
      <c r="BV589">
        <v>0</v>
      </c>
      <c r="BW589">
        <v>1647.4</v>
      </c>
      <c r="BY589">
        <v>453.1</v>
      </c>
      <c r="CA589">
        <v>285.39999999999998</v>
      </c>
      <c r="CB589">
        <v>280.8</v>
      </c>
      <c r="CC589">
        <v>127.7</v>
      </c>
      <c r="CD589">
        <v>0</v>
      </c>
      <c r="CE589">
        <v>0</v>
      </c>
      <c r="CF589">
        <v>0</v>
      </c>
      <c r="CG589">
        <v>0</v>
      </c>
      <c r="CI589">
        <v>0</v>
      </c>
      <c r="CJ589">
        <v>0</v>
      </c>
      <c r="CL589">
        <v>0</v>
      </c>
      <c r="CM589">
        <v>0</v>
      </c>
      <c r="CN589">
        <v>0</v>
      </c>
      <c r="CO589">
        <v>0</v>
      </c>
      <c r="CP589">
        <v>0</v>
      </c>
      <c r="CQ589">
        <v>621.70000000000005</v>
      </c>
      <c r="CR589">
        <v>481.70000000000005</v>
      </c>
      <c r="CS589">
        <v>0</v>
      </c>
      <c r="CT589">
        <v>524.6</v>
      </c>
      <c r="CU589">
        <v>514.1</v>
      </c>
      <c r="CV589">
        <v>175.2</v>
      </c>
      <c r="CW589">
        <v>0</v>
      </c>
      <c r="CX589">
        <v>65.099999999999994</v>
      </c>
      <c r="CY589">
        <v>199</v>
      </c>
      <c r="CZ589">
        <v>1907.9</v>
      </c>
      <c r="DA589">
        <v>0</v>
      </c>
      <c r="DB589">
        <v>0</v>
      </c>
      <c r="DC589">
        <v>0</v>
      </c>
      <c r="DD589">
        <v>0</v>
      </c>
      <c r="DE589">
        <v>0</v>
      </c>
      <c r="DF589">
        <v>0</v>
      </c>
      <c r="DG589">
        <v>0</v>
      </c>
      <c r="DH589">
        <v>0</v>
      </c>
      <c r="DI589">
        <v>0</v>
      </c>
      <c r="DJ589">
        <v>0</v>
      </c>
      <c r="DK589">
        <v>0</v>
      </c>
      <c r="DL589">
        <v>0</v>
      </c>
      <c r="DM589">
        <v>1065.4000000000001</v>
      </c>
      <c r="DN589">
        <v>599.70000000000005</v>
      </c>
      <c r="DO589">
        <v>319.7</v>
      </c>
      <c r="DP589">
        <v>1570.6999999999998</v>
      </c>
      <c r="DQ589">
        <v>1399.5</v>
      </c>
      <c r="DR589">
        <v>3581</v>
      </c>
      <c r="DU589">
        <v>1393.2</v>
      </c>
      <c r="DV589">
        <v>2862.6</v>
      </c>
      <c r="DY589">
        <v>2361</v>
      </c>
      <c r="EA589">
        <v>2409.6</v>
      </c>
      <c r="EC589">
        <v>1661.3999999999999</v>
      </c>
      <c r="EE589">
        <v>0</v>
      </c>
      <c r="EF589">
        <v>0</v>
      </c>
      <c r="EG589">
        <v>0</v>
      </c>
      <c r="EH589">
        <v>0</v>
      </c>
      <c r="EI589">
        <v>0</v>
      </c>
      <c r="EJ589">
        <v>0</v>
      </c>
      <c r="EK589">
        <v>0</v>
      </c>
      <c r="EL589">
        <v>0</v>
      </c>
      <c r="EM589">
        <v>0</v>
      </c>
      <c r="EN589">
        <v>0</v>
      </c>
      <c r="EO589">
        <v>0</v>
      </c>
      <c r="EP589">
        <v>944.5</v>
      </c>
      <c r="EQ589">
        <v>3459.7</v>
      </c>
      <c r="ER589">
        <v>1353.5</v>
      </c>
      <c r="ES589">
        <v>182.2</v>
      </c>
      <c r="ET589">
        <v>855.59999999999991</v>
      </c>
      <c r="EU589">
        <v>172.2</v>
      </c>
      <c r="EV589">
        <v>203.2</v>
      </c>
      <c r="EW589">
        <v>1173.0999999999999</v>
      </c>
      <c r="EX589">
        <v>1078.3</v>
      </c>
      <c r="EY589">
        <v>1194.4000000000001</v>
      </c>
      <c r="EZ589">
        <v>1207.0999999999999</v>
      </c>
      <c r="FA589">
        <v>0</v>
      </c>
      <c r="FB589">
        <v>0</v>
      </c>
      <c r="FC589">
        <v>0</v>
      </c>
      <c r="FD589">
        <v>0</v>
      </c>
      <c r="FE589">
        <v>0</v>
      </c>
      <c r="FF589">
        <v>0</v>
      </c>
      <c r="FG589">
        <v>0</v>
      </c>
      <c r="FH589">
        <v>0</v>
      </c>
      <c r="FI589">
        <v>0</v>
      </c>
      <c r="FJ589">
        <v>0</v>
      </c>
      <c r="FK589">
        <v>0</v>
      </c>
      <c r="FL589">
        <v>0</v>
      </c>
      <c r="FM589">
        <v>0</v>
      </c>
      <c r="FN589">
        <v>0</v>
      </c>
      <c r="FO589">
        <v>0</v>
      </c>
      <c r="FP589">
        <v>0</v>
      </c>
      <c r="FQ589">
        <v>0</v>
      </c>
      <c r="FR589">
        <v>0</v>
      </c>
      <c r="FS589">
        <v>0</v>
      </c>
      <c r="FT589">
        <v>0</v>
      </c>
      <c r="FU589">
        <v>0</v>
      </c>
      <c r="FV589">
        <v>0</v>
      </c>
      <c r="FW589">
        <v>0</v>
      </c>
      <c r="FX589">
        <v>0</v>
      </c>
      <c r="FY589">
        <v>0</v>
      </c>
      <c r="FZ589">
        <v>0</v>
      </c>
      <c r="GA589">
        <v>0</v>
      </c>
      <c r="GB589">
        <v>0</v>
      </c>
      <c r="GC589">
        <v>0</v>
      </c>
      <c r="GD589">
        <v>0</v>
      </c>
      <c r="GE589">
        <v>0</v>
      </c>
      <c r="GF589">
        <v>0</v>
      </c>
      <c r="GG589">
        <v>0</v>
      </c>
      <c r="GH589">
        <v>0</v>
      </c>
      <c r="GI589">
        <v>0</v>
      </c>
      <c r="GJ589">
        <v>0</v>
      </c>
      <c r="GK589">
        <v>0</v>
      </c>
      <c r="GL589">
        <v>0</v>
      </c>
      <c r="GO589">
        <v>0</v>
      </c>
      <c r="GP589">
        <v>0</v>
      </c>
      <c r="GQ589">
        <v>0</v>
      </c>
      <c r="GR589">
        <v>0</v>
      </c>
      <c r="GS589">
        <v>0</v>
      </c>
      <c r="GT589">
        <v>0</v>
      </c>
      <c r="GU589">
        <v>0</v>
      </c>
      <c r="GV589">
        <v>0</v>
      </c>
      <c r="GW589">
        <v>0</v>
      </c>
      <c r="GX589">
        <v>0</v>
      </c>
      <c r="GY589">
        <v>0</v>
      </c>
      <c r="GZ589">
        <v>0</v>
      </c>
      <c r="HA589">
        <v>0</v>
      </c>
      <c r="HB589">
        <v>0</v>
      </c>
      <c r="HC589">
        <v>0</v>
      </c>
      <c r="HD589">
        <v>0</v>
      </c>
      <c r="HE589">
        <v>0</v>
      </c>
      <c r="HF589">
        <v>0</v>
      </c>
      <c r="HG589">
        <v>0</v>
      </c>
      <c r="HH589">
        <v>0</v>
      </c>
      <c r="HI589">
        <v>0</v>
      </c>
      <c r="HJ589">
        <v>0</v>
      </c>
      <c r="HK589">
        <v>0</v>
      </c>
      <c r="HL589">
        <v>0</v>
      </c>
      <c r="HM589">
        <v>0</v>
      </c>
      <c r="HN589">
        <v>0</v>
      </c>
      <c r="HO589">
        <v>0</v>
      </c>
      <c r="HP589">
        <v>0</v>
      </c>
      <c r="HQ589">
        <v>0</v>
      </c>
      <c r="HR589">
        <v>0</v>
      </c>
      <c r="HS589">
        <v>0</v>
      </c>
      <c r="HT589">
        <v>0</v>
      </c>
      <c r="HU589">
        <v>0</v>
      </c>
      <c r="HV589">
        <v>0</v>
      </c>
      <c r="HW589">
        <v>404.70000000000005</v>
      </c>
      <c r="HX589">
        <v>342.3</v>
      </c>
      <c r="HZ589">
        <v>866.2</v>
      </c>
      <c r="IA589">
        <v>1142.8</v>
      </c>
      <c r="IB589">
        <v>1121.5</v>
      </c>
      <c r="IC589">
        <v>2403</v>
      </c>
      <c r="ID589">
        <v>2659.3</v>
      </c>
      <c r="IE589">
        <v>1923.4</v>
      </c>
      <c r="IF589">
        <v>1465.7</v>
      </c>
      <c r="IG589">
        <v>1608.3</v>
      </c>
      <c r="IH589">
        <v>0</v>
      </c>
      <c r="II589">
        <v>0</v>
      </c>
      <c r="IJ589">
        <v>0</v>
      </c>
      <c r="IK589">
        <v>0</v>
      </c>
      <c r="IL589">
        <v>0</v>
      </c>
      <c r="IM589">
        <v>0</v>
      </c>
      <c r="IN589">
        <v>0</v>
      </c>
      <c r="IO589">
        <v>0</v>
      </c>
      <c r="IP589">
        <v>75.099999999999994</v>
      </c>
    </row>
    <row r="590" spans="1:250" ht="18" thickBot="1">
      <c r="A590" s="246"/>
      <c r="B590" s="246" t="s">
        <v>949</v>
      </c>
      <c r="C590" s="329" t="s">
        <v>1047</v>
      </c>
      <c r="D590" s="398"/>
      <c r="E590" s="454">
        <v>0</v>
      </c>
      <c r="F590">
        <v>0</v>
      </c>
      <c r="G590" s="427">
        <v>0</v>
      </c>
      <c r="H590" s="155">
        <v>0</v>
      </c>
      <c r="I590">
        <v>0</v>
      </c>
      <c r="J590">
        <v>0</v>
      </c>
      <c r="K590">
        <v>0</v>
      </c>
      <c r="L590" s="4">
        <v>0</v>
      </c>
      <c r="M590" s="4">
        <v>0</v>
      </c>
      <c r="N590" s="4">
        <v>0</v>
      </c>
      <c r="O590" s="4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R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G590">
        <v>0</v>
      </c>
      <c r="BI590">
        <v>0</v>
      </c>
      <c r="BK590">
        <v>0</v>
      </c>
      <c r="BL590">
        <v>0</v>
      </c>
      <c r="BM590">
        <v>0</v>
      </c>
      <c r="BN590">
        <v>0</v>
      </c>
      <c r="BO590">
        <v>344.70000000000005</v>
      </c>
      <c r="BP590">
        <v>625.70000000000005</v>
      </c>
      <c r="BQ590">
        <v>912.2</v>
      </c>
      <c r="BR590">
        <v>237.7</v>
      </c>
      <c r="BS590">
        <v>0</v>
      </c>
      <c r="BT590">
        <v>0</v>
      </c>
      <c r="BU590">
        <v>0</v>
      </c>
      <c r="BV590">
        <v>0</v>
      </c>
      <c r="BW590">
        <v>1647.4</v>
      </c>
      <c r="BY590">
        <v>453.1</v>
      </c>
      <c r="CA590">
        <v>285.39999999999998</v>
      </c>
      <c r="CB590">
        <v>280.8</v>
      </c>
      <c r="CC590">
        <v>127.7</v>
      </c>
      <c r="CD590">
        <v>0</v>
      </c>
      <c r="CE590">
        <v>0</v>
      </c>
      <c r="CF590">
        <v>0</v>
      </c>
      <c r="CG590">
        <v>0</v>
      </c>
      <c r="CI590">
        <v>0</v>
      </c>
      <c r="CJ590">
        <v>0</v>
      </c>
      <c r="CL590">
        <v>0</v>
      </c>
      <c r="CM590">
        <v>0</v>
      </c>
      <c r="CN590">
        <v>0</v>
      </c>
      <c r="CO590">
        <v>0</v>
      </c>
      <c r="CP590">
        <v>0</v>
      </c>
      <c r="CQ590">
        <v>621.70000000000005</v>
      </c>
      <c r="CR590">
        <v>481.70000000000005</v>
      </c>
      <c r="CS590">
        <v>0</v>
      </c>
      <c r="CT590">
        <v>524.6</v>
      </c>
      <c r="CU590">
        <v>514.1</v>
      </c>
      <c r="CV590">
        <v>175.2</v>
      </c>
      <c r="CW590">
        <v>0</v>
      </c>
      <c r="CX590">
        <v>65.099999999999994</v>
      </c>
      <c r="CY590">
        <v>199</v>
      </c>
      <c r="CZ590">
        <v>1907.9</v>
      </c>
      <c r="DA590">
        <v>0</v>
      </c>
      <c r="DB590">
        <v>0</v>
      </c>
      <c r="DC590">
        <v>0</v>
      </c>
      <c r="DD590">
        <v>0</v>
      </c>
      <c r="DE590">
        <v>0</v>
      </c>
      <c r="DF590">
        <v>0</v>
      </c>
      <c r="DG590">
        <v>0</v>
      </c>
      <c r="DH590">
        <v>0</v>
      </c>
      <c r="DI590">
        <v>0</v>
      </c>
      <c r="DJ590">
        <v>0</v>
      </c>
      <c r="DK590">
        <v>0</v>
      </c>
      <c r="DL590">
        <v>0</v>
      </c>
      <c r="DM590">
        <v>1065.4000000000001</v>
      </c>
      <c r="DN590">
        <v>599.70000000000005</v>
      </c>
      <c r="DO590">
        <v>319.7</v>
      </c>
      <c r="DP590">
        <v>1570.6999999999998</v>
      </c>
      <c r="DQ590">
        <v>1399.5</v>
      </c>
      <c r="DR590">
        <v>3581</v>
      </c>
      <c r="DU590">
        <v>1393.2</v>
      </c>
      <c r="DV590">
        <v>2862.6</v>
      </c>
      <c r="DY590">
        <v>2361</v>
      </c>
      <c r="EA590">
        <v>2409.6</v>
      </c>
      <c r="EC590">
        <v>1661.3999999999999</v>
      </c>
      <c r="EE590">
        <v>0</v>
      </c>
      <c r="EF590">
        <v>0</v>
      </c>
      <c r="EG590">
        <v>0</v>
      </c>
      <c r="EH590">
        <v>0</v>
      </c>
      <c r="EI590">
        <v>0</v>
      </c>
      <c r="EJ590">
        <v>0</v>
      </c>
      <c r="EK590">
        <v>0</v>
      </c>
      <c r="EL590">
        <v>0</v>
      </c>
      <c r="EM590">
        <v>0</v>
      </c>
      <c r="EN590">
        <v>0</v>
      </c>
      <c r="EO590">
        <v>0</v>
      </c>
      <c r="EP590">
        <v>944.5</v>
      </c>
      <c r="EQ590">
        <v>3459.7</v>
      </c>
      <c r="ER590">
        <v>1353.5</v>
      </c>
      <c r="ES590">
        <v>182.2</v>
      </c>
      <c r="ET590">
        <v>855.59999999999991</v>
      </c>
      <c r="EU590">
        <v>172.2</v>
      </c>
      <c r="EV590">
        <v>203.2</v>
      </c>
      <c r="EW590">
        <v>1173.0999999999999</v>
      </c>
      <c r="EX590">
        <v>1078.3</v>
      </c>
      <c r="EY590">
        <v>1194.4000000000001</v>
      </c>
      <c r="EZ590">
        <v>1207.0999999999999</v>
      </c>
      <c r="FA590">
        <v>0</v>
      </c>
      <c r="FB590">
        <v>0</v>
      </c>
      <c r="FC590">
        <v>0</v>
      </c>
      <c r="FD590">
        <v>0</v>
      </c>
      <c r="FE590">
        <v>0</v>
      </c>
      <c r="FF590">
        <v>0</v>
      </c>
      <c r="FG590">
        <v>0</v>
      </c>
      <c r="FH590">
        <v>0</v>
      </c>
      <c r="FI590">
        <v>0</v>
      </c>
      <c r="FJ590">
        <v>0</v>
      </c>
      <c r="FK590">
        <v>0</v>
      </c>
      <c r="FL590">
        <v>0</v>
      </c>
      <c r="FM590">
        <v>0</v>
      </c>
      <c r="FN590">
        <v>0</v>
      </c>
      <c r="FO590">
        <v>0</v>
      </c>
      <c r="FP590">
        <v>0</v>
      </c>
      <c r="FQ590">
        <v>0</v>
      </c>
      <c r="FR590">
        <v>0</v>
      </c>
      <c r="FS590">
        <v>0</v>
      </c>
      <c r="FT590">
        <v>0</v>
      </c>
      <c r="FU590">
        <v>0</v>
      </c>
      <c r="FV590">
        <v>0</v>
      </c>
      <c r="FW590">
        <v>0</v>
      </c>
      <c r="FX590">
        <v>0</v>
      </c>
      <c r="FY590">
        <v>0</v>
      </c>
      <c r="FZ590">
        <v>0</v>
      </c>
      <c r="GA590">
        <v>0</v>
      </c>
      <c r="GB590">
        <v>0</v>
      </c>
      <c r="GC590">
        <v>0</v>
      </c>
      <c r="GD590">
        <v>0</v>
      </c>
      <c r="GE590">
        <v>0</v>
      </c>
      <c r="GF590">
        <v>0</v>
      </c>
      <c r="GG590">
        <v>0</v>
      </c>
      <c r="GH590">
        <v>0</v>
      </c>
      <c r="GI590">
        <v>0</v>
      </c>
      <c r="GJ590">
        <v>0</v>
      </c>
      <c r="GK590">
        <v>0</v>
      </c>
      <c r="GL590">
        <v>0</v>
      </c>
      <c r="GO590">
        <v>0</v>
      </c>
      <c r="GP590">
        <v>0</v>
      </c>
      <c r="GQ590">
        <v>0</v>
      </c>
      <c r="GR590">
        <v>0</v>
      </c>
      <c r="GS590">
        <v>0</v>
      </c>
      <c r="GT590">
        <v>0</v>
      </c>
      <c r="GU590">
        <v>0</v>
      </c>
      <c r="GV590">
        <v>0</v>
      </c>
      <c r="GW590">
        <v>0</v>
      </c>
      <c r="GX590">
        <v>0</v>
      </c>
      <c r="GY590">
        <v>0</v>
      </c>
      <c r="GZ590">
        <v>0</v>
      </c>
      <c r="HA590">
        <v>0</v>
      </c>
      <c r="HB590">
        <v>0</v>
      </c>
      <c r="HC590">
        <v>0</v>
      </c>
      <c r="HD590">
        <v>0</v>
      </c>
      <c r="HE590">
        <v>0</v>
      </c>
      <c r="HF590">
        <v>0</v>
      </c>
      <c r="HG590">
        <v>0</v>
      </c>
      <c r="HH590">
        <v>0</v>
      </c>
      <c r="HI590">
        <v>0</v>
      </c>
      <c r="HJ590">
        <v>0</v>
      </c>
      <c r="HK590">
        <v>0</v>
      </c>
      <c r="HL590">
        <v>0</v>
      </c>
      <c r="HM590">
        <v>0</v>
      </c>
      <c r="HN590">
        <v>0</v>
      </c>
      <c r="HO590">
        <v>0</v>
      </c>
      <c r="HP590">
        <v>0</v>
      </c>
      <c r="HQ590">
        <v>0</v>
      </c>
      <c r="HR590">
        <v>0</v>
      </c>
      <c r="HS590">
        <v>0</v>
      </c>
      <c r="HT590">
        <v>0</v>
      </c>
      <c r="HU590">
        <v>0</v>
      </c>
      <c r="HV590">
        <v>0</v>
      </c>
      <c r="HW590">
        <v>404.70000000000005</v>
      </c>
      <c r="HX590">
        <v>342.3</v>
      </c>
      <c r="HZ590">
        <v>866.2</v>
      </c>
      <c r="IA590">
        <v>1142.8</v>
      </c>
      <c r="IB590">
        <v>1121.5</v>
      </c>
      <c r="IC590">
        <v>2403</v>
      </c>
      <c r="ID590">
        <v>2659.3</v>
      </c>
      <c r="IE590">
        <v>1923.4</v>
      </c>
      <c r="IF590">
        <v>1465.7</v>
      </c>
      <c r="IG590">
        <v>1608.3</v>
      </c>
      <c r="IH590">
        <v>0</v>
      </c>
      <c r="II590">
        <v>0</v>
      </c>
      <c r="IJ590">
        <v>0</v>
      </c>
      <c r="IK590">
        <v>0</v>
      </c>
      <c r="IL590">
        <v>0</v>
      </c>
      <c r="IM590">
        <v>0</v>
      </c>
      <c r="IN590">
        <v>0</v>
      </c>
      <c r="IO590">
        <v>0</v>
      </c>
      <c r="IP590">
        <v>75.099999999999994</v>
      </c>
    </row>
    <row r="591" spans="1:250" ht="18.600000000000001" thickTop="1" thickBot="1">
      <c r="A591" s="182"/>
      <c r="B591" s="182"/>
      <c r="C591" s="330" t="s">
        <v>1048</v>
      </c>
      <c r="D591" s="395"/>
      <c r="E591" s="454">
        <v>0</v>
      </c>
      <c r="F591">
        <v>0</v>
      </c>
      <c r="G591" s="427">
        <v>0</v>
      </c>
      <c r="H591" s="155">
        <v>0</v>
      </c>
      <c r="I591">
        <v>0</v>
      </c>
      <c r="J591">
        <v>0</v>
      </c>
      <c r="K591">
        <v>0</v>
      </c>
      <c r="L591" s="4">
        <v>0</v>
      </c>
      <c r="M591" s="4">
        <v>0</v>
      </c>
      <c r="N591" s="4">
        <v>0</v>
      </c>
      <c r="O591" s="4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R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G591">
        <v>0</v>
      </c>
      <c r="BI591">
        <v>0</v>
      </c>
      <c r="BK591">
        <v>0</v>
      </c>
      <c r="BL591">
        <v>0</v>
      </c>
      <c r="BM591">
        <v>0</v>
      </c>
      <c r="BN591">
        <v>0</v>
      </c>
      <c r="BO591">
        <v>344.70000000000005</v>
      </c>
      <c r="BP591">
        <v>625.70000000000005</v>
      </c>
      <c r="BQ591">
        <v>912.2</v>
      </c>
      <c r="BR591">
        <v>237.7</v>
      </c>
      <c r="BS591">
        <v>0</v>
      </c>
      <c r="BT591">
        <v>0</v>
      </c>
      <c r="BU591">
        <v>0</v>
      </c>
      <c r="BV591">
        <v>0</v>
      </c>
      <c r="BW591">
        <v>1647.4</v>
      </c>
      <c r="BY591">
        <v>453.1</v>
      </c>
      <c r="CA591">
        <v>285.39999999999998</v>
      </c>
      <c r="CB591">
        <v>280.8</v>
      </c>
      <c r="CC591">
        <v>127.7</v>
      </c>
      <c r="CD591">
        <v>0</v>
      </c>
      <c r="CE591">
        <v>0</v>
      </c>
      <c r="CF591">
        <v>0</v>
      </c>
      <c r="CG591">
        <v>0</v>
      </c>
      <c r="CI591">
        <v>0</v>
      </c>
      <c r="CJ591">
        <v>0</v>
      </c>
      <c r="CL591">
        <v>0</v>
      </c>
      <c r="CM591">
        <v>0</v>
      </c>
      <c r="CN591">
        <v>0</v>
      </c>
      <c r="CO591">
        <v>0</v>
      </c>
      <c r="CP591">
        <v>0</v>
      </c>
      <c r="CQ591">
        <v>621.70000000000005</v>
      </c>
      <c r="CR591">
        <v>481.70000000000005</v>
      </c>
      <c r="CS591">
        <v>0</v>
      </c>
      <c r="CT591">
        <v>524.6</v>
      </c>
      <c r="CU591">
        <v>514.1</v>
      </c>
      <c r="CV591">
        <v>175.2</v>
      </c>
      <c r="CW591">
        <v>0</v>
      </c>
      <c r="CX591">
        <v>65.099999999999994</v>
      </c>
      <c r="CY591">
        <v>199</v>
      </c>
      <c r="CZ591">
        <v>1907.9</v>
      </c>
      <c r="DA591">
        <v>0</v>
      </c>
      <c r="DB591">
        <v>0</v>
      </c>
      <c r="DC591">
        <v>0</v>
      </c>
      <c r="DD591">
        <v>0</v>
      </c>
      <c r="DE591">
        <v>0</v>
      </c>
      <c r="DF591">
        <v>0</v>
      </c>
      <c r="DG591">
        <v>0</v>
      </c>
      <c r="DH591">
        <v>0</v>
      </c>
      <c r="DI591">
        <v>0</v>
      </c>
      <c r="DJ591">
        <v>0</v>
      </c>
      <c r="DK591">
        <v>0</v>
      </c>
      <c r="DL591">
        <v>0</v>
      </c>
      <c r="DM591">
        <v>1065.4000000000001</v>
      </c>
      <c r="DN591">
        <v>599.70000000000005</v>
      </c>
      <c r="DO591">
        <v>319.7</v>
      </c>
      <c r="DP591">
        <v>1570.6999999999998</v>
      </c>
      <c r="DQ591">
        <v>1399.5</v>
      </c>
      <c r="DR591">
        <v>3581</v>
      </c>
      <c r="DU591">
        <v>1393.2</v>
      </c>
      <c r="DV591">
        <v>2862.6</v>
      </c>
      <c r="DY591">
        <v>2361</v>
      </c>
      <c r="EA591">
        <v>2409.6</v>
      </c>
      <c r="EC591">
        <v>1661.3999999999999</v>
      </c>
      <c r="EE591">
        <v>0</v>
      </c>
      <c r="EF591">
        <v>0</v>
      </c>
      <c r="EG591">
        <v>0</v>
      </c>
      <c r="EH591">
        <v>0</v>
      </c>
      <c r="EI591">
        <v>0</v>
      </c>
      <c r="EJ591">
        <v>0</v>
      </c>
      <c r="EK591">
        <v>0</v>
      </c>
      <c r="EL591">
        <v>0</v>
      </c>
      <c r="EM591">
        <v>0</v>
      </c>
      <c r="EN591">
        <v>0</v>
      </c>
      <c r="EO591">
        <v>0</v>
      </c>
      <c r="EP591">
        <v>944.5</v>
      </c>
      <c r="EQ591">
        <v>3459.7</v>
      </c>
      <c r="ER591">
        <v>1353.5</v>
      </c>
      <c r="ES591">
        <v>182.2</v>
      </c>
      <c r="ET591">
        <v>855.59999999999991</v>
      </c>
      <c r="EU591">
        <v>172.2</v>
      </c>
      <c r="EV591">
        <v>203.2</v>
      </c>
      <c r="EW591">
        <v>1173.0999999999999</v>
      </c>
      <c r="EX591">
        <v>1078.3</v>
      </c>
      <c r="EY591">
        <v>1194.4000000000001</v>
      </c>
      <c r="EZ591">
        <v>1207.0999999999999</v>
      </c>
      <c r="FA591">
        <v>0</v>
      </c>
      <c r="FB591">
        <v>0</v>
      </c>
      <c r="FC591">
        <v>0</v>
      </c>
      <c r="FD591">
        <v>0</v>
      </c>
      <c r="FE591">
        <v>0</v>
      </c>
      <c r="FF591">
        <v>0</v>
      </c>
      <c r="FG591">
        <v>0</v>
      </c>
      <c r="FH591">
        <v>0</v>
      </c>
      <c r="FI591">
        <v>0</v>
      </c>
      <c r="FJ591">
        <v>0</v>
      </c>
      <c r="FK591">
        <v>0</v>
      </c>
      <c r="FL591">
        <v>0</v>
      </c>
      <c r="FM591">
        <v>0</v>
      </c>
      <c r="FN591">
        <v>0</v>
      </c>
      <c r="FO591">
        <v>0</v>
      </c>
      <c r="FP591">
        <v>0</v>
      </c>
      <c r="FQ591">
        <v>0</v>
      </c>
      <c r="FR591">
        <v>0</v>
      </c>
      <c r="FS591">
        <v>0</v>
      </c>
      <c r="FT591">
        <v>0</v>
      </c>
      <c r="FU591">
        <v>0</v>
      </c>
      <c r="FV591">
        <v>0</v>
      </c>
      <c r="FW591">
        <v>0</v>
      </c>
      <c r="FX591">
        <v>0</v>
      </c>
      <c r="FY591">
        <v>0</v>
      </c>
      <c r="FZ591">
        <v>0</v>
      </c>
      <c r="GA591">
        <v>0</v>
      </c>
      <c r="GB591">
        <v>0</v>
      </c>
      <c r="GC591">
        <v>0</v>
      </c>
      <c r="GD591">
        <v>0</v>
      </c>
      <c r="GE591">
        <v>0</v>
      </c>
      <c r="GF591">
        <v>0</v>
      </c>
      <c r="GG591">
        <v>0</v>
      </c>
      <c r="GH591">
        <v>0</v>
      </c>
      <c r="GI591">
        <v>0</v>
      </c>
      <c r="GJ591">
        <v>0</v>
      </c>
      <c r="GK591">
        <v>0</v>
      </c>
      <c r="GL591">
        <v>0</v>
      </c>
      <c r="GO591">
        <v>0</v>
      </c>
      <c r="GP591">
        <v>0</v>
      </c>
      <c r="GQ591">
        <v>0</v>
      </c>
      <c r="GR591">
        <v>0</v>
      </c>
      <c r="GS591">
        <v>0</v>
      </c>
      <c r="GT591">
        <v>0</v>
      </c>
      <c r="GU591">
        <v>0</v>
      </c>
      <c r="GV591">
        <v>0</v>
      </c>
      <c r="GW591">
        <v>0</v>
      </c>
      <c r="GX591">
        <v>0</v>
      </c>
      <c r="GY591">
        <v>0</v>
      </c>
      <c r="GZ591">
        <v>0</v>
      </c>
      <c r="HA591">
        <v>0</v>
      </c>
      <c r="HB591">
        <v>0</v>
      </c>
      <c r="HC591">
        <v>0</v>
      </c>
      <c r="HD591">
        <v>0</v>
      </c>
      <c r="HE591">
        <v>0</v>
      </c>
      <c r="HF591">
        <v>0</v>
      </c>
      <c r="HG591">
        <v>0</v>
      </c>
      <c r="HH591">
        <v>0</v>
      </c>
      <c r="HI591">
        <v>0</v>
      </c>
      <c r="HJ591">
        <v>0</v>
      </c>
      <c r="HK591">
        <v>0</v>
      </c>
      <c r="HL591">
        <v>0</v>
      </c>
      <c r="HM591">
        <v>0</v>
      </c>
      <c r="HN591">
        <v>0</v>
      </c>
      <c r="HO591">
        <v>0</v>
      </c>
      <c r="HP591">
        <v>0</v>
      </c>
      <c r="HQ591">
        <v>0</v>
      </c>
      <c r="HR591">
        <v>0</v>
      </c>
      <c r="HS591">
        <v>0</v>
      </c>
      <c r="HT591">
        <v>0</v>
      </c>
      <c r="HU591">
        <v>0</v>
      </c>
      <c r="HV591">
        <v>0</v>
      </c>
      <c r="HW591">
        <v>404.70000000000005</v>
      </c>
      <c r="HX591">
        <v>342.3</v>
      </c>
      <c r="HZ591">
        <v>866.2</v>
      </c>
      <c r="IA591">
        <v>1142.8</v>
      </c>
      <c r="IB591">
        <v>1121.5</v>
      </c>
      <c r="IC591">
        <v>2403</v>
      </c>
      <c r="ID591">
        <v>2659.3</v>
      </c>
      <c r="IE591">
        <v>1923.4</v>
      </c>
      <c r="IF591">
        <v>1465.7</v>
      </c>
      <c r="IG591">
        <v>1608.3</v>
      </c>
      <c r="IH591">
        <v>0</v>
      </c>
      <c r="II591">
        <v>0</v>
      </c>
      <c r="IJ591">
        <v>0</v>
      </c>
      <c r="IK591">
        <v>0</v>
      </c>
      <c r="IL591">
        <v>0</v>
      </c>
      <c r="IM591">
        <v>0</v>
      </c>
      <c r="IN591">
        <v>0</v>
      </c>
      <c r="IO591">
        <v>0</v>
      </c>
      <c r="IP591">
        <v>75.099999999999994</v>
      </c>
    </row>
    <row r="592" spans="1:250" ht="18" thickBot="1">
      <c r="A592" s="245"/>
      <c r="B592" s="245" t="s">
        <v>950</v>
      </c>
      <c r="C592" s="332" t="s">
        <v>1049</v>
      </c>
      <c r="D592" s="396"/>
      <c r="E592" s="454">
        <v>0</v>
      </c>
      <c r="F592">
        <v>0</v>
      </c>
      <c r="G592" s="427">
        <v>0</v>
      </c>
      <c r="H592" s="155">
        <v>0</v>
      </c>
      <c r="I592">
        <v>0</v>
      </c>
      <c r="J592">
        <v>0</v>
      </c>
      <c r="K592">
        <v>0</v>
      </c>
      <c r="L592" s="4">
        <v>0</v>
      </c>
      <c r="M592" s="4">
        <v>0</v>
      </c>
      <c r="N592" s="4">
        <v>0</v>
      </c>
      <c r="O592" s="4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R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G592">
        <v>0</v>
      </c>
      <c r="BI592">
        <v>0</v>
      </c>
      <c r="BK592">
        <v>0</v>
      </c>
      <c r="BL592">
        <v>0</v>
      </c>
      <c r="BM592">
        <v>0</v>
      </c>
      <c r="BN592">
        <v>0</v>
      </c>
      <c r="BO592">
        <v>344.70000000000005</v>
      </c>
      <c r="BP592">
        <v>625.70000000000005</v>
      </c>
      <c r="BQ592">
        <v>912.2</v>
      </c>
      <c r="BR592">
        <v>237.7</v>
      </c>
      <c r="BS592">
        <v>0</v>
      </c>
      <c r="BT592">
        <v>0</v>
      </c>
      <c r="BU592">
        <v>0</v>
      </c>
      <c r="BV592">
        <v>0</v>
      </c>
      <c r="BW592">
        <v>1647.4</v>
      </c>
      <c r="BY592">
        <v>453.1</v>
      </c>
      <c r="CA592">
        <v>285.39999999999998</v>
      </c>
      <c r="CB592">
        <v>280.8</v>
      </c>
      <c r="CC592">
        <v>127.7</v>
      </c>
      <c r="CD592">
        <v>0</v>
      </c>
      <c r="CE592">
        <v>0</v>
      </c>
      <c r="CF592">
        <v>0</v>
      </c>
      <c r="CG592">
        <v>0</v>
      </c>
      <c r="CI592">
        <v>0</v>
      </c>
      <c r="CJ592">
        <v>0</v>
      </c>
      <c r="CL592">
        <v>0</v>
      </c>
      <c r="CM592">
        <v>0</v>
      </c>
      <c r="CN592">
        <v>0</v>
      </c>
      <c r="CO592">
        <v>0</v>
      </c>
      <c r="CP592">
        <v>0</v>
      </c>
      <c r="CQ592">
        <v>621.70000000000005</v>
      </c>
      <c r="CR592">
        <v>481.70000000000005</v>
      </c>
      <c r="CS592">
        <v>0</v>
      </c>
      <c r="CT592">
        <v>524.6</v>
      </c>
      <c r="CU592">
        <v>514.1</v>
      </c>
      <c r="CV592">
        <v>175.2</v>
      </c>
      <c r="CW592">
        <v>0</v>
      </c>
      <c r="CX592">
        <v>65.099999999999994</v>
      </c>
      <c r="CY592">
        <v>199</v>
      </c>
      <c r="CZ592">
        <v>1907.9</v>
      </c>
      <c r="DA592">
        <v>0</v>
      </c>
      <c r="DB592">
        <v>0</v>
      </c>
      <c r="DC592">
        <v>0</v>
      </c>
      <c r="DD592">
        <v>0</v>
      </c>
      <c r="DE592">
        <v>0</v>
      </c>
      <c r="DF592">
        <v>0</v>
      </c>
      <c r="DG592">
        <v>0</v>
      </c>
      <c r="DH592">
        <v>0</v>
      </c>
      <c r="DI592">
        <v>0</v>
      </c>
      <c r="DJ592">
        <v>0</v>
      </c>
      <c r="DK592">
        <v>0</v>
      </c>
      <c r="DL592">
        <v>0</v>
      </c>
      <c r="DM592">
        <v>1065.4000000000001</v>
      </c>
      <c r="DN592">
        <v>599.70000000000005</v>
      </c>
      <c r="DO592">
        <v>319.7</v>
      </c>
      <c r="DP592">
        <v>1570.6999999999998</v>
      </c>
      <c r="DQ592">
        <v>1399.5</v>
      </c>
      <c r="DR592">
        <v>3581</v>
      </c>
      <c r="DU592">
        <v>1393.2</v>
      </c>
      <c r="DV592">
        <v>2862.6</v>
      </c>
      <c r="DY592">
        <v>2361</v>
      </c>
      <c r="EA592">
        <v>2409.6</v>
      </c>
      <c r="EC592">
        <v>1661.3999999999999</v>
      </c>
      <c r="EE592">
        <v>0</v>
      </c>
      <c r="EF592">
        <v>0</v>
      </c>
      <c r="EG592">
        <v>0</v>
      </c>
      <c r="EH592">
        <v>0</v>
      </c>
      <c r="EI592">
        <v>0</v>
      </c>
      <c r="EJ592">
        <v>0</v>
      </c>
      <c r="EK592">
        <v>0</v>
      </c>
      <c r="EL592">
        <v>0</v>
      </c>
      <c r="EM592">
        <v>0</v>
      </c>
      <c r="EN592">
        <v>0</v>
      </c>
      <c r="EO592">
        <v>0</v>
      </c>
      <c r="EP592">
        <v>944.5</v>
      </c>
      <c r="EQ592">
        <v>3459.7</v>
      </c>
      <c r="ER592">
        <v>1353.5</v>
      </c>
      <c r="ES592">
        <v>182.2</v>
      </c>
      <c r="ET592">
        <v>855.59999999999991</v>
      </c>
      <c r="EU592">
        <v>172.2</v>
      </c>
      <c r="EV592">
        <v>203.2</v>
      </c>
      <c r="EW592">
        <v>1173.0999999999999</v>
      </c>
      <c r="EX592">
        <v>1078.3</v>
      </c>
      <c r="EY592">
        <v>1194.4000000000001</v>
      </c>
      <c r="EZ592">
        <v>1207.0999999999999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0</v>
      </c>
      <c r="FG592">
        <v>0</v>
      </c>
      <c r="FH592">
        <v>0</v>
      </c>
      <c r="FI592">
        <v>0</v>
      </c>
      <c r="FJ592">
        <v>0</v>
      </c>
      <c r="FK592">
        <v>0</v>
      </c>
      <c r="FL592">
        <v>0</v>
      </c>
      <c r="FM592">
        <v>0</v>
      </c>
      <c r="FN592">
        <v>0</v>
      </c>
      <c r="FO592">
        <v>0</v>
      </c>
      <c r="FP592">
        <v>0</v>
      </c>
      <c r="FQ592">
        <v>0</v>
      </c>
      <c r="FR592">
        <v>0</v>
      </c>
      <c r="FS592">
        <v>0</v>
      </c>
      <c r="FT592">
        <v>0</v>
      </c>
      <c r="FU592">
        <v>0</v>
      </c>
      <c r="FV592">
        <v>0</v>
      </c>
      <c r="FW592">
        <v>0</v>
      </c>
      <c r="FX592">
        <v>0</v>
      </c>
      <c r="FY592">
        <v>0</v>
      </c>
      <c r="FZ592">
        <v>0</v>
      </c>
      <c r="GA592">
        <v>0</v>
      </c>
      <c r="GB592">
        <v>0</v>
      </c>
      <c r="GC592">
        <v>0</v>
      </c>
      <c r="GD592">
        <v>0</v>
      </c>
      <c r="GE592">
        <v>0</v>
      </c>
      <c r="GF592">
        <v>0</v>
      </c>
      <c r="GG592">
        <v>0</v>
      </c>
      <c r="GH592">
        <v>0</v>
      </c>
      <c r="GI592">
        <v>0</v>
      </c>
      <c r="GJ592">
        <v>0</v>
      </c>
      <c r="GK592">
        <v>0</v>
      </c>
      <c r="GL592">
        <v>0</v>
      </c>
      <c r="GO592">
        <v>0</v>
      </c>
      <c r="GP592">
        <v>0</v>
      </c>
      <c r="GQ592">
        <v>0</v>
      </c>
      <c r="GR592">
        <v>0</v>
      </c>
      <c r="GS592">
        <v>0</v>
      </c>
      <c r="GT592">
        <v>0</v>
      </c>
      <c r="GU592">
        <v>0</v>
      </c>
      <c r="GV592">
        <v>0</v>
      </c>
      <c r="GW592">
        <v>0</v>
      </c>
      <c r="GX592">
        <v>0</v>
      </c>
      <c r="GY592">
        <v>0</v>
      </c>
      <c r="GZ592">
        <v>0</v>
      </c>
      <c r="HA592">
        <v>0</v>
      </c>
      <c r="HB592">
        <v>0</v>
      </c>
      <c r="HC592">
        <v>0</v>
      </c>
      <c r="HD592">
        <v>0</v>
      </c>
      <c r="HE592">
        <v>0</v>
      </c>
      <c r="HF592">
        <v>0</v>
      </c>
      <c r="HG592">
        <v>0</v>
      </c>
      <c r="HH592">
        <v>0</v>
      </c>
      <c r="HI592">
        <v>0</v>
      </c>
      <c r="HJ592">
        <v>0</v>
      </c>
      <c r="HK592">
        <v>0</v>
      </c>
      <c r="HL592">
        <v>0</v>
      </c>
      <c r="HM592">
        <v>0</v>
      </c>
      <c r="HN592">
        <v>0</v>
      </c>
      <c r="HO592">
        <v>0</v>
      </c>
      <c r="HP592">
        <v>0</v>
      </c>
      <c r="HQ592">
        <v>0</v>
      </c>
      <c r="HR592">
        <v>0</v>
      </c>
      <c r="HS592">
        <v>0</v>
      </c>
      <c r="HT592">
        <v>0</v>
      </c>
      <c r="HU592">
        <v>0</v>
      </c>
      <c r="HV592">
        <v>0</v>
      </c>
      <c r="HW592">
        <v>404.70000000000005</v>
      </c>
      <c r="HX592">
        <v>342.3</v>
      </c>
      <c r="HZ592">
        <v>866.2</v>
      </c>
      <c r="IA592">
        <v>1142.8</v>
      </c>
      <c r="IB592">
        <v>1121.5</v>
      </c>
      <c r="IC592">
        <v>2403</v>
      </c>
      <c r="ID592">
        <v>2659.3</v>
      </c>
      <c r="IE592">
        <v>1923.4</v>
      </c>
      <c r="IF592">
        <v>1465.7</v>
      </c>
      <c r="IG592">
        <v>1608.3</v>
      </c>
      <c r="IH592">
        <v>0</v>
      </c>
      <c r="II592">
        <v>0</v>
      </c>
      <c r="IJ592">
        <v>0</v>
      </c>
      <c r="IK592">
        <v>0</v>
      </c>
      <c r="IL592">
        <v>0</v>
      </c>
      <c r="IM592">
        <v>0</v>
      </c>
      <c r="IN592">
        <v>0</v>
      </c>
      <c r="IO592">
        <v>0</v>
      </c>
      <c r="IP592">
        <v>75.099999999999994</v>
      </c>
    </row>
    <row r="593" spans="1:250" ht="18" thickBot="1">
      <c r="A593" s="245"/>
      <c r="B593" s="245" t="s">
        <v>951</v>
      </c>
      <c r="C593" s="88" t="s">
        <v>1050</v>
      </c>
      <c r="D593" s="397"/>
      <c r="E593" s="454">
        <v>0</v>
      </c>
      <c r="F593">
        <v>0</v>
      </c>
      <c r="G593" s="427">
        <v>0</v>
      </c>
      <c r="H593" s="155">
        <v>0</v>
      </c>
      <c r="I593">
        <v>0</v>
      </c>
      <c r="J593">
        <v>0</v>
      </c>
      <c r="K593">
        <v>0</v>
      </c>
      <c r="L593" s="4">
        <v>0</v>
      </c>
      <c r="M593" s="4">
        <v>0</v>
      </c>
      <c r="N593" s="4">
        <v>0</v>
      </c>
      <c r="O593" s="4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R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G593">
        <v>0</v>
      </c>
      <c r="BI593">
        <v>0</v>
      </c>
      <c r="BK593">
        <v>0</v>
      </c>
      <c r="BL593">
        <v>0</v>
      </c>
      <c r="BM593">
        <v>0</v>
      </c>
      <c r="BN593">
        <v>0</v>
      </c>
      <c r="BO593">
        <v>344.70000000000005</v>
      </c>
      <c r="BP593">
        <v>625.70000000000005</v>
      </c>
      <c r="BQ593">
        <v>912.2</v>
      </c>
      <c r="BR593">
        <v>237.7</v>
      </c>
      <c r="BS593">
        <v>0</v>
      </c>
      <c r="BT593">
        <v>0</v>
      </c>
      <c r="BU593">
        <v>0</v>
      </c>
      <c r="BV593">
        <v>0</v>
      </c>
      <c r="BW593">
        <v>1647.4</v>
      </c>
      <c r="BY593">
        <v>453.1</v>
      </c>
      <c r="CA593">
        <v>285.39999999999998</v>
      </c>
      <c r="CB593">
        <v>280.8</v>
      </c>
      <c r="CC593">
        <v>127.7</v>
      </c>
      <c r="CD593">
        <v>0</v>
      </c>
      <c r="CE593">
        <v>0</v>
      </c>
      <c r="CF593">
        <v>0</v>
      </c>
      <c r="CG593">
        <v>0</v>
      </c>
      <c r="CI593">
        <v>0</v>
      </c>
      <c r="CJ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621.70000000000005</v>
      </c>
      <c r="CR593">
        <v>481.70000000000005</v>
      </c>
      <c r="CS593">
        <v>0</v>
      </c>
      <c r="CT593">
        <v>524.6</v>
      </c>
      <c r="CU593">
        <v>514.1</v>
      </c>
      <c r="CV593">
        <v>175.2</v>
      </c>
      <c r="CW593">
        <v>0</v>
      </c>
      <c r="CX593">
        <v>65.099999999999994</v>
      </c>
      <c r="CY593">
        <v>199</v>
      </c>
      <c r="CZ593">
        <v>1907.9</v>
      </c>
      <c r="DA593">
        <v>0</v>
      </c>
      <c r="DB593">
        <v>0</v>
      </c>
      <c r="DC593">
        <v>0</v>
      </c>
      <c r="DD593">
        <v>0</v>
      </c>
      <c r="DE593">
        <v>0</v>
      </c>
      <c r="DF593">
        <v>0</v>
      </c>
      <c r="DG593">
        <v>0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1065.4000000000001</v>
      </c>
      <c r="DN593">
        <v>599.70000000000005</v>
      </c>
      <c r="DO593">
        <v>319.7</v>
      </c>
      <c r="DP593">
        <v>1570.6999999999998</v>
      </c>
      <c r="DQ593">
        <v>1399.5</v>
      </c>
      <c r="DR593">
        <v>3581</v>
      </c>
      <c r="DU593">
        <v>1393.2</v>
      </c>
      <c r="DV593">
        <v>2862.6</v>
      </c>
      <c r="DY593">
        <v>2361</v>
      </c>
      <c r="EA593">
        <v>2409.6</v>
      </c>
      <c r="EC593">
        <v>1661.3999999999999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944.5</v>
      </c>
      <c r="EQ593">
        <v>3459.7</v>
      </c>
      <c r="ER593">
        <v>1353.5</v>
      </c>
      <c r="ES593">
        <v>182.2</v>
      </c>
      <c r="ET593">
        <v>855.59999999999991</v>
      </c>
      <c r="EU593">
        <v>172.2</v>
      </c>
      <c r="EV593">
        <v>203.2</v>
      </c>
      <c r="EW593">
        <v>1173.0999999999999</v>
      </c>
      <c r="EX593">
        <v>1078.3</v>
      </c>
      <c r="EY593">
        <v>1194.4000000000001</v>
      </c>
      <c r="EZ593">
        <v>1207.0999999999999</v>
      </c>
      <c r="FA593">
        <v>0</v>
      </c>
      <c r="FB593">
        <v>0</v>
      </c>
      <c r="FC593">
        <v>0</v>
      </c>
      <c r="FD593">
        <v>0</v>
      </c>
      <c r="FE593">
        <v>0</v>
      </c>
      <c r="FF593">
        <v>0</v>
      </c>
      <c r="FG593">
        <v>0</v>
      </c>
      <c r="FH593">
        <v>0</v>
      </c>
      <c r="FI593">
        <v>0</v>
      </c>
      <c r="FJ593">
        <v>0</v>
      </c>
      <c r="FK593">
        <v>0</v>
      </c>
      <c r="FL593">
        <v>0</v>
      </c>
      <c r="FM593">
        <v>0</v>
      </c>
      <c r="FN593">
        <v>0</v>
      </c>
      <c r="FO593">
        <v>0</v>
      </c>
      <c r="FP593">
        <v>0</v>
      </c>
      <c r="FQ593">
        <v>0</v>
      </c>
      <c r="FR593">
        <v>0</v>
      </c>
      <c r="FS593">
        <v>0</v>
      </c>
      <c r="FT593">
        <v>0</v>
      </c>
      <c r="FU593">
        <v>0</v>
      </c>
      <c r="FV593">
        <v>0</v>
      </c>
      <c r="FW593">
        <v>0</v>
      </c>
      <c r="FX593">
        <v>0</v>
      </c>
      <c r="FY593">
        <v>0</v>
      </c>
      <c r="FZ593">
        <v>0</v>
      </c>
      <c r="GA593">
        <v>0</v>
      </c>
      <c r="GB593">
        <v>0</v>
      </c>
      <c r="GC593">
        <v>0</v>
      </c>
      <c r="GD593">
        <v>0</v>
      </c>
      <c r="GE593">
        <v>0</v>
      </c>
      <c r="GF593">
        <v>0</v>
      </c>
      <c r="GG593">
        <v>0</v>
      </c>
      <c r="GH593">
        <v>0</v>
      </c>
      <c r="GI593">
        <v>0</v>
      </c>
      <c r="GJ593">
        <v>0</v>
      </c>
      <c r="GK593">
        <v>0</v>
      </c>
      <c r="GL593">
        <v>0</v>
      </c>
      <c r="GO593">
        <v>0</v>
      </c>
      <c r="GP593">
        <v>0</v>
      </c>
      <c r="GQ593">
        <v>0</v>
      </c>
      <c r="GR593">
        <v>0</v>
      </c>
      <c r="GS593">
        <v>0</v>
      </c>
      <c r="GT593">
        <v>0</v>
      </c>
      <c r="GU593">
        <v>0</v>
      </c>
      <c r="GV593">
        <v>0</v>
      </c>
      <c r="GW593">
        <v>0</v>
      </c>
      <c r="GX593">
        <v>0</v>
      </c>
      <c r="GY593">
        <v>0</v>
      </c>
      <c r="GZ593">
        <v>0</v>
      </c>
      <c r="HA593">
        <v>0</v>
      </c>
      <c r="HB593">
        <v>0</v>
      </c>
      <c r="HC593">
        <v>0</v>
      </c>
      <c r="HD593">
        <v>0</v>
      </c>
      <c r="HE593">
        <v>0</v>
      </c>
      <c r="HF593">
        <v>0</v>
      </c>
      <c r="HG593">
        <v>0</v>
      </c>
      <c r="HH593">
        <v>0</v>
      </c>
      <c r="HI593">
        <v>0</v>
      </c>
      <c r="HJ593">
        <v>0</v>
      </c>
      <c r="HK593">
        <v>0</v>
      </c>
      <c r="HL593">
        <v>0</v>
      </c>
      <c r="HM593">
        <v>0</v>
      </c>
      <c r="HN593">
        <v>0</v>
      </c>
      <c r="HO593">
        <v>0</v>
      </c>
      <c r="HP593">
        <v>0</v>
      </c>
      <c r="HQ593">
        <v>0</v>
      </c>
      <c r="HR593">
        <v>0</v>
      </c>
      <c r="HS593">
        <v>0</v>
      </c>
      <c r="HT593">
        <v>0</v>
      </c>
      <c r="HU593">
        <v>0</v>
      </c>
      <c r="HV593">
        <v>0</v>
      </c>
      <c r="HW593">
        <v>404.70000000000005</v>
      </c>
      <c r="HX593">
        <v>342.3</v>
      </c>
      <c r="HZ593">
        <v>866.2</v>
      </c>
      <c r="IA593">
        <v>1142.8</v>
      </c>
      <c r="IB593">
        <v>1121.5</v>
      </c>
      <c r="IC593">
        <v>2403</v>
      </c>
      <c r="ID593">
        <v>2659.3</v>
      </c>
      <c r="IE593">
        <v>1923.4</v>
      </c>
      <c r="IF593">
        <v>1465.7</v>
      </c>
      <c r="IG593">
        <v>1608.3</v>
      </c>
      <c r="IH593">
        <v>0</v>
      </c>
      <c r="II593">
        <v>0</v>
      </c>
      <c r="IJ593">
        <v>0</v>
      </c>
      <c r="IK593">
        <v>0</v>
      </c>
      <c r="IL593">
        <v>0</v>
      </c>
      <c r="IM593">
        <v>0</v>
      </c>
      <c r="IN593">
        <v>0</v>
      </c>
      <c r="IO593">
        <v>0</v>
      </c>
      <c r="IP593">
        <v>75.099999999999994</v>
      </c>
    </row>
    <row r="594" spans="1:250" ht="18" thickBot="1">
      <c r="A594" s="245"/>
      <c r="B594" s="245" t="s">
        <v>952</v>
      </c>
      <c r="C594" s="88" t="s">
        <v>1051</v>
      </c>
      <c r="D594" s="397"/>
      <c r="E594" s="454">
        <v>0</v>
      </c>
      <c r="F594">
        <v>0</v>
      </c>
      <c r="G594" s="427">
        <v>0</v>
      </c>
      <c r="H594" s="155">
        <v>0</v>
      </c>
      <c r="I594">
        <v>0</v>
      </c>
      <c r="J594">
        <v>0</v>
      </c>
      <c r="K594">
        <v>0</v>
      </c>
      <c r="L594" s="4">
        <v>0</v>
      </c>
      <c r="M594" s="4">
        <v>0</v>
      </c>
      <c r="N594" s="4">
        <v>0</v>
      </c>
      <c r="O594" s="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R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G594">
        <v>0</v>
      </c>
      <c r="BI594">
        <v>0</v>
      </c>
      <c r="BK594">
        <v>0</v>
      </c>
      <c r="BL594">
        <v>0</v>
      </c>
      <c r="BM594">
        <v>0</v>
      </c>
      <c r="BN594">
        <v>0</v>
      </c>
      <c r="BO594">
        <v>344.70000000000005</v>
      </c>
      <c r="BP594">
        <v>625.70000000000005</v>
      </c>
      <c r="BQ594">
        <v>912.2</v>
      </c>
      <c r="BR594">
        <v>237.7</v>
      </c>
      <c r="BS594">
        <v>0</v>
      </c>
      <c r="BT594">
        <v>0</v>
      </c>
      <c r="BU594">
        <v>0</v>
      </c>
      <c r="BV594">
        <v>0</v>
      </c>
      <c r="BW594">
        <v>1647.4</v>
      </c>
      <c r="BY594">
        <v>453.1</v>
      </c>
      <c r="CA594">
        <v>285.39999999999998</v>
      </c>
      <c r="CB594">
        <v>280.8</v>
      </c>
      <c r="CC594">
        <v>127.7</v>
      </c>
      <c r="CD594">
        <v>0</v>
      </c>
      <c r="CE594">
        <v>0</v>
      </c>
      <c r="CF594">
        <v>0</v>
      </c>
      <c r="CG594">
        <v>0</v>
      </c>
      <c r="CI594">
        <v>0</v>
      </c>
      <c r="CJ594">
        <v>0</v>
      </c>
      <c r="CL594">
        <v>0</v>
      </c>
      <c r="CM594">
        <v>0</v>
      </c>
      <c r="CN594">
        <v>0</v>
      </c>
      <c r="CO594">
        <v>0</v>
      </c>
      <c r="CP594">
        <v>0</v>
      </c>
      <c r="CQ594">
        <v>621.70000000000005</v>
      </c>
      <c r="CR594">
        <v>481.70000000000005</v>
      </c>
      <c r="CS594">
        <v>0</v>
      </c>
      <c r="CT594">
        <v>524.6</v>
      </c>
      <c r="CU594">
        <v>514.1</v>
      </c>
      <c r="CV594">
        <v>175.2</v>
      </c>
      <c r="CW594">
        <v>0</v>
      </c>
      <c r="CX594">
        <v>65.099999999999994</v>
      </c>
      <c r="CY594">
        <v>199</v>
      </c>
      <c r="CZ594">
        <v>1907.9</v>
      </c>
      <c r="DA594">
        <v>0</v>
      </c>
      <c r="DB594">
        <v>0</v>
      </c>
      <c r="DC594">
        <v>0</v>
      </c>
      <c r="DD594">
        <v>0</v>
      </c>
      <c r="DE594">
        <v>0</v>
      </c>
      <c r="DF594">
        <v>0</v>
      </c>
      <c r="DG594">
        <v>0</v>
      </c>
      <c r="DH594">
        <v>0</v>
      </c>
      <c r="DI594">
        <v>0</v>
      </c>
      <c r="DJ594">
        <v>0</v>
      </c>
      <c r="DK594">
        <v>0</v>
      </c>
      <c r="DL594">
        <v>0</v>
      </c>
      <c r="DM594">
        <v>1065.4000000000001</v>
      </c>
      <c r="DN594">
        <v>599.70000000000005</v>
      </c>
      <c r="DO594">
        <v>319.7</v>
      </c>
      <c r="DP594">
        <v>1570.6999999999998</v>
      </c>
      <c r="DQ594">
        <v>1399.5</v>
      </c>
      <c r="DR594">
        <v>3581</v>
      </c>
      <c r="DU594">
        <v>1393.2</v>
      </c>
      <c r="DV594">
        <v>2862.6</v>
      </c>
      <c r="DY594">
        <v>2361</v>
      </c>
      <c r="EA594">
        <v>2409.6</v>
      </c>
      <c r="EC594">
        <v>1661.3999999999999</v>
      </c>
      <c r="EE594">
        <v>0</v>
      </c>
      <c r="EF594">
        <v>0</v>
      </c>
      <c r="EG594">
        <v>0</v>
      </c>
      <c r="EH594">
        <v>0</v>
      </c>
      <c r="EI594">
        <v>0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944.5</v>
      </c>
      <c r="EQ594">
        <v>3459.7</v>
      </c>
      <c r="ER594">
        <v>1353.5</v>
      </c>
      <c r="ES594">
        <v>182.2</v>
      </c>
      <c r="ET594">
        <v>855.59999999999991</v>
      </c>
      <c r="EU594">
        <v>172.2</v>
      </c>
      <c r="EV594">
        <v>203.2</v>
      </c>
      <c r="EW594">
        <v>1173.0999999999999</v>
      </c>
      <c r="EX594">
        <v>1078.3</v>
      </c>
      <c r="EY594">
        <v>1194.4000000000001</v>
      </c>
      <c r="EZ594">
        <v>1207.0999999999999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0</v>
      </c>
      <c r="FG594">
        <v>0</v>
      </c>
      <c r="FH594">
        <v>0</v>
      </c>
      <c r="FI594">
        <v>0</v>
      </c>
      <c r="FJ594">
        <v>0</v>
      </c>
      <c r="FK594">
        <v>0</v>
      </c>
      <c r="FL594">
        <v>0</v>
      </c>
      <c r="FM594">
        <v>0</v>
      </c>
      <c r="FN594">
        <v>0</v>
      </c>
      <c r="FO594">
        <v>0</v>
      </c>
      <c r="FP594">
        <v>0</v>
      </c>
      <c r="FQ594">
        <v>0</v>
      </c>
      <c r="FR594">
        <v>0</v>
      </c>
      <c r="FS594">
        <v>0</v>
      </c>
      <c r="FT594">
        <v>0</v>
      </c>
      <c r="FU594">
        <v>0</v>
      </c>
      <c r="FV594">
        <v>0</v>
      </c>
      <c r="FW594">
        <v>0</v>
      </c>
      <c r="FX594">
        <v>0</v>
      </c>
      <c r="FY594">
        <v>0</v>
      </c>
      <c r="FZ594">
        <v>0</v>
      </c>
      <c r="GA594">
        <v>0</v>
      </c>
      <c r="GB594">
        <v>0</v>
      </c>
      <c r="GC594">
        <v>0</v>
      </c>
      <c r="GD594">
        <v>0</v>
      </c>
      <c r="GE594">
        <v>0</v>
      </c>
      <c r="GF594">
        <v>0</v>
      </c>
      <c r="GG594">
        <v>0</v>
      </c>
      <c r="GH594">
        <v>0</v>
      </c>
      <c r="GI594">
        <v>0</v>
      </c>
      <c r="GJ594">
        <v>0</v>
      </c>
      <c r="GK594">
        <v>0</v>
      </c>
      <c r="GL594">
        <v>0</v>
      </c>
      <c r="GO594">
        <v>0</v>
      </c>
      <c r="GP594">
        <v>0</v>
      </c>
      <c r="GQ594">
        <v>0</v>
      </c>
      <c r="GR594">
        <v>0</v>
      </c>
      <c r="GS594">
        <v>0</v>
      </c>
      <c r="GT594">
        <v>0</v>
      </c>
      <c r="GU594">
        <v>0</v>
      </c>
      <c r="GV594">
        <v>0</v>
      </c>
      <c r="GW594">
        <v>0</v>
      </c>
      <c r="GX594">
        <v>0</v>
      </c>
      <c r="GY594">
        <v>0</v>
      </c>
      <c r="GZ594">
        <v>0</v>
      </c>
      <c r="HA594">
        <v>0</v>
      </c>
      <c r="HB594">
        <v>0</v>
      </c>
      <c r="HC594">
        <v>0</v>
      </c>
      <c r="HD594">
        <v>0</v>
      </c>
      <c r="HE594">
        <v>0</v>
      </c>
      <c r="HF594">
        <v>0</v>
      </c>
      <c r="HG594">
        <v>0</v>
      </c>
      <c r="HH594">
        <v>0</v>
      </c>
      <c r="HI594">
        <v>0</v>
      </c>
      <c r="HJ594">
        <v>0</v>
      </c>
      <c r="HK594">
        <v>0</v>
      </c>
      <c r="HL594">
        <v>0</v>
      </c>
      <c r="HM594">
        <v>0</v>
      </c>
      <c r="HN594">
        <v>0</v>
      </c>
      <c r="HO594">
        <v>0</v>
      </c>
      <c r="HP594">
        <v>0</v>
      </c>
      <c r="HQ594">
        <v>0</v>
      </c>
      <c r="HR594">
        <v>0</v>
      </c>
      <c r="HS594">
        <v>0</v>
      </c>
      <c r="HT594">
        <v>0</v>
      </c>
      <c r="HU594">
        <v>0</v>
      </c>
      <c r="HV594">
        <v>0</v>
      </c>
      <c r="HW594">
        <v>404.70000000000005</v>
      </c>
      <c r="HX594">
        <v>342.3</v>
      </c>
      <c r="HZ594">
        <v>866.2</v>
      </c>
      <c r="IA594">
        <v>1142.8</v>
      </c>
      <c r="IB594">
        <v>1121.5</v>
      </c>
      <c r="IC594">
        <v>2403</v>
      </c>
      <c r="ID594">
        <v>2659.3</v>
      </c>
      <c r="IE594">
        <v>1923.4</v>
      </c>
      <c r="IF594">
        <v>1465.7</v>
      </c>
      <c r="IG594">
        <v>1608.3</v>
      </c>
      <c r="IH594">
        <v>0</v>
      </c>
      <c r="II594">
        <v>0</v>
      </c>
      <c r="IJ594">
        <v>0</v>
      </c>
      <c r="IK594">
        <v>0</v>
      </c>
      <c r="IL594">
        <v>0</v>
      </c>
      <c r="IM594">
        <v>0</v>
      </c>
      <c r="IN594">
        <v>0</v>
      </c>
      <c r="IO594">
        <v>0</v>
      </c>
      <c r="IP594">
        <v>75.099999999999994</v>
      </c>
    </row>
    <row r="595" spans="1:250" ht="18" thickBot="1">
      <c r="A595" s="245"/>
      <c r="B595" s="245" t="s">
        <v>953</v>
      </c>
      <c r="C595" s="88" t="s">
        <v>1052</v>
      </c>
      <c r="D595" s="397"/>
      <c r="E595" s="454">
        <v>0</v>
      </c>
      <c r="F595">
        <v>0</v>
      </c>
      <c r="G595" s="427">
        <v>0</v>
      </c>
      <c r="H595" s="155">
        <v>0</v>
      </c>
      <c r="I595">
        <v>0</v>
      </c>
      <c r="J595">
        <v>0</v>
      </c>
      <c r="K595">
        <v>0</v>
      </c>
      <c r="L595" s="4">
        <v>0</v>
      </c>
      <c r="M595" s="4">
        <v>0</v>
      </c>
      <c r="N595" s="4">
        <v>0</v>
      </c>
      <c r="O595" s="4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R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G595">
        <v>0</v>
      </c>
      <c r="BI595">
        <v>0</v>
      </c>
      <c r="BK595">
        <v>0</v>
      </c>
      <c r="BL595">
        <v>0</v>
      </c>
      <c r="BM595">
        <v>0</v>
      </c>
      <c r="BN595">
        <v>0</v>
      </c>
      <c r="BO595">
        <v>344.70000000000005</v>
      </c>
      <c r="BP595">
        <v>625.70000000000005</v>
      </c>
      <c r="BQ595">
        <v>912.2</v>
      </c>
      <c r="BR595">
        <v>237.7</v>
      </c>
      <c r="BS595">
        <v>0</v>
      </c>
      <c r="BT595">
        <v>0</v>
      </c>
      <c r="BU595">
        <v>0</v>
      </c>
      <c r="BV595">
        <v>0</v>
      </c>
      <c r="BW595">
        <v>1647.4</v>
      </c>
      <c r="BY595">
        <v>453.1</v>
      </c>
      <c r="CA595">
        <v>285.39999999999998</v>
      </c>
      <c r="CB595">
        <v>280.8</v>
      </c>
      <c r="CC595">
        <v>127.7</v>
      </c>
      <c r="CD595">
        <v>0</v>
      </c>
      <c r="CE595">
        <v>0</v>
      </c>
      <c r="CF595">
        <v>0</v>
      </c>
      <c r="CG595">
        <v>0</v>
      </c>
      <c r="CI595">
        <v>0</v>
      </c>
      <c r="CJ595">
        <v>0</v>
      </c>
      <c r="CL595">
        <v>0</v>
      </c>
      <c r="CM595">
        <v>0</v>
      </c>
      <c r="CN595">
        <v>0</v>
      </c>
      <c r="CO595">
        <v>0</v>
      </c>
      <c r="CP595">
        <v>0</v>
      </c>
      <c r="CQ595">
        <v>621.70000000000005</v>
      </c>
      <c r="CR595">
        <v>481.70000000000005</v>
      </c>
      <c r="CS595">
        <v>0</v>
      </c>
      <c r="CT595">
        <v>524.6</v>
      </c>
      <c r="CU595">
        <v>514.1</v>
      </c>
      <c r="CV595">
        <v>175.2</v>
      </c>
      <c r="CW595">
        <v>0</v>
      </c>
      <c r="CX595">
        <v>65.099999999999994</v>
      </c>
      <c r="CY595">
        <v>199</v>
      </c>
      <c r="CZ595">
        <v>1907.9</v>
      </c>
      <c r="DA595">
        <v>0</v>
      </c>
      <c r="DB595">
        <v>0</v>
      </c>
      <c r="DC595">
        <v>0</v>
      </c>
      <c r="DD595">
        <v>0</v>
      </c>
      <c r="DE595">
        <v>0</v>
      </c>
      <c r="DF595">
        <v>0</v>
      </c>
      <c r="DG595">
        <v>0</v>
      </c>
      <c r="DH595">
        <v>0</v>
      </c>
      <c r="DI595">
        <v>0</v>
      </c>
      <c r="DJ595">
        <v>0</v>
      </c>
      <c r="DK595">
        <v>0</v>
      </c>
      <c r="DL595">
        <v>0</v>
      </c>
      <c r="DM595">
        <v>1065.4000000000001</v>
      </c>
      <c r="DN595">
        <v>599.70000000000005</v>
      </c>
      <c r="DO595">
        <v>319.7</v>
      </c>
      <c r="DP595">
        <v>1570.6999999999998</v>
      </c>
      <c r="DQ595">
        <v>1399.5</v>
      </c>
      <c r="DR595">
        <v>3581</v>
      </c>
      <c r="DU595">
        <v>1393.2</v>
      </c>
      <c r="DV595">
        <v>2862.6</v>
      </c>
      <c r="DY595">
        <v>2361</v>
      </c>
      <c r="EA595">
        <v>2409.6</v>
      </c>
      <c r="EC595">
        <v>1661.3999999999999</v>
      </c>
      <c r="EE595">
        <v>0</v>
      </c>
      <c r="EF595">
        <v>0</v>
      </c>
      <c r="EG595">
        <v>0</v>
      </c>
      <c r="EH595">
        <v>0</v>
      </c>
      <c r="EI595">
        <v>0</v>
      </c>
      <c r="EJ595">
        <v>0</v>
      </c>
      <c r="EK595">
        <v>0</v>
      </c>
      <c r="EL595">
        <v>0</v>
      </c>
      <c r="EM595">
        <v>0</v>
      </c>
      <c r="EN595">
        <v>0</v>
      </c>
      <c r="EO595">
        <v>0</v>
      </c>
      <c r="EP595">
        <v>944.5</v>
      </c>
      <c r="EQ595">
        <v>3459.7</v>
      </c>
      <c r="ER595">
        <v>1353.5</v>
      </c>
      <c r="ES595">
        <v>182.2</v>
      </c>
      <c r="ET595">
        <v>855.59999999999991</v>
      </c>
      <c r="EU595">
        <v>172.2</v>
      </c>
      <c r="EV595">
        <v>203.2</v>
      </c>
      <c r="EW595">
        <v>1173.0999999999999</v>
      </c>
      <c r="EX595">
        <v>1078.3</v>
      </c>
      <c r="EY595">
        <v>1194.4000000000001</v>
      </c>
      <c r="EZ595">
        <v>1207.0999999999999</v>
      </c>
      <c r="FA595">
        <v>0</v>
      </c>
      <c r="FB595">
        <v>0</v>
      </c>
      <c r="FC595">
        <v>0</v>
      </c>
      <c r="FD595">
        <v>0</v>
      </c>
      <c r="FE595">
        <v>0</v>
      </c>
      <c r="FF595">
        <v>0</v>
      </c>
      <c r="FG595">
        <v>0</v>
      </c>
      <c r="FH595">
        <v>0</v>
      </c>
      <c r="FI595">
        <v>0</v>
      </c>
      <c r="FJ595">
        <v>0</v>
      </c>
      <c r="FK595">
        <v>0</v>
      </c>
      <c r="FL595">
        <v>0</v>
      </c>
      <c r="FM595">
        <v>0</v>
      </c>
      <c r="FN595">
        <v>0</v>
      </c>
      <c r="FO595">
        <v>0</v>
      </c>
      <c r="FP595">
        <v>0</v>
      </c>
      <c r="FQ595">
        <v>0</v>
      </c>
      <c r="FR595">
        <v>0</v>
      </c>
      <c r="FS595">
        <v>0</v>
      </c>
      <c r="FT595">
        <v>0</v>
      </c>
      <c r="FU595">
        <v>0</v>
      </c>
      <c r="FV595">
        <v>0</v>
      </c>
      <c r="FW595">
        <v>0</v>
      </c>
      <c r="FX595">
        <v>0</v>
      </c>
      <c r="FY595">
        <v>0</v>
      </c>
      <c r="FZ595">
        <v>0</v>
      </c>
      <c r="GA595">
        <v>0</v>
      </c>
      <c r="GB595">
        <v>0</v>
      </c>
      <c r="GC595">
        <v>0</v>
      </c>
      <c r="GD595">
        <v>0</v>
      </c>
      <c r="GE595">
        <v>0</v>
      </c>
      <c r="GF595">
        <v>0</v>
      </c>
      <c r="GG595">
        <v>0</v>
      </c>
      <c r="GH595">
        <v>0</v>
      </c>
      <c r="GI595">
        <v>0</v>
      </c>
      <c r="GJ595">
        <v>0</v>
      </c>
      <c r="GK595">
        <v>0</v>
      </c>
      <c r="GL595">
        <v>0</v>
      </c>
      <c r="GO595">
        <v>0</v>
      </c>
      <c r="GP595">
        <v>0</v>
      </c>
      <c r="GQ595">
        <v>0</v>
      </c>
      <c r="GR595">
        <v>0</v>
      </c>
      <c r="GS595">
        <v>0</v>
      </c>
      <c r="GT595">
        <v>0</v>
      </c>
      <c r="GU595">
        <v>0</v>
      </c>
      <c r="GV595">
        <v>0</v>
      </c>
      <c r="GW595">
        <v>0</v>
      </c>
      <c r="GX595">
        <v>0</v>
      </c>
      <c r="GY595">
        <v>0</v>
      </c>
      <c r="GZ595">
        <v>0</v>
      </c>
      <c r="HA595">
        <v>0</v>
      </c>
      <c r="HB595">
        <v>0</v>
      </c>
      <c r="HC595">
        <v>0</v>
      </c>
      <c r="HD595">
        <v>0</v>
      </c>
      <c r="HE595">
        <v>0</v>
      </c>
      <c r="HF595">
        <v>0</v>
      </c>
      <c r="HG595">
        <v>0</v>
      </c>
      <c r="HH595">
        <v>0</v>
      </c>
      <c r="HI595">
        <v>0</v>
      </c>
      <c r="HJ595">
        <v>0</v>
      </c>
      <c r="HK595">
        <v>0</v>
      </c>
      <c r="HL595">
        <v>0</v>
      </c>
      <c r="HM595">
        <v>0</v>
      </c>
      <c r="HN595">
        <v>0</v>
      </c>
      <c r="HO595">
        <v>0</v>
      </c>
      <c r="HP595">
        <v>0</v>
      </c>
      <c r="HQ595">
        <v>0</v>
      </c>
      <c r="HR595">
        <v>0</v>
      </c>
      <c r="HS595">
        <v>0</v>
      </c>
      <c r="HT595">
        <v>0</v>
      </c>
      <c r="HU595">
        <v>0</v>
      </c>
      <c r="HV595">
        <v>0</v>
      </c>
      <c r="HW595">
        <v>404.70000000000005</v>
      </c>
      <c r="HX595">
        <v>342.3</v>
      </c>
      <c r="HZ595">
        <v>866.2</v>
      </c>
      <c r="IA595">
        <v>1142.8</v>
      </c>
      <c r="IB595">
        <v>1121.5</v>
      </c>
      <c r="IC595">
        <v>2403</v>
      </c>
      <c r="ID595">
        <v>2659.3</v>
      </c>
      <c r="IE595">
        <v>1923.4</v>
      </c>
      <c r="IF595">
        <v>1465.7</v>
      </c>
      <c r="IG595">
        <v>1608.3</v>
      </c>
      <c r="IH595">
        <v>0</v>
      </c>
      <c r="II595">
        <v>0</v>
      </c>
      <c r="IJ595">
        <v>0</v>
      </c>
      <c r="IK595">
        <v>0</v>
      </c>
      <c r="IL595">
        <v>0</v>
      </c>
      <c r="IM595">
        <v>0</v>
      </c>
      <c r="IN595">
        <v>0</v>
      </c>
      <c r="IO595">
        <v>0</v>
      </c>
      <c r="IP595">
        <v>75.099999999999994</v>
      </c>
    </row>
    <row r="596" spans="1:250" ht="18" thickBot="1">
      <c r="A596" s="245"/>
      <c r="B596" s="245" t="s">
        <v>554</v>
      </c>
      <c r="C596" s="88" t="s">
        <v>1053</v>
      </c>
      <c r="D596" s="397"/>
      <c r="E596" s="454">
        <v>0</v>
      </c>
      <c r="F596">
        <v>0</v>
      </c>
      <c r="G596" s="427">
        <v>0</v>
      </c>
      <c r="H596" s="155">
        <v>0</v>
      </c>
      <c r="I596">
        <v>0</v>
      </c>
      <c r="J596">
        <v>0</v>
      </c>
      <c r="K596">
        <v>0</v>
      </c>
      <c r="L596" s="4">
        <v>0</v>
      </c>
      <c r="M596" s="4">
        <v>0</v>
      </c>
      <c r="N596" s="4">
        <v>0</v>
      </c>
      <c r="O596" s="4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R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G596">
        <v>0</v>
      </c>
      <c r="BI596">
        <v>0</v>
      </c>
      <c r="BK596">
        <v>0</v>
      </c>
      <c r="BL596">
        <v>0</v>
      </c>
      <c r="BM596">
        <v>0</v>
      </c>
      <c r="BN596">
        <v>0</v>
      </c>
      <c r="BO596">
        <v>344.70000000000005</v>
      </c>
      <c r="BP596">
        <v>625.70000000000005</v>
      </c>
      <c r="BQ596">
        <v>912.2</v>
      </c>
      <c r="BR596">
        <v>237.7</v>
      </c>
      <c r="BS596">
        <v>0</v>
      </c>
      <c r="BT596">
        <v>0</v>
      </c>
      <c r="BU596">
        <v>0</v>
      </c>
      <c r="BV596">
        <v>0</v>
      </c>
      <c r="BW596">
        <v>1647.4</v>
      </c>
      <c r="BY596">
        <v>453.1</v>
      </c>
      <c r="CA596">
        <v>285.39999999999998</v>
      </c>
      <c r="CB596">
        <v>280.8</v>
      </c>
      <c r="CC596">
        <v>127.7</v>
      </c>
      <c r="CD596">
        <v>0</v>
      </c>
      <c r="CE596">
        <v>0</v>
      </c>
      <c r="CF596">
        <v>0</v>
      </c>
      <c r="CG596">
        <v>0</v>
      </c>
      <c r="CI596">
        <v>0</v>
      </c>
      <c r="CJ596">
        <v>0</v>
      </c>
      <c r="CL596">
        <v>0</v>
      </c>
      <c r="CM596">
        <v>0</v>
      </c>
      <c r="CN596">
        <v>0</v>
      </c>
      <c r="CO596">
        <v>0</v>
      </c>
      <c r="CP596">
        <v>0</v>
      </c>
      <c r="CQ596">
        <v>621.70000000000005</v>
      </c>
      <c r="CR596">
        <v>481.70000000000005</v>
      </c>
      <c r="CS596">
        <v>0</v>
      </c>
      <c r="CT596">
        <v>524.6</v>
      </c>
      <c r="CU596">
        <v>514.1</v>
      </c>
      <c r="CV596">
        <v>175.2</v>
      </c>
      <c r="CW596">
        <v>0</v>
      </c>
      <c r="CX596">
        <v>65.099999999999994</v>
      </c>
      <c r="CY596">
        <v>199</v>
      </c>
      <c r="CZ596">
        <v>1907.9</v>
      </c>
      <c r="DA596">
        <v>0</v>
      </c>
      <c r="DB596">
        <v>0</v>
      </c>
      <c r="DC596">
        <v>0</v>
      </c>
      <c r="DD596">
        <v>0</v>
      </c>
      <c r="DE596">
        <v>0</v>
      </c>
      <c r="DF596">
        <v>0</v>
      </c>
      <c r="DG596">
        <v>0</v>
      </c>
      <c r="DH596">
        <v>0</v>
      </c>
      <c r="DI596">
        <v>0</v>
      </c>
      <c r="DJ596">
        <v>0</v>
      </c>
      <c r="DK596">
        <v>0</v>
      </c>
      <c r="DL596">
        <v>0</v>
      </c>
      <c r="DM596">
        <v>1065.4000000000001</v>
      </c>
      <c r="DN596">
        <v>599.70000000000005</v>
      </c>
      <c r="DO596">
        <v>319.7</v>
      </c>
      <c r="DP596">
        <v>1570.6999999999998</v>
      </c>
      <c r="DQ596">
        <v>1399.5</v>
      </c>
      <c r="DR596">
        <v>3581</v>
      </c>
      <c r="DU596">
        <v>1393.2</v>
      </c>
      <c r="DV596">
        <v>2862.6</v>
      </c>
      <c r="DY596">
        <v>2361</v>
      </c>
      <c r="EA596">
        <v>2409.6</v>
      </c>
      <c r="EC596">
        <v>1661.3999999999999</v>
      </c>
      <c r="EE596">
        <v>0</v>
      </c>
      <c r="EF596">
        <v>0</v>
      </c>
      <c r="EG596">
        <v>0</v>
      </c>
      <c r="EH596">
        <v>0</v>
      </c>
      <c r="EI596">
        <v>0</v>
      </c>
      <c r="EJ596">
        <v>0</v>
      </c>
      <c r="EK596">
        <v>0</v>
      </c>
      <c r="EL596">
        <v>0</v>
      </c>
      <c r="EM596">
        <v>0</v>
      </c>
      <c r="EN596">
        <v>0</v>
      </c>
      <c r="EO596">
        <v>0</v>
      </c>
      <c r="EP596">
        <v>944.5</v>
      </c>
      <c r="EQ596">
        <v>3459.7</v>
      </c>
      <c r="ER596">
        <v>1353.5</v>
      </c>
      <c r="ES596">
        <v>182.2</v>
      </c>
      <c r="ET596">
        <v>855.59999999999991</v>
      </c>
      <c r="EU596">
        <v>172.2</v>
      </c>
      <c r="EV596">
        <v>203.2</v>
      </c>
      <c r="EW596">
        <v>1173.0999999999999</v>
      </c>
      <c r="EX596">
        <v>1078.3</v>
      </c>
      <c r="EY596">
        <v>1194.4000000000001</v>
      </c>
      <c r="EZ596">
        <v>1207.0999999999999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0</v>
      </c>
      <c r="FG596">
        <v>0</v>
      </c>
      <c r="FH596">
        <v>0</v>
      </c>
      <c r="FI596">
        <v>0</v>
      </c>
      <c r="FJ596">
        <v>0</v>
      </c>
      <c r="FK596">
        <v>0</v>
      </c>
      <c r="FL596">
        <v>0</v>
      </c>
      <c r="FM596">
        <v>0</v>
      </c>
      <c r="FN596">
        <v>0</v>
      </c>
      <c r="FO596">
        <v>0</v>
      </c>
      <c r="FP596">
        <v>0</v>
      </c>
      <c r="FQ596">
        <v>0</v>
      </c>
      <c r="FR596">
        <v>0</v>
      </c>
      <c r="FS596">
        <v>0</v>
      </c>
      <c r="FT596">
        <v>0</v>
      </c>
      <c r="FU596">
        <v>0</v>
      </c>
      <c r="FV596">
        <v>0</v>
      </c>
      <c r="FW596">
        <v>0</v>
      </c>
      <c r="FX596">
        <v>0</v>
      </c>
      <c r="FY596">
        <v>0</v>
      </c>
      <c r="FZ596">
        <v>0</v>
      </c>
      <c r="GA596">
        <v>0</v>
      </c>
      <c r="GB596">
        <v>0</v>
      </c>
      <c r="GC596">
        <v>0</v>
      </c>
      <c r="GD596">
        <v>0</v>
      </c>
      <c r="GE596">
        <v>0</v>
      </c>
      <c r="GF596">
        <v>0</v>
      </c>
      <c r="GG596">
        <v>0</v>
      </c>
      <c r="GH596">
        <v>0</v>
      </c>
      <c r="GI596">
        <v>0</v>
      </c>
      <c r="GJ596">
        <v>0</v>
      </c>
      <c r="GK596">
        <v>0</v>
      </c>
      <c r="GL596">
        <v>0</v>
      </c>
      <c r="GO596">
        <v>0</v>
      </c>
      <c r="GP596">
        <v>0</v>
      </c>
      <c r="GQ596">
        <v>0</v>
      </c>
      <c r="GR596">
        <v>0</v>
      </c>
      <c r="GS596">
        <v>0</v>
      </c>
      <c r="GT596">
        <v>0</v>
      </c>
      <c r="GU596">
        <v>0</v>
      </c>
      <c r="GV596">
        <v>0</v>
      </c>
      <c r="GW596">
        <v>0</v>
      </c>
      <c r="GX596">
        <v>0</v>
      </c>
      <c r="GY596">
        <v>0</v>
      </c>
      <c r="GZ596">
        <v>0</v>
      </c>
      <c r="HA596">
        <v>0</v>
      </c>
      <c r="HB596">
        <v>0</v>
      </c>
      <c r="HC596">
        <v>0</v>
      </c>
      <c r="HD596">
        <v>0</v>
      </c>
      <c r="HE596">
        <v>0</v>
      </c>
      <c r="HF596">
        <v>0</v>
      </c>
      <c r="HG596">
        <v>0</v>
      </c>
      <c r="HH596">
        <v>0</v>
      </c>
      <c r="HI596">
        <v>0</v>
      </c>
      <c r="HJ596">
        <v>0</v>
      </c>
      <c r="HK596">
        <v>0</v>
      </c>
      <c r="HL596">
        <v>0</v>
      </c>
      <c r="HM596">
        <v>0</v>
      </c>
      <c r="HN596">
        <v>0</v>
      </c>
      <c r="HO596">
        <v>0</v>
      </c>
      <c r="HP596">
        <v>0</v>
      </c>
      <c r="HQ596">
        <v>0</v>
      </c>
      <c r="HR596">
        <v>0</v>
      </c>
      <c r="HS596">
        <v>0</v>
      </c>
      <c r="HT596">
        <v>0</v>
      </c>
      <c r="HU596">
        <v>0</v>
      </c>
      <c r="HV596">
        <v>0</v>
      </c>
      <c r="HW596">
        <v>404.70000000000005</v>
      </c>
      <c r="HX596">
        <v>342.3</v>
      </c>
      <c r="HZ596">
        <v>866.2</v>
      </c>
      <c r="IA596">
        <v>1142.8</v>
      </c>
      <c r="IB596">
        <v>1121.5</v>
      </c>
      <c r="IC596">
        <v>2403</v>
      </c>
      <c r="ID596">
        <v>2659.3</v>
      </c>
      <c r="IE596">
        <v>1923.4</v>
      </c>
      <c r="IF596">
        <v>1465.7</v>
      </c>
      <c r="IG596">
        <v>1608.3</v>
      </c>
      <c r="IH596">
        <v>0</v>
      </c>
      <c r="II596">
        <v>0</v>
      </c>
      <c r="IJ596">
        <v>0</v>
      </c>
      <c r="IK596">
        <v>0</v>
      </c>
      <c r="IL596">
        <v>0</v>
      </c>
      <c r="IM596">
        <v>0</v>
      </c>
      <c r="IN596">
        <v>0</v>
      </c>
      <c r="IO596">
        <v>0</v>
      </c>
      <c r="IP596">
        <v>75.099999999999994</v>
      </c>
    </row>
    <row r="597" spans="1:250" ht="18" thickBot="1">
      <c r="A597" s="570"/>
      <c r="B597" s="570" t="s">
        <v>954</v>
      </c>
      <c r="C597" s="496" t="s">
        <v>1054</v>
      </c>
      <c r="D597" s="557"/>
      <c r="E597" s="454">
        <v>0</v>
      </c>
      <c r="F597">
        <v>0</v>
      </c>
      <c r="G597" s="427">
        <v>0</v>
      </c>
      <c r="H597" s="155">
        <v>0</v>
      </c>
      <c r="I597">
        <v>0</v>
      </c>
      <c r="J597">
        <v>0</v>
      </c>
      <c r="K597">
        <v>0</v>
      </c>
      <c r="L597" s="4">
        <v>0</v>
      </c>
      <c r="M597" s="4">
        <v>0</v>
      </c>
      <c r="N597" s="4">
        <v>0</v>
      </c>
      <c r="O597" s="4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R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G597">
        <v>0</v>
      </c>
      <c r="BI597">
        <v>0</v>
      </c>
      <c r="BK597">
        <v>0</v>
      </c>
      <c r="BL597">
        <v>0</v>
      </c>
      <c r="BM597">
        <v>0</v>
      </c>
      <c r="BN597">
        <v>0</v>
      </c>
      <c r="BO597">
        <v>344.70000000000005</v>
      </c>
      <c r="BP597">
        <v>625.70000000000005</v>
      </c>
      <c r="BQ597">
        <v>912.2</v>
      </c>
      <c r="BR597">
        <v>237.7</v>
      </c>
      <c r="BS597">
        <v>0</v>
      </c>
      <c r="BT597">
        <v>0</v>
      </c>
      <c r="BU597">
        <v>0</v>
      </c>
      <c r="BV597">
        <v>0</v>
      </c>
      <c r="BW597">
        <v>1647.4</v>
      </c>
      <c r="BY597">
        <v>453.1</v>
      </c>
      <c r="CA597">
        <v>285.39999999999998</v>
      </c>
      <c r="CB597">
        <v>280.8</v>
      </c>
      <c r="CC597">
        <v>127.7</v>
      </c>
      <c r="CD597">
        <v>0</v>
      </c>
      <c r="CE597">
        <v>0</v>
      </c>
      <c r="CF597">
        <v>0</v>
      </c>
      <c r="CG597">
        <v>0</v>
      </c>
      <c r="CI597">
        <v>0</v>
      </c>
      <c r="CJ597">
        <v>0</v>
      </c>
      <c r="CL597">
        <v>0</v>
      </c>
      <c r="CM597">
        <v>0</v>
      </c>
      <c r="CN597">
        <v>0</v>
      </c>
      <c r="CO597">
        <v>0</v>
      </c>
      <c r="CP597">
        <v>0</v>
      </c>
      <c r="CQ597">
        <v>621.70000000000005</v>
      </c>
      <c r="CR597">
        <v>481.70000000000005</v>
      </c>
      <c r="CS597">
        <v>0</v>
      </c>
      <c r="CT597">
        <v>524.6</v>
      </c>
      <c r="CU597">
        <v>514.1</v>
      </c>
      <c r="CV597">
        <v>175.2</v>
      </c>
      <c r="CW597">
        <v>0</v>
      </c>
      <c r="CX597">
        <v>65.099999999999994</v>
      </c>
      <c r="CY597">
        <v>199</v>
      </c>
      <c r="CZ597">
        <v>1907.9</v>
      </c>
      <c r="DA597">
        <v>0</v>
      </c>
      <c r="DB597">
        <v>0</v>
      </c>
      <c r="DC597">
        <v>0</v>
      </c>
      <c r="DD597">
        <v>0</v>
      </c>
      <c r="DE597">
        <v>0</v>
      </c>
      <c r="DF597">
        <v>0</v>
      </c>
      <c r="DG597">
        <v>0</v>
      </c>
      <c r="DH597">
        <v>0</v>
      </c>
      <c r="DI597">
        <v>0</v>
      </c>
      <c r="DJ597">
        <v>0</v>
      </c>
      <c r="DK597">
        <v>0</v>
      </c>
      <c r="DL597">
        <v>0</v>
      </c>
      <c r="DM597">
        <v>1065.4000000000001</v>
      </c>
      <c r="DN597">
        <v>599.70000000000005</v>
      </c>
      <c r="DO597">
        <v>319.7</v>
      </c>
      <c r="DP597">
        <v>1570.6999999999998</v>
      </c>
      <c r="DQ597">
        <v>1399.5</v>
      </c>
      <c r="DR597">
        <v>3581</v>
      </c>
      <c r="DU597">
        <v>1393.2</v>
      </c>
      <c r="DV597">
        <v>2862.6</v>
      </c>
      <c r="DY597">
        <v>2361</v>
      </c>
      <c r="EA597">
        <v>2409.6</v>
      </c>
      <c r="EC597">
        <v>1661.3999999999999</v>
      </c>
      <c r="EE597">
        <v>0</v>
      </c>
      <c r="EF597">
        <v>0</v>
      </c>
      <c r="EG597">
        <v>0</v>
      </c>
      <c r="EH597">
        <v>0</v>
      </c>
      <c r="EI597">
        <v>0</v>
      </c>
      <c r="EJ597">
        <v>0</v>
      </c>
      <c r="EK597">
        <v>0</v>
      </c>
      <c r="EL597">
        <v>0</v>
      </c>
      <c r="EM597">
        <v>0</v>
      </c>
      <c r="EN597">
        <v>0</v>
      </c>
      <c r="EO597">
        <v>0</v>
      </c>
      <c r="EP597">
        <v>944.5</v>
      </c>
      <c r="EQ597">
        <v>3459.7</v>
      </c>
      <c r="ER597">
        <v>1353.5</v>
      </c>
      <c r="ES597">
        <v>182.2</v>
      </c>
      <c r="ET597">
        <v>855.59999999999991</v>
      </c>
      <c r="EU597">
        <v>172.2</v>
      </c>
      <c r="EV597">
        <v>203.2</v>
      </c>
      <c r="EW597">
        <v>1173.0999999999999</v>
      </c>
      <c r="EX597">
        <v>1078.3</v>
      </c>
      <c r="EY597">
        <v>1194.4000000000001</v>
      </c>
      <c r="EZ597">
        <v>1207.0999999999999</v>
      </c>
      <c r="FA597">
        <v>0</v>
      </c>
      <c r="FB597">
        <v>0</v>
      </c>
      <c r="FC597">
        <v>0</v>
      </c>
      <c r="FD597">
        <v>0</v>
      </c>
      <c r="FE597">
        <v>0</v>
      </c>
      <c r="FF597">
        <v>0</v>
      </c>
      <c r="FG597">
        <v>0</v>
      </c>
      <c r="FH597">
        <v>0</v>
      </c>
      <c r="FI597">
        <v>0</v>
      </c>
      <c r="FJ597">
        <v>0</v>
      </c>
      <c r="FK597">
        <v>0</v>
      </c>
      <c r="FL597">
        <v>0</v>
      </c>
      <c r="FM597">
        <v>0</v>
      </c>
      <c r="FN597">
        <v>0</v>
      </c>
      <c r="FO597">
        <v>0</v>
      </c>
      <c r="FP597">
        <v>0</v>
      </c>
      <c r="FQ597">
        <v>0</v>
      </c>
      <c r="FR597">
        <v>0</v>
      </c>
      <c r="FS597">
        <v>0</v>
      </c>
      <c r="FT597">
        <v>0</v>
      </c>
      <c r="FU597">
        <v>0</v>
      </c>
      <c r="FV597">
        <v>0</v>
      </c>
      <c r="FW597">
        <v>0</v>
      </c>
      <c r="FX597">
        <v>0</v>
      </c>
      <c r="FY597">
        <v>0</v>
      </c>
      <c r="FZ597">
        <v>0</v>
      </c>
      <c r="GA597">
        <v>0</v>
      </c>
      <c r="GB597">
        <v>0</v>
      </c>
      <c r="GC597">
        <v>0</v>
      </c>
      <c r="GD597">
        <v>0</v>
      </c>
      <c r="GE597">
        <v>0</v>
      </c>
      <c r="GF597">
        <v>0</v>
      </c>
      <c r="GG597">
        <v>0</v>
      </c>
      <c r="GH597">
        <v>0</v>
      </c>
      <c r="GI597">
        <v>0</v>
      </c>
      <c r="GJ597">
        <v>0</v>
      </c>
      <c r="GK597">
        <v>0</v>
      </c>
      <c r="GL597">
        <v>0</v>
      </c>
      <c r="GO597">
        <v>0</v>
      </c>
      <c r="GP597">
        <v>0</v>
      </c>
      <c r="GQ597">
        <v>0</v>
      </c>
      <c r="GR597">
        <v>0</v>
      </c>
      <c r="GS597">
        <v>0</v>
      </c>
      <c r="GT597">
        <v>0</v>
      </c>
      <c r="GU597">
        <v>0</v>
      </c>
      <c r="GV597">
        <v>0</v>
      </c>
      <c r="GW597">
        <v>0</v>
      </c>
      <c r="GX597">
        <v>0</v>
      </c>
      <c r="GY597">
        <v>0</v>
      </c>
      <c r="GZ597">
        <v>0</v>
      </c>
      <c r="HA597">
        <v>0</v>
      </c>
      <c r="HB597">
        <v>0</v>
      </c>
      <c r="HC597">
        <v>0</v>
      </c>
      <c r="HD597">
        <v>0</v>
      </c>
      <c r="HE597">
        <v>0</v>
      </c>
      <c r="HF597">
        <v>0</v>
      </c>
      <c r="HG597">
        <v>0</v>
      </c>
      <c r="HH597">
        <v>0</v>
      </c>
      <c r="HI597">
        <v>0</v>
      </c>
      <c r="HJ597">
        <v>0</v>
      </c>
      <c r="HK597">
        <v>0</v>
      </c>
      <c r="HL597">
        <v>0</v>
      </c>
      <c r="HM597">
        <v>0</v>
      </c>
      <c r="HN597">
        <v>0</v>
      </c>
      <c r="HO597">
        <v>0</v>
      </c>
      <c r="HP597">
        <v>0</v>
      </c>
      <c r="HQ597">
        <v>0</v>
      </c>
      <c r="HR597">
        <v>0</v>
      </c>
      <c r="HS597">
        <v>0</v>
      </c>
      <c r="HT597">
        <v>0</v>
      </c>
      <c r="HU597">
        <v>0</v>
      </c>
      <c r="HV597">
        <v>0</v>
      </c>
      <c r="HW597">
        <v>404.70000000000005</v>
      </c>
      <c r="HX597">
        <v>342.3</v>
      </c>
      <c r="HZ597">
        <v>866.2</v>
      </c>
      <c r="IA597">
        <v>1142.8</v>
      </c>
      <c r="IB597">
        <v>1121.5</v>
      </c>
      <c r="IC597">
        <v>2403</v>
      </c>
      <c r="ID597">
        <v>2659.3</v>
      </c>
      <c r="IE597">
        <v>1923.4</v>
      </c>
      <c r="IF597">
        <v>1465.7</v>
      </c>
      <c r="IG597">
        <v>1608.3</v>
      </c>
      <c r="IH597">
        <v>0</v>
      </c>
      <c r="II597">
        <v>0</v>
      </c>
      <c r="IJ597">
        <v>0</v>
      </c>
      <c r="IK597">
        <v>0</v>
      </c>
      <c r="IL597">
        <v>0</v>
      </c>
      <c r="IM597">
        <v>0</v>
      </c>
      <c r="IN597">
        <v>0</v>
      </c>
      <c r="IO597">
        <v>0</v>
      </c>
      <c r="IP597">
        <v>75.099999999999994</v>
      </c>
    </row>
    <row r="598" spans="1:250" ht="18" thickBot="1">
      <c r="A598" s="570"/>
      <c r="B598" s="570"/>
      <c r="C598" s="496"/>
      <c r="D598" s="557"/>
      <c r="E598" s="454">
        <v>0</v>
      </c>
      <c r="F598">
        <v>0</v>
      </c>
      <c r="G598" s="427">
        <v>0</v>
      </c>
      <c r="H598" s="155">
        <v>0</v>
      </c>
      <c r="I598">
        <v>0</v>
      </c>
      <c r="J598">
        <v>0</v>
      </c>
      <c r="K598">
        <v>0</v>
      </c>
      <c r="L598" s="4">
        <v>0</v>
      </c>
      <c r="M598" s="4">
        <v>0</v>
      </c>
      <c r="N598" s="4">
        <v>0</v>
      </c>
      <c r="O598" s="4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R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G598">
        <v>0</v>
      </c>
      <c r="BI598">
        <v>0</v>
      </c>
      <c r="BK598">
        <v>0</v>
      </c>
      <c r="BL598">
        <v>0</v>
      </c>
      <c r="BM598">
        <v>0</v>
      </c>
      <c r="BN598">
        <v>0</v>
      </c>
      <c r="BO598">
        <v>344.70000000000005</v>
      </c>
      <c r="BP598">
        <v>625.70000000000005</v>
      </c>
      <c r="BQ598">
        <v>912.2</v>
      </c>
      <c r="BR598">
        <v>237.7</v>
      </c>
      <c r="BS598">
        <v>0</v>
      </c>
      <c r="BT598">
        <v>0</v>
      </c>
      <c r="BU598">
        <v>0</v>
      </c>
      <c r="BV598">
        <v>0</v>
      </c>
      <c r="BW598">
        <v>1647.4</v>
      </c>
      <c r="BY598">
        <v>453.1</v>
      </c>
      <c r="CA598">
        <v>285.39999999999998</v>
      </c>
      <c r="CB598">
        <v>280.8</v>
      </c>
      <c r="CC598">
        <v>127.7</v>
      </c>
      <c r="CD598">
        <v>0</v>
      </c>
      <c r="CE598">
        <v>0</v>
      </c>
      <c r="CF598">
        <v>0</v>
      </c>
      <c r="CG598">
        <v>0</v>
      </c>
      <c r="CI598">
        <v>0</v>
      </c>
      <c r="CJ598">
        <v>0</v>
      </c>
      <c r="CL598">
        <v>0</v>
      </c>
      <c r="CM598">
        <v>0</v>
      </c>
      <c r="CN598">
        <v>0</v>
      </c>
      <c r="CO598">
        <v>0</v>
      </c>
      <c r="CP598">
        <v>0</v>
      </c>
      <c r="CQ598">
        <v>621.70000000000005</v>
      </c>
      <c r="CR598">
        <v>481.70000000000005</v>
      </c>
      <c r="CS598">
        <v>0</v>
      </c>
      <c r="CT598">
        <v>524.6</v>
      </c>
      <c r="CU598">
        <v>514.1</v>
      </c>
      <c r="CV598">
        <v>175.2</v>
      </c>
      <c r="CW598">
        <v>0</v>
      </c>
      <c r="CX598">
        <v>65.099999999999994</v>
      </c>
      <c r="CY598">
        <v>199</v>
      </c>
      <c r="CZ598">
        <v>1907.9</v>
      </c>
      <c r="DA598">
        <v>0</v>
      </c>
      <c r="DB598">
        <v>0</v>
      </c>
      <c r="DC598">
        <v>0</v>
      </c>
      <c r="DD598">
        <v>0</v>
      </c>
      <c r="DE598">
        <v>0</v>
      </c>
      <c r="DF598">
        <v>0</v>
      </c>
      <c r="DG598">
        <v>0</v>
      </c>
      <c r="DH598">
        <v>0</v>
      </c>
      <c r="DI598">
        <v>0</v>
      </c>
      <c r="DJ598">
        <v>0</v>
      </c>
      <c r="DK598">
        <v>0</v>
      </c>
      <c r="DL598">
        <v>0</v>
      </c>
      <c r="DM598">
        <v>1065.4000000000001</v>
      </c>
      <c r="DN598">
        <v>599.70000000000005</v>
      </c>
      <c r="DO598">
        <v>319.7</v>
      </c>
      <c r="DP598">
        <v>1570.6999999999998</v>
      </c>
      <c r="DQ598">
        <v>1399.5</v>
      </c>
      <c r="DR598">
        <v>3581</v>
      </c>
      <c r="DU598">
        <v>1393.2</v>
      </c>
      <c r="DV598">
        <v>2862.6</v>
      </c>
      <c r="DY598">
        <v>2361</v>
      </c>
      <c r="EA598">
        <v>2409.6</v>
      </c>
      <c r="EC598">
        <v>1661.3999999999999</v>
      </c>
      <c r="EE598">
        <v>0</v>
      </c>
      <c r="EF598">
        <v>0</v>
      </c>
      <c r="EG598">
        <v>0</v>
      </c>
      <c r="EH598">
        <v>0</v>
      </c>
      <c r="EI598">
        <v>0</v>
      </c>
      <c r="EJ598">
        <v>0</v>
      </c>
      <c r="EK598">
        <v>0</v>
      </c>
      <c r="EL598">
        <v>0</v>
      </c>
      <c r="EM598">
        <v>0</v>
      </c>
      <c r="EN598">
        <v>0</v>
      </c>
      <c r="EO598">
        <v>0</v>
      </c>
      <c r="EP598">
        <v>944.5</v>
      </c>
      <c r="EQ598">
        <v>3459.7</v>
      </c>
      <c r="ER598">
        <v>1353.5</v>
      </c>
      <c r="ES598">
        <v>182.2</v>
      </c>
      <c r="ET598">
        <v>855.59999999999991</v>
      </c>
      <c r="EU598">
        <v>172.2</v>
      </c>
      <c r="EV598">
        <v>203.2</v>
      </c>
      <c r="EW598">
        <v>1173.0999999999999</v>
      </c>
      <c r="EX598">
        <v>1078.3</v>
      </c>
      <c r="EY598">
        <v>1194.4000000000001</v>
      </c>
      <c r="EZ598">
        <v>1207.0999999999999</v>
      </c>
      <c r="FA598">
        <v>0</v>
      </c>
      <c r="FB598">
        <v>0</v>
      </c>
      <c r="FC598">
        <v>0</v>
      </c>
      <c r="FD598">
        <v>0</v>
      </c>
      <c r="FE598">
        <v>0</v>
      </c>
      <c r="FF598">
        <v>0</v>
      </c>
      <c r="FG598">
        <v>0</v>
      </c>
      <c r="FH598">
        <v>0</v>
      </c>
      <c r="FI598">
        <v>0</v>
      </c>
      <c r="FJ598">
        <v>0</v>
      </c>
      <c r="FK598">
        <v>0</v>
      </c>
      <c r="FL598">
        <v>0</v>
      </c>
      <c r="FM598">
        <v>0</v>
      </c>
      <c r="FN598">
        <v>0</v>
      </c>
      <c r="FO598">
        <v>0</v>
      </c>
      <c r="FP598">
        <v>0</v>
      </c>
      <c r="FQ598">
        <v>0</v>
      </c>
      <c r="FR598">
        <v>0</v>
      </c>
      <c r="FS598">
        <v>0</v>
      </c>
      <c r="FT598">
        <v>0</v>
      </c>
      <c r="FU598">
        <v>0</v>
      </c>
      <c r="FV598">
        <v>0</v>
      </c>
      <c r="FW598">
        <v>0</v>
      </c>
      <c r="FX598">
        <v>0</v>
      </c>
      <c r="FY598">
        <v>0</v>
      </c>
      <c r="FZ598">
        <v>0</v>
      </c>
      <c r="GA598">
        <v>0</v>
      </c>
      <c r="GB598">
        <v>0</v>
      </c>
      <c r="GC598">
        <v>0</v>
      </c>
      <c r="GD598">
        <v>0</v>
      </c>
      <c r="GE598">
        <v>0</v>
      </c>
      <c r="GF598">
        <v>0</v>
      </c>
      <c r="GG598">
        <v>0</v>
      </c>
      <c r="GH598">
        <v>0</v>
      </c>
      <c r="GI598">
        <v>0</v>
      </c>
      <c r="GJ598">
        <v>0</v>
      </c>
      <c r="GK598">
        <v>0</v>
      </c>
      <c r="GL598">
        <v>0</v>
      </c>
      <c r="GO598">
        <v>0</v>
      </c>
      <c r="GP598">
        <v>0</v>
      </c>
      <c r="GQ598">
        <v>0</v>
      </c>
      <c r="GR598">
        <v>0</v>
      </c>
      <c r="GS598">
        <v>0</v>
      </c>
      <c r="GT598">
        <v>0</v>
      </c>
      <c r="GU598">
        <v>0</v>
      </c>
      <c r="GV598">
        <v>0</v>
      </c>
      <c r="GW598">
        <v>0</v>
      </c>
      <c r="GX598">
        <v>0</v>
      </c>
      <c r="GY598">
        <v>0</v>
      </c>
      <c r="GZ598">
        <v>0</v>
      </c>
      <c r="HA598">
        <v>0</v>
      </c>
      <c r="HB598">
        <v>0</v>
      </c>
      <c r="HC598">
        <v>0</v>
      </c>
      <c r="HD598">
        <v>0</v>
      </c>
      <c r="HE598">
        <v>0</v>
      </c>
      <c r="HF598">
        <v>0</v>
      </c>
      <c r="HG598">
        <v>0</v>
      </c>
      <c r="HH598">
        <v>0</v>
      </c>
      <c r="HI598">
        <v>0</v>
      </c>
      <c r="HJ598">
        <v>0</v>
      </c>
      <c r="HK598">
        <v>0</v>
      </c>
      <c r="HL598">
        <v>0</v>
      </c>
      <c r="HM598">
        <v>0</v>
      </c>
      <c r="HN598">
        <v>0</v>
      </c>
      <c r="HO598">
        <v>0</v>
      </c>
      <c r="HP598">
        <v>0</v>
      </c>
      <c r="HQ598">
        <v>0</v>
      </c>
      <c r="HR598">
        <v>0</v>
      </c>
      <c r="HS598">
        <v>0</v>
      </c>
      <c r="HT598">
        <v>0</v>
      </c>
      <c r="HU598">
        <v>0</v>
      </c>
      <c r="HV598">
        <v>0</v>
      </c>
      <c r="HW598">
        <v>404.70000000000005</v>
      </c>
      <c r="HX598">
        <v>342.3</v>
      </c>
      <c r="HZ598">
        <v>866.2</v>
      </c>
      <c r="IA598">
        <v>1142.8</v>
      </c>
      <c r="IB598">
        <v>1121.5</v>
      </c>
      <c r="IC598">
        <v>2403</v>
      </c>
      <c r="ID598">
        <v>2659.3</v>
      </c>
      <c r="IE598">
        <v>1923.4</v>
      </c>
      <c r="IF598">
        <v>1465.7</v>
      </c>
      <c r="IG598">
        <v>1608.3</v>
      </c>
      <c r="IH598">
        <v>0</v>
      </c>
      <c r="II598">
        <v>0</v>
      </c>
      <c r="IJ598">
        <v>0</v>
      </c>
      <c r="IK598">
        <v>0</v>
      </c>
      <c r="IL598">
        <v>0</v>
      </c>
      <c r="IM598">
        <v>0</v>
      </c>
      <c r="IN598">
        <v>0</v>
      </c>
      <c r="IO598">
        <v>0</v>
      </c>
      <c r="IP598">
        <v>75.099999999999994</v>
      </c>
    </row>
    <row r="599" spans="1:250" ht="18" thickBot="1">
      <c r="A599" s="570"/>
      <c r="B599" s="570" t="s">
        <v>556</v>
      </c>
      <c r="C599" s="496" t="s">
        <v>1055</v>
      </c>
      <c r="D599" s="557"/>
      <c r="E599" s="454">
        <v>0</v>
      </c>
      <c r="F599">
        <v>0</v>
      </c>
      <c r="G599" s="427">
        <v>0</v>
      </c>
      <c r="H599" s="155">
        <v>0</v>
      </c>
      <c r="I599">
        <v>0</v>
      </c>
      <c r="J599">
        <v>0</v>
      </c>
      <c r="K599">
        <v>0</v>
      </c>
      <c r="L599" s="4">
        <v>0</v>
      </c>
      <c r="M599" s="4">
        <v>0</v>
      </c>
      <c r="N599" s="4">
        <v>0</v>
      </c>
      <c r="O599" s="4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R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G599">
        <v>0</v>
      </c>
      <c r="BI599">
        <v>0</v>
      </c>
      <c r="BK599">
        <v>0</v>
      </c>
      <c r="BL599">
        <v>0</v>
      </c>
      <c r="BM599">
        <v>0</v>
      </c>
      <c r="BN599">
        <v>0</v>
      </c>
      <c r="BO599">
        <v>344.70000000000005</v>
      </c>
      <c r="BP599">
        <v>625.70000000000005</v>
      </c>
      <c r="BQ599">
        <v>912.2</v>
      </c>
      <c r="BR599">
        <v>237.7</v>
      </c>
      <c r="BS599">
        <v>0</v>
      </c>
      <c r="BT599">
        <v>0</v>
      </c>
      <c r="BU599">
        <v>0</v>
      </c>
      <c r="BV599">
        <v>0</v>
      </c>
      <c r="BW599">
        <v>1647.4</v>
      </c>
      <c r="BY599">
        <v>453.1</v>
      </c>
      <c r="CA599">
        <v>285.39999999999998</v>
      </c>
      <c r="CB599">
        <v>280.8</v>
      </c>
      <c r="CC599">
        <v>127.7</v>
      </c>
      <c r="CD599">
        <v>0</v>
      </c>
      <c r="CE599">
        <v>0</v>
      </c>
      <c r="CF599">
        <v>0</v>
      </c>
      <c r="CG599">
        <v>0</v>
      </c>
      <c r="CI599">
        <v>0</v>
      </c>
      <c r="CJ599">
        <v>0</v>
      </c>
      <c r="CL599">
        <v>0</v>
      </c>
      <c r="CM599">
        <v>0</v>
      </c>
      <c r="CN599">
        <v>0</v>
      </c>
      <c r="CO599">
        <v>0</v>
      </c>
      <c r="CP599">
        <v>0</v>
      </c>
      <c r="CQ599">
        <v>621.70000000000005</v>
      </c>
      <c r="CR599">
        <v>481.70000000000005</v>
      </c>
      <c r="CS599">
        <v>0</v>
      </c>
      <c r="CT599">
        <v>524.6</v>
      </c>
      <c r="CU599">
        <v>514.1</v>
      </c>
      <c r="CV599">
        <v>175.2</v>
      </c>
      <c r="CW599">
        <v>0</v>
      </c>
      <c r="CX599">
        <v>65.099999999999994</v>
      </c>
      <c r="CY599">
        <v>199</v>
      </c>
      <c r="CZ599">
        <v>1907.9</v>
      </c>
      <c r="DA599">
        <v>0</v>
      </c>
      <c r="DB599">
        <v>0</v>
      </c>
      <c r="DC599">
        <v>0</v>
      </c>
      <c r="DD599">
        <v>0</v>
      </c>
      <c r="DE599">
        <v>0</v>
      </c>
      <c r="DF599">
        <v>0</v>
      </c>
      <c r="DG599">
        <v>0</v>
      </c>
      <c r="DH599">
        <v>0</v>
      </c>
      <c r="DI599">
        <v>0</v>
      </c>
      <c r="DJ599">
        <v>0</v>
      </c>
      <c r="DK599">
        <v>0</v>
      </c>
      <c r="DL599">
        <v>0</v>
      </c>
      <c r="DM599">
        <v>1065.4000000000001</v>
      </c>
      <c r="DN599">
        <v>599.70000000000005</v>
      </c>
      <c r="DO599">
        <v>319.7</v>
      </c>
      <c r="DP599">
        <v>1570.6999999999998</v>
      </c>
      <c r="DQ599">
        <v>1399.5</v>
      </c>
      <c r="DR599">
        <v>3581</v>
      </c>
      <c r="DU599">
        <v>1393.2</v>
      </c>
      <c r="DV599">
        <v>2862.6</v>
      </c>
      <c r="DY599">
        <v>2361</v>
      </c>
      <c r="EA599">
        <v>2409.6</v>
      </c>
      <c r="EC599">
        <v>1661.3999999999999</v>
      </c>
      <c r="EE599">
        <v>0</v>
      </c>
      <c r="EF599">
        <v>0</v>
      </c>
      <c r="EG599">
        <v>0</v>
      </c>
      <c r="EH599">
        <v>0</v>
      </c>
      <c r="EI599">
        <v>0</v>
      </c>
      <c r="EJ599">
        <v>0</v>
      </c>
      <c r="EK599">
        <v>0</v>
      </c>
      <c r="EL599">
        <v>0</v>
      </c>
      <c r="EM599">
        <v>0</v>
      </c>
      <c r="EN599">
        <v>0</v>
      </c>
      <c r="EO599">
        <v>0</v>
      </c>
      <c r="EP599">
        <v>944.5</v>
      </c>
      <c r="EQ599">
        <v>3459.7</v>
      </c>
      <c r="ER599">
        <v>1353.5</v>
      </c>
      <c r="ES599">
        <v>182.2</v>
      </c>
      <c r="ET599">
        <v>855.59999999999991</v>
      </c>
      <c r="EU599">
        <v>172.2</v>
      </c>
      <c r="EV599">
        <v>203.2</v>
      </c>
      <c r="EW599">
        <v>1173.0999999999999</v>
      </c>
      <c r="EX599">
        <v>1078.3</v>
      </c>
      <c r="EY599">
        <v>1194.4000000000001</v>
      </c>
      <c r="EZ599">
        <v>1207.0999999999999</v>
      </c>
      <c r="FA599">
        <v>0</v>
      </c>
      <c r="FB599">
        <v>0</v>
      </c>
      <c r="FC599">
        <v>0</v>
      </c>
      <c r="FD599">
        <v>0</v>
      </c>
      <c r="FE599">
        <v>0</v>
      </c>
      <c r="FF599">
        <v>0</v>
      </c>
      <c r="FG599">
        <v>0</v>
      </c>
      <c r="FH599">
        <v>0</v>
      </c>
      <c r="FI599">
        <v>0</v>
      </c>
      <c r="FJ599">
        <v>0</v>
      </c>
      <c r="FK599">
        <v>0</v>
      </c>
      <c r="FL599">
        <v>0</v>
      </c>
      <c r="FM599">
        <v>0</v>
      </c>
      <c r="FN599">
        <v>0</v>
      </c>
      <c r="FO599">
        <v>0</v>
      </c>
      <c r="FP599">
        <v>0</v>
      </c>
      <c r="FQ599">
        <v>0</v>
      </c>
      <c r="FR599">
        <v>0</v>
      </c>
      <c r="FS599">
        <v>0</v>
      </c>
      <c r="FT599">
        <v>0</v>
      </c>
      <c r="FU599">
        <v>0</v>
      </c>
      <c r="FV599">
        <v>0</v>
      </c>
      <c r="FW599">
        <v>0</v>
      </c>
      <c r="FX599">
        <v>0</v>
      </c>
      <c r="FY599">
        <v>0</v>
      </c>
      <c r="FZ599">
        <v>0</v>
      </c>
      <c r="GA599">
        <v>0</v>
      </c>
      <c r="GB599">
        <v>0</v>
      </c>
      <c r="GC599">
        <v>0</v>
      </c>
      <c r="GD599">
        <v>0</v>
      </c>
      <c r="GE599">
        <v>0</v>
      </c>
      <c r="GF599">
        <v>0</v>
      </c>
      <c r="GG599">
        <v>0</v>
      </c>
      <c r="GH599">
        <v>0</v>
      </c>
      <c r="GI599">
        <v>0</v>
      </c>
      <c r="GJ599">
        <v>0</v>
      </c>
      <c r="GK599">
        <v>0</v>
      </c>
      <c r="GL599">
        <v>0</v>
      </c>
      <c r="GO599">
        <v>0</v>
      </c>
      <c r="GP599">
        <v>0</v>
      </c>
      <c r="GQ599">
        <v>0</v>
      </c>
      <c r="GR599">
        <v>0</v>
      </c>
      <c r="GS599">
        <v>0</v>
      </c>
      <c r="GT599">
        <v>0</v>
      </c>
      <c r="GU599">
        <v>0</v>
      </c>
      <c r="GV599">
        <v>0</v>
      </c>
      <c r="GW599">
        <v>0</v>
      </c>
      <c r="GX599">
        <v>0</v>
      </c>
      <c r="GY599">
        <v>0</v>
      </c>
      <c r="GZ599">
        <v>0</v>
      </c>
      <c r="HA599">
        <v>0</v>
      </c>
      <c r="HB599">
        <v>0</v>
      </c>
      <c r="HC599">
        <v>0</v>
      </c>
      <c r="HD599">
        <v>0</v>
      </c>
      <c r="HE599">
        <v>0</v>
      </c>
      <c r="HF599">
        <v>0</v>
      </c>
      <c r="HG599">
        <v>0</v>
      </c>
      <c r="HH599">
        <v>0</v>
      </c>
      <c r="HI599">
        <v>0</v>
      </c>
      <c r="HJ599">
        <v>0</v>
      </c>
      <c r="HK599">
        <v>0</v>
      </c>
      <c r="HL599">
        <v>0</v>
      </c>
      <c r="HM599">
        <v>0</v>
      </c>
      <c r="HN599">
        <v>0</v>
      </c>
      <c r="HO599">
        <v>0</v>
      </c>
      <c r="HP599">
        <v>0</v>
      </c>
      <c r="HQ599">
        <v>0</v>
      </c>
      <c r="HR599">
        <v>0</v>
      </c>
      <c r="HS599">
        <v>0</v>
      </c>
      <c r="HT599">
        <v>0</v>
      </c>
      <c r="HU599">
        <v>0</v>
      </c>
      <c r="HV599">
        <v>0</v>
      </c>
      <c r="HW599">
        <v>404.70000000000005</v>
      </c>
      <c r="HX599">
        <v>342.3</v>
      </c>
      <c r="HZ599">
        <v>866.2</v>
      </c>
      <c r="IA599">
        <v>1142.8</v>
      </c>
      <c r="IB599">
        <v>1121.5</v>
      </c>
      <c r="IC599">
        <v>2403</v>
      </c>
      <c r="ID599">
        <v>2659.3</v>
      </c>
      <c r="IE599">
        <v>1923.4</v>
      </c>
      <c r="IF599">
        <v>1465.7</v>
      </c>
      <c r="IG599">
        <v>1608.3</v>
      </c>
      <c r="IH599">
        <v>0</v>
      </c>
      <c r="II599">
        <v>0</v>
      </c>
      <c r="IJ599">
        <v>0</v>
      </c>
      <c r="IK599">
        <v>0</v>
      </c>
      <c r="IL599">
        <v>0</v>
      </c>
      <c r="IM599">
        <v>0</v>
      </c>
      <c r="IN599">
        <v>0</v>
      </c>
      <c r="IO599">
        <v>0</v>
      </c>
      <c r="IP599">
        <v>75.099999999999994</v>
      </c>
    </row>
    <row r="600" spans="1:250" ht="18" thickBot="1">
      <c r="A600" s="570"/>
      <c r="B600" s="570"/>
      <c r="C600" s="496"/>
      <c r="D600" s="557"/>
      <c r="E600" s="454">
        <v>0</v>
      </c>
      <c r="F600">
        <v>0</v>
      </c>
      <c r="G600" s="427">
        <v>0</v>
      </c>
      <c r="H600" s="155">
        <v>0</v>
      </c>
      <c r="I600">
        <v>0</v>
      </c>
      <c r="J600">
        <v>0</v>
      </c>
      <c r="K600">
        <v>0</v>
      </c>
      <c r="L600" s="4">
        <v>0</v>
      </c>
      <c r="M600" s="4">
        <v>0</v>
      </c>
      <c r="N600" s="4">
        <v>0</v>
      </c>
      <c r="O600" s="4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R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G600">
        <v>0</v>
      </c>
      <c r="BI600">
        <v>0</v>
      </c>
      <c r="BK600">
        <v>0</v>
      </c>
      <c r="BL600">
        <v>0</v>
      </c>
      <c r="BM600">
        <v>0</v>
      </c>
      <c r="BN600">
        <v>0</v>
      </c>
      <c r="BO600">
        <v>344.70000000000005</v>
      </c>
      <c r="BP600">
        <v>625.70000000000005</v>
      </c>
      <c r="BQ600">
        <v>912.2</v>
      </c>
      <c r="BR600">
        <v>237.7</v>
      </c>
      <c r="BS600">
        <v>0</v>
      </c>
      <c r="BT600">
        <v>0</v>
      </c>
      <c r="BU600">
        <v>0</v>
      </c>
      <c r="BV600">
        <v>0</v>
      </c>
      <c r="BW600">
        <v>1647.4</v>
      </c>
      <c r="BY600">
        <v>453.1</v>
      </c>
      <c r="CA600">
        <v>285.39999999999998</v>
      </c>
      <c r="CB600">
        <v>280.8</v>
      </c>
      <c r="CC600">
        <v>127.7</v>
      </c>
      <c r="CD600">
        <v>0</v>
      </c>
      <c r="CE600">
        <v>0</v>
      </c>
      <c r="CF600">
        <v>0</v>
      </c>
      <c r="CG600">
        <v>0</v>
      </c>
      <c r="CI600">
        <v>0</v>
      </c>
      <c r="CJ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621.70000000000005</v>
      </c>
      <c r="CR600">
        <v>481.70000000000005</v>
      </c>
      <c r="CS600">
        <v>0</v>
      </c>
      <c r="CT600">
        <v>524.6</v>
      </c>
      <c r="CU600">
        <v>514.1</v>
      </c>
      <c r="CV600">
        <v>175.2</v>
      </c>
      <c r="CW600">
        <v>0</v>
      </c>
      <c r="CX600">
        <v>65.099999999999994</v>
      </c>
      <c r="CY600">
        <v>199</v>
      </c>
      <c r="CZ600">
        <v>1907.9</v>
      </c>
      <c r="DA600">
        <v>0</v>
      </c>
      <c r="DB600">
        <v>0</v>
      </c>
      <c r="DC600">
        <v>0</v>
      </c>
      <c r="DD600">
        <v>0</v>
      </c>
      <c r="DE600">
        <v>0</v>
      </c>
      <c r="DF600">
        <v>0</v>
      </c>
      <c r="DG600">
        <v>0</v>
      </c>
      <c r="DH600">
        <v>0</v>
      </c>
      <c r="DI600">
        <v>0</v>
      </c>
      <c r="DJ600">
        <v>0</v>
      </c>
      <c r="DK600">
        <v>0</v>
      </c>
      <c r="DL600">
        <v>0</v>
      </c>
      <c r="DM600">
        <v>1065.4000000000001</v>
      </c>
      <c r="DN600">
        <v>599.70000000000005</v>
      </c>
      <c r="DO600">
        <v>319.7</v>
      </c>
      <c r="DP600">
        <v>1570.6999999999998</v>
      </c>
      <c r="DQ600">
        <v>1399.5</v>
      </c>
      <c r="DR600">
        <v>3581</v>
      </c>
      <c r="DU600">
        <v>1393.2</v>
      </c>
      <c r="DV600">
        <v>2862.6</v>
      </c>
      <c r="DY600">
        <v>2361</v>
      </c>
      <c r="EA600">
        <v>2409.6</v>
      </c>
      <c r="EC600">
        <v>1661.3999999999999</v>
      </c>
      <c r="EE600">
        <v>0</v>
      </c>
      <c r="EF600">
        <v>0</v>
      </c>
      <c r="EG600">
        <v>0</v>
      </c>
      <c r="EH600">
        <v>0</v>
      </c>
      <c r="EI600">
        <v>0</v>
      </c>
      <c r="EJ600">
        <v>0</v>
      </c>
      <c r="EK600">
        <v>0</v>
      </c>
      <c r="EL600">
        <v>0</v>
      </c>
      <c r="EM600">
        <v>0</v>
      </c>
      <c r="EN600">
        <v>0</v>
      </c>
      <c r="EO600">
        <v>0</v>
      </c>
      <c r="EP600">
        <v>944.5</v>
      </c>
      <c r="EQ600">
        <v>3459.7</v>
      </c>
      <c r="ER600">
        <v>1353.5</v>
      </c>
      <c r="ES600">
        <v>182.2</v>
      </c>
      <c r="ET600">
        <v>855.59999999999991</v>
      </c>
      <c r="EU600">
        <v>172.2</v>
      </c>
      <c r="EV600">
        <v>203.2</v>
      </c>
      <c r="EW600">
        <v>1173.0999999999999</v>
      </c>
      <c r="EX600">
        <v>1078.3</v>
      </c>
      <c r="EY600">
        <v>1194.4000000000001</v>
      </c>
      <c r="EZ600">
        <v>1207.0999999999999</v>
      </c>
      <c r="FA600">
        <v>0</v>
      </c>
      <c r="FB600">
        <v>0</v>
      </c>
      <c r="FC600">
        <v>0</v>
      </c>
      <c r="FD600">
        <v>0</v>
      </c>
      <c r="FE600">
        <v>0</v>
      </c>
      <c r="FF600">
        <v>0</v>
      </c>
      <c r="FG600">
        <v>0</v>
      </c>
      <c r="FH600">
        <v>0</v>
      </c>
      <c r="FI600">
        <v>0</v>
      </c>
      <c r="FJ600">
        <v>0</v>
      </c>
      <c r="FK600">
        <v>0</v>
      </c>
      <c r="FL600">
        <v>0</v>
      </c>
      <c r="FM600">
        <v>0</v>
      </c>
      <c r="FN600">
        <v>0</v>
      </c>
      <c r="FO600">
        <v>0</v>
      </c>
      <c r="FP600">
        <v>0</v>
      </c>
      <c r="FQ600">
        <v>0</v>
      </c>
      <c r="FR600">
        <v>0</v>
      </c>
      <c r="FS600">
        <v>0</v>
      </c>
      <c r="FT600">
        <v>0</v>
      </c>
      <c r="FU600">
        <v>0</v>
      </c>
      <c r="FV600">
        <v>0</v>
      </c>
      <c r="FW600">
        <v>0</v>
      </c>
      <c r="FX600">
        <v>0</v>
      </c>
      <c r="FY600">
        <v>0</v>
      </c>
      <c r="FZ600">
        <v>0</v>
      </c>
      <c r="GA600">
        <v>0</v>
      </c>
      <c r="GB600">
        <v>0</v>
      </c>
      <c r="GC600">
        <v>0</v>
      </c>
      <c r="GD600">
        <v>0</v>
      </c>
      <c r="GE600">
        <v>0</v>
      </c>
      <c r="GF600">
        <v>0</v>
      </c>
      <c r="GG600">
        <v>0</v>
      </c>
      <c r="GH600">
        <v>0</v>
      </c>
      <c r="GI600">
        <v>0</v>
      </c>
      <c r="GJ600">
        <v>0</v>
      </c>
      <c r="GK600">
        <v>0</v>
      </c>
      <c r="GL600">
        <v>0</v>
      </c>
      <c r="GO600">
        <v>0</v>
      </c>
      <c r="GP600">
        <v>0</v>
      </c>
      <c r="GQ600">
        <v>0</v>
      </c>
      <c r="GR600">
        <v>0</v>
      </c>
      <c r="GS600">
        <v>0</v>
      </c>
      <c r="GT600">
        <v>0</v>
      </c>
      <c r="GU600">
        <v>0</v>
      </c>
      <c r="GV600">
        <v>0</v>
      </c>
      <c r="GW600">
        <v>0</v>
      </c>
      <c r="GX600">
        <v>0</v>
      </c>
      <c r="GY600">
        <v>0</v>
      </c>
      <c r="GZ600">
        <v>0</v>
      </c>
      <c r="HA600">
        <v>0</v>
      </c>
      <c r="HB600">
        <v>0</v>
      </c>
      <c r="HC600">
        <v>0</v>
      </c>
      <c r="HD600">
        <v>0</v>
      </c>
      <c r="HE600">
        <v>0</v>
      </c>
      <c r="HF600">
        <v>0</v>
      </c>
      <c r="HG600">
        <v>0</v>
      </c>
      <c r="HH600">
        <v>0</v>
      </c>
      <c r="HI600">
        <v>0</v>
      </c>
      <c r="HJ600">
        <v>0</v>
      </c>
      <c r="HK600">
        <v>0</v>
      </c>
      <c r="HL600">
        <v>0</v>
      </c>
      <c r="HM600">
        <v>0</v>
      </c>
      <c r="HN600">
        <v>0</v>
      </c>
      <c r="HO600">
        <v>0</v>
      </c>
      <c r="HP600">
        <v>0</v>
      </c>
      <c r="HQ600">
        <v>0</v>
      </c>
      <c r="HR600">
        <v>0</v>
      </c>
      <c r="HS600">
        <v>0</v>
      </c>
      <c r="HT600">
        <v>0</v>
      </c>
      <c r="HU600">
        <v>0</v>
      </c>
      <c r="HV600">
        <v>0</v>
      </c>
      <c r="HW600">
        <v>404.70000000000005</v>
      </c>
      <c r="HX600">
        <v>342.3</v>
      </c>
      <c r="HZ600">
        <v>866.2</v>
      </c>
      <c r="IA600">
        <v>1142.8</v>
      </c>
      <c r="IB600">
        <v>1121.5</v>
      </c>
      <c r="IC600">
        <v>2403</v>
      </c>
      <c r="ID600">
        <v>2659.3</v>
      </c>
      <c r="IE600">
        <v>1923.4</v>
      </c>
      <c r="IF600">
        <v>1465.7</v>
      </c>
      <c r="IG600">
        <v>1608.3</v>
      </c>
      <c r="IH600">
        <v>0</v>
      </c>
      <c r="II600">
        <v>0</v>
      </c>
      <c r="IJ600">
        <v>0</v>
      </c>
      <c r="IK600">
        <v>0</v>
      </c>
      <c r="IL600">
        <v>0</v>
      </c>
      <c r="IM600">
        <v>0</v>
      </c>
      <c r="IN600">
        <v>0</v>
      </c>
      <c r="IO600">
        <v>0</v>
      </c>
      <c r="IP600">
        <v>75.099999999999994</v>
      </c>
    </row>
    <row r="601" spans="1:250" ht="18" thickBot="1">
      <c r="A601" s="570"/>
      <c r="B601" s="570" t="s">
        <v>955</v>
      </c>
      <c r="C601" s="496" t="s">
        <v>1056</v>
      </c>
      <c r="D601" s="557"/>
      <c r="E601" s="454">
        <v>0</v>
      </c>
      <c r="F601">
        <v>0</v>
      </c>
      <c r="G601" s="427">
        <v>0</v>
      </c>
      <c r="H601" s="155">
        <v>0</v>
      </c>
      <c r="I601">
        <v>0</v>
      </c>
      <c r="J601">
        <v>0</v>
      </c>
      <c r="K601">
        <v>0</v>
      </c>
      <c r="L601" s="4">
        <v>0</v>
      </c>
      <c r="M601" s="4">
        <v>0</v>
      </c>
      <c r="N601" s="4">
        <v>0</v>
      </c>
      <c r="O601" s="4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R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G601">
        <v>0</v>
      </c>
      <c r="BI601">
        <v>0</v>
      </c>
      <c r="BK601">
        <v>0</v>
      </c>
      <c r="BL601">
        <v>0</v>
      </c>
      <c r="BM601">
        <v>0</v>
      </c>
      <c r="BN601">
        <v>0</v>
      </c>
      <c r="BO601">
        <v>344.70000000000005</v>
      </c>
      <c r="BP601">
        <v>625.70000000000005</v>
      </c>
      <c r="BQ601">
        <v>912.2</v>
      </c>
      <c r="BR601">
        <v>237.7</v>
      </c>
      <c r="BS601">
        <v>0</v>
      </c>
      <c r="BT601">
        <v>0</v>
      </c>
      <c r="BU601">
        <v>0</v>
      </c>
      <c r="BV601">
        <v>0</v>
      </c>
      <c r="BW601">
        <v>1647.4</v>
      </c>
      <c r="BY601">
        <v>453.1</v>
      </c>
      <c r="CA601">
        <v>285.39999999999998</v>
      </c>
      <c r="CB601">
        <v>280.8</v>
      </c>
      <c r="CC601">
        <v>127.7</v>
      </c>
      <c r="CD601">
        <v>0</v>
      </c>
      <c r="CE601">
        <v>0</v>
      </c>
      <c r="CF601">
        <v>0</v>
      </c>
      <c r="CG601">
        <v>0</v>
      </c>
      <c r="CI601">
        <v>0</v>
      </c>
      <c r="CJ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621.70000000000005</v>
      </c>
      <c r="CR601">
        <v>481.70000000000005</v>
      </c>
      <c r="CS601">
        <v>0</v>
      </c>
      <c r="CT601">
        <v>524.6</v>
      </c>
      <c r="CU601">
        <v>514.1</v>
      </c>
      <c r="CV601">
        <v>175.2</v>
      </c>
      <c r="CW601">
        <v>0</v>
      </c>
      <c r="CX601">
        <v>65.099999999999994</v>
      </c>
      <c r="CY601">
        <v>199</v>
      </c>
      <c r="CZ601">
        <v>1907.9</v>
      </c>
      <c r="DA601">
        <v>0</v>
      </c>
      <c r="DB601">
        <v>0</v>
      </c>
      <c r="DC601">
        <v>0</v>
      </c>
      <c r="DD601">
        <v>0</v>
      </c>
      <c r="DE601">
        <v>0</v>
      </c>
      <c r="DF601">
        <v>0</v>
      </c>
      <c r="DG601">
        <v>0</v>
      </c>
      <c r="DH601">
        <v>0</v>
      </c>
      <c r="DI601">
        <v>0</v>
      </c>
      <c r="DJ601">
        <v>0</v>
      </c>
      <c r="DK601">
        <v>0</v>
      </c>
      <c r="DL601">
        <v>0</v>
      </c>
      <c r="DM601">
        <v>1065.4000000000001</v>
      </c>
      <c r="DN601">
        <v>599.70000000000005</v>
      </c>
      <c r="DO601">
        <v>319.7</v>
      </c>
      <c r="DP601">
        <v>1570.6999999999998</v>
      </c>
      <c r="DQ601">
        <v>1399.5</v>
      </c>
      <c r="DR601">
        <v>3581</v>
      </c>
      <c r="DU601">
        <v>1393.2</v>
      </c>
      <c r="DV601">
        <v>2862.6</v>
      </c>
      <c r="DY601">
        <v>2361</v>
      </c>
      <c r="EA601">
        <v>2409.6</v>
      </c>
      <c r="EC601">
        <v>1661.3999999999999</v>
      </c>
      <c r="EE601">
        <v>0</v>
      </c>
      <c r="EF601">
        <v>0</v>
      </c>
      <c r="EG601">
        <v>0</v>
      </c>
      <c r="EH601">
        <v>0</v>
      </c>
      <c r="EI601">
        <v>0</v>
      </c>
      <c r="EJ601">
        <v>0</v>
      </c>
      <c r="EK601">
        <v>0</v>
      </c>
      <c r="EL601">
        <v>0</v>
      </c>
      <c r="EM601">
        <v>0</v>
      </c>
      <c r="EN601">
        <v>0</v>
      </c>
      <c r="EO601">
        <v>0</v>
      </c>
      <c r="EP601">
        <v>944.5</v>
      </c>
      <c r="EQ601">
        <v>3459.7</v>
      </c>
      <c r="ER601">
        <v>1353.5</v>
      </c>
      <c r="ES601">
        <v>182.2</v>
      </c>
      <c r="ET601">
        <v>855.59999999999991</v>
      </c>
      <c r="EU601">
        <v>172.2</v>
      </c>
      <c r="EV601">
        <v>203.2</v>
      </c>
      <c r="EW601">
        <v>1173.0999999999999</v>
      </c>
      <c r="EX601">
        <v>1078.3</v>
      </c>
      <c r="EY601">
        <v>1194.4000000000001</v>
      </c>
      <c r="EZ601">
        <v>1207.0999999999999</v>
      </c>
      <c r="FA601">
        <v>0</v>
      </c>
      <c r="FB601">
        <v>0</v>
      </c>
      <c r="FC601">
        <v>0</v>
      </c>
      <c r="FD601">
        <v>0</v>
      </c>
      <c r="FE601">
        <v>0</v>
      </c>
      <c r="FF601">
        <v>0</v>
      </c>
      <c r="FG601">
        <v>0</v>
      </c>
      <c r="FH601">
        <v>0</v>
      </c>
      <c r="FI601">
        <v>0</v>
      </c>
      <c r="FJ601">
        <v>0</v>
      </c>
      <c r="FK601">
        <v>0</v>
      </c>
      <c r="FL601">
        <v>0</v>
      </c>
      <c r="FM601">
        <v>0</v>
      </c>
      <c r="FN601">
        <v>0</v>
      </c>
      <c r="FO601">
        <v>0</v>
      </c>
      <c r="FP601">
        <v>0</v>
      </c>
      <c r="FQ601">
        <v>0</v>
      </c>
      <c r="FR601">
        <v>0</v>
      </c>
      <c r="FS601">
        <v>0</v>
      </c>
      <c r="FT601">
        <v>0</v>
      </c>
      <c r="FU601">
        <v>0</v>
      </c>
      <c r="FV601">
        <v>0</v>
      </c>
      <c r="FW601">
        <v>0</v>
      </c>
      <c r="FX601">
        <v>0</v>
      </c>
      <c r="FY601">
        <v>0</v>
      </c>
      <c r="FZ601">
        <v>0</v>
      </c>
      <c r="GA601">
        <v>0</v>
      </c>
      <c r="GB601">
        <v>0</v>
      </c>
      <c r="GC601">
        <v>0</v>
      </c>
      <c r="GD601">
        <v>0</v>
      </c>
      <c r="GE601">
        <v>0</v>
      </c>
      <c r="GF601">
        <v>0</v>
      </c>
      <c r="GG601">
        <v>0</v>
      </c>
      <c r="GH601">
        <v>0</v>
      </c>
      <c r="GI601">
        <v>0</v>
      </c>
      <c r="GJ601">
        <v>0</v>
      </c>
      <c r="GK601">
        <v>0</v>
      </c>
      <c r="GL601">
        <v>0</v>
      </c>
      <c r="GO601">
        <v>0</v>
      </c>
      <c r="GP601">
        <v>0</v>
      </c>
      <c r="GQ601">
        <v>0</v>
      </c>
      <c r="GR601">
        <v>0</v>
      </c>
      <c r="GS601">
        <v>0</v>
      </c>
      <c r="GT601">
        <v>0</v>
      </c>
      <c r="GU601">
        <v>0</v>
      </c>
      <c r="GV601">
        <v>0</v>
      </c>
      <c r="GW601">
        <v>0</v>
      </c>
      <c r="GX601">
        <v>0</v>
      </c>
      <c r="GY601">
        <v>0</v>
      </c>
      <c r="GZ601">
        <v>0</v>
      </c>
      <c r="HA601">
        <v>0</v>
      </c>
      <c r="HB601">
        <v>0</v>
      </c>
      <c r="HC601">
        <v>0</v>
      </c>
      <c r="HD601">
        <v>0</v>
      </c>
      <c r="HE601">
        <v>0</v>
      </c>
      <c r="HF601">
        <v>0</v>
      </c>
      <c r="HG601">
        <v>0</v>
      </c>
      <c r="HH601">
        <v>0</v>
      </c>
      <c r="HI601">
        <v>0</v>
      </c>
      <c r="HJ601">
        <v>0</v>
      </c>
      <c r="HK601">
        <v>0</v>
      </c>
      <c r="HL601">
        <v>0</v>
      </c>
      <c r="HM601">
        <v>0</v>
      </c>
      <c r="HN601">
        <v>0</v>
      </c>
      <c r="HO601">
        <v>0</v>
      </c>
      <c r="HP601">
        <v>0</v>
      </c>
      <c r="HQ601">
        <v>0</v>
      </c>
      <c r="HR601">
        <v>0</v>
      </c>
      <c r="HS601">
        <v>0</v>
      </c>
      <c r="HT601">
        <v>0</v>
      </c>
      <c r="HU601">
        <v>0</v>
      </c>
      <c r="HV601">
        <v>0</v>
      </c>
      <c r="HW601">
        <v>404.70000000000005</v>
      </c>
      <c r="HX601">
        <v>342.3</v>
      </c>
      <c r="HZ601">
        <v>866.2</v>
      </c>
      <c r="IA601">
        <v>1142.8</v>
      </c>
      <c r="IB601">
        <v>1121.5</v>
      </c>
      <c r="IC601">
        <v>2403</v>
      </c>
      <c r="ID601">
        <v>2659.3</v>
      </c>
      <c r="IE601">
        <v>1923.4</v>
      </c>
      <c r="IF601">
        <v>1465.7</v>
      </c>
      <c r="IG601">
        <v>1608.3</v>
      </c>
      <c r="IH601">
        <v>0</v>
      </c>
      <c r="II601">
        <v>0</v>
      </c>
      <c r="IJ601">
        <v>0</v>
      </c>
      <c r="IK601">
        <v>0</v>
      </c>
      <c r="IL601">
        <v>0</v>
      </c>
      <c r="IM601">
        <v>0</v>
      </c>
      <c r="IN601">
        <v>0</v>
      </c>
      <c r="IO601">
        <v>0</v>
      </c>
      <c r="IP601">
        <v>75.099999999999994</v>
      </c>
    </row>
    <row r="602" spans="1:250" ht="18" thickBot="1">
      <c r="A602" s="571"/>
      <c r="B602" s="571"/>
      <c r="C602" s="563"/>
      <c r="D602" s="558"/>
      <c r="E602" s="454">
        <v>0</v>
      </c>
      <c r="F602">
        <v>0</v>
      </c>
      <c r="G602" s="427">
        <v>0</v>
      </c>
      <c r="H602" s="155">
        <v>0</v>
      </c>
      <c r="I602">
        <v>0</v>
      </c>
      <c r="J602">
        <v>0</v>
      </c>
      <c r="K602">
        <v>0</v>
      </c>
      <c r="L602" s="4">
        <v>0</v>
      </c>
      <c r="M602" s="4">
        <v>0</v>
      </c>
      <c r="N602" s="4">
        <v>0</v>
      </c>
      <c r="O602" s="4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R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G602">
        <v>0</v>
      </c>
      <c r="BI602">
        <v>0</v>
      </c>
      <c r="BK602">
        <v>0</v>
      </c>
      <c r="BL602">
        <v>0</v>
      </c>
      <c r="BM602">
        <v>0</v>
      </c>
      <c r="BN602">
        <v>0</v>
      </c>
      <c r="BO602">
        <v>344.70000000000005</v>
      </c>
      <c r="BP602">
        <v>625.70000000000005</v>
      </c>
      <c r="BQ602">
        <v>912.2</v>
      </c>
      <c r="BR602">
        <v>237.7</v>
      </c>
      <c r="BS602">
        <v>0</v>
      </c>
      <c r="BT602">
        <v>0</v>
      </c>
      <c r="BU602">
        <v>0</v>
      </c>
      <c r="BV602">
        <v>0</v>
      </c>
      <c r="BW602">
        <v>1647.4</v>
      </c>
      <c r="BY602">
        <v>453.1</v>
      </c>
      <c r="CA602">
        <v>285.39999999999998</v>
      </c>
      <c r="CB602">
        <v>280.8</v>
      </c>
      <c r="CC602">
        <v>127.7</v>
      </c>
      <c r="CD602">
        <v>0</v>
      </c>
      <c r="CE602">
        <v>0</v>
      </c>
      <c r="CF602">
        <v>0</v>
      </c>
      <c r="CG602">
        <v>0</v>
      </c>
      <c r="CI602">
        <v>0</v>
      </c>
      <c r="CJ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621.70000000000005</v>
      </c>
      <c r="CR602">
        <v>481.70000000000005</v>
      </c>
      <c r="CS602">
        <v>0</v>
      </c>
      <c r="CT602">
        <v>524.6</v>
      </c>
      <c r="CU602">
        <v>514.1</v>
      </c>
      <c r="CV602">
        <v>175.2</v>
      </c>
      <c r="CW602">
        <v>0</v>
      </c>
      <c r="CX602">
        <v>65.099999999999994</v>
      </c>
      <c r="CY602">
        <v>199</v>
      </c>
      <c r="CZ602">
        <v>1907.9</v>
      </c>
      <c r="DA602">
        <v>0</v>
      </c>
      <c r="DB602">
        <v>0</v>
      </c>
      <c r="DC602">
        <v>0</v>
      </c>
      <c r="DD602">
        <v>0</v>
      </c>
      <c r="DE602">
        <v>0</v>
      </c>
      <c r="DF602">
        <v>0</v>
      </c>
      <c r="DG602">
        <v>0</v>
      </c>
      <c r="DH602">
        <v>0</v>
      </c>
      <c r="DI602">
        <v>0</v>
      </c>
      <c r="DJ602">
        <v>0</v>
      </c>
      <c r="DK602">
        <v>0</v>
      </c>
      <c r="DL602">
        <v>0</v>
      </c>
      <c r="DM602">
        <v>1065.4000000000001</v>
      </c>
      <c r="DN602">
        <v>599.70000000000005</v>
      </c>
      <c r="DO602">
        <v>319.7</v>
      </c>
      <c r="DP602">
        <v>1570.6999999999998</v>
      </c>
      <c r="DQ602">
        <v>1399.5</v>
      </c>
      <c r="DR602">
        <v>3581</v>
      </c>
      <c r="DU602">
        <v>1393.2</v>
      </c>
      <c r="DV602">
        <v>2862.6</v>
      </c>
      <c r="DY602">
        <v>2361</v>
      </c>
      <c r="EA602">
        <v>2409.6</v>
      </c>
      <c r="EC602">
        <v>1661.3999999999999</v>
      </c>
      <c r="EE602">
        <v>0</v>
      </c>
      <c r="EF602">
        <v>0</v>
      </c>
      <c r="EG602">
        <v>0</v>
      </c>
      <c r="EH602">
        <v>0</v>
      </c>
      <c r="EI602">
        <v>0</v>
      </c>
      <c r="EJ602">
        <v>0</v>
      </c>
      <c r="EK602">
        <v>0</v>
      </c>
      <c r="EL602">
        <v>0</v>
      </c>
      <c r="EM602">
        <v>0</v>
      </c>
      <c r="EN602">
        <v>0</v>
      </c>
      <c r="EO602">
        <v>0</v>
      </c>
      <c r="EP602">
        <v>944.5</v>
      </c>
      <c r="EQ602">
        <v>3459.7</v>
      </c>
      <c r="ER602">
        <v>1353.5</v>
      </c>
      <c r="ES602">
        <v>182.2</v>
      </c>
      <c r="ET602">
        <v>855.59999999999991</v>
      </c>
      <c r="EU602">
        <v>172.2</v>
      </c>
      <c r="EV602">
        <v>203.2</v>
      </c>
      <c r="EW602">
        <v>1173.0999999999999</v>
      </c>
      <c r="EX602">
        <v>1078.3</v>
      </c>
      <c r="EY602">
        <v>1194.4000000000001</v>
      </c>
      <c r="EZ602">
        <v>1207.0999999999999</v>
      </c>
      <c r="FA602">
        <v>0</v>
      </c>
      <c r="FB602">
        <v>0</v>
      </c>
      <c r="FC602">
        <v>0</v>
      </c>
      <c r="FD602">
        <v>0</v>
      </c>
      <c r="FE602">
        <v>0</v>
      </c>
      <c r="FF602">
        <v>0</v>
      </c>
      <c r="FG602">
        <v>0</v>
      </c>
      <c r="FH602">
        <v>0</v>
      </c>
      <c r="FI602">
        <v>0</v>
      </c>
      <c r="FJ602">
        <v>0</v>
      </c>
      <c r="FK602">
        <v>0</v>
      </c>
      <c r="FL602">
        <v>0</v>
      </c>
      <c r="FM602">
        <v>0</v>
      </c>
      <c r="FN602">
        <v>0</v>
      </c>
      <c r="FO602">
        <v>0</v>
      </c>
      <c r="FP602">
        <v>0</v>
      </c>
      <c r="FQ602">
        <v>0</v>
      </c>
      <c r="FR602">
        <v>0</v>
      </c>
      <c r="FS602">
        <v>0</v>
      </c>
      <c r="FT602">
        <v>0</v>
      </c>
      <c r="FU602">
        <v>0</v>
      </c>
      <c r="FV602">
        <v>0</v>
      </c>
      <c r="FW602">
        <v>0</v>
      </c>
      <c r="FX602">
        <v>0</v>
      </c>
      <c r="FY602">
        <v>0</v>
      </c>
      <c r="FZ602">
        <v>0</v>
      </c>
      <c r="GA602">
        <v>0</v>
      </c>
      <c r="GB602">
        <v>0</v>
      </c>
      <c r="GC602">
        <v>0</v>
      </c>
      <c r="GD602">
        <v>0</v>
      </c>
      <c r="GE602">
        <v>0</v>
      </c>
      <c r="GF602">
        <v>0</v>
      </c>
      <c r="GG602">
        <v>0</v>
      </c>
      <c r="GH602">
        <v>0</v>
      </c>
      <c r="GI602">
        <v>0</v>
      </c>
      <c r="GJ602">
        <v>0</v>
      </c>
      <c r="GK602">
        <v>0</v>
      </c>
      <c r="GL602">
        <v>0</v>
      </c>
      <c r="GO602">
        <v>0</v>
      </c>
      <c r="GP602">
        <v>0</v>
      </c>
      <c r="GQ602">
        <v>0</v>
      </c>
      <c r="GR602">
        <v>0</v>
      </c>
      <c r="GS602">
        <v>0</v>
      </c>
      <c r="GT602">
        <v>0</v>
      </c>
      <c r="GU602">
        <v>0</v>
      </c>
      <c r="GV602">
        <v>0</v>
      </c>
      <c r="GW602">
        <v>0</v>
      </c>
      <c r="GX602">
        <v>0</v>
      </c>
      <c r="GY602">
        <v>0</v>
      </c>
      <c r="GZ602">
        <v>0</v>
      </c>
      <c r="HA602">
        <v>0</v>
      </c>
      <c r="HB602">
        <v>0</v>
      </c>
      <c r="HC602">
        <v>0</v>
      </c>
      <c r="HD602">
        <v>0</v>
      </c>
      <c r="HE602">
        <v>0</v>
      </c>
      <c r="HF602">
        <v>0</v>
      </c>
      <c r="HG602">
        <v>0</v>
      </c>
      <c r="HH602">
        <v>0</v>
      </c>
      <c r="HI602">
        <v>0</v>
      </c>
      <c r="HJ602">
        <v>0</v>
      </c>
      <c r="HK602">
        <v>0</v>
      </c>
      <c r="HL602">
        <v>0</v>
      </c>
      <c r="HM602">
        <v>0</v>
      </c>
      <c r="HN602">
        <v>0</v>
      </c>
      <c r="HO602">
        <v>0</v>
      </c>
      <c r="HP602">
        <v>0</v>
      </c>
      <c r="HQ602">
        <v>0</v>
      </c>
      <c r="HR602">
        <v>0</v>
      </c>
      <c r="HS602">
        <v>0</v>
      </c>
      <c r="HT602">
        <v>0</v>
      </c>
      <c r="HU602">
        <v>0</v>
      </c>
      <c r="HV602">
        <v>0</v>
      </c>
      <c r="HW602">
        <v>404.70000000000005</v>
      </c>
      <c r="HX602">
        <v>342.3</v>
      </c>
      <c r="HZ602">
        <v>866.2</v>
      </c>
      <c r="IA602">
        <v>1142.8</v>
      </c>
      <c r="IB602">
        <v>1121.5</v>
      </c>
      <c r="IC602">
        <v>2403</v>
      </c>
      <c r="ID602">
        <v>2659.3</v>
      </c>
      <c r="IE602">
        <v>1923.4</v>
      </c>
      <c r="IF602">
        <v>1465.7</v>
      </c>
      <c r="IG602">
        <v>1608.3</v>
      </c>
      <c r="IH602">
        <v>0</v>
      </c>
      <c r="II602">
        <v>0</v>
      </c>
      <c r="IJ602">
        <v>0</v>
      </c>
      <c r="IK602">
        <v>0</v>
      </c>
      <c r="IL602">
        <v>0</v>
      </c>
      <c r="IM602">
        <v>0</v>
      </c>
      <c r="IN602">
        <v>0</v>
      </c>
      <c r="IO602">
        <v>0</v>
      </c>
      <c r="IP602">
        <v>75.099999999999994</v>
      </c>
    </row>
    <row r="603" spans="1:250" ht="18.600000000000001" thickTop="1" thickBot="1">
      <c r="A603" s="182"/>
      <c r="B603" s="182"/>
      <c r="C603" s="330" t="s">
        <v>1057</v>
      </c>
      <c r="D603" s="395"/>
      <c r="E603" s="454">
        <v>0</v>
      </c>
      <c r="F603">
        <v>0</v>
      </c>
      <c r="G603" s="427">
        <v>0</v>
      </c>
      <c r="H603" s="155">
        <v>0</v>
      </c>
      <c r="I603">
        <v>0</v>
      </c>
      <c r="J603">
        <v>0</v>
      </c>
      <c r="K603">
        <v>0</v>
      </c>
      <c r="L603" s="4">
        <v>0</v>
      </c>
      <c r="M603" s="4">
        <v>0</v>
      </c>
      <c r="N603" s="4">
        <v>0</v>
      </c>
      <c r="O603" s="4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R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G603">
        <v>0</v>
      </c>
      <c r="BI603">
        <v>0</v>
      </c>
      <c r="BK603">
        <v>0</v>
      </c>
      <c r="BL603">
        <v>0</v>
      </c>
      <c r="BM603">
        <v>0</v>
      </c>
      <c r="BN603">
        <v>0</v>
      </c>
      <c r="BO603">
        <v>344.70000000000005</v>
      </c>
      <c r="BP603">
        <v>625.70000000000005</v>
      </c>
      <c r="BQ603">
        <v>912.2</v>
      </c>
      <c r="BR603">
        <v>237.7</v>
      </c>
      <c r="BS603">
        <v>0</v>
      </c>
      <c r="BT603">
        <v>0</v>
      </c>
      <c r="BU603">
        <v>0</v>
      </c>
      <c r="BV603">
        <v>0</v>
      </c>
      <c r="BW603">
        <v>1647.4</v>
      </c>
      <c r="BY603">
        <v>453.1</v>
      </c>
      <c r="CA603">
        <v>285.39999999999998</v>
      </c>
      <c r="CB603">
        <v>280.8</v>
      </c>
      <c r="CC603">
        <v>127.7</v>
      </c>
      <c r="CD603">
        <v>0</v>
      </c>
      <c r="CE603">
        <v>0</v>
      </c>
      <c r="CF603">
        <v>0</v>
      </c>
      <c r="CG603">
        <v>0</v>
      </c>
      <c r="CI603">
        <v>0</v>
      </c>
      <c r="CJ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621.70000000000005</v>
      </c>
      <c r="CR603">
        <v>481.70000000000005</v>
      </c>
      <c r="CS603">
        <v>0</v>
      </c>
      <c r="CT603">
        <v>524.6</v>
      </c>
      <c r="CU603">
        <v>514.1</v>
      </c>
      <c r="CV603">
        <v>175.2</v>
      </c>
      <c r="CW603">
        <v>0</v>
      </c>
      <c r="CX603">
        <v>65.099999999999994</v>
      </c>
      <c r="CY603">
        <v>199</v>
      </c>
      <c r="CZ603">
        <v>1907.9</v>
      </c>
      <c r="DA603">
        <v>0</v>
      </c>
      <c r="DB603">
        <v>0</v>
      </c>
      <c r="DC603">
        <v>0</v>
      </c>
      <c r="DD603">
        <v>0</v>
      </c>
      <c r="DE603">
        <v>0</v>
      </c>
      <c r="DF603">
        <v>0</v>
      </c>
      <c r="DG603">
        <v>0</v>
      </c>
      <c r="DH603">
        <v>0</v>
      </c>
      <c r="DI603">
        <v>0</v>
      </c>
      <c r="DJ603">
        <v>0</v>
      </c>
      <c r="DK603">
        <v>0</v>
      </c>
      <c r="DL603">
        <v>0</v>
      </c>
      <c r="DM603">
        <v>1065.4000000000001</v>
      </c>
      <c r="DN603">
        <v>599.70000000000005</v>
      </c>
      <c r="DO603">
        <v>319.7</v>
      </c>
      <c r="DP603">
        <v>1570.6999999999998</v>
      </c>
      <c r="DQ603">
        <v>1399.5</v>
      </c>
      <c r="DR603">
        <v>3581</v>
      </c>
      <c r="DU603">
        <v>1393.2</v>
      </c>
      <c r="DV603">
        <v>2862.6</v>
      </c>
      <c r="DY603">
        <v>2361</v>
      </c>
      <c r="EA603">
        <v>2409.6</v>
      </c>
      <c r="EC603">
        <v>1661.3999999999999</v>
      </c>
      <c r="EE603">
        <v>0</v>
      </c>
      <c r="EF603">
        <v>0</v>
      </c>
      <c r="EG603">
        <v>0</v>
      </c>
      <c r="EH603">
        <v>0</v>
      </c>
      <c r="EI603">
        <v>0</v>
      </c>
      <c r="EJ603">
        <v>0</v>
      </c>
      <c r="EK603">
        <v>0</v>
      </c>
      <c r="EL603">
        <v>0</v>
      </c>
      <c r="EM603">
        <v>0</v>
      </c>
      <c r="EN603">
        <v>0</v>
      </c>
      <c r="EO603">
        <v>0</v>
      </c>
      <c r="EP603">
        <v>944.5</v>
      </c>
      <c r="EQ603">
        <v>3459.7</v>
      </c>
      <c r="ER603">
        <v>1353.5</v>
      </c>
      <c r="ES603">
        <v>182.2</v>
      </c>
      <c r="ET603">
        <v>855.59999999999991</v>
      </c>
      <c r="EU603">
        <v>172.2</v>
      </c>
      <c r="EV603">
        <v>203.2</v>
      </c>
      <c r="EW603">
        <v>1173.0999999999999</v>
      </c>
      <c r="EX603">
        <v>1078.3</v>
      </c>
      <c r="EY603">
        <v>1194.4000000000001</v>
      </c>
      <c r="EZ603">
        <v>1207.0999999999999</v>
      </c>
      <c r="FA603">
        <v>0</v>
      </c>
      <c r="FB603">
        <v>0</v>
      </c>
      <c r="FC603">
        <v>0</v>
      </c>
      <c r="FD603">
        <v>0</v>
      </c>
      <c r="FE603">
        <v>0</v>
      </c>
      <c r="FF603">
        <v>0</v>
      </c>
      <c r="FG603">
        <v>0</v>
      </c>
      <c r="FH603">
        <v>0</v>
      </c>
      <c r="FI603">
        <v>0</v>
      </c>
      <c r="FJ603">
        <v>0</v>
      </c>
      <c r="FK603">
        <v>0</v>
      </c>
      <c r="FL603">
        <v>0</v>
      </c>
      <c r="FM603">
        <v>0</v>
      </c>
      <c r="FN603">
        <v>0</v>
      </c>
      <c r="FO603">
        <v>0</v>
      </c>
      <c r="FP603">
        <v>0</v>
      </c>
      <c r="FQ603">
        <v>0</v>
      </c>
      <c r="FR603">
        <v>0</v>
      </c>
      <c r="FS603">
        <v>0</v>
      </c>
      <c r="FT603">
        <v>0</v>
      </c>
      <c r="FU603">
        <v>0</v>
      </c>
      <c r="FV603">
        <v>0</v>
      </c>
      <c r="FW603">
        <v>0</v>
      </c>
      <c r="FX603">
        <v>0</v>
      </c>
      <c r="FY603">
        <v>0</v>
      </c>
      <c r="FZ603">
        <v>0</v>
      </c>
      <c r="GA603">
        <v>0</v>
      </c>
      <c r="GB603">
        <v>0</v>
      </c>
      <c r="GC603">
        <v>0</v>
      </c>
      <c r="GD603">
        <v>0</v>
      </c>
      <c r="GE603">
        <v>0</v>
      </c>
      <c r="GF603">
        <v>0</v>
      </c>
      <c r="GG603">
        <v>0</v>
      </c>
      <c r="GH603">
        <v>0</v>
      </c>
      <c r="GI603">
        <v>0</v>
      </c>
      <c r="GJ603">
        <v>0</v>
      </c>
      <c r="GK603">
        <v>0</v>
      </c>
      <c r="GL603">
        <v>0</v>
      </c>
      <c r="GO603">
        <v>0</v>
      </c>
      <c r="GP603">
        <v>0</v>
      </c>
      <c r="GQ603">
        <v>0</v>
      </c>
      <c r="GR603">
        <v>0</v>
      </c>
      <c r="GS603">
        <v>0</v>
      </c>
      <c r="GT603">
        <v>0</v>
      </c>
      <c r="GU603">
        <v>0</v>
      </c>
      <c r="GV603">
        <v>0</v>
      </c>
      <c r="GW603">
        <v>0</v>
      </c>
      <c r="GX603">
        <v>0</v>
      </c>
      <c r="GY603">
        <v>0</v>
      </c>
      <c r="GZ603">
        <v>0</v>
      </c>
      <c r="HA603">
        <v>0</v>
      </c>
      <c r="HB603">
        <v>0</v>
      </c>
      <c r="HC603">
        <v>0</v>
      </c>
      <c r="HD603">
        <v>0</v>
      </c>
      <c r="HE603">
        <v>0</v>
      </c>
      <c r="HF603">
        <v>0</v>
      </c>
      <c r="HG603">
        <v>0</v>
      </c>
      <c r="HH603">
        <v>0</v>
      </c>
      <c r="HI603">
        <v>0</v>
      </c>
      <c r="HJ603">
        <v>0</v>
      </c>
      <c r="HK603">
        <v>0</v>
      </c>
      <c r="HL603">
        <v>0</v>
      </c>
      <c r="HM603">
        <v>0</v>
      </c>
      <c r="HN603">
        <v>0</v>
      </c>
      <c r="HO603">
        <v>0</v>
      </c>
      <c r="HP603">
        <v>0</v>
      </c>
      <c r="HQ603">
        <v>0</v>
      </c>
      <c r="HR603">
        <v>0</v>
      </c>
      <c r="HS603">
        <v>0</v>
      </c>
      <c r="HT603">
        <v>0</v>
      </c>
      <c r="HU603">
        <v>0</v>
      </c>
      <c r="HV603">
        <v>0</v>
      </c>
      <c r="HW603">
        <v>404.70000000000005</v>
      </c>
      <c r="HX603">
        <v>342.3</v>
      </c>
      <c r="HZ603">
        <v>866.2</v>
      </c>
      <c r="IA603">
        <v>1142.8</v>
      </c>
      <c r="IB603">
        <v>1121.5</v>
      </c>
      <c r="IC603">
        <v>2403</v>
      </c>
      <c r="ID603">
        <v>2659.3</v>
      </c>
      <c r="IE603">
        <v>1923.4</v>
      </c>
      <c r="IF603">
        <v>1465.7</v>
      </c>
      <c r="IG603">
        <v>1608.3</v>
      </c>
      <c r="IH603">
        <v>0</v>
      </c>
      <c r="II603">
        <v>0</v>
      </c>
      <c r="IJ603">
        <v>0</v>
      </c>
      <c r="IK603">
        <v>0</v>
      </c>
      <c r="IL603">
        <v>0</v>
      </c>
      <c r="IM603">
        <v>0</v>
      </c>
      <c r="IN603">
        <v>0</v>
      </c>
      <c r="IO603">
        <v>0</v>
      </c>
      <c r="IP603">
        <v>75.099999999999994</v>
      </c>
    </row>
    <row r="604" spans="1:250" ht="18" thickBot="1">
      <c r="A604" s="183"/>
      <c r="B604" s="183"/>
      <c r="C604" s="332" t="s">
        <v>1058</v>
      </c>
      <c r="D604" s="396"/>
      <c r="E604" s="454">
        <v>0</v>
      </c>
      <c r="F604">
        <v>0</v>
      </c>
      <c r="G604" s="427">
        <v>0</v>
      </c>
      <c r="H604" s="155">
        <v>0</v>
      </c>
      <c r="I604">
        <v>0</v>
      </c>
      <c r="J604">
        <v>0</v>
      </c>
      <c r="K604">
        <v>0</v>
      </c>
      <c r="L604" s="4">
        <v>0</v>
      </c>
      <c r="M604" s="4">
        <v>0</v>
      </c>
      <c r="N604" s="4">
        <v>0</v>
      </c>
      <c r="O604" s="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R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G604">
        <v>0</v>
      </c>
      <c r="BI604">
        <v>0</v>
      </c>
      <c r="BK604">
        <v>0</v>
      </c>
      <c r="BL604">
        <v>0</v>
      </c>
      <c r="BM604">
        <v>0</v>
      </c>
      <c r="BN604">
        <v>0</v>
      </c>
      <c r="BO604">
        <v>344.70000000000005</v>
      </c>
      <c r="BP604">
        <v>625.70000000000005</v>
      </c>
      <c r="BQ604">
        <v>912.2</v>
      </c>
      <c r="BR604">
        <v>237.7</v>
      </c>
      <c r="BS604">
        <v>0</v>
      </c>
      <c r="BT604">
        <v>0</v>
      </c>
      <c r="BU604">
        <v>0</v>
      </c>
      <c r="BV604">
        <v>0</v>
      </c>
      <c r="BW604">
        <v>1647.4</v>
      </c>
      <c r="BY604">
        <v>453.1</v>
      </c>
      <c r="CA604">
        <v>285.39999999999998</v>
      </c>
      <c r="CB604">
        <v>280.8</v>
      </c>
      <c r="CC604">
        <v>127.7</v>
      </c>
      <c r="CD604">
        <v>0</v>
      </c>
      <c r="CE604">
        <v>0</v>
      </c>
      <c r="CF604">
        <v>0</v>
      </c>
      <c r="CG604">
        <v>0</v>
      </c>
      <c r="CI604">
        <v>0</v>
      </c>
      <c r="CJ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621.70000000000005</v>
      </c>
      <c r="CR604">
        <v>481.70000000000005</v>
      </c>
      <c r="CS604">
        <v>0</v>
      </c>
      <c r="CT604">
        <v>524.6</v>
      </c>
      <c r="CU604">
        <v>514.1</v>
      </c>
      <c r="CV604">
        <v>175.2</v>
      </c>
      <c r="CW604">
        <v>0</v>
      </c>
      <c r="CX604">
        <v>65.099999999999994</v>
      </c>
      <c r="CY604">
        <v>199</v>
      </c>
      <c r="CZ604">
        <v>1907.9</v>
      </c>
      <c r="DA604">
        <v>0</v>
      </c>
      <c r="DB604">
        <v>0</v>
      </c>
      <c r="DC604">
        <v>0</v>
      </c>
      <c r="DD604">
        <v>0</v>
      </c>
      <c r="DE604">
        <v>0</v>
      </c>
      <c r="DF604">
        <v>0</v>
      </c>
      <c r="DG604">
        <v>0</v>
      </c>
      <c r="DH604">
        <v>0</v>
      </c>
      <c r="DI604">
        <v>0</v>
      </c>
      <c r="DJ604">
        <v>0</v>
      </c>
      <c r="DK604">
        <v>0</v>
      </c>
      <c r="DL604">
        <v>0</v>
      </c>
      <c r="DM604">
        <v>1065.4000000000001</v>
      </c>
      <c r="DN604">
        <v>599.70000000000005</v>
      </c>
      <c r="DO604">
        <v>319.7</v>
      </c>
      <c r="DP604">
        <v>1570.6999999999998</v>
      </c>
      <c r="DQ604">
        <v>1399.5</v>
      </c>
      <c r="DR604">
        <v>3581</v>
      </c>
      <c r="DU604">
        <v>1393.2</v>
      </c>
      <c r="DV604">
        <v>2862.6</v>
      </c>
      <c r="DY604">
        <v>2361</v>
      </c>
      <c r="EA604">
        <v>2409.6</v>
      </c>
      <c r="EC604">
        <v>1661.3999999999999</v>
      </c>
      <c r="EE604">
        <v>0</v>
      </c>
      <c r="EF604">
        <v>0</v>
      </c>
      <c r="EG604">
        <v>0</v>
      </c>
      <c r="EH604">
        <v>0</v>
      </c>
      <c r="EI604">
        <v>0</v>
      </c>
      <c r="EJ604">
        <v>0</v>
      </c>
      <c r="EK604">
        <v>0</v>
      </c>
      <c r="EL604">
        <v>0</v>
      </c>
      <c r="EM604">
        <v>0</v>
      </c>
      <c r="EN604">
        <v>0</v>
      </c>
      <c r="EO604">
        <v>0</v>
      </c>
      <c r="EP604">
        <v>944.5</v>
      </c>
      <c r="EQ604">
        <v>3459.7</v>
      </c>
      <c r="ER604">
        <v>1353.5</v>
      </c>
      <c r="ES604">
        <v>182.2</v>
      </c>
      <c r="ET604">
        <v>855.59999999999991</v>
      </c>
      <c r="EU604">
        <v>172.2</v>
      </c>
      <c r="EV604">
        <v>203.2</v>
      </c>
      <c r="EW604">
        <v>1173.0999999999999</v>
      </c>
      <c r="EX604">
        <v>1078.3</v>
      </c>
      <c r="EY604">
        <v>1194.4000000000001</v>
      </c>
      <c r="EZ604">
        <v>1207.0999999999999</v>
      </c>
      <c r="FA604">
        <v>0</v>
      </c>
      <c r="FB604">
        <v>0</v>
      </c>
      <c r="FC604">
        <v>0</v>
      </c>
      <c r="FD604">
        <v>0</v>
      </c>
      <c r="FE604">
        <v>0</v>
      </c>
      <c r="FF604">
        <v>0</v>
      </c>
      <c r="FG604">
        <v>0</v>
      </c>
      <c r="FH604">
        <v>0</v>
      </c>
      <c r="FI604">
        <v>0</v>
      </c>
      <c r="FJ604">
        <v>0</v>
      </c>
      <c r="FK604">
        <v>0</v>
      </c>
      <c r="FL604">
        <v>0</v>
      </c>
      <c r="FM604">
        <v>0</v>
      </c>
      <c r="FN604">
        <v>0</v>
      </c>
      <c r="FO604">
        <v>0</v>
      </c>
      <c r="FP604">
        <v>0</v>
      </c>
      <c r="FQ604">
        <v>0</v>
      </c>
      <c r="FR604">
        <v>0</v>
      </c>
      <c r="FS604">
        <v>0</v>
      </c>
      <c r="FT604">
        <v>0</v>
      </c>
      <c r="FU604">
        <v>0</v>
      </c>
      <c r="FV604">
        <v>0</v>
      </c>
      <c r="FW604">
        <v>0</v>
      </c>
      <c r="FX604">
        <v>0</v>
      </c>
      <c r="FY604">
        <v>0</v>
      </c>
      <c r="FZ604">
        <v>0</v>
      </c>
      <c r="GA604">
        <v>0</v>
      </c>
      <c r="GB604">
        <v>0</v>
      </c>
      <c r="GC604">
        <v>0</v>
      </c>
      <c r="GD604">
        <v>0</v>
      </c>
      <c r="GE604">
        <v>0</v>
      </c>
      <c r="GF604">
        <v>0</v>
      </c>
      <c r="GG604">
        <v>0</v>
      </c>
      <c r="GH604">
        <v>0</v>
      </c>
      <c r="GI604">
        <v>0</v>
      </c>
      <c r="GJ604">
        <v>0</v>
      </c>
      <c r="GK604">
        <v>0</v>
      </c>
      <c r="GL604">
        <v>0</v>
      </c>
      <c r="GO604">
        <v>0</v>
      </c>
      <c r="GP604">
        <v>0</v>
      </c>
      <c r="GQ604">
        <v>0</v>
      </c>
      <c r="GR604">
        <v>0</v>
      </c>
      <c r="GS604">
        <v>0</v>
      </c>
      <c r="GT604">
        <v>0</v>
      </c>
      <c r="GU604">
        <v>0</v>
      </c>
      <c r="GV604">
        <v>0</v>
      </c>
      <c r="GW604">
        <v>0</v>
      </c>
      <c r="GX604">
        <v>0</v>
      </c>
      <c r="GY604">
        <v>0</v>
      </c>
      <c r="GZ604">
        <v>0</v>
      </c>
      <c r="HA604">
        <v>0</v>
      </c>
      <c r="HB604">
        <v>0</v>
      </c>
      <c r="HC604">
        <v>0</v>
      </c>
      <c r="HD604">
        <v>0</v>
      </c>
      <c r="HE604">
        <v>0</v>
      </c>
      <c r="HF604">
        <v>0</v>
      </c>
      <c r="HG604">
        <v>0</v>
      </c>
      <c r="HH604">
        <v>0</v>
      </c>
      <c r="HI604">
        <v>0</v>
      </c>
      <c r="HJ604">
        <v>0</v>
      </c>
      <c r="HK604">
        <v>0</v>
      </c>
      <c r="HL604">
        <v>0</v>
      </c>
      <c r="HM604">
        <v>0</v>
      </c>
      <c r="HN604">
        <v>0</v>
      </c>
      <c r="HO604">
        <v>0</v>
      </c>
      <c r="HP604">
        <v>0</v>
      </c>
      <c r="HQ604">
        <v>0</v>
      </c>
      <c r="HR604">
        <v>0</v>
      </c>
      <c r="HS604">
        <v>0</v>
      </c>
      <c r="HT604">
        <v>0</v>
      </c>
      <c r="HU604">
        <v>0</v>
      </c>
      <c r="HV604">
        <v>0</v>
      </c>
      <c r="HW604">
        <v>404.70000000000005</v>
      </c>
      <c r="HX604">
        <v>342.3</v>
      </c>
      <c r="HZ604">
        <v>866.2</v>
      </c>
      <c r="IA604">
        <v>1142.8</v>
      </c>
      <c r="IB604">
        <v>1121.5</v>
      </c>
      <c r="IC604">
        <v>2403</v>
      </c>
      <c r="ID604">
        <v>2659.3</v>
      </c>
      <c r="IE604">
        <v>1923.4</v>
      </c>
      <c r="IF604">
        <v>1465.7</v>
      </c>
      <c r="IG604">
        <v>1608.3</v>
      </c>
      <c r="IH604">
        <v>0</v>
      </c>
      <c r="II604">
        <v>0</v>
      </c>
      <c r="IJ604">
        <v>0</v>
      </c>
      <c r="IK604">
        <v>0</v>
      </c>
      <c r="IL604">
        <v>0</v>
      </c>
      <c r="IM604">
        <v>0</v>
      </c>
      <c r="IN604">
        <v>0</v>
      </c>
      <c r="IO604">
        <v>0</v>
      </c>
      <c r="IP604">
        <v>75.099999999999994</v>
      </c>
    </row>
    <row r="605" spans="1:250" ht="18" thickBot="1">
      <c r="A605" s="183"/>
      <c r="B605" s="183"/>
      <c r="C605" s="332" t="s">
        <v>1059</v>
      </c>
      <c r="D605" s="396"/>
      <c r="E605" s="454">
        <v>0</v>
      </c>
      <c r="F605">
        <v>0</v>
      </c>
      <c r="G605" s="427">
        <v>0</v>
      </c>
      <c r="H605" s="155">
        <v>0</v>
      </c>
      <c r="I605">
        <v>0</v>
      </c>
      <c r="J605">
        <v>0</v>
      </c>
      <c r="K605">
        <v>0</v>
      </c>
      <c r="L605" s="4">
        <v>0</v>
      </c>
      <c r="M605" s="4">
        <v>0</v>
      </c>
      <c r="N605" s="4">
        <v>0</v>
      </c>
      <c r="O605" s="4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R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G605">
        <v>0</v>
      </c>
      <c r="BI605">
        <v>0</v>
      </c>
      <c r="BK605">
        <v>0</v>
      </c>
      <c r="BL605">
        <v>0</v>
      </c>
      <c r="BM605">
        <v>0</v>
      </c>
      <c r="BN605">
        <v>0</v>
      </c>
      <c r="BO605">
        <v>344.70000000000005</v>
      </c>
      <c r="BP605">
        <v>625.70000000000005</v>
      </c>
      <c r="BQ605">
        <v>912.2</v>
      </c>
      <c r="BR605">
        <v>237.7</v>
      </c>
      <c r="BS605">
        <v>0</v>
      </c>
      <c r="BT605">
        <v>0</v>
      </c>
      <c r="BU605">
        <v>0</v>
      </c>
      <c r="BV605">
        <v>0</v>
      </c>
      <c r="BW605">
        <v>1647.4</v>
      </c>
      <c r="BY605">
        <v>453.1</v>
      </c>
      <c r="CA605">
        <v>285.39999999999998</v>
      </c>
      <c r="CB605">
        <v>280.8</v>
      </c>
      <c r="CC605">
        <v>127.7</v>
      </c>
      <c r="CD605">
        <v>0</v>
      </c>
      <c r="CE605">
        <v>0</v>
      </c>
      <c r="CF605">
        <v>0</v>
      </c>
      <c r="CG605">
        <v>0</v>
      </c>
      <c r="CI605">
        <v>0</v>
      </c>
      <c r="CJ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621.70000000000005</v>
      </c>
      <c r="CR605">
        <v>481.70000000000005</v>
      </c>
      <c r="CS605">
        <v>0</v>
      </c>
      <c r="CT605">
        <v>524.6</v>
      </c>
      <c r="CU605">
        <v>514.1</v>
      </c>
      <c r="CV605">
        <v>175.2</v>
      </c>
      <c r="CW605">
        <v>0</v>
      </c>
      <c r="CX605">
        <v>65.099999999999994</v>
      </c>
      <c r="CY605">
        <v>199</v>
      </c>
      <c r="CZ605">
        <v>1907.9</v>
      </c>
      <c r="DA605">
        <v>0</v>
      </c>
      <c r="DB605">
        <v>0</v>
      </c>
      <c r="DC605">
        <v>0</v>
      </c>
      <c r="DD605">
        <v>0</v>
      </c>
      <c r="DE605">
        <v>0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1065.4000000000001</v>
      </c>
      <c r="DN605">
        <v>599.70000000000005</v>
      </c>
      <c r="DO605">
        <v>319.7</v>
      </c>
      <c r="DP605">
        <v>1570.6999999999998</v>
      </c>
      <c r="DQ605">
        <v>1399.5</v>
      </c>
      <c r="DR605">
        <v>3581</v>
      </c>
      <c r="DU605">
        <v>1393.2</v>
      </c>
      <c r="DV605">
        <v>2862.6</v>
      </c>
      <c r="DY605">
        <v>2361</v>
      </c>
      <c r="EA605">
        <v>2409.6</v>
      </c>
      <c r="EC605">
        <v>1661.3999999999999</v>
      </c>
      <c r="EE605">
        <v>0</v>
      </c>
      <c r="EF605">
        <v>0</v>
      </c>
      <c r="EG605">
        <v>0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944.5</v>
      </c>
      <c r="EQ605">
        <v>3459.7</v>
      </c>
      <c r="ER605">
        <v>1353.5</v>
      </c>
      <c r="ES605">
        <v>182.2</v>
      </c>
      <c r="ET605">
        <v>855.59999999999991</v>
      </c>
      <c r="EU605">
        <v>172.2</v>
      </c>
      <c r="EV605">
        <v>203.2</v>
      </c>
      <c r="EW605">
        <v>1173.0999999999999</v>
      </c>
      <c r="EX605">
        <v>1078.3</v>
      </c>
      <c r="EY605">
        <v>1194.4000000000001</v>
      </c>
      <c r="EZ605">
        <v>1207.0999999999999</v>
      </c>
      <c r="FA605">
        <v>0</v>
      </c>
      <c r="FB605">
        <v>0</v>
      </c>
      <c r="FC605">
        <v>0</v>
      </c>
      <c r="FD605">
        <v>0</v>
      </c>
      <c r="FE605">
        <v>0</v>
      </c>
      <c r="FF605">
        <v>0</v>
      </c>
      <c r="FG605">
        <v>0</v>
      </c>
      <c r="FH605">
        <v>0</v>
      </c>
      <c r="FI605">
        <v>0</v>
      </c>
      <c r="FJ605">
        <v>0</v>
      </c>
      <c r="FK605">
        <v>0</v>
      </c>
      <c r="FL605">
        <v>0</v>
      </c>
      <c r="FM605">
        <v>0</v>
      </c>
      <c r="FN605">
        <v>0</v>
      </c>
      <c r="FO605">
        <v>0</v>
      </c>
      <c r="FP605">
        <v>0</v>
      </c>
      <c r="FQ605">
        <v>0</v>
      </c>
      <c r="FR605">
        <v>0</v>
      </c>
      <c r="FS605">
        <v>0</v>
      </c>
      <c r="FT605">
        <v>0</v>
      </c>
      <c r="FU605">
        <v>0</v>
      </c>
      <c r="FV605">
        <v>0</v>
      </c>
      <c r="FW605">
        <v>0</v>
      </c>
      <c r="FX605">
        <v>0</v>
      </c>
      <c r="FY605">
        <v>0</v>
      </c>
      <c r="FZ605">
        <v>0</v>
      </c>
      <c r="GA605">
        <v>0</v>
      </c>
      <c r="GB605">
        <v>0</v>
      </c>
      <c r="GC605">
        <v>0</v>
      </c>
      <c r="GD605">
        <v>0</v>
      </c>
      <c r="GE605">
        <v>0</v>
      </c>
      <c r="GF605">
        <v>0</v>
      </c>
      <c r="GG605">
        <v>0</v>
      </c>
      <c r="GH605">
        <v>0</v>
      </c>
      <c r="GI605">
        <v>0</v>
      </c>
      <c r="GJ605">
        <v>0</v>
      </c>
      <c r="GK605">
        <v>0</v>
      </c>
      <c r="GL605">
        <v>0</v>
      </c>
      <c r="GO605">
        <v>0</v>
      </c>
      <c r="GP605">
        <v>0</v>
      </c>
      <c r="GQ605">
        <v>0</v>
      </c>
      <c r="GR605">
        <v>0</v>
      </c>
      <c r="GS605">
        <v>0</v>
      </c>
      <c r="GT605">
        <v>0</v>
      </c>
      <c r="GU605">
        <v>0</v>
      </c>
      <c r="GV605">
        <v>0</v>
      </c>
      <c r="GW605">
        <v>0</v>
      </c>
      <c r="GX605">
        <v>0</v>
      </c>
      <c r="GY605">
        <v>0</v>
      </c>
      <c r="GZ605">
        <v>0</v>
      </c>
      <c r="HA605">
        <v>0</v>
      </c>
      <c r="HB605">
        <v>0</v>
      </c>
      <c r="HC605">
        <v>0</v>
      </c>
      <c r="HD605">
        <v>0</v>
      </c>
      <c r="HE605">
        <v>0</v>
      </c>
      <c r="HF605">
        <v>0</v>
      </c>
      <c r="HG605">
        <v>0</v>
      </c>
      <c r="HH605">
        <v>0</v>
      </c>
      <c r="HI605">
        <v>0</v>
      </c>
      <c r="HJ605">
        <v>0</v>
      </c>
      <c r="HK605">
        <v>0</v>
      </c>
      <c r="HL605">
        <v>0</v>
      </c>
      <c r="HM605">
        <v>0</v>
      </c>
      <c r="HN605">
        <v>0</v>
      </c>
      <c r="HO605">
        <v>0</v>
      </c>
      <c r="HP605">
        <v>0</v>
      </c>
      <c r="HQ605">
        <v>0</v>
      </c>
      <c r="HR605">
        <v>0</v>
      </c>
      <c r="HS605">
        <v>0</v>
      </c>
      <c r="HT605">
        <v>0</v>
      </c>
      <c r="HU605">
        <v>0</v>
      </c>
      <c r="HV605">
        <v>0</v>
      </c>
      <c r="HW605">
        <v>404.70000000000005</v>
      </c>
      <c r="HX605">
        <v>342.3</v>
      </c>
      <c r="HZ605">
        <v>866.2</v>
      </c>
      <c r="IA605">
        <v>1142.8</v>
      </c>
      <c r="IB605">
        <v>1121.5</v>
      </c>
      <c r="IC605">
        <v>2403</v>
      </c>
      <c r="ID605">
        <v>2659.3</v>
      </c>
      <c r="IE605">
        <v>1923.4</v>
      </c>
      <c r="IF605">
        <v>1465.7</v>
      </c>
      <c r="IG605">
        <v>1608.3</v>
      </c>
      <c r="IH605">
        <v>0</v>
      </c>
      <c r="II605">
        <v>0</v>
      </c>
      <c r="IJ605">
        <v>0</v>
      </c>
      <c r="IK605">
        <v>0</v>
      </c>
      <c r="IL605">
        <v>0</v>
      </c>
      <c r="IM605">
        <v>0</v>
      </c>
      <c r="IN605">
        <v>0</v>
      </c>
      <c r="IO605">
        <v>0</v>
      </c>
      <c r="IP605">
        <v>75.099999999999994</v>
      </c>
    </row>
    <row r="606" spans="1:250" ht="18" thickBot="1">
      <c r="A606" s="183"/>
      <c r="B606" s="183"/>
      <c r="C606" s="332" t="s">
        <v>1060</v>
      </c>
      <c r="D606" s="396"/>
      <c r="E606" s="454">
        <v>0</v>
      </c>
      <c r="F606">
        <v>0</v>
      </c>
      <c r="G606" s="427">
        <v>0</v>
      </c>
      <c r="H606" s="155">
        <v>0</v>
      </c>
      <c r="I606">
        <v>0</v>
      </c>
      <c r="J606">
        <v>0</v>
      </c>
      <c r="K606">
        <v>0</v>
      </c>
      <c r="L606" s="4">
        <v>0</v>
      </c>
      <c r="M606" s="4">
        <v>0</v>
      </c>
      <c r="N606" s="4">
        <v>0</v>
      </c>
      <c r="O606" s="4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R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G606">
        <v>0</v>
      </c>
      <c r="BI606">
        <v>0</v>
      </c>
      <c r="BK606">
        <v>0</v>
      </c>
      <c r="BL606">
        <v>0</v>
      </c>
      <c r="BM606">
        <v>0</v>
      </c>
      <c r="BN606">
        <v>0</v>
      </c>
      <c r="BO606">
        <v>344.70000000000005</v>
      </c>
      <c r="BP606">
        <v>625.70000000000005</v>
      </c>
      <c r="BQ606">
        <v>912.2</v>
      </c>
      <c r="BR606">
        <v>237.7</v>
      </c>
      <c r="BS606">
        <v>0</v>
      </c>
      <c r="BT606">
        <v>0</v>
      </c>
      <c r="BU606">
        <v>0</v>
      </c>
      <c r="BV606">
        <v>0</v>
      </c>
      <c r="BW606">
        <v>1647.4</v>
      </c>
      <c r="BY606">
        <v>453.1</v>
      </c>
      <c r="CA606">
        <v>285.39999999999998</v>
      </c>
      <c r="CB606">
        <v>280.8</v>
      </c>
      <c r="CC606">
        <v>127.7</v>
      </c>
      <c r="CD606">
        <v>0</v>
      </c>
      <c r="CE606">
        <v>0</v>
      </c>
      <c r="CF606">
        <v>0</v>
      </c>
      <c r="CG606">
        <v>0</v>
      </c>
      <c r="CI606">
        <v>0</v>
      </c>
      <c r="CJ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621.70000000000005</v>
      </c>
      <c r="CR606">
        <v>481.70000000000005</v>
      </c>
      <c r="CS606">
        <v>0</v>
      </c>
      <c r="CT606">
        <v>524.6</v>
      </c>
      <c r="CU606">
        <v>514.1</v>
      </c>
      <c r="CV606">
        <v>175.2</v>
      </c>
      <c r="CW606">
        <v>0</v>
      </c>
      <c r="CX606">
        <v>65.099999999999994</v>
      </c>
      <c r="CY606">
        <v>199</v>
      </c>
      <c r="CZ606">
        <v>1907.9</v>
      </c>
      <c r="DA606">
        <v>0</v>
      </c>
      <c r="DB606">
        <v>0</v>
      </c>
      <c r="DC606">
        <v>0</v>
      </c>
      <c r="DD606">
        <v>0</v>
      </c>
      <c r="DE606">
        <v>0</v>
      </c>
      <c r="DF606">
        <v>0</v>
      </c>
      <c r="DG606">
        <v>0</v>
      </c>
      <c r="DH606">
        <v>0</v>
      </c>
      <c r="DI606">
        <v>0</v>
      </c>
      <c r="DJ606">
        <v>0</v>
      </c>
      <c r="DK606">
        <v>0</v>
      </c>
      <c r="DL606">
        <v>0</v>
      </c>
      <c r="DM606">
        <v>1065.4000000000001</v>
      </c>
      <c r="DN606">
        <v>599.70000000000005</v>
      </c>
      <c r="DO606">
        <v>319.7</v>
      </c>
      <c r="DP606">
        <v>1570.6999999999998</v>
      </c>
      <c r="DQ606">
        <v>1399.5</v>
      </c>
      <c r="DR606">
        <v>3581</v>
      </c>
      <c r="DU606">
        <v>1393.2</v>
      </c>
      <c r="DV606">
        <v>2862.6</v>
      </c>
      <c r="DY606">
        <v>2361</v>
      </c>
      <c r="EA606">
        <v>2409.6</v>
      </c>
      <c r="EC606">
        <v>1661.3999999999999</v>
      </c>
      <c r="EE606">
        <v>0</v>
      </c>
      <c r="EF606">
        <v>0</v>
      </c>
      <c r="EG606">
        <v>0</v>
      </c>
      <c r="EH606">
        <v>0</v>
      </c>
      <c r="EI606">
        <v>0</v>
      </c>
      <c r="EJ606">
        <v>0</v>
      </c>
      <c r="EK606">
        <v>0</v>
      </c>
      <c r="EL606">
        <v>0</v>
      </c>
      <c r="EM606">
        <v>0</v>
      </c>
      <c r="EN606">
        <v>0</v>
      </c>
      <c r="EO606">
        <v>0</v>
      </c>
      <c r="EP606">
        <v>944.5</v>
      </c>
      <c r="EQ606">
        <v>3459.7</v>
      </c>
      <c r="ER606">
        <v>1353.5</v>
      </c>
      <c r="ES606">
        <v>182.2</v>
      </c>
      <c r="ET606">
        <v>855.59999999999991</v>
      </c>
      <c r="EU606">
        <v>172.2</v>
      </c>
      <c r="EV606">
        <v>203.2</v>
      </c>
      <c r="EW606">
        <v>1173.0999999999999</v>
      </c>
      <c r="EX606">
        <v>1078.3</v>
      </c>
      <c r="EY606">
        <v>1194.4000000000001</v>
      </c>
      <c r="EZ606">
        <v>1207.0999999999999</v>
      </c>
      <c r="FA606">
        <v>0</v>
      </c>
      <c r="FB606">
        <v>0</v>
      </c>
      <c r="FC606">
        <v>0</v>
      </c>
      <c r="FD606">
        <v>0</v>
      </c>
      <c r="FE606">
        <v>0</v>
      </c>
      <c r="FF606">
        <v>0</v>
      </c>
      <c r="FG606">
        <v>0</v>
      </c>
      <c r="FH606">
        <v>0</v>
      </c>
      <c r="FI606">
        <v>0</v>
      </c>
      <c r="FJ606">
        <v>0</v>
      </c>
      <c r="FK606">
        <v>0</v>
      </c>
      <c r="FL606">
        <v>0</v>
      </c>
      <c r="FM606">
        <v>0</v>
      </c>
      <c r="FN606">
        <v>0</v>
      </c>
      <c r="FO606">
        <v>0</v>
      </c>
      <c r="FP606">
        <v>0</v>
      </c>
      <c r="FQ606">
        <v>0</v>
      </c>
      <c r="FR606">
        <v>0</v>
      </c>
      <c r="FS606">
        <v>0</v>
      </c>
      <c r="FT606">
        <v>0</v>
      </c>
      <c r="FU606">
        <v>0</v>
      </c>
      <c r="FV606">
        <v>0</v>
      </c>
      <c r="FW606">
        <v>0</v>
      </c>
      <c r="FX606">
        <v>0</v>
      </c>
      <c r="FY606">
        <v>0</v>
      </c>
      <c r="FZ606">
        <v>0</v>
      </c>
      <c r="GA606">
        <v>0</v>
      </c>
      <c r="GB606">
        <v>0</v>
      </c>
      <c r="GC606">
        <v>0</v>
      </c>
      <c r="GD606">
        <v>0</v>
      </c>
      <c r="GE606">
        <v>0</v>
      </c>
      <c r="GF606">
        <v>0</v>
      </c>
      <c r="GG606">
        <v>0</v>
      </c>
      <c r="GH606">
        <v>0</v>
      </c>
      <c r="GI606">
        <v>0</v>
      </c>
      <c r="GJ606">
        <v>0</v>
      </c>
      <c r="GK606">
        <v>0</v>
      </c>
      <c r="GL606">
        <v>0</v>
      </c>
      <c r="GO606">
        <v>0</v>
      </c>
      <c r="GP606">
        <v>0</v>
      </c>
      <c r="GQ606">
        <v>0</v>
      </c>
      <c r="GR606">
        <v>0</v>
      </c>
      <c r="GS606">
        <v>0</v>
      </c>
      <c r="GT606">
        <v>0</v>
      </c>
      <c r="GU606">
        <v>0</v>
      </c>
      <c r="GV606">
        <v>0</v>
      </c>
      <c r="GW606">
        <v>0</v>
      </c>
      <c r="GX606">
        <v>0</v>
      </c>
      <c r="GY606">
        <v>0</v>
      </c>
      <c r="GZ606">
        <v>0</v>
      </c>
      <c r="HA606">
        <v>0</v>
      </c>
      <c r="HB606">
        <v>0</v>
      </c>
      <c r="HC606">
        <v>0</v>
      </c>
      <c r="HD606">
        <v>0</v>
      </c>
      <c r="HE606">
        <v>0</v>
      </c>
      <c r="HF606">
        <v>0</v>
      </c>
      <c r="HG606">
        <v>0</v>
      </c>
      <c r="HH606">
        <v>0</v>
      </c>
      <c r="HI606">
        <v>0</v>
      </c>
      <c r="HJ606">
        <v>0</v>
      </c>
      <c r="HK606">
        <v>0</v>
      </c>
      <c r="HL606">
        <v>0</v>
      </c>
      <c r="HM606">
        <v>0</v>
      </c>
      <c r="HN606">
        <v>0</v>
      </c>
      <c r="HO606">
        <v>0</v>
      </c>
      <c r="HP606">
        <v>0</v>
      </c>
      <c r="HQ606">
        <v>0</v>
      </c>
      <c r="HR606">
        <v>0</v>
      </c>
      <c r="HS606">
        <v>0</v>
      </c>
      <c r="HT606">
        <v>0</v>
      </c>
      <c r="HU606">
        <v>0</v>
      </c>
      <c r="HV606">
        <v>0</v>
      </c>
      <c r="HW606">
        <v>404.70000000000005</v>
      </c>
      <c r="HX606">
        <v>342.3</v>
      </c>
      <c r="HZ606">
        <v>866.2</v>
      </c>
      <c r="IA606">
        <v>1142.8</v>
      </c>
      <c r="IB606">
        <v>1121.5</v>
      </c>
      <c r="IC606">
        <v>2403</v>
      </c>
      <c r="ID606">
        <v>2659.3</v>
      </c>
      <c r="IE606">
        <v>1923.4</v>
      </c>
      <c r="IF606">
        <v>1465.7</v>
      </c>
      <c r="IG606">
        <v>1608.3</v>
      </c>
      <c r="IH606">
        <v>0</v>
      </c>
      <c r="II606">
        <v>0</v>
      </c>
      <c r="IJ606">
        <v>0</v>
      </c>
      <c r="IK606">
        <v>0</v>
      </c>
      <c r="IL606">
        <v>0</v>
      </c>
      <c r="IM606">
        <v>0</v>
      </c>
      <c r="IN606">
        <v>0</v>
      </c>
      <c r="IO606">
        <v>0</v>
      </c>
      <c r="IP606">
        <v>75.099999999999994</v>
      </c>
    </row>
    <row r="607" spans="1:250" ht="18" thickBot="1">
      <c r="A607" s="245"/>
      <c r="B607" s="245" t="s">
        <v>562</v>
      </c>
      <c r="C607" s="88" t="s">
        <v>1061</v>
      </c>
      <c r="D607" s="399" t="s">
        <v>1210</v>
      </c>
      <c r="E607" s="454">
        <v>0</v>
      </c>
      <c r="F607">
        <v>0</v>
      </c>
      <c r="G607" s="427">
        <v>0</v>
      </c>
      <c r="H607" s="155">
        <v>0</v>
      </c>
      <c r="I607">
        <v>0</v>
      </c>
      <c r="J607">
        <v>0</v>
      </c>
      <c r="K607">
        <v>0</v>
      </c>
      <c r="L607" s="4">
        <v>0</v>
      </c>
      <c r="M607" s="4">
        <v>0</v>
      </c>
      <c r="N607" s="4">
        <v>0</v>
      </c>
      <c r="O607" s="4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R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G607">
        <v>0</v>
      </c>
      <c r="BI607">
        <v>0</v>
      </c>
      <c r="BK607">
        <v>0</v>
      </c>
      <c r="BL607">
        <v>0</v>
      </c>
      <c r="BM607">
        <v>0</v>
      </c>
      <c r="BN607">
        <v>0</v>
      </c>
      <c r="BO607">
        <v>344.70000000000005</v>
      </c>
      <c r="BP607">
        <v>625.70000000000005</v>
      </c>
      <c r="BQ607">
        <v>912.2</v>
      </c>
      <c r="BR607">
        <v>237.7</v>
      </c>
      <c r="BS607">
        <v>0</v>
      </c>
      <c r="BT607">
        <v>0</v>
      </c>
      <c r="BU607">
        <v>0</v>
      </c>
      <c r="BV607">
        <v>0</v>
      </c>
      <c r="BW607">
        <v>1647.4</v>
      </c>
      <c r="BY607">
        <v>453.1</v>
      </c>
      <c r="CA607">
        <v>285.39999999999998</v>
      </c>
      <c r="CB607">
        <v>280.8</v>
      </c>
      <c r="CC607">
        <v>127.7</v>
      </c>
      <c r="CD607">
        <v>0</v>
      </c>
      <c r="CE607">
        <v>0</v>
      </c>
      <c r="CF607">
        <v>0</v>
      </c>
      <c r="CG607">
        <v>0</v>
      </c>
      <c r="CI607">
        <v>0</v>
      </c>
      <c r="CJ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621.70000000000005</v>
      </c>
      <c r="CR607">
        <v>481.70000000000005</v>
      </c>
      <c r="CS607">
        <v>0</v>
      </c>
      <c r="CT607">
        <v>524.6</v>
      </c>
      <c r="CU607">
        <v>514.1</v>
      </c>
      <c r="CV607">
        <v>175.2</v>
      </c>
      <c r="CW607">
        <v>0</v>
      </c>
      <c r="CX607">
        <v>65.099999999999994</v>
      </c>
      <c r="CY607">
        <v>199</v>
      </c>
      <c r="CZ607">
        <v>1907.9</v>
      </c>
      <c r="DA607">
        <v>0</v>
      </c>
      <c r="DB607">
        <v>0</v>
      </c>
      <c r="DC607">
        <v>0</v>
      </c>
      <c r="DD607">
        <v>0</v>
      </c>
      <c r="DE607">
        <v>0</v>
      </c>
      <c r="DF607">
        <v>0</v>
      </c>
      <c r="DG607">
        <v>0</v>
      </c>
      <c r="DH607">
        <v>0</v>
      </c>
      <c r="DI607">
        <v>0</v>
      </c>
      <c r="DJ607">
        <v>0</v>
      </c>
      <c r="DK607">
        <v>0</v>
      </c>
      <c r="DL607">
        <v>0</v>
      </c>
      <c r="DM607">
        <v>1065.4000000000001</v>
      </c>
      <c r="DN607">
        <v>599.70000000000005</v>
      </c>
      <c r="DO607">
        <v>319.7</v>
      </c>
      <c r="DP607">
        <v>1570.6999999999998</v>
      </c>
      <c r="DQ607">
        <v>1399.5</v>
      </c>
      <c r="DR607">
        <v>3581</v>
      </c>
      <c r="DU607">
        <v>1393.2</v>
      </c>
      <c r="DV607">
        <v>2862.6</v>
      </c>
      <c r="DY607">
        <v>2361</v>
      </c>
      <c r="EA607">
        <v>2409.6</v>
      </c>
      <c r="EC607">
        <v>1661.3999999999999</v>
      </c>
      <c r="EE607">
        <v>0</v>
      </c>
      <c r="EF607">
        <v>0</v>
      </c>
      <c r="EG607">
        <v>0</v>
      </c>
      <c r="EH607">
        <v>0</v>
      </c>
      <c r="EI607">
        <v>0</v>
      </c>
      <c r="EJ607">
        <v>0</v>
      </c>
      <c r="EK607">
        <v>0</v>
      </c>
      <c r="EL607">
        <v>0</v>
      </c>
      <c r="EM607">
        <v>0</v>
      </c>
      <c r="EN607">
        <v>0</v>
      </c>
      <c r="EO607">
        <v>0</v>
      </c>
      <c r="EP607">
        <v>944.5</v>
      </c>
      <c r="EQ607">
        <v>3459.7</v>
      </c>
      <c r="ER607">
        <v>1353.5</v>
      </c>
      <c r="ES607">
        <v>182.2</v>
      </c>
      <c r="ET607">
        <v>855.59999999999991</v>
      </c>
      <c r="EU607">
        <v>172.2</v>
      </c>
      <c r="EV607">
        <v>203.2</v>
      </c>
      <c r="EW607">
        <v>1173.0999999999999</v>
      </c>
      <c r="EX607">
        <v>1078.3</v>
      </c>
      <c r="EY607">
        <v>1194.4000000000001</v>
      </c>
      <c r="EZ607">
        <v>1207.0999999999999</v>
      </c>
      <c r="FA607">
        <v>0</v>
      </c>
      <c r="FB607">
        <v>0</v>
      </c>
      <c r="FC607">
        <v>0</v>
      </c>
      <c r="FD607">
        <v>0</v>
      </c>
      <c r="FE607">
        <v>0</v>
      </c>
      <c r="FF607">
        <v>0</v>
      </c>
      <c r="FG607">
        <v>0</v>
      </c>
      <c r="FH607">
        <v>0</v>
      </c>
      <c r="FI607">
        <v>0</v>
      </c>
      <c r="FJ607">
        <v>0</v>
      </c>
      <c r="FK607">
        <v>0</v>
      </c>
      <c r="FL607">
        <v>0</v>
      </c>
      <c r="FM607">
        <v>0</v>
      </c>
      <c r="FN607">
        <v>0</v>
      </c>
      <c r="FO607">
        <v>0</v>
      </c>
      <c r="FP607">
        <v>0</v>
      </c>
      <c r="FQ607">
        <v>0</v>
      </c>
      <c r="FR607">
        <v>0</v>
      </c>
      <c r="FS607">
        <v>0</v>
      </c>
      <c r="FT607">
        <v>0</v>
      </c>
      <c r="FU607">
        <v>0</v>
      </c>
      <c r="FV607">
        <v>0</v>
      </c>
      <c r="FW607">
        <v>0</v>
      </c>
      <c r="FX607">
        <v>0</v>
      </c>
      <c r="FY607">
        <v>0</v>
      </c>
      <c r="FZ607">
        <v>0</v>
      </c>
      <c r="GA607">
        <v>0</v>
      </c>
      <c r="GB607">
        <v>0</v>
      </c>
      <c r="GC607">
        <v>0</v>
      </c>
      <c r="GD607">
        <v>0</v>
      </c>
      <c r="GE607">
        <v>0</v>
      </c>
      <c r="GF607">
        <v>0</v>
      </c>
      <c r="GG607">
        <v>0</v>
      </c>
      <c r="GH607">
        <v>0</v>
      </c>
      <c r="GI607">
        <v>0</v>
      </c>
      <c r="GJ607">
        <v>0</v>
      </c>
      <c r="GK607">
        <v>0</v>
      </c>
      <c r="GL607">
        <v>0</v>
      </c>
      <c r="GO607">
        <v>0</v>
      </c>
      <c r="GP607">
        <v>0</v>
      </c>
      <c r="GQ607">
        <v>0</v>
      </c>
      <c r="GR607">
        <v>0</v>
      </c>
      <c r="GS607">
        <v>0</v>
      </c>
      <c r="GT607">
        <v>0</v>
      </c>
      <c r="GU607">
        <v>0</v>
      </c>
      <c r="GV607">
        <v>0</v>
      </c>
      <c r="GW607">
        <v>0</v>
      </c>
      <c r="GX607">
        <v>0</v>
      </c>
      <c r="GY607">
        <v>0</v>
      </c>
      <c r="GZ607">
        <v>0</v>
      </c>
      <c r="HA607">
        <v>0</v>
      </c>
      <c r="HB607">
        <v>0</v>
      </c>
      <c r="HC607">
        <v>0</v>
      </c>
      <c r="HD607">
        <v>0</v>
      </c>
      <c r="HE607">
        <v>0</v>
      </c>
      <c r="HF607">
        <v>0</v>
      </c>
      <c r="HG607">
        <v>0</v>
      </c>
      <c r="HH607">
        <v>0</v>
      </c>
      <c r="HI607">
        <v>0</v>
      </c>
      <c r="HJ607">
        <v>0</v>
      </c>
      <c r="HK607">
        <v>0</v>
      </c>
      <c r="HL607">
        <v>0</v>
      </c>
      <c r="HM607">
        <v>0</v>
      </c>
      <c r="HN607">
        <v>0</v>
      </c>
      <c r="HO607">
        <v>0</v>
      </c>
      <c r="HP607">
        <v>0</v>
      </c>
      <c r="HQ607">
        <v>0</v>
      </c>
      <c r="HR607">
        <v>0</v>
      </c>
      <c r="HS607">
        <v>0</v>
      </c>
      <c r="HT607">
        <v>0</v>
      </c>
      <c r="HU607">
        <v>0</v>
      </c>
      <c r="HV607">
        <v>0</v>
      </c>
      <c r="HW607">
        <v>404.70000000000005</v>
      </c>
      <c r="HX607">
        <v>342.3</v>
      </c>
      <c r="HZ607">
        <v>866.2</v>
      </c>
      <c r="IA607">
        <v>1142.8</v>
      </c>
      <c r="IB607">
        <v>1121.5</v>
      </c>
      <c r="IC607">
        <v>2403</v>
      </c>
      <c r="ID607">
        <v>2659.3</v>
      </c>
      <c r="IE607">
        <v>1923.4</v>
      </c>
      <c r="IF607">
        <v>1465.7</v>
      </c>
      <c r="IG607">
        <v>1608.3</v>
      </c>
      <c r="IH607">
        <v>0</v>
      </c>
      <c r="II607">
        <v>0</v>
      </c>
      <c r="IJ607">
        <v>0</v>
      </c>
      <c r="IK607">
        <v>0</v>
      </c>
      <c r="IL607">
        <v>0</v>
      </c>
      <c r="IM607">
        <v>0</v>
      </c>
      <c r="IN607">
        <v>0</v>
      </c>
      <c r="IO607">
        <v>0</v>
      </c>
      <c r="IP607">
        <v>75.099999999999994</v>
      </c>
    </row>
    <row r="608" spans="1:250" ht="18" thickBot="1">
      <c r="A608" s="245"/>
      <c r="B608" s="245" t="s">
        <v>563</v>
      </c>
      <c r="C608" s="88" t="s">
        <v>1062</v>
      </c>
      <c r="D608" s="399" t="s">
        <v>1210</v>
      </c>
      <c r="E608" s="454">
        <v>0</v>
      </c>
      <c r="F608">
        <v>0</v>
      </c>
      <c r="G608" s="427">
        <v>0</v>
      </c>
      <c r="H608" s="155">
        <v>0</v>
      </c>
      <c r="I608">
        <v>0</v>
      </c>
      <c r="J608">
        <v>0</v>
      </c>
      <c r="K608">
        <v>0</v>
      </c>
      <c r="L608" s="4">
        <v>0</v>
      </c>
      <c r="M608" s="4">
        <v>0</v>
      </c>
      <c r="N608" s="4">
        <v>0</v>
      </c>
      <c r="O608" s="4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R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G608">
        <v>0</v>
      </c>
      <c r="BI608">
        <v>0</v>
      </c>
      <c r="BK608">
        <v>0</v>
      </c>
      <c r="BL608">
        <v>0</v>
      </c>
      <c r="BM608">
        <v>0</v>
      </c>
      <c r="BN608">
        <v>0</v>
      </c>
      <c r="BO608">
        <v>344.70000000000005</v>
      </c>
      <c r="BP608">
        <v>625.70000000000005</v>
      </c>
      <c r="BQ608">
        <v>912.2</v>
      </c>
      <c r="BR608">
        <v>237.7</v>
      </c>
      <c r="BS608">
        <v>0</v>
      </c>
      <c r="BT608">
        <v>0</v>
      </c>
      <c r="BU608">
        <v>0</v>
      </c>
      <c r="BV608">
        <v>0</v>
      </c>
      <c r="BW608">
        <v>1647.4</v>
      </c>
      <c r="BY608">
        <v>453.1</v>
      </c>
      <c r="CA608">
        <v>285.39999999999998</v>
      </c>
      <c r="CB608">
        <v>280.8</v>
      </c>
      <c r="CC608">
        <v>127.7</v>
      </c>
      <c r="CD608">
        <v>0</v>
      </c>
      <c r="CE608">
        <v>0</v>
      </c>
      <c r="CF608">
        <v>0</v>
      </c>
      <c r="CG608">
        <v>0</v>
      </c>
      <c r="CI608">
        <v>0</v>
      </c>
      <c r="CJ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621.70000000000005</v>
      </c>
      <c r="CR608">
        <v>481.70000000000005</v>
      </c>
      <c r="CS608">
        <v>0</v>
      </c>
      <c r="CT608">
        <v>524.6</v>
      </c>
      <c r="CU608">
        <v>514.1</v>
      </c>
      <c r="CV608">
        <v>175.2</v>
      </c>
      <c r="CW608">
        <v>0</v>
      </c>
      <c r="CX608">
        <v>65.099999999999994</v>
      </c>
      <c r="CY608">
        <v>199</v>
      </c>
      <c r="CZ608">
        <v>1907.9</v>
      </c>
      <c r="DA608">
        <v>0</v>
      </c>
      <c r="DB608">
        <v>0</v>
      </c>
      <c r="DC608">
        <v>0</v>
      </c>
      <c r="DD608">
        <v>0</v>
      </c>
      <c r="DE608">
        <v>0</v>
      </c>
      <c r="DF608">
        <v>0</v>
      </c>
      <c r="DG608">
        <v>0</v>
      </c>
      <c r="DH608">
        <v>0</v>
      </c>
      <c r="DI608">
        <v>0</v>
      </c>
      <c r="DJ608">
        <v>0</v>
      </c>
      <c r="DK608">
        <v>0</v>
      </c>
      <c r="DL608">
        <v>0</v>
      </c>
      <c r="DM608">
        <v>1065.4000000000001</v>
      </c>
      <c r="DN608">
        <v>599.70000000000005</v>
      </c>
      <c r="DO608">
        <v>319.7</v>
      </c>
      <c r="DP608">
        <v>1570.6999999999998</v>
      </c>
      <c r="DQ608">
        <v>1399.5</v>
      </c>
      <c r="DR608">
        <v>3581</v>
      </c>
      <c r="DU608">
        <v>1393.2</v>
      </c>
      <c r="DV608">
        <v>2862.6</v>
      </c>
      <c r="DY608">
        <v>2361</v>
      </c>
      <c r="EA608">
        <v>2409.6</v>
      </c>
      <c r="EC608">
        <v>1661.3999999999999</v>
      </c>
      <c r="EE608">
        <v>0</v>
      </c>
      <c r="EF608">
        <v>0</v>
      </c>
      <c r="EG608">
        <v>0</v>
      </c>
      <c r="EH608">
        <v>0</v>
      </c>
      <c r="EI608">
        <v>0</v>
      </c>
      <c r="EJ608">
        <v>0</v>
      </c>
      <c r="EK608">
        <v>0</v>
      </c>
      <c r="EL608">
        <v>0</v>
      </c>
      <c r="EM608">
        <v>0</v>
      </c>
      <c r="EN608">
        <v>0</v>
      </c>
      <c r="EO608">
        <v>0</v>
      </c>
      <c r="EP608">
        <v>944.5</v>
      </c>
      <c r="EQ608">
        <v>3459.7</v>
      </c>
      <c r="ER608">
        <v>1353.5</v>
      </c>
      <c r="ES608">
        <v>182.2</v>
      </c>
      <c r="ET608">
        <v>855.59999999999991</v>
      </c>
      <c r="EU608">
        <v>172.2</v>
      </c>
      <c r="EV608">
        <v>203.2</v>
      </c>
      <c r="EW608">
        <v>1173.0999999999999</v>
      </c>
      <c r="EX608">
        <v>1078.3</v>
      </c>
      <c r="EY608">
        <v>1194.4000000000001</v>
      </c>
      <c r="EZ608">
        <v>1207.0999999999999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</v>
      </c>
      <c r="FI608">
        <v>0</v>
      </c>
      <c r="FJ608">
        <v>0</v>
      </c>
      <c r="FK608">
        <v>0</v>
      </c>
      <c r="FL608">
        <v>0</v>
      </c>
      <c r="FM608">
        <v>0</v>
      </c>
      <c r="FN608">
        <v>0</v>
      </c>
      <c r="FO608">
        <v>0</v>
      </c>
      <c r="FP608">
        <v>0</v>
      </c>
      <c r="FQ608">
        <v>0</v>
      </c>
      <c r="FR608">
        <v>0</v>
      </c>
      <c r="FS608">
        <v>0</v>
      </c>
      <c r="FT608">
        <v>0</v>
      </c>
      <c r="FU608">
        <v>0</v>
      </c>
      <c r="FV608">
        <v>0</v>
      </c>
      <c r="FW608">
        <v>0</v>
      </c>
      <c r="FX608">
        <v>0</v>
      </c>
      <c r="FY608">
        <v>0</v>
      </c>
      <c r="FZ608">
        <v>0</v>
      </c>
      <c r="GA608">
        <v>0</v>
      </c>
      <c r="GB608">
        <v>0</v>
      </c>
      <c r="GC608">
        <v>0</v>
      </c>
      <c r="GD608">
        <v>0</v>
      </c>
      <c r="GE608">
        <v>0</v>
      </c>
      <c r="GF608">
        <v>0</v>
      </c>
      <c r="GG608">
        <v>0</v>
      </c>
      <c r="GH608">
        <v>0</v>
      </c>
      <c r="GI608">
        <v>0</v>
      </c>
      <c r="GJ608">
        <v>0</v>
      </c>
      <c r="GK608">
        <v>0</v>
      </c>
      <c r="GL608">
        <v>0</v>
      </c>
      <c r="GO608">
        <v>0</v>
      </c>
      <c r="GP608">
        <v>0</v>
      </c>
      <c r="GQ608">
        <v>0</v>
      </c>
      <c r="GR608">
        <v>0</v>
      </c>
      <c r="GS608">
        <v>0</v>
      </c>
      <c r="GT608">
        <v>0</v>
      </c>
      <c r="GU608">
        <v>0</v>
      </c>
      <c r="GV608">
        <v>0</v>
      </c>
      <c r="GW608">
        <v>0</v>
      </c>
      <c r="GX608">
        <v>0</v>
      </c>
      <c r="GY608">
        <v>0</v>
      </c>
      <c r="GZ608">
        <v>0</v>
      </c>
      <c r="HA608">
        <v>0</v>
      </c>
      <c r="HB608">
        <v>0</v>
      </c>
      <c r="HC608">
        <v>0</v>
      </c>
      <c r="HD608">
        <v>0</v>
      </c>
      <c r="HE608">
        <v>0</v>
      </c>
      <c r="HF608">
        <v>0</v>
      </c>
      <c r="HG608">
        <v>0</v>
      </c>
      <c r="HH608">
        <v>0</v>
      </c>
      <c r="HI608">
        <v>0</v>
      </c>
      <c r="HJ608">
        <v>0</v>
      </c>
      <c r="HK608">
        <v>0</v>
      </c>
      <c r="HL608">
        <v>0</v>
      </c>
      <c r="HM608">
        <v>0</v>
      </c>
      <c r="HN608">
        <v>0</v>
      </c>
      <c r="HO608">
        <v>0</v>
      </c>
      <c r="HP608">
        <v>0</v>
      </c>
      <c r="HQ608">
        <v>0</v>
      </c>
      <c r="HR608">
        <v>0</v>
      </c>
      <c r="HS608">
        <v>0</v>
      </c>
      <c r="HT608">
        <v>0</v>
      </c>
      <c r="HU608">
        <v>0</v>
      </c>
      <c r="HV608">
        <v>0</v>
      </c>
      <c r="HW608">
        <v>404.70000000000005</v>
      </c>
      <c r="HX608">
        <v>342.3</v>
      </c>
      <c r="HZ608">
        <v>866.2</v>
      </c>
      <c r="IA608">
        <v>1142.8</v>
      </c>
      <c r="IB608">
        <v>1121.5</v>
      </c>
      <c r="IC608">
        <v>2403</v>
      </c>
      <c r="ID608">
        <v>2659.3</v>
      </c>
      <c r="IE608">
        <v>1923.4</v>
      </c>
      <c r="IF608">
        <v>1465.7</v>
      </c>
      <c r="IG608">
        <v>1608.3</v>
      </c>
      <c r="IH608">
        <v>0</v>
      </c>
      <c r="II608">
        <v>0</v>
      </c>
      <c r="IJ608">
        <v>0</v>
      </c>
      <c r="IK608">
        <v>0</v>
      </c>
      <c r="IL608">
        <v>0</v>
      </c>
      <c r="IM608">
        <v>0</v>
      </c>
      <c r="IN608">
        <v>0</v>
      </c>
      <c r="IO608">
        <v>0</v>
      </c>
      <c r="IP608">
        <v>75.099999999999994</v>
      </c>
    </row>
    <row r="609" spans="1:250" ht="18" thickBot="1">
      <c r="A609" s="245"/>
      <c r="B609" s="245" t="s">
        <v>564</v>
      </c>
      <c r="C609" s="88" t="s">
        <v>1063</v>
      </c>
      <c r="D609" s="399" t="s">
        <v>1210</v>
      </c>
      <c r="E609" s="454">
        <v>0</v>
      </c>
      <c r="F609">
        <v>0</v>
      </c>
      <c r="G609" s="427">
        <v>0</v>
      </c>
      <c r="H609" s="155">
        <v>0</v>
      </c>
      <c r="I609">
        <v>0</v>
      </c>
      <c r="J609">
        <v>0</v>
      </c>
      <c r="K609">
        <v>0</v>
      </c>
      <c r="L609" s="4">
        <v>0</v>
      </c>
      <c r="M609" s="4">
        <v>0</v>
      </c>
      <c r="N609" s="4">
        <v>0</v>
      </c>
      <c r="O609" s="4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R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G609">
        <v>0</v>
      </c>
      <c r="BI609">
        <v>0</v>
      </c>
      <c r="BK609">
        <v>0</v>
      </c>
      <c r="BL609">
        <v>0</v>
      </c>
      <c r="BM609">
        <v>0</v>
      </c>
      <c r="BN609">
        <v>0</v>
      </c>
      <c r="BO609">
        <v>344.70000000000005</v>
      </c>
      <c r="BP609">
        <v>625.70000000000005</v>
      </c>
      <c r="BQ609">
        <v>912.2</v>
      </c>
      <c r="BR609">
        <v>237.7</v>
      </c>
      <c r="BS609">
        <v>0</v>
      </c>
      <c r="BT609">
        <v>0</v>
      </c>
      <c r="BU609">
        <v>0</v>
      </c>
      <c r="BV609">
        <v>0</v>
      </c>
      <c r="BW609">
        <v>1647.4</v>
      </c>
      <c r="BY609">
        <v>453.1</v>
      </c>
      <c r="CA609">
        <v>285.39999999999998</v>
      </c>
      <c r="CB609">
        <v>280.8</v>
      </c>
      <c r="CC609">
        <v>127.7</v>
      </c>
      <c r="CD609">
        <v>0</v>
      </c>
      <c r="CE609">
        <v>0</v>
      </c>
      <c r="CF609">
        <v>0</v>
      </c>
      <c r="CG609">
        <v>0</v>
      </c>
      <c r="CI609">
        <v>0</v>
      </c>
      <c r="CJ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621.70000000000005</v>
      </c>
      <c r="CR609">
        <v>481.70000000000005</v>
      </c>
      <c r="CS609">
        <v>0</v>
      </c>
      <c r="CT609">
        <v>524.6</v>
      </c>
      <c r="CU609">
        <v>514.1</v>
      </c>
      <c r="CV609">
        <v>175.2</v>
      </c>
      <c r="CW609">
        <v>0</v>
      </c>
      <c r="CX609">
        <v>65.099999999999994</v>
      </c>
      <c r="CY609">
        <v>199</v>
      </c>
      <c r="CZ609">
        <v>1907.9</v>
      </c>
      <c r="DA609">
        <v>0</v>
      </c>
      <c r="DB609">
        <v>0</v>
      </c>
      <c r="DC609">
        <v>0</v>
      </c>
      <c r="DD609">
        <v>0</v>
      </c>
      <c r="DE609">
        <v>0</v>
      </c>
      <c r="DF609">
        <v>0</v>
      </c>
      <c r="DG609">
        <v>0</v>
      </c>
      <c r="DH609">
        <v>0</v>
      </c>
      <c r="DI609">
        <v>0</v>
      </c>
      <c r="DJ609">
        <v>0</v>
      </c>
      <c r="DK609">
        <v>0</v>
      </c>
      <c r="DL609">
        <v>0</v>
      </c>
      <c r="DM609">
        <v>1065.4000000000001</v>
      </c>
      <c r="DN609">
        <v>599.70000000000005</v>
      </c>
      <c r="DO609">
        <v>319.7</v>
      </c>
      <c r="DP609">
        <v>1570.6999999999998</v>
      </c>
      <c r="DQ609">
        <v>1399.5</v>
      </c>
      <c r="DR609">
        <v>3581</v>
      </c>
      <c r="DU609">
        <v>1393.2</v>
      </c>
      <c r="DV609">
        <v>2862.6</v>
      </c>
      <c r="DY609">
        <v>2361</v>
      </c>
      <c r="EA609">
        <v>2409.6</v>
      </c>
      <c r="EC609">
        <v>1661.3999999999999</v>
      </c>
      <c r="EE609">
        <v>0</v>
      </c>
      <c r="EF609">
        <v>0</v>
      </c>
      <c r="EG609">
        <v>0</v>
      </c>
      <c r="EH609">
        <v>0</v>
      </c>
      <c r="EI609">
        <v>0</v>
      </c>
      <c r="EJ609">
        <v>0</v>
      </c>
      <c r="EK609">
        <v>0</v>
      </c>
      <c r="EL609">
        <v>0</v>
      </c>
      <c r="EM609">
        <v>0</v>
      </c>
      <c r="EN609">
        <v>0</v>
      </c>
      <c r="EO609">
        <v>0</v>
      </c>
      <c r="EP609">
        <v>944.5</v>
      </c>
      <c r="EQ609">
        <v>3459.7</v>
      </c>
      <c r="ER609">
        <v>1353.5</v>
      </c>
      <c r="ES609">
        <v>182.2</v>
      </c>
      <c r="ET609">
        <v>855.59999999999991</v>
      </c>
      <c r="EU609">
        <v>172.2</v>
      </c>
      <c r="EV609">
        <v>203.2</v>
      </c>
      <c r="EW609">
        <v>1173.0999999999999</v>
      </c>
      <c r="EX609">
        <v>1078.3</v>
      </c>
      <c r="EY609">
        <v>1194.4000000000001</v>
      </c>
      <c r="EZ609">
        <v>1207.0999999999999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0</v>
      </c>
      <c r="FH609">
        <v>0</v>
      </c>
      <c r="FI609">
        <v>0</v>
      </c>
      <c r="FJ609">
        <v>0</v>
      </c>
      <c r="FK609">
        <v>0</v>
      </c>
      <c r="FL609">
        <v>0</v>
      </c>
      <c r="FM609">
        <v>0</v>
      </c>
      <c r="FN609">
        <v>0</v>
      </c>
      <c r="FO609">
        <v>0</v>
      </c>
      <c r="FP609">
        <v>0</v>
      </c>
      <c r="FQ609">
        <v>0</v>
      </c>
      <c r="FR609">
        <v>0</v>
      </c>
      <c r="FS609">
        <v>0</v>
      </c>
      <c r="FT609">
        <v>0</v>
      </c>
      <c r="FU609">
        <v>0</v>
      </c>
      <c r="FV609">
        <v>0</v>
      </c>
      <c r="FW609">
        <v>0</v>
      </c>
      <c r="FX609">
        <v>0</v>
      </c>
      <c r="FY609">
        <v>0</v>
      </c>
      <c r="FZ609">
        <v>0</v>
      </c>
      <c r="GA609">
        <v>0</v>
      </c>
      <c r="GB609">
        <v>0</v>
      </c>
      <c r="GC609">
        <v>0</v>
      </c>
      <c r="GD609">
        <v>0</v>
      </c>
      <c r="GE609">
        <v>0</v>
      </c>
      <c r="GF609">
        <v>0</v>
      </c>
      <c r="GG609">
        <v>0</v>
      </c>
      <c r="GH609">
        <v>0</v>
      </c>
      <c r="GI609">
        <v>0</v>
      </c>
      <c r="GJ609">
        <v>0</v>
      </c>
      <c r="GK609">
        <v>0</v>
      </c>
      <c r="GL609">
        <v>0</v>
      </c>
      <c r="GO609">
        <v>0</v>
      </c>
      <c r="GP609">
        <v>0</v>
      </c>
      <c r="GQ609">
        <v>0</v>
      </c>
      <c r="GR609">
        <v>0</v>
      </c>
      <c r="GS609">
        <v>0</v>
      </c>
      <c r="GT609">
        <v>0</v>
      </c>
      <c r="GU609">
        <v>0</v>
      </c>
      <c r="GV609">
        <v>0</v>
      </c>
      <c r="GW609">
        <v>0</v>
      </c>
      <c r="GX609">
        <v>0</v>
      </c>
      <c r="GY609">
        <v>0</v>
      </c>
      <c r="GZ609">
        <v>0</v>
      </c>
      <c r="HA609">
        <v>0</v>
      </c>
      <c r="HB609">
        <v>0</v>
      </c>
      <c r="HC609">
        <v>0</v>
      </c>
      <c r="HD609">
        <v>0</v>
      </c>
      <c r="HE609">
        <v>0</v>
      </c>
      <c r="HF609">
        <v>0</v>
      </c>
      <c r="HG609">
        <v>0</v>
      </c>
      <c r="HH609">
        <v>0</v>
      </c>
      <c r="HI609">
        <v>0</v>
      </c>
      <c r="HJ609">
        <v>0</v>
      </c>
      <c r="HK609">
        <v>0</v>
      </c>
      <c r="HL609">
        <v>0</v>
      </c>
      <c r="HM609">
        <v>0</v>
      </c>
      <c r="HN609">
        <v>0</v>
      </c>
      <c r="HO609">
        <v>0</v>
      </c>
      <c r="HP609">
        <v>0</v>
      </c>
      <c r="HQ609">
        <v>0</v>
      </c>
      <c r="HR609">
        <v>0</v>
      </c>
      <c r="HS609">
        <v>0</v>
      </c>
      <c r="HT609">
        <v>0</v>
      </c>
      <c r="HU609">
        <v>0</v>
      </c>
      <c r="HV609">
        <v>0</v>
      </c>
      <c r="HW609">
        <v>404.70000000000005</v>
      </c>
      <c r="HX609">
        <v>342.3</v>
      </c>
      <c r="HZ609">
        <v>866.2</v>
      </c>
      <c r="IA609">
        <v>1142.8</v>
      </c>
      <c r="IB609">
        <v>1121.5</v>
      </c>
      <c r="IC609">
        <v>2403</v>
      </c>
      <c r="ID609">
        <v>2659.3</v>
      </c>
      <c r="IE609">
        <v>1923.4</v>
      </c>
      <c r="IF609">
        <v>1465.7</v>
      </c>
      <c r="IG609">
        <v>1608.3</v>
      </c>
      <c r="IH609">
        <v>0</v>
      </c>
      <c r="II609">
        <v>0</v>
      </c>
      <c r="IJ609">
        <v>0</v>
      </c>
      <c r="IK609">
        <v>0</v>
      </c>
      <c r="IL609">
        <v>0</v>
      </c>
      <c r="IM609">
        <v>0</v>
      </c>
      <c r="IN609">
        <v>0</v>
      </c>
      <c r="IO609">
        <v>0</v>
      </c>
      <c r="IP609">
        <v>75.099999999999994</v>
      </c>
    </row>
    <row r="610" spans="1:250" ht="18" thickBot="1">
      <c r="A610" s="245"/>
      <c r="B610" s="245" t="s">
        <v>565</v>
      </c>
      <c r="C610" s="88" t="s">
        <v>1064</v>
      </c>
      <c r="D610" s="399" t="s">
        <v>1210</v>
      </c>
      <c r="E610" s="454">
        <v>0</v>
      </c>
      <c r="F610">
        <v>0</v>
      </c>
      <c r="G610" s="427">
        <v>0</v>
      </c>
      <c r="H610" s="155">
        <v>0</v>
      </c>
      <c r="I610">
        <v>0</v>
      </c>
      <c r="J610">
        <v>0</v>
      </c>
      <c r="K610">
        <v>0</v>
      </c>
      <c r="L610" s="4">
        <v>0</v>
      </c>
      <c r="M610" s="4">
        <v>0</v>
      </c>
      <c r="N610" s="4">
        <v>0</v>
      </c>
      <c r="O610" s="4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R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G610">
        <v>0</v>
      </c>
      <c r="BI610">
        <v>0</v>
      </c>
      <c r="BK610">
        <v>0</v>
      </c>
      <c r="BL610">
        <v>0</v>
      </c>
      <c r="BM610">
        <v>0</v>
      </c>
      <c r="BN610">
        <v>0</v>
      </c>
      <c r="BO610">
        <v>344.70000000000005</v>
      </c>
      <c r="BP610">
        <v>625.70000000000005</v>
      </c>
      <c r="BQ610">
        <v>912.2</v>
      </c>
      <c r="BR610">
        <v>237.7</v>
      </c>
      <c r="BS610">
        <v>0</v>
      </c>
      <c r="BT610">
        <v>0</v>
      </c>
      <c r="BU610">
        <v>0</v>
      </c>
      <c r="BV610">
        <v>0</v>
      </c>
      <c r="BW610">
        <v>1647.4</v>
      </c>
      <c r="BY610">
        <v>453.1</v>
      </c>
      <c r="CA610">
        <v>285.39999999999998</v>
      </c>
      <c r="CB610">
        <v>280.8</v>
      </c>
      <c r="CC610">
        <v>127.7</v>
      </c>
      <c r="CD610">
        <v>0</v>
      </c>
      <c r="CE610">
        <v>0</v>
      </c>
      <c r="CF610">
        <v>0</v>
      </c>
      <c r="CG610">
        <v>0</v>
      </c>
      <c r="CI610">
        <v>0</v>
      </c>
      <c r="CJ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621.70000000000005</v>
      </c>
      <c r="CR610">
        <v>481.70000000000005</v>
      </c>
      <c r="CS610">
        <v>0</v>
      </c>
      <c r="CT610">
        <v>524.6</v>
      </c>
      <c r="CU610">
        <v>514.1</v>
      </c>
      <c r="CV610">
        <v>175.2</v>
      </c>
      <c r="CW610">
        <v>0</v>
      </c>
      <c r="CX610">
        <v>65.099999999999994</v>
      </c>
      <c r="CY610">
        <v>199</v>
      </c>
      <c r="CZ610">
        <v>1907.9</v>
      </c>
      <c r="DA610">
        <v>0</v>
      </c>
      <c r="DB610">
        <v>0</v>
      </c>
      <c r="DC610">
        <v>0</v>
      </c>
      <c r="DD610">
        <v>0</v>
      </c>
      <c r="DE610">
        <v>0</v>
      </c>
      <c r="DF610">
        <v>0</v>
      </c>
      <c r="DG610">
        <v>0</v>
      </c>
      <c r="DH610">
        <v>0</v>
      </c>
      <c r="DI610">
        <v>0</v>
      </c>
      <c r="DJ610">
        <v>0</v>
      </c>
      <c r="DK610">
        <v>0</v>
      </c>
      <c r="DL610">
        <v>0</v>
      </c>
      <c r="DM610">
        <v>1065.4000000000001</v>
      </c>
      <c r="DN610">
        <v>599.70000000000005</v>
      </c>
      <c r="DO610">
        <v>319.7</v>
      </c>
      <c r="DP610">
        <v>1570.6999999999998</v>
      </c>
      <c r="DQ610">
        <v>1399.5</v>
      </c>
      <c r="DR610">
        <v>3581</v>
      </c>
      <c r="DU610">
        <v>1393.2</v>
      </c>
      <c r="DV610">
        <v>2862.6</v>
      </c>
      <c r="DY610">
        <v>2361</v>
      </c>
      <c r="EA610">
        <v>2409.6</v>
      </c>
      <c r="EC610">
        <v>1661.3999999999999</v>
      </c>
      <c r="EE610">
        <v>0</v>
      </c>
      <c r="EF610">
        <v>0</v>
      </c>
      <c r="EG610">
        <v>0</v>
      </c>
      <c r="EH610">
        <v>0</v>
      </c>
      <c r="EI610">
        <v>0</v>
      </c>
      <c r="EJ610">
        <v>0</v>
      </c>
      <c r="EK610">
        <v>0</v>
      </c>
      <c r="EL610">
        <v>0</v>
      </c>
      <c r="EM610">
        <v>0</v>
      </c>
      <c r="EN610">
        <v>0</v>
      </c>
      <c r="EO610">
        <v>0</v>
      </c>
      <c r="EP610">
        <v>944.5</v>
      </c>
      <c r="EQ610">
        <v>3459.7</v>
      </c>
      <c r="ER610">
        <v>1353.5</v>
      </c>
      <c r="ES610">
        <v>182.2</v>
      </c>
      <c r="ET610">
        <v>855.59999999999991</v>
      </c>
      <c r="EU610">
        <v>172.2</v>
      </c>
      <c r="EV610">
        <v>203.2</v>
      </c>
      <c r="EW610">
        <v>1173.0999999999999</v>
      </c>
      <c r="EX610">
        <v>1078.3</v>
      </c>
      <c r="EY610">
        <v>1194.4000000000001</v>
      </c>
      <c r="EZ610">
        <v>1207.0999999999999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0</v>
      </c>
      <c r="FH610">
        <v>0</v>
      </c>
      <c r="FI610">
        <v>0</v>
      </c>
      <c r="FJ610">
        <v>0</v>
      </c>
      <c r="FK610">
        <v>0</v>
      </c>
      <c r="FL610">
        <v>0</v>
      </c>
      <c r="FM610">
        <v>0</v>
      </c>
      <c r="FN610">
        <v>0</v>
      </c>
      <c r="FO610">
        <v>0</v>
      </c>
      <c r="FP610">
        <v>0</v>
      </c>
      <c r="FQ610">
        <v>0</v>
      </c>
      <c r="FR610">
        <v>0</v>
      </c>
      <c r="FS610">
        <v>0</v>
      </c>
      <c r="FT610">
        <v>0</v>
      </c>
      <c r="FU610">
        <v>0</v>
      </c>
      <c r="FV610">
        <v>0</v>
      </c>
      <c r="FW610">
        <v>0</v>
      </c>
      <c r="FX610">
        <v>0</v>
      </c>
      <c r="FY610">
        <v>0</v>
      </c>
      <c r="FZ610">
        <v>0</v>
      </c>
      <c r="GA610">
        <v>0</v>
      </c>
      <c r="GB610">
        <v>0</v>
      </c>
      <c r="GC610">
        <v>0</v>
      </c>
      <c r="GD610">
        <v>0</v>
      </c>
      <c r="GE610">
        <v>0</v>
      </c>
      <c r="GF610">
        <v>0</v>
      </c>
      <c r="GG610">
        <v>0</v>
      </c>
      <c r="GH610">
        <v>0</v>
      </c>
      <c r="GI610">
        <v>0</v>
      </c>
      <c r="GJ610">
        <v>0</v>
      </c>
      <c r="GK610">
        <v>0</v>
      </c>
      <c r="GL610">
        <v>0</v>
      </c>
      <c r="GO610">
        <v>0</v>
      </c>
      <c r="GP610">
        <v>0</v>
      </c>
      <c r="GQ610">
        <v>0</v>
      </c>
      <c r="GR610">
        <v>0</v>
      </c>
      <c r="GS610">
        <v>0</v>
      </c>
      <c r="GT610">
        <v>0</v>
      </c>
      <c r="GU610">
        <v>0</v>
      </c>
      <c r="GV610">
        <v>0</v>
      </c>
      <c r="GW610">
        <v>0</v>
      </c>
      <c r="GX610">
        <v>0</v>
      </c>
      <c r="GY610">
        <v>0</v>
      </c>
      <c r="GZ610">
        <v>0</v>
      </c>
      <c r="HA610">
        <v>0</v>
      </c>
      <c r="HB610">
        <v>0</v>
      </c>
      <c r="HC610">
        <v>0</v>
      </c>
      <c r="HD610">
        <v>0</v>
      </c>
      <c r="HE610">
        <v>0</v>
      </c>
      <c r="HF610">
        <v>0</v>
      </c>
      <c r="HG610">
        <v>0</v>
      </c>
      <c r="HH610">
        <v>0</v>
      </c>
      <c r="HI610">
        <v>0</v>
      </c>
      <c r="HJ610">
        <v>0</v>
      </c>
      <c r="HK610">
        <v>0</v>
      </c>
      <c r="HL610">
        <v>0</v>
      </c>
      <c r="HM610">
        <v>0</v>
      </c>
      <c r="HN610">
        <v>0</v>
      </c>
      <c r="HO610">
        <v>0</v>
      </c>
      <c r="HP610">
        <v>0</v>
      </c>
      <c r="HQ610">
        <v>0</v>
      </c>
      <c r="HR610">
        <v>0</v>
      </c>
      <c r="HS610">
        <v>0</v>
      </c>
      <c r="HT610">
        <v>0</v>
      </c>
      <c r="HU610">
        <v>0</v>
      </c>
      <c r="HV610">
        <v>0</v>
      </c>
      <c r="HW610">
        <v>404.70000000000005</v>
      </c>
      <c r="HX610">
        <v>342.3</v>
      </c>
      <c r="HZ610">
        <v>866.2</v>
      </c>
      <c r="IA610">
        <v>1142.8</v>
      </c>
      <c r="IB610">
        <v>1121.5</v>
      </c>
      <c r="IC610">
        <v>2403</v>
      </c>
      <c r="ID610">
        <v>2659.3</v>
      </c>
      <c r="IE610">
        <v>1923.4</v>
      </c>
      <c r="IF610">
        <v>1465.7</v>
      </c>
      <c r="IG610">
        <v>1608.3</v>
      </c>
      <c r="IH610">
        <v>0</v>
      </c>
      <c r="II610">
        <v>0</v>
      </c>
      <c r="IJ610">
        <v>0</v>
      </c>
      <c r="IK610">
        <v>0</v>
      </c>
      <c r="IL610">
        <v>0</v>
      </c>
      <c r="IM610">
        <v>0</v>
      </c>
      <c r="IN610">
        <v>0</v>
      </c>
      <c r="IO610">
        <v>0</v>
      </c>
      <c r="IP610">
        <v>75.099999999999994</v>
      </c>
    </row>
    <row r="611" spans="1:250" ht="18" thickBot="1">
      <c r="A611" s="246"/>
      <c r="B611" s="246" t="s">
        <v>566</v>
      </c>
      <c r="C611" s="334"/>
      <c r="D611" s="400"/>
      <c r="E611" s="454">
        <v>0</v>
      </c>
      <c r="F611">
        <v>0</v>
      </c>
      <c r="G611" s="427">
        <v>0</v>
      </c>
      <c r="H611" s="155">
        <v>0</v>
      </c>
      <c r="I611">
        <v>0</v>
      </c>
      <c r="J611">
        <v>0</v>
      </c>
      <c r="K611">
        <v>0</v>
      </c>
      <c r="L611" s="4">
        <v>0</v>
      </c>
      <c r="M611" s="4">
        <v>0</v>
      </c>
      <c r="N611" s="4">
        <v>0</v>
      </c>
      <c r="O611" s="4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R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G611">
        <v>0</v>
      </c>
      <c r="BI611">
        <v>0</v>
      </c>
      <c r="BK611">
        <v>0</v>
      </c>
      <c r="BL611">
        <v>0</v>
      </c>
      <c r="BM611">
        <v>0</v>
      </c>
      <c r="BN611">
        <v>0</v>
      </c>
      <c r="BO611">
        <v>344.70000000000005</v>
      </c>
      <c r="BP611">
        <v>625.70000000000005</v>
      </c>
      <c r="BQ611">
        <v>912.2</v>
      </c>
      <c r="BR611">
        <v>237.7</v>
      </c>
      <c r="BS611">
        <v>0</v>
      </c>
      <c r="BT611">
        <v>0</v>
      </c>
      <c r="BU611">
        <v>0</v>
      </c>
      <c r="BV611">
        <v>0</v>
      </c>
      <c r="BW611">
        <v>1647.4</v>
      </c>
      <c r="BY611">
        <v>453.1</v>
      </c>
      <c r="CA611">
        <v>285.39999999999998</v>
      </c>
      <c r="CB611">
        <v>280.8</v>
      </c>
      <c r="CC611">
        <v>127.7</v>
      </c>
      <c r="CD611">
        <v>0</v>
      </c>
      <c r="CE611">
        <v>0</v>
      </c>
      <c r="CF611">
        <v>0</v>
      </c>
      <c r="CG611">
        <v>0</v>
      </c>
      <c r="CI611">
        <v>0</v>
      </c>
      <c r="CJ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621.70000000000005</v>
      </c>
      <c r="CR611">
        <v>481.70000000000005</v>
      </c>
      <c r="CS611">
        <v>0</v>
      </c>
      <c r="CT611">
        <v>524.6</v>
      </c>
      <c r="CU611">
        <v>514.1</v>
      </c>
      <c r="CV611">
        <v>175.2</v>
      </c>
      <c r="CW611">
        <v>0</v>
      </c>
      <c r="CX611">
        <v>65.099999999999994</v>
      </c>
      <c r="CY611">
        <v>199</v>
      </c>
      <c r="CZ611">
        <v>1907.9</v>
      </c>
      <c r="DA611">
        <v>0</v>
      </c>
      <c r="DB611">
        <v>0</v>
      </c>
      <c r="DC611">
        <v>0</v>
      </c>
      <c r="DD611">
        <v>0</v>
      </c>
      <c r="DE611">
        <v>0</v>
      </c>
      <c r="DF611">
        <v>0</v>
      </c>
      <c r="DG611">
        <v>0</v>
      </c>
      <c r="DH611">
        <v>0</v>
      </c>
      <c r="DI611">
        <v>0</v>
      </c>
      <c r="DJ611">
        <v>0</v>
      </c>
      <c r="DK611">
        <v>0</v>
      </c>
      <c r="DL611">
        <v>0</v>
      </c>
      <c r="DM611">
        <v>1065.4000000000001</v>
      </c>
      <c r="DN611">
        <v>599.70000000000005</v>
      </c>
      <c r="DO611">
        <v>319.7</v>
      </c>
      <c r="DP611">
        <v>1570.6999999999998</v>
      </c>
      <c r="DQ611">
        <v>1399.5</v>
      </c>
      <c r="DR611">
        <v>3581</v>
      </c>
      <c r="DU611">
        <v>1393.2</v>
      </c>
      <c r="DV611">
        <v>2862.6</v>
      </c>
      <c r="DY611">
        <v>2361</v>
      </c>
      <c r="EA611">
        <v>2409.6</v>
      </c>
      <c r="EC611">
        <v>1661.3999999999999</v>
      </c>
      <c r="EE611">
        <v>0</v>
      </c>
      <c r="EF611">
        <v>0</v>
      </c>
      <c r="EG611">
        <v>0</v>
      </c>
      <c r="EH611">
        <v>0</v>
      </c>
      <c r="EI611">
        <v>0</v>
      </c>
      <c r="EJ611">
        <v>0</v>
      </c>
      <c r="EK611">
        <v>0</v>
      </c>
      <c r="EL611">
        <v>0</v>
      </c>
      <c r="EM611">
        <v>0</v>
      </c>
      <c r="EN611">
        <v>0</v>
      </c>
      <c r="EO611">
        <v>0</v>
      </c>
      <c r="EP611">
        <v>944.5</v>
      </c>
      <c r="EQ611">
        <v>3459.7</v>
      </c>
      <c r="ER611">
        <v>1353.5</v>
      </c>
      <c r="ES611">
        <v>182.2</v>
      </c>
      <c r="ET611">
        <v>855.59999999999991</v>
      </c>
      <c r="EU611">
        <v>172.2</v>
      </c>
      <c r="EV611">
        <v>203.2</v>
      </c>
      <c r="EW611">
        <v>1173.0999999999999</v>
      </c>
      <c r="EX611">
        <v>1078.3</v>
      </c>
      <c r="EY611">
        <v>1194.4000000000001</v>
      </c>
      <c r="EZ611">
        <v>1207.0999999999999</v>
      </c>
      <c r="FA611">
        <v>0</v>
      </c>
      <c r="FB611">
        <v>0</v>
      </c>
      <c r="FC611">
        <v>0</v>
      </c>
      <c r="FD611">
        <v>0</v>
      </c>
      <c r="FE611">
        <v>0</v>
      </c>
      <c r="FF611">
        <v>0</v>
      </c>
      <c r="FG611">
        <v>0</v>
      </c>
      <c r="FH611">
        <v>0</v>
      </c>
      <c r="FI611">
        <v>0</v>
      </c>
      <c r="FJ611">
        <v>0</v>
      </c>
      <c r="FK611">
        <v>0</v>
      </c>
      <c r="FL611">
        <v>0</v>
      </c>
      <c r="FM611">
        <v>0</v>
      </c>
      <c r="FN611">
        <v>0</v>
      </c>
      <c r="FO611">
        <v>0</v>
      </c>
      <c r="FP611">
        <v>0</v>
      </c>
      <c r="FQ611">
        <v>0</v>
      </c>
      <c r="FR611">
        <v>0</v>
      </c>
      <c r="FS611">
        <v>0</v>
      </c>
      <c r="FT611">
        <v>0</v>
      </c>
      <c r="FU611">
        <v>0</v>
      </c>
      <c r="FV611">
        <v>0</v>
      </c>
      <c r="FW611">
        <v>0</v>
      </c>
      <c r="FX611">
        <v>0</v>
      </c>
      <c r="FY611">
        <v>0</v>
      </c>
      <c r="FZ611">
        <v>0</v>
      </c>
      <c r="GA611">
        <v>0</v>
      </c>
      <c r="GB611">
        <v>0</v>
      </c>
      <c r="GC611">
        <v>0</v>
      </c>
      <c r="GD611">
        <v>0</v>
      </c>
      <c r="GE611">
        <v>0</v>
      </c>
      <c r="GF611">
        <v>0</v>
      </c>
      <c r="GG611">
        <v>0</v>
      </c>
      <c r="GH611">
        <v>0</v>
      </c>
      <c r="GI611">
        <v>0</v>
      </c>
      <c r="GJ611">
        <v>0</v>
      </c>
      <c r="GK611">
        <v>0</v>
      </c>
      <c r="GL611">
        <v>0</v>
      </c>
      <c r="GO611">
        <v>0</v>
      </c>
      <c r="GP611">
        <v>0</v>
      </c>
      <c r="GQ611">
        <v>0</v>
      </c>
      <c r="GR611">
        <v>0</v>
      </c>
      <c r="GS611">
        <v>0</v>
      </c>
      <c r="GT611">
        <v>0</v>
      </c>
      <c r="GU611">
        <v>0</v>
      </c>
      <c r="GV611">
        <v>0</v>
      </c>
      <c r="GW611">
        <v>0</v>
      </c>
      <c r="GX611">
        <v>0</v>
      </c>
      <c r="GY611">
        <v>0</v>
      </c>
      <c r="GZ611">
        <v>0</v>
      </c>
      <c r="HA611">
        <v>0</v>
      </c>
      <c r="HB611">
        <v>0</v>
      </c>
      <c r="HC611">
        <v>0</v>
      </c>
      <c r="HD611">
        <v>0</v>
      </c>
      <c r="HE611">
        <v>0</v>
      </c>
      <c r="HF611">
        <v>0</v>
      </c>
      <c r="HG611">
        <v>0</v>
      </c>
      <c r="HH611">
        <v>0</v>
      </c>
      <c r="HI611">
        <v>0</v>
      </c>
      <c r="HJ611">
        <v>0</v>
      </c>
      <c r="HK611">
        <v>0</v>
      </c>
      <c r="HL611">
        <v>0</v>
      </c>
      <c r="HM611">
        <v>0</v>
      </c>
      <c r="HN611">
        <v>0</v>
      </c>
      <c r="HO611">
        <v>0</v>
      </c>
      <c r="HP611">
        <v>0</v>
      </c>
      <c r="HQ611">
        <v>0</v>
      </c>
      <c r="HR611">
        <v>0</v>
      </c>
      <c r="HS611">
        <v>0</v>
      </c>
      <c r="HT611">
        <v>0</v>
      </c>
      <c r="HU611">
        <v>0</v>
      </c>
      <c r="HV611">
        <v>0</v>
      </c>
      <c r="HW611">
        <v>404.70000000000005</v>
      </c>
      <c r="HX611">
        <v>342.3</v>
      </c>
      <c r="HZ611">
        <v>866.2</v>
      </c>
      <c r="IA611">
        <v>1142.8</v>
      </c>
      <c r="IB611">
        <v>1121.5</v>
      </c>
      <c r="IC611">
        <v>2403</v>
      </c>
      <c r="ID611">
        <v>2659.3</v>
      </c>
      <c r="IE611">
        <v>1923.4</v>
      </c>
      <c r="IF611">
        <v>1465.7</v>
      </c>
      <c r="IG611">
        <v>1608.3</v>
      </c>
      <c r="IH611">
        <v>0</v>
      </c>
      <c r="II611">
        <v>0</v>
      </c>
      <c r="IJ611">
        <v>0</v>
      </c>
      <c r="IK611">
        <v>0</v>
      </c>
      <c r="IL611">
        <v>0</v>
      </c>
      <c r="IM611">
        <v>0</v>
      </c>
      <c r="IN611">
        <v>0</v>
      </c>
      <c r="IO611">
        <v>0</v>
      </c>
      <c r="IP611">
        <v>75.099999999999994</v>
      </c>
    </row>
    <row r="612" spans="1:250" ht="18.600000000000001" thickTop="1" thickBot="1">
      <c r="A612" s="182"/>
      <c r="B612" s="182"/>
      <c r="C612" s="330" t="s">
        <v>1065</v>
      </c>
      <c r="D612" s="401"/>
      <c r="E612" s="454">
        <v>0</v>
      </c>
      <c r="F612">
        <v>0</v>
      </c>
      <c r="G612" s="427">
        <v>0</v>
      </c>
      <c r="H612" s="155">
        <v>0</v>
      </c>
      <c r="I612">
        <v>0</v>
      </c>
      <c r="J612">
        <v>0</v>
      </c>
      <c r="K612">
        <v>0</v>
      </c>
      <c r="L612" s="4">
        <v>0</v>
      </c>
      <c r="M612" s="4">
        <v>0</v>
      </c>
      <c r="N612" s="4">
        <v>0</v>
      </c>
      <c r="O612" s="4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R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G612">
        <v>0</v>
      </c>
      <c r="BI612">
        <v>0</v>
      </c>
      <c r="BK612">
        <v>0</v>
      </c>
      <c r="BL612">
        <v>0</v>
      </c>
      <c r="BM612">
        <v>0</v>
      </c>
      <c r="BN612">
        <v>0</v>
      </c>
      <c r="BO612">
        <v>344.70000000000005</v>
      </c>
      <c r="BP612">
        <v>625.70000000000005</v>
      </c>
      <c r="BQ612">
        <v>912.2</v>
      </c>
      <c r="BR612">
        <v>237.7</v>
      </c>
      <c r="BS612">
        <v>0</v>
      </c>
      <c r="BT612">
        <v>0</v>
      </c>
      <c r="BU612">
        <v>0</v>
      </c>
      <c r="BV612">
        <v>0</v>
      </c>
      <c r="BW612">
        <v>1647.4</v>
      </c>
      <c r="BY612">
        <v>453.1</v>
      </c>
      <c r="CA612">
        <v>285.39999999999998</v>
      </c>
      <c r="CB612">
        <v>280.8</v>
      </c>
      <c r="CC612">
        <v>127.7</v>
      </c>
      <c r="CD612">
        <v>0</v>
      </c>
      <c r="CE612">
        <v>0</v>
      </c>
      <c r="CF612">
        <v>0</v>
      </c>
      <c r="CG612">
        <v>0</v>
      </c>
      <c r="CI612">
        <v>0</v>
      </c>
      <c r="CJ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621.70000000000005</v>
      </c>
      <c r="CR612">
        <v>481.70000000000005</v>
      </c>
      <c r="CS612">
        <v>0</v>
      </c>
      <c r="CT612">
        <v>524.6</v>
      </c>
      <c r="CU612">
        <v>514.1</v>
      </c>
      <c r="CV612">
        <v>175.2</v>
      </c>
      <c r="CW612">
        <v>0</v>
      </c>
      <c r="CX612">
        <v>65.099999999999994</v>
      </c>
      <c r="CY612">
        <v>199</v>
      </c>
      <c r="CZ612">
        <v>1907.9</v>
      </c>
      <c r="DA612">
        <v>0</v>
      </c>
      <c r="DB612">
        <v>0</v>
      </c>
      <c r="DC612">
        <v>0</v>
      </c>
      <c r="DD612">
        <v>0</v>
      </c>
      <c r="DE612">
        <v>0</v>
      </c>
      <c r="DF612">
        <v>0</v>
      </c>
      <c r="DG612">
        <v>0</v>
      </c>
      <c r="DH612">
        <v>0</v>
      </c>
      <c r="DI612">
        <v>0</v>
      </c>
      <c r="DJ612">
        <v>0</v>
      </c>
      <c r="DK612">
        <v>0</v>
      </c>
      <c r="DL612">
        <v>0</v>
      </c>
      <c r="DM612">
        <v>1065.4000000000001</v>
      </c>
      <c r="DN612">
        <v>599.70000000000005</v>
      </c>
      <c r="DO612">
        <v>319.7</v>
      </c>
      <c r="DP612">
        <v>1570.6999999999998</v>
      </c>
      <c r="DQ612">
        <v>1399.5</v>
      </c>
      <c r="DR612">
        <v>3581</v>
      </c>
      <c r="DU612">
        <v>1393.2</v>
      </c>
      <c r="DV612">
        <v>2862.6</v>
      </c>
      <c r="DY612">
        <v>2361</v>
      </c>
      <c r="EA612">
        <v>2409.6</v>
      </c>
      <c r="EC612">
        <v>1661.3999999999999</v>
      </c>
      <c r="EE612">
        <v>0</v>
      </c>
      <c r="EF612">
        <v>0</v>
      </c>
      <c r="EG612">
        <v>0</v>
      </c>
      <c r="EH612">
        <v>0</v>
      </c>
      <c r="EI612">
        <v>0</v>
      </c>
      <c r="EJ612">
        <v>0</v>
      </c>
      <c r="EK612">
        <v>0</v>
      </c>
      <c r="EL612">
        <v>0</v>
      </c>
      <c r="EM612">
        <v>0</v>
      </c>
      <c r="EN612">
        <v>0</v>
      </c>
      <c r="EO612">
        <v>0</v>
      </c>
      <c r="EP612">
        <v>944.5</v>
      </c>
      <c r="EQ612">
        <v>3459.7</v>
      </c>
      <c r="ER612">
        <v>1353.5</v>
      </c>
      <c r="ES612">
        <v>182.2</v>
      </c>
      <c r="ET612">
        <v>855.59999999999991</v>
      </c>
      <c r="EU612">
        <v>172.2</v>
      </c>
      <c r="EV612">
        <v>203.2</v>
      </c>
      <c r="EW612">
        <v>1173.0999999999999</v>
      </c>
      <c r="EX612">
        <v>1078.3</v>
      </c>
      <c r="EY612">
        <v>1194.4000000000001</v>
      </c>
      <c r="EZ612">
        <v>1207.0999999999999</v>
      </c>
      <c r="FA612">
        <v>0</v>
      </c>
      <c r="FB612">
        <v>0</v>
      </c>
      <c r="FC612">
        <v>0</v>
      </c>
      <c r="FD612">
        <v>0</v>
      </c>
      <c r="FE612">
        <v>0</v>
      </c>
      <c r="FF612">
        <v>0</v>
      </c>
      <c r="FG612">
        <v>0</v>
      </c>
      <c r="FH612">
        <v>0</v>
      </c>
      <c r="FI612">
        <v>0</v>
      </c>
      <c r="FJ612">
        <v>0</v>
      </c>
      <c r="FK612">
        <v>0</v>
      </c>
      <c r="FL612">
        <v>0</v>
      </c>
      <c r="FM612">
        <v>0</v>
      </c>
      <c r="FN612">
        <v>0</v>
      </c>
      <c r="FO612">
        <v>0</v>
      </c>
      <c r="FP612">
        <v>0</v>
      </c>
      <c r="FQ612">
        <v>0</v>
      </c>
      <c r="FR612">
        <v>0</v>
      </c>
      <c r="FS612">
        <v>0</v>
      </c>
      <c r="FT612">
        <v>0</v>
      </c>
      <c r="FU612">
        <v>0</v>
      </c>
      <c r="FV612">
        <v>0</v>
      </c>
      <c r="FW612">
        <v>0</v>
      </c>
      <c r="FX612">
        <v>0</v>
      </c>
      <c r="FY612">
        <v>0</v>
      </c>
      <c r="FZ612">
        <v>0</v>
      </c>
      <c r="GA612">
        <v>0</v>
      </c>
      <c r="GB612">
        <v>0</v>
      </c>
      <c r="GC612">
        <v>0</v>
      </c>
      <c r="GD612">
        <v>0</v>
      </c>
      <c r="GE612">
        <v>0</v>
      </c>
      <c r="GF612">
        <v>0</v>
      </c>
      <c r="GG612">
        <v>0</v>
      </c>
      <c r="GH612">
        <v>0</v>
      </c>
      <c r="GI612">
        <v>0</v>
      </c>
      <c r="GJ612">
        <v>0</v>
      </c>
      <c r="GK612">
        <v>0</v>
      </c>
      <c r="GL612">
        <v>0</v>
      </c>
      <c r="GO612">
        <v>0</v>
      </c>
      <c r="GP612">
        <v>0</v>
      </c>
      <c r="GQ612">
        <v>0</v>
      </c>
      <c r="GR612">
        <v>0</v>
      </c>
      <c r="GS612">
        <v>0</v>
      </c>
      <c r="GT612">
        <v>0</v>
      </c>
      <c r="GU612">
        <v>0</v>
      </c>
      <c r="GV612">
        <v>0</v>
      </c>
      <c r="GW612">
        <v>0</v>
      </c>
      <c r="GX612">
        <v>0</v>
      </c>
      <c r="GY612">
        <v>0</v>
      </c>
      <c r="GZ612">
        <v>0</v>
      </c>
      <c r="HA612">
        <v>0</v>
      </c>
      <c r="HB612">
        <v>0</v>
      </c>
      <c r="HC612">
        <v>0</v>
      </c>
      <c r="HD612">
        <v>0</v>
      </c>
      <c r="HE612">
        <v>0</v>
      </c>
      <c r="HF612">
        <v>0</v>
      </c>
      <c r="HG612">
        <v>0</v>
      </c>
      <c r="HH612">
        <v>0</v>
      </c>
      <c r="HI612">
        <v>0</v>
      </c>
      <c r="HJ612">
        <v>0</v>
      </c>
      <c r="HK612">
        <v>0</v>
      </c>
      <c r="HL612">
        <v>0</v>
      </c>
      <c r="HM612">
        <v>0</v>
      </c>
      <c r="HN612">
        <v>0</v>
      </c>
      <c r="HO612">
        <v>0</v>
      </c>
      <c r="HP612">
        <v>0</v>
      </c>
      <c r="HQ612">
        <v>0</v>
      </c>
      <c r="HR612">
        <v>0</v>
      </c>
      <c r="HS612">
        <v>0</v>
      </c>
      <c r="HT612">
        <v>0</v>
      </c>
      <c r="HU612">
        <v>0</v>
      </c>
      <c r="HV612">
        <v>0</v>
      </c>
      <c r="HW612">
        <v>404.70000000000005</v>
      </c>
      <c r="HX612">
        <v>342.3</v>
      </c>
      <c r="HZ612">
        <v>866.2</v>
      </c>
      <c r="IA612">
        <v>1142.8</v>
      </c>
      <c r="IB612">
        <v>1121.5</v>
      </c>
      <c r="IC612">
        <v>2403</v>
      </c>
      <c r="ID612">
        <v>2659.3</v>
      </c>
      <c r="IE612">
        <v>1923.4</v>
      </c>
      <c r="IF612">
        <v>1465.7</v>
      </c>
      <c r="IG612">
        <v>1608.3</v>
      </c>
      <c r="IH612">
        <v>0</v>
      </c>
      <c r="II612">
        <v>0</v>
      </c>
      <c r="IJ612">
        <v>0</v>
      </c>
      <c r="IK612">
        <v>0</v>
      </c>
      <c r="IL612">
        <v>0</v>
      </c>
      <c r="IM612">
        <v>0</v>
      </c>
      <c r="IN612">
        <v>0</v>
      </c>
      <c r="IO612">
        <v>0</v>
      </c>
      <c r="IP612">
        <v>75.099999999999994</v>
      </c>
    </row>
    <row r="613" spans="1:250" ht="18" thickBot="1">
      <c r="A613" s="183"/>
      <c r="B613" s="183"/>
      <c r="C613" s="332" t="s">
        <v>1066</v>
      </c>
      <c r="D613" s="402"/>
      <c r="E613" s="454">
        <v>0</v>
      </c>
      <c r="F613">
        <v>0</v>
      </c>
      <c r="G613" s="427">
        <v>0</v>
      </c>
      <c r="H613" s="155">
        <v>0</v>
      </c>
      <c r="I613">
        <v>0</v>
      </c>
      <c r="J613">
        <v>0</v>
      </c>
      <c r="K613">
        <v>0</v>
      </c>
      <c r="L613" s="4">
        <v>0</v>
      </c>
      <c r="M613" s="4">
        <v>0</v>
      </c>
      <c r="N613" s="4">
        <v>0</v>
      </c>
      <c r="O613" s="4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R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G613">
        <v>0</v>
      </c>
      <c r="BI613">
        <v>0</v>
      </c>
      <c r="BK613">
        <v>0</v>
      </c>
      <c r="BL613">
        <v>0</v>
      </c>
      <c r="BM613">
        <v>0</v>
      </c>
      <c r="BN613">
        <v>0</v>
      </c>
      <c r="BO613">
        <v>344.70000000000005</v>
      </c>
      <c r="BP613">
        <v>625.70000000000005</v>
      </c>
      <c r="BQ613">
        <v>912.2</v>
      </c>
      <c r="BR613">
        <v>237.7</v>
      </c>
      <c r="BS613">
        <v>0</v>
      </c>
      <c r="BT613">
        <v>0</v>
      </c>
      <c r="BU613">
        <v>0</v>
      </c>
      <c r="BV613">
        <v>0</v>
      </c>
      <c r="BW613">
        <v>1647.4</v>
      </c>
      <c r="BY613">
        <v>453.1</v>
      </c>
      <c r="CA613">
        <v>285.39999999999998</v>
      </c>
      <c r="CB613">
        <v>280.8</v>
      </c>
      <c r="CC613">
        <v>127.7</v>
      </c>
      <c r="CD613">
        <v>0</v>
      </c>
      <c r="CE613">
        <v>0</v>
      </c>
      <c r="CF613">
        <v>0</v>
      </c>
      <c r="CG613">
        <v>0</v>
      </c>
      <c r="CI613">
        <v>0</v>
      </c>
      <c r="CJ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621.70000000000005</v>
      </c>
      <c r="CR613">
        <v>481.70000000000005</v>
      </c>
      <c r="CS613">
        <v>0</v>
      </c>
      <c r="CT613">
        <v>524.6</v>
      </c>
      <c r="CU613">
        <v>514.1</v>
      </c>
      <c r="CV613">
        <v>175.2</v>
      </c>
      <c r="CW613">
        <v>0</v>
      </c>
      <c r="CX613">
        <v>65.099999999999994</v>
      </c>
      <c r="CY613">
        <v>199</v>
      </c>
      <c r="CZ613">
        <v>1907.9</v>
      </c>
      <c r="DA613">
        <v>0</v>
      </c>
      <c r="DB613">
        <v>0</v>
      </c>
      <c r="DC613">
        <v>0</v>
      </c>
      <c r="DD613">
        <v>0</v>
      </c>
      <c r="DE613">
        <v>0</v>
      </c>
      <c r="DF613">
        <v>0</v>
      </c>
      <c r="DG613">
        <v>0</v>
      </c>
      <c r="DH613">
        <v>0</v>
      </c>
      <c r="DI613">
        <v>0</v>
      </c>
      <c r="DJ613">
        <v>0</v>
      </c>
      <c r="DK613">
        <v>0</v>
      </c>
      <c r="DL613">
        <v>0</v>
      </c>
      <c r="DM613">
        <v>1065.4000000000001</v>
      </c>
      <c r="DN613">
        <v>599.70000000000005</v>
      </c>
      <c r="DO613">
        <v>319.7</v>
      </c>
      <c r="DP613">
        <v>1570.6999999999998</v>
      </c>
      <c r="DQ613">
        <v>1399.5</v>
      </c>
      <c r="DR613">
        <v>3581</v>
      </c>
      <c r="DU613">
        <v>1393.2</v>
      </c>
      <c r="DV613">
        <v>2862.6</v>
      </c>
      <c r="DY613">
        <v>2361</v>
      </c>
      <c r="EA613">
        <v>2409.6</v>
      </c>
      <c r="EC613">
        <v>1661.3999999999999</v>
      </c>
      <c r="EE613">
        <v>0</v>
      </c>
      <c r="EF613">
        <v>0</v>
      </c>
      <c r="EG613">
        <v>0</v>
      </c>
      <c r="EH613">
        <v>0</v>
      </c>
      <c r="EI613">
        <v>0</v>
      </c>
      <c r="EJ613">
        <v>0</v>
      </c>
      <c r="EK613">
        <v>0</v>
      </c>
      <c r="EL613">
        <v>0</v>
      </c>
      <c r="EM613">
        <v>0</v>
      </c>
      <c r="EN613">
        <v>0</v>
      </c>
      <c r="EO613">
        <v>0</v>
      </c>
      <c r="EP613">
        <v>944.5</v>
      </c>
      <c r="EQ613">
        <v>3459.7</v>
      </c>
      <c r="ER613">
        <v>1353.5</v>
      </c>
      <c r="ES613">
        <v>182.2</v>
      </c>
      <c r="ET613">
        <v>855.59999999999991</v>
      </c>
      <c r="EU613">
        <v>172.2</v>
      </c>
      <c r="EV613">
        <v>203.2</v>
      </c>
      <c r="EW613">
        <v>1173.0999999999999</v>
      </c>
      <c r="EX613">
        <v>1078.3</v>
      </c>
      <c r="EY613">
        <v>1194.4000000000001</v>
      </c>
      <c r="EZ613">
        <v>1207.0999999999999</v>
      </c>
      <c r="FA613">
        <v>0</v>
      </c>
      <c r="FB613">
        <v>0</v>
      </c>
      <c r="FC613">
        <v>0</v>
      </c>
      <c r="FD613">
        <v>0</v>
      </c>
      <c r="FE613">
        <v>0</v>
      </c>
      <c r="FF613">
        <v>0</v>
      </c>
      <c r="FG613">
        <v>0</v>
      </c>
      <c r="FH613">
        <v>0</v>
      </c>
      <c r="FI613">
        <v>0</v>
      </c>
      <c r="FJ613">
        <v>0</v>
      </c>
      <c r="FK613">
        <v>0</v>
      </c>
      <c r="FL613">
        <v>0</v>
      </c>
      <c r="FM613">
        <v>0</v>
      </c>
      <c r="FN613">
        <v>0</v>
      </c>
      <c r="FO613">
        <v>0</v>
      </c>
      <c r="FP613">
        <v>0</v>
      </c>
      <c r="FQ613">
        <v>0</v>
      </c>
      <c r="FR613">
        <v>0</v>
      </c>
      <c r="FS613">
        <v>0</v>
      </c>
      <c r="FT613">
        <v>0</v>
      </c>
      <c r="FU613">
        <v>0</v>
      </c>
      <c r="FV613">
        <v>0</v>
      </c>
      <c r="FW613">
        <v>0</v>
      </c>
      <c r="FX613">
        <v>0</v>
      </c>
      <c r="FY613">
        <v>0</v>
      </c>
      <c r="FZ613">
        <v>0</v>
      </c>
      <c r="GA613">
        <v>0</v>
      </c>
      <c r="GB613">
        <v>0</v>
      </c>
      <c r="GC613">
        <v>0</v>
      </c>
      <c r="GD613">
        <v>0</v>
      </c>
      <c r="GE613">
        <v>0</v>
      </c>
      <c r="GF613">
        <v>0</v>
      </c>
      <c r="GG613">
        <v>0</v>
      </c>
      <c r="GH613">
        <v>0</v>
      </c>
      <c r="GI613">
        <v>0</v>
      </c>
      <c r="GJ613">
        <v>0</v>
      </c>
      <c r="GK613">
        <v>0</v>
      </c>
      <c r="GL613">
        <v>0</v>
      </c>
      <c r="GO613">
        <v>0</v>
      </c>
      <c r="GP613">
        <v>0</v>
      </c>
      <c r="GQ613">
        <v>0</v>
      </c>
      <c r="GR613">
        <v>0</v>
      </c>
      <c r="GS613">
        <v>0</v>
      </c>
      <c r="GT613">
        <v>0</v>
      </c>
      <c r="GU613">
        <v>0</v>
      </c>
      <c r="GV613">
        <v>0</v>
      </c>
      <c r="GW613">
        <v>0</v>
      </c>
      <c r="GX613">
        <v>0</v>
      </c>
      <c r="GY613">
        <v>0</v>
      </c>
      <c r="GZ613">
        <v>0</v>
      </c>
      <c r="HA613">
        <v>0</v>
      </c>
      <c r="HB613">
        <v>0</v>
      </c>
      <c r="HC613">
        <v>0</v>
      </c>
      <c r="HD613">
        <v>0</v>
      </c>
      <c r="HE613">
        <v>0</v>
      </c>
      <c r="HF613">
        <v>0</v>
      </c>
      <c r="HG613">
        <v>0</v>
      </c>
      <c r="HH613">
        <v>0</v>
      </c>
      <c r="HI613">
        <v>0</v>
      </c>
      <c r="HJ613">
        <v>0</v>
      </c>
      <c r="HK613">
        <v>0</v>
      </c>
      <c r="HL613">
        <v>0</v>
      </c>
      <c r="HM613">
        <v>0</v>
      </c>
      <c r="HN613">
        <v>0</v>
      </c>
      <c r="HO613">
        <v>0</v>
      </c>
      <c r="HP613">
        <v>0</v>
      </c>
      <c r="HQ613">
        <v>0</v>
      </c>
      <c r="HR613">
        <v>0</v>
      </c>
      <c r="HS613">
        <v>0</v>
      </c>
      <c r="HT613">
        <v>0</v>
      </c>
      <c r="HU613">
        <v>0</v>
      </c>
      <c r="HV613">
        <v>0</v>
      </c>
      <c r="HW613">
        <v>404.70000000000005</v>
      </c>
      <c r="HX613">
        <v>342.3</v>
      </c>
      <c r="HZ613">
        <v>866.2</v>
      </c>
      <c r="IA613">
        <v>1142.8</v>
      </c>
      <c r="IB613">
        <v>1121.5</v>
      </c>
      <c r="IC613">
        <v>2403</v>
      </c>
      <c r="ID613">
        <v>2659.3</v>
      </c>
      <c r="IE613">
        <v>1923.4</v>
      </c>
      <c r="IF613">
        <v>1465.7</v>
      </c>
      <c r="IG613">
        <v>1608.3</v>
      </c>
      <c r="IH613">
        <v>0</v>
      </c>
      <c r="II613">
        <v>0</v>
      </c>
      <c r="IJ613">
        <v>0</v>
      </c>
      <c r="IK613">
        <v>0</v>
      </c>
      <c r="IL613">
        <v>0</v>
      </c>
      <c r="IM613">
        <v>0</v>
      </c>
      <c r="IN613">
        <v>0</v>
      </c>
      <c r="IO613">
        <v>0</v>
      </c>
      <c r="IP613">
        <v>75.099999999999994</v>
      </c>
    </row>
    <row r="614" spans="1:250" ht="18" thickBot="1">
      <c r="A614" s="183"/>
      <c r="B614" s="183"/>
      <c r="C614" s="332" t="s">
        <v>1067</v>
      </c>
      <c r="D614" s="402"/>
      <c r="E614" s="454">
        <v>0</v>
      </c>
      <c r="F614">
        <v>0</v>
      </c>
      <c r="G614" s="427">
        <v>0</v>
      </c>
      <c r="H614" s="155">
        <v>0</v>
      </c>
      <c r="I614">
        <v>0</v>
      </c>
      <c r="J614">
        <v>0</v>
      </c>
      <c r="K614">
        <v>0</v>
      </c>
      <c r="L614" s="4">
        <v>0</v>
      </c>
      <c r="M614" s="4">
        <v>0</v>
      </c>
      <c r="N614" s="4">
        <v>0</v>
      </c>
      <c r="O614" s="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R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G614">
        <v>0</v>
      </c>
      <c r="BI614">
        <v>0</v>
      </c>
      <c r="BK614">
        <v>0</v>
      </c>
      <c r="BL614">
        <v>0</v>
      </c>
      <c r="BM614">
        <v>0</v>
      </c>
      <c r="BN614">
        <v>0</v>
      </c>
      <c r="BO614">
        <v>344.70000000000005</v>
      </c>
      <c r="BP614">
        <v>625.70000000000005</v>
      </c>
      <c r="BQ614">
        <v>912.2</v>
      </c>
      <c r="BR614">
        <v>237.7</v>
      </c>
      <c r="BS614">
        <v>0</v>
      </c>
      <c r="BT614">
        <v>0</v>
      </c>
      <c r="BU614">
        <v>0</v>
      </c>
      <c r="BV614">
        <v>0</v>
      </c>
      <c r="BW614">
        <v>1647.4</v>
      </c>
      <c r="BY614">
        <v>453.1</v>
      </c>
      <c r="CA614">
        <v>285.39999999999998</v>
      </c>
      <c r="CB614">
        <v>280.8</v>
      </c>
      <c r="CC614">
        <v>127.7</v>
      </c>
      <c r="CD614">
        <v>0</v>
      </c>
      <c r="CE614">
        <v>0</v>
      </c>
      <c r="CF614">
        <v>0</v>
      </c>
      <c r="CG614">
        <v>0</v>
      </c>
      <c r="CI614">
        <v>0</v>
      </c>
      <c r="CJ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621.70000000000005</v>
      </c>
      <c r="CR614">
        <v>481.70000000000005</v>
      </c>
      <c r="CS614">
        <v>0</v>
      </c>
      <c r="CT614">
        <v>524.6</v>
      </c>
      <c r="CU614">
        <v>514.1</v>
      </c>
      <c r="CV614">
        <v>175.2</v>
      </c>
      <c r="CW614">
        <v>0</v>
      </c>
      <c r="CX614">
        <v>65.099999999999994</v>
      </c>
      <c r="CY614">
        <v>199</v>
      </c>
      <c r="CZ614">
        <v>1907.9</v>
      </c>
      <c r="DA614">
        <v>0</v>
      </c>
      <c r="DB614">
        <v>0</v>
      </c>
      <c r="DC614">
        <v>0</v>
      </c>
      <c r="DD614">
        <v>0</v>
      </c>
      <c r="DE614">
        <v>0</v>
      </c>
      <c r="DF614">
        <v>0</v>
      </c>
      <c r="DG614">
        <v>0</v>
      </c>
      <c r="DH614">
        <v>0</v>
      </c>
      <c r="DI614">
        <v>0</v>
      </c>
      <c r="DJ614">
        <v>0</v>
      </c>
      <c r="DK614">
        <v>0</v>
      </c>
      <c r="DL614">
        <v>0</v>
      </c>
      <c r="DM614">
        <v>1065.4000000000001</v>
      </c>
      <c r="DN614">
        <v>599.70000000000005</v>
      </c>
      <c r="DO614">
        <v>319.7</v>
      </c>
      <c r="DP614">
        <v>1570.6999999999998</v>
      </c>
      <c r="DQ614">
        <v>1399.5</v>
      </c>
      <c r="DR614">
        <v>3581</v>
      </c>
      <c r="DU614">
        <v>1393.2</v>
      </c>
      <c r="DV614">
        <v>2862.6</v>
      </c>
      <c r="DY614">
        <v>2361</v>
      </c>
      <c r="EA614">
        <v>2409.6</v>
      </c>
      <c r="EC614">
        <v>1661.3999999999999</v>
      </c>
      <c r="EE614">
        <v>0</v>
      </c>
      <c r="EF614">
        <v>0</v>
      </c>
      <c r="EG614">
        <v>0</v>
      </c>
      <c r="EH614">
        <v>0</v>
      </c>
      <c r="EI614">
        <v>0</v>
      </c>
      <c r="EJ614">
        <v>0</v>
      </c>
      <c r="EK614">
        <v>0</v>
      </c>
      <c r="EL614">
        <v>0</v>
      </c>
      <c r="EM614">
        <v>0</v>
      </c>
      <c r="EN614">
        <v>0</v>
      </c>
      <c r="EO614">
        <v>0</v>
      </c>
      <c r="EP614">
        <v>944.5</v>
      </c>
      <c r="EQ614">
        <v>3459.7</v>
      </c>
      <c r="ER614">
        <v>1353.5</v>
      </c>
      <c r="ES614">
        <v>182.2</v>
      </c>
      <c r="ET614">
        <v>855.59999999999991</v>
      </c>
      <c r="EU614">
        <v>172.2</v>
      </c>
      <c r="EV614">
        <v>203.2</v>
      </c>
      <c r="EW614">
        <v>1173.0999999999999</v>
      </c>
      <c r="EX614">
        <v>1078.3</v>
      </c>
      <c r="EY614">
        <v>1194.4000000000001</v>
      </c>
      <c r="EZ614">
        <v>1207.0999999999999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0</v>
      </c>
      <c r="FH614">
        <v>0</v>
      </c>
      <c r="FI614">
        <v>0</v>
      </c>
      <c r="FJ614">
        <v>0</v>
      </c>
      <c r="FK614">
        <v>0</v>
      </c>
      <c r="FL614">
        <v>0</v>
      </c>
      <c r="FM614">
        <v>0</v>
      </c>
      <c r="FN614">
        <v>0</v>
      </c>
      <c r="FO614">
        <v>0</v>
      </c>
      <c r="FP614">
        <v>0</v>
      </c>
      <c r="FQ614">
        <v>0</v>
      </c>
      <c r="FR614">
        <v>0</v>
      </c>
      <c r="FS614">
        <v>0</v>
      </c>
      <c r="FT614">
        <v>0</v>
      </c>
      <c r="FU614">
        <v>0</v>
      </c>
      <c r="FV614">
        <v>0</v>
      </c>
      <c r="FW614">
        <v>0</v>
      </c>
      <c r="FX614">
        <v>0</v>
      </c>
      <c r="FY614">
        <v>0</v>
      </c>
      <c r="FZ614">
        <v>0</v>
      </c>
      <c r="GA614">
        <v>0</v>
      </c>
      <c r="GB614">
        <v>0</v>
      </c>
      <c r="GC614">
        <v>0</v>
      </c>
      <c r="GD614">
        <v>0</v>
      </c>
      <c r="GE614">
        <v>0</v>
      </c>
      <c r="GF614">
        <v>0</v>
      </c>
      <c r="GG614">
        <v>0</v>
      </c>
      <c r="GH614">
        <v>0</v>
      </c>
      <c r="GI614">
        <v>0</v>
      </c>
      <c r="GJ614">
        <v>0</v>
      </c>
      <c r="GK614">
        <v>0</v>
      </c>
      <c r="GL614">
        <v>0</v>
      </c>
      <c r="GO614">
        <v>0</v>
      </c>
      <c r="GP614">
        <v>0</v>
      </c>
      <c r="GQ614">
        <v>0</v>
      </c>
      <c r="GR614">
        <v>0</v>
      </c>
      <c r="GS614">
        <v>0</v>
      </c>
      <c r="GT614">
        <v>0</v>
      </c>
      <c r="GU614">
        <v>0</v>
      </c>
      <c r="GV614">
        <v>0</v>
      </c>
      <c r="GW614">
        <v>0</v>
      </c>
      <c r="GX614">
        <v>0</v>
      </c>
      <c r="GY614">
        <v>0</v>
      </c>
      <c r="GZ614">
        <v>0</v>
      </c>
      <c r="HA614">
        <v>0</v>
      </c>
      <c r="HB614">
        <v>0</v>
      </c>
      <c r="HC614">
        <v>0</v>
      </c>
      <c r="HD614">
        <v>0</v>
      </c>
      <c r="HE614">
        <v>0</v>
      </c>
      <c r="HF614">
        <v>0</v>
      </c>
      <c r="HG614">
        <v>0</v>
      </c>
      <c r="HH614">
        <v>0</v>
      </c>
      <c r="HI614">
        <v>0</v>
      </c>
      <c r="HJ614">
        <v>0</v>
      </c>
      <c r="HK614">
        <v>0</v>
      </c>
      <c r="HL614">
        <v>0</v>
      </c>
      <c r="HM614">
        <v>0</v>
      </c>
      <c r="HN614">
        <v>0</v>
      </c>
      <c r="HO614">
        <v>0</v>
      </c>
      <c r="HP614">
        <v>0</v>
      </c>
      <c r="HQ614">
        <v>0</v>
      </c>
      <c r="HR614">
        <v>0</v>
      </c>
      <c r="HS614">
        <v>0</v>
      </c>
      <c r="HT614">
        <v>0</v>
      </c>
      <c r="HU614">
        <v>0</v>
      </c>
      <c r="HV614">
        <v>0</v>
      </c>
      <c r="HW614">
        <v>404.70000000000005</v>
      </c>
      <c r="HX614">
        <v>342.3</v>
      </c>
      <c r="HZ614">
        <v>866.2</v>
      </c>
      <c r="IA614">
        <v>1142.8</v>
      </c>
      <c r="IB614">
        <v>1121.5</v>
      </c>
      <c r="IC614">
        <v>2403</v>
      </c>
      <c r="ID614">
        <v>2659.3</v>
      </c>
      <c r="IE614">
        <v>1923.4</v>
      </c>
      <c r="IF614">
        <v>1465.7</v>
      </c>
      <c r="IG614">
        <v>1608.3</v>
      </c>
      <c r="IH614">
        <v>0</v>
      </c>
      <c r="II614">
        <v>0</v>
      </c>
      <c r="IJ614">
        <v>0</v>
      </c>
      <c r="IK614">
        <v>0</v>
      </c>
      <c r="IL614">
        <v>0</v>
      </c>
      <c r="IM614">
        <v>0</v>
      </c>
      <c r="IN614">
        <v>0</v>
      </c>
      <c r="IO614">
        <v>0</v>
      </c>
      <c r="IP614">
        <v>75.099999999999994</v>
      </c>
    </row>
    <row r="615" spans="1:250" ht="18" thickBot="1">
      <c r="A615" s="555"/>
      <c r="B615" s="555" t="s">
        <v>569</v>
      </c>
      <c r="C615" s="88" t="s">
        <v>1068</v>
      </c>
      <c r="D615" s="559" t="s">
        <v>1211</v>
      </c>
      <c r="E615" s="454">
        <v>0</v>
      </c>
      <c r="F615">
        <v>0</v>
      </c>
      <c r="G615" s="427">
        <v>0</v>
      </c>
      <c r="H615" s="155">
        <v>0</v>
      </c>
      <c r="I615">
        <v>0</v>
      </c>
      <c r="J615">
        <v>0</v>
      </c>
      <c r="K615">
        <v>0</v>
      </c>
      <c r="L615" s="4">
        <v>0</v>
      </c>
      <c r="M615" s="4">
        <v>0</v>
      </c>
      <c r="N615" s="4">
        <v>0</v>
      </c>
      <c r="O615" s="4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R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G615">
        <v>0</v>
      </c>
      <c r="BI615">
        <v>0</v>
      </c>
      <c r="BK615">
        <v>0</v>
      </c>
      <c r="BL615">
        <v>0</v>
      </c>
      <c r="BM615">
        <v>0</v>
      </c>
      <c r="BN615">
        <v>0</v>
      </c>
      <c r="BO615">
        <v>344.70000000000005</v>
      </c>
      <c r="BP615">
        <v>625.70000000000005</v>
      </c>
      <c r="BQ615">
        <v>912.2</v>
      </c>
      <c r="BR615">
        <v>237.7</v>
      </c>
      <c r="BS615">
        <v>0</v>
      </c>
      <c r="BT615">
        <v>0</v>
      </c>
      <c r="BU615">
        <v>0</v>
      </c>
      <c r="BV615">
        <v>0</v>
      </c>
      <c r="BW615">
        <v>1647.4</v>
      </c>
      <c r="BY615">
        <v>453.1</v>
      </c>
      <c r="CA615">
        <v>285.39999999999998</v>
      </c>
      <c r="CB615">
        <v>280.8</v>
      </c>
      <c r="CC615">
        <v>127.7</v>
      </c>
      <c r="CD615">
        <v>0</v>
      </c>
      <c r="CE615">
        <v>0</v>
      </c>
      <c r="CF615">
        <v>0</v>
      </c>
      <c r="CG615">
        <v>0</v>
      </c>
      <c r="CI615">
        <v>0</v>
      </c>
      <c r="CJ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621.70000000000005</v>
      </c>
      <c r="CR615">
        <v>481.70000000000005</v>
      </c>
      <c r="CS615">
        <v>0</v>
      </c>
      <c r="CT615">
        <v>524.6</v>
      </c>
      <c r="CU615">
        <v>514.1</v>
      </c>
      <c r="CV615">
        <v>175.2</v>
      </c>
      <c r="CW615">
        <v>0</v>
      </c>
      <c r="CX615">
        <v>65.099999999999994</v>
      </c>
      <c r="CY615">
        <v>199</v>
      </c>
      <c r="CZ615">
        <v>1907.9</v>
      </c>
      <c r="DA615">
        <v>0</v>
      </c>
      <c r="DB615">
        <v>0</v>
      </c>
      <c r="DC615">
        <v>0</v>
      </c>
      <c r="DD615">
        <v>0</v>
      </c>
      <c r="DE615">
        <v>0</v>
      </c>
      <c r="DF615">
        <v>0</v>
      </c>
      <c r="DG615">
        <v>0</v>
      </c>
      <c r="DH615">
        <v>0</v>
      </c>
      <c r="DI615">
        <v>0</v>
      </c>
      <c r="DJ615">
        <v>0</v>
      </c>
      <c r="DK615">
        <v>0</v>
      </c>
      <c r="DL615">
        <v>0</v>
      </c>
      <c r="DM615">
        <v>1065.4000000000001</v>
      </c>
      <c r="DN615">
        <v>599.70000000000005</v>
      </c>
      <c r="DO615">
        <v>319.7</v>
      </c>
      <c r="DP615">
        <v>1570.6999999999998</v>
      </c>
      <c r="DQ615">
        <v>1399.5</v>
      </c>
      <c r="DR615">
        <v>3581</v>
      </c>
      <c r="DU615">
        <v>1393.2</v>
      </c>
      <c r="DV615">
        <v>2862.6</v>
      </c>
      <c r="DY615">
        <v>2361</v>
      </c>
      <c r="EA615">
        <v>2409.6</v>
      </c>
      <c r="EC615">
        <v>1661.3999999999999</v>
      </c>
      <c r="EE615">
        <v>0</v>
      </c>
      <c r="EF615">
        <v>0</v>
      </c>
      <c r="EG615">
        <v>0</v>
      </c>
      <c r="EH615">
        <v>0</v>
      </c>
      <c r="EI615">
        <v>0</v>
      </c>
      <c r="EJ615">
        <v>0</v>
      </c>
      <c r="EK615">
        <v>0</v>
      </c>
      <c r="EL615">
        <v>0</v>
      </c>
      <c r="EM615">
        <v>0</v>
      </c>
      <c r="EN615">
        <v>0</v>
      </c>
      <c r="EO615">
        <v>0</v>
      </c>
      <c r="EP615">
        <v>944.5</v>
      </c>
      <c r="EQ615">
        <v>3459.7</v>
      </c>
      <c r="ER615">
        <v>1353.5</v>
      </c>
      <c r="ES615">
        <v>182.2</v>
      </c>
      <c r="ET615">
        <v>855.59999999999991</v>
      </c>
      <c r="EU615">
        <v>172.2</v>
      </c>
      <c r="EV615">
        <v>203.2</v>
      </c>
      <c r="EW615">
        <v>1173.0999999999999</v>
      </c>
      <c r="EX615">
        <v>1078.3</v>
      </c>
      <c r="EY615">
        <v>1194.4000000000001</v>
      </c>
      <c r="EZ615">
        <v>1207.0999999999999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0</v>
      </c>
      <c r="FH615">
        <v>0</v>
      </c>
      <c r="FI615">
        <v>0</v>
      </c>
      <c r="FJ615">
        <v>0</v>
      </c>
      <c r="FK615">
        <v>0</v>
      </c>
      <c r="FL615">
        <v>0</v>
      </c>
      <c r="FM615">
        <v>0</v>
      </c>
      <c r="FN615">
        <v>0</v>
      </c>
      <c r="FO615">
        <v>0</v>
      </c>
      <c r="FP615">
        <v>0</v>
      </c>
      <c r="FQ615">
        <v>0</v>
      </c>
      <c r="FR615">
        <v>0</v>
      </c>
      <c r="FS615">
        <v>0</v>
      </c>
      <c r="FT615">
        <v>0</v>
      </c>
      <c r="FU615">
        <v>0</v>
      </c>
      <c r="FV615">
        <v>0</v>
      </c>
      <c r="FW615">
        <v>0</v>
      </c>
      <c r="FX615">
        <v>0</v>
      </c>
      <c r="FY615">
        <v>0</v>
      </c>
      <c r="FZ615">
        <v>0</v>
      </c>
      <c r="GA615">
        <v>0</v>
      </c>
      <c r="GB615">
        <v>0</v>
      </c>
      <c r="GC615">
        <v>0</v>
      </c>
      <c r="GD615">
        <v>0</v>
      </c>
      <c r="GE615">
        <v>0</v>
      </c>
      <c r="GF615">
        <v>0</v>
      </c>
      <c r="GG615">
        <v>0</v>
      </c>
      <c r="GH615">
        <v>0</v>
      </c>
      <c r="GI615">
        <v>0</v>
      </c>
      <c r="GJ615">
        <v>0</v>
      </c>
      <c r="GK615">
        <v>0</v>
      </c>
      <c r="GL615">
        <v>0</v>
      </c>
      <c r="GO615">
        <v>0</v>
      </c>
      <c r="GP615">
        <v>0</v>
      </c>
      <c r="GQ615">
        <v>0</v>
      </c>
      <c r="GR615">
        <v>0</v>
      </c>
      <c r="GS615">
        <v>0</v>
      </c>
      <c r="GT615">
        <v>0</v>
      </c>
      <c r="GU615">
        <v>0</v>
      </c>
      <c r="GV615">
        <v>0</v>
      </c>
      <c r="GW615">
        <v>0</v>
      </c>
      <c r="GX615">
        <v>0</v>
      </c>
      <c r="GY615">
        <v>0</v>
      </c>
      <c r="GZ615">
        <v>0</v>
      </c>
      <c r="HA615">
        <v>0</v>
      </c>
      <c r="HB615">
        <v>0</v>
      </c>
      <c r="HC615">
        <v>0</v>
      </c>
      <c r="HD615">
        <v>0</v>
      </c>
      <c r="HE615">
        <v>0</v>
      </c>
      <c r="HF615">
        <v>0</v>
      </c>
      <c r="HG615">
        <v>0</v>
      </c>
      <c r="HH615">
        <v>0</v>
      </c>
      <c r="HI615">
        <v>0</v>
      </c>
      <c r="HJ615">
        <v>0</v>
      </c>
      <c r="HK615">
        <v>0</v>
      </c>
      <c r="HL615">
        <v>0</v>
      </c>
      <c r="HM615">
        <v>0</v>
      </c>
      <c r="HN615">
        <v>0</v>
      </c>
      <c r="HO615">
        <v>0</v>
      </c>
      <c r="HP615">
        <v>0</v>
      </c>
      <c r="HQ615">
        <v>0</v>
      </c>
      <c r="HR615">
        <v>0</v>
      </c>
      <c r="HS615">
        <v>0</v>
      </c>
      <c r="HT615">
        <v>0</v>
      </c>
      <c r="HU615">
        <v>0</v>
      </c>
      <c r="HV615">
        <v>0</v>
      </c>
      <c r="HW615">
        <v>404.70000000000005</v>
      </c>
      <c r="HX615">
        <v>342.3</v>
      </c>
      <c r="HZ615">
        <v>866.2</v>
      </c>
      <c r="IA615">
        <v>1142.8</v>
      </c>
      <c r="IB615">
        <v>1121.5</v>
      </c>
      <c r="IC615">
        <v>2403</v>
      </c>
      <c r="ID615">
        <v>2659.3</v>
      </c>
      <c r="IE615">
        <v>1923.4</v>
      </c>
      <c r="IF615">
        <v>1465.7</v>
      </c>
      <c r="IG615">
        <v>1608.3</v>
      </c>
      <c r="IH615">
        <v>0</v>
      </c>
      <c r="II615">
        <v>0</v>
      </c>
      <c r="IJ615">
        <v>0</v>
      </c>
      <c r="IK615">
        <v>0</v>
      </c>
      <c r="IL615">
        <v>0</v>
      </c>
      <c r="IM615">
        <v>0</v>
      </c>
      <c r="IN615">
        <v>0</v>
      </c>
      <c r="IO615">
        <v>0</v>
      </c>
      <c r="IP615">
        <v>75.099999999999994</v>
      </c>
    </row>
    <row r="616" spans="1:250" ht="18" thickBot="1">
      <c r="A616" s="556"/>
      <c r="B616" s="556"/>
      <c r="C616" s="88" t="s">
        <v>1069</v>
      </c>
      <c r="D616" s="559"/>
      <c r="E616" s="454">
        <v>0</v>
      </c>
      <c r="F616">
        <v>0</v>
      </c>
      <c r="G616" s="427">
        <v>0</v>
      </c>
      <c r="H616" s="155">
        <v>0</v>
      </c>
      <c r="I616">
        <v>0</v>
      </c>
      <c r="J616">
        <v>0</v>
      </c>
      <c r="K616">
        <v>0</v>
      </c>
      <c r="L616" s="4">
        <v>0</v>
      </c>
      <c r="M616" s="4">
        <v>0</v>
      </c>
      <c r="N616" s="4">
        <v>0</v>
      </c>
      <c r="O616" s="4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R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G616">
        <v>0</v>
      </c>
      <c r="BI616">
        <v>0</v>
      </c>
      <c r="BK616">
        <v>0</v>
      </c>
      <c r="BL616">
        <v>0</v>
      </c>
      <c r="BM616">
        <v>0</v>
      </c>
      <c r="BN616">
        <v>0</v>
      </c>
      <c r="BO616">
        <v>344.70000000000005</v>
      </c>
      <c r="BP616">
        <v>625.70000000000005</v>
      </c>
      <c r="BQ616">
        <v>912.2</v>
      </c>
      <c r="BR616">
        <v>237.7</v>
      </c>
      <c r="BS616">
        <v>0</v>
      </c>
      <c r="BT616">
        <v>0</v>
      </c>
      <c r="BU616">
        <v>0</v>
      </c>
      <c r="BV616">
        <v>0</v>
      </c>
      <c r="BW616">
        <v>1647.4</v>
      </c>
      <c r="BY616">
        <v>453.1</v>
      </c>
      <c r="CA616">
        <v>285.39999999999998</v>
      </c>
      <c r="CB616">
        <v>280.8</v>
      </c>
      <c r="CC616">
        <v>127.7</v>
      </c>
      <c r="CD616">
        <v>0</v>
      </c>
      <c r="CE616">
        <v>0</v>
      </c>
      <c r="CF616">
        <v>0</v>
      </c>
      <c r="CG616">
        <v>0</v>
      </c>
      <c r="CI616">
        <v>0</v>
      </c>
      <c r="CJ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621.70000000000005</v>
      </c>
      <c r="CR616">
        <v>481.70000000000005</v>
      </c>
      <c r="CS616">
        <v>0</v>
      </c>
      <c r="CT616">
        <v>524.6</v>
      </c>
      <c r="CU616">
        <v>514.1</v>
      </c>
      <c r="CV616">
        <v>175.2</v>
      </c>
      <c r="CW616">
        <v>0</v>
      </c>
      <c r="CX616">
        <v>65.099999999999994</v>
      </c>
      <c r="CY616">
        <v>199</v>
      </c>
      <c r="CZ616">
        <v>1907.9</v>
      </c>
      <c r="DA616">
        <v>0</v>
      </c>
      <c r="DB616">
        <v>0</v>
      </c>
      <c r="DC616">
        <v>0</v>
      </c>
      <c r="DD616">
        <v>0</v>
      </c>
      <c r="DE616">
        <v>0</v>
      </c>
      <c r="DF616">
        <v>0</v>
      </c>
      <c r="DG616">
        <v>0</v>
      </c>
      <c r="DH616">
        <v>0</v>
      </c>
      <c r="DI616">
        <v>0</v>
      </c>
      <c r="DJ616">
        <v>0</v>
      </c>
      <c r="DK616">
        <v>0</v>
      </c>
      <c r="DL616">
        <v>0</v>
      </c>
      <c r="DM616">
        <v>1065.4000000000001</v>
      </c>
      <c r="DN616">
        <v>599.70000000000005</v>
      </c>
      <c r="DO616">
        <v>319.7</v>
      </c>
      <c r="DP616">
        <v>1570.6999999999998</v>
      </c>
      <c r="DQ616">
        <v>1399.5</v>
      </c>
      <c r="DR616">
        <v>3581</v>
      </c>
      <c r="DU616">
        <v>1393.2</v>
      </c>
      <c r="DV616">
        <v>2862.6</v>
      </c>
      <c r="DY616">
        <v>2361</v>
      </c>
      <c r="EA616">
        <v>2409.6</v>
      </c>
      <c r="EC616">
        <v>1661.3999999999999</v>
      </c>
      <c r="EE616">
        <v>0</v>
      </c>
      <c r="EF616">
        <v>0</v>
      </c>
      <c r="EG616">
        <v>0</v>
      </c>
      <c r="EH616">
        <v>0</v>
      </c>
      <c r="EI616">
        <v>0</v>
      </c>
      <c r="EJ616">
        <v>0</v>
      </c>
      <c r="EK616">
        <v>0</v>
      </c>
      <c r="EL616">
        <v>0</v>
      </c>
      <c r="EM616">
        <v>0</v>
      </c>
      <c r="EN616">
        <v>0</v>
      </c>
      <c r="EO616">
        <v>0</v>
      </c>
      <c r="EP616">
        <v>944.5</v>
      </c>
      <c r="EQ616">
        <v>3459.7</v>
      </c>
      <c r="ER616">
        <v>1353.5</v>
      </c>
      <c r="ES616">
        <v>182.2</v>
      </c>
      <c r="ET616">
        <v>855.59999999999991</v>
      </c>
      <c r="EU616">
        <v>172.2</v>
      </c>
      <c r="EV616">
        <v>203.2</v>
      </c>
      <c r="EW616">
        <v>1173.0999999999999</v>
      </c>
      <c r="EX616">
        <v>1078.3</v>
      </c>
      <c r="EY616">
        <v>1194.4000000000001</v>
      </c>
      <c r="EZ616">
        <v>1207.0999999999999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0</v>
      </c>
      <c r="FI616">
        <v>0</v>
      </c>
      <c r="FJ616">
        <v>0</v>
      </c>
      <c r="FK616">
        <v>0</v>
      </c>
      <c r="FL616">
        <v>0</v>
      </c>
      <c r="FM616">
        <v>0</v>
      </c>
      <c r="FN616">
        <v>0</v>
      </c>
      <c r="FO616">
        <v>0</v>
      </c>
      <c r="FP616">
        <v>0</v>
      </c>
      <c r="FQ616">
        <v>0</v>
      </c>
      <c r="FR616">
        <v>0</v>
      </c>
      <c r="FS616">
        <v>0</v>
      </c>
      <c r="FT616">
        <v>0</v>
      </c>
      <c r="FU616">
        <v>0</v>
      </c>
      <c r="FV616">
        <v>0</v>
      </c>
      <c r="FW616">
        <v>0</v>
      </c>
      <c r="FX616">
        <v>0</v>
      </c>
      <c r="FY616">
        <v>0</v>
      </c>
      <c r="FZ616">
        <v>0</v>
      </c>
      <c r="GA616">
        <v>0</v>
      </c>
      <c r="GB616">
        <v>0</v>
      </c>
      <c r="GC616">
        <v>0</v>
      </c>
      <c r="GD616">
        <v>0</v>
      </c>
      <c r="GE616">
        <v>0</v>
      </c>
      <c r="GF616">
        <v>0</v>
      </c>
      <c r="GG616">
        <v>0</v>
      </c>
      <c r="GH616">
        <v>0</v>
      </c>
      <c r="GI616">
        <v>0</v>
      </c>
      <c r="GJ616">
        <v>0</v>
      </c>
      <c r="GK616">
        <v>0</v>
      </c>
      <c r="GL616">
        <v>0</v>
      </c>
      <c r="GO616">
        <v>0</v>
      </c>
      <c r="GP616">
        <v>0</v>
      </c>
      <c r="GQ616">
        <v>0</v>
      </c>
      <c r="GR616">
        <v>0</v>
      </c>
      <c r="GS616">
        <v>0</v>
      </c>
      <c r="GT616">
        <v>0</v>
      </c>
      <c r="GU616">
        <v>0</v>
      </c>
      <c r="GV616">
        <v>0</v>
      </c>
      <c r="GW616">
        <v>0</v>
      </c>
      <c r="GX616">
        <v>0</v>
      </c>
      <c r="GY616">
        <v>0</v>
      </c>
      <c r="GZ616">
        <v>0</v>
      </c>
      <c r="HA616">
        <v>0</v>
      </c>
      <c r="HB616">
        <v>0</v>
      </c>
      <c r="HC616">
        <v>0</v>
      </c>
      <c r="HD616">
        <v>0</v>
      </c>
      <c r="HE616">
        <v>0</v>
      </c>
      <c r="HF616">
        <v>0</v>
      </c>
      <c r="HG616">
        <v>0</v>
      </c>
      <c r="HH616">
        <v>0</v>
      </c>
      <c r="HI616">
        <v>0</v>
      </c>
      <c r="HJ616">
        <v>0</v>
      </c>
      <c r="HK616">
        <v>0</v>
      </c>
      <c r="HL616">
        <v>0</v>
      </c>
      <c r="HM616">
        <v>0</v>
      </c>
      <c r="HN616">
        <v>0</v>
      </c>
      <c r="HO616">
        <v>0</v>
      </c>
      <c r="HP616">
        <v>0</v>
      </c>
      <c r="HQ616">
        <v>0</v>
      </c>
      <c r="HR616">
        <v>0</v>
      </c>
      <c r="HS616">
        <v>0</v>
      </c>
      <c r="HT616">
        <v>0</v>
      </c>
      <c r="HU616">
        <v>0</v>
      </c>
      <c r="HV616">
        <v>0</v>
      </c>
      <c r="HW616">
        <v>404.70000000000005</v>
      </c>
      <c r="HX616">
        <v>342.3</v>
      </c>
      <c r="HZ616">
        <v>866.2</v>
      </c>
      <c r="IA616">
        <v>1142.8</v>
      </c>
      <c r="IB616">
        <v>1121.5</v>
      </c>
      <c r="IC616">
        <v>2403</v>
      </c>
      <c r="ID616">
        <v>2659.3</v>
      </c>
      <c r="IE616">
        <v>1923.4</v>
      </c>
      <c r="IF616">
        <v>1465.7</v>
      </c>
      <c r="IG616">
        <v>1608.3</v>
      </c>
      <c r="IH616">
        <v>0</v>
      </c>
      <c r="II616">
        <v>0</v>
      </c>
      <c r="IJ616">
        <v>0</v>
      </c>
      <c r="IK616">
        <v>0</v>
      </c>
      <c r="IL616">
        <v>0</v>
      </c>
      <c r="IM616">
        <v>0</v>
      </c>
      <c r="IN616">
        <v>0</v>
      </c>
      <c r="IO616">
        <v>0</v>
      </c>
      <c r="IP616">
        <v>75.099999999999994</v>
      </c>
    </row>
    <row r="617" spans="1:250" ht="18" thickBot="1">
      <c r="A617" s="555"/>
      <c r="B617" s="555" t="s">
        <v>570</v>
      </c>
      <c r="C617" s="505" t="s">
        <v>1070</v>
      </c>
      <c r="D617" s="559" t="s">
        <v>1211</v>
      </c>
      <c r="E617" s="454">
        <v>0</v>
      </c>
      <c r="F617">
        <v>0</v>
      </c>
      <c r="G617" s="427">
        <v>0</v>
      </c>
      <c r="H617" s="155">
        <v>0</v>
      </c>
      <c r="I617">
        <v>0</v>
      </c>
      <c r="J617">
        <v>0</v>
      </c>
      <c r="K617">
        <v>0</v>
      </c>
      <c r="L617" s="4">
        <v>0</v>
      </c>
      <c r="M617" s="4">
        <v>0</v>
      </c>
      <c r="N617" s="4">
        <v>0</v>
      </c>
      <c r="O617" s="4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R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G617">
        <v>0</v>
      </c>
      <c r="BI617">
        <v>0</v>
      </c>
      <c r="BK617">
        <v>0</v>
      </c>
      <c r="BL617">
        <v>0</v>
      </c>
      <c r="BM617">
        <v>0</v>
      </c>
      <c r="BN617">
        <v>0</v>
      </c>
      <c r="BO617">
        <v>344.70000000000005</v>
      </c>
      <c r="BP617">
        <v>625.70000000000005</v>
      </c>
      <c r="BQ617">
        <v>912.2</v>
      </c>
      <c r="BR617">
        <v>237.7</v>
      </c>
      <c r="BS617">
        <v>0</v>
      </c>
      <c r="BT617">
        <v>0</v>
      </c>
      <c r="BU617">
        <v>0</v>
      </c>
      <c r="BV617">
        <v>0</v>
      </c>
      <c r="BW617">
        <v>1647.4</v>
      </c>
      <c r="BY617">
        <v>453.1</v>
      </c>
      <c r="CA617">
        <v>285.39999999999998</v>
      </c>
      <c r="CB617">
        <v>280.8</v>
      </c>
      <c r="CC617">
        <v>127.7</v>
      </c>
      <c r="CD617">
        <v>0</v>
      </c>
      <c r="CE617">
        <v>0</v>
      </c>
      <c r="CF617">
        <v>0</v>
      </c>
      <c r="CG617">
        <v>0</v>
      </c>
      <c r="CI617">
        <v>0</v>
      </c>
      <c r="CJ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621.70000000000005</v>
      </c>
      <c r="CR617">
        <v>481.70000000000005</v>
      </c>
      <c r="CS617">
        <v>0</v>
      </c>
      <c r="CT617">
        <v>524.6</v>
      </c>
      <c r="CU617">
        <v>514.1</v>
      </c>
      <c r="CV617">
        <v>175.2</v>
      </c>
      <c r="CW617">
        <v>0</v>
      </c>
      <c r="CX617">
        <v>65.099999999999994</v>
      </c>
      <c r="CY617">
        <v>199</v>
      </c>
      <c r="CZ617">
        <v>1907.9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1065.4000000000001</v>
      </c>
      <c r="DN617">
        <v>599.70000000000005</v>
      </c>
      <c r="DO617">
        <v>319.7</v>
      </c>
      <c r="DP617">
        <v>1570.6999999999998</v>
      </c>
      <c r="DQ617">
        <v>1399.5</v>
      </c>
      <c r="DR617">
        <v>3581</v>
      </c>
      <c r="DU617">
        <v>1393.2</v>
      </c>
      <c r="DV617">
        <v>2862.6</v>
      </c>
      <c r="DY617">
        <v>2361</v>
      </c>
      <c r="EA617">
        <v>2409.6</v>
      </c>
      <c r="EC617">
        <v>1661.3999999999999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944.5</v>
      </c>
      <c r="EQ617">
        <v>3459.7</v>
      </c>
      <c r="ER617">
        <v>1353.5</v>
      </c>
      <c r="ES617">
        <v>182.2</v>
      </c>
      <c r="ET617">
        <v>855.59999999999991</v>
      </c>
      <c r="EU617">
        <v>172.2</v>
      </c>
      <c r="EV617">
        <v>203.2</v>
      </c>
      <c r="EW617">
        <v>1173.0999999999999</v>
      </c>
      <c r="EX617">
        <v>1078.3</v>
      </c>
      <c r="EY617">
        <v>1194.4000000000001</v>
      </c>
      <c r="EZ617">
        <v>1207.0999999999999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0</v>
      </c>
      <c r="FH617">
        <v>0</v>
      </c>
      <c r="FI617">
        <v>0</v>
      </c>
      <c r="FJ617">
        <v>0</v>
      </c>
      <c r="FK617">
        <v>0</v>
      </c>
      <c r="FL617">
        <v>0</v>
      </c>
      <c r="FM617">
        <v>0</v>
      </c>
      <c r="FN617">
        <v>0</v>
      </c>
      <c r="FO617">
        <v>0</v>
      </c>
      <c r="FP617">
        <v>0</v>
      </c>
      <c r="FQ617">
        <v>0</v>
      </c>
      <c r="FR617">
        <v>0</v>
      </c>
      <c r="FS617">
        <v>0</v>
      </c>
      <c r="FT617">
        <v>0</v>
      </c>
      <c r="FU617">
        <v>0</v>
      </c>
      <c r="FV617">
        <v>0</v>
      </c>
      <c r="FW617">
        <v>0</v>
      </c>
      <c r="FX617">
        <v>0</v>
      </c>
      <c r="FY617">
        <v>0</v>
      </c>
      <c r="FZ617">
        <v>0</v>
      </c>
      <c r="GA617">
        <v>0</v>
      </c>
      <c r="GB617">
        <v>0</v>
      </c>
      <c r="GC617">
        <v>0</v>
      </c>
      <c r="GD617">
        <v>0</v>
      </c>
      <c r="GE617">
        <v>0</v>
      </c>
      <c r="GF617">
        <v>0</v>
      </c>
      <c r="GG617">
        <v>0</v>
      </c>
      <c r="GH617">
        <v>0</v>
      </c>
      <c r="GI617">
        <v>0</v>
      </c>
      <c r="GJ617">
        <v>0</v>
      </c>
      <c r="GK617">
        <v>0</v>
      </c>
      <c r="GL617">
        <v>0</v>
      </c>
      <c r="GO617">
        <v>0</v>
      </c>
      <c r="GP617">
        <v>0</v>
      </c>
      <c r="GQ617">
        <v>0</v>
      </c>
      <c r="GR617">
        <v>0</v>
      </c>
      <c r="GS617">
        <v>0</v>
      </c>
      <c r="GT617">
        <v>0</v>
      </c>
      <c r="GU617">
        <v>0</v>
      </c>
      <c r="GV617">
        <v>0</v>
      </c>
      <c r="GW617">
        <v>0</v>
      </c>
      <c r="GX617">
        <v>0</v>
      </c>
      <c r="GY617">
        <v>0</v>
      </c>
      <c r="GZ617">
        <v>0</v>
      </c>
      <c r="HA617">
        <v>0</v>
      </c>
      <c r="HB617">
        <v>0</v>
      </c>
      <c r="HC617">
        <v>0</v>
      </c>
      <c r="HD617">
        <v>0</v>
      </c>
      <c r="HE617">
        <v>0</v>
      </c>
      <c r="HF617">
        <v>0</v>
      </c>
      <c r="HG617">
        <v>0</v>
      </c>
      <c r="HH617">
        <v>0</v>
      </c>
      <c r="HI617">
        <v>0</v>
      </c>
      <c r="HJ617">
        <v>0</v>
      </c>
      <c r="HK617">
        <v>0</v>
      </c>
      <c r="HL617">
        <v>0</v>
      </c>
      <c r="HM617">
        <v>0</v>
      </c>
      <c r="HN617">
        <v>0</v>
      </c>
      <c r="HO617">
        <v>0</v>
      </c>
      <c r="HP617">
        <v>0</v>
      </c>
      <c r="HQ617">
        <v>0</v>
      </c>
      <c r="HR617">
        <v>0</v>
      </c>
      <c r="HS617">
        <v>0</v>
      </c>
      <c r="HT617">
        <v>0</v>
      </c>
      <c r="HU617">
        <v>0</v>
      </c>
      <c r="HV617">
        <v>0</v>
      </c>
      <c r="HW617">
        <v>404.70000000000005</v>
      </c>
      <c r="HX617">
        <v>342.3</v>
      </c>
      <c r="HZ617">
        <v>866.2</v>
      </c>
      <c r="IA617">
        <v>1142.8</v>
      </c>
      <c r="IB617">
        <v>1121.5</v>
      </c>
      <c r="IC617">
        <v>2403</v>
      </c>
      <c r="ID617">
        <v>2659.3</v>
      </c>
      <c r="IE617">
        <v>1923.4</v>
      </c>
      <c r="IF617">
        <v>1465.7</v>
      </c>
      <c r="IG617">
        <v>1608.3</v>
      </c>
      <c r="IH617">
        <v>0</v>
      </c>
      <c r="II617">
        <v>0</v>
      </c>
      <c r="IJ617">
        <v>0</v>
      </c>
      <c r="IK617">
        <v>0</v>
      </c>
      <c r="IL617">
        <v>0</v>
      </c>
      <c r="IM617">
        <v>0</v>
      </c>
      <c r="IN617">
        <v>0</v>
      </c>
      <c r="IO617">
        <v>0</v>
      </c>
      <c r="IP617">
        <v>75.099999999999994</v>
      </c>
    </row>
    <row r="618" spans="1:250" ht="18" thickBot="1">
      <c r="A618" s="556"/>
      <c r="B618" s="556"/>
      <c r="C618" s="507"/>
      <c r="D618" s="559"/>
      <c r="E618" s="454">
        <v>0</v>
      </c>
      <c r="F618">
        <v>0</v>
      </c>
      <c r="G618" s="427">
        <v>0</v>
      </c>
      <c r="H618" s="155">
        <v>0</v>
      </c>
      <c r="I618">
        <v>0</v>
      </c>
      <c r="J618">
        <v>0</v>
      </c>
      <c r="K618">
        <v>0</v>
      </c>
      <c r="L618" s="4">
        <v>0</v>
      </c>
      <c r="M618" s="4">
        <v>0</v>
      </c>
      <c r="N618" s="4">
        <v>0</v>
      </c>
      <c r="O618" s="4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R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G618">
        <v>0</v>
      </c>
      <c r="BI618">
        <v>0</v>
      </c>
      <c r="BK618">
        <v>0</v>
      </c>
      <c r="BL618">
        <v>0</v>
      </c>
      <c r="BM618">
        <v>0</v>
      </c>
      <c r="BN618">
        <v>0</v>
      </c>
      <c r="BO618">
        <v>344.70000000000005</v>
      </c>
      <c r="BP618">
        <v>625.70000000000005</v>
      </c>
      <c r="BQ618">
        <v>912.2</v>
      </c>
      <c r="BR618">
        <v>237.7</v>
      </c>
      <c r="BS618">
        <v>0</v>
      </c>
      <c r="BT618">
        <v>0</v>
      </c>
      <c r="BU618">
        <v>0</v>
      </c>
      <c r="BV618">
        <v>0</v>
      </c>
      <c r="BW618">
        <v>1647.4</v>
      </c>
      <c r="BY618">
        <v>453.1</v>
      </c>
      <c r="CA618">
        <v>285.39999999999998</v>
      </c>
      <c r="CB618">
        <v>280.8</v>
      </c>
      <c r="CC618">
        <v>127.7</v>
      </c>
      <c r="CD618">
        <v>0</v>
      </c>
      <c r="CE618">
        <v>0</v>
      </c>
      <c r="CF618">
        <v>0</v>
      </c>
      <c r="CG618">
        <v>0</v>
      </c>
      <c r="CI618">
        <v>0</v>
      </c>
      <c r="CJ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621.70000000000005</v>
      </c>
      <c r="CR618">
        <v>481.70000000000005</v>
      </c>
      <c r="CS618">
        <v>0</v>
      </c>
      <c r="CT618">
        <v>524.6</v>
      </c>
      <c r="CU618">
        <v>514.1</v>
      </c>
      <c r="CV618">
        <v>175.2</v>
      </c>
      <c r="CW618">
        <v>0</v>
      </c>
      <c r="CX618">
        <v>65.099999999999994</v>
      </c>
      <c r="CY618">
        <v>199</v>
      </c>
      <c r="CZ618">
        <v>1907.9</v>
      </c>
      <c r="DA618">
        <v>0</v>
      </c>
      <c r="DB618">
        <v>0</v>
      </c>
      <c r="DC618">
        <v>0</v>
      </c>
      <c r="DD618">
        <v>0</v>
      </c>
      <c r="DE618">
        <v>0</v>
      </c>
      <c r="DF618">
        <v>0</v>
      </c>
      <c r="DG618">
        <v>0</v>
      </c>
      <c r="DH618">
        <v>0</v>
      </c>
      <c r="DI618">
        <v>0</v>
      </c>
      <c r="DJ618">
        <v>0</v>
      </c>
      <c r="DK618">
        <v>0</v>
      </c>
      <c r="DL618">
        <v>0</v>
      </c>
      <c r="DM618">
        <v>1065.4000000000001</v>
      </c>
      <c r="DN618">
        <v>599.70000000000005</v>
      </c>
      <c r="DO618">
        <v>319.7</v>
      </c>
      <c r="DP618">
        <v>1570.6999999999998</v>
      </c>
      <c r="DQ618">
        <v>1399.5</v>
      </c>
      <c r="DR618">
        <v>3581</v>
      </c>
      <c r="DU618">
        <v>1393.2</v>
      </c>
      <c r="DV618">
        <v>2862.6</v>
      </c>
      <c r="DY618">
        <v>2361</v>
      </c>
      <c r="EA618">
        <v>2409.6</v>
      </c>
      <c r="EC618">
        <v>1661.3999999999999</v>
      </c>
      <c r="EE618">
        <v>0</v>
      </c>
      <c r="EF618">
        <v>0</v>
      </c>
      <c r="EG618">
        <v>0</v>
      </c>
      <c r="EH618">
        <v>0</v>
      </c>
      <c r="EI618">
        <v>0</v>
      </c>
      <c r="EJ618">
        <v>0</v>
      </c>
      <c r="EK618">
        <v>0</v>
      </c>
      <c r="EL618">
        <v>0</v>
      </c>
      <c r="EM618">
        <v>0</v>
      </c>
      <c r="EN618">
        <v>0</v>
      </c>
      <c r="EO618">
        <v>0</v>
      </c>
      <c r="EP618">
        <v>944.5</v>
      </c>
      <c r="EQ618">
        <v>3459.7</v>
      </c>
      <c r="ER618">
        <v>1353.5</v>
      </c>
      <c r="ES618">
        <v>182.2</v>
      </c>
      <c r="ET618">
        <v>855.59999999999991</v>
      </c>
      <c r="EU618">
        <v>172.2</v>
      </c>
      <c r="EV618">
        <v>203.2</v>
      </c>
      <c r="EW618">
        <v>1173.0999999999999</v>
      </c>
      <c r="EX618">
        <v>1078.3</v>
      </c>
      <c r="EY618">
        <v>1194.4000000000001</v>
      </c>
      <c r="EZ618">
        <v>1207.0999999999999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</v>
      </c>
      <c r="FH618">
        <v>0</v>
      </c>
      <c r="FI618">
        <v>0</v>
      </c>
      <c r="FJ618">
        <v>0</v>
      </c>
      <c r="FK618">
        <v>0</v>
      </c>
      <c r="FL618">
        <v>0</v>
      </c>
      <c r="FM618">
        <v>0</v>
      </c>
      <c r="FN618">
        <v>0</v>
      </c>
      <c r="FO618">
        <v>0</v>
      </c>
      <c r="FP618">
        <v>0</v>
      </c>
      <c r="FQ618">
        <v>0</v>
      </c>
      <c r="FR618">
        <v>0</v>
      </c>
      <c r="FS618">
        <v>0</v>
      </c>
      <c r="FT618">
        <v>0</v>
      </c>
      <c r="FU618">
        <v>0</v>
      </c>
      <c r="FV618">
        <v>0</v>
      </c>
      <c r="FW618">
        <v>0</v>
      </c>
      <c r="FX618">
        <v>0</v>
      </c>
      <c r="FY618">
        <v>0</v>
      </c>
      <c r="FZ618">
        <v>0</v>
      </c>
      <c r="GA618">
        <v>0</v>
      </c>
      <c r="GB618">
        <v>0</v>
      </c>
      <c r="GC618">
        <v>0</v>
      </c>
      <c r="GD618">
        <v>0</v>
      </c>
      <c r="GE618">
        <v>0</v>
      </c>
      <c r="GF618">
        <v>0</v>
      </c>
      <c r="GG618">
        <v>0</v>
      </c>
      <c r="GH618">
        <v>0</v>
      </c>
      <c r="GI618">
        <v>0</v>
      </c>
      <c r="GJ618">
        <v>0</v>
      </c>
      <c r="GK618">
        <v>0</v>
      </c>
      <c r="GL618">
        <v>0</v>
      </c>
      <c r="GO618">
        <v>0</v>
      </c>
      <c r="GP618">
        <v>0</v>
      </c>
      <c r="GQ618">
        <v>0</v>
      </c>
      <c r="GR618">
        <v>0</v>
      </c>
      <c r="GS618">
        <v>0</v>
      </c>
      <c r="GT618">
        <v>0</v>
      </c>
      <c r="GU618">
        <v>0</v>
      </c>
      <c r="GV618">
        <v>0</v>
      </c>
      <c r="GW618">
        <v>0</v>
      </c>
      <c r="GX618">
        <v>0</v>
      </c>
      <c r="GY618">
        <v>0</v>
      </c>
      <c r="GZ618">
        <v>0</v>
      </c>
      <c r="HA618">
        <v>0</v>
      </c>
      <c r="HB618">
        <v>0</v>
      </c>
      <c r="HC618">
        <v>0</v>
      </c>
      <c r="HD618">
        <v>0</v>
      </c>
      <c r="HE618">
        <v>0</v>
      </c>
      <c r="HF618">
        <v>0</v>
      </c>
      <c r="HG618">
        <v>0</v>
      </c>
      <c r="HH618">
        <v>0</v>
      </c>
      <c r="HI618">
        <v>0</v>
      </c>
      <c r="HJ618">
        <v>0</v>
      </c>
      <c r="HK618">
        <v>0</v>
      </c>
      <c r="HL618">
        <v>0</v>
      </c>
      <c r="HM618">
        <v>0</v>
      </c>
      <c r="HN618">
        <v>0</v>
      </c>
      <c r="HO618">
        <v>0</v>
      </c>
      <c r="HP618">
        <v>0</v>
      </c>
      <c r="HQ618">
        <v>0</v>
      </c>
      <c r="HR618">
        <v>0</v>
      </c>
      <c r="HS618">
        <v>0</v>
      </c>
      <c r="HT618">
        <v>0</v>
      </c>
      <c r="HU618">
        <v>0</v>
      </c>
      <c r="HV618">
        <v>0</v>
      </c>
      <c r="HW618">
        <v>404.70000000000005</v>
      </c>
      <c r="HX618">
        <v>342.3</v>
      </c>
      <c r="HZ618">
        <v>866.2</v>
      </c>
      <c r="IA618">
        <v>1142.8</v>
      </c>
      <c r="IB618">
        <v>1121.5</v>
      </c>
      <c r="IC618">
        <v>2403</v>
      </c>
      <c r="ID618">
        <v>2659.3</v>
      </c>
      <c r="IE618">
        <v>1923.4</v>
      </c>
      <c r="IF618">
        <v>1465.7</v>
      </c>
      <c r="IG618">
        <v>1608.3</v>
      </c>
      <c r="IH618">
        <v>0</v>
      </c>
      <c r="II618">
        <v>0</v>
      </c>
      <c r="IJ618">
        <v>0</v>
      </c>
      <c r="IK618">
        <v>0</v>
      </c>
      <c r="IL618">
        <v>0</v>
      </c>
      <c r="IM618">
        <v>0</v>
      </c>
      <c r="IN618">
        <v>0</v>
      </c>
      <c r="IO618">
        <v>0</v>
      </c>
      <c r="IP618">
        <v>75.099999999999994</v>
      </c>
    </row>
    <row r="619" spans="1:250" ht="18" thickBot="1">
      <c r="A619" s="245"/>
      <c r="B619" s="245" t="s">
        <v>571</v>
      </c>
      <c r="C619" s="88" t="s">
        <v>1071</v>
      </c>
      <c r="D619" s="399" t="s">
        <v>1212</v>
      </c>
      <c r="E619" s="454">
        <v>0</v>
      </c>
      <c r="F619">
        <v>0</v>
      </c>
      <c r="G619" s="427">
        <v>0</v>
      </c>
      <c r="H619" s="155">
        <v>0</v>
      </c>
      <c r="I619">
        <v>0</v>
      </c>
      <c r="J619">
        <v>0</v>
      </c>
      <c r="K619">
        <v>0</v>
      </c>
      <c r="L619" s="4">
        <v>0</v>
      </c>
      <c r="M619" s="4">
        <v>0</v>
      </c>
      <c r="N619" s="4">
        <v>0</v>
      </c>
      <c r="O619" s="4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R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G619">
        <v>0</v>
      </c>
      <c r="BI619">
        <v>0</v>
      </c>
      <c r="BK619">
        <v>0</v>
      </c>
      <c r="BL619">
        <v>0</v>
      </c>
      <c r="BM619">
        <v>0</v>
      </c>
      <c r="BN619">
        <v>0</v>
      </c>
      <c r="BO619">
        <v>344.70000000000005</v>
      </c>
      <c r="BP619">
        <v>625.70000000000005</v>
      </c>
      <c r="BQ619">
        <v>912.2</v>
      </c>
      <c r="BR619">
        <v>237.7</v>
      </c>
      <c r="BS619">
        <v>0</v>
      </c>
      <c r="BT619">
        <v>0</v>
      </c>
      <c r="BU619">
        <v>0</v>
      </c>
      <c r="BV619">
        <v>0</v>
      </c>
      <c r="BW619">
        <v>1647.4</v>
      </c>
      <c r="BY619">
        <v>453.1</v>
      </c>
      <c r="CA619">
        <v>285.39999999999998</v>
      </c>
      <c r="CB619">
        <v>280.8</v>
      </c>
      <c r="CC619">
        <v>127.7</v>
      </c>
      <c r="CD619">
        <v>0</v>
      </c>
      <c r="CE619">
        <v>0</v>
      </c>
      <c r="CF619">
        <v>0</v>
      </c>
      <c r="CG619">
        <v>0</v>
      </c>
      <c r="CI619">
        <v>0</v>
      </c>
      <c r="CJ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621.70000000000005</v>
      </c>
      <c r="CR619">
        <v>481.70000000000005</v>
      </c>
      <c r="CS619">
        <v>0</v>
      </c>
      <c r="CT619">
        <v>524.6</v>
      </c>
      <c r="CU619">
        <v>514.1</v>
      </c>
      <c r="CV619">
        <v>175.2</v>
      </c>
      <c r="CW619">
        <v>0</v>
      </c>
      <c r="CX619">
        <v>65.099999999999994</v>
      </c>
      <c r="CY619">
        <v>199</v>
      </c>
      <c r="CZ619">
        <v>1907.9</v>
      </c>
      <c r="DA619">
        <v>0</v>
      </c>
      <c r="DB619">
        <v>0</v>
      </c>
      <c r="DC619">
        <v>0</v>
      </c>
      <c r="DD619">
        <v>0</v>
      </c>
      <c r="DE619">
        <v>0</v>
      </c>
      <c r="DF619">
        <v>0</v>
      </c>
      <c r="DG619">
        <v>0</v>
      </c>
      <c r="DH619">
        <v>0</v>
      </c>
      <c r="DI619">
        <v>0</v>
      </c>
      <c r="DJ619">
        <v>0</v>
      </c>
      <c r="DK619">
        <v>0</v>
      </c>
      <c r="DL619">
        <v>0</v>
      </c>
      <c r="DM619">
        <v>1065.4000000000001</v>
      </c>
      <c r="DN619">
        <v>599.70000000000005</v>
      </c>
      <c r="DO619">
        <v>319.7</v>
      </c>
      <c r="DP619">
        <v>1570.6999999999998</v>
      </c>
      <c r="DQ619">
        <v>1399.5</v>
      </c>
      <c r="DR619">
        <v>3581</v>
      </c>
      <c r="DU619">
        <v>1393.2</v>
      </c>
      <c r="DV619">
        <v>2862.6</v>
      </c>
      <c r="DY619">
        <v>2361</v>
      </c>
      <c r="EA619">
        <v>2409.6</v>
      </c>
      <c r="EC619">
        <v>1661.3999999999999</v>
      </c>
      <c r="EE619">
        <v>0</v>
      </c>
      <c r="EF619">
        <v>0</v>
      </c>
      <c r="EG619">
        <v>0</v>
      </c>
      <c r="EH619">
        <v>0</v>
      </c>
      <c r="EI619">
        <v>0</v>
      </c>
      <c r="EJ619">
        <v>0</v>
      </c>
      <c r="EK619">
        <v>0</v>
      </c>
      <c r="EL619">
        <v>0</v>
      </c>
      <c r="EM619">
        <v>0</v>
      </c>
      <c r="EN619">
        <v>0</v>
      </c>
      <c r="EO619">
        <v>0</v>
      </c>
      <c r="EP619">
        <v>944.5</v>
      </c>
      <c r="EQ619">
        <v>3459.7</v>
      </c>
      <c r="ER619">
        <v>1353.5</v>
      </c>
      <c r="ES619">
        <v>182.2</v>
      </c>
      <c r="ET619">
        <v>855.59999999999991</v>
      </c>
      <c r="EU619">
        <v>172.2</v>
      </c>
      <c r="EV619">
        <v>203.2</v>
      </c>
      <c r="EW619">
        <v>1173.0999999999999</v>
      </c>
      <c r="EX619">
        <v>1078.3</v>
      </c>
      <c r="EY619">
        <v>1194.4000000000001</v>
      </c>
      <c r="EZ619">
        <v>1207.0999999999999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0</v>
      </c>
      <c r="FH619">
        <v>0</v>
      </c>
      <c r="FI619">
        <v>0</v>
      </c>
      <c r="FJ619">
        <v>0</v>
      </c>
      <c r="FK619">
        <v>0</v>
      </c>
      <c r="FL619">
        <v>0</v>
      </c>
      <c r="FM619">
        <v>0</v>
      </c>
      <c r="FN619">
        <v>0</v>
      </c>
      <c r="FO619">
        <v>0</v>
      </c>
      <c r="FP619">
        <v>0</v>
      </c>
      <c r="FQ619">
        <v>0</v>
      </c>
      <c r="FR619">
        <v>0</v>
      </c>
      <c r="FS619">
        <v>0</v>
      </c>
      <c r="FT619">
        <v>0</v>
      </c>
      <c r="FU619">
        <v>0</v>
      </c>
      <c r="FV619">
        <v>0</v>
      </c>
      <c r="FW619">
        <v>0</v>
      </c>
      <c r="FX619">
        <v>0</v>
      </c>
      <c r="FY619">
        <v>0</v>
      </c>
      <c r="FZ619">
        <v>0</v>
      </c>
      <c r="GA619">
        <v>0</v>
      </c>
      <c r="GB619">
        <v>0</v>
      </c>
      <c r="GC619">
        <v>0</v>
      </c>
      <c r="GD619">
        <v>0</v>
      </c>
      <c r="GE619">
        <v>0</v>
      </c>
      <c r="GF619">
        <v>0</v>
      </c>
      <c r="GG619">
        <v>0</v>
      </c>
      <c r="GH619">
        <v>0</v>
      </c>
      <c r="GI619">
        <v>0</v>
      </c>
      <c r="GJ619">
        <v>0</v>
      </c>
      <c r="GK619">
        <v>0</v>
      </c>
      <c r="GL619">
        <v>0</v>
      </c>
      <c r="GO619">
        <v>0</v>
      </c>
      <c r="GP619">
        <v>0</v>
      </c>
      <c r="GQ619">
        <v>0</v>
      </c>
      <c r="GR619">
        <v>0</v>
      </c>
      <c r="GS619">
        <v>0</v>
      </c>
      <c r="GT619">
        <v>0</v>
      </c>
      <c r="GU619">
        <v>0</v>
      </c>
      <c r="GV619">
        <v>0</v>
      </c>
      <c r="GW619">
        <v>0</v>
      </c>
      <c r="GX619">
        <v>0</v>
      </c>
      <c r="GY619">
        <v>0</v>
      </c>
      <c r="GZ619">
        <v>0</v>
      </c>
      <c r="HA619">
        <v>0</v>
      </c>
      <c r="HB619">
        <v>0</v>
      </c>
      <c r="HC619">
        <v>0</v>
      </c>
      <c r="HD619">
        <v>0</v>
      </c>
      <c r="HE619">
        <v>0</v>
      </c>
      <c r="HF619">
        <v>0</v>
      </c>
      <c r="HG619">
        <v>0</v>
      </c>
      <c r="HH619">
        <v>0</v>
      </c>
      <c r="HI619">
        <v>0</v>
      </c>
      <c r="HJ619">
        <v>0</v>
      </c>
      <c r="HK619">
        <v>0</v>
      </c>
      <c r="HL619">
        <v>0</v>
      </c>
      <c r="HM619">
        <v>0</v>
      </c>
      <c r="HN619">
        <v>0</v>
      </c>
      <c r="HO619">
        <v>0</v>
      </c>
      <c r="HP619">
        <v>0</v>
      </c>
      <c r="HQ619">
        <v>0</v>
      </c>
      <c r="HR619">
        <v>0</v>
      </c>
      <c r="HS619">
        <v>0</v>
      </c>
      <c r="HT619">
        <v>0</v>
      </c>
      <c r="HU619">
        <v>0</v>
      </c>
      <c r="HV619">
        <v>0</v>
      </c>
      <c r="HW619">
        <v>404.70000000000005</v>
      </c>
      <c r="HX619">
        <v>342.3</v>
      </c>
      <c r="HZ619">
        <v>866.2</v>
      </c>
      <c r="IA619">
        <v>1142.8</v>
      </c>
      <c r="IB619">
        <v>1121.5</v>
      </c>
      <c r="IC619">
        <v>2403</v>
      </c>
      <c r="ID619">
        <v>2659.3</v>
      </c>
      <c r="IE619">
        <v>1923.4</v>
      </c>
      <c r="IF619">
        <v>1465.7</v>
      </c>
      <c r="IG619">
        <v>1608.3</v>
      </c>
      <c r="IH619">
        <v>0</v>
      </c>
      <c r="II619">
        <v>0</v>
      </c>
      <c r="IJ619">
        <v>0</v>
      </c>
      <c r="IK619">
        <v>0</v>
      </c>
      <c r="IL619">
        <v>0</v>
      </c>
      <c r="IM619">
        <v>0</v>
      </c>
      <c r="IN619">
        <v>0</v>
      </c>
      <c r="IO619">
        <v>0</v>
      </c>
      <c r="IP619">
        <v>75.099999999999994</v>
      </c>
    </row>
    <row r="620" spans="1:250" ht="18" thickBot="1">
      <c r="A620" s="245"/>
      <c r="B620" s="245" t="s">
        <v>572</v>
      </c>
      <c r="C620" s="88" t="s">
        <v>1072</v>
      </c>
      <c r="D620" s="399" t="s">
        <v>1213</v>
      </c>
      <c r="E620" s="454">
        <v>0</v>
      </c>
      <c r="F620">
        <v>0</v>
      </c>
      <c r="G620" s="427">
        <v>0</v>
      </c>
      <c r="H620" s="155">
        <v>0</v>
      </c>
      <c r="I620">
        <v>0</v>
      </c>
      <c r="J620">
        <v>0</v>
      </c>
      <c r="K620">
        <v>0</v>
      </c>
      <c r="L620" s="4">
        <v>0</v>
      </c>
      <c r="M620" s="4">
        <v>0</v>
      </c>
      <c r="N620" s="4">
        <v>0</v>
      </c>
      <c r="O620" s="4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R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G620">
        <v>0</v>
      </c>
      <c r="BI620">
        <v>0</v>
      </c>
      <c r="BK620">
        <v>0</v>
      </c>
      <c r="BL620">
        <v>0</v>
      </c>
      <c r="BM620">
        <v>0</v>
      </c>
      <c r="BN620">
        <v>0</v>
      </c>
      <c r="BO620">
        <v>344.70000000000005</v>
      </c>
      <c r="BP620">
        <v>625.70000000000005</v>
      </c>
      <c r="BQ620">
        <v>912.2</v>
      </c>
      <c r="BR620">
        <v>237.7</v>
      </c>
      <c r="BS620">
        <v>0</v>
      </c>
      <c r="BT620">
        <v>0</v>
      </c>
      <c r="BU620">
        <v>0</v>
      </c>
      <c r="BV620">
        <v>0</v>
      </c>
      <c r="BW620">
        <v>1647.4</v>
      </c>
      <c r="BY620">
        <v>453.1</v>
      </c>
      <c r="CA620">
        <v>285.39999999999998</v>
      </c>
      <c r="CB620">
        <v>280.8</v>
      </c>
      <c r="CC620">
        <v>127.7</v>
      </c>
      <c r="CD620">
        <v>0</v>
      </c>
      <c r="CE620">
        <v>0</v>
      </c>
      <c r="CF620">
        <v>0</v>
      </c>
      <c r="CG620">
        <v>0</v>
      </c>
      <c r="CI620">
        <v>0</v>
      </c>
      <c r="CJ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621.70000000000005</v>
      </c>
      <c r="CR620">
        <v>481.70000000000005</v>
      </c>
      <c r="CS620">
        <v>0</v>
      </c>
      <c r="CT620">
        <v>524.6</v>
      </c>
      <c r="CU620">
        <v>514.1</v>
      </c>
      <c r="CV620">
        <v>175.2</v>
      </c>
      <c r="CW620">
        <v>0</v>
      </c>
      <c r="CX620">
        <v>65.099999999999994</v>
      </c>
      <c r="CY620">
        <v>199</v>
      </c>
      <c r="CZ620">
        <v>1907.9</v>
      </c>
      <c r="DA620">
        <v>0</v>
      </c>
      <c r="DB620">
        <v>0</v>
      </c>
      <c r="DC620">
        <v>0</v>
      </c>
      <c r="DD620">
        <v>0</v>
      </c>
      <c r="DE620">
        <v>0</v>
      </c>
      <c r="DF620">
        <v>0</v>
      </c>
      <c r="DG620">
        <v>0</v>
      </c>
      <c r="DH620">
        <v>0</v>
      </c>
      <c r="DI620">
        <v>0</v>
      </c>
      <c r="DJ620">
        <v>0</v>
      </c>
      <c r="DK620">
        <v>0</v>
      </c>
      <c r="DL620">
        <v>0</v>
      </c>
      <c r="DM620">
        <v>1065.4000000000001</v>
      </c>
      <c r="DN620">
        <v>599.70000000000005</v>
      </c>
      <c r="DO620">
        <v>319.7</v>
      </c>
      <c r="DP620">
        <v>1570.6999999999998</v>
      </c>
      <c r="DQ620">
        <v>1399.5</v>
      </c>
      <c r="DR620">
        <v>3581</v>
      </c>
      <c r="DU620">
        <v>1393.2</v>
      </c>
      <c r="DV620">
        <v>2862.6</v>
      </c>
      <c r="DY620">
        <v>2361</v>
      </c>
      <c r="EA620">
        <v>2409.6</v>
      </c>
      <c r="EC620">
        <v>1661.3999999999999</v>
      </c>
      <c r="EE620">
        <v>0</v>
      </c>
      <c r="EF620">
        <v>0</v>
      </c>
      <c r="EG620">
        <v>0</v>
      </c>
      <c r="EH620">
        <v>0</v>
      </c>
      <c r="EI620">
        <v>0</v>
      </c>
      <c r="EJ620">
        <v>0</v>
      </c>
      <c r="EK620">
        <v>0</v>
      </c>
      <c r="EL620">
        <v>0</v>
      </c>
      <c r="EM620">
        <v>0</v>
      </c>
      <c r="EN620">
        <v>0</v>
      </c>
      <c r="EO620">
        <v>0</v>
      </c>
      <c r="EP620">
        <v>944.5</v>
      </c>
      <c r="EQ620">
        <v>3459.7</v>
      </c>
      <c r="ER620">
        <v>1353.5</v>
      </c>
      <c r="ES620">
        <v>182.2</v>
      </c>
      <c r="ET620">
        <v>855.59999999999991</v>
      </c>
      <c r="EU620">
        <v>172.2</v>
      </c>
      <c r="EV620">
        <v>203.2</v>
      </c>
      <c r="EW620">
        <v>1173.0999999999999</v>
      </c>
      <c r="EX620">
        <v>1078.3</v>
      </c>
      <c r="EY620">
        <v>1194.4000000000001</v>
      </c>
      <c r="EZ620">
        <v>1207.0999999999999</v>
      </c>
      <c r="FA620">
        <v>0</v>
      </c>
      <c r="FB620">
        <v>0</v>
      </c>
      <c r="FC620">
        <v>0</v>
      </c>
      <c r="FD620">
        <v>0</v>
      </c>
      <c r="FE620">
        <v>0</v>
      </c>
      <c r="FF620">
        <v>0</v>
      </c>
      <c r="FG620">
        <v>0</v>
      </c>
      <c r="FH620">
        <v>0</v>
      </c>
      <c r="FI620">
        <v>0</v>
      </c>
      <c r="FJ620">
        <v>0</v>
      </c>
      <c r="FK620">
        <v>0</v>
      </c>
      <c r="FL620">
        <v>0</v>
      </c>
      <c r="FM620">
        <v>0</v>
      </c>
      <c r="FN620">
        <v>0</v>
      </c>
      <c r="FO620">
        <v>0</v>
      </c>
      <c r="FP620">
        <v>0</v>
      </c>
      <c r="FQ620">
        <v>0</v>
      </c>
      <c r="FR620">
        <v>0</v>
      </c>
      <c r="FS620">
        <v>0</v>
      </c>
      <c r="FT620">
        <v>0</v>
      </c>
      <c r="FU620">
        <v>0</v>
      </c>
      <c r="FV620">
        <v>0</v>
      </c>
      <c r="FW620">
        <v>0</v>
      </c>
      <c r="FX620">
        <v>0</v>
      </c>
      <c r="FY620">
        <v>0</v>
      </c>
      <c r="FZ620">
        <v>0</v>
      </c>
      <c r="GA620">
        <v>0</v>
      </c>
      <c r="GB620">
        <v>0</v>
      </c>
      <c r="GC620">
        <v>0</v>
      </c>
      <c r="GD620">
        <v>0</v>
      </c>
      <c r="GE620">
        <v>0</v>
      </c>
      <c r="GF620">
        <v>0</v>
      </c>
      <c r="GG620">
        <v>0</v>
      </c>
      <c r="GH620">
        <v>0</v>
      </c>
      <c r="GI620">
        <v>0</v>
      </c>
      <c r="GJ620">
        <v>0</v>
      </c>
      <c r="GK620">
        <v>0</v>
      </c>
      <c r="GL620">
        <v>0</v>
      </c>
      <c r="GO620">
        <v>0</v>
      </c>
      <c r="GP620">
        <v>0</v>
      </c>
      <c r="GQ620">
        <v>0</v>
      </c>
      <c r="GR620">
        <v>0</v>
      </c>
      <c r="GS620">
        <v>0</v>
      </c>
      <c r="GT620">
        <v>0</v>
      </c>
      <c r="GU620">
        <v>0</v>
      </c>
      <c r="GV620">
        <v>0</v>
      </c>
      <c r="GW620">
        <v>0</v>
      </c>
      <c r="GX620">
        <v>0</v>
      </c>
      <c r="GY620">
        <v>0</v>
      </c>
      <c r="GZ620">
        <v>0</v>
      </c>
      <c r="HA620">
        <v>0</v>
      </c>
      <c r="HB620">
        <v>0</v>
      </c>
      <c r="HC620">
        <v>0</v>
      </c>
      <c r="HD620">
        <v>0</v>
      </c>
      <c r="HE620">
        <v>0</v>
      </c>
      <c r="HF620">
        <v>0</v>
      </c>
      <c r="HG620">
        <v>0</v>
      </c>
      <c r="HH620">
        <v>0</v>
      </c>
      <c r="HI620">
        <v>0</v>
      </c>
      <c r="HJ620">
        <v>0</v>
      </c>
      <c r="HK620">
        <v>0</v>
      </c>
      <c r="HL620">
        <v>0</v>
      </c>
      <c r="HM620">
        <v>0</v>
      </c>
      <c r="HN620">
        <v>0</v>
      </c>
      <c r="HO620">
        <v>0</v>
      </c>
      <c r="HP620">
        <v>0</v>
      </c>
      <c r="HQ620">
        <v>0</v>
      </c>
      <c r="HR620">
        <v>0</v>
      </c>
      <c r="HS620">
        <v>0</v>
      </c>
      <c r="HT620">
        <v>0</v>
      </c>
      <c r="HU620">
        <v>0</v>
      </c>
      <c r="HV620">
        <v>0</v>
      </c>
      <c r="HW620">
        <v>404.70000000000005</v>
      </c>
      <c r="HX620">
        <v>342.3</v>
      </c>
      <c r="HZ620">
        <v>866.2</v>
      </c>
      <c r="IA620">
        <v>1142.8</v>
      </c>
      <c r="IB620">
        <v>1121.5</v>
      </c>
      <c r="IC620">
        <v>2403</v>
      </c>
      <c r="ID620">
        <v>2659.3</v>
      </c>
      <c r="IE620">
        <v>1923.4</v>
      </c>
      <c r="IF620">
        <v>1465.7</v>
      </c>
      <c r="IG620">
        <v>1608.3</v>
      </c>
      <c r="IH620">
        <v>0</v>
      </c>
      <c r="II620">
        <v>0</v>
      </c>
      <c r="IJ620">
        <v>0</v>
      </c>
      <c r="IK620">
        <v>0</v>
      </c>
      <c r="IL620">
        <v>0</v>
      </c>
      <c r="IM620">
        <v>0</v>
      </c>
      <c r="IN620">
        <v>0</v>
      </c>
      <c r="IO620">
        <v>0</v>
      </c>
      <c r="IP620">
        <v>75.099999999999994</v>
      </c>
    </row>
    <row r="621" spans="1:250" ht="18" thickBot="1">
      <c r="A621" s="246"/>
      <c r="B621" s="246" t="s">
        <v>573</v>
      </c>
      <c r="C621" s="329" t="s">
        <v>1073</v>
      </c>
      <c r="D621" s="399" t="s">
        <v>769</v>
      </c>
      <c r="E621" s="454">
        <v>0</v>
      </c>
      <c r="F621">
        <v>0</v>
      </c>
      <c r="G621" s="427">
        <v>0</v>
      </c>
      <c r="H621" s="155">
        <v>0</v>
      </c>
      <c r="I621">
        <v>0</v>
      </c>
      <c r="J621">
        <v>0</v>
      </c>
      <c r="K621">
        <v>0</v>
      </c>
      <c r="L621" s="4">
        <v>0</v>
      </c>
      <c r="M621" s="4">
        <v>0</v>
      </c>
      <c r="N621" s="4">
        <v>0</v>
      </c>
      <c r="O621" s="4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R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G621">
        <v>0</v>
      </c>
      <c r="BI621">
        <v>0</v>
      </c>
      <c r="BK621">
        <v>0</v>
      </c>
      <c r="BL621">
        <v>0</v>
      </c>
      <c r="BM621">
        <v>0</v>
      </c>
      <c r="BN621">
        <v>0</v>
      </c>
      <c r="BO621">
        <v>344.70000000000005</v>
      </c>
      <c r="BP621">
        <v>625.70000000000005</v>
      </c>
      <c r="BQ621">
        <v>912.2</v>
      </c>
      <c r="BR621">
        <v>237.7</v>
      </c>
      <c r="BS621">
        <v>0</v>
      </c>
      <c r="BT621">
        <v>0</v>
      </c>
      <c r="BU621">
        <v>0</v>
      </c>
      <c r="BV621">
        <v>0</v>
      </c>
      <c r="BW621">
        <v>1647.4</v>
      </c>
      <c r="BY621">
        <v>453.1</v>
      </c>
      <c r="CA621">
        <v>285.39999999999998</v>
      </c>
      <c r="CB621">
        <v>280.8</v>
      </c>
      <c r="CC621">
        <v>127.7</v>
      </c>
      <c r="CD621">
        <v>0</v>
      </c>
      <c r="CE621">
        <v>0</v>
      </c>
      <c r="CF621">
        <v>0</v>
      </c>
      <c r="CG621">
        <v>0</v>
      </c>
      <c r="CI621">
        <v>0</v>
      </c>
      <c r="CJ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621.70000000000005</v>
      </c>
      <c r="CR621">
        <v>481.70000000000005</v>
      </c>
      <c r="CS621">
        <v>0</v>
      </c>
      <c r="CT621">
        <v>524.6</v>
      </c>
      <c r="CU621">
        <v>514.1</v>
      </c>
      <c r="CV621">
        <v>175.2</v>
      </c>
      <c r="CW621">
        <v>0</v>
      </c>
      <c r="CX621">
        <v>65.099999999999994</v>
      </c>
      <c r="CY621">
        <v>199</v>
      </c>
      <c r="CZ621">
        <v>1907.9</v>
      </c>
      <c r="DA621">
        <v>0</v>
      </c>
      <c r="DB621">
        <v>0</v>
      </c>
      <c r="DC621">
        <v>0</v>
      </c>
      <c r="DD621">
        <v>0</v>
      </c>
      <c r="DE621">
        <v>0</v>
      </c>
      <c r="DF621">
        <v>0</v>
      </c>
      <c r="DG621">
        <v>0</v>
      </c>
      <c r="DH621">
        <v>0</v>
      </c>
      <c r="DI621">
        <v>0</v>
      </c>
      <c r="DJ621">
        <v>0</v>
      </c>
      <c r="DK621">
        <v>0</v>
      </c>
      <c r="DL621">
        <v>0</v>
      </c>
      <c r="DM621">
        <v>1065.4000000000001</v>
      </c>
      <c r="DN621">
        <v>599.70000000000005</v>
      </c>
      <c r="DO621">
        <v>319.7</v>
      </c>
      <c r="DP621">
        <v>1570.6999999999998</v>
      </c>
      <c r="DQ621">
        <v>1399.5</v>
      </c>
      <c r="DR621">
        <v>3581</v>
      </c>
      <c r="DU621">
        <v>1393.2</v>
      </c>
      <c r="DV621">
        <v>2862.6</v>
      </c>
      <c r="DY621">
        <v>2361</v>
      </c>
      <c r="EA621">
        <v>2409.6</v>
      </c>
      <c r="EC621">
        <v>1661.3999999999999</v>
      </c>
      <c r="EE621">
        <v>0</v>
      </c>
      <c r="EF621">
        <v>0</v>
      </c>
      <c r="EG621">
        <v>0</v>
      </c>
      <c r="EH621">
        <v>0</v>
      </c>
      <c r="EI621">
        <v>0</v>
      </c>
      <c r="EJ621">
        <v>0</v>
      </c>
      <c r="EK621">
        <v>0</v>
      </c>
      <c r="EL621">
        <v>0</v>
      </c>
      <c r="EM621">
        <v>0</v>
      </c>
      <c r="EN621">
        <v>0</v>
      </c>
      <c r="EO621">
        <v>0</v>
      </c>
      <c r="EP621">
        <v>944.5</v>
      </c>
      <c r="EQ621">
        <v>3459.7</v>
      </c>
      <c r="ER621">
        <v>1353.5</v>
      </c>
      <c r="ES621">
        <v>182.2</v>
      </c>
      <c r="ET621">
        <v>855.59999999999991</v>
      </c>
      <c r="EU621">
        <v>172.2</v>
      </c>
      <c r="EV621">
        <v>203.2</v>
      </c>
      <c r="EW621">
        <v>1173.0999999999999</v>
      </c>
      <c r="EX621">
        <v>1078.3</v>
      </c>
      <c r="EY621">
        <v>1194.4000000000001</v>
      </c>
      <c r="EZ621">
        <v>1207.0999999999999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0</v>
      </c>
      <c r="FH621">
        <v>0</v>
      </c>
      <c r="FI621">
        <v>0</v>
      </c>
      <c r="FJ621">
        <v>0</v>
      </c>
      <c r="FK621">
        <v>0</v>
      </c>
      <c r="FL621">
        <v>0</v>
      </c>
      <c r="FM621">
        <v>0</v>
      </c>
      <c r="FN621">
        <v>0</v>
      </c>
      <c r="FO621">
        <v>0</v>
      </c>
      <c r="FP621">
        <v>0</v>
      </c>
      <c r="FQ621">
        <v>0</v>
      </c>
      <c r="FR621">
        <v>0</v>
      </c>
      <c r="FS621">
        <v>0</v>
      </c>
      <c r="FT621">
        <v>0</v>
      </c>
      <c r="FU621">
        <v>0</v>
      </c>
      <c r="FV621">
        <v>0</v>
      </c>
      <c r="FW621">
        <v>0</v>
      </c>
      <c r="FX621">
        <v>0</v>
      </c>
      <c r="FY621">
        <v>0</v>
      </c>
      <c r="FZ621">
        <v>0</v>
      </c>
      <c r="GA621">
        <v>0</v>
      </c>
      <c r="GB621">
        <v>0</v>
      </c>
      <c r="GC621">
        <v>0</v>
      </c>
      <c r="GD621">
        <v>0</v>
      </c>
      <c r="GE621">
        <v>0</v>
      </c>
      <c r="GF621">
        <v>0</v>
      </c>
      <c r="GG621">
        <v>0</v>
      </c>
      <c r="GH621">
        <v>0</v>
      </c>
      <c r="GI621">
        <v>0</v>
      </c>
      <c r="GJ621">
        <v>0</v>
      </c>
      <c r="GK621">
        <v>0</v>
      </c>
      <c r="GL621">
        <v>0</v>
      </c>
      <c r="GO621">
        <v>0</v>
      </c>
      <c r="GP621">
        <v>0</v>
      </c>
      <c r="GQ621">
        <v>0</v>
      </c>
      <c r="GR621">
        <v>0</v>
      </c>
      <c r="GS621">
        <v>0</v>
      </c>
      <c r="GT621">
        <v>0</v>
      </c>
      <c r="GU621">
        <v>0</v>
      </c>
      <c r="GV621">
        <v>0</v>
      </c>
      <c r="GW621">
        <v>0</v>
      </c>
      <c r="GX621">
        <v>0</v>
      </c>
      <c r="GY621">
        <v>0</v>
      </c>
      <c r="GZ621">
        <v>0</v>
      </c>
      <c r="HA621">
        <v>0</v>
      </c>
      <c r="HB621">
        <v>0</v>
      </c>
      <c r="HC621">
        <v>0</v>
      </c>
      <c r="HD621">
        <v>0</v>
      </c>
      <c r="HE621">
        <v>0</v>
      </c>
      <c r="HF621">
        <v>0</v>
      </c>
      <c r="HG621">
        <v>0</v>
      </c>
      <c r="HH621">
        <v>0</v>
      </c>
      <c r="HI621">
        <v>0</v>
      </c>
      <c r="HJ621">
        <v>0</v>
      </c>
      <c r="HK621">
        <v>0</v>
      </c>
      <c r="HL621">
        <v>0</v>
      </c>
      <c r="HM621">
        <v>0</v>
      </c>
      <c r="HN621">
        <v>0</v>
      </c>
      <c r="HO621">
        <v>0</v>
      </c>
      <c r="HP621">
        <v>0</v>
      </c>
      <c r="HQ621">
        <v>0</v>
      </c>
      <c r="HR621">
        <v>0</v>
      </c>
      <c r="HS621">
        <v>0</v>
      </c>
      <c r="HT621">
        <v>0</v>
      </c>
      <c r="HU621">
        <v>0</v>
      </c>
      <c r="HV621">
        <v>0</v>
      </c>
      <c r="HW621">
        <v>404.70000000000005</v>
      </c>
      <c r="HX621">
        <v>342.3</v>
      </c>
      <c r="HZ621">
        <v>866.2</v>
      </c>
      <c r="IA621">
        <v>1142.8</v>
      </c>
      <c r="IB621">
        <v>1121.5</v>
      </c>
      <c r="IC621">
        <v>2403</v>
      </c>
      <c r="ID621">
        <v>2659.3</v>
      </c>
      <c r="IE621">
        <v>1923.4</v>
      </c>
      <c r="IF621">
        <v>1465.7</v>
      </c>
      <c r="IG621">
        <v>1608.3</v>
      </c>
      <c r="IH621">
        <v>0</v>
      </c>
      <c r="II621">
        <v>0</v>
      </c>
      <c r="IJ621">
        <v>0</v>
      </c>
      <c r="IK621">
        <v>0</v>
      </c>
      <c r="IL621">
        <v>0</v>
      </c>
      <c r="IM621">
        <v>0</v>
      </c>
      <c r="IN621">
        <v>0</v>
      </c>
      <c r="IO621">
        <v>0</v>
      </c>
      <c r="IP621">
        <v>75.099999999999994</v>
      </c>
    </row>
    <row r="622" spans="1:250" ht="18.600000000000001" thickTop="1" thickBot="1">
      <c r="A622" s="181"/>
      <c r="B622" s="181" t="s">
        <v>483</v>
      </c>
      <c r="C622" s="330"/>
      <c r="D622" s="395"/>
      <c r="E622" s="454">
        <v>0</v>
      </c>
      <c r="F622">
        <v>0</v>
      </c>
      <c r="G622" s="427">
        <v>0</v>
      </c>
      <c r="H622" s="155">
        <v>0</v>
      </c>
      <c r="I622">
        <v>0</v>
      </c>
      <c r="J622">
        <v>0</v>
      </c>
      <c r="K622">
        <v>0</v>
      </c>
      <c r="L622" s="4">
        <v>0</v>
      </c>
      <c r="M622" s="4">
        <v>0</v>
      </c>
      <c r="N622" s="4">
        <v>0</v>
      </c>
      <c r="O622" s="4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R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G622">
        <v>0</v>
      </c>
      <c r="BI622">
        <v>0</v>
      </c>
      <c r="BK622">
        <v>0</v>
      </c>
      <c r="BL622">
        <v>0</v>
      </c>
      <c r="BM622">
        <v>0</v>
      </c>
      <c r="BN622">
        <v>0</v>
      </c>
      <c r="BO622">
        <v>344.70000000000005</v>
      </c>
      <c r="BP622">
        <v>625.70000000000005</v>
      </c>
      <c r="BQ622">
        <v>912.2</v>
      </c>
      <c r="BR622">
        <v>237.7</v>
      </c>
      <c r="BS622">
        <v>0</v>
      </c>
      <c r="BT622">
        <v>0</v>
      </c>
      <c r="BU622">
        <v>0</v>
      </c>
      <c r="BV622">
        <v>0</v>
      </c>
      <c r="BW622">
        <v>1647.4</v>
      </c>
      <c r="BY622">
        <v>453.1</v>
      </c>
      <c r="CA622">
        <v>285.39999999999998</v>
      </c>
      <c r="CB622">
        <v>280.8</v>
      </c>
      <c r="CC622">
        <v>127.7</v>
      </c>
      <c r="CD622">
        <v>0</v>
      </c>
      <c r="CE622">
        <v>0</v>
      </c>
      <c r="CF622">
        <v>0</v>
      </c>
      <c r="CG622">
        <v>0</v>
      </c>
      <c r="CI622">
        <v>0</v>
      </c>
      <c r="CJ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621.70000000000005</v>
      </c>
      <c r="CR622">
        <v>481.70000000000005</v>
      </c>
      <c r="CS622">
        <v>0</v>
      </c>
      <c r="CT622">
        <v>524.6</v>
      </c>
      <c r="CU622">
        <v>514.1</v>
      </c>
      <c r="CV622">
        <v>175.2</v>
      </c>
      <c r="CW622">
        <v>0</v>
      </c>
      <c r="CX622">
        <v>65.099999999999994</v>
      </c>
      <c r="CY622">
        <v>199</v>
      </c>
      <c r="CZ622">
        <v>1907.9</v>
      </c>
      <c r="DA622">
        <v>0</v>
      </c>
      <c r="DB622">
        <v>0</v>
      </c>
      <c r="DC622">
        <v>0</v>
      </c>
      <c r="DD622">
        <v>0</v>
      </c>
      <c r="DE622">
        <v>0</v>
      </c>
      <c r="DF622">
        <v>0</v>
      </c>
      <c r="DG622">
        <v>0</v>
      </c>
      <c r="DH622">
        <v>0</v>
      </c>
      <c r="DI622">
        <v>0</v>
      </c>
      <c r="DJ622">
        <v>0</v>
      </c>
      <c r="DK622">
        <v>0</v>
      </c>
      <c r="DL622">
        <v>0</v>
      </c>
      <c r="DM622">
        <v>1065.4000000000001</v>
      </c>
      <c r="DN622">
        <v>599.70000000000005</v>
      </c>
      <c r="DO622">
        <v>319.7</v>
      </c>
      <c r="DP622">
        <v>1570.6999999999998</v>
      </c>
      <c r="DQ622">
        <v>1399.5</v>
      </c>
      <c r="DR622">
        <v>3581</v>
      </c>
      <c r="DU622">
        <v>1393.2</v>
      </c>
      <c r="DV622">
        <v>2862.6</v>
      </c>
      <c r="DY622">
        <v>2361</v>
      </c>
      <c r="EA622">
        <v>2409.6</v>
      </c>
      <c r="EC622">
        <v>1661.3999999999999</v>
      </c>
      <c r="EE622">
        <v>0</v>
      </c>
      <c r="EF622">
        <v>0</v>
      </c>
      <c r="EG622">
        <v>0</v>
      </c>
      <c r="EH622">
        <v>0</v>
      </c>
      <c r="EI622">
        <v>0</v>
      </c>
      <c r="EJ622">
        <v>0</v>
      </c>
      <c r="EK622">
        <v>0</v>
      </c>
      <c r="EL622">
        <v>0</v>
      </c>
      <c r="EM622">
        <v>0</v>
      </c>
      <c r="EN622">
        <v>0</v>
      </c>
      <c r="EO622">
        <v>0</v>
      </c>
      <c r="EP622">
        <v>944.5</v>
      </c>
      <c r="EQ622">
        <v>3459.7</v>
      </c>
      <c r="ER622">
        <v>1353.5</v>
      </c>
      <c r="ES622">
        <v>182.2</v>
      </c>
      <c r="ET622">
        <v>855.59999999999991</v>
      </c>
      <c r="EU622">
        <v>172.2</v>
      </c>
      <c r="EV622">
        <v>203.2</v>
      </c>
      <c r="EW622">
        <v>1173.0999999999999</v>
      </c>
      <c r="EX622">
        <v>1078.3</v>
      </c>
      <c r="EY622">
        <v>1194.4000000000001</v>
      </c>
      <c r="EZ622">
        <v>1207.0999999999999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0</v>
      </c>
      <c r="FG622">
        <v>0</v>
      </c>
      <c r="FH622">
        <v>0</v>
      </c>
      <c r="FI622">
        <v>0</v>
      </c>
      <c r="FJ622">
        <v>0</v>
      </c>
      <c r="FK622">
        <v>0</v>
      </c>
      <c r="FL622">
        <v>0</v>
      </c>
      <c r="FM622">
        <v>0</v>
      </c>
      <c r="FN622">
        <v>0</v>
      </c>
      <c r="FO622">
        <v>0</v>
      </c>
      <c r="FP622">
        <v>0</v>
      </c>
      <c r="FQ622">
        <v>0</v>
      </c>
      <c r="FR622">
        <v>0</v>
      </c>
      <c r="FS622">
        <v>0</v>
      </c>
      <c r="FT622">
        <v>0</v>
      </c>
      <c r="FU622">
        <v>0</v>
      </c>
      <c r="FV622">
        <v>0</v>
      </c>
      <c r="FW622">
        <v>0</v>
      </c>
      <c r="FX622">
        <v>0</v>
      </c>
      <c r="FY622">
        <v>0</v>
      </c>
      <c r="FZ622">
        <v>0</v>
      </c>
      <c r="GA622">
        <v>0</v>
      </c>
      <c r="GB622">
        <v>0</v>
      </c>
      <c r="GC622">
        <v>0</v>
      </c>
      <c r="GD622">
        <v>0</v>
      </c>
      <c r="GE622">
        <v>0</v>
      </c>
      <c r="GF622">
        <v>0</v>
      </c>
      <c r="GG622">
        <v>0</v>
      </c>
      <c r="GH622">
        <v>0</v>
      </c>
      <c r="GI622">
        <v>0</v>
      </c>
      <c r="GJ622">
        <v>0</v>
      </c>
      <c r="GK622">
        <v>0</v>
      </c>
      <c r="GL622">
        <v>0</v>
      </c>
      <c r="GO622">
        <v>0</v>
      </c>
      <c r="GP622">
        <v>0</v>
      </c>
      <c r="GQ622">
        <v>0</v>
      </c>
      <c r="GR622">
        <v>0</v>
      </c>
      <c r="GS622">
        <v>0</v>
      </c>
      <c r="GT622">
        <v>0</v>
      </c>
      <c r="GU622">
        <v>0</v>
      </c>
      <c r="GV622">
        <v>0</v>
      </c>
      <c r="GW622">
        <v>0</v>
      </c>
      <c r="GX622">
        <v>0</v>
      </c>
      <c r="GY622">
        <v>0</v>
      </c>
      <c r="GZ622">
        <v>0</v>
      </c>
      <c r="HA622">
        <v>0</v>
      </c>
      <c r="HB622">
        <v>0</v>
      </c>
      <c r="HC622">
        <v>0</v>
      </c>
      <c r="HD622">
        <v>0</v>
      </c>
      <c r="HE622">
        <v>0</v>
      </c>
      <c r="HF622">
        <v>0</v>
      </c>
      <c r="HG622">
        <v>0</v>
      </c>
      <c r="HH622">
        <v>0</v>
      </c>
      <c r="HI622">
        <v>0</v>
      </c>
      <c r="HJ622">
        <v>0</v>
      </c>
      <c r="HK622">
        <v>0</v>
      </c>
      <c r="HL622">
        <v>0</v>
      </c>
      <c r="HM622">
        <v>0</v>
      </c>
      <c r="HN622">
        <v>0</v>
      </c>
      <c r="HO622">
        <v>0</v>
      </c>
      <c r="HP622">
        <v>0</v>
      </c>
      <c r="HQ622">
        <v>0</v>
      </c>
      <c r="HR622">
        <v>0</v>
      </c>
      <c r="HS622">
        <v>0</v>
      </c>
      <c r="HT622">
        <v>0</v>
      </c>
      <c r="HU622">
        <v>0</v>
      </c>
      <c r="HV622">
        <v>0</v>
      </c>
      <c r="HW622">
        <v>404.70000000000005</v>
      </c>
      <c r="HX622">
        <v>342.3</v>
      </c>
      <c r="HZ622">
        <v>866.2</v>
      </c>
      <c r="IA622">
        <v>1142.8</v>
      </c>
      <c r="IB622">
        <v>1121.5</v>
      </c>
      <c r="IC622">
        <v>2403</v>
      </c>
      <c r="ID622">
        <v>2659.3</v>
      </c>
      <c r="IE622">
        <v>1923.4</v>
      </c>
      <c r="IF622">
        <v>1465.7</v>
      </c>
      <c r="IG622">
        <v>1608.3</v>
      </c>
      <c r="IH622">
        <v>0</v>
      </c>
      <c r="II622">
        <v>0</v>
      </c>
      <c r="IJ622">
        <v>0</v>
      </c>
      <c r="IK622">
        <v>0</v>
      </c>
      <c r="IL622">
        <v>0</v>
      </c>
      <c r="IM622">
        <v>0</v>
      </c>
      <c r="IN622">
        <v>0</v>
      </c>
      <c r="IO622">
        <v>0</v>
      </c>
      <c r="IP622">
        <v>75.099999999999994</v>
      </c>
    </row>
    <row r="623" spans="1:250" ht="18" thickBot="1">
      <c r="A623" s="245"/>
      <c r="B623" s="245" t="s">
        <v>584</v>
      </c>
      <c r="C623" s="332" t="s">
        <v>1074</v>
      </c>
      <c r="D623" s="396"/>
      <c r="E623" s="454">
        <v>0</v>
      </c>
      <c r="F623">
        <v>0</v>
      </c>
      <c r="G623" s="427">
        <v>0</v>
      </c>
      <c r="H623" s="155">
        <v>0</v>
      </c>
      <c r="I623">
        <v>0</v>
      </c>
      <c r="J623">
        <v>0</v>
      </c>
      <c r="K623">
        <v>0</v>
      </c>
      <c r="L623" s="4">
        <v>0</v>
      </c>
      <c r="M623" s="4">
        <v>0</v>
      </c>
      <c r="N623" s="4">
        <v>0</v>
      </c>
      <c r="O623" s="4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R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G623">
        <v>0</v>
      </c>
      <c r="BI623">
        <v>0</v>
      </c>
      <c r="BK623">
        <v>0</v>
      </c>
      <c r="BL623">
        <v>0</v>
      </c>
      <c r="BM623">
        <v>0</v>
      </c>
      <c r="BN623">
        <v>0</v>
      </c>
      <c r="BO623">
        <v>344.70000000000005</v>
      </c>
      <c r="BP623">
        <v>625.70000000000005</v>
      </c>
      <c r="BQ623">
        <v>912.2</v>
      </c>
      <c r="BR623">
        <v>237.7</v>
      </c>
      <c r="BS623">
        <v>0</v>
      </c>
      <c r="BT623">
        <v>0</v>
      </c>
      <c r="BU623">
        <v>0</v>
      </c>
      <c r="BV623">
        <v>0</v>
      </c>
      <c r="BW623">
        <v>1647.4</v>
      </c>
      <c r="BY623">
        <v>453.1</v>
      </c>
      <c r="CA623">
        <v>285.39999999999998</v>
      </c>
      <c r="CB623">
        <v>280.8</v>
      </c>
      <c r="CC623">
        <v>127.7</v>
      </c>
      <c r="CD623">
        <v>0</v>
      </c>
      <c r="CE623">
        <v>0</v>
      </c>
      <c r="CF623">
        <v>0</v>
      </c>
      <c r="CG623">
        <v>0</v>
      </c>
      <c r="CI623">
        <v>0</v>
      </c>
      <c r="CJ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621.70000000000005</v>
      </c>
      <c r="CR623">
        <v>481.70000000000005</v>
      </c>
      <c r="CS623">
        <v>0</v>
      </c>
      <c r="CT623">
        <v>524.6</v>
      </c>
      <c r="CU623">
        <v>514.1</v>
      </c>
      <c r="CV623">
        <v>175.2</v>
      </c>
      <c r="CW623">
        <v>0</v>
      </c>
      <c r="CX623">
        <v>65.099999999999994</v>
      </c>
      <c r="CY623">
        <v>199</v>
      </c>
      <c r="CZ623">
        <v>1907.9</v>
      </c>
      <c r="DA623">
        <v>0</v>
      </c>
      <c r="DB623">
        <v>0</v>
      </c>
      <c r="DC623">
        <v>0</v>
      </c>
      <c r="DD623">
        <v>0</v>
      </c>
      <c r="DE623">
        <v>0</v>
      </c>
      <c r="DF623">
        <v>0</v>
      </c>
      <c r="DG623">
        <v>0</v>
      </c>
      <c r="DH623">
        <v>0</v>
      </c>
      <c r="DI623">
        <v>0</v>
      </c>
      <c r="DJ623">
        <v>0</v>
      </c>
      <c r="DK623">
        <v>0</v>
      </c>
      <c r="DL623">
        <v>0</v>
      </c>
      <c r="DM623">
        <v>1065.4000000000001</v>
      </c>
      <c r="DN623">
        <v>599.70000000000005</v>
      </c>
      <c r="DO623">
        <v>319.7</v>
      </c>
      <c r="DP623">
        <v>1570.6999999999998</v>
      </c>
      <c r="DQ623">
        <v>1399.5</v>
      </c>
      <c r="DR623">
        <v>3581</v>
      </c>
      <c r="DU623">
        <v>1393.2</v>
      </c>
      <c r="DV623">
        <v>2862.6</v>
      </c>
      <c r="DY623">
        <v>2361</v>
      </c>
      <c r="EA623">
        <v>2409.6</v>
      </c>
      <c r="EC623">
        <v>1661.3999999999999</v>
      </c>
      <c r="EE623">
        <v>0</v>
      </c>
      <c r="EF623">
        <v>0</v>
      </c>
      <c r="EG623">
        <v>0</v>
      </c>
      <c r="EH623">
        <v>0</v>
      </c>
      <c r="EI623">
        <v>0</v>
      </c>
      <c r="EJ623">
        <v>0</v>
      </c>
      <c r="EK623">
        <v>0</v>
      </c>
      <c r="EL623">
        <v>0</v>
      </c>
      <c r="EM623">
        <v>0</v>
      </c>
      <c r="EN623">
        <v>0</v>
      </c>
      <c r="EO623">
        <v>0</v>
      </c>
      <c r="EP623">
        <v>944.5</v>
      </c>
      <c r="EQ623">
        <v>3459.7</v>
      </c>
      <c r="ER623">
        <v>1353.5</v>
      </c>
      <c r="ES623">
        <v>182.2</v>
      </c>
      <c r="ET623">
        <v>855.59999999999991</v>
      </c>
      <c r="EU623">
        <v>172.2</v>
      </c>
      <c r="EV623">
        <v>203.2</v>
      </c>
      <c r="EW623">
        <v>1173.0999999999999</v>
      </c>
      <c r="EX623">
        <v>1078.3</v>
      </c>
      <c r="EY623">
        <v>1194.4000000000001</v>
      </c>
      <c r="EZ623">
        <v>1207.0999999999999</v>
      </c>
      <c r="FA623">
        <v>0</v>
      </c>
      <c r="FB623">
        <v>0</v>
      </c>
      <c r="FC623">
        <v>0</v>
      </c>
      <c r="FD623">
        <v>0</v>
      </c>
      <c r="FE623">
        <v>0</v>
      </c>
      <c r="FF623">
        <v>0</v>
      </c>
      <c r="FG623">
        <v>0</v>
      </c>
      <c r="FH623">
        <v>0</v>
      </c>
      <c r="FI623">
        <v>0</v>
      </c>
      <c r="FJ623">
        <v>0</v>
      </c>
      <c r="FK623">
        <v>0</v>
      </c>
      <c r="FL623">
        <v>0</v>
      </c>
      <c r="FM623">
        <v>0</v>
      </c>
      <c r="FN623">
        <v>0</v>
      </c>
      <c r="FO623">
        <v>0</v>
      </c>
      <c r="FP623">
        <v>0</v>
      </c>
      <c r="FQ623">
        <v>0</v>
      </c>
      <c r="FR623">
        <v>0</v>
      </c>
      <c r="FS623">
        <v>0</v>
      </c>
      <c r="FT623">
        <v>0</v>
      </c>
      <c r="FU623">
        <v>0</v>
      </c>
      <c r="FV623">
        <v>0</v>
      </c>
      <c r="FW623">
        <v>0</v>
      </c>
      <c r="FX623">
        <v>0</v>
      </c>
      <c r="FY623">
        <v>0</v>
      </c>
      <c r="FZ623">
        <v>0</v>
      </c>
      <c r="GA623">
        <v>0</v>
      </c>
      <c r="GB623">
        <v>0</v>
      </c>
      <c r="GC623">
        <v>0</v>
      </c>
      <c r="GD623">
        <v>0</v>
      </c>
      <c r="GE623">
        <v>0</v>
      </c>
      <c r="GF623">
        <v>0</v>
      </c>
      <c r="GG623">
        <v>0</v>
      </c>
      <c r="GH623">
        <v>0</v>
      </c>
      <c r="GI623">
        <v>0</v>
      </c>
      <c r="GJ623">
        <v>0</v>
      </c>
      <c r="GK623">
        <v>0</v>
      </c>
      <c r="GL623">
        <v>0</v>
      </c>
      <c r="GO623">
        <v>0</v>
      </c>
      <c r="GP623">
        <v>0</v>
      </c>
      <c r="GQ623">
        <v>0</v>
      </c>
      <c r="GR623">
        <v>0</v>
      </c>
      <c r="GS623">
        <v>0</v>
      </c>
      <c r="GT623">
        <v>0</v>
      </c>
      <c r="GU623">
        <v>0</v>
      </c>
      <c r="GV623">
        <v>0</v>
      </c>
      <c r="GW623">
        <v>0</v>
      </c>
      <c r="GX623">
        <v>0</v>
      </c>
      <c r="GY623">
        <v>0</v>
      </c>
      <c r="GZ623">
        <v>0</v>
      </c>
      <c r="HA623">
        <v>0</v>
      </c>
      <c r="HB623">
        <v>0</v>
      </c>
      <c r="HC623">
        <v>0</v>
      </c>
      <c r="HD623">
        <v>0</v>
      </c>
      <c r="HE623">
        <v>0</v>
      </c>
      <c r="HF623">
        <v>0</v>
      </c>
      <c r="HG623">
        <v>0</v>
      </c>
      <c r="HH623">
        <v>0</v>
      </c>
      <c r="HI623">
        <v>0</v>
      </c>
      <c r="HJ623">
        <v>0</v>
      </c>
      <c r="HK623">
        <v>0</v>
      </c>
      <c r="HL623">
        <v>0</v>
      </c>
      <c r="HM623">
        <v>0</v>
      </c>
      <c r="HN623">
        <v>0</v>
      </c>
      <c r="HO623">
        <v>0</v>
      </c>
      <c r="HP623">
        <v>0</v>
      </c>
      <c r="HQ623">
        <v>0</v>
      </c>
      <c r="HR623">
        <v>0</v>
      </c>
      <c r="HS623">
        <v>0</v>
      </c>
      <c r="HT623">
        <v>0</v>
      </c>
      <c r="HU623">
        <v>0</v>
      </c>
      <c r="HV623">
        <v>0</v>
      </c>
      <c r="HW623">
        <v>404.70000000000005</v>
      </c>
      <c r="HX623">
        <v>342.3</v>
      </c>
      <c r="HZ623">
        <v>866.2</v>
      </c>
      <c r="IA623">
        <v>1142.8</v>
      </c>
      <c r="IB623">
        <v>1121.5</v>
      </c>
      <c r="IC623">
        <v>2403</v>
      </c>
      <c r="ID623">
        <v>2659.3</v>
      </c>
      <c r="IE623">
        <v>1923.4</v>
      </c>
      <c r="IF623">
        <v>1465.7</v>
      </c>
      <c r="IG623">
        <v>1608.3</v>
      </c>
      <c r="IH623">
        <v>0</v>
      </c>
      <c r="II623">
        <v>0</v>
      </c>
      <c r="IJ623">
        <v>0</v>
      </c>
      <c r="IK623">
        <v>0</v>
      </c>
      <c r="IL623">
        <v>0</v>
      </c>
      <c r="IM623">
        <v>0</v>
      </c>
      <c r="IN623">
        <v>0</v>
      </c>
      <c r="IO623">
        <v>0</v>
      </c>
      <c r="IP623">
        <v>75.099999999999994</v>
      </c>
    </row>
    <row r="624" spans="1:250" ht="18" thickBot="1">
      <c r="A624" s="245"/>
      <c r="B624" s="245" t="s">
        <v>485</v>
      </c>
      <c r="C624" s="332" t="s">
        <v>1075</v>
      </c>
      <c r="D624" s="396"/>
      <c r="E624" s="454">
        <v>0</v>
      </c>
      <c r="F624">
        <v>0</v>
      </c>
      <c r="G624" s="427">
        <v>0</v>
      </c>
      <c r="H624" s="155">
        <v>0</v>
      </c>
      <c r="I624">
        <v>0</v>
      </c>
      <c r="J624">
        <v>0</v>
      </c>
      <c r="K624">
        <v>0</v>
      </c>
      <c r="L624" s="4">
        <v>0</v>
      </c>
      <c r="M624" s="4">
        <v>0</v>
      </c>
      <c r="N624" s="4">
        <v>0</v>
      </c>
      <c r="O624" s="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R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G624">
        <v>0</v>
      </c>
      <c r="BI624">
        <v>0</v>
      </c>
      <c r="BK624">
        <v>0</v>
      </c>
      <c r="BL624">
        <v>0</v>
      </c>
      <c r="BM624">
        <v>0</v>
      </c>
      <c r="BN624">
        <v>0</v>
      </c>
      <c r="BO624">
        <v>344.70000000000005</v>
      </c>
      <c r="BP624">
        <v>625.70000000000005</v>
      </c>
      <c r="BQ624">
        <v>912.2</v>
      </c>
      <c r="BR624">
        <v>237.7</v>
      </c>
      <c r="BS624">
        <v>0</v>
      </c>
      <c r="BT624">
        <v>0</v>
      </c>
      <c r="BU624">
        <v>0</v>
      </c>
      <c r="BV624">
        <v>0</v>
      </c>
      <c r="BW624">
        <v>1647.4</v>
      </c>
      <c r="BY624">
        <v>453.1</v>
      </c>
      <c r="CA624">
        <v>285.39999999999998</v>
      </c>
      <c r="CB624">
        <v>280.8</v>
      </c>
      <c r="CC624">
        <v>127.7</v>
      </c>
      <c r="CD624">
        <v>0</v>
      </c>
      <c r="CE624">
        <v>0</v>
      </c>
      <c r="CF624">
        <v>0</v>
      </c>
      <c r="CG624">
        <v>0</v>
      </c>
      <c r="CI624">
        <v>0</v>
      </c>
      <c r="CJ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621.70000000000005</v>
      </c>
      <c r="CR624">
        <v>481.70000000000005</v>
      </c>
      <c r="CS624">
        <v>0</v>
      </c>
      <c r="CT624">
        <v>524.6</v>
      </c>
      <c r="CU624">
        <v>514.1</v>
      </c>
      <c r="CV624">
        <v>175.2</v>
      </c>
      <c r="CW624">
        <v>0</v>
      </c>
      <c r="CX624">
        <v>65.099999999999994</v>
      </c>
      <c r="CY624">
        <v>199</v>
      </c>
      <c r="CZ624">
        <v>1907.9</v>
      </c>
      <c r="DA624">
        <v>0</v>
      </c>
      <c r="DB624">
        <v>0</v>
      </c>
      <c r="DC624">
        <v>0</v>
      </c>
      <c r="DD624">
        <v>0</v>
      </c>
      <c r="DE624">
        <v>0</v>
      </c>
      <c r="DF624">
        <v>0</v>
      </c>
      <c r="DG624">
        <v>0</v>
      </c>
      <c r="DH624">
        <v>0</v>
      </c>
      <c r="DI624">
        <v>0</v>
      </c>
      <c r="DJ624">
        <v>0</v>
      </c>
      <c r="DK624">
        <v>0</v>
      </c>
      <c r="DL624">
        <v>0</v>
      </c>
      <c r="DM624">
        <v>1065.4000000000001</v>
      </c>
      <c r="DN624">
        <v>599.70000000000005</v>
      </c>
      <c r="DO624">
        <v>319.7</v>
      </c>
      <c r="DP624">
        <v>1570.6999999999998</v>
      </c>
      <c r="DQ624">
        <v>1399.5</v>
      </c>
      <c r="DR624">
        <v>3581</v>
      </c>
      <c r="DU624">
        <v>1393.2</v>
      </c>
      <c r="DV624">
        <v>2862.6</v>
      </c>
      <c r="DY624">
        <v>2361</v>
      </c>
      <c r="EA624">
        <v>2409.6</v>
      </c>
      <c r="EC624">
        <v>1661.3999999999999</v>
      </c>
      <c r="EE624">
        <v>0</v>
      </c>
      <c r="EF624">
        <v>0</v>
      </c>
      <c r="EG624">
        <v>0</v>
      </c>
      <c r="EH624">
        <v>0</v>
      </c>
      <c r="EI624">
        <v>0</v>
      </c>
      <c r="EJ624">
        <v>0</v>
      </c>
      <c r="EK624">
        <v>0</v>
      </c>
      <c r="EL624">
        <v>0</v>
      </c>
      <c r="EM624">
        <v>0</v>
      </c>
      <c r="EN624">
        <v>0</v>
      </c>
      <c r="EO624">
        <v>0</v>
      </c>
      <c r="EP624">
        <v>944.5</v>
      </c>
      <c r="EQ624">
        <v>3459.7</v>
      </c>
      <c r="ER624">
        <v>1353.5</v>
      </c>
      <c r="ES624">
        <v>182.2</v>
      </c>
      <c r="ET624">
        <v>855.59999999999991</v>
      </c>
      <c r="EU624">
        <v>172.2</v>
      </c>
      <c r="EV624">
        <v>203.2</v>
      </c>
      <c r="EW624">
        <v>1173.0999999999999</v>
      </c>
      <c r="EX624">
        <v>1078.3</v>
      </c>
      <c r="EY624">
        <v>1194.4000000000001</v>
      </c>
      <c r="EZ624">
        <v>1207.0999999999999</v>
      </c>
      <c r="FA624">
        <v>0</v>
      </c>
      <c r="FB624">
        <v>0</v>
      </c>
      <c r="FC624">
        <v>0</v>
      </c>
      <c r="FD624">
        <v>0</v>
      </c>
      <c r="FE624">
        <v>0</v>
      </c>
      <c r="FF624">
        <v>0</v>
      </c>
      <c r="FG624">
        <v>0</v>
      </c>
      <c r="FH624">
        <v>0</v>
      </c>
      <c r="FI624">
        <v>0</v>
      </c>
      <c r="FJ624">
        <v>0</v>
      </c>
      <c r="FK624">
        <v>0</v>
      </c>
      <c r="FL624">
        <v>0</v>
      </c>
      <c r="FM624">
        <v>0</v>
      </c>
      <c r="FN624">
        <v>0</v>
      </c>
      <c r="FO624">
        <v>0</v>
      </c>
      <c r="FP624">
        <v>0</v>
      </c>
      <c r="FQ624">
        <v>0</v>
      </c>
      <c r="FR624">
        <v>0</v>
      </c>
      <c r="FS624">
        <v>0</v>
      </c>
      <c r="FT624">
        <v>0</v>
      </c>
      <c r="FU624">
        <v>0</v>
      </c>
      <c r="FV624">
        <v>0</v>
      </c>
      <c r="FW624">
        <v>0</v>
      </c>
      <c r="FX624">
        <v>0</v>
      </c>
      <c r="FY624">
        <v>0</v>
      </c>
      <c r="FZ624">
        <v>0</v>
      </c>
      <c r="GA624">
        <v>0</v>
      </c>
      <c r="GB624">
        <v>0</v>
      </c>
      <c r="GC624">
        <v>0</v>
      </c>
      <c r="GD624">
        <v>0</v>
      </c>
      <c r="GE624">
        <v>0</v>
      </c>
      <c r="GF624">
        <v>0</v>
      </c>
      <c r="GG624">
        <v>0</v>
      </c>
      <c r="GH624">
        <v>0</v>
      </c>
      <c r="GI624">
        <v>0</v>
      </c>
      <c r="GJ624">
        <v>0</v>
      </c>
      <c r="GK624">
        <v>0</v>
      </c>
      <c r="GL624">
        <v>0</v>
      </c>
      <c r="GO624">
        <v>0</v>
      </c>
      <c r="GP624">
        <v>0</v>
      </c>
      <c r="GQ624">
        <v>0</v>
      </c>
      <c r="GR624">
        <v>0</v>
      </c>
      <c r="GS624">
        <v>0</v>
      </c>
      <c r="GT624">
        <v>0</v>
      </c>
      <c r="GU624">
        <v>0</v>
      </c>
      <c r="GV624">
        <v>0</v>
      </c>
      <c r="GW624">
        <v>0</v>
      </c>
      <c r="GX624">
        <v>0</v>
      </c>
      <c r="GY624">
        <v>0</v>
      </c>
      <c r="GZ624">
        <v>0</v>
      </c>
      <c r="HA624">
        <v>0</v>
      </c>
      <c r="HB624">
        <v>0</v>
      </c>
      <c r="HC624">
        <v>0</v>
      </c>
      <c r="HD624">
        <v>0</v>
      </c>
      <c r="HE624">
        <v>0</v>
      </c>
      <c r="HF624">
        <v>0</v>
      </c>
      <c r="HG624">
        <v>0</v>
      </c>
      <c r="HH624">
        <v>0</v>
      </c>
      <c r="HI624">
        <v>0</v>
      </c>
      <c r="HJ624">
        <v>0</v>
      </c>
      <c r="HK624">
        <v>0</v>
      </c>
      <c r="HL624">
        <v>0</v>
      </c>
      <c r="HM624">
        <v>0</v>
      </c>
      <c r="HN624">
        <v>0</v>
      </c>
      <c r="HO624">
        <v>0</v>
      </c>
      <c r="HP624">
        <v>0</v>
      </c>
      <c r="HQ624">
        <v>0</v>
      </c>
      <c r="HR624">
        <v>0</v>
      </c>
      <c r="HS624">
        <v>0</v>
      </c>
      <c r="HT624">
        <v>0</v>
      </c>
      <c r="HU624">
        <v>0</v>
      </c>
      <c r="HV624">
        <v>0</v>
      </c>
      <c r="HW624">
        <v>404.70000000000005</v>
      </c>
      <c r="HX624">
        <v>342.3</v>
      </c>
      <c r="HZ624">
        <v>866.2</v>
      </c>
      <c r="IA624">
        <v>1142.8</v>
      </c>
      <c r="IB624">
        <v>1121.5</v>
      </c>
      <c r="IC624">
        <v>2403</v>
      </c>
      <c r="ID624">
        <v>2659.3</v>
      </c>
      <c r="IE624">
        <v>1923.4</v>
      </c>
      <c r="IF624">
        <v>1465.7</v>
      </c>
      <c r="IG624">
        <v>1608.3</v>
      </c>
      <c r="IH624">
        <v>0</v>
      </c>
      <c r="II624">
        <v>0</v>
      </c>
      <c r="IJ624">
        <v>0</v>
      </c>
      <c r="IK624">
        <v>0</v>
      </c>
      <c r="IL624">
        <v>0</v>
      </c>
      <c r="IM624">
        <v>0</v>
      </c>
      <c r="IN624">
        <v>0</v>
      </c>
      <c r="IO624">
        <v>0</v>
      </c>
      <c r="IP624">
        <v>75.099999999999994</v>
      </c>
    </row>
    <row r="625" spans="1:250" ht="18" thickBot="1">
      <c r="A625" s="570"/>
      <c r="B625" s="570" t="s">
        <v>486</v>
      </c>
      <c r="C625" s="496" t="s">
        <v>1076</v>
      </c>
      <c r="D625" s="397"/>
      <c r="E625" s="454">
        <v>0</v>
      </c>
      <c r="F625">
        <v>0</v>
      </c>
      <c r="G625" s="427">
        <v>0</v>
      </c>
      <c r="H625" s="155">
        <v>0</v>
      </c>
      <c r="I625">
        <v>0</v>
      </c>
      <c r="J625">
        <v>0</v>
      </c>
      <c r="K625">
        <v>0</v>
      </c>
      <c r="L625" s="4">
        <v>0</v>
      </c>
      <c r="M625" s="4">
        <v>0</v>
      </c>
      <c r="N625" s="4">
        <v>0</v>
      </c>
      <c r="O625" s="4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R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G625">
        <v>0</v>
      </c>
      <c r="BI625">
        <v>0</v>
      </c>
      <c r="BK625">
        <v>0</v>
      </c>
      <c r="BL625">
        <v>0</v>
      </c>
      <c r="BM625">
        <v>0</v>
      </c>
      <c r="BN625">
        <v>0</v>
      </c>
      <c r="BO625">
        <v>344.70000000000005</v>
      </c>
      <c r="BP625">
        <v>625.70000000000005</v>
      </c>
      <c r="BQ625">
        <v>912.2</v>
      </c>
      <c r="BR625">
        <v>237.7</v>
      </c>
      <c r="BS625">
        <v>0</v>
      </c>
      <c r="BT625">
        <v>0</v>
      </c>
      <c r="BU625">
        <v>0</v>
      </c>
      <c r="BV625">
        <v>0</v>
      </c>
      <c r="BW625">
        <v>1647.4</v>
      </c>
      <c r="BY625">
        <v>453.1</v>
      </c>
      <c r="CA625">
        <v>285.39999999999998</v>
      </c>
      <c r="CB625">
        <v>280.8</v>
      </c>
      <c r="CC625">
        <v>127.7</v>
      </c>
      <c r="CD625">
        <v>0</v>
      </c>
      <c r="CE625">
        <v>0</v>
      </c>
      <c r="CF625">
        <v>0</v>
      </c>
      <c r="CG625">
        <v>0</v>
      </c>
      <c r="CI625">
        <v>0</v>
      </c>
      <c r="CJ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621.70000000000005</v>
      </c>
      <c r="CR625">
        <v>481.70000000000005</v>
      </c>
      <c r="CS625">
        <v>0</v>
      </c>
      <c r="CT625">
        <v>524.6</v>
      </c>
      <c r="CU625">
        <v>514.1</v>
      </c>
      <c r="CV625">
        <v>175.2</v>
      </c>
      <c r="CW625">
        <v>0</v>
      </c>
      <c r="CX625">
        <v>65.099999999999994</v>
      </c>
      <c r="CY625">
        <v>199</v>
      </c>
      <c r="CZ625">
        <v>1907.9</v>
      </c>
      <c r="DA625">
        <v>0</v>
      </c>
      <c r="DB625">
        <v>0</v>
      </c>
      <c r="DC625">
        <v>0</v>
      </c>
      <c r="DD625">
        <v>0</v>
      </c>
      <c r="DE625">
        <v>0</v>
      </c>
      <c r="DF625">
        <v>0</v>
      </c>
      <c r="DG625">
        <v>0</v>
      </c>
      <c r="DH625">
        <v>0</v>
      </c>
      <c r="DI625">
        <v>0</v>
      </c>
      <c r="DJ625">
        <v>0</v>
      </c>
      <c r="DK625">
        <v>0</v>
      </c>
      <c r="DL625">
        <v>0</v>
      </c>
      <c r="DM625">
        <v>1065.4000000000001</v>
      </c>
      <c r="DN625">
        <v>599.70000000000005</v>
      </c>
      <c r="DO625">
        <v>319.7</v>
      </c>
      <c r="DP625">
        <v>1570.6999999999998</v>
      </c>
      <c r="DQ625">
        <v>1399.5</v>
      </c>
      <c r="DR625">
        <v>3581</v>
      </c>
      <c r="DU625">
        <v>1393.2</v>
      </c>
      <c r="DV625">
        <v>2862.6</v>
      </c>
      <c r="DY625">
        <v>2361</v>
      </c>
      <c r="EA625">
        <v>2409.6</v>
      </c>
      <c r="EC625">
        <v>1661.3999999999999</v>
      </c>
      <c r="EE625">
        <v>0</v>
      </c>
      <c r="EF625">
        <v>0</v>
      </c>
      <c r="EG625">
        <v>0</v>
      </c>
      <c r="EH625">
        <v>0</v>
      </c>
      <c r="EI625">
        <v>0</v>
      </c>
      <c r="EJ625">
        <v>0</v>
      </c>
      <c r="EK625">
        <v>0</v>
      </c>
      <c r="EL625">
        <v>0</v>
      </c>
      <c r="EM625">
        <v>0</v>
      </c>
      <c r="EN625">
        <v>0</v>
      </c>
      <c r="EO625">
        <v>0</v>
      </c>
      <c r="EP625">
        <v>944.5</v>
      </c>
      <c r="EQ625">
        <v>3459.7</v>
      </c>
      <c r="ER625">
        <v>1353.5</v>
      </c>
      <c r="ES625">
        <v>182.2</v>
      </c>
      <c r="ET625">
        <v>855.59999999999991</v>
      </c>
      <c r="EU625">
        <v>172.2</v>
      </c>
      <c r="EV625">
        <v>203.2</v>
      </c>
      <c r="EW625">
        <v>1173.0999999999999</v>
      </c>
      <c r="EX625">
        <v>1078.3</v>
      </c>
      <c r="EY625">
        <v>1194.4000000000001</v>
      </c>
      <c r="EZ625">
        <v>1207.0999999999999</v>
      </c>
      <c r="FA625">
        <v>0</v>
      </c>
      <c r="FB625">
        <v>0</v>
      </c>
      <c r="FC625">
        <v>0</v>
      </c>
      <c r="FD625">
        <v>0</v>
      </c>
      <c r="FE625">
        <v>0</v>
      </c>
      <c r="FF625">
        <v>0</v>
      </c>
      <c r="FG625">
        <v>0</v>
      </c>
      <c r="FH625">
        <v>0</v>
      </c>
      <c r="FI625">
        <v>0</v>
      </c>
      <c r="FJ625">
        <v>0</v>
      </c>
      <c r="FK625">
        <v>0</v>
      </c>
      <c r="FL625">
        <v>0</v>
      </c>
      <c r="FM625">
        <v>0</v>
      </c>
      <c r="FN625">
        <v>0</v>
      </c>
      <c r="FO625">
        <v>0</v>
      </c>
      <c r="FP625">
        <v>0</v>
      </c>
      <c r="FQ625">
        <v>0</v>
      </c>
      <c r="FR625">
        <v>0</v>
      </c>
      <c r="FS625">
        <v>0</v>
      </c>
      <c r="FT625">
        <v>0</v>
      </c>
      <c r="FU625">
        <v>0</v>
      </c>
      <c r="FV625">
        <v>0</v>
      </c>
      <c r="FW625">
        <v>0</v>
      </c>
      <c r="FX625">
        <v>0</v>
      </c>
      <c r="FY625">
        <v>0</v>
      </c>
      <c r="FZ625">
        <v>0</v>
      </c>
      <c r="GA625">
        <v>0</v>
      </c>
      <c r="GB625">
        <v>0</v>
      </c>
      <c r="GC625">
        <v>0</v>
      </c>
      <c r="GD625">
        <v>0</v>
      </c>
      <c r="GE625">
        <v>0</v>
      </c>
      <c r="GF625">
        <v>0</v>
      </c>
      <c r="GG625">
        <v>0</v>
      </c>
      <c r="GH625">
        <v>0</v>
      </c>
      <c r="GI625">
        <v>0</v>
      </c>
      <c r="GJ625">
        <v>0</v>
      </c>
      <c r="GK625">
        <v>0</v>
      </c>
      <c r="GL625">
        <v>0</v>
      </c>
      <c r="GO625">
        <v>0</v>
      </c>
      <c r="GP625">
        <v>0</v>
      </c>
      <c r="GQ625">
        <v>0</v>
      </c>
      <c r="GR625">
        <v>0</v>
      </c>
      <c r="GS625">
        <v>0</v>
      </c>
      <c r="GT625">
        <v>0</v>
      </c>
      <c r="GU625">
        <v>0</v>
      </c>
      <c r="GV625">
        <v>0</v>
      </c>
      <c r="GW625">
        <v>0</v>
      </c>
      <c r="GX625">
        <v>0</v>
      </c>
      <c r="GY625">
        <v>0</v>
      </c>
      <c r="GZ625">
        <v>0</v>
      </c>
      <c r="HA625">
        <v>0</v>
      </c>
      <c r="HB625">
        <v>0</v>
      </c>
      <c r="HC625">
        <v>0</v>
      </c>
      <c r="HD625">
        <v>0</v>
      </c>
      <c r="HE625">
        <v>0</v>
      </c>
      <c r="HF625">
        <v>0</v>
      </c>
      <c r="HG625">
        <v>0</v>
      </c>
      <c r="HH625">
        <v>0</v>
      </c>
      <c r="HI625">
        <v>0</v>
      </c>
      <c r="HJ625">
        <v>0</v>
      </c>
      <c r="HK625">
        <v>0</v>
      </c>
      <c r="HL625">
        <v>0</v>
      </c>
      <c r="HM625">
        <v>0</v>
      </c>
      <c r="HN625">
        <v>0</v>
      </c>
      <c r="HO625">
        <v>0</v>
      </c>
      <c r="HP625">
        <v>0</v>
      </c>
      <c r="HQ625">
        <v>0</v>
      </c>
      <c r="HR625">
        <v>0</v>
      </c>
      <c r="HS625">
        <v>0</v>
      </c>
      <c r="HT625">
        <v>0</v>
      </c>
      <c r="HU625">
        <v>0</v>
      </c>
      <c r="HV625">
        <v>0</v>
      </c>
      <c r="HW625">
        <v>404.70000000000005</v>
      </c>
      <c r="HX625">
        <v>342.3</v>
      </c>
      <c r="HZ625">
        <v>866.2</v>
      </c>
      <c r="IA625">
        <v>1142.8</v>
      </c>
      <c r="IB625">
        <v>1121.5</v>
      </c>
      <c r="IC625">
        <v>2403</v>
      </c>
      <c r="ID625">
        <v>2659.3</v>
      </c>
      <c r="IE625">
        <v>1923.4</v>
      </c>
      <c r="IF625">
        <v>1465.7</v>
      </c>
      <c r="IG625">
        <v>1608.3</v>
      </c>
      <c r="IH625">
        <v>0</v>
      </c>
      <c r="II625">
        <v>0</v>
      </c>
      <c r="IJ625">
        <v>0</v>
      </c>
      <c r="IK625">
        <v>0</v>
      </c>
      <c r="IL625">
        <v>0</v>
      </c>
      <c r="IM625">
        <v>0</v>
      </c>
      <c r="IN625">
        <v>0</v>
      </c>
      <c r="IO625">
        <v>0</v>
      </c>
      <c r="IP625">
        <v>75.099999999999994</v>
      </c>
    </row>
    <row r="626" spans="1:250" ht="18" thickBot="1">
      <c r="A626" s="570"/>
      <c r="B626" s="570"/>
      <c r="C626" s="496"/>
      <c r="D626" s="397"/>
      <c r="E626" s="454">
        <v>0</v>
      </c>
      <c r="F626">
        <v>0</v>
      </c>
      <c r="G626" s="427">
        <v>0</v>
      </c>
      <c r="H626" s="155">
        <v>0</v>
      </c>
      <c r="I626">
        <v>0</v>
      </c>
      <c r="J626">
        <v>0</v>
      </c>
      <c r="K626">
        <v>0</v>
      </c>
      <c r="L626" s="4">
        <v>0</v>
      </c>
      <c r="M626" s="4">
        <v>0</v>
      </c>
      <c r="N626" s="4">
        <v>0</v>
      </c>
      <c r="O626" s="4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R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G626">
        <v>0</v>
      </c>
      <c r="BI626">
        <v>0</v>
      </c>
      <c r="BK626">
        <v>0</v>
      </c>
      <c r="BL626">
        <v>0</v>
      </c>
      <c r="BM626">
        <v>0</v>
      </c>
      <c r="BN626">
        <v>0</v>
      </c>
      <c r="BO626">
        <v>344.70000000000005</v>
      </c>
      <c r="BP626">
        <v>625.70000000000005</v>
      </c>
      <c r="BQ626">
        <v>912.2</v>
      </c>
      <c r="BR626">
        <v>237.7</v>
      </c>
      <c r="BS626">
        <v>0</v>
      </c>
      <c r="BT626">
        <v>0</v>
      </c>
      <c r="BU626">
        <v>0</v>
      </c>
      <c r="BV626">
        <v>0</v>
      </c>
      <c r="BW626">
        <v>1647.4</v>
      </c>
      <c r="BY626">
        <v>453.1</v>
      </c>
      <c r="CA626">
        <v>285.39999999999998</v>
      </c>
      <c r="CB626">
        <v>280.8</v>
      </c>
      <c r="CC626">
        <v>127.7</v>
      </c>
      <c r="CD626">
        <v>0</v>
      </c>
      <c r="CE626">
        <v>0</v>
      </c>
      <c r="CF626">
        <v>0</v>
      </c>
      <c r="CG626">
        <v>0</v>
      </c>
      <c r="CI626">
        <v>0</v>
      </c>
      <c r="CJ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621.70000000000005</v>
      </c>
      <c r="CR626">
        <v>481.70000000000005</v>
      </c>
      <c r="CS626">
        <v>0</v>
      </c>
      <c r="CT626">
        <v>524.6</v>
      </c>
      <c r="CU626">
        <v>514.1</v>
      </c>
      <c r="CV626">
        <v>175.2</v>
      </c>
      <c r="CW626">
        <v>0</v>
      </c>
      <c r="CX626">
        <v>65.099999999999994</v>
      </c>
      <c r="CY626">
        <v>199</v>
      </c>
      <c r="CZ626">
        <v>1907.9</v>
      </c>
      <c r="DA626">
        <v>0</v>
      </c>
      <c r="DB626">
        <v>0</v>
      </c>
      <c r="DC626">
        <v>0</v>
      </c>
      <c r="DD626">
        <v>0</v>
      </c>
      <c r="DE626">
        <v>0</v>
      </c>
      <c r="DF626">
        <v>0</v>
      </c>
      <c r="DG626">
        <v>0</v>
      </c>
      <c r="DH626">
        <v>0</v>
      </c>
      <c r="DI626">
        <v>0</v>
      </c>
      <c r="DJ626">
        <v>0</v>
      </c>
      <c r="DK626">
        <v>0</v>
      </c>
      <c r="DL626">
        <v>0</v>
      </c>
      <c r="DM626">
        <v>1065.4000000000001</v>
      </c>
      <c r="DN626">
        <v>599.70000000000005</v>
      </c>
      <c r="DO626">
        <v>319.7</v>
      </c>
      <c r="DP626">
        <v>1570.6999999999998</v>
      </c>
      <c r="DQ626">
        <v>1399.5</v>
      </c>
      <c r="DR626">
        <v>3581</v>
      </c>
      <c r="DU626">
        <v>1393.2</v>
      </c>
      <c r="DV626">
        <v>2862.6</v>
      </c>
      <c r="DY626">
        <v>2361</v>
      </c>
      <c r="EA626">
        <v>2409.6</v>
      </c>
      <c r="EC626">
        <v>1661.3999999999999</v>
      </c>
      <c r="EE626">
        <v>0</v>
      </c>
      <c r="EF626">
        <v>0</v>
      </c>
      <c r="EG626">
        <v>0</v>
      </c>
      <c r="EH626">
        <v>0</v>
      </c>
      <c r="EI626">
        <v>0</v>
      </c>
      <c r="EJ626">
        <v>0</v>
      </c>
      <c r="EK626">
        <v>0</v>
      </c>
      <c r="EL626">
        <v>0</v>
      </c>
      <c r="EM626">
        <v>0</v>
      </c>
      <c r="EN626">
        <v>0</v>
      </c>
      <c r="EO626">
        <v>0</v>
      </c>
      <c r="EP626">
        <v>944.5</v>
      </c>
      <c r="EQ626">
        <v>3459.7</v>
      </c>
      <c r="ER626">
        <v>1353.5</v>
      </c>
      <c r="ES626">
        <v>182.2</v>
      </c>
      <c r="ET626">
        <v>855.59999999999991</v>
      </c>
      <c r="EU626">
        <v>172.2</v>
      </c>
      <c r="EV626">
        <v>203.2</v>
      </c>
      <c r="EW626">
        <v>1173.0999999999999</v>
      </c>
      <c r="EX626">
        <v>1078.3</v>
      </c>
      <c r="EY626">
        <v>1194.4000000000001</v>
      </c>
      <c r="EZ626">
        <v>1207.0999999999999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0</v>
      </c>
      <c r="FG626">
        <v>0</v>
      </c>
      <c r="FH626">
        <v>0</v>
      </c>
      <c r="FI626">
        <v>0</v>
      </c>
      <c r="FJ626">
        <v>0</v>
      </c>
      <c r="FK626">
        <v>0</v>
      </c>
      <c r="FL626">
        <v>0</v>
      </c>
      <c r="FM626">
        <v>0</v>
      </c>
      <c r="FN626">
        <v>0</v>
      </c>
      <c r="FO626">
        <v>0</v>
      </c>
      <c r="FP626">
        <v>0</v>
      </c>
      <c r="FQ626">
        <v>0</v>
      </c>
      <c r="FR626">
        <v>0</v>
      </c>
      <c r="FS626">
        <v>0</v>
      </c>
      <c r="FT626">
        <v>0</v>
      </c>
      <c r="FU626">
        <v>0</v>
      </c>
      <c r="FV626">
        <v>0</v>
      </c>
      <c r="FW626">
        <v>0</v>
      </c>
      <c r="FX626">
        <v>0</v>
      </c>
      <c r="FY626">
        <v>0</v>
      </c>
      <c r="FZ626">
        <v>0</v>
      </c>
      <c r="GA626">
        <v>0</v>
      </c>
      <c r="GB626">
        <v>0</v>
      </c>
      <c r="GC626">
        <v>0</v>
      </c>
      <c r="GD626">
        <v>0</v>
      </c>
      <c r="GE626">
        <v>0</v>
      </c>
      <c r="GF626">
        <v>0</v>
      </c>
      <c r="GG626">
        <v>0</v>
      </c>
      <c r="GH626">
        <v>0</v>
      </c>
      <c r="GI626">
        <v>0</v>
      </c>
      <c r="GJ626">
        <v>0</v>
      </c>
      <c r="GK626">
        <v>0</v>
      </c>
      <c r="GL626">
        <v>0</v>
      </c>
      <c r="GO626">
        <v>0</v>
      </c>
      <c r="GP626">
        <v>0</v>
      </c>
      <c r="GQ626">
        <v>0</v>
      </c>
      <c r="GR626">
        <v>0</v>
      </c>
      <c r="GS626">
        <v>0</v>
      </c>
      <c r="GT626">
        <v>0</v>
      </c>
      <c r="GU626">
        <v>0</v>
      </c>
      <c r="GV626">
        <v>0</v>
      </c>
      <c r="GW626">
        <v>0</v>
      </c>
      <c r="GX626">
        <v>0</v>
      </c>
      <c r="GY626">
        <v>0</v>
      </c>
      <c r="GZ626">
        <v>0</v>
      </c>
      <c r="HA626">
        <v>0</v>
      </c>
      <c r="HB626">
        <v>0</v>
      </c>
      <c r="HC626">
        <v>0</v>
      </c>
      <c r="HD626">
        <v>0</v>
      </c>
      <c r="HE626">
        <v>0</v>
      </c>
      <c r="HF626">
        <v>0</v>
      </c>
      <c r="HG626">
        <v>0</v>
      </c>
      <c r="HH626">
        <v>0</v>
      </c>
      <c r="HI626">
        <v>0</v>
      </c>
      <c r="HJ626">
        <v>0</v>
      </c>
      <c r="HK626">
        <v>0</v>
      </c>
      <c r="HL626">
        <v>0</v>
      </c>
      <c r="HM626">
        <v>0</v>
      </c>
      <c r="HN626">
        <v>0</v>
      </c>
      <c r="HO626">
        <v>0</v>
      </c>
      <c r="HP626">
        <v>0</v>
      </c>
      <c r="HQ626">
        <v>0</v>
      </c>
      <c r="HR626">
        <v>0</v>
      </c>
      <c r="HS626">
        <v>0</v>
      </c>
      <c r="HT626">
        <v>0</v>
      </c>
      <c r="HU626">
        <v>0</v>
      </c>
      <c r="HV626">
        <v>0</v>
      </c>
      <c r="HW626">
        <v>404.70000000000005</v>
      </c>
      <c r="HX626">
        <v>342.3</v>
      </c>
      <c r="HZ626">
        <v>866.2</v>
      </c>
      <c r="IA626">
        <v>1142.8</v>
      </c>
      <c r="IB626">
        <v>1121.5</v>
      </c>
      <c r="IC626">
        <v>2403</v>
      </c>
      <c r="ID626">
        <v>2659.3</v>
      </c>
      <c r="IE626">
        <v>1923.4</v>
      </c>
      <c r="IF626">
        <v>1465.7</v>
      </c>
      <c r="IG626">
        <v>1608.3</v>
      </c>
      <c r="IH626">
        <v>0</v>
      </c>
      <c r="II626">
        <v>0</v>
      </c>
      <c r="IJ626">
        <v>0</v>
      </c>
      <c r="IK626">
        <v>0</v>
      </c>
      <c r="IL626">
        <v>0</v>
      </c>
      <c r="IM626">
        <v>0</v>
      </c>
      <c r="IN626">
        <v>0</v>
      </c>
      <c r="IO626">
        <v>0</v>
      </c>
      <c r="IP626">
        <v>75.099999999999994</v>
      </c>
    </row>
    <row r="627" spans="1:250" ht="18" thickBot="1">
      <c r="A627" s="245"/>
      <c r="B627" s="245" t="s">
        <v>956</v>
      </c>
      <c r="C627" s="230" t="s">
        <v>1077</v>
      </c>
      <c r="D627" s="397"/>
      <c r="E627" s="454">
        <v>0</v>
      </c>
      <c r="F627">
        <v>0</v>
      </c>
      <c r="G627" s="427">
        <v>0</v>
      </c>
      <c r="H627" s="155">
        <v>0</v>
      </c>
      <c r="I627">
        <v>0</v>
      </c>
      <c r="J627">
        <v>0</v>
      </c>
      <c r="K627">
        <v>0</v>
      </c>
      <c r="L627" s="4">
        <v>0</v>
      </c>
      <c r="M627" s="4">
        <v>0</v>
      </c>
      <c r="N627" s="4">
        <v>0</v>
      </c>
      <c r="O627" s="4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R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G627">
        <v>0</v>
      </c>
      <c r="BI627">
        <v>0</v>
      </c>
      <c r="BK627">
        <v>0</v>
      </c>
      <c r="BL627">
        <v>0</v>
      </c>
      <c r="BM627">
        <v>0</v>
      </c>
      <c r="BN627">
        <v>0</v>
      </c>
      <c r="BO627">
        <v>344.70000000000005</v>
      </c>
      <c r="BP627">
        <v>625.70000000000005</v>
      </c>
      <c r="BQ627">
        <v>912.2</v>
      </c>
      <c r="BR627">
        <v>237.7</v>
      </c>
      <c r="BS627">
        <v>0</v>
      </c>
      <c r="BT627">
        <v>0</v>
      </c>
      <c r="BU627">
        <v>0</v>
      </c>
      <c r="BV627">
        <v>0</v>
      </c>
      <c r="BW627">
        <v>1647.4</v>
      </c>
      <c r="BY627">
        <v>453.1</v>
      </c>
      <c r="CA627">
        <v>285.39999999999998</v>
      </c>
      <c r="CB627">
        <v>280.8</v>
      </c>
      <c r="CC627">
        <v>127.7</v>
      </c>
      <c r="CD627">
        <v>0</v>
      </c>
      <c r="CE627">
        <v>0</v>
      </c>
      <c r="CF627">
        <v>0</v>
      </c>
      <c r="CG627">
        <v>0</v>
      </c>
      <c r="CI627">
        <v>0</v>
      </c>
      <c r="CJ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621.70000000000005</v>
      </c>
      <c r="CR627">
        <v>481.70000000000005</v>
      </c>
      <c r="CS627">
        <v>0</v>
      </c>
      <c r="CT627">
        <v>524.6</v>
      </c>
      <c r="CU627">
        <v>514.1</v>
      </c>
      <c r="CV627">
        <v>175.2</v>
      </c>
      <c r="CW627">
        <v>0</v>
      </c>
      <c r="CX627">
        <v>65.099999999999994</v>
      </c>
      <c r="CY627">
        <v>199</v>
      </c>
      <c r="CZ627">
        <v>1907.9</v>
      </c>
      <c r="DA627">
        <v>0</v>
      </c>
      <c r="DB627">
        <v>0</v>
      </c>
      <c r="DC627">
        <v>0</v>
      </c>
      <c r="DD627">
        <v>0</v>
      </c>
      <c r="DE627">
        <v>0</v>
      </c>
      <c r="DF627">
        <v>0</v>
      </c>
      <c r="DG627">
        <v>0</v>
      </c>
      <c r="DH627">
        <v>0</v>
      </c>
      <c r="DI627">
        <v>0</v>
      </c>
      <c r="DJ627">
        <v>0</v>
      </c>
      <c r="DK627">
        <v>0</v>
      </c>
      <c r="DL627">
        <v>0</v>
      </c>
      <c r="DM627">
        <v>1065.4000000000001</v>
      </c>
      <c r="DN627">
        <v>599.70000000000005</v>
      </c>
      <c r="DO627">
        <v>319.7</v>
      </c>
      <c r="DP627">
        <v>1570.6999999999998</v>
      </c>
      <c r="DQ627">
        <v>1399.5</v>
      </c>
      <c r="DR627">
        <v>3581</v>
      </c>
      <c r="DU627">
        <v>1393.2</v>
      </c>
      <c r="DV627">
        <v>2862.6</v>
      </c>
      <c r="DY627">
        <v>2361</v>
      </c>
      <c r="EA627">
        <v>2409.6</v>
      </c>
      <c r="EC627">
        <v>1661.3999999999999</v>
      </c>
      <c r="EE627">
        <v>0</v>
      </c>
      <c r="EF627">
        <v>0</v>
      </c>
      <c r="EG627">
        <v>0</v>
      </c>
      <c r="EH627">
        <v>0</v>
      </c>
      <c r="EI627">
        <v>0</v>
      </c>
      <c r="EJ627">
        <v>0</v>
      </c>
      <c r="EK627">
        <v>0</v>
      </c>
      <c r="EL627">
        <v>0</v>
      </c>
      <c r="EM627">
        <v>0</v>
      </c>
      <c r="EN627">
        <v>0</v>
      </c>
      <c r="EO627">
        <v>0</v>
      </c>
      <c r="EP627">
        <v>944.5</v>
      </c>
      <c r="EQ627">
        <v>3459.7</v>
      </c>
      <c r="ER627">
        <v>1353.5</v>
      </c>
      <c r="ES627">
        <v>182.2</v>
      </c>
      <c r="ET627">
        <v>855.59999999999991</v>
      </c>
      <c r="EU627">
        <v>172.2</v>
      </c>
      <c r="EV627">
        <v>203.2</v>
      </c>
      <c r="EW627">
        <v>1173.0999999999999</v>
      </c>
      <c r="EX627">
        <v>1078.3</v>
      </c>
      <c r="EY627">
        <v>1194.4000000000001</v>
      </c>
      <c r="EZ627">
        <v>1207.0999999999999</v>
      </c>
      <c r="FA627">
        <v>0</v>
      </c>
      <c r="FB627">
        <v>0</v>
      </c>
      <c r="FC627">
        <v>0</v>
      </c>
      <c r="FD627">
        <v>0</v>
      </c>
      <c r="FE627">
        <v>0</v>
      </c>
      <c r="FF627">
        <v>0</v>
      </c>
      <c r="FG627">
        <v>0</v>
      </c>
      <c r="FH627">
        <v>0</v>
      </c>
      <c r="FI627">
        <v>0</v>
      </c>
      <c r="FJ627">
        <v>0</v>
      </c>
      <c r="FK627">
        <v>0</v>
      </c>
      <c r="FL627">
        <v>0</v>
      </c>
      <c r="FM627">
        <v>0</v>
      </c>
      <c r="FN627">
        <v>0</v>
      </c>
      <c r="FO627">
        <v>0</v>
      </c>
      <c r="FP627">
        <v>0</v>
      </c>
      <c r="FQ627">
        <v>0</v>
      </c>
      <c r="FR627">
        <v>0</v>
      </c>
      <c r="FS627">
        <v>0</v>
      </c>
      <c r="FT627">
        <v>0</v>
      </c>
      <c r="FU627">
        <v>0</v>
      </c>
      <c r="FV627">
        <v>0</v>
      </c>
      <c r="FW627">
        <v>0</v>
      </c>
      <c r="FX627">
        <v>0</v>
      </c>
      <c r="FY627">
        <v>0</v>
      </c>
      <c r="FZ627">
        <v>0</v>
      </c>
      <c r="GA627">
        <v>0</v>
      </c>
      <c r="GB627">
        <v>0</v>
      </c>
      <c r="GC627">
        <v>0</v>
      </c>
      <c r="GD627">
        <v>0</v>
      </c>
      <c r="GE627">
        <v>0</v>
      </c>
      <c r="GF627">
        <v>0</v>
      </c>
      <c r="GG627">
        <v>0</v>
      </c>
      <c r="GH627">
        <v>0</v>
      </c>
      <c r="GI627">
        <v>0</v>
      </c>
      <c r="GJ627">
        <v>0</v>
      </c>
      <c r="GK627">
        <v>0</v>
      </c>
      <c r="GL627">
        <v>0</v>
      </c>
      <c r="GO627">
        <v>0</v>
      </c>
      <c r="GP627">
        <v>0</v>
      </c>
      <c r="GQ627">
        <v>0</v>
      </c>
      <c r="GR627">
        <v>0</v>
      </c>
      <c r="GS627">
        <v>0</v>
      </c>
      <c r="GT627">
        <v>0</v>
      </c>
      <c r="GU627">
        <v>0</v>
      </c>
      <c r="GV627">
        <v>0</v>
      </c>
      <c r="GW627">
        <v>0</v>
      </c>
      <c r="GX627">
        <v>0</v>
      </c>
      <c r="GY627">
        <v>0</v>
      </c>
      <c r="GZ627">
        <v>0</v>
      </c>
      <c r="HA627">
        <v>0</v>
      </c>
      <c r="HB627">
        <v>0</v>
      </c>
      <c r="HC627">
        <v>0</v>
      </c>
      <c r="HD627">
        <v>0</v>
      </c>
      <c r="HE627">
        <v>0</v>
      </c>
      <c r="HF627">
        <v>0</v>
      </c>
      <c r="HG627">
        <v>0</v>
      </c>
      <c r="HH627">
        <v>0</v>
      </c>
      <c r="HI627">
        <v>0</v>
      </c>
      <c r="HJ627">
        <v>0</v>
      </c>
      <c r="HK627">
        <v>0</v>
      </c>
      <c r="HL627">
        <v>0</v>
      </c>
      <c r="HM627">
        <v>0</v>
      </c>
      <c r="HN627">
        <v>0</v>
      </c>
      <c r="HO627">
        <v>0</v>
      </c>
      <c r="HP627">
        <v>0</v>
      </c>
      <c r="HQ627">
        <v>0</v>
      </c>
      <c r="HR627">
        <v>0</v>
      </c>
      <c r="HS627">
        <v>0</v>
      </c>
      <c r="HT627">
        <v>0</v>
      </c>
      <c r="HU627">
        <v>0</v>
      </c>
      <c r="HV627">
        <v>0</v>
      </c>
      <c r="HW627">
        <v>404.70000000000005</v>
      </c>
      <c r="HX627">
        <v>342.3</v>
      </c>
      <c r="HZ627">
        <v>866.2</v>
      </c>
      <c r="IA627">
        <v>1142.8</v>
      </c>
      <c r="IB627">
        <v>1121.5</v>
      </c>
      <c r="IC627">
        <v>2403</v>
      </c>
      <c r="ID627">
        <v>2659.3</v>
      </c>
      <c r="IE627">
        <v>1923.4</v>
      </c>
      <c r="IF627">
        <v>1465.7</v>
      </c>
      <c r="IG627">
        <v>1608.3</v>
      </c>
      <c r="IH627">
        <v>0</v>
      </c>
      <c r="II627">
        <v>0</v>
      </c>
      <c r="IJ627">
        <v>0</v>
      </c>
      <c r="IK627">
        <v>0</v>
      </c>
      <c r="IL627">
        <v>0</v>
      </c>
      <c r="IM627">
        <v>0</v>
      </c>
      <c r="IN627">
        <v>0</v>
      </c>
      <c r="IO627">
        <v>0</v>
      </c>
      <c r="IP627">
        <v>75.099999999999994</v>
      </c>
    </row>
    <row r="628" spans="1:250" ht="18" thickBot="1">
      <c r="A628" s="570"/>
      <c r="B628" s="570" t="s">
        <v>957</v>
      </c>
      <c r="C628" s="496" t="s">
        <v>1078</v>
      </c>
      <c r="D628" s="397"/>
      <c r="E628" s="454">
        <v>0</v>
      </c>
      <c r="F628">
        <v>0</v>
      </c>
      <c r="G628" s="427">
        <v>0</v>
      </c>
      <c r="H628" s="155">
        <v>0</v>
      </c>
      <c r="I628">
        <v>0</v>
      </c>
      <c r="J628">
        <v>0</v>
      </c>
      <c r="K628">
        <v>0</v>
      </c>
      <c r="L628" s="4">
        <v>0</v>
      </c>
      <c r="M628" s="4">
        <v>0</v>
      </c>
      <c r="N628" s="4">
        <v>0</v>
      </c>
      <c r="O628" s="4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R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G628">
        <v>0</v>
      </c>
      <c r="BI628">
        <v>0</v>
      </c>
      <c r="BK628">
        <v>0</v>
      </c>
      <c r="BL628">
        <v>0</v>
      </c>
      <c r="BM628">
        <v>0</v>
      </c>
      <c r="BN628">
        <v>0</v>
      </c>
      <c r="BO628">
        <v>344.70000000000005</v>
      </c>
      <c r="BP628">
        <v>625.70000000000005</v>
      </c>
      <c r="BQ628">
        <v>912.2</v>
      </c>
      <c r="BR628">
        <v>237.7</v>
      </c>
      <c r="BS628">
        <v>0</v>
      </c>
      <c r="BT628">
        <v>0</v>
      </c>
      <c r="BU628">
        <v>0</v>
      </c>
      <c r="BV628">
        <v>0</v>
      </c>
      <c r="BW628">
        <v>1647.4</v>
      </c>
      <c r="BY628">
        <v>453.1</v>
      </c>
      <c r="CA628">
        <v>285.39999999999998</v>
      </c>
      <c r="CB628">
        <v>280.8</v>
      </c>
      <c r="CC628">
        <v>127.7</v>
      </c>
      <c r="CD628">
        <v>0</v>
      </c>
      <c r="CE628">
        <v>0</v>
      </c>
      <c r="CF628">
        <v>0</v>
      </c>
      <c r="CG628">
        <v>0</v>
      </c>
      <c r="CI628">
        <v>0</v>
      </c>
      <c r="CJ628">
        <v>0</v>
      </c>
      <c r="CL628">
        <v>0</v>
      </c>
      <c r="CM628">
        <v>0</v>
      </c>
      <c r="CN628">
        <v>0</v>
      </c>
      <c r="CO628">
        <v>0</v>
      </c>
      <c r="CP628">
        <v>0</v>
      </c>
      <c r="CQ628">
        <v>621.70000000000005</v>
      </c>
      <c r="CR628">
        <v>481.70000000000005</v>
      </c>
      <c r="CS628">
        <v>0</v>
      </c>
      <c r="CT628">
        <v>524.6</v>
      </c>
      <c r="CU628">
        <v>514.1</v>
      </c>
      <c r="CV628">
        <v>175.2</v>
      </c>
      <c r="CW628">
        <v>0</v>
      </c>
      <c r="CX628">
        <v>65.099999999999994</v>
      </c>
      <c r="CY628">
        <v>199</v>
      </c>
      <c r="CZ628">
        <v>1907.9</v>
      </c>
      <c r="DA628">
        <v>0</v>
      </c>
      <c r="DB628">
        <v>0</v>
      </c>
      <c r="DC628">
        <v>0</v>
      </c>
      <c r="DD628">
        <v>0</v>
      </c>
      <c r="DE628">
        <v>0</v>
      </c>
      <c r="DF628">
        <v>0</v>
      </c>
      <c r="DG628">
        <v>0</v>
      </c>
      <c r="DH628">
        <v>0</v>
      </c>
      <c r="DI628">
        <v>0</v>
      </c>
      <c r="DJ628">
        <v>0</v>
      </c>
      <c r="DK628">
        <v>0</v>
      </c>
      <c r="DL628">
        <v>0</v>
      </c>
      <c r="DM628">
        <v>1065.4000000000001</v>
      </c>
      <c r="DN628">
        <v>599.70000000000005</v>
      </c>
      <c r="DO628">
        <v>319.7</v>
      </c>
      <c r="DP628">
        <v>1570.6999999999998</v>
      </c>
      <c r="DQ628">
        <v>1399.5</v>
      </c>
      <c r="DR628">
        <v>3581</v>
      </c>
      <c r="DU628">
        <v>1393.2</v>
      </c>
      <c r="DV628">
        <v>2862.6</v>
      </c>
      <c r="DY628">
        <v>2361</v>
      </c>
      <c r="EA628">
        <v>2409.6</v>
      </c>
      <c r="EC628">
        <v>1661.3999999999999</v>
      </c>
      <c r="EE628">
        <v>0</v>
      </c>
      <c r="EF628">
        <v>0</v>
      </c>
      <c r="EG628">
        <v>0</v>
      </c>
      <c r="EH628">
        <v>0</v>
      </c>
      <c r="EI628">
        <v>0</v>
      </c>
      <c r="EJ628">
        <v>0</v>
      </c>
      <c r="EK628">
        <v>0</v>
      </c>
      <c r="EL628">
        <v>0</v>
      </c>
      <c r="EM628">
        <v>0</v>
      </c>
      <c r="EN628">
        <v>0</v>
      </c>
      <c r="EO628">
        <v>0</v>
      </c>
      <c r="EP628">
        <v>944.5</v>
      </c>
      <c r="EQ628">
        <v>3459.7</v>
      </c>
      <c r="ER628">
        <v>1353.5</v>
      </c>
      <c r="ES628">
        <v>182.2</v>
      </c>
      <c r="ET628">
        <v>855.59999999999991</v>
      </c>
      <c r="EU628">
        <v>172.2</v>
      </c>
      <c r="EV628">
        <v>203.2</v>
      </c>
      <c r="EW628">
        <v>1173.0999999999999</v>
      </c>
      <c r="EX628">
        <v>1078.3</v>
      </c>
      <c r="EY628">
        <v>1194.4000000000001</v>
      </c>
      <c r="EZ628">
        <v>1207.0999999999999</v>
      </c>
      <c r="FA628">
        <v>0</v>
      </c>
      <c r="FB628">
        <v>0</v>
      </c>
      <c r="FC628">
        <v>0</v>
      </c>
      <c r="FD628">
        <v>0</v>
      </c>
      <c r="FE628">
        <v>0</v>
      </c>
      <c r="FF628">
        <v>0</v>
      </c>
      <c r="FG628">
        <v>0</v>
      </c>
      <c r="FH628">
        <v>0</v>
      </c>
      <c r="FI628">
        <v>0</v>
      </c>
      <c r="FJ628">
        <v>0</v>
      </c>
      <c r="FK628">
        <v>0</v>
      </c>
      <c r="FL628">
        <v>0</v>
      </c>
      <c r="FM628">
        <v>0</v>
      </c>
      <c r="FN628">
        <v>0</v>
      </c>
      <c r="FO628">
        <v>0</v>
      </c>
      <c r="FP628">
        <v>0</v>
      </c>
      <c r="FQ628">
        <v>0</v>
      </c>
      <c r="FR628">
        <v>0</v>
      </c>
      <c r="FS628">
        <v>0</v>
      </c>
      <c r="FT628">
        <v>0</v>
      </c>
      <c r="FU628">
        <v>0</v>
      </c>
      <c r="FV628">
        <v>0</v>
      </c>
      <c r="FW628">
        <v>0</v>
      </c>
      <c r="FX628">
        <v>0</v>
      </c>
      <c r="FY628">
        <v>0</v>
      </c>
      <c r="FZ628">
        <v>0</v>
      </c>
      <c r="GA628">
        <v>0</v>
      </c>
      <c r="GB628">
        <v>0</v>
      </c>
      <c r="GC628">
        <v>0</v>
      </c>
      <c r="GD628">
        <v>0</v>
      </c>
      <c r="GE628">
        <v>0</v>
      </c>
      <c r="GF628">
        <v>0</v>
      </c>
      <c r="GG628">
        <v>0</v>
      </c>
      <c r="GH628">
        <v>0</v>
      </c>
      <c r="GI628">
        <v>0</v>
      </c>
      <c r="GJ628">
        <v>0</v>
      </c>
      <c r="GK628">
        <v>0</v>
      </c>
      <c r="GL628">
        <v>0</v>
      </c>
      <c r="GO628">
        <v>0</v>
      </c>
      <c r="GP628">
        <v>0</v>
      </c>
      <c r="GQ628">
        <v>0</v>
      </c>
      <c r="GR628">
        <v>0</v>
      </c>
      <c r="GS628">
        <v>0</v>
      </c>
      <c r="GT628">
        <v>0</v>
      </c>
      <c r="GU628">
        <v>0</v>
      </c>
      <c r="GV628">
        <v>0</v>
      </c>
      <c r="GW628">
        <v>0</v>
      </c>
      <c r="GX628">
        <v>0</v>
      </c>
      <c r="GY628">
        <v>0</v>
      </c>
      <c r="GZ628">
        <v>0</v>
      </c>
      <c r="HA628">
        <v>0</v>
      </c>
      <c r="HB628">
        <v>0</v>
      </c>
      <c r="HC628">
        <v>0</v>
      </c>
      <c r="HD628">
        <v>0</v>
      </c>
      <c r="HE628">
        <v>0</v>
      </c>
      <c r="HF628">
        <v>0</v>
      </c>
      <c r="HG628">
        <v>0</v>
      </c>
      <c r="HH628">
        <v>0</v>
      </c>
      <c r="HI628">
        <v>0</v>
      </c>
      <c r="HJ628">
        <v>0</v>
      </c>
      <c r="HK628">
        <v>0</v>
      </c>
      <c r="HL628">
        <v>0</v>
      </c>
      <c r="HM628">
        <v>0</v>
      </c>
      <c r="HN628">
        <v>0</v>
      </c>
      <c r="HO628">
        <v>0</v>
      </c>
      <c r="HP628">
        <v>0</v>
      </c>
      <c r="HQ628">
        <v>0</v>
      </c>
      <c r="HR628">
        <v>0</v>
      </c>
      <c r="HS628">
        <v>0</v>
      </c>
      <c r="HT628">
        <v>0</v>
      </c>
      <c r="HU628">
        <v>0</v>
      </c>
      <c r="HV628">
        <v>0</v>
      </c>
      <c r="HW628">
        <v>404.70000000000005</v>
      </c>
      <c r="HX628">
        <v>342.3</v>
      </c>
      <c r="HZ628">
        <v>866.2</v>
      </c>
      <c r="IA628">
        <v>1142.8</v>
      </c>
      <c r="IB628">
        <v>1121.5</v>
      </c>
      <c r="IC628">
        <v>2403</v>
      </c>
      <c r="ID628">
        <v>2659.3</v>
      </c>
      <c r="IE628">
        <v>1923.4</v>
      </c>
      <c r="IF628">
        <v>1465.7</v>
      </c>
      <c r="IG628">
        <v>1608.3</v>
      </c>
      <c r="IH628">
        <v>0</v>
      </c>
      <c r="II628">
        <v>0</v>
      </c>
      <c r="IJ628">
        <v>0</v>
      </c>
      <c r="IK628">
        <v>0</v>
      </c>
      <c r="IL628">
        <v>0</v>
      </c>
      <c r="IM628">
        <v>0</v>
      </c>
      <c r="IN628">
        <v>0</v>
      </c>
      <c r="IO628">
        <v>0</v>
      </c>
      <c r="IP628">
        <v>75.099999999999994</v>
      </c>
    </row>
    <row r="629" spans="1:250" ht="18" thickBot="1">
      <c r="A629" s="570"/>
      <c r="B629" s="570"/>
      <c r="C629" s="496"/>
      <c r="D629" s="397"/>
      <c r="E629" s="454">
        <v>0</v>
      </c>
      <c r="F629">
        <v>0</v>
      </c>
      <c r="G629" s="427">
        <v>0</v>
      </c>
      <c r="H629" s="155">
        <v>0</v>
      </c>
      <c r="I629">
        <v>0</v>
      </c>
      <c r="J629">
        <v>0</v>
      </c>
      <c r="K629">
        <v>0</v>
      </c>
      <c r="L629" s="4">
        <v>0</v>
      </c>
      <c r="M629" s="4">
        <v>0</v>
      </c>
      <c r="N629" s="4">
        <v>0</v>
      </c>
      <c r="O629" s="4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R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G629">
        <v>0</v>
      </c>
      <c r="BI629">
        <v>0</v>
      </c>
      <c r="BK629">
        <v>0</v>
      </c>
      <c r="BL629">
        <v>0</v>
      </c>
      <c r="BM629">
        <v>0</v>
      </c>
      <c r="BN629">
        <v>0</v>
      </c>
      <c r="BO629">
        <v>344.70000000000005</v>
      </c>
      <c r="BP629">
        <v>625.70000000000005</v>
      </c>
      <c r="BQ629">
        <v>912.2</v>
      </c>
      <c r="BR629">
        <v>237.7</v>
      </c>
      <c r="BS629">
        <v>0</v>
      </c>
      <c r="BT629">
        <v>0</v>
      </c>
      <c r="BU629">
        <v>0</v>
      </c>
      <c r="BV629">
        <v>0</v>
      </c>
      <c r="BW629">
        <v>1647.4</v>
      </c>
      <c r="BY629">
        <v>453.1</v>
      </c>
      <c r="CA629">
        <v>285.39999999999998</v>
      </c>
      <c r="CB629">
        <v>280.8</v>
      </c>
      <c r="CC629">
        <v>127.7</v>
      </c>
      <c r="CD629">
        <v>0</v>
      </c>
      <c r="CE629">
        <v>0</v>
      </c>
      <c r="CF629">
        <v>0</v>
      </c>
      <c r="CG629">
        <v>0</v>
      </c>
      <c r="CI629">
        <v>0</v>
      </c>
      <c r="CJ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621.70000000000005</v>
      </c>
      <c r="CR629">
        <v>481.70000000000005</v>
      </c>
      <c r="CS629">
        <v>0</v>
      </c>
      <c r="CT629">
        <v>524.6</v>
      </c>
      <c r="CU629">
        <v>514.1</v>
      </c>
      <c r="CV629">
        <v>175.2</v>
      </c>
      <c r="CW629">
        <v>0</v>
      </c>
      <c r="CX629">
        <v>65.099999999999994</v>
      </c>
      <c r="CY629">
        <v>199</v>
      </c>
      <c r="CZ629">
        <v>1907.9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1065.4000000000001</v>
      </c>
      <c r="DN629">
        <v>599.70000000000005</v>
      </c>
      <c r="DO629">
        <v>319.7</v>
      </c>
      <c r="DP629">
        <v>1570.6999999999998</v>
      </c>
      <c r="DQ629">
        <v>1399.5</v>
      </c>
      <c r="DR629">
        <v>3581</v>
      </c>
      <c r="DU629">
        <v>1393.2</v>
      </c>
      <c r="DV629">
        <v>2862.6</v>
      </c>
      <c r="DY629">
        <v>2361</v>
      </c>
      <c r="EA629">
        <v>2409.6</v>
      </c>
      <c r="EC629">
        <v>1661.3999999999999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944.5</v>
      </c>
      <c r="EQ629">
        <v>3459.7</v>
      </c>
      <c r="ER629">
        <v>1353.5</v>
      </c>
      <c r="ES629">
        <v>182.2</v>
      </c>
      <c r="ET629">
        <v>855.59999999999991</v>
      </c>
      <c r="EU629">
        <v>172.2</v>
      </c>
      <c r="EV629">
        <v>203.2</v>
      </c>
      <c r="EW629">
        <v>1173.0999999999999</v>
      </c>
      <c r="EX629">
        <v>1078.3</v>
      </c>
      <c r="EY629">
        <v>1194.4000000000001</v>
      </c>
      <c r="EZ629">
        <v>1207.0999999999999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</v>
      </c>
      <c r="FI629">
        <v>0</v>
      </c>
      <c r="FJ629">
        <v>0</v>
      </c>
      <c r="FK629">
        <v>0</v>
      </c>
      <c r="FL629">
        <v>0</v>
      </c>
      <c r="FM629">
        <v>0</v>
      </c>
      <c r="FN629">
        <v>0</v>
      </c>
      <c r="FO629">
        <v>0</v>
      </c>
      <c r="FP629">
        <v>0</v>
      </c>
      <c r="FQ629">
        <v>0</v>
      </c>
      <c r="FR629">
        <v>0</v>
      </c>
      <c r="FS629">
        <v>0</v>
      </c>
      <c r="FT629">
        <v>0</v>
      </c>
      <c r="FU629">
        <v>0</v>
      </c>
      <c r="FV629">
        <v>0</v>
      </c>
      <c r="FW629">
        <v>0</v>
      </c>
      <c r="FX629">
        <v>0</v>
      </c>
      <c r="FY629">
        <v>0</v>
      </c>
      <c r="FZ629">
        <v>0</v>
      </c>
      <c r="GA629">
        <v>0</v>
      </c>
      <c r="GB629">
        <v>0</v>
      </c>
      <c r="GC629">
        <v>0</v>
      </c>
      <c r="GD629">
        <v>0</v>
      </c>
      <c r="GE629">
        <v>0</v>
      </c>
      <c r="GF629">
        <v>0</v>
      </c>
      <c r="GG629">
        <v>0</v>
      </c>
      <c r="GH629">
        <v>0</v>
      </c>
      <c r="GI629">
        <v>0</v>
      </c>
      <c r="GJ629">
        <v>0</v>
      </c>
      <c r="GK629">
        <v>0</v>
      </c>
      <c r="GL629">
        <v>0</v>
      </c>
      <c r="GO629">
        <v>0</v>
      </c>
      <c r="GP629">
        <v>0</v>
      </c>
      <c r="GQ629">
        <v>0</v>
      </c>
      <c r="GR629">
        <v>0</v>
      </c>
      <c r="GS629">
        <v>0</v>
      </c>
      <c r="GT629">
        <v>0</v>
      </c>
      <c r="GU629">
        <v>0</v>
      </c>
      <c r="GV629">
        <v>0</v>
      </c>
      <c r="GW629">
        <v>0</v>
      </c>
      <c r="GX629">
        <v>0</v>
      </c>
      <c r="GY629">
        <v>0</v>
      </c>
      <c r="GZ629">
        <v>0</v>
      </c>
      <c r="HA629">
        <v>0</v>
      </c>
      <c r="HB629">
        <v>0</v>
      </c>
      <c r="HC629">
        <v>0</v>
      </c>
      <c r="HD629">
        <v>0</v>
      </c>
      <c r="HE629">
        <v>0</v>
      </c>
      <c r="HF629">
        <v>0</v>
      </c>
      <c r="HG629">
        <v>0</v>
      </c>
      <c r="HH629">
        <v>0</v>
      </c>
      <c r="HI629">
        <v>0</v>
      </c>
      <c r="HJ629">
        <v>0</v>
      </c>
      <c r="HK629">
        <v>0</v>
      </c>
      <c r="HL629">
        <v>0</v>
      </c>
      <c r="HM629">
        <v>0</v>
      </c>
      <c r="HN629">
        <v>0</v>
      </c>
      <c r="HO629">
        <v>0</v>
      </c>
      <c r="HP629">
        <v>0</v>
      </c>
      <c r="HQ629">
        <v>0</v>
      </c>
      <c r="HR629">
        <v>0</v>
      </c>
      <c r="HS629">
        <v>0</v>
      </c>
      <c r="HT629">
        <v>0</v>
      </c>
      <c r="HU629">
        <v>0</v>
      </c>
      <c r="HV629">
        <v>0</v>
      </c>
      <c r="HW629">
        <v>404.70000000000005</v>
      </c>
      <c r="HX629">
        <v>342.3</v>
      </c>
      <c r="HZ629">
        <v>866.2</v>
      </c>
      <c r="IA629">
        <v>1142.8</v>
      </c>
      <c r="IB629">
        <v>1121.5</v>
      </c>
      <c r="IC629">
        <v>2403</v>
      </c>
      <c r="ID629">
        <v>2659.3</v>
      </c>
      <c r="IE629">
        <v>1923.4</v>
      </c>
      <c r="IF629">
        <v>1465.7</v>
      </c>
      <c r="IG629">
        <v>1608.3</v>
      </c>
      <c r="IH629">
        <v>0</v>
      </c>
      <c r="II629">
        <v>0</v>
      </c>
      <c r="IJ629">
        <v>0</v>
      </c>
      <c r="IK629">
        <v>0</v>
      </c>
      <c r="IL629">
        <v>0</v>
      </c>
      <c r="IM629">
        <v>0</v>
      </c>
      <c r="IN629">
        <v>0</v>
      </c>
      <c r="IO629">
        <v>0</v>
      </c>
      <c r="IP629">
        <v>75.099999999999994</v>
      </c>
    </row>
    <row r="630" spans="1:250" ht="18" thickBot="1">
      <c r="A630" s="245"/>
      <c r="B630" s="245" t="s">
        <v>958</v>
      </c>
      <c r="C630" s="230" t="s">
        <v>1079</v>
      </c>
      <c r="D630" s="397"/>
      <c r="E630" s="454">
        <v>0</v>
      </c>
      <c r="F630">
        <v>0</v>
      </c>
      <c r="G630" s="427">
        <v>0</v>
      </c>
      <c r="H630" s="155">
        <v>0</v>
      </c>
      <c r="I630">
        <v>0</v>
      </c>
      <c r="J630">
        <v>0</v>
      </c>
      <c r="K630">
        <v>0</v>
      </c>
      <c r="L630" s="4">
        <v>0</v>
      </c>
      <c r="M630" s="4">
        <v>0</v>
      </c>
      <c r="N630" s="4">
        <v>0</v>
      </c>
      <c r="O630" s="4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R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G630">
        <v>0</v>
      </c>
      <c r="BI630">
        <v>0</v>
      </c>
      <c r="BK630">
        <v>0</v>
      </c>
      <c r="BL630">
        <v>0</v>
      </c>
      <c r="BM630">
        <v>0</v>
      </c>
      <c r="BN630">
        <v>0</v>
      </c>
      <c r="BO630">
        <v>344.70000000000005</v>
      </c>
      <c r="BP630">
        <v>625.70000000000005</v>
      </c>
      <c r="BQ630">
        <v>912.2</v>
      </c>
      <c r="BR630">
        <v>237.7</v>
      </c>
      <c r="BS630">
        <v>0</v>
      </c>
      <c r="BT630">
        <v>0</v>
      </c>
      <c r="BU630">
        <v>0</v>
      </c>
      <c r="BV630">
        <v>0</v>
      </c>
      <c r="BW630">
        <v>1647.4</v>
      </c>
      <c r="BY630">
        <v>453.1</v>
      </c>
      <c r="CA630">
        <v>285.39999999999998</v>
      </c>
      <c r="CB630">
        <v>280.8</v>
      </c>
      <c r="CC630">
        <v>127.7</v>
      </c>
      <c r="CD630">
        <v>0</v>
      </c>
      <c r="CE630">
        <v>0</v>
      </c>
      <c r="CF630">
        <v>0</v>
      </c>
      <c r="CG630">
        <v>0</v>
      </c>
      <c r="CI630">
        <v>0</v>
      </c>
      <c r="CJ630">
        <v>0</v>
      </c>
      <c r="CL630">
        <v>0</v>
      </c>
      <c r="CM630">
        <v>0</v>
      </c>
      <c r="CN630">
        <v>0</v>
      </c>
      <c r="CO630">
        <v>0</v>
      </c>
      <c r="CP630">
        <v>0</v>
      </c>
      <c r="CQ630">
        <v>621.70000000000005</v>
      </c>
      <c r="CR630">
        <v>481.70000000000005</v>
      </c>
      <c r="CS630">
        <v>0</v>
      </c>
      <c r="CT630">
        <v>524.6</v>
      </c>
      <c r="CU630">
        <v>514.1</v>
      </c>
      <c r="CV630">
        <v>175.2</v>
      </c>
      <c r="CW630">
        <v>0</v>
      </c>
      <c r="CX630">
        <v>65.099999999999994</v>
      </c>
      <c r="CY630">
        <v>199</v>
      </c>
      <c r="CZ630">
        <v>1907.9</v>
      </c>
      <c r="DA630">
        <v>0</v>
      </c>
      <c r="DB630">
        <v>0</v>
      </c>
      <c r="DC630">
        <v>0</v>
      </c>
      <c r="DD630">
        <v>0</v>
      </c>
      <c r="DE630">
        <v>0</v>
      </c>
      <c r="DF630">
        <v>0</v>
      </c>
      <c r="DG630">
        <v>0</v>
      </c>
      <c r="DH630">
        <v>0</v>
      </c>
      <c r="DI630">
        <v>0</v>
      </c>
      <c r="DJ630">
        <v>0</v>
      </c>
      <c r="DK630">
        <v>0</v>
      </c>
      <c r="DL630">
        <v>0</v>
      </c>
      <c r="DM630">
        <v>1065.4000000000001</v>
      </c>
      <c r="DN630">
        <v>599.70000000000005</v>
      </c>
      <c r="DO630">
        <v>319.7</v>
      </c>
      <c r="DP630">
        <v>1570.6999999999998</v>
      </c>
      <c r="DQ630">
        <v>1399.5</v>
      </c>
      <c r="DR630">
        <v>3581</v>
      </c>
      <c r="DU630">
        <v>1393.2</v>
      </c>
      <c r="DV630">
        <v>2862.6</v>
      </c>
      <c r="DY630">
        <v>2361</v>
      </c>
      <c r="EA630">
        <v>2409.6</v>
      </c>
      <c r="EC630">
        <v>1661.3999999999999</v>
      </c>
      <c r="EE630">
        <v>0</v>
      </c>
      <c r="EF630">
        <v>0</v>
      </c>
      <c r="EG630">
        <v>0</v>
      </c>
      <c r="EH630">
        <v>0</v>
      </c>
      <c r="EI630">
        <v>0</v>
      </c>
      <c r="EJ630">
        <v>0</v>
      </c>
      <c r="EK630">
        <v>0</v>
      </c>
      <c r="EL630">
        <v>0</v>
      </c>
      <c r="EM630">
        <v>0</v>
      </c>
      <c r="EN630">
        <v>0</v>
      </c>
      <c r="EO630">
        <v>0</v>
      </c>
      <c r="EP630">
        <v>944.5</v>
      </c>
      <c r="EQ630">
        <v>3459.7</v>
      </c>
      <c r="ER630">
        <v>1353.5</v>
      </c>
      <c r="ES630">
        <v>182.2</v>
      </c>
      <c r="ET630">
        <v>855.59999999999991</v>
      </c>
      <c r="EU630">
        <v>172.2</v>
      </c>
      <c r="EV630">
        <v>203.2</v>
      </c>
      <c r="EW630">
        <v>1173.0999999999999</v>
      </c>
      <c r="EX630">
        <v>1078.3</v>
      </c>
      <c r="EY630">
        <v>1194.4000000000001</v>
      </c>
      <c r="EZ630">
        <v>1207.0999999999999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0</v>
      </c>
      <c r="FG630">
        <v>0</v>
      </c>
      <c r="FH630">
        <v>0</v>
      </c>
      <c r="FI630">
        <v>0</v>
      </c>
      <c r="FJ630">
        <v>0</v>
      </c>
      <c r="FK630">
        <v>0</v>
      </c>
      <c r="FL630">
        <v>0</v>
      </c>
      <c r="FM630">
        <v>0</v>
      </c>
      <c r="FN630">
        <v>0</v>
      </c>
      <c r="FO630">
        <v>0</v>
      </c>
      <c r="FP630">
        <v>0</v>
      </c>
      <c r="FQ630">
        <v>0</v>
      </c>
      <c r="FR630">
        <v>0</v>
      </c>
      <c r="FS630">
        <v>0</v>
      </c>
      <c r="FT630">
        <v>0</v>
      </c>
      <c r="FU630">
        <v>0</v>
      </c>
      <c r="FV630">
        <v>0</v>
      </c>
      <c r="FW630">
        <v>0</v>
      </c>
      <c r="FX630">
        <v>0</v>
      </c>
      <c r="FY630">
        <v>0</v>
      </c>
      <c r="FZ630">
        <v>0</v>
      </c>
      <c r="GA630">
        <v>0</v>
      </c>
      <c r="GB630">
        <v>0</v>
      </c>
      <c r="GC630">
        <v>0</v>
      </c>
      <c r="GD630">
        <v>0</v>
      </c>
      <c r="GE630">
        <v>0</v>
      </c>
      <c r="GF630">
        <v>0</v>
      </c>
      <c r="GG630">
        <v>0</v>
      </c>
      <c r="GH630">
        <v>0</v>
      </c>
      <c r="GI630">
        <v>0</v>
      </c>
      <c r="GJ630">
        <v>0</v>
      </c>
      <c r="GK630">
        <v>0</v>
      </c>
      <c r="GL630">
        <v>0</v>
      </c>
      <c r="GO630">
        <v>0</v>
      </c>
      <c r="GP630">
        <v>0</v>
      </c>
      <c r="GQ630">
        <v>0</v>
      </c>
      <c r="GR630">
        <v>0</v>
      </c>
      <c r="GS630">
        <v>0</v>
      </c>
      <c r="GT630">
        <v>0</v>
      </c>
      <c r="GU630">
        <v>0</v>
      </c>
      <c r="GV630">
        <v>0</v>
      </c>
      <c r="GW630">
        <v>0</v>
      </c>
      <c r="GX630">
        <v>0</v>
      </c>
      <c r="GY630">
        <v>0</v>
      </c>
      <c r="GZ630">
        <v>0</v>
      </c>
      <c r="HA630">
        <v>0</v>
      </c>
      <c r="HB630">
        <v>0</v>
      </c>
      <c r="HC630">
        <v>0</v>
      </c>
      <c r="HD630">
        <v>0</v>
      </c>
      <c r="HE630">
        <v>0</v>
      </c>
      <c r="HF630">
        <v>0</v>
      </c>
      <c r="HG630">
        <v>0</v>
      </c>
      <c r="HH630">
        <v>0</v>
      </c>
      <c r="HI630">
        <v>0</v>
      </c>
      <c r="HJ630">
        <v>0</v>
      </c>
      <c r="HK630">
        <v>0</v>
      </c>
      <c r="HL630">
        <v>0</v>
      </c>
      <c r="HM630">
        <v>0</v>
      </c>
      <c r="HN630">
        <v>0</v>
      </c>
      <c r="HO630">
        <v>0</v>
      </c>
      <c r="HP630">
        <v>0</v>
      </c>
      <c r="HQ630">
        <v>0</v>
      </c>
      <c r="HR630">
        <v>0</v>
      </c>
      <c r="HS630">
        <v>0</v>
      </c>
      <c r="HT630">
        <v>0</v>
      </c>
      <c r="HU630">
        <v>0</v>
      </c>
      <c r="HV630">
        <v>0</v>
      </c>
      <c r="HW630">
        <v>404.70000000000005</v>
      </c>
      <c r="HX630">
        <v>342.3</v>
      </c>
      <c r="HZ630">
        <v>866.2</v>
      </c>
      <c r="IA630">
        <v>1142.8</v>
      </c>
      <c r="IB630">
        <v>1121.5</v>
      </c>
      <c r="IC630">
        <v>2403</v>
      </c>
      <c r="ID630">
        <v>2659.3</v>
      </c>
      <c r="IE630">
        <v>1923.4</v>
      </c>
      <c r="IF630">
        <v>1465.7</v>
      </c>
      <c r="IG630">
        <v>1608.3</v>
      </c>
      <c r="IH630">
        <v>0</v>
      </c>
      <c r="II630">
        <v>0</v>
      </c>
      <c r="IJ630">
        <v>0</v>
      </c>
      <c r="IK630">
        <v>0</v>
      </c>
      <c r="IL630">
        <v>0</v>
      </c>
      <c r="IM630">
        <v>0</v>
      </c>
      <c r="IN630">
        <v>0</v>
      </c>
      <c r="IO630">
        <v>0</v>
      </c>
      <c r="IP630">
        <v>75.099999999999994</v>
      </c>
    </row>
    <row r="631" spans="1:250" ht="18" thickBot="1">
      <c r="A631" s="245"/>
      <c r="B631" s="245" t="s">
        <v>490</v>
      </c>
      <c r="C631" s="332" t="s">
        <v>1080</v>
      </c>
      <c r="D631" s="396"/>
      <c r="E631" s="454">
        <v>0</v>
      </c>
      <c r="F631">
        <v>0</v>
      </c>
      <c r="G631" s="427">
        <v>0</v>
      </c>
      <c r="H631" s="155">
        <v>0</v>
      </c>
      <c r="I631">
        <v>0</v>
      </c>
      <c r="J631">
        <v>0</v>
      </c>
      <c r="K631">
        <v>0</v>
      </c>
      <c r="L631" s="4">
        <v>0</v>
      </c>
      <c r="M631" s="4">
        <v>0</v>
      </c>
      <c r="N631" s="4">
        <v>0</v>
      </c>
      <c r="O631" s="4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R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G631">
        <v>0</v>
      </c>
      <c r="BI631">
        <v>0</v>
      </c>
      <c r="BK631">
        <v>0</v>
      </c>
      <c r="BL631">
        <v>0</v>
      </c>
      <c r="BM631">
        <v>0</v>
      </c>
      <c r="BN631">
        <v>0</v>
      </c>
      <c r="BO631">
        <v>344.70000000000005</v>
      </c>
      <c r="BP631">
        <v>625.70000000000005</v>
      </c>
      <c r="BQ631">
        <v>912.2</v>
      </c>
      <c r="BR631">
        <v>237.7</v>
      </c>
      <c r="BS631">
        <v>0</v>
      </c>
      <c r="BT631">
        <v>0</v>
      </c>
      <c r="BU631">
        <v>0</v>
      </c>
      <c r="BV631">
        <v>0</v>
      </c>
      <c r="BW631">
        <v>1647.4</v>
      </c>
      <c r="BY631">
        <v>453.1</v>
      </c>
      <c r="CA631">
        <v>285.39999999999998</v>
      </c>
      <c r="CB631">
        <v>280.8</v>
      </c>
      <c r="CC631">
        <v>127.7</v>
      </c>
      <c r="CD631">
        <v>0</v>
      </c>
      <c r="CE631">
        <v>0</v>
      </c>
      <c r="CF631">
        <v>0</v>
      </c>
      <c r="CG631">
        <v>0</v>
      </c>
      <c r="CI631">
        <v>0</v>
      </c>
      <c r="CJ631">
        <v>0</v>
      </c>
      <c r="CL631">
        <v>0</v>
      </c>
      <c r="CM631">
        <v>0</v>
      </c>
      <c r="CN631">
        <v>0</v>
      </c>
      <c r="CO631">
        <v>0</v>
      </c>
      <c r="CP631">
        <v>0</v>
      </c>
      <c r="CQ631">
        <v>621.70000000000005</v>
      </c>
      <c r="CR631">
        <v>481.70000000000005</v>
      </c>
      <c r="CS631">
        <v>0</v>
      </c>
      <c r="CT631">
        <v>524.6</v>
      </c>
      <c r="CU631">
        <v>514.1</v>
      </c>
      <c r="CV631">
        <v>175.2</v>
      </c>
      <c r="CW631">
        <v>0</v>
      </c>
      <c r="CX631">
        <v>65.099999999999994</v>
      </c>
      <c r="CY631">
        <v>199</v>
      </c>
      <c r="CZ631">
        <v>1907.9</v>
      </c>
      <c r="DA631">
        <v>0</v>
      </c>
      <c r="DB631">
        <v>0</v>
      </c>
      <c r="DC631">
        <v>0</v>
      </c>
      <c r="DD631">
        <v>0</v>
      </c>
      <c r="DE631">
        <v>0</v>
      </c>
      <c r="DF631">
        <v>0</v>
      </c>
      <c r="DG631">
        <v>0</v>
      </c>
      <c r="DH631">
        <v>0</v>
      </c>
      <c r="DI631">
        <v>0</v>
      </c>
      <c r="DJ631">
        <v>0</v>
      </c>
      <c r="DK631">
        <v>0</v>
      </c>
      <c r="DL631">
        <v>0</v>
      </c>
      <c r="DM631">
        <v>1065.4000000000001</v>
      </c>
      <c r="DN631">
        <v>599.70000000000005</v>
      </c>
      <c r="DO631">
        <v>319.7</v>
      </c>
      <c r="DP631">
        <v>1570.6999999999998</v>
      </c>
      <c r="DQ631">
        <v>1399.5</v>
      </c>
      <c r="DR631">
        <v>3581</v>
      </c>
      <c r="DU631">
        <v>1393.2</v>
      </c>
      <c r="DV631">
        <v>2862.6</v>
      </c>
      <c r="DY631">
        <v>2361</v>
      </c>
      <c r="EA631">
        <v>2409.6</v>
      </c>
      <c r="EC631">
        <v>1661.3999999999999</v>
      </c>
      <c r="EE631">
        <v>0</v>
      </c>
      <c r="EF631">
        <v>0</v>
      </c>
      <c r="EG631">
        <v>0</v>
      </c>
      <c r="EH631">
        <v>0</v>
      </c>
      <c r="EI631">
        <v>0</v>
      </c>
      <c r="EJ631">
        <v>0</v>
      </c>
      <c r="EK631">
        <v>0</v>
      </c>
      <c r="EL631">
        <v>0</v>
      </c>
      <c r="EM631">
        <v>0</v>
      </c>
      <c r="EN631">
        <v>0</v>
      </c>
      <c r="EO631">
        <v>0</v>
      </c>
      <c r="EP631">
        <v>944.5</v>
      </c>
      <c r="EQ631">
        <v>3459.7</v>
      </c>
      <c r="ER631">
        <v>1353.5</v>
      </c>
      <c r="ES631">
        <v>182.2</v>
      </c>
      <c r="ET631">
        <v>855.59999999999991</v>
      </c>
      <c r="EU631">
        <v>172.2</v>
      </c>
      <c r="EV631">
        <v>203.2</v>
      </c>
      <c r="EW631">
        <v>1173.0999999999999</v>
      </c>
      <c r="EX631">
        <v>1078.3</v>
      </c>
      <c r="EY631">
        <v>1194.4000000000001</v>
      </c>
      <c r="EZ631">
        <v>1207.0999999999999</v>
      </c>
      <c r="FA631">
        <v>0</v>
      </c>
      <c r="FB631">
        <v>0</v>
      </c>
      <c r="FC631">
        <v>0</v>
      </c>
      <c r="FD631">
        <v>0</v>
      </c>
      <c r="FE631">
        <v>0</v>
      </c>
      <c r="FF631">
        <v>0</v>
      </c>
      <c r="FG631">
        <v>0</v>
      </c>
      <c r="FH631">
        <v>0</v>
      </c>
      <c r="FI631">
        <v>0</v>
      </c>
      <c r="FJ631">
        <v>0</v>
      </c>
      <c r="FK631">
        <v>0</v>
      </c>
      <c r="FL631">
        <v>0</v>
      </c>
      <c r="FM631">
        <v>0</v>
      </c>
      <c r="FN631">
        <v>0</v>
      </c>
      <c r="FO631">
        <v>0</v>
      </c>
      <c r="FP631">
        <v>0</v>
      </c>
      <c r="FQ631">
        <v>0</v>
      </c>
      <c r="FR631">
        <v>0</v>
      </c>
      <c r="FS631">
        <v>0</v>
      </c>
      <c r="FT631">
        <v>0</v>
      </c>
      <c r="FU631">
        <v>0</v>
      </c>
      <c r="FV631">
        <v>0</v>
      </c>
      <c r="FW631">
        <v>0</v>
      </c>
      <c r="FX631">
        <v>0</v>
      </c>
      <c r="FY631">
        <v>0</v>
      </c>
      <c r="FZ631">
        <v>0</v>
      </c>
      <c r="GA631">
        <v>0</v>
      </c>
      <c r="GB631">
        <v>0</v>
      </c>
      <c r="GC631">
        <v>0</v>
      </c>
      <c r="GD631">
        <v>0</v>
      </c>
      <c r="GE631">
        <v>0</v>
      </c>
      <c r="GF631">
        <v>0</v>
      </c>
      <c r="GG631">
        <v>0</v>
      </c>
      <c r="GH631">
        <v>0</v>
      </c>
      <c r="GI631">
        <v>0</v>
      </c>
      <c r="GJ631">
        <v>0</v>
      </c>
      <c r="GK631">
        <v>0</v>
      </c>
      <c r="GL631">
        <v>0</v>
      </c>
      <c r="GO631">
        <v>0</v>
      </c>
      <c r="GP631">
        <v>0</v>
      </c>
      <c r="GQ631">
        <v>0</v>
      </c>
      <c r="GR631">
        <v>0</v>
      </c>
      <c r="GS631">
        <v>0</v>
      </c>
      <c r="GT631">
        <v>0</v>
      </c>
      <c r="GU631">
        <v>0</v>
      </c>
      <c r="GV631">
        <v>0</v>
      </c>
      <c r="GW631">
        <v>0</v>
      </c>
      <c r="GX631">
        <v>0</v>
      </c>
      <c r="GY631">
        <v>0</v>
      </c>
      <c r="GZ631">
        <v>0</v>
      </c>
      <c r="HA631">
        <v>0</v>
      </c>
      <c r="HB631">
        <v>0</v>
      </c>
      <c r="HC631">
        <v>0</v>
      </c>
      <c r="HD631">
        <v>0</v>
      </c>
      <c r="HE631">
        <v>0</v>
      </c>
      <c r="HF631">
        <v>0</v>
      </c>
      <c r="HG631">
        <v>0</v>
      </c>
      <c r="HH631">
        <v>0</v>
      </c>
      <c r="HI631">
        <v>0</v>
      </c>
      <c r="HJ631">
        <v>0</v>
      </c>
      <c r="HK631">
        <v>0</v>
      </c>
      <c r="HL631">
        <v>0</v>
      </c>
      <c r="HM631">
        <v>0</v>
      </c>
      <c r="HN631">
        <v>0</v>
      </c>
      <c r="HO631">
        <v>0</v>
      </c>
      <c r="HP631">
        <v>0</v>
      </c>
      <c r="HQ631">
        <v>0</v>
      </c>
      <c r="HR631">
        <v>0</v>
      </c>
      <c r="HS631">
        <v>0</v>
      </c>
      <c r="HT631">
        <v>0</v>
      </c>
      <c r="HU631">
        <v>0</v>
      </c>
      <c r="HV631">
        <v>0</v>
      </c>
      <c r="HW631">
        <v>404.70000000000005</v>
      </c>
      <c r="HX631">
        <v>342.3</v>
      </c>
      <c r="HZ631">
        <v>866.2</v>
      </c>
      <c r="IA631">
        <v>1142.8</v>
      </c>
      <c r="IB631">
        <v>1121.5</v>
      </c>
      <c r="IC631">
        <v>2403</v>
      </c>
      <c r="ID631">
        <v>2659.3</v>
      </c>
      <c r="IE631">
        <v>1923.4</v>
      </c>
      <c r="IF631">
        <v>1465.7</v>
      </c>
      <c r="IG631">
        <v>1608.3</v>
      </c>
      <c r="IH631">
        <v>0</v>
      </c>
      <c r="II631">
        <v>0</v>
      </c>
      <c r="IJ631">
        <v>0</v>
      </c>
      <c r="IK631">
        <v>0</v>
      </c>
      <c r="IL631">
        <v>0</v>
      </c>
      <c r="IM631">
        <v>0</v>
      </c>
      <c r="IN631">
        <v>0</v>
      </c>
      <c r="IO631">
        <v>0</v>
      </c>
      <c r="IP631">
        <v>75.099999999999994</v>
      </c>
    </row>
    <row r="632" spans="1:250" ht="18" thickBot="1">
      <c r="A632" s="245"/>
      <c r="B632" s="245" t="s">
        <v>491</v>
      </c>
      <c r="C632" s="332" t="s">
        <v>1081</v>
      </c>
      <c r="D632" s="396"/>
      <c r="E632" s="454">
        <v>0</v>
      </c>
      <c r="F632">
        <v>0</v>
      </c>
      <c r="G632" s="427">
        <v>0</v>
      </c>
      <c r="H632" s="155">
        <v>0</v>
      </c>
      <c r="I632">
        <v>0</v>
      </c>
      <c r="J632">
        <v>0</v>
      </c>
      <c r="K632">
        <v>0</v>
      </c>
      <c r="L632" s="4">
        <v>0</v>
      </c>
      <c r="M632" s="4">
        <v>0</v>
      </c>
      <c r="N632" s="4">
        <v>0</v>
      </c>
      <c r="O632" s="4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R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G632">
        <v>0</v>
      </c>
      <c r="BI632">
        <v>0</v>
      </c>
      <c r="BK632">
        <v>0</v>
      </c>
      <c r="BL632">
        <v>0</v>
      </c>
      <c r="BM632">
        <v>0</v>
      </c>
      <c r="BN632">
        <v>0</v>
      </c>
      <c r="BO632">
        <v>344.70000000000005</v>
      </c>
      <c r="BP632">
        <v>625.70000000000005</v>
      </c>
      <c r="BQ632">
        <v>912.2</v>
      </c>
      <c r="BR632">
        <v>237.7</v>
      </c>
      <c r="BS632">
        <v>0</v>
      </c>
      <c r="BT632">
        <v>0</v>
      </c>
      <c r="BU632">
        <v>0</v>
      </c>
      <c r="BV632">
        <v>0</v>
      </c>
      <c r="BW632">
        <v>1647.4</v>
      </c>
      <c r="BY632">
        <v>453.1</v>
      </c>
      <c r="CA632">
        <v>285.39999999999998</v>
      </c>
      <c r="CB632">
        <v>280.8</v>
      </c>
      <c r="CC632">
        <v>127.7</v>
      </c>
      <c r="CD632">
        <v>0</v>
      </c>
      <c r="CE632">
        <v>0</v>
      </c>
      <c r="CF632">
        <v>0</v>
      </c>
      <c r="CG632">
        <v>0</v>
      </c>
      <c r="CI632">
        <v>0</v>
      </c>
      <c r="CJ632">
        <v>0</v>
      </c>
      <c r="CL632">
        <v>0</v>
      </c>
      <c r="CM632">
        <v>0</v>
      </c>
      <c r="CN632">
        <v>0</v>
      </c>
      <c r="CO632">
        <v>0</v>
      </c>
      <c r="CP632">
        <v>0</v>
      </c>
      <c r="CQ632">
        <v>621.70000000000005</v>
      </c>
      <c r="CR632">
        <v>481.70000000000005</v>
      </c>
      <c r="CS632">
        <v>0</v>
      </c>
      <c r="CT632">
        <v>524.6</v>
      </c>
      <c r="CU632">
        <v>514.1</v>
      </c>
      <c r="CV632">
        <v>175.2</v>
      </c>
      <c r="CW632">
        <v>0</v>
      </c>
      <c r="CX632">
        <v>65.099999999999994</v>
      </c>
      <c r="CY632">
        <v>199</v>
      </c>
      <c r="CZ632">
        <v>1907.9</v>
      </c>
      <c r="DA632">
        <v>0</v>
      </c>
      <c r="DB632">
        <v>0</v>
      </c>
      <c r="DC632">
        <v>0</v>
      </c>
      <c r="DD632">
        <v>0</v>
      </c>
      <c r="DE632">
        <v>0</v>
      </c>
      <c r="DF632">
        <v>0</v>
      </c>
      <c r="DG632">
        <v>0</v>
      </c>
      <c r="DH632">
        <v>0</v>
      </c>
      <c r="DI632">
        <v>0</v>
      </c>
      <c r="DJ632">
        <v>0</v>
      </c>
      <c r="DK632">
        <v>0</v>
      </c>
      <c r="DL632">
        <v>0</v>
      </c>
      <c r="DM632">
        <v>1065.4000000000001</v>
      </c>
      <c r="DN632">
        <v>599.70000000000005</v>
      </c>
      <c r="DO632">
        <v>319.7</v>
      </c>
      <c r="DP632">
        <v>1570.6999999999998</v>
      </c>
      <c r="DQ632">
        <v>1399.5</v>
      </c>
      <c r="DR632">
        <v>3581</v>
      </c>
      <c r="DU632">
        <v>1393.2</v>
      </c>
      <c r="DV632">
        <v>2862.6</v>
      </c>
      <c r="DY632">
        <v>2361</v>
      </c>
      <c r="EA632">
        <v>2409.6</v>
      </c>
      <c r="EC632">
        <v>1661.3999999999999</v>
      </c>
      <c r="EE632">
        <v>0</v>
      </c>
      <c r="EF632">
        <v>0</v>
      </c>
      <c r="EG632">
        <v>0</v>
      </c>
      <c r="EH632">
        <v>0</v>
      </c>
      <c r="EI632">
        <v>0</v>
      </c>
      <c r="EJ632">
        <v>0</v>
      </c>
      <c r="EK632">
        <v>0</v>
      </c>
      <c r="EL632">
        <v>0</v>
      </c>
      <c r="EM632">
        <v>0</v>
      </c>
      <c r="EN632">
        <v>0</v>
      </c>
      <c r="EO632">
        <v>0</v>
      </c>
      <c r="EP632">
        <v>944.5</v>
      </c>
      <c r="EQ632">
        <v>3459.7</v>
      </c>
      <c r="ER632">
        <v>1353.5</v>
      </c>
      <c r="ES632">
        <v>182.2</v>
      </c>
      <c r="ET632">
        <v>855.59999999999991</v>
      </c>
      <c r="EU632">
        <v>172.2</v>
      </c>
      <c r="EV632">
        <v>203.2</v>
      </c>
      <c r="EW632">
        <v>1173.0999999999999</v>
      </c>
      <c r="EX632">
        <v>1078.3</v>
      </c>
      <c r="EY632">
        <v>1194.4000000000001</v>
      </c>
      <c r="EZ632">
        <v>1207.0999999999999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0</v>
      </c>
      <c r="FH632">
        <v>0</v>
      </c>
      <c r="FI632">
        <v>0</v>
      </c>
      <c r="FJ632">
        <v>0</v>
      </c>
      <c r="FK632">
        <v>0</v>
      </c>
      <c r="FL632">
        <v>0</v>
      </c>
      <c r="FM632">
        <v>0</v>
      </c>
      <c r="FN632">
        <v>0</v>
      </c>
      <c r="FO632">
        <v>0</v>
      </c>
      <c r="FP632">
        <v>0</v>
      </c>
      <c r="FQ632">
        <v>0</v>
      </c>
      <c r="FR632">
        <v>0</v>
      </c>
      <c r="FS632">
        <v>0</v>
      </c>
      <c r="FT632">
        <v>0</v>
      </c>
      <c r="FU632">
        <v>0</v>
      </c>
      <c r="FV632">
        <v>0</v>
      </c>
      <c r="FW632">
        <v>0</v>
      </c>
      <c r="FX632">
        <v>0</v>
      </c>
      <c r="FY632">
        <v>0</v>
      </c>
      <c r="FZ632">
        <v>0</v>
      </c>
      <c r="GA632">
        <v>0</v>
      </c>
      <c r="GB632">
        <v>0</v>
      </c>
      <c r="GC632">
        <v>0</v>
      </c>
      <c r="GD632">
        <v>0</v>
      </c>
      <c r="GE632">
        <v>0</v>
      </c>
      <c r="GF632">
        <v>0</v>
      </c>
      <c r="GG632">
        <v>0</v>
      </c>
      <c r="GH632">
        <v>0</v>
      </c>
      <c r="GI632">
        <v>0</v>
      </c>
      <c r="GJ632">
        <v>0</v>
      </c>
      <c r="GK632">
        <v>0</v>
      </c>
      <c r="GL632">
        <v>0</v>
      </c>
      <c r="GO632">
        <v>0</v>
      </c>
      <c r="GP632">
        <v>0</v>
      </c>
      <c r="GQ632">
        <v>0</v>
      </c>
      <c r="GR632">
        <v>0</v>
      </c>
      <c r="GS632">
        <v>0</v>
      </c>
      <c r="GT632">
        <v>0</v>
      </c>
      <c r="GU632">
        <v>0</v>
      </c>
      <c r="GV632">
        <v>0</v>
      </c>
      <c r="GW632">
        <v>0</v>
      </c>
      <c r="GX632">
        <v>0</v>
      </c>
      <c r="GY632">
        <v>0</v>
      </c>
      <c r="GZ632">
        <v>0</v>
      </c>
      <c r="HA632">
        <v>0</v>
      </c>
      <c r="HB632">
        <v>0</v>
      </c>
      <c r="HC632">
        <v>0</v>
      </c>
      <c r="HD632">
        <v>0</v>
      </c>
      <c r="HE632">
        <v>0</v>
      </c>
      <c r="HF632">
        <v>0</v>
      </c>
      <c r="HG632">
        <v>0</v>
      </c>
      <c r="HH632">
        <v>0</v>
      </c>
      <c r="HI632">
        <v>0</v>
      </c>
      <c r="HJ632">
        <v>0</v>
      </c>
      <c r="HK632">
        <v>0</v>
      </c>
      <c r="HL632">
        <v>0</v>
      </c>
      <c r="HM632">
        <v>0</v>
      </c>
      <c r="HN632">
        <v>0</v>
      </c>
      <c r="HO632">
        <v>0</v>
      </c>
      <c r="HP632">
        <v>0</v>
      </c>
      <c r="HQ632">
        <v>0</v>
      </c>
      <c r="HR632">
        <v>0</v>
      </c>
      <c r="HS632">
        <v>0</v>
      </c>
      <c r="HT632">
        <v>0</v>
      </c>
      <c r="HU632">
        <v>0</v>
      </c>
      <c r="HV632">
        <v>0</v>
      </c>
      <c r="HW632">
        <v>404.70000000000005</v>
      </c>
      <c r="HX632">
        <v>342.3</v>
      </c>
      <c r="HZ632">
        <v>866.2</v>
      </c>
      <c r="IA632">
        <v>1142.8</v>
      </c>
      <c r="IB632">
        <v>1121.5</v>
      </c>
      <c r="IC632">
        <v>2403</v>
      </c>
      <c r="ID632">
        <v>2659.3</v>
      </c>
      <c r="IE632">
        <v>1923.4</v>
      </c>
      <c r="IF632">
        <v>1465.7</v>
      </c>
      <c r="IG632">
        <v>1608.3</v>
      </c>
      <c r="IH632">
        <v>0</v>
      </c>
      <c r="II632">
        <v>0</v>
      </c>
      <c r="IJ632">
        <v>0</v>
      </c>
      <c r="IK632">
        <v>0</v>
      </c>
      <c r="IL632">
        <v>0</v>
      </c>
      <c r="IM632">
        <v>0</v>
      </c>
      <c r="IN632">
        <v>0</v>
      </c>
      <c r="IO632">
        <v>0</v>
      </c>
      <c r="IP632">
        <v>75.099999999999994</v>
      </c>
    </row>
    <row r="633" spans="1:250" ht="18" thickBot="1">
      <c r="A633" s="245"/>
      <c r="B633" s="245" t="s">
        <v>492</v>
      </c>
      <c r="C633" s="332" t="s">
        <v>1082</v>
      </c>
      <c r="D633" s="396"/>
      <c r="E633" s="454">
        <v>0</v>
      </c>
      <c r="F633">
        <v>0</v>
      </c>
      <c r="G633" s="427">
        <v>0</v>
      </c>
      <c r="H633" s="155">
        <v>0</v>
      </c>
      <c r="I633">
        <v>0</v>
      </c>
      <c r="J633">
        <v>0</v>
      </c>
      <c r="K633">
        <v>0</v>
      </c>
      <c r="L633" s="4">
        <v>0</v>
      </c>
      <c r="M633" s="4">
        <v>0</v>
      </c>
      <c r="N633" s="4">
        <v>0</v>
      </c>
      <c r="O633" s="4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R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G633">
        <v>0</v>
      </c>
      <c r="BI633">
        <v>0</v>
      </c>
      <c r="BK633">
        <v>0</v>
      </c>
      <c r="BL633">
        <v>0</v>
      </c>
      <c r="BM633">
        <v>0</v>
      </c>
      <c r="BN633">
        <v>0</v>
      </c>
      <c r="BO633">
        <v>344.70000000000005</v>
      </c>
      <c r="BP633">
        <v>625.70000000000005</v>
      </c>
      <c r="BQ633">
        <v>912.2</v>
      </c>
      <c r="BR633">
        <v>237.7</v>
      </c>
      <c r="BS633">
        <v>0</v>
      </c>
      <c r="BT633">
        <v>0</v>
      </c>
      <c r="BU633">
        <v>0</v>
      </c>
      <c r="BV633">
        <v>0</v>
      </c>
      <c r="BW633">
        <v>1647.4</v>
      </c>
      <c r="BY633">
        <v>453.1</v>
      </c>
      <c r="CA633">
        <v>285.39999999999998</v>
      </c>
      <c r="CB633">
        <v>280.8</v>
      </c>
      <c r="CC633">
        <v>127.7</v>
      </c>
      <c r="CD633">
        <v>0</v>
      </c>
      <c r="CE633">
        <v>0</v>
      </c>
      <c r="CF633">
        <v>0</v>
      </c>
      <c r="CG633">
        <v>0</v>
      </c>
      <c r="CI633">
        <v>0</v>
      </c>
      <c r="CJ633">
        <v>0</v>
      </c>
      <c r="CL633">
        <v>0</v>
      </c>
      <c r="CM633">
        <v>0</v>
      </c>
      <c r="CN633">
        <v>0</v>
      </c>
      <c r="CO633">
        <v>0</v>
      </c>
      <c r="CP633">
        <v>0</v>
      </c>
      <c r="CQ633">
        <v>621.70000000000005</v>
      </c>
      <c r="CR633">
        <v>481.70000000000005</v>
      </c>
      <c r="CS633">
        <v>0</v>
      </c>
      <c r="CT633">
        <v>524.6</v>
      </c>
      <c r="CU633">
        <v>514.1</v>
      </c>
      <c r="CV633">
        <v>175.2</v>
      </c>
      <c r="CW633">
        <v>0</v>
      </c>
      <c r="CX633">
        <v>65.099999999999994</v>
      </c>
      <c r="CY633">
        <v>199</v>
      </c>
      <c r="CZ633">
        <v>1907.9</v>
      </c>
      <c r="DA633">
        <v>0</v>
      </c>
      <c r="DB633">
        <v>0</v>
      </c>
      <c r="DC633">
        <v>0</v>
      </c>
      <c r="DD633">
        <v>0</v>
      </c>
      <c r="DE633">
        <v>0</v>
      </c>
      <c r="DF633">
        <v>0</v>
      </c>
      <c r="DG633">
        <v>0</v>
      </c>
      <c r="DH633">
        <v>0</v>
      </c>
      <c r="DI633">
        <v>0</v>
      </c>
      <c r="DJ633">
        <v>0</v>
      </c>
      <c r="DK633">
        <v>0</v>
      </c>
      <c r="DL633">
        <v>0</v>
      </c>
      <c r="DM633">
        <v>1065.4000000000001</v>
      </c>
      <c r="DN633">
        <v>599.70000000000005</v>
      </c>
      <c r="DO633">
        <v>319.7</v>
      </c>
      <c r="DP633">
        <v>1570.6999999999998</v>
      </c>
      <c r="DQ633">
        <v>1399.5</v>
      </c>
      <c r="DR633">
        <v>3581</v>
      </c>
      <c r="DU633">
        <v>1393.2</v>
      </c>
      <c r="DV633">
        <v>2862.6</v>
      </c>
      <c r="DY633">
        <v>2361</v>
      </c>
      <c r="EA633">
        <v>2409.6</v>
      </c>
      <c r="EC633">
        <v>1661.3999999999999</v>
      </c>
      <c r="EE633">
        <v>0</v>
      </c>
      <c r="EF633">
        <v>0</v>
      </c>
      <c r="EG633">
        <v>0</v>
      </c>
      <c r="EH633">
        <v>0</v>
      </c>
      <c r="EI633">
        <v>0</v>
      </c>
      <c r="EJ633">
        <v>0</v>
      </c>
      <c r="EK633">
        <v>0</v>
      </c>
      <c r="EL633">
        <v>0</v>
      </c>
      <c r="EM633">
        <v>0</v>
      </c>
      <c r="EN633">
        <v>0</v>
      </c>
      <c r="EO633">
        <v>0</v>
      </c>
      <c r="EP633">
        <v>944.5</v>
      </c>
      <c r="EQ633">
        <v>3459.7</v>
      </c>
      <c r="ER633">
        <v>1353.5</v>
      </c>
      <c r="ES633">
        <v>182.2</v>
      </c>
      <c r="ET633">
        <v>855.59999999999991</v>
      </c>
      <c r="EU633">
        <v>172.2</v>
      </c>
      <c r="EV633">
        <v>203.2</v>
      </c>
      <c r="EW633">
        <v>1173.0999999999999</v>
      </c>
      <c r="EX633">
        <v>1078.3</v>
      </c>
      <c r="EY633">
        <v>1194.4000000000001</v>
      </c>
      <c r="EZ633">
        <v>1207.0999999999999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0</v>
      </c>
      <c r="FH633">
        <v>0</v>
      </c>
      <c r="FI633">
        <v>0</v>
      </c>
      <c r="FJ633">
        <v>0</v>
      </c>
      <c r="FK633">
        <v>0</v>
      </c>
      <c r="FL633">
        <v>0</v>
      </c>
      <c r="FM633">
        <v>0</v>
      </c>
      <c r="FN633">
        <v>0</v>
      </c>
      <c r="FO633">
        <v>0</v>
      </c>
      <c r="FP633">
        <v>0</v>
      </c>
      <c r="FQ633">
        <v>0</v>
      </c>
      <c r="FR633">
        <v>0</v>
      </c>
      <c r="FS633">
        <v>0</v>
      </c>
      <c r="FT633">
        <v>0</v>
      </c>
      <c r="FU633">
        <v>0</v>
      </c>
      <c r="FV633">
        <v>0</v>
      </c>
      <c r="FW633">
        <v>0</v>
      </c>
      <c r="FX633">
        <v>0</v>
      </c>
      <c r="FY633">
        <v>0</v>
      </c>
      <c r="FZ633">
        <v>0</v>
      </c>
      <c r="GA633">
        <v>0</v>
      </c>
      <c r="GB633">
        <v>0</v>
      </c>
      <c r="GC633">
        <v>0</v>
      </c>
      <c r="GD633">
        <v>0</v>
      </c>
      <c r="GE633">
        <v>0</v>
      </c>
      <c r="GF633">
        <v>0</v>
      </c>
      <c r="GG633">
        <v>0</v>
      </c>
      <c r="GH633">
        <v>0</v>
      </c>
      <c r="GI633">
        <v>0</v>
      </c>
      <c r="GJ633">
        <v>0</v>
      </c>
      <c r="GK633">
        <v>0</v>
      </c>
      <c r="GL633">
        <v>0</v>
      </c>
      <c r="GO633">
        <v>0</v>
      </c>
      <c r="GP633">
        <v>0</v>
      </c>
      <c r="GQ633">
        <v>0</v>
      </c>
      <c r="GR633">
        <v>0</v>
      </c>
      <c r="GS633">
        <v>0</v>
      </c>
      <c r="GT633">
        <v>0</v>
      </c>
      <c r="GU633">
        <v>0</v>
      </c>
      <c r="GV633">
        <v>0</v>
      </c>
      <c r="GW633">
        <v>0</v>
      </c>
      <c r="GX633">
        <v>0</v>
      </c>
      <c r="GY633">
        <v>0</v>
      </c>
      <c r="GZ633">
        <v>0</v>
      </c>
      <c r="HA633">
        <v>0</v>
      </c>
      <c r="HB633">
        <v>0</v>
      </c>
      <c r="HC633">
        <v>0</v>
      </c>
      <c r="HD633">
        <v>0</v>
      </c>
      <c r="HE633">
        <v>0</v>
      </c>
      <c r="HF633">
        <v>0</v>
      </c>
      <c r="HG633">
        <v>0</v>
      </c>
      <c r="HH633">
        <v>0</v>
      </c>
      <c r="HI633">
        <v>0</v>
      </c>
      <c r="HJ633">
        <v>0</v>
      </c>
      <c r="HK633">
        <v>0</v>
      </c>
      <c r="HL633">
        <v>0</v>
      </c>
      <c r="HM633">
        <v>0</v>
      </c>
      <c r="HN633">
        <v>0</v>
      </c>
      <c r="HO633">
        <v>0</v>
      </c>
      <c r="HP633">
        <v>0</v>
      </c>
      <c r="HQ633">
        <v>0</v>
      </c>
      <c r="HR633">
        <v>0</v>
      </c>
      <c r="HS633">
        <v>0</v>
      </c>
      <c r="HT633">
        <v>0</v>
      </c>
      <c r="HU633">
        <v>0</v>
      </c>
      <c r="HV633">
        <v>0</v>
      </c>
      <c r="HW633">
        <v>404.70000000000005</v>
      </c>
      <c r="HX633">
        <v>342.3</v>
      </c>
      <c r="HZ633">
        <v>866.2</v>
      </c>
      <c r="IA633">
        <v>1142.8</v>
      </c>
      <c r="IB633">
        <v>1121.5</v>
      </c>
      <c r="IC633">
        <v>2403</v>
      </c>
      <c r="ID633">
        <v>2659.3</v>
      </c>
      <c r="IE633">
        <v>1923.4</v>
      </c>
      <c r="IF633">
        <v>1465.7</v>
      </c>
      <c r="IG633">
        <v>1608.3</v>
      </c>
      <c r="IH633">
        <v>0</v>
      </c>
      <c r="II633">
        <v>0</v>
      </c>
      <c r="IJ633">
        <v>0</v>
      </c>
      <c r="IK633">
        <v>0</v>
      </c>
      <c r="IL633">
        <v>0</v>
      </c>
      <c r="IM633">
        <v>0</v>
      </c>
      <c r="IN633">
        <v>0</v>
      </c>
      <c r="IO633">
        <v>0</v>
      </c>
      <c r="IP633">
        <v>75.099999999999994</v>
      </c>
    </row>
    <row r="634" spans="1:250" ht="18" thickBot="1">
      <c r="A634" s="246"/>
      <c r="B634" s="246" t="s">
        <v>959</v>
      </c>
      <c r="C634" s="340"/>
      <c r="D634" s="403"/>
      <c r="E634" s="454">
        <v>0</v>
      </c>
      <c r="F634">
        <v>0</v>
      </c>
      <c r="G634" s="427">
        <v>0</v>
      </c>
      <c r="H634" s="155">
        <v>0</v>
      </c>
      <c r="I634">
        <v>0</v>
      </c>
      <c r="J634">
        <v>0</v>
      </c>
      <c r="K634">
        <v>0</v>
      </c>
      <c r="L634" s="4">
        <v>0</v>
      </c>
      <c r="M634" s="4">
        <v>0</v>
      </c>
      <c r="N634" s="4">
        <v>0</v>
      </c>
      <c r="O634" s="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R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G634">
        <v>0</v>
      </c>
      <c r="BI634">
        <v>0</v>
      </c>
      <c r="BK634">
        <v>0</v>
      </c>
      <c r="BL634">
        <v>0</v>
      </c>
      <c r="BM634">
        <v>0</v>
      </c>
      <c r="BN634">
        <v>0</v>
      </c>
      <c r="BO634">
        <v>344.70000000000005</v>
      </c>
      <c r="BP634">
        <v>625.70000000000005</v>
      </c>
      <c r="BQ634">
        <v>912.2</v>
      </c>
      <c r="BR634">
        <v>237.7</v>
      </c>
      <c r="BS634">
        <v>0</v>
      </c>
      <c r="BT634">
        <v>0</v>
      </c>
      <c r="BU634">
        <v>0</v>
      </c>
      <c r="BV634">
        <v>0</v>
      </c>
      <c r="BW634">
        <v>1647.4</v>
      </c>
      <c r="BY634">
        <v>453.1</v>
      </c>
      <c r="CA634">
        <v>285.39999999999998</v>
      </c>
      <c r="CB634">
        <v>280.8</v>
      </c>
      <c r="CC634">
        <v>127.7</v>
      </c>
      <c r="CD634">
        <v>0</v>
      </c>
      <c r="CE634">
        <v>0</v>
      </c>
      <c r="CF634">
        <v>0</v>
      </c>
      <c r="CG634">
        <v>0</v>
      </c>
      <c r="CI634">
        <v>0</v>
      </c>
      <c r="CJ634">
        <v>0</v>
      </c>
      <c r="CL634">
        <v>0</v>
      </c>
      <c r="CM634">
        <v>0</v>
      </c>
      <c r="CN634">
        <v>0</v>
      </c>
      <c r="CO634">
        <v>0</v>
      </c>
      <c r="CP634">
        <v>0</v>
      </c>
      <c r="CQ634">
        <v>621.70000000000005</v>
      </c>
      <c r="CR634">
        <v>481.70000000000005</v>
      </c>
      <c r="CS634">
        <v>0</v>
      </c>
      <c r="CT634">
        <v>524.6</v>
      </c>
      <c r="CU634">
        <v>514.1</v>
      </c>
      <c r="CV634">
        <v>175.2</v>
      </c>
      <c r="CW634">
        <v>0</v>
      </c>
      <c r="CX634">
        <v>65.099999999999994</v>
      </c>
      <c r="CY634">
        <v>199</v>
      </c>
      <c r="CZ634">
        <v>1907.9</v>
      </c>
      <c r="DA634">
        <v>0</v>
      </c>
      <c r="DB634">
        <v>0</v>
      </c>
      <c r="DC634">
        <v>0</v>
      </c>
      <c r="DD634">
        <v>0</v>
      </c>
      <c r="DE634">
        <v>0</v>
      </c>
      <c r="DF634">
        <v>0</v>
      </c>
      <c r="DG634">
        <v>0</v>
      </c>
      <c r="DH634">
        <v>0</v>
      </c>
      <c r="DI634">
        <v>0</v>
      </c>
      <c r="DJ634">
        <v>0</v>
      </c>
      <c r="DK634">
        <v>0</v>
      </c>
      <c r="DL634">
        <v>0</v>
      </c>
      <c r="DM634">
        <v>1065.4000000000001</v>
      </c>
      <c r="DN634">
        <v>599.70000000000005</v>
      </c>
      <c r="DO634">
        <v>319.7</v>
      </c>
      <c r="DP634">
        <v>1570.6999999999998</v>
      </c>
      <c r="DQ634">
        <v>1399.5</v>
      </c>
      <c r="DR634">
        <v>3581</v>
      </c>
      <c r="DU634">
        <v>1393.2</v>
      </c>
      <c r="DV634">
        <v>2862.6</v>
      </c>
      <c r="DY634">
        <v>2361</v>
      </c>
      <c r="EA634">
        <v>2409.6</v>
      </c>
      <c r="EC634">
        <v>1661.3999999999999</v>
      </c>
      <c r="EE634">
        <v>0</v>
      </c>
      <c r="EF634">
        <v>0</v>
      </c>
      <c r="EG634">
        <v>0</v>
      </c>
      <c r="EH634">
        <v>0</v>
      </c>
      <c r="EI634">
        <v>0</v>
      </c>
      <c r="EJ634">
        <v>0</v>
      </c>
      <c r="EK634">
        <v>0</v>
      </c>
      <c r="EL634">
        <v>0</v>
      </c>
      <c r="EM634">
        <v>0</v>
      </c>
      <c r="EN634">
        <v>0</v>
      </c>
      <c r="EO634">
        <v>0</v>
      </c>
      <c r="EP634">
        <v>944.5</v>
      </c>
      <c r="EQ634">
        <v>3459.7</v>
      </c>
      <c r="ER634">
        <v>1353.5</v>
      </c>
      <c r="ES634">
        <v>182.2</v>
      </c>
      <c r="ET634">
        <v>855.59999999999991</v>
      </c>
      <c r="EU634">
        <v>172.2</v>
      </c>
      <c r="EV634">
        <v>203.2</v>
      </c>
      <c r="EW634">
        <v>1173.0999999999999</v>
      </c>
      <c r="EX634">
        <v>1078.3</v>
      </c>
      <c r="EY634">
        <v>1194.4000000000001</v>
      </c>
      <c r="EZ634">
        <v>1207.0999999999999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0</v>
      </c>
      <c r="FH634">
        <v>0</v>
      </c>
      <c r="FI634">
        <v>0</v>
      </c>
      <c r="FJ634">
        <v>0</v>
      </c>
      <c r="FK634">
        <v>0</v>
      </c>
      <c r="FL634">
        <v>0</v>
      </c>
      <c r="FM634">
        <v>0</v>
      </c>
      <c r="FN634">
        <v>0</v>
      </c>
      <c r="FO634">
        <v>0</v>
      </c>
      <c r="FP634">
        <v>0</v>
      </c>
      <c r="FQ634">
        <v>0</v>
      </c>
      <c r="FR634">
        <v>0</v>
      </c>
      <c r="FS634">
        <v>0</v>
      </c>
      <c r="FT634">
        <v>0</v>
      </c>
      <c r="FU634">
        <v>0</v>
      </c>
      <c r="FV634">
        <v>0</v>
      </c>
      <c r="FW634">
        <v>0</v>
      </c>
      <c r="FX634">
        <v>0</v>
      </c>
      <c r="FY634">
        <v>0</v>
      </c>
      <c r="FZ634">
        <v>0</v>
      </c>
      <c r="GA634">
        <v>0</v>
      </c>
      <c r="GB634">
        <v>0</v>
      </c>
      <c r="GC634">
        <v>0</v>
      </c>
      <c r="GD634">
        <v>0</v>
      </c>
      <c r="GE634">
        <v>0</v>
      </c>
      <c r="GF634">
        <v>0</v>
      </c>
      <c r="GG634">
        <v>0</v>
      </c>
      <c r="GH634">
        <v>0</v>
      </c>
      <c r="GI634">
        <v>0</v>
      </c>
      <c r="GJ634">
        <v>0</v>
      </c>
      <c r="GK634">
        <v>0</v>
      </c>
      <c r="GL634">
        <v>0</v>
      </c>
      <c r="GO634">
        <v>0</v>
      </c>
      <c r="GP634">
        <v>0</v>
      </c>
      <c r="GQ634">
        <v>0</v>
      </c>
      <c r="GR634">
        <v>0</v>
      </c>
      <c r="GS634">
        <v>0</v>
      </c>
      <c r="GT634">
        <v>0</v>
      </c>
      <c r="GU634">
        <v>0</v>
      </c>
      <c r="GV634">
        <v>0</v>
      </c>
      <c r="GW634">
        <v>0</v>
      </c>
      <c r="GX634">
        <v>0</v>
      </c>
      <c r="GY634">
        <v>0</v>
      </c>
      <c r="GZ634">
        <v>0</v>
      </c>
      <c r="HA634">
        <v>0</v>
      </c>
      <c r="HB634">
        <v>0</v>
      </c>
      <c r="HC634">
        <v>0</v>
      </c>
      <c r="HD634">
        <v>0</v>
      </c>
      <c r="HE634">
        <v>0</v>
      </c>
      <c r="HF634">
        <v>0</v>
      </c>
      <c r="HG634">
        <v>0</v>
      </c>
      <c r="HH634">
        <v>0</v>
      </c>
      <c r="HI634">
        <v>0</v>
      </c>
      <c r="HJ634">
        <v>0</v>
      </c>
      <c r="HK634">
        <v>0</v>
      </c>
      <c r="HL634">
        <v>0</v>
      </c>
      <c r="HM634">
        <v>0</v>
      </c>
      <c r="HN634">
        <v>0</v>
      </c>
      <c r="HO634">
        <v>0</v>
      </c>
      <c r="HP634">
        <v>0</v>
      </c>
      <c r="HQ634">
        <v>0</v>
      </c>
      <c r="HR634">
        <v>0</v>
      </c>
      <c r="HS634">
        <v>0</v>
      </c>
      <c r="HT634">
        <v>0</v>
      </c>
      <c r="HU634">
        <v>0</v>
      </c>
      <c r="HV634">
        <v>0</v>
      </c>
      <c r="HW634">
        <v>404.70000000000005</v>
      </c>
      <c r="HX634">
        <v>342.3</v>
      </c>
      <c r="HZ634">
        <v>866.2</v>
      </c>
      <c r="IA634">
        <v>1142.8</v>
      </c>
      <c r="IB634">
        <v>1121.5</v>
      </c>
      <c r="IC634">
        <v>2403</v>
      </c>
      <c r="ID634">
        <v>2659.3</v>
      </c>
      <c r="IE634">
        <v>1923.4</v>
      </c>
      <c r="IF634">
        <v>1465.7</v>
      </c>
      <c r="IG634">
        <v>1608.3</v>
      </c>
      <c r="IH634">
        <v>0</v>
      </c>
      <c r="II634">
        <v>0</v>
      </c>
      <c r="IJ634">
        <v>0</v>
      </c>
      <c r="IK634">
        <v>0</v>
      </c>
      <c r="IL634">
        <v>0</v>
      </c>
      <c r="IM634">
        <v>0</v>
      </c>
      <c r="IN634">
        <v>0</v>
      </c>
      <c r="IO634">
        <v>0</v>
      </c>
      <c r="IP634">
        <v>75.099999999999994</v>
      </c>
    </row>
    <row r="635" spans="1:250" ht="18.600000000000001" thickTop="1" thickBot="1">
      <c r="A635" s="181"/>
      <c r="B635" s="181" t="s">
        <v>960</v>
      </c>
      <c r="C635" s="88"/>
      <c r="D635" s="399" t="s">
        <v>1214</v>
      </c>
      <c r="E635" s="454">
        <v>0</v>
      </c>
      <c r="F635">
        <v>0</v>
      </c>
      <c r="G635" s="427">
        <v>0</v>
      </c>
      <c r="H635" s="155">
        <v>0</v>
      </c>
      <c r="I635">
        <v>0</v>
      </c>
      <c r="J635">
        <v>0</v>
      </c>
      <c r="K635">
        <v>0</v>
      </c>
      <c r="L635" s="4">
        <v>0</v>
      </c>
      <c r="M635" s="4">
        <v>0</v>
      </c>
      <c r="N635" s="4">
        <v>0</v>
      </c>
      <c r="O635" s="4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R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G635">
        <v>0</v>
      </c>
      <c r="BI635">
        <v>0</v>
      </c>
      <c r="BK635">
        <v>0</v>
      </c>
      <c r="BL635">
        <v>0</v>
      </c>
      <c r="BM635">
        <v>0</v>
      </c>
      <c r="BN635">
        <v>0</v>
      </c>
      <c r="BO635">
        <v>344.70000000000005</v>
      </c>
      <c r="BP635">
        <v>625.70000000000005</v>
      </c>
      <c r="BQ635">
        <v>912.2</v>
      </c>
      <c r="BR635">
        <v>237.7</v>
      </c>
      <c r="BS635">
        <v>0</v>
      </c>
      <c r="BT635">
        <v>0</v>
      </c>
      <c r="BU635">
        <v>0</v>
      </c>
      <c r="BV635">
        <v>0</v>
      </c>
      <c r="BW635">
        <v>1647.4</v>
      </c>
      <c r="BY635">
        <v>453.1</v>
      </c>
      <c r="CA635">
        <v>285.39999999999998</v>
      </c>
      <c r="CB635">
        <v>280.8</v>
      </c>
      <c r="CC635">
        <v>127.7</v>
      </c>
      <c r="CD635">
        <v>0</v>
      </c>
      <c r="CE635">
        <v>0</v>
      </c>
      <c r="CF635">
        <v>0</v>
      </c>
      <c r="CG635">
        <v>0</v>
      </c>
      <c r="CI635">
        <v>0</v>
      </c>
      <c r="CJ635">
        <v>0</v>
      </c>
      <c r="CL635">
        <v>0</v>
      </c>
      <c r="CM635">
        <v>0</v>
      </c>
      <c r="CN635">
        <v>0</v>
      </c>
      <c r="CO635">
        <v>0</v>
      </c>
      <c r="CP635">
        <v>0</v>
      </c>
      <c r="CQ635">
        <v>621.70000000000005</v>
      </c>
      <c r="CR635">
        <v>481.70000000000005</v>
      </c>
      <c r="CS635">
        <v>0</v>
      </c>
      <c r="CT635">
        <v>524.6</v>
      </c>
      <c r="CU635">
        <v>514.1</v>
      </c>
      <c r="CV635">
        <v>175.2</v>
      </c>
      <c r="CW635">
        <v>0</v>
      </c>
      <c r="CX635">
        <v>65.099999999999994</v>
      </c>
      <c r="CY635">
        <v>199</v>
      </c>
      <c r="CZ635">
        <v>1907.9</v>
      </c>
      <c r="DA635">
        <v>0</v>
      </c>
      <c r="DB635">
        <v>0</v>
      </c>
      <c r="DC635">
        <v>0</v>
      </c>
      <c r="DD635">
        <v>0</v>
      </c>
      <c r="DE635">
        <v>0</v>
      </c>
      <c r="DF635">
        <v>0</v>
      </c>
      <c r="DG635">
        <v>0</v>
      </c>
      <c r="DH635">
        <v>0</v>
      </c>
      <c r="DI635">
        <v>0</v>
      </c>
      <c r="DJ635">
        <v>0</v>
      </c>
      <c r="DK635">
        <v>0</v>
      </c>
      <c r="DL635">
        <v>0</v>
      </c>
      <c r="DM635">
        <v>1065.4000000000001</v>
      </c>
      <c r="DN635">
        <v>599.70000000000005</v>
      </c>
      <c r="DO635">
        <v>319.7</v>
      </c>
      <c r="DP635">
        <v>1570.6999999999998</v>
      </c>
      <c r="DQ635">
        <v>1399.5</v>
      </c>
      <c r="DR635">
        <v>3581</v>
      </c>
      <c r="DU635">
        <v>1393.2</v>
      </c>
      <c r="DV635">
        <v>2862.6</v>
      </c>
      <c r="DY635">
        <v>2361</v>
      </c>
      <c r="EA635">
        <v>2409.6</v>
      </c>
      <c r="EC635">
        <v>1661.3999999999999</v>
      </c>
      <c r="EE635">
        <v>0</v>
      </c>
      <c r="EF635">
        <v>0</v>
      </c>
      <c r="EG635">
        <v>0</v>
      </c>
      <c r="EH635">
        <v>0</v>
      </c>
      <c r="EI635">
        <v>0</v>
      </c>
      <c r="EJ635">
        <v>0</v>
      </c>
      <c r="EK635">
        <v>0</v>
      </c>
      <c r="EL635">
        <v>0</v>
      </c>
      <c r="EM635">
        <v>0</v>
      </c>
      <c r="EN635">
        <v>0</v>
      </c>
      <c r="EO635">
        <v>0</v>
      </c>
      <c r="EP635">
        <v>944.5</v>
      </c>
      <c r="EQ635">
        <v>3459.7</v>
      </c>
      <c r="ER635">
        <v>1353.5</v>
      </c>
      <c r="ES635">
        <v>182.2</v>
      </c>
      <c r="ET635">
        <v>855.59999999999991</v>
      </c>
      <c r="EU635">
        <v>172.2</v>
      </c>
      <c r="EV635">
        <v>203.2</v>
      </c>
      <c r="EW635">
        <v>1173.0999999999999</v>
      </c>
      <c r="EX635">
        <v>1078.3</v>
      </c>
      <c r="EY635">
        <v>1194.4000000000001</v>
      </c>
      <c r="EZ635">
        <v>1207.0999999999999</v>
      </c>
      <c r="FA635">
        <v>0</v>
      </c>
      <c r="FB635">
        <v>0</v>
      </c>
      <c r="FC635">
        <v>0</v>
      </c>
      <c r="FD635">
        <v>0</v>
      </c>
      <c r="FE635">
        <v>0</v>
      </c>
      <c r="FF635">
        <v>0</v>
      </c>
      <c r="FG635">
        <v>0</v>
      </c>
      <c r="FH635">
        <v>0</v>
      </c>
      <c r="FI635">
        <v>0</v>
      </c>
      <c r="FJ635">
        <v>0</v>
      </c>
      <c r="FK635">
        <v>0</v>
      </c>
      <c r="FL635">
        <v>0</v>
      </c>
      <c r="FM635">
        <v>0</v>
      </c>
      <c r="FN635">
        <v>0</v>
      </c>
      <c r="FO635">
        <v>0</v>
      </c>
      <c r="FP635">
        <v>0</v>
      </c>
      <c r="FQ635">
        <v>0</v>
      </c>
      <c r="FR635">
        <v>0</v>
      </c>
      <c r="FS635">
        <v>0</v>
      </c>
      <c r="FT635">
        <v>0</v>
      </c>
      <c r="FU635">
        <v>0</v>
      </c>
      <c r="FV635">
        <v>0</v>
      </c>
      <c r="FW635">
        <v>0</v>
      </c>
      <c r="FX635">
        <v>0</v>
      </c>
      <c r="FY635">
        <v>0</v>
      </c>
      <c r="FZ635">
        <v>0</v>
      </c>
      <c r="GA635">
        <v>0</v>
      </c>
      <c r="GB635">
        <v>0</v>
      </c>
      <c r="GC635">
        <v>0</v>
      </c>
      <c r="GD635">
        <v>0</v>
      </c>
      <c r="GE635">
        <v>0</v>
      </c>
      <c r="GF635">
        <v>0</v>
      </c>
      <c r="GG635">
        <v>0</v>
      </c>
      <c r="GH635">
        <v>0</v>
      </c>
      <c r="GI635">
        <v>0</v>
      </c>
      <c r="GJ635">
        <v>0</v>
      </c>
      <c r="GK635">
        <v>0</v>
      </c>
      <c r="GL635">
        <v>0</v>
      </c>
      <c r="GO635">
        <v>0</v>
      </c>
      <c r="GP635">
        <v>0</v>
      </c>
      <c r="GQ635">
        <v>0</v>
      </c>
      <c r="GR635">
        <v>0</v>
      </c>
      <c r="GS635">
        <v>0</v>
      </c>
      <c r="GT635">
        <v>0</v>
      </c>
      <c r="GU635">
        <v>0</v>
      </c>
      <c r="GV635">
        <v>0</v>
      </c>
      <c r="GW635">
        <v>0</v>
      </c>
      <c r="GX635">
        <v>0</v>
      </c>
      <c r="GY635">
        <v>0</v>
      </c>
      <c r="GZ635">
        <v>0</v>
      </c>
      <c r="HA635">
        <v>0</v>
      </c>
      <c r="HB635">
        <v>0</v>
      </c>
      <c r="HC635">
        <v>0</v>
      </c>
      <c r="HD635">
        <v>0</v>
      </c>
      <c r="HE635">
        <v>0</v>
      </c>
      <c r="HF635">
        <v>0</v>
      </c>
      <c r="HG635">
        <v>0</v>
      </c>
      <c r="HH635">
        <v>0</v>
      </c>
      <c r="HI635">
        <v>0</v>
      </c>
      <c r="HJ635">
        <v>0</v>
      </c>
      <c r="HK635">
        <v>0</v>
      </c>
      <c r="HL635">
        <v>0</v>
      </c>
      <c r="HM635">
        <v>0</v>
      </c>
      <c r="HN635">
        <v>0</v>
      </c>
      <c r="HO635">
        <v>0</v>
      </c>
      <c r="HP635">
        <v>0</v>
      </c>
      <c r="HQ635">
        <v>0</v>
      </c>
      <c r="HR635">
        <v>0</v>
      </c>
      <c r="HS635">
        <v>0</v>
      </c>
      <c r="HT635">
        <v>0</v>
      </c>
      <c r="HU635">
        <v>0</v>
      </c>
      <c r="HV635">
        <v>0</v>
      </c>
      <c r="HW635">
        <v>404.70000000000005</v>
      </c>
      <c r="HX635">
        <v>342.3</v>
      </c>
      <c r="HZ635">
        <v>866.2</v>
      </c>
      <c r="IA635">
        <v>1142.8</v>
      </c>
      <c r="IB635">
        <v>1121.5</v>
      </c>
      <c r="IC635">
        <v>2403</v>
      </c>
      <c r="ID635">
        <v>2659.3</v>
      </c>
      <c r="IE635">
        <v>1923.4</v>
      </c>
      <c r="IF635">
        <v>1465.7</v>
      </c>
      <c r="IG635">
        <v>1608.3</v>
      </c>
      <c r="IH635">
        <v>0</v>
      </c>
      <c r="II635">
        <v>0</v>
      </c>
      <c r="IJ635">
        <v>0</v>
      </c>
      <c r="IK635">
        <v>0</v>
      </c>
      <c r="IL635">
        <v>0</v>
      </c>
      <c r="IM635">
        <v>0</v>
      </c>
      <c r="IN635">
        <v>0</v>
      </c>
      <c r="IO635">
        <v>0</v>
      </c>
      <c r="IP635">
        <v>75.099999999999994</v>
      </c>
    </row>
    <row r="636" spans="1:250" ht="18" thickBot="1">
      <c r="A636" s="245"/>
      <c r="B636" s="245" t="s">
        <v>961</v>
      </c>
      <c r="C636" s="88" t="s">
        <v>1083</v>
      </c>
      <c r="D636" s="399" t="s">
        <v>781</v>
      </c>
      <c r="E636" s="454">
        <v>0</v>
      </c>
      <c r="F636">
        <v>0</v>
      </c>
      <c r="G636" s="427">
        <v>0</v>
      </c>
      <c r="H636" s="155">
        <v>0</v>
      </c>
      <c r="I636">
        <v>0</v>
      </c>
      <c r="J636">
        <v>0</v>
      </c>
      <c r="K636">
        <v>0</v>
      </c>
      <c r="L636" s="4">
        <v>0</v>
      </c>
      <c r="M636" s="4">
        <v>0</v>
      </c>
      <c r="N636" s="4">
        <v>0</v>
      </c>
      <c r="O636" s="4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R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G636">
        <v>0</v>
      </c>
      <c r="BI636">
        <v>0</v>
      </c>
      <c r="BK636">
        <v>0</v>
      </c>
      <c r="BL636">
        <v>0</v>
      </c>
      <c r="BM636">
        <v>0</v>
      </c>
      <c r="BN636">
        <v>0</v>
      </c>
      <c r="BO636">
        <v>344.70000000000005</v>
      </c>
      <c r="BP636">
        <v>625.70000000000005</v>
      </c>
      <c r="BQ636">
        <v>912.2</v>
      </c>
      <c r="BR636">
        <v>237.7</v>
      </c>
      <c r="BS636">
        <v>0</v>
      </c>
      <c r="BT636">
        <v>0</v>
      </c>
      <c r="BU636">
        <v>0</v>
      </c>
      <c r="BV636">
        <v>0</v>
      </c>
      <c r="BW636">
        <v>1647.4</v>
      </c>
      <c r="BY636">
        <v>453.1</v>
      </c>
      <c r="CA636">
        <v>285.39999999999998</v>
      </c>
      <c r="CB636">
        <v>280.8</v>
      </c>
      <c r="CC636">
        <v>127.7</v>
      </c>
      <c r="CD636">
        <v>0</v>
      </c>
      <c r="CE636">
        <v>0</v>
      </c>
      <c r="CF636">
        <v>0</v>
      </c>
      <c r="CG636">
        <v>0</v>
      </c>
      <c r="CI636">
        <v>0</v>
      </c>
      <c r="CJ636">
        <v>0</v>
      </c>
      <c r="CL636">
        <v>0</v>
      </c>
      <c r="CM636">
        <v>0</v>
      </c>
      <c r="CN636">
        <v>0</v>
      </c>
      <c r="CO636">
        <v>0</v>
      </c>
      <c r="CP636">
        <v>0</v>
      </c>
      <c r="CQ636">
        <v>621.70000000000005</v>
      </c>
      <c r="CR636">
        <v>481.70000000000005</v>
      </c>
      <c r="CS636">
        <v>0</v>
      </c>
      <c r="CT636">
        <v>524.6</v>
      </c>
      <c r="CU636">
        <v>514.1</v>
      </c>
      <c r="CV636">
        <v>175.2</v>
      </c>
      <c r="CW636">
        <v>0</v>
      </c>
      <c r="CX636">
        <v>65.099999999999994</v>
      </c>
      <c r="CY636">
        <v>199</v>
      </c>
      <c r="CZ636">
        <v>1907.9</v>
      </c>
      <c r="DA636">
        <v>0</v>
      </c>
      <c r="DB636">
        <v>0</v>
      </c>
      <c r="DC636">
        <v>0</v>
      </c>
      <c r="DD636">
        <v>0</v>
      </c>
      <c r="DE636">
        <v>0</v>
      </c>
      <c r="DF636">
        <v>0</v>
      </c>
      <c r="DG636">
        <v>0</v>
      </c>
      <c r="DH636">
        <v>0</v>
      </c>
      <c r="DI636">
        <v>0</v>
      </c>
      <c r="DJ636">
        <v>0</v>
      </c>
      <c r="DK636">
        <v>0</v>
      </c>
      <c r="DL636">
        <v>0</v>
      </c>
      <c r="DM636">
        <v>1065.4000000000001</v>
      </c>
      <c r="DN636">
        <v>599.70000000000005</v>
      </c>
      <c r="DO636">
        <v>319.7</v>
      </c>
      <c r="DP636">
        <v>1570.6999999999998</v>
      </c>
      <c r="DQ636">
        <v>1399.5</v>
      </c>
      <c r="DR636">
        <v>3581</v>
      </c>
      <c r="DU636">
        <v>1393.2</v>
      </c>
      <c r="DV636">
        <v>2862.6</v>
      </c>
      <c r="DY636">
        <v>2361</v>
      </c>
      <c r="EA636">
        <v>2409.6</v>
      </c>
      <c r="EC636">
        <v>1661.3999999999999</v>
      </c>
      <c r="EE636">
        <v>0</v>
      </c>
      <c r="EF636">
        <v>0</v>
      </c>
      <c r="EG636">
        <v>0</v>
      </c>
      <c r="EH636">
        <v>0</v>
      </c>
      <c r="EI636">
        <v>0</v>
      </c>
      <c r="EJ636">
        <v>0</v>
      </c>
      <c r="EK636">
        <v>0</v>
      </c>
      <c r="EL636">
        <v>0</v>
      </c>
      <c r="EM636">
        <v>0</v>
      </c>
      <c r="EN636">
        <v>0</v>
      </c>
      <c r="EO636">
        <v>0</v>
      </c>
      <c r="EP636">
        <v>944.5</v>
      </c>
      <c r="EQ636">
        <v>3459.7</v>
      </c>
      <c r="ER636">
        <v>1353.5</v>
      </c>
      <c r="ES636">
        <v>182.2</v>
      </c>
      <c r="ET636">
        <v>855.59999999999991</v>
      </c>
      <c r="EU636">
        <v>172.2</v>
      </c>
      <c r="EV636">
        <v>203.2</v>
      </c>
      <c r="EW636">
        <v>1173.0999999999999</v>
      </c>
      <c r="EX636">
        <v>1078.3</v>
      </c>
      <c r="EY636">
        <v>1194.4000000000001</v>
      </c>
      <c r="EZ636">
        <v>1207.0999999999999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0</v>
      </c>
      <c r="FH636">
        <v>0</v>
      </c>
      <c r="FI636">
        <v>0</v>
      </c>
      <c r="FJ636">
        <v>0</v>
      </c>
      <c r="FK636">
        <v>0</v>
      </c>
      <c r="FL636">
        <v>0</v>
      </c>
      <c r="FM636">
        <v>0</v>
      </c>
      <c r="FN636">
        <v>0</v>
      </c>
      <c r="FO636">
        <v>0</v>
      </c>
      <c r="FP636">
        <v>0</v>
      </c>
      <c r="FQ636">
        <v>0</v>
      </c>
      <c r="FR636">
        <v>0</v>
      </c>
      <c r="FS636">
        <v>0</v>
      </c>
      <c r="FT636">
        <v>0</v>
      </c>
      <c r="FU636">
        <v>0</v>
      </c>
      <c r="FV636">
        <v>0</v>
      </c>
      <c r="FW636">
        <v>0</v>
      </c>
      <c r="FX636">
        <v>0</v>
      </c>
      <c r="FY636">
        <v>0</v>
      </c>
      <c r="FZ636">
        <v>0</v>
      </c>
      <c r="GA636">
        <v>0</v>
      </c>
      <c r="GB636">
        <v>0</v>
      </c>
      <c r="GC636">
        <v>0</v>
      </c>
      <c r="GD636">
        <v>0</v>
      </c>
      <c r="GE636">
        <v>0</v>
      </c>
      <c r="GF636">
        <v>0</v>
      </c>
      <c r="GG636">
        <v>0</v>
      </c>
      <c r="GH636">
        <v>0</v>
      </c>
      <c r="GI636">
        <v>0</v>
      </c>
      <c r="GJ636">
        <v>0</v>
      </c>
      <c r="GK636">
        <v>0</v>
      </c>
      <c r="GL636">
        <v>0</v>
      </c>
      <c r="GO636">
        <v>0</v>
      </c>
      <c r="GP636">
        <v>0</v>
      </c>
      <c r="GQ636">
        <v>0</v>
      </c>
      <c r="GR636">
        <v>0</v>
      </c>
      <c r="GS636">
        <v>0</v>
      </c>
      <c r="GT636">
        <v>0</v>
      </c>
      <c r="GU636">
        <v>0</v>
      </c>
      <c r="GV636">
        <v>0</v>
      </c>
      <c r="GW636">
        <v>0</v>
      </c>
      <c r="GX636">
        <v>0</v>
      </c>
      <c r="GY636">
        <v>0</v>
      </c>
      <c r="GZ636">
        <v>0</v>
      </c>
      <c r="HA636">
        <v>0</v>
      </c>
      <c r="HB636">
        <v>0</v>
      </c>
      <c r="HC636">
        <v>0</v>
      </c>
      <c r="HD636">
        <v>0</v>
      </c>
      <c r="HE636">
        <v>0</v>
      </c>
      <c r="HF636">
        <v>0</v>
      </c>
      <c r="HG636">
        <v>0</v>
      </c>
      <c r="HH636">
        <v>0</v>
      </c>
      <c r="HI636">
        <v>0</v>
      </c>
      <c r="HJ636">
        <v>0</v>
      </c>
      <c r="HK636">
        <v>0</v>
      </c>
      <c r="HL636">
        <v>0</v>
      </c>
      <c r="HM636">
        <v>0</v>
      </c>
      <c r="HN636">
        <v>0</v>
      </c>
      <c r="HO636">
        <v>0</v>
      </c>
      <c r="HP636">
        <v>0</v>
      </c>
      <c r="HQ636">
        <v>0</v>
      </c>
      <c r="HR636">
        <v>0</v>
      </c>
      <c r="HS636">
        <v>0</v>
      </c>
      <c r="HT636">
        <v>0</v>
      </c>
      <c r="HU636">
        <v>0</v>
      </c>
      <c r="HV636">
        <v>0</v>
      </c>
      <c r="HW636">
        <v>404.70000000000005</v>
      </c>
      <c r="HX636">
        <v>342.3</v>
      </c>
      <c r="HZ636">
        <v>866.2</v>
      </c>
      <c r="IA636">
        <v>1142.8</v>
      </c>
      <c r="IB636">
        <v>1121.5</v>
      </c>
      <c r="IC636">
        <v>2403</v>
      </c>
      <c r="ID636">
        <v>2659.3</v>
      </c>
      <c r="IE636">
        <v>1923.4</v>
      </c>
      <c r="IF636">
        <v>1465.7</v>
      </c>
      <c r="IG636">
        <v>1608.3</v>
      </c>
      <c r="IH636">
        <v>0</v>
      </c>
      <c r="II636">
        <v>0</v>
      </c>
      <c r="IJ636">
        <v>0</v>
      </c>
      <c r="IK636">
        <v>0</v>
      </c>
      <c r="IL636">
        <v>0</v>
      </c>
      <c r="IM636">
        <v>0</v>
      </c>
      <c r="IN636">
        <v>0</v>
      </c>
      <c r="IO636">
        <v>0</v>
      </c>
      <c r="IP636">
        <v>75.099999999999994</v>
      </c>
    </row>
    <row r="637" spans="1:250" ht="18" thickBot="1">
      <c r="A637" s="245"/>
      <c r="B637" s="245" t="s">
        <v>962</v>
      </c>
      <c r="C637" s="88" t="s">
        <v>1084</v>
      </c>
      <c r="D637" s="399" t="s">
        <v>781</v>
      </c>
      <c r="E637" s="454">
        <v>0</v>
      </c>
      <c r="F637">
        <v>0</v>
      </c>
      <c r="G637" s="427">
        <v>0</v>
      </c>
      <c r="H637" s="155">
        <v>0</v>
      </c>
      <c r="I637">
        <v>0</v>
      </c>
      <c r="J637">
        <v>0</v>
      </c>
      <c r="K637">
        <v>0</v>
      </c>
      <c r="L637" s="4">
        <v>0</v>
      </c>
      <c r="M637" s="4">
        <v>0</v>
      </c>
      <c r="N637" s="4">
        <v>0</v>
      </c>
      <c r="O637" s="4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R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G637">
        <v>0</v>
      </c>
      <c r="BI637">
        <v>0</v>
      </c>
      <c r="BK637">
        <v>0</v>
      </c>
      <c r="BL637">
        <v>0</v>
      </c>
      <c r="BM637">
        <v>0</v>
      </c>
      <c r="BN637">
        <v>0</v>
      </c>
      <c r="BO637">
        <v>344.70000000000005</v>
      </c>
      <c r="BP637">
        <v>625.70000000000005</v>
      </c>
      <c r="BQ637">
        <v>912.2</v>
      </c>
      <c r="BR637">
        <v>237.7</v>
      </c>
      <c r="BS637">
        <v>0</v>
      </c>
      <c r="BT637">
        <v>0</v>
      </c>
      <c r="BU637">
        <v>0</v>
      </c>
      <c r="BV637">
        <v>0</v>
      </c>
      <c r="BW637">
        <v>1647.4</v>
      </c>
      <c r="BY637">
        <v>453.1</v>
      </c>
      <c r="CA637">
        <v>285.39999999999998</v>
      </c>
      <c r="CB637">
        <v>280.8</v>
      </c>
      <c r="CC637">
        <v>127.7</v>
      </c>
      <c r="CD637">
        <v>0</v>
      </c>
      <c r="CE637">
        <v>0</v>
      </c>
      <c r="CF637">
        <v>0</v>
      </c>
      <c r="CG637">
        <v>0</v>
      </c>
      <c r="CI637">
        <v>0</v>
      </c>
      <c r="CJ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621.70000000000005</v>
      </c>
      <c r="CR637">
        <v>481.70000000000005</v>
      </c>
      <c r="CS637">
        <v>0</v>
      </c>
      <c r="CT637">
        <v>524.6</v>
      </c>
      <c r="CU637">
        <v>514.1</v>
      </c>
      <c r="CV637">
        <v>175.2</v>
      </c>
      <c r="CW637">
        <v>0</v>
      </c>
      <c r="CX637">
        <v>65.099999999999994</v>
      </c>
      <c r="CY637">
        <v>199</v>
      </c>
      <c r="CZ637">
        <v>1907.9</v>
      </c>
      <c r="DA637">
        <v>0</v>
      </c>
      <c r="DB637">
        <v>0</v>
      </c>
      <c r="DC637">
        <v>0</v>
      </c>
      <c r="DD637">
        <v>0</v>
      </c>
      <c r="DE637">
        <v>0</v>
      </c>
      <c r="DF637">
        <v>0</v>
      </c>
      <c r="DG637">
        <v>0</v>
      </c>
      <c r="DH637">
        <v>0</v>
      </c>
      <c r="DI637">
        <v>0</v>
      </c>
      <c r="DJ637">
        <v>0</v>
      </c>
      <c r="DK637">
        <v>0</v>
      </c>
      <c r="DL637">
        <v>0</v>
      </c>
      <c r="DM637">
        <v>1065.4000000000001</v>
      </c>
      <c r="DN637">
        <v>599.70000000000005</v>
      </c>
      <c r="DO637">
        <v>319.7</v>
      </c>
      <c r="DP637">
        <v>1570.6999999999998</v>
      </c>
      <c r="DQ637">
        <v>1399.5</v>
      </c>
      <c r="DR637">
        <v>3581</v>
      </c>
      <c r="DU637">
        <v>1393.2</v>
      </c>
      <c r="DV637">
        <v>2862.6</v>
      </c>
      <c r="DY637">
        <v>2361</v>
      </c>
      <c r="EA637">
        <v>2409.6</v>
      </c>
      <c r="EC637">
        <v>1661.3999999999999</v>
      </c>
      <c r="EE637">
        <v>0</v>
      </c>
      <c r="EF637">
        <v>0</v>
      </c>
      <c r="EG637">
        <v>0</v>
      </c>
      <c r="EH637">
        <v>0</v>
      </c>
      <c r="EI637">
        <v>0</v>
      </c>
      <c r="EJ637">
        <v>0</v>
      </c>
      <c r="EK637">
        <v>0</v>
      </c>
      <c r="EL637">
        <v>0</v>
      </c>
      <c r="EM637">
        <v>0</v>
      </c>
      <c r="EN637">
        <v>0</v>
      </c>
      <c r="EO637">
        <v>0</v>
      </c>
      <c r="EP637">
        <v>944.5</v>
      </c>
      <c r="EQ637">
        <v>3459.7</v>
      </c>
      <c r="ER637">
        <v>1353.5</v>
      </c>
      <c r="ES637">
        <v>182.2</v>
      </c>
      <c r="ET637">
        <v>855.59999999999991</v>
      </c>
      <c r="EU637">
        <v>172.2</v>
      </c>
      <c r="EV637">
        <v>203.2</v>
      </c>
      <c r="EW637">
        <v>1173.0999999999999</v>
      </c>
      <c r="EX637">
        <v>1078.3</v>
      </c>
      <c r="EY637">
        <v>1194.4000000000001</v>
      </c>
      <c r="EZ637">
        <v>1207.0999999999999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0</v>
      </c>
      <c r="FH637">
        <v>0</v>
      </c>
      <c r="FI637">
        <v>0</v>
      </c>
      <c r="FJ637">
        <v>0</v>
      </c>
      <c r="FK637">
        <v>0</v>
      </c>
      <c r="FL637">
        <v>0</v>
      </c>
      <c r="FM637">
        <v>0</v>
      </c>
      <c r="FN637">
        <v>0</v>
      </c>
      <c r="FO637">
        <v>0</v>
      </c>
      <c r="FP637">
        <v>0</v>
      </c>
      <c r="FQ637">
        <v>0</v>
      </c>
      <c r="FR637">
        <v>0</v>
      </c>
      <c r="FS637">
        <v>0</v>
      </c>
      <c r="FT637">
        <v>0</v>
      </c>
      <c r="FU637">
        <v>0</v>
      </c>
      <c r="FV637">
        <v>0</v>
      </c>
      <c r="FW637">
        <v>0</v>
      </c>
      <c r="FX637">
        <v>0</v>
      </c>
      <c r="FY637">
        <v>0</v>
      </c>
      <c r="FZ637">
        <v>0</v>
      </c>
      <c r="GA637">
        <v>0</v>
      </c>
      <c r="GB637">
        <v>0</v>
      </c>
      <c r="GC637">
        <v>0</v>
      </c>
      <c r="GD637">
        <v>0</v>
      </c>
      <c r="GE637">
        <v>0</v>
      </c>
      <c r="GF637">
        <v>0</v>
      </c>
      <c r="GG637">
        <v>0</v>
      </c>
      <c r="GH637">
        <v>0</v>
      </c>
      <c r="GI637">
        <v>0</v>
      </c>
      <c r="GJ637">
        <v>0</v>
      </c>
      <c r="GK637">
        <v>0</v>
      </c>
      <c r="GL637">
        <v>0</v>
      </c>
      <c r="GO637">
        <v>0</v>
      </c>
      <c r="GP637">
        <v>0</v>
      </c>
      <c r="GQ637">
        <v>0</v>
      </c>
      <c r="GR637">
        <v>0</v>
      </c>
      <c r="GS637">
        <v>0</v>
      </c>
      <c r="GT637">
        <v>0</v>
      </c>
      <c r="GU637">
        <v>0</v>
      </c>
      <c r="GV637">
        <v>0</v>
      </c>
      <c r="GW637">
        <v>0</v>
      </c>
      <c r="GX637">
        <v>0</v>
      </c>
      <c r="GY637">
        <v>0</v>
      </c>
      <c r="GZ637">
        <v>0</v>
      </c>
      <c r="HA637">
        <v>0</v>
      </c>
      <c r="HB637">
        <v>0</v>
      </c>
      <c r="HC637">
        <v>0</v>
      </c>
      <c r="HD637">
        <v>0</v>
      </c>
      <c r="HE637">
        <v>0</v>
      </c>
      <c r="HF637">
        <v>0</v>
      </c>
      <c r="HG637">
        <v>0</v>
      </c>
      <c r="HH637">
        <v>0</v>
      </c>
      <c r="HI637">
        <v>0</v>
      </c>
      <c r="HJ637">
        <v>0</v>
      </c>
      <c r="HK637">
        <v>0</v>
      </c>
      <c r="HL637">
        <v>0</v>
      </c>
      <c r="HM637">
        <v>0</v>
      </c>
      <c r="HN637">
        <v>0</v>
      </c>
      <c r="HO637">
        <v>0</v>
      </c>
      <c r="HP637">
        <v>0</v>
      </c>
      <c r="HQ637">
        <v>0</v>
      </c>
      <c r="HR637">
        <v>0</v>
      </c>
      <c r="HS637">
        <v>0</v>
      </c>
      <c r="HT637">
        <v>0</v>
      </c>
      <c r="HU637">
        <v>0</v>
      </c>
      <c r="HV637">
        <v>0</v>
      </c>
      <c r="HW637">
        <v>404.70000000000005</v>
      </c>
      <c r="HX637">
        <v>342.3</v>
      </c>
      <c r="HZ637">
        <v>866.2</v>
      </c>
      <c r="IA637">
        <v>1142.8</v>
      </c>
      <c r="IB637">
        <v>1121.5</v>
      </c>
      <c r="IC637">
        <v>2403</v>
      </c>
      <c r="ID637">
        <v>2659.3</v>
      </c>
      <c r="IE637">
        <v>1923.4</v>
      </c>
      <c r="IF637">
        <v>1465.7</v>
      </c>
      <c r="IG637">
        <v>1608.3</v>
      </c>
      <c r="IH637">
        <v>0</v>
      </c>
      <c r="II637">
        <v>0</v>
      </c>
      <c r="IJ637">
        <v>0</v>
      </c>
      <c r="IK637">
        <v>0</v>
      </c>
      <c r="IL637">
        <v>0</v>
      </c>
      <c r="IM637">
        <v>0</v>
      </c>
      <c r="IN637">
        <v>0</v>
      </c>
      <c r="IO637">
        <v>0</v>
      </c>
      <c r="IP637">
        <v>75.099999999999994</v>
      </c>
    </row>
    <row r="638" spans="1:250" ht="18" thickBot="1">
      <c r="A638" s="245"/>
      <c r="B638" s="245" t="s">
        <v>963</v>
      </c>
      <c r="C638" s="88" t="s">
        <v>1085</v>
      </c>
      <c r="D638" s="399" t="s">
        <v>1214</v>
      </c>
      <c r="E638" s="454">
        <v>0</v>
      </c>
      <c r="F638">
        <v>0</v>
      </c>
      <c r="G638" s="427">
        <v>0</v>
      </c>
      <c r="H638" s="155">
        <v>0</v>
      </c>
      <c r="I638">
        <v>0</v>
      </c>
      <c r="J638">
        <v>0</v>
      </c>
      <c r="K638">
        <v>0</v>
      </c>
      <c r="L638" s="4">
        <v>0</v>
      </c>
      <c r="M638" s="4">
        <v>0</v>
      </c>
      <c r="N638" s="4">
        <v>0</v>
      </c>
      <c r="O638" s="4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R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G638">
        <v>0</v>
      </c>
      <c r="BI638">
        <v>0</v>
      </c>
      <c r="BK638">
        <v>0</v>
      </c>
      <c r="BL638">
        <v>0</v>
      </c>
      <c r="BM638">
        <v>0</v>
      </c>
      <c r="BN638">
        <v>0</v>
      </c>
      <c r="BO638">
        <v>344.70000000000005</v>
      </c>
      <c r="BP638">
        <v>625.70000000000005</v>
      </c>
      <c r="BQ638">
        <v>912.2</v>
      </c>
      <c r="BR638">
        <v>237.7</v>
      </c>
      <c r="BS638">
        <v>0</v>
      </c>
      <c r="BT638">
        <v>0</v>
      </c>
      <c r="BU638">
        <v>0</v>
      </c>
      <c r="BV638">
        <v>0</v>
      </c>
      <c r="BW638">
        <v>1647.4</v>
      </c>
      <c r="BY638">
        <v>453.1</v>
      </c>
      <c r="CA638">
        <v>285.39999999999998</v>
      </c>
      <c r="CB638">
        <v>280.8</v>
      </c>
      <c r="CC638">
        <v>127.7</v>
      </c>
      <c r="CD638">
        <v>0</v>
      </c>
      <c r="CE638">
        <v>0</v>
      </c>
      <c r="CF638">
        <v>0</v>
      </c>
      <c r="CG638">
        <v>0</v>
      </c>
      <c r="CI638">
        <v>0</v>
      </c>
      <c r="CJ638">
        <v>0</v>
      </c>
      <c r="CL638">
        <v>0</v>
      </c>
      <c r="CM638">
        <v>0</v>
      </c>
      <c r="CN638">
        <v>0</v>
      </c>
      <c r="CO638">
        <v>0</v>
      </c>
      <c r="CP638">
        <v>0</v>
      </c>
      <c r="CQ638">
        <v>621.70000000000005</v>
      </c>
      <c r="CR638">
        <v>481.70000000000005</v>
      </c>
      <c r="CS638">
        <v>0</v>
      </c>
      <c r="CT638">
        <v>524.6</v>
      </c>
      <c r="CU638">
        <v>514.1</v>
      </c>
      <c r="CV638">
        <v>175.2</v>
      </c>
      <c r="CW638">
        <v>0</v>
      </c>
      <c r="CX638">
        <v>65.099999999999994</v>
      </c>
      <c r="CY638">
        <v>199</v>
      </c>
      <c r="CZ638">
        <v>1907.9</v>
      </c>
      <c r="DA638">
        <v>0</v>
      </c>
      <c r="DB638">
        <v>0</v>
      </c>
      <c r="DC638">
        <v>0</v>
      </c>
      <c r="DD638">
        <v>0</v>
      </c>
      <c r="DE638">
        <v>0</v>
      </c>
      <c r="DF638">
        <v>0</v>
      </c>
      <c r="DG638">
        <v>0</v>
      </c>
      <c r="DH638">
        <v>0</v>
      </c>
      <c r="DI638">
        <v>0</v>
      </c>
      <c r="DJ638">
        <v>0</v>
      </c>
      <c r="DK638">
        <v>0</v>
      </c>
      <c r="DL638">
        <v>0</v>
      </c>
      <c r="DM638">
        <v>1065.4000000000001</v>
      </c>
      <c r="DN638">
        <v>599.70000000000005</v>
      </c>
      <c r="DO638">
        <v>319.7</v>
      </c>
      <c r="DP638">
        <v>1570.6999999999998</v>
      </c>
      <c r="DQ638">
        <v>1399.5</v>
      </c>
      <c r="DR638">
        <v>3581</v>
      </c>
      <c r="DU638">
        <v>1393.2</v>
      </c>
      <c r="DV638">
        <v>2862.6</v>
      </c>
      <c r="DY638">
        <v>2361</v>
      </c>
      <c r="EA638">
        <v>2409.6</v>
      </c>
      <c r="EC638">
        <v>1661.3999999999999</v>
      </c>
      <c r="EE638">
        <v>0</v>
      </c>
      <c r="EF638">
        <v>0</v>
      </c>
      <c r="EG638">
        <v>0</v>
      </c>
      <c r="EH638">
        <v>0</v>
      </c>
      <c r="EI638">
        <v>0</v>
      </c>
      <c r="EJ638">
        <v>0</v>
      </c>
      <c r="EK638">
        <v>0</v>
      </c>
      <c r="EL638">
        <v>0</v>
      </c>
      <c r="EM638">
        <v>0</v>
      </c>
      <c r="EN638">
        <v>0</v>
      </c>
      <c r="EO638">
        <v>0</v>
      </c>
      <c r="EP638">
        <v>944.5</v>
      </c>
      <c r="EQ638">
        <v>3459.7</v>
      </c>
      <c r="ER638">
        <v>1353.5</v>
      </c>
      <c r="ES638">
        <v>182.2</v>
      </c>
      <c r="ET638">
        <v>855.59999999999991</v>
      </c>
      <c r="EU638">
        <v>172.2</v>
      </c>
      <c r="EV638">
        <v>203.2</v>
      </c>
      <c r="EW638">
        <v>1173.0999999999999</v>
      </c>
      <c r="EX638">
        <v>1078.3</v>
      </c>
      <c r="EY638">
        <v>1194.4000000000001</v>
      </c>
      <c r="EZ638">
        <v>1207.0999999999999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0</v>
      </c>
      <c r="FG638">
        <v>0</v>
      </c>
      <c r="FH638">
        <v>0</v>
      </c>
      <c r="FI638">
        <v>0</v>
      </c>
      <c r="FJ638">
        <v>0</v>
      </c>
      <c r="FK638">
        <v>0</v>
      </c>
      <c r="FL638">
        <v>0</v>
      </c>
      <c r="FM638">
        <v>0</v>
      </c>
      <c r="FN638">
        <v>0</v>
      </c>
      <c r="FO638">
        <v>0</v>
      </c>
      <c r="FP638">
        <v>0</v>
      </c>
      <c r="FQ638">
        <v>0</v>
      </c>
      <c r="FR638">
        <v>0</v>
      </c>
      <c r="FS638">
        <v>0</v>
      </c>
      <c r="FT638">
        <v>0</v>
      </c>
      <c r="FU638">
        <v>0</v>
      </c>
      <c r="FV638">
        <v>0</v>
      </c>
      <c r="FW638">
        <v>0</v>
      </c>
      <c r="FX638">
        <v>0</v>
      </c>
      <c r="FY638">
        <v>0</v>
      </c>
      <c r="FZ638">
        <v>0</v>
      </c>
      <c r="GA638">
        <v>0</v>
      </c>
      <c r="GB638">
        <v>0</v>
      </c>
      <c r="GC638">
        <v>0</v>
      </c>
      <c r="GD638">
        <v>0</v>
      </c>
      <c r="GE638">
        <v>0</v>
      </c>
      <c r="GF638">
        <v>0</v>
      </c>
      <c r="GG638">
        <v>0</v>
      </c>
      <c r="GH638">
        <v>0</v>
      </c>
      <c r="GI638">
        <v>0</v>
      </c>
      <c r="GJ638">
        <v>0</v>
      </c>
      <c r="GK638">
        <v>0</v>
      </c>
      <c r="GL638">
        <v>0</v>
      </c>
      <c r="GO638">
        <v>0</v>
      </c>
      <c r="GP638">
        <v>0</v>
      </c>
      <c r="GQ638">
        <v>0</v>
      </c>
      <c r="GR638">
        <v>0</v>
      </c>
      <c r="GS638">
        <v>0</v>
      </c>
      <c r="GT638">
        <v>0</v>
      </c>
      <c r="GU638">
        <v>0</v>
      </c>
      <c r="GV638">
        <v>0</v>
      </c>
      <c r="GW638">
        <v>0</v>
      </c>
      <c r="GX638">
        <v>0</v>
      </c>
      <c r="GY638">
        <v>0</v>
      </c>
      <c r="GZ638">
        <v>0</v>
      </c>
      <c r="HA638">
        <v>0</v>
      </c>
      <c r="HB638">
        <v>0</v>
      </c>
      <c r="HC638">
        <v>0</v>
      </c>
      <c r="HD638">
        <v>0</v>
      </c>
      <c r="HE638">
        <v>0</v>
      </c>
      <c r="HF638">
        <v>0</v>
      </c>
      <c r="HG638">
        <v>0</v>
      </c>
      <c r="HH638">
        <v>0</v>
      </c>
      <c r="HI638">
        <v>0</v>
      </c>
      <c r="HJ638">
        <v>0</v>
      </c>
      <c r="HK638">
        <v>0</v>
      </c>
      <c r="HL638">
        <v>0</v>
      </c>
      <c r="HM638">
        <v>0</v>
      </c>
      <c r="HN638">
        <v>0</v>
      </c>
      <c r="HO638">
        <v>0</v>
      </c>
      <c r="HP638">
        <v>0</v>
      </c>
      <c r="HQ638">
        <v>0</v>
      </c>
      <c r="HR638">
        <v>0</v>
      </c>
      <c r="HS638">
        <v>0</v>
      </c>
      <c r="HT638">
        <v>0</v>
      </c>
      <c r="HU638">
        <v>0</v>
      </c>
      <c r="HV638">
        <v>0</v>
      </c>
      <c r="HW638">
        <v>404.70000000000005</v>
      </c>
      <c r="HX638">
        <v>342.3</v>
      </c>
      <c r="HZ638">
        <v>866.2</v>
      </c>
      <c r="IA638">
        <v>1142.8</v>
      </c>
      <c r="IB638">
        <v>1121.5</v>
      </c>
      <c r="IC638">
        <v>2403</v>
      </c>
      <c r="ID638">
        <v>2659.3</v>
      </c>
      <c r="IE638">
        <v>1923.4</v>
      </c>
      <c r="IF638">
        <v>1465.7</v>
      </c>
      <c r="IG638">
        <v>1608.3</v>
      </c>
      <c r="IH638">
        <v>0</v>
      </c>
      <c r="II638">
        <v>0</v>
      </c>
      <c r="IJ638">
        <v>0</v>
      </c>
      <c r="IK638">
        <v>0</v>
      </c>
      <c r="IL638">
        <v>0</v>
      </c>
      <c r="IM638">
        <v>0</v>
      </c>
      <c r="IN638">
        <v>0</v>
      </c>
      <c r="IO638">
        <v>0</v>
      </c>
      <c r="IP638">
        <v>75.099999999999994</v>
      </c>
    </row>
    <row r="639" spans="1:250" ht="18" thickBot="1">
      <c r="A639" s="245"/>
      <c r="B639" s="245" t="s">
        <v>964</v>
      </c>
      <c r="C639" s="88" t="s">
        <v>1086</v>
      </c>
      <c r="D639" s="399" t="s">
        <v>1214</v>
      </c>
      <c r="E639" s="454">
        <v>0</v>
      </c>
      <c r="F639">
        <v>0</v>
      </c>
      <c r="G639" s="427">
        <v>0</v>
      </c>
      <c r="H639" s="155">
        <v>0</v>
      </c>
      <c r="I639">
        <v>0</v>
      </c>
      <c r="J639">
        <v>0</v>
      </c>
      <c r="K639">
        <v>0</v>
      </c>
      <c r="L639" s="4">
        <v>0</v>
      </c>
      <c r="M639" s="4">
        <v>0</v>
      </c>
      <c r="N639" s="4">
        <v>0</v>
      </c>
      <c r="O639" s="4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R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G639">
        <v>0</v>
      </c>
      <c r="BI639">
        <v>0</v>
      </c>
      <c r="BK639">
        <v>0</v>
      </c>
      <c r="BL639">
        <v>0</v>
      </c>
      <c r="BM639">
        <v>0</v>
      </c>
      <c r="BN639">
        <v>0</v>
      </c>
      <c r="BO639">
        <v>344.70000000000005</v>
      </c>
      <c r="BP639">
        <v>625.70000000000005</v>
      </c>
      <c r="BQ639">
        <v>912.2</v>
      </c>
      <c r="BR639">
        <v>237.7</v>
      </c>
      <c r="BS639">
        <v>0</v>
      </c>
      <c r="BT639">
        <v>0</v>
      </c>
      <c r="BU639">
        <v>0</v>
      </c>
      <c r="BV639">
        <v>0</v>
      </c>
      <c r="BW639">
        <v>1647.4</v>
      </c>
      <c r="BY639">
        <v>453.1</v>
      </c>
      <c r="CA639">
        <v>285.39999999999998</v>
      </c>
      <c r="CB639">
        <v>280.8</v>
      </c>
      <c r="CC639">
        <v>127.7</v>
      </c>
      <c r="CD639">
        <v>0</v>
      </c>
      <c r="CE639">
        <v>0</v>
      </c>
      <c r="CF639">
        <v>0</v>
      </c>
      <c r="CG639">
        <v>0</v>
      </c>
      <c r="CI639">
        <v>0</v>
      </c>
      <c r="CJ639">
        <v>0</v>
      </c>
      <c r="CL639">
        <v>0</v>
      </c>
      <c r="CM639">
        <v>0</v>
      </c>
      <c r="CN639">
        <v>0</v>
      </c>
      <c r="CO639">
        <v>0</v>
      </c>
      <c r="CP639">
        <v>0</v>
      </c>
      <c r="CQ639">
        <v>621.70000000000005</v>
      </c>
      <c r="CR639">
        <v>481.70000000000005</v>
      </c>
      <c r="CS639">
        <v>0</v>
      </c>
      <c r="CT639">
        <v>524.6</v>
      </c>
      <c r="CU639">
        <v>514.1</v>
      </c>
      <c r="CV639">
        <v>175.2</v>
      </c>
      <c r="CW639">
        <v>0</v>
      </c>
      <c r="CX639">
        <v>65.099999999999994</v>
      </c>
      <c r="CY639">
        <v>199</v>
      </c>
      <c r="CZ639">
        <v>1907.9</v>
      </c>
      <c r="DA639">
        <v>0</v>
      </c>
      <c r="DB639">
        <v>0</v>
      </c>
      <c r="DC639">
        <v>0</v>
      </c>
      <c r="DD639">
        <v>0</v>
      </c>
      <c r="DE639">
        <v>0</v>
      </c>
      <c r="DF639">
        <v>0</v>
      </c>
      <c r="DG639">
        <v>0</v>
      </c>
      <c r="DH639">
        <v>0</v>
      </c>
      <c r="DI639">
        <v>0</v>
      </c>
      <c r="DJ639">
        <v>0</v>
      </c>
      <c r="DK639">
        <v>0</v>
      </c>
      <c r="DL639">
        <v>0</v>
      </c>
      <c r="DM639">
        <v>1065.4000000000001</v>
      </c>
      <c r="DN639">
        <v>599.70000000000005</v>
      </c>
      <c r="DO639">
        <v>319.7</v>
      </c>
      <c r="DP639">
        <v>1570.6999999999998</v>
      </c>
      <c r="DQ639">
        <v>1399.5</v>
      </c>
      <c r="DR639">
        <v>3581</v>
      </c>
      <c r="DU639">
        <v>1393.2</v>
      </c>
      <c r="DV639">
        <v>2862.6</v>
      </c>
      <c r="DY639">
        <v>2361</v>
      </c>
      <c r="EA639">
        <v>2409.6</v>
      </c>
      <c r="EC639">
        <v>1661.3999999999999</v>
      </c>
      <c r="EE639">
        <v>0</v>
      </c>
      <c r="EF639">
        <v>0</v>
      </c>
      <c r="EG639">
        <v>0</v>
      </c>
      <c r="EH639">
        <v>0</v>
      </c>
      <c r="EI639">
        <v>0</v>
      </c>
      <c r="EJ639">
        <v>0</v>
      </c>
      <c r="EK639">
        <v>0</v>
      </c>
      <c r="EL639">
        <v>0</v>
      </c>
      <c r="EM639">
        <v>0</v>
      </c>
      <c r="EN639">
        <v>0</v>
      </c>
      <c r="EO639">
        <v>0</v>
      </c>
      <c r="EP639">
        <v>944.5</v>
      </c>
      <c r="EQ639">
        <v>3459.7</v>
      </c>
      <c r="ER639">
        <v>1353.5</v>
      </c>
      <c r="ES639">
        <v>182.2</v>
      </c>
      <c r="ET639">
        <v>855.59999999999991</v>
      </c>
      <c r="EU639">
        <v>172.2</v>
      </c>
      <c r="EV639">
        <v>203.2</v>
      </c>
      <c r="EW639">
        <v>1173.0999999999999</v>
      </c>
      <c r="EX639">
        <v>1078.3</v>
      </c>
      <c r="EY639">
        <v>1194.4000000000001</v>
      </c>
      <c r="EZ639">
        <v>1207.0999999999999</v>
      </c>
      <c r="FA639">
        <v>0</v>
      </c>
      <c r="FB639">
        <v>0</v>
      </c>
      <c r="FC639">
        <v>0</v>
      </c>
      <c r="FD639">
        <v>0</v>
      </c>
      <c r="FE639">
        <v>0</v>
      </c>
      <c r="FF639">
        <v>0</v>
      </c>
      <c r="FG639">
        <v>0</v>
      </c>
      <c r="FH639">
        <v>0</v>
      </c>
      <c r="FI639">
        <v>0</v>
      </c>
      <c r="FJ639">
        <v>0</v>
      </c>
      <c r="FK639">
        <v>0</v>
      </c>
      <c r="FL639">
        <v>0</v>
      </c>
      <c r="FM639">
        <v>0</v>
      </c>
      <c r="FN639">
        <v>0</v>
      </c>
      <c r="FO639">
        <v>0</v>
      </c>
      <c r="FP639">
        <v>0</v>
      </c>
      <c r="FQ639">
        <v>0</v>
      </c>
      <c r="FR639">
        <v>0</v>
      </c>
      <c r="FS639">
        <v>0</v>
      </c>
      <c r="FT639">
        <v>0</v>
      </c>
      <c r="FU639">
        <v>0</v>
      </c>
      <c r="FV639">
        <v>0</v>
      </c>
      <c r="FW639">
        <v>0</v>
      </c>
      <c r="FX639">
        <v>0</v>
      </c>
      <c r="FY639">
        <v>0</v>
      </c>
      <c r="FZ639">
        <v>0</v>
      </c>
      <c r="GA639">
        <v>0</v>
      </c>
      <c r="GB639">
        <v>0</v>
      </c>
      <c r="GC639">
        <v>0</v>
      </c>
      <c r="GD639">
        <v>0</v>
      </c>
      <c r="GE639">
        <v>0</v>
      </c>
      <c r="GF639">
        <v>0</v>
      </c>
      <c r="GG639">
        <v>0</v>
      </c>
      <c r="GH639">
        <v>0</v>
      </c>
      <c r="GI639">
        <v>0</v>
      </c>
      <c r="GJ639">
        <v>0</v>
      </c>
      <c r="GK639">
        <v>0</v>
      </c>
      <c r="GL639">
        <v>0</v>
      </c>
      <c r="GO639">
        <v>0</v>
      </c>
      <c r="GP639">
        <v>0</v>
      </c>
      <c r="GQ639">
        <v>0</v>
      </c>
      <c r="GR639">
        <v>0</v>
      </c>
      <c r="GS639">
        <v>0</v>
      </c>
      <c r="GT639">
        <v>0</v>
      </c>
      <c r="GU639">
        <v>0</v>
      </c>
      <c r="GV639">
        <v>0</v>
      </c>
      <c r="GW639">
        <v>0</v>
      </c>
      <c r="GX639">
        <v>0</v>
      </c>
      <c r="GY639">
        <v>0</v>
      </c>
      <c r="GZ639">
        <v>0</v>
      </c>
      <c r="HA639">
        <v>0</v>
      </c>
      <c r="HB639">
        <v>0</v>
      </c>
      <c r="HC639">
        <v>0</v>
      </c>
      <c r="HD639">
        <v>0</v>
      </c>
      <c r="HE639">
        <v>0</v>
      </c>
      <c r="HF639">
        <v>0</v>
      </c>
      <c r="HG639">
        <v>0</v>
      </c>
      <c r="HH639">
        <v>0</v>
      </c>
      <c r="HI639">
        <v>0</v>
      </c>
      <c r="HJ639">
        <v>0</v>
      </c>
      <c r="HK639">
        <v>0</v>
      </c>
      <c r="HL639">
        <v>0</v>
      </c>
      <c r="HM639">
        <v>0</v>
      </c>
      <c r="HN639">
        <v>0</v>
      </c>
      <c r="HO639">
        <v>0</v>
      </c>
      <c r="HP639">
        <v>0</v>
      </c>
      <c r="HQ639">
        <v>0</v>
      </c>
      <c r="HR639">
        <v>0</v>
      </c>
      <c r="HS639">
        <v>0</v>
      </c>
      <c r="HT639">
        <v>0</v>
      </c>
      <c r="HU639">
        <v>0</v>
      </c>
      <c r="HV639">
        <v>0</v>
      </c>
      <c r="HW639">
        <v>404.70000000000005</v>
      </c>
      <c r="HX639">
        <v>342.3</v>
      </c>
      <c r="HZ639">
        <v>866.2</v>
      </c>
      <c r="IA639">
        <v>1142.8</v>
      </c>
      <c r="IB639">
        <v>1121.5</v>
      </c>
      <c r="IC639">
        <v>2403</v>
      </c>
      <c r="ID639">
        <v>2659.3</v>
      </c>
      <c r="IE639">
        <v>1923.4</v>
      </c>
      <c r="IF639">
        <v>1465.7</v>
      </c>
      <c r="IG639">
        <v>1608.3</v>
      </c>
      <c r="IH639">
        <v>0</v>
      </c>
      <c r="II639">
        <v>0</v>
      </c>
      <c r="IJ639">
        <v>0</v>
      </c>
      <c r="IK639">
        <v>0</v>
      </c>
      <c r="IL639">
        <v>0</v>
      </c>
      <c r="IM639">
        <v>0</v>
      </c>
      <c r="IN639">
        <v>0</v>
      </c>
      <c r="IO639">
        <v>0</v>
      </c>
      <c r="IP639">
        <v>75.099999999999994</v>
      </c>
    </row>
    <row r="640" spans="1:250" ht="18" thickBot="1">
      <c r="A640" s="245"/>
      <c r="B640" s="245" t="s">
        <v>965</v>
      </c>
      <c r="C640" s="88" t="s">
        <v>1087</v>
      </c>
      <c r="D640" s="399" t="s">
        <v>1214</v>
      </c>
      <c r="E640" s="454">
        <v>0</v>
      </c>
      <c r="F640">
        <v>0</v>
      </c>
      <c r="G640" s="427">
        <v>0</v>
      </c>
      <c r="H640" s="155">
        <v>0</v>
      </c>
      <c r="I640">
        <v>0</v>
      </c>
      <c r="J640">
        <v>0</v>
      </c>
      <c r="K640">
        <v>0</v>
      </c>
      <c r="L640" s="4">
        <v>0</v>
      </c>
      <c r="M640" s="4">
        <v>0</v>
      </c>
      <c r="N640" s="4">
        <v>0</v>
      </c>
      <c r="O640" s="4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R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G640">
        <v>0</v>
      </c>
      <c r="BI640">
        <v>0</v>
      </c>
      <c r="BK640">
        <v>0</v>
      </c>
      <c r="BL640">
        <v>0</v>
      </c>
      <c r="BM640">
        <v>0</v>
      </c>
      <c r="BN640">
        <v>0</v>
      </c>
      <c r="BO640">
        <v>344.70000000000005</v>
      </c>
      <c r="BP640">
        <v>625.70000000000005</v>
      </c>
      <c r="BQ640">
        <v>912.2</v>
      </c>
      <c r="BR640">
        <v>237.7</v>
      </c>
      <c r="BS640">
        <v>0</v>
      </c>
      <c r="BT640">
        <v>0</v>
      </c>
      <c r="BU640">
        <v>0</v>
      </c>
      <c r="BV640">
        <v>0</v>
      </c>
      <c r="BW640">
        <v>1647.4</v>
      </c>
      <c r="BY640">
        <v>453.1</v>
      </c>
      <c r="CA640">
        <v>285.39999999999998</v>
      </c>
      <c r="CB640">
        <v>280.8</v>
      </c>
      <c r="CC640">
        <v>127.7</v>
      </c>
      <c r="CD640">
        <v>0</v>
      </c>
      <c r="CE640">
        <v>0</v>
      </c>
      <c r="CF640">
        <v>0</v>
      </c>
      <c r="CG640">
        <v>0</v>
      </c>
      <c r="CI640">
        <v>0</v>
      </c>
      <c r="CJ640">
        <v>0</v>
      </c>
      <c r="CL640">
        <v>0</v>
      </c>
      <c r="CM640">
        <v>0</v>
      </c>
      <c r="CN640">
        <v>0</v>
      </c>
      <c r="CO640">
        <v>0</v>
      </c>
      <c r="CP640">
        <v>0</v>
      </c>
      <c r="CQ640">
        <v>621.70000000000005</v>
      </c>
      <c r="CR640">
        <v>481.70000000000005</v>
      </c>
      <c r="CS640">
        <v>0</v>
      </c>
      <c r="CT640">
        <v>524.6</v>
      </c>
      <c r="CU640">
        <v>514.1</v>
      </c>
      <c r="CV640">
        <v>175.2</v>
      </c>
      <c r="CW640">
        <v>0</v>
      </c>
      <c r="CX640">
        <v>65.099999999999994</v>
      </c>
      <c r="CY640">
        <v>199</v>
      </c>
      <c r="CZ640">
        <v>1907.9</v>
      </c>
      <c r="DA640">
        <v>0</v>
      </c>
      <c r="DB640">
        <v>0</v>
      </c>
      <c r="DC640">
        <v>0</v>
      </c>
      <c r="DD640">
        <v>0</v>
      </c>
      <c r="DE640">
        <v>0</v>
      </c>
      <c r="DF640">
        <v>0</v>
      </c>
      <c r="DG640">
        <v>0</v>
      </c>
      <c r="DH640">
        <v>0</v>
      </c>
      <c r="DI640">
        <v>0</v>
      </c>
      <c r="DJ640">
        <v>0</v>
      </c>
      <c r="DK640">
        <v>0</v>
      </c>
      <c r="DL640">
        <v>0</v>
      </c>
      <c r="DM640">
        <v>1065.4000000000001</v>
      </c>
      <c r="DN640">
        <v>599.70000000000005</v>
      </c>
      <c r="DO640">
        <v>319.7</v>
      </c>
      <c r="DP640">
        <v>1570.6999999999998</v>
      </c>
      <c r="DQ640">
        <v>1399.5</v>
      </c>
      <c r="DR640">
        <v>3581</v>
      </c>
      <c r="DU640">
        <v>1393.2</v>
      </c>
      <c r="DV640">
        <v>2862.6</v>
      </c>
      <c r="DY640">
        <v>2361</v>
      </c>
      <c r="EA640">
        <v>2409.6</v>
      </c>
      <c r="EC640">
        <v>1661.3999999999999</v>
      </c>
      <c r="EE640">
        <v>0</v>
      </c>
      <c r="EF640">
        <v>0</v>
      </c>
      <c r="EG640">
        <v>0</v>
      </c>
      <c r="EH640">
        <v>0</v>
      </c>
      <c r="EI640">
        <v>0</v>
      </c>
      <c r="EJ640">
        <v>0</v>
      </c>
      <c r="EK640">
        <v>0</v>
      </c>
      <c r="EL640">
        <v>0</v>
      </c>
      <c r="EM640">
        <v>0</v>
      </c>
      <c r="EN640">
        <v>0</v>
      </c>
      <c r="EO640">
        <v>0</v>
      </c>
      <c r="EP640">
        <v>944.5</v>
      </c>
      <c r="EQ640">
        <v>3459.7</v>
      </c>
      <c r="ER640">
        <v>1353.5</v>
      </c>
      <c r="ES640">
        <v>182.2</v>
      </c>
      <c r="ET640">
        <v>855.59999999999991</v>
      </c>
      <c r="EU640">
        <v>172.2</v>
      </c>
      <c r="EV640">
        <v>203.2</v>
      </c>
      <c r="EW640">
        <v>1173.0999999999999</v>
      </c>
      <c r="EX640">
        <v>1078.3</v>
      </c>
      <c r="EY640">
        <v>1194.4000000000001</v>
      </c>
      <c r="EZ640">
        <v>1207.0999999999999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0</v>
      </c>
      <c r="FH640">
        <v>0</v>
      </c>
      <c r="FI640">
        <v>0</v>
      </c>
      <c r="FJ640">
        <v>0</v>
      </c>
      <c r="FK640">
        <v>0</v>
      </c>
      <c r="FL640">
        <v>0</v>
      </c>
      <c r="FM640">
        <v>0</v>
      </c>
      <c r="FN640">
        <v>0</v>
      </c>
      <c r="FO640">
        <v>0</v>
      </c>
      <c r="FP640">
        <v>0</v>
      </c>
      <c r="FQ640">
        <v>0</v>
      </c>
      <c r="FR640">
        <v>0</v>
      </c>
      <c r="FS640">
        <v>0</v>
      </c>
      <c r="FT640">
        <v>0</v>
      </c>
      <c r="FU640">
        <v>0</v>
      </c>
      <c r="FV640">
        <v>0</v>
      </c>
      <c r="FW640">
        <v>0</v>
      </c>
      <c r="FX640">
        <v>0</v>
      </c>
      <c r="FY640">
        <v>0</v>
      </c>
      <c r="FZ640">
        <v>0</v>
      </c>
      <c r="GA640">
        <v>0</v>
      </c>
      <c r="GB640">
        <v>0</v>
      </c>
      <c r="GC640">
        <v>0</v>
      </c>
      <c r="GD640">
        <v>0</v>
      </c>
      <c r="GE640">
        <v>0</v>
      </c>
      <c r="GF640">
        <v>0</v>
      </c>
      <c r="GG640">
        <v>0</v>
      </c>
      <c r="GH640">
        <v>0</v>
      </c>
      <c r="GI640">
        <v>0</v>
      </c>
      <c r="GJ640">
        <v>0</v>
      </c>
      <c r="GK640">
        <v>0</v>
      </c>
      <c r="GL640">
        <v>0</v>
      </c>
      <c r="GO640">
        <v>0</v>
      </c>
      <c r="GP640">
        <v>0</v>
      </c>
      <c r="GQ640">
        <v>0</v>
      </c>
      <c r="GR640">
        <v>0</v>
      </c>
      <c r="GS640">
        <v>0</v>
      </c>
      <c r="GT640">
        <v>0</v>
      </c>
      <c r="GU640">
        <v>0</v>
      </c>
      <c r="GV640">
        <v>0</v>
      </c>
      <c r="GW640">
        <v>0</v>
      </c>
      <c r="GX640">
        <v>0</v>
      </c>
      <c r="GY640">
        <v>0</v>
      </c>
      <c r="GZ640">
        <v>0</v>
      </c>
      <c r="HA640">
        <v>0</v>
      </c>
      <c r="HB640">
        <v>0</v>
      </c>
      <c r="HC640">
        <v>0</v>
      </c>
      <c r="HD640">
        <v>0</v>
      </c>
      <c r="HE640">
        <v>0</v>
      </c>
      <c r="HF640">
        <v>0</v>
      </c>
      <c r="HG640">
        <v>0</v>
      </c>
      <c r="HH640">
        <v>0</v>
      </c>
      <c r="HI640">
        <v>0</v>
      </c>
      <c r="HJ640">
        <v>0</v>
      </c>
      <c r="HK640">
        <v>0</v>
      </c>
      <c r="HL640">
        <v>0</v>
      </c>
      <c r="HM640">
        <v>0</v>
      </c>
      <c r="HN640">
        <v>0</v>
      </c>
      <c r="HO640">
        <v>0</v>
      </c>
      <c r="HP640">
        <v>0</v>
      </c>
      <c r="HQ640">
        <v>0</v>
      </c>
      <c r="HR640">
        <v>0</v>
      </c>
      <c r="HS640">
        <v>0</v>
      </c>
      <c r="HT640">
        <v>0</v>
      </c>
      <c r="HU640">
        <v>0</v>
      </c>
      <c r="HV640">
        <v>0</v>
      </c>
      <c r="HW640">
        <v>404.70000000000005</v>
      </c>
      <c r="HX640">
        <v>342.3</v>
      </c>
      <c r="HZ640">
        <v>866.2</v>
      </c>
      <c r="IA640">
        <v>1142.8</v>
      </c>
      <c r="IB640">
        <v>1121.5</v>
      </c>
      <c r="IC640">
        <v>2403</v>
      </c>
      <c r="ID640">
        <v>2659.3</v>
      </c>
      <c r="IE640">
        <v>1923.4</v>
      </c>
      <c r="IF640">
        <v>1465.7</v>
      </c>
      <c r="IG640">
        <v>1608.3</v>
      </c>
      <c r="IH640">
        <v>0</v>
      </c>
      <c r="II640">
        <v>0</v>
      </c>
      <c r="IJ640">
        <v>0</v>
      </c>
      <c r="IK640">
        <v>0</v>
      </c>
      <c r="IL640">
        <v>0</v>
      </c>
      <c r="IM640">
        <v>0</v>
      </c>
      <c r="IN640">
        <v>0</v>
      </c>
      <c r="IO640">
        <v>0</v>
      </c>
      <c r="IP640">
        <v>75.099999999999994</v>
      </c>
    </row>
    <row r="641" spans="1:250" ht="18" thickBot="1">
      <c r="A641" s="245"/>
      <c r="B641" s="245" t="s">
        <v>966</v>
      </c>
      <c r="C641" s="88" t="s">
        <v>1088</v>
      </c>
      <c r="D641" s="399"/>
      <c r="E641" s="454">
        <v>0</v>
      </c>
      <c r="F641">
        <v>0</v>
      </c>
      <c r="G641" s="427">
        <v>0</v>
      </c>
      <c r="H641" s="155">
        <v>0</v>
      </c>
      <c r="I641">
        <v>0</v>
      </c>
      <c r="J641">
        <v>0</v>
      </c>
      <c r="K641">
        <v>0</v>
      </c>
      <c r="L641" s="4">
        <v>0</v>
      </c>
      <c r="M641" s="4">
        <v>0</v>
      </c>
      <c r="N641" s="4">
        <v>0</v>
      </c>
      <c r="O641" s="4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R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G641">
        <v>0</v>
      </c>
      <c r="BI641">
        <v>0</v>
      </c>
      <c r="BK641">
        <v>0</v>
      </c>
      <c r="BL641">
        <v>0</v>
      </c>
      <c r="BM641">
        <v>0</v>
      </c>
      <c r="BN641">
        <v>0</v>
      </c>
      <c r="BO641">
        <v>344.70000000000005</v>
      </c>
      <c r="BP641">
        <v>625.70000000000005</v>
      </c>
      <c r="BQ641">
        <v>912.2</v>
      </c>
      <c r="BR641">
        <v>237.7</v>
      </c>
      <c r="BS641">
        <v>0</v>
      </c>
      <c r="BT641">
        <v>0</v>
      </c>
      <c r="BU641">
        <v>0</v>
      </c>
      <c r="BV641">
        <v>0</v>
      </c>
      <c r="BW641">
        <v>1647.4</v>
      </c>
      <c r="BY641">
        <v>453.1</v>
      </c>
      <c r="CA641">
        <v>285.39999999999998</v>
      </c>
      <c r="CB641">
        <v>280.8</v>
      </c>
      <c r="CC641">
        <v>127.7</v>
      </c>
      <c r="CD641">
        <v>0</v>
      </c>
      <c r="CE641">
        <v>0</v>
      </c>
      <c r="CF641">
        <v>0</v>
      </c>
      <c r="CG641">
        <v>0</v>
      </c>
      <c r="CI641">
        <v>0</v>
      </c>
      <c r="CJ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621.70000000000005</v>
      </c>
      <c r="CR641">
        <v>481.70000000000005</v>
      </c>
      <c r="CS641">
        <v>0</v>
      </c>
      <c r="CT641">
        <v>524.6</v>
      </c>
      <c r="CU641">
        <v>514.1</v>
      </c>
      <c r="CV641">
        <v>175.2</v>
      </c>
      <c r="CW641">
        <v>0</v>
      </c>
      <c r="CX641">
        <v>65.099999999999994</v>
      </c>
      <c r="CY641">
        <v>199</v>
      </c>
      <c r="CZ641">
        <v>1907.9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1065.4000000000001</v>
      </c>
      <c r="DN641">
        <v>599.70000000000005</v>
      </c>
      <c r="DO641">
        <v>319.7</v>
      </c>
      <c r="DP641">
        <v>1570.6999999999998</v>
      </c>
      <c r="DQ641">
        <v>1399.5</v>
      </c>
      <c r="DR641">
        <v>3581</v>
      </c>
      <c r="DU641">
        <v>1393.2</v>
      </c>
      <c r="DV641">
        <v>2862.6</v>
      </c>
      <c r="DY641">
        <v>2361</v>
      </c>
      <c r="EA641">
        <v>2409.6</v>
      </c>
      <c r="EC641">
        <v>1661.3999999999999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944.5</v>
      </c>
      <c r="EQ641">
        <v>3459.7</v>
      </c>
      <c r="ER641">
        <v>1353.5</v>
      </c>
      <c r="ES641">
        <v>182.2</v>
      </c>
      <c r="ET641">
        <v>855.59999999999991</v>
      </c>
      <c r="EU641">
        <v>172.2</v>
      </c>
      <c r="EV641">
        <v>203.2</v>
      </c>
      <c r="EW641">
        <v>1173.0999999999999</v>
      </c>
      <c r="EX641">
        <v>1078.3</v>
      </c>
      <c r="EY641">
        <v>1194.4000000000001</v>
      </c>
      <c r="EZ641">
        <v>1207.0999999999999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0</v>
      </c>
      <c r="FH641">
        <v>0</v>
      </c>
      <c r="FI641">
        <v>0</v>
      </c>
      <c r="FJ641">
        <v>0</v>
      </c>
      <c r="FK641">
        <v>0</v>
      </c>
      <c r="FL641">
        <v>0</v>
      </c>
      <c r="FM641">
        <v>0</v>
      </c>
      <c r="FN641">
        <v>0</v>
      </c>
      <c r="FO641">
        <v>0</v>
      </c>
      <c r="FP641">
        <v>0</v>
      </c>
      <c r="FQ641">
        <v>0</v>
      </c>
      <c r="FR641">
        <v>0</v>
      </c>
      <c r="FS641">
        <v>0</v>
      </c>
      <c r="FT641">
        <v>0</v>
      </c>
      <c r="FU641">
        <v>0</v>
      </c>
      <c r="FV641">
        <v>0</v>
      </c>
      <c r="FW641">
        <v>0</v>
      </c>
      <c r="FX641">
        <v>0</v>
      </c>
      <c r="FY641">
        <v>0</v>
      </c>
      <c r="FZ641">
        <v>0</v>
      </c>
      <c r="GA641">
        <v>0</v>
      </c>
      <c r="GB641">
        <v>0</v>
      </c>
      <c r="GC641">
        <v>0</v>
      </c>
      <c r="GD641">
        <v>0</v>
      </c>
      <c r="GE641">
        <v>0</v>
      </c>
      <c r="GF641">
        <v>0</v>
      </c>
      <c r="GG641">
        <v>0</v>
      </c>
      <c r="GH641">
        <v>0</v>
      </c>
      <c r="GI641">
        <v>0</v>
      </c>
      <c r="GJ641">
        <v>0</v>
      </c>
      <c r="GK641">
        <v>0</v>
      </c>
      <c r="GL641">
        <v>0</v>
      </c>
      <c r="GO641">
        <v>0</v>
      </c>
      <c r="GP641">
        <v>0</v>
      </c>
      <c r="GQ641">
        <v>0</v>
      </c>
      <c r="GR641">
        <v>0</v>
      </c>
      <c r="GS641">
        <v>0</v>
      </c>
      <c r="GT641">
        <v>0</v>
      </c>
      <c r="GU641">
        <v>0</v>
      </c>
      <c r="GV641">
        <v>0</v>
      </c>
      <c r="GW641">
        <v>0</v>
      </c>
      <c r="GX641">
        <v>0</v>
      </c>
      <c r="GY641">
        <v>0</v>
      </c>
      <c r="GZ641">
        <v>0</v>
      </c>
      <c r="HA641">
        <v>0</v>
      </c>
      <c r="HB641">
        <v>0</v>
      </c>
      <c r="HC641">
        <v>0</v>
      </c>
      <c r="HD641">
        <v>0</v>
      </c>
      <c r="HE641">
        <v>0</v>
      </c>
      <c r="HF641">
        <v>0</v>
      </c>
      <c r="HG641">
        <v>0</v>
      </c>
      <c r="HH641">
        <v>0</v>
      </c>
      <c r="HI641">
        <v>0</v>
      </c>
      <c r="HJ641">
        <v>0</v>
      </c>
      <c r="HK641">
        <v>0</v>
      </c>
      <c r="HL641">
        <v>0</v>
      </c>
      <c r="HM641">
        <v>0</v>
      </c>
      <c r="HN641">
        <v>0</v>
      </c>
      <c r="HO641">
        <v>0</v>
      </c>
      <c r="HP641">
        <v>0</v>
      </c>
      <c r="HQ641">
        <v>0</v>
      </c>
      <c r="HR641">
        <v>0</v>
      </c>
      <c r="HS641">
        <v>0</v>
      </c>
      <c r="HT641">
        <v>0</v>
      </c>
      <c r="HU641">
        <v>0</v>
      </c>
      <c r="HV641">
        <v>0</v>
      </c>
      <c r="HW641">
        <v>404.70000000000005</v>
      </c>
      <c r="HX641">
        <v>342.3</v>
      </c>
      <c r="HZ641">
        <v>866.2</v>
      </c>
      <c r="IA641">
        <v>1142.8</v>
      </c>
      <c r="IB641">
        <v>1121.5</v>
      </c>
      <c r="IC641">
        <v>2403</v>
      </c>
      <c r="ID641">
        <v>2659.3</v>
      </c>
      <c r="IE641">
        <v>1923.4</v>
      </c>
      <c r="IF641">
        <v>1465.7</v>
      </c>
      <c r="IG641">
        <v>1608.3</v>
      </c>
      <c r="IH641">
        <v>0</v>
      </c>
      <c r="II641">
        <v>0</v>
      </c>
      <c r="IJ641">
        <v>0</v>
      </c>
      <c r="IK641">
        <v>0</v>
      </c>
      <c r="IL641">
        <v>0</v>
      </c>
      <c r="IM641">
        <v>0</v>
      </c>
      <c r="IN641">
        <v>0</v>
      </c>
      <c r="IO641">
        <v>0</v>
      </c>
      <c r="IP641">
        <v>75.099999999999994</v>
      </c>
    </row>
    <row r="642" spans="1:250" ht="18" thickBot="1">
      <c r="A642" s="245"/>
      <c r="B642" s="245" t="s">
        <v>967</v>
      </c>
      <c r="C642" s="88" t="s">
        <v>1089</v>
      </c>
      <c r="D642" s="399" t="s">
        <v>1214</v>
      </c>
      <c r="E642" s="454">
        <v>0</v>
      </c>
      <c r="F642">
        <v>0</v>
      </c>
      <c r="G642" s="427">
        <v>0</v>
      </c>
      <c r="H642" s="155">
        <v>0</v>
      </c>
      <c r="I642">
        <v>0</v>
      </c>
      <c r="J642">
        <v>0</v>
      </c>
      <c r="K642">
        <v>0</v>
      </c>
      <c r="L642" s="4">
        <v>0</v>
      </c>
      <c r="M642" s="4">
        <v>0</v>
      </c>
      <c r="N642" s="4">
        <v>0</v>
      </c>
      <c r="O642" s="4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R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G642">
        <v>0</v>
      </c>
      <c r="BI642">
        <v>0</v>
      </c>
      <c r="BK642">
        <v>0</v>
      </c>
      <c r="BL642">
        <v>0</v>
      </c>
      <c r="BM642">
        <v>0</v>
      </c>
      <c r="BN642">
        <v>0</v>
      </c>
      <c r="BO642">
        <v>344.70000000000005</v>
      </c>
      <c r="BP642">
        <v>625.70000000000005</v>
      </c>
      <c r="BQ642">
        <v>912.2</v>
      </c>
      <c r="BR642">
        <v>237.7</v>
      </c>
      <c r="BS642">
        <v>0</v>
      </c>
      <c r="BT642">
        <v>0</v>
      </c>
      <c r="BU642">
        <v>0</v>
      </c>
      <c r="BV642">
        <v>0</v>
      </c>
      <c r="BW642">
        <v>1647.4</v>
      </c>
      <c r="BY642">
        <v>453.1</v>
      </c>
      <c r="CA642">
        <v>285.39999999999998</v>
      </c>
      <c r="CB642">
        <v>280.8</v>
      </c>
      <c r="CC642">
        <v>127.7</v>
      </c>
      <c r="CD642">
        <v>0</v>
      </c>
      <c r="CE642">
        <v>0</v>
      </c>
      <c r="CF642">
        <v>0</v>
      </c>
      <c r="CG642">
        <v>0</v>
      </c>
      <c r="CI642">
        <v>0</v>
      </c>
      <c r="CJ642">
        <v>0</v>
      </c>
      <c r="CL642">
        <v>0</v>
      </c>
      <c r="CM642">
        <v>0</v>
      </c>
      <c r="CN642">
        <v>0</v>
      </c>
      <c r="CO642">
        <v>0</v>
      </c>
      <c r="CP642">
        <v>0</v>
      </c>
      <c r="CQ642">
        <v>621.70000000000005</v>
      </c>
      <c r="CR642">
        <v>481.70000000000005</v>
      </c>
      <c r="CS642">
        <v>0</v>
      </c>
      <c r="CT642">
        <v>524.6</v>
      </c>
      <c r="CU642">
        <v>514.1</v>
      </c>
      <c r="CV642">
        <v>175.2</v>
      </c>
      <c r="CW642">
        <v>0</v>
      </c>
      <c r="CX642">
        <v>65.099999999999994</v>
      </c>
      <c r="CY642">
        <v>199</v>
      </c>
      <c r="CZ642">
        <v>1907.9</v>
      </c>
      <c r="DA642">
        <v>0</v>
      </c>
      <c r="DB642">
        <v>0</v>
      </c>
      <c r="DC642">
        <v>0</v>
      </c>
      <c r="DD642">
        <v>0</v>
      </c>
      <c r="DE642">
        <v>0</v>
      </c>
      <c r="DF642">
        <v>0</v>
      </c>
      <c r="DG642">
        <v>0</v>
      </c>
      <c r="DH642">
        <v>0</v>
      </c>
      <c r="DI642">
        <v>0</v>
      </c>
      <c r="DJ642">
        <v>0</v>
      </c>
      <c r="DK642">
        <v>0</v>
      </c>
      <c r="DL642">
        <v>0</v>
      </c>
      <c r="DM642">
        <v>1065.4000000000001</v>
      </c>
      <c r="DN642">
        <v>599.70000000000005</v>
      </c>
      <c r="DO642">
        <v>319.7</v>
      </c>
      <c r="DP642">
        <v>1570.6999999999998</v>
      </c>
      <c r="DQ642">
        <v>1399.5</v>
      </c>
      <c r="DR642">
        <v>3581</v>
      </c>
      <c r="DU642">
        <v>1393.2</v>
      </c>
      <c r="DV642">
        <v>2862.6</v>
      </c>
      <c r="DY642">
        <v>2361</v>
      </c>
      <c r="EA642">
        <v>2409.6</v>
      </c>
      <c r="EC642">
        <v>1661.3999999999999</v>
      </c>
      <c r="EE642">
        <v>0</v>
      </c>
      <c r="EF642">
        <v>0</v>
      </c>
      <c r="EG642">
        <v>0</v>
      </c>
      <c r="EH642">
        <v>0</v>
      </c>
      <c r="EI642">
        <v>0</v>
      </c>
      <c r="EJ642">
        <v>0</v>
      </c>
      <c r="EK642">
        <v>0</v>
      </c>
      <c r="EL642">
        <v>0</v>
      </c>
      <c r="EM642">
        <v>0</v>
      </c>
      <c r="EN642">
        <v>0</v>
      </c>
      <c r="EO642">
        <v>0</v>
      </c>
      <c r="EP642">
        <v>944.5</v>
      </c>
      <c r="EQ642">
        <v>3459.7</v>
      </c>
      <c r="ER642">
        <v>1353.5</v>
      </c>
      <c r="ES642">
        <v>182.2</v>
      </c>
      <c r="ET642">
        <v>855.59999999999991</v>
      </c>
      <c r="EU642">
        <v>172.2</v>
      </c>
      <c r="EV642">
        <v>203.2</v>
      </c>
      <c r="EW642">
        <v>1173.0999999999999</v>
      </c>
      <c r="EX642">
        <v>1078.3</v>
      </c>
      <c r="EY642">
        <v>1194.4000000000001</v>
      </c>
      <c r="EZ642">
        <v>1207.0999999999999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0</v>
      </c>
      <c r="FH642">
        <v>0</v>
      </c>
      <c r="FI642">
        <v>0</v>
      </c>
      <c r="FJ642">
        <v>0</v>
      </c>
      <c r="FK642">
        <v>0</v>
      </c>
      <c r="FL642">
        <v>0</v>
      </c>
      <c r="FM642">
        <v>0</v>
      </c>
      <c r="FN642">
        <v>0</v>
      </c>
      <c r="FO642">
        <v>0</v>
      </c>
      <c r="FP642">
        <v>0</v>
      </c>
      <c r="FQ642">
        <v>0</v>
      </c>
      <c r="FR642">
        <v>0</v>
      </c>
      <c r="FS642">
        <v>0</v>
      </c>
      <c r="FT642">
        <v>0</v>
      </c>
      <c r="FU642">
        <v>0</v>
      </c>
      <c r="FV642">
        <v>0</v>
      </c>
      <c r="FW642">
        <v>0</v>
      </c>
      <c r="FX642">
        <v>0</v>
      </c>
      <c r="FY642">
        <v>0</v>
      </c>
      <c r="FZ642">
        <v>0</v>
      </c>
      <c r="GA642">
        <v>0</v>
      </c>
      <c r="GB642">
        <v>0</v>
      </c>
      <c r="GC642">
        <v>0</v>
      </c>
      <c r="GD642">
        <v>0</v>
      </c>
      <c r="GE642">
        <v>0</v>
      </c>
      <c r="GF642">
        <v>0</v>
      </c>
      <c r="GG642">
        <v>0</v>
      </c>
      <c r="GH642">
        <v>0</v>
      </c>
      <c r="GI642">
        <v>0</v>
      </c>
      <c r="GJ642">
        <v>0</v>
      </c>
      <c r="GK642">
        <v>0</v>
      </c>
      <c r="GL642">
        <v>0</v>
      </c>
      <c r="GO642">
        <v>0</v>
      </c>
      <c r="GP642">
        <v>0</v>
      </c>
      <c r="GQ642">
        <v>0</v>
      </c>
      <c r="GR642">
        <v>0</v>
      </c>
      <c r="GS642">
        <v>0</v>
      </c>
      <c r="GT642">
        <v>0</v>
      </c>
      <c r="GU642">
        <v>0</v>
      </c>
      <c r="GV642">
        <v>0</v>
      </c>
      <c r="GW642">
        <v>0</v>
      </c>
      <c r="GX642">
        <v>0</v>
      </c>
      <c r="GY642">
        <v>0</v>
      </c>
      <c r="GZ642">
        <v>0</v>
      </c>
      <c r="HA642">
        <v>0</v>
      </c>
      <c r="HB642">
        <v>0</v>
      </c>
      <c r="HC642">
        <v>0</v>
      </c>
      <c r="HD642">
        <v>0</v>
      </c>
      <c r="HE642">
        <v>0</v>
      </c>
      <c r="HF642">
        <v>0</v>
      </c>
      <c r="HG642">
        <v>0</v>
      </c>
      <c r="HH642">
        <v>0</v>
      </c>
      <c r="HI642">
        <v>0</v>
      </c>
      <c r="HJ642">
        <v>0</v>
      </c>
      <c r="HK642">
        <v>0</v>
      </c>
      <c r="HL642">
        <v>0</v>
      </c>
      <c r="HM642">
        <v>0</v>
      </c>
      <c r="HN642">
        <v>0</v>
      </c>
      <c r="HO642">
        <v>0</v>
      </c>
      <c r="HP642">
        <v>0</v>
      </c>
      <c r="HQ642">
        <v>0</v>
      </c>
      <c r="HR642">
        <v>0</v>
      </c>
      <c r="HS642">
        <v>0</v>
      </c>
      <c r="HT642">
        <v>0</v>
      </c>
      <c r="HU642">
        <v>0</v>
      </c>
      <c r="HV642">
        <v>0</v>
      </c>
      <c r="HW642">
        <v>404.70000000000005</v>
      </c>
      <c r="HX642">
        <v>342.3</v>
      </c>
      <c r="HZ642">
        <v>866.2</v>
      </c>
      <c r="IA642">
        <v>1142.8</v>
      </c>
      <c r="IB642">
        <v>1121.5</v>
      </c>
      <c r="IC642">
        <v>2403</v>
      </c>
      <c r="ID642">
        <v>2659.3</v>
      </c>
      <c r="IE642">
        <v>1923.4</v>
      </c>
      <c r="IF642">
        <v>1465.7</v>
      </c>
      <c r="IG642">
        <v>1608.3</v>
      </c>
      <c r="IH642">
        <v>0</v>
      </c>
      <c r="II642">
        <v>0</v>
      </c>
      <c r="IJ642">
        <v>0</v>
      </c>
      <c r="IK642">
        <v>0</v>
      </c>
      <c r="IL642">
        <v>0</v>
      </c>
      <c r="IM642">
        <v>0</v>
      </c>
      <c r="IN642">
        <v>0</v>
      </c>
      <c r="IO642">
        <v>0</v>
      </c>
      <c r="IP642">
        <v>75.099999999999994</v>
      </c>
    </row>
    <row r="643" spans="1:250" ht="18" thickBot="1">
      <c r="A643" s="245"/>
      <c r="B643" s="245" t="s">
        <v>968</v>
      </c>
      <c r="C643" s="88" t="s">
        <v>1090</v>
      </c>
      <c r="D643" s="399" t="s">
        <v>1215</v>
      </c>
      <c r="E643" s="454">
        <v>0</v>
      </c>
      <c r="F643">
        <v>0</v>
      </c>
      <c r="G643" s="427">
        <v>0</v>
      </c>
      <c r="H643" s="155">
        <v>0</v>
      </c>
      <c r="I643">
        <v>0</v>
      </c>
      <c r="J643">
        <v>0</v>
      </c>
      <c r="K643">
        <v>0</v>
      </c>
      <c r="L643" s="4">
        <v>0</v>
      </c>
      <c r="M643" s="4">
        <v>0</v>
      </c>
      <c r="N643" s="4">
        <v>0</v>
      </c>
      <c r="O643" s="4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R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G643">
        <v>0</v>
      </c>
      <c r="BI643">
        <v>0</v>
      </c>
      <c r="BK643">
        <v>0</v>
      </c>
      <c r="BL643">
        <v>0</v>
      </c>
      <c r="BM643">
        <v>0</v>
      </c>
      <c r="BN643">
        <v>0</v>
      </c>
      <c r="BO643">
        <v>344.70000000000005</v>
      </c>
      <c r="BP643">
        <v>625.70000000000005</v>
      </c>
      <c r="BQ643">
        <v>912.2</v>
      </c>
      <c r="BR643">
        <v>237.7</v>
      </c>
      <c r="BS643">
        <v>0</v>
      </c>
      <c r="BT643">
        <v>0</v>
      </c>
      <c r="BU643">
        <v>0</v>
      </c>
      <c r="BV643">
        <v>0</v>
      </c>
      <c r="BW643">
        <v>1647.4</v>
      </c>
      <c r="BY643">
        <v>453.1</v>
      </c>
      <c r="CA643">
        <v>285.39999999999998</v>
      </c>
      <c r="CB643">
        <v>280.8</v>
      </c>
      <c r="CC643">
        <v>127.7</v>
      </c>
      <c r="CD643">
        <v>0</v>
      </c>
      <c r="CE643">
        <v>0</v>
      </c>
      <c r="CF643">
        <v>0</v>
      </c>
      <c r="CG643">
        <v>0</v>
      </c>
      <c r="CI643">
        <v>0</v>
      </c>
      <c r="CJ643">
        <v>0</v>
      </c>
      <c r="CL643">
        <v>0</v>
      </c>
      <c r="CM643">
        <v>0</v>
      </c>
      <c r="CN643">
        <v>0</v>
      </c>
      <c r="CO643">
        <v>0</v>
      </c>
      <c r="CP643">
        <v>0</v>
      </c>
      <c r="CQ643">
        <v>621.70000000000005</v>
      </c>
      <c r="CR643">
        <v>481.70000000000005</v>
      </c>
      <c r="CS643">
        <v>0</v>
      </c>
      <c r="CT643">
        <v>524.6</v>
      </c>
      <c r="CU643">
        <v>514.1</v>
      </c>
      <c r="CV643">
        <v>175.2</v>
      </c>
      <c r="CW643">
        <v>0</v>
      </c>
      <c r="CX643">
        <v>65.099999999999994</v>
      </c>
      <c r="CY643">
        <v>199</v>
      </c>
      <c r="CZ643">
        <v>1907.9</v>
      </c>
      <c r="DA643">
        <v>0</v>
      </c>
      <c r="DB643">
        <v>0</v>
      </c>
      <c r="DC643">
        <v>0</v>
      </c>
      <c r="DD643">
        <v>0</v>
      </c>
      <c r="DE643">
        <v>0</v>
      </c>
      <c r="DF643">
        <v>0</v>
      </c>
      <c r="DG643">
        <v>0</v>
      </c>
      <c r="DH643">
        <v>0</v>
      </c>
      <c r="DI643">
        <v>0</v>
      </c>
      <c r="DJ643">
        <v>0</v>
      </c>
      <c r="DK643">
        <v>0</v>
      </c>
      <c r="DL643">
        <v>0</v>
      </c>
      <c r="DM643">
        <v>1065.4000000000001</v>
      </c>
      <c r="DN643">
        <v>599.70000000000005</v>
      </c>
      <c r="DO643">
        <v>319.7</v>
      </c>
      <c r="DP643">
        <v>1570.6999999999998</v>
      </c>
      <c r="DQ643">
        <v>1399.5</v>
      </c>
      <c r="DR643">
        <v>3581</v>
      </c>
      <c r="DU643">
        <v>1393.2</v>
      </c>
      <c r="DV643">
        <v>2862.6</v>
      </c>
      <c r="DY643">
        <v>2361</v>
      </c>
      <c r="EA643">
        <v>2409.6</v>
      </c>
      <c r="EC643">
        <v>1661.3999999999999</v>
      </c>
      <c r="EE643">
        <v>0</v>
      </c>
      <c r="EF643">
        <v>0</v>
      </c>
      <c r="EG643">
        <v>0</v>
      </c>
      <c r="EH643">
        <v>0</v>
      </c>
      <c r="EI643">
        <v>0</v>
      </c>
      <c r="EJ643">
        <v>0</v>
      </c>
      <c r="EK643">
        <v>0</v>
      </c>
      <c r="EL643">
        <v>0</v>
      </c>
      <c r="EM643">
        <v>0</v>
      </c>
      <c r="EN643">
        <v>0</v>
      </c>
      <c r="EO643">
        <v>0</v>
      </c>
      <c r="EP643">
        <v>944.5</v>
      </c>
      <c r="EQ643">
        <v>3459.7</v>
      </c>
      <c r="ER643">
        <v>1353.5</v>
      </c>
      <c r="ES643">
        <v>182.2</v>
      </c>
      <c r="ET643">
        <v>855.59999999999991</v>
      </c>
      <c r="EU643">
        <v>172.2</v>
      </c>
      <c r="EV643">
        <v>203.2</v>
      </c>
      <c r="EW643">
        <v>1173.0999999999999</v>
      </c>
      <c r="EX643">
        <v>1078.3</v>
      </c>
      <c r="EY643">
        <v>1194.4000000000001</v>
      </c>
      <c r="EZ643">
        <v>1207.0999999999999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0</v>
      </c>
      <c r="FG643">
        <v>0</v>
      </c>
      <c r="FH643">
        <v>0</v>
      </c>
      <c r="FI643">
        <v>0</v>
      </c>
      <c r="FJ643">
        <v>0</v>
      </c>
      <c r="FK643">
        <v>0</v>
      </c>
      <c r="FL643">
        <v>0</v>
      </c>
      <c r="FM643">
        <v>0</v>
      </c>
      <c r="FN643">
        <v>0</v>
      </c>
      <c r="FO643">
        <v>0</v>
      </c>
      <c r="FP643">
        <v>0</v>
      </c>
      <c r="FQ643">
        <v>0</v>
      </c>
      <c r="FR643">
        <v>0</v>
      </c>
      <c r="FS643">
        <v>0</v>
      </c>
      <c r="FT643">
        <v>0</v>
      </c>
      <c r="FU643">
        <v>0</v>
      </c>
      <c r="FV643">
        <v>0</v>
      </c>
      <c r="FW643">
        <v>0</v>
      </c>
      <c r="FX643">
        <v>0</v>
      </c>
      <c r="FY643">
        <v>0</v>
      </c>
      <c r="FZ643">
        <v>0</v>
      </c>
      <c r="GA643">
        <v>0</v>
      </c>
      <c r="GB643">
        <v>0</v>
      </c>
      <c r="GC643">
        <v>0</v>
      </c>
      <c r="GD643">
        <v>0</v>
      </c>
      <c r="GE643">
        <v>0</v>
      </c>
      <c r="GF643">
        <v>0</v>
      </c>
      <c r="GG643">
        <v>0</v>
      </c>
      <c r="GH643">
        <v>0</v>
      </c>
      <c r="GI643">
        <v>0</v>
      </c>
      <c r="GJ643">
        <v>0</v>
      </c>
      <c r="GK643">
        <v>0</v>
      </c>
      <c r="GL643">
        <v>0</v>
      </c>
      <c r="GO643">
        <v>0</v>
      </c>
      <c r="GP643">
        <v>0</v>
      </c>
      <c r="GQ643">
        <v>0</v>
      </c>
      <c r="GR643">
        <v>0</v>
      </c>
      <c r="GS643">
        <v>0</v>
      </c>
      <c r="GT643">
        <v>0</v>
      </c>
      <c r="GU643">
        <v>0</v>
      </c>
      <c r="GV643">
        <v>0</v>
      </c>
      <c r="GW643">
        <v>0</v>
      </c>
      <c r="GX643">
        <v>0</v>
      </c>
      <c r="GY643">
        <v>0</v>
      </c>
      <c r="GZ643">
        <v>0</v>
      </c>
      <c r="HA643">
        <v>0</v>
      </c>
      <c r="HB643">
        <v>0</v>
      </c>
      <c r="HC643">
        <v>0</v>
      </c>
      <c r="HD643">
        <v>0</v>
      </c>
      <c r="HE643">
        <v>0</v>
      </c>
      <c r="HF643">
        <v>0</v>
      </c>
      <c r="HG643">
        <v>0</v>
      </c>
      <c r="HH643">
        <v>0</v>
      </c>
      <c r="HI643">
        <v>0</v>
      </c>
      <c r="HJ643">
        <v>0</v>
      </c>
      <c r="HK643">
        <v>0</v>
      </c>
      <c r="HL643">
        <v>0</v>
      </c>
      <c r="HM643">
        <v>0</v>
      </c>
      <c r="HN643">
        <v>0</v>
      </c>
      <c r="HO643">
        <v>0</v>
      </c>
      <c r="HP643">
        <v>0</v>
      </c>
      <c r="HQ643">
        <v>0</v>
      </c>
      <c r="HR643">
        <v>0</v>
      </c>
      <c r="HS643">
        <v>0</v>
      </c>
      <c r="HT643">
        <v>0</v>
      </c>
      <c r="HU643">
        <v>0</v>
      </c>
      <c r="HV643">
        <v>0</v>
      </c>
      <c r="HW643">
        <v>404.70000000000005</v>
      </c>
      <c r="HX643">
        <v>342.3</v>
      </c>
      <c r="HZ643">
        <v>866.2</v>
      </c>
      <c r="IA643">
        <v>1142.8</v>
      </c>
      <c r="IB643">
        <v>1121.5</v>
      </c>
      <c r="IC643">
        <v>2403</v>
      </c>
      <c r="ID643">
        <v>2659.3</v>
      </c>
      <c r="IE643">
        <v>1923.4</v>
      </c>
      <c r="IF643">
        <v>1465.7</v>
      </c>
      <c r="IG643">
        <v>1608.3</v>
      </c>
      <c r="IH643">
        <v>0</v>
      </c>
      <c r="II643">
        <v>0</v>
      </c>
      <c r="IJ643">
        <v>0</v>
      </c>
      <c r="IK643">
        <v>0</v>
      </c>
      <c r="IL643">
        <v>0</v>
      </c>
      <c r="IM643">
        <v>0</v>
      </c>
      <c r="IN643">
        <v>0</v>
      </c>
      <c r="IO643">
        <v>0</v>
      </c>
      <c r="IP643">
        <v>75.099999999999994</v>
      </c>
    </row>
    <row r="644" spans="1:250" ht="18" thickBot="1">
      <c r="A644" s="245"/>
      <c r="B644" s="245" t="s">
        <v>969</v>
      </c>
      <c r="C644" s="230" t="s">
        <v>1091</v>
      </c>
      <c r="D644" s="399" t="s">
        <v>1216</v>
      </c>
      <c r="E644" s="454">
        <v>0</v>
      </c>
      <c r="F644">
        <v>0</v>
      </c>
      <c r="G644" s="427">
        <v>0</v>
      </c>
      <c r="H644" s="155">
        <v>0</v>
      </c>
      <c r="I644">
        <v>0</v>
      </c>
      <c r="J644">
        <v>0</v>
      </c>
      <c r="K644">
        <v>0</v>
      </c>
      <c r="L644" s="4">
        <v>0</v>
      </c>
      <c r="M644" s="4">
        <v>0</v>
      </c>
      <c r="N644" s="4">
        <v>0</v>
      </c>
      <c r="O644" s="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R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G644">
        <v>0</v>
      </c>
      <c r="BI644">
        <v>0</v>
      </c>
      <c r="BK644">
        <v>0</v>
      </c>
      <c r="BL644">
        <v>0</v>
      </c>
      <c r="BM644">
        <v>0</v>
      </c>
      <c r="BN644">
        <v>0</v>
      </c>
      <c r="BO644">
        <v>344.70000000000005</v>
      </c>
      <c r="BP644">
        <v>625.70000000000005</v>
      </c>
      <c r="BQ644">
        <v>912.2</v>
      </c>
      <c r="BR644">
        <v>237.7</v>
      </c>
      <c r="BS644">
        <v>0</v>
      </c>
      <c r="BT644">
        <v>0</v>
      </c>
      <c r="BU644">
        <v>0</v>
      </c>
      <c r="BV644">
        <v>0</v>
      </c>
      <c r="BW644">
        <v>1647.4</v>
      </c>
      <c r="BY644">
        <v>453.1</v>
      </c>
      <c r="CA644">
        <v>285.39999999999998</v>
      </c>
      <c r="CB644">
        <v>280.8</v>
      </c>
      <c r="CC644">
        <v>127.7</v>
      </c>
      <c r="CD644">
        <v>0</v>
      </c>
      <c r="CE644">
        <v>0</v>
      </c>
      <c r="CF644">
        <v>0</v>
      </c>
      <c r="CG644">
        <v>0</v>
      </c>
      <c r="CI644">
        <v>0</v>
      </c>
      <c r="CJ644">
        <v>0</v>
      </c>
      <c r="CL644">
        <v>0</v>
      </c>
      <c r="CM644">
        <v>0</v>
      </c>
      <c r="CN644">
        <v>0</v>
      </c>
      <c r="CO644">
        <v>0</v>
      </c>
      <c r="CP644">
        <v>0</v>
      </c>
      <c r="CQ644">
        <v>621.70000000000005</v>
      </c>
      <c r="CR644">
        <v>481.70000000000005</v>
      </c>
      <c r="CS644">
        <v>0</v>
      </c>
      <c r="CT644">
        <v>524.6</v>
      </c>
      <c r="CU644">
        <v>514.1</v>
      </c>
      <c r="CV644">
        <v>175.2</v>
      </c>
      <c r="CW644">
        <v>0</v>
      </c>
      <c r="CX644">
        <v>65.099999999999994</v>
      </c>
      <c r="CY644">
        <v>199</v>
      </c>
      <c r="CZ644">
        <v>1907.9</v>
      </c>
      <c r="DA644">
        <v>0</v>
      </c>
      <c r="DB644">
        <v>0</v>
      </c>
      <c r="DC644">
        <v>0</v>
      </c>
      <c r="DD644">
        <v>0</v>
      </c>
      <c r="DE644">
        <v>0</v>
      </c>
      <c r="DF644">
        <v>0</v>
      </c>
      <c r="DG644">
        <v>0</v>
      </c>
      <c r="DH644">
        <v>0</v>
      </c>
      <c r="DI644">
        <v>0</v>
      </c>
      <c r="DJ644">
        <v>0</v>
      </c>
      <c r="DK644">
        <v>0</v>
      </c>
      <c r="DL644">
        <v>0</v>
      </c>
      <c r="DM644">
        <v>1065.4000000000001</v>
      </c>
      <c r="DN644">
        <v>599.70000000000005</v>
      </c>
      <c r="DO644">
        <v>319.7</v>
      </c>
      <c r="DP644">
        <v>1570.6999999999998</v>
      </c>
      <c r="DQ644">
        <v>1399.5</v>
      </c>
      <c r="DR644">
        <v>3581</v>
      </c>
      <c r="DU644">
        <v>1393.2</v>
      </c>
      <c r="DV644">
        <v>2862.6</v>
      </c>
      <c r="DY644">
        <v>2361</v>
      </c>
      <c r="EA644">
        <v>2409.6</v>
      </c>
      <c r="EC644">
        <v>1661.3999999999999</v>
      </c>
      <c r="EE644">
        <v>0</v>
      </c>
      <c r="EF644">
        <v>0</v>
      </c>
      <c r="EG644">
        <v>0</v>
      </c>
      <c r="EH644">
        <v>0</v>
      </c>
      <c r="EI644">
        <v>0</v>
      </c>
      <c r="EJ644">
        <v>0</v>
      </c>
      <c r="EK644">
        <v>0</v>
      </c>
      <c r="EL644">
        <v>0</v>
      </c>
      <c r="EM644">
        <v>0</v>
      </c>
      <c r="EN644">
        <v>0</v>
      </c>
      <c r="EO644">
        <v>0</v>
      </c>
      <c r="EP644">
        <v>944.5</v>
      </c>
      <c r="EQ644">
        <v>3459.7</v>
      </c>
      <c r="ER644">
        <v>1353.5</v>
      </c>
      <c r="ES644">
        <v>182.2</v>
      </c>
      <c r="ET644">
        <v>855.59999999999991</v>
      </c>
      <c r="EU644">
        <v>172.2</v>
      </c>
      <c r="EV644">
        <v>203.2</v>
      </c>
      <c r="EW644">
        <v>1173.0999999999999</v>
      </c>
      <c r="EX644">
        <v>1078.3</v>
      </c>
      <c r="EY644">
        <v>1194.4000000000001</v>
      </c>
      <c r="EZ644">
        <v>1207.0999999999999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0</v>
      </c>
      <c r="FH644">
        <v>0</v>
      </c>
      <c r="FI644">
        <v>0</v>
      </c>
      <c r="FJ644">
        <v>0</v>
      </c>
      <c r="FK644">
        <v>0</v>
      </c>
      <c r="FL644">
        <v>0</v>
      </c>
      <c r="FM644">
        <v>0</v>
      </c>
      <c r="FN644">
        <v>0</v>
      </c>
      <c r="FO644">
        <v>0</v>
      </c>
      <c r="FP644">
        <v>0</v>
      </c>
      <c r="FQ644">
        <v>0</v>
      </c>
      <c r="FR644">
        <v>0</v>
      </c>
      <c r="FS644">
        <v>0</v>
      </c>
      <c r="FT644">
        <v>0</v>
      </c>
      <c r="FU644">
        <v>0</v>
      </c>
      <c r="FV644">
        <v>0</v>
      </c>
      <c r="FW644">
        <v>0</v>
      </c>
      <c r="FX644">
        <v>0</v>
      </c>
      <c r="FY644">
        <v>0</v>
      </c>
      <c r="FZ644">
        <v>0</v>
      </c>
      <c r="GA644">
        <v>0</v>
      </c>
      <c r="GB644">
        <v>0</v>
      </c>
      <c r="GC644">
        <v>0</v>
      </c>
      <c r="GD644">
        <v>0</v>
      </c>
      <c r="GE644">
        <v>0</v>
      </c>
      <c r="GF644">
        <v>0</v>
      </c>
      <c r="GG644">
        <v>0</v>
      </c>
      <c r="GH644">
        <v>0</v>
      </c>
      <c r="GI644">
        <v>0</v>
      </c>
      <c r="GJ644">
        <v>0</v>
      </c>
      <c r="GK644">
        <v>0</v>
      </c>
      <c r="GL644">
        <v>0</v>
      </c>
      <c r="GO644">
        <v>0</v>
      </c>
      <c r="GP644">
        <v>0</v>
      </c>
      <c r="GQ644">
        <v>0</v>
      </c>
      <c r="GR644">
        <v>0</v>
      </c>
      <c r="GS644">
        <v>0</v>
      </c>
      <c r="GT644">
        <v>0</v>
      </c>
      <c r="GU644">
        <v>0</v>
      </c>
      <c r="GV644">
        <v>0</v>
      </c>
      <c r="GW644">
        <v>0</v>
      </c>
      <c r="GX644">
        <v>0</v>
      </c>
      <c r="GY644">
        <v>0</v>
      </c>
      <c r="GZ644">
        <v>0</v>
      </c>
      <c r="HA644">
        <v>0</v>
      </c>
      <c r="HB644">
        <v>0</v>
      </c>
      <c r="HC644">
        <v>0</v>
      </c>
      <c r="HD644">
        <v>0</v>
      </c>
      <c r="HE644">
        <v>0</v>
      </c>
      <c r="HF644">
        <v>0</v>
      </c>
      <c r="HG644">
        <v>0</v>
      </c>
      <c r="HH644">
        <v>0</v>
      </c>
      <c r="HI644">
        <v>0</v>
      </c>
      <c r="HJ644">
        <v>0</v>
      </c>
      <c r="HK644">
        <v>0</v>
      </c>
      <c r="HL644">
        <v>0</v>
      </c>
      <c r="HM644">
        <v>0</v>
      </c>
      <c r="HN644">
        <v>0</v>
      </c>
      <c r="HO644">
        <v>0</v>
      </c>
      <c r="HP644">
        <v>0</v>
      </c>
      <c r="HQ644">
        <v>0</v>
      </c>
      <c r="HR644">
        <v>0</v>
      </c>
      <c r="HS644">
        <v>0</v>
      </c>
      <c r="HT644">
        <v>0</v>
      </c>
      <c r="HU644">
        <v>0</v>
      </c>
      <c r="HV644">
        <v>0</v>
      </c>
      <c r="HW644">
        <v>404.70000000000005</v>
      </c>
      <c r="HX644">
        <v>342.3</v>
      </c>
      <c r="HZ644">
        <v>866.2</v>
      </c>
      <c r="IA644">
        <v>1142.8</v>
      </c>
      <c r="IB644">
        <v>1121.5</v>
      </c>
      <c r="IC644">
        <v>2403</v>
      </c>
      <c r="ID644">
        <v>2659.3</v>
      </c>
      <c r="IE644">
        <v>1923.4</v>
      </c>
      <c r="IF644">
        <v>1465.7</v>
      </c>
      <c r="IG644">
        <v>1608.3</v>
      </c>
      <c r="IH644">
        <v>0</v>
      </c>
      <c r="II644">
        <v>0</v>
      </c>
      <c r="IJ644">
        <v>0</v>
      </c>
      <c r="IK644">
        <v>0</v>
      </c>
      <c r="IL644">
        <v>0</v>
      </c>
      <c r="IM644">
        <v>0</v>
      </c>
      <c r="IN644">
        <v>0</v>
      </c>
      <c r="IO644">
        <v>0</v>
      </c>
      <c r="IP644">
        <v>75.099999999999994</v>
      </c>
    </row>
    <row r="645" spans="1:250" ht="18" thickBot="1">
      <c r="A645" s="246"/>
      <c r="B645" s="246" t="s">
        <v>970</v>
      </c>
      <c r="C645" s="340"/>
      <c r="D645" s="307"/>
      <c r="E645" s="454">
        <v>0</v>
      </c>
      <c r="F645">
        <v>0</v>
      </c>
      <c r="G645" s="427">
        <v>0</v>
      </c>
      <c r="H645" s="155">
        <v>0</v>
      </c>
      <c r="I645">
        <v>0</v>
      </c>
      <c r="J645">
        <v>0</v>
      </c>
      <c r="K645">
        <v>0</v>
      </c>
      <c r="L645" s="4">
        <v>0</v>
      </c>
      <c r="M645" s="4">
        <v>0</v>
      </c>
      <c r="N645" s="4">
        <v>0</v>
      </c>
      <c r="O645" s="4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R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G645">
        <v>0</v>
      </c>
      <c r="BI645">
        <v>0</v>
      </c>
      <c r="BK645">
        <v>0</v>
      </c>
      <c r="BL645">
        <v>0</v>
      </c>
      <c r="BM645">
        <v>0</v>
      </c>
      <c r="BN645">
        <v>0</v>
      </c>
      <c r="BO645">
        <v>344.70000000000005</v>
      </c>
      <c r="BP645">
        <v>625.70000000000005</v>
      </c>
      <c r="BQ645">
        <v>912.2</v>
      </c>
      <c r="BR645">
        <v>237.7</v>
      </c>
      <c r="BS645">
        <v>0</v>
      </c>
      <c r="BT645">
        <v>0</v>
      </c>
      <c r="BU645">
        <v>0</v>
      </c>
      <c r="BV645">
        <v>0</v>
      </c>
      <c r="BW645">
        <v>1647.4</v>
      </c>
      <c r="BY645">
        <v>453.1</v>
      </c>
      <c r="CA645">
        <v>285.39999999999998</v>
      </c>
      <c r="CB645">
        <v>280.8</v>
      </c>
      <c r="CC645">
        <v>127.7</v>
      </c>
      <c r="CD645">
        <v>0</v>
      </c>
      <c r="CE645">
        <v>0</v>
      </c>
      <c r="CF645">
        <v>0</v>
      </c>
      <c r="CG645">
        <v>0</v>
      </c>
      <c r="CI645">
        <v>0</v>
      </c>
      <c r="CJ645">
        <v>0</v>
      </c>
      <c r="CL645">
        <v>0</v>
      </c>
      <c r="CM645">
        <v>0</v>
      </c>
      <c r="CN645">
        <v>0</v>
      </c>
      <c r="CO645">
        <v>0</v>
      </c>
      <c r="CP645">
        <v>0</v>
      </c>
      <c r="CQ645">
        <v>621.70000000000005</v>
      </c>
      <c r="CR645">
        <v>481.70000000000005</v>
      </c>
      <c r="CS645">
        <v>0</v>
      </c>
      <c r="CT645">
        <v>524.6</v>
      </c>
      <c r="CU645">
        <v>514.1</v>
      </c>
      <c r="CV645">
        <v>175.2</v>
      </c>
      <c r="CW645">
        <v>0</v>
      </c>
      <c r="CX645">
        <v>65.099999999999994</v>
      </c>
      <c r="CY645">
        <v>199</v>
      </c>
      <c r="CZ645">
        <v>1907.9</v>
      </c>
      <c r="DA645">
        <v>0</v>
      </c>
      <c r="DB645">
        <v>0</v>
      </c>
      <c r="DC645">
        <v>0</v>
      </c>
      <c r="DD645">
        <v>0</v>
      </c>
      <c r="DE645">
        <v>0</v>
      </c>
      <c r="DF645">
        <v>0</v>
      </c>
      <c r="DG645">
        <v>0</v>
      </c>
      <c r="DH645">
        <v>0</v>
      </c>
      <c r="DI645">
        <v>0</v>
      </c>
      <c r="DJ645">
        <v>0</v>
      </c>
      <c r="DK645">
        <v>0</v>
      </c>
      <c r="DL645">
        <v>0</v>
      </c>
      <c r="DM645">
        <v>1065.4000000000001</v>
      </c>
      <c r="DN645">
        <v>599.70000000000005</v>
      </c>
      <c r="DO645">
        <v>319.7</v>
      </c>
      <c r="DP645">
        <v>1570.6999999999998</v>
      </c>
      <c r="DQ645">
        <v>1399.5</v>
      </c>
      <c r="DR645">
        <v>3581</v>
      </c>
      <c r="DU645">
        <v>1393.2</v>
      </c>
      <c r="DV645">
        <v>2862.6</v>
      </c>
      <c r="DY645">
        <v>2361</v>
      </c>
      <c r="EA645">
        <v>2409.6</v>
      </c>
      <c r="EC645">
        <v>1661.3999999999999</v>
      </c>
      <c r="EE645">
        <v>0</v>
      </c>
      <c r="EF645">
        <v>0</v>
      </c>
      <c r="EG645">
        <v>0</v>
      </c>
      <c r="EH645">
        <v>0</v>
      </c>
      <c r="EI645">
        <v>0</v>
      </c>
      <c r="EJ645">
        <v>0</v>
      </c>
      <c r="EK645">
        <v>0</v>
      </c>
      <c r="EL645">
        <v>0</v>
      </c>
      <c r="EM645">
        <v>0</v>
      </c>
      <c r="EN645">
        <v>0</v>
      </c>
      <c r="EO645">
        <v>0</v>
      </c>
      <c r="EP645">
        <v>944.5</v>
      </c>
      <c r="EQ645">
        <v>3459.7</v>
      </c>
      <c r="ER645">
        <v>1353.5</v>
      </c>
      <c r="ES645">
        <v>182.2</v>
      </c>
      <c r="ET645">
        <v>855.59999999999991</v>
      </c>
      <c r="EU645">
        <v>172.2</v>
      </c>
      <c r="EV645">
        <v>203.2</v>
      </c>
      <c r="EW645">
        <v>1173.0999999999999</v>
      </c>
      <c r="EX645">
        <v>1078.3</v>
      </c>
      <c r="EY645">
        <v>1194.4000000000001</v>
      </c>
      <c r="EZ645">
        <v>1207.0999999999999</v>
      </c>
      <c r="FA645">
        <v>0</v>
      </c>
      <c r="FB645">
        <v>0</v>
      </c>
      <c r="FC645">
        <v>0</v>
      </c>
      <c r="FD645">
        <v>0</v>
      </c>
      <c r="FE645">
        <v>0</v>
      </c>
      <c r="FF645">
        <v>0</v>
      </c>
      <c r="FG645">
        <v>0</v>
      </c>
      <c r="FH645">
        <v>0</v>
      </c>
      <c r="FI645">
        <v>0</v>
      </c>
      <c r="FJ645">
        <v>0</v>
      </c>
      <c r="FK645">
        <v>0</v>
      </c>
      <c r="FL645">
        <v>0</v>
      </c>
      <c r="FM645">
        <v>0</v>
      </c>
      <c r="FN645">
        <v>0</v>
      </c>
      <c r="FO645">
        <v>0</v>
      </c>
      <c r="FP645">
        <v>0</v>
      </c>
      <c r="FQ645">
        <v>0</v>
      </c>
      <c r="FR645">
        <v>0</v>
      </c>
      <c r="FS645">
        <v>0</v>
      </c>
      <c r="FT645">
        <v>0</v>
      </c>
      <c r="FU645">
        <v>0</v>
      </c>
      <c r="FV645">
        <v>0</v>
      </c>
      <c r="FW645">
        <v>0</v>
      </c>
      <c r="FX645">
        <v>0</v>
      </c>
      <c r="FY645">
        <v>0</v>
      </c>
      <c r="FZ645">
        <v>0</v>
      </c>
      <c r="GA645">
        <v>0</v>
      </c>
      <c r="GB645">
        <v>0</v>
      </c>
      <c r="GC645">
        <v>0</v>
      </c>
      <c r="GD645">
        <v>0</v>
      </c>
      <c r="GE645">
        <v>0</v>
      </c>
      <c r="GF645">
        <v>0</v>
      </c>
      <c r="GG645">
        <v>0</v>
      </c>
      <c r="GH645">
        <v>0</v>
      </c>
      <c r="GI645">
        <v>0</v>
      </c>
      <c r="GJ645">
        <v>0</v>
      </c>
      <c r="GK645">
        <v>0</v>
      </c>
      <c r="GL645">
        <v>0</v>
      </c>
      <c r="GO645">
        <v>0</v>
      </c>
      <c r="GP645">
        <v>0</v>
      </c>
      <c r="GQ645">
        <v>0</v>
      </c>
      <c r="GR645">
        <v>0</v>
      </c>
      <c r="GS645">
        <v>0</v>
      </c>
      <c r="GT645">
        <v>0</v>
      </c>
      <c r="GU645">
        <v>0</v>
      </c>
      <c r="GV645">
        <v>0</v>
      </c>
      <c r="GW645">
        <v>0</v>
      </c>
      <c r="GX645">
        <v>0</v>
      </c>
      <c r="GY645">
        <v>0</v>
      </c>
      <c r="GZ645">
        <v>0</v>
      </c>
      <c r="HA645">
        <v>0</v>
      </c>
      <c r="HB645">
        <v>0</v>
      </c>
      <c r="HC645">
        <v>0</v>
      </c>
      <c r="HD645">
        <v>0</v>
      </c>
      <c r="HE645">
        <v>0</v>
      </c>
      <c r="HF645">
        <v>0</v>
      </c>
      <c r="HG645">
        <v>0</v>
      </c>
      <c r="HH645">
        <v>0</v>
      </c>
      <c r="HI645">
        <v>0</v>
      </c>
      <c r="HJ645">
        <v>0</v>
      </c>
      <c r="HK645">
        <v>0</v>
      </c>
      <c r="HL645">
        <v>0</v>
      </c>
      <c r="HM645">
        <v>0</v>
      </c>
      <c r="HN645">
        <v>0</v>
      </c>
      <c r="HO645">
        <v>0</v>
      </c>
      <c r="HP645">
        <v>0</v>
      </c>
      <c r="HQ645">
        <v>0</v>
      </c>
      <c r="HR645">
        <v>0</v>
      </c>
      <c r="HS645">
        <v>0</v>
      </c>
      <c r="HT645">
        <v>0</v>
      </c>
      <c r="HU645">
        <v>0</v>
      </c>
      <c r="HV645">
        <v>0</v>
      </c>
      <c r="HW645">
        <v>404.70000000000005</v>
      </c>
      <c r="HX645">
        <v>342.3</v>
      </c>
      <c r="HZ645">
        <v>866.2</v>
      </c>
      <c r="IA645">
        <v>1142.8</v>
      </c>
      <c r="IB645">
        <v>1121.5</v>
      </c>
      <c r="IC645">
        <v>2403</v>
      </c>
      <c r="ID645">
        <v>2659.3</v>
      </c>
      <c r="IE645">
        <v>1923.4</v>
      </c>
      <c r="IF645">
        <v>1465.7</v>
      </c>
      <c r="IG645">
        <v>1608.3</v>
      </c>
      <c r="IH645">
        <v>0</v>
      </c>
      <c r="II645">
        <v>0</v>
      </c>
      <c r="IJ645">
        <v>0</v>
      </c>
      <c r="IK645">
        <v>0</v>
      </c>
      <c r="IL645">
        <v>0</v>
      </c>
      <c r="IM645">
        <v>0</v>
      </c>
      <c r="IN645">
        <v>0</v>
      </c>
      <c r="IO645">
        <v>0</v>
      </c>
      <c r="IP645">
        <v>75.099999999999994</v>
      </c>
    </row>
    <row r="646" spans="1:250" ht="18.600000000000001" thickTop="1" thickBot="1">
      <c r="A646" s="181"/>
      <c r="B646" s="181" t="s">
        <v>971</v>
      </c>
      <c r="C646" s="330"/>
      <c r="D646" s="395"/>
      <c r="E646" s="454">
        <v>0</v>
      </c>
      <c r="F646">
        <v>0</v>
      </c>
      <c r="G646" s="427">
        <v>0</v>
      </c>
      <c r="H646" s="155">
        <v>0</v>
      </c>
      <c r="I646">
        <v>0</v>
      </c>
      <c r="J646">
        <v>0</v>
      </c>
      <c r="K646">
        <v>0</v>
      </c>
      <c r="L646" s="4">
        <v>0</v>
      </c>
      <c r="M646" s="4">
        <v>0</v>
      </c>
      <c r="N646" s="4">
        <v>0</v>
      </c>
      <c r="O646" s="4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R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G646">
        <v>0</v>
      </c>
      <c r="BI646">
        <v>0</v>
      </c>
      <c r="BK646">
        <v>0</v>
      </c>
      <c r="BL646">
        <v>0</v>
      </c>
      <c r="BM646">
        <v>0</v>
      </c>
      <c r="BN646">
        <v>0</v>
      </c>
      <c r="BO646">
        <v>344.70000000000005</v>
      </c>
      <c r="BP646">
        <v>625.70000000000005</v>
      </c>
      <c r="BQ646">
        <v>912.2</v>
      </c>
      <c r="BR646">
        <v>237.7</v>
      </c>
      <c r="BS646">
        <v>0</v>
      </c>
      <c r="BT646">
        <v>0</v>
      </c>
      <c r="BU646">
        <v>0</v>
      </c>
      <c r="BV646">
        <v>0</v>
      </c>
      <c r="BW646">
        <v>1647.4</v>
      </c>
      <c r="BY646">
        <v>453.1</v>
      </c>
      <c r="CA646">
        <v>285.39999999999998</v>
      </c>
      <c r="CB646">
        <v>280.8</v>
      </c>
      <c r="CC646">
        <v>127.7</v>
      </c>
      <c r="CD646">
        <v>0</v>
      </c>
      <c r="CE646">
        <v>0</v>
      </c>
      <c r="CF646">
        <v>0</v>
      </c>
      <c r="CG646">
        <v>0</v>
      </c>
      <c r="CI646">
        <v>0</v>
      </c>
      <c r="CJ646">
        <v>0</v>
      </c>
      <c r="CL646">
        <v>0</v>
      </c>
      <c r="CM646">
        <v>0</v>
      </c>
      <c r="CN646">
        <v>0</v>
      </c>
      <c r="CO646">
        <v>0</v>
      </c>
      <c r="CP646">
        <v>0</v>
      </c>
      <c r="CQ646">
        <v>621.70000000000005</v>
      </c>
      <c r="CR646">
        <v>481.70000000000005</v>
      </c>
      <c r="CS646">
        <v>0</v>
      </c>
      <c r="CT646">
        <v>524.6</v>
      </c>
      <c r="CU646">
        <v>514.1</v>
      </c>
      <c r="CV646">
        <v>175.2</v>
      </c>
      <c r="CW646">
        <v>0</v>
      </c>
      <c r="CX646">
        <v>65.099999999999994</v>
      </c>
      <c r="CY646">
        <v>199</v>
      </c>
      <c r="CZ646">
        <v>1907.9</v>
      </c>
      <c r="DA646">
        <v>0</v>
      </c>
      <c r="DB646">
        <v>0</v>
      </c>
      <c r="DC646">
        <v>0</v>
      </c>
      <c r="DD646">
        <v>0</v>
      </c>
      <c r="DE646">
        <v>0</v>
      </c>
      <c r="DF646">
        <v>0</v>
      </c>
      <c r="DG646">
        <v>0</v>
      </c>
      <c r="DH646">
        <v>0</v>
      </c>
      <c r="DI646">
        <v>0</v>
      </c>
      <c r="DJ646">
        <v>0</v>
      </c>
      <c r="DK646">
        <v>0</v>
      </c>
      <c r="DL646">
        <v>0</v>
      </c>
      <c r="DM646">
        <v>1065.4000000000001</v>
      </c>
      <c r="DN646">
        <v>599.70000000000005</v>
      </c>
      <c r="DO646">
        <v>319.7</v>
      </c>
      <c r="DP646">
        <v>1570.6999999999998</v>
      </c>
      <c r="DQ646">
        <v>1399.5</v>
      </c>
      <c r="DR646">
        <v>3581</v>
      </c>
      <c r="DU646">
        <v>1393.2</v>
      </c>
      <c r="DV646">
        <v>2862.6</v>
      </c>
      <c r="DY646">
        <v>2361</v>
      </c>
      <c r="EA646">
        <v>2409.6</v>
      </c>
      <c r="EC646">
        <v>1661.3999999999999</v>
      </c>
      <c r="EE646">
        <v>0</v>
      </c>
      <c r="EF646">
        <v>0</v>
      </c>
      <c r="EG646">
        <v>0</v>
      </c>
      <c r="EH646">
        <v>0</v>
      </c>
      <c r="EI646">
        <v>0</v>
      </c>
      <c r="EJ646">
        <v>0</v>
      </c>
      <c r="EK646">
        <v>0</v>
      </c>
      <c r="EL646">
        <v>0</v>
      </c>
      <c r="EM646">
        <v>0</v>
      </c>
      <c r="EN646">
        <v>0</v>
      </c>
      <c r="EO646">
        <v>0</v>
      </c>
      <c r="EP646">
        <v>944.5</v>
      </c>
      <c r="EQ646">
        <v>3459.7</v>
      </c>
      <c r="ER646">
        <v>1353.5</v>
      </c>
      <c r="ES646">
        <v>182.2</v>
      </c>
      <c r="ET646">
        <v>855.59999999999991</v>
      </c>
      <c r="EU646">
        <v>172.2</v>
      </c>
      <c r="EV646">
        <v>203.2</v>
      </c>
      <c r="EW646">
        <v>1173.0999999999999</v>
      </c>
      <c r="EX646">
        <v>1078.3</v>
      </c>
      <c r="EY646">
        <v>1194.4000000000001</v>
      </c>
      <c r="EZ646">
        <v>1207.0999999999999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0</v>
      </c>
      <c r="FG646">
        <v>0</v>
      </c>
      <c r="FH646">
        <v>0</v>
      </c>
      <c r="FI646">
        <v>0</v>
      </c>
      <c r="FJ646">
        <v>0</v>
      </c>
      <c r="FK646">
        <v>0</v>
      </c>
      <c r="FL646">
        <v>0</v>
      </c>
      <c r="FM646">
        <v>0</v>
      </c>
      <c r="FN646">
        <v>0</v>
      </c>
      <c r="FO646">
        <v>0</v>
      </c>
      <c r="FP646">
        <v>0</v>
      </c>
      <c r="FQ646">
        <v>0</v>
      </c>
      <c r="FR646">
        <v>0</v>
      </c>
      <c r="FS646">
        <v>0</v>
      </c>
      <c r="FT646">
        <v>0</v>
      </c>
      <c r="FU646">
        <v>0</v>
      </c>
      <c r="FV646">
        <v>0</v>
      </c>
      <c r="FW646">
        <v>0</v>
      </c>
      <c r="FX646">
        <v>0</v>
      </c>
      <c r="FY646">
        <v>0</v>
      </c>
      <c r="FZ646">
        <v>0</v>
      </c>
      <c r="GA646">
        <v>0</v>
      </c>
      <c r="GB646">
        <v>0</v>
      </c>
      <c r="GC646">
        <v>0</v>
      </c>
      <c r="GD646">
        <v>0</v>
      </c>
      <c r="GE646">
        <v>0</v>
      </c>
      <c r="GF646">
        <v>0</v>
      </c>
      <c r="GG646">
        <v>0</v>
      </c>
      <c r="GH646">
        <v>0</v>
      </c>
      <c r="GI646">
        <v>0</v>
      </c>
      <c r="GJ646">
        <v>0</v>
      </c>
      <c r="GK646">
        <v>0</v>
      </c>
      <c r="GL646">
        <v>0</v>
      </c>
      <c r="GO646">
        <v>0</v>
      </c>
      <c r="GP646">
        <v>0</v>
      </c>
      <c r="GQ646">
        <v>0</v>
      </c>
      <c r="GR646">
        <v>0</v>
      </c>
      <c r="GS646">
        <v>0</v>
      </c>
      <c r="GT646">
        <v>0</v>
      </c>
      <c r="GU646">
        <v>0</v>
      </c>
      <c r="GV646">
        <v>0</v>
      </c>
      <c r="GW646">
        <v>0</v>
      </c>
      <c r="GX646">
        <v>0</v>
      </c>
      <c r="GY646">
        <v>0</v>
      </c>
      <c r="GZ646">
        <v>0</v>
      </c>
      <c r="HA646">
        <v>0</v>
      </c>
      <c r="HB646">
        <v>0</v>
      </c>
      <c r="HC646">
        <v>0</v>
      </c>
      <c r="HD646">
        <v>0</v>
      </c>
      <c r="HE646">
        <v>0</v>
      </c>
      <c r="HF646">
        <v>0</v>
      </c>
      <c r="HG646">
        <v>0</v>
      </c>
      <c r="HH646">
        <v>0</v>
      </c>
      <c r="HI646">
        <v>0</v>
      </c>
      <c r="HJ646">
        <v>0</v>
      </c>
      <c r="HK646">
        <v>0</v>
      </c>
      <c r="HL646">
        <v>0</v>
      </c>
      <c r="HM646">
        <v>0</v>
      </c>
      <c r="HN646">
        <v>0</v>
      </c>
      <c r="HO646">
        <v>0</v>
      </c>
      <c r="HP646">
        <v>0</v>
      </c>
      <c r="HQ646">
        <v>0</v>
      </c>
      <c r="HR646">
        <v>0</v>
      </c>
      <c r="HS646">
        <v>0</v>
      </c>
      <c r="HT646">
        <v>0</v>
      </c>
      <c r="HU646">
        <v>0</v>
      </c>
      <c r="HV646">
        <v>0</v>
      </c>
      <c r="HW646">
        <v>404.70000000000005</v>
      </c>
      <c r="HX646">
        <v>342.3</v>
      </c>
      <c r="HZ646">
        <v>866.2</v>
      </c>
      <c r="IA646">
        <v>1142.8</v>
      </c>
      <c r="IB646">
        <v>1121.5</v>
      </c>
      <c r="IC646">
        <v>2403</v>
      </c>
      <c r="ID646">
        <v>2659.3</v>
      </c>
      <c r="IE646">
        <v>1923.4</v>
      </c>
      <c r="IF646">
        <v>1465.7</v>
      </c>
      <c r="IG646">
        <v>1608.3</v>
      </c>
      <c r="IH646">
        <v>0</v>
      </c>
      <c r="II646">
        <v>0</v>
      </c>
      <c r="IJ646">
        <v>0</v>
      </c>
      <c r="IK646">
        <v>0</v>
      </c>
      <c r="IL646">
        <v>0</v>
      </c>
      <c r="IM646">
        <v>0</v>
      </c>
      <c r="IN646">
        <v>0</v>
      </c>
      <c r="IO646">
        <v>0</v>
      </c>
      <c r="IP646">
        <v>75.099999999999994</v>
      </c>
    </row>
    <row r="647" spans="1:250" ht="18" thickBot="1">
      <c r="A647" s="245"/>
      <c r="B647" s="245" t="s">
        <v>972</v>
      </c>
      <c r="C647" s="230" t="s">
        <v>1092</v>
      </c>
      <c r="D647" s="397"/>
      <c r="E647" s="454">
        <v>0</v>
      </c>
      <c r="F647">
        <v>0</v>
      </c>
      <c r="G647" s="427">
        <v>0</v>
      </c>
      <c r="H647" s="155">
        <v>0</v>
      </c>
      <c r="I647">
        <v>0</v>
      </c>
      <c r="J647">
        <v>0</v>
      </c>
      <c r="K647">
        <v>0</v>
      </c>
      <c r="L647" s="4">
        <v>0</v>
      </c>
      <c r="M647" s="4">
        <v>0</v>
      </c>
      <c r="N647" s="4">
        <v>0</v>
      </c>
      <c r="O647" s="4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R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G647">
        <v>0</v>
      </c>
      <c r="BI647">
        <v>0</v>
      </c>
      <c r="BK647">
        <v>0</v>
      </c>
      <c r="BL647">
        <v>0</v>
      </c>
      <c r="BM647">
        <v>0</v>
      </c>
      <c r="BN647">
        <v>0</v>
      </c>
      <c r="BO647">
        <v>344.70000000000005</v>
      </c>
      <c r="BP647">
        <v>625.70000000000005</v>
      </c>
      <c r="BQ647">
        <v>912.2</v>
      </c>
      <c r="BR647">
        <v>237.7</v>
      </c>
      <c r="BS647">
        <v>0</v>
      </c>
      <c r="BT647">
        <v>0</v>
      </c>
      <c r="BU647">
        <v>0</v>
      </c>
      <c r="BV647">
        <v>0</v>
      </c>
      <c r="BW647">
        <v>1647.4</v>
      </c>
      <c r="BY647">
        <v>453.1</v>
      </c>
      <c r="CA647">
        <v>285.39999999999998</v>
      </c>
      <c r="CB647">
        <v>280.8</v>
      </c>
      <c r="CC647">
        <v>127.7</v>
      </c>
      <c r="CD647">
        <v>0</v>
      </c>
      <c r="CE647">
        <v>0</v>
      </c>
      <c r="CF647">
        <v>0</v>
      </c>
      <c r="CG647">
        <v>0</v>
      </c>
      <c r="CI647">
        <v>0</v>
      </c>
      <c r="CJ647">
        <v>0</v>
      </c>
      <c r="CL647">
        <v>0</v>
      </c>
      <c r="CM647">
        <v>0</v>
      </c>
      <c r="CN647">
        <v>0</v>
      </c>
      <c r="CO647">
        <v>0</v>
      </c>
      <c r="CP647">
        <v>0</v>
      </c>
      <c r="CQ647">
        <v>621.70000000000005</v>
      </c>
      <c r="CR647">
        <v>481.70000000000005</v>
      </c>
      <c r="CS647">
        <v>0</v>
      </c>
      <c r="CT647">
        <v>524.6</v>
      </c>
      <c r="CU647">
        <v>514.1</v>
      </c>
      <c r="CV647">
        <v>175.2</v>
      </c>
      <c r="CW647">
        <v>0</v>
      </c>
      <c r="CX647">
        <v>65.099999999999994</v>
      </c>
      <c r="CY647">
        <v>199</v>
      </c>
      <c r="CZ647">
        <v>1907.9</v>
      </c>
      <c r="DA647">
        <v>0</v>
      </c>
      <c r="DB647">
        <v>0</v>
      </c>
      <c r="DC647">
        <v>0</v>
      </c>
      <c r="DD647">
        <v>0</v>
      </c>
      <c r="DE647">
        <v>0</v>
      </c>
      <c r="DF647">
        <v>0</v>
      </c>
      <c r="DG647">
        <v>0</v>
      </c>
      <c r="DH647">
        <v>0</v>
      </c>
      <c r="DI647">
        <v>0</v>
      </c>
      <c r="DJ647">
        <v>0</v>
      </c>
      <c r="DK647">
        <v>0</v>
      </c>
      <c r="DL647">
        <v>0</v>
      </c>
      <c r="DM647">
        <v>1065.4000000000001</v>
      </c>
      <c r="DN647">
        <v>599.70000000000005</v>
      </c>
      <c r="DO647">
        <v>319.7</v>
      </c>
      <c r="DP647">
        <v>1570.6999999999998</v>
      </c>
      <c r="DQ647">
        <v>1399.5</v>
      </c>
      <c r="DR647">
        <v>3581</v>
      </c>
      <c r="DU647">
        <v>1393.2</v>
      </c>
      <c r="DV647">
        <v>2862.6</v>
      </c>
      <c r="DY647">
        <v>2361</v>
      </c>
      <c r="EA647">
        <v>2409.6</v>
      </c>
      <c r="EC647">
        <v>1661.3999999999999</v>
      </c>
      <c r="EE647">
        <v>0</v>
      </c>
      <c r="EF647">
        <v>0</v>
      </c>
      <c r="EG647">
        <v>0</v>
      </c>
      <c r="EH647">
        <v>0</v>
      </c>
      <c r="EI647">
        <v>0</v>
      </c>
      <c r="EJ647">
        <v>0</v>
      </c>
      <c r="EK647">
        <v>0</v>
      </c>
      <c r="EL647">
        <v>0</v>
      </c>
      <c r="EM647">
        <v>0</v>
      </c>
      <c r="EN647">
        <v>0</v>
      </c>
      <c r="EO647">
        <v>0</v>
      </c>
      <c r="EP647">
        <v>944.5</v>
      </c>
      <c r="EQ647">
        <v>3459.7</v>
      </c>
      <c r="ER647">
        <v>1353.5</v>
      </c>
      <c r="ES647">
        <v>182.2</v>
      </c>
      <c r="ET647">
        <v>855.59999999999991</v>
      </c>
      <c r="EU647">
        <v>172.2</v>
      </c>
      <c r="EV647">
        <v>203.2</v>
      </c>
      <c r="EW647">
        <v>1173.0999999999999</v>
      </c>
      <c r="EX647">
        <v>1078.3</v>
      </c>
      <c r="EY647">
        <v>1194.4000000000001</v>
      </c>
      <c r="EZ647">
        <v>1207.0999999999999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0</v>
      </c>
      <c r="FH647">
        <v>0</v>
      </c>
      <c r="FI647">
        <v>0</v>
      </c>
      <c r="FJ647">
        <v>0</v>
      </c>
      <c r="FK647">
        <v>0</v>
      </c>
      <c r="FL647">
        <v>0</v>
      </c>
      <c r="FM647">
        <v>0</v>
      </c>
      <c r="FN647">
        <v>0</v>
      </c>
      <c r="FO647">
        <v>0</v>
      </c>
      <c r="FP647">
        <v>0</v>
      </c>
      <c r="FQ647">
        <v>0</v>
      </c>
      <c r="FR647">
        <v>0</v>
      </c>
      <c r="FS647">
        <v>0</v>
      </c>
      <c r="FT647">
        <v>0</v>
      </c>
      <c r="FU647">
        <v>0</v>
      </c>
      <c r="FV647">
        <v>0</v>
      </c>
      <c r="FW647">
        <v>0</v>
      </c>
      <c r="FX647">
        <v>0</v>
      </c>
      <c r="FY647">
        <v>0</v>
      </c>
      <c r="FZ647">
        <v>0</v>
      </c>
      <c r="GA647">
        <v>0</v>
      </c>
      <c r="GB647">
        <v>0</v>
      </c>
      <c r="GC647">
        <v>0</v>
      </c>
      <c r="GD647">
        <v>0</v>
      </c>
      <c r="GE647">
        <v>0</v>
      </c>
      <c r="GF647">
        <v>0</v>
      </c>
      <c r="GG647">
        <v>0</v>
      </c>
      <c r="GH647">
        <v>0</v>
      </c>
      <c r="GI647">
        <v>0</v>
      </c>
      <c r="GJ647">
        <v>0</v>
      </c>
      <c r="GK647">
        <v>0</v>
      </c>
      <c r="GL647">
        <v>0</v>
      </c>
      <c r="GO647">
        <v>0</v>
      </c>
      <c r="GP647">
        <v>0</v>
      </c>
      <c r="GQ647">
        <v>0</v>
      </c>
      <c r="GR647">
        <v>0</v>
      </c>
      <c r="GS647">
        <v>0</v>
      </c>
      <c r="GT647">
        <v>0</v>
      </c>
      <c r="GU647">
        <v>0</v>
      </c>
      <c r="GV647">
        <v>0</v>
      </c>
      <c r="GW647">
        <v>0</v>
      </c>
      <c r="GX647">
        <v>0</v>
      </c>
      <c r="GY647">
        <v>0</v>
      </c>
      <c r="GZ647">
        <v>0</v>
      </c>
      <c r="HA647">
        <v>0</v>
      </c>
      <c r="HB647">
        <v>0</v>
      </c>
      <c r="HC647">
        <v>0</v>
      </c>
      <c r="HD647">
        <v>0</v>
      </c>
      <c r="HE647">
        <v>0</v>
      </c>
      <c r="HF647">
        <v>0</v>
      </c>
      <c r="HG647">
        <v>0</v>
      </c>
      <c r="HH647">
        <v>0</v>
      </c>
      <c r="HI647">
        <v>0</v>
      </c>
      <c r="HJ647">
        <v>0</v>
      </c>
      <c r="HK647">
        <v>0</v>
      </c>
      <c r="HL647">
        <v>0</v>
      </c>
      <c r="HM647">
        <v>0</v>
      </c>
      <c r="HN647">
        <v>0</v>
      </c>
      <c r="HO647">
        <v>0</v>
      </c>
      <c r="HP647">
        <v>0</v>
      </c>
      <c r="HQ647">
        <v>0</v>
      </c>
      <c r="HR647">
        <v>0</v>
      </c>
      <c r="HS647">
        <v>0</v>
      </c>
      <c r="HT647">
        <v>0</v>
      </c>
      <c r="HU647">
        <v>0</v>
      </c>
      <c r="HV647">
        <v>0</v>
      </c>
      <c r="HW647">
        <v>404.70000000000005</v>
      </c>
      <c r="HX647">
        <v>342.3</v>
      </c>
      <c r="HZ647">
        <v>866.2</v>
      </c>
      <c r="IA647">
        <v>1142.8</v>
      </c>
      <c r="IB647">
        <v>1121.5</v>
      </c>
      <c r="IC647">
        <v>2403</v>
      </c>
      <c r="ID647">
        <v>2659.3</v>
      </c>
      <c r="IE647">
        <v>1923.4</v>
      </c>
      <c r="IF647">
        <v>1465.7</v>
      </c>
      <c r="IG647">
        <v>1608.3</v>
      </c>
      <c r="IH647">
        <v>0</v>
      </c>
      <c r="II647">
        <v>0</v>
      </c>
      <c r="IJ647">
        <v>0</v>
      </c>
      <c r="IK647">
        <v>0</v>
      </c>
      <c r="IL647">
        <v>0</v>
      </c>
      <c r="IM647">
        <v>0</v>
      </c>
      <c r="IN647">
        <v>0</v>
      </c>
      <c r="IO647">
        <v>0</v>
      </c>
      <c r="IP647">
        <v>75.099999999999994</v>
      </c>
    </row>
    <row r="648" spans="1:250" ht="18" thickBot="1">
      <c r="A648" s="245"/>
      <c r="B648" s="245" t="s">
        <v>587</v>
      </c>
      <c r="C648" s="230" t="s">
        <v>1093</v>
      </c>
      <c r="D648" s="397"/>
      <c r="E648" s="454">
        <v>0</v>
      </c>
      <c r="F648">
        <v>0</v>
      </c>
      <c r="G648" s="427">
        <v>0</v>
      </c>
      <c r="H648" s="155">
        <v>0</v>
      </c>
      <c r="I648">
        <v>0</v>
      </c>
      <c r="J648">
        <v>0</v>
      </c>
      <c r="K648">
        <v>0</v>
      </c>
      <c r="L648" s="4">
        <v>0</v>
      </c>
      <c r="M648" s="4">
        <v>0</v>
      </c>
      <c r="N648" s="4">
        <v>0</v>
      </c>
      <c r="O648" s="4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R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G648">
        <v>0</v>
      </c>
      <c r="BI648">
        <v>0</v>
      </c>
      <c r="BK648">
        <v>0</v>
      </c>
      <c r="BL648">
        <v>0</v>
      </c>
      <c r="BM648">
        <v>0</v>
      </c>
      <c r="BN648">
        <v>0</v>
      </c>
      <c r="BO648">
        <v>344.70000000000005</v>
      </c>
      <c r="BP648">
        <v>625.70000000000005</v>
      </c>
      <c r="BQ648">
        <v>912.2</v>
      </c>
      <c r="BR648">
        <v>237.7</v>
      </c>
      <c r="BS648">
        <v>0</v>
      </c>
      <c r="BT648">
        <v>0</v>
      </c>
      <c r="BU648">
        <v>0</v>
      </c>
      <c r="BV648">
        <v>0</v>
      </c>
      <c r="BW648">
        <v>1647.4</v>
      </c>
      <c r="BY648">
        <v>453.1</v>
      </c>
      <c r="CA648">
        <v>285.39999999999998</v>
      </c>
      <c r="CB648">
        <v>280.8</v>
      </c>
      <c r="CC648">
        <v>127.7</v>
      </c>
      <c r="CD648">
        <v>0</v>
      </c>
      <c r="CE648">
        <v>0</v>
      </c>
      <c r="CF648">
        <v>0</v>
      </c>
      <c r="CG648">
        <v>0</v>
      </c>
      <c r="CI648">
        <v>0</v>
      </c>
      <c r="CJ648">
        <v>0</v>
      </c>
      <c r="CL648">
        <v>0</v>
      </c>
      <c r="CM648">
        <v>0</v>
      </c>
      <c r="CN648">
        <v>0</v>
      </c>
      <c r="CO648">
        <v>0</v>
      </c>
      <c r="CP648">
        <v>0</v>
      </c>
      <c r="CQ648">
        <v>621.70000000000005</v>
      </c>
      <c r="CR648">
        <v>481.70000000000005</v>
      </c>
      <c r="CS648">
        <v>0</v>
      </c>
      <c r="CT648">
        <v>524.6</v>
      </c>
      <c r="CU648">
        <v>514.1</v>
      </c>
      <c r="CV648">
        <v>175.2</v>
      </c>
      <c r="CW648">
        <v>0</v>
      </c>
      <c r="CX648">
        <v>65.099999999999994</v>
      </c>
      <c r="CY648">
        <v>199</v>
      </c>
      <c r="CZ648">
        <v>1907.9</v>
      </c>
      <c r="DA648">
        <v>0</v>
      </c>
      <c r="DB648">
        <v>0</v>
      </c>
      <c r="DC648">
        <v>0</v>
      </c>
      <c r="DD648">
        <v>0</v>
      </c>
      <c r="DE648">
        <v>0</v>
      </c>
      <c r="DF648">
        <v>0</v>
      </c>
      <c r="DG648">
        <v>0</v>
      </c>
      <c r="DH648">
        <v>0</v>
      </c>
      <c r="DI648">
        <v>0</v>
      </c>
      <c r="DJ648">
        <v>0</v>
      </c>
      <c r="DK648">
        <v>0</v>
      </c>
      <c r="DL648">
        <v>0</v>
      </c>
      <c r="DM648">
        <v>1065.4000000000001</v>
      </c>
      <c r="DN648">
        <v>599.70000000000005</v>
      </c>
      <c r="DO648">
        <v>319.7</v>
      </c>
      <c r="DP648">
        <v>1570.6999999999998</v>
      </c>
      <c r="DQ648">
        <v>1399.5</v>
      </c>
      <c r="DR648">
        <v>3581</v>
      </c>
      <c r="DU648">
        <v>1393.2</v>
      </c>
      <c r="DV648">
        <v>2862.6</v>
      </c>
      <c r="DY648">
        <v>2361</v>
      </c>
      <c r="EA648">
        <v>2409.6</v>
      </c>
      <c r="EC648">
        <v>1661.3999999999999</v>
      </c>
      <c r="EE648">
        <v>0</v>
      </c>
      <c r="EF648">
        <v>0</v>
      </c>
      <c r="EG648">
        <v>0</v>
      </c>
      <c r="EH648">
        <v>0</v>
      </c>
      <c r="EI648">
        <v>0</v>
      </c>
      <c r="EJ648">
        <v>0</v>
      </c>
      <c r="EK648">
        <v>0</v>
      </c>
      <c r="EL648">
        <v>0</v>
      </c>
      <c r="EM648">
        <v>0</v>
      </c>
      <c r="EN648">
        <v>0</v>
      </c>
      <c r="EO648">
        <v>0</v>
      </c>
      <c r="EP648">
        <v>944.5</v>
      </c>
      <c r="EQ648">
        <v>3459.7</v>
      </c>
      <c r="ER648">
        <v>1353.5</v>
      </c>
      <c r="ES648">
        <v>182.2</v>
      </c>
      <c r="ET648">
        <v>855.59999999999991</v>
      </c>
      <c r="EU648">
        <v>172.2</v>
      </c>
      <c r="EV648">
        <v>203.2</v>
      </c>
      <c r="EW648">
        <v>1173.0999999999999</v>
      </c>
      <c r="EX648">
        <v>1078.3</v>
      </c>
      <c r="EY648">
        <v>1194.4000000000001</v>
      </c>
      <c r="EZ648">
        <v>1207.0999999999999</v>
      </c>
      <c r="FA648">
        <v>0</v>
      </c>
      <c r="FB648">
        <v>0</v>
      </c>
      <c r="FC648">
        <v>0</v>
      </c>
      <c r="FD648">
        <v>0</v>
      </c>
      <c r="FE648">
        <v>0</v>
      </c>
      <c r="FF648">
        <v>0</v>
      </c>
      <c r="FG648">
        <v>0</v>
      </c>
      <c r="FH648">
        <v>0</v>
      </c>
      <c r="FI648">
        <v>0</v>
      </c>
      <c r="FJ648">
        <v>0</v>
      </c>
      <c r="FK648">
        <v>0</v>
      </c>
      <c r="FL648">
        <v>0</v>
      </c>
      <c r="FM648">
        <v>0</v>
      </c>
      <c r="FN648">
        <v>0</v>
      </c>
      <c r="FO648">
        <v>0</v>
      </c>
      <c r="FP648">
        <v>0</v>
      </c>
      <c r="FQ648">
        <v>0</v>
      </c>
      <c r="FR648">
        <v>0</v>
      </c>
      <c r="FS648">
        <v>0</v>
      </c>
      <c r="FT648">
        <v>0</v>
      </c>
      <c r="FU648">
        <v>0</v>
      </c>
      <c r="FV648">
        <v>0</v>
      </c>
      <c r="FW648">
        <v>0</v>
      </c>
      <c r="FX648">
        <v>0</v>
      </c>
      <c r="FY648">
        <v>0</v>
      </c>
      <c r="FZ648">
        <v>0</v>
      </c>
      <c r="GA648">
        <v>0</v>
      </c>
      <c r="GB648">
        <v>0</v>
      </c>
      <c r="GC648">
        <v>0</v>
      </c>
      <c r="GD648">
        <v>0</v>
      </c>
      <c r="GE648">
        <v>0</v>
      </c>
      <c r="GF648">
        <v>0</v>
      </c>
      <c r="GG648">
        <v>0</v>
      </c>
      <c r="GH648">
        <v>0</v>
      </c>
      <c r="GI648">
        <v>0</v>
      </c>
      <c r="GJ648">
        <v>0</v>
      </c>
      <c r="GK648">
        <v>0</v>
      </c>
      <c r="GL648">
        <v>0</v>
      </c>
      <c r="GO648">
        <v>0</v>
      </c>
      <c r="GP648">
        <v>0</v>
      </c>
      <c r="GQ648">
        <v>0</v>
      </c>
      <c r="GR648">
        <v>0</v>
      </c>
      <c r="GS648">
        <v>0</v>
      </c>
      <c r="GT648">
        <v>0</v>
      </c>
      <c r="GU648">
        <v>0</v>
      </c>
      <c r="GV648">
        <v>0</v>
      </c>
      <c r="GW648">
        <v>0</v>
      </c>
      <c r="GX648">
        <v>0</v>
      </c>
      <c r="GY648">
        <v>0</v>
      </c>
      <c r="GZ648">
        <v>0</v>
      </c>
      <c r="HA648">
        <v>0</v>
      </c>
      <c r="HB648">
        <v>0</v>
      </c>
      <c r="HC648">
        <v>0</v>
      </c>
      <c r="HD648">
        <v>0</v>
      </c>
      <c r="HE648">
        <v>0</v>
      </c>
      <c r="HF648">
        <v>0</v>
      </c>
      <c r="HG648">
        <v>0</v>
      </c>
      <c r="HH648">
        <v>0</v>
      </c>
      <c r="HI648">
        <v>0</v>
      </c>
      <c r="HJ648">
        <v>0</v>
      </c>
      <c r="HK648">
        <v>0</v>
      </c>
      <c r="HL648">
        <v>0</v>
      </c>
      <c r="HM648">
        <v>0</v>
      </c>
      <c r="HN648">
        <v>0</v>
      </c>
      <c r="HO648">
        <v>0</v>
      </c>
      <c r="HP648">
        <v>0</v>
      </c>
      <c r="HQ648">
        <v>0</v>
      </c>
      <c r="HR648">
        <v>0</v>
      </c>
      <c r="HS648">
        <v>0</v>
      </c>
      <c r="HT648">
        <v>0</v>
      </c>
      <c r="HU648">
        <v>0</v>
      </c>
      <c r="HV648">
        <v>0</v>
      </c>
      <c r="HW648">
        <v>404.70000000000005</v>
      </c>
      <c r="HX648">
        <v>342.3</v>
      </c>
      <c r="HZ648">
        <v>866.2</v>
      </c>
      <c r="IA648">
        <v>1142.8</v>
      </c>
      <c r="IB648">
        <v>1121.5</v>
      </c>
      <c r="IC648">
        <v>2403</v>
      </c>
      <c r="ID648">
        <v>2659.3</v>
      </c>
      <c r="IE648">
        <v>1923.4</v>
      </c>
      <c r="IF648">
        <v>1465.7</v>
      </c>
      <c r="IG648">
        <v>1608.3</v>
      </c>
      <c r="IH648">
        <v>0</v>
      </c>
      <c r="II648">
        <v>0</v>
      </c>
      <c r="IJ648">
        <v>0</v>
      </c>
      <c r="IK648">
        <v>0</v>
      </c>
      <c r="IL648">
        <v>0</v>
      </c>
      <c r="IM648">
        <v>0</v>
      </c>
      <c r="IN648">
        <v>0</v>
      </c>
      <c r="IO648">
        <v>0</v>
      </c>
      <c r="IP648">
        <v>75.099999999999994</v>
      </c>
    </row>
    <row r="649" spans="1:250" ht="18" thickBot="1">
      <c r="A649" s="245"/>
      <c r="B649" s="245" t="s">
        <v>588</v>
      </c>
      <c r="C649" s="230" t="s">
        <v>1094</v>
      </c>
      <c r="D649" s="397"/>
      <c r="E649" s="454">
        <v>0</v>
      </c>
      <c r="F649">
        <v>0</v>
      </c>
      <c r="G649" s="427">
        <v>0</v>
      </c>
      <c r="H649" s="155">
        <v>0</v>
      </c>
      <c r="I649">
        <v>0</v>
      </c>
      <c r="J649">
        <v>0</v>
      </c>
      <c r="K649">
        <v>0</v>
      </c>
      <c r="L649" s="4">
        <v>0</v>
      </c>
      <c r="M649" s="4">
        <v>0</v>
      </c>
      <c r="N649" s="4">
        <v>0</v>
      </c>
      <c r="O649" s="4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R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G649">
        <v>0</v>
      </c>
      <c r="BI649">
        <v>0</v>
      </c>
      <c r="BK649">
        <v>0</v>
      </c>
      <c r="BL649">
        <v>0</v>
      </c>
      <c r="BM649">
        <v>0</v>
      </c>
      <c r="BN649">
        <v>0</v>
      </c>
      <c r="BO649">
        <v>344.70000000000005</v>
      </c>
      <c r="BP649">
        <v>625.70000000000005</v>
      </c>
      <c r="BQ649">
        <v>912.2</v>
      </c>
      <c r="BR649">
        <v>237.7</v>
      </c>
      <c r="BS649">
        <v>0</v>
      </c>
      <c r="BT649">
        <v>0</v>
      </c>
      <c r="BU649">
        <v>0</v>
      </c>
      <c r="BV649">
        <v>0</v>
      </c>
      <c r="BW649">
        <v>1647.4</v>
      </c>
      <c r="BY649">
        <v>453.1</v>
      </c>
      <c r="CA649">
        <v>285.39999999999998</v>
      </c>
      <c r="CB649">
        <v>280.8</v>
      </c>
      <c r="CC649">
        <v>127.7</v>
      </c>
      <c r="CD649">
        <v>0</v>
      </c>
      <c r="CE649">
        <v>0</v>
      </c>
      <c r="CF649">
        <v>0</v>
      </c>
      <c r="CG649">
        <v>0</v>
      </c>
      <c r="CI649">
        <v>0</v>
      </c>
      <c r="CJ649">
        <v>0</v>
      </c>
      <c r="CL649">
        <v>0</v>
      </c>
      <c r="CM649">
        <v>0</v>
      </c>
      <c r="CN649">
        <v>0</v>
      </c>
      <c r="CO649">
        <v>0</v>
      </c>
      <c r="CP649">
        <v>0</v>
      </c>
      <c r="CQ649">
        <v>621.70000000000005</v>
      </c>
      <c r="CR649">
        <v>481.70000000000005</v>
      </c>
      <c r="CS649">
        <v>0</v>
      </c>
      <c r="CT649">
        <v>524.6</v>
      </c>
      <c r="CU649">
        <v>514.1</v>
      </c>
      <c r="CV649">
        <v>175.2</v>
      </c>
      <c r="CW649">
        <v>0</v>
      </c>
      <c r="CX649">
        <v>65.099999999999994</v>
      </c>
      <c r="CY649">
        <v>199</v>
      </c>
      <c r="CZ649">
        <v>1907.9</v>
      </c>
      <c r="DA649">
        <v>0</v>
      </c>
      <c r="DB649">
        <v>0</v>
      </c>
      <c r="DC649">
        <v>0</v>
      </c>
      <c r="DD649">
        <v>0</v>
      </c>
      <c r="DE649">
        <v>0</v>
      </c>
      <c r="DF649">
        <v>0</v>
      </c>
      <c r="DG649">
        <v>0</v>
      </c>
      <c r="DH649">
        <v>0</v>
      </c>
      <c r="DI649">
        <v>0</v>
      </c>
      <c r="DJ649">
        <v>0</v>
      </c>
      <c r="DK649">
        <v>0</v>
      </c>
      <c r="DL649">
        <v>0</v>
      </c>
      <c r="DM649">
        <v>1065.4000000000001</v>
      </c>
      <c r="DN649">
        <v>599.70000000000005</v>
      </c>
      <c r="DO649">
        <v>319.7</v>
      </c>
      <c r="DP649">
        <v>1570.6999999999998</v>
      </c>
      <c r="DQ649">
        <v>1399.5</v>
      </c>
      <c r="DR649">
        <v>3581</v>
      </c>
      <c r="DU649">
        <v>1393.2</v>
      </c>
      <c r="DV649">
        <v>2862.6</v>
      </c>
      <c r="DY649">
        <v>2361</v>
      </c>
      <c r="EA649">
        <v>2409.6</v>
      </c>
      <c r="EC649">
        <v>1661.3999999999999</v>
      </c>
      <c r="EE649">
        <v>0</v>
      </c>
      <c r="EF649">
        <v>0</v>
      </c>
      <c r="EG649">
        <v>0</v>
      </c>
      <c r="EH649">
        <v>0</v>
      </c>
      <c r="EI649">
        <v>0</v>
      </c>
      <c r="EJ649">
        <v>0</v>
      </c>
      <c r="EK649">
        <v>0</v>
      </c>
      <c r="EL649">
        <v>0</v>
      </c>
      <c r="EM649">
        <v>0</v>
      </c>
      <c r="EN649">
        <v>0</v>
      </c>
      <c r="EO649">
        <v>0</v>
      </c>
      <c r="EP649">
        <v>944.5</v>
      </c>
      <c r="EQ649">
        <v>3459.7</v>
      </c>
      <c r="ER649">
        <v>1353.5</v>
      </c>
      <c r="ES649">
        <v>182.2</v>
      </c>
      <c r="ET649">
        <v>855.59999999999991</v>
      </c>
      <c r="EU649">
        <v>172.2</v>
      </c>
      <c r="EV649">
        <v>203.2</v>
      </c>
      <c r="EW649">
        <v>1173.0999999999999</v>
      </c>
      <c r="EX649">
        <v>1078.3</v>
      </c>
      <c r="EY649">
        <v>1194.4000000000001</v>
      </c>
      <c r="EZ649">
        <v>1207.0999999999999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0</v>
      </c>
      <c r="FH649">
        <v>0</v>
      </c>
      <c r="FI649">
        <v>0</v>
      </c>
      <c r="FJ649">
        <v>0</v>
      </c>
      <c r="FK649">
        <v>0</v>
      </c>
      <c r="FL649">
        <v>0</v>
      </c>
      <c r="FM649">
        <v>0</v>
      </c>
      <c r="FN649">
        <v>0</v>
      </c>
      <c r="FO649">
        <v>0</v>
      </c>
      <c r="FP649">
        <v>0</v>
      </c>
      <c r="FQ649">
        <v>0</v>
      </c>
      <c r="FR649">
        <v>0</v>
      </c>
      <c r="FS649">
        <v>0</v>
      </c>
      <c r="FT649">
        <v>0</v>
      </c>
      <c r="FU649">
        <v>0</v>
      </c>
      <c r="FV649">
        <v>0</v>
      </c>
      <c r="FW649">
        <v>0</v>
      </c>
      <c r="FX649">
        <v>0</v>
      </c>
      <c r="FY649">
        <v>0</v>
      </c>
      <c r="FZ649">
        <v>0</v>
      </c>
      <c r="GA649">
        <v>0</v>
      </c>
      <c r="GB649">
        <v>0</v>
      </c>
      <c r="GC649">
        <v>0</v>
      </c>
      <c r="GD649">
        <v>0</v>
      </c>
      <c r="GE649">
        <v>0</v>
      </c>
      <c r="GF649">
        <v>0</v>
      </c>
      <c r="GG649">
        <v>0</v>
      </c>
      <c r="GH649">
        <v>0</v>
      </c>
      <c r="GI649">
        <v>0</v>
      </c>
      <c r="GJ649">
        <v>0</v>
      </c>
      <c r="GK649">
        <v>0</v>
      </c>
      <c r="GL649">
        <v>0</v>
      </c>
      <c r="GO649">
        <v>0</v>
      </c>
      <c r="GP649">
        <v>0</v>
      </c>
      <c r="GQ649">
        <v>0</v>
      </c>
      <c r="GR649">
        <v>0</v>
      </c>
      <c r="GS649">
        <v>0</v>
      </c>
      <c r="GT649">
        <v>0</v>
      </c>
      <c r="GU649">
        <v>0</v>
      </c>
      <c r="GV649">
        <v>0</v>
      </c>
      <c r="GW649">
        <v>0</v>
      </c>
      <c r="GX649">
        <v>0</v>
      </c>
      <c r="GY649">
        <v>0</v>
      </c>
      <c r="GZ649">
        <v>0</v>
      </c>
      <c r="HA649">
        <v>0</v>
      </c>
      <c r="HB649">
        <v>0</v>
      </c>
      <c r="HC649">
        <v>0</v>
      </c>
      <c r="HD649">
        <v>0</v>
      </c>
      <c r="HE649">
        <v>0</v>
      </c>
      <c r="HF649">
        <v>0</v>
      </c>
      <c r="HG649">
        <v>0</v>
      </c>
      <c r="HH649">
        <v>0</v>
      </c>
      <c r="HI649">
        <v>0</v>
      </c>
      <c r="HJ649">
        <v>0</v>
      </c>
      <c r="HK649">
        <v>0</v>
      </c>
      <c r="HL649">
        <v>0</v>
      </c>
      <c r="HM649">
        <v>0</v>
      </c>
      <c r="HN649">
        <v>0</v>
      </c>
      <c r="HO649">
        <v>0</v>
      </c>
      <c r="HP649">
        <v>0</v>
      </c>
      <c r="HQ649">
        <v>0</v>
      </c>
      <c r="HR649">
        <v>0</v>
      </c>
      <c r="HS649">
        <v>0</v>
      </c>
      <c r="HT649">
        <v>0</v>
      </c>
      <c r="HU649">
        <v>0</v>
      </c>
      <c r="HV649">
        <v>0</v>
      </c>
      <c r="HW649">
        <v>404.70000000000005</v>
      </c>
      <c r="HX649">
        <v>342.3</v>
      </c>
      <c r="HZ649">
        <v>866.2</v>
      </c>
      <c r="IA649">
        <v>1142.8</v>
      </c>
      <c r="IB649">
        <v>1121.5</v>
      </c>
      <c r="IC649">
        <v>2403</v>
      </c>
      <c r="ID649">
        <v>2659.3</v>
      </c>
      <c r="IE649">
        <v>1923.4</v>
      </c>
      <c r="IF649">
        <v>1465.7</v>
      </c>
      <c r="IG649">
        <v>1608.3</v>
      </c>
      <c r="IH649">
        <v>0</v>
      </c>
      <c r="II649">
        <v>0</v>
      </c>
      <c r="IJ649">
        <v>0</v>
      </c>
      <c r="IK649">
        <v>0</v>
      </c>
      <c r="IL649">
        <v>0</v>
      </c>
      <c r="IM649">
        <v>0</v>
      </c>
      <c r="IN649">
        <v>0</v>
      </c>
      <c r="IO649">
        <v>0</v>
      </c>
      <c r="IP649">
        <v>75.099999999999994</v>
      </c>
    </row>
    <row r="650" spans="1:250" ht="18" thickBot="1">
      <c r="A650" s="245"/>
      <c r="B650" s="245" t="s">
        <v>589</v>
      </c>
      <c r="C650" s="230" t="s">
        <v>1095</v>
      </c>
      <c r="D650" s="397"/>
      <c r="E650" s="454">
        <v>0</v>
      </c>
      <c r="F650">
        <v>0</v>
      </c>
      <c r="G650" s="427">
        <v>0</v>
      </c>
      <c r="H650" s="155">
        <v>0</v>
      </c>
      <c r="I650">
        <v>0</v>
      </c>
      <c r="J650">
        <v>0</v>
      </c>
      <c r="K650">
        <v>0</v>
      </c>
      <c r="L650" s="4">
        <v>0</v>
      </c>
      <c r="M650" s="4">
        <v>0</v>
      </c>
      <c r="N650" s="4">
        <v>0</v>
      </c>
      <c r="O650" s="4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R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G650">
        <v>0</v>
      </c>
      <c r="BI650">
        <v>0</v>
      </c>
      <c r="BK650">
        <v>0</v>
      </c>
      <c r="BL650">
        <v>0</v>
      </c>
      <c r="BM650">
        <v>0</v>
      </c>
      <c r="BN650">
        <v>0</v>
      </c>
      <c r="BO650">
        <v>344.70000000000005</v>
      </c>
      <c r="BP650">
        <v>625.70000000000005</v>
      </c>
      <c r="BQ650">
        <v>912.2</v>
      </c>
      <c r="BR650">
        <v>237.7</v>
      </c>
      <c r="BS650">
        <v>0</v>
      </c>
      <c r="BT650">
        <v>0</v>
      </c>
      <c r="BU650">
        <v>0</v>
      </c>
      <c r="BV650">
        <v>0</v>
      </c>
      <c r="BW650">
        <v>1647.4</v>
      </c>
      <c r="BY650">
        <v>453.1</v>
      </c>
      <c r="CA650">
        <v>285.39999999999998</v>
      </c>
      <c r="CB650">
        <v>280.8</v>
      </c>
      <c r="CC650">
        <v>127.7</v>
      </c>
      <c r="CD650">
        <v>0</v>
      </c>
      <c r="CE650">
        <v>0</v>
      </c>
      <c r="CF650">
        <v>0</v>
      </c>
      <c r="CG650">
        <v>0</v>
      </c>
      <c r="CI650">
        <v>0</v>
      </c>
      <c r="CJ650">
        <v>0</v>
      </c>
      <c r="CL650">
        <v>0</v>
      </c>
      <c r="CM650">
        <v>0</v>
      </c>
      <c r="CN650">
        <v>0</v>
      </c>
      <c r="CO650">
        <v>0</v>
      </c>
      <c r="CP650">
        <v>0</v>
      </c>
      <c r="CQ650">
        <v>621.70000000000005</v>
      </c>
      <c r="CR650">
        <v>481.70000000000005</v>
      </c>
      <c r="CS650">
        <v>0</v>
      </c>
      <c r="CT650">
        <v>524.6</v>
      </c>
      <c r="CU650">
        <v>514.1</v>
      </c>
      <c r="CV650">
        <v>175.2</v>
      </c>
      <c r="CW650">
        <v>0</v>
      </c>
      <c r="CX650">
        <v>65.099999999999994</v>
      </c>
      <c r="CY650">
        <v>199</v>
      </c>
      <c r="CZ650">
        <v>1907.9</v>
      </c>
      <c r="DA650">
        <v>0</v>
      </c>
      <c r="DB650">
        <v>0</v>
      </c>
      <c r="DC650">
        <v>0</v>
      </c>
      <c r="DD650">
        <v>0</v>
      </c>
      <c r="DE650">
        <v>0</v>
      </c>
      <c r="DF650">
        <v>0</v>
      </c>
      <c r="DG650">
        <v>0</v>
      </c>
      <c r="DH650">
        <v>0</v>
      </c>
      <c r="DI650">
        <v>0</v>
      </c>
      <c r="DJ650">
        <v>0</v>
      </c>
      <c r="DK650">
        <v>0</v>
      </c>
      <c r="DL650">
        <v>0</v>
      </c>
      <c r="DM650">
        <v>1065.4000000000001</v>
      </c>
      <c r="DN650">
        <v>599.70000000000005</v>
      </c>
      <c r="DO650">
        <v>319.7</v>
      </c>
      <c r="DP650">
        <v>1570.6999999999998</v>
      </c>
      <c r="DQ650">
        <v>1399.5</v>
      </c>
      <c r="DR650">
        <v>3581</v>
      </c>
      <c r="DU650">
        <v>1393.2</v>
      </c>
      <c r="DV650">
        <v>2862.6</v>
      </c>
      <c r="DY650">
        <v>2361</v>
      </c>
      <c r="EA650">
        <v>2409.6</v>
      </c>
      <c r="EC650">
        <v>1661.3999999999999</v>
      </c>
      <c r="EE650">
        <v>0</v>
      </c>
      <c r="EF650">
        <v>0</v>
      </c>
      <c r="EG650">
        <v>0</v>
      </c>
      <c r="EH650">
        <v>0</v>
      </c>
      <c r="EI650">
        <v>0</v>
      </c>
      <c r="EJ650">
        <v>0</v>
      </c>
      <c r="EK650">
        <v>0</v>
      </c>
      <c r="EL650">
        <v>0</v>
      </c>
      <c r="EM650">
        <v>0</v>
      </c>
      <c r="EN650">
        <v>0</v>
      </c>
      <c r="EO650">
        <v>0</v>
      </c>
      <c r="EP650">
        <v>944.5</v>
      </c>
      <c r="EQ650">
        <v>3459.7</v>
      </c>
      <c r="ER650">
        <v>1353.5</v>
      </c>
      <c r="ES650">
        <v>182.2</v>
      </c>
      <c r="ET650">
        <v>855.59999999999991</v>
      </c>
      <c r="EU650">
        <v>172.2</v>
      </c>
      <c r="EV650">
        <v>203.2</v>
      </c>
      <c r="EW650">
        <v>1173.0999999999999</v>
      </c>
      <c r="EX650">
        <v>1078.3</v>
      </c>
      <c r="EY650">
        <v>1194.4000000000001</v>
      </c>
      <c r="EZ650">
        <v>1207.0999999999999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0</v>
      </c>
      <c r="FG650">
        <v>0</v>
      </c>
      <c r="FH650">
        <v>0</v>
      </c>
      <c r="FI650">
        <v>0</v>
      </c>
      <c r="FJ650">
        <v>0</v>
      </c>
      <c r="FK650">
        <v>0</v>
      </c>
      <c r="FL650">
        <v>0</v>
      </c>
      <c r="FM650">
        <v>0</v>
      </c>
      <c r="FN650">
        <v>0</v>
      </c>
      <c r="FO650">
        <v>0</v>
      </c>
      <c r="FP650">
        <v>0</v>
      </c>
      <c r="FQ650">
        <v>0</v>
      </c>
      <c r="FR650">
        <v>0</v>
      </c>
      <c r="FS650">
        <v>0</v>
      </c>
      <c r="FT650">
        <v>0</v>
      </c>
      <c r="FU650">
        <v>0</v>
      </c>
      <c r="FV650">
        <v>0</v>
      </c>
      <c r="FW650">
        <v>0</v>
      </c>
      <c r="FX650">
        <v>0</v>
      </c>
      <c r="FY650">
        <v>0</v>
      </c>
      <c r="FZ650">
        <v>0</v>
      </c>
      <c r="GA650">
        <v>0</v>
      </c>
      <c r="GB650">
        <v>0</v>
      </c>
      <c r="GC650">
        <v>0</v>
      </c>
      <c r="GD650">
        <v>0</v>
      </c>
      <c r="GE650">
        <v>0</v>
      </c>
      <c r="GF650">
        <v>0</v>
      </c>
      <c r="GG650">
        <v>0</v>
      </c>
      <c r="GH650">
        <v>0</v>
      </c>
      <c r="GI650">
        <v>0</v>
      </c>
      <c r="GJ650">
        <v>0</v>
      </c>
      <c r="GK650">
        <v>0</v>
      </c>
      <c r="GL650">
        <v>0</v>
      </c>
      <c r="GO650">
        <v>0</v>
      </c>
      <c r="GP650">
        <v>0</v>
      </c>
      <c r="GQ650">
        <v>0</v>
      </c>
      <c r="GR650">
        <v>0</v>
      </c>
      <c r="GS650">
        <v>0</v>
      </c>
      <c r="GT650">
        <v>0</v>
      </c>
      <c r="GU650">
        <v>0</v>
      </c>
      <c r="GV650">
        <v>0</v>
      </c>
      <c r="GW650">
        <v>0</v>
      </c>
      <c r="GX650">
        <v>0</v>
      </c>
      <c r="GY650">
        <v>0</v>
      </c>
      <c r="GZ650">
        <v>0</v>
      </c>
      <c r="HA650">
        <v>0</v>
      </c>
      <c r="HB650">
        <v>0</v>
      </c>
      <c r="HC650">
        <v>0</v>
      </c>
      <c r="HD650">
        <v>0</v>
      </c>
      <c r="HE650">
        <v>0</v>
      </c>
      <c r="HF650">
        <v>0</v>
      </c>
      <c r="HG650">
        <v>0</v>
      </c>
      <c r="HH650">
        <v>0</v>
      </c>
      <c r="HI650">
        <v>0</v>
      </c>
      <c r="HJ650">
        <v>0</v>
      </c>
      <c r="HK650">
        <v>0</v>
      </c>
      <c r="HL650">
        <v>0</v>
      </c>
      <c r="HM650">
        <v>0</v>
      </c>
      <c r="HN650">
        <v>0</v>
      </c>
      <c r="HO650">
        <v>0</v>
      </c>
      <c r="HP650">
        <v>0</v>
      </c>
      <c r="HQ650">
        <v>0</v>
      </c>
      <c r="HR650">
        <v>0</v>
      </c>
      <c r="HS650">
        <v>0</v>
      </c>
      <c r="HT650">
        <v>0</v>
      </c>
      <c r="HU650">
        <v>0</v>
      </c>
      <c r="HV650">
        <v>0</v>
      </c>
      <c r="HW650">
        <v>404.70000000000005</v>
      </c>
      <c r="HX650">
        <v>342.3</v>
      </c>
      <c r="HZ650">
        <v>866.2</v>
      </c>
      <c r="IA650">
        <v>1142.8</v>
      </c>
      <c r="IB650">
        <v>1121.5</v>
      </c>
      <c r="IC650">
        <v>2403</v>
      </c>
      <c r="ID650">
        <v>2659.3</v>
      </c>
      <c r="IE650">
        <v>1923.4</v>
      </c>
      <c r="IF650">
        <v>1465.7</v>
      </c>
      <c r="IG650">
        <v>1608.3</v>
      </c>
      <c r="IH650">
        <v>0</v>
      </c>
      <c r="II650">
        <v>0</v>
      </c>
      <c r="IJ650">
        <v>0</v>
      </c>
      <c r="IK650">
        <v>0</v>
      </c>
      <c r="IL650">
        <v>0</v>
      </c>
      <c r="IM650">
        <v>0</v>
      </c>
      <c r="IN650">
        <v>0</v>
      </c>
      <c r="IO650">
        <v>0</v>
      </c>
      <c r="IP650">
        <v>75.099999999999994</v>
      </c>
    </row>
    <row r="651" spans="1:250" ht="18" thickBot="1">
      <c r="A651" s="245"/>
      <c r="B651" s="245" t="s">
        <v>590</v>
      </c>
      <c r="C651" s="88" t="s">
        <v>1096</v>
      </c>
      <c r="D651" s="397" t="s">
        <v>1217</v>
      </c>
      <c r="E651" s="454">
        <v>0</v>
      </c>
      <c r="F651">
        <v>0</v>
      </c>
      <c r="G651" s="427">
        <v>0</v>
      </c>
      <c r="H651" s="155">
        <v>0</v>
      </c>
      <c r="I651">
        <v>0</v>
      </c>
      <c r="J651">
        <v>0</v>
      </c>
      <c r="K651">
        <v>0</v>
      </c>
      <c r="L651" s="4">
        <v>0</v>
      </c>
      <c r="M651" s="4">
        <v>0</v>
      </c>
      <c r="N651" s="4">
        <v>0</v>
      </c>
      <c r="O651" s="4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R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G651">
        <v>0</v>
      </c>
      <c r="BI651">
        <v>0</v>
      </c>
      <c r="BK651">
        <v>0</v>
      </c>
      <c r="BL651">
        <v>0</v>
      </c>
      <c r="BM651">
        <v>0</v>
      </c>
      <c r="BN651">
        <v>0</v>
      </c>
      <c r="BO651">
        <v>344.70000000000005</v>
      </c>
      <c r="BP651">
        <v>625.70000000000005</v>
      </c>
      <c r="BQ651">
        <v>912.2</v>
      </c>
      <c r="BR651">
        <v>237.7</v>
      </c>
      <c r="BS651">
        <v>0</v>
      </c>
      <c r="BT651">
        <v>0</v>
      </c>
      <c r="BU651">
        <v>0</v>
      </c>
      <c r="BV651">
        <v>0</v>
      </c>
      <c r="BW651">
        <v>1647.4</v>
      </c>
      <c r="BY651">
        <v>453.1</v>
      </c>
      <c r="CA651">
        <v>285.39999999999998</v>
      </c>
      <c r="CB651">
        <v>280.8</v>
      </c>
      <c r="CC651">
        <v>127.7</v>
      </c>
      <c r="CD651">
        <v>0</v>
      </c>
      <c r="CE651">
        <v>0</v>
      </c>
      <c r="CF651">
        <v>0</v>
      </c>
      <c r="CG651">
        <v>0</v>
      </c>
      <c r="CI651">
        <v>0</v>
      </c>
      <c r="CJ651">
        <v>0</v>
      </c>
      <c r="CL651">
        <v>0</v>
      </c>
      <c r="CM651">
        <v>0</v>
      </c>
      <c r="CN651">
        <v>0</v>
      </c>
      <c r="CO651">
        <v>0</v>
      </c>
      <c r="CP651">
        <v>0</v>
      </c>
      <c r="CQ651">
        <v>621.70000000000005</v>
      </c>
      <c r="CR651">
        <v>481.70000000000005</v>
      </c>
      <c r="CS651">
        <v>0</v>
      </c>
      <c r="CT651">
        <v>524.6</v>
      </c>
      <c r="CU651">
        <v>514.1</v>
      </c>
      <c r="CV651">
        <v>175.2</v>
      </c>
      <c r="CW651">
        <v>0</v>
      </c>
      <c r="CX651">
        <v>65.099999999999994</v>
      </c>
      <c r="CY651">
        <v>199</v>
      </c>
      <c r="CZ651">
        <v>1907.9</v>
      </c>
      <c r="DA651">
        <v>0</v>
      </c>
      <c r="DB651">
        <v>0</v>
      </c>
      <c r="DC651">
        <v>0</v>
      </c>
      <c r="DD651">
        <v>0</v>
      </c>
      <c r="DE651">
        <v>0</v>
      </c>
      <c r="DF651">
        <v>0</v>
      </c>
      <c r="DG651">
        <v>0</v>
      </c>
      <c r="DH651">
        <v>0</v>
      </c>
      <c r="DI651">
        <v>0</v>
      </c>
      <c r="DJ651">
        <v>0</v>
      </c>
      <c r="DK651">
        <v>0</v>
      </c>
      <c r="DL651">
        <v>0</v>
      </c>
      <c r="DM651">
        <v>1065.4000000000001</v>
      </c>
      <c r="DN651">
        <v>599.70000000000005</v>
      </c>
      <c r="DO651">
        <v>319.7</v>
      </c>
      <c r="DP651">
        <v>1570.6999999999998</v>
      </c>
      <c r="DQ651">
        <v>1399.5</v>
      </c>
      <c r="DR651">
        <v>3581</v>
      </c>
      <c r="DU651">
        <v>1393.2</v>
      </c>
      <c r="DV651">
        <v>2862.6</v>
      </c>
      <c r="DY651">
        <v>2361</v>
      </c>
      <c r="EA651">
        <v>2409.6</v>
      </c>
      <c r="EC651">
        <v>1661.3999999999999</v>
      </c>
      <c r="EE651">
        <v>0</v>
      </c>
      <c r="EF651">
        <v>0</v>
      </c>
      <c r="EG651">
        <v>0</v>
      </c>
      <c r="EH651">
        <v>0</v>
      </c>
      <c r="EI651">
        <v>0</v>
      </c>
      <c r="EJ651">
        <v>0</v>
      </c>
      <c r="EK651">
        <v>0</v>
      </c>
      <c r="EL651">
        <v>0</v>
      </c>
      <c r="EM651">
        <v>0</v>
      </c>
      <c r="EN651">
        <v>0</v>
      </c>
      <c r="EO651">
        <v>0</v>
      </c>
      <c r="EP651">
        <v>944.5</v>
      </c>
      <c r="EQ651">
        <v>3459.7</v>
      </c>
      <c r="ER651">
        <v>1353.5</v>
      </c>
      <c r="ES651">
        <v>182.2</v>
      </c>
      <c r="ET651">
        <v>855.59999999999991</v>
      </c>
      <c r="EU651">
        <v>172.2</v>
      </c>
      <c r="EV651">
        <v>203.2</v>
      </c>
      <c r="EW651">
        <v>1173.0999999999999</v>
      </c>
      <c r="EX651">
        <v>1078.3</v>
      </c>
      <c r="EY651">
        <v>1194.4000000000001</v>
      </c>
      <c r="EZ651">
        <v>1207.0999999999999</v>
      </c>
      <c r="FA651">
        <v>0</v>
      </c>
      <c r="FB651">
        <v>0</v>
      </c>
      <c r="FC651">
        <v>0</v>
      </c>
      <c r="FD651">
        <v>0</v>
      </c>
      <c r="FE651">
        <v>0</v>
      </c>
      <c r="FF651">
        <v>0</v>
      </c>
      <c r="FG651">
        <v>0</v>
      </c>
      <c r="FH651">
        <v>0</v>
      </c>
      <c r="FI651">
        <v>0</v>
      </c>
      <c r="FJ651">
        <v>0</v>
      </c>
      <c r="FK651">
        <v>0</v>
      </c>
      <c r="FL651">
        <v>0</v>
      </c>
      <c r="FM651">
        <v>0</v>
      </c>
      <c r="FN651">
        <v>0</v>
      </c>
      <c r="FO651">
        <v>0</v>
      </c>
      <c r="FP651">
        <v>0</v>
      </c>
      <c r="FQ651">
        <v>0</v>
      </c>
      <c r="FR651">
        <v>0</v>
      </c>
      <c r="FS651">
        <v>0</v>
      </c>
      <c r="FT651">
        <v>0</v>
      </c>
      <c r="FU651">
        <v>0</v>
      </c>
      <c r="FV651">
        <v>0</v>
      </c>
      <c r="FW651">
        <v>0</v>
      </c>
      <c r="FX651">
        <v>0</v>
      </c>
      <c r="FY651">
        <v>0</v>
      </c>
      <c r="FZ651">
        <v>0</v>
      </c>
      <c r="GA651">
        <v>0</v>
      </c>
      <c r="GB651">
        <v>0</v>
      </c>
      <c r="GC651">
        <v>0</v>
      </c>
      <c r="GD651">
        <v>0</v>
      </c>
      <c r="GE651">
        <v>0</v>
      </c>
      <c r="GF651">
        <v>0</v>
      </c>
      <c r="GG651">
        <v>0</v>
      </c>
      <c r="GH651">
        <v>0</v>
      </c>
      <c r="GI651">
        <v>0</v>
      </c>
      <c r="GJ651">
        <v>0</v>
      </c>
      <c r="GK651">
        <v>0</v>
      </c>
      <c r="GL651">
        <v>0</v>
      </c>
      <c r="GO651">
        <v>0</v>
      </c>
      <c r="GP651">
        <v>0</v>
      </c>
      <c r="GQ651">
        <v>0</v>
      </c>
      <c r="GR651">
        <v>0</v>
      </c>
      <c r="GS651">
        <v>0</v>
      </c>
      <c r="GT651">
        <v>0</v>
      </c>
      <c r="GU651">
        <v>0</v>
      </c>
      <c r="GV651">
        <v>0</v>
      </c>
      <c r="GW651">
        <v>0</v>
      </c>
      <c r="GX651">
        <v>0</v>
      </c>
      <c r="GY651">
        <v>0</v>
      </c>
      <c r="GZ651">
        <v>0</v>
      </c>
      <c r="HA651">
        <v>0</v>
      </c>
      <c r="HB651">
        <v>0</v>
      </c>
      <c r="HC651">
        <v>0</v>
      </c>
      <c r="HD651">
        <v>0</v>
      </c>
      <c r="HE651">
        <v>0</v>
      </c>
      <c r="HF651">
        <v>0</v>
      </c>
      <c r="HG651">
        <v>0</v>
      </c>
      <c r="HH651">
        <v>0</v>
      </c>
      <c r="HI651">
        <v>0</v>
      </c>
      <c r="HJ651">
        <v>0</v>
      </c>
      <c r="HK651">
        <v>0</v>
      </c>
      <c r="HL651">
        <v>0</v>
      </c>
      <c r="HM651">
        <v>0</v>
      </c>
      <c r="HN651">
        <v>0</v>
      </c>
      <c r="HO651">
        <v>0</v>
      </c>
      <c r="HP651">
        <v>0</v>
      </c>
      <c r="HQ651">
        <v>0</v>
      </c>
      <c r="HR651">
        <v>0</v>
      </c>
      <c r="HS651">
        <v>0</v>
      </c>
      <c r="HT651">
        <v>0</v>
      </c>
      <c r="HU651">
        <v>0</v>
      </c>
      <c r="HV651">
        <v>0</v>
      </c>
      <c r="HW651">
        <v>404.70000000000005</v>
      </c>
      <c r="HX651">
        <v>342.3</v>
      </c>
      <c r="HZ651">
        <v>866.2</v>
      </c>
      <c r="IA651">
        <v>1142.8</v>
      </c>
      <c r="IB651">
        <v>1121.5</v>
      </c>
      <c r="IC651">
        <v>2403</v>
      </c>
      <c r="ID651">
        <v>2659.3</v>
      </c>
      <c r="IE651">
        <v>1923.4</v>
      </c>
      <c r="IF651">
        <v>1465.7</v>
      </c>
      <c r="IG651">
        <v>1608.3</v>
      </c>
      <c r="IH651">
        <v>0</v>
      </c>
      <c r="II651">
        <v>0</v>
      </c>
      <c r="IJ651">
        <v>0</v>
      </c>
      <c r="IK651">
        <v>0</v>
      </c>
      <c r="IL651">
        <v>0</v>
      </c>
      <c r="IM651">
        <v>0</v>
      </c>
      <c r="IN651">
        <v>0</v>
      </c>
      <c r="IO651">
        <v>0</v>
      </c>
      <c r="IP651">
        <v>75.099999999999994</v>
      </c>
    </row>
    <row r="652" spans="1:250" ht="18" thickBot="1">
      <c r="A652" s="245"/>
      <c r="B652" s="245" t="s">
        <v>591</v>
      </c>
      <c r="C652" s="230" t="s">
        <v>1097</v>
      </c>
      <c r="D652" s="397"/>
      <c r="E652" s="454">
        <v>0</v>
      </c>
      <c r="F652">
        <v>0</v>
      </c>
      <c r="G652" s="427">
        <v>0</v>
      </c>
      <c r="H652" s="155">
        <v>0</v>
      </c>
      <c r="I652">
        <v>0</v>
      </c>
      <c r="J652">
        <v>0</v>
      </c>
      <c r="K652">
        <v>0</v>
      </c>
      <c r="L652" s="4">
        <v>0</v>
      </c>
      <c r="M652" s="4">
        <v>0</v>
      </c>
      <c r="N652" s="4">
        <v>0</v>
      </c>
      <c r="O652" s="4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R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G652">
        <v>0</v>
      </c>
      <c r="BI652">
        <v>0</v>
      </c>
      <c r="BK652">
        <v>0</v>
      </c>
      <c r="BL652">
        <v>0</v>
      </c>
      <c r="BM652">
        <v>0</v>
      </c>
      <c r="BN652">
        <v>0</v>
      </c>
      <c r="BO652">
        <v>344.70000000000005</v>
      </c>
      <c r="BP652">
        <v>625.70000000000005</v>
      </c>
      <c r="BQ652">
        <v>912.2</v>
      </c>
      <c r="BR652">
        <v>237.7</v>
      </c>
      <c r="BS652">
        <v>0</v>
      </c>
      <c r="BT652">
        <v>0</v>
      </c>
      <c r="BU652">
        <v>0</v>
      </c>
      <c r="BV652">
        <v>0</v>
      </c>
      <c r="BW652">
        <v>1647.4</v>
      </c>
      <c r="BY652">
        <v>453.1</v>
      </c>
      <c r="CA652">
        <v>285.39999999999998</v>
      </c>
      <c r="CB652">
        <v>280.8</v>
      </c>
      <c r="CC652">
        <v>127.7</v>
      </c>
      <c r="CD652">
        <v>0</v>
      </c>
      <c r="CE652">
        <v>0</v>
      </c>
      <c r="CF652">
        <v>0</v>
      </c>
      <c r="CG652">
        <v>0</v>
      </c>
      <c r="CI652">
        <v>0</v>
      </c>
      <c r="CJ652">
        <v>0</v>
      </c>
      <c r="CL652">
        <v>0</v>
      </c>
      <c r="CM652">
        <v>0</v>
      </c>
      <c r="CN652">
        <v>0</v>
      </c>
      <c r="CO652">
        <v>0</v>
      </c>
      <c r="CP652">
        <v>0</v>
      </c>
      <c r="CQ652">
        <v>621.70000000000005</v>
      </c>
      <c r="CR652">
        <v>481.70000000000005</v>
      </c>
      <c r="CS652">
        <v>0</v>
      </c>
      <c r="CT652">
        <v>524.6</v>
      </c>
      <c r="CU652">
        <v>514.1</v>
      </c>
      <c r="CV652">
        <v>175.2</v>
      </c>
      <c r="CW652">
        <v>0</v>
      </c>
      <c r="CX652">
        <v>65.099999999999994</v>
      </c>
      <c r="CY652">
        <v>199</v>
      </c>
      <c r="CZ652">
        <v>1907.9</v>
      </c>
      <c r="DA652">
        <v>0</v>
      </c>
      <c r="DB652">
        <v>0</v>
      </c>
      <c r="DC652">
        <v>0</v>
      </c>
      <c r="DD652">
        <v>0</v>
      </c>
      <c r="DE652">
        <v>0</v>
      </c>
      <c r="DF652">
        <v>0</v>
      </c>
      <c r="DG652">
        <v>0</v>
      </c>
      <c r="DH652">
        <v>0</v>
      </c>
      <c r="DI652">
        <v>0</v>
      </c>
      <c r="DJ652">
        <v>0</v>
      </c>
      <c r="DK652">
        <v>0</v>
      </c>
      <c r="DL652">
        <v>0</v>
      </c>
      <c r="DM652">
        <v>1065.4000000000001</v>
      </c>
      <c r="DN652">
        <v>599.70000000000005</v>
      </c>
      <c r="DO652">
        <v>319.7</v>
      </c>
      <c r="DP652">
        <v>1570.6999999999998</v>
      </c>
      <c r="DQ652">
        <v>1399.5</v>
      </c>
      <c r="DR652">
        <v>3581</v>
      </c>
      <c r="DU652">
        <v>1393.2</v>
      </c>
      <c r="DV652">
        <v>2862.6</v>
      </c>
      <c r="DY652">
        <v>2361</v>
      </c>
      <c r="EA652">
        <v>2409.6</v>
      </c>
      <c r="EC652">
        <v>1661.3999999999999</v>
      </c>
      <c r="EE652">
        <v>0</v>
      </c>
      <c r="EF652">
        <v>0</v>
      </c>
      <c r="EG652">
        <v>0</v>
      </c>
      <c r="EH652">
        <v>0</v>
      </c>
      <c r="EI652">
        <v>0</v>
      </c>
      <c r="EJ652">
        <v>0</v>
      </c>
      <c r="EK652">
        <v>0</v>
      </c>
      <c r="EL652">
        <v>0</v>
      </c>
      <c r="EM652">
        <v>0</v>
      </c>
      <c r="EN652">
        <v>0</v>
      </c>
      <c r="EO652">
        <v>0</v>
      </c>
      <c r="EP652">
        <v>944.5</v>
      </c>
      <c r="EQ652">
        <v>3459.7</v>
      </c>
      <c r="ER652">
        <v>1353.5</v>
      </c>
      <c r="ES652">
        <v>182.2</v>
      </c>
      <c r="ET652">
        <v>855.59999999999991</v>
      </c>
      <c r="EU652">
        <v>172.2</v>
      </c>
      <c r="EV652">
        <v>203.2</v>
      </c>
      <c r="EW652">
        <v>1173.0999999999999</v>
      </c>
      <c r="EX652">
        <v>1078.3</v>
      </c>
      <c r="EY652">
        <v>1194.4000000000001</v>
      </c>
      <c r="EZ652">
        <v>1207.0999999999999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0</v>
      </c>
      <c r="FI652">
        <v>0</v>
      </c>
      <c r="FJ652">
        <v>0</v>
      </c>
      <c r="FK652">
        <v>0</v>
      </c>
      <c r="FL652">
        <v>0</v>
      </c>
      <c r="FM652">
        <v>0</v>
      </c>
      <c r="FN652">
        <v>0</v>
      </c>
      <c r="FO652">
        <v>0</v>
      </c>
      <c r="FP652">
        <v>0</v>
      </c>
      <c r="FQ652">
        <v>0</v>
      </c>
      <c r="FR652">
        <v>0</v>
      </c>
      <c r="FS652">
        <v>0</v>
      </c>
      <c r="FT652">
        <v>0</v>
      </c>
      <c r="FU652">
        <v>0</v>
      </c>
      <c r="FV652">
        <v>0</v>
      </c>
      <c r="FW652">
        <v>0</v>
      </c>
      <c r="FX652">
        <v>0</v>
      </c>
      <c r="FY652">
        <v>0</v>
      </c>
      <c r="FZ652">
        <v>0</v>
      </c>
      <c r="GA652">
        <v>0</v>
      </c>
      <c r="GB652">
        <v>0</v>
      </c>
      <c r="GC652">
        <v>0</v>
      </c>
      <c r="GD652">
        <v>0</v>
      </c>
      <c r="GE652">
        <v>0</v>
      </c>
      <c r="GF652">
        <v>0</v>
      </c>
      <c r="GG652">
        <v>0</v>
      </c>
      <c r="GH652">
        <v>0</v>
      </c>
      <c r="GI652">
        <v>0</v>
      </c>
      <c r="GJ652">
        <v>0</v>
      </c>
      <c r="GK652">
        <v>0</v>
      </c>
      <c r="GL652">
        <v>0</v>
      </c>
      <c r="GO652">
        <v>0</v>
      </c>
      <c r="GP652">
        <v>0</v>
      </c>
      <c r="GQ652">
        <v>0</v>
      </c>
      <c r="GR652">
        <v>0</v>
      </c>
      <c r="GS652">
        <v>0</v>
      </c>
      <c r="GT652">
        <v>0</v>
      </c>
      <c r="GU652">
        <v>0</v>
      </c>
      <c r="GV652">
        <v>0</v>
      </c>
      <c r="GW652">
        <v>0</v>
      </c>
      <c r="GX652">
        <v>0</v>
      </c>
      <c r="GY652">
        <v>0</v>
      </c>
      <c r="GZ652">
        <v>0</v>
      </c>
      <c r="HA652">
        <v>0</v>
      </c>
      <c r="HB652">
        <v>0</v>
      </c>
      <c r="HC652">
        <v>0</v>
      </c>
      <c r="HD652">
        <v>0</v>
      </c>
      <c r="HE652">
        <v>0</v>
      </c>
      <c r="HF652">
        <v>0</v>
      </c>
      <c r="HG652">
        <v>0</v>
      </c>
      <c r="HH652">
        <v>0</v>
      </c>
      <c r="HI652">
        <v>0</v>
      </c>
      <c r="HJ652">
        <v>0</v>
      </c>
      <c r="HK652">
        <v>0</v>
      </c>
      <c r="HL652">
        <v>0</v>
      </c>
      <c r="HM652">
        <v>0</v>
      </c>
      <c r="HN652">
        <v>0</v>
      </c>
      <c r="HO652">
        <v>0</v>
      </c>
      <c r="HP652">
        <v>0</v>
      </c>
      <c r="HQ652">
        <v>0</v>
      </c>
      <c r="HR652">
        <v>0</v>
      </c>
      <c r="HS652">
        <v>0</v>
      </c>
      <c r="HT652">
        <v>0</v>
      </c>
      <c r="HU652">
        <v>0</v>
      </c>
      <c r="HV652">
        <v>0</v>
      </c>
      <c r="HW652">
        <v>404.70000000000005</v>
      </c>
      <c r="HX652">
        <v>342.3</v>
      </c>
      <c r="HZ652">
        <v>866.2</v>
      </c>
      <c r="IA652">
        <v>1142.8</v>
      </c>
      <c r="IB652">
        <v>1121.5</v>
      </c>
      <c r="IC652">
        <v>2403</v>
      </c>
      <c r="ID652">
        <v>2659.3</v>
      </c>
      <c r="IE652">
        <v>1923.4</v>
      </c>
      <c r="IF652">
        <v>1465.7</v>
      </c>
      <c r="IG652">
        <v>1608.3</v>
      </c>
      <c r="IH652">
        <v>0</v>
      </c>
      <c r="II652">
        <v>0</v>
      </c>
      <c r="IJ652">
        <v>0</v>
      </c>
      <c r="IK652">
        <v>0</v>
      </c>
      <c r="IL652">
        <v>0</v>
      </c>
      <c r="IM652">
        <v>0</v>
      </c>
      <c r="IN652">
        <v>0</v>
      </c>
      <c r="IO652">
        <v>0</v>
      </c>
      <c r="IP652">
        <v>75.099999999999994</v>
      </c>
    </row>
    <row r="653" spans="1:250" ht="18" thickBot="1">
      <c r="A653" s="245"/>
      <c r="B653" s="245" t="s">
        <v>592</v>
      </c>
      <c r="C653" s="88" t="s">
        <v>1098</v>
      </c>
      <c r="D653" s="397" t="s">
        <v>1217</v>
      </c>
      <c r="E653" s="454">
        <v>0</v>
      </c>
      <c r="F653">
        <v>0</v>
      </c>
      <c r="G653" s="427">
        <v>0</v>
      </c>
      <c r="H653" s="155">
        <v>0</v>
      </c>
      <c r="I653">
        <v>0</v>
      </c>
      <c r="J653">
        <v>0</v>
      </c>
      <c r="K653">
        <v>0</v>
      </c>
      <c r="L653" s="4">
        <v>0</v>
      </c>
      <c r="M653" s="4">
        <v>0</v>
      </c>
      <c r="N653" s="4">
        <v>0</v>
      </c>
      <c r="O653" s="4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R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G653">
        <v>0</v>
      </c>
      <c r="BI653">
        <v>0</v>
      </c>
      <c r="BK653">
        <v>0</v>
      </c>
      <c r="BL653">
        <v>0</v>
      </c>
      <c r="BM653">
        <v>0</v>
      </c>
      <c r="BN653">
        <v>0</v>
      </c>
      <c r="BO653">
        <v>344.70000000000005</v>
      </c>
      <c r="BP653">
        <v>625.70000000000005</v>
      </c>
      <c r="BQ653">
        <v>912.2</v>
      </c>
      <c r="BR653">
        <v>237.7</v>
      </c>
      <c r="BS653">
        <v>0</v>
      </c>
      <c r="BT653">
        <v>0</v>
      </c>
      <c r="BU653">
        <v>0</v>
      </c>
      <c r="BV653">
        <v>0</v>
      </c>
      <c r="BW653">
        <v>1647.4</v>
      </c>
      <c r="BY653">
        <v>453.1</v>
      </c>
      <c r="CA653">
        <v>285.39999999999998</v>
      </c>
      <c r="CB653">
        <v>280.8</v>
      </c>
      <c r="CC653">
        <v>127.7</v>
      </c>
      <c r="CD653">
        <v>0</v>
      </c>
      <c r="CE653">
        <v>0</v>
      </c>
      <c r="CF653">
        <v>0</v>
      </c>
      <c r="CG653">
        <v>0</v>
      </c>
      <c r="CI653">
        <v>0</v>
      </c>
      <c r="CJ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621.70000000000005</v>
      </c>
      <c r="CR653">
        <v>481.70000000000005</v>
      </c>
      <c r="CS653">
        <v>0</v>
      </c>
      <c r="CT653">
        <v>524.6</v>
      </c>
      <c r="CU653">
        <v>514.1</v>
      </c>
      <c r="CV653">
        <v>175.2</v>
      </c>
      <c r="CW653">
        <v>0</v>
      </c>
      <c r="CX653">
        <v>65.099999999999994</v>
      </c>
      <c r="CY653">
        <v>199</v>
      </c>
      <c r="CZ653">
        <v>1907.9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1065.4000000000001</v>
      </c>
      <c r="DN653">
        <v>599.70000000000005</v>
      </c>
      <c r="DO653">
        <v>319.7</v>
      </c>
      <c r="DP653">
        <v>1570.6999999999998</v>
      </c>
      <c r="DQ653">
        <v>1399.5</v>
      </c>
      <c r="DR653">
        <v>3581</v>
      </c>
      <c r="DU653">
        <v>1393.2</v>
      </c>
      <c r="DV653">
        <v>2862.6</v>
      </c>
      <c r="DY653">
        <v>2361</v>
      </c>
      <c r="EA653">
        <v>2409.6</v>
      </c>
      <c r="EC653">
        <v>1661.3999999999999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944.5</v>
      </c>
      <c r="EQ653">
        <v>3459.7</v>
      </c>
      <c r="ER653">
        <v>1353.5</v>
      </c>
      <c r="ES653">
        <v>182.2</v>
      </c>
      <c r="ET653">
        <v>855.59999999999991</v>
      </c>
      <c r="EU653">
        <v>172.2</v>
      </c>
      <c r="EV653">
        <v>203.2</v>
      </c>
      <c r="EW653">
        <v>1173.0999999999999</v>
      </c>
      <c r="EX653">
        <v>1078.3</v>
      </c>
      <c r="EY653">
        <v>1194.4000000000001</v>
      </c>
      <c r="EZ653">
        <v>1207.0999999999999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0</v>
      </c>
      <c r="FG653">
        <v>0</v>
      </c>
      <c r="FH653">
        <v>0</v>
      </c>
      <c r="FI653">
        <v>0</v>
      </c>
      <c r="FJ653">
        <v>0</v>
      </c>
      <c r="FK653">
        <v>0</v>
      </c>
      <c r="FL653">
        <v>0</v>
      </c>
      <c r="FM653">
        <v>0</v>
      </c>
      <c r="FN653">
        <v>0</v>
      </c>
      <c r="FO653">
        <v>0</v>
      </c>
      <c r="FP653">
        <v>0</v>
      </c>
      <c r="FQ653">
        <v>0</v>
      </c>
      <c r="FR653">
        <v>0</v>
      </c>
      <c r="FS653">
        <v>0</v>
      </c>
      <c r="FT653">
        <v>0</v>
      </c>
      <c r="FU653">
        <v>0</v>
      </c>
      <c r="FV653">
        <v>0</v>
      </c>
      <c r="FW653">
        <v>0</v>
      </c>
      <c r="FX653">
        <v>0</v>
      </c>
      <c r="FY653">
        <v>0</v>
      </c>
      <c r="FZ653">
        <v>0</v>
      </c>
      <c r="GA653">
        <v>0</v>
      </c>
      <c r="GB653">
        <v>0</v>
      </c>
      <c r="GC653">
        <v>0</v>
      </c>
      <c r="GD653">
        <v>0</v>
      </c>
      <c r="GE653">
        <v>0</v>
      </c>
      <c r="GF653">
        <v>0</v>
      </c>
      <c r="GG653">
        <v>0</v>
      </c>
      <c r="GH653">
        <v>0</v>
      </c>
      <c r="GI653">
        <v>0</v>
      </c>
      <c r="GJ653">
        <v>0</v>
      </c>
      <c r="GK653">
        <v>0</v>
      </c>
      <c r="GL653">
        <v>0</v>
      </c>
      <c r="GO653">
        <v>0</v>
      </c>
      <c r="GP653">
        <v>0</v>
      </c>
      <c r="GQ653">
        <v>0</v>
      </c>
      <c r="GR653">
        <v>0</v>
      </c>
      <c r="GS653">
        <v>0</v>
      </c>
      <c r="GT653">
        <v>0</v>
      </c>
      <c r="GU653">
        <v>0</v>
      </c>
      <c r="GV653">
        <v>0</v>
      </c>
      <c r="GW653">
        <v>0</v>
      </c>
      <c r="GX653">
        <v>0</v>
      </c>
      <c r="GY653">
        <v>0</v>
      </c>
      <c r="GZ653">
        <v>0</v>
      </c>
      <c r="HA653">
        <v>0</v>
      </c>
      <c r="HB653">
        <v>0</v>
      </c>
      <c r="HC653">
        <v>0</v>
      </c>
      <c r="HD653">
        <v>0</v>
      </c>
      <c r="HE653">
        <v>0</v>
      </c>
      <c r="HF653">
        <v>0</v>
      </c>
      <c r="HG653">
        <v>0</v>
      </c>
      <c r="HH653">
        <v>0</v>
      </c>
      <c r="HI653">
        <v>0</v>
      </c>
      <c r="HJ653">
        <v>0</v>
      </c>
      <c r="HK653">
        <v>0</v>
      </c>
      <c r="HL653">
        <v>0</v>
      </c>
      <c r="HM653">
        <v>0</v>
      </c>
      <c r="HN653">
        <v>0</v>
      </c>
      <c r="HO653">
        <v>0</v>
      </c>
      <c r="HP653">
        <v>0</v>
      </c>
      <c r="HQ653">
        <v>0</v>
      </c>
      <c r="HR653">
        <v>0</v>
      </c>
      <c r="HS653">
        <v>0</v>
      </c>
      <c r="HT653">
        <v>0</v>
      </c>
      <c r="HU653">
        <v>0</v>
      </c>
      <c r="HV653">
        <v>0</v>
      </c>
      <c r="HW653">
        <v>404.70000000000005</v>
      </c>
      <c r="HX653">
        <v>342.3</v>
      </c>
      <c r="HZ653">
        <v>866.2</v>
      </c>
      <c r="IA653">
        <v>1142.8</v>
      </c>
      <c r="IB653">
        <v>1121.5</v>
      </c>
      <c r="IC653">
        <v>2403</v>
      </c>
      <c r="ID653">
        <v>2659.3</v>
      </c>
      <c r="IE653">
        <v>1923.4</v>
      </c>
      <c r="IF653">
        <v>1465.7</v>
      </c>
      <c r="IG653">
        <v>1608.3</v>
      </c>
      <c r="IH653">
        <v>0</v>
      </c>
      <c r="II653">
        <v>0</v>
      </c>
      <c r="IJ653">
        <v>0</v>
      </c>
      <c r="IK653">
        <v>0</v>
      </c>
      <c r="IL653">
        <v>0</v>
      </c>
      <c r="IM653">
        <v>0</v>
      </c>
      <c r="IN653">
        <v>0</v>
      </c>
      <c r="IO653">
        <v>0</v>
      </c>
      <c r="IP653">
        <v>75.099999999999994</v>
      </c>
    </row>
    <row r="654" spans="1:250" ht="18" thickBot="1">
      <c r="A654" s="245"/>
      <c r="B654" s="245" t="s">
        <v>973</v>
      </c>
      <c r="C654" s="230" t="s">
        <v>1099</v>
      </c>
      <c r="D654" s="397"/>
      <c r="E654" s="454">
        <v>0</v>
      </c>
      <c r="F654">
        <v>0</v>
      </c>
      <c r="G654" s="427">
        <v>0</v>
      </c>
      <c r="H654" s="155">
        <v>0</v>
      </c>
      <c r="I654">
        <v>0</v>
      </c>
      <c r="J654">
        <v>0</v>
      </c>
      <c r="K654">
        <v>0</v>
      </c>
      <c r="L654" s="4">
        <v>0</v>
      </c>
      <c r="M654" s="4">
        <v>0</v>
      </c>
      <c r="N654" s="4">
        <v>0</v>
      </c>
      <c r="O654" s="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R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G654">
        <v>0</v>
      </c>
      <c r="BI654">
        <v>0</v>
      </c>
      <c r="BK654">
        <v>0</v>
      </c>
      <c r="BL654">
        <v>0</v>
      </c>
      <c r="BM654">
        <v>0</v>
      </c>
      <c r="BN654">
        <v>0</v>
      </c>
      <c r="BO654">
        <v>344.70000000000005</v>
      </c>
      <c r="BP654">
        <v>625.70000000000005</v>
      </c>
      <c r="BQ654">
        <v>912.2</v>
      </c>
      <c r="BR654">
        <v>237.7</v>
      </c>
      <c r="BS654">
        <v>0</v>
      </c>
      <c r="BT654">
        <v>0</v>
      </c>
      <c r="BU654">
        <v>0</v>
      </c>
      <c r="BV654">
        <v>0</v>
      </c>
      <c r="BW654">
        <v>1647.4</v>
      </c>
      <c r="BY654">
        <v>453.1</v>
      </c>
      <c r="CA654">
        <v>285.39999999999998</v>
      </c>
      <c r="CB654">
        <v>280.8</v>
      </c>
      <c r="CC654">
        <v>127.7</v>
      </c>
      <c r="CD654">
        <v>0</v>
      </c>
      <c r="CE654">
        <v>0</v>
      </c>
      <c r="CF654">
        <v>0</v>
      </c>
      <c r="CG654">
        <v>0</v>
      </c>
      <c r="CI654">
        <v>0</v>
      </c>
      <c r="CJ654">
        <v>0</v>
      </c>
      <c r="CL654">
        <v>0</v>
      </c>
      <c r="CM654">
        <v>0</v>
      </c>
      <c r="CN654">
        <v>0</v>
      </c>
      <c r="CO654">
        <v>0</v>
      </c>
      <c r="CP654">
        <v>0</v>
      </c>
      <c r="CQ654">
        <v>621.70000000000005</v>
      </c>
      <c r="CR654">
        <v>481.70000000000005</v>
      </c>
      <c r="CS654">
        <v>0</v>
      </c>
      <c r="CT654">
        <v>524.6</v>
      </c>
      <c r="CU654">
        <v>514.1</v>
      </c>
      <c r="CV654">
        <v>175.2</v>
      </c>
      <c r="CW654">
        <v>0</v>
      </c>
      <c r="CX654">
        <v>65.099999999999994</v>
      </c>
      <c r="CY654">
        <v>199</v>
      </c>
      <c r="CZ654">
        <v>1907.9</v>
      </c>
      <c r="DA654">
        <v>0</v>
      </c>
      <c r="DB654">
        <v>0</v>
      </c>
      <c r="DC654">
        <v>0</v>
      </c>
      <c r="DD654">
        <v>0</v>
      </c>
      <c r="DE654">
        <v>0</v>
      </c>
      <c r="DF654">
        <v>0</v>
      </c>
      <c r="DG654">
        <v>0</v>
      </c>
      <c r="DH654">
        <v>0</v>
      </c>
      <c r="DI654">
        <v>0</v>
      </c>
      <c r="DJ654">
        <v>0</v>
      </c>
      <c r="DK654">
        <v>0</v>
      </c>
      <c r="DL654">
        <v>0</v>
      </c>
      <c r="DM654">
        <v>1065.4000000000001</v>
      </c>
      <c r="DN654">
        <v>599.70000000000005</v>
      </c>
      <c r="DO654">
        <v>319.7</v>
      </c>
      <c r="DP654">
        <v>1570.6999999999998</v>
      </c>
      <c r="DQ654">
        <v>1399.5</v>
      </c>
      <c r="DR654">
        <v>3581</v>
      </c>
      <c r="DU654">
        <v>1393.2</v>
      </c>
      <c r="DV654">
        <v>2862.6</v>
      </c>
      <c r="DY654">
        <v>2361</v>
      </c>
      <c r="EA654">
        <v>2409.6</v>
      </c>
      <c r="EC654">
        <v>1661.3999999999999</v>
      </c>
      <c r="EE654">
        <v>0</v>
      </c>
      <c r="EF654">
        <v>0</v>
      </c>
      <c r="EG654">
        <v>0</v>
      </c>
      <c r="EH654">
        <v>0</v>
      </c>
      <c r="EI654">
        <v>0</v>
      </c>
      <c r="EJ654">
        <v>0</v>
      </c>
      <c r="EK654">
        <v>0</v>
      </c>
      <c r="EL654">
        <v>0</v>
      </c>
      <c r="EM654">
        <v>0</v>
      </c>
      <c r="EN654">
        <v>0</v>
      </c>
      <c r="EO654">
        <v>0</v>
      </c>
      <c r="EP654">
        <v>944.5</v>
      </c>
      <c r="EQ654">
        <v>3459.7</v>
      </c>
      <c r="ER654">
        <v>1353.5</v>
      </c>
      <c r="ES654">
        <v>182.2</v>
      </c>
      <c r="ET654">
        <v>855.59999999999991</v>
      </c>
      <c r="EU654">
        <v>172.2</v>
      </c>
      <c r="EV654">
        <v>203.2</v>
      </c>
      <c r="EW654">
        <v>1173.0999999999999</v>
      </c>
      <c r="EX654">
        <v>1078.3</v>
      </c>
      <c r="EY654">
        <v>1194.4000000000001</v>
      </c>
      <c r="EZ654">
        <v>1207.0999999999999</v>
      </c>
      <c r="FA654">
        <v>0</v>
      </c>
      <c r="FB654">
        <v>0</v>
      </c>
      <c r="FC654">
        <v>0</v>
      </c>
      <c r="FD654">
        <v>0</v>
      </c>
      <c r="FE654">
        <v>0</v>
      </c>
      <c r="FF654">
        <v>0</v>
      </c>
      <c r="FG654">
        <v>0</v>
      </c>
      <c r="FH654">
        <v>0</v>
      </c>
      <c r="FI654">
        <v>0</v>
      </c>
      <c r="FJ654">
        <v>0</v>
      </c>
      <c r="FK654">
        <v>0</v>
      </c>
      <c r="FL654">
        <v>0</v>
      </c>
      <c r="FM654">
        <v>0</v>
      </c>
      <c r="FN654">
        <v>0</v>
      </c>
      <c r="FO654">
        <v>0</v>
      </c>
      <c r="FP654">
        <v>0</v>
      </c>
      <c r="FQ654">
        <v>0</v>
      </c>
      <c r="FR654">
        <v>0</v>
      </c>
      <c r="FS654">
        <v>0</v>
      </c>
      <c r="FT654">
        <v>0</v>
      </c>
      <c r="FU654">
        <v>0</v>
      </c>
      <c r="FV654">
        <v>0</v>
      </c>
      <c r="FW654">
        <v>0</v>
      </c>
      <c r="FX654">
        <v>0</v>
      </c>
      <c r="FY654">
        <v>0</v>
      </c>
      <c r="FZ654">
        <v>0</v>
      </c>
      <c r="GA654">
        <v>0</v>
      </c>
      <c r="GB654">
        <v>0</v>
      </c>
      <c r="GC654">
        <v>0</v>
      </c>
      <c r="GD654">
        <v>0</v>
      </c>
      <c r="GE654">
        <v>0</v>
      </c>
      <c r="GF654">
        <v>0</v>
      </c>
      <c r="GG654">
        <v>0</v>
      </c>
      <c r="GH654">
        <v>0</v>
      </c>
      <c r="GI654">
        <v>0</v>
      </c>
      <c r="GJ654">
        <v>0</v>
      </c>
      <c r="GK654">
        <v>0</v>
      </c>
      <c r="GL654">
        <v>0</v>
      </c>
      <c r="GO654">
        <v>0</v>
      </c>
      <c r="GP654">
        <v>0</v>
      </c>
      <c r="GQ654">
        <v>0</v>
      </c>
      <c r="GR654">
        <v>0</v>
      </c>
      <c r="GS654">
        <v>0</v>
      </c>
      <c r="GT654">
        <v>0</v>
      </c>
      <c r="GU654">
        <v>0</v>
      </c>
      <c r="GV654">
        <v>0</v>
      </c>
      <c r="GW654">
        <v>0</v>
      </c>
      <c r="GX654">
        <v>0</v>
      </c>
      <c r="GY654">
        <v>0</v>
      </c>
      <c r="GZ654">
        <v>0</v>
      </c>
      <c r="HA654">
        <v>0</v>
      </c>
      <c r="HB654">
        <v>0</v>
      </c>
      <c r="HC654">
        <v>0</v>
      </c>
      <c r="HD654">
        <v>0</v>
      </c>
      <c r="HE654">
        <v>0</v>
      </c>
      <c r="HF654">
        <v>0</v>
      </c>
      <c r="HG654">
        <v>0</v>
      </c>
      <c r="HH654">
        <v>0</v>
      </c>
      <c r="HI654">
        <v>0</v>
      </c>
      <c r="HJ654">
        <v>0</v>
      </c>
      <c r="HK654">
        <v>0</v>
      </c>
      <c r="HL654">
        <v>0</v>
      </c>
      <c r="HM654">
        <v>0</v>
      </c>
      <c r="HN654">
        <v>0</v>
      </c>
      <c r="HO654">
        <v>0</v>
      </c>
      <c r="HP654">
        <v>0</v>
      </c>
      <c r="HQ654">
        <v>0</v>
      </c>
      <c r="HR654">
        <v>0</v>
      </c>
      <c r="HS654">
        <v>0</v>
      </c>
      <c r="HT654">
        <v>0</v>
      </c>
      <c r="HU654">
        <v>0</v>
      </c>
      <c r="HV654">
        <v>0</v>
      </c>
      <c r="HW654">
        <v>404.70000000000005</v>
      </c>
      <c r="HX654">
        <v>342.3</v>
      </c>
      <c r="HZ654">
        <v>866.2</v>
      </c>
      <c r="IA654">
        <v>1142.8</v>
      </c>
      <c r="IB654">
        <v>1121.5</v>
      </c>
      <c r="IC654">
        <v>2403</v>
      </c>
      <c r="ID654">
        <v>2659.3</v>
      </c>
      <c r="IE654">
        <v>1923.4</v>
      </c>
      <c r="IF654">
        <v>1465.7</v>
      </c>
      <c r="IG654">
        <v>1608.3</v>
      </c>
      <c r="IH654">
        <v>0</v>
      </c>
      <c r="II654">
        <v>0</v>
      </c>
      <c r="IJ654">
        <v>0</v>
      </c>
      <c r="IK654">
        <v>0</v>
      </c>
      <c r="IL654">
        <v>0</v>
      </c>
      <c r="IM654">
        <v>0</v>
      </c>
      <c r="IN654">
        <v>0</v>
      </c>
      <c r="IO654">
        <v>0</v>
      </c>
      <c r="IP654">
        <v>75.099999999999994</v>
      </c>
    </row>
    <row r="655" spans="1:250" ht="18" thickBot="1">
      <c r="A655" s="245"/>
      <c r="B655" s="245" t="s">
        <v>974</v>
      </c>
      <c r="C655" s="230" t="s">
        <v>1100</v>
      </c>
      <c r="D655" s="397"/>
      <c r="E655" s="454">
        <v>0</v>
      </c>
      <c r="F655">
        <v>0</v>
      </c>
      <c r="G655" s="427">
        <v>0</v>
      </c>
      <c r="H655" s="155">
        <v>0</v>
      </c>
      <c r="I655">
        <v>0</v>
      </c>
      <c r="J655">
        <v>0</v>
      </c>
      <c r="K655">
        <v>0</v>
      </c>
      <c r="L655" s="4">
        <v>0</v>
      </c>
      <c r="M655" s="4">
        <v>0</v>
      </c>
      <c r="N655" s="4">
        <v>0</v>
      </c>
      <c r="O655" s="4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R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G655">
        <v>0</v>
      </c>
      <c r="BI655">
        <v>0</v>
      </c>
      <c r="BK655">
        <v>0</v>
      </c>
      <c r="BL655">
        <v>0</v>
      </c>
      <c r="BM655">
        <v>0</v>
      </c>
      <c r="BN655">
        <v>0</v>
      </c>
      <c r="BO655">
        <v>344.70000000000005</v>
      </c>
      <c r="BP655">
        <v>625.70000000000005</v>
      </c>
      <c r="BQ655">
        <v>912.2</v>
      </c>
      <c r="BR655">
        <v>237.7</v>
      </c>
      <c r="BS655">
        <v>0</v>
      </c>
      <c r="BT655">
        <v>0</v>
      </c>
      <c r="BU655">
        <v>0</v>
      </c>
      <c r="BV655">
        <v>0</v>
      </c>
      <c r="BW655">
        <v>1647.4</v>
      </c>
      <c r="BY655">
        <v>453.1</v>
      </c>
      <c r="CA655">
        <v>285.39999999999998</v>
      </c>
      <c r="CB655">
        <v>280.8</v>
      </c>
      <c r="CC655">
        <v>127.7</v>
      </c>
      <c r="CD655">
        <v>0</v>
      </c>
      <c r="CE655">
        <v>0</v>
      </c>
      <c r="CF655">
        <v>0</v>
      </c>
      <c r="CG655">
        <v>0</v>
      </c>
      <c r="CI655">
        <v>0</v>
      </c>
      <c r="CJ655">
        <v>0</v>
      </c>
      <c r="CL655">
        <v>0</v>
      </c>
      <c r="CM655">
        <v>0</v>
      </c>
      <c r="CN655">
        <v>0</v>
      </c>
      <c r="CO655">
        <v>0</v>
      </c>
      <c r="CP655">
        <v>0</v>
      </c>
      <c r="CQ655">
        <v>621.70000000000005</v>
      </c>
      <c r="CR655">
        <v>481.70000000000005</v>
      </c>
      <c r="CS655">
        <v>0</v>
      </c>
      <c r="CT655">
        <v>524.6</v>
      </c>
      <c r="CU655">
        <v>514.1</v>
      </c>
      <c r="CV655">
        <v>175.2</v>
      </c>
      <c r="CW655">
        <v>0</v>
      </c>
      <c r="CX655">
        <v>65.099999999999994</v>
      </c>
      <c r="CY655">
        <v>199</v>
      </c>
      <c r="CZ655">
        <v>1907.9</v>
      </c>
      <c r="DA655">
        <v>0</v>
      </c>
      <c r="DB655">
        <v>0</v>
      </c>
      <c r="DC655">
        <v>0</v>
      </c>
      <c r="DD655">
        <v>0</v>
      </c>
      <c r="DE655">
        <v>0</v>
      </c>
      <c r="DF655">
        <v>0</v>
      </c>
      <c r="DG655">
        <v>0</v>
      </c>
      <c r="DH655">
        <v>0</v>
      </c>
      <c r="DI655">
        <v>0</v>
      </c>
      <c r="DJ655">
        <v>0</v>
      </c>
      <c r="DK655">
        <v>0</v>
      </c>
      <c r="DL655">
        <v>0</v>
      </c>
      <c r="DM655">
        <v>1065.4000000000001</v>
      </c>
      <c r="DN655">
        <v>599.70000000000005</v>
      </c>
      <c r="DO655">
        <v>319.7</v>
      </c>
      <c r="DP655">
        <v>1570.6999999999998</v>
      </c>
      <c r="DQ655">
        <v>1399.5</v>
      </c>
      <c r="DR655">
        <v>3581</v>
      </c>
      <c r="DU655">
        <v>1393.2</v>
      </c>
      <c r="DV655">
        <v>2862.6</v>
      </c>
      <c r="DY655">
        <v>2361</v>
      </c>
      <c r="EA655">
        <v>2409.6</v>
      </c>
      <c r="EC655">
        <v>1661.3999999999999</v>
      </c>
      <c r="EE655">
        <v>0</v>
      </c>
      <c r="EF655">
        <v>0</v>
      </c>
      <c r="EG655">
        <v>0</v>
      </c>
      <c r="EH655">
        <v>0</v>
      </c>
      <c r="EI655">
        <v>0</v>
      </c>
      <c r="EJ655">
        <v>0</v>
      </c>
      <c r="EK655">
        <v>0</v>
      </c>
      <c r="EL655">
        <v>0</v>
      </c>
      <c r="EM655">
        <v>0</v>
      </c>
      <c r="EN655">
        <v>0</v>
      </c>
      <c r="EO655">
        <v>0</v>
      </c>
      <c r="EP655">
        <v>944.5</v>
      </c>
      <c r="EQ655">
        <v>3459.7</v>
      </c>
      <c r="ER655">
        <v>1353.5</v>
      </c>
      <c r="ES655">
        <v>182.2</v>
      </c>
      <c r="ET655">
        <v>855.59999999999991</v>
      </c>
      <c r="EU655">
        <v>172.2</v>
      </c>
      <c r="EV655">
        <v>203.2</v>
      </c>
      <c r="EW655">
        <v>1173.0999999999999</v>
      </c>
      <c r="EX655">
        <v>1078.3</v>
      </c>
      <c r="EY655">
        <v>1194.4000000000001</v>
      </c>
      <c r="EZ655">
        <v>1207.0999999999999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0</v>
      </c>
      <c r="FG655">
        <v>0</v>
      </c>
      <c r="FH655">
        <v>0</v>
      </c>
      <c r="FI655">
        <v>0</v>
      </c>
      <c r="FJ655">
        <v>0</v>
      </c>
      <c r="FK655">
        <v>0</v>
      </c>
      <c r="FL655">
        <v>0</v>
      </c>
      <c r="FM655">
        <v>0</v>
      </c>
      <c r="FN655">
        <v>0</v>
      </c>
      <c r="FO655">
        <v>0</v>
      </c>
      <c r="FP655">
        <v>0</v>
      </c>
      <c r="FQ655">
        <v>0</v>
      </c>
      <c r="FR655">
        <v>0</v>
      </c>
      <c r="FS655">
        <v>0</v>
      </c>
      <c r="FT655">
        <v>0</v>
      </c>
      <c r="FU655">
        <v>0</v>
      </c>
      <c r="FV655">
        <v>0</v>
      </c>
      <c r="FW655">
        <v>0</v>
      </c>
      <c r="FX655">
        <v>0</v>
      </c>
      <c r="FY655">
        <v>0</v>
      </c>
      <c r="FZ655">
        <v>0</v>
      </c>
      <c r="GA655">
        <v>0</v>
      </c>
      <c r="GB655">
        <v>0</v>
      </c>
      <c r="GC655">
        <v>0</v>
      </c>
      <c r="GD655">
        <v>0</v>
      </c>
      <c r="GE655">
        <v>0</v>
      </c>
      <c r="GF655">
        <v>0</v>
      </c>
      <c r="GG655">
        <v>0</v>
      </c>
      <c r="GH655">
        <v>0</v>
      </c>
      <c r="GI655">
        <v>0</v>
      </c>
      <c r="GJ655">
        <v>0</v>
      </c>
      <c r="GK655">
        <v>0</v>
      </c>
      <c r="GL655">
        <v>0</v>
      </c>
      <c r="GO655">
        <v>0</v>
      </c>
      <c r="GP655">
        <v>0</v>
      </c>
      <c r="GQ655">
        <v>0</v>
      </c>
      <c r="GR655">
        <v>0</v>
      </c>
      <c r="GS655">
        <v>0</v>
      </c>
      <c r="GT655">
        <v>0</v>
      </c>
      <c r="GU655">
        <v>0</v>
      </c>
      <c r="GV655">
        <v>0</v>
      </c>
      <c r="GW655">
        <v>0</v>
      </c>
      <c r="GX655">
        <v>0</v>
      </c>
      <c r="GY655">
        <v>0</v>
      </c>
      <c r="GZ655">
        <v>0</v>
      </c>
      <c r="HA655">
        <v>0</v>
      </c>
      <c r="HB655">
        <v>0</v>
      </c>
      <c r="HC655">
        <v>0</v>
      </c>
      <c r="HD655">
        <v>0</v>
      </c>
      <c r="HE655">
        <v>0</v>
      </c>
      <c r="HF655">
        <v>0</v>
      </c>
      <c r="HG655">
        <v>0</v>
      </c>
      <c r="HH655">
        <v>0</v>
      </c>
      <c r="HI655">
        <v>0</v>
      </c>
      <c r="HJ655">
        <v>0</v>
      </c>
      <c r="HK655">
        <v>0</v>
      </c>
      <c r="HL655">
        <v>0</v>
      </c>
      <c r="HM655">
        <v>0</v>
      </c>
      <c r="HN655">
        <v>0</v>
      </c>
      <c r="HO655">
        <v>0</v>
      </c>
      <c r="HP655">
        <v>0</v>
      </c>
      <c r="HQ655">
        <v>0</v>
      </c>
      <c r="HR655">
        <v>0</v>
      </c>
      <c r="HS655">
        <v>0</v>
      </c>
      <c r="HT655">
        <v>0</v>
      </c>
      <c r="HU655">
        <v>0</v>
      </c>
      <c r="HV655">
        <v>0</v>
      </c>
      <c r="HW655">
        <v>404.70000000000005</v>
      </c>
      <c r="HX655">
        <v>342.3</v>
      </c>
      <c r="HZ655">
        <v>866.2</v>
      </c>
      <c r="IA655">
        <v>1142.8</v>
      </c>
      <c r="IB655">
        <v>1121.5</v>
      </c>
      <c r="IC655">
        <v>2403</v>
      </c>
      <c r="ID655">
        <v>2659.3</v>
      </c>
      <c r="IE655">
        <v>1923.4</v>
      </c>
      <c r="IF655">
        <v>1465.7</v>
      </c>
      <c r="IG655">
        <v>1608.3</v>
      </c>
      <c r="IH655">
        <v>0</v>
      </c>
      <c r="II655">
        <v>0</v>
      </c>
      <c r="IJ655">
        <v>0</v>
      </c>
      <c r="IK655">
        <v>0</v>
      </c>
      <c r="IL655">
        <v>0</v>
      </c>
      <c r="IM655">
        <v>0</v>
      </c>
      <c r="IN655">
        <v>0</v>
      </c>
      <c r="IO655">
        <v>0</v>
      </c>
      <c r="IP655">
        <v>75.099999999999994</v>
      </c>
    </row>
    <row r="656" spans="1:250" ht="18" thickBot="1">
      <c r="A656" s="246"/>
      <c r="B656" s="246" t="s">
        <v>975</v>
      </c>
      <c r="C656" s="340"/>
      <c r="D656" s="403"/>
      <c r="E656" s="454">
        <v>0</v>
      </c>
      <c r="F656">
        <v>0</v>
      </c>
      <c r="G656" s="427">
        <v>0</v>
      </c>
      <c r="H656" s="155">
        <v>0</v>
      </c>
      <c r="I656">
        <v>0</v>
      </c>
      <c r="J656">
        <v>0</v>
      </c>
      <c r="K656">
        <v>0</v>
      </c>
      <c r="L656" s="4">
        <v>0</v>
      </c>
      <c r="M656" s="4">
        <v>0</v>
      </c>
      <c r="N656" s="4">
        <v>0</v>
      </c>
      <c r="O656" s="4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R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G656">
        <v>0</v>
      </c>
      <c r="BI656">
        <v>0</v>
      </c>
      <c r="BK656">
        <v>0</v>
      </c>
      <c r="BL656">
        <v>0</v>
      </c>
      <c r="BM656">
        <v>0</v>
      </c>
      <c r="BN656">
        <v>0</v>
      </c>
      <c r="BO656">
        <v>344.70000000000005</v>
      </c>
      <c r="BP656">
        <v>625.70000000000005</v>
      </c>
      <c r="BQ656">
        <v>912.2</v>
      </c>
      <c r="BR656">
        <v>237.7</v>
      </c>
      <c r="BS656">
        <v>0</v>
      </c>
      <c r="BT656">
        <v>0</v>
      </c>
      <c r="BU656">
        <v>0</v>
      </c>
      <c r="BV656">
        <v>0</v>
      </c>
      <c r="BW656">
        <v>1647.4</v>
      </c>
      <c r="BY656">
        <v>453.1</v>
      </c>
      <c r="CA656">
        <v>285.39999999999998</v>
      </c>
      <c r="CB656">
        <v>280.8</v>
      </c>
      <c r="CC656">
        <v>127.7</v>
      </c>
      <c r="CD656">
        <v>0</v>
      </c>
      <c r="CE656">
        <v>0</v>
      </c>
      <c r="CF656">
        <v>0</v>
      </c>
      <c r="CG656">
        <v>0</v>
      </c>
      <c r="CI656">
        <v>0</v>
      </c>
      <c r="CJ656">
        <v>0</v>
      </c>
      <c r="CL656">
        <v>0</v>
      </c>
      <c r="CM656">
        <v>0</v>
      </c>
      <c r="CN656">
        <v>0</v>
      </c>
      <c r="CO656">
        <v>0</v>
      </c>
      <c r="CP656">
        <v>0</v>
      </c>
      <c r="CQ656">
        <v>621.70000000000005</v>
      </c>
      <c r="CR656">
        <v>481.70000000000005</v>
      </c>
      <c r="CS656">
        <v>0</v>
      </c>
      <c r="CT656">
        <v>524.6</v>
      </c>
      <c r="CU656">
        <v>514.1</v>
      </c>
      <c r="CV656">
        <v>175.2</v>
      </c>
      <c r="CW656">
        <v>0</v>
      </c>
      <c r="CX656">
        <v>65.099999999999994</v>
      </c>
      <c r="CY656">
        <v>199</v>
      </c>
      <c r="CZ656">
        <v>1907.9</v>
      </c>
      <c r="DA656">
        <v>0</v>
      </c>
      <c r="DB656">
        <v>0</v>
      </c>
      <c r="DC656">
        <v>0</v>
      </c>
      <c r="DD656">
        <v>0</v>
      </c>
      <c r="DE656">
        <v>0</v>
      </c>
      <c r="DF656">
        <v>0</v>
      </c>
      <c r="DG656">
        <v>0</v>
      </c>
      <c r="DH656">
        <v>0</v>
      </c>
      <c r="DI656">
        <v>0</v>
      </c>
      <c r="DJ656">
        <v>0</v>
      </c>
      <c r="DK656">
        <v>0</v>
      </c>
      <c r="DL656">
        <v>0</v>
      </c>
      <c r="DM656">
        <v>1065.4000000000001</v>
      </c>
      <c r="DN656">
        <v>599.70000000000005</v>
      </c>
      <c r="DO656">
        <v>319.7</v>
      </c>
      <c r="DP656">
        <v>1570.6999999999998</v>
      </c>
      <c r="DQ656">
        <v>1399.5</v>
      </c>
      <c r="DR656">
        <v>3581</v>
      </c>
      <c r="DU656">
        <v>1393.2</v>
      </c>
      <c r="DV656">
        <v>2862.6</v>
      </c>
      <c r="DY656">
        <v>2361</v>
      </c>
      <c r="EA656">
        <v>2409.6</v>
      </c>
      <c r="EC656">
        <v>1661.3999999999999</v>
      </c>
      <c r="EE656">
        <v>0</v>
      </c>
      <c r="EF656">
        <v>0</v>
      </c>
      <c r="EG656">
        <v>0</v>
      </c>
      <c r="EH656">
        <v>0</v>
      </c>
      <c r="EI656">
        <v>0</v>
      </c>
      <c r="EJ656">
        <v>0</v>
      </c>
      <c r="EK656">
        <v>0</v>
      </c>
      <c r="EL656">
        <v>0</v>
      </c>
      <c r="EM656">
        <v>0</v>
      </c>
      <c r="EN656">
        <v>0</v>
      </c>
      <c r="EO656">
        <v>0</v>
      </c>
      <c r="EP656">
        <v>944.5</v>
      </c>
      <c r="EQ656">
        <v>3459.7</v>
      </c>
      <c r="ER656">
        <v>1353.5</v>
      </c>
      <c r="ES656">
        <v>182.2</v>
      </c>
      <c r="ET656">
        <v>855.59999999999991</v>
      </c>
      <c r="EU656">
        <v>172.2</v>
      </c>
      <c r="EV656">
        <v>203.2</v>
      </c>
      <c r="EW656">
        <v>1173.0999999999999</v>
      </c>
      <c r="EX656">
        <v>1078.3</v>
      </c>
      <c r="EY656">
        <v>1194.4000000000001</v>
      </c>
      <c r="EZ656">
        <v>1207.0999999999999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0</v>
      </c>
      <c r="FH656">
        <v>0</v>
      </c>
      <c r="FI656">
        <v>0</v>
      </c>
      <c r="FJ656">
        <v>0</v>
      </c>
      <c r="FK656">
        <v>0</v>
      </c>
      <c r="FL656">
        <v>0</v>
      </c>
      <c r="FM656">
        <v>0</v>
      </c>
      <c r="FN656">
        <v>0</v>
      </c>
      <c r="FO656">
        <v>0</v>
      </c>
      <c r="FP656">
        <v>0</v>
      </c>
      <c r="FQ656">
        <v>0</v>
      </c>
      <c r="FR656">
        <v>0</v>
      </c>
      <c r="FS656">
        <v>0</v>
      </c>
      <c r="FT656">
        <v>0</v>
      </c>
      <c r="FU656">
        <v>0</v>
      </c>
      <c r="FV656">
        <v>0</v>
      </c>
      <c r="FW656">
        <v>0</v>
      </c>
      <c r="FX656">
        <v>0</v>
      </c>
      <c r="FY656">
        <v>0</v>
      </c>
      <c r="FZ656">
        <v>0</v>
      </c>
      <c r="GA656">
        <v>0</v>
      </c>
      <c r="GB656">
        <v>0</v>
      </c>
      <c r="GC656">
        <v>0</v>
      </c>
      <c r="GD656">
        <v>0</v>
      </c>
      <c r="GE656">
        <v>0</v>
      </c>
      <c r="GF656">
        <v>0</v>
      </c>
      <c r="GG656">
        <v>0</v>
      </c>
      <c r="GH656">
        <v>0</v>
      </c>
      <c r="GI656">
        <v>0</v>
      </c>
      <c r="GJ656">
        <v>0</v>
      </c>
      <c r="GK656">
        <v>0</v>
      </c>
      <c r="GL656">
        <v>0</v>
      </c>
      <c r="GO656">
        <v>0</v>
      </c>
      <c r="GP656">
        <v>0</v>
      </c>
      <c r="GQ656">
        <v>0</v>
      </c>
      <c r="GR656">
        <v>0</v>
      </c>
      <c r="GS656">
        <v>0</v>
      </c>
      <c r="GT656">
        <v>0</v>
      </c>
      <c r="GU656">
        <v>0</v>
      </c>
      <c r="GV656">
        <v>0</v>
      </c>
      <c r="GW656">
        <v>0</v>
      </c>
      <c r="GX656">
        <v>0</v>
      </c>
      <c r="GY656">
        <v>0</v>
      </c>
      <c r="GZ656">
        <v>0</v>
      </c>
      <c r="HA656">
        <v>0</v>
      </c>
      <c r="HB656">
        <v>0</v>
      </c>
      <c r="HC656">
        <v>0</v>
      </c>
      <c r="HD656">
        <v>0</v>
      </c>
      <c r="HE656">
        <v>0</v>
      </c>
      <c r="HF656">
        <v>0</v>
      </c>
      <c r="HG656">
        <v>0</v>
      </c>
      <c r="HH656">
        <v>0</v>
      </c>
      <c r="HI656">
        <v>0</v>
      </c>
      <c r="HJ656">
        <v>0</v>
      </c>
      <c r="HK656">
        <v>0</v>
      </c>
      <c r="HL656">
        <v>0</v>
      </c>
      <c r="HM656">
        <v>0</v>
      </c>
      <c r="HN656">
        <v>0</v>
      </c>
      <c r="HO656">
        <v>0</v>
      </c>
      <c r="HP656">
        <v>0</v>
      </c>
      <c r="HQ656">
        <v>0</v>
      </c>
      <c r="HR656">
        <v>0</v>
      </c>
      <c r="HS656">
        <v>0</v>
      </c>
      <c r="HT656">
        <v>0</v>
      </c>
      <c r="HU656">
        <v>0</v>
      </c>
      <c r="HV656">
        <v>0</v>
      </c>
      <c r="HW656">
        <v>404.70000000000005</v>
      </c>
      <c r="HX656">
        <v>342.3</v>
      </c>
      <c r="HZ656">
        <v>866.2</v>
      </c>
      <c r="IA656">
        <v>1142.8</v>
      </c>
      <c r="IB656">
        <v>1121.5</v>
      </c>
      <c r="IC656">
        <v>2403</v>
      </c>
      <c r="ID656">
        <v>2659.3</v>
      </c>
      <c r="IE656">
        <v>1923.4</v>
      </c>
      <c r="IF656">
        <v>1465.7</v>
      </c>
      <c r="IG656">
        <v>1608.3</v>
      </c>
      <c r="IH656">
        <v>0</v>
      </c>
      <c r="II656">
        <v>0</v>
      </c>
      <c r="IJ656">
        <v>0</v>
      </c>
      <c r="IK656">
        <v>0</v>
      </c>
      <c r="IL656">
        <v>0</v>
      </c>
      <c r="IM656">
        <v>0</v>
      </c>
      <c r="IN656">
        <v>0</v>
      </c>
      <c r="IO656">
        <v>0</v>
      </c>
      <c r="IP656">
        <v>75.099999999999994</v>
      </c>
    </row>
    <row r="657" spans="1:250" ht="18.600000000000001" thickTop="1" thickBot="1">
      <c r="A657" s="181"/>
      <c r="B657" s="181" t="s">
        <v>976</v>
      </c>
      <c r="C657" s="142" t="s">
        <v>1101</v>
      </c>
      <c r="D657" s="404" t="s">
        <v>1216</v>
      </c>
      <c r="E657" s="454">
        <v>0</v>
      </c>
      <c r="F657">
        <v>0</v>
      </c>
      <c r="G657" s="427">
        <v>0</v>
      </c>
      <c r="H657" s="155">
        <v>0</v>
      </c>
      <c r="I657">
        <v>0</v>
      </c>
      <c r="J657">
        <v>0</v>
      </c>
      <c r="K657">
        <v>0</v>
      </c>
      <c r="L657" s="4">
        <v>0</v>
      </c>
      <c r="M657" s="4">
        <v>0</v>
      </c>
      <c r="N657" s="4">
        <v>0</v>
      </c>
      <c r="O657" s="4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R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G657">
        <v>0</v>
      </c>
      <c r="BI657">
        <v>0</v>
      </c>
      <c r="BK657">
        <v>0</v>
      </c>
      <c r="BL657">
        <v>0</v>
      </c>
      <c r="BM657">
        <v>0</v>
      </c>
      <c r="BN657">
        <v>0</v>
      </c>
      <c r="BO657">
        <v>344.70000000000005</v>
      </c>
      <c r="BP657">
        <v>625.70000000000005</v>
      </c>
      <c r="BQ657">
        <v>912.2</v>
      </c>
      <c r="BR657">
        <v>237.7</v>
      </c>
      <c r="BS657">
        <v>0</v>
      </c>
      <c r="BT657">
        <v>0</v>
      </c>
      <c r="BU657">
        <v>0</v>
      </c>
      <c r="BV657">
        <v>0</v>
      </c>
      <c r="BW657">
        <v>1647.4</v>
      </c>
      <c r="BY657">
        <v>453.1</v>
      </c>
      <c r="CA657">
        <v>285.39999999999998</v>
      </c>
      <c r="CB657">
        <v>280.8</v>
      </c>
      <c r="CC657">
        <v>127.7</v>
      </c>
      <c r="CD657">
        <v>0</v>
      </c>
      <c r="CE657">
        <v>0</v>
      </c>
      <c r="CF657">
        <v>0</v>
      </c>
      <c r="CG657">
        <v>0</v>
      </c>
      <c r="CI657">
        <v>0</v>
      </c>
      <c r="CJ657">
        <v>0</v>
      </c>
      <c r="CL657">
        <v>0</v>
      </c>
      <c r="CM657">
        <v>0</v>
      </c>
      <c r="CN657">
        <v>0</v>
      </c>
      <c r="CO657">
        <v>0</v>
      </c>
      <c r="CP657">
        <v>0</v>
      </c>
      <c r="CQ657">
        <v>621.70000000000005</v>
      </c>
      <c r="CR657">
        <v>481.70000000000005</v>
      </c>
      <c r="CS657">
        <v>0</v>
      </c>
      <c r="CT657">
        <v>524.6</v>
      </c>
      <c r="CU657">
        <v>514.1</v>
      </c>
      <c r="CV657">
        <v>175.2</v>
      </c>
      <c r="CW657">
        <v>0</v>
      </c>
      <c r="CX657">
        <v>65.099999999999994</v>
      </c>
      <c r="CY657">
        <v>199</v>
      </c>
      <c r="CZ657">
        <v>1907.9</v>
      </c>
      <c r="DA657">
        <v>0</v>
      </c>
      <c r="DB657">
        <v>0</v>
      </c>
      <c r="DC657">
        <v>0</v>
      </c>
      <c r="DD657">
        <v>0</v>
      </c>
      <c r="DE657">
        <v>0</v>
      </c>
      <c r="DF657">
        <v>0</v>
      </c>
      <c r="DG657">
        <v>0</v>
      </c>
      <c r="DH657">
        <v>0</v>
      </c>
      <c r="DI657">
        <v>0</v>
      </c>
      <c r="DJ657">
        <v>0</v>
      </c>
      <c r="DK657">
        <v>0</v>
      </c>
      <c r="DL657">
        <v>0</v>
      </c>
      <c r="DM657">
        <v>1065.4000000000001</v>
      </c>
      <c r="DN657">
        <v>599.70000000000005</v>
      </c>
      <c r="DO657">
        <v>319.7</v>
      </c>
      <c r="DP657">
        <v>1570.6999999999998</v>
      </c>
      <c r="DQ657">
        <v>1399.5</v>
      </c>
      <c r="DR657">
        <v>3581</v>
      </c>
      <c r="DU657">
        <v>1393.2</v>
      </c>
      <c r="DV657">
        <v>2862.6</v>
      </c>
      <c r="DY657">
        <v>2361</v>
      </c>
      <c r="EA657">
        <v>2409.6</v>
      </c>
      <c r="EC657">
        <v>1661.3999999999999</v>
      </c>
      <c r="EE657">
        <v>0</v>
      </c>
      <c r="EF657">
        <v>0</v>
      </c>
      <c r="EG657">
        <v>0</v>
      </c>
      <c r="EH657">
        <v>0</v>
      </c>
      <c r="EI657">
        <v>0</v>
      </c>
      <c r="EJ657">
        <v>0</v>
      </c>
      <c r="EK657">
        <v>0</v>
      </c>
      <c r="EL657">
        <v>0</v>
      </c>
      <c r="EM657">
        <v>0</v>
      </c>
      <c r="EN657">
        <v>0</v>
      </c>
      <c r="EO657">
        <v>0</v>
      </c>
      <c r="EP657">
        <v>944.5</v>
      </c>
      <c r="EQ657">
        <v>3459.7</v>
      </c>
      <c r="ER657">
        <v>1353.5</v>
      </c>
      <c r="ES657">
        <v>182.2</v>
      </c>
      <c r="ET657">
        <v>855.59999999999991</v>
      </c>
      <c r="EU657">
        <v>172.2</v>
      </c>
      <c r="EV657">
        <v>203.2</v>
      </c>
      <c r="EW657">
        <v>1173.0999999999999</v>
      </c>
      <c r="EX657">
        <v>1078.3</v>
      </c>
      <c r="EY657">
        <v>1194.4000000000001</v>
      </c>
      <c r="EZ657">
        <v>1207.0999999999999</v>
      </c>
      <c r="FA657">
        <v>0</v>
      </c>
      <c r="FB657">
        <v>0</v>
      </c>
      <c r="FC657">
        <v>0</v>
      </c>
      <c r="FD657">
        <v>0</v>
      </c>
      <c r="FE657">
        <v>0</v>
      </c>
      <c r="FF657">
        <v>0</v>
      </c>
      <c r="FG657">
        <v>0</v>
      </c>
      <c r="FH657">
        <v>0</v>
      </c>
      <c r="FI657">
        <v>0</v>
      </c>
      <c r="FJ657">
        <v>0</v>
      </c>
      <c r="FK657">
        <v>0</v>
      </c>
      <c r="FL657">
        <v>0</v>
      </c>
      <c r="FM657">
        <v>0</v>
      </c>
      <c r="FN657">
        <v>0</v>
      </c>
      <c r="FO657">
        <v>0</v>
      </c>
      <c r="FP657">
        <v>0</v>
      </c>
      <c r="FQ657">
        <v>0</v>
      </c>
      <c r="FR657">
        <v>0</v>
      </c>
      <c r="FS657">
        <v>0</v>
      </c>
      <c r="FT657">
        <v>0</v>
      </c>
      <c r="FU657">
        <v>0</v>
      </c>
      <c r="FV657">
        <v>0</v>
      </c>
      <c r="FW657">
        <v>0</v>
      </c>
      <c r="FX657">
        <v>0</v>
      </c>
      <c r="FY657">
        <v>0</v>
      </c>
      <c r="FZ657">
        <v>0</v>
      </c>
      <c r="GA657">
        <v>0</v>
      </c>
      <c r="GB657">
        <v>0</v>
      </c>
      <c r="GC657">
        <v>0</v>
      </c>
      <c r="GD657">
        <v>0</v>
      </c>
      <c r="GE657">
        <v>0</v>
      </c>
      <c r="GF657">
        <v>0</v>
      </c>
      <c r="GG657">
        <v>0</v>
      </c>
      <c r="GH657">
        <v>0</v>
      </c>
      <c r="GI657">
        <v>0</v>
      </c>
      <c r="GJ657">
        <v>0</v>
      </c>
      <c r="GK657">
        <v>0</v>
      </c>
      <c r="GL657">
        <v>0</v>
      </c>
      <c r="GO657">
        <v>0</v>
      </c>
      <c r="GP657">
        <v>0</v>
      </c>
      <c r="GQ657">
        <v>0</v>
      </c>
      <c r="GR657">
        <v>0</v>
      </c>
      <c r="GS657">
        <v>0</v>
      </c>
      <c r="GT657">
        <v>0</v>
      </c>
      <c r="GU657">
        <v>0</v>
      </c>
      <c r="GV657">
        <v>0</v>
      </c>
      <c r="GW657">
        <v>0</v>
      </c>
      <c r="GX657">
        <v>0</v>
      </c>
      <c r="GY657">
        <v>0</v>
      </c>
      <c r="GZ657">
        <v>0</v>
      </c>
      <c r="HA657">
        <v>0</v>
      </c>
      <c r="HB657">
        <v>0</v>
      </c>
      <c r="HC657">
        <v>0</v>
      </c>
      <c r="HD657">
        <v>0</v>
      </c>
      <c r="HE657">
        <v>0</v>
      </c>
      <c r="HF657">
        <v>0</v>
      </c>
      <c r="HG657">
        <v>0</v>
      </c>
      <c r="HH657">
        <v>0</v>
      </c>
      <c r="HI657">
        <v>0</v>
      </c>
      <c r="HJ657">
        <v>0</v>
      </c>
      <c r="HK657">
        <v>0</v>
      </c>
      <c r="HL657">
        <v>0</v>
      </c>
      <c r="HM657">
        <v>0</v>
      </c>
      <c r="HN657">
        <v>0</v>
      </c>
      <c r="HO657">
        <v>0</v>
      </c>
      <c r="HP657">
        <v>0</v>
      </c>
      <c r="HQ657">
        <v>0</v>
      </c>
      <c r="HR657">
        <v>0</v>
      </c>
      <c r="HS657">
        <v>0</v>
      </c>
      <c r="HT657">
        <v>0</v>
      </c>
      <c r="HU657">
        <v>0</v>
      </c>
      <c r="HV657">
        <v>0</v>
      </c>
      <c r="HW657">
        <v>404.70000000000005</v>
      </c>
      <c r="HX657">
        <v>342.3</v>
      </c>
      <c r="HZ657">
        <v>866.2</v>
      </c>
      <c r="IA657">
        <v>1142.8</v>
      </c>
      <c r="IB657">
        <v>1121.5</v>
      </c>
      <c r="IC657">
        <v>2403</v>
      </c>
      <c r="ID657">
        <v>2659.3</v>
      </c>
      <c r="IE657">
        <v>1923.4</v>
      </c>
      <c r="IF657">
        <v>1465.7</v>
      </c>
      <c r="IG657">
        <v>1608.3</v>
      </c>
      <c r="IH657">
        <v>0</v>
      </c>
      <c r="II657">
        <v>0</v>
      </c>
      <c r="IJ657">
        <v>0</v>
      </c>
      <c r="IK657">
        <v>0</v>
      </c>
      <c r="IL657">
        <v>0</v>
      </c>
      <c r="IM657">
        <v>0</v>
      </c>
      <c r="IN657">
        <v>0</v>
      </c>
      <c r="IO657">
        <v>0</v>
      </c>
      <c r="IP657">
        <v>75.099999999999994</v>
      </c>
    </row>
    <row r="658" spans="1:250" ht="29.4" thickBot="1">
      <c r="A658" s="245"/>
      <c r="B658" s="245" t="s">
        <v>977</v>
      </c>
      <c r="C658" s="361" t="s">
        <v>1102</v>
      </c>
      <c r="D658" s="405" t="s">
        <v>1218</v>
      </c>
      <c r="E658" s="454">
        <v>0</v>
      </c>
      <c r="F658">
        <v>0</v>
      </c>
      <c r="G658" s="427">
        <v>0</v>
      </c>
      <c r="H658" s="155">
        <v>0</v>
      </c>
      <c r="I658">
        <v>0</v>
      </c>
      <c r="J658">
        <v>0</v>
      </c>
      <c r="K658">
        <v>0</v>
      </c>
      <c r="L658" s="4">
        <v>0</v>
      </c>
      <c r="M658" s="4">
        <v>0</v>
      </c>
      <c r="N658" s="4">
        <v>0</v>
      </c>
      <c r="O658" s="4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R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G658">
        <v>0</v>
      </c>
      <c r="BI658">
        <v>0</v>
      </c>
      <c r="BK658">
        <v>0</v>
      </c>
      <c r="BL658">
        <v>0</v>
      </c>
      <c r="BM658">
        <v>0</v>
      </c>
      <c r="BN658">
        <v>0</v>
      </c>
      <c r="BO658">
        <v>344.70000000000005</v>
      </c>
      <c r="BP658">
        <v>625.70000000000005</v>
      </c>
      <c r="BQ658">
        <v>912.2</v>
      </c>
      <c r="BR658">
        <v>237.7</v>
      </c>
      <c r="BS658">
        <v>0</v>
      </c>
      <c r="BT658">
        <v>0</v>
      </c>
      <c r="BU658">
        <v>0</v>
      </c>
      <c r="BV658">
        <v>0</v>
      </c>
      <c r="BW658">
        <v>1647.4</v>
      </c>
      <c r="BY658">
        <v>453.1</v>
      </c>
      <c r="CA658">
        <v>285.39999999999998</v>
      </c>
      <c r="CB658">
        <v>280.8</v>
      </c>
      <c r="CC658">
        <v>127.7</v>
      </c>
      <c r="CD658">
        <v>0</v>
      </c>
      <c r="CE658">
        <v>0</v>
      </c>
      <c r="CF658">
        <v>0</v>
      </c>
      <c r="CG658">
        <v>0</v>
      </c>
      <c r="CI658">
        <v>0</v>
      </c>
      <c r="CJ658">
        <v>0</v>
      </c>
      <c r="CL658">
        <v>0</v>
      </c>
      <c r="CM658">
        <v>0</v>
      </c>
      <c r="CN658">
        <v>0</v>
      </c>
      <c r="CO658">
        <v>0</v>
      </c>
      <c r="CP658">
        <v>0</v>
      </c>
      <c r="CQ658">
        <v>621.70000000000005</v>
      </c>
      <c r="CR658">
        <v>481.70000000000005</v>
      </c>
      <c r="CS658">
        <v>0</v>
      </c>
      <c r="CT658">
        <v>524.6</v>
      </c>
      <c r="CU658">
        <v>514.1</v>
      </c>
      <c r="CV658">
        <v>175.2</v>
      </c>
      <c r="CW658">
        <v>0</v>
      </c>
      <c r="CX658">
        <v>65.099999999999994</v>
      </c>
      <c r="CY658">
        <v>199</v>
      </c>
      <c r="CZ658">
        <v>1907.9</v>
      </c>
      <c r="DA658">
        <v>0</v>
      </c>
      <c r="DB658">
        <v>0</v>
      </c>
      <c r="DC658">
        <v>0</v>
      </c>
      <c r="DD658">
        <v>0</v>
      </c>
      <c r="DE658">
        <v>0</v>
      </c>
      <c r="DF658">
        <v>0</v>
      </c>
      <c r="DG658">
        <v>0</v>
      </c>
      <c r="DH658">
        <v>0</v>
      </c>
      <c r="DI658">
        <v>0</v>
      </c>
      <c r="DJ658">
        <v>0</v>
      </c>
      <c r="DK658">
        <v>0</v>
      </c>
      <c r="DL658">
        <v>0</v>
      </c>
      <c r="DM658">
        <v>1065.4000000000001</v>
      </c>
      <c r="DN658">
        <v>599.70000000000005</v>
      </c>
      <c r="DO658">
        <v>319.7</v>
      </c>
      <c r="DP658">
        <v>1570.6999999999998</v>
      </c>
      <c r="DQ658">
        <v>1399.5</v>
      </c>
      <c r="DR658">
        <v>3581</v>
      </c>
      <c r="DU658">
        <v>1393.2</v>
      </c>
      <c r="DV658">
        <v>2862.6</v>
      </c>
      <c r="DY658">
        <v>2361</v>
      </c>
      <c r="EA658">
        <v>2409.6</v>
      </c>
      <c r="EC658">
        <v>1661.3999999999999</v>
      </c>
      <c r="EE658">
        <v>0</v>
      </c>
      <c r="EF658">
        <v>0</v>
      </c>
      <c r="EG658">
        <v>0</v>
      </c>
      <c r="EH658">
        <v>0</v>
      </c>
      <c r="EI658">
        <v>0</v>
      </c>
      <c r="EJ658">
        <v>0</v>
      </c>
      <c r="EK658">
        <v>0</v>
      </c>
      <c r="EL658">
        <v>0</v>
      </c>
      <c r="EM658">
        <v>0</v>
      </c>
      <c r="EN658">
        <v>0</v>
      </c>
      <c r="EO658">
        <v>0</v>
      </c>
      <c r="EP658">
        <v>944.5</v>
      </c>
      <c r="EQ658">
        <v>3459.7</v>
      </c>
      <c r="ER658">
        <v>1353.5</v>
      </c>
      <c r="ES658">
        <v>182.2</v>
      </c>
      <c r="ET658">
        <v>855.59999999999991</v>
      </c>
      <c r="EU658">
        <v>172.2</v>
      </c>
      <c r="EV658">
        <v>203.2</v>
      </c>
      <c r="EW658">
        <v>1173.0999999999999</v>
      </c>
      <c r="EX658">
        <v>1078.3</v>
      </c>
      <c r="EY658">
        <v>1194.4000000000001</v>
      </c>
      <c r="EZ658">
        <v>1207.0999999999999</v>
      </c>
      <c r="FA658">
        <v>0</v>
      </c>
      <c r="FB658">
        <v>0</v>
      </c>
      <c r="FC658">
        <v>0</v>
      </c>
      <c r="FD658">
        <v>0</v>
      </c>
      <c r="FE658">
        <v>0</v>
      </c>
      <c r="FF658">
        <v>0</v>
      </c>
      <c r="FG658">
        <v>0</v>
      </c>
      <c r="FH658">
        <v>0</v>
      </c>
      <c r="FI658">
        <v>0</v>
      </c>
      <c r="FJ658">
        <v>0</v>
      </c>
      <c r="FK658">
        <v>0</v>
      </c>
      <c r="FL658">
        <v>0</v>
      </c>
      <c r="FM658">
        <v>0</v>
      </c>
      <c r="FN658">
        <v>0</v>
      </c>
      <c r="FO658">
        <v>0</v>
      </c>
      <c r="FP658">
        <v>0</v>
      </c>
      <c r="FQ658">
        <v>0</v>
      </c>
      <c r="FR658">
        <v>0</v>
      </c>
      <c r="FS658">
        <v>0</v>
      </c>
      <c r="FT658">
        <v>0</v>
      </c>
      <c r="FU658">
        <v>0</v>
      </c>
      <c r="FV658">
        <v>0</v>
      </c>
      <c r="FW658">
        <v>0</v>
      </c>
      <c r="FX658">
        <v>0</v>
      </c>
      <c r="FY658">
        <v>0</v>
      </c>
      <c r="FZ658">
        <v>0</v>
      </c>
      <c r="GA658">
        <v>0</v>
      </c>
      <c r="GB658">
        <v>0</v>
      </c>
      <c r="GC658">
        <v>0</v>
      </c>
      <c r="GD658">
        <v>0</v>
      </c>
      <c r="GE658">
        <v>0</v>
      </c>
      <c r="GF658">
        <v>0</v>
      </c>
      <c r="GG658">
        <v>0</v>
      </c>
      <c r="GH658">
        <v>0</v>
      </c>
      <c r="GI658">
        <v>0</v>
      </c>
      <c r="GJ658">
        <v>0</v>
      </c>
      <c r="GK658">
        <v>0</v>
      </c>
      <c r="GL658">
        <v>0</v>
      </c>
      <c r="GO658">
        <v>0</v>
      </c>
      <c r="GP658">
        <v>0</v>
      </c>
      <c r="GQ658">
        <v>0</v>
      </c>
      <c r="GR658">
        <v>0</v>
      </c>
      <c r="GS658">
        <v>0</v>
      </c>
      <c r="GT658">
        <v>0</v>
      </c>
      <c r="GU658">
        <v>0</v>
      </c>
      <c r="GV658">
        <v>0</v>
      </c>
      <c r="GW658">
        <v>0</v>
      </c>
      <c r="GX658">
        <v>0</v>
      </c>
      <c r="GY658">
        <v>0</v>
      </c>
      <c r="GZ658">
        <v>0</v>
      </c>
      <c r="HA658">
        <v>0</v>
      </c>
      <c r="HB658">
        <v>0</v>
      </c>
      <c r="HC658">
        <v>0</v>
      </c>
      <c r="HD658">
        <v>0</v>
      </c>
      <c r="HE658">
        <v>0</v>
      </c>
      <c r="HF658">
        <v>0</v>
      </c>
      <c r="HG658">
        <v>0</v>
      </c>
      <c r="HH658">
        <v>0</v>
      </c>
      <c r="HI658">
        <v>0</v>
      </c>
      <c r="HJ658">
        <v>0</v>
      </c>
      <c r="HK658">
        <v>0</v>
      </c>
      <c r="HL658">
        <v>0</v>
      </c>
      <c r="HM658">
        <v>0</v>
      </c>
      <c r="HN658">
        <v>0</v>
      </c>
      <c r="HO658">
        <v>0</v>
      </c>
      <c r="HP658">
        <v>0</v>
      </c>
      <c r="HQ658">
        <v>0</v>
      </c>
      <c r="HR658">
        <v>0</v>
      </c>
      <c r="HS658">
        <v>0</v>
      </c>
      <c r="HT658">
        <v>0</v>
      </c>
      <c r="HU658">
        <v>0</v>
      </c>
      <c r="HV658">
        <v>0</v>
      </c>
      <c r="HW658">
        <v>404.70000000000005</v>
      </c>
      <c r="HX658">
        <v>342.3</v>
      </c>
      <c r="HZ658">
        <v>866.2</v>
      </c>
      <c r="IA658">
        <v>1142.8</v>
      </c>
      <c r="IB658">
        <v>1121.5</v>
      </c>
      <c r="IC658">
        <v>2403</v>
      </c>
      <c r="ID658">
        <v>2659.3</v>
      </c>
      <c r="IE658">
        <v>1923.4</v>
      </c>
      <c r="IF658">
        <v>1465.7</v>
      </c>
      <c r="IG658">
        <v>1608.3</v>
      </c>
      <c r="IH658">
        <v>0</v>
      </c>
      <c r="II658">
        <v>0</v>
      </c>
      <c r="IJ658">
        <v>0</v>
      </c>
      <c r="IK658">
        <v>0</v>
      </c>
      <c r="IL658">
        <v>0</v>
      </c>
      <c r="IM658">
        <v>0</v>
      </c>
      <c r="IN658">
        <v>0</v>
      </c>
      <c r="IO658">
        <v>0</v>
      </c>
      <c r="IP658">
        <v>75.099999999999994</v>
      </c>
    </row>
    <row r="659" spans="1:250" ht="18" thickBot="1">
      <c r="A659" s="245"/>
      <c r="B659" s="245" t="s">
        <v>978</v>
      </c>
      <c r="C659" s="361" t="s">
        <v>1103</v>
      </c>
      <c r="D659" s="405" t="s">
        <v>1219</v>
      </c>
      <c r="E659" s="454">
        <v>0</v>
      </c>
      <c r="F659">
        <v>0</v>
      </c>
      <c r="G659" s="427">
        <v>0</v>
      </c>
      <c r="H659" s="155">
        <v>0</v>
      </c>
      <c r="I659">
        <v>0</v>
      </c>
      <c r="J659">
        <v>0</v>
      </c>
      <c r="K659">
        <v>0</v>
      </c>
      <c r="L659" s="4">
        <v>0</v>
      </c>
      <c r="M659" s="4">
        <v>0</v>
      </c>
      <c r="N659" s="4">
        <v>0</v>
      </c>
      <c r="O659" s="4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R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G659">
        <v>0</v>
      </c>
      <c r="BI659">
        <v>0</v>
      </c>
      <c r="BK659">
        <v>0</v>
      </c>
      <c r="BL659">
        <v>0</v>
      </c>
      <c r="BM659">
        <v>0</v>
      </c>
      <c r="BN659">
        <v>0</v>
      </c>
      <c r="BO659">
        <v>344.70000000000005</v>
      </c>
      <c r="BP659">
        <v>625.70000000000005</v>
      </c>
      <c r="BQ659">
        <v>912.2</v>
      </c>
      <c r="BR659">
        <v>237.7</v>
      </c>
      <c r="BS659">
        <v>0</v>
      </c>
      <c r="BT659">
        <v>0</v>
      </c>
      <c r="BU659">
        <v>0</v>
      </c>
      <c r="BV659">
        <v>0</v>
      </c>
      <c r="BW659">
        <v>1647.4</v>
      </c>
      <c r="BY659">
        <v>453.1</v>
      </c>
      <c r="CA659">
        <v>285.39999999999998</v>
      </c>
      <c r="CB659">
        <v>280.8</v>
      </c>
      <c r="CC659">
        <v>127.7</v>
      </c>
      <c r="CD659">
        <v>0</v>
      </c>
      <c r="CE659">
        <v>0</v>
      </c>
      <c r="CF659">
        <v>0</v>
      </c>
      <c r="CG659">
        <v>0</v>
      </c>
      <c r="CI659">
        <v>0</v>
      </c>
      <c r="CJ659">
        <v>0</v>
      </c>
      <c r="CL659">
        <v>0</v>
      </c>
      <c r="CM659">
        <v>0</v>
      </c>
      <c r="CN659">
        <v>0</v>
      </c>
      <c r="CO659">
        <v>0</v>
      </c>
      <c r="CP659">
        <v>0</v>
      </c>
      <c r="CQ659">
        <v>621.70000000000005</v>
      </c>
      <c r="CR659">
        <v>481.70000000000005</v>
      </c>
      <c r="CS659">
        <v>0</v>
      </c>
      <c r="CT659">
        <v>524.6</v>
      </c>
      <c r="CU659">
        <v>514.1</v>
      </c>
      <c r="CV659">
        <v>175.2</v>
      </c>
      <c r="CW659">
        <v>0</v>
      </c>
      <c r="CX659">
        <v>65.099999999999994</v>
      </c>
      <c r="CY659">
        <v>199</v>
      </c>
      <c r="CZ659">
        <v>1907.9</v>
      </c>
      <c r="DA659">
        <v>0</v>
      </c>
      <c r="DB659">
        <v>0</v>
      </c>
      <c r="DC659">
        <v>0</v>
      </c>
      <c r="DD659">
        <v>0</v>
      </c>
      <c r="DE659">
        <v>0</v>
      </c>
      <c r="DF659">
        <v>0</v>
      </c>
      <c r="DG659">
        <v>0</v>
      </c>
      <c r="DH659">
        <v>0</v>
      </c>
      <c r="DI659">
        <v>0</v>
      </c>
      <c r="DJ659">
        <v>0</v>
      </c>
      <c r="DK659">
        <v>0</v>
      </c>
      <c r="DL659">
        <v>0</v>
      </c>
      <c r="DM659">
        <v>1065.4000000000001</v>
      </c>
      <c r="DN659">
        <v>599.70000000000005</v>
      </c>
      <c r="DO659">
        <v>319.7</v>
      </c>
      <c r="DP659">
        <v>1570.6999999999998</v>
      </c>
      <c r="DQ659">
        <v>1399.5</v>
      </c>
      <c r="DR659">
        <v>3581</v>
      </c>
      <c r="DU659">
        <v>1393.2</v>
      </c>
      <c r="DV659">
        <v>2862.6</v>
      </c>
      <c r="DY659">
        <v>2361</v>
      </c>
      <c r="EA659">
        <v>2409.6</v>
      </c>
      <c r="EC659">
        <v>1661.3999999999999</v>
      </c>
      <c r="EE659">
        <v>0</v>
      </c>
      <c r="EF659">
        <v>0</v>
      </c>
      <c r="EG659">
        <v>0</v>
      </c>
      <c r="EH659">
        <v>0</v>
      </c>
      <c r="EI659">
        <v>0</v>
      </c>
      <c r="EJ659">
        <v>0</v>
      </c>
      <c r="EK659">
        <v>0</v>
      </c>
      <c r="EL659">
        <v>0</v>
      </c>
      <c r="EM659">
        <v>0</v>
      </c>
      <c r="EN659">
        <v>0</v>
      </c>
      <c r="EO659">
        <v>0</v>
      </c>
      <c r="EP659">
        <v>944.5</v>
      </c>
      <c r="EQ659">
        <v>3459.7</v>
      </c>
      <c r="ER659">
        <v>1353.5</v>
      </c>
      <c r="ES659">
        <v>182.2</v>
      </c>
      <c r="ET659">
        <v>855.59999999999991</v>
      </c>
      <c r="EU659">
        <v>172.2</v>
      </c>
      <c r="EV659">
        <v>203.2</v>
      </c>
      <c r="EW659">
        <v>1173.0999999999999</v>
      </c>
      <c r="EX659">
        <v>1078.3</v>
      </c>
      <c r="EY659">
        <v>1194.4000000000001</v>
      </c>
      <c r="EZ659">
        <v>1207.0999999999999</v>
      </c>
      <c r="FA659">
        <v>0</v>
      </c>
      <c r="FB659">
        <v>0</v>
      </c>
      <c r="FC659">
        <v>0</v>
      </c>
      <c r="FD659">
        <v>0</v>
      </c>
      <c r="FE659">
        <v>0</v>
      </c>
      <c r="FF659">
        <v>0</v>
      </c>
      <c r="FG659">
        <v>0</v>
      </c>
      <c r="FH659">
        <v>0</v>
      </c>
      <c r="FI659">
        <v>0</v>
      </c>
      <c r="FJ659">
        <v>0</v>
      </c>
      <c r="FK659">
        <v>0</v>
      </c>
      <c r="FL659">
        <v>0</v>
      </c>
      <c r="FM659">
        <v>0</v>
      </c>
      <c r="FN659">
        <v>0</v>
      </c>
      <c r="FO659">
        <v>0</v>
      </c>
      <c r="FP659">
        <v>0</v>
      </c>
      <c r="FQ659">
        <v>0</v>
      </c>
      <c r="FR659">
        <v>0</v>
      </c>
      <c r="FS659">
        <v>0</v>
      </c>
      <c r="FT659">
        <v>0</v>
      </c>
      <c r="FU659">
        <v>0</v>
      </c>
      <c r="FV659">
        <v>0</v>
      </c>
      <c r="FW659">
        <v>0</v>
      </c>
      <c r="FX659">
        <v>0</v>
      </c>
      <c r="FY659">
        <v>0</v>
      </c>
      <c r="FZ659">
        <v>0</v>
      </c>
      <c r="GA659">
        <v>0</v>
      </c>
      <c r="GB659">
        <v>0</v>
      </c>
      <c r="GC659">
        <v>0</v>
      </c>
      <c r="GD659">
        <v>0</v>
      </c>
      <c r="GE659">
        <v>0</v>
      </c>
      <c r="GF659">
        <v>0</v>
      </c>
      <c r="GG659">
        <v>0</v>
      </c>
      <c r="GH659">
        <v>0</v>
      </c>
      <c r="GI659">
        <v>0</v>
      </c>
      <c r="GJ659">
        <v>0</v>
      </c>
      <c r="GK659">
        <v>0</v>
      </c>
      <c r="GL659">
        <v>0</v>
      </c>
      <c r="GO659">
        <v>0</v>
      </c>
      <c r="GP659">
        <v>0</v>
      </c>
      <c r="GQ659">
        <v>0</v>
      </c>
      <c r="GR659">
        <v>0</v>
      </c>
      <c r="GS659">
        <v>0</v>
      </c>
      <c r="GT659">
        <v>0</v>
      </c>
      <c r="GU659">
        <v>0</v>
      </c>
      <c r="GV659">
        <v>0</v>
      </c>
      <c r="GW659">
        <v>0</v>
      </c>
      <c r="GX659">
        <v>0</v>
      </c>
      <c r="GY659">
        <v>0</v>
      </c>
      <c r="GZ659">
        <v>0</v>
      </c>
      <c r="HA659">
        <v>0</v>
      </c>
      <c r="HB659">
        <v>0</v>
      </c>
      <c r="HC659">
        <v>0</v>
      </c>
      <c r="HD659">
        <v>0</v>
      </c>
      <c r="HE659">
        <v>0</v>
      </c>
      <c r="HF659">
        <v>0</v>
      </c>
      <c r="HG659">
        <v>0</v>
      </c>
      <c r="HH659">
        <v>0</v>
      </c>
      <c r="HI659">
        <v>0</v>
      </c>
      <c r="HJ659">
        <v>0</v>
      </c>
      <c r="HK659">
        <v>0</v>
      </c>
      <c r="HL659">
        <v>0</v>
      </c>
      <c r="HM659">
        <v>0</v>
      </c>
      <c r="HN659">
        <v>0</v>
      </c>
      <c r="HO659">
        <v>0</v>
      </c>
      <c r="HP659">
        <v>0</v>
      </c>
      <c r="HQ659">
        <v>0</v>
      </c>
      <c r="HR659">
        <v>0</v>
      </c>
      <c r="HS659">
        <v>0</v>
      </c>
      <c r="HT659">
        <v>0</v>
      </c>
      <c r="HU659">
        <v>0</v>
      </c>
      <c r="HV659">
        <v>0</v>
      </c>
      <c r="HW659">
        <v>404.70000000000005</v>
      </c>
      <c r="HX659">
        <v>342.3</v>
      </c>
      <c r="HZ659">
        <v>866.2</v>
      </c>
      <c r="IA659">
        <v>1142.8</v>
      </c>
      <c r="IB659">
        <v>1121.5</v>
      </c>
      <c r="IC659">
        <v>2403</v>
      </c>
      <c r="ID659">
        <v>2659.3</v>
      </c>
      <c r="IE659">
        <v>1923.4</v>
      </c>
      <c r="IF659">
        <v>1465.7</v>
      </c>
      <c r="IG659">
        <v>1608.3</v>
      </c>
      <c r="IH659">
        <v>0</v>
      </c>
      <c r="II659">
        <v>0</v>
      </c>
      <c r="IJ659">
        <v>0</v>
      </c>
      <c r="IK659">
        <v>0</v>
      </c>
      <c r="IL659">
        <v>0</v>
      </c>
      <c r="IM659">
        <v>0</v>
      </c>
      <c r="IN659">
        <v>0</v>
      </c>
      <c r="IO659">
        <v>0</v>
      </c>
      <c r="IP659">
        <v>75.099999999999994</v>
      </c>
    </row>
    <row r="660" spans="1:250" ht="18" thickBot="1">
      <c r="A660" s="245"/>
      <c r="B660" s="245" t="s">
        <v>979</v>
      </c>
      <c r="C660" s="362" t="s">
        <v>1104</v>
      </c>
      <c r="D660" s="404" t="s">
        <v>1216</v>
      </c>
      <c r="E660" s="454">
        <v>0</v>
      </c>
      <c r="F660">
        <v>0</v>
      </c>
      <c r="G660" s="427">
        <v>0</v>
      </c>
      <c r="H660" s="155">
        <v>0</v>
      </c>
      <c r="I660">
        <v>0</v>
      </c>
      <c r="J660">
        <v>0</v>
      </c>
      <c r="K660">
        <v>0</v>
      </c>
      <c r="L660" s="4">
        <v>0</v>
      </c>
      <c r="M660" s="4">
        <v>0</v>
      </c>
      <c r="N660" s="4">
        <v>0</v>
      </c>
      <c r="O660" s="4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R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G660">
        <v>0</v>
      </c>
      <c r="BI660">
        <v>0</v>
      </c>
      <c r="BK660">
        <v>0</v>
      </c>
      <c r="BL660">
        <v>0</v>
      </c>
      <c r="BM660">
        <v>0</v>
      </c>
      <c r="BN660">
        <v>0</v>
      </c>
      <c r="BO660">
        <v>344.70000000000005</v>
      </c>
      <c r="BP660">
        <v>625.70000000000005</v>
      </c>
      <c r="BQ660">
        <v>912.2</v>
      </c>
      <c r="BR660">
        <v>237.7</v>
      </c>
      <c r="BS660">
        <v>0</v>
      </c>
      <c r="BT660">
        <v>0</v>
      </c>
      <c r="BU660">
        <v>0</v>
      </c>
      <c r="BV660">
        <v>0</v>
      </c>
      <c r="BW660">
        <v>1647.4</v>
      </c>
      <c r="BY660">
        <v>453.1</v>
      </c>
      <c r="CA660">
        <v>285.39999999999998</v>
      </c>
      <c r="CB660">
        <v>280.8</v>
      </c>
      <c r="CC660">
        <v>127.7</v>
      </c>
      <c r="CD660">
        <v>0</v>
      </c>
      <c r="CE660">
        <v>0</v>
      </c>
      <c r="CF660">
        <v>0</v>
      </c>
      <c r="CG660">
        <v>0</v>
      </c>
      <c r="CI660">
        <v>0</v>
      </c>
      <c r="CJ660">
        <v>0</v>
      </c>
      <c r="CL660">
        <v>0</v>
      </c>
      <c r="CM660">
        <v>0</v>
      </c>
      <c r="CN660">
        <v>0</v>
      </c>
      <c r="CO660">
        <v>0</v>
      </c>
      <c r="CP660">
        <v>0</v>
      </c>
      <c r="CQ660">
        <v>621.70000000000005</v>
      </c>
      <c r="CR660">
        <v>481.70000000000005</v>
      </c>
      <c r="CS660">
        <v>0</v>
      </c>
      <c r="CT660">
        <v>524.6</v>
      </c>
      <c r="CU660">
        <v>514.1</v>
      </c>
      <c r="CV660">
        <v>175.2</v>
      </c>
      <c r="CW660">
        <v>0</v>
      </c>
      <c r="CX660">
        <v>65.099999999999994</v>
      </c>
      <c r="CY660">
        <v>199</v>
      </c>
      <c r="CZ660">
        <v>1907.9</v>
      </c>
      <c r="DA660">
        <v>0</v>
      </c>
      <c r="DB660">
        <v>0</v>
      </c>
      <c r="DC660">
        <v>0</v>
      </c>
      <c r="DD660">
        <v>0</v>
      </c>
      <c r="DE660">
        <v>0</v>
      </c>
      <c r="DF660">
        <v>0</v>
      </c>
      <c r="DG660">
        <v>0</v>
      </c>
      <c r="DH660">
        <v>0</v>
      </c>
      <c r="DI660">
        <v>0</v>
      </c>
      <c r="DJ660">
        <v>0</v>
      </c>
      <c r="DK660">
        <v>0</v>
      </c>
      <c r="DL660">
        <v>0</v>
      </c>
      <c r="DM660">
        <v>1065.4000000000001</v>
      </c>
      <c r="DN660">
        <v>599.70000000000005</v>
      </c>
      <c r="DO660">
        <v>319.7</v>
      </c>
      <c r="DP660">
        <v>1570.6999999999998</v>
      </c>
      <c r="DQ660">
        <v>1399.5</v>
      </c>
      <c r="DR660">
        <v>3581</v>
      </c>
      <c r="DU660">
        <v>1393.2</v>
      </c>
      <c r="DV660">
        <v>2862.6</v>
      </c>
      <c r="DY660">
        <v>2361</v>
      </c>
      <c r="EA660">
        <v>2409.6</v>
      </c>
      <c r="EC660">
        <v>1661.3999999999999</v>
      </c>
      <c r="EE660">
        <v>0</v>
      </c>
      <c r="EF660">
        <v>0</v>
      </c>
      <c r="EG660">
        <v>0</v>
      </c>
      <c r="EH660">
        <v>0</v>
      </c>
      <c r="EI660">
        <v>0</v>
      </c>
      <c r="EJ660">
        <v>0</v>
      </c>
      <c r="EK660">
        <v>0</v>
      </c>
      <c r="EL660">
        <v>0</v>
      </c>
      <c r="EM660">
        <v>0</v>
      </c>
      <c r="EN660">
        <v>0</v>
      </c>
      <c r="EO660">
        <v>0</v>
      </c>
      <c r="EP660">
        <v>944.5</v>
      </c>
      <c r="EQ660">
        <v>3459.7</v>
      </c>
      <c r="ER660">
        <v>1353.5</v>
      </c>
      <c r="ES660">
        <v>182.2</v>
      </c>
      <c r="ET660">
        <v>855.59999999999991</v>
      </c>
      <c r="EU660">
        <v>172.2</v>
      </c>
      <c r="EV660">
        <v>203.2</v>
      </c>
      <c r="EW660">
        <v>1173.0999999999999</v>
      </c>
      <c r="EX660">
        <v>1078.3</v>
      </c>
      <c r="EY660">
        <v>1194.4000000000001</v>
      </c>
      <c r="EZ660">
        <v>1207.0999999999999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0</v>
      </c>
      <c r="FH660">
        <v>0</v>
      </c>
      <c r="FI660">
        <v>0</v>
      </c>
      <c r="FJ660">
        <v>0</v>
      </c>
      <c r="FK660">
        <v>0</v>
      </c>
      <c r="FL660">
        <v>0</v>
      </c>
      <c r="FM660">
        <v>0</v>
      </c>
      <c r="FN660">
        <v>0</v>
      </c>
      <c r="FO660">
        <v>0</v>
      </c>
      <c r="FP660">
        <v>0</v>
      </c>
      <c r="FQ660">
        <v>0</v>
      </c>
      <c r="FR660">
        <v>0</v>
      </c>
      <c r="FS660">
        <v>0</v>
      </c>
      <c r="FT660">
        <v>0</v>
      </c>
      <c r="FU660">
        <v>0</v>
      </c>
      <c r="FV660">
        <v>0</v>
      </c>
      <c r="FW660">
        <v>0</v>
      </c>
      <c r="FX660">
        <v>0</v>
      </c>
      <c r="FY660">
        <v>0</v>
      </c>
      <c r="FZ660">
        <v>0</v>
      </c>
      <c r="GA660">
        <v>0</v>
      </c>
      <c r="GB660">
        <v>0</v>
      </c>
      <c r="GC660">
        <v>0</v>
      </c>
      <c r="GD660">
        <v>0</v>
      </c>
      <c r="GE660">
        <v>0</v>
      </c>
      <c r="GF660">
        <v>0</v>
      </c>
      <c r="GG660">
        <v>0</v>
      </c>
      <c r="GH660">
        <v>0</v>
      </c>
      <c r="GI660">
        <v>0</v>
      </c>
      <c r="GJ660">
        <v>0</v>
      </c>
      <c r="GK660">
        <v>0</v>
      </c>
      <c r="GL660">
        <v>0</v>
      </c>
      <c r="GO660">
        <v>0</v>
      </c>
      <c r="GP660">
        <v>0</v>
      </c>
      <c r="GQ660">
        <v>0</v>
      </c>
      <c r="GR660">
        <v>0</v>
      </c>
      <c r="GS660">
        <v>0</v>
      </c>
      <c r="GT660">
        <v>0</v>
      </c>
      <c r="GU660">
        <v>0</v>
      </c>
      <c r="GV660">
        <v>0</v>
      </c>
      <c r="GW660">
        <v>0</v>
      </c>
      <c r="GX660">
        <v>0</v>
      </c>
      <c r="GY660">
        <v>0</v>
      </c>
      <c r="GZ660">
        <v>0</v>
      </c>
      <c r="HA660">
        <v>0</v>
      </c>
      <c r="HB660">
        <v>0</v>
      </c>
      <c r="HC660">
        <v>0</v>
      </c>
      <c r="HD660">
        <v>0</v>
      </c>
      <c r="HE660">
        <v>0</v>
      </c>
      <c r="HF660">
        <v>0</v>
      </c>
      <c r="HG660">
        <v>0</v>
      </c>
      <c r="HH660">
        <v>0</v>
      </c>
      <c r="HI660">
        <v>0</v>
      </c>
      <c r="HJ660">
        <v>0</v>
      </c>
      <c r="HK660">
        <v>0</v>
      </c>
      <c r="HL660">
        <v>0</v>
      </c>
      <c r="HM660">
        <v>0</v>
      </c>
      <c r="HN660">
        <v>0</v>
      </c>
      <c r="HO660">
        <v>0</v>
      </c>
      <c r="HP660">
        <v>0</v>
      </c>
      <c r="HQ660">
        <v>0</v>
      </c>
      <c r="HR660">
        <v>0</v>
      </c>
      <c r="HS660">
        <v>0</v>
      </c>
      <c r="HT660">
        <v>0</v>
      </c>
      <c r="HU660">
        <v>0</v>
      </c>
      <c r="HV660">
        <v>0</v>
      </c>
      <c r="HW660">
        <v>404.70000000000005</v>
      </c>
      <c r="HX660">
        <v>342.3</v>
      </c>
      <c r="HZ660">
        <v>866.2</v>
      </c>
      <c r="IA660">
        <v>1142.8</v>
      </c>
      <c r="IB660">
        <v>1121.5</v>
      </c>
      <c r="IC660">
        <v>2403</v>
      </c>
      <c r="ID660">
        <v>2659.3</v>
      </c>
      <c r="IE660">
        <v>1923.4</v>
      </c>
      <c r="IF660">
        <v>1465.7</v>
      </c>
      <c r="IG660">
        <v>1608.3</v>
      </c>
      <c r="IH660">
        <v>0</v>
      </c>
      <c r="II660">
        <v>0</v>
      </c>
      <c r="IJ660">
        <v>0</v>
      </c>
      <c r="IK660">
        <v>0</v>
      </c>
      <c r="IL660">
        <v>0</v>
      </c>
      <c r="IM660">
        <v>0</v>
      </c>
      <c r="IN660">
        <v>0</v>
      </c>
      <c r="IO660">
        <v>0</v>
      </c>
      <c r="IP660">
        <v>75.099999999999994</v>
      </c>
    </row>
    <row r="661" spans="1:250" ht="18" thickBot="1">
      <c r="A661" s="245"/>
      <c r="B661" s="245" t="s">
        <v>980</v>
      </c>
      <c r="C661" s="362" t="s">
        <v>1105</v>
      </c>
      <c r="D661" s="404" t="s">
        <v>1216</v>
      </c>
      <c r="E661" s="454">
        <v>0</v>
      </c>
      <c r="F661">
        <v>0</v>
      </c>
      <c r="G661" s="427">
        <v>0</v>
      </c>
      <c r="H661" s="155">
        <v>0</v>
      </c>
      <c r="I661">
        <v>0</v>
      </c>
      <c r="J661">
        <v>0</v>
      </c>
      <c r="K661">
        <v>0</v>
      </c>
      <c r="L661" s="4">
        <v>0</v>
      </c>
      <c r="M661" s="4">
        <v>0</v>
      </c>
      <c r="N661" s="4">
        <v>0</v>
      </c>
      <c r="O661" s="4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R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G661">
        <v>0</v>
      </c>
      <c r="BI661">
        <v>0</v>
      </c>
      <c r="BK661">
        <v>0</v>
      </c>
      <c r="BL661">
        <v>0</v>
      </c>
      <c r="BM661">
        <v>0</v>
      </c>
      <c r="BN661">
        <v>0</v>
      </c>
      <c r="BO661">
        <v>344.70000000000005</v>
      </c>
      <c r="BP661">
        <v>625.70000000000005</v>
      </c>
      <c r="BQ661">
        <v>912.2</v>
      </c>
      <c r="BR661">
        <v>237.7</v>
      </c>
      <c r="BS661">
        <v>0</v>
      </c>
      <c r="BT661">
        <v>0</v>
      </c>
      <c r="BU661">
        <v>0</v>
      </c>
      <c r="BV661">
        <v>0</v>
      </c>
      <c r="BW661">
        <v>1647.4</v>
      </c>
      <c r="BY661">
        <v>453.1</v>
      </c>
      <c r="CA661">
        <v>285.39999999999998</v>
      </c>
      <c r="CB661">
        <v>280.8</v>
      </c>
      <c r="CC661">
        <v>127.7</v>
      </c>
      <c r="CD661">
        <v>0</v>
      </c>
      <c r="CE661">
        <v>0</v>
      </c>
      <c r="CF661">
        <v>0</v>
      </c>
      <c r="CG661">
        <v>0</v>
      </c>
      <c r="CI661">
        <v>0</v>
      </c>
      <c r="CJ661">
        <v>0</v>
      </c>
      <c r="CL661">
        <v>0</v>
      </c>
      <c r="CM661">
        <v>0</v>
      </c>
      <c r="CN661">
        <v>0</v>
      </c>
      <c r="CO661">
        <v>0</v>
      </c>
      <c r="CP661">
        <v>0</v>
      </c>
      <c r="CQ661">
        <v>621.70000000000005</v>
      </c>
      <c r="CR661">
        <v>481.70000000000005</v>
      </c>
      <c r="CS661">
        <v>0</v>
      </c>
      <c r="CT661">
        <v>524.6</v>
      </c>
      <c r="CU661">
        <v>514.1</v>
      </c>
      <c r="CV661">
        <v>175.2</v>
      </c>
      <c r="CW661">
        <v>0</v>
      </c>
      <c r="CX661">
        <v>65.099999999999994</v>
      </c>
      <c r="CY661">
        <v>199</v>
      </c>
      <c r="CZ661">
        <v>1907.9</v>
      </c>
      <c r="DA661">
        <v>0</v>
      </c>
      <c r="DB661">
        <v>0</v>
      </c>
      <c r="DC661">
        <v>0</v>
      </c>
      <c r="DD661">
        <v>0</v>
      </c>
      <c r="DE661">
        <v>0</v>
      </c>
      <c r="DF661">
        <v>0</v>
      </c>
      <c r="DG661">
        <v>0</v>
      </c>
      <c r="DH661">
        <v>0</v>
      </c>
      <c r="DI661">
        <v>0</v>
      </c>
      <c r="DJ661">
        <v>0</v>
      </c>
      <c r="DK661">
        <v>0</v>
      </c>
      <c r="DL661">
        <v>0</v>
      </c>
      <c r="DM661">
        <v>1065.4000000000001</v>
      </c>
      <c r="DN661">
        <v>599.70000000000005</v>
      </c>
      <c r="DO661">
        <v>319.7</v>
      </c>
      <c r="DP661">
        <v>1570.6999999999998</v>
      </c>
      <c r="DQ661">
        <v>1399.5</v>
      </c>
      <c r="DR661">
        <v>3581</v>
      </c>
      <c r="DU661">
        <v>1393.2</v>
      </c>
      <c r="DV661">
        <v>2862.6</v>
      </c>
      <c r="DY661">
        <v>2361</v>
      </c>
      <c r="EA661">
        <v>2409.6</v>
      </c>
      <c r="EC661">
        <v>1661.3999999999999</v>
      </c>
      <c r="EE661">
        <v>0</v>
      </c>
      <c r="EF661">
        <v>0</v>
      </c>
      <c r="EG661">
        <v>0</v>
      </c>
      <c r="EH661">
        <v>0</v>
      </c>
      <c r="EI661">
        <v>0</v>
      </c>
      <c r="EJ661">
        <v>0</v>
      </c>
      <c r="EK661">
        <v>0</v>
      </c>
      <c r="EL661">
        <v>0</v>
      </c>
      <c r="EM661">
        <v>0</v>
      </c>
      <c r="EN661">
        <v>0</v>
      </c>
      <c r="EO661">
        <v>0</v>
      </c>
      <c r="EP661">
        <v>944.5</v>
      </c>
      <c r="EQ661">
        <v>3459.7</v>
      </c>
      <c r="ER661">
        <v>1353.5</v>
      </c>
      <c r="ES661">
        <v>182.2</v>
      </c>
      <c r="ET661">
        <v>855.59999999999991</v>
      </c>
      <c r="EU661">
        <v>172.2</v>
      </c>
      <c r="EV661">
        <v>203.2</v>
      </c>
      <c r="EW661">
        <v>1173.0999999999999</v>
      </c>
      <c r="EX661">
        <v>1078.3</v>
      </c>
      <c r="EY661">
        <v>1194.4000000000001</v>
      </c>
      <c r="EZ661">
        <v>1207.0999999999999</v>
      </c>
      <c r="FA661">
        <v>0</v>
      </c>
      <c r="FB661">
        <v>0</v>
      </c>
      <c r="FC661">
        <v>0</v>
      </c>
      <c r="FD661">
        <v>0</v>
      </c>
      <c r="FE661">
        <v>0</v>
      </c>
      <c r="FF661">
        <v>0</v>
      </c>
      <c r="FG661">
        <v>0</v>
      </c>
      <c r="FH661">
        <v>0</v>
      </c>
      <c r="FI661">
        <v>0</v>
      </c>
      <c r="FJ661">
        <v>0</v>
      </c>
      <c r="FK661">
        <v>0</v>
      </c>
      <c r="FL661">
        <v>0</v>
      </c>
      <c r="FM661">
        <v>0</v>
      </c>
      <c r="FN661">
        <v>0</v>
      </c>
      <c r="FO661">
        <v>0</v>
      </c>
      <c r="FP661">
        <v>0</v>
      </c>
      <c r="FQ661">
        <v>0</v>
      </c>
      <c r="FR661">
        <v>0</v>
      </c>
      <c r="FS661">
        <v>0</v>
      </c>
      <c r="FT661">
        <v>0</v>
      </c>
      <c r="FU661">
        <v>0</v>
      </c>
      <c r="FV661">
        <v>0</v>
      </c>
      <c r="FW661">
        <v>0</v>
      </c>
      <c r="FX661">
        <v>0</v>
      </c>
      <c r="FY661">
        <v>0</v>
      </c>
      <c r="FZ661">
        <v>0</v>
      </c>
      <c r="GA661">
        <v>0</v>
      </c>
      <c r="GB661">
        <v>0</v>
      </c>
      <c r="GC661">
        <v>0</v>
      </c>
      <c r="GD661">
        <v>0</v>
      </c>
      <c r="GE661">
        <v>0</v>
      </c>
      <c r="GF661">
        <v>0</v>
      </c>
      <c r="GG661">
        <v>0</v>
      </c>
      <c r="GH661">
        <v>0</v>
      </c>
      <c r="GI661">
        <v>0</v>
      </c>
      <c r="GJ661">
        <v>0</v>
      </c>
      <c r="GK661">
        <v>0</v>
      </c>
      <c r="GL661">
        <v>0</v>
      </c>
      <c r="GO661">
        <v>0</v>
      </c>
      <c r="GP661">
        <v>0</v>
      </c>
      <c r="GQ661">
        <v>0</v>
      </c>
      <c r="GR661">
        <v>0</v>
      </c>
      <c r="GS661">
        <v>0</v>
      </c>
      <c r="GT661">
        <v>0</v>
      </c>
      <c r="GU661">
        <v>0</v>
      </c>
      <c r="GV661">
        <v>0</v>
      </c>
      <c r="GW661">
        <v>0</v>
      </c>
      <c r="GX661">
        <v>0</v>
      </c>
      <c r="GY661">
        <v>0</v>
      </c>
      <c r="GZ661">
        <v>0</v>
      </c>
      <c r="HA661">
        <v>0</v>
      </c>
      <c r="HB661">
        <v>0</v>
      </c>
      <c r="HC661">
        <v>0</v>
      </c>
      <c r="HD661">
        <v>0</v>
      </c>
      <c r="HE661">
        <v>0</v>
      </c>
      <c r="HF661">
        <v>0</v>
      </c>
      <c r="HG661">
        <v>0</v>
      </c>
      <c r="HH661">
        <v>0</v>
      </c>
      <c r="HI661">
        <v>0</v>
      </c>
      <c r="HJ661">
        <v>0</v>
      </c>
      <c r="HK661">
        <v>0</v>
      </c>
      <c r="HL661">
        <v>0</v>
      </c>
      <c r="HM661">
        <v>0</v>
      </c>
      <c r="HN661">
        <v>0</v>
      </c>
      <c r="HO661">
        <v>0</v>
      </c>
      <c r="HP661">
        <v>0</v>
      </c>
      <c r="HQ661">
        <v>0</v>
      </c>
      <c r="HR661">
        <v>0</v>
      </c>
      <c r="HS661">
        <v>0</v>
      </c>
      <c r="HT661">
        <v>0</v>
      </c>
      <c r="HU661">
        <v>0</v>
      </c>
      <c r="HV661">
        <v>0</v>
      </c>
      <c r="HW661">
        <v>404.70000000000005</v>
      </c>
      <c r="HX661">
        <v>342.3</v>
      </c>
      <c r="HZ661">
        <v>866.2</v>
      </c>
      <c r="IA661">
        <v>1142.8</v>
      </c>
      <c r="IB661">
        <v>1121.5</v>
      </c>
      <c r="IC661">
        <v>2403</v>
      </c>
      <c r="ID661">
        <v>2659.3</v>
      </c>
      <c r="IE661">
        <v>1923.4</v>
      </c>
      <c r="IF661">
        <v>1465.7</v>
      </c>
      <c r="IG661">
        <v>1608.3</v>
      </c>
      <c r="IH661">
        <v>0</v>
      </c>
      <c r="II661">
        <v>0</v>
      </c>
      <c r="IJ661">
        <v>0</v>
      </c>
      <c r="IK661">
        <v>0</v>
      </c>
      <c r="IL661">
        <v>0</v>
      </c>
      <c r="IM661">
        <v>0</v>
      </c>
      <c r="IN661">
        <v>0</v>
      </c>
      <c r="IO661">
        <v>0</v>
      </c>
      <c r="IP661">
        <v>75.099999999999994</v>
      </c>
    </row>
    <row r="662" spans="1:250" ht="18" thickBot="1">
      <c r="A662" s="555"/>
      <c r="B662" s="555" t="s">
        <v>981</v>
      </c>
      <c r="C662" s="564" t="s">
        <v>1106</v>
      </c>
      <c r="D662" s="560" t="s">
        <v>1216</v>
      </c>
      <c r="E662" s="454">
        <v>0</v>
      </c>
      <c r="F662">
        <v>0</v>
      </c>
      <c r="G662" s="427">
        <v>0</v>
      </c>
      <c r="H662" s="155">
        <v>0</v>
      </c>
      <c r="I662">
        <v>0</v>
      </c>
      <c r="J662">
        <v>0</v>
      </c>
      <c r="K662">
        <v>0</v>
      </c>
      <c r="L662" s="4">
        <v>0</v>
      </c>
      <c r="M662" s="4">
        <v>0</v>
      </c>
      <c r="N662" s="4">
        <v>0</v>
      </c>
      <c r="O662" s="4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R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G662">
        <v>0</v>
      </c>
      <c r="BI662">
        <v>0</v>
      </c>
      <c r="BK662">
        <v>0</v>
      </c>
      <c r="BL662">
        <v>0</v>
      </c>
      <c r="BM662">
        <v>0</v>
      </c>
      <c r="BN662">
        <v>0</v>
      </c>
      <c r="BO662">
        <v>344.70000000000005</v>
      </c>
      <c r="BP662">
        <v>625.70000000000005</v>
      </c>
      <c r="BQ662">
        <v>912.2</v>
      </c>
      <c r="BR662">
        <v>237.7</v>
      </c>
      <c r="BS662">
        <v>0</v>
      </c>
      <c r="BT662">
        <v>0</v>
      </c>
      <c r="BU662">
        <v>0</v>
      </c>
      <c r="BV662">
        <v>0</v>
      </c>
      <c r="BW662">
        <v>1647.4</v>
      </c>
      <c r="BY662">
        <v>453.1</v>
      </c>
      <c r="CA662">
        <v>285.39999999999998</v>
      </c>
      <c r="CB662">
        <v>280.8</v>
      </c>
      <c r="CC662">
        <v>127.7</v>
      </c>
      <c r="CD662">
        <v>0</v>
      </c>
      <c r="CE662">
        <v>0</v>
      </c>
      <c r="CF662">
        <v>0</v>
      </c>
      <c r="CG662">
        <v>0</v>
      </c>
      <c r="CI662">
        <v>0</v>
      </c>
      <c r="CJ662">
        <v>0</v>
      </c>
      <c r="CL662">
        <v>0</v>
      </c>
      <c r="CM662">
        <v>0</v>
      </c>
      <c r="CN662">
        <v>0</v>
      </c>
      <c r="CO662">
        <v>0</v>
      </c>
      <c r="CP662">
        <v>0</v>
      </c>
      <c r="CQ662">
        <v>621.70000000000005</v>
      </c>
      <c r="CR662">
        <v>481.70000000000005</v>
      </c>
      <c r="CS662">
        <v>0</v>
      </c>
      <c r="CT662">
        <v>524.6</v>
      </c>
      <c r="CU662">
        <v>514.1</v>
      </c>
      <c r="CV662">
        <v>175.2</v>
      </c>
      <c r="CW662">
        <v>0</v>
      </c>
      <c r="CX662">
        <v>65.099999999999994</v>
      </c>
      <c r="CY662">
        <v>199</v>
      </c>
      <c r="CZ662">
        <v>1907.9</v>
      </c>
      <c r="DA662">
        <v>0</v>
      </c>
      <c r="DB662">
        <v>0</v>
      </c>
      <c r="DC662">
        <v>0</v>
      </c>
      <c r="DD662">
        <v>0</v>
      </c>
      <c r="DE662">
        <v>0</v>
      </c>
      <c r="DF662">
        <v>0</v>
      </c>
      <c r="DG662">
        <v>0</v>
      </c>
      <c r="DH662">
        <v>0</v>
      </c>
      <c r="DI662">
        <v>0</v>
      </c>
      <c r="DJ662">
        <v>0</v>
      </c>
      <c r="DK662">
        <v>0</v>
      </c>
      <c r="DL662">
        <v>0</v>
      </c>
      <c r="DM662">
        <v>1065.4000000000001</v>
      </c>
      <c r="DN662">
        <v>599.70000000000005</v>
      </c>
      <c r="DO662">
        <v>319.7</v>
      </c>
      <c r="DP662">
        <v>1570.6999999999998</v>
      </c>
      <c r="DQ662">
        <v>1399.5</v>
      </c>
      <c r="DR662">
        <v>3581</v>
      </c>
      <c r="DU662">
        <v>1393.2</v>
      </c>
      <c r="DV662">
        <v>2862.6</v>
      </c>
      <c r="DY662">
        <v>2361</v>
      </c>
      <c r="EA662">
        <v>2409.6</v>
      </c>
      <c r="EC662">
        <v>1661.3999999999999</v>
      </c>
      <c r="EE662">
        <v>0</v>
      </c>
      <c r="EF662">
        <v>0</v>
      </c>
      <c r="EG662">
        <v>0</v>
      </c>
      <c r="EH662">
        <v>0</v>
      </c>
      <c r="EI662">
        <v>0</v>
      </c>
      <c r="EJ662">
        <v>0</v>
      </c>
      <c r="EK662">
        <v>0</v>
      </c>
      <c r="EL662">
        <v>0</v>
      </c>
      <c r="EM662">
        <v>0</v>
      </c>
      <c r="EN662">
        <v>0</v>
      </c>
      <c r="EO662">
        <v>0</v>
      </c>
      <c r="EP662">
        <v>944.5</v>
      </c>
      <c r="EQ662">
        <v>3459.7</v>
      </c>
      <c r="ER662">
        <v>1353.5</v>
      </c>
      <c r="ES662">
        <v>182.2</v>
      </c>
      <c r="ET662">
        <v>855.59999999999991</v>
      </c>
      <c r="EU662">
        <v>172.2</v>
      </c>
      <c r="EV662">
        <v>203.2</v>
      </c>
      <c r="EW662">
        <v>1173.0999999999999</v>
      </c>
      <c r="EX662">
        <v>1078.3</v>
      </c>
      <c r="EY662">
        <v>1194.4000000000001</v>
      </c>
      <c r="EZ662">
        <v>1207.0999999999999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0</v>
      </c>
      <c r="FG662">
        <v>0</v>
      </c>
      <c r="FH662">
        <v>0</v>
      </c>
      <c r="FI662">
        <v>0</v>
      </c>
      <c r="FJ662">
        <v>0</v>
      </c>
      <c r="FK662">
        <v>0</v>
      </c>
      <c r="FL662">
        <v>0</v>
      </c>
      <c r="FM662">
        <v>0</v>
      </c>
      <c r="FN662">
        <v>0</v>
      </c>
      <c r="FO662">
        <v>0</v>
      </c>
      <c r="FP662">
        <v>0</v>
      </c>
      <c r="FQ662">
        <v>0</v>
      </c>
      <c r="FR662">
        <v>0</v>
      </c>
      <c r="FS662">
        <v>0</v>
      </c>
      <c r="FT662">
        <v>0</v>
      </c>
      <c r="FU662">
        <v>0</v>
      </c>
      <c r="FV662">
        <v>0</v>
      </c>
      <c r="FW662">
        <v>0</v>
      </c>
      <c r="FX662">
        <v>0</v>
      </c>
      <c r="FY662">
        <v>0</v>
      </c>
      <c r="FZ662">
        <v>0</v>
      </c>
      <c r="GA662">
        <v>0</v>
      </c>
      <c r="GB662">
        <v>0</v>
      </c>
      <c r="GC662">
        <v>0</v>
      </c>
      <c r="GD662">
        <v>0</v>
      </c>
      <c r="GE662">
        <v>0</v>
      </c>
      <c r="GF662">
        <v>0</v>
      </c>
      <c r="GG662">
        <v>0</v>
      </c>
      <c r="GH662">
        <v>0</v>
      </c>
      <c r="GI662">
        <v>0</v>
      </c>
      <c r="GJ662">
        <v>0</v>
      </c>
      <c r="GK662">
        <v>0</v>
      </c>
      <c r="GL662">
        <v>0</v>
      </c>
      <c r="GO662">
        <v>0</v>
      </c>
      <c r="GP662">
        <v>0</v>
      </c>
      <c r="GQ662">
        <v>0</v>
      </c>
      <c r="GR662">
        <v>0</v>
      </c>
      <c r="GS662">
        <v>0</v>
      </c>
      <c r="GT662">
        <v>0</v>
      </c>
      <c r="GU662">
        <v>0</v>
      </c>
      <c r="GV662">
        <v>0</v>
      </c>
      <c r="GW662">
        <v>0</v>
      </c>
      <c r="GX662">
        <v>0</v>
      </c>
      <c r="GY662">
        <v>0</v>
      </c>
      <c r="GZ662">
        <v>0</v>
      </c>
      <c r="HA662">
        <v>0</v>
      </c>
      <c r="HB662">
        <v>0</v>
      </c>
      <c r="HC662">
        <v>0</v>
      </c>
      <c r="HD662">
        <v>0</v>
      </c>
      <c r="HE662">
        <v>0</v>
      </c>
      <c r="HF662">
        <v>0</v>
      </c>
      <c r="HG662">
        <v>0</v>
      </c>
      <c r="HH662">
        <v>0</v>
      </c>
      <c r="HI662">
        <v>0</v>
      </c>
      <c r="HJ662">
        <v>0</v>
      </c>
      <c r="HK662">
        <v>0</v>
      </c>
      <c r="HL662">
        <v>0</v>
      </c>
      <c r="HM662">
        <v>0</v>
      </c>
      <c r="HN662">
        <v>0</v>
      </c>
      <c r="HO662">
        <v>0</v>
      </c>
      <c r="HP662">
        <v>0</v>
      </c>
      <c r="HQ662">
        <v>0</v>
      </c>
      <c r="HR662">
        <v>0</v>
      </c>
      <c r="HS662">
        <v>0</v>
      </c>
      <c r="HT662">
        <v>0</v>
      </c>
      <c r="HU662">
        <v>0</v>
      </c>
      <c r="HV662">
        <v>0</v>
      </c>
      <c r="HW662">
        <v>404.70000000000005</v>
      </c>
      <c r="HX662">
        <v>342.3</v>
      </c>
      <c r="HZ662">
        <v>866.2</v>
      </c>
      <c r="IA662">
        <v>1142.8</v>
      </c>
      <c r="IB662">
        <v>1121.5</v>
      </c>
      <c r="IC662">
        <v>2403</v>
      </c>
      <c r="ID662">
        <v>2659.3</v>
      </c>
      <c r="IE662">
        <v>1923.4</v>
      </c>
      <c r="IF662">
        <v>1465.7</v>
      </c>
      <c r="IG662">
        <v>1608.3</v>
      </c>
      <c r="IH662">
        <v>0</v>
      </c>
      <c r="II662">
        <v>0</v>
      </c>
      <c r="IJ662">
        <v>0</v>
      </c>
      <c r="IK662">
        <v>0</v>
      </c>
      <c r="IL662">
        <v>0</v>
      </c>
      <c r="IM662">
        <v>0</v>
      </c>
      <c r="IN662">
        <v>0</v>
      </c>
      <c r="IO662">
        <v>0</v>
      </c>
      <c r="IP662">
        <v>75.099999999999994</v>
      </c>
    </row>
    <row r="663" spans="1:250" ht="18" thickBot="1">
      <c r="A663" s="569"/>
      <c r="B663" s="569"/>
      <c r="C663" s="565"/>
      <c r="D663" s="560"/>
      <c r="E663" s="454">
        <v>0</v>
      </c>
      <c r="F663">
        <v>0</v>
      </c>
      <c r="G663" s="427">
        <v>0</v>
      </c>
      <c r="H663" s="155">
        <v>0</v>
      </c>
      <c r="I663">
        <v>0</v>
      </c>
      <c r="J663">
        <v>0</v>
      </c>
      <c r="K663">
        <v>0</v>
      </c>
      <c r="L663" s="4">
        <v>0</v>
      </c>
      <c r="M663" s="4">
        <v>0</v>
      </c>
      <c r="N663" s="4">
        <v>0</v>
      </c>
      <c r="O663" s="4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R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G663">
        <v>0</v>
      </c>
      <c r="BI663">
        <v>0</v>
      </c>
      <c r="BK663">
        <v>0</v>
      </c>
      <c r="BL663">
        <v>0</v>
      </c>
      <c r="BM663">
        <v>0</v>
      </c>
      <c r="BN663">
        <v>0</v>
      </c>
      <c r="BO663">
        <v>344.70000000000005</v>
      </c>
      <c r="BP663">
        <v>625.70000000000005</v>
      </c>
      <c r="BQ663">
        <v>912.2</v>
      </c>
      <c r="BR663">
        <v>237.7</v>
      </c>
      <c r="BS663">
        <v>0</v>
      </c>
      <c r="BT663">
        <v>0</v>
      </c>
      <c r="BU663">
        <v>0</v>
      </c>
      <c r="BV663">
        <v>0</v>
      </c>
      <c r="BW663">
        <v>1647.4</v>
      </c>
      <c r="BY663">
        <v>453.1</v>
      </c>
      <c r="CA663">
        <v>285.39999999999998</v>
      </c>
      <c r="CB663">
        <v>280.8</v>
      </c>
      <c r="CC663">
        <v>127.7</v>
      </c>
      <c r="CD663">
        <v>0</v>
      </c>
      <c r="CE663">
        <v>0</v>
      </c>
      <c r="CF663">
        <v>0</v>
      </c>
      <c r="CG663">
        <v>0</v>
      </c>
      <c r="CI663">
        <v>0</v>
      </c>
      <c r="CJ663">
        <v>0</v>
      </c>
      <c r="CL663">
        <v>0</v>
      </c>
      <c r="CM663">
        <v>0</v>
      </c>
      <c r="CN663">
        <v>0</v>
      </c>
      <c r="CO663">
        <v>0</v>
      </c>
      <c r="CP663">
        <v>0</v>
      </c>
      <c r="CQ663">
        <v>621.70000000000005</v>
      </c>
      <c r="CR663">
        <v>481.70000000000005</v>
      </c>
      <c r="CS663">
        <v>0</v>
      </c>
      <c r="CT663">
        <v>524.6</v>
      </c>
      <c r="CU663">
        <v>514.1</v>
      </c>
      <c r="CV663">
        <v>175.2</v>
      </c>
      <c r="CW663">
        <v>0</v>
      </c>
      <c r="CX663">
        <v>65.099999999999994</v>
      </c>
      <c r="CY663">
        <v>199</v>
      </c>
      <c r="CZ663">
        <v>1907.9</v>
      </c>
      <c r="DA663">
        <v>0</v>
      </c>
      <c r="DB663">
        <v>0</v>
      </c>
      <c r="DC663">
        <v>0</v>
      </c>
      <c r="DD663">
        <v>0</v>
      </c>
      <c r="DE663">
        <v>0</v>
      </c>
      <c r="DF663">
        <v>0</v>
      </c>
      <c r="DG663">
        <v>0</v>
      </c>
      <c r="DH663">
        <v>0</v>
      </c>
      <c r="DI663">
        <v>0</v>
      </c>
      <c r="DJ663">
        <v>0</v>
      </c>
      <c r="DK663">
        <v>0</v>
      </c>
      <c r="DL663">
        <v>0</v>
      </c>
      <c r="DM663">
        <v>1065.4000000000001</v>
      </c>
      <c r="DN663">
        <v>599.70000000000005</v>
      </c>
      <c r="DO663">
        <v>319.7</v>
      </c>
      <c r="DP663">
        <v>1570.6999999999998</v>
      </c>
      <c r="DQ663">
        <v>1399.5</v>
      </c>
      <c r="DR663">
        <v>3581</v>
      </c>
      <c r="DU663">
        <v>1393.2</v>
      </c>
      <c r="DV663">
        <v>2862.6</v>
      </c>
      <c r="DY663">
        <v>2361</v>
      </c>
      <c r="EA663">
        <v>2409.6</v>
      </c>
      <c r="EC663">
        <v>1661.3999999999999</v>
      </c>
      <c r="EE663">
        <v>0</v>
      </c>
      <c r="EF663">
        <v>0</v>
      </c>
      <c r="EG663">
        <v>0</v>
      </c>
      <c r="EH663">
        <v>0</v>
      </c>
      <c r="EI663">
        <v>0</v>
      </c>
      <c r="EJ663">
        <v>0</v>
      </c>
      <c r="EK663">
        <v>0</v>
      </c>
      <c r="EL663">
        <v>0</v>
      </c>
      <c r="EM663">
        <v>0</v>
      </c>
      <c r="EN663">
        <v>0</v>
      </c>
      <c r="EO663">
        <v>0</v>
      </c>
      <c r="EP663">
        <v>944.5</v>
      </c>
      <c r="EQ663">
        <v>3459.7</v>
      </c>
      <c r="ER663">
        <v>1353.5</v>
      </c>
      <c r="ES663">
        <v>182.2</v>
      </c>
      <c r="ET663">
        <v>855.59999999999991</v>
      </c>
      <c r="EU663">
        <v>172.2</v>
      </c>
      <c r="EV663">
        <v>203.2</v>
      </c>
      <c r="EW663">
        <v>1173.0999999999999</v>
      </c>
      <c r="EX663">
        <v>1078.3</v>
      </c>
      <c r="EY663">
        <v>1194.4000000000001</v>
      </c>
      <c r="EZ663">
        <v>1207.0999999999999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0</v>
      </c>
      <c r="FG663">
        <v>0</v>
      </c>
      <c r="FH663">
        <v>0</v>
      </c>
      <c r="FI663">
        <v>0</v>
      </c>
      <c r="FJ663">
        <v>0</v>
      </c>
      <c r="FK663">
        <v>0</v>
      </c>
      <c r="FL663">
        <v>0</v>
      </c>
      <c r="FM663">
        <v>0</v>
      </c>
      <c r="FN663">
        <v>0</v>
      </c>
      <c r="FO663">
        <v>0</v>
      </c>
      <c r="FP663">
        <v>0</v>
      </c>
      <c r="FQ663">
        <v>0</v>
      </c>
      <c r="FR663">
        <v>0</v>
      </c>
      <c r="FS663">
        <v>0</v>
      </c>
      <c r="FT663">
        <v>0</v>
      </c>
      <c r="FU663">
        <v>0</v>
      </c>
      <c r="FV663">
        <v>0</v>
      </c>
      <c r="FW663">
        <v>0</v>
      </c>
      <c r="FX663">
        <v>0</v>
      </c>
      <c r="FY663">
        <v>0</v>
      </c>
      <c r="FZ663">
        <v>0</v>
      </c>
      <c r="GA663">
        <v>0</v>
      </c>
      <c r="GB663">
        <v>0</v>
      </c>
      <c r="GC663">
        <v>0</v>
      </c>
      <c r="GD663">
        <v>0</v>
      </c>
      <c r="GE663">
        <v>0</v>
      </c>
      <c r="GF663">
        <v>0</v>
      </c>
      <c r="GG663">
        <v>0</v>
      </c>
      <c r="GH663">
        <v>0</v>
      </c>
      <c r="GI663">
        <v>0</v>
      </c>
      <c r="GJ663">
        <v>0</v>
      </c>
      <c r="GK663">
        <v>0</v>
      </c>
      <c r="GL663">
        <v>0</v>
      </c>
      <c r="GO663">
        <v>0</v>
      </c>
      <c r="GP663">
        <v>0</v>
      </c>
      <c r="GQ663">
        <v>0</v>
      </c>
      <c r="GR663">
        <v>0</v>
      </c>
      <c r="GS663">
        <v>0</v>
      </c>
      <c r="GT663">
        <v>0</v>
      </c>
      <c r="GU663">
        <v>0</v>
      </c>
      <c r="GV663">
        <v>0</v>
      </c>
      <c r="GW663">
        <v>0</v>
      </c>
      <c r="GX663">
        <v>0</v>
      </c>
      <c r="GY663">
        <v>0</v>
      </c>
      <c r="GZ663">
        <v>0</v>
      </c>
      <c r="HA663">
        <v>0</v>
      </c>
      <c r="HB663">
        <v>0</v>
      </c>
      <c r="HC663">
        <v>0</v>
      </c>
      <c r="HD663">
        <v>0</v>
      </c>
      <c r="HE663">
        <v>0</v>
      </c>
      <c r="HF663">
        <v>0</v>
      </c>
      <c r="HG663">
        <v>0</v>
      </c>
      <c r="HH663">
        <v>0</v>
      </c>
      <c r="HI663">
        <v>0</v>
      </c>
      <c r="HJ663">
        <v>0</v>
      </c>
      <c r="HK663">
        <v>0</v>
      </c>
      <c r="HL663">
        <v>0</v>
      </c>
      <c r="HM663">
        <v>0</v>
      </c>
      <c r="HN663">
        <v>0</v>
      </c>
      <c r="HO663">
        <v>0</v>
      </c>
      <c r="HP663">
        <v>0</v>
      </c>
      <c r="HQ663">
        <v>0</v>
      </c>
      <c r="HR663">
        <v>0</v>
      </c>
      <c r="HS663">
        <v>0</v>
      </c>
      <c r="HT663">
        <v>0</v>
      </c>
      <c r="HU663">
        <v>0</v>
      </c>
      <c r="HV663">
        <v>0</v>
      </c>
      <c r="HW663">
        <v>404.70000000000005</v>
      </c>
      <c r="HX663">
        <v>342.3</v>
      </c>
      <c r="HZ663">
        <v>866.2</v>
      </c>
      <c r="IA663">
        <v>1142.8</v>
      </c>
      <c r="IB663">
        <v>1121.5</v>
      </c>
      <c r="IC663">
        <v>2403</v>
      </c>
      <c r="ID663">
        <v>2659.3</v>
      </c>
      <c r="IE663">
        <v>1923.4</v>
      </c>
      <c r="IF663">
        <v>1465.7</v>
      </c>
      <c r="IG663">
        <v>1608.3</v>
      </c>
      <c r="IH663">
        <v>0</v>
      </c>
      <c r="II663">
        <v>0</v>
      </c>
      <c r="IJ663">
        <v>0</v>
      </c>
      <c r="IK663">
        <v>0</v>
      </c>
      <c r="IL663">
        <v>0</v>
      </c>
      <c r="IM663">
        <v>0</v>
      </c>
      <c r="IN663">
        <v>0</v>
      </c>
      <c r="IO663">
        <v>0</v>
      </c>
      <c r="IP663">
        <v>75.099999999999994</v>
      </c>
    </row>
    <row r="664" spans="1:250" ht="18" thickBot="1">
      <c r="A664" s="556"/>
      <c r="B664" s="556"/>
      <c r="C664" s="566"/>
      <c r="D664" s="560"/>
      <c r="E664" s="454">
        <v>0</v>
      </c>
      <c r="F664">
        <v>0</v>
      </c>
      <c r="G664" s="427">
        <v>0</v>
      </c>
      <c r="H664" s="155">
        <v>0</v>
      </c>
      <c r="I664">
        <v>0</v>
      </c>
      <c r="J664">
        <v>0</v>
      </c>
      <c r="K664">
        <v>0</v>
      </c>
      <c r="L664" s="4">
        <v>0</v>
      </c>
      <c r="M664" s="4">
        <v>0</v>
      </c>
      <c r="N664" s="4">
        <v>0</v>
      </c>
      <c r="O664" s="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R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G664">
        <v>0</v>
      </c>
      <c r="BI664">
        <v>0</v>
      </c>
      <c r="BK664">
        <v>0</v>
      </c>
      <c r="BL664">
        <v>0</v>
      </c>
      <c r="BM664">
        <v>0</v>
      </c>
      <c r="BN664">
        <v>0</v>
      </c>
      <c r="BO664">
        <v>344.70000000000005</v>
      </c>
      <c r="BP664">
        <v>625.70000000000005</v>
      </c>
      <c r="BQ664">
        <v>912.2</v>
      </c>
      <c r="BR664">
        <v>237.7</v>
      </c>
      <c r="BS664">
        <v>0</v>
      </c>
      <c r="BT664">
        <v>0</v>
      </c>
      <c r="BU664">
        <v>0</v>
      </c>
      <c r="BV664">
        <v>0</v>
      </c>
      <c r="BW664">
        <v>1647.4</v>
      </c>
      <c r="BY664">
        <v>453.1</v>
      </c>
      <c r="CA664">
        <v>285.39999999999998</v>
      </c>
      <c r="CB664">
        <v>280.8</v>
      </c>
      <c r="CC664">
        <v>127.7</v>
      </c>
      <c r="CD664">
        <v>0</v>
      </c>
      <c r="CE664">
        <v>0</v>
      </c>
      <c r="CF664">
        <v>0</v>
      </c>
      <c r="CG664">
        <v>0</v>
      </c>
      <c r="CI664">
        <v>0</v>
      </c>
      <c r="CJ664">
        <v>0</v>
      </c>
      <c r="CL664">
        <v>0</v>
      </c>
      <c r="CM664">
        <v>0</v>
      </c>
      <c r="CN664">
        <v>0</v>
      </c>
      <c r="CO664">
        <v>0</v>
      </c>
      <c r="CP664">
        <v>0</v>
      </c>
      <c r="CQ664">
        <v>621.70000000000005</v>
      </c>
      <c r="CR664">
        <v>481.70000000000005</v>
      </c>
      <c r="CS664">
        <v>0</v>
      </c>
      <c r="CT664">
        <v>524.6</v>
      </c>
      <c r="CU664">
        <v>514.1</v>
      </c>
      <c r="CV664">
        <v>175.2</v>
      </c>
      <c r="CW664">
        <v>0</v>
      </c>
      <c r="CX664">
        <v>65.099999999999994</v>
      </c>
      <c r="CY664">
        <v>199</v>
      </c>
      <c r="CZ664">
        <v>1907.9</v>
      </c>
      <c r="DA664">
        <v>0</v>
      </c>
      <c r="DB664">
        <v>0</v>
      </c>
      <c r="DC664">
        <v>0</v>
      </c>
      <c r="DD664">
        <v>0</v>
      </c>
      <c r="DE664">
        <v>0</v>
      </c>
      <c r="DF664">
        <v>0</v>
      </c>
      <c r="DG664">
        <v>0</v>
      </c>
      <c r="DH664">
        <v>0</v>
      </c>
      <c r="DI664">
        <v>0</v>
      </c>
      <c r="DJ664">
        <v>0</v>
      </c>
      <c r="DK664">
        <v>0</v>
      </c>
      <c r="DL664">
        <v>0</v>
      </c>
      <c r="DM664">
        <v>1065.4000000000001</v>
      </c>
      <c r="DN664">
        <v>599.70000000000005</v>
      </c>
      <c r="DO664">
        <v>319.7</v>
      </c>
      <c r="DP664">
        <v>1570.6999999999998</v>
      </c>
      <c r="DQ664">
        <v>1399.5</v>
      </c>
      <c r="DR664">
        <v>3581</v>
      </c>
      <c r="DU664">
        <v>1393.2</v>
      </c>
      <c r="DV664">
        <v>2862.6</v>
      </c>
      <c r="DY664">
        <v>2361</v>
      </c>
      <c r="EA664">
        <v>2409.6</v>
      </c>
      <c r="EC664">
        <v>1661.3999999999999</v>
      </c>
      <c r="EE664">
        <v>0</v>
      </c>
      <c r="EF664">
        <v>0</v>
      </c>
      <c r="EG664">
        <v>0</v>
      </c>
      <c r="EH664">
        <v>0</v>
      </c>
      <c r="EI664">
        <v>0</v>
      </c>
      <c r="EJ664">
        <v>0</v>
      </c>
      <c r="EK664">
        <v>0</v>
      </c>
      <c r="EL664">
        <v>0</v>
      </c>
      <c r="EM664">
        <v>0</v>
      </c>
      <c r="EN664">
        <v>0</v>
      </c>
      <c r="EO664">
        <v>0</v>
      </c>
      <c r="EP664">
        <v>944.5</v>
      </c>
      <c r="EQ664">
        <v>3459.7</v>
      </c>
      <c r="ER664">
        <v>1353.5</v>
      </c>
      <c r="ES664">
        <v>182.2</v>
      </c>
      <c r="ET664">
        <v>855.59999999999991</v>
      </c>
      <c r="EU664">
        <v>172.2</v>
      </c>
      <c r="EV664">
        <v>203.2</v>
      </c>
      <c r="EW664">
        <v>1173.0999999999999</v>
      </c>
      <c r="EX664">
        <v>1078.3</v>
      </c>
      <c r="EY664">
        <v>1194.4000000000001</v>
      </c>
      <c r="EZ664">
        <v>1207.0999999999999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0</v>
      </c>
      <c r="FG664">
        <v>0</v>
      </c>
      <c r="FH664">
        <v>0</v>
      </c>
      <c r="FI664">
        <v>0</v>
      </c>
      <c r="FJ664">
        <v>0</v>
      </c>
      <c r="FK664">
        <v>0</v>
      </c>
      <c r="FL664">
        <v>0</v>
      </c>
      <c r="FM664">
        <v>0</v>
      </c>
      <c r="FN664">
        <v>0</v>
      </c>
      <c r="FO664">
        <v>0</v>
      </c>
      <c r="FP664">
        <v>0</v>
      </c>
      <c r="FQ664">
        <v>0</v>
      </c>
      <c r="FR664">
        <v>0</v>
      </c>
      <c r="FS664">
        <v>0</v>
      </c>
      <c r="FT664">
        <v>0</v>
      </c>
      <c r="FU664">
        <v>0</v>
      </c>
      <c r="FV664">
        <v>0</v>
      </c>
      <c r="FW664">
        <v>0</v>
      </c>
      <c r="FX664">
        <v>0</v>
      </c>
      <c r="FY664">
        <v>0</v>
      </c>
      <c r="FZ664">
        <v>0</v>
      </c>
      <c r="GA664">
        <v>0</v>
      </c>
      <c r="GB664">
        <v>0</v>
      </c>
      <c r="GC664">
        <v>0</v>
      </c>
      <c r="GD664">
        <v>0</v>
      </c>
      <c r="GE664">
        <v>0</v>
      </c>
      <c r="GF664">
        <v>0</v>
      </c>
      <c r="GG664">
        <v>0</v>
      </c>
      <c r="GH664">
        <v>0</v>
      </c>
      <c r="GI664">
        <v>0</v>
      </c>
      <c r="GJ664">
        <v>0</v>
      </c>
      <c r="GK664">
        <v>0</v>
      </c>
      <c r="GL664">
        <v>0</v>
      </c>
      <c r="GO664">
        <v>0</v>
      </c>
      <c r="GP664">
        <v>0</v>
      </c>
      <c r="GQ664">
        <v>0</v>
      </c>
      <c r="GR664">
        <v>0</v>
      </c>
      <c r="GS664">
        <v>0</v>
      </c>
      <c r="GT664">
        <v>0</v>
      </c>
      <c r="GU664">
        <v>0</v>
      </c>
      <c r="GV664">
        <v>0</v>
      </c>
      <c r="GW664">
        <v>0</v>
      </c>
      <c r="GX664">
        <v>0</v>
      </c>
      <c r="GY664">
        <v>0</v>
      </c>
      <c r="GZ664">
        <v>0</v>
      </c>
      <c r="HA664">
        <v>0</v>
      </c>
      <c r="HB664">
        <v>0</v>
      </c>
      <c r="HC664">
        <v>0</v>
      </c>
      <c r="HD664">
        <v>0</v>
      </c>
      <c r="HE664">
        <v>0</v>
      </c>
      <c r="HF664">
        <v>0</v>
      </c>
      <c r="HG664">
        <v>0</v>
      </c>
      <c r="HH664">
        <v>0</v>
      </c>
      <c r="HI664">
        <v>0</v>
      </c>
      <c r="HJ664">
        <v>0</v>
      </c>
      <c r="HK664">
        <v>0</v>
      </c>
      <c r="HL664">
        <v>0</v>
      </c>
      <c r="HM664">
        <v>0</v>
      </c>
      <c r="HN664">
        <v>0</v>
      </c>
      <c r="HO664">
        <v>0</v>
      </c>
      <c r="HP664">
        <v>0</v>
      </c>
      <c r="HQ664">
        <v>0</v>
      </c>
      <c r="HR664">
        <v>0</v>
      </c>
      <c r="HS664">
        <v>0</v>
      </c>
      <c r="HT664">
        <v>0</v>
      </c>
      <c r="HU664">
        <v>0</v>
      </c>
      <c r="HV664">
        <v>0</v>
      </c>
      <c r="HW664">
        <v>404.70000000000005</v>
      </c>
      <c r="HX664">
        <v>342.3</v>
      </c>
      <c r="HZ664">
        <v>866.2</v>
      </c>
      <c r="IA664">
        <v>1142.8</v>
      </c>
      <c r="IB664">
        <v>1121.5</v>
      </c>
      <c r="IC664">
        <v>2403</v>
      </c>
      <c r="ID664">
        <v>2659.3</v>
      </c>
      <c r="IE664">
        <v>1923.4</v>
      </c>
      <c r="IF664">
        <v>1465.7</v>
      </c>
      <c r="IG664">
        <v>1608.3</v>
      </c>
      <c r="IH664">
        <v>0</v>
      </c>
      <c r="II664">
        <v>0</v>
      </c>
      <c r="IJ664">
        <v>0</v>
      </c>
      <c r="IK664">
        <v>0</v>
      </c>
      <c r="IL664">
        <v>0</v>
      </c>
      <c r="IM664">
        <v>0</v>
      </c>
      <c r="IN664">
        <v>0</v>
      </c>
      <c r="IO664">
        <v>0</v>
      </c>
      <c r="IP664">
        <v>75.099999999999994</v>
      </c>
    </row>
    <row r="665" spans="1:250" ht="18" thickBot="1">
      <c r="A665" s="245"/>
      <c r="B665" s="245" t="s">
        <v>982</v>
      </c>
      <c r="C665" s="361" t="s">
        <v>1107</v>
      </c>
      <c r="D665" s="405" t="s">
        <v>1220</v>
      </c>
      <c r="E665" s="454">
        <v>0</v>
      </c>
      <c r="F665">
        <v>0</v>
      </c>
      <c r="G665" s="427">
        <v>0</v>
      </c>
      <c r="H665" s="155">
        <v>0</v>
      </c>
      <c r="I665">
        <v>0</v>
      </c>
      <c r="J665">
        <v>0</v>
      </c>
      <c r="K665">
        <v>0</v>
      </c>
      <c r="L665" s="4">
        <v>0</v>
      </c>
      <c r="M665" s="4">
        <v>0</v>
      </c>
      <c r="N665" s="4">
        <v>0</v>
      </c>
      <c r="O665" s="4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R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G665">
        <v>0</v>
      </c>
      <c r="BI665">
        <v>0</v>
      </c>
      <c r="BK665">
        <v>0</v>
      </c>
      <c r="BL665">
        <v>0</v>
      </c>
      <c r="BM665">
        <v>0</v>
      </c>
      <c r="BN665">
        <v>0</v>
      </c>
      <c r="BO665">
        <v>344.70000000000005</v>
      </c>
      <c r="BP665">
        <v>625.70000000000005</v>
      </c>
      <c r="BQ665">
        <v>912.2</v>
      </c>
      <c r="BR665">
        <v>237.7</v>
      </c>
      <c r="BS665">
        <v>0</v>
      </c>
      <c r="BT665">
        <v>0</v>
      </c>
      <c r="BU665">
        <v>0</v>
      </c>
      <c r="BV665">
        <v>0</v>
      </c>
      <c r="BW665">
        <v>1647.4</v>
      </c>
      <c r="BY665">
        <v>453.1</v>
      </c>
      <c r="CA665">
        <v>285.39999999999998</v>
      </c>
      <c r="CB665">
        <v>280.8</v>
      </c>
      <c r="CC665">
        <v>127.7</v>
      </c>
      <c r="CD665">
        <v>0</v>
      </c>
      <c r="CE665">
        <v>0</v>
      </c>
      <c r="CF665">
        <v>0</v>
      </c>
      <c r="CG665">
        <v>0</v>
      </c>
      <c r="CI665">
        <v>0</v>
      </c>
      <c r="CJ665">
        <v>0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621.70000000000005</v>
      </c>
      <c r="CR665">
        <v>481.70000000000005</v>
      </c>
      <c r="CS665">
        <v>0</v>
      </c>
      <c r="CT665">
        <v>524.6</v>
      </c>
      <c r="CU665">
        <v>514.1</v>
      </c>
      <c r="CV665">
        <v>175.2</v>
      </c>
      <c r="CW665">
        <v>0</v>
      </c>
      <c r="CX665">
        <v>65.099999999999994</v>
      </c>
      <c r="CY665">
        <v>199</v>
      </c>
      <c r="CZ665">
        <v>1907.9</v>
      </c>
      <c r="DA665">
        <v>0</v>
      </c>
      <c r="DB665">
        <v>0</v>
      </c>
      <c r="DC665">
        <v>0</v>
      </c>
      <c r="DD665">
        <v>0</v>
      </c>
      <c r="DE665">
        <v>0</v>
      </c>
      <c r="DF665">
        <v>0</v>
      </c>
      <c r="DG665">
        <v>0</v>
      </c>
      <c r="DH665">
        <v>0</v>
      </c>
      <c r="DI665">
        <v>0</v>
      </c>
      <c r="DJ665">
        <v>0</v>
      </c>
      <c r="DK665">
        <v>0</v>
      </c>
      <c r="DL665">
        <v>0</v>
      </c>
      <c r="DM665">
        <v>1065.4000000000001</v>
      </c>
      <c r="DN665">
        <v>599.70000000000005</v>
      </c>
      <c r="DO665">
        <v>319.7</v>
      </c>
      <c r="DP665">
        <v>1570.6999999999998</v>
      </c>
      <c r="DQ665">
        <v>1399.5</v>
      </c>
      <c r="DR665">
        <v>3581</v>
      </c>
      <c r="DU665">
        <v>1393.2</v>
      </c>
      <c r="DV665">
        <v>2862.6</v>
      </c>
      <c r="DY665">
        <v>2361</v>
      </c>
      <c r="EA665">
        <v>2409.6</v>
      </c>
      <c r="EC665">
        <v>1661.3999999999999</v>
      </c>
      <c r="EE665">
        <v>0</v>
      </c>
      <c r="EF665">
        <v>0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944.5</v>
      </c>
      <c r="EQ665">
        <v>3459.7</v>
      </c>
      <c r="ER665">
        <v>1353.5</v>
      </c>
      <c r="ES665">
        <v>182.2</v>
      </c>
      <c r="ET665">
        <v>855.59999999999991</v>
      </c>
      <c r="EU665">
        <v>172.2</v>
      </c>
      <c r="EV665">
        <v>203.2</v>
      </c>
      <c r="EW665">
        <v>1173.0999999999999</v>
      </c>
      <c r="EX665">
        <v>1078.3</v>
      </c>
      <c r="EY665">
        <v>1194.4000000000001</v>
      </c>
      <c r="EZ665">
        <v>1207.0999999999999</v>
      </c>
      <c r="FA665">
        <v>0</v>
      </c>
      <c r="FB665">
        <v>0</v>
      </c>
      <c r="FC665">
        <v>0</v>
      </c>
      <c r="FD665">
        <v>0</v>
      </c>
      <c r="FE665">
        <v>0</v>
      </c>
      <c r="FF665">
        <v>0</v>
      </c>
      <c r="FG665">
        <v>0</v>
      </c>
      <c r="FH665">
        <v>0</v>
      </c>
      <c r="FI665">
        <v>0</v>
      </c>
      <c r="FJ665">
        <v>0</v>
      </c>
      <c r="FK665">
        <v>0</v>
      </c>
      <c r="FL665">
        <v>0</v>
      </c>
      <c r="FM665">
        <v>0</v>
      </c>
      <c r="FN665">
        <v>0</v>
      </c>
      <c r="FO665">
        <v>0</v>
      </c>
      <c r="FP665">
        <v>0</v>
      </c>
      <c r="FQ665">
        <v>0</v>
      </c>
      <c r="FR665">
        <v>0</v>
      </c>
      <c r="FS665">
        <v>0</v>
      </c>
      <c r="FT665">
        <v>0</v>
      </c>
      <c r="FU665">
        <v>0</v>
      </c>
      <c r="FV665">
        <v>0</v>
      </c>
      <c r="FW665">
        <v>0</v>
      </c>
      <c r="FX665">
        <v>0</v>
      </c>
      <c r="FY665">
        <v>0</v>
      </c>
      <c r="FZ665">
        <v>0</v>
      </c>
      <c r="GA665">
        <v>0</v>
      </c>
      <c r="GB665">
        <v>0</v>
      </c>
      <c r="GC665">
        <v>0</v>
      </c>
      <c r="GD665">
        <v>0</v>
      </c>
      <c r="GE665">
        <v>0</v>
      </c>
      <c r="GF665">
        <v>0</v>
      </c>
      <c r="GG665">
        <v>0</v>
      </c>
      <c r="GH665">
        <v>0</v>
      </c>
      <c r="GI665">
        <v>0</v>
      </c>
      <c r="GJ665">
        <v>0</v>
      </c>
      <c r="GK665">
        <v>0</v>
      </c>
      <c r="GL665">
        <v>0</v>
      </c>
      <c r="GO665">
        <v>0</v>
      </c>
      <c r="GP665">
        <v>0</v>
      </c>
      <c r="GQ665">
        <v>0</v>
      </c>
      <c r="GR665">
        <v>0</v>
      </c>
      <c r="GS665">
        <v>0</v>
      </c>
      <c r="GT665">
        <v>0</v>
      </c>
      <c r="GU665">
        <v>0</v>
      </c>
      <c r="GV665">
        <v>0</v>
      </c>
      <c r="GW665">
        <v>0</v>
      </c>
      <c r="GX665">
        <v>0</v>
      </c>
      <c r="GY665">
        <v>0</v>
      </c>
      <c r="GZ665">
        <v>0</v>
      </c>
      <c r="HA665">
        <v>0</v>
      </c>
      <c r="HB665">
        <v>0</v>
      </c>
      <c r="HC665">
        <v>0</v>
      </c>
      <c r="HD665">
        <v>0</v>
      </c>
      <c r="HE665">
        <v>0</v>
      </c>
      <c r="HF665">
        <v>0</v>
      </c>
      <c r="HG665">
        <v>0</v>
      </c>
      <c r="HH665">
        <v>0</v>
      </c>
      <c r="HI665">
        <v>0</v>
      </c>
      <c r="HJ665">
        <v>0</v>
      </c>
      <c r="HK665">
        <v>0</v>
      </c>
      <c r="HL665">
        <v>0</v>
      </c>
      <c r="HM665">
        <v>0</v>
      </c>
      <c r="HN665">
        <v>0</v>
      </c>
      <c r="HO665">
        <v>0</v>
      </c>
      <c r="HP665">
        <v>0</v>
      </c>
      <c r="HQ665">
        <v>0</v>
      </c>
      <c r="HR665">
        <v>0</v>
      </c>
      <c r="HS665">
        <v>0</v>
      </c>
      <c r="HT665">
        <v>0</v>
      </c>
      <c r="HU665">
        <v>0</v>
      </c>
      <c r="HV665">
        <v>0</v>
      </c>
      <c r="HW665">
        <v>404.70000000000005</v>
      </c>
      <c r="HX665">
        <v>342.3</v>
      </c>
      <c r="HZ665">
        <v>866.2</v>
      </c>
      <c r="IA665">
        <v>1142.8</v>
      </c>
      <c r="IB665">
        <v>1121.5</v>
      </c>
      <c r="IC665">
        <v>2403</v>
      </c>
      <c r="ID665">
        <v>2659.3</v>
      </c>
      <c r="IE665">
        <v>1923.4</v>
      </c>
      <c r="IF665">
        <v>1465.7</v>
      </c>
      <c r="IG665">
        <v>1608.3</v>
      </c>
      <c r="IH665">
        <v>0</v>
      </c>
      <c r="II665">
        <v>0</v>
      </c>
      <c r="IJ665">
        <v>0</v>
      </c>
      <c r="IK665">
        <v>0</v>
      </c>
      <c r="IL665">
        <v>0</v>
      </c>
      <c r="IM665">
        <v>0</v>
      </c>
      <c r="IN665">
        <v>0</v>
      </c>
      <c r="IO665">
        <v>0</v>
      </c>
      <c r="IP665">
        <v>75.099999999999994</v>
      </c>
    </row>
    <row r="666" spans="1:250" ht="18" thickBot="1">
      <c r="A666" s="555"/>
      <c r="B666" s="555" t="s">
        <v>983</v>
      </c>
      <c r="C666" s="564" t="s">
        <v>1108</v>
      </c>
      <c r="D666" s="560" t="s">
        <v>1216</v>
      </c>
      <c r="E666" s="454">
        <v>0</v>
      </c>
      <c r="F666">
        <v>0</v>
      </c>
      <c r="G666" s="427">
        <v>0</v>
      </c>
      <c r="H666" s="155">
        <v>0</v>
      </c>
      <c r="I666">
        <v>0</v>
      </c>
      <c r="J666">
        <v>0</v>
      </c>
      <c r="K666">
        <v>0</v>
      </c>
      <c r="L666" s="4">
        <v>0</v>
      </c>
      <c r="M666" s="4">
        <v>0</v>
      </c>
      <c r="N666" s="4">
        <v>0</v>
      </c>
      <c r="O666" s="4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R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G666">
        <v>0</v>
      </c>
      <c r="BI666">
        <v>0</v>
      </c>
      <c r="BK666">
        <v>0</v>
      </c>
      <c r="BL666">
        <v>0</v>
      </c>
      <c r="BM666">
        <v>0</v>
      </c>
      <c r="BN666">
        <v>0</v>
      </c>
      <c r="BO666">
        <v>344.70000000000005</v>
      </c>
      <c r="BP666">
        <v>625.70000000000005</v>
      </c>
      <c r="BQ666">
        <v>912.2</v>
      </c>
      <c r="BR666">
        <v>237.7</v>
      </c>
      <c r="BS666">
        <v>0</v>
      </c>
      <c r="BT666">
        <v>0</v>
      </c>
      <c r="BU666">
        <v>0</v>
      </c>
      <c r="BV666">
        <v>0</v>
      </c>
      <c r="BW666">
        <v>1647.4</v>
      </c>
      <c r="BY666">
        <v>453.1</v>
      </c>
      <c r="CA666">
        <v>285.39999999999998</v>
      </c>
      <c r="CB666">
        <v>280.8</v>
      </c>
      <c r="CC666">
        <v>127.7</v>
      </c>
      <c r="CD666">
        <v>0</v>
      </c>
      <c r="CE666">
        <v>0</v>
      </c>
      <c r="CF666">
        <v>0</v>
      </c>
      <c r="CG666">
        <v>0</v>
      </c>
      <c r="CI666">
        <v>0</v>
      </c>
      <c r="CJ666">
        <v>0</v>
      </c>
      <c r="CL666">
        <v>0</v>
      </c>
      <c r="CM666">
        <v>0</v>
      </c>
      <c r="CN666">
        <v>0</v>
      </c>
      <c r="CO666">
        <v>0</v>
      </c>
      <c r="CP666">
        <v>0</v>
      </c>
      <c r="CQ666">
        <v>621.70000000000005</v>
      </c>
      <c r="CR666">
        <v>481.70000000000005</v>
      </c>
      <c r="CS666">
        <v>0</v>
      </c>
      <c r="CT666">
        <v>524.6</v>
      </c>
      <c r="CU666">
        <v>514.1</v>
      </c>
      <c r="CV666">
        <v>175.2</v>
      </c>
      <c r="CW666">
        <v>0</v>
      </c>
      <c r="CX666">
        <v>65.099999999999994</v>
      </c>
      <c r="CY666">
        <v>199</v>
      </c>
      <c r="CZ666">
        <v>1907.9</v>
      </c>
      <c r="DA666">
        <v>0</v>
      </c>
      <c r="DB666">
        <v>0</v>
      </c>
      <c r="DC666">
        <v>0</v>
      </c>
      <c r="DD666">
        <v>0</v>
      </c>
      <c r="DE666">
        <v>0</v>
      </c>
      <c r="DF666">
        <v>0</v>
      </c>
      <c r="DG666">
        <v>0</v>
      </c>
      <c r="DH666">
        <v>0</v>
      </c>
      <c r="DI666">
        <v>0</v>
      </c>
      <c r="DJ666">
        <v>0</v>
      </c>
      <c r="DK666">
        <v>0</v>
      </c>
      <c r="DL666">
        <v>0</v>
      </c>
      <c r="DM666">
        <v>1065.4000000000001</v>
      </c>
      <c r="DN666">
        <v>599.70000000000005</v>
      </c>
      <c r="DO666">
        <v>319.7</v>
      </c>
      <c r="DP666">
        <v>1570.6999999999998</v>
      </c>
      <c r="DQ666">
        <v>1399.5</v>
      </c>
      <c r="DR666">
        <v>3581</v>
      </c>
      <c r="DU666">
        <v>1393.2</v>
      </c>
      <c r="DV666">
        <v>2862.6</v>
      </c>
      <c r="DY666">
        <v>2361</v>
      </c>
      <c r="EA666">
        <v>2409.6</v>
      </c>
      <c r="EC666">
        <v>1661.3999999999999</v>
      </c>
      <c r="EE666">
        <v>0</v>
      </c>
      <c r="EF666">
        <v>0</v>
      </c>
      <c r="EG666">
        <v>0</v>
      </c>
      <c r="EH666">
        <v>0</v>
      </c>
      <c r="EI666">
        <v>0</v>
      </c>
      <c r="EJ666">
        <v>0</v>
      </c>
      <c r="EK666">
        <v>0</v>
      </c>
      <c r="EL666">
        <v>0</v>
      </c>
      <c r="EM666">
        <v>0</v>
      </c>
      <c r="EN666">
        <v>0</v>
      </c>
      <c r="EO666">
        <v>0</v>
      </c>
      <c r="EP666">
        <v>944.5</v>
      </c>
      <c r="EQ666">
        <v>3459.7</v>
      </c>
      <c r="ER666">
        <v>1353.5</v>
      </c>
      <c r="ES666">
        <v>182.2</v>
      </c>
      <c r="ET666">
        <v>855.59999999999991</v>
      </c>
      <c r="EU666">
        <v>172.2</v>
      </c>
      <c r="EV666">
        <v>203.2</v>
      </c>
      <c r="EW666">
        <v>1173.0999999999999</v>
      </c>
      <c r="EX666">
        <v>1078.3</v>
      </c>
      <c r="EY666">
        <v>1194.4000000000001</v>
      </c>
      <c r="EZ666">
        <v>1207.0999999999999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0</v>
      </c>
      <c r="FH666">
        <v>0</v>
      </c>
      <c r="FI666">
        <v>0</v>
      </c>
      <c r="FJ666">
        <v>0</v>
      </c>
      <c r="FK666">
        <v>0</v>
      </c>
      <c r="FL666">
        <v>0</v>
      </c>
      <c r="FM666">
        <v>0</v>
      </c>
      <c r="FN666">
        <v>0</v>
      </c>
      <c r="FO666">
        <v>0</v>
      </c>
      <c r="FP666">
        <v>0</v>
      </c>
      <c r="FQ666">
        <v>0</v>
      </c>
      <c r="FR666">
        <v>0</v>
      </c>
      <c r="FS666">
        <v>0</v>
      </c>
      <c r="FT666">
        <v>0</v>
      </c>
      <c r="FU666">
        <v>0</v>
      </c>
      <c r="FV666">
        <v>0</v>
      </c>
      <c r="FW666">
        <v>0</v>
      </c>
      <c r="FX666">
        <v>0</v>
      </c>
      <c r="FY666">
        <v>0</v>
      </c>
      <c r="FZ666">
        <v>0</v>
      </c>
      <c r="GA666">
        <v>0</v>
      </c>
      <c r="GB666">
        <v>0</v>
      </c>
      <c r="GC666">
        <v>0</v>
      </c>
      <c r="GD666">
        <v>0</v>
      </c>
      <c r="GE666">
        <v>0</v>
      </c>
      <c r="GF666">
        <v>0</v>
      </c>
      <c r="GG666">
        <v>0</v>
      </c>
      <c r="GH666">
        <v>0</v>
      </c>
      <c r="GI666">
        <v>0</v>
      </c>
      <c r="GJ666">
        <v>0</v>
      </c>
      <c r="GK666">
        <v>0</v>
      </c>
      <c r="GL666">
        <v>0</v>
      </c>
      <c r="GO666">
        <v>0</v>
      </c>
      <c r="GP666">
        <v>0</v>
      </c>
      <c r="GQ666">
        <v>0</v>
      </c>
      <c r="GR666">
        <v>0</v>
      </c>
      <c r="GS666">
        <v>0</v>
      </c>
      <c r="GT666">
        <v>0</v>
      </c>
      <c r="GU666">
        <v>0</v>
      </c>
      <c r="GV666">
        <v>0</v>
      </c>
      <c r="GW666">
        <v>0</v>
      </c>
      <c r="GX666">
        <v>0</v>
      </c>
      <c r="GY666">
        <v>0</v>
      </c>
      <c r="GZ666">
        <v>0</v>
      </c>
      <c r="HA666">
        <v>0</v>
      </c>
      <c r="HB666">
        <v>0</v>
      </c>
      <c r="HC666">
        <v>0</v>
      </c>
      <c r="HD666">
        <v>0</v>
      </c>
      <c r="HE666">
        <v>0</v>
      </c>
      <c r="HF666">
        <v>0</v>
      </c>
      <c r="HG666">
        <v>0</v>
      </c>
      <c r="HH666">
        <v>0</v>
      </c>
      <c r="HI666">
        <v>0</v>
      </c>
      <c r="HJ666">
        <v>0</v>
      </c>
      <c r="HK666">
        <v>0</v>
      </c>
      <c r="HL666">
        <v>0</v>
      </c>
      <c r="HM666">
        <v>0</v>
      </c>
      <c r="HN666">
        <v>0</v>
      </c>
      <c r="HO666">
        <v>0</v>
      </c>
      <c r="HP666">
        <v>0</v>
      </c>
      <c r="HQ666">
        <v>0</v>
      </c>
      <c r="HR666">
        <v>0</v>
      </c>
      <c r="HS666">
        <v>0</v>
      </c>
      <c r="HT666">
        <v>0</v>
      </c>
      <c r="HU666">
        <v>0</v>
      </c>
      <c r="HV666">
        <v>0</v>
      </c>
      <c r="HW666">
        <v>404.70000000000005</v>
      </c>
      <c r="HX666">
        <v>342.3</v>
      </c>
      <c r="HZ666">
        <v>866.2</v>
      </c>
      <c r="IA666">
        <v>1142.8</v>
      </c>
      <c r="IB666">
        <v>1121.5</v>
      </c>
      <c r="IC666">
        <v>2403</v>
      </c>
      <c r="ID666">
        <v>2659.3</v>
      </c>
      <c r="IE666">
        <v>1923.4</v>
      </c>
      <c r="IF666">
        <v>1465.7</v>
      </c>
      <c r="IG666">
        <v>1608.3</v>
      </c>
      <c r="IH666">
        <v>0</v>
      </c>
      <c r="II666">
        <v>0</v>
      </c>
      <c r="IJ666">
        <v>0</v>
      </c>
      <c r="IK666">
        <v>0</v>
      </c>
      <c r="IL666">
        <v>0</v>
      </c>
      <c r="IM666">
        <v>0</v>
      </c>
      <c r="IN666">
        <v>0</v>
      </c>
      <c r="IO666">
        <v>0</v>
      </c>
      <c r="IP666">
        <v>75.099999999999994</v>
      </c>
    </row>
    <row r="667" spans="1:250" ht="18" thickBot="1">
      <c r="A667" s="569"/>
      <c r="B667" s="569"/>
      <c r="C667" s="565"/>
      <c r="D667" s="560"/>
      <c r="E667" s="454">
        <v>0</v>
      </c>
      <c r="F667">
        <v>0</v>
      </c>
      <c r="G667" s="427">
        <v>0</v>
      </c>
      <c r="H667" s="155">
        <v>0</v>
      </c>
      <c r="I667">
        <v>0</v>
      </c>
      <c r="J667">
        <v>0</v>
      </c>
      <c r="K667">
        <v>0</v>
      </c>
      <c r="L667" s="4">
        <v>0</v>
      </c>
      <c r="M667" s="4">
        <v>0</v>
      </c>
      <c r="N667" s="4">
        <v>0</v>
      </c>
      <c r="O667" s="4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R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G667">
        <v>0</v>
      </c>
      <c r="BI667">
        <v>0</v>
      </c>
      <c r="BK667">
        <v>0</v>
      </c>
      <c r="BL667">
        <v>0</v>
      </c>
      <c r="BM667">
        <v>0</v>
      </c>
      <c r="BN667">
        <v>0</v>
      </c>
      <c r="BO667">
        <v>344.70000000000005</v>
      </c>
      <c r="BP667">
        <v>625.70000000000005</v>
      </c>
      <c r="BQ667">
        <v>912.2</v>
      </c>
      <c r="BR667">
        <v>237.7</v>
      </c>
      <c r="BS667">
        <v>0</v>
      </c>
      <c r="BT667">
        <v>0</v>
      </c>
      <c r="BU667">
        <v>0</v>
      </c>
      <c r="BV667">
        <v>0</v>
      </c>
      <c r="BW667">
        <v>1647.4</v>
      </c>
      <c r="BY667">
        <v>453.1</v>
      </c>
      <c r="CA667">
        <v>285.39999999999998</v>
      </c>
      <c r="CB667">
        <v>280.8</v>
      </c>
      <c r="CC667">
        <v>127.7</v>
      </c>
      <c r="CD667">
        <v>0</v>
      </c>
      <c r="CE667">
        <v>0</v>
      </c>
      <c r="CF667">
        <v>0</v>
      </c>
      <c r="CG667">
        <v>0</v>
      </c>
      <c r="CI667">
        <v>0</v>
      </c>
      <c r="CJ667">
        <v>0</v>
      </c>
      <c r="CL667">
        <v>0</v>
      </c>
      <c r="CM667">
        <v>0</v>
      </c>
      <c r="CN667">
        <v>0</v>
      </c>
      <c r="CO667">
        <v>0</v>
      </c>
      <c r="CP667">
        <v>0</v>
      </c>
      <c r="CQ667">
        <v>621.70000000000005</v>
      </c>
      <c r="CR667">
        <v>481.70000000000005</v>
      </c>
      <c r="CS667">
        <v>0</v>
      </c>
      <c r="CT667">
        <v>524.6</v>
      </c>
      <c r="CU667">
        <v>514.1</v>
      </c>
      <c r="CV667">
        <v>175.2</v>
      </c>
      <c r="CW667">
        <v>0</v>
      </c>
      <c r="CX667">
        <v>65.099999999999994</v>
      </c>
      <c r="CY667">
        <v>199</v>
      </c>
      <c r="CZ667">
        <v>1907.9</v>
      </c>
      <c r="DA667">
        <v>0</v>
      </c>
      <c r="DB667">
        <v>0</v>
      </c>
      <c r="DC667">
        <v>0</v>
      </c>
      <c r="DD667">
        <v>0</v>
      </c>
      <c r="DE667">
        <v>0</v>
      </c>
      <c r="DF667">
        <v>0</v>
      </c>
      <c r="DG667">
        <v>0</v>
      </c>
      <c r="DH667">
        <v>0</v>
      </c>
      <c r="DI667">
        <v>0</v>
      </c>
      <c r="DJ667">
        <v>0</v>
      </c>
      <c r="DK667">
        <v>0</v>
      </c>
      <c r="DL667">
        <v>0</v>
      </c>
      <c r="DM667">
        <v>1065.4000000000001</v>
      </c>
      <c r="DN667">
        <v>599.70000000000005</v>
      </c>
      <c r="DO667">
        <v>319.7</v>
      </c>
      <c r="DP667">
        <v>1570.6999999999998</v>
      </c>
      <c r="DQ667">
        <v>1399.5</v>
      </c>
      <c r="DR667">
        <v>3581</v>
      </c>
      <c r="DU667">
        <v>1393.2</v>
      </c>
      <c r="DV667">
        <v>2862.6</v>
      </c>
      <c r="DY667">
        <v>2361</v>
      </c>
      <c r="EA667">
        <v>2409.6</v>
      </c>
      <c r="EC667">
        <v>1661.3999999999999</v>
      </c>
      <c r="EE667">
        <v>0</v>
      </c>
      <c r="EF667">
        <v>0</v>
      </c>
      <c r="EG667">
        <v>0</v>
      </c>
      <c r="EH667">
        <v>0</v>
      </c>
      <c r="EI667">
        <v>0</v>
      </c>
      <c r="EJ667">
        <v>0</v>
      </c>
      <c r="EK667">
        <v>0</v>
      </c>
      <c r="EL667">
        <v>0</v>
      </c>
      <c r="EM667">
        <v>0</v>
      </c>
      <c r="EN667">
        <v>0</v>
      </c>
      <c r="EO667">
        <v>0</v>
      </c>
      <c r="EP667">
        <v>944.5</v>
      </c>
      <c r="EQ667">
        <v>3459.7</v>
      </c>
      <c r="ER667">
        <v>1353.5</v>
      </c>
      <c r="ES667">
        <v>182.2</v>
      </c>
      <c r="ET667">
        <v>855.59999999999991</v>
      </c>
      <c r="EU667">
        <v>172.2</v>
      </c>
      <c r="EV667">
        <v>203.2</v>
      </c>
      <c r="EW667">
        <v>1173.0999999999999</v>
      </c>
      <c r="EX667">
        <v>1078.3</v>
      </c>
      <c r="EY667">
        <v>1194.4000000000001</v>
      </c>
      <c r="EZ667">
        <v>1207.0999999999999</v>
      </c>
      <c r="FA667">
        <v>0</v>
      </c>
      <c r="FB667">
        <v>0</v>
      </c>
      <c r="FC667">
        <v>0</v>
      </c>
      <c r="FD667">
        <v>0</v>
      </c>
      <c r="FE667">
        <v>0</v>
      </c>
      <c r="FF667">
        <v>0</v>
      </c>
      <c r="FG667">
        <v>0</v>
      </c>
      <c r="FH667">
        <v>0</v>
      </c>
      <c r="FI667">
        <v>0</v>
      </c>
      <c r="FJ667">
        <v>0</v>
      </c>
      <c r="FK667">
        <v>0</v>
      </c>
      <c r="FL667">
        <v>0</v>
      </c>
      <c r="FM667">
        <v>0</v>
      </c>
      <c r="FN667">
        <v>0</v>
      </c>
      <c r="FO667">
        <v>0</v>
      </c>
      <c r="FP667">
        <v>0</v>
      </c>
      <c r="FQ667">
        <v>0</v>
      </c>
      <c r="FR667">
        <v>0</v>
      </c>
      <c r="FS667">
        <v>0</v>
      </c>
      <c r="FT667">
        <v>0</v>
      </c>
      <c r="FU667">
        <v>0</v>
      </c>
      <c r="FV667">
        <v>0</v>
      </c>
      <c r="FW667">
        <v>0</v>
      </c>
      <c r="FX667">
        <v>0</v>
      </c>
      <c r="FY667">
        <v>0</v>
      </c>
      <c r="FZ667">
        <v>0</v>
      </c>
      <c r="GA667">
        <v>0</v>
      </c>
      <c r="GB667">
        <v>0</v>
      </c>
      <c r="GC667">
        <v>0</v>
      </c>
      <c r="GD667">
        <v>0</v>
      </c>
      <c r="GE667">
        <v>0</v>
      </c>
      <c r="GF667">
        <v>0</v>
      </c>
      <c r="GG667">
        <v>0</v>
      </c>
      <c r="GH667">
        <v>0</v>
      </c>
      <c r="GI667">
        <v>0</v>
      </c>
      <c r="GJ667">
        <v>0</v>
      </c>
      <c r="GK667">
        <v>0</v>
      </c>
      <c r="GL667">
        <v>0</v>
      </c>
      <c r="GO667">
        <v>0</v>
      </c>
      <c r="GP667">
        <v>0</v>
      </c>
      <c r="GQ667">
        <v>0</v>
      </c>
      <c r="GR667">
        <v>0</v>
      </c>
      <c r="GS667">
        <v>0</v>
      </c>
      <c r="GT667">
        <v>0</v>
      </c>
      <c r="GU667">
        <v>0</v>
      </c>
      <c r="GV667">
        <v>0</v>
      </c>
      <c r="GW667">
        <v>0</v>
      </c>
      <c r="GX667">
        <v>0</v>
      </c>
      <c r="GY667">
        <v>0</v>
      </c>
      <c r="GZ667">
        <v>0</v>
      </c>
      <c r="HA667">
        <v>0</v>
      </c>
      <c r="HB667">
        <v>0</v>
      </c>
      <c r="HC667">
        <v>0</v>
      </c>
      <c r="HD667">
        <v>0</v>
      </c>
      <c r="HE667">
        <v>0</v>
      </c>
      <c r="HF667">
        <v>0</v>
      </c>
      <c r="HG667">
        <v>0</v>
      </c>
      <c r="HH667">
        <v>0</v>
      </c>
      <c r="HI667">
        <v>0</v>
      </c>
      <c r="HJ667">
        <v>0</v>
      </c>
      <c r="HK667">
        <v>0</v>
      </c>
      <c r="HL667">
        <v>0</v>
      </c>
      <c r="HM667">
        <v>0</v>
      </c>
      <c r="HN667">
        <v>0</v>
      </c>
      <c r="HO667">
        <v>0</v>
      </c>
      <c r="HP667">
        <v>0</v>
      </c>
      <c r="HQ667">
        <v>0</v>
      </c>
      <c r="HR667">
        <v>0</v>
      </c>
      <c r="HS667">
        <v>0</v>
      </c>
      <c r="HT667">
        <v>0</v>
      </c>
      <c r="HU667">
        <v>0</v>
      </c>
      <c r="HV667">
        <v>0</v>
      </c>
      <c r="HW667">
        <v>404.70000000000005</v>
      </c>
      <c r="HX667">
        <v>342.3</v>
      </c>
      <c r="HZ667">
        <v>866.2</v>
      </c>
      <c r="IA667">
        <v>1142.8</v>
      </c>
      <c r="IB667">
        <v>1121.5</v>
      </c>
      <c r="IC667">
        <v>2403</v>
      </c>
      <c r="ID667">
        <v>2659.3</v>
      </c>
      <c r="IE667">
        <v>1923.4</v>
      </c>
      <c r="IF667">
        <v>1465.7</v>
      </c>
      <c r="IG667">
        <v>1608.3</v>
      </c>
      <c r="IH667">
        <v>0</v>
      </c>
      <c r="II667">
        <v>0</v>
      </c>
      <c r="IJ667">
        <v>0</v>
      </c>
      <c r="IK667">
        <v>0</v>
      </c>
      <c r="IL667">
        <v>0</v>
      </c>
      <c r="IM667">
        <v>0</v>
      </c>
      <c r="IN667">
        <v>0</v>
      </c>
      <c r="IO667">
        <v>0</v>
      </c>
      <c r="IP667">
        <v>75.099999999999994</v>
      </c>
    </row>
    <row r="668" spans="1:250" ht="18" thickBot="1">
      <c r="A668" s="556"/>
      <c r="B668" s="556"/>
      <c r="C668" s="566"/>
      <c r="D668" s="560"/>
      <c r="E668" s="454">
        <v>0</v>
      </c>
      <c r="F668">
        <v>0</v>
      </c>
      <c r="G668" s="427">
        <v>0</v>
      </c>
      <c r="H668" s="155">
        <v>0</v>
      </c>
      <c r="I668">
        <v>0</v>
      </c>
      <c r="J668">
        <v>0</v>
      </c>
      <c r="K668">
        <v>0</v>
      </c>
      <c r="L668" s="4">
        <v>0</v>
      </c>
      <c r="M668" s="4">
        <v>0</v>
      </c>
      <c r="N668" s="4">
        <v>0</v>
      </c>
      <c r="O668" s="4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R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G668">
        <v>0</v>
      </c>
      <c r="BI668">
        <v>0</v>
      </c>
      <c r="BK668">
        <v>0</v>
      </c>
      <c r="BL668">
        <v>0</v>
      </c>
      <c r="BM668">
        <v>0</v>
      </c>
      <c r="BN668">
        <v>0</v>
      </c>
      <c r="BO668">
        <v>344.70000000000005</v>
      </c>
      <c r="BP668">
        <v>625.70000000000005</v>
      </c>
      <c r="BQ668">
        <v>912.2</v>
      </c>
      <c r="BR668">
        <v>237.7</v>
      </c>
      <c r="BS668">
        <v>0</v>
      </c>
      <c r="BT668">
        <v>0</v>
      </c>
      <c r="BU668">
        <v>0</v>
      </c>
      <c r="BV668">
        <v>0</v>
      </c>
      <c r="BW668">
        <v>1647.4</v>
      </c>
      <c r="BY668">
        <v>453.1</v>
      </c>
      <c r="CA668">
        <v>285.39999999999998</v>
      </c>
      <c r="CB668">
        <v>280.8</v>
      </c>
      <c r="CC668">
        <v>127.7</v>
      </c>
      <c r="CD668">
        <v>0</v>
      </c>
      <c r="CE668">
        <v>0</v>
      </c>
      <c r="CF668">
        <v>0</v>
      </c>
      <c r="CG668">
        <v>0</v>
      </c>
      <c r="CI668">
        <v>0</v>
      </c>
      <c r="CJ668">
        <v>0</v>
      </c>
      <c r="CL668">
        <v>0</v>
      </c>
      <c r="CM668">
        <v>0</v>
      </c>
      <c r="CN668">
        <v>0</v>
      </c>
      <c r="CO668">
        <v>0</v>
      </c>
      <c r="CP668">
        <v>0</v>
      </c>
      <c r="CQ668">
        <v>621.70000000000005</v>
      </c>
      <c r="CR668">
        <v>481.70000000000005</v>
      </c>
      <c r="CS668">
        <v>0</v>
      </c>
      <c r="CT668">
        <v>524.6</v>
      </c>
      <c r="CU668">
        <v>514.1</v>
      </c>
      <c r="CV668">
        <v>175.2</v>
      </c>
      <c r="CW668">
        <v>0</v>
      </c>
      <c r="CX668">
        <v>65.099999999999994</v>
      </c>
      <c r="CY668">
        <v>199</v>
      </c>
      <c r="CZ668">
        <v>1907.9</v>
      </c>
      <c r="DA668">
        <v>0</v>
      </c>
      <c r="DB668">
        <v>0</v>
      </c>
      <c r="DC668">
        <v>0</v>
      </c>
      <c r="DD668">
        <v>0</v>
      </c>
      <c r="DE668">
        <v>0</v>
      </c>
      <c r="DF668">
        <v>0</v>
      </c>
      <c r="DG668">
        <v>0</v>
      </c>
      <c r="DH668">
        <v>0</v>
      </c>
      <c r="DI668">
        <v>0</v>
      </c>
      <c r="DJ668">
        <v>0</v>
      </c>
      <c r="DK668">
        <v>0</v>
      </c>
      <c r="DL668">
        <v>0</v>
      </c>
      <c r="DM668">
        <v>1065.4000000000001</v>
      </c>
      <c r="DN668">
        <v>599.70000000000005</v>
      </c>
      <c r="DO668">
        <v>319.7</v>
      </c>
      <c r="DP668">
        <v>1570.6999999999998</v>
      </c>
      <c r="DQ668">
        <v>1399.5</v>
      </c>
      <c r="DR668">
        <v>3581</v>
      </c>
      <c r="DU668">
        <v>1393.2</v>
      </c>
      <c r="DV668">
        <v>2862.6</v>
      </c>
      <c r="DY668">
        <v>2361</v>
      </c>
      <c r="EA668">
        <v>2409.6</v>
      </c>
      <c r="EC668">
        <v>1661.3999999999999</v>
      </c>
      <c r="EE668">
        <v>0</v>
      </c>
      <c r="EF668">
        <v>0</v>
      </c>
      <c r="EG668">
        <v>0</v>
      </c>
      <c r="EH668">
        <v>0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944.5</v>
      </c>
      <c r="EQ668">
        <v>3459.7</v>
      </c>
      <c r="ER668">
        <v>1353.5</v>
      </c>
      <c r="ES668">
        <v>182.2</v>
      </c>
      <c r="ET668">
        <v>855.59999999999991</v>
      </c>
      <c r="EU668">
        <v>172.2</v>
      </c>
      <c r="EV668">
        <v>203.2</v>
      </c>
      <c r="EW668">
        <v>1173.0999999999999</v>
      </c>
      <c r="EX668">
        <v>1078.3</v>
      </c>
      <c r="EY668">
        <v>1194.4000000000001</v>
      </c>
      <c r="EZ668">
        <v>1207.0999999999999</v>
      </c>
      <c r="FA668">
        <v>0</v>
      </c>
      <c r="FB668">
        <v>0</v>
      </c>
      <c r="FC668">
        <v>0</v>
      </c>
      <c r="FD668">
        <v>0</v>
      </c>
      <c r="FE668">
        <v>0</v>
      </c>
      <c r="FF668">
        <v>0</v>
      </c>
      <c r="FG668">
        <v>0</v>
      </c>
      <c r="FH668">
        <v>0</v>
      </c>
      <c r="FI668">
        <v>0</v>
      </c>
      <c r="FJ668">
        <v>0</v>
      </c>
      <c r="FK668">
        <v>0</v>
      </c>
      <c r="FL668">
        <v>0</v>
      </c>
      <c r="FM668">
        <v>0</v>
      </c>
      <c r="FN668">
        <v>0</v>
      </c>
      <c r="FO668">
        <v>0</v>
      </c>
      <c r="FP668">
        <v>0</v>
      </c>
      <c r="FQ668">
        <v>0</v>
      </c>
      <c r="FR668">
        <v>0</v>
      </c>
      <c r="FS668">
        <v>0</v>
      </c>
      <c r="FT668">
        <v>0</v>
      </c>
      <c r="FU668">
        <v>0</v>
      </c>
      <c r="FV668">
        <v>0</v>
      </c>
      <c r="FW668">
        <v>0</v>
      </c>
      <c r="FX668">
        <v>0</v>
      </c>
      <c r="FY668">
        <v>0</v>
      </c>
      <c r="FZ668">
        <v>0</v>
      </c>
      <c r="GA668">
        <v>0</v>
      </c>
      <c r="GB668">
        <v>0</v>
      </c>
      <c r="GC668">
        <v>0</v>
      </c>
      <c r="GD668">
        <v>0</v>
      </c>
      <c r="GE668">
        <v>0</v>
      </c>
      <c r="GF668">
        <v>0</v>
      </c>
      <c r="GG668">
        <v>0</v>
      </c>
      <c r="GH668">
        <v>0</v>
      </c>
      <c r="GI668">
        <v>0</v>
      </c>
      <c r="GJ668">
        <v>0</v>
      </c>
      <c r="GK668">
        <v>0</v>
      </c>
      <c r="GL668">
        <v>0</v>
      </c>
      <c r="GO668">
        <v>0</v>
      </c>
      <c r="GP668">
        <v>0</v>
      </c>
      <c r="GQ668">
        <v>0</v>
      </c>
      <c r="GR668">
        <v>0</v>
      </c>
      <c r="GS668">
        <v>0</v>
      </c>
      <c r="GT668">
        <v>0</v>
      </c>
      <c r="GU668">
        <v>0</v>
      </c>
      <c r="GV668">
        <v>0</v>
      </c>
      <c r="GW668">
        <v>0</v>
      </c>
      <c r="GX668">
        <v>0</v>
      </c>
      <c r="GY668">
        <v>0</v>
      </c>
      <c r="GZ668">
        <v>0</v>
      </c>
      <c r="HA668">
        <v>0</v>
      </c>
      <c r="HB668">
        <v>0</v>
      </c>
      <c r="HC668">
        <v>0</v>
      </c>
      <c r="HD668">
        <v>0</v>
      </c>
      <c r="HE668">
        <v>0</v>
      </c>
      <c r="HF668">
        <v>0</v>
      </c>
      <c r="HG668">
        <v>0</v>
      </c>
      <c r="HH668">
        <v>0</v>
      </c>
      <c r="HI668">
        <v>0</v>
      </c>
      <c r="HJ668">
        <v>0</v>
      </c>
      <c r="HK668">
        <v>0</v>
      </c>
      <c r="HL668">
        <v>0</v>
      </c>
      <c r="HM668">
        <v>0</v>
      </c>
      <c r="HN668">
        <v>0</v>
      </c>
      <c r="HO668">
        <v>0</v>
      </c>
      <c r="HP668">
        <v>0</v>
      </c>
      <c r="HQ668">
        <v>0</v>
      </c>
      <c r="HR668">
        <v>0</v>
      </c>
      <c r="HS668">
        <v>0</v>
      </c>
      <c r="HT668">
        <v>0</v>
      </c>
      <c r="HU668">
        <v>0</v>
      </c>
      <c r="HV668">
        <v>0</v>
      </c>
      <c r="HW668">
        <v>404.70000000000005</v>
      </c>
      <c r="HX668">
        <v>342.3</v>
      </c>
      <c r="HZ668">
        <v>866.2</v>
      </c>
      <c r="IA668">
        <v>1142.8</v>
      </c>
      <c r="IB668">
        <v>1121.5</v>
      </c>
      <c r="IC668">
        <v>2403</v>
      </c>
      <c r="ID668">
        <v>2659.3</v>
      </c>
      <c r="IE668">
        <v>1923.4</v>
      </c>
      <c r="IF668">
        <v>1465.7</v>
      </c>
      <c r="IG668">
        <v>1608.3</v>
      </c>
      <c r="IH668">
        <v>0</v>
      </c>
      <c r="II668">
        <v>0</v>
      </c>
      <c r="IJ668">
        <v>0</v>
      </c>
      <c r="IK668">
        <v>0</v>
      </c>
      <c r="IL668">
        <v>0</v>
      </c>
      <c r="IM668">
        <v>0</v>
      </c>
      <c r="IN668">
        <v>0</v>
      </c>
      <c r="IO668">
        <v>0</v>
      </c>
      <c r="IP668">
        <v>75.099999999999994</v>
      </c>
    </row>
    <row r="669" spans="1:250" ht="18" thickBot="1">
      <c r="A669" s="555"/>
      <c r="B669" s="555" t="s">
        <v>984</v>
      </c>
      <c r="C669" s="564" t="s">
        <v>1109</v>
      </c>
      <c r="D669" s="560" t="s">
        <v>1216</v>
      </c>
      <c r="E669" s="454">
        <v>0</v>
      </c>
      <c r="F669">
        <v>0</v>
      </c>
      <c r="G669" s="427">
        <v>0</v>
      </c>
      <c r="H669" s="155">
        <v>0</v>
      </c>
      <c r="I669">
        <v>0</v>
      </c>
      <c r="J669">
        <v>0</v>
      </c>
      <c r="K669">
        <v>0</v>
      </c>
      <c r="L669" s="4">
        <v>0</v>
      </c>
      <c r="M669" s="4">
        <v>0</v>
      </c>
      <c r="N669" s="4">
        <v>0</v>
      </c>
      <c r="O669" s="4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R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G669">
        <v>0</v>
      </c>
      <c r="BI669">
        <v>0</v>
      </c>
      <c r="BK669">
        <v>0</v>
      </c>
      <c r="BL669">
        <v>0</v>
      </c>
      <c r="BM669">
        <v>0</v>
      </c>
      <c r="BN669">
        <v>0</v>
      </c>
      <c r="BO669">
        <v>344.70000000000005</v>
      </c>
      <c r="BP669">
        <v>625.70000000000005</v>
      </c>
      <c r="BQ669">
        <v>912.2</v>
      </c>
      <c r="BR669">
        <v>237.7</v>
      </c>
      <c r="BS669">
        <v>0</v>
      </c>
      <c r="BT669">
        <v>0</v>
      </c>
      <c r="BU669">
        <v>0</v>
      </c>
      <c r="BV669">
        <v>0</v>
      </c>
      <c r="BW669">
        <v>1647.4</v>
      </c>
      <c r="BY669">
        <v>453.1</v>
      </c>
      <c r="CA669">
        <v>285.39999999999998</v>
      </c>
      <c r="CB669">
        <v>280.8</v>
      </c>
      <c r="CC669">
        <v>127.7</v>
      </c>
      <c r="CD669">
        <v>0</v>
      </c>
      <c r="CE669">
        <v>0</v>
      </c>
      <c r="CF669">
        <v>0</v>
      </c>
      <c r="CG669">
        <v>0</v>
      </c>
      <c r="CI669">
        <v>0</v>
      </c>
      <c r="CJ669">
        <v>0</v>
      </c>
      <c r="CL669">
        <v>0</v>
      </c>
      <c r="CM669">
        <v>0</v>
      </c>
      <c r="CN669">
        <v>0</v>
      </c>
      <c r="CO669">
        <v>0</v>
      </c>
      <c r="CP669">
        <v>0</v>
      </c>
      <c r="CQ669">
        <v>621.70000000000005</v>
      </c>
      <c r="CR669">
        <v>481.70000000000005</v>
      </c>
      <c r="CS669">
        <v>0</v>
      </c>
      <c r="CT669">
        <v>524.6</v>
      </c>
      <c r="CU669">
        <v>514.1</v>
      </c>
      <c r="CV669">
        <v>175.2</v>
      </c>
      <c r="CW669">
        <v>0</v>
      </c>
      <c r="CX669">
        <v>65.099999999999994</v>
      </c>
      <c r="CY669">
        <v>199</v>
      </c>
      <c r="CZ669">
        <v>1907.9</v>
      </c>
      <c r="DA669">
        <v>0</v>
      </c>
      <c r="DB669">
        <v>0</v>
      </c>
      <c r="DC669">
        <v>0</v>
      </c>
      <c r="DD669">
        <v>0</v>
      </c>
      <c r="DE669">
        <v>0</v>
      </c>
      <c r="DF669">
        <v>0</v>
      </c>
      <c r="DG669">
        <v>0</v>
      </c>
      <c r="DH669">
        <v>0</v>
      </c>
      <c r="DI669">
        <v>0</v>
      </c>
      <c r="DJ669">
        <v>0</v>
      </c>
      <c r="DK669">
        <v>0</v>
      </c>
      <c r="DL669">
        <v>0</v>
      </c>
      <c r="DM669">
        <v>1065.4000000000001</v>
      </c>
      <c r="DN669">
        <v>599.70000000000005</v>
      </c>
      <c r="DO669">
        <v>319.7</v>
      </c>
      <c r="DP669">
        <v>1570.6999999999998</v>
      </c>
      <c r="DQ669">
        <v>1399.5</v>
      </c>
      <c r="DR669">
        <v>3581</v>
      </c>
      <c r="DU669">
        <v>1393.2</v>
      </c>
      <c r="DV669">
        <v>2862.6</v>
      </c>
      <c r="DY669">
        <v>2361</v>
      </c>
      <c r="EA669">
        <v>2409.6</v>
      </c>
      <c r="EC669">
        <v>1661.3999999999999</v>
      </c>
      <c r="EE669">
        <v>0</v>
      </c>
      <c r="EF669">
        <v>0</v>
      </c>
      <c r="EG669">
        <v>0</v>
      </c>
      <c r="EH669">
        <v>0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944.5</v>
      </c>
      <c r="EQ669">
        <v>3459.7</v>
      </c>
      <c r="ER669">
        <v>1353.5</v>
      </c>
      <c r="ES669">
        <v>182.2</v>
      </c>
      <c r="ET669">
        <v>855.59999999999991</v>
      </c>
      <c r="EU669">
        <v>172.2</v>
      </c>
      <c r="EV669">
        <v>203.2</v>
      </c>
      <c r="EW669">
        <v>1173.0999999999999</v>
      </c>
      <c r="EX669">
        <v>1078.3</v>
      </c>
      <c r="EY669">
        <v>1194.4000000000001</v>
      </c>
      <c r="EZ669">
        <v>1207.0999999999999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0</v>
      </c>
      <c r="FG669">
        <v>0</v>
      </c>
      <c r="FH669">
        <v>0</v>
      </c>
      <c r="FI669">
        <v>0</v>
      </c>
      <c r="FJ669">
        <v>0</v>
      </c>
      <c r="FK669">
        <v>0</v>
      </c>
      <c r="FL669">
        <v>0</v>
      </c>
      <c r="FM669">
        <v>0</v>
      </c>
      <c r="FN669">
        <v>0</v>
      </c>
      <c r="FO669">
        <v>0</v>
      </c>
      <c r="FP669">
        <v>0</v>
      </c>
      <c r="FQ669">
        <v>0</v>
      </c>
      <c r="FR669">
        <v>0</v>
      </c>
      <c r="FS669">
        <v>0</v>
      </c>
      <c r="FT669">
        <v>0</v>
      </c>
      <c r="FU669">
        <v>0</v>
      </c>
      <c r="FV669">
        <v>0</v>
      </c>
      <c r="FW669">
        <v>0</v>
      </c>
      <c r="FX669">
        <v>0</v>
      </c>
      <c r="FY669">
        <v>0</v>
      </c>
      <c r="FZ669">
        <v>0</v>
      </c>
      <c r="GA669">
        <v>0</v>
      </c>
      <c r="GB669">
        <v>0</v>
      </c>
      <c r="GC669">
        <v>0</v>
      </c>
      <c r="GD669">
        <v>0</v>
      </c>
      <c r="GE669">
        <v>0</v>
      </c>
      <c r="GF669">
        <v>0</v>
      </c>
      <c r="GG669">
        <v>0</v>
      </c>
      <c r="GH669">
        <v>0</v>
      </c>
      <c r="GI669">
        <v>0</v>
      </c>
      <c r="GJ669">
        <v>0</v>
      </c>
      <c r="GK669">
        <v>0</v>
      </c>
      <c r="GL669">
        <v>0</v>
      </c>
      <c r="GO669">
        <v>0</v>
      </c>
      <c r="GP669">
        <v>0</v>
      </c>
      <c r="GQ669">
        <v>0</v>
      </c>
      <c r="GR669">
        <v>0</v>
      </c>
      <c r="GS669">
        <v>0</v>
      </c>
      <c r="GT669">
        <v>0</v>
      </c>
      <c r="GU669">
        <v>0</v>
      </c>
      <c r="GV669">
        <v>0</v>
      </c>
      <c r="GW669">
        <v>0</v>
      </c>
      <c r="GX669">
        <v>0</v>
      </c>
      <c r="GY669">
        <v>0</v>
      </c>
      <c r="GZ669">
        <v>0</v>
      </c>
      <c r="HA669">
        <v>0</v>
      </c>
      <c r="HB669">
        <v>0</v>
      </c>
      <c r="HC669">
        <v>0</v>
      </c>
      <c r="HD669">
        <v>0</v>
      </c>
      <c r="HE669">
        <v>0</v>
      </c>
      <c r="HF669">
        <v>0</v>
      </c>
      <c r="HG669">
        <v>0</v>
      </c>
      <c r="HH669">
        <v>0</v>
      </c>
      <c r="HI669">
        <v>0</v>
      </c>
      <c r="HJ669">
        <v>0</v>
      </c>
      <c r="HK669">
        <v>0</v>
      </c>
      <c r="HL669">
        <v>0</v>
      </c>
      <c r="HM669">
        <v>0</v>
      </c>
      <c r="HN669">
        <v>0</v>
      </c>
      <c r="HO669">
        <v>0</v>
      </c>
      <c r="HP669">
        <v>0</v>
      </c>
      <c r="HQ669">
        <v>0</v>
      </c>
      <c r="HR669">
        <v>0</v>
      </c>
      <c r="HS669">
        <v>0</v>
      </c>
      <c r="HT669">
        <v>0</v>
      </c>
      <c r="HU669">
        <v>0</v>
      </c>
      <c r="HV669">
        <v>0</v>
      </c>
      <c r="HW669">
        <v>404.70000000000005</v>
      </c>
      <c r="HX669">
        <v>342.3</v>
      </c>
      <c r="HZ669">
        <v>866.2</v>
      </c>
      <c r="IA669">
        <v>1142.8</v>
      </c>
      <c r="IB669">
        <v>1121.5</v>
      </c>
      <c r="IC669">
        <v>2403</v>
      </c>
      <c r="ID669">
        <v>2659.3</v>
      </c>
      <c r="IE669">
        <v>1923.4</v>
      </c>
      <c r="IF669">
        <v>1465.7</v>
      </c>
      <c r="IG669">
        <v>1608.3</v>
      </c>
      <c r="IH669">
        <v>0</v>
      </c>
      <c r="II669">
        <v>0</v>
      </c>
      <c r="IJ669">
        <v>0</v>
      </c>
      <c r="IK669">
        <v>0</v>
      </c>
      <c r="IL669">
        <v>0</v>
      </c>
      <c r="IM669">
        <v>0</v>
      </c>
      <c r="IN669">
        <v>0</v>
      </c>
      <c r="IO669">
        <v>0</v>
      </c>
      <c r="IP669">
        <v>75.099999999999994</v>
      </c>
    </row>
    <row r="670" spans="1:250" ht="18" thickBot="1">
      <c r="A670" s="556"/>
      <c r="B670" s="556"/>
      <c r="C670" s="566"/>
      <c r="D670" s="560"/>
      <c r="E670" s="454">
        <v>0</v>
      </c>
      <c r="F670">
        <v>0</v>
      </c>
      <c r="G670" s="427">
        <v>0</v>
      </c>
      <c r="H670" s="155">
        <v>0</v>
      </c>
      <c r="I670">
        <v>0</v>
      </c>
      <c r="J670">
        <v>0</v>
      </c>
      <c r="K670">
        <v>0</v>
      </c>
      <c r="L670" s="4">
        <v>0</v>
      </c>
      <c r="M670" s="4">
        <v>0</v>
      </c>
      <c r="N670" s="4">
        <v>0</v>
      </c>
      <c r="O670" s="4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R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G670">
        <v>0</v>
      </c>
      <c r="BI670">
        <v>0</v>
      </c>
      <c r="BK670">
        <v>0</v>
      </c>
      <c r="BL670">
        <v>0</v>
      </c>
      <c r="BM670">
        <v>0</v>
      </c>
      <c r="BN670">
        <v>0</v>
      </c>
      <c r="BO670">
        <v>344.70000000000005</v>
      </c>
      <c r="BP670">
        <v>625.70000000000005</v>
      </c>
      <c r="BQ670">
        <v>912.2</v>
      </c>
      <c r="BR670">
        <v>237.7</v>
      </c>
      <c r="BS670">
        <v>0</v>
      </c>
      <c r="BT670">
        <v>0</v>
      </c>
      <c r="BU670">
        <v>0</v>
      </c>
      <c r="BV670">
        <v>0</v>
      </c>
      <c r="BW670">
        <v>1647.4</v>
      </c>
      <c r="BY670">
        <v>453.1</v>
      </c>
      <c r="CA670">
        <v>285.39999999999998</v>
      </c>
      <c r="CB670">
        <v>280.8</v>
      </c>
      <c r="CC670">
        <v>127.7</v>
      </c>
      <c r="CD670">
        <v>0</v>
      </c>
      <c r="CE670">
        <v>0</v>
      </c>
      <c r="CF670">
        <v>0</v>
      </c>
      <c r="CG670">
        <v>0</v>
      </c>
      <c r="CI670">
        <v>0</v>
      </c>
      <c r="CJ670">
        <v>0</v>
      </c>
      <c r="CL670">
        <v>0</v>
      </c>
      <c r="CM670">
        <v>0</v>
      </c>
      <c r="CN670">
        <v>0</v>
      </c>
      <c r="CO670">
        <v>0</v>
      </c>
      <c r="CP670">
        <v>0</v>
      </c>
      <c r="CQ670">
        <v>621.70000000000005</v>
      </c>
      <c r="CR670">
        <v>481.70000000000005</v>
      </c>
      <c r="CS670">
        <v>0</v>
      </c>
      <c r="CT670">
        <v>524.6</v>
      </c>
      <c r="CU670">
        <v>514.1</v>
      </c>
      <c r="CV670">
        <v>175.2</v>
      </c>
      <c r="CW670">
        <v>0</v>
      </c>
      <c r="CX670">
        <v>65.099999999999994</v>
      </c>
      <c r="CY670">
        <v>199</v>
      </c>
      <c r="CZ670">
        <v>1907.9</v>
      </c>
      <c r="DA670">
        <v>0</v>
      </c>
      <c r="DB670">
        <v>0</v>
      </c>
      <c r="DC670">
        <v>0</v>
      </c>
      <c r="DD670">
        <v>0</v>
      </c>
      <c r="DE670">
        <v>0</v>
      </c>
      <c r="DF670">
        <v>0</v>
      </c>
      <c r="DG670">
        <v>0</v>
      </c>
      <c r="DH670">
        <v>0</v>
      </c>
      <c r="DI670">
        <v>0</v>
      </c>
      <c r="DJ670">
        <v>0</v>
      </c>
      <c r="DK670">
        <v>0</v>
      </c>
      <c r="DL670">
        <v>0</v>
      </c>
      <c r="DM670">
        <v>1065.4000000000001</v>
      </c>
      <c r="DN670">
        <v>599.70000000000005</v>
      </c>
      <c r="DO670">
        <v>319.7</v>
      </c>
      <c r="DP670">
        <v>1570.6999999999998</v>
      </c>
      <c r="DQ670">
        <v>1399.5</v>
      </c>
      <c r="DR670">
        <v>3581</v>
      </c>
      <c r="DU670">
        <v>1393.2</v>
      </c>
      <c r="DV670">
        <v>2862.6</v>
      </c>
      <c r="DY670">
        <v>2361</v>
      </c>
      <c r="EA670">
        <v>2409.6</v>
      </c>
      <c r="EC670">
        <v>1661.3999999999999</v>
      </c>
      <c r="EE670">
        <v>0</v>
      </c>
      <c r="EF670">
        <v>0</v>
      </c>
      <c r="EG670">
        <v>0</v>
      </c>
      <c r="EH670">
        <v>0</v>
      </c>
      <c r="EI670">
        <v>0</v>
      </c>
      <c r="EJ670">
        <v>0</v>
      </c>
      <c r="EK670">
        <v>0</v>
      </c>
      <c r="EL670">
        <v>0</v>
      </c>
      <c r="EM670">
        <v>0</v>
      </c>
      <c r="EN670">
        <v>0</v>
      </c>
      <c r="EO670">
        <v>0</v>
      </c>
      <c r="EP670">
        <v>944.5</v>
      </c>
      <c r="EQ670">
        <v>3459.7</v>
      </c>
      <c r="ER670">
        <v>1353.5</v>
      </c>
      <c r="ES670">
        <v>182.2</v>
      </c>
      <c r="ET670">
        <v>855.59999999999991</v>
      </c>
      <c r="EU670">
        <v>172.2</v>
      </c>
      <c r="EV670">
        <v>203.2</v>
      </c>
      <c r="EW670">
        <v>1173.0999999999999</v>
      </c>
      <c r="EX670">
        <v>1078.3</v>
      </c>
      <c r="EY670">
        <v>1194.4000000000001</v>
      </c>
      <c r="EZ670">
        <v>1207.0999999999999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0</v>
      </c>
      <c r="FG670">
        <v>0</v>
      </c>
      <c r="FH670">
        <v>0</v>
      </c>
      <c r="FI670">
        <v>0</v>
      </c>
      <c r="FJ670">
        <v>0</v>
      </c>
      <c r="FK670">
        <v>0</v>
      </c>
      <c r="FL670">
        <v>0</v>
      </c>
      <c r="FM670">
        <v>0</v>
      </c>
      <c r="FN670">
        <v>0</v>
      </c>
      <c r="FO670">
        <v>0</v>
      </c>
      <c r="FP670">
        <v>0</v>
      </c>
      <c r="FQ670">
        <v>0</v>
      </c>
      <c r="FR670">
        <v>0</v>
      </c>
      <c r="FS670">
        <v>0</v>
      </c>
      <c r="FT670">
        <v>0</v>
      </c>
      <c r="FU670">
        <v>0</v>
      </c>
      <c r="FV670">
        <v>0</v>
      </c>
      <c r="FW670">
        <v>0</v>
      </c>
      <c r="FX670">
        <v>0</v>
      </c>
      <c r="FY670">
        <v>0</v>
      </c>
      <c r="FZ670">
        <v>0</v>
      </c>
      <c r="GA670">
        <v>0</v>
      </c>
      <c r="GB670">
        <v>0</v>
      </c>
      <c r="GC670">
        <v>0</v>
      </c>
      <c r="GD670">
        <v>0</v>
      </c>
      <c r="GE670">
        <v>0</v>
      </c>
      <c r="GF670">
        <v>0</v>
      </c>
      <c r="GG670">
        <v>0</v>
      </c>
      <c r="GH670">
        <v>0</v>
      </c>
      <c r="GI670">
        <v>0</v>
      </c>
      <c r="GJ670">
        <v>0</v>
      </c>
      <c r="GK670">
        <v>0</v>
      </c>
      <c r="GL670">
        <v>0</v>
      </c>
      <c r="GO670">
        <v>0</v>
      </c>
      <c r="GP670">
        <v>0</v>
      </c>
      <c r="GQ670">
        <v>0</v>
      </c>
      <c r="GR670">
        <v>0</v>
      </c>
      <c r="GS670">
        <v>0</v>
      </c>
      <c r="GT670">
        <v>0</v>
      </c>
      <c r="GU670">
        <v>0</v>
      </c>
      <c r="GV670">
        <v>0</v>
      </c>
      <c r="GW670">
        <v>0</v>
      </c>
      <c r="GX670">
        <v>0</v>
      </c>
      <c r="GY670">
        <v>0</v>
      </c>
      <c r="GZ670">
        <v>0</v>
      </c>
      <c r="HA670">
        <v>0</v>
      </c>
      <c r="HB670">
        <v>0</v>
      </c>
      <c r="HC670">
        <v>0</v>
      </c>
      <c r="HD670">
        <v>0</v>
      </c>
      <c r="HE670">
        <v>0</v>
      </c>
      <c r="HF670">
        <v>0</v>
      </c>
      <c r="HG670">
        <v>0</v>
      </c>
      <c r="HH670">
        <v>0</v>
      </c>
      <c r="HI670">
        <v>0</v>
      </c>
      <c r="HJ670">
        <v>0</v>
      </c>
      <c r="HK670">
        <v>0</v>
      </c>
      <c r="HL670">
        <v>0</v>
      </c>
      <c r="HM670">
        <v>0</v>
      </c>
      <c r="HN670">
        <v>0</v>
      </c>
      <c r="HO670">
        <v>0</v>
      </c>
      <c r="HP670">
        <v>0</v>
      </c>
      <c r="HQ670">
        <v>0</v>
      </c>
      <c r="HR670">
        <v>0</v>
      </c>
      <c r="HS670">
        <v>0</v>
      </c>
      <c r="HT670">
        <v>0</v>
      </c>
      <c r="HU670">
        <v>0</v>
      </c>
      <c r="HV670">
        <v>0</v>
      </c>
      <c r="HW670">
        <v>404.70000000000005</v>
      </c>
      <c r="HX670">
        <v>342.3</v>
      </c>
      <c r="HZ670">
        <v>866.2</v>
      </c>
      <c r="IA670">
        <v>1142.8</v>
      </c>
      <c r="IB670">
        <v>1121.5</v>
      </c>
      <c r="IC670">
        <v>2403</v>
      </c>
      <c r="ID670">
        <v>2659.3</v>
      </c>
      <c r="IE670">
        <v>1923.4</v>
      </c>
      <c r="IF670">
        <v>1465.7</v>
      </c>
      <c r="IG670">
        <v>1608.3</v>
      </c>
      <c r="IH670">
        <v>0</v>
      </c>
      <c r="II670">
        <v>0</v>
      </c>
      <c r="IJ670">
        <v>0</v>
      </c>
      <c r="IK670">
        <v>0</v>
      </c>
      <c r="IL670">
        <v>0</v>
      </c>
      <c r="IM670">
        <v>0</v>
      </c>
      <c r="IN670">
        <v>0</v>
      </c>
      <c r="IO670">
        <v>0</v>
      </c>
      <c r="IP670">
        <v>75.099999999999994</v>
      </c>
    </row>
    <row r="671" spans="1:250" ht="18" thickBot="1">
      <c r="A671" s="555"/>
      <c r="B671" s="555" t="s">
        <v>985</v>
      </c>
      <c r="C671" s="564"/>
      <c r="D671" s="560" t="s">
        <v>1216</v>
      </c>
      <c r="E671" s="454">
        <v>0</v>
      </c>
      <c r="F671">
        <v>0</v>
      </c>
      <c r="G671" s="427">
        <v>0</v>
      </c>
      <c r="H671" s="155">
        <v>0</v>
      </c>
      <c r="I671">
        <v>0</v>
      </c>
      <c r="J671">
        <v>0</v>
      </c>
      <c r="K671">
        <v>0</v>
      </c>
      <c r="L671" s="4">
        <v>0</v>
      </c>
      <c r="M671" s="4">
        <v>0</v>
      </c>
      <c r="N671" s="4">
        <v>0</v>
      </c>
      <c r="O671" s="4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R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G671">
        <v>0</v>
      </c>
      <c r="BI671">
        <v>0</v>
      </c>
      <c r="BK671">
        <v>0</v>
      </c>
      <c r="BL671">
        <v>0</v>
      </c>
      <c r="BM671">
        <v>0</v>
      </c>
      <c r="BN671">
        <v>0</v>
      </c>
      <c r="BO671">
        <v>344.70000000000005</v>
      </c>
      <c r="BP671">
        <v>625.70000000000005</v>
      </c>
      <c r="BQ671">
        <v>912.2</v>
      </c>
      <c r="BR671">
        <v>237.7</v>
      </c>
      <c r="BS671">
        <v>0</v>
      </c>
      <c r="BT671">
        <v>0</v>
      </c>
      <c r="BU671">
        <v>0</v>
      </c>
      <c r="BV671">
        <v>0</v>
      </c>
      <c r="BW671">
        <v>1647.4</v>
      </c>
      <c r="BY671">
        <v>453.1</v>
      </c>
      <c r="CA671">
        <v>285.39999999999998</v>
      </c>
      <c r="CB671">
        <v>280.8</v>
      </c>
      <c r="CC671">
        <v>127.7</v>
      </c>
      <c r="CD671">
        <v>0</v>
      </c>
      <c r="CE671">
        <v>0</v>
      </c>
      <c r="CF671">
        <v>0</v>
      </c>
      <c r="CG671">
        <v>0</v>
      </c>
      <c r="CI671">
        <v>0</v>
      </c>
      <c r="CJ671">
        <v>0</v>
      </c>
      <c r="CL671">
        <v>0</v>
      </c>
      <c r="CM671">
        <v>0</v>
      </c>
      <c r="CN671">
        <v>0</v>
      </c>
      <c r="CO671">
        <v>0</v>
      </c>
      <c r="CP671">
        <v>0</v>
      </c>
      <c r="CQ671">
        <v>621.70000000000005</v>
      </c>
      <c r="CR671">
        <v>481.70000000000005</v>
      </c>
      <c r="CS671">
        <v>0</v>
      </c>
      <c r="CT671">
        <v>524.6</v>
      </c>
      <c r="CU671">
        <v>514.1</v>
      </c>
      <c r="CV671">
        <v>175.2</v>
      </c>
      <c r="CW671">
        <v>0</v>
      </c>
      <c r="CX671">
        <v>65.099999999999994</v>
      </c>
      <c r="CY671">
        <v>199</v>
      </c>
      <c r="CZ671">
        <v>1907.9</v>
      </c>
      <c r="DA671">
        <v>0</v>
      </c>
      <c r="DB671">
        <v>0</v>
      </c>
      <c r="DC671">
        <v>0</v>
      </c>
      <c r="DD671">
        <v>0</v>
      </c>
      <c r="DE671">
        <v>0</v>
      </c>
      <c r="DF671">
        <v>0</v>
      </c>
      <c r="DG671">
        <v>0</v>
      </c>
      <c r="DH671">
        <v>0</v>
      </c>
      <c r="DI671">
        <v>0</v>
      </c>
      <c r="DJ671">
        <v>0</v>
      </c>
      <c r="DK671">
        <v>0</v>
      </c>
      <c r="DL671">
        <v>0</v>
      </c>
      <c r="DM671">
        <v>1065.4000000000001</v>
      </c>
      <c r="DN671">
        <v>599.70000000000005</v>
      </c>
      <c r="DO671">
        <v>319.7</v>
      </c>
      <c r="DP671">
        <v>1570.6999999999998</v>
      </c>
      <c r="DQ671">
        <v>1399.5</v>
      </c>
      <c r="DR671">
        <v>3581</v>
      </c>
      <c r="DU671">
        <v>1393.2</v>
      </c>
      <c r="DV671">
        <v>2862.6</v>
      </c>
      <c r="DY671">
        <v>2361</v>
      </c>
      <c r="EA671">
        <v>2409.6</v>
      </c>
      <c r="EC671">
        <v>1661.3999999999999</v>
      </c>
      <c r="EE671">
        <v>0</v>
      </c>
      <c r="EF671">
        <v>0</v>
      </c>
      <c r="EG671">
        <v>0</v>
      </c>
      <c r="EH671">
        <v>0</v>
      </c>
      <c r="EI671">
        <v>0</v>
      </c>
      <c r="EJ671">
        <v>0</v>
      </c>
      <c r="EK671">
        <v>0</v>
      </c>
      <c r="EL671">
        <v>0</v>
      </c>
      <c r="EM671">
        <v>0</v>
      </c>
      <c r="EN671">
        <v>0</v>
      </c>
      <c r="EO671">
        <v>0</v>
      </c>
      <c r="EP671">
        <v>944.5</v>
      </c>
      <c r="EQ671">
        <v>3459.7</v>
      </c>
      <c r="ER671">
        <v>1353.5</v>
      </c>
      <c r="ES671">
        <v>182.2</v>
      </c>
      <c r="ET671">
        <v>855.59999999999991</v>
      </c>
      <c r="EU671">
        <v>172.2</v>
      </c>
      <c r="EV671">
        <v>203.2</v>
      </c>
      <c r="EW671">
        <v>1173.0999999999999</v>
      </c>
      <c r="EX671">
        <v>1078.3</v>
      </c>
      <c r="EY671">
        <v>1194.4000000000001</v>
      </c>
      <c r="EZ671">
        <v>1207.0999999999999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0</v>
      </c>
      <c r="FH671">
        <v>0</v>
      </c>
      <c r="FI671">
        <v>0</v>
      </c>
      <c r="FJ671">
        <v>0</v>
      </c>
      <c r="FK671">
        <v>0</v>
      </c>
      <c r="FL671">
        <v>0</v>
      </c>
      <c r="FM671">
        <v>0</v>
      </c>
      <c r="FN671">
        <v>0</v>
      </c>
      <c r="FO671">
        <v>0</v>
      </c>
      <c r="FP671">
        <v>0</v>
      </c>
      <c r="FQ671">
        <v>0</v>
      </c>
      <c r="FR671">
        <v>0</v>
      </c>
      <c r="FS671">
        <v>0</v>
      </c>
      <c r="FT671">
        <v>0</v>
      </c>
      <c r="FU671">
        <v>0</v>
      </c>
      <c r="FV671">
        <v>0</v>
      </c>
      <c r="FW671">
        <v>0</v>
      </c>
      <c r="FX671">
        <v>0</v>
      </c>
      <c r="FY671">
        <v>0</v>
      </c>
      <c r="FZ671">
        <v>0</v>
      </c>
      <c r="GA671">
        <v>0</v>
      </c>
      <c r="GB671">
        <v>0</v>
      </c>
      <c r="GC671">
        <v>0</v>
      </c>
      <c r="GD671">
        <v>0</v>
      </c>
      <c r="GE671">
        <v>0</v>
      </c>
      <c r="GF671">
        <v>0</v>
      </c>
      <c r="GG671">
        <v>0</v>
      </c>
      <c r="GH671">
        <v>0</v>
      </c>
      <c r="GI671">
        <v>0</v>
      </c>
      <c r="GJ671">
        <v>0</v>
      </c>
      <c r="GK671">
        <v>0</v>
      </c>
      <c r="GL671">
        <v>0</v>
      </c>
      <c r="GO671">
        <v>0</v>
      </c>
      <c r="GP671">
        <v>0</v>
      </c>
      <c r="GQ671">
        <v>0</v>
      </c>
      <c r="GR671">
        <v>0</v>
      </c>
      <c r="GS671">
        <v>0</v>
      </c>
      <c r="GT671">
        <v>0</v>
      </c>
      <c r="GU671">
        <v>0</v>
      </c>
      <c r="GV671">
        <v>0</v>
      </c>
      <c r="GW671">
        <v>0</v>
      </c>
      <c r="GX671">
        <v>0</v>
      </c>
      <c r="GY671">
        <v>0</v>
      </c>
      <c r="GZ671">
        <v>0</v>
      </c>
      <c r="HA671">
        <v>0</v>
      </c>
      <c r="HB671">
        <v>0</v>
      </c>
      <c r="HC671">
        <v>0</v>
      </c>
      <c r="HD671">
        <v>0</v>
      </c>
      <c r="HE671">
        <v>0</v>
      </c>
      <c r="HF671">
        <v>0</v>
      </c>
      <c r="HG671">
        <v>0</v>
      </c>
      <c r="HH671">
        <v>0</v>
      </c>
      <c r="HI671">
        <v>0</v>
      </c>
      <c r="HJ671">
        <v>0</v>
      </c>
      <c r="HK671">
        <v>0</v>
      </c>
      <c r="HL671">
        <v>0</v>
      </c>
      <c r="HM671">
        <v>0</v>
      </c>
      <c r="HN671">
        <v>0</v>
      </c>
      <c r="HO671">
        <v>0</v>
      </c>
      <c r="HP671">
        <v>0</v>
      </c>
      <c r="HQ671">
        <v>0</v>
      </c>
      <c r="HR671">
        <v>0</v>
      </c>
      <c r="HS671">
        <v>0</v>
      </c>
      <c r="HT671">
        <v>0</v>
      </c>
      <c r="HU671">
        <v>0</v>
      </c>
      <c r="HV671">
        <v>0</v>
      </c>
      <c r="HW671">
        <v>404.70000000000005</v>
      </c>
      <c r="HX671">
        <v>342.3</v>
      </c>
      <c r="HZ671">
        <v>866.2</v>
      </c>
      <c r="IA671">
        <v>1142.8</v>
      </c>
      <c r="IB671">
        <v>1121.5</v>
      </c>
      <c r="IC671">
        <v>2403</v>
      </c>
      <c r="ID671">
        <v>2659.3</v>
      </c>
      <c r="IE671">
        <v>1923.4</v>
      </c>
      <c r="IF671">
        <v>1465.7</v>
      </c>
      <c r="IG671">
        <v>1608.3</v>
      </c>
      <c r="IH671">
        <v>0</v>
      </c>
      <c r="II671">
        <v>0</v>
      </c>
      <c r="IJ671">
        <v>0</v>
      </c>
      <c r="IK671">
        <v>0</v>
      </c>
      <c r="IL671">
        <v>0</v>
      </c>
      <c r="IM671">
        <v>0</v>
      </c>
      <c r="IN671">
        <v>0</v>
      </c>
      <c r="IO671">
        <v>0</v>
      </c>
      <c r="IP671">
        <v>75.099999999999994</v>
      </c>
    </row>
    <row r="672" spans="1:250" ht="18" thickBot="1">
      <c r="A672" s="556"/>
      <c r="B672" s="556"/>
      <c r="C672" s="566"/>
      <c r="D672" s="560"/>
      <c r="E672" s="454">
        <v>0</v>
      </c>
      <c r="F672">
        <v>0</v>
      </c>
      <c r="G672" s="427">
        <v>0</v>
      </c>
      <c r="H672" s="155">
        <v>0</v>
      </c>
      <c r="I672">
        <v>0</v>
      </c>
      <c r="J672">
        <v>0</v>
      </c>
      <c r="K672">
        <v>0</v>
      </c>
      <c r="L672" s="4">
        <v>0</v>
      </c>
      <c r="M672" s="4">
        <v>0</v>
      </c>
      <c r="N672" s="4">
        <v>0</v>
      </c>
      <c r="O672" s="4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R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G672">
        <v>0</v>
      </c>
      <c r="BI672">
        <v>0</v>
      </c>
      <c r="BK672">
        <v>0</v>
      </c>
      <c r="BL672">
        <v>0</v>
      </c>
      <c r="BM672">
        <v>0</v>
      </c>
      <c r="BN672">
        <v>0</v>
      </c>
      <c r="BO672">
        <v>344.70000000000005</v>
      </c>
      <c r="BP672">
        <v>625.70000000000005</v>
      </c>
      <c r="BQ672">
        <v>912.2</v>
      </c>
      <c r="BR672">
        <v>237.7</v>
      </c>
      <c r="BS672">
        <v>0</v>
      </c>
      <c r="BT672">
        <v>0</v>
      </c>
      <c r="BU672">
        <v>0</v>
      </c>
      <c r="BV672">
        <v>0</v>
      </c>
      <c r="BW672">
        <v>1647.4</v>
      </c>
      <c r="BY672">
        <v>453.1</v>
      </c>
      <c r="CA672">
        <v>285.39999999999998</v>
      </c>
      <c r="CB672">
        <v>280.8</v>
      </c>
      <c r="CC672">
        <v>127.7</v>
      </c>
      <c r="CD672">
        <v>0</v>
      </c>
      <c r="CE672">
        <v>0</v>
      </c>
      <c r="CF672">
        <v>0</v>
      </c>
      <c r="CG672">
        <v>0</v>
      </c>
      <c r="CI672">
        <v>0</v>
      </c>
      <c r="CJ672">
        <v>0</v>
      </c>
      <c r="CL672">
        <v>0</v>
      </c>
      <c r="CM672">
        <v>0</v>
      </c>
      <c r="CN672">
        <v>0</v>
      </c>
      <c r="CO672">
        <v>0</v>
      </c>
      <c r="CP672">
        <v>0</v>
      </c>
      <c r="CQ672">
        <v>621.70000000000005</v>
      </c>
      <c r="CR672">
        <v>481.70000000000005</v>
      </c>
      <c r="CS672">
        <v>0</v>
      </c>
      <c r="CT672">
        <v>524.6</v>
      </c>
      <c r="CU672">
        <v>514.1</v>
      </c>
      <c r="CV672">
        <v>175.2</v>
      </c>
      <c r="CW672">
        <v>0</v>
      </c>
      <c r="CX672">
        <v>65.099999999999994</v>
      </c>
      <c r="CY672">
        <v>199</v>
      </c>
      <c r="CZ672">
        <v>1907.9</v>
      </c>
      <c r="DA672">
        <v>0</v>
      </c>
      <c r="DB672">
        <v>0</v>
      </c>
      <c r="DC672">
        <v>0</v>
      </c>
      <c r="DD672">
        <v>0</v>
      </c>
      <c r="DE672">
        <v>0</v>
      </c>
      <c r="DF672">
        <v>0</v>
      </c>
      <c r="DG672">
        <v>0</v>
      </c>
      <c r="DH672">
        <v>0</v>
      </c>
      <c r="DI672">
        <v>0</v>
      </c>
      <c r="DJ672">
        <v>0</v>
      </c>
      <c r="DK672">
        <v>0</v>
      </c>
      <c r="DL672">
        <v>0</v>
      </c>
      <c r="DM672">
        <v>1065.4000000000001</v>
      </c>
      <c r="DN672">
        <v>599.70000000000005</v>
      </c>
      <c r="DO672">
        <v>319.7</v>
      </c>
      <c r="DP672">
        <v>1570.6999999999998</v>
      </c>
      <c r="DQ672">
        <v>1399.5</v>
      </c>
      <c r="DR672">
        <v>3581</v>
      </c>
      <c r="DU672">
        <v>1393.2</v>
      </c>
      <c r="DV672">
        <v>2862.6</v>
      </c>
      <c r="DY672">
        <v>2361</v>
      </c>
      <c r="EA672">
        <v>2409.6</v>
      </c>
      <c r="EC672">
        <v>1661.3999999999999</v>
      </c>
      <c r="EE672">
        <v>0</v>
      </c>
      <c r="EF672">
        <v>0</v>
      </c>
      <c r="EG672">
        <v>0</v>
      </c>
      <c r="EH672">
        <v>0</v>
      </c>
      <c r="EI672">
        <v>0</v>
      </c>
      <c r="EJ672">
        <v>0</v>
      </c>
      <c r="EK672">
        <v>0</v>
      </c>
      <c r="EL672">
        <v>0</v>
      </c>
      <c r="EM672">
        <v>0</v>
      </c>
      <c r="EN672">
        <v>0</v>
      </c>
      <c r="EO672">
        <v>0</v>
      </c>
      <c r="EP672">
        <v>944.5</v>
      </c>
      <c r="EQ672">
        <v>3459.7</v>
      </c>
      <c r="ER672">
        <v>1353.5</v>
      </c>
      <c r="ES672">
        <v>182.2</v>
      </c>
      <c r="ET672">
        <v>855.59999999999991</v>
      </c>
      <c r="EU672">
        <v>172.2</v>
      </c>
      <c r="EV672">
        <v>203.2</v>
      </c>
      <c r="EW672">
        <v>1173.0999999999999</v>
      </c>
      <c r="EX672">
        <v>1078.3</v>
      </c>
      <c r="EY672">
        <v>1194.4000000000001</v>
      </c>
      <c r="EZ672">
        <v>1207.0999999999999</v>
      </c>
      <c r="FA672">
        <v>0</v>
      </c>
      <c r="FB672">
        <v>0</v>
      </c>
      <c r="FC672">
        <v>0</v>
      </c>
      <c r="FD672">
        <v>0</v>
      </c>
      <c r="FE672">
        <v>0</v>
      </c>
      <c r="FF672">
        <v>0</v>
      </c>
      <c r="FG672">
        <v>0</v>
      </c>
      <c r="FH672">
        <v>0</v>
      </c>
      <c r="FI672">
        <v>0</v>
      </c>
      <c r="FJ672">
        <v>0</v>
      </c>
      <c r="FK672">
        <v>0</v>
      </c>
      <c r="FL672">
        <v>0</v>
      </c>
      <c r="FM672">
        <v>0</v>
      </c>
      <c r="FN672">
        <v>0</v>
      </c>
      <c r="FO672">
        <v>0</v>
      </c>
      <c r="FP672">
        <v>0</v>
      </c>
      <c r="FQ672">
        <v>0</v>
      </c>
      <c r="FR672">
        <v>0</v>
      </c>
      <c r="FS672">
        <v>0</v>
      </c>
      <c r="FT672">
        <v>0</v>
      </c>
      <c r="FU672">
        <v>0</v>
      </c>
      <c r="FV672">
        <v>0</v>
      </c>
      <c r="FW672">
        <v>0</v>
      </c>
      <c r="FX672">
        <v>0</v>
      </c>
      <c r="FY672">
        <v>0</v>
      </c>
      <c r="FZ672">
        <v>0</v>
      </c>
      <c r="GA672">
        <v>0</v>
      </c>
      <c r="GB672">
        <v>0</v>
      </c>
      <c r="GC672">
        <v>0</v>
      </c>
      <c r="GD672">
        <v>0</v>
      </c>
      <c r="GE672">
        <v>0</v>
      </c>
      <c r="GF672">
        <v>0</v>
      </c>
      <c r="GG672">
        <v>0</v>
      </c>
      <c r="GH672">
        <v>0</v>
      </c>
      <c r="GI672">
        <v>0</v>
      </c>
      <c r="GJ672">
        <v>0</v>
      </c>
      <c r="GK672">
        <v>0</v>
      </c>
      <c r="GL672">
        <v>0</v>
      </c>
      <c r="GO672">
        <v>0</v>
      </c>
      <c r="GP672">
        <v>0</v>
      </c>
      <c r="GQ672">
        <v>0</v>
      </c>
      <c r="GR672">
        <v>0</v>
      </c>
      <c r="GS672">
        <v>0</v>
      </c>
      <c r="GT672">
        <v>0</v>
      </c>
      <c r="GU672">
        <v>0</v>
      </c>
      <c r="GV672">
        <v>0</v>
      </c>
      <c r="GW672">
        <v>0</v>
      </c>
      <c r="GX672">
        <v>0</v>
      </c>
      <c r="GY672">
        <v>0</v>
      </c>
      <c r="GZ672">
        <v>0</v>
      </c>
      <c r="HA672">
        <v>0</v>
      </c>
      <c r="HB672">
        <v>0</v>
      </c>
      <c r="HC672">
        <v>0</v>
      </c>
      <c r="HD672">
        <v>0</v>
      </c>
      <c r="HE672">
        <v>0</v>
      </c>
      <c r="HF672">
        <v>0</v>
      </c>
      <c r="HG672">
        <v>0</v>
      </c>
      <c r="HH672">
        <v>0</v>
      </c>
      <c r="HI672">
        <v>0</v>
      </c>
      <c r="HJ672">
        <v>0</v>
      </c>
      <c r="HK672">
        <v>0</v>
      </c>
      <c r="HL672">
        <v>0</v>
      </c>
      <c r="HM672">
        <v>0</v>
      </c>
      <c r="HN672">
        <v>0</v>
      </c>
      <c r="HO672">
        <v>0</v>
      </c>
      <c r="HP672">
        <v>0</v>
      </c>
      <c r="HQ672">
        <v>0</v>
      </c>
      <c r="HR672">
        <v>0</v>
      </c>
      <c r="HS672">
        <v>0</v>
      </c>
      <c r="HT672">
        <v>0</v>
      </c>
      <c r="HU672">
        <v>0</v>
      </c>
      <c r="HV672">
        <v>0</v>
      </c>
      <c r="HW672">
        <v>404.70000000000005</v>
      </c>
      <c r="HX672">
        <v>342.3</v>
      </c>
      <c r="HZ672">
        <v>866.2</v>
      </c>
      <c r="IA672">
        <v>1142.8</v>
      </c>
      <c r="IB672">
        <v>1121.5</v>
      </c>
      <c r="IC672">
        <v>2403</v>
      </c>
      <c r="ID672">
        <v>2659.3</v>
      </c>
      <c r="IE672">
        <v>1923.4</v>
      </c>
      <c r="IF672">
        <v>1465.7</v>
      </c>
      <c r="IG672">
        <v>1608.3</v>
      </c>
      <c r="IH672">
        <v>0</v>
      </c>
      <c r="II672">
        <v>0</v>
      </c>
      <c r="IJ672">
        <v>0</v>
      </c>
      <c r="IK672">
        <v>0</v>
      </c>
      <c r="IL672">
        <v>0</v>
      </c>
      <c r="IM672">
        <v>0</v>
      </c>
      <c r="IN672">
        <v>0</v>
      </c>
      <c r="IO672">
        <v>0</v>
      </c>
      <c r="IP672">
        <v>75.099999999999994</v>
      </c>
    </row>
    <row r="673" spans="1:250" ht="18" thickBot="1">
      <c r="A673" s="555"/>
      <c r="B673" s="555" t="s">
        <v>986</v>
      </c>
      <c r="C673" s="564"/>
      <c r="D673" s="560" t="s">
        <v>1216</v>
      </c>
      <c r="E673" s="454">
        <v>0</v>
      </c>
      <c r="F673">
        <v>0</v>
      </c>
      <c r="G673" s="427">
        <v>0</v>
      </c>
      <c r="H673" s="155">
        <v>0</v>
      </c>
      <c r="I673">
        <v>0</v>
      </c>
      <c r="J673">
        <v>0</v>
      </c>
      <c r="K673">
        <v>0</v>
      </c>
      <c r="L673" s="4">
        <v>0</v>
      </c>
      <c r="M673" s="4">
        <v>0</v>
      </c>
      <c r="N673" s="4">
        <v>0</v>
      </c>
      <c r="O673" s="4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R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G673">
        <v>0</v>
      </c>
      <c r="BI673">
        <v>0</v>
      </c>
      <c r="BK673">
        <v>0</v>
      </c>
      <c r="BL673">
        <v>0</v>
      </c>
      <c r="BM673">
        <v>0</v>
      </c>
      <c r="BN673">
        <v>0</v>
      </c>
      <c r="BO673">
        <v>344.70000000000005</v>
      </c>
      <c r="BP673">
        <v>625.70000000000005</v>
      </c>
      <c r="BQ673">
        <v>912.2</v>
      </c>
      <c r="BR673">
        <v>237.7</v>
      </c>
      <c r="BS673">
        <v>0</v>
      </c>
      <c r="BT673">
        <v>0</v>
      </c>
      <c r="BU673">
        <v>0</v>
      </c>
      <c r="BV673">
        <v>0</v>
      </c>
      <c r="BW673">
        <v>1647.4</v>
      </c>
      <c r="BY673">
        <v>453.1</v>
      </c>
      <c r="CA673">
        <v>285.39999999999998</v>
      </c>
      <c r="CB673">
        <v>280.8</v>
      </c>
      <c r="CC673">
        <v>127.7</v>
      </c>
      <c r="CD673">
        <v>0</v>
      </c>
      <c r="CE673">
        <v>0</v>
      </c>
      <c r="CF673">
        <v>0</v>
      </c>
      <c r="CG673">
        <v>0</v>
      </c>
      <c r="CI673">
        <v>0</v>
      </c>
      <c r="CJ673">
        <v>0</v>
      </c>
      <c r="CL673">
        <v>0</v>
      </c>
      <c r="CM673">
        <v>0</v>
      </c>
      <c r="CN673">
        <v>0</v>
      </c>
      <c r="CO673">
        <v>0</v>
      </c>
      <c r="CP673">
        <v>0</v>
      </c>
      <c r="CQ673">
        <v>621.70000000000005</v>
      </c>
      <c r="CR673">
        <v>481.70000000000005</v>
      </c>
      <c r="CS673">
        <v>0</v>
      </c>
      <c r="CT673">
        <v>524.6</v>
      </c>
      <c r="CU673">
        <v>514.1</v>
      </c>
      <c r="CV673">
        <v>175.2</v>
      </c>
      <c r="CW673">
        <v>0</v>
      </c>
      <c r="CX673">
        <v>65.099999999999994</v>
      </c>
      <c r="CY673">
        <v>199</v>
      </c>
      <c r="CZ673">
        <v>1907.9</v>
      </c>
      <c r="DA673">
        <v>0</v>
      </c>
      <c r="DB673">
        <v>0</v>
      </c>
      <c r="DC673">
        <v>0</v>
      </c>
      <c r="DD673">
        <v>0</v>
      </c>
      <c r="DE673">
        <v>0</v>
      </c>
      <c r="DF673">
        <v>0</v>
      </c>
      <c r="DG673">
        <v>0</v>
      </c>
      <c r="DH673">
        <v>0</v>
      </c>
      <c r="DI673">
        <v>0</v>
      </c>
      <c r="DJ673">
        <v>0</v>
      </c>
      <c r="DK673">
        <v>0</v>
      </c>
      <c r="DL673">
        <v>0</v>
      </c>
      <c r="DM673">
        <v>1065.4000000000001</v>
      </c>
      <c r="DN673">
        <v>599.70000000000005</v>
      </c>
      <c r="DO673">
        <v>319.7</v>
      </c>
      <c r="DP673">
        <v>1570.6999999999998</v>
      </c>
      <c r="DQ673">
        <v>1399.5</v>
      </c>
      <c r="DR673">
        <v>3581</v>
      </c>
      <c r="DU673">
        <v>1393.2</v>
      </c>
      <c r="DV673">
        <v>2862.6</v>
      </c>
      <c r="DY673">
        <v>2361</v>
      </c>
      <c r="EA673">
        <v>2409.6</v>
      </c>
      <c r="EC673">
        <v>1661.3999999999999</v>
      </c>
      <c r="EE673">
        <v>0</v>
      </c>
      <c r="EF673">
        <v>0</v>
      </c>
      <c r="EG673">
        <v>0</v>
      </c>
      <c r="EH673">
        <v>0</v>
      </c>
      <c r="EI673">
        <v>0</v>
      </c>
      <c r="EJ673">
        <v>0</v>
      </c>
      <c r="EK673">
        <v>0</v>
      </c>
      <c r="EL673">
        <v>0</v>
      </c>
      <c r="EM673">
        <v>0</v>
      </c>
      <c r="EN673">
        <v>0</v>
      </c>
      <c r="EO673">
        <v>0</v>
      </c>
      <c r="EP673">
        <v>944.5</v>
      </c>
      <c r="EQ673">
        <v>3459.7</v>
      </c>
      <c r="ER673">
        <v>1353.5</v>
      </c>
      <c r="ES673">
        <v>182.2</v>
      </c>
      <c r="ET673">
        <v>855.59999999999991</v>
      </c>
      <c r="EU673">
        <v>172.2</v>
      </c>
      <c r="EV673">
        <v>203.2</v>
      </c>
      <c r="EW673">
        <v>1173.0999999999999</v>
      </c>
      <c r="EX673">
        <v>1078.3</v>
      </c>
      <c r="EY673">
        <v>1194.4000000000001</v>
      </c>
      <c r="EZ673">
        <v>1207.0999999999999</v>
      </c>
      <c r="FA673">
        <v>0</v>
      </c>
      <c r="FB673">
        <v>0</v>
      </c>
      <c r="FC673">
        <v>0</v>
      </c>
      <c r="FD673">
        <v>0</v>
      </c>
      <c r="FE673">
        <v>0</v>
      </c>
      <c r="FF673">
        <v>0</v>
      </c>
      <c r="FG673">
        <v>0</v>
      </c>
      <c r="FH673">
        <v>0</v>
      </c>
      <c r="FI673">
        <v>0</v>
      </c>
      <c r="FJ673">
        <v>0</v>
      </c>
      <c r="FK673">
        <v>0</v>
      </c>
      <c r="FL673">
        <v>0</v>
      </c>
      <c r="FM673">
        <v>0</v>
      </c>
      <c r="FN673">
        <v>0</v>
      </c>
      <c r="FO673">
        <v>0</v>
      </c>
      <c r="FP673">
        <v>0</v>
      </c>
      <c r="FQ673">
        <v>0</v>
      </c>
      <c r="FR673">
        <v>0</v>
      </c>
      <c r="FS673">
        <v>0</v>
      </c>
      <c r="FT673">
        <v>0</v>
      </c>
      <c r="FU673">
        <v>0</v>
      </c>
      <c r="FV673">
        <v>0</v>
      </c>
      <c r="FW673">
        <v>0</v>
      </c>
      <c r="FX673">
        <v>0</v>
      </c>
      <c r="FY673">
        <v>0</v>
      </c>
      <c r="FZ673">
        <v>0</v>
      </c>
      <c r="GA673">
        <v>0</v>
      </c>
      <c r="GB673">
        <v>0</v>
      </c>
      <c r="GC673">
        <v>0</v>
      </c>
      <c r="GD673">
        <v>0</v>
      </c>
      <c r="GE673">
        <v>0</v>
      </c>
      <c r="GF673">
        <v>0</v>
      </c>
      <c r="GG673">
        <v>0</v>
      </c>
      <c r="GH673">
        <v>0</v>
      </c>
      <c r="GI673">
        <v>0</v>
      </c>
      <c r="GJ673">
        <v>0</v>
      </c>
      <c r="GK673">
        <v>0</v>
      </c>
      <c r="GL673">
        <v>0</v>
      </c>
      <c r="GO673">
        <v>0</v>
      </c>
      <c r="GP673">
        <v>0</v>
      </c>
      <c r="GQ673">
        <v>0</v>
      </c>
      <c r="GR673">
        <v>0</v>
      </c>
      <c r="GS673">
        <v>0</v>
      </c>
      <c r="GT673">
        <v>0</v>
      </c>
      <c r="GU673">
        <v>0</v>
      </c>
      <c r="GV673">
        <v>0</v>
      </c>
      <c r="GW673">
        <v>0</v>
      </c>
      <c r="GX673">
        <v>0</v>
      </c>
      <c r="GY673">
        <v>0</v>
      </c>
      <c r="GZ673">
        <v>0</v>
      </c>
      <c r="HA673">
        <v>0</v>
      </c>
      <c r="HB673">
        <v>0</v>
      </c>
      <c r="HC673">
        <v>0</v>
      </c>
      <c r="HD673">
        <v>0</v>
      </c>
      <c r="HE673">
        <v>0</v>
      </c>
      <c r="HF673">
        <v>0</v>
      </c>
      <c r="HG673">
        <v>0</v>
      </c>
      <c r="HH673">
        <v>0</v>
      </c>
      <c r="HI673">
        <v>0</v>
      </c>
      <c r="HJ673">
        <v>0</v>
      </c>
      <c r="HK673">
        <v>0</v>
      </c>
      <c r="HL673">
        <v>0</v>
      </c>
      <c r="HM673">
        <v>0</v>
      </c>
      <c r="HN673">
        <v>0</v>
      </c>
      <c r="HO673">
        <v>0</v>
      </c>
      <c r="HP673">
        <v>0</v>
      </c>
      <c r="HQ673">
        <v>0</v>
      </c>
      <c r="HR673">
        <v>0</v>
      </c>
      <c r="HS673">
        <v>0</v>
      </c>
      <c r="HT673">
        <v>0</v>
      </c>
      <c r="HU673">
        <v>0</v>
      </c>
      <c r="HV673">
        <v>0</v>
      </c>
      <c r="HW673">
        <v>404.70000000000005</v>
      </c>
      <c r="HX673">
        <v>342.3</v>
      </c>
      <c r="HZ673">
        <v>866.2</v>
      </c>
      <c r="IA673">
        <v>1142.8</v>
      </c>
      <c r="IB673">
        <v>1121.5</v>
      </c>
      <c r="IC673">
        <v>2403</v>
      </c>
      <c r="ID673">
        <v>2659.3</v>
      </c>
      <c r="IE673">
        <v>1923.4</v>
      </c>
      <c r="IF673">
        <v>1465.7</v>
      </c>
      <c r="IG673">
        <v>1608.3</v>
      </c>
      <c r="IH673">
        <v>0</v>
      </c>
      <c r="II673">
        <v>0</v>
      </c>
      <c r="IJ673">
        <v>0</v>
      </c>
      <c r="IK673">
        <v>0</v>
      </c>
      <c r="IL673">
        <v>0</v>
      </c>
      <c r="IM673">
        <v>0</v>
      </c>
      <c r="IN673">
        <v>0</v>
      </c>
      <c r="IO673">
        <v>0</v>
      </c>
      <c r="IP673">
        <v>75.099999999999994</v>
      </c>
    </row>
    <row r="674" spans="1:250" ht="18" thickBot="1">
      <c r="A674" s="568"/>
      <c r="B674" s="568"/>
      <c r="C674" s="567"/>
      <c r="D674" s="560"/>
      <c r="E674" s="454">
        <v>0</v>
      </c>
      <c r="F674">
        <v>0</v>
      </c>
      <c r="G674" s="427">
        <v>0</v>
      </c>
      <c r="H674" s="155">
        <v>0</v>
      </c>
      <c r="I674">
        <v>0</v>
      </c>
      <c r="J674">
        <v>0</v>
      </c>
      <c r="K674">
        <v>0</v>
      </c>
      <c r="L674" s="4">
        <v>0</v>
      </c>
      <c r="M674" s="4">
        <v>0</v>
      </c>
      <c r="N674" s="4">
        <v>0</v>
      </c>
      <c r="O674" s="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R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G674">
        <v>0</v>
      </c>
      <c r="BI674">
        <v>0</v>
      </c>
      <c r="BK674">
        <v>0</v>
      </c>
      <c r="BL674">
        <v>0</v>
      </c>
      <c r="BM674">
        <v>0</v>
      </c>
      <c r="BN674">
        <v>0</v>
      </c>
      <c r="BO674">
        <v>344.70000000000005</v>
      </c>
      <c r="BP674">
        <v>625.70000000000005</v>
      </c>
      <c r="BQ674">
        <v>912.2</v>
      </c>
      <c r="BR674">
        <v>237.7</v>
      </c>
      <c r="BS674">
        <v>0</v>
      </c>
      <c r="BT674">
        <v>0</v>
      </c>
      <c r="BU674">
        <v>0</v>
      </c>
      <c r="BV674">
        <v>0</v>
      </c>
      <c r="BW674">
        <v>1647.4</v>
      </c>
      <c r="BY674">
        <v>453.1</v>
      </c>
      <c r="CA674">
        <v>285.39999999999998</v>
      </c>
      <c r="CB674">
        <v>280.8</v>
      </c>
      <c r="CC674">
        <v>127.7</v>
      </c>
      <c r="CD674">
        <v>0</v>
      </c>
      <c r="CE674">
        <v>0</v>
      </c>
      <c r="CF674">
        <v>0</v>
      </c>
      <c r="CG674">
        <v>0</v>
      </c>
      <c r="CI674">
        <v>0</v>
      </c>
      <c r="CJ674">
        <v>0</v>
      </c>
      <c r="CL674">
        <v>0</v>
      </c>
      <c r="CM674">
        <v>0</v>
      </c>
      <c r="CN674">
        <v>0</v>
      </c>
      <c r="CO674">
        <v>0</v>
      </c>
      <c r="CP674">
        <v>0</v>
      </c>
      <c r="CQ674">
        <v>621.70000000000005</v>
      </c>
      <c r="CR674">
        <v>481.70000000000005</v>
      </c>
      <c r="CS674">
        <v>0</v>
      </c>
      <c r="CT674">
        <v>524.6</v>
      </c>
      <c r="CU674">
        <v>514.1</v>
      </c>
      <c r="CV674">
        <v>175.2</v>
      </c>
      <c r="CW674">
        <v>0</v>
      </c>
      <c r="CX674">
        <v>65.099999999999994</v>
      </c>
      <c r="CY674">
        <v>199</v>
      </c>
      <c r="CZ674">
        <v>1907.9</v>
      </c>
      <c r="DA674">
        <v>0</v>
      </c>
      <c r="DB674">
        <v>0</v>
      </c>
      <c r="DC674">
        <v>0</v>
      </c>
      <c r="DD674">
        <v>0</v>
      </c>
      <c r="DE674">
        <v>0</v>
      </c>
      <c r="DF674">
        <v>0</v>
      </c>
      <c r="DG674">
        <v>0</v>
      </c>
      <c r="DH674">
        <v>0</v>
      </c>
      <c r="DI674">
        <v>0</v>
      </c>
      <c r="DJ674">
        <v>0</v>
      </c>
      <c r="DK674">
        <v>0</v>
      </c>
      <c r="DL674">
        <v>0</v>
      </c>
      <c r="DM674">
        <v>1065.4000000000001</v>
      </c>
      <c r="DN674">
        <v>599.70000000000005</v>
      </c>
      <c r="DO674">
        <v>319.7</v>
      </c>
      <c r="DP674">
        <v>1570.6999999999998</v>
      </c>
      <c r="DQ674">
        <v>1399.5</v>
      </c>
      <c r="DR674">
        <v>3581</v>
      </c>
      <c r="DU674">
        <v>1393.2</v>
      </c>
      <c r="DV674">
        <v>2862.6</v>
      </c>
      <c r="DY674">
        <v>2361</v>
      </c>
      <c r="EA674">
        <v>2409.6</v>
      </c>
      <c r="EC674">
        <v>1661.3999999999999</v>
      </c>
      <c r="EE674">
        <v>0</v>
      </c>
      <c r="EF674">
        <v>0</v>
      </c>
      <c r="EG674">
        <v>0</v>
      </c>
      <c r="EH674">
        <v>0</v>
      </c>
      <c r="EI674">
        <v>0</v>
      </c>
      <c r="EJ674">
        <v>0</v>
      </c>
      <c r="EK674">
        <v>0</v>
      </c>
      <c r="EL674">
        <v>0</v>
      </c>
      <c r="EM674">
        <v>0</v>
      </c>
      <c r="EN674">
        <v>0</v>
      </c>
      <c r="EO674">
        <v>0</v>
      </c>
      <c r="EP674">
        <v>944.5</v>
      </c>
      <c r="EQ674">
        <v>3459.7</v>
      </c>
      <c r="ER674">
        <v>1353.5</v>
      </c>
      <c r="ES674">
        <v>182.2</v>
      </c>
      <c r="ET674">
        <v>855.59999999999991</v>
      </c>
      <c r="EU674">
        <v>172.2</v>
      </c>
      <c r="EV674">
        <v>203.2</v>
      </c>
      <c r="EW674">
        <v>1173.0999999999999</v>
      </c>
      <c r="EX674">
        <v>1078.3</v>
      </c>
      <c r="EY674">
        <v>1194.4000000000001</v>
      </c>
      <c r="EZ674">
        <v>1207.0999999999999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0</v>
      </c>
      <c r="FG674">
        <v>0</v>
      </c>
      <c r="FH674">
        <v>0</v>
      </c>
      <c r="FI674">
        <v>0</v>
      </c>
      <c r="FJ674">
        <v>0</v>
      </c>
      <c r="FK674">
        <v>0</v>
      </c>
      <c r="FL674">
        <v>0</v>
      </c>
      <c r="FM674">
        <v>0</v>
      </c>
      <c r="FN674">
        <v>0</v>
      </c>
      <c r="FO674">
        <v>0</v>
      </c>
      <c r="FP674">
        <v>0</v>
      </c>
      <c r="FQ674">
        <v>0</v>
      </c>
      <c r="FR674">
        <v>0</v>
      </c>
      <c r="FS674">
        <v>0</v>
      </c>
      <c r="FT674">
        <v>0</v>
      </c>
      <c r="FU674">
        <v>0</v>
      </c>
      <c r="FV674">
        <v>0</v>
      </c>
      <c r="FW674">
        <v>0</v>
      </c>
      <c r="FX674">
        <v>0</v>
      </c>
      <c r="FY674">
        <v>0</v>
      </c>
      <c r="FZ674">
        <v>0</v>
      </c>
      <c r="GA674">
        <v>0</v>
      </c>
      <c r="GB674">
        <v>0</v>
      </c>
      <c r="GC674">
        <v>0</v>
      </c>
      <c r="GD674">
        <v>0</v>
      </c>
      <c r="GE674">
        <v>0</v>
      </c>
      <c r="GF674">
        <v>0</v>
      </c>
      <c r="GG674">
        <v>0</v>
      </c>
      <c r="GH674">
        <v>0</v>
      </c>
      <c r="GI674">
        <v>0</v>
      </c>
      <c r="GJ674">
        <v>0</v>
      </c>
      <c r="GK674">
        <v>0</v>
      </c>
      <c r="GL674">
        <v>0</v>
      </c>
      <c r="GO674">
        <v>0</v>
      </c>
      <c r="GP674">
        <v>0</v>
      </c>
      <c r="GQ674">
        <v>0</v>
      </c>
      <c r="GR674">
        <v>0</v>
      </c>
      <c r="GS674">
        <v>0</v>
      </c>
      <c r="GT674">
        <v>0</v>
      </c>
      <c r="GU674">
        <v>0</v>
      </c>
      <c r="GV674">
        <v>0</v>
      </c>
      <c r="GW674">
        <v>0</v>
      </c>
      <c r="GX674">
        <v>0</v>
      </c>
      <c r="GY674">
        <v>0</v>
      </c>
      <c r="GZ674">
        <v>0</v>
      </c>
      <c r="HA674">
        <v>0</v>
      </c>
      <c r="HB674">
        <v>0</v>
      </c>
      <c r="HC674">
        <v>0</v>
      </c>
      <c r="HD674">
        <v>0</v>
      </c>
      <c r="HE674">
        <v>0</v>
      </c>
      <c r="HF674">
        <v>0</v>
      </c>
      <c r="HG674">
        <v>0</v>
      </c>
      <c r="HH674">
        <v>0</v>
      </c>
      <c r="HI674">
        <v>0</v>
      </c>
      <c r="HJ674">
        <v>0</v>
      </c>
      <c r="HK674">
        <v>0</v>
      </c>
      <c r="HL674">
        <v>0</v>
      </c>
      <c r="HM674">
        <v>0</v>
      </c>
      <c r="HN674">
        <v>0</v>
      </c>
      <c r="HO674">
        <v>0</v>
      </c>
      <c r="HP674">
        <v>0</v>
      </c>
      <c r="HQ674">
        <v>0</v>
      </c>
      <c r="HR674">
        <v>0</v>
      </c>
      <c r="HS674">
        <v>0</v>
      </c>
      <c r="HT674">
        <v>0</v>
      </c>
      <c r="HU674">
        <v>0</v>
      </c>
      <c r="HV674">
        <v>0</v>
      </c>
      <c r="HW674">
        <v>404.70000000000005</v>
      </c>
      <c r="HX674">
        <v>342.3</v>
      </c>
      <c r="HZ674">
        <v>866.2</v>
      </c>
      <c r="IA674">
        <v>1142.8</v>
      </c>
      <c r="IB674">
        <v>1121.5</v>
      </c>
      <c r="IC674">
        <v>2403</v>
      </c>
      <c r="ID674">
        <v>2659.3</v>
      </c>
      <c r="IE674">
        <v>1923.4</v>
      </c>
      <c r="IF674">
        <v>1465.7</v>
      </c>
      <c r="IG674">
        <v>1608.3</v>
      </c>
      <c r="IH674">
        <v>0</v>
      </c>
      <c r="II674">
        <v>0</v>
      </c>
      <c r="IJ674">
        <v>0</v>
      </c>
      <c r="IK674">
        <v>0</v>
      </c>
      <c r="IL674">
        <v>0</v>
      </c>
      <c r="IM674">
        <v>0</v>
      </c>
      <c r="IN674">
        <v>0</v>
      </c>
      <c r="IO674">
        <v>0</v>
      </c>
      <c r="IP674">
        <v>75.099999999999994</v>
      </c>
    </row>
    <row r="675" spans="1:250" ht="18.600000000000001" thickTop="1" thickBot="1">
      <c r="A675" s="181"/>
      <c r="B675" s="181" t="s">
        <v>473</v>
      </c>
      <c r="C675" s="330"/>
      <c r="D675" s="395"/>
      <c r="E675" s="454">
        <v>0</v>
      </c>
      <c r="F675">
        <v>0</v>
      </c>
      <c r="G675" s="427">
        <v>0</v>
      </c>
      <c r="H675" s="155">
        <v>0</v>
      </c>
      <c r="I675">
        <v>0</v>
      </c>
      <c r="J675">
        <v>0</v>
      </c>
      <c r="K675">
        <v>0</v>
      </c>
      <c r="L675" s="4">
        <v>0</v>
      </c>
      <c r="M675" s="4">
        <v>0</v>
      </c>
      <c r="N675" s="4">
        <v>0</v>
      </c>
      <c r="O675" s="4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R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G675">
        <v>0</v>
      </c>
      <c r="BI675">
        <v>0</v>
      </c>
      <c r="BK675">
        <v>0</v>
      </c>
      <c r="BL675">
        <v>0</v>
      </c>
      <c r="BM675">
        <v>0</v>
      </c>
      <c r="BN675">
        <v>0</v>
      </c>
      <c r="BO675">
        <v>344.70000000000005</v>
      </c>
      <c r="BP675">
        <v>625.70000000000005</v>
      </c>
      <c r="BQ675">
        <v>912.2</v>
      </c>
      <c r="BR675">
        <v>237.7</v>
      </c>
      <c r="BS675">
        <v>0</v>
      </c>
      <c r="BT675">
        <v>0</v>
      </c>
      <c r="BU675">
        <v>0</v>
      </c>
      <c r="BV675">
        <v>0</v>
      </c>
      <c r="BW675">
        <v>1647.4</v>
      </c>
      <c r="BY675">
        <v>453.1</v>
      </c>
      <c r="CA675">
        <v>285.39999999999998</v>
      </c>
      <c r="CB675">
        <v>280.8</v>
      </c>
      <c r="CC675">
        <v>127.7</v>
      </c>
      <c r="CD675">
        <v>0</v>
      </c>
      <c r="CE675">
        <v>0</v>
      </c>
      <c r="CF675">
        <v>0</v>
      </c>
      <c r="CG675">
        <v>0</v>
      </c>
      <c r="CI675">
        <v>0</v>
      </c>
      <c r="CJ675">
        <v>0</v>
      </c>
      <c r="CL675">
        <v>0</v>
      </c>
      <c r="CM675">
        <v>0</v>
      </c>
      <c r="CN675">
        <v>0</v>
      </c>
      <c r="CO675">
        <v>0</v>
      </c>
      <c r="CP675">
        <v>0</v>
      </c>
      <c r="CQ675">
        <v>621.70000000000005</v>
      </c>
      <c r="CR675">
        <v>481.70000000000005</v>
      </c>
      <c r="CS675">
        <v>0</v>
      </c>
      <c r="CT675">
        <v>524.6</v>
      </c>
      <c r="CU675">
        <v>514.1</v>
      </c>
      <c r="CV675">
        <v>175.2</v>
      </c>
      <c r="CW675">
        <v>0</v>
      </c>
      <c r="CX675">
        <v>65.099999999999994</v>
      </c>
      <c r="CY675">
        <v>199</v>
      </c>
      <c r="CZ675">
        <v>1907.9</v>
      </c>
      <c r="DA675">
        <v>0</v>
      </c>
      <c r="DB675">
        <v>0</v>
      </c>
      <c r="DC675">
        <v>0</v>
      </c>
      <c r="DD675">
        <v>0</v>
      </c>
      <c r="DE675">
        <v>0</v>
      </c>
      <c r="DF675">
        <v>0</v>
      </c>
      <c r="DG675">
        <v>0</v>
      </c>
      <c r="DH675">
        <v>0</v>
      </c>
      <c r="DI675">
        <v>0</v>
      </c>
      <c r="DJ675">
        <v>0</v>
      </c>
      <c r="DK675">
        <v>0</v>
      </c>
      <c r="DL675">
        <v>0</v>
      </c>
      <c r="DM675">
        <v>1065.4000000000001</v>
      </c>
      <c r="DN675">
        <v>599.70000000000005</v>
      </c>
      <c r="DO675">
        <v>319.7</v>
      </c>
      <c r="DP675">
        <v>1570.6999999999998</v>
      </c>
      <c r="DQ675">
        <v>1399.5</v>
      </c>
      <c r="DR675">
        <v>3581</v>
      </c>
      <c r="DU675">
        <v>1393.2</v>
      </c>
      <c r="DV675">
        <v>2862.6</v>
      </c>
      <c r="DY675">
        <v>2361</v>
      </c>
      <c r="EA675">
        <v>2409.6</v>
      </c>
      <c r="EC675">
        <v>1661.3999999999999</v>
      </c>
      <c r="EE675">
        <v>0</v>
      </c>
      <c r="EF675">
        <v>0</v>
      </c>
      <c r="EG675">
        <v>0</v>
      </c>
      <c r="EH675">
        <v>0</v>
      </c>
      <c r="EI675">
        <v>0</v>
      </c>
      <c r="EJ675">
        <v>0</v>
      </c>
      <c r="EK675">
        <v>0</v>
      </c>
      <c r="EL675">
        <v>0</v>
      </c>
      <c r="EM675">
        <v>0</v>
      </c>
      <c r="EN675">
        <v>0</v>
      </c>
      <c r="EO675">
        <v>0</v>
      </c>
      <c r="EP675">
        <v>944.5</v>
      </c>
      <c r="EQ675">
        <v>3459.7</v>
      </c>
      <c r="ER675">
        <v>1353.5</v>
      </c>
      <c r="ES675">
        <v>182.2</v>
      </c>
      <c r="ET675">
        <v>855.59999999999991</v>
      </c>
      <c r="EU675">
        <v>172.2</v>
      </c>
      <c r="EV675">
        <v>203.2</v>
      </c>
      <c r="EW675">
        <v>1173.0999999999999</v>
      </c>
      <c r="EX675">
        <v>1078.3</v>
      </c>
      <c r="EY675">
        <v>1194.4000000000001</v>
      </c>
      <c r="EZ675">
        <v>1207.0999999999999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0</v>
      </c>
      <c r="FH675">
        <v>0</v>
      </c>
      <c r="FI675">
        <v>0</v>
      </c>
      <c r="FJ675">
        <v>0</v>
      </c>
      <c r="FK675">
        <v>0</v>
      </c>
      <c r="FL675">
        <v>0</v>
      </c>
      <c r="FM675">
        <v>0</v>
      </c>
      <c r="FN675">
        <v>0</v>
      </c>
      <c r="FO675">
        <v>0</v>
      </c>
      <c r="FP675">
        <v>0</v>
      </c>
      <c r="FQ675">
        <v>0</v>
      </c>
      <c r="FR675">
        <v>0</v>
      </c>
      <c r="FS675">
        <v>0</v>
      </c>
      <c r="FT675">
        <v>0</v>
      </c>
      <c r="FU675">
        <v>0</v>
      </c>
      <c r="FV675">
        <v>0</v>
      </c>
      <c r="FW675">
        <v>0</v>
      </c>
      <c r="FX675">
        <v>0</v>
      </c>
      <c r="FY675">
        <v>0</v>
      </c>
      <c r="FZ675">
        <v>0</v>
      </c>
      <c r="GA675">
        <v>0</v>
      </c>
      <c r="GB675">
        <v>0</v>
      </c>
      <c r="GC675">
        <v>0</v>
      </c>
      <c r="GD675">
        <v>0</v>
      </c>
      <c r="GE675">
        <v>0</v>
      </c>
      <c r="GF675">
        <v>0</v>
      </c>
      <c r="GG675">
        <v>0</v>
      </c>
      <c r="GH675">
        <v>0</v>
      </c>
      <c r="GI675">
        <v>0</v>
      </c>
      <c r="GJ675">
        <v>0</v>
      </c>
      <c r="GK675">
        <v>0</v>
      </c>
      <c r="GL675">
        <v>0</v>
      </c>
      <c r="GO675">
        <v>0</v>
      </c>
      <c r="GP675">
        <v>0</v>
      </c>
      <c r="GQ675">
        <v>0</v>
      </c>
      <c r="GR675">
        <v>0</v>
      </c>
      <c r="GS675">
        <v>0</v>
      </c>
      <c r="GT675">
        <v>0</v>
      </c>
      <c r="GU675">
        <v>0</v>
      </c>
      <c r="GV675">
        <v>0</v>
      </c>
      <c r="GW675">
        <v>0</v>
      </c>
      <c r="GX675">
        <v>0</v>
      </c>
      <c r="GY675">
        <v>0</v>
      </c>
      <c r="GZ675">
        <v>0</v>
      </c>
      <c r="HA675">
        <v>0</v>
      </c>
      <c r="HB675">
        <v>0</v>
      </c>
      <c r="HC675">
        <v>0</v>
      </c>
      <c r="HD675">
        <v>0</v>
      </c>
      <c r="HE675">
        <v>0</v>
      </c>
      <c r="HF675">
        <v>0</v>
      </c>
      <c r="HG675">
        <v>0</v>
      </c>
      <c r="HH675">
        <v>0</v>
      </c>
      <c r="HI675">
        <v>0</v>
      </c>
      <c r="HJ675">
        <v>0</v>
      </c>
      <c r="HK675">
        <v>0</v>
      </c>
      <c r="HL675">
        <v>0</v>
      </c>
      <c r="HM675">
        <v>0</v>
      </c>
      <c r="HN675">
        <v>0</v>
      </c>
      <c r="HO675">
        <v>0</v>
      </c>
      <c r="HP675">
        <v>0</v>
      </c>
      <c r="HQ675">
        <v>0</v>
      </c>
      <c r="HR675">
        <v>0</v>
      </c>
      <c r="HS675">
        <v>0</v>
      </c>
      <c r="HT675">
        <v>0</v>
      </c>
      <c r="HU675">
        <v>0</v>
      </c>
      <c r="HV675">
        <v>0</v>
      </c>
      <c r="HW675">
        <v>404.70000000000005</v>
      </c>
      <c r="HX675">
        <v>342.3</v>
      </c>
      <c r="HZ675">
        <v>866.2</v>
      </c>
      <c r="IA675">
        <v>1142.8</v>
      </c>
      <c r="IB675">
        <v>1121.5</v>
      </c>
      <c r="IC675">
        <v>2403</v>
      </c>
      <c r="ID675">
        <v>2659.3</v>
      </c>
      <c r="IE675">
        <v>1923.4</v>
      </c>
      <c r="IF675">
        <v>1465.7</v>
      </c>
      <c r="IG675">
        <v>1608.3</v>
      </c>
      <c r="IH675">
        <v>0</v>
      </c>
      <c r="II675">
        <v>0</v>
      </c>
      <c r="IJ675">
        <v>0</v>
      </c>
      <c r="IK675">
        <v>0</v>
      </c>
      <c r="IL675">
        <v>0</v>
      </c>
      <c r="IM675">
        <v>0</v>
      </c>
      <c r="IN675">
        <v>0</v>
      </c>
      <c r="IO675">
        <v>0</v>
      </c>
      <c r="IP675">
        <v>75.099999999999994</v>
      </c>
    </row>
    <row r="676" spans="1:250" ht="18" thickBot="1">
      <c r="A676" s="245"/>
      <c r="B676" s="245" t="s">
        <v>474</v>
      </c>
      <c r="C676" s="230" t="s">
        <v>1110</v>
      </c>
      <c r="D676" s="397"/>
      <c r="E676" s="454">
        <v>0</v>
      </c>
      <c r="F676">
        <v>0</v>
      </c>
      <c r="G676" s="427">
        <v>0</v>
      </c>
      <c r="H676" s="155">
        <v>0</v>
      </c>
      <c r="I676">
        <v>0</v>
      </c>
      <c r="J676">
        <v>0</v>
      </c>
      <c r="K676">
        <v>0</v>
      </c>
      <c r="L676" s="4">
        <v>0</v>
      </c>
      <c r="M676" s="4">
        <v>0</v>
      </c>
      <c r="N676" s="4">
        <v>0</v>
      </c>
      <c r="O676" s="4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R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G676">
        <v>0</v>
      </c>
      <c r="BI676">
        <v>0</v>
      </c>
      <c r="BK676">
        <v>0</v>
      </c>
      <c r="BL676">
        <v>0</v>
      </c>
      <c r="BM676">
        <v>0</v>
      </c>
      <c r="BN676">
        <v>0</v>
      </c>
      <c r="BO676">
        <v>344.70000000000005</v>
      </c>
      <c r="BP676">
        <v>625.70000000000005</v>
      </c>
      <c r="BQ676">
        <v>912.2</v>
      </c>
      <c r="BR676">
        <v>237.7</v>
      </c>
      <c r="BS676">
        <v>0</v>
      </c>
      <c r="BT676">
        <v>0</v>
      </c>
      <c r="BU676">
        <v>0</v>
      </c>
      <c r="BV676">
        <v>0</v>
      </c>
      <c r="BW676">
        <v>1647.4</v>
      </c>
      <c r="BY676">
        <v>453.1</v>
      </c>
      <c r="CA676">
        <v>285.39999999999998</v>
      </c>
      <c r="CB676">
        <v>280.8</v>
      </c>
      <c r="CC676">
        <v>127.7</v>
      </c>
      <c r="CD676">
        <v>0</v>
      </c>
      <c r="CE676">
        <v>0</v>
      </c>
      <c r="CF676">
        <v>0</v>
      </c>
      <c r="CG676">
        <v>0</v>
      </c>
      <c r="CI676">
        <v>0</v>
      </c>
      <c r="CJ676">
        <v>0</v>
      </c>
      <c r="CL676">
        <v>0</v>
      </c>
      <c r="CM676">
        <v>0</v>
      </c>
      <c r="CN676">
        <v>0</v>
      </c>
      <c r="CO676">
        <v>0</v>
      </c>
      <c r="CP676">
        <v>0</v>
      </c>
      <c r="CQ676">
        <v>621.70000000000005</v>
      </c>
      <c r="CR676">
        <v>481.70000000000005</v>
      </c>
      <c r="CS676">
        <v>0</v>
      </c>
      <c r="CT676">
        <v>524.6</v>
      </c>
      <c r="CU676">
        <v>514.1</v>
      </c>
      <c r="CV676">
        <v>175.2</v>
      </c>
      <c r="CW676">
        <v>0</v>
      </c>
      <c r="CX676">
        <v>65.099999999999994</v>
      </c>
      <c r="CY676">
        <v>199</v>
      </c>
      <c r="CZ676">
        <v>1907.9</v>
      </c>
      <c r="DA676">
        <v>0</v>
      </c>
      <c r="DB676">
        <v>0</v>
      </c>
      <c r="DC676">
        <v>0</v>
      </c>
      <c r="DD676">
        <v>0</v>
      </c>
      <c r="DE676">
        <v>0</v>
      </c>
      <c r="DF676">
        <v>0</v>
      </c>
      <c r="DG676">
        <v>0</v>
      </c>
      <c r="DH676">
        <v>0</v>
      </c>
      <c r="DI676">
        <v>0</v>
      </c>
      <c r="DJ676">
        <v>0</v>
      </c>
      <c r="DK676">
        <v>0</v>
      </c>
      <c r="DL676">
        <v>0</v>
      </c>
      <c r="DM676">
        <v>1065.4000000000001</v>
      </c>
      <c r="DN676">
        <v>599.70000000000005</v>
      </c>
      <c r="DO676">
        <v>319.7</v>
      </c>
      <c r="DP676">
        <v>1570.6999999999998</v>
      </c>
      <c r="DQ676">
        <v>1399.5</v>
      </c>
      <c r="DR676">
        <v>3581</v>
      </c>
      <c r="DU676">
        <v>1393.2</v>
      </c>
      <c r="DV676">
        <v>2862.6</v>
      </c>
      <c r="DY676">
        <v>2361</v>
      </c>
      <c r="EA676">
        <v>2409.6</v>
      </c>
      <c r="EC676">
        <v>1661.3999999999999</v>
      </c>
      <c r="EE676">
        <v>0</v>
      </c>
      <c r="EF676">
        <v>0</v>
      </c>
      <c r="EG676">
        <v>0</v>
      </c>
      <c r="EH676">
        <v>0</v>
      </c>
      <c r="EI676">
        <v>0</v>
      </c>
      <c r="EJ676">
        <v>0</v>
      </c>
      <c r="EK676">
        <v>0</v>
      </c>
      <c r="EL676">
        <v>0</v>
      </c>
      <c r="EM676">
        <v>0</v>
      </c>
      <c r="EN676">
        <v>0</v>
      </c>
      <c r="EO676">
        <v>0</v>
      </c>
      <c r="EP676">
        <v>944.5</v>
      </c>
      <c r="EQ676">
        <v>3459.7</v>
      </c>
      <c r="ER676">
        <v>1353.5</v>
      </c>
      <c r="ES676">
        <v>182.2</v>
      </c>
      <c r="ET676">
        <v>855.59999999999991</v>
      </c>
      <c r="EU676">
        <v>172.2</v>
      </c>
      <c r="EV676">
        <v>203.2</v>
      </c>
      <c r="EW676">
        <v>1173.0999999999999</v>
      </c>
      <c r="EX676">
        <v>1078.3</v>
      </c>
      <c r="EY676">
        <v>1194.4000000000001</v>
      </c>
      <c r="EZ676">
        <v>1207.0999999999999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0</v>
      </c>
      <c r="FG676">
        <v>0</v>
      </c>
      <c r="FH676">
        <v>0</v>
      </c>
      <c r="FI676">
        <v>0</v>
      </c>
      <c r="FJ676">
        <v>0</v>
      </c>
      <c r="FK676">
        <v>0</v>
      </c>
      <c r="FL676">
        <v>0</v>
      </c>
      <c r="FM676">
        <v>0</v>
      </c>
      <c r="FN676">
        <v>0</v>
      </c>
      <c r="FO676">
        <v>0</v>
      </c>
      <c r="FP676">
        <v>0</v>
      </c>
      <c r="FQ676">
        <v>0</v>
      </c>
      <c r="FR676">
        <v>0</v>
      </c>
      <c r="FS676">
        <v>0</v>
      </c>
      <c r="FT676">
        <v>0</v>
      </c>
      <c r="FU676">
        <v>0</v>
      </c>
      <c r="FV676">
        <v>0</v>
      </c>
      <c r="FW676">
        <v>0</v>
      </c>
      <c r="FX676">
        <v>0</v>
      </c>
      <c r="FY676">
        <v>0</v>
      </c>
      <c r="FZ676">
        <v>0</v>
      </c>
      <c r="GA676">
        <v>0</v>
      </c>
      <c r="GB676">
        <v>0</v>
      </c>
      <c r="GC676">
        <v>0</v>
      </c>
      <c r="GD676">
        <v>0</v>
      </c>
      <c r="GE676">
        <v>0</v>
      </c>
      <c r="GF676">
        <v>0</v>
      </c>
      <c r="GG676">
        <v>0</v>
      </c>
      <c r="GH676">
        <v>0</v>
      </c>
      <c r="GI676">
        <v>0</v>
      </c>
      <c r="GJ676">
        <v>0</v>
      </c>
      <c r="GK676">
        <v>0</v>
      </c>
      <c r="GL676">
        <v>0</v>
      </c>
      <c r="GO676">
        <v>0</v>
      </c>
      <c r="GP676">
        <v>0</v>
      </c>
      <c r="GQ676">
        <v>0</v>
      </c>
      <c r="GR676">
        <v>0</v>
      </c>
      <c r="GS676">
        <v>0</v>
      </c>
      <c r="GT676">
        <v>0</v>
      </c>
      <c r="GU676">
        <v>0</v>
      </c>
      <c r="GV676">
        <v>0</v>
      </c>
      <c r="GW676">
        <v>0</v>
      </c>
      <c r="GX676">
        <v>0</v>
      </c>
      <c r="GY676">
        <v>0</v>
      </c>
      <c r="GZ676">
        <v>0</v>
      </c>
      <c r="HA676">
        <v>0</v>
      </c>
      <c r="HB676">
        <v>0</v>
      </c>
      <c r="HC676">
        <v>0</v>
      </c>
      <c r="HD676">
        <v>0</v>
      </c>
      <c r="HE676">
        <v>0</v>
      </c>
      <c r="HF676">
        <v>0</v>
      </c>
      <c r="HG676">
        <v>0</v>
      </c>
      <c r="HH676">
        <v>0</v>
      </c>
      <c r="HI676">
        <v>0</v>
      </c>
      <c r="HJ676">
        <v>0</v>
      </c>
      <c r="HK676">
        <v>0</v>
      </c>
      <c r="HL676">
        <v>0</v>
      </c>
      <c r="HM676">
        <v>0</v>
      </c>
      <c r="HN676">
        <v>0</v>
      </c>
      <c r="HO676">
        <v>0</v>
      </c>
      <c r="HP676">
        <v>0</v>
      </c>
      <c r="HQ676">
        <v>0</v>
      </c>
      <c r="HR676">
        <v>0</v>
      </c>
      <c r="HS676">
        <v>0</v>
      </c>
      <c r="HT676">
        <v>0</v>
      </c>
      <c r="HU676">
        <v>0</v>
      </c>
      <c r="HV676">
        <v>0</v>
      </c>
      <c r="HW676">
        <v>404.70000000000005</v>
      </c>
      <c r="HX676">
        <v>342.3</v>
      </c>
      <c r="HZ676">
        <v>866.2</v>
      </c>
      <c r="IA676">
        <v>1142.8</v>
      </c>
      <c r="IB676">
        <v>1121.5</v>
      </c>
      <c r="IC676">
        <v>2403</v>
      </c>
      <c r="ID676">
        <v>2659.3</v>
      </c>
      <c r="IE676">
        <v>1923.4</v>
      </c>
      <c r="IF676">
        <v>1465.7</v>
      </c>
      <c r="IG676">
        <v>1608.3</v>
      </c>
      <c r="IH676">
        <v>0</v>
      </c>
      <c r="II676">
        <v>0</v>
      </c>
      <c r="IJ676">
        <v>0</v>
      </c>
      <c r="IK676">
        <v>0</v>
      </c>
      <c r="IL676">
        <v>0</v>
      </c>
      <c r="IM676">
        <v>0</v>
      </c>
      <c r="IN676">
        <v>0</v>
      </c>
      <c r="IO676">
        <v>0</v>
      </c>
      <c r="IP676">
        <v>75.099999999999994</v>
      </c>
    </row>
    <row r="677" spans="1:250" ht="18" thickBot="1">
      <c r="A677" s="245"/>
      <c r="B677" s="245" t="s">
        <v>475</v>
      </c>
      <c r="C677" s="230" t="s">
        <v>1111</v>
      </c>
      <c r="D677" s="397"/>
      <c r="E677" s="454">
        <v>0</v>
      </c>
      <c r="F677">
        <v>0</v>
      </c>
      <c r="G677" s="427">
        <v>0</v>
      </c>
      <c r="H677" s="155">
        <v>0</v>
      </c>
      <c r="I677">
        <v>0</v>
      </c>
      <c r="J677">
        <v>0</v>
      </c>
      <c r="K677">
        <v>0</v>
      </c>
      <c r="L677" s="4">
        <v>0</v>
      </c>
      <c r="M677" s="4">
        <v>0</v>
      </c>
      <c r="N677" s="4">
        <v>0</v>
      </c>
      <c r="O677" s="4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R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G677">
        <v>0</v>
      </c>
      <c r="BI677">
        <v>0</v>
      </c>
      <c r="BK677">
        <v>0</v>
      </c>
      <c r="BL677">
        <v>0</v>
      </c>
      <c r="BM677">
        <v>0</v>
      </c>
      <c r="BN677">
        <v>0</v>
      </c>
      <c r="BO677">
        <v>344.70000000000005</v>
      </c>
      <c r="BP677">
        <v>625.70000000000005</v>
      </c>
      <c r="BQ677">
        <v>912.2</v>
      </c>
      <c r="BR677">
        <v>237.7</v>
      </c>
      <c r="BS677">
        <v>0</v>
      </c>
      <c r="BT677">
        <v>0</v>
      </c>
      <c r="BU677">
        <v>0</v>
      </c>
      <c r="BV677">
        <v>0</v>
      </c>
      <c r="BW677">
        <v>1647.4</v>
      </c>
      <c r="BY677">
        <v>453.1</v>
      </c>
      <c r="CA677">
        <v>285.39999999999998</v>
      </c>
      <c r="CB677">
        <v>280.8</v>
      </c>
      <c r="CC677">
        <v>127.7</v>
      </c>
      <c r="CD677">
        <v>0</v>
      </c>
      <c r="CE677">
        <v>0</v>
      </c>
      <c r="CF677">
        <v>0</v>
      </c>
      <c r="CG677">
        <v>0</v>
      </c>
      <c r="CI677">
        <v>0</v>
      </c>
      <c r="CJ677">
        <v>0</v>
      </c>
      <c r="CL677">
        <v>0</v>
      </c>
      <c r="CM677">
        <v>0</v>
      </c>
      <c r="CN677">
        <v>0</v>
      </c>
      <c r="CO677">
        <v>0</v>
      </c>
      <c r="CP677">
        <v>0</v>
      </c>
      <c r="CQ677">
        <v>621.70000000000005</v>
      </c>
      <c r="CR677">
        <v>481.70000000000005</v>
      </c>
      <c r="CS677">
        <v>0</v>
      </c>
      <c r="CT677">
        <v>524.6</v>
      </c>
      <c r="CU677">
        <v>514.1</v>
      </c>
      <c r="CV677">
        <v>175.2</v>
      </c>
      <c r="CW677">
        <v>0</v>
      </c>
      <c r="CX677">
        <v>65.099999999999994</v>
      </c>
      <c r="CY677">
        <v>199</v>
      </c>
      <c r="CZ677">
        <v>1907.9</v>
      </c>
      <c r="DA677">
        <v>0</v>
      </c>
      <c r="DB677">
        <v>0</v>
      </c>
      <c r="DC677">
        <v>0</v>
      </c>
      <c r="DD677">
        <v>0</v>
      </c>
      <c r="DE677">
        <v>0</v>
      </c>
      <c r="DF677">
        <v>0</v>
      </c>
      <c r="DG677">
        <v>0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1065.4000000000001</v>
      </c>
      <c r="DN677">
        <v>599.70000000000005</v>
      </c>
      <c r="DO677">
        <v>319.7</v>
      </c>
      <c r="DP677">
        <v>1570.6999999999998</v>
      </c>
      <c r="DQ677">
        <v>1399.5</v>
      </c>
      <c r="DR677">
        <v>3581</v>
      </c>
      <c r="DU677">
        <v>1393.2</v>
      </c>
      <c r="DV677">
        <v>2862.6</v>
      </c>
      <c r="DY677">
        <v>2361</v>
      </c>
      <c r="EA677">
        <v>2409.6</v>
      </c>
      <c r="EC677">
        <v>1661.3999999999999</v>
      </c>
      <c r="EE677">
        <v>0</v>
      </c>
      <c r="EF677">
        <v>0</v>
      </c>
      <c r="EG677">
        <v>0</v>
      </c>
      <c r="EH677">
        <v>0</v>
      </c>
      <c r="EI677">
        <v>0</v>
      </c>
      <c r="EJ677">
        <v>0</v>
      </c>
      <c r="EK677">
        <v>0</v>
      </c>
      <c r="EL677">
        <v>0</v>
      </c>
      <c r="EM677">
        <v>0</v>
      </c>
      <c r="EN677">
        <v>0</v>
      </c>
      <c r="EO677">
        <v>0</v>
      </c>
      <c r="EP677">
        <v>944.5</v>
      </c>
      <c r="EQ677">
        <v>3459.7</v>
      </c>
      <c r="ER677">
        <v>1353.5</v>
      </c>
      <c r="ES677">
        <v>182.2</v>
      </c>
      <c r="ET677">
        <v>855.59999999999991</v>
      </c>
      <c r="EU677">
        <v>172.2</v>
      </c>
      <c r="EV677">
        <v>203.2</v>
      </c>
      <c r="EW677">
        <v>1173.0999999999999</v>
      </c>
      <c r="EX677">
        <v>1078.3</v>
      </c>
      <c r="EY677">
        <v>1194.4000000000001</v>
      </c>
      <c r="EZ677">
        <v>1207.0999999999999</v>
      </c>
      <c r="FA677">
        <v>0</v>
      </c>
      <c r="FB677">
        <v>0</v>
      </c>
      <c r="FC677">
        <v>0</v>
      </c>
      <c r="FD677">
        <v>0</v>
      </c>
      <c r="FE677">
        <v>0</v>
      </c>
      <c r="FF677">
        <v>0</v>
      </c>
      <c r="FG677">
        <v>0</v>
      </c>
      <c r="FH677">
        <v>0</v>
      </c>
      <c r="FI677">
        <v>0</v>
      </c>
      <c r="FJ677">
        <v>0</v>
      </c>
      <c r="FK677">
        <v>0</v>
      </c>
      <c r="FL677">
        <v>0</v>
      </c>
      <c r="FM677">
        <v>0</v>
      </c>
      <c r="FN677">
        <v>0</v>
      </c>
      <c r="FO677">
        <v>0</v>
      </c>
      <c r="FP677">
        <v>0</v>
      </c>
      <c r="FQ677">
        <v>0</v>
      </c>
      <c r="FR677">
        <v>0</v>
      </c>
      <c r="FS677">
        <v>0</v>
      </c>
      <c r="FT677">
        <v>0</v>
      </c>
      <c r="FU677">
        <v>0</v>
      </c>
      <c r="FV677">
        <v>0</v>
      </c>
      <c r="FW677">
        <v>0</v>
      </c>
      <c r="FX677">
        <v>0</v>
      </c>
      <c r="FY677">
        <v>0</v>
      </c>
      <c r="FZ677">
        <v>0</v>
      </c>
      <c r="GA677">
        <v>0</v>
      </c>
      <c r="GB677">
        <v>0</v>
      </c>
      <c r="GC677">
        <v>0</v>
      </c>
      <c r="GD677">
        <v>0</v>
      </c>
      <c r="GE677">
        <v>0</v>
      </c>
      <c r="GF677">
        <v>0</v>
      </c>
      <c r="GG677">
        <v>0</v>
      </c>
      <c r="GH677">
        <v>0</v>
      </c>
      <c r="GI677">
        <v>0</v>
      </c>
      <c r="GJ677">
        <v>0</v>
      </c>
      <c r="GK677">
        <v>0</v>
      </c>
      <c r="GL677">
        <v>0</v>
      </c>
      <c r="GO677">
        <v>0</v>
      </c>
      <c r="GP677">
        <v>0</v>
      </c>
      <c r="GQ677">
        <v>0</v>
      </c>
      <c r="GR677">
        <v>0</v>
      </c>
      <c r="GS677">
        <v>0</v>
      </c>
      <c r="GT677">
        <v>0</v>
      </c>
      <c r="GU677">
        <v>0</v>
      </c>
      <c r="GV677">
        <v>0</v>
      </c>
      <c r="GW677">
        <v>0</v>
      </c>
      <c r="GX677">
        <v>0</v>
      </c>
      <c r="GY677">
        <v>0</v>
      </c>
      <c r="GZ677">
        <v>0</v>
      </c>
      <c r="HA677">
        <v>0</v>
      </c>
      <c r="HB677">
        <v>0</v>
      </c>
      <c r="HC677">
        <v>0</v>
      </c>
      <c r="HD677">
        <v>0</v>
      </c>
      <c r="HE677">
        <v>0</v>
      </c>
      <c r="HF677">
        <v>0</v>
      </c>
      <c r="HG677">
        <v>0</v>
      </c>
      <c r="HH677">
        <v>0</v>
      </c>
      <c r="HI677">
        <v>0</v>
      </c>
      <c r="HJ677">
        <v>0</v>
      </c>
      <c r="HK677">
        <v>0</v>
      </c>
      <c r="HL677">
        <v>0</v>
      </c>
      <c r="HM677">
        <v>0</v>
      </c>
      <c r="HN677">
        <v>0</v>
      </c>
      <c r="HO677">
        <v>0</v>
      </c>
      <c r="HP677">
        <v>0</v>
      </c>
      <c r="HQ677">
        <v>0</v>
      </c>
      <c r="HR677">
        <v>0</v>
      </c>
      <c r="HS677">
        <v>0</v>
      </c>
      <c r="HT677">
        <v>0</v>
      </c>
      <c r="HU677">
        <v>0</v>
      </c>
      <c r="HV677">
        <v>0</v>
      </c>
      <c r="HW677">
        <v>404.70000000000005</v>
      </c>
      <c r="HX677">
        <v>342.3</v>
      </c>
      <c r="HZ677">
        <v>866.2</v>
      </c>
      <c r="IA677">
        <v>1142.8</v>
      </c>
      <c r="IB677">
        <v>1121.5</v>
      </c>
      <c r="IC677">
        <v>2403</v>
      </c>
      <c r="ID677">
        <v>2659.3</v>
      </c>
      <c r="IE677">
        <v>1923.4</v>
      </c>
      <c r="IF677">
        <v>1465.7</v>
      </c>
      <c r="IG677">
        <v>1608.3</v>
      </c>
      <c r="IH677">
        <v>0</v>
      </c>
      <c r="II677">
        <v>0</v>
      </c>
      <c r="IJ677">
        <v>0</v>
      </c>
      <c r="IK677">
        <v>0</v>
      </c>
      <c r="IL677">
        <v>0</v>
      </c>
      <c r="IM677">
        <v>0</v>
      </c>
      <c r="IN677">
        <v>0</v>
      </c>
      <c r="IO677">
        <v>0</v>
      </c>
      <c r="IP677">
        <v>75.099999999999994</v>
      </c>
    </row>
    <row r="678" spans="1:250" ht="18" thickBot="1">
      <c r="A678" s="245"/>
      <c r="B678" s="245" t="s">
        <v>476</v>
      </c>
      <c r="C678" s="230" t="s">
        <v>1112</v>
      </c>
      <c r="D678" s="397"/>
      <c r="E678" s="454">
        <v>0</v>
      </c>
      <c r="F678">
        <v>0</v>
      </c>
      <c r="G678" s="427">
        <v>0</v>
      </c>
      <c r="H678" s="155">
        <v>0</v>
      </c>
      <c r="I678">
        <v>0</v>
      </c>
      <c r="J678">
        <v>0</v>
      </c>
      <c r="K678">
        <v>0</v>
      </c>
      <c r="L678" s="4">
        <v>0</v>
      </c>
      <c r="M678" s="4">
        <v>0</v>
      </c>
      <c r="N678" s="4">
        <v>0</v>
      </c>
      <c r="O678" s="4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R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G678">
        <v>0</v>
      </c>
      <c r="BI678">
        <v>0</v>
      </c>
      <c r="BK678">
        <v>0</v>
      </c>
      <c r="BL678">
        <v>0</v>
      </c>
      <c r="BM678">
        <v>0</v>
      </c>
      <c r="BN678">
        <v>0</v>
      </c>
      <c r="BO678">
        <v>344.70000000000005</v>
      </c>
      <c r="BP678">
        <v>625.70000000000005</v>
      </c>
      <c r="BQ678">
        <v>912.2</v>
      </c>
      <c r="BR678">
        <v>237.7</v>
      </c>
      <c r="BS678">
        <v>0</v>
      </c>
      <c r="BT678">
        <v>0</v>
      </c>
      <c r="BU678">
        <v>0</v>
      </c>
      <c r="BV678">
        <v>0</v>
      </c>
      <c r="BW678">
        <v>1647.4</v>
      </c>
      <c r="BY678">
        <v>453.1</v>
      </c>
      <c r="CA678">
        <v>285.39999999999998</v>
      </c>
      <c r="CB678">
        <v>280.8</v>
      </c>
      <c r="CC678">
        <v>127.7</v>
      </c>
      <c r="CD678">
        <v>0</v>
      </c>
      <c r="CE678">
        <v>0</v>
      </c>
      <c r="CF678">
        <v>0</v>
      </c>
      <c r="CG678">
        <v>0</v>
      </c>
      <c r="CI678">
        <v>0</v>
      </c>
      <c r="CJ678">
        <v>0</v>
      </c>
      <c r="CL678">
        <v>0</v>
      </c>
      <c r="CM678">
        <v>0</v>
      </c>
      <c r="CN678">
        <v>0</v>
      </c>
      <c r="CO678">
        <v>0</v>
      </c>
      <c r="CP678">
        <v>0</v>
      </c>
      <c r="CQ678">
        <v>621.70000000000005</v>
      </c>
      <c r="CR678">
        <v>481.70000000000005</v>
      </c>
      <c r="CS678">
        <v>0</v>
      </c>
      <c r="CT678">
        <v>524.6</v>
      </c>
      <c r="CU678">
        <v>514.1</v>
      </c>
      <c r="CV678">
        <v>175.2</v>
      </c>
      <c r="CW678">
        <v>0</v>
      </c>
      <c r="CX678">
        <v>65.099999999999994</v>
      </c>
      <c r="CY678">
        <v>199</v>
      </c>
      <c r="CZ678">
        <v>1907.9</v>
      </c>
      <c r="DA678">
        <v>0</v>
      </c>
      <c r="DB678">
        <v>0</v>
      </c>
      <c r="DC678">
        <v>0</v>
      </c>
      <c r="DD678">
        <v>0</v>
      </c>
      <c r="DE678">
        <v>0</v>
      </c>
      <c r="DF678">
        <v>0</v>
      </c>
      <c r="DG678">
        <v>0</v>
      </c>
      <c r="DH678">
        <v>0</v>
      </c>
      <c r="DI678">
        <v>0</v>
      </c>
      <c r="DJ678">
        <v>0</v>
      </c>
      <c r="DK678">
        <v>0</v>
      </c>
      <c r="DL678">
        <v>0</v>
      </c>
      <c r="DM678">
        <v>1065.4000000000001</v>
      </c>
      <c r="DN678">
        <v>599.70000000000005</v>
      </c>
      <c r="DO678">
        <v>319.7</v>
      </c>
      <c r="DP678">
        <v>1570.6999999999998</v>
      </c>
      <c r="DQ678">
        <v>1399.5</v>
      </c>
      <c r="DR678">
        <v>3581</v>
      </c>
      <c r="DU678">
        <v>1393.2</v>
      </c>
      <c r="DV678">
        <v>2862.6</v>
      </c>
      <c r="DY678">
        <v>2361</v>
      </c>
      <c r="EA678">
        <v>2409.6</v>
      </c>
      <c r="EC678">
        <v>1661.3999999999999</v>
      </c>
      <c r="EE678">
        <v>0</v>
      </c>
      <c r="EF678">
        <v>0</v>
      </c>
      <c r="EG678">
        <v>0</v>
      </c>
      <c r="EH678">
        <v>0</v>
      </c>
      <c r="EI678">
        <v>0</v>
      </c>
      <c r="EJ678">
        <v>0</v>
      </c>
      <c r="EK678">
        <v>0</v>
      </c>
      <c r="EL678">
        <v>0</v>
      </c>
      <c r="EM678">
        <v>0</v>
      </c>
      <c r="EN678">
        <v>0</v>
      </c>
      <c r="EO678">
        <v>0</v>
      </c>
      <c r="EP678">
        <v>944.5</v>
      </c>
      <c r="EQ678">
        <v>3459.7</v>
      </c>
      <c r="ER678">
        <v>1353.5</v>
      </c>
      <c r="ES678">
        <v>182.2</v>
      </c>
      <c r="ET678">
        <v>855.59999999999991</v>
      </c>
      <c r="EU678">
        <v>172.2</v>
      </c>
      <c r="EV678">
        <v>203.2</v>
      </c>
      <c r="EW678">
        <v>1173.0999999999999</v>
      </c>
      <c r="EX678">
        <v>1078.3</v>
      </c>
      <c r="EY678">
        <v>1194.4000000000001</v>
      </c>
      <c r="EZ678">
        <v>1207.0999999999999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0</v>
      </c>
      <c r="FG678">
        <v>0</v>
      </c>
      <c r="FH678">
        <v>0</v>
      </c>
      <c r="FI678">
        <v>0</v>
      </c>
      <c r="FJ678">
        <v>0</v>
      </c>
      <c r="FK678">
        <v>0</v>
      </c>
      <c r="FL678">
        <v>0</v>
      </c>
      <c r="FM678">
        <v>0</v>
      </c>
      <c r="FN678">
        <v>0</v>
      </c>
      <c r="FO678">
        <v>0</v>
      </c>
      <c r="FP678">
        <v>0</v>
      </c>
      <c r="FQ678">
        <v>0</v>
      </c>
      <c r="FR678">
        <v>0</v>
      </c>
      <c r="FS678">
        <v>0</v>
      </c>
      <c r="FT678">
        <v>0</v>
      </c>
      <c r="FU678">
        <v>0</v>
      </c>
      <c r="FV678">
        <v>0</v>
      </c>
      <c r="FW678">
        <v>0</v>
      </c>
      <c r="FX678">
        <v>0</v>
      </c>
      <c r="FY678">
        <v>0</v>
      </c>
      <c r="FZ678">
        <v>0</v>
      </c>
      <c r="GA678">
        <v>0</v>
      </c>
      <c r="GB678">
        <v>0</v>
      </c>
      <c r="GC678">
        <v>0</v>
      </c>
      <c r="GD678">
        <v>0</v>
      </c>
      <c r="GE678">
        <v>0</v>
      </c>
      <c r="GF678">
        <v>0</v>
      </c>
      <c r="GG678">
        <v>0</v>
      </c>
      <c r="GH678">
        <v>0</v>
      </c>
      <c r="GI678">
        <v>0</v>
      </c>
      <c r="GJ678">
        <v>0</v>
      </c>
      <c r="GK678">
        <v>0</v>
      </c>
      <c r="GL678">
        <v>0</v>
      </c>
      <c r="GO678">
        <v>0</v>
      </c>
      <c r="GP678">
        <v>0</v>
      </c>
      <c r="GQ678">
        <v>0</v>
      </c>
      <c r="GR678">
        <v>0</v>
      </c>
      <c r="GS678">
        <v>0</v>
      </c>
      <c r="GT678">
        <v>0</v>
      </c>
      <c r="GU678">
        <v>0</v>
      </c>
      <c r="GV678">
        <v>0</v>
      </c>
      <c r="GW678">
        <v>0</v>
      </c>
      <c r="GX678">
        <v>0</v>
      </c>
      <c r="GY678">
        <v>0</v>
      </c>
      <c r="GZ678">
        <v>0</v>
      </c>
      <c r="HA678">
        <v>0</v>
      </c>
      <c r="HB678">
        <v>0</v>
      </c>
      <c r="HC678">
        <v>0</v>
      </c>
      <c r="HD678">
        <v>0</v>
      </c>
      <c r="HE678">
        <v>0</v>
      </c>
      <c r="HF678">
        <v>0</v>
      </c>
      <c r="HG678">
        <v>0</v>
      </c>
      <c r="HH678">
        <v>0</v>
      </c>
      <c r="HI678">
        <v>0</v>
      </c>
      <c r="HJ678">
        <v>0</v>
      </c>
      <c r="HK678">
        <v>0</v>
      </c>
      <c r="HL678">
        <v>0</v>
      </c>
      <c r="HM678">
        <v>0</v>
      </c>
      <c r="HN678">
        <v>0</v>
      </c>
      <c r="HO678">
        <v>0</v>
      </c>
      <c r="HP678">
        <v>0</v>
      </c>
      <c r="HQ678">
        <v>0</v>
      </c>
      <c r="HR678">
        <v>0</v>
      </c>
      <c r="HS678">
        <v>0</v>
      </c>
      <c r="HT678">
        <v>0</v>
      </c>
      <c r="HU678">
        <v>0</v>
      </c>
      <c r="HV678">
        <v>0</v>
      </c>
      <c r="HW678">
        <v>404.70000000000005</v>
      </c>
      <c r="HX678">
        <v>342.3</v>
      </c>
      <c r="HZ678">
        <v>866.2</v>
      </c>
      <c r="IA678">
        <v>1142.8</v>
      </c>
      <c r="IB678">
        <v>1121.5</v>
      </c>
      <c r="IC678">
        <v>2403</v>
      </c>
      <c r="ID678">
        <v>2659.3</v>
      </c>
      <c r="IE678">
        <v>1923.4</v>
      </c>
      <c r="IF678">
        <v>1465.7</v>
      </c>
      <c r="IG678">
        <v>1608.3</v>
      </c>
      <c r="IH678">
        <v>0</v>
      </c>
      <c r="II678">
        <v>0</v>
      </c>
      <c r="IJ678">
        <v>0</v>
      </c>
      <c r="IK678">
        <v>0</v>
      </c>
      <c r="IL678">
        <v>0</v>
      </c>
      <c r="IM678">
        <v>0</v>
      </c>
      <c r="IN678">
        <v>0</v>
      </c>
      <c r="IO678">
        <v>0</v>
      </c>
      <c r="IP678">
        <v>75.099999999999994</v>
      </c>
    </row>
    <row r="679" spans="1:250" ht="18" thickBot="1">
      <c r="A679" s="245"/>
      <c r="B679" s="245" t="s">
        <v>477</v>
      </c>
      <c r="C679" s="230" t="s">
        <v>1113</v>
      </c>
      <c r="D679" s="397"/>
      <c r="E679" s="454">
        <v>0</v>
      </c>
      <c r="F679">
        <v>0</v>
      </c>
      <c r="G679" s="427">
        <v>0</v>
      </c>
      <c r="H679" s="155">
        <v>0</v>
      </c>
      <c r="I679">
        <v>0</v>
      </c>
      <c r="J679">
        <v>0</v>
      </c>
      <c r="K679">
        <v>0</v>
      </c>
      <c r="L679" s="4">
        <v>0</v>
      </c>
      <c r="M679" s="4">
        <v>0</v>
      </c>
      <c r="N679" s="4">
        <v>0</v>
      </c>
      <c r="O679" s="4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R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G679">
        <v>0</v>
      </c>
      <c r="BI679">
        <v>0</v>
      </c>
      <c r="BK679">
        <v>0</v>
      </c>
      <c r="BL679">
        <v>0</v>
      </c>
      <c r="BM679">
        <v>0</v>
      </c>
      <c r="BN679">
        <v>0</v>
      </c>
      <c r="BO679">
        <v>344.70000000000005</v>
      </c>
      <c r="BP679">
        <v>625.70000000000005</v>
      </c>
      <c r="BQ679">
        <v>912.2</v>
      </c>
      <c r="BR679">
        <v>237.7</v>
      </c>
      <c r="BS679">
        <v>0</v>
      </c>
      <c r="BT679">
        <v>0</v>
      </c>
      <c r="BU679">
        <v>0</v>
      </c>
      <c r="BV679">
        <v>0</v>
      </c>
      <c r="BW679">
        <v>1647.4</v>
      </c>
      <c r="BY679">
        <v>453.1</v>
      </c>
      <c r="CA679">
        <v>285.39999999999998</v>
      </c>
      <c r="CB679">
        <v>280.8</v>
      </c>
      <c r="CC679">
        <v>127.7</v>
      </c>
      <c r="CD679">
        <v>0</v>
      </c>
      <c r="CE679">
        <v>0</v>
      </c>
      <c r="CF679">
        <v>0</v>
      </c>
      <c r="CG679">
        <v>0</v>
      </c>
      <c r="CI679">
        <v>0</v>
      </c>
      <c r="CJ679">
        <v>0</v>
      </c>
      <c r="CL679">
        <v>0</v>
      </c>
      <c r="CM679">
        <v>0</v>
      </c>
      <c r="CN679">
        <v>0</v>
      </c>
      <c r="CO679">
        <v>0</v>
      </c>
      <c r="CP679">
        <v>0</v>
      </c>
      <c r="CQ679">
        <v>621.70000000000005</v>
      </c>
      <c r="CR679">
        <v>481.70000000000005</v>
      </c>
      <c r="CS679">
        <v>0</v>
      </c>
      <c r="CT679">
        <v>524.6</v>
      </c>
      <c r="CU679">
        <v>514.1</v>
      </c>
      <c r="CV679">
        <v>175.2</v>
      </c>
      <c r="CW679">
        <v>0</v>
      </c>
      <c r="CX679">
        <v>65.099999999999994</v>
      </c>
      <c r="CY679">
        <v>199</v>
      </c>
      <c r="CZ679">
        <v>1907.9</v>
      </c>
      <c r="DA679">
        <v>0</v>
      </c>
      <c r="DB679">
        <v>0</v>
      </c>
      <c r="DC679">
        <v>0</v>
      </c>
      <c r="DD679">
        <v>0</v>
      </c>
      <c r="DE679">
        <v>0</v>
      </c>
      <c r="DF679">
        <v>0</v>
      </c>
      <c r="DG679">
        <v>0</v>
      </c>
      <c r="DH679">
        <v>0</v>
      </c>
      <c r="DI679">
        <v>0</v>
      </c>
      <c r="DJ679">
        <v>0</v>
      </c>
      <c r="DK679">
        <v>0</v>
      </c>
      <c r="DL679">
        <v>0</v>
      </c>
      <c r="DM679">
        <v>1065.4000000000001</v>
      </c>
      <c r="DN679">
        <v>599.70000000000005</v>
      </c>
      <c r="DO679">
        <v>319.7</v>
      </c>
      <c r="DP679">
        <v>1570.6999999999998</v>
      </c>
      <c r="DQ679">
        <v>1399.5</v>
      </c>
      <c r="DR679">
        <v>3581</v>
      </c>
      <c r="DU679">
        <v>1393.2</v>
      </c>
      <c r="DV679">
        <v>2862.6</v>
      </c>
      <c r="DY679">
        <v>2361</v>
      </c>
      <c r="EA679">
        <v>2409.6</v>
      </c>
      <c r="EC679">
        <v>1661.3999999999999</v>
      </c>
      <c r="EE679">
        <v>0</v>
      </c>
      <c r="EF679">
        <v>0</v>
      </c>
      <c r="EG679">
        <v>0</v>
      </c>
      <c r="EH679">
        <v>0</v>
      </c>
      <c r="EI679">
        <v>0</v>
      </c>
      <c r="EJ679">
        <v>0</v>
      </c>
      <c r="EK679">
        <v>0</v>
      </c>
      <c r="EL679">
        <v>0</v>
      </c>
      <c r="EM679">
        <v>0</v>
      </c>
      <c r="EN679">
        <v>0</v>
      </c>
      <c r="EO679">
        <v>0</v>
      </c>
      <c r="EP679">
        <v>944.5</v>
      </c>
      <c r="EQ679">
        <v>3459.7</v>
      </c>
      <c r="ER679">
        <v>1353.5</v>
      </c>
      <c r="ES679">
        <v>182.2</v>
      </c>
      <c r="ET679">
        <v>855.59999999999991</v>
      </c>
      <c r="EU679">
        <v>172.2</v>
      </c>
      <c r="EV679">
        <v>203.2</v>
      </c>
      <c r="EW679">
        <v>1173.0999999999999</v>
      </c>
      <c r="EX679">
        <v>1078.3</v>
      </c>
      <c r="EY679">
        <v>1194.4000000000001</v>
      </c>
      <c r="EZ679">
        <v>1207.0999999999999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0</v>
      </c>
      <c r="FG679">
        <v>0</v>
      </c>
      <c r="FH679">
        <v>0</v>
      </c>
      <c r="FI679">
        <v>0</v>
      </c>
      <c r="FJ679">
        <v>0</v>
      </c>
      <c r="FK679">
        <v>0</v>
      </c>
      <c r="FL679">
        <v>0</v>
      </c>
      <c r="FM679">
        <v>0</v>
      </c>
      <c r="FN679">
        <v>0</v>
      </c>
      <c r="FO679">
        <v>0</v>
      </c>
      <c r="FP679">
        <v>0</v>
      </c>
      <c r="FQ679">
        <v>0</v>
      </c>
      <c r="FR679">
        <v>0</v>
      </c>
      <c r="FS679">
        <v>0</v>
      </c>
      <c r="FT679">
        <v>0</v>
      </c>
      <c r="FU679">
        <v>0</v>
      </c>
      <c r="FV679">
        <v>0</v>
      </c>
      <c r="FW679">
        <v>0</v>
      </c>
      <c r="FX679">
        <v>0</v>
      </c>
      <c r="FY679">
        <v>0</v>
      </c>
      <c r="FZ679">
        <v>0</v>
      </c>
      <c r="GA679">
        <v>0</v>
      </c>
      <c r="GB679">
        <v>0</v>
      </c>
      <c r="GC679">
        <v>0</v>
      </c>
      <c r="GD679">
        <v>0</v>
      </c>
      <c r="GE679">
        <v>0</v>
      </c>
      <c r="GF679">
        <v>0</v>
      </c>
      <c r="GG679">
        <v>0</v>
      </c>
      <c r="GH679">
        <v>0</v>
      </c>
      <c r="GI679">
        <v>0</v>
      </c>
      <c r="GJ679">
        <v>0</v>
      </c>
      <c r="GK679">
        <v>0</v>
      </c>
      <c r="GL679">
        <v>0</v>
      </c>
      <c r="GO679">
        <v>0</v>
      </c>
      <c r="GP679">
        <v>0</v>
      </c>
      <c r="GQ679">
        <v>0</v>
      </c>
      <c r="GR679">
        <v>0</v>
      </c>
      <c r="GS679">
        <v>0</v>
      </c>
      <c r="GT679">
        <v>0</v>
      </c>
      <c r="GU679">
        <v>0</v>
      </c>
      <c r="GV679">
        <v>0</v>
      </c>
      <c r="GW679">
        <v>0</v>
      </c>
      <c r="GX679">
        <v>0</v>
      </c>
      <c r="GY679">
        <v>0</v>
      </c>
      <c r="GZ679">
        <v>0</v>
      </c>
      <c r="HA679">
        <v>0</v>
      </c>
      <c r="HB679">
        <v>0</v>
      </c>
      <c r="HC679">
        <v>0</v>
      </c>
      <c r="HD679">
        <v>0</v>
      </c>
      <c r="HE679">
        <v>0</v>
      </c>
      <c r="HF679">
        <v>0</v>
      </c>
      <c r="HG679">
        <v>0</v>
      </c>
      <c r="HH679">
        <v>0</v>
      </c>
      <c r="HI679">
        <v>0</v>
      </c>
      <c r="HJ679">
        <v>0</v>
      </c>
      <c r="HK679">
        <v>0</v>
      </c>
      <c r="HL679">
        <v>0</v>
      </c>
      <c r="HM679">
        <v>0</v>
      </c>
      <c r="HN679">
        <v>0</v>
      </c>
      <c r="HO679">
        <v>0</v>
      </c>
      <c r="HP679">
        <v>0</v>
      </c>
      <c r="HQ679">
        <v>0</v>
      </c>
      <c r="HR679">
        <v>0</v>
      </c>
      <c r="HS679">
        <v>0</v>
      </c>
      <c r="HT679">
        <v>0</v>
      </c>
      <c r="HU679">
        <v>0</v>
      </c>
      <c r="HV679">
        <v>0</v>
      </c>
      <c r="HW679">
        <v>404.70000000000005</v>
      </c>
      <c r="HX679">
        <v>342.3</v>
      </c>
      <c r="HZ679">
        <v>866.2</v>
      </c>
      <c r="IA679">
        <v>1142.8</v>
      </c>
      <c r="IB679">
        <v>1121.5</v>
      </c>
      <c r="IC679">
        <v>2403</v>
      </c>
      <c r="ID679">
        <v>2659.3</v>
      </c>
      <c r="IE679">
        <v>1923.4</v>
      </c>
      <c r="IF679">
        <v>1465.7</v>
      </c>
      <c r="IG679">
        <v>1608.3</v>
      </c>
      <c r="IH679">
        <v>0</v>
      </c>
      <c r="II679">
        <v>0</v>
      </c>
      <c r="IJ679">
        <v>0</v>
      </c>
      <c r="IK679">
        <v>0</v>
      </c>
      <c r="IL679">
        <v>0</v>
      </c>
      <c r="IM679">
        <v>0</v>
      </c>
      <c r="IN679">
        <v>0</v>
      </c>
      <c r="IO679">
        <v>0</v>
      </c>
      <c r="IP679">
        <v>75.099999999999994</v>
      </c>
    </row>
    <row r="680" spans="1:250" ht="18" thickBot="1">
      <c r="A680" s="245"/>
      <c r="B680" s="245" t="s">
        <v>478</v>
      </c>
      <c r="C680" s="230" t="s">
        <v>1114</v>
      </c>
      <c r="D680" s="397"/>
      <c r="E680" s="454">
        <v>0</v>
      </c>
      <c r="F680">
        <v>0</v>
      </c>
      <c r="G680" s="427">
        <v>0</v>
      </c>
      <c r="H680" s="155">
        <v>0</v>
      </c>
      <c r="I680">
        <v>0</v>
      </c>
      <c r="J680">
        <v>0</v>
      </c>
      <c r="K680">
        <v>0</v>
      </c>
      <c r="L680" s="4">
        <v>0</v>
      </c>
      <c r="M680" s="4">
        <v>0</v>
      </c>
      <c r="N680" s="4">
        <v>0</v>
      </c>
      <c r="O680" s="4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R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G680">
        <v>0</v>
      </c>
      <c r="BI680">
        <v>0</v>
      </c>
      <c r="BK680">
        <v>0</v>
      </c>
      <c r="BL680">
        <v>0</v>
      </c>
      <c r="BM680">
        <v>0</v>
      </c>
      <c r="BN680">
        <v>0</v>
      </c>
      <c r="BO680">
        <v>344.70000000000005</v>
      </c>
      <c r="BP680">
        <v>625.70000000000005</v>
      </c>
      <c r="BQ680">
        <v>912.2</v>
      </c>
      <c r="BR680">
        <v>237.7</v>
      </c>
      <c r="BS680">
        <v>0</v>
      </c>
      <c r="BT680">
        <v>0</v>
      </c>
      <c r="BU680">
        <v>0</v>
      </c>
      <c r="BV680">
        <v>0</v>
      </c>
      <c r="BW680">
        <v>1647.4</v>
      </c>
      <c r="BY680">
        <v>453.1</v>
      </c>
      <c r="CA680">
        <v>285.39999999999998</v>
      </c>
      <c r="CB680">
        <v>280.8</v>
      </c>
      <c r="CC680">
        <v>127.7</v>
      </c>
      <c r="CD680">
        <v>0</v>
      </c>
      <c r="CE680">
        <v>0</v>
      </c>
      <c r="CF680">
        <v>0</v>
      </c>
      <c r="CG680">
        <v>0</v>
      </c>
      <c r="CI680">
        <v>0</v>
      </c>
      <c r="CJ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621.70000000000005</v>
      </c>
      <c r="CR680">
        <v>481.70000000000005</v>
      </c>
      <c r="CS680">
        <v>0</v>
      </c>
      <c r="CT680">
        <v>524.6</v>
      </c>
      <c r="CU680">
        <v>514.1</v>
      </c>
      <c r="CV680">
        <v>175.2</v>
      </c>
      <c r="CW680">
        <v>0</v>
      </c>
      <c r="CX680">
        <v>65.099999999999994</v>
      </c>
      <c r="CY680">
        <v>199</v>
      </c>
      <c r="CZ680">
        <v>1907.9</v>
      </c>
      <c r="DA680">
        <v>0</v>
      </c>
      <c r="DB680">
        <v>0</v>
      </c>
      <c r="DC680">
        <v>0</v>
      </c>
      <c r="DD680">
        <v>0</v>
      </c>
      <c r="DE680">
        <v>0</v>
      </c>
      <c r="DF680">
        <v>0</v>
      </c>
      <c r="DG680">
        <v>0</v>
      </c>
      <c r="DH680">
        <v>0</v>
      </c>
      <c r="DI680">
        <v>0</v>
      </c>
      <c r="DJ680">
        <v>0</v>
      </c>
      <c r="DK680">
        <v>0</v>
      </c>
      <c r="DL680">
        <v>0</v>
      </c>
      <c r="DM680">
        <v>1065.4000000000001</v>
      </c>
      <c r="DN680">
        <v>599.70000000000005</v>
      </c>
      <c r="DO680">
        <v>319.7</v>
      </c>
      <c r="DP680">
        <v>1570.6999999999998</v>
      </c>
      <c r="DQ680">
        <v>1399.5</v>
      </c>
      <c r="DR680">
        <v>3581</v>
      </c>
      <c r="DU680">
        <v>1393.2</v>
      </c>
      <c r="DV680">
        <v>2862.6</v>
      </c>
      <c r="DY680">
        <v>2361</v>
      </c>
      <c r="EA680">
        <v>2409.6</v>
      </c>
      <c r="EC680">
        <v>1661.3999999999999</v>
      </c>
      <c r="EE680">
        <v>0</v>
      </c>
      <c r="EF680">
        <v>0</v>
      </c>
      <c r="EG680">
        <v>0</v>
      </c>
      <c r="EH680">
        <v>0</v>
      </c>
      <c r="EI680">
        <v>0</v>
      </c>
      <c r="EJ680">
        <v>0</v>
      </c>
      <c r="EK680">
        <v>0</v>
      </c>
      <c r="EL680">
        <v>0</v>
      </c>
      <c r="EM680">
        <v>0</v>
      </c>
      <c r="EN680">
        <v>0</v>
      </c>
      <c r="EO680">
        <v>0</v>
      </c>
      <c r="EP680">
        <v>944.5</v>
      </c>
      <c r="EQ680">
        <v>3459.7</v>
      </c>
      <c r="ER680">
        <v>1353.5</v>
      </c>
      <c r="ES680">
        <v>182.2</v>
      </c>
      <c r="ET680">
        <v>855.59999999999991</v>
      </c>
      <c r="EU680">
        <v>172.2</v>
      </c>
      <c r="EV680">
        <v>203.2</v>
      </c>
      <c r="EW680">
        <v>1173.0999999999999</v>
      </c>
      <c r="EX680">
        <v>1078.3</v>
      </c>
      <c r="EY680">
        <v>1194.4000000000001</v>
      </c>
      <c r="EZ680">
        <v>1207.0999999999999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0</v>
      </c>
      <c r="FH680">
        <v>0</v>
      </c>
      <c r="FI680">
        <v>0</v>
      </c>
      <c r="FJ680">
        <v>0</v>
      </c>
      <c r="FK680">
        <v>0</v>
      </c>
      <c r="FL680">
        <v>0</v>
      </c>
      <c r="FM680">
        <v>0</v>
      </c>
      <c r="FN680">
        <v>0</v>
      </c>
      <c r="FO680">
        <v>0</v>
      </c>
      <c r="FP680">
        <v>0</v>
      </c>
      <c r="FQ680">
        <v>0</v>
      </c>
      <c r="FR680">
        <v>0</v>
      </c>
      <c r="FS680">
        <v>0</v>
      </c>
      <c r="FT680">
        <v>0</v>
      </c>
      <c r="FU680">
        <v>0</v>
      </c>
      <c r="FV680">
        <v>0</v>
      </c>
      <c r="FW680">
        <v>0</v>
      </c>
      <c r="FX680">
        <v>0</v>
      </c>
      <c r="FY680">
        <v>0</v>
      </c>
      <c r="FZ680">
        <v>0</v>
      </c>
      <c r="GA680">
        <v>0</v>
      </c>
      <c r="GB680">
        <v>0</v>
      </c>
      <c r="GC680">
        <v>0</v>
      </c>
      <c r="GD680">
        <v>0</v>
      </c>
      <c r="GE680">
        <v>0</v>
      </c>
      <c r="GF680">
        <v>0</v>
      </c>
      <c r="GG680">
        <v>0</v>
      </c>
      <c r="GH680">
        <v>0</v>
      </c>
      <c r="GI680">
        <v>0</v>
      </c>
      <c r="GJ680">
        <v>0</v>
      </c>
      <c r="GK680">
        <v>0</v>
      </c>
      <c r="GL680">
        <v>0</v>
      </c>
      <c r="GO680">
        <v>0</v>
      </c>
      <c r="GP680">
        <v>0</v>
      </c>
      <c r="GQ680">
        <v>0</v>
      </c>
      <c r="GR680">
        <v>0</v>
      </c>
      <c r="GS680">
        <v>0</v>
      </c>
      <c r="GT680">
        <v>0</v>
      </c>
      <c r="GU680">
        <v>0</v>
      </c>
      <c r="GV680">
        <v>0</v>
      </c>
      <c r="GW680">
        <v>0</v>
      </c>
      <c r="GX680">
        <v>0</v>
      </c>
      <c r="GY680">
        <v>0</v>
      </c>
      <c r="GZ680">
        <v>0</v>
      </c>
      <c r="HA680">
        <v>0</v>
      </c>
      <c r="HB680">
        <v>0</v>
      </c>
      <c r="HC680">
        <v>0</v>
      </c>
      <c r="HD680">
        <v>0</v>
      </c>
      <c r="HE680">
        <v>0</v>
      </c>
      <c r="HF680">
        <v>0</v>
      </c>
      <c r="HG680">
        <v>0</v>
      </c>
      <c r="HH680">
        <v>0</v>
      </c>
      <c r="HI680">
        <v>0</v>
      </c>
      <c r="HJ680">
        <v>0</v>
      </c>
      <c r="HK680">
        <v>0</v>
      </c>
      <c r="HL680">
        <v>0</v>
      </c>
      <c r="HM680">
        <v>0</v>
      </c>
      <c r="HN680">
        <v>0</v>
      </c>
      <c r="HO680">
        <v>0</v>
      </c>
      <c r="HP680">
        <v>0</v>
      </c>
      <c r="HQ680">
        <v>0</v>
      </c>
      <c r="HR680">
        <v>0</v>
      </c>
      <c r="HS680">
        <v>0</v>
      </c>
      <c r="HT680">
        <v>0</v>
      </c>
      <c r="HU680">
        <v>0</v>
      </c>
      <c r="HV680">
        <v>0</v>
      </c>
      <c r="HW680">
        <v>404.70000000000005</v>
      </c>
      <c r="HX680">
        <v>342.3</v>
      </c>
      <c r="HZ680">
        <v>866.2</v>
      </c>
      <c r="IA680">
        <v>1142.8</v>
      </c>
      <c r="IB680">
        <v>1121.5</v>
      </c>
      <c r="IC680">
        <v>2403</v>
      </c>
      <c r="ID680">
        <v>2659.3</v>
      </c>
      <c r="IE680">
        <v>1923.4</v>
      </c>
      <c r="IF680">
        <v>1465.7</v>
      </c>
      <c r="IG680">
        <v>1608.3</v>
      </c>
      <c r="IH680">
        <v>0</v>
      </c>
      <c r="II680">
        <v>0</v>
      </c>
      <c r="IJ680">
        <v>0</v>
      </c>
      <c r="IK680">
        <v>0</v>
      </c>
      <c r="IL680">
        <v>0</v>
      </c>
      <c r="IM680">
        <v>0</v>
      </c>
      <c r="IN680">
        <v>0</v>
      </c>
      <c r="IO680">
        <v>0</v>
      </c>
      <c r="IP680">
        <v>75.099999999999994</v>
      </c>
    </row>
    <row r="681" spans="1:250" ht="18" thickBot="1">
      <c r="A681" s="245"/>
      <c r="B681" s="245" t="s">
        <v>479</v>
      </c>
      <c r="C681" s="230" t="s">
        <v>1115</v>
      </c>
      <c r="D681" s="397"/>
      <c r="E681" s="454">
        <v>0</v>
      </c>
      <c r="F681">
        <v>0</v>
      </c>
      <c r="G681" s="427">
        <v>0</v>
      </c>
      <c r="H681" s="155">
        <v>0</v>
      </c>
      <c r="I681">
        <v>0</v>
      </c>
      <c r="J681">
        <v>0</v>
      </c>
      <c r="K681">
        <v>0</v>
      </c>
      <c r="L681" s="4">
        <v>0</v>
      </c>
      <c r="M681" s="4">
        <v>0</v>
      </c>
      <c r="N681" s="4">
        <v>0</v>
      </c>
      <c r="O681" s="4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R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G681">
        <v>0</v>
      </c>
      <c r="BI681">
        <v>0</v>
      </c>
      <c r="BK681">
        <v>0</v>
      </c>
      <c r="BL681">
        <v>0</v>
      </c>
      <c r="BM681">
        <v>0</v>
      </c>
      <c r="BN681">
        <v>0</v>
      </c>
      <c r="BO681">
        <v>344.70000000000005</v>
      </c>
      <c r="BP681">
        <v>625.70000000000005</v>
      </c>
      <c r="BQ681">
        <v>912.2</v>
      </c>
      <c r="BR681">
        <v>237.7</v>
      </c>
      <c r="BS681">
        <v>0</v>
      </c>
      <c r="BT681">
        <v>0</v>
      </c>
      <c r="BU681">
        <v>0</v>
      </c>
      <c r="BV681">
        <v>0</v>
      </c>
      <c r="BW681">
        <v>1647.4</v>
      </c>
      <c r="BY681">
        <v>453.1</v>
      </c>
      <c r="CA681">
        <v>285.39999999999998</v>
      </c>
      <c r="CB681">
        <v>280.8</v>
      </c>
      <c r="CC681">
        <v>127.7</v>
      </c>
      <c r="CD681">
        <v>0</v>
      </c>
      <c r="CE681">
        <v>0</v>
      </c>
      <c r="CF681">
        <v>0</v>
      </c>
      <c r="CG681">
        <v>0</v>
      </c>
      <c r="CI681">
        <v>0</v>
      </c>
      <c r="CJ681">
        <v>0</v>
      </c>
      <c r="CL681">
        <v>0</v>
      </c>
      <c r="CM681">
        <v>0</v>
      </c>
      <c r="CN681">
        <v>0</v>
      </c>
      <c r="CO681">
        <v>0</v>
      </c>
      <c r="CP681">
        <v>0</v>
      </c>
      <c r="CQ681">
        <v>621.70000000000005</v>
      </c>
      <c r="CR681">
        <v>481.70000000000005</v>
      </c>
      <c r="CS681">
        <v>0</v>
      </c>
      <c r="CT681">
        <v>524.6</v>
      </c>
      <c r="CU681">
        <v>514.1</v>
      </c>
      <c r="CV681">
        <v>175.2</v>
      </c>
      <c r="CW681">
        <v>0</v>
      </c>
      <c r="CX681">
        <v>65.099999999999994</v>
      </c>
      <c r="CY681">
        <v>199</v>
      </c>
      <c r="CZ681">
        <v>1907.9</v>
      </c>
      <c r="DA681">
        <v>0</v>
      </c>
      <c r="DB681">
        <v>0</v>
      </c>
      <c r="DC681">
        <v>0</v>
      </c>
      <c r="DD681">
        <v>0</v>
      </c>
      <c r="DE681">
        <v>0</v>
      </c>
      <c r="DF681">
        <v>0</v>
      </c>
      <c r="DG681">
        <v>0</v>
      </c>
      <c r="DH681">
        <v>0</v>
      </c>
      <c r="DI681">
        <v>0</v>
      </c>
      <c r="DJ681">
        <v>0</v>
      </c>
      <c r="DK681">
        <v>0</v>
      </c>
      <c r="DL681">
        <v>0</v>
      </c>
      <c r="DM681">
        <v>1065.4000000000001</v>
      </c>
      <c r="DN681">
        <v>599.70000000000005</v>
      </c>
      <c r="DO681">
        <v>319.7</v>
      </c>
      <c r="DP681">
        <v>1570.6999999999998</v>
      </c>
      <c r="DQ681">
        <v>1399.5</v>
      </c>
      <c r="DR681">
        <v>3581</v>
      </c>
      <c r="DU681">
        <v>1393.2</v>
      </c>
      <c r="DV681">
        <v>2862.6</v>
      </c>
      <c r="DY681">
        <v>2361</v>
      </c>
      <c r="EA681">
        <v>2409.6</v>
      </c>
      <c r="EC681">
        <v>1661.3999999999999</v>
      </c>
      <c r="EE681">
        <v>0</v>
      </c>
      <c r="EF681">
        <v>0</v>
      </c>
      <c r="EG681">
        <v>0</v>
      </c>
      <c r="EH681">
        <v>0</v>
      </c>
      <c r="EI681">
        <v>0</v>
      </c>
      <c r="EJ681">
        <v>0</v>
      </c>
      <c r="EK681">
        <v>0</v>
      </c>
      <c r="EL681">
        <v>0</v>
      </c>
      <c r="EM681">
        <v>0</v>
      </c>
      <c r="EN681">
        <v>0</v>
      </c>
      <c r="EO681">
        <v>0</v>
      </c>
      <c r="EP681">
        <v>944.5</v>
      </c>
      <c r="EQ681">
        <v>3459.7</v>
      </c>
      <c r="ER681">
        <v>1353.5</v>
      </c>
      <c r="ES681">
        <v>182.2</v>
      </c>
      <c r="ET681">
        <v>855.59999999999991</v>
      </c>
      <c r="EU681">
        <v>172.2</v>
      </c>
      <c r="EV681">
        <v>203.2</v>
      </c>
      <c r="EW681">
        <v>1173.0999999999999</v>
      </c>
      <c r="EX681">
        <v>1078.3</v>
      </c>
      <c r="EY681">
        <v>1194.4000000000001</v>
      </c>
      <c r="EZ681">
        <v>1207.0999999999999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0</v>
      </c>
      <c r="FH681">
        <v>0</v>
      </c>
      <c r="FI681">
        <v>0</v>
      </c>
      <c r="FJ681">
        <v>0</v>
      </c>
      <c r="FK681">
        <v>0</v>
      </c>
      <c r="FL681">
        <v>0</v>
      </c>
      <c r="FM681">
        <v>0</v>
      </c>
      <c r="FN681">
        <v>0</v>
      </c>
      <c r="FO681">
        <v>0</v>
      </c>
      <c r="FP681">
        <v>0</v>
      </c>
      <c r="FQ681">
        <v>0</v>
      </c>
      <c r="FR681">
        <v>0</v>
      </c>
      <c r="FS681">
        <v>0</v>
      </c>
      <c r="FT681">
        <v>0</v>
      </c>
      <c r="FU681">
        <v>0</v>
      </c>
      <c r="FV681">
        <v>0</v>
      </c>
      <c r="FW681">
        <v>0</v>
      </c>
      <c r="FX681">
        <v>0</v>
      </c>
      <c r="FY681">
        <v>0</v>
      </c>
      <c r="FZ681">
        <v>0</v>
      </c>
      <c r="GA681">
        <v>0</v>
      </c>
      <c r="GB681">
        <v>0</v>
      </c>
      <c r="GC681">
        <v>0</v>
      </c>
      <c r="GD681">
        <v>0</v>
      </c>
      <c r="GE681">
        <v>0</v>
      </c>
      <c r="GF681">
        <v>0</v>
      </c>
      <c r="GG681">
        <v>0</v>
      </c>
      <c r="GH681">
        <v>0</v>
      </c>
      <c r="GI681">
        <v>0</v>
      </c>
      <c r="GJ681">
        <v>0</v>
      </c>
      <c r="GK681">
        <v>0</v>
      </c>
      <c r="GL681">
        <v>0</v>
      </c>
      <c r="GO681">
        <v>0</v>
      </c>
      <c r="GP681">
        <v>0</v>
      </c>
      <c r="GQ681">
        <v>0</v>
      </c>
      <c r="GR681">
        <v>0</v>
      </c>
      <c r="GS681">
        <v>0</v>
      </c>
      <c r="GT681">
        <v>0</v>
      </c>
      <c r="GU681">
        <v>0</v>
      </c>
      <c r="GV681">
        <v>0</v>
      </c>
      <c r="GW681">
        <v>0</v>
      </c>
      <c r="GX681">
        <v>0</v>
      </c>
      <c r="GY681">
        <v>0</v>
      </c>
      <c r="GZ681">
        <v>0</v>
      </c>
      <c r="HA681">
        <v>0</v>
      </c>
      <c r="HB681">
        <v>0</v>
      </c>
      <c r="HC681">
        <v>0</v>
      </c>
      <c r="HD681">
        <v>0</v>
      </c>
      <c r="HE681">
        <v>0</v>
      </c>
      <c r="HF681">
        <v>0</v>
      </c>
      <c r="HG681">
        <v>0</v>
      </c>
      <c r="HH681">
        <v>0</v>
      </c>
      <c r="HI681">
        <v>0</v>
      </c>
      <c r="HJ681">
        <v>0</v>
      </c>
      <c r="HK681">
        <v>0</v>
      </c>
      <c r="HL681">
        <v>0</v>
      </c>
      <c r="HM681">
        <v>0</v>
      </c>
      <c r="HN681">
        <v>0</v>
      </c>
      <c r="HO681">
        <v>0</v>
      </c>
      <c r="HP681">
        <v>0</v>
      </c>
      <c r="HQ681">
        <v>0</v>
      </c>
      <c r="HR681">
        <v>0</v>
      </c>
      <c r="HS681">
        <v>0</v>
      </c>
      <c r="HT681">
        <v>0</v>
      </c>
      <c r="HU681">
        <v>0</v>
      </c>
      <c r="HV681">
        <v>0</v>
      </c>
      <c r="HW681">
        <v>404.70000000000005</v>
      </c>
      <c r="HX681">
        <v>342.3</v>
      </c>
      <c r="HZ681">
        <v>866.2</v>
      </c>
      <c r="IA681">
        <v>1142.8</v>
      </c>
      <c r="IB681">
        <v>1121.5</v>
      </c>
      <c r="IC681">
        <v>2403</v>
      </c>
      <c r="ID681">
        <v>2659.3</v>
      </c>
      <c r="IE681">
        <v>1923.4</v>
      </c>
      <c r="IF681">
        <v>1465.7</v>
      </c>
      <c r="IG681">
        <v>1608.3</v>
      </c>
      <c r="IH681">
        <v>0</v>
      </c>
      <c r="II681">
        <v>0</v>
      </c>
      <c r="IJ681">
        <v>0</v>
      </c>
      <c r="IK681">
        <v>0</v>
      </c>
      <c r="IL681">
        <v>0</v>
      </c>
      <c r="IM681">
        <v>0</v>
      </c>
      <c r="IN681">
        <v>0</v>
      </c>
      <c r="IO681">
        <v>0</v>
      </c>
      <c r="IP681">
        <v>75.099999999999994</v>
      </c>
    </row>
    <row r="682" spans="1:250" ht="18" thickBot="1">
      <c r="A682" s="245"/>
      <c r="B682" s="245" t="s">
        <v>480</v>
      </c>
      <c r="C682" s="230" t="s">
        <v>1116</v>
      </c>
      <c r="D682" s="397"/>
      <c r="E682" s="454">
        <v>0</v>
      </c>
      <c r="F682">
        <v>0</v>
      </c>
      <c r="G682" s="427">
        <v>0</v>
      </c>
      <c r="H682" s="155">
        <v>0</v>
      </c>
      <c r="I682">
        <v>0</v>
      </c>
      <c r="J682">
        <v>0</v>
      </c>
      <c r="K682">
        <v>0</v>
      </c>
      <c r="L682" s="4">
        <v>0</v>
      </c>
      <c r="M682" s="4">
        <v>0</v>
      </c>
      <c r="N682" s="4">
        <v>0</v>
      </c>
      <c r="O682" s="4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R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G682">
        <v>0</v>
      </c>
      <c r="BI682">
        <v>0</v>
      </c>
      <c r="BK682">
        <v>0</v>
      </c>
      <c r="BL682">
        <v>0</v>
      </c>
      <c r="BM682">
        <v>0</v>
      </c>
      <c r="BN682">
        <v>0</v>
      </c>
      <c r="BO682">
        <v>344.70000000000005</v>
      </c>
      <c r="BP682">
        <v>625.70000000000005</v>
      </c>
      <c r="BQ682">
        <v>912.2</v>
      </c>
      <c r="BR682">
        <v>237.7</v>
      </c>
      <c r="BS682">
        <v>0</v>
      </c>
      <c r="BT682">
        <v>0</v>
      </c>
      <c r="BU682">
        <v>0</v>
      </c>
      <c r="BV682">
        <v>0</v>
      </c>
      <c r="BW682">
        <v>1647.4</v>
      </c>
      <c r="BY682">
        <v>453.1</v>
      </c>
      <c r="CA682">
        <v>285.39999999999998</v>
      </c>
      <c r="CB682">
        <v>280.8</v>
      </c>
      <c r="CC682">
        <v>127.7</v>
      </c>
      <c r="CD682">
        <v>0</v>
      </c>
      <c r="CE682">
        <v>0</v>
      </c>
      <c r="CF682">
        <v>0</v>
      </c>
      <c r="CG682">
        <v>0</v>
      </c>
      <c r="CI682">
        <v>0</v>
      </c>
      <c r="CJ682">
        <v>0</v>
      </c>
      <c r="CL682">
        <v>0</v>
      </c>
      <c r="CM682">
        <v>0</v>
      </c>
      <c r="CN682">
        <v>0</v>
      </c>
      <c r="CO682">
        <v>0</v>
      </c>
      <c r="CP682">
        <v>0</v>
      </c>
      <c r="CQ682">
        <v>621.70000000000005</v>
      </c>
      <c r="CR682">
        <v>481.70000000000005</v>
      </c>
      <c r="CS682">
        <v>0</v>
      </c>
      <c r="CT682">
        <v>524.6</v>
      </c>
      <c r="CU682">
        <v>514.1</v>
      </c>
      <c r="CV682">
        <v>175.2</v>
      </c>
      <c r="CW682">
        <v>0</v>
      </c>
      <c r="CX682">
        <v>65.099999999999994</v>
      </c>
      <c r="CY682">
        <v>199</v>
      </c>
      <c r="CZ682">
        <v>1907.9</v>
      </c>
      <c r="DA682">
        <v>0</v>
      </c>
      <c r="DB682">
        <v>0</v>
      </c>
      <c r="DC682">
        <v>0</v>
      </c>
      <c r="DD682">
        <v>0</v>
      </c>
      <c r="DE682">
        <v>0</v>
      </c>
      <c r="DF682">
        <v>0</v>
      </c>
      <c r="DG682">
        <v>0</v>
      </c>
      <c r="DH682">
        <v>0</v>
      </c>
      <c r="DI682">
        <v>0</v>
      </c>
      <c r="DJ682">
        <v>0</v>
      </c>
      <c r="DK682">
        <v>0</v>
      </c>
      <c r="DL682">
        <v>0</v>
      </c>
      <c r="DM682">
        <v>1065.4000000000001</v>
      </c>
      <c r="DN682">
        <v>599.70000000000005</v>
      </c>
      <c r="DO682">
        <v>319.7</v>
      </c>
      <c r="DP682">
        <v>1570.6999999999998</v>
      </c>
      <c r="DQ682">
        <v>1399.5</v>
      </c>
      <c r="DR682">
        <v>3581</v>
      </c>
      <c r="DU682">
        <v>1393.2</v>
      </c>
      <c r="DV682">
        <v>2862.6</v>
      </c>
      <c r="DY682">
        <v>2361</v>
      </c>
      <c r="EA682">
        <v>2409.6</v>
      </c>
      <c r="EC682">
        <v>1661.3999999999999</v>
      </c>
      <c r="EE682">
        <v>0</v>
      </c>
      <c r="EF682">
        <v>0</v>
      </c>
      <c r="EG682">
        <v>0</v>
      </c>
      <c r="EH682">
        <v>0</v>
      </c>
      <c r="EI682">
        <v>0</v>
      </c>
      <c r="EJ682">
        <v>0</v>
      </c>
      <c r="EK682">
        <v>0</v>
      </c>
      <c r="EL682">
        <v>0</v>
      </c>
      <c r="EM682">
        <v>0</v>
      </c>
      <c r="EN682">
        <v>0</v>
      </c>
      <c r="EO682">
        <v>0</v>
      </c>
      <c r="EP682">
        <v>944.5</v>
      </c>
      <c r="EQ682">
        <v>3459.7</v>
      </c>
      <c r="ER682">
        <v>1353.5</v>
      </c>
      <c r="ES682">
        <v>182.2</v>
      </c>
      <c r="ET682">
        <v>855.59999999999991</v>
      </c>
      <c r="EU682">
        <v>172.2</v>
      </c>
      <c r="EV682">
        <v>203.2</v>
      </c>
      <c r="EW682">
        <v>1173.0999999999999</v>
      </c>
      <c r="EX682">
        <v>1078.3</v>
      </c>
      <c r="EY682">
        <v>1194.4000000000001</v>
      </c>
      <c r="EZ682">
        <v>1207.0999999999999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0</v>
      </c>
      <c r="FH682">
        <v>0</v>
      </c>
      <c r="FI682">
        <v>0</v>
      </c>
      <c r="FJ682">
        <v>0</v>
      </c>
      <c r="FK682">
        <v>0</v>
      </c>
      <c r="FL682">
        <v>0</v>
      </c>
      <c r="FM682">
        <v>0</v>
      </c>
      <c r="FN682">
        <v>0</v>
      </c>
      <c r="FO682">
        <v>0</v>
      </c>
      <c r="FP682">
        <v>0</v>
      </c>
      <c r="FQ682">
        <v>0</v>
      </c>
      <c r="FR682">
        <v>0</v>
      </c>
      <c r="FS682">
        <v>0</v>
      </c>
      <c r="FT682">
        <v>0</v>
      </c>
      <c r="FU682">
        <v>0</v>
      </c>
      <c r="FV682">
        <v>0</v>
      </c>
      <c r="FW682">
        <v>0</v>
      </c>
      <c r="FX682">
        <v>0</v>
      </c>
      <c r="FY682">
        <v>0</v>
      </c>
      <c r="FZ682">
        <v>0</v>
      </c>
      <c r="GA682">
        <v>0</v>
      </c>
      <c r="GB682">
        <v>0</v>
      </c>
      <c r="GC682">
        <v>0</v>
      </c>
      <c r="GD682">
        <v>0</v>
      </c>
      <c r="GE682">
        <v>0</v>
      </c>
      <c r="GF682">
        <v>0</v>
      </c>
      <c r="GG682">
        <v>0</v>
      </c>
      <c r="GH682">
        <v>0</v>
      </c>
      <c r="GI682">
        <v>0</v>
      </c>
      <c r="GJ682">
        <v>0</v>
      </c>
      <c r="GK682">
        <v>0</v>
      </c>
      <c r="GL682">
        <v>0</v>
      </c>
      <c r="GO682">
        <v>0</v>
      </c>
      <c r="GP682">
        <v>0</v>
      </c>
      <c r="GQ682">
        <v>0</v>
      </c>
      <c r="GR682">
        <v>0</v>
      </c>
      <c r="GS682">
        <v>0</v>
      </c>
      <c r="GT682">
        <v>0</v>
      </c>
      <c r="GU682">
        <v>0</v>
      </c>
      <c r="GV682">
        <v>0</v>
      </c>
      <c r="GW682">
        <v>0</v>
      </c>
      <c r="GX682">
        <v>0</v>
      </c>
      <c r="GY682">
        <v>0</v>
      </c>
      <c r="GZ682">
        <v>0</v>
      </c>
      <c r="HA682">
        <v>0</v>
      </c>
      <c r="HB682">
        <v>0</v>
      </c>
      <c r="HC682">
        <v>0</v>
      </c>
      <c r="HD682">
        <v>0</v>
      </c>
      <c r="HE682">
        <v>0</v>
      </c>
      <c r="HF682">
        <v>0</v>
      </c>
      <c r="HG682">
        <v>0</v>
      </c>
      <c r="HH682">
        <v>0</v>
      </c>
      <c r="HI682">
        <v>0</v>
      </c>
      <c r="HJ682">
        <v>0</v>
      </c>
      <c r="HK682">
        <v>0</v>
      </c>
      <c r="HL682">
        <v>0</v>
      </c>
      <c r="HM682">
        <v>0</v>
      </c>
      <c r="HN682">
        <v>0</v>
      </c>
      <c r="HO682">
        <v>0</v>
      </c>
      <c r="HP682">
        <v>0</v>
      </c>
      <c r="HQ682">
        <v>0</v>
      </c>
      <c r="HR682">
        <v>0</v>
      </c>
      <c r="HS682">
        <v>0</v>
      </c>
      <c r="HT682">
        <v>0</v>
      </c>
      <c r="HU682">
        <v>0</v>
      </c>
      <c r="HV682">
        <v>0</v>
      </c>
      <c r="HW682">
        <v>404.70000000000005</v>
      </c>
      <c r="HX682">
        <v>342.3</v>
      </c>
      <c r="HZ682">
        <v>866.2</v>
      </c>
      <c r="IA682">
        <v>1142.8</v>
      </c>
      <c r="IB682">
        <v>1121.5</v>
      </c>
      <c r="IC682">
        <v>2403</v>
      </c>
      <c r="ID682">
        <v>2659.3</v>
      </c>
      <c r="IE682">
        <v>1923.4</v>
      </c>
      <c r="IF682">
        <v>1465.7</v>
      </c>
      <c r="IG682">
        <v>1608.3</v>
      </c>
      <c r="IH682">
        <v>0</v>
      </c>
      <c r="II682">
        <v>0</v>
      </c>
      <c r="IJ682">
        <v>0</v>
      </c>
      <c r="IK682">
        <v>0</v>
      </c>
      <c r="IL682">
        <v>0</v>
      </c>
      <c r="IM682">
        <v>0</v>
      </c>
      <c r="IN682">
        <v>0</v>
      </c>
      <c r="IO682">
        <v>0</v>
      </c>
      <c r="IP682">
        <v>75.099999999999994</v>
      </c>
    </row>
    <row r="683" spans="1:250" ht="18" thickBot="1">
      <c r="A683" s="245"/>
      <c r="B683" s="245" t="s">
        <v>481</v>
      </c>
      <c r="C683" s="230" t="s">
        <v>1117</v>
      </c>
      <c r="D683" s="397"/>
      <c r="E683" s="454">
        <v>0</v>
      </c>
      <c r="F683">
        <v>0</v>
      </c>
      <c r="G683" s="427">
        <v>0</v>
      </c>
      <c r="H683" s="155">
        <v>0</v>
      </c>
      <c r="I683">
        <v>0</v>
      </c>
      <c r="J683">
        <v>0</v>
      </c>
      <c r="K683">
        <v>0</v>
      </c>
      <c r="L683" s="4">
        <v>0</v>
      </c>
      <c r="M683" s="4">
        <v>0</v>
      </c>
      <c r="N683" s="4">
        <v>0</v>
      </c>
      <c r="O683" s="4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R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G683">
        <v>0</v>
      </c>
      <c r="BI683">
        <v>0</v>
      </c>
      <c r="BK683">
        <v>0</v>
      </c>
      <c r="BL683">
        <v>0</v>
      </c>
      <c r="BM683">
        <v>0</v>
      </c>
      <c r="BN683">
        <v>0</v>
      </c>
      <c r="BO683">
        <v>344.70000000000005</v>
      </c>
      <c r="BP683">
        <v>625.70000000000005</v>
      </c>
      <c r="BQ683">
        <v>912.2</v>
      </c>
      <c r="BR683">
        <v>237.7</v>
      </c>
      <c r="BS683">
        <v>0</v>
      </c>
      <c r="BT683">
        <v>0</v>
      </c>
      <c r="BU683">
        <v>0</v>
      </c>
      <c r="BV683">
        <v>0</v>
      </c>
      <c r="BW683">
        <v>1647.4</v>
      </c>
      <c r="BY683">
        <v>453.1</v>
      </c>
      <c r="CA683">
        <v>285.39999999999998</v>
      </c>
      <c r="CB683">
        <v>280.8</v>
      </c>
      <c r="CC683">
        <v>127.7</v>
      </c>
      <c r="CD683">
        <v>0</v>
      </c>
      <c r="CE683">
        <v>0</v>
      </c>
      <c r="CF683">
        <v>0</v>
      </c>
      <c r="CG683">
        <v>0</v>
      </c>
      <c r="CI683">
        <v>0</v>
      </c>
      <c r="CJ683">
        <v>0</v>
      </c>
      <c r="CL683">
        <v>0</v>
      </c>
      <c r="CM683">
        <v>0</v>
      </c>
      <c r="CN683">
        <v>0</v>
      </c>
      <c r="CO683">
        <v>0</v>
      </c>
      <c r="CP683">
        <v>0</v>
      </c>
      <c r="CQ683">
        <v>621.70000000000005</v>
      </c>
      <c r="CR683">
        <v>481.70000000000005</v>
      </c>
      <c r="CS683">
        <v>0</v>
      </c>
      <c r="CT683">
        <v>524.6</v>
      </c>
      <c r="CU683">
        <v>514.1</v>
      </c>
      <c r="CV683">
        <v>175.2</v>
      </c>
      <c r="CW683">
        <v>0</v>
      </c>
      <c r="CX683">
        <v>65.099999999999994</v>
      </c>
      <c r="CY683">
        <v>199</v>
      </c>
      <c r="CZ683">
        <v>1907.9</v>
      </c>
      <c r="DA683">
        <v>0</v>
      </c>
      <c r="DB683">
        <v>0</v>
      </c>
      <c r="DC683">
        <v>0</v>
      </c>
      <c r="DD683">
        <v>0</v>
      </c>
      <c r="DE683">
        <v>0</v>
      </c>
      <c r="DF683">
        <v>0</v>
      </c>
      <c r="DG683">
        <v>0</v>
      </c>
      <c r="DH683">
        <v>0</v>
      </c>
      <c r="DI683">
        <v>0</v>
      </c>
      <c r="DJ683">
        <v>0</v>
      </c>
      <c r="DK683">
        <v>0</v>
      </c>
      <c r="DL683">
        <v>0</v>
      </c>
      <c r="DM683">
        <v>1065.4000000000001</v>
      </c>
      <c r="DN683">
        <v>599.70000000000005</v>
      </c>
      <c r="DO683">
        <v>319.7</v>
      </c>
      <c r="DP683">
        <v>1570.6999999999998</v>
      </c>
      <c r="DQ683">
        <v>1399.5</v>
      </c>
      <c r="DR683">
        <v>3581</v>
      </c>
      <c r="DU683">
        <v>1393.2</v>
      </c>
      <c r="DV683">
        <v>2862.6</v>
      </c>
      <c r="DY683">
        <v>2361</v>
      </c>
      <c r="EA683">
        <v>2409.6</v>
      </c>
      <c r="EC683">
        <v>1661.3999999999999</v>
      </c>
      <c r="EE683">
        <v>0</v>
      </c>
      <c r="EF683">
        <v>0</v>
      </c>
      <c r="EG683">
        <v>0</v>
      </c>
      <c r="EH683">
        <v>0</v>
      </c>
      <c r="EI683">
        <v>0</v>
      </c>
      <c r="EJ683">
        <v>0</v>
      </c>
      <c r="EK683">
        <v>0</v>
      </c>
      <c r="EL683">
        <v>0</v>
      </c>
      <c r="EM683">
        <v>0</v>
      </c>
      <c r="EN683">
        <v>0</v>
      </c>
      <c r="EO683">
        <v>0</v>
      </c>
      <c r="EP683">
        <v>944.5</v>
      </c>
      <c r="EQ683">
        <v>3459.7</v>
      </c>
      <c r="ER683">
        <v>1353.5</v>
      </c>
      <c r="ES683">
        <v>182.2</v>
      </c>
      <c r="ET683">
        <v>855.59999999999991</v>
      </c>
      <c r="EU683">
        <v>172.2</v>
      </c>
      <c r="EV683">
        <v>203.2</v>
      </c>
      <c r="EW683">
        <v>1173.0999999999999</v>
      </c>
      <c r="EX683">
        <v>1078.3</v>
      </c>
      <c r="EY683">
        <v>1194.4000000000001</v>
      </c>
      <c r="EZ683">
        <v>1207.0999999999999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0</v>
      </c>
      <c r="FH683">
        <v>0</v>
      </c>
      <c r="FI683">
        <v>0</v>
      </c>
      <c r="FJ683">
        <v>0</v>
      </c>
      <c r="FK683">
        <v>0</v>
      </c>
      <c r="FL683">
        <v>0</v>
      </c>
      <c r="FM683">
        <v>0</v>
      </c>
      <c r="FN683">
        <v>0</v>
      </c>
      <c r="FO683">
        <v>0</v>
      </c>
      <c r="FP683">
        <v>0</v>
      </c>
      <c r="FQ683">
        <v>0</v>
      </c>
      <c r="FR683">
        <v>0</v>
      </c>
      <c r="FS683">
        <v>0</v>
      </c>
      <c r="FT683">
        <v>0</v>
      </c>
      <c r="FU683">
        <v>0</v>
      </c>
      <c r="FV683">
        <v>0</v>
      </c>
      <c r="FW683">
        <v>0</v>
      </c>
      <c r="FX683">
        <v>0</v>
      </c>
      <c r="FY683">
        <v>0</v>
      </c>
      <c r="FZ683">
        <v>0</v>
      </c>
      <c r="GA683">
        <v>0</v>
      </c>
      <c r="GB683">
        <v>0</v>
      </c>
      <c r="GC683">
        <v>0</v>
      </c>
      <c r="GD683">
        <v>0</v>
      </c>
      <c r="GE683">
        <v>0</v>
      </c>
      <c r="GF683">
        <v>0</v>
      </c>
      <c r="GG683">
        <v>0</v>
      </c>
      <c r="GH683">
        <v>0</v>
      </c>
      <c r="GI683">
        <v>0</v>
      </c>
      <c r="GJ683">
        <v>0</v>
      </c>
      <c r="GK683">
        <v>0</v>
      </c>
      <c r="GL683">
        <v>0</v>
      </c>
      <c r="GO683">
        <v>0</v>
      </c>
      <c r="GP683">
        <v>0</v>
      </c>
      <c r="GQ683">
        <v>0</v>
      </c>
      <c r="GR683">
        <v>0</v>
      </c>
      <c r="GS683">
        <v>0</v>
      </c>
      <c r="GT683">
        <v>0</v>
      </c>
      <c r="GU683">
        <v>0</v>
      </c>
      <c r="GV683">
        <v>0</v>
      </c>
      <c r="GW683">
        <v>0</v>
      </c>
      <c r="GX683">
        <v>0</v>
      </c>
      <c r="GY683">
        <v>0</v>
      </c>
      <c r="GZ683">
        <v>0</v>
      </c>
      <c r="HA683">
        <v>0</v>
      </c>
      <c r="HB683">
        <v>0</v>
      </c>
      <c r="HC683">
        <v>0</v>
      </c>
      <c r="HD683">
        <v>0</v>
      </c>
      <c r="HE683">
        <v>0</v>
      </c>
      <c r="HF683">
        <v>0</v>
      </c>
      <c r="HG683">
        <v>0</v>
      </c>
      <c r="HH683">
        <v>0</v>
      </c>
      <c r="HI683">
        <v>0</v>
      </c>
      <c r="HJ683">
        <v>0</v>
      </c>
      <c r="HK683">
        <v>0</v>
      </c>
      <c r="HL683">
        <v>0</v>
      </c>
      <c r="HM683">
        <v>0</v>
      </c>
      <c r="HN683">
        <v>0</v>
      </c>
      <c r="HO683">
        <v>0</v>
      </c>
      <c r="HP683">
        <v>0</v>
      </c>
      <c r="HQ683">
        <v>0</v>
      </c>
      <c r="HR683">
        <v>0</v>
      </c>
      <c r="HS683">
        <v>0</v>
      </c>
      <c r="HT683">
        <v>0</v>
      </c>
      <c r="HU683">
        <v>0</v>
      </c>
      <c r="HV683">
        <v>0</v>
      </c>
      <c r="HW683">
        <v>404.70000000000005</v>
      </c>
      <c r="HX683">
        <v>342.3</v>
      </c>
      <c r="HZ683">
        <v>866.2</v>
      </c>
      <c r="IA683">
        <v>1142.8</v>
      </c>
      <c r="IB683">
        <v>1121.5</v>
      </c>
      <c r="IC683">
        <v>2403</v>
      </c>
      <c r="ID683">
        <v>2659.3</v>
      </c>
      <c r="IE683">
        <v>1923.4</v>
      </c>
      <c r="IF683">
        <v>1465.7</v>
      </c>
      <c r="IG683">
        <v>1608.3</v>
      </c>
      <c r="IH683">
        <v>0</v>
      </c>
      <c r="II683">
        <v>0</v>
      </c>
      <c r="IJ683">
        <v>0</v>
      </c>
      <c r="IK683">
        <v>0</v>
      </c>
      <c r="IL683">
        <v>0</v>
      </c>
      <c r="IM683">
        <v>0</v>
      </c>
      <c r="IN683">
        <v>0</v>
      </c>
      <c r="IO683">
        <v>0</v>
      </c>
      <c r="IP683">
        <v>75.099999999999994</v>
      </c>
    </row>
    <row r="684" spans="1:250" ht="18" thickBot="1">
      <c r="A684" s="245"/>
      <c r="B684" s="245" t="s">
        <v>482</v>
      </c>
      <c r="C684" s="230" t="s">
        <v>1118</v>
      </c>
      <c r="D684" s="397"/>
      <c r="E684" s="454">
        <v>0</v>
      </c>
      <c r="F684">
        <v>0</v>
      </c>
      <c r="G684" s="427">
        <v>0</v>
      </c>
      <c r="H684" s="155">
        <v>0</v>
      </c>
      <c r="I684">
        <v>0</v>
      </c>
      <c r="J684">
        <v>0</v>
      </c>
      <c r="K684">
        <v>0</v>
      </c>
      <c r="L684" s="4">
        <v>0</v>
      </c>
      <c r="M684" s="4">
        <v>0</v>
      </c>
      <c r="N684" s="4">
        <v>0</v>
      </c>
      <c r="O684" s="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R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G684">
        <v>0</v>
      </c>
      <c r="BI684">
        <v>0</v>
      </c>
      <c r="BK684">
        <v>0</v>
      </c>
      <c r="BL684">
        <v>0</v>
      </c>
      <c r="BM684">
        <v>0</v>
      </c>
      <c r="BN684">
        <v>0</v>
      </c>
      <c r="BO684">
        <v>344.70000000000005</v>
      </c>
      <c r="BP684">
        <v>625.70000000000005</v>
      </c>
      <c r="BQ684">
        <v>912.2</v>
      </c>
      <c r="BR684">
        <v>237.7</v>
      </c>
      <c r="BS684">
        <v>0</v>
      </c>
      <c r="BT684">
        <v>0</v>
      </c>
      <c r="BU684">
        <v>0</v>
      </c>
      <c r="BV684">
        <v>0</v>
      </c>
      <c r="BW684">
        <v>1647.4</v>
      </c>
      <c r="BY684">
        <v>453.1</v>
      </c>
      <c r="CA684">
        <v>285.39999999999998</v>
      </c>
      <c r="CB684">
        <v>280.8</v>
      </c>
      <c r="CC684">
        <v>127.7</v>
      </c>
      <c r="CD684">
        <v>0</v>
      </c>
      <c r="CE684">
        <v>0</v>
      </c>
      <c r="CF684">
        <v>0</v>
      </c>
      <c r="CG684">
        <v>0</v>
      </c>
      <c r="CI684">
        <v>0</v>
      </c>
      <c r="CJ684">
        <v>0</v>
      </c>
      <c r="CL684">
        <v>0</v>
      </c>
      <c r="CM684">
        <v>0</v>
      </c>
      <c r="CN684">
        <v>0</v>
      </c>
      <c r="CO684">
        <v>0</v>
      </c>
      <c r="CP684">
        <v>0</v>
      </c>
      <c r="CQ684">
        <v>621.70000000000005</v>
      </c>
      <c r="CR684">
        <v>481.70000000000005</v>
      </c>
      <c r="CS684">
        <v>0</v>
      </c>
      <c r="CT684">
        <v>524.6</v>
      </c>
      <c r="CU684">
        <v>514.1</v>
      </c>
      <c r="CV684">
        <v>175.2</v>
      </c>
      <c r="CW684">
        <v>0</v>
      </c>
      <c r="CX684">
        <v>65.099999999999994</v>
      </c>
      <c r="CY684">
        <v>199</v>
      </c>
      <c r="CZ684">
        <v>1907.9</v>
      </c>
      <c r="DA684">
        <v>0</v>
      </c>
      <c r="DB684">
        <v>0</v>
      </c>
      <c r="DC684">
        <v>0</v>
      </c>
      <c r="DD684">
        <v>0</v>
      </c>
      <c r="DE684">
        <v>0</v>
      </c>
      <c r="DF684">
        <v>0</v>
      </c>
      <c r="DG684">
        <v>0</v>
      </c>
      <c r="DH684">
        <v>0</v>
      </c>
      <c r="DI684">
        <v>0</v>
      </c>
      <c r="DJ684">
        <v>0</v>
      </c>
      <c r="DK684">
        <v>0</v>
      </c>
      <c r="DL684">
        <v>0</v>
      </c>
      <c r="DM684">
        <v>1065.4000000000001</v>
      </c>
      <c r="DN684">
        <v>599.70000000000005</v>
      </c>
      <c r="DO684">
        <v>319.7</v>
      </c>
      <c r="DP684">
        <v>1570.6999999999998</v>
      </c>
      <c r="DQ684">
        <v>1399.5</v>
      </c>
      <c r="DR684">
        <v>3581</v>
      </c>
      <c r="DU684">
        <v>1393.2</v>
      </c>
      <c r="DV684">
        <v>2862.6</v>
      </c>
      <c r="DY684">
        <v>2361</v>
      </c>
      <c r="EA684">
        <v>2409.6</v>
      </c>
      <c r="EC684">
        <v>1661.3999999999999</v>
      </c>
      <c r="EE684">
        <v>0</v>
      </c>
      <c r="EF684">
        <v>0</v>
      </c>
      <c r="EG684">
        <v>0</v>
      </c>
      <c r="EH684">
        <v>0</v>
      </c>
      <c r="EI684">
        <v>0</v>
      </c>
      <c r="EJ684">
        <v>0</v>
      </c>
      <c r="EK684">
        <v>0</v>
      </c>
      <c r="EL684">
        <v>0</v>
      </c>
      <c r="EM684">
        <v>0</v>
      </c>
      <c r="EN684">
        <v>0</v>
      </c>
      <c r="EO684">
        <v>0</v>
      </c>
      <c r="EP684">
        <v>944.5</v>
      </c>
      <c r="EQ684">
        <v>3459.7</v>
      </c>
      <c r="ER684">
        <v>1353.5</v>
      </c>
      <c r="ES684">
        <v>182.2</v>
      </c>
      <c r="ET684">
        <v>855.59999999999991</v>
      </c>
      <c r="EU684">
        <v>172.2</v>
      </c>
      <c r="EV684">
        <v>203.2</v>
      </c>
      <c r="EW684">
        <v>1173.0999999999999</v>
      </c>
      <c r="EX684">
        <v>1078.3</v>
      </c>
      <c r="EY684">
        <v>1194.4000000000001</v>
      </c>
      <c r="EZ684">
        <v>1207.0999999999999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0</v>
      </c>
      <c r="FH684">
        <v>0</v>
      </c>
      <c r="FI684">
        <v>0</v>
      </c>
      <c r="FJ684">
        <v>0</v>
      </c>
      <c r="FK684">
        <v>0</v>
      </c>
      <c r="FL684">
        <v>0</v>
      </c>
      <c r="FM684">
        <v>0</v>
      </c>
      <c r="FN684">
        <v>0</v>
      </c>
      <c r="FO684">
        <v>0</v>
      </c>
      <c r="FP684">
        <v>0</v>
      </c>
      <c r="FQ684">
        <v>0</v>
      </c>
      <c r="FR684">
        <v>0</v>
      </c>
      <c r="FS684">
        <v>0</v>
      </c>
      <c r="FT684">
        <v>0</v>
      </c>
      <c r="FU684">
        <v>0</v>
      </c>
      <c r="FV684">
        <v>0</v>
      </c>
      <c r="FW684">
        <v>0</v>
      </c>
      <c r="FX684">
        <v>0</v>
      </c>
      <c r="FY684">
        <v>0</v>
      </c>
      <c r="FZ684">
        <v>0</v>
      </c>
      <c r="GA684">
        <v>0</v>
      </c>
      <c r="GB684">
        <v>0</v>
      </c>
      <c r="GC684">
        <v>0</v>
      </c>
      <c r="GD684">
        <v>0</v>
      </c>
      <c r="GE684">
        <v>0</v>
      </c>
      <c r="GF684">
        <v>0</v>
      </c>
      <c r="GG684">
        <v>0</v>
      </c>
      <c r="GH684">
        <v>0</v>
      </c>
      <c r="GI684">
        <v>0</v>
      </c>
      <c r="GJ684">
        <v>0</v>
      </c>
      <c r="GK684">
        <v>0</v>
      </c>
      <c r="GL684">
        <v>0</v>
      </c>
      <c r="GO684">
        <v>0</v>
      </c>
      <c r="GP684">
        <v>0</v>
      </c>
      <c r="GQ684">
        <v>0</v>
      </c>
      <c r="GR684">
        <v>0</v>
      </c>
      <c r="GS684">
        <v>0</v>
      </c>
      <c r="GT684">
        <v>0</v>
      </c>
      <c r="GU684">
        <v>0</v>
      </c>
      <c r="GV684">
        <v>0</v>
      </c>
      <c r="GW684">
        <v>0</v>
      </c>
      <c r="GX684">
        <v>0</v>
      </c>
      <c r="GY684">
        <v>0</v>
      </c>
      <c r="GZ684">
        <v>0</v>
      </c>
      <c r="HA684">
        <v>0</v>
      </c>
      <c r="HB684">
        <v>0</v>
      </c>
      <c r="HC684">
        <v>0</v>
      </c>
      <c r="HD684">
        <v>0</v>
      </c>
      <c r="HE684">
        <v>0</v>
      </c>
      <c r="HF684">
        <v>0</v>
      </c>
      <c r="HG684">
        <v>0</v>
      </c>
      <c r="HH684">
        <v>0</v>
      </c>
      <c r="HI684">
        <v>0</v>
      </c>
      <c r="HJ684">
        <v>0</v>
      </c>
      <c r="HK684">
        <v>0</v>
      </c>
      <c r="HL684">
        <v>0</v>
      </c>
      <c r="HM684">
        <v>0</v>
      </c>
      <c r="HN684">
        <v>0</v>
      </c>
      <c r="HO684">
        <v>0</v>
      </c>
      <c r="HP684">
        <v>0</v>
      </c>
      <c r="HQ684">
        <v>0</v>
      </c>
      <c r="HR684">
        <v>0</v>
      </c>
      <c r="HS684">
        <v>0</v>
      </c>
      <c r="HT684">
        <v>0</v>
      </c>
      <c r="HU684">
        <v>0</v>
      </c>
      <c r="HV684">
        <v>0</v>
      </c>
      <c r="HW684">
        <v>404.70000000000005</v>
      </c>
      <c r="HX684">
        <v>342.3</v>
      </c>
      <c r="HZ684">
        <v>866.2</v>
      </c>
      <c r="IA684">
        <v>1142.8</v>
      </c>
      <c r="IB684">
        <v>1121.5</v>
      </c>
      <c r="IC684">
        <v>2403</v>
      </c>
      <c r="ID684">
        <v>2659.3</v>
      </c>
      <c r="IE684">
        <v>1923.4</v>
      </c>
      <c r="IF684">
        <v>1465.7</v>
      </c>
      <c r="IG684">
        <v>1608.3</v>
      </c>
      <c r="IH684">
        <v>0</v>
      </c>
      <c r="II684">
        <v>0</v>
      </c>
      <c r="IJ684">
        <v>0</v>
      </c>
      <c r="IK684">
        <v>0</v>
      </c>
      <c r="IL684">
        <v>0</v>
      </c>
      <c r="IM684">
        <v>0</v>
      </c>
      <c r="IN684">
        <v>0</v>
      </c>
      <c r="IO684">
        <v>0</v>
      </c>
      <c r="IP684">
        <v>75.099999999999994</v>
      </c>
    </row>
    <row r="685" spans="1:250" ht="18" thickBot="1">
      <c r="A685" s="246"/>
      <c r="B685" s="246" t="s">
        <v>987</v>
      </c>
      <c r="C685" s="340"/>
      <c r="D685" s="403"/>
      <c r="E685" s="454">
        <v>0</v>
      </c>
      <c r="F685">
        <v>0</v>
      </c>
      <c r="G685" s="427">
        <v>0</v>
      </c>
      <c r="H685" s="155">
        <v>0</v>
      </c>
      <c r="I685">
        <v>0</v>
      </c>
      <c r="J685">
        <v>0</v>
      </c>
      <c r="K685">
        <v>0</v>
      </c>
      <c r="L685" s="4">
        <v>0</v>
      </c>
      <c r="M685" s="4">
        <v>0</v>
      </c>
      <c r="N685" s="4">
        <v>0</v>
      </c>
      <c r="O685" s="4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R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G685">
        <v>0</v>
      </c>
      <c r="BI685">
        <v>0</v>
      </c>
      <c r="BK685">
        <v>0</v>
      </c>
      <c r="BL685">
        <v>0</v>
      </c>
      <c r="BM685">
        <v>0</v>
      </c>
      <c r="BN685">
        <v>0</v>
      </c>
      <c r="BO685">
        <v>344.70000000000005</v>
      </c>
      <c r="BP685">
        <v>625.70000000000005</v>
      </c>
      <c r="BQ685">
        <v>912.2</v>
      </c>
      <c r="BR685">
        <v>237.7</v>
      </c>
      <c r="BS685">
        <v>0</v>
      </c>
      <c r="BT685">
        <v>0</v>
      </c>
      <c r="BU685">
        <v>0</v>
      </c>
      <c r="BV685">
        <v>0</v>
      </c>
      <c r="BW685">
        <v>1647.4</v>
      </c>
      <c r="BY685">
        <v>453.1</v>
      </c>
      <c r="CA685">
        <v>285.39999999999998</v>
      </c>
      <c r="CB685">
        <v>280.8</v>
      </c>
      <c r="CC685">
        <v>127.7</v>
      </c>
      <c r="CD685">
        <v>0</v>
      </c>
      <c r="CE685">
        <v>0</v>
      </c>
      <c r="CF685">
        <v>0</v>
      </c>
      <c r="CG685">
        <v>0</v>
      </c>
      <c r="CI685">
        <v>0</v>
      </c>
      <c r="CJ685">
        <v>0</v>
      </c>
      <c r="CL685">
        <v>0</v>
      </c>
      <c r="CM685">
        <v>0</v>
      </c>
      <c r="CN685">
        <v>0</v>
      </c>
      <c r="CO685">
        <v>0</v>
      </c>
      <c r="CP685">
        <v>0</v>
      </c>
      <c r="CQ685">
        <v>621.70000000000005</v>
      </c>
      <c r="CR685">
        <v>481.70000000000005</v>
      </c>
      <c r="CS685">
        <v>0</v>
      </c>
      <c r="CT685">
        <v>524.6</v>
      </c>
      <c r="CU685">
        <v>514.1</v>
      </c>
      <c r="CV685">
        <v>175.2</v>
      </c>
      <c r="CW685">
        <v>0</v>
      </c>
      <c r="CX685">
        <v>65.099999999999994</v>
      </c>
      <c r="CY685">
        <v>199</v>
      </c>
      <c r="CZ685">
        <v>1907.9</v>
      </c>
      <c r="DA685">
        <v>0</v>
      </c>
      <c r="DB685">
        <v>0</v>
      </c>
      <c r="DC685">
        <v>0</v>
      </c>
      <c r="DD685">
        <v>0</v>
      </c>
      <c r="DE685">
        <v>0</v>
      </c>
      <c r="DF685">
        <v>0</v>
      </c>
      <c r="DG685">
        <v>0</v>
      </c>
      <c r="DH685">
        <v>0</v>
      </c>
      <c r="DI685">
        <v>0</v>
      </c>
      <c r="DJ685">
        <v>0</v>
      </c>
      <c r="DK685">
        <v>0</v>
      </c>
      <c r="DL685">
        <v>0</v>
      </c>
      <c r="DM685">
        <v>1065.4000000000001</v>
      </c>
      <c r="DN685">
        <v>599.70000000000005</v>
      </c>
      <c r="DO685">
        <v>319.7</v>
      </c>
      <c r="DP685">
        <v>1570.6999999999998</v>
      </c>
      <c r="DQ685">
        <v>1399.5</v>
      </c>
      <c r="DR685">
        <v>3581</v>
      </c>
      <c r="DU685">
        <v>1393.2</v>
      </c>
      <c r="DV685">
        <v>2862.6</v>
      </c>
      <c r="DY685">
        <v>2361</v>
      </c>
      <c r="EA685">
        <v>2409.6</v>
      </c>
      <c r="EC685">
        <v>1661.3999999999999</v>
      </c>
      <c r="EE685">
        <v>0</v>
      </c>
      <c r="EF685">
        <v>0</v>
      </c>
      <c r="EG685">
        <v>0</v>
      </c>
      <c r="EH685">
        <v>0</v>
      </c>
      <c r="EI685">
        <v>0</v>
      </c>
      <c r="EJ685">
        <v>0</v>
      </c>
      <c r="EK685">
        <v>0</v>
      </c>
      <c r="EL685">
        <v>0</v>
      </c>
      <c r="EM685">
        <v>0</v>
      </c>
      <c r="EN685">
        <v>0</v>
      </c>
      <c r="EO685">
        <v>0</v>
      </c>
      <c r="EP685">
        <v>944.5</v>
      </c>
      <c r="EQ685">
        <v>3459.7</v>
      </c>
      <c r="ER685">
        <v>1353.5</v>
      </c>
      <c r="ES685">
        <v>182.2</v>
      </c>
      <c r="ET685">
        <v>855.59999999999991</v>
      </c>
      <c r="EU685">
        <v>172.2</v>
      </c>
      <c r="EV685">
        <v>203.2</v>
      </c>
      <c r="EW685">
        <v>1173.0999999999999</v>
      </c>
      <c r="EX685">
        <v>1078.3</v>
      </c>
      <c r="EY685">
        <v>1194.4000000000001</v>
      </c>
      <c r="EZ685">
        <v>1207.0999999999999</v>
      </c>
      <c r="FA685">
        <v>0</v>
      </c>
      <c r="FB685">
        <v>0</v>
      </c>
      <c r="FC685">
        <v>0</v>
      </c>
      <c r="FD685">
        <v>0</v>
      </c>
      <c r="FE685">
        <v>0</v>
      </c>
      <c r="FF685">
        <v>0</v>
      </c>
      <c r="FG685">
        <v>0</v>
      </c>
      <c r="FH685">
        <v>0</v>
      </c>
      <c r="FI685">
        <v>0</v>
      </c>
      <c r="FJ685">
        <v>0</v>
      </c>
      <c r="FK685">
        <v>0</v>
      </c>
      <c r="FL685">
        <v>0</v>
      </c>
      <c r="FM685">
        <v>0</v>
      </c>
      <c r="FN685">
        <v>0</v>
      </c>
      <c r="FO685">
        <v>0</v>
      </c>
      <c r="FP685">
        <v>0</v>
      </c>
      <c r="FQ685">
        <v>0</v>
      </c>
      <c r="FR685">
        <v>0</v>
      </c>
      <c r="FS685">
        <v>0</v>
      </c>
      <c r="FT685">
        <v>0</v>
      </c>
      <c r="FU685">
        <v>0</v>
      </c>
      <c r="FV685">
        <v>0</v>
      </c>
      <c r="FW685">
        <v>0</v>
      </c>
      <c r="FX685">
        <v>0</v>
      </c>
      <c r="FY685">
        <v>0</v>
      </c>
      <c r="FZ685">
        <v>0</v>
      </c>
      <c r="GA685">
        <v>0</v>
      </c>
      <c r="GB685">
        <v>0</v>
      </c>
      <c r="GC685">
        <v>0</v>
      </c>
      <c r="GD685">
        <v>0</v>
      </c>
      <c r="GE685">
        <v>0</v>
      </c>
      <c r="GF685">
        <v>0</v>
      </c>
      <c r="GG685">
        <v>0</v>
      </c>
      <c r="GH685">
        <v>0</v>
      </c>
      <c r="GI685">
        <v>0</v>
      </c>
      <c r="GJ685">
        <v>0</v>
      </c>
      <c r="GK685">
        <v>0</v>
      </c>
      <c r="GL685">
        <v>0</v>
      </c>
      <c r="GO685">
        <v>0</v>
      </c>
      <c r="GP685">
        <v>0</v>
      </c>
      <c r="GQ685">
        <v>0</v>
      </c>
      <c r="GR685">
        <v>0</v>
      </c>
      <c r="GS685">
        <v>0</v>
      </c>
      <c r="GT685">
        <v>0</v>
      </c>
      <c r="GU685">
        <v>0</v>
      </c>
      <c r="GV685">
        <v>0</v>
      </c>
      <c r="GW685">
        <v>0</v>
      </c>
      <c r="GX685">
        <v>0</v>
      </c>
      <c r="GY685">
        <v>0</v>
      </c>
      <c r="GZ685">
        <v>0</v>
      </c>
      <c r="HA685">
        <v>0</v>
      </c>
      <c r="HB685">
        <v>0</v>
      </c>
      <c r="HC685">
        <v>0</v>
      </c>
      <c r="HD685">
        <v>0</v>
      </c>
      <c r="HE685">
        <v>0</v>
      </c>
      <c r="HF685">
        <v>0</v>
      </c>
      <c r="HG685">
        <v>0</v>
      </c>
      <c r="HH685">
        <v>0</v>
      </c>
      <c r="HI685">
        <v>0</v>
      </c>
      <c r="HJ685">
        <v>0</v>
      </c>
      <c r="HK685">
        <v>0</v>
      </c>
      <c r="HL685">
        <v>0</v>
      </c>
      <c r="HM685">
        <v>0</v>
      </c>
      <c r="HN685">
        <v>0</v>
      </c>
      <c r="HO685">
        <v>0</v>
      </c>
      <c r="HP685">
        <v>0</v>
      </c>
      <c r="HQ685">
        <v>0</v>
      </c>
      <c r="HR685">
        <v>0</v>
      </c>
      <c r="HS685">
        <v>0</v>
      </c>
      <c r="HT685">
        <v>0</v>
      </c>
      <c r="HU685">
        <v>0</v>
      </c>
      <c r="HV685">
        <v>0</v>
      </c>
      <c r="HW685">
        <v>404.70000000000005</v>
      </c>
      <c r="HX685">
        <v>342.3</v>
      </c>
      <c r="HZ685">
        <v>866.2</v>
      </c>
      <c r="IA685">
        <v>1142.8</v>
      </c>
      <c r="IB685">
        <v>1121.5</v>
      </c>
      <c r="IC685">
        <v>2403</v>
      </c>
      <c r="ID685">
        <v>2659.3</v>
      </c>
      <c r="IE685">
        <v>1923.4</v>
      </c>
      <c r="IF685">
        <v>1465.7</v>
      </c>
      <c r="IG685">
        <v>1608.3</v>
      </c>
      <c r="IH685">
        <v>0</v>
      </c>
      <c r="II685">
        <v>0</v>
      </c>
      <c r="IJ685">
        <v>0</v>
      </c>
      <c r="IK685">
        <v>0</v>
      </c>
      <c r="IL685">
        <v>0</v>
      </c>
      <c r="IM685">
        <v>0</v>
      </c>
      <c r="IN685">
        <v>0</v>
      </c>
      <c r="IO685">
        <v>0</v>
      </c>
      <c r="IP685">
        <v>75.099999999999994</v>
      </c>
    </row>
    <row r="686" spans="1:250" ht="18.600000000000001" thickTop="1" thickBot="1">
      <c r="A686" s="181"/>
      <c r="B686" s="181" t="s">
        <v>988</v>
      </c>
      <c r="C686" s="333"/>
      <c r="D686" s="406" t="s">
        <v>1221</v>
      </c>
      <c r="E686" s="454">
        <v>0</v>
      </c>
      <c r="F686">
        <v>0</v>
      </c>
      <c r="G686" s="427">
        <v>0</v>
      </c>
      <c r="H686" s="155">
        <v>0</v>
      </c>
      <c r="I686">
        <v>0</v>
      </c>
      <c r="J686">
        <v>0</v>
      </c>
      <c r="K686">
        <v>0</v>
      </c>
      <c r="L686" s="4">
        <v>0</v>
      </c>
      <c r="M686" s="4">
        <v>0</v>
      </c>
      <c r="N686" s="4">
        <v>0</v>
      </c>
      <c r="O686" s="4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R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G686">
        <v>0</v>
      </c>
      <c r="BI686">
        <v>0</v>
      </c>
      <c r="BK686">
        <v>0</v>
      </c>
      <c r="BL686">
        <v>0</v>
      </c>
      <c r="BM686">
        <v>0</v>
      </c>
      <c r="BN686">
        <v>0</v>
      </c>
      <c r="BO686">
        <v>344.70000000000005</v>
      </c>
      <c r="BP686">
        <v>625.70000000000005</v>
      </c>
      <c r="BQ686">
        <v>912.2</v>
      </c>
      <c r="BR686">
        <v>237.7</v>
      </c>
      <c r="BS686">
        <v>0</v>
      </c>
      <c r="BT686">
        <v>0</v>
      </c>
      <c r="BU686">
        <v>0</v>
      </c>
      <c r="BV686">
        <v>0</v>
      </c>
      <c r="BW686">
        <v>1647.4</v>
      </c>
      <c r="BY686">
        <v>453.1</v>
      </c>
      <c r="CA686">
        <v>285.39999999999998</v>
      </c>
      <c r="CB686">
        <v>280.8</v>
      </c>
      <c r="CC686">
        <v>127.7</v>
      </c>
      <c r="CD686">
        <v>0</v>
      </c>
      <c r="CE686">
        <v>0</v>
      </c>
      <c r="CF686">
        <v>0</v>
      </c>
      <c r="CG686">
        <v>0</v>
      </c>
      <c r="CI686">
        <v>0</v>
      </c>
      <c r="CJ686">
        <v>0</v>
      </c>
      <c r="CL686">
        <v>0</v>
      </c>
      <c r="CM686">
        <v>0</v>
      </c>
      <c r="CN686">
        <v>0</v>
      </c>
      <c r="CO686">
        <v>0</v>
      </c>
      <c r="CP686">
        <v>0</v>
      </c>
      <c r="CQ686">
        <v>621.70000000000005</v>
      </c>
      <c r="CR686">
        <v>481.70000000000005</v>
      </c>
      <c r="CS686">
        <v>0</v>
      </c>
      <c r="CT686">
        <v>524.6</v>
      </c>
      <c r="CU686">
        <v>514.1</v>
      </c>
      <c r="CV686">
        <v>175.2</v>
      </c>
      <c r="CW686">
        <v>0</v>
      </c>
      <c r="CX686">
        <v>65.099999999999994</v>
      </c>
      <c r="CY686">
        <v>199</v>
      </c>
      <c r="CZ686">
        <v>1907.9</v>
      </c>
      <c r="DA686">
        <v>0</v>
      </c>
      <c r="DB686">
        <v>0</v>
      </c>
      <c r="DC686">
        <v>0</v>
      </c>
      <c r="DD686">
        <v>0</v>
      </c>
      <c r="DE686">
        <v>0</v>
      </c>
      <c r="DF686">
        <v>0</v>
      </c>
      <c r="DG686">
        <v>0</v>
      </c>
      <c r="DH686">
        <v>0</v>
      </c>
      <c r="DI686">
        <v>0</v>
      </c>
      <c r="DJ686">
        <v>0</v>
      </c>
      <c r="DK686">
        <v>0</v>
      </c>
      <c r="DL686">
        <v>0</v>
      </c>
      <c r="DM686">
        <v>1065.4000000000001</v>
      </c>
      <c r="DN686">
        <v>599.70000000000005</v>
      </c>
      <c r="DO686">
        <v>319.7</v>
      </c>
      <c r="DP686">
        <v>1570.6999999999998</v>
      </c>
      <c r="DQ686">
        <v>1399.5</v>
      </c>
      <c r="DR686">
        <v>3581</v>
      </c>
      <c r="DU686">
        <v>1393.2</v>
      </c>
      <c r="DV686">
        <v>2862.6</v>
      </c>
      <c r="DY686">
        <v>2361</v>
      </c>
      <c r="EA686">
        <v>2409.6</v>
      </c>
      <c r="EC686">
        <v>1661.3999999999999</v>
      </c>
      <c r="EE686">
        <v>0</v>
      </c>
      <c r="EF686">
        <v>0</v>
      </c>
      <c r="EG686">
        <v>0</v>
      </c>
      <c r="EH686">
        <v>0</v>
      </c>
      <c r="EI686">
        <v>0</v>
      </c>
      <c r="EJ686">
        <v>0</v>
      </c>
      <c r="EK686">
        <v>0</v>
      </c>
      <c r="EL686">
        <v>0</v>
      </c>
      <c r="EM686">
        <v>0</v>
      </c>
      <c r="EN686">
        <v>0</v>
      </c>
      <c r="EO686">
        <v>0</v>
      </c>
      <c r="EP686">
        <v>944.5</v>
      </c>
      <c r="EQ686">
        <v>3459.7</v>
      </c>
      <c r="ER686">
        <v>1353.5</v>
      </c>
      <c r="ES686">
        <v>182.2</v>
      </c>
      <c r="ET686">
        <v>855.59999999999991</v>
      </c>
      <c r="EU686">
        <v>172.2</v>
      </c>
      <c r="EV686">
        <v>203.2</v>
      </c>
      <c r="EW686">
        <v>1173.0999999999999</v>
      </c>
      <c r="EX686">
        <v>1078.3</v>
      </c>
      <c r="EY686">
        <v>1194.4000000000001</v>
      </c>
      <c r="EZ686">
        <v>1207.0999999999999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0</v>
      </c>
      <c r="FH686">
        <v>0</v>
      </c>
      <c r="FI686">
        <v>0</v>
      </c>
      <c r="FJ686">
        <v>0</v>
      </c>
      <c r="FK686">
        <v>0</v>
      </c>
      <c r="FL686">
        <v>0</v>
      </c>
      <c r="FM686">
        <v>0</v>
      </c>
      <c r="FN686">
        <v>0</v>
      </c>
      <c r="FO686">
        <v>0</v>
      </c>
      <c r="FP686">
        <v>0</v>
      </c>
      <c r="FQ686">
        <v>0</v>
      </c>
      <c r="FR686">
        <v>0</v>
      </c>
      <c r="FS686">
        <v>0</v>
      </c>
      <c r="FT686">
        <v>0</v>
      </c>
      <c r="FU686">
        <v>0</v>
      </c>
      <c r="FV686">
        <v>0</v>
      </c>
      <c r="FW686">
        <v>0</v>
      </c>
      <c r="FX686">
        <v>0</v>
      </c>
      <c r="FY686">
        <v>0</v>
      </c>
      <c r="FZ686">
        <v>0</v>
      </c>
      <c r="GA686">
        <v>0</v>
      </c>
      <c r="GB686">
        <v>0</v>
      </c>
      <c r="GC686">
        <v>0</v>
      </c>
      <c r="GD686">
        <v>0</v>
      </c>
      <c r="GE686">
        <v>0</v>
      </c>
      <c r="GF686">
        <v>0</v>
      </c>
      <c r="GG686">
        <v>0</v>
      </c>
      <c r="GH686">
        <v>0</v>
      </c>
      <c r="GI686">
        <v>0</v>
      </c>
      <c r="GJ686">
        <v>0</v>
      </c>
      <c r="GK686">
        <v>0</v>
      </c>
      <c r="GL686">
        <v>0</v>
      </c>
      <c r="GO686">
        <v>0</v>
      </c>
      <c r="GP686">
        <v>0</v>
      </c>
      <c r="GQ686">
        <v>0</v>
      </c>
      <c r="GR686">
        <v>0</v>
      </c>
      <c r="GS686">
        <v>0</v>
      </c>
      <c r="GT686">
        <v>0</v>
      </c>
      <c r="GU686">
        <v>0</v>
      </c>
      <c r="GV686">
        <v>0</v>
      </c>
      <c r="GW686">
        <v>0</v>
      </c>
      <c r="GX686">
        <v>0</v>
      </c>
      <c r="GY686">
        <v>0</v>
      </c>
      <c r="GZ686">
        <v>0</v>
      </c>
      <c r="HA686">
        <v>0</v>
      </c>
      <c r="HB686">
        <v>0</v>
      </c>
      <c r="HC686">
        <v>0</v>
      </c>
      <c r="HD686">
        <v>0</v>
      </c>
      <c r="HE686">
        <v>0</v>
      </c>
      <c r="HF686">
        <v>0</v>
      </c>
      <c r="HG686">
        <v>0</v>
      </c>
      <c r="HH686">
        <v>0</v>
      </c>
      <c r="HI686">
        <v>0</v>
      </c>
      <c r="HJ686">
        <v>0</v>
      </c>
      <c r="HK686">
        <v>0</v>
      </c>
      <c r="HL686">
        <v>0</v>
      </c>
      <c r="HM686">
        <v>0</v>
      </c>
      <c r="HN686">
        <v>0</v>
      </c>
      <c r="HO686">
        <v>0</v>
      </c>
      <c r="HP686">
        <v>0</v>
      </c>
      <c r="HQ686">
        <v>0</v>
      </c>
      <c r="HR686">
        <v>0</v>
      </c>
      <c r="HS686">
        <v>0</v>
      </c>
      <c r="HT686">
        <v>0</v>
      </c>
      <c r="HU686">
        <v>0</v>
      </c>
      <c r="HV686">
        <v>0</v>
      </c>
      <c r="HW686">
        <v>404.70000000000005</v>
      </c>
      <c r="HX686">
        <v>342.3</v>
      </c>
      <c r="HZ686">
        <v>866.2</v>
      </c>
      <c r="IA686">
        <v>1142.8</v>
      </c>
      <c r="IB686">
        <v>1121.5</v>
      </c>
      <c r="IC686">
        <v>2403</v>
      </c>
      <c r="ID686">
        <v>2659.3</v>
      </c>
      <c r="IE686">
        <v>1923.4</v>
      </c>
      <c r="IF686">
        <v>1465.7</v>
      </c>
      <c r="IG686">
        <v>1608.3</v>
      </c>
      <c r="IH686">
        <v>0</v>
      </c>
      <c r="II686">
        <v>0</v>
      </c>
      <c r="IJ686">
        <v>0</v>
      </c>
      <c r="IK686">
        <v>0</v>
      </c>
      <c r="IL686">
        <v>0</v>
      </c>
      <c r="IM686">
        <v>0</v>
      </c>
      <c r="IN686">
        <v>0</v>
      </c>
      <c r="IO686">
        <v>0</v>
      </c>
      <c r="IP686">
        <v>75.099999999999994</v>
      </c>
    </row>
    <row r="687" spans="1:250" ht="18" thickBot="1">
      <c r="A687" s="245"/>
      <c r="B687" s="245" t="s">
        <v>989</v>
      </c>
      <c r="C687" s="230" t="s">
        <v>1119</v>
      </c>
      <c r="D687" s="399" t="s">
        <v>1221</v>
      </c>
      <c r="E687" s="454">
        <v>0</v>
      </c>
      <c r="F687">
        <v>0</v>
      </c>
      <c r="G687" s="427">
        <v>0</v>
      </c>
      <c r="H687" s="155">
        <v>0</v>
      </c>
      <c r="I687">
        <v>0</v>
      </c>
      <c r="J687">
        <v>0</v>
      </c>
      <c r="K687">
        <v>0</v>
      </c>
      <c r="L687" s="4">
        <v>0</v>
      </c>
      <c r="M687" s="4">
        <v>0</v>
      </c>
      <c r="N687" s="4">
        <v>0</v>
      </c>
      <c r="O687" s="4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R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G687">
        <v>0</v>
      </c>
      <c r="BI687">
        <v>0</v>
      </c>
      <c r="BK687">
        <v>0</v>
      </c>
      <c r="BL687">
        <v>0</v>
      </c>
      <c r="BM687">
        <v>0</v>
      </c>
      <c r="BN687">
        <v>0</v>
      </c>
      <c r="BO687">
        <v>344.70000000000005</v>
      </c>
      <c r="BP687">
        <v>625.70000000000005</v>
      </c>
      <c r="BQ687">
        <v>912.2</v>
      </c>
      <c r="BR687">
        <v>237.7</v>
      </c>
      <c r="BS687">
        <v>0</v>
      </c>
      <c r="BT687">
        <v>0</v>
      </c>
      <c r="BU687">
        <v>0</v>
      </c>
      <c r="BV687">
        <v>0</v>
      </c>
      <c r="BW687">
        <v>1647.4</v>
      </c>
      <c r="BY687">
        <v>453.1</v>
      </c>
      <c r="CA687">
        <v>285.39999999999998</v>
      </c>
      <c r="CB687">
        <v>280.8</v>
      </c>
      <c r="CC687">
        <v>127.7</v>
      </c>
      <c r="CD687">
        <v>0</v>
      </c>
      <c r="CE687">
        <v>0</v>
      </c>
      <c r="CF687">
        <v>0</v>
      </c>
      <c r="CG687">
        <v>0</v>
      </c>
      <c r="CI687">
        <v>0</v>
      </c>
      <c r="CJ687">
        <v>0</v>
      </c>
      <c r="CL687">
        <v>0</v>
      </c>
      <c r="CM687">
        <v>0</v>
      </c>
      <c r="CN687">
        <v>0</v>
      </c>
      <c r="CO687">
        <v>0</v>
      </c>
      <c r="CP687">
        <v>0</v>
      </c>
      <c r="CQ687">
        <v>621.70000000000005</v>
      </c>
      <c r="CR687">
        <v>481.70000000000005</v>
      </c>
      <c r="CS687">
        <v>0</v>
      </c>
      <c r="CT687">
        <v>524.6</v>
      </c>
      <c r="CU687">
        <v>514.1</v>
      </c>
      <c r="CV687">
        <v>175.2</v>
      </c>
      <c r="CW687">
        <v>0</v>
      </c>
      <c r="CX687">
        <v>65.099999999999994</v>
      </c>
      <c r="CY687">
        <v>199</v>
      </c>
      <c r="CZ687">
        <v>1907.9</v>
      </c>
      <c r="DA687">
        <v>0</v>
      </c>
      <c r="DB687">
        <v>0</v>
      </c>
      <c r="DC687">
        <v>0</v>
      </c>
      <c r="DD687">
        <v>0</v>
      </c>
      <c r="DE687">
        <v>0</v>
      </c>
      <c r="DF687">
        <v>0</v>
      </c>
      <c r="DG687">
        <v>0</v>
      </c>
      <c r="DH687">
        <v>0</v>
      </c>
      <c r="DI687">
        <v>0</v>
      </c>
      <c r="DJ687">
        <v>0</v>
      </c>
      <c r="DK687">
        <v>0</v>
      </c>
      <c r="DL687">
        <v>0</v>
      </c>
      <c r="DM687">
        <v>1065.4000000000001</v>
      </c>
      <c r="DN687">
        <v>599.70000000000005</v>
      </c>
      <c r="DO687">
        <v>319.7</v>
      </c>
      <c r="DP687">
        <v>1570.6999999999998</v>
      </c>
      <c r="DQ687">
        <v>1399.5</v>
      </c>
      <c r="DR687">
        <v>3581</v>
      </c>
      <c r="DU687">
        <v>1393.2</v>
      </c>
      <c r="DV687">
        <v>2862.6</v>
      </c>
      <c r="DY687">
        <v>2361</v>
      </c>
      <c r="EA687">
        <v>2409.6</v>
      </c>
      <c r="EC687">
        <v>1661.3999999999999</v>
      </c>
      <c r="EE687">
        <v>0</v>
      </c>
      <c r="EF687">
        <v>0</v>
      </c>
      <c r="EG687">
        <v>0</v>
      </c>
      <c r="EH687">
        <v>0</v>
      </c>
      <c r="EI687">
        <v>0</v>
      </c>
      <c r="EJ687">
        <v>0</v>
      </c>
      <c r="EK687">
        <v>0</v>
      </c>
      <c r="EL687">
        <v>0</v>
      </c>
      <c r="EM687">
        <v>0</v>
      </c>
      <c r="EN687">
        <v>0</v>
      </c>
      <c r="EO687">
        <v>0</v>
      </c>
      <c r="EP687">
        <v>944.5</v>
      </c>
      <c r="EQ687">
        <v>3459.7</v>
      </c>
      <c r="ER687">
        <v>1353.5</v>
      </c>
      <c r="ES687">
        <v>182.2</v>
      </c>
      <c r="ET687">
        <v>855.59999999999991</v>
      </c>
      <c r="EU687">
        <v>172.2</v>
      </c>
      <c r="EV687">
        <v>203.2</v>
      </c>
      <c r="EW687">
        <v>1173.0999999999999</v>
      </c>
      <c r="EX687">
        <v>1078.3</v>
      </c>
      <c r="EY687">
        <v>1194.4000000000001</v>
      </c>
      <c r="EZ687">
        <v>1207.0999999999999</v>
      </c>
      <c r="FA687">
        <v>0</v>
      </c>
      <c r="FB687">
        <v>0</v>
      </c>
      <c r="FC687">
        <v>0</v>
      </c>
      <c r="FD687">
        <v>0</v>
      </c>
      <c r="FE687">
        <v>0</v>
      </c>
      <c r="FF687">
        <v>0</v>
      </c>
      <c r="FG687">
        <v>0</v>
      </c>
      <c r="FH687">
        <v>0</v>
      </c>
      <c r="FI687">
        <v>0</v>
      </c>
      <c r="FJ687">
        <v>0</v>
      </c>
      <c r="FK687">
        <v>0</v>
      </c>
      <c r="FL687">
        <v>0</v>
      </c>
      <c r="FM687">
        <v>0</v>
      </c>
      <c r="FN687">
        <v>0</v>
      </c>
      <c r="FO687">
        <v>0</v>
      </c>
      <c r="FP687">
        <v>0</v>
      </c>
      <c r="FQ687">
        <v>0</v>
      </c>
      <c r="FR687">
        <v>0</v>
      </c>
      <c r="FS687">
        <v>0</v>
      </c>
      <c r="FT687">
        <v>0</v>
      </c>
      <c r="FU687">
        <v>0</v>
      </c>
      <c r="FV687">
        <v>0</v>
      </c>
      <c r="FW687">
        <v>0</v>
      </c>
      <c r="FX687">
        <v>0</v>
      </c>
      <c r="FY687">
        <v>0</v>
      </c>
      <c r="FZ687">
        <v>0</v>
      </c>
      <c r="GA687">
        <v>0</v>
      </c>
      <c r="GB687">
        <v>0</v>
      </c>
      <c r="GC687">
        <v>0</v>
      </c>
      <c r="GD687">
        <v>0</v>
      </c>
      <c r="GE687">
        <v>0</v>
      </c>
      <c r="GF687">
        <v>0</v>
      </c>
      <c r="GG687">
        <v>0</v>
      </c>
      <c r="GH687">
        <v>0</v>
      </c>
      <c r="GI687">
        <v>0</v>
      </c>
      <c r="GJ687">
        <v>0</v>
      </c>
      <c r="GK687">
        <v>0</v>
      </c>
      <c r="GL687">
        <v>0</v>
      </c>
      <c r="GO687">
        <v>0</v>
      </c>
      <c r="GP687">
        <v>0</v>
      </c>
      <c r="GQ687">
        <v>0</v>
      </c>
      <c r="GR687">
        <v>0</v>
      </c>
      <c r="GS687">
        <v>0</v>
      </c>
      <c r="GT687">
        <v>0</v>
      </c>
      <c r="GU687">
        <v>0</v>
      </c>
      <c r="GV687">
        <v>0</v>
      </c>
      <c r="GW687">
        <v>0</v>
      </c>
      <c r="GX687">
        <v>0</v>
      </c>
      <c r="GY687">
        <v>0</v>
      </c>
      <c r="GZ687">
        <v>0</v>
      </c>
      <c r="HA687">
        <v>0</v>
      </c>
      <c r="HB687">
        <v>0</v>
      </c>
      <c r="HC687">
        <v>0</v>
      </c>
      <c r="HD687">
        <v>0</v>
      </c>
      <c r="HE687">
        <v>0</v>
      </c>
      <c r="HF687">
        <v>0</v>
      </c>
      <c r="HG687">
        <v>0</v>
      </c>
      <c r="HH687">
        <v>0</v>
      </c>
      <c r="HI687">
        <v>0</v>
      </c>
      <c r="HJ687">
        <v>0</v>
      </c>
      <c r="HK687">
        <v>0</v>
      </c>
      <c r="HL687">
        <v>0</v>
      </c>
      <c r="HM687">
        <v>0</v>
      </c>
      <c r="HN687">
        <v>0</v>
      </c>
      <c r="HO687">
        <v>0</v>
      </c>
      <c r="HP687">
        <v>0</v>
      </c>
      <c r="HQ687">
        <v>0</v>
      </c>
      <c r="HR687">
        <v>0</v>
      </c>
      <c r="HS687">
        <v>0</v>
      </c>
      <c r="HT687">
        <v>0</v>
      </c>
      <c r="HU687">
        <v>0</v>
      </c>
      <c r="HV687">
        <v>0</v>
      </c>
      <c r="HW687">
        <v>404.70000000000005</v>
      </c>
      <c r="HX687">
        <v>342.3</v>
      </c>
      <c r="HZ687">
        <v>866.2</v>
      </c>
      <c r="IA687">
        <v>1142.8</v>
      </c>
      <c r="IB687">
        <v>1121.5</v>
      </c>
      <c r="IC687">
        <v>2403</v>
      </c>
      <c r="ID687">
        <v>2659.3</v>
      </c>
      <c r="IE687">
        <v>1923.4</v>
      </c>
      <c r="IF687">
        <v>1465.7</v>
      </c>
      <c r="IG687">
        <v>1608.3</v>
      </c>
      <c r="IH687">
        <v>0</v>
      </c>
      <c r="II687">
        <v>0</v>
      </c>
      <c r="IJ687">
        <v>0</v>
      </c>
      <c r="IK687">
        <v>0</v>
      </c>
      <c r="IL687">
        <v>0</v>
      </c>
      <c r="IM687">
        <v>0</v>
      </c>
      <c r="IN687">
        <v>0</v>
      </c>
      <c r="IO687">
        <v>0</v>
      </c>
      <c r="IP687">
        <v>75.099999999999994</v>
      </c>
    </row>
    <row r="688" spans="1:250" ht="18" thickBot="1">
      <c r="A688" s="245"/>
      <c r="B688" s="245" t="s">
        <v>990</v>
      </c>
      <c r="C688" s="88" t="s">
        <v>1120</v>
      </c>
      <c r="D688" s="399" t="s">
        <v>1222</v>
      </c>
      <c r="E688" s="454">
        <v>0</v>
      </c>
      <c r="F688">
        <v>0</v>
      </c>
      <c r="G688" s="427">
        <v>0</v>
      </c>
      <c r="H688" s="155">
        <v>0</v>
      </c>
      <c r="I688">
        <v>0</v>
      </c>
      <c r="J688">
        <v>0</v>
      </c>
      <c r="K688">
        <v>0</v>
      </c>
      <c r="L688" s="4">
        <v>0</v>
      </c>
      <c r="M688" s="4">
        <v>0</v>
      </c>
      <c r="N688" s="4">
        <v>0</v>
      </c>
      <c r="O688" s="4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R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G688">
        <v>0</v>
      </c>
      <c r="BI688">
        <v>0</v>
      </c>
      <c r="BK688">
        <v>0</v>
      </c>
      <c r="BL688">
        <v>0</v>
      </c>
      <c r="BM688">
        <v>0</v>
      </c>
      <c r="BN688">
        <v>0</v>
      </c>
      <c r="BO688">
        <v>344.70000000000005</v>
      </c>
      <c r="BP688">
        <v>625.70000000000005</v>
      </c>
      <c r="BQ688">
        <v>912.2</v>
      </c>
      <c r="BR688">
        <v>237.7</v>
      </c>
      <c r="BS688">
        <v>0</v>
      </c>
      <c r="BT688">
        <v>0</v>
      </c>
      <c r="BU688">
        <v>0</v>
      </c>
      <c r="BV688">
        <v>0</v>
      </c>
      <c r="BW688">
        <v>1647.4</v>
      </c>
      <c r="BY688">
        <v>453.1</v>
      </c>
      <c r="CA688">
        <v>285.39999999999998</v>
      </c>
      <c r="CB688">
        <v>280.8</v>
      </c>
      <c r="CC688">
        <v>127.7</v>
      </c>
      <c r="CD688">
        <v>0</v>
      </c>
      <c r="CE688">
        <v>0</v>
      </c>
      <c r="CF688">
        <v>0</v>
      </c>
      <c r="CG688">
        <v>0</v>
      </c>
      <c r="CI688">
        <v>0</v>
      </c>
      <c r="CJ688">
        <v>0</v>
      </c>
      <c r="CL688">
        <v>0</v>
      </c>
      <c r="CM688">
        <v>0</v>
      </c>
      <c r="CN688">
        <v>0</v>
      </c>
      <c r="CO688">
        <v>0</v>
      </c>
      <c r="CP688">
        <v>0</v>
      </c>
      <c r="CQ688">
        <v>621.70000000000005</v>
      </c>
      <c r="CR688">
        <v>481.70000000000005</v>
      </c>
      <c r="CS688">
        <v>0</v>
      </c>
      <c r="CT688">
        <v>524.6</v>
      </c>
      <c r="CU688">
        <v>514.1</v>
      </c>
      <c r="CV688">
        <v>175.2</v>
      </c>
      <c r="CW688">
        <v>0</v>
      </c>
      <c r="CX688">
        <v>65.099999999999994</v>
      </c>
      <c r="CY688">
        <v>199</v>
      </c>
      <c r="CZ688">
        <v>1907.9</v>
      </c>
      <c r="DA688">
        <v>0</v>
      </c>
      <c r="DB688">
        <v>0</v>
      </c>
      <c r="DC688">
        <v>0</v>
      </c>
      <c r="DD688">
        <v>0</v>
      </c>
      <c r="DE688">
        <v>0</v>
      </c>
      <c r="DF688">
        <v>0</v>
      </c>
      <c r="DG688">
        <v>0</v>
      </c>
      <c r="DH688">
        <v>0</v>
      </c>
      <c r="DI688">
        <v>0</v>
      </c>
      <c r="DJ688">
        <v>0</v>
      </c>
      <c r="DK688">
        <v>0</v>
      </c>
      <c r="DL688">
        <v>0</v>
      </c>
      <c r="DM688">
        <v>1065.4000000000001</v>
      </c>
      <c r="DN688">
        <v>599.70000000000005</v>
      </c>
      <c r="DO688">
        <v>319.7</v>
      </c>
      <c r="DP688">
        <v>1570.6999999999998</v>
      </c>
      <c r="DQ688">
        <v>1399.5</v>
      </c>
      <c r="DR688">
        <v>3581</v>
      </c>
      <c r="DU688">
        <v>1393.2</v>
      </c>
      <c r="DV688">
        <v>2862.6</v>
      </c>
      <c r="DY688">
        <v>2361</v>
      </c>
      <c r="EA688">
        <v>2409.6</v>
      </c>
      <c r="EC688">
        <v>1661.3999999999999</v>
      </c>
      <c r="EE688">
        <v>0</v>
      </c>
      <c r="EF688">
        <v>0</v>
      </c>
      <c r="EG688">
        <v>0</v>
      </c>
      <c r="EH688">
        <v>0</v>
      </c>
      <c r="EI688">
        <v>0</v>
      </c>
      <c r="EJ688">
        <v>0</v>
      </c>
      <c r="EK688">
        <v>0</v>
      </c>
      <c r="EL688">
        <v>0</v>
      </c>
      <c r="EM688">
        <v>0</v>
      </c>
      <c r="EN688">
        <v>0</v>
      </c>
      <c r="EO688">
        <v>0</v>
      </c>
      <c r="EP688">
        <v>944.5</v>
      </c>
      <c r="EQ688">
        <v>3459.7</v>
      </c>
      <c r="ER688">
        <v>1353.5</v>
      </c>
      <c r="ES688">
        <v>182.2</v>
      </c>
      <c r="ET688">
        <v>855.59999999999991</v>
      </c>
      <c r="EU688">
        <v>172.2</v>
      </c>
      <c r="EV688">
        <v>203.2</v>
      </c>
      <c r="EW688">
        <v>1173.0999999999999</v>
      </c>
      <c r="EX688">
        <v>1078.3</v>
      </c>
      <c r="EY688">
        <v>1194.4000000000001</v>
      </c>
      <c r="EZ688">
        <v>1207.0999999999999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0</v>
      </c>
      <c r="FH688">
        <v>0</v>
      </c>
      <c r="FI688">
        <v>0</v>
      </c>
      <c r="FJ688">
        <v>0</v>
      </c>
      <c r="FK688">
        <v>0</v>
      </c>
      <c r="FL688">
        <v>0</v>
      </c>
      <c r="FM688">
        <v>0</v>
      </c>
      <c r="FN688">
        <v>0</v>
      </c>
      <c r="FO688">
        <v>0</v>
      </c>
      <c r="FP688">
        <v>0</v>
      </c>
      <c r="FQ688">
        <v>0</v>
      </c>
      <c r="FR688">
        <v>0</v>
      </c>
      <c r="FS688">
        <v>0</v>
      </c>
      <c r="FT688">
        <v>0</v>
      </c>
      <c r="FU688">
        <v>0</v>
      </c>
      <c r="FV688">
        <v>0</v>
      </c>
      <c r="FW688">
        <v>0</v>
      </c>
      <c r="FX688">
        <v>0</v>
      </c>
      <c r="FY688">
        <v>0</v>
      </c>
      <c r="FZ688">
        <v>0</v>
      </c>
      <c r="GA688">
        <v>0</v>
      </c>
      <c r="GB688">
        <v>0</v>
      </c>
      <c r="GC688">
        <v>0</v>
      </c>
      <c r="GD688">
        <v>0</v>
      </c>
      <c r="GE688">
        <v>0</v>
      </c>
      <c r="GF688">
        <v>0</v>
      </c>
      <c r="GG688">
        <v>0</v>
      </c>
      <c r="GH688">
        <v>0</v>
      </c>
      <c r="GI688">
        <v>0</v>
      </c>
      <c r="GJ688">
        <v>0</v>
      </c>
      <c r="GK688">
        <v>0</v>
      </c>
      <c r="GL688">
        <v>0</v>
      </c>
      <c r="GO688">
        <v>0</v>
      </c>
      <c r="GP688">
        <v>0</v>
      </c>
      <c r="GQ688">
        <v>0</v>
      </c>
      <c r="GR688">
        <v>0</v>
      </c>
      <c r="GS688">
        <v>0</v>
      </c>
      <c r="GT688">
        <v>0</v>
      </c>
      <c r="GU688">
        <v>0</v>
      </c>
      <c r="GV688">
        <v>0</v>
      </c>
      <c r="GW688">
        <v>0</v>
      </c>
      <c r="GX688">
        <v>0</v>
      </c>
      <c r="GY688">
        <v>0</v>
      </c>
      <c r="GZ688">
        <v>0</v>
      </c>
      <c r="HA688">
        <v>0</v>
      </c>
      <c r="HB688">
        <v>0</v>
      </c>
      <c r="HC688">
        <v>0</v>
      </c>
      <c r="HD688">
        <v>0</v>
      </c>
      <c r="HE688">
        <v>0</v>
      </c>
      <c r="HF688">
        <v>0</v>
      </c>
      <c r="HG688">
        <v>0</v>
      </c>
      <c r="HH688">
        <v>0</v>
      </c>
      <c r="HI688">
        <v>0</v>
      </c>
      <c r="HJ688">
        <v>0</v>
      </c>
      <c r="HK688">
        <v>0</v>
      </c>
      <c r="HL688">
        <v>0</v>
      </c>
      <c r="HM688">
        <v>0</v>
      </c>
      <c r="HN688">
        <v>0</v>
      </c>
      <c r="HO688">
        <v>0</v>
      </c>
      <c r="HP688">
        <v>0</v>
      </c>
      <c r="HQ688">
        <v>0</v>
      </c>
      <c r="HR688">
        <v>0</v>
      </c>
      <c r="HS688">
        <v>0</v>
      </c>
      <c r="HT688">
        <v>0</v>
      </c>
      <c r="HU688">
        <v>0</v>
      </c>
      <c r="HV688">
        <v>0</v>
      </c>
      <c r="HW688">
        <v>404.70000000000005</v>
      </c>
      <c r="HX688">
        <v>342.3</v>
      </c>
      <c r="HZ688">
        <v>866.2</v>
      </c>
      <c r="IA688">
        <v>1142.8</v>
      </c>
      <c r="IB688">
        <v>1121.5</v>
      </c>
      <c r="IC688">
        <v>2403</v>
      </c>
      <c r="ID688">
        <v>2659.3</v>
      </c>
      <c r="IE688">
        <v>1923.4</v>
      </c>
      <c r="IF688">
        <v>1465.7</v>
      </c>
      <c r="IG688">
        <v>1608.3</v>
      </c>
      <c r="IH688">
        <v>0</v>
      </c>
      <c r="II688">
        <v>0</v>
      </c>
      <c r="IJ688">
        <v>0</v>
      </c>
      <c r="IK688">
        <v>0</v>
      </c>
      <c r="IL688">
        <v>0</v>
      </c>
      <c r="IM688">
        <v>0</v>
      </c>
      <c r="IN688">
        <v>0</v>
      </c>
      <c r="IO688">
        <v>0</v>
      </c>
      <c r="IP688">
        <v>75.099999999999994</v>
      </c>
    </row>
    <row r="689" spans="1:250" ht="18" thickBot="1">
      <c r="A689" s="245"/>
      <c r="B689" s="245" t="s">
        <v>991</v>
      </c>
      <c r="C689" s="88" t="s">
        <v>1121</v>
      </c>
      <c r="D689" s="399" t="s">
        <v>1223</v>
      </c>
      <c r="E689" s="454">
        <v>0</v>
      </c>
      <c r="F689">
        <v>0</v>
      </c>
      <c r="G689" s="427">
        <v>0</v>
      </c>
      <c r="H689" s="155">
        <v>0</v>
      </c>
      <c r="I689">
        <v>0</v>
      </c>
      <c r="J689">
        <v>0</v>
      </c>
      <c r="K689">
        <v>0</v>
      </c>
      <c r="L689" s="4">
        <v>0</v>
      </c>
      <c r="M689" s="4">
        <v>0</v>
      </c>
      <c r="N689" s="4">
        <v>0</v>
      </c>
      <c r="O689" s="4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R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G689">
        <v>0</v>
      </c>
      <c r="BI689">
        <v>0</v>
      </c>
      <c r="BK689">
        <v>0</v>
      </c>
      <c r="BL689">
        <v>0</v>
      </c>
      <c r="BM689">
        <v>0</v>
      </c>
      <c r="BN689">
        <v>0</v>
      </c>
      <c r="BO689">
        <v>344.70000000000005</v>
      </c>
      <c r="BP689">
        <v>625.70000000000005</v>
      </c>
      <c r="BQ689">
        <v>912.2</v>
      </c>
      <c r="BR689">
        <v>237.7</v>
      </c>
      <c r="BS689">
        <v>0</v>
      </c>
      <c r="BT689">
        <v>0</v>
      </c>
      <c r="BU689">
        <v>0</v>
      </c>
      <c r="BV689">
        <v>0</v>
      </c>
      <c r="BW689">
        <v>1647.4</v>
      </c>
      <c r="BY689">
        <v>453.1</v>
      </c>
      <c r="CA689">
        <v>285.39999999999998</v>
      </c>
      <c r="CB689">
        <v>280.8</v>
      </c>
      <c r="CC689">
        <v>127.7</v>
      </c>
      <c r="CD689">
        <v>0</v>
      </c>
      <c r="CE689">
        <v>0</v>
      </c>
      <c r="CF689">
        <v>0</v>
      </c>
      <c r="CG689">
        <v>0</v>
      </c>
      <c r="CI689">
        <v>0</v>
      </c>
      <c r="CJ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621.70000000000005</v>
      </c>
      <c r="CR689">
        <v>481.70000000000005</v>
      </c>
      <c r="CS689">
        <v>0</v>
      </c>
      <c r="CT689">
        <v>524.6</v>
      </c>
      <c r="CU689">
        <v>514.1</v>
      </c>
      <c r="CV689">
        <v>175.2</v>
      </c>
      <c r="CW689">
        <v>0</v>
      </c>
      <c r="CX689">
        <v>65.099999999999994</v>
      </c>
      <c r="CY689">
        <v>199</v>
      </c>
      <c r="CZ689">
        <v>1907.9</v>
      </c>
      <c r="DA689">
        <v>0</v>
      </c>
      <c r="DB689">
        <v>0</v>
      </c>
      <c r="DC689">
        <v>0</v>
      </c>
      <c r="DD689">
        <v>0</v>
      </c>
      <c r="DE689">
        <v>0</v>
      </c>
      <c r="DF689">
        <v>0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1065.4000000000001</v>
      </c>
      <c r="DN689">
        <v>599.70000000000005</v>
      </c>
      <c r="DO689">
        <v>319.7</v>
      </c>
      <c r="DP689">
        <v>1570.6999999999998</v>
      </c>
      <c r="DQ689">
        <v>1399.5</v>
      </c>
      <c r="DR689">
        <v>3581</v>
      </c>
      <c r="DU689">
        <v>1393.2</v>
      </c>
      <c r="DV689">
        <v>2862.6</v>
      </c>
      <c r="DY689">
        <v>2361</v>
      </c>
      <c r="EA689">
        <v>2409.6</v>
      </c>
      <c r="EC689">
        <v>1661.3999999999999</v>
      </c>
      <c r="EE689">
        <v>0</v>
      </c>
      <c r="EF689">
        <v>0</v>
      </c>
      <c r="EG689">
        <v>0</v>
      </c>
      <c r="EH689">
        <v>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944.5</v>
      </c>
      <c r="EQ689">
        <v>3459.7</v>
      </c>
      <c r="ER689">
        <v>1353.5</v>
      </c>
      <c r="ES689">
        <v>182.2</v>
      </c>
      <c r="ET689">
        <v>855.59999999999991</v>
      </c>
      <c r="EU689">
        <v>172.2</v>
      </c>
      <c r="EV689">
        <v>203.2</v>
      </c>
      <c r="EW689">
        <v>1173.0999999999999</v>
      </c>
      <c r="EX689">
        <v>1078.3</v>
      </c>
      <c r="EY689">
        <v>1194.4000000000001</v>
      </c>
      <c r="EZ689">
        <v>1207.0999999999999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0</v>
      </c>
      <c r="FH689">
        <v>0</v>
      </c>
      <c r="FI689">
        <v>0</v>
      </c>
      <c r="FJ689">
        <v>0</v>
      </c>
      <c r="FK689">
        <v>0</v>
      </c>
      <c r="FL689">
        <v>0</v>
      </c>
      <c r="FM689">
        <v>0</v>
      </c>
      <c r="FN689">
        <v>0</v>
      </c>
      <c r="FO689">
        <v>0</v>
      </c>
      <c r="FP689">
        <v>0</v>
      </c>
      <c r="FQ689">
        <v>0</v>
      </c>
      <c r="FR689">
        <v>0</v>
      </c>
      <c r="FS689">
        <v>0</v>
      </c>
      <c r="FT689">
        <v>0</v>
      </c>
      <c r="FU689">
        <v>0</v>
      </c>
      <c r="FV689">
        <v>0</v>
      </c>
      <c r="FW689">
        <v>0</v>
      </c>
      <c r="FX689">
        <v>0</v>
      </c>
      <c r="FY689">
        <v>0</v>
      </c>
      <c r="FZ689">
        <v>0</v>
      </c>
      <c r="GA689">
        <v>0</v>
      </c>
      <c r="GB689">
        <v>0</v>
      </c>
      <c r="GC689">
        <v>0</v>
      </c>
      <c r="GD689">
        <v>0</v>
      </c>
      <c r="GE689">
        <v>0</v>
      </c>
      <c r="GF689">
        <v>0</v>
      </c>
      <c r="GG689">
        <v>0</v>
      </c>
      <c r="GH689">
        <v>0</v>
      </c>
      <c r="GI689">
        <v>0</v>
      </c>
      <c r="GJ689">
        <v>0</v>
      </c>
      <c r="GK689">
        <v>0</v>
      </c>
      <c r="GL689">
        <v>0</v>
      </c>
      <c r="GO689">
        <v>0</v>
      </c>
      <c r="GP689">
        <v>0</v>
      </c>
      <c r="GQ689">
        <v>0</v>
      </c>
      <c r="GR689">
        <v>0</v>
      </c>
      <c r="GS689">
        <v>0</v>
      </c>
      <c r="GT689">
        <v>0</v>
      </c>
      <c r="GU689">
        <v>0</v>
      </c>
      <c r="GV689">
        <v>0</v>
      </c>
      <c r="GW689">
        <v>0</v>
      </c>
      <c r="GX689">
        <v>0</v>
      </c>
      <c r="GY689">
        <v>0</v>
      </c>
      <c r="GZ689">
        <v>0</v>
      </c>
      <c r="HA689">
        <v>0</v>
      </c>
      <c r="HB689">
        <v>0</v>
      </c>
      <c r="HC689">
        <v>0</v>
      </c>
      <c r="HD689">
        <v>0</v>
      </c>
      <c r="HE689">
        <v>0</v>
      </c>
      <c r="HF689">
        <v>0</v>
      </c>
      <c r="HG689">
        <v>0</v>
      </c>
      <c r="HH689">
        <v>0</v>
      </c>
      <c r="HI689">
        <v>0</v>
      </c>
      <c r="HJ689">
        <v>0</v>
      </c>
      <c r="HK689">
        <v>0</v>
      </c>
      <c r="HL689">
        <v>0</v>
      </c>
      <c r="HM689">
        <v>0</v>
      </c>
      <c r="HN689">
        <v>0</v>
      </c>
      <c r="HO689">
        <v>0</v>
      </c>
      <c r="HP689">
        <v>0</v>
      </c>
      <c r="HQ689">
        <v>0</v>
      </c>
      <c r="HR689">
        <v>0</v>
      </c>
      <c r="HS689">
        <v>0</v>
      </c>
      <c r="HT689">
        <v>0</v>
      </c>
      <c r="HU689">
        <v>0</v>
      </c>
      <c r="HV689">
        <v>0</v>
      </c>
      <c r="HW689">
        <v>404.70000000000005</v>
      </c>
      <c r="HX689">
        <v>342.3</v>
      </c>
      <c r="HZ689">
        <v>866.2</v>
      </c>
      <c r="IA689">
        <v>1142.8</v>
      </c>
      <c r="IB689">
        <v>1121.5</v>
      </c>
      <c r="IC689">
        <v>2403</v>
      </c>
      <c r="ID689">
        <v>2659.3</v>
      </c>
      <c r="IE689">
        <v>1923.4</v>
      </c>
      <c r="IF689">
        <v>1465.7</v>
      </c>
      <c r="IG689">
        <v>1608.3</v>
      </c>
      <c r="IH689">
        <v>0</v>
      </c>
      <c r="II689">
        <v>0</v>
      </c>
      <c r="IJ689">
        <v>0</v>
      </c>
      <c r="IK689">
        <v>0</v>
      </c>
      <c r="IL689">
        <v>0</v>
      </c>
      <c r="IM689">
        <v>0</v>
      </c>
      <c r="IN689">
        <v>0</v>
      </c>
      <c r="IO689">
        <v>0</v>
      </c>
      <c r="IP689">
        <v>75.099999999999994</v>
      </c>
    </row>
    <row r="690" spans="1:250" ht="18" thickBot="1">
      <c r="A690" s="245"/>
      <c r="B690" s="245" t="s">
        <v>992</v>
      </c>
      <c r="C690" s="88" t="s">
        <v>1122</v>
      </c>
      <c r="D690" s="399" t="s">
        <v>1224</v>
      </c>
      <c r="E690" s="454">
        <v>0</v>
      </c>
      <c r="F690">
        <v>0</v>
      </c>
      <c r="G690" s="427">
        <v>0</v>
      </c>
      <c r="H690" s="155">
        <v>0</v>
      </c>
      <c r="I690">
        <v>0</v>
      </c>
      <c r="J690">
        <v>0</v>
      </c>
      <c r="K690">
        <v>0</v>
      </c>
      <c r="L690" s="4">
        <v>0</v>
      </c>
      <c r="M690" s="4">
        <v>0</v>
      </c>
      <c r="N690" s="4">
        <v>0</v>
      </c>
      <c r="O690" s="4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R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G690">
        <v>0</v>
      </c>
      <c r="BI690">
        <v>0</v>
      </c>
      <c r="BK690">
        <v>0</v>
      </c>
      <c r="BL690">
        <v>0</v>
      </c>
      <c r="BM690">
        <v>0</v>
      </c>
      <c r="BN690">
        <v>0</v>
      </c>
      <c r="BO690">
        <v>344.70000000000005</v>
      </c>
      <c r="BP690">
        <v>625.70000000000005</v>
      </c>
      <c r="BQ690">
        <v>912.2</v>
      </c>
      <c r="BR690">
        <v>237.7</v>
      </c>
      <c r="BS690">
        <v>0</v>
      </c>
      <c r="BT690">
        <v>0</v>
      </c>
      <c r="BU690">
        <v>0</v>
      </c>
      <c r="BV690">
        <v>0</v>
      </c>
      <c r="BW690">
        <v>1647.4</v>
      </c>
      <c r="BY690">
        <v>453.1</v>
      </c>
      <c r="CA690">
        <v>285.39999999999998</v>
      </c>
      <c r="CB690">
        <v>280.8</v>
      </c>
      <c r="CC690">
        <v>127.7</v>
      </c>
      <c r="CD690">
        <v>0</v>
      </c>
      <c r="CE690">
        <v>0</v>
      </c>
      <c r="CF690">
        <v>0</v>
      </c>
      <c r="CG690">
        <v>0</v>
      </c>
      <c r="CI690">
        <v>0</v>
      </c>
      <c r="CJ690">
        <v>0</v>
      </c>
      <c r="CL690">
        <v>0</v>
      </c>
      <c r="CM690">
        <v>0</v>
      </c>
      <c r="CN690">
        <v>0</v>
      </c>
      <c r="CO690">
        <v>0</v>
      </c>
      <c r="CP690">
        <v>0</v>
      </c>
      <c r="CQ690">
        <v>621.70000000000005</v>
      </c>
      <c r="CR690">
        <v>481.70000000000005</v>
      </c>
      <c r="CS690">
        <v>0</v>
      </c>
      <c r="CT690">
        <v>524.6</v>
      </c>
      <c r="CU690">
        <v>514.1</v>
      </c>
      <c r="CV690">
        <v>175.2</v>
      </c>
      <c r="CW690">
        <v>0</v>
      </c>
      <c r="CX690">
        <v>65.099999999999994</v>
      </c>
      <c r="CY690">
        <v>199</v>
      </c>
      <c r="CZ690">
        <v>1907.9</v>
      </c>
      <c r="DA690">
        <v>0</v>
      </c>
      <c r="DB690">
        <v>0</v>
      </c>
      <c r="DC690">
        <v>0</v>
      </c>
      <c r="DD690">
        <v>0</v>
      </c>
      <c r="DE690">
        <v>0</v>
      </c>
      <c r="DF690">
        <v>0</v>
      </c>
      <c r="DG690">
        <v>0</v>
      </c>
      <c r="DH690">
        <v>0</v>
      </c>
      <c r="DI690">
        <v>0</v>
      </c>
      <c r="DJ690">
        <v>0</v>
      </c>
      <c r="DK690">
        <v>0</v>
      </c>
      <c r="DL690">
        <v>0</v>
      </c>
      <c r="DM690">
        <v>1065.4000000000001</v>
      </c>
      <c r="DN690">
        <v>599.70000000000005</v>
      </c>
      <c r="DO690">
        <v>319.7</v>
      </c>
      <c r="DP690">
        <v>1570.6999999999998</v>
      </c>
      <c r="DQ690">
        <v>1399.5</v>
      </c>
      <c r="DR690">
        <v>3581</v>
      </c>
      <c r="DU690">
        <v>1393.2</v>
      </c>
      <c r="DV690">
        <v>2862.6</v>
      </c>
      <c r="DY690">
        <v>2361</v>
      </c>
      <c r="EA690">
        <v>2409.6</v>
      </c>
      <c r="EC690">
        <v>1661.3999999999999</v>
      </c>
      <c r="EE690">
        <v>0</v>
      </c>
      <c r="EF690">
        <v>0</v>
      </c>
      <c r="EG690">
        <v>0</v>
      </c>
      <c r="EH690">
        <v>0</v>
      </c>
      <c r="EI690">
        <v>0</v>
      </c>
      <c r="EJ690">
        <v>0</v>
      </c>
      <c r="EK690">
        <v>0</v>
      </c>
      <c r="EL690">
        <v>0</v>
      </c>
      <c r="EM690">
        <v>0</v>
      </c>
      <c r="EN690">
        <v>0</v>
      </c>
      <c r="EO690">
        <v>0</v>
      </c>
      <c r="EP690">
        <v>944.5</v>
      </c>
      <c r="EQ690">
        <v>3459.7</v>
      </c>
      <c r="ER690">
        <v>1353.5</v>
      </c>
      <c r="ES690">
        <v>182.2</v>
      </c>
      <c r="ET690">
        <v>855.59999999999991</v>
      </c>
      <c r="EU690">
        <v>172.2</v>
      </c>
      <c r="EV690">
        <v>203.2</v>
      </c>
      <c r="EW690">
        <v>1173.0999999999999</v>
      </c>
      <c r="EX690">
        <v>1078.3</v>
      </c>
      <c r="EY690">
        <v>1194.4000000000001</v>
      </c>
      <c r="EZ690">
        <v>1207.0999999999999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0</v>
      </c>
      <c r="FH690">
        <v>0</v>
      </c>
      <c r="FI690">
        <v>0</v>
      </c>
      <c r="FJ690">
        <v>0</v>
      </c>
      <c r="FK690">
        <v>0</v>
      </c>
      <c r="FL690">
        <v>0</v>
      </c>
      <c r="FM690">
        <v>0</v>
      </c>
      <c r="FN690">
        <v>0</v>
      </c>
      <c r="FO690">
        <v>0</v>
      </c>
      <c r="FP690">
        <v>0</v>
      </c>
      <c r="FQ690">
        <v>0</v>
      </c>
      <c r="FR690">
        <v>0</v>
      </c>
      <c r="FS690">
        <v>0</v>
      </c>
      <c r="FT690">
        <v>0</v>
      </c>
      <c r="FU690">
        <v>0</v>
      </c>
      <c r="FV690">
        <v>0</v>
      </c>
      <c r="FW690">
        <v>0</v>
      </c>
      <c r="FX690">
        <v>0</v>
      </c>
      <c r="FY690">
        <v>0</v>
      </c>
      <c r="FZ690">
        <v>0</v>
      </c>
      <c r="GA690">
        <v>0</v>
      </c>
      <c r="GB690">
        <v>0</v>
      </c>
      <c r="GC690">
        <v>0</v>
      </c>
      <c r="GD690">
        <v>0</v>
      </c>
      <c r="GE690">
        <v>0</v>
      </c>
      <c r="GF690">
        <v>0</v>
      </c>
      <c r="GG690">
        <v>0</v>
      </c>
      <c r="GH690">
        <v>0</v>
      </c>
      <c r="GI690">
        <v>0</v>
      </c>
      <c r="GJ690">
        <v>0</v>
      </c>
      <c r="GK690">
        <v>0</v>
      </c>
      <c r="GL690">
        <v>0</v>
      </c>
      <c r="GO690">
        <v>0</v>
      </c>
      <c r="GP690">
        <v>0</v>
      </c>
      <c r="GQ690">
        <v>0</v>
      </c>
      <c r="GR690">
        <v>0</v>
      </c>
      <c r="GS690">
        <v>0</v>
      </c>
      <c r="GT690">
        <v>0</v>
      </c>
      <c r="GU690">
        <v>0</v>
      </c>
      <c r="GV690">
        <v>0</v>
      </c>
      <c r="GW690">
        <v>0</v>
      </c>
      <c r="GX690">
        <v>0</v>
      </c>
      <c r="GY690">
        <v>0</v>
      </c>
      <c r="GZ690">
        <v>0</v>
      </c>
      <c r="HA690">
        <v>0</v>
      </c>
      <c r="HB690">
        <v>0</v>
      </c>
      <c r="HC690">
        <v>0</v>
      </c>
      <c r="HD690">
        <v>0</v>
      </c>
      <c r="HE690">
        <v>0</v>
      </c>
      <c r="HF690">
        <v>0</v>
      </c>
      <c r="HG690">
        <v>0</v>
      </c>
      <c r="HH690">
        <v>0</v>
      </c>
      <c r="HI690">
        <v>0</v>
      </c>
      <c r="HJ690">
        <v>0</v>
      </c>
      <c r="HK690">
        <v>0</v>
      </c>
      <c r="HL690">
        <v>0</v>
      </c>
      <c r="HM690">
        <v>0</v>
      </c>
      <c r="HN690">
        <v>0</v>
      </c>
      <c r="HO690">
        <v>0</v>
      </c>
      <c r="HP690">
        <v>0</v>
      </c>
      <c r="HQ690">
        <v>0</v>
      </c>
      <c r="HR690">
        <v>0</v>
      </c>
      <c r="HS690">
        <v>0</v>
      </c>
      <c r="HT690">
        <v>0</v>
      </c>
      <c r="HU690">
        <v>0</v>
      </c>
      <c r="HV690">
        <v>0</v>
      </c>
      <c r="HW690">
        <v>404.70000000000005</v>
      </c>
      <c r="HX690">
        <v>342.3</v>
      </c>
      <c r="HZ690">
        <v>866.2</v>
      </c>
      <c r="IA690">
        <v>1142.8</v>
      </c>
      <c r="IB690">
        <v>1121.5</v>
      </c>
      <c r="IC690">
        <v>2403</v>
      </c>
      <c r="ID690">
        <v>2659.3</v>
      </c>
      <c r="IE690">
        <v>1923.4</v>
      </c>
      <c r="IF690">
        <v>1465.7</v>
      </c>
      <c r="IG690">
        <v>1608.3</v>
      </c>
      <c r="IH690">
        <v>0</v>
      </c>
      <c r="II690">
        <v>0</v>
      </c>
      <c r="IJ690">
        <v>0</v>
      </c>
      <c r="IK690">
        <v>0</v>
      </c>
      <c r="IL690">
        <v>0</v>
      </c>
      <c r="IM690">
        <v>0</v>
      </c>
      <c r="IN690">
        <v>0</v>
      </c>
      <c r="IO690">
        <v>0</v>
      </c>
      <c r="IP690">
        <v>75.099999999999994</v>
      </c>
    </row>
    <row r="691" spans="1:250" ht="18" thickBot="1">
      <c r="A691" s="245"/>
      <c r="B691" s="245" t="s">
        <v>993</v>
      </c>
      <c r="C691" s="230" t="s">
        <v>1123</v>
      </c>
      <c r="D691" s="399"/>
      <c r="E691" s="454">
        <v>0</v>
      </c>
      <c r="F691">
        <v>0</v>
      </c>
      <c r="G691" s="427">
        <v>0</v>
      </c>
      <c r="H691" s="155">
        <v>0</v>
      </c>
      <c r="I691">
        <v>0</v>
      </c>
      <c r="J691">
        <v>0</v>
      </c>
      <c r="K691">
        <v>0</v>
      </c>
      <c r="L691" s="4">
        <v>0</v>
      </c>
      <c r="M691" s="4">
        <v>0</v>
      </c>
      <c r="N691" s="4">
        <v>0</v>
      </c>
      <c r="O691" s="4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R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G691">
        <v>0</v>
      </c>
      <c r="BI691">
        <v>0</v>
      </c>
      <c r="BK691">
        <v>0</v>
      </c>
      <c r="BL691">
        <v>0</v>
      </c>
      <c r="BM691">
        <v>0</v>
      </c>
      <c r="BN691">
        <v>0</v>
      </c>
      <c r="BO691">
        <v>344.70000000000005</v>
      </c>
      <c r="BP691">
        <v>625.70000000000005</v>
      </c>
      <c r="BQ691">
        <v>912.2</v>
      </c>
      <c r="BR691">
        <v>237.7</v>
      </c>
      <c r="BS691">
        <v>0</v>
      </c>
      <c r="BT691">
        <v>0</v>
      </c>
      <c r="BU691">
        <v>0</v>
      </c>
      <c r="BV691">
        <v>0</v>
      </c>
      <c r="BW691">
        <v>1647.4</v>
      </c>
      <c r="BY691">
        <v>453.1</v>
      </c>
      <c r="CA691">
        <v>285.39999999999998</v>
      </c>
      <c r="CB691">
        <v>280.8</v>
      </c>
      <c r="CC691">
        <v>127.7</v>
      </c>
      <c r="CD691">
        <v>0</v>
      </c>
      <c r="CE691">
        <v>0</v>
      </c>
      <c r="CF691">
        <v>0</v>
      </c>
      <c r="CG691">
        <v>0</v>
      </c>
      <c r="CI691">
        <v>0</v>
      </c>
      <c r="CJ691">
        <v>0</v>
      </c>
      <c r="CL691">
        <v>0</v>
      </c>
      <c r="CM691">
        <v>0</v>
      </c>
      <c r="CN691">
        <v>0</v>
      </c>
      <c r="CO691">
        <v>0</v>
      </c>
      <c r="CP691">
        <v>0</v>
      </c>
      <c r="CQ691">
        <v>621.70000000000005</v>
      </c>
      <c r="CR691">
        <v>481.70000000000005</v>
      </c>
      <c r="CS691">
        <v>0</v>
      </c>
      <c r="CT691">
        <v>524.6</v>
      </c>
      <c r="CU691">
        <v>514.1</v>
      </c>
      <c r="CV691">
        <v>175.2</v>
      </c>
      <c r="CW691">
        <v>0</v>
      </c>
      <c r="CX691">
        <v>65.099999999999994</v>
      </c>
      <c r="CY691">
        <v>199</v>
      </c>
      <c r="CZ691">
        <v>1907.9</v>
      </c>
      <c r="DA691">
        <v>0</v>
      </c>
      <c r="DB691">
        <v>0</v>
      </c>
      <c r="DC691">
        <v>0</v>
      </c>
      <c r="DD691">
        <v>0</v>
      </c>
      <c r="DE691">
        <v>0</v>
      </c>
      <c r="DF691">
        <v>0</v>
      </c>
      <c r="DG691">
        <v>0</v>
      </c>
      <c r="DH691">
        <v>0</v>
      </c>
      <c r="DI691">
        <v>0</v>
      </c>
      <c r="DJ691">
        <v>0</v>
      </c>
      <c r="DK691">
        <v>0</v>
      </c>
      <c r="DL691">
        <v>0</v>
      </c>
      <c r="DM691">
        <v>1065.4000000000001</v>
      </c>
      <c r="DN691">
        <v>599.70000000000005</v>
      </c>
      <c r="DO691">
        <v>319.7</v>
      </c>
      <c r="DP691">
        <v>1570.6999999999998</v>
      </c>
      <c r="DQ691">
        <v>1399.5</v>
      </c>
      <c r="DR691">
        <v>3581</v>
      </c>
      <c r="DU691">
        <v>1393.2</v>
      </c>
      <c r="DV691">
        <v>2862.6</v>
      </c>
      <c r="DY691">
        <v>2361</v>
      </c>
      <c r="EA691">
        <v>2409.6</v>
      </c>
      <c r="EC691">
        <v>1661.3999999999999</v>
      </c>
      <c r="EE691">
        <v>0</v>
      </c>
      <c r="EF691">
        <v>0</v>
      </c>
      <c r="EG691">
        <v>0</v>
      </c>
      <c r="EH691">
        <v>0</v>
      </c>
      <c r="EI691">
        <v>0</v>
      </c>
      <c r="EJ691">
        <v>0</v>
      </c>
      <c r="EK691">
        <v>0</v>
      </c>
      <c r="EL691">
        <v>0</v>
      </c>
      <c r="EM691">
        <v>0</v>
      </c>
      <c r="EN691">
        <v>0</v>
      </c>
      <c r="EO691">
        <v>0</v>
      </c>
      <c r="EP691">
        <v>944.5</v>
      </c>
      <c r="EQ691">
        <v>3459.7</v>
      </c>
      <c r="ER691">
        <v>1353.5</v>
      </c>
      <c r="ES691">
        <v>182.2</v>
      </c>
      <c r="ET691">
        <v>855.59999999999991</v>
      </c>
      <c r="EU691">
        <v>172.2</v>
      </c>
      <c r="EV691">
        <v>203.2</v>
      </c>
      <c r="EW691">
        <v>1173.0999999999999</v>
      </c>
      <c r="EX691">
        <v>1078.3</v>
      </c>
      <c r="EY691">
        <v>1194.4000000000001</v>
      </c>
      <c r="EZ691">
        <v>1207.0999999999999</v>
      </c>
      <c r="FA691">
        <v>0</v>
      </c>
      <c r="FB691">
        <v>0</v>
      </c>
      <c r="FC691">
        <v>0</v>
      </c>
      <c r="FD691">
        <v>0</v>
      </c>
      <c r="FE691">
        <v>0</v>
      </c>
      <c r="FF691">
        <v>0</v>
      </c>
      <c r="FG691">
        <v>0</v>
      </c>
      <c r="FH691">
        <v>0</v>
      </c>
      <c r="FI691">
        <v>0</v>
      </c>
      <c r="FJ691">
        <v>0</v>
      </c>
      <c r="FK691">
        <v>0</v>
      </c>
      <c r="FL691">
        <v>0</v>
      </c>
      <c r="FM691">
        <v>0</v>
      </c>
      <c r="FN691">
        <v>0</v>
      </c>
      <c r="FO691">
        <v>0</v>
      </c>
      <c r="FP691">
        <v>0</v>
      </c>
      <c r="FQ691">
        <v>0</v>
      </c>
      <c r="FR691">
        <v>0</v>
      </c>
      <c r="FS691">
        <v>0</v>
      </c>
      <c r="FT691">
        <v>0</v>
      </c>
      <c r="FU691">
        <v>0</v>
      </c>
      <c r="FV691">
        <v>0</v>
      </c>
      <c r="FW691">
        <v>0</v>
      </c>
      <c r="FX691">
        <v>0</v>
      </c>
      <c r="FY691">
        <v>0</v>
      </c>
      <c r="FZ691">
        <v>0</v>
      </c>
      <c r="GA691">
        <v>0</v>
      </c>
      <c r="GB691">
        <v>0</v>
      </c>
      <c r="GC691">
        <v>0</v>
      </c>
      <c r="GD691">
        <v>0</v>
      </c>
      <c r="GE691">
        <v>0</v>
      </c>
      <c r="GF691">
        <v>0</v>
      </c>
      <c r="GG691">
        <v>0</v>
      </c>
      <c r="GH691">
        <v>0</v>
      </c>
      <c r="GI691">
        <v>0</v>
      </c>
      <c r="GJ691">
        <v>0</v>
      </c>
      <c r="GK691">
        <v>0</v>
      </c>
      <c r="GL691">
        <v>0</v>
      </c>
      <c r="GO691">
        <v>0</v>
      </c>
      <c r="GP691">
        <v>0</v>
      </c>
      <c r="GQ691">
        <v>0</v>
      </c>
      <c r="GR691">
        <v>0</v>
      </c>
      <c r="GS691">
        <v>0</v>
      </c>
      <c r="GT691">
        <v>0</v>
      </c>
      <c r="GU691">
        <v>0</v>
      </c>
      <c r="GV691">
        <v>0</v>
      </c>
      <c r="GW691">
        <v>0</v>
      </c>
      <c r="GX691">
        <v>0</v>
      </c>
      <c r="GY691">
        <v>0</v>
      </c>
      <c r="GZ691">
        <v>0</v>
      </c>
      <c r="HA691">
        <v>0</v>
      </c>
      <c r="HB691">
        <v>0</v>
      </c>
      <c r="HC691">
        <v>0</v>
      </c>
      <c r="HD691">
        <v>0</v>
      </c>
      <c r="HE691">
        <v>0</v>
      </c>
      <c r="HF691">
        <v>0</v>
      </c>
      <c r="HG691">
        <v>0</v>
      </c>
      <c r="HH691">
        <v>0</v>
      </c>
      <c r="HI691">
        <v>0</v>
      </c>
      <c r="HJ691">
        <v>0</v>
      </c>
      <c r="HK691">
        <v>0</v>
      </c>
      <c r="HL691">
        <v>0</v>
      </c>
      <c r="HM691">
        <v>0</v>
      </c>
      <c r="HN691">
        <v>0</v>
      </c>
      <c r="HO691">
        <v>0</v>
      </c>
      <c r="HP691">
        <v>0</v>
      </c>
      <c r="HQ691">
        <v>0</v>
      </c>
      <c r="HR691">
        <v>0</v>
      </c>
      <c r="HS691">
        <v>0</v>
      </c>
      <c r="HT691">
        <v>0</v>
      </c>
      <c r="HU691">
        <v>0</v>
      </c>
      <c r="HV691">
        <v>0</v>
      </c>
      <c r="HW691">
        <v>404.70000000000005</v>
      </c>
      <c r="HX691">
        <v>342.3</v>
      </c>
      <c r="HZ691">
        <v>866.2</v>
      </c>
      <c r="IA691">
        <v>1142.8</v>
      </c>
      <c r="IB691">
        <v>1121.5</v>
      </c>
      <c r="IC691">
        <v>2403</v>
      </c>
      <c r="ID691">
        <v>2659.3</v>
      </c>
      <c r="IE691">
        <v>1923.4</v>
      </c>
      <c r="IF691">
        <v>1465.7</v>
      </c>
      <c r="IG691">
        <v>1608.3</v>
      </c>
      <c r="IH691">
        <v>0</v>
      </c>
      <c r="II691">
        <v>0</v>
      </c>
      <c r="IJ691">
        <v>0</v>
      </c>
      <c r="IK691">
        <v>0</v>
      </c>
      <c r="IL691">
        <v>0</v>
      </c>
      <c r="IM691">
        <v>0</v>
      </c>
      <c r="IN691">
        <v>0</v>
      </c>
      <c r="IO691">
        <v>0</v>
      </c>
      <c r="IP691">
        <v>75.099999999999994</v>
      </c>
    </row>
    <row r="692" spans="1:250" ht="18" thickBot="1">
      <c r="A692" s="245"/>
      <c r="B692" s="245" t="s">
        <v>994</v>
      </c>
      <c r="C692" s="88" t="s">
        <v>1124</v>
      </c>
      <c r="D692" s="399" t="s">
        <v>1225</v>
      </c>
      <c r="E692" s="454">
        <v>0</v>
      </c>
      <c r="F692">
        <v>0</v>
      </c>
      <c r="G692" s="427">
        <v>0</v>
      </c>
      <c r="H692" s="155">
        <v>0</v>
      </c>
      <c r="I692">
        <v>0</v>
      </c>
      <c r="J692">
        <v>0</v>
      </c>
      <c r="K692">
        <v>0</v>
      </c>
      <c r="L692" s="4">
        <v>0</v>
      </c>
      <c r="M692" s="4">
        <v>0</v>
      </c>
      <c r="N692" s="4">
        <v>0</v>
      </c>
      <c r="O692" s="4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R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G692">
        <v>0</v>
      </c>
      <c r="BI692">
        <v>0</v>
      </c>
      <c r="BK692">
        <v>0</v>
      </c>
      <c r="BL692">
        <v>0</v>
      </c>
      <c r="BM692">
        <v>0</v>
      </c>
      <c r="BN692">
        <v>0</v>
      </c>
      <c r="BO692">
        <v>344.70000000000005</v>
      </c>
      <c r="BP692">
        <v>625.70000000000005</v>
      </c>
      <c r="BQ692">
        <v>912.2</v>
      </c>
      <c r="BR692">
        <v>237.7</v>
      </c>
      <c r="BS692">
        <v>0</v>
      </c>
      <c r="BT692">
        <v>0</v>
      </c>
      <c r="BU692">
        <v>0</v>
      </c>
      <c r="BV692">
        <v>0</v>
      </c>
      <c r="BW692">
        <v>1647.4</v>
      </c>
      <c r="BY692">
        <v>453.1</v>
      </c>
      <c r="CA692">
        <v>285.39999999999998</v>
      </c>
      <c r="CB692">
        <v>280.8</v>
      </c>
      <c r="CC692">
        <v>127.7</v>
      </c>
      <c r="CD692">
        <v>0</v>
      </c>
      <c r="CE692">
        <v>0</v>
      </c>
      <c r="CF692">
        <v>0</v>
      </c>
      <c r="CG692">
        <v>0</v>
      </c>
      <c r="CI692">
        <v>0</v>
      </c>
      <c r="CJ692">
        <v>0</v>
      </c>
      <c r="CL692">
        <v>0</v>
      </c>
      <c r="CM692">
        <v>0</v>
      </c>
      <c r="CN692">
        <v>0</v>
      </c>
      <c r="CO692">
        <v>0</v>
      </c>
      <c r="CP692">
        <v>0</v>
      </c>
      <c r="CQ692">
        <v>621.70000000000005</v>
      </c>
      <c r="CR692">
        <v>481.70000000000005</v>
      </c>
      <c r="CS692">
        <v>0</v>
      </c>
      <c r="CT692">
        <v>524.6</v>
      </c>
      <c r="CU692">
        <v>514.1</v>
      </c>
      <c r="CV692">
        <v>175.2</v>
      </c>
      <c r="CW692">
        <v>0</v>
      </c>
      <c r="CX692">
        <v>65.099999999999994</v>
      </c>
      <c r="CY692">
        <v>199</v>
      </c>
      <c r="CZ692">
        <v>1907.9</v>
      </c>
      <c r="DA692">
        <v>0</v>
      </c>
      <c r="DB692">
        <v>0</v>
      </c>
      <c r="DC692">
        <v>0</v>
      </c>
      <c r="DD692">
        <v>0</v>
      </c>
      <c r="DE692">
        <v>0</v>
      </c>
      <c r="DF692">
        <v>0</v>
      </c>
      <c r="DG692">
        <v>0</v>
      </c>
      <c r="DH692">
        <v>0</v>
      </c>
      <c r="DI692">
        <v>0</v>
      </c>
      <c r="DJ692">
        <v>0</v>
      </c>
      <c r="DK692">
        <v>0</v>
      </c>
      <c r="DL692">
        <v>0</v>
      </c>
      <c r="DM692">
        <v>1065.4000000000001</v>
      </c>
      <c r="DN692">
        <v>599.70000000000005</v>
      </c>
      <c r="DO692">
        <v>319.7</v>
      </c>
      <c r="DP692">
        <v>1570.6999999999998</v>
      </c>
      <c r="DQ692">
        <v>1399.5</v>
      </c>
      <c r="DR692">
        <v>3581</v>
      </c>
      <c r="DU692">
        <v>1393.2</v>
      </c>
      <c r="DV692">
        <v>2862.6</v>
      </c>
      <c r="DY692">
        <v>2361</v>
      </c>
      <c r="EA692">
        <v>2409.6</v>
      </c>
      <c r="EC692">
        <v>1661.3999999999999</v>
      </c>
      <c r="EE692">
        <v>0</v>
      </c>
      <c r="EF692">
        <v>0</v>
      </c>
      <c r="EG692">
        <v>0</v>
      </c>
      <c r="EH692">
        <v>0</v>
      </c>
      <c r="EI692">
        <v>0</v>
      </c>
      <c r="EJ692">
        <v>0</v>
      </c>
      <c r="EK692">
        <v>0</v>
      </c>
      <c r="EL692">
        <v>0</v>
      </c>
      <c r="EM692">
        <v>0</v>
      </c>
      <c r="EN692">
        <v>0</v>
      </c>
      <c r="EO692">
        <v>0</v>
      </c>
      <c r="EP692">
        <v>944.5</v>
      </c>
      <c r="EQ692">
        <v>3459.7</v>
      </c>
      <c r="ER692">
        <v>1353.5</v>
      </c>
      <c r="ES692">
        <v>182.2</v>
      </c>
      <c r="ET692">
        <v>855.59999999999991</v>
      </c>
      <c r="EU692">
        <v>172.2</v>
      </c>
      <c r="EV692">
        <v>203.2</v>
      </c>
      <c r="EW692">
        <v>1173.0999999999999</v>
      </c>
      <c r="EX692">
        <v>1078.3</v>
      </c>
      <c r="EY692">
        <v>1194.4000000000001</v>
      </c>
      <c r="EZ692">
        <v>1207.0999999999999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0</v>
      </c>
      <c r="FH692">
        <v>0</v>
      </c>
      <c r="FI692">
        <v>0</v>
      </c>
      <c r="FJ692">
        <v>0</v>
      </c>
      <c r="FK692">
        <v>0</v>
      </c>
      <c r="FL692">
        <v>0</v>
      </c>
      <c r="FM692">
        <v>0</v>
      </c>
      <c r="FN692">
        <v>0</v>
      </c>
      <c r="FO692">
        <v>0</v>
      </c>
      <c r="FP692">
        <v>0</v>
      </c>
      <c r="FQ692">
        <v>0</v>
      </c>
      <c r="FR692">
        <v>0</v>
      </c>
      <c r="FS692">
        <v>0</v>
      </c>
      <c r="FT692">
        <v>0</v>
      </c>
      <c r="FU692">
        <v>0</v>
      </c>
      <c r="FV692">
        <v>0</v>
      </c>
      <c r="FW692">
        <v>0</v>
      </c>
      <c r="FX692">
        <v>0</v>
      </c>
      <c r="FY692">
        <v>0</v>
      </c>
      <c r="FZ692">
        <v>0</v>
      </c>
      <c r="GA692">
        <v>0</v>
      </c>
      <c r="GB692">
        <v>0</v>
      </c>
      <c r="GC692">
        <v>0</v>
      </c>
      <c r="GD692">
        <v>0</v>
      </c>
      <c r="GE692">
        <v>0</v>
      </c>
      <c r="GF692">
        <v>0</v>
      </c>
      <c r="GG692">
        <v>0</v>
      </c>
      <c r="GH692">
        <v>0</v>
      </c>
      <c r="GI692">
        <v>0</v>
      </c>
      <c r="GJ692">
        <v>0</v>
      </c>
      <c r="GK692">
        <v>0</v>
      </c>
      <c r="GL692">
        <v>0</v>
      </c>
      <c r="GO692">
        <v>0</v>
      </c>
      <c r="GP692">
        <v>0</v>
      </c>
      <c r="GQ692">
        <v>0</v>
      </c>
      <c r="GR692">
        <v>0</v>
      </c>
      <c r="GS692">
        <v>0</v>
      </c>
      <c r="GT692">
        <v>0</v>
      </c>
      <c r="GU692">
        <v>0</v>
      </c>
      <c r="GV692">
        <v>0</v>
      </c>
      <c r="GW692">
        <v>0</v>
      </c>
      <c r="GX692">
        <v>0</v>
      </c>
      <c r="GY692">
        <v>0</v>
      </c>
      <c r="GZ692">
        <v>0</v>
      </c>
      <c r="HA692">
        <v>0</v>
      </c>
      <c r="HB692">
        <v>0</v>
      </c>
      <c r="HC692">
        <v>0</v>
      </c>
      <c r="HD692">
        <v>0</v>
      </c>
      <c r="HE692">
        <v>0</v>
      </c>
      <c r="HF692">
        <v>0</v>
      </c>
      <c r="HG692">
        <v>0</v>
      </c>
      <c r="HH692">
        <v>0</v>
      </c>
      <c r="HI692">
        <v>0</v>
      </c>
      <c r="HJ692">
        <v>0</v>
      </c>
      <c r="HK692">
        <v>0</v>
      </c>
      <c r="HL692">
        <v>0</v>
      </c>
      <c r="HM692">
        <v>0</v>
      </c>
      <c r="HN692">
        <v>0</v>
      </c>
      <c r="HO692">
        <v>0</v>
      </c>
      <c r="HP692">
        <v>0</v>
      </c>
      <c r="HQ692">
        <v>0</v>
      </c>
      <c r="HR692">
        <v>0</v>
      </c>
      <c r="HS692">
        <v>0</v>
      </c>
      <c r="HT692">
        <v>0</v>
      </c>
      <c r="HU692">
        <v>0</v>
      </c>
      <c r="HV692">
        <v>0</v>
      </c>
      <c r="HW692">
        <v>404.70000000000005</v>
      </c>
      <c r="HX692">
        <v>342.3</v>
      </c>
      <c r="HZ692">
        <v>866.2</v>
      </c>
      <c r="IA692">
        <v>1142.8</v>
      </c>
      <c r="IB692">
        <v>1121.5</v>
      </c>
      <c r="IC692">
        <v>2403</v>
      </c>
      <c r="ID692">
        <v>2659.3</v>
      </c>
      <c r="IE692">
        <v>1923.4</v>
      </c>
      <c r="IF692">
        <v>1465.7</v>
      </c>
      <c r="IG692">
        <v>1608.3</v>
      </c>
      <c r="IH692">
        <v>0</v>
      </c>
      <c r="II692">
        <v>0</v>
      </c>
      <c r="IJ692">
        <v>0</v>
      </c>
      <c r="IK692">
        <v>0</v>
      </c>
      <c r="IL692">
        <v>0</v>
      </c>
      <c r="IM692">
        <v>0</v>
      </c>
      <c r="IN692">
        <v>0</v>
      </c>
      <c r="IO692">
        <v>0</v>
      </c>
      <c r="IP692">
        <v>75.099999999999994</v>
      </c>
    </row>
    <row r="693" spans="1:250" ht="18" thickBot="1">
      <c r="A693" s="245"/>
      <c r="B693" s="245" t="s">
        <v>995</v>
      </c>
      <c r="C693" s="88" t="s">
        <v>1125</v>
      </c>
      <c r="D693" s="399" t="s">
        <v>1226</v>
      </c>
      <c r="E693" s="454">
        <v>0</v>
      </c>
      <c r="F693">
        <v>0</v>
      </c>
      <c r="G693" s="427">
        <v>0</v>
      </c>
      <c r="H693" s="155">
        <v>0</v>
      </c>
      <c r="I693">
        <v>0</v>
      </c>
      <c r="J693">
        <v>0</v>
      </c>
      <c r="K693">
        <v>0</v>
      </c>
      <c r="L693" s="4">
        <v>0</v>
      </c>
      <c r="M693" s="4">
        <v>0</v>
      </c>
      <c r="N693" s="4">
        <v>0</v>
      </c>
      <c r="O693" s="4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R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G693">
        <v>0</v>
      </c>
      <c r="BI693">
        <v>0</v>
      </c>
      <c r="BK693">
        <v>0</v>
      </c>
      <c r="BL693">
        <v>0</v>
      </c>
      <c r="BM693">
        <v>0</v>
      </c>
      <c r="BN693">
        <v>0</v>
      </c>
      <c r="BO693">
        <v>344.70000000000005</v>
      </c>
      <c r="BP693">
        <v>625.70000000000005</v>
      </c>
      <c r="BQ693">
        <v>912.2</v>
      </c>
      <c r="BR693">
        <v>237.7</v>
      </c>
      <c r="BS693">
        <v>0</v>
      </c>
      <c r="BT693">
        <v>0</v>
      </c>
      <c r="BU693">
        <v>0</v>
      </c>
      <c r="BV693">
        <v>0</v>
      </c>
      <c r="BW693">
        <v>1647.4</v>
      </c>
      <c r="BY693">
        <v>453.1</v>
      </c>
      <c r="CA693">
        <v>285.39999999999998</v>
      </c>
      <c r="CB693">
        <v>280.8</v>
      </c>
      <c r="CC693">
        <v>127.7</v>
      </c>
      <c r="CD693">
        <v>0</v>
      </c>
      <c r="CE693">
        <v>0</v>
      </c>
      <c r="CF693">
        <v>0</v>
      </c>
      <c r="CG693">
        <v>0</v>
      </c>
      <c r="CI693">
        <v>0</v>
      </c>
      <c r="CJ693">
        <v>0</v>
      </c>
      <c r="CL693">
        <v>0</v>
      </c>
      <c r="CM693">
        <v>0</v>
      </c>
      <c r="CN693">
        <v>0</v>
      </c>
      <c r="CO693">
        <v>0</v>
      </c>
      <c r="CP693">
        <v>0</v>
      </c>
      <c r="CQ693">
        <v>621.70000000000005</v>
      </c>
      <c r="CR693">
        <v>481.70000000000005</v>
      </c>
      <c r="CS693">
        <v>0</v>
      </c>
      <c r="CT693">
        <v>524.6</v>
      </c>
      <c r="CU693">
        <v>514.1</v>
      </c>
      <c r="CV693">
        <v>175.2</v>
      </c>
      <c r="CW693">
        <v>0</v>
      </c>
      <c r="CX693">
        <v>65.099999999999994</v>
      </c>
      <c r="CY693">
        <v>199</v>
      </c>
      <c r="CZ693">
        <v>1907.9</v>
      </c>
      <c r="DA693">
        <v>0</v>
      </c>
      <c r="DB693">
        <v>0</v>
      </c>
      <c r="DC693">
        <v>0</v>
      </c>
      <c r="DD693">
        <v>0</v>
      </c>
      <c r="DE693">
        <v>0</v>
      </c>
      <c r="DF693">
        <v>0</v>
      </c>
      <c r="DG693">
        <v>0</v>
      </c>
      <c r="DH693">
        <v>0</v>
      </c>
      <c r="DI693">
        <v>0</v>
      </c>
      <c r="DJ693">
        <v>0</v>
      </c>
      <c r="DK693">
        <v>0</v>
      </c>
      <c r="DL693">
        <v>0</v>
      </c>
      <c r="DM693">
        <v>1065.4000000000001</v>
      </c>
      <c r="DN693">
        <v>599.70000000000005</v>
      </c>
      <c r="DO693">
        <v>319.7</v>
      </c>
      <c r="DP693">
        <v>1570.6999999999998</v>
      </c>
      <c r="DQ693">
        <v>1399.5</v>
      </c>
      <c r="DR693">
        <v>3581</v>
      </c>
      <c r="DU693">
        <v>1393.2</v>
      </c>
      <c r="DV693">
        <v>2862.6</v>
      </c>
      <c r="DY693">
        <v>2361</v>
      </c>
      <c r="EA693">
        <v>2409.6</v>
      </c>
      <c r="EC693">
        <v>1661.3999999999999</v>
      </c>
      <c r="EE693">
        <v>0</v>
      </c>
      <c r="EF693">
        <v>0</v>
      </c>
      <c r="EG693">
        <v>0</v>
      </c>
      <c r="EH693">
        <v>0</v>
      </c>
      <c r="EI693">
        <v>0</v>
      </c>
      <c r="EJ693">
        <v>0</v>
      </c>
      <c r="EK693">
        <v>0</v>
      </c>
      <c r="EL693">
        <v>0</v>
      </c>
      <c r="EM693">
        <v>0</v>
      </c>
      <c r="EN693">
        <v>0</v>
      </c>
      <c r="EO693">
        <v>0</v>
      </c>
      <c r="EP693">
        <v>944.5</v>
      </c>
      <c r="EQ693">
        <v>3459.7</v>
      </c>
      <c r="ER693">
        <v>1353.5</v>
      </c>
      <c r="ES693">
        <v>182.2</v>
      </c>
      <c r="ET693">
        <v>855.59999999999991</v>
      </c>
      <c r="EU693">
        <v>172.2</v>
      </c>
      <c r="EV693">
        <v>203.2</v>
      </c>
      <c r="EW693">
        <v>1173.0999999999999</v>
      </c>
      <c r="EX693">
        <v>1078.3</v>
      </c>
      <c r="EY693">
        <v>1194.4000000000001</v>
      </c>
      <c r="EZ693">
        <v>1207.0999999999999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0</v>
      </c>
      <c r="FH693">
        <v>0</v>
      </c>
      <c r="FI693">
        <v>0</v>
      </c>
      <c r="FJ693">
        <v>0</v>
      </c>
      <c r="FK693">
        <v>0</v>
      </c>
      <c r="FL693">
        <v>0</v>
      </c>
      <c r="FM693">
        <v>0</v>
      </c>
      <c r="FN693">
        <v>0</v>
      </c>
      <c r="FO693">
        <v>0</v>
      </c>
      <c r="FP693">
        <v>0</v>
      </c>
      <c r="FQ693">
        <v>0</v>
      </c>
      <c r="FR693">
        <v>0</v>
      </c>
      <c r="FS693">
        <v>0</v>
      </c>
      <c r="FT693">
        <v>0</v>
      </c>
      <c r="FU693">
        <v>0</v>
      </c>
      <c r="FV693">
        <v>0</v>
      </c>
      <c r="FW693">
        <v>0</v>
      </c>
      <c r="FX693">
        <v>0</v>
      </c>
      <c r="FY693">
        <v>0</v>
      </c>
      <c r="FZ693">
        <v>0</v>
      </c>
      <c r="GA693">
        <v>0</v>
      </c>
      <c r="GB693">
        <v>0</v>
      </c>
      <c r="GC693">
        <v>0</v>
      </c>
      <c r="GD693">
        <v>0</v>
      </c>
      <c r="GE693">
        <v>0</v>
      </c>
      <c r="GF693">
        <v>0</v>
      </c>
      <c r="GG693">
        <v>0</v>
      </c>
      <c r="GH693">
        <v>0</v>
      </c>
      <c r="GI693">
        <v>0</v>
      </c>
      <c r="GJ693">
        <v>0</v>
      </c>
      <c r="GK693">
        <v>0</v>
      </c>
      <c r="GL693">
        <v>0</v>
      </c>
      <c r="GO693">
        <v>0</v>
      </c>
      <c r="GP693">
        <v>0</v>
      </c>
      <c r="GQ693">
        <v>0</v>
      </c>
      <c r="GR693">
        <v>0</v>
      </c>
      <c r="GS693">
        <v>0</v>
      </c>
      <c r="GT693">
        <v>0</v>
      </c>
      <c r="GU693">
        <v>0</v>
      </c>
      <c r="GV693">
        <v>0</v>
      </c>
      <c r="GW693">
        <v>0</v>
      </c>
      <c r="GX693">
        <v>0</v>
      </c>
      <c r="GY693">
        <v>0</v>
      </c>
      <c r="GZ693">
        <v>0</v>
      </c>
      <c r="HA693">
        <v>0</v>
      </c>
      <c r="HB693">
        <v>0</v>
      </c>
      <c r="HC693">
        <v>0</v>
      </c>
      <c r="HD693">
        <v>0</v>
      </c>
      <c r="HE693">
        <v>0</v>
      </c>
      <c r="HF693">
        <v>0</v>
      </c>
      <c r="HG693">
        <v>0</v>
      </c>
      <c r="HH693">
        <v>0</v>
      </c>
      <c r="HI693">
        <v>0</v>
      </c>
      <c r="HJ693">
        <v>0</v>
      </c>
      <c r="HK693">
        <v>0</v>
      </c>
      <c r="HL693">
        <v>0</v>
      </c>
      <c r="HM693">
        <v>0</v>
      </c>
      <c r="HN693">
        <v>0</v>
      </c>
      <c r="HO693">
        <v>0</v>
      </c>
      <c r="HP693">
        <v>0</v>
      </c>
      <c r="HQ693">
        <v>0</v>
      </c>
      <c r="HR693">
        <v>0</v>
      </c>
      <c r="HS693">
        <v>0</v>
      </c>
      <c r="HT693">
        <v>0</v>
      </c>
      <c r="HU693">
        <v>0</v>
      </c>
      <c r="HV693">
        <v>0</v>
      </c>
      <c r="HW693">
        <v>404.70000000000005</v>
      </c>
      <c r="HX693">
        <v>342.3</v>
      </c>
      <c r="HZ693">
        <v>866.2</v>
      </c>
      <c r="IA693">
        <v>1142.8</v>
      </c>
      <c r="IB693">
        <v>1121.5</v>
      </c>
      <c r="IC693">
        <v>2403</v>
      </c>
      <c r="ID693">
        <v>2659.3</v>
      </c>
      <c r="IE693">
        <v>1923.4</v>
      </c>
      <c r="IF693">
        <v>1465.7</v>
      </c>
      <c r="IG693">
        <v>1608.3</v>
      </c>
      <c r="IH693">
        <v>0</v>
      </c>
      <c r="II693">
        <v>0</v>
      </c>
      <c r="IJ693">
        <v>0</v>
      </c>
      <c r="IK693">
        <v>0</v>
      </c>
      <c r="IL693">
        <v>0</v>
      </c>
      <c r="IM693">
        <v>0</v>
      </c>
      <c r="IN693">
        <v>0</v>
      </c>
      <c r="IO693">
        <v>0</v>
      </c>
      <c r="IP693">
        <v>75.099999999999994</v>
      </c>
    </row>
    <row r="694" spans="1:250" ht="18" thickBot="1">
      <c r="A694" s="245"/>
      <c r="B694" s="245" t="s">
        <v>996</v>
      </c>
      <c r="C694" s="88" t="s">
        <v>1126</v>
      </c>
      <c r="D694" s="399" t="s">
        <v>1226</v>
      </c>
      <c r="E694" s="454">
        <v>0</v>
      </c>
      <c r="F694">
        <v>0</v>
      </c>
      <c r="G694" s="427">
        <v>0</v>
      </c>
      <c r="H694" s="155">
        <v>0</v>
      </c>
      <c r="I694">
        <v>0</v>
      </c>
      <c r="J694">
        <v>0</v>
      </c>
      <c r="K694">
        <v>0</v>
      </c>
      <c r="L694" s="4">
        <v>0</v>
      </c>
      <c r="M694" s="4">
        <v>0</v>
      </c>
      <c r="N694" s="4">
        <v>0</v>
      </c>
      <c r="O694" s="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R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G694">
        <v>0</v>
      </c>
      <c r="BI694">
        <v>0</v>
      </c>
      <c r="BK694">
        <v>0</v>
      </c>
      <c r="BL694">
        <v>0</v>
      </c>
      <c r="BM694">
        <v>0</v>
      </c>
      <c r="BN694">
        <v>0</v>
      </c>
      <c r="BO694">
        <v>344.70000000000005</v>
      </c>
      <c r="BP694">
        <v>625.70000000000005</v>
      </c>
      <c r="BQ694">
        <v>912.2</v>
      </c>
      <c r="BR694">
        <v>237.7</v>
      </c>
      <c r="BS694">
        <v>0</v>
      </c>
      <c r="BT694">
        <v>0</v>
      </c>
      <c r="BU694">
        <v>0</v>
      </c>
      <c r="BV694">
        <v>0</v>
      </c>
      <c r="BW694">
        <v>1647.4</v>
      </c>
      <c r="BY694">
        <v>453.1</v>
      </c>
      <c r="CA694">
        <v>285.39999999999998</v>
      </c>
      <c r="CB694">
        <v>280.8</v>
      </c>
      <c r="CC694">
        <v>127.7</v>
      </c>
      <c r="CD694">
        <v>0</v>
      </c>
      <c r="CE694">
        <v>0</v>
      </c>
      <c r="CF694">
        <v>0</v>
      </c>
      <c r="CG694">
        <v>0</v>
      </c>
      <c r="CI694">
        <v>0</v>
      </c>
      <c r="CJ694">
        <v>0</v>
      </c>
      <c r="CL694">
        <v>0</v>
      </c>
      <c r="CM694">
        <v>0</v>
      </c>
      <c r="CN694">
        <v>0</v>
      </c>
      <c r="CO694">
        <v>0</v>
      </c>
      <c r="CP694">
        <v>0</v>
      </c>
      <c r="CQ694">
        <v>621.70000000000005</v>
      </c>
      <c r="CR694">
        <v>481.70000000000005</v>
      </c>
      <c r="CS694">
        <v>0</v>
      </c>
      <c r="CT694">
        <v>524.6</v>
      </c>
      <c r="CU694">
        <v>514.1</v>
      </c>
      <c r="CV694">
        <v>175.2</v>
      </c>
      <c r="CW694">
        <v>0</v>
      </c>
      <c r="CX694">
        <v>65.099999999999994</v>
      </c>
      <c r="CY694">
        <v>199</v>
      </c>
      <c r="CZ694">
        <v>1907.9</v>
      </c>
      <c r="DA694">
        <v>0</v>
      </c>
      <c r="DB694">
        <v>0</v>
      </c>
      <c r="DC694">
        <v>0</v>
      </c>
      <c r="DD694">
        <v>0</v>
      </c>
      <c r="DE694">
        <v>0</v>
      </c>
      <c r="DF694">
        <v>0</v>
      </c>
      <c r="DG694">
        <v>0</v>
      </c>
      <c r="DH694">
        <v>0</v>
      </c>
      <c r="DI694">
        <v>0</v>
      </c>
      <c r="DJ694">
        <v>0</v>
      </c>
      <c r="DK694">
        <v>0</v>
      </c>
      <c r="DL694">
        <v>0</v>
      </c>
      <c r="DM694">
        <v>1065.4000000000001</v>
      </c>
      <c r="DN694">
        <v>599.70000000000005</v>
      </c>
      <c r="DO694">
        <v>319.7</v>
      </c>
      <c r="DP694">
        <v>1570.6999999999998</v>
      </c>
      <c r="DQ694">
        <v>1399.5</v>
      </c>
      <c r="DR694">
        <v>3581</v>
      </c>
      <c r="DU694">
        <v>1393.2</v>
      </c>
      <c r="DV694">
        <v>2862.6</v>
      </c>
      <c r="DY694">
        <v>2361</v>
      </c>
      <c r="EA694">
        <v>2409.6</v>
      </c>
      <c r="EC694">
        <v>1661.3999999999999</v>
      </c>
      <c r="EE694">
        <v>0</v>
      </c>
      <c r="EF694">
        <v>0</v>
      </c>
      <c r="EG694">
        <v>0</v>
      </c>
      <c r="EH694">
        <v>0</v>
      </c>
      <c r="EI694">
        <v>0</v>
      </c>
      <c r="EJ694">
        <v>0</v>
      </c>
      <c r="EK694">
        <v>0</v>
      </c>
      <c r="EL694">
        <v>0</v>
      </c>
      <c r="EM694">
        <v>0</v>
      </c>
      <c r="EN694">
        <v>0</v>
      </c>
      <c r="EO694">
        <v>0</v>
      </c>
      <c r="EP694">
        <v>944.5</v>
      </c>
      <c r="EQ694">
        <v>3459.7</v>
      </c>
      <c r="ER694">
        <v>1353.5</v>
      </c>
      <c r="ES694">
        <v>182.2</v>
      </c>
      <c r="ET694">
        <v>855.59999999999991</v>
      </c>
      <c r="EU694">
        <v>172.2</v>
      </c>
      <c r="EV694">
        <v>203.2</v>
      </c>
      <c r="EW694">
        <v>1173.0999999999999</v>
      </c>
      <c r="EX694">
        <v>1078.3</v>
      </c>
      <c r="EY694">
        <v>1194.4000000000001</v>
      </c>
      <c r="EZ694">
        <v>1207.0999999999999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0</v>
      </c>
      <c r="FG694">
        <v>0</v>
      </c>
      <c r="FH694">
        <v>0</v>
      </c>
      <c r="FI694">
        <v>0</v>
      </c>
      <c r="FJ694">
        <v>0</v>
      </c>
      <c r="FK694">
        <v>0</v>
      </c>
      <c r="FL694">
        <v>0</v>
      </c>
      <c r="FM694">
        <v>0</v>
      </c>
      <c r="FN694">
        <v>0</v>
      </c>
      <c r="FO694">
        <v>0</v>
      </c>
      <c r="FP694">
        <v>0</v>
      </c>
      <c r="FQ694">
        <v>0</v>
      </c>
      <c r="FR694">
        <v>0</v>
      </c>
      <c r="FS694">
        <v>0</v>
      </c>
      <c r="FT694">
        <v>0</v>
      </c>
      <c r="FU694">
        <v>0</v>
      </c>
      <c r="FV694">
        <v>0</v>
      </c>
      <c r="FW694">
        <v>0</v>
      </c>
      <c r="FX694">
        <v>0</v>
      </c>
      <c r="FY694">
        <v>0</v>
      </c>
      <c r="FZ694">
        <v>0</v>
      </c>
      <c r="GA694">
        <v>0</v>
      </c>
      <c r="GB694">
        <v>0</v>
      </c>
      <c r="GC694">
        <v>0</v>
      </c>
      <c r="GD694">
        <v>0</v>
      </c>
      <c r="GE694">
        <v>0</v>
      </c>
      <c r="GF694">
        <v>0</v>
      </c>
      <c r="GG694">
        <v>0</v>
      </c>
      <c r="GH694">
        <v>0</v>
      </c>
      <c r="GI694">
        <v>0</v>
      </c>
      <c r="GJ694">
        <v>0</v>
      </c>
      <c r="GK694">
        <v>0</v>
      </c>
      <c r="GL694">
        <v>0</v>
      </c>
      <c r="GO694">
        <v>0</v>
      </c>
      <c r="GP694">
        <v>0</v>
      </c>
      <c r="GQ694">
        <v>0</v>
      </c>
      <c r="GR694">
        <v>0</v>
      </c>
      <c r="GS694">
        <v>0</v>
      </c>
      <c r="GT694">
        <v>0</v>
      </c>
      <c r="GU694">
        <v>0</v>
      </c>
      <c r="GV694">
        <v>0</v>
      </c>
      <c r="GW694">
        <v>0</v>
      </c>
      <c r="GX694">
        <v>0</v>
      </c>
      <c r="GY694">
        <v>0</v>
      </c>
      <c r="GZ694">
        <v>0</v>
      </c>
      <c r="HA694">
        <v>0</v>
      </c>
      <c r="HB694">
        <v>0</v>
      </c>
      <c r="HC694">
        <v>0</v>
      </c>
      <c r="HD694">
        <v>0</v>
      </c>
      <c r="HE694">
        <v>0</v>
      </c>
      <c r="HF694">
        <v>0</v>
      </c>
      <c r="HG694">
        <v>0</v>
      </c>
      <c r="HH694">
        <v>0</v>
      </c>
      <c r="HI694">
        <v>0</v>
      </c>
      <c r="HJ694">
        <v>0</v>
      </c>
      <c r="HK694">
        <v>0</v>
      </c>
      <c r="HL694">
        <v>0</v>
      </c>
      <c r="HM694">
        <v>0</v>
      </c>
      <c r="HN694">
        <v>0</v>
      </c>
      <c r="HO694">
        <v>0</v>
      </c>
      <c r="HP694">
        <v>0</v>
      </c>
      <c r="HQ694">
        <v>0</v>
      </c>
      <c r="HR694">
        <v>0</v>
      </c>
      <c r="HS694">
        <v>0</v>
      </c>
      <c r="HT694">
        <v>0</v>
      </c>
      <c r="HU694">
        <v>0</v>
      </c>
      <c r="HV694">
        <v>0</v>
      </c>
      <c r="HW694">
        <v>404.70000000000005</v>
      </c>
      <c r="HX694">
        <v>342.3</v>
      </c>
      <c r="HZ694">
        <v>866.2</v>
      </c>
      <c r="IA694">
        <v>1142.8</v>
      </c>
      <c r="IB694">
        <v>1121.5</v>
      </c>
      <c r="IC694">
        <v>2403</v>
      </c>
      <c r="ID694">
        <v>2659.3</v>
      </c>
      <c r="IE694">
        <v>1923.4</v>
      </c>
      <c r="IF694">
        <v>1465.7</v>
      </c>
      <c r="IG694">
        <v>1608.3</v>
      </c>
      <c r="IH694">
        <v>0</v>
      </c>
      <c r="II694">
        <v>0</v>
      </c>
      <c r="IJ694">
        <v>0</v>
      </c>
      <c r="IK694">
        <v>0</v>
      </c>
      <c r="IL694">
        <v>0</v>
      </c>
      <c r="IM694">
        <v>0</v>
      </c>
      <c r="IN694">
        <v>0</v>
      </c>
      <c r="IO694">
        <v>0</v>
      </c>
      <c r="IP694">
        <v>75.099999999999994</v>
      </c>
    </row>
    <row r="695" spans="1:250" ht="18" thickBot="1">
      <c r="A695" s="245"/>
      <c r="B695" s="245" t="s">
        <v>997</v>
      </c>
      <c r="C695" s="230" t="s">
        <v>1127</v>
      </c>
      <c r="D695" s="399" t="s">
        <v>1227</v>
      </c>
      <c r="E695" s="454">
        <v>0</v>
      </c>
      <c r="F695">
        <v>0</v>
      </c>
      <c r="G695" s="427">
        <v>0</v>
      </c>
      <c r="H695" s="155">
        <v>0</v>
      </c>
      <c r="I695">
        <v>0</v>
      </c>
      <c r="J695">
        <v>0</v>
      </c>
      <c r="K695">
        <v>0</v>
      </c>
      <c r="L695" s="4">
        <v>0</v>
      </c>
      <c r="M695" s="4">
        <v>0</v>
      </c>
      <c r="N695" s="4">
        <v>0</v>
      </c>
      <c r="O695" s="4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R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G695">
        <v>0</v>
      </c>
      <c r="BI695">
        <v>0</v>
      </c>
      <c r="BK695">
        <v>0</v>
      </c>
      <c r="BL695">
        <v>0</v>
      </c>
      <c r="BM695">
        <v>0</v>
      </c>
      <c r="BN695">
        <v>0</v>
      </c>
      <c r="BO695">
        <v>344.70000000000005</v>
      </c>
      <c r="BP695">
        <v>625.70000000000005</v>
      </c>
      <c r="BQ695">
        <v>912.2</v>
      </c>
      <c r="BR695">
        <v>237.7</v>
      </c>
      <c r="BS695">
        <v>0</v>
      </c>
      <c r="BT695">
        <v>0</v>
      </c>
      <c r="BU695">
        <v>0</v>
      </c>
      <c r="BV695">
        <v>0</v>
      </c>
      <c r="BW695">
        <v>1647.4</v>
      </c>
      <c r="BY695">
        <v>453.1</v>
      </c>
      <c r="CA695">
        <v>285.39999999999998</v>
      </c>
      <c r="CB695">
        <v>280.8</v>
      </c>
      <c r="CC695">
        <v>127.7</v>
      </c>
      <c r="CD695">
        <v>0</v>
      </c>
      <c r="CE695">
        <v>0</v>
      </c>
      <c r="CF695">
        <v>0</v>
      </c>
      <c r="CG695">
        <v>0</v>
      </c>
      <c r="CI695">
        <v>0</v>
      </c>
      <c r="CJ695">
        <v>0</v>
      </c>
      <c r="CL695">
        <v>0</v>
      </c>
      <c r="CM695">
        <v>0</v>
      </c>
      <c r="CN695">
        <v>0</v>
      </c>
      <c r="CO695">
        <v>0</v>
      </c>
      <c r="CP695">
        <v>0</v>
      </c>
      <c r="CQ695">
        <v>621.70000000000005</v>
      </c>
      <c r="CR695">
        <v>481.70000000000005</v>
      </c>
      <c r="CS695">
        <v>0</v>
      </c>
      <c r="CT695">
        <v>524.6</v>
      </c>
      <c r="CU695">
        <v>514.1</v>
      </c>
      <c r="CV695">
        <v>175.2</v>
      </c>
      <c r="CW695">
        <v>0</v>
      </c>
      <c r="CX695">
        <v>65.099999999999994</v>
      </c>
      <c r="CY695">
        <v>199</v>
      </c>
      <c r="CZ695">
        <v>1907.9</v>
      </c>
      <c r="DA695">
        <v>0</v>
      </c>
      <c r="DB695">
        <v>0</v>
      </c>
      <c r="DC695">
        <v>0</v>
      </c>
      <c r="DD695">
        <v>0</v>
      </c>
      <c r="DE695">
        <v>0</v>
      </c>
      <c r="DF695">
        <v>0</v>
      </c>
      <c r="DG695">
        <v>0</v>
      </c>
      <c r="DH695">
        <v>0</v>
      </c>
      <c r="DI695">
        <v>0</v>
      </c>
      <c r="DJ695">
        <v>0</v>
      </c>
      <c r="DK695">
        <v>0</v>
      </c>
      <c r="DL695">
        <v>0</v>
      </c>
      <c r="DM695">
        <v>1065.4000000000001</v>
      </c>
      <c r="DN695">
        <v>599.70000000000005</v>
      </c>
      <c r="DO695">
        <v>319.7</v>
      </c>
      <c r="DP695">
        <v>1570.6999999999998</v>
      </c>
      <c r="DQ695">
        <v>1399.5</v>
      </c>
      <c r="DR695">
        <v>3581</v>
      </c>
      <c r="DU695">
        <v>1393.2</v>
      </c>
      <c r="DV695">
        <v>2862.6</v>
      </c>
      <c r="DY695">
        <v>2361</v>
      </c>
      <c r="EA695">
        <v>2409.6</v>
      </c>
      <c r="EC695">
        <v>1661.3999999999999</v>
      </c>
      <c r="EE695">
        <v>0</v>
      </c>
      <c r="EF695">
        <v>0</v>
      </c>
      <c r="EG695">
        <v>0</v>
      </c>
      <c r="EH695">
        <v>0</v>
      </c>
      <c r="EI695">
        <v>0</v>
      </c>
      <c r="EJ695">
        <v>0</v>
      </c>
      <c r="EK695">
        <v>0</v>
      </c>
      <c r="EL695">
        <v>0</v>
      </c>
      <c r="EM695">
        <v>0</v>
      </c>
      <c r="EN695">
        <v>0</v>
      </c>
      <c r="EO695">
        <v>0</v>
      </c>
      <c r="EP695">
        <v>944.5</v>
      </c>
      <c r="EQ695">
        <v>3459.7</v>
      </c>
      <c r="ER695">
        <v>1353.5</v>
      </c>
      <c r="ES695">
        <v>182.2</v>
      </c>
      <c r="ET695">
        <v>855.59999999999991</v>
      </c>
      <c r="EU695">
        <v>172.2</v>
      </c>
      <c r="EV695">
        <v>203.2</v>
      </c>
      <c r="EW695">
        <v>1173.0999999999999</v>
      </c>
      <c r="EX695">
        <v>1078.3</v>
      </c>
      <c r="EY695">
        <v>1194.4000000000001</v>
      </c>
      <c r="EZ695">
        <v>1207.0999999999999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0</v>
      </c>
      <c r="FH695">
        <v>0</v>
      </c>
      <c r="FI695">
        <v>0</v>
      </c>
      <c r="FJ695">
        <v>0</v>
      </c>
      <c r="FK695">
        <v>0</v>
      </c>
      <c r="FL695">
        <v>0</v>
      </c>
      <c r="FM695">
        <v>0</v>
      </c>
      <c r="FN695">
        <v>0</v>
      </c>
      <c r="FO695">
        <v>0</v>
      </c>
      <c r="FP695">
        <v>0</v>
      </c>
      <c r="FQ695">
        <v>0</v>
      </c>
      <c r="FR695">
        <v>0</v>
      </c>
      <c r="FS695">
        <v>0</v>
      </c>
      <c r="FT695">
        <v>0</v>
      </c>
      <c r="FU695">
        <v>0</v>
      </c>
      <c r="FV695">
        <v>0</v>
      </c>
      <c r="FW695">
        <v>0</v>
      </c>
      <c r="FX695">
        <v>0</v>
      </c>
      <c r="FY695">
        <v>0</v>
      </c>
      <c r="FZ695">
        <v>0</v>
      </c>
      <c r="GA695">
        <v>0</v>
      </c>
      <c r="GB695">
        <v>0</v>
      </c>
      <c r="GC695">
        <v>0</v>
      </c>
      <c r="GD695">
        <v>0</v>
      </c>
      <c r="GE695">
        <v>0</v>
      </c>
      <c r="GF695">
        <v>0</v>
      </c>
      <c r="GG695">
        <v>0</v>
      </c>
      <c r="GH695">
        <v>0</v>
      </c>
      <c r="GI695">
        <v>0</v>
      </c>
      <c r="GJ695">
        <v>0</v>
      </c>
      <c r="GK695">
        <v>0</v>
      </c>
      <c r="GL695">
        <v>0</v>
      </c>
      <c r="GO695">
        <v>0</v>
      </c>
      <c r="GP695">
        <v>0</v>
      </c>
      <c r="GQ695">
        <v>0</v>
      </c>
      <c r="GR695">
        <v>0</v>
      </c>
      <c r="GS695">
        <v>0</v>
      </c>
      <c r="GT695">
        <v>0</v>
      </c>
      <c r="GU695">
        <v>0</v>
      </c>
      <c r="GV695">
        <v>0</v>
      </c>
      <c r="GW695">
        <v>0</v>
      </c>
      <c r="GX695">
        <v>0</v>
      </c>
      <c r="GY695">
        <v>0</v>
      </c>
      <c r="GZ695">
        <v>0</v>
      </c>
      <c r="HA695">
        <v>0</v>
      </c>
      <c r="HB695">
        <v>0</v>
      </c>
      <c r="HC695">
        <v>0</v>
      </c>
      <c r="HD695">
        <v>0</v>
      </c>
      <c r="HE695">
        <v>0</v>
      </c>
      <c r="HF695">
        <v>0</v>
      </c>
      <c r="HG695">
        <v>0</v>
      </c>
      <c r="HH695">
        <v>0</v>
      </c>
      <c r="HI695">
        <v>0</v>
      </c>
      <c r="HJ695">
        <v>0</v>
      </c>
      <c r="HK695">
        <v>0</v>
      </c>
      <c r="HL695">
        <v>0</v>
      </c>
      <c r="HM695">
        <v>0</v>
      </c>
      <c r="HN695">
        <v>0</v>
      </c>
      <c r="HO695">
        <v>0</v>
      </c>
      <c r="HP695">
        <v>0</v>
      </c>
      <c r="HQ695">
        <v>0</v>
      </c>
      <c r="HR695">
        <v>0</v>
      </c>
      <c r="HS695">
        <v>0</v>
      </c>
      <c r="HT695">
        <v>0</v>
      </c>
      <c r="HU695">
        <v>0</v>
      </c>
      <c r="HV695">
        <v>0</v>
      </c>
      <c r="HW695">
        <v>404.70000000000005</v>
      </c>
      <c r="HX695">
        <v>342.3</v>
      </c>
      <c r="HZ695">
        <v>866.2</v>
      </c>
      <c r="IA695">
        <v>1142.8</v>
      </c>
      <c r="IB695">
        <v>1121.5</v>
      </c>
      <c r="IC695">
        <v>2403</v>
      </c>
      <c r="ID695">
        <v>2659.3</v>
      </c>
      <c r="IE695">
        <v>1923.4</v>
      </c>
      <c r="IF695">
        <v>1465.7</v>
      </c>
      <c r="IG695">
        <v>1608.3</v>
      </c>
      <c r="IH695">
        <v>0</v>
      </c>
      <c r="II695">
        <v>0</v>
      </c>
      <c r="IJ695">
        <v>0</v>
      </c>
      <c r="IK695">
        <v>0</v>
      </c>
      <c r="IL695">
        <v>0</v>
      </c>
      <c r="IM695">
        <v>0</v>
      </c>
      <c r="IN695">
        <v>0</v>
      </c>
      <c r="IO695">
        <v>0</v>
      </c>
      <c r="IP695">
        <v>75.099999999999994</v>
      </c>
    </row>
    <row r="696" spans="1:250" ht="18" thickBot="1">
      <c r="A696" s="246"/>
      <c r="B696" s="246" t="s">
        <v>998</v>
      </c>
      <c r="C696" s="334"/>
      <c r="D696" s="400" t="s">
        <v>1227</v>
      </c>
      <c r="E696" s="454">
        <v>0</v>
      </c>
      <c r="F696">
        <v>0</v>
      </c>
      <c r="G696" s="427">
        <v>0</v>
      </c>
      <c r="H696" s="155">
        <v>0</v>
      </c>
      <c r="I696">
        <v>0</v>
      </c>
      <c r="J696">
        <v>0</v>
      </c>
      <c r="K696">
        <v>0</v>
      </c>
      <c r="L696" s="4">
        <v>0</v>
      </c>
      <c r="M696" s="4">
        <v>0</v>
      </c>
      <c r="N696" s="4">
        <v>0</v>
      </c>
      <c r="O696" s="4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R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G696">
        <v>0</v>
      </c>
      <c r="BI696">
        <v>0</v>
      </c>
      <c r="BK696">
        <v>0</v>
      </c>
      <c r="BL696">
        <v>0</v>
      </c>
      <c r="BM696">
        <v>0</v>
      </c>
      <c r="BN696">
        <v>0</v>
      </c>
      <c r="BO696">
        <v>344.70000000000005</v>
      </c>
      <c r="BP696">
        <v>625.70000000000005</v>
      </c>
      <c r="BQ696">
        <v>912.2</v>
      </c>
      <c r="BR696">
        <v>237.7</v>
      </c>
      <c r="BS696">
        <v>0</v>
      </c>
      <c r="BT696">
        <v>0</v>
      </c>
      <c r="BU696">
        <v>0</v>
      </c>
      <c r="BV696">
        <v>0</v>
      </c>
      <c r="BW696">
        <v>1647.4</v>
      </c>
      <c r="BY696">
        <v>453.1</v>
      </c>
      <c r="CA696">
        <v>285.39999999999998</v>
      </c>
      <c r="CB696">
        <v>280.8</v>
      </c>
      <c r="CC696">
        <v>127.7</v>
      </c>
      <c r="CD696">
        <v>0</v>
      </c>
      <c r="CE696">
        <v>0</v>
      </c>
      <c r="CF696">
        <v>0</v>
      </c>
      <c r="CG696">
        <v>0</v>
      </c>
      <c r="CI696">
        <v>0</v>
      </c>
      <c r="CJ696">
        <v>0</v>
      </c>
      <c r="CL696">
        <v>0</v>
      </c>
      <c r="CM696">
        <v>0</v>
      </c>
      <c r="CN696">
        <v>0</v>
      </c>
      <c r="CO696">
        <v>0</v>
      </c>
      <c r="CP696">
        <v>0</v>
      </c>
      <c r="CQ696">
        <v>621.70000000000005</v>
      </c>
      <c r="CR696">
        <v>481.70000000000005</v>
      </c>
      <c r="CS696">
        <v>0</v>
      </c>
      <c r="CT696">
        <v>524.6</v>
      </c>
      <c r="CU696">
        <v>514.1</v>
      </c>
      <c r="CV696">
        <v>175.2</v>
      </c>
      <c r="CW696">
        <v>0</v>
      </c>
      <c r="CX696">
        <v>65.099999999999994</v>
      </c>
      <c r="CY696">
        <v>199</v>
      </c>
      <c r="CZ696">
        <v>1907.9</v>
      </c>
      <c r="DA696">
        <v>0</v>
      </c>
      <c r="DB696">
        <v>0</v>
      </c>
      <c r="DC696">
        <v>0</v>
      </c>
      <c r="DD696">
        <v>0</v>
      </c>
      <c r="DE696">
        <v>0</v>
      </c>
      <c r="DF696">
        <v>0</v>
      </c>
      <c r="DG696">
        <v>0</v>
      </c>
      <c r="DH696">
        <v>0</v>
      </c>
      <c r="DI696">
        <v>0</v>
      </c>
      <c r="DJ696">
        <v>0</v>
      </c>
      <c r="DK696">
        <v>0</v>
      </c>
      <c r="DL696">
        <v>0</v>
      </c>
      <c r="DM696">
        <v>1065.4000000000001</v>
      </c>
      <c r="DN696">
        <v>599.70000000000005</v>
      </c>
      <c r="DO696">
        <v>319.7</v>
      </c>
      <c r="DP696">
        <v>1570.6999999999998</v>
      </c>
      <c r="DQ696">
        <v>1399.5</v>
      </c>
      <c r="DR696">
        <v>3581</v>
      </c>
      <c r="DU696">
        <v>1393.2</v>
      </c>
      <c r="DV696">
        <v>2862.6</v>
      </c>
      <c r="DY696">
        <v>2361</v>
      </c>
      <c r="EA696">
        <v>2409.6</v>
      </c>
      <c r="EC696">
        <v>1661.3999999999999</v>
      </c>
      <c r="EE696">
        <v>0</v>
      </c>
      <c r="EF696">
        <v>0</v>
      </c>
      <c r="EG696">
        <v>0</v>
      </c>
      <c r="EH696">
        <v>0</v>
      </c>
      <c r="EI696">
        <v>0</v>
      </c>
      <c r="EJ696">
        <v>0</v>
      </c>
      <c r="EK696">
        <v>0</v>
      </c>
      <c r="EL696">
        <v>0</v>
      </c>
      <c r="EM696">
        <v>0</v>
      </c>
      <c r="EN696">
        <v>0</v>
      </c>
      <c r="EO696">
        <v>0</v>
      </c>
      <c r="EP696">
        <v>944.5</v>
      </c>
      <c r="EQ696">
        <v>3459.7</v>
      </c>
      <c r="ER696">
        <v>1353.5</v>
      </c>
      <c r="ES696">
        <v>182.2</v>
      </c>
      <c r="ET696">
        <v>855.59999999999991</v>
      </c>
      <c r="EU696">
        <v>172.2</v>
      </c>
      <c r="EV696">
        <v>203.2</v>
      </c>
      <c r="EW696">
        <v>1173.0999999999999</v>
      </c>
      <c r="EX696">
        <v>1078.3</v>
      </c>
      <c r="EY696">
        <v>1194.4000000000001</v>
      </c>
      <c r="EZ696">
        <v>1207.0999999999999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0</v>
      </c>
      <c r="FG696">
        <v>0</v>
      </c>
      <c r="FH696">
        <v>0</v>
      </c>
      <c r="FI696">
        <v>0</v>
      </c>
      <c r="FJ696">
        <v>0</v>
      </c>
      <c r="FK696">
        <v>0</v>
      </c>
      <c r="FL696">
        <v>0</v>
      </c>
      <c r="FM696">
        <v>0</v>
      </c>
      <c r="FN696">
        <v>0</v>
      </c>
      <c r="FO696">
        <v>0</v>
      </c>
      <c r="FP696">
        <v>0</v>
      </c>
      <c r="FQ696">
        <v>0</v>
      </c>
      <c r="FR696">
        <v>0</v>
      </c>
      <c r="FS696">
        <v>0</v>
      </c>
      <c r="FT696">
        <v>0</v>
      </c>
      <c r="FU696">
        <v>0</v>
      </c>
      <c r="FV696">
        <v>0</v>
      </c>
      <c r="FW696">
        <v>0</v>
      </c>
      <c r="FX696">
        <v>0</v>
      </c>
      <c r="FY696">
        <v>0</v>
      </c>
      <c r="FZ696">
        <v>0</v>
      </c>
      <c r="GA696">
        <v>0</v>
      </c>
      <c r="GB696">
        <v>0</v>
      </c>
      <c r="GC696">
        <v>0</v>
      </c>
      <c r="GD696">
        <v>0</v>
      </c>
      <c r="GE696">
        <v>0</v>
      </c>
      <c r="GF696">
        <v>0</v>
      </c>
      <c r="GG696">
        <v>0</v>
      </c>
      <c r="GH696">
        <v>0</v>
      </c>
      <c r="GI696">
        <v>0</v>
      </c>
      <c r="GJ696">
        <v>0</v>
      </c>
      <c r="GK696">
        <v>0</v>
      </c>
      <c r="GL696">
        <v>0</v>
      </c>
      <c r="GO696">
        <v>0</v>
      </c>
      <c r="GP696">
        <v>0</v>
      </c>
      <c r="GQ696">
        <v>0</v>
      </c>
      <c r="GR696">
        <v>0</v>
      </c>
      <c r="GS696">
        <v>0</v>
      </c>
      <c r="GT696">
        <v>0</v>
      </c>
      <c r="GU696">
        <v>0</v>
      </c>
      <c r="GV696">
        <v>0</v>
      </c>
      <c r="GW696">
        <v>0</v>
      </c>
      <c r="GX696">
        <v>0</v>
      </c>
      <c r="GY696">
        <v>0</v>
      </c>
      <c r="GZ696">
        <v>0</v>
      </c>
      <c r="HA696">
        <v>0</v>
      </c>
      <c r="HB696">
        <v>0</v>
      </c>
      <c r="HC696">
        <v>0</v>
      </c>
      <c r="HD696">
        <v>0</v>
      </c>
      <c r="HE696">
        <v>0</v>
      </c>
      <c r="HF696">
        <v>0</v>
      </c>
      <c r="HG696">
        <v>0</v>
      </c>
      <c r="HH696">
        <v>0</v>
      </c>
      <c r="HI696">
        <v>0</v>
      </c>
      <c r="HJ696">
        <v>0</v>
      </c>
      <c r="HK696">
        <v>0</v>
      </c>
      <c r="HL696">
        <v>0</v>
      </c>
      <c r="HM696">
        <v>0</v>
      </c>
      <c r="HN696">
        <v>0</v>
      </c>
      <c r="HO696">
        <v>0</v>
      </c>
      <c r="HP696">
        <v>0</v>
      </c>
      <c r="HQ696">
        <v>0</v>
      </c>
      <c r="HR696">
        <v>0</v>
      </c>
      <c r="HS696">
        <v>0</v>
      </c>
      <c r="HT696">
        <v>0</v>
      </c>
      <c r="HU696">
        <v>0</v>
      </c>
      <c r="HV696">
        <v>0</v>
      </c>
      <c r="HW696">
        <v>404.70000000000005</v>
      </c>
      <c r="HX696">
        <v>342.3</v>
      </c>
      <c r="HZ696">
        <v>866.2</v>
      </c>
      <c r="IA696">
        <v>1142.8</v>
      </c>
      <c r="IB696">
        <v>1121.5</v>
      </c>
      <c r="IC696">
        <v>2403</v>
      </c>
      <c r="ID696">
        <v>2659.3</v>
      </c>
      <c r="IE696">
        <v>1923.4</v>
      </c>
      <c r="IF696">
        <v>1465.7</v>
      </c>
      <c r="IG696">
        <v>1608.3</v>
      </c>
      <c r="IH696">
        <v>0</v>
      </c>
      <c r="II696">
        <v>0</v>
      </c>
      <c r="IJ696">
        <v>0</v>
      </c>
      <c r="IK696">
        <v>0</v>
      </c>
      <c r="IL696">
        <v>0</v>
      </c>
      <c r="IM696">
        <v>0</v>
      </c>
      <c r="IN696">
        <v>0</v>
      </c>
      <c r="IO696">
        <v>0</v>
      </c>
      <c r="IP696">
        <v>75.099999999999994</v>
      </c>
    </row>
    <row r="697" spans="1:250" ht="18.600000000000001" thickTop="1" thickBot="1">
      <c r="A697" s="181"/>
      <c r="B697" s="181" t="s">
        <v>463</v>
      </c>
      <c r="C697" s="330"/>
      <c r="D697" s="395"/>
      <c r="E697" s="454">
        <v>0</v>
      </c>
      <c r="F697">
        <v>0</v>
      </c>
      <c r="G697" s="427">
        <v>0</v>
      </c>
      <c r="H697" s="155">
        <v>0</v>
      </c>
      <c r="I697">
        <v>0</v>
      </c>
      <c r="J697">
        <v>0</v>
      </c>
      <c r="K697">
        <v>0</v>
      </c>
      <c r="L697" s="4">
        <v>0</v>
      </c>
      <c r="M697" s="4">
        <v>0</v>
      </c>
      <c r="N697" s="4">
        <v>0</v>
      </c>
      <c r="O697" s="4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R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G697">
        <v>0</v>
      </c>
      <c r="BI697">
        <v>0</v>
      </c>
      <c r="BK697">
        <v>0</v>
      </c>
      <c r="BL697">
        <v>0</v>
      </c>
      <c r="BM697">
        <v>0</v>
      </c>
      <c r="BN697">
        <v>0</v>
      </c>
      <c r="BO697">
        <v>344.70000000000005</v>
      </c>
      <c r="BP697">
        <v>625.70000000000005</v>
      </c>
      <c r="BQ697">
        <v>912.2</v>
      </c>
      <c r="BR697">
        <v>237.7</v>
      </c>
      <c r="BS697">
        <v>0</v>
      </c>
      <c r="BT697">
        <v>0</v>
      </c>
      <c r="BU697">
        <v>0</v>
      </c>
      <c r="BV697">
        <v>0</v>
      </c>
      <c r="BW697">
        <v>1647.4</v>
      </c>
      <c r="BY697">
        <v>453.1</v>
      </c>
      <c r="CA697">
        <v>285.39999999999998</v>
      </c>
      <c r="CB697">
        <v>280.8</v>
      </c>
      <c r="CC697">
        <v>127.7</v>
      </c>
      <c r="CD697">
        <v>0</v>
      </c>
      <c r="CE697">
        <v>0</v>
      </c>
      <c r="CF697">
        <v>0</v>
      </c>
      <c r="CG697">
        <v>0</v>
      </c>
      <c r="CI697">
        <v>0</v>
      </c>
      <c r="CJ697">
        <v>0</v>
      </c>
      <c r="CL697">
        <v>0</v>
      </c>
      <c r="CM697">
        <v>0</v>
      </c>
      <c r="CN697">
        <v>0</v>
      </c>
      <c r="CO697">
        <v>0</v>
      </c>
      <c r="CP697">
        <v>0</v>
      </c>
      <c r="CQ697">
        <v>621.70000000000005</v>
      </c>
      <c r="CR697">
        <v>481.70000000000005</v>
      </c>
      <c r="CS697">
        <v>0</v>
      </c>
      <c r="CT697">
        <v>524.6</v>
      </c>
      <c r="CU697">
        <v>514.1</v>
      </c>
      <c r="CV697">
        <v>175.2</v>
      </c>
      <c r="CW697">
        <v>0</v>
      </c>
      <c r="CX697">
        <v>65.099999999999994</v>
      </c>
      <c r="CY697">
        <v>199</v>
      </c>
      <c r="CZ697">
        <v>1907.9</v>
      </c>
      <c r="DA697">
        <v>0</v>
      </c>
      <c r="DB697">
        <v>0</v>
      </c>
      <c r="DC697">
        <v>0</v>
      </c>
      <c r="DD697">
        <v>0</v>
      </c>
      <c r="DE697">
        <v>0</v>
      </c>
      <c r="DF697">
        <v>0</v>
      </c>
      <c r="DG697">
        <v>0</v>
      </c>
      <c r="DH697">
        <v>0</v>
      </c>
      <c r="DI697">
        <v>0</v>
      </c>
      <c r="DJ697">
        <v>0</v>
      </c>
      <c r="DK697">
        <v>0</v>
      </c>
      <c r="DL697">
        <v>0</v>
      </c>
      <c r="DM697">
        <v>1065.4000000000001</v>
      </c>
      <c r="DN697">
        <v>599.70000000000005</v>
      </c>
      <c r="DO697">
        <v>319.7</v>
      </c>
      <c r="DP697">
        <v>1570.6999999999998</v>
      </c>
      <c r="DQ697">
        <v>1399.5</v>
      </c>
      <c r="DR697">
        <v>3581</v>
      </c>
      <c r="DU697">
        <v>1393.2</v>
      </c>
      <c r="DV697">
        <v>2862.6</v>
      </c>
      <c r="DY697">
        <v>2361</v>
      </c>
      <c r="EA697">
        <v>2409.6</v>
      </c>
      <c r="EC697">
        <v>1661.3999999999999</v>
      </c>
      <c r="EE697">
        <v>0</v>
      </c>
      <c r="EF697">
        <v>0</v>
      </c>
      <c r="EG697">
        <v>0</v>
      </c>
      <c r="EH697">
        <v>0</v>
      </c>
      <c r="EI697">
        <v>0</v>
      </c>
      <c r="EJ697">
        <v>0</v>
      </c>
      <c r="EK697">
        <v>0</v>
      </c>
      <c r="EL697">
        <v>0</v>
      </c>
      <c r="EM697">
        <v>0</v>
      </c>
      <c r="EN697">
        <v>0</v>
      </c>
      <c r="EO697">
        <v>0</v>
      </c>
      <c r="EP697">
        <v>944.5</v>
      </c>
      <c r="EQ697">
        <v>3459.7</v>
      </c>
      <c r="ER697">
        <v>1353.5</v>
      </c>
      <c r="ES697">
        <v>182.2</v>
      </c>
      <c r="ET697">
        <v>855.59999999999991</v>
      </c>
      <c r="EU697">
        <v>172.2</v>
      </c>
      <c r="EV697">
        <v>203.2</v>
      </c>
      <c r="EW697">
        <v>1173.0999999999999</v>
      </c>
      <c r="EX697">
        <v>1078.3</v>
      </c>
      <c r="EY697">
        <v>1194.4000000000001</v>
      </c>
      <c r="EZ697">
        <v>1207.0999999999999</v>
      </c>
      <c r="FA697">
        <v>0</v>
      </c>
      <c r="FB697">
        <v>0</v>
      </c>
      <c r="FC697">
        <v>0</v>
      </c>
      <c r="FD697">
        <v>0</v>
      </c>
      <c r="FE697">
        <v>0</v>
      </c>
      <c r="FF697">
        <v>0</v>
      </c>
      <c r="FG697">
        <v>0</v>
      </c>
      <c r="FH697">
        <v>0</v>
      </c>
      <c r="FI697">
        <v>0</v>
      </c>
      <c r="FJ697">
        <v>0</v>
      </c>
      <c r="FK697">
        <v>0</v>
      </c>
      <c r="FL697">
        <v>0</v>
      </c>
      <c r="FM697">
        <v>0</v>
      </c>
      <c r="FN697">
        <v>0</v>
      </c>
      <c r="FO697">
        <v>0</v>
      </c>
      <c r="FP697">
        <v>0</v>
      </c>
      <c r="FQ697">
        <v>0</v>
      </c>
      <c r="FR697">
        <v>0</v>
      </c>
      <c r="FS697">
        <v>0</v>
      </c>
      <c r="FT697">
        <v>0</v>
      </c>
      <c r="FU697">
        <v>0</v>
      </c>
      <c r="FV697">
        <v>0</v>
      </c>
      <c r="FW697">
        <v>0</v>
      </c>
      <c r="FX697">
        <v>0</v>
      </c>
      <c r="FY697">
        <v>0</v>
      </c>
      <c r="FZ697">
        <v>0</v>
      </c>
      <c r="GA697">
        <v>0</v>
      </c>
      <c r="GB697">
        <v>0</v>
      </c>
      <c r="GC697">
        <v>0</v>
      </c>
      <c r="GD697">
        <v>0</v>
      </c>
      <c r="GE697">
        <v>0</v>
      </c>
      <c r="GF697">
        <v>0</v>
      </c>
      <c r="GG697">
        <v>0</v>
      </c>
      <c r="GH697">
        <v>0</v>
      </c>
      <c r="GI697">
        <v>0</v>
      </c>
      <c r="GJ697">
        <v>0</v>
      </c>
      <c r="GK697">
        <v>0</v>
      </c>
      <c r="GL697">
        <v>0</v>
      </c>
      <c r="GO697">
        <v>0</v>
      </c>
      <c r="GP697">
        <v>0</v>
      </c>
      <c r="GQ697">
        <v>0</v>
      </c>
      <c r="GR697">
        <v>0</v>
      </c>
      <c r="GS697">
        <v>0</v>
      </c>
      <c r="GT697">
        <v>0</v>
      </c>
      <c r="GU697">
        <v>0</v>
      </c>
      <c r="GV697">
        <v>0</v>
      </c>
      <c r="GW697">
        <v>0</v>
      </c>
      <c r="GX697">
        <v>0</v>
      </c>
      <c r="GY697">
        <v>0</v>
      </c>
      <c r="GZ697">
        <v>0</v>
      </c>
      <c r="HA697">
        <v>0</v>
      </c>
      <c r="HB697">
        <v>0</v>
      </c>
      <c r="HC697">
        <v>0</v>
      </c>
      <c r="HD697">
        <v>0</v>
      </c>
      <c r="HE697">
        <v>0</v>
      </c>
      <c r="HF697">
        <v>0</v>
      </c>
      <c r="HG697">
        <v>0</v>
      </c>
      <c r="HH697">
        <v>0</v>
      </c>
      <c r="HI697">
        <v>0</v>
      </c>
      <c r="HJ697">
        <v>0</v>
      </c>
      <c r="HK697">
        <v>0</v>
      </c>
      <c r="HL697">
        <v>0</v>
      </c>
      <c r="HM697">
        <v>0</v>
      </c>
      <c r="HN697">
        <v>0</v>
      </c>
      <c r="HO697">
        <v>0</v>
      </c>
      <c r="HP697">
        <v>0</v>
      </c>
      <c r="HQ697">
        <v>0</v>
      </c>
      <c r="HR697">
        <v>0</v>
      </c>
      <c r="HS697">
        <v>0</v>
      </c>
      <c r="HT697">
        <v>0</v>
      </c>
      <c r="HU697">
        <v>0</v>
      </c>
      <c r="HV697">
        <v>0</v>
      </c>
      <c r="HW697">
        <v>404.70000000000005</v>
      </c>
      <c r="HX697">
        <v>342.3</v>
      </c>
      <c r="HZ697">
        <v>866.2</v>
      </c>
      <c r="IA697">
        <v>1142.8</v>
      </c>
      <c r="IB697">
        <v>1121.5</v>
      </c>
      <c r="IC697">
        <v>2403</v>
      </c>
      <c r="ID697">
        <v>2659.3</v>
      </c>
      <c r="IE697">
        <v>1923.4</v>
      </c>
      <c r="IF697">
        <v>1465.7</v>
      </c>
      <c r="IG697">
        <v>1608.3</v>
      </c>
      <c r="IH697">
        <v>0</v>
      </c>
      <c r="II697">
        <v>0</v>
      </c>
      <c r="IJ697">
        <v>0</v>
      </c>
      <c r="IK697">
        <v>0</v>
      </c>
      <c r="IL697">
        <v>0</v>
      </c>
      <c r="IM697">
        <v>0</v>
      </c>
      <c r="IN697">
        <v>0</v>
      </c>
      <c r="IO697">
        <v>0</v>
      </c>
      <c r="IP697">
        <v>75.099999999999994</v>
      </c>
    </row>
    <row r="698" spans="1:250" ht="18" thickBot="1">
      <c r="A698" s="245"/>
      <c r="B698" s="245" t="s">
        <v>464</v>
      </c>
      <c r="C698" s="230" t="s">
        <v>1128</v>
      </c>
      <c r="D698" s="397"/>
      <c r="E698" s="454">
        <v>0</v>
      </c>
      <c r="F698">
        <v>0</v>
      </c>
      <c r="G698" s="427">
        <v>0</v>
      </c>
      <c r="H698" s="155">
        <v>0</v>
      </c>
      <c r="I698">
        <v>0</v>
      </c>
      <c r="J698">
        <v>0</v>
      </c>
      <c r="K698">
        <v>0</v>
      </c>
      <c r="L698" s="4">
        <v>0</v>
      </c>
      <c r="M698" s="4">
        <v>0</v>
      </c>
      <c r="N698" s="4">
        <v>0</v>
      </c>
      <c r="O698" s="4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R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G698">
        <v>0</v>
      </c>
      <c r="BI698">
        <v>0</v>
      </c>
      <c r="BK698">
        <v>0</v>
      </c>
      <c r="BL698">
        <v>0</v>
      </c>
      <c r="BM698">
        <v>0</v>
      </c>
      <c r="BN698">
        <v>0</v>
      </c>
      <c r="BO698">
        <v>344.70000000000005</v>
      </c>
      <c r="BP698">
        <v>625.70000000000005</v>
      </c>
      <c r="BQ698">
        <v>912.2</v>
      </c>
      <c r="BR698">
        <v>237.7</v>
      </c>
      <c r="BS698">
        <v>0</v>
      </c>
      <c r="BT698">
        <v>0</v>
      </c>
      <c r="BU698">
        <v>0</v>
      </c>
      <c r="BV698">
        <v>0</v>
      </c>
      <c r="BW698">
        <v>1647.4</v>
      </c>
      <c r="BY698">
        <v>453.1</v>
      </c>
      <c r="CA698">
        <v>285.39999999999998</v>
      </c>
      <c r="CB698">
        <v>280.8</v>
      </c>
      <c r="CC698">
        <v>127.7</v>
      </c>
      <c r="CD698">
        <v>0</v>
      </c>
      <c r="CE698">
        <v>0</v>
      </c>
      <c r="CF698">
        <v>0</v>
      </c>
      <c r="CG698">
        <v>0</v>
      </c>
      <c r="CI698">
        <v>0</v>
      </c>
      <c r="CJ698">
        <v>0</v>
      </c>
      <c r="CL698">
        <v>0</v>
      </c>
      <c r="CM698">
        <v>0</v>
      </c>
      <c r="CN698">
        <v>0</v>
      </c>
      <c r="CO698">
        <v>0</v>
      </c>
      <c r="CP698">
        <v>0</v>
      </c>
      <c r="CQ698">
        <v>621.70000000000005</v>
      </c>
      <c r="CR698">
        <v>481.70000000000005</v>
      </c>
      <c r="CS698">
        <v>0</v>
      </c>
      <c r="CT698">
        <v>524.6</v>
      </c>
      <c r="CU698">
        <v>514.1</v>
      </c>
      <c r="CV698">
        <v>175.2</v>
      </c>
      <c r="CW698">
        <v>0</v>
      </c>
      <c r="CX698">
        <v>65.099999999999994</v>
      </c>
      <c r="CY698">
        <v>199</v>
      </c>
      <c r="CZ698">
        <v>1907.9</v>
      </c>
      <c r="DA698">
        <v>0</v>
      </c>
      <c r="DB698">
        <v>0</v>
      </c>
      <c r="DC698">
        <v>0</v>
      </c>
      <c r="DD698">
        <v>0</v>
      </c>
      <c r="DE698">
        <v>0</v>
      </c>
      <c r="DF698">
        <v>0</v>
      </c>
      <c r="DG698">
        <v>0</v>
      </c>
      <c r="DH698">
        <v>0</v>
      </c>
      <c r="DI698">
        <v>0</v>
      </c>
      <c r="DJ698">
        <v>0</v>
      </c>
      <c r="DK698">
        <v>0</v>
      </c>
      <c r="DL698">
        <v>0</v>
      </c>
      <c r="DM698">
        <v>1065.4000000000001</v>
      </c>
      <c r="DN698">
        <v>599.70000000000005</v>
      </c>
      <c r="DO698">
        <v>319.7</v>
      </c>
      <c r="DP698">
        <v>1570.6999999999998</v>
      </c>
      <c r="DQ698">
        <v>1399.5</v>
      </c>
      <c r="DR698">
        <v>3581</v>
      </c>
      <c r="DU698">
        <v>1393.2</v>
      </c>
      <c r="DV698">
        <v>2862.6</v>
      </c>
      <c r="DY698">
        <v>2361</v>
      </c>
      <c r="EA698">
        <v>2409.6</v>
      </c>
      <c r="EC698">
        <v>1661.3999999999999</v>
      </c>
      <c r="EE698">
        <v>0</v>
      </c>
      <c r="EF698">
        <v>0</v>
      </c>
      <c r="EG698">
        <v>0</v>
      </c>
      <c r="EH698">
        <v>0</v>
      </c>
      <c r="EI698">
        <v>0</v>
      </c>
      <c r="EJ698">
        <v>0</v>
      </c>
      <c r="EK698">
        <v>0</v>
      </c>
      <c r="EL698">
        <v>0</v>
      </c>
      <c r="EM698">
        <v>0</v>
      </c>
      <c r="EN698">
        <v>0</v>
      </c>
      <c r="EO698">
        <v>0</v>
      </c>
      <c r="EP698">
        <v>944.5</v>
      </c>
      <c r="EQ698">
        <v>3459.7</v>
      </c>
      <c r="ER698">
        <v>1353.5</v>
      </c>
      <c r="ES698">
        <v>182.2</v>
      </c>
      <c r="ET698">
        <v>855.59999999999991</v>
      </c>
      <c r="EU698">
        <v>172.2</v>
      </c>
      <c r="EV698">
        <v>203.2</v>
      </c>
      <c r="EW698">
        <v>1173.0999999999999</v>
      </c>
      <c r="EX698">
        <v>1078.3</v>
      </c>
      <c r="EY698">
        <v>1194.4000000000001</v>
      </c>
      <c r="EZ698">
        <v>1207.0999999999999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0</v>
      </c>
      <c r="FG698">
        <v>0</v>
      </c>
      <c r="FH698">
        <v>0</v>
      </c>
      <c r="FI698">
        <v>0</v>
      </c>
      <c r="FJ698">
        <v>0</v>
      </c>
      <c r="FK698">
        <v>0</v>
      </c>
      <c r="FL698">
        <v>0</v>
      </c>
      <c r="FM698">
        <v>0</v>
      </c>
      <c r="FN698">
        <v>0</v>
      </c>
      <c r="FO698">
        <v>0</v>
      </c>
      <c r="FP698">
        <v>0</v>
      </c>
      <c r="FQ698">
        <v>0</v>
      </c>
      <c r="FR698">
        <v>0</v>
      </c>
      <c r="FS698">
        <v>0</v>
      </c>
      <c r="FT698">
        <v>0</v>
      </c>
      <c r="FU698">
        <v>0</v>
      </c>
      <c r="FV698">
        <v>0</v>
      </c>
      <c r="FW698">
        <v>0</v>
      </c>
      <c r="FX698">
        <v>0</v>
      </c>
      <c r="FY698">
        <v>0</v>
      </c>
      <c r="FZ698">
        <v>0</v>
      </c>
      <c r="GA698">
        <v>0</v>
      </c>
      <c r="GB698">
        <v>0</v>
      </c>
      <c r="GC698">
        <v>0</v>
      </c>
      <c r="GD698">
        <v>0</v>
      </c>
      <c r="GE698">
        <v>0</v>
      </c>
      <c r="GF698">
        <v>0</v>
      </c>
      <c r="GG698">
        <v>0</v>
      </c>
      <c r="GH698">
        <v>0</v>
      </c>
      <c r="GI698">
        <v>0</v>
      </c>
      <c r="GJ698">
        <v>0</v>
      </c>
      <c r="GK698">
        <v>0</v>
      </c>
      <c r="GL698">
        <v>0</v>
      </c>
      <c r="GO698">
        <v>0</v>
      </c>
      <c r="GP698">
        <v>0</v>
      </c>
      <c r="GQ698">
        <v>0</v>
      </c>
      <c r="GR698">
        <v>0</v>
      </c>
      <c r="GS698">
        <v>0</v>
      </c>
      <c r="GT698">
        <v>0</v>
      </c>
      <c r="GU698">
        <v>0</v>
      </c>
      <c r="GV698">
        <v>0</v>
      </c>
      <c r="GW698">
        <v>0</v>
      </c>
      <c r="GX698">
        <v>0</v>
      </c>
      <c r="GY698">
        <v>0</v>
      </c>
      <c r="GZ698">
        <v>0</v>
      </c>
      <c r="HA698">
        <v>0</v>
      </c>
      <c r="HB698">
        <v>0</v>
      </c>
      <c r="HC698">
        <v>0</v>
      </c>
      <c r="HD698">
        <v>0</v>
      </c>
      <c r="HE698">
        <v>0</v>
      </c>
      <c r="HF698">
        <v>0</v>
      </c>
      <c r="HG698">
        <v>0</v>
      </c>
      <c r="HH698">
        <v>0</v>
      </c>
      <c r="HI698">
        <v>0</v>
      </c>
      <c r="HJ698">
        <v>0</v>
      </c>
      <c r="HK698">
        <v>0</v>
      </c>
      <c r="HL698">
        <v>0</v>
      </c>
      <c r="HM698">
        <v>0</v>
      </c>
      <c r="HN698">
        <v>0</v>
      </c>
      <c r="HO698">
        <v>0</v>
      </c>
      <c r="HP698">
        <v>0</v>
      </c>
      <c r="HQ698">
        <v>0</v>
      </c>
      <c r="HR698">
        <v>0</v>
      </c>
      <c r="HS698">
        <v>0</v>
      </c>
      <c r="HT698">
        <v>0</v>
      </c>
      <c r="HU698">
        <v>0</v>
      </c>
      <c r="HV698">
        <v>0</v>
      </c>
      <c r="HW698">
        <v>404.70000000000005</v>
      </c>
      <c r="HX698">
        <v>342.3</v>
      </c>
      <c r="HZ698">
        <v>866.2</v>
      </c>
      <c r="IA698">
        <v>1142.8</v>
      </c>
      <c r="IB698">
        <v>1121.5</v>
      </c>
      <c r="IC698">
        <v>2403</v>
      </c>
      <c r="ID698">
        <v>2659.3</v>
      </c>
      <c r="IE698">
        <v>1923.4</v>
      </c>
      <c r="IF698">
        <v>1465.7</v>
      </c>
      <c r="IG698">
        <v>1608.3</v>
      </c>
      <c r="IH698">
        <v>0</v>
      </c>
      <c r="II698">
        <v>0</v>
      </c>
      <c r="IJ698">
        <v>0</v>
      </c>
      <c r="IK698">
        <v>0</v>
      </c>
      <c r="IL698">
        <v>0</v>
      </c>
      <c r="IM698">
        <v>0</v>
      </c>
      <c r="IN698">
        <v>0</v>
      </c>
      <c r="IO698">
        <v>0</v>
      </c>
      <c r="IP698">
        <v>75.099999999999994</v>
      </c>
    </row>
    <row r="699" spans="1:250" ht="18" thickBot="1">
      <c r="A699" s="245"/>
      <c r="B699" s="245" t="s">
        <v>465</v>
      </c>
      <c r="C699" s="230" t="s">
        <v>1129</v>
      </c>
      <c r="D699" s="397"/>
      <c r="E699" s="454">
        <v>0</v>
      </c>
      <c r="F699">
        <v>0</v>
      </c>
      <c r="G699" s="427">
        <v>0</v>
      </c>
      <c r="H699" s="155">
        <v>0</v>
      </c>
      <c r="I699">
        <v>0</v>
      </c>
      <c r="J699">
        <v>0</v>
      </c>
      <c r="K699">
        <v>0</v>
      </c>
      <c r="L699" s="4">
        <v>0</v>
      </c>
      <c r="M699" s="4">
        <v>0</v>
      </c>
      <c r="N699" s="4">
        <v>0</v>
      </c>
      <c r="O699" s="4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R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G699">
        <v>0</v>
      </c>
      <c r="BI699">
        <v>0</v>
      </c>
      <c r="BK699">
        <v>0</v>
      </c>
      <c r="BL699">
        <v>0</v>
      </c>
      <c r="BM699">
        <v>0</v>
      </c>
      <c r="BN699">
        <v>0</v>
      </c>
      <c r="BO699">
        <v>344.70000000000005</v>
      </c>
      <c r="BP699">
        <v>625.70000000000005</v>
      </c>
      <c r="BQ699">
        <v>912.2</v>
      </c>
      <c r="BR699">
        <v>237.7</v>
      </c>
      <c r="BS699">
        <v>0</v>
      </c>
      <c r="BT699">
        <v>0</v>
      </c>
      <c r="BU699">
        <v>0</v>
      </c>
      <c r="BV699">
        <v>0</v>
      </c>
      <c r="BW699">
        <v>1647.4</v>
      </c>
      <c r="BY699">
        <v>453.1</v>
      </c>
      <c r="CA699">
        <v>285.39999999999998</v>
      </c>
      <c r="CB699">
        <v>280.8</v>
      </c>
      <c r="CC699">
        <v>127.7</v>
      </c>
      <c r="CD699">
        <v>0</v>
      </c>
      <c r="CE699">
        <v>0</v>
      </c>
      <c r="CF699">
        <v>0</v>
      </c>
      <c r="CG699">
        <v>0</v>
      </c>
      <c r="CI699">
        <v>0</v>
      </c>
      <c r="CJ699">
        <v>0</v>
      </c>
      <c r="CL699">
        <v>0</v>
      </c>
      <c r="CM699">
        <v>0</v>
      </c>
      <c r="CN699">
        <v>0</v>
      </c>
      <c r="CO699">
        <v>0</v>
      </c>
      <c r="CP699">
        <v>0</v>
      </c>
      <c r="CQ699">
        <v>621.70000000000005</v>
      </c>
      <c r="CR699">
        <v>481.70000000000005</v>
      </c>
      <c r="CS699">
        <v>0</v>
      </c>
      <c r="CT699">
        <v>524.6</v>
      </c>
      <c r="CU699">
        <v>514.1</v>
      </c>
      <c r="CV699">
        <v>175.2</v>
      </c>
      <c r="CW699">
        <v>0</v>
      </c>
      <c r="CX699">
        <v>65.099999999999994</v>
      </c>
      <c r="CY699">
        <v>199</v>
      </c>
      <c r="CZ699">
        <v>1907.9</v>
      </c>
      <c r="DA699">
        <v>0</v>
      </c>
      <c r="DB699">
        <v>0</v>
      </c>
      <c r="DC699">
        <v>0</v>
      </c>
      <c r="DD699">
        <v>0</v>
      </c>
      <c r="DE699">
        <v>0</v>
      </c>
      <c r="DF699">
        <v>0</v>
      </c>
      <c r="DG699">
        <v>0</v>
      </c>
      <c r="DH699">
        <v>0</v>
      </c>
      <c r="DI699">
        <v>0</v>
      </c>
      <c r="DJ699">
        <v>0</v>
      </c>
      <c r="DK699">
        <v>0</v>
      </c>
      <c r="DL699">
        <v>0</v>
      </c>
      <c r="DM699">
        <v>1065.4000000000001</v>
      </c>
      <c r="DN699">
        <v>599.70000000000005</v>
      </c>
      <c r="DO699">
        <v>319.7</v>
      </c>
      <c r="DP699">
        <v>1570.6999999999998</v>
      </c>
      <c r="DQ699">
        <v>1399.5</v>
      </c>
      <c r="DR699">
        <v>3581</v>
      </c>
      <c r="DU699">
        <v>1393.2</v>
      </c>
      <c r="DV699">
        <v>2862.6</v>
      </c>
      <c r="DY699">
        <v>2361</v>
      </c>
      <c r="EA699">
        <v>2409.6</v>
      </c>
      <c r="EC699">
        <v>1661.3999999999999</v>
      </c>
      <c r="EE699">
        <v>0</v>
      </c>
      <c r="EF699">
        <v>0</v>
      </c>
      <c r="EG699">
        <v>0</v>
      </c>
      <c r="EH699">
        <v>0</v>
      </c>
      <c r="EI699">
        <v>0</v>
      </c>
      <c r="EJ699">
        <v>0</v>
      </c>
      <c r="EK699">
        <v>0</v>
      </c>
      <c r="EL699">
        <v>0</v>
      </c>
      <c r="EM699">
        <v>0</v>
      </c>
      <c r="EN699">
        <v>0</v>
      </c>
      <c r="EO699">
        <v>0</v>
      </c>
      <c r="EP699">
        <v>944.5</v>
      </c>
      <c r="EQ699">
        <v>3459.7</v>
      </c>
      <c r="ER699">
        <v>1353.5</v>
      </c>
      <c r="ES699">
        <v>182.2</v>
      </c>
      <c r="ET699">
        <v>855.59999999999991</v>
      </c>
      <c r="EU699">
        <v>172.2</v>
      </c>
      <c r="EV699">
        <v>203.2</v>
      </c>
      <c r="EW699">
        <v>1173.0999999999999</v>
      </c>
      <c r="EX699">
        <v>1078.3</v>
      </c>
      <c r="EY699">
        <v>1194.4000000000001</v>
      </c>
      <c r="EZ699">
        <v>1207.0999999999999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0</v>
      </c>
      <c r="FH699">
        <v>0</v>
      </c>
      <c r="FI699">
        <v>0</v>
      </c>
      <c r="FJ699">
        <v>0</v>
      </c>
      <c r="FK699">
        <v>0</v>
      </c>
      <c r="FL699">
        <v>0</v>
      </c>
      <c r="FM699">
        <v>0</v>
      </c>
      <c r="FN699">
        <v>0</v>
      </c>
      <c r="FO699">
        <v>0</v>
      </c>
      <c r="FP699">
        <v>0</v>
      </c>
      <c r="FQ699">
        <v>0</v>
      </c>
      <c r="FR699">
        <v>0</v>
      </c>
      <c r="FS699">
        <v>0</v>
      </c>
      <c r="FT699">
        <v>0</v>
      </c>
      <c r="FU699">
        <v>0</v>
      </c>
      <c r="FV699">
        <v>0</v>
      </c>
      <c r="FW699">
        <v>0</v>
      </c>
      <c r="FX699">
        <v>0</v>
      </c>
      <c r="FY699">
        <v>0</v>
      </c>
      <c r="FZ699">
        <v>0</v>
      </c>
      <c r="GA699">
        <v>0</v>
      </c>
      <c r="GB699">
        <v>0</v>
      </c>
      <c r="GC699">
        <v>0</v>
      </c>
      <c r="GD699">
        <v>0</v>
      </c>
      <c r="GE699">
        <v>0</v>
      </c>
      <c r="GF699">
        <v>0</v>
      </c>
      <c r="GG699">
        <v>0</v>
      </c>
      <c r="GH699">
        <v>0</v>
      </c>
      <c r="GI699">
        <v>0</v>
      </c>
      <c r="GJ699">
        <v>0</v>
      </c>
      <c r="GK699">
        <v>0</v>
      </c>
      <c r="GL699">
        <v>0</v>
      </c>
      <c r="GO699">
        <v>0</v>
      </c>
      <c r="GP699">
        <v>0</v>
      </c>
      <c r="GQ699">
        <v>0</v>
      </c>
      <c r="GR699">
        <v>0</v>
      </c>
      <c r="GS699">
        <v>0</v>
      </c>
      <c r="GT699">
        <v>0</v>
      </c>
      <c r="GU699">
        <v>0</v>
      </c>
      <c r="GV699">
        <v>0</v>
      </c>
      <c r="GW699">
        <v>0</v>
      </c>
      <c r="GX699">
        <v>0</v>
      </c>
      <c r="GY699">
        <v>0</v>
      </c>
      <c r="GZ699">
        <v>0</v>
      </c>
      <c r="HA699">
        <v>0</v>
      </c>
      <c r="HB699">
        <v>0</v>
      </c>
      <c r="HC699">
        <v>0</v>
      </c>
      <c r="HD699">
        <v>0</v>
      </c>
      <c r="HE699">
        <v>0</v>
      </c>
      <c r="HF699">
        <v>0</v>
      </c>
      <c r="HG699">
        <v>0</v>
      </c>
      <c r="HH699">
        <v>0</v>
      </c>
      <c r="HI699">
        <v>0</v>
      </c>
      <c r="HJ699">
        <v>0</v>
      </c>
      <c r="HK699">
        <v>0</v>
      </c>
      <c r="HL699">
        <v>0</v>
      </c>
      <c r="HM699">
        <v>0</v>
      </c>
      <c r="HN699">
        <v>0</v>
      </c>
      <c r="HO699">
        <v>0</v>
      </c>
      <c r="HP699">
        <v>0</v>
      </c>
      <c r="HQ699">
        <v>0</v>
      </c>
      <c r="HR699">
        <v>0</v>
      </c>
      <c r="HS699">
        <v>0</v>
      </c>
      <c r="HT699">
        <v>0</v>
      </c>
      <c r="HU699">
        <v>0</v>
      </c>
      <c r="HV699">
        <v>0</v>
      </c>
      <c r="HW699">
        <v>404.70000000000005</v>
      </c>
      <c r="HX699">
        <v>342.3</v>
      </c>
      <c r="HZ699">
        <v>866.2</v>
      </c>
      <c r="IA699">
        <v>1142.8</v>
      </c>
      <c r="IB699">
        <v>1121.5</v>
      </c>
      <c r="IC699">
        <v>2403</v>
      </c>
      <c r="ID699">
        <v>2659.3</v>
      </c>
      <c r="IE699">
        <v>1923.4</v>
      </c>
      <c r="IF699">
        <v>1465.7</v>
      </c>
      <c r="IG699">
        <v>1608.3</v>
      </c>
      <c r="IH699">
        <v>0</v>
      </c>
      <c r="II699">
        <v>0</v>
      </c>
      <c r="IJ699">
        <v>0</v>
      </c>
      <c r="IK699">
        <v>0</v>
      </c>
      <c r="IL699">
        <v>0</v>
      </c>
      <c r="IM699">
        <v>0</v>
      </c>
      <c r="IN699">
        <v>0</v>
      </c>
      <c r="IO699">
        <v>0</v>
      </c>
      <c r="IP699">
        <v>75.099999999999994</v>
      </c>
    </row>
    <row r="700" spans="1:250" ht="18" thickBot="1">
      <c r="A700" s="245"/>
      <c r="B700" s="245" t="s">
        <v>466</v>
      </c>
      <c r="C700" s="230" t="s">
        <v>1130</v>
      </c>
      <c r="D700" s="397"/>
      <c r="E700" s="454">
        <v>0</v>
      </c>
      <c r="F700">
        <v>0</v>
      </c>
      <c r="G700" s="427">
        <v>0</v>
      </c>
      <c r="H700" s="155">
        <v>0</v>
      </c>
      <c r="I700">
        <v>0</v>
      </c>
      <c r="J700">
        <v>0</v>
      </c>
      <c r="K700">
        <v>0</v>
      </c>
      <c r="L700" s="4">
        <v>0</v>
      </c>
      <c r="M700" s="4">
        <v>0</v>
      </c>
      <c r="N700" s="4">
        <v>0</v>
      </c>
      <c r="O700" s="4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R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G700">
        <v>0</v>
      </c>
      <c r="BI700">
        <v>0</v>
      </c>
      <c r="BK700">
        <v>0</v>
      </c>
      <c r="BL700">
        <v>0</v>
      </c>
      <c r="BM700">
        <v>0</v>
      </c>
      <c r="BN700">
        <v>0</v>
      </c>
      <c r="BO700">
        <v>344.70000000000005</v>
      </c>
      <c r="BP700">
        <v>625.70000000000005</v>
      </c>
      <c r="BQ700">
        <v>912.2</v>
      </c>
      <c r="BR700">
        <v>237.7</v>
      </c>
      <c r="BS700">
        <v>0</v>
      </c>
      <c r="BT700">
        <v>0</v>
      </c>
      <c r="BU700">
        <v>0</v>
      </c>
      <c r="BV700">
        <v>0</v>
      </c>
      <c r="BW700">
        <v>1647.4</v>
      </c>
      <c r="BY700">
        <v>453.1</v>
      </c>
      <c r="CA700">
        <v>285.39999999999998</v>
      </c>
      <c r="CB700">
        <v>280.8</v>
      </c>
      <c r="CC700">
        <v>127.7</v>
      </c>
      <c r="CD700">
        <v>0</v>
      </c>
      <c r="CE700">
        <v>0</v>
      </c>
      <c r="CF700">
        <v>0</v>
      </c>
      <c r="CG700">
        <v>0</v>
      </c>
      <c r="CI700">
        <v>0</v>
      </c>
      <c r="CJ700">
        <v>0</v>
      </c>
      <c r="CL700">
        <v>0</v>
      </c>
      <c r="CM700">
        <v>0</v>
      </c>
      <c r="CN700">
        <v>0</v>
      </c>
      <c r="CO700">
        <v>0</v>
      </c>
      <c r="CP700">
        <v>0</v>
      </c>
      <c r="CQ700">
        <v>621.70000000000005</v>
      </c>
      <c r="CR700">
        <v>481.70000000000005</v>
      </c>
      <c r="CS700">
        <v>0</v>
      </c>
      <c r="CT700">
        <v>524.6</v>
      </c>
      <c r="CU700">
        <v>514.1</v>
      </c>
      <c r="CV700">
        <v>175.2</v>
      </c>
      <c r="CW700">
        <v>0</v>
      </c>
      <c r="CX700">
        <v>65.099999999999994</v>
      </c>
      <c r="CY700">
        <v>199</v>
      </c>
      <c r="CZ700">
        <v>1907.9</v>
      </c>
      <c r="DA700">
        <v>0</v>
      </c>
      <c r="DB700">
        <v>0</v>
      </c>
      <c r="DC700">
        <v>0</v>
      </c>
      <c r="DD700">
        <v>0</v>
      </c>
      <c r="DE700">
        <v>0</v>
      </c>
      <c r="DF700">
        <v>0</v>
      </c>
      <c r="DG700">
        <v>0</v>
      </c>
      <c r="DH700">
        <v>0</v>
      </c>
      <c r="DI700">
        <v>0</v>
      </c>
      <c r="DJ700">
        <v>0</v>
      </c>
      <c r="DK700">
        <v>0</v>
      </c>
      <c r="DL700">
        <v>0</v>
      </c>
      <c r="DM700">
        <v>1065.4000000000001</v>
      </c>
      <c r="DN700">
        <v>599.70000000000005</v>
      </c>
      <c r="DO700">
        <v>319.7</v>
      </c>
      <c r="DP700">
        <v>1570.6999999999998</v>
      </c>
      <c r="DQ700">
        <v>1399.5</v>
      </c>
      <c r="DR700">
        <v>3581</v>
      </c>
      <c r="DU700">
        <v>1393.2</v>
      </c>
      <c r="DV700">
        <v>2862.6</v>
      </c>
      <c r="DY700">
        <v>2361</v>
      </c>
      <c r="EA700">
        <v>2409.6</v>
      </c>
      <c r="EC700">
        <v>1661.3999999999999</v>
      </c>
      <c r="EE700">
        <v>0</v>
      </c>
      <c r="EF700">
        <v>0</v>
      </c>
      <c r="EG700">
        <v>0</v>
      </c>
      <c r="EH700">
        <v>0</v>
      </c>
      <c r="EI700">
        <v>0</v>
      </c>
      <c r="EJ700">
        <v>0</v>
      </c>
      <c r="EK700">
        <v>0</v>
      </c>
      <c r="EL700">
        <v>0</v>
      </c>
      <c r="EM700">
        <v>0</v>
      </c>
      <c r="EN700">
        <v>0</v>
      </c>
      <c r="EO700">
        <v>0</v>
      </c>
      <c r="EP700">
        <v>944.5</v>
      </c>
      <c r="EQ700">
        <v>3459.7</v>
      </c>
      <c r="ER700">
        <v>1353.5</v>
      </c>
      <c r="ES700">
        <v>182.2</v>
      </c>
      <c r="ET700">
        <v>855.59999999999991</v>
      </c>
      <c r="EU700">
        <v>172.2</v>
      </c>
      <c r="EV700">
        <v>203.2</v>
      </c>
      <c r="EW700">
        <v>1173.0999999999999</v>
      </c>
      <c r="EX700">
        <v>1078.3</v>
      </c>
      <c r="EY700">
        <v>1194.4000000000001</v>
      </c>
      <c r="EZ700">
        <v>1207.0999999999999</v>
      </c>
      <c r="FA700">
        <v>0</v>
      </c>
      <c r="FB700">
        <v>0</v>
      </c>
      <c r="FC700">
        <v>0</v>
      </c>
      <c r="FD700">
        <v>0</v>
      </c>
      <c r="FE700">
        <v>0</v>
      </c>
      <c r="FF700">
        <v>0</v>
      </c>
      <c r="FG700">
        <v>0</v>
      </c>
      <c r="FH700">
        <v>0</v>
      </c>
      <c r="FI700">
        <v>0</v>
      </c>
      <c r="FJ700">
        <v>0</v>
      </c>
      <c r="FK700">
        <v>0</v>
      </c>
      <c r="FL700">
        <v>0</v>
      </c>
      <c r="FM700">
        <v>0</v>
      </c>
      <c r="FN700">
        <v>0</v>
      </c>
      <c r="FO700">
        <v>0</v>
      </c>
      <c r="FP700">
        <v>0</v>
      </c>
      <c r="FQ700">
        <v>0</v>
      </c>
      <c r="FR700">
        <v>0</v>
      </c>
      <c r="FS700">
        <v>0</v>
      </c>
      <c r="FT700">
        <v>0</v>
      </c>
      <c r="FU700">
        <v>0</v>
      </c>
      <c r="FV700">
        <v>0</v>
      </c>
      <c r="FW700">
        <v>0</v>
      </c>
      <c r="FX700">
        <v>0</v>
      </c>
      <c r="FY700">
        <v>0</v>
      </c>
      <c r="FZ700">
        <v>0</v>
      </c>
      <c r="GA700">
        <v>0</v>
      </c>
      <c r="GB700">
        <v>0</v>
      </c>
      <c r="GC700">
        <v>0</v>
      </c>
      <c r="GD700">
        <v>0</v>
      </c>
      <c r="GE700">
        <v>0</v>
      </c>
      <c r="GF700">
        <v>0</v>
      </c>
      <c r="GG700">
        <v>0</v>
      </c>
      <c r="GH700">
        <v>0</v>
      </c>
      <c r="GI700">
        <v>0</v>
      </c>
      <c r="GJ700">
        <v>0</v>
      </c>
      <c r="GK700">
        <v>0</v>
      </c>
      <c r="GL700">
        <v>0</v>
      </c>
      <c r="GO700">
        <v>0</v>
      </c>
      <c r="GP700">
        <v>0</v>
      </c>
      <c r="GQ700">
        <v>0</v>
      </c>
      <c r="GR700">
        <v>0</v>
      </c>
      <c r="GS700">
        <v>0</v>
      </c>
      <c r="GT700">
        <v>0</v>
      </c>
      <c r="GU700">
        <v>0</v>
      </c>
      <c r="GV700">
        <v>0</v>
      </c>
      <c r="GW700">
        <v>0</v>
      </c>
      <c r="GX700">
        <v>0</v>
      </c>
      <c r="GY700">
        <v>0</v>
      </c>
      <c r="GZ700">
        <v>0</v>
      </c>
      <c r="HA700">
        <v>0</v>
      </c>
      <c r="HB700">
        <v>0</v>
      </c>
      <c r="HC700">
        <v>0</v>
      </c>
      <c r="HD700">
        <v>0</v>
      </c>
      <c r="HE700">
        <v>0</v>
      </c>
      <c r="HF700">
        <v>0</v>
      </c>
      <c r="HG700">
        <v>0</v>
      </c>
      <c r="HH700">
        <v>0</v>
      </c>
      <c r="HI700">
        <v>0</v>
      </c>
      <c r="HJ700">
        <v>0</v>
      </c>
      <c r="HK700">
        <v>0</v>
      </c>
      <c r="HL700">
        <v>0</v>
      </c>
      <c r="HM700">
        <v>0</v>
      </c>
      <c r="HN700">
        <v>0</v>
      </c>
      <c r="HO700">
        <v>0</v>
      </c>
      <c r="HP700">
        <v>0</v>
      </c>
      <c r="HQ700">
        <v>0</v>
      </c>
      <c r="HR700">
        <v>0</v>
      </c>
      <c r="HS700">
        <v>0</v>
      </c>
      <c r="HT700">
        <v>0</v>
      </c>
      <c r="HU700">
        <v>0</v>
      </c>
      <c r="HV700">
        <v>0</v>
      </c>
      <c r="HW700">
        <v>404.70000000000005</v>
      </c>
      <c r="HX700">
        <v>342.3</v>
      </c>
      <c r="HZ700">
        <v>866.2</v>
      </c>
      <c r="IA700">
        <v>1142.8</v>
      </c>
      <c r="IB700">
        <v>1121.5</v>
      </c>
      <c r="IC700">
        <v>2403</v>
      </c>
      <c r="ID700">
        <v>2659.3</v>
      </c>
      <c r="IE700">
        <v>1923.4</v>
      </c>
      <c r="IF700">
        <v>1465.7</v>
      </c>
      <c r="IG700">
        <v>1608.3</v>
      </c>
      <c r="IH700">
        <v>0</v>
      </c>
      <c r="II700">
        <v>0</v>
      </c>
      <c r="IJ700">
        <v>0</v>
      </c>
      <c r="IK700">
        <v>0</v>
      </c>
      <c r="IL700">
        <v>0</v>
      </c>
      <c r="IM700">
        <v>0</v>
      </c>
      <c r="IN700">
        <v>0</v>
      </c>
      <c r="IO700">
        <v>0</v>
      </c>
      <c r="IP700">
        <v>75.099999999999994</v>
      </c>
    </row>
    <row r="701" spans="1:250" ht="18" thickBot="1">
      <c r="A701" s="245"/>
      <c r="B701" s="245" t="s">
        <v>467</v>
      </c>
      <c r="C701" s="230" t="s">
        <v>1131</v>
      </c>
      <c r="D701" s="397"/>
      <c r="E701" s="454">
        <v>0</v>
      </c>
      <c r="F701">
        <v>0</v>
      </c>
      <c r="G701" s="427">
        <v>0</v>
      </c>
      <c r="H701" s="155">
        <v>0</v>
      </c>
      <c r="I701">
        <v>0</v>
      </c>
      <c r="J701">
        <v>0</v>
      </c>
      <c r="K701">
        <v>0</v>
      </c>
      <c r="L701" s="4">
        <v>0</v>
      </c>
      <c r="M701" s="4">
        <v>0</v>
      </c>
      <c r="N701" s="4">
        <v>0</v>
      </c>
      <c r="O701" s="4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R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G701">
        <v>0</v>
      </c>
      <c r="BI701">
        <v>0</v>
      </c>
      <c r="BK701">
        <v>0</v>
      </c>
      <c r="BL701">
        <v>0</v>
      </c>
      <c r="BM701">
        <v>0</v>
      </c>
      <c r="BN701">
        <v>0</v>
      </c>
      <c r="BO701">
        <v>344.70000000000005</v>
      </c>
      <c r="BP701">
        <v>625.70000000000005</v>
      </c>
      <c r="BQ701">
        <v>912.2</v>
      </c>
      <c r="BR701">
        <v>237.7</v>
      </c>
      <c r="BS701">
        <v>0</v>
      </c>
      <c r="BT701">
        <v>0</v>
      </c>
      <c r="BU701">
        <v>0</v>
      </c>
      <c r="BV701">
        <v>0</v>
      </c>
      <c r="BW701">
        <v>1647.4</v>
      </c>
      <c r="BY701">
        <v>453.1</v>
      </c>
      <c r="CA701">
        <v>285.39999999999998</v>
      </c>
      <c r="CB701">
        <v>280.8</v>
      </c>
      <c r="CC701">
        <v>127.7</v>
      </c>
      <c r="CD701">
        <v>0</v>
      </c>
      <c r="CE701">
        <v>0</v>
      </c>
      <c r="CF701">
        <v>0</v>
      </c>
      <c r="CG701">
        <v>0</v>
      </c>
      <c r="CI701">
        <v>0</v>
      </c>
      <c r="CJ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621.70000000000005</v>
      </c>
      <c r="CR701">
        <v>481.70000000000005</v>
      </c>
      <c r="CS701">
        <v>0</v>
      </c>
      <c r="CT701">
        <v>524.6</v>
      </c>
      <c r="CU701">
        <v>514.1</v>
      </c>
      <c r="CV701">
        <v>175.2</v>
      </c>
      <c r="CW701">
        <v>0</v>
      </c>
      <c r="CX701">
        <v>65.099999999999994</v>
      </c>
      <c r="CY701">
        <v>199</v>
      </c>
      <c r="CZ701">
        <v>1907.9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1065.4000000000001</v>
      </c>
      <c r="DN701">
        <v>599.70000000000005</v>
      </c>
      <c r="DO701">
        <v>319.7</v>
      </c>
      <c r="DP701">
        <v>1570.6999999999998</v>
      </c>
      <c r="DQ701">
        <v>1399.5</v>
      </c>
      <c r="DR701">
        <v>3581</v>
      </c>
      <c r="DU701">
        <v>1393.2</v>
      </c>
      <c r="DV701">
        <v>2862.6</v>
      </c>
      <c r="DY701">
        <v>2361</v>
      </c>
      <c r="EA701">
        <v>2409.6</v>
      </c>
      <c r="EC701">
        <v>1661.3999999999999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944.5</v>
      </c>
      <c r="EQ701">
        <v>3459.7</v>
      </c>
      <c r="ER701">
        <v>1353.5</v>
      </c>
      <c r="ES701">
        <v>182.2</v>
      </c>
      <c r="ET701">
        <v>855.59999999999991</v>
      </c>
      <c r="EU701">
        <v>172.2</v>
      </c>
      <c r="EV701">
        <v>203.2</v>
      </c>
      <c r="EW701">
        <v>1173.0999999999999</v>
      </c>
      <c r="EX701">
        <v>1078.3</v>
      </c>
      <c r="EY701">
        <v>1194.4000000000001</v>
      </c>
      <c r="EZ701">
        <v>1207.0999999999999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0</v>
      </c>
      <c r="FG701">
        <v>0</v>
      </c>
      <c r="FH701">
        <v>0</v>
      </c>
      <c r="FI701">
        <v>0</v>
      </c>
      <c r="FJ701">
        <v>0</v>
      </c>
      <c r="FK701">
        <v>0</v>
      </c>
      <c r="FL701">
        <v>0</v>
      </c>
      <c r="FM701">
        <v>0</v>
      </c>
      <c r="FN701">
        <v>0</v>
      </c>
      <c r="FO701">
        <v>0</v>
      </c>
      <c r="FP701">
        <v>0</v>
      </c>
      <c r="FQ701">
        <v>0</v>
      </c>
      <c r="FR701">
        <v>0</v>
      </c>
      <c r="FS701">
        <v>0</v>
      </c>
      <c r="FT701">
        <v>0</v>
      </c>
      <c r="FU701">
        <v>0</v>
      </c>
      <c r="FV701">
        <v>0</v>
      </c>
      <c r="FW701">
        <v>0</v>
      </c>
      <c r="FX701">
        <v>0</v>
      </c>
      <c r="FY701">
        <v>0</v>
      </c>
      <c r="FZ701">
        <v>0</v>
      </c>
      <c r="GA701">
        <v>0</v>
      </c>
      <c r="GB701">
        <v>0</v>
      </c>
      <c r="GC701">
        <v>0</v>
      </c>
      <c r="GD701">
        <v>0</v>
      </c>
      <c r="GE701">
        <v>0</v>
      </c>
      <c r="GF701">
        <v>0</v>
      </c>
      <c r="GG701">
        <v>0</v>
      </c>
      <c r="GH701">
        <v>0</v>
      </c>
      <c r="GI701">
        <v>0</v>
      </c>
      <c r="GJ701">
        <v>0</v>
      </c>
      <c r="GK701">
        <v>0</v>
      </c>
      <c r="GL701">
        <v>0</v>
      </c>
      <c r="GO701">
        <v>0</v>
      </c>
      <c r="GP701">
        <v>0</v>
      </c>
      <c r="GQ701">
        <v>0</v>
      </c>
      <c r="GR701">
        <v>0</v>
      </c>
      <c r="GS701">
        <v>0</v>
      </c>
      <c r="GT701">
        <v>0</v>
      </c>
      <c r="GU701">
        <v>0</v>
      </c>
      <c r="GV701">
        <v>0</v>
      </c>
      <c r="GW701">
        <v>0</v>
      </c>
      <c r="GX701">
        <v>0</v>
      </c>
      <c r="GY701">
        <v>0</v>
      </c>
      <c r="GZ701">
        <v>0</v>
      </c>
      <c r="HA701">
        <v>0</v>
      </c>
      <c r="HB701">
        <v>0</v>
      </c>
      <c r="HC701">
        <v>0</v>
      </c>
      <c r="HD701">
        <v>0</v>
      </c>
      <c r="HE701">
        <v>0</v>
      </c>
      <c r="HF701">
        <v>0</v>
      </c>
      <c r="HG701">
        <v>0</v>
      </c>
      <c r="HH701">
        <v>0</v>
      </c>
      <c r="HI701">
        <v>0</v>
      </c>
      <c r="HJ701">
        <v>0</v>
      </c>
      <c r="HK701">
        <v>0</v>
      </c>
      <c r="HL701">
        <v>0</v>
      </c>
      <c r="HM701">
        <v>0</v>
      </c>
      <c r="HN701">
        <v>0</v>
      </c>
      <c r="HO701">
        <v>0</v>
      </c>
      <c r="HP701">
        <v>0</v>
      </c>
      <c r="HQ701">
        <v>0</v>
      </c>
      <c r="HR701">
        <v>0</v>
      </c>
      <c r="HS701">
        <v>0</v>
      </c>
      <c r="HT701">
        <v>0</v>
      </c>
      <c r="HU701">
        <v>0</v>
      </c>
      <c r="HV701">
        <v>0</v>
      </c>
      <c r="HW701">
        <v>404.70000000000005</v>
      </c>
      <c r="HX701">
        <v>342.3</v>
      </c>
      <c r="HZ701">
        <v>866.2</v>
      </c>
      <c r="IA701">
        <v>1142.8</v>
      </c>
      <c r="IB701">
        <v>1121.5</v>
      </c>
      <c r="IC701">
        <v>2403</v>
      </c>
      <c r="ID701">
        <v>2659.3</v>
      </c>
      <c r="IE701">
        <v>1923.4</v>
      </c>
      <c r="IF701">
        <v>1465.7</v>
      </c>
      <c r="IG701">
        <v>1608.3</v>
      </c>
      <c r="IH701">
        <v>0</v>
      </c>
      <c r="II701">
        <v>0</v>
      </c>
      <c r="IJ701">
        <v>0</v>
      </c>
      <c r="IK701">
        <v>0</v>
      </c>
      <c r="IL701">
        <v>0</v>
      </c>
      <c r="IM701">
        <v>0</v>
      </c>
      <c r="IN701">
        <v>0</v>
      </c>
      <c r="IO701">
        <v>0</v>
      </c>
      <c r="IP701">
        <v>75.099999999999994</v>
      </c>
    </row>
    <row r="702" spans="1:250" ht="18" thickBot="1">
      <c r="A702" s="245"/>
      <c r="B702" s="245" t="s">
        <v>468</v>
      </c>
      <c r="C702" s="230" t="s">
        <v>1132</v>
      </c>
      <c r="D702" s="397"/>
      <c r="E702" s="454">
        <v>0</v>
      </c>
      <c r="F702">
        <v>0</v>
      </c>
      <c r="G702" s="427">
        <v>0</v>
      </c>
      <c r="H702" s="155">
        <v>0</v>
      </c>
      <c r="I702">
        <v>0</v>
      </c>
      <c r="J702">
        <v>0</v>
      </c>
      <c r="K702">
        <v>0</v>
      </c>
      <c r="L702" s="4">
        <v>0</v>
      </c>
      <c r="M702" s="4">
        <v>0</v>
      </c>
      <c r="N702" s="4">
        <v>0</v>
      </c>
      <c r="O702" s="4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R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G702">
        <v>0</v>
      </c>
      <c r="BI702">
        <v>0</v>
      </c>
      <c r="BK702">
        <v>0</v>
      </c>
      <c r="BL702">
        <v>0</v>
      </c>
      <c r="BM702">
        <v>0</v>
      </c>
      <c r="BN702">
        <v>0</v>
      </c>
      <c r="BO702">
        <v>344.70000000000005</v>
      </c>
      <c r="BP702">
        <v>625.70000000000005</v>
      </c>
      <c r="BQ702">
        <v>912.2</v>
      </c>
      <c r="BR702">
        <v>237.7</v>
      </c>
      <c r="BS702">
        <v>0</v>
      </c>
      <c r="BT702">
        <v>0</v>
      </c>
      <c r="BU702">
        <v>0</v>
      </c>
      <c r="BV702">
        <v>0</v>
      </c>
      <c r="BW702">
        <v>1647.4</v>
      </c>
      <c r="BY702">
        <v>453.1</v>
      </c>
      <c r="CA702">
        <v>285.39999999999998</v>
      </c>
      <c r="CB702">
        <v>280.8</v>
      </c>
      <c r="CC702">
        <v>127.7</v>
      </c>
      <c r="CD702">
        <v>0</v>
      </c>
      <c r="CE702">
        <v>0</v>
      </c>
      <c r="CF702">
        <v>0</v>
      </c>
      <c r="CG702">
        <v>0</v>
      </c>
      <c r="CI702">
        <v>0</v>
      </c>
      <c r="CJ702">
        <v>0</v>
      </c>
      <c r="CL702">
        <v>0</v>
      </c>
      <c r="CM702">
        <v>0</v>
      </c>
      <c r="CN702">
        <v>0</v>
      </c>
      <c r="CO702">
        <v>0</v>
      </c>
      <c r="CP702">
        <v>0</v>
      </c>
      <c r="CQ702">
        <v>621.70000000000005</v>
      </c>
      <c r="CR702">
        <v>481.70000000000005</v>
      </c>
      <c r="CS702">
        <v>0</v>
      </c>
      <c r="CT702">
        <v>524.6</v>
      </c>
      <c r="CU702">
        <v>514.1</v>
      </c>
      <c r="CV702">
        <v>175.2</v>
      </c>
      <c r="CW702">
        <v>0</v>
      </c>
      <c r="CX702">
        <v>65.099999999999994</v>
      </c>
      <c r="CY702">
        <v>199</v>
      </c>
      <c r="CZ702">
        <v>1907.9</v>
      </c>
      <c r="DA702">
        <v>0</v>
      </c>
      <c r="DB702">
        <v>0</v>
      </c>
      <c r="DC702">
        <v>0</v>
      </c>
      <c r="DD702">
        <v>0</v>
      </c>
      <c r="DE702">
        <v>0</v>
      </c>
      <c r="DF702">
        <v>0</v>
      </c>
      <c r="DG702">
        <v>0</v>
      </c>
      <c r="DH702">
        <v>0</v>
      </c>
      <c r="DI702">
        <v>0</v>
      </c>
      <c r="DJ702">
        <v>0</v>
      </c>
      <c r="DK702">
        <v>0</v>
      </c>
      <c r="DL702">
        <v>0</v>
      </c>
      <c r="DM702">
        <v>1065.4000000000001</v>
      </c>
      <c r="DN702">
        <v>599.70000000000005</v>
      </c>
      <c r="DO702">
        <v>319.7</v>
      </c>
      <c r="DP702">
        <v>1570.6999999999998</v>
      </c>
      <c r="DQ702">
        <v>1399.5</v>
      </c>
      <c r="DR702">
        <v>3581</v>
      </c>
      <c r="DU702">
        <v>1393.2</v>
      </c>
      <c r="DV702">
        <v>2862.6</v>
      </c>
      <c r="DY702">
        <v>2361</v>
      </c>
      <c r="EA702">
        <v>2409.6</v>
      </c>
      <c r="EC702">
        <v>1661.3999999999999</v>
      </c>
      <c r="EE702">
        <v>0</v>
      </c>
      <c r="EF702">
        <v>0</v>
      </c>
      <c r="EG702">
        <v>0</v>
      </c>
      <c r="EH702">
        <v>0</v>
      </c>
      <c r="EI702">
        <v>0</v>
      </c>
      <c r="EJ702">
        <v>0</v>
      </c>
      <c r="EK702">
        <v>0</v>
      </c>
      <c r="EL702">
        <v>0</v>
      </c>
      <c r="EM702">
        <v>0</v>
      </c>
      <c r="EN702">
        <v>0</v>
      </c>
      <c r="EO702">
        <v>0</v>
      </c>
      <c r="EP702">
        <v>944.5</v>
      </c>
      <c r="EQ702">
        <v>3459.7</v>
      </c>
      <c r="ER702">
        <v>1353.5</v>
      </c>
      <c r="ES702">
        <v>182.2</v>
      </c>
      <c r="ET702">
        <v>855.59999999999991</v>
      </c>
      <c r="EU702">
        <v>172.2</v>
      </c>
      <c r="EV702">
        <v>203.2</v>
      </c>
      <c r="EW702">
        <v>1173.0999999999999</v>
      </c>
      <c r="EX702">
        <v>1078.3</v>
      </c>
      <c r="EY702">
        <v>1194.4000000000001</v>
      </c>
      <c r="EZ702">
        <v>1207.0999999999999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0</v>
      </c>
      <c r="FH702">
        <v>0</v>
      </c>
      <c r="FI702">
        <v>0</v>
      </c>
      <c r="FJ702">
        <v>0</v>
      </c>
      <c r="FK702">
        <v>0</v>
      </c>
      <c r="FL702">
        <v>0</v>
      </c>
      <c r="FM702">
        <v>0</v>
      </c>
      <c r="FN702">
        <v>0</v>
      </c>
      <c r="FO702">
        <v>0</v>
      </c>
      <c r="FP702">
        <v>0</v>
      </c>
      <c r="FQ702">
        <v>0</v>
      </c>
      <c r="FR702">
        <v>0</v>
      </c>
      <c r="FS702">
        <v>0</v>
      </c>
      <c r="FT702">
        <v>0</v>
      </c>
      <c r="FU702">
        <v>0</v>
      </c>
      <c r="FV702">
        <v>0</v>
      </c>
      <c r="FW702">
        <v>0</v>
      </c>
      <c r="FX702">
        <v>0</v>
      </c>
      <c r="FY702">
        <v>0</v>
      </c>
      <c r="FZ702">
        <v>0</v>
      </c>
      <c r="GA702">
        <v>0</v>
      </c>
      <c r="GB702">
        <v>0</v>
      </c>
      <c r="GC702">
        <v>0</v>
      </c>
      <c r="GD702">
        <v>0</v>
      </c>
      <c r="GE702">
        <v>0</v>
      </c>
      <c r="GF702">
        <v>0</v>
      </c>
      <c r="GG702">
        <v>0</v>
      </c>
      <c r="GH702">
        <v>0</v>
      </c>
      <c r="GI702">
        <v>0</v>
      </c>
      <c r="GJ702">
        <v>0</v>
      </c>
      <c r="GK702">
        <v>0</v>
      </c>
      <c r="GL702">
        <v>0</v>
      </c>
      <c r="GO702">
        <v>0</v>
      </c>
      <c r="GP702">
        <v>0</v>
      </c>
      <c r="GQ702">
        <v>0</v>
      </c>
      <c r="GR702">
        <v>0</v>
      </c>
      <c r="GS702">
        <v>0</v>
      </c>
      <c r="GT702">
        <v>0</v>
      </c>
      <c r="GU702">
        <v>0</v>
      </c>
      <c r="GV702">
        <v>0</v>
      </c>
      <c r="GW702">
        <v>0</v>
      </c>
      <c r="GX702">
        <v>0</v>
      </c>
      <c r="GY702">
        <v>0</v>
      </c>
      <c r="GZ702">
        <v>0</v>
      </c>
      <c r="HA702">
        <v>0</v>
      </c>
      <c r="HB702">
        <v>0</v>
      </c>
      <c r="HC702">
        <v>0</v>
      </c>
      <c r="HD702">
        <v>0</v>
      </c>
      <c r="HE702">
        <v>0</v>
      </c>
      <c r="HF702">
        <v>0</v>
      </c>
      <c r="HG702">
        <v>0</v>
      </c>
      <c r="HH702">
        <v>0</v>
      </c>
      <c r="HI702">
        <v>0</v>
      </c>
      <c r="HJ702">
        <v>0</v>
      </c>
      <c r="HK702">
        <v>0</v>
      </c>
      <c r="HL702">
        <v>0</v>
      </c>
      <c r="HM702">
        <v>0</v>
      </c>
      <c r="HN702">
        <v>0</v>
      </c>
      <c r="HO702">
        <v>0</v>
      </c>
      <c r="HP702">
        <v>0</v>
      </c>
      <c r="HQ702">
        <v>0</v>
      </c>
      <c r="HR702">
        <v>0</v>
      </c>
      <c r="HS702">
        <v>0</v>
      </c>
      <c r="HT702">
        <v>0</v>
      </c>
      <c r="HU702">
        <v>0</v>
      </c>
      <c r="HV702">
        <v>0</v>
      </c>
      <c r="HW702">
        <v>404.70000000000005</v>
      </c>
      <c r="HX702">
        <v>342.3</v>
      </c>
      <c r="HZ702">
        <v>866.2</v>
      </c>
      <c r="IA702">
        <v>1142.8</v>
      </c>
      <c r="IB702">
        <v>1121.5</v>
      </c>
      <c r="IC702">
        <v>2403</v>
      </c>
      <c r="ID702">
        <v>2659.3</v>
      </c>
      <c r="IE702">
        <v>1923.4</v>
      </c>
      <c r="IF702">
        <v>1465.7</v>
      </c>
      <c r="IG702">
        <v>1608.3</v>
      </c>
      <c r="IH702">
        <v>0</v>
      </c>
      <c r="II702">
        <v>0</v>
      </c>
      <c r="IJ702">
        <v>0</v>
      </c>
      <c r="IK702">
        <v>0</v>
      </c>
      <c r="IL702">
        <v>0</v>
      </c>
      <c r="IM702">
        <v>0</v>
      </c>
      <c r="IN702">
        <v>0</v>
      </c>
      <c r="IO702">
        <v>0</v>
      </c>
      <c r="IP702">
        <v>75.099999999999994</v>
      </c>
    </row>
    <row r="703" spans="1:250" ht="18" thickBot="1">
      <c r="A703" s="245"/>
      <c r="B703" s="245" t="s">
        <v>469</v>
      </c>
      <c r="C703" s="230" t="s">
        <v>1133</v>
      </c>
      <c r="D703" s="397"/>
      <c r="E703" s="454">
        <v>0</v>
      </c>
      <c r="F703">
        <v>0</v>
      </c>
      <c r="G703" s="427">
        <v>0</v>
      </c>
      <c r="H703" s="155">
        <v>0</v>
      </c>
      <c r="I703">
        <v>0</v>
      </c>
      <c r="J703">
        <v>0</v>
      </c>
      <c r="K703">
        <v>0</v>
      </c>
      <c r="L703" s="4">
        <v>0</v>
      </c>
      <c r="M703" s="4">
        <v>0</v>
      </c>
      <c r="N703" s="4">
        <v>0</v>
      </c>
      <c r="O703" s="4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R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G703">
        <v>0</v>
      </c>
      <c r="BI703">
        <v>0</v>
      </c>
      <c r="BK703">
        <v>0</v>
      </c>
      <c r="BL703">
        <v>0</v>
      </c>
      <c r="BM703">
        <v>0</v>
      </c>
      <c r="BN703">
        <v>0</v>
      </c>
      <c r="BO703">
        <v>344.70000000000005</v>
      </c>
      <c r="BP703">
        <v>625.70000000000005</v>
      </c>
      <c r="BQ703">
        <v>912.2</v>
      </c>
      <c r="BR703">
        <v>237.7</v>
      </c>
      <c r="BS703">
        <v>0</v>
      </c>
      <c r="BT703">
        <v>0</v>
      </c>
      <c r="BU703">
        <v>0</v>
      </c>
      <c r="BV703">
        <v>0</v>
      </c>
      <c r="BW703">
        <v>1647.4</v>
      </c>
      <c r="BY703">
        <v>453.1</v>
      </c>
      <c r="CA703">
        <v>285.39999999999998</v>
      </c>
      <c r="CB703">
        <v>280.8</v>
      </c>
      <c r="CC703">
        <v>127.7</v>
      </c>
      <c r="CD703">
        <v>0</v>
      </c>
      <c r="CE703">
        <v>0</v>
      </c>
      <c r="CF703">
        <v>0</v>
      </c>
      <c r="CG703">
        <v>0</v>
      </c>
      <c r="CI703">
        <v>0</v>
      </c>
      <c r="CJ703">
        <v>0</v>
      </c>
      <c r="CL703">
        <v>0</v>
      </c>
      <c r="CM703">
        <v>0</v>
      </c>
      <c r="CN703">
        <v>0</v>
      </c>
      <c r="CO703">
        <v>0</v>
      </c>
      <c r="CP703">
        <v>0</v>
      </c>
      <c r="CQ703">
        <v>621.70000000000005</v>
      </c>
      <c r="CR703">
        <v>481.70000000000005</v>
      </c>
      <c r="CS703">
        <v>0</v>
      </c>
      <c r="CT703">
        <v>524.6</v>
      </c>
      <c r="CU703">
        <v>514.1</v>
      </c>
      <c r="CV703">
        <v>175.2</v>
      </c>
      <c r="CW703">
        <v>0</v>
      </c>
      <c r="CX703">
        <v>65.099999999999994</v>
      </c>
      <c r="CY703">
        <v>199</v>
      </c>
      <c r="CZ703">
        <v>1907.9</v>
      </c>
      <c r="DA703">
        <v>0</v>
      </c>
      <c r="DB703">
        <v>0</v>
      </c>
      <c r="DC703">
        <v>0</v>
      </c>
      <c r="DD703">
        <v>0</v>
      </c>
      <c r="DE703">
        <v>0</v>
      </c>
      <c r="DF703">
        <v>0</v>
      </c>
      <c r="DG703">
        <v>0</v>
      </c>
      <c r="DH703">
        <v>0</v>
      </c>
      <c r="DI703">
        <v>0</v>
      </c>
      <c r="DJ703">
        <v>0</v>
      </c>
      <c r="DK703">
        <v>0</v>
      </c>
      <c r="DL703">
        <v>0</v>
      </c>
      <c r="DM703">
        <v>1065.4000000000001</v>
      </c>
      <c r="DN703">
        <v>599.70000000000005</v>
      </c>
      <c r="DO703">
        <v>319.7</v>
      </c>
      <c r="DP703">
        <v>1570.6999999999998</v>
      </c>
      <c r="DQ703">
        <v>1399.5</v>
      </c>
      <c r="DR703">
        <v>3581</v>
      </c>
      <c r="DU703">
        <v>1393.2</v>
      </c>
      <c r="DV703">
        <v>2862.6</v>
      </c>
      <c r="DY703">
        <v>2361</v>
      </c>
      <c r="EA703">
        <v>2409.6</v>
      </c>
      <c r="EC703">
        <v>1661.3999999999999</v>
      </c>
      <c r="EE703">
        <v>0</v>
      </c>
      <c r="EF703">
        <v>0</v>
      </c>
      <c r="EG703">
        <v>0</v>
      </c>
      <c r="EH703">
        <v>0</v>
      </c>
      <c r="EI703">
        <v>0</v>
      </c>
      <c r="EJ703">
        <v>0</v>
      </c>
      <c r="EK703">
        <v>0</v>
      </c>
      <c r="EL703">
        <v>0</v>
      </c>
      <c r="EM703">
        <v>0</v>
      </c>
      <c r="EN703">
        <v>0</v>
      </c>
      <c r="EO703">
        <v>0</v>
      </c>
      <c r="EP703">
        <v>944.5</v>
      </c>
      <c r="EQ703">
        <v>3459.7</v>
      </c>
      <c r="ER703">
        <v>1353.5</v>
      </c>
      <c r="ES703">
        <v>182.2</v>
      </c>
      <c r="ET703">
        <v>855.59999999999991</v>
      </c>
      <c r="EU703">
        <v>172.2</v>
      </c>
      <c r="EV703">
        <v>203.2</v>
      </c>
      <c r="EW703">
        <v>1173.0999999999999</v>
      </c>
      <c r="EX703">
        <v>1078.3</v>
      </c>
      <c r="EY703">
        <v>1194.4000000000001</v>
      </c>
      <c r="EZ703">
        <v>1207.0999999999999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0</v>
      </c>
      <c r="FH703">
        <v>0</v>
      </c>
      <c r="FI703">
        <v>0</v>
      </c>
      <c r="FJ703">
        <v>0</v>
      </c>
      <c r="FK703">
        <v>0</v>
      </c>
      <c r="FL703">
        <v>0</v>
      </c>
      <c r="FM703">
        <v>0</v>
      </c>
      <c r="FN703">
        <v>0</v>
      </c>
      <c r="FO703">
        <v>0</v>
      </c>
      <c r="FP703">
        <v>0</v>
      </c>
      <c r="FQ703">
        <v>0</v>
      </c>
      <c r="FR703">
        <v>0</v>
      </c>
      <c r="FS703">
        <v>0</v>
      </c>
      <c r="FT703">
        <v>0</v>
      </c>
      <c r="FU703">
        <v>0</v>
      </c>
      <c r="FV703">
        <v>0</v>
      </c>
      <c r="FW703">
        <v>0</v>
      </c>
      <c r="FX703">
        <v>0</v>
      </c>
      <c r="FY703">
        <v>0</v>
      </c>
      <c r="FZ703">
        <v>0</v>
      </c>
      <c r="GA703">
        <v>0</v>
      </c>
      <c r="GB703">
        <v>0</v>
      </c>
      <c r="GC703">
        <v>0</v>
      </c>
      <c r="GD703">
        <v>0</v>
      </c>
      <c r="GE703">
        <v>0</v>
      </c>
      <c r="GF703">
        <v>0</v>
      </c>
      <c r="GG703">
        <v>0</v>
      </c>
      <c r="GH703">
        <v>0</v>
      </c>
      <c r="GI703">
        <v>0</v>
      </c>
      <c r="GJ703">
        <v>0</v>
      </c>
      <c r="GK703">
        <v>0</v>
      </c>
      <c r="GL703">
        <v>0</v>
      </c>
      <c r="GO703">
        <v>0</v>
      </c>
      <c r="GP703">
        <v>0</v>
      </c>
      <c r="GQ703">
        <v>0</v>
      </c>
      <c r="GR703">
        <v>0</v>
      </c>
      <c r="GS703">
        <v>0</v>
      </c>
      <c r="GT703">
        <v>0</v>
      </c>
      <c r="GU703">
        <v>0</v>
      </c>
      <c r="GV703">
        <v>0</v>
      </c>
      <c r="GW703">
        <v>0</v>
      </c>
      <c r="GX703">
        <v>0</v>
      </c>
      <c r="GY703">
        <v>0</v>
      </c>
      <c r="GZ703">
        <v>0</v>
      </c>
      <c r="HA703">
        <v>0</v>
      </c>
      <c r="HB703">
        <v>0</v>
      </c>
      <c r="HC703">
        <v>0</v>
      </c>
      <c r="HD703">
        <v>0</v>
      </c>
      <c r="HE703">
        <v>0</v>
      </c>
      <c r="HF703">
        <v>0</v>
      </c>
      <c r="HG703">
        <v>0</v>
      </c>
      <c r="HH703">
        <v>0</v>
      </c>
      <c r="HI703">
        <v>0</v>
      </c>
      <c r="HJ703">
        <v>0</v>
      </c>
      <c r="HK703">
        <v>0</v>
      </c>
      <c r="HL703">
        <v>0</v>
      </c>
      <c r="HM703">
        <v>0</v>
      </c>
      <c r="HN703">
        <v>0</v>
      </c>
      <c r="HO703">
        <v>0</v>
      </c>
      <c r="HP703">
        <v>0</v>
      </c>
      <c r="HQ703">
        <v>0</v>
      </c>
      <c r="HR703">
        <v>0</v>
      </c>
      <c r="HS703">
        <v>0</v>
      </c>
      <c r="HT703">
        <v>0</v>
      </c>
      <c r="HU703">
        <v>0</v>
      </c>
      <c r="HV703">
        <v>0</v>
      </c>
      <c r="HW703">
        <v>404.70000000000005</v>
      </c>
      <c r="HX703">
        <v>342.3</v>
      </c>
      <c r="HZ703">
        <v>866.2</v>
      </c>
      <c r="IA703">
        <v>1142.8</v>
      </c>
      <c r="IB703">
        <v>1121.5</v>
      </c>
      <c r="IC703">
        <v>2403</v>
      </c>
      <c r="ID703">
        <v>2659.3</v>
      </c>
      <c r="IE703">
        <v>1923.4</v>
      </c>
      <c r="IF703">
        <v>1465.7</v>
      </c>
      <c r="IG703">
        <v>1608.3</v>
      </c>
      <c r="IH703">
        <v>0</v>
      </c>
      <c r="II703">
        <v>0</v>
      </c>
      <c r="IJ703">
        <v>0</v>
      </c>
      <c r="IK703">
        <v>0</v>
      </c>
      <c r="IL703">
        <v>0</v>
      </c>
      <c r="IM703">
        <v>0</v>
      </c>
      <c r="IN703">
        <v>0</v>
      </c>
      <c r="IO703">
        <v>0</v>
      </c>
      <c r="IP703">
        <v>75.099999999999994</v>
      </c>
    </row>
    <row r="704" spans="1:250" ht="18" thickBot="1">
      <c r="A704" s="245"/>
      <c r="B704" s="245" t="s">
        <v>470</v>
      </c>
      <c r="C704" s="230" t="s">
        <v>1134</v>
      </c>
      <c r="D704" s="397"/>
      <c r="E704" s="454">
        <v>0</v>
      </c>
      <c r="F704">
        <v>0</v>
      </c>
      <c r="G704" s="427">
        <v>0</v>
      </c>
      <c r="H704" s="155">
        <v>0</v>
      </c>
      <c r="I704">
        <v>0</v>
      </c>
      <c r="J704">
        <v>0</v>
      </c>
      <c r="K704">
        <v>0</v>
      </c>
      <c r="L704" s="4">
        <v>0</v>
      </c>
      <c r="M704" s="4">
        <v>0</v>
      </c>
      <c r="N704" s="4">
        <v>0</v>
      </c>
      <c r="O704" s="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R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G704">
        <v>0</v>
      </c>
      <c r="BI704">
        <v>0</v>
      </c>
      <c r="BK704">
        <v>0</v>
      </c>
      <c r="BL704">
        <v>0</v>
      </c>
      <c r="BM704">
        <v>0</v>
      </c>
      <c r="BN704">
        <v>0</v>
      </c>
      <c r="BO704">
        <v>344.70000000000005</v>
      </c>
      <c r="BP704">
        <v>625.70000000000005</v>
      </c>
      <c r="BQ704">
        <v>912.2</v>
      </c>
      <c r="BR704">
        <v>237.7</v>
      </c>
      <c r="BS704">
        <v>0</v>
      </c>
      <c r="BT704">
        <v>0</v>
      </c>
      <c r="BU704">
        <v>0</v>
      </c>
      <c r="BV704">
        <v>0</v>
      </c>
      <c r="BW704">
        <v>1647.4</v>
      </c>
      <c r="BY704">
        <v>453.1</v>
      </c>
      <c r="CA704">
        <v>285.39999999999998</v>
      </c>
      <c r="CB704">
        <v>280.8</v>
      </c>
      <c r="CC704">
        <v>127.7</v>
      </c>
      <c r="CD704">
        <v>0</v>
      </c>
      <c r="CE704">
        <v>0</v>
      </c>
      <c r="CF704">
        <v>0</v>
      </c>
      <c r="CG704">
        <v>0</v>
      </c>
      <c r="CI704">
        <v>0</v>
      </c>
      <c r="CJ704">
        <v>0</v>
      </c>
      <c r="CL704">
        <v>0</v>
      </c>
      <c r="CM704">
        <v>0</v>
      </c>
      <c r="CN704">
        <v>0</v>
      </c>
      <c r="CO704">
        <v>0</v>
      </c>
      <c r="CP704">
        <v>0</v>
      </c>
      <c r="CQ704">
        <v>621.70000000000005</v>
      </c>
      <c r="CR704">
        <v>481.70000000000005</v>
      </c>
      <c r="CS704">
        <v>0</v>
      </c>
      <c r="CT704">
        <v>524.6</v>
      </c>
      <c r="CU704">
        <v>514.1</v>
      </c>
      <c r="CV704">
        <v>175.2</v>
      </c>
      <c r="CW704">
        <v>0</v>
      </c>
      <c r="CX704">
        <v>65.099999999999994</v>
      </c>
      <c r="CY704">
        <v>199</v>
      </c>
      <c r="CZ704">
        <v>1907.9</v>
      </c>
      <c r="DA704">
        <v>0</v>
      </c>
      <c r="DB704">
        <v>0</v>
      </c>
      <c r="DC704">
        <v>0</v>
      </c>
      <c r="DD704">
        <v>0</v>
      </c>
      <c r="DE704">
        <v>0</v>
      </c>
      <c r="DF704">
        <v>0</v>
      </c>
      <c r="DG704">
        <v>0</v>
      </c>
      <c r="DH704">
        <v>0</v>
      </c>
      <c r="DI704">
        <v>0</v>
      </c>
      <c r="DJ704">
        <v>0</v>
      </c>
      <c r="DK704">
        <v>0</v>
      </c>
      <c r="DL704">
        <v>0</v>
      </c>
      <c r="DM704">
        <v>1065.4000000000001</v>
      </c>
      <c r="DN704">
        <v>599.70000000000005</v>
      </c>
      <c r="DO704">
        <v>319.7</v>
      </c>
      <c r="DP704">
        <v>1570.6999999999998</v>
      </c>
      <c r="DQ704">
        <v>1399.5</v>
      </c>
      <c r="DR704">
        <v>3581</v>
      </c>
      <c r="DU704">
        <v>1393.2</v>
      </c>
      <c r="DV704">
        <v>2862.6</v>
      </c>
      <c r="DY704">
        <v>2361</v>
      </c>
      <c r="EA704">
        <v>2409.6</v>
      </c>
      <c r="EC704">
        <v>1661.3999999999999</v>
      </c>
      <c r="EE704">
        <v>0</v>
      </c>
      <c r="EF704">
        <v>0</v>
      </c>
      <c r="EG704">
        <v>0</v>
      </c>
      <c r="EH704">
        <v>0</v>
      </c>
      <c r="EI704">
        <v>0</v>
      </c>
      <c r="EJ704">
        <v>0</v>
      </c>
      <c r="EK704">
        <v>0</v>
      </c>
      <c r="EL704">
        <v>0</v>
      </c>
      <c r="EM704">
        <v>0</v>
      </c>
      <c r="EN704">
        <v>0</v>
      </c>
      <c r="EO704">
        <v>0</v>
      </c>
      <c r="EP704">
        <v>944.5</v>
      </c>
      <c r="EQ704">
        <v>3459.7</v>
      </c>
      <c r="ER704">
        <v>1353.5</v>
      </c>
      <c r="ES704">
        <v>182.2</v>
      </c>
      <c r="ET704">
        <v>855.59999999999991</v>
      </c>
      <c r="EU704">
        <v>172.2</v>
      </c>
      <c r="EV704">
        <v>203.2</v>
      </c>
      <c r="EW704">
        <v>1173.0999999999999</v>
      </c>
      <c r="EX704">
        <v>1078.3</v>
      </c>
      <c r="EY704">
        <v>1194.4000000000001</v>
      </c>
      <c r="EZ704">
        <v>1207.0999999999999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0</v>
      </c>
      <c r="FH704">
        <v>0</v>
      </c>
      <c r="FI704">
        <v>0</v>
      </c>
      <c r="FJ704">
        <v>0</v>
      </c>
      <c r="FK704">
        <v>0</v>
      </c>
      <c r="FL704">
        <v>0</v>
      </c>
      <c r="FM704">
        <v>0</v>
      </c>
      <c r="FN704">
        <v>0</v>
      </c>
      <c r="FO704">
        <v>0</v>
      </c>
      <c r="FP704">
        <v>0</v>
      </c>
      <c r="FQ704">
        <v>0</v>
      </c>
      <c r="FR704">
        <v>0</v>
      </c>
      <c r="FS704">
        <v>0</v>
      </c>
      <c r="FT704">
        <v>0</v>
      </c>
      <c r="FU704">
        <v>0</v>
      </c>
      <c r="FV704">
        <v>0</v>
      </c>
      <c r="FW704">
        <v>0</v>
      </c>
      <c r="FX704">
        <v>0</v>
      </c>
      <c r="FY704">
        <v>0</v>
      </c>
      <c r="FZ704">
        <v>0</v>
      </c>
      <c r="GA704">
        <v>0</v>
      </c>
      <c r="GB704">
        <v>0</v>
      </c>
      <c r="GC704">
        <v>0</v>
      </c>
      <c r="GD704">
        <v>0</v>
      </c>
      <c r="GE704">
        <v>0</v>
      </c>
      <c r="GF704">
        <v>0</v>
      </c>
      <c r="GG704">
        <v>0</v>
      </c>
      <c r="GH704">
        <v>0</v>
      </c>
      <c r="GI704">
        <v>0</v>
      </c>
      <c r="GJ704">
        <v>0</v>
      </c>
      <c r="GK704">
        <v>0</v>
      </c>
      <c r="GL704">
        <v>0</v>
      </c>
      <c r="GO704">
        <v>0</v>
      </c>
      <c r="GP704">
        <v>0</v>
      </c>
      <c r="GQ704">
        <v>0</v>
      </c>
      <c r="GR704">
        <v>0</v>
      </c>
      <c r="GS704">
        <v>0</v>
      </c>
      <c r="GT704">
        <v>0</v>
      </c>
      <c r="GU704">
        <v>0</v>
      </c>
      <c r="GV704">
        <v>0</v>
      </c>
      <c r="GW704">
        <v>0</v>
      </c>
      <c r="GX704">
        <v>0</v>
      </c>
      <c r="GY704">
        <v>0</v>
      </c>
      <c r="GZ704">
        <v>0</v>
      </c>
      <c r="HA704">
        <v>0</v>
      </c>
      <c r="HB704">
        <v>0</v>
      </c>
      <c r="HC704">
        <v>0</v>
      </c>
      <c r="HD704">
        <v>0</v>
      </c>
      <c r="HE704">
        <v>0</v>
      </c>
      <c r="HF704">
        <v>0</v>
      </c>
      <c r="HG704">
        <v>0</v>
      </c>
      <c r="HH704">
        <v>0</v>
      </c>
      <c r="HI704">
        <v>0</v>
      </c>
      <c r="HJ704">
        <v>0</v>
      </c>
      <c r="HK704">
        <v>0</v>
      </c>
      <c r="HL704">
        <v>0</v>
      </c>
      <c r="HM704">
        <v>0</v>
      </c>
      <c r="HN704">
        <v>0</v>
      </c>
      <c r="HO704">
        <v>0</v>
      </c>
      <c r="HP704">
        <v>0</v>
      </c>
      <c r="HQ704">
        <v>0</v>
      </c>
      <c r="HR704">
        <v>0</v>
      </c>
      <c r="HS704">
        <v>0</v>
      </c>
      <c r="HT704">
        <v>0</v>
      </c>
      <c r="HU704">
        <v>0</v>
      </c>
      <c r="HV704">
        <v>0</v>
      </c>
      <c r="HW704">
        <v>404.70000000000005</v>
      </c>
      <c r="HX704">
        <v>342.3</v>
      </c>
      <c r="HZ704">
        <v>866.2</v>
      </c>
      <c r="IA704">
        <v>1142.8</v>
      </c>
      <c r="IB704">
        <v>1121.5</v>
      </c>
      <c r="IC704">
        <v>2403</v>
      </c>
      <c r="ID704">
        <v>2659.3</v>
      </c>
      <c r="IE704">
        <v>1923.4</v>
      </c>
      <c r="IF704">
        <v>1465.7</v>
      </c>
      <c r="IG704">
        <v>1608.3</v>
      </c>
      <c r="IH704">
        <v>0</v>
      </c>
      <c r="II704">
        <v>0</v>
      </c>
      <c r="IJ704">
        <v>0</v>
      </c>
      <c r="IK704">
        <v>0</v>
      </c>
      <c r="IL704">
        <v>0</v>
      </c>
      <c r="IM704">
        <v>0</v>
      </c>
      <c r="IN704">
        <v>0</v>
      </c>
      <c r="IO704">
        <v>0</v>
      </c>
      <c r="IP704">
        <v>75.099999999999994</v>
      </c>
    </row>
    <row r="705" spans="1:250" ht="18" thickBot="1">
      <c r="A705" s="245"/>
      <c r="B705" s="245" t="s">
        <v>471</v>
      </c>
      <c r="C705" s="230" t="s">
        <v>1135</v>
      </c>
      <c r="D705" s="397"/>
      <c r="E705" s="454">
        <v>0</v>
      </c>
      <c r="F705">
        <v>0</v>
      </c>
      <c r="G705" s="427">
        <v>0</v>
      </c>
      <c r="H705" s="155">
        <v>0</v>
      </c>
      <c r="I705">
        <v>0</v>
      </c>
      <c r="J705">
        <v>0</v>
      </c>
      <c r="K705">
        <v>0</v>
      </c>
      <c r="L705" s="4">
        <v>0</v>
      </c>
      <c r="M705" s="4">
        <v>0</v>
      </c>
      <c r="N705" s="4">
        <v>0</v>
      </c>
      <c r="O705" s="4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R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G705">
        <v>0</v>
      </c>
      <c r="BI705">
        <v>0</v>
      </c>
      <c r="BK705">
        <v>0</v>
      </c>
      <c r="BL705">
        <v>0</v>
      </c>
      <c r="BM705">
        <v>0</v>
      </c>
      <c r="BN705">
        <v>0</v>
      </c>
      <c r="BO705">
        <v>344.70000000000005</v>
      </c>
      <c r="BP705">
        <v>625.70000000000005</v>
      </c>
      <c r="BQ705">
        <v>912.2</v>
      </c>
      <c r="BR705">
        <v>237.7</v>
      </c>
      <c r="BS705">
        <v>0</v>
      </c>
      <c r="BT705">
        <v>0</v>
      </c>
      <c r="BU705">
        <v>0</v>
      </c>
      <c r="BV705">
        <v>0</v>
      </c>
      <c r="BW705">
        <v>1647.4</v>
      </c>
      <c r="BY705">
        <v>453.1</v>
      </c>
      <c r="CA705">
        <v>285.39999999999998</v>
      </c>
      <c r="CB705">
        <v>280.8</v>
      </c>
      <c r="CC705">
        <v>127.7</v>
      </c>
      <c r="CD705">
        <v>0</v>
      </c>
      <c r="CE705">
        <v>0</v>
      </c>
      <c r="CF705">
        <v>0</v>
      </c>
      <c r="CG705">
        <v>0</v>
      </c>
      <c r="CI705">
        <v>0</v>
      </c>
      <c r="CJ705">
        <v>0</v>
      </c>
      <c r="CL705">
        <v>0</v>
      </c>
      <c r="CM705">
        <v>0</v>
      </c>
      <c r="CN705">
        <v>0</v>
      </c>
      <c r="CO705">
        <v>0</v>
      </c>
      <c r="CP705">
        <v>0</v>
      </c>
      <c r="CQ705">
        <v>621.70000000000005</v>
      </c>
      <c r="CR705">
        <v>481.70000000000005</v>
      </c>
      <c r="CS705">
        <v>0</v>
      </c>
      <c r="CT705">
        <v>524.6</v>
      </c>
      <c r="CU705">
        <v>514.1</v>
      </c>
      <c r="CV705">
        <v>175.2</v>
      </c>
      <c r="CW705">
        <v>0</v>
      </c>
      <c r="CX705">
        <v>65.099999999999994</v>
      </c>
      <c r="CY705">
        <v>199</v>
      </c>
      <c r="CZ705">
        <v>1907.9</v>
      </c>
      <c r="DA705">
        <v>0</v>
      </c>
      <c r="DB705">
        <v>0</v>
      </c>
      <c r="DC705">
        <v>0</v>
      </c>
      <c r="DD705">
        <v>0</v>
      </c>
      <c r="DE705">
        <v>0</v>
      </c>
      <c r="DF705">
        <v>0</v>
      </c>
      <c r="DG705">
        <v>0</v>
      </c>
      <c r="DH705">
        <v>0</v>
      </c>
      <c r="DI705">
        <v>0</v>
      </c>
      <c r="DJ705">
        <v>0</v>
      </c>
      <c r="DK705">
        <v>0</v>
      </c>
      <c r="DL705">
        <v>0</v>
      </c>
      <c r="DM705">
        <v>1065.4000000000001</v>
      </c>
      <c r="DN705">
        <v>599.70000000000005</v>
      </c>
      <c r="DO705">
        <v>319.7</v>
      </c>
      <c r="DP705">
        <v>1570.6999999999998</v>
      </c>
      <c r="DQ705">
        <v>1399.5</v>
      </c>
      <c r="DR705">
        <v>3581</v>
      </c>
      <c r="DU705">
        <v>1393.2</v>
      </c>
      <c r="DV705">
        <v>2862.6</v>
      </c>
      <c r="DY705">
        <v>2361</v>
      </c>
      <c r="EA705">
        <v>2409.6</v>
      </c>
      <c r="EC705">
        <v>1661.3999999999999</v>
      </c>
      <c r="EE705">
        <v>0</v>
      </c>
      <c r="EF705">
        <v>0</v>
      </c>
      <c r="EG705">
        <v>0</v>
      </c>
      <c r="EH705">
        <v>0</v>
      </c>
      <c r="EI705">
        <v>0</v>
      </c>
      <c r="EJ705">
        <v>0</v>
      </c>
      <c r="EK705">
        <v>0</v>
      </c>
      <c r="EL705">
        <v>0</v>
      </c>
      <c r="EM705">
        <v>0</v>
      </c>
      <c r="EN705">
        <v>0</v>
      </c>
      <c r="EO705">
        <v>0</v>
      </c>
      <c r="EP705">
        <v>944.5</v>
      </c>
      <c r="EQ705">
        <v>3459.7</v>
      </c>
      <c r="ER705">
        <v>1353.5</v>
      </c>
      <c r="ES705">
        <v>182.2</v>
      </c>
      <c r="ET705">
        <v>855.59999999999991</v>
      </c>
      <c r="EU705">
        <v>172.2</v>
      </c>
      <c r="EV705">
        <v>203.2</v>
      </c>
      <c r="EW705">
        <v>1173.0999999999999</v>
      </c>
      <c r="EX705">
        <v>1078.3</v>
      </c>
      <c r="EY705">
        <v>1194.4000000000001</v>
      </c>
      <c r="EZ705">
        <v>1207.0999999999999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0</v>
      </c>
      <c r="FG705">
        <v>0</v>
      </c>
      <c r="FH705">
        <v>0</v>
      </c>
      <c r="FI705">
        <v>0</v>
      </c>
      <c r="FJ705">
        <v>0</v>
      </c>
      <c r="FK705">
        <v>0</v>
      </c>
      <c r="FL705">
        <v>0</v>
      </c>
      <c r="FM705">
        <v>0</v>
      </c>
      <c r="FN705">
        <v>0</v>
      </c>
      <c r="FO705">
        <v>0</v>
      </c>
      <c r="FP705">
        <v>0</v>
      </c>
      <c r="FQ705">
        <v>0</v>
      </c>
      <c r="FR705">
        <v>0</v>
      </c>
      <c r="FS705">
        <v>0</v>
      </c>
      <c r="FT705">
        <v>0</v>
      </c>
      <c r="FU705">
        <v>0</v>
      </c>
      <c r="FV705">
        <v>0</v>
      </c>
      <c r="FW705">
        <v>0</v>
      </c>
      <c r="FX705">
        <v>0</v>
      </c>
      <c r="FY705">
        <v>0</v>
      </c>
      <c r="FZ705">
        <v>0</v>
      </c>
      <c r="GA705">
        <v>0</v>
      </c>
      <c r="GB705">
        <v>0</v>
      </c>
      <c r="GC705">
        <v>0</v>
      </c>
      <c r="GD705">
        <v>0</v>
      </c>
      <c r="GE705">
        <v>0</v>
      </c>
      <c r="GF705">
        <v>0</v>
      </c>
      <c r="GG705">
        <v>0</v>
      </c>
      <c r="GH705">
        <v>0</v>
      </c>
      <c r="GI705">
        <v>0</v>
      </c>
      <c r="GJ705">
        <v>0</v>
      </c>
      <c r="GK705">
        <v>0</v>
      </c>
      <c r="GL705">
        <v>0</v>
      </c>
      <c r="GO705">
        <v>0</v>
      </c>
      <c r="GP705">
        <v>0</v>
      </c>
      <c r="GQ705">
        <v>0</v>
      </c>
      <c r="GR705">
        <v>0</v>
      </c>
      <c r="GS705">
        <v>0</v>
      </c>
      <c r="GT705">
        <v>0</v>
      </c>
      <c r="GU705">
        <v>0</v>
      </c>
      <c r="GV705">
        <v>0</v>
      </c>
      <c r="GW705">
        <v>0</v>
      </c>
      <c r="GX705">
        <v>0</v>
      </c>
      <c r="GY705">
        <v>0</v>
      </c>
      <c r="GZ705">
        <v>0</v>
      </c>
      <c r="HA705">
        <v>0</v>
      </c>
      <c r="HB705">
        <v>0</v>
      </c>
      <c r="HC705">
        <v>0</v>
      </c>
      <c r="HD705">
        <v>0</v>
      </c>
      <c r="HE705">
        <v>0</v>
      </c>
      <c r="HF705">
        <v>0</v>
      </c>
      <c r="HG705">
        <v>0</v>
      </c>
      <c r="HH705">
        <v>0</v>
      </c>
      <c r="HI705">
        <v>0</v>
      </c>
      <c r="HJ705">
        <v>0</v>
      </c>
      <c r="HK705">
        <v>0</v>
      </c>
      <c r="HL705">
        <v>0</v>
      </c>
      <c r="HM705">
        <v>0</v>
      </c>
      <c r="HN705">
        <v>0</v>
      </c>
      <c r="HO705">
        <v>0</v>
      </c>
      <c r="HP705">
        <v>0</v>
      </c>
      <c r="HQ705">
        <v>0</v>
      </c>
      <c r="HR705">
        <v>0</v>
      </c>
      <c r="HS705">
        <v>0</v>
      </c>
      <c r="HT705">
        <v>0</v>
      </c>
      <c r="HU705">
        <v>0</v>
      </c>
      <c r="HV705">
        <v>0</v>
      </c>
      <c r="HW705">
        <v>404.70000000000005</v>
      </c>
      <c r="HX705">
        <v>342.3</v>
      </c>
      <c r="HZ705">
        <v>866.2</v>
      </c>
      <c r="IA705">
        <v>1142.8</v>
      </c>
      <c r="IB705">
        <v>1121.5</v>
      </c>
      <c r="IC705">
        <v>2403</v>
      </c>
      <c r="ID705">
        <v>2659.3</v>
      </c>
      <c r="IE705">
        <v>1923.4</v>
      </c>
      <c r="IF705">
        <v>1465.7</v>
      </c>
      <c r="IG705">
        <v>1608.3</v>
      </c>
      <c r="IH705">
        <v>0</v>
      </c>
      <c r="II705">
        <v>0</v>
      </c>
      <c r="IJ705">
        <v>0</v>
      </c>
      <c r="IK705">
        <v>0</v>
      </c>
      <c r="IL705">
        <v>0</v>
      </c>
      <c r="IM705">
        <v>0</v>
      </c>
      <c r="IN705">
        <v>0</v>
      </c>
      <c r="IO705">
        <v>0</v>
      </c>
      <c r="IP705">
        <v>75.099999999999994</v>
      </c>
    </row>
    <row r="706" spans="1:250" ht="18" thickBot="1">
      <c r="A706" s="245"/>
      <c r="B706" s="245" t="s">
        <v>472</v>
      </c>
      <c r="C706" s="230" t="s">
        <v>1136</v>
      </c>
      <c r="D706" s="397"/>
      <c r="E706" s="454">
        <v>0</v>
      </c>
      <c r="F706">
        <v>0</v>
      </c>
      <c r="G706" s="427">
        <v>0</v>
      </c>
      <c r="H706" s="155">
        <v>0</v>
      </c>
      <c r="I706">
        <v>0</v>
      </c>
      <c r="J706">
        <v>0</v>
      </c>
      <c r="K706">
        <v>0</v>
      </c>
      <c r="L706" s="4">
        <v>0</v>
      </c>
      <c r="M706" s="4">
        <v>0</v>
      </c>
      <c r="N706" s="4">
        <v>0</v>
      </c>
      <c r="O706" s="4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R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G706">
        <v>0</v>
      </c>
      <c r="BI706">
        <v>0</v>
      </c>
      <c r="BK706">
        <v>0</v>
      </c>
      <c r="BL706">
        <v>0</v>
      </c>
      <c r="BM706">
        <v>0</v>
      </c>
      <c r="BN706">
        <v>0</v>
      </c>
      <c r="BO706">
        <v>344.70000000000005</v>
      </c>
      <c r="BP706">
        <v>625.70000000000005</v>
      </c>
      <c r="BQ706">
        <v>912.2</v>
      </c>
      <c r="BR706">
        <v>237.7</v>
      </c>
      <c r="BS706">
        <v>0</v>
      </c>
      <c r="BT706">
        <v>0</v>
      </c>
      <c r="BU706">
        <v>0</v>
      </c>
      <c r="BV706">
        <v>0</v>
      </c>
      <c r="BW706">
        <v>1647.4</v>
      </c>
      <c r="BY706">
        <v>453.1</v>
      </c>
      <c r="CA706">
        <v>285.39999999999998</v>
      </c>
      <c r="CB706">
        <v>280.8</v>
      </c>
      <c r="CC706">
        <v>127.7</v>
      </c>
      <c r="CD706">
        <v>0</v>
      </c>
      <c r="CE706">
        <v>0</v>
      </c>
      <c r="CF706">
        <v>0</v>
      </c>
      <c r="CG706">
        <v>0</v>
      </c>
      <c r="CI706">
        <v>0</v>
      </c>
      <c r="CJ706">
        <v>0</v>
      </c>
      <c r="CL706">
        <v>0</v>
      </c>
      <c r="CM706">
        <v>0</v>
      </c>
      <c r="CN706">
        <v>0</v>
      </c>
      <c r="CO706">
        <v>0</v>
      </c>
      <c r="CP706">
        <v>0</v>
      </c>
      <c r="CQ706">
        <v>621.70000000000005</v>
      </c>
      <c r="CR706">
        <v>481.70000000000005</v>
      </c>
      <c r="CS706">
        <v>0</v>
      </c>
      <c r="CT706">
        <v>524.6</v>
      </c>
      <c r="CU706">
        <v>514.1</v>
      </c>
      <c r="CV706">
        <v>175.2</v>
      </c>
      <c r="CW706">
        <v>0</v>
      </c>
      <c r="CX706">
        <v>65.099999999999994</v>
      </c>
      <c r="CY706">
        <v>199</v>
      </c>
      <c r="CZ706">
        <v>1907.9</v>
      </c>
      <c r="DA706">
        <v>0</v>
      </c>
      <c r="DB706">
        <v>0</v>
      </c>
      <c r="DC706">
        <v>0</v>
      </c>
      <c r="DD706">
        <v>0</v>
      </c>
      <c r="DE706">
        <v>0</v>
      </c>
      <c r="DF706">
        <v>0</v>
      </c>
      <c r="DG706">
        <v>0</v>
      </c>
      <c r="DH706">
        <v>0</v>
      </c>
      <c r="DI706">
        <v>0</v>
      </c>
      <c r="DJ706">
        <v>0</v>
      </c>
      <c r="DK706">
        <v>0</v>
      </c>
      <c r="DL706">
        <v>0</v>
      </c>
      <c r="DM706">
        <v>1065.4000000000001</v>
      </c>
      <c r="DN706">
        <v>599.70000000000005</v>
      </c>
      <c r="DO706">
        <v>319.7</v>
      </c>
      <c r="DP706">
        <v>1570.6999999999998</v>
      </c>
      <c r="DQ706">
        <v>1399.5</v>
      </c>
      <c r="DR706">
        <v>3581</v>
      </c>
      <c r="DU706">
        <v>1393.2</v>
      </c>
      <c r="DV706">
        <v>2862.6</v>
      </c>
      <c r="DY706">
        <v>2361</v>
      </c>
      <c r="EA706">
        <v>2409.6</v>
      </c>
      <c r="EC706">
        <v>1661.3999999999999</v>
      </c>
      <c r="EE706">
        <v>0</v>
      </c>
      <c r="EF706">
        <v>0</v>
      </c>
      <c r="EG706">
        <v>0</v>
      </c>
      <c r="EH706">
        <v>0</v>
      </c>
      <c r="EI706">
        <v>0</v>
      </c>
      <c r="EJ706">
        <v>0</v>
      </c>
      <c r="EK706">
        <v>0</v>
      </c>
      <c r="EL706">
        <v>0</v>
      </c>
      <c r="EM706">
        <v>0</v>
      </c>
      <c r="EN706">
        <v>0</v>
      </c>
      <c r="EO706">
        <v>0</v>
      </c>
      <c r="EP706">
        <v>944.5</v>
      </c>
      <c r="EQ706">
        <v>3459.7</v>
      </c>
      <c r="ER706">
        <v>1353.5</v>
      </c>
      <c r="ES706">
        <v>182.2</v>
      </c>
      <c r="ET706">
        <v>855.59999999999991</v>
      </c>
      <c r="EU706">
        <v>172.2</v>
      </c>
      <c r="EV706">
        <v>203.2</v>
      </c>
      <c r="EW706">
        <v>1173.0999999999999</v>
      </c>
      <c r="EX706">
        <v>1078.3</v>
      </c>
      <c r="EY706">
        <v>1194.4000000000001</v>
      </c>
      <c r="EZ706">
        <v>1207.0999999999999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0</v>
      </c>
      <c r="FH706">
        <v>0</v>
      </c>
      <c r="FI706">
        <v>0</v>
      </c>
      <c r="FJ706">
        <v>0</v>
      </c>
      <c r="FK706">
        <v>0</v>
      </c>
      <c r="FL706">
        <v>0</v>
      </c>
      <c r="FM706">
        <v>0</v>
      </c>
      <c r="FN706">
        <v>0</v>
      </c>
      <c r="FO706">
        <v>0</v>
      </c>
      <c r="FP706">
        <v>0</v>
      </c>
      <c r="FQ706">
        <v>0</v>
      </c>
      <c r="FR706">
        <v>0</v>
      </c>
      <c r="FS706">
        <v>0</v>
      </c>
      <c r="FT706">
        <v>0</v>
      </c>
      <c r="FU706">
        <v>0</v>
      </c>
      <c r="FV706">
        <v>0</v>
      </c>
      <c r="FW706">
        <v>0</v>
      </c>
      <c r="FX706">
        <v>0</v>
      </c>
      <c r="FY706">
        <v>0</v>
      </c>
      <c r="FZ706">
        <v>0</v>
      </c>
      <c r="GA706">
        <v>0</v>
      </c>
      <c r="GB706">
        <v>0</v>
      </c>
      <c r="GC706">
        <v>0</v>
      </c>
      <c r="GD706">
        <v>0</v>
      </c>
      <c r="GE706">
        <v>0</v>
      </c>
      <c r="GF706">
        <v>0</v>
      </c>
      <c r="GG706">
        <v>0</v>
      </c>
      <c r="GH706">
        <v>0</v>
      </c>
      <c r="GI706">
        <v>0</v>
      </c>
      <c r="GJ706">
        <v>0</v>
      </c>
      <c r="GK706">
        <v>0</v>
      </c>
      <c r="GL706">
        <v>0</v>
      </c>
      <c r="GO706">
        <v>0</v>
      </c>
      <c r="GP706">
        <v>0</v>
      </c>
      <c r="GQ706">
        <v>0</v>
      </c>
      <c r="GR706">
        <v>0</v>
      </c>
      <c r="GS706">
        <v>0</v>
      </c>
      <c r="GT706">
        <v>0</v>
      </c>
      <c r="GU706">
        <v>0</v>
      </c>
      <c r="GV706">
        <v>0</v>
      </c>
      <c r="GW706">
        <v>0</v>
      </c>
      <c r="GX706">
        <v>0</v>
      </c>
      <c r="GY706">
        <v>0</v>
      </c>
      <c r="GZ706">
        <v>0</v>
      </c>
      <c r="HA706">
        <v>0</v>
      </c>
      <c r="HB706">
        <v>0</v>
      </c>
      <c r="HC706">
        <v>0</v>
      </c>
      <c r="HD706">
        <v>0</v>
      </c>
      <c r="HE706">
        <v>0</v>
      </c>
      <c r="HF706">
        <v>0</v>
      </c>
      <c r="HG706">
        <v>0</v>
      </c>
      <c r="HH706">
        <v>0</v>
      </c>
      <c r="HI706">
        <v>0</v>
      </c>
      <c r="HJ706">
        <v>0</v>
      </c>
      <c r="HK706">
        <v>0</v>
      </c>
      <c r="HL706">
        <v>0</v>
      </c>
      <c r="HM706">
        <v>0</v>
      </c>
      <c r="HN706">
        <v>0</v>
      </c>
      <c r="HO706">
        <v>0</v>
      </c>
      <c r="HP706">
        <v>0</v>
      </c>
      <c r="HQ706">
        <v>0</v>
      </c>
      <c r="HR706">
        <v>0</v>
      </c>
      <c r="HS706">
        <v>0</v>
      </c>
      <c r="HT706">
        <v>0</v>
      </c>
      <c r="HU706">
        <v>0</v>
      </c>
      <c r="HV706">
        <v>0</v>
      </c>
      <c r="HW706">
        <v>404.70000000000005</v>
      </c>
      <c r="HX706">
        <v>342.3</v>
      </c>
      <c r="HZ706">
        <v>866.2</v>
      </c>
      <c r="IA706">
        <v>1142.8</v>
      </c>
      <c r="IB706">
        <v>1121.5</v>
      </c>
      <c r="IC706">
        <v>2403</v>
      </c>
      <c r="ID706">
        <v>2659.3</v>
      </c>
      <c r="IE706">
        <v>1923.4</v>
      </c>
      <c r="IF706">
        <v>1465.7</v>
      </c>
      <c r="IG706">
        <v>1608.3</v>
      </c>
      <c r="IH706">
        <v>0</v>
      </c>
      <c r="II706">
        <v>0</v>
      </c>
      <c r="IJ706">
        <v>0</v>
      </c>
      <c r="IK706">
        <v>0</v>
      </c>
      <c r="IL706">
        <v>0</v>
      </c>
      <c r="IM706">
        <v>0</v>
      </c>
      <c r="IN706">
        <v>0</v>
      </c>
      <c r="IO706">
        <v>0</v>
      </c>
      <c r="IP706">
        <v>75.099999999999994</v>
      </c>
    </row>
    <row r="707" spans="1:250" ht="18" thickBot="1">
      <c r="A707" s="246"/>
      <c r="B707" s="246" t="s">
        <v>999</v>
      </c>
      <c r="C707" s="340"/>
      <c r="D707" s="403"/>
      <c r="E707" s="454">
        <v>0</v>
      </c>
      <c r="F707">
        <v>0</v>
      </c>
      <c r="G707" s="427">
        <v>0</v>
      </c>
      <c r="H707" s="155">
        <v>0</v>
      </c>
      <c r="I707">
        <v>0</v>
      </c>
      <c r="J707">
        <v>0</v>
      </c>
      <c r="K707">
        <v>0</v>
      </c>
      <c r="L707" s="4">
        <v>0</v>
      </c>
      <c r="M707" s="4">
        <v>0</v>
      </c>
      <c r="N707" s="4">
        <v>0</v>
      </c>
      <c r="O707" s="4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R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G707">
        <v>0</v>
      </c>
      <c r="BI707">
        <v>0</v>
      </c>
      <c r="BK707">
        <v>0</v>
      </c>
      <c r="BL707">
        <v>0</v>
      </c>
      <c r="BM707">
        <v>0</v>
      </c>
      <c r="BN707">
        <v>0</v>
      </c>
      <c r="BO707">
        <v>344.70000000000005</v>
      </c>
      <c r="BP707">
        <v>625.70000000000005</v>
      </c>
      <c r="BQ707">
        <v>912.2</v>
      </c>
      <c r="BR707">
        <v>237.7</v>
      </c>
      <c r="BS707">
        <v>0</v>
      </c>
      <c r="BT707">
        <v>0</v>
      </c>
      <c r="BU707">
        <v>0</v>
      </c>
      <c r="BV707">
        <v>0</v>
      </c>
      <c r="BW707">
        <v>1647.4</v>
      </c>
      <c r="BY707">
        <v>453.1</v>
      </c>
      <c r="CA707">
        <v>285.39999999999998</v>
      </c>
      <c r="CB707">
        <v>280.8</v>
      </c>
      <c r="CC707">
        <v>127.7</v>
      </c>
      <c r="CD707">
        <v>0</v>
      </c>
      <c r="CE707">
        <v>0</v>
      </c>
      <c r="CF707">
        <v>0</v>
      </c>
      <c r="CG707">
        <v>0</v>
      </c>
      <c r="CI707">
        <v>0</v>
      </c>
      <c r="CJ707">
        <v>0</v>
      </c>
      <c r="CL707">
        <v>0</v>
      </c>
      <c r="CM707">
        <v>0</v>
      </c>
      <c r="CN707">
        <v>0</v>
      </c>
      <c r="CO707">
        <v>0</v>
      </c>
      <c r="CP707">
        <v>0</v>
      </c>
      <c r="CQ707">
        <v>621.70000000000005</v>
      </c>
      <c r="CR707">
        <v>481.70000000000005</v>
      </c>
      <c r="CS707">
        <v>0</v>
      </c>
      <c r="CT707">
        <v>524.6</v>
      </c>
      <c r="CU707">
        <v>514.1</v>
      </c>
      <c r="CV707">
        <v>175.2</v>
      </c>
      <c r="CW707">
        <v>0</v>
      </c>
      <c r="CX707">
        <v>65.099999999999994</v>
      </c>
      <c r="CY707">
        <v>199</v>
      </c>
      <c r="CZ707">
        <v>1907.9</v>
      </c>
      <c r="DA707">
        <v>0</v>
      </c>
      <c r="DB707">
        <v>0</v>
      </c>
      <c r="DC707">
        <v>0</v>
      </c>
      <c r="DD707">
        <v>0</v>
      </c>
      <c r="DE707">
        <v>0</v>
      </c>
      <c r="DF707">
        <v>0</v>
      </c>
      <c r="DG707">
        <v>0</v>
      </c>
      <c r="DH707">
        <v>0</v>
      </c>
      <c r="DI707">
        <v>0</v>
      </c>
      <c r="DJ707">
        <v>0</v>
      </c>
      <c r="DK707">
        <v>0</v>
      </c>
      <c r="DL707">
        <v>0</v>
      </c>
      <c r="DM707">
        <v>1065.4000000000001</v>
      </c>
      <c r="DN707">
        <v>599.70000000000005</v>
      </c>
      <c r="DO707">
        <v>319.7</v>
      </c>
      <c r="DP707">
        <v>1570.6999999999998</v>
      </c>
      <c r="DQ707">
        <v>1399.5</v>
      </c>
      <c r="DR707">
        <v>3581</v>
      </c>
      <c r="DU707">
        <v>1393.2</v>
      </c>
      <c r="DV707">
        <v>2862.6</v>
      </c>
      <c r="DY707">
        <v>2361</v>
      </c>
      <c r="EA707">
        <v>2409.6</v>
      </c>
      <c r="EC707">
        <v>1661.3999999999999</v>
      </c>
      <c r="EE707">
        <v>0</v>
      </c>
      <c r="EF707">
        <v>0</v>
      </c>
      <c r="EG707">
        <v>0</v>
      </c>
      <c r="EH707">
        <v>0</v>
      </c>
      <c r="EI707">
        <v>0</v>
      </c>
      <c r="EJ707">
        <v>0</v>
      </c>
      <c r="EK707">
        <v>0</v>
      </c>
      <c r="EL707">
        <v>0</v>
      </c>
      <c r="EM707">
        <v>0</v>
      </c>
      <c r="EN707">
        <v>0</v>
      </c>
      <c r="EO707">
        <v>0</v>
      </c>
      <c r="EP707">
        <v>944.5</v>
      </c>
      <c r="EQ707">
        <v>3459.7</v>
      </c>
      <c r="ER707">
        <v>1353.5</v>
      </c>
      <c r="ES707">
        <v>182.2</v>
      </c>
      <c r="ET707">
        <v>855.59999999999991</v>
      </c>
      <c r="EU707">
        <v>172.2</v>
      </c>
      <c r="EV707">
        <v>203.2</v>
      </c>
      <c r="EW707">
        <v>1173.0999999999999</v>
      </c>
      <c r="EX707">
        <v>1078.3</v>
      </c>
      <c r="EY707">
        <v>1194.4000000000001</v>
      </c>
      <c r="EZ707">
        <v>1207.0999999999999</v>
      </c>
      <c r="FA707">
        <v>0</v>
      </c>
      <c r="FB707">
        <v>0</v>
      </c>
      <c r="FC707">
        <v>0</v>
      </c>
      <c r="FD707">
        <v>0</v>
      </c>
      <c r="FE707">
        <v>0</v>
      </c>
      <c r="FF707">
        <v>0</v>
      </c>
      <c r="FG707">
        <v>0</v>
      </c>
      <c r="FH707">
        <v>0</v>
      </c>
      <c r="FI707">
        <v>0</v>
      </c>
      <c r="FJ707">
        <v>0</v>
      </c>
      <c r="FK707">
        <v>0</v>
      </c>
      <c r="FL707">
        <v>0</v>
      </c>
      <c r="FM707">
        <v>0</v>
      </c>
      <c r="FN707">
        <v>0</v>
      </c>
      <c r="FO707">
        <v>0</v>
      </c>
      <c r="FP707">
        <v>0</v>
      </c>
      <c r="FQ707">
        <v>0</v>
      </c>
      <c r="FR707">
        <v>0</v>
      </c>
      <c r="FS707">
        <v>0</v>
      </c>
      <c r="FT707">
        <v>0</v>
      </c>
      <c r="FU707">
        <v>0</v>
      </c>
      <c r="FV707">
        <v>0</v>
      </c>
      <c r="FW707">
        <v>0</v>
      </c>
      <c r="FX707">
        <v>0</v>
      </c>
      <c r="FY707">
        <v>0</v>
      </c>
      <c r="FZ707">
        <v>0</v>
      </c>
      <c r="GA707">
        <v>0</v>
      </c>
      <c r="GB707">
        <v>0</v>
      </c>
      <c r="GC707">
        <v>0</v>
      </c>
      <c r="GD707">
        <v>0</v>
      </c>
      <c r="GE707">
        <v>0</v>
      </c>
      <c r="GF707">
        <v>0</v>
      </c>
      <c r="GG707">
        <v>0</v>
      </c>
      <c r="GH707">
        <v>0</v>
      </c>
      <c r="GI707">
        <v>0</v>
      </c>
      <c r="GJ707">
        <v>0</v>
      </c>
      <c r="GK707">
        <v>0</v>
      </c>
      <c r="GL707">
        <v>0</v>
      </c>
      <c r="GO707">
        <v>0</v>
      </c>
      <c r="GP707">
        <v>0</v>
      </c>
      <c r="GQ707">
        <v>0</v>
      </c>
      <c r="GR707">
        <v>0</v>
      </c>
      <c r="GS707">
        <v>0</v>
      </c>
      <c r="GT707">
        <v>0</v>
      </c>
      <c r="GU707">
        <v>0</v>
      </c>
      <c r="GV707">
        <v>0</v>
      </c>
      <c r="GW707">
        <v>0</v>
      </c>
      <c r="GX707">
        <v>0</v>
      </c>
      <c r="GY707">
        <v>0</v>
      </c>
      <c r="GZ707">
        <v>0</v>
      </c>
      <c r="HA707">
        <v>0</v>
      </c>
      <c r="HB707">
        <v>0</v>
      </c>
      <c r="HC707">
        <v>0</v>
      </c>
      <c r="HD707">
        <v>0</v>
      </c>
      <c r="HE707">
        <v>0</v>
      </c>
      <c r="HF707">
        <v>0</v>
      </c>
      <c r="HG707">
        <v>0</v>
      </c>
      <c r="HH707">
        <v>0</v>
      </c>
      <c r="HI707">
        <v>0</v>
      </c>
      <c r="HJ707">
        <v>0</v>
      </c>
      <c r="HK707">
        <v>0</v>
      </c>
      <c r="HL707">
        <v>0</v>
      </c>
      <c r="HM707">
        <v>0</v>
      </c>
      <c r="HN707">
        <v>0</v>
      </c>
      <c r="HO707">
        <v>0</v>
      </c>
      <c r="HP707">
        <v>0</v>
      </c>
      <c r="HQ707">
        <v>0</v>
      </c>
      <c r="HR707">
        <v>0</v>
      </c>
      <c r="HS707">
        <v>0</v>
      </c>
      <c r="HT707">
        <v>0</v>
      </c>
      <c r="HU707">
        <v>0</v>
      </c>
      <c r="HV707">
        <v>0</v>
      </c>
      <c r="HW707">
        <v>404.70000000000005</v>
      </c>
      <c r="HX707">
        <v>342.3</v>
      </c>
      <c r="HZ707">
        <v>866.2</v>
      </c>
      <c r="IA707">
        <v>1142.8</v>
      </c>
      <c r="IB707">
        <v>1121.5</v>
      </c>
      <c r="IC707">
        <v>2403</v>
      </c>
      <c r="ID707">
        <v>2659.3</v>
      </c>
      <c r="IE707">
        <v>1923.4</v>
      </c>
      <c r="IF707">
        <v>1465.7</v>
      </c>
      <c r="IG707">
        <v>1608.3</v>
      </c>
      <c r="IH707">
        <v>0</v>
      </c>
      <c r="II707">
        <v>0</v>
      </c>
      <c r="IJ707">
        <v>0</v>
      </c>
      <c r="IK707">
        <v>0</v>
      </c>
      <c r="IL707">
        <v>0</v>
      </c>
      <c r="IM707">
        <v>0</v>
      </c>
      <c r="IN707">
        <v>0</v>
      </c>
      <c r="IO707">
        <v>0</v>
      </c>
      <c r="IP707">
        <v>75.099999999999994</v>
      </c>
    </row>
    <row r="708" spans="1:250" ht="18.600000000000001" thickTop="1" thickBot="1">
      <c r="A708" s="181"/>
      <c r="B708" s="181" t="s">
        <v>439</v>
      </c>
      <c r="C708" s="330"/>
      <c r="D708" s="395"/>
      <c r="E708" s="454">
        <v>0</v>
      </c>
      <c r="F708">
        <v>0</v>
      </c>
      <c r="G708" s="427">
        <v>0</v>
      </c>
      <c r="H708" s="155">
        <v>0</v>
      </c>
      <c r="I708">
        <v>0</v>
      </c>
      <c r="J708">
        <v>0</v>
      </c>
      <c r="K708">
        <v>0</v>
      </c>
      <c r="L708" s="4">
        <v>0</v>
      </c>
      <c r="M708" s="4">
        <v>0</v>
      </c>
      <c r="N708" s="4">
        <v>0</v>
      </c>
      <c r="O708" s="4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R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G708">
        <v>0</v>
      </c>
      <c r="BI708">
        <v>0</v>
      </c>
      <c r="BK708">
        <v>0</v>
      </c>
      <c r="BL708">
        <v>0</v>
      </c>
      <c r="BM708">
        <v>0</v>
      </c>
      <c r="BN708">
        <v>0</v>
      </c>
      <c r="BO708">
        <v>344.70000000000005</v>
      </c>
      <c r="BP708">
        <v>625.70000000000005</v>
      </c>
      <c r="BQ708">
        <v>912.2</v>
      </c>
      <c r="BR708">
        <v>237.7</v>
      </c>
      <c r="BS708">
        <v>0</v>
      </c>
      <c r="BT708">
        <v>0</v>
      </c>
      <c r="BU708">
        <v>0</v>
      </c>
      <c r="BV708">
        <v>0</v>
      </c>
      <c r="BW708">
        <v>1647.4</v>
      </c>
      <c r="BY708">
        <v>453.1</v>
      </c>
      <c r="CA708">
        <v>285.39999999999998</v>
      </c>
      <c r="CB708">
        <v>280.8</v>
      </c>
      <c r="CC708">
        <v>127.7</v>
      </c>
      <c r="CD708">
        <v>0</v>
      </c>
      <c r="CE708">
        <v>0</v>
      </c>
      <c r="CF708">
        <v>0</v>
      </c>
      <c r="CG708">
        <v>0</v>
      </c>
      <c r="CI708">
        <v>0</v>
      </c>
      <c r="CJ708">
        <v>0</v>
      </c>
      <c r="CL708">
        <v>0</v>
      </c>
      <c r="CM708">
        <v>0</v>
      </c>
      <c r="CN708">
        <v>0</v>
      </c>
      <c r="CO708">
        <v>0</v>
      </c>
      <c r="CP708">
        <v>0</v>
      </c>
      <c r="CQ708">
        <v>621.70000000000005</v>
      </c>
      <c r="CR708">
        <v>481.70000000000005</v>
      </c>
      <c r="CS708">
        <v>0</v>
      </c>
      <c r="CT708">
        <v>524.6</v>
      </c>
      <c r="CU708">
        <v>514.1</v>
      </c>
      <c r="CV708">
        <v>175.2</v>
      </c>
      <c r="CW708">
        <v>0</v>
      </c>
      <c r="CX708">
        <v>65.099999999999994</v>
      </c>
      <c r="CY708">
        <v>199</v>
      </c>
      <c r="CZ708">
        <v>1907.9</v>
      </c>
      <c r="DA708">
        <v>0</v>
      </c>
      <c r="DB708">
        <v>0</v>
      </c>
      <c r="DC708">
        <v>0</v>
      </c>
      <c r="DD708">
        <v>0</v>
      </c>
      <c r="DE708">
        <v>0</v>
      </c>
      <c r="DF708">
        <v>0</v>
      </c>
      <c r="DG708">
        <v>0</v>
      </c>
      <c r="DH708">
        <v>0</v>
      </c>
      <c r="DI708">
        <v>0</v>
      </c>
      <c r="DJ708">
        <v>0</v>
      </c>
      <c r="DK708">
        <v>0</v>
      </c>
      <c r="DL708">
        <v>0</v>
      </c>
      <c r="DM708">
        <v>1065.4000000000001</v>
      </c>
      <c r="DN708">
        <v>599.70000000000005</v>
      </c>
      <c r="DO708">
        <v>319.7</v>
      </c>
      <c r="DP708">
        <v>1570.6999999999998</v>
      </c>
      <c r="DQ708">
        <v>1399.5</v>
      </c>
      <c r="DR708">
        <v>3581</v>
      </c>
      <c r="DU708">
        <v>1393.2</v>
      </c>
      <c r="DV708">
        <v>2862.6</v>
      </c>
      <c r="DY708">
        <v>2361</v>
      </c>
      <c r="EA708">
        <v>2409.6</v>
      </c>
      <c r="EC708">
        <v>1661.3999999999999</v>
      </c>
      <c r="EE708">
        <v>0</v>
      </c>
      <c r="EF708">
        <v>0</v>
      </c>
      <c r="EG708">
        <v>0</v>
      </c>
      <c r="EH708">
        <v>0</v>
      </c>
      <c r="EI708">
        <v>0</v>
      </c>
      <c r="EJ708">
        <v>0</v>
      </c>
      <c r="EK708">
        <v>0</v>
      </c>
      <c r="EL708">
        <v>0</v>
      </c>
      <c r="EM708">
        <v>0</v>
      </c>
      <c r="EN708">
        <v>0</v>
      </c>
      <c r="EO708">
        <v>0</v>
      </c>
      <c r="EP708">
        <v>944.5</v>
      </c>
      <c r="EQ708">
        <v>3459.7</v>
      </c>
      <c r="ER708">
        <v>1353.5</v>
      </c>
      <c r="ES708">
        <v>182.2</v>
      </c>
      <c r="ET708">
        <v>855.59999999999991</v>
      </c>
      <c r="EU708">
        <v>172.2</v>
      </c>
      <c r="EV708">
        <v>203.2</v>
      </c>
      <c r="EW708">
        <v>1173.0999999999999</v>
      </c>
      <c r="EX708">
        <v>1078.3</v>
      </c>
      <c r="EY708">
        <v>1194.4000000000001</v>
      </c>
      <c r="EZ708">
        <v>1207.0999999999999</v>
      </c>
      <c r="FA708">
        <v>0</v>
      </c>
      <c r="FB708">
        <v>0</v>
      </c>
      <c r="FC708">
        <v>0</v>
      </c>
      <c r="FD708">
        <v>0</v>
      </c>
      <c r="FE708">
        <v>0</v>
      </c>
      <c r="FF708">
        <v>0</v>
      </c>
      <c r="FG708">
        <v>0</v>
      </c>
      <c r="FH708">
        <v>0</v>
      </c>
      <c r="FI708">
        <v>0</v>
      </c>
      <c r="FJ708">
        <v>0</v>
      </c>
      <c r="FK708">
        <v>0</v>
      </c>
      <c r="FL708">
        <v>0</v>
      </c>
      <c r="FM708">
        <v>0</v>
      </c>
      <c r="FN708">
        <v>0</v>
      </c>
      <c r="FO708">
        <v>0</v>
      </c>
      <c r="FP708">
        <v>0</v>
      </c>
      <c r="FQ708">
        <v>0</v>
      </c>
      <c r="FR708">
        <v>0</v>
      </c>
      <c r="FS708">
        <v>0</v>
      </c>
      <c r="FT708">
        <v>0</v>
      </c>
      <c r="FU708">
        <v>0</v>
      </c>
      <c r="FV708">
        <v>0</v>
      </c>
      <c r="FW708">
        <v>0</v>
      </c>
      <c r="FX708">
        <v>0</v>
      </c>
      <c r="FY708">
        <v>0</v>
      </c>
      <c r="FZ708">
        <v>0</v>
      </c>
      <c r="GA708">
        <v>0</v>
      </c>
      <c r="GB708">
        <v>0</v>
      </c>
      <c r="GC708">
        <v>0</v>
      </c>
      <c r="GD708">
        <v>0</v>
      </c>
      <c r="GE708">
        <v>0</v>
      </c>
      <c r="GF708">
        <v>0</v>
      </c>
      <c r="GG708">
        <v>0</v>
      </c>
      <c r="GH708">
        <v>0</v>
      </c>
      <c r="GI708">
        <v>0</v>
      </c>
      <c r="GJ708">
        <v>0</v>
      </c>
      <c r="GK708">
        <v>0</v>
      </c>
      <c r="GL708">
        <v>0</v>
      </c>
      <c r="GO708">
        <v>0</v>
      </c>
      <c r="GP708">
        <v>0</v>
      </c>
      <c r="GQ708">
        <v>0</v>
      </c>
      <c r="GR708">
        <v>0</v>
      </c>
      <c r="GS708">
        <v>0</v>
      </c>
      <c r="GT708">
        <v>0</v>
      </c>
      <c r="GU708">
        <v>0</v>
      </c>
      <c r="GV708">
        <v>0</v>
      </c>
      <c r="GW708">
        <v>0</v>
      </c>
      <c r="GX708">
        <v>0</v>
      </c>
      <c r="GY708">
        <v>0</v>
      </c>
      <c r="GZ708">
        <v>0</v>
      </c>
      <c r="HA708">
        <v>0</v>
      </c>
      <c r="HB708">
        <v>0</v>
      </c>
      <c r="HC708">
        <v>0</v>
      </c>
      <c r="HD708">
        <v>0</v>
      </c>
      <c r="HE708">
        <v>0</v>
      </c>
      <c r="HF708">
        <v>0</v>
      </c>
      <c r="HG708">
        <v>0</v>
      </c>
      <c r="HH708">
        <v>0</v>
      </c>
      <c r="HI708">
        <v>0</v>
      </c>
      <c r="HJ708">
        <v>0</v>
      </c>
      <c r="HK708">
        <v>0</v>
      </c>
      <c r="HL708">
        <v>0</v>
      </c>
      <c r="HM708">
        <v>0</v>
      </c>
      <c r="HN708">
        <v>0</v>
      </c>
      <c r="HO708">
        <v>0</v>
      </c>
      <c r="HP708">
        <v>0</v>
      </c>
      <c r="HQ708">
        <v>0</v>
      </c>
      <c r="HR708">
        <v>0</v>
      </c>
      <c r="HS708">
        <v>0</v>
      </c>
      <c r="HT708">
        <v>0</v>
      </c>
      <c r="HU708">
        <v>0</v>
      </c>
      <c r="HV708">
        <v>0</v>
      </c>
      <c r="HW708">
        <v>404.70000000000005</v>
      </c>
      <c r="HX708">
        <v>342.3</v>
      </c>
      <c r="HZ708">
        <v>866.2</v>
      </c>
      <c r="IA708">
        <v>1142.8</v>
      </c>
      <c r="IB708">
        <v>1121.5</v>
      </c>
      <c r="IC708">
        <v>2403</v>
      </c>
      <c r="ID708">
        <v>2659.3</v>
      </c>
      <c r="IE708">
        <v>1923.4</v>
      </c>
      <c r="IF708">
        <v>1465.7</v>
      </c>
      <c r="IG708">
        <v>1608.3</v>
      </c>
      <c r="IH708">
        <v>0</v>
      </c>
      <c r="II708">
        <v>0</v>
      </c>
      <c r="IJ708">
        <v>0</v>
      </c>
      <c r="IK708">
        <v>0</v>
      </c>
      <c r="IL708">
        <v>0</v>
      </c>
      <c r="IM708">
        <v>0</v>
      </c>
      <c r="IN708">
        <v>0</v>
      </c>
      <c r="IO708">
        <v>0</v>
      </c>
      <c r="IP708">
        <v>75.099999999999994</v>
      </c>
    </row>
    <row r="709" spans="1:250" ht="18" thickBot="1">
      <c r="A709" s="245"/>
      <c r="B709" s="245" t="s">
        <v>440</v>
      </c>
      <c r="C709" s="230" t="s">
        <v>1137</v>
      </c>
      <c r="D709" s="397"/>
      <c r="E709" s="454">
        <v>0</v>
      </c>
      <c r="F709">
        <v>0</v>
      </c>
      <c r="G709" s="427">
        <v>0</v>
      </c>
      <c r="H709" s="155">
        <v>0</v>
      </c>
      <c r="I709">
        <v>0</v>
      </c>
      <c r="J709">
        <v>0</v>
      </c>
      <c r="K709">
        <v>0</v>
      </c>
      <c r="L709" s="4">
        <v>0</v>
      </c>
      <c r="M709" s="4">
        <v>0</v>
      </c>
      <c r="N709" s="4">
        <v>0</v>
      </c>
      <c r="O709" s="4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R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G709">
        <v>0</v>
      </c>
      <c r="BI709">
        <v>0</v>
      </c>
      <c r="BK709">
        <v>0</v>
      </c>
      <c r="BL709">
        <v>0</v>
      </c>
      <c r="BM709">
        <v>0</v>
      </c>
      <c r="BN709">
        <v>0</v>
      </c>
      <c r="BO709">
        <v>344.70000000000005</v>
      </c>
      <c r="BP709">
        <v>625.70000000000005</v>
      </c>
      <c r="BQ709">
        <v>912.2</v>
      </c>
      <c r="BR709">
        <v>237.7</v>
      </c>
      <c r="BS709">
        <v>0</v>
      </c>
      <c r="BT709">
        <v>0</v>
      </c>
      <c r="BU709">
        <v>0</v>
      </c>
      <c r="BV709">
        <v>0</v>
      </c>
      <c r="BW709">
        <v>1647.4</v>
      </c>
      <c r="BY709">
        <v>453.1</v>
      </c>
      <c r="CA709">
        <v>285.39999999999998</v>
      </c>
      <c r="CB709">
        <v>280.8</v>
      </c>
      <c r="CC709">
        <v>127.7</v>
      </c>
      <c r="CD709">
        <v>0</v>
      </c>
      <c r="CE709">
        <v>0</v>
      </c>
      <c r="CF709">
        <v>0</v>
      </c>
      <c r="CG709">
        <v>0</v>
      </c>
      <c r="CI709">
        <v>0</v>
      </c>
      <c r="CJ709">
        <v>0</v>
      </c>
      <c r="CL709">
        <v>0</v>
      </c>
      <c r="CM709">
        <v>0</v>
      </c>
      <c r="CN709">
        <v>0</v>
      </c>
      <c r="CO709">
        <v>0</v>
      </c>
      <c r="CP709">
        <v>0</v>
      </c>
      <c r="CQ709">
        <v>621.70000000000005</v>
      </c>
      <c r="CR709">
        <v>481.70000000000005</v>
      </c>
      <c r="CS709">
        <v>0</v>
      </c>
      <c r="CT709">
        <v>524.6</v>
      </c>
      <c r="CU709">
        <v>514.1</v>
      </c>
      <c r="CV709">
        <v>175.2</v>
      </c>
      <c r="CW709">
        <v>0</v>
      </c>
      <c r="CX709">
        <v>65.099999999999994</v>
      </c>
      <c r="CY709">
        <v>199</v>
      </c>
      <c r="CZ709">
        <v>1907.9</v>
      </c>
      <c r="DA709">
        <v>0</v>
      </c>
      <c r="DB709">
        <v>0</v>
      </c>
      <c r="DC709">
        <v>0</v>
      </c>
      <c r="DD709">
        <v>0</v>
      </c>
      <c r="DE709">
        <v>0</v>
      </c>
      <c r="DF709">
        <v>0</v>
      </c>
      <c r="DG709">
        <v>0</v>
      </c>
      <c r="DH709">
        <v>0</v>
      </c>
      <c r="DI709">
        <v>0</v>
      </c>
      <c r="DJ709">
        <v>0</v>
      </c>
      <c r="DK709">
        <v>0</v>
      </c>
      <c r="DL709">
        <v>0</v>
      </c>
      <c r="DM709">
        <v>1065.4000000000001</v>
      </c>
      <c r="DN709">
        <v>599.70000000000005</v>
      </c>
      <c r="DO709">
        <v>319.7</v>
      </c>
      <c r="DP709">
        <v>1570.6999999999998</v>
      </c>
      <c r="DQ709">
        <v>1399.5</v>
      </c>
      <c r="DR709">
        <v>3581</v>
      </c>
      <c r="DU709">
        <v>1393.2</v>
      </c>
      <c r="DV709">
        <v>2862.6</v>
      </c>
      <c r="DY709">
        <v>2361</v>
      </c>
      <c r="EA709">
        <v>2409.6</v>
      </c>
      <c r="EC709">
        <v>1661.3999999999999</v>
      </c>
      <c r="EE709">
        <v>0</v>
      </c>
      <c r="EF709">
        <v>0</v>
      </c>
      <c r="EG709">
        <v>0</v>
      </c>
      <c r="EH709">
        <v>0</v>
      </c>
      <c r="EI709">
        <v>0</v>
      </c>
      <c r="EJ709">
        <v>0</v>
      </c>
      <c r="EK709">
        <v>0</v>
      </c>
      <c r="EL709">
        <v>0</v>
      </c>
      <c r="EM709">
        <v>0</v>
      </c>
      <c r="EN709">
        <v>0</v>
      </c>
      <c r="EO709">
        <v>0</v>
      </c>
      <c r="EP709">
        <v>944.5</v>
      </c>
      <c r="EQ709">
        <v>3459.7</v>
      </c>
      <c r="ER709">
        <v>1353.5</v>
      </c>
      <c r="ES709">
        <v>182.2</v>
      </c>
      <c r="ET709">
        <v>855.59999999999991</v>
      </c>
      <c r="EU709">
        <v>172.2</v>
      </c>
      <c r="EV709">
        <v>203.2</v>
      </c>
      <c r="EW709">
        <v>1173.0999999999999</v>
      </c>
      <c r="EX709">
        <v>1078.3</v>
      </c>
      <c r="EY709">
        <v>1194.4000000000001</v>
      </c>
      <c r="EZ709">
        <v>1207.0999999999999</v>
      </c>
      <c r="FA709">
        <v>0</v>
      </c>
      <c r="FB709">
        <v>0</v>
      </c>
      <c r="FC709">
        <v>0</v>
      </c>
      <c r="FD709">
        <v>0</v>
      </c>
      <c r="FE709">
        <v>0</v>
      </c>
      <c r="FF709">
        <v>0</v>
      </c>
      <c r="FG709">
        <v>0</v>
      </c>
      <c r="FH709">
        <v>0</v>
      </c>
      <c r="FI709">
        <v>0</v>
      </c>
      <c r="FJ709">
        <v>0</v>
      </c>
      <c r="FK709">
        <v>0</v>
      </c>
      <c r="FL709">
        <v>0</v>
      </c>
      <c r="FM709">
        <v>0</v>
      </c>
      <c r="FN709">
        <v>0</v>
      </c>
      <c r="FO709">
        <v>0</v>
      </c>
      <c r="FP709">
        <v>0</v>
      </c>
      <c r="FQ709">
        <v>0</v>
      </c>
      <c r="FR709">
        <v>0</v>
      </c>
      <c r="FS709">
        <v>0</v>
      </c>
      <c r="FT709">
        <v>0</v>
      </c>
      <c r="FU709">
        <v>0</v>
      </c>
      <c r="FV709">
        <v>0</v>
      </c>
      <c r="FW709">
        <v>0</v>
      </c>
      <c r="FX709">
        <v>0</v>
      </c>
      <c r="FY709">
        <v>0</v>
      </c>
      <c r="FZ709">
        <v>0</v>
      </c>
      <c r="GA709">
        <v>0</v>
      </c>
      <c r="GB709">
        <v>0</v>
      </c>
      <c r="GC709">
        <v>0</v>
      </c>
      <c r="GD709">
        <v>0</v>
      </c>
      <c r="GE709">
        <v>0</v>
      </c>
      <c r="GF709">
        <v>0</v>
      </c>
      <c r="GG709">
        <v>0</v>
      </c>
      <c r="GH709">
        <v>0</v>
      </c>
      <c r="GI709">
        <v>0</v>
      </c>
      <c r="GJ709">
        <v>0</v>
      </c>
      <c r="GK709">
        <v>0</v>
      </c>
      <c r="GL709">
        <v>0</v>
      </c>
      <c r="GO709">
        <v>0</v>
      </c>
      <c r="GP709">
        <v>0</v>
      </c>
      <c r="GQ709">
        <v>0</v>
      </c>
      <c r="GR709">
        <v>0</v>
      </c>
      <c r="GS709">
        <v>0</v>
      </c>
      <c r="GT709">
        <v>0</v>
      </c>
      <c r="GU709">
        <v>0</v>
      </c>
      <c r="GV709">
        <v>0</v>
      </c>
      <c r="GW709">
        <v>0</v>
      </c>
      <c r="GX709">
        <v>0</v>
      </c>
      <c r="GY709">
        <v>0</v>
      </c>
      <c r="GZ709">
        <v>0</v>
      </c>
      <c r="HA709">
        <v>0</v>
      </c>
      <c r="HB709">
        <v>0</v>
      </c>
      <c r="HC709">
        <v>0</v>
      </c>
      <c r="HD709">
        <v>0</v>
      </c>
      <c r="HE709">
        <v>0</v>
      </c>
      <c r="HF709">
        <v>0</v>
      </c>
      <c r="HG709">
        <v>0</v>
      </c>
      <c r="HH709">
        <v>0</v>
      </c>
      <c r="HI709">
        <v>0</v>
      </c>
      <c r="HJ709">
        <v>0</v>
      </c>
      <c r="HK709">
        <v>0</v>
      </c>
      <c r="HL709">
        <v>0</v>
      </c>
      <c r="HM709">
        <v>0</v>
      </c>
      <c r="HN709">
        <v>0</v>
      </c>
      <c r="HO709">
        <v>0</v>
      </c>
      <c r="HP709">
        <v>0</v>
      </c>
      <c r="HQ709">
        <v>0</v>
      </c>
      <c r="HR709">
        <v>0</v>
      </c>
      <c r="HS709">
        <v>0</v>
      </c>
      <c r="HT709">
        <v>0</v>
      </c>
      <c r="HU709">
        <v>0</v>
      </c>
      <c r="HV709">
        <v>0</v>
      </c>
      <c r="HW709">
        <v>404.70000000000005</v>
      </c>
      <c r="HX709">
        <v>342.3</v>
      </c>
      <c r="HZ709">
        <v>866.2</v>
      </c>
      <c r="IA709">
        <v>1142.8</v>
      </c>
      <c r="IB709">
        <v>1121.5</v>
      </c>
      <c r="IC709">
        <v>2403</v>
      </c>
      <c r="ID709">
        <v>2659.3</v>
      </c>
      <c r="IE709">
        <v>1923.4</v>
      </c>
      <c r="IF709">
        <v>1465.7</v>
      </c>
      <c r="IG709">
        <v>1608.3</v>
      </c>
      <c r="IH709">
        <v>0</v>
      </c>
      <c r="II709">
        <v>0</v>
      </c>
      <c r="IJ709">
        <v>0</v>
      </c>
      <c r="IK709">
        <v>0</v>
      </c>
      <c r="IL709">
        <v>0</v>
      </c>
      <c r="IM709">
        <v>0</v>
      </c>
      <c r="IN709">
        <v>0</v>
      </c>
      <c r="IO709">
        <v>0</v>
      </c>
      <c r="IP709">
        <v>75.099999999999994</v>
      </c>
    </row>
    <row r="710" spans="1:250" ht="18" thickBot="1">
      <c r="A710" s="245"/>
      <c r="B710" s="245" t="s">
        <v>441</v>
      </c>
      <c r="C710" s="230" t="s">
        <v>1138</v>
      </c>
      <c r="D710" s="397"/>
      <c r="E710" s="454">
        <v>0</v>
      </c>
      <c r="F710">
        <v>0</v>
      </c>
      <c r="G710" s="427">
        <v>0</v>
      </c>
      <c r="H710" s="155">
        <v>0</v>
      </c>
      <c r="I710">
        <v>0</v>
      </c>
      <c r="J710">
        <v>0</v>
      </c>
      <c r="K710">
        <v>0</v>
      </c>
      <c r="L710" s="4">
        <v>0</v>
      </c>
      <c r="M710" s="4">
        <v>0</v>
      </c>
      <c r="N710" s="4">
        <v>0</v>
      </c>
      <c r="O710" s="4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R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G710">
        <v>0</v>
      </c>
      <c r="BI710">
        <v>0</v>
      </c>
      <c r="BK710">
        <v>0</v>
      </c>
      <c r="BL710">
        <v>0</v>
      </c>
      <c r="BM710">
        <v>0</v>
      </c>
      <c r="BN710">
        <v>0</v>
      </c>
      <c r="BO710">
        <v>344.70000000000005</v>
      </c>
      <c r="BP710">
        <v>625.70000000000005</v>
      </c>
      <c r="BQ710">
        <v>912.2</v>
      </c>
      <c r="BR710">
        <v>237.7</v>
      </c>
      <c r="BS710">
        <v>0</v>
      </c>
      <c r="BT710">
        <v>0</v>
      </c>
      <c r="BU710">
        <v>0</v>
      </c>
      <c r="BV710">
        <v>0</v>
      </c>
      <c r="BW710">
        <v>1647.4</v>
      </c>
      <c r="BY710">
        <v>453.1</v>
      </c>
      <c r="CA710">
        <v>285.39999999999998</v>
      </c>
      <c r="CB710">
        <v>280.8</v>
      </c>
      <c r="CC710">
        <v>127.7</v>
      </c>
      <c r="CD710">
        <v>0</v>
      </c>
      <c r="CE710">
        <v>0</v>
      </c>
      <c r="CF710">
        <v>0</v>
      </c>
      <c r="CG710">
        <v>0</v>
      </c>
      <c r="CI710">
        <v>0</v>
      </c>
      <c r="CJ710">
        <v>0</v>
      </c>
      <c r="CL710">
        <v>0</v>
      </c>
      <c r="CM710">
        <v>0</v>
      </c>
      <c r="CN710">
        <v>0</v>
      </c>
      <c r="CO710">
        <v>0</v>
      </c>
      <c r="CP710">
        <v>0</v>
      </c>
      <c r="CQ710">
        <v>621.70000000000005</v>
      </c>
      <c r="CR710">
        <v>481.70000000000005</v>
      </c>
      <c r="CS710">
        <v>0</v>
      </c>
      <c r="CT710">
        <v>524.6</v>
      </c>
      <c r="CU710">
        <v>514.1</v>
      </c>
      <c r="CV710">
        <v>175.2</v>
      </c>
      <c r="CW710">
        <v>0</v>
      </c>
      <c r="CX710">
        <v>65.099999999999994</v>
      </c>
      <c r="CY710">
        <v>199</v>
      </c>
      <c r="CZ710">
        <v>1907.9</v>
      </c>
      <c r="DA710">
        <v>0</v>
      </c>
      <c r="DB710">
        <v>0</v>
      </c>
      <c r="DC710">
        <v>0</v>
      </c>
      <c r="DD710">
        <v>0</v>
      </c>
      <c r="DE710">
        <v>0</v>
      </c>
      <c r="DF710">
        <v>0</v>
      </c>
      <c r="DG710">
        <v>0</v>
      </c>
      <c r="DH710">
        <v>0</v>
      </c>
      <c r="DI710">
        <v>0</v>
      </c>
      <c r="DJ710">
        <v>0</v>
      </c>
      <c r="DK710">
        <v>0</v>
      </c>
      <c r="DL710">
        <v>0</v>
      </c>
      <c r="DM710">
        <v>1065.4000000000001</v>
      </c>
      <c r="DN710">
        <v>599.70000000000005</v>
      </c>
      <c r="DO710">
        <v>319.7</v>
      </c>
      <c r="DP710">
        <v>1570.6999999999998</v>
      </c>
      <c r="DQ710">
        <v>1399.5</v>
      </c>
      <c r="DR710">
        <v>3581</v>
      </c>
      <c r="DU710">
        <v>1393.2</v>
      </c>
      <c r="DV710">
        <v>2862.6</v>
      </c>
      <c r="DY710">
        <v>2361</v>
      </c>
      <c r="EA710">
        <v>2409.6</v>
      </c>
      <c r="EC710">
        <v>1661.3999999999999</v>
      </c>
      <c r="EE710">
        <v>0</v>
      </c>
      <c r="EF710">
        <v>0</v>
      </c>
      <c r="EG710">
        <v>0</v>
      </c>
      <c r="EH710">
        <v>0</v>
      </c>
      <c r="EI710">
        <v>0</v>
      </c>
      <c r="EJ710">
        <v>0</v>
      </c>
      <c r="EK710">
        <v>0</v>
      </c>
      <c r="EL710">
        <v>0</v>
      </c>
      <c r="EM710">
        <v>0</v>
      </c>
      <c r="EN710">
        <v>0</v>
      </c>
      <c r="EO710">
        <v>0</v>
      </c>
      <c r="EP710">
        <v>944.5</v>
      </c>
      <c r="EQ710">
        <v>3459.7</v>
      </c>
      <c r="ER710">
        <v>1353.5</v>
      </c>
      <c r="ES710">
        <v>182.2</v>
      </c>
      <c r="ET710">
        <v>855.59999999999991</v>
      </c>
      <c r="EU710">
        <v>172.2</v>
      </c>
      <c r="EV710">
        <v>203.2</v>
      </c>
      <c r="EW710">
        <v>1173.0999999999999</v>
      </c>
      <c r="EX710">
        <v>1078.3</v>
      </c>
      <c r="EY710">
        <v>1194.4000000000001</v>
      </c>
      <c r="EZ710">
        <v>1207.0999999999999</v>
      </c>
      <c r="FA710">
        <v>0</v>
      </c>
      <c r="FB710">
        <v>0</v>
      </c>
      <c r="FC710">
        <v>0</v>
      </c>
      <c r="FD710">
        <v>0</v>
      </c>
      <c r="FE710">
        <v>0</v>
      </c>
      <c r="FF710">
        <v>0</v>
      </c>
      <c r="FG710">
        <v>0</v>
      </c>
      <c r="FH710">
        <v>0</v>
      </c>
      <c r="FI710">
        <v>0</v>
      </c>
      <c r="FJ710">
        <v>0</v>
      </c>
      <c r="FK710">
        <v>0</v>
      </c>
      <c r="FL710">
        <v>0</v>
      </c>
      <c r="FM710">
        <v>0</v>
      </c>
      <c r="FN710">
        <v>0</v>
      </c>
      <c r="FO710">
        <v>0</v>
      </c>
      <c r="FP710">
        <v>0</v>
      </c>
      <c r="FQ710">
        <v>0</v>
      </c>
      <c r="FR710">
        <v>0</v>
      </c>
      <c r="FS710">
        <v>0</v>
      </c>
      <c r="FT710">
        <v>0</v>
      </c>
      <c r="FU710">
        <v>0</v>
      </c>
      <c r="FV710">
        <v>0</v>
      </c>
      <c r="FW710">
        <v>0</v>
      </c>
      <c r="FX710">
        <v>0</v>
      </c>
      <c r="FY710">
        <v>0</v>
      </c>
      <c r="FZ710">
        <v>0</v>
      </c>
      <c r="GA710">
        <v>0</v>
      </c>
      <c r="GB710">
        <v>0</v>
      </c>
      <c r="GC710">
        <v>0</v>
      </c>
      <c r="GD710">
        <v>0</v>
      </c>
      <c r="GE710">
        <v>0</v>
      </c>
      <c r="GF710">
        <v>0</v>
      </c>
      <c r="GG710">
        <v>0</v>
      </c>
      <c r="GH710">
        <v>0</v>
      </c>
      <c r="GI710">
        <v>0</v>
      </c>
      <c r="GJ710">
        <v>0</v>
      </c>
      <c r="GK710">
        <v>0</v>
      </c>
      <c r="GL710">
        <v>0</v>
      </c>
      <c r="GO710">
        <v>0</v>
      </c>
      <c r="GP710">
        <v>0</v>
      </c>
      <c r="GQ710">
        <v>0</v>
      </c>
      <c r="GR710">
        <v>0</v>
      </c>
      <c r="GS710">
        <v>0</v>
      </c>
      <c r="GT710">
        <v>0</v>
      </c>
      <c r="GU710">
        <v>0</v>
      </c>
      <c r="GV710">
        <v>0</v>
      </c>
      <c r="GW710">
        <v>0</v>
      </c>
      <c r="GX710">
        <v>0</v>
      </c>
      <c r="GY710">
        <v>0</v>
      </c>
      <c r="GZ710">
        <v>0</v>
      </c>
      <c r="HA710">
        <v>0</v>
      </c>
      <c r="HB710">
        <v>0</v>
      </c>
      <c r="HC710">
        <v>0</v>
      </c>
      <c r="HD710">
        <v>0</v>
      </c>
      <c r="HE710">
        <v>0</v>
      </c>
      <c r="HF710">
        <v>0</v>
      </c>
      <c r="HG710">
        <v>0</v>
      </c>
      <c r="HH710">
        <v>0</v>
      </c>
      <c r="HI710">
        <v>0</v>
      </c>
      <c r="HJ710">
        <v>0</v>
      </c>
      <c r="HK710">
        <v>0</v>
      </c>
      <c r="HL710">
        <v>0</v>
      </c>
      <c r="HM710">
        <v>0</v>
      </c>
      <c r="HN710">
        <v>0</v>
      </c>
      <c r="HO710">
        <v>0</v>
      </c>
      <c r="HP710">
        <v>0</v>
      </c>
      <c r="HQ710">
        <v>0</v>
      </c>
      <c r="HR710">
        <v>0</v>
      </c>
      <c r="HS710">
        <v>0</v>
      </c>
      <c r="HT710">
        <v>0</v>
      </c>
      <c r="HU710">
        <v>0</v>
      </c>
      <c r="HV710">
        <v>0</v>
      </c>
      <c r="HW710">
        <v>404.70000000000005</v>
      </c>
      <c r="HX710">
        <v>342.3</v>
      </c>
      <c r="HZ710">
        <v>866.2</v>
      </c>
      <c r="IA710">
        <v>1142.8</v>
      </c>
      <c r="IB710">
        <v>1121.5</v>
      </c>
      <c r="IC710">
        <v>2403</v>
      </c>
      <c r="ID710">
        <v>2659.3</v>
      </c>
      <c r="IE710">
        <v>1923.4</v>
      </c>
      <c r="IF710">
        <v>1465.7</v>
      </c>
      <c r="IG710">
        <v>1608.3</v>
      </c>
      <c r="IH710">
        <v>0</v>
      </c>
      <c r="II710">
        <v>0</v>
      </c>
      <c r="IJ710">
        <v>0</v>
      </c>
      <c r="IK710">
        <v>0</v>
      </c>
      <c r="IL710">
        <v>0</v>
      </c>
      <c r="IM710">
        <v>0</v>
      </c>
      <c r="IN710">
        <v>0</v>
      </c>
      <c r="IO710">
        <v>0</v>
      </c>
      <c r="IP710">
        <v>75.099999999999994</v>
      </c>
    </row>
    <row r="711" spans="1:250" ht="18" thickBot="1">
      <c r="A711" s="245"/>
      <c r="B711" s="245" t="s">
        <v>442</v>
      </c>
      <c r="C711" s="230" t="s">
        <v>1139</v>
      </c>
      <c r="D711" s="397"/>
      <c r="E711" s="454">
        <v>0</v>
      </c>
      <c r="F711">
        <v>0</v>
      </c>
      <c r="G711" s="427">
        <v>0</v>
      </c>
      <c r="H711" s="155">
        <v>0</v>
      </c>
      <c r="I711">
        <v>0</v>
      </c>
      <c r="J711">
        <v>0</v>
      </c>
      <c r="K711">
        <v>0</v>
      </c>
      <c r="L711" s="4">
        <v>0</v>
      </c>
      <c r="M711" s="4">
        <v>0</v>
      </c>
      <c r="N711" s="4">
        <v>0</v>
      </c>
      <c r="O711" s="4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R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G711">
        <v>0</v>
      </c>
      <c r="BI711">
        <v>0</v>
      </c>
      <c r="BK711">
        <v>0</v>
      </c>
      <c r="BL711">
        <v>0</v>
      </c>
      <c r="BM711">
        <v>0</v>
      </c>
      <c r="BN711">
        <v>0</v>
      </c>
      <c r="BO711">
        <v>344.70000000000005</v>
      </c>
      <c r="BP711">
        <v>625.70000000000005</v>
      </c>
      <c r="BQ711">
        <v>912.2</v>
      </c>
      <c r="BR711">
        <v>237.7</v>
      </c>
      <c r="BS711">
        <v>0</v>
      </c>
      <c r="BT711">
        <v>0</v>
      </c>
      <c r="BU711">
        <v>0</v>
      </c>
      <c r="BV711">
        <v>0</v>
      </c>
      <c r="BW711">
        <v>1647.4</v>
      </c>
      <c r="BY711">
        <v>453.1</v>
      </c>
      <c r="CA711">
        <v>285.39999999999998</v>
      </c>
      <c r="CB711">
        <v>280.8</v>
      </c>
      <c r="CC711">
        <v>127.7</v>
      </c>
      <c r="CD711">
        <v>0</v>
      </c>
      <c r="CE711">
        <v>0</v>
      </c>
      <c r="CF711">
        <v>0</v>
      </c>
      <c r="CG711">
        <v>0</v>
      </c>
      <c r="CI711">
        <v>0</v>
      </c>
      <c r="CJ711">
        <v>0</v>
      </c>
      <c r="CL711">
        <v>0</v>
      </c>
      <c r="CM711">
        <v>0</v>
      </c>
      <c r="CN711">
        <v>0</v>
      </c>
      <c r="CO711">
        <v>0</v>
      </c>
      <c r="CP711">
        <v>0</v>
      </c>
      <c r="CQ711">
        <v>621.70000000000005</v>
      </c>
      <c r="CR711">
        <v>481.70000000000005</v>
      </c>
      <c r="CS711">
        <v>0</v>
      </c>
      <c r="CT711">
        <v>524.6</v>
      </c>
      <c r="CU711">
        <v>514.1</v>
      </c>
      <c r="CV711">
        <v>175.2</v>
      </c>
      <c r="CW711">
        <v>0</v>
      </c>
      <c r="CX711">
        <v>65.099999999999994</v>
      </c>
      <c r="CY711">
        <v>199</v>
      </c>
      <c r="CZ711">
        <v>1907.9</v>
      </c>
      <c r="DA711">
        <v>0</v>
      </c>
      <c r="DB711">
        <v>0</v>
      </c>
      <c r="DC711">
        <v>0</v>
      </c>
      <c r="DD711">
        <v>0</v>
      </c>
      <c r="DE711">
        <v>0</v>
      </c>
      <c r="DF711">
        <v>0</v>
      </c>
      <c r="DG711">
        <v>0</v>
      </c>
      <c r="DH711">
        <v>0</v>
      </c>
      <c r="DI711">
        <v>0</v>
      </c>
      <c r="DJ711">
        <v>0</v>
      </c>
      <c r="DK711">
        <v>0</v>
      </c>
      <c r="DL711">
        <v>0</v>
      </c>
      <c r="DM711">
        <v>1065.4000000000001</v>
      </c>
      <c r="DN711">
        <v>599.70000000000005</v>
      </c>
      <c r="DO711">
        <v>319.7</v>
      </c>
      <c r="DP711">
        <v>1570.6999999999998</v>
      </c>
      <c r="DQ711">
        <v>1399.5</v>
      </c>
      <c r="DR711">
        <v>3581</v>
      </c>
      <c r="DU711">
        <v>1393.2</v>
      </c>
      <c r="DV711">
        <v>2862.6</v>
      </c>
      <c r="DY711">
        <v>2361</v>
      </c>
      <c r="EA711">
        <v>2409.6</v>
      </c>
      <c r="EC711">
        <v>1661.3999999999999</v>
      </c>
      <c r="EE711">
        <v>0</v>
      </c>
      <c r="EF711">
        <v>0</v>
      </c>
      <c r="EG711">
        <v>0</v>
      </c>
      <c r="EH711">
        <v>0</v>
      </c>
      <c r="EI711">
        <v>0</v>
      </c>
      <c r="EJ711">
        <v>0</v>
      </c>
      <c r="EK711">
        <v>0</v>
      </c>
      <c r="EL711">
        <v>0</v>
      </c>
      <c r="EM711">
        <v>0</v>
      </c>
      <c r="EN711">
        <v>0</v>
      </c>
      <c r="EO711">
        <v>0</v>
      </c>
      <c r="EP711">
        <v>944.5</v>
      </c>
      <c r="EQ711">
        <v>3459.7</v>
      </c>
      <c r="ER711">
        <v>1353.5</v>
      </c>
      <c r="ES711">
        <v>182.2</v>
      </c>
      <c r="ET711">
        <v>855.59999999999991</v>
      </c>
      <c r="EU711">
        <v>172.2</v>
      </c>
      <c r="EV711">
        <v>203.2</v>
      </c>
      <c r="EW711">
        <v>1173.0999999999999</v>
      </c>
      <c r="EX711">
        <v>1078.3</v>
      </c>
      <c r="EY711">
        <v>1194.4000000000001</v>
      </c>
      <c r="EZ711">
        <v>1207.0999999999999</v>
      </c>
      <c r="FA711">
        <v>0</v>
      </c>
      <c r="FB711">
        <v>0</v>
      </c>
      <c r="FC711">
        <v>0</v>
      </c>
      <c r="FD711">
        <v>0</v>
      </c>
      <c r="FE711">
        <v>0</v>
      </c>
      <c r="FF711">
        <v>0</v>
      </c>
      <c r="FG711">
        <v>0</v>
      </c>
      <c r="FH711">
        <v>0</v>
      </c>
      <c r="FI711">
        <v>0</v>
      </c>
      <c r="FJ711">
        <v>0</v>
      </c>
      <c r="FK711">
        <v>0</v>
      </c>
      <c r="FL711">
        <v>0</v>
      </c>
      <c r="FM711">
        <v>0</v>
      </c>
      <c r="FN711">
        <v>0</v>
      </c>
      <c r="FO711">
        <v>0</v>
      </c>
      <c r="FP711">
        <v>0</v>
      </c>
      <c r="FQ711">
        <v>0</v>
      </c>
      <c r="FR711">
        <v>0</v>
      </c>
      <c r="FS711">
        <v>0</v>
      </c>
      <c r="FT711">
        <v>0</v>
      </c>
      <c r="FU711">
        <v>0</v>
      </c>
      <c r="FV711">
        <v>0</v>
      </c>
      <c r="FW711">
        <v>0</v>
      </c>
      <c r="FX711">
        <v>0</v>
      </c>
      <c r="FY711">
        <v>0</v>
      </c>
      <c r="FZ711">
        <v>0</v>
      </c>
      <c r="GA711">
        <v>0</v>
      </c>
      <c r="GB711">
        <v>0</v>
      </c>
      <c r="GC711">
        <v>0</v>
      </c>
      <c r="GD711">
        <v>0</v>
      </c>
      <c r="GE711">
        <v>0</v>
      </c>
      <c r="GF711">
        <v>0</v>
      </c>
      <c r="GG711">
        <v>0</v>
      </c>
      <c r="GH711">
        <v>0</v>
      </c>
      <c r="GI711">
        <v>0</v>
      </c>
      <c r="GJ711">
        <v>0</v>
      </c>
      <c r="GK711">
        <v>0</v>
      </c>
      <c r="GL711">
        <v>0</v>
      </c>
      <c r="GO711">
        <v>0</v>
      </c>
      <c r="GP711">
        <v>0</v>
      </c>
      <c r="GQ711">
        <v>0</v>
      </c>
      <c r="GR711">
        <v>0</v>
      </c>
      <c r="GS711">
        <v>0</v>
      </c>
      <c r="GT711">
        <v>0</v>
      </c>
      <c r="GU711">
        <v>0</v>
      </c>
      <c r="GV711">
        <v>0</v>
      </c>
      <c r="GW711">
        <v>0</v>
      </c>
      <c r="GX711">
        <v>0</v>
      </c>
      <c r="GY711">
        <v>0</v>
      </c>
      <c r="GZ711">
        <v>0</v>
      </c>
      <c r="HA711">
        <v>0</v>
      </c>
      <c r="HB711">
        <v>0</v>
      </c>
      <c r="HC711">
        <v>0</v>
      </c>
      <c r="HD711">
        <v>0</v>
      </c>
      <c r="HE711">
        <v>0</v>
      </c>
      <c r="HF711">
        <v>0</v>
      </c>
      <c r="HG711">
        <v>0</v>
      </c>
      <c r="HH711">
        <v>0</v>
      </c>
      <c r="HI711">
        <v>0</v>
      </c>
      <c r="HJ711">
        <v>0</v>
      </c>
      <c r="HK711">
        <v>0</v>
      </c>
      <c r="HL711">
        <v>0</v>
      </c>
      <c r="HM711">
        <v>0</v>
      </c>
      <c r="HN711">
        <v>0</v>
      </c>
      <c r="HO711">
        <v>0</v>
      </c>
      <c r="HP711">
        <v>0</v>
      </c>
      <c r="HQ711">
        <v>0</v>
      </c>
      <c r="HR711">
        <v>0</v>
      </c>
      <c r="HS711">
        <v>0</v>
      </c>
      <c r="HT711">
        <v>0</v>
      </c>
      <c r="HU711">
        <v>0</v>
      </c>
      <c r="HV711">
        <v>0</v>
      </c>
      <c r="HW711">
        <v>404.70000000000005</v>
      </c>
      <c r="HX711">
        <v>342.3</v>
      </c>
      <c r="HZ711">
        <v>866.2</v>
      </c>
      <c r="IA711">
        <v>1142.8</v>
      </c>
      <c r="IB711">
        <v>1121.5</v>
      </c>
      <c r="IC711">
        <v>2403</v>
      </c>
      <c r="ID711">
        <v>2659.3</v>
      </c>
      <c r="IE711">
        <v>1923.4</v>
      </c>
      <c r="IF711">
        <v>1465.7</v>
      </c>
      <c r="IG711">
        <v>1608.3</v>
      </c>
      <c r="IH711">
        <v>0</v>
      </c>
      <c r="II711">
        <v>0</v>
      </c>
      <c r="IJ711">
        <v>0</v>
      </c>
      <c r="IK711">
        <v>0</v>
      </c>
      <c r="IL711">
        <v>0</v>
      </c>
      <c r="IM711">
        <v>0</v>
      </c>
      <c r="IN711">
        <v>0</v>
      </c>
      <c r="IO711">
        <v>0</v>
      </c>
      <c r="IP711">
        <v>75.099999999999994</v>
      </c>
    </row>
    <row r="712" spans="1:250" ht="18" thickBot="1">
      <c r="A712" s="245"/>
      <c r="B712" s="245" t="s">
        <v>443</v>
      </c>
      <c r="C712" s="230" t="s">
        <v>1140</v>
      </c>
      <c r="D712" s="397"/>
      <c r="E712" s="454">
        <v>0</v>
      </c>
      <c r="F712">
        <v>0</v>
      </c>
      <c r="G712" s="427">
        <v>0</v>
      </c>
      <c r="H712" s="155">
        <v>0</v>
      </c>
      <c r="I712">
        <v>0</v>
      </c>
      <c r="J712">
        <v>0</v>
      </c>
      <c r="K712">
        <v>0</v>
      </c>
      <c r="L712" s="4">
        <v>0</v>
      </c>
      <c r="M712" s="4">
        <v>0</v>
      </c>
      <c r="N712" s="4">
        <v>0</v>
      </c>
      <c r="O712" s="4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R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G712">
        <v>0</v>
      </c>
      <c r="BI712">
        <v>0</v>
      </c>
      <c r="BK712">
        <v>0</v>
      </c>
      <c r="BL712">
        <v>0</v>
      </c>
      <c r="BM712">
        <v>0</v>
      </c>
      <c r="BN712">
        <v>0</v>
      </c>
      <c r="BO712">
        <v>344.70000000000005</v>
      </c>
      <c r="BP712">
        <v>625.70000000000005</v>
      </c>
      <c r="BQ712">
        <v>912.2</v>
      </c>
      <c r="BR712">
        <v>237.7</v>
      </c>
      <c r="BS712">
        <v>0</v>
      </c>
      <c r="BT712">
        <v>0</v>
      </c>
      <c r="BU712">
        <v>0</v>
      </c>
      <c r="BV712">
        <v>0</v>
      </c>
      <c r="BW712">
        <v>1647.4</v>
      </c>
      <c r="BY712">
        <v>453.1</v>
      </c>
      <c r="CA712">
        <v>285.39999999999998</v>
      </c>
      <c r="CB712">
        <v>280.8</v>
      </c>
      <c r="CC712">
        <v>127.7</v>
      </c>
      <c r="CD712">
        <v>0</v>
      </c>
      <c r="CE712">
        <v>0</v>
      </c>
      <c r="CF712">
        <v>0</v>
      </c>
      <c r="CG712">
        <v>0</v>
      </c>
      <c r="CI712">
        <v>0</v>
      </c>
      <c r="CJ712">
        <v>0</v>
      </c>
      <c r="CL712">
        <v>0</v>
      </c>
      <c r="CM712">
        <v>0</v>
      </c>
      <c r="CN712">
        <v>0</v>
      </c>
      <c r="CO712">
        <v>0</v>
      </c>
      <c r="CP712">
        <v>0</v>
      </c>
      <c r="CQ712">
        <v>621.70000000000005</v>
      </c>
      <c r="CR712">
        <v>481.70000000000005</v>
      </c>
      <c r="CS712">
        <v>0</v>
      </c>
      <c r="CT712">
        <v>524.6</v>
      </c>
      <c r="CU712">
        <v>514.1</v>
      </c>
      <c r="CV712">
        <v>175.2</v>
      </c>
      <c r="CW712">
        <v>0</v>
      </c>
      <c r="CX712">
        <v>65.099999999999994</v>
      </c>
      <c r="CY712">
        <v>199</v>
      </c>
      <c r="CZ712">
        <v>1907.9</v>
      </c>
      <c r="DA712">
        <v>0</v>
      </c>
      <c r="DB712">
        <v>0</v>
      </c>
      <c r="DC712">
        <v>0</v>
      </c>
      <c r="DD712">
        <v>0</v>
      </c>
      <c r="DE712">
        <v>0</v>
      </c>
      <c r="DF712">
        <v>0</v>
      </c>
      <c r="DG712">
        <v>0</v>
      </c>
      <c r="DH712">
        <v>0</v>
      </c>
      <c r="DI712">
        <v>0</v>
      </c>
      <c r="DJ712">
        <v>0</v>
      </c>
      <c r="DK712">
        <v>0</v>
      </c>
      <c r="DL712">
        <v>0</v>
      </c>
      <c r="DM712">
        <v>1065.4000000000001</v>
      </c>
      <c r="DN712">
        <v>599.70000000000005</v>
      </c>
      <c r="DO712">
        <v>319.7</v>
      </c>
      <c r="DP712">
        <v>1570.6999999999998</v>
      </c>
      <c r="DQ712">
        <v>1399.5</v>
      </c>
      <c r="DR712">
        <v>3581</v>
      </c>
      <c r="DU712">
        <v>1393.2</v>
      </c>
      <c r="DV712">
        <v>2862.6</v>
      </c>
      <c r="DY712">
        <v>2361</v>
      </c>
      <c r="EA712">
        <v>2409.6</v>
      </c>
      <c r="EC712">
        <v>1661.3999999999999</v>
      </c>
      <c r="EE712">
        <v>0</v>
      </c>
      <c r="EF712">
        <v>0</v>
      </c>
      <c r="EG712">
        <v>0</v>
      </c>
      <c r="EH712">
        <v>0</v>
      </c>
      <c r="EI712">
        <v>0</v>
      </c>
      <c r="EJ712">
        <v>0</v>
      </c>
      <c r="EK712">
        <v>0</v>
      </c>
      <c r="EL712">
        <v>0</v>
      </c>
      <c r="EM712">
        <v>0</v>
      </c>
      <c r="EN712">
        <v>0</v>
      </c>
      <c r="EO712">
        <v>0</v>
      </c>
      <c r="EP712">
        <v>944.5</v>
      </c>
      <c r="EQ712">
        <v>3459.7</v>
      </c>
      <c r="ER712">
        <v>1353.5</v>
      </c>
      <c r="ES712">
        <v>182.2</v>
      </c>
      <c r="ET712">
        <v>855.59999999999991</v>
      </c>
      <c r="EU712">
        <v>172.2</v>
      </c>
      <c r="EV712">
        <v>203.2</v>
      </c>
      <c r="EW712">
        <v>1173.0999999999999</v>
      </c>
      <c r="EX712">
        <v>1078.3</v>
      </c>
      <c r="EY712">
        <v>1194.4000000000001</v>
      </c>
      <c r="EZ712">
        <v>1207.0999999999999</v>
      </c>
      <c r="FA712">
        <v>0</v>
      </c>
      <c r="FB712">
        <v>0</v>
      </c>
      <c r="FC712">
        <v>0</v>
      </c>
      <c r="FD712">
        <v>0</v>
      </c>
      <c r="FE712">
        <v>0</v>
      </c>
      <c r="FF712">
        <v>0</v>
      </c>
      <c r="FG712">
        <v>0</v>
      </c>
      <c r="FH712">
        <v>0</v>
      </c>
      <c r="FI712">
        <v>0</v>
      </c>
      <c r="FJ712">
        <v>0</v>
      </c>
      <c r="FK712">
        <v>0</v>
      </c>
      <c r="FL712">
        <v>0</v>
      </c>
      <c r="FM712">
        <v>0</v>
      </c>
      <c r="FN712">
        <v>0</v>
      </c>
      <c r="FO712">
        <v>0</v>
      </c>
      <c r="FP712">
        <v>0</v>
      </c>
      <c r="FQ712">
        <v>0</v>
      </c>
      <c r="FR712">
        <v>0</v>
      </c>
      <c r="FS712">
        <v>0</v>
      </c>
      <c r="FT712">
        <v>0</v>
      </c>
      <c r="FU712">
        <v>0</v>
      </c>
      <c r="FV712">
        <v>0</v>
      </c>
      <c r="FW712">
        <v>0</v>
      </c>
      <c r="FX712">
        <v>0</v>
      </c>
      <c r="FY712">
        <v>0</v>
      </c>
      <c r="FZ712">
        <v>0</v>
      </c>
      <c r="GA712">
        <v>0</v>
      </c>
      <c r="GB712">
        <v>0</v>
      </c>
      <c r="GC712">
        <v>0</v>
      </c>
      <c r="GD712">
        <v>0</v>
      </c>
      <c r="GE712">
        <v>0</v>
      </c>
      <c r="GF712">
        <v>0</v>
      </c>
      <c r="GG712">
        <v>0</v>
      </c>
      <c r="GH712">
        <v>0</v>
      </c>
      <c r="GI712">
        <v>0</v>
      </c>
      <c r="GJ712">
        <v>0</v>
      </c>
      <c r="GK712">
        <v>0</v>
      </c>
      <c r="GL712">
        <v>0</v>
      </c>
      <c r="GO712">
        <v>0</v>
      </c>
      <c r="GP712">
        <v>0</v>
      </c>
      <c r="GQ712">
        <v>0</v>
      </c>
      <c r="GR712">
        <v>0</v>
      </c>
      <c r="GS712">
        <v>0</v>
      </c>
      <c r="GT712">
        <v>0</v>
      </c>
      <c r="GU712">
        <v>0</v>
      </c>
      <c r="GV712">
        <v>0</v>
      </c>
      <c r="GW712">
        <v>0</v>
      </c>
      <c r="GX712">
        <v>0</v>
      </c>
      <c r="GY712">
        <v>0</v>
      </c>
      <c r="GZ712">
        <v>0</v>
      </c>
      <c r="HA712">
        <v>0</v>
      </c>
      <c r="HB712">
        <v>0</v>
      </c>
      <c r="HC712">
        <v>0</v>
      </c>
      <c r="HD712">
        <v>0</v>
      </c>
      <c r="HE712">
        <v>0</v>
      </c>
      <c r="HF712">
        <v>0</v>
      </c>
      <c r="HG712">
        <v>0</v>
      </c>
      <c r="HH712">
        <v>0</v>
      </c>
      <c r="HI712">
        <v>0</v>
      </c>
      <c r="HJ712">
        <v>0</v>
      </c>
      <c r="HK712">
        <v>0</v>
      </c>
      <c r="HL712">
        <v>0</v>
      </c>
      <c r="HM712">
        <v>0</v>
      </c>
      <c r="HN712">
        <v>0</v>
      </c>
      <c r="HO712">
        <v>0</v>
      </c>
      <c r="HP712">
        <v>0</v>
      </c>
      <c r="HQ712">
        <v>0</v>
      </c>
      <c r="HR712">
        <v>0</v>
      </c>
      <c r="HS712">
        <v>0</v>
      </c>
      <c r="HT712">
        <v>0</v>
      </c>
      <c r="HU712">
        <v>0</v>
      </c>
      <c r="HV712">
        <v>0</v>
      </c>
      <c r="HW712">
        <v>404.70000000000005</v>
      </c>
      <c r="HX712">
        <v>342.3</v>
      </c>
      <c r="HZ712">
        <v>866.2</v>
      </c>
      <c r="IA712">
        <v>1142.8</v>
      </c>
      <c r="IB712">
        <v>1121.5</v>
      </c>
      <c r="IC712">
        <v>2403</v>
      </c>
      <c r="ID712">
        <v>2659.3</v>
      </c>
      <c r="IE712">
        <v>1923.4</v>
      </c>
      <c r="IF712">
        <v>1465.7</v>
      </c>
      <c r="IG712">
        <v>1608.3</v>
      </c>
      <c r="IH712">
        <v>0</v>
      </c>
      <c r="II712">
        <v>0</v>
      </c>
      <c r="IJ712">
        <v>0</v>
      </c>
      <c r="IK712">
        <v>0</v>
      </c>
      <c r="IL712">
        <v>0</v>
      </c>
      <c r="IM712">
        <v>0</v>
      </c>
      <c r="IN712">
        <v>0</v>
      </c>
      <c r="IO712">
        <v>0</v>
      </c>
      <c r="IP712">
        <v>75.099999999999994</v>
      </c>
    </row>
    <row r="713" spans="1:250" ht="18" thickBot="1">
      <c r="A713" s="245"/>
      <c r="B713" s="245" t="s">
        <v>444</v>
      </c>
      <c r="C713" s="230" t="s">
        <v>1141</v>
      </c>
      <c r="D713" s="397"/>
      <c r="E713" s="454">
        <v>0</v>
      </c>
      <c r="F713">
        <v>0</v>
      </c>
      <c r="G713" s="427">
        <v>0</v>
      </c>
      <c r="H713" s="155">
        <v>0</v>
      </c>
      <c r="I713">
        <v>0</v>
      </c>
      <c r="J713">
        <v>0</v>
      </c>
      <c r="K713">
        <v>0</v>
      </c>
      <c r="L713" s="4">
        <v>0</v>
      </c>
      <c r="M713" s="4">
        <v>0</v>
      </c>
      <c r="N713" s="4">
        <v>0</v>
      </c>
      <c r="O713" s="4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R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G713">
        <v>0</v>
      </c>
      <c r="BI713">
        <v>0</v>
      </c>
      <c r="BK713">
        <v>0</v>
      </c>
      <c r="BL713">
        <v>0</v>
      </c>
      <c r="BM713">
        <v>0</v>
      </c>
      <c r="BN713">
        <v>0</v>
      </c>
      <c r="BO713">
        <v>344.70000000000005</v>
      </c>
      <c r="BP713">
        <v>625.70000000000005</v>
      </c>
      <c r="BQ713">
        <v>912.2</v>
      </c>
      <c r="BR713">
        <v>237.7</v>
      </c>
      <c r="BS713">
        <v>0</v>
      </c>
      <c r="BT713">
        <v>0</v>
      </c>
      <c r="BU713">
        <v>0</v>
      </c>
      <c r="BV713">
        <v>0</v>
      </c>
      <c r="BW713">
        <v>1647.4</v>
      </c>
      <c r="BY713">
        <v>453.1</v>
      </c>
      <c r="CA713">
        <v>285.39999999999998</v>
      </c>
      <c r="CB713">
        <v>280.8</v>
      </c>
      <c r="CC713">
        <v>127.7</v>
      </c>
      <c r="CD713">
        <v>0</v>
      </c>
      <c r="CE713">
        <v>0</v>
      </c>
      <c r="CF713">
        <v>0</v>
      </c>
      <c r="CG713">
        <v>0</v>
      </c>
      <c r="CI713">
        <v>0</v>
      </c>
      <c r="CJ713">
        <v>0</v>
      </c>
      <c r="CL713">
        <v>0</v>
      </c>
      <c r="CM713">
        <v>0</v>
      </c>
      <c r="CN713">
        <v>0</v>
      </c>
      <c r="CO713">
        <v>0</v>
      </c>
      <c r="CP713">
        <v>0</v>
      </c>
      <c r="CQ713">
        <v>621.70000000000005</v>
      </c>
      <c r="CR713">
        <v>481.70000000000005</v>
      </c>
      <c r="CS713">
        <v>0</v>
      </c>
      <c r="CT713">
        <v>524.6</v>
      </c>
      <c r="CU713">
        <v>514.1</v>
      </c>
      <c r="CV713">
        <v>175.2</v>
      </c>
      <c r="CW713">
        <v>0</v>
      </c>
      <c r="CX713">
        <v>65.099999999999994</v>
      </c>
      <c r="CY713">
        <v>199</v>
      </c>
      <c r="CZ713">
        <v>1907.9</v>
      </c>
      <c r="DA713">
        <v>0</v>
      </c>
      <c r="DB713">
        <v>0</v>
      </c>
      <c r="DC713">
        <v>0</v>
      </c>
      <c r="DD713">
        <v>0</v>
      </c>
      <c r="DE713">
        <v>0</v>
      </c>
      <c r="DF713">
        <v>0</v>
      </c>
      <c r="DG713">
        <v>0</v>
      </c>
      <c r="DH713">
        <v>0</v>
      </c>
      <c r="DI713">
        <v>0</v>
      </c>
      <c r="DJ713">
        <v>0</v>
      </c>
      <c r="DK713">
        <v>0</v>
      </c>
      <c r="DL713">
        <v>0</v>
      </c>
      <c r="DM713">
        <v>1065.4000000000001</v>
      </c>
      <c r="DN713">
        <v>599.70000000000005</v>
      </c>
      <c r="DO713">
        <v>319.7</v>
      </c>
      <c r="DP713">
        <v>1570.6999999999998</v>
      </c>
      <c r="DQ713">
        <v>1399.5</v>
      </c>
      <c r="DR713">
        <v>3581</v>
      </c>
      <c r="DU713">
        <v>1393.2</v>
      </c>
      <c r="DV713">
        <v>2862.6</v>
      </c>
      <c r="DY713">
        <v>2361</v>
      </c>
      <c r="EA713">
        <v>2409.6</v>
      </c>
      <c r="EC713">
        <v>1661.3999999999999</v>
      </c>
      <c r="EE713">
        <v>0</v>
      </c>
      <c r="EF713">
        <v>0</v>
      </c>
      <c r="EG713">
        <v>0</v>
      </c>
      <c r="EH713">
        <v>0</v>
      </c>
      <c r="EI713">
        <v>0</v>
      </c>
      <c r="EJ713">
        <v>0</v>
      </c>
      <c r="EK713">
        <v>0</v>
      </c>
      <c r="EL713">
        <v>0</v>
      </c>
      <c r="EM713">
        <v>0</v>
      </c>
      <c r="EN713">
        <v>0</v>
      </c>
      <c r="EO713">
        <v>0</v>
      </c>
      <c r="EP713">
        <v>944.5</v>
      </c>
      <c r="EQ713">
        <v>3459.7</v>
      </c>
      <c r="ER713">
        <v>1353.5</v>
      </c>
      <c r="ES713">
        <v>182.2</v>
      </c>
      <c r="ET713">
        <v>855.59999999999991</v>
      </c>
      <c r="EU713">
        <v>172.2</v>
      </c>
      <c r="EV713">
        <v>203.2</v>
      </c>
      <c r="EW713">
        <v>1173.0999999999999</v>
      </c>
      <c r="EX713">
        <v>1078.3</v>
      </c>
      <c r="EY713">
        <v>1194.4000000000001</v>
      </c>
      <c r="EZ713">
        <v>1207.0999999999999</v>
      </c>
      <c r="FA713">
        <v>0</v>
      </c>
      <c r="FB713">
        <v>0</v>
      </c>
      <c r="FC713">
        <v>0</v>
      </c>
      <c r="FD713">
        <v>0</v>
      </c>
      <c r="FE713">
        <v>0</v>
      </c>
      <c r="FF713">
        <v>0</v>
      </c>
      <c r="FG713">
        <v>0</v>
      </c>
      <c r="FH713">
        <v>0</v>
      </c>
      <c r="FI713">
        <v>0</v>
      </c>
      <c r="FJ713">
        <v>0</v>
      </c>
      <c r="FK713">
        <v>0</v>
      </c>
      <c r="FL713">
        <v>0</v>
      </c>
      <c r="FM713">
        <v>0</v>
      </c>
      <c r="FN713">
        <v>0</v>
      </c>
      <c r="FO713">
        <v>0</v>
      </c>
      <c r="FP713">
        <v>0</v>
      </c>
      <c r="FQ713">
        <v>0</v>
      </c>
      <c r="FR713">
        <v>0</v>
      </c>
      <c r="FS713">
        <v>0</v>
      </c>
      <c r="FT713">
        <v>0</v>
      </c>
      <c r="FU713">
        <v>0</v>
      </c>
      <c r="FV713">
        <v>0</v>
      </c>
      <c r="FW713">
        <v>0</v>
      </c>
      <c r="FX713">
        <v>0</v>
      </c>
      <c r="FY713">
        <v>0</v>
      </c>
      <c r="FZ713">
        <v>0</v>
      </c>
      <c r="GA713">
        <v>0</v>
      </c>
      <c r="GB713">
        <v>0</v>
      </c>
      <c r="GC713">
        <v>0</v>
      </c>
      <c r="GD713">
        <v>0</v>
      </c>
      <c r="GE713">
        <v>0</v>
      </c>
      <c r="GF713">
        <v>0</v>
      </c>
      <c r="GG713">
        <v>0</v>
      </c>
      <c r="GH713">
        <v>0</v>
      </c>
      <c r="GI713">
        <v>0</v>
      </c>
      <c r="GJ713">
        <v>0</v>
      </c>
      <c r="GK713">
        <v>0</v>
      </c>
      <c r="GL713">
        <v>0</v>
      </c>
      <c r="GO713">
        <v>0</v>
      </c>
      <c r="GP713">
        <v>0</v>
      </c>
      <c r="GQ713">
        <v>0</v>
      </c>
      <c r="GR713">
        <v>0</v>
      </c>
      <c r="GS713">
        <v>0</v>
      </c>
      <c r="GT713">
        <v>0</v>
      </c>
      <c r="GU713">
        <v>0</v>
      </c>
      <c r="GV713">
        <v>0</v>
      </c>
      <c r="GW713">
        <v>0</v>
      </c>
      <c r="GX713">
        <v>0</v>
      </c>
      <c r="GY713">
        <v>0</v>
      </c>
      <c r="GZ713">
        <v>0</v>
      </c>
      <c r="HA713">
        <v>0</v>
      </c>
      <c r="HB713">
        <v>0</v>
      </c>
      <c r="HC713">
        <v>0</v>
      </c>
      <c r="HD713">
        <v>0</v>
      </c>
      <c r="HE713">
        <v>0</v>
      </c>
      <c r="HF713">
        <v>0</v>
      </c>
      <c r="HG713">
        <v>0</v>
      </c>
      <c r="HH713">
        <v>0</v>
      </c>
      <c r="HI713">
        <v>0</v>
      </c>
      <c r="HJ713">
        <v>0</v>
      </c>
      <c r="HK713">
        <v>0</v>
      </c>
      <c r="HL713">
        <v>0</v>
      </c>
      <c r="HM713">
        <v>0</v>
      </c>
      <c r="HN713">
        <v>0</v>
      </c>
      <c r="HO713">
        <v>0</v>
      </c>
      <c r="HP713">
        <v>0</v>
      </c>
      <c r="HQ713">
        <v>0</v>
      </c>
      <c r="HR713">
        <v>0</v>
      </c>
      <c r="HS713">
        <v>0</v>
      </c>
      <c r="HT713">
        <v>0</v>
      </c>
      <c r="HU713">
        <v>0</v>
      </c>
      <c r="HV713">
        <v>0</v>
      </c>
      <c r="HW713">
        <v>404.70000000000005</v>
      </c>
      <c r="HX713">
        <v>342.3</v>
      </c>
      <c r="HZ713">
        <v>866.2</v>
      </c>
      <c r="IA713">
        <v>1142.8</v>
      </c>
      <c r="IB713">
        <v>1121.5</v>
      </c>
      <c r="IC713">
        <v>2403</v>
      </c>
      <c r="ID713">
        <v>2659.3</v>
      </c>
      <c r="IE713">
        <v>1923.4</v>
      </c>
      <c r="IF713">
        <v>1465.7</v>
      </c>
      <c r="IG713">
        <v>1608.3</v>
      </c>
      <c r="IH713">
        <v>0</v>
      </c>
      <c r="II713">
        <v>0</v>
      </c>
      <c r="IJ713">
        <v>0</v>
      </c>
      <c r="IK713">
        <v>0</v>
      </c>
      <c r="IL713">
        <v>0</v>
      </c>
      <c r="IM713">
        <v>0</v>
      </c>
      <c r="IN713">
        <v>0</v>
      </c>
      <c r="IO713">
        <v>0</v>
      </c>
      <c r="IP713">
        <v>75.099999999999994</v>
      </c>
    </row>
    <row r="714" spans="1:250" ht="18" thickBot="1">
      <c r="A714" s="245"/>
      <c r="B714" s="245" t="s">
        <v>445</v>
      </c>
      <c r="C714" s="230" t="s">
        <v>1142</v>
      </c>
      <c r="D714" s="397"/>
      <c r="E714" s="454">
        <v>0</v>
      </c>
      <c r="F714">
        <v>0</v>
      </c>
      <c r="G714" s="427">
        <v>0</v>
      </c>
      <c r="H714" s="155">
        <v>0</v>
      </c>
      <c r="I714">
        <v>0</v>
      </c>
      <c r="J714">
        <v>0</v>
      </c>
      <c r="K714">
        <v>0</v>
      </c>
      <c r="L714" s="4">
        <v>0</v>
      </c>
      <c r="M714" s="4">
        <v>0</v>
      </c>
      <c r="N714" s="4">
        <v>0</v>
      </c>
      <c r="O714" s="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R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G714">
        <v>0</v>
      </c>
      <c r="BI714">
        <v>0</v>
      </c>
      <c r="BK714">
        <v>0</v>
      </c>
      <c r="BL714">
        <v>0</v>
      </c>
      <c r="BM714">
        <v>0</v>
      </c>
      <c r="BN714">
        <v>0</v>
      </c>
      <c r="BO714">
        <v>344.70000000000005</v>
      </c>
      <c r="BP714">
        <v>625.70000000000005</v>
      </c>
      <c r="BQ714">
        <v>912.2</v>
      </c>
      <c r="BR714">
        <v>237.7</v>
      </c>
      <c r="BS714">
        <v>0</v>
      </c>
      <c r="BT714">
        <v>0</v>
      </c>
      <c r="BU714">
        <v>0</v>
      </c>
      <c r="BV714">
        <v>0</v>
      </c>
      <c r="BW714">
        <v>1647.4</v>
      </c>
      <c r="BY714">
        <v>453.1</v>
      </c>
      <c r="CA714">
        <v>285.39999999999998</v>
      </c>
      <c r="CB714">
        <v>280.8</v>
      </c>
      <c r="CC714">
        <v>127.7</v>
      </c>
      <c r="CD714">
        <v>0</v>
      </c>
      <c r="CE714">
        <v>0</v>
      </c>
      <c r="CF714">
        <v>0</v>
      </c>
      <c r="CG714">
        <v>0</v>
      </c>
      <c r="CI714">
        <v>0</v>
      </c>
      <c r="CJ714">
        <v>0</v>
      </c>
      <c r="CL714">
        <v>0</v>
      </c>
      <c r="CM714">
        <v>0</v>
      </c>
      <c r="CN714">
        <v>0</v>
      </c>
      <c r="CO714">
        <v>0</v>
      </c>
      <c r="CP714">
        <v>0</v>
      </c>
      <c r="CQ714">
        <v>621.70000000000005</v>
      </c>
      <c r="CR714">
        <v>481.70000000000005</v>
      </c>
      <c r="CS714">
        <v>0</v>
      </c>
      <c r="CT714">
        <v>524.6</v>
      </c>
      <c r="CU714">
        <v>514.1</v>
      </c>
      <c r="CV714">
        <v>175.2</v>
      </c>
      <c r="CW714">
        <v>0</v>
      </c>
      <c r="CX714">
        <v>65.099999999999994</v>
      </c>
      <c r="CY714">
        <v>199</v>
      </c>
      <c r="CZ714">
        <v>1907.9</v>
      </c>
      <c r="DA714">
        <v>0</v>
      </c>
      <c r="DB714">
        <v>0</v>
      </c>
      <c r="DC714">
        <v>0</v>
      </c>
      <c r="DD714">
        <v>0</v>
      </c>
      <c r="DE714">
        <v>0</v>
      </c>
      <c r="DF714">
        <v>0</v>
      </c>
      <c r="DG714">
        <v>0</v>
      </c>
      <c r="DH714">
        <v>0</v>
      </c>
      <c r="DI714">
        <v>0</v>
      </c>
      <c r="DJ714">
        <v>0</v>
      </c>
      <c r="DK714">
        <v>0</v>
      </c>
      <c r="DL714">
        <v>0</v>
      </c>
      <c r="DM714">
        <v>1065.4000000000001</v>
      </c>
      <c r="DN714">
        <v>599.70000000000005</v>
      </c>
      <c r="DO714">
        <v>319.7</v>
      </c>
      <c r="DP714">
        <v>1570.6999999999998</v>
      </c>
      <c r="DQ714">
        <v>1399.5</v>
      </c>
      <c r="DR714">
        <v>3581</v>
      </c>
      <c r="DU714">
        <v>1393.2</v>
      </c>
      <c r="DV714">
        <v>2862.6</v>
      </c>
      <c r="DY714">
        <v>2361</v>
      </c>
      <c r="EA714">
        <v>2409.6</v>
      </c>
      <c r="EC714">
        <v>1661.3999999999999</v>
      </c>
      <c r="EE714">
        <v>0</v>
      </c>
      <c r="EF714">
        <v>0</v>
      </c>
      <c r="EG714">
        <v>0</v>
      </c>
      <c r="EH714">
        <v>0</v>
      </c>
      <c r="EI714">
        <v>0</v>
      </c>
      <c r="EJ714">
        <v>0</v>
      </c>
      <c r="EK714">
        <v>0</v>
      </c>
      <c r="EL714">
        <v>0</v>
      </c>
      <c r="EM714">
        <v>0</v>
      </c>
      <c r="EN714">
        <v>0</v>
      </c>
      <c r="EO714">
        <v>0</v>
      </c>
      <c r="EP714">
        <v>944.5</v>
      </c>
      <c r="EQ714">
        <v>3459.7</v>
      </c>
      <c r="ER714">
        <v>1353.5</v>
      </c>
      <c r="ES714">
        <v>182.2</v>
      </c>
      <c r="ET714">
        <v>855.59999999999991</v>
      </c>
      <c r="EU714">
        <v>172.2</v>
      </c>
      <c r="EV714">
        <v>203.2</v>
      </c>
      <c r="EW714">
        <v>1173.0999999999999</v>
      </c>
      <c r="EX714">
        <v>1078.3</v>
      </c>
      <c r="EY714">
        <v>1194.4000000000001</v>
      </c>
      <c r="EZ714">
        <v>1207.0999999999999</v>
      </c>
      <c r="FA714">
        <v>0</v>
      </c>
      <c r="FB714">
        <v>0</v>
      </c>
      <c r="FC714">
        <v>0</v>
      </c>
      <c r="FD714">
        <v>0</v>
      </c>
      <c r="FE714">
        <v>0</v>
      </c>
      <c r="FF714">
        <v>0</v>
      </c>
      <c r="FG714">
        <v>0</v>
      </c>
      <c r="FH714">
        <v>0</v>
      </c>
      <c r="FI714">
        <v>0</v>
      </c>
      <c r="FJ714">
        <v>0</v>
      </c>
      <c r="FK714">
        <v>0</v>
      </c>
      <c r="FL714">
        <v>0</v>
      </c>
      <c r="FM714">
        <v>0</v>
      </c>
      <c r="FN714">
        <v>0</v>
      </c>
      <c r="FO714">
        <v>0</v>
      </c>
      <c r="FP714">
        <v>0</v>
      </c>
      <c r="FQ714">
        <v>0</v>
      </c>
      <c r="FR714">
        <v>0</v>
      </c>
      <c r="FS714">
        <v>0</v>
      </c>
      <c r="FT714">
        <v>0</v>
      </c>
      <c r="FU714">
        <v>0</v>
      </c>
      <c r="FV714">
        <v>0</v>
      </c>
      <c r="FW714">
        <v>0</v>
      </c>
      <c r="FX714">
        <v>0</v>
      </c>
      <c r="FY714">
        <v>0</v>
      </c>
      <c r="FZ714">
        <v>0</v>
      </c>
      <c r="GA714">
        <v>0</v>
      </c>
      <c r="GB714">
        <v>0</v>
      </c>
      <c r="GC714">
        <v>0</v>
      </c>
      <c r="GD714">
        <v>0</v>
      </c>
      <c r="GE714">
        <v>0</v>
      </c>
      <c r="GF714">
        <v>0</v>
      </c>
      <c r="GG714">
        <v>0</v>
      </c>
      <c r="GH714">
        <v>0</v>
      </c>
      <c r="GI714">
        <v>0</v>
      </c>
      <c r="GJ714">
        <v>0</v>
      </c>
      <c r="GK714">
        <v>0</v>
      </c>
      <c r="GL714">
        <v>0</v>
      </c>
      <c r="GO714">
        <v>0</v>
      </c>
      <c r="GP714">
        <v>0</v>
      </c>
      <c r="GQ714">
        <v>0</v>
      </c>
      <c r="GR714">
        <v>0</v>
      </c>
      <c r="GS714">
        <v>0</v>
      </c>
      <c r="GT714">
        <v>0</v>
      </c>
      <c r="GU714">
        <v>0</v>
      </c>
      <c r="GV714">
        <v>0</v>
      </c>
      <c r="GW714">
        <v>0</v>
      </c>
      <c r="GX714">
        <v>0</v>
      </c>
      <c r="GY714">
        <v>0</v>
      </c>
      <c r="GZ714">
        <v>0</v>
      </c>
      <c r="HA714">
        <v>0</v>
      </c>
      <c r="HB714">
        <v>0</v>
      </c>
      <c r="HC714">
        <v>0</v>
      </c>
      <c r="HD714">
        <v>0</v>
      </c>
      <c r="HE714">
        <v>0</v>
      </c>
      <c r="HF714">
        <v>0</v>
      </c>
      <c r="HG714">
        <v>0</v>
      </c>
      <c r="HH714">
        <v>0</v>
      </c>
      <c r="HI714">
        <v>0</v>
      </c>
      <c r="HJ714">
        <v>0</v>
      </c>
      <c r="HK714">
        <v>0</v>
      </c>
      <c r="HL714">
        <v>0</v>
      </c>
      <c r="HM714">
        <v>0</v>
      </c>
      <c r="HN714">
        <v>0</v>
      </c>
      <c r="HO714">
        <v>0</v>
      </c>
      <c r="HP714">
        <v>0</v>
      </c>
      <c r="HQ714">
        <v>0</v>
      </c>
      <c r="HR714">
        <v>0</v>
      </c>
      <c r="HS714">
        <v>0</v>
      </c>
      <c r="HT714">
        <v>0</v>
      </c>
      <c r="HU714">
        <v>0</v>
      </c>
      <c r="HV714">
        <v>0</v>
      </c>
      <c r="HW714">
        <v>404.70000000000005</v>
      </c>
      <c r="HX714">
        <v>342.3</v>
      </c>
      <c r="HZ714">
        <v>866.2</v>
      </c>
      <c r="IA714">
        <v>1142.8</v>
      </c>
      <c r="IB714">
        <v>1121.5</v>
      </c>
      <c r="IC714">
        <v>2403</v>
      </c>
      <c r="ID714">
        <v>2659.3</v>
      </c>
      <c r="IE714">
        <v>1923.4</v>
      </c>
      <c r="IF714">
        <v>1465.7</v>
      </c>
      <c r="IG714">
        <v>1608.3</v>
      </c>
      <c r="IH714">
        <v>0</v>
      </c>
      <c r="II714">
        <v>0</v>
      </c>
      <c r="IJ714">
        <v>0</v>
      </c>
      <c r="IK714">
        <v>0</v>
      </c>
      <c r="IL714">
        <v>0</v>
      </c>
      <c r="IM714">
        <v>0</v>
      </c>
      <c r="IN714">
        <v>0</v>
      </c>
      <c r="IO714">
        <v>0</v>
      </c>
      <c r="IP714">
        <v>75.099999999999994</v>
      </c>
    </row>
    <row r="715" spans="1:250" ht="18" thickBot="1">
      <c r="A715" s="245"/>
      <c r="B715" s="245" t="s">
        <v>446</v>
      </c>
      <c r="C715" s="230" t="s">
        <v>1143</v>
      </c>
      <c r="D715" s="397"/>
      <c r="E715" s="454">
        <v>0</v>
      </c>
      <c r="F715">
        <v>0</v>
      </c>
      <c r="G715" s="427">
        <v>0</v>
      </c>
      <c r="H715" s="155">
        <v>0</v>
      </c>
      <c r="I715">
        <v>0</v>
      </c>
      <c r="J715">
        <v>0</v>
      </c>
      <c r="K715">
        <v>0</v>
      </c>
      <c r="L715" s="4">
        <v>0</v>
      </c>
      <c r="M715" s="4">
        <v>0</v>
      </c>
      <c r="N715" s="4">
        <v>0</v>
      </c>
      <c r="O715" s="4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R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G715">
        <v>0</v>
      </c>
      <c r="BI715">
        <v>0</v>
      </c>
      <c r="BK715">
        <v>0</v>
      </c>
      <c r="BL715">
        <v>0</v>
      </c>
      <c r="BM715">
        <v>0</v>
      </c>
      <c r="BN715">
        <v>0</v>
      </c>
      <c r="BO715">
        <v>344.70000000000005</v>
      </c>
      <c r="BP715">
        <v>625.70000000000005</v>
      </c>
      <c r="BQ715">
        <v>912.2</v>
      </c>
      <c r="BR715">
        <v>237.7</v>
      </c>
      <c r="BS715">
        <v>0</v>
      </c>
      <c r="BT715">
        <v>0</v>
      </c>
      <c r="BU715">
        <v>0</v>
      </c>
      <c r="BV715">
        <v>0</v>
      </c>
      <c r="BW715">
        <v>1647.4</v>
      </c>
      <c r="BY715">
        <v>453.1</v>
      </c>
      <c r="CA715">
        <v>285.39999999999998</v>
      </c>
      <c r="CB715">
        <v>280.8</v>
      </c>
      <c r="CC715">
        <v>127.7</v>
      </c>
      <c r="CD715">
        <v>0</v>
      </c>
      <c r="CE715">
        <v>0</v>
      </c>
      <c r="CF715">
        <v>0</v>
      </c>
      <c r="CG715">
        <v>0</v>
      </c>
      <c r="CI715">
        <v>0</v>
      </c>
      <c r="CJ715">
        <v>0</v>
      </c>
      <c r="CL715">
        <v>0</v>
      </c>
      <c r="CM715">
        <v>0</v>
      </c>
      <c r="CN715">
        <v>0</v>
      </c>
      <c r="CO715">
        <v>0</v>
      </c>
      <c r="CP715">
        <v>0</v>
      </c>
      <c r="CQ715">
        <v>621.70000000000005</v>
      </c>
      <c r="CR715">
        <v>481.70000000000005</v>
      </c>
      <c r="CS715">
        <v>0</v>
      </c>
      <c r="CT715">
        <v>524.6</v>
      </c>
      <c r="CU715">
        <v>514.1</v>
      </c>
      <c r="CV715">
        <v>175.2</v>
      </c>
      <c r="CW715">
        <v>0</v>
      </c>
      <c r="CX715">
        <v>65.099999999999994</v>
      </c>
      <c r="CY715">
        <v>199</v>
      </c>
      <c r="CZ715">
        <v>1907.9</v>
      </c>
      <c r="DA715">
        <v>0</v>
      </c>
      <c r="DB715">
        <v>0</v>
      </c>
      <c r="DC715">
        <v>0</v>
      </c>
      <c r="DD715">
        <v>0</v>
      </c>
      <c r="DE715">
        <v>0</v>
      </c>
      <c r="DF715">
        <v>0</v>
      </c>
      <c r="DG715">
        <v>0</v>
      </c>
      <c r="DH715">
        <v>0</v>
      </c>
      <c r="DI715">
        <v>0</v>
      </c>
      <c r="DJ715">
        <v>0</v>
      </c>
      <c r="DK715">
        <v>0</v>
      </c>
      <c r="DL715">
        <v>0</v>
      </c>
      <c r="DM715">
        <v>1065.4000000000001</v>
      </c>
      <c r="DN715">
        <v>599.70000000000005</v>
      </c>
      <c r="DO715">
        <v>319.7</v>
      </c>
      <c r="DP715">
        <v>1570.6999999999998</v>
      </c>
      <c r="DQ715">
        <v>1399.5</v>
      </c>
      <c r="DR715">
        <v>3581</v>
      </c>
      <c r="DU715">
        <v>1393.2</v>
      </c>
      <c r="DV715">
        <v>2862.6</v>
      </c>
      <c r="DY715">
        <v>2361</v>
      </c>
      <c r="EA715">
        <v>2409.6</v>
      </c>
      <c r="EC715">
        <v>1661.3999999999999</v>
      </c>
      <c r="EE715">
        <v>0</v>
      </c>
      <c r="EF715">
        <v>0</v>
      </c>
      <c r="EG715">
        <v>0</v>
      </c>
      <c r="EH715">
        <v>0</v>
      </c>
      <c r="EI715">
        <v>0</v>
      </c>
      <c r="EJ715">
        <v>0</v>
      </c>
      <c r="EK715">
        <v>0</v>
      </c>
      <c r="EL715">
        <v>0</v>
      </c>
      <c r="EM715">
        <v>0</v>
      </c>
      <c r="EN715">
        <v>0</v>
      </c>
      <c r="EO715">
        <v>0</v>
      </c>
      <c r="EP715">
        <v>944.5</v>
      </c>
      <c r="EQ715">
        <v>3459.7</v>
      </c>
      <c r="ER715">
        <v>1353.5</v>
      </c>
      <c r="ES715">
        <v>182.2</v>
      </c>
      <c r="ET715">
        <v>855.59999999999991</v>
      </c>
      <c r="EU715">
        <v>172.2</v>
      </c>
      <c r="EV715">
        <v>203.2</v>
      </c>
      <c r="EW715">
        <v>1173.0999999999999</v>
      </c>
      <c r="EX715">
        <v>1078.3</v>
      </c>
      <c r="EY715">
        <v>1194.4000000000001</v>
      </c>
      <c r="EZ715">
        <v>1207.0999999999999</v>
      </c>
      <c r="FA715">
        <v>0</v>
      </c>
      <c r="FB715">
        <v>0</v>
      </c>
      <c r="FC715">
        <v>0</v>
      </c>
      <c r="FD715">
        <v>0</v>
      </c>
      <c r="FE715">
        <v>0</v>
      </c>
      <c r="FF715">
        <v>0</v>
      </c>
      <c r="FG715">
        <v>0</v>
      </c>
      <c r="FH715">
        <v>0</v>
      </c>
      <c r="FI715">
        <v>0</v>
      </c>
      <c r="FJ715">
        <v>0</v>
      </c>
      <c r="FK715">
        <v>0</v>
      </c>
      <c r="FL715">
        <v>0</v>
      </c>
      <c r="FM715">
        <v>0</v>
      </c>
      <c r="FN715">
        <v>0</v>
      </c>
      <c r="FO715">
        <v>0</v>
      </c>
      <c r="FP715">
        <v>0</v>
      </c>
      <c r="FQ715">
        <v>0</v>
      </c>
      <c r="FR715">
        <v>0</v>
      </c>
      <c r="FS715">
        <v>0</v>
      </c>
      <c r="FT715">
        <v>0</v>
      </c>
      <c r="FU715">
        <v>0</v>
      </c>
      <c r="FV715">
        <v>0</v>
      </c>
      <c r="FW715">
        <v>0</v>
      </c>
      <c r="FX715">
        <v>0</v>
      </c>
      <c r="FY715">
        <v>0</v>
      </c>
      <c r="FZ715">
        <v>0</v>
      </c>
      <c r="GA715">
        <v>0</v>
      </c>
      <c r="GB715">
        <v>0</v>
      </c>
      <c r="GC715">
        <v>0</v>
      </c>
      <c r="GD715">
        <v>0</v>
      </c>
      <c r="GE715">
        <v>0</v>
      </c>
      <c r="GF715">
        <v>0</v>
      </c>
      <c r="GG715">
        <v>0</v>
      </c>
      <c r="GH715">
        <v>0</v>
      </c>
      <c r="GI715">
        <v>0</v>
      </c>
      <c r="GJ715">
        <v>0</v>
      </c>
      <c r="GK715">
        <v>0</v>
      </c>
      <c r="GL715">
        <v>0</v>
      </c>
      <c r="GO715">
        <v>0</v>
      </c>
      <c r="GP715">
        <v>0</v>
      </c>
      <c r="GQ715">
        <v>0</v>
      </c>
      <c r="GR715">
        <v>0</v>
      </c>
      <c r="GS715">
        <v>0</v>
      </c>
      <c r="GT715">
        <v>0</v>
      </c>
      <c r="GU715">
        <v>0</v>
      </c>
      <c r="GV715">
        <v>0</v>
      </c>
      <c r="GW715">
        <v>0</v>
      </c>
      <c r="GX715">
        <v>0</v>
      </c>
      <c r="GY715">
        <v>0</v>
      </c>
      <c r="GZ715">
        <v>0</v>
      </c>
      <c r="HA715">
        <v>0</v>
      </c>
      <c r="HB715">
        <v>0</v>
      </c>
      <c r="HC715">
        <v>0</v>
      </c>
      <c r="HD715">
        <v>0</v>
      </c>
      <c r="HE715">
        <v>0</v>
      </c>
      <c r="HF715">
        <v>0</v>
      </c>
      <c r="HG715">
        <v>0</v>
      </c>
      <c r="HH715">
        <v>0</v>
      </c>
      <c r="HI715">
        <v>0</v>
      </c>
      <c r="HJ715">
        <v>0</v>
      </c>
      <c r="HK715">
        <v>0</v>
      </c>
      <c r="HL715">
        <v>0</v>
      </c>
      <c r="HM715">
        <v>0</v>
      </c>
      <c r="HN715">
        <v>0</v>
      </c>
      <c r="HO715">
        <v>0</v>
      </c>
      <c r="HP715">
        <v>0</v>
      </c>
      <c r="HQ715">
        <v>0</v>
      </c>
      <c r="HR715">
        <v>0</v>
      </c>
      <c r="HS715">
        <v>0</v>
      </c>
      <c r="HT715">
        <v>0</v>
      </c>
      <c r="HU715">
        <v>0</v>
      </c>
      <c r="HV715">
        <v>0</v>
      </c>
      <c r="HW715">
        <v>404.70000000000005</v>
      </c>
      <c r="HX715">
        <v>342.3</v>
      </c>
      <c r="HZ715">
        <v>866.2</v>
      </c>
      <c r="IA715">
        <v>1142.8</v>
      </c>
      <c r="IB715">
        <v>1121.5</v>
      </c>
      <c r="IC715">
        <v>2403</v>
      </c>
      <c r="ID715">
        <v>2659.3</v>
      </c>
      <c r="IE715">
        <v>1923.4</v>
      </c>
      <c r="IF715">
        <v>1465.7</v>
      </c>
      <c r="IG715">
        <v>1608.3</v>
      </c>
      <c r="IH715">
        <v>0</v>
      </c>
      <c r="II715">
        <v>0</v>
      </c>
      <c r="IJ715">
        <v>0</v>
      </c>
      <c r="IK715">
        <v>0</v>
      </c>
      <c r="IL715">
        <v>0</v>
      </c>
      <c r="IM715">
        <v>0</v>
      </c>
      <c r="IN715">
        <v>0</v>
      </c>
      <c r="IO715">
        <v>0</v>
      </c>
      <c r="IP715">
        <v>75.099999999999994</v>
      </c>
    </row>
    <row r="716" spans="1:250" ht="18" thickBot="1">
      <c r="A716" s="245"/>
      <c r="B716" s="245" t="s">
        <v>447</v>
      </c>
      <c r="C716" s="230" t="s">
        <v>1144</v>
      </c>
      <c r="D716" s="397"/>
      <c r="E716" s="454">
        <v>0</v>
      </c>
      <c r="F716">
        <v>0</v>
      </c>
      <c r="G716" s="427">
        <v>0</v>
      </c>
      <c r="H716" s="155">
        <v>0</v>
      </c>
      <c r="I716">
        <v>0</v>
      </c>
      <c r="J716">
        <v>0</v>
      </c>
      <c r="K716">
        <v>0</v>
      </c>
      <c r="L716" s="4">
        <v>0</v>
      </c>
      <c r="M716" s="4">
        <v>0</v>
      </c>
      <c r="N716" s="4">
        <v>0</v>
      </c>
      <c r="O716" s="4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R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G716">
        <v>0</v>
      </c>
      <c r="BI716">
        <v>0</v>
      </c>
      <c r="BK716">
        <v>0</v>
      </c>
      <c r="BL716">
        <v>0</v>
      </c>
      <c r="BM716">
        <v>0</v>
      </c>
      <c r="BN716">
        <v>0</v>
      </c>
      <c r="BO716">
        <v>344.70000000000005</v>
      </c>
      <c r="BP716">
        <v>625.70000000000005</v>
      </c>
      <c r="BQ716">
        <v>912.2</v>
      </c>
      <c r="BR716">
        <v>237.7</v>
      </c>
      <c r="BS716">
        <v>0</v>
      </c>
      <c r="BT716">
        <v>0</v>
      </c>
      <c r="BU716">
        <v>0</v>
      </c>
      <c r="BV716">
        <v>0</v>
      </c>
      <c r="BW716">
        <v>1647.4</v>
      </c>
      <c r="BY716">
        <v>453.1</v>
      </c>
      <c r="CA716">
        <v>285.39999999999998</v>
      </c>
      <c r="CB716">
        <v>280.8</v>
      </c>
      <c r="CC716">
        <v>127.7</v>
      </c>
      <c r="CD716">
        <v>0</v>
      </c>
      <c r="CE716">
        <v>0</v>
      </c>
      <c r="CF716">
        <v>0</v>
      </c>
      <c r="CG716">
        <v>0</v>
      </c>
      <c r="CI716">
        <v>0</v>
      </c>
      <c r="CJ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621.70000000000005</v>
      </c>
      <c r="CR716">
        <v>481.70000000000005</v>
      </c>
      <c r="CS716">
        <v>0</v>
      </c>
      <c r="CT716">
        <v>524.6</v>
      </c>
      <c r="CU716">
        <v>514.1</v>
      </c>
      <c r="CV716">
        <v>175.2</v>
      </c>
      <c r="CW716">
        <v>0</v>
      </c>
      <c r="CX716">
        <v>65.099999999999994</v>
      </c>
      <c r="CY716">
        <v>199</v>
      </c>
      <c r="CZ716">
        <v>1907.9</v>
      </c>
      <c r="DA716">
        <v>0</v>
      </c>
      <c r="DB716">
        <v>0</v>
      </c>
      <c r="DC716">
        <v>0</v>
      </c>
      <c r="DD716">
        <v>0</v>
      </c>
      <c r="DE716">
        <v>0</v>
      </c>
      <c r="DF716">
        <v>0</v>
      </c>
      <c r="DG716">
        <v>0</v>
      </c>
      <c r="DH716">
        <v>0</v>
      </c>
      <c r="DI716">
        <v>0</v>
      </c>
      <c r="DJ716">
        <v>0</v>
      </c>
      <c r="DK716">
        <v>0</v>
      </c>
      <c r="DL716">
        <v>0</v>
      </c>
      <c r="DM716">
        <v>1065.4000000000001</v>
      </c>
      <c r="DN716">
        <v>599.70000000000005</v>
      </c>
      <c r="DO716">
        <v>319.7</v>
      </c>
      <c r="DP716">
        <v>1570.6999999999998</v>
      </c>
      <c r="DQ716">
        <v>1399.5</v>
      </c>
      <c r="DR716">
        <v>3581</v>
      </c>
      <c r="DU716">
        <v>1393.2</v>
      </c>
      <c r="DV716">
        <v>2862.6</v>
      </c>
      <c r="DY716">
        <v>2361</v>
      </c>
      <c r="EA716">
        <v>2409.6</v>
      </c>
      <c r="EC716">
        <v>1661.3999999999999</v>
      </c>
      <c r="EE716">
        <v>0</v>
      </c>
      <c r="EF716">
        <v>0</v>
      </c>
      <c r="EG716">
        <v>0</v>
      </c>
      <c r="EH716">
        <v>0</v>
      </c>
      <c r="EI716">
        <v>0</v>
      </c>
      <c r="EJ716">
        <v>0</v>
      </c>
      <c r="EK716">
        <v>0</v>
      </c>
      <c r="EL716">
        <v>0</v>
      </c>
      <c r="EM716">
        <v>0</v>
      </c>
      <c r="EN716">
        <v>0</v>
      </c>
      <c r="EO716">
        <v>0</v>
      </c>
      <c r="EP716">
        <v>944.5</v>
      </c>
      <c r="EQ716">
        <v>3459.7</v>
      </c>
      <c r="ER716">
        <v>1353.5</v>
      </c>
      <c r="ES716">
        <v>182.2</v>
      </c>
      <c r="ET716">
        <v>855.59999999999991</v>
      </c>
      <c r="EU716">
        <v>172.2</v>
      </c>
      <c r="EV716">
        <v>203.2</v>
      </c>
      <c r="EW716">
        <v>1173.0999999999999</v>
      </c>
      <c r="EX716">
        <v>1078.3</v>
      </c>
      <c r="EY716">
        <v>1194.4000000000001</v>
      </c>
      <c r="EZ716">
        <v>1207.0999999999999</v>
      </c>
      <c r="FA716">
        <v>0</v>
      </c>
      <c r="FB716">
        <v>0</v>
      </c>
      <c r="FC716">
        <v>0</v>
      </c>
      <c r="FD716">
        <v>0</v>
      </c>
      <c r="FE716">
        <v>0</v>
      </c>
      <c r="FF716">
        <v>0</v>
      </c>
      <c r="FG716">
        <v>0</v>
      </c>
      <c r="FH716">
        <v>0</v>
      </c>
      <c r="FI716">
        <v>0</v>
      </c>
      <c r="FJ716">
        <v>0</v>
      </c>
      <c r="FK716">
        <v>0</v>
      </c>
      <c r="FL716">
        <v>0</v>
      </c>
      <c r="FM716">
        <v>0</v>
      </c>
      <c r="FN716">
        <v>0</v>
      </c>
      <c r="FO716">
        <v>0</v>
      </c>
      <c r="FP716">
        <v>0</v>
      </c>
      <c r="FQ716">
        <v>0</v>
      </c>
      <c r="FR716">
        <v>0</v>
      </c>
      <c r="FS716">
        <v>0</v>
      </c>
      <c r="FT716">
        <v>0</v>
      </c>
      <c r="FU716">
        <v>0</v>
      </c>
      <c r="FV716">
        <v>0</v>
      </c>
      <c r="FW716">
        <v>0</v>
      </c>
      <c r="FX716">
        <v>0</v>
      </c>
      <c r="FY716">
        <v>0</v>
      </c>
      <c r="FZ716">
        <v>0</v>
      </c>
      <c r="GA716">
        <v>0</v>
      </c>
      <c r="GB716">
        <v>0</v>
      </c>
      <c r="GC716">
        <v>0</v>
      </c>
      <c r="GD716">
        <v>0</v>
      </c>
      <c r="GE716">
        <v>0</v>
      </c>
      <c r="GF716">
        <v>0</v>
      </c>
      <c r="GG716">
        <v>0</v>
      </c>
      <c r="GH716">
        <v>0</v>
      </c>
      <c r="GI716">
        <v>0</v>
      </c>
      <c r="GJ716">
        <v>0</v>
      </c>
      <c r="GK716">
        <v>0</v>
      </c>
      <c r="GL716">
        <v>0</v>
      </c>
      <c r="GO716">
        <v>0</v>
      </c>
      <c r="GP716">
        <v>0</v>
      </c>
      <c r="GQ716">
        <v>0</v>
      </c>
      <c r="GR716">
        <v>0</v>
      </c>
      <c r="GS716">
        <v>0</v>
      </c>
      <c r="GT716">
        <v>0</v>
      </c>
      <c r="GU716">
        <v>0</v>
      </c>
      <c r="GV716">
        <v>0</v>
      </c>
      <c r="GW716">
        <v>0</v>
      </c>
      <c r="GX716">
        <v>0</v>
      </c>
      <c r="GY716">
        <v>0</v>
      </c>
      <c r="GZ716">
        <v>0</v>
      </c>
      <c r="HA716">
        <v>0</v>
      </c>
      <c r="HB716">
        <v>0</v>
      </c>
      <c r="HC716">
        <v>0</v>
      </c>
      <c r="HD716">
        <v>0</v>
      </c>
      <c r="HE716">
        <v>0</v>
      </c>
      <c r="HF716">
        <v>0</v>
      </c>
      <c r="HG716">
        <v>0</v>
      </c>
      <c r="HH716">
        <v>0</v>
      </c>
      <c r="HI716">
        <v>0</v>
      </c>
      <c r="HJ716">
        <v>0</v>
      </c>
      <c r="HK716">
        <v>0</v>
      </c>
      <c r="HL716">
        <v>0</v>
      </c>
      <c r="HM716">
        <v>0</v>
      </c>
      <c r="HN716">
        <v>0</v>
      </c>
      <c r="HO716">
        <v>0</v>
      </c>
      <c r="HP716">
        <v>0</v>
      </c>
      <c r="HQ716">
        <v>0</v>
      </c>
      <c r="HR716">
        <v>0</v>
      </c>
      <c r="HS716">
        <v>0</v>
      </c>
      <c r="HT716">
        <v>0</v>
      </c>
      <c r="HU716">
        <v>0</v>
      </c>
      <c r="HV716">
        <v>0</v>
      </c>
      <c r="HW716">
        <v>404.70000000000005</v>
      </c>
      <c r="HX716">
        <v>342.3</v>
      </c>
      <c r="HZ716">
        <v>866.2</v>
      </c>
      <c r="IA716">
        <v>1142.8</v>
      </c>
      <c r="IB716">
        <v>1121.5</v>
      </c>
      <c r="IC716">
        <v>2403</v>
      </c>
      <c r="ID716">
        <v>2659.3</v>
      </c>
      <c r="IE716">
        <v>1923.4</v>
      </c>
      <c r="IF716">
        <v>1465.7</v>
      </c>
      <c r="IG716">
        <v>1608.3</v>
      </c>
      <c r="IH716">
        <v>0</v>
      </c>
      <c r="II716">
        <v>0</v>
      </c>
      <c r="IJ716">
        <v>0</v>
      </c>
      <c r="IK716">
        <v>0</v>
      </c>
      <c r="IL716">
        <v>0</v>
      </c>
      <c r="IM716">
        <v>0</v>
      </c>
      <c r="IN716">
        <v>0</v>
      </c>
      <c r="IO716">
        <v>0</v>
      </c>
      <c r="IP716">
        <v>75.099999999999994</v>
      </c>
    </row>
    <row r="717" spans="1:250" ht="18" thickBot="1">
      <c r="A717" s="246"/>
      <c r="B717" s="246" t="s">
        <v>448</v>
      </c>
      <c r="C717" s="334" t="s">
        <v>1145</v>
      </c>
      <c r="D717" s="398"/>
      <c r="E717" s="454">
        <v>0</v>
      </c>
      <c r="F717">
        <v>0</v>
      </c>
      <c r="G717" s="427">
        <v>0</v>
      </c>
      <c r="H717" s="155">
        <v>0</v>
      </c>
      <c r="I717">
        <v>0</v>
      </c>
      <c r="J717">
        <v>0</v>
      </c>
      <c r="K717">
        <v>0</v>
      </c>
      <c r="L717" s="4">
        <v>0</v>
      </c>
      <c r="M717" s="4">
        <v>0</v>
      </c>
      <c r="N717" s="4">
        <v>0</v>
      </c>
      <c r="O717" s="4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R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G717">
        <v>0</v>
      </c>
      <c r="BI717">
        <v>0</v>
      </c>
      <c r="BK717">
        <v>0</v>
      </c>
      <c r="BL717">
        <v>0</v>
      </c>
      <c r="BM717">
        <v>0</v>
      </c>
      <c r="BN717">
        <v>0</v>
      </c>
      <c r="BO717">
        <v>344.70000000000005</v>
      </c>
      <c r="BP717">
        <v>625.70000000000005</v>
      </c>
      <c r="BQ717">
        <v>912.2</v>
      </c>
      <c r="BR717">
        <v>237.7</v>
      </c>
      <c r="BS717">
        <v>0</v>
      </c>
      <c r="BT717">
        <v>0</v>
      </c>
      <c r="BU717">
        <v>0</v>
      </c>
      <c r="BV717">
        <v>0</v>
      </c>
      <c r="BW717">
        <v>1647.4</v>
      </c>
      <c r="BY717">
        <v>453.1</v>
      </c>
      <c r="CA717">
        <v>285.39999999999998</v>
      </c>
      <c r="CB717">
        <v>280.8</v>
      </c>
      <c r="CC717">
        <v>127.7</v>
      </c>
      <c r="CD717">
        <v>0</v>
      </c>
      <c r="CE717">
        <v>0</v>
      </c>
      <c r="CF717">
        <v>0</v>
      </c>
      <c r="CG717">
        <v>0</v>
      </c>
      <c r="CI717">
        <v>0</v>
      </c>
      <c r="CJ717">
        <v>0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621.70000000000005</v>
      </c>
      <c r="CR717">
        <v>481.70000000000005</v>
      </c>
      <c r="CS717">
        <v>0</v>
      </c>
      <c r="CT717">
        <v>524.6</v>
      </c>
      <c r="CU717">
        <v>514.1</v>
      </c>
      <c r="CV717">
        <v>175.2</v>
      </c>
      <c r="CW717">
        <v>0</v>
      </c>
      <c r="CX717">
        <v>65.099999999999994</v>
      </c>
      <c r="CY717">
        <v>199</v>
      </c>
      <c r="CZ717">
        <v>1907.9</v>
      </c>
      <c r="DA717">
        <v>0</v>
      </c>
      <c r="DB717">
        <v>0</v>
      </c>
      <c r="DC717">
        <v>0</v>
      </c>
      <c r="DD717">
        <v>0</v>
      </c>
      <c r="DE717">
        <v>0</v>
      </c>
      <c r="DF717">
        <v>0</v>
      </c>
      <c r="DG717">
        <v>0</v>
      </c>
      <c r="DH717">
        <v>0</v>
      </c>
      <c r="DI717">
        <v>0</v>
      </c>
      <c r="DJ717">
        <v>0</v>
      </c>
      <c r="DK717">
        <v>0</v>
      </c>
      <c r="DL717">
        <v>0</v>
      </c>
      <c r="DM717">
        <v>1065.4000000000001</v>
      </c>
      <c r="DN717">
        <v>599.70000000000005</v>
      </c>
      <c r="DO717">
        <v>319.7</v>
      </c>
      <c r="DP717">
        <v>1570.6999999999998</v>
      </c>
      <c r="DQ717">
        <v>1399.5</v>
      </c>
      <c r="DR717">
        <v>3581</v>
      </c>
      <c r="DU717">
        <v>1393.2</v>
      </c>
      <c r="DV717">
        <v>2862.6</v>
      </c>
      <c r="DY717">
        <v>2361</v>
      </c>
      <c r="EA717">
        <v>2409.6</v>
      </c>
      <c r="EC717">
        <v>1661.3999999999999</v>
      </c>
      <c r="EE717">
        <v>0</v>
      </c>
      <c r="EF717">
        <v>0</v>
      </c>
      <c r="EG717">
        <v>0</v>
      </c>
      <c r="EH717">
        <v>0</v>
      </c>
      <c r="EI717">
        <v>0</v>
      </c>
      <c r="EJ717">
        <v>0</v>
      </c>
      <c r="EK717">
        <v>0</v>
      </c>
      <c r="EL717">
        <v>0</v>
      </c>
      <c r="EM717">
        <v>0</v>
      </c>
      <c r="EN717">
        <v>0</v>
      </c>
      <c r="EO717">
        <v>0</v>
      </c>
      <c r="EP717">
        <v>944.5</v>
      </c>
      <c r="EQ717">
        <v>3459.7</v>
      </c>
      <c r="ER717">
        <v>1353.5</v>
      </c>
      <c r="ES717">
        <v>182.2</v>
      </c>
      <c r="ET717">
        <v>855.59999999999991</v>
      </c>
      <c r="EU717">
        <v>172.2</v>
      </c>
      <c r="EV717">
        <v>203.2</v>
      </c>
      <c r="EW717">
        <v>1173.0999999999999</v>
      </c>
      <c r="EX717">
        <v>1078.3</v>
      </c>
      <c r="EY717">
        <v>1194.4000000000001</v>
      </c>
      <c r="EZ717">
        <v>1207.0999999999999</v>
      </c>
      <c r="FA717">
        <v>0</v>
      </c>
      <c r="FB717">
        <v>0</v>
      </c>
      <c r="FC717">
        <v>0</v>
      </c>
      <c r="FD717">
        <v>0</v>
      </c>
      <c r="FE717">
        <v>0</v>
      </c>
      <c r="FF717">
        <v>0</v>
      </c>
      <c r="FG717">
        <v>0</v>
      </c>
      <c r="FH717">
        <v>0</v>
      </c>
      <c r="FI717">
        <v>0</v>
      </c>
      <c r="FJ717">
        <v>0</v>
      </c>
      <c r="FK717">
        <v>0</v>
      </c>
      <c r="FL717">
        <v>0</v>
      </c>
      <c r="FM717">
        <v>0</v>
      </c>
      <c r="FN717">
        <v>0</v>
      </c>
      <c r="FO717">
        <v>0</v>
      </c>
      <c r="FP717">
        <v>0</v>
      </c>
      <c r="FQ717">
        <v>0</v>
      </c>
      <c r="FR717">
        <v>0</v>
      </c>
      <c r="FS717">
        <v>0</v>
      </c>
      <c r="FT717">
        <v>0</v>
      </c>
      <c r="FU717">
        <v>0</v>
      </c>
      <c r="FV717">
        <v>0</v>
      </c>
      <c r="FW717">
        <v>0</v>
      </c>
      <c r="FX717">
        <v>0</v>
      </c>
      <c r="FY717">
        <v>0</v>
      </c>
      <c r="FZ717">
        <v>0</v>
      </c>
      <c r="GA717">
        <v>0</v>
      </c>
      <c r="GB717">
        <v>0</v>
      </c>
      <c r="GC717">
        <v>0</v>
      </c>
      <c r="GD717">
        <v>0</v>
      </c>
      <c r="GE717">
        <v>0</v>
      </c>
      <c r="GF717">
        <v>0</v>
      </c>
      <c r="GG717">
        <v>0</v>
      </c>
      <c r="GH717">
        <v>0</v>
      </c>
      <c r="GI717">
        <v>0</v>
      </c>
      <c r="GJ717">
        <v>0</v>
      </c>
      <c r="GK717">
        <v>0</v>
      </c>
      <c r="GL717">
        <v>0</v>
      </c>
      <c r="GO717">
        <v>0</v>
      </c>
      <c r="GP717">
        <v>0</v>
      </c>
      <c r="GQ717">
        <v>0</v>
      </c>
      <c r="GR717">
        <v>0</v>
      </c>
      <c r="GS717">
        <v>0</v>
      </c>
      <c r="GT717">
        <v>0</v>
      </c>
      <c r="GU717">
        <v>0</v>
      </c>
      <c r="GV717">
        <v>0</v>
      </c>
      <c r="GW717">
        <v>0</v>
      </c>
      <c r="GX717">
        <v>0</v>
      </c>
      <c r="GY717">
        <v>0</v>
      </c>
      <c r="GZ717">
        <v>0</v>
      </c>
      <c r="HA717">
        <v>0</v>
      </c>
      <c r="HB717">
        <v>0</v>
      </c>
      <c r="HC717">
        <v>0</v>
      </c>
      <c r="HD717">
        <v>0</v>
      </c>
      <c r="HE717">
        <v>0</v>
      </c>
      <c r="HF717">
        <v>0</v>
      </c>
      <c r="HG717">
        <v>0</v>
      </c>
      <c r="HH717">
        <v>0</v>
      </c>
      <c r="HI717">
        <v>0</v>
      </c>
      <c r="HJ717">
        <v>0</v>
      </c>
      <c r="HK717">
        <v>0</v>
      </c>
      <c r="HL717">
        <v>0</v>
      </c>
      <c r="HM717">
        <v>0</v>
      </c>
      <c r="HN717">
        <v>0</v>
      </c>
      <c r="HO717">
        <v>0</v>
      </c>
      <c r="HP717">
        <v>0</v>
      </c>
      <c r="HQ717">
        <v>0</v>
      </c>
      <c r="HR717">
        <v>0</v>
      </c>
      <c r="HS717">
        <v>0</v>
      </c>
      <c r="HT717">
        <v>0</v>
      </c>
      <c r="HU717">
        <v>0</v>
      </c>
      <c r="HV717">
        <v>0</v>
      </c>
      <c r="HW717">
        <v>404.70000000000005</v>
      </c>
      <c r="HX717">
        <v>342.3</v>
      </c>
      <c r="HZ717">
        <v>866.2</v>
      </c>
      <c r="IA717">
        <v>1142.8</v>
      </c>
      <c r="IB717">
        <v>1121.5</v>
      </c>
      <c r="IC717">
        <v>2403</v>
      </c>
      <c r="ID717">
        <v>2659.3</v>
      </c>
      <c r="IE717">
        <v>1923.4</v>
      </c>
      <c r="IF717">
        <v>1465.7</v>
      </c>
      <c r="IG717">
        <v>1608.3</v>
      </c>
      <c r="IH717">
        <v>0</v>
      </c>
      <c r="II717">
        <v>0</v>
      </c>
      <c r="IJ717">
        <v>0</v>
      </c>
      <c r="IK717">
        <v>0</v>
      </c>
      <c r="IL717">
        <v>0</v>
      </c>
      <c r="IM717">
        <v>0</v>
      </c>
      <c r="IN717">
        <v>0</v>
      </c>
      <c r="IO717">
        <v>0</v>
      </c>
      <c r="IP717">
        <v>75.099999999999994</v>
      </c>
    </row>
    <row r="718" spans="1:250" ht="18.600000000000001" thickTop="1" thickBot="1">
      <c r="A718" s="181"/>
      <c r="B718" s="181" t="s">
        <v>428</v>
      </c>
      <c r="C718" s="330"/>
      <c r="D718" s="395"/>
      <c r="E718" s="454">
        <v>0</v>
      </c>
      <c r="F718">
        <v>0</v>
      </c>
      <c r="G718" s="427">
        <v>0</v>
      </c>
      <c r="H718" s="155">
        <v>0</v>
      </c>
      <c r="I718">
        <v>0</v>
      </c>
      <c r="J718">
        <v>0</v>
      </c>
      <c r="K718">
        <v>0</v>
      </c>
      <c r="L718" s="4">
        <v>0</v>
      </c>
      <c r="M718" s="4">
        <v>0</v>
      </c>
      <c r="N718" s="4">
        <v>0</v>
      </c>
      <c r="O718" s="4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R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G718">
        <v>0</v>
      </c>
      <c r="BI718">
        <v>0</v>
      </c>
      <c r="BK718">
        <v>0</v>
      </c>
      <c r="BL718">
        <v>0</v>
      </c>
      <c r="BM718">
        <v>0</v>
      </c>
      <c r="BN718">
        <v>0</v>
      </c>
      <c r="BO718">
        <v>344.70000000000005</v>
      </c>
      <c r="BP718">
        <v>625.70000000000005</v>
      </c>
      <c r="BQ718">
        <v>912.2</v>
      </c>
      <c r="BR718">
        <v>237.7</v>
      </c>
      <c r="BS718">
        <v>0</v>
      </c>
      <c r="BT718">
        <v>0</v>
      </c>
      <c r="BU718">
        <v>0</v>
      </c>
      <c r="BV718">
        <v>0</v>
      </c>
      <c r="BW718">
        <v>1647.4</v>
      </c>
      <c r="BY718">
        <v>453.1</v>
      </c>
      <c r="CA718">
        <v>285.39999999999998</v>
      </c>
      <c r="CB718">
        <v>280.8</v>
      </c>
      <c r="CC718">
        <v>127.7</v>
      </c>
      <c r="CD718">
        <v>0</v>
      </c>
      <c r="CE718">
        <v>0</v>
      </c>
      <c r="CF718">
        <v>0</v>
      </c>
      <c r="CG718">
        <v>0</v>
      </c>
      <c r="CI718">
        <v>0</v>
      </c>
      <c r="CJ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621.70000000000005</v>
      </c>
      <c r="CR718">
        <v>481.70000000000005</v>
      </c>
      <c r="CS718">
        <v>0</v>
      </c>
      <c r="CT718">
        <v>524.6</v>
      </c>
      <c r="CU718">
        <v>514.1</v>
      </c>
      <c r="CV718">
        <v>175.2</v>
      </c>
      <c r="CW718">
        <v>0</v>
      </c>
      <c r="CX718">
        <v>65.099999999999994</v>
      </c>
      <c r="CY718">
        <v>199</v>
      </c>
      <c r="CZ718">
        <v>1907.9</v>
      </c>
      <c r="DA718">
        <v>0</v>
      </c>
      <c r="DB718">
        <v>0</v>
      </c>
      <c r="DC718">
        <v>0</v>
      </c>
      <c r="DD718">
        <v>0</v>
      </c>
      <c r="DE718">
        <v>0</v>
      </c>
      <c r="DF718">
        <v>0</v>
      </c>
      <c r="DG718">
        <v>0</v>
      </c>
      <c r="DH718">
        <v>0</v>
      </c>
      <c r="DI718">
        <v>0</v>
      </c>
      <c r="DJ718">
        <v>0</v>
      </c>
      <c r="DK718">
        <v>0</v>
      </c>
      <c r="DL718">
        <v>0</v>
      </c>
      <c r="DM718">
        <v>1065.4000000000001</v>
      </c>
      <c r="DN718">
        <v>599.70000000000005</v>
      </c>
      <c r="DO718">
        <v>319.7</v>
      </c>
      <c r="DP718">
        <v>1570.6999999999998</v>
      </c>
      <c r="DQ718">
        <v>1399.5</v>
      </c>
      <c r="DR718">
        <v>3581</v>
      </c>
      <c r="DU718">
        <v>1393.2</v>
      </c>
      <c r="DV718">
        <v>2862.6</v>
      </c>
      <c r="DY718">
        <v>2361</v>
      </c>
      <c r="EA718">
        <v>2409.6</v>
      </c>
      <c r="EC718">
        <v>1661.3999999999999</v>
      </c>
      <c r="EE718">
        <v>0</v>
      </c>
      <c r="EF718">
        <v>0</v>
      </c>
      <c r="EG718">
        <v>0</v>
      </c>
      <c r="EH718">
        <v>0</v>
      </c>
      <c r="EI718">
        <v>0</v>
      </c>
      <c r="EJ718">
        <v>0</v>
      </c>
      <c r="EK718">
        <v>0</v>
      </c>
      <c r="EL718">
        <v>0</v>
      </c>
      <c r="EM718">
        <v>0</v>
      </c>
      <c r="EN718">
        <v>0</v>
      </c>
      <c r="EO718">
        <v>0</v>
      </c>
      <c r="EP718">
        <v>944.5</v>
      </c>
      <c r="EQ718">
        <v>3459.7</v>
      </c>
      <c r="ER718">
        <v>1353.5</v>
      </c>
      <c r="ES718">
        <v>182.2</v>
      </c>
      <c r="ET718">
        <v>855.59999999999991</v>
      </c>
      <c r="EU718">
        <v>172.2</v>
      </c>
      <c r="EV718">
        <v>203.2</v>
      </c>
      <c r="EW718">
        <v>1173.0999999999999</v>
      </c>
      <c r="EX718">
        <v>1078.3</v>
      </c>
      <c r="EY718">
        <v>1194.4000000000001</v>
      </c>
      <c r="EZ718">
        <v>1207.0999999999999</v>
      </c>
      <c r="FA718">
        <v>0</v>
      </c>
      <c r="FB718">
        <v>0</v>
      </c>
      <c r="FC718">
        <v>0</v>
      </c>
      <c r="FD718">
        <v>0</v>
      </c>
      <c r="FE718">
        <v>0</v>
      </c>
      <c r="FF718">
        <v>0</v>
      </c>
      <c r="FG718">
        <v>0</v>
      </c>
      <c r="FH718">
        <v>0</v>
      </c>
      <c r="FI718">
        <v>0</v>
      </c>
      <c r="FJ718">
        <v>0</v>
      </c>
      <c r="FK718">
        <v>0</v>
      </c>
      <c r="FL718">
        <v>0</v>
      </c>
      <c r="FM718">
        <v>0</v>
      </c>
      <c r="FN718">
        <v>0</v>
      </c>
      <c r="FO718">
        <v>0</v>
      </c>
      <c r="FP718">
        <v>0</v>
      </c>
      <c r="FQ718">
        <v>0</v>
      </c>
      <c r="FR718">
        <v>0</v>
      </c>
      <c r="FS718">
        <v>0</v>
      </c>
      <c r="FT718">
        <v>0</v>
      </c>
      <c r="FU718">
        <v>0</v>
      </c>
      <c r="FV718">
        <v>0</v>
      </c>
      <c r="FW718">
        <v>0</v>
      </c>
      <c r="FX718">
        <v>0</v>
      </c>
      <c r="FY718">
        <v>0</v>
      </c>
      <c r="FZ718">
        <v>0</v>
      </c>
      <c r="GA718">
        <v>0</v>
      </c>
      <c r="GB718">
        <v>0</v>
      </c>
      <c r="GC718">
        <v>0</v>
      </c>
      <c r="GD718">
        <v>0</v>
      </c>
      <c r="GE718">
        <v>0</v>
      </c>
      <c r="GF718">
        <v>0</v>
      </c>
      <c r="GG718">
        <v>0</v>
      </c>
      <c r="GH718">
        <v>0</v>
      </c>
      <c r="GI718">
        <v>0</v>
      </c>
      <c r="GJ718">
        <v>0</v>
      </c>
      <c r="GK718">
        <v>0</v>
      </c>
      <c r="GL718">
        <v>0</v>
      </c>
      <c r="GO718">
        <v>0</v>
      </c>
      <c r="GP718">
        <v>0</v>
      </c>
      <c r="GQ718">
        <v>0</v>
      </c>
      <c r="GR718">
        <v>0</v>
      </c>
      <c r="GS718">
        <v>0</v>
      </c>
      <c r="GT718">
        <v>0</v>
      </c>
      <c r="GU718">
        <v>0</v>
      </c>
      <c r="GV718">
        <v>0</v>
      </c>
      <c r="GW718">
        <v>0</v>
      </c>
      <c r="GX718">
        <v>0</v>
      </c>
      <c r="GY718">
        <v>0</v>
      </c>
      <c r="GZ718">
        <v>0</v>
      </c>
      <c r="HA718">
        <v>0</v>
      </c>
      <c r="HB718">
        <v>0</v>
      </c>
      <c r="HC718">
        <v>0</v>
      </c>
      <c r="HD718">
        <v>0</v>
      </c>
      <c r="HE718">
        <v>0</v>
      </c>
      <c r="HF718">
        <v>0</v>
      </c>
      <c r="HG718">
        <v>0</v>
      </c>
      <c r="HH718">
        <v>0</v>
      </c>
      <c r="HI718">
        <v>0</v>
      </c>
      <c r="HJ718">
        <v>0</v>
      </c>
      <c r="HK718">
        <v>0</v>
      </c>
      <c r="HL718">
        <v>0</v>
      </c>
      <c r="HM718">
        <v>0</v>
      </c>
      <c r="HN718">
        <v>0</v>
      </c>
      <c r="HO718">
        <v>0</v>
      </c>
      <c r="HP718">
        <v>0</v>
      </c>
      <c r="HQ718">
        <v>0</v>
      </c>
      <c r="HR718">
        <v>0</v>
      </c>
      <c r="HS718">
        <v>0</v>
      </c>
      <c r="HT718">
        <v>0</v>
      </c>
      <c r="HU718">
        <v>0</v>
      </c>
      <c r="HV718">
        <v>0</v>
      </c>
      <c r="HW718">
        <v>404.70000000000005</v>
      </c>
      <c r="HX718">
        <v>342.3</v>
      </c>
      <c r="HZ718">
        <v>866.2</v>
      </c>
      <c r="IA718">
        <v>1142.8</v>
      </c>
      <c r="IB718">
        <v>1121.5</v>
      </c>
      <c r="IC718">
        <v>2403</v>
      </c>
      <c r="ID718">
        <v>2659.3</v>
      </c>
      <c r="IE718">
        <v>1923.4</v>
      </c>
      <c r="IF718">
        <v>1465.7</v>
      </c>
      <c r="IG718">
        <v>1608.3</v>
      </c>
      <c r="IH718">
        <v>0</v>
      </c>
      <c r="II718">
        <v>0</v>
      </c>
      <c r="IJ718">
        <v>0</v>
      </c>
      <c r="IK718">
        <v>0</v>
      </c>
      <c r="IL718">
        <v>0</v>
      </c>
      <c r="IM718">
        <v>0</v>
      </c>
      <c r="IN718">
        <v>0</v>
      </c>
      <c r="IO718">
        <v>0</v>
      </c>
      <c r="IP718">
        <v>75.099999999999994</v>
      </c>
    </row>
    <row r="719" spans="1:250" ht="18" thickBot="1">
      <c r="A719" s="245"/>
      <c r="B719" s="245" t="s">
        <v>429</v>
      </c>
      <c r="C719" s="230" t="s">
        <v>1146</v>
      </c>
      <c r="D719" s="397"/>
      <c r="E719" s="454">
        <v>0</v>
      </c>
      <c r="F719">
        <v>0</v>
      </c>
      <c r="G719" s="427">
        <v>0</v>
      </c>
      <c r="H719" s="155">
        <v>0</v>
      </c>
      <c r="I719">
        <v>0</v>
      </c>
      <c r="J719">
        <v>0</v>
      </c>
      <c r="K719">
        <v>0</v>
      </c>
      <c r="L719" s="4">
        <v>0</v>
      </c>
      <c r="M719" s="4">
        <v>0</v>
      </c>
      <c r="N719" s="4">
        <v>0</v>
      </c>
      <c r="O719" s="4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R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G719">
        <v>0</v>
      </c>
      <c r="BI719">
        <v>0</v>
      </c>
      <c r="BK719">
        <v>0</v>
      </c>
      <c r="BL719">
        <v>0</v>
      </c>
      <c r="BM719">
        <v>0</v>
      </c>
      <c r="BN719">
        <v>0</v>
      </c>
      <c r="BO719">
        <v>344.70000000000005</v>
      </c>
      <c r="BP719">
        <v>625.70000000000005</v>
      </c>
      <c r="BQ719">
        <v>912.2</v>
      </c>
      <c r="BR719">
        <v>237.7</v>
      </c>
      <c r="BS719">
        <v>0</v>
      </c>
      <c r="BT719">
        <v>0</v>
      </c>
      <c r="BU719">
        <v>0</v>
      </c>
      <c r="BV719">
        <v>0</v>
      </c>
      <c r="BW719">
        <v>1647.4</v>
      </c>
      <c r="BY719">
        <v>453.1</v>
      </c>
      <c r="CA719">
        <v>285.39999999999998</v>
      </c>
      <c r="CB719">
        <v>280.8</v>
      </c>
      <c r="CC719">
        <v>127.7</v>
      </c>
      <c r="CD719">
        <v>0</v>
      </c>
      <c r="CE719">
        <v>0</v>
      </c>
      <c r="CF719">
        <v>0</v>
      </c>
      <c r="CG719">
        <v>0</v>
      </c>
      <c r="CI719">
        <v>0</v>
      </c>
      <c r="CJ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621.70000000000005</v>
      </c>
      <c r="CR719">
        <v>481.70000000000005</v>
      </c>
      <c r="CS719">
        <v>0</v>
      </c>
      <c r="CT719">
        <v>524.6</v>
      </c>
      <c r="CU719">
        <v>514.1</v>
      </c>
      <c r="CV719">
        <v>175.2</v>
      </c>
      <c r="CW719">
        <v>0</v>
      </c>
      <c r="CX719">
        <v>65.099999999999994</v>
      </c>
      <c r="CY719">
        <v>199</v>
      </c>
      <c r="CZ719">
        <v>1907.9</v>
      </c>
      <c r="DA719">
        <v>0</v>
      </c>
      <c r="DB719">
        <v>0</v>
      </c>
      <c r="DC719">
        <v>0</v>
      </c>
      <c r="DD719">
        <v>0</v>
      </c>
      <c r="DE719">
        <v>0</v>
      </c>
      <c r="DF719">
        <v>0</v>
      </c>
      <c r="DG719">
        <v>0</v>
      </c>
      <c r="DH719">
        <v>0</v>
      </c>
      <c r="DI719">
        <v>0</v>
      </c>
      <c r="DJ719">
        <v>0</v>
      </c>
      <c r="DK719">
        <v>0</v>
      </c>
      <c r="DL719">
        <v>0</v>
      </c>
      <c r="DM719">
        <v>1065.4000000000001</v>
      </c>
      <c r="DN719">
        <v>599.70000000000005</v>
      </c>
      <c r="DO719">
        <v>319.7</v>
      </c>
      <c r="DP719">
        <v>1570.6999999999998</v>
      </c>
      <c r="DQ719">
        <v>1399.5</v>
      </c>
      <c r="DR719">
        <v>3581</v>
      </c>
      <c r="DU719">
        <v>1393.2</v>
      </c>
      <c r="DV719">
        <v>2862.6</v>
      </c>
      <c r="DY719">
        <v>2361</v>
      </c>
      <c r="EA719">
        <v>2409.6</v>
      </c>
      <c r="EC719">
        <v>1661.3999999999999</v>
      </c>
      <c r="EE719">
        <v>0</v>
      </c>
      <c r="EF719">
        <v>0</v>
      </c>
      <c r="EG719">
        <v>0</v>
      </c>
      <c r="EH719">
        <v>0</v>
      </c>
      <c r="EI719">
        <v>0</v>
      </c>
      <c r="EJ719">
        <v>0</v>
      </c>
      <c r="EK719">
        <v>0</v>
      </c>
      <c r="EL719">
        <v>0</v>
      </c>
      <c r="EM719">
        <v>0</v>
      </c>
      <c r="EN719">
        <v>0</v>
      </c>
      <c r="EO719">
        <v>0</v>
      </c>
      <c r="EP719">
        <v>944.5</v>
      </c>
      <c r="EQ719">
        <v>3459.7</v>
      </c>
      <c r="ER719">
        <v>1353.5</v>
      </c>
      <c r="ES719">
        <v>182.2</v>
      </c>
      <c r="ET719">
        <v>855.59999999999991</v>
      </c>
      <c r="EU719">
        <v>172.2</v>
      </c>
      <c r="EV719">
        <v>203.2</v>
      </c>
      <c r="EW719">
        <v>1173.0999999999999</v>
      </c>
      <c r="EX719">
        <v>1078.3</v>
      </c>
      <c r="EY719">
        <v>1194.4000000000001</v>
      </c>
      <c r="EZ719">
        <v>1207.0999999999999</v>
      </c>
      <c r="FA719">
        <v>0</v>
      </c>
      <c r="FB719">
        <v>0</v>
      </c>
      <c r="FC719">
        <v>0</v>
      </c>
      <c r="FD719">
        <v>0</v>
      </c>
      <c r="FE719">
        <v>0</v>
      </c>
      <c r="FF719">
        <v>0</v>
      </c>
      <c r="FG719">
        <v>0</v>
      </c>
      <c r="FH719">
        <v>0</v>
      </c>
      <c r="FI719">
        <v>0</v>
      </c>
      <c r="FJ719">
        <v>0</v>
      </c>
      <c r="FK719">
        <v>0</v>
      </c>
      <c r="FL719">
        <v>0</v>
      </c>
      <c r="FM719">
        <v>0</v>
      </c>
      <c r="FN719">
        <v>0</v>
      </c>
      <c r="FO719">
        <v>0</v>
      </c>
      <c r="FP719">
        <v>0</v>
      </c>
      <c r="FQ719">
        <v>0</v>
      </c>
      <c r="FR719">
        <v>0</v>
      </c>
      <c r="FS719">
        <v>0</v>
      </c>
      <c r="FT719">
        <v>0</v>
      </c>
      <c r="FU719">
        <v>0</v>
      </c>
      <c r="FV719">
        <v>0</v>
      </c>
      <c r="FW719">
        <v>0</v>
      </c>
      <c r="FX719">
        <v>0</v>
      </c>
      <c r="FY719">
        <v>0</v>
      </c>
      <c r="FZ719">
        <v>0</v>
      </c>
      <c r="GA719">
        <v>0</v>
      </c>
      <c r="GB719">
        <v>0</v>
      </c>
      <c r="GC719">
        <v>0</v>
      </c>
      <c r="GD719">
        <v>0</v>
      </c>
      <c r="GE719">
        <v>0</v>
      </c>
      <c r="GF719">
        <v>0</v>
      </c>
      <c r="GG719">
        <v>0</v>
      </c>
      <c r="GH719">
        <v>0</v>
      </c>
      <c r="GI719">
        <v>0</v>
      </c>
      <c r="GJ719">
        <v>0</v>
      </c>
      <c r="GK719">
        <v>0</v>
      </c>
      <c r="GL719">
        <v>0</v>
      </c>
      <c r="GO719">
        <v>0</v>
      </c>
      <c r="GP719">
        <v>0</v>
      </c>
      <c r="GQ719">
        <v>0</v>
      </c>
      <c r="GR719">
        <v>0</v>
      </c>
      <c r="GS719">
        <v>0</v>
      </c>
      <c r="GT719">
        <v>0</v>
      </c>
      <c r="GU719">
        <v>0</v>
      </c>
      <c r="GV719">
        <v>0</v>
      </c>
      <c r="GW719">
        <v>0</v>
      </c>
      <c r="GX719">
        <v>0</v>
      </c>
      <c r="GY719">
        <v>0</v>
      </c>
      <c r="GZ719">
        <v>0</v>
      </c>
      <c r="HA719">
        <v>0</v>
      </c>
      <c r="HB719">
        <v>0</v>
      </c>
      <c r="HC719">
        <v>0</v>
      </c>
      <c r="HD719">
        <v>0</v>
      </c>
      <c r="HE719">
        <v>0</v>
      </c>
      <c r="HF719">
        <v>0</v>
      </c>
      <c r="HG719">
        <v>0</v>
      </c>
      <c r="HH719">
        <v>0</v>
      </c>
      <c r="HI719">
        <v>0</v>
      </c>
      <c r="HJ719">
        <v>0</v>
      </c>
      <c r="HK719">
        <v>0</v>
      </c>
      <c r="HL719">
        <v>0</v>
      </c>
      <c r="HM719">
        <v>0</v>
      </c>
      <c r="HN719">
        <v>0</v>
      </c>
      <c r="HO719">
        <v>0</v>
      </c>
      <c r="HP719">
        <v>0</v>
      </c>
      <c r="HQ719">
        <v>0</v>
      </c>
      <c r="HR719">
        <v>0</v>
      </c>
      <c r="HS719">
        <v>0</v>
      </c>
      <c r="HT719">
        <v>0</v>
      </c>
      <c r="HU719">
        <v>0</v>
      </c>
      <c r="HV719">
        <v>0</v>
      </c>
      <c r="HW719">
        <v>404.70000000000005</v>
      </c>
      <c r="HX719">
        <v>342.3</v>
      </c>
      <c r="HZ719">
        <v>866.2</v>
      </c>
      <c r="IA719">
        <v>1142.8</v>
      </c>
      <c r="IB719">
        <v>1121.5</v>
      </c>
      <c r="IC719">
        <v>2403</v>
      </c>
      <c r="ID719">
        <v>2659.3</v>
      </c>
      <c r="IE719">
        <v>1923.4</v>
      </c>
      <c r="IF719">
        <v>1465.7</v>
      </c>
      <c r="IG719">
        <v>1608.3</v>
      </c>
      <c r="IH719">
        <v>0</v>
      </c>
      <c r="II719">
        <v>0</v>
      </c>
      <c r="IJ719">
        <v>0</v>
      </c>
      <c r="IK719">
        <v>0</v>
      </c>
      <c r="IL719">
        <v>0</v>
      </c>
      <c r="IM719">
        <v>0</v>
      </c>
      <c r="IN719">
        <v>0</v>
      </c>
      <c r="IO719">
        <v>0</v>
      </c>
      <c r="IP719">
        <v>75.099999999999994</v>
      </c>
    </row>
    <row r="720" spans="1:250" ht="18" thickBot="1">
      <c r="A720" s="245"/>
      <c r="B720" s="245" t="s">
        <v>430</v>
      </c>
      <c r="C720" s="230" t="s">
        <v>1147</v>
      </c>
      <c r="D720" s="397"/>
      <c r="E720" s="454">
        <v>0</v>
      </c>
      <c r="F720">
        <v>0</v>
      </c>
      <c r="G720" s="427">
        <v>0</v>
      </c>
      <c r="H720" s="155">
        <v>0</v>
      </c>
      <c r="I720">
        <v>0</v>
      </c>
      <c r="J720">
        <v>0</v>
      </c>
      <c r="K720">
        <v>0</v>
      </c>
      <c r="L720" s="4">
        <v>0</v>
      </c>
      <c r="M720" s="4">
        <v>0</v>
      </c>
      <c r="N720" s="4">
        <v>0</v>
      </c>
      <c r="O720" s="4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R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G720">
        <v>0</v>
      </c>
      <c r="BI720">
        <v>0</v>
      </c>
      <c r="BK720">
        <v>0</v>
      </c>
      <c r="BL720">
        <v>0</v>
      </c>
      <c r="BM720">
        <v>0</v>
      </c>
      <c r="BN720">
        <v>0</v>
      </c>
      <c r="BO720">
        <v>344.70000000000005</v>
      </c>
      <c r="BP720">
        <v>625.70000000000005</v>
      </c>
      <c r="BQ720">
        <v>912.2</v>
      </c>
      <c r="BR720">
        <v>237.7</v>
      </c>
      <c r="BS720">
        <v>0</v>
      </c>
      <c r="BT720">
        <v>0</v>
      </c>
      <c r="BU720">
        <v>0</v>
      </c>
      <c r="BV720">
        <v>0</v>
      </c>
      <c r="BW720">
        <v>1647.4</v>
      </c>
      <c r="BY720">
        <v>453.1</v>
      </c>
      <c r="CA720">
        <v>285.39999999999998</v>
      </c>
      <c r="CB720">
        <v>280.8</v>
      </c>
      <c r="CC720">
        <v>127.7</v>
      </c>
      <c r="CD720">
        <v>0</v>
      </c>
      <c r="CE720">
        <v>0</v>
      </c>
      <c r="CF720">
        <v>0</v>
      </c>
      <c r="CG720">
        <v>0</v>
      </c>
      <c r="CI720">
        <v>0</v>
      </c>
      <c r="CJ720">
        <v>0</v>
      </c>
      <c r="CL720">
        <v>0</v>
      </c>
      <c r="CM720">
        <v>0</v>
      </c>
      <c r="CN720">
        <v>0</v>
      </c>
      <c r="CO720">
        <v>0</v>
      </c>
      <c r="CP720">
        <v>0</v>
      </c>
      <c r="CQ720">
        <v>621.70000000000005</v>
      </c>
      <c r="CR720">
        <v>481.70000000000005</v>
      </c>
      <c r="CS720">
        <v>0</v>
      </c>
      <c r="CT720">
        <v>524.6</v>
      </c>
      <c r="CU720">
        <v>514.1</v>
      </c>
      <c r="CV720">
        <v>175.2</v>
      </c>
      <c r="CW720">
        <v>0</v>
      </c>
      <c r="CX720">
        <v>65.099999999999994</v>
      </c>
      <c r="CY720">
        <v>199</v>
      </c>
      <c r="CZ720">
        <v>1907.9</v>
      </c>
      <c r="DA720">
        <v>0</v>
      </c>
      <c r="DB720">
        <v>0</v>
      </c>
      <c r="DC720">
        <v>0</v>
      </c>
      <c r="DD720">
        <v>0</v>
      </c>
      <c r="DE720">
        <v>0</v>
      </c>
      <c r="DF720">
        <v>0</v>
      </c>
      <c r="DG720">
        <v>0</v>
      </c>
      <c r="DH720">
        <v>0</v>
      </c>
      <c r="DI720">
        <v>0</v>
      </c>
      <c r="DJ720">
        <v>0</v>
      </c>
      <c r="DK720">
        <v>0</v>
      </c>
      <c r="DL720">
        <v>0</v>
      </c>
      <c r="DM720">
        <v>1065.4000000000001</v>
      </c>
      <c r="DN720">
        <v>599.70000000000005</v>
      </c>
      <c r="DO720">
        <v>319.7</v>
      </c>
      <c r="DP720">
        <v>1570.6999999999998</v>
      </c>
      <c r="DQ720">
        <v>1399.5</v>
      </c>
      <c r="DR720">
        <v>3581</v>
      </c>
      <c r="DU720">
        <v>1393.2</v>
      </c>
      <c r="DV720">
        <v>2862.6</v>
      </c>
      <c r="DY720">
        <v>2361</v>
      </c>
      <c r="EA720">
        <v>2409.6</v>
      </c>
      <c r="EC720">
        <v>1661.3999999999999</v>
      </c>
      <c r="EE720">
        <v>0</v>
      </c>
      <c r="EF720">
        <v>0</v>
      </c>
      <c r="EG720">
        <v>0</v>
      </c>
      <c r="EH720">
        <v>0</v>
      </c>
      <c r="EI720">
        <v>0</v>
      </c>
      <c r="EJ720">
        <v>0</v>
      </c>
      <c r="EK720">
        <v>0</v>
      </c>
      <c r="EL720">
        <v>0</v>
      </c>
      <c r="EM720">
        <v>0</v>
      </c>
      <c r="EN720">
        <v>0</v>
      </c>
      <c r="EO720">
        <v>0</v>
      </c>
      <c r="EP720">
        <v>944.5</v>
      </c>
      <c r="EQ720">
        <v>3459.7</v>
      </c>
      <c r="ER720">
        <v>1353.5</v>
      </c>
      <c r="ES720">
        <v>182.2</v>
      </c>
      <c r="ET720">
        <v>855.59999999999991</v>
      </c>
      <c r="EU720">
        <v>172.2</v>
      </c>
      <c r="EV720">
        <v>203.2</v>
      </c>
      <c r="EW720">
        <v>1173.0999999999999</v>
      </c>
      <c r="EX720">
        <v>1078.3</v>
      </c>
      <c r="EY720">
        <v>1194.4000000000001</v>
      </c>
      <c r="EZ720">
        <v>1207.0999999999999</v>
      </c>
      <c r="FA720">
        <v>0</v>
      </c>
      <c r="FB720">
        <v>0</v>
      </c>
      <c r="FC720">
        <v>0</v>
      </c>
      <c r="FD720">
        <v>0</v>
      </c>
      <c r="FE720">
        <v>0</v>
      </c>
      <c r="FF720">
        <v>0</v>
      </c>
      <c r="FG720">
        <v>0</v>
      </c>
      <c r="FH720">
        <v>0</v>
      </c>
      <c r="FI720">
        <v>0</v>
      </c>
      <c r="FJ720">
        <v>0</v>
      </c>
      <c r="FK720">
        <v>0</v>
      </c>
      <c r="FL720">
        <v>0</v>
      </c>
      <c r="FM720">
        <v>0</v>
      </c>
      <c r="FN720">
        <v>0</v>
      </c>
      <c r="FO720">
        <v>0</v>
      </c>
      <c r="FP720">
        <v>0</v>
      </c>
      <c r="FQ720">
        <v>0</v>
      </c>
      <c r="FR720">
        <v>0</v>
      </c>
      <c r="FS720">
        <v>0</v>
      </c>
      <c r="FT720">
        <v>0</v>
      </c>
      <c r="FU720">
        <v>0</v>
      </c>
      <c r="FV720">
        <v>0</v>
      </c>
      <c r="FW720">
        <v>0</v>
      </c>
      <c r="FX720">
        <v>0</v>
      </c>
      <c r="FY720">
        <v>0</v>
      </c>
      <c r="FZ720">
        <v>0</v>
      </c>
      <c r="GA720">
        <v>0</v>
      </c>
      <c r="GB720">
        <v>0</v>
      </c>
      <c r="GC720">
        <v>0</v>
      </c>
      <c r="GD720">
        <v>0</v>
      </c>
      <c r="GE720">
        <v>0</v>
      </c>
      <c r="GF720">
        <v>0</v>
      </c>
      <c r="GG720">
        <v>0</v>
      </c>
      <c r="GH720">
        <v>0</v>
      </c>
      <c r="GI720">
        <v>0</v>
      </c>
      <c r="GJ720">
        <v>0</v>
      </c>
      <c r="GK720">
        <v>0</v>
      </c>
      <c r="GL720">
        <v>0</v>
      </c>
      <c r="GO720">
        <v>0</v>
      </c>
      <c r="GP720">
        <v>0</v>
      </c>
      <c r="GQ720">
        <v>0</v>
      </c>
      <c r="GR720">
        <v>0</v>
      </c>
      <c r="GS720">
        <v>0</v>
      </c>
      <c r="GT720">
        <v>0</v>
      </c>
      <c r="GU720">
        <v>0</v>
      </c>
      <c r="GV720">
        <v>0</v>
      </c>
      <c r="GW720">
        <v>0</v>
      </c>
      <c r="GX720">
        <v>0</v>
      </c>
      <c r="GY720">
        <v>0</v>
      </c>
      <c r="GZ720">
        <v>0</v>
      </c>
      <c r="HA720">
        <v>0</v>
      </c>
      <c r="HB720">
        <v>0</v>
      </c>
      <c r="HC720">
        <v>0</v>
      </c>
      <c r="HD720">
        <v>0</v>
      </c>
      <c r="HE720">
        <v>0</v>
      </c>
      <c r="HF720">
        <v>0</v>
      </c>
      <c r="HG720">
        <v>0</v>
      </c>
      <c r="HH720">
        <v>0</v>
      </c>
      <c r="HI720">
        <v>0</v>
      </c>
      <c r="HJ720">
        <v>0</v>
      </c>
      <c r="HK720">
        <v>0</v>
      </c>
      <c r="HL720">
        <v>0</v>
      </c>
      <c r="HM720">
        <v>0</v>
      </c>
      <c r="HN720">
        <v>0</v>
      </c>
      <c r="HO720">
        <v>0</v>
      </c>
      <c r="HP720">
        <v>0</v>
      </c>
      <c r="HQ720">
        <v>0</v>
      </c>
      <c r="HR720">
        <v>0</v>
      </c>
      <c r="HS720">
        <v>0</v>
      </c>
      <c r="HT720">
        <v>0</v>
      </c>
      <c r="HU720">
        <v>0</v>
      </c>
      <c r="HV720">
        <v>0</v>
      </c>
      <c r="HW720">
        <v>404.70000000000005</v>
      </c>
      <c r="HX720">
        <v>342.3</v>
      </c>
      <c r="HZ720">
        <v>866.2</v>
      </c>
      <c r="IA720">
        <v>1142.8</v>
      </c>
      <c r="IB720">
        <v>1121.5</v>
      </c>
      <c r="IC720">
        <v>2403</v>
      </c>
      <c r="ID720">
        <v>2659.3</v>
      </c>
      <c r="IE720">
        <v>1923.4</v>
      </c>
      <c r="IF720">
        <v>1465.7</v>
      </c>
      <c r="IG720">
        <v>1608.3</v>
      </c>
      <c r="IH720">
        <v>0</v>
      </c>
      <c r="II720">
        <v>0</v>
      </c>
      <c r="IJ720">
        <v>0</v>
      </c>
      <c r="IK720">
        <v>0</v>
      </c>
      <c r="IL720">
        <v>0</v>
      </c>
      <c r="IM720">
        <v>0</v>
      </c>
      <c r="IN720">
        <v>0</v>
      </c>
      <c r="IO720">
        <v>0</v>
      </c>
      <c r="IP720">
        <v>75.099999999999994</v>
      </c>
    </row>
    <row r="721" spans="1:250" ht="18" thickBot="1">
      <c r="A721" s="245"/>
      <c r="B721" s="245" t="s">
        <v>431</v>
      </c>
      <c r="C721" s="230" t="s">
        <v>1148</v>
      </c>
      <c r="D721" s="397"/>
      <c r="E721" s="454">
        <v>0</v>
      </c>
      <c r="F721">
        <v>0</v>
      </c>
      <c r="G721" s="427">
        <v>0</v>
      </c>
      <c r="H721" s="155">
        <v>0</v>
      </c>
      <c r="I721">
        <v>0</v>
      </c>
      <c r="J721">
        <v>0</v>
      </c>
      <c r="K721">
        <v>0</v>
      </c>
      <c r="L721" s="4">
        <v>0</v>
      </c>
      <c r="M721" s="4">
        <v>0</v>
      </c>
      <c r="N721" s="4">
        <v>0</v>
      </c>
      <c r="O721" s="4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R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G721">
        <v>0</v>
      </c>
      <c r="BI721">
        <v>0</v>
      </c>
      <c r="BK721">
        <v>0</v>
      </c>
      <c r="BL721">
        <v>0</v>
      </c>
      <c r="BM721">
        <v>0</v>
      </c>
      <c r="BN721">
        <v>0</v>
      </c>
      <c r="BO721">
        <v>344.70000000000005</v>
      </c>
      <c r="BP721">
        <v>625.70000000000005</v>
      </c>
      <c r="BQ721">
        <v>912.2</v>
      </c>
      <c r="BR721">
        <v>237.7</v>
      </c>
      <c r="BS721">
        <v>0</v>
      </c>
      <c r="BT721">
        <v>0</v>
      </c>
      <c r="BU721">
        <v>0</v>
      </c>
      <c r="BV721">
        <v>0</v>
      </c>
      <c r="BW721">
        <v>1647.4</v>
      </c>
      <c r="BY721">
        <v>453.1</v>
      </c>
      <c r="CA721">
        <v>285.39999999999998</v>
      </c>
      <c r="CB721">
        <v>280.8</v>
      </c>
      <c r="CC721">
        <v>127.7</v>
      </c>
      <c r="CD721">
        <v>0</v>
      </c>
      <c r="CE721">
        <v>0</v>
      </c>
      <c r="CF721">
        <v>0</v>
      </c>
      <c r="CG721">
        <v>0</v>
      </c>
      <c r="CI721">
        <v>0</v>
      </c>
      <c r="CJ721">
        <v>0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621.70000000000005</v>
      </c>
      <c r="CR721">
        <v>481.70000000000005</v>
      </c>
      <c r="CS721">
        <v>0</v>
      </c>
      <c r="CT721">
        <v>524.6</v>
      </c>
      <c r="CU721">
        <v>514.1</v>
      </c>
      <c r="CV721">
        <v>175.2</v>
      </c>
      <c r="CW721">
        <v>0</v>
      </c>
      <c r="CX721">
        <v>65.099999999999994</v>
      </c>
      <c r="CY721">
        <v>199</v>
      </c>
      <c r="CZ721">
        <v>1907.9</v>
      </c>
      <c r="DA721">
        <v>0</v>
      </c>
      <c r="DB721">
        <v>0</v>
      </c>
      <c r="DC721">
        <v>0</v>
      </c>
      <c r="DD721">
        <v>0</v>
      </c>
      <c r="DE721">
        <v>0</v>
      </c>
      <c r="DF721">
        <v>0</v>
      </c>
      <c r="DG721">
        <v>0</v>
      </c>
      <c r="DH721">
        <v>0</v>
      </c>
      <c r="DI721">
        <v>0</v>
      </c>
      <c r="DJ721">
        <v>0</v>
      </c>
      <c r="DK721">
        <v>0</v>
      </c>
      <c r="DL721">
        <v>0</v>
      </c>
      <c r="DM721">
        <v>1065.4000000000001</v>
      </c>
      <c r="DN721">
        <v>599.70000000000005</v>
      </c>
      <c r="DO721">
        <v>319.7</v>
      </c>
      <c r="DP721">
        <v>1570.6999999999998</v>
      </c>
      <c r="DQ721">
        <v>1399.5</v>
      </c>
      <c r="DR721">
        <v>3581</v>
      </c>
      <c r="DU721">
        <v>1393.2</v>
      </c>
      <c r="DV721">
        <v>2862.6</v>
      </c>
      <c r="DY721">
        <v>2361</v>
      </c>
      <c r="EA721">
        <v>2409.6</v>
      </c>
      <c r="EC721">
        <v>1661.3999999999999</v>
      </c>
      <c r="EE721">
        <v>0</v>
      </c>
      <c r="EF721">
        <v>0</v>
      </c>
      <c r="EG721">
        <v>0</v>
      </c>
      <c r="EH721">
        <v>0</v>
      </c>
      <c r="EI721">
        <v>0</v>
      </c>
      <c r="EJ721">
        <v>0</v>
      </c>
      <c r="EK721">
        <v>0</v>
      </c>
      <c r="EL721">
        <v>0</v>
      </c>
      <c r="EM721">
        <v>0</v>
      </c>
      <c r="EN721">
        <v>0</v>
      </c>
      <c r="EO721">
        <v>0</v>
      </c>
      <c r="EP721">
        <v>944.5</v>
      </c>
      <c r="EQ721">
        <v>3459.7</v>
      </c>
      <c r="ER721">
        <v>1353.5</v>
      </c>
      <c r="ES721">
        <v>182.2</v>
      </c>
      <c r="ET721">
        <v>855.59999999999991</v>
      </c>
      <c r="EU721">
        <v>172.2</v>
      </c>
      <c r="EV721">
        <v>203.2</v>
      </c>
      <c r="EW721">
        <v>1173.0999999999999</v>
      </c>
      <c r="EX721">
        <v>1078.3</v>
      </c>
      <c r="EY721">
        <v>1194.4000000000001</v>
      </c>
      <c r="EZ721">
        <v>1207.0999999999999</v>
      </c>
      <c r="FA721">
        <v>0</v>
      </c>
      <c r="FB721">
        <v>0</v>
      </c>
      <c r="FC721">
        <v>0</v>
      </c>
      <c r="FD721">
        <v>0</v>
      </c>
      <c r="FE721">
        <v>0</v>
      </c>
      <c r="FF721">
        <v>0</v>
      </c>
      <c r="FG721">
        <v>0</v>
      </c>
      <c r="FH721">
        <v>0</v>
      </c>
      <c r="FI721">
        <v>0</v>
      </c>
      <c r="FJ721">
        <v>0</v>
      </c>
      <c r="FK721">
        <v>0</v>
      </c>
      <c r="FL721">
        <v>0</v>
      </c>
      <c r="FM721">
        <v>0</v>
      </c>
      <c r="FN721">
        <v>0</v>
      </c>
      <c r="FO721">
        <v>0</v>
      </c>
      <c r="FP721">
        <v>0</v>
      </c>
      <c r="FQ721">
        <v>0</v>
      </c>
      <c r="FR721">
        <v>0</v>
      </c>
      <c r="FS721">
        <v>0</v>
      </c>
      <c r="FT721">
        <v>0</v>
      </c>
      <c r="FU721">
        <v>0</v>
      </c>
      <c r="FV721">
        <v>0</v>
      </c>
      <c r="FW721">
        <v>0</v>
      </c>
      <c r="FX721">
        <v>0</v>
      </c>
      <c r="FY721">
        <v>0</v>
      </c>
      <c r="FZ721">
        <v>0</v>
      </c>
      <c r="GA721">
        <v>0</v>
      </c>
      <c r="GB721">
        <v>0</v>
      </c>
      <c r="GC721">
        <v>0</v>
      </c>
      <c r="GD721">
        <v>0</v>
      </c>
      <c r="GE721">
        <v>0</v>
      </c>
      <c r="GF721">
        <v>0</v>
      </c>
      <c r="GG721">
        <v>0</v>
      </c>
      <c r="GH721">
        <v>0</v>
      </c>
      <c r="GI721">
        <v>0</v>
      </c>
      <c r="GJ721">
        <v>0</v>
      </c>
      <c r="GK721">
        <v>0</v>
      </c>
      <c r="GL721">
        <v>0</v>
      </c>
      <c r="GO721">
        <v>0</v>
      </c>
      <c r="GP721">
        <v>0</v>
      </c>
      <c r="GQ721">
        <v>0</v>
      </c>
      <c r="GR721">
        <v>0</v>
      </c>
      <c r="GS721">
        <v>0</v>
      </c>
      <c r="GT721">
        <v>0</v>
      </c>
      <c r="GU721">
        <v>0</v>
      </c>
      <c r="GV721">
        <v>0</v>
      </c>
      <c r="GW721">
        <v>0</v>
      </c>
      <c r="GX721">
        <v>0</v>
      </c>
      <c r="GY721">
        <v>0</v>
      </c>
      <c r="GZ721">
        <v>0</v>
      </c>
      <c r="HA721">
        <v>0</v>
      </c>
      <c r="HB721">
        <v>0</v>
      </c>
      <c r="HC721">
        <v>0</v>
      </c>
      <c r="HD721">
        <v>0</v>
      </c>
      <c r="HE721">
        <v>0</v>
      </c>
      <c r="HF721">
        <v>0</v>
      </c>
      <c r="HG721">
        <v>0</v>
      </c>
      <c r="HH721">
        <v>0</v>
      </c>
      <c r="HI721">
        <v>0</v>
      </c>
      <c r="HJ721">
        <v>0</v>
      </c>
      <c r="HK721">
        <v>0</v>
      </c>
      <c r="HL721">
        <v>0</v>
      </c>
      <c r="HM721">
        <v>0</v>
      </c>
      <c r="HN721">
        <v>0</v>
      </c>
      <c r="HO721">
        <v>0</v>
      </c>
      <c r="HP721">
        <v>0</v>
      </c>
      <c r="HQ721">
        <v>0</v>
      </c>
      <c r="HR721">
        <v>0</v>
      </c>
      <c r="HS721">
        <v>0</v>
      </c>
      <c r="HT721">
        <v>0</v>
      </c>
      <c r="HU721">
        <v>0</v>
      </c>
      <c r="HV721">
        <v>0</v>
      </c>
      <c r="HW721">
        <v>404.70000000000005</v>
      </c>
      <c r="HX721">
        <v>342.3</v>
      </c>
      <c r="HZ721">
        <v>866.2</v>
      </c>
      <c r="IA721">
        <v>1142.8</v>
      </c>
      <c r="IB721">
        <v>1121.5</v>
      </c>
      <c r="IC721">
        <v>2403</v>
      </c>
      <c r="ID721">
        <v>2659.3</v>
      </c>
      <c r="IE721">
        <v>1923.4</v>
      </c>
      <c r="IF721">
        <v>1465.7</v>
      </c>
      <c r="IG721">
        <v>1608.3</v>
      </c>
      <c r="IH721">
        <v>0</v>
      </c>
      <c r="II721">
        <v>0</v>
      </c>
      <c r="IJ721">
        <v>0</v>
      </c>
      <c r="IK721">
        <v>0</v>
      </c>
      <c r="IL721">
        <v>0</v>
      </c>
      <c r="IM721">
        <v>0</v>
      </c>
      <c r="IN721">
        <v>0</v>
      </c>
      <c r="IO721">
        <v>0</v>
      </c>
      <c r="IP721">
        <v>75.099999999999994</v>
      </c>
    </row>
    <row r="722" spans="1:250" ht="18" thickBot="1">
      <c r="A722" s="245"/>
      <c r="B722" s="245" t="s">
        <v>432</v>
      </c>
      <c r="C722" s="230" t="s">
        <v>1149</v>
      </c>
      <c r="D722" s="397"/>
      <c r="E722" s="454">
        <v>0</v>
      </c>
      <c r="F722">
        <v>0</v>
      </c>
      <c r="G722" s="427">
        <v>0</v>
      </c>
      <c r="H722" s="155">
        <v>0</v>
      </c>
      <c r="I722">
        <v>0</v>
      </c>
      <c r="J722">
        <v>0</v>
      </c>
      <c r="K722">
        <v>0</v>
      </c>
      <c r="L722" s="4">
        <v>0</v>
      </c>
      <c r="M722" s="4">
        <v>0</v>
      </c>
      <c r="N722" s="4">
        <v>0</v>
      </c>
      <c r="O722" s="4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R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G722">
        <v>0</v>
      </c>
      <c r="BI722">
        <v>0</v>
      </c>
      <c r="BK722">
        <v>0</v>
      </c>
      <c r="BL722">
        <v>0</v>
      </c>
      <c r="BM722">
        <v>0</v>
      </c>
      <c r="BN722">
        <v>0</v>
      </c>
      <c r="BO722">
        <v>344.70000000000005</v>
      </c>
      <c r="BP722">
        <v>625.70000000000005</v>
      </c>
      <c r="BQ722">
        <v>912.2</v>
      </c>
      <c r="BR722">
        <v>237.7</v>
      </c>
      <c r="BS722">
        <v>0</v>
      </c>
      <c r="BT722">
        <v>0</v>
      </c>
      <c r="BU722">
        <v>0</v>
      </c>
      <c r="BV722">
        <v>0</v>
      </c>
      <c r="BW722">
        <v>1647.4</v>
      </c>
      <c r="BY722">
        <v>453.1</v>
      </c>
      <c r="CA722">
        <v>285.39999999999998</v>
      </c>
      <c r="CB722">
        <v>280.8</v>
      </c>
      <c r="CC722">
        <v>127.7</v>
      </c>
      <c r="CD722">
        <v>0</v>
      </c>
      <c r="CE722">
        <v>0</v>
      </c>
      <c r="CF722">
        <v>0</v>
      </c>
      <c r="CG722">
        <v>0</v>
      </c>
      <c r="CI722">
        <v>0</v>
      </c>
      <c r="CJ722">
        <v>0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621.70000000000005</v>
      </c>
      <c r="CR722">
        <v>481.70000000000005</v>
      </c>
      <c r="CS722">
        <v>0</v>
      </c>
      <c r="CT722">
        <v>524.6</v>
      </c>
      <c r="CU722">
        <v>514.1</v>
      </c>
      <c r="CV722">
        <v>175.2</v>
      </c>
      <c r="CW722">
        <v>0</v>
      </c>
      <c r="CX722">
        <v>65.099999999999994</v>
      </c>
      <c r="CY722">
        <v>199</v>
      </c>
      <c r="CZ722">
        <v>1907.9</v>
      </c>
      <c r="DA722">
        <v>0</v>
      </c>
      <c r="DB722">
        <v>0</v>
      </c>
      <c r="DC722">
        <v>0</v>
      </c>
      <c r="DD722">
        <v>0</v>
      </c>
      <c r="DE722">
        <v>0</v>
      </c>
      <c r="DF722">
        <v>0</v>
      </c>
      <c r="DG722">
        <v>0</v>
      </c>
      <c r="DH722">
        <v>0</v>
      </c>
      <c r="DI722">
        <v>0</v>
      </c>
      <c r="DJ722">
        <v>0</v>
      </c>
      <c r="DK722">
        <v>0</v>
      </c>
      <c r="DL722">
        <v>0</v>
      </c>
      <c r="DM722">
        <v>1065.4000000000001</v>
      </c>
      <c r="DN722">
        <v>599.70000000000005</v>
      </c>
      <c r="DO722">
        <v>319.7</v>
      </c>
      <c r="DP722">
        <v>1570.6999999999998</v>
      </c>
      <c r="DQ722">
        <v>1399.5</v>
      </c>
      <c r="DR722">
        <v>3581</v>
      </c>
      <c r="DU722">
        <v>1393.2</v>
      </c>
      <c r="DV722">
        <v>2862.6</v>
      </c>
      <c r="DY722">
        <v>2361</v>
      </c>
      <c r="EA722">
        <v>2409.6</v>
      </c>
      <c r="EC722">
        <v>1661.3999999999999</v>
      </c>
      <c r="EE722">
        <v>0</v>
      </c>
      <c r="EF722">
        <v>0</v>
      </c>
      <c r="EG722">
        <v>0</v>
      </c>
      <c r="EH722">
        <v>0</v>
      </c>
      <c r="EI722">
        <v>0</v>
      </c>
      <c r="EJ722">
        <v>0</v>
      </c>
      <c r="EK722">
        <v>0</v>
      </c>
      <c r="EL722">
        <v>0</v>
      </c>
      <c r="EM722">
        <v>0</v>
      </c>
      <c r="EN722">
        <v>0</v>
      </c>
      <c r="EO722">
        <v>0</v>
      </c>
      <c r="EP722">
        <v>944.5</v>
      </c>
      <c r="EQ722">
        <v>3459.7</v>
      </c>
      <c r="ER722">
        <v>1353.5</v>
      </c>
      <c r="ES722">
        <v>182.2</v>
      </c>
      <c r="ET722">
        <v>855.59999999999991</v>
      </c>
      <c r="EU722">
        <v>172.2</v>
      </c>
      <c r="EV722">
        <v>203.2</v>
      </c>
      <c r="EW722">
        <v>1173.0999999999999</v>
      </c>
      <c r="EX722">
        <v>1078.3</v>
      </c>
      <c r="EY722">
        <v>1194.4000000000001</v>
      </c>
      <c r="EZ722">
        <v>1207.0999999999999</v>
      </c>
      <c r="FA722">
        <v>0</v>
      </c>
      <c r="FB722">
        <v>0</v>
      </c>
      <c r="FC722">
        <v>0</v>
      </c>
      <c r="FD722">
        <v>0</v>
      </c>
      <c r="FE722">
        <v>0</v>
      </c>
      <c r="FF722">
        <v>0</v>
      </c>
      <c r="FG722">
        <v>0</v>
      </c>
      <c r="FH722">
        <v>0</v>
      </c>
      <c r="FI722">
        <v>0</v>
      </c>
      <c r="FJ722">
        <v>0</v>
      </c>
      <c r="FK722">
        <v>0</v>
      </c>
      <c r="FL722">
        <v>0</v>
      </c>
      <c r="FM722">
        <v>0</v>
      </c>
      <c r="FN722">
        <v>0</v>
      </c>
      <c r="FO722">
        <v>0</v>
      </c>
      <c r="FP722">
        <v>0</v>
      </c>
      <c r="FQ722">
        <v>0</v>
      </c>
      <c r="FR722">
        <v>0</v>
      </c>
      <c r="FS722">
        <v>0</v>
      </c>
      <c r="FT722">
        <v>0</v>
      </c>
      <c r="FU722">
        <v>0</v>
      </c>
      <c r="FV722">
        <v>0</v>
      </c>
      <c r="FW722">
        <v>0</v>
      </c>
      <c r="FX722">
        <v>0</v>
      </c>
      <c r="FY722">
        <v>0</v>
      </c>
      <c r="FZ722">
        <v>0</v>
      </c>
      <c r="GA722">
        <v>0</v>
      </c>
      <c r="GB722">
        <v>0</v>
      </c>
      <c r="GC722">
        <v>0</v>
      </c>
      <c r="GD722">
        <v>0</v>
      </c>
      <c r="GE722">
        <v>0</v>
      </c>
      <c r="GF722">
        <v>0</v>
      </c>
      <c r="GG722">
        <v>0</v>
      </c>
      <c r="GH722">
        <v>0</v>
      </c>
      <c r="GI722">
        <v>0</v>
      </c>
      <c r="GJ722">
        <v>0</v>
      </c>
      <c r="GK722">
        <v>0</v>
      </c>
      <c r="GL722">
        <v>0</v>
      </c>
      <c r="GO722">
        <v>0</v>
      </c>
      <c r="GP722">
        <v>0</v>
      </c>
      <c r="GQ722">
        <v>0</v>
      </c>
      <c r="GR722">
        <v>0</v>
      </c>
      <c r="GS722">
        <v>0</v>
      </c>
      <c r="GT722">
        <v>0</v>
      </c>
      <c r="GU722">
        <v>0</v>
      </c>
      <c r="GV722">
        <v>0</v>
      </c>
      <c r="GW722">
        <v>0</v>
      </c>
      <c r="GX722">
        <v>0</v>
      </c>
      <c r="GY722">
        <v>0</v>
      </c>
      <c r="GZ722">
        <v>0</v>
      </c>
      <c r="HA722">
        <v>0</v>
      </c>
      <c r="HB722">
        <v>0</v>
      </c>
      <c r="HC722">
        <v>0</v>
      </c>
      <c r="HD722">
        <v>0</v>
      </c>
      <c r="HE722">
        <v>0</v>
      </c>
      <c r="HF722">
        <v>0</v>
      </c>
      <c r="HG722">
        <v>0</v>
      </c>
      <c r="HH722">
        <v>0</v>
      </c>
      <c r="HI722">
        <v>0</v>
      </c>
      <c r="HJ722">
        <v>0</v>
      </c>
      <c r="HK722">
        <v>0</v>
      </c>
      <c r="HL722">
        <v>0</v>
      </c>
      <c r="HM722">
        <v>0</v>
      </c>
      <c r="HN722">
        <v>0</v>
      </c>
      <c r="HO722">
        <v>0</v>
      </c>
      <c r="HP722">
        <v>0</v>
      </c>
      <c r="HQ722">
        <v>0</v>
      </c>
      <c r="HR722">
        <v>0</v>
      </c>
      <c r="HS722">
        <v>0</v>
      </c>
      <c r="HT722">
        <v>0</v>
      </c>
      <c r="HU722">
        <v>0</v>
      </c>
      <c r="HV722">
        <v>0</v>
      </c>
      <c r="HW722">
        <v>404.70000000000005</v>
      </c>
      <c r="HX722">
        <v>342.3</v>
      </c>
      <c r="HZ722">
        <v>866.2</v>
      </c>
      <c r="IA722">
        <v>1142.8</v>
      </c>
      <c r="IB722">
        <v>1121.5</v>
      </c>
      <c r="IC722">
        <v>2403</v>
      </c>
      <c r="ID722">
        <v>2659.3</v>
      </c>
      <c r="IE722">
        <v>1923.4</v>
      </c>
      <c r="IF722">
        <v>1465.7</v>
      </c>
      <c r="IG722">
        <v>1608.3</v>
      </c>
      <c r="IH722">
        <v>0</v>
      </c>
      <c r="II722">
        <v>0</v>
      </c>
      <c r="IJ722">
        <v>0</v>
      </c>
      <c r="IK722">
        <v>0</v>
      </c>
      <c r="IL722">
        <v>0</v>
      </c>
      <c r="IM722">
        <v>0</v>
      </c>
      <c r="IN722">
        <v>0</v>
      </c>
      <c r="IO722">
        <v>0</v>
      </c>
      <c r="IP722">
        <v>75.099999999999994</v>
      </c>
    </row>
    <row r="723" spans="1:250" ht="18" thickBot="1">
      <c r="A723" s="245"/>
      <c r="B723" s="245" t="s">
        <v>433</v>
      </c>
      <c r="C723" s="230" t="s">
        <v>1150</v>
      </c>
      <c r="D723" s="399"/>
      <c r="E723" s="454">
        <v>0</v>
      </c>
      <c r="F723">
        <v>0</v>
      </c>
      <c r="G723" s="427">
        <v>0</v>
      </c>
      <c r="H723" s="155">
        <v>0</v>
      </c>
      <c r="I723">
        <v>0</v>
      </c>
      <c r="J723">
        <v>0</v>
      </c>
      <c r="K723">
        <v>0</v>
      </c>
      <c r="L723" s="4">
        <v>0</v>
      </c>
      <c r="M723" s="4">
        <v>0</v>
      </c>
      <c r="N723" s="4">
        <v>0</v>
      </c>
      <c r="O723" s="4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R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G723">
        <v>0</v>
      </c>
      <c r="BI723">
        <v>0</v>
      </c>
      <c r="BK723">
        <v>0</v>
      </c>
      <c r="BL723">
        <v>0</v>
      </c>
      <c r="BM723">
        <v>0</v>
      </c>
      <c r="BN723">
        <v>0</v>
      </c>
      <c r="BO723">
        <v>344.70000000000005</v>
      </c>
      <c r="BP723">
        <v>625.70000000000005</v>
      </c>
      <c r="BQ723">
        <v>912.2</v>
      </c>
      <c r="BR723">
        <v>237.7</v>
      </c>
      <c r="BS723">
        <v>0</v>
      </c>
      <c r="BT723">
        <v>0</v>
      </c>
      <c r="BU723">
        <v>0</v>
      </c>
      <c r="BV723">
        <v>0</v>
      </c>
      <c r="BW723">
        <v>1647.4</v>
      </c>
      <c r="BY723">
        <v>453.1</v>
      </c>
      <c r="CA723">
        <v>285.39999999999998</v>
      </c>
      <c r="CB723">
        <v>280.8</v>
      </c>
      <c r="CC723">
        <v>127.7</v>
      </c>
      <c r="CD723">
        <v>0</v>
      </c>
      <c r="CE723">
        <v>0</v>
      </c>
      <c r="CF723">
        <v>0</v>
      </c>
      <c r="CG723">
        <v>0</v>
      </c>
      <c r="CI723">
        <v>0</v>
      </c>
      <c r="CJ723">
        <v>0</v>
      </c>
      <c r="CL723">
        <v>0</v>
      </c>
      <c r="CM723">
        <v>0</v>
      </c>
      <c r="CN723">
        <v>0</v>
      </c>
      <c r="CO723">
        <v>0</v>
      </c>
      <c r="CP723">
        <v>0</v>
      </c>
      <c r="CQ723">
        <v>621.70000000000005</v>
      </c>
      <c r="CR723">
        <v>481.70000000000005</v>
      </c>
      <c r="CS723">
        <v>0</v>
      </c>
      <c r="CT723">
        <v>524.6</v>
      </c>
      <c r="CU723">
        <v>514.1</v>
      </c>
      <c r="CV723">
        <v>175.2</v>
      </c>
      <c r="CW723">
        <v>0</v>
      </c>
      <c r="CX723">
        <v>65.099999999999994</v>
      </c>
      <c r="CY723">
        <v>199</v>
      </c>
      <c r="CZ723">
        <v>1907.9</v>
      </c>
      <c r="DA723">
        <v>0</v>
      </c>
      <c r="DB723">
        <v>0</v>
      </c>
      <c r="DC723">
        <v>0</v>
      </c>
      <c r="DD723">
        <v>0</v>
      </c>
      <c r="DE723">
        <v>0</v>
      </c>
      <c r="DF723">
        <v>0</v>
      </c>
      <c r="DG723">
        <v>0</v>
      </c>
      <c r="DH723">
        <v>0</v>
      </c>
      <c r="DI723">
        <v>0</v>
      </c>
      <c r="DJ723">
        <v>0</v>
      </c>
      <c r="DK723">
        <v>0</v>
      </c>
      <c r="DL723">
        <v>0</v>
      </c>
      <c r="DM723">
        <v>1065.4000000000001</v>
      </c>
      <c r="DN723">
        <v>599.70000000000005</v>
      </c>
      <c r="DO723">
        <v>319.7</v>
      </c>
      <c r="DP723">
        <v>1570.6999999999998</v>
      </c>
      <c r="DQ723">
        <v>1399.5</v>
      </c>
      <c r="DR723">
        <v>3581</v>
      </c>
      <c r="DU723">
        <v>1393.2</v>
      </c>
      <c r="DV723">
        <v>2862.6</v>
      </c>
      <c r="DY723">
        <v>2361</v>
      </c>
      <c r="EA723">
        <v>2409.6</v>
      </c>
      <c r="EC723">
        <v>1661.3999999999999</v>
      </c>
      <c r="EE723">
        <v>0</v>
      </c>
      <c r="EF723">
        <v>0</v>
      </c>
      <c r="EG723">
        <v>0</v>
      </c>
      <c r="EH723">
        <v>0</v>
      </c>
      <c r="EI723">
        <v>0</v>
      </c>
      <c r="EJ723">
        <v>0</v>
      </c>
      <c r="EK723">
        <v>0</v>
      </c>
      <c r="EL723">
        <v>0</v>
      </c>
      <c r="EM723">
        <v>0</v>
      </c>
      <c r="EN723">
        <v>0</v>
      </c>
      <c r="EO723">
        <v>0</v>
      </c>
      <c r="EP723">
        <v>944.5</v>
      </c>
      <c r="EQ723">
        <v>3459.7</v>
      </c>
      <c r="ER723">
        <v>1353.5</v>
      </c>
      <c r="ES723">
        <v>182.2</v>
      </c>
      <c r="ET723">
        <v>855.59999999999991</v>
      </c>
      <c r="EU723">
        <v>172.2</v>
      </c>
      <c r="EV723">
        <v>203.2</v>
      </c>
      <c r="EW723">
        <v>1173.0999999999999</v>
      </c>
      <c r="EX723">
        <v>1078.3</v>
      </c>
      <c r="EY723">
        <v>1194.4000000000001</v>
      </c>
      <c r="EZ723">
        <v>1207.0999999999999</v>
      </c>
      <c r="FA723">
        <v>0</v>
      </c>
      <c r="FB723">
        <v>0</v>
      </c>
      <c r="FC723">
        <v>0</v>
      </c>
      <c r="FD723">
        <v>0</v>
      </c>
      <c r="FE723">
        <v>0</v>
      </c>
      <c r="FF723">
        <v>0</v>
      </c>
      <c r="FG723">
        <v>0</v>
      </c>
      <c r="FH723">
        <v>0</v>
      </c>
      <c r="FI723">
        <v>0</v>
      </c>
      <c r="FJ723">
        <v>0</v>
      </c>
      <c r="FK723">
        <v>0</v>
      </c>
      <c r="FL723">
        <v>0</v>
      </c>
      <c r="FM723">
        <v>0</v>
      </c>
      <c r="FN723">
        <v>0</v>
      </c>
      <c r="FO723">
        <v>0</v>
      </c>
      <c r="FP723">
        <v>0</v>
      </c>
      <c r="FQ723">
        <v>0</v>
      </c>
      <c r="FR723">
        <v>0</v>
      </c>
      <c r="FS723">
        <v>0</v>
      </c>
      <c r="FT723">
        <v>0</v>
      </c>
      <c r="FU723">
        <v>0</v>
      </c>
      <c r="FV723">
        <v>0</v>
      </c>
      <c r="FW723">
        <v>0</v>
      </c>
      <c r="FX723">
        <v>0</v>
      </c>
      <c r="FY723">
        <v>0</v>
      </c>
      <c r="FZ723">
        <v>0</v>
      </c>
      <c r="GA723">
        <v>0</v>
      </c>
      <c r="GB723">
        <v>0</v>
      </c>
      <c r="GC723">
        <v>0</v>
      </c>
      <c r="GD723">
        <v>0</v>
      </c>
      <c r="GE723">
        <v>0</v>
      </c>
      <c r="GF723">
        <v>0</v>
      </c>
      <c r="GG723">
        <v>0</v>
      </c>
      <c r="GH723">
        <v>0</v>
      </c>
      <c r="GI723">
        <v>0</v>
      </c>
      <c r="GJ723">
        <v>0</v>
      </c>
      <c r="GK723">
        <v>0</v>
      </c>
      <c r="GL723">
        <v>0</v>
      </c>
      <c r="GO723">
        <v>0</v>
      </c>
      <c r="GP723">
        <v>0</v>
      </c>
      <c r="GQ723">
        <v>0</v>
      </c>
      <c r="GR723">
        <v>0</v>
      </c>
      <c r="GS723">
        <v>0</v>
      </c>
      <c r="GT723">
        <v>0</v>
      </c>
      <c r="GU723">
        <v>0</v>
      </c>
      <c r="GV723">
        <v>0</v>
      </c>
      <c r="GW723">
        <v>0</v>
      </c>
      <c r="GX723">
        <v>0</v>
      </c>
      <c r="GY723">
        <v>0</v>
      </c>
      <c r="GZ723">
        <v>0</v>
      </c>
      <c r="HA723">
        <v>0</v>
      </c>
      <c r="HB723">
        <v>0</v>
      </c>
      <c r="HC723">
        <v>0</v>
      </c>
      <c r="HD723">
        <v>0</v>
      </c>
      <c r="HE723">
        <v>0</v>
      </c>
      <c r="HF723">
        <v>0</v>
      </c>
      <c r="HG723">
        <v>0</v>
      </c>
      <c r="HH723">
        <v>0</v>
      </c>
      <c r="HI723">
        <v>0</v>
      </c>
      <c r="HJ723">
        <v>0</v>
      </c>
      <c r="HK723">
        <v>0</v>
      </c>
      <c r="HL723">
        <v>0</v>
      </c>
      <c r="HM723">
        <v>0</v>
      </c>
      <c r="HN723">
        <v>0</v>
      </c>
      <c r="HO723">
        <v>0</v>
      </c>
      <c r="HP723">
        <v>0</v>
      </c>
      <c r="HQ723">
        <v>0</v>
      </c>
      <c r="HR723">
        <v>0</v>
      </c>
      <c r="HS723">
        <v>0</v>
      </c>
      <c r="HT723">
        <v>0</v>
      </c>
      <c r="HU723">
        <v>0</v>
      </c>
      <c r="HV723">
        <v>0</v>
      </c>
      <c r="HW723">
        <v>404.70000000000005</v>
      </c>
      <c r="HX723">
        <v>342.3</v>
      </c>
      <c r="HZ723">
        <v>866.2</v>
      </c>
      <c r="IA723">
        <v>1142.8</v>
      </c>
      <c r="IB723">
        <v>1121.5</v>
      </c>
      <c r="IC723">
        <v>2403</v>
      </c>
      <c r="ID723">
        <v>2659.3</v>
      </c>
      <c r="IE723">
        <v>1923.4</v>
      </c>
      <c r="IF723">
        <v>1465.7</v>
      </c>
      <c r="IG723">
        <v>1608.3</v>
      </c>
      <c r="IH723">
        <v>0</v>
      </c>
      <c r="II723">
        <v>0</v>
      </c>
      <c r="IJ723">
        <v>0</v>
      </c>
      <c r="IK723">
        <v>0</v>
      </c>
      <c r="IL723">
        <v>0</v>
      </c>
      <c r="IM723">
        <v>0</v>
      </c>
      <c r="IN723">
        <v>0</v>
      </c>
      <c r="IO723">
        <v>0</v>
      </c>
      <c r="IP723">
        <v>75.099999999999994</v>
      </c>
    </row>
    <row r="724" spans="1:250" ht="18" thickBot="1">
      <c r="A724" s="245"/>
      <c r="B724" s="245" t="s">
        <v>434</v>
      </c>
      <c r="C724" s="230" t="s">
        <v>1151</v>
      </c>
      <c r="D724" s="399"/>
      <c r="E724" s="454">
        <v>0</v>
      </c>
      <c r="F724">
        <v>0</v>
      </c>
      <c r="G724" s="427">
        <v>0</v>
      </c>
      <c r="H724" s="155">
        <v>0</v>
      </c>
      <c r="I724">
        <v>0</v>
      </c>
      <c r="J724">
        <v>0</v>
      </c>
      <c r="K724">
        <v>0</v>
      </c>
      <c r="L724" s="4">
        <v>0</v>
      </c>
      <c r="M724" s="4">
        <v>0</v>
      </c>
      <c r="N724" s="4">
        <v>0</v>
      </c>
      <c r="O724" s="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R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G724">
        <v>0</v>
      </c>
      <c r="BI724">
        <v>0</v>
      </c>
      <c r="BK724">
        <v>0</v>
      </c>
      <c r="BL724">
        <v>0</v>
      </c>
      <c r="BM724">
        <v>0</v>
      </c>
      <c r="BN724">
        <v>0</v>
      </c>
      <c r="BO724">
        <v>344.70000000000005</v>
      </c>
      <c r="BP724">
        <v>625.70000000000005</v>
      </c>
      <c r="BQ724">
        <v>912.2</v>
      </c>
      <c r="BR724">
        <v>237.7</v>
      </c>
      <c r="BS724">
        <v>0</v>
      </c>
      <c r="BT724">
        <v>0</v>
      </c>
      <c r="BU724">
        <v>0</v>
      </c>
      <c r="BV724">
        <v>0</v>
      </c>
      <c r="BW724">
        <v>1647.4</v>
      </c>
      <c r="BY724">
        <v>453.1</v>
      </c>
      <c r="CA724">
        <v>285.39999999999998</v>
      </c>
      <c r="CB724">
        <v>280.8</v>
      </c>
      <c r="CC724">
        <v>127.7</v>
      </c>
      <c r="CD724">
        <v>0</v>
      </c>
      <c r="CE724">
        <v>0</v>
      </c>
      <c r="CF724">
        <v>0</v>
      </c>
      <c r="CG724">
        <v>0</v>
      </c>
      <c r="CI724">
        <v>0</v>
      </c>
      <c r="CJ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621.70000000000005</v>
      </c>
      <c r="CR724">
        <v>481.70000000000005</v>
      </c>
      <c r="CS724">
        <v>0</v>
      </c>
      <c r="CT724">
        <v>524.6</v>
      </c>
      <c r="CU724">
        <v>514.1</v>
      </c>
      <c r="CV724">
        <v>175.2</v>
      </c>
      <c r="CW724">
        <v>0</v>
      </c>
      <c r="CX724">
        <v>65.099999999999994</v>
      </c>
      <c r="CY724">
        <v>199</v>
      </c>
      <c r="CZ724">
        <v>1907.9</v>
      </c>
      <c r="DA724">
        <v>0</v>
      </c>
      <c r="DB724">
        <v>0</v>
      </c>
      <c r="DC724">
        <v>0</v>
      </c>
      <c r="DD724">
        <v>0</v>
      </c>
      <c r="DE724">
        <v>0</v>
      </c>
      <c r="DF724">
        <v>0</v>
      </c>
      <c r="DG724">
        <v>0</v>
      </c>
      <c r="DH724">
        <v>0</v>
      </c>
      <c r="DI724">
        <v>0</v>
      </c>
      <c r="DJ724">
        <v>0</v>
      </c>
      <c r="DK724">
        <v>0</v>
      </c>
      <c r="DL724">
        <v>0</v>
      </c>
      <c r="DM724">
        <v>1065.4000000000001</v>
      </c>
      <c r="DN724">
        <v>599.70000000000005</v>
      </c>
      <c r="DO724">
        <v>319.7</v>
      </c>
      <c r="DP724">
        <v>1570.6999999999998</v>
      </c>
      <c r="DQ724">
        <v>1399.5</v>
      </c>
      <c r="DR724">
        <v>3581</v>
      </c>
      <c r="DU724">
        <v>1393.2</v>
      </c>
      <c r="DV724">
        <v>2862.6</v>
      </c>
      <c r="DY724">
        <v>2361</v>
      </c>
      <c r="EA724">
        <v>2409.6</v>
      </c>
      <c r="EC724">
        <v>1661.3999999999999</v>
      </c>
      <c r="EE724">
        <v>0</v>
      </c>
      <c r="EF724">
        <v>0</v>
      </c>
      <c r="EG724">
        <v>0</v>
      </c>
      <c r="EH724">
        <v>0</v>
      </c>
      <c r="EI724">
        <v>0</v>
      </c>
      <c r="EJ724">
        <v>0</v>
      </c>
      <c r="EK724">
        <v>0</v>
      </c>
      <c r="EL724">
        <v>0</v>
      </c>
      <c r="EM724">
        <v>0</v>
      </c>
      <c r="EN724">
        <v>0</v>
      </c>
      <c r="EO724">
        <v>0</v>
      </c>
      <c r="EP724">
        <v>944.5</v>
      </c>
      <c r="EQ724">
        <v>3459.7</v>
      </c>
      <c r="ER724">
        <v>1353.5</v>
      </c>
      <c r="ES724">
        <v>182.2</v>
      </c>
      <c r="ET724">
        <v>855.59999999999991</v>
      </c>
      <c r="EU724">
        <v>172.2</v>
      </c>
      <c r="EV724">
        <v>203.2</v>
      </c>
      <c r="EW724">
        <v>1173.0999999999999</v>
      </c>
      <c r="EX724">
        <v>1078.3</v>
      </c>
      <c r="EY724">
        <v>1194.4000000000001</v>
      </c>
      <c r="EZ724">
        <v>1207.0999999999999</v>
      </c>
      <c r="FA724">
        <v>0</v>
      </c>
      <c r="FB724">
        <v>0</v>
      </c>
      <c r="FC724">
        <v>0</v>
      </c>
      <c r="FD724">
        <v>0</v>
      </c>
      <c r="FE724">
        <v>0</v>
      </c>
      <c r="FF724">
        <v>0</v>
      </c>
      <c r="FG724">
        <v>0</v>
      </c>
      <c r="FH724">
        <v>0</v>
      </c>
      <c r="FI724">
        <v>0</v>
      </c>
      <c r="FJ724">
        <v>0</v>
      </c>
      <c r="FK724">
        <v>0</v>
      </c>
      <c r="FL724">
        <v>0</v>
      </c>
      <c r="FM724">
        <v>0</v>
      </c>
      <c r="FN724">
        <v>0</v>
      </c>
      <c r="FO724">
        <v>0</v>
      </c>
      <c r="FP724">
        <v>0</v>
      </c>
      <c r="FQ724">
        <v>0</v>
      </c>
      <c r="FR724">
        <v>0</v>
      </c>
      <c r="FS724">
        <v>0</v>
      </c>
      <c r="FT724">
        <v>0</v>
      </c>
      <c r="FU724">
        <v>0</v>
      </c>
      <c r="FV724">
        <v>0</v>
      </c>
      <c r="FW724">
        <v>0</v>
      </c>
      <c r="FX724">
        <v>0</v>
      </c>
      <c r="FY724">
        <v>0</v>
      </c>
      <c r="FZ724">
        <v>0</v>
      </c>
      <c r="GA724">
        <v>0</v>
      </c>
      <c r="GB724">
        <v>0</v>
      </c>
      <c r="GC724">
        <v>0</v>
      </c>
      <c r="GD724">
        <v>0</v>
      </c>
      <c r="GE724">
        <v>0</v>
      </c>
      <c r="GF724">
        <v>0</v>
      </c>
      <c r="GG724">
        <v>0</v>
      </c>
      <c r="GH724">
        <v>0</v>
      </c>
      <c r="GI724">
        <v>0</v>
      </c>
      <c r="GJ724">
        <v>0</v>
      </c>
      <c r="GK724">
        <v>0</v>
      </c>
      <c r="GL724">
        <v>0</v>
      </c>
      <c r="GO724">
        <v>0</v>
      </c>
      <c r="GP724">
        <v>0</v>
      </c>
      <c r="GQ724">
        <v>0</v>
      </c>
      <c r="GR724">
        <v>0</v>
      </c>
      <c r="GS724">
        <v>0</v>
      </c>
      <c r="GT724">
        <v>0</v>
      </c>
      <c r="GU724">
        <v>0</v>
      </c>
      <c r="GV724">
        <v>0</v>
      </c>
      <c r="GW724">
        <v>0</v>
      </c>
      <c r="GX724">
        <v>0</v>
      </c>
      <c r="GY724">
        <v>0</v>
      </c>
      <c r="GZ724">
        <v>0</v>
      </c>
      <c r="HA724">
        <v>0</v>
      </c>
      <c r="HB724">
        <v>0</v>
      </c>
      <c r="HC724">
        <v>0</v>
      </c>
      <c r="HD724">
        <v>0</v>
      </c>
      <c r="HE724">
        <v>0</v>
      </c>
      <c r="HF724">
        <v>0</v>
      </c>
      <c r="HG724">
        <v>0</v>
      </c>
      <c r="HH724">
        <v>0</v>
      </c>
      <c r="HI724">
        <v>0</v>
      </c>
      <c r="HJ724">
        <v>0</v>
      </c>
      <c r="HK724">
        <v>0</v>
      </c>
      <c r="HL724">
        <v>0</v>
      </c>
      <c r="HM724">
        <v>0</v>
      </c>
      <c r="HN724">
        <v>0</v>
      </c>
      <c r="HO724">
        <v>0</v>
      </c>
      <c r="HP724">
        <v>0</v>
      </c>
      <c r="HQ724">
        <v>0</v>
      </c>
      <c r="HR724">
        <v>0</v>
      </c>
      <c r="HS724">
        <v>0</v>
      </c>
      <c r="HT724">
        <v>0</v>
      </c>
      <c r="HU724">
        <v>0</v>
      </c>
      <c r="HV724">
        <v>0</v>
      </c>
      <c r="HW724">
        <v>404.70000000000005</v>
      </c>
      <c r="HX724">
        <v>342.3</v>
      </c>
      <c r="HZ724">
        <v>866.2</v>
      </c>
      <c r="IA724">
        <v>1142.8</v>
      </c>
      <c r="IB724">
        <v>1121.5</v>
      </c>
      <c r="IC724">
        <v>2403</v>
      </c>
      <c r="ID724">
        <v>2659.3</v>
      </c>
      <c r="IE724">
        <v>1923.4</v>
      </c>
      <c r="IF724">
        <v>1465.7</v>
      </c>
      <c r="IG724">
        <v>1608.3</v>
      </c>
      <c r="IH724">
        <v>0</v>
      </c>
      <c r="II724">
        <v>0</v>
      </c>
      <c r="IJ724">
        <v>0</v>
      </c>
      <c r="IK724">
        <v>0</v>
      </c>
      <c r="IL724">
        <v>0</v>
      </c>
      <c r="IM724">
        <v>0</v>
      </c>
      <c r="IN724">
        <v>0</v>
      </c>
      <c r="IO724">
        <v>0</v>
      </c>
      <c r="IP724">
        <v>75.099999999999994</v>
      </c>
    </row>
    <row r="725" spans="1:250" ht="18" thickBot="1">
      <c r="A725" s="245"/>
      <c r="B725" s="245" t="s">
        <v>435</v>
      </c>
      <c r="C725" s="230" t="s">
        <v>1152</v>
      </c>
      <c r="D725" s="397"/>
      <c r="E725" s="454">
        <v>0</v>
      </c>
      <c r="F725">
        <v>0</v>
      </c>
      <c r="G725" s="427">
        <v>0</v>
      </c>
      <c r="H725" s="155">
        <v>0</v>
      </c>
      <c r="I725">
        <v>0</v>
      </c>
      <c r="J725">
        <v>0</v>
      </c>
      <c r="K725">
        <v>0</v>
      </c>
      <c r="L725" s="4">
        <v>0</v>
      </c>
      <c r="M725" s="4">
        <v>0</v>
      </c>
      <c r="N725" s="4">
        <v>0</v>
      </c>
      <c r="O725" s="4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R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G725">
        <v>0</v>
      </c>
      <c r="BI725">
        <v>0</v>
      </c>
      <c r="BK725">
        <v>0</v>
      </c>
      <c r="BL725">
        <v>0</v>
      </c>
      <c r="BM725">
        <v>0</v>
      </c>
      <c r="BN725">
        <v>0</v>
      </c>
      <c r="BO725">
        <v>344.70000000000005</v>
      </c>
      <c r="BP725">
        <v>625.70000000000005</v>
      </c>
      <c r="BQ725">
        <v>912.2</v>
      </c>
      <c r="BR725">
        <v>237.7</v>
      </c>
      <c r="BS725">
        <v>0</v>
      </c>
      <c r="BT725">
        <v>0</v>
      </c>
      <c r="BU725">
        <v>0</v>
      </c>
      <c r="BV725">
        <v>0</v>
      </c>
      <c r="BW725">
        <v>1647.4</v>
      </c>
      <c r="BY725">
        <v>453.1</v>
      </c>
      <c r="CA725">
        <v>285.39999999999998</v>
      </c>
      <c r="CB725">
        <v>280.8</v>
      </c>
      <c r="CC725">
        <v>127.7</v>
      </c>
      <c r="CD725">
        <v>0</v>
      </c>
      <c r="CE725">
        <v>0</v>
      </c>
      <c r="CF725">
        <v>0</v>
      </c>
      <c r="CG725">
        <v>0</v>
      </c>
      <c r="CI725">
        <v>0</v>
      </c>
      <c r="CJ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621.70000000000005</v>
      </c>
      <c r="CR725">
        <v>481.70000000000005</v>
      </c>
      <c r="CS725">
        <v>0</v>
      </c>
      <c r="CT725">
        <v>524.6</v>
      </c>
      <c r="CU725">
        <v>514.1</v>
      </c>
      <c r="CV725">
        <v>175.2</v>
      </c>
      <c r="CW725">
        <v>0</v>
      </c>
      <c r="CX725">
        <v>65.099999999999994</v>
      </c>
      <c r="CY725">
        <v>199</v>
      </c>
      <c r="CZ725">
        <v>1907.9</v>
      </c>
      <c r="DA725">
        <v>0</v>
      </c>
      <c r="DB725">
        <v>0</v>
      </c>
      <c r="DC725">
        <v>0</v>
      </c>
      <c r="DD725">
        <v>0</v>
      </c>
      <c r="DE725">
        <v>0</v>
      </c>
      <c r="DF725">
        <v>0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1065.4000000000001</v>
      </c>
      <c r="DN725">
        <v>599.70000000000005</v>
      </c>
      <c r="DO725">
        <v>319.7</v>
      </c>
      <c r="DP725">
        <v>1570.6999999999998</v>
      </c>
      <c r="DQ725">
        <v>1399.5</v>
      </c>
      <c r="DR725">
        <v>3581</v>
      </c>
      <c r="DU725">
        <v>1393.2</v>
      </c>
      <c r="DV725">
        <v>2862.6</v>
      </c>
      <c r="DY725">
        <v>2361</v>
      </c>
      <c r="EA725">
        <v>2409.6</v>
      </c>
      <c r="EC725">
        <v>1661.3999999999999</v>
      </c>
      <c r="EE725">
        <v>0</v>
      </c>
      <c r="EF725">
        <v>0</v>
      </c>
      <c r="EG725">
        <v>0</v>
      </c>
      <c r="EH725">
        <v>0</v>
      </c>
      <c r="EI725">
        <v>0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944.5</v>
      </c>
      <c r="EQ725">
        <v>3459.7</v>
      </c>
      <c r="ER725">
        <v>1353.5</v>
      </c>
      <c r="ES725">
        <v>182.2</v>
      </c>
      <c r="ET725">
        <v>855.59999999999991</v>
      </c>
      <c r="EU725">
        <v>172.2</v>
      </c>
      <c r="EV725">
        <v>203.2</v>
      </c>
      <c r="EW725">
        <v>1173.0999999999999</v>
      </c>
      <c r="EX725">
        <v>1078.3</v>
      </c>
      <c r="EY725">
        <v>1194.4000000000001</v>
      </c>
      <c r="EZ725">
        <v>1207.0999999999999</v>
      </c>
      <c r="FA725">
        <v>0</v>
      </c>
      <c r="FB725">
        <v>0</v>
      </c>
      <c r="FC725">
        <v>0</v>
      </c>
      <c r="FD725">
        <v>0</v>
      </c>
      <c r="FE725">
        <v>0</v>
      </c>
      <c r="FF725">
        <v>0</v>
      </c>
      <c r="FG725">
        <v>0</v>
      </c>
      <c r="FH725">
        <v>0</v>
      </c>
      <c r="FI725">
        <v>0</v>
      </c>
      <c r="FJ725">
        <v>0</v>
      </c>
      <c r="FK725">
        <v>0</v>
      </c>
      <c r="FL725">
        <v>0</v>
      </c>
      <c r="FM725">
        <v>0</v>
      </c>
      <c r="FN725">
        <v>0</v>
      </c>
      <c r="FO725">
        <v>0</v>
      </c>
      <c r="FP725">
        <v>0</v>
      </c>
      <c r="FQ725">
        <v>0</v>
      </c>
      <c r="FR725">
        <v>0</v>
      </c>
      <c r="FS725">
        <v>0</v>
      </c>
      <c r="FT725">
        <v>0</v>
      </c>
      <c r="FU725">
        <v>0</v>
      </c>
      <c r="FV725">
        <v>0</v>
      </c>
      <c r="FW725">
        <v>0</v>
      </c>
      <c r="FX725">
        <v>0</v>
      </c>
      <c r="FY725">
        <v>0</v>
      </c>
      <c r="FZ725">
        <v>0</v>
      </c>
      <c r="GA725">
        <v>0</v>
      </c>
      <c r="GB725">
        <v>0</v>
      </c>
      <c r="GC725">
        <v>0</v>
      </c>
      <c r="GD725">
        <v>0</v>
      </c>
      <c r="GE725">
        <v>0</v>
      </c>
      <c r="GF725">
        <v>0</v>
      </c>
      <c r="GG725">
        <v>0</v>
      </c>
      <c r="GH725">
        <v>0</v>
      </c>
      <c r="GI725">
        <v>0</v>
      </c>
      <c r="GJ725">
        <v>0</v>
      </c>
      <c r="GK725">
        <v>0</v>
      </c>
      <c r="GL725">
        <v>0</v>
      </c>
      <c r="GO725">
        <v>0</v>
      </c>
      <c r="GP725">
        <v>0</v>
      </c>
      <c r="GQ725">
        <v>0</v>
      </c>
      <c r="GR725">
        <v>0</v>
      </c>
      <c r="GS725">
        <v>0</v>
      </c>
      <c r="GT725">
        <v>0</v>
      </c>
      <c r="GU725">
        <v>0</v>
      </c>
      <c r="GV725">
        <v>0</v>
      </c>
      <c r="GW725">
        <v>0</v>
      </c>
      <c r="GX725">
        <v>0</v>
      </c>
      <c r="GY725">
        <v>0</v>
      </c>
      <c r="GZ725">
        <v>0</v>
      </c>
      <c r="HA725">
        <v>0</v>
      </c>
      <c r="HB725">
        <v>0</v>
      </c>
      <c r="HC725">
        <v>0</v>
      </c>
      <c r="HD725">
        <v>0</v>
      </c>
      <c r="HE725">
        <v>0</v>
      </c>
      <c r="HF725">
        <v>0</v>
      </c>
      <c r="HG725">
        <v>0</v>
      </c>
      <c r="HH725">
        <v>0</v>
      </c>
      <c r="HI725">
        <v>0</v>
      </c>
      <c r="HJ725">
        <v>0</v>
      </c>
      <c r="HK725">
        <v>0</v>
      </c>
      <c r="HL725">
        <v>0</v>
      </c>
      <c r="HM725">
        <v>0</v>
      </c>
      <c r="HN725">
        <v>0</v>
      </c>
      <c r="HO725">
        <v>0</v>
      </c>
      <c r="HP725">
        <v>0</v>
      </c>
      <c r="HQ725">
        <v>0</v>
      </c>
      <c r="HR725">
        <v>0</v>
      </c>
      <c r="HS725">
        <v>0</v>
      </c>
      <c r="HT725">
        <v>0</v>
      </c>
      <c r="HU725">
        <v>0</v>
      </c>
      <c r="HV725">
        <v>0</v>
      </c>
      <c r="HW725">
        <v>404.70000000000005</v>
      </c>
      <c r="HX725">
        <v>342.3</v>
      </c>
      <c r="HZ725">
        <v>866.2</v>
      </c>
      <c r="IA725">
        <v>1142.8</v>
      </c>
      <c r="IB725">
        <v>1121.5</v>
      </c>
      <c r="IC725">
        <v>2403</v>
      </c>
      <c r="ID725">
        <v>2659.3</v>
      </c>
      <c r="IE725">
        <v>1923.4</v>
      </c>
      <c r="IF725">
        <v>1465.7</v>
      </c>
      <c r="IG725">
        <v>1608.3</v>
      </c>
      <c r="IH725">
        <v>0</v>
      </c>
      <c r="II725">
        <v>0</v>
      </c>
      <c r="IJ725">
        <v>0</v>
      </c>
      <c r="IK725">
        <v>0</v>
      </c>
      <c r="IL725">
        <v>0</v>
      </c>
      <c r="IM725">
        <v>0</v>
      </c>
      <c r="IN725">
        <v>0</v>
      </c>
      <c r="IO725">
        <v>0</v>
      </c>
      <c r="IP725">
        <v>75.099999999999994</v>
      </c>
    </row>
    <row r="726" spans="1:250" ht="18" thickBot="1">
      <c r="A726" s="245"/>
      <c r="B726" s="245" t="s">
        <v>436</v>
      </c>
      <c r="C726" s="230" t="s">
        <v>1153</v>
      </c>
      <c r="D726" s="397"/>
      <c r="E726" s="454">
        <v>0</v>
      </c>
      <c r="F726">
        <v>0</v>
      </c>
      <c r="G726" s="427">
        <v>0</v>
      </c>
      <c r="H726" s="155">
        <v>0</v>
      </c>
      <c r="I726">
        <v>0</v>
      </c>
      <c r="J726">
        <v>0</v>
      </c>
      <c r="K726">
        <v>0</v>
      </c>
      <c r="L726" s="4">
        <v>0</v>
      </c>
      <c r="M726" s="4">
        <v>0</v>
      </c>
      <c r="N726" s="4">
        <v>0</v>
      </c>
      <c r="O726" s="4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R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G726">
        <v>0</v>
      </c>
      <c r="BI726">
        <v>0</v>
      </c>
      <c r="BK726">
        <v>0</v>
      </c>
      <c r="BL726">
        <v>0</v>
      </c>
      <c r="BM726">
        <v>0</v>
      </c>
      <c r="BN726">
        <v>0</v>
      </c>
      <c r="BO726">
        <v>344.70000000000005</v>
      </c>
      <c r="BP726">
        <v>625.70000000000005</v>
      </c>
      <c r="BQ726">
        <v>912.2</v>
      </c>
      <c r="BR726">
        <v>237.7</v>
      </c>
      <c r="BS726">
        <v>0</v>
      </c>
      <c r="BT726">
        <v>0</v>
      </c>
      <c r="BU726">
        <v>0</v>
      </c>
      <c r="BV726">
        <v>0</v>
      </c>
      <c r="BW726">
        <v>1647.4</v>
      </c>
      <c r="BY726">
        <v>453.1</v>
      </c>
      <c r="CA726">
        <v>285.39999999999998</v>
      </c>
      <c r="CB726">
        <v>280.8</v>
      </c>
      <c r="CC726">
        <v>127.7</v>
      </c>
      <c r="CD726">
        <v>0</v>
      </c>
      <c r="CE726">
        <v>0</v>
      </c>
      <c r="CF726">
        <v>0</v>
      </c>
      <c r="CG726">
        <v>0</v>
      </c>
      <c r="CI726">
        <v>0</v>
      </c>
      <c r="CJ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621.70000000000005</v>
      </c>
      <c r="CR726">
        <v>481.70000000000005</v>
      </c>
      <c r="CS726">
        <v>0</v>
      </c>
      <c r="CT726">
        <v>524.6</v>
      </c>
      <c r="CU726">
        <v>514.1</v>
      </c>
      <c r="CV726">
        <v>175.2</v>
      </c>
      <c r="CW726">
        <v>0</v>
      </c>
      <c r="CX726">
        <v>65.099999999999994</v>
      </c>
      <c r="CY726">
        <v>199</v>
      </c>
      <c r="CZ726">
        <v>1907.9</v>
      </c>
      <c r="DA726">
        <v>0</v>
      </c>
      <c r="DB726">
        <v>0</v>
      </c>
      <c r="DC726">
        <v>0</v>
      </c>
      <c r="DD726">
        <v>0</v>
      </c>
      <c r="DE726">
        <v>0</v>
      </c>
      <c r="DF726">
        <v>0</v>
      </c>
      <c r="DG726">
        <v>0</v>
      </c>
      <c r="DH726">
        <v>0</v>
      </c>
      <c r="DI726">
        <v>0</v>
      </c>
      <c r="DJ726">
        <v>0</v>
      </c>
      <c r="DK726">
        <v>0</v>
      </c>
      <c r="DL726">
        <v>0</v>
      </c>
      <c r="DM726">
        <v>1065.4000000000001</v>
      </c>
      <c r="DN726">
        <v>599.70000000000005</v>
      </c>
      <c r="DO726">
        <v>319.7</v>
      </c>
      <c r="DP726">
        <v>1570.6999999999998</v>
      </c>
      <c r="DQ726">
        <v>1399.5</v>
      </c>
      <c r="DR726">
        <v>3581</v>
      </c>
      <c r="DU726">
        <v>1393.2</v>
      </c>
      <c r="DV726">
        <v>2862.6</v>
      </c>
      <c r="DY726">
        <v>2361</v>
      </c>
      <c r="EA726">
        <v>2409.6</v>
      </c>
      <c r="EC726">
        <v>1661.3999999999999</v>
      </c>
      <c r="EE726">
        <v>0</v>
      </c>
      <c r="EF726">
        <v>0</v>
      </c>
      <c r="EG726">
        <v>0</v>
      </c>
      <c r="EH726">
        <v>0</v>
      </c>
      <c r="EI726">
        <v>0</v>
      </c>
      <c r="EJ726">
        <v>0</v>
      </c>
      <c r="EK726">
        <v>0</v>
      </c>
      <c r="EL726">
        <v>0</v>
      </c>
      <c r="EM726">
        <v>0</v>
      </c>
      <c r="EN726">
        <v>0</v>
      </c>
      <c r="EO726">
        <v>0</v>
      </c>
      <c r="EP726">
        <v>944.5</v>
      </c>
      <c r="EQ726">
        <v>3459.7</v>
      </c>
      <c r="ER726">
        <v>1353.5</v>
      </c>
      <c r="ES726">
        <v>182.2</v>
      </c>
      <c r="ET726">
        <v>855.59999999999991</v>
      </c>
      <c r="EU726">
        <v>172.2</v>
      </c>
      <c r="EV726">
        <v>203.2</v>
      </c>
      <c r="EW726">
        <v>1173.0999999999999</v>
      </c>
      <c r="EX726">
        <v>1078.3</v>
      </c>
      <c r="EY726">
        <v>1194.4000000000001</v>
      </c>
      <c r="EZ726">
        <v>1207.0999999999999</v>
      </c>
      <c r="FA726">
        <v>0</v>
      </c>
      <c r="FB726">
        <v>0</v>
      </c>
      <c r="FC726">
        <v>0</v>
      </c>
      <c r="FD726">
        <v>0</v>
      </c>
      <c r="FE726">
        <v>0</v>
      </c>
      <c r="FF726">
        <v>0</v>
      </c>
      <c r="FG726">
        <v>0</v>
      </c>
      <c r="FH726">
        <v>0</v>
      </c>
      <c r="FI726">
        <v>0</v>
      </c>
      <c r="FJ726">
        <v>0</v>
      </c>
      <c r="FK726">
        <v>0</v>
      </c>
      <c r="FL726">
        <v>0</v>
      </c>
      <c r="FM726">
        <v>0</v>
      </c>
      <c r="FN726">
        <v>0</v>
      </c>
      <c r="FO726">
        <v>0</v>
      </c>
      <c r="FP726">
        <v>0</v>
      </c>
      <c r="FQ726">
        <v>0</v>
      </c>
      <c r="FR726">
        <v>0</v>
      </c>
      <c r="FS726">
        <v>0</v>
      </c>
      <c r="FT726">
        <v>0</v>
      </c>
      <c r="FU726">
        <v>0</v>
      </c>
      <c r="FV726">
        <v>0</v>
      </c>
      <c r="FW726">
        <v>0</v>
      </c>
      <c r="FX726">
        <v>0</v>
      </c>
      <c r="FY726">
        <v>0</v>
      </c>
      <c r="FZ726">
        <v>0</v>
      </c>
      <c r="GA726">
        <v>0</v>
      </c>
      <c r="GB726">
        <v>0</v>
      </c>
      <c r="GC726">
        <v>0</v>
      </c>
      <c r="GD726">
        <v>0</v>
      </c>
      <c r="GE726">
        <v>0</v>
      </c>
      <c r="GF726">
        <v>0</v>
      </c>
      <c r="GG726">
        <v>0</v>
      </c>
      <c r="GH726">
        <v>0</v>
      </c>
      <c r="GI726">
        <v>0</v>
      </c>
      <c r="GJ726">
        <v>0</v>
      </c>
      <c r="GK726">
        <v>0</v>
      </c>
      <c r="GL726">
        <v>0</v>
      </c>
      <c r="GO726">
        <v>0</v>
      </c>
      <c r="GP726">
        <v>0</v>
      </c>
      <c r="GQ726">
        <v>0</v>
      </c>
      <c r="GR726">
        <v>0</v>
      </c>
      <c r="GS726">
        <v>0</v>
      </c>
      <c r="GT726">
        <v>0</v>
      </c>
      <c r="GU726">
        <v>0</v>
      </c>
      <c r="GV726">
        <v>0</v>
      </c>
      <c r="GW726">
        <v>0</v>
      </c>
      <c r="GX726">
        <v>0</v>
      </c>
      <c r="GY726">
        <v>0</v>
      </c>
      <c r="GZ726">
        <v>0</v>
      </c>
      <c r="HA726">
        <v>0</v>
      </c>
      <c r="HB726">
        <v>0</v>
      </c>
      <c r="HC726">
        <v>0</v>
      </c>
      <c r="HD726">
        <v>0</v>
      </c>
      <c r="HE726">
        <v>0</v>
      </c>
      <c r="HF726">
        <v>0</v>
      </c>
      <c r="HG726">
        <v>0</v>
      </c>
      <c r="HH726">
        <v>0</v>
      </c>
      <c r="HI726">
        <v>0</v>
      </c>
      <c r="HJ726">
        <v>0</v>
      </c>
      <c r="HK726">
        <v>0</v>
      </c>
      <c r="HL726">
        <v>0</v>
      </c>
      <c r="HM726">
        <v>0</v>
      </c>
      <c r="HN726">
        <v>0</v>
      </c>
      <c r="HO726">
        <v>0</v>
      </c>
      <c r="HP726">
        <v>0</v>
      </c>
      <c r="HQ726">
        <v>0</v>
      </c>
      <c r="HR726">
        <v>0</v>
      </c>
      <c r="HS726">
        <v>0</v>
      </c>
      <c r="HT726">
        <v>0</v>
      </c>
      <c r="HU726">
        <v>0</v>
      </c>
      <c r="HV726">
        <v>0</v>
      </c>
      <c r="HW726">
        <v>404.70000000000005</v>
      </c>
      <c r="HX726">
        <v>342.3</v>
      </c>
      <c r="HZ726">
        <v>866.2</v>
      </c>
      <c r="IA726">
        <v>1142.8</v>
      </c>
      <c r="IB726">
        <v>1121.5</v>
      </c>
      <c r="IC726">
        <v>2403</v>
      </c>
      <c r="ID726">
        <v>2659.3</v>
      </c>
      <c r="IE726">
        <v>1923.4</v>
      </c>
      <c r="IF726">
        <v>1465.7</v>
      </c>
      <c r="IG726">
        <v>1608.3</v>
      </c>
      <c r="IH726">
        <v>0</v>
      </c>
      <c r="II726">
        <v>0</v>
      </c>
      <c r="IJ726">
        <v>0</v>
      </c>
      <c r="IK726">
        <v>0</v>
      </c>
      <c r="IL726">
        <v>0</v>
      </c>
      <c r="IM726">
        <v>0</v>
      </c>
      <c r="IN726">
        <v>0</v>
      </c>
      <c r="IO726">
        <v>0</v>
      </c>
      <c r="IP726">
        <v>75.099999999999994</v>
      </c>
    </row>
    <row r="727" spans="1:250" ht="18" thickBot="1">
      <c r="A727" s="246"/>
      <c r="B727" s="246" t="s">
        <v>437</v>
      </c>
      <c r="C727" s="334" t="s">
        <v>1154</v>
      </c>
      <c r="D727" s="398"/>
      <c r="E727" s="454">
        <v>0</v>
      </c>
      <c r="F727">
        <v>0</v>
      </c>
      <c r="G727" s="427">
        <v>0</v>
      </c>
      <c r="H727" s="155">
        <v>0</v>
      </c>
      <c r="I727">
        <v>0</v>
      </c>
      <c r="J727">
        <v>0</v>
      </c>
      <c r="K727">
        <v>0</v>
      </c>
      <c r="L727" s="4">
        <v>0</v>
      </c>
      <c r="M727" s="4">
        <v>0</v>
      </c>
      <c r="N727" s="4">
        <v>0</v>
      </c>
      <c r="O727" s="4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R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G727">
        <v>0</v>
      </c>
      <c r="BI727">
        <v>0</v>
      </c>
      <c r="BK727">
        <v>0</v>
      </c>
      <c r="BL727">
        <v>0</v>
      </c>
      <c r="BM727">
        <v>0</v>
      </c>
      <c r="BN727">
        <v>0</v>
      </c>
      <c r="BO727">
        <v>344.70000000000005</v>
      </c>
      <c r="BP727">
        <v>625.70000000000005</v>
      </c>
      <c r="BQ727">
        <v>912.2</v>
      </c>
      <c r="BR727">
        <v>237.7</v>
      </c>
      <c r="BS727">
        <v>0</v>
      </c>
      <c r="BT727">
        <v>0</v>
      </c>
      <c r="BU727">
        <v>0</v>
      </c>
      <c r="BV727">
        <v>0</v>
      </c>
      <c r="BW727">
        <v>1647.4</v>
      </c>
      <c r="BY727">
        <v>453.1</v>
      </c>
      <c r="CA727">
        <v>285.39999999999998</v>
      </c>
      <c r="CB727">
        <v>280.8</v>
      </c>
      <c r="CC727">
        <v>127.7</v>
      </c>
      <c r="CD727">
        <v>0</v>
      </c>
      <c r="CE727">
        <v>0</v>
      </c>
      <c r="CF727">
        <v>0</v>
      </c>
      <c r="CG727">
        <v>0</v>
      </c>
      <c r="CI727">
        <v>0</v>
      </c>
      <c r="CJ727">
        <v>0</v>
      </c>
      <c r="CL727">
        <v>0</v>
      </c>
      <c r="CM727">
        <v>0</v>
      </c>
      <c r="CN727">
        <v>0</v>
      </c>
      <c r="CO727">
        <v>0</v>
      </c>
      <c r="CP727">
        <v>0</v>
      </c>
      <c r="CQ727">
        <v>621.70000000000005</v>
      </c>
      <c r="CR727">
        <v>481.70000000000005</v>
      </c>
      <c r="CS727">
        <v>0</v>
      </c>
      <c r="CT727">
        <v>524.6</v>
      </c>
      <c r="CU727">
        <v>514.1</v>
      </c>
      <c r="CV727">
        <v>175.2</v>
      </c>
      <c r="CW727">
        <v>0</v>
      </c>
      <c r="CX727">
        <v>65.099999999999994</v>
      </c>
      <c r="CY727">
        <v>199</v>
      </c>
      <c r="CZ727">
        <v>1907.9</v>
      </c>
      <c r="DA727">
        <v>0</v>
      </c>
      <c r="DB727">
        <v>0</v>
      </c>
      <c r="DC727">
        <v>0</v>
      </c>
      <c r="DD727">
        <v>0</v>
      </c>
      <c r="DE727">
        <v>0</v>
      </c>
      <c r="DF727">
        <v>0</v>
      </c>
      <c r="DG727">
        <v>0</v>
      </c>
      <c r="DH727">
        <v>0</v>
      </c>
      <c r="DI727">
        <v>0</v>
      </c>
      <c r="DJ727">
        <v>0</v>
      </c>
      <c r="DK727">
        <v>0</v>
      </c>
      <c r="DL727">
        <v>0</v>
      </c>
      <c r="DM727">
        <v>1065.4000000000001</v>
      </c>
      <c r="DN727">
        <v>599.70000000000005</v>
      </c>
      <c r="DO727">
        <v>319.7</v>
      </c>
      <c r="DP727">
        <v>1570.6999999999998</v>
      </c>
      <c r="DQ727">
        <v>1399.5</v>
      </c>
      <c r="DR727">
        <v>3581</v>
      </c>
      <c r="DU727">
        <v>1393.2</v>
      </c>
      <c r="DV727">
        <v>2862.6</v>
      </c>
      <c r="DY727">
        <v>2361</v>
      </c>
      <c r="EA727">
        <v>2409.6</v>
      </c>
      <c r="EC727">
        <v>1661.3999999999999</v>
      </c>
      <c r="EE727">
        <v>0</v>
      </c>
      <c r="EF727">
        <v>0</v>
      </c>
      <c r="EG727">
        <v>0</v>
      </c>
      <c r="EH727">
        <v>0</v>
      </c>
      <c r="EI727">
        <v>0</v>
      </c>
      <c r="EJ727">
        <v>0</v>
      </c>
      <c r="EK727">
        <v>0</v>
      </c>
      <c r="EL727">
        <v>0</v>
      </c>
      <c r="EM727">
        <v>0</v>
      </c>
      <c r="EN727">
        <v>0</v>
      </c>
      <c r="EO727">
        <v>0</v>
      </c>
      <c r="EP727">
        <v>944.5</v>
      </c>
      <c r="EQ727">
        <v>3459.7</v>
      </c>
      <c r="ER727">
        <v>1353.5</v>
      </c>
      <c r="ES727">
        <v>182.2</v>
      </c>
      <c r="ET727">
        <v>855.59999999999991</v>
      </c>
      <c r="EU727">
        <v>172.2</v>
      </c>
      <c r="EV727">
        <v>203.2</v>
      </c>
      <c r="EW727">
        <v>1173.0999999999999</v>
      </c>
      <c r="EX727">
        <v>1078.3</v>
      </c>
      <c r="EY727">
        <v>1194.4000000000001</v>
      </c>
      <c r="EZ727">
        <v>1207.0999999999999</v>
      </c>
      <c r="FA727">
        <v>0</v>
      </c>
      <c r="FB727">
        <v>0</v>
      </c>
      <c r="FC727">
        <v>0</v>
      </c>
      <c r="FD727">
        <v>0</v>
      </c>
      <c r="FE727">
        <v>0</v>
      </c>
      <c r="FF727">
        <v>0</v>
      </c>
      <c r="FG727">
        <v>0</v>
      </c>
      <c r="FH727">
        <v>0</v>
      </c>
      <c r="FI727">
        <v>0</v>
      </c>
      <c r="FJ727">
        <v>0</v>
      </c>
      <c r="FK727">
        <v>0</v>
      </c>
      <c r="FL727">
        <v>0</v>
      </c>
      <c r="FM727">
        <v>0</v>
      </c>
      <c r="FN727">
        <v>0</v>
      </c>
      <c r="FO727">
        <v>0</v>
      </c>
      <c r="FP727">
        <v>0</v>
      </c>
      <c r="FQ727">
        <v>0</v>
      </c>
      <c r="FR727">
        <v>0</v>
      </c>
      <c r="FS727">
        <v>0</v>
      </c>
      <c r="FT727">
        <v>0</v>
      </c>
      <c r="FU727">
        <v>0</v>
      </c>
      <c r="FV727">
        <v>0</v>
      </c>
      <c r="FW727">
        <v>0</v>
      </c>
      <c r="FX727">
        <v>0</v>
      </c>
      <c r="FY727">
        <v>0</v>
      </c>
      <c r="FZ727">
        <v>0</v>
      </c>
      <c r="GA727">
        <v>0</v>
      </c>
      <c r="GB727">
        <v>0</v>
      </c>
      <c r="GC727">
        <v>0</v>
      </c>
      <c r="GD727">
        <v>0</v>
      </c>
      <c r="GE727">
        <v>0</v>
      </c>
      <c r="GF727">
        <v>0</v>
      </c>
      <c r="GG727">
        <v>0</v>
      </c>
      <c r="GH727">
        <v>0</v>
      </c>
      <c r="GI727">
        <v>0</v>
      </c>
      <c r="GJ727">
        <v>0</v>
      </c>
      <c r="GK727">
        <v>0</v>
      </c>
      <c r="GL727">
        <v>0</v>
      </c>
      <c r="GO727">
        <v>0</v>
      </c>
      <c r="GP727">
        <v>0</v>
      </c>
      <c r="GQ727">
        <v>0</v>
      </c>
      <c r="GR727">
        <v>0</v>
      </c>
      <c r="GS727">
        <v>0</v>
      </c>
      <c r="GT727">
        <v>0</v>
      </c>
      <c r="GU727">
        <v>0</v>
      </c>
      <c r="GV727">
        <v>0</v>
      </c>
      <c r="GW727">
        <v>0</v>
      </c>
      <c r="GX727">
        <v>0</v>
      </c>
      <c r="GY727">
        <v>0</v>
      </c>
      <c r="GZ727">
        <v>0</v>
      </c>
      <c r="HA727">
        <v>0</v>
      </c>
      <c r="HB727">
        <v>0</v>
      </c>
      <c r="HC727">
        <v>0</v>
      </c>
      <c r="HD727">
        <v>0</v>
      </c>
      <c r="HE727">
        <v>0</v>
      </c>
      <c r="HF727">
        <v>0</v>
      </c>
      <c r="HG727">
        <v>0</v>
      </c>
      <c r="HH727">
        <v>0</v>
      </c>
      <c r="HI727">
        <v>0</v>
      </c>
      <c r="HJ727">
        <v>0</v>
      </c>
      <c r="HK727">
        <v>0</v>
      </c>
      <c r="HL727">
        <v>0</v>
      </c>
      <c r="HM727">
        <v>0</v>
      </c>
      <c r="HN727">
        <v>0</v>
      </c>
      <c r="HO727">
        <v>0</v>
      </c>
      <c r="HP727">
        <v>0</v>
      </c>
      <c r="HQ727">
        <v>0</v>
      </c>
      <c r="HR727">
        <v>0</v>
      </c>
      <c r="HS727">
        <v>0</v>
      </c>
      <c r="HT727">
        <v>0</v>
      </c>
      <c r="HU727">
        <v>0</v>
      </c>
      <c r="HV727">
        <v>0</v>
      </c>
      <c r="HW727">
        <v>404.70000000000005</v>
      </c>
      <c r="HX727">
        <v>342.3</v>
      </c>
      <c r="HZ727">
        <v>866.2</v>
      </c>
      <c r="IA727">
        <v>1142.8</v>
      </c>
      <c r="IB727">
        <v>1121.5</v>
      </c>
      <c r="IC727">
        <v>2403</v>
      </c>
      <c r="ID727">
        <v>2659.3</v>
      </c>
      <c r="IE727">
        <v>1923.4</v>
      </c>
      <c r="IF727">
        <v>1465.7</v>
      </c>
      <c r="IG727">
        <v>1608.3</v>
      </c>
      <c r="IH727">
        <v>0</v>
      </c>
      <c r="II727">
        <v>0</v>
      </c>
      <c r="IJ727">
        <v>0</v>
      </c>
      <c r="IK727">
        <v>0</v>
      </c>
      <c r="IL727">
        <v>0</v>
      </c>
      <c r="IM727">
        <v>0</v>
      </c>
      <c r="IN727">
        <v>0</v>
      </c>
      <c r="IO727">
        <v>0</v>
      </c>
      <c r="IP727">
        <v>75.099999999999994</v>
      </c>
    </row>
    <row r="728" spans="1:250" ht="18.600000000000001" thickTop="1" thickBot="1">
      <c r="A728" s="181"/>
      <c r="B728" s="181" t="s">
        <v>418</v>
      </c>
      <c r="C728" s="330"/>
      <c r="D728" s="395"/>
      <c r="E728" s="454">
        <v>0</v>
      </c>
      <c r="F728">
        <v>0</v>
      </c>
      <c r="G728" s="427">
        <v>0</v>
      </c>
      <c r="H728" s="155">
        <v>0</v>
      </c>
      <c r="I728">
        <v>0</v>
      </c>
      <c r="J728">
        <v>0</v>
      </c>
      <c r="K728">
        <v>0</v>
      </c>
      <c r="L728" s="4">
        <v>0</v>
      </c>
      <c r="M728" s="4">
        <v>0</v>
      </c>
      <c r="N728" s="4">
        <v>0</v>
      </c>
      <c r="O728" s="4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R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G728">
        <v>0</v>
      </c>
      <c r="BI728">
        <v>0</v>
      </c>
      <c r="BK728">
        <v>0</v>
      </c>
      <c r="BL728">
        <v>0</v>
      </c>
      <c r="BM728">
        <v>0</v>
      </c>
      <c r="BN728">
        <v>0</v>
      </c>
      <c r="BO728">
        <v>344.70000000000005</v>
      </c>
      <c r="BP728">
        <v>625.70000000000005</v>
      </c>
      <c r="BQ728">
        <v>912.2</v>
      </c>
      <c r="BR728">
        <v>237.7</v>
      </c>
      <c r="BS728">
        <v>0</v>
      </c>
      <c r="BT728">
        <v>0</v>
      </c>
      <c r="BU728">
        <v>0</v>
      </c>
      <c r="BV728">
        <v>0</v>
      </c>
      <c r="BW728">
        <v>1647.4</v>
      </c>
      <c r="BY728">
        <v>453.1</v>
      </c>
      <c r="CA728">
        <v>285.39999999999998</v>
      </c>
      <c r="CB728">
        <v>280.8</v>
      </c>
      <c r="CC728">
        <v>127.7</v>
      </c>
      <c r="CD728">
        <v>0</v>
      </c>
      <c r="CE728">
        <v>0</v>
      </c>
      <c r="CF728">
        <v>0</v>
      </c>
      <c r="CG728">
        <v>0</v>
      </c>
      <c r="CI728">
        <v>0</v>
      </c>
      <c r="CJ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621.70000000000005</v>
      </c>
      <c r="CR728">
        <v>481.70000000000005</v>
      </c>
      <c r="CS728">
        <v>0</v>
      </c>
      <c r="CT728">
        <v>524.6</v>
      </c>
      <c r="CU728">
        <v>514.1</v>
      </c>
      <c r="CV728">
        <v>175.2</v>
      </c>
      <c r="CW728">
        <v>0</v>
      </c>
      <c r="CX728">
        <v>65.099999999999994</v>
      </c>
      <c r="CY728">
        <v>199</v>
      </c>
      <c r="CZ728">
        <v>1907.9</v>
      </c>
      <c r="DA728">
        <v>0</v>
      </c>
      <c r="DB728">
        <v>0</v>
      </c>
      <c r="DC728">
        <v>0</v>
      </c>
      <c r="DD728">
        <v>0</v>
      </c>
      <c r="DE728">
        <v>0</v>
      </c>
      <c r="DF728">
        <v>0</v>
      </c>
      <c r="DG728">
        <v>0</v>
      </c>
      <c r="DH728">
        <v>0</v>
      </c>
      <c r="DI728">
        <v>0</v>
      </c>
      <c r="DJ728">
        <v>0</v>
      </c>
      <c r="DK728">
        <v>0</v>
      </c>
      <c r="DL728">
        <v>0</v>
      </c>
      <c r="DM728">
        <v>1065.4000000000001</v>
      </c>
      <c r="DN728">
        <v>599.70000000000005</v>
      </c>
      <c r="DO728">
        <v>319.7</v>
      </c>
      <c r="DP728">
        <v>1570.6999999999998</v>
      </c>
      <c r="DQ728">
        <v>1399.5</v>
      </c>
      <c r="DR728">
        <v>3581</v>
      </c>
      <c r="DU728">
        <v>1393.2</v>
      </c>
      <c r="DV728">
        <v>2862.6</v>
      </c>
      <c r="DY728">
        <v>2361</v>
      </c>
      <c r="EA728">
        <v>2409.6</v>
      </c>
      <c r="EC728">
        <v>1661.3999999999999</v>
      </c>
      <c r="EE728">
        <v>0</v>
      </c>
      <c r="EF728">
        <v>0</v>
      </c>
      <c r="EG728">
        <v>0</v>
      </c>
      <c r="EH728">
        <v>0</v>
      </c>
      <c r="EI728">
        <v>0</v>
      </c>
      <c r="EJ728">
        <v>0</v>
      </c>
      <c r="EK728">
        <v>0</v>
      </c>
      <c r="EL728">
        <v>0</v>
      </c>
      <c r="EM728">
        <v>0</v>
      </c>
      <c r="EN728">
        <v>0</v>
      </c>
      <c r="EO728">
        <v>0</v>
      </c>
      <c r="EP728">
        <v>944.5</v>
      </c>
      <c r="EQ728">
        <v>3459.7</v>
      </c>
      <c r="ER728">
        <v>1353.5</v>
      </c>
      <c r="ES728">
        <v>182.2</v>
      </c>
      <c r="ET728">
        <v>855.59999999999991</v>
      </c>
      <c r="EU728">
        <v>172.2</v>
      </c>
      <c r="EV728">
        <v>203.2</v>
      </c>
      <c r="EW728">
        <v>1173.0999999999999</v>
      </c>
      <c r="EX728">
        <v>1078.3</v>
      </c>
      <c r="EY728">
        <v>1194.4000000000001</v>
      </c>
      <c r="EZ728">
        <v>1207.0999999999999</v>
      </c>
      <c r="FA728">
        <v>0</v>
      </c>
      <c r="FB728">
        <v>0</v>
      </c>
      <c r="FC728">
        <v>0</v>
      </c>
      <c r="FD728">
        <v>0</v>
      </c>
      <c r="FE728">
        <v>0</v>
      </c>
      <c r="FF728">
        <v>0</v>
      </c>
      <c r="FG728">
        <v>0</v>
      </c>
      <c r="FH728">
        <v>0</v>
      </c>
      <c r="FI728">
        <v>0</v>
      </c>
      <c r="FJ728">
        <v>0</v>
      </c>
      <c r="FK728">
        <v>0</v>
      </c>
      <c r="FL728">
        <v>0</v>
      </c>
      <c r="FM728">
        <v>0</v>
      </c>
      <c r="FN728">
        <v>0</v>
      </c>
      <c r="FO728">
        <v>0</v>
      </c>
      <c r="FP728">
        <v>0</v>
      </c>
      <c r="FQ728">
        <v>0</v>
      </c>
      <c r="FR728">
        <v>0</v>
      </c>
      <c r="FS728">
        <v>0</v>
      </c>
      <c r="FT728">
        <v>0</v>
      </c>
      <c r="FU728">
        <v>0</v>
      </c>
      <c r="FV728">
        <v>0</v>
      </c>
      <c r="FW728">
        <v>0</v>
      </c>
      <c r="FX728">
        <v>0</v>
      </c>
      <c r="FY728">
        <v>0</v>
      </c>
      <c r="FZ728">
        <v>0</v>
      </c>
      <c r="GA728">
        <v>0</v>
      </c>
      <c r="GB728">
        <v>0</v>
      </c>
      <c r="GC728">
        <v>0</v>
      </c>
      <c r="GD728">
        <v>0</v>
      </c>
      <c r="GE728">
        <v>0</v>
      </c>
      <c r="GF728">
        <v>0</v>
      </c>
      <c r="GG728">
        <v>0</v>
      </c>
      <c r="GH728">
        <v>0</v>
      </c>
      <c r="GI728">
        <v>0</v>
      </c>
      <c r="GJ728">
        <v>0</v>
      </c>
      <c r="GK728">
        <v>0</v>
      </c>
      <c r="GL728">
        <v>0</v>
      </c>
      <c r="GO728">
        <v>0</v>
      </c>
      <c r="GP728">
        <v>0</v>
      </c>
      <c r="GQ728">
        <v>0</v>
      </c>
      <c r="GR728">
        <v>0</v>
      </c>
      <c r="GS728">
        <v>0</v>
      </c>
      <c r="GT728">
        <v>0</v>
      </c>
      <c r="GU728">
        <v>0</v>
      </c>
      <c r="GV728">
        <v>0</v>
      </c>
      <c r="GW728">
        <v>0</v>
      </c>
      <c r="GX728">
        <v>0</v>
      </c>
      <c r="GY728">
        <v>0</v>
      </c>
      <c r="GZ728">
        <v>0</v>
      </c>
      <c r="HA728">
        <v>0</v>
      </c>
      <c r="HB728">
        <v>0</v>
      </c>
      <c r="HC728">
        <v>0</v>
      </c>
      <c r="HD728">
        <v>0</v>
      </c>
      <c r="HE728">
        <v>0</v>
      </c>
      <c r="HF728">
        <v>0</v>
      </c>
      <c r="HG728">
        <v>0</v>
      </c>
      <c r="HH728">
        <v>0</v>
      </c>
      <c r="HI728">
        <v>0</v>
      </c>
      <c r="HJ728">
        <v>0</v>
      </c>
      <c r="HK728">
        <v>0</v>
      </c>
      <c r="HL728">
        <v>0</v>
      </c>
      <c r="HM728">
        <v>0</v>
      </c>
      <c r="HN728">
        <v>0</v>
      </c>
      <c r="HO728">
        <v>0</v>
      </c>
      <c r="HP728">
        <v>0</v>
      </c>
      <c r="HQ728">
        <v>0</v>
      </c>
      <c r="HR728">
        <v>0</v>
      </c>
      <c r="HS728">
        <v>0</v>
      </c>
      <c r="HT728">
        <v>0</v>
      </c>
      <c r="HU728">
        <v>0</v>
      </c>
      <c r="HV728">
        <v>0</v>
      </c>
      <c r="HW728">
        <v>404.70000000000005</v>
      </c>
      <c r="HX728">
        <v>342.3</v>
      </c>
      <c r="HZ728">
        <v>866.2</v>
      </c>
      <c r="IA728">
        <v>1142.8</v>
      </c>
      <c r="IB728">
        <v>1121.5</v>
      </c>
      <c r="IC728">
        <v>2403</v>
      </c>
      <c r="ID728">
        <v>2659.3</v>
      </c>
      <c r="IE728">
        <v>1923.4</v>
      </c>
      <c r="IF728">
        <v>1465.7</v>
      </c>
      <c r="IG728">
        <v>1608.3</v>
      </c>
      <c r="IH728">
        <v>0</v>
      </c>
      <c r="II728">
        <v>0</v>
      </c>
      <c r="IJ728">
        <v>0</v>
      </c>
      <c r="IK728">
        <v>0</v>
      </c>
      <c r="IL728">
        <v>0</v>
      </c>
      <c r="IM728">
        <v>0</v>
      </c>
      <c r="IN728">
        <v>0</v>
      </c>
      <c r="IO728">
        <v>0</v>
      </c>
      <c r="IP728">
        <v>75.099999999999994</v>
      </c>
    </row>
    <row r="729" spans="1:250" ht="18" thickBot="1">
      <c r="A729" s="245"/>
      <c r="B729" s="245" t="s">
        <v>419</v>
      </c>
      <c r="C729" s="230" t="s">
        <v>1155</v>
      </c>
      <c r="D729" s="397"/>
      <c r="E729" s="454">
        <v>0</v>
      </c>
      <c r="F729">
        <v>0</v>
      </c>
      <c r="G729" s="427">
        <v>0</v>
      </c>
      <c r="H729" s="155">
        <v>0</v>
      </c>
      <c r="I729">
        <v>0</v>
      </c>
      <c r="J729">
        <v>0</v>
      </c>
      <c r="K729">
        <v>0</v>
      </c>
      <c r="L729" s="4">
        <v>0</v>
      </c>
      <c r="M729" s="4">
        <v>0</v>
      </c>
      <c r="N729" s="4">
        <v>0</v>
      </c>
      <c r="O729" s="4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R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G729">
        <v>0</v>
      </c>
      <c r="BI729">
        <v>0</v>
      </c>
      <c r="BK729">
        <v>0</v>
      </c>
      <c r="BL729">
        <v>0</v>
      </c>
      <c r="BM729">
        <v>0</v>
      </c>
      <c r="BN729">
        <v>0</v>
      </c>
      <c r="BO729">
        <v>344.70000000000005</v>
      </c>
      <c r="BP729">
        <v>625.70000000000005</v>
      </c>
      <c r="BQ729">
        <v>912.2</v>
      </c>
      <c r="BR729">
        <v>237.7</v>
      </c>
      <c r="BS729">
        <v>0</v>
      </c>
      <c r="BT729">
        <v>0</v>
      </c>
      <c r="BU729">
        <v>0</v>
      </c>
      <c r="BV729">
        <v>0</v>
      </c>
      <c r="BW729">
        <v>1647.4</v>
      </c>
      <c r="BY729">
        <v>453.1</v>
      </c>
      <c r="CA729">
        <v>285.39999999999998</v>
      </c>
      <c r="CB729">
        <v>280.8</v>
      </c>
      <c r="CC729">
        <v>127.7</v>
      </c>
      <c r="CD729">
        <v>0</v>
      </c>
      <c r="CE729">
        <v>0</v>
      </c>
      <c r="CF729">
        <v>0</v>
      </c>
      <c r="CG729">
        <v>0</v>
      </c>
      <c r="CI729">
        <v>0</v>
      </c>
      <c r="CJ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621.70000000000005</v>
      </c>
      <c r="CR729">
        <v>481.70000000000005</v>
      </c>
      <c r="CS729">
        <v>0</v>
      </c>
      <c r="CT729">
        <v>524.6</v>
      </c>
      <c r="CU729">
        <v>514.1</v>
      </c>
      <c r="CV729">
        <v>175.2</v>
      </c>
      <c r="CW729">
        <v>0</v>
      </c>
      <c r="CX729">
        <v>65.099999999999994</v>
      </c>
      <c r="CY729">
        <v>199</v>
      </c>
      <c r="CZ729">
        <v>1907.9</v>
      </c>
      <c r="DA729">
        <v>0</v>
      </c>
      <c r="DB729">
        <v>0</v>
      </c>
      <c r="DC729">
        <v>0</v>
      </c>
      <c r="DD729">
        <v>0</v>
      </c>
      <c r="DE729">
        <v>0</v>
      </c>
      <c r="DF729">
        <v>0</v>
      </c>
      <c r="DG729">
        <v>0</v>
      </c>
      <c r="DH729">
        <v>0</v>
      </c>
      <c r="DI729">
        <v>0</v>
      </c>
      <c r="DJ729">
        <v>0</v>
      </c>
      <c r="DK729">
        <v>0</v>
      </c>
      <c r="DL729">
        <v>0</v>
      </c>
      <c r="DM729">
        <v>1065.4000000000001</v>
      </c>
      <c r="DN729">
        <v>599.70000000000005</v>
      </c>
      <c r="DO729">
        <v>319.7</v>
      </c>
      <c r="DP729">
        <v>1570.6999999999998</v>
      </c>
      <c r="DQ729">
        <v>1399.5</v>
      </c>
      <c r="DR729">
        <v>3581</v>
      </c>
      <c r="DU729">
        <v>1393.2</v>
      </c>
      <c r="DV729">
        <v>2862.6</v>
      </c>
      <c r="DY729">
        <v>2361</v>
      </c>
      <c r="EA729">
        <v>2409.6</v>
      </c>
      <c r="EC729">
        <v>1661.3999999999999</v>
      </c>
      <c r="EE729">
        <v>0</v>
      </c>
      <c r="EF729">
        <v>0</v>
      </c>
      <c r="EG729">
        <v>0</v>
      </c>
      <c r="EH729">
        <v>0</v>
      </c>
      <c r="EI729">
        <v>0</v>
      </c>
      <c r="EJ729">
        <v>0</v>
      </c>
      <c r="EK729">
        <v>0</v>
      </c>
      <c r="EL729">
        <v>0</v>
      </c>
      <c r="EM729">
        <v>0</v>
      </c>
      <c r="EN729">
        <v>0</v>
      </c>
      <c r="EO729">
        <v>0</v>
      </c>
      <c r="EP729">
        <v>944.5</v>
      </c>
      <c r="EQ729">
        <v>3459.7</v>
      </c>
      <c r="ER729">
        <v>1353.5</v>
      </c>
      <c r="ES729">
        <v>182.2</v>
      </c>
      <c r="ET729">
        <v>855.59999999999991</v>
      </c>
      <c r="EU729">
        <v>172.2</v>
      </c>
      <c r="EV729">
        <v>203.2</v>
      </c>
      <c r="EW729">
        <v>1173.0999999999999</v>
      </c>
      <c r="EX729">
        <v>1078.3</v>
      </c>
      <c r="EY729">
        <v>1194.4000000000001</v>
      </c>
      <c r="EZ729">
        <v>1207.0999999999999</v>
      </c>
      <c r="FA729">
        <v>0</v>
      </c>
      <c r="FB729">
        <v>0</v>
      </c>
      <c r="FC729">
        <v>0</v>
      </c>
      <c r="FD729">
        <v>0</v>
      </c>
      <c r="FE729">
        <v>0</v>
      </c>
      <c r="FF729">
        <v>0</v>
      </c>
      <c r="FG729">
        <v>0</v>
      </c>
      <c r="FH729">
        <v>0</v>
      </c>
      <c r="FI729">
        <v>0</v>
      </c>
      <c r="FJ729">
        <v>0</v>
      </c>
      <c r="FK729">
        <v>0</v>
      </c>
      <c r="FL729">
        <v>0</v>
      </c>
      <c r="FM729">
        <v>0</v>
      </c>
      <c r="FN729">
        <v>0</v>
      </c>
      <c r="FO729">
        <v>0</v>
      </c>
      <c r="FP729">
        <v>0</v>
      </c>
      <c r="FQ729">
        <v>0</v>
      </c>
      <c r="FR729">
        <v>0</v>
      </c>
      <c r="FS729">
        <v>0</v>
      </c>
      <c r="FT729">
        <v>0</v>
      </c>
      <c r="FU729">
        <v>0</v>
      </c>
      <c r="FV729">
        <v>0</v>
      </c>
      <c r="FW729">
        <v>0</v>
      </c>
      <c r="FX729">
        <v>0</v>
      </c>
      <c r="FY729">
        <v>0</v>
      </c>
      <c r="FZ729">
        <v>0</v>
      </c>
      <c r="GA729">
        <v>0</v>
      </c>
      <c r="GB729">
        <v>0</v>
      </c>
      <c r="GC729">
        <v>0</v>
      </c>
      <c r="GD729">
        <v>0</v>
      </c>
      <c r="GE729">
        <v>0</v>
      </c>
      <c r="GF729">
        <v>0</v>
      </c>
      <c r="GG729">
        <v>0</v>
      </c>
      <c r="GH729">
        <v>0</v>
      </c>
      <c r="GI729">
        <v>0</v>
      </c>
      <c r="GJ729">
        <v>0</v>
      </c>
      <c r="GK729">
        <v>0</v>
      </c>
      <c r="GL729">
        <v>0</v>
      </c>
      <c r="GO729">
        <v>0</v>
      </c>
      <c r="GP729">
        <v>0</v>
      </c>
      <c r="GQ729">
        <v>0</v>
      </c>
      <c r="GR729">
        <v>0</v>
      </c>
      <c r="GS729">
        <v>0</v>
      </c>
      <c r="GT729">
        <v>0</v>
      </c>
      <c r="GU729">
        <v>0</v>
      </c>
      <c r="GV729">
        <v>0</v>
      </c>
      <c r="GW729">
        <v>0</v>
      </c>
      <c r="GX729">
        <v>0</v>
      </c>
      <c r="GY729">
        <v>0</v>
      </c>
      <c r="GZ729">
        <v>0</v>
      </c>
      <c r="HA729">
        <v>0</v>
      </c>
      <c r="HB729">
        <v>0</v>
      </c>
      <c r="HC729">
        <v>0</v>
      </c>
      <c r="HD729">
        <v>0</v>
      </c>
      <c r="HE729">
        <v>0</v>
      </c>
      <c r="HF729">
        <v>0</v>
      </c>
      <c r="HG729">
        <v>0</v>
      </c>
      <c r="HH729">
        <v>0</v>
      </c>
      <c r="HI729">
        <v>0</v>
      </c>
      <c r="HJ729">
        <v>0</v>
      </c>
      <c r="HK729">
        <v>0</v>
      </c>
      <c r="HL729">
        <v>0</v>
      </c>
      <c r="HM729">
        <v>0</v>
      </c>
      <c r="HN729">
        <v>0</v>
      </c>
      <c r="HO729">
        <v>0</v>
      </c>
      <c r="HP729">
        <v>0</v>
      </c>
      <c r="HQ729">
        <v>0</v>
      </c>
      <c r="HR729">
        <v>0</v>
      </c>
      <c r="HS729">
        <v>0</v>
      </c>
      <c r="HT729">
        <v>0</v>
      </c>
      <c r="HU729">
        <v>0</v>
      </c>
      <c r="HV729">
        <v>0</v>
      </c>
      <c r="HW729">
        <v>404.70000000000005</v>
      </c>
      <c r="HX729">
        <v>342.3</v>
      </c>
      <c r="HZ729">
        <v>866.2</v>
      </c>
      <c r="IA729">
        <v>1142.8</v>
      </c>
      <c r="IB729">
        <v>1121.5</v>
      </c>
      <c r="IC729">
        <v>2403</v>
      </c>
      <c r="ID729">
        <v>2659.3</v>
      </c>
      <c r="IE729">
        <v>1923.4</v>
      </c>
      <c r="IF729">
        <v>1465.7</v>
      </c>
      <c r="IG729">
        <v>1608.3</v>
      </c>
      <c r="IH729">
        <v>0</v>
      </c>
      <c r="II729">
        <v>0</v>
      </c>
      <c r="IJ729">
        <v>0</v>
      </c>
      <c r="IK729">
        <v>0</v>
      </c>
      <c r="IL729">
        <v>0</v>
      </c>
      <c r="IM729">
        <v>0</v>
      </c>
      <c r="IN729">
        <v>0</v>
      </c>
      <c r="IO729">
        <v>0</v>
      </c>
      <c r="IP729">
        <v>75.099999999999994</v>
      </c>
    </row>
    <row r="730" spans="1:250" ht="18" thickBot="1">
      <c r="A730" s="245"/>
      <c r="B730" s="245" t="s">
        <v>420</v>
      </c>
      <c r="C730" s="230" t="s">
        <v>1156</v>
      </c>
      <c r="D730" s="397"/>
      <c r="E730" s="454">
        <v>0</v>
      </c>
      <c r="F730">
        <v>0</v>
      </c>
      <c r="G730" s="427">
        <v>0</v>
      </c>
      <c r="H730" s="155">
        <v>0</v>
      </c>
      <c r="I730">
        <v>0</v>
      </c>
      <c r="J730">
        <v>0</v>
      </c>
      <c r="K730">
        <v>0</v>
      </c>
      <c r="L730" s="4">
        <v>0</v>
      </c>
      <c r="M730" s="4">
        <v>0</v>
      </c>
      <c r="N730" s="4">
        <v>0</v>
      </c>
      <c r="O730" s="4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R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G730">
        <v>0</v>
      </c>
      <c r="BI730">
        <v>0</v>
      </c>
      <c r="BK730">
        <v>0</v>
      </c>
      <c r="BL730">
        <v>0</v>
      </c>
      <c r="BM730">
        <v>0</v>
      </c>
      <c r="BN730">
        <v>0</v>
      </c>
      <c r="BO730">
        <v>344.70000000000005</v>
      </c>
      <c r="BP730">
        <v>625.70000000000005</v>
      </c>
      <c r="BQ730">
        <v>912.2</v>
      </c>
      <c r="BR730">
        <v>237.7</v>
      </c>
      <c r="BS730">
        <v>0</v>
      </c>
      <c r="BT730">
        <v>0</v>
      </c>
      <c r="BU730">
        <v>0</v>
      </c>
      <c r="BV730">
        <v>0</v>
      </c>
      <c r="BW730">
        <v>1647.4</v>
      </c>
      <c r="BY730">
        <v>453.1</v>
      </c>
      <c r="CA730">
        <v>285.39999999999998</v>
      </c>
      <c r="CB730">
        <v>280.8</v>
      </c>
      <c r="CC730">
        <v>127.7</v>
      </c>
      <c r="CD730">
        <v>0</v>
      </c>
      <c r="CE730">
        <v>0</v>
      </c>
      <c r="CF730">
        <v>0</v>
      </c>
      <c r="CG730">
        <v>0</v>
      </c>
      <c r="CI730">
        <v>0</v>
      </c>
      <c r="CJ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621.70000000000005</v>
      </c>
      <c r="CR730">
        <v>481.70000000000005</v>
      </c>
      <c r="CS730">
        <v>0</v>
      </c>
      <c r="CT730">
        <v>524.6</v>
      </c>
      <c r="CU730">
        <v>514.1</v>
      </c>
      <c r="CV730">
        <v>175.2</v>
      </c>
      <c r="CW730">
        <v>0</v>
      </c>
      <c r="CX730">
        <v>65.099999999999994</v>
      </c>
      <c r="CY730">
        <v>199</v>
      </c>
      <c r="CZ730">
        <v>1907.9</v>
      </c>
      <c r="DA730">
        <v>0</v>
      </c>
      <c r="DB730">
        <v>0</v>
      </c>
      <c r="DC730">
        <v>0</v>
      </c>
      <c r="DD730">
        <v>0</v>
      </c>
      <c r="DE730">
        <v>0</v>
      </c>
      <c r="DF730">
        <v>0</v>
      </c>
      <c r="DG730">
        <v>0</v>
      </c>
      <c r="DH730">
        <v>0</v>
      </c>
      <c r="DI730">
        <v>0</v>
      </c>
      <c r="DJ730">
        <v>0</v>
      </c>
      <c r="DK730">
        <v>0</v>
      </c>
      <c r="DL730">
        <v>0</v>
      </c>
      <c r="DM730">
        <v>1065.4000000000001</v>
      </c>
      <c r="DN730">
        <v>599.70000000000005</v>
      </c>
      <c r="DO730">
        <v>319.7</v>
      </c>
      <c r="DP730">
        <v>1570.6999999999998</v>
      </c>
      <c r="DQ730">
        <v>1399.5</v>
      </c>
      <c r="DR730">
        <v>3581</v>
      </c>
      <c r="DU730">
        <v>1393.2</v>
      </c>
      <c r="DV730">
        <v>2862.6</v>
      </c>
      <c r="DY730">
        <v>2361</v>
      </c>
      <c r="EA730">
        <v>2409.6</v>
      </c>
      <c r="EC730">
        <v>1661.3999999999999</v>
      </c>
      <c r="EE730">
        <v>0</v>
      </c>
      <c r="EF730">
        <v>0</v>
      </c>
      <c r="EG730">
        <v>0</v>
      </c>
      <c r="EH730">
        <v>0</v>
      </c>
      <c r="EI730">
        <v>0</v>
      </c>
      <c r="EJ730">
        <v>0</v>
      </c>
      <c r="EK730">
        <v>0</v>
      </c>
      <c r="EL730">
        <v>0</v>
      </c>
      <c r="EM730">
        <v>0</v>
      </c>
      <c r="EN730">
        <v>0</v>
      </c>
      <c r="EO730">
        <v>0</v>
      </c>
      <c r="EP730">
        <v>944.5</v>
      </c>
      <c r="EQ730">
        <v>3459.7</v>
      </c>
      <c r="ER730">
        <v>1353.5</v>
      </c>
      <c r="ES730">
        <v>182.2</v>
      </c>
      <c r="ET730">
        <v>855.59999999999991</v>
      </c>
      <c r="EU730">
        <v>172.2</v>
      </c>
      <c r="EV730">
        <v>203.2</v>
      </c>
      <c r="EW730">
        <v>1173.0999999999999</v>
      </c>
      <c r="EX730">
        <v>1078.3</v>
      </c>
      <c r="EY730">
        <v>1194.4000000000001</v>
      </c>
      <c r="EZ730">
        <v>1207.0999999999999</v>
      </c>
      <c r="FA730">
        <v>0</v>
      </c>
      <c r="FB730">
        <v>0</v>
      </c>
      <c r="FC730">
        <v>0</v>
      </c>
      <c r="FD730">
        <v>0</v>
      </c>
      <c r="FE730">
        <v>0</v>
      </c>
      <c r="FF730">
        <v>0</v>
      </c>
      <c r="FG730">
        <v>0</v>
      </c>
      <c r="FH730">
        <v>0</v>
      </c>
      <c r="FI730">
        <v>0</v>
      </c>
      <c r="FJ730">
        <v>0</v>
      </c>
      <c r="FK730">
        <v>0</v>
      </c>
      <c r="FL730">
        <v>0</v>
      </c>
      <c r="FM730">
        <v>0</v>
      </c>
      <c r="FN730">
        <v>0</v>
      </c>
      <c r="FO730">
        <v>0</v>
      </c>
      <c r="FP730">
        <v>0</v>
      </c>
      <c r="FQ730">
        <v>0</v>
      </c>
      <c r="FR730">
        <v>0</v>
      </c>
      <c r="FS730">
        <v>0</v>
      </c>
      <c r="FT730">
        <v>0</v>
      </c>
      <c r="FU730">
        <v>0</v>
      </c>
      <c r="FV730">
        <v>0</v>
      </c>
      <c r="FW730">
        <v>0</v>
      </c>
      <c r="FX730">
        <v>0</v>
      </c>
      <c r="FY730">
        <v>0</v>
      </c>
      <c r="FZ730">
        <v>0</v>
      </c>
      <c r="GA730">
        <v>0</v>
      </c>
      <c r="GB730">
        <v>0</v>
      </c>
      <c r="GC730">
        <v>0</v>
      </c>
      <c r="GD730">
        <v>0</v>
      </c>
      <c r="GE730">
        <v>0</v>
      </c>
      <c r="GF730">
        <v>0</v>
      </c>
      <c r="GG730">
        <v>0</v>
      </c>
      <c r="GH730">
        <v>0</v>
      </c>
      <c r="GI730">
        <v>0</v>
      </c>
      <c r="GJ730">
        <v>0</v>
      </c>
      <c r="GK730">
        <v>0</v>
      </c>
      <c r="GL730">
        <v>0</v>
      </c>
      <c r="GO730">
        <v>0</v>
      </c>
      <c r="GP730">
        <v>0</v>
      </c>
      <c r="GQ730">
        <v>0</v>
      </c>
      <c r="GR730">
        <v>0</v>
      </c>
      <c r="GS730">
        <v>0</v>
      </c>
      <c r="GT730">
        <v>0</v>
      </c>
      <c r="GU730">
        <v>0</v>
      </c>
      <c r="GV730">
        <v>0</v>
      </c>
      <c r="GW730">
        <v>0</v>
      </c>
      <c r="GX730">
        <v>0</v>
      </c>
      <c r="GY730">
        <v>0</v>
      </c>
      <c r="GZ730">
        <v>0</v>
      </c>
      <c r="HA730">
        <v>0</v>
      </c>
      <c r="HB730">
        <v>0</v>
      </c>
      <c r="HC730">
        <v>0</v>
      </c>
      <c r="HD730">
        <v>0</v>
      </c>
      <c r="HE730">
        <v>0</v>
      </c>
      <c r="HF730">
        <v>0</v>
      </c>
      <c r="HG730">
        <v>0</v>
      </c>
      <c r="HH730">
        <v>0</v>
      </c>
      <c r="HI730">
        <v>0</v>
      </c>
      <c r="HJ730">
        <v>0</v>
      </c>
      <c r="HK730">
        <v>0</v>
      </c>
      <c r="HL730">
        <v>0</v>
      </c>
      <c r="HM730">
        <v>0</v>
      </c>
      <c r="HN730">
        <v>0</v>
      </c>
      <c r="HO730">
        <v>0</v>
      </c>
      <c r="HP730">
        <v>0</v>
      </c>
      <c r="HQ730">
        <v>0</v>
      </c>
      <c r="HR730">
        <v>0</v>
      </c>
      <c r="HS730">
        <v>0</v>
      </c>
      <c r="HT730">
        <v>0</v>
      </c>
      <c r="HU730">
        <v>0</v>
      </c>
      <c r="HV730">
        <v>0</v>
      </c>
      <c r="HW730">
        <v>404.70000000000005</v>
      </c>
      <c r="HX730">
        <v>342.3</v>
      </c>
      <c r="HZ730">
        <v>866.2</v>
      </c>
      <c r="IA730">
        <v>1142.8</v>
      </c>
      <c r="IB730">
        <v>1121.5</v>
      </c>
      <c r="IC730">
        <v>2403</v>
      </c>
      <c r="ID730">
        <v>2659.3</v>
      </c>
      <c r="IE730">
        <v>1923.4</v>
      </c>
      <c r="IF730">
        <v>1465.7</v>
      </c>
      <c r="IG730">
        <v>1608.3</v>
      </c>
      <c r="IH730">
        <v>0</v>
      </c>
      <c r="II730">
        <v>0</v>
      </c>
      <c r="IJ730">
        <v>0</v>
      </c>
      <c r="IK730">
        <v>0</v>
      </c>
      <c r="IL730">
        <v>0</v>
      </c>
      <c r="IM730">
        <v>0</v>
      </c>
      <c r="IN730">
        <v>0</v>
      </c>
      <c r="IO730">
        <v>0</v>
      </c>
      <c r="IP730">
        <v>75.099999999999994</v>
      </c>
    </row>
    <row r="731" spans="1:250" ht="18" thickBot="1">
      <c r="A731" s="555"/>
      <c r="B731" s="555" t="s">
        <v>421</v>
      </c>
      <c r="C731" s="496" t="s">
        <v>1157</v>
      </c>
      <c r="D731" s="557"/>
      <c r="E731" s="454">
        <v>0</v>
      </c>
      <c r="F731">
        <v>0</v>
      </c>
      <c r="G731" s="427">
        <v>0</v>
      </c>
      <c r="H731" s="155">
        <v>0</v>
      </c>
      <c r="I731">
        <v>0</v>
      </c>
      <c r="J731">
        <v>0</v>
      </c>
      <c r="K731">
        <v>0</v>
      </c>
      <c r="L731" s="4">
        <v>0</v>
      </c>
      <c r="M731" s="4">
        <v>0</v>
      </c>
      <c r="N731" s="4">
        <v>0</v>
      </c>
      <c r="O731" s="4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R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G731">
        <v>0</v>
      </c>
      <c r="BI731">
        <v>0</v>
      </c>
      <c r="BK731">
        <v>0</v>
      </c>
      <c r="BL731">
        <v>0</v>
      </c>
      <c r="BM731">
        <v>0</v>
      </c>
      <c r="BN731">
        <v>0</v>
      </c>
      <c r="BO731">
        <v>344.70000000000005</v>
      </c>
      <c r="BP731">
        <v>625.70000000000005</v>
      </c>
      <c r="BQ731">
        <v>912.2</v>
      </c>
      <c r="BR731">
        <v>237.7</v>
      </c>
      <c r="BS731">
        <v>0</v>
      </c>
      <c r="BT731">
        <v>0</v>
      </c>
      <c r="BU731">
        <v>0</v>
      </c>
      <c r="BV731">
        <v>0</v>
      </c>
      <c r="BW731">
        <v>1647.4</v>
      </c>
      <c r="BY731">
        <v>453.1</v>
      </c>
      <c r="CA731">
        <v>285.39999999999998</v>
      </c>
      <c r="CB731">
        <v>280.8</v>
      </c>
      <c r="CC731">
        <v>127.7</v>
      </c>
      <c r="CD731">
        <v>0</v>
      </c>
      <c r="CE731">
        <v>0</v>
      </c>
      <c r="CF731">
        <v>0</v>
      </c>
      <c r="CG731">
        <v>0</v>
      </c>
      <c r="CI731">
        <v>0</v>
      </c>
      <c r="CJ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621.70000000000005</v>
      </c>
      <c r="CR731">
        <v>481.70000000000005</v>
      </c>
      <c r="CS731">
        <v>0</v>
      </c>
      <c r="CT731">
        <v>524.6</v>
      </c>
      <c r="CU731">
        <v>514.1</v>
      </c>
      <c r="CV731">
        <v>175.2</v>
      </c>
      <c r="CW731">
        <v>0</v>
      </c>
      <c r="CX731">
        <v>65.099999999999994</v>
      </c>
      <c r="CY731">
        <v>199</v>
      </c>
      <c r="CZ731">
        <v>1907.9</v>
      </c>
      <c r="DA731">
        <v>0</v>
      </c>
      <c r="DB731">
        <v>0</v>
      </c>
      <c r="DC731">
        <v>0</v>
      </c>
      <c r="DD731">
        <v>0</v>
      </c>
      <c r="DE731">
        <v>0</v>
      </c>
      <c r="DF731">
        <v>0</v>
      </c>
      <c r="DG731">
        <v>0</v>
      </c>
      <c r="DH731">
        <v>0</v>
      </c>
      <c r="DI731">
        <v>0</v>
      </c>
      <c r="DJ731">
        <v>0</v>
      </c>
      <c r="DK731">
        <v>0</v>
      </c>
      <c r="DL731">
        <v>0</v>
      </c>
      <c r="DM731">
        <v>1065.4000000000001</v>
      </c>
      <c r="DN731">
        <v>599.70000000000005</v>
      </c>
      <c r="DO731">
        <v>319.7</v>
      </c>
      <c r="DP731">
        <v>1570.6999999999998</v>
      </c>
      <c r="DQ731">
        <v>1399.5</v>
      </c>
      <c r="DR731">
        <v>3581</v>
      </c>
      <c r="DU731">
        <v>1393.2</v>
      </c>
      <c r="DV731">
        <v>2862.6</v>
      </c>
      <c r="DY731">
        <v>2361</v>
      </c>
      <c r="EA731">
        <v>2409.6</v>
      </c>
      <c r="EC731">
        <v>1661.3999999999999</v>
      </c>
      <c r="EE731">
        <v>0</v>
      </c>
      <c r="EF731">
        <v>0</v>
      </c>
      <c r="EG731">
        <v>0</v>
      </c>
      <c r="EH731">
        <v>0</v>
      </c>
      <c r="EI731">
        <v>0</v>
      </c>
      <c r="EJ731">
        <v>0</v>
      </c>
      <c r="EK731">
        <v>0</v>
      </c>
      <c r="EL731">
        <v>0</v>
      </c>
      <c r="EM731">
        <v>0</v>
      </c>
      <c r="EN731">
        <v>0</v>
      </c>
      <c r="EO731">
        <v>0</v>
      </c>
      <c r="EP731">
        <v>944.5</v>
      </c>
      <c r="EQ731">
        <v>3459.7</v>
      </c>
      <c r="ER731">
        <v>1353.5</v>
      </c>
      <c r="ES731">
        <v>182.2</v>
      </c>
      <c r="ET731">
        <v>855.59999999999991</v>
      </c>
      <c r="EU731">
        <v>172.2</v>
      </c>
      <c r="EV731">
        <v>203.2</v>
      </c>
      <c r="EW731">
        <v>1173.0999999999999</v>
      </c>
      <c r="EX731">
        <v>1078.3</v>
      </c>
      <c r="EY731">
        <v>1194.4000000000001</v>
      </c>
      <c r="EZ731">
        <v>1207.0999999999999</v>
      </c>
      <c r="FA731">
        <v>0</v>
      </c>
      <c r="FB731">
        <v>0</v>
      </c>
      <c r="FC731">
        <v>0</v>
      </c>
      <c r="FD731">
        <v>0</v>
      </c>
      <c r="FE731">
        <v>0</v>
      </c>
      <c r="FF731">
        <v>0</v>
      </c>
      <c r="FG731">
        <v>0</v>
      </c>
      <c r="FH731">
        <v>0</v>
      </c>
      <c r="FI731">
        <v>0</v>
      </c>
      <c r="FJ731">
        <v>0</v>
      </c>
      <c r="FK731">
        <v>0</v>
      </c>
      <c r="FL731">
        <v>0</v>
      </c>
      <c r="FM731">
        <v>0</v>
      </c>
      <c r="FN731">
        <v>0</v>
      </c>
      <c r="FO731">
        <v>0</v>
      </c>
      <c r="FP731">
        <v>0</v>
      </c>
      <c r="FQ731">
        <v>0</v>
      </c>
      <c r="FR731">
        <v>0</v>
      </c>
      <c r="FS731">
        <v>0</v>
      </c>
      <c r="FT731">
        <v>0</v>
      </c>
      <c r="FU731">
        <v>0</v>
      </c>
      <c r="FV731">
        <v>0</v>
      </c>
      <c r="FW731">
        <v>0</v>
      </c>
      <c r="FX731">
        <v>0</v>
      </c>
      <c r="FY731">
        <v>0</v>
      </c>
      <c r="FZ731">
        <v>0</v>
      </c>
      <c r="GA731">
        <v>0</v>
      </c>
      <c r="GB731">
        <v>0</v>
      </c>
      <c r="GC731">
        <v>0</v>
      </c>
      <c r="GD731">
        <v>0</v>
      </c>
      <c r="GE731">
        <v>0</v>
      </c>
      <c r="GF731">
        <v>0</v>
      </c>
      <c r="GG731">
        <v>0</v>
      </c>
      <c r="GH731">
        <v>0</v>
      </c>
      <c r="GI731">
        <v>0</v>
      </c>
      <c r="GJ731">
        <v>0</v>
      </c>
      <c r="GK731">
        <v>0</v>
      </c>
      <c r="GL731">
        <v>0</v>
      </c>
      <c r="GO731">
        <v>0</v>
      </c>
      <c r="GP731">
        <v>0</v>
      </c>
      <c r="GQ731">
        <v>0</v>
      </c>
      <c r="GR731">
        <v>0</v>
      </c>
      <c r="GS731">
        <v>0</v>
      </c>
      <c r="GT731">
        <v>0</v>
      </c>
      <c r="GU731">
        <v>0</v>
      </c>
      <c r="GV731">
        <v>0</v>
      </c>
      <c r="GW731">
        <v>0</v>
      </c>
      <c r="GX731">
        <v>0</v>
      </c>
      <c r="GY731">
        <v>0</v>
      </c>
      <c r="GZ731">
        <v>0</v>
      </c>
      <c r="HA731">
        <v>0</v>
      </c>
      <c r="HB731">
        <v>0</v>
      </c>
      <c r="HC731">
        <v>0</v>
      </c>
      <c r="HD731">
        <v>0</v>
      </c>
      <c r="HE731">
        <v>0</v>
      </c>
      <c r="HF731">
        <v>0</v>
      </c>
      <c r="HG731">
        <v>0</v>
      </c>
      <c r="HH731">
        <v>0</v>
      </c>
      <c r="HI731">
        <v>0</v>
      </c>
      <c r="HJ731">
        <v>0</v>
      </c>
      <c r="HK731">
        <v>0</v>
      </c>
      <c r="HL731">
        <v>0</v>
      </c>
      <c r="HM731">
        <v>0</v>
      </c>
      <c r="HN731">
        <v>0</v>
      </c>
      <c r="HO731">
        <v>0</v>
      </c>
      <c r="HP731">
        <v>0</v>
      </c>
      <c r="HQ731">
        <v>0</v>
      </c>
      <c r="HR731">
        <v>0</v>
      </c>
      <c r="HS731">
        <v>0</v>
      </c>
      <c r="HT731">
        <v>0</v>
      </c>
      <c r="HU731">
        <v>0</v>
      </c>
      <c r="HV731">
        <v>0</v>
      </c>
      <c r="HW731">
        <v>404.70000000000005</v>
      </c>
      <c r="HX731">
        <v>342.3</v>
      </c>
      <c r="HZ731">
        <v>866.2</v>
      </c>
      <c r="IA731">
        <v>1142.8</v>
      </c>
      <c r="IB731">
        <v>1121.5</v>
      </c>
      <c r="IC731">
        <v>2403</v>
      </c>
      <c r="ID731">
        <v>2659.3</v>
      </c>
      <c r="IE731">
        <v>1923.4</v>
      </c>
      <c r="IF731">
        <v>1465.7</v>
      </c>
      <c r="IG731">
        <v>1608.3</v>
      </c>
      <c r="IH731">
        <v>0</v>
      </c>
      <c r="II731">
        <v>0</v>
      </c>
      <c r="IJ731">
        <v>0</v>
      </c>
      <c r="IK731">
        <v>0</v>
      </c>
      <c r="IL731">
        <v>0</v>
      </c>
      <c r="IM731">
        <v>0</v>
      </c>
      <c r="IN731">
        <v>0</v>
      </c>
      <c r="IO731">
        <v>0</v>
      </c>
      <c r="IP731">
        <v>75.099999999999994</v>
      </c>
    </row>
    <row r="732" spans="1:250" ht="18" thickBot="1">
      <c r="A732" s="569"/>
      <c r="B732" s="569"/>
      <c r="C732" s="496"/>
      <c r="D732" s="557"/>
      <c r="E732" s="454">
        <v>0</v>
      </c>
      <c r="F732">
        <v>0</v>
      </c>
      <c r="G732" s="427">
        <v>0</v>
      </c>
      <c r="H732" s="155">
        <v>0</v>
      </c>
      <c r="I732">
        <v>0</v>
      </c>
      <c r="J732">
        <v>0</v>
      </c>
      <c r="K732">
        <v>0</v>
      </c>
      <c r="L732" s="4">
        <v>0</v>
      </c>
      <c r="M732" s="4">
        <v>0</v>
      </c>
      <c r="N732" s="4">
        <v>0</v>
      </c>
      <c r="O732" s="4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R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G732">
        <v>0</v>
      </c>
      <c r="BI732">
        <v>0</v>
      </c>
      <c r="BK732">
        <v>0</v>
      </c>
      <c r="BL732">
        <v>0</v>
      </c>
      <c r="BM732">
        <v>0</v>
      </c>
      <c r="BN732">
        <v>0</v>
      </c>
      <c r="BO732">
        <v>344.70000000000005</v>
      </c>
      <c r="BP732">
        <v>625.70000000000005</v>
      </c>
      <c r="BQ732">
        <v>912.2</v>
      </c>
      <c r="BR732">
        <v>237.7</v>
      </c>
      <c r="BS732">
        <v>0</v>
      </c>
      <c r="BT732">
        <v>0</v>
      </c>
      <c r="BU732">
        <v>0</v>
      </c>
      <c r="BV732">
        <v>0</v>
      </c>
      <c r="BW732">
        <v>1647.4</v>
      </c>
      <c r="BY732">
        <v>453.1</v>
      </c>
      <c r="CA732">
        <v>285.39999999999998</v>
      </c>
      <c r="CB732">
        <v>280.8</v>
      </c>
      <c r="CC732">
        <v>127.7</v>
      </c>
      <c r="CD732">
        <v>0</v>
      </c>
      <c r="CE732">
        <v>0</v>
      </c>
      <c r="CF732">
        <v>0</v>
      </c>
      <c r="CG732">
        <v>0</v>
      </c>
      <c r="CI732">
        <v>0</v>
      </c>
      <c r="CJ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621.70000000000005</v>
      </c>
      <c r="CR732">
        <v>481.70000000000005</v>
      </c>
      <c r="CS732">
        <v>0</v>
      </c>
      <c r="CT732">
        <v>524.6</v>
      </c>
      <c r="CU732">
        <v>514.1</v>
      </c>
      <c r="CV732">
        <v>175.2</v>
      </c>
      <c r="CW732">
        <v>0</v>
      </c>
      <c r="CX732">
        <v>65.099999999999994</v>
      </c>
      <c r="CY732">
        <v>199</v>
      </c>
      <c r="CZ732">
        <v>1907.9</v>
      </c>
      <c r="DA732">
        <v>0</v>
      </c>
      <c r="DB732">
        <v>0</v>
      </c>
      <c r="DC732">
        <v>0</v>
      </c>
      <c r="DD732">
        <v>0</v>
      </c>
      <c r="DE732">
        <v>0</v>
      </c>
      <c r="DF732">
        <v>0</v>
      </c>
      <c r="DG732">
        <v>0</v>
      </c>
      <c r="DH732">
        <v>0</v>
      </c>
      <c r="DI732">
        <v>0</v>
      </c>
      <c r="DJ732">
        <v>0</v>
      </c>
      <c r="DK732">
        <v>0</v>
      </c>
      <c r="DL732">
        <v>0</v>
      </c>
      <c r="DM732">
        <v>1065.4000000000001</v>
      </c>
      <c r="DN732">
        <v>599.70000000000005</v>
      </c>
      <c r="DO732">
        <v>319.7</v>
      </c>
      <c r="DP732">
        <v>1570.6999999999998</v>
      </c>
      <c r="DQ732">
        <v>1399.5</v>
      </c>
      <c r="DR732">
        <v>3581</v>
      </c>
      <c r="DU732">
        <v>1393.2</v>
      </c>
      <c r="DV732">
        <v>2862.6</v>
      </c>
      <c r="DY732">
        <v>2361</v>
      </c>
      <c r="EA732">
        <v>2409.6</v>
      </c>
      <c r="EC732">
        <v>1661.3999999999999</v>
      </c>
      <c r="EE732">
        <v>0</v>
      </c>
      <c r="EF732">
        <v>0</v>
      </c>
      <c r="EG732">
        <v>0</v>
      </c>
      <c r="EH732">
        <v>0</v>
      </c>
      <c r="EI732">
        <v>0</v>
      </c>
      <c r="EJ732">
        <v>0</v>
      </c>
      <c r="EK732">
        <v>0</v>
      </c>
      <c r="EL732">
        <v>0</v>
      </c>
      <c r="EM732">
        <v>0</v>
      </c>
      <c r="EN732">
        <v>0</v>
      </c>
      <c r="EO732">
        <v>0</v>
      </c>
      <c r="EP732">
        <v>944.5</v>
      </c>
      <c r="EQ732">
        <v>3459.7</v>
      </c>
      <c r="ER732">
        <v>1353.5</v>
      </c>
      <c r="ES732">
        <v>182.2</v>
      </c>
      <c r="ET732">
        <v>855.59999999999991</v>
      </c>
      <c r="EU732">
        <v>172.2</v>
      </c>
      <c r="EV732">
        <v>203.2</v>
      </c>
      <c r="EW732">
        <v>1173.0999999999999</v>
      </c>
      <c r="EX732">
        <v>1078.3</v>
      </c>
      <c r="EY732">
        <v>1194.4000000000001</v>
      </c>
      <c r="EZ732">
        <v>1207.0999999999999</v>
      </c>
      <c r="FA732">
        <v>0</v>
      </c>
      <c r="FB732">
        <v>0</v>
      </c>
      <c r="FC732">
        <v>0</v>
      </c>
      <c r="FD732">
        <v>0</v>
      </c>
      <c r="FE732">
        <v>0</v>
      </c>
      <c r="FF732">
        <v>0</v>
      </c>
      <c r="FG732">
        <v>0</v>
      </c>
      <c r="FH732">
        <v>0</v>
      </c>
      <c r="FI732">
        <v>0</v>
      </c>
      <c r="FJ732">
        <v>0</v>
      </c>
      <c r="FK732">
        <v>0</v>
      </c>
      <c r="FL732">
        <v>0</v>
      </c>
      <c r="FM732">
        <v>0</v>
      </c>
      <c r="FN732">
        <v>0</v>
      </c>
      <c r="FO732">
        <v>0</v>
      </c>
      <c r="FP732">
        <v>0</v>
      </c>
      <c r="FQ732">
        <v>0</v>
      </c>
      <c r="FR732">
        <v>0</v>
      </c>
      <c r="FS732">
        <v>0</v>
      </c>
      <c r="FT732">
        <v>0</v>
      </c>
      <c r="FU732">
        <v>0</v>
      </c>
      <c r="FV732">
        <v>0</v>
      </c>
      <c r="FW732">
        <v>0</v>
      </c>
      <c r="FX732">
        <v>0</v>
      </c>
      <c r="FY732">
        <v>0</v>
      </c>
      <c r="FZ732">
        <v>0</v>
      </c>
      <c r="GA732">
        <v>0</v>
      </c>
      <c r="GB732">
        <v>0</v>
      </c>
      <c r="GC732">
        <v>0</v>
      </c>
      <c r="GD732">
        <v>0</v>
      </c>
      <c r="GE732">
        <v>0</v>
      </c>
      <c r="GF732">
        <v>0</v>
      </c>
      <c r="GG732">
        <v>0</v>
      </c>
      <c r="GH732">
        <v>0</v>
      </c>
      <c r="GI732">
        <v>0</v>
      </c>
      <c r="GJ732">
        <v>0</v>
      </c>
      <c r="GK732">
        <v>0</v>
      </c>
      <c r="GL732">
        <v>0</v>
      </c>
      <c r="GO732">
        <v>0</v>
      </c>
      <c r="GP732">
        <v>0</v>
      </c>
      <c r="GQ732">
        <v>0</v>
      </c>
      <c r="GR732">
        <v>0</v>
      </c>
      <c r="GS732">
        <v>0</v>
      </c>
      <c r="GT732">
        <v>0</v>
      </c>
      <c r="GU732">
        <v>0</v>
      </c>
      <c r="GV732">
        <v>0</v>
      </c>
      <c r="GW732">
        <v>0</v>
      </c>
      <c r="GX732">
        <v>0</v>
      </c>
      <c r="GY732">
        <v>0</v>
      </c>
      <c r="GZ732">
        <v>0</v>
      </c>
      <c r="HA732">
        <v>0</v>
      </c>
      <c r="HB732">
        <v>0</v>
      </c>
      <c r="HC732">
        <v>0</v>
      </c>
      <c r="HD732">
        <v>0</v>
      </c>
      <c r="HE732">
        <v>0</v>
      </c>
      <c r="HF732">
        <v>0</v>
      </c>
      <c r="HG732">
        <v>0</v>
      </c>
      <c r="HH732">
        <v>0</v>
      </c>
      <c r="HI732">
        <v>0</v>
      </c>
      <c r="HJ732">
        <v>0</v>
      </c>
      <c r="HK732">
        <v>0</v>
      </c>
      <c r="HL732">
        <v>0</v>
      </c>
      <c r="HM732">
        <v>0</v>
      </c>
      <c r="HN732">
        <v>0</v>
      </c>
      <c r="HO732">
        <v>0</v>
      </c>
      <c r="HP732">
        <v>0</v>
      </c>
      <c r="HQ732">
        <v>0</v>
      </c>
      <c r="HR732">
        <v>0</v>
      </c>
      <c r="HS732">
        <v>0</v>
      </c>
      <c r="HT732">
        <v>0</v>
      </c>
      <c r="HU732">
        <v>0</v>
      </c>
      <c r="HV732">
        <v>0</v>
      </c>
      <c r="HW732">
        <v>404.70000000000005</v>
      </c>
      <c r="HX732">
        <v>342.3</v>
      </c>
      <c r="HZ732">
        <v>866.2</v>
      </c>
      <c r="IA732">
        <v>1142.8</v>
      </c>
      <c r="IB732">
        <v>1121.5</v>
      </c>
      <c r="IC732">
        <v>2403</v>
      </c>
      <c r="ID732">
        <v>2659.3</v>
      </c>
      <c r="IE732">
        <v>1923.4</v>
      </c>
      <c r="IF732">
        <v>1465.7</v>
      </c>
      <c r="IG732">
        <v>1608.3</v>
      </c>
      <c r="IH732">
        <v>0</v>
      </c>
      <c r="II732">
        <v>0</v>
      </c>
      <c r="IJ732">
        <v>0</v>
      </c>
      <c r="IK732">
        <v>0</v>
      </c>
      <c r="IL732">
        <v>0</v>
      </c>
      <c r="IM732">
        <v>0</v>
      </c>
      <c r="IN732">
        <v>0</v>
      </c>
      <c r="IO732">
        <v>0</v>
      </c>
      <c r="IP732">
        <v>75.099999999999994</v>
      </c>
    </row>
    <row r="733" spans="1:250" ht="18" thickBot="1">
      <c r="A733" s="556"/>
      <c r="B733" s="556"/>
      <c r="C733" s="496"/>
      <c r="D733" s="557"/>
      <c r="E733" s="454">
        <v>0</v>
      </c>
      <c r="F733">
        <v>0</v>
      </c>
      <c r="G733" s="427">
        <v>0</v>
      </c>
      <c r="H733" s="155">
        <v>0</v>
      </c>
      <c r="I733">
        <v>0</v>
      </c>
      <c r="J733">
        <v>0</v>
      </c>
      <c r="K733">
        <v>0</v>
      </c>
      <c r="L733" s="4">
        <v>0</v>
      </c>
      <c r="M733" s="4">
        <v>0</v>
      </c>
      <c r="N733" s="4">
        <v>0</v>
      </c>
      <c r="O733" s="4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R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G733">
        <v>0</v>
      </c>
      <c r="BI733">
        <v>0</v>
      </c>
      <c r="BK733">
        <v>0</v>
      </c>
      <c r="BL733">
        <v>0</v>
      </c>
      <c r="BM733">
        <v>0</v>
      </c>
      <c r="BN733">
        <v>0</v>
      </c>
      <c r="BO733">
        <v>344.70000000000005</v>
      </c>
      <c r="BP733">
        <v>625.70000000000005</v>
      </c>
      <c r="BQ733">
        <v>912.2</v>
      </c>
      <c r="BR733">
        <v>237.7</v>
      </c>
      <c r="BS733">
        <v>0</v>
      </c>
      <c r="BT733">
        <v>0</v>
      </c>
      <c r="BU733">
        <v>0</v>
      </c>
      <c r="BV733">
        <v>0</v>
      </c>
      <c r="BW733">
        <v>1647.4</v>
      </c>
      <c r="BY733">
        <v>453.1</v>
      </c>
      <c r="CA733">
        <v>285.39999999999998</v>
      </c>
      <c r="CB733">
        <v>280.8</v>
      </c>
      <c r="CC733">
        <v>127.7</v>
      </c>
      <c r="CD733">
        <v>0</v>
      </c>
      <c r="CE733">
        <v>0</v>
      </c>
      <c r="CF733">
        <v>0</v>
      </c>
      <c r="CG733">
        <v>0</v>
      </c>
      <c r="CI733">
        <v>0</v>
      </c>
      <c r="CJ733">
        <v>0</v>
      </c>
      <c r="CL733">
        <v>0</v>
      </c>
      <c r="CM733">
        <v>0</v>
      </c>
      <c r="CN733">
        <v>0</v>
      </c>
      <c r="CO733">
        <v>0</v>
      </c>
      <c r="CP733">
        <v>0</v>
      </c>
      <c r="CQ733">
        <v>621.70000000000005</v>
      </c>
      <c r="CR733">
        <v>481.70000000000005</v>
      </c>
      <c r="CS733">
        <v>0</v>
      </c>
      <c r="CT733">
        <v>524.6</v>
      </c>
      <c r="CU733">
        <v>514.1</v>
      </c>
      <c r="CV733">
        <v>175.2</v>
      </c>
      <c r="CW733">
        <v>0</v>
      </c>
      <c r="CX733">
        <v>65.099999999999994</v>
      </c>
      <c r="CY733">
        <v>199</v>
      </c>
      <c r="CZ733">
        <v>1907.9</v>
      </c>
      <c r="DA733">
        <v>0</v>
      </c>
      <c r="DB733">
        <v>0</v>
      </c>
      <c r="DC733">
        <v>0</v>
      </c>
      <c r="DD733">
        <v>0</v>
      </c>
      <c r="DE733">
        <v>0</v>
      </c>
      <c r="DF733">
        <v>0</v>
      </c>
      <c r="DG733">
        <v>0</v>
      </c>
      <c r="DH733">
        <v>0</v>
      </c>
      <c r="DI733">
        <v>0</v>
      </c>
      <c r="DJ733">
        <v>0</v>
      </c>
      <c r="DK733">
        <v>0</v>
      </c>
      <c r="DL733">
        <v>0</v>
      </c>
      <c r="DM733">
        <v>1065.4000000000001</v>
      </c>
      <c r="DN733">
        <v>599.70000000000005</v>
      </c>
      <c r="DO733">
        <v>319.7</v>
      </c>
      <c r="DP733">
        <v>1570.6999999999998</v>
      </c>
      <c r="DQ733">
        <v>1399.5</v>
      </c>
      <c r="DR733">
        <v>3581</v>
      </c>
      <c r="DU733">
        <v>1393.2</v>
      </c>
      <c r="DV733">
        <v>2862.6</v>
      </c>
      <c r="DY733">
        <v>2361</v>
      </c>
      <c r="EA733">
        <v>2409.6</v>
      </c>
      <c r="EC733">
        <v>1661.3999999999999</v>
      </c>
      <c r="EE733">
        <v>0</v>
      </c>
      <c r="EF733">
        <v>0</v>
      </c>
      <c r="EG733">
        <v>0</v>
      </c>
      <c r="EH733">
        <v>0</v>
      </c>
      <c r="EI733">
        <v>0</v>
      </c>
      <c r="EJ733">
        <v>0</v>
      </c>
      <c r="EK733">
        <v>0</v>
      </c>
      <c r="EL733">
        <v>0</v>
      </c>
      <c r="EM733">
        <v>0</v>
      </c>
      <c r="EN733">
        <v>0</v>
      </c>
      <c r="EO733">
        <v>0</v>
      </c>
      <c r="EP733">
        <v>944.5</v>
      </c>
      <c r="EQ733">
        <v>3459.7</v>
      </c>
      <c r="ER733">
        <v>1353.5</v>
      </c>
      <c r="ES733">
        <v>182.2</v>
      </c>
      <c r="ET733">
        <v>855.59999999999991</v>
      </c>
      <c r="EU733">
        <v>172.2</v>
      </c>
      <c r="EV733">
        <v>203.2</v>
      </c>
      <c r="EW733">
        <v>1173.0999999999999</v>
      </c>
      <c r="EX733">
        <v>1078.3</v>
      </c>
      <c r="EY733">
        <v>1194.4000000000001</v>
      </c>
      <c r="EZ733">
        <v>1207.0999999999999</v>
      </c>
      <c r="FA733">
        <v>0</v>
      </c>
      <c r="FB733">
        <v>0</v>
      </c>
      <c r="FC733">
        <v>0</v>
      </c>
      <c r="FD733">
        <v>0</v>
      </c>
      <c r="FE733">
        <v>0</v>
      </c>
      <c r="FF733">
        <v>0</v>
      </c>
      <c r="FG733">
        <v>0</v>
      </c>
      <c r="FH733">
        <v>0</v>
      </c>
      <c r="FI733">
        <v>0</v>
      </c>
      <c r="FJ733">
        <v>0</v>
      </c>
      <c r="FK733">
        <v>0</v>
      </c>
      <c r="FL733">
        <v>0</v>
      </c>
      <c r="FM733">
        <v>0</v>
      </c>
      <c r="FN733">
        <v>0</v>
      </c>
      <c r="FO733">
        <v>0</v>
      </c>
      <c r="FP733">
        <v>0</v>
      </c>
      <c r="FQ733">
        <v>0</v>
      </c>
      <c r="FR733">
        <v>0</v>
      </c>
      <c r="FS733">
        <v>0</v>
      </c>
      <c r="FT733">
        <v>0</v>
      </c>
      <c r="FU733">
        <v>0</v>
      </c>
      <c r="FV733">
        <v>0</v>
      </c>
      <c r="FW733">
        <v>0</v>
      </c>
      <c r="FX733">
        <v>0</v>
      </c>
      <c r="FY733">
        <v>0</v>
      </c>
      <c r="FZ733">
        <v>0</v>
      </c>
      <c r="GA733">
        <v>0</v>
      </c>
      <c r="GB733">
        <v>0</v>
      </c>
      <c r="GC733">
        <v>0</v>
      </c>
      <c r="GD733">
        <v>0</v>
      </c>
      <c r="GE733">
        <v>0</v>
      </c>
      <c r="GF733">
        <v>0</v>
      </c>
      <c r="GG733">
        <v>0</v>
      </c>
      <c r="GH733">
        <v>0</v>
      </c>
      <c r="GI733">
        <v>0</v>
      </c>
      <c r="GJ733">
        <v>0</v>
      </c>
      <c r="GK733">
        <v>0</v>
      </c>
      <c r="GL733">
        <v>0</v>
      </c>
      <c r="GO733">
        <v>0</v>
      </c>
      <c r="GP733">
        <v>0</v>
      </c>
      <c r="GQ733">
        <v>0</v>
      </c>
      <c r="GR733">
        <v>0</v>
      </c>
      <c r="GS733">
        <v>0</v>
      </c>
      <c r="GT733">
        <v>0</v>
      </c>
      <c r="GU733">
        <v>0</v>
      </c>
      <c r="GV733">
        <v>0</v>
      </c>
      <c r="GW733">
        <v>0</v>
      </c>
      <c r="GX733">
        <v>0</v>
      </c>
      <c r="GY733">
        <v>0</v>
      </c>
      <c r="GZ733">
        <v>0</v>
      </c>
      <c r="HA733">
        <v>0</v>
      </c>
      <c r="HB733">
        <v>0</v>
      </c>
      <c r="HC733">
        <v>0</v>
      </c>
      <c r="HD733">
        <v>0</v>
      </c>
      <c r="HE733">
        <v>0</v>
      </c>
      <c r="HF733">
        <v>0</v>
      </c>
      <c r="HG733">
        <v>0</v>
      </c>
      <c r="HH733">
        <v>0</v>
      </c>
      <c r="HI733">
        <v>0</v>
      </c>
      <c r="HJ733">
        <v>0</v>
      </c>
      <c r="HK733">
        <v>0</v>
      </c>
      <c r="HL733">
        <v>0</v>
      </c>
      <c r="HM733">
        <v>0</v>
      </c>
      <c r="HN733">
        <v>0</v>
      </c>
      <c r="HO733">
        <v>0</v>
      </c>
      <c r="HP733">
        <v>0</v>
      </c>
      <c r="HQ733">
        <v>0</v>
      </c>
      <c r="HR733">
        <v>0</v>
      </c>
      <c r="HS733">
        <v>0</v>
      </c>
      <c r="HT733">
        <v>0</v>
      </c>
      <c r="HU733">
        <v>0</v>
      </c>
      <c r="HV733">
        <v>0</v>
      </c>
      <c r="HW733">
        <v>404.70000000000005</v>
      </c>
      <c r="HX733">
        <v>342.3</v>
      </c>
      <c r="HZ733">
        <v>866.2</v>
      </c>
      <c r="IA733">
        <v>1142.8</v>
      </c>
      <c r="IB733">
        <v>1121.5</v>
      </c>
      <c r="IC733">
        <v>2403</v>
      </c>
      <c r="ID733">
        <v>2659.3</v>
      </c>
      <c r="IE733">
        <v>1923.4</v>
      </c>
      <c r="IF733">
        <v>1465.7</v>
      </c>
      <c r="IG733">
        <v>1608.3</v>
      </c>
      <c r="IH733">
        <v>0</v>
      </c>
      <c r="II733">
        <v>0</v>
      </c>
      <c r="IJ733">
        <v>0</v>
      </c>
      <c r="IK733">
        <v>0</v>
      </c>
      <c r="IL733">
        <v>0</v>
      </c>
      <c r="IM733">
        <v>0</v>
      </c>
      <c r="IN733">
        <v>0</v>
      </c>
      <c r="IO733">
        <v>0</v>
      </c>
      <c r="IP733">
        <v>75.099999999999994</v>
      </c>
    </row>
    <row r="734" spans="1:250" ht="18" thickBot="1">
      <c r="A734" s="570"/>
      <c r="B734" s="570" t="s">
        <v>1000</v>
      </c>
      <c r="C734" s="496" t="s">
        <v>1158</v>
      </c>
      <c r="D734" s="557"/>
      <c r="E734" s="454">
        <v>0</v>
      </c>
      <c r="F734">
        <v>0</v>
      </c>
      <c r="G734" s="427">
        <v>0</v>
      </c>
      <c r="H734" s="155">
        <v>0</v>
      </c>
      <c r="I734">
        <v>0</v>
      </c>
      <c r="J734">
        <v>0</v>
      </c>
      <c r="K734">
        <v>0</v>
      </c>
      <c r="L734" s="4">
        <v>0</v>
      </c>
      <c r="M734" s="4">
        <v>0</v>
      </c>
      <c r="N734" s="4">
        <v>0</v>
      </c>
      <c r="O734" s="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R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G734">
        <v>0</v>
      </c>
      <c r="BI734">
        <v>0</v>
      </c>
      <c r="BK734">
        <v>0</v>
      </c>
      <c r="BL734">
        <v>0</v>
      </c>
      <c r="BM734">
        <v>0</v>
      </c>
      <c r="BN734">
        <v>0</v>
      </c>
      <c r="BO734">
        <v>344.70000000000005</v>
      </c>
      <c r="BP734">
        <v>625.70000000000005</v>
      </c>
      <c r="BQ734">
        <v>912.2</v>
      </c>
      <c r="BR734">
        <v>237.7</v>
      </c>
      <c r="BS734">
        <v>0</v>
      </c>
      <c r="BT734">
        <v>0</v>
      </c>
      <c r="BU734">
        <v>0</v>
      </c>
      <c r="BV734">
        <v>0</v>
      </c>
      <c r="BW734">
        <v>1647.4</v>
      </c>
      <c r="BY734">
        <v>453.1</v>
      </c>
      <c r="CA734">
        <v>285.39999999999998</v>
      </c>
      <c r="CB734">
        <v>280.8</v>
      </c>
      <c r="CC734">
        <v>127.7</v>
      </c>
      <c r="CD734">
        <v>0</v>
      </c>
      <c r="CE734">
        <v>0</v>
      </c>
      <c r="CF734">
        <v>0</v>
      </c>
      <c r="CG734">
        <v>0</v>
      </c>
      <c r="CI734">
        <v>0</v>
      </c>
      <c r="CJ734">
        <v>0</v>
      </c>
      <c r="CL734">
        <v>0</v>
      </c>
      <c r="CM734">
        <v>0</v>
      </c>
      <c r="CN734">
        <v>0</v>
      </c>
      <c r="CO734">
        <v>0</v>
      </c>
      <c r="CP734">
        <v>0</v>
      </c>
      <c r="CQ734">
        <v>621.70000000000005</v>
      </c>
      <c r="CR734">
        <v>481.70000000000005</v>
      </c>
      <c r="CS734">
        <v>0</v>
      </c>
      <c r="CT734">
        <v>524.6</v>
      </c>
      <c r="CU734">
        <v>514.1</v>
      </c>
      <c r="CV734">
        <v>175.2</v>
      </c>
      <c r="CW734">
        <v>0</v>
      </c>
      <c r="CX734">
        <v>65.099999999999994</v>
      </c>
      <c r="CY734">
        <v>199</v>
      </c>
      <c r="CZ734">
        <v>1907.9</v>
      </c>
      <c r="DA734">
        <v>0</v>
      </c>
      <c r="DB734">
        <v>0</v>
      </c>
      <c r="DC734">
        <v>0</v>
      </c>
      <c r="DD734">
        <v>0</v>
      </c>
      <c r="DE734">
        <v>0</v>
      </c>
      <c r="DF734">
        <v>0</v>
      </c>
      <c r="DG734">
        <v>0</v>
      </c>
      <c r="DH734">
        <v>0</v>
      </c>
      <c r="DI734">
        <v>0</v>
      </c>
      <c r="DJ734">
        <v>0</v>
      </c>
      <c r="DK734">
        <v>0</v>
      </c>
      <c r="DL734">
        <v>0</v>
      </c>
      <c r="DM734">
        <v>1065.4000000000001</v>
      </c>
      <c r="DN734">
        <v>599.70000000000005</v>
      </c>
      <c r="DO734">
        <v>319.7</v>
      </c>
      <c r="DP734">
        <v>1570.6999999999998</v>
      </c>
      <c r="DQ734">
        <v>1399.5</v>
      </c>
      <c r="DR734">
        <v>3581</v>
      </c>
      <c r="DU734">
        <v>1393.2</v>
      </c>
      <c r="DV734">
        <v>2862.6</v>
      </c>
      <c r="DY734">
        <v>2361</v>
      </c>
      <c r="EA734">
        <v>2409.6</v>
      </c>
      <c r="EC734">
        <v>1661.3999999999999</v>
      </c>
      <c r="EE734">
        <v>0</v>
      </c>
      <c r="EF734">
        <v>0</v>
      </c>
      <c r="EG734">
        <v>0</v>
      </c>
      <c r="EH734">
        <v>0</v>
      </c>
      <c r="EI734">
        <v>0</v>
      </c>
      <c r="EJ734">
        <v>0</v>
      </c>
      <c r="EK734">
        <v>0</v>
      </c>
      <c r="EL734">
        <v>0</v>
      </c>
      <c r="EM734">
        <v>0</v>
      </c>
      <c r="EN734">
        <v>0</v>
      </c>
      <c r="EO734">
        <v>0</v>
      </c>
      <c r="EP734">
        <v>944.5</v>
      </c>
      <c r="EQ734">
        <v>3459.7</v>
      </c>
      <c r="ER734">
        <v>1353.5</v>
      </c>
      <c r="ES734">
        <v>182.2</v>
      </c>
      <c r="ET734">
        <v>855.59999999999991</v>
      </c>
      <c r="EU734">
        <v>172.2</v>
      </c>
      <c r="EV734">
        <v>203.2</v>
      </c>
      <c r="EW734">
        <v>1173.0999999999999</v>
      </c>
      <c r="EX734">
        <v>1078.3</v>
      </c>
      <c r="EY734">
        <v>1194.4000000000001</v>
      </c>
      <c r="EZ734">
        <v>1207.0999999999999</v>
      </c>
      <c r="FA734">
        <v>0</v>
      </c>
      <c r="FB734">
        <v>0</v>
      </c>
      <c r="FC734">
        <v>0</v>
      </c>
      <c r="FD734">
        <v>0</v>
      </c>
      <c r="FE734">
        <v>0</v>
      </c>
      <c r="FF734">
        <v>0</v>
      </c>
      <c r="FG734">
        <v>0</v>
      </c>
      <c r="FH734">
        <v>0</v>
      </c>
      <c r="FI734">
        <v>0</v>
      </c>
      <c r="FJ734">
        <v>0</v>
      </c>
      <c r="FK734">
        <v>0</v>
      </c>
      <c r="FL734">
        <v>0</v>
      </c>
      <c r="FM734">
        <v>0</v>
      </c>
      <c r="FN734">
        <v>0</v>
      </c>
      <c r="FO734">
        <v>0</v>
      </c>
      <c r="FP734">
        <v>0</v>
      </c>
      <c r="FQ734">
        <v>0</v>
      </c>
      <c r="FR734">
        <v>0</v>
      </c>
      <c r="FS734">
        <v>0</v>
      </c>
      <c r="FT734">
        <v>0</v>
      </c>
      <c r="FU734">
        <v>0</v>
      </c>
      <c r="FV734">
        <v>0</v>
      </c>
      <c r="FW734">
        <v>0</v>
      </c>
      <c r="FX734">
        <v>0</v>
      </c>
      <c r="FY734">
        <v>0</v>
      </c>
      <c r="FZ734">
        <v>0</v>
      </c>
      <c r="GA734">
        <v>0</v>
      </c>
      <c r="GB734">
        <v>0</v>
      </c>
      <c r="GC734">
        <v>0</v>
      </c>
      <c r="GD734">
        <v>0</v>
      </c>
      <c r="GE734">
        <v>0</v>
      </c>
      <c r="GF734">
        <v>0</v>
      </c>
      <c r="GG734">
        <v>0</v>
      </c>
      <c r="GH734">
        <v>0</v>
      </c>
      <c r="GI734">
        <v>0</v>
      </c>
      <c r="GJ734">
        <v>0</v>
      </c>
      <c r="GK734">
        <v>0</v>
      </c>
      <c r="GL734">
        <v>0</v>
      </c>
      <c r="GO734">
        <v>0</v>
      </c>
      <c r="GP734">
        <v>0</v>
      </c>
      <c r="GQ734">
        <v>0</v>
      </c>
      <c r="GR734">
        <v>0</v>
      </c>
      <c r="GS734">
        <v>0</v>
      </c>
      <c r="GT734">
        <v>0</v>
      </c>
      <c r="GU734">
        <v>0</v>
      </c>
      <c r="GV734">
        <v>0</v>
      </c>
      <c r="GW734">
        <v>0</v>
      </c>
      <c r="GX734">
        <v>0</v>
      </c>
      <c r="GY734">
        <v>0</v>
      </c>
      <c r="GZ734">
        <v>0</v>
      </c>
      <c r="HA734">
        <v>0</v>
      </c>
      <c r="HB734">
        <v>0</v>
      </c>
      <c r="HC734">
        <v>0</v>
      </c>
      <c r="HD734">
        <v>0</v>
      </c>
      <c r="HE734">
        <v>0</v>
      </c>
      <c r="HF734">
        <v>0</v>
      </c>
      <c r="HG734">
        <v>0</v>
      </c>
      <c r="HH734">
        <v>0</v>
      </c>
      <c r="HI734">
        <v>0</v>
      </c>
      <c r="HJ734">
        <v>0</v>
      </c>
      <c r="HK734">
        <v>0</v>
      </c>
      <c r="HL734">
        <v>0</v>
      </c>
      <c r="HM734">
        <v>0</v>
      </c>
      <c r="HN734">
        <v>0</v>
      </c>
      <c r="HO734">
        <v>0</v>
      </c>
      <c r="HP734">
        <v>0</v>
      </c>
      <c r="HQ734">
        <v>0</v>
      </c>
      <c r="HR734">
        <v>0</v>
      </c>
      <c r="HS734">
        <v>0</v>
      </c>
      <c r="HT734">
        <v>0</v>
      </c>
      <c r="HU734">
        <v>0</v>
      </c>
      <c r="HV734">
        <v>0</v>
      </c>
      <c r="HW734">
        <v>404.70000000000005</v>
      </c>
      <c r="HX734">
        <v>342.3</v>
      </c>
      <c r="HZ734">
        <v>866.2</v>
      </c>
      <c r="IA734">
        <v>1142.8</v>
      </c>
      <c r="IB734">
        <v>1121.5</v>
      </c>
      <c r="IC734">
        <v>2403</v>
      </c>
      <c r="ID734">
        <v>2659.3</v>
      </c>
      <c r="IE734">
        <v>1923.4</v>
      </c>
      <c r="IF734">
        <v>1465.7</v>
      </c>
      <c r="IG734">
        <v>1608.3</v>
      </c>
      <c r="IH734">
        <v>0</v>
      </c>
      <c r="II734">
        <v>0</v>
      </c>
      <c r="IJ734">
        <v>0</v>
      </c>
      <c r="IK734">
        <v>0</v>
      </c>
      <c r="IL734">
        <v>0</v>
      </c>
      <c r="IM734">
        <v>0</v>
      </c>
      <c r="IN734">
        <v>0</v>
      </c>
      <c r="IO734">
        <v>0</v>
      </c>
      <c r="IP734">
        <v>75.099999999999994</v>
      </c>
    </row>
    <row r="735" spans="1:250" ht="18" thickBot="1">
      <c r="A735" s="570"/>
      <c r="B735" s="570"/>
      <c r="C735" s="496"/>
      <c r="D735" s="557"/>
      <c r="E735" s="454">
        <v>0</v>
      </c>
      <c r="F735">
        <v>0</v>
      </c>
      <c r="G735" s="427">
        <v>0</v>
      </c>
      <c r="H735" s="155">
        <v>0</v>
      </c>
      <c r="I735">
        <v>0</v>
      </c>
      <c r="J735">
        <v>0</v>
      </c>
      <c r="K735">
        <v>0</v>
      </c>
      <c r="L735" s="4">
        <v>0</v>
      </c>
      <c r="M735" s="4">
        <v>0</v>
      </c>
      <c r="N735" s="4">
        <v>0</v>
      </c>
      <c r="O735" s="4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R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G735">
        <v>0</v>
      </c>
      <c r="BI735">
        <v>0</v>
      </c>
      <c r="BK735">
        <v>0</v>
      </c>
      <c r="BL735">
        <v>0</v>
      </c>
      <c r="BM735">
        <v>0</v>
      </c>
      <c r="BN735">
        <v>0</v>
      </c>
      <c r="BO735">
        <v>344.70000000000005</v>
      </c>
      <c r="BP735">
        <v>625.70000000000005</v>
      </c>
      <c r="BQ735">
        <v>912.2</v>
      </c>
      <c r="BR735">
        <v>237.7</v>
      </c>
      <c r="BS735">
        <v>0</v>
      </c>
      <c r="BT735">
        <v>0</v>
      </c>
      <c r="BU735">
        <v>0</v>
      </c>
      <c r="BV735">
        <v>0</v>
      </c>
      <c r="BW735">
        <v>1647.4</v>
      </c>
      <c r="BY735">
        <v>453.1</v>
      </c>
      <c r="CA735">
        <v>285.39999999999998</v>
      </c>
      <c r="CB735">
        <v>280.8</v>
      </c>
      <c r="CC735">
        <v>127.7</v>
      </c>
      <c r="CD735">
        <v>0</v>
      </c>
      <c r="CE735">
        <v>0</v>
      </c>
      <c r="CF735">
        <v>0</v>
      </c>
      <c r="CG735">
        <v>0</v>
      </c>
      <c r="CI735">
        <v>0</v>
      </c>
      <c r="CJ735">
        <v>0</v>
      </c>
      <c r="CL735">
        <v>0</v>
      </c>
      <c r="CM735">
        <v>0</v>
      </c>
      <c r="CN735">
        <v>0</v>
      </c>
      <c r="CO735">
        <v>0</v>
      </c>
      <c r="CP735">
        <v>0</v>
      </c>
      <c r="CQ735">
        <v>621.70000000000005</v>
      </c>
      <c r="CR735">
        <v>481.70000000000005</v>
      </c>
      <c r="CS735">
        <v>0</v>
      </c>
      <c r="CT735">
        <v>524.6</v>
      </c>
      <c r="CU735">
        <v>514.1</v>
      </c>
      <c r="CV735">
        <v>175.2</v>
      </c>
      <c r="CW735">
        <v>0</v>
      </c>
      <c r="CX735">
        <v>65.099999999999994</v>
      </c>
      <c r="CY735">
        <v>199</v>
      </c>
      <c r="CZ735">
        <v>1907.9</v>
      </c>
      <c r="DA735">
        <v>0</v>
      </c>
      <c r="DB735">
        <v>0</v>
      </c>
      <c r="DC735">
        <v>0</v>
      </c>
      <c r="DD735">
        <v>0</v>
      </c>
      <c r="DE735">
        <v>0</v>
      </c>
      <c r="DF735">
        <v>0</v>
      </c>
      <c r="DG735">
        <v>0</v>
      </c>
      <c r="DH735">
        <v>0</v>
      </c>
      <c r="DI735">
        <v>0</v>
      </c>
      <c r="DJ735">
        <v>0</v>
      </c>
      <c r="DK735">
        <v>0</v>
      </c>
      <c r="DL735">
        <v>0</v>
      </c>
      <c r="DM735">
        <v>1065.4000000000001</v>
      </c>
      <c r="DN735">
        <v>599.70000000000005</v>
      </c>
      <c r="DO735">
        <v>319.7</v>
      </c>
      <c r="DP735">
        <v>1570.6999999999998</v>
      </c>
      <c r="DQ735">
        <v>1399.5</v>
      </c>
      <c r="DR735">
        <v>3581</v>
      </c>
      <c r="DU735">
        <v>1393.2</v>
      </c>
      <c r="DV735">
        <v>2862.6</v>
      </c>
      <c r="DY735">
        <v>2361</v>
      </c>
      <c r="EA735">
        <v>2409.6</v>
      </c>
      <c r="EC735">
        <v>1661.3999999999999</v>
      </c>
      <c r="EE735">
        <v>0</v>
      </c>
      <c r="EF735">
        <v>0</v>
      </c>
      <c r="EG735">
        <v>0</v>
      </c>
      <c r="EH735">
        <v>0</v>
      </c>
      <c r="EI735">
        <v>0</v>
      </c>
      <c r="EJ735">
        <v>0</v>
      </c>
      <c r="EK735">
        <v>0</v>
      </c>
      <c r="EL735">
        <v>0</v>
      </c>
      <c r="EM735">
        <v>0</v>
      </c>
      <c r="EN735">
        <v>0</v>
      </c>
      <c r="EO735">
        <v>0</v>
      </c>
      <c r="EP735">
        <v>944.5</v>
      </c>
      <c r="EQ735">
        <v>3459.7</v>
      </c>
      <c r="ER735">
        <v>1353.5</v>
      </c>
      <c r="ES735">
        <v>182.2</v>
      </c>
      <c r="ET735">
        <v>855.59999999999991</v>
      </c>
      <c r="EU735">
        <v>172.2</v>
      </c>
      <c r="EV735">
        <v>203.2</v>
      </c>
      <c r="EW735">
        <v>1173.0999999999999</v>
      </c>
      <c r="EX735">
        <v>1078.3</v>
      </c>
      <c r="EY735">
        <v>1194.4000000000001</v>
      </c>
      <c r="EZ735">
        <v>1207.0999999999999</v>
      </c>
      <c r="FA735">
        <v>0</v>
      </c>
      <c r="FB735">
        <v>0</v>
      </c>
      <c r="FC735">
        <v>0</v>
      </c>
      <c r="FD735">
        <v>0</v>
      </c>
      <c r="FE735">
        <v>0</v>
      </c>
      <c r="FF735">
        <v>0</v>
      </c>
      <c r="FG735">
        <v>0</v>
      </c>
      <c r="FH735">
        <v>0</v>
      </c>
      <c r="FI735">
        <v>0</v>
      </c>
      <c r="FJ735">
        <v>0</v>
      </c>
      <c r="FK735">
        <v>0</v>
      </c>
      <c r="FL735">
        <v>0</v>
      </c>
      <c r="FM735">
        <v>0</v>
      </c>
      <c r="FN735">
        <v>0</v>
      </c>
      <c r="FO735">
        <v>0</v>
      </c>
      <c r="FP735">
        <v>0</v>
      </c>
      <c r="FQ735">
        <v>0</v>
      </c>
      <c r="FR735">
        <v>0</v>
      </c>
      <c r="FS735">
        <v>0</v>
      </c>
      <c r="FT735">
        <v>0</v>
      </c>
      <c r="FU735">
        <v>0</v>
      </c>
      <c r="FV735">
        <v>0</v>
      </c>
      <c r="FW735">
        <v>0</v>
      </c>
      <c r="FX735">
        <v>0</v>
      </c>
      <c r="FY735">
        <v>0</v>
      </c>
      <c r="FZ735">
        <v>0</v>
      </c>
      <c r="GA735">
        <v>0</v>
      </c>
      <c r="GB735">
        <v>0</v>
      </c>
      <c r="GC735">
        <v>0</v>
      </c>
      <c r="GD735">
        <v>0</v>
      </c>
      <c r="GE735">
        <v>0</v>
      </c>
      <c r="GF735">
        <v>0</v>
      </c>
      <c r="GG735">
        <v>0</v>
      </c>
      <c r="GH735">
        <v>0</v>
      </c>
      <c r="GI735">
        <v>0</v>
      </c>
      <c r="GJ735">
        <v>0</v>
      </c>
      <c r="GK735">
        <v>0</v>
      </c>
      <c r="GL735">
        <v>0</v>
      </c>
      <c r="GO735">
        <v>0</v>
      </c>
      <c r="GP735">
        <v>0</v>
      </c>
      <c r="GQ735">
        <v>0</v>
      </c>
      <c r="GR735">
        <v>0</v>
      </c>
      <c r="GS735">
        <v>0</v>
      </c>
      <c r="GT735">
        <v>0</v>
      </c>
      <c r="GU735">
        <v>0</v>
      </c>
      <c r="GV735">
        <v>0</v>
      </c>
      <c r="GW735">
        <v>0</v>
      </c>
      <c r="GX735">
        <v>0</v>
      </c>
      <c r="GY735">
        <v>0</v>
      </c>
      <c r="GZ735">
        <v>0</v>
      </c>
      <c r="HA735">
        <v>0</v>
      </c>
      <c r="HB735">
        <v>0</v>
      </c>
      <c r="HC735">
        <v>0</v>
      </c>
      <c r="HD735">
        <v>0</v>
      </c>
      <c r="HE735">
        <v>0</v>
      </c>
      <c r="HF735">
        <v>0</v>
      </c>
      <c r="HG735">
        <v>0</v>
      </c>
      <c r="HH735">
        <v>0</v>
      </c>
      <c r="HI735">
        <v>0</v>
      </c>
      <c r="HJ735">
        <v>0</v>
      </c>
      <c r="HK735">
        <v>0</v>
      </c>
      <c r="HL735">
        <v>0</v>
      </c>
      <c r="HM735">
        <v>0</v>
      </c>
      <c r="HN735">
        <v>0</v>
      </c>
      <c r="HO735">
        <v>0</v>
      </c>
      <c r="HP735">
        <v>0</v>
      </c>
      <c r="HQ735">
        <v>0</v>
      </c>
      <c r="HR735">
        <v>0</v>
      </c>
      <c r="HS735">
        <v>0</v>
      </c>
      <c r="HT735">
        <v>0</v>
      </c>
      <c r="HU735">
        <v>0</v>
      </c>
      <c r="HV735">
        <v>0</v>
      </c>
      <c r="HW735">
        <v>404.70000000000005</v>
      </c>
      <c r="HX735">
        <v>342.3</v>
      </c>
      <c r="HZ735">
        <v>866.2</v>
      </c>
      <c r="IA735">
        <v>1142.8</v>
      </c>
      <c r="IB735">
        <v>1121.5</v>
      </c>
      <c r="IC735">
        <v>2403</v>
      </c>
      <c r="ID735">
        <v>2659.3</v>
      </c>
      <c r="IE735">
        <v>1923.4</v>
      </c>
      <c r="IF735">
        <v>1465.7</v>
      </c>
      <c r="IG735">
        <v>1608.3</v>
      </c>
      <c r="IH735">
        <v>0</v>
      </c>
      <c r="II735">
        <v>0</v>
      </c>
      <c r="IJ735">
        <v>0</v>
      </c>
      <c r="IK735">
        <v>0</v>
      </c>
      <c r="IL735">
        <v>0</v>
      </c>
      <c r="IM735">
        <v>0</v>
      </c>
      <c r="IN735">
        <v>0</v>
      </c>
      <c r="IO735">
        <v>0</v>
      </c>
      <c r="IP735">
        <v>75.099999999999994</v>
      </c>
    </row>
    <row r="736" spans="1:250" ht="18" thickBot="1">
      <c r="A736" s="570"/>
      <c r="B736" s="570"/>
      <c r="C736" s="496"/>
      <c r="D736" s="557"/>
      <c r="E736" s="454">
        <v>0</v>
      </c>
      <c r="F736">
        <v>0</v>
      </c>
      <c r="G736" s="427">
        <v>0</v>
      </c>
      <c r="H736" s="155">
        <v>0</v>
      </c>
      <c r="I736">
        <v>0</v>
      </c>
      <c r="J736">
        <v>0</v>
      </c>
      <c r="K736">
        <v>0</v>
      </c>
      <c r="L736" s="4">
        <v>0</v>
      </c>
      <c r="M736" s="4">
        <v>0</v>
      </c>
      <c r="N736" s="4">
        <v>0</v>
      </c>
      <c r="O736" s="4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R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G736">
        <v>0</v>
      </c>
      <c r="BI736">
        <v>0</v>
      </c>
      <c r="BK736">
        <v>0</v>
      </c>
      <c r="BL736">
        <v>0</v>
      </c>
      <c r="BM736">
        <v>0</v>
      </c>
      <c r="BN736">
        <v>0</v>
      </c>
      <c r="BO736">
        <v>344.70000000000005</v>
      </c>
      <c r="BP736">
        <v>625.70000000000005</v>
      </c>
      <c r="BQ736">
        <v>912.2</v>
      </c>
      <c r="BR736">
        <v>237.7</v>
      </c>
      <c r="BS736">
        <v>0</v>
      </c>
      <c r="BT736">
        <v>0</v>
      </c>
      <c r="BU736">
        <v>0</v>
      </c>
      <c r="BV736">
        <v>0</v>
      </c>
      <c r="BW736">
        <v>1647.4</v>
      </c>
      <c r="BY736">
        <v>453.1</v>
      </c>
      <c r="CA736">
        <v>285.39999999999998</v>
      </c>
      <c r="CB736">
        <v>280.8</v>
      </c>
      <c r="CC736">
        <v>127.7</v>
      </c>
      <c r="CD736">
        <v>0</v>
      </c>
      <c r="CE736">
        <v>0</v>
      </c>
      <c r="CF736">
        <v>0</v>
      </c>
      <c r="CG736">
        <v>0</v>
      </c>
      <c r="CI736">
        <v>0</v>
      </c>
      <c r="CJ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621.70000000000005</v>
      </c>
      <c r="CR736">
        <v>481.70000000000005</v>
      </c>
      <c r="CS736">
        <v>0</v>
      </c>
      <c r="CT736">
        <v>524.6</v>
      </c>
      <c r="CU736">
        <v>514.1</v>
      </c>
      <c r="CV736">
        <v>175.2</v>
      </c>
      <c r="CW736">
        <v>0</v>
      </c>
      <c r="CX736">
        <v>65.099999999999994</v>
      </c>
      <c r="CY736">
        <v>199</v>
      </c>
      <c r="CZ736">
        <v>1907.9</v>
      </c>
      <c r="DA736">
        <v>0</v>
      </c>
      <c r="DB736">
        <v>0</v>
      </c>
      <c r="DC736">
        <v>0</v>
      </c>
      <c r="DD736">
        <v>0</v>
      </c>
      <c r="DE736">
        <v>0</v>
      </c>
      <c r="DF736">
        <v>0</v>
      </c>
      <c r="DG736">
        <v>0</v>
      </c>
      <c r="DH736">
        <v>0</v>
      </c>
      <c r="DI736">
        <v>0</v>
      </c>
      <c r="DJ736">
        <v>0</v>
      </c>
      <c r="DK736">
        <v>0</v>
      </c>
      <c r="DL736">
        <v>0</v>
      </c>
      <c r="DM736">
        <v>1065.4000000000001</v>
      </c>
      <c r="DN736">
        <v>599.70000000000005</v>
      </c>
      <c r="DO736">
        <v>319.7</v>
      </c>
      <c r="DP736">
        <v>1570.6999999999998</v>
      </c>
      <c r="DQ736">
        <v>1399.5</v>
      </c>
      <c r="DR736">
        <v>3581</v>
      </c>
      <c r="DU736">
        <v>1393.2</v>
      </c>
      <c r="DV736">
        <v>2862.6</v>
      </c>
      <c r="DY736">
        <v>2361</v>
      </c>
      <c r="EA736">
        <v>2409.6</v>
      </c>
      <c r="EC736">
        <v>1661.3999999999999</v>
      </c>
      <c r="EE736">
        <v>0</v>
      </c>
      <c r="EF736">
        <v>0</v>
      </c>
      <c r="EG736">
        <v>0</v>
      </c>
      <c r="EH736">
        <v>0</v>
      </c>
      <c r="EI736">
        <v>0</v>
      </c>
      <c r="EJ736">
        <v>0</v>
      </c>
      <c r="EK736">
        <v>0</v>
      </c>
      <c r="EL736">
        <v>0</v>
      </c>
      <c r="EM736">
        <v>0</v>
      </c>
      <c r="EN736">
        <v>0</v>
      </c>
      <c r="EO736">
        <v>0</v>
      </c>
      <c r="EP736">
        <v>944.5</v>
      </c>
      <c r="EQ736">
        <v>3459.7</v>
      </c>
      <c r="ER736">
        <v>1353.5</v>
      </c>
      <c r="ES736">
        <v>182.2</v>
      </c>
      <c r="ET736">
        <v>855.59999999999991</v>
      </c>
      <c r="EU736">
        <v>172.2</v>
      </c>
      <c r="EV736">
        <v>203.2</v>
      </c>
      <c r="EW736">
        <v>1173.0999999999999</v>
      </c>
      <c r="EX736">
        <v>1078.3</v>
      </c>
      <c r="EY736">
        <v>1194.4000000000001</v>
      </c>
      <c r="EZ736">
        <v>1207.0999999999999</v>
      </c>
      <c r="FA736">
        <v>0</v>
      </c>
      <c r="FB736">
        <v>0</v>
      </c>
      <c r="FC736">
        <v>0</v>
      </c>
      <c r="FD736">
        <v>0</v>
      </c>
      <c r="FE736">
        <v>0</v>
      </c>
      <c r="FF736">
        <v>0</v>
      </c>
      <c r="FG736">
        <v>0</v>
      </c>
      <c r="FH736">
        <v>0</v>
      </c>
      <c r="FI736">
        <v>0</v>
      </c>
      <c r="FJ736">
        <v>0</v>
      </c>
      <c r="FK736">
        <v>0</v>
      </c>
      <c r="FL736">
        <v>0</v>
      </c>
      <c r="FM736">
        <v>0</v>
      </c>
      <c r="FN736">
        <v>0</v>
      </c>
      <c r="FO736">
        <v>0</v>
      </c>
      <c r="FP736">
        <v>0</v>
      </c>
      <c r="FQ736">
        <v>0</v>
      </c>
      <c r="FR736">
        <v>0</v>
      </c>
      <c r="FS736">
        <v>0</v>
      </c>
      <c r="FT736">
        <v>0</v>
      </c>
      <c r="FU736">
        <v>0</v>
      </c>
      <c r="FV736">
        <v>0</v>
      </c>
      <c r="FW736">
        <v>0</v>
      </c>
      <c r="FX736">
        <v>0</v>
      </c>
      <c r="FY736">
        <v>0</v>
      </c>
      <c r="FZ736">
        <v>0</v>
      </c>
      <c r="GA736">
        <v>0</v>
      </c>
      <c r="GB736">
        <v>0</v>
      </c>
      <c r="GC736">
        <v>0</v>
      </c>
      <c r="GD736">
        <v>0</v>
      </c>
      <c r="GE736">
        <v>0</v>
      </c>
      <c r="GF736">
        <v>0</v>
      </c>
      <c r="GG736">
        <v>0</v>
      </c>
      <c r="GH736">
        <v>0</v>
      </c>
      <c r="GI736">
        <v>0</v>
      </c>
      <c r="GJ736">
        <v>0</v>
      </c>
      <c r="GK736">
        <v>0</v>
      </c>
      <c r="GL736">
        <v>0</v>
      </c>
      <c r="GO736">
        <v>0</v>
      </c>
      <c r="GP736">
        <v>0</v>
      </c>
      <c r="GQ736">
        <v>0</v>
      </c>
      <c r="GR736">
        <v>0</v>
      </c>
      <c r="GS736">
        <v>0</v>
      </c>
      <c r="GT736">
        <v>0</v>
      </c>
      <c r="GU736">
        <v>0</v>
      </c>
      <c r="GV736">
        <v>0</v>
      </c>
      <c r="GW736">
        <v>0</v>
      </c>
      <c r="GX736">
        <v>0</v>
      </c>
      <c r="GY736">
        <v>0</v>
      </c>
      <c r="GZ736">
        <v>0</v>
      </c>
      <c r="HA736">
        <v>0</v>
      </c>
      <c r="HB736">
        <v>0</v>
      </c>
      <c r="HC736">
        <v>0</v>
      </c>
      <c r="HD736">
        <v>0</v>
      </c>
      <c r="HE736">
        <v>0</v>
      </c>
      <c r="HF736">
        <v>0</v>
      </c>
      <c r="HG736">
        <v>0</v>
      </c>
      <c r="HH736">
        <v>0</v>
      </c>
      <c r="HI736">
        <v>0</v>
      </c>
      <c r="HJ736">
        <v>0</v>
      </c>
      <c r="HK736">
        <v>0</v>
      </c>
      <c r="HL736">
        <v>0</v>
      </c>
      <c r="HM736">
        <v>0</v>
      </c>
      <c r="HN736">
        <v>0</v>
      </c>
      <c r="HO736">
        <v>0</v>
      </c>
      <c r="HP736">
        <v>0</v>
      </c>
      <c r="HQ736">
        <v>0</v>
      </c>
      <c r="HR736">
        <v>0</v>
      </c>
      <c r="HS736">
        <v>0</v>
      </c>
      <c r="HT736">
        <v>0</v>
      </c>
      <c r="HU736">
        <v>0</v>
      </c>
      <c r="HV736">
        <v>0</v>
      </c>
      <c r="HW736">
        <v>404.70000000000005</v>
      </c>
      <c r="HX736">
        <v>342.3</v>
      </c>
      <c r="HZ736">
        <v>866.2</v>
      </c>
      <c r="IA736">
        <v>1142.8</v>
      </c>
      <c r="IB736">
        <v>1121.5</v>
      </c>
      <c r="IC736">
        <v>2403</v>
      </c>
      <c r="ID736">
        <v>2659.3</v>
      </c>
      <c r="IE736">
        <v>1923.4</v>
      </c>
      <c r="IF736">
        <v>1465.7</v>
      </c>
      <c r="IG736">
        <v>1608.3</v>
      </c>
      <c r="IH736">
        <v>0</v>
      </c>
      <c r="II736">
        <v>0</v>
      </c>
      <c r="IJ736">
        <v>0</v>
      </c>
      <c r="IK736">
        <v>0</v>
      </c>
      <c r="IL736">
        <v>0</v>
      </c>
      <c r="IM736">
        <v>0</v>
      </c>
      <c r="IN736">
        <v>0</v>
      </c>
      <c r="IO736">
        <v>0</v>
      </c>
      <c r="IP736">
        <v>75.099999999999994</v>
      </c>
    </row>
    <row r="737" spans="1:250" ht="18" thickBot="1">
      <c r="A737" s="245"/>
      <c r="B737" s="245" t="s">
        <v>1001</v>
      </c>
      <c r="C737" s="230" t="s">
        <v>1159</v>
      </c>
      <c r="D737" s="397"/>
      <c r="E737" s="454">
        <v>0</v>
      </c>
      <c r="F737">
        <v>0</v>
      </c>
      <c r="G737" s="427">
        <v>0</v>
      </c>
      <c r="H737" s="155">
        <v>0</v>
      </c>
      <c r="I737">
        <v>0</v>
      </c>
      <c r="J737">
        <v>0</v>
      </c>
      <c r="K737">
        <v>0</v>
      </c>
      <c r="L737" s="4">
        <v>0</v>
      </c>
      <c r="M737" s="4">
        <v>0</v>
      </c>
      <c r="N737" s="4">
        <v>0</v>
      </c>
      <c r="O737" s="4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R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G737">
        <v>0</v>
      </c>
      <c r="BI737">
        <v>0</v>
      </c>
      <c r="BK737">
        <v>0</v>
      </c>
      <c r="BL737">
        <v>0</v>
      </c>
      <c r="BM737">
        <v>0</v>
      </c>
      <c r="BN737">
        <v>0</v>
      </c>
      <c r="BO737">
        <v>344.70000000000005</v>
      </c>
      <c r="BP737">
        <v>625.70000000000005</v>
      </c>
      <c r="BQ737">
        <v>912.2</v>
      </c>
      <c r="BR737">
        <v>237.7</v>
      </c>
      <c r="BS737">
        <v>0</v>
      </c>
      <c r="BT737">
        <v>0</v>
      </c>
      <c r="BU737">
        <v>0</v>
      </c>
      <c r="BV737">
        <v>0</v>
      </c>
      <c r="BW737">
        <v>1647.4</v>
      </c>
      <c r="BY737">
        <v>453.1</v>
      </c>
      <c r="CA737">
        <v>285.39999999999998</v>
      </c>
      <c r="CB737">
        <v>280.8</v>
      </c>
      <c r="CC737">
        <v>127.7</v>
      </c>
      <c r="CD737">
        <v>0</v>
      </c>
      <c r="CE737">
        <v>0</v>
      </c>
      <c r="CF737">
        <v>0</v>
      </c>
      <c r="CG737">
        <v>0</v>
      </c>
      <c r="CI737">
        <v>0</v>
      </c>
      <c r="CJ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621.70000000000005</v>
      </c>
      <c r="CR737">
        <v>481.70000000000005</v>
      </c>
      <c r="CS737">
        <v>0</v>
      </c>
      <c r="CT737">
        <v>524.6</v>
      </c>
      <c r="CU737">
        <v>514.1</v>
      </c>
      <c r="CV737">
        <v>175.2</v>
      </c>
      <c r="CW737">
        <v>0</v>
      </c>
      <c r="CX737">
        <v>65.099999999999994</v>
      </c>
      <c r="CY737">
        <v>199</v>
      </c>
      <c r="CZ737">
        <v>1907.9</v>
      </c>
      <c r="DA737">
        <v>0</v>
      </c>
      <c r="DB737">
        <v>0</v>
      </c>
      <c r="DC737">
        <v>0</v>
      </c>
      <c r="DD737">
        <v>0</v>
      </c>
      <c r="DE737">
        <v>0</v>
      </c>
      <c r="DF737">
        <v>0</v>
      </c>
      <c r="DG737">
        <v>0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1065.4000000000001</v>
      </c>
      <c r="DN737">
        <v>599.70000000000005</v>
      </c>
      <c r="DO737">
        <v>319.7</v>
      </c>
      <c r="DP737">
        <v>1570.6999999999998</v>
      </c>
      <c r="DQ737">
        <v>1399.5</v>
      </c>
      <c r="DR737">
        <v>3581</v>
      </c>
      <c r="DU737">
        <v>1393.2</v>
      </c>
      <c r="DV737">
        <v>2862.6</v>
      </c>
      <c r="DY737">
        <v>2361</v>
      </c>
      <c r="EA737">
        <v>2409.6</v>
      </c>
      <c r="EC737">
        <v>1661.3999999999999</v>
      </c>
      <c r="EE737">
        <v>0</v>
      </c>
      <c r="EF737">
        <v>0</v>
      </c>
      <c r="EG737">
        <v>0</v>
      </c>
      <c r="EH737">
        <v>0</v>
      </c>
      <c r="EI737">
        <v>0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944.5</v>
      </c>
      <c r="EQ737">
        <v>3459.7</v>
      </c>
      <c r="ER737">
        <v>1353.5</v>
      </c>
      <c r="ES737">
        <v>182.2</v>
      </c>
      <c r="ET737">
        <v>855.59999999999991</v>
      </c>
      <c r="EU737">
        <v>172.2</v>
      </c>
      <c r="EV737">
        <v>203.2</v>
      </c>
      <c r="EW737">
        <v>1173.0999999999999</v>
      </c>
      <c r="EX737">
        <v>1078.3</v>
      </c>
      <c r="EY737">
        <v>1194.4000000000001</v>
      </c>
      <c r="EZ737">
        <v>1207.0999999999999</v>
      </c>
      <c r="FA737">
        <v>0</v>
      </c>
      <c r="FB737">
        <v>0</v>
      </c>
      <c r="FC737">
        <v>0</v>
      </c>
      <c r="FD737">
        <v>0</v>
      </c>
      <c r="FE737">
        <v>0</v>
      </c>
      <c r="FF737">
        <v>0</v>
      </c>
      <c r="FG737">
        <v>0</v>
      </c>
      <c r="FH737">
        <v>0</v>
      </c>
      <c r="FI737">
        <v>0</v>
      </c>
      <c r="FJ737">
        <v>0</v>
      </c>
      <c r="FK737">
        <v>0</v>
      </c>
      <c r="FL737">
        <v>0</v>
      </c>
      <c r="FM737">
        <v>0</v>
      </c>
      <c r="FN737">
        <v>0</v>
      </c>
      <c r="FO737">
        <v>0</v>
      </c>
      <c r="FP737">
        <v>0</v>
      </c>
      <c r="FQ737">
        <v>0</v>
      </c>
      <c r="FR737">
        <v>0</v>
      </c>
      <c r="FS737">
        <v>0</v>
      </c>
      <c r="FT737">
        <v>0</v>
      </c>
      <c r="FU737">
        <v>0</v>
      </c>
      <c r="FV737">
        <v>0</v>
      </c>
      <c r="FW737">
        <v>0</v>
      </c>
      <c r="FX737">
        <v>0</v>
      </c>
      <c r="FY737">
        <v>0</v>
      </c>
      <c r="FZ737">
        <v>0</v>
      </c>
      <c r="GA737">
        <v>0</v>
      </c>
      <c r="GB737">
        <v>0</v>
      </c>
      <c r="GC737">
        <v>0</v>
      </c>
      <c r="GD737">
        <v>0</v>
      </c>
      <c r="GE737">
        <v>0</v>
      </c>
      <c r="GF737">
        <v>0</v>
      </c>
      <c r="GG737">
        <v>0</v>
      </c>
      <c r="GH737">
        <v>0</v>
      </c>
      <c r="GI737">
        <v>0</v>
      </c>
      <c r="GJ737">
        <v>0</v>
      </c>
      <c r="GK737">
        <v>0</v>
      </c>
      <c r="GL737">
        <v>0</v>
      </c>
      <c r="GO737">
        <v>0</v>
      </c>
      <c r="GP737">
        <v>0</v>
      </c>
      <c r="GQ737">
        <v>0</v>
      </c>
      <c r="GR737">
        <v>0</v>
      </c>
      <c r="GS737">
        <v>0</v>
      </c>
      <c r="GT737">
        <v>0</v>
      </c>
      <c r="GU737">
        <v>0</v>
      </c>
      <c r="GV737">
        <v>0</v>
      </c>
      <c r="GW737">
        <v>0</v>
      </c>
      <c r="GX737">
        <v>0</v>
      </c>
      <c r="GY737">
        <v>0</v>
      </c>
      <c r="GZ737">
        <v>0</v>
      </c>
      <c r="HA737">
        <v>0</v>
      </c>
      <c r="HB737">
        <v>0</v>
      </c>
      <c r="HC737">
        <v>0</v>
      </c>
      <c r="HD737">
        <v>0</v>
      </c>
      <c r="HE737">
        <v>0</v>
      </c>
      <c r="HF737">
        <v>0</v>
      </c>
      <c r="HG737">
        <v>0</v>
      </c>
      <c r="HH737">
        <v>0</v>
      </c>
      <c r="HI737">
        <v>0</v>
      </c>
      <c r="HJ737">
        <v>0</v>
      </c>
      <c r="HK737">
        <v>0</v>
      </c>
      <c r="HL737">
        <v>0</v>
      </c>
      <c r="HM737">
        <v>0</v>
      </c>
      <c r="HN737">
        <v>0</v>
      </c>
      <c r="HO737">
        <v>0</v>
      </c>
      <c r="HP737">
        <v>0</v>
      </c>
      <c r="HQ737">
        <v>0</v>
      </c>
      <c r="HR737">
        <v>0</v>
      </c>
      <c r="HS737">
        <v>0</v>
      </c>
      <c r="HT737">
        <v>0</v>
      </c>
      <c r="HU737">
        <v>0</v>
      </c>
      <c r="HV737">
        <v>0</v>
      </c>
      <c r="HW737">
        <v>404.70000000000005</v>
      </c>
      <c r="HX737">
        <v>342.3</v>
      </c>
      <c r="HZ737">
        <v>866.2</v>
      </c>
      <c r="IA737">
        <v>1142.8</v>
      </c>
      <c r="IB737">
        <v>1121.5</v>
      </c>
      <c r="IC737">
        <v>2403</v>
      </c>
      <c r="ID737">
        <v>2659.3</v>
      </c>
      <c r="IE737">
        <v>1923.4</v>
      </c>
      <c r="IF737">
        <v>1465.7</v>
      </c>
      <c r="IG737">
        <v>1608.3</v>
      </c>
      <c r="IH737">
        <v>0</v>
      </c>
      <c r="II737">
        <v>0</v>
      </c>
      <c r="IJ737">
        <v>0</v>
      </c>
      <c r="IK737">
        <v>0</v>
      </c>
      <c r="IL737">
        <v>0</v>
      </c>
      <c r="IM737">
        <v>0</v>
      </c>
      <c r="IN737">
        <v>0</v>
      </c>
      <c r="IO737">
        <v>0</v>
      </c>
      <c r="IP737">
        <v>75.099999999999994</v>
      </c>
    </row>
    <row r="738" spans="1:250" ht="18" thickBot="1">
      <c r="A738" s="245"/>
      <c r="B738" s="245" t="s">
        <v>424</v>
      </c>
      <c r="C738" s="230" t="s">
        <v>1160</v>
      </c>
      <c r="D738" s="397"/>
      <c r="E738" s="454">
        <v>0</v>
      </c>
      <c r="F738">
        <v>0</v>
      </c>
      <c r="G738" s="427">
        <v>0</v>
      </c>
      <c r="H738" s="155">
        <v>0</v>
      </c>
      <c r="I738">
        <v>0</v>
      </c>
      <c r="J738">
        <v>0</v>
      </c>
      <c r="K738">
        <v>0</v>
      </c>
      <c r="L738" s="4">
        <v>0</v>
      </c>
      <c r="M738" s="4">
        <v>0</v>
      </c>
      <c r="N738" s="4">
        <v>0</v>
      </c>
      <c r="O738" s="4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R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G738">
        <v>0</v>
      </c>
      <c r="BI738">
        <v>0</v>
      </c>
      <c r="BK738">
        <v>0</v>
      </c>
      <c r="BL738">
        <v>0</v>
      </c>
      <c r="BM738">
        <v>0</v>
      </c>
      <c r="BN738">
        <v>0</v>
      </c>
      <c r="BO738">
        <v>344.70000000000005</v>
      </c>
      <c r="BP738">
        <v>625.70000000000005</v>
      </c>
      <c r="BQ738">
        <v>912.2</v>
      </c>
      <c r="BR738">
        <v>237.7</v>
      </c>
      <c r="BS738">
        <v>0</v>
      </c>
      <c r="BT738">
        <v>0</v>
      </c>
      <c r="BU738">
        <v>0</v>
      </c>
      <c r="BV738">
        <v>0</v>
      </c>
      <c r="BW738">
        <v>1647.4</v>
      </c>
      <c r="BY738">
        <v>453.1</v>
      </c>
      <c r="CA738">
        <v>285.39999999999998</v>
      </c>
      <c r="CB738">
        <v>280.8</v>
      </c>
      <c r="CC738">
        <v>127.7</v>
      </c>
      <c r="CD738">
        <v>0</v>
      </c>
      <c r="CE738">
        <v>0</v>
      </c>
      <c r="CF738">
        <v>0</v>
      </c>
      <c r="CG738">
        <v>0</v>
      </c>
      <c r="CI738">
        <v>0</v>
      </c>
      <c r="CJ738">
        <v>0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621.70000000000005</v>
      </c>
      <c r="CR738">
        <v>481.70000000000005</v>
      </c>
      <c r="CS738">
        <v>0</v>
      </c>
      <c r="CT738">
        <v>524.6</v>
      </c>
      <c r="CU738">
        <v>514.1</v>
      </c>
      <c r="CV738">
        <v>175.2</v>
      </c>
      <c r="CW738">
        <v>0</v>
      </c>
      <c r="CX738">
        <v>65.099999999999994</v>
      </c>
      <c r="CY738">
        <v>199</v>
      </c>
      <c r="CZ738">
        <v>1907.9</v>
      </c>
      <c r="DA738">
        <v>0</v>
      </c>
      <c r="DB738">
        <v>0</v>
      </c>
      <c r="DC738">
        <v>0</v>
      </c>
      <c r="DD738">
        <v>0</v>
      </c>
      <c r="DE738">
        <v>0</v>
      </c>
      <c r="DF738">
        <v>0</v>
      </c>
      <c r="DG738">
        <v>0</v>
      </c>
      <c r="DH738">
        <v>0</v>
      </c>
      <c r="DI738">
        <v>0</v>
      </c>
      <c r="DJ738">
        <v>0</v>
      </c>
      <c r="DK738">
        <v>0</v>
      </c>
      <c r="DL738">
        <v>0</v>
      </c>
      <c r="DM738">
        <v>1065.4000000000001</v>
      </c>
      <c r="DN738">
        <v>599.70000000000005</v>
      </c>
      <c r="DO738">
        <v>319.7</v>
      </c>
      <c r="DP738">
        <v>1570.6999999999998</v>
      </c>
      <c r="DQ738">
        <v>1399.5</v>
      </c>
      <c r="DR738">
        <v>3581</v>
      </c>
      <c r="DU738">
        <v>1393.2</v>
      </c>
      <c r="DV738">
        <v>2862.6</v>
      </c>
      <c r="DY738">
        <v>2361</v>
      </c>
      <c r="EA738">
        <v>2409.6</v>
      </c>
      <c r="EC738">
        <v>1661.3999999999999</v>
      </c>
      <c r="EE738">
        <v>0</v>
      </c>
      <c r="EF738">
        <v>0</v>
      </c>
      <c r="EG738">
        <v>0</v>
      </c>
      <c r="EH738">
        <v>0</v>
      </c>
      <c r="EI738">
        <v>0</v>
      </c>
      <c r="EJ738">
        <v>0</v>
      </c>
      <c r="EK738">
        <v>0</v>
      </c>
      <c r="EL738">
        <v>0</v>
      </c>
      <c r="EM738">
        <v>0</v>
      </c>
      <c r="EN738">
        <v>0</v>
      </c>
      <c r="EO738">
        <v>0</v>
      </c>
      <c r="EP738">
        <v>944.5</v>
      </c>
      <c r="EQ738">
        <v>3459.7</v>
      </c>
      <c r="ER738">
        <v>1353.5</v>
      </c>
      <c r="ES738">
        <v>182.2</v>
      </c>
      <c r="ET738">
        <v>855.59999999999991</v>
      </c>
      <c r="EU738">
        <v>172.2</v>
      </c>
      <c r="EV738">
        <v>203.2</v>
      </c>
      <c r="EW738">
        <v>1173.0999999999999</v>
      </c>
      <c r="EX738">
        <v>1078.3</v>
      </c>
      <c r="EY738">
        <v>1194.4000000000001</v>
      </c>
      <c r="EZ738">
        <v>1207.0999999999999</v>
      </c>
      <c r="FA738">
        <v>0</v>
      </c>
      <c r="FB738">
        <v>0</v>
      </c>
      <c r="FC738">
        <v>0</v>
      </c>
      <c r="FD738">
        <v>0</v>
      </c>
      <c r="FE738">
        <v>0</v>
      </c>
      <c r="FF738">
        <v>0</v>
      </c>
      <c r="FG738">
        <v>0</v>
      </c>
      <c r="FH738">
        <v>0</v>
      </c>
      <c r="FI738">
        <v>0</v>
      </c>
      <c r="FJ738">
        <v>0</v>
      </c>
      <c r="FK738">
        <v>0</v>
      </c>
      <c r="FL738">
        <v>0</v>
      </c>
      <c r="FM738">
        <v>0</v>
      </c>
      <c r="FN738">
        <v>0</v>
      </c>
      <c r="FO738">
        <v>0</v>
      </c>
      <c r="FP738">
        <v>0</v>
      </c>
      <c r="FQ738">
        <v>0</v>
      </c>
      <c r="FR738">
        <v>0</v>
      </c>
      <c r="FS738">
        <v>0</v>
      </c>
      <c r="FT738">
        <v>0</v>
      </c>
      <c r="FU738">
        <v>0</v>
      </c>
      <c r="FV738">
        <v>0</v>
      </c>
      <c r="FW738">
        <v>0</v>
      </c>
      <c r="FX738">
        <v>0</v>
      </c>
      <c r="FY738">
        <v>0</v>
      </c>
      <c r="FZ738">
        <v>0</v>
      </c>
      <c r="GA738">
        <v>0</v>
      </c>
      <c r="GB738">
        <v>0</v>
      </c>
      <c r="GC738">
        <v>0</v>
      </c>
      <c r="GD738">
        <v>0</v>
      </c>
      <c r="GE738">
        <v>0</v>
      </c>
      <c r="GF738">
        <v>0</v>
      </c>
      <c r="GG738">
        <v>0</v>
      </c>
      <c r="GH738">
        <v>0</v>
      </c>
      <c r="GI738">
        <v>0</v>
      </c>
      <c r="GJ738">
        <v>0</v>
      </c>
      <c r="GK738">
        <v>0</v>
      </c>
      <c r="GL738">
        <v>0</v>
      </c>
      <c r="GO738">
        <v>0</v>
      </c>
      <c r="GP738">
        <v>0</v>
      </c>
      <c r="GQ738">
        <v>0</v>
      </c>
      <c r="GR738">
        <v>0</v>
      </c>
      <c r="GS738">
        <v>0</v>
      </c>
      <c r="GT738">
        <v>0</v>
      </c>
      <c r="GU738">
        <v>0</v>
      </c>
      <c r="GV738">
        <v>0</v>
      </c>
      <c r="GW738">
        <v>0</v>
      </c>
      <c r="GX738">
        <v>0</v>
      </c>
      <c r="GY738">
        <v>0</v>
      </c>
      <c r="GZ738">
        <v>0</v>
      </c>
      <c r="HA738">
        <v>0</v>
      </c>
      <c r="HB738">
        <v>0</v>
      </c>
      <c r="HC738">
        <v>0</v>
      </c>
      <c r="HD738">
        <v>0</v>
      </c>
      <c r="HE738">
        <v>0</v>
      </c>
      <c r="HF738">
        <v>0</v>
      </c>
      <c r="HG738">
        <v>0</v>
      </c>
      <c r="HH738">
        <v>0</v>
      </c>
      <c r="HI738">
        <v>0</v>
      </c>
      <c r="HJ738">
        <v>0</v>
      </c>
      <c r="HK738">
        <v>0</v>
      </c>
      <c r="HL738">
        <v>0</v>
      </c>
      <c r="HM738">
        <v>0</v>
      </c>
      <c r="HN738">
        <v>0</v>
      </c>
      <c r="HO738">
        <v>0</v>
      </c>
      <c r="HP738">
        <v>0</v>
      </c>
      <c r="HQ738">
        <v>0</v>
      </c>
      <c r="HR738">
        <v>0</v>
      </c>
      <c r="HS738">
        <v>0</v>
      </c>
      <c r="HT738">
        <v>0</v>
      </c>
      <c r="HU738">
        <v>0</v>
      </c>
      <c r="HV738">
        <v>0</v>
      </c>
      <c r="HW738">
        <v>404.70000000000005</v>
      </c>
      <c r="HX738">
        <v>342.3</v>
      </c>
      <c r="HZ738">
        <v>866.2</v>
      </c>
      <c r="IA738">
        <v>1142.8</v>
      </c>
      <c r="IB738">
        <v>1121.5</v>
      </c>
      <c r="IC738">
        <v>2403</v>
      </c>
      <c r="ID738">
        <v>2659.3</v>
      </c>
      <c r="IE738">
        <v>1923.4</v>
      </c>
      <c r="IF738">
        <v>1465.7</v>
      </c>
      <c r="IG738">
        <v>1608.3</v>
      </c>
      <c r="IH738">
        <v>0</v>
      </c>
      <c r="II738">
        <v>0</v>
      </c>
      <c r="IJ738">
        <v>0</v>
      </c>
      <c r="IK738">
        <v>0</v>
      </c>
      <c r="IL738">
        <v>0</v>
      </c>
      <c r="IM738">
        <v>0</v>
      </c>
      <c r="IN738">
        <v>0</v>
      </c>
      <c r="IO738">
        <v>0</v>
      </c>
      <c r="IP738">
        <v>75.099999999999994</v>
      </c>
    </row>
    <row r="739" spans="1:250" ht="18" thickBot="1">
      <c r="A739" s="245"/>
      <c r="B739" s="245" t="s">
        <v>425</v>
      </c>
      <c r="C739" s="230" t="s">
        <v>1161</v>
      </c>
      <c r="D739" s="397"/>
      <c r="E739" s="454">
        <v>0</v>
      </c>
      <c r="F739">
        <v>0</v>
      </c>
      <c r="G739" s="427">
        <v>0</v>
      </c>
      <c r="H739" s="155">
        <v>0</v>
      </c>
      <c r="I739">
        <v>0</v>
      </c>
      <c r="J739">
        <v>0</v>
      </c>
      <c r="K739">
        <v>0</v>
      </c>
      <c r="L739" s="4">
        <v>0</v>
      </c>
      <c r="M739" s="4">
        <v>0</v>
      </c>
      <c r="N739" s="4">
        <v>0</v>
      </c>
      <c r="O739" s="4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R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G739">
        <v>0</v>
      </c>
      <c r="BI739">
        <v>0</v>
      </c>
      <c r="BK739">
        <v>0</v>
      </c>
      <c r="BL739">
        <v>0</v>
      </c>
      <c r="BM739">
        <v>0</v>
      </c>
      <c r="BN739">
        <v>0</v>
      </c>
      <c r="BO739">
        <v>344.70000000000005</v>
      </c>
      <c r="BP739">
        <v>625.70000000000005</v>
      </c>
      <c r="BQ739">
        <v>912.2</v>
      </c>
      <c r="BR739">
        <v>237.7</v>
      </c>
      <c r="BS739">
        <v>0</v>
      </c>
      <c r="BT739">
        <v>0</v>
      </c>
      <c r="BU739">
        <v>0</v>
      </c>
      <c r="BV739">
        <v>0</v>
      </c>
      <c r="BW739">
        <v>1647.4</v>
      </c>
      <c r="BY739">
        <v>453.1</v>
      </c>
      <c r="CA739">
        <v>285.39999999999998</v>
      </c>
      <c r="CB739">
        <v>280.8</v>
      </c>
      <c r="CC739">
        <v>127.7</v>
      </c>
      <c r="CD739">
        <v>0</v>
      </c>
      <c r="CE739">
        <v>0</v>
      </c>
      <c r="CF739">
        <v>0</v>
      </c>
      <c r="CG739">
        <v>0</v>
      </c>
      <c r="CI739">
        <v>0</v>
      </c>
      <c r="CJ739">
        <v>0</v>
      </c>
      <c r="CL739">
        <v>0</v>
      </c>
      <c r="CM739">
        <v>0</v>
      </c>
      <c r="CN739">
        <v>0</v>
      </c>
      <c r="CO739">
        <v>0</v>
      </c>
      <c r="CP739">
        <v>0</v>
      </c>
      <c r="CQ739">
        <v>621.70000000000005</v>
      </c>
      <c r="CR739">
        <v>481.70000000000005</v>
      </c>
      <c r="CS739">
        <v>0</v>
      </c>
      <c r="CT739">
        <v>524.6</v>
      </c>
      <c r="CU739">
        <v>514.1</v>
      </c>
      <c r="CV739">
        <v>175.2</v>
      </c>
      <c r="CW739">
        <v>0</v>
      </c>
      <c r="CX739">
        <v>65.099999999999994</v>
      </c>
      <c r="CY739">
        <v>199</v>
      </c>
      <c r="CZ739">
        <v>1907.9</v>
      </c>
      <c r="DA739">
        <v>0</v>
      </c>
      <c r="DB739">
        <v>0</v>
      </c>
      <c r="DC739">
        <v>0</v>
      </c>
      <c r="DD739">
        <v>0</v>
      </c>
      <c r="DE739">
        <v>0</v>
      </c>
      <c r="DF739">
        <v>0</v>
      </c>
      <c r="DG739">
        <v>0</v>
      </c>
      <c r="DH739">
        <v>0</v>
      </c>
      <c r="DI739">
        <v>0</v>
      </c>
      <c r="DJ739">
        <v>0</v>
      </c>
      <c r="DK739">
        <v>0</v>
      </c>
      <c r="DL739">
        <v>0</v>
      </c>
      <c r="DM739">
        <v>1065.4000000000001</v>
      </c>
      <c r="DN739">
        <v>599.70000000000005</v>
      </c>
      <c r="DO739">
        <v>319.7</v>
      </c>
      <c r="DP739">
        <v>1570.6999999999998</v>
      </c>
      <c r="DQ739">
        <v>1399.5</v>
      </c>
      <c r="DR739">
        <v>3581</v>
      </c>
      <c r="DU739">
        <v>1393.2</v>
      </c>
      <c r="DV739">
        <v>2862.6</v>
      </c>
      <c r="DY739">
        <v>2361</v>
      </c>
      <c r="EA739">
        <v>2409.6</v>
      </c>
      <c r="EC739">
        <v>1661.3999999999999</v>
      </c>
      <c r="EE739">
        <v>0</v>
      </c>
      <c r="EF739">
        <v>0</v>
      </c>
      <c r="EG739">
        <v>0</v>
      </c>
      <c r="EH739">
        <v>0</v>
      </c>
      <c r="EI739">
        <v>0</v>
      </c>
      <c r="EJ739">
        <v>0</v>
      </c>
      <c r="EK739">
        <v>0</v>
      </c>
      <c r="EL739">
        <v>0</v>
      </c>
      <c r="EM739">
        <v>0</v>
      </c>
      <c r="EN739">
        <v>0</v>
      </c>
      <c r="EO739">
        <v>0</v>
      </c>
      <c r="EP739">
        <v>944.5</v>
      </c>
      <c r="EQ739">
        <v>3459.7</v>
      </c>
      <c r="ER739">
        <v>1353.5</v>
      </c>
      <c r="ES739">
        <v>182.2</v>
      </c>
      <c r="ET739">
        <v>855.59999999999991</v>
      </c>
      <c r="EU739">
        <v>172.2</v>
      </c>
      <c r="EV739">
        <v>203.2</v>
      </c>
      <c r="EW739">
        <v>1173.0999999999999</v>
      </c>
      <c r="EX739">
        <v>1078.3</v>
      </c>
      <c r="EY739">
        <v>1194.4000000000001</v>
      </c>
      <c r="EZ739">
        <v>1207.0999999999999</v>
      </c>
      <c r="FA739">
        <v>0</v>
      </c>
      <c r="FB739">
        <v>0</v>
      </c>
      <c r="FC739">
        <v>0</v>
      </c>
      <c r="FD739">
        <v>0</v>
      </c>
      <c r="FE739">
        <v>0</v>
      </c>
      <c r="FF739">
        <v>0</v>
      </c>
      <c r="FG739">
        <v>0</v>
      </c>
      <c r="FH739">
        <v>0</v>
      </c>
      <c r="FI739">
        <v>0</v>
      </c>
      <c r="FJ739">
        <v>0</v>
      </c>
      <c r="FK739">
        <v>0</v>
      </c>
      <c r="FL739">
        <v>0</v>
      </c>
      <c r="FM739">
        <v>0</v>
      </c>
      <c r="FN739">
        <v>0</v>
      </c>
      <c r="FO739">
        <v>0</v>
      </c>
      <c r="FP739">
        <v>0</v>
      </c>
      <c r="FQ739">
        <v>0</v>
      </c>
      <c r="FR739">
        <v>0</v>
      </c>
      <c r="FS739">
        <v>0</v>
      </c>
      <c r="FT739">
        <v>0</v>
      </c>
      <c r="FU739">
        <v>0</v>
      </c>
      <c r="FV739">
        <v>0</v>
      </c>
      <c r="FW739">
        <v>0</v>
      </c>
      <c r="FX739">
        <v>0</v>
      </c>
      <c r="FY739">
        <v>0</v>
      </c>
      <c r="FZ739">
        <v>0</v>
      </c>
      <c r="GA739">
        <v>0</v>
      </c>
      <c r="GB739">
        <v>0</v>
      </c>
      <c r="GC739">
        <v>0</v>
      </c>
      <c r="GD739">
        <v>0</v>
      </c>
      <c r="GE739">
        <v>0</v>
      </c>
      <c r="GF739">
        <v>0</v>
      </c>
      <c r="GG739">
        <v>0</v>
      </c>
      <c r="GH739">
        <v>0</v>
      </c>
      <c r="GI739">
        <v>0</v>
      </c>
      <c r="GJ739">
        <v>0</v>
      </c>
      <c r="GK739">
        <v>0</v>
      </c>
      <c r="GL739">
        <v>0</v>
      </c>
      <c r="GO739">
        <v>0</v>
      </c>
      <c r="GP739">
        <v>0</v>
      </c>
      <c r="GQ739">
        <v>0</v>
      </c>
      <c r="GR739">
        <v>0</v>
      </c>
      <c r="GS739">
        <v>0</v>
      </c>
      <c r="GT739">
        <v>0</v>
      </c>
      <c r="GU739">
        <v>0</v>
      </c>
      <c r="GV739">
        <v>0</v>
      </c>
      <c r="GW739">
        <v>0</v>
      </c>
      <c r="GX739">
        <v>0</v>
      </c>
      <c r="GY739">
        <v>0</v>
      </c>
      <c r="GZ739">
        <v>0</v>
      </c>
      <c r="HA739">
        <v>0</v>
      </c>
      <c r="HB739">
        <v>0</v>
      </c>
      <c r="HC739">
        <v>0</v>
      </c>
      <c r="HD739">
        <v>0</v>
      </c>
      <c r="HE739">
        <v>0</v>
      </c>
      <c r="HF739">
        <v>0</v>
      </c>
      <c r="HG739">
        <v>0</v>
      </c>
      <c r="HH739">
        <v>0</v>
      </c>
      <c r="HI739">
        <v>0</v>
      </c>
      <c r="HJ739">
        <v>0</v>
      </c>
      <c r="HK739">
        <v>0</v>
      </c>
      <c r="HL739">
        <v>0</v>
      </c>
      <c r="HM739">
        <v>0</v>
      </c>
      <c r="HN739">
        <v>0</v>
      </c>
      <c r="HO739">
        <v>0</v>
      </c>
      <c r="HP739">
        <v>0</v>
      </c>
      <c r="HQ739">
        <v>0</v>
      </c>
      <c r="HR739">
        <v>0</v>
      </c>
      <c r="HS739">
        <v>0</v>
      </c>
      <c r="HT739">
        <v>0</v>
      </c>
      <c r="HU739">
        <v>0</v>
      </c>
      <c r="HV739">
        <v>0</v>
      </c>
      <c r="HW739">
        <v>404.70000000000005</v>
      </c>
      <c r="HX739">
        <v>342.3</v>
      </c>
      <c r="HZ739">
        <v>866.2</v>
      </c>
      <c r="IA739">
        <v>1142.8</v>
      </c>
      <c r="IB739">
        <v>1121.5</v>
      </c>
      <c r="IC739">
        <v>2403</v>
      </c>
      <c r="ID739">
        <v>2659.3</v>
      </c>
      <c r="IE739">
        <v>1923.4</v>
      </c>
      <c r="IF739">
        <v>1465.7</v>
      </c>
      <c r="IG739">
        <v>1608.3</v>
      </c>
      <c r="IH739">
        <v>0</v>
      </c>
      <c r="II739">
        <v>0</v>
      </c>
      <c r="IJ739">
        <v>0</v>
      </c>
      <c r="IK739">
        <v>0</v>
      </c>
      <c r="IL739">
        <v>0</v>
      </c>
      <c r="IM739">
        <v>0</v>
      </c>
      <c r="IN739">
        <v>0</v>
      </c>
      <c r="IO739">
        <v>0</v>
      </c>
      <c r="IP739">
        <v>75.099999999999994</v>
      </c>
    </row>
    <row r="740" spans="1:250" ht="18" thickBot="1">
      <c r="A740" s="245"/>
      <c r="B740" s="245" t="s">
        <v>426</v>
      </c>
      <c r="C740" s="230" t="s">
        <v>1162</v>
      </c>
      <c r="D740" s="397"/>
      <c r="E740" s="454">
        <v>0</v>
      </c>
      <c r="F740">
        <v>0</v>
      </c>
      <c r="G740" s="427">
        <v>0</v>
      </c>
      <c r="H740" s="155">
        <v>0</v>
      </c>
      <c r="I740">
        <v>0</v>
      </c>
      <c r="J740">
        <v>0</v>
      </c>
      <c r="K740">
        <v>0</v>
      </c>
      <c r="L740" s="4">
        <v>0</v>
      </c>
      <c r="M740" s="4">
        <v>0</v>
      </c>
      <c r="N740" s="4">
        <v>0</v>
      </c>
      <c r="O740" s="4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R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G740">
        <v>0</v>
      </c>
      <c r="BI740">
        <v>0</v>
      </c>
      <c r="BK740">
        <v>0</v>
      </c>
      <c r="BL740">
        <v>0</v>
      </c>
      <c r="BM740">
        <v>0</v>
      </c>
      <c r="BN740">
        <v>0</v>
      </c>
      <c r="BO740">
        <v>344.70000000000005</v>
      </c>
      <c r="BP740">
        <v>625.70000000000005</v>
      </c>
      <c r="BQ740">
        <v>912.2</v>
      </c>
      <c r="BR740">
        <v>237.7</v>
      </c>
      <c r="BS740">
        <v>0</v>
      </c>
      <c r="BT740">
        <v>0</v>
      </c>
      <c r="BU740">
        <v>0</v>
      </c>
      <c r="BV740">
        <v>0</v>
      </c>
      <c r="BW740">
        <v>1647.4</v>
      </c>
      <c r="BY740">
        <v>453.1</v>
      </c>
      <c r="CA740">
        <v>285.39999999999998</v>
      </c>
      <c r="CB740">
        <v>280.8</v>
      </c>
      <c r="CC740">
        <v>127.7</v>
      </c>
      <c r="CD740">
        <v>0</v>
      </c>
      <c r="CE740">
        <v>0</v>
      </c>
      <c r="CF740">
        <v>0</v>
      </c>
      <c r="CG740">
        <v>0</v>
      </c>
      <c r="CI740">
        <v>0</v>
      </c>
      <c r="CJ740">
        <v>0</v>
      </c>
      <c r="CL740">
        <v>0</v>
      </c>
      <c r="CM740">
        <v>0</v>
      </c>
      <c r="CN740">
        <v>0</v>
      </c>
      <c r="CO740">
        <v>0</v>
      </c>
      <c r="CP740">
        <v>0</v>
      </c>
      <c r="CQ740">
        <v>621.70000000000005</v>
      </c>
      <c r="CR740">
        <v>481.70000000000005</v>
      </c>
      <c r="CS740">
        <v>0</v>
      </c>
      <c r="CT740">
        <v>524.6</v>
      </c>
      <c r="CU740">
        <v>514.1</v>
      </c>
      <c r="CV740">
        <v>175.2</v>
      </c>
      <c r="CW740">
        <v>0</v>
      </c>
      <c r="CX740">
        <v>65.099999999999994</v>
      </c>
      <c r="CY740">
        <v>199</v>
      </c>
      <c r="CZ740">
        <v>1907.9</v>
      </c>
      <c r="DA740">
        <v>0</v>
      </c>
      <c r="DB740">
        <v>0</v>
      </c>
      <c r="DC740">
        <v>0</v>
      </c>
      <c r="DD740">
        <v>0</v>
      </c>
      <c r="DE740">
        <v>0</v>
      </c>
      <c r="DF740">
        <v>0</v>
      </c>
      <c r="DG740">
        <v>0</v>
      </c>
      <c r="DH740">
        <v>0</v>
      </c>
      <c r="DI740">
        <v>0</v>
      </c>
      <c r="DJ740">
        <v>0</v>
      </c>
      <c r="DK740">
        <v>0</v>
      </c>
      <c r="DL740">
        <v>0</v>
      </c>
      <c r="DM740">
        <v>1065.4000000000001</v>
      </c>
      <c r="DN740">
        <v>599.70000000000005</v>
      </c>
      <c r="DO740">
        <v>319.7</v>
      </c>
      <c r="DP740">
        <v>1570.6999999999998</v>
      </c>
      <c r="DQ740">
        <v>1399.5</v>
      </c>
      <c r="DR740">
        <v>3581</v>
      </c>
      <c r="DU740">
        <v>1393.2</v>
      </c>
      <c r="DV740">
        <v>2862.6</v>
      </c>
      <c r="DY740">
        <v>2361</v>
      </c>
      <c r="EA740">
        <v>2409.6</v>
      </c>
      <c r="EC740">
        <v>1661.3999999999999</v>
      </c>
      <c r="EE740">
        <v>0</v>
      </c>
      <c r="EF740">
        <v>0</v>
      </c>
      <c r="EG740">
        <v>0</v>
      </c>
      <c r="EH740">
        <v>0</v>
      </c>
      <c r="EI740">
        <v>0</v>
      </c>
      <c r="EJ740">
        <v>0</v>
      </c>
      <c r="EK740">
        <v>0</v>
      </c>
      <c r="EL740">
        <v>0</v>
      </c>
      <c r="EM740">
        <v>0</v>
      </c>
      <c r="EN740">
        <v>0</v>
      </c>
      <c r="EO740">
        <v>0</v>
      </c>
      <c r="EP740">
        <v>944.5</v>
      </c>
      <c r="EQ740">
        <v>3459.7</v>
      </c>
      <c r="ER740">
        <v>1353.5</v>
      </c>
      <c r="ES740">
        <v>182.2</v>
      </c>
      <c r="ET740">
        <v>855.59999999999991</v>
      </c>
      <c r="EU740">
        <v>172.2</v>
      </c>
      <c r="EV740">
        <v>203.2</v>
      </c>
      <c r="EW740">
        <v>1173.0999999999999</v>
      </c>
      <c r="EX740">
        <v>1078.3</v>
      </c>
      <c r="EY740">
        <v>1194.4000000000001</v>
      </c>
      <c r="EZ740">
        <v>1207.0999999999999</v>
      </c>
      <c r="FA740">
        <v>0</v>
      </c>
      <c r="FB740">
        <v>0</v>
      </c>
      <c r="FC740">
        <v>0</v>
      </c>
      <c r="FD740">
        <v>0</v>
      </c>
      <c r="FE740">
        <v>0</v>
      </c>
      <c r="FF740">
        <v>0</v>
      </c>
      <c r="FG740">
        <v>0</v>
      </c>
      <c r="FH740">
        <v>0</v>
      </c>
      <c r="FI740">
        <v>0</v>
      </c>
      <c r="FJ740">
        <v>0</v>
      </c>
      <c r="FK740">
        <v>0</v>
      </c>
      <c r="FL740">
        <v>0</v>
      </c>
      <c r="FM740">
        <v>0</v>
      </c>
      <c r="FN740">
        <v>0</v>
      </c>
      <c r="FO740">
        <v>0</v>
      </c>
      <c r="FP740">
        <v>0</v>
      </c>
      <c r="FQ740">
        <v>0</v>
      </c>
      <c r="FR740">
        <v>0</v>
      </c>
      <c r="FS740">
        <v>0</v>
      </c>
      <c r="FT740">
        <v>0</v>
      </c>
      <c r="FU740">
        <v>0</v>
      </c>
      <c r="FV740">
        <v>0</v>
      </c>
      <c r="FW740">
        <v>0</v>
      </c>
      <c r="FX740">
        <v>0</v>
      </c>
      <c r="FY740">
        <v>0</v>
      </c>
      <c r="FZ740">
        <v>0</v>
      </c>
      <c r="GA740">
        <v>0</v>
      </c>
      <c r="GB740">
        <v>0</v>
      </c>
      <c r="GC740">
        <v>0</v>
      </c>
      <c r="GD740">
        <v>0</v>
      </c>
      <c r="GE740">
        <v>0</v>
      </c>
      <c r="GF740">
        <v>0</v>
      </c>
      <c r="GG740">
        <v>0</v>
      </c>
      <c r="GH740">
        <v>0</v>
      </c>
      <c r="GI740">
        <v>0</v>
      </c>
      <c r="GJ740">
        <v>0</v>
      </c>
      <c r="GK740">
        <v>0</v>
      </c>
      <c r="GL740">
        <v>0</v>
      </c>
      <c r="GO740">
        <v>0</v>
      </c>
      <c r="GP740">
        <v>0</v>
      </c>
      <c r="GQ740">
        <v>0</v>
      </c>
      <c r="GR740">
        <v>0</v>
      </c>
      <c r="GS740">
        <v>0</v>
      </c>
      <c r="GT740">
        <v>0</v>
      </c>
      <c r="GU740">
        <v>0</v>
      </c>
      <c r="GV740">
        <v>0</v>
      </c>
      <c r="GW740">
        <v>0</v>
      </c>
      <c r="GX740">
        <v>0</v>
      </c>
      <c r="GY740">
        <v>0</v>
      </c>
      <c r="GZ740">
        <v>0</v>
      </c>
      <c r="HA740">
        <v>0</v>
      </c>
      <c r="HB740">
        <v>0</v>
      </c>
      <c r="HC740">
        <v>0</v>
      </c>
      <c r="HD740">
        <v>0</v>
      </c>
      <c r="HE740">
        <v>0</v>
      </c>
      <c r="HF740">
        <v>0</v>
      </c>
      <c r="HG740">
        <v>0</v>
      </c>
      <c r="HH740">
        <v>0</v>
      </c>
      <c r="HI740">
        <v>0</v>
      </c>
      <c r="HJ740">
        <v>0</v>
      </c>
      <c r="HK740">
        <v>0</v>
      </c>
      <c r="HL740">
        <v>0</v>
      </c>
      <c r="HM740">
        <v>0</v>
      </c>
      <c r="HN740">
        <v>0</v>
      </c>
      <c r="HO740">
        <v>0</v>
      </c>
      <c r="HP740">
        <v>0</v>
      </c>
      <c r="HQ740">
        <v>0</v>
      </c>
      <c r="HR740">
        <v>0</v>
      </c>
      <c r="HS740">
        <v>0</v>
      </c>
      <c r="HT740">
        <v>0</v>
      </c>
      <c r="HU740">
        <v>0</v>
      </c>
      <c r="HV740">
        <v>0</v>
      </c>
      <c r="HW740">
        <v>404.70000000000005</v>
      </c>
      <c r="HX740">
        <v>342.3</v>
      </c>
      <c r="HZ740">
        <v>866.2</v>
      </c>
      <c r="IA740">
        <v>1142.8</v>
      </c>
      <c r="IB740">
        <v>1121.5</v>
      </c>
      <c r="IC740">
        <v>2403</v>
      </c>
      <c r="ID740">
        <v>2659.3</v>
      </c>
      <c r="IE740">
        <v>1923.4</v>
      </c>
      <c r="IF740">
        <v>1465.7</v>
      </c>
      <c r="IG740">
        <v>1608.3</v>
      </c>
      <c r="IH740">
        <v>0</v>
      </c>
      <c r="II740">
        <v>0</v>
      </c>
      <c r="IJ740">
        <v>0</v>
      </c>
      <c r="IK740">
        <v>0</v>
      </c>
      <c r="IL740">
        <v>0</v>
      </c>
      <c r="IM740">
        <v>0</v>
      </c>
      <c r="IN740">
        <v>0</v>
      </c>
      <c r="IO740">
        <v>0</v>
      </c>
      <c r="IP740">
        <v>75.099999999999994</v>
      </c>
    </row>
    <row r="741" spans="1:250" ht="18" thickBot="1">
      <c r="A741" s="246"/>
      <c r="B741" s="246" t="s">
        <v>427</v>
      </c>
      <c r="C741" s="334" t="s">
        <v>1163</v>
      </c>
      <c r="D741" s="398"/>
      <c r="E741" s="454">
        <v>0</v>
      </c>
      <c r="F741">
        <v>0</v>
      </c>
      <c r="G741" s="427">
        <v>0</v>
      </c>
      <c r="H741" s="155">
        <v>0</v>
      </c>
      <c r="I741">
        <v>0</v>
      </c>
      <c r="J741">
        <v>0</v>
      </c>
      <c r="K741">
        <v>0</v>
      </c>
      <c r="L741" s="4">
        <v>0</v>
      </c>
      <c r="M741" s="4">
        <v>0</v>
      </c>
      <c r="N741" s="4">
        <v>0</v>
      </c>
      <c r="O741" s="4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R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G741">
        <v>0</v>
      </c>
      <c r="BI741">
        <v>0</v>
      </c>
      <c r="BK741">
        <v>0</v>
      </c>
      <c r="BL741">
        <v>0</v>
      </c>
      <c r="BM741">
        <v>0</v>
      </c>
      <c r="BN741">
        <v>0</v>
      </c>
      <c r="BO741">
        <v>344.70000000000005</v>
      </c>
      <c r="BP741">
        <v>625.70000000000005</v>
      </c>
      <c r="BQ741">
        <v>912.2</v>
      </c>
      <c r="BR741">
        <v>237.7</v>
      </c>
      <c r="BS741">
        <v>0</v>
      </c>
      <c r="BT741">
        <v>0</v>
      </c>
      <c r="BU741">
        <v>0</v>
      </c>
      <c r="BV741">
        <v>0</v>
      </c>
      <c r="BW741">
        <v>1647.4</v>
      </c>
      <c r="BY741">
        <v>453.1</v>
      </c>
      <c r="CA741">
        <v>285.39999999999998</v>
      </c>
      <c r="CB741">
        <v>280.8</v>
      </c>
      <c r="CC741">
        <v>127.7</v>
      </c>
      <c r="CD741">
        <v>0</v>
      </c>
      <c r="CE741">
        <v>0</v>
      </c>
      <c r="CF741">
        <v>0</v>
      </c>
      <c r="CG741">
        <v>0</v>
      </c>
      <c r="CI741">
        <v>0</v>
      </c>
      <c r="CJ741">
        <v>0</v>
      </c>
      <c r="CL741">
        <v>0</v>
      </c>
      <c r="CM741">
        <v>0</v>
      </c>
      <c r="CN741">
        <v>0</v>
      </c>
      <c r="CO741">
        <v>0</v>
      </c>
      <c r="CP741">
        <v>0</v>
      </c>
      <c r="CQ741">
        <v>621.70000000000005</v>
      </c>
      <c r="CR741">
        <v>481.70000000000005</v>
      </c>
      <c r="CS741">
        <v>0</v>
      </c>
      <c r="CT741">
        <v>524.6</v>
      </c>
      <c r="CU741">
        <v>514.1</v>
      </c>
      <c r="CV741">
        <v>175.2</v>
      </c>
      <c r="CW741">
        <v>0</v>
      </c>
      <c r="CX741">
        <v>65.099999999999994</v>
      </c>
      <c r="CY741">
        <v>199</v>
      </c>
      <c r="CZ741">
        <v>1907.9</v>
      </c>
      <c r="DA741">
        <v>0</v>
      </c>
      <c r="DB741">
        <v>0</v>
      </c>
      <c r="DC741">
        <v>0</v>
      </c>
      <c r="DD741">
        <v>0</v>
      </c>
      <c r="DE741">
        <v>0</v>
      </c>
      <c r="DF741">
        <v>0</v>
      </c>
      <c r="DG741">
        <v>0</v>
      </c>
      <c r="DH741">
        <v>0</v>
      </c>
      <c r="DI741">
        <v>0</v>
      </c>
      <c r="DJ741">
        <v>0</v>
      </c>
      <c r="DK741">
        <v>0</v>
      </c>
      <c r="DL741">
        <v>0</v>
      </c>
      <c r="DM741">
        <v>1065.4000000000001</v>
      </c>
      <c r="DN741">
        <v>599.70000000000005</v>
      </c>
      <c r="DO741">
        <v>319.7</v>
      </c>
      <c r="DP741">
        <v>1570.6999999999998</v>
      </c>
      <c r="DQ741">
        <v>1399.5</v>
      </c>
      <c r="DR741">
        <v>3581</v>
      </c>
      <c r="DU741">
        <v>1393.2</v>
      </c>
      <c r="DV741">
        <v>2862.6</v>
      </c>
      <c r="DY741">
        <v>2361</v>
      </c>
      <c r="EA741">
        <v>2409.6</v>
      </c>
      <c r="EC741">
        <v>1661.3999999999999</v>
      </c>
      <c r="EE741">
        <v>0</v>
      </c>
      <c r="EF741">
        <v>0</v>
      </c>
      <c r="EG741">
        <v>0</v>
      </c>
      <c r="EH741">
        <v>0</v>
      </c>
      <c r="EI741">
        <v>0</v>
      </c>
      <c r="EJ741">
        <v>0</v>
      </c>
      <c r="EK741">
        <v>0</v>
      </c>
      <c r="EL741">
        <v>0</v>
      </c>
      <c r="EM741">
        <v>0</v>
      </c>
      <c r="EN741">
        <v>0</v>
      </c>
      <c r="EO741">
        <v>0</v>
      </c>
      <c r="EP741">
        <v>944.5</v>
      </c>
      <c r="EQ741">
        <v>3459.7</v>
      </c>
      <c r="ER741">
        <v>1353.5</v>
      </c>
      <c r="ES741">
        <v>182.2</v>
      </c>
      <c r="ET741">
        <v>855.59999999999991</v>
      </c>
      <c r="EU741">
        <v>172.2</v>
      </c>
      <c r="EV741">
        <v>203.2</v>
      </c>
      <c r="EW741">
        <v>1173.0999999999999</v>
      </c>
      <c r="EX741">
        <v>1078.3</v>
      </c>
      <c r="EY741">
        <v>1194.4000000000001</v>
      </c>
      <c r="EZ741">
        <v>1207.0999999999999</v>
      </c>
      <c r="FA741">
        <v>0</v>
      </c>
      <c r="FB741">
        <v>0</v>
      </c>
      <c r="FC741">
        <v>0</v>
      </c>
      <c r="FD741">
        <v>0</v>
      </c>
      <c r="FE741">
        <v>0</v>
      </c>
      <c r="FF741">
        <v>0</v>
      </c>
      <c r="FG741">
        <v>0</v>
      </c>
      <c r="FH741">
        <v>0</v>
      </c>
      <c r="FI741">
        <v>0</v>
      </c>
      <c r="FJ741">
        <v>0</v>
      </c>
      <c r="FK741">
        <v>0</v>
      </c>
      <c r="FL741">
        <v>0</v>
      </c>
      <c r="FM741">
        <v>0</v>
      </c>
      <c r="FN741">
        <v>0</v>
      </c>
      <c r="FO741">
        <v>0</v>
      </c>
      <c r="FP741">
        <v>0</v>
      </c>
      <c r="FQ741">
        <v>0</v>
      </c>
      <c r="FR741">
        <v>0</v>
      </c>
      <c r="FS741">
        <v>0</v>
      </c>
      <c r="FT741">
        <v>0</v>
      </c>
      <c r="FU741">
        <v>0</v>
      </c>
      <c r="FV741">
        <v>0</v>
      </c>
      <c r="FW741">
        <v>0</v>
      </c>
      <c r="FX741">
        <v>0</v>
      </c>
      <c r="FY741">
        <v>0</v>
      </c>
      <c r="FZ741">
        <v>0</v>
      </c>
      <c r="GA741">
        <v>0</v>
      </c>
      <c r="GB741">
        <v>0</v>
      </c>
      <c r="GC741">
        <v>0</v>
      </c>
      <c r="GD741">
        <v>0</v>
      </c>
      <c r="GE741">
        <v>0</v>
      </c>
      <c r="GF741">
        <v>0</v>
      </c>
      <c r="GG741">
        <v>0</v>
      </c>
      <c r="GH741">
        <v>0</v>
      </c>
      <c r="GI741">
        <v>0</v>
      </c>
      <c r="GJ741">
        <v>0</v>
      </c>
      <c r="GK741">
        <v>0</v>
      </c>
      <c r="GL741">
        <v>0</v>
      </c>
      <c r="GO741">
        <v>0</v>
      </c>
      <c r="GP741">
        <v>0</v>
      </c>
      <c r="GQ741">
        <v>0</v>
      </c>
      <c r="GR741">
        <v>0</v>
      </c>
      <c r="GS741">
        <v>0</v>
      </c>
      <c r="GT741">
        <v>0</v>
      </c>
      <c r="GU741">
        <v>0</v>
      </c>
      <c r="GV741">
        <v>0</v>
      </c>
      <c r="GW741">
        <v>0</v>
      </c>
      <c r="GX741">
        <v>0</v>
      </c>
      <c r="GY741">
        <v>0</v>
      </c>
      <c r="GZ741">
        <v>0</v>
      </c>
      <c r="HA741">
        <v>0</v>
      </c>
      <c r="HB741">
        <v>0</v>
      </c>
      <c r="HC741">
        <v>0</v>
      </c>
      <c r="HD741">
        <v>0</v>
      </c>
      <c r="HE741">
        <v>0</v>
      </c>
      <c r="HF741">
        <v>0</v>
      </c>
      <c r="HG741">
        <v>0</v>
      </c>
      <c r="HH741">
        <v>0</v>
      </c>
      <c r="HI741">
        <v>0</v>
      </c>
      <c r="HJ741">
        <v>0</v>
      </c>
      <c r="HK741">
        <v>0</v>
      </c>
      <c r="HL741">
        <v>0</v>
      </c>
      <c r="HM741">
        <v>0</v>
      </c>
      <c r="HN741">
        <v>0</v>
      </c>
      <c r="HO741">
        <v>0</v>
      </c>
      <c r="HP741">
        <v>0</v>
      </c>
      <c r="HQ741">
        <v>0</v>
      </c>
      <c r="HR741">
        <v>0</v>
      </c>
      <c r="HS741">
        <v>0</v>
      </c>
      <c r="HT741">
        <v>0</v>
      </c>
      <c r="HU741">
        <v>0</v>
      </c>
      <c r="HV741">
        <v>0</v>
      </c>
      <c r="HW741">
        <v>404.70000000000005</v>
      </c>
      <c r="HX741">
        <v>342.3</v>
      </c>
      <c r="HZ741">
        <v>866.2</v>
      </c>
      <c r="IA741">
        <v>1142.8</v>
      </c>
      <c r="IB741">
        <v>1121.5</v>
      </c>
      <c r="IC741">
        <v>2403</v>
      </c>
      <c r="ID741">
        <v>2659.3</v>
      </c>
      <c r="IE741">
        <v>1923.4</v>
      </c>
      <c r="IF741">
        <v>1465.7</v>
      </c>
      <c r="IG741">
        <v>1608.3</v>
      </c>
      <c r="IH741">
        <v>0</v>
      </c>
      <c r="II741">
        <v>0</v>
      </c>
      <c r="IJ741">
        <v>0</v>
      </c>
      <c r="IK741">
        <v>0</v>
      </c>
      <c r="IL741">
        <v>0</v>
      </c>
      <c r="IM741">
        <v>0</v>
      </c>
      <c r="IN741">
        <v>0</v>
      </c>
      <c r="IO741">
        <v>0</v>
      </c>
      <c r="IP741">
        <v>75.099999999999994</v>
      </c>
    </row>
    <row r="742" spans="1:250" ht="18.600000000000001" thickTop="1" thickBot="1">
      <c r="A742" s="181"/>
      <c r="B742" s="181" t="s">
        <v>408</v>
      </c>
      <c r="C742" s="330"/>
      <c r="D742" s="395"/>
      <c r="E742" s="454">
        <v>0</v>
      </c>
      <c r="F742">
        <v>0</v>
      </c>
      <c r="G742" s="427">
        <v>0</v>
      </c>
      <c r="H742" s="155">
        <v>0</v>
      </c>
      <c r="I742">
        <v>0</v>
      </c>
      <c r="J742">
        <v>0</v>
      </c>
      <c r="K742">
        <v>0</v>
      </c>
      <c r="L742" s="4">
        <v>0</v>
      </c>
      <c r="M742" s="4">
        <v>0</v>
      </c>
      <c r="N742" s="4">
        <v>0</v>
      </c>
      <c r="O742" s="4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R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G742">
        <v>0</v>
      </c>
      <c r="BI742">
        <v>0</v>
      </c>
      <c r="BK742">
        <v>0</v>
      </c>
      <c r="BL742">
        <v>0</v>
      </c>
      <c r="BM742">
        <v>0</v>
      </c>
      <c r="BN742">
        <v>0</v>
      </c>
      <c r="BO742">
        <v>344.70000000000005</v>
      </c>
      <c r="BP742">
        <v>625.70000000000005</v>
      </c>
      <c r="BQ742">
        <v>912.2</v>
      </c>
      <c r="BR742">
        <v>237.7</v>
      </c>
      <c r="BS742">
        <v>0</v>
      </c>
      <c r="BT742">
        <v>0</v>
      </c>
      <c r="BU742">
        <v>0</v>
      </c>
      <c r="BV742">
        <v>0</v>
      </c>
      <c r="BW742">
        <v>1647.4</v>
      </c>
      <c r="BY742">
        <v>453.1</v>
      </c>
      <c r="CA742">
        <v>285.39999999999998</v>
      </c>
      <c r="CB742">
        <v>280.8</v>
      </c>
      <c r="CC742">
        <v>127.7</v>
      </c>
      <c r="CD742">
        <v>0</v>
      </c>
      <c r="CE742">
        <v>0</v>
      </c>
      <c r="CF742">
        <v>0</v>
      </c>
      <c r="CG742">
        <v>0</v>
      </c>
      <c r="CI742">
        <v>0</v>
      </c>
      <c r="CJ742">
        <v>0</v>
      </c>
      <c r="CL742">
        <v>0</v>
      </c>
      <c r="CM742">
        <v>0</v>
      </c>
      <c r="CN742">
        <v>0</v>
      </c>
      <c r="CO742">
        <v>0</v>
      </c>
      <c r="CP742">
        <v>0</v>
      </c>
      <c r="CQ742">
        <v>621.70000000000005</v>
      </c>
      <c r="CR742">
        <v>481.70000000000005</v>
      </c>
      <c r="CS742">
        <v>0</v>
      </c>
      <c r="CT742">
        <v>524.6</v>
      </c>
      <c r="CU742">
        <v>514.1</v>
      </c>
      <c r="CV742">
        <v>175.2</v>
      </c>
      <c r="CW742">
        <v>0</v>
      </c>
      <c r="CX742">
        <v>65.099999999999994</v>
      </c>
      <c r="CY742">
        <v>199</v>
      </c>
      <c r="CZ742">
        <v>1907.9</v>
      </c>
      <c r="DA742">
        <v>0</v>
      </c>
      <c r="DB742">
        <v>0</v>
      </c>
      <c r="DC742">
        <v>0</v>
      </c>
      <c r="DD742">
        <v>0</v>
      </c>
      <c r="DE742">
        <v>0</v>
      </c>
      <c r="DF742">
        <v>0</v>
      </c>
      <c r="DG742">
        <v>0</v>
      </c>
      <c r="DH742">
        <v>0</v>
      </c>
      <c r="DI742">
        <v>0</v>
      </c>
      <c r="DJ742">
        <v>0</v>
      </c>
      <c r="DK742">
        <v>0</v>
      </c>
      <c r="DL742">
        <v>0</v>
      </c>
      <c r="DM742">
        <v>1065.4000000000001</v>
      </c>
      <c r="DN742">
        <v>599.70000000000005</v>
      </c>
      <c r="DO742">
        <v>319.7</v>
      </c>
      <c r="DP742">
        <v>1570.6999999999998</v>
      </c>
      <c r="DQ742">
        <v>1399.5</v>
      </c>
      <c r="DR742">
        <v>3581</v>
      </c>
      <c r="DU742">
        <v>1393.2</v>
      </c>
      <c r="DV742">
        <v>2862.6</v>
      </c>
      <c r="DY742">
        <v>2361</v>
      </c>
      <c r="EA742">
        <v>2409.6</v>
      </c>
      <c r="EC742">
        <v>1661.3999999999999</v>
      </c>
      <c r="EE742">
        <v>0</v>
      </c>
      <c r="EF742">
        <v>0</v>
      </c>
      <c r="EG742">
        <v>0</v>
      </c>
      <c r="EH742">
        <v>0</v>
      </c>
      <c r="EI742">
        <v>0</v>
      </c>
      <c r="EJ742">
        <v>0</v>
      </c>
      <c r="EK742">
        <v>0</v>
      </c>
      <c r="EL742">
        <v>0</v>
      </c>
      <c r="EM742">
        <v>0</v>
      </c>
      <c r="EN742">
        <v>0</v>
      </c>
      <c r="EO742">
        <v>0</v>
      </c>
      <c r="EP742">
        <v>944.5</v>
      </c>
      <c r="EQ742">
        <v>3459.7</v>
      </c>
      <c r="ER742">
        <v>1353.5</v>
      </c>
      <c r="ES742">
        <v>182.2</v>
      </c>
      <c r="ET742">
        <v>855.59999999999991</v>
      </c>
      <c r="EU742">
        <v>172.2</v>
      </c>
      <c r="EV742">
        <v>203.2</v>
      </c>
      <c r="EW742">
        <v>1173.0999999999999</v>
      </c>
      <c r="EX742">
        <v>1078.3</v>
      </c>
      <c r="EY742">
        <v>1194.4000000000001</v>
      </c>
      <c r="EZ742">
        <v>1207.0999999999999</v>
      </c>
      <c r="FA742">
        <v>0</v>
      </c>
      <c r="FB742">
        <v>0</v>
      </c>
      <c r="FC742">
        <v>0</v>
      </c>
      <c r="FD742">
        <v>0</v>
      </c>
      <c r="FE742">
        <v>0</v>
      </c>
      <c r="FF742">
        <v>0</v>
      </c>
      <c r="FG742">
        <v>0</v>
      </c>
      <c r="FH742">
        <v>0</v>
      </c>
      <c r="FI742">
        <v>0</v>
      </c>
      <c r="FJ742">
        <v>0</v>
      </c>
      <c r="FK742">
        <v>0</v>
      </c>
      <c r="FL742">
        <v>0</v>
      </c>
      <c r="FM742">
        <v>0</v>
      </c>
      <c r="FN742">
        <v>0</v>
      </c>
      <c r="FO742">
        <v>0</v>
      </c>
      <c r="FP742">
        <v>0</v>
      </c>
      <c r="FQ742">
        <v>0</v>
      </c>
      <c r="FR742">
        <v>0</v>
      </c>
      <c r="FS742">
        <v>0</v>
      </c>
      <c r="FT742">
        <v>0</v>
      </c>
      <c r="FU742">
        <v>0</v>
      </c>
      <c r="FV742">
        <v>0</v>
      </c>
      <c r="FW742">
        <v>0</v>
      </c>
      <c r="FX742">
        <v>0</v>
      </c>
      <c r="FY742">
        <v>0</v>
      </c>
      <c r="FZ742">
        <v>0</v>
      </c>
      <c r="GA742">
        <v>0</v>
      </c>
      <c r="GB742">
        <v>0</v>
      </c>
      <c r="GC742">
        <v>0</v>
      </c>
      <c r="GD742">
        <v>0</v>
      </c>
      <c r="GE742">
        <v>0</v>
      </c>
      <c r="GF742">
        <v>0</v>
      </c>
      <c r="GG742">
        <v>0</v>
      </c>
      <c r="GH742">
        <v>0</v>
      </c>
      <c r="GI742">
        <v>0</v>
      </c>
      <c r="GJ742">
        <v>0</v>
      </c>
      <c r="GK742">
        <v>0</v>
      </c>
      <c r="GL742">
        <v>0</v>
      </c>
      <c r="GO742">
        <v>0</v>
      </c>
      <c r="GP742">
        <v>0</v>
      </c>
      <c r="GQ742">
        <v>0</v>
      </c>
      <c r="GR742">
        <v>0</v>
      </c>
      <c r="GS742">
        <v>0</v>
      </c>
      <c r="GT742">
        <v>0</v>
      </c>
      <c r="GU742">
        <v>0</v>
      </c>
      <c r="GV742">
        <v>0</v>
      </c>
      <c r="GW742">
        <v>0</v>
      </c>
      <c r="GX742">
        <v>0</v>
      </c>
      <c r="GY742">
        <v>0</v>
      </c>
      <c r="GZ742">
        <v>0</v>
      </c>
      <c r="HA742">
        <v>0</v>
      </c>
      <c r="HB742">
        <v>0</v>
      </c>
      <c r="HC742">
        <v>0</v>
      </c>
      <c r="HD742">
        <v>0</v>
      </c>
      <c r="HE742">
        <v>0</v>
      </c>
      <c r="HF742">
        <v>0</v>
      </c>
      <c r="HG742">
        <v>0</v>
      </c>
      <c r="HH742">
        <v>0</v>
      </c>
      <c r="HI742">
        <v>0</v>
      </c>
      <c r="HJ742">
        <v>0</v>
      </c>
      <c r="HK742">
        <v>0</v>
      </c>
      <c r="HL742">
        <v>0</v>
      </c>
      <c r="HM742">
        <v>0</v>
      </c>
      <c r="HN742">
        <v>0</v>
      </c>
      <c r="HO742">
        <v>0</v>
      </c>
      <c r="HP742">
        <v>0</v>
      </c>
      <c r="HQ742">
        <v>0</v>
      </c>
      <c r="HR742">
        <v>0</v>
      </c>
      <c r="HS742">
        <v>0</v>
      </c>
      <c r="HT742">
        <v>0</v>
      </c>
      <c r="HU742">
        <v>0</v>
      </c>
      <c r="HV742">
        <v>0</v>
      </c>
      <c r="HW742">
        <v>404.70000000000005</v>
      </c>
      <c r="HX742">
        <v>342.3</v>
      </c>
      <c r="HZ742">
        <v>866.2</v>
      </c>
      <c r="IA742">
        <v>1142.8</v>
      </c>
      <c r="IB742">
        <v>1121.5</v>
      </c>
      <c r="IC742">
        <v>2403</v>
      </c>
      <c r="ID742">
        <v>2659.3</v>
      </c>
      <c r="IE742">
        <v>1923.4</v>
      </c>
      <c r="IF742">
        <v>1465.7</v>
      </c>
      <c r="IG742">
        <v>1608.3</v>
      </c>
      <c r="IH742">
        <v>0</v>
      </c>
      <c r="II742">
        <v>0</v>
      </c>
      <c r="IJ742">
        <v>0</v>
      </c>
      <c r="IK742">
        <v>0</v>
      </c>
      <c r="IL742">
        <v>0</v>
      </c>
      <c r="IM742">
        <v>0</v>
      </c>
      <c r="IN742">
        <v>0</v>
      </c>
      <c r="IO742">
        <v>0</v>
      </c>
      <c r="IP742">
        <v>75.099999999999994</v>
      </c>
    </row>
    <row r="743" spans="1:250" ht="18" thickBot="1">
      <c r="A743" s="245"/>
      <c r="B743" s="245" t="s">
        <v>409</v>
      </c>
      <c r="C743" s="230" t="s">
        <v>1164</v>
      </c>
      <c r="D743" s="397"/>
      <c r="E743" s="454">
        <v>0</v>
      </c>
      <c r="F743">
        <v>0</v>
      </c>
      <c r="G743" s="427">
        <v>0</v>
      </c>
      <c r="H743" s="155">
        <v>0</v>
      </c>
      <c r="I743">
        <v>0</v>
      </c>
      <c r="J743">
        <v>0</v>
      </c>
      <c r="K743">
        <v>0</v>
      </c>
      <c r="L743" s="4">
        <v>0</v>
      </c>
      <c r="M743" s="4">
        <v>0</v>
      </c>
      <c r="N743" s="4">
        <v>0</v>
      </c>
      <c r="O743" s="4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R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G743">
        <v>0</v>
      </c>
      <c r="BI743">
        <v>0</v>
      </c>
      <c r="BK743">
        <v>0</v>
      </c>
      <c r="BL743">
        <v>0</v>
      </c>
      <c r="BM743">
        <v>0</v>
      </c>
      <c r="BN743">
        <v>0</v>
      </c>
      <c r="BO743">
        <v>344.70000000000005</v>
      </c>
      <c r="BP743">
        <v>625.70000000000005</v>
      </c>
      <c r="BQ743">
        <v>912.2</v>
      </c>
      <c r="BR743">
        <v>237.7</v>
      </c>
      <c r="BS743">
        <v>0</v>
      </c>
      <c r="BT743">
        <v>0</v>
      </c>
      <c r="BU743">
        <v>0</v>
      </c>
      <c r="BV743">
        <v>0</v>
      </c>
      <c r="BW743">
        <v>1647.4</v>
      </c>
      <c r="BY743">
        <v>453.1</v>
      </c>
      <c r="CA743">
        <v>285.39999999999998</v>
      </c>
      <c r="CB743">
        <v>280.8</v>
      </c>
      <c r="CC743">
        <v>127.7</v>
      </c>
      <c r="CD743">
        <v>0</v>
      </c>
      <c r="CE743">
        <v>0</v>
      </c>
      <c r="CF743">
        <v>0</v>
      </c>
      <c r="CG743">
        <v>0</v>
      </c>
      <c r="CI743">
        <v>0</v>
      </c>
      <c r="CJ743">
        <v>0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621.70000000000005</v>
      </c>
      <c r="CR743">
        <v>481.70000000000005</v>
      </c>
      <c r="CS743">
        <v>0</v>
      </c>
      <c r="CT743">
        <v>524.6</v>
      </c>
      <c r="CU743">
        <v>514.1</v>
      </c>
      <c r="CV743">
        <v>175.2</v>
      </c>
      <c r="CW743">
        <v>0</v>
      </c>
      <c r="CX743">
        <v>65.099999999999994</v>
      </c>
      <c r="CY743">
        <v>199</v>
      </c>
      <c r="CZ743">
        <v>1907.9</v>
      </c>
      <c r="DA743">
        <v>0</v>
      </c>
      <c r="DB743">
        <v>0</v>
      </c>
      <c r="DC743">
        <v>0</v>
      </c>
      <c r="DD743">
        <v>0</v>
      </c>
      <c r="DE743">
        <v>0</v>
      </c>
      <c r="DF743">
        <v>0</v>
      </c>
      <c r="DG743">
        <v>0</v>
      </c>
      <c r="DH743">
        <v>0</v>
      </c>
      <c r="DI743">
        <v>0</v>
      </c>
      <c r="DJ743">
        <v>0</v>
      </c>
      <c r="DK743">
        <v>0</v>
      </c>
      <c r="DL743">
        <v>0</v>
      </c>
      <c r="DM743">
        <v>1065.4000000000001</v>
      </c>
      <c r="DN743">
        <v>599.70000000000005</v>
      </c>
      <c r="DO743">
        <v>319.7</v>
      </c>
      <c r="DP743">
        <v>1570.6999999999998</v>
      </c>
      <c r="DQ743">
        <v>1399.5</v>
      </c>
      <c r="DR743">
        <v>3581</v>
      </c>
      <c r="DU743">
        <v>1393.2</v>
      </c>
      <c r="DV743">
        <v>2862.6</v>
      </c>
      <c r="DY743">
        <v>2361</v>
      </c>
      <c r="EA743">
        <v>2409.6</v>
      </c>
      <c r="EC743">
        <v>1661.3999999999999</v>
      </c>
      <c r="EE743">
        <v>0</v>
      </c>
      <c r="EF743">
        <v>0</v>
      </c>
      <c r="EG743">
        <v>0</v>
      </c>
      <c r="EH743">
        <v>0</v>
      </c>
      <c r="EI743">
        <v>0</v>
      </c>
      <c r="EJ743">
        <v>0</v>
      </c>
      <c r="EK743">
        <v>0</v>
      </c>
      <c r="EL743">
        <v>0</v>
      </c>
      <c r="EM743">
        <v>0</v>
      </c>
      <c r="EN743">
        <v>0</v>
      </c>
      <c r="EO743">
        <v>0</v>
      </c>
      <c r="EP743">
        <v>944.5</v>
      </c>
      <c r="EQ743">
        <v>3459.7</v>
      </c>
      <c r="ER743">
        <v>1353.5</v>
      </c>
      <c r="ES743">
        <v>182.2</v>
      </c>
      <c r="ET743">
        <v>855.59999999999991</v>
      </c>
      <c r="EU743">
        <v>172.2</v>
      </c>
      <c r="EV743">
        <v>203.2</v>
      </c>
      <c r="EW743">
        <v>1173.0999999999999</v>
      </c>
      <c r="EX743">
        <v>1078.3</v>
      </c>
      <c r="EY743">
        <v>1194.4000000000001</v>
      </c>
      <c r="EZ743">
        <v>1207.0999999999999</v>
      </c>
      <c r="FA743">
        <v>0</v>
      </c>
      <c r="FB743">
        <v>0</v>
      </c>
      <c r="FC743">
        <v>0</v>
      </c>
      <c r="FD743">
        <v>0</v>
      </c>
      <c r="FE743">
        <v>0</v>
      </c>
      <c r="FF743">
        <v>0</v>
      </c>
      <c r="FG743">
        <v>0</v>
      </c>
      <c r="FH743">
        <v>0</v>
      </c>
      <c r="FI743">
        <v>0</v>
      </c>
      <c r="FJ743">
        <v>0</v>
      </c>
      <c r="FK743">
        <v>0</v>
      </c>
      <c r="FL743">
        <v>0</v>
      </c>
      <c r="FM743">
        <v>0</v>
      </c>
      <c r="FN743">
        <v>0</v>
      </c>
      <c r="FO743">
        <v>0</v>
      </c>
      <c r="FP743">
        <v>0</v>
      </c>
      <c r="FQ743">
        <v>0</v>
      </c>
      <c r="FR743">
        <v>0</v>
      </c>
      <c r="FS743">
        <v>0</v>
      </c>
      <c r="FT743">
        <v>0</v>
      </c>
      <c r="FU743">
        <v>0</v>
      </c>
      <c r="FV743">
        <v>0</v>
      </c>
      <c r="FW743">
        <v>0</v>
      </c>
      <c r="FX743">
        <v>0</v>
      </c>
      <c r="FY743">
        <v>0</v>
      </c>
      <c r="FZ743">
        <v>0</v>
      </c>
      <c r="GA743">
        <v>0</v>
      </c>
      <c r="GB743">
        <v>0</v>
      </c>
      <c r="GC743">
        <v>0</v>
      </c>
      <c r="GD743">
        <v>0</v>
      </c>
      <c r="GE743">
        <v>0</v>
      </c>
      <c r="GF743">
        <v>0</v>
      </c>
      <c r="GG743">
        <v>0</v>
      </c>
      <c r="GH743">
        <v>0</v>
      </c>
      <c r="GI743">
        <v>0</v>
      </c>
      <c r="GJ743">
        <v>0</v>
      </c>
      <c r="GK743">
        <v>0</v>
      </c>
      <c r="GL743">
        <v>0</v>
      </c>
      <c r="GO743">
        <v>0</v>
      </c>
      <c r="GP743">
        <v>0</v>
      </c>
      <c r="GQ743">
        <v>0</v>
      </c>
      <c r="GR743">
        <v>0</v>
      </c>
      <c r="GS743">
        <v>0</v>
      </c>
      <c r="GT743">
        <v>0</v>
      </c>
      <c r="GU743">
        <v>0</v>
      </c>
      <c r="GV743">
        <v>0</v>
      </c>
      <c r="GW743">
        <v>0</v>
      </c>
      <c r="GX743">
        <v>0</v>
      </c>
      <c r="GY743">
        <v>0</v>
      </c>
      <c r="GZ743">
        <v>0</v>
      </c>
      <c r="HA743">
        <v>0</v>
      </c>
      <c r="HB743">
        <v>0</v>
      </c>
      <c r="HC743">
        <v>0</v>
      </c>
      <c r="HD743">
        <v>0</v>
      </c>
      <c r="HE743">
        <v>0</v>
      </c>
      <c r="HF743">
        <v>0</v>
      </c>
      <c r="HG743">
        <v>0</v>
      </c>
      <c r="HH743">
        <v>0</v>
      </c>
      <c r="HI743">
        <v>0</v>
      </c>
      <c r="HJ743">
        <v>0</v>
      </c>
      <c r="HK743">
        <v>0</v>
      </c>
      <c r="HL743">
        <v>0</v>
      </c>
      <c r="HM743">
        <v>0</v>
      </c>
      <c r="HN743">
        <v>0</v>
      </c>
      <c r="HO743">
        <v>0</v>
      </c>
      <c r="HP743">
        <v>0</v>
      </c>
      <c r="HQ743">
        <v>0</v>
      </c>
      <c r="HR743">
        <v>0</v>
      </c>
      <c r="HS743">
        <v>0</v>
      </c>
      <c r="HT743">
        <v>0</v>
      </c>
      <c r="HU743">
        <v>0</v>
      </c>
      <c r="HV743">
        <v>0</v>
      </c>
      <c r="HW743">
        <v>404.70000000000005</v>
      </c>
      <c r="HX743">
        <v>342.3</v>
      </c>
      <c r="HZ743">
        <v>866.2</v>
      </c>
      <c r="IA743">
        <v>1142.8</v>
      </c>
      <c r="IB743">
        <v>1121.5</v>
      </c>
      <c r="IC743">
        <v>2403</v>
      </c>
      <c r="ID743">
        <v>2659.3</v>
      </c>
      <c r="IE743">
        <v>1923.4</v>
      </c>
      <c r="IF743">
        <v>1465.7</v>
      </c>
      <c r="IG743">
        <v>1608.3</v>
      </c>
      <c r="IH743">
        <v>0</v>
      </c>
      <c r="II743">
        <v>0</v>
      </c>
      <c r="IJ743">
        <v>0</v>
      </c>
      <c r="IK743">
        <v>0</v>
      </c>
      <c r="IL743">
        <v>0</v>
      </c>
      <c r="IM743">
        <v>0</v>
      </c>
      <c r="IN743">
        <v>0</v>
      </c>
      <c r="IO743">
        <v>0</v>
      </c>
      <c r="IP743">
        <v>75.099999999999994</v>
      </c>
    </row>
    <row r="744" spans="1:250" ht="18" thickBot="1">
      <c r="A744" s="245"/>
      <c r="B744" s="245" t="s">
        <v>410</v>
      </c>
      <c r="C744" s="230" t="s">
        <v>1165</v>
      </c>
      <c r="D744" s="397"/>
      <c r="E744" s="454">
        <v>0</v>
      </c>
      <c r="F744">
        <v>0</v>
      </c>
      <c r="G744" s="427">
        <v>0</v>
      </c>
      <c r="H744" s="155">
        <v>0</v>
      </c>
      <c r="I744">
        <v>0</v>
      </c>
      <c r="J744">
        <v>0</v>
      </c>
      <c r="K744">
        <v>0</v>
      </c>
      <c r="L744" s="4">
        <v>0</v>
      </c>
      <c r="M744" s="4">
        <v>0</v>
      </c>
      <c r="N744" s="4">
        <v>0</v>
      </c>
      <c r="O744" s="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R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G744">
        <v>0</v>
      </c>
      <c r="BI744">
        <v>0</v>
      </c>
      <c r="BK744">
        <v>0</v>
      </c>
      <c r="BL744">
        <v>0</v>
      </c>
      <c r="BM744">
        <v>0</v>
      </c>
      <c r="BN744">
        <v>0</v>
      </c>
      <c r="BO744">
        <v>344.70000000000005</v>
      </c>
      <c r="BP744">
        <v>625.70000000000005</v>
      </c>
      <c r="BQ744">
        <v>912.2</v>
      </c>
      <c r="BR744">
        <v>237.7</v>
      </c>
      <c r="BS744">
        <v>0</v>
      </c>
      <c r="BT744">
        <v>0</v>
      </c>
      <c r="BU744">
        <v>0</v>
      </c>
      <c r="BV744">
        <v>0</v>
      </c>
      <c r="BW744">
        <v>1647.4</v>
      </c>
      <c r="BY744">
        <v>453.1</v>
      </c>
      <c r="CA744">
        <v>285.39999999999998</v>
      </c>
      <c r="CB744">
        <v>280.8</v>
      </c>
      <c r="CC744">
        <v>127.7</v>
      </c>
      <c r="CD744">
        <v>0</v>
      </c>
      <c r="CE744">
        <v>0</v>
      </c>
      <c r="CF744">
        <v>0</v>
      </c>
      <c r="CG744">
        <v>0</v>
      </c>
      <c r="CI744">
        <v>0</v>
      </c>
      <c r="CJ744">
        <v>0</v>
      </c>
      <c r="CL744">
        <v>0</v>
      </c>
      <c r="CM744">
        <v>0</v>
      </c>
      <c r="CN744">
        <v>0</v>
      </c>
      <c r="CO744">
        <v>0</v>
      </c>
      <c r="CP744">
        <v>0</v>
      </c>
      <c r="CQ744">
        <v>621.70000000000005</v>
      </c>
      <c r="CR744">
        <v>481.70000000000005</v>
      </c>
      <c r="CS744">
        <v>0</v>
      </c>
      <c r="CT744">
        <v>524.6</v>
      </c>
      <c r="CU744">
        <v>514.1</v>
      </c>
      <c r="CV744">
        <v>175.2</v>
      </c>
      <c r="CW744">
        <v>0</v>
      </c>
      <c r="CX744">
        <v>65.099999999999994</v>
      </c>
      <c r="CY744">
        <v>199</v>
      </c>
      <c r="CZ744">
        <v>1907.9</v>
      </c>
      <c r="DA744">
        <v>0</v>
      </c>
      <c r="DB744">
        <v>0</v>
      </c>
      <c r="DC744">
        <v>0</v>
      </c>
      <c r="DD744">
        <v>0</v>
      </c>
      <c r="DE744">
        <v>0</v>
      </c>
      <c r="DF744">
        <v>0</v>
      </c>
      <c r="DG744">
        <v>0</v>
      </c>
      <c r="DH744">
        <v>0</v>
      </c>
      <c r="DI744">
        <v>0</v>
      </c>
      <c r="DJ744">
        <v>0</v>
      </c>
      <c r="DK744">
        <v>0</v>
      </c>
      <c r="DL744">
        <v>0</v>
      </c>
      <c r="DM744">
        <v>1065.4000000000001</v>
      </c>
      <c r="DN744">
        <v>599.70000000000005</v>
      </c>
      <c r="DO744">
        <v>319.7</v>
      </c>
      <c r="DP744">
        <v>1570.6999999999998</v>
      </c>
      <c r="DQ744">
        <v>1399.5</v>
      </c>
      <c r="DR744">
        <v>3581</v>
      </c>
      <c r="DU744">
        <v>1393.2</v>
      </c>
      <c r="DV744">
        <v>2862.6</v>
      </c>
      <c r="DY744">
        <v>2361</v>
      </c>
      <c r="EA744">
        <v>2409.6</v>
      </c>
      <c r="EC744">
        <v>1661.3999999999999</v>
      </c>
      <c r="EE744">
        <v>0</v>
      </c>
      <c r="EF744">
        <v>0</v>
      </c>
      <c r="EG744">
        <v>0</v>
      </c>
      <c r="EH744">
        <v>0</v>
      </c>
      <c r="EI744">
        <v>0</v>
      </c>
      <c r="EJ744">
        <v>0</v>
      </c>
      <c r="EK744">
        <v>0</v>
      </c>
      <c r="EL744">
        <v>0</v>
      </c>
      <c r="EM744">
        <v>0</v>
      </c>
      <c r="EN744">
        <v>0</v>
      </c>
      <c r="EO744">
        <v>0</v>
      </c>
      <c r="EP744">
        <v>944.5</v>
      </c>
      <c r="EQ744">
        <v>3459.7</v>
      </c>
      <c r="ER744">
        <v>1353.5</v>
      </c>
      <c r="ES744">
        <v>182.2</v>
      </c>
      <c r="ET744">
        <v>855.59999999999991</v>
      </c>
      <c r="EU744">
        <v>172.2</v>
      </c>
      <c r="EV744">
        <v>203.2</v>
      </c>
      <c r="EW744">
        <v>1173.0999999999999</v>
      </c>
      <c r="EX744">
        <v>1078.3</v>
      </c>
      <c r="EY744">
        <v>1194.4000000000001</v>
      </c>
      <c r="EZ744">
        <v>1207.0999999999999</v>
      </c>
      <c r="FA744">
        <v>0</v>
      </c>
      <c r="FB744">
        <v>0</v>
      </c>
      <c r="FC744">
        <v>0</v>
      </c>
      <c r="FD744">
        <v>0</v>
      </c>
      <c r="FE744">
        <v>0</v>
      </c>
      <c r="FF744">
        <v>0</v>
      </c>
      <c r="FG744">
        <v>0</v>
      </c>
      <c r="FH744">
        <v>0</v>
      </c>
      <c r="FI744">
        <v>0</v>
      </c>
      <c r="FJ744">
        <v>0</v>
      </c>
      <c r="FK744">
        <v>0</v>
      </c>
      <c r="FL744">
        <v>0</v>
      </c>
      <c r="FM744">
        <v>0</v>
      </c>
      <c r="FN744">
        <v>0</v>
      </c>
      <c r="FO744">
        <v>0</v>
      </c>
      <c r="FP744">
        <v>0</v>
      </c>
      <c r="FQ744">
        <v>0</v>
      </c>
      <c r="FR744">
        <v>0</v>
      </c>
      <c r="FS744">
        <v>0</v>
      </c>
      <c r="FT744">
        <v>0</v>
      </c>
      <c r="FU744">
        <v>0</v>
      </c>
      <c r="FV744">
        <v>0</v>
      </c>
      <c r="FW744">
        <v>0</v>
      </c>
      <c r="FX744">
        <v>0</v>
      </c>
      <c r="FY744">
        <v>0</v>
      </c>
      <c r="FZ744">
        <v>0</v>
      </c>
      <c r="GA744">
        <v>0</v>
      </c>
      <c r="GB744">
        <v>0</v>
      </c>
      <c r="GC744">
        <v>0</v>
      </c>
      <c r="GD744">
        <v>0</v>
      </c>
      <c r="GE744">
        <v>0</v>
      </c>
      <c r="GF744">
        <v>0</v>
      </c>
      <c r="GG744">
        <v>0</v>
      </c>
      <c r="GH744">
        <v>0</v>
      </c>
      <c r="GI744">
        <v>0</v>
      </c>
      <c r="GJ744">
        <v>0</v>
      </c>
      <c r="GK744">
        <v>0</v>
      </c>
      <c r="GL744">
        <v>0</v>
      </c>
      <c r="GO744">
        <v>0</v>
      </c>
      <c r="GP744">
        <v>0</v>
      </c>
      <c r="GQ744">
        <v>0</v>
      </c>
      <c r="GR744">
        <v>0</v>
      </c>
      <c r="GS744">
        <v>0</v>
      </c>
      <c r="GT744">
        <v>0</v>
      </c>
      <c r="GU744">
        <v>0</v>
      </c>
      <c r="GV744">
        <v>0</v>
      </c>
      <c r="GW744">
        <v>0</v>
      </c>
      <c r="GX744">
        <v>0</v>
      </c>
      <c r="GY744">
        <v>0</v>
      </c>
      <c r="GZ744">
        <v>0</v>
      </c>
      <c r="HA744">
        <v>0</v>
      </c>
      <c r="HB744">
        <v>0</v>
      </c>
      <c r="HC744">
        <v>0</v>
      </c>
      <c r="HD744">
        <v>0</v>
      </c>
      <c r="HE744">
        <v>0</v>
      </c>
      <c r="HF744">
        <v>0</v>
      </c>
      <c r="HG744">
        <v>0</v>
      </c>
      <c r="HH744">
        <v>0</v>
      </c>
      <c r="HI744">
        <v>0</v>
      </c>
      <c r="HJ744">
        <v>0</v>
      </c>
      <c r="HK744">
        <v>0</v>
      </c>
      <c r="HL744">
        <v>0</v>
      </c>
      <c r="HM744">
        <v>0</v>
      </c>
      <c r="HN744">
        <v>0</v>
      </c>
      <c r="HO744">
        <v>0</v>
      </c>
      <c r="HP744">
        <v>0</v>
      </c>
      <c r="HQ744">
        <v>0</v>
      </c>
      <c r="HR744">
        <v>0</v>
      </c>
      <c r="HS744">
        <v>0</v>
      </c>
      <c r="HT744">
        <v>0</v>
      </c>
      <c r="HU744">
        <v>0</v>
      </c>
      <c r="HV744">
        <v>0</v>
      </c>
      <c r="HW744">
        <v>404.70000000000005</v>
      </c>
      <c r="HX744">
        <v>342.3</v>
      </c>
      <c r="HZ744">
        <v>866.2</v>
      </c>
      <c r="IA744">
        <v>1142.8</v>
      </c>
      <c r="IB744">
        <v>1121.5</v>
      </c>
      <c r="IC744">
        <v>2403</v>
      </c>
      <c r="ID744">
        <v>2659.3</v>
      </c>
      <c r="IE744">
        <v>1923.4</v>
      </c>
      <c r="IF744">
        <v>1465.7</v>
      </c>
      <c r="IG744">
        <v>1608.3</v>
      </c>
      <c r="IH744">
        <v>0</v>
      </c>
      <c r="II744">
        <v>0</v>
      </c>
      <c r="IJ744">
        <v>0</v>
      </c>
      <c r="IK744">
        <v>0</v>
      </c>
      <c r="IL744">
        <v>0</v>
      </c>
      <c r="IM744">
        <v>0</v>
      </c>
      <c r="IN744">
        <v>0</v>
      </c>
      <c r="IO744">
        <v>0</v>
      </c>
      <c r="IP744">
        <v>75.099999999999994</v>
      </c>
    </row>
    <row r="745" spans="1:250" ht="18" thickBot="1">
      <c r="A745" s="245"/>
      <c r="B745" s="245" t="s">
        <v>411</v>
      </c>
      <c r="C745" s="230" t="s">
        <v>1166</v>
      </c>
      <c r="D745" s="397"/>
      <c r="E745" s="454">
        <v>0</v>
      </c>
      <c r="F745">
        <v>0</v>
      </c>
      <c r="G745" s="427">
        <v>0</v>
      </c>
      <c r="H745" s="155">
        <v>0</v>
      </c>
      <c r="I745">
        <v>0</v>
      </c>
      <c r="J745">
        <v>0</v>
      </c>
      <c r="K745">
        <v>0</v>
      </c>
      <c r="L745" s="4">
        <v>0</v>
      </c>
      <c r="M745" s="4">
        <v>0</v>
      </c>
      <c r="N745" s="4">
        <v>0</v>
      </c>
      <c r="O745" s="4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R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G745">
        <v>0</v>
      </c>
      <c r="BI745">
        <v>0</v>
      </c>
      <c r="BK745">
        <v>0</v>
      </c>
      <c r="BL745">
        <v>0</v>
      </c>
      <c r="BM745">
        <v>0</v>
      </c>
      <c r="BN745">
        <v>0</v>
      </c>
      <c r="BO745">
        <v>344.70000000000005</v>
      </c>
      <c r="BP745">
        <v>625.70000000000005</v>
      </c>
      <c r="BQ745">
        <v>912.2</v>
      </c>
      <c r="BR745">
        <v>237.7</v>
      </c>
      <c r="BS745">
        <v>0</v>
      </c>
      <c r="BT745">
        <v>0</v>
      </c>
      <c r="BU745">
        <v>0</v>
      </c>
      <c r="BV745">
        <v>0</v>
      </c>
      <c r="BW745">
        <v>1647.4</v>
      </c>
      <c r="BY745">
        <v>453.1</v>
      </c>
      <c r="CA745">
        <v>285.39999999999998</v>
      </c>
      <c r="CB745">
        <v>280.8</v>
      </c>
      <c r="CC745">
        <v>127.7</v>
      </c>
      <c r="CD745">
        <v>0</v>
      </c>
      <c r="CE745">
        <v>0</v>
      </c>
      <c r="CF745">
        <v>0</v>
      </c>
      <c r="CG745">
        <v>0</v>
      </c>
      <c r="CI745">
        <v>0</v>
      </c>
      <c r="CJ745">
        <v>0</v>
      </c>
      <c r="CL745">
        <v>0</v>
      </c>
      <c r="CM745">
        <v>0</v>
      </c>
      <c r="CN745">
        <v>0</v>
      </c>
      <c r="CO745">
        <v>0</v>
      </c>
      <c r="CP745">
        <v>0</v>
      </c>
      <c r="CQ745">
        <v>621.70000000000005</v>
      </c>
      <c r="CR745">
        <v>481.70000000000005</v>
      </c>
      <c r="CS745">
        <v>0</v>
      </c>
      <c r="CT745">
        <v>524.6</v>
      </c>
      <c r="CU745">
        <v>514.1</v>
      </c>
      <c r="CV745">
        <v>175.2</v>
      </c>
      <c r="CW745">
        <v>0</v>
      </c>
      <c r="CX745">
        <v>65.099999999999994</v>
      </c>
      <c r="CY745">
        <v>199</v>
      </c>
      <c r="CZ745">
        <v>1907.9</v>
      </c>
      <c r="DA745">
        <v>0</v>
      </c>
      <c r="DB745">
        <v>0</v>
      </c>
      <c r="DC745">
        <v>0</v>
      </c>
      <c r="DD745">
        <v>0</v>
      </c>
      <c r="DE745">
        <v>0</v>
      </c>
      <c r="DF745">
        <v>0</v>
      </c>
      <c r="DG745">
        <v>0</v>
      </c>
      <c r="DH745">
        <v>0</v>
      </c>
      <c r="DI745">
        <v>0</v>
      </c>
      <c r="DJ745">
        <v>0</v>
      </c>
      <c r="DK745">
        <v>0</v>
      </c>
      <c r="DL745">
        <v>0</v>
      </c>
      <c r="DM745">
        <v>1065.4000000000001</v>
      </c>
      <c r="DN745">
        <v>599.70000000000005</v>
      </c>
      <c r="DO745">
        <v>319.7</v>
      </c>
      <c r="DP745">
        <v>1570.6999999999998</v>
      </c>
      <c r="DQ745">
        <v>1399.5</v>
      </c>
      <c r="DR745">
        <v>3581</v>
      </c>
      <c r="DU745">
        <v>1393.2</v>
      </c>
      <c r="DV745">
        <v>2862.6</v>
      </c>
      <c r="DY745">
        <v>2361</v>
      </c>
      <c r="EA745">
        <v>2409.6</v>
      </c>
      <c r="EC745">
        <v>1661.3999999999999</v>
      </c>
      <c r="EE745">
        <v>0</v>
      </c>
      <c r="EF745">
        <v>0</v>
      </c>
      <c r="EG745">
        <v>0</v>
      </c>
      <c r="EH745">
        <v>0</v>
      </c>
      <c r="EI745">
        <v>0</v>
      </c>
      <c r="EJ745">
        <v>0</v>
      </c>
      <c r="EK745">
        <v>0</v>
      </c>
      <c r="EL745">
        <v>0</v>
      </c>
      <c r="EM745">
        <v>0</v>
      </c>
      <c r="EN745">
        <v>0</v>
      </c>
      <c r="EO745">
        <v>0</v>
      </c>
      <c r="EP745">
        <v>944.5</v>
      </c>
      <c r="EQ745">
        <v>3459.7</v>
      </c>
      <c r="ER745">
        <v>1353.5</v>
      </c>
      <c r="ES745">
        <v>182.2</v>
      </c>
      <c r="ET745">
        <v>855.59999999999991</v>
      </c>
      <c r="EU745">
        <v>172.2</v>
      </c>
      <c r="EV745">
        <v>203.2</v>
      </c>
      <c r="EW745">
        <v>1173.0999999999999</v>
      </c>
      <c r="EX745">
        <v>1078.3</v>
      </c>
      <c r="EY745">
        <v>1194.4000000000001</v>
      </c>
      <c r="EZ745">
        <v>1207.0999999999999</v>
      </c>
      <c r="FA745">
        <v>0</v>
      </c>
      <c r="FB745">
        <v>0</v>
      </c>
      <c r="FC745">
        <v>0</v>
      </c>
      <c r="FD745">
        <v>0</v>
      </c>
      <c r="FE745">
        <v>0</v>
      </c>
      <c r="FF745">
        <v>0</v>
      </c>
      <c r="FG745">
        <v>0</v>
      </c>
      <c r="FH745">
        <v>0</v>
      </c>
      <c r="FI745">
        <v>0</v>
      </c>
      <c r="FJ745">
        <v>0</v>
      </c>
      <c r="FK745">
        <v>0</v>
      </c>
      <c r="FL745">
        <v>0</v>
      </c>
      <c r="FM745">
        <v>0</v>
      </c>
      <c r="FN745">
        <v>0</v>
      </c>
      <c r="FO745">
        <v>0</v>
      </c>
      <c r="FP745">
        <v>0</v>
      </c>
      <c r="FQ745">
        <v>0</v>
      </c>
      <c r="FR745">
        <v>0</v>
      </c>
      <c r="FS745">
        <v>0</v>
      </c>
      <c r="FT745">
        <v>0</v>
      </c>
      <c r="FU745">
        <v>0</v>
      </c>
      <c r="FV745">
        <v>0</v>
      </c>
      <c r="FW745">
        <v>0</v>
      </c>
      <c r="FX745">
        <v>0</v>
      </c>
      <c r="FY745">
        <v>0</v>
      </c>
      <c r="FZ745">
        <v>0</v>
      </c>
      <c r="GA745">
        <v>0</v>
      </c>
      <c r="GB745">
        <v>0</v>
      </c>
      <c r="GC745">
        <v>0</v>
      </c>
      <c r="GD745">
        <v>0</v>
      </c>
      <c r="GE745">
        <v>0</v>
      </c>
      <c r="GF745">
        <v>0</v>
      </c>
      <c r="GG745">
        <v>0</v>
      </c>
      <c r="GH745">
        <v>0</v>
      </c>
      <c r="GI745">
        <v>0</v>
      </c>
      <c r="GJ745">
        <v>0</v>
      </c>
      <c r="GK745">
        <v>0</v>
      </c>
      <c r="GL745">
        <v>0</v>
      </c>
      <c r="GO745">
        <v>0</v>
      </c>
      <c r="GP745">
        <v>0</v>
      </c>
      <c r="GQ745">
        <v>0</v>
      </c>
      <c r="GR745">
        <v>0</v>
      </c>
      <c r="GS745">
        <v>0</v>
      </c>
      <c r="GT745">
        <v>0</v>
      </c>
      <c r="GU745">
        <v>0</v>
      </c>
      <c r="GV745">
        <v>0</v>
      </c>
      <c r="GW745">
        <v>0</v>
      </c>
      <c r="GX745">
        <v>0</v>
      </c>
      <c r="GY745">
        <v>0</v>
      </c>
      <c r="GZ745">
        <v>0</v>
      </c>
      <c r="HA745">
        <v>0</v>
      </c>
      <c r="HB745">
        <v>0</v>
      </c>
      <c r="HC745">
        <v>0</v>
      </c>
      <c r="HD745">
        <v>0</v>
      </c>
      <c r="HE745">
        <v>0</v>
      </c>
      <c r="HF745">
        <v>0</v>
      </c>
      <c r="HG745">
        <v>0</v>
      </c>
      <c r="HH745">
        <v>0</v>
      </c>
      <c r="HI745">
        <v>0</v>
      </c>
      <c r="HJ745">
        <v>0</v>
      </c>
      <c r="HK745">
        <v>0</v>
      </c>
      <c r="HL745">
        <v>0</v>
      </c>
      <c r="HM745">
        <v>0</v>
      </c>
      <c r="HN745">
        <v>0</v>
      </c>
      <c r="HO745">
        <v>0</v>
      </c>
      <c r="HP745">
        <v>0</v>
      </c>
      <c r="HQ745">
        <v>0</v>
      </c>
      <c r="HR745">
        <v>0</v>
      </c>
      <c r="HS745">
        <v>0</v>
      </c>
      <c r="HT745">
        <v>0</v>
      </c>
      <c r="HU745">
        <v>0</v>
      </c>
      <c r="HV745">
        <v>0</v>
      </c>
      <c r="HW745">
        <v>404.70000000000005</v>
      </c>
      <c r="HX745">
        <v>342.3</v>
      </c>
      <c r="HZ745">
        <v>866.2</v>
      </c>
      <c r="IA745">
        <v>1142.8</v>
      </c>
      <c r="IB745">
        <v>1121.5</v>
      </c>
      <c r="IC745">
        <v>2403</v>
      </c>
      <c r="ID745">
        <v>2659.3</v>
      </c>
      <c r="IE745">
        <v>1923.4</v>
      </c>
      <c r="IF745">
        <v>1465.7</v>
      </c>
      <c r="IG745">
        <v>1608.3</v>
      </c>
      <c r="IH745">
        <v>0</v>
      </c>
      <c r="II745">
        <v>0</v>
      </c>
      <c r="IJ745">
        <v>0</v>
      </c>
      <c r="IK745">
        <v>0</v>
      </c>
      <c r="IL745">
        <v>0</v>
      </c>
      <c r="IM745">
        <v>0</v>
      </c>
      <c r="IN745">
        <v>0</v>
      </c>
      <c r="IO745">
        <v>0</v>
      </c>
      <c r="IP745">
        <v>75.099999999999994</v>
      </c>
    </row>
    <row r="746" spans="1:250" ht="18" thickBot="1">
      <c r="A746" s="245"/>
      <c r="B746" s="245" t="s">
        <v>412</v>
      </c>
      <c r="C746" s="88" t="s">
        <v>1167</v>
      </c>
      <c r="D746" s="397"/>
      <c r="E746" s="454">
        <v>0</v>
      </c>
      <c r="F746">
        <v>0</v>
      </c>
      <c r="G746" s="427">
        <v>0</v>
      </c>
      <c r="H746" s="155">
        <v>0</v>
      </c>
      <c r="I746">
        <v>0</v>
      </c>
      <c r="J746">
        <v>0</v>
      </c>
      <c r="K746">
        <v>0</v>
      </c>
      <c r="L746" s="4">
        <v>0</v>
      </c>
      <c r="M746" s="4">
        <v>0</v>
      </c>
      <c r="N746" s="4">
        <v>0</v>
      </c>
      <c r="O746" s="4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R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G746">
        <v>0</v>
      </c>
      <c r="BI746">
        <v>0</v>
      </c>
      <c r="BK746">
        <v>0</v>
      </c>
      <c r="BL746">
        <v>0</v>
      </c>
      <c r="BM746">
        <v>0</v>
      </c>
      <c r="BN746">
        <v>0</v>
      </c>
      <c r="BO746">
        <v>344.70000000000005</v>
      </c>
      <c r="BP746">
        <v>625.70000000000005</v>
      </c>
      <c r="BQ746">
        <v>912.2</v>
      </c>
      <c r="BR746">
        <v>237.7</v>
      </c>
      <c r="BS746">
        <v>0</v>
      </c>
      <c r="BT746">
        <v>0</v>
      </c>
      <c r="BU746">
        <v>0</v>
      </c>
      <c r="BV746">
        <v>0</v>
      </c>
      <c r="BW746">
        <v>1647.4</v>
      </c>
      <c r="BY746">
        <v>453.1</v>
      </c>
      <c r="CA746">
        <v>285.39999999999998</v>
      </c>
      <c r="CB746">
        <v>280.8</v>
      </c>
      <c r="CC746">
        <v>127.7</v>
      </c>
      <c r="CD746">
        <v>0</v>
      </c>
      <c r="CE746">
        <v>0</v>
      </c>
      <c r="CF746">
        <v>0</v>
      </c>
      <c r="CG746">
        <v>0</v>
      </c>
      <c r="CI746">
        <v>0</v>
      </c>
      <c r="CJ746">
        <v>0</v>
      </c>
      <c r="CL746">
        <v>0</v>
      </c>
      <c r="CM746">
        <v>0</v>
      </c>
      <c r="CN746">
        <v>0</v>
      </c>
      <c r="CO746">
        <v>0</v>
      </c>
      <c r="CP746">
        <v>0</v>
      </c>
      <c r="CQ746">
        <v>621.70000000000005</v>
      </c>
      <c r="CR746">
        <v>481.70000000000005</v>
      </c>
      <c r="CS746">
        <v>0</v>
      </c>
      <c r="CT746">
        <v>524.6</v>
      </c>
      <c r="CU746">
        <v>514.1</v>
      </c>
      <c r="CV746">
        <v>175.2</v>
      </c>
      <c r="CW746">
        <v>0</v>
      </c>
      <c r="CX746">
        <v>65.099999999999994</v>
      </c>
      <c r="CY746">
        <v>199</v>
      </c>
      <c r="CZ746">
        <v>1907.9</v>
      </c>
      <c r="DA746">
        <v>0</v>
      </c>
      <c r="DB746">
        <v>0</v>
      </c>
      <c r="DC746">
        <v>0</v>
      </c>
      <c r="DD746">
        <v>0</v>
      </c>
      <c r="DE746">
        <v>0</v>
      </c>
      <c r="DF746">
        <v>0</v>
      </c>
      <c r="DG746">
        <v>0</v>
      </c>
      <c r="DH746">
        <v>0</v>
      </c>
      <c r="DI746">
        <v>0</v>
      </c>
      <c r="DJ746">
        <v>0</v>
      </c>
      <c r="DK746">
        <v>0</v>
      </c>
      <c r="DL746">
        <v>0</v>
      </c>
      <c r="DM746">
        <v>1065.4000000000001</v>
      </c>
      <c r="DN746">
        <v>599.70000000000005</v>
      </c>
      <c r="DO746">
        <v>319.7</v>
      </c>
      <c r="DP746">
        <v>1570.6999999999998</v>
      </c>
      <c r="DQ746">
        <v>1399.5</v>
      </c>
      <c r="DR746">
        <v>3581</v>
      </c>
      <c r="DU746">
        <v>1393.2</v>
      </c>
      <c r="DV746">
        <v>2862.6</v>
      </c>
      <c r="DY746">
        <v>2361</v>
      </c>
      <c r="EA746">
        <v>2409.6</v>
      </c>
      <c r="EC746">
        <v>1661.3999999999999</v>
      </c>
      <c r="EE746">
        <v>0</v>
      </c>
      <c r="EF746">
        <v>0</v>
      </c>
      <c r="EG746">
        <v>0</v>
      </c>
      <c r="EH746">
        <v>0</v>
      </c>
      <c r="EI746">
        <v>0</v>
      </c>
      <c r="EJ746">
        <v>0</v>
      </c>
      <c r="EK746">
        <v>0</v>
      </c>
      <c r="EL746">
        <v>0</v>
      </c>
      <c r="EM746">
        <v>0</v>
      </c>
      <c r="EN746">
        <v>0</v>
      </c>
      <c r="EO746">
        <v>0</v>
      </c>
      <c r="EP746">
        <v>944.5</v>
      </c>
      <c r="EQ746">
        <v>3459.7</v>
      </c>
      <c r="ER746">
        <v>1353.5</v>
      </c>
      <c r="ES746">
        <v>182.2</v>
      </c>
      <c r="ET746">
        <v>855.59999999999991</v>
      </c>
      <c r="EU746">
        <v>172.2</v>
      </c>
      <c r="EV746">
        <v>203.2</v>
      </c>
      <c r="EW746">
        <v>1173.0999999999999</v>
      </c>
      <c r="EX746">
        <v>1078.3</v>
      </c>
      <c r="EY746">
        <v>1194.4000000000001</v>
      </c>
      <c r="EZ746">
        <v>1207.0999999999999</v>
      </c>
      <c r="FA746">
        <v>0</v>
      </c>
      <c r="FB746">
        <v>0</v>
      </c>
      <c r="FC746">
        <v>0</v>
      </c>
      <c r="FD746">
        <v>0</v>
      </c>
      <c r="FE746">
        <v>0</v>
      </c>
      <c r="FF746">
        <v>0</v>
      </c>
      <c r="FG746">
        <v>0</v>
      </c>
      <c r="FH746">
        <v>0</v>
      </c>
      <c r="FI746">
        <v>0</v>
      </c>
      <c r="FJ746">
        <v>0</v>
      </c>
      <c r="FK746">
        <v>0</v>
      </c>
      <c r="FL746">
        <v>0</v>
      </c>
      <c r="FM746">
        <v>0</v>
      </c>
      <c r="FN746">
        <v>0</v>
      </c>
      <c r="FO746">
        <v>0</v>
      </c>
      <c r="FP746">
        <v>0</v>
      </c>
      <c r="FQ746">
        <v>0</v>
      </c>
      <c r="FR746">
        <v>0</v>
      </c>
      <c r="FS746">
        <v>0</v>
      </c>
      <c r="FT746">
        <v>0</v>
      </c>
      <c r="FU746">
        <v>0</v>
      </c>
      <c r="FV746">
        <v>0</v>
      </c>
      <c r="FW746">
        <v>0</v>
      </c>
      <c r="FX746">
        <v>0</v>
      </c>
      <c r="FY746">
        <v>0</v>
      </c>
      <c r="FZ746">
        <v>0</v>
      </c>
      <c r="GA746">
        <v>0</v>
      </c>
      <c r="GB746">
        <v>0</v>
      </c>
      <c r="GC746">
        <v>0</v>
      </c>
      <c r="GD746">
        <v>0</v>
      </c>
      <c r="GE746">
        <v>0</v>
      </c>
      <c r="GF746">
        <v>0</v>
      </c>
      <c r="GG746">
        <v>0</v>
      </c>
      <c r="GH746">
        <v>0</v>
      </c>
      <c r="GI746">
        <v>0</v>
      </c>
      <c r="GJ746">
        <v>0</v>
      </c>
      <c r="GK746">
        <v>0</v>
      </c>
      <c r="GL746">
        <v>0</v>
      </c>
      <c r="GO746">
        <v>0</v>
      </c>
      <c r="GP746">
        <v>0</v>
      </c>
      <c r="GQ746">
        <v>0</v>
      </c>
      <c r="GR746">
        <v>0</v>
      </c>
      <c r="GS746">
        <v>0</v>
      </c>
      <c r="GT746">
        <v>0</v>
      </c>
      <c r="GU746">
        <v>0</v>
      </c>
      <c r="GV746">
        <v>0</v>
      </c>
      <c r="GW746">
        <v>0</v>
      </c>
      <c r="GX746">
        <v>0</v>
      </c>
      <c r="GY746">
        <v>0</v>
      </c>
      <c r="GZ746">
        <v>0</v>
      </c>
      <c r="HA746">
        <v>0</v>
      </c>
      <c r="HB746">
        <v>0</v>
      </c>
      <c r="HC746">
        <v>0</v>
      </c>
      <c r="HD746">
        <v>0</v>
      </c>
      <c r="HE746">
        <v>0</v>
      </c>
      <c r="HF746">
        <v>0</v>
      </c>
      <c r="HG746">
        <v>0</v>
      </c>
      <c r="HH746">
        <v>0</v>
      </c>
      <c r="HI746">
        <v>0</v>
      </c>
      <c r="HJ746">
        <v>0</v>
      </c>
      <c r="HK746">
        <v>0</v>
      </c>
      <c r="HL746">
        <v>0</v>
      </c>
      <c r="HM746">
        <v>0</v>
      </c>
      <c r="HN746">
        <v>0</v>
      </c>
      <c r="HO746">
        <v>0</v>
      </c>
      <c r="HP746">
        <v>0</v>
      </c>
      <c r="HQ746">
        <v>0</v>
      </c>
      <c r="HR746">
        <v>0</v>
      </c>
      <c r="HS746">
        <v>0</v>
      </c>
      <c r="HT746">
        <v>0</v>
      </c>
      <c r="HU746">
        <v>0</v>
      </c>
      <c r="HV746">
        <v>0</v>
      </c>
      <c r="HW746">
        <v>404.70000000000005</v>
      </c>
      <c r="HX746">
        <v>342.3</v>
      </c>
      <c r="HZ746">
        <v>866.2</v>
      </c>
      <c r="IA746">
        <v>1142.8</v>
      </c>
      <c r="IB746">
        <v>1121.5</v>
      </c>
      <c r="IC746">
        <v>2403</v>
      </c>
      <c r="ID746">
        <v>2659.3</v>
      </c>
      <c r="IE746">
        <v>1923.4</v>
      </c>
      <c r="IF746">
        <v>1465.7</v>
      </c>
      <c r="IG746">
        <v>1608.3</v>
      </c>
      <c r="IH746">
        <v>0</v>
      </c>
      <c r="II746">
        <v>0</v>
      </c>
      <c r="IJ746">
        <v>0</v>
      </c>
      <c r="IK746">
        <v>0</v>
      </c>
      <c r="IL746">
        <v>0</v>
      </c>
      <c r="IM746">
        <v>0</v>
      </c>
      <c r="IN746">
        <v>0</v>
      </c>
      <c r="IO746">
        <v>0</v>
      </c>
      <c r="IP746">
        <v>75.099999999999994</v>
      </c>
    </row>
    <row r="747" spans="1:250" ht="18" thickBot="1">
      <c r="A747" s="245"/>
      <c r="B747" s="245" t="s">
        <v>413</v>
      </c>
      <c r="C747" s="88" t="s">
        <v>1168</v>
      </c>
      <c r="D747" s="397"/>
      <c r="E747" s="454">
        <v>0</v>
      </c>
      <c r="F747">
        <v>0</v>
      </c>
      <c r="G747" s="427">
        <v>0</v>
      </c>
      <c r="H747" s="155">
        <v>0</v>
      </c>
      <c r="I747">
        <v>0</v>
      </c>
      <c r="J747">
        <v>0</v>
      </c>
      <c r="K747">
        <v>0</v>
      </c>
      <c r="L747" s="4">
        <v>0</v>
      </c>
      <c r="M747" s="4">
        <v>0</v>
      </c>
      <c r="N747" s="4">
        <v>0</v>
      </c>
      <c r="O747" s="4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R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G747">
        <v>0</v>
      </c>
      <c r="BI747">
        <v>0</v>
      </c>
      <c r="BK747">
        <v>0</v>
      </c>
      <c r="BL747">
        <v>0</v>
      </c>
      <c r="BM747">
        <v>0</v>
      </c>
      <c r="BN747">
        <v>0</v>
      </c>
      <c r="BO747">
        <v>344.70000000000005</v>
      </c>
      <c r="BP747">
        <v>625.70000000000005</v>
      </c>
      <c r="BQ747">
        <v>912.2</v>
      </c>
      <c r="BR747">
        <v>237.7</v>
      </c>
      <c r="BS747">
        <v>0</v>
      </c>
      <c r="BT747">
        <v>0</v>
      </c>
      <c r="BU747">
        <v>0</v>
      </c>
      <c r="BV747">
        <v>0</v>
      </c>
      <c r="BW747">
        <v>1647.4</v>
      </c>
      <c r="BY747">
        <v>453.1</v>
      </c>
      <c r="CA747">
        <v>285.39999999999998</v>
      </c>
      <c r="CB747">
        <v>280.8</v>
      </c>
      <c r="CC747">
        <v>127.7</v>
      </c>
      <c r="CD747">
        <v>0</v>
      </c>
      <c r="CE747">
        <v>0</v>
      </c>
      <c r="CF747">
        <v>0</v>
      </c>
      <c r="CG747">
        <v>0</v>
      </c>
      <c r="CI747">
        <v>0</v>
      </c>
      <c r="CJ747">
        <v>0</v>
      </c>
      <c r="CL747">
        <v>0</v>
      </c>
      <c r="CM747">
        <v>0</v>
      </c>
      <c r="CN747">
        <v>0</v>
      </c>
      <c r="CO747">
        <v>0</v>
      </c>
      <c r="CP747">
        <v>0</v>
      </c>
      <c r="CQ747">
        <v>621.70000000000005</v>
      </c>
      <c r="CR747">
        <v>481.70000000000005</v>
      </c>
      <c r="CS747">
        <v>0</v>
      </c>
      <c r="CT747">
        <v>524.6</v>
      </c>
      <c r="CU747">
        <v>514.1</v>
      </c>
      <c r="CV747">
        <v>175.2</v>
      </c>
      <c r="CW747">
        <v>0</v>
      </c>
      <c r="CX747">
        <v>65.099999999999994</v>
      </c>
      <c r="CY747">
        <v>199</v>
      </c>
      <c r="CZ747">
        <v>1907.9</v>
      </c>
      <c r="DA747">
        <v>0</v>
      </c>
      <c r="DB747">
        <v>0</v>
      </c>
      <c r="DC747">
        <v>0</v>
      </c>
      <c r="DD747">
        <v>0</v>
      </c>
      <c r="DE747">
        <v>0</v>
      </c>
      <c r="DF747">
        <v>0</v>
      </c>
      <c r="DG747">
        <v>0</v>
      </c>
      <c r="DH747">
        <v>0</v>
      </c>
      <c r="DI747">
        <v>0</v>
      </c>
      <c r="DJ747">
        <v>0</v>
      </c>
      <c r="DK747">
        <v>0</v>
      </c>
      <c r="DL747">
        <v>0</v>
      </c>
      <c r="DM747">
        <v>1065.4000000000001</v>
      </c>
      <c r="DN747">
        <v>599.70000000000005</v>
      </c>
      <c r="DO747">
        <v>319.7</v>
      </c>
      <c r="DP747">
        <v>1570.6999999999998</v>
      </c>
      <c r="DQ747">
        <v>1399.5</v>
      </c>
      <c r="DR747">
        <v>3581</v>
      </c>
      <c r="DU747">
        <v>1393.2</v>
      </c>
      <c r="DV747">
        <v>2862.6</v>
      </c>
      <c r="DY747">
        <v>2361</v>
      </c>
      <c r="EA747">
        <v>2409.6</v>
      </c>
      <c r="EC747">
        <v>1661.3999999999999</v>
      </c>
      <c r="EE747">
        <v>0</v>
      </c>
      <c r="EF747">
        <v>0</v>
      </c>
      <c r="EG747">
        <v>0</v>
      </c>
      <c r="EH747">
        <v>0</v>
      </c>
      <c r="EI747">
        <v>0</v>
      </c>
      <c r="EJ747">
        <v>0</v>
      </c>
      <c r="EK747">
        <v>0</v>
      </c>
      <c r="EL747">
        <v>0</v>
      </c>
      <c r="EM747">
        <v>0</v>
      </c>
      <c r="EN747">
        <v>0</v>
      </c>
      <c r="EO747">
        <v>0</v>
      </c>
      <c r="EP747">
        <v>944.5</v>
      </c>
      <c r="EQ747">
        <v>3459.7</v>
      </c>
      <c r="ER747">
        <v>1353.5</v>
      </c>
      <c r="ES747">
        <v>182.2</v>
      </c>
      <c r="ET747">
        <v>855.59999999999991</v>
      </c>
      <c r="EU747">
        <v>172.2</v>
      </c>
      <c r="EV747">
        <v>203.2</v>
      </c>
      <c r="EW747">
        <v>1173.0999999999999</v>
      </c>
      <c r="EX747">
        <v>1078.3</v>
      </c>
      <c r="EY747">
        <v>1194.4000000000001</v>
      </c>
      <c r="EZ747">
        <v>1207.0999999999999</v>
      </c>
      <c r="FA747">
        <v>0</v>
      </c>
      <c r="FB747">
        <v>0</v>
      </c>
      <c r="FC747">
        <v>0</v>
      </c>
      <c r="FD747">
        <v>0</v>
      </c>
      <c r="FE747">
        <v>0</v>
      </c>
      <c r="FF747">
        <v>0</v>
      </c>
      <c r="FG747">
        <v>0</v>
      </c>
      <c r="FH747">
        <v>0</v>
      </c>
      <c r="FI747">
        <v>0</v>
      </c>
      <c r="FJ747">
        <v>0</v>
      </c>
      <c r="FK747">
        <v>0</v>
      </c>
      <c r="FL747">
        <v>0</v>
      </c>
      <c r="FM747">
        <v>0</v>
      </c>
      <c r="FN747">
        <v>0</v>
      </c>
      <c r="FO747">
        <v>0</v>
      </c>
      <c r="FP747">
        <v>0</v>
      </c>
      <c r="FQ747">
        <v>0</v>
      </c>
      <c r="FR747">
        <v>0</v>
      </c>
      <c r="FS747">
        <v>0</v>
      </c>
      <c r="FT747">
        <v>0</v>
      </c>
      <c r="FU747">
        <v>0</v>
      </c>
      <c r="FV747">
        <v>0</v>
      </c>
      <c r="FW747">
        <v>0</v>
      </c>
      <c r="FX747">
        <v>0</v>
      </c>
      <c r="FY747">
        <v>0</v>
      </c>
      <c r="FZ747">
        <v>0</v>
      </c>
      <c r="GA747">
        <v>0</v>
      </c>
      <c r="GB747">
        <v>0</v>
      </c>
      <c r="GC747">
        <v>0</v>
      </c>
      <c r="GD747">
        <v>0</v>
      </c>
      <c r="GE747">
        <v>0</v>
      </c>
      <c r="GF747">
        <v>0</v>
      </c>
      <c r="GG747">
        <v>0</v>
      </c>
      <c r="GH747">
        <v>0</v>
      </c>
      <c r="GI747">
        <v>0</v>
      </c>
      <c r="GJ747">
        <v>0</v>
      </c>
      <c r="GK747">
        <v>0</v>
      </c>
      <c r="GL747">
        <v>0</v>
      </c>
      <c r="GO747">
        <v>0</v>
      </c>
      <c r="GP747">
        <v>0</v>
      </c>
      <c r="GQ747">
        <v>0</v>
      </c>
      <c r="GR747">
        <v>0</v>
      </c>
      <c r="GS747">
        <v>0</v>
      </c>
      <c r="GT747">
        <v>0</v>
      </c>
      <c r="GU747">
        <v>0</v>
      </c>
      <c r="GV747">
        <v>0</v>
      </c>
      <c r="GW747">
        <v>0</v>
      </c>
      <c r="GX747">
        <v>0</v>
      </c>
      <c r="GY747">
        <v>0</v>
      </c>
      <c r="GZ747">
        <v>0</v>
      </c>
      <c r="HA747">
        <v>0</v>
      </c>
      <c r="HB747">
        <v>0</v>
      </c>
      <c r="HC747">
        <v>0</v>
      </c>
      <c r="HD747">
        <v>0</v>
      </c>
      <c r="HE747">
        <v>0</v>
      </c>
      <c r="HF747">
        <v>0</v>
      </c>
      <c r="HG747">
        <v>0</v>
      </c>
      <c r="HH747">
        <v>0</v>
      </c>
      <c r="HI747">
        <v>0</v>
      </c>
      <c r="HJ747">
        <v>0</v>
      </c>
      <c r="HK747">
        <v>0</v>
      </c>
      <c r="HL747">
        <v>0</v>
      </c>
      <c r="HM747">
        <v>0</v>
      </c>
      <c r="HN747">
        <v>0</v>
      </c>
      <c r="HO747">
        <v>0</v>
      </c>
      <c r="HP747">
        <v>0</v>
      </c>
      <c r="HQ747">
        <v>0</v>
      </c>
      <c r="HR747">
        <v>0</v>
      </c>
      <c r="HS747">
        <v>0</v>
      </c>
      <c r="HT747">
        <v>0</v>
      </c>
      <c r="HU747">
        <v>0</v>
      </c>
      <c r="HV747">
        <v>0</v>
      </c>
      <c r="HW747">
        <v>404.70000000000005</v>
      </c>
      <c r="HX747">
        <v>342.3</v>
      </c>
      <c r="HZ747">
        <v>866.2</v>
      </c>
      <c r="IA747">
        <v>1142.8</v>
      </c>
      <c r="IB747">
        <v>1121.5</v>
      </c>
      <c r="IC747">
        <v>2403</v>
      </c>
      <c r="ID747">
        <v>2659.3</v>
      </c>
      <c r="IE747">
        <v>1923.4</v>
      </c>
      <c r="IF747">
        <v>1465.7</v>
      </c>
      <c r="IG747">
        <v>1608.3</v>
      </c>
      <c r="IH747">
        <v>0</v>
      </c>
      <c r="II747">
        <v>0</v>
      </c>
      <c r="IJ747">
        <v>0</v>
      </c>
      <c r="IK747">
        <v>0</v>
      </c>
      <c r="IL747">
        <v>0</v>
      </c>
      <c r="IM747">
        <v>0</v>
      </c>
      <c r="IN747">
        <v>0</v>
      </c>
      <c r="IO747">
        <v>0</v>
      </c>
      <c r="IP747">
        <v>75.099999999999994</v>
      </c>
    </row>
    <row r="748" spans="1:250" ht="18" thickBot="1">
      <c r="A748" s="245"/>
      <c r="B748" s="245" t="s">
        <v>414</v>
      </c>
      <c r="C748" s="88" t="s">
        <v>1169</v>
      </c>
      <c r="D748" s="397"/>
      <c r="E748" s="454">
        <v>0</v>
      </c>
      <c r="F748">
        <v>0</v>
      </c>
      <c r="G748" s="427">
        <v>0</v>
      </c>
      <c r="H748" s="155">
        <v>0</v>
      </c>
      <c r="I748">
        <v>0</v>
      </c>
      <c r="J748">
        <v>0</v>
      </c>
      <c r="K748">
        <v>0</v>
      </c>
      <c r="L748" s="4">
        <v>0</v>
      </c>
      <c r="M748" s="4">
        <v>0</v>
      </c>
      <c r="N748" s="4">
        <v>0</v>
      </c>
      <c r="O748" s="4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R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G748">
        <v>0</v>
      </c>
      <c r="BI748">
        <v>0</v>
      </c>
      <c r="BK748">
        <v>0</v>
      </c>
      <c r="BL748">
        <v>0</v>
      </c>
      <c r="BM748">
        <v>0</v>
      </c>
      <c r="BN748">
        <v>0</v>
      </c>
      <c r="BO748">
        <v>344.70000000000005</v>
      </c>
      <c r="BP748">
        <v>625.70000000000005</v>
      </c>
      <c r="BQ748">
        <v>912.2</v>
      </c>
      <c r="BR748">
        <v>237.7</v>
      </c>
      <c r="BS748">
        <v>0</v>
      </c>
      <c r="BT748">
        <v>0</v>
      </c>
      <c r="BU748">
        <v>0</v>
      </c>
      <c r="BV748">
        <v>0</v>
      </c>
      <c r="BW748">
        <v>1647.4</v>
      </c>
      <c r="BY748">
        <v>453.1</v>
      </c>
      <c r="CA748">
        <v>285.39999999999998</v>
      </c>
      <c r="CB748">
        <v>280.8</v>
      </c>
      <c r="CC748">
        <v>127.7</v>
      </c>
      <c r="CD748">
        <v>0</v>
      </c>
      <c r="CE748">
        <v>0</v>
      </c>
      <c r="CF748">
        <v>0</v>
      </c>
      <c r="CG748">
        <v>0</v>
      </c>
      <c r="CI748">
        <v>0</v>
      </c>
      <c r="CJ748">
        <v>0</v>
      </c>
      <c r="CL748">
        <v>0</v>
      </c>
      <c r="CM748">
        <v>0</v>
      </c>
      <c r="CN748">
        <v>0</v>
      </c>
      <c r="CO748">
        <v>0</v>
      </c>
      <c r="CP748">
        <v>0</v>
      </c>
      <c r="CQ748">
        <v>621.70000000000005</v>
      </c>
      <c r="CR748">
        <v>481.70000000000005</v>
      </c>
      <c r="CS748">
        <v>0</v>
      </c>
      <c r="CT748">
        <v>524.6</v>
      </c>
      <c r="CU748">
        <v>514.1</v>
      </c>
      <c r="CV748">
        <v>175.2</v>
      </c>
      <c r="CW748">
        <v>0</v>
      </c>
      <c r="CX748">
        <v>65.099999999999994</v>
      </c>
      <c r="CY748">
        <v>199</v>
      </c>
      <c r="CZ748">
        <v>1907.9</v>
      </c>
      <c r="DA748">
        <v>0</v>
      </c>
      <c r="DB748">
        <v>0</v>
      </c>
      <c r="DC748">
        <v>0</v>
      </c>
      <c r="DD748">
        <v>0</v>
      </c>
      <c r="DE748">
        <v>0</v>
      </c>
      <c r="DF748">
        <v>0</v>
      </c>
      <c r="DG748">
        <v>0</v>
      </c>
      <c r="DH748">
        <v>0</v>
      </c>
      <c r="DI748">
        <v>0</v>
      </c>
      <c r="DJ748">
        <v>0</v>
      </c>
      <c r="DK748">
        <v>0</v>
      </c>
      <c r="DL748">
        <v>0</v>
      </c>
      <c r="DM748">
        <v>1065.4000000000001</v>
      </c>
      <c r="DN748">
        <v>599.70000000000005</v>
      </c>
      <c r="DO748">
        <v>319.7</v>
      </c>
      <c r="DP748">
        <v>1570.6999999999998</v>
      </c>
      <c r="DQ748">
        <v>1399.5</v>
      </c>
      <c r="DR748">
        <v>3581</v>
      </c>
      <c r="DU748">
        <v>1393.2</v>
      </c>
      <c r="DV748">
        <v>2862.6</v>
      </c>
      <c r="DY748">
        <v>2361</v>
      </c>
      <c r="EA748">
        <v>2409.6</v>
      </c>
      <c r="EC748">
        <v>1661.3999999999999</v>
      </c>
      <c r="EE748">
        <v>0</v>
      </c>
      <c r="EF748">
        <v>0</v>
      </c>
      <c r="EG748">
        <v>0</v>
      </c>
      <c r="EH748">
        <v>0</v>
      </c>
      <c r="EI748">
        <v>0</v>
      </c>
      <c r="EJ748">
        <v>0</v>
      </c>
      <c r="EK748">
        <v>0</v>
      </c>
      <c r="EL748">
        <v>0</v>
      </c>
      <c r="EM748">
        <v>0</v>
      </c>
      <c r="EN748">
        <v>0</v>
      </c>
      <c r="EO748">
        <v>0</v>
      </c>
      <c r="EP748">
        <v>944.5</v>
      </c>
      <c r="EQ748">
        <v>3459.7</v>
      </c>
      <c r="ER748">
        <v>1353.5</v>
      </c>
      <c r="ES748">
        <v>182.2</v>
      </c>
      <c r="ET748">
        <v>855.59999999999991</v>
      </c>
      <c r="EU748">
        <v>172.2</v>
      </c>
      <c r="EV748">
        <v>203.2</v>
      </c>
      <c r="EW748">
        <v>1173.0999999999999</v>
      </c>
      <c r="EX748">
        <v>1078.3</v>
      </c>
      <c r="EY748">
        <v>1194.4000000000001</v>
      </c>
      <c r="EZ748">
        <v>1207.0999999999999</v>
      </c>
      <c r="FA748">
        <v>0</v>
      </c>
      <c r="FB748">
        <v>0</v>
      </c>
      <c r="FC748">
        <v>0</v>
      </c>
      <c r="FD748">
        <v>0</v>
      </c>
      <c r="FE748">
        <v>0</v>
      </c>
      <c r="FF748">
        <v>0</v>
      </c>
      <c r="FG748">
        <v>0</v>
      </c>
      <c r="FH748">
        <v>0</v>
      </c>
      <c r="FI748">
        <v>0</v>
      </c>
      <c r="FJ748">
        <v>0</v>
      </c>
      <c r="FK748">
        <v>0</v>
      </c>
      <c r="FL748">
        <v>0</v>
      </c>
      <c r="FM748">
        <v>0</v>
      </c>
      <c r="FN748">
        <v>0</v>
      </c>
      <c r="FO748">
        <v>0</v>
      </c>
      <c r="FP748">
        <v>0</v>
      </c>
      <c r="FQ748">
        <v>0</v>
      </c>
      <c r="FR748">
        <v>0</v>
      </c>
      <c r="FS748">
        <v>0</v>
      </c>
      <c r="FT748">
        <v>0</v>
      </c>
      <c r="FU748">
        <v>0</v>
      </c>
      <c r="FV748">
        <v>0</v>
      </c>
      <c r="FW748">
        <v>0</v>
      </c>
      <c r="FX748">
        <v>0</v>
      </c>
      <c r="FY748">
        <v>0</v>
      </c>
      <c r="FZ748">
        <v>0</v>
      </c>
      <c r="GA748">
        <v>0</v>
      </c>
      <c r="GB748">
        <v>0</v>
      </c>
      <c r="GC748">
        <v>0</v>
      </c>
      <c r="GD748">
        <v>0</v>
      </c>
      <c r="GE748">
        <v>0</v>
      </c>
      <c r="GF748">
        <v>0</v>
      </c>
      <c r="GG748">
        <v>0</v>
      </c>
      <c r="GH748">
        <v>0</v>
      </c>
      <c r="GI748">
        <v>0</v>
      </c>
      <c r="GJ748">
        <v>0</v>
      </c>
      <c r="GK748">
        <v>0</v>
      </c>
      <c r="GL748">
        <v>0</v>
      </c>
      <c r="GO748">
        <v>0</v>
      </c>
      <c r="GP748">
        <v>0</v>
      </c>
      <c r="GQ748">
        <v>0</v>
      </c>
      <c r="GR748">
        <v>0</v>
      </c>
      <c r="GS748">
        <v>0</v>
      </c>
      <c r="GT748">
        <v>0</v>
      </c>
      <c r="GU748">
        <v>0</v>
      </c>
      <c r="GV748">
        <v>0</v>
      </c>
      <c r="GW748">
        <v>0</v>
      </c>
      <c r="GX748">
        <v>0</v>
      </c>
      <c r="GY748">
        <v>0</v>
      </c>
      <c r="GZ748">
        <v>0</v>
      </c>
      <c r="HA748">
        <v>0</v>
      </c>
      <c r="HB748">
        <v>0</v>
      </c>
      <c r="HC748">
        <v>0</v>
      </c>
      <c r="HD748">
        <v>0</v>
      </c>
      <c r="HE748">
        <v>0</v>
      </c>
      <c r="HF748">
        <v>0</v>
      </c>
      <c r="HG748">
        <v>0</v>
      </c>
      <c r="HH748">
        <v>0</v>
      </c>
      <c r="HI748">
        <v>0</v>
      </c>
      <c r="HJ748">
        <v>0</v>
      </c>
      <c r="HK748">
        <v>0</v>
      </c>
      <c r="HL748">
        <v>0</v>
      </c>
      <c r="HM748">
        <v>0</v>
      </c>
      <c r="HN748">
        <v>0</v>
      </c>
      <c r="HO748">
        <v>0</v>
      </c>
      <c r="HP748">
        <v>0</v>
      </c>
      <c r="HQ748">
        <v>0</v>
      </c>
      <c r="HR748">
        <v>0</v>
      </c>
      <c r="HS748">
        <v>0</v>
      </c>
      <c r="HT748">
        <v>0</v>
      </c>
      <c r="HU748">
        <v>0</v>
      </c>
      <c r="HV748">
        <v>0</v>
      </c>
      <c r="HW748">
        <v>404.70000000000005</v>
      </c>
      <c r="HX748">
        <v>342.3</v>
      </c>
      <c r="HZ748">
        <v>866.2</v>
      </c>
      <c r="IA748">
        <v>1142.8</v>
      </c>
      <c r="IB748">
        <v>1121.5</v>
      </c>
      <c r="IC748">
        <v>2403</v>
      </c>
      <c r="ID748">
        <v>2659.3</v>
      </c>
      <c r="IE748">
        <v>1923.4</v>
      </c>
      <c r="IF748">
        <v>1465.7</v>
      </c>
      <c r="IG748">
        <v>1608.3</v>
      </c>
      <c r="IH748">
        <v>0</v>
      </c>
      <c r="II748">
        <v>0</v>
      </c>
      <c r="IJ748">
        <v>0</v>
      </c>
      <c r="IK748">
        <v>0</v>
      </c>
      <c r="IL748">
        <v>0</v>
      </c>
      <c r="IM748">
        <v>0</v>
      </c>
      <c r="IN748">
        <v>0</v>
      </c>
      <c r="IO748">
        <v>0</v>
      </c>
      <c r="IP748">
        <v>75.099999999999994</v>
      </c>
    </row>
    <row r="749" spans="1:250" ht="18" thickBot="1">
      <c r="A749" s="245"/>
      <c r="B749" s="245" t="s">
        <v>415</v>
      </c>
      <c r="C749" s="230" t="s">
        <v>1170</v>
      </c>
      <c r="D749" s="397"/>
      <c r="E749" s="454">
        <v>0</v>
      </c>
      <c r="F749">
        <v>0</v>
      </c>
      <c r="G749" s="427">
        <v>0</v>
      </c>
      <c r="H749" s="155">
        <v>0</v>
      </c>
      <c r="I749">
        <v>0</v>
      </c>
      <c r="J749">
        <v>0</v>
      </c>
      <c r="K749">
        <v>0</v>
      </c>
      <c r="L749" s="4">
        <v>0</v>
      </c>
      <c r="M749" s="4">
        <v>0</v>
      </c>
      <c r="N749" s="4">
        <v>0</v>
      </c>
      <c r="O749" s="4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R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G749">
        <v>0</v>
      </c>
      <c r="BI749">
        <v>0</v>
      </c>
      <c r="BK749">
        <v>0</v>
      </c>
      <c r="BL749">
        <v>0</v>
      </c>
      <c r="BM749">
        <v>0</v>
      </c>
      <c r="BN749">
        <v>0</v>
      </c>
      <c r="BO749">
        <v>344.70000000000005</v>
      </c>
      <c r="BP749">
        <v>625.70000000000005</v>
      </c>
      <c r="BQ749">
        <v>912.2</v>
      </c>
      <c r="BR749">
        <v>237.7</v>
      </c>
      <c r="BS749">
        <v>0</v>
      </c>
      <c r="BT749">
        <v>0</v>
      </c>
      <c r="BU749">
        <v>0</v>
      </c>
      <c r="BV749">
        <v>0</v>
      </c>
      <c r="BW749">
        <v>1647.4</v>
      </c>
      <c r="BY749">
        <v>453.1</v>
      </c>
      <c r="CA749">
        <v>285.39999999999998</v>
      </c>
      <c r="CB749">
        <v>280.8</v>
      </c>
      <c r="CC749">
        <v>127.7</v>
      </c>
      <c r="CD749">
        <v>0</v>
      </c>
      <c r="CE749">
        <v>0</v>
      </c>
      <c r="CF749">
        <v>0</v>
      </c>
      <c r="CG749">
        <v>0</v>
      </c>
      <c r="CI749">
        <v>0</v>
      </c>
      <c r="CJ749">
        <v>0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621.70000000000005</v>
      </c>
      <c r="CR749">
        <v>481.70000000000005</v>
      </c>
      <c r="CS749">
        <v>0</v>
      </c>
      <c r="CT749">
        <v>524.6</v>
      </c>
      <c r="CU749">
        <v>514.1</v>
      </c>
      <c r="CV749">
        <v>175.2</v>
      </c>
      <c r="CW749">
        <v>0</v>
      </c>
      <c r="CX749">
        <v>65.099999999999994</v>
      </c>
      <c r="CY749">
        <v>199</v>
      </c>
      <c r="CZ749">
        <v>1907.9</v>
      </c>
      <c r="DA749">
        <v>0</v>
      </c>
      <c r="DB749">
        <v>0</v>
      </c>
      <c r="DC749">
        <v>0</v>
      </c>
      <c r="DD749">
        <v>0</v>
      </c>
      <c r="DE749">
        <v>0</v>
      </c>
      <c r="DF749">
        <v>0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1065.4000000000001</v>
      </c>
      <c r="DN749">
        <v>599.70000000000005</v>
      </c>
      <c r="DO749">
        <v>319.7</v>
      </c>
      <c r="DP749">
        <v>1570.6999999999998</v>
      </c>
      <c r="DQ749">
        <v>1399.5</v>
      </c>
      <c r="DR749">
        <v>3581</v>
      </c>
      <c r="DU749">
        <v>1393.2</v>
      </c>
      <c r="DV749">
        <v>2862.6</v>
      </c>
      <c r="DY749">
        <v>2361</v>
      </c>
      <c r="EA749">
        <v>2409.6</v>
      </c>
      <c r="EC749">
        <v>1661.3999999999999</v>
      </c>
      <c r="EE749">
        <v>0</v>
      </c>
      <c r="EF749">
        <v>0</v>
      </c>
      <c r="EG749">
        <v>0</v>
      </c>
      <c r="EH749">
        <v>0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944.5</v>
      </c>
      <c r="EQ749">
        <v>3459.7</v>
      </c>
      <c r="ER749">
        <v>1353.5</v>
      </c>
      <c r="ES749">
        <v>182.2</v>
      </c>
      <c r="ET749">
        <v>855.59999999999991</v>
      </c>
      <c r="EU749">
        <v>172.2</v>
      </c>
      <c r="EV749">
        <v>203.2</v>
      </c>
      <c r="EW749">
        <v>1173.0999999999999</v>
      </c>
      <c r="EX749">
        <v>1078.3</v>
      </c>
      <c r="EY749">
        <v>1194.4000000000001</v>
      </c>
      <c r="EZ749">
        <v>1207.0999999999999</v>
      </c>
      <c r="FA749">
        <v>0</v>
      </c>
      <c r="FB749">
        <v>0</v>
      </c>
      <c r="FC749">
        <v>0</v>
      </c>
      <c r="FD749">
        <v>0</v>
      </c>
      <c r="FE749">
        <v>0</v>
      </c>
      <c r="FF749">
        <v>0</v>
      </c>
      <c r="FG749">
        <v>0</v>
      </c>
      <c r="FH749">
        <v>0</v>
      </c>
      <c r="FI749">
        <v>0</v>
      </c>
      <c r="FJ749">
        <v>0</v>
      </c>
      <c r="FK749">
        <v>0</v>
      </c>
      <c r="FL749">
        <v>0</v>
      </c>
      <c r="FM749">
        <v>0</v>
      </c>
      <c r="FN749">
        <v>0</v>
      </c>
      <c r="FO749">
        <v>0</v>
      </c>
      <c r="FP749">
        <v>0</v>
      </c>
      <c r="FQ749">
        <v>0</v>
      </c>
      <c r="FR749">
        <v>0</v>
      </c>
      <c r="FS749">
        <v>0</v>
      </c>
      <c r="FT749">
        <v>0</v>
      </c>
      <c r="FU749">
        <v>0</v>
      </c>
      <c r="FV749">
        <v>0</v>
      </c>
      <c r="FW749">
        <v>0</v>
      </c>
      <c r="FX749">
        <v>0</v>
      </c>
      <c r="FY749">
        <v>0</v>
      </c>
      <c r="FZ749">
        <v>0</v>
      </c>
      <c r="GA749">
        <v>0</v>
      </c>
      <c r="GB749">
        <v>0</v>
      </c>
      <c r="GC749">
        <v>0</v>
      </c>
      <c r="GD749">
        <v>0</v>
      </c>
      <c r="GE749">
        <v>0</v>
      </c>
      <c r="GF749">
        <v>0</v>
      </c>
      <c r="GG749">
        <v>0</v>
      </c>
      <c r="GH749">
        <v>0</v>
      </c>
      <c r="GI749">
        <v>0</v>
      </c>
      <c r="GJ749">
        <v>0</v>
      </c>
      <c r="GK749">
        <v>0</v>
      </c>
      <c r="GL749">
        <v>0</v>
      </c>
      <c r="GO749">
        <v>0</v>
      </c>
      <c r="GP749">
        <v>0</v>
      </c>
      <c r="GQ749">
        <v>0</v>
      </c>
      <c r="GR749">
        <v>0</v>
      </c>
      <c r="GS749">
        <v>0</v>
      </c>
      <c r="GT749">
        <v>0</v>
      </c>
      <c r="GU749">
        <v>0</v>
      </c>
      <c r="GV749">
        <v>0</v>
      </c>
      <c r="GW749">
        <v>0</v>
      </c>
      <c r="GX749">
        <v>0</v>
      </c>
      <c r="GY749">
        <v>0</v>
      </c>
      <c r="GZ749">
        <v>0</v>
      </c>
      <c r="HA749">
        <v>0</v>
      </c>
      <c r="HB749">
        <v>0</v>
      </c>
      <c r="HC749">
        <v>0</v>
      </c>
      <c r="HD749">
        <v>0</v>
      </c>
      <c r="HE749">
        <v>0</v>
      </c>
      <c r="HF749">
        <v>0</v>
      </c>
      <c r="HG749">
        <v>0</v>
      </c>
      <c r="HH749">
        <v>0</v>
      </c>
      <c r="HI749">
        <v>0</v>
      </c>
      <c r="HJ749">
        <v>0</v>
      </c>
      <c r="HK749">
        <v>0</v>
      </c>
      <c r="HL749">
        <v>0</v>
      </c>
      <c r="HM749">
        <v>0</v>
      </c>
      <c r="HN749">
        <v>0</v>
      </c>
      <c r="HO749">
        <v>0</v>
      </c>
      <c r="HP749">
        <v>0</v>
      </c>
      <c r="HQ749">
        <v>0</v>
      </c>
      <c r="HR749">
        <v>0</v>
      </c>
      <c r="HS749">
        <v>0</v>
      </c>
      <c r="HT749">
        <v>0</v>
      </c>
      <c r="HU749">
        <v>0</v>
      </c>
      <c r="HV749">
        <v>0</v>
      </c>
      <c r="HW749">
        <v>404.70000000000005</v>
      </c>
      <c r="HX749">
        <v>342.3</v>
      </c>
      <c r="HZ749">
        <v>866.2</v>
      </c>
      <c r="IA749">
        <v>1142.8</v>
      </c>
      <c r="IB749">
        <v>1121.5</v>
      </c>
      <c r="IC749">
        <v>2403</v>
      </c>
      <c r="ID749">
        <v>2659.3</v>
      </c>
      <c r="IE749">
        <v>1923.4</v>
      </c>
      <c r="IF749">
        <v>1465.7</v>
      </c>
      <c r="IG749">
        <v>1608.3</v>
      </c>
      <c r="IH749">
        <v>0</v>
      </c>
      <c r="II749">
        <v>0</v>
      </c>
      <c r="IJ749">
        <v>0</v>
      </c>
      <c r="IK749">
        <v>0</v>
      </c>
      <c r="IL749">
        <v>0</v>
      </c>
      <c r="IM749">
        <v>0</v>
      </c>
      <c r="IN749">
        <v>0</v>
      </c>
      <c r="IO749">
        <v>0</v>
      </c>
      <c r="IP749">
        <v>75.099999999999994</v>
      </c>
    </row>
    <row r="750" spans="1:250" ht="18" thickBot="1">
      <c r="A750" s="245"/>
      <c r="B750" s="245" t="s">
        <v>416</v>
      </c>
      <c r="C750" s="230" t="s">
        <v>1171</v>
      </c>
      <c r="D750" s="397"/>
      <c r="E750" s="454">
        <v>0</v>
      </c>
      <c r="F750">
        <v>0</v>
      </c>
      <c r="G750" s="427">
        <v>0</v>
      </c>
      <c r="H750" s="155">
        <v>0</v>
      </c>
      <c r="I750">
        <v>0</v>
      </c>
      <c r="J750">
        <v>0</v>
      </c>
      <c r="K750">
        <v>0</v>
      </c>
      <c r="L750" s="4">
        <v>0</v>
      </c>
      <c r="M750" s="4">
        <v>0</v>
      </c>
      <c r="N750" s="4">
        <v>0</v>
      </c>
      <c r="O750" s="4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R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G750">
        <v>0</v>
      </c>
      <c r="BI750">
        <v>0</v>
      </c>
      <c r="BK750">
        <v>0</v>
      </c>
      <c r="BL750">
        <v>0</v>
      </c>
      <c r="BM750">
        <v>0</v>
      </c>
      <c r="BN750">
        <v>0</v>
      </c>
      <c r="BO750">
        <v>344.70000000000005</v>
      </c>
      <c r="BP750">
        <v>625.70000000000005</v>
      </c>
      <c r="BQ750">
        <v>912.2</v>
      </c>
      <c r="BR750">
        <v>237.7</v>
      </c>
      <c r="BS750">
        <v>0</v>
      </c>
      <c r="BT750">
        <v>0</v>
      </c>
      <c r="BU750">
        <v>0</v>
      </c>
      <c r="BV750">
        <v>0</v>
      </c>
      <c r="BW750">
        <v>1647.4</v>
      </c>
      <c r="BY750">
        <v>453.1</v>
      </c>
      <c r="CA750">
        <v>285.39999999999998</v>
      </c>
      <c r="CB750">
        <v>280.8</v>
      </c>
      <c r="CC750">
        <v>127.7</v>
      </c>
      <c r="CD750">
        <v>0</v>
      </c>
      <c r="CE750">
        <v>0</v>
      </c>
      <c r="CF750">
        <v>0</v>
      </c>
      <c r="CG750">
        <v>0</v>
      </c>
      <c r="CI750">
        <v>0</v>
      </c>
      <c r="CJ750">
        <v>0</v>
      </c>
      <c r="CL750">
        <v>0</v>
      </c>
      <c r="CM750">
        <v>0</v>
      </c>
      <c r="CN750">
        <v>0</v>
      </c>
      <c r="CO750">
        <v>0</v>
      </c>
      <c r="CP750">
        <v>0</v>
      </c>
      <c r="CQ750">
        <v>621.70000000000005</v>
      </c>
      <c r="CR750">
        <v>481.70000000000005</v>
      </c>
      <c r="CS750">
        <v>0</v>
      </c>
      <c r="CT750">
        <v>524.6</v>
      </c>
      <c r="CU750">
        <v>514.1</v>
      </c>
      <c r="CV750">
        <v>175.2</v>
      </c>
      <c r="CW750">
        <v>0</v>
      </c>
      <c r="CX750">
        <v>65.099999999999994</v>
      </c>
      <c r="CY750">
        <v>199</v>
      </c>
      <c r="CZ750">
        <v>1907.9</v>
      </c>
      <c r="DA750">
        <v>0</v>
      </c>
      <c r="DB750">
        <v>0</v>
      </c>
      <c r="DC750">
        <v>0</v>
      </c>
      <c r="DD750">
        <v>0</v>
      </c>
      <c r="DE750">
        <v>0</v>
      </c>
      <c r="DF750">
        <v>0</v>
      </c>
      <c r="DG750">
        <v>0</v>
      </c>
      <c r="DH750">
        <v>0</v>
      </c>
      <c r="DI750">
        <v>0</v>
      </c>
      <c r="DJ750">
        <v>0</v>
      </c>
      <c r="DK750">
        <v>0</v>
      </c>
      <c r="DL750">
        <v>0</v>
      </c>
      <c r="DM750">
        <v>1065.4000000000001</v>
      </c>
      <c r="DN750">
        <v>599.70000000000005</v>
      </c>
      <c r="DO750">
        <v>319.7</v>
      </c>
      <c r="DP750">
        <v>1570.6999999999998</v>
      </c>
      <c r="DQ750">
        <v>1399.5</v>
      </c>
      <c r="DR750">
        <v>3581</v>
      </c>
      <c r="DU750">
        <v>1393.2</v>
      </c>
      <c r="DV750">
        <v>2862.6</v>
      </c>
      <c r="DY750">
        <v>2361</v>
      </c>
      <c r="EA750">
        <v>2409.6</v>
      </c>
      <c r="EC750">
        <v>1661.3999999999999</v>
      </c>
      <c r="EE750">
        <v>0</v>
      </c>
      <c r="EF750">
        <v>0</v>
      </c>
      <c r="EG750">
        <v>0</v>
      </c>
      <c r="EH750">
        <v>0</v>
      </c>
      <c r="EI750">
        <v>0</v>
      </c>
      <c r="EJ750">
        <v>0</v>
      </c>
      <c r="EK750">
        <v>0</v>
      </c>
      <c r="EL750">
        <v>0</v>
      </c>
      <c r="EM750">
        <v>0</v>
      </c>
      <c r="EN750">
        <v>0</v>
      </c>
      <c r="EO750">
        <v>0</v>
      </c>
      <c r="EP750">
        <v>944.5</v>
      </c>
      <c r="EQ750">
        <v>3459.7</v>
      </c>
      <c r="ER750">
        <v>1353.5</v>
      </c>
      <c r="ES750">
        <v>182.2</v>
      </c>
      <c r="ET750">
        <v>855.59999999999991</v>
      </c>
      <c r="EU750">
        <v>172.2</v>
      </c>
      <c r="EV750">
        <v>203.2</v>
      </c>
      <c r="EW750">
        <v>1173.0999999999999</v>
      </c>
      <c r="EX750">
        <v>1078.3</v>
      </c>
      <c r="EY750">
        <v>1194.4000000000001</v>
      </c>
      <c r="EZ750">
        <v>1207.0999999999999</v>
      </c>
      <c r="FA750">
        <v>0</v>
      </c>
      <c r="FB750">
        <v>0</v>
      </c>
      <c r="FC750">
        <v>0</v>
      </c>
      <c r="FD750">
        <v>0</v>
      </c>
      <c r="FE750">
        <v>0</v>
      </c>
      <c r="FF750">
        <v>0</v>
      </c>
      <c r="FG750">
        <v>0</v>
      </c>
      <c r="FH750">
        <v>0</v>
      </c>
      <c r="FI750">
        <v>0</v>
      </c>
      <c r="FJ750">
        <v>0</v>
      </c>
      <c r="FK750">
        <v>0</v>
      </c>
      <c r="FL750">
        <v>0</v>
      </c>
      <c r="FM750">
        <v>0</v>
      </c>
      <c r="FN750">
        <v>0</v>
      </c>
      <c r="FO750">
        <v>0</v>
      </c>
      <c r="FP750">
        <v>0</v>
      </c>
      <c r="FQ750">
        <v>0</v>
      </c>
      <c r="FR750">
        <v>0</v>
      </c>
      <c r="FS750">
        <v>0</v>
      </c>
      <c r="FT750">
        <v>0</v>
      </c>
      <c r="FU750">
        <v>0</v>
      </c>
      <c r="FV750">
        <v>0</v>
      </c>
      <c r="FW750">
        <v>0</v>
      </c>
      <c r="FX750">
        <v>0</v>
      </c>
      <c r="FY750">
        <v>0</v>
      </c>
      <c r="FZ750">
        <v>0</v>
      </c>
      <c r="GA750">
        <v>0</v>
      </c>
      <c r="GB750">
        <v>0</v>
      </c>
      <c r="GC750">
        <v>0</v>
      </c>
      <c r="GD750">
        <v>0</v>
      </c>
      <c r="GE750">
        <v>0</v>
      </c>
      <c r="GF750">
        <v>0</v>
      </c>
      <c r="GG750">
        <v>0</v>
      </c>
      <c r="GH750">
        <v>0</v>
      </c>
      <c r="GI750">
        <v>0</v>
      </c>
      <c r="GJ750">
        <v>0</v>
      </c>
      <c r="GK750">
        <v>0</v>
      </c>
      <c r="GL750">
        <v>0</v>
      </c>
      <c r="GO750">
        <v>0</v>
      </c>
      <c r="GP750">
        <v>0</v>
      </c>
      <c r="GQ750">
        <v>0</v>
      </c>
      <c r="GR750">
        <v>0</v>
      </c>
      <c r="GS750">
        <v>0</v>
      </c>
      <c r="GT750">
        <v>0</v>
      </c>
      <c r="GU750">
        <v>0</v>
      </c>
      <c r="GV750">
        <v>0</v>
      </c>
      <c r="GW750">
        <v>0</v>
      </c>
      <c r="GX750">
        <v>0</v>
      </c>
      <c r="GY750">
        <v>0</v>
      </c>
      <c r="GZ750">
        <v>0</v>
      </c>
      <c r="HA750">
        <v>0</v>
      </c>
      <c r="HB750">
        <v>0</v>
      </c>
      <c r="HC750">
        <v>0</v>
      </c>
      <c r="HD750">
        <v>0</v>
      </c>
      <c r="HE750">
        <v>0</v>
      </c>
      <c r="HF750">
        <v>0</v>
      </c>
      <c r="HG750">
        <v>0</v>
      </c>
      <c r="HH750">
        <v>0</v>
      </c>
      <c r="HI750">
        <v>0</v>
      </c>
      <c r="HJ750">
        <v>0</v>
      </c>
      <c r="HK750">
        <v>0</v>
      </c>
      <c r="HL750">
        <v>0</v>
      </c>
      <c r="HM750">
        <v>0</v>
      </c>
      <c r="HN750">
        <v>0</v>
      </c>
      <c r="HO750">
        <v>0</v>
      </c>
      <c r="HP750">
        <v>0</v>
      </c>
      <c r="HQ750">
        <v>0</v>
      </c>
      <c r="HR750">
        <v>0</v>
      </c>
      <c r="HS750">
        <v>0</v>
      </c>
      <c r="HT750">
        <v>0</v>
      </c>
      <c r="HU750">
        <v>0</v>
      </c>
      <c r="HV750">
        <v>0</v>
      </c>
      <c r="HW750">
        <v>404.70000000000005</v>
      </c>
      <c r="HX750">
        <v>342.3</v>
      </c>
      <c r="HZ750">
        <v>866.2</v>
      </c>
      <c r="IA750">
        <v>1142.8</v>
      </c>
      <c r="IB750">
        <v>1121.5</v>
      </c>
      <c r="IC750">
        <v>2403</v>
      </c>
      <c r="ID750">
        <v>2659.3</v>
      </c>
      <c r="IE750">
        <v>1923.4</v>
      </c>
      <c r="IF750">
        <v>1465.7</v>
      </c>
      <c r="IG750">
        <v>1608.3</v>
      </c>
      <c r="IH750">
        <v>0</v>
      </c>
      <c r="II750">
        <v>0</v>
      </c>
      <c r="IJ750">
        <v>0</v>
      </c>
      <c r="IK750">
        <v>0</v>
      </c>
      <c r="IL750">
        <v>0</v>
      </c>
      <c r="IM750">
        <v>0</v>
      </c>
      <c r="IN750">
        <v>0</v>
      </c>
      <c r="IO750">
        <v>0</v>
      </c>
      <c r="IP750">
        <v>75.099999999999994</v>
      </c>
    </row>
    <row r="751" spans="1:250" ht="18" thickBot="1">
      <c r="A751" s="246"/>
      <c r="B751" s="246" t="s">
        <v>417</v>
      </c>
      <c r="C751" s="334" t="s">
        <v>1172</v>
      </c>
      <c r="D751" s="398"/>
      <c r="E751" s="454">
        <v>0</v>
      </c>
      <c r="F751">
        <v>0</v>
      </c>
      <c r="G751" s="427">
        <v>0</v>
      </c>
      <c r="H751" s="155">
        <v>0</v>
      </c>
      <c r="I751">
        <v>0</v>
      </c>
      <c r="J751">
        <v>0</v>
      </c>
      <c r="K751">
        <v>0</v>
      </c>
      <c r="L751" s="4">
        <v>0</v>
      </c>
      <c r="M751" s="4">
        <v>0</v>
      </c>
      <c r="N751" s="4">
        <v>0</v>
      </c>
      <c r="O751" s="4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R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G751">
        <v>0</v>
      </c>
      <c r="BI751">
        <v>0</v>
      </c>
      <c r="BK751">
        <v>0</v>
      </c>
      <c r="BL751">
        <v>0</v>
      </c>
      <c r="BM751">
        <v>0</v>
      </c>
      <c r="BN751">
        <v>0</v>
      </c>
      <c r="BO751">
        <v>344.70000000000005</v>
      </c>
      <c r="BP751">
        <v>625.70000000000005</v>
      </c>
      <c r="BQ751">
        <v>912.2</v>
      </c>
      <c r="BR751">
        <v>237.7</v>
      </c>
      <c r="BS751">
        <v>0</v>
      </c>
      <c r="BT751">
        <v>0</v>
      </c>
      <c r="BU751">
        <v>0</v>
      </c>
      <c r="BV751">
        <v>0</v>
      </c>
      <c r="BW751">
        <v>1647.4</v>
      </c>
      <c r="BY751">
        <v>453.1</v>
      </c>
      <c r="CA751">
        <v>285.39999999999998</v>
      </c>
      <c r="CB751">
        <v>280.8</v>
      </c>
      <c r="CC751">
        <v>127.7</v>
      </c>
      <c r="CD751">
        <v>0</v>
      </c>
      <c r="CE751">
        <v>0</v>
      </c>
      <c r="CF751">
        <v>0</v>
      </c>
      <c r="CG751">
        <v>0</v>
      </c>
      <c r="CI751">
        <v>0</v>
      </c>
      <c r="CJ751">
        <v>0</v>
      </c>
      <c r="CL751">
        <v>0</v>
      </c>
      <c r="CM751">
        <v>0</v>
      </c>
      <c r="CN751">
        <v>0</v>
      </c>
      <c r="CO751">
        <v>0</v>
      </c>
      <c r="CP751">
        <v>0</v>
      </c>
      <c r="CQ751">
        <v>621.70000000000005</v>
      </c>
      <c r="CR751">
        <v>481.70000000000005</v>
      </c>
      <c r="CS751">
        <v>0</v>
      </c>
      <c r="CT751">
        <v>524.6</v>
      </c>
      <c r="CU751">
        <v>514.1</v>
      </c>
      <c r="CV751">
        <v>175.2</v>
      </c>
      <c r="CW751">
        <v>0</v>
      </c>
      <c r="CX751">
        <v>65.099999999999994</v>
      </c>
      <c r="CY751">
        <v>199</v>
      </c>
      <c r="CZ751">
        <v>1907.9</v>
      </c>
      <c r="DA751">
        <v>0</v>
      </c>
      <c r="DB751">
        <v>0</v>
      </c>
      <c r="DC751">
        <v>0</v>
      </c>
      <c r="DD751">
        <v>0</v>
      </c>
      <c r="DE751">
        <v>0</v>
      </c>
      <c r="DF751">
        <v>0</v>
      </c>
      <c r="DG751">
        <v>0</v>
      </c>
      <c r="DH751">
        <v>0</v>
      </c>
      <c r="DI751">
        <v>0</v>
      </c>
      <c r="DJ751">
        <v>0</v>
      </c>
      <c r="DK751">
        <v>0</v>
      </c>
      <c r="DL751">
        <v>0</v>
      </c>
      <c r="DM751">
        <v>1065.4000000000001</v>
      </c>
      <c r="DN751">
        <v>599.70000000000005</v>
      </c>
      <c r="DO751">
        <v>319.7</v>
      </c>
      <c r="DP751">
        <v>1570.6999999999998</v>
      </c>
      <c r="DQ751">
        <v>1399.5</v>
      </c>
      <c r="DR751">
        <v>3581</v>
      </c>
      <c r="DU751">
        <v>1393.2</v>
      </c>
      <c r="DV751">
        <v>2862.6</v>
      </c>
      <c r="DY751">
        <v>2361</v>
      </c>
      <c r="EA751">
        <v>2409.6</v>
      </c>
      <c r="EC751">
        <v>1661.3999999999999</v>
      </c>
      <c r="EE751">
        <v>0</v>
      </c>
      <c r="EF751">
        <v>0</v>
      </c>
      <c r="EG751">
        <v>0</v>
      </c>
      <c r="EH751">
        <v>0</v>
      </c>
      <c r="EI751">
        <v>0</v>
      </c>
      <c r="EJ751">
        <v>0</v>
      </c>
      <c r="EK751">
        <v>0</v>
      </c>
      <c r="EL751">
        <v>0</v>
      </c>
      <c r="EM751">
        <v>0</v>
      </c>
      <c r="EN751">
        <v>0</v>
      </c>
      <c r="EO751">
        <v>0</v>
      </c>
      <c r="EP751">
        <v>944.5</v>
      </c>
      <c r="EQ751">
        <v>3459.7</v>
      </c>
      <c r="ER751">
        <v>1353.5</v>
      </c>
      <c r="ES751">
        <v>182.2</v>
      </c>
      <c r="ET751">
        <v>855.59999999999991</v>
      </c>
      <c r="EU751">
        <v>172.2</v>
      </c>
      <c r="EV751">
        <v>203.2</v>
      </c>
      <c r="EW751">
        <v>1173.0999999999999</v>
      </c>
      <c r="EX751">
        <v>1078.3</v>
      </c>
      <c r="EY751">
        <v>1194.4000000000001</v>
      </c>
      <c r="EZ751">
        <v>1207.0999999999999</v>
      </c>
      <c r="FA751">
        <v>0</v>
      </c>
      <c r="FB751">
        <v>0</v>
      </c>
      <c r="FC751">
        <v>0</v>
      </c>
      <c r="FD751">
        <v>0</v>
      </c>
      <c r="FE751">
        <v>0</v>
      </c>
      <c r="FF751">
        <v>0</v>
      </c>
      <c r="FG751">
        <v>0</v>
      </c>
      <c r="FH751">
        <v>0</v>
      </c>
      <c r="FI751">
        <v>0</v>
      </c>
      <c r="FJ751">
        <v>0</v>
      </c>
      <c r="FK751">
        <v>0</v>
      </c>
      <c r="FL751">
        <v>0</v>
      </c>
      <c r="FM751">
        <v>0</v>
      </c>
      <c r="FN751">
        <v>0</v>
      </c>
      <c r="FO751">
        <v>0</v>
      </c>
      <c r="FP751">
        <v>0</v>
      </c>
      <c r="FQ751">
        <v>0</v>
      </c>
      <c r="FR751">
        <v>0</v>
      </c>
      <c r="FS751">
        <v>0</v>
      </c>
      <c r="FT751">
        <v>0</v>
      </c>
      <c r="FU751">
        <v>0</v>
      </c>
      <c r="FV751">
        <v>0</v>
      </c>
      <c r="FW751">
        <v>0</v>
      </c>
      <c r="FX751">
        <v>0</v>
      </c>
      <c r="FY751">
        <v>0</v>
      </c>
      <c r="FZ751">
        <v>0</v>
      </c>
      <c r="GA751">
        <v>0</v>
      </c>
      <c r="GB751">
        <v>0</v>
      </c>
      <c r="GC751">
        <v>0</v>
      </c>
      <c r="GD751">
        <v>0</v>
      </c>
      <c r="GE751">
        <v>0</v>
      </c>
      <c r="GF751">
        <v>0</v>
      </c>
      <c r="GG751">
        <v>0</v>
      </c>
      <c r="GH751">
        <v>0</v>
      </c>
      <c r="GI751">
        <v>0</v>
      </c>
      <c r="GJ751">
        <v>0</v>
      </c>
      <c r="GK751">
        <v>0</v>
      </c>
      <c r="GL751">
        <v>0</v>
      </c>
      <c r="GO751">
        <v>0</v>
      </c>
      <c r="GP751">
        <v>0</v>
      </c>
      <c r="GQ751">
        <v>0</v>
      </c>
      <c r="GR751">
        <v>0</v>
      </c>
      <c r="GS751">
        <v>0</v>
      </c>
      <c r="GT751">
        <v>0</v>
      </c>
      <c r="GU751">
        <v>0</v>
      </c>
      <c r="GV751">
        <v>0</v>
      </c>
      <c r="GW751">
        <v>0</v>
      </c>
      <c r="GX751">
        <v>0</v>
      </c>
      <c r="GY751">
        <v>0</v>
      </c>
      <c r="GZ751">
        <v>0</v>
      </c>
      <c r="HA751">
        <v>0</v>
      </c>
      <c r="HB751">
        <v>0</v>
      </c>
      <c r="HC751">
        <v>0</v>
      </c>
      <c r="HD751">
        <v>0</v>
      </c>
      <c r="HE751">
        <v>0</v>
      </c>
      <c r="HF751">
        <v>0</v>
      </c>
      <c r="HG751">
        <v>0</v>
      </c>
      <c r="HH751">
        <v>0</v>
      </c>
      <c r="HI751">
        <v>0</v>
      </c>
      <c r="HJ751">
        <v>0</v>
      </c>
      <c r="HK751">
        <v>0</v>
      </c>
      <c r="HL751">
        <v>0</v>
      </c>
      <c r="HM751">
        <v>0</v>
      </c>
      <c r="HN751">
        <v>0</v>
      </c>
      <c r="HO751">
        <v>0</v>
      </c>
      <c r="HP751">
        <v>0</v>
      </c>
      <c r="HQ751">
        <v>0</v>
      </c>
      <c r="HR751">
        <v>0</v>
      </c>
      <c r="HS751">
        <v>0</v>
      </c>
      <c r="HT751">
        <v>0</v>
      </c>
      <c r="HU751">
        <v>0</v>
      </c>
      <c r="HV751">
        <v>0</v>
      </c>
      <c r="HW751">
        <v>404.70000000000005</v>
      </c>
      <c r="HX751">
        <v>342.3</v>
      </c>
      <c r="HZ751">
        <v>866.2</v>
      </c>
      <c r="IA751">
        <v>1142.8</v>
      </c>
      <c r="IB751">
        <v>1121.5</v>
      </c>
      <c r="IC751">
        <v>2403</v>
      </c>
      <c r="ID751">
        <v>2659.3</v>
      </c>
      <c r="IE751">
        <v>1923.4</v>
      </c>
      <c r="IF751">
        <v>1465.7</v>
      </c>
      <c r="IG751">
        <v>1608.3</v>
      </c>
      <c r="IH751">
        <v>0</v>
      </c>
      <c r="II751">
        <v>0</v>
      </c>
      <c r="IJ751">
        <v>0</v>
      </c>
      <c r="IK751">
        <v>0</v>
      </c>
      <c r="IL751">
        <v>0</v>
      </c>
      <c r="IM751">
        <v>0</v>
      </c>
      <c r="IN751">
        <v>0</v>
      </c>
      <c r="IO751">
        <v>0</v>
      </c>
      <c r="IP751">
        <v>75.099999999999994</v>
      </c>
    </row>
    <row r="752" spans="1:250" ht="18.600000000000001" thickTop="1" thickBot="1">
      <c r="A752" s="181"/>
      <c r="B752" s="181" t="s">
        <v>398</v>
      </c>
      <c r="C752" s="330"/>
      <c r="D752" s="395"/>
      <c r="E752" s="454">
        <v>0</v>
      </c>
      <c r="F752">
        <v>0</v>
      </c>
      <c r="G752" s="427">
        <v>0</v>
      </c>
      <c r="H752" s="155">
        <v>0</v>
      </c>
      <c r="I752">
        <v>0</v>
      </c>
      <c r="J752">
        <v>0</v>
      </c>
      <c r="K752">
        <v>0</v>
      </c>
      <c r="L752" s="4">
        <v>0</v>
      </c>
      <c r="M752" s="4">
        <v>0</v>
      </c>
      <c r="N752" s="4">
        <v>0</v>
      </c>
      <c r="O752" s="4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R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G752">
        <v>0</v>
      </c>
      <c r="BI752">
        <v>0</v>
      </c>
      <c r="BK752">
        <v>0</v>
      </c>
      <c r="BL752">
        <v>0</v>
      </c>
      <c r="BM752">
        <v>0</v>
      </c>
      <c r="BN752">
        <v>0</v>
      </c>
      <c r="BO752">
        <v>344.70000000000005</v>
      </c>
      <c r="BP752">
        <v>625.70000000000005</v>
      </c>
      <c r="BQ752">
        <v>912.2</v>
      </c>
      <c r="BR752">
        <v>237.7</v>
      </c>
      <c r="BS752">
        <v>0</v>
      </c>
      <c r="BT752">
        <v>0</v>
      </c>
      <c r="BU752">
        <v>0</v>
      </c>
      <c r="BV752">
        <v>0</v>
      </c>
      <c r="BW752">
        <v>1647.4</v>
      </c>
      <c r="BY752">
        <v>453.1</v>
      </c>
      <c r="CA752">
        <v>285.39999999999998</v>
      </c>
      <c r="CB752">
        <v>280.8</v>
      </c>
      <c r="CC752">
        <v>127.7</v>
      </c>
      <c r="CD752">
        <v>0</v>
      </c>
      <c r="CE752">
        <v>0</v>
      </c>
      <c r="CF752">
        <v>0</v>
      </c>
      <c r="CG752">
        <v>0</v>
      </c>
      <c r="CI752">
        <v>0</v>
      </c>
      <c r="CJ752">
        <v>0</v>
      </c>
      <c r="CL752">
        <v>0</v>
      </c>
      <c r="CM752">
        <v>0</v>
      </c>
      <c r="CN752">
        <v>0</v>
      </c>
      <c r="CO752">
        <v>0</v>
      </c>
      <c r="CP752">
        <v>0</v>
      </c>
      <c r="CQ752">
        <v>621.70000000000005</v>
      </c>
      <c r="CR752">
        <v>481.70000000000005</v>
      </c>
      <c r="CS752">
        <v>0</v>
      </c>
      <c r="CT752">
        <v>524.6</v>
      </c>
      <c r="CU752">
        <v>514.1</v>
      </c>
      <c r="CV752">
        <v>175.2</v>
      </c>
      <c r="CW752">
        <v>0</v>
      </c>
      <c r="CX752">
        <v>65.099999999999994</v>
      </c>
      <c r="CY752">
        <v>199</v>
      </c>
      <c r="CZ752">
        <v>1907.9</v>
      </c>
      <c r="DA752">
        <v>0</v>
      </c>
      <c r="DB752">
        <v>0</v>
      </c>
      <c r="DC752">
        <v>0</v>
      </c>
      <c r="DD752">
        <v>0</v>
      </c>
      <c r="DE752">
        <v>0</v>
      </c>
      <c r="DF752">
        <v>0</v>
      </c>
      <c r="DG752">
        <v>0</v>
      </c>
      <c r="DH752">
        <v>0</v>
      </c>
      <c r="DI752">
        <v>0</v>
      </c>
      <c r="DJ752">
        <v>0</v>
      </c>
      <c r="DK752">
        <v>0</v>
      </c>
      <c r="DL752">
        <v>0</v>
      </c>
      <c r="DM752">
        <v>1065.4000000000001</v>
      </c>
      <c r="DN752">
        <v>599.70000000000005</v>
      </c>
      <c r="DO752">
        <v>319.7</v>
      </c>
      <c r="DP752">
        <v>1570.6999999999998</v>
      </c>
      <c r="DQ752">
        <v>1399.5</v>
      </c>
      <c r="DR752">
        <v>3581</v>
      </c>
      <c r="DU752">
        <v>1393.2</v>
      </c>
      <c r="DV752">
        <v>2862.6</v>
      </c>
      <c r="DY752">
        <v>2361</v>
      </c>
      <c r="EA752">
        <v>2409.6</v>
      </c>
      <c r="EC752">
        <v>1661.3999999999999</v>
      </c>
      <c r="EE752">
        <v>0</v>
      </c>
      <c r="EF752">
        <v>0</v>
      </c>
      <c r="EG752">
        <v>0</v>
      </c>
      <c r="EH752">
        <v>0</v>
      </c>
      <c r="EI752">
        <v>0</v>
      </c>
      <c r="EJ752">
        <v>0</v>
      </c>
      <c r="EK752">
        <v>0</v>
      </c>
      <c r="EL752">
        <v>0</v>
      </c>
      <c r="EM752">
        <v>0</v>
      </c>
      <c r="EN752">
        <v>0</v>
      </c>
      <c r="EO752">
        <v>0</v>
      </c>
      <c r="EP752">
        <v>944.5</v>
      </c>
      <c r="EQ752">
        <v>3459.7</v>
      </c>
      <c r="ER752">
        <v>1353.5</v>
      </c>
      <c r="ES752">
        <v>182.2</v>
      </c>
      <c r="ET752">
        <v>855.59999999999991</v>
      </c>
      <c r="EU752">
        <v>172.2</v>
      </c>
      <c r="EV752">
        <v>203.2</v>
      </c>
      <c r="EW752">
        <v>1173.0999999999999</v>
      </c>
      <c r="EX752">
        <v>1078.3</v>
      </c>
      <c r="EY752">
        <v>1194.4000000000001</v>
      </c>
      <c r="EZ752">
        <v>1207.0999999999999</v>
      </c>
      <c r="FA752">
        <v>0</v>
      </c>
      <c r="FB752">
        <v>0</v>
      </c>
      <c r="FC752">
        <v>0</v>
      </c>
      <c r="FD752">
        <v>0</v>
      </c>
      <c r="FE752">
        <v>0</v>
      </c>
      <c r="FF752">
        <v>0</v>
      </c>
      <c r="FG752">
        <v>0</v>
      </c>
      <c r="FH752">
        <v>0</v>
      </c>
      <c r="FI752">
        <v>0</v>
      </c>
      <c r="FJ752">
        <v>0</v>
      </c>
      <c r="FK752">
        <v>0</v>
      </c>
      <c r="FL752">
        <v>0</v>
      </c>
      <c r="FM752">
        <v>0</v>
      </c>
      <c r="FN752">
        <v>0</v>
      </c>
      <c r="FO752">
        <v>0</v>
      </c>
      <c r="FP752">
        <v>0</v>
      </c>
      <c r="FQ752">
        <v>0</v>
      </c>
      <c r="FR752">
        <v>0</v>
      </c>
      <c r="FS752">
        <v>0</v>
      </c>
      <c r="FT752">
        <v>0</v>
      </c>
      <c r="FU752">
        <v>0</v>
      </c>
      <c r="FV752">
        <v>0</v>
      </c>
      <c r="FW752">
        <v>0</v>
      </c>
      <c r="FX752">
        <v>0</v>
      </c>
      <c r="FY752">
        <v>0</v>
      </c>
      <c r="FZ752">
        <v>0</v>
      </c>
      <c r="GA752">
        <v>0</v>
      </c>
      <c r="GB752">
        <v>0</v>
      </c>
      <c r="GC752">
        <v>0</v>
      </c>
      <c r="GD752">
        <v>0</v>
      </c>
      <c r="GE752">
        <v>0</v>
      </c>
      <c r="GF752">
        <v>0</v>
      </c>
      <c r="GG752">
        <v>0</v>
      </c>
      <c r="GH752">
        <v>0</v>
      </c>
      <c r="GI752">
        <v>0</v>
      </c>
      <c r="GJ752">
        <v>0</v>
      </c>
      <c r="GK752">
        <v>0</v>
      </c>
      <c r="GL752">
        <v>0</v>
      </c>
      <c r="GO752">
        <v>0</v>
      </c>
      <c r="GP752">
        <v>0</v>
      </c>
      <c r="GQ752">
        <v>0</v>
      </c>
      <c r="GR752">
        <v>0</v>
      </c>
      <c r="GS752">
        <v>0</v>
      </c>
      <c r="GT752">
        <v>0</v>
      </c>
      <c r="GU752">
        <v>0</v>
      </c>
      <c r="GV752">
        <v>0</v>
      </c>
      <c r="GW752">
        <v>0</v>
      </c>
      <c r="GX752">
        <v>0</v>
      </c>
      <c r="GY752">
        <v>0</v>
      </c>
      <c r="GZ752">
        <v>0</v>
      </c>
      <c r="HA752">
        <v>0</v>
      </c>
      <c r="HB752">
        <v>0</v>
      </c>
      <c r="HC752">
        <v>0</v>
      </c>
      <c r="HD752">
        <v>0</v>
      </c>
      <c r="HE752">
        <v>0</v>
      </c>
      <c r="HF752">
        <v>0</v>
      </c>
      <c r="HG752">
        <v>0</v>
      </c>
      <c r="HH752">
        <v>0</v>
      </c>
      <c r="HI752">
        <v>0</v>
      </c>
      <c r="HJ752">
        <v>0</v>
      </c>
      <c r="HK752">
        <v>0</v>
      </c>
      <c r="HL752">
        <v>0</v>
      </c>
      <c r="HM752">
        <v>0</v>
      </c>
      <c r="HN752">
        <v>0</v>
      </c>
      <c r="HO752">
        <v>0</v>
      </c>
      <c r="HP752">
        <v>0</v>
      </c>
      <c r="HQ752">
        <v>0</v>
      </c>
      <c r="HR752">
        <v>0</v>
      </c>
      <c r="HS752">
        <v>0</v>
      </c>
      <c r="HT752">
        <v>0</v>
      </c>
      <c r="HU752">
        <v>0</v>
      </c>
      <c r="HV752">
        <v>0</v>
      </c>
      <c r="HW752">
        <v>404.70000000000005</v>
      </c>
      <c r="HX752">
        <v>342.3</v>
      </c>
      <c r="HZ752">
        <v>866.2</v>
      </c>
      <c r="IA752">
        <v>1142.8</v>
      </c>
      <c r="IB752">
        <v>1121.5</v>
      </c>
      <c r="IC752">
        <v>2403</v>
      </c>
      <c r="ID752">
        <v>2659.3</v>
      </c>
      <c r="IE752">
        <v>1923.4</v>
      </c>
      <c r="IF752">
        <v>1465.7</v>
      </c>
      <c r="IG752">
        <v>1608.3</v>
      </c>
      <c r="IH752">
        <v>0</v>
      </c>
      <c r="II752">
        <v>0</v>
      </c>
      <c r="IJ752">
        <v>0</v>
      </c>
      <c r="IK752">
        <v>0</v>
      </c>
      <c r="IL752">
        <v>0</v>
      </c>
      <c r="IM752">
        <v>0</v>
      </c>
      <c r="IN752">
        <v>0</v>
      </c>
      <c r="IO752">
        <v>0</v>
      </c>
      <c r="IP752">
        <v>75.099999999999994</v>
      </c>
    </row>
    <row r="753" spans="1:250" ht="18" thickBot="1">
      <c r="A753" s="245"/>
      <c r="B753" s="245" t="s">
        <v>399</v>
      </c>
      <c r="C753" s="230" t="s">
        <v>1173</v>
      </c>
      <c r="D753" s="397"/>
      <c r="E753" s="454">
        <v>0</v>
      </c>
      <c r="F753">
        <v>0</v>
      </c>
      <c r="G753" s="427">
        <v>0</v>
      </c>
      <c r="H753" s="155">
        <v>0</v>
      </c>
      <c r="I753">
        <v>0</v>
      </c>
      <c r="J753">
        <v>0</v>
      </c>
      <c r="K753">
        <v>0</v>
      </c>
      <c r="L753" s="4">
        <v>0</v>
      </c>
      <c r="M753" s="4">
        <v>0</v>
      </c>
      <c r="N753" s="4">
        <v>0</v>
      </c>
      <c r="O753" s="4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R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G753">
        <v>0</v>
      </c>
      <c r="BI753">
        <v>0</v>
      </c>
      <c r="BK753">
        <v>0</v>
      </c>
      <c r="BL753">
        <v>0</v>
      </c>
      <c r="BM753">
        <v>0</v>
      </c>
      <c r="BN753">
        <v>0</v>
      </c>
      <c r="BO753">
        <v>344.70000000000005</v>
      </c>
      <c r="BP753">
        <v>625.70000000000005</v>
      </c>
      <c r="BQ753">
        <v>912.2</v>
      </c>
      <c r="BR753">
        <v>237.7</v>
      </c>
      <c r="BS753">
        <v>0</v>
      </c>
      <c r="BT753">
        <v>0</v>
      </c>
      <c r="BU753">
        <v>0</v>
      </c>
      <c r="BV753">
        <v>0</v>
      </c>
      <c r="BW753">
        <v>1647.4</v>
      </c>
      <c r="BY753">
        <v>453.1</v>
      </c>
      <c r="CA753">
        <v>285.39999999999998</v>
      </c>
      <c r="CB753">
        <v>280.8</v>
      </c>
      <c r="CC753">
        <v>127.7</v>
      </c>
      <c r="CD753">
        <v>0</v>
      </c>
      <c r="CE753">
        <v>0</v>
      </c>
      <c r="CF753">
        <v>0</v>
      </c>
      <c r="CG753">
        <v>0</v>
      </c>
      <c r="CI753">
        <v>0</v>
      </c>
      <c r="CJ753">
        <v>0</v>
      </c>
      <c r="CL753">
        <v>0</v>
      </c>
      <c r="CM753">
        <v>0</v>
      </c>
      <c r="CN753">
        <v>0</v>
      </c>
      <c r="CO753">
        <v>0</v>
      </c>
      <c r="CP753">
        <v>0</v>
      </c>
      <c r="CQ753">
        <v>621.70000000000005</v>
      </c>
      <c r="CR753">
        <v>481.70000000000005</v>
      </c>
      <c r="CS753">
        <v>0</v>
      </c>
      <c r="CT753">
        <v>524.6</v>
      </c>
      <c r="CU753">
        <v>514.1</v>
      </c>
      <c r="CV753">
        <v>175.2</v>
      </c>
      <c r="CW753">
        <v>0</v>
      </c>
      <c r="CX753">
        <v>65.099999999999994</v>
      </c>
      <c r="CY753">
        <v>199</v>
      </c>
      <c r="CZ753">
        <v>1907.9</v>
      </c>
      <c r="DA753">
        <v>0</v>
      </c>
      <c r="DB753">
        <v>0</v>
      </c>
      <c r="DC753">
        <v>0</v>
      </c>
      <c r="DD753">
        <v>0</v>
      </c>
      <c r="DE753">
        <v>0</v>
      </c>
      <c r="DF753">
        <v>0</v>
      </c>
      <c r="DG753">
        <v>0</v>
      </c>
      <c r="DH753">
        <v>0</v>
      </c>
      <c r="DI753">
        <v>0</v>
      </c>
      <c r="DJ753">
        <v>0</v>
      </c>
      <c r="DK753">
        <v>0</v>
      </c>
      <c r="DL753">
        <v>0</v>
      </c>
      <c r="DM753">
        <v>1065.4000000000001</v>
      </c>
      <c r="DN753">
        <v>599.70000000000005</v>
      </c>
      <c r="DO753">
        <v>319.7</v>
      </c>
      <c r="DP753">
        <v>1570.6999999999998</v>
      </c>
      <c r="DQ753">
        <v>1399.5</v>
      </c>
      <c r="DR753">
        <v>3581</v>
      </c>
      <c r="DU753">
        <v>1393.2</v>
      </c>
      <c r="DV753">
        <v>2862.6</v>
      </c>
      <c r="DY753">
        <v>2361</v>
      </c>
      <c r="EA753">
        <v>2409.6</v>
      </c>
      <c r="EC753">
        <v>1661.3999999999999</v>
      </c>
      <c r="EE753">
        <v>0</v>
      </c>
      <c r="EF753">
        <v>0</v>
      </c>
      <c r="EG753">
        <v>0</v>
      </c>
      <c r="EH753">
        <v>0</v>
      </c>
      <c r="EI753">
        <v>0</v>
      </c>
      <c r="EJ753">
        <v>0</v>
      </c>
      <c r="EK753">
        <v>0</v>
      </c>
      <c r="EL753">
        <v>0</v>
      </c>
      <c r="EM753">
        <v>0</v>
      </c>
      <c r="EN753">
        <v>0</v>
      </c>
      <c r="EO753">
        <v>0</v>
      </c>
      <c r="EP753">
        <v>944.5</v>
      </c>
      <c r="EQ753">
        <v>3459.7</v>
      </c>
      <c r="ER753">
        <v>1353.5</v>
      </c>
      <c r="ES753">
        <v>182.2</v>
      </c>
      <c r="ET753">
        <v>855.59999999999991</v>
      </c>
      <c r="EU753">
        <v>172.2</v>
      </c>
      <c r="EV753">
        <v>203.2</v>
      </c>
      <c r="EW753">
        <v>1173.0999999999999</v>
      </c>
      <c r="EX753">
        <v>1078.3</v>
      </c>
      <c r="EY753">
        <v>1194.4000000000001</v>
      </c>
      <c r="EZ753">
        <v>1207.0999999999999</v>
      </c>
      <c r="FA753">
        <v>0</v>
      </c>
      <c r="FB753">
        <v>0</v>
      </c>
      <c r="FC753">
        <v>0</v>
      </c>
      <c r="FD753">
        <v>0</v>
      </c>
      <c r="FE753">
        <v>0</v>
      </c>
      <c r="FF753">
        <v>0</v>
      </c>
      <c r="FG753">
        <v>0</v>
      </c>
      <c r="FH753">
        <v>0</v>
      </c>
      <c r="FI753">
        <v>0</v>
      </c>
      <c r="FJ753">
        <v>0</v>
      </c>
      <c r="FK753">
        <v>0</v>
      </c>
      <c r="FL753">
        <v>0</v>
      </c>
      <c r="FM753">
        <v>0</v>
      </c>
      <c r="FN753">
        <v>0</v>
      </c>
      <c r="FO753">
        <v>0</v>
      </c>
      <c r="FP753">
        <v>0</v>
      </c>
      <c r="FQ753">
        <v>0</v>
      </c>
      <c r="FR753">
        <v>0</v>
      </c>
      <c r="FS753">
        <v>0</v>
      </c>
      <c r="FT753">
        <v>0</v>
      </c>
      <c r="FU753">
        <v>0</v>
      </c>
      <c r="FV753">
        <v>0</v>
      </c>
      <c r="FW753">
        <v>0</v>
      </c>
      <c r="FX753">
        <v>0</v>
      </c>
      <c r="FY753">
        <v>0</v>
      </c>
      <c r="FZ753">
        <v>0</v>
      </c>
      <c r="GA753">
        <v>0</v>
      </c>
      <c r="GB753">
        <v>0</v>
      </c>
      <c r="GC753">
        <v>0</v>
      </c>
      <c r="GD753">
        <v>0</v>
      </c>
      <c r="GE753">
        <v>0</v>
      </c>
      <c r="GF753">
        <v>0</v>
      </c>
      <c r="GG753">
        <v>0</v>
      </c>
      <c r="GH753">
        <v>0</v>
      </c>
      <c r="GI753">
        <v>0</v>
      </c>
      <c r="GJ753">
        <v>0</v>
      </c>
      <c r="GK753">
        <v>0</v>
      </c>
      <c r="GL753">
        <v>0</v>
      </c>
      <c r="GO753">
        <v>0</v>
      </c>
      <c r="GP753">
        <v>0</v>
      </c>
      <c r="GQ753">
        <v>0</v>
      </c>
      <c r="GR753">
        <v>0</v>
      </c>
      <c r="GS753">
        <v>0</v>
      </c>
      <c r="GT753">
        <v>0</v>
      </c>
      <c r="GU753">
        <v>0</v>
      </c>
      <c r="GV753">
        <v>0</v>
      </c>
      <c r="GW753">
        <v>0</v>
      </c>
      <c r="GX753">
        <v>0</v>
      </c>
      <c r="GY753">
        <v>0</v>
      </c>
      <c r="GZ753">
        <v>0</v>
      </c>
      <c r="HA753">
        <v>0</v>
      </c>
      <c r="HB753">
        <v>0</v>
      </c>
      <c r="HC753">
        <v>0</v>
      </c>
      <c r="HD753">
        <v>0</v>
      </c>
      <c r="HE753">
        <v>0</v>
      </c>
      <c r="HF753">
        <v>0</v>
      </c>
      <c r="HG753">
        <v>0</v>
      </c>
      <c r="HH753">
        <v>0</v>
      </c>
      <c r="HI753">
        <v>0</v>
      </c>
      <c r="HJ753">
        <v>0</v>
      </c>
      <c r="HK753">
        <v>0</v>
      </c>
      <c r="HL753">
        <v>0</v>
      </c>
      <c r="HM753">
        <v>0</v>
      </c>
      <c r="HN753">
        <v>0</v>
      </c>
      <c r="HO753">
        <v>0</v>
      </c>
      <c r="HP753">
        <v>0</v>
      </c>
      <c r="HQ753">
        <v>0</v>
      </c>
      <c r="HR753">
        <v>0</v>
      </c>
      <c r="HS753">
        <v>0</v>
      </c>
      <c r="HT753">
        <v>0</v>
      </c>
      <c r="HU753">
        <v>0</v>
      </c>
      <c r="HV753">
        <v>0</v>
      </c>
      <c r="HW753">
        <v>404.70000000000005</v>
      </c>
      <c r="HX753">
        <v>342.3</v>
      </c>
      <c r="HZ753">
        <v>866.2</v>
      </c>
      <c r="IA753">
        <v>1142.8</v>
      </c>
      <c r="IB753">
        <v>1121.5</v>
      </c>
      <c r="IC753">
        <v>2403</v>
      </c>
      <c r="ID753">
        <v>2659.3</v>
      </c>
      <c r="IE753">
        <v>1923.4</v>
      </c>
      <c r="IF753">
        <v>1465.7</v>
      </c>
      <c r="IG753">
        <v>1608.3</v>
      </c>
      <c r="IH753">
        <v>0</v>
      </c>
      <c r="II753">
        <v>0</v>
      </c>
      <c r="IJ753">
        <v>0</v>
      </c>
      <c r="IK753">
        <v>0</v>
      </c>
      <c r="IL753">
        <v>0</v>
      </c>
      <c r="IM753">
        <v>0</v>
      </c>
      <c r="IN753">
        <v>0</v>
      </c>
      <c r="IO753">
        <v>0</v>
      </c>
      <c r="IP753">
        <v>75.099999999999994</v>
      </c>
    </row>
    <row r="754" spans="1:250" ht="18" thickBot="1">
      <c r="A754" s="245"/>
      <c r="B754" s="245" t="s">
        <v>400</v>
      </c>
      <c r="C754" s="230" t="s">
        <v>1174</v>
      </c>
      <c r="D754" s="397"/>
      <c r="E754" s="454">
        <v>0</v>
      </c>
      <c r="F754">
        <v>0</v>
      </c>
      <c r="G754" s="427">
        <v>0</v>
      </c>
      <c r="H754" s="155">
        <v>0</v>
      </c>
      <c r="I754">
        <v>0</v>
      </c>
      <c r="J754">
        <v>0</v>
      </c>
      <c r="K754">
        <v>0</v>
      </c>
      <c r="L754" s="4">
        <v>0</v>
      </c>
      <c r="M754" s="4">
        <v>0</v>
      </c>
      <c r="N754" s="4">
        <v>0</v>
      </c>
      <c r="O754" s="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R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G754">
        <v>0</v>
      </c>
      <c r="BI754">
        <v>0</v>
      </c>
      <c r="BK754">
        <v>0</v>
      </c>
      <c r="BL754">
        <v>0</v>
      </c>
      <c r="BM754">
        <v>0</v>
      </c>
      <c r="BN754">
        <v>0</v>
      </c>
      <c r="BO754">
        <v>344.70000000000005</v>
      </c>
      <c r="BP754">
        <v>625.70000000000005</v>
      </c>
      <c r="BQ754">
        <v>912.2</v>
      </c>
      <c r="BR754">
        <v>237.7</v>
      </c>
      <c r="BS754">
        <v>0</v>
      </c>
      <c r="BT754">
        <v>0</v>
      </c>
      <c r="BU754">
        <v>0</v>
      </c>
      <c r="BV754">
        <v>0</v>
      </c>
      <c r="BW754">
        <v>1647.4</v>
      </c>
      <c r="BY754">
        <v>453.1</v>
      </c>
      <c r="CA754">
        <v>285.39999999999998</v>
      </c>
      <c r="CB754">
        <v>280.8</v>
      </c>
      <c r="CC754">
        <v>127.7</v>
      </c>
      <c r="CD754">
        <v>0</v>
      </c>
      <c r="CE754">
        <v>0</v>
      </c>
      <c r="CF754">
        <v>0</v>
      </c>
      <c r="CG754">
        <v>0</v>
      </c>
      <c r="CI754">
        <v>0</v>
      </c>
      <c r="CJ754">
        <v>0</v>
      </c>
      <c r="CL754">
        <v>0</v>
      </c>
      <c r="CM754">
        <v>0</v>
      </c>
      <c r="CN754">
        <v>0</v>
      </c>
      <c r="CO754">
        <v>0</v>
      </c>
      <c r="CP754">
        <v>0</v>
      </c>
      <c r="CQ754">
        <v>621.70000000000005</v>
      </c>
      <c r="CR754">
        <v>481.70000000000005</v>
      </c>
      <c r="CS754">
        <v>0</v>
      </c>
      <c r="CT754">
        <v>524.6</v>
      </c>
      <c r="CU754">
        <v>514.1</v>
      </c>
      <c r="CV754">
        <v>175.2</v>
      </c>
      <c r="CW754">
        <v>0</v>
      </c>
      <c r="CX754">
        <v>65.099999999999994</v>
      </c>
      <c r="CY754">
        <v>199</v>
      </c>
      <c r="CZ754">
        <v>1907.9</v>
      </c>
      <c r="DA754">
        <v>0</v>
      </c>
      <c r="DB754">
        <v>0</v>
      </c>
      <c r="DC754">
        <v>0</v>
      </c>
      <c r="DD754">
        <v>0</v>
      </c>
      <c r="DE754">
        <v>0</v>
      </c>
      <c r="DF754">
        <v>0</v>
      </c>
      <c r="DG754">
        <v>0</v>
      </c>
      <c r="DH754">
        <v>0</v>
      </c>
      <c r="DI754">
        <v>0</v>
      </c>
      <c r="DJ754">
        <v>0</v>
      </c>
      <c r="DK754">
        <v>0</v>
      </c>
      <c r="DL754">
        <v>0</v>
      </c>
      <c r="DM754">
        <v>1065.4000000000001</v>
      </c>
      <c r="DN754">
        <v>599.70000000000005</v>
      </c>
      <c r="DO754">
        <v>319.7</v>
      </c>
      <c r="DP754">
        <v>1570.6999999999998</v>
      </c>
      <c r="DQ754">
        <v>1399.5</v>
      </c>
      <c r="DR754">
        <v>3581</v>
      </c>
      <c r="DU754">
        <v>1393.2</v>
      </c>
      <c r="DV754">
        <v>2862.6</v>
      </c>
      <c r="DY754">
        <v>2361</v>
      </c>
      <c r="EA754">
        <v>2409.6</v>
      </c>
      <c r="EC754">
        <v>1661.3999999999999</v>
      </c>
      <c r="EE754">
        <v>0</v>
      </c>
      <c r="EF754">
        <v>0</v>
      </c>
      <c r="EG754">
        <v>0</v>
      </c>
      <c r="EH754">
        <v>0</v>
      </c>
      <c r="EI754">
        <v>0</v>
      </c>
      <c r="EJ754">
        <v>0</v>
      </c>
      <c r="EK754">
        <v>0</v>
      </c>
      <c r="EL754">
        <v>0</v>
      </c>
      <c r="EM754">
        <v>0</v>
      </c>
      <c r="EN754">
        <v>0</v>
      </c>
      <c r="EO754">
        <v>0</v>
      </c>
      <c r="EP754">
        <v>944.5</v>
      </c>
      <c r="EQ754">
        <v>3459.7</v>
      </c>
      <c r="ER754">
        <v>1353.5</v>
      </c>
      <c r="ES754">
        <v>182.2</v>
      </c>
      <c r="ET754">
        <v>855.59999999999991</v>
      </c>
      <c r="EU754">
        <v>172.2</v>
      </c>
      <c r="EV754">
        <v>203.2</v>
      </c>
      <c r="EW754">
        <v>1173.0999999999999</v>
      </c>
      <c r="EX754">
        <v>1078.3</v>
      </c>
      <c r="EY754">
        <v>1194.4000000000001</v>
      </c>
      <c r="EZ754">
        <v>1207.0999999999999</v>
      </c>
      <c r="FA754">
        <v>0</v>
      </c>
      <c r="FB754">
        <v>0</v>
      </c>
      <c r="FC754">
        <v>0</v>
      </c>
      <c r="FD754">
        <v>0</v>
      </c>
      <c r="FE754">
        <v>0</v>
      </c>
      <c r="FF754">
        <v>0</v>
      </c>
      <c r="FG754">
        <v>0</v>
      </c>
      <c r="FH754">
        <v>0</v>
      </c>
      <c r="FI754">
        <v>0</v>
      </c>
      <c r="FJ754">
        <v>0</v>
      </c>
      <c r="FK754">
        <v>0</v>
      </c>
      <c r="FL754">
        <v>0</v>
      </c>
      <c r="FM754">
        <v>0</v>
      </c>
      <c r="FN754">
        <v>0</v>
      </c>
      <c r="FO754">
        <v>0</v>
      </c>
      <c r="FP754">
        <v>0</v>
      </c>
      <c r="FQ754">
        <v>0</v>
      </c>
      <c r="FR754">
        <v>0</v>
      </c>
      <c r="FS754">
        <v>0</v>
      </c>
      <c r="FT754">
        <v>0</v>
      </c>
      <c r="FU754">
        <v>0</v>
      </c>
      <c r="FV754">
        <v>0</v>
      </c>
      <c r="FW754">
        <v>0</v>
      </c>
      <c r="FX754">
        <v>0</v>
      </c>
      <c r="FY754">
        <v>0</v>
      </c>
      <c r="FZ754">
        <v>0</v>
      </c>
      <c r="GA754">
        <v>0</v>
      </c>
      <c r="GB754">
        <v>0</v>
      </c>
      <c r="GC754">
        <v>0</v>
      </c>
      <c r="GD754">
        <v>0</v>
      </c>
      <c r="GE754">
        <v>0</v>
      </c>
      <c r="GF754">
        <v>0</v>
      </c>
      <c r="GG754">
        <v>0</v>
      </c>
      <c r="GH754">
        <v>0</v>
      </c>
      <c r="GI754">
        <v>0</v>
      </c>
      <c r="GJ754">
        <v>0</v>
      </c>
      <c r="GK754">
        <v>0</v>
      </c>
      <c r="GL754">
        <v>0</v>
      </c>
      <c r="GO754">
        <v>0</v>
      </c>
      <c r="GP754">
        <v>0</v>
      </c>
      <c r="GQ754">
        <v>0</v>
      </c>
      <c r="GR754">
        <v>0</v>
      </c>
      <c r="GS754">
        <v>0</v>
      </c>
      <c r="GT754">
        <v>0</v>
      </c>
      <c r="GU754">
        <v>0</v>
      </c>
      <c r="GV754">
        <v>0</v>
      </c>
      <c r="GW754">
        <v>0</v>
      </c>
      <c r="GX754">
        <v>0</v>
      </c>
      <c r="GY754">
        <v>0</v>
      </c>
      <c r="GZ754">
        <v>0</v>
      </c>
      <c r="HA754">
        <v>0</v>
      </c>
      <c r="HB754">
        <v>0</v>
      </c>
      <c r="HC754">
        <v>0</v>
      </c>
      <c r="HD754">
        <v>0</v>
      </c>
      <c r="HE754">
        <v>0</v>
      </c>
      <c r="HF754">
        <v>0</v>
      </c>
      <c r="HG754">
        <v>0</v>
      </c>
      <c r="HH754">
        <v>0</v>
      </c>
      <c r="HI754">
        <v>0</v>
      </c>
      <c r="HJ754">
        <v>0</v>
      </c>
      <c r="HK754">
        <v>0</v>
      </c>
      <c r="HL754">
        <v>0</v>
      </c>
      <c r="HM754">
        <v>0</v>
      </c>
      <c r="HN754">
        <v>0</v>
      </c>
      <c r="HO754">
        <v>0</v>
      </c>
      <c r="HP754">
        <v>0</v>
      </c>
      <c r="HQ754">
        <v>0</v>
      </c>
      <c r="HR754">
        <v>0</v>
      </c>
      <c r="HS754">
        <v>0</v>
      </c>
      <c r="HT754">
        <v>0</v>
      </c>
      <c r="HU754">
        <v>0</v>
      </c>
      <c r="HV754">
        <v>0</v>
      </c>
      <c r="HW754">
        <v>404.70000000000005</v>
      </c>
      <c r="HX754">
        <v>342.3</v>
      </c>
      <c r="HZ754">
        <v>866.2</v>
      </c>
      <c r="IA754">
        <v>1142.8</v>
      </c>
      <c r="IB754">
        <v>1121.5</v>
      </c>
      <c r="IC754">
        <v>2403</v>
      </c>
      <c r="ID754">
        <v>2659.3</v>
      </c>
      <c r="IE754">
        <v>1923.4</v>
      </c>
      <c r="IF754">
        <v>1465.7</v>
      </c>
      <c r="IG754">
        <v>1608.3</v>
      </c>
      <c r="IH754">
        <v>0</v>
      </c>
      <c r="II754">
        <v>0</v>
      </c>
      <c r="IJ754">
        <v>0</v>
      </c>
      <c r="IK754">
        <v>0</v>
      </c>
      <c r="IL754">
        <v>0</v>
      </c>
      <c r="IM754">
        <v>0</v>
      </c>
      <c r="IN754">
        <v>0</v>
      </c>
      <c r="IO754">
        <v>0</v>
      </c>
      <c r="IP754">
        <v>75.099999999999994</v>
      </c>
    </row>
    <row r="755" spans="1:250" ht="18" thickBot="1">
      <c r="A755" s="245"/>
      <c r="B755" s="245" t="s">
        <v>401</v>
      </c>
      <c r="C755" s="230" t="s">
        <v>1175</v>
      </c>
      <c r="D755" s="397"/>
      <c r="E755" s="454">
        <v>0</v>
      </c>
      <c r="F755">
        <v>0</v>
      </c>
      <c r="G755" s="427">
        <v>0</v>
      </c>
      <c r="H755" s="155">
        <v>0</v>
      </c>
      <c r="I755">
        <v>0</v>
      </c>
      <c r="J755">
        <v>0</v>
      </c>
      <c r="K755">
        <v>0</v>
      </c>
      <c r="L755" s="4">
        <v>0</v>
      </c>
      <c r="M755" s="4">
        <v>0</v>
      </c>
      <c r="N755" s="4">
        <v>0</v>
      </c>
      <c r="O755" s="4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R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G755">
        <v>0</v>
      </c>
      <c r="BI755">
        <v>0</v>
      </c>
      <c r="BK755">
        <v>0</v>
      </c>
      <c r="BL755">
        <v>0</v>
      </c>
      <c r="BM755">
        <v>0</v>
      </c>
      <c r="BN755">
        <v>0</v>
      </c>
      <c r="BO755">
        <v>344.70000000000005</v>
      </c>
      <c r="BP755">
        <v>625.70000000000005</v>
      </c>
      <c r="BQ755">
        <v>912.2</v>
      </c>
      <c r="BR755">
        <v>237.7</v>
      </c>
      <c r="BS755">
        <v>0</v>
      </c>
      <c r="BT755">
        <v>0</v>
      </c>
      <c r="BU755">
        <v>0</v>
      </c>
      <c r="BV755">
        <v>0</v>
      </c>
      <c r="BW755">
        <v>1647.4</v>
      </c>
      <c r="BY755">
        <v>453.1</v>
      </c>
      <c r="CA755">
        <v>285.39999999999998</v>
      </c>
      <c r="CB755">
        <v>280.8</v>
      </c>
      <c r="CC755">
        <v>127.7</v>
      </c>
      <c r="CD755">
        <v>0</v>
      </c>
      <c r="CE755">
        <v>0</v>
      </c>
      <c r="CF755">
        <v>0</v>
      </c>
      <c r="CG755">
        <v>0</v>
      </c>
      <c r="CI755">
        <v>0</v>
      </c>
      <c r="CJ755">
        <v>0</v>
      </c>
      <c r="CL755">
        <v>0</v>
      </c>
      <c r="CM755">
        <v>0</v>
      </c>
      <c r="CN755">
        <v>0</v>
      </c>
      <c r="CO755">
        <v>0</v>
      </c>
      <c r="CP755">
        <v>0</v>
      </c>
      <c r="CQ755">
        <v>621.70000000000005</v>
      </c>
      <c r="CR755">
        <v>481.70000000000005</v>
      </c>
      <c r="CS755">
        <v>0</v>
      </c>
      <c r="CT755">
        <v>524.6</v>
      </c>
      <c r="CU755">
        <v>514.1</v>
      </c>
      <c r="CV755">
        <v>175.2</v>
      </c>
      <c r="CW755">
        <v>0</v>
      </c>
      <c r="CX755">
        <v>65.099999999999994</v>
      </c>
      <c r="CY755">
        <v>199</v>
      </c>
      <c r="CZ755">
        <v>1907.9</v>
      </c>
      <c r="DA755">
        <v>0</v>
      </c>
      <c r="DB755">
        <v>0</v>
      </c>
      <c r="DC755">
        <v>0</v>
      </c>
      <c r="DD755">
        <v>0</v>
      </c>
      <c r="DE755">
        <v>0</v>
      </c>
      <c r="DF755">
        <v>0</v>
      </c>
      <c r="DG755">
        <v>0</v>
      </c>
      <c r="DH755">
        <v>0</v>
      </c>
      <c r="DI755">
        <v>0</v>
      </c>
      <c r="DJ755">
        <v>0</v>
      </c>
      <c r="DK755">
        <v>0</v>
      </c>
      <c r="DL755">
        <v>0</v>
      </c>
      <c r="DM755">
        <v>1065.4000000000001</v>
      </c>
      <c r="DN755">
        <v>599.70000000000005</v>
      </c>
      <c r="DO755">
        <v>319.7</v>
      </c>
      <c r="DP755">
        <v>1570.6999999999998</v>
      </c>
      <c r="DQ755">
        <v>1399.5</v>
      </c>
      <c r="DR755">
        <v>3581</v>
      </c>
      <c r="DU755">
        <v>1393.2</v>
      </c>
      <c r="DV755">
        <v>2862.6</v>
      </c>
      <c r="DY755">
        <v>2361</v>
      </c>
      <c r="EA755">
        <v>2409.6</v>
      </c>
      <c r="EC755">
        <v>1661.3999999999999</v>
      </c>
      <c r="EE755">
        <v>0</v>
      </c>
      <c r="EF755">
        <v>0</v>
      </c>
      <c r="EG755">
        <v>0</v>
      </c>
      <c r="EH755">
        <v>0</v>
      </c>
      <c r="EI755">
        <v>0</v>
      </c>
      <c r="EJ755">
        <v>0</v>
      </c>
      <c r="EK755">
        <v>0</v>
      </c>
      <c r="EL755">
        <v>0</v>
      </c>
      <c r="EM755">
        <v>0</v>
      </c>
      <c r="EN755">
        <v>0</v>
      </c>
      <c r="EO755">
        <v>0</v>
      </c>
      <c r="EP755">
        <v>944.5</v>
      </c>
      <c r="EQ755">
        <v>3459.7</v>
      </c>
      <c r="ER755">
        <v>1353.5</v>
      </c>
      <c r="ES755">
        <v>182.2</v>
      </c>
      <c r="ET755">
        <v>855.59999999999991</v>
      </c>
      <c r="EU755">
        <v>172.2</v>
      </c>
      <c r="EV755">
        <v>203.2</v>
      </c>
      <c r="EW755">
        <v>1173.0999999999999</v>
      </c>
      <c r="EX755">
        <v>1078.3</v>
      </c>
      <c r="EY755">
        <v>1194.4000000000001</v>
      </c>
      <c r="EZ755">
        <v>1207.0999999999999</v>
      </c>
      <c r="FA755">
        <v>0</v>
      </c>
      <c r="FB755">
        <v>0</v>
      </c>
      <c r="FC755">
        <v>0</v>
      </c>
      <c r="FD755">
        <v>0</v>
      </c>
      <c r="FE755">
        <v>0</v>
      </c>
      <c r="FF755">
        <v>0</v>
      </c>
      <c r="FG755">
        <v>0</v>
      </c>
      <c r="FH755">
        <v>0</v>
      </c>
      <c r="FI755">
        <v>0</v>
      </c>
      <c r="FJ755">
        <v>0</v>
      </c>
      <c r="FK755">
        <v>0</v>
      </c>
      <c r="FL755">
        <v>0</v>
      </c>
      <c r="FM755">
        <v>0</v>
      </c>
      <c r="FN755">
        <v>0</v>
      </c>
      <c r="FO755">
        <v>0</v>
      </c>
      <c r="FP755">
        <v>0</v>
      </c>
      <c r="FQ755">
        <v>0</v>
      </c>
      <c r="FR755">
        <v>0</v>
      </c>
      <c r="FS755">
        <v>0</v>
      </c>
      <c r="FT755">
        <v>0</v>
      </c>
      <c r="FU755">
        <v>0</v>
      </c>
      <c r="FV755">
        <v>0</v>
      </c>
      <c r="FW755">
        <v>0</v>
      </c>
      <c r="FX755">
        <v>0</v>
      </c>
      <c r="FY755">
        <v>0</v>
      </c>
      <c r="FZ755">
        <v>0</v>
      </c>
      <c r="GA755">
        <v>0</v>
      </c>
      <c r="GB755">
        <v>0</v>
      </c>
      <c r="GC755">
        <v>0</v>
      </c>
      <c r="GD755">
        <v>0</v>
      </c>
      <c r="GE755">
        <v>0</v>
      </c>
      <c r="GF755">
        <v>0</v>
      </c>
      <c r="GG755">
        <v>0</v>
      </c>
      <c r="GH755">
        <v>0</v>
      </c>
      <c r="GI755">
        <v>0</v>
      </c>
      <c r="GJ755">
        <v>0</v>
      </c>
      <c r="GK755">
        <v>0</v>
      </c>
      <c r="GL755">
        <v>0</v>
      </c>
      <c r="GO755">
        <v>0</v>
      </c>
      <c r="GP755">
        <v>0</v>
      </c>
      <c r="GQ755">
        <v>0</v>
      </c>
      <c r="GR755">
        <v>0</v>
      </c>
      <c r="GS755">
        <v>0</v>
      </c>
      <c r="GT755">
        <v>0</v>
      </c>
      <c r="GU755">
        <v>0</v>
      </c>
      <c r="GV755">
        <v>0</v>
      </c>
      <c r="GW755">
        <v>0</v>
      </c>
      <c r="GX755">
        <v>0</v>
      </c>
      <c r="GY755">
        <v>0</v>
      </c>
      <c r="GZ755">
        <v>0</v>
      </c>
      <c r="HA755">
        <v>0</v>
      </c>
      <c r="HB755">
        <v>0</v>
      </c>
      <c r="HC755">
        <v>0</v>
      </c>
      <c r="HD755">
        <v>0</v>
      </c>
      <c r="HE755">
        <v>0</v>
      </c>
      <c r="HF755">
        <v>0</v>
      </c>
      <c r="HG755">
        <v>0</v>
      </c>
      <c r="HH755">
        <v>0</v>
      </c>
      <c r="HI755">
        <v>0</v>
      </c>
      <c r="HJ755">
        <v>0</v>
      </c>
      <c r="HK755">
        <v>0</v>
      </c>
      <c r="HL755">
        <v>0</v>
      </c>
      <c r="HM755">
        <v>0</v>
      </c>
      <c r="HN755">
        <v>0</v>
      </c>
      <c r="HO755">
        <v>0</v>
      </c>
      <c r="HP755">
        <v>0</v>
      </c>
      <c r="HQ755">
        <v>0</v>
      </c>
      <c r="HR755">
        <v>0</v>
      </c>
      <c r="HS755">
        <v>0</v>
      </c>
      <c r="HT755">
        <v>0</v>
      </c>
      <c r="HU755">
        <v>0</v>
      </c>
      <c r="HV755">
        <v>0</v>
      </c>
      <c r="HW755">
        <v>404.70000000000005</v>
      </c>
      <c r="HX755">
        <v>342.3</v>
      </c>
      <c r="HZ755">
        <v>866.2</v>
      </c>
      <c r="IA755">
        <v>1142.8</v>
      </c>
      <c r="IB755">
        <v>1121.5</v>
      </c>
      <c r="IC755">
        <v>2403</v>
      </c>
      <c r="ID755">
        <v>2659.3</v>
      </c>
      <c r="IE755">
        <v>1923.4</v>
      </c>
      <c r="IF755">
        <v>1465.7</v>
      </c>
      <c r="IG755">
        <v>1608.3</v>
      </c>
      <c r="IH755">
        <v>0</v>
      </c>
      <c r="II755">
        <v>0</v>
      </c>
      <c r="IJ755">
        <v>0</v>
      </c>
      <c r="IK755">
        <v>0</v>
      </c>
      <c r="IL755">
        <v>0</v>
      </c>
      <c r="IM755">
        <v>0</v>
      </c>
      <c r="IN755">
        <v>0</v>
      </c>
      <c r="IO755">
        <v>0</v>
      </c>
      <c r="IP755">
        <v>75.099999999999994</v>
      </c>
    </row>
    <row r="756" spans="1:250" ht="18" thickBot="1">
      <c r="A756" s="245"/>
      <c r="B756" s="245" t="s">
        <v>402</v>
      </c>
      <c r="C756" s="230" t="s">
        <v>1176</v>
      </c>
      <c r="D756" s="397"/>
      <c r="E756" s="454">
        <v>0</v>
      </c>
      <c r="F756">
        <v>0</v>
      </c>
      <c r="G756" s="427">
        <v>0</v>
      </c>
      <c r="H756" s="155">
        <v>0</v>
      </c>
      <c r="I756">
        <v>0</v>
      </c>
      <c r="J756">
        <v>0</v>
      </c>
      <c r="K756">
        <v>0</v>
      </c>
      <c r="L756" s="4">
        <v>0</v>
      </c>
      <c r="M756" s="4">
        <v>0</v>
      </c>
      <c r="N756" s="4">
        <v>0</v>
      </c>
      <c r="O756" s="4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R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G756">
        <v>0</v>
      </c>
      <c r="BI756">
        <v>0</v>
      </c>
      <c r="BK756">
        <v>0</v>
      </c>
      <c r="BL756">
        <v>0</v>
      </c>
      <c r="BM756">
        <v>0</v>
      </c>
      <c r="BN756">
        <v>0</v>
      </c>
      <c r="BO756">
        <v>344.70000000000005</v>
      </c>
      <c r="BP756">
        <v>625.70000000000005</v>
      </c>
      <c r="BQ756">
        <v>912.2</v>
      </c>
      <c r="BR756">
        <v>237.7</v>
      </c>
      <c r="BS756">
        <v>0</v>
      </c>
      <c r="BT756">
        <v>0</v>
      </c>
      <c r="BU756">
        <v>0</v>
      </c>
      <c r="BV756">
        <v>0</v>
      </c>
      <c r="BW756">
        <v>1647.4</v>
      </c>
      <c r="BY756">
        <v>453.1</v>
      </c>
      <c r="CA756">
        <v>285.39999999999998</v>
      </c>
      <c r="CB756">
        <v>280.8</v>
      </c>
      <c r="CC756">
        <v>127.7</v>
      </c>
      <c r="CD756">
        <v>0</v>
      </c>
      <c r="CE756">
        <v>0</v>
      </c>
      <c r="CF756">
        <v>0</v>
      </c>
      <c r="CG756">
        <v>0</v>
      </c>
      <c r="CI756">
        <v>0</v>
      </c>
      <c r="CJ756">
        <v>0</v>
      </c>
      <c r="CL756">
        <v>0</v>
      </c>
      <c r="CM756">
        <v>0</v>
      </c>
      <c r="CN756">
        <v>0</v>
      </c>
      <c r="CO756">
        <v>0</v>
      </c>
      <c r="CP756">
        <v>0</v>
      </c>
      <c r="CQ756">
        <v>621.70000000000005</v>
      </c>
      <c r="CR756">
        <v>481.70000000000005</v>
      </c>
      <c r="CS756">
        <v>0</v>
      </c>
      <c r="CT756">
        <v>524.6</v>
      </c>
      <c r="CU756">
        <v>514.1</v>
      </c>
      <c r="CV756">
        <v>175.2</v>
      </c>
      <c r="CW756">
        <v>0</v>
      </c>
      <c r="CX756">
        <v>65.099999999999994</v>
      </c>
      <c r="CY756">
        <v>199</v>
      </c>
      <c r="CZ756">
        <v>1907.9</v>
      </c>
      <c r="DA756">
        <v>0</v>
      </c>
      <c r="DB756">
        <v>0</v>
      </c>
      <c r="DC756">
        <v>0</v>
      </c>
      <c r="DD756">
        <v>0</v>
      </c>
      <c r="DE756">
        <v>0</v>
      </c>
      <c r="DF756">
        <v>0</v>
      </c>
      <c r="DG756">
        <v>0</v>
      </c>
      <c r="DH756">
        <v>0</v>
      </c>
      <c r="DI756">
        <v>0</v>
      </c>
      <c r="DJ756">
        <v>0</v>
      </c>
      <c r="DK756">
        <v>0</v>
      </c>
      <c r="DL756">
        <v>0</v>
      </c>
      <c r="DM756">
        <v>1065.4000000000001</v>
      </c>
      <c r="DN756">
        <v>599.70000000000005</v>
      </c>
      <c r="DO756">
        <v>319.7</v>
      </c>
      <c r="DP756">
        <v>1570.6999999999998</v>
      </c>
      <c r="DQ756">
        <v>1399.5</v>
      </c>
      <c r="DR756">
        <v>3581</v>
      </c>
      <c r="DU756">
        <v>1393.2</v>
      </c>
      <c r="DV756">
        <v>2862.6</v>
      </c>
      <c r="DY756">
        <v>2361</v>
      </c>
      <c r="EA756">
        <v>2409.6</v>
      </c>
      <c r="EC756">
        <v>1661.3999999999999</v>
      </c>
      <c r="EE756">
        <v>0</v>
      </c>
      <c r="EF756">
        <v>0</v>
      </c>
      <c r="EG756">
        <v>0</v>
      </c>
      <c r="EH756">
        <v>0</v>
      </c>
      <c r="EI756">
        <v>0</v>
      </c>
      <c r="EJ756">
        <v>0</v>
      </c>
      <c r="EK756">
        <v>0</v>
      </c>
      <c r="EL756">
        <v>0</v>
      </c>
      <c r="EM756">
        <v>0</v>
      </c>
      <c r="EN756">
        <v>0</v>
      </c>
      <c r="EO756">
        <v>0</v>
      </c>
      <c r="EP756">
        <v>944.5</v>
      </c>
      <c r="EQ756">
        <v>3459.7</v>
      </c>
      <c r="ER756">
        <v>1353.5</v>
      </c>
      <c r="ES756">
        <v>182.2</v>
      </c>
      <c r="ET756">
        <v>855.59999999999991</v>
      </c>
      <c r="EU756">
        <v>172.2</v>
      </c>
      <c r="EV756">
        <v>203.2</v>
      </c>
      <c r="EW756">
        <v>1173.0999999999999</v>
      </c>
      <c r="EX756">
        <v>1078.3</v>
      </c>
      <c r="EY756">
        <v>1194.4000000000001</v>
      </c>
      <c r="EZ756">
        <v>1207.0999999999999</v>
      </c>
      <c r="FA756">
        <v>0</v>
      </c>
      <c r="FB756">
        <v>0</v>
      </c>
      <c r="FC756">
        <v>0</v>
      </c>
      <c r="FD756">
        <v>0</v>
      </c>
      <c r="FE756">
        <v>0</v>
      </c>
      <c r="FF756">
        <v>0</v>
      </c>
      <c r="FG756">
        <v>0</v>
      </c>
      <c r="FH756">
        <v>0</v>
      </c>
      <c r="FI756">
        <v>0</v>
      </c>
      <c r="FJ756">
        <v>0</v>
      </c>
      <c r="FK756">
        <v>0</v>
      </c>
      <c r="FL756">
        <v>0</v>
      </c>
      <c r="FM756">
        <v>0</v>
      </c>
      <c r="FN756">
        <v>0</v>
      </c>
      <c r="FO756">
        <v>0</v>
      </c>
      <c r="FP756">
        <v>0</v>
      </c>
      <c r="FQ756">
        <v>0</v>
      </c>
      <c r="FR756">
        <v>0</v>
      </c>
      <c r="FS756">
        <v>0</v>
      </c>
      <c r="FT756">
        <v>0</v>
      </c>
      <c r="FU756">
        <v>0</v>
      </c>
      <c r="FV756">
        <v>0</v>
      </c>
      <c r="FW756">
        <v>0</v>
      </c>
      <c r="FX756">
        <v>0</v>
      </c>
      <c r="FY756">
        <v>0</v>
      </c>
      <c r="FZ756">
        <v>0</v>
      </c>
      <c r="GA756">
        <v>0</v>
      </c>
      <c r="GB756">
        <v>0</v>
      </c>
      <c r="GC756">
        <v>0</v>
      </c>
      <c r="GD756">
        <v>0</v>
      </c>
      <c r="GE756">
        <v>0</v>
      </c>
      <c r="GF756">
        <v>0</v>
      </c>
      <c r="GG756">
        <v>0</v>
      </c>
      <c r="GH756">
        <v>0</v>
      </c>
      <c r="GI756">
        <v>0</v>
      </c>
      <c r="GJ756">
        <v>0</v>
      </c>
      <c r="GK756">
        <v>0</v>
      </c>
      <c r="GL756">
        <v>0</v>
      </c>
      <c r="GO756">
        <v>0</v>
      </c>
      <c r="GP756">
        <v>0</v>
      </c>
      <c r="GQ756">
        <v>0</v>
      </c>
      <c r="GR756">
        <v>0</v>
      </c>
      <c r="GS756">
        <v>0</v>
      </c>
      <c r="GT756">
        <v>0</v>
      </c>
      <c r="GU756">
        <v>0</v>
      </c>
      <c r="GV756">
        <v>0</v>
      </c>
      <c r="GW756">
        <v>0</v>
      </c>
      <c r="GX756">
        <v>0</v>
      </c>
      <c r="GY756">
        <v>0</v>
      </c>
      <c r="GZ756">
        <v>0</v>
      </c>
      <c r="HA756">
        <v>0</v>
      </c>
      <c r="HB756">
        <v>0</v>
      </c>
      <c r="HC756">
        <v>0</v>
      </c>
      <c r="HD756">
        <v>0</v>
      </c>
      <c r="HE756">
        <v>0</v>
      </c>
      <c r="HF756">
        <v>0</v>
      </c>
      <c r="HG756">
        <v>0</v>
      </c>
      <c r="HH756">
        <v>0</v>
      </c>
      <c r="HI756">
        <v>0</v>
      </c>
      <c r="HJ756">
        <v>0</v>
      </c>
      <c r="HK756">
        <v>0</v>
      </c>
      <c r="HL756">
        <v>0</v>
      </c>
      <c r="HM756">
        <v>0</v>
      </c>
      <c r="HN756">
        <v>0</v>
      </c>
      <c r="HO756">
        <v>0</v>
      </c>
      <c r="HP756">
        <v>0</v>
      </c>
      <c r="HQ756">
        <v>0</v>
      </c>
      <c r="HR756">
        <v>0</v>
      </c>
      <c r="HS756">
        <v>0</v>
      </c>
      <c r="HT756">
        <v>0</v>
      </c>
      <c r="HU756">
        <v>0</v>
      </c>
      <c r="HV756">
        <v>0</v>
      </c>
      <c r="HW756">
        <v>404.70000000000005</v>
      </c>
      <c r="HX756">
        <v>342.3</v>
      </c>
      <c r="HZ756">
        <v>866.2</v>
      </c>
      <c r="IA756">
        <v>1142.8</v>
      </c>
      <c r="IB756">
        <v>1121.5</v>
      </c>
      <c r="IC756">
        <v>2403</v>
      </c>
      <c r="ID756">
        <v>2659.3</v>
      </c>
      <c r="IE756">
        <v>1923.4</v>
      </c>
      <c r="IF756">
        <v>1465.7</v>
      </c>
      <c r="IG756">
        <v>1608.3</v>
      </c>
      <c r="IH756">
        <v>0</v>
      </c>
      <c r="II756">
        <v>0</v>
      </c>
      <c r="IJ756">
        <v>0</v>
      </c>
      <c r="IK756">
        <v>0</v>
      </c>
      <c r="IL756">
        <v>0</v>
      </c>
      <c r="IM756">
        <v>0</v>
      </c>
      <c r="IN756">
        <v>0</v>
      </c>
      <c r="IO756">
        <v>0</v>
      </c>
      <c r="IP756">
        <v>75.099999999999994</v>
      </c>
    </row>
    <row r="757" spans="1:250" ht="18" thickBot="1">
      <c r="A757" s="245"/>
      <c r="B757" s="245" t="s">
        <v>403</v>
      </c>
      <c r="C757" s="230" t="s">
        <v>1177</v>
      </c>
      <c r="D757" s="397"/>
      <c r="E757" s="454">
        <v>0</v>
      </c>
      <c r="F757">
        <v>0</v>
      </c>
      <c r="G757" s="427">
        <v>0</v>
      </c>
      <c r="H757" s="155">
        <v>0</v>
      </c>
      <c r="I757">
        <v>0</v>
      </c>
      <c r="J757">
        <v>0</v>
      </c>
      <c r="K757">
        <v>0</v>
      </c>
      <c r="L757" s="4">
        <v>0</v>
      </c>
      <c r="M757" s="4">
        <v>0</v>
      </c>
      <c r="N757" s="4">
        <v>0</v>
      </c>
      <c r="O757" s="4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R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G757">
        <v>0</v>
      </c>
      <c r="BI757">
        <v>0</v>
      </c>
      <c r="BK757">
        <v>0</v>
      </c>
      <c r="BL757">
        <v>0</v>
      </c>
      <c r="BM757">
        <v>0</v>
      </c>
      <c r="BN757">
        <v>0</v>
      </c>
      <c r="BO757">
        <v>344.70000000000005</v>
      </c>
      <c r="BP757">
        <v>625.70000000000005</v>
      </c>
      <c r="BQ757">
        <v>912.2</v>
      </c>
      <c r="BR757">
        <v>237.7</v>
      </c>
      <c r="BS757">
        <v>0</v>
      </c>
      <c r="BT757">
        <v>0</v>
      </c>
      <c r="BU757">
        <v>0</v>
      </c>
      <c r="BV757">
        <v>0</v>
      </c>
      <c r="BW757">
        <v>1647.4</v>
      </c>
      <c r="BY757">
        <v>453.1</v>
      </c>
      <c r="CA757">
        <v>285.39999999999998</v>
      </c>
      <c r="CB757">
        <v>280.8</v>
      </c>
      <c r="CC757">
        <v>127.7</v>
      </c>
      <c r="CD757">
        <v>0</v>
      </c>
      <c r="CE757">
        <v>0</v>
      </c>
      <c r="CF757">
        <v>0</v>
      </c>
      <c r="CG757">
        <v>0</v>
      </c>
      <c r="CI757">
        <v>0</v>
      </c>
      <c r="CJ757">
        <v>0</v>
      </c>
      <c r="CL757">
        <v>0</v>
      </c>
      <c r="CM757">
        <v>0</v>
      </c>
      <c r="CN757">
        <v>0</v>
      </c>
      <c r="CO757">
        <v>0</v>
      </c>
      <c r="CP757">
        <v>0</v>
      </c>
      <c r="CQ757">
        <v>621.70000000000005</v>
      </c>
      <c r="CR757">
        <v>481.70000000000005</v>
      </c>
      <c r="CS757">
        <v>0</v>
      </c>
      <c r="CT757">
        <v>524.6</v>
      </c>
      <c r="CU757">
        <v>514.1</v>
      </c>
      <c r="CV757">
        <v>175.2</v>
      </c>
      <c r="CW757">
        <v>0</v>
      </c>
      <c r="CX757">
        <v>65.099999999999994</v>
      </c>
      <c r="CY757">
        <v>199</v>
      </c>
      <c r="CZ757">
        <v>1907.9</v>
      </c>
      <c r="DA757">
        <v>0</v>
      </c>
      <c r="DB757">
        <v>0</v>
      </c>
      <c r="DC757">
        <v>0</v>
      </c>
      <c r="DD757">
        <v>0</v>
      </c>
      <c r="DE757">
        <v>0</v>
      </c>
      <c r="DF757">
        <v>0</v>
      </c>
      <c r="DG757">
        <v>0</v>
      </c>
      <c r="DH757">
        <v>0</v>
      </c>
      <c r="DI757">
        <v>0</v>
      </c>
      <c r="DJ757">
        <v>0</v>
      </c>
      <c r="DK757">
        <v>0</v>
      </c>
      <c r="DL757">
        <v>0</v>
      </c>
      <c r="DM757">
        <v>1065.4000000000001</v>
      </c>
      <c r="DN757">
        <v>599.70000000000005</v>
      </c>
      <c r="DO757">
        <v>319.7</v>
      </c>
      <c r="DP757">
        <v>1570.6999999999998</v>
      </c>
      <c r="DQ757">
        <v>1399.5</v>
      </c>
      <c r="DR757">
        <v>3581</v>
      </c>
      <c r="DU757">
        <v>1393.2</v>
      </c>
      <c r="DV757">
        <v>2862.6</v>
      </c>
      <c r="DY757">
        <v>2361</v>
      </c>
      <c r="EA757">
        <v>2409.6</v>
      </c>
      <c r="EC757">
        <v>1661.3999999999999</v>
      </c>
      <c r="EE757">
        <v>0</v>
      </c>
      <c r="EF757">
        <v>0</v>
      </c>
      <c r="EG757">
        <v>0</v>
      </c>
      <c r="EH757">
        <v>0</v>
      </c>
      <c r="EI757">
        <v>0</v>
      </c>
      <c r="EJ757">
        <v>0</v>
      </c>
      <c r="EK757">
        <v>0</v>
      </c>
      <c r="EL757">
        <v>0</v>
      </c>
      <c r="EM757">
        <v>0</v>
      </c>
      <c r="EN757">
        <v>0</v>
      </c>
      <c r="EO757">
        <v>0</v>
      </c>
      <c r="EP757">
        <v>944.5</v>
      </c>
      <c r="EQ757">
        <v>3459.7</v>
      </c>
      <c r="ER757">
        <v>1353.5</v>
      </c>
      <c r="ES757">
        <v>182.2</v>
      </c>
      <c r="ET757">
        <v>855.59999999999991</v>
      </c>
      <c r="EU757">
        <v>172.2</v>
      </c>
      <c r="EV757">
        <v>203.2</v>
      </c>
      <c r="EW757">
        <v>1173.0999999999999</v>
      </c>
      <c r="EX757">
        <v>1078.3</v>
      </c>
      <c r="EY757">
        <v>1194.4000000000001</v>
      </c>
      <c r="EZ757">
        <v>1207.0999999999999</v>
      </c>
      <c r="FA757">
        <v>0</v>
      </c>
      <c r="FB757">
        <v>0</v>
      </c>
      <c r="FC757">
        <v>0</v>
      </c>
      <c r="FD757">
        <v>0</v>
      </c>
      <c r="FE757">
        <v>0</v>
      </c>
      <c r="FF757">
        <v>0</v>
      </c>
      <c r="FG757">
        <v>0</v>
      </c>
      <c r="FH757">
        <v>0</v>
      </c>
      <c r="FI757">
        <v>0</v>
      </c>
      <c r="FJ757">
        <v>0</v>
      </c>
      <c r="FK757">
        <v>0</v>
      </c>
      <c r="FL757">
        <v>0</v>
      </c>
      <c r="FM757">
        <v>0</v>
      </c>
      <c r="FN757">
        <v>0</v>
      </c>
      <c r="FO757">
        <v>0</v>
      </c>
      <c r="FP757">
        <v>0</v>
      </c>
      <c r="FQ757">
        <v>0</v>
      </c>
      <c r="FR757">
        <v>0</v>
      </c>
      <c r="FS757">
        <v>0</v>
      </c>
      <c r="FT757">
        <v>0</v>
      </c>
      <c r="FU757">
        <v>0</v>
      </c>
      <c r="FV757">
        <v>0</v>
      </c>
      <c r="FW757">
        <v>0</v>
      </c>
      <c r="FX757">
        <v>0</v>
      </c>
      <c r="FY757">
        <v>0</v>
      </c>
      <c r="FZ757">
        <v>0</v>
      </c>
      <c r="GA757">
        <v>0</v>
      </c>
      <c r="GB757">
        <v>0</v>
      </c>
      <c r="GC757">
        <v>0</v>
      </c>
      <c r="GD757">
        <v>0</v>
      </c>
      <c r="GE757">
        <v>0</v>
      </c>
      <c r="GF757">
        <v>0</v>
      </c>
      <c r="GG757">
        <v>0</v>
      </c>
      <c r="GH757">
        <v>0</v>
      </c>
      <c r="GI757">
        <v>0</v>
      </c>
      <c r="GJ757">
        <v>0</v>
      </c>
      <c r="GK757">
        <v>0</v>
      </c>
      <c r="GL757">
        <v>0</v>
      </c>
      <c r="GO757">
        <v>0</v>
      </c>
      <c r="GP757">
        <v>0</v>
      </c>
      <c r="GQ757">
        <v>0</v>
      </c>
      <c r="GR757">
        <v>0</v>
      </c>
      <c r="GS757">
        <v>0</v>
      </c>
      <c r="GT757">
        <v>0</v>
      </c>
      <c r="GU757">
        <v>0</v>
      </c>
      <c r="GV757">
        <v>0</v>
      </c>
      <c r="GW757">
        <v>0</v>
      </c>
      <c r="GX757">
        <v>0</v>
      </c>
      <c r="GY757">
        <v>0</v>
      </c>
      <c r="GZ757">
        <v>0</v>
      </c>
      <c r="HA757">
        <v>0</v>
      </c>
      <c r="HB757">
        <v>0</v>
      </c>
      <c r="HC757">
        <v>0</v>
      </c>
      <c r="HD757">
        <v>0</v>
      </c>
      <c r="HE757">
        <v>0</v>
      </c>
      <c r="HF757">
        <v>0</v>
      </c>
      <c r="HG757">
        <v>0</v>
      </c>
      <c r="HH757">
        <v>0</v>
      </c>
      <c r="HI757">
        <v>0</v>
      </c>
      <c r="HJ757">
        <v>0</v>
      </c>
      <c r="HK757">
        <v>0</v>
      </c>
      <c r="HL757">
        <v>0</v>
      </c>
      <c r="HM757">
        <v>0</v>
      </c>
      <c r="HN757">
        <v>0</v>
      </c>
      <c r="HO757">
        <v>0</v>
      </c>
      <c r="HP757">
        <v>0</v>
      </c>
      <c r="HQ757">
        <v>0</v>
      </c>
      <c r="HR757">
        <v>0</v>
      </c>
      <c r="HS757">
        <v>0</v>
      </c>
      <c r="HT757">
        <v>0</v>
      </c>
      <c r="HU757">
        <v>0</v>
      </c>
      <c r="HV757">
        <v>0</v>
      </c>
      <c r="HW757">
        <v>404.70000000000005</v>
      </c>
      <c r="HX757">
        <v>342.3</v>
      </c>
      <c r="HZ757">
        <v>866.2</v>
      </c>
      <c r="IA757">
        <v>1142.8</v>
      </c>
      <c r="IB757">
        <v>1121.5</v>
      </c>
      <c r="IC757">
        <v>2403</v>
      </c>
      <c r="ID757">
        <v>2659.3</v>
      </c>
      <c r="IE757">
        <v>1923.4</v>
      </c>
      <c r="IF757">
        <v>1465.7</v>
      </c>
      <c r="IG757">
        <v>1608.3</v>
      </c>
      <c r="IH757">
        <v>0</v>
      </c>
      <c r="II757">
        <v>0</v>
      </c>
      <c r="IJ757">
        <v>0</v>
      </c>
      <c r="IK757">
        <v>0</v>
      </c>
      <c r="IL757">
        <v>0</v>
      </c>
      <c r="IM757">
        <v>0</v>
      </c>
      <c r="IN757">
        <v>0</v>
      </c>
      <c r="IO757">
        <v>0</v>
      </c>
      <c r="IP757">
        <v>75.099999999999994</v>
      </c>
    </row>
    <row r="758" spans="1:250" ht="18" thickBot="1">
      <c r="A758" s="245"/>
      <c r="B758" s="245" t="s">
        <v>404</v>
      </c>
      <c r="C758" s="230" t="s">
        <v>1178</v>
      </c>
      <c r="D758" s="397"/>
      <c r="E758" s="454">
        <v>0</v>
      </c>
      <c r="F758">
        <v>0</v>
      </c>
      <c r="G758" s="427">
        <v>0</v>
      </c>
      <c r="H758" s="155">
        <v>0</v>
      </c>
      <c r="I758">
        <v>0</v>
      </c>
      <c r="J758">
        <v>0</v>
      </c>
      <c r="K758">
        <v>0</v>
      </c>
      <c r="L758" s="4">
        <v>0</v>
      </c>
      <c r="M758" s="4">
        <v>0</v>
      </c>
      <c r="N758" s="4">
        <v>0</v>
      </c>
      <c r="O758" s="4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R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G758">
        <v>0</v>
      </c>
      <c r="BI758">
        <v>0</v>
      </c>
      <c r="BK758">
        <v>0</v>
      </c>
      <c r="BL758">
        <v>0</v>
      </c>
      <c r="BM758">
        <v>0</v>
      </c>
      <c r="BN758">
        <v>0</v>
      </c>
      <c r="BO758">
        <v>344.70000000000005</v>
      </c>
      <c r="BP758">
        <v>625.70000000000005</v>
      </c>
      <c r="BQ758">
        <v>912.2</v>
      </c>
      <c r="BR758">
        <v>237.7</v>
      </c>
      <c r="BS758">
        <v>0</v>
      </c>
      <c r="BT758">
        <v>0</v>
      </c>
      <c r="BU758">
        <v>0</v>
      </c>
      <c r="BV758">
        <v>0</v>
      </c>
      <c r="BW758">
        <v>1647.4</v>
      </c>
      <c r="BY758">
        <v>453.1</v>
      </c>
      <c r="CA758">
        <v>285.39999999999998</v>
      </c>
      <c r="CB758">
        <v>280.8</v>
      </c>
      <c r="CC758">
        <v>127.7</v>
      </c>
      <c r="CD758">
        <v>0</v>
      </c>
      <c r="CE758">
        <v>0</v>
      </c>
      <c r="CF758">
        <v>0</v>
      </c>
      <c r="CG758">
        <v>0</v>
      </c>
      <c r="CI758">
        <v>0</v>
      </c>
      <c r="CJ758">
        <v>0</v>
      </c>
      <c r="CL758">
        <v>0</v>
      </c>
      <c r="CM758">
        <v>0</v>
      </c>
      <c r="CN758">
        <v>0</v>
      </c>
      <c r="CO758">
        <v>0</v>
      </c>
      <c r="CP758">
        <v>0</v>
      </c>
      <c r="CQ758">
        <v>621.70000000000005</v>
      </c>
      <c r="CR758">
        <v>481.70000000000005</v>
      </c>
      <c r="CS758">
        <v>0</v>
      </c>
      <c r="CT758">
        <v>524.6</v>
      </c>
      <c r="CU758">
        <v>514.1</v>
      </c>
      <c r="CV758">
        <v>175.2</v>
      </c>
      <c r="CW758">
        <v>0</v>
      </c>
      <c r="CX758">
        <v>65.099999999999994</v>
      </c>
      <c r="CY758">
        <v>199</v>
      </c>
      <c r="CZ758">
        <v>1907.9</v>
      </c>
      <c r="DA758">
        <v>0</v>
      </c>
      <c r="DB758">
        <v>0</v>
      </c>
      <c r="DC758">
        <v>0</v>
      </c>
      <c r="DD758">
        <v>0</v>
      </c>
      <c r="DE758">
        <v>0</v>
      </c>
      <c r="DF758">
        <v>0</v>
      </c>
      <c r="DG758">
        <v>0</v>
      </c>
      <c r="DH758">
        <v>0</v>
      </c>
      <c r="DI758">
        <v>0</v>
      </c>
      <c r="DJ758">
        <v>0</v>
      </c>
      <c r="DK758">
        <v>0</v>
      </c>
      <c r="DL758">
        <v>0</v>
      </c>
      <c r="DM758">
        <v>1065.4000000000001</v>
      </c>
      <c r="DN758">
        <v>599.70000000000005</v>
      </c>
      <c r="DO758">
        <v>319.7</v>
      </c>
      <c r="DP758">
        <v>1570.6999999999998</v>
      </c>
      <c r="DQ758">
        <v>1399.5</v>
      </c>
      <c r="DR758">
        <v>3581</v>
      </c>
      <c r="DU758">
        <v>1393.2</v>
      </c>
      <c r="DV758">
        <v>2862.6</v>
      </c>
      <c r="DY758">
        <v>2361</v>
      </c>
      <c r="EA758">
        <v>2409.6</v>
      </c>
      <c r="EC758">
        <v>1661.3999999999999</v>
      </c>
      <c r="EE758">
        <v>0</v>
      </c>
      <c r="EF758">
        <v>0</v>
      </c>
      <c r="EG758">
        <v>0</v>
      </c>
      <c r="EH758">
        <v>0</v>
      </c>
      <c r="EI758">
        <v>0</v>
      </c>
      <c r="EJ758">
        <v>0</v>
      </c>
      <c r="EK758">
        <v>0</v>
      </c>
      <c r="EL758">
        <v>0</v>
      </c>
      <c r="EM758">
        <v>0</v>
      </c>
      <c r="EN758">
        <v>0</v>
      </c>
      <c r="EO758">
        <v>0</v>
      </c>
      <c r="EP758">
        <v>944.5</v>
      </c>
      <c r="EQ758">
        <v>3459.7</v>
      </c>
      <c r="ER758">
        <v>1353.5</v>
      </c>
      <c r="ES758">
        <v>182.2</v>
      </c>
      <c r="ET758">
        <v>855.59999999999991</v>
      </c>
      <c r="EU758">
        <v>172.2</v>
      </c>
      <c r="EV758">
        <v>203.2</v>
      </c>
      <c r="EW758">
        <v>1173.0999999999999</v>
      </c>
      <c r="EX758">
        <v>1078.3</v>
      </c>
      <c r="EY758">
        <v>1194.4000000000001</v>
      </c>
      <c r="EZ758">
        <v>1207.0999999999999</v>
      </c>
      <c r="FA758">
        <v>0</v>
      </c>
      <c r="FB758">
        <v>0</v>
      </c>
      <c r="FC758">
        <v>0</v>
      </c>
      <c r="FD758">
        <v>0</v>
      </c>
      <c r="FE758">
        <v>0</v>
      </c>
      <c r="FF758">
        <v>0</v>
      </c>
      <c r="FG758">
        <v>0</v>
      </c>
      <c r="FH758">
        <v>0</v>
      </c>
      <c r="FI758">
        <v>0</v>
      </c>
      <c r="FJ758">
        <v>0</v>
      </c>
      <c r="FK758">
        <v>0</v>
      </c>
      <c r="FL758">
        <v>0</v>
      </c>
      <c r="FM758">
        <v>0</v>
      </c>
      <c r="FN758">
        <v>0</v>
      </c>
      <c r="FO758">
        <v>0</v>
      </c>
      <c r="FP758">
        <v>0</v>
      </c>
      <c r="FQ758">
        <v>0</v>
      </c>
      <c r="FR758">
        <v>0</v>
      </c>
      <c r="FS758">
        <v>0</v>
      </c>
      <c r="FT758">
        <v>0</v>
      </c>
      <c r="FU758">
        <v>0</v>
      </c>
      <c r="FV758">
        <v>0</v>
      </c>
      <c r="FW758">
        <v>0</v>
      </c>
      <c r="FX758">
        <v>0</v>
      </c>
      <c r="FY758">
        <v>0</v>
      </c>
      <c r="FZ758">
        <v>0</v>
      </c>
      <c r="GA758">
        <v>0</v>
      </c>
      <c r="GB758">
        <v>0</v>
      </c>
      <c r="GC758">
        <v>0</v>
      </c>
      <c r="GD758">
        <v>0</v>
      </c>
      <c r="GE758">
        <v>0</v>
      </c>
      <c r="GF758">
        <v>0</v>
      </c>
      <c r="GG758">
        <v>0</v>
      </c>
      <c r="GH758">
        <v>0</v>
      </c>
      <c r="GI758">
        <v>0</v>
      </c>
      <c r="GJ758">
        <v>0</v>
      </c>
      <c r="GK758">
        <v>0</v>
      </c>
      <c r="GL758">
        <v>0</v>
      </c>
      <c r="GO758">
        <v>0</v>
      </c>
      <c r="GP758">
        <v>0</v>
      </c>
      <c r="GQ758">
        <v>0</v>
      </c>
      <c r="GR758">
        <v>0</v>
      </c>
      <c r="GS758">
        <v>0</v>
      </c>
      <c r="GT758">
        <v>0</v>
      </c>
      <c r="GU758">
        <v>0</v>
      </c>
      <c r="GV758">
        <v>0</v>
      </c>
      <c r="GW758">
        <v>0</v>
      </c>
      <c r="GX758">
        <v>0</v>
      </c>
      <c r="GY758">
        <v>0</v>
      </c>
      <c r="GZ758">
        <v>0</v>
      </c>
      <c r="HA758">
        <v>0</v>
      </c>
      <c r="HB758">
        <v>0</v>
      </c>
      <c r="HC758">
        <v>0</v>
      </c>
      <c r="HD758">
        <v>0</v>
      </c>
      <c r="HE758">
        <v>0</v>
      </c>
      <c r="HF758">
        <v>0</v>
      </c>
      <c r="HG758">
        <v>0</v>
      </c>
      <c r="HH758">
        <v>0</v>
      </c>
      <c r="HI758">
        <v>0</v>
      </c>
      <c r="HJ758">
        <v>0</v>
      </c>
      <c r="HK758">
        <v>0</v>
      </c>
      <c r="HL758">
        <v>0</v>
      </c>
      <c r="HM758">
        <v>0</v>
      </c>
      <c r="HN758">
        <v>0</v>
      </c>
      <c r="HO758">
        <v>0</v>
      </c>
      <c r="HP758">
        <v>0</v>
      </c>
      <c r="HQ758">
        <v>0</v>
      </c>
      <c r="HR758">
        <v>0</v>
      </c>
      <c r="HS758">
        <v>0</v>
      </c>
      <c r="HT758">
        <v>0</v>
      </c>
      <c r="HU758">
        <v>0</v>
      </c>
      <c r="HV758">
        <v>0</v>
      </c>
      <c r="HW758">
        <v>404.70000000000005</v>
      </c>
      <c r="HX758">
        <v>342.3</v>
      </c>
      <c r="HZ758">
        <v>866.2</v>
      </c>
      <c r="IA758">
        <v>1142.8</v>
      </c>
      <c r="IB758">
        <v>1121.5</v>
      </c>
      <c r="IC758">
        <v>2403</v>
      </c>
      <c r="ID758">
        <v>2659.3</v>
      </c>
      <c r="IE758">
        <v>1923.4</v>
      </c>
      <c r="IF758">
        <v>1465.7</v>
      </c>
      <c r="IG758">
        <v>1608.3</v>
      </c>
      <c r="IH758">
        <v>0</v>
      </c>
      <c r="II758">
        <v>0</v>
      </c>
      <c r="IJ758">
        <v>0</v>
      </c>
      <c r="IK758">
        <v>0</v>
      </c>
      <c r="IL758">
        <v>0</v>
      </c>
      <c r="IM758">
        <v>0</v>
      </c>
      <c r="IN758">
        <v>0</v>
      </c>
      <c r="IO758">
        <v>0</v>
      </c>
      <c r="IP758">
        <v>75.099999999999994</v>
      </c>
    </row>
    <row r="759" spans="1:250" ht="18" thickBot="1">
      <c r="A759" s="245"/>
      <c r="B759" s="245" t="s">
        <v>405</v>
      </c>
      <c r="C759" s="230" t="s">
        <v>1179</v>
      </c>
      <c r="D759" s="397"/>
      <c r="E759" s="454">
        <v>0</v>
      </c>
      <c r="F759">
        <v>0</v>
      </c>
      <c r="G759" s="427">
        <v>0</v>
      </c>
      <c r="H759" s="155">
        <v>0</v>
      </c>
      <c r="I759">
        <v>0</v>
      </c>
      <c r="J759">
        <v>0</v>
      </c>
      <c r="K759">
        <v>0</v>
      </c>
      <c r="L759" s="4">
        <v>0</v>
      </c>
      <c r="M759" s="4">
        <v>0</v>
      </c>
      <c r="N759" s="4">
        <v>0</v>
      </c>
      <c r="O759" s="4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R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G759">
        <v>0</v>
      </c>
      <c r="BI759">
        <v>0</v>
      </c>
      <c r="BK759">
        <v>0</v>
      </c>
      <c r="BL759">
        <v>0</v>
      </c>
      <c r="BM759">
        <v>0</v>
      </c>
      <c r="BN759">
        <v>0</v>
      </c>
      <c r="BO759">
        <v>344.70000000000005</v>
      </c>
      <c r="BP759">
        <v>625.70000000000005</v>
      </c>
      <c r="BQ759">
        <v>912.2</v>
      </c>
      <c r="BR759">
        <v>237.7</v>
      </c>
      <c r="BS759">
        <v>0</v>
      </c>
      <c r="BT759">
        <v>0</v>
      </c>
      <c r="BU759">
        <v>0</v>
      </c>
      <c r="BV759">
        <v>0</v>
      </c>
      <c r="BW759">
        <v>1647.4</v>
      </c>
      <c r="BY759">
        <v>453.1</v>
      </c>
      <c r="CA759">
        <v>285.39999999999998</v>
      </c>
      <c r="CB759">
        <v>280.8</v>
      </c>
      <c r="CC759">
        <v>127.7</v>
      </c>
      <c r="CD759">
        <v>0</v>
      </c>
      <c r="CE759">
        <v>0</v>
      </c>
      <c r="CF759">
        <v>0</v>
      </c>
      <c r="CG759">
        <v>0</v>
      </c>
      <c r="CI759">
        <v>0</v>
      </c>
      <c r="CJ759">
        <v>0</v>
      </c>
      <c r="CL759">
        <v>0</v>
      </c>
      <c r="CM759">
        <v>0</v>
      </c>
      <c r="CN759">
        <v>0</v>
      </c>
      <c r="CO759">
        <v>0</v>
      </c>
      <c r="CP759">
        <v>0</v>
      </c>
      <c r="CQ759">
        <v>621.70000000000005</v>
      </c>
      <c r="CR759">
        <v>481.70000000000005</v>
      </c>
      <c r="CS759">
        <v>0</v>
      </c>
      <c r="CT759">
        <v>524.6</v>
      </c>
      <c r="CU759">
        <v>514.1</v>
      </c>
      <c r="CV759">
        <v>175.2</v>
      </c>
      <c r="CW759">
        <v>0</v>
      </c>
      <c r="CX759">
        <v>65.099999999999994</v>
      </c>
      <c r="CY759">
        <v>199</v>
      </c>
      <c r="CZ759">
        <v>1907.9</v>
      </c>
      <c r="DA759">
        <v>0</v>
      </c>
      <c r="DB759">
        <v>0</v>
      </c>
      <c r="DC759">
        <v>0</v>
      </c>
      <c r="DD759">
        <v>0</v>
      </c>
      <c r="DE759">
        <v>0</v>
      </c>
      <c r="DF759">
        <v>0</v>
      </c>
      <c r="DG759">
        <v>0</v>
      </c>
      <c r="DH759">
        <v>0</v>
      </c>
      <c r="DI759">
        <v>0</v>
      </c>
      <c r="DJ759">
        <v>0</v>
      </c>
      <c r="DK759">
        <v>0</v>
      </c>
      <c r="DL759">
        <v>0</v>
      </c>
      <c r="DM759">
        <v>1065.4000000000001</v>
      </c>
      <c r="DN759">
        <v>599.70000000000005</v>
      </c>
      <c r="DO759">
        <v>319.7</v>
      </c>
      <c r="DP759">
        <v>1570.6999999999998</v>
      </c>
      <c r="DQ759">
        <v>1399.5</v>
      </c>
      <c r="DR759">
        <v>3581</v>
      </c>
      <c r="DU759">
        <v>1393.2</v>
      </c>
      <c r="DV759">
        <v>2862.6</v>
      </c>
      <c r="DY759">
        <v>2361</v>
      </c>
      <c r="EA759">
        <v>2409.6</v>
      </c>
      <c r="EC759">
        <v>1661.3999999999999</v>
      </c>
      <c r="EE759">
        <v>0</v>
      </c>
      <c r="EF759">
        <v>0</v>
      </c>
      <c r="EG759">
        <v>0</v>
      </c>
      <c r="EH759">
        <v>0</v>
      </c>
      <c r="EI759">
        <v>0</v>
      </c>
      <c r="EJ759">
        <v>0</v>
      </c>
      <c r="EK759">
        <v>0</v>
      </c>
      <c r="EL759">
        <v>0</v>
      </c>
      <c r="EM759">
        <v>0</v>
      </c>
      <c r="EN759">
        <v>0</v>
      </c>
      <c r="EO759">
        <v>0</v>
      </c>
      <c r="EP759">
        <v>944.5</v>
      </c>
      <c r="EQ759">
        <v>3459.7</v>
      </c>
      <c r="ER759">
        <v>1353.5</v>
      </c>
      <c r="ES759">
        <v>182.2</v>
      </c>
      <c r="ET759">
        <v>855.59999999999991</v>
      </c>
      <c r="EU759">
        <v>172.2</v>
      </c>
      <c r="EV759">
        <v>203.2</v>
      </c>
      <c r="EW759">
        <v>1173.0999999999999</v>
      </c>
      <c r="EX759">
        <v>1078.3</v>
      </c>
      <c r="EY759">
        <v>1194.4000000000001</v>
      </c>
      <c r="EZ759">
        <v>1207.0999999999999</v>
      </c>
      <c r="FA759">
        <v>0</v>
      </c>
      <c r="FB759">
        <v>0</v>
      </c>
      <c r="FC759">
        <v>0</v>
      </c>
      <c r="FD759">
        <v>0</v>
      </c>
      <c r="FE759">
        <v>0</v>
      </c>
      <c r="FF759">
        <v>0</v>
      </c>
      <c r="FG759">
        <v>0</v>
      </c>
      <c r="FH759">
        <v>0</v>
      </c>
      <c r="FI759">
        <v>0</v>
      </c>
      <c r="FJ759">
        <v>0</v>
      </c>
      <c r="FK759">
        <v>0</v>
      </c>
      <c r="FL759">
        <v>0</v>
      </c>
      <c r="FM759">
        <v>0</v>
      </c>
      <c r="FN759">
        <v>0</v>
      </c>
      <c r="FO759">
        <v>0</v>
      </c>
      <c r="FP759">
        <v>0</v>
      </c>
      <c r="FQ759">
        <v>0</v>
      </c>
      <c r="FR759">
        <v>0</v>
      </c>
      <c r="FS759">
        <v>0</v>
      </c>
      <c r="FT759">
        <v>0</v>
      </c>
      <c r="FU759">
        <v>0</v>
      </c>
      <c r="FV759">
        <v>0</v>
      </c>
      <c r="FW759">
        <v>0</v>
      </c>
      <c r="FX759">
        <v>0</v>
      </c>
      <c r="FY759">
        <v>0</v>
      </c>
      <c r="FZ759">
        <v>0</v>
      </c>
      <c r="GA759">
        <v>0</v>
      </c>
      <c r="GB759">
        <v>0</v>
      </c>
      <c r="GC759">
        <v>0</v>
      </c>
      <c r="GD759">
        <v>0</v>
      </c>
      <c r="GE759">
        <v>0</v>
      </c>
      <c r="GF759">
        <v>0</v>
      </c>
      <c r="GG759">
        <v>0</v>
      </c>
      <c r="GH759">
        <v>0</v>
      </c>
      <c r="GI759">
        <v>0</v>
      </c>
      <c r="GJ759">
        <v>0</v>
      </c>
      <c r="GK759">
        <v>0</v>
      </c>
      <c r="GL759">
        <v>0</v>
      </c>
      <c r="GO759">
        <v>0</v>
      </c>
      <c r="GP759">
        <v>0</v>
      </c>
      <c r="GQ759">
        <v>0</v>
      </c>
      <c r="GR759">
        <v>0</v>
      </c>
      <c r="GS759">
        <v>0</v>
      </c>
      <c r="GT759">
        <v>0</v>
      </c>
      <c r="GU759">
        <v>0</v>
      </c>
      <c r="GV759">
        <v>0</v>
      </c>
      <c r="GW759">
        <v>0</v>
      </c>
      <c r="GX759">
        <v>0</v>
      </c>
      <c r="GY759">
        <v>0</v>
      </c>
      <c r="GZ759">
        <v>0</v>
      </c>
      <c r="HA759">
        <v>0</v>
      </c>
      <c r="HB759">
        <v>0</v>
      </c>
      <c r="HC759">
        <v>0</v>
      </c>
      <c r="HD759">
        <v>0</v>
      </c>
      <c r="HE759">
        <v>0</v>
      </c>
      <c r="HF759">
        <v>0</v>
      </c>
      <c r="HG759">
        <v>0</v>
      </c>
      <c r="HH759">
        <v>0</v>
      </c>
      <c r="HI759">
        <v>0</v>
      </c>
      <c r="HJ759">
        <v>0</v>
      </c>
      <c r="HK759">
        <v>0</v>
      </c>
      <c r="HL759">
        <v>0</v>
      </c>
      <c r="HM759">
        <v>0</v>
      </c>
      <c r="HN759">
        <v>0</v>
      </c>
      <c r="HO759">
        <v>0</v>
      </c>
      <c r="HP759">
        <v>0</v>
      </c>
      <c r="HQ759">
        <v>0</v>
      </c>
      <c r="HR759">
        <v>0</v>
      </c>
      <c r="HS759">
        <v>0</v>
      </c>
      <c r="HT759">
        <v>0</v>
      </c>
      <c r="HU759">
        <v>0</v>
      </c>
      <c r="HV759">
        <v>0</v>
      </c>
      <c r="HW759">
        <v>404.70000000000005</v>
      </c>
      <c r="HX759">
        <v>342.3</v>
      </c>
      <c r="HZ759">
        <v>866.2</v>
      </c>
      <c r="IA759">
        <v>1142.8</v>
      </c>
      <c r="IB759">
        <v>1121.5</v>
      </c>
      <c r="IC759">
        <v>2403</v>
      </c>
      <c r="ID759">
        <v>2659.3</v>
      </c>
      <c r="IE759">
        <v>1923.4</v>
      </c>
      <c r="IF759">
        <v>1465.7</v>
      </c>
      <c r="IG759">
        <v>1608.3</v>
      </c>
      <c r="IH759">
        <v>0</v>
      </c>
      <c r="II759">
        <v>0</v>
      </c>
      <c r="IJ759">
        <v>0</v>
      </c>
      <c r="IK759">
        <v>0</v>
      </c>
      <c r="IL759">
        <v>0</v>
      </c>
      <c r="IM759">
        <v>0</v>
      </c>
      <c r="IN759">
        <v>0</v>
      </c>
      <c r="IO759">
        <v>0</v>
      </c>
      <c r="IP759">
        <v>75.099999999999994</v>
      </c>
    </row>
    <row r="760" spans="1:250" ht="18" thickBot="1">
      <c r="A760" s="245"/>
      <c r="B760" s="245" t="s">
        <v>406</v>
      </c>
      <c r="C760" s="230" t="s">
        <v>1180</v>
      </c>
      <c r="D760" s="397"/>
      <c r="E760" s="454">
        <v>0</v>
      </c>
      <c r="F760">
        <v>0</v>
      </c>
      <c r="G760" s="427">
        <v>0</v>
      </c>
      <c r="H760" s="155">
        <v>0</v>
      </c>
      <c r="I760">
        <v>0</v>
      </c>
      <c r="J760">
        <v>0</v>
      </c>
      <c r="K760">
        <v>0</v>
      </c>
      <c r="L760" s="4">
        <v>0</v>
      </c>
      <c r="M760" s="4">
        <v>0</v>
      </c>
      <c r="N760" s="4">
        <v>0</v>
      </c>
      <c r="O760" s="4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R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G760">
        <v>0</v>
      </c>
      <c r="BI760">
        <v>0</v>
      </c>
      <c r="BK760">
        <v>0</v>
      </c>
      <c r="BL760">
        <v>0</v>
      </c>
      <c r="BM760">
        <v>0</v>
      </c>
      <c r="BN760">
        <v>0</v>
      </c>
      <c r="BO760">
        <v>344.70000000000005</v>
      </c>
      <c r="BP760">
        <v>625.70000000000005</v>
      </c>
      <c r="BQ760">
        <v>912.2</v>
      </c>
      <c r="BR760">
        <v>237.7</v>
      </c>
      <c r="BS760">
        <v>0</v>
      </c>
      <c r="BT760">
        <v>0</v>
      </c>
      <c r="BU760">
        <v>0</v>
      </c>
      <c r="BV760">
        <v>0</v>
      </c>
      <c r="BW760">
        <v>1647.4</v>
      </c>
      <c r="BY760">
        <v>453.1</v>
      </c>
      <c r="CA760">
        <v>285.39999999999998</v>
      </c>
      <c r="CB760">
        <v>280.8</v>
      </c>
      <c r="CC760">
        <v>127.7</v>
      </c>
      <c r="CD760">
        <v>0</v>
      </c>
      <c r="CE760">
        <v>0</v>
      </c>
      <c r="CF760">
        <v>0</v>
      </c>
      <c r="CG760">
        <v>0</v>
      </c>
      <c r="CI760">
        <v>0</v>
      </c>
      <c r="CJ760">
        <v>0</v>
      </c>
      <c r="CL760">
        <v>0</v>
      </c>
      <c r="CM760">
        <v>0</v>
      </c>
      <c r="CN760">
        <v>0</v>
      </c>
      <c r="CO760">
        <v>0</v>
      </c>
      <c r="CP760">
        <v>0</v>
      </c>
      <c r="CQ760">
        <v>621.70000000000005</v>
      </c>
      <c r="CR760">
        <v>481.70000000000005</v>
      </c>
      <c r="CS760">
        <v>0</v>
      </c>
      <c r="CT760">
        <v>524.6</v>
      </c>
      <c r="CU760">
        <v>514.1</v>
      </c>
      <c r="CV760">
        <v>175.2</v>
      </c>
      <c r="CW760">
        <v>0</v>
      </c>
      <c r="CX760">
        <v>65.099999999999994</v>
      </c>
      <c r="CY760">
        <v>199</v>
      </c>
      <c r="CZ760">
        <v>1907.9</v>
      </c>
      <c r="DA760">
        <v>0</v>
      </c>
      <c r="DB760">
        <v>0</v>
      </c>
      <c r="DC760">
        <v>0</v>
      </c>
      <c r="DD760">
        <v>0</v>
      </c>
      <c r="DE760">
        <v>0</v>
      </c>
      <c r="DF760">
        <v>0</v>
      </c>
      <c r="DG760">
        <v>0</v>
      </c>
      <c r="DH760">
        <v>0</v>
      </c>
      <c r="DI760">
        <v>0</v>
      </c>
      <c r="DJ760">
        <v>0</v>
      </c>
      <c r="DK760">
        <v>0</v>
      </c>
      <c r="DL760">
        <v>0</v>
      </c>
      <c r="DM760">
        <v>1065.4000000000001</v>
      </c>
      <c r="DN760">
        <v>599.70000000000005</v>
      </c>
      <c r="DO760">
        <v>319.7</v>
      </c>
      <c r="DP760">
        <v>1570.6999999999998</v>
      </c>
      <c r="DQ760">
        <v>1399.5</v>
      </c>
      <c r="DR760">
        <v>3581</v>
      </c>
      <c r="DU760">
        <v>1393.2</v>
      </c>
      <c r="DV760">
        <v>2862.6</v>
      </c>
      <c r="DY760">
        <v>2361</v>
      </c>
      <c r="EA760">
        <v>2409.6</v>
      </c>
      <c r="EC760">
        <v>1661.3999999999999</v>
      </c>
      <c r="EE760">
        <v>0</v>
      </c>
      <c r="EF760">
        <v>0</v>
      </c>
      <c r="EG760">
        <v>0</v>
      </c>
      <c r="EH760">
        <v>0</v>
      </c>
      <c r="EI760">
        <v>0</v>
      </c>
      <c r="EJ760">
        <v>0</v>
      </c>
      <c r="EK760">
        <v>0</v>
      </c>
      <c r="EL760">
        <v>0</v>
      </c>
      <c r="EM760">
        <v>0</v>
      </c>
      <c r="EN760">
        <v>0</v>
      </c>
      <c r="EO760">
        <v>0</v>
      </c>
      <c r="EP760">
        <v>944.5</v>
      </c>
      <c r="EQ760">
        <v>3459.7</v>
      </c>
      <c r="ER760">
        <v>1353.5</v>
      </c>
      <c r="ES760">
        <v>182.2</v>
      </c>
      <c r="ET760">
        <v>855.59999999999991</v>
      </c>
      <c r="EU760">
        <v>172.2</v>
      </c>
      <c r="EV760">
        <v>203.2</v>
      </c>
      <c r="EW760">
        <v>1173.0999999999999</v>
      </c>
      <c r="EX760">
        <v>1078.3</v>
      </c>
      <c r="EY760">
        <v>1194.4000000000001</v>
      </c>
      <c r="EZ760">
        <v>1207.0999999999999</v>
      </c>
      <c r="FA760">
        <v>0</v>
      </c>
      <c r="FB760">
        <v>0</v>
      </c>
      <c r="FC760">
        <v>0</v>
      </c>
      <c r="FD760">
        <v>0</v>
      </c>
      <c r="FE760">
        <v>0</v>
      </c>
      <c r="FF760">
        <v>0</v>
      </c>
      <c r="FG760">
        <v>0</v>
      </c>
      <c r="FH760">
        <v>0</v>
      </c>
      <c r="FI760">
        <v>0</v>
      </c>
      <c r="FJ760">
        <v>0</v>
      </c>
      <c r="FK760">
        <v>0</v>
      </c>
      <c r="FL760">
        <v>0</v>
      </c>
      <c r="FM760">
        <v>0</v>
      </c>
      <c r="FN760">
        <v>0</v>
      </c>
      <c r="FO760">
        <v>0</v>
      </c>
      <c r="FP760">
        <v>0</v>
      </c>
      <c r="FQ760">
        <v>0</v>
      </c>
      <c r="FR760">
        <v>0</v>
      </c>
      <c r="FS760">
        <v>0</v>
      </c>
      <c r="FT760">
        <v>0</v>
      </c>
      <c r="FU760">
        <v>0</v>
      </c>
      <c r="FV760">
        <v>0</v>
      </c>
      <c r="FW760">
        <v>0</v>
      </c>
      <c r="FX760">
        <v>0</v>
      </c>
      <c r="FY760">
        <v>0</v>
      </c>
      <c r="FZ760">
        <v>0</v>
      </c>
      <c r="GA760">
        <v>0</v>
      </c>
      <c r="GB760">
        <v>0</v>
      </c>
      <c r="GC760">
        <v>0</v>
      </c>
      <c r="GD760">
        <v>0</v>
      </c>
      <c r="GE760">
        <v>0</v>
      </c>
      <c r="GF760">
        <v>0</v>
      </c>
      <c r="GG760">
        <v>0</v>
      </c>
      <c r="GH760">
        <v>0</v>
      </c>
      <c r="GI760">
        <v>0</v>
      </c>
      <c r="GJ760">
        <v>0</v>
      </c>
      <c r="GK760">
        <v>0</v>
      </c>
      <c r="GL760">
        <v>0</v>
      </c>
      <c r="GO760">
        <v>0</v>
      </c>
      <c r="GP760">
        <v>0</v>
      </c>
      <c r="GQ760">
        <v>0</v>
      </c>
      <c r="GR760">
        <v>0</v>
      </c>
      <c r="GS760">
        <v>0</v>
      </c>
      <c r="GT760">
        <v>0</v>
      </c>
      <c r="GU760">
        <v>0</v>
      </c>
      <c r="GV760">
        <v>0</v>
      </c>
      <c r="GW760">
        <v>0</v>
      </c>
      <c r="GX760">
        <v>0</v>
      </c>
      <c r="GY760">
        <v>0</v>
      </c>
      <c r="GZ760">
        <v>0</v>
      </c>
      <c r="HA760">
        <v>0</v>
      </c>
      <c r="HB760">
        <v>0</v>
      </c>
      <c r="HC760">
        <v>0</v>
      </c>
      <c r="HD760">
        <v>0</v>
      </c>
      <c r="HE760">
        <v>0</v>
      </c>
      <c r="HF760">
        <v>0</v>
      </c>
      <c r="HG760">
        <v>0</v>
      </c>
      <c r="HH760">
        <v>0</v>
      </c>
      <c r="HI760">
        <v>0</v>
      </c>
      <c r="HJ760">
        <v>0</v>
      </c>
      <c r="HK760">
        <v>0</v>
      </c>
      <c r="HL760">
        <v>0</v>
      </c>
      <c r="HM760">
        <v>0</v>
      </c>
      <c r="HN760">
        <v>0</v>
      </c>
      <c r="HO760">
        <v>0</v>
      </c>
      <c r="HP760">
        <v>0</v>
      </c>
      <c r="HQ760">
        <v>0</v>
      </c>
      <c r="HR760">
        <v>0</v>
      </c>
      <c r="HS760">
        <v>0</v>
      </c>
      <c r="HT760">
        <v>0</v>
      </c>
      <c r="HU760">
        <v>0</v>
      </c>
      <c r="HV760">
        <v>0</v>
      </c>
      <c r="HW760">
        <v>404.70000000000005</v>
      </c>
      <c r="HX760">
        <v>342.3</v>
      </c>
      <c r="HZ760">
        <v>866.2</v>
      </c>
      <c r="IA760">
        <v>1142.8</v>
      </c>
      <c r="IB760">
        <v>1121.5</v>
      </c>
      <c r="IC760">
        <v>2403</v>
      </c>
      <c r="ID760">
        <v>2659.3</v>
      </c>
      <c r="IE760">
        <v>1923.4</v>
      </c>
      <c r="IF760">
        <v>1465.7</v>
      </c>
      <c r="IG760">
        <v>1608.3</v>
      </c>
      <c r="IH760">
        <v>0</v>
      </c>
      <c r="II760">
        <v>0</v>
      </c>
      <c r="IJ760">
        <v>0</v>
      </c>
      <c r="IK760">
        <v>0</v>
      </c>
      <c r="IL760">
        <v>0</v>
      </c>
      <c r="IM760">
        <v>0</v>
      </c>
      <c r="IN760">
        <v>0</v>
      </c>
      <c r="IO760">
        <v>0</v>
      </c>
      <c r="IP760">
        <v>75.099999999999994</v>
      </c>
    </row>
    <row r="761" spans="1:250" ht="18" thickBot="1">
      <c r="A761" s="246"/>
      <c r="B761" s="246" t="s">
        <v>407</v>
      </c>
      <c r="C761" s="334" t="s">
        <v>1181</v>
      </c>
      <c r="D761" s="398"/>
      <c r="E761" s="454">
        <v>0</v>
      </c>
      <c r="F761">
        <v>0</v>
      </c>
      <c r="G761" s="427">
        <v>0</v>
      </c>
      <c r="H761" s="155">
        <v>0</v>
      </c>
      <c r="I761">
        <v>0</v>
      </c>
      <c r="J761">
        <v>0</v>
      </c>
      <c r="K761">
        <v>0</v>
      </c>
      <c r="L761" s="4">
        <v>0</v>
      </c>
      <c r="M761" s="4">
        <v>0</v>
      </c>
      <c r="N761" s="4">
        <v>0</v>
      </c>
      <c r="O761" s="4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R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G761">
        <v>0</v>
      </c>
      <c r="BI761">
        <v>0</v>
      </c>
      <c r="BK761">
        <v>0</v>
      </c>
      <c r="BL761">
        <v>0</v>
      </c>
      <c r="BM761">
        <v>0</v>
      </c>
      <c r="BN761">
        <v>0</v>
      </c>
      <c r="BO761">
        <v>344.70000000000005</v>
      </c>
      <c r="BP761">
        <v>625.70000000000005</v>
      </c>
      <c r="BQ761">
        <v>912.2</v>
      </c>
      <c r="BR761">
        <v>237.7</v>
      </c>
      <c r="BS761">
        <v>0</v>
      </c>
      <c r="BT761">
        <v>0</v>
      </c>
      <c r="BU761">
        <v>0</v>
      </c>
      <c r="BV761">
        <v>0</v>
      </c>
      <c r="BW761">
        <v>1647.4</v>
      </c>
      <c r="BY761">
        <v>453.1</v>
      </c>
      <c r="CA761">
        <v>285.39999999999998</v>
      </c>
      <c r="CB761">
        <v>280.8</v>
      </c>
      <c r="CC761">
        <v>127.7</v>
      </c>
      <c r="CD761">
        <v>0</v>
      </c>
      <c r="CE761">
        <v>0</v>
      </c>
      <c r="CF761">
        <v>0</v>
      </c>
      <c r="CG761">
        <v>0</v>
      </c>
      <c r="CI761">
        <v>0</v>
      </c>
      <c r="CJ761">
        <v>0</v>
      </c>
      <c r="CL761">
        <v>0</v>
      </c>
      <c r="CM761">
        <v>0</v>
      </c>
      <c r="CN761">
        <v>0</v>
      </c>
      <c r="CO761">
        <v>0</v>
      </c>
      <c r="CP761">
        <v>0</v>
      </c>
      <c r="CQ761">
        <v>621.70000000000005</v>
      </c>
      <c r="CR761">
        <v>481.70000000000005</v>
      </c>
      <c r="CS761">
        <v>0</v>
      </c>
      <c r="CT761">
        <v>524.6</v>
      </c>
      <c r="CU761">
        <v>514.1</v>
      </c>
      <c r="CV761">
        <v>175.2</v>
      </c>
      <c r="CW761">
        <v>0</v>
      </c>
      <c r="CX761">
        <v>65.099999999999994</v>
      </c>
      <c r="CY761">
        <v>199</v>
      </c>
      <c r="CZ761">
        <v>1907.9</v>
      </c>
      <c r="DA761">
        <v>0</v>
      </c>
      <c r="DB761">
        <v>0</v>
      </c>
      <c r="DC761">
        <v>0</v>
      </c>
      <c r="DD761">
        <v>0</v>
      </c>
      <c r="DE761">
        <v>0</v>
      </c>
      <c r="DF761">
        <v>0</v>
      </c>
      <c r="DG761">
        <v>0</v>
      </c>
      <c r="DH761">
        <v>0</v>
      </c>
      <c r="DI761">
        <v>0</v>
      </c>
      <c r="DJ761">
        <v>0</v>
      </c>
      <c r="DK761">
        <v>0</v>
      </c>
      <c r="DL761">
        <v>0</v>
      </c>
      <c r="DM761">
        <v>1065.4000000000001</v>
      </c>
      <c r="DN761">
        <v>599.70000000000005</v>
      </c>
      <c r="DO761">
        <v>319.7</v>
      </c>
      <c r="DP761">
        <v>1570.6999999999998</v>
      </c>
      <c r="DQ761">
        <v>1399.5</v>
      </c>
      <c r="DR761">
        <v>3581</v>
      </c>
      <c r="DU761">
        <v>1393.2</v>
      </c>
      <c r="DV761">
        <v>2862.6</v>
      </c>
      <c r="DY761">
        <v>2361</v>
      </c>
      <c r="EA761">
        <v>2409.6</v>
      </c>
      <c r="EC761">
        <v>1661.3999999999999</v>
      </c>
      <c r="EE761">
        <v>0</v>
      </c>
      <c r="EF761">
        <v>0</v>
      </c>
      <c r="EG761">
        <v>0</v>
      </c>
      <c r="EH761">
        <v>0</v>
      </c>
      <c r="EI761">
        <v>0</v>
      </c>
      <c r="EJ761">
        <v>0</v>
      </c>
      <c r="EK761">
        <v>0</v>
      </c>
      <c r="EL761">
        <v>0</v>
      </c>
      <c r="EM761">
        <v>0</v>
      </c>
      <c r="EN761">
        <v>0</v>
      </c>
      <c r="EO761">
        <v>0</v>
      </c>
      <c r="EP761">
        <v>944.5</v>
      </c>
      <c r="EQ761">
        <v>3459.7</v>
      </c>
      <c r="ER761">
        <v>1353.5</v>
      </c>
      <c r="ES761">
        <v>182.2</v>
      </c>
      <c r="ET761">
        <v>855.59999999999991</v>
      </c>
      <c r="EU761">
        <v>172.2</v>
      </c>
      <c r="EV761">
        <v>203.2</v>
      </c>
      <c r="EW761">
        <v>1173.0999999999999</v>
      </c>
      <c r="EX761">
        <v>1078.3</v>
      </c>
      <c r="EY761">
        <v>1194.4000000000001</v>
      </c>
      <c r="EZ761">
        <v>1207.0999999999999</v>
      </c>
      <c r="FA761">
        <v>0</v>
      </c>
      <c r="FB761">
        <v>0</v>
      </c>
      <c r="FC761">
        <v>0</v>
      </c>
      <c r="FD761">
        <v>0</v>
      </c>
      <c r="FE761">
        <v>0</v>
      </c>
      <c r="FF761">
        <v>0</v>
      </c>
      <c r="FG761">
        <v>0</v>
      </c>
      <c r="FH761">
        <v>0</v>
      </c>
      <c r="FI761">
        <v>0</v>
      </c>
      <c r="FJ761">
        <v>0</v>
      </c>
      <c r="FK761">
        <v>0</v>
      </c>
      <c r="FL761">
        <v>0</v>
      </c>
      <c r="FM761">
        <v>0</v>
      </c>
      <c r="FN761">
        <v>0</v>
      </c>
      <c r="FO761">
        <v>0</v>
      </c>
      <c r="FP761">
        <v>0</v>
      </c>
      <c r="FQ761">
        <v>0</v>
      </c>
      <c r="FR761">
        <v>0</v>
      </c>
      <c r="FS761">
        <v>0</v>
      </c>
      <c r="FT761">
        <v>0</v>
      </c>
      <c r="FU761">
        <v>0</v>
      </c>
      <c r="FV761">
        <v>0</v>
      </c>
      <c r="FW761">
        <v>0</v>
      </c>
      <c r="FX761">
        <v>0</v>
      </c>
      <c r="FY761">
        <v>0</v>
      </c>
      <c r="FZ761">
        <v>0</v>
      </c>
      <c r="GA761">
        <v>0</v>
      </c>
      <c r="GB761">
        <v>0</v>
      </c>
      <c r="GC761">
        <v>0</v>
      </c>
      <c r="GD761">
        <v>0</v>
      </c>
      <c r="GE761">
        <v>0</v>
      </c>
      <c r="GF761">
        <v>0</v>
      </c>
      <c r="GG761">
        <v>0</v>
      </c>
      <c r="GH761">
        <v>0</v>
      </c>
      <c r="GI761">
        <v>0</v>
      </c>
      <c r="GJ761">
        <v>0</v>
      </c>
      <c r="GK761">
        <v>0</v>
      </c>
      <c r="GL761">
        <v>0</v>
      </c>
      <c r="GO761">
        <v>0</v>
      </c>
      <c r="GP761">
        <v>0</v>
      </c>
      <c r="GQ761">
        <v>0</v>
      </c>
      <c r="GR761">
        <v>0</v>
      </c>
      <c r="GS761">
        <v>0</v>
      </c>
      <c r="GT761">
        <v>0</v>
      </c>
      <c r="GU761">
        <v>0</v>
      </c>
      <c r="GV761">
        <v>0</v>
      </c>
      <c r="GW761">
        <v>0</v>
      </c>
      <c r="GX761">
        <v>0</v>
      </c>
      <c r="GY761">
        <v>0</v>
      </c>
      <c r="GZ761">
        <v>0</v>
      </c>
      <c r="HA761">
        <v>0</v>
      </c>
      <c r="HB761">
        <v>0</v>
      </c>
      <c r="HC761">
        <v>0</v>
      </c>
      <c r="HD761">
        <v>0</v>
      </c>
      <c r="HE761">
        <v>0</v>
      </c>
      <c r="HF761">
        <v>0</v>
      </c>
      <c r="HG761">
        <v>0</v>
      </c>
      <c r="HH761">
        <v>0</v>
      </c>
      <c r="HI761">
        <v>0</v>
      </c>
      <c r="HJ761">
        <v>0</v>
      </c>
      <c r="HK761">
        <v>0</v>
      </c>
      <c r="HL761">
        <v>0</v>
      </c>
      <c r="HM761">
        <v>0</v>
      </c>
      <c r="HN761">
        <v>0</v>
      </c>
      <c r="HO761">
        <v>0</v>
      </c>
      <c r="HP761">
        <v>0</v>
      </c>
      <c r="HQ761">
        <v>0</v>
      </c>
      <c r="HR761">
        <v>0</v>
      </c>
      <c r="HS761">
        <v>0</v>
      </c>
      <c r="HT761">
        <v>0</v>
      </c>
      <c r="HU761">
        <v>0</v>
      </c>
      <c r="HV761">
        <v>0</v>
      </c>
      <c r="HW761">
        <v>404.70000000000005</v>
      </c>
      <c r="HX761">
        <v>342.3</v>
      </c>
      <c r="HZ761">
        <v>866.2</v>
      </c>
      <c r="IA761">
        <v>1142.8</v>
      </c>
      <c r="IB761">
        <v>1121.5</v>
      </c>
      <c r="IC761">
        <v>2403</v>
      </c>
      <c r="ID761">
        <v>2659.3</v>
      </c>
      <c r="IE761">
        <v>1923.4</v>
      </c>
      <c r="IF761">
        <v>1465.7</v>
      </c>
      <c r="IG761">
        <v>1608.3</v>
      </c>
      <c r="IH761">
        <v>0</v>
      </c>
      <c r="II761">
        <v>0</v>
      </c>
      <c r="IJ761">
        <v>0</v>
      </c>
      <c r="IK761">
        <v>0</v>
      </c>
      <c r="IL761">
        <v>0</v>
      </c>
      <c r="IM761">
        <v>0</v>
      </c>
      <c r="IN761">
        <v>0</v>
      </c>
      <c r="IO761">
        <v>0</v>
      </c>
      <c r="IP761">
        <v>75.099999999999994</v>
      </c>
    </row>
    <row r="762" spans="1:250" ht="18.600000000000001" thickTop="1" thickBot="1">
      <c r="A762" s="182"/>
      <c r="B762" s="182"/>
      <c r="C762" s="333" t="s">
        <v>1182</v>
      </c>
      <c r="D762" s="407"/>
      <c r="E762" s="454">
        <v>0</v>
      </c>
      <c r="F762">
        <v>0</v>
      </c>
      <c r="G762" s="427">
        <v>0</v>
      </c>
      <c r="H762" s="155">
        <v>0</v>
      </c>
      <c r="I762">
        <v>0</v>
      </c>
      <c r="J762">
        <v>0</v>
      </c>
      <c r="K762">
        <v>0</v>
      </c>
      <c r="L762" s="4">
        <v>0</v>
      </c>
      <c r="M762" s="4">
        <v>0</v>
      </c>
      <c r="N762" s="4">
        <v>0</v>
      </c>
      <c r="O762" s="4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R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G762">
        <v>0</v>
      </c>
      <c r="BI762">
        <v>0</v>
      </c>
      <c r="BK762">
        <v>0</v>
      </c>
      <c r="BL762">
        <v>0</v>
      </c>
      <c r="BM762">
        <v>0</v>
      </c>
      <c r="BN762">
        <v>0</v>
      </c>
      <c r="BO762">
        <v>344.70000000000005</v>
      </c>
      <c r="BP762">
        <v>625.70000000000005</v>
      </c>
      <c r="BQ762">
        <v>912.2</v>
      </c>
      <c r="BR762">
        <v>237.7</v>
      </c>
      <c r="BS762">
        <v>0</v>
      </c>
      <c r="BT762">
        <v>0</v>
      </c>
      <c r="BU762">
        <v>0</v>
      </c>
      <c r="BV762">
        <v>0</v>
      </c>
      <c r="BW762">
        <v>1647.4</v>
      </c>
      <c r="BY762">
        <v>453.1</v>
      </c>
      <c r="CA762">
        <v>285.39999999999998</v>
      </c>
      <c r="CB762">
        <v>280.8</v>
      </c>
      <c r="CC762">
        <v>127.7</v>
      </c>
      <c r="CD762">
        <v>0</v>
      </c>
      <c r="CE762">
        <v>0</v>
      </c>
      <c r="CF762">
        <v>0</v>
      </c>
      <c r="CG762">
        <v>0</v>
      </c>
      <c r="CI762">
        <v>0</v>
      </c>
      <c r="CJ762">
        <v>0</v>
      </c>
      <c r="CL762">
        <v>0</v>
      </c>
      <c r="CM762">
        <v>0</v>
      </c>
      <c r="CN762">
        <v>0</v>
      </c>
      <c r="CO762">
        <v>0</v>
      </c>
      <c r="CP762">
        <v>0</v>
      </c>
      <c r="CQ762">
        <v>621.70000000000005</v>
      </c>
      <c r="CR762">
        <v>481.70000000000005</v>
      </c>
      <c r="CS762">
        <v>0</v>
      </c>
      <c r="CT762">
        <v>524.6</v>
      </c>
      <c r="CU762">
        <v>514.1</v>
      </c>
      <c r="CV762">
        <v>175.2</v>
      </c>
      <c r="CW762">
        <v>0</v>
      </c>
      <c r="CX762">
        <v>65.099999999999994</v>
      </c>
      <c r="CY762">
        <v>199</v>
      </c>
      <c r="CZ762">
        <v>1907.9</v>
      </c>
      <c r="DA762">
        <v>0</v>
      </c>
      <c r="DB762">
        <v>0</v>
      </c>
      <c r="DC762">
        <v>0</v>
      </c>
      <c r="DD762">
        <v>0</v>
      </c>
      <c r="DE762">
        <v>0</v>
      </c>
      <c r="DF762">
        <v>0</v>
      </c>
      <c r="DG762">
        <v>0</v>
      </c>
      <c r="DH762">
        <v>0</v>
      </c>
      <c r="DI762">
        <v>0</v>
      </c>
      <c r="DJ762">
        <v>0</v>
      </c>
      <c r="DK762">
        <v>0</v>
      </c>
      <c r="DL762">
        <v>0</v>
      </c>
      <c r="DM762">
        <v>1065.4000000000001</v>
      </c>
      <c r="DN762">
        <v>599.70000000000005</v>
      </c>
      <c r="DO762">
        <v>319.7</v>
      </c>
      <c r="DP762">
        <v>1570.6999999999998</v>
      </c>
      <c r="DQ762">
        <v>1399.5</v>
      </c>
      <c r="DR762">
        <v>3581</v>
      </c>
      <c r="DU762">
        <v>1393.2</v>
      </c>
      <c r="DV762">
        <v>2862.6</v>
      </c>
      <c r="DY762">
        <v>2361</v>
      </c>
      <c r="EA762">
        <v>2409.6</v>
      </c>
      <c r="EC762">
        <v>1661.3999999999999</v>
      </c>
      <c r="EE762">
        <v>0</v>
      </c>
      <c r="EF762">
        <v>0</v>
      </c>
      <c r="EG762">
        <v>0</v>
      </c>
      <c r="EH762">
        <v>0</v>
      </c>
      <c r="EI762">
        <v>0</v>
      </c>
      <c r="EJ762">
        <v>0</v>
      </c>
      <c r="EK762">
        <v>0</v>
      </c>
      <c r="EL762">
        <v>0</v>
      </c>
      <c r="EM762">
        <v>0</v>
      </c>
      <c r="EN762">
        <v>0</v>
      </c>
      <c r="EO762">
        <v>0</v>
      </c>
      <c r="EP762">
        <v>944.5</v>
      </c>
      <c r="EQ762">
        <v>3459.7</v>
      </c>
      <c r="ER762">
        <v>1353.5</v>
      </c>
      <c r="ES762">
        <v>182.2</v>
      </c>
      <c r="ET762">
        <v>855.59999999999991</v>
      </c>
      <c r="EU762">
        <v>172.2</v>
      </c>
      <c r="EV762">
        <v>203.2</v>
      </c>
      <c r="EW762">
        <v>1173.0999999999999</v>
      </c>
      <c r="EX762">
        <v>1078.3</v>
      </c>
      <c r="EY762">
        <v>1194.4000000000001</v>
      </c>
      <c r="EZ762">
        <v>1207.0999999999999</v>
      </c>
      <c r="FA762">
        <v>0</v>
      </c>
      <c r="FB762">
        <v>0</v>
      </c>
      <c r="FC762">
        <v>0</v>
      </c>
      <c r="FD762">
        <v>0</v>
      </c>
      <c r="FE762">
        <v>0</v>
      </c>
      <c r="FF762">
        <v>0</v>
      </c>
      <c r="FG762">
        <v>0</v>
      </c>
      <c r="FH762">
        <v>0</v>
      </c>
      <c r="FI762">
        <v>0</v>
      </c>
      <c r="FJ762">
        <v>0</v>
      </c>
      <c r="FK762">
        <v>0</v>
      </c>
      <c r="FL762">
        <v>0</v>
      </c>
      <c r="FM762">
        <v>0</v>
      </c>
      <c r="FN762">
        <v>0</v>
      </c>
      <c r="FO762">
        <v>0</v>
      </c>
      <c r="FP762">
        <v>0</v>
      </c>
      <c r="FQ762">
        <v>0</v>
      </c>
      <c r="FR762">
        <v>0</v>
      </c>
      <c r="FS762">
        <v>0</v>
      </c>
      <c r="FT762">
        <v>0</v>
      </c>
      <c r="FU762">
        <v>0</v>
      </c>
      <c r="FV762">
        <v>0</v>
      </c>
      <c r="FW762">
        <v>0</v>
      </c>
      <c r="FX762">
        <v>0</v>
      </c>
      <c r="FY762">
        <v>0</v>
      </c>
      <c r="FZ762">
        <v>0</v>
      </c>
      <c r="GA762">
        <v>0</v>
      </c>
      <c r="GB762">
        <v>0</v>
      </c>
      <c r="GC762">
        <v>0</v>
      </c>
      <c r="GD762">
        <v>0</v>
      </c>
      <c r="GE762">
        <v>0</v>
      </c>
      <c r="GF762">
        <v>0</v>
      </c>
      <c r="GG762">
        <v>0</v>
      </c>
      <c r="GH762">
        <v>0</v>
      </c>
      <c r="GI762">
        <v>0</v>
      </c>
      <c r="GJ762">
        <v>0</v>
      </c>
      <c r="GK762">
        <v>0</v>
      </c>
      <c r="GL762">
        <v>0</v>
      </c>
      <c r="GO762">
        <v>0</v>
      </c>
      <c r="GP762">
        <v>0</v>
      </c>
      <c r="GQ762">
        <v>0</v>
      </c>
      <c r="GR762">
        <v>0</v>
      </c>
      <c r="GS762">
        <v>0</v>
      </c>
      <c r="GT762">
        <v>0</v>
      </c>
      <c r="GU762">
        <v>0</v>
      </c>
      <c r="GV762">
        <v>0</v>
      </c>
      <c r="GW762">
        <v>0</v>
      </c>
      <c r="GX762">
        <v>0</v>
      </c>
      <c r="GY762">
        <v>0</v>
      </c>
      <c r="GZ762">
        <v>0</v>
      </c>
      <c r="HA762">
        <v>0</v>
      </c>
      <c r="HB762">
        <v>0</v>
      </c>
      <c r="HC762">
        <v>0</v>
      </c>
      <c r="HD762">
        <v>0</v>
      </c>
      <c r="HE762">
        <v>0</v>
      </c>
      <c r="HF762">
        <v>0</v>
      </c>
      <c r="HG762">
        <v>0</v>
      </c>
      <c r="HH762">
        <v>0</v>
      </c>
      <c r="HI762">
        <v>0</v>
      </c>
      <c r="HJ762">
        <v>0</v>
      </c>
      <c r="HK762">
        <v>0</v>
      </c>
      <c r="HL762">
        <v>0</v>
      </c>
      <c r="HM762">
        <v>0</v>
      </c>
      <c r="HN762">
        <v>0</v>
      </c>
      <c r="HO762">
        <v>0</v>
      </c>
      <c r="HP762">
        <v>0</v>
      </c>
      <c r="HQ762">
        <v>0</v>
      </c>
      <c r="HR762">
        <v>0</v>
      </c>
      <c r="HS762">
        <v>0</v>
      </c>
      <c r="HT762">
        <v>0</v>
      </c>
      <c r="HU762">
        <v>0</v>
      </c>
      <c r="HV762">
        <v>0</v>
      </c>
      <c r="HW762">
        <v>404.70000000000005</v>
      </c>
      <c r="HX762">
        <v>342.3</v>
      </c>
      <c r="HZ762">
        <v>866.2</v>
      </c>
      <c r="IA762">
        <v>1142.8</v>
      </c>
      <c r="IB762">
        <v>1121.5</v>
      </c>
      <c r="IC762">
        <v>2403</v>
      </c>
      <c r="ID762">
        <v>2659.3</v>
      </c>
      <c r="IE762">
        <v>1923.4</v>
      </c>
      <c r="IF762">
        <v>1465.7</v>
      </c>
      <c r="IG762">
        <v>1608.3</v>
      </c>
      <c r="IH762">
        <v>0</v>
      </c>
      <c r="II762">
        <v>0</v>
      </c>
      <c r="IJ762">
        <v>0</v>
      </c>
      <c r="IK762">
        <v>0</v>
      </c>
      <c r="IL762">
        <v>0</v>
      </c>
      <c r="IM762">
        <v>0</v>
      </c>
      <c r="IN762">
        <v>0</v>
      </c>
      <c r="IO762">
        <v>0</v>
      </c>
      <c r="IP762">
        <v>75.099999999999994</v>
      </c>
    </row>
    <row r="763" spans="1:250" ht="18" thickBot="1">
      <c r="A763" s="183"/>
      <c r="B763" s="183"/>
      <c r="C763" s="230" t="s">
        <v>1183</v>
      </c>
      <c r="D763" s="397"/>
      <c r="E763" s="454">
        <v>0</v>
      </c>
      <c r="F763">
        <v>0</v>
      </c>
      <c r="G763" s="427">
        <v>0</v>
      </c>
      <c r="H763" s="155">
        <v>0</v>
      </c>
      <c r="I763">
        <v>0</v>
      </c>
      <c r="J763">
        <v>0</v>
      </c>
      <c r="K763">
        <v>0</v>
      </c>
      <c r="L763" s="4">
        <v>0</v>
      </c>
      <c r="M763" s="4">
        <v>0</v>
      </c>
      <c r="N763" s="4">
        <v>0</v>
      </c>
      <c r="O763" s="4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R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G763">
        <v>0</v>
      </c>
      <c r="BI763">
        <v>0</v>
      </c>
      <c r="BK763">
        <v>0</v>
      </c>
      <c r="BL763">
        <v>0</v>
      </c>
      <c r="BM763">
        <v>0</v>
      </c>
      <c r="BN763">
        <v>0</v>
      </c>
      <c r="BO763">
        <v>344.70000000000005</v>
      </c>
      <c r="BP763">
        <v>625.70000000000005</v>
      </c>
      <c r="BQ763">
        <v>912.2</v>
      </c>
      <c r="BR763">
        <v>237.7</v>
      </c>
      <c r="BS763">
        <v>0</v>
      </c>
      <c r="BT763">
        <v>0</v>
      </c>
      <c r="BU763">
        <v>0</v>
      </c>
      <c r="BV763">
        <v>0</v>
      </c>
      <c r="BW763">
        <v>1647.4</v>
      </c>
      <c r="BY763">
        <v>453.1</v>
      </c>
      <c r="CA763">
        <v>285.39999999999998</v>
      </c>
      <c r="CB763">
        <v>280.8</v>
      </c>
      <c r="CC763">
        <v>127.7</v>
      </c>
      <c r="CD763">
        <v>0</v>
      </c>
      <c r="CE763">
        <v>0</v>
      </c>
      <c r="CF763">
        <v>0</v>
      </c>
      <c r="CG763">
        <v>0</v>
      </c>
      <c r="CI763">
        <v>0</v>
      </c>
      <c r="CJ763">
        <v>0</v>
      </c>
      <c r="CL763">
        <v>0</v>
      </c>
      <c r="CM763">
        <v>0</v>
      </c>
      <c r="CN763">
        <v>0</v>
      </c>
      <c r="CO763">
        <v>0</v>
      </c>
      <c r="CP763">
        <v>0</v>
      </c>
      <c r="CQ763">
        <v>621.70000000000005</v>
      </c>
      <c r="CR763">
        <v>481.70000000000005</v>
      </c>
      <c r="CS763">
        <v>0</v>
      </c>
      <c r="CT763">
        <v>524.6</v>
      </c>
      <c r="CU763">
        <v>514.1</v>
      </c>
      <c r="CV763">
        <v>175.2</v>
      </c>
      <c r="CW763">
        <v>0</v>
      </c>
      <c r="CX763">
        <v>65.099999999999994</v>
      </c>
      <c r="CY763">
        <v>199</v>
      </c>
      <c r="CZ763">
        <v>1907.9</v>
      </c>
      <c r="DA763">
        <v>0</v>
      </c>
      <c r="DB763">
        <v>0</v>
      </c>
      <c r="DC763">
        <v>0</v>
      </c>
      <c r="DD763">
        <v>0</v>
      </c>
      <c r="DE763">
        <v>0</v>
      </c>
      <c r="DF763">
        <v>0</v>
      </c>
      <c r="DG763">
        <v>0</v>
      </c>
      <c r="DH763">
        <v>0</v>
      </c>
      <c r="DI763">
        <v>0</v>
      </c>
      <c r="DJ763">
        <v>0</v>
      </c>
      <c r="DK763">
        <v>0</v>
      </c>
      <c r="DL763">
        <v>0</v>
      </c>
      <c r="DM763">
        <v>1065.4000000000001</v>
      </c>
      <c r="DN763">
        <v>599.70000000000005</v>
      </c>
      <c r="DO763">
        <v>319.7</v>
      </c>
      <c r="DP763">
        <v>1570.6999999999998</v>
      </c>
      <c r="DQ763">
        <v>1399.5</v>
      </c>
      <c r="DR763">
        <v>3581</v>
      </c>
      <c r="DU763">
        <v>1393.2</v>
      </c>
      <c r="DV763">
        <v>2862.6</v>
      </c>
      <c r="DY763">
        <v>2361</v>
      </c>
      <c r="EA763">
        <v>2409.6</v>
      </c>
      <c r="EC763">
        <v>1661.3999999999999</v>
      </c>
      <c r="EE763">
        <v>0</v>
      </c>
      <c r="EF763">
        <v>0</v>
      </c>
      <c r="EG763">
        <v>0</v>
      </c>
      <c r="EH763">
        <v>0</v>
      </c>
      <c r="EI763">
        <v>0</v>
      </c>
      <c r="EJ763">
        <v>0</v>
      </c>
      <c r="EK763">
        <v>0</v>
      </c>
      <c r="EL763">
        <v>0</v>
      </c>
      <c r="EM763">
        <v>0</v>
      </c>
      <c r="EN763">
        <v>0</v>
      </c>
      <c r="EO763">
        <v>0</v>
      </c>
      <c r="EP763">
        <v>944.5</v>
      </c>
      <c r="EQ763">
        <v>3459.7</v>
      </c>
      <c r="ER763">
        <v>1353.5</v>
      </c>
      <c r="ES763">
        <v>182.2</v>
      </c>
      <c r="ET763">
        <v>855.59999999999991</v>
      </c>
      <c r="EU763">
        <v>172.2</v>
      </c>
      <c r="EV763">
        <v>203.2</v>
      </c>
      <c r="EW763">
        <v>1173.0999999999999</v>
      </c>
      <c r="EX763">
        <v>1078.3</v>
      </c>
      <c r="EY763">
        <v>1194.4000000000001</v>
      </c>
      <c r="EZ763">
        <v>1207.0999999999999</v>
      </c>
      <c r="FA763">
        <v>0</v>
      </c>
      <c r="FB763">
        <v>0</v>
      </c>
      <c r="FC763">
        <v>0</v>
      </c>
      <c r="FD763">
        <v>0</v>
      </c>
      <c r="FE763">
        <v>0</v>
      </c>
      <c r="FF763">
        <v>0</v>
      </c>
      <c r="FG763">
        <v>0</v>
      </c>
      <c r="FH763">
        <v>0</v>
      </c>
      <c r="FI763">
        <v>0</v>
      </c>
      <c r="FJ763">
        <v>0</v>
      </c>
      <c r="FK763">
        <v>0</v>
      </c>
      <c r="FL763">
        <v>0</v>
      </c>
      <c r="FM763">
        <v>0</v>
      </c>
      <c r="FN763">
        <v>0</v>
      </c>
      <c r="FO763">
        <v>0</v>
      </c>
      <c r="FP763">
        <v>0</v>
      </c>
      <c r="FQ763">
        <v>0</v>
      </c>
      <c r="FR763">
        <v>0</v>
      </c>
      <c r="FS763">
        <v>0</v>
      </c>
      <c r="FT763">
        <v>0</v>
      </c>
      <c r="FU763">
        <v>0</v>
      </c>
      <c r="FV763">
        <v>0</v>
      </c>
      <c r="FW763">
        <v>0</v>
      </c>
      <c r="FX763">
        <v>0</v>
      </c>
      <c r="FY763">
        <v>0</v>
      </c>
      <c r="FZ763">
        <v>0</v>
      </c>
      <c r="GA763">
        <v>0</v>
      </c>
      <c r="GB763">
        <v>0</v>
      </c>
      <c r="GC763">
        <v>0</v>
      </c>
      <c r="GD763">
        <v>0</v>
      </c>
      <c r="GE763">
        <v>0</v>
      </c>
      <c r="GF763">
        <v>0</v>
      </c>
      <c r="GG763">
        <v>0</v>
      </c>
      <c r="GH763">
        <v>0</v>
      </c>
      <c r="GI763">
        <v>0</v>
      </c>
      <c r="GJ763">
        <v>0</v>
      </c>
      <c r="GK763">
        <v>0</v>
      </c>
      <c r="GL763">
        <v>0</v>
      </c>
      <c r="GO763">
        <v>0</v>
      </c>
      <c r="GP763">
        <v>0</v>
      </c>
      <c r="GQ763">
        <v>0</v>
      </c>
      <c r="GR763">
        <v>0</v>
      </c>
      <c r="GS763">
        <v>0</v>
      </c>
      <c r="GT763">
        <v>0</v>
      </c>
      <c r="GU763">
        <v>0</v>
      </c>
      <c r="GV763">
        <v>0</v>
      </c>
      <c r="GW763">
        <v>0</v>
      </c>
      <c r="GX763">
        <v>0</v>
      </c>
      <c r="GY763">
        <v>0</v>
      </c>
      <c r="GZ763">
        <v>0</v>
      </c>
      <c r="HA763">
        <v>0</v>
      </c>
      <c r="HB763">
        <v>0</v>
      </c>
      <c r="HC763">
        <v>0</v>
      </c>
      <c r="HD763">
        <v>0</v>
      </c>
      <c r="HE763">
        <v>0</v>
      </c>
      <c r="HF763">
        <v>0</v>
      </c>
      <c r="HG763">
        <v>0</v>
      </c>
      <c r="HH763">
        <v>0</v>
      </c>
      <c r="HI763">
        <v>0</v>
      </c>
      <c r="HJ763">
        <v>0</v>
      </c>
      <c r="HK763">
        <v>0</v>
      </c>
      <c r="HL763">
        <v>0</v>
      </c>
      <c r="HM763">
        <v>0</v>
      </c>
      <c r="HN763">
        <v>0</v>
      </c>
      <c r="HO763">
        <v>0</v>
      </c>
      <c r="HP763">
        <v>0</v>
      </c>
      <c r="HQ763">
        <v>0</v>
      </c>
      <c r="HR763">
        <v>0</v>
      </c>
      <c r="HS763">
        <v>0</v>
      </c>
      <c r="HT763">
        <v>0</v>
      </c>
      <c r="HU763">
        <v>0</v>
      </c>
      <c r="HV763">
        <v>0</v>
      </c>
      <c r="HW763">
        <v>404.70000000000005</v>
      </c>
      <c r="HX763">
        <v>342.3</v>
      </c>
      <c r="HZ763">
        <v>866.2</v>
      </c>
      <c r="IA763">
        <v>1142.8</v>
      </c>
      <c r="IB763">
        <v>1121.5</v>
      </c>
      <c r="IC763">
        <v>2403</v>
      </c>
      <c r="ID763">
        <v>2659.3</v>
      </c>
      <c r="IE763">
        <v>1923.4</v>
      </c>
      <c r="IF763">
        <v>1465.7</v>
      </c>
      <c r="IG763">
        <v>1608.3</v>
      </c>
      <c r="IH763">
        <v>0</v>
      </c>
      <c r="II763">
        <v>0</v>
      </c>
      <c r="IJ763">
        <v>0</v>
      </c>
      <c r="IK763">
        <v>0</v>
      </c>
      <c r="IL763">
        <v>0</v>
      </c>
      <c r="IM763">
        <v>0</v>
      </c>
      <c r="IN763">
        <v>0</v>
      </c>
      <c r="IO763">
        <v>0</v>
      </c>
      <c r="IP763">
        <v>75.099999999999994</v>
      </c>
    </row>
    <row r="764" spans="1:250" ht="18" thickBot="1">
      <c r="A764" s="183"/>
      <c r="B764" s="183"/>
      <c r="C764" s="230" t="s">
        <v>1184</v>
      </c>
      <c r="D764" s="397"/>
      <c r="E764" s="454">
        <v>0</v>
      </c>
      <c r="F764">
        <v>0</v>
      </c>
      <c r="G764" s="427">
        <v>0</v>
      </c>
      <c r="H764" s="155">
        <v>0</v>
      </c>
      <c r="I764">
        <v>0</v>
      </c>
      <c r="J764">
        <v>0</v>
      </c>
      <c r="K764">
        <v>0</v>
      </c>
      <c r="L764" s="4">
        <v>0</v>
      </c>
      <c r="M764" s="4">
        <v>0</v>
      </c>
      <c r="N764" s="4">
        <v>0</v>
      </c>
      <c r="O764" s="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R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G764">
        <v>0</v>
      </c>
      <c r="BI764">
        <v>0</v>
      </c>
      <c r="BK764">
        <v>0</v>
      </c>
      <c r="BL764">
        <v>0</v>
      </c>
      <c r="BM764">
        <v>0</v>
      </c>
      <c r="BN764">
        <v>0</v>
      </c>
      <c r="BO764">
        <v>344.70000000000005</v>
      </c>
      <c r="BP764">
        <v>625.70000000000005</v>
      </c>
      <c r="BQ764">
        <v>912.2</v>
      </c>
      <c r="BR764">
        <v>237.7</v>
      </c>
      <c r="BS764">
        <v>0</v>
      </c>
      <c r="BT764">
        <v>0</v>
      </c>
      <c r="BU764">
        <v>0</v>
      </c>
      <c r="BV764">
        <v>0</v>
      </c>
      <c r="BW764">
        <v>1647.4</v>
      </c>
      <c r="BY764">
        <v>453.1</v>
      </c>
      <c r="CA764">
        <v>285.39999999999998</v>
      </c>
      <c r="CB764">
        <v>280.8</v>
      </c>
      <c r="CC764">
        <v>127.7</v>
      </c>
      <c r="CD764">
        <v>0</v>
      </c>
      <c r="CE764">
        <v>0</v>
      </c>
      <c r="CF764">
        <v>0</v>
      </c>
      <c r="CG764">
        <v>0</v>
      </c>
      <c r="CI764">
        <v>0</v>
      </c>
      <c r="CJ764">
        <v>0</v>
      </c>
      <c r="CL764">
        <v>0</v>
      </c>
      <c r="CM764">
        <v>0</v>
      </c>
      <c r="CN764">
        <v>0</v>
      </c>
      <c r="CO764">
        <v>0</v>
      </c>
      <c r="CP764">
        <v>0</v>
      </c>
      <c r="CQ764">
        <v>621.70000000000005</v>
      </c>
      <c r="CR764">
        <v>481.70000000000005</v>
      </c>
      <c r="CS764">
        <v>0</v>
      </c>
      <c r="CT764">
        <v>524.6</v>
      </c>
      <c r="CU764">
        <v>514.1</v>
      </c>
      <c r="CV764">
        <v>175.2</v>
      </c>
      <c r="CW764">
        <v>0</v>
      </c>
      <c r="CX764">
        <v>65.099999999999994</v>
      </c>
      <c r="CY764">
        <v>199</v>
      </c>
      <c r="CZ764">
        <v>1907.9</v>
      </c>
      <c r="DA764">
        <v>0</v>
      </c>
      <c r="DB764">
        <v>0</v>
      </c>
      <c r="DC764">
        <v>0</v>
      </c>
      <c r="DD764">
        <v>0</v>
      </c>
      <c r="DE764">
        <v>0</v>
      </c>
      <c r="DF764">
        <v>0</v>
      </c>
      <c r="DG764">
        <v>0</v>
      </c>
      <c r="DH764">
        <v>0</v>
      </c>
      <c r="DI764">
        <v>0</v>
      </c>
      <c r="DJ764">
        <v>0</v>
      </c>
      <c r="DK764">
        <v>0</v>
      </c>
      <c r="DL764">
        <v>0</v>
      </c>
      <c r="DM764">
        <v>1065.4000000000001</v>
      </c>
      <c r="DN764">
        <v>599.70000000000005</v>
      </c>
      <c r="DO764">
        <v>319.7</v>
      </c>
      <c r="DP764">
        <v>1570.6999999999998</v>
      </c>
      <c r="DQ764">
        <v>1399.5</v>
      </c>
      <c r="DR764">
        <v>3581</v>
      </c>
      <c r="DU764">
        <v>1393.2</v>
      </c>
      <c r="DV764">
        <v>2862.6</v>
      </c>
      <c r="DY764">
        <v>2361</v>
      </c>
      <c r="EA764">
        <v>2409.6</v>
      </c>
      <c r="EC764">
        <v>1661.3999999999999</v>
      </c>
      <c r="EE764">
        <v>0</v>
      </c>
      <c r="EF764">
        <v>0</v>
      </c>
      <c r="EG764">
        <v>0</v>
      </c>
      <c r="EH764">
        <v>0</v>
      </c>
      <c r="EI764">
        <v>0</v>
      </c>
      <c r="EJ764">
        <v>0</v>
      </c>
      <c r="EK764">
        <v>0</v>
      </c>
      <c r="EL764">
        <v>0</v>
      </c>
      <c r="EM764">
        <v>0</v>
      </c>
      <c r="EN764">
        <v>0</v>
      </c>
      <c r="EO764">
        <v>0</v>
      </c>
      <c r="EP764">
        <v>944.5</v>
      </c>
      <c r="EQ764">
        <v>3459.7</v>
      </c>
      <c r="ER764">
        <v>1353.5</v>
      </c>
      <c r="ES764">
        <v>182.2</v>
      </c>
      <c r="ET764">
        <v>855.59999999999991</v>
      </c>
      <c r="EU764">
        <v>172.2</v>
      </c>
      <c r="EV764">
        <v>203.2</v>
      </c>
      <c r="EW764">
        <v>1173.0999999999999</v>
      </c>
      <c r="EX764">
        <v>1078.3</v>
      </c>
      <c r="EY764">
        <v>1194.4000000000001</v>
      </c>
      <c r="EZ764">
        <v>1207.0999999999999</v>
      </c>
      <c r="FA764">
        <v>0</v>
      </c>
      <c r="FB764">
        <v>0</v>
      </c>
      <c r="FC764">
        <v>0</v>
      </c>
      <c r="FD764">
        <v>0</v>
      </c>
      <c r="FE764">
        <v>0</v>
      </c>
      <c r="FF764">
        <v>0</v>
      </c>
      <c r="FG764">
        <v>0</v>
      </c>
      <c r="FH764">
        <v>0</v>
      </c>
      <c r="FI764">
        <v>0</v>
      </c>
      <c r="FJ764">
        <v>0</v>
      </c>
      <c r="FK764">
        <v>0</v>
      </c>
      <c r="FL764">
        <v>0</v>
      </c>
      <c r="FM764">
        <v>0</v>
      </c>
      <c r="FN764">
        <v>0</v>
      </c>
      <c r="FO764">
        <v>0</v>
      </c>
      <c r="FP764">
        <v>0</v>
      </c>
      <c r="FQ764">
        <v>0</v>
      </c>
      <c r="FR764">
        <v>0</v>
      </c>
      <c r="FS764">
        <v>0</v>
      </c>
      <c r="FT764">
        <v>0</v>
      </c>
      <c r="FU764">
        <v>0</v>
      </c>
      <c r="FV764">
        <v>0</v>
      </c>
      <c r="FW764">
        <v>0</v>
      </c>
      <c r="FX764">
        <v>0</v>
      </c>
      <c r="FY764">
        <v>0</v>
      </c>
      <c r="FZ764">
        <v>0</v>
      </c>
      <c r="GA764">
        <v>0</v>
      </c>
      <c r="GB764">
        <v>0</v>
      </c>
      <c r="GC764">
        <v>0</v>
      </c>
      <c r="GD764">
        <v>0</v>
      </c>
      <c r="GE764">
        <v>0</v>
      </c>
      <c r="GF764">
        <v>0</v>
      </c>
      <c r="GG764">
        <v>0</v>
      </c>
      <c r="GH764">
        <v>0</v>
      </c>
      <c r="GI764">
        <v>0</v>
      </c>
      <c r="GJ764">
        <v>0</v>
      </c>
      <c r="GK764">
        <v>0</v>
      </c>
      <c r="GL764">
        <v>0</v>
      </c>
      <c r="GO764">
        <v>0</v>
      </c>
      <c r="GP764">
        <v>0</v>
      </c>
      <c r="GQ764">
        <v>0</v>
      </c>
      <c r="GR764">
        <v>0</v>
      </c>
      <c r="GS764">
        <v>0</v>
      </c>
      <c r="GT764">
        <v>0</v>
      </c>
      <c r="GU764">
        <v>0</v>
      </c>
      <c r="GV764">
        <v>0</v>
      </c>
      <c r="GW764">
        <v>0</v>
      </c>
      <c r="GX764">
        <v>0</v>
      </c>
      <c r="GY764">
        <v>0</v>
      </c>
      <c r="GZ764">
        <v>0</v>
      </c>
      <c r="HA764">
        <v>0</v>
      </c>
      <c r="HB764">
        <v>0</v>
      </c>
      <c r="HC764">
        <v>0</v>
      </c>
      <c r="HD764">
        <v>0</v>
      </c>
      <c r="HE764">
        <v>0</v>
      </c>
      <c r="HF764">
        <v>0</v>
      </c>
      <c r="HG764">
        <v>0</v>
      </c>
      <c r="HH764">
        <v>0</v>
      </c>
      <c r="HI764">
        <v>0</v>
      </c>
      <c r="HJ764">
        <v>0</v>
      </c>
      <c r="HK764">
        <v>0</v>
      </c>
      <c r="HL764">
        <v>0</v>
      </c>
      <c r="HM764">
        <v>0</v>
      </c>
      <c r="HN764">
        <v>0</v>
      </c>
      <c r="HO764">
        <v>0</v>
      </c>
      <c r="HP764">
        <v>0</v>
      </c>
      <c r="HQ764">
        <v>0</v>
      </c>
      <c r="HR764">
        <v>0</v>
      </c>
      <c r="HS764">
        <v>0</v>
      </c>
      <c r="HT764">
        <v>0</v>
      </c>
      <c r="HU764">
        <v>0</v>
      </c>
      <c r="HV764">
        <v>0</v>
      </c>
      <c r="HW764">
        <v>404.70000000000005</v>
      </c>
      <c r="HX764">
        <v>342.3</v>
      </c>
      <c r="HZ764">
        <v>866.2</v>
      </c>
      <c r="IA764">
        <v>1142.8</v>
      </c>
      <c r="IB764">
        <v>1121.5</v>
      </c>
      <c r="IC764">
        <v>2403</v>
      </c>
      <c r="ID764">
        <v>2659.3</v>
      </c>
      <c r="IE764">
        <v>1923.4</v>
      </c>
      <c r="IF764">
        <v>1465.7</v>
      </c>
      <c r="IG764">
        <v>1608.3</v>
      </c>
      <c r="IH764">
        <v>0</v>
      </c>
      <c r="II764">
        <v>0</v>
      </c>
      <c r="IJ764">
        <v>0</v>
      </c>
      <c r="IK764">
        <v>0</v>
      </c>
      <c r="IL764">
        <v>0</v>
      </c>
      <c r="IM764">
        <v>0</v>
      </c>
      <c r="IN764">
        <v>0</v>
      </c>
      <c r="IO764">
        <v>0</v>
      </c>
      <c r="IP764">
        <v>75.099999999999994</v>
      </c>
    </row>
    <row r="765" spans="1:250" ht="18" thickBot="1">
      <c r="A765" s="183"/>
      <c r="B765" s="183"/>
      <c r="C765" s="230" t="s">
        <v>1185</v>
      </c>
      <c r="D765" s="397"/>
      <c r="E765" s="454">
        <v>0</v>
      </c>
      <c r="F765">
        <v>0</v>
      </c>
      <c r="G765" s="427">
        <v>0</v>
      </c>
      <c r="H765" s="155">
        <v>0</v>
      </c>
      <c r="I765">
        <v>0</v>
      </c>
      <c r="J765">
        <v>0</v>
      </c>
      <c r="K765">
        <v>0</v>
      </c>
      <c r="L765" s="4">
        <v>0</v>
      </c>
      <c r="M765" s="4">
        <v>0</v>
      </c>
      <c r="N765" s="4">
        <v>0</v>
      </c>
      <c r="O765" s="4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R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G765">
        <v>0</v>
      </c>
      <c r="BI765">
        <v>0</v>
      </c>
      <c r="BK765">
        <v>0</v>
      </c>
      <c r="BL765">
        <v>0</v>
      </c>
      <c r="BM765">
        <v>0</v>
      </c>
      <c r="BN765">
        <v>0</v>
      </c>
      <c r="BO765">
        <v>344.70000000000005</v>
      </c>
      <c r="BP765">
        <v>625.70000000000005</v>
      </c>
      <c r="BQ765">
        <v>912.2</v>
      </c>
      <c r="BR765">
        <v>237.7</v>
      </c>
      <c r="BS765">
        <v>0</v>
      </c>
      <c r="BT765">
        <v>0</v>
      </c>
      <c r="BU765">
        <v>0</v>
      </c>
      <c r="BV765">
        <v>0</v>
      </c>
      <c r="BW765">
        <v>1647.4</v>
      </c>
      <c r="BY765">
        <v>453.1</v>
      </c>
      <c r="CA765">
        <v>285.39999999999998</v>
      </c>
      <c r="CB765">
        <v>280.8</v>
      </c>
      <c r="CC765">
        <v>127.7</v>
      </c>
      <c r="CD765">
        <v>0</v>
      </c>
      <c r="CE765">
        <v>0</v>
      </c>
      <c r="CF765">
        <v>0</v>
      </c>
      <c r="CG765">
        <v>0</v>
      </c>
      <c r="CI765">
        <v>0</v>
      </c>
      <c r="CJ765">
        <v>0</v>
      </c>
      <c r="CL765">
        <v>0</v>
      </c>
      <c r="CM765">
        <v>0</v>
      </c>
      <c r="CN765">
        <v>0</v>
      </c>
      <c r="CO765">
        <v>0</v>
      </c>
      <c r="CP765">
        <v>0</v>
      </c>
      <c r="CQ765">
        <v>621.70000000000005</v>
      </c>
      <c r="CR765">
        <v>481.70000000000005</v>
      </c>
      <c r="CS765">
        <v>0</v>
      </c>
      <c r="CT765">
        <v>524.6</v>
      </c>
      <c r="CU765">
        <v>514.1</v>
      </c>
      <c r="CV765">
        <v>175.2</v>
      </c>
      <c r="CW765">
        <v>0</v>
      </c>
      <c r="CX765">
        <v>65.099999999999994</v>
      </c>
      <c r="CY765">
        <v>199</v>
      </c>
      <c r="CZ765">
        <v>1907.9</v>
      </c>
      <c r="DA765">
        <v>0</v>
      </c>
      <c r="DB765">
        <v>0</v>
      </c>
      <c r="DC765">
        <v>0</v>
      </c>
      <c r="DD765">
        <v>0</v>
      </c>
      <c r="DE765">
        <v>0</v>
      </c>
      <c r="DF765">
        <v>0</v>
      </c>
      <c r="DG765">
        <v>0</v>
      </c>
      <c r="DH765">
        <v>0</v>
      </c>
      <c r="DI765">
        <v>0</v>
      </c>
      <c r="DJ765">
        <v>0</v>
      </c>
      <c r="DK765">
        <v>0</v>
      </c>
      <c r="DL765">
        <v>0</v>
      </c>
      <c r="DM765">
        <v>1065.4000000000001</v>
      </c>
      <c r="DN765">
        <v>599.70000000000005</v>
      </c>
      <c r="DO765">
        <v>319.7</v>
      </c>
      <c r="DP765">
        <v>1570.6999999999998</v>
      </c>
      <c r="DQ765">
        <v>1399.5</v>
      </c>
      <c r="DR765">
        <v>3581</v>
      </c>
      <c r="DU765">
        <v>1393.2</v>
      </c>
      <c r="DV765">
        <v>2862.6</v>
      </c>
      <c r="DY765">
        <v>2361</v>
      </c>
      <c r="EA765">
        <v>2409.6</v>
      </c>
      <c r="EC765">
        <v>1661.3999999999999</v>
      </c>
      <c r="EE765">
        <v>0</v>
      </c>
      <c r="EF765">
        <v>0</v>
      </c>
      <c r="EG765">
        <v>0</v>
      </c>
      <c r="EH765">
        <v>0</v>
      </c>
      <c r="EI765">
        <v>0</v>
      </c>
      <c r="EJ765">
        <v>0</v>
      </c>
      <c r="EK765">
        <v>0</v>
      </c>
      <c r="EL765">
        <v>0</v>
      </c>
      <c r="EM765">
        <v>0</v>
      </c>
      <c r="EN765">
        <v>0</v>
      </c>
      <c r="EO765">
        <v>0</v>
      </c>
      <c r="EP765">
        <v>944.5</v>
      </c>
      <c r="EQ765">
        <v>3459.7</v>
      </c>
      <c r="ER765">
        <v>1353.5</v>
      </c>
      <c r="ES765">
        <v>182.2</v>
      </c>
      <c r="ET765">
        <v>855.59999999999991</v>
      </c>
      <c r="EU765">
        <v>172.2</v>
      </c>
      <c r="EV765">
        <v>203.2</v>
      </c>
      <c r="EW765">
        <v>1173.0999999999999</v>
      </c>
      <c r="EX765">
        <v>1078.3</v>
      </c>
      <c r="EY765">
        <v>1194.4000000000001</v>
      </c>
      <c r="EZ765">
        <v>1207.0999999999999</v>
      </c>
      <c r="FA765">
        <v>0</v>
      </c>
      <c r="FB765">
        <v>0</v>
      </c>
      <c r="FC765">
        <v>0</v>
      </c>
      <c r="FD765">
        <v>0</v>
      </c>
      <c r="FE765">
        <v>0</v>
      </c>
      <c r="FF765">
        <v>0</v>
      </c>
      <c r="FG765">
        <v>0</v>
      </c>
      <c r="FH765">
        <v>0</v>
      </c>
      <c r="FI765">
        <v>0</v>
      </c>
      <c r="FJ765">
        <v>0</v>
      </c>
      <c r="FK765">
        <v>0</v>
      </c>
      <c r="FL765">
        <v>0</v>
      </c>
      <c r="FM765">
        <v>0</v>
      </c>
      <c r="FN765">
        <v>0</v>
      </c>
      <c r="FO765">
        <v>0</v>
      </c>
      <c r="FP765">
        <v>0</v>
      </c>
      <c r="FQ765">
        <v>0</v>
      </c>
      <c r="FR765">
        <v>0</v>
      </c>
      <c r="FS765">
        <v>0</v>
      </c>
      <c r="FT765">
        <v>0</v>
      </c>
      <c r="FU765">
        <v>0</v>
      </c>
      <c r="FV765">
        <v>0</v>
      </c>
      <c r="FW765">
        <v>0</v>
      </c>
      <c r="FX765">
        <v>0</v>
      </c>
      <c r="FY765">
        <v>0</v>
      </c>
      <c r="FZ765">
        <v>0</v>
      </c>
      <c r="GA765">
        <v>0</v>
      </c>
      <c r="GB765">
        <v>0</v>
      </c>
      <c r="GC765">
        <v>0</v>
      </c>
      <c r="GD765">
        <v>0</v>
      </c>
      <c r="GE765">
        <v>0</v>
      </c>
      <c r="GF765">
        <v>0</v>
      </c>
      <c r="GG765">
        <v>0</v>
      </c>
      <c r="GH765">
        <v>0</v>
      </c>
      <c r="GI765">
        <v>0</v>
      </c>
      <c r="GJ765">
        <v>0</v>
      </c>
      <c r="GK765">
        <v>0</v>
      </c>
      <c r="GL765">
        <v>0</v>
      </c>
      <c r="GO765">
        <v>0</v>
      </c>
      <c r="GP765">
        <v>0</v>
      </c>
      <c r="GQ765">
        <v>0</v>
      </c>
      <c r="GR765">
        <v>0</v>
      </c>
      <c r="GS765">
        <v>0</v>
      </c>
      <c r="GT765">
        <v>0</v>
      </c>
      <c r="GU765">
        <v>0</v>
      </c>
      <c r="GV765">
        <v>0</v>
      </c>
      <c r="GW765">
        <v>0</v>
      </c>
      <c r="GX765">
        <v>0</v>
      </c>
      <c r="GY765">
        <v>0</v>
      </c>
      <c r="GZ765">
        <v>0</v>
      </c>
      <c r="HA765">
        <v>0</v>
      </c>
      <c r="HB765">
        <v>0</v>
      </c>
      <c r="HC765">
        <v>0</v>
      </c>
      <c r="HD765">
        <v>0</v>
      </c>
      <c r="HE765">
        <v>0</v>
      </c>
      <c r="HF765">
        <v>0</v>
      </c>
      <c r="HG765">
        <v>0</v>
      </c>
      <c r="HH765">
        <v>0</v>
      </c>
      <c r="HI765">
        <v>0</v>
      </c>
      <c r="HJ765">
        <v>0</v>
      </c>
      <c r="HK765">
        <v>0</v>
      </c>
      <c r="HL765">
        <v>0</v>
      </c>
      <c r="HM765">
        <v>0</v>
      </c>
      <c r="HN765">
        <v>0</v>
      </c>
      <c r="HO765">
        <v>0</v>
      </c>
      <c r="HP765">
        <v>0</v>
      </c>
      <c r="HQ765">
        <v>0</v>
      </c>
      <c r="HR765">
        <v>0</v>
      </c>
      <c r="HS765">
        <v>0</v>
      </c>
      <c r="HT765">
        <v>0</v>
      </c>
      <c r="HU765">
        <v>0</v>
      </c>
      <c r="HV765">
        <v>0</v>
      </c>
      <c r="HW765">
        <v>404.70000000000005</v>
      </c>
      <c r="HX765">
        <v>342.3</v>
      </c>
      <c r="HZ765">
        <v>866.2</v>
      </c>
      <c r="IA765">
        <v>1142.8</v>
      </c>
      <c r="IB765">
        <v>1121.5</v>
      </c>
      <c r="IC765">
        <v>2403</v>
      </c>
      <c r="ID765">
        <v>2659.3</v>
      </c>
      <c r="IE765">
        <v>1923.4</v>
      </c>
      <c r="IF765">
        <v>1465.7</v>
      </c>
      <c r="IG765">
        <v>1608.3</v>
      </c>
      <c r="IH765">
        <v>0</v>
      </c>
      <c r="II765">
        <v>0</v>
      </c>
      <c r="IJ765">
        <v>0</v>
      </c>
      <c r="IK765">
        <v>0</v>
      </c>
      <c r="IL765">
        <v>0</v>
      </c>
      <c r="IM765">
        <v>0</v>
      </c>
      <c r="IN765">
        <v>0</v>
      </c>
      <c r="IO765">
        <v>0</v>
      </c>
      <c r="IP765">
        <v>75.099999999999994</v>
      </c>
    </row>
    <row r="766" spans="1:250" ht="18" thickBot="1">
      <c r="A766" s="183"/>
      <c r="B766" s="183"/>
      <c r="C766" s="230" t="s">
        <v>1186</v>
      </c>
      <c r="D766" s="397"/>
      <c r="E766" s="454">
        <v>0</v>
      </c>
      <c r="F766">
        <v>0</v>
      </c>
      <c r="G766" s="427">
        <v>0</v>
      </c>
      <c r="H766" s="155">
        <v>0</v>
      </c>
      <c r="I766">
        <v>0</v>
      </c>
      <c r="J766">
        <v>0</v>
      </c>
      <c r="K766">
        <v>0</v>
      </c>
      <c r="L766" s="4">
        <v>0</v>
      </c>
      <c r="M766" s="4">
        <v>0</v>
      </c>
      <c r="N766" s="4">
        <v>0</v>
      </c>
      <c r="O766" s="4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R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G766">
        <v>0</v>
      </c>
      <c r="BI766">
        <v>0</v>
      </c>
      <c r="BK766">
        <v>0</v>
      </c>
      <c r="BL766">
        <v>0</v>
      </c>
      <c r="BM766">
        <v>0</v>
      </c>
      <c r="BN766">
        <v>0</v>
      </c>
      <c r="BO766">
        <v>344.70000000000005</v>
      </c>
      <c r="BP766">
        <v>625.70000000000005</v>
      </c>
      <c r="BQ766">
        <v>912.2</v>
      </c>
      <c r="BR766">
        <v>237.7</v>
      </c>
      <c r="BS766">
        <v>0</v>
      </c>
      <c r="BT766">
        <v>0</v>
      </c>
      <c r="BU766">
        <v>0</v>
      </c>
      <c r="BV766">
        <v>0</v>
      </c>
      <c r="BW766">
        <v>1647.4</v>
      </c>
      <c r="BY766">
        <v>453.1</v>
      </c>
      <c r="CA766">
        <v>285.39999999999998</v>
      </c>
      <c r="CB766">
        <v>280.8</v>
      </c>
      <c r="CC766">
        <v>127.7</v>
      </c>
      <c r="CD766">
        <v>0</v>
      </c>
      <c r="CE766">
        <v>0</v>
      </c>
      <c r="CF766">
        <v>0</v>
      </c>
      <c r="CG766">
        <v>0</v>
      </c>
      <c r="CI766">
        <v>0</v>
      </c>
      <c r="CJ766">
        <v>0</v>
      </c>
      <c r="CL766">
        <v>0</v>
      </c>
      <c r="CM766">
        <v>0</v>
      </c>
      <c r="CN766">
        <v>0</v>
      </c>
      <c r="CO766">
        <v>0</v>
      </c>
      <c r="CP766">
        <v>0</v>
      </c>
      <c r="CQ766">
        <v>621.70000000000005</v>
      </c>
      <c r="CR766">
        <v>481.70000000000005</v>
      </c>
      <c r="CS766">
        <v>0</v>
      </c>
      <c r="CT766">
        <v>524.6</v>
      </c>
      <c r="CU766">
        <v>514.1</v>
      </c>
      <c r="CV766">
        <v>175.2</v>
      </c>
      <c r="CW766">
        <v>0</v>
      </c>
      <c r="CX766">
        <v>65.099999999999994</v>
      </c>
      <c r="CY766">
        <v>199</v>
      </c>
      <c r="CZ766">
        <v>1907.9</v>
      </c>
      <c r="DA766">
        <v>0</v>
      </c>
      <c r="DB766">
        <v>0</v>
      </c>
      <c r="DC766">
        <v>0</v>
      </c>
      <c r="DD766">
        <v>0</v>
      </c>
      <c r="DE766">
        <v>0</v>
      </c>
      <c r="DF766">
        <v>0</v>
      </c>
      <c r="DG766">
        <v>0</v>
      </c>
      <c r="DH766">
        <v>0</v>
      </c>
      <c r="DI766">
        <v>0</v>
      </c>
      <c r="DJ766">
        <v>0</v>
      </c>
      <c r="DK766">
        <v>0</v>
      </c>
      <c r="DL766">
        <v>0</v>
      </c>
      <c r="DM766">
        <v>1065.4000000000001</v>
      </c>
      <c r="DN766">
        <v>599.70000000000005</v>
      </c>
      <c r="DO766">
        <v>319.7</v>
      </c>
      <c r="DP766">
        <v>1570.6999999999998</v>
      </c>
      <c r="DQ766">
        <v>1399.5</v>
      </c>
      <c r="DR766">
        <v>3581</v>
      </c>
      <c r="DU766">
        <v>1393.2</v>
      </c>
      <c r="DV766">
        <v>2862.6</v>
      </c>
      <c r="DY766">
        <v>2361</v>
      </c>
      <c r="EA766">
        <v>2409.6</v>
      </c>
      <c r="EC766">
        <v>1661.3999999999999</v>
      </c>
      <c r="EE766">
        <v>0</v>
      </c>
      <c r="EF766">
        <v>0</v>
      </c>
      <c r="EG766">
        <v>0</v>
      </c>
      <c r="EH766">
        <v>0</v>
      </c>
      <c r="EI766">
        <v>0</v>
      </c>
      <c r="EJ766">
        <v>0</v>
      </c>
      <c r="EK766">
        <v>0</v>
      </c>
      <c r="EL766">
        <v>0</v>
      </c>
      <c r="EM766">
        <v>0</v>
      </c>
      <c r="EN766">
        <v>0</v>
      </c>
      <c r="EO766">
        <v>0</v>
      </c>
      <c r="EP766">
        <v>944.5</v>
      </c>
      <c r="EQ766">
        <v>3459.7</v>
      </c>
      <c r="ER766">
        <v>1353.5</v>
      </c>
      <c r="ES766">
        <v>182.2</v>
      </c>
      <c r="ET766">
        <v>855.59999999999991</v>
      </c>
      <c r="EU766">
        <v>172.2</v>
      </c>
      <c r="EV766">
        <v>203.2</v>
      </c>
      <c r="EW766">
        <v>1173.0999999999999</v>
      </c>
      <c r="EX766">
        <v>1078.3</v>
      </c>
      <c r="EY766">
        <v>1194.4000000000001</v>
      </c>
      <c r="EZ766">
        <v>1207.0999999999999</v>
      </c>
      <c r="FA766">
        <v>0</v>
      </c>
      <c r="FB766">
        <v>0</v>
      </c>
      <c r="FC766">
        <v>0</v>
      </c>
      <c r="FD766">
        <v>0</v>
      </c>
      <c r="FE766">
        <v>0</v>
      </c>
      <c r="FF766">
        <v>0</v>
      </c>
      <c r="FG766">
        <v>0</v>
      </c>
      <c r="FH766">
        <v>0</v>
      </c>
      <c r="FI766">
        <v>0</v>
      </c>
      <c r="FJ766">
        <v>0</v>
      </c>
      <c r="FK766">
        <v>0</v>
      </c>
      <c r="FL766">
        <v>0</v>
      </c>
      <c r="FM766">
        <v>0</v>
      </c>
      <c r="FN766">
        <v>0</v>
      </c>
      <c r="FO766">
        <v>0</v>
      </c>
      <c r="FP766">
        <v>0</v>
      </c>
      <c r="FQ766">
        <v>0</v>
      </c>
      <c r="FR766">
        <v>0</v>
      </c>
      <c r="FS766">
        <v>0</v>
      </c>
      <c r="FT766">
        <v>0</v>
      </c>
      <c r="FU766">
        <v>0</v>
      </c>
      <c r="FV766">
        <v>0</v>
      </c>
      <c r="FW766">
        <v>0</v>
      </c>
      <c r="FX766">
        <v>0</v>
      </c>
      <c r="FY766">
        <v>0</v>
      </c>
      <c r="FZ766">
        <v>0</v>
      </c>
      <c r="GA766">
        <v>0</v>
      </c>
      <c r="GB766">
        <v>0</v>
      </c>
      <c r="GC766">
        <v>0</v>
      </c>
      <c r="GD766">
        <v>0</v>
      </c>
      <c r="GE766">
        <v>0</v>
      </c>
      <c r="GF766">
        <v>0</v>
      </c>
      <c r="GG766">
        <v>0</v>
      </c>
      <c r="GH766">
        <v>0</v>
      </c>
      <c r="GI766">
        <v>0</v>
      </c>
      <c r="GJ766">
        <v>0</v>
      </c>
      <c r="GK766">
        <v>0</v>
      </c>
      <c r="GL766">
        <v>0</v>
      </c>
      <c r="GO766">
        <v>0</v>
      </c>
      <c r="GP766">
        <v>0</v>
      </c>
      <c r="GQ766">
        <v>0</v>
      </c>
      <c r="GR766">
        <v>0</v>
      </c>
      <c r="GS766">
        <v>0</v>
      </c>
      <c r="GT766">
        <v>0</v>
      </c>
      <c r="GU766">
        <v>0</v>
      </c>
      <c r="GV766">
        <v>0</v>
      </c>
      <c r="GW766">
        <v>0</v>
      </c>
      <c r="GX766">
        <v>0</v>
      </c>
      <c r="GY766">
        <v>0</v>
      </c>
      <c r="GZ766">
        <v>0</v>
      </c>
      <c r="HA766">
        <v>0</v>
      </c>
      <c r="HB766">
        <v>0</v>
      </c>
      <c r="HC766">
        <v>0</v>
      </c>
      <c r="HD766">
        <v>0</v>
      </c>
      <c r="HE766">
        <v>0</v>
      </c>
      <c r="HF766">
        <v>0</v>
      </c>
      <c r="HG766">
        <v>0</v>
      </c>
      <c r="HH766">
        <v>0</v>
      </c>
      <c r="HI766">
        <v>0</v>
      </c>
      <c r="HJ766">
        <v>0</v>
      </c>
      <c r="HK766">
        <v>0</v>
      </c>
      <c r="HL766">
        <v>0</v>
      </c>
      <c r="HM766">
        <v>0</v>
      </c>
      <c r="HN766">
        <v>0</v>
      </c>
      <c r="HO766">
        <v>0</v>
      </c>
      <c r="HP766">
        <v>0</v>
      </c>
      <c r="HQ766">
        <v>0</v>
      </c>
      <c r="HR766">
        <v>0</v>
      </c>
      <c r="HS766">
        <v>0</v>
      </c>
      <c r="HT766">
        <v>0</v>
      </c>
      <c r="HU766">
        <v>0</v>
      </c>
      <c r="HV766">
        <v>0</v>
      </c>
      <c r="HW766">
        <v>404.70000000000005</v>
      </c>
      <c r="HX766">
        <v>342.3</v>
      </c>
      <c r="HZ766">
        <v>866.2</v>
      </c>
      <c r="IA766">
        <v>1142.8</v>
      </c>
      <c r="IB766">
        <v>1121.5</v>
      </c>
      <c r="IC766">
        <v>2403</v>
      </c>
      <c r="ID766">
        <v>2659.3</v>
      </c>
      <c r="IE766">
        <v>1923.4</v>
      </c>
      <c r="IF766">
        <v>1465.7</v>
      </c>
      <c r="IG766">
        <v>1608.3</v>
      </c>
      <c r="IH766">
        <v>0</v>
      </c>
      <c r="II766">
        <v>0</v>
      </c>
      <c r="IJ766">
        <v>0</v>
      </c>
      <c r="IK766">
        <v>0</v>
      </c>
      <c r="IL766">
        <v>0</v>
      </c>
      <c r="IM766">
        <v>0</v>
      </c>
      <c r="IN766">
        <v>0</v>
      </c>
      <c r="IO766">
        <v>0</v>
      </c>
      <c r="IP766">
        <v>75.099999999999994</v>
      </c>
    </row>
    <row r="767" spans="1:250" ht="18" thickBot="1">
      <c r="A767" s="183"/>
      <c r="B767" s="183"/>
      <c r="C767" s="230" t="s">
        <v>1187</v>
      </c>
      <c r="D767" s="397"/>
      <c r="E767" s="454">
        <v>0</v>
      </c>
      <c r="F767">
        <v>0</v>
      </c>
      <c r="G767" s="427">
        <v>0</v>
      </c>
      <c r="H767" s="155">
        <v>0</v>
      </c>
      <c r="I767">
        <v>0</v>
      </c>
      <c r="J767">
        <v>0</v>
      </c>
      <c r="K767">
        <v>0</v>
      </c>
      <c r="L767" s="4">
        <v>0</v>
      </c>
      <c r="M767" s="4">
        <v>0</v>
      </c>
      <c r="N767" s="4">
        <v>0</v>
      </c>
      <c r="O767" s="4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R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G767">
        <v>0</v>
      </c>
      <c r="BI767">
        <v>0</v>
      </c>
      <c r="BK767">
        <v>0</v>
      </c>
      <c r="BL767">
        <v>0</v>
      </c>
      <c r="BM767">
        <v>0</v>
      </c>
      <c r="BN767">
        <v>0</v>
      </c>
      <c r="BO767">
        <v>344.70000000000005</v>
      </c>
      <c r="BP767">
        <v>625.70000000000005</v>
      </c>
      <c r="BQ767">
        <v>912.2</v>
      </c>
      <c r="BR767">
        <v>237.7</v>
      </c>
      <c r="BS767">
        <v>0</v>
      </c>
      <c r="BT767">
        <v>0</v>
      </c>
      <c r="BU767">
        <v>0</v>
      </c>
      <c r="BV767">
        <v>0</v>
      </c>
      <c r="BW767">
        <v>1647.4</v>
      </c>
      <c r="BY767">
        <v>453.1</v>
      </c>
      <c r="CA767">
        <v>285.39999999999998</v>
      </c>
      <c r="CB767">
        <v>280.8</v>
      </c>
      <c r="CC767">
        <v>127.7</v>
      </c>
      <c r="CD767">
        <v>0</v>
      </c>
      <c r="CE767">
        <v>0</v>
      </c>
      <c r="CF767">
        <v>0</v>
      </c>
      <c r="CG767">
        <v>0</v>
      </c>
      <c r="CI767">
        <v>0</v>
      </c>
      <c r="CJ767">
        <v>0</v>
      </c>
      <c r="CL767">
        <v>0</v>
      </c>
      <c r="CM767">
        <v>0</v>
      </c>
      <c r="CN767">
        <v>0</v>
      </c>
      <c r="CO767">
        <v>0</v>
      </c>
      <c r="CP767">
        <v>0</v>
      </c>
      <c r="CQ767">
        <v>621.70000000000005</v>
      </c>
      <c r="CR767">
        <v>481.70000000000005</v>
      </c>
      <c r="CS767">
        <v>0</v>
      </c>
      <c r="CT767">
        <v>524.6</v>
      </c>
      <c r="CU767">
        <v>514.1</v>
      </c>
      <c r="CV767">
        <v>175.2</v>
      </c>
      <c r="CW767">
        <v>0</v>
      </c>
      <c r="CX767">
        <v>65.099999999999994</v>
      </c>
      <c r="CY767">
        <v>199</v>
      </c>
      <c r="CZ767">
        <v>1907.9</v>
      </c>
      <c r="DA767">
        <v>0</v>
      </c>
      <c r="DB767">
        <v>0</v>
      </c>
      <c r="DC767">
        <v>0</v>
      </c>
      <c r="DD767">
        <v>0</v>
      </c>
      <c r="DE767">
        <v>0</v>
      </c>
      <c r="DF767">
        <v>0</v>
      </c>
      <c r="DG767">
        <v>0</v>
      </c>
      <c r="DH767">
        <v>0</v>
      </c>
      <c r="DI767">
        <v>0</v>
      </c>
      <c r="DJ767">
        <v>0</v>
      </c>
      <c r="DK767">
        <v>0</v>
      </c>
      <c r="DL767">
        <v>0</v>
      </c>
      <c r="DM767">
        <v>1065.4000000000001</v>
      </c>
      <c r="DN767">
        <v>599.70000000000005</v>
      </c>
      <c r="DO767">
        <v>319.7</v>
      </c>
      <c r="DP767">
        <v>1570.6999999999998</v>
      </c>
      <c r="DQ767">
        <v>1399.5</v>
      </c>
      <c r="DR767">
        <v>3581</v>
      </c>
      <c r="DU767">
        <v>1393.2</v>
      </c>
      <c r="DV767">
        <v>2862.6</v>
      </c>
      <c r="DY767">
        <v>2361</v>
      </c>
      <c r="EA767">
        <v>2409.6</v>
      </c>
      <c r="EC767">
        <v>1661.3999999999999</v>
      </c>
      <c r="EE767">
        <v>0</v>
      </c>
      <c r="EF767">
        <v>0</v>
      </c>
      <c r="EG767">
        <v>0</v>
      </c>
      <c r="EH767">
        <v>0</v>
      </c>
      <c r="EI767">
        <v>0</v>
      </c>
      <c r="EJ767">
        <v>0</v>
      </c>
      <c r="EK767">
        <v>0</v>
      </c>
      <c r="EL767">
        <v>0</v>
      </c>
      <c r="EM767">
        <v>0</v>
      </c>
      <c r="EN767">
        <v>0</v>
      </c>
      <c r="EO767">
        <v>0</v>
      </c>
      <c r="EP767">
        <v>944.5</v>
      </c>
      <c r="EQ767">
        <v>3459.7</v>
      </c>
      <c r="ER767">
        <v>1353.5</v>
      </c>
      <c r="ES767">
        <v>182.2</v>
      </c>
      <c r="ET767">
        <v>855.59999999999991</v>
      </c>
      <c r="EU767">
        <v>172.2</v>
      </c>
      <c r="EV767">
        <v>203.2</v>
      </c>
      <c r="EW767">
        <v>1173.0999999999999</v>
      </c>
      <c r="EX767">
        <v>1078.3</v>
      </c>
      <c r="EY767">
        <v>1194.4000000000001</v>
      </c>
      <c r="EZ767">
        <v>1207.0999999999999</v>
      </c>
      <c r="FA767">
        <v>0</v>
      </c>
      <c r="FB767">
        <v>0</v>
      </c>
      <c r="FC767">
        <v>0</v>
      </c>
      <c r="FD767">
        <v>0</v>
      </c>
      <c r="FE767">
        <v>0</v>
      </c>
      <c r="FF767">
        <v>0</v>
      </c>
      <c r="FG767">
        <v>0</v>
      </c>
      <c r="FH767">
        <v>0</v>
      </c>
      <c r="FI767">
        <v>0</v>
      </c>
      <c r="FJ767">
        <v>0</v>
      </c>
      <c r="FK767">
        <v>0</v>
      </c>
      <c r="FL767">
        <v>0</v>
      </c>
      <c r="FM767">
        <v>0</v>
      </c>
      <c r="FN767">
        <v>0</v>
      </c>
      <c r="FO767">
        <v>0</v>
      </c>
      <c r="FP767">
        <v>0</v>
      </c>
      <c r="FQ767">
        <v>0</v>
      </c>
      <c r="FR767">
        <v>0</v>
      </c>
      <c r="FS767">
        <v>0</v>
      </c>
      <c r="FT767">
        <v>0</v>
      </c>
      <c r="FU767">
        <v>0</v>
      </c>
      <c r="FV767">
        <v>0</v>
      </c>
      <c r="FW767">
        <v>0</v>
      </c>
      <c r="FX767">
        <v>0</v>
      </c>
      <c r="FY767">
        <v>0</v>
      </c>
      <c r="FZ767">
        <v>0</v>
      </c>
      <c r="GA767">
        <v>0</v>
      </c>
      <c r="GB767">
        <v>0</v>
      </c>
      <c r="GC767">
        <v>0</v>
      </c>
      <c r="GD767">
        <v>0</v>
      </c>
      <c r="GE767">
        <v>0</v>
      </c>
      <c r="GF767">
        <v>0</v>
      </c>
      <c r="GG767">
        <v>0</v>
      </c>
      <c r="GH767">
        <v>0</v>
      </c>
      <c r="GI767">
        <v>0</v>
      </c>
      <c r="GJ767">
        <v>0</v>
      </c>
      <c r="GK767">
        <v>0</v>
      </c>
      <c r="GL767">
        <v>0</v>
      </c>
      <c r="GO767">
        <v>0</v>
      </c>
      <c r="GP767">
        <v>0</v>
      </c>
      <c r="GQ767">
        <v>0</v>
      </c>
      <c r="GR767">
        <v>0</v>
      </c>
      <c r="GS767">
        <v>0</v>
      </c>
      <c r="GT767">
        <v>0</v>
      </c>
      <c r="GU767">
        <v>0</v>
      </c>
      <c r="GV767">
        <v>0</v>
      </c>
      <c r="GW767">
        <v>0</v>
      </c>
      <c r="GX767">
        <v>0</v>
      </c>
      <c r="GY767">
        <v>0</v>
      </c>
      <c r="GZ767">
        <v>0</v>
      </c>
      <c r="HA767">
        <v>0</v>
      </c>
      <c r="HB767">
        <v>0</v>
      </c>
      <c r="HC767">
        <v>0</v>
      </c>
      <c r="HD767">
        <v>0</v>
      </c>
      <c r="HE767">
        <v>0</v>
      </c>
      <c r="HF767">
        <v>0</v>
      </c>
      <c r="HG767">
        <v>0</v>
      </c>
      <c r="HH767">
        <v>0</v>
      </c>
      <c r="HI767">
        <v>0</v>
      </c>
      <c r="HJ767">
        <v>0</v>
      </c>
      <c r="HK767">
        <v>0</v>
      </c>
      <c r="HL767">
        <v>0</v>
      </c>
      <c r="HM767">
        <v>0</v>
      </c>
      <c r="HN767">
        <v>0</v>
      </c>
      <c r="HO767">
        <v>0</v>
      </c>
      <c r="HP767">
        <v>0</v>
      </c>
      <c r="HQ767">
        <v>0</v>
      </c>
      <c r="HR767">
        <v>0</v>
      </c>
      <c r="HS767">
        <v>0</v>
      </c>
      <c r="HT767">
        <v>0</v>
      </c>
      <c r="HU767">
        <v>0</v>
      </c>
      <c r="HV767">
        <v>0</v>
      </c>
      <c r="HW767">
        <v>404.70000000000005</v>
      </c>
      <c r="HX767">
        <v>342.3</v>
      </c>
      <c r="HZ767">
        <v>866.2</v>
      </c>
      <c r="IA767">
        <v>1142.8</v>
      </c>
      <c r="IB767">
        <v>1121.5</v>
      </c>
      <c r="IC767">
        <v>2403</v>
      </c>
      <c r="ID767">
        <v>2659.3</v>
      </c>
      <c r="IE767">
        <v>1923.4</v>
      </c>
      <c r="IF767">
        <v>1465.7</v>
      </c>
      <c r="IG767">
        <v>1608.3</v>
      </c>
      <c r="IH767">
        <v>0</v>
      </c>
      <c r="II767">
        <v>0</v>
      </c>
      <c r="IJ767">
        <v>0</v>
      </c>
      <c r="IK767">
        <v>0</v>
      </c>
      <c r="IL767">
        <v>0</v>
      </c>
      <c r="IM767">
        <v>0</v>
      </c>
      <c r="IN767">
        <v>0</v>
      </c>
      <c r="IO767">
        <v>0</v>
      </c>
      <c r="IP767">
        <v>75.099999999999994</v>
      </c>
    </row>
    <row r="768" spans="1:250" ht="18" thickBot="1">
      <c r="A768" s="183"/>
      <c r="B768" s="183"/>
      <c r="C768" s="332" t="s">
        <v>1188</v>
      </c>
      <c r="D768" s="396"/>
      <c r="E768" s="454">
        <v>0</v>
      </c>
      <c r="F768">
        <v>0</v>
      </c>
      <c r="G768" s="427">
        <v>0</v>
      </c>
      <c r="H768" s="155">
        <v>0</v>
      </c>
      <c r="I768">
        <v>0</v>
      </c>
      <c r="J768">
        <v>0</v>
      </c>
      <c r="K768">
        <v>0</v>
      </c>
      <c r="L768" s="4">
        <v>0</v>
      </c>
      <c r="M768" s="4">
        <v>0</v>
      </c>
      <c r="N768" s="4">
        <v>0</v>
      </c>
      <c r="O768" s="4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R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G768">
        <v>0</v>
      </c>
      <c r="BI768">
        <v>0</v>
      </c>
      <c r="BK768">
        <v>0</v>
      </c>
      <c r="BL768">
        <v>0</v>
      </c>
      <c r="BM768">
        <v>0</v>
      </c>
      <c r="BN768">
        <v>0</v>
      </c>
      <c r="BO768">
        <v>344.70000000000005</v>
      </c>
      <c r="BP768">
        <v>625.70000000000005</v>
      </c>
      <c r="BQ768">
        <v>912.2</v>
      </c>
      <c r="BR768">
        <v>237.7</v>
      </c>
      <c r="BS768">
        <v>0</v>
      </c>
      <c r="BT768">
        <v>0</v>
      </c>
      <c r="BU768">
        <v>0</v>
      </c>
      <c r="BV768">
        <v>0</v>
      </c>
      <c r="BW768">
        <v>1647.4</v>
      </c>
      <c r="BY768">
        <v>453.1</v>
      </c>
      <c r="CA768">
        <v>285.39999999999998</v>
      </c>
      <c r="CB768">
        <v>280.8</v>
      </c>
      <c r="CC768">
        <v>127.7</v>
      </c>
      <c r="CD768">
        <v>0</v>
      </c>
      <c r="CE768">
        <v>0</v>
      </c>
      <c r="CF768">
        <v>0</v>
      </c>
      <c r="CG768">
        <v>0</v>
      </c>
      <c r="CI768">
        <v>0</v>
      </c>
      <c r="CJ768">
        <v>0</v>
      </c>
      <c r="CL768">
        <v>0</v>
      </c>
      <c r="CM768">
        <v>0</v>
      </c>
      <c r="CN768">
        <v>0</v>
      </c>
      <c r="CO768">
        <v>0</v>
      </c>
      <c r="CP768">
        <v>0</v>
      </c>
      <c r="CQ768">
        <v>621.70000000000005</v>
      </c>
      <c r="CR768">
        <v>481.70000000000005</v>
      </c>
      <c r="CS768">
        <v>0</v>
      </c>
      <c r="CT768">
        <v>524.6</v>
      </c>
      <c r="CU768">
        <v>514.1</v>
      </c>
      <c r="CV768">
        <v>175.2</v>
      </c>
      <c r="CW768">
        <v>0</v>
      </c>
      <c r="CX768">
        <v>65.099999999999994</v>
      </c>
      <c r="CY768">
        <v>199</v>
      </c>
      <c r="CZ768">
        <v>1907.9</v>
      </c>
      <c r="DA768">
        <v>0</v>
      </c>
      <c r="DB768">
        <v>0</v>
      </c>
      <c r="DC768">
        <v>0</v>
      </c>
      <c r="DD768">
        <v>0</v>
      </c>
      <c r="DE768">
        <v>0</v>
      </c>
      <c r="DF768">
        <v>0</v>
      </c>
      <c r="DG768">
        <v>0</v>
      </c>
      <c r="DH768">
        <v>0</v>
      </c>
      <c r="DI768">
        <v>0</v>
      </c>
      <c r="DJ768">
        <v>0</v>
      </c>
      <c r="DK768">
        <v>0</v>
      </c>
      <c r="DL768">
        <v>0</v>
      </c>
      <c r="DM768">
        <v>1065.4000000000001</v>
      </c>
      <c r="DN768">
        <v>599.70000000000005</v>
      </c>
      <c r="DO768">
        <v>319.7</v>
      </c>
      <c r="DP768">
        <v>1570.6999999999998</v>
      </c>
      <c r="DQ768">
        <v>1399.5</v>
      </c>
      <c r="DR768">
        <v>3581</v>
      </c>
      <c r="DU768">
        <v>1393.2</v>
      </c>
      <c r="DV768">
        <v>2862.6</v>
      </c>
      <c r="DY768">
        <v>2361</v>
      </c>
      <c r="EA768">
        <v>2409.6</v>
      </c>
      <c r="EC768">
        <v>1661.3999999999999</v>
      </c>
      <c r="EE768">
        <v>0</v>
      </c>
      <c r="EF768">
        <v>0</v>
      </c>
      <c r="EG768">
        <v>0</v>
      </c>
      <c r="EH768">
        <v>0</v>
      </c>
      <c r="EI768">
        <v>0</v>
      </c>
      <c r="EJ768">
        <v>0</v>
      </c>
      <c r="EK768">
        <v>0</v>
      </c>
      <c r="EL768">
        <v>0</v>
      </c>
      <c r="EM768">
        <v>0</v>
      </c>
      <c r="EN768">
        <v>0</v>
      </c>
      <c r="EO768">
        <v>0</v>
      </c>
      <c r="EP768">
        <v>944.5</v>
      </c>
      <c r="EQ768">
        <v>3459.7</v>
      </c>
      <c r="ER768">
        <v>1353.5</v>
      </c>
      <c r="ES768">
        <v>182.2</v>
      </c>
      <c r="ET768">
        <v>855.59999999999991</v>
      </c>
      <c r="EU768">
        <v>172.2</v>
      </c>
      <c r="EV768">
        <v>203.2</v>
      </c>
      <c r="EW768">
        <v>1173.0999999999999</v>
      </c>
      <c r="EX768">
        <v>1078.3</v>
      </c>
      <c r="EY768">
        <v>1194.4000000000001</v>
      </c>
      <c r="EZ768">
        <v>1207.0999999999999</v>
      </c>
      <c r="FA768">
        <v>0</v>
      </c>
      <c r="FB768">
        <v>0</v>
      </c>
      <c r="FC768">
        <v>0</v>
      </c>
      <c r="FD768">
        <v>0</v>
      </c>
      <c r="FE768">
        <v>0</v>
      </c>
      <c r="FF768">
        <v>0</v>
      </c>
      <c r="FG768">
        <v>0</v>
      </c>
      <c r="FH768">
        <v>0</v>
      </c>
      <c r="FI768">
        <v>0</v>
      </c>
      <c r="FJ768">
        <v>0</v>
      </c>
      <c r="FK768">
        <v>0</v>
      </c>
      <c r="FL768">
        <v>0</v>
      </c>
      <c r="FM768">
        <v>0</v>
      </c>
      <c r="FN768">
        <v>0</v>
      </c>
      <c r="FO768">
        <v>0</v>
      </c>
      <c r="FP768">
        <v>0</v>
      </c>
      <c r="FQ768">
        <v>0</v>
      </c>
      <c r="FR768">
        <v>0</v>
      </c>
      <c r="FS768">
        <v>0</v>
      </c>
      <c r="FT768">
        <v>0</v>
      </c>
      <c r="FU768">
        <v>0</v>
      </c>
      <c r="FV768">
        <v>0</v>
      </c>
      <c r="FW768">
        <v>0</v>
      </c>
      <c r="FX768">
        <v>0</v>
      </c>
      <c r="FY768">
        <v>0</v>
      </c>
      <c r="FZ768">
        <v>0</v>
      </c>
      <c r="GA768">
        <v>0</v>
      </c>
      <c r="GB768">
        <v>0</v>
      </c>
      <c r="GC768">
        <v>0</v>
      </c>
      <c r="GD768">
        <v>0</v>
      </c>
      <c r="GE768">
        <v>0</v>
      </c>
      <c r="GF768">
        <v>0</v>
      </c>
      <c r="GG768">
        <v>0</v>
      </c>
      <c r="GH768">
        <v>0</v>
      </c>
      <c r="GI768">
        <v>0</v>
      </c>
      <c r="GJ768">
        <v>0</v>
      </c>
      <c r="GK768">
        <v>0</v>
      </c>
      <c r="GL768">
        <v>0</v>
      </c>
      <c r="GO768">
        <v>0</v>
      </c>
      <c r="GP768">
        <v>0</v>
      </c>
      <c r="GQ768">
        <v>0</v>
      </c>
      <c r="GR768">
        <v>0</v>
      </c>
      <c r="GS768">
        <v>0</v>
      </c>
      <c r="GT768">
        <v>0</v>
      </c>
      <c r="GU768">
        <v>0</v>
      </c>
      <c r="GV768">
        <v>0</v>
      </c>
      <c r="GW768">
        <v>0</v>
      </c>
      <c r="GX768">
        <v>0</v>
      </c>
      <c r="GY768">
        <v>0</v>
      </c>
      <c r="GZ768">
        <v>0</v>
      </c>
      <c r="HA768">
        <v>0</v>
      </c>
      <c r="HB768">
        <v>0</v>
      </c>
      <c r="HC768">
        <v>0</v>
      </c>
      <c r="HD768">
        <v>0</v>
      </c>
      <c r="HE768">
        <v>0</v>
      </c>
      <c r="HF768">
        <v>0</v>
      </c>
      <c r="HG768">
        <v>0</v>
      </c>
      <c r="HH768">
        <v>0</v>
      </c>
      <c r="HI768">
        <v>0</v>
      </c>
      <c r="HJ768">
        <v>0</v>
      </c>
      <c r="HK768">
        <v>0</v>
      </c>
      <c r="HL768">
        <v>0</v>
      </c>
      <c r="HM768">
        <v>0</v>
      </c>
      <c r="HN768">
        <v>0</v>
      </c>
      <c r="HO768">
        <v>0</v>
      </c>
      <c r="HP768">
        <v>0</v>
      </c>
      <c r="HQ768">
        <v>0</v>
      </c>
      <c r="HR768">
        <v>0</v>
      </c>
      <c r="HS768">
        <v>0</v>
      </c>
      <c r="HT768">
        <v>0</v>
      </c>
      <c r="HU768">
        <v>0</v>
      </c>
      <c r="HV768">
        <v>0</v>
      </c>
      <c r="HW768">
        <v>404.70000000000005</v>
      </c>
      <c r="HX768">
        <v>342.3</v>
      </c>
      <c r="HZ768">
        <v>866.2</v>
      </c>
      <c r="IA768">
        <v>1142.8</v>
      </c>
      <c r="IB768">
        <v>1121.5</v>
      </c>
      <c r="IC768">
        <v>2403</v>
      </c>
      <c r="ID768">
        <v>2659.3</v>
      </c>
      <c r="IE768">
        <v>1923.4</v>
      </c>
      <c r="IF768">
        <v>1465.7</v>
      </c>
      <c r="IG768">
        <v>1608.3</v>
      </c>
      <c r="IH768">
        <v>0</v>
      </c>
      <c r="II768">
        <v>0</v>
      </c>
      <c r="IJ768">
        <v>0</v>
      </c>
      <c r="IK768">
        <v>0</v>
      </c>
      <c r="IL768">
        <v>0</v>
      </c>
      <c r="IM768">
        <v>0</v>
      </c>
      <c r="IN768">
        <v>0</v>
      </c>
      <c r="IO768">
        <v>0</v>
      </c>
      <c r="IP768">
        <v>75.099999999999994</v>
      </c>
    </row>
    <row r="769" spans="1:250" ht="18" thickBot="1">
      <c r="A769" s="183"/>
      <c r="B769" s="183"/>
      <c r="C769" s="332" t="s">
        <v>1189</v>
      </c>
      <c r="D769" s="396"/>
      <c r="E769" s="454">
        <v>0</v>
      </c>
      <c r="F769">
        <v>0</v>
      </c>
      <c r="G769" s="427">
        <v>0</v>
      </c>
      <c r="H769" s="155">
        <v>0</v>
      </c>
      <c r="I769">
        <v>0</v>
      </c>
      <c r="J769">
        <v>0</v>
      </c>
      <c r="K769">
        <v>0</v>
      </c>
      <c r="L769" s="4">
        <v>0</v>
      </c>
      <c r="M769" s="4">
        <v>0</v>
      </c>
      <c r="N769" s="4">
        <v>0</v>
      </c>
      <c r="O769" s="4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R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G769">
        <v>0</v>
      </c>
      <c r="BI769">
        <v>0</v>
      </c>
      <c r="BK769">
        <v>0</v>
      </c>
      <c r="BL769">
        <v>0</v>
      </c>
      <c r="BM769">
        <v>0</v>
      </c>
      <c r="BN769">
        <v>0</v>
      </c>
      <c r="BO769">
        <v>344.70000000000005</v>
      </c>
      <c r="BP769">
        <v>625.70000000000005</v>
      </c>
      <c r="BQ769">
        <v>912.2</v>
      </c>
      <c r="BR769">
        <v>237.7</v>
      </c>
      <c r="BS769">
        <v>0</v>
      </c>
      <c r="BT769">
        <v>0</v>
      </c>
      <c r="BU769">
        <v>0</v>
      </c>
      <c r="BV769">
        <v>0</v>
      </c>
      <c r="BW769">
        <v>1647.4</v>
      </c>
      <c r="BY769">
        <v>453.1</v>
      </c>
      <c r="CA769">
        <v>285.39999999999998</v>
      </c>
      <c r="CB769">
        <v>280.8</v>
      </c>
      <c r="CC769">
        <v>127.7</v>
      </c>
      <c r="CD769">
        <v>0</v>
      </c>
      <c r="CE769">
        <v>0</v>
      </c>
      <c r="CF769">
        <v>0</v>
      </c>
      <c r="CG769">
        <v>0</v>
      </c>
      <c r="CI769">
        <v>0</v>
      </c>
      <c r="CJ769">
        <v>0</v>
      </c>
      <c r="CL769">
        <v>0</v>
      </c>
      <c r="CM769">
        <v>0</v>
      </c>
      <c r="CN769">
        <v>0</v>
      </c>
      <c r="CO769">
        <v>0</v>
      </c>
      <c r="CP769">
        <v>0</v>
      </c>
      <c r="CQ769">
        <v>621.70000000000005</v>
      </c>
      <c r="CR769">
        <v>481.70000000000005</v>
      </c>
      <c r="CS769">
        <v>0</v>
      </c>
      <c r="CT769">
        <v>524.6</v>
      </c>
      <c r="CU769">
        <v>514.1</v>
      </c>
      <c r="CV769">
        <v>175.2</v>
      </c>
      <c r="CW769">
        <v>0</v>
      </c>
      <c r="CX769">
        <v>65.099999999999994</v>
      </c>
      <c r="CY769">
        <v>199</v>
      </c>
      <c r="CZ769">
        <v>1907.9</v>
      </c>
      <c r="DA769">
        <v>0</v>
      </c>
      <c r="DB769">
        <v>0</v>
      </c>
      <c r="DC769">
        <v>0</v>
      </c>
      <c r="DD769">
        <v>0</v>
      </c>
      <c r="DE769">
        <v>0</v>
      </c>
      <c r="DF769">
        <v>0</v>
      </c>
      <c r="DG769">
        <v>0</v>
      </c>
      <c r="DH769">
        <v>0</v>
      </c>
      <c r="DI769">
        <v>0</v>
      </c>
      <c r="DJ769">
        <v>0</v>
      </c>
      <c r="DK769">
        <v>0</v>
      </c>
      <c r="DL769">
        <v>0</v>
      </c>
      <c r="DM769">
        <v>1065.4000000000001</v>
      </c>
      <c r="DN769">
        <v>599.70000000000005</v>
      </c>
      <c r="DO769">
        <v>319.7</v>
      </c>
      <c r="DP769">
        <v>1570.6999999999998</v>
      </c>
      <c r="DQ769">
        <v>1399.5</v>
      </c>
      <c r="DR769">
        <v>3581</v>
      </c>
      <c r="DU769">
        <v>1393.2</v>
      </c>
      <c r="DV769">
        <v>2862.6</v>
      </c>
      <c r="DY769">
        <v>2361</v>
      </c>
      <c r="EA769">
        <v>2409.6</v>
      </c>
      <c r="EC769">
        <v>1661.3999999999999</v>
      </c>
      <c r="EE769">
        <v>0</v>
      </c>
      <c r="EF769">
        <v>0</v>
      </c>
      <c r="EG769">
        <v>0</v>
      </c>
      <c r="EH769">
        <v>0</v>
      </c>
      <c r="EI769">
        <v>0</v>
      </c>
      <c r="EJ769">
        <v>0</v>
      </c>
      <c r="EK769">
        <v>0</v>
      </c>
      <c r="EL769">
        <v>0</v>
      </c>
      <c r="EM769">
        <v>0</v>
      </c>
      <c r="EN769">
        <v>0</v>
      </c>
      <c r="EO769">
        <v>0</v>
      </c>
      <c r="EP769">
        <v>944.5</v>
      </c>
      <c r="EQ769">
        <v>3459.7</v>
      </c>
      <c r="ER769">
        <v>1353.5</v>
      </c>
      <c r="ES769">
        <v>182.2</v>
      </c>
      <c r="ET769">
        <v>855.59999999999991</v>
      </c>
      <c r="EU769">
        <v>172.2</v>
      </c>
      <c r="EV769">
        <v>203.2</v>
      </c>
      <c r="EW769">
        <v>1173.0999999999999</v>
      </c>
      <c r="EX769">
        <v>1078.3</v>
      </c>
      <c r="EY769">
        <v>1194.4000000000001</v>
      </c>
      <c r="EZ769">
        <v>1207.0999999999999</v>
      </c>
      <c r="FA769">
        <v>0</v>
      </c>
      <c r="FB769">
        <v>0</v>
      </c>
      <c r="FC769">
        <v>0</v>
      </c>
      <c r="FD769">
        <v>0</v>
      </c>
      <c r="FE769">
        <v>0</v>
      </c>
      <c r="FF769">
        <v>0</v>
      </c>
      <c r="FG769">
        <v>0</v>
      </c>
      <c r="FH769">
        <v>0</v>
      </c>
      <c r="FI769">
        <v>0</v>
      </c>
      <c r="FJ769">
        <v>0</v>
      </c>
      <c r="FK769">
        <v>0</v>
      </c>
      <c r="FL769">
        <v>0</v>
      </c>
      <c r="FM769">
        <v>0</v>
      </c>
      <c r="FN769">
        <v>0</v>
      </c>
      <c r="FO769">
        <v>0</v>
      </c>
      <c r="FP769">
        <v>0</v>
      </c>
      <c r="FQ769">
        <v>0</v>
      </c>
      <c r="FR769">
        <v>0</v>
      </c>
      <c r="FS769">
        <v>0</v>
      </c>
      <c r="FT769">
        <v>0</v>
      </c>
      <c r="FU769">
        <v>0</v>
      </c>
      <c r="FV769">
        <v>0</v>
      </c>
      <c r="FW769">
        <v>0</v>
      </c>
      <c r="FX769">
        <v>0</v>
      </c>
      <c r="FY769">
        <v>0</v>
      </c>
      <c r="FZ769">
        <v>0</v>
      </c>
      <c r="GA769">
        <v>0</v>
      </c>
      <c r="GB769">
        <v>0</v>
      </c>
      <c r="GC769">
        <v>0</v>
      </c>
      <c r="GD769">
        <v>0</v>
      </c>
      <c r="GE769">
        <v>0</v>
      </c>
      <c r="GF769">
        <v>0</v>
      </c>
      <c r="GG769">
        <v>0</v>
      </c>
      <c r="GH769">
        <v>0</v>
      </c>
      <c r="GI769">
        <v>0</v>
      </c>
      <c r="GJ769">
        <v>0</v>
      </c>
      <c r="GK769">
        <v>0</v>
      </c>
      <c r="GL769">
        <v>0</v>
      </c>
      <c r="GO769">
        <v>0</v>
      </c>
      <c r="GP769">
        <v>0</v>
      </c>
      <c r="GQ769">
        <v>0</v>
      </c>
      <c r="GR769">
        <v>0</v>
      </c>
      <c r="GS769">
        <v>0</v>
      </c>
      <c r="GT769">
        <v>0</v>
      </c>
      <c r="GU769">
        <v>0</v>
      </c>
      <c r="GV769">
        <v>0</v>
      </c>
      <c r="GW769">
        <v>0</v>
      </c>
      <c r="GX769">
        <v>0</v>
      </c>
      <c r="GY769">
        <v>0</v>
      </c>
      <c r="GZ769">
        <v>0</v>
      </c>
      <c r="HA769">
        <v>0</v>
      </c>
      <c r="HB769">
        <v>0</v>
      </c>
      <c r="HC769">
        <v>0</v>
      </c>
      <c r="HD769">
        <v>0</v>
      </c>
      <c r="HE769">
        <v>0</v>
      </c>
      <c r="HF769">
        <v>0</v>
      </c>
      <c r="HG769">
        <v>0</v>
      </c>
      <c r="HH769">
        <v>0</v>
      </c>
      <c r="HI769">
        <v>0</v>
      </c>
      <c r="HJ769">
        <v>0</v>
      </c>
      <c r="HK769">
        <v>0</v>
      </c>
      <c r="HL769">
        <v>0</v>
      </c>
      <c r="HM769">
        <v>0</v>
      </c>
      <c r="HN769">
        <v>0</v>
      </c>
      <c r="HO769">
        <v>0</v>
      </c>
      <c r="HP769">
        <v>0</v>
      </c>
      <c r="HQ769">
        <v>0</v>
      </c>
      <c r="HR769">
        <v>0</v>
      </c>
      <c r="HS769">
        <v>0</v>
      </c>
      <c r="HT769">
        <v>0</v>
      </c>
      <c r="HU769">
        <v>0</v>
      </c>
      <c r="HV769">
        <v>0</v>
      </c>
      <c r="HW769">
        <v>404.70000000000005</v>
      </c>
      <c r="HX769">
        <v>342.3</v>
      </c>
      <c r="HZ769">
        <v>866.2</v>
      </c>
      <c r="IA769">
        <v>1142.8</v>
      </c>
      <c r="IB769">
        <v>1121.5</v>
      </c>
      <c r="IC769">
        <v>2403</v>
      </c>
      <c r="ID769">
        <v>2659.3</v>
      </c>
      <c r="IE769">
        <v>1923.4</v>
      </c>
      <c r="IF769">
        <v>1465.7</v>
      </c>
      <c r="IG769">
        <v>1608.3</v>
      </c>
      <c r="IH769">
        <v>0</v>
      </c>
      <c r="II769">
        <v>0</v>
      </c>
      <c r="IJ769">
        <v>0</v>
      </c>
      <c r="IK769">
        <v>0</v>
      </c>
      <c r="IL769">
        <v>0</v>
      </c>
      <c r="IM769">
        <v>0</v>
      </c>
      <c r="IN769">
        <v>0</v>
      </c>
      <c r="IO769">
        <v>0</v>
      </c>
      <c r="IP769">
        <v>75.099999999999994</v>
      </c>
    </row>
    <row r="770" spans="1:250" ht="18" thickBot="1">
      <c r="A770" s="187"/>
      <c r="B770" s="187"/>
      <c r="C770" s="340" t="s">
        <v>1190</v>
      </c>
      <c r="D770" s="403"/>
      <c r="E770" s="454">
        <v>0</v>
      </c>
      <c r="F770">
        <v>0</v>
      </c>
      <c r="G770" s="427">
        <v>0</v>
      </c>
      <c r="H770" s="155">
        <v>0</v>
      </c>
      <c r="I770">
        <v>0</v>
      </c>
      <c r="J770">
        <v>0</v>
      </c>
      <c r="K770">
        <v>0</v>
      </c>
      <c r="L770" s="4">
        <v>0</v>
      </c>
      <c r="M770" s="4">
        <v>0</v>
      </c>
      <c r="N770" s="4">
        <v>0</v>
      </c>
      <c r="O770" s="4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R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G770">
        <v>0</v>
      </c>
      <c r="BI770">
        <v>0</v>
      </c>
      <c r="BK770">
        <v>0</v>
      </c>
      <c r="BL770">
        <v>0</v>
      </c>
      <c r="BM770">
        <v>0</v>
      </c>
      <c r="BN770">
        <v>0</v>
      </c>
      <c r="BO770">
        <v>344.70000000000005</v>
      </c>
      <c r="BP770">
        <v>625.70000000000005</v>
      </c>
      <c r="BQ770">
        <v>912.2</v>
      </c>
      <c r="BR770">
        <v>237.7</v>
      </c>
      <c r="BS770">
        <v>0</v>
      </c>
      <c r="BT770">
        <v>0</v>
      </c>
      <c r="BU770">
        <v>0</v>
      </c>
      <c r="BV770">
        <v>0</v>
      </c>
      <c r="BW770">
        <v>1647.4</v>
      </c>
      <c r="BY770">
        <v>453.1</v>
      </c>
      <c r="CA770">
        <v>285.39999999999998</v>
      </c>
      <c r="CB770">
        <v>280.8</v>
      </c>
      <c r="CC770">
        <v>127.7</v>
      </c>
      <c r="CD770">
        <v>0</v>
      </c>
      <c r="CE770">
        <v>0</v>
      </c>
      <c r="CF770">
        <v>0</v>
      </c>
      <c r="CG770">
        <v>0</v>
      </c>
      <c r="CI770">
        <v>0</v>
      </c>
      <c r="CJ770">
        <v>0</v>
      </c>
      <c r="CL770">
        <v>0</v>
      </c>
      <c r="CM770">
        <v>0</v>
      </c>
      <c r="CN770">
        <v>0</v>
      </c>
      <c r="CO770">
        <v>0</v>
      </c>
      <c r="CP770">
        <v>0</v>
      </c>
      <c r="CQ770">
        <v>621.70000000000005</v>
      </c>
      <c r="CR770">
        <v>481.70000000000005</v>
      </c>
      <c r="CS770">
        <v>0</v>
      </c>
      <c r="CT770">
        <v>524.6</v>
      </c>
      <c r="CU770">
        <v>514.1</v>
      </c>
      <c r="CV770">
        <v>175.2</v>
      </c>
      <c r="CW770">
        <v>0</v>
      </c>
      <c r="CX770">
        <v>65.099999999999994</v>
      </c>
      <c r="CY770">
        <v>199</v>
      </c>
      <c r="CZ770">
        <v>1907.9</v>
      </c>
      <c r="DA770">
        <v>0</v>
      </c>
      <c r="DB770">
        <v>0</v>
      </c>
      <c r="DC770">
        <v>0</v>
      </c>
      <c r="DD770">
        <v>0</v>
      </c>
      <c r="DE770">
        <v>0</v>
      </c>
      <c r="DF770">
        <v>0</v>
      </c>
      <c r="DG770">
        <v>0</v>
      </c>
      <c r="DH770">
        <v>0</v>
      </c>
      <c r="DI770">
        <v>0</v>
      </c>
      <c r="DJ770">
        <v>0</v>
      </c>
      <c r="DK770">
        <v>0</v>
      </c>
      <c r="DL770">
        <v>0</v>
      </c>
      <c r="DM770">
        <v>1065.4000000000001</v>
      </c>
      <c r="DN770">
        <v>599.70000000000005</v>
      </c>
      <c r="DO770">
        <v>319.7</v>
      </c>
      <c r="DP770">
        <v>1570.6999999999998</v>
      </c>
      <c r="DQ770">
        <v>1399.5</v>
      </c>
      <c r="DR770">
        <v>3581</v>
      </c>
      <c r="DU770">
        <v>1393.2</v>
      </c>
      <c r="DV770">
        <v>2862.6</v>
      </c>
      <c r="DY770">
        <v>2361</v>
      </c>
      <c r="EA770">
        <v>2409.6</v>
      </c>
      <c r="EC770">
        <v>1661.3999999999999</v>
      </c>
      <c r="EE770">
        <v>0</v>
      </c>
      <c r="EF770">
        <v>0</v>
      </c>
      <c r="EG770">
        <v>0</v>
      </c>
      <c r="EH770">
        <v>0</v>
      </c>
      <c r="EI770">
        <v>0</v>
      </c>
      <c r="EJ770">
        <v>0</v>
      </c>
      <c r="EK770">
        <v>0</v>
      </c>
      <c r="EL770">
        <v>0</v>
      </c>
      <c r="EM770">
        <v>0</v>
      </c>
      <c r="EN770">
        <v>0</v>
      </c>
      <c r="EO770">
        <v>0</v>
      </c>
      <c r="EP770">
        <v>944.5</v>
      </c>
      <c r="EQ770">
        <v>3459.7</v>
      </c>
      <c r="ER770">
        <v>1353.5</v>
      </c>
      <c r="ES770">
        <v>182.2</v>
      </c>
      <c r="ET770">
        <v>855.59999999999991</v>
      </c>
      <c r="EU770">
        <v>172.2</v>
      </c>
      <c r="EV770">
        <v>203.2</v>
      </c>
      <c r="EW770">
        <v>1173.0999999999999</v>
      </c>
      <c r="EX770">
        <v>1078.3</v>
      </c>
      <c r="EY770">
        <v>1194.4000000000001</v>
      </c>
      <c r="EZ770">
        <v>1207.0999999999999</v>
      </c>
      <c r="FA770">
        <v>0</v>
      </c>
      <c r="FB770">
        <v>0</v>
      </c>
      <c r="FC770">
        <v>0</v>
      </c>
      <c r="FD770">
        <v>0</v>
      </c>
      <c r="FE770">
        <v>0</v>
      </c>
      <c r="FF770">
        <v>0</v>
      </c>
      <c r="FG770">
        <v>0</v>
      </c>
      <c r="FH770">
        <v>0</v>
      </c>
      <c r="FI770">
        <v>0</v>
      </c>
      <c r="FJ770">
        <v>0</v>
      </c>
      <c r="FK770">
        <v>0</v>
      </c>
      <c r="FL770">
        <v>0</v>
      </c>
      <c r="FM770">
        <v>0</v>
      </c>
      <c r="FN770">
        <v>0</v>
      </c>
      <c r="FO770">
        <v>0</v>
      </c>
      <c r="FP770">
        <v>0</v>
      </c>
      <c r="FQ770">
        <v>0</v>
      </c>
      <c r="FR770">
        <v>0</v>
      </c>
      <c r="FS770">
        <v>0</v>
      </c>
      <c r="FT770">
        <v>0</v>
      </c>
      <c r="FU770">
        <v>0</v>
      </c>
      <c r="FV770">
        <v>0</v>
      </c>
      <c r="FW770">
        <v>0</v>
      </c>
      <c r="FX770">
        <v>0</v>
      </c>
      <c r="FY770">
        <v>0</v>
      </c>
      <c r="FZ770">
        <v>0</v>
      </c>
      <c r="GA770">
        <v>0</v>
      </c>
      <c r="GB770">
        <v>0</v>
      </c>
      <c r="GC770">
        <v>0</v>
      </c>
      <c r="GD770">
        <v>0</v>
      </c>
      <c r="GE770">
        <v>0</v>
      </c>
      <c r="GF770">
        <v>0</v>
      </c>
      <c r="GG770">
        <v>0</v>
      </c>
      <c r="GH770">
        <v>0</v>
      </c>
      <c r="GI770">
        <v>0</v>
      </c>
      <c r="GJ770">
        <v>0</v>
      </c>
      <c r="GK770">
        <v>0</v>
      </c>
      <c r="GL770">
        <v>0</v>
      </c>
      <c r="GO770">
        <v>0</v>
      </c>
      <c r="GP770">
        <v>0</v>
      </c>
      <c r="GQ770">
        <v>0</v>
      </c>
      <c r="GR770">
        <v>0</v>
      </c>
      <c r="GS770">
        <v>0</v>
      </c>
      <c r="GT770">
        <v>0</v>
      </c>
      <c r="GU770">
        <v>0</v>
      </c>
      <c r="GV770">
        <v>0</v>
      </c>
      <c r="GW770">
        <v>0</v>
      </c>
      <c r="GX770">
        <v>0</v>
      </c>
      <c r="GY770">
        <v>0</v>
      </c>
      <c r="GZ770">
        <v>0</v>
      </c>
      <c r="HA770">
        <v>0</v>
      </c>
      <c r="HB770">
        <v>0</v>
      </c>
      <c r="HC770">
        <v>0</v>
      </c>
      <c r="HD770">
        <v>0</v>
      </c>
      <c r="HE770">
        <v>0</v>
      </c>
      <c r="HF770">
        <v>0</v>
      </c>
      <c r="HG770">
        <v>0</v>
      </c>
      <c r="HH770">
        <v>0</v>
      </c>
      <c r="HI770">
        <v>0</v>
      </c>
      <c r="HJ770">
        <v>0</v>
      </c>
      <c r="HK770">
        <v>0</v>
      </c>
      <c r="HL770">
        <v>0</v>
      </c>
      <c r="HM770">
        <v>0</v>
      </c>
      <c r="HN770">
        <v>0</v>
      </c>
      <c r="HO770">
        <v>0</v>
      </c>
      <c r="HP770">
        <v>0</v>
      </c>
      <c r="HQ770">
        <v>0</v>
      </c>
      <c r="HR770">
        <v>0</v>
      </c>
      <c r="HS770">
        <v>0</v>
      </c>
      <c r="HT770">
        <v>0</v>
      </c>
      <c r="HU770">
        <v>0</v>
      </c>
      <c r="HV770">
        <v>0</v>
      </c>
      <c r="HW770">
        <v>404.70000000000005</v>
      </c>
      <c r="HX770">
        <v>342.3</v>
      </c>
      <c r="HZ770">
        <v>866.2</v>
      </c>
      <c r="IA770">
        <v>1142.8</v>
      </c>
      <c r="IB770">
        <v>1121.5</v>
      </c>
      <c r="IC770">
        <v>2403</v>
      </c>
      <c r="ID770">
        <v>2659.3</v>
      </c>
      <c r="IE770">
        <v>1923.4</v>
      </c>
      <c r="IF770">
        <v>1465.7</v>
      </c>
      <c r="IG770">
        <v>1608.3</v>
      </c>
      <c r="IH770">
        <v>0</v>
      </c>
      <c r="II770">
        <v>0</v>
      </c>
      <c r="IJ770">
        <v>0</v>
      </c>
      <c r="IK770">
        <v>0</v>
      </c>
      <c r="IL770">
        <v>0</v>
      </c>
      <c r="IM770">
        <v>0</v>
      </c>
      <c r="IN770">
        <v>0</v>
      </c>
      <c r="IO770">
        <v>0</v>
      </c>
      <c r="IP770">
        <v>75.099999999999994</v>
      </c>
    </row>
    <row r="771" spans="1:250" ht="18.600000000000001" thickTop="1" thickBot="1">
      <c r="A771" s="181"/>
      <c r="B771" s="181" t="s">
        <v>510</v>
      </c>
      <c r="C771" s="326" t="s">
        <v>1191</v>
      </c>
      <c r="D771" s="399" t="s">
        <v>1228</v>
      </c>
      <c r="E771" s="454">
        <v>0</v>
      </c>
      <c r="F771">
        <v>0</v>
      </c>
      <c r="G771" s="427">
        <v>0</v>
      </c>
      <c r="H771" s="155">
        <v>0</v>
      </c>
      <c r="I771">
        <v>0</v>
      </c>
      <c r="J771">
        <v>0</v>
      </c>
      <c r="K771">
        <v>0</v>
      </c>
      <c r="L771" s="4">
        <v>0</v>
      </c>
      <c r="M771" s="4">
        <v>0</v>
      </c>
      <c r="N771" s="4">
        <v>0</v>
      </c>
      <c r="O771" s="4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R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G771">
        <v>0</v>
      </c>
      <c r="BI771">
        <v>0</v>
      </c>
      <c r="BK771">
        <v>0</v>
      </c>
      <c r="BL771">
        <v>0</v>
      </c>
      <c r="BM771">
        <v>0</v>
      </c>
      <c r="BN771">
        <v>0</v>
      </c>
      <c r="BO771">
        <v>344.70000000000005</v>
      </c>
      <c r="BP771">
        <v>625.70000000000005</v>
      </c>
      <c r="BQ771">
        <v>912.2</v>
      </c>
      <c r="BR771">
        <v>237.7</v>
      </c>
      <c r="BS771">
        <v>0</v>
      </c>
      <c r="BT771">
        <v>0</v>
      </c>
      <c r="BU771">
        <v>0</v>
      </c>
      <c r="BV771">
        <v>0</v>
      </c>
      <c r="BW771">
        <v>1647.4</v>
      </c>
      <c r="BY771">
        <v>453.1</v>
      </c>
      <c r="CA771">
        <v>285.39999999999998</v>
      </c>
      <c r="CB771">
        <v>280.8</v>
      </c>
      <c r="CC771">
        <v>127.7</v>
      </c>
      <c r="CD771">
        <v>0</v>
      </c>
      <c r="CE771">
        <v>0</v>
      </c>
      <c r="CF771">
        <v>0</v>
      </c>
      <c r="CG771">
        <v>0</v>
      </c>
      <c r="CI771">
        <v>0</v>
      </c>
      <c r="CJ771">
        <v>0</v>
      </c>
      <c r="CL771">
        <v>0</v>
      </c>
      <c r="CM771">
        <v>0</v>
      </c>
      <c r="CN771">
        <v>0</v>
      </c>
      <c r="CO771">
        <v>0</v>
      </c>
      <c r="CP771">
        <v>0</v>
      </c>
      <c r="CQ771">
        <v>621.70000000000005</v>
      </c>
      <c r="CR771">
        <v>481.70000000000005</v>
      </c>
      <c r="CS771">
        <v>0</v>
      </c>
      <c r="CT771">
        <v>524.6</v>
      </c>
      <c r="CU771">
        <v>514.1</v>
      </c>
      <c r="CV771">
        <v>175.2</v>
      </c>
      <c r="CW771">
        <v>0</v>
      </c>
      <c r="CX771">
        <v>65.099999999999994</v>
      </c>
      <c r="CY771">
        <v>199</v>
      </c>
      <c r="CZ771">
        <v>1907.9</v>
      </c>
      <c r="DA771">
        <v>0</v>
      </c>
      <c r="DB771">
        <v>0</v>
      </c>
      <c r="DC771">
        <v>0</v>
      </c>
      <c r="DD771">
        <v>0</v>
      </c>
      <c r="DE771">
        <v>0</v>
      </c>
      <c r="DF771">
        <v>0</v>
      </c>
      <c r="DG771">
        <v>0</v>
      </c>
      <c r="DH771">
        <v>0</v>
      </c>
      <c r="DI771">
        <v>0</v>
      </c>
      <c r="DJ771">
        <v>0</v>
      </c>
      <c r="DK771">
        <v>0</v>
      </c>
      <c r="DL771">
        <v>0</v>
      </c>
      <c r="DM771">
        <v>1065.4000000000001</v>
      </c>
      <c r="DN771">
        <v>599.70000000000005</v>
      </c>
      <c r="DO771">
        <v>319.7</v>
      </c>
      <c r="DP771">
        <v>1570.6999999999998</v>
      </c>
      <c r="DQ771">
        <v>1399.5</v>
      </c>
      <c r="DR771">
        <v>3581</v>
      </c>
      <c r="DU771">
        <v>1393.2</v>
      </c>
      <c r="DV771">
        <v>2862.6</v>
      </c>
      <c r="DY771">
        <v>2361</v>
      </c>
      <c r="EA771">
        <v>2409.6</v>
      </c>
      <c r="EC771">
        <v>1661.3999999999999</v>
      </c>
      <c r="EE771">
        <v>0</v>
      </c>
      <c r="EF771">
        <v>0</v>
      </c>
      <c r="EG771">
        <v>0</v>
      </c>
      <c r="EH771">
        <v>0</v>
      </c>
      <c r="EI771">
        <v>0</v>
      </c>
      <c r="EJ771">
        <v>0</v>
      </c>
      <c r="EK771">
        <v>0</v>
      </c>
      <c r="EL771">
        <v>0</v>
      </c>
      <c r="EM771">
        <v>0</v>
      </c>
      <c r="EN771">
        <v>0</v>
      </c>
      <c r="EO771">
        <v>0</v>
      </c>
      <c r="EP771">
        <v>944.5</v>
      </c>
      <c r="EQ771">
        <v>3459.7</v>
      </c>
      <c r="ER771">
        <v>1353.5</v>
      </c>
      <c r="ES771">
        <v>182.2</v>
      </c>
      <c r="ET771">
        <v>855.59999999999991</v>
      </c>
      <c r="EU771">
        <v>172.2</v>
      </c>
      <c r="EV771">
        <v>203.2</v>
      </c>
      <c r="EW771">
        <v>1173.0999999999999</v>
      </c>
      <c r="EX771">
        <v>1078.3</v>
      </c>
      <c r="EY771">
        <v>1194.4000000000001</v>
      </c>
      <c r="EZ771">
        <v>1207.0999999999999</v>
      </c>
      <c r="FA771">
        <v>0</v>
      </c>
      <c r="FB771">
        <v>0</v>
      </c>
      <c r="FC771">
        <v>0</v>
      </c>
      <c r="FD771">
        <v>0</v>
      </c>
      <c r="FE771">
        <v>0</v>
      </c>
      <c r="FF771">
        <v>0</v>
      </c>
      <c r="FG771">
        <v>0</v>
      </c>
      <c r="FH771">
        <v>0</v>
      </c>
      <c r="FI771">
        <v>0</v>
      </c>
      <c r="FJ771">
        <v>0</v>
      </c>
      <c r="FK771">
        <v>0</v>
      </c>
      <c r="FL771">
        <v>0</v>
      </c>
      <c r="FM771">
        <v>0</v>
      </c>
      <c r="FN771">
        <v>0</v>
      </c>
      <c r="FO771">
        <v>0</v>
      </c>
      <c r="FP771">
        <v>0</v>
      </c>
      <c r="FQ771">
        <v>0</v>
      </c>
      <c r="FR771">
        <v>0</v>
      </c>
      <c r="FS771">
        <v>0</v>
      </c>
      <c r="FT771">
        <v>0</v>
      </c>
      <c r="FU771">
        <v>0</v>
      </c>
      <c r="FV771">
        <v>0</v>
      </c>
      <c r="FW771">
        <v>0</v>
      </c>
      <c r="FX771">
        <v>0</v>
      </c>
      <c r="FY771">
        <v>0</v>
      </c>
      <c r="FZ771">
        <v>0</v>
      </c>
      <c r="GA771">
        <v>0</v>
      </c>
      <c r="GB771">
        <v>0</v>
      </c>
      <c r="GC771">
        <v>0</v>
      </c>
      <c r="GD771">
        <v>0</v>
      </c>
      <c r="GE771">
        <v>0</v>
      </c>
      <c r="GF771">
        <v>0</v>
      </c>
      <c r="GG771">
        <v>0</v>
      </c>
      <c r="GH771">
        <v>0</v>
      </c>
      <c r="GI771">
        <v>0</v>
      </c>
      <c r="GJ771">
        <v>0</v>
      </c>
      <c r="GK771">
        <v>0</v>
      </c>
      <c r="GL771">
        <v>0</v>
      </c>
      <c r="GO771">
        <v>0</v>
      </c>
      <c r="GP771">
        <v>0</v>
      </c>
      <c r="GQ771">
        <v>0</v>
      </c>
      <c r="GR771">
        <v>0</v>
      </c>
      <c r="GS771">
        <v>0</v>
      </c>
      <c r="GT771">
        <v>0</v>
      </c>
      <c r="GU771">
        <v>0</v>
      </c>
      <c r="GV771">
        <v>0</v>
      </c>
      <c r="GW771">
        <v>0</v>
      </c>
      <c r="GX771">
        <v>0</v>
      </c>
      <c r="GY771">
        <v>0</v>
      </c>
      <c r="GZ771">
        <v>0</v>
      </c>
      <c r="HA771">
        <v>0</v>
      </c>
      <c r="HB771">
        <v>0</v>
      </c>
      <c r="HC771">
        <v>0</v>
      </c>
      <c r="HD771">
        <v>0</v>
      </c>
      <c r="HE771">
        <v>0</v>
      </c>
      <c r="HF771">
        <v>0</v>
      </c>
      <c r="HG771">
        <v>0</v>
      </c>
      <c r="HH771">
        <v>0</v>
      </c>
      <c r="HI771">
        <v>0</v>
      </c>
      <c r="HJ771">
        <v>0</v>
      </c>
      <c r="HK771">
        <v>0</v>
      </c>
      <c r="HL771">
        <v>0</v>
      </c>
      <c r="HM771">
        <v>0</v>
      </c>
      <c r="HN771">
        <v>0</v>
      </c>
      <c r="HO771">
        <v>0</v>
      </c>
      <c r="HP771">
        <v>0</v>
      </c>
      <c r="HQ771">
        <v>0</v>
      </c>
      <c r="HR771">
        <v>0</v>
      </c>
      <c r="HS771">
        <v>0</v>
      </c>
      <c r="HT771">
        <v>0</v>
      </c>
      <c r="HU771">
        <v>0</v>
      </c>
      <c r="HV771">
        <v>0</v>
      </c>
      <c r="HW771">
        <v>404.70000000000005</v>
      </c>
      <c r="HX771">
        <v>342.3</v>
      </c>
      <c r="HZ771">
        <v>866.2</v>
      </c>
      <c r="IA771">
        <v>1142.8</v>
      </c>
      <c r="IB771">
        <v>1121.5</v>
      </c>
      <c r="IC771">
        <v>2403</v>
      </c>
      <c r="ID771">
        <v>2659.3</v>
      </c>
      <c r="IE771">
        <v>1923.4</v>
      </c>
      <c r="IF771">
        <v>1465.7</v>
      </c>
      <c r="IG771">
        <v>1608.3</v>
      </c>
      <c r="IH771">
        <v>0</v>
      </c>
      <c r="II771">
        <v>0</v>
      </c>
      <c r="IJ771">
        <v>0</v>
      </c>
      <c r="IK771">
        <v>0</v>
      </c>
      <c r="IL771">
        <v>0</v>
      </c>
      <c r="IM771">
        <v>0</v>
      </c>
      <c r="IN771">
        <v>0</v>
      </c>
      <c r="IO771">
        <v>0</v>
      </c>
      <c r="IP771">
        <v>75.099999999999994</v>
      </c>
    </row>
    <row r="772" spans="1:250" ht="18" thickBot="1">
      <c r="A772" s="570"/>
      <c r="B772" s="570" t="s">
        <v>600</v>
      </c>
      <c r="C772" s="554" t="s">
        <v>1192</v>
      </c>
      <c r="D772" s="561" t="s">
        <v>1228</v>
      </c>
      <c r="E772" s="454">
        <v>0</v>
      </c>
      <c r="F772">
        <v>0</v>
      </c>
      <c r="G772" s="427">
        <v>0</v>
      </c>
      <c r="H772" s="155">
        <v>0</v>
      </c>
      <c r="I772">
        <v>0</v>
      </c>
      <c r="J772">
        <v>0</v>
      </c>
      <c r="K772">
        <v>0</v>
      </c>
      <c r="L772" s="4">
        <v>0</v>
      </c>
      <c r="M772" s="4">
        <v>0</v>
      </c>
      <c r="N772" s="4">
        <v>0</v>
      </c>
      <c r="O772" s="4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R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G772">
        <v>0</v>
      </c>
      <c r="BI772">
        <v>0</v>
      </c>
      <c r="BK772">
        <v>0</v>
      </c>
      <c r="BL772">
        <v>0</v>
      </c>
      <c r="BM772">
        <v>0</v>
      </c>
      <c r="BN772">
        <v>0</v>
      </c>
      <c r="BO772">
        <v>344.70000000000005</v>
      </c>
      <c r="BP772">
        <v>625.70000000000005</v>
      </c>
      <c r="BQ772">
        <v>912.2</v>
      </c>
      <c r="BR772">
        <v>237.7</v>
      </c>
      <c r="BS772">
        <v>0</v>
      </c>
      <c r="BT772">
        <v>0</v>
      </c>
      <c r="BU772">
        <v>0</v>
      </c>
      <c r="BV772">
        <v>0</v>
      </c>
      <c r="BW772">
        <v>1647.4</v>
      </c>
      <c r="BY772">
        <v>453.1</v>
      </c>
      <c r="CA772">
        <v>285.39999999999998</v>
      </c>
      <c r="CB772">
        <v>280.8</v>
      </c>
      <c r="CC772">
        <v>127.7</v>
      </c>
      <c r="CD772">
        <v>0</v>
      </c>
      <c r="CE772">
        <v>0</v>
      </c>
      <c r="CF772">
        <v>0</v>
      </c>
      <c r="CG772">
        <v>0</v>
      </c>
      <c r="CI772">
        <v>0</v>
      </c>
      <c r="CJ772">
        <v>0</v>
      </c>
      <c r="CL772">
        <v>0</v>
      </c>
      <c r="CM772">
        <v>0</v>
      </c>
      <c r="CN772">
        <v>0</v>
      </c>
      <c r="CO772">
        <v>0</v>
      </c>
      <c r="CP772">
        <v>0</v>
      </c>
      <c r="CQ772">
        <v>621.70000000000005</v>
      </c>
      <c r="CR772">
        <v>481.70000000000005</v>
      </c>
      <c r="CS772">
        <v>0</v>
      </c>
      <c r="CT772">
        <v>524.6</v>
      </c>
      <c r="CU772">
        <v>514.1</v>
      </c>
      <c r="CV772">
        <v>175.2</v>
      </c>
      <c r="CW772">
        <v>0</v>
      </c>
      <c r="CX772">
        <v>65.099999999999994</v>
      </c>
      <c r="CY772">
        <v>199</v>
      </c>
      <c r="CZ772">
        <v>1907.9</v>
      </c>
      <c r="DA772">
        <v>0</v>
      </c>
      <c r="DB772">
        <v>0</v>
      </c>
      <c r="DC772">
        <v>0</v>
      </c>
      <c r="DD772">
        <v>0</v>
      </c>
      <c r="DE772">
        <v>0</v>
      </c>
      <c r="DF772">
        <v>0</v>
      </c>
      <c r="DG772">
        <v>0</v>
      </c>
      <c r="DH772">
        <v>0</v>
      </c>
      <c r="DI772">
        <v>0</v>
      </c>
      <c r="DJ772">
        <v>0</v>
      </c>
      <c r="DK772">
        <v>0</v>
      </c>
      <c r="DL772">
        <v>0</v>
      </c>
      <c r="DM772">
        <v>1065.4000000000001</v>
      </c>
      <c r="DN772">
        <v>599.70000000000005</v>
      </c>
      <c r="DO772">
        <v>319.7</v>
      </c>
      <c r="DP772">
        <v>1570.6999999999998</v>
      </c>
      <c r="DQ772">
        <v>1399.5</v>
      </c>
      <c r="DR772">
        <v>3581</v>
      </c>
      <c r="DU772">
        <v>1393.2</v>
      </c>
      <c r="DV772">
        <v>2862.6</v>
      </c>
      <c r="DY772">
        <v>2361</v>
      </c>
      <c r="EA772">
        <v>2409.6</v>
      </c>
      <c r="EC772">
        <v>1661.3999999999999</v>
      </c>
      <c r="EE772">
        <v>0</v>
      </c>
      <c r="EF772">
        <v>0</v>
      </c>
      <c r="EG772">
        <v>0</v>
      </c>
      <c r="EH772">
        <v>0</v>
      </c>
      <c r="EI772">
        <v>0</v>
      </c>
      <c r="EJ772">
        <v>0</v>
      </c>
      <c r="EK772">
        <v>0</v>
      </c>
      <c r="EL772">
        <v>0</v>
      </c>
      <c r="EM772">
        <v>0</v>
      </c>
      <c r="EN772">
        <v>0</v>
      </c>
      <c r="EO772">
        <v>0</v>
      </c>
      <c r="EP772">
        <v>944.5</v>
      </c>
      <c r="EQ772">
        <v>3459.7</v>
      </c>
      <c r="ER772">
        <v>1353.5</v>
      </c>
      <c r="ES772">
        <v>182.2</v>
      </c>
      <c r="ET772">
        <v>855.59999999999991</v>
      </c>
      <c r="EU772">
        <v>172.2</v>
      </c>
      <c r="EV772">
        <v>203.2</v>
      </c>
      <c r="EW772">
        <v>1173.0999999999999</v>
      </c>
      <c r="EX772">
        <v>1078.3</v>
      </c>
      <c r="EY772">
        <v>1194.4000000000001</v>
      </c>
      <c r="EZ772">
        <v>1207.0999999999999</v>
      </c>
      <c r="FA772">
        <v>0</v>
      </c>
      <c r="FB772">
        <v>0</v>
      </c>
      <c r="FC772">
        <v>0</v>
      </c>
      <c r="FD772">
        <v>0</v>
      </c>
      <c r="FE772">
        <v>0</v>
      </c>
      <c r="FF772">
        <v>0</v>
      </c>
      <c r="FG772">
        <v>0</v>
      </c>
      <c r="FH772">
        <v>0</v>
      </c>
      <c r="FI772">
        <v>0</v>
      </c>
      <c r="FJ772">
        <v>0</v>
      </c>
      <c r="FK772">
        <v>0</v>
      </c>
      <c r="FL772">
        <v>0</v>
      </c>
      <c r="FM772">
        <v>0</v>
      </c>
      <c r="FN772">
        <v>0</v>
      </c>
      <c r="FO772">
        <v>0</v>
      </c>
      <c r="FP772">
        <v>0</v>
      </c>
      <c r="FQ772">
        <v>0</v>
      </c>
      <c r="FR772">
        <v>0</v>
      </c>
      <c r="FS772">
        <v>0</v>
      </c>
      <c r="FT772">
        <v>0</v>
      </c>
      <c r="FU772">
        <v>0</v>
      </c>
      <c r="FV772">
        <v>0</v>
      </c>
      <c r="FW772">
        <v>0</v>
      </c>
      <c r="FX772">
        <v>0</v>
      </c>
      <c r="FY772">
        <v>0</v>
      </c>
      <c r="FZ772">
        <v>0</v>
      </c>
      <c r="GA772">
        <v>0</v>
      </c>
      <c r="GB772">
        <v>0</v>
      </c>
      <c r="GC772">
        <v>0</v>
      </c>
      <c r="GD772">
        <v>0</v>
      </c>
      <c r="GE772">
        <v>0</v>
      </c>
      <c r="GF772">
        <v>0</v>
      </c>
      <c r="GG772">
        <v>0</v>
      </c>
      <c r="GH772">
        <v>0</v>
      </c>
      <c r="GI772">
        <v>0</v>
      </c>
      <c r="GJ772">
        <v>0</v>
      </c>
      <c r="GK772">
        <v>0</v>
      </c>
      <c r="GL772">
        <v>0</v>
      </c>
      <c r="GO772">
        <v>0</v>
      </c>
      <c r="GP772">
        <v>0</v>
      </c>
      <c r="GQ772">
        <v>0</v>
      </c>
      <c r="GR772">
        <v>0</v>
      </c>
      <c r="GS772">
        <v>0</v>
      </c>
      <c r="GT772">
        <v>0</v>
      </c>
      <c r="GU772">
        <v>0</v>
      </c>
      <c r="GV772">
        <v>0</v>
      </c>
      <c r="GW772">
        <v>0</v>
      </c>
      <c r="GX772">
        <v>0</v>
      </c>
      <c r="GY772">
        <v>0</v>
      </c>
      <c r="GZ772">
        <v>0</v>
      </c>
      <c r="HA772">
        <v>0</v>
      </c>
      <c r="HB772">
        <v>0</v>
      </c>
      <c r="HC772">
        <v>0</v>
      </c>
      <c r="HD772">
        <v>0</v>
      </c>
      <c r="HE772">
        <v>0</v>
      </c>
      <c r="HF772">
        <v>0</v>
      </c>
      <c r="HG772">
        <v>0</v>
      </c>
      <c r="HH772">
        <v>0</v>
      </c>
      <c r="HI772">
        <v>0</v>
      </c>
      <c r="HJ772">
        <v>0</v>
      </c>
      <c r="HK772">
        <v>0</v>
      </c>
      <c r="HL772">
        <v>0</v>
      </c>
      <c r="HM772">
        <v>0</v>
      </c>
      <c r="HN772">
        <v>0</v>
      </c>
      <c r="HO772">
        <v>0</v>
      </c>
      <c r="HP772">
        <v>0</v>
      </c>
      <c r="HQ772">
        <v>0</v>
      </c>
      <c r="HR772">
        <v>0</v>
      </c>
      <c r="HS772">
        <v>0</v>
      </c>
      <c r="HT772">
        <v>0</v>
      </c>
      <c r="HU772">
        <v>0</v>
      </c>
      <c r="HV772">
        <v>0</v>
      </c>
      <c r="HW772">
        <v>404.70000000000005</v>
      </c>
      <c r="HX772">
        <v>342.3</v>
      </c>
      <c r="HZ772">
        <v>866.2</v>
      </c>
      <c r="IA772">
        <v>1142.8</v>
      </c>
      <c r="IB772">
        <v>1121.5</v>
      </c>
      <c r="IC772">
        <v>2403</v>
      </c>
      <c r="ID772">
        <v>2659.3</v>
      </c>
      <c r="IE772">
        <v>1923.4</v>
      </c>
      <c r="IF772">
        <v>1465.7</v>
      </c>
      <c r="IG772">
        <v>1608.3</v>
      </c>
      <c r="IH772">
        <v>0</v>
      </c>
      <c r="II772">
        <v>0</v>
      </c>
      <c r="IJ772">
        <v>0</v>
      </c>
      <c r="IK772">
        <v>0</v>
      </c>
      <c r="IL772">
        <v>0</v>
      </c>
      <c r="IM772">
        <v>0</v>
      </c>
      <c r="IN772">
        <v>0</v>
      </c>
      <c r="IO772">
        <v>0</v>
      </c>
      <c r="IP772">
        <v>75.099999999999994</v>
      </c>
    </row>
    <row r="773" spans="1:250" ht="18" thickBot="1">
      <c r="A773" s="570"/>
      <c r="B773" s="570"/>
      <c r="C773" s="554"/>
      <c r="D773" s="562"/>
      <c r="E773" s="454">
        <v>0</v>
      </c>
      <c r="F773">
        <v>0</v>
      </c>
      <c r="G773" s="427">
        <v>0</v>
      </c>
      <c r="H773" s="155">
        <v>0</v>
      </c>
      <c r="I773">
        <v>0</v>
      </c>
      <c r="J773">
        <v>0</v>
      </c>
      <c r="K773">
        <v>0</v>
      </c>
      <c r="L773" s="4">
        <v>0</v>
      </c>
      <c r="M773" s="4">
        <v>0</v>
      </c>
      <c r="N773" s="4">
        <v>0</v>
      </c>
      <c r="O773" s="4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R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G773">
        <v>0</v>
      </c>
      <c r="BI773">
        <v>0</v>
      </c>
      <c r="BK773">
        <v>0</v>
      </c>
      <c r="BL773">
        <v>0</v>
      </c>
      <c r="BM773">
        <v>0</v>
      </c>
      <c r="BN773">
        <v>0</v>
      </c>
      <c r="BO773">
        <v>344.70000000000005</v>
      </c>
      <c r="BP773">
        <v>625.70000000000005</v>
      </c>
      <c r="BQ773">
        <v>912.2</v>
      </c>
      <c r="BR773">
        <v>237.7</v>
      </c>
      <c r="BS773">
        <v>0</v>
      </c>
      <c r="BT773">
        <v>0</v>
      </c>
      <c r="BU773">
        <v>0</v>
      </c>
      <c r="BV773">
        <v>0</v>
      </c>
      <c r="BW773">
        <v>1647.4</v>
      </c>
      <c r="BY773">
        <v>453.1</v>
      </c>
      <c r="CA773">
        <v>285.39999999999998</v>
      </c>
      <c r="CB773">
        <v>280.8</v>
      </c>
      <c r="CC773">
        <v>127.7</v>
      </c>
      <c r="CD773">
        <v>0</v>
      </c>
      <c r="CE773">
        <v>0</v>
      </c>
      <c r="CF773">
        <v>0</v>
      </c>
      <c r="CG773">
        <v>0</v>
      </c>
      <c r="CI773">
        <v>0</v>
      </c>
      <c r="CJ773">
        <v>0</v>
      </c>
      <c r="CL773">
        <v>0</v>
      </c>
      <c r="CM773">
        <v>0</v>
      </c>
      <c r="CN773">
        <v>0</v>
      </c>
      <c r="CO773">
        <v>0</v>
      </c>
      <c r="CP773">
        <v>0</v>
      </c>
      <c r="CQ773">
        <v>621.70000000000005</v>
      </c>
      <c r="CR773">
        <v>481.70000000000005</v>
      </c>
      <c r="CS773">
        <v>0</v>
      </c>
      <c r="CT773">
        <v>524.6</v>
      </c>
      <c r="CU773">
        <v>514.1</v>
      </c>
      <c r="CV773">
        <v>175.2</v>
      </c>
      <c r="CW773">
        <v>0</v>
      </c>
      <c r="CX773">
        <v>65.099999999999994</v>
      </c>
      <c r="CY773">
        <v>199</v>
      </c>
      <c r="CZ773">
        <v>1907.9</v>
      </c>
      <c r="DA773">
        <v>0</v>
      </c>
      <c r="DB773">
        <v>0</v>
      </c>
      <c r="DC773">
        <v>0</v>
      </c>
      <c r="DD773">
        <v>0</v>
      </c>
      <c r="DE773">
        <v>0</v>
      </c>
      <c r="DF773">
        <v>0</v>
      </c>
      <c r="DG773">
        <v>0</v>
      </c>
      <c r="DH773">
        <v>0</v>
      </c>
      <c r="DI773">
        <v>0</v>
      </c>
      <c r="DJ773">
        <v>0</v>
      </c>
      <c r="DK773">
        <v>0</v>
      </c>
      <c r="DL773">
        <v>0</v>
      </c>
      <c r="DM773">
        <v>1065.4000000000001</v>
      </c>
      <c r="DN773">
        <v>599.70000000000005</v>
      </c>
      <c r="DO773">
        <v>319.7</v>
      </c>
      <c r="DP773">
        <v>1570.6999999999998</v>
      </c>
      <c r="DQ773">
        <v>1399.5</v>
      </c>
      <c r="DR773">
        <v>3581</v>
      </c>
      <c r="DU773">
        <v>1393.2</v>
      </c>
      <c r="DV773">
        <v>2862.6</v>
      </c>
      <c r="DY773">
        <v>2361</v>
      </c>
      <c r="EA773">
        <v>2409.6</v>
      </c>
      <c r="EC773">
        <v>1661.3999999999999</v>
      </c>
      <c r="EE773">
        <v>0</v>
      </c>
      <c r="EF773">
        <v>0</v>
      </c>
      <c r="EG773">
        <v>0</v>
      </c>
      <c r="EH773">
        <v>0</v>
      </c>
      <c r="EI773">
        <v>0</v>
      </c>
      <c r="EJ773">
        <v>0</v>
      </c>
      <c r="EK773">
        <v>0</v>
      </c>
      <c r="EL773">
        <v>0</v>
      </c>
      <c r="EM773">
        <v>0</v>
      </c>
      <c r="EN773">
        <v>0</v>
      </c>
      <c r="EO773">
        <v>0</v>
      </c>
      <c r="EP773">
        <v>944.5</v>
      </c>
      <c r="EQ773">
        <v>3459.7</v>
      </c>
      <c r="ER773">
        <v>1353.5</v>
      </c>
      <c r="ES773">
        <v>182.2</v>
      </c>
      <c r="ET773">
        <v>855.59999999999991</v>
      </c>
      <c r="EU773">
        <v>172.2</v>
      </c>
      <c r="EV773">
        <v>203.2</v>
      </c>
      <c r="EW773">
        <v>1173.0999999999999</v>
      </c>
      <c r="EX773">
        <v>1078.3</v>
      </c>
      <c r="EY773">
        <v>1194.4000000000001</v>
      </c>
      <c r="EZ773">
        <v>1207.0999999999999</v>
      </c>
      <c r="FA773">
        <v>0</v>
      </c>
      <c r="FB773">
        <v>0</v>
      </c>
      <c r="FC773">
        <v>0</v>
      </c>
      <c r="FD773">
        <v>0</v>
      </c>
      <c r="FE773">
        <v>0</v>
      </c>
      <c r="FF773">
        <v>0</v>
      </c>
      <c r="FG773">
        <v>0</v>
      </c>
      <c r="FH773">
        <v>0</v>
      </c>
      <c r="FI773">
        <v>0</v>
      </c>
      <c r="FJ773">
        <v>0</v>
      </c>
      <c r="FK773">
        <v>0</v>
      </c>
      <c r="FL773">
        <v>0</v>
      </c>
      <c r="FM773">
        <v>0</v>
      </c>
      <c r="FN773">
        <v>0</v>
      </c>
      <c r="FO773">
        <v>0</v>
      </c>
      <c r="FP773">
        <v>0</v>
      </c>
      <c r="FQ773">
        <v>0</v>
      </c>
      <c r="FR773">
        <v>0</v>
      </c>
      <c r="FS773">
        <v>0</v>
      </c>
      <c r="FT773">
        <v>0</v>
      </c>
      <c r="FU773">
        <v>0</v>
      </c>
      <c r="FV773">
        <v>0</v>
      </c>
      <c r="FW773">
        <v>0</v>
      </c>
      <c r="FX773">
        <v>0</v>
      </c>
      <c r="FY773">
        <v>0</v>
      </c>
      <c r="FZ773">
        <v>0</v>
      </c>
      <c r="GA773">
        <v>0</v>
      </c>
      <c r="GB773">
        <v>0</v>
      </c>
      <c r="GC773">
        <v>0</v>
      </c>
      <c r="GD773">
        <v>0</v>
      </c>
      <c r="GE773">
        <v>0</v>
      </c>
      <c r="GF773">
        <v>0</v>
      </c>
      <c r="GG773">
        <v>0</v>
      </c>
      <c r="GH773">
        <v>0</v>
      </c>
      <c r="GI773">
        <v>0</v>
      </c>
      <c r="GJ773">
        <v>0</v>
      </c>
      <c r="GK773">
        <v>0</v>
      </c>
      <c r="GL773">
        <v>0</v>
      </c>
      <c r="GO773">
        <v>0</v>
      </c>
      <c r="GP773">
        <v>0</v>
      </c>
      <c r="GQ773">
        <v>0</v>
      </c>
      <c r="GR773">
        <v>0</v>
      </c>
      <c r="GS773">
        <v>0</v>
      </c>
      <c r="GT773">
        <v>0</v>
      </c>
      <c r="GU773">
        <v>0</v>
      </c>
      <c r="GV773">
        <v>0</v>
      </c>
      <c r="GW773">
        <v>0</v>
      </c>
      <c r="GX773">
        <v>0</v>
      </c>
      <c r="GY773">
        <v>0</v>
      </c>
      <c r="GZ773">
        <v>0</v>
      </c>
      <c r="HA773">
        <v>0</v>
      </c>
      <c r="HB773">
        <v>0</v>
      </c>
      <c r="HC773">
        <v>0</v>
      </c>
      <c r="HD773">
        <v>0</v>
      </c>
      <c r="HE773">
        <v>0</v>
      </c>
      <c r="HF773">
        <v>0</v>
      </c>
      <c r="HG773">
        <v>0</v>
      </c>
      <c r="HH773">
        <v>0</v>
      </c>
      <c r="HI773">
        <v>0</v>
      </c>
      <c r="HJ773">
        <v>0</v>
      </c>
      <c r="HK773">
        <v>0</v>
      </c>
      <c r="HL773">
        <v>0</v>
      </c>
      <c r="HM773">
        <v>0</v>
      </c>
      <c r="HN773">
        <v>0</v>
      </c>
      <c r="HO773">
        <v>0</v>
      </c>
      <c r="HP773">
        <v>0</v>
      </c>
      <c r="HQ773">
        <v>0</v>
      </c>
      <c r="HR773">
        <v>0</v>
      </c>
      <c r="HS773">
        <v>0</v>
      </c>
      <c r="HT773">
        <v>0</v>
      </c>
      <c r="HU773">
        <v>0</v>
      </c>
      <c r="HV773">
        <v>0</v>
      </c>
      <c r="HW773">
        <v>404.70000000000005</v>
      </c>
      <c r="HX773">
        <v>342.3</v>
      </c>
      <c r="HZ773">
        <v>866.2</v>
      </c>
      <c r="IA773">
        <v>1142.8</v>
      </c>
      <c r="IB773">
        <v>1121.5</v>
      </c>
      <c r="IC773">
        <v>2403</v>
      </c>
      <c r="ID773">
        <v>2659.3</v>
      </c>
      <c r="IE773">
        <v>1923.4</v>
      </c>
      <c r="IF773">
        <v>1465.7</v>
      </c>
      <c r="IG773">
        <v>1608.3</v>
      </c>
      <c r="IH773">
        <v>0</v>
      </c>
      <c r="II773">
        <v>0</v>
      </c>
      <c r="IJ773">
        <v>0</v>
      </c>
      <c r="IK773">
        <v>0</v>
      </c>
      <c r="IL773">
        <v>0</v>
      </c>
      <c r="IM773">
        <v>0</v>
      </c>
      <c r="IN773">
        <v>0</v>
      </c>
      <c r="IO773">
        <v>0</v>
      </c>
      <c r="IP773">
        <v>75.099999999999994</v>
      </c>
    </row>
    <row r="774" spans="1:250" ht="18" thickBot="1">
      <c r="A774" s="246"/>
      <c r="B774" s="246" t="s">
        <v>601</v>
      </c>
      <c r="C774" s="334" t="s">
        <v>1193</v>
      </c>
      <c r="D774" s="400" t="s">
        <v>1228</v>
      </c>
      <c r="E774" s="454">
        <v>0</v>
      </c>
      <c r="F774">
        <v>0</v>
      </c>
      <c r="G774" s="427">
        <v>0</v>
      </c>
      <c r="H774" s="155">
        <v>0</v>
      </c>
      <c r="I774">
        <v>0</v>
      </c>
      <c r="J774">
        <v>0</v>
      </c>
      <c r="K774">
        <v>0</v>
      </c>
      <c r="L774" s="4">
        <v>0</v>
      </c>
      <c r="M774" s="4">
        <v>0</v>
      </c>
      <c r="N774" s="4">
        <v>0</v>
      </c>
      <c r="O774" s="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R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G774">
        <v>0</v>
      </c>
      <c r="BI774">
        <v>0</v>
      </c>
      <c r="BK774">
        <v>0</v>
      </c>
      <c r="BL774">
        <v>0</v>
      </c>
      <c r="BM774">
        <v>0</v>
      </c>
      <c r="BN774">
        <v>0</v>
      </c>
      <c r="BO774">
        <v>344.70000000000005</v>
      </c>
      <c r="BP774">
        <v>625.70000000000005</v>
      </c>
      <c r="BQ774">
        <v>912.2</v>
      </c>
      <c r="BR774">
        <v>237.7</v>
      </c>
      <c r="BS774">
        <v>0</v>
      </c>
      <c r="BT774">
        <v>0</v>
      </c>
      <c r="BU774">
        <v>0</v>
      </c>
      <c r="BV774">
        <v>0</v>
      </c>
      <c r="BW774">
        <v>1647.4</v>
      </c>
      <c r="BY774">
        <v>453.1</v>
      </c>
      <c r="CA774">
        <v>285.39999999999998</v>
      </c>
      <c r="CB774">
        <v>280.8</v>
      </c>
      <c r="CC774">
        <v>127.7</v>
      </c>
      <c r="CD774">
        <v>0</v>
      </c>
      <c r="CE774">
        <v>0</v>
      </c>
      <c r="CF774">
        <v>0</v>
      </c>
      <c r="CG774">
        <v>0</v>
      </c>
      <c r="CI774">
        <v>0</v>
      </c>
      <c r="CJ774">
        <v>0</v>
      </c>
      <c r="CL774">
        <v>0</v>
      </c>
      <c r="CM774">
        <v>0</v>
      </c>
      <c r="CN774">
        <v>0</v>
      </c>
      <c r="CO774">
        <v>0</v>
      </c>
      <c r="CP774">
        <v>0</v>
      </c>
      <c r="CQ774">
        <v>621.70000000000005</v>
      </c>
      <c r="CR774">
        <v>481.70000000000005</v>
      </c>
      <c r="CS774">
        <v>0</v>
      </c>
      <c r="CT774">
        <v>524.6</v>
      </c>
      <c r="CU774">
        <v>514.1</v>
      </c>
      <c r="CV774">
        <v>175.2</v>
      </c>
      <c r="CW774">
        <v>0</v>
      </c>
      <c r="CX774">
        <v>65.099999999999994</v>
      </c>
      <c r="CY774">
        <v>199</v>
      </c>
      <c r="CZ774">
        <v>1907.9</v>
      </c>
      <c r="DA774">
        <v>0</v>
      </c>
      <c r="DB774">
        <v>0</v>
      </c>
      <c r="DC774">
        <v>0</v>
      </c>
      <c r="DD774">
        <v>0</v>
      </c>
      <c r="DE774">
        <v>0</v>
      </c>
      <c r="DF774">
        <v>0</v>
      </c>
      <c r="DG774">
        <v>0</v>
      </c>
      <c r="DH774">
        <v>0</v>
      </c>
      <c r="DI774">
        <v>0</v>
      </c>
      <c r="DJ774">
        <v>0</v>
      </c>
      <c r="DK774">
        <v>0</v>
      </c>
      <c r="DL774">
        <v>0</v>
      </c>
      <c r="DM774">
        <v>1065.4000000000001</v>
      </c>
      <c r="DN774">
        <v>599.70000000000005</v>
      </c>
      <c r="DO774">
        <v>319.7</v>
      </c>
      <c r="DP774">
        <v>1570.6999999999998</v>
      </c>
      <c r="DQ774">
        <v>1399.5</v>
      </c>
      <c r="DR774">
        <v>3581</v>
      </c>
      <c r="DU774">
        <v>1393.2</v>
      </c>
      <c r="DV774">
        <v>2862.6</v>
      </c>
      <c r="DY774">
        <v>2361</v>
      </c>
      <c r="EA774">
        <v>2409.6</v>
      </c>
      <c r="EC774">
        <v>1661.3999999999999</v>
      </c>
      <c r="EE774">
        <v>0</v>
      </c>
      <c r="EF774">
        <v>0</v>
      </c>
      <c r="EG774">
        <v>0</v>
      </c>
      <c r="EH774">
        <v>0</v>
      </c>
      <c r="EI774">
        <v>0</v>
      </c>
      <c r="EJ774">
        <v>0</v>
      </c>
      <c r="EK774">
        <v>0</v>
      </c>
      <c r="EL774">
        <v>0</v>
      </c>
      <c r="EM774">
        <v>0</v>
      </c>
      <c r="EN774">
        <v>0</v>
      </c>
      <c r="EO774">
        <v>0</v>
      </c>
      <c r="EP774">
        <v>944.5</v>
      </c>
      <c r="EQ774">
        <v>3459.7</v>
      </c>
      <c r="ER774">
        <v>1353.5</v>
      </c>
      <c r="ES774">
        <v>182.2</v>
      </c>
      <c r="ET774">
        <v>855.59999999999991</v>
      </c>
      <c r="EU774">
        <v>172.2</v>
      </c>
      <c r="EV774">
        <v>203.2</v>
      </c>
      <c r="EW774">
        <v>1173.0999999999999</v>
      </c>
      <c r="EX774">
        <v>1078.3</v>
      </c>
      <c r="EY774">
        <v>1194.4000000000001</v>
      </c>
      <c r="EZ774">
        <v>1207.0999999999999</v>
      </c>
      <c r="FA774">
        <v>0</v>
      </c>
      <c r="FB774">
        <v>0</v>
      </c>
      <c r="FC774">
        <v>0</v>
      </c>
      <c r="FD774">
        <v>0</v>
      </c>
      <c r="FE774">
        <v>0</v>
      </c>
      <c r="FF774">
        <v>0</v>
      </c>
      <c r="FG774">
        <v>0</v>
      </c>
      <c r="FH774">
        <v>0</v>
      </c>
      <c r="FI774">
        <v>0</v>
      </c>
      <c r="FJ774">
        <v>0</v>
      </c>
      <c r="FK774">
        <v>0</v>
      </c>
      <c r="FL774">
        <v>0</v>
      </c>
      <c r="FM774">
        <v>0</v>
      </c>
      <c r="FN774">
        <v>0</v>
      </c>
      <c r="FO774">
        <v>0</v>
      </c>
      <c r="FP774">
        <v>0</v>
      </c>
      <c r="FQ774">
        <v>0</v>
      </c>
      <c r="FR774">
        <v>0</v>
      </c>
      <c r="FS774">
        <v>0</v>
      </c>
      <c r="FT774">
        <v>0</v>
      </c>
      <c r="FU774">
        <v>0</v>
      </c>
      <c r="FV774">
        <v>0</v>
      </c>
      <c r="FW774">
        <v>0</v>
      </c>
      <c r="FX774">
        <v>0</v>
      </c>
      <c r="FY774">
        <v>0</v>
      </c>
      <c r="FZ774">
        <v>0</v>
      </c>
      <c r="GA774">
        <v>0</v>
      </c>
      <c r="GB774">
        <v>0</v>
      </c>
      <c r="GC774">
        <v>0</v>
      </c>
      <c r="GD774">
        <v>0</v>
      </c>
      <c r="GE774">
        <v>0</v>
      </c>
      <c r="GF774">
        <v>0</v>
      </c>
      <c r="GG774">
        <v>0</v>
      </c>
      <c r="GH774">
        <v>0</v>
      </c>
      <c r="GI774">
        <v>0</v>
      </c>
      <c r="GJ774">
        <v>0</v>
      </c>
      <c r="GK774">
        <v>0</v>
      </c>
      <c r="GL774">
        <v>0</v>
      </c>
      <c r="GO774">
        <v>0</v>
      </c>
      <c r="GP774">
        <v>0</v>
      </c>
      <c r="GQ774">
        <v>0</v>
      </c>
      <c r="GR774">
        <v>0</v>
      </c>
      <c r="GS774">
        <v>0</v>
      </c>
      <c r="GT774">
        <v>0</v>
      </c>
      <c r="GU774">
        <v>0</v>
      </c>
      <c r="GV774">
        <v>0</v>
      </c>
      <c r="GW774">
        <v>0</v>
      </c>
      <c r="GX774">
        <v>0</v>
      </c>
      <c r="GY774">
        <v>0</v>
      </c>
      <c r="GZ774">
        <v>0</v>
      </c>
      <c r="HA774">
        <v>0</v>
      </c>
      <c r="HB774">
        <v>0</v>
      </c>
      <c r="HC774">
        <v>0</v>
      </c>
      <c r="HD774">
        <v>0</v>
      </c>
      <c r="HE774">
        <v>0</v>
      </c>
      <c r="HF774">
        <v>0</v>
      </c>
      <c r="HG774">
        <v>0</v>
      </c>
      <c r="HH774">
        <v>0</v>
      </c>
      <c r="HI774">
        <v>0</v>
      </c>
      <c r="HJ774">
        <v>0</v>
      </c>
      <c r="HK774">
        <v>0</v>
      </c>
      <c r="HL774">
        <v>0</v>
      </c>
      <c r="HM774">
        <v>0</v>
      </c>
      <c r="HN774">
        <v>0</v>
      </c>
      <c r="HO774">
        <v>0</v>
      </c>
      <c r="HP774">
        <v>0</v>
      </c>
      <c r="HQ774">
        <v>0</v>
      </c>
      <c r="HR774">
        <v>0</v>
      </c>
      <c r="HS774">
        <v>0</v>
      </c>
      <c r="HT774">
        <v>0</v>
      </c>
      <c r="HU774">
        <v>0</v>
      </c>
      <c r="HV774">
        <v>0</v>
      </c>
      <c r="HW774">
        <v>404.70000000000005</v>
      </c>
      <c r="HX774">
        <v>342.3</v>
      </c>
      <c r="HZ774">
        <v>866.2</v>
      </c>
      <c r="IA774">
        <v>1142.8</v>
      </c>
      <c r="IB774">
        <v>1121.5</v>
      </c>
      <c r="IC774">
        <v>2403</v>
      </c>
      <c r="ID774">
        <v>2659.3</v>
      </c>
      <c r="IE774">
        <v>1923.4</v>
      </c>
      <c r="IF774">
        <v>1465.7</v>
      </c>
      <c r="IG774">
        <v>1608.3</v>
      </c>
      <c r="IH774">
        <v>0</v>
      </c>
      <c r="II774">
        <v>0</v>
      </c>
      <c r="IJ774">
        <v>0</v>
      </c>
      <c r="IK774">
        <v>0</v>
      </c>
      <c r="IL774">
        <v>0</v>
      </c>
      <c r="IM774">
        <v>0</v>
      </c>
      <c r="IN774">
        <v>0</v>
      </c>
      <c r="IO774">
        <v>0</v>
      </c>
      <c r="IP774">
        <v>75.099999999999994</v>
      </c>
    </row>
    <row r="775" spans="1:250" ht="18.600000000000001" thickTop="1" thickBot="1">
      <c r="A775" s="181"/>
      <c r="B775" s="181" t="s">
        <v>605</v>
      </c>
      <c r="C775" s="326" t="s">
        <v>1194</v>
      </c>
      <c r="D775" s="408" t="s">
        <v>1229</v>
      </c>
      <c r="E775" s="454">
        <v>0</v>
      </c>
      <c r="F775">
        <v>0</v>
      </c>
      <c r="G775" s="427">
        <v>0</v>
      </c>
      <c r="H775" s="155">
        <v>0</v>
      </c>
      <c r="I775">
        <v>0</v>
      </c>
      <c r="J775">
        <v>0</v>
      </c>
      <c r="K775">
        <v>0</v>
      </c>
      <c r="L775" s="4">
        <v>0</v>
      </c>
      <c r="M775" s="4">
        <v>0</v>
      </c>
      <c r="N775" s="4">
        <v>0</v>
      </c>
      <c r="O775" s="4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R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G775">
        <v>0</v>
      </c>
      <c r="BI775">
        <v>0</v>
      </c>
      <c r="BK775">
        <v>0</v>
      </c>
      <c r="BL775">
        <v>0</v>
      </c>
      <c r="BM775">
        <v>0</v>
      </c>
      <c r="BN775">
        <v>0</v>
      </c>
      <c r="BO775">
        <v>344.70000000000005</v>
      </c>
      <c r="BP775">
        <v>625.70000000000005</v>
      </c>
      <c r="BQ775">
        <v>912.2</v>
      </c>
      <c r="BR775">
        <v>237.7</v>
      </c>
      <c r="BS775">
        <v>0</v>
      </c>
      <c r="BT775">
        <v>0</v>
      </c>
      <c r="BU775">
        <v>0</v>
      </c>
      <c r="BV775">
        <v>0</v>
      </c>
      <c r="BW775">
        <v>1647.4</v>
      </c>
      <c r="BY775">
        <v>453.1</v>
      </c>
      <c r="CA775">
        <v>285.39999999999998</v>
      </c>
      <c r="CB775">
        <v>280.8</v>
      </c>
      <c r="CC775">
        <v>127.7</v>
      </c>
      <c r="CD775">
        <v>0</v>
      </c>
      <c r="CE775">
        <v>0</v>
      </c>
      <c r="CF775">
        <v>0</v>
      </c>
      <c r="CG775">
        <v>0</v>
      </c>
      <c r="CI775">
        <v>0</v>
      </c>
      <c r="CJ775">
        <v>0</v>
      </c>
      <c r="CL775">
        <v>0</v>
      </c>
      <c r="CM775">
        <v>0</v>
      </c>
      <c r="CN775">
        <v>0</v>
      </c>
      <c r="CO775">
        <v>0</v>
      </c>
      <c r="CP775">
        <v>0</v>
      </c>
      <c r="CQ775">
        <v>621.70000000000005</v>
      </c>
      <c r="CR775">
        <v>481.70000000000005</v>
      </c>
      <c r="CS775">
        <v>0</v>
      </c>
      <c r="CT775">
        <v>524.6</v>
      </c>
      <c r="CU775">
        <v>514.1</v>
      </c>
      <c r="CV775">
        <v>175.2</v>
      </c>
      <c r="CW775">
        <v>0</v>
      </c>
      <c r="CX775">
        <v>65.099999999999994</v>
      </c>
      <c r="CY775">
        <v>199</v>
      </c>
      <c r="CZ775">
        <v>1907.9</v>
      </c>
      <c r="DA775">
        <v>0</v>
      </c>
      <c r="DB775">
        <v>0</v>
      </c>
      <c r="DC775">
        <v>0</v>
      </c>
      <c r="DD775">
        <v>0</v>
      </c>
      <c r="DE775">
        <v>0</v>
      </c>
      <c r="DF775">
        <v>0</v>
      </c>
      <c r="DG775">
        <v>0</v>
      </c>
      <c r="DH775">
        <v>0</v>
      </c>
      <c r="DI775">
        <v>0</v>
      </c>
      <c r="DJ775">
        <v>0</v>
      </c>
      <c r="DK775">
        <v>0</v>
      </c>
      <c r="DL775">
        <v>0</v>
      </c>
      <c r="DM775">
        <v>1065.4000000000001</v>
      </c>
      <c r="DN775">
        <v>599.70000000000005</v>
      </c>
      <c r="DO775">
        <v>319.7</v>
      </c>
      <c r="DP775">
        <v>1570.6999999999998</v>
      </c>
      <c r="DQ775">
        <v>1399.5</v>
      </c>
      <c r="DR775">
        <v>3581</v>
      </c>
      <c r="DU775">
        <v>1393.2</v>
      </c>
      <c r="DV775">
        <v>2862.6</v>
      </c>
      <c r="DY775">
        <v>2361</v>
      </c>
      <c r="EA775">
        <v>2409.6</v>
      </c>
      <c r="EC775">
        <v>1661.3999999999999</v>
      </c>
      <c r="EE775">
        <v>0</v>
      </c>
      <c r="EF775">
        <v>0</v>
      </c>
      <c r="EG775">
        <v>0</v>
      </c>
      <c r="EH775">
        <v>0</v>
      </c>
      <c r="EI775">
        <v>0</v>
      </c>
      <c r="EJ775">
        <v>0</v>
      </c>
      <c r="EK775">
        <v>0</v>
      </c>
      <c r="EL775">
        <v>0</v>
      </c>
      <c r="EM775">
        <v>0</v>
      </c>
      <c r="EN775">
        <v>0</v>
      </c>
      <c r="EO775">
        <v>0</v>
      </c>
      <c r="EP775">
        <v>944.5</v>
      </c>
      <c r="EQ775">
        <v>3459.7</v>
      </c>
      <c r="ER775">
        <v>1353.5</v>
      </c>
      <c r="ES775">
        <v>182.2</v>
      </c>
      <c r="ET775">
        <v>855.59999999999991</v>
      </c>
      <c r="EU775">
        <v>172.2</v>
      </c>
      <c r="EV775">
        <v>203.2</v>
      </c>
      <c r="EW775">
        <v>1173.0999999999999</v>
      </c>
      <c r="EX775">
        <v>1078.3</v>
      </c>
      <c r="EY775">
        <v>1194.4000000000001</v>
      </c>
      <c r="EZ775">
        <v>1207.0999999999999</v>
      </c>
      <c r="FA775">
        <v>0</v>
      </c>
      <c r="FB775">
        <v>0</v>
      </c>
      <c r="FC775">
        <v>0</v>
      </c>
      <c r="FD775">
        <v>0</v>
      </c>
      <c r="FE775">
        <v>0</v>
      </c>
      <c r="FF775">
        <v>0</v>
      </c>
      <c r="FG775">
        <v>0</v>
      </c>
      <c r="FH775">
        <v>0</v>
      </c>
      <c r="FI775">
        <v>0</v>
      </c>
      <c r="FJ775">
        <v>0</v>
      </c>
      <c r="FK775">
        <v>0</v>
      </c>
      <c r="FL775">
        <v>0</v>
      </c>
      <c r="FM775">
        <v>0</v>
      </c>
      <c r="FN775">
        <v>0</v>
      </c>
      <c r="FO775">
        <v>0</v>
      </c>
      <c r="FP775">
        <v>0</v>
      </c>
      <c r="FQ775">
        <v>0</v>
      </c>
      <c r="FR775">
        <v>0</v>
      </c>
      <c r="FS775">
        <v>0</v>
      </c>
      <c r="FT775">
        <v>0</v>
      </c>
      <c r="FU775">
        <v>0</v>
      </c>
      <c r="FV775">
        <v>0</v>
      </c>
      <c r="FW775">
        <v>0</v>
      </c>
      <c r="FX775">
        <v>0</v>
      </c>
      <c r="FY775">
        <v>0</v>
      </c>
      <c r="FZ775">
        <v>0</v>
      </c>
      <c r="GA775">
        <v>0</v>
      </c>
      <c r="GB775">
        <v>0</v>
      </c>
      <c r="GC775">
        <v>0</v>
      </c>
      <c r="GD775">
        <v>0</v>
      </c>
      <c r="GE775">
        <v>0</v>
      </c>
      <c r="GF775">
        <v>0</v>
      </c>
      <c r="GG775">
        <v>0</v>
      </c>
      <c r="GH775">
        <v>0</v>
      </c>
      <c r="GI775">
        <v>0</v>
      </c>
      <c r="GJ775">
        <v>0</v>
      </c>
      <c r="GK775">
        <v>0</v>
      </c>
      <c r="GL775">
        <v>0</v>
      </c>
      <c r="GO775">
        <v>0</v>
      </c>
      <c r="GP775">
        <v>0</v>
      </c>
      <c r="GQ775">
        <v>0</v>
      </c>
      <c r="GR775">
        <v>0</v>
      </c>
      <c r="GS775">
        <v>0</v>
      </c>
      <c r="GT775">
        <v>0</v>
      </c>
      <c r="GU775">
        <v>0</v>
      </c>
      <c r="GV775">
        <v>0</v>
      </c>
      <c r="GW775">
        <v>0</v>
      </c>
      <c r="GX775">
        <v>0</v>
      </c>
      <c r="GY775">
        <v>0</v>
      </c>
      <c r="GZ775">
        <v>0</v>
      </c>
      <c r="HA775">
        <v>0</v>
      </c>
      <c r="HB775">
        <v>0</v>
      </c>
      <c r="HC775">
        <v>0</v>
      </c>
      <c r="HD775">
        <v>0</v>
      </c>
      <c r="HE775">
        <v>0</v>
      </c>
      <c r="HF775">
        <v>0</v>
      </c>
      <c r="HG775">
        <v>0</v>
      </c>
      <c r="HH775">
        <v>0</v>
      </c>
      <c r="HI775">
        <v>0</v>
      </c>
      <c r="HJ775">
        <v>0</v>
      </c>
      <c r="HK775">
        <v>0</v>
      </c>
      <c r="HL775">
        <v>0</v>
      </c>
      <c r="HM775">
        <v>0</v>
      </c>
      <c r="HN775">
        <v>0</v>
      </c>
      <c r="HO775">
        <v>0</v>
      </c>
      <c r="HP775">
        <v>0</v>
      </c>
      <c r="HQ775">
        <v>0</v>
      </c>
      <c r="HR775">
        <v>0</v>
      </c>
      <c r="HS775">
        <v>0</v>
      </c>
      <c r="HT775">
        <v>0</v>
      </c>
      <c r="HU775">
        <v>0</v>
      </c>
      <c r="HV775">
        <v>0</v>
      </c>
      <c r="HW775">
        <v>404.70000000000005</v>
      </c>
      <c r="HX775">
        <v>342.3</v>
      </c>
      <c r="HZ775">
        <v>866.2</v>
      </c>
      <c r="IA775">
        <v>1142.8</v>
      </c>
      <c r="IB775">
        <v>1121.5</v>
      </c>
      <c r="IC775">
        <v>2403</v>
      </c>
      <c r="ID775">
        <v>2659.3</v>
      </c>
      <c r="IE775">
        <v>1923.4</v>
      </c>
      <c r="IF775">
        <v>1465.7</v>
      </c>
      <c r="IG775">
        <v>1608.3</v>
      </c>
      <c r="IH775">
        <v>0</v>
      </c>
      <c r="II775">
        <v>0</v>
      </c>
      <c r="IJ775">
        <v>0</v>
      </c>
      <c r="IK775">
        <v>0</v>
      </c>
      <c r="IL775">
        <v>0</v>
      </c>
      <c r="IM775">
        <v>0</v>
      </c>
      <c r="IN775">
        <v>0</v>
      </c>
      <c r="IO775">
        <v>0</v>
      </c>
      <c r="IP775">
        <v>75.099999999999994</v>
      </c>
    </row>
    <row r="776" spans="1:250" ht="18" thickBot="1">
      <c r="A776" s="245"/>
      <c r="B776" s="245" t="s">
        <v>606</v>
      </c>
      <c r="C776" s="88" t="s">
        <v>1195</v>
      </c>
      <c r="D776" s="399" t="s">
        <v>1229</v>
      </c>
      <c r="E776" s="454">
        <v>0</v>
      </c>
      <c r="F776">
        <v>0</v>
      </c>
      <c r="G776" s="427">
        <v>0</v>
      </c>
      <c r="H776" s="155">
        <v>0</v>
      </c>
      <c r="I776">
        <v>0</v>
      </c>
      <c r="J776">
        <v>0</v>
      </c>
      <c r="K776">
        <v>0</v>
      </c>
      <c r="L776" s="4">
        <v>0</v>
      </c>
      <c r="M776" s="4">
        <v>0</v>
      </c>
      <c r="N776" s="4">
        <v>0</v>
      </c>
      <c r="O776" s="4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R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G776">
        <v>0</v>
      </c>
      <c r="BI776">
        <v>0</v>
      </c>
      <c r="BK776">
        <v>0</v>
      </c>
      <c r="BL776">
        <v>0</v>
      </c>
      <c r="BM776">
        <v>0</v>
      </c>
      <c r="BN776">
        <v>0</v>
      </c>
      <c r="BO776">
        <v>344.70000000000005</v>
      </c>
      <c r="BP776">
        <v>625.70000000000005</v>
      </c>
      <c r="BQ776">
        <v>912.2</v>
      </c>
      <c r="BR776">
        <v>237.7</v>
      </c>
      <c r="BS776">
        <v>0</v>
      </c>
      <c r="BT776">
        <v>0</v>
      </c>
      <c r="BU776">
        <v>0</v>
      </c>
      <c r="BV776">
        <v>0</v>
      </c>
      <c r="BW776">
        <v>1647.4</v>
      </c>
      <c r="BY776">
        <v>453.1</v>
      </c>
      <c r="CA776">
        <v>285.39999999999998</v>
      </c>
      <c r="CB776">
        <v>280.8</v>
      </c>
      <c r="CC776">
        <v>127.7</v>
      </c>
      <c r="CD776">
        <v>0</v>
      </c>
      <c r="CE776">
        <v>0</v>
      </c>
      <c r="CF776">
        <v>0</v>
      </c>
      <c r="CG776">
        <v>0</v>
      </c>
      <c r="CI776">
        <v>0</v>
      </c>
      <c r="CJ776">
        <v>0</v>
      </c>
      <c r="CL776">
        <v>0</v>
      </c>
      <c r="CM776">
        <v>0</v>
      </c>
      <c r="CN776">
        <v>0</v>
      </c>
      <c r="CO776">
        <v>0</v>
      </c>
      <c r="CP776">
        <v>0</v>
      </c>
      <c r="CQ776">
        <v>621.70000000000005</v>
      </c>
      <c r="CR776">
        <v>481.70000000000005</v>
      </c>
      <c r="CS776">
        <v>0</v>
      </c>
      <c r="CT776">
        <v>524.6</v>
      </c>
      <c r="CU776">
        <v>514.1</v>
      </c>
      <c r="CV776">
        <v>175.2</v>
      </c>
      <c r="CW776">
        <v>0</v>
      </c>
      <c r="CX776">
        <v>65.099999999999994</v>
      </c>
      <c r="CY776">
        <v>199</v>
      </c>
      <c r="CZ776">
        <v>1907.9</v>
      </c>
      <c r="DA776">
        <v>0</v>
      </c>
      <c r="DB776">
        <v>0</v>
      </c>
      <c r="DC776">
        <v>0</v>
      </c>
      <c r="DD776">
        <v>0</v>
      </c>
      <c r="DE776">
        <v>0</v>
      </c>
      <c r="DF776">
        <v>0</v>
      </c>
      <c r="DG776">
        <v>0</v>
      </c>
      <c r="DH776">
        <v>0</v>
      </c>
      <c r="DI776">
        <v>0</v>
      </c>
      <c r="DJ776">
        <v>0</v>
      </c>
      <c r="DK776">
        <v>0</v>
      </c>
      <c r="DL776">
        <v>0</v>
      </c>
      <c r="DM776">
        <v>1065.4000000000001</v>
      </c>
      <c r="DN776">
        <v>599.70000000000005</v>
      </c>
      <c r="DO776">
        <v>319.7</v>
      </c>
      <c r="DP776">
        <v>1570.6999999999998</v>
      </c>
      <c r="DQ776">
        <v>1399.5</v>
      </c>
      <c r="DR776">
        <v>3581</v>
      </c>
      <c r="DU776">
        <v>1393.2</v>
      </c>
      <c r="DV776">
        <v>2862.6</v>
      </c>
      <c r="DY776">
        <v>2361</v>
      </c>
      <c r="EA776">
        <v>2409.6</v>
      </c>
      <c r="EC776">
        <v>1661.3999999999999</v>
      </c>
      <c r="EE776">
        <v>0</v>
      </c>
      <c r="EF776">
        <v>0</v>
      </c>
      <c r="EG776">
        <v>0</v>
      </c>
      <c r="EH776">
        <v>0</v>
      </c>
      <c r="EI776">
        <v>0</v>
      </c>
      <c r="EJ776">
        <v>0</v>
      </c>
      <c r="EK776">
        <v>0</v>
      </c>
      <c r="EL776">
        <v>0</v>
      </c>
      <c r="EM776">
        <v>0</v>
      </c>
      <c r="EN776">
        <v>0</v>
      </c>
      <c r="EO776">
        <v>0</v>
      </c>
      <c r="EP776">
        <v>944.5</v>
      </c>
      <c r="EQ776">
        <v>3459.7</v>
      </c>
      <c r="ER776">
        <v>1353.5</v>
      </c>
      <c r="ES776">
        <v>182.2</v>
      </c>
      <c r="ET776">
        <v>855.59999999999991</v>
      </c>
      <c r="EU776">
        <v>172.2</v>
      </c>
      <c r="EV776">
        <v>203.2</v>
      </c>
      <c r="EW776">
        <v>1173.0999999999999</v>
      </c>
      <c r="EX776">
        <v>1078.3</v>
      </c>
      <c r="EY776">
        <v>1194.4000000000001</v>
      </c>
      <c r="EZ776">
        <v>1207.0999999999999</v>
      </c>
      <c r="FA776">
        <v>0</v>
      </c>
      <c r="FB776">
        <v>0</v>
      </c>
      <c r="FC776">
        <v>0</v>
      </c>
      <c r="FD776">
        <v>0</v>
      </c>
      <c r="FE776">
        <v>0</v>
      </c>
      <c r="FF776">
        <v>0</v>
      </c>
      <c r="FG776">
        <v>0</v>
      </c>
      <c r="FH776">
        <v>0</v>
      </c>
      <c r="FI776">
        <v>0</v>
      </c>
      <c r="FJ776">
        <v>0</v>
      </c>
      <c r="FK776">
        <v>0</v>
      </c>
      <c r="FL776">
        <v>0</v>
      </c>
      <c r="FM776">
        <v>0</v>
      </c>
      <c r="FN776">
        <v>0</v>
      </c>
      <c r="FO776">
        <v>0</v>
      </c>
      <c r="FP776">
        <v>0</v>
      </c>
      <c r="FQ776">
        <v>0</v>
      </c>
      <c r="FR776">
        <v>0</v>
      </c>
      <c r="FS776">
        <v>0</v>
      </c>
      <c r="FT776">
        <v>0</v>
      </c>
      <c r="FU776">
        <v>0</v>
      </c>
      <c r="FV776">
        <v>0</v>
      </c>
      <c r="FW776">
        <v>0</v>
      </c>
      <c r="FX776">
        <v>0</v>
      </c>
      <c r="FY776">
        <v>0</v>
      </c>
      <c r="FZ776">
        <v>0</v>
      </c>
      <c r="GA776">
        <v>0</v>
      </c>
      <c r="GB776">
        <v>0</v>
      </c>
      <c r="GC776">
        <v>0</v>
      </c>
      <c r="GD776">
        <v>0</v>
      </c>
      <c r="GE776">
        <v>0</v>
      </c>
      <c r="GF776">
        <v>0</v>
      </c>
      <c r="GG776">
        <v>0</v>
      </c>
      <c r="GH776">
        <v>0</v>
      </c>
      <c r="GI776">
        <v>0</v>
      </c>
      <c r="GJ776">
        <v>0</v>
      </c>
      <c r="GK776">
        <v>0</v>
      </c>
      <c r="GL776">
        <v>0</v>
      </c>
      <c r="GO776">
        <v>0</v>
      </c>
      <c r="GP776">
        <v>0</v>
      </c>
      <c r="GQ776">
        <v>0</v>
      </c>
      <c r="GR776">
        <v>0</v>
      </c>
      <c r="GS776">
        <v>0</v>
      </c>
      <c r="GT776">
        <v>0</v>
      </c>
      <c r="GU776">
        <v>0</v>
      </c>
      <c r="GV776">
        <v>0</v>
      </c>
      <c r="GW776">
        <v>0</v>
      </c>
      <c r="GX776">
        <v>0</v>
      </c>
      <c r="GY776">
        <v>0</v>
      </c>
      <c r="GZ776">
        <v>0</v>
      </c>
      <c r="HA776">
        <v>0</v>
      </c>
      <c r="HB776">
        <v>0</v>
      </c>
      <c r="HC776">
        <v>0</v>
      </c>
      <c r="HD776">
        <v>0</v>
      </c>
      <c r="HE776">
        <v>0</v>
      </c>
      <c r="HF776">
        <v>0</v>
      </c>
      <c r="HG776">
        <v>0</v>
      </c>
      <c r="HH776">
        <v>0</v>
      </c>
      <c r="HI776">
        <v>0</v>
      </c>
      <c r="HJ776">
        <v>0</v>
      </c>
      <c r="HK776">
        <v>0</v>
      </c>
      <c r="HL776">
        <v>0</v>
      </c>
      <c r="HM776">
        <v>0</v>
      </c>
      <c r="HN776">
        <v>0</v>
      </c>
      <c r="HO776">
        <v>0</v>
      </c>
      <c r="HP776">
        <v>0</v>
      </c>
      <c r="HQ776">
        <v>0</v>
      </c>
      <c r="HR776">
        <v>0</v>
      </c>
      <c r="HS776">
        <v>0</v>
      </c>
      <c r="HT776">
        <v>0</v>
      </c>
      <c r="HU776">
        <v>0</v>
      </c>
      <c r="HV776">
        <v>0</v>
      </c>
      <c r="HW776">
        <v>404.70000000000005</v>
      </c>
      <c r="HX776">
        <v>342.3</v>
      </c>
      <c r="HZ776">
        <v>866.2</v>
      </c>
      <c r="IA776">
        <v>1142.8</v>
      </c>
      <c r="IB776">
        <v>1121.5</v>
      </c>
      <c r="IC776">
        <v>2403</v>
      </c>
      <c r="ID776">
        <v>2659.3</v>
      </c>
      <c r="IE776">
        <v>1923.4</v>
      </c>
      <c r="IF776">
        <v>1465.7</v>
      </c>
      <c r="IG776">
        <v>1608.3</v>
      </c>
      <c r="IH776">
        <v>0</v>
      </c>
      <c r="II776">
        <v>0</v>
      </c>
      <c r="IJ776">
        <v>0</v>
      </c>
      <c r="IK776">
        <v>0</v>
      </c>
      <c r="IL776">
        <v>0</v>
      </c>
      <c r="IM776">
        <v>0</v>
      </c>
      <c r="IN776">
        <v>0</v>
      </c>
      <c r="IO776">
        <v>0</v>
      </c>
      <c r="IP776">
        <v>75.099999999999994</v>
      </c>
    </row>
    <row r="777" spans="1:250" ht="18" thickBot="1">
      <c r="A777" s="245"/>
      <c r="B777" s="245" t="s">
        <v>607</v>
      </c>
      <c r="C777" s="88" t="s">
        <v>1196</v>
      </c>
      <c r="D777" s="399" t="s">
        <v>1229</v>
      </c>
      <c r="E777" s="454">
        <v>0</v>
      </c>
      <c r="F777">
        <v>0</v>
      </c>
      <c r="G777" s="427">
        <v>0</v>
      </c>
      <c r="H777" s="155">
        <v>0</v>
      </c>
      <c r="I777">
        <v>0</v>
      </c>
      <c r="J777">
        <v>0</v>
      </c>
      <c r="K777">
        <v>0</v>
      </c>
      <c r="L777" s="4">
        <v>0</v>
      </c>
      <c r="M777" s="4">
        <v>0</v>
      </c>
      <c r="N777" s="4">
        <v>0</v>
      </c>
      <c r="O777" s="4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R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G777">
        <v>0</v>
      </c>
      <c r="BI777">
        <v>0</v>
      </c>
      <c r="BK777">
        <v>0</v>
      </c>
      <c r="BL777">
        <v>0</v>
      </c>
      <c r="BM777">
        <v>0</v>
      </c>
      <c r="BN777">
        <v>0</v>
      </c>
      <c r="BO777">
        <v>344.70000000000005</v>
      </c>
      <c r="BP777">
        <v>625.70000000000005</v>
      </c>
      <c r="BQ777">
        <v>912.2</v>
      </c>
      <c r="BR777">
        <v>237.7</v>
      </c>
      <c r="BS777">
        <v>0</v>
      </c>
      <c r="BT777">
        <v>0</v>
      </c>
      <c r="BU777">
        <v>0</v>
      </c>
      <c r="BV777">
        <v>0</v>
      </c>
      <c r="BW777">
        <v>1647.4</v>
      </c>
      <c r="BY777">
        <v>453.1</v>
      </c>
      <c r="CA777">
        <v>285.39999999999998</v>
      </c>
      <c r="CB777">
        <v>280.8</v>
      </c>
      <c r="CC777">
        <v>127.7</v>
      </c>
      <c r="CD777">
        <v>0</v>
      </c>
      <c r="CE777">
        <v>0</v>
      </c>
      <c r="CF777">
        <v>0</v>
      </c>
      <c r="CG777">
        <v>0</v>
      </c>
      <c r="CI777">
        <v>0</v>
      </c>
      <c r="CJ777">
        <v>0</v>
      </c>
      <c r="CL777">
        <v>0</v>
      </c>
      <c r="CM777">
        <v>0</v>
      </c>
      <c r="CN777">
        <v>0</v>
      </c>
      <c r="CO777">
        <v>0</v>
      </c>
      <c r="CP777">
        <v>0</v>
      </c>
      <c r="CQ777">
        <v>621.70000000000005</v>
      </c>
      <c r="CR777">
        <v>481.70000000000005</v>
      </c>
      <c r="CS777">
        <v>0</v>
      </c>
      <c r="CT777">
        <v>524.6</v>
      </c>
      <c r="CU777">
        <v>514.1</v>
      </c>
      <c r="CV777">
        <v>175.2</v>
      </c>
      <c r="CW777">
        <v>0</v>
      </c>
      <c r="CX777">
        <v>65.099999999999994</v>
      </c>
      <c r="CY777">
        <v>199</v>
      </c>
      <c r="CZ777">
        <v>1907.9</v>
      </c>
      <c r="DA777">
        <v>0</v>
      </c>
      <c r="DB777">
        <v>0</v>
      </c>
      <c r="DC777">
        <v>0</v>
      </c>
      <c r="DD777">
        <v>0</v>
      </c>
      <c r="DE777">
        <v>0</v>
      </c>
      <c r="DF777">
        <v>0</v>
      </c>
      <c r="DG777">
        <v>0</v>
      </c>
      <c r="DH777">
        <v>0</v>
      </c>
      <c r="DI777">
        <v>0</v>
      </c>
      <c r="DJ777">
        <v>0</v>
      </c>
      <c r="DK777">
        <v>0</v>
      </c>
      <c r="DL777">
        <v>0</v>
      </c>
      <c r="DM777">
        <v>1065.4000000000001</v>
      </c>
      <c r="DN777">
        <v>599.70000000000005</v>
      </c>
      <c r="DO777">
        <v>319.7</v>
      </c>
      <c r="DP777">
        <v>1570.6999999999998</v>
      </c>
      <c r="DQ777">
        <v>1399.5</v>
      </c>
      <c r="DR777">
        <v>3581</v>
      </c>
      <c r="DU777">
        <v>1393.2</v>
      </c>
      <c r="DV777">
        <v>2862.6</v>
      </c>
      <c r="DY777">
        <v>2361</v>
      </c>
      <c r="EA777">
        <v>2409.6</v>
      </c>
      <c r="EC777">
        <v>1661.3999999999999</v>
      </c>
      <c r="EE777">
        <v>0</v>
      </c>
      <c r="EF777">
        <v>0</v>
      </c>
      <c r="EG777">
        <v>0</v>
      </c>
      <c r="EH777">
        <v>0</v>
      </c>
      <c r="EI777">
        <v>0</v>
      </c>
      <c r="EJ777">
        <v>0</v>
      </c>
      <c r="EK777">
        <v>0</v>
      </c>
      <c r="EL777">
        <v>0</v>
      </c>
      <c r="EM777">
        <v>0</v>
      </c>
      <c r="EN777">
        <v>0</v>
      </c>
      <c r="EO777">
        <v>0</v>
      </c>
      <c r="EP777">
        <v>944.5</v>
      </c>
      <c r="EQ777">
        <v>3459.7</v>
      </c>
      <c r="ER777">
        <v>1353.5</v>
      </c>
      <c r="ES777">
        <v>182.2</v>
      </c>
      <c r="ET777">
        <v>855.59999999999991</v>
      </c>
      <c r="EU777">
        <v>172.2</v>
      </c>
      <c r="EV777">
        <v>203.2</v>
      </c>
      <c r="EW777">
        <v>1173.0999999999999</v>
      </c>
      <c r="EX777">
        <v>1078.3</v>
      </c>
      <c r="EY777">
        <v>1194.4000000000001</v>
      </c>
      <c r="EZ777">
        <v>1207.0999999999999</v>
      </c>
      <c r="FA777">
        <v>0</v>
      </c>
      <c r="FB777">
        <v>0</v>
      </c>
      <c r="FC777">
        <v>0</v>
      </c>
      <c r="FD777">
        <v>0</v>
      </c>
      <c r="FE777">
        <v>0</v>
      </c>
      <c r="FF777">
        <v>0</v>
      </c>
      <c r="FG777">
        <v>0</v>
      </c>
      <c r="FH777">
        <v>0</v>
      </c>
      <c r="FI777">
        <v>0</v>
      </c>
      <c r="FJ777">
        <v>0</v>
      </c>
      <c r="FK777">
        <v>0</v>
      </c>
      <c r="FL777">
        <v>0</v>
      </c>
      <c r="FM777">
        <v>0</v>
      </c>
      <c r="FN777">
        <v>0</v>
      </c>
      <c r="FO777">
        <v>0</v>
      </c>
      <c r="FP777">
        <v>0</v>
      </c>
      <c r="FQ777">
        <v>0</v>
      </c>
      <c r="FR777">
        <v>0</v>
      </c>
      <c r="FS777">
        <v>0</v>
      </c>
      <c r="FT777">
        <v>0</v>
      </c>
      <c r="FU777">
        <v>0</v>
      </c>
      <c r="FV777">
        <v>0</v>
      </c>
      <c r="FW777">
        <v>0</v>
      </c>
      <c r="FX777">
        <v>0</v>
      </c>
      <c r="FY777">
        <v>0</v>
      </c>
      <c r="FZ777">
        <v>0</v>
      </c>
      <c r="GA777">
        <v>0</v>
      </c>
      <c r="GB777">
        <v>0</v>
      </c>
      <c r="GC777">
        <v>0</v>
      </c>
      <c r="GD777">
        <v>0</v>
      </c>
      <c r="GE777">
        <v>0</v>
      </c>
      <c r="GF777">
        <v>0</v>
      </c>
      <c r="GG777">
        <v>0</v>
      </c>
      <c r="GH777">
        <v>0</v>
      </c>
      <c r="GI777">
        <v>0</v>
      </c>
      <c r="GJ777">
        <v>0</v>
      </c>
      <c r="GK777">
        <v>0</v>
      </c>
      <c r="GL777">
        <v>0</v>
      </c>
      <c r="GO777">
        <v>0</v>
      </c>
      <c r="GP777">
        <v>0</v>
      </c>
      <c r="GQ777">
        <v>0</v>
      </c>
      <c r="GR777">
        <v>0</v>
      </c>
      <c r="GS777">
        <v>0</v>
      </c>
      <c r="GT777">
        <v>0</v>
      </c>
      <c r="GU777">
        <v>0</v>
      </c>
      <c r="GV777">
        <v>0</v>
      </c>
      <c r="GW777">
        <v>0</v>
      </c>
      <c r="GX777">
        <v>0</v>
      </c>
      <c r="GY777">
        <v>0</v>
      </c>
      <c r="GZ777">
        <v>0</v>
      </c>
      <c r="HA777">
        <v>0</v>
      </c>
      <c r="HB777">
        <v>0</v>
      </c>
      <c r="HC777">
        <v>0</v>
      </c>
      <c r="HD777">
        <v>0</v>
      </c>
      <c r="HE777">
        <v>0</v>
      </c>
      <c r="HF777">
        <v>0</v>
      </c>
      <c r="HG777">
        <v>0</v>
      </c>
      <c r="HH777">
        <v>0</v>
      </c>
      <c r="HI777">
        <v>0</v>
      </c>
      <c r="HJ777">
        <v>0</v>
      </c>
      <c r="HK777">
        <v>0</v>
      </c>
      <c r="HL777">
        <v>0</v>
      </c>
      <c r="HM777">
        <v>0</v>
      </c>
      <c r="HN777">
        <v>0</v>
      </c>
      <c r="HO777">
        <v>0</v>
      </c>
      <c r="HP777">
        <v>0</v>
      </c>
      <c r="HQ777">
        <v>0</v>
      </c>
      <c r="HR777">
        <v>0</v>
      </c>
      <c r="HS777">
        <v>0</v>
      </c>
      <c r="HT777">
        <v>0</v>
      </c>
      <c r="HU777">
        <v>0</v>
      </c>
      <c r="HV777">
        <v>0</v>
      </c>
      <c r="HW777">
        <v>404.70000000000005</v>
      </c>
      <c r="HX777">
        <v>342.3</v>
      </c>
      <c r="HZ777">
        <v>866.2</v>
      </c>
      <c r="IA777">
        <v>1142.8</v>
      </c>
      <c r="IB777">
        <v>1121.5</v>
      </c>
      <c r="IC777">
        <v>2403</v>
      </c>
      <c r="ID777">
        <v>2659.3</v>
      </c>
      <c r="IE777">
        <v>1923.4</v>
      </c>
      <c r="IF777">
        <v>1465.7</v>
      </c>
      <c r="IG777">
        <v>1608.3</v>
      </c>
      <c r="IH777">
        <v>0</v>
      </c>
      <c r="II777">
        <v>0</v>
      </c>
      <c r="IJ777">
        <v>0</v>
      </c>
      <c r="IK777">
        <v>0</v>
      </c>
      <c r="IL777">
        <v>0</v>
      </c>
      <c r="IM777">
        <v>0</v>
      </c>
      <c r="IN777">
        <v>0</v>
      </c>
      <c r="IO777">
        <v>0</v>
      </c>
      <c r="IP777">
        <v>75.099999999999994</v>
      </c>
    </row>
    <row r="778" spans="1:250" ht="18" thickBot="1">
      <c r="A778" s="245"/>
      <c r="B778" s="245" t="s">
        <v>608</v>
      </c>
      <c r="C778" s="88" t="s">
        <v>1197</v>
      </c>
      <c r="D778" s="399" t="s">
        <v>1229</v>
      </c>
      <c r="E778" s="454">
        <v>0</v>
      </c>
      <c r="F778">
        <v>0</v>
      </c>
      <c r="G778" s="427">
        <v>0</v>
      </c>
      <c r="H778" s="155">
        <v>0</v>
      </c>
      <c r="I778">
        <v>0</v>
      </c>
      <c r="J778">
        <v>0</v>
      </c>
      <c r="K778">
        <v>0</v>
      </c>
      <c r="L778" s="4">
        <v>0</v>
      </c>
      <c r="M778" s="4">
        <v>0</v>
      </c>
      <c r="N778" s="4">
        <v>0</v>
      </c>
      <c r="O778" s="4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R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G778">
        <v>0</v>
      </c>
      <c r="BI778">
        <v>0</v>
      </c>
      <c r="BK778">
        <v>0</v>
      </c>
      <c r="BL778">
        <v>0</v>
      </c>
      <c r="BM778">
        <v>0</v>
      </c>
      <c r="BN778">
        <v>0</v>
      </c>
      <c r="BO778">
        <v>344.70000000000005</v>
      </c>
      <c r="BP778">
        <v>625.70000000000005</v>
      </c>
      <c r="BQ778">
        <v>912.2</v>
      </c>
      <c r="BR778">
        <v>237.7</v>
      </c>
      <c r="BS778">
        <v>0</v>
      </c>
      <c r="BT778">
        <v>0</v>
      </c>
      <c r="BU778">
        <v>0</v>
      </c>
      <c r="BV778">
        <v>0</v>
      </c>
      <c r="BW778">
        <v>1647.4</v>
      </c>
      <c r="BY778">
        <v>453.1</v>
      </c>
      <c r="CA778">
        <v>285.39999999999998</v>
      </c>
      <c r="CB778">
        <v>280.8</v>
      </c>
      <c r="CC778">
        <v>127.7</v>
      </c>
      <c r="CD778">
        <v>0</v>
      </c>
      <c r="CE778">
        <v>0</v>
      </c>
      <c r="CF778">
        <v>0</v>
      </c>
      <c r="CG778">
        <v>0</v>
      </c>
      <c r="CI778">
        <v>0</v>
      </c>
      <c r="CJ778">
        <v>0</v>
      </c>
      <c r="CL778">
        <v>0</v>
      </c>
      <c r="CM778">
        <v>0</v>
      </c>
      <c r="CN778">
        <v>0</v>
      </c>
      <c r="CO778">
        <v>0</v>
      </c>
      <c r="CP778">
        <v>0</v>
      </c>
      <c r="CQ778">
        <v>621.70000000000005</v>
      </c>
      <c r="CR778">
        <v>481.70000000000005</v>
      </c>
      <c r="CS778">
        <v>0</v>
      </c>
      <c r="CT778">
        <v>524.6</v>
      </c>
      <c r="CU778">
        <v>514.1</v>
      </c>
      <c r="CV778">
        <v>175.2</v>
      </c>
      <c r="CW778">
        <v>0</v>
      </c>
      <c r="CX778">
        <v>65.099999999999994</v>
      </c>
      <c r="CY778">
        <v>199</v>
      </c>
      <c r="CZ778">
        <v>1907.9</v>
      </c>
      <c r="DA778">
        <v>0</v>
      </c>
      <c r="DB778">
        <v>0</v>
      </c>
      <c r="DC778">
        <v>0</v>
      </c>
      <c r="DD778">
        <v>0</v>
      </c>
      <c r="DE778">
        <v>0</v>
      </c>
      <c r="DF778">
        <v>0</v>
      </c>
      <c r="DG778">
        <v>0</v>
      </c>
      <c r="DH778">
        <v>0</v>
      </c>
      <c r="DI778">
        <v>0</v>
      </c>
      <c r="DJ778">
        <v>0</v>
      </c>
      <c r="DK778">
        <v>0</v>
      </c>
      <c r="DL778">
        <v>0</v>
      </c>
      <c r="DM778">
        <v>1065.4000000000001</v>
      </c>
      <c r="DN778">
        <v>599.70000000000005</v>
      </c>
      <c r="DO778">
        <v>319.7</v>
      </c>
      <c r="DP778">
        <v>1570.6999999999998</v>
      </c>
      <c r="DQ778">
        <v>1399.5</v>
      </c>
      <c r="DR778">
        <v>3581</v>
      </c>
      <c r="DU778">
        <v>1393.2</v>
      </c>
      <c r="DV778">
        <v>2862.6</v>
      </c>
      <c r="DY778">
        <v>2361</v>
      </c>
      <c r="EA778">
        <v>2409.6</v>
      </c>
      <c r="EC778">
        <v>1661.3999999999999</v>
      </c>
      <c r="EE778">
        <v>0</v>
      </c>
      <c r="EF778">
        <v>0</v>
      </c>
      <c r="EG778">
        <v>0</v>
      </c>
      <c r="EH778">
        <v>0</v>
      </c>
      <c r="EI778">
        <v>0</v>
      </c>
      <c r="EJ778">
        <v>0</v>
      </c>
      <c r="EK778">
        <v>0</v>
      </c>
      <c r="EL778">
        <v>0</v>
      </c>
      <c r="EM778">
        <v>0</v>
      </c>
      <c r="EN778">
        <v>0</v>
      </c>
      <c r="EO778">
        <v>0</v>
      </c>
      <c r="EP778">
        <v>944.5</v>
      </c>
      <c r="EQ778">
        <v>3459.7</v>
      </c>
      <c r="ER778">
        <v>1353.5</v>
      </c>
      <c r="ES778">
        <v>182.2</v>
      </c>
      <c r="ET778">
        <v>855.59999999999991</v>
      </c>
      <c r="EU778">
        <v>172.2</v>
      </c>
      <c r="EV778">
        <v>203.2</v>
      </c>
      <c r="EW778">
        <v>1173.0999999999999</v>
      </c>
      <c r="EX778">
        <v>1078.3</v>
      </c>
      <c r="EY778">
        <v>1194.4000000000001</v>
      </c>
      <c r="EZ778">
        <v>1207.0999999999999</v>
      </c>
      <c r="FA778">
        <v>0</v>
      </c>
      <c r="FB778">
        <v>0</v>
      </c>
      <c r="FC778">
        <v>0</v>
      </c>
      <c r="FD778">
        <v>0</v>
      </c>
      <c r="FE778">
        <v>0</v>
      </c>
      <c r="FF778">
        <v>0</v>
      </c>
      <c r="FG778">
        <v>0</v>
      </c>
      <c r="FH778">
        <v>0</v>
      </c>
      <c r="FI778">
        <v>0</v>
      </c>
      <c r="FJ778">
        <v>0</v>
      </c>
      <c r="FK778">
        <v>0</v>
      </c>
      <c r="FL778">
        <v>0</v>
      </c>
      <c r="FM778">
        <v>0</v>
      </c>
      <c r="FN778">
        <v>0</v>
      </c>
      <c r="FO778">
        <v>0</v>
      </c>
      <c r="FP778">
        <v>0</v>
      </c>
      <c r="FQ778">
        <v>0</v>
      </c>
      <c r="FR778">
        <v>0</v>
      </c>
      <c r="FS778">
        <v>0</v>
      </c>
      <c r="FT778">
        <v>0</v>
      </c>
      <c r="FU778">
        <v>0</v>
      </c>
      <c r="FV778">
        <v>0</v>
      </c>
      <c r="FW778">
        <v>0</v>
      </c>
      <c r="FX778">
        <v>0</v>
      </c>
      <c r="FY778">
        <v>0</v>
      </c>
      <c r="FZ778">
        <v>0</v>
      </c>
      <c r="GA778">
        <v>0</v>
      </c>
      <c r="GB778">
        <v>0</v>
      </c>
      <c r="GC778">
        <v>0</v>
      </c>
      <c r="GD778">
        <v>0</v>
      </c>
      <c r="GE778">
        <v>0</v>
      </c>
      <c r="GF778">
        <v>0</v>
      </c>
      <c r="GG778">
        <v>0</v>
      </c>
      <c r="GH778">
        <v>0</v>
      </c>
      <c r="GI778">
        <v>0</v>
      </c>
      <c r="GJ778">
        <v>0</v>
      </c>
      <c r="GK778">
        <v>0</v>
      </c>
      <c r="GL778">
        <v>0</v>
      </c>
      <c r="GO778">
        <v>0</v>
      </c>
      <c r="GP778">
        <v>0</v>
      </c>
      <c r="GQ778">
        <v>0</v>
      </c>
      <c r="GR778">
        <v>0</v>
      </c>
      <c r="GS778">
        <v>0</v>
      </c>
      <c r="GT778">
        <v>0</v>
      </c>
      <c r="GU778">
        <v>0</v>
      </c>
      <c r="GV778">
        <v>0</v>
      </c>
      <c r="GW778">
        <v>0</v>
      </c>
      <c r="GX778">
        <v>0</v>
      </c>
      <c r="GY778">
        <v>0</v>
      </c>
      <c r="GZ778">
        <v>0</v>
      </c>
      <c r="HA778">
        <v>0</v>
      </c>
      <c r="HB778">
        <v>0</v>
      </c>
      <c r="HC778">
        <v>0</v>
      </c>
      <c r="HD778">
        <v>0</v>
      </c>
      <c r="HE778">
        <v>0</v>
      </c>
      <c r="HF778">
        <v>0</v>
      </c>
      <c r="HG778">
        <v>0</v>
      </c>
      <c r="HH778">
        <v>0</v>
      </c>
      <c r="HI778">
        <v>0</v>
      </c>
      <c r="HJ778">
        <v>0</v>
      </c>
      <c r="HK778">
        <v>0</v>
      </c>
      <c r="HL778">
        <v>0</v>
      </c>
      <c r="HM778">
        <v>0</v>
      </c>
      <c r="HN778">
        <v>0</v>
      </c>
      <c r="HO778">
        <v>0</v>
      </c>
      <c r="HP778">
        <v>0</v>
      </c>
      <c r="HQ778">
        <v>0</v>
      </c>
      <c r="HR778">
        <v>0</v>
      </c>
      <c r="HS778">
        <v>0</v>
      </c>
      <c r="HT778">
        <v>0</v>
      </c>
      <c r="HU778">
        <v>0</v>
      </c>
      <c r="HV778">
        <v>0</v>
      </c>
      <c r="HW778">
        <v>404.70000000000005</v>
      </c>
      <c r="HX778">
        <v>342.3</v>
      </c>
      <c r="HZ778">
        <v>866.2</v>
      </c>
      <c r="IA778">
        <v>1142.8</v>
      </c>
      <c r="IB778">
        <v>1121.5</v>
      </c>
      <c r="IC778">
        <v>2403</v>
      </c>
      <c r="ID778">
        <v>2659.3</v>
      </c>
      <c r="IE778">
        <v>1923.4</v>
      </c>
      <c r="IF778">
        <v>1465.7</v>
      </c>
      <c r="IG778">
        <v>1608.3</v>
      </c>
      <c r="IH778">
        <v>0</v>
      </c>
      <c r="II778">
        <v>0</v>
      </c>
      <c r="IJ778">
        <v>0</v>
      </c>
      <c r="IK778">
        <v>0</v>
      </c>
      <c r="IL778">
        <v>0</v>
      </c>
      <c r="IM778">
        <v>0</v>
      </c>
      <c r="IN778">
        <v>0</v>
      </c>
      <c r="IO778">
        <v>0</v>
      </c>
      <c r="IP778">
        <v>75.099999999999994</v>
      </c>
    </row>
    <row r="779" spans="1:250" ht="18" thickBot="1">
      <c r="A779" s="245"/>
      <c r="B779" s="245" t="s">
        <v>1002</v>
      </c>
      <c r="C779" s="88" t="s">
        <v>1198</v>
      </c>
      <c r="D779" s="399" t="s">
        <v>1229</v>
      </c>
      <c r="E779" s="454">
        <v>0</v>
      </c>
      <c r="F779">
        <v>0</v>
      </c>
      <c r="G779" s="427">
        <v>0</v>
      </c>
      <c r="H779" s="155">
        <v>0</v>
      </c>
      <c r="I779">
        <v>0</v>
      </c>
      <c r="J779">
        <v>0</v>
      </c>
      <c r="K779">
        <v>0</v>
      </c>
      <c r="L779" s="4">
        <v>0</v>
      </c>
      <c r="M779" s="4">
        <v>0</v>
      </c>
      <c r="N779" s="4">
        <v>0</v>
      </c>
      <c r="O779" s="4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R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G779">
        <v>0</v>
      </c>
      <c r="BI779">
        <v>0</v>
      </c>
      <c r="BK779">
        <v>0</v>
      </c>
      <c r="BL779">
        <v>0</v>
      </c>
      <c r="BM779">
        <v>0</v>
      </c>
      <c r="BN779">
        <v>0</v>
      </c>
      <c r="BO779">
        <v>344.70000000000005</v>
      </c>
      <c r="BP779">
        <v>625.70000000000005</v>
      </c>
      <c r="BQ779">
        <v>912.2</v>
      </c>
      <c r="BR779">
        <v>237.7</v>
      </c>
      <c r="BS779">
        <v>0</v>
      </c>
      <c r="BT779">
        <v>0</v>
      </c>
      <c r="BU779">
        <v>0</v>
      </c>
      <c r="BV779">
        <v>0</v>
      </c>
      <c r="BW779">
        <v>1647.4</v>
      </c>
      <c r="BY779">
        <v>453.1</v>
      </c>
      <c r="CA779">
        <v>285.39999999999998</v>
      </c>
      <c r="CB779">
        <v>280.8</v>
      </c>
      <c r="CC779">
        <v>127.7</v>
      </c>
      <c r="CD779">
        <v>0</v>
      </c>
      <c r="CE779">
        <v>0</v>
      </c>
      <c r="CF779">
        <v>0</v>
      </c>
      <c r="CG779">
        <v>0</v>
      </c>
      <c r="CI779">
        <v>0</v>
      </c>
      <c r="CJ779">
        <v>0</v>
      </c>
      <c r="CL779">
        <v>0</v>
      </c>
      <c r="CM779">
        <v>0</v>
      </c>
      <c r="CN779">
        <v>0</v>
      </c>
      <c r="CO779">
        <v>0</v>
      </c>
      <c r="CP779">
        <v>0</v>
      </c>
      <c r="CQ779">
        <v>621.70000000000005</v>
      </c>
      <c r="CR779">
        <v>481.70000000000005</v>
      </c>
      <c r="CS779">
        <v>0</v>
      </c>
      <c r="CT779">
        <v>524.6</v>
      </c>
      <c r="CU779">
        <v>514.1</v>
      </c>
      <c r="CV779">
        <v>175.2</v>
      </c>
      <c r="CW779">
        <v>0</v>
      </c>
      <c r="CX779">
        <v>65.099999999999994</v>
      </c>
      <c r="CY779">
        <v>199</v>
      </c>
      <c r="CZ779">
        <v>1907.9</v>
      </c>
      <c r="DA779">
        <v>0</v>
      </c>
      <c r="DB779">
        <v>0</v>
      </c>
      <c r="DC779">
        <v>0</v>
      </c>
      <c r="DD779">
        <v>0</v>
      </c>
      <c r="DE779">
        <v>0</v>
      </c>
      <c r="DF779">
        <v>0</v>
      </c>
      <c r="DG779">
        <v>0</v>
      </c>
      <c r="DH779">
        <v>0</v>
      </c>
      <c r="DI779">
        <v>0</v>
      </c>
      <c r="DJ779">
        <v>0</v>
      </c>
      <c r="DK779">
        <v>0</v>
      </c>
      <c r="DL779">
        <v>0</v>
      </c>
      <c r="DM779">
        <v>1065.4000000000001</v>
      </c>
      <c r="DN779">
        <v>599.70000000000005</v>
      </c>
      <c r="DO779">
        <v>319.7</v>
      </c>
      <c r="DP779">
        <v>1570.6999999999998</v>
      </c>
      <c r="DQ779">
        <v>1399.5</v>
      </c>
      <c r="DR779">
        <v>3581</v>
      </c>
      <c r="DU779">
        <v>1393.2</v>
      </c>
      <c r="DV779">
        <v>2862.6</v>
      </c>
      <c r="DY779">
        <v>2361</v>
      </c>
      <c r="EA779">
        <v>2409.6</v>
      </c>
      <c r="EC779">
        <v>1661.3999999999999</v>
      </c>
      <c r="EE779">
        <v>0</v>
      </c>
      <c r="EF779">
        <v>0</v>
      </c>
      <c r="EG779">
        <v>0</v>
      </c>
      <c r="EH779">
        <v>0</v>
      </c>
      <c r="EI779">
        <v>0</v>
      </c>
      <c r="EJ779">
        <v>0</v>
      </c>
      <c r="EK779">
        <v>0</v>
      </c>
      <c r="EL779">
        <v>0</v>
      </c>
      <c r="EM779">
        <v>0</v>
      </c>
      <c r="EN779">
        <v>0</v>
      </c>
      <c r="EO779">
        <v>0</v>
      </c>
      <c r="EP779">
        <v>944.5</v>
      </c>
      <c r="EQ779">
        <v>3459.7</v>
      </c>
      <c r="ER779">
        <v>1353.5</v>
      </c>
      <c r="ES779">
        <v>182.2</v>
      </c>
      <c r="ET779">
        <v>855.59999999999991</v>
      </c>
      <c r="EU779">
        <v>172.2</v>
      </c>
      <c r="EV779">
        <v>203.2</v>
      </c>
      <c r="EW779">
        <v>1173.0999999999999</v>
      </c>
      <c r="EX779">
        <v>1078.3</v>
      </c>
      <c r="EY779">
        <v>1194.4000000000001</v>
      </c>
      <c r="EZ779">
        <v>1207.0999999999999</v>
      </c>
      <c r="FA779">
        <v>0</v>
      </c>
      <c r="FB779">
        <v>0</v>
      </c>
      <c r="FC779">
        <v>0</v>
      </c>
      <c r="FD779">
        <v>0</v>
      </c>
      <c r="FE779">
        <v>0</v>
      </c>
      <c r="FF779">
        <v>0</v>
      </c>
      <c r="FG779">
        <v>0</v>
      </c>
      <c r="FH779">
        <v>0</v>
      </c>
      <c r="FI779">
        <v>0</v>
      </c>
      <c r="FJ779">
        <v>0</v>
      </c>
      <c r="FK779">
        <v>0</v>
      </c>
      <c r="FL779">
        <v>0</v>
      </c>
      <c r="FM779">
        <v>0</v>
      </c>
      <c r="FN779">
        <v>0</v>
      </c>
      <c r="FO779">
        <v>0</v>
      </c>
      <c r="FP779">
        <v>0</v>
      </c>
      <c r="FQ779">
        <v>0</v>
      </c>
      <c r="FR779">
        <v>0</v>
      </c>
      <c r="FS779">
        <v>0</v>
      </c>
      <c r="FT779">
        <v>0</v>
      </c>
      <c r="FU779">
        <v>0</v>
      </c>
      <c r="FV779">
        <v>0</v>
      </c>
      <c r="FW779">
        <v>0</v>
      </c>
      <c r="FX779">
        <v>0</v>
      </c>
      <c r="FY779">
        <v>0</v>
      </c>
      <c r="FZ779">
        <v>0</v>
      </c>
      <c r="GA779">
        <v>0</v>
      </c>
      <c r="GB779">
        <v>0</v>
      </c>
      <c r="GC779">
        <v>0</v>
      </c>
      <c r="GD779">
        <v>0</v>
      </c>
      <c r="GE779">
        <v>0</v>
      </c>
      <c r="GF779">
        <v>0</v>
      </c>
      <c r="GG779">
        <v>0</v>
      </c>
      <c r="GH779">
        <v>0</v>
      </c>
      <c r="GI779">
        <v>0</v>
      </c>
      <c r="GJ779">
        <v>0</v>
      </c>
      <c r="GK779">
        <v>0</v>
      </c>
      <c r="GL779">
        <v>0</v>
      </c>
      <c r="GO779">
        <v>0</v>
      </c>
      <c r="GP779">
        <v>0</v>
      </c>
      <c r="GQ779">
        <v>0</v>
      </c>
      <c r="GR779">
        <v>0</v>
      </c>
      <c r="GS779">
        <v>0</v>
      </c>
      <c r="GT779">
        <v>0</v>
      </c>
      <c r="GU779">
        <v>0</v>
      </c>
      <c r="GV779">
        <v>0</v>
      </c>
      <c r="GW779">
        <v>0</v>
      </c>
      <c r="GX779">
        <v>0</v>
      </c>
      <c r="GY779">
        <v>0</v>
      </c>
      <c r="GZ779">
        <v>0</v>
      </c>
      <c r="HA779">
        <v>0</v>
      </c>
      <c r="HB779">
        <v>0</v>
      </c>
      <c r="HC779">
        <v>0</v>
      </c>
      <c r="HD779">
        <v>0</v>
      </c>
      <c r="HE779">
        <v>0</v>
      </c>
      <c r="HF779">
        <v>0</v>
      </c>
      <c r="HG779">
        <v>0</v>
      </c>
      <c r="HH779">
        <v>0</v>
      </c>
      <c r="HI779">
        <v>0</v>
      </c>
      <c r="HJ779">
        <v>0</v>
      </c>
      <c r="HK779">
        <v>0</v>
      </c>
      <c r="HL779">
        <v>0</v>
      </c>
      <c r="HM779">
        <v>0</v>
      </c>
      <c r="HN779">
        <v>0</v>
      </c>
      <c r="HO779">
        <v>0</v>
      </c>
      <c r="HP779">
        <v>0</v>
      </c>
      <c r="HQ779">
        <v>0</v>
      </c>
      <c r="HR779">
        <v>0</v>
      </c>
      <c r="HS779">
        <v>0</v>
      </c>
      <c r="HT779">
        <v>0</v>
      </c>
      <c r="HU779">
        <v>0</v>
      </c>
      <c r="HV779">
        <v>0</v>
      </c>
      <c r="HW779">
        <v>404.70000000000005</v>
      </c>
      <c r="HX779">
        <v>342.3</v>
      </c>
      <c r="HZ779">
        <v>866.2</v>
      </c>
      <c r="IA779">
        <v>1142.8</v>
      </c>
      <c r="IB779">
        <v>1121.5</v>
      </c>
      <c r="IC779">
        <v>2403</v>
      </c>
      <c r="ID779">
        <v>2659.3</v>
      </c>
      <c r="IE779">
        <v>1923.4</v>
      </c>
      <c r="IF779">
        <v>1465.7</v>
      </c>
      <c r="IG779">
        <v>1608.3</v>
      </c>
      <c r="IH779">
        <v>0</v>
      </c>
      <c r="II779">
        <v>0</v>
      </c>
      <c r="IJ779">
        <v>0</v>
      </c>
      <c r="IK779">
        <v>0</v>
      </c>
      <c r="IL779">
        <v>0</v>
      </c>
      <c r="IM779">
        <v>0</v>
      </c>
      <c r="IN779">
        <v>0</v>
      </c>
      <c r="IO779">
        <v>0</v>
      </c>
      <c r="IP779">
        <v>75.099999999999994</v>
      </c>
    </row>
    <row r="780" spans="1:250" ht="18" thickBot="1">
      <c r="A780" s="245"/>
      <c r="B780" s="245" t="s">
        <v>1003</v>
      </c>
      <c r="C780" s="88" t="s">
        <v>1199</v>
      </c>
      <c r="D780" s="399" t="s">
        <v>1229</v>
      </c>
      <c r="E780" s="454">
        <v>0</v>
      </c>
      <c r="F780">
        <v>0</v>
      </c>
      <c r="G780" s="427">
        <v>0</v>
      </c>
      <c r="H780" s="155">
        <v>0</v>
      </c>
      <c r="I780">
        <v>0</v>
      </c>
      <c r="J780">
        <v>0</v>
      </c>
      <c r="K780">
        <v>0</v>
      </c>
      <c r="L780" s="4">
        <v>0</v>
      </c>
      <c r="M780" s="4">
        <v>0</v>
      </c>
      <c r="N780" s="4">
        <v>0</v>
      </c>
      <c r="O780" s="4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R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G780">
        <v>0</v>
      </c>
      <c r="BI780">
        <v>0</v>
      </c>
      <c r="BK780">
        <v>0</v>
      </c>
      <c r="BL780">
        <v>0</v>
      </c>
      <c r="BM780">
        <v>0</v>
      </c>
      <c r="BN780">
        <v>0</v>
      </c>
      <c r="BO780">
        <v>344.70000000000005</v>
      </c>
      <c r="BP780">
        <v>625.70000000000005</v>
      </c>
      <c r="BQ780">
        <v>912.2</v>
      </c>
      <c r="BR780">
        <v>237.7</v>
      </c>
      <c r="BS780">
        <v>0</v>
      </c>
      <c r="BT780">
        <v>0</v>
      </c>
      <c r="BU780">
        <v>0</v>
      </c>
      <c r="BV780">
        <v>0</v>
      </c>
      <c r="BW780">
        <v>1647.4</v>
      </c>
      <c r="BY780">
        <v>453.1</v>
      </c>
      <c r="CA780">
        <v>285.39999999999998</v>
      </c>
      <c r="CB780">
        <v>280.8</v>
      </c>
      <c r="CC780">
        <v>127.7</v>
      </c>
      <c r="CD780">
        <v>0</v>
      </c>
      <c r="CE780">
        <v>0</v>
      </c>
      <c r="CF780">
        <v>0</v>
      </c>
      <c r="CG780">
        <v>0</v>
      </c>
      <c r="CI780">
        <v>0</v>
      </c>
      <c r="CJ780">
        <v>0</v>
      </c>
      <c r="CL780">
        <v>0</v>
      </c>
      <c r="CM780">
        <v>0</v>
      </c>
      <c r="CN780">
        <v>0</v>
      </c>
      <c r="CO780">
        <v>0</v>
      </c>
      <c r="CP780">
        <v>0</v>
      </c>
      <c r="CQ780">
        <v>621.70000000000005</v>
      </c>
      <c r="CR780">
        <v>481.70000000000005</v>
      </c>
      <c r="CS780">
        <v>0</v>
      </c>
      <c r="CT780">
        <v>524.6</v>
      </c>
      <c r="CU780">
        <v>514.1</v>
      </c>
      <c r="CV780">
        <v>175.2</v>
      </c>
      <c r="CW780">
        <v>0</v>
      </c>
      <c r="CX780">
        <v>65.099999999999994</v>
      </c>
      <c r="CY780">
        <v>199</v>
      </c>
      <c r="CZ780">
        <v>1907.9</v>
      </c>
      <c r="DA780">
        <v>0</v>
      </c>
      <c r="DB780">
        <v>0</v>
      </c>
      <c r="DC780">
        <v>0</v>
      </c>
      <c r="DD780">
        <v>0</v>
      </c>
      <c r="DE780">
        <v>0</v>
      </c>
      <c r="DF780">
        <v>0</v>
      </c>
      <c r="DG780">
        <v>0</v>
      </c>
      <c r="DH780">
        <v>0</v>
      </c>
      <c r="DI780">
        <v>0</v>
      </c>
      <c r="DJ780">
        <v>0</v>
      </c>
      <c r="DK780">
        <v>0</v>
      </c>
      <c r="DL780">
        <v>0</v>
      </c>
      <c r="DM780">
        <v>1065.4000000000001</v>
      </c>
      <c r="DN780">
        <v>599.70000000000005</v>
      </c>
      <c r="DO780">
        <v>319.7</v>
      </c>
      <c r="DP780">
        <v>1570.6999999999998</v>
      </c>
      <c r="DQ780">
        <v>1399.5</v>
      </c>
      <c r="DR780">
        <v>3581</v>
      </c>
      <c r="DU780">
        <v>1393.2</v>
      </c>
      <c r="DV780">
        <v>2862.6</v>
      </c>
      <c r="DY780">
        <v>2361</v>
      </c>
      <c r="EA780">
        <v>2409.6</v>
      </c>
      <c r="EC780">
        <v>1661.3999999999999</v>
      </c>
      <c r="EE780">
        <v>0</v>
      </c>
      <c r="EF780">
        <v>0</v>
      </c>
      <c r="EG780">
        <v>0</v>
      </c>
      <c r="EH780">
        <v>0</v>
      </c>
      <c r="EI780">
        <v>0</v>
      </c>
      <c r="EJ780">
        <v>0</v>
      </c>
      <c r="EK780">
        <v>0</v>
      </c>
      <c r="EL780">
        <v>0</v>
      </c>
      <c r="EM780">
        <v>0</v>
      </c>
      <c r="EN780">
        <v>0</v>
      </c>
      <c r="EO780">
        <v>0</v>
      </c>
      <c r="EP780">
        <v>944.5</v>
      </c>
      <c r="EQ780">
        <v>3459.7</v>
      </c>
      <c r="ER780">
        <v>1353.5</v>
      </c>
      <c r="ES780">
        <v>182.2</v>
      </c>
      <c r="ET780">
        <v>855.59999999999991</v>
      </c>
      <c r="EU780">
        <v>172.2</v>
      </c>
      <c r="EV780">
        <v>203.2</v>
      </c>
      <c r="EW780">
        <v>1173.0999999999999</v>
      </c>
      <c r="EX780">
        <v>1078.3</v>
      </c>
      <c r="EY780">
        <v>1194.4000000000001</v>
      </c>
      <c r="EZ780">
        <v>1207.0999999999999</v>
      </c>
      <c r="FA780">
        <v>0</v>
      </c>
      <c r="FB780">
        <v>0</v>
      </c>
      <c r="FC780">
        <v>0</v>
      </c>
      <c r="FD780">
        <v>0</v>
      </c>
      <c r="FE780">
        <v>0</v>
      </c>
      <c r="FF780">
        <v>0</v>
      </c>
      <c r="FG780">
        <v>0</v>
      </c>
      <c r="FH780">
        <v>0</v>
      </c>
      <c r="FI780">
        <v>0</v>
      </c>
      <c r="FJ780">
        <v>0</v>
      </c>
      <c r="FK780">
        <v>0</v>
      </c>
      <c r="FL780">
        <v>0</v>
      </c>
      <c r="FM780">
        <v>0</v>
      </c>
      <c r="FN780">
        <v>0</v>
      </c>
      <c r="FO780">
        <v>0</v>
      </c>
      <c r="FP780">
        <v>0</v>
      </c>
      <c r="FQ780">
        <v>0</v>
      </c>
      <c r="FR780">
        <v>0</v>
      </c>
      <c r="FS780">
        <v>0</v>
      </c>
      <c r="FT780">
        <v>0</v>
      </c>
      <c r="FU780">
        <v>0</v>
      </c>
      <c r="FV780">
        <v>0</v>
      </c>
      <c r="FW780">
        <v>0</v>
      </c>
      <c r="FX780">
        <v>0</v>
      </c>
      <c r="FY780">
        <v>0</v>
      </c>
      <c r="FZ780">
        <v>0</v>
      </c>
      <c r="GA780">
        <v>0</v>
      </c>
      <c r="GB780">
        <v>0</v>
      </c>
      <c r="GC780">
        <v>0</v>
      </c>
      <c r="GD780">
        <v>0</v>
      </c>
      <c r="GE780">
        <v>0</v>
      </c>
      <c r="GF780">
        <v>0</v>
      </c>
      <c r="GG780">
        <v>0</v>
      </c>
      <c r="GH780">
        <v>0</v>
      </c>
      <c r="GI780">
        <v>0</v>
      </c>
      <c r="GJ780">
        <v>0</v>
      </c>
      <c r="GK780">
        <v>0</v>
      </c>
      <c r="GL780">
        <v>0</v>
      </c>
      <c r="GO780">
        <v>0</v>
      </c>
      <c r="GP780">
        <v>0</v>
      </c>
      <c r="GQ780">
        <v>0</v>
      </c>
      <c r="GR780">
        <v>0</v>
      </c>
      <c r="GS780">
        <v>0</v>
      </c>
      <c r="GT780">
        <v>0</v>
      </c>
      <c r="GU780">
        <v>0</v>
      </c>
      <c r="GV780">
        <v>0</v>
      </c>
      <c r="GW780">
        <v>0</v>
      </c>
      <c r="GX780">
        <v>0</v>
      </c>
      <c r="GY780">
        <v>0</v>
      </c>
      <c r="GZ780">
        <v>0</v>
      </c>
      <c r="HA780">
        <v>0</v>
      </c>
      <c r="HB780">
        <v>0</v>
      </c>
      <c r="HC780">
        <v>0</v>
      </c>
      <c r="HD780">
        <v>0</v>
      </c>
      <c r="HE780">
        <v>0</v>
      </c>
      <c r="HF780">
        <v>0</v>
      </c>
      <c r="HG780">
        <v>0</v>
      </c>
      <c r="HH780">
        <v>0</v>
      </c>
      <c r="HI780">
        <v>0</v>
      </c>
      <c r="HJ780">
        <v>0</v>
      </c>
      <c r="HK780">
        <v>0</v>
      </c>
      <c r="HL780">
        <v>0</v>
      </c>
      <c r="HM780">
        <v>0</v>
      </c>
      <c r="HN780">
        <v>0</v>
      </c>
      <c r="HO780">
        <v>0</v>
      </c>
      <c r="HP780">
        <v>0</v>
      </c>
      <c r="HQ780">
        <v>0</v>
      </c>
      <c r="HR780">
        <v>0</v>
      </c>
      <c r="HS780">
        <v>0</v>
      </c>
      <c r="HT780">
        <v>0</v>
      </c>
      <c r="HU780">
        <v>0</v>
      </c>
      <c r="HV780">
        <v>0</v>
      </c>
      <c r="HW780">
        <v>404.70000000000005</v>
      </c>
      <c r="HX780">
        <v>342.3</v>
      </c>
      <c r="HZ780">
        <v>866.2</v>
      </c>
      <c r="IA780">
        <v>1142.8</v>
      </c>
      <c r="IB780">
        <v>1121.5</v>
      </c>
      <c r="IC780">
        <v>2403</v>
      </c>
      <c r="ID780">
        <v>2659.3</v>
      </c>
      <c r="IE780">
        <v>1923.4</v>
      </c>
      <c r="IF780">
        <v>1465.7</v>
      </c>
      <c r="IG780">
        <v>1608.3</v>
      </c>
      <c r="IH780">
        <v>0</v>
      </c>
      <c r="II780">
        <v>0</v>
      </c>
      <c r="IJ780">
        <v>0</v>
      </c>
      <c r="IK780">
        <v>0</v>
      </c>
      <c r="IL780">
        <v>0</v>
      </c>
      <c r="IM780">
        <v>0</v>
      </c>
      <c r="IN780">
        <v>0</v>
      </c>
      <c r="IO780">
        <v>0</v>
      </c>
      <c r="IP780">
        <v>75.099999999999994</v>
      </c>
    </row>
    <row r="781" spans="1:250" ht="18" thickBot="1">
      <c r="A781" s="245"/>
      <c r="B781" s="245" t="s">
        <v>1004</v>
      </c>
      <c r="C781" s="88" t="s">
        <v>1200</v>
      </c>
      <c r="D781" s="399" t="s">
        <v>1229</v>
      </c>
      <c r="E781" s="454">
        <v>0</v>
      </c>
      <c r="F781">
        <v>0</v>
      </c>
      <c r="G781" s="427">
        <v>0</v>
      </c>
      <c r="H781" s="155">
        <v>0</v>
      </c>
      <c r="I781">
        <v>0</v>
      </c>
      <c r="J781">
        <v>0</v>
      </c>
      <c r="K781">
        <v>0</v>
      </c>
      <c r="L781" s="4">
        <v>0</v>
      </c>
      <c r="M781" s="4">
        <v>0</v>
      </c>
      <c r="N781" s="4">
        <v>0</v>
      </c>
      <c r="O781" s="4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R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G781">
        <v>0</v>
      </c>
      <c r="BI781">
        <v>0</v>
      </c>
      <c r="BK781">
        <v>0</v>
      </c>
      <c r="BL781">
        <v>0</v>
      </c>
      <c r="BM781">
        <v>0</v>
      </c>
      <c r="BN781">
        <v>0</v>
      </c>
      <c r="BO781">
        <v>344.70000000000005</v>
      </c>
      <c r="BP781">
        <v>625.70000000000005</v>
      </c>
      <c r="BQ781">
        <v>912.2</v>
      </c>
      <c r="BR781">
        <v>237.7</v>
      </c>
      <c r="BS781">
        <v>0</v>
      </c>
      <c r="BT781">
        <v>0</v>
      </c>
      <c r="BU781">
        <v>0</v>
      </c>
      <c r="BV781">
        <v>0</v>
      </c>
      <c r="BW781">
        <v>1647.4</v>
      </c>
      <c r="BY781">
        <v>453.1</v>
      </c>
      <c r="CA781">
        <v>285.39999999999998</v>
      </c>
      <c r="CB781">
        <v>280.8</v>
      </c>
      <c r="CC781">
        <v>127.7</v>
      </c>
      <c r="CD781">
        <v>0</v>
      </c>
      <c r="CE781">
        <v>0</v>
      </c>
      <c r="CF781">
        <v>0</v>
      </c>
      <c r="CG781">
        <v>0</v>
      </c>
      <c r="CI781">
        <v>0</v>
      </c>
      <c r="CJ781">
        <v>0</v>
      </c>
      <c r="CL781">
        <v>0</v>
      </c>
      <c r="CM781">
        <v>0</v>
      </c>
      <c r="CN781">
        <v>0</v>
      </c>
      <c r="CO781">
        <v>0</v>
      </c>
      <c r="CP781">
        <v>0</v>
      </c>
      <c r="CQ781">
        <v>621.70000000000005</v>
      </c>
      <c r="CR781">
        <v>481.70000000000005</v>
      </c>
      <c r="CS781">
        <v>0</v>
      </c>
      <c r="CT781">
        <v>524.6</v>
      </c>
      <c r="CU781">
        <v>514.1</v>
      </c>
      <c r="CV781">
        <v>175.2</v>
      </c>
      <c r="CW781">
        <v>0</v>
      </c>
      <c r="CX781">
        <v>65.099999999999994</v>
      </c>
      <c r="CY781">
        <v>199</v>
      </c>
      <c r="CZ781">
        <v>1907.9</v>
      </c>
      <c r="DA781">
        <v>0</v>
      </c>
      <c r="DB781">
        <v>0</v>
      </c>
      <c r="DC781">
        <v>0</v>
      </c>
      <c r="DD781">
        <v>0</v>
      </c>
      <c r="DE781">
        <v>0</v>
      </c>
      <c r="DF781">
        <v>0</v>
      </c>
      <c r="DG781">
        <v>0</v>
      </c>
      <c r="DH781">
        <v>0</v>
      </c>
      <c r="DI781">
        <v>0</v>
      </c>
      <c r="DJ781">
        <v>0</v>
      </c>
      <c r="DK781">
        <v>0</v>
      </c>
      <c r="DL781">
        <v>0</v>
      </c>
      <c r="DM781">
        <v>1065.4000000000001</v>
      </c>
      <c r="DN781">
        <v>599.70000000000005</v>
      </c>
      <c r="DO781">
        <v>319.7</v>
      </c>
      <c r="DP781">
        <v>1570.6999999999998</v>
      </c>
      <c r="DQ781">
        <v>1399.5</v>
      </c>
      <c r="DR781">
        <v>3581</v>
      </c>
      <c r="DU781">
        <v>1393.2</v>
      </c>
      <c r="DV781">
        <v>2862.6</v>
      </c>
      <c r="DY781">
        <v>2361</v>
      </c>
      <c r="EA781">
        <v>2409.6</v>
      </c>
      <c r="EC781">
        <v>1661.3999999999999</v>
      </c>
      <c r="EE781">
        <v>0</v>
      </c>
      <c r="EF781">
        <v>0</v>
      </c>
      <c r="EG781">
        <v>0</v>
      </c>
      <c r="EH781">
        <v>0</v>
      </c>
      <c r="EI781">
        <v>0</v>
      </c>
      <c r="EJ781">
        <v>0</v>
      </c>
      <c r="EK781">
        <v>0</v>
      </c>
      <c r="EL781">
        <v>0</v>
      </c>
      <c r="EM781">
        <v>0</v>
      </c>
      <c r="EN781">
        <v>0</v>
      </c>
      <c r="EO781">
        <v>0</v>
      </c>
      <c r="EP781">
        <v>944.5</v>
      </c>
      <c r="EQ781">
        <v>3459.7</v>
      </c>
      <c r="ER781">
        <v>1353.5</v>
      </c>
      <c r="ES781">
        <v>182.2</v>
      </c>
      <c r="ET781">
        <v>855.59999999999991</v>
      </c>
      <c r="EU781">
        <v>172.2</v>
      </c>
      <c r="EV781">
        <v>203.2</v>
      </c>
      <c r="EW781">
        <v>1173.0999999999999</v>
      </c>
      <c r="EX781">
        <v>1078.3</v>
      </c>
      <c r="EY781">
        <v>1194.4000000000001</v>
      </c>
      <c r="EZ781">
        <v>1207.0999999999999</v>
      </c>
      <c r="FA781">
        <v>0</v>
      </c>
      <c r="FB781">
        <v>0</v>
      </c>
      <c r="FC781">
        <v>0</v>
      </c>
      <c r="FD781">
        <v>0</v>
      </c>
      <c r="FE781">
        <v>0</v>
      </c>
      <c r="FF781">
        <v>0</v>
      </c>
      <c r="FG781">
        <v>0</v>
      </c>
      <c r="FH781">
        <v>0</v>
      </c>
      <c r="FI781">
        <v>0</v>
      </c>
      <c r="FJ781">
        <v>0</v>
      </c>
      <c r="FK781">
        <v>0</v>
      </c>
      <c r="FL781">
        <v>0</v>
      </c>
      <c r="FM781">
        <v>0</v>
      </c>
      <c r="FN781">
        <v>0</v>
      </c>
      <c r="FO781">
        <v>0</v>
      </c>
      <c r="FP781">
        <v>0</v>
      </c>
      <c r="FQ781">
        <v>0</v>
      </c>
      <c r="FR781">
        <v>0</v>
      </c>
      <c r="FS781">
        <v>0</v>
      </c>
      <c r="FT781">
        <v>0</v>
      </c>
      <c r="FU781">
        <v>0</v>
      </c>
      <c r="FV781">
        <v>0</v>
      </c>
      <c r="FW781">
        <v>0</v>
      </c>
      <c r="FX781">
        <v>0</v>
      </c>
      <c r="FY781">
        <v>0</v>
      </c>
      <c r="FZ781">
        <v>0</v>
      </c>
      <c r="GA781">
        <v>0</v>
      </c>
      <c r="GB781">
        <v>0</v>
      </c>
      <c r="GC781">
        <v>0</v>
      </c>
      <c r="GD781">
        <v>0</v>
      </c>
      <c r="GE781">
        <v>0</v>
      </c>
      <c r="GF781">
        <v>0</v>
      </c>
      <c r="GG781">
        <v>0</v>
      </c>
      <c r="GH781">
        <v>0</v>
      </c>
      <c r="GI781">
        <v>0</v>
      </c>
      <c r="GJ781">
        <v>0</v>
      </c>
      <c r="GK781">
        <v>0</v>
      </c>
      <c r="GL781">
        <v>0</v>
      </c>
      <c r="GO781">
        <v>0</v>
      </c>
      <c r="GP781">
        <v>0</v>
      </c>
      <c r="GQ781">
        <v>0</v>
      </c>
      <c r="GR781">
        <v>0</v>
      </c>
      <c r="GS781">
        <v>0</v>
      </c>
      <c r="GT781">
        <v>0</v>
      </c>
      <c r="GU781">
        <v>0</v>
      </c>
      <c r="GV781">
        <v>0</v>
      </c>
      <c r="GW781">
        <v>0</v>
      </c>
      <c r="GX781">
        <v>0</v>
      </c>
      <c r="GY781">
        <v>0</v>
      </c>
      <c r="GZ781">
        <v>0</v>
      </c>
      <c r="HA781">
        <v>0</v>
      </c>
      <c r="HB781">
        <v>0</v>
      </c>
      <c r="HC781">
        <v>0</v>
      </c>
      <c r="HD781">
        <v>0</v>
      </c>
      <c r="HE781">
        <v>0</v>
      </c>
      <c r="HF781">
        <v>0</v>
      </c>
      <c r="HG781">
        <v>0</v>
      </c>
      <c r="HH781">
        <v>0</v>
      </c>
      <c r="HI781">
        <v>0</v>
      </c>
      <c r="HJ781">
        <v>0</v>
      </c>
      <c r="HK781">
        <v>0</v>
      </c>
      <c r="HL781">
        <v>0</v>
      </c>
      <c r="HM781">
        <v>0</v>
      </c>
      <c r="HN781">
        <v>0</v>
      </c>
      <c r="HO781">
        <v>0</v>
      </c>
      <c r="HP781">
        <v>0</v>
      </c>
      <c r="HQ781">
        <v>0</v>
      </c>
      <c r="HR781">
        <v>0</v>
      </c>
      <c r="HS781">
        <v>0</v>
      </c>
      <c r="HT781">
        <v>0</v>
      </c>
      <c r="HU781">
        <v>0</v>
      </c>
      <c r="HV781">
        <v>0</v>
      </c>
      <c r="HW781">
        <v>404.70000000000005</v>
      </c>
      <c r="HX781">
        <v>342.3</v>
      </c>
      <c r="HZ781">
        <v>866.2</v>
      </c>
      <c r="IA781">
        <v>1142.8</v>
      </c>
      <c r="IB781">
        <v>1121.5</v>
      </c>
      <c r="IC781">
        <v>2403</v>
      </c>
      <c r="ID781">
        <v>2659.3</v>
      </c>
      <c r="IE781">
        <v>1923.4</v>
      </c>
      <c r="IF781">
        <v>1465.7</v>
      </c>
      <c r="IG781">
        <v>1608.3</v>
      </c>
      <c r="IH781">
        <v>0</v>
      </c>
      <c r="II781">
        <v>0</v>
      </c>
      <c r="IJ781">
        <v>0</v>
      </c>
      <c r="IK781">
        <v>0</v>
      </c>
      <c r="IL781">
        <v>0</v>
      </c>
      <c r="IM781">
        <v>0</v>
      </c>
      <c r="IN781">
        <v>0</v>
      </c>
      <c r="IO781">
        <v>0</v>
      </c>
      <c r="IP781">
        <v>75.099999999999994</v>
      </c>
    </row>
    <row r="782" spans="1:250" ht="18" thickBot="1">
      <c r="A782" s="246"/>
      <c r="B782" s="246" t="s">
        <v>1005</v>
      </c>
      <c r="C782" s="334" t="s">
        <v>1201</v>
      </c>
      <c r="D782" s="398"/>
      <c r="E782" s="454">
        <v>0</v>
      </c>
      <c r="F782">
        <v>0</v>
      </c>
      <c r="G782" s="427">
        <v>0</v>
      </c>
      <c r="H782" s="155">
        <v>0</v>
      </c>
      <c r="I782">
        <v>0</v>
      </c>
      <c r="J782">
        <v>0</v>
      </c>
      <c r="K782">
        <v>0</v>
      </c>
      <c r="L782" s="4">
        <v>0</v>
      </c>
      <c r="M782" s="4">
        <v>0</v>
      </c>
      <c r="N782" s="4">
        <v>0</v>
      </c>
      <c r="O782" s="4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R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G782">
        <v>0</v>
      </c>
      <c r="BI782">
        <v>0</v>
      </c>
      <c r="BK782">
        <v>0</v>
      </c>
      <c r="BL782">
        <v>0</v>
      </c>
      <c r="BM782">
        <v>0</v>
      </c>
      <c r="BN782">
        <v>0</v>
      </c>
      <c r="BO782">
        <v>344.70000000000005</v>
      </c>
      <c r="BP782">
        <v>625.70000000000005</v>
      </c>
      <c r="BQ782">
        <v>912.2</v>
      </c>
      <c r="BR782">
        <v>237.7</v>
      </c>
      <c r="BS782">
        <v>0</v>
      </c>
      <c r="BT782">
        <v>0</v>
      </c>
      <c r="BU782">
        <v>0</v>
      </c>
      <c r="BV782">
        <v>0</v>
      </c>
      <c r="BW782">
        <v>1647.4</v>
      </c>
      <c r="BY782">
        <v>453.1</v>
      </c>
      <c r="CA782">
        <v>285.39999999999998</v>
      </c>
      <c r="CB782">
        <v>280.8</v>
      </c>
      <c r="CC782">
        <v>127.7</v>
      </c>
      <c r="CD782">
        <v>0</v>
      </c>
      <c r="CE782">
        <v>0</v>
      </c>
      <c r="CF782">
        <v>0</v>
      </c>
      <c r="CG782">
        <v>0</v>
      </c>
      <c r="CI782">
        <v>0</v>
      </c>
      <c r="CJ782">
        <v>0</v>
      </c>
      <c r="CL782">
        <v>0</v>
      </c>
      <c r="CM782">
        <v>0</v>
      </c>
      <c r="CN782">
        <v>0</v>
      </c>
      <c r="CO782">
        <v>0</v>
      </c>
      <c r="CP782">
        <v>0</v>
      </c>
      <c r="CQ782">
        <v>621.70000000000005</v>
      </c>
      <c r="CR782">
        <v>481.70000000000005</v>
      </c>
      <c r="CS782">
        <v>0</v>
      </c>
      <c r="CT782">
        <v>524.6</v>
      </c>
      <c r="CU782">
        <v>514.1</v>
      </c>
      <c r="CV782">
        <v>175.2</v>
      </c>
      <c r="CW782">
        <v>0</v>
      </c>
      <c r="CX782">
        <v>65.099999999999994</v>
      </c>
      <c r="CY782">
        <v>199</v>
      </c>
      <c r="CZ782">
        <v>1907.9</v>
      </c>
      <c r="DA782">
        <v>0</v>
      </c>
      <c r="DB782">
        <v>0</v>
      </c>
      <c r="DC782">
        <v>0</v>
      </c>
      <c r="DD782">
        <v>0</v>
      </c>
      <c r="DE782">
        <v>0</v>
      </c>
      <c r="DF782">
        <v>0</v>
      </c>
      <c r="DG782">
        <v>0</v>
      </c>
      <c r="DH782">
        <v>0</v>
      </c>
      <c r="DI782">
        <v>0</v>
      </c>
      <c r="DJ782">
        <v>0</v>
      </c>
      <c r="DK782">
        <v>0</v>
      </c>
      <c r="DL782">
        <v>0</v>
      </c>
      <c r="DM782">
        <v>1065.4000000000001</v>
      </c>
      <c r="DN782">
        <v>599.70000000000005</v>
      </c>
      <c r="DO782">
        <v>319.7</v>
      </c>
      <c r="DP782">
        <v>1570.6999999999998</v>
      </c>
      <c r="DQ782">
        <v>1399.5</v>
      </c>
      <c r="DR782">
        <v>3581</v>
      </c>
      <c r="DU782">
        <v>1393.2</v>
      </c>
      <c r="DV782">
        <v>2862.6</v>
      </c>
      <c r="DY782">
        <v>2361</v>
      </c>
      <c r="EA782">
        <v>2409.6</v>
      </c>
      <c r="EC782">
        <v>1661.3999999999999</v>
      </c>
      <c r="EE782">
        <v>0</v>
      </c>
      <c r="EF782">
        <v>0</v>
      </c>
      <c r="EG782">
        <v>0</v>
      </c>
      <c r="EH782">
        <v>0</v>
      </c>
      <c r="EI782">
        <v>0</v>
      </c>
      <c r="EJ782">
        <v>0</v>
      </c>
      <c r="EK782">
        <v>0</v>
      </c>
      <c r="EL782">
        <v>0</v>
      </c>
      <c r="EM782">
        <v>0</v>
      </c>
      <c r="EN782">
        <v>0</v>
      </c>
      <c r="EO782">
        <v>0</v>
      </c>
      <c r="EP782">
        <v>944.5</v>
      </c>
      <c r="EQ782">
        <v>3459.7</v>
      </c>
      <c r="ER782">
        <v>1353.5</v>
      </c>
      <c r="ES782">
        <v>182.2</v>
      </c>
      <c r="ET782">
        <v>855.59999999999991</v>
      </c>
      <c r="EU782">
        <v>172.2</v>
      </c>
      <c r="EV782">
        <v>203.2</v>
      </c>
      <c r="EW782">
        <v>1173.0999999999999</v>
      </c>
      <c r="EX782">
        <v>1078.3</v>
      </c>
      <c r="EY782">
        <v>1194.4000000000001</v>
      </c>
      <c r="EZ782">
        <v>1207.0999999999999</v>
      </c>
      <c r="FA782">
        <v>0</v>
      </c>
      <c r="FB782">
        <v>0</v>
      </c>
      <c r="FC782">
        <v>0</v>
      </c>
      <c r="FD782">
        <v>0</v>
      </c>
      <c r="FE782">
        <v>0</v>
      </c>
      <c r="FF782">
        <v>0</v>
      </c>
      <c r="FG782">
        <v>0</v>
      </c>
      <c r="FH782">
        <v>0</v>
      </c>
      <c r="FI782">
        <v>0</v>
      </c>
      <c r="FJ782">
        <v>0</v>
      </c>
      <c r="FK782">
        <v>0</v>
      </c>
      <c r="FL782">
        <v>0</v>
      </c>
      <c r="FM782">
        <v>0</v>
      </c>
      <c r="FN782">
        <v>0</v>
      </c>
      <c r="FO782">
        <v>0</v>
      </c>
      <c r="FP782">
        <v>0</v>
      </c>
      <c r="FQ782">
        <v>0</v>
      </c>
      <c r="FR782">
        <v>0</v>
      </c>
      <c r="FS782">
        <v>0</v>
      </c>
      <c r="FT782">
        <v>0</v>
      </c>
      <c r="FU782">
        <v>0</v>
      </c>
      <c r="FV782">
        <v>0</v>
      </c>
      <c r="FW782">
        <v>0</v>
      </c>
      <c r="FX782">
        <v>0</v>
      </c>
      <c r="FY782">
        <v>0</v>
      </c>
      <c r="FZ782">
        <v>0</v>
      </c>
      <c r="GA782">
        <v>0</v>
      </c>
      <c r="GB782">
        <v>0</v>
      </c>
      <c r="GC782">
        <v>0</v>
      </c>
      <c r="GD782">
        <v>0</v>
      </c>
      <c r="GE782">
        <v>0</v>
      </c>
      <c r="GF782">
        <v>0</v>
      </c>
      <c r="GG782">
        <v>0</v>
      </c>
      <c r="GH782">
        <v>0</v>
      </c>
      <c r="GI782">
        <v>0</v>
      </c>
      <c r="GJ782">
        <v>0</v>
      </c>
      <c r="GK782">
        <v>0</v>
      </c>
      <c r="GL782">
        <v>0</v>
      </c>
      <c r="GO782">
        <v>0</v>
      </c>
      <c r="GP782">
        <v>0</v>
      </c>
      <c r="GQ782">
        <v>0</v>
      </c>
      <c r="GR782">
        <v>0</v>
      </c>
      <c r="GS782">
        <v>0</v>
      </c>
      <c r="GT782">
        <v>0</v>
      </c>
      <c r="GU782">
        <v>0</v>
      </c>
      <c r="GV782">
        <v>0</v>
      </c>
      <c r="GW782">
        <v>0</v>
      </c>
      <c r="GX782">
        <v>0</v>
      </c>
      <c r="GY782">
        <v>0</v>
      </c>
      <c r="GZ782">
        <v>0</v>
      </c>
      <c r="HA782">
        <v>0</v>
      </c>
      <c r="HB782">
        <v>0</v>
      </c>
      <c r="HC782">
        <v>0</v>
      </c>
      <c r="HD782">
        <v>0</v>
      </c>
      <c r="HE782">
        <v>0</v>
      </c>
      <c r="HF782">
        <v>0</v>
      </c>
      <c r="HG782">
        <v>0</v>
      </c>
      <c r="HH782">
        <v>0</v>
      </c>
      <c r="HI782">
        <v>0</v>
      </c>
      <c r="HJ782">
        <v>0</v>
      </c>
      <c r="HK782">
        <v>0</v>
      </c>
      <c r="HL782">
        <v>0</v>
      </c>
      <c r="HM782">
        <v>0</v>
      </c>
      <c r="HN782">
        <v>0</v>
      </c>
      <c r="HO782">
        <v>0</v>
      </c>
      <c r="HP782">
        <v>0</v>
      </c>
      <c r="HQ782">
        <v>0</v>
      </c>
      <c r="HR782">
        <v>0</v>
      </c>
      <c r="HS782">
        <v>0</v>
      </c>
      <c r="HT782">
        <v>0</v>
      </c>
      <c r="HU782">
        <v>0</v>
      </c>
      <c r="HV782">
        <v>0</v>
      </c>
      <c r="HW782">
        <v>404.70000000000005</v>
      </c>
      <c r="HX782">
        <v>342.3</v>
      </c>
      <c r="HZ782">
        <v>866.2</v>
      </c>
      <c r="IA782">
        <v>1142.8</v>
      </c>
      <c r="IB782">
        <v>1121.5</v>
      </c>
      <c r="IC782">
        <v>2403</v>
      </c>
      <c r="ID782">
        <v>2659.3</v>
      </c>
      <c r="IE782">
        <v>1923.4</v>
      </c>
      <c r="IF782">
        <v>1465.7</v>
      </c>
      <c r="IG782">
        <v>1608.3</v>
      </c>
      <c r="IH782">
        <v>0</v>
      </c>
      <c r="II782">
        <v>0</v>
      </c>
      <c r="IJ782">
        <v>0</v>
      </c>
      <c r="IK782">
        <v>0</v>
      </c>
      <c r="IL782">
        <v>0</v>
      </c>
      <c r="IM782">
        <v>0</v>
      </c>
      <c r="IN782">
        <v>0</v>
      </c>
      <c r="IO782">
        <v>0</v>
      </c>
      <c r="IP782">
        <v>75.099999999999994</v>
      </c>
    </row>
    <row r="783" spans="1:250" ht="18.600000000000001" thickTop="1" thickBot="1">
      <c r="A783" s="358"/>
      <c r="B783" s="358"/>
      <c r="C783" s="333" t="s">
        <v>1202</v>
      </c>
      <c r="D783" s="546" t="s">
        <v>1230</v>
      </c>
      <c r="E783" s="454">
        <v>0</v>
      </c>
      <c r="F783">
        <v>0</v>
      </c>
      <c r="G783" s="427">
        <v>0</v>
      </c>
      <c r="H783" s="155">
        <v>0</v>
      </c>
      <c r="I783">
        <v>0</v>
      </c>
      <c r="J783">
        <v>0</v>
      </c>
      <c r="K783">
        <v>0</v>
      </c>
      <c r="L783" s="4">
        <v>0</v>
      </c>
      <c r="M783" s="4">
        <v>0</v>
      </c>
      <c r="N783" s="4">
        <v>0</v>
      </c>
      <c r="O783" s="4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R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G783">
        <v>0</v>
      </c>
      <c r="BI783">
        <v>0</v>
      </c>
      <c r="BK783">
        <v>0</v>
      </c>
      <c r="BL783">
        <v>0</v>
      </c>
      <c r="BM783">
        <v>0</v>
      </c>
      <c r="BN783">
        <v>0</v>
      </c>
      <c r="BO783">
        <v>344.70000000000005</v>
      </c>
      <c r="BP783">
        <v>625.70000000000005</v>
      </c>
      <c r="BQ783">
        <v>912.2</v>
      </c>
      <c r="BR783">
        <v>237.7</v>
      </c>
      <c r="BS783">
        <v>0</v>
      </c>
      <c r="BT783">
        <v>0</v>
      </c>
      <c r="BU783">
        <v>0</v>
      </c>
      <c r="BV783">
        <v>0</v>
      </c>
      <c r="BW783">
        <v>1647.4</v>
      </c>
      <c r="BY783">
        <v>453.1</v>
      </c>
      <c r="CA783">
        <v>285.39999999999998</v>
      </c>
      <c r="CB783">
        <v>280.8</v>
      </c>
      <c r="CC783">
        <v>127.7</v>
      </c>
      <c r="CD783">
        <v>0</v>
      </c>
      <c r="CE783">
        <v>0</v>
      </c>
      <c r="CF783">
        <v>0</v>
      </c>
      <c r="CG783">
        <v>0</v>
      </c>
      <c r="CI783">
        <v>0</v>
      </c>
      <c r="CJ783">
        <v>0</v>
      </c>
      <c r="CL783">
        <v>0</v>
      </c>
      <c r="CM783">
        <v>0</v>
      </c>
      <c r="CN783">
        <v>0</v>
      </c>
      <c r="CO783">
        <v>0</v>
      </c>
      <c r="CP783">
        <v>0</v>
      </c>
      <c r="CQ783">
        <v>621.70000000000005</v>
      </c>
      <c r="CR783">
        <v>481.70000000000005</v>
      </c>
      <c r="CS783">
        <v>0</v>
      </c>
      <c r="CT783">
        <v>524.6</v>
      </c>
      <c r="CU783">
        <v>514.1</v>
      </c>
      <c r="CV783">
        <v>175.2</v>
      </c>
      <c r="CW783">
        <v>0</v>
      </c>
      <c r="CX783">
        <v>65.099999999999994</v>
      </c>
      <c r="CY783">
        <v>199</v>
      </c>
      <c r="CZ783">
        <v>1907.9</v>
      </c>
      <c r="DA783">
        <v>0</v>
      </c>
      <c r="DB783">
        <v>0</v>
      </c>
      <c r="DC783">
        <v>0</v>
      </c>
      <c r="DD783">
        <v>0</v>
      </c>
      <c r="DE783">
        <v>0</v>
      </c>
      <c r="DF783">
        <v>0</v>
      </c>
      <c r="DG783">
        <v>0</v>
      </c>
      <c r="DH783">
        <v>0</v>
      </c>
      <c r="DI783">
        <v>0</v>
      </c>
      <c r="DJ783">
        <v>0</v>
      </c>
      <c r="DK783">
        <v>0</v>
      </c>
      <c r="DL783">
        <v>0</v>
      </c>
      <c r="DM783">
        <v>1065.4000000000001</v>
      </c>
      <c r="DN783">
        <v>599.70000000000005</v>
      </c>
      <c r="DO783">
        <v>319.7</v>
      </c>
      <c r="DP783">
        <v>1570.6999999999998</v>
      </c>
      <c r="DQ783">
        <v>1399.5</v>
      </c>
      <c r="DR783">
        <v>3581</v>
      </c>
      <c r="DU783">
        <v>1393.2</v>
      </c>
      <c r="DV783">
        <v>2862.6</v>
      </c>
      <c r="DY783">
        <v>2361</v>
      </c>
      <c r="EA783">
        <v>2409.6</v>
      </c>
      <c r="EC783">
        <v>1661.3999999999999</v>
      </c>
      <c r="EE783">
        <v>0</v>
      </c>
      <c r="EF783">
        <v>0</v>
      </c>
      <c r="EG783">
        <v>0</v>
      </c>
      <c r="EH783">
        <v>0</v>
      </c>
      <c r="EI783">
        <v>0</v>
      </c>
      <c r="EJ783">
        <v>0</v>
      </c>
      <c r="EK783">
        <v>0</v>
      </c>
      <c r="EL783">
        <v>0</v>
      </c>
      <c r="EM783">
        <v>0</v>
      </c>
      <c r="EN783">
        <v>0</v>
      </c>
      <c r="EO783">
        <v>0</v>
      </c>
      <c r="EP783">
        <v>944.5</v>
      </c>
      <c r="EQ783">
        <v>3459.7</v>
      </c>
      <c r="ER783">
        <v>1353.5</v>
      </c>
      <c r="ES783">
        <v>182.2</v>
      </c>
      <c r="ET783">
        <v>855.59999999999991</v>
      </c>
      <c r="EU783">
        <v>172.2</v>
      </c>
      <c r="EV783">
        <v>203.2</v>
      </c>
      <c r="EW783">
        <v>1173.0999999999999</v>
      </c>
      <c r="EX783">
        <v>1078.3</v>
      </c>
      <c r="EY783">
        <v>1194.4000000000001</v>
      </c>
      <c r="EZ783">
        <v>1207.0999999999999</v>
      </c>
      <c r="FA783">
        <v>0</v>
      </c>
      <c r="FB783">
        <v>0</v>
      </c>
      <c r="FC783">
        <v>0</v>
      </c>
      <c r="FD783">
        <v>0</v>
      </c>
      <c r="FE783">
        <v>0</v>
      </c>
      <c r="FF783">
        <v>0</v>
      </c>
      <c r="FG783">
        <v>0</v>
      </c>
      <c r="FH783">
        <v>0</v>
      </c>
      <c r="FI783">
        <v>0</v>
      </c>
      <c r="FJ783">
        <v>0</v>
      </c>
      <c r="FK783">
        <v>0</v>
      </c>
      <c r="FL783">
        <v>0</v>
      </c>
      <c r="FM783">
        <v>0</v>
      </c>
      <c r="FN783">
        <v>0</v>
      </c>
      <c r="FO783">
        <v>0</v>
      </c>
      <c r="FP783">
        <v>0</v>
      </c>
      <c r="FQ783">
        <v>0</v>
      </c>
      <c r="FR783">
        <v>0</v>
      </c>
      <c r="FS783">
        <v>0</v>
      </c>
      <c r="FT783">
        <v>0</v>
      </c>
      <c r="FU783">
        <v>0</v>
      </c>
      <c r="FV783">
        <v>0</v>
      </c>
      <c r="FW783">
        <v>0</v>
      </c>
      <c r="FX783">
        <v>0</v>
      </c>
      <c r="FY783">
        <v>0</v>
      </c>
      <c r="FZ783">
        <v>0</v>
      </c>
      <c r="GA783">
        <v>0</v>
      </c>
      <c r="GB783">
        <v>0</v>
      </c>
      <c r="GC783">
        <v>0</v>
      </c>
      <c r="GD783">
        <v>0</v>
      </c>
      <c r="GE783">
        <v>0</v>
      </c>
      <c r="GF783">
        <v>0</v>
      </c>
      <c r="GG783">
        <v>0</v>
      </c>
      <c r="GH783">
        <v>0</v>
      </c>
      <c r="GI783">
        <v>0</v>
      </c>
      <c r="GJ783">
        <v>0</v>
      </c>
      <c r="GK783">
        <v>0</v>
      </c>
      <c r="GL783">
        <v>0</v>
      </c>
      <c r="GO783">
        <v>0</v>
      </c>
      <c r="GP783">
        <v>0</v>
      </c>
      <c r="GQ783">
        <v>0</v>
      </c>
      <c r="GR783">
        <v>0</v>
      </c>
      <c r="GS783">
        <v>0</v>
      </c>
      <c r="GT783">
        <v>0</v>
      </c>
      <c r="GU783">
        <v>0</v>
      </c>
      <c r="GV783">
        <v>0</v>
      </c>
      <c r="GW783">
        <v>0</v>
      </c>
      <c r="GX783">
        <v>0</v>
      </c>
      <c r="GY783">
        <v>0</v>
      </c>
      <c r="GZ783">
        <v>0</v>
      </c>
      <c r="HA783">
        <v>0</v>
      </c>
      <c r="HB783">
        <v>0</v>
      </c>
      <c r="HC783">
        <v>0</v>
      </c>
      <c r="HD783">
        <v>0</v>
      </c>
      <c r="HE783">
        <v>0</v>
      </c>
      <c r="HF783">
        <v>0</v>
      </c>
      <c r="HG783">
        <v>0</v>
      </c>
      <c r="HH783">
        <v>0</v>
      </c>
      <c r="HI783">
        <v>0</v>
      </c>
      <c r="HJ783">
        <v>0</v>
      </c>
      <c r="HK783">
        <v>0</v>
      </c>
      <c r="HL783">
        <v>0</v>
      </c>
      <c r="HM783">
        <v>0</v>
      </c>
      <c r="HN783">
        <v>0</v>
      </c>
      <c r="HO783">
        <v>0</v>
      </c>
      <c r="HP783">
        <v>0</v>
      </c>
      <c r="HQ783">
        <v>0</v>
      </c>
      <c r="HR783">
        <v>0</v>
      </c>
      <c r="HS783">
        <v>0</v>
      </c>
      <c r="HT783">
        <v>0</v>
      </c>
      <c r="HU783">
        <v>0</v>
      </c>
      <c r="HV783">
        <v>0</v>
      </c>
      <c r="HW783">
        <v>404.70000000000005</v>
      </c>
      <c r="HX783">
        <v>342.3</v>
      </c>
      <c r="HZ783">
        <v>866.2</v>
      </c>
      <c r="IA783">
        <v>1142.8</v>
      </c>
      <c r="IB783">
        <v>1121.5</v>
      </c>
      <c r="IC783">
        <v>2403</v>
      </c>
      <c r="ID783">
        <v>2659.3</v>
      </c>
      <c r="IE783">
        <v>1923.4</v>
      </c>
      <c r="IF783">
        <v>1465.7</v>
      </c>
      <c r="IG783">
        <v>1608.3</v>
      </c>
      <c r="IH783">
        <v>0</v>
      </c>
      <c r="II783">
        <v>0</v>
      </c>
      <c r="IJ783">
        <v>0</v>
      </c>
      <c r="IK783">
        <v>0</v>
      </c>
      <c r="IL783">
        <v>0</v>
      </c>
      <c r="IM783">
        <v>0</v>
      </c>
      <c r="IN783">
        <v>0</v>
      </c>
      <c r="IO783">
        <v>0</v>
      </c>
      <c r="IP783">
        <v>75.099999999999994</v>
      </c>
    </row>
    <row r="784" spans="1:250" ht="18" thickBot="1">
      <c r="A784" s="358"/>
      <c r="B784" s="358"/>
      <c r="C784" s="230" t="s">
        <v>1203</v>
      </c>
      <c r="D784" s="547"/>
      <c r="E784" s="454">
        <v>0</v>
      </c>
      <c r="F784">
        <v>0</v>
      </c>
      <c r="G784" s="427">
        <v>0</v>
      </c>
      <c r="H784" s="155">
        <v>0</v>
      </c>
      <c r="I784">
        <v>0</v>
      </c>
      <c r="J784">
        <v>0</v>
      </c>
      <c r="K784">
        <v>0</v>
      </c>
      <c r="L784" s="4">
        <v>0</v>
      </c>
      <c r="M784" s="4">
        <v>0</v>
      </c>
      <c r="N784" s="4">
        <v>0</v>
      </c>
      <c r="O784" s="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R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G784">
        <v>0</v>
      </c>
      <c r="BI784">
        <v>0</v>
      </c>
      <c r="BK784">
        <v>0</v>
      </c>
      <c r="BL784">
        <v>0</v>
      </c>
      <c r="BM784">
        <v>0</v>
      </c>
      <c r="BN784">
        <v>0</v>
      </c>
      <c r="BO784">
        <v>344.70000000000005</v>
      </c>
      <c r="BP784">
        <v>625.70000000000005</v>
      </c>
      <c r="BQ784">
        <v>912.2</v>
      </c>
      <c r="BR784">
        <v>237.7</v>
      </c>
      <c r="BS784">
        <v>0</v>
      </c>
      <c r="BT784">
        <v>0</v>
      </c>
      <c r="BU784">
        <v>0</v>
      </c>
      <c r="BV784">
        <v>0</v>
      </c>
      <c r="BW784">
        <v>1647.4</v>
      </c>
      <c r="BY784">
        <v>453.1</v>
      </c>
      <c r="CA784">
        <v>285.39999999999998</v>
      </c>
      <c r="CB784">
        <v>280.8</v>
      </c>
      <c r="CC784">
        <v>127.7</v>
      </c>
      <c r="CD784">
        <v>0</v>
      </c>
      <c r="CE784">
        <v>0</v>
      </c>
      <c r="CF784">
        <v>0</v>
      </c>
      <c r="CG784">
        <v>0</v>
      </c>
      <c r="CI784">
        <v>0</v>
      </c>
      <c r="CJ784">
        <v>0</v>
      </c>
      <c r="CL784">
        <v>0</v>
      </c>
      <c r="CM784">
        <v>0</v>
      </c>
      <c r="CN784">
        <v>0</v>
      </c>
      <c r="CO784">
        <v>0</v>
      </c>
      <c r="CP784">
        <v>0</v>
      </c>
      <c r="CQ784">
        <v>621.70000000000005</v>
      </c>
      <c r="CR784">
        <v>481.70000000000005</v>
      </c>
      <c r="CS784">
        <v>0</v>
      </c>
      <c r="CT784">
        <v>524.6</v>
      </c>
      <c r="CU784">
        <v>514.1</v>
      </c>
      <c r="CV784">
        <v>175.2</v>
      </c>
      <c r="CW784">
        <v>0</v>
      </c>
      <c r="CX784">
        <v>65.099999999999994</v>
      </c>
      <c r="CY784">
        <v>199</v>
      </c>
      <c r="CZ784">
        <v>1907.9</v>
      </c>
      <c r="DA784">
        <v>0</v>
      </c>
      <c r="DB784">
        <v>0</v>
      </c>
      <c r="DC784">
        <v>0</v>
      </c>
      <c r="DD784">
        <v>0</v>
      </c>
      <c r="DE784">
        <v>0</v>
      </c>
      <c r="DF784">
        <v>0</v>
      </c>
      <c r="DG784">
        <v>0</v>
      </c>
      <c r="DH784">
        <v>0</v>
      </c>
      <c r="DI784">
        <v>0</v>
      </c>
      <c r="DJ784">
        <v>0</v>
      </c>
      <c r="DK784">
        <v>0</v>
      </c>
      <c r="DL784">
        <v>0</v>
      </c>
      <c r="DM784">
        <v>1065.4000000000001</v>
      </c>
      <c r="DN784">
        <v>599.70000000000005</v>
      </c>
      <c r="DO784">
        <v>319.7</v>
      </c>
      <c r="DP784">
        <v>1570.6999999999998</v>
      </c>
      <c r="DQ784">
        <v>1399.5</v>
      </c>
      <c r="DR784">
        <v>3581</v>
      </c>
      <c r="DU784">
        <v>1393.2</v>
      </c>
      <c r="DV784">
        <v>2862.6</v>
      </c>
      <c r="DY784">
        <v>2361</v>
      </c>
      <c r="EA784">
        <v>2409.6</v>
      </c>
      <c r="EC784">
        <v>1661.3999999999999</v>
      </c>
      <c r="EE784">
        <v>0</v>
      </c>
      <c r="EF784">
        <v>0</v>
      </c>
      <c r="EG784">
        <v>0</v>
      </c>
      <c r="EH784">
        <v>0</v>
      </c>
      <c r="EI784">
        <v>0</v>
      </c>
      <c r="EJ784">
        <v>0</v>
      </c>
      <c r="EK784">
        <v>0</v>
      </c>
      <c r="EL784">
        <v>0</v>
      </c>
      <c r="EM784">
        <v>0</v>
      </c>
      <c r="EN784">
        <v>0</v>
      </c>
      <c r="EO784">
        <v>0</v>
      </c>
      <c r="EP784">
        <v>944.5</v>
      </c>
      <c r="EQ784">
        <v>3459.7</v>
      </c>
      <c r="ER784">
        <v>1353.5</v>
      </c>
      <c r="ES784">
        <v>182.2</v>
      </c>
      <c r="ET784">
        <v>855.59999999999991</v>
      </c>
      <c r="EU784">
        <v>172.2</v>
      </c>
      <c r="EV784">
        <v>203.2</v>
      </c>
      <c r="EW784">
        <v>1173.0999999999999</v>
      </c>
      <c r="EX784">
        <v>1078.3</v>
      </c>
      <c r="EY784">
        <v>1194.4000000000001</v>
      </c>
      <c r="EZ784">
        <v>1207.0999999999999</v>
      </c>
      <c r="FA784">
        <v>0</v>
      </c>
      <c r="FB784">
        <v>0</v>
      </c>
      <c r="FC784">
        <v>0</v>
      </c>
      <c r="FD784">
        <v>0</v>
      </c>
      <c r="FE784">
        <v>0</v>
      </c>
      <c r="FF784">
        <v>0</v>
      </c>
      <c r="FG784">
        <v>0</v>
      </c>
      <c r="FH784">
        <v>0</v>
      </c>
      <c r="FI784">
        <v>0</v>
      </c>
      <c r="FJ784">
        <v>0</v>
      </c>
      <c r="FK784">
        <v>0</v>
      </c>
      <c r="FL784">
        <v>0</v>
      </c>
      <c r="FM784">
        <v>0</v>
      </c>
      <c r="FN784">
        <v>0</v>
      </c>
      <c r="FO784">
        <v>0</v>
      </c>
      <c r="FP784">
        <v>0</v>
      </c>
      <c r="FQ784">
        <v>0</v>
      </c>
      <c r="FR784">
        <v>0</v>
      </c>
      <c r="FS784">
        <v>0</v>
      </c>
      <c r="FT784">
        <v>0</v>
      </c>
      <c r="FU784">
        <v>0</v>
      </c>
      <c r="FV784">
        <v>0</v>
      </c>
      <c r="FW784">
        <v>0</v>
      </c>
      <c r="FX784">
        <v>0</v>
      </c>
      <c r="FY784">
        <v>0</v>
      </c>
      <c r="FZ784">
        <v>0</v>
      </c>
      <c r="GA784">
        <v>0</v>
      </c>
      <c r="GB784">
        <v>0</v>
      </c>
      <c r="GC784">
        <v>0</v>
      </c>
      <c r="GD784">
        <v>0</v>
      </c>
      <c r="GE784">
        <v>0</v>
      </c>
      <c r="GF784">
        <v>0</v>
      </c>
      <c r="GG784">
        <v>0</v>
      </c>
      <c r="GH784">
        <v>0</v>
      </c>
      <c r="GI784">
        <v>0</v>
      </c>
      <c r="GJ784">
        <v>0</v>
      </c>
      <c r="GK784">
        <v>0</v>
      </c>
      <c r="GL784">
        <v>0</v>
      </c>
      <c r="GO784">
        <v>0</v>
      </c>
      <c r="GP784">
        <v>0</v>
      </c>
      <c r="GQ784">
        <v>0</v>
      </c>
      <c r="GR784">
        <v>0</v>
      </c>
      <c r="GS784">
        <v>0</v>
      </c>
      <c r="GT784">
        <v>0</v>
      </c>
      <c r="GU784">
        <v>0</v>
      </c>
      <c r="GV784">
        <v>0</v>
      </c>
      <c r="GW784">
        <v>0</v>
      </c>
      <c r="GX784">
        <v>0</v>
      </c>
      <c r="GY784">
        <v>0</v>
      </c>
      <c r="GZ784">
        <v>0</v>
      </c>
      <c r="HA784">
        <v>0</v>
      </c>
      <c r="HB784">
        <v>0</v>
      </c>
      <c r="HC784">
        <v>0</v>
      </c>
      <c r="HD784">
        <v>0</v>
      </c>
      <c r="HE784">
        <v>0</v>
      </c>
      <c r="HF784">
        <v>0</v>
      </c>
      <c r="HG784">
        <v>0</v>
      </c>
      <c r="HH784">
        <v>0</v>
      </c>
      <c r="HI784">
        <v>0</v>
      </c>
      <c r="HJ784">
        <v>0</v>
      </c>
      <c r="HK784">
        <v>0</v>
      </c>
      <c r="HL784">
        <v>0</v>
      </c>
      <c r="HM784">
        <v>0</v>
      </c>
      <c r="HN784">
        <v>0</v>
      </c>
      <c r="HO784">
        <v>0</v>
      </c>
      <c r="HP784">
        <v>0</v>
      </c>
      <c r="HQ784">
        <v>0</v>
      </c>
      <c r="HR784">
        <v>0</v>
      </c>
      <c r="HS784">
        <v>0</v>
      </c>
      <c r="HT784">
        <v>0</v>
      </c>
      <c r="HU784">
        <v>0</v>
      </c>
      <c r="HV784">
        <v>0</v>
      </c>
      <c r="HW784">
        <v>404.70000000000005</v>
      </c>
      <c r="HX784">
        <v>342.3</v>
      </c>
      <c r="HZ784">
        <v>866.2</v>
      </c>
      <c r="IA784">
        <v>1142.8</v>
      </c>
      <c r="IB784">
        <v>1121.5</v>
      </c>
      <c r="IC784">
        <v>2403</v>
      </c>
      <c r="ID784">
        <v>2659.3</v>
      </c>
      <c r="IE784">
        <v>1923.4</v>
      </c>
      <c r="IF784">
        <v>1465.7</v>
      </c>
      <c r="IG784">
        <v>1608.3</v>
      </c>
      <c r="IH784">
        <v>0</v>
      </c>
      <c r="II784">
        <v>0</v>
      </c>
      <c r="IJ784">
        <v>0</v>
      </c>
      <c r="IK784">
        <v>0</v>
      </c>
      <c r="IL784">
        <v>0</v>
      </c>
      <c r="IM784">
        <v>0</v>
      </c>
      <c r="IN784">
        <v>0</v>
      </c>
      <c r="IO784">
        <v>0</v>
      </c>
      <c r="IP784">
        <v>75.099999999999994</v>
      </c>
    </row>
    <row r="785" spans="1:278" ht="18" thickBot="1">
      <c r="A785" s="358"/>
      <c r="B785" s="358"/>
      <c r="C785" s="230" t="s">
        <v>1204</v>
      </c>
      <c r="D785" s="547"/>
      <c r="E785" s="454">
        <v>0</v>
      </c>
      <c r="F785">
        <v>0</v>
      </c>
      <c r="G785" s="427">
        <v>0</v>
      </c>
      <c r="H785" s="155">
        <v>0</v>
      </c>
      <c r="I785">
        <v>0</v>
      </c>
      <c r="J785">
        <v>0</v>
      </c>
      <c r="K785">
        <v>0</v>
      </c>
      <c r="L785" s="4">
        <v>0</v>
      </c>
      <c r="M785" s="4">
        <v>0</v>
      </c>
      <c r="N785" s="4">
        <v>0</v>
      </c>
      <c r="O785" s="4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R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G785">
        <v>0</v>
      </c>
      <c r="BI785">
        <v>0</v>
      </c>
      <c r="BK785">
        <v>0</v>
      </c>
      <c r="BL785">
        <v>0</v>
      </c>
      <c r="BM785">
        <v>0</v>
      </c>
      <c r="BN785">
        <v>0</v>
      </c>
      <c r="BO785">
        <v>344.70000000000005</v>
      </c>
      <c r="BP785">
        <v>625.70000000000005</v>
      </c>
      <c r="BQ785">
        <v>912.2</v>
      </c>
      <c r="BR785">
        <v>237.7</v>
      </c>
      <c r="BS785">
        <v>0</v>
      </c>
      <c r="BT785">
        <v>0</v>
      </c>
      <c r="BU785">
        <v>0</v>
      </c>
      <c r="BV785">
        <v>0</v>
      </c>
      <c r="BW785">
        <v>1647.4</v>
      </c>
      <c r="BY785">
        <v>453.1</v>
      </c>
      <c r="CA785">
        <v>285.39999999999998</v>
      </c>
      <c r="CB785">
        <v>280.8</v>
      </c>
      <c r="CC785">
        <v>127.7</v>
      </c>
      <c r="CD785">
        <v>0</v>
      </c>
      <c r="CE785">
        <v>0</v>
      </c>
      <c r="CF785">
        <v>0</v>
      </c>
      <c r="CG785">
        <v>0</v>
      </c>
      <c r="CI785">
        <v>0</v>
      </c>
      <c r="CJ785">
        <v>0</v>
      </c>
      <c r="CL785">
        <v>0</v>
      </c>
      <c r="CM785">
        <v>0</v>
      </c>
      <c r="CN785">
        <v>0</v>
      </c>
      <c r="CO785">
        <v>0</v>
      </c>
      <c r="CP785">
        <v>0</v>
      </c>
      <c r="CQ785">
        <v>621.70000000000005</v>
      </c>
      <c r="CR785">
        <v>481.70000000000005</v>
      </c>
      <c r="CS785">
        <v>0</v>
      </c>
      <c r="CT785">
        <v>524.6</v>
      </c>
      <c r="CU785">
        <v>514.1</v>
      </c>
      <c r="CV785">
        <v>175.2</v>
      </c>
      <c r="CW785">
        <v>0</v>
      </c>
      <c r="CX785">
        <v>65.099999999999994</v>
      </c>
      <c r="CY785">
        <v>199</v>
      </c>
      <c r="CZ785">
        <v>1907.9</v>
      </c>
      <c r="DA785">
        <v>0</v>
      </c>
      <c r="DB785">
        <v>0</v>
      </c>
      <c r="DC785">
        <v>0</v>
      </c>
      <c r="DD785">
        <v>0</v>
      </c>
      <c r="DE785">
        <v>0</v>
      </c>
      <c r="DF785">
        <v>0</v>
      </c>
      <c r="DG785">
        <v>0</v>
      </c>
      <c r="DH785">
        <v>0</v>
      </c>
      <c r="DI785">
        <v>0</v>
      </c>
      <c r="DJ785">
        <v>0</v>
      </c>
      <c r="DK785">
        <v>0</v>
      </c>
      <c r="DL785">
        <v>0</v>
      </c>
      <c r="DM785">
        <v>1065.4000000000001</v>
      </c>
      <c r="DN785">
        <v>599.70000000000005</v>
      </c>
      <c r="DO785">
        <v>319.7</v>
      </c>
      <c r="DP785">
        <v>1570.6999999999998</v>
      </c>
      <c r="DQ785">
        <v>1399.5</v>
      </c>
      <c r="DR785">
        <v>3581</v>
      </c>
      <c r="DU785">
        <v>1393.2</v>
      </c>
      <c r="DV785">
        <v>2862.6</v>
      </c>
      <c r="DY785">
        <v>2361</v>
      </c>
      <c r="EA785">
        <v>2409.6</v>
      </c>
      <c r="EC785">
        <v>1661.3999999999999</v>
      </c>
      <c r="EE785">
        <v>0</v>
      </c>
      <c r="EF785">
        <v>0</v>
      </c>
      <c r="EG785">
        <v>0</v>
      </c>
      <c r="EH785">
        <v>0</v>
      </c>
      <c r="EI785">
        <v>0</v>
      </c>
      <c r="EJ785">
        <v>0</v>
      </c>
      <c r="EK785">
        <v>0</v>
      </c>
      <c r="EL785">
        <v>0</v>
      </c>
      <c r="EM785">
        <v>0</v>
      </c>
      <c r="EN785">
        <v>0</v>
      </c>
      <c r="EO785">
        <v>0</v>
      </c>
      <c r="EP785">
        <v>944.5</v>
      </c>
      <c r="EQ785">
        <v>3459.7</v>
      </c>
      <c r="ER785">
        <v>1353.5</v>
      </c>
      <c r="ES785">
        <v>182.2</v>
      </c>
      <c r="ET785">
        <v>855.59999999999991</v>
      </c>
      <c r="EU785">
        <v>172.2</v>
      </c>
      <c r="EV785">
        <v>203.2</v>
      </c>
      <c r="EW785">
        <v>1173.0999999999999</v>
      </c>
      <c r="EX785">
        <v>1078.3</v>
      </c>
      <c r="EY785">
        <v>1194.4000000000001</v>
      </c>
      <c r="EZ785">
        <v>1207.0999999999999</v>
      </c>
      <c r="FA785">
        <v>0</v>
      </c>
      <c r="FB785">
        <v>0</v>
      </c>
      <c r="FC785">
        <v>0</v>
      </c>
      <c r="FD785">
        <v>0</v>
      </c>
      <c r="FE785">
        <v>0</v>
      </c>
      <c r="FF785">
        <v>0</v>
      </c>
      <c r="FG785">
        <v>0</v>
      </c>
      <c r="FH785">
        <v>0</v>
      </c>
      <c r="FI785">
        <v>0</v>
      </c>
      <c r="FJ785">
        <v>0</v>
      </c>
      <c r="FK785">
        <v>0</v>
      </c>
      <c r="FL785">
        <v>0</v>
      </c>
      <c r="FM785">
        <v>0</v>
      </c>
      <c r="FN785">
        <v>0</v>
      </c>
      <c r="FO785">
        <v>0</v>
      </c>
      <c r="FP785">
        <v>0</v>
      </c>
      <c r="FQ785">
        <v>0</v>
      </c>
      <c r="FR785">
        <v>0</v>
      </c>
      <c r="FS785">
        <v>0</v>
      </c>
      <c r="FT785">
        <v>0</v>
      </c>
      <c r="FU785">
        <v>0</v>
      </c>
      <c r="FV785">
        <v>0</v>
      </c>
      <c r="FW785">
        <v>0</v>
      </c>
      <c r="FX785">
        <v>0</v>
      </c>
      <c r="FY785">
        <v>0</v>
      </c>
      <c r="FZ785">
        <v>0</v>
      </c>
      <c r="GA785">
        <v>0</v>
      </c>
      <c r="GB785">
        <v>0</v>
      </c>
      <c r="GC785">
        <v>0</v>
      </c>
      <c r="GD785">
        <v>0</v>
      </c>
      <c r="GE785">
        <v>0</v>
      </c>
      <c r="GF785">
        <v>0</v>
      </c>
      <c r="GG785">
        <v>0</v>
      </c>
      <c r="GH785">
        <v>0</v>
      </c>
      <c r="GI785">
        <v>0</v>
      </c>
      <c r="GJ785">
        <v>0</v>
      </c>
      <c r="GK785">
        <v>0</v>
      </c>
      <c r="GL785">
        <v>0</v>
      </c>
      <c r="GO785">
        <v>0</v>
      </c>
      <c r="GP785">
        <v>0</v>
      </c>
      <c r="GQ785">
        <v>0</v>
      </c>
      <c r="GR785">
        <v>0</v>
      </c>
      <c r="GS785">
        <v>0</v>
      </c>
      <c r="GT785">
        <v>0</v>
      </c>
      <c r="GU785">
        <v>0</v>
      </c>
      <c r="GV785">
        <v>0</v>
      </c>
      <c r="GW785">
        <v>0</v>
      </c>
      <c r="GX785">
        <v>0</v>
      </c>
      <c r="GY785">
        <v>0</v>
      </c>
      <c r="GZ785">
        <v>0</v>
      </c>
      <c r="HA785">
        <v>0</v>
      </c>
      <c r="HB785">
        <v>0</v>
      </c>
      <c r="HC785">
        <v>0</v>
      </c>
      <c r="HD785">
        <v>0</v>
      </c>
      <c r="HE785">
        <v>0</v>
      </c>
      <c r="HF785">
        <v>0</v>
      </c>
      <c r="HG785">
        <v>0</v>
      </c>
      <c r="HH785">
        <v>0</v>
      </c>
      <c r="HI785">
        <v>0</v>
      </c>
      <c r="HJ785">
        <v>0</v>
      </c>
      <c r="HK785">
        <v>0</v>
      </c>
      <c r="HL785">
        <v>0</v>
      </c>
      <c r="HM785">
        <v>0</v>
      </c>
      <c r="HN785">
        <v>0</v>
      </c>
      <c r="HO785">
        <v>0</v>
      </c>
      <c r="HP785">
        <v>0</v>
      </c>
      <c r="HQ785">
        <v>0</v>
      </c>
      <c r="HR785">
        <v>0</v>
      </c>
      <c r="HS785">
        <v>0</v>
      </c>
      <c r="HT785">
        <v>0</v>
      </c>
      <c r="HU785">
        <v>0</v>
      </c>
      <c r="HV785">
        <v>0</v>
      </c>
      <c r="HW785">
        <v>404.70000000000005</v>
      </c>
      <c r="HX785">
        <v>342.3</v>
      </c>
      <c r="HZ785">
        <v>866.2</v>
      </c>
      <c r="IA785">
        <v>1142.8</v>
      </c>
      <c r="IB785">
        <v>1121.5</v>
      </c>
      <c r="IC785">
        <v>2403</v>
      </c>
      <c r="ID785">
        <v>2659.3</v>
      </c>
      <c r="IE785">
        <v>1923.4</v>
      </c>
      <c r="IF785">
        <v>1465.7</v>
      </c>
      <c r="IG785">
        <v>1608.3</v>
      </c>
      <c r="IH785">
        <v>0</v>
      </c>
      <c r="II785">
        <v>0</v>
      </c>
      <c r="IJ785">
        <v>0</v>
      </c>
      <c r="IK785">
        <v>0</v>
      </c>
      <c r="IL785">
        <v>0</v>
      </c>
      <c r="IM785">
        <v>0</v>
      </c>
      <c r="IN785">
        <v>0</v>
      </c>
      <c r="IO785">
        <v>0</v>
      </c>
      <c r="IP785">
        <v>75.099999999999994</v>
      </c>
    </row>
    <row r="786" spans="1:278" ht="18" thickBot="1">
      <c r="A786" s="358"/>
      <c r="B786" s="358"/>
      <c r="C786" s="334" t="s">
        <v>1205</v>
      </c>
      <c r="D786" s="548"/>
      <c r="E786" s="454">
        <v>0</v>
      </c>
      <c r="F786">
        <v>0</v>
      </c>
      <c r="G786" s="427">
        <v>0</v>
      </c>
      <c r="H786" s="155">
        <v>0</v>
      </c>
      <c r="I786">
        <v>0</v>
      </c>
      <c r="J786">
        <v>0</v>
      </c>
      <c r="K786">
        <v>0</v>
      </c>
      <c r="L786" s="4">
        <v>0</v>
      </c>
      <c r="M786" s="4">
        <v>0</v>
      </c>
      <c r="N786" s="4">
        <v>0</v>
      </c>
      <c r="O786" s="4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R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G786">
        <v>0</v>
      </c>
      <c r="BI786">
        <v>0</v>
      </c>
      <c r="BK786">
        <v>0</v>
      </c>
      <c r="BL786">
        <v>0</v>
      </c>
      <c r="BM786">
        <v>0</v>
      </c>
      <c r="BN786">
        <v>0</v>
      </c>
      <c r="BO786">
        <v>344.70000000000005</v>
      </c>
      <c r="BP786">
        <v>625.70000000000005</v>
      </c>
      <c r="BQ786">
        <v>912.2</v>
      </c>
      <c r="BR786">
        <v>237.7</v>
      </c>
      <c r="BS786">
        <v>0</v>
      </c>
      <c r="BT786">
        <v>0</v>
      </c>
      <c r="BU786">
        <v>0</v>
      </c>
      <c r="BV786">
        <v>0</v>
      </c>
      <c r="BW786">
        <v>1647.4</v>
      </c>
      <c r="BY786">
        <v>453.1</v>
      </c>
      <c r="CA786">
        <v>285.39999999999998</v>
      </c>
      <c r="CB786">
        <v>280.8</v>
      </c>
      <c r="CC786">
        <v>127.7</v>
      </c>
      <c r="CD786">
        <v>0</v>
      </c>
      <c r="CE786">
        <v>0</v>
      </c>
      <c r="CF786">
        <v>0</v>
      </c>
      <c r="CG786">
        <v>0</v>
      </c>
      <c r="CI786">
        <v>0</v>
      </c>
      <c r="CJ786">
        <v>0</v>
      </c>
      <c r="CL786">
        <v>0</v>
      </c>
      <c r="CM786">
        <v>0</v>
      </c>
      <c r="CN786">
        <v>0</v>
      </c>
      <c r="CO786">
        <v>0</v>
      </c>
      <c r="CP786">
        <v>0</v>
      </c>
      <c r="CQ786">
        <v>621.70000000000005</v>
      </c>
      <c r="CR786">
        <v>481.70000000000005</v>
      </c>
      <c r="CS786">
        <v>0</v>
      </c>
      <c r="CT786">
        <v>524.6</v>
      </c>
      <c r="CU786">
        <v>514.1</v>
      </c>
      <c r="CV786">
        <v>175.2</v>
      </c>
      <c r="CW786">
        <v>0</v>
      </c>
      <c r="CX786">
        <v>65.099999999999994</v>
      </c>
      <c r="CY786">
        <v>199</v>
      </c>
      <c r="CZ786">
        <v>1907.9</v>
      </c>
      <c r="DA786">
        <v>0</v>
      </c>
      <c r="DB786">
        <v>0</v>
      </c>
      <c r="DC786">
        <v>0</v>
      </c>
      <c r="DD786">
        <v>0</v>
      </c>
      <c r="DE786">
        <v>0</v>
      </c>
      <c r="DF786">
        <v>0</v>
      </c>
      <c r="DG786">
        <v>0</v>
      </c>
      <c r="DH786">
        <v>0</v>
      </c>
      <c r="DI786">
        <v>0</v>
      </c>
      <c r="DJ786">
        <v>0</v>
      </c>
      <c r="DK786">
        <v>0</v>
      </c>
      <c r="DL786">
        <v>0</v>
      </c>
      <c r="DM786">
        <v>1065.4000000000001</v>
      </c>
      <c r="DN786">
        <v>599.70000000000005</v>
      </c>
      <c r="DO786">
        <v>319.7</v>
      </c>
      <c r="DP786">
        <v>1570.6999999999998</v>
      </c>
      <c r="DQ786">
        <v>1399.5</v>
      </c>
      <c r="DR786">
        <v>3581</v>
      </c>
      <c r="DU786">
        <v>1393.2</v>
      </c>
      <c r="DV786">
        <v>2862.6</v>
      </c>
      <c r="DY786">
        <v>2361</v>
      </c>
      <c r="EA786">
        <v>2409.6</v>
      </c>
      <c r="EC786">
        <v>1661.3999999999999</v>
      </c>
      <c r="EE786">
        <v>0</v>
      </c>
      <c r="EF786">
        <v>0</v>
      </c>
      <c r="EG786">
        <v>0</v>
      </c>
      <c r="EH786">
        <v>0</v>
      </c>
      <c r="EI786">
        <v>0</v>
      </c>
      <c r="EJ786">
        <v>0</v>
      </c>
      <c r="EK786">
        <v>0</v>
      </c>
      <c r="EL786">
        <v>0</v>
      </c>
      <c r="EM786">
        <v>0</v>
      </c>
      <c r="EN786">
        <v>0</v>
      </c>
      <c r="EO786">
        <v>0</v>
      </c>
      <c r="EP786">
        <v>944.5</v>
      </c>
      <c r="EQ786">
        <v>3459.7</v>
      </c>
      <c r="ER786">
        <v>1353.5</v>
      </c>
      <c r="ES786">
        <v>182.2</v>
      </c>
      <c r="ET786">
        <v>855.59999999999991</v>
      </c>
      <c r="EU786">
        <v>172.2</v>
      </c>
      <c r="EV786">
        <v>203.2</v>
      </c>
      <c r="EW786">
        <v>1173.0999999999999</v>
      </c>
      <c r="EX786">
        <v>1078.3</v>
      </c>
      <c r="EY786">
        <v>1194.4000000000001</v>
      </c>
      <c r="EZ786">
        <v>1207.0999999999999</v>
      </c>
      <c r="FA786">
        <v>0</v>
      </c>
      <c r="FB786">
        <v>0</v>
      </c>
      <c r="FC786">
        <v>0</v>
      </c>
      <c r="FD786">
        <v>0</v>
      </c>
      <c r="FE786">
        <v>0</v>
      </c>
      <c r="FF786">
        <v>0</v>
      </c>
      <c r="FG786">
        <v>0</v>
      </c>
      <c r="FH786">
        <v>0</v>
      </c>
      <c r="FI786">
        <v>0</v>
      </c>
      <c r="FJ786">
        <v>0</v>
      </c>
      <c r="FK786">
        <v>0</v>
      </c>
      <c r="FL786">
        <v>0</v>
      </c>
      <c r="FM786">
        <v>0</v>
      </c>
      <c r="FN786">
        <v>0</v>
      </c>
      <c r="FO786">
        <v>0</v>
      </c>
      <c r="FP786">
        <v>0</v>
      </c>
      <c r="FQ786">
        <v>0</v>
      </c>
      <c r="FR786">
        <v>0</v>
      </c>
      <c r="FS786">
        <v>0</v>
      </c>
      <c r="FT786">
        <v>0</v>
      </c>
      <c r="FU786">
        <v>0</v>
      </c>
      <c r="FV786">
        <v>0</v>
      </c>
      <c r="FW786">
        <v>0</v>
      </c>
      <c r="FX786">
        <v>0</v>
      </c>
      <c r="FY786">
        <v>0</v>
      </c>
      <c r="FZ786">
        <v>0</v>
      </c>
      <c r="GA786">
        <v>0</v>
      </c>
      <c r="GB786">
        <v>0</v>
      </c>
      <c r="GC786">
        <v>0</v>
      </c>
      <c r="GD786">
        <v>0</v>
      </c>
      <c r="GE786">
        <v>0</v>
      </c>
      <c r="GF786">
        <v>0</v>
      </c>
      <c r="GG786">
        <v>0</v>
      </c>
      <c r="GH786">
        <v>0</v>
      </c>
      <c r="GI786">
        <v>0</v>
      </c>
      <c r="GJ786">
        <v>0</v>
      </c>
      <c r="GK786">
        <v>0</v>
      </c>
      <c r="GL786">
        <v>0</v>
      </c>
      <c r="GO786">
        <v>0</v>
      </c>
      <c r="GP786">
        <v>0</v>
      </c>
      <c r="GQ786">
        <v>0</v>
      </c>
      <c r="GR786">
        <v>0</v>
      </c>
      <c r="GS786">
        <v>0</v>
      </c>
      <c r="GT786">
        <v>0</v>
      </c>
      <c r="GU786">
        <v>0</v>
      </c>
      <c r="GV786">
        <v>0</v>
      </c>
      <c r="GW786">
        <v>0</v>
      </c>
      <c r="GX786">
        <v>0</v>
      </c>
      <c r="GY786">
        <v>0</v>
      </c>
      <c r="GZ786">
        <v>0</v>
      </c>
      <c r="HA786">
        <v>0</v>
      </c>
      <c r="HB786">
        <v>0</v>
      </c>
      <c r="HC786">
        <v>0</v>
      </c>
      <c r="HD786">
        <v>0</v>
      </c>
      <c r="HE786">
        <v>0</v>
      </c>
      <c r="HF786">
        <v>0</v>
      </c>
      <c r="HG786">
        <v>0</v>
      </c>
      <c r="HH786">
        <v>0</v>
      </c>
      <c r="HI786">
        <v>0</v>
      </c>
      <c r="HJ786">
        <v>0</v>
      </c>
      <c r="HK786">
        <v>0</v>
      </c>
      <c r="HL786">
        <v>0</v>
      </c>
      <c r="HM786">
        <v>0</v>
      </c>
      <c r="HN786">
        <v>0</v>
      </c>
      <c r="HO786">
        <v>0</v>
      </c>
      <c r="HP786">
        <v>0</v>
      </c>
      <c r="HQ786">
        <v>0</v>
      </c>
      <c r="HR786">
        <v>0</v>
      </c>
      <c r="HS786">
        <v>0</v>
      </c>
      <c r="HT786">
        <v>0</v>
      </c>
      <c r="HU786">
        <v>0</v>
      </c>
      <c r="HV786">
        <v>0</v>
      </c>
      <c r="HW786">
        <v>404.70000000000005</v>
      </c>
      <c r="HX786">
        <v>342.3</v>
      </c>
      <c r="HZ786">
        <v>866.2</v>
      </c>
      <c r="IA786">
        <v>1142.8</v>
      </c>
      <c r="IB786">
        <v>1121.5</v>
      </c>
      <c r="IC786">
        <v>2403</v>
      </c>
      <c r="ID786">
        <v>2659.3</v>
      </c>
      <c r="IE786">
        <v>1923.4</v>
      </c>
      <c r="IF786">
        <v>1465.7</v>
      </c>
      <c r="IG786">
        <v>1608.3</v>
      </c>
      <c r="IH786">
        <v>0</v>
      </c>
      <c r="II786">
        <v>0</v>
      </c>
      <c r="IJ786">
        <v>0</v>
      </c>
      <c r="IK786">
        <v>0</v>
      </c>
      <c r="IL786">
        <v>0</v>
      </c>
      <c r="IM786">
        <v>0</v>
      </c>
      <c r="IN786">
        <v>0</v>
      </c>
      <c r="IO786">
        <v>0</v>
      </c>
      <c r="IP786">
        <v>75.099999999999994</v>
      </c>
    </row>
    <row r="787" spans="1:278" ht="18.600000000000001" thickTop="1" thickBot="1">
      <c r="A787" s="181"/>
      <c r="B787" s="181"/>
      <c r="C787" s="326" t="s">
        <v>1206</v>
      </c>
      <c r="D787" s="364" t="s">
        <v>804</v>
      </c>
      <c r="E787" s="454">
        <v>0</v>
      </c>
      <c r="F787">
        <v>0</v>
      </c>
      <c r="G787" s="427">
        <v>0</v>
      </c>
      <c r="H787" s="155">
        <v>0</v>
      </c>
      <c r="I787">
        <v>0</v>
      </c>
      <c r="J787">
        <v>0</v>
      </c>
      <c r="K787">
        <v>0</v>
      </c>
      <c r="L787" s="4">
        <v>0</v>
      </c>
      <c r="M787" s="4">
        <v>0</v>
      </c>
      <c r="N787" s="4">
        <v>0</v>
      </c>
      <c r="O787" s="4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R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G787">
        <v>0</v>
      </c>
      <c r="BI787">
        <v>0</v>
      </c>
      <c r="BK787">
        <v>0</v>
      </c>
      <c r="BL787">
        <v>0</v>
      </c>
      <c r="BM787">
        <v>0</v>
      </c>
      <c r="BN787">
        <v>0</v>
      </c>
      <c r="BO787">
        <v>344.70000000000005</v>
      </c>
      <c r="BP787">
        <v>625.70000000000005</v>
      </c>
      <c r="BQ787">
        <v>912.2</v>
      </c>
      <c r="BR787">
        <v>237.7</v>
      </c>
      <c r="BS787">
        <v>0</v>
      </c>
      <c r="BT787">
        <v>0</v>
      </c>
      <c r="BU787">
        <v>0</v>
      </c>
      <c r="BV787">
        <v>0</v>
      </c>
      <c r="BW787">
        <v>1647.4</v>
      </c>
      <c r="BY787">
        <v>453.1</v>
      </c>
      <c r="CA787">
        <v>285.39999999999998</v>
      </c>
      <c r="CB787">
        <v>280.8</v>
      </c>
      <c r="CC787">
        <v>127.7</v>
      </c>
      <c r="CD787">
        <v>0</v>
      </c>
      <c r="CE787">
        <v>0</v>
      </c>
      <c r="CF787">
        <v>0</v>
      </c>
      <c r="CG787">
        <v>0</v>
      </c>
      <c r="CI787">
        <v>0</v>
      </c>
      <c r="CJ787">
        <v>0</v>
      </c>
      <c r="CL787">
        <v>0</v>
      </c>
      <c r="CM787">
        <v>0</v>
      </c>
      <c r="CN787">
        <v>0</v>
      </c>
      <c r="CO787">
        <v>0</v>
      </c>
      <c r="CP787">
        <v>0</v>
      </c>
      <c r="CQ787">
        <v>621.70000000000005</v>
      </c>
      <c r="CR787">
        <v>481.70000000000005</v>
      </c>
      <c r="CS787">
        <v>0</v>
      </c>
      <c r="CT787">
        <v>524.6</v>
      </c>
      <c r="CU787">
        <v>514.1</v>
      </c>
      <c r="CV787">
        <v>175.2</v>
      </c>
      <c r="CW787">
        <v>0</v>
      </c>
      <c r="CX787">
        <v>65.099999999999994</v>
      </c>
      <c r="CY787">
        <v>199</v>
      </c>
      <c r="CZ787">
        <v>1907.9</v>
      </c>
      <c r="DA787">
        <v>0</v>
      </c>
      <c r="DB787">
        <v>0</v>
      </c>
      <c r="DC787">
        <v>0</v>
      </c>
      <c r="DD787">
        <v>0</v>
      </c>
      <c r="DE787">
        <v>0</v>
      </c>
      <c r="DF787">
        <v>0</v>
      </c>
      <c r="DG787">
        <v>0</v>
      </c>
      <c r="DH787">
        <v>0</v>
      </c>
      <c r="DI787">
        <v>0</v>
      </c>
      <c r="DJ787">
        <v>0</v>
      </c>
      <c r="DK787">
        <v>0</v>
      </c>
      <c r="DL787">
        <v>0</v>
      </c>
      <c r="DM787">
        <v>1065.4000000000001</v>
      </c>
      <c r="DN787">
        <v>599.70000000000005</v>
      </c>
      <c r="DO787">
        <v>319.7</v>
      </c>
      <c r="DP787">
        <v>1570.6999999999998</v>
      </c>
      <c r="DQ787">
        <v>1399.5</v>
      </c>
      <c r="DR787">
        <v>3581</v>
      </c>
      <c r="DU787">
        <v>1393.2</v>
      </c>
      <c r="DV787">
        <v>2862.6</v>
      </c>
      <c r="DY787">
        <v>2361</v>
      </c>
      <c r="EA787">
        <v>2409.6</v>
      </c>
      <c r="EC787">
        <v>1661.3999999999999</v>
      </c>
      <c r="EE787">
        <v>0</v>
      </c>
      <c r="EF787">
        <v>0</v>
      </c>
      <c r="EG787">
        <v>0</v>
      </c>
      <c r="EH787">
        <v>0</v>
      </c>
      <c r="EI787">
        <v>0</v>
      </c>
      <c r="EJ787">
        <v>0</v>
      </c>
      <c r="EK787">
        <v>0</v>
      </c>
      <c r="EL787">
        <v>0</v>
      </c>
      <c r="EM787">
        <v>0</v>
      </c>
      <c r="EN787">
        <v>0</v>
      </c>
      <c r="EO787">
        <v>0</v>
      </c>
      <c r="EP787">
        <v>944.5</v>
      </c>
      <c r="EQ787">
        <v>3459.7</v>
      </c>
      <c r="ER787">
        <v>1353.5</v>
      </c>
      <c r="ES787">
        <v>182.2</v>
      </c>
      <c r="ET787">
        <v>855.59999999999991</v>
      </c>
      <c r="EU787">
        <v>172.2</v>
      </c>
      <c r="EV787">
        <v>203.2</v>
      </c>
      <c r="EW787">
        <v>1173.0999999999999</v>
      </c>
      <c r="EX787">
        <v>1078.3</v>
      </c>
      <c r="EY787">
        <v>1194.4000000000001</v>
      </c>
      <c r="EZ787">
        <v>1207.0999999999999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0</v>
      </c>
      <c r="FH787">
        <v>0</v>
      </c>
      <c r="FI787">
        <v>0</v>
      </c>
      <c r="FJ787">
        <v>0</v>
      </c>
      <c r="FK787">
        <v>0</v>
      </c>
      <c r="FL787">
        <v>0</v>
      </c>
      <c r="FM787">
        <v>0</v>
      </c>
      <c r="FN787">
        <v>0</v>
      </c>
      <c r="FO787">
        <v>0</v>
      </c>
      <c r="FP787">
        <v>0</v>
      </c>
      <c r="FQ787">
        <v>0</v>
      </c>
      <c r="FR787">
        <v>0</v>
      </c>
      <c r="FS787">
        <v>0</v>
      </c>
      <c r="FT787">
        <v>0</v>
      </c>
      <c r="FU787">
        <v>0</v>
      </c>
      <c r="FV787">
        <v>0</v>
      </c>
      <c r="FW787">
        <v>0</v>
      </c>
      <c r="FX787">
        <v>0</v>
      </c>
      <c r="FY787">
        <v>0</v>
      </c>
      <c r="FZ787">
        <v>0</v>
      </c>
      <c r="GA787">
        <v>0</v>
      </c>
      <c r="GB787">
        <v>0</v>
      </c>
      <c r="GC787">
        <v>0</v>
      </c>
      <c r="GD787">
        <v>0</v>
      </c>
      <c r="GE787">
        <v>0</v>
      </c>
      <c r="GF787">
        <v>0</v>
      </c>
      <c r="GG787">
        <v>0</v>
      </c>
      <c r="GH787">
        <v>0</v>
      </c>
      <c r="GI787">
        <v>0</v>
      </c>
      <c r="GJ787">
        <v>0</v>
      </c>
      <c r="GK787">
        <v>0</v>
      </c>
      <c r="GL787">
        <v>0</v>
      </c>
      <c r="GO787">
        <v>0</v>
      </c>
      <c r="GP787">
        <v>0</v>
      </c>
      <c r="GQ787">
        <v>0</v>
      </c>
      <c r="GR787">
        <v>0</v>
      </c>
      <c r="GS787">
        <v>0</v>
      </c>
      <c r="GT787">
        <v>0</v>
      </c>
      <c r="GU787">
        <v>0</v>
      </c>
      <c r="GV787">
        <v>0</v>
      </c>
      <c r="GW787">
        <v>0</v>
      </c>
      <c r="GX787">
        <v>0</v>
      </c>
      <c r="GY787">
        <v>0</v>
      </c>
      <c r="GZ787">
        <v>0</v>
      </c>
      <c r="HA787">
        <v>0</v>
      </c>
      <c r="HB787">
        <v>0</v>
      </c>
      <c r="HC787">
        <v>0</v>
      </c>
      <c r="HD787">
        <v>0</v>
      </c>
      <c r="HE787">
        <v>0</v>
      </c>
      <c r="HF787">
        <v>0</v>
      </c>
      <c r="HG787">
        <v>0</v>
      </c>
      <c r="HH787">
        <v>0</v>
      </c>
      <c r="HI787">
        <v>0</v>
      </c>
      <c r="HJ787">
        <v>0</v>
      </c>
      <c r="HK787">
        <v>0</v>
      </c>
      <c r="HL787">
        <v>0</v>
      </c>
      <c r="HM787">
        <v>0</v>
      </c>
      <c r="HN787">
        <v>0</v>
      </c>
      <c r="HO787">
        <v>0</v>
      </c>
      <c r="HP787">
        <v>0</v>
      </c>
      <c r="HQ787">
        <v>0</v>
      </c>
      <c r="HR787">
        <v>0</v>
      </c>
      <c r="HS787">
        <v>0</v>
      </c>
      <c r="HT787">
        <v>0</v>
      </c>
      <c r="HU787">
        <v>0</v>
      </c>
      <c r="HV787">
        <v>0</v>
      </c>
      <c r="HW787">
        <v>404.70000000000005</v>
      </c>
      <c r="HX787">
        <v>342.3</v>
      </c>
      <c r="HZ787">
        <v>866.2</v>
      </c>
      <c r="IA787">
        <v>1142.8</v>
      </c>
      <c r="IB787">
        <v>1121.5</v>
      </c>
      <c r="IC787">
        <v>2403</v>
      </c>
      <c r="ID787">
        <v>2659.3</v>
      </c>
      <c r="IE787">
        <v>1923.4</v>
      </c>
      <c r="IF787">
        <v>1465.7</v>
      </c>
      <c r="IG787">
        <v>1608.3</v>
      </c>
      <c r="IH787">
        <v>0</v>
      </c>
      <c r="II787">
        <v>0</v>
      </c>
      <c r="IJ787">
        <v>0</v>
      </c>
      <c r="IK787">
        <v>0</v>
      </c>
      <c r="IL787">
        <v>0</v>
      </c>
      <c r="IM787">
        <v>0</v>
      </c>
      <c r="IN787">
        <v>0</v>
      </c>
      <c r="IO787">
        <v>0</v>
      </c>
      <c r="IP787">
        <v>75.099999999999994</v>
      </c>
    </row>
    <row r="788" spans="1:278" ht="18" thickBot="1">
      <c r="A788" s="359"/>
      <c r="B788" s="359"/>
      <c r="C788" s="272" t="s">
        <v>1207</v>
      </c>
      <c r="D788" s="364" t="s">
        <v>804</v>
      </c>
      <c r="E788" s="454">
        <v>0</v>
      </c>
      <c r="F788">
        <v>0</v>
      </c>
      <c r="G788" s="427">
        <v>0</v>
      </c>
      <c r="H788" s="155">
        <v>0</v>
      </c>
      <c r="I788">
        <v>0</v>
      </c>
      <c r="J788">
        <v>0</v>
      </c>
      <c r="K788">
        <v>0</v>
      </c>
      <c r="L788" s="4">
        <v>0</v>
      </c>
      <c r="M788" s="4">
        <v>0</v>
      </c>
      <c r="N788" s="4">
        <v>0</v>
      </c>
      <c r="O788" s="4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R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G788">
        <v>0</v>
      </c>
      <c r="BI788">
        <v>0</v>
      </c>
      <c r="BK788">
        <v>0</v>
      </c>
      <c r="BL788">
        <v>0</v>
      </c>
      <c r="BM788">
        <v>0</v>
      </c>
      <c r="BN788">
        <v>0</v>
      </c>
      <c r="BO788">
        <v>344.70000000000005</v>
      </c>
      <c r="BP788">
        <v>625.70000000000005</v>
      </c>
      <c r="BQ788">
        <v>912.2</v>
      </c>
      <c r="BR788">
        <v>237.7</v>
      </c>
      <c r="BS788">
        <v>0</v>
      </c>
      <c r="BT788">
        <v>0</v>
      </c>
      <c r="BU788">
        <v>0</v>
      </c>
      <c r="BV788">
        <v>0</v>
      </c>
      <c r="BW788">
        <v>1647.4</v>
      </c>
      <c r="BY788">
        <v>453.1</v>
      </c>
      <c r="CA788">
        <v>285.39999999999998</v>
      </c>
      <c r="CB788">
        <v>280.8</v>
      </c>
      <c r="CC788">
        <v>127.7</v>
      </c>
      <c r="CD788">
        <v>0</v>
      </c>
      <c r="CE788">
        <v>0</v>
      </c>
      <c r="CF788">
        <v>0</v>
      </c>
      <c r="CG788">
        <v>0</v>
      </c>
      <c r="CI788">
        <v>0</v>
      </c>
      <c r="CJ788">
        <v>0</v>
      </c>
      <c r="CL788">
        <v>0</v>
      </c>
      <c r="CM788">
        <v>0</v>
      </c>
      <c r="CN788">
        <v>0</v>
      </c>
      <c r="CO788">
        <v>0</v>
      </c>
      <c r="CP788">
        <v>0</v>
      </c>
      <c r="CQ788">
        <v>621.70000000000005</v>
      </c>
      <c r="CR788">
        <v>481.70000000000005</v>
      </c>
      <c r="CS788">
        <v>0</v>
      </c>
      <c r="CT788">
        <v>524.6</v>
      </c>
      <c r="CU788">
        <v>514.1</v>
      </c>
      <c r="CV788">
        <v>175.2</v>
      </c>
      <c r="CW788">
        <v>0</v>
      </c>
      <c r="CX788">
        <v>65.099999999999994</v>
      </c>
      <c r="CY788">
        <v>199</v>
      </c>
      <c r="CZ788">
        <v>1907.9</v>
      </c>
      <c r="DA788">
        <v>0</v>
      </c>
      <c r="DB788">
        <v>0</v>
      </c>
      <c r="DC788">
        <v>0</v>
      </c>
      <c r="DD788">
        <v>0</v>
      </c>
      <c r="DE788">
        <v>0</v>
      </c>
      <c r="DF788">
        <v>0</v>
      </c>
      <c r="DG788">
        <v>0</v>
      </c>
      <c r="DH788">
        <v>0</v>
      </c>
      <c r="DI788">
        <v>0</v>
      </c>
      <c r="DJ788">
        <v>0</v>
      </c>
      <c r="DK788">
        <v>0</v>
      </c>
      <c r="DL788">
        <v>0</v>
      </c>
      <c r="DM788">
        <v>1065.4000000000001</v>
      </c>
      <c r="DN788">
        <v>599.70000000000005</v>
      </c>
      <c r="DO788">
        <v>319.7</v>
      </c>
      <c r="DP788">
        <v>1570.6999999999998</v>
      </c>
      <c r="DQ788">
        <v>1399.5</v>
      </c>
      <c r="DR788">
        <v>3581</v>
      </c>
      <c r="DU788">
        <v>1393.2</v>
      </c>
      <c r="DV788">
        <v>2862.6</v>
      </c>
      <c r="DY788">
        <v>2361</v>
      </c>
      <c r="EA788">
        <v>2409.6</v>
      </c>
      <c r="EC788">
        <v>1661.3999999999999</v>
      </c>
      <c r="EE788">
        <v>0</v>
      </c>
      <c r="EF788">
        <v>0</v>
      </c>
      <c r="EG788">
        <v>0</v>
      </c>
      <c r="EH788">
        <v>0</v>
      </c>
      <c r="EI788">
        <v>0</v>
      </c>
      <c r="EJ788">
        <v>0</v>
      </c>
      <c r="EK788">
        <v>0</v>
      </c>
      <c r="EL788">
        <v>0</v>
      </c>
      <c r="EM788">
        <v>0</v>
      </c>
      <c r="EN788">
        <v>0</v>
      </c>
      <c r="EO788">
        <v>0</v>
      </c>
      <c r="EP788">
        <v>944.5</v>
      </c>
      <c r="EQ788">
        <v>3459.7</v>
      </c>
      <c r="ER788">
        <v>1353.5</v>
      </c>
      <c r="ES788">
        <v>182.2</v>
      </c>
      <c r="ET788">
        <v>855.59999999999991</v>
      </c>
      <c r="EU788">
        <v>172.2</v>
      </c>
      <c r="EV788">
        <v>203.2</v>
      </c>
      <c r="EW788">
        <v>1173.0999999999999</v>
      </c>
      <c r="EX788">
        <v>1078.3</v>
      </c>
      <c r="EY788">
        <v>1194.4000000000001</v>
      </c>
      <c r="EZ788">
        <v>1207.0999999999999</v>
      </c>
      <c r="FA788">
        <v>0</v>
      </c>
      <c r="FB788">
        <v>0</v>
      </c>
      <c r="FC788">
        <v>0</v>
      </c>
      <c r="FD788">
        <v>0</v>
      </c>
      <c r="FE788">
        <v>0</v>
      </c>
      <c r="FF788">
        <v>0</v>
      </c>
      <c r="FG788">
        <v>0</v>
      </c>
      <c r="FH788">
        <v>0</v>
      </c>
      <c r="FI788">
        <v>0</v>
      </c>
      <c r="FJ788">
        <v>0</v>
      </c>
      <c r="FK788">
        <v>0</v>
      </c>
      <c r="FL788">
        <v>0</v>
      </c>
      <c r="FM788">
        <v>0</v>
      </c>
      <c r="FN788">
        <v>0</v>
      </c>
      <c r="FO788">
        <v>0</v>
      </c>
      <c r="FP788">
        <v>0</v>
      </c>
      <c r="FQ788">
        <v>0</v>
      </c>
      <c r="FR788">
        <v>0</v>
      </c>
      <c r="FS788">
        <v>0</v>
      </c>
      <c r="FT788">
        <v>0</v>
      </c>
      <c r="FU788">
        <v>0</v>
      </c>
      <c r="FV788">
        <v>0</v>
      </c>
      <c r="FW788">
        <v>0</v>
      </c>
      <c r="FX788">
        <v>0</v>
      </c>
      <c r="FY788">
        <v>0</v>
      </c>
      <c r="FZ788">
        <v>0</v>
      </c>
      <c r="GA788">
        <v>0</v>
      </c>
      <c r="GB788">
        <v>0</v>
      </c>
      <c r="GC788">
        <v>0</v>
      </c>
      <c r="GD788">
        <v>0</v>
      </c>
      <c r="GE788">
        <v>0</v>
      </c>
      <c r="GF788">
        <v>0</v>
      </c>
      <c r="GG788">
        <v>0</v>
      </c>
      <c r="GH788">
        <v>0</v>
      </c>
      <c r="GI788">
        <v>0</v>
      </c>
      <c r="GJ788">
        <v>0</v>
      </c>
      <c r="GK788">
        <v>0</v>
      </c>
      <c r="GL788">
        <v>0</v>
      </c>
      <c r="GO788">
        <v>0</v>
      </c>
      <c r="GP788">
        <v>0</v>
      </c>
      <c r="GQ788">
        <v>0</v>
      </c>
      <c r="GR788">
        <v>0</v>
      </c>
      <c r="GS788">
        <v>0</v>
      </c>
      <c r="GT788">
        <v>0</v>
      </c>
      <c r="GU788">
        <v>0</v>
      </c>
      <c r="GV788">
        <v>0</v>
      </c>
      <c r="GW788">
        <v>0</v>
      </c>
      <c r="GX788">
        <v>0</v>
      </c>
      <c r="GY788">
        <v>0</v>
      </c>
      <c r="GZ788">
        <v>0</v>
      </c>
      <c r="HA788">
        <v>0</v>
      </c>
      <c r="HB788">
        <v>0</v>
      </c>
      <c r="HC788">
        <v>0</v>
      </c>
      <c r="HD788">
        <v>0</v>
      </c>
      <c r="HE788">
        <v>0</v>
      </c>
      <c r="HF788">
        <v>0</v>
      </c>
      <c r="HG788">
        <v>0</v>
      </c>
      <c r="HH788">
        <v>0</v>
      </c>
      <c r="HI788">
        <v>0</v>
      </c>
      <c r="HJ788">
        <v>0</v>
      </c>
      <c r="HK788">
        <v>0</v>
      </c>
      <c r="HL788">
        <v>0</v>
      </c>
      <c r="HM788">
        <v>0</v>
      </c>
      <c r="HN788">
        <v>0</v>
      </c>
      <c r="HO788">
        <v>0</v>
      </c>
      <c r="HP788">
        <v>0</v>
      </c>
      <c r="HQ788">
        <v>0</v>
      </c>
      <c r="HR788">
        <v>0</v>
      </c>
      <c r="HS788">
        <v>0</v>
      </c>
      <c r="HT788">
        <v>0</v>
      </c>
      <c r="HU788">
        <v>0</v>
      </c>
      <c r="HV788">
        <v>0</v>
      </c>
      <c r="HW788">
        <v>404.70000000000005</v>
      </c>
      <c r="HX788">
        <v>342.3</v>
      </c>
      <c r="HZ788">
        <v>866.2</v>
      </c>
      <c r="IA788">
        <v>1142.8</v>
      </c>
      <c r="IB788">
        <v>1121.5</v>
      </c>
      <c r="IC788">
        <v>2403</v>
      </c>
      <c r="ID788">
        <v>2659.3</v>
      </c>
      <c r="IE788">
        <v>1923.4</v>
      </c>
      <c r="IF788">
        <v>1465.7</v>
      </c>
      <c r="IG788">
        <v>1608.3</v>
      </c>
      <c r="IH788">
        <v>0</v>
      </c>
      <c r="II788">
        <v>0</v>
      </c>
      <c r="IJ788">
        <v>0</v>
      </c>
      <c r="IK788">
        <v>0</v>
      </c>
      <c r="IL788">
        <v>0</v>
      </c>
      <c r="IM788">
        <v>0</v>
      </c>
      <c r="IN788">
        <v>0</v>
      </c>
      <c r="IO788">
        <v>0</v>
      </c>
      <c r="IP788">
        <v>75.099999999999994</v>
      </c>
    </row>
    <row r="789" spans="1:278" ht="18" thickBot="1">
      <c r="A789" s="246"/>
      <c r="B789" s="246"/>
      <c r="C789" s="349" t="s">
        <v>1208</v>
      </c>
      <c r="D789" s="364" t="s">
        <v>804</v>
      </c>
      <c r="E789" s="454">
        <v>0</v>
      </c>
      <c r="F789">
        <v>0</v>
      </c>
      <c r="G789" s="427">
        <v>0</v>
      </c>
      <c r="H789" s="155">
        <v>0</v>
      </c>
      <c r="I789">
        <v>0</v>
      </c>
      <c r="J789">
        <v>0</v>
      </c>
      <c r="K789">
        <v>0</v>
      </c>
      <c r="L789" s="4">
        <v>0</v>
      </c>
      <c r="M789" s="4">
        <v>0</v>
      </c>
      <c r="N789" s="4">
        <v>0</v>
      </c>
      <c r="O789" s="4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R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G789">
        <v>0</v>
      </c>
      <c r="BI789">
        <v>0</v>
      </c>
      <c r="BK789">
        <v>0</v>
      </c>
      <c r="BL789">
        <v>0</v>
      </c>
      <c r="BM789">
        <v>0</v>
      </c>
      <c r="BN789">
        <v>0</v>
      </c>
      <c r="BO789">
        <v>344.70000000000005</v>
      </c>
      <c r="BP789">
        <v>625.70000000000005</v>
      </c>
      <c r="BQ789">
        <v>912.2</v>
      </c>
      <c r="BR789">
        <v>237.7</v>
      </c>
      <c r="BS789">
        <v>0</v>
      </c>
      <c r="BT789">
        <v>0</v>
      </c>
      <c r="BU789">
        <v>0</v>
      </c>
      <c r="BV789">
        <v>0</v>
      </c>
      <c r="BW789">
        <v>1647.4</v>
      </c>
      <c r="BY789">
        <v>453.1</v>
      </c>
      <c r="CA789">
        <v>285.39999999999998</v>
      </c>
      <c r="CB789">
        <v>280.8</v>
      </c>
      <c r="CC789">
        <v>127.7</v>
      </c>
      <c r="CD789">
        <v>0</v>
      </c>
      <c r="CE789">
        <v>0</v>
      </c>
      <c r="CF789">
        <v>0</v>
      </c>
      <c r="CG789">
        <v>0</v>
      </c>
      <c r="CI789">
        <v>0</v>
      </c>
      <c r="CJ789">
        <v>0</v>
      </c>
      <c r="CL789">
        <v>0</v>
      </c>
      <c r="CM789">
        <v>0</v>
      </c>
      <c r="CN789">
        <v>0</v>
      </c>
      <c r="CO789">
        <v>0</v>
      </c>
      <c r="CP789">
        <v>0</v>
      </c>
      <c r="CQ789">
        <v>621.70000000000005</v>
      </c>
      <c r="CR789">
        <v>481.70000000000005</v>
      </c>
      <c r="CS789">
        <v>0</v>
      </c>
      <c r="CT789">
        <v>524.6</v>
      </c>
      <c r="CU789">
        <v>514.1</v>
      </c>
      <c r="CV789">
        <v>175.2</v>
      </c>
      <c r="CW789">
        <v>0</v>
      </c>
      <c r="CX789">
        <v>65.099999999999994</v>
      </c>
      <c r="CY789">
        <v>199</v>
      </c>
      <c r="CZ789">
        <v>1907.9</v>
      </c>
      <c r="DA789">
        <v>0</v>
      </c>
      <c r="DB789">
        <v>0</v>
      </c>
      <c r="DC789">
        <v>0</v>
      </c>
      <c r="DD789">
        <v>0</v>
      </c>
      <c r="DE789">
        <v>0</v>
      </c>
      <c r="DF789">
        <v>0</v>
      </c>
      <c r="DG789">
        <v>0</v>
      </c>
      <c r="DH789">
        <v>0</v>
      </c>
      <c r="DI789">
        <v>0</v>
      </c>
      <c r="DJ789">
        <v>0</v>
      </c>
      <c r="DK789">
        <v>0</v>
      </c>
      <c r="DL789">
        <v>0</v>
      </c>
      <c r="DM789">
        <v>1065.4000000000001</v>
      </c>
      <c r="DN789">
        <v>599.70000000000005</v>
      </c>
      <c r="DO789">
        <v>319.7</v>
      </c>
      <c r="DP789">
        <v>1570.6999999999998</v>
      </c>
      <c r="DQ789">
        <v>1399.5</v>
      </c>
      <c r="DR789">
        <v>3581</v>
      </c>
      <c r="DU789">
        <v>1393.2</v>
      </c>
      <c r="DV789">
        <v>2862.6</v>
      </c>
      <c r="DY789">
        <v>2361</v>
      </c>
      <c r="EA789">
        <v>2409.6</v>
      </c>
      <c r="EC789">
        <v>1661.3999999999999</v>
      </c>
      <c r="EE789">
        <v>0</v>
      </c>
      <c r="EF789">
        <v>0</v>
      </c>
      <c r="EG789">
        <v>0</v>
      </c>
      <c r="EH789">
        <v>0</v>
      </c>
      <c r="EI789">
        <v>0</v>
      </c>
      <c r="EJ789">
        <v>0</v>
      </c>
      <c r="EK789">
        <v>0</v>
      </c>
      <c r="EL789">
        <v>0</v>
      </c>
      <c r="EM789">
        <v>0</v>
      </c>
      <c r="EN789">
        <v>0</v>
      </c>
      <c r="EO789">
        <v>0</v>
      </c>
      <c r="EP789">
        <v>944.5</v>
      </c>
      <c r="EQ789">
        <v>3459.7</v>
      </c>
      <c r="ER789">
        <v>1353.5</v>
      </c>
      <c r="ES789">
        <v>182.2</v>
      </c>
      <c r="ET789">
        <v>855.59999999999991</v>
      </c>
      <c r="EU789">
        <v>172.2</v>
      </c>
      <c r="EV789">
        <v>203.2</v>
      </c>
      <c r="EW789">
        <v>1173.0999999999999</v>
      </c>
      <c r="EX789">
        <v>1078.3</v>
      </c>
      <c r="EY789">
        <v>1194.4000000000001</v>
      </c>
      <c r="EZ789">
        <v>1207.0999999999999</v>
      </c>
      <c r="FA789">
        <v>0</v>
      </c>
      <c r="FB789">
        <v>0</v>
      </c>
      <c r="FC789">
        <v>0</v>
      </c>
      <c r="FD789">
        <v>0</v>
      </c>
      <c r="FE789">
        <v>0</v>
      </c>
      <c r="FF789">
        <v>0</v>
      </c>
      <c r="FG789">
        <v>0</v>
      </c>
      <c r="FH789">
        <v>0</v>
      </c>
      <c r="FI789">
        <v>0</v>
      </c>
      <c r="FJ789">
        <v>0</v>
      </c>
      <c r="FK789">
        <v>0</v>
      </c>
      <c r="FL789">
        <v>0</v>
      </c>
      <c r="FM789">
        <v>0</v>
      </c>
      <c r="FN789">
        <v>0</v>
      </c>
      <c r="FO789">
        <v>0</v>
      </c>
      <c r="FP789">
        <v>0</v>
      </c>
      <c r="FQ789">
        <v>0</v>
      </c>
      <c r="FR789">
        <v>0</v>
      </c>
      <c r="FS789">
        <v>0</v>
      </c>
      <c r="FT789">
        <v>0</v>
      </c>
      <c r="FU789">
        <v>0</v>
      </c>
      <c r="FV789">
        <v>0</v>
      </c>
      <c r="FW789">
        <v>0</v>
      </c>
      <c r="FX789">
        <v>0</v>
      </c>
      <c r="FY789">
        <v>0</v>
      </c>
      <c r="FZ789">
        <v>0</v>
      </c>
      <c r="GA789">
        <v>0</v>
      </c>
      <c r="GB789">
        <v>0</v>
      </c>
      <c r="GC789">
        <v>0</v>
      </c>
      <c r="GD789">
        <v>0</v>
      </c>
      <c r="GE789">
        <v>0</v>
      </c>
      <c r="GF789">
        <v>0</v>
      </c>
      <c r="GG789">
        <v>0</v>
      </c>
      <c r="GH789">
        <v>0</v>
      </c>
      <c r="GI789">
        <v>0</v>
      </c>
      <c r="GJ789">
        <v>0</v>
      </c>
      <c r="GK789">
        <v>0</v>
      </c>
      <c r="GL789">
        <v>0</v>
      </c>
      <c r="GO789">
        <v>0</v>
      </c>
      <c r="GP789">
        <v>0</v>
      </c>
      <c r="GQ789">
        <v>0</v>
      </c>
      <c r="GR789">
        <v>0</v>
      </c>
      <c r="GS789">
        <v>0</v>
      </c>
      <c r="GT789">
        <v>0</v>
      </c>
      <c r="GU789">
        <v>0</v>
      </c>
      <c r="GV789">
        <v>0</v>
      </c>
      <c r="GW789">
        <v>0</v>
      </c>
      <c r="GX789">
        <v>0</v>
      </c>
      <c r="GY789">
        <v>0</v>
      </c>
      <c r="GZ789">
        <v>0</v>
      </c>
      <c r="HA789">
        <v>0</v>
      </c>
      <c r="HB789">
        <v>0</v>
      </c>
      <c r="HC789">
        <v>0</v>
      </c>
      <c r="HD789">
        <v>0</v>
      </c>
      <c r="HE789">
        <v>0</v>
      </c>
      <c r="HF789">
        <v>0</v>
      </c>
      <c r="HG789">
        <v>0</v>
      </c>
      <c r="HH789">
        <v>0</v>
      </c>
      <c r="HI789">
        <v>0</v>
      </c>
      <c r="HJ789">
        <v>0</v>
      </c>
      <c r="HK789">
        <v>0</v>
      </c>
      <c r="HL789">
        <v>0</v>
      </c>
      <c r="HM789">
        <v>0</v>
      </c>
      <c r="HN789">
        <v>0</v>
      </c>
      <c r="HO789">
        <v>0</v>
      </c>
      <c r="HP789">
        <v>0</v>
      </c>
      <c r="HQ789">
        <v>0</v>
      </c>
      <c r="HR789">
        <v>0</v>
      </c>
      <c r="HS789">
        <v>0</v>
      </c>
      <c r="HT789">
        <v>0</v>
      </c>
      <c r="HU789">
        <v>0</v>
      </c>
      <c r="HV789">
        <v>0</v>
      </c>
      <c r="HW789">
        <v>404.70000000000005</v>
      </c>
      <c r="HX789">
        <v>342.3</v>
      </c>
      <c r="HZ789">
        <v>866.2</v>
      </c>
      <c r="IA789">
        <v>1142.8</v>
      </c>
      <c r="IB789">
        <v>1121.5</v>
      </c>
      <c r="IC789">
        <v>2403</v>
      </c>
      <c r="ID789">
        <v>2659.3</v>
      </c>
      <c r="IE789">
        <v>1923.4</v>
      </c>
      <c r="IF789">
        <v>1465.7</v>
      </c>
      <c r="IG789">
        <v>1608.3</v>
      </c>
      <c r="IH789">
        <v>0</v>
      </c>
      <c r="II789">
        <v>0</v>
      </c>
      <c r="IJ789">
        <v>0</v>
      </c>
      <c r="IK789">
        <v>0</v>
      </c>
      <c r="IL789">
        <v>0</v>
      </c>
      <c r="IM789">
        <v>0</v>
      </c>
      <c r="IN789">
        <v>0</v>
      </c>
      <c r="IO789">
        <v>0</v>
      </c>
      <c r="IP789">
        <v>75.099999999999994</v>
      </c>
    </row>
    <row r="790" spans="1:278" ht="18.600000000000001" thickTop="1" thickBot="1">
      <c r="A790" s="360"/>
      <c r="B790" s="360" t="s">
        <v>611</v>
      </c>
      <c r="C790" s="363" t="s">
        <v>1209</v>
      </c>
      <c r="D790" s="364" t="s">
        <v>804</v>
      </c>
      <c r="E790" s="454">
        <v>0</v>
      </c>
      <c r="F790">
        <v>0</v>
      </c>
      <c r="G790" s="427">
        <v>0</v>
      </c>
      <c r="H790" s="155">
        <v>0</v>
      </c>
      <c r="I790" s="313">
        <v>0</v>
      </c>
      <c r="J790">
        <v>0</v>
      </c>
      <c r="K790">
        <v>0</v>
      </c>
      <c r="L790" s="4">
        <v>0</v>
      </c>
      <c r="M790" s="4">
        <v>0</v>
      </c>
      <c r="N790" s="4">
        <v>0</v>
      </c>
      <c r="O790" s="4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R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G790">
        <v>0</v>
      </c>
      <c r="BI790">
        <v>0</v>
      </c>
      <c r="BK790">
        <v>0</v>
      </c>
      <c r="BL790">
        <v>0</v>
      </c>
      <c r="BM790">
        <v>0</v>
      </c>
      <c r="BN790">
        <v>0</v>
      </c>
      <c r="BO790">
        <v>344.70000000000005</v>
      </c>
      <c r="BP790">
        <v>625.70000000000005</v>
      </c>
      <c r="BQ790">
        <v>912.2</v>
      </c>
      <c r="BR790">
        <v>237.7</v>
      </c>
      <c r="BS790">
        <v>0</v>
      </c>
      <c r="BT790">
        <v>0</v>
      </c>
      <c r="BU790">
        <v>0</v>
      </c>
      <c r="BV790">
        <v>0</v>
      </c>
      <c r="BW790">
        <v>1647.4</v>
      </c>
      <c r="BY790">
        <v>453.1</v>
      </c>
      <c r="CA790">
        <v>285.39999999999998</v>
      </c>
      <c r="CB790">
        <v>280.8</v>
      </c>
      <c r="CC790">
        <v>127.7</v>
      </c>
      <c r="CD790">
        <v>0</v>
      </c>
      <c r="CE790">
        <v>0</v>
      </c>
      <c r="CF790">
        <v>0</v>
      </c>
      <c r="CG790">
        <v>0</v>
      </c>
      <c r="CI790">
        <v>0</v>
      </c>
      <c r="CJ790">
        <v>0</v>
      </c>
      <c r="CL790">
        <v>0</v>
      </c>
      <c r="CM790">
        <v>0</v>
      </c>
      <c r="CN790">
        <v>0</v>
      </c>
      <c r="CO790">
        <v>0</v>
      </c>
      <c r="CP790">
        <v>0</v>
      </c>
      <c r="CQ790">
        <v>621.70000000000005</v>
      </c>
      <c r="CR790">
        <v>481.70000000000005</v>
      </c>
      <c r="CS790">
        <v>0</v>
      </c>
      <c r="CT790">
        <v>524.6</v>
      </c>
      <c r="CU790">
        <v>514.1</v>
      </c>
      <c r="CV790">
        <v>175.2</v>
      </c>
      <c r="CW790">
        <v>0</v>
      </c>
      <c r="CX790">
        <v>65.099999999999994</v>
      </c>
      <c r="CY790">
        <v>199</v>
      </c>
      <c r="CZ790">
        <v>1907.9</v>
      </c>
      <c r="DA790">
        <v>0</v>
      </c>
      <c r="DB790">
        <v>0</v>
      </c>
      <c r="DC790">
        <v>0</v>
      </c>
      <c r="DD790">
        <v>0</v>
      </c>
      <c r="DE790">
        <v>0</v>
      </c>
      <c r="DF790">
        <v>0</v>
      </c>
      <c r="DG790">
        <v>0</v>
      </c>
      <c r="DH790">
        <v>0</v>
      </c>
      <c r="DI790">
        <v>0</v>
      </c>
      <c r="DJ790">
        <v>0</v>
      </c>
      <c r="DK790">
        <v>0</v>
      </c>
      <c r="DL790">
        <v>0</v>
      </c>
      <c r="DM790">
        <v>1065.4000000000001</v>
      </c>
      <c r="DN790">
        <v>599.70000000000005</v>
      </c>
      <c r="DO790">
        <v>319.7</v>
      </c>
      <c r="DP790">
        <v>1570.6999999999998</v>
      </c>
      <c r="DQ790">
        <v>1399.5</v>
      </c>
      <c r="DR790">
        <v>3581</v>
      </c>
      <c r="DU790">
        <v>1393.2</v>
      </c>
      <c r="DV790">
        <v>2862.6</v>
      </c>
      <c r="DY790">
        <v>2361</v>
      </c>
      <c r="EA790">
        <v>2409.6</v>
      </c>
      <c r="EC790">
        <v>1661.3999999999999</v>
      </c>
      <c r="EE790">
        <v>0</v>
      </c>
      <c r="EF790">
        <v>0</v>
      </c>
      <c r="EG790">
        <v>0</v>
      </c>
      <c r="EH790">
        <v>0</v>
      </c>
      <c r="EI790">
        <v>0</v>
      </c>
      <c r="EJ790">
        <v>0</v>
      </c>
      <c r="EK790">
        <v>0</v>
      </c>
      <c r="EL790">
        <v>0</v>
      </c>
      <c r="EM790">
        <v>0</v>
      </c>
      <c r="EN790">
        <v>0</v>
      </c>
      <c r="EO790">
        <v>0</v>
      </c>
      <c r="EP790">
        <v>944.5</v>
      </c>
      <c r="EQ790">
        <v>3459.7</v>
      </c>
      <c r="ER790">
        <v>1353.5</v>
      </c>
      <c r="ES790">
        <v>182.2</v>
      </c>
      <c r="ET790">
        <v>855.59999999999991</v>
      </c>
      <c r="EU790">
        <v>172.2</v>
      </c>
      <c r="EV790">
        <v>203.2</v>
      </c>
      <c r="EW790">
        <v>1173.0999999999999</v>
      </c>
      <c r="EX790">
        <v>1078.3</v>
      </c>
      <c r="EY790">
        <v>1194.4000000000001</v>
      </c>
      <c r="EZ790">
        <v>1207.0999999999999</v>
      </c>
      <c r="FA790">
        <v>0</v>
      </c>
      <c r="FB790">
        <v>0</v>
      </c>
      <c r="FC790">
        <v>0</v>
      </c>
      <c r="FD790">
        <v>0</v>
      </c>
      <c r="FE790">
        <v>0</v>
      </c>
      <c r="FF790">
        <v>0</v>
      </c>
      <c r="FG790">
        <v>0</v>
      </c>
      <c r="FH790">
        <v>0</v>
      </c>
      <c r="FI790">
        <v>0</v>
      </c>
      <c r="FJ790">
        <v>0</v>
      </c>
      <c r="FK790">
        <v>0</v>
      </c>
      <c r="FL790">
        <v>0</v>
      </c>
      <c r="FM790">
        <v>0</v>
      </c>
      <c r="FN790">
        <v>0</v>
      </c>
      <c r="FO790">
        <v>0</v>
      </c>
      <c r="FP790">
        <v>0</v>
      </c>
      <c r="FQ790">
        <v>0</v>
      </c>
      <c r="FR790">
        <v>0</v>
      </c>
      <c r="FS790">
        <v>0</v>
      </c>
      <c r="FT790">
        <v>0</v>
      </c>
      <c r="FU790">
        <v>0</v>
      </c>
      <c r="FV790">
        <v>0</v>
      </c>
      <c r="FW790">
        <v>0</v>
      </c>
      <c r="FX790">
        <v>0</v>
      </c>
      <c r="FY790">
        <v>0</v>
      </c>
      <c r="FZ790">
        <v>0</v>
      </c>
      <c r="GA790">
        <v>0</v>
      </c>
      <c r="GB790">
        <v>0</v>
      </c>
      <c r="GC790">
        <v>0</v>
      </c>
      <c r="GD790">
        <v>0</v>
      </c>
      <c r="GE790">
        <v>0</v>
      </c>
      <c r="GF790">
        <v>0</v>
      </c>
      <c r="GG790">
        <v>0</v>
      </c>
      <c r="GH790">
        <v>0</v>
      </c>
      <c r="GI790">
        <v>0</v>
      </c>
      <c r="GJ790">
        <v>0</v>
      </c>
      <c r="GK790">
        <v>0</v>
      </c>
      <c r="GL790">
        <v>0</v>
      </c>
      <c r="GO790">
        <v>0</v>
      </c>
      <c r="GP790">
        <v>0</v>
      </c>
      <c r="GQ790">
        <v>0</v>
      </c>
      <c r="GR790">
        <v>0</v>
      </c>
      <c r="GS790">
        <v>0</v>
      </c>
      <c r="GT790">
        <v>0</v>
      </c>
      <c r="GU790">
        <v>0</v>
      </c>
      <c r="GV790">
        <v>0</v>
      </c>
      <c r="GW790">
        <v>0</v>
      </c>
      <c r="GX790">
        <v>0</v>
      </c>
      <c r="GY790">
        <v>0</v>
      </c>
      <c r="GZ790">
        <v>0</v>
      </c>
      <c r="HA790">
        <v>0</v>
      </c>
      <c r="HB790">
        <v>0</v>
      </c>
      <c r="HC790">
        <v>0</v>
      </c>
      <c r="HD790">
        <v>0</v>
      </c>
      <c r="HE790">
        <v>0</v>
      </c>
      <c r="HF790">
        <v>0</v>
      </c>
      <c r="HG790">
        <v>0</v>
      </c>
      <c r="HH790">
        <v>0</v>
      </c>
      <c r="HI790">
        <v>0</v>
      </c>
      <c r="HJ790">
        <v>0</v>
      </c>
      <c r="HK790">
        <v>0</v>
      </c>
      <c r="HL790">
        <v>0</v>
      </c>
      <c r="HM790">
        <v>0</v>
      </c>
      <c r="HN790">
        <v>0</v>
      </c>
      <c r="HO790">
        <v>0</v>
      </c>
      <c r="HP790">
        <v>0</v>
      </c>
      <c r="HQ790">
        <v>0</v>
      </c>
      <c r="HR790">
        <v>0</v>
      </c>
      <c r="HS790">
        <v>0</v>
      </c>
      <c r="HT790">
        <v>0</v>
      </c>
      <c r="HU790">
        <v>0</v>
      </c>
      <c r="HV790">
        <v>0</v>
      </c>
      <c r="HW790">
        <v>404.70000000000005</v>
      </c>
      <c r="HX790">
        <v>342.3</v>
      </c>
      <c r="HZ790">
        <v>866.2</v>
      </c>
      <c r="IA790">
        <v>1142.8</v>
      </c>
      <c r="IB790">
        <v>1121.5</v>
      </c>
      <c r="IC790">
        <v>2403</v>
      </c>
      <c r="ID790">
        <v>2659.3</v>
      </c>
      <c r="IE790">
        <v>1923.4</v>
      </c>
      <c r="IF790">
        <v>1465.7</v>
      </c>
      <c r="IG790">
        <v>1608.3</v>
      </c>
      <c r="IH790">
        <v>0</v>
      </c>
      <c r="II790">
        <v>0</v>
      </c>
      <c r="IJ790">
        <v>0</v>
      </c>
      <c r="IK790">
        <v>0</v>
      </c>
      <c r="IL790">
        <v>0</v>
      </c>
      <c r="IM790">
        <v>0</v>
      </c>
      <c r="IN790">
        <v>0</v>
      </c>
      <c r="IO790">
        <v>0</v>
      </c>
      <c r="IP790">
        <v>75.099999999999994</v>
      </c>
    </row>
    <row r="791" spans="1:278" ht="18.600000000000001" thickTop="1" thickBot="1">
      <c r="A791" s="474"/>
      <c r="B791" s="549" t="s">
        <v>1231</v>
      </c>
      <c r="C791" s="472"/>
      <c r="D791" s="472" t="s">
        <v>1375</v>
      </c>
      <c r="E791" s="473">
        <v>22829.8</v>
      </c>
      <c r="F791" s="474">
        <v>20193.400000000001</v>
      </c>
      <c r="G791" s="475">
        <v>0</v>
      </c>
      <c r="H791" s="476">
        <v>0</v>
      </c>
      <c r="I791" s="189">
        <v>0</v>
      </c>
      <c r="J791">
        <v>0</v>
      </c>
      <c r="K791">
        <v>0</v>
      </c>
      <c r="L791" s="4">
        <v>0</v>
      </c>
      <c r="M791" s="4">
        <v>0</v>
      </c>
      <c r="N791" s="4">
        <v>0</v>
      </c>
      <c r="O791" s="4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1476.4</v>
      </c>
      <c r="X791">
        <v>1482</v>
      </c>
      <c r="Y791">
        <v>457.20000000000005</v>
      </c>
      <c r="Z791">
        <v>0</v>
      </c>
      <c r="AA791">
        <v>0</v>
      </c>
      <c r="AB791">
        <v>0</v>
      </c>
      <c r="AC791">
        <v>0</v>
      </c>
      <c r="AD791">
        <v>3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1828.6</v>
      </c>
      <c r="AK791">
        <v>1800.7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560.70000000000005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0</v>
      </c>
      <c r="BP791">
        <v>0</v>
      </c>
      <c r="BQ791">
        <v>0</v>
      </c>
      <c r="BR791">
        <v>0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  <c r="CF791">
        <v>0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  <c r="CN791">
        <v>0</v>
      </c>
      <c r="CO791">
        <v>0</v>
      </c>
      <c r="CP791">
        <v>3.5</v>
      </c>
      <c r="CQ791">
        <v>0</v>
      </c>
      <c r="CR791">
        <v>528</v>
      </c>
      <c r="CS791">
        <v>581.79999999999995</v>
      </c>
      <c r="CT791">
        <v>555.40000000000009</v>
      </c>
      <c r="CU791">
        <v>737.4</v>
      </c>
      <c r="CV791">
        <v>1039.0999999999999</v>
      </c>
      <c r="CW791">
        <v>1667.3</v>
      </c>
      <c r="CX791">
        <v>877.6</v>
      </c>
      <c r="CY791">
        <v>910.40000000000009</v>
      </c>
      <c r="CZ791">
        <v>0</v>
      </c>
      <c r="DA791">
        <v>0</v>
      </c>
      <c r="DB791">
        <v>0</v>
      </c>
      <c r="DC791">
        <v>0</v>
      </c>
      <c r="DD791">
        <v>0</v>
      </c>
      <c r="DE791">
        <v>0</v>
      </c>
      <c r="DF791">
        <v>0</v>
      </c>
      <c r="DG791">
        <v>0</v>
      </c>
      <c r="DH791">
        <v>0</v>
      </c>
      <c r="DI791">
        <v>0</v>
      </c>
      <c r="DJ791">
        <v>0</v>
      </c>
      <c r="DK791">
        <v>0</v>
      </c>
      <c r="DL791">
        <v>995.5</v>
      </c>
      <c r="DM791">
        <v>712.7</v>
      </c>
      <c r="DN791">
        <v>0</v>
      </c>
      <c r="DO791">
        <v>0</v>
      </c>
      <c r="DP791">
        <v>0</v>
      </c>
      <c r="DQ791">
        <v>0</v>
      </c>
      <c r="DR791">
        <v>0</v>
      </c>
      <c r="DS791">
        <v>0</v>
      </c>
      <c r="DT791">
        <v>0</v>
      </c>
      <c r="DU791">
        <v>0</v>
      </c>
      <c r="DV791">
        <v>0</v>
      </c>
      <c r="DW791">
        <v>0</v>
      </c>
      <c r="DX791">
        <v>0</v>
      </c>
      <c r="DY791">
        <v>0</v>
      </c>
      <c r="DZ791">
        <v>0</v>
      </c>
      <c r="EA791">
        <v>0</v>
      </c>
      <c r="EB791">
        <v>0</v>
      </c>
      <c r="EC791">
        <v>0</v>
      </c>
      <c r="ED791">
        <v>0</v>
      </c>
      <c r="EE791">
        <v>0</v>
      </c>
      <c r="EF791">
        <v>0</v>
      </c>
      <c r="EG791">
        <v>0</v>
      </c>
      <c r="EH791">
        <v>0</v>
      </c>
      <c r="EI791">
        <v>0</v>
      </c>
      <c r="EJ791">
        <v>0</v>
      </c>
      <c r="EK791">
        <v>0</v>
      </c>
      <c r="EL791">
        <v>0</v>
      </c>
      <c r="EM791">
        <v>0</v>
      </c>
      <c r="EN791">
        <v>27.4</v>
      </c>
      <c r="EO791">
        <v>0</v>
      </c>
      <c r="EP791">
        <v>1002.5</v>
      </c>
      <c r="EQ791">
        <v>0</v>
      </c>
      <c r="ER791">
        <v>494</v>
      </c>
      <c r="ES791">
        <v>0</v>
      </c>
      <c r="ET791">
        <v>699.3</v>
      </c>
      <c r="EU791">
        <v>435.4</v>
      </c>
      <c r="EV791">
        <v>0</v>
      </c>
      <c r="EW791">
        <v>0</v>
      </c>
      <c r="EX791">
        <v>0</v>
      </c>
      <c r="EY791">
        <v>0</v>
      </c>
      <c r="EZ791">
        <v>0</v>
      </c>
      <c r="FA791">
        <v>0</v>
      </c>
      <c r="FB791">
        <v>0</v>
      </c>
      <c r="FC791">
        <v>0</v>
      </c>
      <c r="FD791">
        <v>95.6</v>
      </c>
      <c r="FE791">
        <v>1792.1</v>
      </c>
      <c r="FF791">
        <v>1740.1999999999998</v>
      </c>
      <c r="FG791">
        <v>954.9</v>
      </c>
      <c r="FH791">
        <v>1087.8000000000002</v>
      </c>
      <c r="FI791">
        <v>1892.1</v>
      </c>
      <c r="FJ791">
        <v>1222.5</v>
      </c>
      <c r="FK791">
        <v>678.3</v>
      </c>
      <c r="FL791">
        <v>639.1</v>
      </c>
      <c r="FM791">
        <v>520.5</v>
      </c>
      <c r="FN791">
        <v>123.8</v>
      </c>
      <c r="FO791">
        <v>181.6</v>
      </c>
      <c r="FP791">
        <v>1090.5</v>
      </c>
      <c r="FQ791">
        <v>0</v>
      </c>
      <c r="FR791">
        <v>0</v>
      </c>
      <c r="FS791">
        <v>0</v>
      </c>
      <c r="FT791">
        <v>0</v>
      </c>
      <c r="FU791">
        <v>0</v>
      </c>
      <c r="FV791">
        <v>0</v>
      </c>
      <c r="FW791">
        <v>0</v>
      </c>
      <c r="FX791">
        <v>0</v>
      </c>
      <c r="FY791">
        <v>0</v>
      </c>
      <c r="FZ791">
        <v>0</v>
      </c>
      <c r="GA791">
        <v>0</v>
      </c>
      <c r="GB791">
        <v>0</v>
      </c>
      <c r="GC791">
        <v>0</v>
      </c>
      <c r="GD791">
        <v>0</v>
      </c>
      <c r="GE791">
        <v>0</v>
      </c>
      <c r="GF791">
        <v>198.3</v>
      </c>
      <c r="GG791">
        <v>1054.4000000000001</v>
      </c>
      <c r="GH791">
        <v>552.79999999999995</v>
      </c>
      <c r="GI791">
        <v>522</v>
      </c>
      <c r="GJ791">
        <v>0</v>
      </c>
      <c r="GK791">
        <v>0</v>
      </c>
      <c r="GL791">
        <v>0</v>
      </c>
      <c r="GM791">
        <v>0</v>
      </c>
      <c r="GN791">
        <v>791.40000000000009</v>
      </c>
      <c r="GO791">
        <v>1816.5</v>
      </c>
      <c r="GP791">
        <v>0</v>
      </c>
      <c r="GQ791">
        <v>0</v>
      </c>
      <c r="GR791">
        <v>0</v>
      </c>
      <c r="GS791">
        <v>0</v>
      </c>
      <c r="GT791">
        <v>0</v>
      </c>
      <c r="GU791">
        <v>0</v>
      </c>
      <c r="GV791">
        <v>0</v>
      </c>
      <c r="GW791">
        <v>0</v>
      </c>
      <c r="GX791">
        <v>0</v>
      </c>
      <c r="GY791">
        <v>840.3</v>
      </c>
      <c r="GZ791">
        <v>0</v>
      </c>
      <c r="HA791">
        <v>0</v>
      </c>
      <c r="HB791">
        <v>0</v>
      </c>
      <c r="HC791">
        <v>380.4</v>
      </c>
      <c r="HD791">
        <v>2175.5</v>
      </c>
      <c r="HE791">
        <v>0</v>
      </c>
      <c r="HF791">
        <v>0</v>
      </c>
      <c r="HG791">
        <v>0</v>
      </c>
      <c r="HH791">
        <v>0</v>
      </c>
      <c r="HI791">
        <v>0</v>
      </c>
      <c r="HJ791">
        <v>803.40000000000009</v>
      </c>
      <c r="HK791">
        <v>1270.9000000000001</v>
      </c>
      <c r="HL791">
        <v>835.7</v>
      </c>
      <c r="HM791">
        <v>1162.5999999999999</v>
      </c>
      <c r="HN791">
        <v>0</v>
      </c>
      <c r="HO791">
        <v>0</v>
      </c>
      <c r="HP791">
        <v>0</v>
      </c>
      <c r="HQ791">
        <v>0</v>
      </c>
      <c r="HR791">
        <v>161.19999999999999</v>
      </c>
      <c r="HS791">
        <v>0</v>
      </c>
      <c r="HT791">
        <v>2048.5</v>
      </c>
      <c r="HU791">
        <v>2627.5</v>
      </c>
      <c r="HV791">
        <v>1168.5999999999999</v>
      </c>
      <c r="HW791">
        <v>388</v>
      </c>
      <c r="HX791">
        <v>0</v>
      </c>
      <c r="HY791">
        <v>0</v>
      </c>
      <c r="HZ791">
        <v>0</v>
      </c>
      <c r="IA791">
        <v>0</v>
      </c>
      <c r="IB791">
        <v>0</v>
      </c>
      <c r="IC791">
        <v>594.4</v>
      </c>
      <c r="ID791">
        <v>427.4</v>
      </c>
      <c r="IE791">
        <v>713.3</v>
      </c>
      <c r="IF791">
        <v>626.1</v>
      </c>
      <c r="IG791">
        <v>0</v>
      </c>
      <c r="IH791">
        <v>0</v>
      </c>
      <c r="II791">
        <v>995.7</v>
      </c>
      <c r="IJ791">
        <v>1156.5999999999999</v>
      </c>
      <c r="IK791">
        <v>864.6</v>
      </c>
      <c r="IL791">
        <v>316.5</v>
      </c>
      <c r="IM791">
        <v>101.5</v>
      </c>
      <c r="IN791">
        <v>71.8</v>
      </c>
      <c r="IO791">
        <v>0</v>
      </c>
      <c r="IP791">
        <v>0</v>
      </c>
      <c r="IQ791">
        <v>0</v>
      </c>
      <c r="IR791">
        <v>0</v>
      </c>
      <c r="IS791">
        <v>0</v>
      </c>
      <c r="IT791">
        <v>0</v>
      </c>
      <c r="IU791">
        <v>0</v>
      </c>
      <c r="IV791">
        <v>0</v>
      </c>
      <c r="IW791">
        <v>68</v>
      </c>
      <c r="IX791">
        <v>404.7</v>
      </c>
      <c r="IY791">
        <v>126.6</v>
      </c>
      <c r="IZ791">
        <v>126.6</v>
      </c>
      <c r="JA791">
        <v>503.7</v>
      </c>
      <c r="JB791">
        <v>570.1</v>
      </c>
      <c r="JC791">
        <v>328.3</v>
      </c>
      <c r="JD791">
        <v>0</v>
      </c>
      <c r="JE791">
        <v>0</v>
      </c>
      <c r="JF791">
        <v>0</v>
      </c>
      <c r="JG791">
        <v>0</v>
      </c>
      <c r="JH791">
        <v>287.3</v>
      </c>
      <c r="JI791">
        <v>68.2</v>
      </c>
      <c r="JJ791">
        <v>0</v>
      </c>
      <c r="JK791">
        <v>148.6</v>
      </c>
      <c r="JL791">
        <v>0</v>
      </c>
      <c r="JM791">
        <v>0</v>
      </c>
      <c r="JN791">
        <v>204.5</v>
      </c>
      <c r="JO791">
        <v>292.10000000000002</v>
      </c>
      <c r="JP791">
        <v>670.8</v>
      </c>
      <c r="JQ791">
        <v>745.2</v>
      </c>
      <c r="JR791">
        <v>242.9</v>
      </c>
    </row>
    <row r="792" spans="1:278" ht="18" thickBot="1">
      <c r="B792" s="550"/>
      <c r="C792" s="374"/>
      <c r="D792" s="374" t="s">
        <v>1376</v>
      </c>
      <c r="E792" s="454">
        <v>22829.8</v>
      </c>
      <c r="F792">
        <v>20193.400000000001</v>
      </c>
      <c r="G792" s="427">
        <v>0</v>
      </c>
      <c r="H792" s="155">
        <v>0</v>
      </c>
      <c r="I792">
        <v>0</v>
      </c>
      <c r="J792">
        <v>0</v>
      </c>
      <c r="K792">
        <v>0</v>
      </c>
      <c r="L792" s="4">
        <v>0</v>
      </c>
      <c r="M792" s="4">
        <v>0</v>
      </c>
      <c r="N792" s="4">
        <v>0</v>
      </c>
      <c r="O792" s="4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1476.4</v>
      </c>
      <c r="X792">
        <v>1482</v>
      </c>
      <c r="Y792">
        <v>457.20000000000005</v>
      </c>
      <c r="Z792">
        <v>0</v>
      </c>
      <c r="AA792">
        <v>0</v>
      </c>
      <c r="AB792">
        <v>0</v>
      </c>
      <c r="AC792">
        <v>0</v>
      </c>
      <c r="AD792">
        <v>3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1828.6</v>
      </c>
      <c r="AK792">
        <v>1800.7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560.70000000000005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0</v>
      </c>
      <c r="BU792">
        <v>0</v>
      </c>
      <c r="BV792">
        <v>0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  <c r="CF792">
        <v>0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  <c r="CN792">
        <v>0</v>
      </c>
      <c r="CO792">
        <v>0</v>
      </c>
      <c r="CP792">
        <v>3.5</v>
      </c>
      <c r="CQ792">
        <v>0</v>
      </c>
      <c r="CR792">
        <v>528</v>
      </c>
      <c r="CS792">
        <v>581.79999999999995</v>
      </c>
      <c r="CT792">
        <v>555.40000000000009</v>
      </c>
      <c r="CU792">
        <v>737.4</v>
      </c>
      <c r="CV792">
        <v>1039.0999999999999</v>
      </c>
      <c r="CW792">
        <v>1667.3</v>
      </c>
      <c r="CX792">
        <v>877.6</v>
      </c>
      <c r="CY792">
        <v>910.40000000000009</v>
      </c>
      <c r="CZ792">
        <v>0</v>
      </c>
      <c r="DA792">
        <v>0</v>
      </c>
      <c r="DB792">
        <v>0</v>
      </c>
      <c r="DC792">
        <v>0</v>
      </c>
      <c r="DD792">
        <v>0</v>
      </c>
      <c r="DE792">
        <v>0</v>
      </c>
      <c r="DF792">
        <v>0</v>
      </c>
      <c r="DG792">
        <v>0</v>
      </c>
      <c r="DH792">
        <v>0</v>
      </c>
      <c r="DI792">
        <v>0</v>
      </c>
      <c r="DJ792">
        <v>0</v>
      </c>
      <c r="DK792">
        <v>0</v>
      </c>
      <c r="DL792">
        <v>995.5</v>
      </c>
      <c r="DM792">
        <v>712.7</v>
      </c>
      <c r="DN792">
        <v>0</v>
      </c>
      <c r="DO792">
        <v>0</v>
      </c>
      <c r="DP792">
        <v>0</v>
      </c>
      <c r="DQ792">
        <v>0</v>
      </c>
      <c r="DR792">
        <v>0</v>
      </c>
      <c r="DS792">
        <v>0</v>
      </c>
      <c r="DT792">
        <v>0</v>
      </c>
      <c r="DU792">
        <v>0</v>
      </c>
      <c r="DV792">
        <v>0</v>
      </c>
      <c r="DW792">
        <v>0</v>
      </c>
      <c r="DX792">
        <v>0</v>
      </c>
      <c r="DY792">
        <v>0</v>
      </c>
      <c r="DZ792">
        <v>0</v>
      </c>
      <c r="EA792">
        <v>0</v>
      </c>
      <c r="EB792">
        <v>0</v>
      </c>
      <c r="EC792">
        <v>0</v>
      </c>
      <c r="ED792">
        <v>0</v>
      </c>
      <c r="EE792">
        <v>0</v>
      </c>
      <c r="EF792">
        <v>0</v>
      </c>
      <c r="EG792">
        <v>0</v>
      </c>
      <c r="EH792">
        <v>0</v>
      </c>
      <c r="EI792">
        <v>0</v>
      </c>
      <c r="EJ792">
        <v>0</v>
      </c>
      <c r="EK792">
        <v>0</v>
      </c>
      <c r="EL792">
        <v>0</v>
      </c>
      <c r="EM792">
        <v>0</v>
      </c>
      <c r="EN792">
        <v>27.4</v>
      </c>
      <c r="EO792">
        <v>0</v>
      </c>
      <c r="EP792">
        <v>1002.5</v>
      </c>
      <c r="EQ792">
        <v>0</v>
      </c>
      <c r="ER792">
        <v>494</v>
      </c>
      <c r="ES792">
        <v>0</v>
      </c>
      <c r="ET792">
        <v>699.3</v>
      </c>
      <c r="EU792">
        <v>435.4</v>
      </c>
      <c r="EV792">
        <v>0</v>
      </c>
      <c r="EW792">
        <v>0</v>
      </c>
      <c r="EX792">
        <v>0</v>
      </c>
      <c r="EY792">
        <v>0</v>
      </c>
      <c r="EZ792">
        <v>0</v>
      </c>
      <c r="FA792">
        <v>0</v>
      </c>
      <c r="FB792">
        <v>0</v>
      </c>
      <c r="FC792">
        <v>0</v>
      </c>
      <c r="FD792">
        <v>95.6</v>
      </c>
      <c r="FE792">
        <v>1792.1</v>
      </c>
      <c r="FF792">
        <v>1740.1999999999998</v>
      </c>
      <c r="FG792">
        <v>954.9</v>
      </c>
      <c r="FH792">
        <v>1087.8000000000002</v>
      </c>
      <c r="FI792">
        <v>1892.1</v>
      </c>
      <c r="FJ792">
        <v>1222.5</v>
      </c>
      <c r="FK792">
        <v>678.3</v>
      </c>
      <c r="FL792">
        <v>639.1</v>
      </c>
      <c r="FM792">
        <v>520.5</v>
      </c>
      <c r="FN792">
        <v>123.8</v>
      </c>
      <c r="FO792">
        <v>181.6</v>
      </c>
      <c r="FP792">
        <v>1090.5</v>
      </c>
      <c r="FQ792">
        <v>0</v>
      </c>
      <c r="FR792">
        <v>0</v>
      </c>
      <c r="FS792">
        <v>0</v>
      </c>
      <c r="FT792">
        <v>0</v>
      </c>
      <c r="FU792">
        <v>0</v>
      </c>
      <c r="FV792">
        <v>0</v>
      </c>
      <c r="FW792">
        <v>0</v>
      </c>
      <c r="FX792">
        <v>0</v>
      </c>
      <c r="FY792">
        <v>0</v>
      </c>
      <c r="FZ792">
        <v>0</v>
      </c>
      <c r="GA792">
        <v>0</v>
      </c>
      <c r="GB792">
        <v>0</v>
      </c>
      <c r="GC792">
        <v>0</v>
      </c>
      <c r="GD792">
        <v>0</v>
      </c>
      <c r="GE792">
        <v>0</v>
      </c>
      <c r="GF792">
        <v>198.3</v>
      </c>
      <c r="GG792">
        <v>1054.4000000000001</v>
      </c>
      <c r="GH792">
        <v>552.79999999999995</v>
      </c>
      <c r="GI792">
        <v>522</v>
      </c>
      <c r="GJ792">
        <v>0</v>
      </c>
      <c r="GK792">
        <v>0</v>
      </c>
      <c r="GL792">
        <v>0</v>
      </c>
      <c r="GM792">
        <v>0</v>
      </c>
      <c r="GN792">
        <v>791.40000000000009</v>
      </c>
      <c r="GO792">
        <v>1816.5</v>
      </c>
      <c r="GP792">
        <v>0</v>
      </c>
      <c r="GQ792">
        <v>0</v>
      </c>
      <c r="GR792">
        <v>0</v>
      </c>
      <c r="GS792">
        <v>0</v>
      </c>
      <c r="GT792">
        <v>0</v>
      </c>
      <c r="GU792">
        <v>0</v>
      </c>
      <c r="GV792">
        <v>0</v>
      </c>
      <c r="GW792">
        <v>0</v>
      </c>
      <c r="GX792">
        <v>0</v>
      </c>
      <c r="GY792">
        <v>840.3</v>
      </c>
      <c r="GZ792">
        <v>0</v>
      </c>
      <c r="HA792">
        <v>0</v>
      </c>
      <c r="HB792">
        <v>0</v>
      </c>
      <c r="HC792">
        <v>380.4</v>
      </c>
      <c r="HD792">
        <v>2175.5</v>
      </c>
      <c r="HE792">
        <v>0</v>
      </c>
      <c r="HF792">
        <v>0</v>
      </c>
      <c r="HG792">
        <v>0</v>
      </c>
      <c r="HH792">
        <v>0</v>
      </c>
      <c r="HI792">
        <v>0</v>
      </c>
      <c r="HJ792">
        <v>803.40000000000009</v>
      </c>
      <c r="HK792">
        <v>1270.9000000000001</v>
      </c>
      <c r="HL792">
        <v>835.7</v>
      </c>
      <c r="HM792">
        <v>1162.5999999999999</v>
      </c>
      <c r="HN792">
        <v>0</v>
      </c>
      <c r="HO792">
        <v>0</v>
      </c>
      <c r="HP792">
        <v>0</v>
      </c>
      <c r="HQ792">
        <v>0</v>
      </c>
      <c r="HR792">
        <v>161.19999999999999</v>
      </c>
      <c r="HS792">
        <v>0</v>
      </c>
      <c r="HT792">
        <v>2048.5</v>
      </c>
      <c r="HU792">
        <v>2627.5</v>
      </c>
      <c r="HV792">
        <v>1168.5999999999999</v>
      </c>
      <c r="HW792">
        <v>388</v>
      </c>
      <c r="HX792">
        <v>0</v>
      </c>
      <c r="HY792">
        <v>0</v>
      </c>
      <c r="HZ792">
        <v>0</v>
      </c>
      <c r="IA792">
        <v>0</v>
      </c>
      <c r="IB792">
        <v>0</v>
      </c>
      <c r="IC792">
        <v>594.4</v>
      </c>
      <c r="ID792">
        <v>427.4</v>
      </c>
      <c r="IE792">
        <v>713.3</v>
      </c>
      <c r="IF792">
        <v>626.1</v>
      </c>
      <c r="IG792">
        <v>0</v>
      </c>
      <c r="IH792">
        <v>0</v>
      </c>
      <c r="II792">
        <v>995.7</v>
      </c>
      <c r="IJ792">
        <v>1156.5999999999999</v>
      </c>
      <c r="IK792">
        <v>864.6</v>
      </c>
      <c r="IL792">
        <v>316.5</v>
      </c>
      <c r="IM792">
        <v>101.5</v>
      </c>
      <c r="IN792">
        <v>71.8</v>
      </c>
      <c r="IO792">
        <v>0</v>
      </c>
      <c r="IP792">
        <v>0</v>
      </c>
      <c r="IQ792">
        <v>0</v>
      </c>
      <c r="IR792">
        <v>0</v>
      </c>
      <c r="IS792">
        <v>0</v>
      </c>
      <c r="IT792">
        <v>0</v>
      </c>
      <c r="IU792">
        <v>0</v>
      </c>
      <c r="IV792">
        <v>0</v>
      </c>
      <c r="IW792">
        <v>68</v>
      </c>
      <c r="IX792">
        <v>404.7</v>
      </c>
      <c r="IY792">
        <v>126.6</v>
      </c>
      <c r="IZ792">
        <v>126.6</v>
      </c>
      <c r="JA792">
        <v>503.7</v>
      </c>
      <c r="JB792">
        <v>570.1</v>
      </c>
      <c r="JC792">
        <v>328.3</v>
      </c>
      <c r="JD792">
        <v>0</v>
      </c>
      <c r="JE792">
        <v>0</v>
      </c>
      <c r="JF792">
        <v>0</v>
      </c>
      <c r="JG792">
        <v>0</v>
      </c>
      <c r="JH792">
        <v>287.3</v>
      </c>
      <c r="JI792">
        <v>68.2</v>
      </c>
      <c r="JJ792">
        <v>0</v>
      </c>
      <c r="JK792">
        <v>148.6</v>
      </c>
      <c r="JL792">
        <v>0</v>
      </c>
      <c r="JM792">
        <v>0</v>
      </c>
      <c r="JN792">
        <v>204.5</v>
      </c>
      <c r="JO792">
        <v>292.10000000000002</v>
      </c>
      <c r="JP792">
        <v>670.8</v>
      </c>
      <c r="JQ792">
        <v>745.2</v>
      </c>
      <c r="JR792">
        <v>242.9</v>
      </c>
    </row>
    <row r="793" spans="1:278" ht="18" thickBot="1">
      <c r="B793" s="365"/>
      <c r="C793" s="534"/>
      <c r="D793" s="552" t="s">
        <v>1377</v>
      </c>
      <c r="E793" s="454">
        <v>22829.8</v>
      </c>
      <c r="F793">
        <v>20193.400000000001</v>
      </c>
      <c r="G793" s="427">
        <v>0</v>
      </c>
      <c r="H793" s="155">
        <v>0</v>
      </c>
      <c r="I793">
        <v>0</v>
      </c>
      <c r="J793">
        <v>0</v>
      </c>
      <c r="K793">
        <v>0</v>
      </c>
      <c r="L793" s="4">
        <v>0</v>
      </c>
      <c r="M793" s="4">
        <v>0</v>
      </c>
      <c r="N793" s="4">
        <v>0</v>
      </c>
      <c r="O793" s="4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1476.4</v>
      </c>
      <c r="X793">
        <v>1482</v>
      </c>
      <c r="Y793">
        <v>457.20000000000005</v>
      </c>
      <c r="Z793">
        <v>0</v>
      </c>
      <c r="AA793">
        <v>0</v>
      </c>
      <c r="AB793">
        <v>0</v>
      </c>
      <c r="AC793">
        <v>0</v>
      </c>
      <c r="AD793">
        <v>3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1828.6</v>
      </c>
      <c r="AK793">
        <v>1800.7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560.70000000000005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  <c r="CF793">
        <v>0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  <c r="CN793">
        <v>0</v>
      </c>
      <c r="CO793">
        <v>0</v>
      </c>
      <c r="CP793">
        <v>3.5</v>
      </c>
      <c r="CQ793">
        <v>0</v>
      </c>
      <c r="CR793">
        <v>528</v>
      </c>
      <c r="CS793">
        <v>581.79999999999995</v>
      </c>
      <c r="CT793">
        <v>555.40000000000009</v>
      </c>
      <c r="CU793">
        <v>737.4</v>
      </c>
      <c r="CV793">
        <v>1039.0999999999999</v>
      </c>
      <c r="CW793">
        <v>1667.3</v>
      </c>
      <c r="CX793">
        <v>877.6</v>
      </c>
      <c r="CY793">
        <v>910.40000000000009</v>
      </c>
      <c r="CZ793">
        <v>0</v>
      </c>
      <c r="DA793">
        <v>0</v>
      </c>
      <c r="DB793">
        <v>0</v>
      </c>
      <c r="DC793">
        <v>0</v>
      </c>
      <c r="DD793">
        <v>0</v>
      </c>
      <c r="DE793">
        <v>0</v>
      </c>
      <c r="DF793">
        <v>0</v>
      </c>
      <c r="DG793">
        <v>0</v>
      </c>
      <c r="DH793">
        <v>0</v>
      </c>
      <c r="DI793">
        <v>0</v>
      </c>
      <c r="DJ793">
        <v>0</v>
      </c>
      <c r="DK793">
        <v>0</v>
      </c>
      <c r="DL793">
        <v>995.5</v>
      </c>
      <c r="DM793">
        <v>712.7</v>
      </c>
      <c r="DN793">
        <v>0</v>
      </c>
      <c r="DO793">
        <v>0</v>
      </c>
      <c r="DP793">
        <v>0</v>
      </c>
      <c r="DQ793">
        <v>0</v>
      </c>
      <c r="DR793">
        <v>0</v>
      </c>
      <c r="DS793">
        <v>0</v>
      </c>
      <c r="DT793">
        <v>0</v>
      </c>
      <c r="DU793">
        <v>0</v>
      </c>
      <c r="DV793">
        <v>0</v>
      </c>
      <c r="DW793">
        <v>0</v>
      </c>
      <c r="DX793">
        <v>0</v>
      </c>
      <c r="DY793">
        <v>0</v>
      </c>
      <c r="DZ793">
        <v>0</v>
      </c>
      <c r="EA793">
        <v>0</v>
      </c>
      <c r="EB793">
        <v>0</v>
      </c>
      <c r="EC793">
        <v>0</v>
      </c>
      <c r="ED793">
        <v>0</v>
      </c>
      <c r="EE793">
        <v>0</v>
      </c>
      <c r="EF793">
        <v>0</v>
      </c>
      <c r="EG793">
        <v>0</v>
      </c>
      <c r="EH793">
        <v>0</v>
      </c>
      <c r="EI793">
        <v>0</v>
      </c>
      <c r="EJ793">
        <v>0</v>
      </c>
      <c r="EK793">
        <v>0</v>
      </c>
      <c r="EL793">
        <v>0</v>
      </c>
      <c r="EM793">
        <v>0</v>
      </c>
      <c r="EN793">
        <v>27.4</v>
      </c>
      <c r="EO793">
        <v>0</v>
      </c>
      <c r="EP793">
        <v>1002.5</v>
      </c>
      <c r="EQ793">
        <v>0</v>
      </c>
      <c r="ER793">
        <v>494</v>
      </c>
      <c r="ES793">
        <v>0</v>
      </c>
      <c r="ET793">
        <v>699.3</v>
      </c>
      <c r="EU793">
        <v>435.4</v>
      </c>
      <c r="EV793">
        <v>0</v>
      </c>
      <c r="EW793">
        <v>0</v>
      </c>
      <c r="EX793">
        <v>0</v>
      </c>
      <c r="EY793">
        <v>0</v>
      </c>
      <c r="EZ793">
        <v>0</v>
      </c>
      <c r="FA793">
        <v>0</v>
      </c>
      <c r="FB793">
        <v>0</v>
      </c>
      <c r="FC793">
        <v>0</v>
      </c>
      <c r="FD793">
        <v>95.6</v>
      </c>
      <c r="FE793">
        <v>1792.1</v>
      </c>
      <c r="FF793">
        <v>1740.1999999999998</v>
      </c>
      <c r="FG793">
        <v>954.9</v>
      </c>
      <c r="FH793">
        <v>1087.8000000000002</v>
      </c>
      <c r="FI793">
        <v>1892.1</v>
      </c>
      <c r="FJ793">
        <v>1222.5</v>
      </c>
      <c r="FK793">
        <v>678.3</v>
      </c>
      <c r="FL793">
        <v>639.1</v>
      </c>
      <c r="FM793">
        <v>520.5</v>
      </c>
      <c r="FN793">
        <v>123.8</v>
      </c>
      <c r="FO793">
        <v>181.6</v>
      </c>
      <c r="FP793">
        <v>1090.5</v>
      </c>
      <c r="FQ793">
        <v>0</v>
      </c>
      <c r="FR793">
        <v>0</v>
      </c>
      <c r="FS793">
        <v>0</v>
      </c>
      <c r="FT793">
        <v>0</v>
      </c>
      <c r="FU793">
        <v>0</v>
      </c>
      <c r="FV793">
        <v>0</v>
      </c>
      <c r="FW793">
        <v>0</v>
      </c>
      <c r="FX793">
        <v>0</v>
      </c>
      <c r="FY793">
        <v>0</v>
      </c>
      <c r="FZ793">
        <v>0</v>
      </c>
      <c r="GA793">
        <v>0</v>
      </c>
      <c r="GB793">
        <v>0</v>
      </c>
      <c r="GC793">
        <v>0</v>
      </c>
      <c r="GD793">
        <v>0</v>
      </c>
      <c r="GE793">
        <v>0</v>
      </c>
      <c r="GF793">
        <v>198.3</v>
      </c>
      <c r="GG793">
        <v>1054.4000000000001</v>
      </c>
      <c r="GH793">
        <v>552.79999999999995</v>
      </c>
      <c r="GI793">
        <v>522</v>
      </c>
      <c r="GJ793">
        <v>0</v>
      </c>
      <c r="GK793">
        <v>0</v>
      </c>
      <c r="GL793">
        <v>0</v>
      </c>
      <c r="GM793">
        <v>0</v>
      </c>
      <c r="GN793">
        <v>791.40000000000009</v>
      </c>
      <c r="GO793">
        <v>1816.5</v>
      </c>
      <c r="GP793">
        <v>0</v>
      </c>
      <c r="GQ793">
        <v>0</v>
      </c>
      <c r="GR793">
        <v>0</v>
      </c>
      <c r="GS793">
        <v>0</v>
      </c>
      <c r="GT793">
        <v>0</v>
      </c>
      <c r="GU793">
        <v>0</v>
      </c>
      <c r="GV793">
        <v>0</v>
      </c>
      <c r="GW793">
        <v>0</v>
      </c>
      <c r="GX793">
        <v>0</v>
      </c>
      <c r="GY793">
        <v>840.3</v>
      </c>
      <c r="GZ793">
        <v>0</v>
      </c>
      <c r="HA793">
        <v>0</v>
      </c>
      <c r="HB793">
        <v>0</v>
      </c>
      <c r="HC793">
        <v>380.4</v>
      </c>
      <c r="HD793">
        <v>2175.5</v>
      </c>
      <c r="HE793">
        <v>0</v>
      </c>
      <c r="HF793">
        <v>0</v>
      </c>
      <c r="HG793">
        <v>0</v>
      </c>
      <c r="HH793">
        <v>0</v>
      </c>
      <c r="HI793">
        <v>0</v>
      </c>
      <c r="HJ793">
        <v>803.40000000000009</v>
      </c>
      <c r="HK793">
        <v>1270.9000000000001</v>
      </c>
      <c r="HL793">
        <v>835.7</v>
      </c>
      <c r="HM793">
        <v>1162.5999999999999</v>
      </c>
      <c r="HN793">
        <v>0</v>
      </c>
      <c r="HO793">
        <v>0</v>
      </c>
      <c r="HP793">
        <v>0</v>
      </c>
      <c r="HQ793">
        <v>0</v>
      </c>
      <c r="HR793">
        <v>161.19999999999999</v>
      </c>
      <c r="HS793">
        <v>0</v>
      </c>
      <c r="HT793">
        <v>2048.5</v>
      </c>
      <c r="HU793">
        <v>2627.5</v>
      </c>
      <c r="HV793">
        <v>1168.5999999999999</v>
      </c>
      <c r="HW793">
        <v>388</v>
      </c>
      <c r="HX793">
        <v>0</v>
      </c>
      <c r="HY793">
        <v>0</v>
      </c>
      <c r="HZ793">
        <v>0</v>
      </c>
      <c r="IA793">
        <v>0</v>
      </c>
      <c r="IB793">
        <v>0</v>
      </c>
      <c r="IC793">
        <v>594.4</v>
      </c>
      <c r="ID793">
        <v>427.4</v>
      </c>
      <c r="IE793">
        <v>713.3</v>
      </c>
      <c r="IF793">
        <v>626.1</v>
      </c>
      <c r="IG793">
        <v>0</v>
      </c>
      <c r="IH793">
        <v>0</v>
      </c>
      <c r="II793">
        <v>995.7</v>
      </c>
      <c r="IJ793">
        <v>1156.5999999999999</v>
      </c>
      <c r="IK793">
        <v>864.6</v>
      </c>
      <c r="IL793">
        <v>316.5</v>
      </c>
      <c r="IM793">
        <v>101.5</v>
      </c>
      <c r="IN793">
        <v>71.8</v>
      </c>
      <c r="IO793">
        <v>0</v>
      </c>
      <c r="IP793">
        <v>0</v>
      </c>
      <c r="IQ793">
        <v>0</v>
      </c>
      <c r="IR793">
        <v>0</v>
      </c>
      <c r="IS793">
        <v>0</v>
      </c>
      <c r="IT793">
        <v>0</v>
      </c>
      <c r="IU793">
        <v>0</v>
      </c>
      <c r="IV793">
        <v>0</v>
      </c>
      <c r="IW793">
        <v>68</v>
      </c>
      <c r="IX793">
        <v>404.7</v>
      </c>
      <c r="IY793">
        <v>126.6</v>
      </c>
      <c r="IZ793">
        <v>126.6</v>
      </c>
      <c r="JA793">
        <v>503.7</v>
      </c>
      <c r="JB793">
        <v>570.1</v>
      </c>
      <c r="JC793">
        <v>328.3</v>
      </c>
      <c r="JD793">
        <v>0</v>
      </c>
      <c r="JE793">
        <v>0</v>
      </c>
      <c r="JF793">
        <v>0</v>
      </c>
      <c r="JG793">
        <v>0</v>
      </c>
      <c r="JH793">
        <v>287.3</v>
      </c>
      <c r="JI793">
        <v>68.2</v>
      </c>
      <c r="JJ793">
        <v>0</v>
      </c>
      <c r="JK793">
        <v>148.6</v>
      </c>
      <c r="JL793">
        <v>0</v>
      </c>
      <c r="JM793">
        <v>0</v>
      </c>
      <c r="JN793">
        <v>204.5</v>
      </c>
      <c r="JO793">
        <v>292.10000000000002</v>
      </c>
      <c r="JP793">
        <v>670.8</v>
      </c>
      <c r="JQ793">
        <v>745.2</v>
      </c>
      <c r="JR793">
        <v>242.9</v>
      </c>
    </row>
    <row r="794" spans="1:278" ht="18" thickBot="1">
      <c r="B794" s="366" t="s">
        <v>1232</v>
      </c>
      <c r="C794" s="524"/>
      <c r="D794" s="540"/>
      <c r="E794" s="454">
        <v>22829.8</v>
      </c>
      <c r="F794">
        <v>20193.400000000001</v>
      </c>
      <c r="G794" s="427">
        <v>0</v>
      </c>
      <c r="H794" s="155">
        <v>0</v>
      </c>
      <c r="I794">
        <v>0</v>
      </c>
      <c r="J794">
        <v>0</v>
      </c>
      <c r="K794">
        <v>0</v>
      </c>
      <c r="L794" s="4">
        <v>0</v>
      </c>
      <c r="M794" s="4">
        <v>0</v>
      </c>
      <c r="N794" s="4">
        <v>0</v>
      </c>
      <c r="O794" s="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1476.4</v>
      </c>
      <c r="X794">
        <v>1482</v>
      </c>
      <c r="Y794">
        <v>457.20000000000005</v>
      </c>
      <c r="Z794">
        <v>0</v>
      </c>
      <c r="AA794">
        <v>0</v>
      </c>
      <c r="AB794">
        <v>0</v>
      </c>
      <c r="AC794">
        <v>0</v>
      </c>
      <c r="AD794">
        <v>3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1828.6</v>
      </c>
      <c r="AK794">
        <v>1800.7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560.70000000000005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0</v>
      </c>
      <c r="BQ794">
        <v>0</v>
      </c>
      <c r="BR794">
        <v>0</v>
      </c>
      <c r="BS794">
        <v>0</v>
      </c>
      <c r="BT794">
        <v>0</v>
      </c>
      <c r="BU794">
        <v>0</v>
      </c>
      <c r="BV794">
        <v>0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  <c r="CF794">
        <v>0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  <c r="CN794">
        <v>0</v>
      </c>
      <c r="CO794">
        <v>0</v>
      </c>
      <c r="CP794">
        <v>3.5</v>
      </c>
      <c r="CQ794">
        <v>0</v>
      </c>
      <c r="CR794">
        <v>528</v>
      </c>
      <c r="CS794">
        <v>581.79999999999995</v>
      </c>
      <c r="CT794">
        <v>555.40000000000009</v>
      </c>
      <c r="CU794">
        <v>737.4</v>
      </c>
      <c r="CV794">
        <v>1039.0999999999999</v>
      </c>
      <c r="CW794">
        <v>1667.3</v>
      </c>
      <c r="CX794">
        <v>877.6</v>
      </c>
      <c r="CY794">
        <v>910.40000000000009</v>
      </c>
      <c r="CZ794">
        <v>0</v>
      </c>
      <c r="DA794">
        <v>0</v>
      </c>
      <c r="DB794">
        <v>0</v>
      </c>
      <c r="DC794">
        <v>0</v>
      </c>
      <c r="DD794">
        <v>0</v>
      </c>
      <c r="DE794">
        <v>0</v>
      </c>
      <c r="DF794">
        <v>0</v>
      </c>
      <c r="DG794">
        <v>0</v>
      </c>
      <c r="DH794">
        <v>0</v>
      </c>
      <c r="DI794">
        <v>0</v>
      </c>
      <c r="DJ794">
        <v>0</v>
      </c>
      <c r="DK794">
        <v>0</v>
      </c>
      <c r="DL794">
        <v>995.5</v>
      </c>
      <c r="DM794">
        <v>712.7</v>
      </c>
      <c r="DN794">
        <v>0</v>
      </c>
      <c r="DO794">
        <v>0</v>
      </c>
      <c r="DP794">
        <v>0</v>
      </c>
      <c r="DQ794">
        <v>0</v>
      </c>
      <c r="DR794">
        <v>0</v>
      </c>
      <c r="DS794">
        <v>0</v>
      </c>
      <c r="DT794">
        <v>0</v>
      </c>
      <c r="DU794">
        <v>0</v>
      </c>
      <c r="DV794">
        <v>0</v>
      </c>
      <c r="DW794">
        <v>0</v>
      </c>
      <c r="DX794">
        <v>0</v>
      </c>
      <c r="DY794">
        <v>0</v>
      </c>
      <c r="DZ794">
        <v>0</v>
      </c>
      <c r="EA794">
        <v>0</v>
      </c>
      <c r="EB794">
        <v>0</v>
      </c>
      <c r="EC794">
        <v>0</v>
      </c>
      <c r="ED794">
        <v>0</v>
      </c>
      <c r="EE794">
        <v>0</v>
      </c>
      <c r="EF794">
        <v>0</v>
      </c>
      <c r="EG794">
        <v>0</v>
      </c>
      <c r="EH794">
        <v>0</v>
      </c>
      <c r="EI794">
        <v>0</v>
      </c>
      <c r="EJ794">
        <v>0</v>
      </c>
      <c r="EK794">
        <v>0</v>
      </c>
      <c r="EL794">
        <v>0</v>
      </c>
      <c r="EM794">
        <v>0</v>
      </c>
      <c r="EN794">
        <v>27.4</v>
      </c>
      <c r="EO794">
        <v>0</v>
      </c>
      <c r="EP794">
        <v>1002.5</v>
      </c>
      <c r="EQ794">
        <v>0</v>
      </c>
      <c r="ER794">
        <v>494</v>
      </c>
      <c r="ES794">
        <v>0</v>
      </c>
      <c r="ET794">
        <v>699.3</v>
      </c>
      <c r="EU794">
        <v>435.4</v>
      </c>
      <c r="EV794">
        <v>0</v>
      </c>
      <c r="EW794">
        <v>0</v>
      </c>
      <c r="EX794">
        <v>0</v>
      </c>
      <c r="EY794">
        <v>0</v>
      </c>
      <c r="EZ794">
        <v>0</v>
      </c>
      <c r="FA794">
        <v>0</v>
      </c>
      <c r="FB794">
        <v>0</v>
      </c>
      <c r="FC794">
        <v>0</v>
      </c>
      <c r="FD794">
        <v>95.6</v>
      </c>
      <c r="FE794">
        <v>1792.1</v>
      </c>
      <c r="FF794">
        <v>1740.1999999999998</v>
      </c>
      <c r="FG794">
        <v>954.9</v>
      </c>
      <c r="FH794">
        <v>1087.8000000000002</v>
      </c>
      <c r="FI794">
        <v>1892.1</v>
      </c>
      <c r="FJ794">
        <v>1222.5</v>
      </c>
      <c r="FK794">
        <v>678.3</v>
      </c>
      <c r="FL794">
        <v>639.1</v>
      </c>
      <c r="FM794">
        <v>520.5</v>
      </c>
      <c r="FN794">
        <v>123.8</v>
      </c>
      <c r="FO794">
        <v>181.6</v>
      </c>
      <c r="FP794">
        <v>1090.5</v>
      </c>
      <c r="FQ794">
        <v>0</v>
      </c>
      <c r="FR794">
        <v>0</v>
      </c>
      <c r="FS794">
        <v>0</v>
      </c>
      <c r="FT794">
        <v>0</v>
      </c>
      <c r="FU794">
        <v>0</v>
      </c>
      <c r="FV794">
        <v>0</v>
      </c>
      <c r="FW794">
        <v>0</v>
      </c>
      <c r="FX794">
        <v>0</v>
      </c>
      <c r="FY794">
        <v>0</v>
      </c>
      <c r="FZ794">
        <v>0</v>
      </c>
      <c r="GA794">
        <v>0</v>
      </c>
      <c r="GB794">
        <v>0</v>
      </c>
      <c r="GC794">
        <v>0</v>
      </c>
      <c r="GD794">
        <v>0</v>
      </c>
      <c r="GE794">
        <v>0</v>
      </c>
      <c r="GF794">
        <v>198.3</v>
      </c>
      <c r="GG794">
        <v>1054.4000000000001</v>
      </c>
      <c r="GH794">
        <v>552.79999999999995</v>
      </c>
      <c r="GI794">
        <v>522</v>
      </c>
      <c r="GJ794">
        <v>0</v>
      </c>
      <c r="GK794">
        <v>0</v>
      </c>
      <c r="GL794">
        <v>0</v>
      </c>
      <c r="GM794">
        <v>0</v>
      </c>
      <c r="GN794">
        <v>791.40000000000009</v>
      </c>
      <c r="GO794">
        <v>1816.5</v>
      </c>
      <c r="GP794">
        <v>0</v>
      </c>
      <c r="GQ794">
        <v>0</v>
      </c>
      <c r="GR794">
        <v>0</v>
      </c>
      <c r="GS794">
        <v>0</v>
      </c>
      <c r="GT794">
        <v>0</v>
      </c>
      <c r="GU794">
        <v>0</v>
      </c>
      <c r="GV794">
        <v>0</v>
      </c>
      <c r="GW794">
        <v>0</v>
      </c>
      <c r="GX794">
        <v>0</v>
      </c>
      <c r="GY794">
        <v>840.3</v>
      </c>
      <c r="GZ794">
        <v>0</v>
      </c>
      <c r="HA794">
        <v>0</v>
      </c>
      <c r="HB794">
        <v>0</v>
      </c>
      <c r="HC794">
        <v>380.4</v>
      </c>
      <c r="HD794">
        <v>2175.5</v>
      </c>
      <c r="HE794">
        <v>0</v>
      </c>
      <c r="HF794">
        <v>0</v>
      </c>
      <c r="HG794">
        <v>0</v>
      </c>
      <c r="HH794">
        <v>0</v>
      </c>
      <c r="HI794">
        <v>0</v>
      </c>
      <c r="HJ794">
        <v>803.40000000000009</v>
      </c>
      <c r="HK794">
        <v>1270.9000000000001</v>
      </c>
      <c r="HL794">
        <v>835.7</v>
      </c>
      <c r="HM794">
        <v>1162.5999999999999</v>
      </c>
      <c r="HN794">
        <v>0</v>
      </c>
      <c r="HO794">
        <v>0</v>
      </c>
      <c r="HP794">
        <v>0</v>
      </c>
      <c r="HQ794">
        <v>0</v>
      </c>
      <c r="HR794">
        <v>161.19999999999999</v>
      </c>
      <c r="HS794">
        <v>0</v>
      </c>
      <c r="HT794">
        <v>2048.5</v>
      </c>
      <c r="HU794">
        <v>2627.5</v>
      </c>
      <c r="HV794">
        <v>1168.5999999999999</v>
      </c>
      <c r="HW794">
        <v>388</v>
      </c>
      <c r="HX794">
        <v>0</v>
      </c>
      <c r="HY794">
        <v>0</v>
      </c>
      <c r="HZ794">
        <v>0</v>
      </c>
      <c r="IA794">
        <v>0</v>
      </c>
      <c r="IB794">
        <v>0</v>
      </c>
      <c r="IC794">
        <v>594.4</v>
      </c>
      <c r="ID794">
        <v>427.4</v>
      </c>
      <c r="IE794">
        <v>713.3</v>
      </c>
      <c r="IF794">
        <v>626.1</v>
      </c>
      <c r="IG794">
        <v>0</v>
      </c>
      <c r="IH794">
        <v>0</v>
      </c>
      <c r="II794">
        <v>995.7</v>
      </c>
      <c r="IJ794">
        <v>1156.5999999999999</v>
      </c>
      <c r="IK794">
        <v>864.6</v>
      </c>
      <c r="IL794">
        <v>316.5</v>
      </c>
      <c r="IM794">
        <v>101.5</v>
      </c>
      <c r="IN794">
        <v>71.8</v>
      </c>
      <c r="IO794">
        <v>0</v>
      </c>
      <c r="IP794">
        <v>0</v>
      </c>
      <c r="IQ794">
        <v>0</v>
      </c>
      <c r="IR794">
        <v>0</v>
      </c>
      <c r="IS794">
        <v>0</v>
      </c>
      <c r="IT794">
        <v>0</v>
      </c>
      <c r="IU794">
        <v>0</v>
      </c>
      <c r="IV794">
        <v>0</v>
      </c>
      <c r="IW794">
        <v>68</v>
      </c>
      <c r="IX794">
        <v>404.7</v>
      </c>
      <c r="IY794">
        <v>126.6</v>
      </c>
      <c r="IZ794">
        <v>126.6</v>
      </c>
      <c r="JA794">
        <v>503.7</v>
      </c>
      <c r="JB794">
        <v>570.1</v>
      </c>
      <c r="JC794">
        <v>328.3</v>
      </c>
      <c r="JD794">
        <v>0</v>
      </c>
      <c r="JE794">
        <v>0</v>
      </c>
      <c r="JF794">
        <v>0</v>
      </c>
      <c r="JG794">
        <v>0</v>
      </c>
      <c r="JH794">
        <v>287.3</v>
      </c>
      <c r="JI794">
        <v>68.2</v>
      </c>
      <c r="JJ794">
        <v>0</v>
      </c>
      <c r="JK794">
        <v>148.6</v>
      </c>
      <c r="JL794">
        <v>0</v>
      </c>
      <c r="JM794">
        <v>0</v>
      </c>
      <c r="JN794">
        <v>204.5</v>
      </c>
      <c r="JO794">
        <v>292.10000000000002</v>
      </c>
      <c r="JP794">
        <v>670.8</v>
      </c>
      <c r="JQ794">
        <v>745.2</v>
      </c>
      <c r="JR794">
        <v>242.9</v>
      </c>
    </row>
    <row r="795" spans="1:278" ht="18" thickBot="1">
      <c r="B795" s="367" t="s">
        <v>925</v>
      </c>
      <c r="C795" s="410" t="s">
        <v>1493</v>
      </c>
      <c r="D795" s="367" t="s">
        <v>1378</v>
      </c>
      <c r="E795" s="454">
        <v>22829.8</v>
      </c>
      <c r="F795">
        <v>20193.400000000001</v>
      </c>
      <c r="G795" s="427">
        <v>0</v>
      </c>
      <c r="H795" s="155">
        <v>0</v>
      </c>
      <c r="I795">
        <v>0</v>
      </c>
      <c r="J795">
        <v>0</v>
      </c>
      <c r="K795">
        <v>0</v>
      </c>
      <c r="L795" s="4">
        <v>0</v>
      </c>
      <c r="M795" s="4">
        <v>0</v>
      </c>
      <c r="N795" s="4">
        <v>0</v>
      </c>
      <c r="O795" s="4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1476.4</v>
      </c>
      <c r="X795">
        <v>1482</v>
      </c>
      <c r="Y795">
        <v>457.20000000000005</v>
      </c>
      <c r="Z795">
        <v>0</v>
      </c>
      <c r="AA795">
        <v>0</v>
      </c>
      <c r="AB795">
        <v>0</v>
      </c>
      <c r="AC795">
        <v>0</v>
      </c>
      <c r="AD795">
        <v>3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1828.6</v>
      </c>
      <c r="AK795">
        <v>1800.7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560.70000000000005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  <c r="CF795">
        <v>0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  <c r="CN795">
        <v>0</v>
      </c>
      <c r="CO795">
        <v>0</v>
      </c>
      <c r="CP795">
        <v>3.5</v>
      </c>
      <c r="CQ795">
        <v>0</v>
      </c>
      <c r="CR795">
        <v>528</v>
      </c>
      <c r="CS795">
        <v>581.79999999999995</v>
      </c>
      <c r="CT795">
        <v>555.40000000000009</v>
      </c>
      <c r="CU795">
        <v>737.4</v>
      </c>
      <c r="CV795">
        <v>1039.0999999999999</v>
      </c>
      <c r="CW795">
        <v>1667.3</v>
      </c>
      <c r="CX795">
        <v>877.6</v>
      </c>
      <c r="CY795">
        <v>910.40000000000009</v>
      </c>
      <c r="CZ795">
        <v>0</v>
      </c>
      <c r="DA795">
        <v>0</v>
      </c>
      <c r="DB795">
        <v>0</v>
      </c>
      <c r="DC795">
        <v>0</v>
      </c>
      <c r="DD795">
        <v>0</v>
      </c>
      <c r="DE795">
        <v>0</v>
      </c>
      <c r="DF795">
        <v>0</v>
      </c>
      <c r="DG795">
        <v>0</v>
      </c>
      <c r="DH795">
        <v>0</v>
      </c>
      <c r="DI795">
        <v>0</v>
      </c>
      <c r="DJ795">
        <v>0</v>
      </c>
      <c r="DK795">
        <v>0</v>
      </c>
      <c r="DL795">
        <v>995.5</v>
      </c>
      <c r="DM795">
        <v>712.7</v>
      </c>
      <c r="DN795">
        <v>0</v>
      </c>
      <c r="DO795">
        <v>0</v>
      </c>
      <c r="DP795">
        <v>0</v>
      </c>
      <c r="DQ795">
        <v>0</v>
      </c>
      <c r="DR795">
        <v>0</v>
      </c>
      <c r="DS795">
        <v>0</v>
      </c>
      <c r="DT795">
        <v>0</v>
      </c>
      <c r="DU795">
        <v>0</v>
      </c>
      <c r="DV795">
        <v>0</v>
      </c>
      <c r="DW795">
        <v>0</v>
      </c>
      <c r="DX795">
        <v>0</v>
      </c>
      <c r="DY795">
        <v>0</v>
      </c>
      <c r="DZ795">
        <v>0</v>
      </c>
      <c r="EA795">
        <v>0</v>
      </c>
      <c r="EB795">
        <v>0</v>
      </c>
      <c r="EC795">
        <v>0</v>
      </c>
      <c r="ED795">
        <v>0</v>
      </c>
      <c r="EE795">
        <v>0</v>
      </c>
      <c r="EF795">
        <v>0</v>
      </c>
      <c r="EG795">
        <v>0</v>
      </c>
      <c r="EH795">
        <v>0</v>
      </c>
      <c r="EI795">
        <v>0</v>
      </c>
      <c r="EJ795">
        <v>0</v>
      </c>
      <c r="EK795">
        <v>0</v>
      </c>
      <c r="EL795">
        <v>0</v>
      </c>
      <c r="EM795">
        <v>0</v>
      </c>
      <c r="EN795">
        <v>27.4</v>
      </c>
      <c r="EO795">
        <v>0</v>
      </c>
      <c r="EP795">
        <v>1002.5</v>
      </c>
      <c r="EQ795">
        <v>0</v>
      </c>
      <c r="ER795">
        <v>494</v>
      </c>
      <c r="ES795">
        <v>0</v>
      </c>
      <c r="ET795">
        <v>699.3</v>
      </c>
      <c r="EU795">
        <v>435.4</v>
      </c>
      <c r="EV795">
        <v>0</v>
      </c>
      <c r="EW795">
        <v>0</v>
      </c>
      <c r="EX795">
        <v>0</v>
      </c>
      <c r="EY795">
        <v>0</v>
      </c>
      <c r="EZ795">
        <v>0</v>
      </c>
      <c r="FA795">
        <v>0</v>
      </c>
      <c r="FB795">
        <v>0</v>
      </c>
      <c r="FC795">
        <v>0</v>
      </c>
      <c r="FD795">
        <v>95.6</v>
      </c>
      <c r="FE795">
        <v>1792.1</v>
      </c>
      <c r="FF795">
        <v>1740.1999999999998</v>
      </c>
      <c r="FG795">
        <v>954.9</v>
      </c>
      <c r="FH795">
        <v>1087.8000000000002</v>
      </c>
      <c r="FI795">
        <v>1892.1</v>
      </c>
      <c r="FJ795">
        <v>1222.5</v>
      </c>
      <c r="FK795">
        <v>678.3</v>
      </c>
      <c r="FL795">
        <v>639.1</v>
      </c>
      <c r="FM795">
        <v>520.5</v>
      </c>
      <c r="FN795">
        <v>123.8</v>
      </c>
      <c r="FO795">
        <v>181.6</v>
      </c>
      <c r="FP795">
        <v>1090.5</v>
      </c>
      <c r="FQ795">
        <v>0</v>
      </c>
      <c r="FR795">
        <v>0</v>
      </c>
      <c r="FS795">
        <v>0</v>
      </c>
      <c r="FT795">
        <v>0</v>
      </c>
      <c r="FU795">
        <v>0</v>
      </c>
      <c r="FV795">
        <v>0</v>
      </c>
      <c r="FW795">
        <v>0</v>
      </c>
      <c r="FX795">
        <v>0</v>
      </c>
      <c r="FY795">
        <v>0</v>
      </c>
      <c r="FZ795">
        <v>0</v>
      </c>
      <c r="GA795">
        <v>0</v>
      </c>
      <c r="GB795">
        <v>0</v>
      </c>
      <c r="GC795">
        <v>0</v>
      </c>
      <c r="GD795">
        <v>0</v>
      </c>
      <c r="GE795">
        <v>0</v>
      </c>
      <c r="GF795">
        <v>198.3</v>
      </c>
      <c r="GG795">
        <v>1054.4000000000001</v>
      </c>
      <c r="GH795">
        <v>552.79999999999995</v>
      </c>
      <c r="GI795">
        <v>522</v>
      </c>
      <c r="GJ795">
        <v>0</v>
      </c>
      <c r="GK795">
        <v>0</v>
      </c>
      <c r="GL795">
        <v>0</v>
      </c>
      <c r="GM795">
        <v>0</v>
      </c>
      <c r="GN795">
        <v>791.40000000000009</v>
      </c>
      <c r="GO795">
        <v>1816.5</v>
      </c>
      <c r="GP795">
        <v>0</v>
      </c>
      <c r="GQ795">
        <v>0</v>
      </c>
      <c r="GR795">
        <v>0</v>
      </c>
      <c r="GS795">
        <v>0</v>
      </c>
      <c r="GT795">
        <v>0</v>
      </c>
      <c r="GU795">
        <v>0</v>
      </c>
      <c r="GV795">
        <v>0</v>
      </c>
      <c r="GW795">
        <v>0</v>
      </c>
      <c r="GX795">
        <v>0</v>
      </c>
      <c r="GY795">
        <v>840.3</v>
      </c>
      <c r="GZ795">
        <v>0</v>
      </c>
      <c r="HA795">
        <v>0</v>
      </c>
      <c r="HB795">
        <v>0</v>
      </c>
      <c r="HC795">
        <v>380.4</v>
      </c>
      <c r="HD795">
        <v>2175.5</v>
      </c>
      <c r="HE795">
        <v>0</v>
      </c>
      <c r="HF795">
        <v>0</v>
      </c>
      <c r="HG795">
        <v>0</v>
      </c>
      <c r="HH795">
        <v>0</v>
      </c>
      <c r="HI795">
        <v>0</v>
      </c>
      <c r="HJ795">
        <v>803.40000000000009</v>
      </c>
      <c r="HK795">
        <v>1270.9000000000001</v>
      </c>
      <c r="HL795">
        <v>835.7</v>
      </c>
      <c r="HM795">
        <v>1162.5999999999999</v>
      </c>
      <c r="HN795">
        <v>0</v>
      </c>
      <c r="HO795">
        <v>0</v>
      </c>
      <c r="HP795">
        <v>0</v>
      </c>
      <c r="HQ795">
        <v>0</v>
      </c>
      <c r="HR795">
        <v>161.19999999999999</v>
      </c>
      <c r="HS795">
        <v>0</v>
      </c>
      <c r="HT795">
        <v>2048.5</v>
      </c>
      <c r="HU795">
        <v>2627.5</v>
      </c>
      <c r="HV795">
        <v>1168.5999999999999</v>
      </c>
      <c r="HW795">
        <v>388</v>
      </c>
      <c r="HX795">
        <v>0</v>
      </c>
      <c r="HY795">
        <v>0</v>
      </c>
      <c r="HZ795">
        <v>0</v>
      </c>
      <c r="IA795">
        <v>0</v>
      </c>
      <c r="IB795">
        <v>0</v>
      </c>
      <c r="IC795">
        <v>594.4</v>
      </c>
      <c r="ID795">
        <v>427.4</v>
      </c>
      <c r="IE795">
        <v>713.3</v>
      </c>
      <c r="IF795">
        <v>626.1</v>
      </c>
      <c r="IG795">
        <v>0</v>
      </c>
      <c r="IH795">
        <v>0</v>
      </c>
      <c r="II795">
        <v>995.7</v>
      </c>
      <c r="IJ795">
        <v>1156.5999999999999</v>
      </c>
      <c r="IK795">
        <v>864.6</v>
      </c>
      <c r="IL795">
        <v>316.5</v>
      </c>
      <c r="IM795">
        <v>101.5</v>
      </c>
      <c r="IN795">
        <v>71.8</v>
      </c>
      <c r="IO795">
        <v>0</v>
      </c>
      <c r="IP795">
        <v>0</v>
      </c>
      <c r="IQ795">
        <v>0</v>
      </c>
      <c r="IR795">
        <v>0</v>
      </c>
      <c r="IS795">
        <v>0</v>
      </c>
      <c r="IT795">
        <v>0</v>
      </c>
      <c r="IU795">
        <v>0</v>
      </c>
      <c r="IV795">
        <v>0</v>
      </c>
      <c r="IW795">
        <v>68</v>
      </c>
      <c r="IX795">
        <v>404.7</v>
      </c>
      <c r="IY795">
        <v>126.6</v>
      </c>
      <c r="IZ795">
        <v>126.6</v>
      </c>
      <c r="JA795">
        <v>503.7</v>
      </c>
      <c r="JB795">
        <v>570.1</v>
      </c>
      <c r="JC795">
        <v>328.3</v>
      </c>
      <c r="JD795">
        <v>0</v>
      </c>
      <c r="JE795">
        <v>0</v>
      </c>
      <c r="JF795">
        <v>0</v>
      </c>
      <c r="JG795">
        <v>0</v>
      </c>
      <c r="JH795">
        <v>287.3</v>
      </c>
      <c r="JI795">
        <v>68.2</v>
      </c>
      <c r="JJ795">
        <v>0</v>
      </c>
      <c r="JK795">
        <v>148.6</v>
      </c>
      <c r="JL795">
        <v>0</v>
      </c>
      <c r="JM795">
        <v>0</v>
      </c>
      <c r="JN795">
        <v>204.5</v>
      </c>
      <c r="JO795">
        <v>292.10000000000002</v>
      </c>
      <c r="JP795">
        <v>670.8</v>
      </c>
      <c r="JQ795">
        <v>745.2</v>
      </c>
      <c r="JR795">
        <v>242.9</v>
      </c>
    </row>
    <row r="796" spans="1:278" ht="18" thickBot="1">
      <c r="B796" s="368" t="s">
        <v>926</v>
      </c>
      <c r="C796" s="411" t="s">
        <v>1494</v>
      </c>
      <c r="D796" s="368" t="s">
        <v>1379</v>
      </c>
      <c r="E796" s="454">
        <v>22829.8</v>
      </c>
      <c r="F796">
        <v>20193.400000000001</v>
      </c>
      <c r="G796" s="427">
        <v>0</v>
      </c>
      <c r="H796" s="155">
        <v>0</v>
      </c>
      <c r="I796">
        <v>0</v>
      </c>
      <c r="J796">
        <v>0</v>
      </c>
      <c r="K796">
        <v>0</v>
      </c>
      <c r="L796" s="4">
        <v>0</v>
      </c>
      <c r="M796" s="4">
        <v>0</v>
      </c>
      <c r="N796" s="4">
        <v>0</v>
      </c>
      <c r="O796" s="4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1476.4</v>
      </c>
      <c r="X796">
        <v>1482</v>
      </c>
      <c r="Y796">
        <v>457.20000000000005</v>
      </c>
      <c r="Z796">
        <v>0</v>
      </c>
      <c r="AA796">
        <v>0</v>
      </c>
      <c r="AB796">
        <v>0</v>
      </c>
      <c r="AC796">
        <v>0</v>
      </c>
      <c r="AD796">
        <v>3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1828.6</v>
      </c>
      <c r="AK796">
        <v>1800.7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560.70000000000005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0</v>
      </c>
      <c r="BN796">
        <v>0</v>
      </c>
      <c r="BO796">
        <v>0</v>
      </c>
      <c r="BP796">
        <v>0</v>
      </c>
      <c r="BQ796">
        <v>0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  <c r="CF796">
        <v>0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  <c r="CN796">
        <v>0</v>
      </c>
      <c r="CO796">
        <v>0</v>
      </c>
      <c r="CP796">
        <v>3.5</v>
      </c>
      <c r="CQ796">
        <v>0</v>
      </c>
      <c r="CR796">
        <v>528</v>
      </c>
      <c r="CS796">
        <v>581.79999999999995</v>
      </c>
      <c r="CT796">
        <v>555.40000000000009</v>
      </c>
      <c r="CU796">
        <v>737.4</v>
      </c>
      <c r="CV796">
        <v>1039.0999999999999</v>
      </c>
      <c r="CW796">
        <v>1667.3</v>
      </c>
      <c r="CX796">
        <v>877.6</v>
      </c>
      <c r="CY796">
        <v>910.40000000000009</v>
      </c>
      <c r="CZ796">
        <v>0</v>
      </c>
      <c r="DA796">
        <v>0</v>
      </c>
      <c r="DB796">
        <v>0</v>
      </c>
      <c r="DC796">
        <v>0</v>
      </c>
      <c r="DD796">
        <v>0</v>
      </c>
      <c r="DE796">
        <v>0</v>
      </c>
      <c r="DF796">
        <v>0</v>
      </c>
      <c r="DG796">
        <v>0</v>
      </c>
      <c r="DH796">
        <v>0</v>
      </c>
      <c r="DI796">
        <v>0</v>
      </c>
      <c r="DJ796">
        <v>0</v>
      </c>
      <c r="DK796">
        <v>0</v>
      </c>
      <c r="DL796">
        <v>995.5</v>
      </c>
      <c r="DM796">
        <v>712.7</v>
      </c>
      <c r="DN796">
        <v>0</v>
      </c>
      <c r="DO796">
        <v>0</v>
      </c>
      <c r="DP796">
        <v>0</v>
      </c>
      <c r="DQ796">
        <v>0</v>
      </c>
      <c r="DR796">
        <v>0</v>
      </c>
      <c r="DS796">
        <v>0</v>
      </c>
      <c r="DT796">
        <v>0</v>
      </c>
      <c r="DU796">
        <v>0</v>
      </c>
      <c r="DV796">
        <v>0</v>
      </c>
      <c r="DW796">
        <v>0</v>
      </c>
      <c r="DX796">
        <v>0</v>
      </c>
      <c r="DY796">
        <v>0</v>
      </c>
      <c r="DZ796">
        <v>0</v>
      </c>
      <c r="EA796">
        <v>0</v>
      </c>
      <c r="EB796">
        <v>0</v>
      </c>
      <c r="EC796">
        <v>0</v>
      </c>
      <c r="ED796">
        <v>0</v>
      </c>
      <c r="EE796">
        <v>0</v>
      </c>
      <c r="EF796">
        <v>0</v>
      </c>
      <c r="EG796">
        <v>0</v>
      </c>
      <c r="EH796">
        <v>0</v>
      </c>
      <c r="EI796">
        <v>0</v>
      </c>
      <c r="EJ796">
        <v>0</v>
      </c>
      <c r="EK796">
        <v>0</v>
      </c>
      <c r="EL796">
        <v>0</v>
      </c>
      <c r="EM796">
        <v>0</v>
      </c>
      <c r="EN796">
        <v>27.4</v>
      </c>
      <c r="EO796">
        <v>0</v>
      </c>
      <c r="EP796">
        <v>1002.5</v>
      </c>
      <c r="EQ796">
        <v>0</v>
      </c>
      <c r="ER796">
        <v>494</v>
      </c>
      <c r="ES796">
        <v>0</v>
      </c>
      <c r="ET796">
        <v>699.3</v>
      </c>
      <c r="EU796">
        <v>435.4</v>
      </c>
      <c r="EV796">
        <v>0</v>
      </c>
      <c r="EW796">
        <v>0</v>
      </c>
      <c r="EX796">
        <v>0</v>
      </c>
      <c r="EY796">
        <v>0</v>
      </c>
      <c r="EZ796">
        <v>0</v>
      </c>
      <c r="FA796">
        <v>0</v>
      </c>
      <c r="FB796">
        <v>0</v>
      </c>
      <c r="FC796">
        <v>0</v>
      </c>
      <c r="FD796">
        <v>95.6</v>
      </c>
      <c r="FE796">
        <v>1792.1</v>
      </c>
      <c r="FF796">
        <v>1740.1999999999998</v>
      </c>
      <c r="FG796">
        <v>954.9</v>
      </c>
      <c r="FH796">
        <v>1087.8000000000002</v>
      </c>
      <c r="FI796">
        <v>1892.1</v>
      </c>
      <c r="FJ796">
        <v>1222.5</v>
      </c>
      <c r="FK796">
        <v>678.3</v>
      </c>
      <c r="FL796">
        <v>639.1</v>
      </c>
      <c r="FM796">
        <v>520.5</v>
      </c>
      <c r="FN796">
        <v>123.8</v>
      </c>
      <c r="FO796">
        <v>181.6</v>
      </c>
      <c r="FP796">
        <v>1090.5</v>
      </c>
      <c r="FQ796">
        <v>0</v>
      </c>
      <c r="FR796">
        <v>0</v>
      </c>
      <c r="FS796">
        <v>0</v>
      </c>
      <c r="FT796">
        <v>0</v>
      </c>
      <c r="FU796">
        <v>0</v>
      </c>
      <c r="FV796">
        <v>0</v>
      </c>
      <c r="FW796">
        <v>0</v>
      </c>
      <c r="FX796">
        <v>0</v>
      </c>
      <c r="FY796">
        <v>0</v>
      </c>
      <c r="FZ796">
        <v>0</v>
      </c>
      <c r="GA796">
        <v>0</v>
      </c>
      <c r="GB796">
        <v>0</v>
      </c>
      <c r="GC796">
        <v>0</v>
      </c>
      <c r="GD796">
        <v>0</v>
      </c>
      <c r="GE796">
        <v>0</v>
      </c>
      <c r="GF796">
        <v>198.3</v>
      </c>
      <c r="GG796">
        <v>1054.4000000000001</v>
      </c>
      <c r="GH796">
        <v>552.79999999999995</v>
      </c>
      <c r="GI796">
        <v>522</v>
      </c>
      <c r="GJ796">
        <v>0</v>
      </c>
      <c r="GK796">
        <v>0</v>
      </c>
      <c r="GL796">
        <v>0</v>
      </c>
      <c r="GM796">
        <v>0</v>
      </c>
      <c r="GN796">
        <v>791.40000000000009</v>
      </c>
      <c r="GO796">
        <v>1816.5</v>
      </c>
      <c r="GP796">
        <v>0</v>
      </c>
      <c r="GQ796">
        <v>0</v>
      </c>
      <c r="GR796">
        <v>0</v>
      </c>
      <c r="GS796">
        <v>0</v>
      </c>
      <c r="GT796">
        <v>0</v>
      </c>
      <c r="GU796">
        <v>0</v>
      </c>
      <c r="GV796">
        <v>0</v>
      </c>
      <c r="GW796">
        <v>0</v>
      </c>
      <c r="GX796">
        <v>0</v>
      </c>
      <c r="GY796">
        <v>840.3</v>
      </c>
      <c r="GZ796">
        <v>0</v>
      </c>
      <c r="HA796">
        <v>0</v>
      </c>
      <c r="HB796">
        <v>0</v>
      </c>
      <c r="HC796">
        <v>380.4</v>
      </c>
      <c r="HD796">
        <v>2175.5</v>
      </c>
      <c r="HE796">
        <v>0</v>
      </c>
      <c r="HF796">
        <v>0</v>
      </c>
      <c r="HG796">
        <v>0</v>
      </c>
      <c r="HH796">
        <v>0</v>
      </c>
      <c r="HI796">
        <v>0</v>
      </c>
      <c r="HJ796">
        <v>803.40000000000009</v>
      </c>
      <c r="HK796">
        <v>1270.9000000000001</v>
      </c>
      <c r="HL796">
        <v>835.7</v>
      </c>
      <c r="HM796">
        <v>1162.5999999999999</v>
      </c>
      <c r="HN796">
        <v>0</v>
      </c>
      <c r="HO796">
        <v>0</v>
      </c>
      <c r="HP796">
        <v>0</v>
      </c>
      <c r="HQ796">
        <v>0</v>
      </c>
      <c r="HR796">
        <v>161.19999999999999</v>
      </c>
      <c r="HS796">
        <v>0</v>
      </c>
      <c r="HT796">
        <v>2048.5</v>
      </c>
      <c r="HU796">
        <v>2627.5</v>
      </c>
      <c r="HV796">
        <v>1168.5999999999999</v>
      </c>
      <c r="HW796">
        <v>388</v>
      </c>
      <c r="HX796">
        <v>0</v>
      </c>
      <c r="HY796">
        <v>0</v>
      </c>
      <c r="HZ796">
        <v>0</v>
      </c>
      <c r="IA796">
        <v>0</v>
      </c>
      <c r="IB796">
        <v>0</v>
      </c>
      <c r="IC796">
        <v>594.4</v>
      </c>
      <c r="ID796">
        <v>427.4</v>
      </c>
      <c r="IE796">
        <v>713.3</v>
      </c>
      <c r="IF796">
        <v>626.1</v>
      </c>
      <c r="IG796">
        <v>0</v>
      </c>
      <c r="IH796">
        <v>0</v>
      </c>
      <c r="II796">
        <v>995.7</v>
      </c>
      <c r="IJ796">
        <v>1156.5999999999999</v>
      </c>
      <c r="IK796">
        <v>864.6</v>
      </c>
      <c r="IL796">
        <v>316.5</v>
      </c>
      <c r="IM796">
        <v>101.5</v>
      </c>
      <c r="IN796">
        <v>71.8</v>
      </c>
      <c r="IO796">
        <v>0</v>
      </c>
      <c r="IP796">
        <v>0</v>
      </c>
      <c r="IQ796">
        <v>0</v>
      </c>
      <c r="IR796">
        <v>0</v>
      </c>
      <c r="IS796">
        <v>0</v>
      </c>
      <c r="IT796">
        <v>0</v>
      </c>
      <c r="IU796">
        <v>0</v>
      </c>
      <c r="IV796">
        <v>0</v>
      </c>
      <c r="IW796">
        <v>68</v>
      </c>
      <c r="IX796">
        <v>404.7</v>
      </c>
      <c r="IY796">
        <v>126.6</v>
      </c>
      <c r="IZ796">
        <v>126.6</v>
      </c>
      <c r="JA796">
        <v>503.7</v>
      </c>
      <c r="JB796">
        <v>570.1</v>
      </c>
      <c r="JC796">
        <v>328.3</v>
      </c>
      <c r="JD796">
        <v>0</v>
      </c>
      <c r="JE796">
        <v>0</v>
      </c>
      <c r="JF796">
        <v>0</v>
      </c>
      <c r="JG796">
        <v>0</v>
      </c>
      <c r="JH796">
        <v>287.3</v>
      </c>
      <c r="JI796">
        <v>68.2</v>
      </c>
      <c r="JJ796">
        <v>0</v>
      </c>
      <c r="JK796">
        <v>148.6</v>
      </c>
      <c r="JL796">
        <v>0</v>
      </c>
      <c r="JM796">
        <v>0</v>
      </c>
      <c r="JN796">
        <v>204.5</v>
      </c>
      <c r="JO796">
        <v>292.10000000000002</v>
      </c>
      <c r="JP796">
        <v>670.8</v>
      </c>
      <c r="JQ796">
        <v>745.2</v>
      </c>
      <c r="JR796">
        <v>242.9</v>
      </c>
    </row>
    <row r="797" spans="1:278" ht="18" thickBot="1">
      <c r="B797" s="368" t="s">
        <v>927</v>
      </c>
      <c r="C797" s="411" t="s">
        <v>1495</v>
      </c>
      <c r="D797" s="368" t="s">
        <v>1380</v>
      </c>
      <c r="E797" s="454">
        <v>22829.8</v>
      </c>
      <c r="F797">
        <v>20193.400000000001</v>
      </c>
      <c r="G797" s="427">
        <v>0</v>
      </c>
      <c r="H797" s="155">
        <v>0</v>
      </c>
      <c r="I797">
        <v>0</v>
      </c>
      <c r="J797">
        <v>0</v>
      </c>
      <c r="K797">
        <v>0</v>
      </c>
      <c r="L797" s="4">
        <v>0</v>
      </c>
      <c r="M797" s="4">
        <v>0</v>
      </c>
      <c r="N797" s="4">
        <v>0</v>
      </c>
      <c r="O797" s="4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1476.4</v>
      </c>
      <c r="X797">
        <v>1482</v>
      </c>
      <c r="Y797">
        <v>457.20000000000005</v>
      </c>
      <c r="Z797">
        <v>0</v>
      </c>
      <c r="AA797">
        <v>0</v>
      </c>
      <c r="AB797">
        <v>0</v>
      </c>
      <c r="AC797">
        <v>0</v>
      </c>
      <c r="AD797">
        <v>3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1828.6</v>
      </c>
      <c r="AK797">
        <v>1800.7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560.70000000000005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  <c r="CF797">
        <v>0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  <c r="CN797">
        <v>0</v>
      </c>
      <c r="CO797">
        <v>0</v>
      </c>
      <c r="CP797">
        <v>3.5</v>
      </c>
      <c r="CQ797">
        <v>0</v>
      </c>
      <c r="CR797">
        <v>528</v>
      </c>
      <c r="CS797">
        <v>581.79999999999995</v>
      </c>
      <c r="CT797">
        <v>555.40000000000009</v>
      </c>
      <c r="CU797">
        <v>737.4</v>
      </c>
      <c r="CV797">
        <v>1039.0999999999999</v>
      </c>
      <c r="CW797">
        <v>1667.3</v>
      </c>
      <c r="CX797">
        <v>877.6</v>
      </c>
      <c r="CY797">
        <v>910.40000000000009</v>
      </c>
      <c r="CZ797">
        <v>0</v>
      </c>
      <c r="DA797">
        <v>0</v>
      </c>
      <c r="DB797">
        <v>0</v>
      </c>
      <c r="DC797">
        <v>0</v>
      </c>
      <c r="DD797">
        <v>0</v>
      </c>
      <c r="DE797">
        <v>0</v>
      </c>
      <c r="DF797">
        <v>0</v>
      </c>
      <c r="DG797">
        <v>0</v>
      </c>
      <c r="DH797">
        <v>0</v>
      </c>
      <c r="DI797">
        <v>0</v>
      </c>
      <c r="DJ797">
        <v>0</v>
      </c>
      <c r="DK797">
        <v>0</v>
      </c>
      <c r="DL797">
        <v>995.5</v>
      </c>
      <c r="DM797">
        <v>712.7</v>
      </c>
      <c r="DN797">
        <v>0</v>
      </c>
      <c r="DO797">
        <v>0</v>
      </c>
      <c r="DP797">
        <v>0</v>
      </c>
      <c r="DQ797">
        <v>0</v>
      </c>
      <c r="DR797">
        <v>0</v>
      </c>
      <c r="DS797">
        <v>0</v>
      </c>
      <c r="DT797">
        <v>0</v>
      </c>
      <c r="DU797">
        <v>0</v>
      </c>
      <c r="DV797">
        <v>0</v>
      </c>
      <c r="DW797">
        <v>0</v>
      </c>
      <c r="DX797">
        <v>0</v>
      </c>
      <c r="DY797">
        <v>0</v>
      </c>
      <c r="DZ797">
        <v>0</v>
      </c>
      <c r="EA797">
        <v>0</v>
      </c>
      <c r="EB797">
        <v>0</v>
      </c>
      <c r="EC797">
        <v>0</v>
      </c>
      <c r="ED797">
        <v>0</v>
      </c>
      <c r="EE797">
        <v>0</v>
      </c>
      <c r="EF797">
        <v>0</v>
      </c>
      <c r="EG797">
        <v>0</v>
      </c>
      <c r="EH797">
        <v>0</v>
      </c>
      <c r="EI797">
        <v>0</v>
      </c>
      <c r="EJ797">
        <v>0</v>
      </c>
      <c r="EK797">
        <v>0</v>
      </c>
      <c r="EL797">
        <v>0</v>
      </c>
      <c r="EM797">
        <v>0</v>
      </c>
      <c r="EN797">
        <v>27.4</v>
      </c>
      <c r="EO797">
        <v>0</v>
      </c>
      <c r="EP797">
        <v>1002.5</v>
      </c>
      <c r="EQ797">
        <v>0</v>
      </c>
      <c r="ER797">
        <v>494</v>
      </c>
      <c r="ES797">
        <v>0</v>
      </c>
      <c r="ET797">
        <v>699.3</v>
      </c>
      <c r="EU797">
        <v>435.4</v>
      </c>
      <c r="EV797">
        <v>0</v>
      </c>
      <c r="EW797">
        <v>0</v>
      </c>
      <c r="EX797">
        <v>0</v>
      </c>
      <c r="EY797">
        <v>0</v>
      </c>
      <c r="EZ797">
        <v>0</v>
      </c>
      <c r="FA797">
        <v>0</v>
      </c>
      <c r="FB797">
        <v>0</v>
      </c>
      <c r="FC797">
        <v>0</v>
      </c>
      <c r="FD797">
        <v>95.6</v>
      </c>
      <c r="FE797">
        <v>1792.1</v>
      </c>
      <c r="FF797">
        <v>1740.1999999999998</v>
      </c>
      <c r="FG797">
        <v>954.9</v>
      </c>
      <c r="FH797">
        <v>1087.8000000000002</v>
      </c>
      <c r="FI797">
        <v>1892.1</v>
      </c>
      <c r="FJ797">
        <v>1222.5</v>
      </c>
      <c r="FK797">
        <v>678.3</v>
      </c>
      <c r="FL797">
        <v>639.1</v>
      </c>
      <c r="FM797">
        <v>520.5</v>
      </c>
      <c r="FN797">
        <v>123.8</v>
      </c>
      <c r="FO797">
        <v>181.6</v>
      </c>
      <c r="FP797">
        <v>1090.5</v>
      </c>
      <c r="FQ797">
        <v>0</v>
      </c>
      <c r="FR797">
        <v>0</v>
      </c>
      <c r="FS797">
        <v>0</v>
      </c>
      <c r="FT797">
        <v>0</v>
      </c>
      <c r="FU797">
        <v>0</v>
      </c>
      <c r="FV797">
        <v>0</v>
      </c>
      <c r="FW797">
        <v>0</v>
      </c>
      <c r="FX797">
        <v>0</v>
      </c>
      <c r="FY797">
        <v>0</v>
      </c>
      <c r="FZ797">
        <v>0</v>
      </c>
      <c r="GA797">
        <v>0</v>
      </c>
      <c r="GB797">
        <v>0</v>
      </c>
      <c r="GC797">
        <v>0</v>
      </c>
      <c r="GD797">
        <v>0</v>
      </c>
      <c r="GE797">
        <v>0</v>
      </c>
      <c r="GF797">
        <v>198.3</v>
      </c>
      <c r="GG797">
        <v>1054.4000000000001</v>
      </c>
      <c r="GH797">
        <v>552.79999999999995</v>
      </c>
      <c r="GI797">
        <v>522</v>
      </c>
      <c r="GJ797">
        <v>0</v>
      </c>
      <c r="GK797">
        <v>0</v>
      </c>
      <c r="GL797">
        <v>0</v>
      </c>
      <c r="GM797">
        <v>0</v>
      </c>
      <c r="GN797">
        <v>791.40000000000009</v>
      </c>
      <c r="GO797">
        <v>1816.5</v>
      </c>
      <c r="GP797">
        <v>0</v>
      </c>
      <c r="GQ797">
        <v>0</v>
      </c>
      <c r="GR797">
        <v>0</v>
      </c>
      <c r="GS797">
        <v>0</v>
      </c>
      <c r="GT797">
        <v>0</v>
      </c>
      <c r="GU797">
        <v>0</v>
      </c>
      <c r="GV797">
        <v>0</v>
      </c>
      <c r="GW797">
        <v>0</v>
      </c>
      <c r="GX797">
        <v>0</v>
      </c>
      <c r="GY797">
        <v>840.3</v>
      </c>
      <c r="GZ797">
        <v>0</v>
      </c>
      <c r="HA797">
        <v>0</v>
      </c>
      <c r="HB797">
        <v>0</v>
      </c>
      <c r="HC797">
        <v>380.4</v>
      </c>
      <c r="HD797">
        <v>2175.5</v>
      </c>
      <c r="HE797">
        <v>0</v>
      </c>
      <c r="HF797">
        <v>0</v>
      </c>
      <c r="HG797">
        <v>0</v>
      </c>
      <c r="HH797">
        <v>0</v>
      </c>
      <c r="HI797">
        <v>0</v>
      </c>
      <c r="HJ797">
        <v>803.40000000000009</v>
      </c>
      <c r="HK797">
        <v>1270.9000000000001</v>
      </c>
      <c r="HL797">
        <v>835.7</v>
      </c>
      <c r="HM797">
        <v>1162.5999999999999</v>
      </c>
      <c r="HN797">
        <v>0</v>
      </c>
      <c r="HO797">
        <v>0</v>
      </c>
      <c r="HP797">
        <v>0</v>
      </c>
      <c r="HQ797">
        <v>0</v>
      </c>
      <c r="HR797">
        <v>161.19999999999999</v>
      </c>
      <c r="HS797">
        <v>0</v>
      </c>
      <c r="HT797">
        <v>2048.5</v>
      </c>
      <c r="HU797">
        <v>2627.5</v>
      </c>
      <c r="HV797">
        <v>1168.5999999999999</v>
      </c>
      <c r="HW797">
        <v>388</v>
      </c>
      <c r="HX797">
        <v>0</v>
      </c>
      <c r="HY797">
        <v>0</v>
      </c>
      <c r="HZ797">
        <v>0</v>
      </c>
      <c r="IA797">
        <v>0</v>
      </c>
      <c r="IB797">
        <v>0</v>
      </c>
      <c r="IC797">
        <v>594.4</v>
      </c>
      <c r="ID797">
        <v>427.4</v>
      </c>
      <c r="IE797">
        <v>713.3</v>
      </c>
      <c r="IF797">
        <v>626.1</v>
      </c>
      <c r="IG797">
        <v>0</v>
      </c>
      <c r="IH797">
        <v>0</v>
      </c>
      <c r="II797">
        <v>995.7</v>
      </c>
      <c r="IJ797">
        <v>1156.5999999999999</v>
      </c>
      <c r="IK797">
        <v>864.6</v>
      </c>
      <c r="IL797">
        <v>316.5</v>
      </c>
      <c r="IM797">
        <v>101.5</v>
      </c>
      <c r="IN797">
        <v>71.8</v>
      </c>
      <c r="IO797">
        <v>0</v>
      </c>
      <c r="IP797">
        <v>0</v>
      </c>
      <c r="IQ797">
        <v>0</v>
      </c>
      <c r="IR797">
        <v>0</v>
      </c>
      <c r="IS797">
        <v>0</v>
      </c>
      <c r="IT797">
        <v>0</v>
      </c>
      <c r="IU797">
        <v>0</v>
      </c>
      <c r="IV797">
        <v>0</v>
      </c>
      <c r="IW797">
        <v>68</v>
      </c>
      <c r="IX797">
        <v>404.7</v>
      </c>
      <c r="IY797">
        <v>126.6</v>
      </c>
      <c r="IZ797">
        <v>126.6</v>
      </c>
      <c r="JA797">
        <v>503.7</v>
      </c>
      <c r="JB797">
        <v>570.1</v>
      </c>
      <c r="JC797">
        <v>328.3</v>
      </c>
      <c r="JD797">
        <v>0</v>
      </c>
      <c r="JE797">
        <v>0</v>
      </c>
      <c r="JF797">
        <v>0</v>
      </c>
      <c r="JG797">
        <v>0</v>
      </c>
      <c r="JH797">
        <v>287.3</v>
      </c>
      <c r="JI797">
        <v>68.2</v>
      </c>
      <c r="JJ797">
        <v>0</v>
      </c>
      <c r="JK797">
        <v>148.6</v>
      </c>
      <c r="JL797">
        <v>0</v>
      </c>
      <c r="JM797">
        <v>0</v>
      </c>
      <c r="JN797">
        <v>204.5</v>
      </c>
      <c r="JO797">
        <v>292.10000000000002</v>
      </c>
      <c r="JP797">
        <v>670.8</v>
      </c>
      <c r="JQ797">
        <v>745.2</v>
      </c>
      <c r="JR797">
        <v>242.9</v>
      </c>
    </row>
    <row r="798" spans="1:278" ht="18" thickBot="1">
      <c r="B798" s="368" t="s">
        <v>928</v>
      </c>
      <c r="C798" s="411" t="s">
        <v>1496</v>
      </c>
      <c r="D798" s="368" t="s">
        <v>1381</v>
      </c>
      <c r="E798" s="454">
        <v>22829.8</v>
      </c>
      <c r="F798">
        <v>20193.400000000001</v>
      </c>
      <c r="G798" s="427">
        <v>0</v>
      </c>
      <c r="H798" s="155">
        <v>0</v>
      </c>
      <c r="I798">
        <v>0</v>
      </c>
      <c r="J798">
        <v>0</v>
      </c>
      <c r="K798">
        <v>0</v>
      </c>
      <c r="L798" s="4">
        <v>0</v>
      </c>
      <c r="M798" s="4">
        <v>0</v>
      </c>
      <c r="N798" s="4">
        <v>0</v>
      </c>
      <c r="O798" s="4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1476.4</v>
      </c>
      <c r="X798">
        <v>1482</v>
      </c>
      <c r="Y798">
        <v>457.20000000000005</v>
      </c>
      <c r="Z798">
        <v>0</v>
      </c>
      <c r="AA798">
        <v>0</v>
      </c>
      <c r="AB798">
        <v>0</v>
      </c>
      <c r="AC798">
        <v>0</v>
      </c>
      <c r="AD798">
        <v>3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1828.6</v>
      </c>
      <c r="AK798">
        <v>1800.7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560.70000000000005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  <c r="CF798">
        <v>0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  <c r="CN798">
        <v>0</v>
      </c>
      <c r="CO798">
        <v>0</v>
      </c>
      <c r="CP798">
        <v>3.5</v>
      </c>
      <c r="CQ798">
        <v>0</v>
      </c>
      <c r="CR798">
        <v>528</v>
      </c>
      <c r="CS798">
        <v>581.79999999999995</v>
      </c>
      <c r="CT798">
        <v>555.40000000000009</v>
      </c>
      <c r="CU798">
        <v>737.4</v>
      </c>
      <c r="CV798">
        <v>1039.0999999999999</v>
      </c>
      <c r="CW798">
        <v>1667.3</v>
      </c>
      <c r="CX798">
        <v>877.6</v>
      </c>
      <c r="CY798">
        <v>910.40000000000009</v>
      </c>
      <c r="CZ798">
        <v>0</v>
      </c>
      <c r="DA798">
        <v>0</v>
      </c>
      <c r="DB798">
        <v>0</v>
      </c>
      <c r="DC798">
        <v>0</v>
      </c>
      <c r="DD798">
        <v>0</v>
      </c>
      <c r="DE798">
        <v>0</v>
      </c>
      <c r="DF798">
        <v>0</v>
      </c>
      <c r="DG798">
        <v>0</v>
      </c>
      <c r="DH798">
        <v>0</v>
      </c>
      <c r="DI798">
        <v>0</v>
      </c>
      <c r="DJ798">
        <v>0</v>
      </c>
      <c r="DK798">
        <v>0</v>
      </c>
      <c r="DL798">
        <v>995.5</v>
      </c>
      <c r="DM798">
        <v>712.7</v>
      </c>
      <c r="DN798">
        <v>0</v>
      </c>
      <c r="DO798">
        <v>0</v>
      </c>
      <c r="DP798">
        <v>0</v>
      </c>
      <c r="DQ798">
        <v>0</v>
      </c>
      <c r="DR798">
        <v>0</v>
      </c>
      <c r="DS798">
        <v>0</v>
      </c>
      <c r="DT798">
        <v>0</v>
      </c>
      <c r="DU798">
        <v>0</v>
      </c>
      <c r="DV798">
        <v>0</v>
      </c>
      <c r="DW798">
        <v>0</v>
      </c>
      <c r="DX798">
        <v>0</v>
      </c>
      <c r="DY798">
        <v>0</v>
      </c>
      <c r="DZ798">
        <v>0</v>
      </c>
      <c r="EA798">
        <v>0</v>
      </c>
      <c r="EB798">
        <v>0</v>
      </c>
      <c r="EC798">
        <v>0</v>
      </c>
      <c r="ED798">
        <v>0</v>
      </c>
      <c r="EE798">
        <v>0</v>
      </c>
      <c r="EF798">
        <v>0</v>
      </c>
      <c r="EG798">
        <v>0</v>
      </c>
      <c r="EH798">
        <v>0</v>
      </c>
      <c r="EI798">
        <v>0</v>
      </c>
      <c r="EJ798">
        <v>0</v>
      </c>
      <c r="EK798">
        <v>0</v>
      </c>
      <c r="EL798">
        <v>0</v>
      </c>
      <c r="EM798">
        <v>0</v>
      </c>
      <c r="EN798">
        <v>27.4</v>
      </c>
      <c r="EO798">
        <v>0</v>
      </c>
      <c r="EP798">
        <v>1002.5</v>
      </c>
      <c r="EQ798">
        <v>0</v>
      </c>
      <c r="ER798">
        <v>494</v>
      </c>
      <c r="ES798">
        <v>0</v>
      </c>
      <c r="ET798">
        <v>699.3</v>
      </c>
      <c r="EU798">
        <v>435.4</v>
      </c>
      <c r="EV798">
        <v>0</v>
      </c>
      <c r="EW798">
        <v>0</v>
      </c>
      <c r="EX798">
        <v>0</v>
      </c>
      <c r="EY798">
        <v>0</v>
      </c>
      <c r="EZ798">
        <v>0</v>
      </c>
      <c r="FA798">
        <v>0</v>
      </c>
      <c r="FB798">
        <v>0</v>
      </c>
      <c r="FC798">
        <v>0</v>
      </c>
      <c r="FD798">
        <v>95.6</v>
      </c>
      <c r="FE798">
        <v>1792.1</v>
      </c>
      <c r="FF798">
        <v>1740.1999999999998</v>
      </c>
      <c r="FG798">
        <v>954.9</v>
      </c>
      <c r="FH798">
        <v>1087.8000000000002</v>
      </c>
      <c r="FI798">
        <v>1892.1</v>
      </c>
      <c r="FJ798">
        <v>1222.5</v>
      </c>
      <c r="FK798">
        <v>678.3</v>
      </c>
      <c r="FL798">
        <v>639.1</v>
      </c>
      <c r="FM798">
        <v>520.5</v>
      </c>
      <c r="FN798">
        <v>123.8</v>
      </c>
      <c r="FO798">
        <v>181.6</v>
      </c>
      <c r="FP798">
        <v>1090.5</v>
      </c>
      <c r="FQ798">
        <v>0</v>
      </c>
      <c r="FR798">
        <v>0</v>
      </c>
      <c r="FS798">
        <v>0</v>
      </c>
      <c r="FT798">
        <v>0</v>
      </c>
      <c r="FU798">
        <v>0</v>
      </c>
      <c r="FV798">
        <v>0</v>
      </c>
      <c r="FW798">
        <v>0</v>
      </c>
      <c r="FX798">
        <v>0</v>
      </c>
      <c r="FY798">
        <v>0</v>
      </c>
      <c r="FZ798">
        <v>0</v>
      </c>
      <c r="GA798">
        <v>0</v>
      </c>
      <c r="GB798">
        <v>0</v>
      </c>
      <c r="GC798">
        <v>0</v>
      </c>
      <c r="GD798">
        <v>0</v>
      </c>
      <c r="GE798">
        <v>0</v>
      </c>
      <c r="GF798">
        <v>198.3</v>
      </c>
      <c r="GG798">
        <v>1054.4000000000001</v>
      </c>
      <c r="GH798">
        <v>552.79999999999995</v>
      </c>
      <c r="GI798">
        <v>522</v>
      </c>
      <c r="GJ798">
        <v>0</v>
      </c>
      <c r="GK798">
        <v>0</v>
      </c>
      <c r="GL798">
        <v>0</v>
      </c>
      <c r="GM798">
        <v>0</v>
      </c>
      <c r="GN798">
        <v>791.40000000000009</v>
      </c>
      <c r="GO798">
        <v>1816.5</v>
      </c>
      <c r="GP798">
        <v>0</v>
      </c>
      <c r="GQ798">
        <v>0</v>
      </c>
      <c r="GR798">
        <v>0</v>
      </c>
      <c r="GS798">
        <v>0</v>
      </c>
      <c r="GT798">
        <v>0</v>
      </c>
      <c r="GU798">
        <v>0</v>
      </c>
      <c r="GV798">
        <v>0</v>
      </c>
      <c r="GW798">
        <v>0</v>
      </c>
      <c r="GX798">
        <v>0</v>
      </c>
      <c r="GY798">
        <v>840.3</v>
      </c>
      <c r="GZ798">
        <v>0</v>
      </c>
      <c r="HA798">
        <v>0</v>
      </c>
      <c r="HB798">
        <v>0</v>
      </c>
      <c r="HC798">
        <v>380.4</v>
      </c>
      <c r="HD798">
        <v>2175.5</v>
      </c>
      <c r="HE798">
        <v>0</v>
      </c>
      <c r="HF798">
        <v>0</v>
      </c>
      <c r="HG798">
        <v>0</v>
      </c>
      <c r="HH798">
        <v>0</v>
      </c>
      <c r="HI798">
        <v>0</v>
      </c>
      <c r="HJ798">
        <v>803.40000000000009</v>
      </c>
      <c r="HK798">
        <v>1270.9000000000001</v>
      </c>
      <c r="HL798">
        <v>835.7</v>
      </c>
      <c r="HM798">
        <v>1162.5999999999999</v>
      </c>
      <c r="HN798">
        <v>0</v>
      </c>
      <c r="HO798">
        <v>0</v>
      </c>
      <c r="HP798">
        <v>0</v>
      </c>
      <c r="HQ798">
        <v>0</v>
      </c>
      <c r="HR798">
        <v>161.19999999999999</v>
      </c>
      <c r="HS798">
        <v>0</v>
      </c>
      <c r="HT798">
        <v>2048.5</v>
      </c>
      <c r="HU798">
        <v>2627.5</v>
      </c>
      <c r="HV798">
        <v>1168.5999999999999</v>
      </c>
      <c r="HW798">
        <v>388</v>
      </c>
      <c r="HX798">
        <v>0</v>
      </c>
      <c r="HY798">
        <v>0</v>
      </c>
      <c r="HZ798">
        <v>0</v>
      </c>
      <c r="IA798">
        <v>0</v>
      </c>
      <c r="IB798">
        <v>0</v>
      </c>
      <c r="IC798">
        <v>594.4</v>
      </c>
      <c r="ID798">
        <v>427.4</v>
      </c>
      <c r="IE798">
        <v>713.3</v>
      </c>
      <c r="IF798">
        <v>626.1</v>
      </c>
      <c r="IG798">
        <v>0</v>
      </c>
      <c r="IH798">
        <v>0</v>
      </c>
      <c r="II798">
        <v>995.7</v>
      </c>
      <c r="IJ798">
        <v>1156.5999999999999</v>
      </c>
      <c r="IK798">
        <v>864.6</v>
      </c>
      <c r="IL798">
        <v>316.5</v>
      </c>
      <c r="IM798">
        <v>101.5</v>
      </c>
      <c r="IN798">
        <v>71.8</v>
      </c>
      <c r="IO798">
        <v>0</v>
      </c>
      <c r="IP798">
        <v>0</v>
      </c>
      <c r="IQ798">
        <v>0</v>
      </c>
      <c r="IR798">
        <v>0</v>
      </c>
      <c r="IS798">
        <v>0</v>
      </c>
      <c r="IT798">
        <v>0</v>
      </c>
      <c r="IU798">
        <v>0</v>
      </c>
      <c r="IV798">
        <v>0</v>
      </c>
      <c r="IW798">
        <v>68</v>
      </c>
      <c r="IX798">
        <v>404.7</v>
      </c>
      <c r="IY798">
        <v>126.6</v>
      </c>
      <c r="IZ798">
        <v>126.6</v>
      </c>
      <c r="JA798">
        <v>503.7</v>
      </c>
      <c r="JB798">
        <v>570.1</v>
      </c>
      <c r="JC798">
        <v>328.3</v>
      </c>
      <c r="JD798">
        <v>0</v>
      </c>
      <c r="JE798">
        <v>0</v>
      </c>
      <c r="JF798">
        <v>0</v>
      </c>
      <c r="JG798">
        <v>0</v>
      </c>
      <c r="JH798">
        <v>287.3</v>
      </c>
      <c r="JI798">
        <v>68.2</v>
      </c>
      <c r="JJ798">
        <v>0</v>
      </c>
      <c r="JK798">
        <v>148.6</v>
      </c>
      <c r="JL798">
        <v>0</v>
      </c>
      <c r="JM798">
        <v>0</v>
      </c>
      <c r="JN798">
        <v>204.5</v>
      </c>
      <c r="JO798">
        <v>292.10000000000002</v>
      </c>
      <c r="JP798">
        <v>670.8</v>
      </c>
      <c r="JQ798">
        <v>745.2</v>
      </c>
      <c r="JR798">
        <v>242.9</v>
      </c>
    </row>
    <row r="799" spans="1:278" ht="18" thickBot="1">
      <c r="B799" s="367"/>
      <c r="C799" s="375" t="s">
        <v>1497</v>
      </c>
      <c r="D799" s="375"/>
      <c r="E799" s="454">
        <v>22829.8</v>
      </c>
      <c r="F799">
        <v>20193.400000000001</v>
      </c>
      <c r="G799" s="427">
        <v>0</v>
      </c>
      <c r="H799" s="155">
        <v>0</v>
      </c>
      <c r="I799">
        <v>0</v>
      </c>
      <c r="J799">
        <v>0</v>
      </c>
      <c r="K799">
        <v>0</v>
      </c>
      <c r="L799" s="4">
        <v>0</v>
      </c>
      <c r="M799" s="4">
        <v>0</v>
      </c>
      <c r="N799" s="4">
        <v>0</v>
      </c>
      <c r="O799" s="4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1476.4</v>
      </c>
      <c r="X799">
        <v>1482</v>
      </c>
      <c r="Y799">
        <v>457.20000000000005</v>
      </c>
      <c r="Z799">
        <v>0</v>
      </c>
      <c r="AA799">
        <v>0</v>
      </c>
      <c r="AB799">
        <v>0</v>
      </c>
      <c r="AC799">
        <v>0</v>
      </c>
      <c r="AD799">
        <v>3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1828.6</v>
      </c>
      <c r="AK799">
        <v>1800.7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560.70000000000005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  <c r="CF799">
        <v>0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  <c r="CN799">
        <v>0</v>
      </c>
      <c r="CO799">
        <v>0</v>
      </c>
      <c r="CP799">
        <v>3.5</v>
      </c>
      <c r="CQ799">
        <v>0</v>
      </c>
      <c r="CR799">
        <v>528</v>
      </c>
      <c r="CS799">
        <v>581.79999999999995</v>
      </c>
      <c r="CT799">
        <v>555.40000000000009</v>
      </c>
      <c r="CU799">
        <v>737.4</v>
      </c>
      <c r="CV799">
        <v>1039.0999999999999</v>
      </c>
      <c r="CW799">
        <v>1667.3</v>
      </c>
      <c r="CX799">
        <v>877.6</v>
      </c>
      <c r="CY799">
        <v>910.40000000000009</v>
      </c>
      <c r="CZ799">
        <v>0</v>
      </c>
      <c r="DA799">
        <v>0</v>
      </c>
      <c r="DB799">
        <v>0</v>
      </c>
      <c r="DC799">
        <v>0</v>
      </c>
      <c r="DD799">
        <v>0</v>
      </c>
      <c r="DE799">
        <v>0</v>
      </c>
      <c r="DF799">
        <v>0</v>
      </c>
      <c r="DG799">
        <v>0</v>
      </c>
      <c r="DH799">
        <v>0</v>
      </c>
      <c r="DI799">
        <v>0</v>
      </c>
      <c r="DJ799">
        <v>0</v>
      </c>
      <c r="DK799">
        <v>0</v>
      </c>
      <c r="DL799">
        <v>995.5</v>
      </c>
      <c r="DM799">
        <v>712.7</v>
      </c>
      <c r="DN799">
        <v>0</v>
      </c>
      <c r="DO799">
        <v>0</v>
      </c>
      <c r="DP799">
        <v>0</v>
      </c>
      <c r="DQ799">
        <v>0</v>
      </c>
      <c r="DR799">
        <v>0</v>
      </c>
      <c r="DS799">
        <v>0</v>
      </c>
      <c r="DT799">
        <v>0</v>
      </c>
      <c r="DU799">
        <v>0</v>
      </c>
      <c r="DV799">
        <v>0</v>
      </c>
      <c r="DW799">
        <v>0</v>
      </c>
      <c r="DX799">
        <v>0</v>
      </c>
      <c r="DY799">
        <v>0</v>
      </c>
      <c r="DZ799">
        <v>0</v>
      </c>
      <c r="EA799">
        <v>0</v>
      </c>
      <c r="EB799">
        <v>0</v>
      </c>
      <c r="EC799">
        <v>0</v>
      </c>
      <c r="ED799">
        <v>0</v>
      </c>
      <c r="EE799">
        <v>0</v>
      </c>
      <c r="EF799">
        <v>0</v>
      </c>
      <c r="EG799">
        <v>0</v>
      </c>
      <c r="EH799">
        <v>0</v>
      </c>
      <c r="EI799">
        <v>0</v>
      </c>
      <c r="EJ799">
        <v>0</v>
      </c>
      <c r="EK799">
        <v>0</v>
      </c>
      <c r="EL799">
        <v>0</v>
      </c>
      <c r="EM799">
        <v>0</v>
      </c>
      <c r="EN799">
        <v>27.4</v>
      </c>
      <c r="EO799">
        <v>0</v>
      </c>
      <c r="EP799">
        <v>1002.5</v>
      </c>
      <c r="EQ799">
        <v>0</v>
      </c>
      <c r="ER799">
        <v>494</v>
      </c>
      <c r="ES799">
        <v>0</v>
      </c>
      <c r="ET799">
        <v>699.3</v>
      </c>
      <c r="EU799">
        <v>435.4</v>
      </c>
      <c r="EV799">
        <v>0</v>
      </c>
      <c r="EW799">
        <v>0</v>
      </c>
      <c r="EX799">
        <v>0</v>
      </c>
      <c r="EY799">
        <v>0</v>
      </c>
      <c r="EZ799">
        <v>0</v>
      </c>
      <c r="FA799">
        <v>0</v>
      </c>
      <c r="FB799">
        <v>0</v>
      </c>
      <c r="FC799">
        <v>0</v>
      </c>
      <c r="FD799">
        <v>95.6</v>
      </c>
      <c r="FE799">
        <v>1792.1</v>
      </c>
      <c r="FF799">
        <v>1740.1999999999998</v>
      </c>
      <c r="FG799">
        <v>954.9</v>
      </c>
      <c r="FH799">
        <v>1087.8000000000002</v>
      </c>
      <c r="FI799">
        <v>1892.1</v>
      </c>
      <c r="FJ799">
        <v>1222.5</v>
      </c>
      <c r="FK799">
        <v>678.3</v>
      </c>
      <c r="FL799">
        <v>639.1</v>
      </c>
      <c r="FM799">
        <v>520.5</v>
      </c>
      <c r="FN799">
        <v>123.8</v>
      </c>
      <c r="FO799">
        <v>181.6</v>
      </c>
      <c r="FP799">
        <v>1090.5</v>
      </c>
      <c r="FQ799">
        <v>0</v>
      </c>
      <c r="FR799">
        <v>0</v>
      </c>
      <c r="FS799">
        <v>0</v>
      </c>
      <c r="FT799">
        <v>0</v>
      </c>
      <c r="FU799">
        <v>0</v>
      </c>
      <c r="FV799">
        <v>0</v>
      </c>
      <c r="FW799">
        <v>0</v>
      </c>
      <c r="FX799">
        <v>0</v>
      </c>
      <c r="FY799">
        <v>0</v>
      </c>
      <c r="FZ799">
        <v>0</v>
      </c>
      <c r="GA799">
        <v>0</v>
      </c>
      <c r="GB799">
        <v>0</v>
      </c>
      <c r="GC799">
        <v>0</v>
      </c>
      <c r="GD799">
        <v>0</v>
      </c>
      <c r="GE799">
        <v>0</v>
      </c>
      <c r="GF799">
        <v>198.3</v>
      </c>
      <c r="GG799">
        <v>1054.4000000000001</v>
      </c>
      <c r="GH799">
        <v>552.79999999999995</v>
      </c>
      <c r="GI799">
        <v>522</v>
      </c>
      <c r="GJ799">
        <v>0</v>
      </c>
      <c r="GK799">
        <v>0</v>
      </c>
      <c r="GL799">
        <v>0</v>
      </c>
      <c r="GM799">
        <v>0</v>
      </c>
      <c r="GN799">
        <v>791.40000000000009</v>
      </c>
      <c r="GO799">
        <v>1816.5</v>
      </c>
      <c r="GP799">
        <v>0</v>
      </c>
      <c r="GQ799">
        <v>0</v>
      </c>
      <c r="GR799">
        <v>0</v>
      </c>
      <c r="GS799">
        <v>0</v>
      </c>
      <c r="GT799">
        <v>0</v>
      </c>
      <c r="GU799">
        <v>0</v>
      </c>
      <c r="GV799">
        <v>0</v>
      </c>
      <c r="GW799">
        <v>0</v>
      </c>
      <c r="GX799">
        <v>0</v>
      </c>
      <c r="GY799">
        <v>840.3</v>
      </c>
      <c r="GZ799">
        <v>0</v>
      </c>
      <c r="HA799">
        <v>0</v>
      </c>
      <c r="HB799">
        <v>0</v>
      </c>
      <c r="HC799">
        <v>380.4</v>
      </c>
      <c r="HD799">
        <v>2175.5</v>
      </c>
      <c r="HE799">
        <v>0</v>
      </c>
      <c r="HF799">
        <v>0</v>
      </c>
      <c r="HG799">
        <v>0</v>
      </c>
      <c r="HH799">
        <v>0</v>
      </c>
      <c r="HI799">
        <v>0</v>
      </c>
      <c r="HJ799">
        <v>803.40000000000009</v>
      </c>
      <c r="HK799">
        <v>1270.9000000000001</v>
      </c>
      <c r="HL799">
        <v>835.7</v>
      </c>
      <c r="HM799">
        <v>1162.5999999999999</v>
      </c>
      <c r="HN799">
        <v>0</v>
      </c>
      <c r="HO799">
        <v>0</v>
      </c>
      <c r="HP799">
        <v>0</v>
      </c>
      <c r="HQ799">
        <v>0</v>
      </c>
      <c r="HR799">
        <v>161.19999999999999</v>
      </c>
      <c r="HS799">
        <v>0</v>
      </c>
      <c r="HT799">
        <v>2048.5</v>
      </c>
      <c r="HU799">
        <v>2627.5</v>
      </c>
      <c r="HV799">
        <v>1168.5999999999999</v>
      </c>
      <c r="HW799">
        <v>388</v>
      </c>
      <c r="HX799">
        <v>0</v>
      </c>
      <c r="HY799">
        <v>0</v>
      </c>
      <c r="HZ799">
        <v>0</v>
      </c>
      <c r="IA799">
        <v>0</v>
      </c>
      <c r="IB799">
        <v>0</v>
      </c>
      <c r="IC799">
        <v>594.4</v>
      </c>
      <c r="ID799">
        <v>427.4</v>
      </c>
      <c r="IE799">
        <v>713.3</v>
      </c>
      <c r="IF799">
        <v>626.1</v>
      </c>
      <c r="IG799">
        <v>0</v>
      </c>
      <c r="IH799">
        <v>0</v>
      </c>
      <c r="II799">
        <v>995.7</v>
      </c>
      <c r="IJ799">
        <v>1156.5999999999999</v>
      </c>
      <c r="IK799">
        <v>864.6</v>
      </c>
      <c r="IL799">
        <v>316.5</v>
      </c>
      <c r="IM799">
        <v>101.5</v>
      </c>
      <c r="IN799">
        <v>71.8</v>
      </c>
      <c r="IO799">
        <v>0</v>
      </c>
      <c r="IP799">
        <v>0</v>
      </c>
      <c r="IQ799">
        <v>0</v>
      </c>
      <c r="IR799">
        <v>0</v>
      </c>
      <c r="IS799">
        <v>0</v>
      </c>
      <c r="IT799">
        <v>0</v>
      </c>
      <c r="IU799">
        <v>0</v>
      </c>
      <c r="IV799">
        <v>0</v>
      </c>
      <c r="IW799">
        <v>68</v>
      </c>
      <c r="IX799">
        <v>404.7</v>
      </c>
      <c r="IY799">
        <v>126.6</v>
      </c>
      <c r="IZ799">
        <v>126.6</v>
      </c>
      <c r="JA799">
        <v>503.7</v>
      </c>
      <c r="JB799">
        <v>570.1</v>
      </c>
      <c r="JC799">
        <v>328.3</v>
      </c>
      <c r="JD799">
        <v>0</v>
      </c>
      <c r="JE799">
        <v>0</v>
      </c>
      <c r="JF799">
        <v>0</v>
      </c>
      <c r="JG799">
        <v>0</v>
      </c>
      <c r="JH799">
        <v>287.3</v>
      </c>
      <c r="JI799">
        <v>68.2</v>
      </c>
      <c r="JJ799">
        <v>0</v>
      </c>
      <c r="JK799">
        <v>148.6</v>
      </c>
      <c r="JL799">
        <v>0</v>
      </c>
      <c r="JM799">
        <v>0</v>
      </c>
      <c r="JN799">
        <v>204.5</v>
      </c>
      <c r="JO799">
        <v>292.10000000000002</v>
      </c>
      <c r="JP799">
        <v>670.8</v>
      </c>
      <c r="JQ799">
        <v>745.2</v>
      </c>
      <c r="JR799">
        <v>242.9</v>
      </c>
    </row>
    <row r="800" spans="1:278" ht="18" thickBot="1">
      <c r="B800" s="368"/>
      <c r="C800" s="376" t="s">
        <v>1498</v>
      </c>
      <c r="D800" s="376"/>
      <c r="E800" s="454">
        <v>22829.8</v>
      </c>
      <c r="F800">
        <v>20193.400000000001</v>
      </c>
      <c r="G800" s="427">
        <v>0</v>
      </c>
      <c r="H800" s="155">
        <v>0</v>
      </c>
      <c r="I800">
        <v>0</v>
      </c>
      <c r="J800">
        <v>0</v>
      </c>
      <c r="K800">
        <v>0</v>
      </c>
      <c r="L800" s="4">
        <v>0</v>
      </c>
      <c r="M800" s="4">
        <v>0</v>
      </c>
      <c r="N800" s="4">
        <v>0</v>
      </c>
      <c r="O800" s="4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1476.4</v>
      </c>
      <c r="X800">
        <v>1482</v>
      </c>
      <c r="Y800">
        <v>457.20000000000005</v>
      </c>
      <c r="Z800">
        <v>0</v>
      </c>
      <c r="AA800">
        <v>0</v>
      </c>
      <c r="AB800">
        <v>0</v>
      </c>
      <c r="AC800">
        <v>0</v>
      </c>
      <c r="AD800">
        <v>3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1828.6</v>
      </c>
      <c r="AK800">
        <v>1800.7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560.70000000000005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0</v>
      </c>
      <c r="BN800">
        <v>0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  <c r="CF800">
        <v>0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  <c r="CN800">
        <v>0</v>
      </c>
      <c r="CO800">
        <v>0</v>
      </c>
      <c r="CP800">
        <v>3.5</v>
      </c>
      <c r="CQ800">
        <v>0</v>
      </c>
      <c r="CR800">
        <v>528</v>
      </c>
      <c r="CS800">
        <v>581.79999999999995</v>
      </c>
      <c r="CT800">
        <v>555.40000000000009</v>
      </c>
      <c r="CU800">
        <v>737.4</v>
      </c>
      <c r="CV800">
        <v>1039.0999999999999</v>
      </c>
      <c r="CW800">
        <v>1667.3</v>
      </c>
      <c r="CX800">
        <v>877.6</v>
      </c>
      <c r="CY800">
        <v>910.40000000000009</v>
      </c>
      <c r="CZ800">
        <v>0</v>
      </c>
      <c r="DA800">
        <v>0</v>
      </c>
      <c r="DB800">
        <v>0</v>
      </c>
      <c r="DC800">
        <v>0</v>
      </c>
      <c r="DD800">
        <v>0</v>
      </c>
      <c r="DE800">
        <v>0</v>
      </c>
      <c r="DF800">
        <v>0</v>
      </c>
      <c r="DG800">
        <v>0</v>
      </c>
      <c r="DH800">
        <v>0</v>
      </c>
      <c r="DI800">
        <v>0</v>
      </c>
      <c r="DJ800">
        <v>0</v>
      </c>
      <c r="DK800">
        <v>0</v>
      </c>
      <c r="DL800">
        <v>995.5</v>
      </c>
      <c r="DM800">
        <v>712.7</v>
      </c>
      <c r="DN800">
        <v>0</v>
      </c>
      <c r="DO800">
        <v>0</v>
      </c>
      <c r="DP800">
        <v>0</v>
      </c>
      <c r="DQ800">
        <v>0</v>
      </c>
      <c r="DR800">
        <v>0</v>
      </c>
      <c r="DS800">
        <v>0</v>
      </c>
      <c r="DT800">
        <v>0</v>
      </c>
      <c r="DU800">
        <v>0</v>
      </c>
      <c r="DV800">
        <v>0</v>
      </c>
      <c r="DW800">
        <v>0</v>
      </c>
      <c r="DX800">
        <v>0</v>
      </c>
      <c r="DY800">
        <v>0</v>
      </c>
      <c r="DZ800">
        <v>0</v>
      </c>
      <c r="EA800">
        <v>0</v>
      </c>
      <c r="EB800">
        <v>0</v>
      </c>
      <c r="EC800">
        <v>0</v>
      </c>
      <c r="ED800">
        <v>0</v>
      </c>
      <c r="EE800">
        <v>0</v>
      </c>
      <c r="EF800">
        <v>0</v>
      </c>
      <c r="EG800">
        <v>0</v>
      </c>
      <c r="EH800">
        <v>0</v>
      </c>
      <c r="EI800">
        <v>0</v>
      </c>
      <c r="EJ800">
        <v>0</v>
      </c>
      <c r="EK800">
        <v>0</v>
      </c>
      <c r="EL800">
        <v>0</v>
      </c>
      <c r="EM800">
        <v>0</v>
      </c>
      <c r="EN800">
        <v>27.4</v>
      </c>
      <c r="EO800">
        <v>0</v>
      </c>
      <c r="EP800">
        <v>1002.5</v>
      </c>
      <c r="EQ800">
        <v>0</v>
      </c>
      <c r="ER800">
        <v>494</v>
      </c>
      <c r="ES800">
        <v>0</v>
      </c>
      <c r="ET800">
        <v>699.3</v>
      </c>
      <c r="EU800">
        <v>435.4</v>
      </c>
      <c r="EV800">
        <v>0</v>
      </c>
      <c r="EW800">
        <v>0</v>
      </c>
      <c r="EX800">
        <v>0</v>
      </c>
      <c r="EY800">
        <v>0</v>
      </c>
      <c r="EZ800">
        <v>0</v>
      </c>
      <c r="FA800">
        <v>0</v>
      </c>
      <c r="FB800">
        <v>0</v>
      </c>
      <c r="FC800">
        <v>0</v>
      </c>
      <c r="FD800">
        <v>95.6</v>
      </c>
      <c r="FE800">
        <v>1792.1</v>
      </c>
      <c r="FF800">
        <v>1740.1999999999998</v>
      </c>
      <c r="FG800">
        <v>954.9</v>
      </c>
      <c r="FH800">
        <v>1087.8000000000002</v>
      </c>
      <c r="FI800">
        <v>1892.1</v>
      </c>
      <c r="FJ800">
        <v>1222.5</v>
      </c>
      <c r="FK800">
        <v>678.3</v>
      </c>
      <c r="FL800">
        <v>639.1</v>
      </c>
      <c r="FM800">
        <v>520.5</v>
      </c>
      <c r="FN800">
        <v>123.8</v>
      </c>
      <c r="FO800">
        <v>181.6</v>
      </c>
      <c r="FP800">
        <v>1090.5</v>
      </c>
      <c r="FQ800">
        <v>0</v>
      </c>
      <c r="FR800">
        <v>0</v>
      </c>
      <c r="FS800">
        <v>0</v>
      </c>
      <c r="FT800">
        <v>0</v>
      </c>
      <c r="FU800">
        <v>0</v>
      </c>
      <c r="FV800">
        <v>0</v>
      </c>
      <c r="FW800">
        <v>0</v>
      </c>
      <c r="FX800">
        <v>0</v>
      </c>
      <c r="FY800">
        <v>0</v>
      </c>
      <c r="FZ800">
        <v>0</v>
      </c>
      <c r="GA800">
        <v>0</v>
      </c>
      <c r="GB800">
        <v>0</v>
      </c>
      <c r="GC800">
        <v>0</v>
      </c>
      <c r="GD800">
        <v>0</v>
      </c>
      <c r="GE800">
        <v>0</v>
      </c>
      <c r="GF800">
        <v>198.3</v>
      </c>
      <c r="GG800">
        <v>1054.4000000000001</v>
      </c>
      <c r="GH800">
        <v>552.79999999999995</v>
      </c>
      <c r="GI800">
        <v>522</v>
      </c>
      <c r="GJ800">
        <v>0</v>
      </c>
      <c r="GK800">
        <v>0</v>
      </c>
      <c r="GL800">
        <v>0</v>
      </c>
      <c r="GM800">
        <v>0</v>
      </c>
      <c r="GN800">
        <v>791.40000000000009</v>
      </c>
      <c r="GO800">
        <v>1816.5</v>
      </c>
      <c r="GP800">
        <v>0</v>
      </c>
      <c r="GQ800">
        <v>0</v>
      </c>
      <c r="GR800">
        <v>0</v>
      </c>
      <c r="GS800">
        <v>0</v>
      </c>
      <c r="GT800">
        <v>0</v>
      </c>
      <c r="GU800">
        <v>0</v>
      </c>
      <c r="GV800">
        <v>0</v>
      </c>
      <c r="GW800">
        <v>0</v>
      </c>
      <c r="GX800">
        <v>0</v>
      </c>
      <c r="GY800">
        <v>840.3</v>
      </c>
      <c r="GZ800">
        <v>0</v>
      </c>
      <c r="HA800">
        <v>0</v>
      </c>
      <c r="HB800">
        <v>0</v>
      </c>
      <c r="HC800">
        <v>380.4</v>
      </c>
      <c r="HD800">
        <v>2175.5</v>
      </c>
      <c r="HE800">
        <v>0</v>
      </c>
      <c r="HF800">
        <v>0</v>
      </c>
      <c r="HG800">
        <v>0</v>
      </c>
      <c r="HH800">
        <v>0</v>
      </c>
      <c r="HI800">
        <v>0</v>
      </c>
      <c r="HJ800">
        <v>803.40000000000009</v>
      </c>
      <c r="HK800">
        <v>1270.9000000000001</v>
      </c>
      <c r="HL800">
        <v>835.7</v>
      </c>
      <c r="HM800">
        <v>1162.5999999999999</v>
      </c>
      <c r="HN800">
        <v>0</v>
      </c>
      <c r="HO800">
        <v>0</v>
      </c>
      <c r="HP800">
        <v>0</v>
      </c>
      <c r="HQ800">
        <v>0</v>
      </c>
      <c r="HR800">
        <v>161.19999999999999</v>
      </c>
      <c r="HS800">
        <v>0</v>
      </c>
      <c r="HT800">
        <v>2048.5</v>
      </c>
      <c r="HU800">
        <v>2627.5</v>
      </c>
      <c r="HV800">
        <v>1168.5999999999999</v>
      </c>
      <c r="HW800">
        <v>388</v>
      </c>
      <c r="HX800">
        <v>0</v>
      </c>
      <c r="HY800">
        <v>0</v>
      </c>
      <c r="HZ800">
        <v>0</v>
      </c>
      <c r="IA800">
        <v>0</v>
      </c>
      <c r="IB800">
        <v>0</v>
      </c>
      <c r="IC800">
        <v>594.4</v>
      </c>
      <c r="ID800">
        <v>427.4</v>
      </c>
      <c r="IE800">
        <v>713.3</v>
      </c>
      <c r="IF800">
        <v>626.1</v>
      </c>
      <c r="IG800">
        <v>0</v>
      </c>
      <c r="IH800">
        <v>0</v>
      </c>
      <c r="II800">
        <v>995.7</v>
      </c>
      <c r="IJ800">
        <v>1156.5999999999999</v>
      </c>
      <c r="IK800">
        <v>864.6</v>
      </c>
      <c r="IL800">
        <v>316.5</v>
      </c>
      <c r="IM800">
        <v>101.5</v>
      </c>
      <c r="IN800">
        <v>71.8</v>
      </c>
      <c r="IO800">
        <v>0</v>
      </c>
      <c r="IP800">
        <v>0</v>
      </c>
      <c r="IQ800">
        <v>0</v>
      </c>
      <c r="IR800">
        <v>0</v>
      </c>
      <c r="IS800">
        <v>0</v>
      </c>
      <c r="IT800">
        <v>0</v>
      </c>
      <c r="IU800">
        <v>0</v>
      </c>
      <c r="IV800">
        <v>0</v>
      </c>
      <c r="IW800">
        <v>68</v>
      </c>
      <c r="IX800">
        <v>404.7</v>
      </c>
      <c r="IY800">
        <v>126.6</v>
      </c>
      <c r="IZ800">
        <v>126.6</v>
      </c>
      <c r="JA800">
        <v>503.7</v>
      </c>
      <c r="JB800">
        <v>570.1</v>
      </c>
      <c r="JC800">
        <v>328.3</v>
      </c>
      <c r="JD800">
        <v>0</v>
      </c>
      <c r="JE800">
        <v>0</v>
      </c>
      <c r="JF800">
        <v>0</v>
      </c>
      <c r="JG800">
        <v>0</v>
      </c>
      <c r="JH800">
        <v>287.3</v>
      </c>
      <c r="JI800">
        <v>68.2</v>
      </c>
      <c r="JJ800">
        <v>0</v>
      </c>
      <c r="JK800">
        <v>148.6</v>
      </c>
      <c r="JL800">
        <v>0</v>
      </c>
      <c r="JM800">
        <v>0</v>
      </c>
      <c r="JN800">
        <v>204.5</v>
      </c>
      <c r="JO800">
        <v>292.10000000000002</v>
      </c>
      <c r="JP800">
        <v>670.8</v>
      </c>
      <c r="JQ800">
        <v>745.2</v>
      </c>
      <c r="JR800">
        <v>242.9</v>
      </c>
    </row>
    <row r="801" spans="2:278" ht="18" thickBot="1">
      <c r="B801" s="368"/>
      <c r="C801" s="376" t="s">
        <v>1499</v>
      </c>
      <c r="D801" s="376"/>
      <c r="E801" s="454">
        <v>22829.8</v>
      </c>
      <c r="F801">
        <v>20193.400000000001</v>
      </c>
      <c r="G801" s="427">
        <v>0</v>
      </c>
      <c r="H801" s="155">
        <v>0</v>
      </c>
      <c r="I801">
        <v>0</v>
      </c>
      <c r="J801">
        <v>0</v>
      </c>
      <c r="K801">
        <v>0</v>
      </c>
      <c r="L801" s="4">
        <v>0</v>
      </c>
      <c r="M801" s="4">
        <v>0</v>
      </c>
      <c r="N801" s="4">
        <v>0</v>
      </c>
      <c r="O801" s="4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1476.4</v>
      </c>
      <c r="X801">
        <v>1482</v>
      </c>
      <c r="Y801">
        <v>457.20000000000005</v>
      </c>
      <c r="Z801">
        <v>0</v>
      </c>
      <c r="AA801">
        <v>0</v>
      </c>
      <c r="AB801">
        <v>0</v>
      </c>
      <c r="AC801">
        <v>0</v>
      </c>
      <c r="AD801">
        <v>3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1828.6</v>
      </c>
      <c r="AK801">
        <v>1800.7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560.70000000000005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  <c r="CF801">
        <v>0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  <c r="CN801">
        <v>0</v>
      </c>
      <c r="CO801">
        <v>0</v>
      </c>
      <c r="CP801">
        <v>3.5</v>
      </c>
      <c r="CQ801">
        <v>0</v>
      </c>
      <c r="CR801">
        <v>528</v>
      </c>
      <c r="CS801">
        <v>581.79999999999995</v>
      </c>
      <c r="CT801">
        <v>555.40000000000009</v>
      </c>
      <c r="CU801">
        <v>737.4</v>
      </c>
      <c r="CV801">
        <v>1039.0999999999999</v>
      </c>
      <c r="CW801">
        <v>1667.3</v>
      </c>
      <c r="CX801">
        <v>877.6</v>
      </c>
      <c r="CY801">
        <v>910.40000000000009</v>
      </c>
      <c r="CZ801">
        <v>0</v>
      </c>
      <c r="DA801">
        <v>0</v>
      </c>
      <c r="DB801">
        <v>0</v>
      </c>
      <c r="DC801">
        <v>0</v>
      </c>
      <c r="DD801">
        <v>0</v>
      </c>
      <c r="DE801">
        <v>0</v>
      </c>
      <c r="DF801">
        <v>0</v>
      </c>
      <c r="DG801">
        <v>0</v>
      </c>
      <c r="DH801">
        <v>0</v>
      </c>
      <c r="DI801">
        <v>0</v>
      </c>
      <c r="DJ801">
        <v>0</v>
      </c>
      <c r="DK801">
        <v>0</v>
      </c>
      <c r="DL801">
        <v>995.5</v>
      </c>
      <c r="DM801">
        <v>712.7</v>
      </c>
      <c r="DN801">
        <v>0</v>
      </c>
      <c r="DO801">
        <v>0</v>
      </c>
      <c r="DP801">
        <v>0</v>
      </c>
      <c r="DQ801">
        <v>0</v>
      </c>
      <c r="DR801">
        <v>0</v>
      </c>
      <c r="DS801">
        <v>0</v>
      </c>
      <c r="DT801">
        <v>0</v>
      </c>
      <c r="DU801">
        <v>0</v>
      </c>
      <c r="DV801">
        <v>0</v>
      </c>
      <c r="DW801">
        <v>0</v>
      </c>
      <c r="DX801">
        <v>0</v>
      </c>
      <c r="DY801">
        <v>0</v>
      </c>
      <c r="DZ801">
        <v>0</v>
      </c>
      <c r="EA801">
        <v>0</v>
      </c>
      <c r="EB801">
        <v>0</v>
      </c>
      <c r="EC801">
        <v>0</v>
      </c>
      <c r="ED801">
        <v>0</v>
      </c>
      <c r="EE801">
        <v>0</v>
      </c>
      <c r="EF801">
        <v>0</v>
      </c>
      <c r="EG801">
        <v>0</v>
      </c>
      <c r="EH801">
        <v>0</v>
      </c>
      <c r="EI801">
        <v>0</v>
      </c>
      <c r="EJ801">
        <v>0</v>
      </c>
      <c r="EK801">
        <v>0</v>
      </c>
      <c r="EL801">
        <v>0</v>
      </c>
      <c r="EM801">
        <v>0</v>
      </c>
      <c r="EN801">
        <v>27.4</v>
      </c>
      <c r="EO801">
        <v>0</v>
      </c>
      <c r="EP801">
        <v>1002.5</v>
      </c>
      <c r="EQ801">
        <v>0</v>
      </c>
      <c r="ER801">
        <v>494</v>
      </c>
      <c r="ES801">
        <v>0</v>
      </c>
      <c r="ET801">
        <v>699.3</v>
      </c>
      <c r="EU801">
        <v>435.4</v>
      </c>
      <c r="EV801">
        <v>0</v>
      </c>
      <c r="EW801">
        <v>0</v>
      </c>
      <c r="EX801">
        <v>0</v>
      </c>
      <c r="EY801">
        <v>0</v>
      </c>
      <c r="EZ801">
        <v>0</v>
      </c>
      <c r="FA801">
        <v>0</v>
      </c>
      <c r="FB801">
        <v>0</v>
      </c>
      <c r="FC801">
        <v>0</v>
      </c>
      <c r="FD801">
        <v>95.6</v>
      </c>
      <c r="FE801">
        <v>1792.1</v>
      </c>
      <c r="FF801">
        <v>1740.1999999999998</v>
      </c>
      <c r="FG801">
        <v>954.9</v>
      </c>
      <c r="FH801">
        <v>1087.8000000000002</v>
      </c>
      <c r="FI801">
        <v>1892.1</v>
      </c>
      <c r="FJ801">
        <v>1222.5</v>
      </c>
      <c r="FK801">
        <v>678.3</v>
      </c>
      <c r="FL801">
        <v>639.1</v>
      </c>
      <c r="FM801">
        <v>520.5</v>
      </c>
      <c r="FN801">
        <v>123.8</v>
      </c>
      <c r="FO801">
        <v>181.6</v>
      </c>
      <c r="FP801">
        <v>1090.5</v>
      </c>
      <c r="FQ801">
        <v>0</v>
      </c>
      <c r="FR801">
        <v>0</v>
      </c>
      <c r="FS801">
        <v>0</v>
      </c>
      <c r="FT801">
        <v>0</v>
      </c>
      <c r="FU801">
        <v>0</v>
      </c>
      <c r="FV801">
        <v>0</v>
      </c>
      <c r="FW801">
        <v>0</v>
      </c>
      <c r="FX801">
        <v>0</v>
      </c>
      <c r="FY801">
        <v>0</v>
      </c>
      <c r="FZ801">
        <v>0</v>
      </c>
      <c r="GA801">
        <v>0</v>
      </c>
      <c r="GB801">
        <v>0</v>
      </c>
      <c r="GC801">
        <v>0</v>
      </c>
      <c r="GD801">
        <v>0</v>
      </c>
      <c r="GE801">
        <v>0</v>
      </c>
      <c r="GF801">
        <v>198.3</v>
      </c>
      <c r="GG801">
        <v>1054.4000000000001</v>
      </c>
      <c r="GH801">
        <v>552.79999999999995</v>
      </c>
      <c r="GI801">
        <v>522</v>
      </c>
      <c r="GJ801">
        <v>0</v>
      </c>
      <c r="GK801">
        <v>0</v>
      </c>
      <c r="GL801">
        <v>0</v>
      </c>
      <c r="GM801">
        <v>0</v>
      </c>
      <c r="GN801">
        <v>791.40000000000009</v>
      </c>
      <c r="GO801">
        <v>1816.5</v>
      </c>
      <c r="GP801">
        <v>0</v>
      </c>
      <c r="GQ801">
        <v>0</v>
      </c>
      <c r="GR801">
        <v>0</v>
      </c>
      <c r="GS801">
        <v>0</v>
      </c>
      <c r="GT801">
        <v>0</v>
      </c>
      <c r="GU801">
        <v>0</v>
      </c>
      <c r="GV801">
        <v>0</v>
      </c>
      <c r="GW801">
        <v>0</v>
      </c>
      <c r="GX801">
        <v>0</v>
      </c>
      <c r="GY801">
        <v>840.3</v>
      </c>
      <c r="GZ801">
        <v>0</v>
      </c>
      <c r="HA801">
        <v>0</v>
      </c>
      <c r="HB801">
        <v>0</v>
      </c>
      <c r="HC801">
        <v>380.4</v>
      </c>
      <c r="HD801">
        <v>2175.5</v>
      </c>
      <c r="HE801">
        <v>0</v>
      </c>
      <c r="HF801">
        <v>0</v>
      </c>
      <c r="HG801">
        <v>0</v>
      </c>
      <c r="HH801">
        <v>0</v>
      </c>
      <c r="HI801">
        <v>0</v>
      </c>
      <c r="HJ801">
        <v>803.40000000000009</v>
      </c>
      <c r="HK801">
        <v>1270.9000000000001</v>
      </c>
      <c r="HL801">
        <v>835.7</v>
      </c>
      <c r="HM801">
        <v>1162.5999999999999</v>
      </c>
      <c r="HN801">
        <v>0</v>
      </c>
      <c r="HO801">
        <v>0</v>
      </c>
      <c r="HP801">
        <v>0</v>
      </c>
      <c r="HQ801">
        <v>0</v>
      </c>
      <c r="HR801">
        <v>161.19999999999999</v>
      </c>
      <c r="HS801">
        <v>0</v>
      </c>
      <c r="HT801">
        <v>2048.5</v>
      </c>
      <c r="HU801">
        <v>2627.5</v>
      </c>
      <c r="HV801">
        <v>1168.5999999999999</v>
      </c>
      <c r="HW801">
        <v>388</v>
      </c>
      <c r="HX801">
        <v>0</v>
      </c>
      <c r="HY801">
        <v>0</v>
      </c>
      <c r="HZ801">
        <v>0</v>
      </c>
      <c r="IA801">
        <v>0</v>
      </c>
      <c r="IB801">
        <v>0</v>
      </c>
      <c r="IC801">
        <v>594.4</v>
      </c>
      <c r="ID801">
        <v>427.4</v>
      </c>
      <c r="IE801">
        <v>713.3</v>
      </c>
      <c r="IF801">
        <v>626.1</v>
      </c>
      <c r="IG801">
        <v>0</v>
      </c>
      <c r="IH801">
        <v>0</v>
      </c>
      <c r="II801">
        <v>995.7</v>
      </c>
      <c r="IJ801">
        <v>1156.5999999999999</v>
      </c>
      <c r="IK801">
        <v>864.6</v>
      </c>
      <c r="IL801">
        <v>316.5</v>
      </c>
      <c r="IM801">
        <v>101.5</v>
      </c>
      <c r="IN801">
        <v>71.8</v>
      </c>
      <c r="IO801">
        <v>0</v>
      </c>
      <c r="IP801">
        <v>0</v>
      </c>
      <c r="IQ801">
        <v>0</v>
      </c>
      <c r="IR801">
        <v>0</v>
      </c>
      <c r="IS801">
        <v>0</v>
      </c>
      <c r="IT801">
        <v>0</v>
      </c>
      <c r="IU801">
        <v>0</v>
      </c>
      <c r="IV801">
        <v>0</v>
      </c>
      <c r="IW801">
        <v>68</v>
      </c>
      <c r="IX801">
        <v>404.7</v>
      </c>
      <c r="IY801">
        <v>126.6</v>
      </c>
      <c r="IZ801">
        <v>126.6</v>
      </c>
      <c r="JA801">
        <v>503.7</v>
      </c>
      <c r="JB801">
        <v>570.1</v>
      </c>
      <c r="JC801">
        <v>328.3</v>
      </c>
      <c r="JD801">
        <v>0</v>
      </c>
      <c r="JE801">
        <v>0</v>
      </c>
      <c r="JF801">
        <v>0</v>
      </c>
      <c r="JG801">
        <v>0</v>
      </c>
      <c r="JH801">
        <v>287.3</v>
      </c>
      <c r="JI801">
        <v>68.2</v>
      </c>
      <c r="JJ801">
        <v>0</v>
      </c>
      <c r="JK801">
        <v>148.6</v>
      </c>
      <c r="JL801">
        <v>0</v>
      </c>
      <c r="JM801">
        <v>0</v>
      </c>
      <c r="JN801">
        <v>204.5</v>
      </c>
      <c r="JO801">
        <v>292.10000000000002</v>
      </c>
      <c r="JP801">
        <v>670.8</v>
      </c>
      <c r="JQ801">
        <v>745.2</v>
      </c>
      <c r="JR801">
        <v>242.9</v>
      </c>
    </row>
    <row r="802" spans="2:278" ht="18" thickBot="1">
      <c r="B802" s="368" t="s">
        <v>933</v>
      </c>
      <c r="C802" s="412" t="s">
        <v>1500</v>
      </c>
      <c r="D802" s="377" t="s">
        <v>1382</v>
      </c>
      <c r="E802" s="454">
        <v>22829.8</v>
      </c>
      <c r="F802">
        <v>20193.400000000001</v>
      </c>
      <c r="G802" s="427">
        <v>0</v>
      </c>
      <c r="H802" s="155">
        <v>0</v>
      </c>
      <c r="I802">
        <v>0</v>
      </c>
      <c r="J802">
        <v>0</v>
      </c>
      <c r="K802">
        <v>0</v>
      </c>
      <c r="L802" s="4">
        <v>0</v>
      </c>
      <c r="M802" s="4">
        <v>0</v>
      </c>
      <c r="N802" s="4">
        <v>0</v>
      </c>
      <c r="O802" s="4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1476.4</v>
      </c>
      <c r="X802">
        <v>1482</v>
      </c>
      <c r="Y802">
        <v>457.20000000000005</v>
      </c>
      <c r="Z802">
        <v>0</v>
      </c>
      <c r="AA802">
        <v>0</v>
      </c>
      <c r="AB802">
        <v>0</v>
      </c>
      <c r="AC802">
        <v>0</v>
      </c>
      <c r="AD802">
        <v>3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1828.6</v>
      </c>
      <c r="AK802">
        <v>1800.7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560.70000000000005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0</v>
      </c>
      <c r="BU802">
        <v>0</v>
      </c>
      <c r="BV802">
        <v>0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  <c r="CF802">
        <v>0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  <c r="CN802">
        <v>0</v>
      </c>
      <c r="CO802">
        <v>0</v>
      </c>
      <c r="CP802">
        <v>3.5</v>
      </c>
      <c r="CQ802">
        <v>0</v>
      </c>
      <c r="CR802">
        <v>528</v>
      </c>
      <c r="CS802">
        <v>581.79999999999995</v>
      </c>
      <c r="CT802">
        <v>555.40000000000009</v>
      </c>
      <c r="CU802">
        <v>737.4</v>
      </c>
      <c r="CV802">
        <v>1039.0999999999999</v>
      </c>
      <c r="CW802">
        <v>1667.3</v>
      </c>
      <c r="CX802">
        <v>877.6</v>
      </c>
      <c r="CY802">
        <v>910.40000000000009</v>
      </c>
      <c r="CZ802">
        <v>0</v>
      </c>
      <c r="DA802">
        <v>0</v>
      </c>
      <c r="DB802">
        <v>0</v>
      </c>
      <c r="DC802">
        <v>0</v>
      </c>
      <c r="DD802">
        <v>0</v>
      </c>
      <c r="DE802">
        <v>0</v>
      </c>
      <c r="DF802">
        <v>0</v>
      </c>
      <c r="DG802">
        <v>0</v>
      </c>
      <c r="DH802">
        <v>0</v>
      </c>
      <c r="DI802">
        <v>0</v>
      </c>
      <c r="DJ802">
        <v>0</v>
      </c>
      <c r="DK802">
        <v>0</v>
      </c>
      <c r="DL802">
        <v>995.5</v>
      </c>
      <c r="DM802">
        <v>712.7</v>
      </c>
      <c r="DN802">
        <v>0</v>
      </c>
      <c r="DO802">
        <v>0</v>
      </c>
      <c r="DP802">
        <v>0</v>
      </c>
      <c r="DQ802">
        <v>0</v>
      </c>
      <c r="DR802">
        <v>0</v>
      </c>
      <c r="DS802">
        <v>0</v>
      </c>
      <c r="DT802">
        <v>0</v>
      </c>
      <c r="DU802">
        <v>0</v>
      </c>
      <c r="DV802">
        <v>0</v>
      </c>
      <c r="DW802">
        <v>0</v>
      </c>
      <c r="DX802">
        <v>0</v>
      </c>
      <c r="DY802">
        <v>0</v>
      </c>
      <c r="DZ802">
        <v>0</v>
      </c>
      <c r="EA802">
        <v>0</v>
      </c>
      <c r="EB802">
        <v>0</v>
      </c>
      <c r="EC802">
        <v>0</v>
      </c>
      <c r="ED802">
        <v>0</v>
      </c>
      <c r="EE802">
        <v>0</v>
      </c>
      <c r="EF802">
        <v>0</v>
      </c>
      <c r="EG802">
        <v>0</v>
      </c>
      <c r="EH802">
        <v>0</v>
      </c>
      <c r="EI802">
        <v>0</v>
      </c>
      <c r="EJ802">
        <v>0</v>
      </c>
      <c r="EK802">
        <v>0</v>
      </c>
      <c r="EL802">
        <v>0</v>
      </c>
      <c r="EM802">
        <v>0</v>
      </c>
      <c r="EN802">
        <v>27.4</v>
      </c>
      <c r="EO802">
        <v>0</v>
      </c>
      <c r="EP802">
        <v>1002.5</v>
      </c>
      <c r="EQ802">
        <v>0</v>
      </c>
      <c r="ER802">
        <v>494</v>
      </c>
      <c r="ES802">
        <v>0</v>
      </c>
      <c r="ET802">
        <v>699.3</v>
      </c>
      <c r="EU802">
        <v>435.4</v>
      </c>
      <c r="EV802">
        <v>0</v>
      </c>
      <c r="EW802">
        <v>0</v>
      </c>
      <c r="EX802">
        <v>0</v>
      </c>
      <c r="EY802">
        <v>0</v>
      </c>
      <c r="EZ802">
        <v>0</v>
      </c>
      <c r="FA802">
        <v>0</v>
      </c>
      <c r="FB802">
        <v>0</v>
      </c>
      <c r="FC802">
        <v>0</v>
      </c>
      <c r="FD802">
        <v>95.6</v>
      </c>
      <c r="FE802">
        <v>1792.1</v>
      </c>
      <c r="FF802">
        <v>1740.1999999999998</v>
      </c>
      <c r="FG802">
        <v>954.9</v>
      </c>
      <c r="FH802">
        <v>1087.8000000000002</v>
      </c>
      <c r="FI802">
        <v>1892.1</v>
      </c>
      <c r="FJ802">
        <v>1222.5</v>
      </c>
      <c r="FK802">
        <v>678.3</v>
      </c>
      <c r="FL802">
        <v>639.1</v>
      </c>
      <c r="FM802">
        <v>520.5</v>
      </c>
      <c r="FN802">
        <v>123.8</v>
      </c>
      <c r="FO802">
        <v>181.6</v>
      </c>
      <c r="FP802">
        <v>1090.5</v>
      </c>
      <c r="FQ802">
        <v>0</v>
      </c>
      <c r="FR802">
        <v>0</v>
      </c>
      <c r="FS802">
        <v>0</v>
      </c>
      <c r="FT802">
        <v>0</v>
      </c>
      <c r="FU802">
        <v>0</v>
      </c>
      <c r="FV802">
        <v>0</v>
      </c>
      <c r="FW802">
        <v>0</v>
      </c>
      <c r="FX802">
        <v>0</v>
      </c>
      <c r="FY802">
        <v>0</v>
      </c>
      <c r="FZ802">
        <v>0</v>
      </c>
      <c r="GA802">
        <v>0</v>
      </c>
      <c r="GB802">
        <v>0</v>
      </c>
      <c r="GC802">
        <v>0</v>
      </c>
      <c r="GD802">
        <v>0</v>
      </c>
      <c r="GE802">
        <v>0</v>
      </c>
      <c r="GF802">
        <v>198.3</v>
      </c>
      <c r="GG802">
        <v>1054.4000000000001</v>
      </c>
      <c r="GH802">
        <v>552.79999999999995</v>
      </c>
      <c r="GI802">
        <v>522</v>
      </c>
      <c r="GJ802">
        <v>0</v>
      </c>
      <c r="GK802">
        <v>0</v>
      </c>
      <c r="GL802">
        <v>0</v>
      </c>
      <c r="GM802">
        <v>0</v>
      </c>
      <c r="GN802">
        <v>791.40000000000009</v>
      </c>
      <c r="GO802">
        <v>1816.5</v>
      </c>
      <c r="GP802">
        <v>0</v>
      </c>
      <c r="GQ802">
        <v>0</v>
      </c>
      <c r="GR802">
        <v>0</v>
      </c>
      <c r="GS802">
        <v>0</v>
      </c>
      <c r="GT802">
        <v>0</v>
      </c>
      <c r="GU802">
        <v>0</v>
      </c>
      <c r="GV802">
        <v>0</v>
      </c>
      <c r="GW802">
        <v>0</v>
      </c>
      <c r="GX802">
        <v>0</v>
      </c>
      <c r="GY802">
        <v>840.3</v>
      </c>
      <c r="GZ802">
        <v>0</v>
      </c>
      <c r="HA802">
        <v>0</v>
      </c>
      <c r="HB802">
        <v>0</v>
      </c>
      <c r="HC802">
        <v>380.4</v>
      </c>
      <c r="HD802">
        <v>2175.5</v>
      </c>
      <c r="HE802">
        <v>0</v>
      </c>
      <c r="HF802">
        <v>0</v>
      </c>
      <c r="HG802">
        <v>0</v>
      </c>
      <c r="HH802">
        <v>0</v>
      </c>
      <c r="HI802">
        <v>0</v>
      </c>
      <c r="HJ802">
        <v>803.40000000000009</v>
      </c>
      <c r="HK802">
        <v>1270.9000000000001</v>
      </c>
      <c r="HL802">
        <v>835.7</v>
      </c>
      <c r="HM802">
        <v>1162.5999999999999</v>
      </c>
      <c r="HN802">
        <v>0</v>
      </c>
      <c r="HO802">
        <v>0</v>
      </c>
      <c r="HP802">
        <v>0</v>
      </c>
      <c r="HQ802">
        <v>0</v>
      </c>
      <c r="HR802">
        <v>161.19999999999999</v>
      </c>
      <c r="HS802">
        <v>0</v>
      </c>
      <c r="HT802">
        <v>2048.5</v>
      </c>
      <c r="HU802">
        <v>2627.5</v>
      </c>
      <c r="HV802">
        <v>1168.5999999999999</v>
      </c>
      <c r="HW802">
        <v>388</v>
      </c>
      <c r="HX802">
        <v>0</v>
      </c>
      <c r="HY802">
        <v>0</v>
      </c>
      <c r="HZ802">
        <v>0</v>
      </c>
      <c r="IA802">
        <v>0</v>
      </c>
      <c r="IB802">
        <v>0</v>
      </c>
      <c r="IC802">
        <v>594.4</v>
      </c>
      <c r="ID802">
        <v>427.4</v>
      </c>
      <c r="IE802">
        <v>713.3</v>
      </c>
      <c r="IF802">
        <v>626.1</v>
      </c>
      <c r="IG802">
        <v>0</v>
      </c>
      <c r="IH802">
        <v>0</v>
      </c>
      <c r="II802">
        <v>995.7</v>
      </c>
      <c r="IJ802">
        <v>1156.5999999999999</v>
      </c>
      <c r="IK802">
        <v>864.6</v>
      </c>
      <c r="IL802">
        <v>316.5</v>
      </c>
      <c r="IM802">
        <v>101.5</v>
      </c>
      <c r="IN802">
        <v>71.8</v>
      </c>
      <c r="IO802">
        <v>0</v>
      </c>
      <c r="IP802">
        <v>0</v>
      </c>
      <c r="IQ802">
        <v>0</v>
      </c>
      <c r="IR802">
        <v>0</v>
      </c>
      <c r="IS802">
        <v>0</v>
      </c>
      <c r="IT802">
        <v>0</v>
      </c>
      <c r="IU802">
        <v>0</v>
      </c>
      <c r="IV802">
        <v>0</v>
      </c>
      <c r="IW802">
        <v>68</v>
      </c>
      <c r="IX802">
        <v>404.7</v>
      </c>
      <c r="IY802">
        <v>126.6</v>
      </c>
      <c r="IZ802">
        <v>126.6</v>
      </c>
      <c r="JA802">
        <v>503.7</v>
      </c>
      <c r="JB802">
        <v>570.1</v>
      </c>
      <c r="JC802">
        <v>328.3</v>
      </c>
      <c r="JD802">
        <v>0</v>
      </c>
      <c r="JE802">
        <v>0</v>
      </c>
      <c r="JF802">
        <v>0</v>
      </c>
      <c r="JG802">
        <v>0</v>
      </c>
      <c r="JH802">
        <v>287.3</v>
      </c>
      <c r="JI802">
        <v>68.2</v>
      </c>
      <c r="JJ802">
        <v>0</v>
      </c>
      <c r="JK802">
        <v>148.6</v>
      </c>
      <c r="JL802">
        <v>0</v>
      </c>
      <c r="JM802">
        <v>0</v>
      </c>
      <c r="JN802">
        <v>204.5</v>
      </c>
      <c r="JO802">
        <v>292.10000000000002</v>
      </c>
      <c r="JP802">
        <v>670.8</v>
      </c>
      <c r="JQ802">
        <v>745.2</v>
      </c>
      <c r="JR802">
        <v>242.9</v>
      </c>
    </row>
    <row r="803" spans="2:278" ht="18" thickBot="1">
      <c r="B803" s="368" t="s">
        <v>934</v>
      </c>
      <c r="C803" s="411" t="s">
        <v>1501</v>
      </c>
      <c r="D803" s="368" t="s">
        <v>1383</v>
      </c>
      <c r="E803" s="454">
        <v>22829.8</v>
      </c>
      <c r="F803">
        <v>20193.400000000001</v>
      </c>
      <c r="G803" s="427">
        <v>0</v>
      </c>
      <c r="H803" s="155">
        <v>0</v>
      </c>
      <c r="I803">
        <v>0</v>
      </c>
      <c r="J803">
        <v>0</v>
      </c>
      <c r="K803">
        <v>0</v>
      </c>
      <c r="L803" s="4">
        <v>0</v>
      </c>
      <c r="M803" s="4">
        <v>0</v>
      </c>
      <c r="N803" s="4">
        <v>0</v>
      </c>
      <c r="O803" s="4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1476.4</v>
      </c>
      <c r="X803">
        <v>1482</v>
      </c>
      <c r="Y803">
        <v>457.20000000000005</v>
      </c>
      <c r="Z803">
        <v>0</v>
      </c>
      <c r="AA803">
        <v>0</v>
      </c>
      <c r="AB803">
        <v>0</v>
      </c>
      <c r="AC803">
        <v>0</v>
      </c>
      <c r="AD803">
        <v>3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1828.6</v>
      </c>
      <c r="AK803">
        <v>1800.7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560.70000000000005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  <c r="CF803">
        <v>0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  <c r="CN803">
        <v>0</v>
      </c>
      <c r="CO803">
        <v>0</v>
      </c>
      <c r="CP803">
        <v>3.5</v>
      </c>
      <c r="CQ803">
        <v>0</v>
      </c>
      <c r="CR803">
        <v>528</v>
      </c>
      <c r="CS803">
        <v>581.79999999999995</v>
      </c>
      <c r="CT803">
        <v>555.40000000000009</v>
      </c>
      <c r="CU803">
        <v>737.4</v>
      </c>
      <c r="CV803">
        <v>1039.0999999999999</v>
      </c>
      <c r="CW803">
        <v>1667.3</v>
      </c>
      <c r="CX803">
        <v>877.6</v>
      </c>
      <c r="CY803">
        <v>910.40000000000009</v>
      </c>
      <c r="CZ803">
        <v>0</v>
      </c>
      <c r="DA803">
        <v>0</v>
      </c>
      <c r="DB803">
        <v>0</v>
      </c>
      <c r="DC803">
        <v>0</v>
      </c>
      <c r="DD803">
        <v>0</v>
      </c>
      <c r="DE803">
        <v>0</v>
      </c>
      <c r="DF803">
        <v>0</v>
      </c>
      <c r="DG803">
        <v>0</v>
      </c>
      <c r="DH803">
        <v>0</v>
      </c>
      <c r="DI803">
        <v>0</v>
      </c>
      <c r="DJ803">
        <v>0</v>
      </c>
      <c r="DK803">
        <v>0</v>
      </c>
      <c r="DL803">
        <v>995.5</v>
      </c>
      <c r="DM803">
        <v>712.7</v>
      </c>
      <c r="DN803">
        <v>0</v>
      </c>
      <c r="DO803">
        <v>0</v>
      </c>
      <c r="DP803">
        <v>0</v>
      </c>
      <c r="DQ803">
        <v>0</v>
      </c>
      <c r="DR803">
        <v>0</v>
      </c>
      <c r="DS803">
        <v>0</v>
      </c>
      <c r="DT803">
        <v>0</v>
      </c>
      <c r="DU803">
        <v>0</v>
      </c>
      <c r="DV803">
        <v>0</v>
      </c>
      <c r="DW803">
        <v>0</v>
      </c>
      <c r="DX803">
        <v>0</v>
      </c>
      <c r="DY803">
        <v>0</v>
      </c>
      <c r="DZ803">
        <v>0</v>
      </c>
      <c r="EA803">
        <v>0</v>
      </c>
      <c r="EB803">
        <v>0</v>
      </c>
      <c r="EC803">
        <v>0</v>
      </c>
      <c r="ED803">
        <v>0</v>
      </c>
      <c r="EE803">
        <v>0</v>
      </c>
      <c r="EF803">
        <v>0</v>
      </c>
      <c r="EG803">
        <v>0</v>
      </c>
      <c r="EH803">
        <v>0</v>
      </c>
      <c r="EI803">
        <v>0</v>
      </c>
      <c r="EJ803">
        <v>0</v>
      </c>
      <c r="EK803">
        <v>0</v>
      </c>
      <c r="EL803">
        <v>0</v>
      </c>
      <c r="EM803">
        <v>0</v>
      </c>
      <c r="EN803">
        <v>27.4</v>
      </c>
      <c r="EO803">
        <v>0</v>
      </c>
      <c r="EP803">
        <v>1002.5</v>
      </c>
      <c r="EQ803">
        <v>0</v>
      </c>
      <c r="ER803">
        <v>494</v>
      </c>
      <c r="ES803">
        <v>0</v>
      </c>
      <c r="ET803">
        <v>699.3</v>
      </c>
      <c r="EU803">
        <v>435.4</v>
      </c>
      <c r="EV803">
        <v>0</v>
      </c>
      <c r="EW803">
        <v>0</v>
      </c>
      <c r="EX803">
        <v>0</v>
      </c>
      <c r="EY803">
        <v>0</v>
      </c>
      <c r="EZ803">
        <v>0</v>
      </c>
      <c r="FA803">
        <v>0</v>
      </c>
      <c r="FB803">
        <v>0</v>
      </c>
      <c r="FC803">
        <v>0</v>
      </c>
      <c r="FD803">
        <v>95.6</v>
      </c>
      <c r="FE803">
        <v>1792.1</v>
      </c>
      <c r="FF803">
        <v>1740.1999999999998</v>
      </c>
      <c r="FG803">
        <v>954.9</v>
      </c>
      <c r="FH803">
        <v>1087.8000000000002</v>
      </c>
      <c r="FI803">
        <v>1892.1</v>
      </c>
      <c r="FJ803">
        <v>1222.5</v>
      </c>
      <c r="FK803">
        <v>678.3</v>
      </c>
      <c r="FL803">
        <v>639.1</v>
      </c>
      <c r="FM803">
        <v>520.5</v>
      </c>
      <c r="FN803">
        <v>123.8</v>
      </c>
      <c r="FO803">
        <v>181.6</v>
      </c>
      <c r="FP803">
        <v>1090.5</v>
      </c>
      <c r="FQ803">
        <v>0</v>
      </c>
      <c r="FR803">
        <v>0</v>
      </c>
      <c r="FS803">
        <v>0</v>
      </c>
      <c r="FT803">
        <v>0</v>
      </c>
      <c r="FU803">
        <v>0</v>
      </c>
      <c r="FV803">
        <v>0</v>
      </c>
      <c r="FW803">
        <v>0</v>
      </c>
      <c r="FX803">
        <v>0</v>
      </c>
      <c r="FY803">
        <v>0</v>
      </c>
      <c r="FZ803">
        <v>0</v>
      </c>
      <c r="GA803">
        <v>0</v>
      </c>
      <c r="GB803">
        <v>0</v>
      </c>
      <c r="GC803">
        <v>0</v>
      </c>
      <c r="GD803">
        <v>0</v>
      </c>
      <c r="GE803">
        <v>0</v>
      </c>
      <c r="GF803">
        <v>198.3</v>
      </c>
      <c r="GG803">
        <v>1054.4000000000001</v>
      </c>
      <c r="GH803">
        <v>552.79999999999995</v>
      </c>
      <c r="GI803">
        <v>522</v>
      </c>
      <c r="GJ803">
        <v>0</v>
      </c>
      <c r="GK803">
        <v>0</v>
      </c>
      <c r="GL803">
        <v>0</v>
      </c>
      <c r="GM803">
        <v>0</v>
      </c>
      <c r="GN803">
        <v>791.40000000000009</v>
      </c>
      <c r="GO803">
        <v>1816.5</v>
      </c>
      <c r="GP803">
        <v>0</v>
      </c>
      <c r="GQ803">
        <v>0</v>
      </c>
      <c r="GR803">
        <v>0</v>
      </c>
      <c r="GS803">
        <v>0</v>
      </c>
      <c r="GT803">
        <v>0</v>
      </c>
      <c r="GU803">
        <v>0</v>
      </c>
      <c r="GV803">
        <v>0</v>
      </c>
      <c r="GW803">
        <v>0</v>
      </c>
      <c r="GX803">
        <v>0</v>
      </c>
      <c r="GY803">
        <v>840.3</v>
      </c>
      <c r="GZ803">
        <v>0</v>
      </c>
      <c r="HA803">
        <v>0</v>
      </c>
      <c r="HB803">
        <v>0</v>
      </c>
      <c r="HC803">
        <v>380.4</v>
      </c>
      <c r="HD803">
        <v>2175.5</v>
      </c>
      <c r="HE803">
        <v>0</v>
      </c>
      <c r="HF803">
        <v>0</v>
      </c>
      <c r="HG803">
        <v>0</v>
      </c>
      <c r="HH803">
        <v>0</v>
      </c>
      <c r="HI803">
        <v>0</v>
      </c>
      <c r="HJ803">
        <v>803.40000000000009</v>
      </c>
      <c r="HK803">
        <v>1270.9000000000001</v>
      </c>
      <c r="HL803">
        <v>835.7</v>
      </c>
      <c r="HM803">
        <v>1162.5999999999999</v>
      </c>
      <c r="HN803">
        <v>0</v>
      </c>
      <c r="HO803">
        <v>0</v>
      </c>
      <c r="HP803">
        <v>0</v>
      </c>
      <c r="HQ803">
        <v>0</v>
      </c>
      <c r="HR803">
        <v>161.19999999999999</v>
      </c>
      <c r="HS803">
        <v>0</v>
      </c>
      <c r="HT803">
        <v>2048.5</v>
      </c>
      <c r="HU803">
        <v>2627.5</v>
      </c>
      <c r="HV803">
        <v>1168.5999999999999</v>
      </c>
      <c r="HW803">
        <v>388</v>
      </c>
      <c r="HX803">
        <v>0</v>
      </c>
      <c r="HY803">
        <v>0</v>
      </c>
      <c r="HZ803">
        <v>0</v>
      </c>
      <c r="IA803">
        <v>0</v>
      </c>
      <c r="IB803">
        <v>0</v>
      </c>
      <c r="IC803">
        <v>594.4</v>
      </c>
      <c r="ID803">
        <v>427.4</v>
      </c>
      <c r="IE803">
        <v>713.3</v>
      </c>
      <c r="IF803">
        <v>626.1</v>
      </c>
      <c r="IG803">
        <v>0</v>
      </c>
      <c r="IH803">
        <v>0</v>
      </c>
      <c r="II803">
        <v>995.7</v>
      </c>
      <c r="IJ803">
        <v>1156.5999999999999</v>
      </c>
      <c r="IK803">
        <v>864.6</v>
      </c>
      <c r="IL803">
        <v>316.5</v>
      </c>
      <c r="IM803">
        <v>101.5</v>
      </c>
      <c r="IN803">
        <v>71.8</v>
      </c>
      <c r="IO803">
        <v>0</v>
      </c>
      <c r="IP803">
        <v>0</v>
      </c>
      <c r="IQ803">
        <v>0</v>
      </c>
      <c r="IR803">
        <v>0</v>
      </c>
      <c r="IS803">
        <v>0</v>
      </c>
      <c r="IT803">
        <v>0</v>
      </c>
      <c r="IU803">
        <v>0</v>
      </c>
      <c r="IV803">
        <v>0</v>
      </c>
      <c r="IW803">
        <v>68</v>
      </c>
      <c r="IX803">
        <v>404.7</v>
      </c>
      <c r="IY803">
        <v>126.6</v>
      </c>
      <c r="IZ803">
        <v>126.6</v>
      </c>
      <c r="JA803">
        <v>503.7</v>
      </c>
      <c r="JB803">
        <v>570.1</v>
      </c>
      <c r="JC803">
        <v>328.3</v>
      </c>
      <c r="JD803">
        <v>0</v>
      </c>
      <c r="JE803">
        <v>0</v>
      </c>
      <c r="JF803">
        <v>0</v>
      </c>
      <c r="JG803">
        <v>0</v>
      </c>
      <c r="JH803">
        <v>287.3</v>
      </c>
      <c r="JI803">
        <v>68.2</v>
      </c>
      <c r="JJ803">
        <v>0</v>
      </c>
      <c r="JK803">
        <v>148.6</v>
      </c>
      <c r="JL803">
        <v>0</v>
      </c>
      <c r="JM803">
        <v>0</v>
      </c>
      <c r="JN803">
        <v>204.5</v>
      </c>
      <c r="JO803">
        <v>292.10000000000002</v>
      </c>
      <c r="JP803">
        <v>670.8</v>
      </c>
      <c r="JQ803">
        <v>745.2</v>
      </c>
      <c r="JR803">
        <v>242.9</v>
      </c>
    </row>
    <row r="804" spans="2:278" ht="18" thickBot="1">
      <c r="B804" s="522" t="s">
        <v>935</v>
      </c>
      <c r="C804" s="517" t="s">
        <v>1502</v>
      </c>
      <c r="D804" s="368" t="s">
        <v>1384</v>
      </c>
      <c r="E804" s="454">
        <v>22829.8</v>
      </c>
      <c r="F804">
        <v>20193.400000000001</v>
      </c>
      <c r="G804" s="427">
        <v>0</v>
      </c>
      <c r="H804" s="155">
        <v>0</v>
      </c>
      <c r="I804">
        <v>0</v>
      </c>
      <c r="J804">
        <v>0</v>
      </c>
      <c r="K804">
        <v>0</v>
      </c>
      <c r="L804" s="4">
        <v>0</v>
      </c>
      <c r="M804" s="4">
        <v>0</v>
      </c>
      <c r="N804" s="4">
        <v>0</v>
      </c>
      <c r="O804" s="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1476.4</v>
      </c>
      <c r="X804">
        <v>1482</v>
      </c>
      <c r="Y804">
        <v>457.20000000000005</v>
      </c>
      <c r="Z804">
        <v>0</v>
      </c>
      <c r="AA804">
        <v>0</v>
      </c>
      <c r="AB804">
        <v>0</v>
      </c>
      <c r="AC804">
        <v>0</v>
      </c>
      <c r="AD804">
        <v>3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1828.6</v>
      </c>
      <c r="AK804">
        <v>1800.7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560.70000000000005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  <c r="CF804">
        <v>0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  <c r="CN804">
        <v>0</v>
      </c>
      <c r="CO804">
        <v>0</v>
      </c>
      <c r="CP804">
        <v>3.5</v>
      </c>
      <c r="CQ804">
        <v>0</v>
      </c>
      <c r="CR804">
        <v>528</v>
      </c>
      <c r="CS804">
        <v>581.79999999999995</v>
      </c>
      <c r="CT804">
        <v>555.40000000000009</v>
      </c>
      <c r="CU804">
        <v>737.4</v>
      </c>
      <c r="CV804">
        <v>1039.0999999999999</v>
      </c>
      <c r="CW804">
        <v>1667.3</v>
      </c>
      <c r="CX804">
        <v>877.6</v>
      </c>
      <c r="CY804">
        <v>910.40000000000009</v>
      </c>
      <c r="CZ804">
        <v>0</v>
      </c>
      <c r="DA804">
        <v>0</v>
      </c>
      <c r="DB804">
        <v>0</v>
      </c>
      <c r="DC804">
        <v>0</v>
      </c>
      <c r="DD804">
        <v>0</v>
      </c>
      <c r="DE804">
        <v>0</v>
      </c>
      <c r="DF804">
        <v>0</v>
      </c>
      <c r="DG804">
        <v>0</v>
      </c>
      <c r="DH804">
        <v>0</v>
      </c>
      <c r="DI804">
        <v>0</v>
      </c>
      <c r="DJ804">
        <v>0</v>
      </c>
      <c r="DK804">
        <v>0</v>
      </c>
      <c r="DL804">
        <v>995.5</v>
      </c>
      <c r="DM804">
        <v>712.7</v>
      </c>
      <c r="DN804">
        <v>0</v>
      </c>
      <c r="DO804">
        <v>0</v>
      </c>
      <c r="DP804">
        <v>0</v>
      </c>
      <c r="DQ804">
        <v>0</v>
      </c>
      <c r="DR804">
        <v>0</v>
      </c>
      <c r="DS804">
        <v>0</v>
      </c>
      <c r="DT804">
        <v>0</v>
      </c>
      <c r="DU804">
        <v>0</v>
      </c>
      <c r="DV804">
        <v>0</v>
      </c>
      <c r="DW804">
        <v>0</v>
      </c>
      <c r="DX804">
        <v>0</v>
      </c>
      <c r="DY804">
        <v>0</v>
      </c>
      <c r="DZ804">
        <v>0</v>
      </c>
      <c r="EA804">
        <v>0</v>
      </c>
      <c r="EB804">
        <v>0</v>
      </c>
      <c r="EC804">
        <v>0</v>
      </c>
      <c r="ED804">
        <v>0</v>
      </c>
      <c r="EE804">
        <v>0</v>
      </c>
      <c r="EF804">
        <v>0</v>
      </c>
      <c r="EG804">
        <v>0</v>
      </c>
      <c r="EH804">
        <v>0</v>
      </c>
      <c r="EI804">
        <v>0</v>
      </c>
      <c r="EJ804">
        <v>0</v>
      </c>
      <c r="EK804">
        <v>0</v>
      </c>
      <c r="EL804">
        <v>0</v>
      </c>
      <c r="EM804">
        <v>0</v>
      </c>
      <c r="EN804">
        <v>27.4</v>
      </c>
      <c r="EO804">
        <v>0</v>
      </c>
      <c r="EP804">
        <v>1002.5</v>
      </c>
      <c r="EQ804">
        <v>0</v>
      </c>
      <c r="ER804">
        <v>494</v>
      </c>
      <c r="ES804">
        <v>0</v>
      </c>
      <c r="ET804">
        <v>699.3</v>
      </c>
      <c r="EU804">
        <v>435.4</v>
      </c>
      <c r="EV804">
        <v>0</v>
      </c>
      <c r="EW804">
        <v>0</v>
      </c>
      <c r="EX804">
        <v>0</v>
      </c>
      <c r="EY804">
        <v>0</v>
      </c>
      <c r="EZ804">
        <v>0</v>
      </c>
      <c r="FA804">
        <v>0</v>
      </c>
      <c r="FB804">
        <v>0</v>
      </c>
      <c r="FC804">
        <v>0</v>
      </c>
      <c r="FD804">
        <v>95.6</v>
      </c>
      <c r="FE804">
        <v>1792.1</v>
      </c>
      <c r="FF804">
        <v>1740.1999999999998</v>
      </c>
      <c r="FG804">
        <v>954.9</v>
      </c>
      <c r="FH804">
        <v>1087.8000000000002</v>
      </c>
      <c r="FI804">
        <v>1892.1</v>
      </c>
      <c r="FJ804">
        <v>1222.5</v>
      </c>
      <c r="FK804">
        <v>678.3</v>
      </c>
      <c r="FL804">
        <v>639.1</v>
      </c>
      <c r="FM804">
        <v>520.5</v>
      </c>
      <c r="FN804">
        <v>123.8</v>
      </c>
      <c r="FO804">
        <v>181.6</v>
      </c>
      <c r="FP804">
        <v>1090.5</v>
      </c>
      <c r="FQ804">
        <v>0</v>
      </c>
      <c r="FR804">
        <v>0</v>
      </c>
      <c r="FS804">
        <v>0</v>
      </c>
      <c r="FT804">
        <v>0</v>
      </c>
      <c r="FU804">
        <v>0</v>
      </c>
      <c r="FV804">
        <v>0</v>
      </c>
      <c r="FW804">
        <v>0</v>
      </c>
      <c r="FX804">
        <v>0</v>
      </c>
      <c r="FY804">
        <v>0</v>
      </c>
      <c r="FZ804">
        <v>0</v>
      </c>
      <c r="GA804">
        <v>0</v>
      </c>
      <c r="GB804">
        <v>0</v>
      </c>
      <c r="GC804">
        <v>0</v>
      </c>
      <c r="GD804">
        <v>0</v>
      </c>
      <c r="GE804">
        <v>0</v>
      </c>
      <c r="GF804">
        <v>198.3</v>
      </c>
      <c r="GG804">
        <v>1054.4000000000001</v>
      </c>
      <c r="GH804">
        <v>552.79999999999995</v>
      </c>
      <c r="GI804">
        <v>522</v>
      </c>
      <c r="GJ804">
        <v>0</v>
      </c>
      <c r="GK804">
        <v>0</v>
      </c>
      <c r="GL804">
        <v>0</v>
      </c>
      <c r="GM804">
        <v>0</v>
      </c>
      <c r="GN804">
        <v>791.40000000000009</v>
      </c>
      <c r="GO804">
        <v>1816.5</v>
      </c>
      <c r="GP804">
        <v>0</v>
      </c>
      <c r="GQ804">
        <v>0</v>
      </c>
      <c r="GR804">
        <v>0</v>
      </c>
      <c r="GS804">
        <v>0</v>
      </c>
      <c r="GT804">
        <v>0</v>
      </c>
      <c r="GU804">
        <v>0</v>
      </c>
      <c r="GV804">
        <v>0</v>
      </c>
      <c r="GW804">
        <v>0</v>
      </c>
      <c r="GX804">
        <v>0</v>
      </c>
      <c r="GY804">
        <v>840.3</v>
      </c>
      <c r="GZ804">
        <v>0</v>
      </c>
      <c r="HA804">
        <v>0</v>
      </c>
      <c r="HB804">
        <v>0</v>
      </c>
      <c r="HC804">
        <v>380.4</v>
      </c>
      <c r="HD804">
        <v>2175.5</v>
      </c>
      <c r="HE804">
        <v>0</v>
      </c>
      <c r="HF804">
        <v>0</v>
      </c>
      <c r="HG804">
        <v>0</v>
      </c>
      <c r="HH804">
        <v>0</v>
      </c>
      <c r="HI804">
        <v>0</v>
      </c>
      <c r="HJ804">
        <v>803.40000000000009</v>
      </c>
      <c r="HK804">
        <v>1270.9000000000001</v>
      </c>
      <c r="HL804">
        <v>835.7</v>
      </c>
      <c r="HM804">
        <v>1162.5999999999999</v>
      </c>
      <c r="HN804">
        <v>0</v>
      </c>
      <c r="HO804">
        <v>0</v>
      </c>
      <c r="HP804">
        <v>0</v>
      </c>
      <c r="HQ804">
        <v>0</v>
      </c>
      <c r="HR804">
        <v>161.19999999999999</v>
      </c>
      <c r="HS804">
        <v>0</v>
      </c>
      <c r="HT804">
        <v>2048.5</v>
      </c>
      <c r="HU804">
        <v>2627.5</v>
      </c>
      <c r="HV804">
        <v>1168.5999999999999</v>
      </c>
      <c r="HW804">
        <v>388</v>
      </c>
      <c r="HX804">
        <v>0</v>
      </c>
      <c r="HY804">
        <v>0</v>
      </c>
      <c r="HZ804">
        <v>0</v>
      </c>
      <c r="IA804">
        <v>0</v>
      </c>
      <c r="IB804">
        <v>0</v>
      </c>
      <c r="IC804">
        <v>594.4</v>
      </c>
      <c r="ID804">
        <v>427.4</v>
      </c>
      <c r="IE804">
        <v>713.3</v>
      </c>
      <c r="IF804">
        <v>626.1</v>
      </c>
      <c r="IG804">
        <v>0</v>
      </c>
      <c r="IH804">
        <v>0</v>
      </c>
      <c r="II804">
        <v>995.7</v>
      </c>
      <c r="IJ804">
        <v>1156.5999999999999</v>
      </c>
      <c r="IK804">
        <v>864.6</v>
      </c>
      <c r="IL804">
        <v>316.5</v>
      </c>
      <c r="IM804">
        <v>101.5</v>
      </c>
      <c r="IN804">
        <v>71.8</v>
      </c>
      <c r="IO804">
        <v>0</v>
      </c>
      <c r="IP804">
        <v>0</v>
      </c>
      <c r="IQ804">
        <v>0</v>
      </c>
      <c r="IR804">
        <v>0</v>
      </c>
      <c r="IS804">
        <v>0</v>
      </c>
      <c r="IT804">
        <v>0</v>
      </c>
      <c r="IU804">
        <v>0</v>
      </c>
      <c r="IV804">
        <v>0</v>
      </c>
      <c r="IW804">
        <v>68</v>
      </c>
      <c r="IX804">
        <v>404.7</v>
      </c>
      <c r="IY804">
        <v>126.6</v>
      </c>
      <c r="IZ804">
        <v>126.6</v>
      </c>
      <c r="JA804">
        <v>503.7</v>
      </c>
      <c r="JB804">
        <v>570.1</v>
      </c>
      <c r="JC804">
        <v>328.3</v>
      </c>
      <c r="JD804">
        <v>0</v>
      </c>
      <c r="JE804">
        <v>0</v>
      </c>
      <c r="JF804">
        <v>0</v>
      </c>
      <c r="JG804">
        <v>0</v>
      </c>
      <c r="JH804">
        <v>287.3</v>
      </c>
      <c r="JI804">
        <v>68.2</v>
      </c>
      <c r="JJ804">
        <v>0</v>
      </c>
      <c r="JK804">
        <v>148.6</v>
      </c>
      <c r="JL804">
        <v>0</v>
      </c>
      <c r="JM804">
        <v>0</v>
      </c>
      <c r="JN804">
        <v>204.5</v>
      </c>
      <c r="JO804">
        <v>292.10000000000002</v>
      </c>
      <c r="JP804">
        <v>670.8</v>
      </c>
      <c r="JQ804">
        <v>745.2</v>
      </c>
      <c r="JR804">
        <v>242.9</v>
      </c>
    </row>
    <row r="805" spans="2:278" ht="18" thickBot="1">
      <c r="B805" s="523"/>
      <c r="C805" s="518"/>
      <c r="D805" s="378" t="s">
        <v>1385</v>
      </c>
      <c r="E805" s="454">
        <v>22829.8</v>
      </c>
      <c r="F805">
        <v>20193.400000000001</v>
      </c>
      <c r="G805" s="427">
        <v>0</v>
      </c>
      <c r="H805" s="155">
        <v>0</v>
      </c>
      <c r="I805">
        <v>0</v>
      </c>
      <c r="J805">
        <v>0</v>
      </c>
      <c r="K805">
        <v>0</v>
      </c>
      <c r="L805" s="4">
        <v>0</v>
      </c>
      <c r="M805" s="4">
        <v>0</v>
      </c>
      <c r="N805" s="4">
        <v>0</v>
      </c>
      <c r="O805" s="4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1476.4</v>
      </c>
      <c r="X805">
        <v>1482</v>
      </c>
      <c r="Y805">
        <v>457.20000000000005</v>
      </c>
      <c r="Z805">
        <v>0</v>
      </c>
      <c r="AA805">
        <v>0</v>
      </c>
      <c r="AB805">
        <v>0</v>
      </c>
      <c r="AC805">
        <v>0</v>
      </c>
      <c r="AD805">
        <v>3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1828.6</v>
      </c>
      <c r="AK805">
        <v>1800.7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560.70000000000005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0</v>
      </c>
      <c r="CC805">
        <v>0</v>
      </c>
      <c r="CD805">
        <v>0</v>
      </c>
      <c r="CE805">
        <v>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  <c r="CN805">
        <v>0</v>
      </c>
      <c r="CO805">
        <v>0</v>
      </c>
      <c r="CP805">
        <v>3.5</v>
      </c>
      <c r="CQ805">
        <v>0</v>
      </c>
      <c r="CR805">
        <v>528</v>
      </c>
      <c r="CS805">
        <v>581.79999999999995</v>
      </c>
      <c r="CT805">
        <v>555.40000000000009</v>
      </c>
      <c r="CU805">
        <v>737.4</v>
      </c>
      <c r="CV805">
        <v>1039.0999999999999</v>
      </c>
      <c r="CW805">
        <v>1667.3</v>
      </c>
      <c r="CX805">
        <v>877.6</v>
      </c>
      <c r="CY805">
        <v>910.40000000000009</v>
      </c>
      <c r="CZ805">
        <v>0</v>
      </c>
      <c r="DA805">
        <v>0</v>
      </c>
      <c r="DB805">
        <v>0</v>
      </c>
      <c r="DC805">
        <v>0</v>
      </c>
      <c r="DD805">
        <v>0</v>
      </c>
      <c r="DE805">
        <v>0</v>
      </c>
      <c r="DF805">
        <v>0</v>
      </c>
      <c r="DG805">
        <v>0</v>
      </c>
      <c r="DH805">
        <v>0</v>
      </c>
      <c r="DI805">
        <v>0</v>
      </c>
      <c r="DJ805">
        <v>0</v>
      </c>
      <c r="DK805">
        <v>0</v>
      </c>
      <c r="DL805">
        <v>995.5</v>
      </c>
      <c r="DM805">
        <v>712.7</v>
      </c>
      <c r="DN805">
        <v>0</v>
      </c>
      <c r="DO805">
        <v>0</v>
      </c>
      <c r="DP805">
        <v>0</v>
      </c>
      <c r="DQ805">
        <v>0</v>
      </c>
      <c r="DR805">
        <v>0</v>
      </c>
      <c r="DS805">
        <v>0</v>
      </c>
      <c r="DT805">
        <v>0</v>
      </c>
      <c r="DU805">
        <v>0</v>
      </c>
      <c r="DV805">
        <v>0</v>
      </c>
      <c r="DW805">
        <v>0</v>
      </c>
      <c r="DX805">
        <v>0</v>
      </c>
      <c r="DY805">
        <v>0</v>
      </c>
      <c r="DZ805">
        <v>0</v>
      </c>
      <c r="EA805">
        <v>0</v>
      </c>
      <c r="EB805">
        <v>0</v>
      </c>
      <c r="EC805">
        <v>0</v>
      </c>
      <c r="ED805">
        <v>0</v>
      </c>
      <c r="EE805">
        <v>0</v>
      </c>
      <c r="EF805">
        <v>0</v>
      </c>
      <c r="EG805">
        <v>0</v>
      </c>
      <c r="EH805">
        <v>0</v>
      </c>
      <c r="EI805">
        <v>0</v>
      </c>
      <c r="EJ805">
        <v>0</v>
      </c>
      <c r="EK805">
        <v>0</v>
      </c>
      <c r="EL805">
        <v>0</v>
      </c>
      <c r="EM805">
        <v>0</v>
      </c>
      <c r="EN805">
        <v>27.4</v>
      </c>
      <c r="EO805">
        <v>0</v>
      </c>
      <c r="EP805">
        <v>1002.5</v>
      </c>
      <c r="EQ805">
        <v>0</v>
      </c>
      <c r="ER805">
        <v>494</v>
      </c>
      <c r="ES805">
        <v>0</v>
      </c>
      <c r="ET805">
        <v>699.3</v>
      </c>
      <c r="EU805">
        <v>435.4</v>
      </c>
      <c r="EV805">
        <v>0</v>
      </c>
      <c r="EW805">
        <v>0</v>
      </c>
      <c r="EX805">
        <v>0</v>
      </c>
      <c r="EY805">
        <v>0</v>
      </c>
      <c r="EZ805">
        <v>0</v>
      </c>
      <c r="FA805">
        <v>0</v>
      </c>
      <c r="FB805">
        <v>0</v>
      </c>
      <c r="FC805">
        <v>0</v>
      </c>
      <c r="FD805">
        <v>95.6</v>
      </c>
      <c r="FE805">
        <v>1792.1</v>
      </c>
      <c r="FF805">
        <v>1740.1999999999998</v>
      </c>
      <c r="FG805">
        <v>954.9</v>
      </c>
      <c r="FH805">
        <v>1087.8000000000002</v>
      </c>
      <c r="FI805">
        <v>1892.1</v>
      </c>
      <c r="FJ805">
        <v>1222.5</v>
      </c>
      <c r="FK805">
        <v>678.3</v>
      </c>
      <c r="FL805">
        <v>639.1</v>
      </c>
      <c r="FM805">
        <v>520.5</v>
      </c>
      <c r="FN805">
        <v>123.8</v>
      </c>
      <c r="FO805">
        <v>181.6</v>
      </c>
      <c r="FP805">
        <v>1090.5</v>
      </c>
      <c r="FQ805">
        <v>0</v>
      </c>
      <c r="FR805">
        <v>0</v>
      </c>
      <c r="FS805">
        <v>0</v>
      </c>
      <c r="FT805">
        <v>0</v>
      </c>
      <c r="FU805">
        <v>0</v>
      </c>
      <c r="FV805">
        <v>0</v>
      </c>
      <c r="FW805">
        <v>0</v>
      </c>
      <c r="FX805">
        <v>0</v>
      </c>
      <c r="FY805">
        <v>0</v>
      </c>
      <c r="FZ805">
        <v>0</v>
      </c>
      <c r="GA805">
        <v>0</v>
      </c>
      <c r="GB805">
        <v>0</v>
      </c>
      <c r="GC805">
        <v>0</v>
      </c>
      <c r="GD805">
        <v>0</v>
      </c>
      <c r="GE805">
        <v>0</v>
      </c>
      <c r="GF805">
        <v>198.3</v>
      </c>
      <c r="GG805">
        <v>1054.4000000000001</v>
      </c>
      <c r="GH805">
        <v>552.79999999999995</v>
      </c>
      <c r="GI805">
        <v>522</v>
      </c>
      <c r="GJ805">
        <v>0</v>
      </c>
      <c r="GK805">
        <v>0</v>
      </c>
      <c r="GL805">
        <v>0</v>
      </c>
      <c r="GM805">
        <v>0</v>
      </c>
      <c r="GN805">
        <v>791.40000000000009</v>
      </c>
      <c r="GO805">
        <v>1816.5</v>
      </c>
      <c r="GP805">
        <v>0</v>
      </c>
      <c r="GQ805">
        <v>0</v>
      </c>
      <c r="GR805">
        <v>0</v>
      </c>
      <c r="GS805">
        <v>0</v>
      </c>
      <c r="GT805">
        <v>0</v>
      </c>
      <c r="GU805">
        <v>0</v>
      </c>
      <c r="GV805">
        <v>0</v>
      </c>
      <c r="GW805">
        <v>0</v>
      </c>
      <c r="GX805">
        <v>0</v>
      </c>
      <c r="GY805">
        <v>840.3</v>
      </c>
      <c r="GZ805">
        <v>0</v>
      </c>
      <c r="HA805">
        <v>0</v>
      </c>
      <c r="HB805">
        <v>0</v>
      </c>
      <c r="HC805">
        <v>380.4</v>
      </c>
      <c r="HD805">
        <v>2175.5</v>
      </c>
      <c r="HE805">
        <v>0</v>
      </c>
      <c r="HF805">
        <v>0</v>
      </c>
      <c r="HG805">
        <v>0</v>
      </c>
      <c r="HH805">
        <v>0</v>
      </c>
      <c r="HI805">
        <v>0</v>
      </c>
      <c r="HJ805">
        <v>803.40000000000009</v>
      </c>
      <c r="HK805">
        <v>1270.9000000000001</v>
      </c>
      <c r="HL805">
        <v>835.7</v>
      </c>
      <c r="HM805">
        <v>1162.5999999999999</v>
      </c>
      <c r="HN805">
        <v>0</v>
      </c>
      <c r="HO805">
        <v>0</v>
      </c>
      <c r="HP805">
        <v>0</v>
      </c>
      <c r="HQ805">
        <v>0</v>
      </c>
      <c r="HR805">
        <v>161.19999999999999</v>
      </c>
      <c r="HS805">
        <v>0</v>
      </c>
      <c r="HT805">
        <v>2048.5</v>
      </c>
      <c r="HU805">
        <v>2627.5</v>
      </c>
      <c r="HV805">
        <v>1168.5999999999999</v>
      </c>
      <c r="HW805">
        <v>388</v>
      </c>
      <c r="HX805">
        <v>0</v>
      </c>
      <c r="HY805">
        <v>0</v>
      </c>
      <c r="HZ805">
        <v>0</v>
      </c>
      <c r="IA805">
        <v>0</v>
      </c>
      <c r="IB805">
        <v>0</v>
      </c>
      <c r="IC805">
        <v>594.4</v>
      </c>
      <c r="ID805">
        <v>427.4</v>
      </c>
      <c r="IE805">
        <v>713.3</v>
      </c>
      <c r="IF805">
        <v>626.1</v>
      </c>
      <c r="IG805">
        <v>0</v>
      </c>
      <c r="IH805">
        <v>0</v>
      </c>
      <c r="II805">
        <v>995.7</v>
      </c>
      <c r="IJ805">
        <v>1156.5999999999999</v>
      </c>
      <c r="IK805">
        <v>864.6</v>
      </c>
      <c r="IL805">
        <v>316.5</v>
      </c>
      <c r="IM805">
        <v>101.5</v>
      </c>
      <c r="IN805">
        <v>71.8</v>
      </c>
      <c r="IO805">
        <v>0</v>
      </c>
      <c r="IP805">
        <v>0</v>
      </c>
      <c r="IQ805">
        <v>0</v>
      </c>
      <c r="IR805">
        <v>0</v>
      </c>
      <c r="IS805">
        <v>0</v>
      </c>
      <c r="IT805">
        <v>0</v>
      </c>
      <c r="IU805">
        <v>0</v>
      </c>
      <c r="IV805">
        <v>0</v>
      </c>
      <c r="IW805">
        <v>68</v>
      </c>
      <c r="IX805">
        <v>404.7</v>
      </c>
      <c r="IY805">
        <v>126.6</v>
      </c>
      <c r="IZ805">
        <v>126.6</v>
      </c>
      <c r="JA805">
        <v>503.7</v>
      </c>
      <c r="JB805">
        <v>570.1</v>
      </c>
      <c r="JC805">
        <v>328.3</v>
      </c>
      <c r="JD805">
        <v>0</v>
      </c>
      <c r="JE805">
        <v>0</v>
      </c>
      <c r="JF805">
        <v>0</v>
      </c>
      <c r="JG805">
        <v>0</v>
      </c>
      <c r="JH805">
        <v>287.3</v>
      </c>
      <c r="JI805">
        <v>68.2</v>
      </c>
      <c r="JJ805">
        <v>0</v>
      </c>
      <c r="JK805">
        <v>148.6</v>
      </c>
      <c r="JL805">
        <v>0</v>
      </c>
      <c r="JM805">
        <v>0</v>
      </c>
      <c r="JN805">
        <v>204.5</v>
      </c>
      <c r="JO805">
        <v>292.10000000000002</v>
      </c>
      <c r="JP805">
        <v>670.8</v>
      </c>
      <c r="JQ805">
        <v>745.2</v>
      </c>
      <c r="JR805">
        <v>242.9</v>
      </c>
    </row>
    <row r="806" spans="2:278" ht="18" thickBot="1">
      <c r="B806" s="368" t="s">
        <v>936</v>
      </c>
      <c r="C806" s="411" t="s">
        <v>1503</v>
      </c>
      <c r="D806" s="368" t="s">
        <v>1386</v>
      </c>
      <c r="E806" s="454">
        <v>22829.8</v>
      </c>
      <c r="F806">
        <v>20193.400000000001</v>
      </c>
      <c r="G806" s="427">
        <v>0</v>
      </c>
      <c r="H806" s="155">
        <v>0</v>
      </c>
      <c r="I806">
        <v>0</v>
      </c>
      <c r="J806">
        <v>0</v>
      </c>
      <c r="K806">
        <v>0</v>
      </c>
      <c r="L806" s="4">
        <v>0</v>
      </c>
      <c r="M806" s="4">
        <v>0</v>
      </c>
      <c r="N806" s="4">
        <v>0</v>
      </c>
      <c r="O806" s="4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1476.4</v>
      </c>
      <c r="X806">
        <v>1482</v>
      </c>
      <c r="Y806">
        <v>457.20000000000005</v>
      </c>
      <c r="Z806">
        <v>0</v>
      </c>
      <c r="AA806">
        <v>0</v>
      </c>
      <c r="AB806">
        <v>0</v>
      </c>
      <c r="AC806">
        <v>0</v>
      </c>
      <c r="AD806">
        <v>3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1828.6</v>
      </c>
      <c r="AK806">
        <v>1800.7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560.70000000000005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>
        <v>0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  <c r="CN806">
        <v>0</v>
      </c>
      <c r="CO806">
        <v>0</v>
      </c>
      <c r="CP806">
        <v>3.5</v>
      </c>
      <c r="CQ806">
        <v>0</v>
      </c>
      <c r="CR806">
        <v>528</v>
      </c>
      <c r="CS806">
        <v>581.79999999999995</v>
      </c>
      <c r="CT806">
        <v>555.40000000000009</v>
      </c>
      <c r="CU806">
        <v>737.4</v>
      </c>
      <c r="CV806">
        <v>1039.0999999999999</v>
      </c>
      <c r="CW806">
        <v>1667.3</v>
      </c>
      <c r="CX806">
        <v>877.6</v>
      </c>
      <c r="CY806">
        <v>910.40000000000009</v>
      </c>
      <c r="CZ806">
        <v>0</v>
      </c>
      <c r="DA806">
        <v>0</v>
      </c>
      <c r="DB806">
        <v>0</v>
      </c>
      <c r="DC806">
        <v>0</v>
      </c>
      <c r="DD806">
        <v>0</v>
      </c>
      <c r="DE806">
        <v>0</v>
      </c>
      <c r="DF806">
        <v>0</v>
      </c>
      <c r="DG806">
        <v>0</v>
      </c>
      <c r="DH806">
        <v>0</v>
      </c>
      <c r="DI806">
        <v>0</v>
      </c>
      <c r="DJ806">
        <v>0</v>
      </c>
      <c r="DK806">
        <v>0</v>
      </c>
      <c r="DL806">
        <v>995.5</v>
      </c>
      <c r="DM806">
        <v>712.7</v>
      </c>
      <c r="DN806">
        <v>0</v>
      </c>
      <c r="DO806">
        <v>0</v>
      </c>
      <c r="DP806">
        <v>0</v>
      </c>
      <c r="DQ806">
        <v>0</v>
      </c>
      <c r="DR806">
        <v>0</v>
      </c>
      <c r="DS806">
        <v>0</v>
      </c>
      <c r="DT806">
        <v>0</v>
      </c>
      <c r="DU806">
        <v>0</v>
      </c>
      <c r="DV806">
        <v>0</v>
      </c>
      <c r="DW806">
        <v>0</v>
      </c>
      <c r="DX806">
        <v>0</v>
      </c>
      <c r="DY806">
        <v>0</v>
      </c>
      <c r="DZ806">
        <v>0</v>
      </c>
      <c r="EA806">
        <v>0</v>
      </c>
      <c r="EB806">
        <v>0</v>
      </c>
      <c r="EC806">
        <v>0</v>
      </c>
      <c r="ED806">
        <v>0</v>
      </c>
      <c r="EE806">
        <v>0</v>
      </c>
      <c r="EF806">
        <v>0</v>
      </c>
      <c r="EG806">
        <v>0</v>
      </c>
      <c r="EH806">
        <v>0</v>
      </c>
      <c r="EI806">
        <v>0</v>
      </c>
      <c r="EJ806">
        <v>0</v>
      </c>
      <c r="EK806">
        <v>0</v>
      </c>
      <c r="EL806">
        <v>0</v>
      </c>
      <c r="EM806">
        <v>0</v>
      </c>
      <c r="EN806">
        <v>27.4</v>
      </c>
      <c r="EO806">
        <v>0</v>
      </c>
      <c r="EP806">
        <v>1002.5</v>
      </c>
      <c r="EQ806">
        <v>0</v>
      </c>
      <c r="ER806">
        <v>494</v>
      </c>
      <c r="ES806">
        <v>0</v>
      </c>
      <c r="ET806">
        <v>699.3</v>
      </c>
      <c r="EU806">
        <v>435.4</v>
      </c>
      <c r="EV806">
        <v>0</v>
      </c>
      <c r="EW806">
        <v>0</v>
      </c>
      <c r="EX806">
        <v>0</v>
      </c>
      <c r="EY806">
        <v>0</v>
      </c>
      <c r="EZ806">
        <v>0</v>
      </c>
      <c r="FA806">
        <v>0</v>
      </c>
      <c r="FB806">
        <v>0</v>
      </c>
      <c r="FC806">
        <v>0</v>
      </c>
      <c r="FD806">
        <v>95.6</v>
      </c>
      <c r="FE806">
        <v>1792.1</v>
      </c>
      <c r="FF806">
        <v>1740.1999999999998</v>
      </c>
      <c r="FG806">
        <v>954.9</v>
      </c>
      <c r="FH806">
        <v>1087.8000000000002</v>
      </c>
      <c r="FI806">
        <v>1892.1</v>
      </c>
      <c r="FJ806">
        <v>1222.5</v>
      </c>
      <c r="FK806">
        <v>678.3</v>
      </c>
      <c r="FL806">
        <v>639.1</v>
      </c>
      <c r="FM806">
        <v>520.5</v>
      </c>
      <c r="FN806">
        <v>123.8</v>
      </c>
      <c r="FO806">
        <v>181.6</v>
      </c>
      <c r="FP806">
        <v>1090.5</v>
      </c>
      <c r="FQ806">
        <v>0</v>
      </c>
      <c r="FR806">
        <v>0</v>
      </c>
      <c r="FS806">
        <v>0</v>
      </c>
      <c r="FT806">
        <v>0</v>
      </c>
      <c r="FU806">
        <v>0</v>
      </c>
      <c r="FV806">
        <v>0</v>
      </c>
      <c r="FW806">
        <v>0</v>
      </c>
      <c r="FX806">
        <v>0</v>
      </c>
      <c r="FY806">
        <v>0</v>
      </c>
      <c r="FZ806">
        <v>0</v>
      </c>
      <c r="GA806">
        <v>0</v>
      </c>
      <c r="GB806">
        <v>0</v>
      </c>
      <c r="GC806">
        <v>0</v>
      </c>
      <c r="GD806">
        <v>0</v>
      </c>
      <c r="GE806">
        <v>0</v>
      </c>
      <c r="GF806">
        <v>198.3</v>
      </c>
      <c r="GG806">
        <v>1054.4000000000001</v>
      </c>
      <c r="GH806">
        <v>552.79999999999995</v>
      </c>
      <c r="GI806">
        <v>522</v>
      </c>
      <c r="GJ806">
        <v>0</v>
      </c>
      <c r="GK806">
        <v>0</v>
      </c>
      <c r="GL806">
        <v>0</v>
      </c>
      <c r="GM806">
        <v>0</v>
      </c>
      <c r="GN806">
        <v>791.40000000000009</v>
      </c>
      <c r="GO806">
        <v>1816.5</v>
      </c>
      <c r="GP806">
        <v>0</v>
      </c>
      <c r="GQ806">
        <v>0</v>
      </c>
      <c r="GR806">
        <v>0</v>
      </c>
      <c r="GS806">
        <v>0</v>
      </c>
      <c r="GT806">
        <v>0</v>
      </c>
      <c r="GU806">
        <v>0</v>
      </c>
      <c r="GV806">
        <v>0</v>
      </c>
      <c r="GW806">
        <v>0</v>
      </c>
      <c r="GX806">
        <v>0</v>
      </c>
      <c r="GY806">
        <v>840.3</v>
      </c>
      <c r="GZ806">
        <v>0</v>
      </c>
      <c r="HA806">
        <v>0</v>
      </c>
      <c r="HB806">
        <v>0</v>
      </c>
      <c r="HC806">
        <v>380.4</v>
      </c>
      <c r="HD806">
        <v>2175.5</v>
      </c>
      <c r="HE806">
        <v>0</v>
      </c>
      <c r="HF806">
        <v>0</v>
      </c>
      <c r="HG806">
        <v>0</v>
      </c>
      <c r="HH806">
        <v>0</v>
      </c>
      <c r="HI806">
        <v>0</v>
      </c>
      <c r="HJ806">
        <v>803.40000000000009</v>
      </c>
      <c r="HK806">
        <v>1270.9000000000001</v>
      </c>
      <c r="HL806">
        <v>835.7</v>
      </c>
      <c r="HM806">
        <v>1162.5999999999999</v>
      </c>
      <c r="HN806">
        <v>0</v>
      </c>
      <c r="HO806">
        <v>0</v>
      </c>
      <c r="HP806">
        <v>0</v>
      </c>
      <c r="HQ806">
        <v>0</v>
      </c>
      <c r="HR806">
        <v>161.19999999999999</v>
      </c>
      <c r="HS806">
        <v>0</v>
      </c>
      <c r="HT806">
        <v>2048.5</v>
      </c>
      <c r="HU806">
        <v>2627.5</v>
      </c>
      <c r="HV806">
        <v>1168.5999999999999</v>
      </c>
      <c r="HW806">
        <v>388</v>
      </c>
      <c r="HX806">
        <v>0</v>
      </c>
      <c r="HY806">
        <v>0</v>
      </c>
      <c r="HZ806">
        <v>0</v>
      </c>
      <c r="IA806">
        <v>0</v>
      </c>
      <c r="IB806">
        <v>0</v>
      </c>
      <c r="IC806">
        <v>594.4</v>
      </c>
      <c r="ID806">
        <v>427.4</v>
      </c>
      <c r="IE806">
        <v>713.3</v>
      </c>
      <c r="IF806">
        <v>626.1</v>
      </c>
      <c r="IG806">
        <v>0</v>
      </c>
      <c r="IH806">
        <v>0</v>
      </c>
      <c r="II806">
        <v>995.7</v>
      </c>
      <c r="IJ806">
        <v>1156.5999999999999</v>
      </c>
      <c r="IK806">
        <v>864.6</v>
      </c>
      <c r="IL806">
        <v>316.5</v>
      </c>
      <c r="IM806">
        <v>101.5</v>
      </c>
      <c r="IN806">
        <v>71.8</v>
      </c>
      <c r="IO806">
        <v>0</v>
      </c>
      <c r="IP806">
        <v>0</v>
      </c>
      <c r="IQ806">
        <v>0</v>
      </c>
      <c r="IR806">
        <v>0</v>
      </c>
      <c r="IS806">
        <v>0</v>
      </c>
      <c r="IT806">
        <v>0</v>
      </c>
      <c r="IU806">
        <v>0</v>
      </c>
      <c r="IV806">
        <v>0</v>
      </c>
      <c r="IW806">
        <v>68</v>
      </c>
      <c r="IX806">
        <v>404.7</v>
      </c>
      <c r="IY806">
        <v>126.6</v>
      </c>
      <c r="IZ806">
        <v>126.6</v>
      </c>
      <c r="JA806">
        <v>503.7</v>
      </c>
      <c r="JB806">
        <v>570.1</v>
      </c>
      <c r="JC806">
        <v>328.3</v>
      </c>
      <c r="JD806">
        <v>0</v>
      </c>
      <c r="JE806">
        <v>0</v>
      </c>
      <c r="JF806">
        <v>0</v>
      </c>
      <c r="JG806">
        <v>0</v>
      </c>
      <c r="JH806">
        <v>287.3</v>
      </c>
      <c r="JI806">
        <v>68.2</v>
      </c>
      <c r="JJ806">
        <v>0</v>
      </c>
      <c r="JK806">
        <v>148.6</v>
      </c>
      <c r="JL806">
        <v>0</v>
      </c>
      <c r="JM806">
        <v>0</v>
      </c>
      <c r="JN806">
        <v>204.5</v>
      </c>
      <c r="JO806">
        <v>292.10000000000002</v>
      </c>
      <c r="JP806">
        <v>670.8</v>
      </c>
      <c r="JQ806">
        <v>745.2</v>
      </c>
      <c r="JR806">
        <v>242.9</v>
      </c>
    </row>
    <row r="807" spans="2:278" ht="18" thickBot="1">
      <c r="B807" s="522" t="s">
        <v>1233</v>
      </c>
      <c r="C807" s="535" t="s">
        <v>1504</v>
      </c>
      <c r="D807" s="529" t="s">
        <v>1387</v>
      </c>
      <c r="E807" s="454">
        <v>22829.8</v>
      </c>
      <c r="F807">
        <v>20193.400000000001</v>
      </c>
      <c r="G807" s="427">
        <v>0</v>
      </c>
      <c r="H807" s="155">
        <v>0</v>
      </c>
      <c r="I807">
        <v>0</v>
      </c>
      <c r="J807">
        <v>0</v>
      </c>
      <c r="K807">
        <v>0</v>
      </c>
      <c r="L807" s="4">
        <v>0</v>
      </c>
      <c r="M807" s="4">
        <v>0</v>
      </c>
      <c r="N807" s="4">
        <v>0</v>
      </c>
      <c r="O807" s="4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1476.4</v>
      </c>
      <c r="X807">
        <v>1482</v>
      </c>
      <c r="Y807">
        <v>457.20000000000005</v>
      </c>
      <c r="Z807">
        <v>0</v>
      </c>
      <c r="AA807">
        <v>0</v>
      </c>
      <c r="AB807">
        <v>0</v>
      </c>
      <c r="AC807">
        <v>0</v>
      </c>
      <c r="AD807">
        <v>3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1828.6</v>
      </c>
      <c r="AK807">
        <v>1800.7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560.70000000000005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>
        <v>0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  <c r="CN807">
        <v>0</v>
      </c>
      <c r="CO807">
        <v>0</v>
      </c>
      <c r="CP807">
        <v>3.5</v>
      </c>
      <c r="CQ807">
        <v>0</v>
      </c>
      <c r="CR807">
        <v>528</v>
      </c>
      <c r="CS807">
        <v>581.79999999999995</v>
      </c>
      <c r="CT807">
        <v>555.40000000000009</v>
      </c>
      <c r="CU807">
        <v>737.4</v>
      </c>
      <c r="CV807">
        <v>1039.0999999999999</v>
      </c>
      <c r="CW807">
        <v>1667.3</v>
      </c>
      <c r="CX807">
        <v>877.6</v>
      </c>
      <c r="CY807">
        <v>910.40000000000009</v>
      </c>
      <c r="CZ807">
        <v>0</v>
      </c>
      <c r="DA807">
        <v>0</v>
      </c>
      <c r="DB807">
        <v>0</v>
      </c>
      <c r="DC807">
        <v>0</v>
      </c>
      <c r="DD807">
        <v>0</v>
      </c>
      <c r="DE807">
        <v>0</v>
      </c>
      <c r="DF807">
        <v>0</v>
      </c>
      <c r="DG807">
        <v>0</v>
      </c>
      <c r="DH807">
        <v>0</v>
      </c>
      <c r="DI807">
        <v>0</v>
      </c>
      <c r="DJ807">
        <v>0</v>
      </c>
      <c r="DK807">
        <v>0</v>
      </c>
      <c r="DL807">
        <v>995.5</v>
      </c>
      <c r="DM807">
        <v>712.7</v>
      </c>
      <c r="DN807">
        <v>0</v>
      </c>
      <c r="DO807">
        <v>0</v>
      </c>
      <c r="DP807">
        <v>0</v>
      </c>
      <c r="DQ807">
        <v>0</v>
      </c>
      <c r="DR807">
        <v>0</v>
      </c>
      <c r="DS807">
        <v>0</v>
      </c>
      <c r="DT807">
        <v>0</v>
      </c>
      <c r="DU807">
        <v>0</v>
      </c>
      <c r="DV807">
        <v>0</v>
      </c>
      <c r="DW807">
        <v>0</v>
      </c>
      <c r="DX807">
        <v>0</v>
      </c>
      <c r="DY807">
        <v>0</v>
      </c>
      <c r="DZ807">
        <v>0</v>
      </c>
      <c r="EA807">
        <v>0</v>
      </c>
      <c r="EB807">
        <v>0</v>
      </c>
      <c r="EC807">
        <v>0</v>
      </c>
      <c r="ED807">
        <v>0</v>
      </c>
      <c r="EE807">
        <v>0</v>
      </c>
      <c r="EF807">
        <v>0</v>
      </c>
      <c r="EG807">
        <v>0</v>
      </c>
      <c r="EH807">
        <v>0</v>
      </c>
      <c r="EI807">
        <v>0</v>
      </c>
      <c r="EJ807">
        <v>0</v>
      </c>
      <c r="EK807">
        <v>0</v>
      </c>
      <c r="EL807">
        <v>0</v>
      </c>
      <c r="EM807">
        <v>0</v>
      </c>
      <c r="EN807">
        <v>27.4</v>
      </c>
      <c r="EO807">
        <v>0</v>
      </c>
      <c r="EP807">
        <v>1002.5</v>
      </c>
      <c r="EQ807">
        <v>0</v>
      </c>
      <c r="ER807">
        <v>494</v>
      </c>
      <c r="ES807">
        <v>0</v>
      </c>
      <c r="ET807">
        <v>699.3</v>
      </c>
      <c r="EU807">
        <v>435.4</v>
      </c>
      <c r="EV807">
        <v>0</v>
      </c>
      <c r="EW807">
        <v>0</v>
      </c>
      <c r="EX807">
        <v>0</v>
      </c>
      <c r="EY807">
        <v>0</v>
      </c>
      <c r="EZ807">
        <v>0</v>
      </c>
      <c r="FA807">
        <v>0</v>
      </c>
      <c r="FB807">
        <v>0</v>
      </c>
      <c r="FC807">
        <v>0</v>
      </c>
      <c r="FD807">
        <v>95.6</v>
      </c>
      <c r="FE807">
        <v>1792.1</v>
      </c>
      <c r="FF807">
        <v>1740.1999999999998</v>
      </c>
      <c r="FG807">
        <v>954.9</v>
      </c>
      <c r="FH807">
        <v>1087.8000000000002</v>
      </c>
      <c r="FI807">
        <v>1892.1</v>
      </c>
      <c r="FJ807">
        <v>1222.5</v>
      </c>
      <c r="FK807">
        <v>678.3</v>
      </c>
      <c r="FL807">
        <v>639.1</v>
      </c>
      <c r="FM807">
        <v>520.5</v>
      </c>
      <c r="FN807">
        <v>123.8</v>
      </c>
      <c r="FO807">
        <v>181.6</v>
      </c>
      <c r="FP807">
        <v>1090.5</v>
      </c>
      <c r="FQ807">
        <v>0</v>
      </c>
      <c r="FR807">
        <v>0</v>
      </c>
      <c r="FS807">
        <v>0</v>
      </c>
      <c r="FT807">
        <v>0</v>
      </c>
      <c r="FU807">
        <v>0</v>
      </c>
      <c r="FV807">
        <v>0</v>
      </c>
      <c r="FW807">
        <v>0</v>
      </c>
      <c r="FX807">
        <v>0</v>
      </c>
      <c r="FY807">
        <v>0</v>
      </c>
      <c r="FZ807">
        <v>0</v>
      </c>
      <c r="GA807">
        <v>0</v>
      </c>
      <c r="GB807">
        <v>0</v>
      </c>
      <c r="GC807">
        <v>0</v>
      </c>
      <c r="GD807">
        <v>0</v>
      </c>
      <c r="GE807">
        <v>0</v>
      </c>
      <c r="GF807">
        <v>198.3</v>
      </c>
      <c r="GG807">
        <v>1054.4000000000001</v>
      </c>
      <c r="GH807">
        <v>552.79999999999995</v>
      </c>
      <c r="GI807">
        <v>522</v>
      </c>
      <c r="GJ807">
        <v>0</v>
      </c>
      <c r="GK807">
        <v>0</v>
      </c>
      <c r="GL807">
        <v>0</v>
      </c>
      <c r="GM807">
        <v>0</v>
      </c>
      <c r="GN807">
        <v>791.40000000000009</v>
      </c>
      <c r="GO807">
        <v>1816.5</v>
      </c>
      <c r="GP807">
        <v>0</v>
      </c>
      <c r="GQ807">
        <v>0</v>
      </c>
      <c r="GR807">
        <v>0</v>
      </c>
      <c r="GS807">
        <v>0</v>
      </c>
      <c r="GT807">
        <v>0</v>
      </c>
      <c r="GU807">
        <v>0</v>
      </c>
      <c r="GV807">
        <v>0</v>
      </c>
      <c r="GW807">
        <v>0</v>
      </c>
      <c r="GX807">
        <v>0</v>
      </c>
      <c r="GY807">
        <v>840.3</v>
      </c>
      <c r="GZ807">
        <v>0</v>
      </c>
      <c r="HA807">
        <v>0</v>
      </c>
      <c r="HB807">
        <v>0</v>
      </c>
      <c r="HC807">
        <v>380.4</v>
      </c>
      <c r="HD807">
        <v>2175.5</v>
      </c>
      <c r="HE807">
        <v>0</v>
      </c>
      <c r="HF807">
        <v>0</v>
      </c>
      <c r="HG807">
        <v>0</v>
      </c>
      <c r="HH807">
        <v>0</v>
      </c>
      <c r="HI807">
        <v>0</v>
      </c>
      <c r="HJ807">
        <v>803.40000000000009</v>
      </c>
      <c r="HK807">
        <v>1270.9000000000001</v>
      </c>
      <c r="HL807">
        <v>835.7</v>
      </c>
      <c r="HM807">
        <v>1162.5999999999999</v>
      </c>
      <c r="HN807">
        <v>0</v>
      </c>
      <c r="HO807">
        <v>0</v>
      </c>
      <c r="HP807">
        <v>0</v>
      </c>
      <c r="HQ807">
        <v>0</v>
      </c>
      <c r="HR807">
        <v>161.19999999999999</v>
      </c>
      <c r="HS807">
        <v>0</v>
      </c>
      <c r="HT807">
        <v>2048.5</v>
      </c>
      <c r="HU807">
        <v>2627.5</v>
      </c>
      <c r="HV807">
        <v>1168.5999999999999</v>
      </c>
      <c r="HW807">
        <v>388</v>
      </c>
      <c r="HX807">
        <v>0</v>
      </c>
      <c r="HY807">
        <v>0</v>
      </c>
      <c r="HZ807">
        <v>0</v>
      </c>
      <c r="IA807">
        <v>0</v>
      </c>
      <c r="IB807">
        <v>0</v>
      </c>
      <c r="IC807">
        <v>594.4</v>
      </c>
      <c r="ID807">
        <v>427.4</v>
      </c>
      <c r="IE807">
        <v>713.3</v>
      </c>
      <c r="IF807">
        <v>626.1</v>
      </c>
      <c r="IG807">
        <v>0</v>
      </c>
      <c r="IH807">
        <v>0</v>
      </c>
      <c r="II807">
        <v>995.7</v>
      </c>
      <c r="IJ807">
        <v>1156.5999999999999</v>
      </c>
      <c r="IK807">
        <v>864.6</v>
      </c>
      <c r="IL807">
        <v>316.5</v>
      </c>
      <c r="IM807">
        <v>101.5</v>
      </c>
      <c r="IN807">
        <v>71.8</v>
      </c>
      <c r="IO807">
        <v>0</v>
      </c>
      <c r="IP807">
        <v>0</v>
      </c>
      <c r="IQ807">
        <v>0</v>
      </c>
      <c r="IR807">
        <v>0</v>
      </c>
      <c r="IS807">
        <v>0</v>
      </c>
      <c r="IT807">
        <v>0</v>
      </c>
      <c r="IU807">
        <v>0</v>
      </c>
      <c r="IV807">
        <v>0</v>
      </c>
      <c r="IW807">
        <v>68</v>
      </c>
      <c r="IX807">
        <v>404.7</v>
      </c>
      <c r="IY807">
        <v>126.6</v>
      </c>
      <c r="IZ807">
        <v>126.6</v>
      </c>
      <c r="JA807">
        <v>503.7</v>
      </c>
      <c r="JB807">
        <v>570.1</v>
      </c>
      <c r="JC807">
        <v>328.3</v>
      </c>
      <c r="JD807">
        <v>0</v>
      </c>
      <c r="JE807">
        <v>0</v>
      </c>
      <c r="JF807">
        <v>0</v>
      </c>
      <c r="JG807">
        <v>0</v>
      </c>
      <c r="JH807">
        <v>287.3</v>
      </c>
      <c r="JI807">
        <v>68.2</v>
      </c>
      <c r="JJ807">
        <v>0</v>
      </c>
      <c r="JK807">
        <v>148.6</v>
      </c>
      <c r="JL807">
        <v>0</v>
      </c>
      <c r="JM807">
        <v>0</v>
      </c>
      <c r="JN807">
        <v>204.5</v>
      </c>
      <c r="JO807">
        <v>292.10000000000002</v>
      </c>
      <c r="JP807">
        <v>670.8</v>
      </c>
      <c r="JQ807">
        <v>745.2</v>
      </c>
      <c r="JR807">
        <v>242.9</v>
      </c>
    </row>
    <row r="808" spans="2:278" ht="18" thickBot="1">
      <c r="B808" s="551"/>
      <c r="C808" s="536"/>
      <c r="D808" s="553"/>
      <c r="E808" s="454">
        <v>22829.8</v>
      </c>
      <c r="F808">
        <v>20193.400000000001</v>
      </c>
      <c r="G808" s="427">
        <v>0</v>
      </c>
      <c r="H808" s="155">
        <v>0</v>
      </c>
      <c r="I808">
        <v>0</v>
      </c>
      <c r="J808">
        <v>0</v>
      </c>
      <c r="K808">
        <v>0</v>
      </c>
      <c r="L808" s="4">
        <v>0</v>
      </c>
      <c r="M808" s="4">
        <v>0</v>
      </c>
      <c r="N808" s="4">
        <v>0</v>
      </c>
      <c r="O808" s="4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1476.4</v>
      </c>
      <c r="X808">
        <v>1482</v>
      </c>
      <c r="Y808">
        <v>457.20000000000005</v>
      </c>
      <c r="Z808">
        <v>0</v>
      </c>
      <c r="AA808">
        <v>0</v>
      </c>
      <c r="AB808">
        <v>0</v>
      </c>
      <c r="AC808">
        <v>0</v>
      </c>
      <c r="AD808">
        <v>3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1828.6</v>
      </c>
      <c r="AK808">
        <v>1800.7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560.70000000000005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  <c r="CF808">
        <v>0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  <c r="CN808">
        <v>0</v>
      </c>
      <c r="CO808">
        <v>0</v>
      </c>
      <c r="CP808">
        <v>3.5</v>
      </c>
      <c r="CQ808">
        <v>0</v>
      </c>
      <c r="CR808">
        <v>528</v>
      </c>
      <c r="CS808">
        <v>581.79999999999995</v>
      </c>
      <c r="CT808">
        <v>555.40000000000009</v>
      </c>
      <c r="CU808">
        <v>737.4</v>
      </c>
      <c r="CV808">
        <v>1039.0999999999999</v>
      </c>
      <c r="CW808">
        <v>1667.3</v>
      </c>
      <c r="CX808">
        <v>877.6</v>
      </c>
      <c r="CY808">
        <v>910.40000000000009</v>
      </c>
      <c r="CZ808">
        <v>0</v>
      </c>
      <c r="DA808">
        <v>0</v>
      </c>
      <c r="DB808">
        <v>0</v>
      </c>
      <c r="DC808">
        <v>0</v>
      </c>
      <c r="DD808">
        <v>0</v>
      </c>
      <c r="DE808">
        <v>0</v>
      </c>
      <c r="DF808">
        <v>0</v>
      </c>
      <c r="DG808">
        <v>0</v>
      </c>
      <c r="DH808">
        <v>0</v>
      </c>
      <c r="DI808">
        <v>0</v>
      </c>
      <c r="DJ808">
        <v>0</v>
      </c>
      <c r="DK808">
        <v>0</v>
      </c>
      <c r="DL808">
        <v>995.5</v>
      </c>
      <c r="DM808">
        <v>712.7</v>
      </c>
      <c r="DN808">
        <v>0</v>
      </c>
      <c r="DO808">
        <v>0</v>
      </c>
      <c r="DP808">
        <v>0</v>
      </c>
      <c r="DQ808">
        <v>0</v>
      </c>
      <c r="DR808">
        <v>0</v>
      </c>
      <c r="DS808">
        <v>0</v>
      </c>
      <c r="DT808">
        <v>0</v>
      </c>
      <c r="DU808">
        <v>0</v>
      </c>
      <c r="DV808">
        <v>0</v>
      </c>
      <c r="DW808">
        <v>0</v>
      </c>
      <c r="DX808">
        <v>0</v>
      </c>
      <c r="DY808">
        <v>0</v>
      </c>
      <c r="DZ808">
        <v>0</v>
      </c>
      <c r="EA808">
        <v>0</v>
      </c>
      <c r="EB808">
        <v>0</v>
      </c>
      <c r="EC808">
        <v>0</v>
      </c>
      <c r="ED808">
        <v>0</v>
      </c>
      <c r="EE808">
        <v>0</v>
      </c>
      <c r="EF808">
        <v>0</v>
      </c>
      <c r="EG808">
        <v>0</v>
      </c>
      <c r="EH808">
        <v>0</v>
      </c>
      <c r="EI808">
        <v>0</v>
      </c>
      <c r="EJ808">
        <v>0</v>
      </c>
      <c r="EK808">
        <v>0</v>
      </c>
      <c r="EL808">
        <v>0</v>
      </c>
      <c r="EM808">
        <v>0</v>
      </c>
      <c r="EN808">
        <v>27.4</v>
      </c>
      <c r="EO808">
        <v>0</v>
      </c>
      <c r="EP808">
        <v>1002.5</v>
      </c>
      <c r="EQ808">
        <v>0</v>
      </c>
      <c r="ER808">
        <v>494</v>
      </c>
      <c r="ES808">
        <v>0</v>
      </c>
      <c r="ET808">
        <v>699.3</v>
      </c>
      <c r="EU808">
        <v>435.4</v>
      </c>
      <c r="EV808">
        <v>0</v>
      </c>
      <c r="EW808">
        <v>0</v>
      </c>
      <c r="EX808">
        <v>0</v>
      </c>
      <c r="EY808">
        <v>0</v>
      </c>
      <c r="EZ808">
        <v>0</v>
      </c>
      <c r="FA808">
        <v>0</v>
      </c>
      <c r="FB808">
        <v>0</v>
      </c>
      <c r="FC808">
        <v>0</v>
      </c>
      <c r="FD808">
        <v>95.6</v>
      </c>
      <c r="FE808">
        <v>1792.1</v>
      </c>
      <c r="FF808">
        <v>1740.1999999999998</v>
      </c>
      <c r="FG808">
        <v>954.9</v>
      </c>
      <c r="FH808">
        <v>1087.8000000000002</v>
      </c>
      <c r="FI808">
        <v>1892.1</v>
      </c>
      <c r="FJ808">
        <v>1222.5</v>
      </c>
      <c r="FK808">
        <v>678.3</v>
      </c>
      <c r="FL808">
        <v>639.1</v>
      </c>
      <c r="FM808">
        <v>520.5</v>
      </c>
      <c r="FN808">
        <v>123.8</v>
      </c>
      <c r="FO808">
        <v>181.6</v>
      </c>
      <c r="FP808">
        <v>1090.5</v>
      </c>
      <c r="FQ808">
        <v>0</v>
      </c>
      <c r="FR808">
        <v>0</v>
      </c>
      <c r="FS808">
        <v>0</v>
      </c>
      <c r="FT808">
        <v>0</v>
      </c>
      <c r="FU808">
        <v>0</v>
      </c>
      <c r="FV808">
        <v>0</v>
      </c>
      <c r="FW808">
        <v>0</v>
      </c>
      <c r="FX808">
        <v>0</v>
      </c>
      <c r="FY808">
        <v>0</v>
      </c>
      <c r="FZ808">
        <v>0</v>
      </c>
      <c r="GA808">
        <v>0</v>
      </c>
      <c r="GB808">
        <v>0</v>
      </c>
      <c r="GC808">
        <v>0</v>
      </c>
      <c r="GD808">
        <v>0</v>
      </c>
      <c r="GE808">
        <v>0</v>
      </c>
      <c r="GF808">
        <v>198.3</v>
      </c>
      <c r="GG808">
        <v>1054.4000000000001</v>
      </c>
      <c r="GH808">
        <v>552.79999999999995</v>
      </c>
      <c r="GI808">
        <v>522</v>
      </c>
      <c r="GJ808">
        <v>0</v>
      </c>
      <c r="GK808">
        <v>0</v>
      </c>
      <c r="GL808">
        <v>0</v>
      </c>
      <c r="GM808">
        <v>0</v>
      </c>
      <c r="GN808">
        <v>791.40000000000009</v>
      </c>
      <c r="GO808">
        <v>1816.5</v>
      </c>
      <c r="GP808">
        <v>0</v>
      </c>
      <c r="GQ808">
        <v>0</v>
      </c>
      <c r="GR808">
        <v>0</v>
      </c>
      <c r="GS808">
        <v>0</v>
      </c>
      <c r="GT808">
        <v>0</v>
      </c>
      <c r="GU808">
        <v>0</v>
      </c>
      <c r="GV808">
        <v>0</v>
      </c>
      <c r="GW808">
        <v>0</v>
      </c>
      <c r="GX808">
        <v>0</v>
      </c>
      <c r="GY808">
        <v>840.3</v>
      </c>
      <c r="GZ808">
        <v>0</v>
      </c>
      <c r="HA808">
        <v>0</v>
      </c>
      <c r="HB808">
        <v>0</v>
      </c>
      <c r="HC808">
        <v>380.4</v>
      </c>
      <c r="HD808">
        <v>2175.5</v>
      </c>
      <c r="HE808">
        <v>0</v>
      </c>
      <c r="HF808">
        <v>0</v>
      </c>
      <c r="HG808">
        <v>0</v>
      </c>
      <c r="HH808">
        <v>0</v>
      </c>
      <c r="HI808">
        <v>0</v>
      </c>
      <c r="HJ808">
        <v>803.40000000000009</v>
      </c>
      <c r="HK808">
        <v>1270.9000000000001</v>
      </c>
      <c r="HL808">
        <v>835.7</v>
      </c>
      <c r="HM808">
        <v>1162.5999999999999</v>
      </c>
      <c r="HN808">
        <v>0</v>
      </c>
      <c r="HO808">
        <v>0</v>
      </c>
      <c r="HP808">
        <v>0</v>
      </c>
      <c r="HQ808">
        <v>0</v>
      </c>
      <c r="HR808">
        <v>161.19999999999999</v>
      </c>
      <c r="HS808">
        <v>0</v>
      </c>
      <c r="HT808">
        <v>2048.5</v>
      </c>
      <c r="HU808">
        <v>2627.5</v>
      </c>
      <c r="HV808">
        <v>1168.5999999999999</v>
      </c>
      <c r="HW808">
        <v>388</v>
      </c>
      <c r="HX808">
        <v>0</v>
      </c>
      <c r="HY808">
        <v>0</v>
      </c>
      <c r="HZ808">
        <v>0</v>
      </c>
      <c r="IA808">
        <v>0</v>
      </c>
      <c r="IB808">
        <v>0</v>
      </c>
      <c r="IC808">
        <v>594.4</v>
      </c>
      <c r="ID808">
        <v>427.4</v>
      </c>
      <c r="IE808">
        <v>713.3</v>
      </c>
      <c r="IF808">
        <v>626.1</v>
      </c>
      <c r="IG808">
        <v>0</v>
      </c>
      <c r="IH808">
        <v>0</v>
      </c>
      <c r="II808">
        <v>995.7</v>
      </c>
      <c r="IJ808">
        <v>1156.5999999999999</v>
      </c>
      <c r="IK808">
        <v>864.6</v>
      </c>
      <c r="IL808">
        <v>316.5</v>
      </c>
      <c r="IM808">
        <v>101.5</v>
      </c>
      <c r="IN808">
        <v>71.8</v>
      </c>
      <c r="IO808">
        <v>0</v>
      </c>
      <c r="IP808">
        <v>0</v>
      </c>
      <c r="IQ808">
        <v>0</v>
      </c>
      <c r="IR808">
        <v>0</v>
      </c>
      <c r="IS808">
        <v>0</v>
      </c>
      <c r="IT808">
        <v>0</v>
      </c>
      <c r="IU808">
        <v>0</v>
      </c>
      <c r="IV808">
        <v>0</v>
      </c>
      <c r="IW808">
        <v>68</v>
      </c>
      <c r="IX808">
        <v>404.7</v>
      </c>
      <c r="IY808">
        <v>126.6</v>
      </c>
      <c r="IZ808">
        <v>126.6</v>
      </c>
      <c r="JA808">
        <v>503.7</v>
      </c>
      <c r="JB808">
        <v>570.1</v>
      </c>
      <c r="JC808">
        <v>328.3</v>
      </c>
      <c r="JD808">
        <v>0</v>
      </c>
      <c r="JE808">
        <v>0</v>
      </c>
      <c r="JF808">
        <v>0</v>
      </c>
      <c r="JG808">
        <v>0</v>
      </c>
      <c r="JH808">
        <v>287.3</v>
      </c>
      <c r="JI808">
        <v>68.2</v>
      </c>
      <c r="JJ808">
        <v>0</v>
      </c>
      <c r="JK808">
        <v>148.6</v>
      </c>
      <c r="JL808">
        <v>0</v>
      </c>
      <c r="JM808">
        <v>0</v>
      </c>
      <c r="JN808">
        <v>204.5</v>
      </c>
      <c r="JO808">
        <v>292.10000000000002</v>
      </c>
      <c r="JP808">
        <v>670.8</v>
      </c>
      <c r="JQ808">
        <v>745.2</v>
      </c>
      <c r="JR808">
        <v>242.9</v>
      </c>
    </row>
    <row r="809" spans="2:278" ht="18" thickBot="1">
      <c r="B809" s="368" t="s">
        <v>937</v>
      </c>
      <c r="C809" s="413" t="s">
        <v>1505</v>
      </c>
      <c r="D809" s="368" t="s">
        <v>1387</v>
      </c>
      <c r="E809" s="454">
        <v>22829.8</v>
      </c>
      <c r="F809">
        <v>20193.400000000001</v>
      </c>
      <c r="G809" s="427">
        <v>0</v>
      </c>
      <c r="H809" s="155">
        <v>0</v>
      </c>
      <c r="I809">
        <v>0</v>
      </c>
      <c r="J809">
        <v>0</v>
      </c>
      <c r="K809">
        <v>0</v>
      </c>
      <c r="L809" s="4">
        <v>0</v>
      </c>
      <c r="M809" s="4">
        <v>0</v>
      </c>
      <c r="N809" s="4">
        <v>0</v>
      </c>
      <c r="O809" s="4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1476.4</v>
      </c>
      <c r="X809">
        <v>1482</v>
      </c>
      <c r="Y809">
        <v>457.20000000000005</v>
      </c>
      <c r="Z809">
        <v>0</v>
      </c>
      <c r="AA809">
        <v>0</v>
      </c>
      <c r="AB809">
        <v>0</v>
      </c>
      <c r="AC809">
        <v>0</v>
      </c>
      <c r="AD809">
        <v>3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1828.6</v>
      </c>
      <c r="AK809">
        <v>1800.7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560.70000000000005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  <c r="CN809">
        <v>0</v>
      </c>
      <c r="CO809">
        <v>0</v>
      </c>
      <c r="CP809">
        <v>3.5</v>
      </c>
      <c r="CQ809">
        <v>0</v>
      </c>
      <c r="CR809">
        <v>528</v>
      </c>
      <c r="CS809">
        <v>581.79999999999995</v>
      </c>
      <c r="CT809">
        <v>555.40000000000009</v>
      </c>
      <c r="CU809">
        <v>737.4</v>
      </c>
      <c r="CV809">
        <v>1039.0999999999999</v>
      </c>
      <c r="CW809">
        <v>1667.3</v>
      </c>
      <c r="CX809">
        <v>877.6</v>
      </c>
      <c r="CY809">
        <v>910.40000000000009</v>
      </c>
      <c r="CZ809">
        <v>0</v>
      </c>
      <c r="DA809">
        <v>0</v>
      </c>
      <c r="DB809">
        <v>0</v>
      </c>
      <c r="DC809">
        <v>0</v>
      </c>
      <c r="DD809">
        <v>0</v>
      </c>
      <c r="DE809">
        <v>0</v>
      </c>
      <c r="DF809">
        <v>0</v>
      </c>
      <c r="DG809">
        <v>0</v>
      </c>
      <c r="DH809">
        <v>0</v>
      </c>
      <c r="DI809">
        <v>0</v>
      </c>
      <c r="DJ809">
        <v>0</v>
      </c>
      <c r="DK809">
        <v>0</v>
      </c>
      <c r="DL809">
        <v>995.5</v>
      </c>
      <c r="DM809">
        <v>712.7</v>
      </c>
      <c r="DN809">
        <v>0</v>
      </c>
      <c r="DO809">
        <v>0</v>
      </c>
      <c r="DP809">
        <v>0</v>
      </c>
      <c r="DQ809">
        <v>0</v>
      </c>
      <c r="DR809">
        <v>0</v>
      </c>
      <c r="DS809">
        <v>0</v>
      </c>
      <c r="DT809">
        <v>0</v>
      </c>
      <c r="DU809">
        <v>0</v>
      </c>
      <c r="DV809">
        <v>0</v>
      </c>
      <c r="DW809">
        <v>0</v>
      </c>
      <c r="DX809">
        <v>0</v>
      </c>
      <c r="DY809">
        <v>0</v>
      </c>
      <c r="DZ809">
        <v>0</v>
      </c>
      <c r="EA809">
        <v>0</v>
      </c>
      <c r="EB809">
        <v>0</v>
      </c>
      <c r="EC809">
        <v>0</v>
      </c>
      <c r="ED809">
        <v>0</v>
      </c>
      <c r="EE809">
        <v>0</v>
      </c>
      <c r="EF809">
        <v>0</v>
      </c>
      <c r="EG809">
        <v>0</v>
      </c>
      <c r="EH809">
        <v>0</v>
      </c>
      <c r="EI809">
        <v>0</v>
      </c>
      <c r="EJ809">
        <v>0</v>
      </c>
      <c r="EK809">
        <v>0</v>
      </c>
      <c r="EL809">
        <v>0</v>
      </c>
      <c r="EM809">
        <v>0</v>
      </c>
      <c r="EN809">
        <v>27.4</v>
      </c>
      <c r="EO809">
        <v>0</v>
      </c>
      <c r="EP809">
        <v>1002.5</v>
      </c>
      <c r="EQ809">
        <v>0</v>
      </c>
      <c r="ER809">
        <v>494</v>
      </c>
      <c r="ES809">
        <v>0</v>
      </c>
      <c r="ET809">
        <v>699.3</v>
      </c>
      <c r="EU809">
        <v>435.4</v>
      </c>
      <c r="EV809">
        <v>0</v>
      </c>
      <c r="EW809">
        <v>0</v>
      </c>
      <c r="EX809">
        <v>0</v>
      </c>
      <c r="EY809">
        <v>0</v>
      </c>
      <c r="EZ809">
        <v>0</v>
      </c>
      <c r="FA809">
        <v>0</v>
      </c>
      <c r="FB809">
        <v>0</v>
      </c>
      <c r="FC809">
        <v>0</v>
      </c>
      <c r="FD809">
        <v>95.6</v>
      </c>
      <c r="FE809">
        <v>1792.1</v>
      </c>
      <c r="FF809">
        <v>1740.1999999999998</v>
      </c>
      <c r="FG809">
        <v>954.9</v>
      </c>
      <c r="FH809">
        <v>1087.8000000000002</v>
      </c>
      <c r="FI809">
        <v>1892.1</v>
      </c>
      <c r="FJ809">
        <v>1222.5</v>
      </c>
      <c r="FK809">
        <v>678.3</v>
      </c>
      <c r="FL809">
        <v>639.1</v>
      </c>
      <c r="FM809">
        <v>520.5</v>
      </c>
      <c r="FN809">
        <v>123.8</v>
      </c>
      <c r="FO809">
        <v>181.6</v>
      </c>
      <c r="FP809">
        <v>1090.5</v>
      </c>
      <c r="FQ809">
        <v>0</v>
      </c>
      <c r="FR809">
        <v>0</v>
      </c>
      <c r="FS809">
        <v>0</v>
      </c>
      <c r="FT809">
        <v>0</v>
      </c>
      <c r="FU809">
        <v>0</v>
      </c>
      <c r="FV809">
        <v>0</v>
      </c>
      <c r="FW809">
        <v>0</v>
      </c>
      <c r="FX809">
        <v>0</v>
      </c>
      <c r="FY809">
        <v>0</v>
      </c>
      <c r="FZ809">
        <v>0</v>
      </c>
      <c r="GA809">
        <v>0</v>
      </c>
      <c r="GB809">
        <v>0</v>
      </c>
      <c r="GC809">
        <v>0</v>
      </c>
      <c r="GD809">
        <v>0</v>
      </c>
      <c r="GE809">
        <v>0</v>
      </c>
      <c r="GF809">
        <v>198.3</v>
      </c>
      <c r="GG809">
        <v>1054.4000000000001</v>
      </c>
      <c r="GH809">
        <v>552.79999999999995</v>
      </c>
      <c r="GI809">
        <v>522</v>
      </c>
      <c r="GJ809">
        <v>0</v>
      </c>
      <c r="GK809">
        <v>0</v>
      </c>
      <c r="GL809">
        <v>0</v>
      </c>
      <c r="GM809">
        <v>0</v>
      </c>
      <c r="GN809">
        <v>791.40000000000009</v>
      </c>
      <c r="GO809">
        <v>1816.5</v>
      </c>
      <c r="GP809">
        <v>0</v>
      </c>
      <c r="GQ809">
        <v>0</v>
      </c>
      <c r="GR809">
        <v>0</v>
      </c>
      <c r="GS809">
        <v>0</v>
      </c>
      <c r="GT809">
        <v>0</v>
      </c>
      <c r="GU809">
        <v>0</v>
      </c>
      <c r="GV809">
        <v>0</v>
      </c>
      <c r="GW809">
        <v>0</v>
      </c>
      <c r="GX809">
        <v>0</v>
      </c>
      <c r="GY809">
        <v>840.3</v>
      </c>
      <c r="GZ809">
        <v>0</v>
      </c>
      <c r="HA809">
        <v>0</v>
      </c>
      <c r="HB809">
        <v>0</v>
      </c>
      <c r="HC809">
        <v>380.4</v>
      </c>
      <c r="HD809">
        <v>2175.5</v>
      </c>
      <c r="HE809">
        <v>0</v>
      </c>
      <c r="HF809">
        <v>0</v>
      </c>
      <c r="HG809">
        <v>0</v>
      </c>
      <c r="HH809">
        <v>0</v>
      </c>
      <c r="HI809">
        <v>0</v>
      </c>
      <c r="HJ809">
        <v>803.40000000000009</v>
      </c>
      <c r="HK809">
        <v>1270.9000000000001</v>
      </c>
      <c r="HL809">
        <v>835.7</v>
      </c>
      <c r="HM809">
        <v>1162.5999999999999</v>
      </c>
      <c r="HN809">
        <v>0</v>
      </c>
      <c r="HO809">
        <v>0</v>
      </c>
      <c r="HP809">
        <v>0</v>
      </c>
      <c r="HQ809">
        <v>0</v>
      </c>
      <c r="HR809">
        <v>161.19999999999999</v>
      </c>
      <c r="HS809">
        <v>0</v>
      </c>
      <c r="HT809">
        <v>2048.5</v>
      </c>
      <c r="HU809">
        <v>2627.5</v>
      </c>
      <c r="HV809">
        <v>1168.5999999999999</v>
      </c>
      <c r="HW809">
        <v>388</v>
      </c>
      <c r="HX809">
        <v>0</v>
      </c>
      <c r="HY809">
        <v>0</v>
      </c>
      <c r="HZ809">
        <v>0</v>
      </c>
      <c r="IA809">
        <v>0</v>
      </c>
      <c r="IB809">
        <v>0</v>
      </c>
      <c r="IC809">
        <v>594.4</v>
      </c>
      <c r="ID809">
        <v>427.4</v>
      </c>
      <c r="IE809">
        <v>713.3</v>
      </c>
      <c r="IF809">
        <v>626.1</v>
      </c>
      <c r="IG809">
        <v>0</v>
      </c>
      <c r="IH809">
        <v>0</v>
      </c>
      <c r="II809">
        <v>995.7</v>
      </c>
      <c r="IJ809">
        <v>1156.5999999999999</v>
      </c>
      <c r="IK809">
        <v>864.6</v>
      </c>
      <c r="IL809">
        <v>316.5</v>
      </c>
      <c r="IM809">
        <v>101.5</v>
      </c>
      <c r="IN809">
        <v>71.8</v>
      </c>
      <c r="IO809">
        <v>0</v>
      </c>
      <c r="IP809">
        <v>0</v>
      </c>
      <c r="IQ809">
        <v>0</v>
      </c>
      <c r="IR809">
        <v>0</v>
      </c>
      <c r="IS809">
        <v>0</v>
      </c>
      <c r="IT809">
        <v>0</v>
      </c>
      <c r="IU809">
        <v>0</v>
      </c>
      <c r="IV809">
        <v>0</v>
      </c>
      <c r="IW809">
        <v>68</v>
      </c>
      <c r="IX809">
        <v>404.7</v>
      </c>
      <c r="IY809">
        <v>126.6</v>
      </c>
      <c r="IZ809">
        <v>126.6</v>
      </c>
      <c r="JA809">
        <v>503.7</v>
      </c>
      <c r="JB809">
        <v>570.1</v>
      </c>
      <c r="JC809">
        <v>328.3</v>
      </c>
      <c r="JD809">
        <v>0</v>
      </c>
      <c r="JE809">
        <v>0</v>
      </c>
      <c r="JF809">
        <v>0</v>
      </c>
      <c r="JG809">
        <v>0</v>
      </c>
      <c r="JH809">
        <v>287.3</v>
      </c>
      <c r="JI809">
        <v>68.2</v>
      </c>
      <c r="JJ809">
        <v>0</v>
      </c>
      <c r="JK809">
        <v>148.6</v>
      </c>
      <c r="JL809">
        <v>0</v>
      </c>
      <c r="JM809">
        <v>0</v>
      </c>
      <c r="JN809">
        <v>204.5</v>
      </c>
      <c r="JO809">
        <v>292.10000000000002</v>
      </c>
      <c r="JP809">
        <v>670.8</v>
      </c>
      <c r="JQ809">
        <v>745.2</v>
      </c>
      <c r="JR809">
        <v>242.9</v>
      </c>
    </row>
    <row r="810" spans="2:278" ht="18" thickBot="1">
      <c r="B810" s="368" t="s">
        <v>938</v>
      </c>
      <c r="C810" s="413" t="s">
        <v>1506</v>
      </c>
      <c r="D810" s="368" t="s">
        <v>1387</v>
      </c>
      <c r="E810" s="454">
        <v>22829.8</v>
      </c>
      <c r="F810">
        <v>20193.400000000001</v>
      </c>
      <c r="G810" s="427">
        <v>0</v>
      </c>
      <c r="H810" s="155">
        <v>0</v>
      </c>
      <c r="I810">
        <v>0</v>
      </c>
      <c r="J810">
        <v>0</v>
      </c>
      <c r="K810">
        <v>0</v>
      </c>
      <c r="L810" s="4">
        <v>0</v>
      </c>
      <c r="M810" s="4">
        <v>0</v>
      </c>
      <c r="N810" s="4">
        <v>0</v>
      </c>
      <c r="O810" s="4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1476.4</v>
      </c>
      <c r="X810">
        <v>1482</v>
      </c>
      <c r="Y810">
        <v>457.20000000000005</v>
      </c>
      <c r="Z810">
        <v>0</v>
      </c>
      <c r="AA810">
        <v>0</v>
      </c>
      <c r="AB810">
        <v>0</v>
      </c>
      <c r="AC810">
        <v>0</v>
      </c>
      <c r="AD810">
        <v>3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1828.6</v>
      </c>
      <c r="AK810">
        <v>1800.7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560.70000000000005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>
        <v>0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  <c r="CN810">
        <v>0</v>
      </c>
      <c r="CO810">
        <v>0</v>
      </c>
      <c r="CP810">
        <v>3.5</v>
      </c>
      <c r="CQ810">
        <v>0</v>
      </c>
      <c r="CR810">
        <v>528</v>
      </c>
      <c r="CS810">
        <v>581.79999999999995</v>
      </c>
      <c r="CT810">
        <v>555.40000000000009</v>
      </c>
      <c r="CU810">
        <v>737.4</v>
      </c>
      <c r="CV810">
        <v>1039.0999999999999</v>
      </c>
      <c r="CW810">
        <v>1667.3</v>
      </c>
      <c r="CX810">
        <v>877.6</v>
      </c>
      <c r="CY810">
        <v>910.40000000000009</v>
      </c>
      <c r="CZ810">
        <v>0</v>
      </c>
      <c r="DA810">
        <v>0</v>
      </c>
      <c r="DB810">
        <v>0</v>
      </c>
      <c r="DC810">
        <v>0</v>
      </c>
      <c r="DD810">
        <v>0</v>
      </c>
      <c r="DE810">
        <v>0</v>
      </c>
      <c r="DF810">
        <v>0</v>
      </c>
      <c r="DG810">
        <v>0</v>
      </c>
      <c r="DH810">
        <v>0</v>
      </c>
      <c r="DI810">
        <v>0</v>
      </c>
      <c r="DJ810">
        <v>0</v>
      </c>
      <c r="DK810">
        <v>0</v>
      </c>
      <c r="DL810">
        <v>995.5</v>
      </c>
      <c r="DM810">
        <v>712.7</v>
      </c>
      <c r="DN810">
        <v>0</v>
      </c>
      <c r="DO810">
        <v>0</v>
      </c>
      <c r="DP810">
        <v>0</v>
      </c>
      <c r="DQ810">
        <v>0</v>
      </c>
      <c r="DR810">
        <v>0</v>
      </c>
      <c r="DS810">
        <v>0</v>
      </c>
      <c r="DT810">
        <v>0</v>
      </c>
      <c r="DU810">
        <v>0</v>
      </c>
      <c r="DV810">
        <v>0</v>
      </c>
      <c r="DW810">
        <v>0</v>
      </c>
      <c r="DX810">
        <v>0</v>
      </c>
      <c r="DY810">
        <v>0</v>
      </c>
      <c r="DZ810">
        <v>0</v>
      </c>
      <c r="EA810">
        <v>0</v>
      </c>
      <c r="EB810">
        <v>0</v>
      </c>
      <c r="EC810">
        <v>0</v>
      </c>
      <c r="ED810">
        <v>0</v>
      </c>
      <c r="EE810">
        <v>0</v>
      </c>
      <c r="EF810">
        <v>0</v>
      </c>
      <c r="EG810">
        <v>0</v>
      </c>
      <c r="EH810">
        <v>0</v>
      </c>
      <c r="EI810">
        <v>0</v>
      </c>
      <c r="EJ810">
        <v>0</v>
      </c>
      <c r="EK810">
        <v>0</v>
      </c>
      <c r="EL810">
        <v>0</v>
      </c>
      <c r="EM810">
        <v>0</v>
      </c>
      <c r="EN810">
        <v>27.4</v>
      </c>
      <c r="EO810">
        <v>0</v>
      </c>
      <c r="EP810">
        <v>1002.5</v>
      </c>
      <c r="EQ810">
        <v>0</v>
      </c>
      <c r="ER810">
        <v>494</v>
      </c>
      <c r="ES810">
        <v>0</v>
      </c>
      <c r="ET810">
        <v>699.3</v>
      </c>
      <c r="EU810">
        <v>435.4</v>
      </c>
      <c r="EV810">
        <v>0</v>
      </c>
      <c r="EW810">
        <v>0</v>
      </c>
      <c r="EX810">
        <v>0</v>
      </c>
      <c r="EY810">
        <v>0</v>
      </c>
      <c r="EZ810">
        <v>0</v>
      </c>
      <c r="FA810">
        <v>0</v>
      </c>
      <c r="FB810">
        <v>0</v>
      </c>
      <c r="FC810">
        <v>0</v>
      </c>
      <c r="FD810">
        <v>95.6</v>
      </c>
      <c r="FE810">
        <v>1792.1</v>
      </c>
      <c r="FF810">
        <v>1740.1999999999998</v>
      </c>
      <c r="FG810">
        <v>954.9</v>
      </c>
      <c r="FH810">
        <v>1087.8000000000002</v>
      </c>
      <c r="FI810">
        <v>1892.1</v>
      </c>
      <c r="FJ810">
        <v>1222.5</v>
      </c>
      <c r="FK810">
        <v>678.3</v>
      </c>
      <c r="FL810">
        <v>639.1</v>
      </c>
      <c r="FM810">
        <v>520.5</v>
      </c>
      <c r="FN810">
        <v>123.8</v>
      </c>
      <c r="FO810">
        <v>181.6</v>
      </c>
      <c r="FP810">
        <v>1090.5</v>
      </c>
      <c r="FQ810">
        <v>0</v>
      </c>
      <c r="FR810">
        <v>0</v>
      </c>
      <c r="FS810">
        <v>0</v>
      </c>
      <c r="FT810">
        <v>0</v>
      </c>
      <c r="FU810">
        <v>0</v>
      </c>
      <c r="FV810">
        <v>0</v>
      </c>
      <c r="FW810">
        <v>0</v>
      </c>
      <c r="FX810">
        <v>0</v>
      </c>
      <c r="FY810">
        <v>0</v>
      </c>
      <c r="FZ810">
        <v>0</v>
      </c>
      <c r="GA810">
        <v>0</v>
      </c>
      <c r="GB810">
        <v>0</v>
      </c>
      <c r="GC810">
        <v>0</v>
      </c>
      <c r="GD810">
        <v>0</v>
      </c>
      <c r="GE810">
        <v>0</v>
      </c>
      <c r="GF810">
        <v>198.3</v>
      </c>
      <c r="GG810">
        <v>1054.4000000000001</v>
      </c>
      <c r="GH810">
        <v>552.79999999999995</v>
      </c>
      <c r="GI810">
        <v>522</v>
      </c>
      <c r="GJ810">
        <v>0</v>
      </c>
      <c r="GK810">
        <v>0</v>
      </c>
      <c r="GL810">
        <v>0</v>
      </c>
      <c r="GM810">
        <v>0</v>
      </c>
      <c r="GN810">
        <v>791.40000000000009</v>
      </c>
      <c r="GO810">
        <v>1816.5</v>
      </c>
      <c r="GP810">
        <v>0</v>
      </c>
      <c r="GQ810">
        <v>0</v>
      </c>
      <c r="GR810">
        <v>0</v>
      </c>
      <c r="GS810">
        <v>0</v>
      </c>
      <c r="GT810">
        <v>0</v>
      </c>
      <c r="GU810">
        <v>0</v>
      </c>
      <c r="GV810">
        <v>0</v>
      </c>
      <c r="GW810">
        <v>0</v>
      </c>
      <c r="GX810">
        <v>0</v>
      </c>
      <c r="GY810">
        <v>840.3</v>
      </c>
      <c r="GZ810">
        <v>0</v>
      </c>
      <c r="HA810">
        <v>0</v>
      </c>
      <c r="HB810">
        <v>0</v>
      </c>
      <c r="HC810">
        <v>380.4</v>
      </c>
      <c r="HD810">
        <v>2175.5</v>
      </c>
      <c r="HE810">
        <v>0</v>
      </c>
      <c r="HF810">
        <v>0</v>
      </c>
      <c r="HG810">
        <v>0</v>
      </c>
      <c r="HH810">
        <v>0</v>
      </c>
      <c r="HI810">
        <v>0</v>
      </c>
      <c r="HJ810">
        <v>803.40000000000009</v>
      </c>
      <c r="HK810">
        <v>1270.9000000000001</v>
      </c>
      <c r="HL810">
        <v>835.7</v>
      </c>
      <c r="HM810">
        <v>1162.5999999999999</v>
      </c>
      <c r="HN810">
        <v>0</v>
      </c>
      <c r="HO810">
        <v>0</v>
      </c>
      <c r="HP810">
        <v>0</v>
      </c>
      <c r="HQ810">
        <v>0</v>
      </c>
      <c r="HR810">
        <v>161.19999999999999</v>
      </c>
      <c r="HS810">
        <v>0</v>
      </c>
      <c r="HT810">
        <v>2048.5</v>
      </c>
      <c r="HU810">
        <v>2627.5</v>
      </c>
      <c r="HV810">
        <v>1168.5999999999999</v>
      </c>
      <c r="HW810">
        <v>388</v>
      </c>
      <c r="HX810">
        <v>0</v>
      </c>
      <c r="HY810">
        <v>0</v>
      </c>
      <c r="HZ810">
        <v>0</v>
      </c>
      <c r="IA810">
        <v>0</v>
      </c>
      <c r="IB810">
        <v>0</v>
      </c>
      <c r="IC810">
        <v>594.4</v>
      </c>
      <c r="ID810">
        <v>427.4</v>
      </c>
      <c r="IE810">
        <v>713.3</v>
      </c>
      <c r="IF810">
        <v>626.1</v>
      </c>
      <c r="IG810">
        <v>0</v>
      </c>
      <c r="IH810">
        <v>0</v>
      </c>
      <c r="II810">
        <v>995.7</v>
      </c>
      <c r="IJ810">
        <v>1156.5999999999999</v>
      </c>
      <c r="IK810">
        <v>864.6</v>
      </c>
      <c r="IL810">
        <v>316.5</v>
      </c>
      <c r="IM810">
        <v>101.5</v>
      </c>
      <c r="IN810">
        <v>71.8</v>
      </c>
      <c r="IO810">
        <v>0</v>
      </c>
      <c r="IP810">
        <v>0</v>
      </c>
      <c r="IQ810">
        <v>0</v>
      </c>
      <c r="IR810">
        <v>0</v>
      </c>
      <c r="IS810">
        <v>0</v>
      </c>
      <c r="IT810">
        <v>0</v>
      </c>
      <c r="IU810">
        <v>0</v>
      </c>
      <c r="IV810">
        <v>0</v>
      </c>
      <c r="IW810">
        <v>68</v>
      </c>
      <c r="IX810">
        <v>404.7</v>
      </c>
      <c r="IY810">
        <v>126.6</v>
      </c>
      <c r="IZ810">
        <v>126.6</v>
      </c>
      <c r="JA810">
        <v>503.7</v>
      </c>
      <c r="JB810">
        <v>570.1</v>
      </c>
      <c r="JC810">
        <v>328.3</v>
      </c>
      <c r="JD810">
        <v>0</v>
      </c>
      <c r="JE810">
        <v>0</v>
      </c>
      <c r="JF810">
        <v>0</v>
      </c>
      <c r="JG810">
        <v>0</v>
      </c>
      <c r="JH810">
        <v>287.3</v>
      </c>
      <c r="JI810">
        <v>68.2</v>
      </c>
      <c r="JJ810">
        <v>0</v>
      </c>
      <c r="JK810">
        <v>148.6</v>
      </c>
      <c r="JL810">
        <v>0</v>
      </c>
      <c r="JM810">
        <v>0</v>
      </c>
      <c r="JN810">
        <v>204.5</v>
      </c>
      <c r="JO810">
        <v>292.10000000000002</v>
      </c>
      <c r="JP810">
        <v>670.8</v>
      </c>
      <c r="JQ810">
        <v>745.2</v>
      </c>
      <c r="JR810">
        <v>242.9</v>
      </c>
    </row>
    <row r="811" spans="2:278" ht="18" thickBot="1">
      <c r="B811" s="368" t="s">
        <v>939</v>
      </c>
      <c r="C811" s="413" t="s">
        <v>1507</v>
      </c>
      <c r="D811" s="368" t="s">
        <v>1387</v>
      </c>
      <c r="E811" s="454">
        <v>22829.8</v>
      </c>
      <c r="F811">
        <v>20193.400000000001</v>
      </c>
      <c r="G811" s="427">
        <v>0</v>
      </c>
      <c r="H811" s="155">
        <v>0</v>
      </c>
      <c r="I811">
        <v>0</v>
      </c>
      <c r="J811">
        <v>0</v>
      </c>
      <c r="K811">
        <v>0</v>
      </c>
      <c r="L811" s="4">
        <v>0</v>
      </c>
      <c r="M811" s="4">
        <v>0</v>
      </c>
      <c r="N811" s="4">
        <v>0</v>
      </c>
      <c r="O811" s="4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1476.4</v>
      </c>
      <c r="X811">
        <v>1482</v>
      </c>
      <c r="Y811">
        <v>457.20000000000005</v>
      </c>
      <c r="Z811">
        <v>0</v>
      </c>
      <c r="AA811">
        <v>0</v>
      </c>
      <c r="AB811">
        <v>0</v>
      </c>
      <c r="AC811">
        <v>0</v>
      </c>
      <c r="AD811">
        <v>3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1828.6</v>
      </c>
      <c r="AK811">
        <v>1800.7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560.70000000000005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0</v>
      </c>
      <c r="CO811">
        <v>0</v>
      </c>
      <c r="CP811">
        <v>3.5</v>
      </c>
      <c r="CQ811">
        <v>0</v>
      </c>
      <c r="CR811">
        <v>528</v>
      </c>
      <c r="CS811">
        <v>581.79999999999995</v>
      </c>
      <c r="CT811">
        <v>555.40000000000009</v>
      </c>
      <c r="CU811">
        <v>737.4</v>
      </c>
      <c r="CV811">
        <v>1039.0999999999999</v>
      </c>
      <c r="CW811">
        <v>1667.3</v>
      </c>
      <c r="CX811">
        <v>877.6</v>
      </c>
      <c r="CY811">
        <v>910.40000000000009</v>
      </c>
      <c r="CZ811">
        <v>0</v>
      </c>
      <c r="DA811">
        <v>0</v>
      </c>
      <c r="DB811">
        <v>0</v>
      </c>
      <c r="DC811">
        <v>0</v>
      </c>
      <c r="DD811">
        <v>0</v>
      </c>
      <c r="DE811">
        <v>0</v>
      </c>
      <c r="DF811">
        <v>0</v>
      </c>
      <c r="DG811">
        <v>0</v>
      </c>
      <c r="DH811">
        <v>0</v>
      </c>
      <c r="DI811">
        <v>0</v>
      </c>
      <c r="DJ811">
        <v>0</v>
      </c>
      <c r="DK811">
        <v>0</v>
      </c>
      <c r="DL811">
        <v>995.5</v>
      </c>
      <c r="DM811">
        <v>712.7</v>
      </c>
      <c r="DN811">
        <v>0</v>
      </c>
      <c r="DO811">
        <v>0</v>
      </c>
      <c r="DP811">
        <v>0</v>
      </c>
      <c r="DQ811">
        <v>0</v>
      </c>
      <c r="DR811">
        <v>0</v>
      </c>
      <c r="DS811">
        <v>0</v>
      </c>
      <c r="DT811">
        <v>0</v>
      </c>
      <c r="DU811">
        <v>0</v>
      </c>
      <c r="DV811">
        <v>0</v>
      </c>
      <c r="DW811">
        <v>0</v>
      </c>
      <c r="DX811">
        <v>0</v>
      </c>
      <c r="DY811">
        <v>0</v>
      </c>
      <c r="DZ811">
        <v>0</v>
      </c>
      <c r="EA811">
        <v>0</v>
      </c>
      <c r="EB811">
        <v>0</v>
      </c>
      <c r="EC811">
        <v>0</v>
      </c>
      <c r="ED811">
        <v>0</v>
      </c>
      <c r="EE811">
        <v>0</v>
      </c>
      <c r="EF811">
        <v>0</v>
      </c>
      <c r="EG811">
        <v>0</v>
      </c>
      <c r="EH811">
        <v>0</v>
      </c>
      <c r="EI811">
        <v>0</v>
      </c>
      <c r="EJ811">
        <v>0</v>
      </c>
      <c r="EK811">
        <v>0</v>
      </c>
      <c r="EL811">
        <v>0</v>
      </c>
      <c r="EM811">
        <v>0</v>
      </c>
      <c r="EN811">
        <v>27.4</v>
      </c>
      <c r="EO811">
        <v>0</v>
      </c>
      <c r="EP811">
        <v>1002.5</v>
      </c>
      <c r="EQ811">
        <v>0</v>
      </c>
      <c r="ER811">
        <v>494</v>
      </c>
      <c r="ES811">
        <v>0</v>
      </c>
      <c r="ET811">
        <v>699.3</v>
      </c>
      <c r="EU811">
        <v>435.4</v>
      </c>
      <c r="EV811">
        <v>0</v>
      </c>
      <c r="EW811">
        <v>0</v>
      </c>
      <c r="EX811">
        <v>0</v>
      </c>
      <c r="EY811">
        <v>0</v>
      </c>
      <c r="EZ811">
        <v>0</v>
      </c>
      <c r="FA811">
        <v>0</v>
      </c>
      <c r="FB811">
        <v>0</v>
      </c>
      <c r="FC811">
        <v>0</v>
      </c>
      <c r="FD811">
        <v>95.6</v>
      </c>
      <c r="FE811">
        <v>1792.1</v>
      </c>
      <c r="FF811">
        <v>1740.1999999999998</v>
      </c>
      <c r="FG811">
        <v>954.9</v>
      </c>
      <c r="FH811">
        <v>1087.8000000000002</v>
      </c>
      <c r="FI811">
        <v>1892.1</v>
      </c>
      <c r="FJ811">
        <v>1222.5</v>
      </c>
      <c r="FK811">
        <v>678.3</v>
      </c>
      <c r="FL811">
        <v>639.1</v>
      </c>
      <c r="FM811">
        <v>520.5</v>
      </c>
      <c r="FN811">
        <v>123.8</v>
      </c>
      <c r="FO811">
        <v>181.6</v>
      </c>
      <c r="FP811">
        <v>1090.5</v>
      </c>
      <c r="FQ811">
        <v>0</v>
      </c>
      <c r="FR811">
        <v>0</v>
      </c>
      <c r="FS811">
        <v>0</v>
      </c>
      <c r="FT811">
        <v>0</v>
      </c>
      <c r="FU811">
        <v>0</v>
      </c>
      <c r="FV811">
        <v>0</v>
      </c>
      <c r="FW811">
        <v>0</v>
      </c>
      <c r="FX811">
        <v>0</v>
      </c>
      <c r="FY811">
        <v>0</v>
      </c>
      <c r="FZ811">
        <v>0</v>
      </c>
      <c r="GA811">
        <v>0</v>
      </c>
      <c r="GB811">
        <v>0</v>
      </c>
      <c r="GC811">
        <v>0</v>
      </c>
      <c r="GD811">
        <v>0</v>
      </c>
      <c r="GE811">
        <v>0</v>
      </c>
      <c r="GF811">
        <v>198.3</v>
      </c>
      <c r="GG811">
        <v>1054.4000000000001</v>
      </c>
      <c r="GH811">
        <v>552.79999999999995</v>
      </c>
      <c r="GI811">
        <v>522</v>
      </c>
      <c r="GJ811">
        <v>0</v>
      </c>
      <c r="GK811">
        <v>0</v>
      </c>
      <c r="GL811">
        <v>0</v>
      </c>
      <c r="GM811">
        <v>0</v>
      </c>
      <c r="GN811">
        <v>791.40000000000009</v>
      </c>
      <c r="GO811">
        <v>1816.5</v>
      </c>
      <c r="GP811">
        <v>0</v>
      </c>
      <c r="GQ811">
        <v>0</v>
      </c>
      <c r="GR811">
        <v>0</v>
      </c>
      <c r="GS811">
        <v>0</v>
      </c>
      <c r="GT811">
        <v>0</v>
      </c>
      <c r="GU811">
        <v>0</v>
      </c>
      <c r="GV811">
        <v>0</v>
      </c>
      <c r="GW811">
        <v>0</v>
      </c>
      <c r="GX811">
        <v>0</v>
      </c>
      <c r="GY811">
        <v>840.3</v>
      </c>
      <c r="GZ811">
        <v>0</v>
      </c>
      <c r="HA811">
        <v>0</v>
      </c>
      <c r="HB811">
        <v>0</v>
      </c>
      <c r="HC811">
        <v>380.4</v>
      </c>
      <c r="HD811">
        <v>2175.5</v>
      </c>
      <c r="HE811">
        <v>0</v>
      </c>
      <c r="HF811">
        <v>0</v>
      </c>
      <c r="HG811">
        <v>0</v>
      </c>
      <c r="HH811">
        <v>0</v>
      </c>
      <c r="HI811">
        <v>0</v>
      </c>
      <c r="HJ811">
        <v>803.40000000000009</v>
      </c>
      <c r="HK811">
        <v>1270.9000000000001</v>
      </c>
      <c r="HL811">
        <v>835.7</v>
      </c>
      <c r="HM811">
        <v>1162.5999999999999</v>
      </c>
      <c r="HN811">
        <v>0</v>
      </c>
      <c r="HO811">
        <v>0</v>
      </c>
      <c r="HP811">
        <v>0</v>
      </c>
      <c r="HQ811">
        <v>0</v>
      </c>
      <c r="HR811">
        <v>161.19999999999999</v>
      </c>
      <c r="HS811">
        <v>0</v>
      </c>
      <c r="HT811">
        <v>2048.5</v>
      </c>
      <c r="HU811">
        <v>2627.5</v>
      </c>
      <c r="HV811">
        <v>1168.5999999999999</v>
      </c>
      <c r="HW811">
        <v>388</v>
      </c>
      <c r="HX811">
        <v>0</v>
      </c>
      <c r="HY811">
        <v>0</v>
      </c>
      <c r="HZ811">
        <v>0</v>
      </c>
      <c r="IA811">
        <v>0</v>
      </c>
      <c r="IB811">
        <v>0</v>
      </c>
      <c r="IC811">
        <v>594.4</v>
      </c>
      <c r="ID811">
        <v>427.4</v>
      </c>
      <c r="IE811">
        <v>713.3</v>
      </c>
      <c r="IF811">
        <v>626.1</v>
      </c>
      <c r="IG811">
        <v>0</v>
      </c>
      <c r="IH811">
        <v>0</v>
      </c>
      <c r="II811">
        <v>995.7</v>
      </c>
      <c r="IJ811">
        <v>1156.5999999999999</v>
      </c>
      <c r="IK811">
        <v>864.6</v>
      </c>
      <c r="IL811">
        <v>316.5</v>
      </c>
      <c r="IM811">
        <v>101.5</v>
      </c>
      <c r="IN811">
        <v>71.8</v>
      </c>
      <c r="IO811">
        <v>0</v>
      </c>
      <c r="IP811">
        <v>0</v>
      </c>
      <c r="IQ811">
        <v>0</v>
      </c>
      <c r="IR811">
        <v>0</v>
      </c>
      <c r="IS811">
        <v>0</v>
      </c>
      <c r="IT811">
        <v>0</v>
      </c>
      <c r="IU811">
        <v>0</v>
      </c>
      <c r="IV811">
        <v>0</v>
      </c>
      <c r="IW811">
        <v>68</v>
      </c>
      <c r="IX811">
        <v>404.7</v>
      </c>
      <c r="IY811">
        <v>126.6</v>
      </c>
      <c r="IZ811">
        <v>126.6</v>
      </c>
      <c r="JA811">
        <v>503.7</v>
      </c>
      <c r="JB811">
        <v>570.1</v>
      </c>
      <c r="JC811">
        <v>328.3</v>
      </c>
      <c r="JD811">
        <v>0</v>
      </c>
      <c r="JE811">
        <v>0</v>
      </c>
      <c r="JF811">
        <v>0</v>
      </c>
      <c r="JG811">
        <v>0</v>
      </c>
      <c r="JH811">
        <v>287.3</v>
      </c>
      <c r="JI811">
        <v>68.2</v>
      </c>
      <c r="JJ811">
        <v>0</v>
      </c>
      <c r="JK811">
        <v>148.6</v>
      </c>
      <c r="JL811">
        <v>0</v>
      </c>
      <c r="JM811">
        <v>0</v>
      </c>
      <c r="JN811">
        <v>204.5</v>
      </c>
      <c r="JO811">
        <v>292.10000000000002</v>
      </c>
      <c r="JP811">
        <v>670.8</v>
      </c>
      <c r="JQ811">
        <v>745.2</v>
      </c>
      <c r="JR811">
        <v>242.9</v>
      </c>
    </row>
    <row r="812" spans="2:278" ht="18" thickBot="1">
      <c r="B812" s="368" t="s">
        <v>940</v>
      </c>
      <c r="C812" s="411" t="s">
        <v>1508</v>
      </c>
      <c r="D812" s="368" t="s">
        <v>1388</v>
      </c>
      <c r="E812" s="454">
        <v>22829.8</v>
      </c>
      <c r="F812">
        <v>20193.400000000001</v>
      </c>
      <c r="G812" s="427">
        <v>0</v>
      </c>
      <c r="H812" s="155">
        <v>0</v>
      </c>
      <c r="I812">
        <v>0</v>
      </c>
      <c r="J812">
        <v>0</v>
      </c>
      <c r="K812">
        <v>0</v>
      </c>
      <c r="L812" s="4">
        <v>0</v>
      </c>
      <c r="M812" s="4">
        <v>0</v>
      </c>
      <c r="N812" s="4">
        <v>0</v>
      </c>
      <c r="O812" s="4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1476.4</v>
      </c>
      <c r="X812">
        <v>1482</v>
      </c>
      <c r="Y812">
        <v>457.20000000000005</v>
      </c>
      <c r="Z812">
        <v>0</v>
      </c>
      <c r="AA812">
        <v>0</v>
      </c>
      <c r="AB812">
        <v>0</v>
      </c>
      <c r="AC812">
        <v>0</v>
      </c>
      <c r="AD812">
        <v>3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1828.6</v>
      </c>
      <c r="AK812">
        <v>1800.7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560.70000000000005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  <c r="CN812">
        <v>0</v>
      </c>
      <c r="CO812">
        <v>0</v>
      </c>
      <c r="CP812">
        <v>3.5</v>
      </c>
      <c r="CQ812">
        <v>0</v>
      </c>
      <c r="CR812">
        <v>528</v>
      </c>
      <c r="CS812">
        <v>581.79999999999995</v>
      </c>
      <c r="CT812">
        <v>555.40000000000009</v>
      </c>
      <c r="CU812">
        <v>737.4</v>
      </c>
      <c r="CV812">
        <v>1039.0999999999999</v>
      </c>
      <c r="CW812">
        <v>1667.3</v>
      </c>
      <c r="CX812">
        <v>877.6</v>
      </c>
      <c r="CY812">
        <v>910.40000000000009</v>
      </c>
      <c r="CZ812">
        <v>0</v>
      </c>
      <c r="DA812">
        <v>0</v>
      </c>
      <c r="DB812">
        <v>0</v>
      </c>
      <c r="DC812">
        <v>0</v>
      </c>
      <c r="DD812">
        <v>0</v>
      </c>
      <c r="DE812">
        <v>0</v>
      </c>
      <c r="DF812">
        <v>0</v>
      </c>
      <c r="DG812">
        <v>0</v>
      </c>
      <c r="DH812">
        <v>0</v>
      </c>
      <c r="DI812">
        <v>0</v>
      </c>
      <c r="DJ812">
        <v>0</v>
      </c>
      <c r="DK812">
        <v>0</v>
      </c>
      <c r="DL812">
        <v>995.5</v>
      </c>
      <c r="DM812">
        <v>712.7</v>
      </c>
      <c r="DN812">
        <v>0</v>
      </c>
      <c r="DO812">
        <v>0</v>
      </c>
      <c r="DP812">
        <v>0</v>
      </c>
      <c r="DQ812">
        <v>0</v>
      </c>
      <c r="DR812">
        <v>0</v>
      </c>
      <c r="DS812">
        <v>0</v>
      </c>
      <c r="DT812">
        <v>0</v>
      </c>
      <c r="DU812">
        <v>0</v>
      </c>
      <c r="DV812">
        <v>0</v>
      </c>
      <c r="DW812">
        <v>0</v>
      </c>
      <c r="DX812">
        <v>0</v>
      </c>
      <c r="DY812">
        <v>0</v>
      </c>
      <c r="DZ812">
        <v>0</v>
      </c>
      <c r="EA812">
        <v>0</v>
      </c>
      <c r="EB812">
        <v>0</v>
      </c>
      <c r="EC812">
        <v>0</v>
      </c>
      <c r="ED812">
        <v>0</v>
      </c>
      <c r="EE812">
        <v>0</v>
      </c>
      <c r="EF812">
        <v>0</v>
      </c>
      <c r="EG812">
        <v>0</v>
      </c>
      <c r="EH812">
        <v>0</v>
      </c>
      <c r="EI812">
        <v>0</v>
      </c>
      <c r="EJ812">
        <v>0</v>
      </c>
      <c r="EK812">
        <v>0</v>
      </c>
      <c r="EL812">
        <v>0</v>
      </c>
      <c r="EM812">
        <v>0</v>
      </c>
      <c r="EN812">
        <v>27.4</v>
      </c>
      <c r="EO812">
        <v>0</v>
      </c>
      <c r="EP812">
        <v>1002.5</v>
      </c>
      <c r="EQ812">
        <v>0</v>
      </c>
      <c r="ER812">
        <v>494</v>
      </c>
      <c r="ES812">
        <v>0</v>
      </c>
      <c r="ET812">
        <v>699.3</v>
      </c>
      <c r="EU812">
        <v>435.4</v>
      </c>
      <c r="EV812">
        <v>0</v>
      </c>
      <c r="EW812">
        <v>0</v>
      </c>
      <c r="EX812">
        <v>0</v>
      </c>
      <c r="EY812">
        <v>0</v>
      </c>
      <c r="EZ812">
        <v>0</v>
      </c>
      <c r="FA812">
        <v>0</v>
      </c>
      <c r="FB812">
        <v>0</v>
      </c>
      <c r="FC812">
        <v>0</v>
      </c>
      <c r="FD812">
        <v>95.6</v>
      </c>
      <c r="FE812">
        <v>1792.1</v>
      </c>
      <c r="FF812">
        <v>1740.1999999999998</v>
      </c>
      <c r="FG812">
        <v>954.9</v>
      </c>
      <c r="FH812">
        <v>1087.8000000000002</v>
      </c>
      <c r="FI812">
        <v>1892.1</v>
      </c>
      <c r="FJ812">
        <v>1222.5</v>
      </c>
      <c r="FK812">
        <v>678.3</v>
      </c>
      <c r="FL812">
        <v>639.1</v>
      </c>
      <c r="FM812">
        <v>520.5</v>
      </c>
      <c r="FN812">
        <v>123.8</v>
      </c>
      <c r="FO812">
        <v>181.6</v>
      </c>
      <c r="FP812">
        <v>1090.5</v>
      </c>
      <c r="FQ812">
        <v>0</v>
      </c>
      <c r="FR812">
        <v>0</v>
      </c>
      <c r="FS812">
        <v>0</v>
      </c>
      <c r="FT812">
        <v>0</v>
      </c>
      <c r="FU812">
        <v>0</v>
      </c>
      <c r="FV812">
        <v>0</v>
      </c>
      <c r="FW812">
        <v>0</v>
      </c>
      <c r="FX812">
        <v>0</v>
      </c>
      <c r="FY812">
        <v>0</v>
      </c>
      <c r="FZ812">
        <v>0</v>
      </c>
      <c r="GA812">
        <v>0</v>
      </c>
      <c r="GB812">
        <v>0</v>
      </c>
      <c r="GC812">
        <v>0</v>
      </c>
      <c r="GD812">
        <v>0</v>
      </c>
      <c r="GE812">
        <v>0</v>
      </c>
      <c r="GF812">
        <v>198.3</v>
      </c>
      <c r="GG812">
        <v>1054.4000000000001</v>
      </c>
      <c r="GH812">
        <v>552.79999999999995</v>
      </c>
      <c r="GI812">
        <v>522</v>
      </c>
      <c r="GJ812">
        <v>0</v>
      </c>
      <c r="GK812">
        <v>0</v>
      </c>
      <c r="GL812">
        <v>0</v>
      </c>
      <c r="GM812">
        <v>0</v>
      </c>
      <c r="GN812">
        <v>791.40000000000009</v>
      </c>
      <c r="GO812">
        <v>1816.5</v>
      </c>
      <c r="GP812">
        <v>0</v>
      </c>
      <c r="GQ812">
        <v>0</v>
      </c>
      <c r="GR812">
        <v>0</v>
      </c>
      <c r="GS812">
        <v>0</v>
      </c>
      <c r="GT812">
        <v>0</v>
      </c>
      <c r="GU812">
        <v>0</v>
      </c>
      <c r="GV812">
        <v>0</v>
      </c>
      <c r="GW812">
        <v>0</v>
      </c>
      <c r="GX812">
        <v>0</v>
      </c>
      <c r="GY812">
        <v>840.3</v>
      </c>
      <c r="GZ812">
        <v>0</v>
      </c>
      <c r="HA812">
        <v>0</v>
      </c>
      <c r="HB812">
        <v>0</v>
      </c>
      <c r="HC812">
        <v>380.4</v>
      </c>
      <c r="HD812">
        <v>2175.5</v>
      </c>
      <c r="HE812">
        <v>0</v>
      </c>
      <c r="HF812">
        <v>0</v>
      </c>
      <c r="HG812">
        <v>0</v>
      </c>
      <c r="HH812">
        <v>0</v>
      </c>
      <c r="HI812">
        <v>0</v>
      </c>
      <c r="HJ812">
        <v>803.40000000000009</v>
      </c>
      <c r="HK812">
        <v>1270.9000000000001</v>
      </c>
      <c r="HL812">
        <v>835.7</v>
      </c>
      <c r="HM812">
        <v>1162.5999999999999</v>
      </c>
      <c r="HN812">
        <v>0</v>
      </c>
      <c r="HO812">
        <v>0</v>
      </c>
      <c r="HP812">
        <v>0</v>
      </c>
      <c r="HQ812">
        <v>0</v>
      </c>
      <c r="HR812">
        <v>161.19999999999999</v>
      </c>
      <c r="HS812">
        <v>0</v>
      </c>
      <c r="HT812">
        <v>2048.5</v>
      </c>
      <c r="HU812">
        <v>2627.5</v>
      </c>
      <c r="HV812">
        <v>1168.5999999999999</v>
      </c>
      <c r="HW812">
        <v>388</v>
      </c>
      <c r="HX812">
        <v>0</v>
      </c>
      <c r="HY812">
        <v>0</v>
      </c>
      <c r="HZ812">
        <v>0</v>
      </c>
      <c r="IA812">
        <v>0</v>
      </c>
      <c r="IB812">
        <v>0</v>
      </c>
      <c r="IC812">
        <v>594.4</v>
      </c>
      <c r="ID812">
        <v>427.4</v>
      </c>
      <c r="IE812">
        <v>713.3</v>
      </c>
      <c r="IF812">
        <v>626.1</v>
      </c>
      <c r="IG812">
        <v>0</v>
      </c>
      <c r="IH812">
        <v>0</v>
      </c>
      <c r="II812">
        <v>995.7</v>
      </c>
      <c r="IJ812">
        <v>1156.5999999999999</v>
      </c>
      <c r="IK812">
        <v>864.6</v>
      </c>
      <c r="IL812">
        <v>316.5</v>
      </c>
      <c r="IM812">
        <v>101.5</v>
      </c>
      <c r="IN812">
        <v>71.8</v>
      </c>
      <c r="IO812">
        <v>0</v>
      </c>
      <c r="IP812">
        <v>0</v>
      </c>
      <c r="IQ812">
        <v>0</v>
      </c>
      <c r="IR812">
        <v>0</v>
      </c>
      <c r="IS812">
        <v>0</v>
      </c>
      <c r="IT812">
        <v>0</v>
      </c>
      <c r="IU812">
        <v>0</v>
      </c>
      <c r="IV812">
        <v>0</v>
      </c>
      <c r="IW812">
        <v>68</v>
      </c>
      <c r="IX812">
        <v>404.7</v>
      </c>
      <c r="IY812">
        <v>126.6</v>
      </c>
      <c r="IZ812">
        <v>126.6</v>
      </c>
      <c r="JA812">
        <v>503.7</v>
      </c>
      <c r="JB812">
        <v>570.1</v>
      </c>
      <c r="JC812">
        <v>328.3</v>
      </c>
      <c r="JD812">
        <v>0</v>
      </c>
      <c r="JE812">
        <v>0</v>
      </c>
      <c r="JF812">
        <v>0</v>
      </c>
      <c r="JG812">
        <v>0</v>
      </c>
      <c r="JH812">
        <v>287.3</v>
      </c>
      <c r="JI812">
        <v>68.2</v>
      </c>
      <c r="JJ812">
        <v>0</v>
      </c>
      <c r="JK812">
        <v>148.6</v>
      </c>
      <c r="JL812">
        <v>0</v>
      </c>
      <c r="JM812">
        <v>0</v>
      </c>
      <c r="JN812">
        <v>204.5</v>
      </c>
      <c r="JO812">
        <v>292.10000000000002</v>
      </c>
      <c r="JP812">
        <v>670.8</v>
      </c>
      <c r="JQ812">
        <v>745.2</v>
      </c>
      <c r="JR812">
        <v>242.9</v>
      </c>
    </row>
    <row r="813" spans="2:278" ht="18" thickBot="1">
      <c r="B813" s="522" t="s">
        <v>941</v>
      </c>
      <c r="C813" s="537" t="s">
        <v>1509</v>
      </c>
      <c r="D813" s="522" t="s">
        <v>1387</v>
      </c>
      <c r="E813" s="454">
        <v>22829.8</v>
      </c>
      <c r="F813">
        <v>20193.400000000001</v>
      </c>
      <c r="G813" s="427">
        <v>0</v>
      </c>
      <c r="H813" s="155">
        <v>0</v>
      </c>
      <c r="I813">
        <v>0</v>
      </c>
      <c r="J813">
        <v>0</v>
      </c>
      <c r="K813">
        <v>0</v>
      </c>
      <c r="L813" s="4">
        <v>0</v>
      </c>
      <c r="M813" s="4">
        <v>0</v>
      </c>
      <c r="N813" s="4">
        <v>0</v>
      </c>
      <c r="O813" s="4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1476.4</v>
      </c>
      <c r="X813">
        <v>1482</v>
      </c>
      <c r="Y813">
        <v>457.20000000000005</v>
      </c>
      <c r="Z813">
        <v>0</v>
      </c>
      <c r="AA813">
        <v>0</v>
      </c>
      <c r="AB813">
        <v>0</v>
      </c>
      <c r="AC813">
        <v>0</v>
      </c>
      <c r="AD813">
        <v>3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1828.6</v>
      </c>
      <c r="AK813">
        <v>1800.7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560.70000000000005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  <c r="CN813">
        <v>0</v>
      </c>
      <c r="CO813">
        <v>0</v>
      </c>
      <c r="CP813">
        <v>3.5</v>
      </c>
      <c r="CQ813">
        <v>0</v>
      </c>
      <c r="CR813">
        <v>528</v>
      </c>
      <c r="CS813">
        <v>581.79999999999995</v>
      </c>
      <c r="CT813">
        <v>555.40000000000009</v>
      </c>
      <c r="CU813">
        <v>737.4</v>
      </c>
      <c r="CV813">
        <v>1039.0999999999999</v>
      </c>
      <c r="CW813">
        <v>1667.3</v>
      </c>
      <c r="CX813">
        <v>877.6</v>
      </c>
      <c r="CY813">
        <v>910.40000000000009</v>
      </c>
      <c r="CZ813">
        <v>0</v>
      </c>
      <c r="DA813">
        <v>0</v>
      </c>
      <c r="DB813">
        <v>0</v>
      </c>
      <c r="DC813">
        <v>0</v>
      </c>
      <c r="DD813">
        <v>0</v>
      </c>
      <c r="DE813">
        <v>0</v>
      </c>
      <c r="DF813">
        <v>0</v>
      </c>
      <c r="DG813">
        <v>0</v>
      </c>
      <c r="DH813">
        <v>0</v>
      </c>
      <c r="DI813">
        <v>0</v>
      </c>
      <c r="DJ813">
        <v>0</v>
      </c>
      <c r="DK813">
        <v>0</v>
      </c>
      <c r="DL813">
        <v>995.5</v>
      </c>
      <c r="DM813">
        <v>712.7</v>
      </c>
      <c r="DN813">
        <v>0</v>
      </c>
      <c r="DO813">
        <v>0</v>
      </c>
      <c r="DP813">
        <v>0</v>
      </c>
      <c r="DQ813">
        <v>0</v>
      </c>
      <c r="DR813">
        <v>0</v>
      </c>
      <c r="DS813">
        <v>0</v>
      </c>
      <c r="DT813">
        <v>0</v>
      </c>
      <c r="DU813">
        <v>0</v>
      </c>
      <c r="DV813">
        <v>0</v>
      </c>
      <c r="DW813">
        <v>0</v>
      </c>
      <c r="DX813">
        <v>0</v>
      </c>
      <c r="DY813">
        <v>0</v>
      </c>
      <c r="DZ813">
        <v>0</v>
      </c>
      <c r="EA813">
        <v>0</v>
      </c>
      <c r="EB813">
        <v>0</v>
      </c>
      <c r="EC813">
        <v>0</v>
      </c>
      <c r="ED813">
        <v>0</v>
      </c>
      <c r="EE813">
        <v>0</v>
      </c>
      <c r="EF813">
        <v>0</v>
      </c>
      <c r="EG813">
        <v>0</v>
      </c>
      <c r="EH813">
        <v>0</v>
      </c>
      <c r="EI813">
        <v>0</v>
      </c>
      <c r="EJ813">
        <v>0</v>
      </c>
      <c r="EK813">
        <v>0</v>
      </c>
      <c r="EL813">
        <v>0</v>
      </c>
      <c r="EM813">
        <v>0</v>
      </c>
      <c r="EN813">
        <v>27.4</v>
      </c>
      <c r="EO813">
        <v>0</v>
      </c>
      <c r="EP813">
        <v>1002.5</v>
      </c>
      <c r="EQ813">
        <v>0</v>
      </c>
      <c r="ER813">
        <v>494</v>
      </c>
      <c r="ES813">
        <v>0</v>
      </c>
      <c r="ET813">
        <v>699.3</v>
      </c>
      <c r="EU813">
        <v>435.4</v>
      </c>
      <c r="EV813">
        <v>0</v>
      </c>
      <c r="EW813">
        <v>0</v>
      </c>
      <c r="EX813">
        <v>0</v>
      </c>
      <c r="EY813">
        <v>0</v>
      </c>
      <c r="EZ813">
        <v>0</v>
      </c>
      <c r="FA813">
        <v>0</v>
      </c>
      <c r="FB813">
        <v>0</v>
      </c>
      <c r="FC813">
        <v>0</v>
      </c>
      <c r="FD813">
        <v>95.6</v>
      </c>
      <c r="FE813">
        <v>1792.1</v>
      </c>
      <c r="FF813">
        <v>1740.1999999999998</v>
      </c>
      <c r="FG813">
        <v>954.9</v>
      </c>
      <c r="FH813">
        <v>1087.8000000000002</v>
      </c>
      <c r="FI813">
        <v>1892.1</v>
      </c>
      <c r="FJ813">
        <v>1222.5</v>
      </c>
      <c r="FK813">
        <v>678.3</v>
      </c>
      <c r="FL813">
        <v>639.1</v>
      </c>
      <c r="FM813">
        <v>520.5</v>
      </c>
      <c r="FN813">
        <v>123.8</v>
      </c>
      <c r="FO813">
        <v>181.6</v>
      </c>
      <c r="FP813">
        <v>1090.5</v>
      </c>
      <c r="FQ813">
        <v>0</v>
      </c>
      <c r="FR813">
        <v>0</v>
      </c>
      <c r="FS813">
        <v>0</v>
      </c>
      <c r="FT813">
        <v>0</v>
      </c>
      <c r="FU813">
        <v>0</v>
      </c>
      <c r="FV813">
        <v>0</v>
      </c>
      <c r="FW813">
        <v>0</v>
      </c>
      <c r="FX813">
        <v>0</v>
      </c>
      <c r="FY813">
        <v>0</v>
      </c>
      <c r="FZ813">
        <v>0</v>
      </c>
      <c r="GA813">
        <v>0</v>
      </c>
      <c r="GB813">
        <v>0</v>
      </c>
      <c r="GC813">
        <v>0</v>
      </c>
      <c r="GD813">
        <v>0</v>
      </c>
      <c r="GE813">
        <v>0</v>
      </c>
      <c r="GF813">
        <v>198.3</v>
      </c>
      <c r="GG813">
        <v>1054.4000000000001</v>
      </c>
      <c r="GH813">
        <v>552.79999999999995</v>
      </c>
      <c r="GI813">
        <v>522</v>
      </c>
      <c r="GJ813">
        <v>0</v>
      </c>
      <c r="GK813">
        <v>0</v>
      </c>
      <c r="GL813">
        <v>0</v>
      </c>
      <c r="GM813">
        <v>0</v>
      </c>
      <c r="GN813">
        <v>791.40000000000009</v>
      </c>
      <c r="GO813">
        <v>1816.5</v>
      </c>
      <c r="GP813">
        <v>0</v>
      </c>
      <c r="GQ813">
        <v>0</v>
      </c>
      <c r="GR813">
        <v>0</v>
      </c>
      <c r="GS813">
        <v>0</v>
      </c>
      <c r="GT813">
        <v>0</v>
      </c>
      <c r="GU813">
        <v>0</v>
      </c>
      <c r="GV813">
        <v>0</v>
      </c>
      <c r="GW813">
        <v>0</v>
      </c>
      <c r="GX813">
        <v>0</v>
      </c>
      <c r="GY813">
        <v>840.3</v>
      </c>
      <c r="GZ813">
        <v>0</v>
      </c>
      <c r="HA813">
        <v>0</v>
      </c>
      <c r="HB813">
        <v>0</v>
      </c>
      <c r="HC813">
        <v>380.4</v>
      </c>
      <c r="HD813">
        <v>2175.5</v>
      </c>
      <c r="HE813">
        <v>0</v>
      </c>
      <c r="HF813">
        <v>0</v>
      </c>
      <c r="HG813">
        <v>0</v>
      </c>
      <c r="HH813">
        <v>0</v>
      </c>
      <c r="HI813">
        <v>0</v>
      </c>
      <c r="HJ813">
        <v>803.40000000000009</v>
      </c>
      <c r="HK813">
        <v>1270.9000000000001</v>
      </c>
      <c r="HL813">
        <v>835.7</v>
      </c>
      <c r="HM813">
        <v>1162.5999999999999</v>
      </c>
      <c r="HN813">
        <v>0</v>
      </c>
      <c r="HO813">
        <v>0</v>
      </c>
      <c r="HP813">
        <v>0</v>
      </c>
      <c r="HQ813">
        <v>0</v>
      </c>
      <c r="HR813">
        <v>161.19999999999999</v>
      </c>
      <c r="HS813">
        <v>0</v>
      </c>
      <c r="HT813">
        <v>2048.5</v>
      </c>
      <c r="HU813">
        <v>2627.5</v>
      </c>
      <c r="HV813">
        <v>1168.5999999999999</v>
      </c>
      <c r="HW813">
        <v>388</v>
      </c>
      <c r="HX813">
        <v>0</v>
      </c>
      <c r="HY813">
        <v>0</v>
      </c>
      <c r="HZ813">
        <v>0</v>
      </c>
      <c r="IA813">
        <v>0</v>
      </c>
      <c r="IB813">
        <v>0</v>
      </c>
      <c r="IC813">
        <v>594.4</v>
      </c>
      <c r="ID813">
        <v>427.4</v>
      </c>
      <c r="IE813">
        <v>713.3</v>
      </c>
      <c r="IF813">
        <v>626.1</v>
      </c>
      <c r="IG813">
        <v>0</v>
      </c>
      <c r="IH813">
        <v>0</v>
      </c>
      <c r="II813">
        <v>995.7</v>
      </c>
      <c r="IJ813">
        <v>1156.5999999999999</v>
      </c>
      <c r="IK813">
        <v>864.6</v>
      </c>
      <c r="IL813">
        <v>316.5</v>
      </c>
      <c r="IM813">
        <v>101.5</v>
      </c>
      <c r="IN813">
        <v>71.8</v>
      </c>
      <c r="IO813">
        <v>0</v>
      </c>
      <c r="IP813">
        <v>0</v>
      </c>
      <c r="IQ813">
        <v>0</v>
      </c>
      <c r="IR813">
        <v>0</v>
      </c>
      <c r="IS813">
        <v>0</v>
      </c>
      <c r="IT813">
        <v>0</v>
      </c>
      <c r="IU813">
        <v>0</v>
      </c>
      <c r="IV813">
        <v>0</v>
      </c>
      <c r="IW813">
        <v>68</v>
      </c>
      <c r="IX813">
        <v>404.7</v>
      </c>
      <c r="IY813">
        <v>126.6</v>
      </c>
      <c r="IZ813">
        <v>126.6</v>
      </c>
      <c r="JA813">
        <v>503.7</v>
      </c>
      <c r="JB813">
        <v>570.1</v>
      </c>
      <c r="JC813">
        <v>328.3</v>
      </c>
      <c r="JD813">
        <v>0</v>
      </c>
      <c r="JE813">
        <v>0</v>
      </c>
      <c r="JF813">
        <v>0</v>
      </c>
      <c r="JG813">
        <v>0</v>
      </c>
      <c r="JH813">
        <v>287.3</v>
      </c>
      <c r="JI813">
        <v>68.2</v>
      </c>
      <c r="JJ813">
        <v>0</v>
      </c>
      <c r="JK813">
        <v>148.6</v>
      </c>
      <c r="JL813">
        <v>0</v>
      </c>
      <c r="JM813">
        <v>0</v>
      </c>
      <c r="JN813">
        <v>204.5</v>
      </c>
      <c r="JO813">
        <v>292.10000000000002</v>
      </c>
      <c r="JP813">
        <v>670.8</v>
      </c>
      <c r="JQ813">
        <v>745.2</v>
      </c>
      <c r="JR813">
        <v>242.9</v>
      </c>
    </row>
    <row r="814" spans="2:278" ht="18" thickBot="1">
      <c r="B814" s="523"/>
      <c r="C814" s="538"/>
      <c r="D814" s="523"/>
      <c r="E814" s="454">
        <v>22829.8</v>
      </c>
      <c r="F814">
        <v>20193.400000000001</v>
      </c>
      <c r="G814" s="427">
        <v>0</v>
      </c>
      <c r="H814" s="155">
        <v>0</v>
      </c>
      <c r="I814">
        <v>0</v>
      </c>
      <c r="J814">
        <v>0</v>
      </c>
      <c r="K814">
        <v>0</v>
      </c>
      <c r="L814" s="4">
        <v>0</v>
      </c>
      <c r="M814" s="4">
        <v>0</v>
      </c>
      <c r="N814" s="4">
        <v>0</v>
      </c>
      <c r="O814" s="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1476.4</v>
      </c>
      <c r="X814">
        <v>1482</v>
      </c>
      <c r="Y814">
        <v>457.20000000000005</v>
      </c>
      <c r="Z814">
        <v>0</v>
      </c>
      <c r="AA814">
        <v>0</v>
      </c>
      <c r="AB814">
        <v>0</v>
      </c>
      <c r="AC814">
        <v>0</v>
      </c>
      <c r="AD814">
        <v>3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1828.6</v>
      </c>
      <c r="AK814">
        <v>1800.7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560.70000000000005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0</v>
      </c>
      <c r="CO814">
        <v>0</v>
      </c>
      <c r="CP814">
        <v>3.5</v>
      </c>
      <c r="CQ814">
        <v>0</v>
      </c>
      <c r="CR814">
        <v>528</v>
      </c>
      <c r="CS814">
        <v>581.79999999999995</v>
      </c>
      <c r="CT814">
        <v>555.40000000000009</v>
      </c>
      <c r="CU814">
        <v>737.4</v>
      </c>
      <c r="CV814">
        <v>1039.0999999999999</v>
      </c>
      <c r="CW814">
        <v>1667.3</v>
      </c>
      <c r="CX814">
        <v>877.6</v>
      </c>
      <c r="CY814">
        <v>910.40000000000009</v>
      </c>
      <c r="CZ814">
        <v>0</v>
      </c>
      <c r="DA814">
        <v>0</v>
      </c>
      <c r="DB814">
        <v>0</v>
      </c>
      <c r="DC814">
        <v>0</v>
      </c>
      <c r="DD814">
        <v>0</v>
      </c>
      <c r="DE814">
        <v>0</v>
      </c>
      <c r="DF814">
        <v>0</v>
      </c>
      <c r="DG814">
        <v>0</v>
      </c>
      <c r="DH814">
        <v>0</v>
      </c>
      <c r="DI814">
        <v>0</v>
      </c>
      <c r="DJ814">
        <v>0</v>
      </c>
      <c r="DK814">
        <v>0</v>
      </c>
      <c r="DL814">
        <v>995.5</v>
      </c>
      <c r="DM814">
        <v>712.7</v>
      </c>
      <c r="DN814">
        <v>0</v>
      </c>
      <c r="DO814">
        <v>0</v>
      </c>
      <c r="DP814">
        <v>0</v>
      </c>
      <c r="DQ814">
        <v>0</v>
      </c>
      <c r="DR814">
        <v>0</v>
      </c>
      <c r="DS814">
        <v>0</v>
      </c>
      <c r="DT814">
        <v>0</v>
      </c>
      <c r="DU814">
        <v>0</v>
      </c>
      <c r="DV814">
        <v>0</v>
      </c>
      <c r="DW814">
        <v>0</v>
      </c>
      <c r="DX814">
        <v>0</v>
      </c>
      <c r="DY814">
        <v>0</v>
      </c>
      <c r="DZ814">
        <v>0</v>
      </c>
      <c r="EA814">
        <v>0</v>
      </c>
      <c r="EB814">
        <v>0</v>
      </c>
      <c r="EC814">
        <v>0</v>
      </c>
      <c r="ED814">
        <v>0</v>
      </c>
      <c r="EE814">
        <v>0</v>
      </c>
      <c r="EF814">
        <v>0</v>
      </c>
      <c r="EG814">
        <v>0</v>
      </c>
      <c r="EH814">
        <v>0</v>
      </c>
      <c r="EI814">
        <v>0</v>
      </c>
      <c r="EJ814">
        <v>0</v>
      </c>
      <c r="EK814">
        <v>0</v>
      </c>
      <c r="EL814">
        <v>0</v>
      </c>
      <c r="EM814">
        <v>0</v>
      </c>
      <c r="EN814">
        <v>27.4</v>
      </c>
      <c r="EO814">
        <v>0</v>
      </c>
      <c r="EP814">
        <v>1002.5</v>
      </c>
      <c r="EQ814">
        <v>0</v>
      </c>
      <c r="ER814">
        <v>494</v>
      </c>
      <c r="ES814">
        <v>0</v>
      </c>
      <c r="ET814">
        <v>699.3</v>
      </c>
      <c r="EU814">
        <v>435.4</v>
      </c>
      <c r="EV814">
        <v>0</v>
      </c>
      <c r="EW814">
        <v>0</v>
      </c>
      <c r="EX814">
        <v>0</v>
      </c>
      <c r="EY814">
        <v>0</v>
      </c>
      <c r="EZ814">
        <v>0</v>
      </c>
      <c r="FA814">
        <v>0</v>
      </c>
      <c r="FB814">
        <v>0</v>
      </c>
      <c r="FC814">
        <v>0</v>
      </c>
      <c r="FD814">
        <v>95.6</v>
      </c>
      <c r="FE814">
        <v>1792.1</v>
      </c>
      <c r="FF814">
        <v>1740.1999999999998</v>
      </c>
      <c r="FG814">
        <v>954.9</v>
      </c>
      <c r="FH814">
        <v>1087.8000000000002</v>
      </c>
      <c r="FI814">
        <v>1892.1</v>
      </c>
      <c r="FJ814">
        <v>1222.5</v>
      </c>
      <c r="FK814">
        <v>678.3</v>
      </c>
      <c r="FL814">
        <v>639.1</v>
      </c>
      <c r="FM814">
        <v>520.5</v>
      </c>
      <c r="FN814">
        <v>123.8</v>
      </c>
      <c r="FO814">
        <v>181.6</v>
      </c>
      <c r="FP814">
        <v>1090.5</v>
      </c>
      <c r="FQ814">
        <v>0</v>
      </c>
      <c r="FR814">
        <v>0</v>
      </c>
      <c r="FS814">
        <v>0</v>
      </c>
      <c r="FT814">
        <v>0</v>
      </c>
      <c r="FU814">
        <v>0</v>
      </c>
      <c r="FV814">
        <v>0</v>
      </c>
      <c r="FW814">
        <v>0</v>
      </c>
      <c r="FX814">
        <v>0</v>
      </c>
      <c r="FY814">
        <v>0</v>
      </c>
      <c r="FZ814">
        <v>0</v>
      </c>
      <c r="GA814">
        <v>0</v>
      </c>
      <c r="GB814">
        <v>0</v>
      </c>
      <c r="GC814">
        <v>0</v>
      </c>
      <c r="GD814">
        <v>0</v>
      </c>
      <c r="GE814">
        <v>0</v>
      </c>
      <c r="GF814">
        <v>198.3</v>
      </c>
      <c r="GG814">
        <v>1054.4000000000001</v>
      </c>
      <c r="GH814">
        <v>552.79999999999995</v>
      </c>
      <c r="GI814">
        <v>522</v>
      </c>
      <c r="GJ814">
        <v>0</v>
      </c>
      <c r="GK814">
        <v>0</v>
      </c>
      <c r="GL814">
        <v>0</v>
      </c>
      <c r="GM814">
        <v>0</v>
      </c>
      <c r="GN814">
        <v>791.40000000000009</v>
      </c>
      <c r="GO814">
        <v>1816.5</v>
      </c>
      <c r="GP814">
        <v>0</v>
      </c>
      <c r="GQ814">
        <v>0</v>
      </c>
      <c r="GR814">
        <v>0</v>
      </c>
      <c r="GS814">
        <v>0</v>
      </c>
      <c r="GT814">
        <v>0</v>
      </c>
      <c r="GU814">
        <v>0</v>
      </c>
      <c r="GV814">
        <v>0</v>
      </c>
      <c r="GW814">
        <v>0</v>
      </c>
      <c r="GX814">
        <v>0</v>
      </c>
      <c r="GY814">
        <v>840.3</v>
      </c>
      <c r="GZ814">
        <v>0</v>
      </c>
      <c r="HA814">
        <v>0</v>
      </c>
      <c r="HB814">
        <v>0</v>
      </c>
      <c r="HC814">
        <v>380.4</v>
      </c>
      <c r="HD814">
        <v>2175.5</v>
      </c>
      <c r="HE814">
        <v>0</v>
      </c>
      <c r="HF814">
        <v>0</v>
      </c>
      <c r="HG814">
        <v>0</v>
      </c>
      <c r="HH814">
        <v>0</v>
      </c>
      <c r="HI814">
        <v>0</v>
      </c>
      <c r="HJ814">
        <v>803.40000000000009</v>
      </c>
      <c r="HK814">
        <v>1270.9000000000001</v>
      </c>
      <c r="HL814">
        <v>835.7</v>
      </c>
      <c r="HM814">
        <v>1162.5999999999999</v>
      </c>
      <c r="HN814">
        <v>0</v>
      </c>
      <c r="HO814">
        <v>0</v>
      </c>
      <c r="HP814">
        <v>0</v>
      </c>
      <c r="HQ814">
        <v>0</v>
      </c>
      <c r="HR814">
        <v>161.19999999999999</v>
      </c>
      <c r="HS814">
        <v>0</v>
      </c>
      <c r="HT814">
        <v>2048.5</v>
      </c>
      <c r="HU814">
        <v>2627.5</v>
      </c>
      <c r="HV814">
        <v>1168.5999999999999</v>
      </c>
      <c r="HW814">
        <v>388</v>
      </c>
      <c r="HX814">
        <v>0</v>
      </c>
      <c r="HY814">
        <v>0</v>
      </c>
      <c r="HZ814">
        <v>0</v>
      </c>
      <c r="IA814">
        <v>0</v>
      </c>
      <c r="IB814">
        <v>0</v>
      </c>
      <c r="IC814">
        <v>594.4</v>
      </c>
      <c r="ID814">
        <v>427.4</v>
      </c>
      <c r="IE814">
        <v>713.3</v>
      </c>
      <c r="IF814">
        <v>626.1</v>
      </c>
      <c r="IG814">
        <v>0</v>
      </c>
      <c r="IH814">
        <v>0</v>
      </c>
      <c r="II814">
        <v>995.7</v>
      </c>
      <c r="IJ814">
        <v>1156.5999999999999</v>
      </c>
      <c r="IK814">
        <v>864.6</v>
      </c>
      <c r="IL814">
        <v>316.5</v>
      </c>
      <c r="IM814">
        <v>101.5</v>
      </c>
      <c r="IN814">
        <v>71.8</v>
      </c>
      <c r="IO814">
        <v>0</v>
      </c>
      <c r="IP814">
        <v>0</v>
      </c>
      <c r="IQ814">
        <v>0</v>
      </c>
      <c r="IR814">
        <v>0</v>
      </c>
      <c r="IS814">
        <v>0</v>
      </c>
      <c r="IT814">
        <v>0</v>
      </c>
      <c r="IU814">
        <v>0</v>
      </c>
      <c r="IV814">
        <v>0</v>
      </c>
      <c r="IW814">
        <v>68</v>
      </c>
      <c r="IX814">
        <v>404.7</v>
      </c>
      <c r="IY814">
        <v>126.6</v>
      </c>
      <c r="IZ814">
        <v>126.6</v>
      </c>
      <c r="JA814">
        <v>503.7</v>
      </c>
      <c r="JB814">
        <v>570.1</v>
      </c>
      <c r="JC814">
        <v>328.3</v>
      </c>
      <c r="JD814">
        <v>0</v>
      </c>
      <c r="JE814">
        <v>0</v>
      </c>
      <c r="JF814">
        <v>0</v>
      </c>
      <c r="JG814">
        <v>0</v>
      </c>
      <c r="JH814">
        <v>287.3</v>
      </c>
      <c r="JI814">
        <v>68.2</v>
      </c>
      <c r="JJ814">
        <v>0</v>
      </c>
      <c r="JK814">
        <v>148.6</v>
      </c>
      <c r="JL814">
        <v>0</v>
      </c>
      <c r="JM814">
        <v>0</v>
      </c>
      <c r="JN814">
        <v>204.5</v>
      </c>
      <c r="JO814">
        <v>292.10000000000002</v>
      </c>
      <c r="JP814">
        <v>670.8</v>
      </c>
      <c r="JQ814">
        <v>745.2</v>
      </c>
      <c r="JR814">
        <v>242.9</v>
      </c>
    </row>
    <row r="815" spans="2:278" ht="18" thickBot="1">
      <c r="B815" s="522" t="s">
        <v>942</v>
      </c>
      <c r="C815" s="537" t="s">
        <v>1510</v>
      </c>
      <c r="D815" s="522" t="s">
        <v>1387</v>
      </c>
      <c r="E815" s="454">
        <v>22829.8</v>
      </c>
      <c r="F815">
        <v>20193.400000000001</v>
      </c>
      <c r="G815" s="427">
        <v>0</v>
      </c>
      <c r="H815" s="155">
        <v>0</v>
      </c>
      <c r="I815">
        <v>0</v>
      </c>
      <c r="J815">
        <v>0</v>
      </c>
      <c r="K815">
        <v>0</v>
      </c>
      <c r="L815" s="4">
        <v>0</v>
      </c>
      <c r="M815" s="4">
        <v>0</v>
      </c>
      <c r="N815" s="4">
        <v>0</v>
      </c>
      <c r="O815" s="4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1476.4</v>
      </c>
      <c r="X815">
        <v>1482</v>
      </c>
      <c r="Y815">
        <v>457.20000000000005</v>
      </c>
      <c r="Z815">
        <v>0</v>
      </c>
      <c r="AA815">
        <v>0</v>
      </c>
      <c r="AB815">
        <v>0</v>
      </c>
      <c r="AC815">
        <v>0</v>
      </c>
      <c r="AD815">
        <v>3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1828.6</v>
      </c>
      <c r="AK815">
        <v>1800.7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560.70000000000005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>
        <v>0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3.5</v>
      </c>
      <c r="CQ815">
        <v>0</v>
      </c>
      <c r="CR815">
        <v>528</v>
      </c>
      <c r="CS815">
        <v>581.79999999999995</v>
      </c>
      <c r="CT815">
        <v>555.40000000000009</v>
      </c>
      <c r="CU815">
        <v>737.4</v>
      </c>
      <c r="CV815">
        <v>1039.0999999999999</v>
      </c>
      <c r="CW815">
        <v>1667.3</v>
      </c>
      <c r="CX815">
        <v>877.6</v>
      </c>
      <c r="CY815">
        <v>910.40000000000009</v>
      </c>
      <c r="CZ815">
        <v>0</v>
      </c>
      <c r="DA815">
        <v>0</v>
      </c>
      <c r="DB815">
        <v>0</v>
      </c>
      <c r="DC815">
        <v>0</v>
      </c>
      <c r="DD815">
        <v>0</v>
      </c>
      <c r="DE815">
        <v>0</v>
      </c>
      <c r="DF815">
        <v>0</v>
      </c>
      <c r="DG815">
        <v>0</v>
      </c>
      <c r="DH815">
        <v>0</v>
      </c>
      <c r="DI815">
        <v>0</v>
      </c>
      <c r="DJ815">
        <v>0</v>
      </c>
      <c r="DK815">
        <v>0</v>
      </c>
      <c r="DL815">
        <v>995.5</v>
      </c>
      <c r="DM815">
        <v>712.7</v>
      </c>
      <c r="DN815">
        <v>0</v>
      </c>
      <c r="DO815">
        <v>0</v>
      </c>
      <c r="DP815">
        <v>0</v>
      </c>
      <c r="DQ815">
        <v>0</v>
      </c>
      <c r="DR815">
        <v>0</v>
      </c>
      <c r="DS815">
        <v>0</v>
      </c>
      <c r="DT815">
        <v>0</v>
      </c>
      <c r="DU815">
        <v>0</v>
      </c>
      <c r="DV815">
        <v>0</v>
      </c>
      <c r="DW815">
        <v>0</v>
      </c>
      <c r="DX815">
        <v>0</v>
      </c>
      <c r="DY815">
        <v>0</v>
      </c>
      <c r="DZ815">
        <v>0</v>
      </c>
      <c r="EA815">
        <v>0</v>
      </c>
      <c r="EB815">
        <v>0</v>
      </c>
      <c r="EC815">
        <v>0</v>
      </c>
      <c r="ED815">
        <v>0</v>
      </c>
      <c r="EE815">
        <v>0</v>
      </c>
      <c r="EF815">
        <v>0</v>
      </c>
      <c r="EG815">
        <v>0</v>
      </c>
      <c r="EH815">
        <v>0</v>
      </c>
      <c r="EI815">
        <v>0</v>
      </c>
      <c r="EJ815">
        <v>0</v>
      </c>
      <c r="EK815">
        <v>0</v>
      </c>
      <c r="EL815">
        <v>0</v>
      </c>
      <c r="EM815">
        <v>0</v>
      </c>
      <c r="EN815">
        <v>27.4</v>
      </c>
      <c r="EO815">
        <v>0</v>
      </c>
      <c r="EP815">
        <v>1002.5</v>
      </c>
      <c r="EQ815">
        <v>0</v>
      </c>
      <c r="ER815">
        <v>494</v>
      </c>
      <c r="ES815">
        <v>0</v>
      </c>
      <c r="ET815">
        <v>699.3</v>
      </c>
      <c r="EU815">
        <v>435.4</v>
      </c>
      <c r="EV815">
        <v>0</v>
      </c>
      <c r="EW815">
        <v>0</v>
      </c>
      <c r="EX815">
        <v>0</v>
      </c>
      <c r="EY815">
        <v>0</v>
      </c>
      <c r="EZ815">
        <v>0</v>
      </c>
      <c r="FA815">
        <v>0</v>
      </c>
      <c r="FB815">
        <v>0</v>
      </c>
      <c r="FC815">
        <v>0</v>
      </c>
      <c r="FD815">
        <v>95.6</v>
      </c>
      <c r="FE815">
        <v>1792.1</v>
      </c>
      <c r="FF815">
        <v>1740.1999999999998</v>
      </c>
      <c r="FG815">
        <v>954.9</v>
      </c>
      <c r="FH815">
        <v>1087.8000000000002</v>
      </c>
      <c r="FI815">
        <v>1892.1</v>
      </c>
      <c r="FJ815">
        <v>1222.5</v>
      </c>
      <c r="FK815">
        <v>678.3</v>
      </c>
      <c r="FL815">
        <v>639.1</v>
      </c>
      <c r="FM815">
        <v>520.5</v>
      </c>
      <c r="FN815">
        <v>123.8</v>
      </c>
      <c r="FO815">
        <v>181.6</v>
      </c>
      <c r="FP815">
        <v>1090.5</v>
      </c>
      <c r="FQ815">
        <v>0</v>
      </c>
      <c r="FR815">
        <v>0</v>
      </c>
      <c r="FS815">
        <v>0</v>
      </c>
      <c r="FT815">
        <v>0</v>
      </c>
      <c r="FU815">
        <v>0</v>
      </c>
      <c r="FV815">
        <v>0</v>
      </c>
      <c r="FW815">
        <v>0</v>
      </c>
      <c r="FX815">
        <v>0</v>
      </c>
      <c r="FY815">
        <v>0</v>
      </c>
      <c r="FZ815">
        <v>0</v>
      </c>
      <c r="GA815">
        <v>0</v>
      </c>
      <c r="GB815">
        <v>0</v>
      </c>
      <c r="GC815">
        <v>0</v>
      </c>
      <c r="GD815">
        <v>0</v>
      </c>
      <c r="GE815">
        <v>0</v>
      </c>
      <c r="GF815">
        <v>198.3</v>
      </c>
      <c r="GG815">
        <v>1054.4000000000001</v>
      </c>
      <c r="GH815">
        <v>552.79999999999995</v>
      </c>
      <c r="GI815">
        <v>522</v>
      </c>
      <c r="GJ815">
        <v>0</v>
      </c>
      <c r="GK815">
        <v>0</v>
      </c>
      <c r="GL815">
        <v>0</v>
      </c>
      <c r="GM815">
        <v>0</v>
      </c>
      <c r="GN815">
        <v>791.40000000000009</v>
      </c>
      <c r="GO815">
        <v>1816.5</v>
      </c>
      <c r="GP815">
        <v>0</v>
      </c>
      <c r="GQ815">
        <v>0</v>
      </c>
      <c r="GR815">
        <v>0</v>
      </c>
      <c r="GS815">
        <v>0</v>
      </c>
      <c r="GT815">
        <v>0</v>
      </c>
      <c r="GU815">
        <v>0</v>
      </c>
      <c r="GV815">
        <v>0</v>
      </c>
      <c r="GW815">
        <v>0</v>
      </c>
      <c r="GX815">
        <v>0</v>
      </c>
      <c r="GY815">
        <v>840.3</v>
      </c>
      <c r="GZ815">
        <v>0</v>
      </c>
      <c r="HA815">
        <v>0</v>
      </c>
      <c r="HB815">
        <v>0</v>
      </c>
      <c r="HC815">
        <v>380.4</v>
      </c>
      <c r="HD815">
        <v>2175.5</v>
      </c>
      <c r="HE815">
        <v>0</v>
      </c>
      <c r="HF815">
        <v>0</v>
      </c>
      <c r="HG815">
        <v>0</v>
      </c>
      <c r="HH815">
        <v>0</v>
      </c>
      <c r="HI815">
        <v>0</v>
      </c>
      <c r="HJ815">
        <v>803.40000000000009</v>
      </c>
      <c r="HK815">
        <v>1270.9000000000001</v>
      </c>
      <c r="HL815">
        <v>835.7</v>
      </c>
      <c r="HM815">
        <v>1162.5999999999999</v>
      </c>
      <c r="HN815">
        <v>0</v>
      </c>
      <c r="HO815">
        <v>0</v>
      </c>
      <c r="HP815">
        <v>0</v>
      </c>
      <c r="HQ815">
        <v>0</v>
      </c>
      <c r="HR815">
        <v>161.19999999999999</v>
      </c>
      <c r="HS815">
        <v>0</v>
      </c>
      <c r="HT815">
        <v>2048.5</v>
      </c>
      <c r="HU815">
        <v>2627.5</v>
      </c>
      <c r="HV815">
        <v>1168.5999999999999</v>
      </c>
      <c r="HW815">
        <v>388</v>
      </c>
      <c r="HX815">
        <v>0</v>
      </c>
      <c r="HY815">
        <v>0</v>
      </c>
      <c r="HZ815">
        <v>0</v>
      </c>
      <c r="IA815">
        <v>0</v>
      </c>
      <c r="IB815">
        <v>0</v>
      </c>
      <c r="IC815">
        <v>594.4</v>
      </c>
      <c r="ID815">
        <v>427.4</v>
      </c>
      <c r="IE815">
        <v>713.3</v>
      </c>
      <c r="IF815">
        <v>626.1</v>
      </c>
      <c r="IG815">
        <v>0</v>
      </c>
      <c r="IH815">
        <v>0</v>
      </c>
      <c r="II815">
        <v>995.7</v>
      </c>
      <c r="IJ815">
        <v>1156.5999999999999</v>
      </c>
      <c r="IK815">
        <v>864.6</v>
      </c>
      <c r="IL815">
        <v>316.5</v>
      </c>
      <c r="IM815">
        <v>101.5</v>
      </c>
      <c r="IN815">
        <v>71.8</v>
      </c>
      <c r="IO815">
        <v>0</v>
      </c>
      <c r="IP815">
        <v>0</v>
      </c>
      <c r="IQ815">
        <v>0</v>
      </c>
      <c r="IR815">
        <v>0</v>
      </c>
      <c r="IS815">
        <v>0</v>
      </c>
      <c r="IT815">
        <v>0</v>
      </c>
      <c r="IU815">
        <v>0</v>
      </c>
      <c r="IV815">
        <v>0</v>
      </c>
      <c r="IW815">
        <v>68</v>
      </c>
      <c r="IX815">
        <v>404.7</v>
      </c>
      <c r="IY815">
        <v>126.6</v>
      </c>
      <c r="IZ815">
        <v>126.6</v>
      </c>
      <c r="JA815">
        <v>503.7</v>
      </c>
      <c r="JB815">
        <v>570.1</v>
      </c>
      <c r="JC815">
        <v>328.3</v>
      </c>
      <c r="JD815">
        <v>0</v>
      </c>
      <c r="JE815">
        <v>0</v>
      </c>
      <c r="JF815">
        <v>0</v>
      </c>
      <c r="JG815">
        <v>0</v>
      </c>
      <c r="JH815">
        <v>287.3</v>
      </c>
      <c r="JI815">
        <v>68.2</v>
      </c>
      <c r="JJ815">
        <v>0</v>
      </c>
      <c r="JK815">
        <v>148.6</v>
      </c>
      <c r="JL815">
        <v>0</v>
      </c>
      <c r="JM815">
        <v>0</v>
      </c>
      <c r="JN815">
        <v>204.5</v>
      </c>
      <c r="JO815">
        <v>292.10000000000002</v>
      </c>
      <c r="JP815">
        <v>670.8</v>
      </c>
      <c r="JQ815">
        <v>745.2</v>
      </c>
      <c r="JR815">
        <v>242.9</v>
      </c>
    </row>
    <row r="816" spans="2:278" ht="18" thickBot="1">
      <c r="B816" s="523"/>
      <c r="C816" s="538"/>
      <c r="D816" s="523"/>
      <c r="E816" s="454">
        <v>22829.8</v>
      </c>
      <c r="F816">
        <v>20193.400000000001</v>
      </c>
      <c r="G816" s="427">
        <v>0</v>
      </c>
      <c r="H816" s="155">
        <v>0</v>
      </c>
      <c r="I816">
        <v>0</v>
      </c>
      <c r="J816">
        <v>0</v>
      </c>
      <c r="K816">
        <v>0</v>
      </c>
      <c r="L816" s="4">
        <v>0</v>
      </c>
      <c r="M816" s="4">
        <v>0</v>
      </c>
      <c r="N816" s="4">
        <v>0</v>
      </c>
      <c r="O816" s="4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1476.4</v>
      </c>
      <c r="X816">
        <v>1482</v>
      </c>
      <c r="Y816">
        <v>457.20000000000005</v>
      </c>
      <c r="Z816">
        <v>0</v>
      </c>
      <c r="AA816">
        <v>0</v>
      </c>
      <c r="AB816">
        <v>0</v>
      </c>
      <c r="AC816">
        <v>0</v>
      </c>
      <c r="AD816">
        <v>3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1828.6</v>
      </c>
      <c r="AK816">
        <v>1800.7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560.70000000000005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  <c r="CF816">
        <v>0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3.5</v>
      </c>
      <c r="CQ816">
        <v>0</v>
      </c>
      <c r="CR816">
        <v>528</v>
      </c>
      <c r="CS816">
        <v>581.79999999999995</v>
      </c>
      <c r="CT816">
        <v>555.40000000000009</v>
      </c>
      <c r="CU816">
        <v>737.4</v>
      </c>
      <c r="CV816">
        <v>1039.0999999999999</v>
      </c>
      <c r="CW816">
        <v>1667.3</v>
      </c>
      <c r="CX816">
        <v>877.6</v>
      </c>
      <c r="CY816">
        <v>910.40000000000009</v>
      </c>
      <c r="CZ816">
        <v>0</v>
      </c>
      <c r="DA816">
        <v>0</v>
      </c>
      <c r="DB816">
        <v>0</v>
      </c>
      <c r="DC816">
        <v>0</v>
      </c>
      <c r="DD816">
        <v>0</v>
      </c>
      <c r="DE816">
        <v>0</v>
      </c>
      <c r="DF816">
        <v>0</v>
      </c>
      <c r="DG816">
        <v>0</v>
      </c>
      <c r="DH816">
        <v>0</v>
      </c>
      <c r="DI816">
        <v>0</v>
      </c>
      <c r="DJ816">
        <v>0</v>
      </c>
      <c r="DK816">
        <v>0</v>
      </c>
      <c r="DL816">
        <v>995.5</v>
      </c>
      <c r="DM816">
        <v>712.7</v>
      </c>
      <c r="DN816">
        <v>0</v>
      </c>
      <c r="DO816">
        <v>0</v>
      </c>
      <c r="DP816">
        <v>0</v>
      </c>
      <c r="DQ816">
        <v>0</v>
      </c>
      <c r="DR816">
        <v>0</v>
      </c>
      <c r="DS816">
        <v>0</v>
      </c>
      <c r="DT816">
        <v>0</v>
      </c>
      <c r="DU816">
        <v>0</v>
      </c>
      <c r="DV816">
        <v>0</v>
      </c>
      <c r="DW816">
        <v>0</v>
      </c>
      <c r="DX816">
        <v>0</v>
      </c>
      <c r="DY816">
        <v>0</v>
      </c>
      <c r="DZ816">
        <v>0</v>
      </c>
      <c r="EA816">
        <v>0</v>
      </c>
      <c r="EB816">
        <v>0</v>
      </c>
      <c r="EC816">
        <v>0</v>
      </c>
      <c r="ED816">
        <v>0</v>
      </c>
      <c r="EE816">
        <v>0</v>
      </c>
      <c r="EF816">
        <v>0</v>
      </c>
      <c r="EG816">
        <v>0</v>
      </c>
      <c r="EH816">
        <v>0</v>
      </c>
      <c r="EI816">
        <v>0</v>
      </c>
      <c r="EJ816">
        <v>0</v>
      </c>
      <c r="EK816">
        <v>0</v>
      </c>
      <c r="EL816">
        <v>0</v>
      </c>
      <c r="EM816">
        <v>0</v>
      </c>
      <c r="EN816">
        <v>27.4</v>
      </c>
      <c r="EO816">
        <v>0</v>
      </c>
      <c r="EP816">
        <v>1002.5</v>
      </c>
      <c r="EQ816">
        <v>0</v>
      </c>
      <c r="ER816">
        <v>494</v>
      </c>
      <c r="ES816">
        <v>0</v>
      </c>
      <c r="ET816">
        <v>699.3</v>
      </c>
      <c r="EU816">
        <v>435.4</v>
      </c>
      <c r="EV816">
        <v>0</v>
      </c>
      <c r="EW816">
        <v>0</v>
      </c>
      <c r="EX816">
        <v>0</v>
      </c>
      <c r="EY816">
        <v>0</v>
      </c>
      <c r="EZ816">
        <v>0</v>
      </c>
      <c r="FA816">
        <v>0</v>
      </c>
      <c r="FB816">
        <v>0</v>
      </c>
      <c r="FC816">
        <v>0</v>
      </c>
      <c r="FD816">
        <v>95.6</v>
      </c>
      <c r="FE816">
        <v>1792.1</v>
      </c>
      <c r="FF816">
        <v>1740.1999999999998</v>
      </c>
      <c r="FG816">
        <v>954.9</v>
      </c>
      <c r="FH816">
        <v>1087.8000000000002</v>
      </c>
      <c r="FI816">
        <v>1892.1</v>
      </c>
      <c r="FJ816">
        <v>1222.5</v>
      </c>
      <c r="FK816">
        <v>678.3</v>
      </c>
      <c r="FL816">
        <v>639.1</v>
      </c>
      <c r="FM816">
        <v>520.5</v>
      </c>
      <c r="FN816">
        <v>123.8</v>
      </c>
      <c r="FO816">
        <v>181.6</v>
      </c>
      <c r="FP816">
        <v>1090.5</v>
      </c>
      <c r="FQ816">
        <v>0</v>
      </c>
      <c r="FR816">
        <v>0</v>
      </c>
      <c r="FS816">
        <v>0</v>
      </c>
      <c r="FT816">
        <v>0</v>
      </c>
      <c r="FU816">
        <v>0</v>
      </c>
      <c r="FV816">
        <v>0</v>
      </c>
      <c r="FW816">
        <v>0</v>
      </c>
      <c r="FX816">
        <v>0</v>
      </c>
      <c r="FY816">
        <v>0</v>
      </c>
      <c r="FZ816">
        <v>0</v>
      </c>
      <c r="GA816">
        <v>0</v>
      </c>
      <c r="GB816">
        <v>0</v>
      </c>
      <c r="GC816">
        <v>0</v>
      </c>
      <c r="GD816">
        <v>0</v>
      </c>
      <c r="GE816">
        <v>0</v>
      </c>
      <c r="GF816">
        <v>198.3</v>
      </c>
      <c r="GG816">
        <v>1054.4000000000001</v>
      </c>
      <c r="GH816">
        <v>552.79999999999995</v>
      </c>
      <c r="GI816">
        <v>522</v>
      </c>
      <c r="GJ816">
        <v>0</v>
      </c>
      <c r="GK816">
        <v>0</v>
      </c>
      <c r="GL816">
        <v>0</v>
      </c>
      <c r="GM816">
        <v>0</v>
      </c>
      <c r="GN816">
        <v>791.40000000000009</v>
      </c>
      <c r="GO816">
        <v>1816.5</v>
      </c>
      <c r="GP816">
        <v>0</v>
      </c>
      <c r="GQ816">
        <v>0</v>
      </c>
      <c r="GR816">
        <v>0</v>
      </c>
      <c r="GS816">
        <v>0</v>
      </c>
      <c r="GT816">
        <v>0</v>
      </c>
      <c r="GU816">
        <v>0</v>
      </c>
      <c r="GV816">
        <v>0</v>
      </c>
      <c r="GW816">
        <v>0</v>
      </c>
      <c r="GX816">
        <v>0</v>
      </c>
      <c r="GY816">
        <v>840.3</v>
      </c>
      <c r="GZ816">
        <v>0</v>
      </c>
      <c r="HA816">
        <v>0</v>
      </c>
      <c r="HB816">
        <v>0</v>
      </c>
      <c r="HC816">
        <v>380.4</v>
      </c>
      <c r="HD816">
        <v>2175.5</v>
      </c>
      <c r="HE816">
        <v>0</v>
      </c>
      <c r="HF816">
        <v>0</v>
      </c>
      <c r="HG816">
        <v>0</v>
      </c>
      <c r="HH816">
        <v>0</v>
      </c>
      <c r="HI816">
        <v>0</v>
      </c>
      <c r="HJ816">
        <v>803.40000000000009</v>
      </c>
      <c r="HK816">
        <v>1270.9000000000001</v>
      </c>
      <c r="HL816">
        <v>835.7</v>
      </c>
      <c r="HM816">
        <v>1162.5999999999999</v>
      </c>
      <c r="HN816">
        <v>0</v>
      </c>
      <c r="HO816">
        <v>0</v>
      </c>
      <c r="HP816">
        <v>0</v>
      </c>
      <c r="HQ816">
        <v>0</v>
      </c>
      <c r="HR816">
        <v>161.19999999999999</v>
      </c>
      <c r="HS816">
        <v>0</v>
      </c>
      <c r="HT816">
        <v>2048.5</v>
      </c>
      <c r="HU816">
        <v>2627.5</v>
      </c>
      <c r="HV816">
        <v>1168.5999999999999</v>
      </c>
      <c r="HW816">
        <v>388</v>
      </c>
      <c r="HX816">
        <v>0</v>
      </c>
      <c r="HY816">
        <v>0</v>
      </c>
      <c r="HZ816">
        <v>0</v>
      </c>
      <c r="IA816">
        <v>0</v>
      </c>
      <c r="IB816">
        <v>0</v>
      </c>
      <c r="IC816">
        <v>594.4</v>
      </c>
      <c r="ID816">
        <v>427.4</v>
      </c>
      <c r="IE816">
        <v>713.3</v>
      </c>
      <c r="IF816">
        <v>626.1</v>
      </c>
      <c r="IG816">
        <v>0</v>
      </c>
      <c r="IH816">
        <v>0</v>
      </c>
      <c r="II816">
        <v>995.7</v>
      </c>
      <c r="IJ816">
        <v>1156.5999999999999</v>
      </c>
      <c r="IK816">
        <v>864.6</v>
      </c>
      <c r="IL816">
        <v>316.5</v>
      </c>
      <c r="IM816">
        <v>101.5</v>
      </c>
      <c r="IN816">
        <v>71.8</v>
      </c>
      <c r="IO816">
        <v>0</v>
      </c>
      <c r="IP816">
        <v>0</v>
      </c>
      <c r="IQ816">
        <v>0</v>
      </c>
      <c r="IR816">
        <v>0</v>
      </c>
      <c r="IS816">
        <v>0</v>
      </c>
      <c r="IT816">
        <v>0</v>
      </c>
      <c r="IU816">
        <v>0</v>
      </c>
      <c r="IV816">
        <v>0</v>
      </c>
      <c r="IW816">
        <v>68</v>
      </c>
      <c r="IX816">
        <v>404.7</v>
      </c>
      <c r="IY816">
        <v>126.6</v>
      </c>
      <c r="IZ816">
        <v>126.6</v>
      </c>
      <c r="JA816">
        <v>503.7</v>
      </c>
      <c r="JB816">
        <v>570.1</v>
      </c>
      <c r="JC816">
        <v>328.3</v>
      </c>
      <c r="JD816">
        <v>0</v>
      </c>
      <c r="JE816">
        <v>0</v>
      </c>
      <c r="JF816">
        <v>0</v>
      </c>
      <c r="JG816">
        <v>0</v>
      </c>
      <c r="JH816">
        <v>287.3</v>
      </c>
      <c r="JI816">
        <v>68.2</v>
      </c>
      <c r="JJ816">
        <v>0</v>
      </c>
      <c r="JK816">
        <v>148.6</v>
      </c>
      <c r="JL816">
        <v>0</v>
      </c>
      <c r="JM816">
        <v>0</v>
      </c>
      <c r="JN816">
        <v>204.5</v>
      </c>
      <c r="JO816">
        <v>292.10000000000002</v>
      </c>
      <c r="JP816">
        <v>670.8</v>
      </c>
      <c r="JQ816">
        <v>745.2</v>
      </c>
      <c r="JR816">
        <v>242.9</v>
      </c>
    </row>
    <row r="817" spans="2:278" ht="18" thickBot="1">
      <c r="B817" s="368" t="s">
        <v>943</v>
      </c>
      <c r="C817" s="411" t="s">
        <v>1511</v>
      </c>
      <c r="D817" s="368" t="s">
        <v>1389</v>
      </c>
      <c r="E817" s="454">
        <v>22829.8</v>
      </c>
      <c r="F817">
        <v>20193.400000000001</v>
      </c>
      <c r="G817" s="427">
        <v>0</v>
      </c>
      <c r="H817" s="155">
        <v>0</v>
      </c>
      <c r="I817">
        <v>0</v>
      </c>
      <c r="J817">
        <v>0</v>
      </c>
      <c r="K817">
        <v>0</v>
      </c>
      <c r="L817" s="4">
        <v>0</v>
      </c>
      <c r="M817" s="4">
        <v>0</v>
      </c>
      <c r="N817" s="4">
        <v>0</v>
      </c>
      <c r="O817" s="4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1476.4</v>
      </c>
      <c r="X817">
        <v>1482</v>
      </c>
      <c r="Y817">
        <v>457.20000000000005</v>
      </c>
      <c r="Z817">
        <v>0</v>
      </c>
      <c r="AA817">
        <v>0</v>
      </c>
      <c r="AB817">
        <v>0</v>
      </c>
      <c r="AC817">
        <v>0</v>
      </c>
      <c r="AD817">
        <v>3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1828.6</v>
      </c>
      <c r="AK817">
        <v>1800.7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560.70000000000005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0</v>
      </c>
      <c r="BN817">
        <v>0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  <c r="CF817">
        <v>0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3.5</v>
      </c>
      <c r="CQ817">
        <v>0</v>
      </c>
      <c r="CR817">
        <v>528</v>
      </c>
      <c r="CS817">
        <v>581.79999999999995</v>
      </c>
      <c r="CT817">
        <v>555.40000000000009</v>
      </c>
      <c r="CU817">
        <v>737.4</v>
      </c>
      <c r="CV817">
        <v>1039.0999999999999</v>
      </c>
      <c r="CW817">
        <v>1667.3</v>
      </c>
      <c r="CX817">
        <v>877.6</v>
      </c>
      <c r="CY817">
        <v>910.40000000000009</v>
      </c>
      <c r="CZ817">
        <v>0</v>
      </c>
      <c r="DA817">
        <v>0</v>
      </c>
      <c r="DB817">
        <v>0</v>
      </c>
      <c r="DC817">
        <v>0</v>
      </c>
      <c r="DD817">
        <v>0</v>
      </c>
      <c r="DE817">
        <v>0</v>
      </c>
      <c r="DF817">
        <v>0</v>
      </c>
      <c r="DG817">
        <v>0</v>
      </c>
      <c r="DH817">
        <v>0</v>
      </c>
      <c r="DI817">
        <v>0</v>
      </c>
      <c r="DJ817">
        <v>0</v>
      </c>
      <c r="DK817">
        <v>0</v>
      </c>
      <c r="DL817">
        <v>995.5</v>
      </c>
      <c r="DM817">
        <v>712.7</v>
      </c>
      <c r="DN817">
        <v>0</v>
      </c>
      <c r="DO817">
        <v>0</v>
      </c>
      <c r="DP817">
        <v>0</v>
      </c>
      <c r="DQ817">
        <v>0</v>
      </c>
      <c r="DR817">
        <v>0</v>
      </c>
      <c r="DS817">
        <v>0</v>
      </c>
      <c r="DT817">
        <v>0</v>
      </c>
      <c r="DU817">
        <v>0</v>
      </c>
      <c r="DV817">
        <v>0</v>
      </c>
      <c r="DW817">
        <v>0</v>
      </c>
      <c r="DX817">
        <v>0</v>
      </c>
      <c r="DY817">
        <v>0</v>
      </c>
      <c r="DZ817">
        <v>0</v>
      </c>
      <c r="EA817">
        <v>0</v>
      </c>
      <c r="EB817">
        <v>0</v>
      </c>
      <c r="EC817">
        <v>0</v>
      </c>
      <c r="ED817">
        <v>0</v>
      </c>
      <c r="EE817">
        <v>0</v>
      </c>
      <c r="EF817">
        <v>0</v>
      </c>
      <c r="EG817">
        <v>0</v>
      </c>
      <c r="EH817">
        <v>0</v>
      </c>
      <c r="EI817">
        <v>0</v>
      </c>
      <c r="EJ817">
        <v>0</v>
      </c>
      <c r="EK817">
        <v>0</v>
      </c>
      <c r="EL817">
        <v>0</v>
      </c>
      <c r="EM817">
        <v>0</v>
      </c>
      <c r="EN817">
        <v>27.4</v>
      </c>
      <c r="EO817">
        <v>0</v>
      </c>
      <c r="EP817">
        <v>1002.5</v>
      </c>
      <c r="EQ817">
        <v>0</v>
      </c>
      <c r="ER817">
        <v>494</v>
      </c>
      <c r="ES817">
        <v>0</v>
      </c>
      <c r="ET817">
        <v>699.3</v>
      </c>
      <c r="EU817">
        <v>435.4</v>
      </c>
      <c r="EV817">
        <v>0</v>
      </c>
      <c r="EW817">
        <v>0</v>
      </c>
      <c r="EX817">
        <v>0</v>
      </c>
      <c r="EY817">
        <v>0</v>
      </c>
      <c r="EZ817">
        <v>0</v>
      </c>
      <c r="FA817">
        <v>0</v>
      </c>
      <c r="FB817">
        <v>0</v>
      </c>
      <c r="FC817">
        <v>0</v>
      </c>
      <c r="FD817">
        <v>95.6</v>
      </c>
      <c r="FE817">
        <v>1792.1</v>
      </c>
      <c r="FF817">
        <v>1740.1999999999998</v>
      </c>
      <c r="FG817">
        <v>954.9</v>
      </c>
      <c r="FH817">
        <v>1087.8000000000002</v>
      </c>
      <c r="FI817">
        <v>1892.1</v>
      </c>
      <c r="FJ817">
        <v>1222.5</v>
      </c>
      <c r="FK817">
        <v>678.3</v>
      </c>
      <c r="FL817">
        <v>639.1</v>
      </c>
      <c r="FM817">
        <v>520.5</v>
      </c>
      <c r="FN817">
        <v>123.8</v>
      </c>
      <c r="FO817">
        <v>181.6</v>
      </c>
      <c r="FP817">
        <v>1090.5</v>
      </c>
      <c r="FQ817">
        <v>0</v>
      </c>
      <c r="FR817">
        <v>0</v>
      </c>
      <c r="FS817">
        <v>0</v>
      </c>
      <c r="FT817">
        <v>0</v>
      </c>
      <c r="FU817">
        <v>0</v>
      </c>
      <c r="FV817">
        <v>0</v>
      </c>
      <c r="FW817">
        <v>0</v>
      </c>
      <c r="FX817">
        <v>0</v>
      </c>
      <c r="FY817">
        <v>0</v>
      </c>
      <c r="FZ817">
        <v>0</v>
      </c>
      <c r="GA817">
        <v>0</v>
      </c>
      <c r="GB817">
        <v>0</v>
      </c>
      <c r="GC817">
        <v>0</v>
      </c>
      <c r="GD817">
        <v>0</v>
      </c>
      <c r="GE817">
        <v>0</v>
      </c>
      <c r="GF817">
        <v>198.3</v>
      </c>
      <c r="GG817">
        <v>1054.4000000000001</v>
      </c>
      <c r="GH817">
        <v>552.79999999999995</v>
      </c>
      <c r="GI817">
        <v>522</v>
      </c>
      <c r="GJ817">
        <v>0</v>
      </c>
      <c r="GK817">
        <v>0</v>
      </c>
      <c r="GL817">
        <v>0</v>
      </c>
      <c r="GM817">
        <v>0</v>
      </c>
      <c r="GN817">
        <v>791.40000000000009</v>
      </c>
      <c r="GO817">
        <v>1816.5</v>
      </c>
      <c r="GP817">
        <v>0</v>
      </c>
      <c r="GQ817">
        <v>0</v>
      </c>
      <c r="GR817">
        <v>0</v>
      </c>
      <c r="GS817">
        <v>0</v>
      </c>
      <c r="GT817">
        <v>0</v>
      </c>
      <c r="GU817">
        <v>0</v>
      </c>
      <c r="GV817">
        <v>0</v>
      </c>
      <c r="GW817">
        <v>0</v>
      </c>
      <c r="GX817">
        <v>0</v>
      </c>
      <c r="GY817">
        <v>840.3</v>
      </c>
      <c r="GZ817">
        <v>0</v>
      </c>
      <c r="HA817">
        <v>0</v>
      </c>
      <c r="HB817">
        <v>0</v>
      </c>
      <c r="HC817">
        <v>380.4</v>
      </c>
      <c r="HD817">
        <v>2175.5</v>
      </c>
      <c r="HE817">
        <v>0</v>
      </c>
      <c r="HF817">
        <v>0</v>
      </c>
      <c r="HG817">
        <v>0</v>
      </c>
      <c r="HH817">
        <v>0</v>
      </c>
      <c r="HI817">
        <v>0</v>
      </c>
      <c r="HJ817">
        <v>803.40000000000009</v>
      </c>
      <c r="HK817">
        <v>1270.9000000000001</v>
      </c>
      <c r="HL817">
        <v>835.7</v>
      </c>
      <c r="HM817">
        <v>1162.5999999999999</v>
      </c>
      <c r="HN817">
        <v>0</v>
      </c>
      <c r="HO817">
        <v>0</v>
      </c>
      <c r="HP817">
        <v>0</v>
      </c>
      <c r="HQ817">
        <v>0</v>
      </c>
      <c r="HR817">
        <v>161.19999999999999</v>
      </c>
      <c r="HS817">
        <v>0</v>
      </c>
      <c r="HT817">
        <v>2048.5</v>
      </c>
      <c r="HU817">
        <v>2627.5</v>
      </c>
      <c r="HV817">
        <v>1168.5999999999999</v>
      </c>
      <c r="HW817">
        <v>388</v>
      </c>
      <c r="HX817">
        <v>0</v>
      </c>
      <c r="HY817">
        <v>0</v>
      </c>
      <c r="HZ817">
        <v>0</v>
      </c>
      <c r="IA817">
        <v>0</v>
      </c>
      <c r="IB817">
        <v>0</v>
      </c>
      <c r="IC817">
        <v>594.4</v>
      </c>
      <c r="ID817">
        <v>427.4</v>
      </c>
      <c r="IE817">
        <v>713.3</v>
      </c>
      <c r="IF817">
        <v>626.1</v>
      </c>
      <c r="IG817">
        <v>0</v>
      </c>
      <c r="IH817">
        <v>0</v>
      </c>
      <c r="II817">
        <v>995.7</v>
      </c>
      <c r="IJ817">
        <v>1156.5999999999999</v>
      </c>
      <c r="IK817">
        <v>864.6</v>
      </c>
      <c r="IL817">
        <v>316.5</v>
      </c>
      <c r="IM817">
        <v>101.5</v>
      </c>
      <c r="IN817">
        <v>71.8</v>
      </c>
      <c r="IO817">
        <v>0</v>
      </c>
      <c r="IP817">
        <v>0</v>
      </c>
      <c r="IQ817">
        <v>0</v>
      </c>
      <c r="IR817">
        <v>0</v>
      </c>
      <c r="IS817">
        <v>0</v>
      </c>
      <c r="IT817">
        <v>0</v>
      </c>
      <c r="IU817">
        <v>0</v>
      </c>
      <c r="IV817">
        <v>0</v>
      </c>
      <c r="IW817">
        <v>68</v>
      </c>
      <c r="IX817">
        <v>404.7</v>
      </c>
      <c r="IY817">
        <v>126.6</v>
      </c>
      <c r="IZ817">
        <v>126.6</v>
      </c>
      <c r="JA817">
        <v>503.7</v>
      </c>
      <c r="JB817">
        <v>570.1</v>
      </c>
      <c r="JC817">
        <v>328.3</v>
      </c>
      <c r="JD817">
        <v>0</v>
      </c>
      <c r="JE817">
        <v>0</v>
      </c>
      <c r="JF817">
        <v>0</v>
      </c>
      <c r="JG817">
        <v>0</v>
      </c>
      <c r="JH817">
        <v>287.3</v>
      </c>
      <c r="JI817">
        <v>68.2</v>
      </c>
      <c r="JJ817">
        <v>0</v>
      </c>
      <c r="JK817">
        <v>148.6</v>
      </c>
      <c r="JL817">
        <v>0</v>
      </c>
      <c r="JM817">
        <v>0</v>
      </c>
      <c r="JN817">
        <v>204.5</v>
      </c>
      <c r="JO817">
        <v>292.10000000000002</v>
      </c>
      <c r="JP817">
        <v>670.8</v>
      </c>
      <c r="JQ817">
        <v>745.2</v>
      </c>
      <c r="JR817">
        <v>242.9</v>
      </c>
    </row>
    <row r="818" spans="2:278" ht="18" thickBot="1">
      <c r="B818" s="368" t="s">
        <v>944</v>
      </c>
      <c r="C818" s="411" t="s">
        <v>1512</v>
      </c>
      <c r="D818" s="368" t="s">
        <v>1390</v>
      </c>
      <c r="E818" s="454">
        <v>22829.8</v>
      </c>
      <c r="F818">
        <v>20193.400000000001</v>
      </c>
      <c r="G818" s="427">
        <v>0</v>
      </c>
      <c r="H818" s="155">
        <v>0</v>
      </c>
      <c r="I818">
        <v>0</v>
      </c>
      <c r="J818">
        <v>0</v>
      </c>
      <c r="K818">
        <v>0</v>
      </c>
      <c r="L818" s="4">
        <v>0</v>
      </c>
      <c r="M818" s="4">
        <v>0</v>
      </c>
      <c r="N818" s="4">
        <v>0</v>
      </c>
      <c r="O818" s="4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1476.4</v>
      </c>
      <c r="X818">
        <v>1482</v>
      </c>
      <c r="Y818">
        <v>457.20000000000005</v>
      </c>
      <c r="Z818">
        <v>0</v>
      </c>
      <c r="AA818">
        <v>0</v>
      </c>
      <c r="AB818">
        <v>0</v>
      </c>
      <c r="AC818">
        <v>0</v>
      </c>
      <c r="AD818">
        <v>3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1828.6</v>
      </c>
      <c r="AK818">
        <v>1800.7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560.70000000000005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0</v>
      </c>
      <c r="BN818">
        <v>0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0</v>
      </c>
      <c r="CP818">
        <v>3.5</v>
      </c>
      <c r="CQ818">
        <v>0</v>
      </c>
      <c r="CR818">
        <v>528</v>
      </c>
      <c r="CS818">
        <v>581.79999999999995</v>
      </c>
      <c r="CT818">
        <v>555.40000000000009</v>
      </c>
      <c r="CU818">
        <v>737.4</v>
      </c>
      <c r="CV818">
        <v>1039.0999999999999</v>
      </c>
      <c r="CW818">
        <v>1667.3</v>
      </c>
      <c r="CX818">
        <v>877.6</v>
      </c>
      <c r="CY818">
        <v>910.40000000000009</v>
      </c>
      <c r="CZ818">
        <v>0</v>
      </c>
      <c r="DA818">
        <v>0</v>
      </c>
      <c r="DB818">
        <v>0</v>
      </c>
      <c r="DC818">
        <v>0</v>
      </c>
      <c r="DD818">
        <v>0</v>
      </c>
      <c r="DE818">
        <v>0</v>
      </c>
      <c r="DF818">
        <v>0</v>
      </c>
      <c r="DG818">
        <v>0</v>
      </c>
      <c r="DH818">
        <v>0</v>
      </c>
      <c r="DI818">
        <v>0</v>
      </c>
      <c r="DJ818">
        <v>0</v>
      </c>
      <c r="DK818">
        <v>0</v>
      </c>
      <c r="DL818">
        <v>995.5</v>
      </c>
      <c r="DM818">
        <v>712.7</v>
      </c>
      <c r="DN818">
        <v>0</v>
      </c>
      <c r="DO818">
        <v>0</v>
      </c>
      <c r="DP818">
        <v>0</v>
      </c>
      <c r="DQ818">
        <v>0</v>
      </c>
      <c r="DR818">
        <v>0</v>
      </c>
      <c r="DS818">
        <v>0</v>
      </c>
      <c r="DT818">
        <v>0</v>
      </c>
      <c r="DU818">
        <v>0</v>
      </c>
      <c r="DV818">
        <v>0</v>
      </c>
      <c r="DW818">
        <v>0</v>
      </c>
      <c r="DX818">
        <v>0</v>
      </c>
      <c r="DY818">
        <v>0</v>
      </c>
      <c r="DZ818">
        <v>0</v>
      </c>
      <c r="EA818">
        <v>0</v>
      </c>
      <c r="EB818">
        <v>0</v>
      </c>
      <c r="EC818">
        <v>0</v>
      </c>
      <c r="ED818">
        <v>0</v>
      </c>
      <c r="EE818">
        <v>0</v>
      </c>
      <c r="EF818">
        <v>0</v>
      </c>
      <c r="EG818">
        <v>0</v>
      </c>
      <c r="EH818">
        <v>0</v>
      </c>
      <c r="EI818">
        <v>0</v>
      </c>
      <c r="EJ818">
        <v>0</v>
      </c>
      <c r="EK818">
        <v>0</v>
      </c>
      <c r="EL818">
        <v>0</v>
      </c>
      <c r="EM818">
        <v>0</v>
      </c>
      <c r="EN818">
        <v>27.4</v>
      </c>
      <c r="EO818">
        <v>0</v>
      </c>
      <c r="EP818">
        <v>1002.5</v>
      </c>
      <c r="EQ818">
        <v>0</v>
      </c>
      <c r="ER818">
        <v>494</v>
      </c>
      <c r="ES818">
        <v>0</v>
      </c>
      <c r="ET818">
        <v>699.3</v>
      </c>
      <c r="EU818">
        <v>435.4</v>
      </c>
      <c r="EV818">
        <v>0</v>
      </c>
      <c r="EW818">
        <v>0</v>
      </c>
      <c r="EX818">
        <v>0</v>
      </c>
      <c r="EY818">
        <v>0</v>
      </c>
      <c r="EZ818">
        <v>0</v>
      </c>
      <c r="FA818">
        <v>0</v>
      </c>
      <c r="FB818">
        <v>0</v>
      </c>
      <c r="FC818">
        <v>0</v>
      </c>
      <c r="FD818">
        <v>95.6</v>
      </c>
      <c r="FE818">
        <v>1792.1</v>
      </c>
      <c r="FF818">
        <v>1740.1999999999998</v>
      </c>
      <c r="FG818">
        <v>954.9</v>
      </c>
      <c r="FH818">
        <v>1087.8000000000002</v>
      </c>
      <c r="FI818">
        <v>1892.1</v>
      </c>
      <c r="FJ818">
        <v>1222.5</v>
      </c>
      <c r="FK818">
        <v>678.3</v>
      </c>
      <c r="FL818">
        <v>639.1</v>
      </c>
      <c r="FM818">
        <v>520.5</v>
      </c>
      <c r="FN818">
        <v>123.8</v>
      </c>
      <c r="FO818">
        <v>181.6</v>
      </c>
      <c r="FP818">
        <v>1090.5</v>
      </c>
      <c r="FQ818">
        <v>0</v>
      </c>
      <c r="FR818">
        <v>0</v>
      </c>
      <c r="FS818">
        <v>0</v>
      </c>
      <c r="FT818">
        <v>0</v>
      </c>
      <c r="FU818">
        <v>0</v>
      </c>
      <c r="FV818">
        <v>0</v>
      </c>
      <c r="FW818">
        <v>0</v>
      </c>
      <c r="FX818">
        <v>0</v>
      </c>
      <c r="FY818">
        <v>0</v>
      </c>
      <c r="FZ818">
        <v>0</v>
      </c>
      <c r="GA818">
        <v>0</v>
      </c>
      <c r="GB818">
        <v>0</v>
      </c>
      <c r="GC818">
        <v>0</v>
      </c>
      <c r="GD818">
        <v>0</v>
      </c>
      <c r="GE818">
        <v>0</v>
      </c>
      <c r="GF818">
        <v>198.3</v>
      </c>
      <c r="GG818">
        <v>1054.4000000000001</v>
      </c>
      <c r="GH818">
        <v>552.79999999999995</v>
      </c>
      <c r="GI818">
        <v>522</v>
      </c>
      <c r="GJ818">
        <v>0</v>
      </c>
      <c r="GK818">
        <v>0</v>
      </c>
      <c r="GL818">
        <v>0</v>
      </c>
      <c r="GM818">
        <v>0</v>
      </c>
      <c r="GN818">
        <v>791.40000000000009</v>
      </c>
      <c r="GO818">
        <v>1816.5</v>
      </c>
      <c r="GP818">
        <v>0</v>
      </c>
      <c r="GQ818">
        <v>0</v>
      </c>
      <c r="GR818">
        <v>0</v>
      </c>
      <c r="GS818">
        <v>0</v>
      </c>
      <c r="GT818">
        <v>0</v>
      </c>
      <c r="GU818">
        <v>0</v>
      </c>
      <c r="GV818">
        <v>0</v>
      </c>
      <c r="GW818">
        <v>0</v>
      </c>
      <c r="GX818">
        <v>0</v>
      </c>
      <c r="GY818">
        <v>840.3</v>
      </c>
      <c r="GZ818">
        <v>0</v>
      </c>
      <c r="HA818">
        <v>0</v>
      </c>
      <c r="HB818">
        <v>0</v>
      </c>
      <c r="HC818">
        <v>380.4</v>
      </c>
      <c r="HD818">
        <v>2175.5</v>
      </c>
      <c r="HE818">
        <v>0</v>
      </c>
      <c r="HF818">
        <v>0</v>
      </c>
      <c r="HG818">
        <v>0</v>
      </c>
      <c r="HH818">
        <v>0</v>
      </c>
      <c r="HI818">
        <v>0</v>
      </c>
      <c r="HJ818">
        <v>803.40000000000009</v>
      </c>
      <c r="HK818">
        <v>1270.9000000000001</v>
      </c>
      <c r="HL818">
        <v>835.7</v>
      </c>
      <c r="HM818">
        <v>1162.5999999999999</v>
      </c>
      <c r="HN818">
        <v>0</v>
      </c>
      <c r="HO818">
        <v>0</v>
      </c>
      <c r="HP818">
        <v>0</v>
      </c>
      <c r="HQ818">
        <v>0</v>
      </c>
      <c r="HR818">
        <v>161.19999999999999</v>
      </c>
      <c r="HS818">
        <v>0</v>
      </c>
      <c r="HT818">
        <v>2048.5</v>
      </c>
      <c r="HU818">
        <v>2627.5</v>
      </c>
      <c r="HV818">
        <v>1168.5999999999999</v>
      </c>
      <c r="HW818">
        <v>388</v>
      </c>
      <c r="HX818">
        <v>0</v>
      </c>
      <c r="HY818">
        <v>0</v>
      </c>
      <c r="HZ818">
        <v>0</v>
      </c>
      <c r="IA818">
        <v>0</v>
      </c>
      <c r="IB818">
        <v>0</v>
      </c>
      <c r="IC818">
        <v>594.4</v>
      </c>
      <c r="ID818">
        <v>427.4</v>
      </c>
      <c r="IE818">
        <v>713.3</v>
      </c>
      <c r="IF818">
        <v>626.1</v>
      </c>
      <c r="IG818">
        <v>0</v>
      </c>
      <c r="IH818">
        <v>0</v>
      </c>
      <c r="II818">
        <v>995.7</v>
      </c>
      <c r="IJ818">
        <v>1156.5999999999999</v>
      </c>
      <c r="IK818">
        <v>864.6</v>
      </c>
      <c r="IL818">
        <v>316.5</v>
      </c>
      <c r="IM818">
        <v>101.5</v>
      </c>
      <c r="IN818">
        <v>71.8</v>
      </c>
      <c r="IO818">
        <v>0</v>
      </c>
      <c r="IP818">
        <v>0</v>
      </c>
      <c r="IQ818">
        <v>0</v>
      </c>
      <c r="IR818">
        <v>0</v>
      </c>
      <c r="IS818">
        <v>0</v>
      </c>
      <c r="IT818">
        <v>0</v>
      </c>
      <c r="IU818">
        <v>0</v>
      </c>
      <c r="IV818">
        <v>0</v>
      </c>
      <c r="IW818">
        <v>68</v>
      </c>
      <c r="IX818">
        <v>404.7</v>
      </c>
      <c r="IY818">
        <v>126.6</v>
      </c>
      <c r="IZ818">
        <v>126.6</v>
      </c>
      <c r="JA818">
        <v>503.7</v>
      </c>
      <c r="JB818">
        <v>570.1</v>
      </c>
      <c r="JC818">
        <v>328.3</v>
      </c>
      <c r="JD818">
        <v>0</v>
      </c>
      <c r="JE818">
        <v>0</v>
      </c>
      <c r="JF818">
        <v>0</v>
      </c>
      <c r="JG818">
        <v>0</v>
      </c>
      <c r="JH818">
        <v>287.3</v>
      </c>
      <c r="JI818">
        <v>68.2</v>
      </c>
      <c r="JJ818">
        <v>0</v>
      </c>
      <c r="JK818">
        <v>148.6</v>
      </c>
      <c r="JL818">
        <v>0</v>
      </c>
      <c r="JM818">
        <v>0</v>
      </c>
      <c r="JN818">
        <v>204.5</v>
      </c>
      <c r="JO818">
        <v>292.10000000000002</v>
      </c>
      <c r="JP818">
        <v>670.8</v>
      </c>
      <c r="JQ818">
        <v>745.2</v>
      </c>
      <c r="JR818">
        <v>242.9</v>
      </c>
    </row>
    <row r="819" spans="2:278" ht="18" thickBot="1">
      <c r="B819" s="368" t="s">
        <v>1234</v>
      </c>
      <c r="C819" s="411" t="s">
        <v>1513</v>
      </c>
      <c r="D819" s="368" t="s">
        <v>1391</v>
      </c>
      <c r="E819" s="454">
        <v>22829.8</v>
      </c>
      <c r="F819">
        <v>20193.400000000001</v>
      </c>
      <c r="G819" s="427">
        <v>0</v>
      </c>
      <c r="H819" s="155">
        <v>0</v>
      </c>
      <c r="I819">
        <v>0</v>
      </c>
      <c r="J819">
        <v>0</v>
      </c>
      <c r="K819">
        <v>0</v>
      </c>
      <c r="L819" s="4">
        <v>0</v>
      </c>
      <c r="M819" s="4">
        <v>0</v>
      </c>
      <c r="N819" s="4">
        <v>0</v>
      </c>
      <c r="O819" s="4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1476.4</v>
      </c>
      <c r="X819">
        <v>1482</v>
      </c>
      <c r="Y819">
        <v>457.20000000000005</v>
      </c>
      <c r="Z819">
        <v>0</v>
      </c>
      <c r="AA819">
        <v>0</v>
      </c>
      <c r="AB819">
        <v>0</v>
      </c>
      <c r="AC819">
        <v>0</v>
      </c>
      <c r="AD819">
        <v>3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1828.6</v>
      </c>
      <c r="AK819">
        <v>1800.7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560.70000000000005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0</v>
      </c>
      <c r="CO819">
        <v>0</v>
      </c>
      <c r="CP819">
        <v>3.5</v>
      </c>
      <c r="CQ819">
        <v>0</v>
      </c>
      <c r="CR819">
        <v>528</v>
      </c>
      <c r="CS819">
        <v>581.79999999999995</v>
      </c>
      <c r="CT819">
        <v>555.40000000000009</v>
      </c>
      <c r="CU819">
        <v>737.4</v>
      </c>
      <c r="CV819">
        <v>1039.0999999999999</v>
      </c>
      <c r="CW819">
        <v>1667.3</v>
      </c>
      <c r="CX819">
        <v>877.6</v>
      </c>
      <c r="CY819">
        <v>910.40000000000009</v>
      </c>
      <c r="CZ819">
        <v>0</v>
      </c>
      <c r="DA819">
        <v>0</v>
      </c>
      <c r="DB819">
        <v>0</v>
      </c>
      <c r="DC819">
        <v>0</v>
      </c>
      <c r="DD819">
        <v>0</v>
      </c>
      <c r="DE819">
        <v>0</v>
      </c>
      <c r="DF819">
        <v>0</v>
      </c>
      <c r="DG819">
        <v>0</v>
      </c>
      <c r="DH819">
        <v>0</v>
      </c>
      <c r="DI819">
        <v>0</v>
      </c>
      <c r="DJ819">
        <v>0</v>
      </c>
      <c r="DK819">
        <v>0</v>
      </c>
      <c r="DL819">
        <v>995.5</v>
      </c>
      <c r="DM819">
        <v>712.7</v>
      </c>
      <c r="DN819">
        <v>0</v>
      </c>
      <c r="DO819">
        <v>0</v>
      </c>
      <c r="DP819">
        <v>0</v>
      </c>
      <c r="DQ819">
        <v>0</v>
      </c>
      <c r="DR819">
        <v>0</v>
      </c>
      <c r="DS819">
        <v>0</v>
      </c>
      <c r="DT819">
        <v>0</v>
      </c>
      <c r="DU819">
        <v>0</v>
      </c>
      <c r="DV819">
        <v>0</v>
      </c>
      <c r="DW819">
        <v>0</v>
      </c>
      <c r="DX819">
        <v>0</v>
      </c>
      <c r="DY819">
        <v>0</v>
      </c>
      <c r="DZ819">
        <v>0</v>
      </c>
      <c r="EA819">
        <v>0</v>
      </c>
      <c r="EB819">
        <v>0</v>
      </c>
      <c r="EC819">
        <v>0</v>
      </c>
      <c r="ED819">
        <v>0</v>
      </c>
      <c r="EE819">
        <v>0</v>
      </c>
      <c r="EF819">
        <v>0</v>
      </c>
      <c r="EG819">
        <v>0</v>
      </c>
      <c r="EH819">
        <v>0</v>
      </c>
      <c r="EI819">
        <v>0</v>
      </c>
      <c r="EJ819">
        <v>0</v>
      </c>
      <c r="EK819">
        <v>0</v>
      </c>
      <c r="EL819">
        <v>0</v>
      </c>
      <c r="EM819">
        <v>0</v>
      </c>
      <c r="EN819">
        <v>27.4</v>
      </c>
      <c r="EO819">
        <v>0</v>
      </c>
      <c r="EP819">
        <v>1002.5</v>
      </c>
      <c r="EQ819">
        <v>0</v>
      </c>
      <c r="ER819">
        <v>494</v>
      </c>
      <c r="ES819">
        <v>0</v>
      </c>
      <c r="ET819">
        <v>699.3</v>
      </c>
      <c r="EU819">
        <v>435.4</v>
      </c>
      <c r="EV819">
        <v>0</v>
      </c>
      <c r="EW819">
        <v>0</v>
      </c>
      <c r="EX819">
        <v>0</v>
      </c>
      <c r="EY819">
        <v>0</v>
      </c>
      <c r="EZ819">
        <v>0</v>
      </c>
      <c r="FA819">
        <v>0</v>
      </c>
      <c r="FB819">
        <v>0</v>
      </c>
      <c r="FC819">
        <v>0</v>
      </c>
      <c r="FD819">
        <v>95.6</v>
      </c>
      <c r="FE819">
        <v>1792.1</v>
      </c>
      <c r="FF819">
        <v>1740.1999999999998</v>
      </c>
      <c r="FG819">
        <v>954.9</v>
      </c>
      <c r="FH819">
        <v>1087.8000000000002</v>
      </c>
      <c r="FI819">
        <v>1892.1</v>
      </c>
      <c r="FJ819">
        <v>1222.5</v>
      </c>
      <c r="FK819">
        <v>678.3</v>
      </c>
      <c r="FL819">
        <v>639.1</v>
      </c>
      <c r="FM819">
        <v>520.5</v>
      </c>
      <c r="FN819">
        <v>123.8</v>
      </c>
      <c r="FO819">
        <v>181.6</v>
      </c>
      <c r="FP819">
        <v>1090.5</v>
      </c>
      <c r="FQ819">
        <v>0</v>
      </c>
      <c r="FR819">
        <v>0</v>
      </c>
      <c r="FS819">
        <v>0</v>
      </c>
      <c r="FT819">
        <v>0</v>
      </c>
      <c r="FU819">
        <v>0</v>
      </c>
      <c r="FV819">
        <v>0</v>
      </c>
      <c r="FW819">
        <v>0</v>
      </c>
      <c r="FX819">
        <v>0</v>
      </c>
      <c r="FY819">
        <v>0</v>
      </c>
      <c r="FZ819">
        <v>0</v>
      </c>
      <c r="GA819">
        <v>0</v>
      </c>
      <c r="GB819">
        <v>0</v>
      </c>
      <c r="GC819">
        <v>0</v>
      </c>
      <c r="GD819">
        <v>0</v>
      </c>
      <c r="GE819">
        <v>0</v>
      </c>
      <c r="GF819">
        <v>198.3</v>
      </c>
      <c r="GG819">
        <v>1054.4000000000001</v>
      </c>
      <c r="GH819">
        <v>552.79999999999995</v>
      </c>
      <c r="GI819">
        <v>522</v>
      </c>
      <c r="GJ819">
        <v>0</v>
      </c>
      <c r="GK819">
        <v>0</v>
      </c>
      <c r="GL819">
        <v>0</v>
      </c>
      <c r="GM819">
        <v>0</v>
      </c>
      <c r="GN819">
        <v>791.40000000000009</v>
      </c>
      <c r="GO819">
        <v>1816.5</v>
      </c>
      <c r="GP819">
        <v>0</v>
      </c>
      <c r="GQ819">
        <v>0</v>
      </c>
      <c r="GR819">
        <v>0</v>
      </c>
      <c r="GS819">
        <v>0</v>
      </c>
      <c r="GT819">
        <v>0</v>
      </c>
      <c r="GU819">
        <v>0</v>
      </c>
      <c r="GV819">
        <v>0</v>
      </c>
      <c r="GW819">
        <v>0</v>
      </c>
      <c r="GX819">
        <v>0</v>
      </c>
      <c r="GY819">
        <v>840.3</v>
      </c>
      <c r="GZ819">
        <v>0</v>
      </c>
      <c r="HA819">
        <v>0</v>
      </c>
      <c r="HB819">
        <v>0</v>
      </c>
      <c r="HC819">
        <v>380.4</v>
      </c>
      <c r="HD819">
        <v>2175.5</v>
      </c>
      <c r="HE819">
        <v>0</v>
      </c>
      <c r="HF819">
        <v>0</v>
      </c>
      <c r="HG819">
        <v>0</v>
      </c>
      <c r="HH819">
        <v>0</v>
      </c>
      <c r="HI819">
        <v>0</v>
      </c>
      <c r="HJ819">
        <v>803.40000000000009</v>
      </c>
      <c r="HK819">
        <v>1270.9000000000001</v>
      </c>
      <c r="HL819">
        <v>835.7</v>
      </c>
      <c r="HM819">
        <v>1162.5999999999999</v>
      </c>
      <c r="HN819">
        <v>0</v>
      </c>
      <c r="HO819">
        <v>0</v>
      </c>
      <c r="HP819">
        <v>0</v>
      </c>
      <c r="HQ819">
        <v>0</v>
      </c>
      <c r="HR819">
        <v>161.19999999999999</v>
      </c>
      <c r="HS819">
        <v>0</v>
      </c>
      <c r="HT819">
        <v>2048.5</v>
      </c>
      <c r="HU819">
        <v>2627.5</v>
      </c>
      <c r="HV819">
        <v>1168.5999999999999</v>
      </c>
      <c r="HW819">
        <v>388</v>
      </c>
      <c r="HX819">
        <v>0</v>
      </c>
      <c r="HY819">
        <v>0</v>
      </c>
      <c r="HZ819">
        <v>0</v>
      </c>
      <c r="IA819">
        <v>0</v>
      </c>
      <c r="IB819">
        <v>0</v>
      </c>
      <c r="IC819">
        <v>594.4</v>
      </c>
      <c r="ID819">
        <v>427.4</v>
      </c>
      <c r="IE819">
        <v>713.3</v>
      </c>
      <c r="IF819">
        <v>626.1</v>
      </c>
      <c r="IG819">
        <v>0</v>
      </c>
      <c r="IH819">
        <v>0</v>
      </c>
      <c r="II819">
        <v>995.7</v>
      </c>
      <c r="IJ819">
        <v>1156.5999999999999</v>
      </c>
      <c r="IK819">
        <v>864.6</v>
      </c>
      <c r="IL819">
        <v>316.5</v>
      </c>
      <c r="IM819">
        <v>101.5</v>
      </c>
      <c r="IN819">
        <v>71.8</v>
      </c>
      <c r="IO819">
        <v>0</v>
      </c>
      <c r="IP819">
        <v>0</v>
      </c>
      <c r="IQ819">
        <v>0</v>
      </c>
      <c r="IR819">
        <v>0</v>
      </c>
      <c r="IS819">
        <v>0</v>
      </c>
      <c r="IT819">
        <v>0</v>
      </c>
      <c r="IU819">
        <v>0</v>
      </c>
      <c r="IV819">
        <v>0</v>
      </c>
      <c r="IW819">
        <v>68</v>
      </c>
      <c r="IX819">
        <v>404.7</v>
      </c>
      <c r="IY819">
        <v>126.6</v>
      </c>
      <c r="IZ819">
        <v>126.6</v>
      </c>
      <c r="JA819">
        <v>503.7</v>
      </c>
      <c r="JB819">
        <v>570.1</v>
      </c>
      <c r="JC819">
        <v>328.3</v>
      </c>
      <c r="JD819">
        <v>0</v>
      </c>
      <c r="JE819">
        <v>0</v>
      </c>
      <c r="JF819">
        <v>0</v>
      </c>
      <c r="JG819">
        <v>0</v>
      </c>
      <c r="JH819">
        <v>287.3</v>
      </c>
      <c r="JI819">
        <v>68.2</v>
      </c>
      <c r="JJ819">
        <v>0</v>
      </c>
      <c r="JK819">
        <v>148.6</v>
      </c>
      <c r="JL819">
        <v>0</v>
      </c>
      <c r="JM819">
        <v>0</v>
      </c>
      <c r="JN819">
        <v>204.5</v>
      </c>
      <c r="JO819">
        <v>292.10000000000002</v>
      </c>
      <c r="JP819">
        <v>670.8</v>
      </c>
      <c r="JQ819">
        <v>745.2</v>
      </c>
      <c r="JR819">
        <v>242.9</v>
      </c>
    </row>
    <row r="820" spans="2:278" ht="18" thickBot="1">
      <c r="B820" s="367" t="s">
        <v>1235</v>
      </c>
      <c r="C820" s="410" t="s">
        <v>1514</v>
      </c>
      <c r="D820" s="367" t="s">
        <v>1392</v>
      </c>
      <c r="E820" s="454">
        <v>22829.8</v>
      </c>
      <c r="F820">
        <v>20193.400000000001</v>
      </c>
      <c r="G820" s="427">
        <v>0</v>
      </c>
      <c r="H820" s="155">
        <v>0</v>
      </c>
      <c r="I820">
        <v>0</v>
      </c>
      <c r="J820">
        <v>0</v>
      </c>
      <c r="K820">
        <v>0</v>
      </c>
      <c r="L820" s="4">
        <v>0</v>
      </c>
      <c r="M820" s="4">
        <v>0</v>
      </c>
      <c r="N820" s="4">
        <v>0</v>
      </c>
      <c r="O820" s="4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1476.4</v>
      </c>
      <c r="X820">
        <v>1482</v>
      </c>
      <c r="Y820">
        <v>457.20000000000005</v>
      </c>
      <c r="Z820">
        <v>0</v>
      </c>
      <c r="AA820">
        <v>0</v>
      </c>
      <c r="AB820">
        <v>0</v>
      </c>
      <c r="AC820">
        <v>0</v>
      </c>
      <c r="AD820">
        <v>3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1828.6</v>
      </c>
      <c r="AK820">
        <v>1800.7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560.70000000000005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  <c r="CF820">
        <v>0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  <c r="CN820">
        <v>0</v>
      </c>
      <c r="CO820">
        <v>0</v>
      </c>
      <c r="CP820">
        <v>3.5</v>
      </c>
      <c r="CQ820">
        <v>0</v>
      </c>
      <c r="CR820">
        <v>528</v>
      </c>
      <c r="CS820">
        <v>581.79999999999995</v>
      </c>
      <c r="CT820">
        <v>555.40000000000009</v>
      </c>
      <c r="CU820">
        <v>737.4</v>
      </c>
      <c r="CV820">
        <v>1039.0999999999999</v>
      </c>
      <c r="CW820">
        <v>1667.3</v>
      </c>
      <c r="CX820">
        <v>877.6</v>
      </c>
      <c r="CY820">
        <v>910.40000000000009</v>
      </c>
      <c r="CZ820">
        <v>0</v>
      </c>
      <c r="DA820">
        <v>0</v>
      </c>
      <c r="DB820">
        <v>0</v>
      </c>
      <c r="DC820">
        <v>0</v>
      </c>
      <c r="DD820">
        <v>0</v>
      </c>
      <c r="DE820">
        <v>0</v>
      </c>
      <c r="DF820">
        <v>0</v>
      </c>
      <c r="DG820">
        <v>0</v>
      </c>
      <c r="DH820">
        <v>0</v>
      </c>
      <c r="DI820">
        <v>0</v>
      </c>
      <c r="DJ820">
        <v>0</v>
      </c>
      <c r="DK820">
        <v>0</v>
      </c>
      <c r="DL820">
        <v>995.5</v>
      </c>
      <c r="DM820">
        <v>712.7</v>
      </c>
      <c r="DN820">
        <v>0</v>
      </c>
      <c r="DO820">
        <v>0</v>
      </c>
      <c r="DP820">
        <v>0</v>
      </c>
      <c r="DQ820">
        <v>0</v>
      </c>
      <c r="DR820">
        <v>0</v>
      </c>
      <c r="DS820">
        <v>0</v>
      </c>
      <c r="DT820">
        <v>0</v>
      </c>
      <c r="DU820">
        <v>0</v>
      </c>
      <c r="DV820">
        <v>0</v>
      </c>
      <c r="DW820">
        <v>0</v>
      </c>
      <c r="DX820">
        <v>0</v>
      </c>
      <c r="DY820">
        <v>0</v>
      </c>
      <c r="DZ820">
        <v>0</v>
      </c>
      <c r="EA820">
        <v>0</v>
      </c>
      <c r="EB820">
        <v>0</v>
      </c>
      <c r="EC820">
        <v>0</v>
      </c>
      <c r="ED820">
        <v>0</v>
      </c>
      <c r="EE820">
        <v>0</v>
      </c>
      <c r="EF820">
        <v>0</v>
      </c>
      <c r="EG820">
        <v>0</v>
      </c>
      <c r="EH820">
        <v>0</v>
      </c>
      <c r="EI820">
        <v>0</v>
      </c>
      <c r="EJ820">
        <v>0</v>
      </c>
      <c r="EK820">
        <v>0</v>
      </c>
      <c r="EL820">
        <v>0</v>
      </c>
      <c r="EM820">
        <v>0</v>
      </c>
      <c r="EN820">
        <v>27.4</v>
      </c>
      <c r="EO820">
        <v>0</v>
      </c>
      <c r="EP820">
        <v>1002.5</v>
      </c>
      <c r="EQ820">
        <v>0</v>
      </c>
      <c r="ER820">
        <v>494</v>
      </c>
      <c r="ES820">
        <v>0</v>
      </c>
      <c r="ET820">
        <v>699.3</v>
      </c>
      <c r="EU820">
        <v>435.4</v>
      </c>
      <c r="EV820">
        <v>0</v>
      </c>
      <c r="EW820">
        <v>0</v>
      </c>
      <c r="EX820">
        <v>0</v>
      </c>
      <c r="EY820">
        <v>0</v>
      </c>
      <c r="EZ820">
        <v>0</v>
      </c>
      <c r="FA820">
        <v>0</v>
      </c>
      <c r="FB820">
        <v>0</v>
      </c>
      <c r="FC820">
        <v>0</v>
      </c>
      <c r="FD820">
        <v>95.6</v>
      </c>
      <c r="FE820">
        <v>1792.1</v>
      </c>
      <c r="FF820">
        <v>1740.1999999999998</v>
      </c>
      <c r="FG820">
        <v>954.9</v>
      </c>
      <c r="FH820">
        <v>1087.8000000000002</v>
      </c>
      <c r="FI820">
        <v>1892.1</v>
      </c>
      <c r="FJ820">
        <v>1222.5</v>
      </c>
      <c r="FK820">
        <v>678.3</v>
      </c>
      <c r="FL820">
        <v>639.1</v>
      </c>
      <c r="FM820">
        <v>520.5</v>
      </c>
      <c r="FN820">
        <v>123.8</v>
      </c>
      <c r="FO820">
        <v>181.6</v>
      </c>
      <c r="FP820">
        <v>1090.5</v>
      </c>
      <c r="FQ820">
        <v>0</v>
      </c>
      <c r="FR820">
        <v>0</v>
      </c>
      <c r="FS820">
        <v>0</v>
      </c>
      <c r="FT820">
        <v>0</v>
      </c>
      <c r="FU820">
        <v>0</v>
      </c>
      <c r="FV820">
        <v>0</v>
      </c>
      <c r="FW820">
        <v>0</v>
      </c>
      <c r="FX820">
        <v>0</v>
      </c>
      <c r="FY820">
        <v>0</v>
      </c>
      <c r="FZ820">
        <v>0</v>
      </c>
      <c r="GA820">
        <v>0</v>
      </c>
      <c r="GB820">
        <v>0</v>
      </c>
      <c r="GC820">
        <v>0</v>
      </c>
      <c r="GD820">
        <v>0</v>
      </c>
      <c r="GE820">
        <v>0</v>
      </c>
      <c r="GF820">
        <v>198.3</v>
      </c>
      <c r="GG820">
        <v>1054.4000000000001</v>
      </c>
      <c r="GH820">
        <v>552.79999999999995</v>
      </c>
      <c r="GI820">
        <v>522</v>
      </c>
      <c r="GJ820">
        <v>0</v>
      </c>
      <c r="GK820">
        <v>0</v>
      </c>
      <c r="GL820">
        <v>0</v>
      </c>
      <c r="GM820">
        <v>0</v>
      </c>
      <c r="GN820">
        <v>791.40000000000009</v>
      </c>
      <c r="GO820">
        <v>1816.5</v>
      </c>
      <c r="GP820">
        <v>0</v>
      </c>
      <c r="GQ820">
        <v>0</v>
      </c>
      <c r="GR820">
        <v>0</v>
      </c>
      <c r="GS820">
        <v>0</v>
      </c>
      <c r="GT820">
        <v>0</v>
      </c>
      <c r="GU820">
        <v>0</v>
      </c>
      <c r="GV820">
        <v>0</v>
      </c>
      <c r="GW820">
        <v>0</v>
      </c>
      <c r="GX820">
        <v>0</v>
      </c>
      <c r="GY820">
        <v>840.3</v>
      </c>
      <c r="GZ820">
        <v>0</v>
      </c>
      <c r="HA820">
        <v>0</v>
      </c>
      <c r="HB820">
        <v>0</v>
      </c>
      <c r="HC820">
        <v>380.4</v>
      </c>
      <c r="HD820">
        <v>2175.5</v>
      </c>
      <c r="HE820">
        <v>0</v>
      </c>
      <c r="HF820">
        <v>0</v>
      </c>
      <c r="HG820">
        <v>0</v>
      </c>
      <c r="HH820">
        <v>0</v>
      </c>
      <c r="HI820">
        <v>0</v>
      </c>
      <c r="HJ820">
        <v>803.40000000000009</v>
      </c>
      <c r="HK820">
        <v>1270.9000000000001</v>
      </c>
      <c r="HL820">
        <v>835.7</v>
      </c>
      <c r="HM820">
        <v>1162.5999999999999</v>
      </c>
      <c r="HN820">
        <v>0</v>
      </c>
      <c r="HO820">
        <v>0</v>
      </c>
      <c r="HP820">
        <v>0</v>
      </c>
      <c r="HQ820">
        <v>0</v>
      </c>
      <c r="HR820">
        <v>161.19999999999999</v>
      </c>
      <c r="HS820">
        <v>0</v>
      </c>
      <c r="HT820">
        <v>2048.5</v>
      </c>
      <c r="HU820">
        <v>2627.5</v>
      </c>
      <c r="HV820">
        <v>1168.5999999999999</v>
      </c>
      <c r="HW820">
        <v>388</v>
      </c>
      <c r="HX820">
        <v>0</v>
      </c>
      <c r="HY820">
        <v>0</v>
      </c>
      <c r="HZ820">
        <v>0</v>
      </c>
      <c r="IA820">
        <v>0</v>
      </c>
      <c r="IB820">
        <v>0</v>
      </c>
      <c r="IC820">
        <v>594.4</v>
      </c>
      <c r="ID820">
        <v>427.4</v>
      </c>
      <c r="IE820">
        <v>713.3</v>
      </c>
      <c r="IF820">
        <v>626.1</v>
      </c>
      <c r="IG820">
        <v>0</v>
      </c>
      <c r="IH820">
        <v>0</v>
      </c>
      <c r="II820">
        <v>995.7</v>
      </c>
      <c r="IJ820">
        <v>1156.5999999999999</v>
      </c>
      <c r="IK820">
        <v>864.6</v>
      </c>
      <c r="IL820">
        <v>316.5</v>
      </c>
      <c r="IM820">
        <v>101.5</v>
      </c>
      <c r="IN820">
        <v>71.8</v>
      </c>
      <c r="IO820">
        <v>0</v>
      </c>
      <c r="IP820">
        <v>0</v>
      </c>
      <c r="IQ820">
        <v>0</v>
      </c>
      <c r="IR820">
        <v>0</v>
      </c>
      <c r="IS820">
        <v>0</v>
      </c>
      <c r="IT820">
        <v>0</v>
      </c>
      <c r="IU820">
        <v>0</v>
      </c>
      <c r="IV820">
        <v>0</v>
      </c>
      <c r="IW820">
        <v>68</v>
      </c>
      <c r="IX820">
        <v>404.7</v>
      </c>
      <c r="IY820">
        <v>126.6</v>
      </c>
      <c r="IZ820">
        <v>126.6</v>
      </c>
      <c r="JA820">
        <v>503.7</v>
      </c>
      <c r="JB820">
        <v>570.1</v>
      </c>
      <c r="JC820">
        <v>328.3</v>
      </c>
      <c r="JD820">
        <v>0</v>
      </c>
      <c r="JE820">
        <v>0</v>
      </c>
      <c r="JF820">
        <v>0</v>
      </c>
      <c r="JG820">
        <v>0</v>
      </c>
      <c r="JH820">
        <v>287.3</v>
      </c>
      <c r="JI820">
        <v>68.2</v>
      </c>
      <c r="JJ820">
        <v>0</v>
      </c>
      <c r="JK820">
        <v>148.6</v>
      </c>
      <c r="JL820">
        <v>0</v>
      </c>
      <c r="JM820">
        <v>0</v>
      </c>
      <c r="JN820">
        <v>204.5</v>
      </c>
      <c r="JO820">
        <v>292.10000000000002</v>
      </c>
      <c r="JP820">
        <v>670.8</v>
      </c>
      <c r="JQ820">
        <v>745.2</v>
      </c>
      <c r="JR820">
        <v>242.9</v>
      </c>
    </row>
    <row r="821" spans="2:278" ht="18" thickBot="1">
      <c r="B821" s="368" t="s">
        <v>945</v>
      </c>
      <c r="C821" s="411" t="s">
        <v>1515</v>
      </c>
      <c r="D821" s="368" t="s">
        <v>1393</v>
      </c>
      <c r="E821" s="454">
        <v>22829.8</v>
      </c>
      <c r="F821">
        <v>20193.400000000001</v>
      </c>
      <c r="G821" s="427">
        <v>0</v>
      </c>
      <c r="H821" s="155">
        <v>0</v>
      </c>
      <c r="I821">
        <v>0</v>
      </c>
      <c r="J821">
        <v>0</v>
      </c>
      <c r="K821">
        <v>0</v>
      </c>
      <c r="L821" s="4">
        <v>0</v>
      </c>
      <c r="M821" s="4">
        <v>0</v>
      </c>
      <c r="N821" s="4">
        <v>0</v>
      </c>
      <c r="O821" s="4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1476.4</v>
      </c>
      <c r="X821">
        <v>1482</v>
      </c>
      <c r="Y821">
        <v>457.20000000000005</v>
      </c>
      <c r="Z821">
        <v>0</v>
      </c>
      <c r="AA821">
        <v>0</v>
      </c>
      <c r="AB821">
        <v>0</v>
      </c>
      <c r="AC821">
        <v>0</v>
      </c>
      <c r="AD821">
        <v>3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1828.6</v>
      </c>
      <c r="AK821">
        <v>1800.7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560.70000000000005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  <c r="CF821">
        <v>0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0</v>
      </c>
      <c r="CO821">
        <v>0</v>
      </c>
      <c r="CP821">
        <v>3.5</v>
      </c>
      <c r="CQ821">
        <v>0</v>
      </c>
      <c r="CR821">
        <v>528</v>
      </c>
      <c r="CS821">
        <v>581.79999999999995</v>
      </c>
      <c r="CT821">
        <v>555.40000000000009</v>
      </c>
      <c r="CU821">
        <v>737.4</v>
      </c>
      <c r="CV821">
        <v>1039.0999999999999</v>
      </c>
      <c r="CW821">
        <v>1667.3</v>
      </c>
      <c r="CX821">
        <v>877.6</v>
      </c>
      <c r="CY821">
        <v>910.40000000000009</v>
      </c>
      <c r="CZ821">
        <v>0</v>
      </c>
      <c r="DA821">
        <v>0</v>
      </c>
      <c r="DB821">
        <v>0</v>
      </c>
      <c r="DC821">
        <v>0</v>
      </c>
      <c r="DD821">
        <v>0</v>
      </c>
      <c r="DE821">
        <v>0</v>
      </c>
      <c r="DF821">
        <v>0</v>
      </c>
      <c r="DG821">
        <v>0</v>
      </c>
      <c r="DH821">
        <v>0</v>
      </c>
      <c r="DI821">
        <v>0</v>
      </c>
      <c r="DJ821">
        <v>0</v>
      </c>
      <c r="DK821">
        <v>0</v>
      </c>
      <c r="DL821">
        <v>995.5</v>
      </c>
      <c r="DM821">
        <v>712.7</v>
      </c>
      <c r="DN821">
        <v>0</v>
      </c>
      <c r="DO821">
        <v>0</v>
      </c>
      <c r="DP821">
        <v>0</v>
      </c>
      <c r="DQ821">
        <v>0</v>
      </c>
      <c r="DR821">
        <v>0</v>
      </c>
      <c r="DS821">
        <v>0</v>
      </c>
      <c r="DT821">
        <v>0</v>
      </c>
      <c r="DU821">
        <v>0</v>
      </c>
      <c r="DV821">
        <v>0</v>
      </c>
      <c r="DW821">
        <v>0</v>
      </c>
      <c r="DX821">
        <v>0</v>
      </c>
      <c r="DY821">
        <v>0</v>
      </c>
      <c r="DZ821">
        <v>0</v>
      </c>
      <c r="EA821">
        <v>0</v>
      </c>
      <c r="EB821">
        <v>0</v>
      </c>
      <c r="EC821">
        <v>0</v>
      </c>
      <c r="ED821">
        <v>0</v>
      </c>
      <c r="EE821">
        <v>0</v>
      </c>
      <c r="EF821">
        <v>0</v>
      </c>
      <c r="EG821">
        <v>0</v>
      </c>
      <c r="EH821">
        <v>0</v>
      </c>
      <c r="EI821">
        <v>0</v>
      </c>
      <c r="EJ821">
        <v>0</v>
      </c>
      <c r="EK821">
        <v>0</v>
      </c>
      <c r="EL821">
        <v>0</v>
      </c>
      <c r="EM821">
        <v>0</v>
      </c>
      <c r="EN821">
        <v>27.4</v>
      </c>
      <c r="EO821">
        <v>0</v>
      </c>
      <c r="EP821">
        <v>1002.5</v>
      </c>
      <c r="EQ821">
        <v>0</v>
      </c>
      <c r="ER821">
        <v>494</v>
      </c>
      <c r="ES821">
        <v>0</v>
      </c>
      <c r="ET821">
        <v>699.3</v>
      </c>
      <c r="EU821">
        <v>435.4</v>
      </c>
      <c r="EV821">
        <v>0</v>
      </c>
      <c r="EW821">
        <v>0</v>
      </c>
      <c r="EX821">
        <v>0</v>
      </c>
      <c r="EY821">
        <v>0</v>
      </c>
      <c r="EZ821">
        <v>0</v>
      </c>
      <c r="FA821">
        <v>0</v>
      </c>
      <c r="FB821">
        <v>0</v>
      </c>
      <c r="FC821">
        <v>0</v>
      </c>
      <c r="FD821">
        <v>95.6</v>
      </c>
      <c r="FE821">
        <v>1792.1</v>
      </c>
      <c r="FF821">
        <v>1740.1999999999998</v>
      </c>
      <c r="FG821">
        <v>954.9</v>
      </c>
      <c r="FH821">
        <v>1087.8000000000002</v>
      </c>
      <c r="FI821">
        <v>1892.1</v>
      </c>
      <c r="FJ821">
        <v>1222.5</v>
      </c>
      <c r="FK821">
        <v>678.3</v>
      </c>
      <c r="FL821">
        <v>639.1</v>
      </c>
      <c r="FM821">
        <v>520.5</v>
      </c>
      <c r="FN821">
        <v>123.8</v>
      </c>
      <c r="FO821">
        <v>181.6</v>
      </c>
      <c r="FP821">
        <v>1090.5</v>
      </c>
      <c r="FQ821">
        <v>0</v>
      </c>
      <c r="FR821">
        <v>0</v>
      </c>
      <c r="FS821">
        <v>0</v>
      </c>
      <c r="FT821">
        <v>0</v>
      </c>
      <c r="FU821">
        <v>0</v>
      </c>
      <c r="FV821">
        <v>0</v>
      </c>
      <c r="FW821">
        <v>0</v>
      </c>
      <c r="FX821">
        <v>0</v>
      </c>
      <c r="FY821">
        <v>0</v>
      </c>
      <c r="FZ821">
        <v>0</v>
      </c>
      <c r="GA821">
        <v>0</v>
      </c>
      <c r="GB821">
        <v>0</v>
      </c>
      <c r="GC821">
        <v>0</v>
      </c>
      <c r="GD821">
        <v>0</v>
      </c>
      <c r="GE821">
        <v>0</v>
      </c>
      <c r="GF821">
        <v>198.3</v>
      </c>
      <c r="GG821">
        <v>1054.4000000000001</v>
      </c>
      <c r="GH821">
        <v>552.79999999999995</v>
      </c>
      <c r="GI821">
        <v>522</v>
      </c>
      <c r="GJ821">
        <v>0</v>
      </c>
      <c r="GK821">
        <v>0</v>
      </c>
      <c r="GL821">
        <v>0</v>
      </c>
      <c r="GM821">
        <v>0</v>
      </c>
      <c r="GN821">
        <v>791.40000000000009</v>
      </c>
      <c r="GO821">
        <v>1816.5</v>
      </c>
      <c r="GP821">
        <v>0</v>
      </c>
      <c r="GQ821">
        <v>0</v>
      </c>
      <c r="GR821">
        <v>0</v>
      </c>
      <c r="GS821">
        <v>0</v>
      </c>
      <c r="GT821">
        <v>0</v>
      </c>
      <c r="GU821">
        <v>0</v>
      </c>
      <c r="GV821">
        <v>0</v>
      </c>
      <c r="GW821">
        <v>0</v>
      </c>
      <c r="GX821">
        <v>0</v>
      </c>
      <c r="GY821">
        <v>840.3</v>
      </c>
      <c r="GZ821">
        <v>0</v>
      </c>
      <c r="HA821">
        <v>0</v>
      </c>
      <c r="HB821">
        <v>0</v>
      </c>
      <c r="HC821">
        <v>380.4</v>
      </c>
      <c r="HD821">
        <v>2175.5</v>
      </c>
      <c r="HE821">
        <v>0</v>
      </c>
      <c r="HF821">
        <v>0</v>
      </c>
      <c r="HG821">
        <v>0</v>
      </c>
      <c r="HH821">
        <v>0</v>
      </c>
      <c r="HI821">
        <v>0</v>
      </c>
      <c r="HJ821">
        <v>803.40000000000009</v>
      </c>
      <c r="HK821">
        <v>1270.9000000000001</v>
      </c>
      <c r="HL821">
        <v>835.7</v>
      </c>
      <c r="HM821">
        <v>1162.5999999999999</v>
      </c>
      <c r="HN821">
        <v>0</v>
      </c>
      <c r="HO821">
        <v>0</v>
      </c>
      <c r="HP821">
        <v>0</v>
      </c>
      <c r="HQ821">
        <v>0</v>
      </c>
      <c r="HR821">
        <v>161.19999999999999</v>
      </c>
      <c r="HS821">
        <v>0</v>
      </c>
      <c r="HT821">
        <v>2048.5</v>
      </c>
      <c r="HU821">
        <v>2627.5</v>
      </c>
      <c r="HV821">
        <v>1168.5999999999999</v>
      </c>
      <c r="HW821">
        <v>388</v>
      </c>
      <c r="HX821">
        <v>0</v>
      </c>
      <c r="HY821">
        <v>0</v>
      </c>
      <c r="HZ821">
        <v>0</v>
      </c>
      <c r="IA821">
        <v>0</v>
      </c>
      <c r="IB821">
        <v>0</v>
      </c>
      <c r="IC821">
        <v>594.4</v>
      </c>
      <c r="ID821">
        <v>427.4</v>
      </c>
      <c r="IE821">
        <v>713.3</v>
      </c>
      <c r="IF821">
        <v>626.1</v>
      </c>
      <c r="IG821">
        <v>0</v>
      </c>
      <c r="IH821">
        <v>0</v>
      </c>
      <c r="II821">
        <v>995.7</v>
      </c>
      <c r="IJ821">
        <v>1156.5999999999999</v>
      </c>
      <c r="IK821">
        <v>864.6</v>
      </c>
      <c r="IL821">
        <v>316.5</v>
      </c>
      <c r="IM821">
        <v>101.5</v>
      </c>
      <c r="IN821">
        <v>71.8</v>
      </c>
      <c r="IO821">
        <v>0</v>
      </c>
      <c r="IP821">
        <v>0</v>
      </c>
      <c r="IQ821">
        <v>0</v>
      </c>
      <c r="IR821">
        <v>0</v>
      </c>
      <c r="IS821">
        <v>0</v>
      </c>
      <c r="IT821">
        <v>0</v>
      </c>
      <c r="IU821">
        <v>0</v>
      </c>
      <c r="IV821">
        <v>0</v>
      </c>
      <c r="IW821">
        <v>68</v>
      </c>
      <c r="IX821">
        <v>404.7</v>
      </c>
      <c r="IY821">
        <v>126.6</v>
      </c>
      <c r="IZ821">
        <v>126.6</v>
      </c>
      <c r="JA821">
        <v>503.7</v>
      </c>
      <c r="JB821">
        <v>570.1</v>
      </c>
      <c r="JC821">
        <v>328.3</v>
      </c>
      <c r="JD821">
        <v>0</v>
      </c>
      <c r="JE821">
        <v>0</v>
      </c>
      <c r="JF821">
        <v>0</v>
      </c>
      <c r="JG821">
        <v>0</v>
      </c>
      <c r="JH821">
        <v>287.3</v>
      </c>
      <c r="JI821">
        <v>68.2</v>
      </c>
      <c r="JJ821">
        <v>0</v>
      </c>
      <c r="JK821">
        <v>148.6</v>
      </c>
      <c r="JL821">
        <v>0</v>
      </c>
      <c r="JM821">
        <v>0</v>
      </c>
      <c r="JN821">
        <v>204.5</v>
      </c>
      <c r="JO821">
        <v>292.10000000000002</v>
      </c>
      <c r="JP821">
        <v>670.8</v>
      </c>
      <c r="JQ821">
        <v>745.2</v>
      </c>
      <c r="JR821">
        <v>242.9</v>
      </c>
    </row>
    <row r="822" spans="2:278" ht="18" thickBot="1">
      <c r="B822" s="368" t="s">
        <v>541</v>
      </c>
      <c r="C822" s="413" t="s">
        <v>1516</v>
      </c>
      <c r="D822" s="368" t="s">
        <v>1387</v>
      </c>
      <c r="E822" s="454">
        <v>22829.8</v>
      </c>
      <c r="F822">
        <v>20193.400000000001</v>
      </c>
      <c r="G822" s="427">
        <v>0</v>
      </c>
      <c r="H822" s="155">
        <v>0</v>
      </c>
      <c r="I822">
        <v>0</v>
      </c>
      <c r="J822">
        <v>0</v>
      </c>
      <c r="K822">
        <v>0</v>
      </c>
      <c r="L822" s="4">
        <v>0</v>
      </c>
      <c r="M822" s="4">
        <v>0</v>
      </c>
      <c r="N822" s="4">
        <v>0</v>
      </c>
      <c r="O822" s="4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1476.4</v>
      </c>
      <c r="X822">
        <v>1482</v>
      </c>
      <c r="Y822">
        <v>457.20000000000005</v>
      </c>
      <c r="Z822">
        <v>0</v>
      </c>
      <c r="AA822">
        <v>0</v>
      </c>
      <c r="AB822">
        <v>0</v>
      </c>
      <c r="AC822">
        <v>0</v>
      </c>
      <c r="AD822">
        <v>3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1828.6</v>
      </c>
      <c r="AK822">
        <v>1800.7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560.70000000000005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  <c r="CN822">
        <v>0</v>
      </c>
      <c r="CO822">
        <v>0</v>
      </c>
      <c r="CP822">
        <v>3.5</v>
      </c>
      <c r="CQ822">
        <v>0</v>
      </c>
      <c r="CR822">
        <v>528</v>
      </c>
      <c r="CS822">
        <v>581.79999999999995</v>
      </c>
      <c r="CT822">
        <v>555.40000000000009</v>
      </c>
      <c r="CU822">
        <v>737.4</v>
      </c>
      <c r="CV822">
        <v>1039.0999999999999</v>
      </c>
      <c r="CW822">
        <v>1667.3</v>
      </c>
      <c r="CX822">
        <v>877.6</v>
      </c>
      <c r="CY822">
        <v>910.40000000000009</v>
      </c>
      <c r="CZ822">
        <v>0</v>
      </c>
      <c r="DA822">
        <v>0</v>
      </c>
      <c r="DB822">
        <v>0</v>
      </c>
      <c r="DC822">
        <v>0</v>
      </c>
      <c r="DD822">
        <v>0</v>
      </c>
      <c r="DE822">
        <v>0</v>
      </c>
      <c r="DF822">
        <v>0</v>
      </c>
      <c r="DG822">
        <v>0</v>
      </c>
      <c r="DH822">
        <v>0</v>
      </c>
      <c r="DI822">
        <v>0</v>
      </c>
      <c r="DJ822">
        <v>0</v>
      </c>
      <c r="DK822">
        <v>0</v>
      </c>
      <c r="DL822">
        <v>995.5</v>
      </c>
      <c r="DM822">
        <v>712.7</v>
      </c>
      <c r="DN822">
        <v>0</v>
      </c>
      <c r="DO822">
        <v>0</v>
      </c>
      <c r="DP822">
        <v>0</v>
      </c>
      <c r="DQ822">
        <v>0</v>
      </c>
      <c r="DR822">
        <v>0</v>
      </c>
      <c r="DS822">
        <v>0</v>
      </c>
      <c r="DT822">
        <v>0</v>
      </c>
      <c r="DU822">
        <v>0</v>
      </c>
      <c r="DV822">
        <v>0</v>
      </c>
      <c r="DW822">
        <v>0</v>
      </c>
      <c r="DX822">
        <v>0</v>
      </c>
      <c r="DY822">
        <v>0</v>
      </c>
      <c r="DZ822">
        <v>0</v>
      </c>
      <c r="EA822">
        <v>0</v>
      </c>
      <c r="EB822">
        <v>0</v>
      </c>
      <c r="EC822">
        <v>0</v>
      </c>
      <c r="ED822">
        <v>0</v>
      </c>
      <c r="EE822">
        <v>0</v>
      </c>
      <c r="EF822">
        <v>0</v>
      </c>
      <c r="EG822">
        <v>0</v>
      </c>
      <c r="EH822">
        <v>0</v>
      </c>
      <c r="EI822">
        <v>0</v>
      </c>
      <c r="EJ822">
        <v>0</v>
      </c>
      <c r="EK822">
        <v>0</v>
      </c>
      <c r="EL822">
        <v>0</v>
      </c>
      <c r="EM822">
        <v>0</v>
      </c>
      <c r="EN822">
        <v>27.4</v>
      </c>
      <c r="EO822">
        <v>0</v>
      </c>
      <c r="EP822">
        <v>1002.5</v>
      </c>
      <c r="EQ822">
        <v>0</v>
      </c>
      <c r="ER822">
        <v>494</v>
      </c>
      <c r="ES822">
        <v>0</v>
      </c>
      <c r="ET822">
        <v>699.3</v>
      </c>
      <c r="EU822">
        <v>435.4</v>
      </c>
      <c r="EV822">
        <v>0</v>
      </c>
      <c r="EW822">
        <v>0</v>
      </c>
      <c r="EX822">
        <v>0</v>
      </c>
      <c r="EY822">
        <v>0</v>
      </c>
      <c r="EZ822">
        <v>0</v>
      </c>
      <c r="FA822">
        <v>0</v>
      </c>
      <c r="FB822">
        <v>0</v>
      </c>
      <c r="FC822">
        <v>0</v>
      </c>
      <c r="FD822">
        <v>95.6</v>
      </c>
      <c r="FE822">
        <v>1792.1</v>
      </c>
      <c r="FF822">
        <v>1740.1999999999998</v>
      </c>
      <c r="FG822">
        <v>954.9</v>
      </c>
      <c r="FH822">
        <v>1087.8000000000002</v>
      </c>
      <c r="FI822">
        <v>1892.1</v>
      </c>
      <c r="FJ822">
        <v>1222.5</v>
      </c>
      <c r="FK822">
        <v>678.3</v>
      </c>
      <c r="FL822">
        <v>639.1</v>
      </c>
      <c r="FM822">
        <v>520.5</v>
      </c>
      <c r="FN822">
        <v>123.8</v>
      </c>
      <c r="FO822">
        <v>181.6</v>
      </c>
      <c r="FP822">
        <v>1090.5</v>
      </c>
      <c r="FQ822">
        <v>0</v>
      </c>
      <c r="FR822">
        <v>0</v>
      </c>
      <c r="FS822">
        <v>0</v>
      </c>
      <c r="FT822">
        <v>0</v>
      </c>
      <c r="FU822">
        <v>0</v>
      </c>
      <c r="FV822">
        <v>0</v>
      </c>
      <c r="FW822">
        <v>0</v>
      </c>
      <c r="FX822">
        <v>0</v>
      </c>
      <c r="FY822">
        <v>0</v>
      </c>
      <c r="FZ822">
        <v>0</v>
      </c>
      <c r="GA822">
        <v>0</v>
      </c>
      <c r="GB822">
        <v>0</v>
      </c>
      <c r="GC822">
        <v>0</v>
      </c>
      <c r="GD822">
        <v>0</v>
      </c>
      <c r="GE822">
        <v>0</v>
      </c>
      <c r="GF822">
        <v>198.3</v>
      </c>
      <c r="GG822">
        <v>1054.4000000000001</v>
      </c>
      <c r="GH822">
        <v>552.79999999999995</v>
      </c>
      <c r="GI822">
        <v>522</v>
      </c>
      <c r="GJ822">
        <v>0</v>
      </c>
      <c r="GK822">
        <v>0</v>
      </c>
      <c r="GL822">
        <v>0</v>
      </c>
      <c r="GM822">
        <v>0</v>
      </c>
      <c r="GN822">
        <v>791.40000000000009</v>
      </c>
      <c r="GO822">
        <v>1816.5</v>
      </c>
      <c r="GP822">
        <v>0</v>
      </c>
      <c r="GQ822">
        <v>0</v>
      </c>
      <c r="GR822">
        <v>0</v>
      </c>
      <c r="GS822">
        <v>0</v>
      </c>
      <c r="GT822">
        <v>0</v>
      </c>
      <c r="GU822">
        <v>0</v>
      </c>
      <c r="GV822">
        <v>0</v>
      </c>
      <c r="GW822">
        <v>0</v>
      </c>
      <c r="GX822">
        <v>0</v>
      </c>
      <c r="GY822">
        <v>840.3</v>
      </c>
      <c r="GZ822">
        <v>0</v>
      </c>
      <c r="HA822">
        <v>0</v>
      </c>
      <c r="HB822">
        <v>0</v>
      </c>
      <c r="HC822">
        <v>380.4</v>
      </c>
      <c r="HD822">
        <v>2175.5</v>
      </c>
      <c r="HE822">
        <v>0</v>
      </c>
      <c r="HF822">
        <v>0</v>
      </c>
      <c r="HG822">
        <v>0</v>
      </c>
      <c r="HH822">
        <v>0</v>
      </c>
      <c r="HI822">
        <v>0</v>
      </c>
      <c r="HJ822">
        <v>803.40000000000009</v>
      </c>
      <c r="HK822">
        <v>1270.9000000000001</v>
      </c>
      <c r="HL822">
        <v>835.7</v>
      </c>
      <c r="HM822">
        <v>1162.5999999999999</v>
      </c>
      <c r="HN822">
        <v>0</v>
      </c>
      <c r="HO822">
        <v>0</v>
      </c>
      <c r="HP822">
        <v>0</v>
      </c>
      <c r="HQ822">
        <v>0</v>
      </c>
      <c r="HR822">
        <v>161.19999999999999</v>
      </c>
      <c r="HS822">
        <v>0</v>
      </c>
      <c r="HT822">
        <v>2048.5</v>
      </c>
      <c r="HU822">
        <v>2627.5</v>
      </c>
      <c r="HV822">
        <v>1168.5999999999999</v>
      </c>
      <c r="HW822">
        <v>388</v>
      </c>
      <c r="HX822">
        <v>0</v>
      </c>
      <c r="HY822">
        <v>0</v>
      </c>
      <c r="HZ822">
        <v>0</v>
      </c>
      <c r="IA822">
        <v>0</v>
      </c>
      <c r="IB822">
        <v>0</v>
      </c>
      <c r="IC822">
        <v>594.4</v>
      </c>
      <c r="ID822">
        <v>427.4</v>
      </c>
      <c r="IE822">
        <v>713.3</v>
      </c>
      <c r="IF822">
        <v>626.1</v>
      </c>
      <c r="IG822">
        <v>0</v>
      </c>
      <c r="IH822">
        <v>0</v>
      </c>
      <c r="II822">
        <v>995.7</v>
      </c>
      <c r="IJ822">
        <v>1156.5999999999999</v>
      </c>
      <c r="IK822">
        <v>864.6</v>
      </c>
      <c r="IL822">
        <v>316.5</v>
      </c>
      <c r="IM822">
        <v>101.5</v>
      </c>
      <c r="IN822">
        <v>71.8</v>
      </c>
      <c r="IO822">
        <v>0</v>
      </c>
      <c r="IP822">
        <v>0</v>
      </c>
      <c r="IQ822">
        <v>0</v>
      </c>
      <c r="IR822">
        <v>0</v>
      </c>
      <c r="IS822">
        <v>0</v>
      </c>
      <c r="IT822">
        <v>0</v>
      </c>
      <c r="IU822">
        <v>0</v>
      </c>
      <c r="IV822">
        <v>0</v>
      </c>
      <c r="IW822">
        <v>68</v>
      </c>
      <c r="IX822">
        <v>404.7</v>
      </c>
      <c r="IY822">
        <v>126.6</v>
      </c>
      <c r="IZ822">
        <v>126.6</v>
      </c>
      <c r="JA822">
        <v>503.7</v>
      </c>
      <c r="JB822">
        <v>570.1</v>
      </c>
      <c r="JC822">
        <v>328.3</v>
      </c>
      <c r="JD822">
        <v>0</v>
      </c>
      <c r="JE822">
        <v>0</v>
      </c>
      <c r="JF822">
        <v>0</v>
      </c>
      <c r="JG822">
        <v>0</v>
      </c>
      <c r="JH822">
        <v>287.3</v>
      </c>
      <c r="JI822">
        <v>68.2</v>
      </c>
      <c r="JJ822">
        <v>0</v>
      </c>
      <c r="JK822">
        <v>148.6</v>
      </c>
      <c r="JL822">
        <v>0</v>
      </c>
      <c r="JM822">
        <v>0</v>
      </c>
      <c r="JN822">
        <v>204.5</v>
      </c>
      <c r="JO822">
        <v>292.10000000000002</v>
      </c>
      <c r="JP822">
        <v>670.8</v>
      </c>
      <c r="JQ822">
        <v>745.2</v>
      </c>
      <c r="JR822">
        <v>242.9</v>
      </c>
    </row>
    <row r="823" spans="2:278" ht="18" thickBot="1">
      <c r="B823" s="368" t="s">
        <v>542</v>
      </c>
      <c r="C823" s="413" t="s">
        <v>1517</v>
      </c>
      <c r="D823" s="368" t="s">
        <v>1387</v>
      </c>
      <c r="E823" s="454">
        <v>22829.8</v>
      </c>
      <c r="F823">
        <v>20193.400000000001</v>
      </c>
      <c r="G823" s="427">
        <v>0</v>
      </c>
      <c r="H823" s="155">
        <v>0</v>
      </c>
      <c r="I823">
        <v>0</v>
      </c>
      <c r="J823">
        <v>0</v>
      </c>
      <c r="K823">
        <v>0</v>
      </c>
      <c r="L823" s="4">
        <v>0</v>
      </c>
      <c r="M823" s="4">
        <v>0</v>
      </c>
      <c r="N823" s="4">
        <v>0</v>
      </c>
      <c r="O823" s="4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1476.4</v>
      </c>
      <c r="X823">
        <v>1482</v>
      </c>
      <c r="Y823">
        <v>457.20000000000005</v>
      </c>
      <c r="Z823">
        <v>0</v>
      </c>
      <c r="AA823">
        <v>0</v>
      </c>
      <c r="AB823">
        <v>0</v>
      </c>
      <c r="AC823">
        <v>0</v>
      </c>
      <c r="AD823">
        <v>3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1828.6</v>
      </c>
      <c r="AK823">
        <v>1800.7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560.70000000000005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  <c r="CN823">
        <v>0</v>
      </c>
      <c r="CO823">
        <v>0</v>
      </c>
      <c r="CP823">
        <v>3.5</v>
      </c>
      <c r="CQ823">
        <v>0</v>
      </c>
      <c r="CR823">
        <v>528</v>
      </c>
      <c r="CS823">
        <v>581.79999999999995</v>
      </c>
      <c r="CT823">
        <v>555.40000000000009</v>
      </c>
      <c r="CU823">
        <v>737.4</v>
      </c>
      <c r="CV823">
        <v>1039.0999999999999</v>
      </c>
      <c r="CW823">
        <v>1667.3</v>
      </c>
      <c r="CX823">
        <v>877.6</v>
      </c>
      <c r="CY823">
        <v>910.40000000000009</v>
      </c>
      <c r="CZ823">
        <v>0</v>
      </c>
      <c r="DA823">
        <v>0</v>
      </c>
      <c r="DB823">
        <v>0</v>
      </c>
      <c r="DC823">
        <v>0</v>
      </c>
      <c r="DD823">
        <v>0</v>
      </c>
      <c r="DE823">
        <v>0</v>
      </c>
      <c r="DF823">
        <v>0</v>
      </c>
      <c r="DG823">
        <v>0</v>
      </c>
      <c r="DH823">
        <v>0</v>
      </c>
      <c r="DI823">
        <v>0</v>
      </c>
      <c r="DJ823">
        <v>0</v>
      </c>
      <c r="DK823">
        <v>0</v>
      </c>
      <c r="DL823">
        <v>995.5</v>
      </c>
      <c r="DM823">
        <v>712.7</v>
      </c>
      <c r="DN823">
        <v>0</v>
      </c>
      <c r="DO823">
        <v>0</v>
      </c>
      <c r="DP823">
        <v>0</v>
      </c>
      <c r="DQ823">
        <v>0</v>
      </c>
      <c r="DR823">
        <v>0</v>
      </c>
      <c r="DS823">
        <v>0</v>
      </c>
      <c r="DT823">
        <v>0</v>
      </c>
      <c r="DU823">
        <v>0</v>
      </c>
      <c r="DV823">
        <v>0</v>
      </c>
      <c r="DW823">
        <v>0</v>
      </c>
      <c r="DX823">
        <v>0</v>
      </c>
      <c r="DY823">
        <v>0</v>
      </c>
      <c r="DZ823">
        <v>0</v>
      </c>
      <c r="EA823">
        <v>0</v>
      </c>
      <c r="EB823">
        <v>0</v>
      </c>
      <c r="EC823">
        <v>0</v>
      </c>
      <c r="ED823">
        <v>0</v>
      </c>
      <c r="EE823">
        <v>0</v>
      </c>
      <c r="EF823">
        <v>0</v>
      </c>
      <c r="EG823">
        <v>0</v>
      </c>
      <c r="EH823">
        <v>0</v>
      </c>
      <c r="EI823">
        <v>0</v>
      </c>
      <c r="EJ823">
        <v>0</v>
      </c>
      <c r="EK823">
        <v>0</v>
      </c>
      <c r="EL823">
        <v>0</v>
      </c>
      <c r="EM823">
        <v>0</v>
      </c>
      <c r="EN823">
        <v>27.4</v>
      </c>
      <c r="EO823">
        <v>0</v>
      </c>
      <c r="EP823">
        <v>1002.5</v>
      </c>
      <c r="EQ823">
        <v>0</v>
      </c>
      <c r="ER823">
        <v>494</v>
      </c>
      <c r="ES823">
        <v>0</v>
      </c>
      <c r="ET823">
        <v>699.3</v>
      </c>
      <c r="EU823">
        <v>435.4</v>
      </c>
      <c r="EV823">
        <v>0</v>
      </c>
      <c r="EW823">
        <v>0</v>
      </c>
      <c r="EX823">
        <v>0</v>
      </c>
      <c r="EY823">
        <v>0</v>
      </c>
      <c r="EZ823">
        <v>0</v>
      </c>
      <c r="FA823">
        <v>0</v>
      </c>
      <c r="FB823">
        <v>0</v>
      </c>
      <c r="FC823">
        <v>0</v>
      </c>
      <c r="FD823">
        <v>95.6</v>
      </c>
      <c r="FE823">
        <v>1792.1</v>
      </c>
      <c r="FF823">
        <v>1740.1999999999998</v>
      </c>
      <c r="FG823">
        <v>954.9</v>
      </c>
      <c r="FH823">
        <v>1087.8000000000002</v>
      </c>
      <c r="FI823">
        <v>1892.1</v>
      </c>
      <c r="FJ823">
        <v>1222.5</v>
      </c>
      <c r="FK823">
        <v>678.3</v>
      </c>
      <c r="FL823">
        <v>639.1</v>
      </c>
      <c r="FM823">
        <v>520.5</v>
      </c>
      <c r="FN823">
        <v>123.8</v>
      </c>
      <c r="FO823">
        <v>181.6</v>
      </c>
      <c r="FP823">
        <v>1090.5</v>
      </c>
      <c r="FQ823">
        <v>0</v>
      </c>
      <c r="FR823">
        <v>0</v>
      </c>
      <c r="FS823">
        <v>0</v>
      </c>
      <c r="FT823">
        <v>0</v>
      </c>
      <c r="FU823">
        <v>0</v>
      </c>
      <c r="FV823">
        <v>0</v>
      </c>
      <c r="FW823">
        <v>0</v>
      </c>
      <c r="FX823">
        <v>0</v>
      </c>
      <c r="FY823">
        <v>0</v>
      </c>
      <c r="FZ823">
        <v>0</v>
      </c>
      <c r="GA823">
        <v>0</v>
      </c>
      <c r="GB823">
        <v>0</v>
      </c>
      <c r="GC823">
        <v>0</v>
      </c>
      <c r="GD823">
        <v>0</v>
      </c>
      <c r="GE823">
        <v>0</v>
      </c>
      <c r="GF823">
        <v>198.3</v>
      </c>
      <c r="GG823">
        <v>1054.4000000000001</v>
      </c>
      <c r="GH823">
        <v>552.79999999999995</v>
      </c>
      <c r="GI823">
        <v>522</v>
      </c>
      <c r="GJ823">
        <v>0</v>
      </c>
      <c r="GK823">
        <v>0</v>
      </c>
      <c r="GL823">
        <v>0</v>
      </c>
      <c r="GM823">
        <v>0</v>
      </c>
      <c r="GN823">
        <v>791.40000000000009</v>
      </c>
      <c r="GO823">
        <v>1816.5</v>
      </c>
      <c r="GP823">
        <v>0</v>
      </c>
      <c r="GQ823">
        <v>0</v>
      </c>
      <c r="GR823">
        <v>0</v>
      </c>
      <c r="GS823">
        <v>0</v>
      </c>
      <c r="GT823">
        <v>0</v>
      </c>
      <c r="GU823">
        <v>0</v>
      </c>
      <c r="GV823">
        <v>0</v>
      </c>
      <c r="GW823">
        <v>0</v>
      </c>
      <c r="GX823">
        <v>0</v>
      </c>
      <c r="GY823">
        <v>840.3</v>
      </c>
      <c r="GZ823">
        <v>0</v>
      </c>
      <c r="HA823">
        <v>0</v>
      </c>
      <c r="HB823">
        <v>0</v>
      </c>
      <c r="HC823">
        <v>380.4</v>
      </c>
      <c r="HD823">
        <v>2175.5</v>
      </c>
      <c r="HE823">
        <v>0</v>
      </c>
      <c r="HF823">
        <v>0</v>
      </c>
      <c r="HG823">
        <v>0</v>
      </c>
      <c r="HH823">
        <v>0</v>
      </c>
      <c r="HI823">
        <v>0</v>
      </c>
      <c r="HJ823">
        <v>803.40000000000009</v>
      </c>
      <c r="HK823">
        <v>1270.9000000000001</v>
      </c>
      <c r="HL823">
        <v>835.7</v>
      </c>
      <c r="HM823">
        <v>1162.5999999999999</v>
      </c>
      <c r="HN823">
        <v>0</v>
      </c>
      <c r="HO823">
        <v>0</v>
      </c>
      <c r="HP823">
        <v>0</v>
      </c>
      <c r="HQ823">
        <v>0</v>
      </c>
      <c r="HR823">
        <v>161.19999999999999</v>
      </c>
      <c r="HS823">
        <v>0</v>
      </c>
      <c r="HT823">
        <v>2048.5</v>
      </c>
      <c r="HU823">
        <v>2627.5</v>
      </c>
      <c r="HV823">
        <v>1168.5999999999999</v>
      </c>
      <c r="HW823">
        <v>388</v>
      </c>
      <c r="HX823">
        <v>0</v>
      </c>
      <c r="HY823">
        <v>0</v>
      </c>
      <c r="HZ823">
        <v>0</v>
      </c>
      <c r="IA823">
        <v>0</v>
      </c>
      <c r="IB823">
        <v>0</v>
      </c>
      <c r="IC823">
        <v>594.4</v>
      </c>
      <c r="ID823">
        <v>427.4</v>
      </c>
      <c r="IE823">
        <v>713.3</v>
      </c>
      <c r="IF823">
        <v>626.1</v>
      </c>
      <c r="IG823">
        <v>0</v>
      </c>
      <c r="IH823">
        <v>0</v>
      </c>
      <c r="II823">
        <v>995.7</v>
      </c>
      <c r="IJ823">
        <v>1156.5999999999999</v>
      </c>
      <c r="IK823">
        <v>864.6</v>
      </c>
      <c r="IL823">
        <v>316.5</v>
      </c>
      <c r="IM823">
        <v>101.5</v>
      </c>
      <c r="IN823">
        <v>71.8</v>
      </c>
      <c r="IO823">
        <v>0</v>
      </c>
      <c r="IP823">
        <v>0</v>
      </c>
      <c r="IQ823">
        <v>0</v>
      </c>
      <c r="IR823">
        <v>0</v>
      </c>
      <c r="IS823">
        <v>0</v>
      </c>
      <c r="IT823">
        <v>0</v>
      </c>
      <c r="IU823">
        <v>0</v>
      </c>
      <c r="IV823">
        <v>0</v>
      </c>
      <c r="IW823">
        <v>68</v>
      </c>
      <c r="IX823">
        <v>404.7</v>
      </c>
      <c r="IY823">
        <v>126.6</v>
      </c>
      <c r="IZ823">
        <v>126.6</v>
      </c>
      <c r="JA823">
        <v>503.7</v>
      </c>
      <c r="JB823">
        <v>570.1</v>
      </c>
      <c r="JC823">
        <v>328.3</v>
      </c>
      <c r="JD823">
        <v>0</v>
      </c>
      <c r="JE823">
        <v>0</v>
      </c>
      <c r="JF823">
        <v>0</v>
      </c>
      <c r="JG823">
        <v>0</v>
      </c>
      <c r="JH823">
        <v>287.3</v>
      </c>
      <c r="JI823">
        <v>68.2</v>
      </c>
      <c r="JJ823">
        <v>0</v>
      </c>
      <c r="JK823">
        <v>148.6</v>
      </c>
      <c r="JL823">
        <v>0</v>
      </c>
      <c r="JM823">
        <v>0</v>
      </c>
      <c r="JN823">
        <v>204.5</v>
      </c>
      <c r="JO823">
        <v>292.10000000000002</v>
      </c>
      <c r="JP823">
        <v>670.8</v>
      </c>
      <c r="JQ823">
        <v>745.2</v>
      </c>
      <c r="JR823">
        <v>242.9</v>
      </c>
    </row>
    <row r="824" spans="2:278" ht="18" thickBot="1">
      <c r="B824" s="522" t="s">
        <v>946</v>
      </c>
      <c r="C824" s="517" t="s">
        <v>1518</v>
      </c>
      <c r="D824" s="522" t="s">
        <v>1394</v>
      </c>
      <c r="E824" s="454">
        <v>22829.8</v>
      </c>
      <c r="F824">
        <v>20193.400000000001</v>
      </c>
      <c r="G824" s="427">
        <v>0</v>
      </c>
      <c r="H824" s="155">
        <v>0</v>
      </c>
      <c r="I824">
        <v>0</v>
      </c>
      <c r="J824">
        <v>0</v>
      </c>
      <c r="K824">
        <v>0</v>
      </c>
      <c r="L824" s="4">
        <v>0</v>
      </c>
      <c r="M824" s="4">
        <v>0</v>
      </c>
      <c r="N824" s="4">
        <v>0</v>
      </c>
      <c r="O824" s="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1476.4</v>
      </c>
      <c r="X824">
        <v>1482</v>
      </c>
      <c r="Y824">
        <v>457.20000000000005</v>
      </c>
      <c r="Z824">
        <v>0</v>
      </c>
      <c r="AA824">
        <v>0</v>
      </c>
      <c r="AB824">
        <v>0</v>
      </c>
      <c r="AC824">
        <v>0</v>
      </c>
      <c r="AD824">
        <v>3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1828.6</v>
      </c>
      <c r="AK824">
        <v>1800.7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560.70000000000005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>
        <v>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0</v>
      </c>
      <c r="CO824">
        <v>0</v>
      </c>
      <c r="CP824">
        <v>3.5</v>
      </c>
      <c r="CQ824">
        <v>0</v>
      </c>
      <c r="CR824">
        <v>528</v>
      </c>
      <c r="CS824">
        <v>581.79999999999995</v>
      </c>
      <c r="CT824">
        <v>555.40000000000009</v>
      </c>
      <c r="CU824">
        <v>737.4</v>
      </c>
      <c r="CV824">
        <v>1039.0999999999999</v>
      </c>
      <c r="CW824">
        <v>1667.3</v>
      </c>
      <c r="CX824">
        <v>877.6</v>
      </c>
      <c r="CY824">
        <v>910.40000000000009</v>
      </c>
      <c r="CZ824">
        <v>0</v>
      </c>
      <c r="DA824">
        <v>0</v>
      </c>
      <c r="DB824">
        <v>0</v>
      </c>
      <c r="DC824">
        <v>0</v>
      </c>
      <c r="DD824">
        <v>0</v>
      </c>
      <c r="DE824">
        <v>0</v>
      </c>
      <c r="DF824">
        <v>0</v>
      </c>
      <c r="DG824">
        <v>0</v>
      </c>
      <c r="DH824">
        <v>0</v>
      </c>
      <c r="DI824">
        <v>0</v>
      </c>
      <c r="DJ824">
        <v>0</v>
      </c>
      <c r="DK824">
        <v>0</v>
      </c>
      <c r="DL824">
        <v>995.5</v>
      </c>
      <c r="DM824">
        <v>712.7</v>
      </c>
      <c r="DN824">
        <v>0</v>
      </c>
      <c r="DO824">
        <v>0</v>
      </c>
      <c r="DP824">
        <v>0</v>
      </c>
      <c r="DQ824">
        <v>0</v>
      </c>
      <c r="DR824">
        <v>0</v>
      </c>
      <c r="DS824">
        <v>0</v>
      </c>
      <c r="DT824">
        <v>0</v>
      </c>
      <c r="DU824">
        <v>0</v>
      </c>
      <c r="DV824">
        <v>0</v>
      </c>
      <c r="DW824">
        <v>0</v>
      </c>
      <c r="DX824">
        <v>0</v>
      </c>
      <c r="DY824">
        <v>0</v>
      </c>
      <c r="DZ824">
        <v>0</v>
      </c>
      <c r="EA824">
        <v>0</v>
      </c>
      <c r="EB824">
        <v>0</v>
      </c>
      <c r="EC824">
        <v>0</v>
      </c>
      <c r="ED824">
        <v>0</v>
      </c>
      <c r="EE824">
        <v>0</v>
      </c>
      <c r="EF824">
        <v>0</v>
      </c>
      <c r="EG824">
        <v>0</v>
      </c>
      <c r="EH824">
        <v>0</v>
      </c>
      <c r="EI824">
        <v>0</v>
      </c>
      <c r="EJ824">
        <v>0</v>
      </c>
      <c r="EK824">
        <v>0</v>
      </c>
      <c r="EL824">
        <v>0</v>
      </c>
      <c r="EM824">
        <v>0</v>
      </c>
      <c r="EN824">
        <v>27.4</v>
      </c>
      <c r="EO824">
        <v>0</v>
      </c>
      <c r="EP824">
        <v>1002.5</v>
      </c>
      <c r="EQ824">
        <v>0</v>
      </c>
      <c r="ER824">
        <v>494</v>
      </c>
      <c r="ES824">
        <v>0</v>
      </c>
      <c r="ET824">
        <v>699.3</v>
      </c>
      <c r="EU824">
        <v>435.4</v>
      </c>
      <c r="EV824">
        <v>0</v>
      </c>
      <c r="EW824">
        <v>0</v>
      </c>
      <c r="EX824">
        <v>0</v>
      </c>
      <c r="EY824">
        <v>0</v>
      </c>
      <c r="EZ824">
        <v>0</v>
      </c>
      <c r="FA824">
        <v>0</v>
      </c>
      <c r="FB824">
        <v>0</v>
      </c>
      <c r="FC824">
        <v>0</v>
      </c>
      <c r="FD824">
        <v>95.6</v>
      </c>
      <c r="FE824">
        <v>1792.1</v>
      </c>
      <c r="FF824">
        <v>1740.1999999999998</v>
      </c>
      <c r="FG824">
        <v>954.9</v>
      </c>
      <c r="FH824">
        <v>1087.8000000000002</v>
      </c>
      <c r="FI824">
        <v>1892.1</v>
      </c>
      <c r="FJ824">
        <v>1222.5</v>
      </c>
      <c r="FK824">
        <v>678.3</v>
      </c>
      <c r="FL824">
        <v>639.1</v>
      </c>
      <c r="FM824">
        <v>520.5</v>
      </c>
      <c r="FN824">
        <v>123.8</v>
      </c>
      <c r="FO824">
        <v>181.6</v>
      </c>
      <c r="FP824">
        <v>1090.5</v>
      </c>
      <c r="FQ824">
        <v>0</v>
      </c>
      <c r="FR824">
        <v>0</v>
      </c>
      <c r="FS824">
        <v>0</v>
      </c>
      <c r="FT824">
        <v>0</v>
      </c>
      <c r="FU824">
        <v>0</v>
      </c>
      <c r="FV824">
        <v>0</v>
      </c>
      <c r="FW824">
        <v>0</v>
      </c>
      <c r="FX824">
        <v>0</v>
      </c>
      <c r="FY824">
        <v>0</v>
      </c>
      <c r="FZ824">
        <v>0</v>
      </c>
      <c r="GA824">
        <v>0</v>
      </c>
      <c r="GB824">
        <v>0</v>
      </c>
      <c r="GC824">
        <v>0</v>
      </c>
      <c r="GD824">
        <v>0</v>
      </c>
      <c r="GE824">
        <v>0</v>
      </c>
      <c r="GF824">
        <v>198.3</v>
      </c>
      <c r="GG824">
        <v>1054.4000000000001</v>
      </c>
      <c r="GH824">
        <v>552.79999999999995</v>
      </c>
      <c r="GI824">
        <v>522</v>
      </c>
      <c r="GJ824">
        <v>0</v>
      </c>
      <c r="GK824">
        <v>0</v>
      </c>
      <c r="GL824">
        <v>0</v>
      </c>
      <c r="GM824">
        <v>0</v>
      </c>
      <c r="GN824">
        <v>791.40000000000009</v>
      </c>
      <c r="GO824">
        <v>1816.5</v>
      </c>
      <c r="GP824">
        <v>0</v>
      </c>
      <c r="GQ824">
        <v>0</v>
      </c>
      <c r="GR824">
        <v>0</v>
      </c>
      <c r="GS824">
        <v>0</v>
      </c>
      <c r="GT824">
        <v>0</v>
      </c>
      <c r="GU824">
        <v>0</v>
      </c>
      <c r="GV824">
        <v>0</v>
      </c>
      <c r="GW824">
        <v>0</v>
      </c>
      <c r="GX824">
        <v>0</v>
      </c>
      <c r="GY824">
        <v>840.3</v>
      </c>
      <c r="GZ824">
        <v>0</v>
      </c>
      <c r="HA824">
        <v>0</v>
      </c>
      <c r="HB824">
        <v>0</v>
      </c>
      <c r="HC824">
        <v>380.4</v>
      </c>
      <c r="HD824">
        <v>2175.5</v>
      </c>
      <c r="HE824">
        <v>0</v>
      </c>
      <c r="HF824">
        <v>0</v>
      </c>
      <c r="HG824">
        <v>0</v>
      </c>
      <c r="HH824">
        <v>0</v>
      </c>
      <c r="HI824">
        <v>0</v>
      </c>
      <c r="HJ824">
        <v>803.40000000000009</v>
      </c>
      <c r="HK824">
        <v>1270.9000000000001</v>
      </c>
      <c r="HL824">
        <v>835.7</v>
      </c>
      <c r="HM824">
        <v>1162.5999999999999</v>
      </c>
      <c r="HN824">
        <v>0</v>
      </c>
      <c r="HO824">
        <v>0</v>
      </c>
      <c r="HP824">
        <v>0</v>
      </c>
      <c r="HQ824">
        <v>0</v>
      </c>
      <c r="HR824">
        <v>161.19999999999999</v>
      </c>
      <c r="HS824">
        <v>0</v>
      </c>
      <c r="HT824">
        <v>2048.5</v>
      </c>
      <c r="HU824">
        <v>2627.5</v>
      </c>
      <c r="HV824">
        <v>1168.5999999999999</v>
      </c>
      <c r="HW824">
        <v>388</v>
      </c>
      <c r="HX824">
        <v>0</v>
      </c>
      <c r="HY824">
        <v>0</v>
      </c>
      <c r="HZ824">
        <v>0</v>
      </c>
      <c r="IA824">
        <v>0</v>
      </c>
      <c r="IB824">
        <v>0</v>
      </c>
      <c r="IC824">
        <v>594.4</v>
      </c>
      <c r="ID824">
        <v>427.4</v>
      </c>
      <c r="IE824">
        <v>713.3</v>
      </c>
      <c r="IF824">
        <v>626.1</v>
      </c>
      <c r="IG824">
        <v>0</v>
      </c>
      <c r="IH824">
        <v>0</v>
      </c>
      <c r="II824">
        <v>995.7</v>
      </c>
      <c r="IJ824">
        <v>1156.5999999999999</v>
      </c>
      <c r="IK824">
        <v>864.6</v>
      </c>
      <c r="IL824">
        <v>316.5</v>
      </c>
      <c r="IM824">
        <v>101.5</v>
      </c>
      <c r="IN824">
        <v>71.8</v>
      </c>
      <c r="IO824">
        <v>0</v>
      </c>
      <c r="IP824">
        <v>0</v>
      </c>
      <c r="IQ824">
        <v>0</v>
      </c>
      <c r="IR824">
        <v>0</v>
      </c>
      <c r="IS824">
        <v>0</v>
      </c>
      <c r="IT824">
        <v>0</v>
      </c>
      <c r="IU824">
        <v>0</v>
      </c>
      <c r="IV824">
        <v>0</v>
      </c>
      <c r="IW824">
        <v>68</v>
      </c>
      <c r="IX824">
        <v>404.7</v>
      </c>
      <c r="IY824">
        <v>126.6</v>
      </c>
      <c r="IZ824">
        <v>126.6</v>
      </c>
      <c r="JA824">
        <v>503.7</v>
      </c>
      <c r="JB824">
        <v>570.1</v>
      </c>
      <c r="JC824">
        <v>328.3</v>
      </c>
      <c r="JD824">
        <v>0</v>
      </c>
      <c r="JE824">
        <v>0</v>
      </c>
      <c r="JF824">
        <v>0</v>
      </c>
      <c r="JG824">
        <v>0</v>
      </c>
      <c r="JH824">
        <v>287.3</v>
      </c>
      <c r="JI824">
        <v>68.2</v>
      </c>
      <c r="JJ824">
        <v>0</v>
      </c>
      <c r="JK824">
        <v>148.6</v>
      </c>
      <c r="JL824">
        <v>0</v>
      </c>
      <c r="JM824">
        <v>0</v>
      </c>
      <c r="JN824">
        <v>204.5</v>
      </c>
      <c r="JO824">
        <v>292.10000000000002</v>
      </c>
      <c r="JP824">
        <v>670.8</v>
      </c>
      <c r="JQ824">
        <v>745.2</v>
      </c>
      <c r="JR824">
        <v>242.9</v>
      </c>
    </row>
    <row r="825" spans="2:278" ht="18" thickBot="1">
      <c r="B825" s="523"/>
      <c r="C825" s="518"/>
      <c r="D825" s="523"/>
      <c r="E825" s="454">
        <v>22829.8</v>
      </c>
      <c r="F825">
        <v>20193.400000000001</v>
      </c>
      <c r="G825" s="427">
        <v>0</v>
      </c>
      <c r="H825" s="155">
        <v>0</v>
      </c>
      <c r="I825">
        <v>0</v>
      </c>
      <c r="J825">
        <v>0</v>
      </c>
      <c r="K825">
        <v>0</v>
      </c>
      <c r="L825" s="4">
        <v>0</v>
      </c>
      <c r="M825" s="4">
        <v>0</v>
      </c>
      <c r="N825" s="4">
        <v>0</v>
      </c>
      <c r="O825" s="4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1476.4</v>
      </c>
      <c r="X825">
        <v>1482</v>
      </c>
      <c r="Y825">
        <v>457.20000000000005</v>
      </c>
      <c r="Z825">
        <v>0</v>
      </c>
      <c r="AA825">
        <v>0</v>
      </c>
      <c r="AB825">
        <v>0</v>
      </c>
      <c r="AC825">
        <v>0</v>
      </c>
      <c r="AD825">
        <v>3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1828.6</v>
      </c>
      <c r="AK825">
        <v>1800.7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560.70000000000005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  <c r="CF825">
        <v>0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  <c r="CN825">
        <v>0</v>
      </c>
      <c r="CO825">
        <v>0</v>
      </c>
      <c r="CP825">
        <v>3.5</v>
      </c>
      <c r="CQ825">
        <v>0</v>
      </c>
      <c r="CR825">
        <v>528</v>
      </c>
      <c r="CS825">
        <v>581.79999999999995</v>
      </c>
      <c r="CT825">
        <v>555.40000000000009</v>
      </c>
      <c r="CU825">
        <v>737.4</v>
      </c>
      <c r="CV825">
        <v>1039.0999999999999</v>
      </c>
      <c r="CW825">
        <v>1667.3</v>
      </c>
      <c r="CX825">
        <v>877.6</v>
      </c>
      <c r="CY825">
        <v>910.40000000000009</v>
      </c>
      <c r="CZ825">
        <v>0</v>
      </c>
      <c r="DA825">
        <v>0</v>
      </c>
      <c r="DB825">
        <v>0</v>
      </c>
      <c r="DC825">
        <v>0</v>
      </c>
      <c r="DD825">
        <v>0</v>
      </c>
      <c r="DE825">
        <v>0</v>
      </c>
      <c r="DF825">
        <v>0</v>
      </c>
      <c r="DG825">
        <v>0</v>
      </c>
      <c r="DH825">
        <v>0</v>
      </c>
      <c r="DI825">
        <v>0</v>
      </c>
      <c r="DJ825">
        <v>0</v>
      </c>
      <c r="DK825">
        <v>0</v>
      </c>
      <c r="DL825">
        <v>995.5</v>
      </c>
      <c r="DM825">
        <v>712.7</v>
      </c>
      <c r="DN825">
        <v>0</v>
      </c>
      <c r="DO825">
        <v>0</v>
      </c>
      <c r="DP825">
        <v>0</v>
      </c>
      <c r="DQ825">
        <v>0</v>
      </c>
      <c r="DR825">
        <v>0</v>
      </c>
      <c r="DS825">
        <v>0</v>
      </c>
      <c r="DT825">
        <v>0</v>
      </c>
      <c r="DU825">
        <v>0</v>
      </c>
      <c r="DV825">
        <v>0</v>
      </c>
      <c r="DW825">
        <v>0</v>
      </c>
      <c r="DX825">
        <v>0</v>
      </c>
      <c r="DY825">
        <v>0</v>
      </c>
      <c r="DZ825">
        <v>0</v>
      </c>
      <c r="EA825">
        <v>0</v>
      </c>
      <c r="EB825">
        <v>0</v>
      </c>
      <c r="EC825">
        <v>0</v>
      </c>
      <c r="ED825">
        <v>0</v>
      </c>
      <c r="EE825">
        <v>0</v>
      </c>
      <c r="EF825">
        <v>0</v>
      </c>
      <c r="EG825">
        <v>0</v>
      </c>
      <c r="EH825">
        <v>0</v>
      </c>
      <c r="EI825">
        <v>0</v>
      </c>
      <c r="EJ825">
        <v>0</v>
      </c>
      <c r="EK825">
        <v>0</v>
      </c>
      <c r="EL825">
        <v>0</v>
      </c>
      <c r="EM825">
        <v>0</v>
      </c>
      <c r="EN825">
        <v>27.4</v>
      </c>
      <c r="EO825">
        <v>0</v>
      </c>
      <c r="EP825">
        <v>1002.5</v>
      </c>
      <c r="EQ825">
        <v>0</v>
      </c>
      <c r="ER825">
        <v>494</v>
      </c>
      <c r="ES825">
        <v>0</v>
      </c>
      <c r="ET825">
        <v>699.3</v>
      </c>
      <c r="EU825">
        <v>435.4</v>
      </c>
      <c r="EV825">
        <v>0</v>
      </c>
      <c r="EW825">
        <v>0</v>
      </c>
      <c r="EX825">
        <v>0</v>
      </c>
      <c r="EY825">
        <v>0</v>
      </c>
      <c r="EZ825">
        <v>0</v>
      </c>
      <c r="FA825">
        <v>0</v>
      </c>
      <c r="FB825">
        <v>0</v>
      </c>
      <c r="FC825">
        <v>0</v>
      </c>
      <c r="FD825">
        <v>95.6</v>
      </c>
      <c r="FE825">
        <v>1792.1</v>
      </c>
      <c r="FF825">
        <v>1740.1999999999998</v>
      </c>
      <c r="FG825">
        <v>954.9</v>
      </c>
      <c r="FH825">
        <v>1087.8000000000002</v>
      </c>
      <c r="FI825">
        <v>1892.1</v>
      </c>
      <c r="FJ825">
        <v>1222.5</v>
      </c>
      <c r="FK825">
        <v>678.3</v>
      </c>
      <c r="FL825">
        <v>639.1</v>
      </c>
      <c r="FM825">
        <v>520.5</v>
      </c>
      <c r="FN825">
        <v>123.8</v>
      </c>
      <c r="FO825">
        <v>181.6</v>
      </c>
      <c r="FP825">
        <v>1090.5</v>
      </c>
      <c r="FQ825">
        <v>0</v>
      </c>
      <c r="FR825">
        <v>0</v>
      </c>
      <c r="FS825">
        <v>0</v>
      </c>
      <c r="FT825">
        <v>0</v>
      </c>
      <c r="FU825">
        <v>0</v>
      </c>
      <c r="FV825">
        <v>0</v>
      </c>
      <c r="FW825">
        <v>0</v>
      </c>
      <c r="FX825">
        <v>0</v>
      </c>
      <c r="FY825">
        <v>0</v>
      </c>
      <c r="FZ825">
        <v>0</v>
      </c>
      <c r="GA825">
        <v>0</v>
      </c>
      <c r="GB825">
        <v>0</v>
      </c>
      <c r="GC825">
        <v>0</v>
      </c>
      <c r="GD825">
        <v>0</v>
      </c>
      <c r="GE825">
        <v>0</v>
      </c>
      <c r="GF825">
        <v>198.3</v>
      </c>
      <c r="GG825">
        <v>1054.4000000000001</v>
      </c>
      <c r="GH825">
        <v>552.79999999999995</v>
      </c>
      <c r="GI825">
        <v>522</v>
      </c>
      <c r="GJ825">
        <v>0</v>
      </c>
      <c r="GK825">
        <v>0</v>
      </c>
      <c r="GL825">
        <v>0</v>
      </c>
      <c r="GM825">
        <v>0</v>
      </c>
      <c r="GN825">
        <v>791.40000000000009</v>
      </c>
      <c r="GO825">
        <v>1816.5</v>
      </c>
      <c r="GP825">
        <v>0</v>
      </c>
      <c r="GQ825">
        <v>0</v>
      </c>
      <c r="GR825">
        <v>0</v>
      </c>
      <c r="GS825">
        <v>0</v>
      </c>
      <c r="GT825">
        <v>0</v>
      </c>
      <c r="GU825">
        <v>0</v>
      </c>
      <c r="GV825">
        <v>0</v>
      </c>
      <c r="GW825">
        <v>0</v>
      </c>
      <c r="GX825">
        <v>0</v>
      </c>
      <c r="GY825">
        <v>840.3</v>
      </c>
      <c r="GZ825">
        <v>0</v>
      </c>
      <c r="HA825">
        <v>0</v>
      </c>
      <c r="HB825">
        <v>0</v>
      </c>
      <c r="HC825">
        <v>380.4</v>
      </c>
      <c r="HD825">
        <v>2175.5</v>
      </c>
      <c r="HE825">
        <v>0</v>
      </c>
      <c r="HF825">
        <v>0</v>
      </c>
      <c r="HG825">
        <v>0</v>
      </c>
      <c r="HH825">
        <v>0</v>
      </c>
      <c r="HI825">
        <v>0</v>
      </c>
      <c r="HJ825">
        <v>803.40000000000009</v>
      </c>
      <c r="HK825">
        <v>1270.9000000000001</v>
      </c>
      <c r="HL825">
        <v>835.7</v>
      </c>
      <c r="HM825">
        <v>1162.5999999999999</v>
      </c>
      <c r="HN825">
        <v>0</v>
      </c>
      <c r="HO825">
        <v>0</v>
      </c>
      <c r="HP825">
        <v>0</v>
      </c>
      <c r="HQ825">
        <v>0</v>
      </c>
      <c r="HR825">
        <v>161.19999999999999</v>
      </c>
      <c r="HS825">
        <v>0</v>
      </c>
      <c r="HT825">
        <v>2048.5</v>
      </c>
      <c r="HU825">
        <v>2627.5</v>
      </c>
      <c r="HV825">
        <v>1168.5999999999999</v>
      </c>
      <c r="HW825">
        <v>388</v>
      </c>
      <c r="HX825">
        <v>0</v>
      </c>
      <c r="HY825">
        <v>0</v>
      </c>
      <c r="HZ825">
        <v>0</v>
      </c>
      <c r="IA825">
        <v>0</v>
      </c>
      <c r="IB825">
        <v>0</v>
      </c>
      <c r="IC825">
        <v>594.4</v>
      </c>
      <c r="ID825">
        <v>427.4</v>
      </c>
      <c r="IE825">
        <v>713.3</v>
      </c>
      <c r="IF825">
        <v>626.1</v>
      </c>
      <c r="IG825">
        <v>0</v>
      </c>
      <c r="IH825">
        <v>0</v>
      </c>
      <c r="II825">
        <v>995.7</v>
      </c>
      <c r="IJ825">
        <v>1156.5999999999999</v>
      </c>
      <c r="IK825">
        <v>864.6</v>
      </c>
      <c r="IL825">
        <v>316.5</v>
      </c>
      <c r="IM825">
        <v>101.5</v>
      </c>
      <c r="IN825">
        <v>71.8</v>
      </c>
      <c r="IO825">
        <v>0</v>
      </c>
      <c r="IP825">
        <v>0</v>
      </c>
      <c r="IQ825">
        <v>0</v>
      </c>
      <c r="IR825">
        <v>0</v>
      </c>
      <c r="IS825">
        <v>0</v>
      </c>
      <c r="IT825">
        <v>0</v>
      </c>
      <c r="IU825">
        <v>0</v>
      </c>
      <c r="IV825">
        <v>0</v>
      </c>
      <c r="IW825">
        <v>68</v>
      </c>
      <c r="IX825">
        <v>404.7</v>
      </c>
      <c r="IY825">
        <v>126.6</v>
      </c>
      <c r="IZ825">
        <v>126.6</v>
      </c>
      <c r="JA825">
        <v>503.7</v>
      </c>
      <c r="JB825">
        <v>570.1</v>
      </c>
      <c r="JC825">
        <v>328.3</v>
      </c>
      <c r="JD825">
        <v>0</v>
      </c>
      <c r="JE825">
        <v>0</v>
      </c>
      <c r="JF825">
        <v>0</v>
      </c>
      <c r="JG825">
        <v>0</v>
      </c>
      <c r="JH825">
        <v>287.3</v>
      </c>
      <c r="JI825">
        <v>68.2</v>
      </c>
      <c r="JJ825">
        <v>0</v>
      </c>
      <c r="JK825">
        <v>148.6</v>
      </c>
      <c r="JL825">
        <v>0</v>
      </c>
      <c r="JM825">
        <v>0</v>
      </c>
      <c r="JN825">
        <v>204.5</v>
      </c>
      <c r="JO825">
        <v>292.10000000000002</v>
      </c>
      <c r="JP825">
        <v>670.8</v>
      </c>
      <c r="JQ825">
        <v>745.2</v>
      </c>
      <c r="JR825">
        <v>242.9</v>
      </c>
    </row>
    <row r="826" spans="2:278" ht="18" thickBot="1">
      <c r="B826" s="522" t="s">
        <v>947</v>
      </c>
      <c r="C826" s="517" t="s">
        <v>1519</v>
      </c>
      <c r="D826" s="522" t="s">
        <v>1395</v>
      </c>
      <c r="E826" s="454">
        <v>22829.8</v>
      </c>
      <c r="F826">
        <v>20193.400000000001</v>
      </c>
      <c r="G826" s="427">
        <v>0</v>
      </c>
      <c r="H826" s="155">
        <v>0</v>
      </c>
      <c r="I826">
        <v>0</v>
      </c>
      <c r="J826">
        <v>0</v>
      </c>
      <c r="K826">
        <v>0</v>
      </c>
      <c r="L826" s="4">
        <v>0</v>
      </c>
      <c r="M826" s="4">
        <v>0</v>
      </c>
      <c r="N826" s="4">
        <v>0</v>
      </c>
      <c r="O826" s="4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1476.4</v>
      </c>
      <c r="X826">
        <v>1482</v>
      </c>
      <c r="Y826">
        <v>457.20000000000005</v>
      </c>
      <c r="Z826">
        <v>0</v>
      </c>
      <c r="AA826">
        <v>0</v>
      </c>
      <c r="AB826">
        <v>0</v>
      </c>
      <c r="AC826">
        <v>0</v>
      </c>
      <c r="AD826">
        <v>3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1828.6</v>
      </c>
      <c r="AK826">
        <v>1800.7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560.70000000000005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  <c r="CF826">
        <v>0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  <c r="CN826">
        <v>0</v>
      </c>
      <c r="CO826">
        <v>0</v>
      </c>
      <c r="CP826">
        <v>3.5</v>
      </c>
      <c r="CQ826">
        <v>0</v>
      </c>
      <c r="CR826">
        <v>528</v>
      </c>
      <c r="CS826">
        <v>581.79999999999995</v>
      </c>
      <c r="CT826">
        <v>555.40000000000009</v>
      </c>
      <c r="CU826">
        <v>737.4</v>
      </c>
      <c r="CV826">
        <v>1039.0999999999999</v>
      </c>
      <c r="CW826">
        <v>1667.3</v>
      </c>
      <c r="CX826">
        <v>877.6</v>
      </c>
      <c r="CY826">
        <v>910.40000000000009</v>
      </c>
      <c r="CZ826">
        <v>0</v>
      </c>
      <c r="DA826">
        <v>0</v>
      </c>
      <c r="DB826">
        <v>0</v>
      </c>
      <c r="DC826">
        <v>0</v>
      </c>
      <c r="DD826">
        <v>0</v>
      </c>
      <c r="DE826">
        <v>0</v>
      </c>
      <c r="DF826">
        <v>0</v>
      </c>
      <c r="DG826">
        <v>0</v>
      </c>
      <c r="DH826">
        <v>0</v>
      </c>
      <c r="DI826">
        <v>0</v>
      </c>
      <c r="DJ826">
        <v>0</v>
      </c>
      <c r="DK826">
        <v>0</v>
      </c>
      <c r="DL826">
        <v>995.5</v>
      </c>
      <c r="DM826">
        <v>712.7</v>
      </c>
      <c r="DN826">
        <v>0</v>
      </c>
      <c r="DO826">
        <v>0</v>
      </c>
      <c r="DP826">
        <v>0</v>
      </c>
      <c r="DQ826">
        <v>0</v>
      </c>
      <c r="DR826">
        <v>0</v>
      </c>
      <c r="DS826">
        <v>0</v>
      </c>
      <c r="DT826">
        <v>0</v>
      </c>
      <c r="DU826">
        <v>0</v>
      </c>
      <c r="DV826">
        <v>0</v>
      </c>
      <c r="DW826">
        <v>0</v>
      </c>
      <c r="DX826">
        <v>0</v>
      </c>
      <c r="DY826">
        <v>0</v>
      </c>
      <c r="DZ826">
        <v>0</v>
      </c>
      <c r="EA826">
        <v>0</v>
      </c>
      <c r="EB826">
        <v>0</v>
      </c>
      <c r="EC826">
        <v>0</v>
      </c>
      <c r="ED826">
        <v>0</v>
      </c>
      <c r="EE826">
        <v>0</v>
      </c>
      <c r="EF826">
        <v>0</v>
      </c>
      <c r="EG826">
        <v>0</v>
      </c>
      <c r="EH826">
        <v>0</v>
      </c>
      <c r="EI826">
        <v>0</v>
      </c>
      <c r="EJ826">
        <v>0</v>
      </c>
      <c r="EK826">
        <v>0</v>
      </c>
      <c r="EL826">
        <v>0</v>
      </c>
      <c r="EM826">
        <v>0</v>
      </c>
      <c r="EN826">
        <v>27.4</v>
      </c>
      <c r="EO826">
        <v>0</v>
      </c>
      <c r="EP826">
        <v>1002.5</v>
      </c>
      <c r="EQ826">
        <v>0</v>
      </c>
      <c r="ER826">
        <v>494</v>
      </c>
      <c r="ES826">
        <v>0</v>
      </c>
      <c r="ET826">
        <v>699.3</v>
      </c>
      <c r="EU826">
        <v>435.4</v>
      </c>
      <c r="EV826">
        <v>0</v>
      </c>
      <c r="EW826">
        <v>0</v>
      </c>
      <c r="EX826">
        <v>0</v>
      </c>
      <c r="EY826">
        <v>0</v>
      </c>
      <c r="EZ826">
        <v>0</v>
      </c>
      <c r="FA826">
        <v>0</v>
      </c>
      <c r="FB826">
        <v>0</v>
      </c>
      <c r="FC826">
        <v>0</v>
      </c>
      <c r="FD826">
        <v>95.6</v>
      </c>
      <c r="FE826">
        <v>1792.1</v>
      </c>
      <c r="FF826">
        <v>1740.1999999999998</v>
      </c>
      <c r="FG826">
        <v>954.9</v>
      </c>
      <c r="FH826">
        <v>1087.8000000000002</v>
      </c>
      <c r="FI826">
        <v>1892.1</v>
      </c>
      <c r="FJ826">
        <v>1222.5</v>
      </c>
      <c r="FK826">
        <v>678.3</v>
      </c>
      <c r="FL826">
        <v>639.1</v>
      </c>
      <c r="FM826">
        <v>520.5</v>
      </c>
      <c r="FN826">
        <v>123.8</v>
      </c>
      <c r="FO826">
        <v>181.6</v>
      </c>
      <c r="FP826">
        <v>1090.5</v>
      </c>
      <c r="FQ826">
        <v>0</v>
      </c>
      <c r="FR826">
        <v>0</v>
      </c>
      <c r="FS826">
        <v>0</v>
      </c>
      <c r="FT826">
        <v>0</v>
      </c>
      <c r="FU826">
        <v>0</v>
      </c>
      <c r="FV826">
        <v>0</v>
      </c>
      <c r="FW826">
        <v>0</v>
      </c>
      <c r="FX826">
        <v>0</v>
      </c>
      <c r="FY826">
        <v>0</v>
      </c>
      <c r="FZ826">
        <v>0</v>
      </c>
      <c r="GA826">
        <v>0</v>
      </c>
      <c r="GB826">
        <v>0</v>
      </c>
      <c r="GC826">
        <v>0</v>
      </c>
      <c r="GD826">
        <v>0</v>
      </c>
      <c r="GE826">
        <v>0</v>
      </c>
      <c r="GF826">
        <v>198.3</v>
      </c>
      <c r="GG826">
        <v>1054.4000000000001</v>
      </c>
      <c r="GH826">
        <v>552.79999999999995</v>
      </c>
      <c r="GI826">
        <v>522</v>
      </c>
      <c r="GJ826">
        <v>0</v>
      </c>
      <c r="GK826">
        <v>0</v>
      </c>
      <c r="GL826">
        <v>0</v>
      </c>
      <c r="GM826">
        <v>0</v>
      </c>
      <c r="GN826">
        <v>791.40000000000009</v>
      </c>
      <c r="GO826">
        <v>1816.5</v>
      </c>
      <c r="GP826">
        <v>0</v>
      </c>
      <c r="GQ826">
        <v>0</v>
      </c>
      <c r="GR826">
        <v>0</v>
      </c>
      <c r="GS826">
        <v>0</v>
      </c>
      <c r="GT826">
        <v>0</v>
      </c>
      <c r="GU826">
        <v>0</v>
      </c>
      <c r="GV826">
        <v>0</v>
      </c>
      <c r="GW826">
        <v>0</v>
      </c>
      <c r="GX826">
        <v>0</v>
      </c>
      <c r="GY826">
        <v>840.3</v>
      </c>
      <c r="GZ826">
        <v>0</v>
      </c>
      <c r="HA826">
        <v>0</v>
      </c>
      <c r="HB826">
        <v>0</v>
      </c>
      <c r="HC826">
        <v>380.4</v>
      </c>
      <c r="HD826">
        <v>2175.5</v>
      </c>
      <c r="HE826">
        <v>0</v>
      </c>
      <c r="HF826">
        <v>0</v>
      </c>
      <c r="HG826">
        <v>0</v>
      </c>
      <c r="HH826">
        <v>0</v>
      </c>
      <c r="HI826">
        <v>0</v>
      </c>
      <c r="HJ826">
        <v>803.40000000000009</v>
      </c>
      <c r="HK826">
        <v>1270.9000000000001</v>
      </c>
      <c r="HL826">
        <v>835.7</v>
      </c>
      <c r="HM826">
        <v>1162.5999999999999</v>
      </c>
      <c r="HN826">
        <v>0</v>
      </c>
      <c r="HO826">
        <v>0</v>
      </c>
      <c r="HP826">
        <v>0</v>
      </c>
      <c r="HQ826">
        <v>0</v>
      </c>
      <c r="HR826">
        <v>161.19999999999999</v>
      </c>
      <c r="HS826">
        <v>0</v>
      </c>
      <c r="HT826">
        <v>2048.5</v>
      </c>
      <c r="HU826">
        <v>2627.5</v>
      </c>
      <c r="HV826">
        <v>1168.5999999999999</v>
      </c>
      <c r="HW826">
        <v>388</v>
      </c>
      <c r="HX826">
        <v>0</v>
      </c>
      <c r="HY826">
        <v>0</v>
      </c>
      <c r="HZ826">
        <v>0</v>
      </c>
      <c r="IA826">
        <v>0</v>
      </c>
      <c r="IB826">
        <v>0</v>
      </c>
      <c r="IC826">
        <v>594.4</v>
      </c>
      <c r="ID826">
        <v>427.4</v>
      </c>
      <c r="IE826">
        <v>713.3</v>
      </c>
      <c r="IF826">
        <v>626.1</v>
      </c>
      <c r="IG826">
        <v>0</v>
      </c>
      <c r="IH826">
        <v>0</v>
      </c>
      <c r="II826">
        <v>995.7</v>
      </c>
      <c r="IJ826">
        <v>1156.5999999999999</v>
      </c>
      <c r="IK826">
        <v>864.6</v>
      </c>
      <c r="IL826">
        <v>316.5</v>
      </c>
      <c r="IM826">
        <v>101.5</v>
      </c>
      <c r="IN826">
        <v>71.8</v>
      </c>
      <c r="IO826">
        <v>0</v>
      </c>
      <c r="IP826">
        <v>0</v>
      </c>
      <c r="IQ826">
        <v>0</v>
      </c>
      <c r="IR826">
        <v>0</v>
      </c>
      <c r="IS826">
        <v>0</v>
      </c>
      <c r="IT826">
        <v>0</v>
      </c>
      <c r="IU826">
        <v>0</v>
      </c>
      <c r="IV826">
        <v>0</v>
      </c>
      <c r="IW826">
        <v>68</v>
      </c>
      <c r="IX826">
        <v>404.7</v>
      </c>
      <c r="IY826">
        <v>126.6</v>
      </c>
      <c r="IZ826">
        <v>126.6</v>
      </c>
      <c r="JA826">
        <v>503.7</v>
      </c>
      <c r="JB826">
        <v>570.1</v>
      </c>
      <c r="JC826">
        <v>328.3</v>
      </c>
      <c r="JD826">
        <v>0</v>
      </c>
      <c r="JE826">
        <v>0</v>
      </c>
      <c r="JF826">
        <v>0</v>
      </c>
      <c r="JG826">
        <v>0</v>
      </c>
      <c r="JH826">
        <v>287.3</v>
      </c>
      <c r="JI826">
        <v>68.2</v>
      </c>
      <c r="JJ826">
        <v>0</v>
      </c>
      <c r="JK826">
        <v>148.6</v>
      </c>
      <c r="JL826">
        <v>0</v>
      </c>
      <c r="JM826">
        <v>0</v>
      </c>
      <c r="JN826">
        <v>204.5</v>
      </c>
      <c r="JO826">
        <v>292.10000000000002</v>
      </c>
      <c r="JP826">
        <v>670.8</v>
      </c>
      <c r="JQ826">
        <v>745.2</v>
      </c>
      <c r="JR826">
        <v>242.9</v>
      </c>
    </row>
    <row r="827" spans="2:278" ht="18" thickBot="1">
      <c r="B827" s="524"/>
      <c r="C827" s="539"/>
      <c r="D827" s="524"/>
      <c r="E827" s="454">
        <v>22829.8</v>
      </c>
      <c r="F827">
        <v>20193.400000000001</v>
      </c>
      <c r="G827" s="427">
        <v>0</v>
      </c>
      <c r="H827" s="155">
        <v>0</v>
      </c>
      <c r="I827">
        <v>0</v>
      </c>
      <c r="J827">
        <v>0</v>
      </c>
      <c r="K827">
        <v>0</v>
      </c>
      <c r="L827" s="4">
        <v>0</v>
      </c>
      <c r="M827" s="4">
        <v>0</v>
      </c>
      <c r="N827" s="4">
        <v>0</v>
      </c>
      <c r="O827" s="4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1476.4</v>
      </c>
      <c r="X827">
        <v>1482</v>
      </c>
      <c r="Y827">
        <v>457.20000000000005</v>
      </c>
      <c r="Z827">
        <v>0</v>
      </c>
      <c r="AA827">
        <v>0</v>
      </c>
      <c r="AB827">
        <v>0</v>
      </c>
      <c r="AC827">
        <v>0</v>
      </c>
      <c r="AD827">
        <v>3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1828.6</v>
      </c>
      <c r="AK827">
        <v>1800.7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560.70000000000005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  <c r="CF827">
        <v>0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  <c r="CN827">
        <v>0</v>
      </c>
      <c r="CO827">
        <v>0</v>
      </c>
      <c r="CP827">
        <v>3.5</v>
      </c>
      <c r="CQ827">
        <v>0</v>
      </c>
      <c r="CR827">
        <v>528</v>
      </c>
      <c r="CS827">
        <v>581.79999999999995</v>
      </c>
      <c r="CT827">
        <v>555.40000000000009</v>
      </c>
      <c r="CU827">
        <v>737.4</v>
      </c>
      <c r="CV827">
        <v>1039.0999999999999</v>
      </c>
      <c r="CW827">
        <v>1667.3</v>
      </c>
      <c r="CX827">
        <v>877.6</v>
      </c>
      <c r="CY827">
        <v>910.40000000000009</v>
      </c>
      <c r="CZ827">
        <v>0</v>
      </c>
      <c r="DA827">
        <v>0</v>
      </c>
      <c r="DB827">
        <v>0</v>
      </c>
      <c r="DC827">
        <v>0</v>
      </c>
      <c r="DD827">
        <v>0</v>
      </c>
      <c r="DE827">
        <v>0</v>
      </c>
      <c r="DF827">
        <v>0</v>
      </c>
      <c r="DG827">
        <v>0</v>
      </c>
      <c r="DH827">
        <v>0</v>
      </c>
      <c r="DI827">
        <v>0</v>
      </c>
      <c r="DJ827">
        <v>0</v>
      </c>
      <c r="DK827">
        <v>0</v>
      </c>
      <c r="DL827">
        <v>995.5</v>
      </c>
      <c r="DM827">
        <v>712.7</v>
      </c>
      <c r="DN827">
        <v>0</v>
      </c>
      <c r="DO827">
        <v>0</v>
      </c>
      <c r="DP827">
        <v>0</v>
      </c>
      <c r="DQ827">
        <v>0</v>
      </c>
      <c r="DR827">
        <v>0</v>
      </c>
      <c r="DS827">
        <v>0</v>
      </c>
      <c r="DT827">
        <v>0</v>
      </c>
      <c r="DU827">
        <v>0</v>
      </c>
      <c r="DV827">
        <v>0</v>
      </c>
      <c r="DW827">
        <v>0</v>
      </c>
      <c r="DX827">
        <v>0</v>
      </c>
      <c r="DY827">
        <v>0</v>
      </c>
      <c r="DZ827">
        <v>0</v>
      </c>
      <c r="EA827">
        <v>0</v>
      </c>
      <c r="EB827">
        <v>0</v>
      </c>
      <c r="EC827">
        <v>0</v>
      </c>
      <c r="ED827">
        <v>0</v>
      </c>
      <c r="EE827">
        <v>0</v>
      </c>
      <c r="EF827">
        <v>0</v>
      </c>
      <c r="EG827">
        <v>0</v>
      </c>
      <c r="EH827">
        <v>0</v>
      </c>
      <c r="EI827">
        <v>0</v>
      </c>
      <c r="EJ827">
        <v>0</v>
      </c>
      <c r="EK827">
        <v>0</v>
      </c>
      <c r="EL827">
        <v>0</v>
      </c>
      <c r="EM827">
        <v>0</v>
      </c>
      <c r="EN827">
        <v>27.4</v>
      </c>
      <c r="EO827">
        <v>0</v>
      </c>
      <c r="EP827">
        <v>1002.5</v>
      </c>
      <c r="EQ827">
        <v>0</v>
      </c>
      <c r="ER827">
        <v>494</v>
      </c>
      <c r="ES827">
        <v>0</v>
      </c>
      <c r="ET827">
        <v>699.3</v>
      </c>
      <c r="EU827">
        <v>435.4</v>
      </c>
      <c r="EV827">
        <v>0</v>
      </c>
      <c r="EW827">
        <v>0</v>
      </c>
      <c r="EX827">
        <v>0</v>
      </c>
      <c r="EY827">
        <v>0</v>
      </c>
      <c r="EZ827">
        <v>0</v>
      </c>
      <c r="FA827">
        <v>0</v>
      </c>
      <c r="FB827">
        <v>0</v>
      </c>
      <c r="FC827">
        <v>0</v>
      </c>
      <c r="FD827">
        <v>95.6</v>
      </c>
      <c r="FE827">
        <v>1792.1</v>
      </c>
      <c r="FF827">
        <v>1740.1999999999998</v>
      </c>
      <c r="FG827">
        <v>954.9</v>
      </c>
      <c r="FH827">
        <v>1087.8000000000002</v>
      </c>
      <c r="FI827">
        <v>1892.1</v>
      </c>
      <c r="FJ827">
        <v>1222.5</v>
      </c>
      <c r="FK827">
        <v>678.3</v>
      </c>
      <c r="FL827">
        <v>639.1</v>
      </c>
      <c r="FM827">
        <v>520.5</v>
      </c>
      <c r="FN827">
        <v>123.8</v>
      </c>
      <c r="FO827">
        <v>181.6</v>
      </c>
      <c r="FP827">
        <v>1090.5</v>
      </c>
      <c r="FQ827">
        <v>0</v>
      </c>
      <c r="FR827">
        <v>0</v>
      </c>
      <c r="FS827">
        <v>0</v>
      </c>
      <c r="FT827">
        <v>0</v>
      </c>
      <c r="FU827">
        <v>0</v>
      </c>
      <c r="FV827">
        <v>0</v>
      </c>
      <c r="FW827">
        <v>0</v>
      </c>
      <c r="FX827">
        <v>0</v>
      </c>
      <c r="FY827">
        <v>0</v>
      </c>
      <c r="FZ827">
        <v>0</v>
      </c>
      <c r="GA827">
        <v>0</v>
      </c>
      <c r="GB827">
        <v>0</v>
      </c>
      <c r="GC827">
        <v>0</v>
      </c>
      <c r="GD827">
        <v>0</v>
      </c>
      <c r="GE827">
        <v>0</v>
      </c>
      <c r="GF827">
        <v>198.3</v>
      </c>
      <c r="GG827">
        <v>1054.4000000000001</v>
      </c>
      <c r="GH827">
        <v>552.79999999999995</v>
      </c>
      <c r="GI827">
        <v>522</v>
      </c>
      <c r="GJ827">
        <v>0</v>
      </c>
      <c r="GK827">
        <v>0</v>
      </c>
      <c r="GL827">
        <v>0</v>
      </c>
      <c r="GM827">
        <v>0</v>
      </c>
      <c r="GN827">
        <v>791.40000000000009</v>
      </c>
      <c r="GO827">
        <v>1816.5</v>
      </c>
      <c r="GP827">
        <v>0</v>
      </c>
      <c r="GQ827">
        <v>0</v>
      </c>
      <c r="GR827">
        <v>0</v>
      </c>
      <c r="GS827">
        <v>0</v>
      </c>
      <c r="GT827">
        <v>0</v>
      </c>
      <c r="GU827">
        <v>0</v>
      </c>
      <c r="GV827">
        <v>0</v>
      </c>
      <c r="GW827">
        <v>0</v>
      </c>
      <c r="GX827">
        <v>0</v>
      </c>
      <c r="GY827">
        <v>840.3</v>
      </c>
      <c r="GZ827">
        <v>0</v>
      </c>
      <c r="HA827">
        <v>0</v>
      </c>
      <c r="HB827">
        <v>0</v>
      </c>
      <c r="HC827">
        <v>380.4</v>
      </c>
      <c r="HD827">
        <v>2175.5</v>
      </c>
      <c r="HE827">
        <v>0</v>
      </c>
      <c r="HF827">
        <v>0</v>
      </c>
      <c r="HG827">
        <v>0</v>
      </c>
      <c r="HH827">
        <v>0</v>
      </c>
      <c r="HI827">
        <v>0</v>
      </c>
      <c r="HJ827">
        <v>803.40000000000009</v>
      </c>
      <c r="HK827">
        <v>1270.9000000000001</v>
      </c>
      <c r="HL827">
        <v>835.7</v>
      </c>
      <c r="HM827">
        <v>1162.5999999999999</v>
      </c>
      <c r="HN827">
        <v>0</v>
      </c>
      <c r="HO827">
        <v>0</v>
      </c>
      <c r="HP827">
        <v>0</v>
      </c>
      <c r="HQ827">
        <v>0</v>
      </c>
      <c r="HR827">
        <v>161.19999999999999</v>
      </c>
      <c r="HS827">
        <v>0</v>
      </c>
      <c r="HT827">
        <v>2048.5</v>
      </c>
      <c r="HU827">
        <v>2627.5</v>
      </c>
      <c r="HV827">
        <v>1168.5999999999999</v>
      </c>
      <c r="HW827">
        <v>388</v>
      </c>
      <c r="HX827">
        <v>0</v>
      </c>
      <c r="HY827">
        <v>0</v>
      </c>
      <c r="HZ827">
        <v>0</v>
      </c>
      <c r="IA827">
        <v>0</v>
      </c>
      <c r="IB827">
        <v>0</v>
      </c>
      <c r="IC827">
        <v>594.4</v>
      </c>
      <c r="ID827">
        <v>427.4</v>
      </c>
      <c r="IE827">
        <v>713.3</v>
      </c>
      <c r="IF827">
        <v>626.1</v>
      </c>
      <c r="IG827">
        <v>0</v>
      </c>
      <c r="IH827">
        <v>0</v>
      </c>
      <c r="II827">
        <v>995.7</v>
      </c>
      <c r="IJ827">
        <v>1156.5999999999999</v>
      </c>
      <c r="IK827">
        <v>864.6</v>
      </c>
      <c r="IL827">
        <v>316.5</v>
      </c>
      <c r="IM827">
        <v>101.5</v>
      </c>
      <c r="IN827">
        <v>71.8</v>
      </c>
      <c r="IO827">
        <v>0</v>
      </c>
      <c r="IP827">
        <v>0</v>
      </c>
      <c r="IQ827">
        <v>0</v>
      </c>
      <c r="IR827">
        <v>0</v>
      </c>
      <c r="IS827">
        <v>0</v>
      </c>
      <c r="IT827">
        <v>0</v>
      </c>
      <c r="IU827">
        <v>0</v>
      </c>
      <c r="IV827">
        <v>0</v>
      </c>
      <c r="IW827">
        <v>68</v>
      </c>
      <c r="IX827">
        <v>404.7</v>
      </c>
      <c r="IY827">
        <v>126.6</v>
      </c>
      <c r="IZ827">
        <v>126.6</v>
      </c>
      <c r="JA827">
        <v>503.7</v>
      </c>
      <c r="JB827">
        <v>570.1</v>
      </c>
      <c r="JC827">
        <v>328.3</v>
      </c>
      <c r="JD827">
        <v>0</v>
      </c>
      <c r="JE827">
        <v>0</v>
      </c>
      <c r="JF827">
        <v>0</v>
      </c>
      <c r="JG827">
        <v>0</v>
      </c>
      <c r="JH827">
        <v>287.3</v>
      </c>
      <c r="JI827">
        <v>68.2</v>
      </c>
      <c r="JJ827">
        <v>0</v>
      </c>
      <c r="JK827">
        <v>148.6</v>
      </c>
      <c r="JL827">
        <v>0</v>
      </c>
      <c r="JM827">
        <v>0</v>
      </c>
      <c r="JN827">
        <v>204.5</v>
      </c>
      <c r="JO827">
        <v>292.10000000000002</v>
      </c>
      <c r="JP827">
        <v>670.8</v>
      </c>
      <c r="JQ827">
        <v>745.2</v>
      </c>
      <c r="JR827">
        <v>242.9</v>
      </c>
    </row>
    <row r="828" spans="2:278" ht="18" thickBot="1">
      <c r="B828" s="523"/>
      <c r="C828" s="518"/>
      <c r="D828" s="523"/>
      <c r="E828" s="454">
        <v>22829.8</v>
      </c>
      <c r="F828">
        <v>20193.400000000001</v>
      </c>
      <c r="G828" s="427">
        <v>0</v>
      </c>
      <c r="H828" s="155">
        <v>0</v>
      </c>
      <c r="I828">
        <v>0</v>
      </c>
      <c r="J828">
        <v>0</v>
      </c>
      <c r="K828">
        <v>0</v>
      </c>
      <c r="L828" s="4">
        <v>0</v>
      </c>
      <c r="M828" s="4">
        <v>0</v>
      </c>
      <c r="N828" s="4">
        <v>0</v>
      </c>
      <c r="O828" s="4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1476.4</v>
      </c>
      <c r="X828">
        <v>1482</v>
      </c>
      <c r="Y828">
        <v>457.20000000000005</v>
      </c>
      <c r="Z828">
        <v>0</v>
      </c>
      <c r="AA828">
        <v>0</v>
      </c>
      <c r="AB828">
        <v>0</v>
      </c>
      <c r="AC828">
        <v>0</v>
      </c>
      <c r="AD828">
        <v>3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1828.6</v>
      </c>
      <c r="AK828">
        <v>1800.7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560.70000000000005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  <c r="CN828">
        <v>0</v>
      </c>
      <c r="CO828">
        <v>0</v>
      </c>
      <c r="CP828">
        <v>3.5</v>
      </c>
      <c r="CQ828">
        <v>0</v>
      </c>
      <c r="CR828">
        <v>528</v>
      </c>
      <c r="CS828">
        <v>581.79999999999995</v>
      </c>
      <c r="CT828">
        <v>555.40000000000009</v>
      </c>
      <c r="CU828">
        <v>737.4</v>
      </c>
      <c r="CV828">
        <v>1039.0999999999999</v>
      </c>
      <c r="CW828">
        <v>1667.3</v>
      </c>
      <c r="CX828">
        <v>877.6</v>
      </c>
      <c r="CY828">
        <v>910.40000000000009</v>
      </c>
      <c r="CZ828">
        <v>0</v>
      </c>
      <c r="DA828">
        <v>0</v>
      </c>
      <c r="DB828">
        <v>0</v>
      </c>
      <c r="DC828">
        <v>0</v>
      </c>
      <c r="DD828">
        <v>0</v>
      </c>
      <c r="DE828">
        <v>0</v>
      </c>
      <c r="DF828">
        <v>0</v>
      </c>
      <c r="DG828">
        <v>0</v>
      </c>
      <c r="DH828">
        <v>0</v>
      </c>
      <c r="DI828">
        <v>0</v>
      </c>
      <c r="DJ828">
        <v>0</v>
      </c>
      <c r="DK828">
        <v>0</v>
      </c>
      <c r="DL828">
        <v>995.5</v>
      </c>
      <c r="DM828">
        <v>712.7</v>
      </c>
      <c r="DN828">
        <v>0</v>
      </c>
      <c r="DO828">
        <v>0</v>
      </c>
      <c r="DP828">
        <v>0</v>
      </c>
      <c r="DQ828">
        <v>0</v>
      </c>
      <c r="DR828">
        <v>0</v>
      </c>
      <c r="DS828">
        <v>0</v>
      </c>
      <c r="DT828">
        <v>0</v>
      </c>
      <c r="DU828">
        <v>0</v>
      </c>
      <c r="DV828">
        <v>0</v>
      </c>
      <c r="DW828">
        <v>0</v>
      </c>
      <c r="DX828">
        <v>0</v>
      </c>
      <c r="DY828">
        <v>0</v>
      </c>
      <c r="DZ828">
        <v>0</v>
      </c>
      <c r="EA828">
        <v>0</v>
      </c>
      <c r="EB828">
        <v>0</v>
      </c>
      <c r="EC828">
        <v>0</v>
      </c>
      <c r="ED828">
        <v>0</v>
      </c>
      <c r="EE828">
        <v>0</v>
      </c>
      <c r="EF828">
        <v>0</v>
      </c>
      <c r="EG828">
        <v>0</v>
      </c>
      <c r="EH828">
        <v>0</v>
      </c>
      <c r="EI828">
        <v>0</v>
      </c>
      <c r="EJ828">
        <v>0</v>
      </c>
      <c r="EK828">
        <v>0</v>
      </c>
      <c r="EL828">
        <v>0</v>
      </c>
      <c r="EM828">
        <v>0</v>
      </c>
      <c r="EN828">
        <v>27.4</v>
      </c>
      <c r="EO828">
        <v>0</v>
      </c>
      <c r="EP828">
        <v>1002.5</v>
      </c>
      <c r="EQ828">
        <v>0</v>
      </c>
      <c r="ER828">
        <v>494</v>
      </c>
      <c r="ES828">
        <v>0</v>
      </c>
      <c r="ET828">
        <v>699.3</v>
      </c>
      <c r="EU828">
        <v>435.4</v>
      </c>
      <c r="EV828">
        <v>0</v>
      </c>
      <c r="EW828">
        <v>0</v>
      </c>
      <c r="EX828">
        <v>0</v>
      </c>
      <c r="EY828">
        <v>0</v>
      </c>
      <c r="EZ828">
        <v>0</v>
      </c>
      <c r="FA828">
        <v>0</v>
      </c>
      <c r="FB828">
        <v>0</v>
      </c>
      <c r="FC828">
        <v>0</v>
      </c>
      <c r="FD828">
        <v>95.6</v>
      </c>
      <c r="FE828">
        <v>1792.1</v>
      </c>
      <c r="FF828">
        <v>1740.1999999999998</v>
      </c>
      <c r="FG828">
        <v>954.9</v>
      </c>
      <c r="FH828">
        <v>1087.8000000000002</v>
      </c>
      <c r="FI828">
        <v>1892.1</v>
      </c>
      <c r="FJ828">
        <v>1222.5</v>
      </c>
      <c r="FK828">
        <v>678.3</v>
      </c>
      <c r="FL828">
        <v>639.1</v>
      </c>
      <c r="FM828">
        <v>520.5</v>
      </c>
      <c r="FN828">
        <v>123.8</v>
      </c>
      <c r="FO828">
        <v>181.6</v>
      </c>
      <c r="FP828">
        <v>1090.5</v>
      </c>
      <c r="FQ828">
        <v>0</v>
      </c>
      <c r="FR828">
        <v>0</v>
      </c>
      <c r="FS828">
        <v>0</v>
      </c>
      <c r="FT828">
        <v>0</v>
      </c>
      <c r="FU828">
        <v>0</v>
      </c>
      <c r="FV828">
        <v>0</v>
      </c>
      <c r="FW828">
        <v>0</v>
      </c>
      <c r="FX828">
        <v>0</v>
      </c>
      <c r="FY828">
        <v>0</v>
      </c>
      <c r="FZ828">
        <v>0</v>
      </c>
      <c r="GA828">
        <v>0</v>
      </c>
      <c r="GB828">
        <v>0</v>
      </c>
      <c r="GC828">
        <v>0</v>
      </c>
      <c r="GD828">
        <v>0</v>
      </c>
      <c r="GE828">
        <v>0</v>
      </c>
      <c r="GF828">
        <v>198.3</v>
      </c>
      <c r="GG828">
        <v>1054.4000000000001</v>
      </c>
      <c r="GH828">
        <v>552.79999999999995</v>
      </c>
      <c r="GI828">
        <v>522</v>
      </c>
      <c r="GJ828">
        <v>0</v>
      </c>
      <c r="GK828">
        <v>0</v>
      </c>
      <c r="GL828">
        <v>0</v>
      </c>
      <c r="GM828">
        <v>0</v>
      </c>
      <c r="GN828">
        <v>791.40000000000009</v>
      </c>
      <c r="GO828">
        <v>1816.5</v>
      </c>
      <c r="GP828">
        <v>0</v>
      </c>
      <c r="GQ828">
        <v>0</v>
      </c>
      <c r="GR828">
        <v>0</v>
      </c>
      <c r="GS828">
        <v>0</v>
      </c>
      <c r="GT828">
        <v>0</v>
      </c>
      <c r="GU828">
        <v>0</v>
      </c>
      <c r="GV828">
        <v>0</v>
      </c>
      <c r="GW828">
        <v>0</v>
      </c>
      <c r="GX828">
        <v>0</v>
      </c>
      <c r="GY828">
        <v>840.3</v>
      </c>
      <c r="GZ828">
        <v>0</v>
      </c>
      <c r="HA828">
        <v>0</v>
      </c>
      <c r="HB828">
        <v>0</v>
      </c>
      <c r="HC828">
        <v>380.4</v>
      </c>
      <c r="HD828">
        <v>2175.5</v>
      </c>
      <c r="HE828">
        <v>0</v>
      </c>
      <c r="HF828">
        <v>0</v>
      </c>
      <c r="HG828">
        <v>0</v>
      </c>
      <c r="HH828">
        <v>0</v>
      </c>
      <c r="HI828">
        <v>0</v>
      </c>
      <c r="HJ828">
        <v>803.40000000000009</v>
      </c>
      <c r="HK828">
        <v>1270.9000000000001</v>
      </c>
      <c r="HL828">
        <v>835.7</v>
      </c>
      <c r="HM828">
        <v>1162.5999999999999</v>
      </c>
      <c r="HN828">
        <v>0</v>
      </c>
      <c r="HO828">
        <v>0</v>
      </c>
      <c r="HP828">
        <v>0</v>
      </c>
      <c r="HQ828">
        <v>0</v>
      </c>
      <c r="HR828">
        <v>161.19999999999999</v>
      </c>
      <c r="HS828">
        <v>0</v>
      </c>
      <c r="HT828">
        <v>2048.5</v>
      </c>
      <c r="HU828">
        <v>2627.5</v>
      </c>
      <c r="HV828">
        <v>1168.5999999999999</v>
      </c>
      <c r="HW828">
        <v>388</v>
      </c>
      <c r="HX828">
        <v>0</v>
      </c>
      <c r="HY828">
        <v>0</v>
      </c>
      <c r="HZ828">
        <v>0</v>
      </c>
      <c r="IA828">
        <v>0</v>
      </c>
      <c r="IB828">
        <v>0</v>
      </c>
      <c r="IC828">
        <v>594.4</v>
      </c>
      <c r="ID828">
        <v>427.4</v>
      </c>
      <c r="IE828">
        <v>713.3</v>
      </c>
      <c r="IF828">
        <v>626.1</v>
      </c>
      <c r="IG828">
        <v>0</v>
      </c>
      <c r="IH828">
        <v>0</v>
      </c>
      <c r="II828">
        <v>995.7</v>
      </c>
      <c r="IJ828">
        <v>1156.5999999999999</v>
      </c>
      <c r="IK828">
        <v>864.6</v>
      </c>
      <c r="IL828">
        <v>316.5</v>
      </c>
      <c r="IM828">
        <v>101.5</v>
      </c>
      <c r="IN828">
        <v>71.8</v>
      </c>
      <c r="IO828">
        <v>0</v>
      </c>
      <c r="IP828">
        <v>0</v>
      </c>
      <c r="IQ828">
        <v>0</v>
      </c>
      <c r="IR828">
        <v>0</v>
      </c>
      <c r="IS828">
        <v>0</v>
      </c>
      <c r="IT828">
        <v>0</v>
      </c>
      <c r="IU828">
        <v>0</v>
      </c>
      <c r="IV828">
        <v>0</v>
      </c>
      <c r="IW828">
        <v>68</v>
      </c>
      <c r="IX828">
        <v>404.7</v>
      </c>
      <c r="IY828">
        <v>126.6</v>
      </c>
      <c r="IZ828">
        <v>126.6</v>
      </c>
      <c r="JA828">
        <v>503.7</v>
      </c>
      <c r="JB828">
        <v>570.1</v>
      </c>
      <c r="JC828">
        <v>328.3</v>
      </c>
      <c r="JD828">
        <v>0</v>
      </c>
      <c r="JE828">
        <v>0</v>
      </c>
      <c r="JF828">
        <v>0</v>
      </c>
      <c r="JG828">
        <v>0</v>
      </c>
      <c r="JH828">
        <v>287.3</v>
      </c>
      <c r="JI828">
        <v>68.2</v>
      </c>
      <c r="JJ828">
        <v>0</v>
      </c>
      <c r="JK828">
        <v>148.6</v>
      </c>
      <c r="JL828">
        <v>0</v>
      </c>
      <c r="JM828">
        <v>0</v>
      </c>
      <c r="JN828">
        <v>204.5</v>
      </c>
      <c r="JO828">
        <v>292.10000000000002</v>
      </c>
      <c r="JP828">
        <v>670.8</v>
      </c>
      <c r="JQ828">
        <v>745.2</v>
      </c>
      <c r="JR828">
        <v>242.9</v>
      </c>
    </row>
    <row r="829" spans="2:278" ht="18" thickBot="1">
      <c r="B829" s="368" t="s">
        <v>948</v>
      </c>
      <c r="C829" s="411" t="s">
        <v>1520</v>
      </c>
      <c r="D829" s="368" t="s">
        <v>1396</v>
      </c>
      <c r="E829" s="454">
        <v>22829.8</v>
      </c>
      <c r="F829">
        <v>20193.400000000001</v>
      </c>
      <c r="G829" s="427">
        <v>0</v>
      </c>
      <c r="H829" s="155">
        <v>0</v>
      </c>
      <c r="I829">
        <v>0</v>
      </c>
      <c r="J829">
        <v>0</v>
      </c>
      <c r="K829">
        <v>0</v>
      </c>
      <c r="L829" s="4">
        <v>0</v>
      </c>
      <c r="M829" s="4">
        <v>0</v>
      </c>
      <c r="N829" s="4">
        <v>0</v>
      </c>
      <c r="O829" s="4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1476.4</v>
      </c>
      <c r="X829">
        <v>1482</v>
      </c>
      <c r="Y829">
        <v>457.20000000000005</v>
      </c>
      <c r="Z829">
        <v>0</v>
      </c>
      <c r="AA829">
        <v>0</v>
      </c>
      <c r="AB829">
        <v>0</v>
      </c>
      <c r="AC829">
        <v>0</v>
      </c>
      <c r="AD829">
        <v>3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1828.6</v>
      </c>
      <c r="AK829">
        <v>1800.7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560.70000000000005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  <c r="CN829">
        <v>0</v>
      </c>
      <c r="CO829">
        <v>0</v>
      </c>
      <c r="CP829">
        <v>3.5</v>
      </c>
      <c r="CQ829">
        <v>0</v>
      </c>
      <c r="CR829">
        <v>528</v>
      </c>
      <c r="CS829">
        <v>581.79999999999995</v>
      </c>
      <c r="CT829">
        <v>555.40000000000009</v>
      </c>
      <c r="CU829">
        <v>737.4</v>
      </c>
      <c r="CV829">
        <v>1039.0999999999999</v>
      </c>
      <c r="CW829">
        <v>1667.3</v>
      </c>
      <c r="CX829">
        <v>877.6</v>
      </c>
      <c r="CY829">
        <v>910.40000000000009</v>
      </c>
      <c r="CZ829">
        <v>0</v>
      </c>
      <c r="DA829">
        <v>0</v>
      </c>
      <c r="DB829">
        <v>0</v>
      </c>
      <c r="DC829">
        <v>0</v>
      </c>
      <c r="DD829">
        <v>0</v>
      </c>
      <c r="DE829">
        <v>0</v>
      </c>
      <c r="DF829">
        <v>0</v>
      </c>
      <c r="DG829">
        <v>0</v>
      </c>
      <c r="DH829">
        <v>0</v>
      </c>
      <c r="DI829">
        <v>0</v>
      </c>
      <c r="DJ829">
        <v>0</v>
      </c>
      <c r="DK829">
        <v>0</v>
      </c>
      <c r="DL829">
        <v>995.5</v>
      </c>
      <c r="DM829">
        <v>712.7</v>
      </c>
      <c r="DN829">
        <v>0</v>
      </c>
      <c r="DO829">
        <v>0</v>
      </c>
      <c r="DP829">
        <v>0</v>
      </c>
      <c r="DQ829">
        <v>0</v>
      </c>
      <c r="DR829">
        <v>0</v>
      </c>
      <c r="DS829">
        <v>0</v>
      </c>
      <c r="DT829">
        <v>0</v>
      </c>
      <c r="DU829">
        <v>0</v>
      </c>
      <c r="DV829">
        <v>0</v>
      </c>
      <c r="DW829">
        <v>0</v>
      </c>
      <c r="DX829">
        <v>0</v>
      </c>
      <c r="DY829">
        <v>0</v>
      </c>
      <c r="DZ829">
        <v>0</v>
      </c>
      <c r="EA829">
        <v>0</v>
      </c>
      <c r="EB829">
        <v>0</v>
      </c>
      <c r="EC829">
        <v>0</v>
      </c>
      <c r="ED829">
        <v>0</v>
      </c>
      <c r="EE829">
        <v>0</v>
      </c>
      <c r="EF829">
        <v>0</v>
      </c>
      <c r="EG829">
        <v>0</v>
      </c>
      <c r="EH829">
        <v>0</v>
      </c>
      <c r="EI829">
        <v>0</v>
      </c>
      <c r="EJ829">
        <v>0</v>
      </c>
      <c r="EK829">
        <v>0</v>
      </c>
      <c r="EL829">
        <v>0</v>
      </c>
      <c r="EM829">
        <v>0</v>
      </c>
      <c r="EN829">
        <v>27.4</v>
      </c>
      <c r="EO829">
        <v>0</v>
      </c>
      <c r="EP829">
        <v>1002.5</v>
      </c>
      <c r="EQ829">
        <v>0</v>
      </c>
      <c r="ER829">
        <v>494</v>
      </c>
      <c r="ES829">
        <v>0</v>
      </c>
      <c r="ET829">
        <v>699.3</v>
      </c>
      <c r="EU829">
        <v>435.4</v>
      </c>
      <c r="EV829">
        <v>0</v>
      </c>
      <c r="EW829">
        <v>0</v>
      </c>
      <c r="EX829">
        <v>0</v>
      </c>
      <c r="EY829">
        <v>0</v>
      </c>
      <c r="EZ829">
        <v>0</v>
      </c>
      <c r="FA829">
        <v>0</v>
      </c>
      <c r="FB829">
        <v>0</v>
      </c>
      <c r="FC829">
        <v>0</v>
      </c>
      <c r="FD829">
        <v>95.6</v>
      </c>
      <c r="FE829">
        <v>1792.1</v>
      </c>
      <c r="FF829">
        <v>1740.1999999999998</v>
      </c>
      <c r="FG829">
        <v>954.9</v>
      </c>
      <c r="FH829">
        <v>1087.8000000000002</v>
      </c>
      <c r="FI829">
        <v>1892.1</v>
      </c>
      <c r="FJ829">
        <v>1222.5</v>
      </c>
      <c r="FK829">
        <v>678.3</v>
      </c>
      <c r="FL829">
        <v>639.1</v>
      </c>
      <c r="FM829">
        <v>520.5</v>
      </c>
      <c r="FN829">
        <v>123.8</v>
      </c>
      <c r="FO829">
        <v>181.6</v>
      </c>
      <c r="FP829">
        <v>1090.5</v>
      </c>
      <c r="FQ829">
        <v>0</v>
      </c>
      <c r="FR829">
        <v>0</v>
      </c>
      <c r="FS829">
        <v>0</v>
      </c>
      <c r="FT829">
        <v>0</v>
      </c>
      <c r="FU829">
        <v>0</v>
      </c>
      <c r="FV829">
        <v>0</v>
      </c>
      <c r="FW829">
        <v>0</v>
      </c>
      <c r="FX829">
        <v>0</v>
      </c>
      <c r="FY829">
        <v>0</v>
      </c>
      <c r="FZ829">
        <v>0</v>
      </c>
      <c r="GA829">
        <v>0</v>
      </c>
      <c r="GB829">
        <v>0</v>
      </c>
      <c r="GC829">
        <v>0</v>
      </c>
      <c r="GD829">
        <v>0</v>
      </c>
      <c r="GE829">
        <v>0</v>
      </c>
      <c r="GF829">
        <v>198.3</v>
      </c>
      <c r="GG829">
        <v>1054.4000000000001</v>
      </c>
      <c r="GH829">
        <v>552.79999999999995</v>
      </c>
      <c r="GI829">
        <v>522</v>
      </c>
      <c r="GJ829">
        <v>0</v>
      </c>
      <c r="GK829">
        <v>0</v>
      </c>
      <c r="GL829">
        <v>0</v>
      </c>
      <c r="GM829">
        <v>0</v>
      </c>
      <c r="GN829">
        <v>791.40000000000009</v>
      </c>
      <c r="GO829">
        <v>1816.5</v>
      </c>
      <c r="GP829">
        <v>0</v>
      </c>
      <c r="GQ829">
        <v>0</v>
      </c>
      <c r="GR829">
        <v>0</v>
      </c>
      <c r="GS829">
        <v>0</v>
      </c>
      <c r="GT829">
        <v>0</v>
      </c>
      <c r="GU829">
        <v>0</v>
      </c>
      <c r="GV829">
        <v>0</v>
      </c>
      <c r="GW829">
        <v>0</v>
      </c>
      <c r="GX829">
        <v>0</v>
      </c>
      <c r="GY829">
        <v>840.3</v>
      </c>
      <c r="GZ829">
        <v>0</v>
      </c>
      <c r="HA829">
        <v>0</v>
      </c>
      <c r="HB829">
        <v>0</v>
      </c>
      <c r="HC829">
        <v>380.4</v>
      </c>
      <c r="HD829">
        <v>2175.5</v>
      </c>
      <c r="HE829">
        <v>0</v>
      </c>
      <c r="HF829">
        <v>0</v>
      </c>
      <c r="HG829">
        <v>0</v>
      </c>
      <c r="HH829">
        <v>0</v>
      </c>
      <c r="HI829">
        <v>0</v>
      </c>
      <c r="HJ829">
        <v>803.40000000000009</v>
      </c>
      <c r="HK829">
        <v>1270.9000000000001</v>
      </c>
      <c r="HL829">
        <v>835.7</v>
      </c>
      <c r="HM829">
        <v>1162.5999999999999</v>
      </c>
      <c r="HN829">
        <v>0</v>
      </c>
      <c r="HO829">
        <v>0</v>
      </c>
      <c r="HP829">
        <v>0</v>
      </c>
      <c r="HQ829">
        <v>0</v>
      </c>
      <c r="HR829">
        <v>161.19999999999999</v>
      </c>
      <c r="HS829">
        <v>0</v>
      </c>
      <c r="HT829">
        <v>2048.5</v>
      </c>
      <c r="HU829">
        <v>2627.5</v>
      </c>
      <c r="HV829">
        <v>1168.5999999999999</v>
      </c>
      <c r="HW829">
        <v>388</v>
      </c>
      <c r="HX829">
        <v>0</v>
      </c>
      <c r="HY829">
        <v>0</v>
      </c>
      <c r="HZ829">
        <v>0</v>
      </c>
      <c r="IA829">
        <v>0</v>
      </c>
      <c r="IB829">
        <v>0</v>
      </c>
      <c r="IC829">
        <v>594.4</v>
      </c>
      <c r="ID829">
        <v>427.4</v>
      </c>
      <c r="IE829">
        <v>713.3</v>
      </c>
      <c r="IF829">
        <v>626.1</v>
      </c>
      <c r="IG829">
        <v>0</v>
      </c>
      <c r="IH829">
        <v>0</v>
      </c>
      <c r="II829">
        <v>995.7</v>
      </c>
      <c r="IJ829">
        <v>1156.5999999999999</v>
      </c>
      <c r="IK829">
        <v>864.6</v>
      </c>
      <c r="IL829">
        <v>316.5</v>
      </c>
      <c r="IM829">
        <v>101.5</v>
      </c>
      <c r="IN829">
        <v>71.8</v>
      </c>
      <c r="IO829">
        <v>0</v>
      </c>
      <c r="IP829">
        <v>0</v>
      </c>
      <c r="IQ829">
        <v>0</v>
      </c>
      <c r="IR829">
        <v>0</v>
      </c>
      <c r="IS829">
        <v>0</v>
      </c>
      <c r="IT829">
        <v>0</v>
      </c>
      <c r="IU829">
        <v>0</v>
      </c>
      <c r="IV829">
        <v>0</v>
      </c>
      <c r="IW829">
        <v>68</v>
      </c>
      <c r="IX829">
        <v>404.7</v>
      </c>
      <c r="IY829">
        <v>126.6</v>
      </c>
      <c r="IZ829">
        <v>126.6</v>
      </c>
      <c r="JA829">
        <v>503.7</v>
      </c>
      <c r="JB829">
        <v>570.1</v>
      </c>
      <c r="JC829">
        <v>328.3</v>
      </c>
      <c r="JD829">
        <v>0</v>
      </c>
      <c r="JE829">
        <v>0</v>
      </c>
      <c r="JF829">
        <v>0</v>
      </c>
      <c r="JG829">
        <v>0</v>
      </c>
      <c r="JH829">
        <v>287.3</v>
      </c>
      <c r="JI829">
        <v>68.2</v>
      </c>
      <c r="JJ829">
        <v>0</v>
      </c>
      <c r="JK829">
        <v>148.6</v>
      </c>
      <c r="JL829">
        <v>0</v>
      </c>
      <c r="JM829">
        <v>0</v>
      </c>
      <c r="JN829">
        <v>204.5</v>
      </c>
      <c r="JO829">
        <v>292.10000000000002</v>
      </c>
      <c r="JP829">
        <v>670.8</v>
      </c>
      <c r="JQ829">
        <v>745.2</v>
      </c>
      <c r="JR829">
        <v>242.9</v>
      </c>
    </row>
    <row r="830" spans="2:278" ht="18" thickBot="1">
      <c r="B830" s="368" t="s">
        <v>546</v>
      </c>
      <c r="C830" s="411" t="s">
        <v>1521</v>
      </c>
      <c r="D830" s="368" t="s">
        <v>1397</v>
      </c>
      <c r="E830" s="454">
        <v>22829.8</v>
      </c>
      <c r="F830">
        <v>20193.400000000001</v>
      </c>
      <c r="G830" s="427">
        <v>0</v>
      </c>
      <c r="H830" s="155">
        <v>0</v>
      </c>
      <c r="I830">
        <v>0</v>
      </c>
      <c r="J830">
        <v>0</v>
      </c>
      <c r="K830">
        <v>0</v>
      </c>
      <c r="L830" s="4">
        <v>0</v>
      </c>
      <c r="M830" s="4">
        <v>0</v>
      </c>
      <c r="N830" s="4">
        <v>0</v>
      </c>
      <c r="O830" s="4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1476.4</v>
      </c>
      <c r="X830">
        <v>1482</v>
      </c>
      <c r="Y830">
        <v>457.20000000000005</v>
      </c>
      <c r="Z830">
        <v>0</v>
      </c>
      <c r="AA830">
        <v>0</v>
      </c>
      <c r="AB830">
        <v>0</v>
      </c>
      <c r="AC830">
        <v>0</v>
      </c>
      <c r="AD830">
        <v>3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1828.6</v>
      </c>
      <c r="AK830">
        <v>1800.7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560.70000000000005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  <c r="CF830">
        <v>0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  <c r="CN830">
        <v>0</v>
      </c>
      <c r="CO830">
        <v>0</v>
      </c>
      <c r="CP830">
        <v>3.5</v>
      </c>
      <c r="CQ830">
        <v>0</v>
      </c>
      <c r="CR830">
        <v>528</v>
      </c>
      <c r="CS830">
        <v>581.79999999999995</v>
      </c>
      <c r="CT830">
        <v>555.40000000000009</v>
      </c>
      <c r="CU830">
        <v>737.4</v>
      </c>
      <c r="CV830">
        <v>1039.0999999999999</v>
      </c>
      <c r="CW830">
        <v>1667.3</v>
      </c>
      <c r="CX830">
        <v>877.6</v>
      </c>
      <c r="CY830">
        <v>910.40000000000009</v>
      </c>
      <c r="CZ830">
        <v>0</v>
      </c>
      <c r="DA830">
        <v>0</v>
      </c>
      <c r="DB830">
        <v>0</v>
      </c>
      <c r="DC830">
        <v>0</v>
      </c>
      <c r="DD830">
        <v>0</v>
      </c>
      <c r="DE830">
        <v>0</v>
      </c>
      <c r="DF830">
        <v>0</v>
      </c>
      <c r="DG830">
        <v>0</v>
      </c>
      <c r="DH830">
        <v>0</v>
      </c>
      <c r="DI830">
        <v>0</v>
      </c>
      <c r="DJ830">
        <v>0</v>
      </c>
      <c r="DK830">
        <v>0</v>
      </c>
      <c r="DL830">
        <v>995.5</v>
      </c>
      <c r="DM830">
        <v>712.7</v>
      </c>
      <c r="DN830">
        <v>0</v>
      </c>
      <c r="DO830">
        <v>0</v>
      </c>
      <c r="DP830">
        <v>0</v>
      </c>
      <c r="DQ830">
        <v>0</v>
      </c>
      <c r="DR830">
        <v>0</v>
      </c>
      <c r="DS830">
        <v>0</v>
      </c>
      <c r="DT830">
        <v>0</v>
      </c>
      <c r="DU830">
        <v>0</v>
      </c>
      <c r="DV830">
        <v>0</v>
      </c>
      <c r="DW830">
        <v>0</v>
      </c>
      <c r="DX830">
        <v>0</v>
      </c>
      <c r="DY830">
        <v>0</v>
      </c>
      <c r="DZ830">
        <v>0</v>
      </c>
      <c r="EA830">
        <v>0</v>
      </c>
      <c r="EB830">
        <v>0</v>
      </c>
      <c r="EC830">
        <v>0</v>
      </c>
      <c r="ED830">
        <v>0</v>
      </c>
      <c r="EE830">
        <v>0</v>
      </c>
      <c r="EF830">
        <v>0</v>
      </c>
      <c r="EG830">
        <v>0</v>
      </c>
      <c r="EH830">
        <v>0</v>
      </c>
      <c r="EI830">
        <v>0</v>
      </c>
      <c r="EJ830">
        <v>0</v>
      </c>
      <c r="EK830">
        <v>0</v>
      </c>
      <c r="EL830">
        <v>0</v>
      </c>
      <c r="EM830">
        <v>0</v>
      </c>
      <c r="EN830">
        <v>27.4</v>
      </c>
      <c r="EO830">
        <v>0</v>
      </c>
      <c r="EP830">
        <v>1002.5</v>
      </c>
      <c r="EQ830">
        <v>0</v>
      </c>
      <c r="ER830">
        <v>494</v>
      </c>
      <c r="ES830">
        <v>0</v>
      </c>
      <c r="ET830">
        <v>699.3</v>
      </c>
      <c r="EU830">
        <v>435.4</v>
      </c>
      <c r="EV830">
        <v>0</v>
      </c>
      <c r="EW830">
        <v>0</v>
      </c>
      <c r="EX830">
        <v>0</v>
      </c>
      <c r="EY830">
        <v>0</v>
      </c>
      <c r="EZ830">
        <v>0</v>
      </c>
      <c r="FA830">
        <v>0</v>
      </c>
      <c r="FB830">
        <v>0</v>
      </c>
      <c r="FC830">
        <v>0</v>
      </c>
      <c r="FD830">
        <v>95.6</v>
      </c>
      <c r="FE830">
        <v>1792.1</v>
      </c>
      <c r="FF830">
        <v>1740.1999999999998</v>
      </c>
      <c r="FG830">
        <v>954.9</v>
      </c>
      <c r="FH830">
        <v>1087.8000000000002</v>
      </c>
      <c r="FI830">
        <v>1892.1</v>
      </c>
      <c r="FJ830">
        <v>1222.5</v>
      </c>
      <c r="FK830">
        <v>678.3</v>
      </c>
      <c r="FL830">
        <v>639.1</v>
      </c>
      <c r="FM830">
        <v>520.5</v>
      </c>
      <c r="FN830">
        <v>123.8</v>
      </c>
      <c r="FO830">
        <v>181.6</v>
      </c>
      <c r="FP830">
        <v>1090.5</v>
      </c>
      <c r="FQ830">
        <v>0</v>
      </c>
      <c r="FR830">
        <v>0</v>
      </c>
      <c r="FS830">
        <v>0</v>
      </c>
      <c r="FT830">
        <v>0</v>
      </c>
      <c r="FU830">
        <v>0</v>
      </c>
      <c r="FV830">
        <v>0</v>
      </c>
      <c r="FW830">
        <v>0</v>
      </c>
      <c r="FX830">
        <v>0</v>
      </c>
      <c r="FY830">
        <v>0</v>
      </c>
      <c r="FZ830">
        <v>0</v>
      </c>
      <c r="GA830">
        <v>0</v>
      </c>
      <c r="GB830">
        <v>0</v>
      </c>
      <c r="GC830">
        <v>0</v>
      </c>
      <c r="GD830">
        <v>0</v>
      </c>
      <c r="GE830">
        <v>0</v>
      </c>
      <c r="GF830">
        <v>198.3</v>
      </c>
      <c r="GG830">
        <v>1054.4000000000001</v>
      </c>
      <c r="GH830">
        <v>552.79999999999995</v>
      </c>
      <c r="GI830">
        <v>522</v>
      </c>
      <c r="GJ830">
        <v>0</v>
      </c>
      <c r="GK830">
        <v>0</v>
      </c>
      <c r="GL830">
        <v>0</v>
      </c>
      <c r="GM830">
        <v>0</v>
      </c>
      <c r="GN830">
        <v>791.40000000000009</v>
      </c>
      <c r="GO830">
        <v>1816.5</v>
      </c>
      <c r="GP830">
        <v>0</v>
      </c>
      <c r="GQ830">
        <v>0</v>
      </c>
      <c r="GR830">
        <v>0</v>
      </c>
      <c r="GS830">
        <v>0</v>
      </c>
      <c r="GT830">
        <v>0</v>
      </c>
      <c r="GU830">
        <v>0</v>
      </c>
      <c r="GV830">
        <v>0</v>
      </c>
      <c r="GW830">
        <v>0</v>
      </c>
      <c r="GX830">
        <v>0</v>
      </c>
      <c r="GY830">
        <v>840.3</v>
      </c>
      <c r="GZ830">
        <v>0</v>
      </c>
      <c r="HA830">
        <v>0</v>
      </c>
      <c r="HB830">
        <v>0</v>
      </c>
      <c r="HC830">
        <v>380.4</v>
      </c>
      <c r="HD830">
        <v>2175.5</v>
      </c>
      <c r="HE830">
        <v>0</v>
      </c>
      <c r="HF830">
        <v>0</v>
      </c>
      <c r="HG830">
        <v>0</v>
      </c>
      <c r="HH830">
        <v>0</v>
      </c>
      <c r="HI830">
        <v>0</v>
      </c>
      <c r="HJ830">
        <v>803.40000000000009</v>
      </c>
      <c r="HK830">
        <v>1270.9000000000001</v>
      </c>
      <c r="HL830">
        <v>835.7</v>
      </c>
      <c r="HM830">
        <v>1162.5999999999999</v>
      </c>
      <c r="HN830">
        <v>0</v>
      </c>
      <c r="HO830">
        <v>0</v>
      </c>
      <c r="HP830">
        <v>0</v>
      </c>
      <c r="HQ830">
        <v>0</v>
      </c>
      <c r="HR830">
        <v>161.19999999999999</v>
      </c>
      <c r="HS830">
        <v>0</v>
      </c>
      <c r="HT830">
        <v>2048.5</v>
      </c>
      <c r="HU830">
        <v>2627.5</v>
      </c>
      <c r="HV830">
        <v>1168.5999999999999</v>
      </c>
      <c r="HW830">
        <v>388</v>
      </c>
      <c r="HX830">
        <v>0</v>
      </c>
      <c r="HY830">
        <v>0</v>
      </c>
      <c r="HZ830">
        <v>0</v>
      </c>
      <c r="IA830">
        <v>0</v>
      </c>
      <c r="IB830">
        <v>0</v>
      </c>
      <c r="IC830">
        <v>594.4</v>
      </c>
      <c r="ID830">
        <v>427.4</v>
      </c>
      <c r="IE830">
        <v>713.3</v>
      </c>
      <c r="IF830">
        <v>626.1</v>
      </c>
      <c r="IG830">
        <v>0</v>
      </c>
      <c r="IH830">
        <v>0</v>
      </c>
      <c r="II830">
        <v>995.7</v>
      </c>
      <c r="IJ830">
        <v>1156.5999999999999</v>
      </c>
      <c r="IK830">
        <v>864.6</v>
      </c>
      <c r="IL830">
        <v>316.5</v>
      </c>
      <c r="IM830">
        <v>101.5</v>
      </c>
      <c r="IN830">
        <v>71.8</v>
      </c>
      <c r="IO830">
        <v>0</v>
      </c>
      <c r="IP830">
        <v>0</v>
      </c>
      <c r="IQ830">
        <v>0</v>
      </c>
      <c r="IR830">
        <v>0</v>
      </c>
      <c r="IS830">
        <v>0</v>
      </c>
      <c r="IT830">
        <v>0</v>
      </c>
      <c r="IU830">
        <v>0</v>
      </c>
      <c r="IV830">
        <v>0</v>
      </c>
      <c r="IW830">
        <v>68</v>
      </c>
      <c r="IX830">
        <v>404.7</v>
      </c>
      <c r="IY830">
        <v>126.6</v>
      </c>
      <c r="IZ830">
        <v>126.6</v>
      </c>
      <c r="JA830">
        <v>503.7</v>
      </c>
      <c r="JB830">
        <v>570.1</v>
      </c>
      <c r="JC830">
        <v>328.3</v>
      </c>
      <c r="JD830">
        <v>0</v>
      </c>
      <c r="JE830">
        <v>0</v>
      </c>
      <c r="JF830">
        <v>0</v>
      </c>
      <c r="JG830">
        <v>0</v>
      </c>
      <c r="JH830">
        <v>287.3</v>
      </c>
      <c r="JI830">
        <v>68.2</v>
      </c>
      <c r="JJ830">
        <v>0</v>
      </c>
      <c r="JK830">
        <v>148.6</v>
      </c>
      <c r="JL830">
        <v>0</v>
      </c>
      <c r="JM830">
        <v>0</v>
      </c>
      <c r="JN830">
        <v>204.5</v>
      </c>
      <c r="JO830">
        <v>292.10000000000002</v>
      </c>
      <c r="JP830">
        <v>670.8</v>
      </c>
      <c r="JQ830">
        <v>745.2</v>
      </c>
      <c r="JR830">
        <v>242.9</v>
      </c>
    </row>
    <row r="831" spans="2:278" ht="18" thickBot="1">
      <c r="B831" s="368" t="s">
        <v>949</v>
      </c>
      <c r="C831" s="411" t="s">
        <v>1522</v>
      </c>
      <c r="D831" s="368" t="s">
        <v>1398</v>
      </c>
      <c r="E831" s="454">
        <v>22829.8</v>
      </c>
      <c r="F831">
        <v>20193.400000000001</v>
      </c>
      <c r="G831" s="427">
        <v>0</v>
      </c>
      <c r="H831" s="155">
        <v>0</v>
      </c>
      <c r="I831">
        <v>0</v>
      </c>
      <c r="J831">
        <v>0</v>
      </c>
      <c r="K831">
        <v>0</v>
      </c>
      <c r="L831" s="4">
        <v>0</v>
      </c>
      <c r="M831" s="4">
        <v>0</v>
      </c>
      <c r="N831" s="4">
        <v>0</v>
      </c>
      <c r="O831" s="4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1476.4</v>
      </c>
      <c r="X831">
        <v>1482</v>
      </c>
      <c r="Y831">
        <v>457.20000000000005</v>
      </c>
      <c r="Z831">
        <v>0</v>
      </c>
      <c r="AA831">
        <v>0</v>
      </c>
      <c r="AB831">
        <v>0</v>
      </c>
      <c r="AC831">
        <v>0</v>
      </c>
      <c r="AD831">
        <v>3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1828.6</v>
      </c>
      <c r="AK831">
        <v>1800.7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560.70000000000005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  <c r="CN831">
        <v>0</v>
      </c>
      <c r="CO831">
        <v>0</v>
      </c>
      <c r="CP831">
        <v>3.5</v>
      </c>
      <c r="CQ831">
        <v>0</v>
      </c>
      <c r="CR831">
        <v>528</v>
      </c>
      <c r="CS831">
        <v>581.79999999999995</v>
      </c>
      <c r="CT831">
        <v>555.40000000000009</v>
      </c>
      <c r="CU831">
        <v>737.4</v>
      </c>
      <c r="CV831">
        <v>1039.0999999999999</v>
      </c>
      <c r="CW831">
        <v>1667.3</v>
      </c>
      <c r="CX831">
        <v>877.6</v>
      </c>
      <c r="CY831">
        <v>910.40000000000009</v>
      </c>
      <c r="CZ831">
        <v>0</v>
      </c>
      <c r="DA831">
        <v>0</v>
      </c>
      <c r="DB831">
        <v>0</v>
      </c>
      <c r="DC831">
        <v>0</v>
      </c>
      <c r="DD831">
        <v>0</v>
      </c>
      <c r="DE831">
        <v>0</v>
      </c>
      <c r="DF831">
        <v>0</v>
      </c>
      <c r="DG831">
        <v>0</v>
      </c>
      <c r="DH831">
        <v>0</v>
      </c>
      <c r="DI831">
        <v>0</v>
      </c>
      <c r="DJ831">
        <v>0</v>
      </c>
      <c r="DK831">
        <v>0</v>
      </c>
      <c r="DL831">
        <v>995.5</v>
      </c>
      <c r="DM831">
        <v>712.7</v>
      </c>
      <c r="DN831">
        <v>0</v>
      </c>
      <c r="DO831">
        <v>0</v>
      </c>
      <c r="DP831">
        <v>0</v>
      </c>
      <c r="DQ831">
        <v>0</v>
      </c>
      <c r="DR831">
        <v>0</v>
      </c>
      <c r="DS831">
        <v>0</v>
      </c>
      <c r="DT831">
        <v>0</v>
      </c>
      <c r="DU831">
        <v>0</v>
      </c>
      <c r="DV831">
        <v>0</v>
      </c>
      <c r="DW831">
        <v>0</v>
      </c>
      <c r="DX831">
        <v>0</v>
      </c>
      <c r="DY831">
        <v>0</v>
      </c>
      <c r="DZ831">
        <v>0</v>
      </c>
      <c r="EA831">
        <v>0</v>
      </c>
      <c r="EB831">
        <v>0</v>
      </c>
      <c r="EC831">
        <v>0</v>
      </c>
      <c r="ED831">
        <v>0</v>
      </c>
      <c r="EE831">
        <v>0</v>
      </c>
      <c r="EF831">
        <v>0</v>
      </c>
      <c r="EG831">
        <v>0</v>
      </c>
      <c r="EH831">
        <v>0</v>
      </c>
      <c r="EI831">
        <v>0</v>
      </c>
      <c r="EJ831">
        <v>0</v>
      </c>
      <c r="EK831">
        <v>0</v>
      </c>
      <c r="EL831">
        <v>0</v>
      </c>
      <c r="EM831">
        <v>0</v>
      </c>
      <c r="EN831">
        <v>27.4</v>
      </c>
      <c r="EO831">
        <v>0</v>
      </c>
      <c r="EP831">
        <v>1002.5</v>
      </c>
      <c r="EQ831">
        <v>0</v>
      </c>
      <c r="ER831">
        <v>494</v>
      </c>
      <c r="ES831">
        <v>0</v>
      </c>
      <c r="ET831">
        <v>699.3</v>
      </c>
      <c r="EU831">
        <v>435.4</v>
      </c>
      <c r="EV831">
        <v>0</v>
      </c>
      <c r="EW831">
        <v>0</v>
      </c>
      <c r="EX831">
        <v>0</v>
      </c>
      <c r="EY831">
        <v>0</v>
      </c>
      <c r="EZ831">
        <v>0</v>
      </c>
      <c r="FA831">
        <v>0</v>
      </c>
      <c r="FB831">
        <v>0</v>
      </c>
      <c r="FC831">
        <v>0</v>
      </c>
      <c r="FD831">
        <v>95.6</v>
      </c>
      <c r="FE831">
        <v>1792.1</v>
      </c>
      <c r="FF831">
        <v>1740.1999999999998</v>
      </c>
      <c r="FG831">
        <v>954.9</v>
      </c>
      <c r="FH831">
        <v>1087.8000000000002</v>
      </c>
      <c r="FI831">
        <v>1892.1</v>
      </c>
      <c r="FJ831">
        <v>1222.5</v>
      </c>
      <c r="FK831">
        <v>678.3</v>
      </c>
      <c r="FL831">
        <v>639.1</v>
      </c>
      <c r="FM831">
        <v>520.5</v>
      </c>
      <c r="FN831">
        <v>123.8</v>
      </c>
      <c r="FO831">
        <v>181.6</v>
      </c>
      <c r="FP831">
        <v>1090.5</v>
      </c>
      <c r="FQ831">
        <v>0</v>
      </c>
      <c r="FR831">
        <v>0</v>
      </c>
      <c r="FS831">
        <v>0</v>
      </c>
      <c r="FT831">
        <v>0</v>
      </c>
      <c r="FU831">
        <v>0</v>
      </c>
      <c r="FV831">
        <v>0</v>
      </c>
      <c r="FW831">
        <v>0</v>
      </c>
      <c r="FX831">
        <v>0</v>
      </c>
      <c r="FY831">
        <v>0</v>
      </c>
      <c r="FZ831">
        <v>0</v>
      </c>
      <c r="GA831">
        <v>0</v>
      </c>
      <c r="GB831">
        <v>0</v>
      </c>
      <c r="GC831">
        <v>0</v>
      </c>
      <c r="GD831">
        <v>0</v>
      </c>
      <c r="GE831">
        <v>0</v>
      </c>
      <c r="GF831">
        <v>198.3</v>
      </c>
      <c r="GG831">
        <v>1054.4000000000001</v>
      </c>
      <c r="GH831">
        <v>552.79999999999995</v>
      </c>
      <c r="GI831">
        <v>522</v>
      </c>
      <c r="GJ831">
        <v>0</v>
      </c>
      <c r="GK831">
        <v>0</v>
      </c>
      <c r="GL831">
        <v>0</v>
      </c>
      <c r="GM831">
        <v>0</v>
      </c>
      <c r="GN831">
        <v>791.40000000000009</v>
      </c>
      <c r="GO831">
        <v>1816.5</v>
      </c>
      <c r="GP831">
        <v>0</v>
      </c>
      <c r="GQ831">
        <v>0</v>
      </c>
      <c r="GR831">
        <v>0</v>
      </c>
      <c r="GS831">
        <v>0</v>
      </c>
      <c r="GT831">
        <v>0</v>
      </c>
      <c r="GU831">
        <v>0</v>
      </c>
      <c r="GV831">
        <v>0</v>
      </c>
      <c r="GW831">
        <v>0</v>
      </c>
      <c r="GX831">
        <v>0</v>
      </c>
      <c r="GY831">
        <v>840.3</v>
      </c>
      <c r="GZ831">
        <v>0</v>
      </c>
      <c r="HA831">
        <v>0</v>
      </c>
      <c r="HB831">
        <v>0</v>
      </c>
      <c r="HC831">
        <v>380.4</v>
      </c>
      <c r="HD831">
        <v>2175.5</v>
      </c>
      <c r="HE831">
        <v>0</v>
      </c>
      <c r="HF831">
        <v>0</v>
      </c>
      <c r="HG831">
        <v>0</v>
      </c>
      <c r="HH831">
        <v>0</v>
      </c>
      <c r="HI831">
        <v>0</v>
      </c>
      <c r="HJ831">
        <v>803.40000000000009</v>
      </c>
      <c r="HK831">
        <v>1270.9000000000001</v>
      </c>
      <c r="HL831">
        <v>835.7</v>
      </c>
      <c r="HM831">
        <v>1162.5999999999999</v>
      </c>
      <c r="HN831">
        <v>0</v>
      </c>
      <c r="HO831">
        <v>0</v>
      </c>
      <c r="HP831">
        <v>0</v>
      </c>
      <c r="HQ831">
        <v>0</v>
      </c>
      <c r="HR831">
        <v>161.19999999999999</v>
      </c>
      <c r="HS831">
        <v>0</v>
      </c>
      <c r="HT831">
        <v>2048.5</v>
      </c>
      <c r="HU831">
        <v>2627.5</v>
      </c>
      <c r="HV831">
        <v>1168.5999999999999</v>
      </c>
      <c r="HW831">
        <v>388</v>
      </c>
      <c r="HX831">
        <v>0</v>
      </c>
      <c r="HY831">
        <v>0</v>
      </c>
      <c r="HZ831">
        <v>0</v>
      </c>
      <c r="IA831">
        <v>0</v>
      </c>
      <c r="IB831">
        <v>0</v>
      </c>
      <c r="IC831">
        <v>594.4</v>
      </c>
      <c r="ID831">
        <v>427.4</v>
      </c>
      <c r="IE831">
        <v>713.3</v>
      </c>
      <c r="IF831">
        <v>626.1</v>
      </c>
      <c r="IG831">
        <v>0</v>
      </c>
      <c r="IH831">
        <v>0</v>
      </c>
      <c r="II831">
        <v>995.7</v>
      </c>
      <c r="IJ831">
        <v>1156.5999999999999</v>
      </c>
      <c r="IK831">
        <v>864.6</v>
      </c>
      <c r="IL831">
        <v>316.5</v>
      </c>
      <c r="IM831">
        <v>101.5</v>
      </c>
      <c r="IN831">
        <v>71.8</v>
      </c>
      <c r="IO831">
        <v>0</v>
      </c>
      <c r="IP831">
        <v>0</v>
      </c>
      <c r="IQ831">
        <v>0</v>
      </c>
      <c r="IR831">
        <v>0</v>
      </c>
      <c r="IS831">
        <v>0</v>
      </c>
      <c r="IT831">
        <v>0</v>
      </c>
      <c r="IU831">
        <v>0</v>
      </c>
      <c r="IV831">
        <v>0</v>
      </c>
      <c r="IW831">
        <v>68</v>
      </c>
      <c r="IX831">
        <v>404.7</v>
      </c>
      <c r="IY831">
        <v>126.6</v>
      </c>
      <c r="IZ831">
        <v>126.6</v>
      </c>
      <c r="JA831">
        <v>503.7</v>
      </c>
      <c r="JB831">
        <v>570.1</v>
      </c>
      <c r="JC831">
        <v>328.3</v>
      </c>
      <c r="JD831">
        <v>0</v>
      </c>
      <c r="JE831">
        <v>0</v>
      </c>
      <c r="JF831">
        <v>0</v>
      </c>
      <c r="JG831">
        <v>0</v>
      </c>
      <c r="JH831">
        <v>287.3</v>
      </c>
      <c r="JI831">
        <v>68.2</v>
      </c>
      <c r="JJ831">
        <v>0</v>
      </c>
      <c r="JK831">
        <v>148.6</v>
      </c>
      <c r="JL831">
        <v>0</v>
      </c>
      <c r="JM831">
        <v>0</v>
      </c>
      <c r="JN831">
        <v>204.5</v>
      </c>
      <c r="JO831">
        <v>292.10000000000002</v>
      </c>
      <c r="JP831">
        <v>670.8</v>
      </c>
      <c r="JQ831">
        <v>745.2</v>
      </c>
      <c r="JR831">
        <v>242.9</v>
      </c>
    </row>
    <row r="832" spans="2:278" ht="18" thickBot="1">
      <c r="B832" s="368" t="s">
        <v>961</v>
      </c>
      <c r="C832" s="411" t="s">
        <v>1523</v>
      </c>
      <c r="D832" s="368" t="s">
        <v>1399</v>
      </c>
      <c r="E832" s="454">
        <v>22829.8</v>
      </c>
      <c r="F832">
        <v>20193.400000000001</v>
      </c>
      <c r="G832" s="427">
        <v>0</v>
      </c>
      <c r="H832" s="155">
        <v>0</v>
      </c>
      <c r="I832">
        <v>0</v>
      </c>
      <c r="J832">
        <v>0</v>
      </c>
      <c r="K832">
        <v>0</v>
      </c>
      <c r="L832" s="4">
        <v>0</v>
      </c>
      <c r="M832" s="4">
        <v>0</v>
      </c>
      <c r="N832" s="4">
        <v>0</v>
      </c>
      <c r="O832" s="4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1476.4</v>
      </c>
      <c r="X832">
        <v>1482</v>
      </c>
      <c r="Y832">
        <v>457.20000000000005</v>
      </c>
      <c r="Z832">
        <v>0</v>
      </c>
      <c r="AA832">
        <v>0</v>
      </c>
      <c r="AB832">
        <v>0</v>
      </c>
      <c r="AC832">
        <v>0</v>
      </c>
      <c r="AD832">
        <v>3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1828.6</v>
      </c>
      <c r="AK832">
        <v>1800.7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560.70000000000005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  <c r="CN832">
        <v>0</v>
      </c>
      <c r="CO832">
        <v>0</v>
      </c>
      <c r="CP832">
        <v>3.5</v>
      </c>
      <c r="CQ832">
        <v>0</v>
      </c>
      <c r="CR832">
        <v>528</v>
      </c>
      <c r="CS832">
        <v>581.79999999999995</v>
      </c>
      <c r="CT832">
        <v>555.40000000000009</v>
      </c>
      <c r="CU832">
        <v>737.4</v>
      </c>
      <c r="CV832">
        <v>1039.0999999999999</v>
      </c>
      <c r="CW832">
        <v>1667.3</v>
      </c>
      <c r="CX832">
        <v>877.6</v>
      </c>
      <c r="CY832">
        <v>910.40000000000009</v>
      </c>
      <c r="CZ832">
        <v>0</v>
      </c>
      <c r="DA832">
        <v>0</v>
      </c>
      <c r="DB832">
        <v>0</v>
      </c>
      <c r="DC832">
        <v>0</v>
      </c>
      <c r="DD832">
        <v>0</v>
      </c>
      <c r="DE832">
        <v>0</v>
      </c>
      <c r="DF832">
        <v>0</v>
      </c>
      <c r="DG832">
        <v>0</v>
      </c>
      <c r="DH832">
        <v>0</v>
      </c>
      <c r="DI832">
        <v>0</v>
      </c>
      <c r="DJ832">
        <v>0</v>
      </c>
      <c r="DK832">
        <v>0</v>
      </c>
      <c r="DL832">
        <v>995.5</v>
      </c>
      <c r="DM832">
        <v>712.7</v>
      </c>
      <c r="DN832">
        <v>0</v>
      </c>
      <c r="DO832">
        <v>0</v>
      </c>
      <c r="DP832">
        <v>0</v>
      </c>
      <c r="DQ832">
        <v>0</v>
      </c>
      <c r="DR832">
        <v>0</v>
      </c>
      <c r="DS832">
        <v>0</v>
      </c>
      <c r="DT832">
        <v>0</v>
      </c>
      <c r="DU832">
        <v>0</v>
      </c>
      <c r="DV832">
        <v>0</v>
      </c>
      <c r="DW832">
        <v>0</v>
      </c>
      <c r="DX832">
        <v>0</v>
      </c>
      <c r="DY832">
        <v>0</v>
      </c>
      <c r="DZ832">
        <v>0</v>
      </c>
      <c r="EA832">
        <v>0</v>
      </c>
      <c r="EB832">
        <v>0</v>
      </c>
      <c r="EC832">
        <v>0</v>
      </c>
      <c r="ED832">
        <v>0</v>
      </c>
      <c r="EE832">
        <v>0</v>
      </c>
      <c r="EF832">
        <v>0</v>
      </c>
      <c r="EG832">
        <v>0</v>
      </c>
      <c r="EH832">
        <v>0</v>
      </c>
      <c r="EI832">
        <v>0</v>
      </c>
      <c r="EJ832">
        <v>0</v>
      </c>
      <c r="EK832">
        <v>0</v>
      </c>
      <c r="EL832">
        <v>0</v>
      </c>
      <c r="EM832">
        <v>0</v>
      </c>
      <c r="EN832">
        <v>27.4</v>
      </c>
      <c r="EO832">
        <v>0</v>
      </c>
      <c r="EP832">
        <v>1002.5</v>
      </c>
      <c r="EQ832">
        <v>0</v>
      </c>
      <c r="ER832">
        <v>494</v>
      </c>
      <c r="ES832">
        <v>0</v>
      </c>
      <c r="ET832">
        <v>699.3</v>
      </c>
      <c r="EU832">
        <v>435.4</v>
      </c>
      <c r="EV832">
        <v>0</v>
      </c>
      <c r="EW832">
        <v>0</v>
      </c>
      <c r="EX832">
        <v>0</v>
      </c>
      <c r="EY832">
        <v>0</v>
      </c>
      <c r="EZ832">
        <v>0</v>
      </c>
      <c r="FA832">
        <v>0</v>
      </c>
      <c r="FB832">
        <v>0</v>
      </c>
      <c r="FC832">
        <v>0</v>
      </c>
      <c r="FD832">
        <v>95.6</v>
      </c>
      <c r="FE832">
        <v>1792.1</v>
      </c>
      <c r="FF832">
        <v>1740.1999999999998</v>
      </c>
      <c r="FG832">
        <v>954.9</v>
      </c>
      <c r="FH832">
        <v>1087.8000000000002</v>
      </c>
      <c r="FI832">
        <v>1892.1</v>
      </c>
      <c r="FJ832">
        <v>1222.5</v>
      </c>
      <c r="FK832">
        <v>678.3</v>
      </c>
      <c r="FL832">
        <v>639.1</v>
      </c>
      <c r="FM832">
        <v>520.5</v>
      </c>
      <c r="FN832">
        <v>123.8</v>
      </c>
      <c r="FO832">
        <v>181.6</v>
      </c>
      <c r="FP832">
        <v>1090.5</v>
      </c>
      <c r="FQ832">
        <v>0</v>
      </c>
      <c r="FR832">
        <v>0</v>
      </c>
      <c r="FS832">
        <v>0</v>
      </c>
      <c r="FT832">
        <v>0</v>
      </c>
      <c r="FU832">
        <v>0</v>
      </c>
      <c r="FV832">
        <v>0</v>
      </c>
      <c r="FW832">
        <v>0</v>
      </c>
      <c r="FX832">
        <v>0</v>
      </c>
      <c r="FY832">
        <v>0</v>
      </c>
      <c r="FZ832">
        <v>0</v>
      </c>
      <c r="GA832">
        <v>0</v>
      </c>
      <c r="GB832">
        <v>0</v>
      </c>
      <c r="GC832">
        <v>0</v>
      </c>
      <c r="GD832">
        <v>0</v>
      </c>
      <c r="GE832">
        <v>0</v>
      </c>
      <c r="GF832">
        <v>198.3</v>
      </c>
      <c r="GG832">
        <v>1054.4000000000001</v>
      </c>
      <c r="GH832">
        <v>552.79999999999995</v>
      </c>
      <c r="GI832">
        <v>522</v>
      </c>
      <c r="GJ832">
        <v>0</v>
      </c>
      <c r="GK832">
        <v>0</v>
      </c>
      <c r="GL832">
        <v>0</v>
      </c>
      <c r="GM832">
        <v>0</v>
      </c>
      <c r="GN832">
        <v>791.40000000000009</v>
      </c>
      <c r="GO832">
        <v>1816.5</v>
      </c>
      <c r="GP832">
        <v>0</v>
      </c>
      <c r="GQ832">
        <v>0</v>
      </c>
      <c r="GR832">
        <v>0</v>
      </c>
      <c r="GS832">
        <v>0</v>
      </c>
      <c r="GT832">
        <v>0</v>
      </c>
      <c r="GU832">
        <v>0</v>
      </c>
      <c r="GV832">
        <v>0</v>
      </c>
      <c r="GW832">
        <v>0</v>
      </c>
      <c r="GX832">
        <v>0</v>
      </c>
      <c r="GY832">
        <v>840.3</v>
      </c>
      <c r="GZ832">
        <v>0</v>
      </c>
      <c r="HA832">
        <v>0</v>
      </c>
      <c r="HB832">
        <v>0</v>
      </c>
      <c r="HC832">
        <v>380.4</v>
      </c>
      <c r="HD832">
        <v>2175.5</v>
      </c>
      <c r="HE832">
        <v>0</v>
      </c>
      <c r="HF832">
        <v>0</v>
      </c>
      <c r="HG832">
        <v>0</v>
      </c>
      <c r="HH832">
        <v>0</v>
      </c>
      <c r="HI832">
        <v>0</v>
      </c>
      <c r="HJ832">
        <v>803.40000000000009</v>
      </c>
      <c r="HK832">
        <v>1270.9000000000001</v>
      </c>
      <c r="HL832">
        <v>835.7</v>
      </c>
      <c r="HM832">
        <v>1162.5999999999999</v>
      </c>
      <c r="HN832">
        <v>0</v>
      </c>
      <c r="HO832">
        <v>0</v>
      </c>
      <c r="HP832">
        <v>0</v>
      </c>
      <c r="HQ832">
        <v>0</v>
      </c>
      <c r="HR832">
        <v>161.19999999999999</v>
      </c>
      <c r="HS832">
        <v>0</v>
      </c>
      <c r="HT832">
        <v>2048.5</v>
      </c>
      <c r="HU832">
        <v>2627.5</v>
      </c>
      <c r="HV832">
        <v>1168.5999999999999</v>
      </c>
      <c r="HW832">
        <v>388</v>
      </c>
      <c r="HX832">
        <v>0</v>
      </c>
      <c r="HY832">
        <v>0</v>
      </c>
      <c r="HZ832">
        <v>0</v>
      </c>
      <c r="IA832">
        <v>0</v>
      </c>
      <c r="IB832">
        <v>0</v>
      </c>
      <c r="IC832">
        <v>594.4</v>
      </c>
      <c r="ID832">
        <v>427.4</v>
      </c>
      <c r="IE832">
        <v>713.3</v>
      </c>
      <c r="IF832">
        <v>626.1</v>
      </c>
      <c r="IG832">
        <v>0</v>
      </c>
      <c r="IH832">
        <v>0</v>
      </c>
      <c r="II832">
        <v>995.7</v>
      </c>
      <c r="IJ832">
        <v>1156.5999999999999</v>
      </c>
      <c r="IK832">
        <v>864.6</v>
      </c>
      <c r="IL832">
        <v>316.5</v>
      </c>
      <c r="IM832">
        <v>101.5</v>
      </c>
      <c r="IN832">
        <v>71.8</v>
      </c>
      <c r="IO832">
        <v>0</v>
      </c>
      <c r="IP832">
        <v>0</v>
      </c>
      <c r="IQ832">
        <v>0</v>
      </c>
      <c r="IR832">
        <v>0</v>
      </c>
      <c r="IS832">
        <v>0</v>
      </c>
      <c r="IT832">
        <v>0</v>
      </c>
      <c r="IU832">
        <v>0</v>
      </c>
      <c r="IV832">
        <v>0</v>
      </c>
      <c r="IW832">
        <v>68</v>
      </c>
      <c r="IX832">
        <v>404.7</v>
      </c>
      <c r="IY832">
        <v>126.6</v>
      </c>
      <c r="IZ832">
        <v>126.6</v>
      </c>
      <c r="JA832">
        <v>503.7</v>
      </c>
      <c r="JB832">
        <v>570.1</v>
      </c>
      <c r="JC832">
        <v>328.3</v>
      </c>
      <c r="JD832">
        <v>0</v>
      </c>
      <c r="JE832">
        <v>0</v>
      </c>
      <c r="JF832">
        <v>0</v>
      </c>
      <c r="JG832">
        <v>0</v>
      </c>
      <c r="JH832">
        <v>287.3</v>
      </c>
      <c r="JI832">
        <v>68.2</v>
      </c>
      <c r="JJ832">
        <v>0</v>
      </c>
      <c r="JK832">
        <v>148.6</v>
      </c>
      <c r="JL832">
        <v>0</v>
      </c>
      <c r="JM832">
        <v>0</v>
      </c>
      <c r="JN832">
        <v>204.5</v>
      </c>
      <c r="JO832">
        <v>292.10000000000002</v>
      </c>
      <c r="JP832">
        <v>670.8</v>
      </c>
      <c r="JQ832">
        <v>745.2</v>
      </c>
      <c r="JR832">
        <v>242.9</v>
      </c>
    </row>
    <row r="833" spans="2:278" ht="18" thickBot="1">
      <c r="B833" s="368" t="s">
        <v>962</v>
      </c>
      <c r="C833" s="411" t="s">
        <v>1524</v>
      </c>
      <c r="D833" s="368" t="s">
        <v>1400</v>
      </c>
      <c r="E833" s="454">
        <v>22829.8</v>
      </c>
      <c r="F833">
        <v>20193.400000000001</v>
      </c>
      <c r="G833" s="427">
        <v>0</v>
      </c>
      <c r="H833" s="155">
        <v>0</v>
      </c>
      <c r="I833">
        <v>0</v>
      </c>
      <c r="J833">
        <v>0</v>
      </c>
      <c r="K833">
        <v>0</v>
      </c>
      <c r="L833" s="4">
        <v>0</v>
      </c>
      <c r="M833" s="4">
        <v>0</v>
      </c>
      <c r="N833" s="4">
        <v>0</v>
      </c>
      <c r="O833" s="4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1476.4</v>
      </c>
      <c r="X833">
        <v>1482</v>
      </c>
      <c r="Y833">
        <v>457.20000000000005</v>
      </c>
      <c r="Z833">
        <v>0</v>
      </c>
      <c r="AA833">
        <v>0</v>
      </c>
      <c r="AB833">
        <v>0</v>
      </c>
      <c r="AC833">
        <v>0</v>
      </c>
      <c r="AD833">
        <v>3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1828.6</v>
      </c>
      <c r="AK833">
        <v>1800.7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560.70000000000005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>
        <v>0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  <c r="CF833">
        <v>0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  <c r="CN833">
        <v>0</v>
      </c>
      <c r="CO833">
        <v>0</v>
      </c>
      <c r="CP833">
        <v>3.5</v>
      </c>
      <c r="CQ833">
        <v>0</v>
      </c>
      <c r="CR833">
        <v>528</v>
      </c>
      <c r="CS833">
        <v>581.79999999999995</v>
      </c>
      <c r="CT833">
        <v>555.40000000000009</v>
      </c>
      <c r="CU833">
        <v>737.4</v>
      </c>
      <c r="CV833">
        <v>1039.0999999999999</v>
      </c>
      <c r="CW833">
        <v>1667.3</v>
      </c>
      <c r="CX833">
        <v>877.6</v>
      </c>
      <c r="CY833">
        <v>910.40000000000009</v>
      </c>
      <c r="CZ833">
        <v>0</v>
      </c>
      <c r="DA833">
        <v>0</v>
      </c>
      <c r="DB833">
        <v>0</v>
      </c>
      <c r="DC833">
        <v>0</v>
      </c>
      <c r="DD833">
        <v>0</v>
      </c>
      <c r="DE833">
        <v>0</v>
      </c>
      <c r="DF833">
        <v>0</v>
      </c>
      <c r="DG833">
        <v>0</v>
      </c>
      <c r="DH833">
        <v>0</v>
      </c>
      <c r="DI833">
        <v>0</v>
      </c>
      <c r="DJ833">
        <v>0</v>
      </c>
      <c r="DK833">
        <v>0</v>
      </c>
      <c r="DL833">
        <v>995.5</v>
      </c>
      <c r="DM833">
        <v>712.7</v>
      </c>
      <c r="DN833">
        <v>0</v>
      </c>
      <c r="DO833">
        <v>0</v>
      </c>
      <c r="DP833">
        <v>0</v>
      </c>
      <c r="DQ833">
        <v>0</v>
      </c>
      <c r="DR833">
        <v>0</v>
      </c>
      <c r="DS833">
        <v>0</v>
      </c>
      <c r="DT833">
        <v>0</v>
      </c>
      <c r="DU833">
        <v>0</v>
      </c>
      <c r="DV833">
        <v>0</v>
      </c>
      <c r="DW833">
        <v>0</v>
      </c>
      <c r="DX833">
        <v>0</v>
      </c>
      <c r="DY833">
        <v>0</v>
      </c>
      <c r="DZ833">
        <v>0</v>
      </c>
      <c r="EA833">
        <v>0</v>
      </c>
      <c r="EB833">
        <v>0</v>
      </c>
      <c r="EC833">
        <v>0</v>
      </c>
      <c r="ED833">
        <v>0</v>
      </c>
      <c r="EE833">
        <v>0</v>
      </c>
      <c r="EF833">
        <v>0</v>
      </c>
      <c r="EG833">
        <v>0</v>
      </c>
      <c r="EH833">
        <v>0</v>
      </c>
      <c r="EI833">
        <v>0</v>
      </c>
      <c r="EJ833">
        <v>0</v>
      </c>
      <c r="EK833">
        <v>0</v>
      </c>
      <c r="EL833">
        <v>0</v>
      </c>
      <c r="EM833">
        <v>0</v>
      </c>
      <c r="EN833">
        <v>27.4</v>
      </c>
      <c r="EO833">
        <v>0</v>
      </c>
      <c r="EP833">
        <v>1002.5</v>
      </c>
      <c r="EQ833">
        <v>0</v>
      </c>
      <c r="ER833">
        <v>494</v>
      </c>
      <c r="ES833">
        <v>0</v>
      </c>
      <c r="ET833">
        <v>699.3</v>
      </c>
      <c r="EU833">
        <v>435.4</v>
      </c>
      <c r="EV833">
        <v>0</v>
      </c>
      <c r="EW833">
        <v>0</v>
      </c>
      <c r="EX833">
        <v>0</v>
      </c>
      <c r="EY833">
        <v>0</v>
      </c>
      <c r="EZ833">
        <v>0</v>
      </c>
      <c r="FA833">
        <v>0</v>
      </c>
      <c r="FB833">
        <v>0</v>
      </c>
      <c r="FC833">
        <v>0</v>
      </c>
      <c r="FD833">
        <v>95.6</v>
      </c>
      <c r="FE833">
        <v>1792.1</v>
      </c>
      <c r="FF833">
        <v>1740.1999999999998</v>
      </c>
      <c r="FG833">
        <v>954.9</v>
      </c>
      <c r="FH833">
        <v>1087.8000000000002</v>
      </c>
      <c r="FI833">
        <v>1892.1</v>
      </c>
      <c r="FJ833">
        <v>1222.5</v>
      </c>
      <c r="FK833">
        <v>678.3</v>
      </c>
      <c r="FL833">
        <v>639.1</v>
      </c>
      <c r="FM833">
        <v>520.5</v>
      </c>
      <c r="FN833">
        <v>123.8</v>
      </c>
      <c r="FO833">
        <v>181.6</v>
      </c>
      <c r="FP833">
        <v>1090.5</v>
      </c>
      <c r="FQ833">
        <v>0</v>
      </c>
      <c r="FR833">
        <v>0</v>
      </c>
      <c r="FS833">
        <v>0</v>
      </c>
      <c r="FT833">
        <v>0</v>
      </c>
      <c r="FU833">
        <v>0</v>
      </c>
      <c r="FV833">
        <v>0</v>
      </c>
      <c r="FW833">
        <v>0</v>
      </c>
      <c r="FX833">
        <v>0</v>
      </c>
      <c r="FY833">
        <v>0</v>
      </c>
      <c r="FZ833">
        <v>0</v>
      </c>
      <c r="GA833">
        <v>0</v>
      </c>
      <c r="GB833">
        <v>0</v>
      </c>
      <c r="GC833">
        <v>0</v>
      </c>
      <c r="GD833">
        <v>0</v>
      </c>
      <c r="GE833">
        <v>0</v>
      </c>
      <c r="GF833">
        <v>198.3</v>
      </c>
      <c r="GG833">
        <v>1054.4000000000001</v>
      </c>
      <c r="GH833">
        <v>552.79999999999995</v>
      </c>
      <c r="GI833">
        <v>522</v>
      </c>
      <c r="GJ833">
        <v>0</v>
      </c>
      <c r="GK833">
        <v>0</v>
      </c>
      <c r="GL833">
        <v>0</v>
      </c>
      <c r="GM833">
        <v>0</v>
      </c>
      <c r="GN833">
        <v>791.40000000000009</v>
      </c>
      <c r="GO833">
        <v>1816.5</v>
      </c>
      <c r="GP833">
        <v>0</v>
      </c>
      <c r="GQ833">
        <v>0</v>
      </c>
      <c r="GR833">
        <v>0</v>
      </c>
      <c r="GS833">
        <v>0</v>
      </c>
      <c r="GT833">
        <v>0</v>
      </c>
      <c r="GU833">
        <v>0</v>
      </c>
      <c r="GV833">
        <v>0</v>
      </c>
      <c r="GW833">
        <v>0</v>
      </c>
      <c r="GX833">
        <v>0</v>
      </c>
      <c r="GY833">
        <v>840.3</v>
      </c>
      <c r="GZ833">
        <v>0</v>
      </c>
      <c r="HA833">
        <v>0</v>
      </c>
      <c r="HB833">
        <v>0</v>
      </c>
      <c r="HC833">
        <v>380.4</v>
      </c>
      <c r="HD833">
        <v>2175.5</v>
      </c>
      <c r="HE833">
        <v>0</v>
      </c>
      <c r="HF833">
        <v>0</v>
      </c>
      <c r="HG833">
        <v>0</v>
      </c>
      <c r="HH833">
        <v>0</v>
      </c>
      <c r="HI833">
        <v>0</v>
      </c>
      <c r="HJ833">
        <v>803.40000000000009</v>
      </c>
      <c r="HK833">
        <v>1270.9000000000001</v>
      </c>
      <c r="HL833">
        <v>835.7</v>
      </c>
      <c r="HM833">
        <v>1162.5999999999999</v>
      </c>
      <c r="HN833">
        <v>0</v>
      </c>
      <c r="HO833">
        <v>0</v>
      </c>
      <c r="HP833">
        <v>0</v>
      </c>
      <c r="HQ833">
        <v>0</v>
      </c>
      <c r="HR833">
        <v>161.19999999999999</v>
      </c>
      <c r="HS833">
        <v>0</v>
      </c>
      <c r="HT833">
        <v>2048.5</v>
      </c>
      <c r="HU833">
        <v>2627.5</v>
      </c>
      <c r="HV833">
        <v>1168.5999999999999</v>
      </c>
      <c r="HW833">
        <v>388</v>
      </c>
      <c r="HX833">
        <v>0</v>
      </c>
      <c r="HY833">
        <v>0</v>
      </c>
      <c r="HZ833">
        <v>0</v>
      </c>
      <c r="IA833">
        <v>0</v>
      </c>
      <c r="IB833">
        <v>0</v>
      </c>
      <c r="IC833">
        <v>594.4</v>
      </c>
      <c r="ID833">
        <v>427.4</v>
      </c>
      <c r="IE833">
        <v>713.3</v>
      </c>
      <c r="IF833">
        <v>626.1</v>
      </c>
      <c r="IG833">
        <v>0</v>
      </c>
      <c r="IH833">
        <v>0</v>
      </c>
      <c r="II833">
        <v>995.7</v>
      </c>
      <c r="IJ833">
        <v>1156.5999999999999</v>
      </c>
      <c r="IK833">
        <v>864.6</v>
      </c>
      <c r="IL833">
        <v>316.5</v>
      </c>
      <c r="IM833">
        <v>101.5</v>
      </c>
      <c r="IN833">
        <v>71.8</v>
      </c>
      <c r="IO833">
        <v>0</v>
      </c>
      <c r="IP833">
        <v>0</v>
      </c>
      <c r="IQ833">
        <v>0</v>
      </c>
      <c r="IR833">
        <v>0</v>
      </c>
      <c r="IS833">
        <v>0</v>
      </c>
      <c r="IT833">
        <v>0</v>
      </c>
      <c r="IU833">
        <v>0</v>
      </c>
      <c r="IV833">
        <v>0</v>
      </c>
      <c r="IW833">
        <v>68</v>
      </c>
      <c r="IX833">
        <v>404.7</v>
      </c>
      <c r="IY833">
        <v>126.6</v>
      </c>
      <c r="IZ833">
        <v>126.6</v>
      </c>
      <c r="JA833">
        <v>503.7</v>
      </c>
      <c r="JB833">
        <v>570.1</v>
      </c>
      <c r="JC833">
        <v>328.3</v>
      </c>
      <c r="JD833">
        <v>0</v>
      </c>
      <c r="JE833">
        <v>0</v>
      </c>
      <c r="JF833">
        <v>0</v>
      </c>
      <c r="JG833">
        <v>0</v>
      </c>
      <c r="JH833">
        <v>287.3</v>
      </c>
      <c r="JI833">
        <v>68.2</v>
      </c>
      <c r="JJ833">
        <v>0</v>
      </c>
      <c r="JK833">
        <v>148.6</v>
      </c>
      <c r="JL833">
        <v>0</v>
      </c>
      <c r="JM833">
        <v>0</v>
      </c>
      <c r="JN833">
        <v>204.5</v>
      </c>
      <c r="JO833">
        <v>292.10000000000002</v>
      </c>
      <c r="JP833">
        <v>670.8</v>
      </c>
      <c r="JQ833">
        <v>745.2</v>
      </c>
      <c r="JR833">
        <v>242.9</v>
      </c>
    </row>
    <row r="834" spans="2:278" ht="18" thickBot="1">
      <c r="B834" s="368" t="s">
        <v>1236</v>
      </c>
      <c r="C834" s="411" t="s">
        <v>1525</v>
      </c>
      <c r="D834" s="368" t="s">
        <v>1401</v>
      </c>
      <c r="E834" s="454">
        <v>22829.8</v>
      </c>
      <c r="F834">
        <v>20193.400000000001</v>
      </c>
      <c r="G834" s="427">
        <v>0</v>
      </c>
      <c r="H834" s="155">
        <v>0</v>
      </c>
      <c r="I834">
        <v>0</v>
      </c>
      <c r="J834">
        <v>0</v>
      </c>
      <c r="K834">
        <v>0</v>
      </c>
      <c r="L834" s="4">
        <v>0</v>
      </c>
      <c r="M834" s="4">
        <v>0</v>
      </c>
      <c r="N834" s="4">
        <v>0</v>
      </c>
      <c r="O834" s="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1476.4</v>
      </c>
      <c r="X834">
        <v>1482</v>
      </c>
      <c r="Y834">
        <v>457.20000000000005</v>
      </c>
      <c r="Z834">
        <v>0</v>
      </c>
      <c r="AA834">
        <v>0</v>
      </c>
      <c r="AB834">
        <v>0</v>
      </c>
      <c r="AC834">
        <v>0</v>
      </c>
      <c r="AD834">
        <v>3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1828.6</v>
      </c>
      <c r="AK834">
        <v>1800.7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560.70000000000005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  <c r="CF834">
        <v>0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  <c r="CN834">
        <v>0</v>
      </c>
      <c r="CO834">
        <v>0</v>
      </c>
      <c r="CP834">
        <v>3.5</v>
      </c>
      <c r="CQ834">
        <v>0</v>
      </c>
      <c r="CR834">
        <v>528</v>
      </c>
      <c r="CS834">
        <v>581.79999999999995</v>
      </c>
      <c r="CT834">
        <v>555.40000000000009</v>
      </c>
      <c r="CU834">
        <v>737.4</v>
      </c>
      <c r="CV834">
        <v>1039.0999999999999</v>
      </c>
      <c r="CW834">
        <v>1667.3</v>
      </c>
      <c r="CX834">
        <v>877.6</v>
      </c>
      <c r="CY834">
        <v>910.40000000000009</v>
      </c>
      <c r="CZ834">
        <v>0</v>
      </c>
      <c r="DA834">
        <v>0</v>
      </c>
      <c r="DB834">
        <v>0</v>
      </c>
      <c r="DC834">
        <v>0</v>
      </c>
      <c r="DD834">
        <v>0</v>
      </c>
      <c r="DE834">
        <v>0</v>
      </c>
      <c r="DF834">
        <v>0</v>
      </c>
      <c r="DG834">
        <v>0</v>
      </c>
      <c r="DH834">
        <v>0</v>
      </c>
      <c r="DI834">
        <v>0</v>
      </c>
      <c r="DJ834">
        <v>0</v>
      </c>
      <c r="DK834">
        <v>0</v>
      </c>
      <c r="DL834">
        <v>995.5</v>
      </c>
      <c r="DM834">
        <v>712.7</v>
      </c>
      <c r="DN834">
        <v>0</v>
      </c>
      <c r="DO834">
        <v>0</v>
      </c>
      <c r="DP834">
        <v>0</v>
      </c>
      <c r="DQ834">
        <v>0</v>
      </c>
      <c r="DR834">
        <v>0</v>
      </c>
      <c r="DS834">
        <v>0</v>
      </c>
      <c r="DT834">
        <v>0</v>
      </c>
      <c r="DU834">
        <v>0</v>
      </c>
      <c r="DV834">
        <v>0</v>
      </c>
      <c r="DW834">
        <v>0</v>
      </c>
      <c r="DX834">
        <v>0</v>
      </c>
      <c r="DY834">
        <v>0</v>
      </c>
      <c r="DZ834">
        <v>0</v>
      </c>
      <c r="EA834">
        <v>0</v>
      </c>
      <c r="EB834">
        <v>0</v>
      </c>
      <c r="EC834">
        <v>0</v>
      </c>
      <c r="ED834">
        <v>0</v>
      </c>
      <c r="EE834">
        <v>0</v>
      </c>
      <c r="EF834">
        <v>0</v>
      </c>
      <c r="EG834">
        <v>0</v>
      </c>
      <c r="EH834">
        <v>0</v>
      </c>
      <c r="EI834">
        <v>0</v>
      </c>
      <c r="EJ834">
        <v>0</v>
      </c>
      <c r="EK834">
        <v>0</v>
      </c>
      <c r="EL834">
        <v>0</v>
      </c>
      <c r="EM834">
        <v>0</v>
      </c>
      <c r="EN834">
        <v>27.4</v>
      </c>
      <c r="EO834">
        <v>0</v>
      </c>
      <c r="EP834">
        <v>1002.5</v>
      </c>
      <c r="EQ834">
        <v>0</v>
      </c>
      <c r="ER834">
        <v>494</v>
      </c>
      <c r="ES834">
        <v>0</v>
      </c>
      <c r="ET834">
        <v>699.3</v>
      </c>
      <c r="EU834">
        <v>435.4</v>
      </c>
      <c r="EV834">
        <v>0</v>
      </c>
      <c r="EW834">
        <v>0</v>
      </c>
      <c r="EX834">
        <v>0</v>
      </c>
      <c r="EY834">
        <v>0</v>
      </c>
      <c r="EZ834">
        <v>0</v>
      </c>
      <c r="FA834">
        <v>0</v>
      </c>
      <c r="FB834">
        <v>0</v>
      </c>
      <c r="FC834">
        <v>0</v>
      </c>
      <c r="FD834">
        <v>95.6</v>
      </c>
      <c r="FE834">
        <v>1792.1</v>
      </c>
      <c r="FF834">
        <v>1740.1999999999998</v>
      </c>
      <c r="FG834">
        <v>954.9</v>
      </c>
      <c r="FH834">
        <v>1087.8000000000002</v>
      </c>
      <c r="FI834">
        <v>1892.1</v>
      </c>
      <c r="FJ834">
        <v>1222.5</v>
      </c>
      <c r="FK834">
        <v>678.3</v>
      </c>
      <c r="FL834">
        <v>639.1</v>
      </c>
      <c r="FM834">
        <v>520.5</v>
      </c>
      <c r="FN834">
        <v>123.8</v>
      </c>
      <c r="FO834">
        <v>181.6</v>
      </c>
      <c r="FP834">
        <v>1090.5</v>
      </c>
      <c r="FQ834">
        <v>0</v>
      </c>
      <c r="FR834">
        <v>0</v>
      </c>
      <c r="FS834">
        <v>0</v>
      </c>
      <c r="FT834">
        <v>0</v>
      </c>
      <c r="FU834">
        <v>0</v>
      </c>
      <c r="FV834">
        <v>0</v>
      </c>
      <c r="FW834">
        <v>0</v>
      </c>
      <c r="FX834">
        <v>0</v>
      </c>
      <c r="FY834">
        <v>0</v>
      </c>
      <c r="FZ834">
        <v>0</v>
      </c>
      <c r="GA834">
        <v>0</v>
      </c>
      <c r="GB834">
        <v>0</v>
      </c>
      <c r="GC834">
        <v>0</v>
      </c>
      <c r="GD834">
        <v>0</v>
      </c>
      <c r="GE834">
        <v>0</v>
      </c>
      <c r="GF834">
        <v>198.3</v>
      </c>
      <c r="GG834">
        <v>1054.4000000000001</v>
      </c>
      <c r="GH834">
        <v>552.79999999999995</v>
      </c>
      <c r="GI834">
        <v>522</v>
      </c>
      <c r="GJ834">
        <v>0</v>
      </c>
      <c r="GK834">
        <v>0</v>
      </c>
      <c r="GL834">
        <v>0</v>
      </c>
      <c r="GM834">
        <v>0</v>
      </c>
      <c r="GN834">
        <v>791.40000000000009</v>
      </c>
      <c r="GO834">
        <v>1816.5</v>
      </c>
      <c r="GP834">
        <v>0</v>
      </c>
      <c r="GQ834">
        <v>0</v>
      </c>
      <c r="GR834">
        <v>0</v>
      </c>
      <c r="GS834">
        <v>0</v>
      </c>
      <c r="GT834">
        <v>0</v>
      </c>
      <c r="GU834">
        <v>0</v>
      </c>
      <c r="GV834">
        <v>0</v>
      </c>
      <c r="GW834">
        <v>0</v>
      </c>
      <c r="GX834">
        <v>0</v>
      </c>
      <c r="GY834">
        <v>840.3</v>
      </c>
      <c r="GZ834">
        <v>0</v>
      </c>
      <c r="HA834">
        <v>0</v>
      </c>
      <c r="HB834">
        <v>0</v>
      </c>
      <c r="HC834">
        <v>380.4</v>
      </c>
      <c r="HD834">
        <v>2175.5</v>
      </c>
      <c r="HE834">
        <v>0</v>
      </c>
      <c r="HF834">
        <v>0</v>
      </c>
      <c r="HG834">
        <v>0</v>
      </c>
      <c r="HH834">
        <v>0</v>
      </c>
      <c r="HI834">
        <v>0</v>
      </c>
      <c r="HJ834">
        <v>803.40000000000009</v>
      </c>
      <c r="HK834">
        <v>1270.9000000000001</v>
      </c>
      <c r="HL834">
        <v>835.7</v>
      </c>
      <c r="HM834">
        <v>1162.5999999999999</v>
      </c>
      <c r="HN834">
        <v>0</v>
      </c>
      <c r="HO834">
        <v>0</v>
      </c>
      <c r="HP834">
        <v>0</v>
      </c>
      <c r="HQ834">
        <v>0</v>
      </c>
      <c r="HR834">
        <v>161.19999999999999</v>
      </c>
      <c r="HS834">
        <v>0</v>
      </c>
      <c r="HT834">
        <v>2048.5</v>
      </c>
      <c r="HU834">
        <v>2627.5</v>
      </c>
      <c r="HV834">
        <v>1168.5999999999999</v>
      </c>
      <c r="HW834">
        <v>388</v>
      </c>
      <c r="HX834">
        <v>0</v>
      </c>
      <c r="HY834">
        <v>0</v>
      </c>
      <c r="HZ834">
        <v>0</v>
      </c>
      <c r="IA834">
        <v>0</v>
      </c>
      <c r="IB834">
        <v>0</v>
      </c>
      <c r="IC834">
        <v>594.4</v>
      </c>
      <c r="ID834">
        <v>427.4</v>
      </c>
      <c r="IE834">
        <v>713.3</v>
      </c>
      <c r="IF834">
        <v>626.1</v>
      </c>
      <c r="IG834">
        <v>0</v>
      </c>
      <c r="IH834">
        <v>0</v>
      </c>
      <c r="II834">
        <v>995.7</v>
      </c>
      <c r="IJ834">
        <v>1156.5999999999999</v>
      </c>
      <c r="IK834">
        <v>864.6</v>
      </c>
      <c r="IL834">
        <v>316.5</v>
      </c>
      <c r="IM834">
        <v>101.5</v>
      </c>
      <c r="IN834">
        <v>71.8</v>
      </c>
      <c r="IO834">
        <v>0</v>
      </c>
      <c r="IP834">
        <v>0</v>
      </c>
      <c r="IQ834">
        <v>0</v>
      </c>
      <c r="IR834">
        <v>0</v>
      </c>
      <c r="IS834">
        <v>0</v>
      </c>
      <c r="IT834">
        <v>0</v>
      </c>
      <c r="IU834">
        <v>0</v>
      </c>
      <c r="IV834">
        <v>0</v>
      </c>
      <c r="IW834">
        <v>68</v>
      </c>
      <c r="IX834">
        <v>404.7</v>
      </c>
      <c r="IY834">
        <v>126.6</v>
      </c>
      <c r="IZ834">
        <v>126.6</v>
      </c>
      <c r="JA834">
        <v>503.7</v>
      </c>
      <c r="JB834">
        <v>570.1</v>
      </c>
      <c r="JC834">
        <v>328.3</v>
      </c>
      <c r="JD834">
        <v>0</v>
      </c>
      <c r="JE834">
        <v>0</v>
      </c>
      <c r="JF834">
        <v>0</v>
      </c>
      <c r="JG834">
        <v>0</v>
      </c>
      <c r="JH834">
        <v>287.3</v>
      </c>
      <c r="JI834">
        <v>68.2</v>
      </c>
      <c r="JJ834">
        <v>0</v>
      </c>
      <c r="JK834">
        <v>148.6</v>
      </c>
      <c r="JL834">
        <v>0</v>
      </c>
      <c r="JM834">
        <v>0</v>
      </c>
      <c r="JN834">
        <v>204.5</v>
      </c>
      <c r="JO834">
        <v>292.10000000000002</v>
      </c>
      <c r="JP834">
        <v>670.8</v>
      </c>
      <c r="JQ834">
        <v>745.2</v>
      </c>
      <c r="JR834">
        <v>242.9</v>
      </c>
    </row>
    <row r="835" spans="2:278" ht="31.8" thickBot="1">
      <c r="B835" s="369" t="s">
        <v>965</v>
      </c>
      <c r="C835" s="369"/>
      <c r="D835" s="379" t="s">
        <v>1402</v>
      </c>
      <c r="E835" s="454">
        <v>22829.8</v>
      </c>
      <c r="F835">
        <v>20193.400000000001</v>
      </c>
      <c r="G835" s="427">
        <v>0</v>
      </c>
      <c r="H835" s="155">
        <v>0</v>
      </c>
      <c r="I835">
        <v>0</v>
      </c>
      <c r="J835">
        <v>0</v>
      </c>
      <c r="K835">
        <v>0</v>
      </c>
      <c r="L835" s="4">
        <v>0</v>
      </c>
      <c r="M835" s="4">
        <v>0</v>
      </c>
      <c r="N835" s="4">
        <v>0</v>
      </c>
      <c r="O835" s="4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1476.4</v>
      </c>
      <c r="X835">
        <v>1482</v>
      </c>
      <c r="Y835">
        <v>457.20000000000005</v>
      </c>
      <c r="Z835">
        <v>0</v>
      </c>
      <c r="AA835">
        <v>0</v>
      </c>
      <c r="AB835">
        <v>0</v>
      </c>
      <c r="AC835">
        <v>0</v>
      </c>
      <c r="AD835">
        <v>3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1828.6</v>
      </c>
      <c r="AK835">
        <v>1800.7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560.70000000000005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0</v>
      </c>
      <c r="CP835">
        <v>3.5</v>
      </c>
      <c r="CQ835">
        <v>0</v>
      </c>
      <c r="CR835">
        <v>528</v>
      </c>
      <c r="CS835">
        <v>581.79999999999995</v>
      </c>
      <c r="CT835">
        <v>555.40000000000009</v>
      </c>
      <c r="CU835">
        <v>737.4</v>
      </c>
      <c r="CV835">
        <v>1039.0999999999999</v>
      </c>
      <c r="CW835">
        <v>1667.3</v>
      </c>
      <c r="CX835">
        <v>877.6</v>
      </c>
      <c r="CY835">
        <v>910.40000000000009</v>
      </c>
      <c r="CZ835">
        <v>0</v>
      </c>
      <c r="DA835">
        <v>0</v>
      </c>
      <c r="DB835">
        <v>0</v>
      </c>
      <c r="DC835">
        <v>0</v>
      </c>
      <c r="DD835">
        <v>0</v>
      </c>
      <c r="DE835">
        <v>0</v>
      </c>
      <c r="DF835">
        <v>0</v>
      </c>
      <c r="DG835">
        <v>0</v>
      </c>
      <c r="DH835">
        <v>0</v>
      </c>
      <c r="DI835">
        <v>0</v>
      </c>
      <c r="DJ835">
        <v>0</v>
      </c>
      <c r="DK835">
        <v>0</v>
      </c>
      <c r="DL835">
        <v>995.5</v>
      </c>
      <c r="DM835">
        <v>712.7</v>
      </c>
      <c r="DN835">
        <v>0</v>
      </c>
      <c r="DO835">
        <v>0</v>
      </c>
      <c r="DP835">
        <v>0</v>
      </c>
      <c r="DQ835">
        <v>0</v>
      </c>
      <c r="DR835">
        <v>0</v>
      </c>
      <c r="DS835">
        <v>0</v>
      </c>
      <c r="DT835">
        <v>0</v>
      </c>
      <c r="DU835">
        <v>0</v>
      </c>
      <c r="DV835">
        <v>0</v>
      </c>
      <c r="DW835">
        <v>0</v>
      </c>
      <c r="DX835">
        <v>0</v>
      </c>
      <c r="DY835">
        <v>0</v>
      </c>
      <c r="DZ835">
        <v>0</v>
      </c>
      <c r="EA835">
        <v>0</v>
      </c>
      <c r="EB835">
        <v>0</v>
      </c>
      <c r="EC835">
        <v>0</v>
      </c>
      <c r="ED835">
        <v>0</v>
      </c>
      <c r="EE835">
        <v>0</v>
      </c>
      <c r="EF835">
        <v>0</v>
      </c>
      <c r="EG835">
        <v>0</v>
      </c>
      <c r="EH835">
        <v>0</v>
      </c>
      <c r="EI835">
        <v>0</v>
      </c>
      <c r="EJ835">
        <v>0</v>
      </c>
      <c r="EK835">
        <v>0</v>
      </c>
      <c r="EL835">
        <v>0</v>
      </c>
      <c r="EM835">
        <v>0</v>
      </c>
      <c r="EN835">
        <v>27.4</v>
      </c>
      <c r="EO835">
        <v>0</v>
      </c>
      <c r="EP835">
        <v>1002.5</v>
      </c>
      <c r="EQ835">
        <v>0</v>
      </c>
      <c r="ER835">
        <v>494</v>
      </c>
      <c r="ES835">
        <v>0</v>
      </c>
      <c r="ET835">
        <v>699.3</v>
      </c>
      <c r="EU835">
        <v>435.4</v>
      </c>
      <c r="EV835">
        <v>0</v>
      </c>
      <c r="EW835">
        <v>0</v>
      </c>
      <c r="EX835">
        <v>0</v>
      </c>
      <c r="EY835">
        <v>0</v>
      </c>
      <c r="EZ835">
        <v>0</v>
      </c>
      <c r="FA835">
        <v>0</v>
      </c>
      <c r="FB835">
        <v>0</v>
      </c>
      <c r="FC835">
        <v>0</v>
      </c>
      <c r="FD835">
        <v>95.6</v>
      </c>
      <c r="FE835">
        <v>1792.1</v>
      </c>
      <c r="FF835">
        <v>1740.1999999999998</v>
      </c>
      <c r="FG835">
        <v>954.9</v>
      </c>
      <c r="FH835">
        <v>1087.8000000000002</v>
      </c>
      <c r="FI835">
        <v>1892.1</v>
      </c>
      <c r="FJ835">
        <v>1222.5</v>
      </c>
      <c r="FK835">
        <v>678.3</v>
      </c>
      <c r="FL835">
        <v>639.1</v>
      </c>
      <c r="FM835">
        <v>520.5</v>
      </c>
      <c r="FN835">
        <v>123.8</v>
      </c>
      <c r="FO835">
        <v>181.6</v>
      </c>
      <c r="FP835">
        <v>1090.5</v>
      </c>
      <c r="FQ835">
        <v>0</v>
      </c>
      <c r="FR835">
        <v>0</v>
      </c>
      <c r="FS835">
        <v>0</v>
      </c>
      <c r="FT835">
        <v>0</v>
      </c>
      <c r="FU835">
        <v>0</v>
      </c>
      <c r="FV835">
        <v>0</v>
      </c>
      <c r="FW835">
        <v>0</v>
      </c>
      <c r="FX835">
        <v>0</v>
      </c>
      <c r="FY835">
        <v>0</v>
      </c>
      <c r="FZ835">
        <v>0</v>
      </c>
      <c r="GA835">
        <v>0</v>
      </c>
      <c r="GB835">
        <v>0</v>
      </c>
      <c r="GC835">
        <v>0</v>
      </c>
      <c r="GD835">
        <v>0</v>
      </c>
      <c r="GE835">
        <v>0</v>
      </c>
      <c r="GF835">
        <v>198.3</v>
      </c>
      <c r="GG835">
        <v>1054.4000000000001</v>
      </c>
      <c r="GH835">
        <v>552.79999999999995</v>
      </c>
      <c r="GI835">
        <v>522</v>
      </c>
      <c r="GJ835">
        <v>0</v>
      </c>
      <c r="GK835">
        <v>0</v>
      </c>
      <c r="GL835">
        <v>0</v>
      </c>
      <c r="GM835">
        <v>0</v>
      </c>
      <c r="GN835">
        <v>791.40000000000009</v>
      </c>
      <c r="GO835">
        <v>1816.5</v>
      </c>
      <c r="GP835">
        <v>0</v>
      </c>
      <c r="GQ835">
        <v>0</v>
      </c>
      <c r="GR835">
        <v>0</v>
      </c>
      <c r="GS835">
        <v>0</v>
      </c>
      <c r="GT835">
        <v>0</v>
      </c>
      <c r="GU835">
        <v>0</v>
      </c>
      <c r="GV835">
        <v>0</v>
      </c>
      <c r="GW835">
        <v>0</v>
      </c>
      <c r="GX835">
        <v>0</v>
      </c>
      <c r="GY835">
        <v>840.3</v>
      </c>
      <c r="GZ835">
        <v>0</v>
      </c>
      <c r="HA835">
        <v>0</v>
      </c>
      <c r="HB835">
        <v>0</v>
      </c>
      <c r="HC835">
        <v>380.4</v>
      </c>
      <c r="HD835">
        <v>2175.5</v>
      </c>
      <c r="HE835">
        <v>0</v>
      </c>
      <c r="HF835">
        <v>0</v>
      </c>
      <c r="HG835">
        <v>0</v>
      </c>
      <c r="HH835">
        <v>0</v>
      </c>
      <c r="HI835">
        <v>0</v>
      </c>
      <c r="HJ835">
        <v>803.40000000000009</v>
      </c>
      <c r="HK835">
        <v>1270.9000000000001</v>
      </c>
      <c r="HL835">
        <v>835.7</v>
      </c>
      <c r="HM835">
        <v>1162.5999999999999</v>
      </c>
      <c r="HN835">
        <v>0</v>
      </c>
      <c r="HO835">
        <v>0</v>
      </c>
      <c r="HP835">
        <v>0</v>
      </c>
      <c r="HQ835">
        <v>0</v>
      </c>
      <c r="HR835">
        <v>161.19999999999999</v>
      </c>
      <c r="HS835">
        <v>0</v>
      </c>
      <c r="HT835">
        <v>2048.5</v>
      </c>
      <c r="HU835">
        <v>2627.5</v>
      </c>
      <c r="HV835">
        <v>1168.5999999999999</v>
      </c>
      <c r="HW835">
        <v>388</v>
      </c>
      <c r="HX835">
        <v>0</v>
      </c>
      <c r="HY835">
        <v>0</v>
      </c>
      <c r="HZ835">
        <v>0</v>
      </c>
      <c r="IA835">
        <v>0</v>
      </c>
      <c r="IB835">
        <v>0</v>
      </c>
      <c r="IC835">
        <v>594.4</v>
      </c>
      <c r="ID835">
        <v>427.4</v>
      </c>
      <c r="IE835">
        <v>713.3</v>
      </c>
      <c r="IF835">
        <v>626.1</v>
      </c>
      <c r="IG835">
        <v>0</v>
      </c>
      <c r="IH835">
        <v>0</v>
      </c>
      <c r="II835">
        <v>995.7</v>
      </c>
      <c r="IJ835">
        <v>1156.5999999999999</v>
      </c>
      <c r="IK835">
        <v>864.6</v>
      </c>
      <c r="IL835">
        <v>316.5</v>
      </c>
      <c r="IM835">
        <v>101.5</v>
      </c>
      <c r="IN835">
        <v>71.8</v>
      </c>
      <c r="IO835">
        <v>0</v>
      </c>
      <c r="IP835">
        <v>0</v>
      </c>
      <c r="IQ835">
        <v>0</v>
      </c>
      <c r="IR835">
        <v>0</v>
      </c>
      <c r="IS835">
        <v>0</v>
      </c>
      <c r="IT835">
        <v>0</v>
      </c>
      <c r="IU835">
        <v>0</v>
      </c>
      <c r="IV835">
        <v>0</v>
      </c>
      <c r="IW835">
        <v>68</v>
      </c>
      <c r="IX835">
        <v>404.7</v>
      </c>
      <c r="IY835">
        <v>126.6</v>
      </c>
      <c r="IZ835">
        <v>126.6</v>
      </c>
      <c r="JA835">
        <v>503.7</v>
      </c>
      <c r="JB835">
        <v>570.1</v>
      </c>
      <c r="JC835">
        <v>328.3</v>
      </c>
      <c r="JD835">
        <v>0</v>
      </c>
      <c r="JE835">
        <v>0</v>
      </c>
      <c r="JF835">
        <v>0</v>
      </c>
      <c r="JG835">
        <v>0</v>
      </c>
      <c r="JH835">
        <v>287.3</v>
      </c>
      <c r="JI835">
        <v>68.2</v>
      </c>
      <c r="JJ835">
        <v>0</v>
      </c>
      <c r="JK835">
        <v>148.6</v>
      </c>
      <c r="JL835">
        <v>0</v>
      </c>
      <c r="JM835">
        <v>0</v>
      </c>
      <c r="JN835">
        <v>204.5</v>
      </c>
      <c r="JO835">
        <v>292.10000000000002</v>
      </c>
      <c r="JP835">
        <v>670.8</v>
      </c>
      <c r="JQ835">
        <v>745.2</v>
      </c>
      <c r="JR835">
        <v>242.9</v>
      </c>
    </row>
    <row r="836" spans="2:278" ht="18" thickBot="1">
      <c r="B836" s="368" t="s">
        <v>1237</v>
      </c>
      <c r="C836" s="411" t="s">
        <v>1526</v>
      </c>
      <c r="D836" s="368" t="s">
        <v>1403</v>
      </c>
      <c r="E836" s="454">
        <v>22829.8</v>
      </c>
      <c r="F836">
        <v>20193.400000000001</v>
      </c>
      <c r="G836" s="427">
        <v>0</v>
      </c>
      <c r="H836" s="155">
        <v>0</v>
      </c>
      <c r="I836">
        <v>0</v>
      </c>
      <c r="J836">
        <v>0</v>
      </c>
      <c r="K836">
        <v>0</v>
      </c>
      <c r="L836" s="4">
        <v>0</v>
      </c>
      <c r="M836" s="4">
        <v>0</v>
      </c>
      <c r="N836" s="4">
        <v>0</v>
      </c>
      <c r="O836" s="4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1476.4</v>
      </c>
      <c r="X836">
        <v>1482</v>
      </c>
      <c r="Y836">
        <v>457.20000000000005</v>
      </c>
      <c r="Z836">
        <v>0</v>
      </c>
      <c r="AA836">
        <v>0</v>
      </c>
      <c r="AB836">
        <v>0</v>
      </c>
      <c r="AC836">
        <v>0</v>
      </c>
      <c r="AD836">
        <v>3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1828.6</v>
      </c>
      <c r="AK836">
        <v>1800.7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560.70000000000005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  <c r="CN836">
        <v>0</v>
      </c>
      <c r="CO836">
        <v>0</v>
      </c>
      <c r="CP836">
        <v>3.5</v>
      </c>
      <c r="CQ836">
        <v>0</v>
      </c>
      <c r="CR836">
        <v>528</v>
      </c>
      <c r="CS836">
        <v>581.79999999999995</v>
      </c>
      <c r="CT836">
        <v>555.40000000000009</v>
      </c>
      <c r="CU836">
        <v>737.4</v>
      </c>
      <c r="CV836">
        <v>1039.0999999999999</v>
      </c>
      <c r="CW836">
        <v>1667.3</v>
      </c>
      <c r="CX836">
        <v>877.6</v>
      </c>
      <c r="CY836">
        <v>910.40000000000009</v>
      </c>
      <c r="CZ836">
        <v>0</v>
      </c>
      <c r="DA836">
        <v>0</v>
      </c>
      <c r="DB836">
        <v>0</v>
      </c>
      <c r="DC836">
        <v>0</v>
      </c>
      <c r="DD836">
        <v>0</v>
      </c>
      <c r="DE836">
        <v>0</v>
      </c>
      <c r="DF836">
        <v>0</v>
      </c>
      <c r="DG836">
        <v>0</v>
      </c>
      <c r="DH836">
        <v>0</v>
      </c>
      <c r="DI836">
        <v>0</v>
      </c>
      <c r="DJ836">
        <v>0</v>
      </c>
      <c r="DK836">
        <v>0</v>
      </c>
      <c r="DL836">
        <v>995.5</v>
      </c>
      <c r="DM836">
        <v>712.7</v>
      </c>
      <c r="DN836">
        <v>0</v>
      </c>
      <c r="DO836">
        <v>0</v>
      </c>
      <c r="DP836">
        <v>0</v>
      </c>
      <c r="DQ836">
        <v>0</v>
      </c>
      <c r="DR836">
        <v>0</v>
      </c>
      <c r="DS836">
        <v>0</v>
      </c>
      <c r="DT836">
        <v>0</v>
      </c>
      <c r="DU836">
        <v>0</v>
      </c>
      <c r="DV836">
        <v>0</v>
      </c>
      <c r="DW836">
        <v>0</v>
      </c>
      <c r="DX836">
        <v>0</v>
      </c>
      <c r="DY836">
        <v>0</v>
      </c>
      <c r="DZ836">
        <v>0</v>
      </c>
      <c r="EA836">
        <v>0</v>
      </c>
      <c r="EB836">
        <v>0</v>
      </c>
      <c r="EC836">
        <v>0</v>
      </c>
      <c r="ED836">
        <v>0</v>
      </c>
      <c r="EE836">
        <v>0</v>
      </c>
      <c r="EF836">
        <v>0</v>
      </c>
      <c r="EG836">
        <v>0</v>
      </c>
      <c r="EH836">
        <v>0</v>
      </c>
      <c r="EI836">
        <v>0</v>
      </c>
      <c r="EJ836">
        <v>0</v>
      </c>
      <c r="EK836">
        <v>0</v>
      </c>
      <c r="EL836">
        <v>0</v>
      </c>
      <c r="EM836">
        <v>0</v>
      </c>
      <c r="EN836">
        <v>27.4</v>
      </c>
      <c r="EO836">
        <v>0</v>
      </c>
      <c r="EP836">
        <v>1002.5</v>
      </c>
      <c r="EQ836">
        <v>0</v>
      </c>
      <c r="ER836">
        <v>494</v>
      </c>
      <c r="ES836">
        <v>0</v>
      </c>
      <c r="ET836">
        <v>699.3</v>
      </c>
      <c r="EU836">
        <v>435.4</v>
      </c>
      <c r="EV836">
        <v>0</v>
      </c>
      <c r="EW836">
        <v>0</v>
      </c>
      <c r="EX836">
        <v>0</v>
      </c>
      <c r="EY836">
        <v>0</v>
      </c>
      <c r="EZ836">
        <v>0</v>
      </c>
      <c r="FA836">
        <v>0</v>
      </c>
      <c r="FB836">
        <v>0</v>
      </c>
      <c r="FC836">
        <v>0</v>
      </c>
      <c r="FD836">
        <v>95.6</v>
      </c>
      <c r="FE836">
        <v>1792.1</v>
      </c>
      <c r="FF836">
        <v>1740.1999999999998</v>
      </c>
      <c r="FG836">
        <v>954.9</v>
      </c>
      <c r="FH836">
        <v>1087.8000000000002</v>
      </c>
      <c r="FI836">
        <v>1892.1</v>
      </c>
      <c r="FJ836">
        <v>1222.5</v>
      </c>
      <c r="FK836">
        <v>678.3</v>
      </c>
      <c r="FL836">
        <v>639.1</v>
      </c>
      <c r="FM836">
        <v>520.5</v>
      </c>
      <c r="FN836">
        <v>123.8</v>
      </c>
      <c r="FO836">
        <v>181.6</v>
      </c>
      <c r="FP836">
        <v>1090.5</v>
      </c>
      <c r="FQ836">
        <v>0</v>
      </c>
      <c r="FR836">
        <v>0</v>
      </c>
      <c r="FS836">
        <v>0</v>
      </c>
      <c r="FT836">
        <v>0</v>
      </c>
      <c r="FU836">
        <v>0</v>
      </c>
      <c r="FV836">
        <v>0</v>
      </c>
      <c r="FW836">
        <v>0</v>
      </c>
      <c r="FX836">
        <v>0</v>
      </c>
      <c r="FY836">
        <v>0</v>
      </c>
      <c r="FZ836">
        <v>0</v>
      </c>
      <c r="GA836">
        <v>0</v>
      </c>
      <c r="GB836">
        <v>0</v>
      </c>
      <c r="GC836">
        <v>0</v>
      </c>
      <c r="GD836">
        <v>0</v>
      </c>
      <c r="GE836">
        <v>0</v>
      </c>
      <c r="GF836">
        <v>198.3</v>
      </c>
      <c r="GG836">
        <v>1054.4000000000001</v>
      </c>
      <c r="GH836">
        <v>552.79999999999995</v>
      </c>
      <c r="GI836">
        <v>522</v>
      </c>
      <c r="GJ836">
        <v>0</v>
      </c>
      <c r="GK836">
        <v>0</v>
      </c>
      <c r="GL836">
        <v>0</v>
      </c>
      <c r="GM836">
        <v>0</v>
      </c>
      <c r="GN836">
        <v>791.40000000000009</v>
      </c>
      <c r="GO836">
        <v>1816.5</v>
      </c>
      <c r="GP836">
        <v>0</v>
      </c>
      <c r="GQ836">
        <v>0</v>
      </c>
      <c r="GR836">
        <v>0</v>
      </c>
      <c r="GS836">
        <v>0</v>
      </c>
      <c r="GT836">
        <v>0</v>
      </c>
      <c r="GU836">
        <v>0</v>
      </c>
      <c r="GV836">
        <v>0</v>
      </c>
      <c r="GW836">
        <v>0</v>
      </c>
      <c r="GX836">
        <v>0</v>
      </c>
      <c r="GY836">
        <v>840.3</v>
      </c>
      <c r="GZ836">
        <v>0</v>
      </c>
      <c r="HA836">
        <v>0</v>
      </c>
      <c r="HB836">
        <v>0</v>
      </c>
      <c r="HC836">
        <v>380.4</v>
      </c>
      <c r="HD836">
        <v>2175.5</v>
      </c>
      <c r="HE836">
        <v>0</v>
      </c>
      <c r="HF836">
        <v>0</v>
      </c>
      <c r="HG836">
        <v>0</v>
      </c>
      <c r="HH836">
        <v>0</v>
      </c>
      <c r="HI836">
        <v>0</v>
      </c>
      <c r="HJ836">
        <v>803.40000000000009</v>
      </c>
      <c r="HK836">
        <v>1270.9000000000001</v>
      </c>
      <c r="HL836">
        <v>835.7</v>
      </c>
      <c r="HM836">
        <v>1162.5999999999999</v>
      </c>
      <c r="HN836">
        <v>0</v>
      </c>
      <c r="HO836">
        <v>0</v>
      </c>
      <c r="HP836">
        <v>0</v>
      </c>
      <c r="HQ836">
        <v>0</v>
      </c>
      <c r="HR836">
        <v>161.19999999999999</v>
      </c>
      <c r="HS836">
        <v>0</v>
      </c>
      <c r="HT836">
        <v>2048.5</v>
      </c>
      <c r="HU836">
        <v>2627.5</v>
      </c>
      <c r="HV836">
        <v>1168.5999999999999</v>
      </c>
      <c r="HW836">
        <v>388</v>
      </c>
      <c r="HX836">
        <v>0</v>
      </c>
      <c r="HY836">
        <v>0</v>
      </c>
      <c r="HZ836">
        <v>0</v>
      </c>
      <c r="IA836">
        <v>0</v>
      </c>
      <c r="IB836">
        <v>0</v>
      </c>
      <c r="IC836">
        <v>594.4</v>
      </c>
      <c r="ID836">
        <v>427.4</v>
      </c>
      <c r="IE836">
        <v>713.3</v>
      </c>
      <c r="IF836">
        <v>626.1</v>
      </c>
      <c r="IG836">
        <v>0</v>
      </c>
      <c r="IH836">
        <v>0</v>
      </c>
      <c r="II836">
        <v>995.7</v>
      </c>
      <c r="IJ836">
        <v>1156.5999999999999</v>
      </c>
      <c r="IK836">
        <v>864.6</v>
      </c>
      <c r="IL836">
        <v>316.5</v>
      </c>
      <c r="IM836">
        <v>101.5</v>
      </c>
      <c r="IN836">
        <v>71.8</v>
      </c>
      <c r="IO836">
        <v>0</v>
      </c>
      <c r="IP836">
        <v>0</v>
      </c>
      <c r="IQ836">
        <v>0</v>
      </c>
      <c r="IR836">
        <v>0</v>
      </c>
      <c r="IS836">
        <v>0</v>
      </c>
      <c r="IT836">
        <v>0</v>
      </c>
      <c r="IU836">
        <v>0</v>
      </c>
      <c r="IV836">
        <v>0</v>
      </c>
      <c r="IW836">
        <v>68</v>
      </c>
      <c r="IX836">
        <v>404.7</v>
      </c>
      <c r="IY836">
        <v>126.6</v>
      </c>
      <c r="IZ836">
        <v>126.6</v>
      </c>
      <c r="JA836">
        <v>503.7</v>
      </c>
      <c r="JB836">
        <v>570.1</v>
      </c>
      <c r="JC836">
        <v>328.3</v>
      </c>
      <c r="JD836">
        <v>0</v>
      </c>
      <c r="JE836">
        <v>0</v>
      </c>
      <c r="JF836">
        <v>0</v>
      </c>
      <c r="JG836">
        <v>0</v>
      </c>
      <c r="JH836">
        <v>287.3</v>
      </c>
      <c r="JI836">
        <v>68.2</v>
      </c>
      <c r="JJ836">
        <v>0</v>
      </c>
      <c r="JK836">
        <v>148.6</v>
      </c>
      <c r="JL836">
        <v>0</v>
      </c>
      <c r="JM836">
        <v>0</v>
      </c>
      <c r="JN836">
        <v>204.5</v>
      </c>
      <c r="JO836">
        <v>292.10000000000002</v>
      </c>
      <c r="JP836">
        <v>670.8</v>
      </c>
      <c r="JQ836">
        <v>745.2</v>
      </c>
      <c r="JR836">
        <v>242.9</v>
      </c>
    </row>
    <row r="837" spans="2:278" ht="18" thickBot="1">
      <c r="B837" s="368" t="s">
        <v>1238</v>
      </c>
      <c r="C837" s="411" t="s">
        <v>1527</v>
      </c>
      <c r="D837" s="368" t="s">
        <v>1404</v>
      </c>
      <c r="E837" s="454">
        <v>22829.8</v>
      </c>
      <c r="F837">
        <v>20193.400000000001</v>
      </c>
      <c r="G837" s="427">
        <v>0</v>
      </c>
      <c r="H837" s="155">
        <v>0</v>
      </c>
      <c r="I837">
        <v>0</v>
      </c>
      <c r="J837">
        <v>0</v>
      </c>
      <c r="K837">
        <v>0</v>
      </c>
      <c r="L837" s="4">
        <v>0</v>
      </c>
      <c r="M837" s="4">
        <v>0</v>
      </c>
      <c r="N837" s="4">
        <v>0</v>
      </c>
      <c r="O837" s="4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1476.4</v>
      </c>
      <c r="X837">
        <v>1482</v>
      </c>
      <c r="Y837">
        <v>457.20000000000005</v>
      </c>
      <c r="Z837">
        <v>0</v>
      </c>
      <c r="AA837">
        <v>0</v>
      </c>
      <c r="AB837">
        <v>0</v>
      </c>
      <c r="AC837">
        <v>0</v>
      </c>
      <c r="AD837">
        <v>3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1828.6</v>
      </c>
      <c r="AK837">
        <v>1800.7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560.70000000000005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>
        <v>0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  <c r="CF837">
        <v>0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  <c r="CN837">
        <v>0</v>
      </c>
      <c r="CO837">
        <v>0</v>
      </c>
      <c r="CP837">
        <v>3.5</v>
      </c>
      <c r="CQ837">
        <v>0</v>
      </c>
      <c r="CR837">
        <v>528</v>
      </c>
      <c r="CS837">
        <v>581.79999999999995</v>
      </c>
      <c r="CT837">
        <v>555.40000000000009</v>
      </c>
      <c r="CU837">
        <v>737.4</v>
      </c>
      <c r="CV837">
        <v>1039.0999999999999</v>
      </c>
      <c r="CW837">
        <v>1667.3</v>
      </c>
      <c r="CX837">
        <v>877.6</v>
      </c>
      <c r="CY837">
        <v>910.40000000000009</v>
      </c>
      <c r="CZ837">
        <v>0</v>
      </c>
      <c r="DA837">
        <v>0</v>
      </c>
      <c r="DB837">
        <v>0</v>
      </c>
      <c r="DC837">
        <v>0</v>
      </c>
      <c r="DD837">
        <v>0</v>
      </c>
      <c r="DE837">
        <v>0</v>
      </c>
      <c r="DF837">
        <v>0</v>
      </c>
      <c r="DG837">
        <v>0</v>
      </c>
      <c r="DH837">
        <v>0</v>
      </c>
      <c r="DI837">
        <v>0</v>
      </c>
      <c r="DJ837">
        <v>0</v>
      </c>
      <c r="DK837">
        <v>0</v>
      </c>
      <c r="DL837">
        <v>995.5</v>
      </c>
      <c r="DM837">
        <v>712.7</v>
      </c>
      <c r="DN837">
        <v>0</v>
      </c>
      <c r="DO837">
        <v>0</v>
      </c>
      <c r="DP837">
        <v>0</v>
      </c>
      <c r="DQ837">
        <v>0</v>
      </c>
      <c r="DR837">
        <v>0</v>
      </c>
      <c r="DS837">
        <v>0</v>
      </c>
      <c r="DT837">
        <v>0</v>
      </c>
      <c r="DU837">
        <v>0</v>
      </c>
      <c r="DV837">
        <v>0</v>
      </c>
      <c r="DW837">
        <v>0</v>
      </c>
      <c r="DX837">
        <v>0</v>
      </c>
      <c r="DY837">
        <v>0</v>
      </c>
      <c r="DZ837">
        <v>0</v>
      </c>
      <c r="EA837">
        <v>0</v>
      </c>
      <c r="EB837">
        <v>0</v>
      </c>
      <c r="EC837">
        <v>0</v>
      </c>
      <c r="ED837">
        <v>0</v>
      </c>
      <c r="EE837">
        <v>0</v>
      </c>
      <c r="EF837">
        <v>0</v>
      </c>
      <c r="EG837">
        <v>0</v>
      </c>
      <c r="EH837">
        <v>0</v>
      </c>
      <c r="EI837">
        <v>0</v>
      </c>
      <c r="EJ837">
        <v>0</v>
      </c>
      <c r="EK837">
        <v>0</v>
      </c>
      <c r="EL837">
        <v>0</v>
      </c>
      <c r="EM837">
        <v>0</v>
      </c>
      <c r="EN837">
        <v>27.4</v>
      </c>
      <c r="EO837">
        <v>0</v>
      </c>
      <c r="EP837">
        <v>1002.5</v>
      </c>
      <c r="EQ837">
        <v>0</v>
      </c>
      <c r="ER837">
        <v>494</v>
      </c>
      <c r="ES837">
        <v>0</v>
      </c>
      <c r="ET837">
        <v>699.3</v>
      </c>
      <c r="EU837">
        <v>435.4</v>
      </c>
      <c r="EV837">
        <v>0</v>
      </c>
      <c r="EW837">
        <v>0</v>
      </c>
      <c r="EX837">
        <v>0</v>
      </c>
      <c r="EY837">
        <v>0</v>
      </c>
      <c r="EZ837">
        <v>0</v>
      </c>
      <c r="FA837">
        <v>0</v>
      </c>
      <c r="FB837">
        <v>0</v>
      </c>
      <c r="FC837">
        <v>0</v>
      </c>
      <c r="FD837">
        <v>95.6</v>
      </c>
      <c r="FE837">
        <v>1792.1</v>
      </c>
      <c r="FF837">
        <v>1740.1999999999998</v>
      </c>
      <c r="FG837">
        <v>954.9</v>
      </c>
      <c r="FH837">
        <v>1087.8000000000002</v>
      </c>
      <c r="FI837">
        <v>1892.1</v>
      </c>
      <c r="FJ837">
        <v>1222.5</v>
      </c>
      <c r="FK837">
        <v>678.3</v>
      </c>
      <c r="FL837">
        <v>639.1</v>
      </c>
      <c r="FM837">
        <v>520.5</v>
      </c>
      <c r="FN837">
        <v>123.8</v>
      </c>
      <c r="FO837">
        <v>181.6</v>
      </c>
      <c r="FP837">
        <v>1090.5</v>
      </c>
      <c r="FQ837">
        <v>0</v>
      </c>
      <c r="FR837">
        <v>0</v>
      </c>
      <c r="FS837">
        <v>0</v>
      </c>
      <c r="FT837">
        <v>0</v>
      </c>
      <c r="FU837">
        <v>0</v>
      </c>
      <c r="FV837">
        <v>0</v>
      </c>
      <c r="FW837">
        <v>0</v>
      </c>
      <c r="FX837">
        <v>0</v>
      </c>
      <c r="FY837">
        <v>0</v>
      </c>
      <c r="FZ837">
        <v>0</v>
      </c>
      <c r="GA837">
        <v>0</v>
      </c>
      <c r="GB837">
        <v>0</v>
      </c>
      <c r="GC837">
        <v>0</v>
      </c>
      <c r="GD837">
        <v>0</v>
      </c>
      <c r="GE837">
        <v>0</v>
      </c>
      <c r="GF837">
        <v>198.3</v>
      </c>
      <c r="GG837">
        <v>1054.4000000000001</v>
      </c>
      <c r="GH837">
        <v>552.79999999999995</v>
      </c>
      <c r="GI837">
        <v>522</v>
      </c>
      <c r="GJ837">
        <v>0</v>
      </c>
      <c r="GK837">
        <v>0</v>
      </c>
      <c r="GL837">
        <v>0</v>
      </c>
      <c r="GM837">
        <v>0</v>
      </c>
      <c r="GN837">
        <v>791.40000000000009</v>
      </c>
      <c r="GO837">
        <v>1816.5</v>
      </c>
      <c r="GP837">
        <v>0</v>
      </c>
      <c r="GQ837">
        <v>0</v>
      </c>
      <c r="GR837">
        <v>0</v>
      </c>
      <c r="GS837">
        <v>0</v>
      </c>
      <c r="GT837">
        <v>0</v>
      </c>
      <c r="GU837">
        <v>0</v>
      </c>
      <c r="GV837">
        <v>0</v>
      </c>
      <c r="GW837">
        <v>0</v>
      </c>
      <c r="GX837">
        <v>0</v>
      </c>
      <c r="GY837">
        <v>840.3</v>
      </c>
      <c r="GZ837">
        <v>0</v>
      </c>
      <c r="HA837">
        <v>0</v>
      </c>
      <c r="HB837">
        <v>0</v>
      </c>
      <c r="HC837">
        <v>380.4</v>
      </c>
      <c r="HD837">
        <v>2175.5</v>
      </c>
      <c r="HE837">
        <v>0</v>
      </c>
      <c r="HF837">
        <v>0</v>
      </c>
      <c r="HG837">
        <v>0</v>
      </c>
      <c r="HH837">
        <v>0</v>
      </c>
      <c r="HI837">
        <v>0</v>
      </c>
      <c r="HJ837">
        <v>803.40000000000009</v>
      </c>
      <c r="HK837">
        <v>1270.9000000000001</v>
      </c>
      <c r="HL837">
        <v>835.7</v>
      </c>
      <c r="HM837">
        <v>1162.5999999999999</v>
      </c>
      <c r="HN837">
        <v>0</v>
      </c>
      <c r="HO837">
        <v>0</v>
      </c>
      <c r="HP837">
        <v>0</v>
      </c>
      <c r="HQ837">
        <v>0</v>
      </c>
      <c r="HR837">
        <v>161.19999999999999</v>
      </c>
      <c r="HS837">
        <v>0</v>
      </c>
      <c r="HT837">
        <v>2048.5</v>
      </c>
      <c r="HU837">
        <v>2627.5</v>
      </c>
      <c r="HV837">
        <v>1168.5999999999999</v>
      </c>
      <c r="HW837">
        <v>388</v>
      </c>
      <c r="HX837">
        <v>0</v>
      </c>
      <c r="HY837">
        <v>0</v>
      </c>
      <c r="HZ837">
        <v>0</v>
      </c>
      <c r="IA837">
        <v>0</v>
      </c>
      <c r="IB837">
        <v>0</v>
      </c>
      <c r="IC837">
        <v>594.4</v>
      </c>
      <c r="ID837">
        <v>427.4</v>
      </c>
      <c r="IE837">
        <v>713.3</v>
      </c>
      <c r="IF837">
        <v>626.1</v>
      </c>
      <c r="IG837">
        <v>0</v>
      </c>
      <c r="IH837">
        <v>0</v>
      </c>
      <c r="II837">
        <v>995.7</v>
      </c>
      <c r="IJ837">
        <v>1156.5999999999999</v>
      </c>
      <c r="IK837">
        <v>864.6</v>
      </c>
      <c r="IL837">
        <v>316.5</v>
      </c>
      <c r="IM837">
        <v>101.5</v>
      </c>
      <c r="IN837">
        <v>71.8</v>
      </c>
      <c r="IO837">
        <v>0</v>
      </c>
      <c r="IP837">
        <v>0</v>
      </c>
      <c r="IQ837">
        <v>0</v>
      </c>
      <c r="IR837">
        <v>0</v>
      </c>
      <c r="IS837">
        <v>0</v>
      </c>
      <c r="IT837">
        <v>0</v>
      </c>
      <c r="IU837">
        <v>0</v>
      </c>
      <c r="IV837">
        <v>0</v>
      </c>
      <c r="IW837">
        <v>68</v>
      </c>
      <c r="IX837">
        <v>404.7</v>
      </c>
      <c r="IY837">
        <v>126.6</v>
      </c>
      <c r="IZ837">
        <v>126.6</v>
      </c>
      <c r="JA837">
        <v>503.7</v>
      </c>
      <c r="JB837">
        <v>570.1</v>
      </c>
      <c r="JC837">
        <v>328.3</v>
      </c>
      <c r="JD837">
        <v>0</v>
      </c>
      <c r="JE837">
        <v>0</v>
      </c>
      <c r="JF837">
        <v>0</v>
      </c>
      <c r="JG837">
        <v>0</v>
      </c>
      <c r="JH837">
        <v>287.3</v>
      </c>
      <c r="JI837">
        <v>68.2</v>
      </c>
      <c r="JJ837">
        <v>0</v>
      </c>
      <c r="JK837">
        <v>148.6</v>
      </c>
      <c r="JL837">
        <v>0</v>
      </c>
      <c r="JM837">
        <v>0</v>
      </c>
      <c r="JN837">
        <v>204.5</v>
      </c>
      <c r="JO837">
        <v>292.10000000000002</v>
      </c>
      <c r="JP837">
        <v>670.8</v>
      </c>
      <c r="JQ837">
        <v>745.2</v>
      </c>
      <c r="JR837">
        <v>242.9</v>
      </c>
    </row>
    <row r="838" spans="2:278" ht="18" thickBot="1">
      <c r="B838" s="368" t="s">
        <v>1239</v>
      </c>
      <c r="C838" s="411" t="s">
        <v>1528</v>
      </c>
      <c r="D838" s="368" t="s">
        <v>1405</v>
      </c>
      <c r="E838" s="454">
        <v>22829.8</v>
      </c>
      <c r="F838">
        <v>20193.400000000001</v>
      </c>
      <c r="G838" s="427">
        <v>0</v>
      </c>
      <c r="H838" s="155">
        <v>0</v>
      </c>
      <c r="I838">
        <v>0</v>
      </c>
      <c r="J838">
        <v>0</v>
      </c>
      <c r="K838">
        <v>0</v>
      </c>
      <c r="L838" s="4">
        <v>0</v>
      </c>
      <c r="M838" s="4">
        <v>0</v>
      </c>
      <c r="N838" s="4">
        <v>0</v>
      </c>
      <c r="O838" s="4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1476.4</v>
      </c>
      <c r="X838">
        <v>1482</v>
      </c>
      <c r="Y838">
        <v>457.20000000000005</v>
      </c>
      <c r="Z838">
        <v>0</v>
      </c>
      <c r="AA838">
        <v>0</v>
      </c>
      <c r="AB838">
        <v>0</v>
      </c>
      <c r="AC838">
        <v>0</v>
      </c>
      <c r="AD838">
        <v>3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1828.6</v>
      </c>
      <c r="AK838">
        <v>1800.7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560.70000000000005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  <c r="CF838">
        <v>0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  <c r="CN838">
        <v>0</v>
      </c>
      <c r="CO838">
        <v>0</v>
      </c>
      <c r="CP838">
        <v>3.5</v>
      </c>
      <c r="CQ838">
        <v>0</v>
      </c>
      <c r="CR838">
        <v>528</v>
      </c>
      <c r="CS838">
        <v>581.79999999999995</v>
      </c>
      <c r="CT838">
        <v>555.40000000000009</v>
      </c>
      <c r="CU838">
        <v>737.4</v>
      </c>
      <c r="CV838">
        <v>1039.0999999999999</v>
      </c>
      <c r="CW838">
        <v>1667.3</v>
      </c>
      <c r="CX838">
        <v>877.6</v>
      </c>
      <c r="CY838">
        <v>910.40000000000009</v>
      </c>
      <c r="CZ838">
        <v>0</v>
      </c>
      <c r="DA838">
        <v>0</v>
      </c>
      <c r="DB838">
        <v>0</v>
      </c>
      <c r="DC838">
        <v>0</v>
      </c>
      <c r="DD838">
        <v>0</v>
      </c>
      <c r="DE838">
        <v>0</v>
      </c>
      <c r="DF838">
        <v>0</v>
      </c>
      <c r="DG838">
        <v>0</v>
      </c>
      <c r="DH838">
        <v>0</v>
      </c>
      <c r="DI838">
        <v>0</v>
      </c>
      <c r="DJ838">
        <v>0</v>
      </c>
      <c r="DK838">
        <v>0</v>
      </c>
      <c r="DL838">
        <v>995.5</v>
      </c>
      <c r="DM838">
        <v>712.7</v>
      </c>
      <c r="DN838">
        <v>0</v>
      </c>
      <c r="DO838">
        <v>0</v>
      </c>
      <c r="DP838">
        <v>0</v>
      </c>
      <c r="DQ838">
        <v>0</v>
      </c>
      <c r="DR838">
        <v>0</v>
      </c>
      <c r="DS838">
        <v>0</v>
      </c>
      <c r="DT838">
        <v>0</v>
      </c>
      <c r="DU838">
        <v>0</v>
      </c>
      <c r="DV838">
        <v>0</v>
      </c>
      <c r="DW838">
        <v>0</v>
      </c>
      <c r="DX838">
        <v>0</v>
      </c>
      <c r="DY838">
        <v>0</v>
      </c>
      <c r="DZ838">
        <v>0</v>
      </c>
      <c r="EA838">
        <v>0</v>
      </c>
      <c r="EB838">
        <v>0</v>
      </c>
      <c r="EC838">
        <v>0</v>
      </c>
      <c r="ED838">
        <v>0</v>
      </c>
      <c r="EE838">
        <v>0</v>
      </c>
      <c r="EF838">
        <v>0</v>
      </c>
      <c r="EG838">
        <v>0</v>
      </c>
      <c r="EH838">
        <v>0</v>
      </c>
      <c r="EI838">
        <v>0</v>
      </c>
      <c r="EJ838">
        <v>0</v>
      </c>
      <c r="EK838">
        <v>0</v>
      </c>
      <c r="EL838">
        <v>0</v>
      </c>
      <c r="EM838">
        <v>0</v>
      </c>
      <c r="EN838">
        <v>27.4</v>
      </c>
      <c r="EO838">
        <v>0</v>
      </c>
      <c r="EP838">
        <v>1002.5</v>
      </c>
      <c r="EQ838">
        <v>0</v>
      </c>
      <c r="ER838">
        <v>494</v>
      </c>
      <c r="ES838">
        <v>0</v>
      </c>
      <c r="ET838">
        <v>699.3</v>
      </c>
      <c r="EU838">
        <v>435.4</v>
      </c>
      <c r="EV838">
        <v>0</v>
      </c>
      <c r="EW838">
        <v>0</v>
      </c>
      <c r="EX838">
        <v>0</v>
      </c>
      <c r="EY838">
        <v>0</v>
      </c>
      <c r="EZ838">
        <v>0</v>
      </c>
      <c r="FA838">
        <v>0</v>
      </c>
      <c r="FB838">
        <v>0</v>
      </c>
      <c r="FC838">
        <v>0</v>
      </c>
      <c r="FD838">
        <v>95.6</v>
      </c>
      <c r="FE838">
        <v>1792.1</v>
      </c>
      <c r="FF838">
        <v>1740.1999999999998</v>
      </c>
      <c r="FG838">
        <v>954.9</v>
      </c>
      <c r="FH838">
        <v>1087.8000000000002</v>
      </c>
      <c r="FI838">
        <v>1892.1</v>
      </c>
      <c r="FJ838">
        <v>1222.5</v>
      </c>
      <c r="FK838">
        <v>678.3</v>
      </c>
      <c r="FL838">
        <v>639.1</v>
      </c>
      <c r="FM838">
        <v>520.5</v>
      </c>
      <c r="FN838">
        <v>123.8</v>
      </c>
      <c r="FO838">
        <v>181.6</v>
      </c>
      <c r="FP838">
        <v>1090.5</v>
      </c>
      <c r="FQ838">
        <v>0</v>
      </c>
      <c r="FR838">
        <v>0</v>
      </c>
      <c r="FS838">
        <v>0</v>
      </c>
      <c r="FT838">
        <v>0</v>
      </c>
      <c r="FU838">
        <v>0</v>
      </c>
      <c r="FV838">
        <v>0</v>
      </c>
      <c r="FW838">
        <v>0</v>
      </c>
      <c r="FX838">
        <v>0</v>
      </c>
      <c r="FY838">
        <v>0</v>
      </c>
      <c r="FZ838">
        <v>0</v>
      </c>
      <c r="GA838">
        <v>0</v>
      </c>
      <c r="GB838">
        <v>0</v>
      </c>
      <c r="GC838">
        <v>0</v>
      </c>
      <c r="GD838">
        <v>0</v>
      </c>
      <c r="GE838">
        <v>0</v>
      </c>
      <c r="GF838">
        <v>198.3</v>
      </c>
      <c r="GG838">
        <v>1054.4000000000001</v>
      </c>
      <c r="GH838">
        <v>552.79999999999995</v>
      </c>
      <c r="GI838">
        <v>522</v>
      </c>
      <c r="GJ838">
        <v>0</v>
      </c>
      <c r="GK838">
        <v>0</v>
      </c>
      <c r="GL838">
        <v>0</v>
      </c>
      <c r="GM838">
        <v>0</v>
      </c>
      <c r="GN838">
        <v>791.40000000000009</v>
      </c>
      <c r="GO838">
        <v>1816.5</v>
      </c>
      <c r="GP838">
        <v>0</v>
      </c>
      <c r="GQ838">
        <v>0</v>
      </c>
      <c r="GR838">
        <v>0</v>
      </c>
      <c r="GS838">
        <v>0</v>
      </c>
      <c r="GT838">
        <v>0</v>
      </c>
      <c r="GU838">
        <v>0</v>
      </c>
      <c r="GV838">
        <v>0</v>
      </c>
      <c r="GW838">
        <v>0</v>
      </c>
      <c r="GX838">
        <v>0</v>
      </c>
      <c r="GY838">
        <v>840.3</v>
      </c>
      <c r="GZ838">
        <v>0</v>
      </c>
      <c r="HA838">
        <v>0</v>
      </c>
      <c r="HB838">
        <v>0</v>
      </c>
      <c r="HC838">
        <v>380.4</v>
      </c>
      <c r="HD838">
        <v>2175.5</v>
      </c>
      <c r="HE838">
        <v>0</v>
      </c>
      <c r="HF838">
        <v>0</v>
      </c>
      <c r="HG838">
        <v>0</v>
      </c>
      <c r="HH838">
        <v>0</v>
      </c>
      <c r="HI838">
        <v>0</v>
      </c>
      <c r="HJ838">
        <v>803.40000000000009</v>
      </c>
      <c r="HK838">
        <v>1270.9000000000001</v>
      </c>
      <c r="HL838">
        <v>835.7</v>
      </c>
      <c r="HM838">
        <v>1162.5999999999999</v>
      </c>
      <c r="HN838">
        <v>0</v>
      </c>
      <c r="HO838">
        <v>0</v>
      </c>
      <c r="HP838">
        <v>0</v>
      </c>
      <c r="HQ838">
        <v>0</v>
      </c>
      <c r="HR838">
        <v>161.19999999999999</v>
      </c>
      <c r="HS838">
        <v>0</v>
      </c>
      <c r="HT838">
        <v>2048.5</v>
      </c>
      <c r="HU838">
        <v>2627.5</v>
      </c>
      <c r="HV838">
        <v>1168.5999999999999</v>
      </c>
      <c r="HW838">
        <v>388</v>
      </c>
      <c r="HX838">
        <v>0</v>
      </c>
      <c r="HY838">
        <v>0</v>
      </c>
      <c r="HZ838">
        <v>0</v>
      </c>
      <c r="IA838">
        <v>0</v>
      </c>
      <c r="IB838">
        <v>0</v>
      </c>
      <c r="IC838">
        <v>594.4</v>
      </c>
      <c r="ID838">
        <v>427.4</v>
      </c>
      <c r="IE838">
        <v>713.3</v>
      </c>
      <c r="IF838">
        <v>626.1</v>
      </c>
      <c r="IG838">
        <v>0</v>
      </c>
      <c r="IH838">
        <v>0</v>
      </c>
      <c r="II838">
        <v>995.7</v>
      </c>
      <c r="IJ838">
        <v>1156.5999999999999</v>
      </c>
      <c r="IK838">
        <v>864.6</v>
      </c>
      <c r="IL838">
        <v>316.5</v>
      </c>
      <c r="IM838">
        <v>101.5</v>
      </c>
      <c r="IN838">
        <v>71.8</v>
      </c>
      <c r="IO838">
        <v>0</v>
      </c>
      <c r="IP838">
        <v>0</v>
      </c>
      <c r="IQ838">
        <v>0</v>
      </c>
      <c r="IR838">
        <v>0</v>
      </c>
      <c r="IS838">
        <v>0</v>
      </c>
      <c r="IT838">
        <v>0</v>
      </c>
      <c r="IU838">
        <v>0</v>
      </c>
      <c r="IV838">
        <v>0</v>
      </c>
      <c r="IW838">
        <v>68</v>
      </c>
      <c r="IX838">
        <v>404.7</v>
      </c>
      <c r="IY838">
        <v>126.6</v>
      </c>
      <c r="IZ838">
        <v>126.6</v>
      </c>
      <c r="JA838">
        <v>503.7</v>
      </c>
      <c r="JB838">
        <v>570.1</v>
      </c>
      <c r="JC838">
        <v>328.3</v>
      </c>
      <c r="JD838">
        <v>0</v>
      </c>
      <c r="JE838">
        <v>0</v>
      </c>
      <c r="JF838">
        <v>0</v>
      </c>
      <c r="JG838">
        <v>0</v>
      </c>
      <c r="JH838">
        <v>287.3</v>
      </c>
      <c r="JI838">
        <v>68.2</v>
      </c>
      <c r="JJ838">
        <v>0</v>
      </c>
      <c r="JK838">
        <v>148.6</v>
      </c>
      <c r="JL838">
        <v>0</v>
      </c>
      <c r="JM838">
        <v>0</v>
      </c>
      <c r="JN838">
        <v>204.5</v>
      </c>
      <c r="JO838">
        <v>292.10000000000002</v>
      </c>
      <c r="JP838">
        <v>670.8</v>
      </c>
      <c r="JQ838">
        <v>745.2</v>
      </c>
      <c r="JR838">
        <v>242.9</v>
      </c>
    </row>
    <row r="839" spans="2:278" ht="18" thickBot="1">
      <c r="B839" s="368" t="s">
        <v>969</v>
      </c>
      <c r="C839" s="411" t="s">
        <v>1529</v>
      </c>
      <c r="D839" s="368" t="s">
        <v>1406</v>
      </c>
      <c r="E839" s="454">
        <v>22829.8</v>
      </c>
      <c r="F839">
        <v>20193.400000000001</v>
      </c>
      <c r="G839" s="427">
        <v>0</v>
      </c>
      <c r="H839" s="155">
        <v>0</v>
      </c>
      <c r="I839">
        <v>0</v>
      </c>
      <c r="J839">
        <v>0</v>
      </c>
      <c r="K839">
        <v>0</v>
      </c>
      <c r="L839" s="4">
        <v>0</v>
      </c>
      <c r="M839" s="4">
        <v>0</v>
      </c>
      <c r="N839" s="4">
        <v>0</v>
      </c>
      <c r="O839" s="4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1476.4</v>
      </c>
      <c r="X839">
        <v>1482</v>
      </c>
      <c r="Y839">
        <v>457.20000000000005</v>
      </c>
      <c r="Z839">
        <v>0</v>
      </c>
      <c r="AA839">
        <v>0</v>
      </c>
      <c r="AB839">
        <v>0</v>
      </c>
      <c r="AC839">
        <v>0</v>
      </c>
      <c r="AD839">
        <v>3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1828.6</v>
      </c>
      <c r="AK839">
        <v>1800.7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560.70000000000005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  <c r="CN839">
        <v>0</v>
      </c>
      <c r="CO839">
        <v>0</v>
      </c>
      <c r="CP839">
        <v>3.5</v>
      </c>
      <c r="CQ839">
        <v>0</v>
      </c>
      <c r="CR839">
        <v>528</v>
      </c>
      <c r="CS839">
        <v>581.79999999999995</v>
      </c>
      <c r="CT839">
        <v>555.40000000000009</v>
      </c>
      <c r="CU839">
        <v>737.4</v>
      </c>
      <c r="CV839">
        <v>1039.0999999999999</v>
      </c>
      <c r="CW839">
        <v>1667.3</v>
      </c>
      <c r="CX839">
        <v>877.6</v>
      </c>
      <c r="CY839">
        <v>910.40000000000009</v>
      </c>
      <c r="CZ839">
        <v>0</v>
      </c>
      <c r="DA839">
        <v>0</v>
      </c>
      <c r="DB839">
        <v>0</v>
      </c>
      <c r="DC839">
        <v>0</v>
      </c>
      <c r="DD839">
        <v>0</v>
      </c>
      <c r="DE839">
        <v>0</v>
      </c>
      <c r="DF839">
        <v>0</v>
      </c>
      <c r="DG839">
        <v>0</v>
      </c>
      <c r="DH839">
        <v>0</v>
      </c>
      <c r="DI839">
        <v>0</v>
      </c>
      <c r="DJ839">
        <v>0</v>
      </c>
      <c r="DK839">
        <v>0</v>
      </c>
      <c r="DL839">
        <v>995.5</v>
      </c>
      <c r="DM839">
        <v>712.7</v>
      </c>
      <c r="DN839">
        <v>0</v>
      </c>
      <c r="DO839">
        <v>0</v>
      </c>
      <c r="DP839">
        <v>0</v>
      </c>
      <c r="DQ839">
        <v>0</v>
      </c>
      <c r="DR839">
        <v>0</v>
      </c>
      <c r="DS839">
        <v>0</v>
      </c>
      <c r="DT839">
        <v>0</v>
      </c>
      <c r="DU839">
        <v>0</v>
      </c>
      <c r="DV839">
        <v>0</v>
      </c>
      <c r="DW839">
        <v>0</v>
      </c>
      <c r="DX839">
        <v>0</v>
      </c>
      <c r="DY839">
        <v>0</v>
      </c>
      <c r="DZ839">
        <v>0</v>
      </c>
      <c r="EA839">
        <v>0</v>
      </c>
      <c r="EB839">
        <v>0</v>
      </c>
      <c r="EC839">
        <v>0</v>
      </c>
      <c r="ED839">
        <v>0</v>
      </c>
      <c r="EE839">
        <v>0</v>
      </c>
      <c r="EF839">
        <v>0</v>
      </c>
      <c r="EG839">
        <v>0</v>
      </c>
      <c r="EH839">
        <v>0</v>
      </c>
      <c r="EI839">
        <v>0</v>
      </c>
      <c r="EJ839">
        <v>0</v>
      </c>
      <c r="EK839">
        <v>0</v>
      </c>
      <c r="EL839">
        <v>0</v>
      </c>
      <c r="EM839">
        <v>0</v>
      </c>
      <c r="EN839">
        <v>27.4</v>
      </c>
      <c r="EO839">
        <v>0</v>
      </c>
      <c r="EP839">
        <v>1002.5</v>
      </c>
      <c r="EQ839">
        <v>0</v>
      </c>
      <c r="ER839">
        <v>494</v>
      </c>
      <c r="ES839">
        <v>0</v>
      </c>
      <c r="ET839">
        <v>699.3</v>
      </c>
      <c r="EU839">
        <v>435.4</v>
      </c>
      <c r="EV839">
        <v>0</v>
      </c>
      <c r="EW839">
        <v>0</v>
      </c>
      <c r="EX839">
        <v>0</v>
      </c>
      <c r="EY839">
        <v>0</v>
      </c>
      <c r="EZ839">
        <v>0</v>
      </c>
      <c r="FA839">
        <v>0</v>
      </c>
      <c r="FB839">
        <v>0</v>
      </c>
      <c r="FC839">
        <v>0</v>
      </c>
      <c r="FD839">
        <v>95.6</v>
      </c>
      <c r="FE839">
        <v>1792.1</v>
      </c>
      <c r="FF839">
        <v>1740.1999999999998</v>
      </c>
      <c r="FG839">
        <v>954.9</v>
      </c>
      <c r="FH839">
        <v>1087.8000000000002</v>
      </c>
      <c r="FI839">
        <v>1892.1</v>
      </c>
      <c r="FJ839">
        <v>1222.5</v>
      </c>
      <c r="FK839">
        <v>678.3</v>
      </c>
      <c r="FL839">
        <v>639.1</v>
      </c>
      <c r="FM839">
        <v>520.5</v>
      </c>
      <c r="FN839">
        <v>123.8</v>
      </c>
      <c r="FO839">
        <v>181.6</v>
      </c>
      <c r="FP839">
        <v>1090.5</v>
      </c>
      <c r="FQ839">
        <v>0</v>
      </c>
      <c r="FR839">
        <v>0</v>
      </c>
      <c r="FS839">
        <v>0</v>
      </c>
      <c r="FT839">
        <v>0</v>
      </c>
      <c r="FU839">
        <v>0</v>
      </c>
      <c r="FV839">
        <v>0</v>
      </c>
      <c r="FW839">
        <v>0</v>
      </c>
      <c r="FX839">
        <v>0</v>
      </c>
      <c r="FY839">
        <v>0</v>
      </c>
      <c r="FZ839">
        <v>0</v>
      </c>
      <c r="GA839">
        <v>0</v>
      </c>
      <c r="GB839">
        <v>0</v>
      </c>
      <c r="GC839">
        <v>0</v>
      </c>
      <c r="GD839">
        <v>0</v>
      </c>
      <c r="GE839">
        <v>0</v>
      </c>
      <c r="GF839">
        <v>198.3</v>
      </c>
      <c r="GG839">
        <v>1054.4000000000001</v>
      </c>
      <c r="GH839">
        <v>552.79999999999995</v>
      </c>
      <c r="GI839">
        <v>522</v>
      </c>
      <c r="GJ839">
        <v>0</v>
      </c>
      <c r="GK839">
        <v>0</v>
      </c>
      <c r="GL839">
        <v>0</v>
      </c>
      <c r="GM839">
        <v>0</v>
      </c>
      <c r="GN839">
        <v>791.40000000000009</v>
      </c>
      <c r="GO839">
        <v>1816.5</v>
      </c>
      <c r="GP839">
        <v>0</v>
      </c>
      <c r="GQ839">
        <v>0</v>
      </c>
      <c r="GR839">
        <v>0</v>
      </c>
      <c r="GS839">
        <v>0</v>
      </c>
      <c r="GT839">
        <v>0</v>
      </c>
      <c r="GU839">
        <v>0</v>
      </c>
      <c r="GV839">
        <v>0</v>
      </c>
      <c r="GW839">
        <v>0</v>
      </c>
      <c r="GX839">
        <v>0</v>
      </c>
      <c r="GY839">
        <v>840.3</v>
      </c>
      <c r="GZ839">
        <v>0</v>
      </c>
      <c r="HA839">
        <v>0</v>
      </c>
      <c r="HB839">
        <v>0</v>
      </c>
      <c r="HC839">
        <v>380.4</v>
      </c>
      <c r="HD839">
        <v>2175.5</v>
      </c>
      <c r="HE839">
        <v>0</v>
      </c>
      <c r="HF839">
        <v>0</v>
      </c>
      <c r="HG839">
        <v>0</v>
      </c>
      <c r="HH839">
        <v>0</v>
      </c>
      <c r="HI839">
        <v>0</v>
      </c>
      <c r="HJ839">
        <v>803.40000000000009</v>
      </c>
      <c r="HK839">
        <v>1270.9000000000001</v>
      </c>
      <c r="HL839">
        <v>835.7</v>
      </c>
      <c r="HM839">
        <v>1162.5999999999999</v>
      </c>
      <c r="HN839">
        <v>0</v>
      </c>
      <c r="HO839">
        <v>0</v>
      </c>
      <c r="HP839">
        <v>0</v>
      </c>
      <c r="HQ839">
        <v>0</v>
      </c>
      <c r="HR839">
        <v>161.19999999999999</v>
      </c>
      <c r="HS839">
        <v>0</v>
      </c>
      <c r="HT839">
        <v>2048.5</v>
      </c>
      <c r="HU839">
        <v>2627.5</v>
      </c>
      <c r="HV839">
        <v>1168.5999999999999</v>
      </c>
      <c r="HW839">
        <v>388</v>
      </c>
      <c r="HX839">
        <v>0</v>
      </c>
      <c r="HY839">
        <v>0</v>
      </c>
      <c r="HZ839">
        <v>0</v>
      </c>
      <c r="IA839">
        <v>0</v>
      </c>
      <c r="IB839">
        <v>0</v>
      </c>
      <c r="IC839">
        <v>594.4</v>
      </c>
      <c r="ID839">
        <v>427.4</v>
      </c>
      <c r="IE839">
        <v>713.3</v>
      </c>
      <c r="IF839">
        <v>626.1</v>
      </c>
      <c r="IG839">
        <v>0</v>
      </c>
      <c r="IH839">
        <v>0</v>
      </c>
      <c r="II839">
        <v>995.7</v>
      </c>
      <c r="IJ839">
        <v>1156.5999999999999</v>
      </c>
      <c r="IK839">
        <v>864.6</v>
      </c>
      <c r="IL839">
        <v>316.5</v>
      </c>
      <c r="IM839">
        <v>101.5</v>
      </c>
      <c r="IN839">
        <v>71.8</v>
      </c>
      <c r="IO839">
        <v>0</v>
      </c>
      <c r="IP839">
        <v>0</v>
      </c>
      <c r="IQ839">
        <v>0</v>
      </c>
      <c r="IR839">
        <v>0</v>
      </c>
      <c r="IS839">
        <v>0</v>
      </c>
      <c r="IT839">
        <v>0</v>
      </c>
      <c r="IU839">
        <v>0</v>
      </c>
      <c r="IV839">
        <v>0</v>
      </c>
      <c r="IW839">
        <v>68</v>
      </c>
      <c r="IX839">
        <v>404.7</v>
      </c>
      <c r="IY839">
        <v>126.6</v>
      </c>
      <c r="IZ839">
        <v>126.6</v>
      </c>
      <c r="JA839">
        <v>503.7</v>
      </c>
      <c r="JB839">
        <v>570.1</v>
      </c>
      <c r="JC839">
        <v>328.3</v>
      </c>
      <c r="JD839">
        <v>0</v>
      </c>
      <c r="JE839">
        <v>0</v>
      </c>
      <c r="JF839">
        <v>0</v>
      </c>
      <c r="JG839">
        <v>0</v>
      </c>
      <c r="JH839">
        <v>287.3</v>
      </c>
      <c r="JI839">
        <v>68.2</v>
      </c>
      <c r="JJ839">
        <v>0</v>
      </c>
      <c r="JK839">
        <v>148.6</v>
      </c>
      <c r="JL839">
        <v>0</v>
      </c>
      <c r="JM839">
        <v>0</v>
      </c>
      <c r="JN839">
        <v>204.5</v>
      </c>
      <c r="JO839">
        <v>292.10000000000002</v>
      </c>
      <c r="JP839">
        <v>670.8</v>
      </c>
      <c r="JQ839">
        <v>745.2</v>
      </c>
      <c r="JR839">
        <v>242.9</v>
      </c>
    </row>
    <row r="840" spans="2:278" ht="18" thickBot="1">
      <c r="B840" s="368" t="s">
        <v>1240</v>
      </c>
      <c r="C840" s="411" t="s">
        <v>1530</v>
      </c>
      <c r="D840" s="368" t="s">
        <v>1407</v>
      </c>
      <c r="E840" s="454">
        <v>22829.8</v>
      </c>
      <c r="F840">
        <v>20193.400000000001</v>
      </c>
      <c r="G840" s="427">
        <v>0</v>
      </c>
      <c r="H840" s="155">
        <v>0</v>
      </c>
      <c r="I840">
        <v>0</v>
      </c>
      <c r="J840">
        <v>0</v>
      </c>
      <c r="K840">
        <v>0</v>
      </c>
      <c r="L840" s="4">
        <v>0</v>
      </c>
      <c r="M840" s="4">
        <v>0</v>
      </c>
      <c r="N840" s="4">
        <v>0</v>
      </c>
      <c r="O840" s="4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1476.4</v>
      </c>
      <c r="X840">
        <v>1482</v>
      </c>
      <c r="Y840">
        <v>457.20000000000005</v>
      </c>
      <c r="Z840">
        <v>0</v>
      </c>
      <c r="AA840">
        <v>0</v>
      </c>
      <c r="AB840">
        <v>0</v>
      </c>
      <c r="AC840">
        <v>0</v>
      </c>
      <c r="AD840">
        <v>3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1828.6</v>
      </c>
      <c r="AK840">
        <v>1800.7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560.70000000000005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>
        <v>0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  <c r="CF840">
        <v>0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  <c r="CN840">
        <v>0</v>
      </c>
      <c r="CO840">
        <v>0</v>
      </c>
      <c r="CP840">
        <v>3.5</v>
      </c>
      <c r="CQ840">
        <v>0</v>
      </c>
      <c r="CR840">
        <v>528</v>
      </c>
      <c r="CS840">
        <v>581.79999999999995</v>
      </c>
      <c r="CT840">
        <v>555.40000000000009</v>
      </c>
      <c r="CU840">
        <v>737.4</v>
      </c>
      <c r="CV840">
        <v>1039.0999999999999</v>
      </c>
      <c r="CW840">
        <v>1667.3</v>
      </c>
      <c r="CX840">
        <v>877.6</v>
      </c>
      <c r="CY840">
        <v>910.40000000000009</v>
      </c>
      <c r="CZ840">
        <v>0</v>
      </c>
      <c r="DA840">
        <v>0</v>
      </c>
      <c r="DB840">
        <v>0</v>
      </c>
      <c r="DC840">
        <v>0</v>
      </c>
      <c r="DD840">
        <v>0</v>
      </c>
      <c r="DE840">
        <v>0</v>
      </c>
      <c r="DF840">
        <v>0</v>
      </c>
      <c r="DG840">
        <v>0</v>
      </c>
      <c r="DH840">
        <v>0</v>
      </c>
      <c r="DI840">
        <v>0</v>
      </c>
      <c r="DJ840">
        <v>0</v>
      </c>
      <c r="DK840">
        <v>0</v>
      </c>
      <c r="DL840">
        <v>995.5</v>
      </c>
      <c r="DM840">
        <v>712.7</v>
      </c>
      <c r="DN840">
        <v>0</v>
      </c>
      <c r="DO840">
        <v>0</v>
      </c>
      <c r="DP840">
        <v>0</v>
      </c>
      <c r="DQ840">
        <v>0</v>
      </c>
      <c r="DR840">
        <v>0</v>
      </c>
      <c r="DS840">
        <v>0</v>
      </c>
      <c r="DT840">
        <v>0</v>
      </c>
      <c r="DU840">
        <v>0</v>
      </c>
      <c r="DV840">
        <v>0</v>
      </c>
      <c r="DW840">
        <v>0</v>
      </c>
      <c r="DX840">
        <v>0</v>
      </c>
      <c r="DY840">
        <v>0</v>
      </c>
      <c r="DZ840">
        <v>0</v>
      </c>
      <c r="EA840">
        <v>0</v>
      </c>
      <c r="EB840">
        <v>0</v>
      </c>
      <c r="EC840">
        <v>0</v>
      </c>
      <c r="ED840">
        <v>0</v>
      </c>
      <c r="EE840">
        <v>0</v>
      </c>
      <c r="EF840">
        <v>0</v>
      </c>
      <c r="EG840">
        <v>0</v>
      </c>
      <c r="EH840">
        <v>0</v>
      </c>
      <c r="EI840">
        <v>0</v>
      </c>
      <c r="EJ840">
        <v>0</v>
      </c>
      <c r="EK840">
        <v>0</v>
      </c>
      <c r="EL840">
        <v>0</v>
      </c>
      <c r="EM840">
        <v>0</v>
      </c>
      <c r="EN840">
        <v>27.4</v>
      </c>
      <c r="EO840">
        <v>0</v>
      </c>
      <c r="EP840">
        <v>1002.5</v>
      </c>
      <c r="EQ840">
        <v>0</v>
      </c>
      <c r="ER840">
        <v>494</v>
      </c>
      <c r="ES840">
        <v>0</v>
      </c>
      <c r="ET840">
        <v>699.3</v>
      </c>
      <c r="EU840">
        <v>435.4</v>
      </c>
      <c r="EV840">
        <v>0</v>
      </c>
      <c r="EW840">
        <v>0</v>
      </c>
      <c r="EX840">
        <v>0</v>
      </c>
      <c r="EY840">
        <v>0</v>
      </c>
      <c r="EZ840">
        <v>0</v>
      </c>
      <c r="FA840">
        <v>0</v>
      </c>
      <c r="FB840">
        <v>0</v>
      </c>
      <c r="FC840">
        <v>0</v>
      </c>
      <c r="FD840">
        <v>95.6</v>
      </c>
      <c r="FE840">
        <v>1792.1</v>
      </c>
      <c r="FF840">
        <v>1740.1999999999998</v>
      </c>
      <c r="FG840">
        <v>954.9</v>
      </c>
      <c r="FH840">
        <v>1087.8000000000002</v>
      </c>
      <c r="FI840">
        <v>1892.1</v>
      </c>
      <c r="FJ840">
        <v>1222.5</v>
      </c>
      <c r="FK840">
        <v>678.3</v>
      </c>
      <c r="FL840">
        <v>639.1</v>
      </c>
      <c r="FM840">
        <v>520.5</v>
      </c>
      <c r="FN840">
        <v>123.8</v>
      </c>
      <c r="FO840">
        <v>181.6</v>
      </c>
      <c r="FP840">
        <v>1090.5</v>
      </c>
      <c r="FQ840">
        <v>0</v>
      </c>
      <c r="FR840">
        <v>0</v>
      </c>
      <c r="FS840">
        <v>0</v>
      </c>
      <c r="FT840">
        <v>0</v>
      </c>
      <c r="FU840">
        <v>0</v>
      </c>
      <c r="FV840">
        <v>0</v>
      </c>
      <c r="FW840">
        <v>0</v>
      </c>
      <c r="FX840">
        <v>0</v>
      </c>
      <c r="FY840">
        <v>0</v>
      </c>
      <c r="FZ840">
        <v>0</v>
      </c>
      <c r="GA840">
        <v>0</v>
      </c>
      <c r="GB840">
        <v>0</v>
      </c>
      <c r="GC840">
        <v>0</v>
      </c>
      <c r="GD840">
        <v>0</v>
      </c>
      <c r="GE840">
        <v>0</v>
      </c>
      <c r="GF840">
        <v>198.3</v>
      </c>
      <c r="GG840">
        <v>1054.4000000000001</v>
      </c>
      <c r="GH840">
        <v>552.79999999999995</v>
      </c>
      <c r="GI840">
        <v>522</v>
      </c>
      <c r="GJ840">
        <v>0</v>
      </c>
      <c r="GK840">
        <v>0</v>
      </c>
      <c r="GL840">
        <v>0</v>
      </c>
      <c r="GM840">
        <v>0</v>
      </c>
      <c r="GN840">
        <v>791.40000000000009</v>
      </c>
      <c r="GO840">
        <v>1816.5</v>
      </c>
      <c r="GP840">
        <v>0</v>
      </c>
      <c r="GQ840">
        <v>0</v>
      </c>
      <c r="GR840">
        <v>0</v>
      </c>
      <c r="GS840">
        <v>0</v>
      </c>
      <c r="GT840">
        <v>0</v>
      </c>
      <c r="GU840">
        <v>0</v>
      </c>
      <c r="GV840">
        <v>0</v>
      </c>
      <c r="GW840">
        <v>0</v>
      </c>
      <c r="GX840">
        <v>0</v>
      </c>
      <c r="GY840">
        <v>840.3</v>
      </c>
      <c r="GZ840">
        <v>0</v>
      </c>
      <c r="HA840">
        <v>0</v>
      </c>
      <c r="HB840">
        <v>0</v>
      </c>
      <c r="HC840">
        <v>380.4</v>
      </c>
      <c r="HD840">
        <v>2175.5</v>
      </c>
      <c r="HE840">
        <v>0</v>
      </c>
      <c r="HF840">
        <v>0</v>
      </c>
      <c r="HG840">
        <v>0</v>
      </c>
      <c r="HH840">
        <v>0</v>
      </c>
      <c r="HI840">
        <v>0</v>
      </c>
      <c r="HJ840">
        <v>803.40000000000009</v>
      </c>
      <c r="HK840">
        <v>1270.9000000000001</v>
      </c>
      <c r="HL840">
        <v>835.7</v>
      </c>
      <c r="HM840">
        <v>1162.5999999999999</v>
      </c>
      <c r="HN840">
        <v>0</v>
      </c>
      <c r="HO840">
        <v>0</v>
      </c>
      <c r="HP840">
        <v>0</v>
      </c>
      <c r="HQ840">
        <v>0</v>
      </c>
      <c r="HR840">
        <v>161.19999999999999</v>
      </c>
      <c r="HS840">
        <v>0</v>
      </c>
      <c r="HT840">
        <v>2048.5</v>
      </c>
      <c r="HU840">
        <v>2627.5</v>
      </c>
      <c r="HV840">
        <v>1168.5999999999999</v>
      </c>
      <c r="HW840">
        <v>388</v>
      </c>
      <c r="HX840">
        <v>0</v>
      </c>
      <c r="HY840">
        <v>0</v>
      </c>
      <c r="HZ840">
        <v>0</v>
      </c>
      <c r="IA840">
        <v>0</v>
      </c>
      <c r="IB840">
        <v>0</v>
      </c>
      <c r="IC840">
        <v>594.4</v>
      </c>
      <c r="ID840">
        <v>427.4</v>
      </c>
      <c r="IE840">
        <v>713.3</v>
      </c>
      <c r="IF840">
        <v>626.1</v>
      </c>
      <c r="IG840">
        <v>0</v>
      </c>
      <c r="IH840">
        <v>0</v>
      </c>
      <c r="II840">
        <v>995.7</v>
      </c>
      <c r="IJ840">
        <v>1156.5999999999999</v>
      </c>
      <c r="IK840">
        <v>864.6</v>
      </c>
      <c r="IL840">
        <v>316.5</v>
      </c>
      <c r="IM840">
        <v>101.5</v>
      </c>
      <c r="IN840">
        <v>71.8</v>
      </c>
      <c r="IO840">
        <v>0</v>
      </c>
      <c r="IP840">
        <v>0</v>
      </c>
      <c r="IQ840">
        <v>0</v>
      </c>
      <c r="IR840">
        <v>0</v>
      </c>
      <c r="IS840">
        <v>0</v>
      </c>
      <c r="IT840">
        <v>0</v>
      </c>
      <c r="IU840">
        <v>0</v>
      </c>
      <c r="IV840">
        <v>0</v>
      </c>
      <c r="IW840">
        <v>68</v>
      </c>
      <c r="IX840">
        <v>404.7</v>
      </c>
      <c r="IY840">
        <v>126.6</v>
      </c>
      <c r="IZ840">
        <v>126.6</v>
      </c>
      <c r="JA840">
        <v>503.7</v>
      </c>
      <c r="JB840">
        <v>570.1</v>
      </c>
      <c r="JC840">
        <v>328.3</v>
      </c>
      <c r="JD840">
        <v>0</v>
      </c>
      <c r="JE840">
        <v>0</v>
      </c>
      <c r="JF840">
        <v>0</v>
      </c>
      <c r="JG840">
        <v>0</v>
      </c>
      <c r="JH840">
        <v>287.3</v>
      </c>
      <c r="JI840">
        <v>68.2</v>
      </c>
      <c r="JJ840">
        <v>0</v>
      </c>
      <c r="JK840">
        <v>148.6</v>
      </c>
      <c r="JL840">
        <v>0</v>
      </c>
      <c r="JM840">
        <v>0</v>
      </c>
      <c r="JN840">
        <v>204.5</v>
      </c>
      <c r="JO840">
        <v>292.10000000000002</v>
      </c>
      <c r="JP840">
        <v>670.8</v>
      </c>
      <c r="JQ840">
        <v>745.2</v>
      </c>
      <c r="JR840">
        <v>242.9</v>
      </c>
    </row>
    <row r="841" spans="2:278" ht="18" thickBot="1">
      <c r="B841" s="368" t="s">
        <v>586</v>
      </c>
      <c r="C841" s="368"/>
      <c r="D841" s="368"/>
      <c r="E841" s="454">
        <v>22829.8</v>
      </c>
      <c r="F841">
        <v>20193.400000000001</v>
      </c>
      <c r="G841" s="427">
        <v>0</v>
      </c>
      <c r="H841" s="155">
        <v>0</v>
      </c>
      <c r="I841">
        <v>0</v>
      </c>
      <c r="J841">
        <v>0</v>
      </c>
      <c r="K841">
        <v>0</v>
      </c>
      <c r="L841" s="4">
        <v>0</v>
      </c>
      <c r="M841" s="4">
        <v>0</v>
      </c>
      <c r="N841" s="4">
        <v>0</v>
      </c>
      <c r="O841" s="4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1476.4</v>
      </c>
      <c r="X841">
        <v>1482</v>
      </c>
      <c r="Y841">
        <v>457.20000000000005</v>
      </c>
      <c r="Z841">
        <v>0</v>
      </c>
      <c r="AA841">
        <v>0</v>
      </c>
      <c r="AB841">
        <v>0</v>
      </c>
      <c r="AC841">
        <v>0</v>
      </c>
      <c r="AD841">
        <v>3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1828.6</v>
      </c>
      <c r="AK841">
        <v>1800.7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560.70000000000005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>
        <v>0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  <c r="CF841">
        <v>0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  <c r="CN841">
        <v>0</v>
      </c>
      <c r="CO841">
        <v>0</v>
      </c>
      <c r="CP841">
        <v>3.5</v>
      </c>
      <c r="CQ841">
        <v>0</v>
      </c>
      <c r="CR841">
        <v>528</v>
      </c>
      <c r="CS841">
        <v>581.79999999999995</v>
      </c>
      <c r="CT841">
        <v>555.40000000000009</v>
      </c>
      <c r="CU841">
        <v>737.4</v>
      </c>
      <c r="CV841">
        <v>1039.0999999999999</v>
      </c>
      <c r="CW841">
        <v>1667.3</v>
      </c>
      <c r="CX841">
        <v>877.6</v>
      </c>
      <c r="CY841">
        <v>910.40000000000009</v>
      </c>
      <c r="CZ841">
        <v>0</v>
      </c>
      <c r="DA841">
        <v>0</v>
      </c>
      <c r="DB841">
        <v>0</v>
      </c>
      <c r="DC841">
        <v>0</v>
      </c>
      <c r="DD841">
        <v>0</v>
      </c>
      <c r="DE841">
        <v>0</v>
      </c>
      <c r="DF841">
        <v>0</v>
      </c>
      <c r="DG841">
        <v>0</v>
      </c>
      <c r="DH841">
        <v>0</v>
      </c>
      <c r="DI841">
        <v>0</v>
      </c>
      <c r="DJ841">
        <v>0</v>
      </c>
      <c r="DK841">
        <v>0</v>
      </c>
      <c r="DL841">
        <v>995.5</v>
      </c>
      <c r="DM841">
        <v>712.7</v>
      </c>
      <c r="DN841">
        <v>0</v>
      </c>
      <c r="DO841">
        <v>0</v>
      </c>
      <c r="DP841">
        <v>0</v>
      </c>
      <c r="DQ841">
        <v>0</v>
      </c>
      <c r="DR841">
        <v>0</v>
      </c>
      <c r="DS841">
        <v>0</v>
      </c>
      <c r="DT841">
        <v>0</v>
      </c>
      <c r="DU841">
        <v>0</v>
      </c>
      <c r="DV841">
        <v>0</v>
      </c>
      <c r="DW841">
        <v>0</v>
      </c>
      <c r="DX841">
        <v>0</v>
      </c>
      <c r="DY841">
        <v>0</v>
      </c>
      <c r="DZ841">
        <v>0</v>
      </c>
      <c r="EA841">
        <v>0</v>
      </c>
      <c r="EB841">
        <v>0</v>
      </c>
      <c r="EC841">
        <v>0</v>
      </c>
      <c r="ED841">
        <v>0</v>
      </c>
      <c r="EE841">
        <v>0</v>
      </c>
      <c r="EF841">
        <v>0</v>
      </c>
      <c r="EG841">
        <v>0</v>
      </c>
      <c r="EH841">
        <v>0</v>
      </c>
      <c r="EI841">
        <v>0</v>
      </c>
      <c r="EJ841">
        <v>0</v>
      </c>
      <c r="EK841">
        <v>0</v>
      </c>
      <c r="EL841">
        <v>0</v>
      </c>
      <c r="EM841">
        <v>0</v>
      </c>
      <c r="EN841">
        <v>27.4</v>
      </c>
      <c r="EO841">
        <v>0</v>
      </c>
      <c r="EP841">
        <v>1002.5</v>
      </c>
      <c r="EQ841">
        <v>0</v>
      </c>
      <c r="ER841">
        <v>494</v>
      </c>
      <c r="ES841">
        <v>0</v>
      </c>
      <c r="ET841">
        <v>699.3</v>
      </c>
      <c r="EU841">
        <v>435.4</v>
      </c>
      <c r="EV841">
        <v>0</v>
      </c>
      <c r="EW841">
        <v>0</v>
      </c>
      <c r="EX841">
        <v>0</v>
      </c>
      <c r="EY841">
        <v>0</v>
      </c>
      <c r="EZ841">
        <v>0</v>
      </c>
      <c r="FA841">
        <v>0</v>
      </c>
      <c r="FB841">
        <v>0</v>
      </c>
      <c r="FC841">
        <v>0</v>
      </c>
      <c r="FD841">
        <v>95.6</v>
      </c>
      <c r="FE841">
        <v>1792.1</v>
      </c>
      <c r="FF841">
        <v>1740.1999999999998</v>
      </c>
      <c r="FG841">
        <v>954.9</v>
      </c>
      <c r="FH841">
        <v>1087.8000000000002</v>
      </c>
      <c r="FI841">
        <v>1892.1</v>
      </c>
      <c r="FJ841">
        <v>1222.5</v>
      </c>
      <c r="FK841">
        <v>678.3</v>
      </c>
      <c r="FL841">
        <v>639.1</v>
      </c>
      <c r="FM841">
        <v>520.5</v>
      </c>
      <c r="FN841">
        <v>123.8</v>
      </c>
      <c r="FO841">
        <v>181.6</v>
      </c>
      <c r="FP841">
        <v>1090.5</v>
      </c>
      <c r="FQ841">
        <v>0</v>
      </c>
      <c r="FR841">
        <v>0</v>
      </c>
      <c r="FS841">
        <v>0</v>
      </c>
      <c r="FT841">
        <v>0</v>
      </c>
      <c r="FU841">
        <v>0</v>
      </c>
      <c r="FV841">
        <v>0</v>
      </c>
      <c r="FW841">
        <v>0</v>
      </c>
      <c r="FX841">
        <v>0</v>
      </c>
      <c r="FY841">
        <v>0</v>
      </c>
      <c r="FZ841">
        <v>0</v>
      </c>
      <c r="GA841">
        <v>0</v>
      </c>
      <c r="GB841">
        <v>0</v>
      </c>
      <c r="GC841">
        <v>0</v>
      </c>
      <c r="GD841">
        <v>0</v>
      </c>
      <c r="GE841">
        <v>0</v>
      </c>
      <c r="GF841">
        <v>198.3</v>
      </c>
      <c r="GG841">
        <v>1054.4000000000001</v>
      </c>
      <c r="GH841">
        <v>552.79999999999995</v>
      </c>
      <c r="GI841">
        <v>522</v>
      </c>
      <c r="GJ841">
        <v>0</v>
      </c>
      <c r="GK841">
        <v>0</v>
      </c>
      <c r="GL841">
        <v>0</v>
      </c>
      <c r="GM841">
        <v>0</v>
      </c>
      <c r="GN841">
        <v>791.40000000000009</v>
      </c>
      <c r="GO841">
        <v>1816.5</v>
      </c>
      <c r="GP841">
        <v>0</v>
      </c>
      <c r="GQ841">
        <v>0</v>
      </c>
      <c r="GR841">
        <v>0</v>
      </c>
      <c r="GS841">
        <v>0</v>
      </c>
      <c r="GT841">
        <v>0</v>
      </c>
      <c r="GU841">
        <v>0</v>
      </c>
      <c r="GV841">
        <v>0</v>
      </c>
      <c r="GW841">
        <v>0</v>
      </c>
      <c r="GX841">
        <v>0</v>
      </c>
      <c r="GY841">
        <v>840.3</v>
      </c>
      <c r="GZ841">
        <v>0</v>
      </c>
      <c r="HA841">
        <v>0</v>
      </c>
      <c r="HB841">
        <v>0</v>
      </c>
      <c r="HC841">
        <v>380.4</v>
      </c>
      <c r="HD841">
        <v>2175.5</v>
      </c>
      <c r="HE841">
        <v>0</v>
      </c>
      <c r="HF841">
        <v>0</v>
      </c>
      <c r="HG841">
        <v>0</v>
      </c>
      <c r="HH841">
        <v>0</v>
      </c>
      <c r="HI841">
        <v>0</v>
      </c>
      <c r="HJ841">
        <v>803.40000000000009</v>
      </c>
      <c r="HK841">
        <v>1270.9000000000001</v>
      </c>
      <c r="HL841">
        <v>835.7</v>
      </c>
      <c r="HM841">
        <v>1162.5999999999999</v>
      </c>
      <c r="HN841">
        <v>0</v>
      </c>
      <c r="HO841">
        <v>0</v>
      </c>
      <c r="HP841">
        <v>0</v>
      </c>
      <c r="HQ841">
        <v>0</v>
      </c>
      <c r="HR841">
        <v>161.19999999999999</v>
      </c>
      <c r="HS841">
        <v>0</v>
      </c>
      <c r="HT841">
        <v>2048.5</v>
      </c>
      <c r="HU841">
        <v>2627.5</v>
      </c>
      <c r="HV841">
        <v>1168.5999999999999</v>
      </c>
      <c r="HW841">
        <v>388</v>
      </c>
      <c r="HX841">
        <v>0</v>
      </c>
      <c r="HY841">
        <v>0</v>
      </c>
      <c r="HZ841">
        <v>0</v>
      </c>
      <c r="IA841">
        <v>0</v>
      </c>
      <c r="IB841">
        <v>0</v>
      </c>
      <c r="IC841">
        <v>594.4</v>
      </c>
      <c r="ID841">
        <v>427.4</v>
      </c>
      <c r="IE841">
        <v>713.3</v>
      </c>
      <c r="IF841">
        <v>626.1</v>
      </c>
      <c r="IG841">
        <v>0</v>
      </c>
      <c r="IH841">
        <v>0</v>
      </c>
      <c r="II841">
        <v>995.7</v>
      </c>
      <c r="IJ841">
        <v>1156.5999999999999</v>
      </c>
      <c r="IK841">
        <v>864.6</v>
      </c>
      <c r="IL841">
        <v>316.5</v>
      </c>
      <c r="IM841">
        <v>101.5</v>
      </c>
      <c r="IN841">
        <v>71.8</v>
      </c>
      <c r="IO841">
        <v>0</v>
      </c>
      <c r="IP841">
        <v>0</v>
      </c>
      <c r="IQ841">
        <v>0</v>
      </c>
      <c r="IR841">
        <v>0</v>
      </c>
      <c r="IS841">
        <v>0</v>
      </c>
      <c r="IT841">
        <v>0</v>
      </c>
      <c r="IU841">
        <v>0</v>
      </c>
      <c r="IV841">
        <v>0</v>
      </c>
      <c r="IW841">
        <v>68</v>
      </c>
      <c r="IX841">
        <v>404.7</v>
      </c>
      <c r="IY841">
        <v>126.6</v>
      </c>
      <c r="IZ841">
        <v>126.6</v>
      </c>
      <c r="JA841">
        <v>503.7</v>
      </c>
      <c r="JB841">
        <v>570.1</v>
      </c>
      <c r="JC841">
        <v>328.3</v>
      </c>
      <c r="JD841">
        <v>0</v>
      </c>
      <c r="JE841">
        <v>0</v>
      </c>
      <c r="JF841">
        <v>0</v>
      </c>
      <c r="JG841">
        <v>0</v>
      </c>
      <c r="JH841">
        <v>287.3</v>
      </c>
      <c r="JI841">
        <v>68.2</v>
      </c>
      <c r="JJ841">
        <v>0</v>
      </c>
      <c r="JK841">
        <v>148.6</v>
      </c>
      <c r="JL841">
        <v>0</v>
      </c>
      <c r="JM841">
        <v>0</v>
      </c>
      <c r="JN841">
        <v>204.5</v>
      </c>
      <c r="JO841">
        <v>292.10000000000002</v>
      </c>
      <c r="JP841">
        <v>670.8</v>
      </c>
      <c r="JQ841">
        <v>745.2</v>
      </c>
      <c r="JR841">
        <v>242.9</v>
      </c>
    </row>
    <row r="842" spans="2:278" ht="18" thickBot="1">
      <c r="B842" s="522" t="s">
        <v>1241</v>
      </c>
      <c r="C842" s="529"/>
      <c r="D842" s="529" t="s">
        <v>1387</v>
      </c>
      <c r="E842" s="454">
        <v>22829.8</v>
      </c>
      <c r="F842">
        <v>20193.400000000001</v>
      </c>
      <c r="G842" s="427">
        <v>0</v>
      </c>
      <c r="H842" s="155">
        <v>0</v>
      </c>
      <c r="I842">
        <v>0</v>
      </c>
      <c r="J842">
        <v>0</v>
      </c>
      <c r="K842">
        <v>0</v>
      </c>
      <c r="L842" s="4">
        <v>0</v>
      </c>
      <c r="M842" s="4">
        <v>0</v>
      </c>
      <c r="N842" s="4">
        <v>0</v>
      </c>
      <c r="O842" s="4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1476.4</v>
      </c>
      <c r="X842">
        <v>1482</v>
      </c>
      <c r="Y842">
        <v>457.20000000000005</v>
      </c>
      <c r="Z842">
        <v>0</v>
      </c>
      <c r="AA842">
        <v>0</v>
      </c>
      <c r="AB842">
        <v>0</v>
      </c>
      <c r="AC842">
        <v>0</v>
      </c>
      <c r="AD842">
        <v>3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1828.6</v>
      </c>
      <c r="AK842">
        <v>1800.7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560.70000000000005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>
        <v>0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  <c r="CF842">
        <v>0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  <c r="CN842">
        <v>0</v>
      </c>
      <c r="CO842">
        <v>0</v>
      </c>
      <c r="CP842">
        <v>3.5</v>
      </c>
      <c r="CQ842">
        <v>0</v>
      </c>
      <c r="CR842">
        <v>528</v>
      </c>
      <c r="CS842">
        <v>581.79999999999995</v>
      </c>
      <c r="CT842">
        <v>555.40000000000009</v>
      </c>
      <c r="CU842">
        <v>737.4</v>
      </c>
      <c r="CV842">
        <v>1039.0999999999999</v>
      </c>
      <c r="CW842">
        <v>1667.3</v>
      </c>
      <c r="CX842">
        <v>877.6</v>
      </c>
      <c r="CY842">
        <v>910.40000000000009</v>
      </c>
      <c r="CZ842">
        <v>0</v>
      </c>
      <c r="DA842">
        <v>0</v>
      </c>
      <c r="DB842">
        <v>0</v>
      </c>
      <c r="DC842">
        <v>0</v>
      </c>
      <c r="DD842">
        <v>0</v>
      </c>
      <c r="DE842">
        <v>0</v>
      </c>
      <c r="DF842">
        <v>0</v>
      </c>
      <c r="DG842">
        <v>0</v>
      </c>
      <c r="DH842">
        <v>0</v>
      </c>
      <c r="DI842">
        <v>0</v>
      </c>
      <c r="DJ842">
        <v>0</v>
      </c>
      <c r="DK842">
        <v>0</v>
      </c>
      <c r="DL842">
        <v>995.5</v>
      </c>
      <c r="DM842">
        <v>712.7</v>
      </c>
      <c r="DN842">
        <v>0</v>
      </c>
      <c r="DO842">
        <v>0</v>
      </c>
      <c r="DP842">
        <v>0</v>
      </c>
      <c r="DQ842">
        <v>0</v>
      </c>
      <c r="DR842">
        <v>0</v>
      </c>
      <c r="DS842">
        <v>0</v>
      </c>
      <c r="DT842">
        <v>0</v>
      </c>
      <c r="DU842">
        <v>0</v>
      </c>
      <c r="DV842">
        <v>0</v>
      </c>
      <c r="DW842">
        <v>0</v>
      </c>
      <c r="DX842">
        <v>0</v>
      </c>
      <c r="DY842">
        <v>0</v>
      </c>
      <c r="DZ842">
        <v>0</v>
      </c>
      <c r="EA842">
        <v>0</v>
      </c>
      <c r="EB842">
        <v>0</v>
      </c>
      <c r="EC842">
        <v>0</v>
      </c>
      <c r="ED842">
        <v>0</v>
      </c>
      <c r="EE842">
        <v>0</v>
      </c>
      <c r="EF842">
        <v>0</v>
      </c>
      <c r="EG842">
        <v>0</v>
      </c>
      <c r="EH842">
        <v>0</v>
      </c>
      <c r="EI842">
        <v>0</v>
      </c>
      <c r="EJ842">
        <v>0</v>
      </c>
      <c r="EK842">
        <v>0</v>
      </c>
      <c r="EL842">
        <v>0</v>
      </c>
      <c r="EM842">
        <v>0</v>
      </c>
      <c r="EN842">
        <v>27.4</v>
      </c>
      <c r="EO842">
        <v>0</v>
      </c>
      <c r="EP842">
        <v>1002.5</v>
      </c>
      <c r="EQ842">
        <v>0</v>
      </c>
      <c r="ER842">
        <v>494</v>
      </c>
      <c r="ES842">
        <v>0</v>
      </c>
      <c r="ET842">
        <v>699.3</v>
      </c>
      <c r="EU842">
        <v>435.4</v>
      </c>
      <c r="EV842">
        <v>0</v>
      </c>
      <c r="EW842">
        <v>0</v>
      </c>
      <c r="EX842">
        <v>0</v>
      </c>
      <c r="EY842">
        <v>0</v>
      </c>
      <c r="EZ842">
        <v>0</v>
      </c>
      <c r="FA842">
        <v>0</v>
      </c>
      <c r="FB842">
        <v>0</v>
      </c>
      <c r="FC842">
        <v>0</v>
      </c>
      <c r="FD842">
        <v>95.6</v>
      </c>
      <c r="FE842">
        <v>1792.1</v>
      </c>
      <c r="FF842">
        <v>1740.1999999999998</v>
      </c>
      <c r="FG842">
        <v>954.9</v>
      </c>
      <c r="FH842">
        <v>1087.8000000000002</v>
      </c>
      <c r="FI842">
        <v>1892.1</v>
      </c>
      <c r="FJ842">
        <v>1222.5</v>
      </c>
      <c r="FK842">
        <v>678.3</v>
      </c>
      <c r="FL842">
        <v>639.1</v>
      </c>
      <c r="FM842">
        <v>520.5</v>
      </c>
      <c r="FN842">
        <v>123.8</v>
      </c>
      <c r="FO842">
        <v>181.6</v>
      </c>
      <c r="FP842">
        <v>1090.5</v>
      </c>
      <c r="FQ842">
        <v>0</v>
      </c>
      <c r="FR842">
        <v>0</v>
      </c>
      <c r="FS842">
        <v>0</v>
      </c>
      <c r="FT842">
        <v>0</v>
      </c>
      <c r="FU842">
        <v>0</v>
      </c>
      <c r="FV842">
        <v>0</v>
      </c>
      <c r="FW842">
        <v>0</v>
      </c>
      <c r="FX842">
        <v>0</v>
      </c>
      <c r="FY842">
        <v>0</v>
      </c>
      <c r="FZ842">
        <v>0</v>
      </c>
      <c r="GA842">
        <v>0</v>
      </c>
      <c r="GB842">
        <v>0</v>
      </c>
      <c r="GC842">
        <v>0</v>
      </c>
      <c r="GD842">
        <v>0</v>
      </c>
      <c r="GE842">
        <v>0</v>
      </c>
      <c r="GF842">
        <v>198.3</v>
      </c>
      <c r="GG842">
        <v>1054.4000000000001</v>
      </c>
      <c r="GH842">
        <v>552.79999999999995</v>
      </c>
      <c r="GI842">
        <v>522</v>
      </c>
      <c r="GJ842">
        <v>0</v>
      </c>
      <c r="GK842">
        <v>0</v>
      </c>
      <c r="GL842">
        <v>0</v>
      </c>
      <c r="GM842">
        <v>0</v>
      </c>
      <c r="GN842">
        <v>791.40000000000009</v>
      </c>
      <c r="GO842">
        <v>1816.5</v>
      </c>
      <c r="GP842">
        <v>0</v>
      </c>
      <c r="GQ842">
        <v>0</v>
      </c>
      <c r="GR842">
        <v>0</v>
      </c>
      <c r="GS842">
        <v>0</v>
      </c>
      <c r="GT842">
        <v>0</v>
      </c>
      <c r="GU842">
        <v>0</v>
      </c>
      <c r="GV842">
        <v>0</v>
      </c>
      <c r="GW842">
        <v>0</v>
      </c>
      <c r="GX842">
        <v>0</v>
      </c>
      <c r="GY842">
        <v>840.3</v>
      </c>
      <c r="GZ842">
        <v>0</v>
      </c>
      <c r="HA842">
        <v>0</v>
      </c>
      <c r="HB842">
        <v>0</v>
      </c>
      <c r="HC842">
        <v>380.4</v>
      </c>
      <c r="HD842">
        <v>2175.5</v>
      </c>
      <c r="HE842">
        <v>0</v>
      </c>
      <c r="HF842">
        <v>0</v>
      </c>
      <c r="HG842">
        <v>0</v>
      </c>
      <c r="HH842">
        <v>0</v>
      </c>
      <c r="HI842">
        <v>0</v>
      </c>
      <c r="HJ842">
        <v>803.40000000000009</v>
      </c>
      <c r="HK842">
        <v>1270.9000000000001</v>
      </c>
      <c r="HL842">
        <v>835.7</v>
      </c>
      <c r="HM842">
        <v>1162.5999999999999</v>
      </c>
      <c r="HN842">
        <v>0</v>
      </c>
      <c r="HO842">
        <v>0</v>
      </c>
      <c r="HP842">
        <v>0</v>
      </c>
      <c r="HQ842">
        <v>0</v>
      </c>
      <c r="HR842">
        <v>161.19999999999999</v>
      </c>
      <c r="HS842">
        <v>0</v>
      </c>
      <c r="HT842">
        <v>2048.5</v>
      </c>
      <c r="HU842">
        <v>2627.5</v>
      </c>
      <c r="HV842">
        <v>1168.5999999999999</v>
      </c>
      <c r="HW842">
        <v>388</v>
      </c>
      <c r="HX842">
        <v>0</v>
      </c>
      <c r="HY842">
        <v>0</v>
      </c>
      <c r="HZ842">
        <v>0</v>
      </c>
      <c r="IA842">
        <v>0</v>
      </c>
      <c r="IB842">
        <v>0</v>
      </c>
      <c r="IC842">
        <v>594.4</v>
      </c>
      <c r="ID842">
        <v>427.4</v>
      </c>
      <c r="IE842">
        <v>713.3</v>
      </c>
      <c r="IF842">
        <v>626.1</v>
      </c>
      <c r="IG842">
        <v>0</v>
      </c>
      <c r="IH842">
        <v>0</v>
      </c>
      <c r="II842">
        <v>995.7</v>
      </c>
      <c r="IJ842">
        <v>1156.5999999999999</v>
      </c>
      <c r="IK842">
        <v>864.6</v>
      </c>
      <c r="IL842">
        <v>316.5</v>
      </c>
      <c r="IM842">
        <v>101.5</v>
      </c>
      <c r="IN842">
        <v>71.8</v>
      </c>
      <c r="IO842">
        <v>0</v>
      </c>
      <c r="IP842">
        <v>0</v>
      </c>
      <c r="IQ842">
        <v>0</v>
      </c>
      <c r="IR842">
        <v>0</v>
      </c>
      <c r="IS842">
        <v>0</v>
      </c>
      <c r="IT842">
        <v>0</v>
      </c>
      <c r="IU842">
        <v>0</v>
      </c>
      <c r="IV842">
        <v>0</v>
      </c>
      <c r="IW842">
        <v>68</v>
      </c>
      <c r="IX842">
        <v>404.7</v>
      </c>
      <c r="IY842">
        <v>126.6</v>
      </c>
      <c r="IZ842">
        <v>126.6</v>
      </c>
      <c r="JA842">
        <v>503.7</v>
      </c>
      <c r="JB842">
        <v>570.1</v>
      </c>
      <c r="JC842">
        <v>328.3</v>
      </c>
      <c r="JD842">
        <v>0</v>
      </c>
      <c r="JE842">
        <v>0</v>
      </c>
      <c r="JF842">
        <v>0</v>
      </c>
      <c r="JG842">
        <v>0</v>
      </c>
      <c r="JH842">
        <v>287.3</v>
      </c>
      <c r="JI842">
        <v>68.2</v>
      </c>
      <c r="JJ842">
        <v>0</v>
      </c>
      <c r="JK842">
        <v>148.6</v>
      </c>
      <c r="JL842">
        <v>0</v>
      </c>
      <c r="JM842">
        <v>0</v>
      </c>
      <c r="JN842">
        <v>204.5</v>
      </c>
      <c r="JO842">
        <v>292.10000000000002</v>
      </c>
      <c r="JP842">
        <v>670.8</v>
      </c>
      <c r="JQ842">
        <v>745.2</v>
      </c>
      <c r="JR842">
        <v>242.9</v>
      </c>
    </row>
    <row r="843" spans="2:278" ht="18" thickBot="1">
      <c r="B843" s="524"/>
      <c r="C843" s="540"/>
      <c r="D843" s="540"/>
      <c r="E843" s="454">
        <v>22829.8</v>
      </c>
      <c r="F843">
        <v>20193.400000000001</v>
      </c>
      <c r="G843" s="427">
        <v>0</v>
      </c>
      <c r="H843" s="155">
        <v>0</v>
      </c>
      <c r="I843">
        <v>0</v>
      </c>
      <c r="J843">
        <v>0</v>
      </c>
      <c r="K843">
        <v>0</v>
      </c>
      <c r="L843" s="4">
        <v>0</v>
      </c>
      <c r="M843" s="4">
        <v>0</v>
      </c>
      <c r="N843" s="4">
        <v>0</v>
      </c>
      <c r="O843" s="4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1476.4</v>
      </c>
      <c r="X843">
        <v>1482</v>
      </c>
      <c r="Y843">
        <v>457.20000000000005</v>
      </c>
      <c r="Z843">
        <v>0</v>
      </c>
      <c r="AA843">
        <v>0</v>
      </c>
      <c r="AB843">
        <v>0</v>
      </c>
      <c r="AC843">
        <v>0</v>
      </c>
      <c r="AD843">
        <v>3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1828.6</v>
      </c>
      <c r="AK843">
        <v>1800.7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560.70000000000005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  <c r="CF843">
        <v>0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3.5</v>
      </c>
      <c r="CQ843">
        <v>0</v>
      </c>
      <c r="CR843">
        <v>528</v>
      </c>
      <c r="CS843">
        <v>581.79999999999995</v>
      </c>
      <c r="CT843">
        <v>555.40000000000009</v>
      </c>
      <c r="CU843">
        <v>737.4</v>
      </c>
      <c r="CV843">
        <v>1039.0999999999999</v>
      </c>
      <c r="CW843">
        <v>1667.3</v>
      </c>
      <c r="CX843">
        <v>877.6</v>
      </c>
      <c r="CY843">
        <v>910.40000000000009</v>
      </c>
      <c r="CZ843">
        <v>0</v>
      </c>
      <c r="DA843">
        <v>0</v>
      </c>
      <c r="DB843">
        <v>0</v>
      </c>
      <c r="DC843">
        <v>0</v>
      </c>
      <c r="DD843">
        <v>0</v>
      </c>
      <c r="DE843">
        <v>0</v>
      </c>
      <c r="DF843">
        <v>0</v>
      </c>
      <c r="DG843">
        <v>0</v>
      </c>
      <c r="DH843">
        <v>0</v>
      </c>
      <c r="DI843">
        <v>0</v>
      </c>
      <c r="DJ843">
        <v>0</v>
      </c>
      <c r="DK843">
        <v>0</v>
      </c>
      <c r="DL843">
        <v>995.5</v>
      </c>
      <c r="DM843">
        <v>712.7</v>
      </c>
      <c r="DN843">
        <v>0</v>
      </c>
      <c r="DO843">
        <v>0</v>
      </c>
      <c r="DP843">
        <v>0</v>
      </c>
      <c r="DQ843">
        <v>0</v>
      </c>
      <c r="DR843">
        <v>0</v>
      </c>
      <c r="DS843">
        <v>0</v>
      </c>
      <c r="DT843">
        <v>0</v>
      </c>
      <c r="DU843">
        <v>0</v>
      </c>
      <c r="DV843">
        <v>0</v>
      </c>
      <c r="DW843">
        <v>0</v>
      </c>
      <c r="DX843">
        <v>0</v>
      </c>
      <c r="DY843">
        <v>0</v>
      </c>
      <c r="DZ843">
        <v>0</v>
      </c>
      <c r="EA843">
        <v>0</v>
      </c>
      <c r="EB843">
        <v>0</v>
      </c>
      <c r="EC843">
        <v>0</v>
      </c>
      <c r="ED843">
        <v>0</v>
      </c>
      <c r="EE843">
        <v>0</v>
      </c>
      <c r="EF843">
        <v>0</v>
      </c>
      <c r="EG843">
        <v>0</v>
      </c>
      <c r="EH843">
        <v>0</v>
      </c>
      <c r="EI843">
        <v>0</v>
      </c>
      <c r="EJ843">
        <v>0</v>
      </c>
      <c r="EK843">
        <v>0</v>
      </c>
      <c r="EL843">
        <v>0</v>
      </c>
      <c r="EM843">
        <v>0</v>
      </c>
      <c r="EN843">
        <v>27.4</v>
      </c>
      <c r="EO843">
        <v>0</v>
      </c>
      <c r="EP843">
        <v>1002.5</v>
      </c>
      <c r="EQ843">
        <v>0</v>
      </c>
      <c r="ER843">
        <v>494</v>
      </c>
      <c r="ES843">
        <v>0</v>
      </c>
      <c r="ET843">
        <v>699.3</v>
      </c>
      <c r="EU843">
        <v>435.4</v>
      </c>
      <c r="EV843">
        <v>0</v>
      </c>
      <c r="EW843">
        <v>0</v>
      </c>
      <c r="EX843">
        <v>0</v>
      </c>
      <c r="EY843">
        <v>0</v>
      </c>
      <c r="EZ843">
        <v>0</v>
      </c>
      <c r="FA843">
        <v>0</v>
      </c>
      <c r="FB843">
        <v>0</v>
      </c>
      <c r="FC843">
        <v>0</v>
      </c>
      <c r="FD843">
        <v>95.6</v>
      </c>
      <c r="FE843">
        <v>1792.1</v>
      </c>
      <c r="FF843">
        <v>1740.1999999999998</v>
      </c>
      <c r="FG843">
        <v>954.9</v>
      </c>
      <c r="FH843">
        <v>1087.8000000000002</v>
      </c>
      <c r="FI843">
        <v>1892.1</v>
      </c>
      <c r="FJ843">
        <v>1222.5</v>
      </c>
      <c r="FK843">
        <v>678.3</v>
      </c>
      <c r="FL843">
        <v>639.1</v>
      </c>
      <c r="FM843">
        <v>520.5</v>
      </c>
      <c r="FN843">
        <v>123.8</v>
      </c>
      <c r="FO843">
        <v>181.6</v>
      </c>
      <c r="FP843">
        <v>1090.5</v>
      </c>
      <c r="FQ843">
        <v>0</v>
      </c>
      <c r="FR843">
        <v>0</v>
      </c>
      <c r="FS843">
        <v>0</v>
      </c>
      <c r="FT843">
        <v>0</v>
      </c>
      <c r="FU843">
        <v>0</v>
      </c>
      <c r="FV843">
        <v>0</v>
      </c>
      <c r="FW843">
        <v>0</v>
      </c>
      <c r="FX843">
        <v>0</v>
      </c>
      <c r="FY843">
        <v>0</v>
      </c>
      <c r="FZ843">
        <v>0</v>
      </c>
      <c r="GA843">
        <v>0</v>
      </c>
      <c r="GB843">
        <v>0</v>
      </c>
      <c r="GC843">
        <v>0</v>
      </c>
      <c r="GD843">
        <v>0</v>
      </c>
      <c r="GE843">
        <v>0</v>
      </c>
      <c r="GF843">
        <v>198.3</v>
      </c>
      <c r="GG843">
        <v>1054.4000000000001</v>
      </c>
      <c r="GH843">
        <v>552.79999999999995</v>
      </c>
      <c r="GI843">
        <v>522</v>
      </c>
      <c r="GJ843">
        <v>0</v>
      </c>
      <c r="GK843">
        <v>0</v>
      </c>
      <c r="GL843">
        <v>0</v>
      </c>
      <c r="GM843">
        <v>0</v>
      </c>
      <c r="GN843">
        <v>791.40000000000009</v>
      </c>
      <c r="GO843">
        <v>1816.5</v>
      </c>
      <c r="GP843">
        <v>0</v>
      </c>
      <c r="GQ843">
        <v>0</v>
      </c>
      <c r="GR843">
        <v>0</v>
      </c>
      <c r="GS843">
        <v>0</v>
      </c>
      <c r="GT843">
        <v>0</v>
      </c>
      <c r="GU843">
        <v>0</v>
      </c>
      <c r="GV843">
        <v>0</v>
      </c>
      <c r="GW843">
        <v>0</v>
      </c>
      <c r="GX843">
        <v>0</v>
      </c>
      <c r="GY843">
        <v>840.3</v>
      </c>
      <c r="GZ843">
        <v>0</v>
      </c>
      <c r="HA843">
        <v>0</v>
      </c>
      <c r="HB843">
        <v>0</v>
      </c>
      <c r="HC843">
        <v>380.4</v>
      </c>
      <c r="HD843">
        <v>2175.5</v>
      </c>
      <c r="HE843">
        <v>0</v>
      </c>
      <c r="HF843">
        <v>0</v>
      </c>
      <c r="HG843">
        <v>0</v>
      </c>
      <c r="HH843">
        <v>0</v>
      </c>
      <c r="HI843">
        <v>0</v>
      </c>
      <c r="HJ843">
        <v>803.40000000000009</v>
      </c>
      <c r="HK843">
        <v>1270.9000000000001</v>
      </c>
      <c r="HL843">
        <v>835.7</v>
      </c>
      <c r="HM843">
        <v>1162.5999999999999</v>
      </c>
      <c r="HN843">
        <v>0</v>
      </c>
      <c r="HO843">
        <v>0</v>
      </c>
      <c r="HP843">
        <v>0</v>
      </c>
      <c r="HQ843">
        <v>0</v>
      </c>
      <c r="HR843">
        <v>161.19999999999999</v>
      </c>
      <c r="HS843">
        <v>0</v>
      </c>
      <c r="HT843">
        <v>2048.5</v>
      </c>
      <c r="HU843">
        <v>2627.5</v>
      </c>
      <c r="HV843">
        <v>1168.5999999999999</v>
      </c>
      <c r="HW843">
        <v>388</v>
      </c>
      <c r="HX843">
        <v>0</v>
      </c>
      <c r="HY843">
        <v>0</v>
      </c>
      <c r="HZ843">
        <v>0</v>
      </c>
      <c r="IA843">
        <v>0</v>
      </c>
      <c r="IB843">
        <v>0</v>
      </c>
      <c r="IC843">
        <v>594.4</v>
      </c>
      <c r="ID843">
        <v>427.4</v>
      </c>
      <c r="IE843">
        <v>713.3</v>
      </c>
      <c r="IF843">
        <v>626.1</v>
      </c>
      <c r="IG843">
        <v>0</v>
      </c>
      <c r="IH843">
        <v>0</v>
      </c>
      <c r="II843">
        <v>995.7</v>
      </c>
      <c r="IJ843">
        <v>1156.5999999999999</v>
      </c>
      <c r="IK843">
        <v>864.6</v>
      </c>
      <c r="IL843">
        <v>316.5</v>
      </c>
      <c r="IM843">
        <v>101.5</v>
      </c>
      <c r="IN843">
        <v>71.8</v>
      </c>
      <c r="IO843">
        <v>0</v>
      </c>
      <c r="IP843">
        <v>0</v>
      </c>
      <c r="IQ843">
        <v>0</v>
      </c>
      <c r="IR843">
        <v>0</v>
      </c>
      <c r="IS843">
        <v>0</v>
      </c>
      <c r="IT843">
        <v>0</v>
      </c>
      <c r="IU843">
        <v>0</v>
      </c>
      <c r="IV843">
        <v>0</v>
      </c>
      <c r="IW843">
        <v>68</v>
      </c>
      <c r="IX843">
        <v>404.7</v>
      </c>
      <c r="IY843">
        <v>126.6</v>
      </c>
      <c r="IZ843">
        <v>126.6</v>
      </c>
      <c r="JA843">
        <v>503.7</v>
      </c>
      <c r="JB843">
        <v>570.1</v>
      </c>
      <c r="JC843">
        <v>328.3</v>
      </c>
      <c r="JD843">
        <v>0</v>
      </c>
      <c r="JE843">
        <v>0</v>
      </c>
      <c r="JF843">
        <v>0</v>
      </c>
      <c r="JG843">
        <v>0</v>
      </c>
      <c r="JH843">
        <v>287.3</v>
      </c>
      <c r="JI843">
        <v>68.2</v>
      </c>
      <c r="JJ843">
        <v>0</v>
      </c>
      <c r="JK843">
        <v>148.6</v>
      </c>
      <c r="JL843">
        <v>0</v>
      </c>
      <c r="JM843">
        <v>0</v>
      </c>
      <c r="JN843">
        <v>204.5</v>
      </c>
      <c r="JO843">
        <v>292.10000000000002</v>
      </c>
      <c r="JP843">
        <v>670.8</v>
      </c>
      <c r="JQ843">
        <v>745.2</v>
      </c>
      <c r="JR843">
        <v>242.9</v>
      </c>
    </row>
    <row r="844" spans="2:278" ht="18" thickBot="1">
      <c r="B844" s="523"/>
      <c r="C844" s="540"/>
      <c r="D844" s="540"/>
      <c r="E844" s="454">
        <v>22829.8</v>
      </c>
      <c r="F844">
        <v>20193.400000000001</v>
      </c>
      <c r="G844" s="427">
        <v>0</v>
      </c>
      <c r="H844" s="155">
        <v>0</v>
      </c>
      <c r="I844">
        <v>0</v>
      </c>
      <c r="J844">
        <v>0</v>
      </c>
      <c r="K844">
        <v>0</v>
      </c>
      <c r="L844" s="4">
        <v>0</v>
      </c>
      <c r="M844" s="4">
        <v>0</v>
      </c>
      <c r="N844" s="4">
        <v>0</v>
      </c>
      <c r="O844" s="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1476.4</v>
      </c>
      <c r="X844">
        <v>1482</v>
      </c>
      <c r="Y844">
        <v>457.20000000000005</v>
      </c>
      <c r="Z844">
        <v>0</v>
      </c>
      <c r="AA844">
        <v>0</v>
      </c>
      <c r="AB844">
        <v>0</v>
      </c>
      <c r="AC844">
        <v>0</v>
      </c>
      <c r="AD844">
        <v>3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1828.6</v>
      </c>
      <c r="AK844">
        <v>1800.7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560.70000000000005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  <c r="CF844">
        <v>0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  <c r="CN844">
        <v>0</v>
      </c>
      <c r="CO844">
        <v>0</v>
      </c>
      <c r="CP844">
        <v>3.5</v>
      </c>
      <c r="CQ844">
        <v>0</v>
      </c>
      <c r="CR844">
        <v>528</v>
      </c>
      <c r="CS844">
        <v>581.79999999999995</v>
      </c>
      <c r="CT844">
        <v>555.40000000000009</v>
      </c>
      <c r="CU844">
        <v>737.4</v>
      </c>
      <c r="CV844">
        <v>1039.0999999999999</v>
      </c>
      <c r="CW844">
        <v>1667.3</v>
      </c>
      <c r="CX844">
        <v>877.6</v>
      </c>
      <c r="CY844">
        <v>910.40000000000009</v>
      </c>
      <c r="CZ844">
        <v>0</v>
      </c>
      <c r="DA844">
        <v>0</v>
      </c>
      <c r="DB844">
        <v>0</v>
      </c>
      <c r="DC844">
        <v>0</v>
      </c>
      <c r="DD844">
        <v>0</v>
      </c>
      <c r="DE844">
        <v>0</v>
      </c>
      <c r="DF844">
        <v>0</v>
      </c>
      <c r="DG844">
        <v>0</v>
      </c>
      <c r="DH844">
        <v>0</v>
      </c>
      <c r="DI844">
        <v>0</v>
      </c>
      <c r="DJ844">
        <v>0</v>
      </c>
      <c r="DK844">
        <v>0</v>
      </c>
      <c r="DL844">
        <v>995.5</v>
      </c>
      <c r="DM844">
        <v>712.7</v>
      </c>
      <c r="DN844">
        <v>0</v>
      </c>
      <c r="DO844">
        <v>0</v>
      </c>
      <c r="DP844">
        <v>0</v>
      </c>
      <c r="DQ844">
        <v>0</v>
      </c>
      <c r="DR844">
        <v>0</v>
      </c>
      <c r="DS844">
        <v>0</v>
      </c>
      <c r="DT844">
        <v>0</v>
      </c>
      <c r="DU844">
        <v>0</v>
      </c>
      <c r="DV844">
        <v>0</v>
      </c>
      <c r="DW844">
        <v>0</v>
      </c>
      <c r="DX844">
        <v>0</v>
      </c>
      <c r="DY844">
        <v>0</v>
      </c>
      <c r="DZ844">
        <v>0</v>
      </c>
      <c r="EA844">
        <v>0</v>
      </c>
      <c r="EB844">
        <v>0</v>
      </c>
      <c r="EC844">
        <v>0</v>
      </c>
      <c r="ED844">
        <v>0</v>
      </c>
      <c r="EE844">
        <v>0</v>
      </c>
      <c r="EF844">
        <v>0</v>
      </c>
      <c r="EG844">
        <v>0</v>
      </c>
      <c r="EH844">
        <v>0</v>
      </c>
      <c r="EI844">
        <v>0</v>
      </c>
      <c r="EJ844">
        <v>0</v>
      </c>
      <c r="EK844">
        <v>0</v>
      </c>
      <c r="EL844">
        <v>0</v>
      </c>
      <c r="EM844">
        <v>0</v>
      </c>
      <c r="EN844">
        <v>27.4</v>
      </c>
      <c r="EO844">
        <v>0</v>
      </c>
      <c r="EP844">
        <v>1002.5</v>
      </c>
      <c r="EQ844">
        <v>0</v>
      </c>
      <c r="ER844">
        <v>494</v>
      </c>
      <c r="ES844">
        <v>0</v>
      </c>
      <c r="ET844">
        <v>699.3</v>
      </c>
      <c r="EU844">
        <v>435.4</v>
      </c>
      <c r="EV844">
        <v>0</v>
      </c>
      <c r="EW844">
        <v>0</v>
      </c>
      <c r="EX844">
        <v>0</v>
      </c>
      <c r="EY844">
        <v>0</v>
      </c>
      <c r="EZ844">
        <v>0</v>
      </c>
      <c r="FA844">
        <v>0</v>
      </c>
      <c r="FB844">
        <v>0</v>
      </c>
      <c r="FC844">
        <v>0</v>
      </c>
      <c r="FD844">
        <v>95.6</v>
      </c>
      <c r="FE844">
        <v>1792.1</v>
      </c>
      <c r="FF844">
        <v>1740.1999999999998</v>
      </c>
      <c r="FG844">
        <v>954.9</v>
      </c>
      <c r="FH844">
        <v>1087.8000000000002</v>
      </c>
      <c r="FI844">
        <v>1892.1</v>
      </c>
      <c r="FJ844">
        <v>1222.5</v>
      </c>
      <c r="FK844">
        <v>678.3</v>
      </c>
      <c r="FL844">
        <v>639.1</v>
      </c>
      <c r="FM844">
        <v>520.5</v>
      </c>
      <c r="FN844">
        <v>123.8</v>
      </c>
      <c r="FO844">
        <v>181.6</v>
      </c>
      <c r="FP844">
        <v>1090.5</v>
      </c>
      <c r="FQ844">
        <v>0</v>
      </c>
      <c r="FR844">
        <v>0</v>
      </c>
      <c r="FS844">
        <v>0</v>
      </c>
      <c r="FT844">
        <v>0</v>
      </c>
      <c r="FU844">
        <v>0</v>
      </c>
      <c r="FV844">
        <v>0</v>
      </c>
      <c r="FW844">
        <v>0</v>
      </c>
      <c r="FX844">
        <v>0</v>
      </c>
      <c r="FY844">
        <v>0</v>
      </c>
      <c r="FZ844">
        <v>0</v>
      </c>
      <c r="GA844">
        <v>0</v>
      </c>
      <c r="GB844">
        <v>0</v>
      </c>
      <c r="GC844">
        <v>0</v>
      </c>
      <c r="GD844">
        <v>0</v>
      </c>
      <c r="GE844">
        <v>0</v>
      </c>
      <c r="GF844">
        <v>198.3</v>
      </c>
      <c r="GG844">
        <v>1054.4000000000001</v>
      </c>
      <c r="GH844">
        <v>552.79999999999995</v>
      </c>
      <c r="GI844">
        <v>522</v>
      </c>
      <c r="GJ844">
        <v>0</v>
      </c>
      <c r="GK844">
        <v>0</v>
      </c>
      <c r="GL844">
        <v>0</v>
      </c>
      <c r="GM844">
        <v>0</v>
      </c>
      <c r="GN844">
        <v>791.40000000000009</v>
      </c>
      <c r="GO844">
        <v>1816.5</v>
      </c>
      <c r="GP844">
        <v>0</v>
      </c>
      <c r="GQ844">
        <v>0</v>
      </c>
      <c r="GR844">
        <v>0</v>
      </c>
      <c r="GS844">
        <v>0</v>
      </c>
      <c r="GT844">
        <v>0</v>
      </c>
      <c r="GU844">
        <v>0</v>
      </c>
      <c r="GV844">
        <v>0</v>
      </c>
      <c r="GW844">
        <v>0</v>
      </c>
      <c r="GX844">
        <v>0</v>
      </c>
      <c r="GY844">
        <v>840.3</v>
      </c>
      <c r="GZ844">
        <v>0</v>
      </c>
      <c r="HA844">
        <v>0</v>
      </c>
      <c r="HB844">
        <v>0</v>
      </c>
      <c r="HC844">
        <v>380.4</v>
      </c>
      <c r="HD844">
        <v>2175.5</v>
      </c>
      <c r="HE844">
        <v>0</v>
      </c>
      <c r="HF844">
        <v>0</v>
      </c>
      <c r="HG844">
        <v>0</v>
      </c>
      <c r="HH844">
        <v>0</v>
      </c>
      <c r="HI844">
        <v>0</v>
      </c>
      <c r="HJ844">
        <v>803.40000000000009</v>
      </c>
      <c r="HK844">
        <v>1270.9000000000001</v>
      </c>
      <c r="HL844">
        <v>835.7</v>
      </c>
      <c r="HM844">
        <v>1162.5999999999999</v>
      </c>
      <c r="HN844">
        <v>0</v>
      </c>
      <c r="HO844">
        <v>0</v>
      </c>
      <c r="HP844">
        <v>0</v>
      </c>
      <c r="HQ844">
        <v>0</v>
      </c>
      <c r="HR844">
        <v>161.19999999999999</v>
      </c>
      <c r="HS844">
        <v>0</v>
      </c>
      <c r="HT844">
        <v>2048.5</v>
      </c>
      <c r="HU844">
        <v>2627.5</v>
      </c>
      <c r="HV844">
        <v>1168.5999999999999</v>
      </c>
      <c r="HW844">
        <v>388</v>
      </c>
      <c r="HX844">
        <v>0</v>
      </c>
      <c r="HY844">
        <v>0</v>
      </c>
      <c r="HZ844">
        <v>0</v>
      </c>
      <c r="IA844">
        <v>0</v>
      </c>
      <c r="IB844">
        <v>0</v>
      </c>
      <c r="IC844">
        <v>594.4</v>
      </c>
      <c r="ID844">
        <v>427.4</v>
      </c>
      <c r="IE844">
        <v>713.3</v>
      </c>
      <c r="IF844">
        <v>626.1</v>
      </c>
      <c r="IG844">
        <v>0</v>
      </c>
      <c r="IH844">
        <v>0</v>
      </c>
      <c r="II844">
        <v>995.7</v>
      </c>
      <c r="IJ844">
        <v>1156.5999999999999</v>
      </c>
      <c r="IK844">
        <v>864.6</v>
      </c>
      <c r="IL844">
        <v>316.5</v>
      </c>
      <c r="IM844">
        <v>101.5</v>
      </c>
      <c r="IN844">
        <v>71.8</v>
      </c>
      <c r="IO844">
        <v>0</v>
      </c>
      <c r="IP844">
        <v>0</v>
      </c>
      <c r="IQ844">
        <v>0</v>
      </c>
      <c r="IR844">
        <v>0</v>
      </c>
      <c r="IS844">
        <v>0</v>
      </c>
      <c r="IT844">
        <v>0</v>
      </c>
      <c r="IU844">
        <v>0</v>
      </c>
      <c r="IV844">
        <v>0</v>
      </c>
      <c r="IW844">
        <v>68</v>
      </c>
      <c r="IX844">
        <v>404.7</v>
      </c>
      <c r="IY844">
        <v>126.6</v>
      </c>
      <c r="IZ844">
        <v>126.6</v>
      </c>
      <c r="JA844">
        <v>503.7</v>
      </c>
      <c r="JB844">
        <v>570.1</v>
      </c>
      <c r="JC844">
        <v>328.3</v>
      </c>
      <c r="JD844">
        <v>0</v>
      </c>
      <c r="JE844">
        <v>0</v>
      </c>
      <c r="JF844">
        <v>0</v>
      </c>
      <c r="JG844">
        <v>0</v>
      </c>
      <c r="JH844">
        <v>287.3</v>
      </c>
      <c r="JI844">
        <v>68.2</v>
      </c>
      <c r="JJ844">
        <v>0</v>
      </c>
      <c r="JK844">
        <v>148.6</v>
      </c>
      <c r="JL844">
        <v>0</v>
      </c>
      <c r="JM844">
        <v>0</v>
      </c>
      <c r="JN844">
        <v>204.5</v>
      </c>
      <c r="JO844">
        <v>292.10000000000002</v>
      </c>
      <c r="JP844">
        <v>670.8</v>
      </c>
      <c r="JQ844">
        <v>745.2</v>
      </c>
      <c r="JR844">
        <v>242.9</v>
      </c>
    </row>
    <row r="845" spans="2:278" ht="18" thickBot="1">
      <c r="B845" s="522" t="s">
        <v>1242</v>
      </c>
      <c r="C845" s="522"/>
      <c r="D845" s="522" t="s">
        <v>1387</v>
      </c>
      <c r="E845" s="454">
        <v>22829.8</v>
      </c>
      <c r="F845">
        <v>20193.400000000001</v>
      </c>
      <c r="G845" s="427">
        <v>0</v>
      </c>
      <c r="H845" s="155">
        <v>0</v>
      </c>
      <c r="I845">
        <v>0</v>
      </c>
      <c r="J845">
        <v>0</v>
      </c>
      <c r="K845">
        <v>0</v>
      </c>
      <c r="L845" s="4">
        <v>0</v>
      </c>
      <c r="M845" s="4">
        <v>0</v>
      </c>
      <c r="N845" s="4">
        <v>0</v>
      </c>
      <c r="O845" s="4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1476.4</v>
      </c>
      <c r="X845">
        <v>1482</v>
      </c>
      <c r="Y845">
        <v>457.20000000000005</v>
      </c>
      <c r="Z845">
        <v>0</v>
      </c>
      <c r="AA845">
        <v>0</v>
      </c>
      <c r="AB845">
        <v>0</v>
      </c>
      <c r="AC845">
        <v>0</v>
      </c>
      <c r="AD845">
        <v>3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1828.6</v>
      </c>
      <c r="AK845">
        <v>1800.7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560.70000000000005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  <c r="CN845">
        <v>0</v>
      </c>
      <c r="CO845">
        <v>0</v>
      </c>
      <c r="CP845">
        <v>3.5</v>
      </c>
      <c r="CQ845">
        <v>0</v>
      </c>
      <c r="CR845">
        <v>528</v>
      </c>
      <c r="CS845">
        <v>581.79999999999995</v>
      </c>
      <c r="CT845">
        <v>555.40000000000009</v>
      </c>
      <c r="CU845">
        <v>737.4</v>
      </c>
      <c r="CV845">
        <v>1039.0999999999999</v>
      </c>
      <c r="CW845">
        <v>1667.3</v>
      </c>
      <c r="CX845">
        <v>877.6</v>
      </c>
      <c r="CY845">
        <v>910.40000000000009</v>
      </c>
      <c r="CZ845">
        <v>0</v>
      </c>
      <c r="DA845">
        <v>0</v>
      </c>
      <c r="DB845">
        <v>0</v>
      </c>
      <c r="DC845">
        <v>0</v>
      </c>
      <c r="DD845">
        <v>0</v>
      </c>
      <c r="DE845">
        <v>0</v>
      </c>
      <c r="DF845">
        <v>0</v>
      </c>
      <c r="DG845">
        <v>0</v>
      </c>
      <c r="DH845">
        <v>0</v>
      </c>
      <c r="DI845">
        <v>0</v>
      </c>
      <c r="DJ845">
        <v>0</v>
      </c>
      <c r="DK845">
        <v>0</v>
      </c>
      <c r="DL845">
        <v>995.5</v>
      </c>
      <c r="DM845">
        <v>712.7</v>
      </c>
      <c r="DN845">
        <v>0</v>
      </c>
      <c r="DO845">
        <v>0</v>
      </c>
      <c r="DP845">
        <v>0</v>
      </c>
      <c r="DQ845">
        <v>0</v>
      </c>
      <c r="DR845">
        <v>0</v>
      </c>
      <c r="DS845">
        <v>0</v>
      </c>
      <c r="DT845">
        <v>0</v>
      </c>
      <c r="DU845">
        <v>0</v>
      </c>
      <c r="DV845">
        <v>0</v>
      </c>
      <c r="DW845">
        <v>0</v>
      </c>
      <c r="DX845">
        <v>0</v>
      </c>
      <c r="DY845">
        <v>0</v>
      </c>
      <c r="DZ845">
        <v>0</v>
      </c>
      <c r="EA845">
        <v>0</v>
      </c>
      <c r="EB845">
        <v>0</v>
      </c>
      <c r="EC845">
        <v>0</v>
      </c>
      <c r="ED845">
        <v>0</v>
      </c>
      <c r="EE845">
        <v>0</v>
      </c>
      <c r="EF845">
        <v>0</v>
      </c>
      <c r="EG845">
        <v>0</v>
      </c>
      <c r="EH845">
        <v>0</v>
      </c>
      <c r="EI845">
        <v>0</v>
      </c>
      <c r="EJ845">
        <v>0</v>
      </c>
      <c r="EK845">
        <v>0</v>
      </c>
      <c r="EL845">
        <v>0</v>
      </c>
      <c r="EM845">
        <v>0</v>
      </c>
      <c r="EN845">
        <v>27.4</v>
      </c>
      <c r="EO845">
        <v>0</v>
      </c>
      <c r="EP845">
        <v>1002.5</v>
      </c>
      <c r="EQ845">
        <v>0</v>
      </c>
      <c r="ER845">
        <v>494</v>
      </c>
      <c r="ES845">
        <v>0</v>
      </c>
      <c r="ET845">
        <v>699.3</v>
      </c>
      <c r="EU845">
        <v>435.4</v>
      </c>
      <c r="EV845">
        <v>0</v>
      </c>
      <c r="EW845">
        <v>0</v>
      </c>
      <c r="EX845">
        <v>0</v>
      </c>
      <c r="EY845">
        <v>0</v>
      </c>
      <c r="EZ845">
        <v>0</v>
      </c>
      <c r="FA845">
        <v>0</v>
      </c>
      <c r="FB845">
        <v>0</v>
      </c>
      <c r="FC845">
        <v>0</v>
      </c>
      <c r="FD845">
        <v>95.6</v>
      </c>
      <c r="FE845">
        <v>1792.1</v>
      </c>
      <c r="FF845">
        <v>1740.1999999999998</v>
      </c>
      <c r="FG845">
        <v>954.9</v>
      </c>
      <c r="FH845">
        <v>1087.8000000000002</v>
      </c>
      <c r="FI845">
        <v>1892.1</v>
      </c>
      <c r="FJ845">
        <v>1222.5</v>
      </c>
      <c r="FK845">
        <v>678.3</v>
      </c>
      <c r="FL845">
        <v>639.1</v>
      </c>
      <c r="FM845">
        <v>520.5</v>
      </c>
      <c r="FN845">
        <v>123.8</v>
      </c>
      <c r="FO845">
        <v>181.6</v>
      </c>
      <c r="FP845">
        <v>1090.5</v>
      </c>
      <c r="FQ845">
        <v>0</v>
      </c>
      <c r="FR845">
        <v>0</v>
      </c>
      <c r="FS845">
        <v>0</v>
      </c>
      <c r="FT845">
        <v>0</v>
      </c>
      <c r="FU845">
        <v>0</v>
      </c>
      <c r="FV845">
        <v>0</v>
      </c>
      <c r="FW845">
        <v>0</v>
      </c>
      <c r="FX845">
        <v>0</v>
      </c>
      <c r="FY845">
        <v>0</v>
      </c>
      <c r="FZ845">
        <v>0</v>
      </c>
      <c r="GA845">
        <v>0</v>
      </c>
      <c r="GB845">
        <v>0</v>
      </c>
      <c r="GC845">
        <v>0</v>
      </c>
      <c r="GD845">
        <v>0</v>
      </c>
      <c r="GE845">
        <v>0</v>
      </c>
      <c r="GF845">
        <v>198.3</v>
      </c>
      <c r="GG845">
        <v>1054.4000000000001</v>
      </c>
      <c r="GH845">
        <v>552.79999999999995</v>
      </c>
      <c r="GI845">
        <v>522</v>
      </c>
      <c r="GJ845">
        <v>0</v>
      </c>
      <c r="GK845">
        <v>0</v>
      </c>
      <c r="GL845">
        <v>0</v>
      </c>
      <c r="GM845">
        <v>0</v>
      </c>
      <c r="GN845">
        <v>791.40000000000009</v>
      </c>
      <c r="GO845">
        <v>1816.5</v>
      </c>
      <c r="GP845">
        <v>0</v>
      </c>
      <c r="GQ845">
        <v>0</v>
      </c>
      <c r="GR845">
        <v>0</v>
      </c>
      <c r="GS845">
        <v>0</v>
      </c>
      <c r="GT845">
        <v>0</v>
      </c>
      <c r="GU845">
        <v>0</v>
      </c>
      <c r="GV845">
        <v>0</v>
      </c>
      <c r="GW845">
        <v>0</v>
      </c>
      <c r="GX845">
        <v>0</v>
      </c>
      <c r="GY845">
        <v>840.3</v>
      </c>
      <c r="GZ845">
        <v>0</v>
      </c>
      <c r="HA845">
        <v>0</v>
      </c>
      <c r="HB845">
        <v>0</v>
      </c>
      <c r="HC845">
        <v>380.4</v>
      </c>
      <c r="HD845">
        <v>2175.5</v>
      </c>
      <c r="HE845">
        <v>0</v>
      </c>
      <c r="HF845">
        <v>0</v>
      </c>
      <c r="HG845">
        <v>0</v>
      </c>
      <c r="HH845">
        <v>0</v>
      </c>
      <c r="HI845">
        <v>0</v>
      </c>
      <c r="HJ845">
        <v>803.40000000000009</v>
      </c>
      <c r="HK845">
        <v>1270.9000000000001</v>
      </c>
      <c r="HL845">
        <v>835.7</v>
      </c>
      <c r="HM845">
        <v>1162.5999999999999</v>
      </c>
      <c r="HN845">
        <v>0</v>
      </c>
      <c r="HO845">
        <v>0</v>
      </c>
      <c r="HP845">
        <v>0</v>
      </c>
      <c r="HQ845">
        <v>0</v>
      </c>
      <c r="HR845">
        <v>161.19999999999999</v>
      </c>
      <c r="HS845">
        <v>0</v>
      </c>
      <c r="HT845">
        <v>2048.5</v>
      </c>
      <c r="HU845">
        <v>2627.5</v>
      </c>
      <c r="HV845">
        <v>1168.5999999999999</v>
      </c>
      <c r="HW845">
        <v>388</v>
      </c>
      <c r="HX845">
        <v>0</v>
      </c>
      <c r="HY845">
        <v>0</v>
      </c>
      <c r="HZ845">
        <v>0</v>
      </c>
      <c r="IA845">
        <v>0</v>
      </c>
      <c r="IB845">
        <v>0</v>
      </c>
      <c r="IC845">
        <v>594.4</v>
      </c>
      <c r="ID845">
        <v>427.4</v>
      </c>
      <c r="IE845">
        <v>713.3</v>
      </c>
      <c r="IF845">
        <v>626.1</v>
      </c>
      <c r="IG845">
        <v>0</v>
      </c>
      <c r="IH845">
        <v>0</v>
      </c>
      <c r="II845">
        <v>995.7</v>
      </c>
      <c r="IJ845">
        <v>1156.5999999999999</v>
      </c>
      <c r="IK845">
        <v>864.6</v>
      </c>
      <c r="IL845">
        <v>316.5</v>
      </c>
      <c r="IM845">
        <v>101.5</v>
      </c>
      <c r="IN845">
        <v>71.8</v>
      </c>
      <c r="IO845">
        <v>0</v>
      </c>
      <c r="IP845">
        <v>0</v>
      </c>
      <c r="IQ845">
        <v>0</v>
      </c>
      <c r="IR845">
        <v>0</v>
      </c>
      <c r="IS845">
        <v>0</v>
      </c>
      <c r="IT845">
        <v>0</v>
      </c>
      <c r="IU845">
        <v>0</v>
      </c>
      <c r="IV845">
        <v>0</v>
      </c>
      <c r="IW845">
        <v>68</v>
      </c>
      <c r="IX845">
        <v>404.7</v>
      </c>
      <c r="IY845">
        <v>126.6</v>
      </c>
      <c r="IZ845">
        <v>126.6</v>
      </c>
      <c r="JA845">
        <v>503.7</v>
      </c>
      <c r="JB845">
        <v>570.1</v>
      </c>
      <c r="JC845">
        <v>328.3</v>
      </c>
      <c r="JD845">
        <v>0</v>
      </c>
      <c r="JE845">
        <v>0</v>
      </c>
      <c r="JF845">
        <v>0</v>
      </c>
      <c r="JG845">
        <v>0</v>
      </c>
      <c r="JH845">
        <v>287.3</v>
      </c>
      <c r="JI845">
        <v>68.2</v>
      </c>
      <c r="JJ845">
        <v>0</v>
      </c>
      <c r="JK845">
        <v>148.6</v>
      </c>
      <c r="JL845">
        <v>0</v>
      </c>
      <c r="JM845">
        <v>0</v>
      </c>
      <c r="JN845">
        <v>204.5</v>
      </c>
      <c r="JO845">
        <v>292.10000000000002</v>
      </c>
      <c r="JP845">
        <v>670.8</v>
      </c>
      <c r="JQ845">
        <v>745.2</v>
      </c>
      <c r="JR845">
        <v>242.9</v>
      </c>
    </row>
    <row r="846" spans="2:278" ht="18" thickBot="1">
      <c r="B846" s="523"/>
      <c r="C846" s="523"/>
      <c r="D846" s="523"/>
      <c r="E846" s="454">
        <v>22829.8</v>
      </c>
      <c r="F846">
        <v>20193.400000000001</v>
      </c>
      <c r="G846" s="427">
        <v>0</v>
      </c>
      <c r="H846" s="155">
        <v>0</v>
      </c>
      <c r="I846">
        <v>0</v>
      </c>
      <c r="J846">
        <v>0</v>
      </c>
      <c r="K846">
        <v>0</v>
      </c>
      <c r="L846" s="4">
        <v>0</v>
      </c>
      <c r="M846" s="4">
        <v>0</v>
      </c>
      <c r="N846" s="4">
        <v>0</v>
      </c>
      <c r="O846" s="4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1476.4</v>
      </c>
      <c r="X846">
        <v>1482</v>
      </c>
      <c r="Y846">
        <v>457.20000000000005</v>
      </c>
      <c r="Z846">
        <v>0</v>
      </c>
      <c r="AA846">
        <v>0</v>
      </c>
      <c r="AB846">
        <v>0</v>
      </c>
      <c r="AC846">
        <v>0</v>
      </c>
      <c r="AD846">
        <v>3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1828.6</v>
      </c>
      <c r="AK846">
        <v>1800.7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560.70000000000005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0</v>
      </c>
      <c r="BN846">
        <v>0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  <c r="CF846">
        <v>0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3.5</v>
      </c>
      <c r="CQ846">
        <v>0</v>
      </c>
      <c r="CR846">
        <v>528</v>
      </c>
      <c r="CS846">
        <v>581.79999999999995</v>
      </c>
      <c r="CT846">
        <v>555.40000000000009</v>
      </c>
      <c r="CU846">
        <v>737.4</v>
      </c>
      <c r="CV846">
        <v>1039.0999999999999</v>
      </c>
      <c r="CW846">
        <v>1667.3</v>
      </c>
      <c r="CX846">
        <v>877.6</v>
      </c>
      <c r="CY846">
        <v>910.40000000000009</v>
      </c>
      <c r="CZ846">
        <v>0</v>
      </c>
      <c r="DA846">
        <v>0</v>
      </c>
      <c r="DB846">
        <v>0</v>
      </c>
      <c r="DC846">
        <v>0</v>
      </c>
      <c r="DD846">
        <v>0</v>
      </c>
      <c r="DE846">
        <v>0</v>
      </c>
      <c r="DF846">
        <v>0</v>
      </c>
      <c r="DG846">
        <v>0</v>
      </c>
      <c r="DH846">
        <v>0</v>
      </c>
      <c r="DI846">
        <v>0</v>
      </c>
      <c r="DJ846">
        <v>0</v>
      </c>
      <c r="DK846">
        <v>0</v>
      </c>
      <c r="DL846">
        <v>995.5</v>
      </c>
      <c r="DM846">
        <v>712.7</v>
      </c>
      <c r="DN846">
        <v>0</v>
      </c>
      <c r="DO846">
        <v>0</v>
      </c>
      <c r="DP846">
        <v>0</v>
      </c>
      <c r="DQ846">
        <v>0</v>
      </c>
      <c r="DR846">
        <v>0</v>
      </c>
      <c r="DS846">
        <v>0</v>
      </c>
      <c r="DT846">
        <v>0</v>
      </c>
      <c r="DU846">
        <v>0</v>
      </c>
      <c r="DV846">
        <v>0</v>
      </c>
      <c r="DW846">
        <v>0</v>
      </c>
      <c r="DX846">
        <v>0</v>
      </c>
      <c r="DY846">
        <v>0</v>
      </c>
      <c r="DZ846">
        <v>0</v>
      </c>
      <c r="EA846">
        <v>0</v>
      </c>
      <c r="EB846">
        <v>0</v>
      </c>
      <c r="EC846">
        <v>0</v>
      </c>
      <c r="ED846">
        <v>0</v>
      </c>
      <c r="EE846">
        <v>0</v>
      </c>
      <c r="EF846">
        <v>0</v>
      </c>
      <c r="EG846">
        <v>0</v>
      </c>
      <c r="EH846">
        <v>0</v>
      </c>
      <c r="EI846">
        <v>0</v>
      </c>
      <c r="EJ846">
        <v>0</v>
      </c>
      <c r="EK846">
        <v>0</v>
      </c>
      <c r="EL846">
        <v>0</v>
      </c>
      <c r="EM846">
        <v>0</v>
      </c>
      <c r="EN846">
        <v>27.4</v>
      </c>
      <c r="EO846">
        <v>0</v>
      </c>
      <c r="EP846">
        <v>1002.5</v>
      </c>
      <c r="EQ846">
        <v>0</v>
      </c>
      <c r="ER846">
        <v>494</v>
      </c>
      <c r="ES846">
        <v>0</v>
      </c>
      <c r="ET846">
        <v>699.3</v>
      </c>
      <c r="EU846">
        <v>435.4</v>
      </c>
      <c r="EV846">
        <v>0</v>
      </c>
      <c r="EW846">
        <v>0</v>
      </c>
      <c r="EX846">
        <v>0</v>
      </c>
      <c r="EY846">
        <v>0</v>
      </c>
      <c r="EZ846">
        <v>0</v>
      </c>
      <c r="FA846">
        <v>0</v>
      </c>
      <c r="FB846">
        <v>0</v>
      </c>
      <c r="FC846">
        <v>0</v>
      </c>
      <c r="FD846">
        <v>95.6</v>
      </c>
      <c r="FE846">
        <v>1792.1</v>
      </c>
      <c r="FF846">
        <v>1740.1999999999998</v>
      </c>
      <c r="FG846">
        <v>954.9</v>
      </c>
      <c r="FH846">
        <v>1087.8000000000002</v>
      </c>
      <c r="FI846">
        <v>1892.1</v>
      </c>
      <c r="FJ846">
        <v>1222.5</v>
      </c>
      <c r="FK846">
        <v>678.3</v>
      </c>
      <c r="FL846">
        <v>639.1</v>
      </c>
      <c r="FM846">
        <v>520.5</v>
      </c>
      <c r="FN846">
        <v>123.8</v>
      </c>
      <c r="FO846">
        <v>181.6</v>
      </c>
      <c r="FP846">
        <v>1090.5</v>
      </c>
      <c r="FQ846">
        <v>0</v>
      </c>
      <c r="FR846">
        <v>0</v>
      </c>
      <c r="FS846">
        <v>0</v>
      </c>
      <c r="FT846">
        <v>0</v>
      </c>
      <c r="FU846">
        <v>0</v>
      </c>
      <c r="FV846">
        <v>0</v>
      </c>
      <c r="FW846">
        <v>0</v>
      </c>
      <c r="FX846">
        <v>0</v>
      </c>
      <c r="FY846">
        <v>0</v>
      </c>
      <c r="FZ846">
        <v>0</v>
      </c>
      <c r="GA846">
        <v>0</v>
      </c>
      <c r="GB846">
        <v>0</v>
      </c>
      <c r="GC846">
        <v>0</v>
      </c>
      <c r="GD846">
        <v>0</v>
      </c>
      <c r="GE846">
        <v>0</v>
      </c>
      <c r="GF846">
        <v>198.3</v>
      </c>
      <c r="GG846">
        <v>1054.4000000000001</v>
      </c>
      <c r="GH846">
        <v>552.79999999999995</v>
      </c>
      <c r="GI846">
        <v>522</v>
      </c>
      <c r="GJ846">
        <v>0</v>
      </c>
      <c r="GK846">
        <v>0</v>
      </c>
      <c r="GL846">
        <v>0</v>
      </c>
      <c r="GM846">
        <v>0</v>
      </c>
      <c r="GN846">
        <v>791.40000000000009</v>
      </c>
      <c r="GO846">
        <v>1816.5</v>
      </c>
      <c r="GP846">
        <v>0</v>
      </c>
      <c r="GQ846">
        <v>0</v>
      </c>
      <c r="GR846">
        <v>0</v>
      </c>
      <c r="GS846">
        <v>0</v>
      </c>
      <c r="GT846">
        <v>0</v>
      </c>
      <c r="GU846">
        <v>0</v>
      </c>
      <c r="GV846">
        <v>0</v>
      </c>
      <c r="GW846">
        <v>0</v>
      </c>
      <c r="GX846">
        <v>0</v>
      </c>
      <c r="GY846">
        <v>840.3</v>
      </c>
      <c r="GZ846">
        <v>0</v>
      </c>
      <c r="HA846">
        <v>0</v>
      </c>
      <c r="HB846">
        <v>0</v>
      </c>
      <c r="HC846">
        <v>380.4</v>
      </c>
      <c r="HD846">
        <v>2175.5</v>
      </c>
      <c r="HE846">
        <v>0</v>
      </c>
      <c r="HF846">
        <v>0</v>
      </c>
      <c r="HG846">
        <v>0</v>
      </c>
      <c r="HH846">
        <v>0</v>
      </c>
      <c r="HI846">
        <v>0</v>
      </c>
      <c r="HJ846">
        <v>803.40000000000009</v>
      </c>
      <c r="HK846">
        <v>1270.9000000000001</v>
      </c>
      <c r="HL846">
        <v>835.7</v>
      </c>
      <c r="HM846">
        <v>1162.5999999999999</v>
      </c>
      <c r="HN846">
        <v>0</v>
      </c>
      <c r="HO846">
        <v>0</v>
      </c>
      <c r="HP846">
        <v>0</v>
      </c>
      <c r="HQ846">
        <v>0</v>
      </c>
      <c r="HR846">
        <v>161.19999999999999</v>
      </c>
      <c r="HS846">
        <v>0</v>
      </c>
      <c r="HT846">
        <v>2048.5</v>
      </c>
      <c r="HU846">
        <v>2627.5</v>
      </c>
      <c r="HV846">
        <v>1168.5999999999999</v>
      </c>
      <c r="HW846">
        <v>388</v>
      </c>
      <c r="HX846">
        <v>0</v>
      </c>
      <c r="HY846">
        <v>0</v>
      </c>
      <c r="HZ846">
        <v>0</v>
      </c>
      <c r="IA846">
        <v>0</v>
      </c>
      <c r="IB846">
        <v>0</v>
      </c>
      <c r="IC846">
        <v>594.4</v>
      </c>
      <c r="ID846">
        <v>427.4</v>
      </c>
      <c r="IE846">
        <v>713.3</v>
      </c>
      <c r="IF846">
        <v>626.1</v>
      </c>
      <c r="IG846">
        <v>0</v>
      </c>
      <c r="IH846">
        <v>0</v>
      </c>
      <c r="II846">
        <v>995.7</v>
      </c>
      <c r="IJ846">
        <v>1156.5999999999999</v>
      </c>
      <c r="IK846">
        <v>864.6</v>
      </c>
      <c r="IL846">
        <v>316.5</v>
      </c>
      <c r="IM846">
        <v>101.5</v>
      </c>
      <c r="IN846">
        <v>71.8</v>
      </c>
      <c r="IO846">
        <v>0</v>
      </c>
      <c r="IP846">
        <v>0</v>
      </c>
      <c r="IQ846">
        <v>0</v>
      </c>
      <c r="IR846">
        <v>0</v>
      </c>
      <c r="IS846">
        <v>0</v>
      </c>
      <c r="IT846">
        <v>0</v>
      </c>
      <c r="IU846">
        <v>0</v>
      </c>
      <c r="IV846">
        <v>0</v>
      </c>
      <c r="IW846">
        <v>68</v>
      </c>
      <c r="IX846">
        <v>404.7</v>
      </c>
      <c r="IY846">
        <v>126.6</v>
      </c>
      <c r="IZ846">
        <v>126.6</v>
      </c>
      <c r="JA846">
        <v>503.7</v>
      </c>
      <c r="JB846">
        <v>570.1</v>
      </c>
      <c r="JC846">
        <v>328.3</v>
      </c>
      <c r="JD846">
        <v>0</v>
      </c>
      <c r="JE846">
        <v>0</v>
      </c>
      <c r="JF846">
        <v>0</v>
      </c>
      <c r="JG846">
        <v>0</v>
      </c>
      <c r="JH846">
        <v>287.3</v>
      </c>
      <c r="JI846">
        <v>68.2</v>
      </c>
      <c r="JJ846">
        <v>0</v>
      </c>
      <c r="JK846">
        <v>148.6</v>
      </c>
      <c r="JL846">
        <v>0</v>
      </c>
      <c r="JM846">
        <v>0</v>
      </c>
      <c r="JN846">
        <v>204.5</v>
      </c>
      <c r="JO846">
        <v>292.10000000000002</v>
      </c>
      <c r="JP846">
        <v>670.8</v>
      </c>
      <c r="JQ846">
        <v>745.2</v>
      </c>
      <c r="JR846">
        <v>242.9</v>
      </c>
    </row>
    <row r="847" spans="2:278" ht="18" thickBot="1">
      <c r="B847" s="522" t="s">
        <v>1243</v>
      </c>
      <c r="C847" s="522"/>
      <c r="D847" s="531" t="s">
        <v>1387</v>
      </c>
      <c r="E847" s="454">
        <v>22829.8</v>
      </c>
      <c r="F847">
        <v>20193.400000000001</v>
      </c>
      <c r="G847" s="427">
        <v>0</v>
      </c>
      <c r="H847" s="155">
        <v>0</v>
      </c>
      <c r="I847">
        <v>0</v>
      </c>
      <c r="J847">
        <v>0</v>
      </c>
      <c r="K847">
        <v>0</v>
      </c>
      <c r="L847" s="4">
        <v>0</v>
      </c>
      <c r="M847" s="4">
        <v>0</v>
      </c>
      <c r="N847" s="4">
        <v>0</v>
      </c>
      <c r="O847" s="4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1476.4</v>
      </c>
      <c r="X847">
        <v>1482</v>
      </c>
      <c r="Y847">
        <v>457.20000000000005</v>
      </c>
      <c r="Z847">
        <v>0</v>
      </c>
      <c r="AA847">
        <v>0</v>
      </c>
      <c r="AB847">
        <v>0</v>
      </c>
      <c r="AC847">
        <v>0</v>
      </c>
      <c r="AD847">
        <v>3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1828.6</v>
      </c>
      <c r="AK847">
        <v>1800.7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560.70000000000005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  <c r="CN847">
        <v>0</v>
      </c>
      <c r="CO847">
        <v>0</v>
      </c>
      <c r="CP847">
        <v>3.5</v>
      </c>
      <c r="CQ847">
        <v>0</v>
      </c>
      <c r="CR847">
        <v>528</v>
      </c>
      <c r="CS847">
        <v>581.79999999999995</v>
      </c>
      <c r="CT847">
        <v>555.40000000000009</v>
      </c>
      <c r="CU847">
        <v>737.4</v>
      </c>
      <c r="CV847">
        <v>1039.0999999999999</v>
      </c>
      <c r="CW847">
        <v>1667.3</v>
      </c>
      <c r="CX847">
        <v>877.6</v>
      </c>
      <c r="CY847">
        <v>910.40000000000009</v>
      </c>
      <c r="CZ847">
        <v>0</v>
      </c>
      <c r="DA847">
        <v>0</v>
      </c>
      <c r="DB847">
        <v>0</v>
      </c>
      <c r="DC847">
        <v>0</v>
      </c>
      <c r="DD847">
        <v>0</v>
      </c>
      <c r="DE847">
        <v>0</v>
      </c>
      <c r="DF847">
        <v>0</v>
      </c>
      <c r="DG847">
        <v>0</v>
      </c>
      <c r="DH847">
        <v>0</v>
      </c>
      <c r="DI847">
        <v>0</v>
      </c>
      <c r="DJ847">
        <v>0</v>
      </c>
      <c r="DK847">
        <v>0</v>
      </c>
      <c r="DL847">
        <v>995.5</v>
      </c>
      <c r="DM847">
        <v>712.7</v>
      </c>
      <c r="DN847">
        <v>0</v>
      </c>
      <c r="DO847">
        <v>0</v>
      </c>
      <c r="DP847">
        <v>0</v>
      </c>
      <c r="DQ847">
        <v>0</v>
      </c>
      <c r="DR847">
        <v>0</v>
      </c>
      <c r="DS847">
        <v>0</v>
      </c>
      <c r="DT847">
        <v>0</v>
      </c>
      <c r="DU847">
        <v>0</v>
      </c>
      <c r="DV847">
        <v>0</v>
      </c>
      <c r="DW847">
        <v>0</v>
      </c>
      <c r="DX847">
        <v>0</v>
      </c>
      <c r="DY847">
        <v>0</v>
      </c>
      <c r="DZ847">
        <v>0</v>
      </c>
      <c r="EA847">
        <v>0</v>
      </c>
      <c r="EB847">
        <v>0</v>
      </c>
      <c r="EC847">
        <v>0</v>
      </c>
      <c r="ED847">
        <v>0</v>
      </c>
      <c r="EE847">
        <v>0</v>
      </c>
      <c r="EF847">
        <v>0</v>
      </c>
      <c r="EG847">
        <v>0</v>
      </c>
      <c r="EH847">
        <v>0</v>
      </c>
      <c r="EI847">
        <v>0</v>
      </c>
      <c r="EJ847">
        <v>0</v>
      </c>
      <c r="EK847">
        <v>0</v>
      </c>
      <c r="EL847">
        <v>0</v>
      </c>
      <c r="EM847">
        <v>0</v>
      </c>
      <c r="EN847">
        <v>27.4</v>
      </c>
      <c r="EO847">
        <v>0</v>
      </c>
      <c r="EP847">
        <v>1002.5</v>
      </c>
      <c r="EQ847">
        <v>0</v>
      </c>
      <c r="ER847">
        <v>494</v>
      </c>
      <c r="ES847">
        <v>0</v>
      </c>
      <c r="ET847">
        <v>699.3</v>
      </c>
      <c r="EU847">
        <v>435.4</v>
      </c>
      <c r="EV847">
        <v>0</v>
      </c>
      <c r="EW847">
        <v>0</v>
      </c>
      <c r="EX847">
        <v>0</v>
      </c>
      <c r="EY847">
        <v>0</v>
      </c>
      <c r="EZ847">
        <v>0</v>
      </c>
      <c r="FA847">
        <v>0</v>
      </c>
      <c r="FB847">
        <v>0</v>
      </c>
      <c r="FC847">
        <v>0</v>
      </c>
      <c r="FD847">
        <v>95.6</v>
      </c>
      <c r="FE847">
        <v>1792.1</v>
      </c>
      <c r="FF847">
        <v>1740.1999999999998</v>
      </c>
      <c r="FG847">
        <v>954.9</v>
      </c>
      <c r="FH847">
        <v>1087.8000000000002</v>
      </c>
      <c r="FI847">
        <v>1892.1</v>
      </c>
      <c r="FJ847">
        <v>1222.5</v>
      </c>
      <c r="FK847">
        <v>678.3</v>
      </c>
      <c r="FL847">
        <v>639.1</v>
      </c>
      <c r="FM847">
        <v>520.5</v>
      </c>
      <c r="FN847">
        <v>123.8</v>
      </c>
      <c r="FO847">
        <v>181.6</v>
      </c>
      <c r="FP847">
        <v>1090.5</v>
      </c>
      <c r="FQ847">
        <v>0</v>
      </c>
      <c r="FR847">
        <v>0</v>
      </c>
      <c r="FS847">
        <v>0</v>
      </c>
      <c r="FT847">
        <v>0</v>
      </c>
      <c r="FU847">
        <v>0</v>
      </c>
      <c r="FV847">
        <v>0</v>
      </c>
      <c r="FW847">
        <v>0</v>
      </c>
      <c r="FX847">
        <v>0</v>
      </c>
      <c r="FY847">
        <v>0</v>
      </c>
      <c r="FZ847">
        <v>0</v>
      </c>
      <c r="GA847">
        <v>0</v>
      </c>
      <c r="GB847">
        <v>0</v>
      </c>
      <c r="GC847">
        <v>0</v>
      </c>
      <c r="GD847">
        <v>0</v>
      </c>
      <c r="GE847">
        <v>0</v>
      </c>
      <c r="GF847">
        <v>198.3</v>
      </c>
      <c r="GG847">
        <v>1054.4000000000001</v>
      </c>
      <c r="GH847">
        <v>552.79999999999995</v>
      </c>
      <c r="GI847">
        <v>522</v>
      </c>
      <c r="GJ847">
        <v>0</v>
      </c>
      <c r="GK847">
        <v>0</v>
      </c>
      <c r="GL847">
        <v>0</v>
      </c>
      <c r="GM847">
        <v>0</v>
      </c>
      <c r="GN847">
        <v>791.40000000000009</v>
      </c>
      <c r="GO847">
        <v>1816.5</v>
      </c>
      <c r="GP847">
        <v>0</v>
      </c>
      <c r="GQ847">
        <v>0</v>
      </c>
      <c r="GR847">
        <v>0</v>
      </c>
      <c r="GS847">
        <v>0</v>
      </c>
      <c r="GT847">
        <v>0</v>
      </c>
      <c r="GU847">
        <v>0</v>
      </c>
      <c r="GV847">
        <v>0</v>
      </c>
      <c r="GW847">
        <v>0</v>
      </c>
      <c r="GX847">
        <v>0</v>
      </c>
      <c r="GY847">
        <v>840.3</v>
      </c>
      <c r="GZ847">
        <v>0</v>
      </c>
      <c r="HA847">
        <v>0</v>
      </c>
      <c r="HB847">
        <v>0</v>
      </c>
      <c r="HC847">
        <v>380.4</v>
      </c>
      <c r="HD847">
        <v>2175.5</v>
      </c>
      <c r="HE847">
        <v>0</v>
      </c>
      <c r="HF847">
        <v>0</v>
      </c>
      <c r="HG847">
        <v>0</v>
      </c>
      <c r="HH847">
        <v>0</v>
      </c>
      <c r="HI847">
        <v>0</v>
      </c>
      <c r="HJ847">
        <v>803.40000000000009</v>
      </c>
      <c r="HK847">
        <v>1270.9000000000001</v>
      </c>
      <c r="HL847">
        <v>835.7</v>
      </c>
      <c r="HM847">
        <v>1162.5999999999999</v>
      </c>
      <c r="HN847">
        <v>0</v>
      </c>
      <c r="HO847">
        <v>0</v>
      </c>
      <c r="HP847">
        <v>0</v>
      </c>
      <c r="HQ847">
        <v>0</v>
      </c>
      <c r="HR847">
        <v>161.19999999999999</v>
      </c>
      <c r="HS847">
        <v>0</v>
      </c>
      <c r="HT847">
        <v>2048.5</v>
      </c>
      <c r="HU847">
        <v>2627.5</v>
      </c>
      <c r="HV847">
        <v>1168.5999999999999</v>
      </c>
      <c r="HW847">
        <v>388</v>
      </c>
      <c r="HX847">
        <v>0</v>
      </c>
      <c r="HY847">
        <v>0</v>
      </c>
      <c r="HZ847">
        <v>0</v>
      </c>
      <c r="IA847">
        <v>0</v>
      </c>
      <c r="IB847">
        <v>0</v>
      </c>
      <c r="IC847">
        <v>594.4</v>
      </c>
      <c r="ID847">
        <v>427.4</v>
      </c>
      <c r="IE847">
        <v>713.3</v>
      </c>
      <c r="IF847">
        <v>626.1</v>
      </c>
      <c r="IG847">
        <v>0</v>
      </c>
      <c r="IH847">
        <v>0</v>
      </c>
      <c r="II847">
        <v>995.7</v>
      </c>
      <c r="IJ847">
        <v>1156.5999999999999</v>
      </c>
      <c r="IK847">
        <v>864.6</v>
      </c>
      <c r="IL847">
        <v>316.5</v>
      </c>
      <c r="IM847">
        <v>101.5</v>
      </c>
      <c r="IN847">
        <v>71.8</v>
      </c>
      <c r="IO847">
        <v>0</v>
      </c>
      <c r="IP847">
        <v>0</v>
      </c>
      <c r="IQ847">
        <v>0</v>
      </c>
      <c r="IR847">
        <v>0</v>
      </c>
      <c r="IS847">
        <v>0</v>
      </c>
      <c r="IT847">
        <v>0</v>
      </c>
      <c r="IU847">
        <v>0</v>
      </c>
      <c r="IV847">
        <v>0</v>
      </c>
      <c r="IW847">
        <v>68</v>
      </c>
      <c r="IX847">
        <v>404.7</v>
      </c>
      <c r="IY847">
        <v>126.6</v>
      </c>
      <c r="IZ847">
        <v>126.6</v>
      </c>
      <c r="JA847">
        <v>503.7</v>
      </c>
      <c r="JB847">
        <v>570.1</v>
      </c>
      <c r="JC847">
        <v>328.3</v>
      </c>
      <c r="JD847">
        <v>0</v>
      </c>
      <c r="JE847">
        <v>0</v>
      </c>
      <c r="JF847">
        <v>0</v>
      </c>
      <c r="JG847">
        <v>0</v>
      </c>
      <c r="JH847">
        <v>287.3</v>
      </c>
      <c r="JI847">
        <v>68.2</v>
      </c>
      <c r="JJ847">
        <v>0</v>
      </c>
      <c r="JK847">
        <v>148.6</v>
      </c>
      <c r="JL847">
        <v>0</v>
      </c>
      <c r="JM847">
        <v>0</v>
      </c>
      <c r="JN847">
        <v>204.5</v>
      </c>
      <c r="JO847">
        <v>292.10000000000002</v>
      </c>
      <c r="JP847">
        <v>670.8</v>
      </c>
      <c r="JQ847">
        <v>745.2</v>
      </c>
      <c r="JR847">
        <v>242.9</v>
      </c>
    </row>
    <row r="848" spans="2:278" ht="18" thickBot="1">
      <c r="B848" s="523"/>
      <c r="C848" s="523"/>
      <c r="D848" s="523"/>
      <c r="E848" s="454">
        <v>22829.8</v>
      </c>
      <c r="F848">
        <v>20193.400000000001</v>
      </c>
      <c r="G848" s="427">
        <v>0</v>
      </c>
      <c r="H848" s="155">
        <v>0</v>
      </c>
      <c r="I848">
        <v>0</v>
      </c>
      <c r="J848">
        <v>0</v>
      </c>
      <c r="K848">
        <v>0</v>
      </c>
      <c r="L848" s="4">
        <v>0</v>
      </c>
      <c r="M848" s="4">
        <v>0</v>
      </c>
      <c r="N848" s="4">
        <v>0</v>
      </c>
      <c r="O848" s="4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1476.4</v>
      </c>
      <c r="X848">
        <v>1482</v>
      </c>
      <c r="Y848">
        <v>457.20000000000005</v>
      </c>
      <c r="Z848">
        <v>0</v>
      </c>
      <c r="AA848">
        <v>0</v>
      </c>
      <c r="AB848">
        <v>0</v>
      </c>
      <c r="AC848">
        <v>0</v>
      </c>
      <c r="AD848">
        <v>3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1828.6</v>
      </c>
      <c r="AK848">
        <v>1800.7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560.70000000000005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0</v>
      </c>
      <c r="BU848">
        <v>0</v>
      </c>
      <c r="BV848">
        <v>0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  <c r="CN848">
        <v>0</v>
      </c>
      <c r="CO848">
        <v>0</v>
      </c>
      <c r="CP848">
        <v>3.5</v>
      </c>
      <c r="CQ848">
        <v>0</v>
      </c>
      <c r="CR848">
        <v>528</v>
      </c>
      <c r="CS848">
        <v>581.79999999999995</v>
      </c>
      <c r="CT848">
        <v>555.40000000000009</v>
      </c>
      <c r="CU848">
        <v>737.4</v>
      </c>
      <c r="CV848">
        <v>1039.0999999999999</v>
      </c>
      <c r="CW848">
        <v>1667.3</v>
      </c>
      <c r="CX848">
        <v>877.6</v>
      </c>
      <c r="CY848">
        <v>910.40000000000009</v>
      </c>
      <c r="CZ848">
        <v>0</v>
      </c>
      <c r="DA848">
        <v>0</v>
      </c>
      <c r="DB848">
        <v>0</v>
      </c>
      <c r="DC848">
        <v>0</v>
      </c>
      <c r="DD848">
        <v>0</v>
      </c>
      <c r="DE848">
        <v>0</v>
      </c>
      <c r="DF848">
        <v>0</v>
      </c>
      <c r="DG848">
        <v>0</v>
      </c>
      <c r="DH848">
        <v>0</v>
      </c>
      <c r="DI848">
        <v>0</v>
      </c>
      <c r="DJ848">
        <v>0</v>
      </c>
      <c r="DK848">
        <v>0</v>
      </c>
      <c r="DL848">
        <v>995.5</v>
      </c>
      <c r="DM848">
        <v>712.7</v>
      </c>
      <c r="DN848">
        <v>0</v>
      </c>
      <c r="DO848">
        <v>0</v>
      </c>
      <c r="DP848">
        <v>0</v>
      </c>
      <c r="DQ848">
        <v>0</v>
      </c>
      <c r="DR848">
        <v>0</v>
      </c>
      <c r="DS848">
        <v>0</v>
      </c>
      <c r="DT848">
        <v>0</v>
      </c>
      <c r="DU848">
        <v>0</v>
      </c>
      <c r="DV848">
        <v>0</v>
      </c>
      <c r="DW848">
        <v>0</v>
      </c>
      <c r="DX848">
        <v>0</v>
      </c>
      <c r="DY848">
        <v>0</v>
      </c>
      <c r="DZ848">
        <v>0</v>
      </c>
      <c r="EA848">
        <v>0</v>
      </c>
      <c r="EB848">
        <v>0</v>
      </c>
      <c r="EC848">
        <v>0</v>
      </c>
      <c r="ED848">
        <v>0</v>
      </c>
      <c r="EE848">
        <v>0</v>
      </c>
      <c r="EF848">
        <v>0</v>
      </c>
      <c r="EG848">
        <v>0</v>
      </c>
      <c r="EH848">
        <v>0</v>
      </c>
      <c r="EI848">
        <v>0</v>
      </c>
      <c r="EJ848">
        <v>0</v>
      </c>
      <c r="EK848">
        <v>0</v>
      </c>
      <c r="EL848">
        <v>0</v>
      </c>
      <c r="EM848">
        <v>0</v>
      </c>
      <c r="EN848">
        <v>27.4</v>
      </c>
      <c r="EO848">
        <v>0</v>
      </c>
      <c r="EP848">
        <v>1002.5</v>
      </c>
      <c r="EQ848">
        <v>0</v>
      </c>
      <c r="ER848">
        <v>494</v>
      </c>
      <c r="ES848">
        <v>0</v>
      </c>
      <c r="ET848">
        <v>699.3</v>
      </c>
      <c r="EU848">
        <v>435.4</v>
      </c>
      <c r="EV848">
        <v>0</v>
      </c>
      <c r="EW848">
        <v>0</v>
      </c>
      <c r="EX848">
        <v>0</v>
      </c>
      <c r="EY848">
        <v>0</v>
      </c>
      <c r="EZ848">
        <v>0</v>
      </c>
      <c r="FA848">
        <v>0</v>
      </c>
      <c r="FB848">
        <v>0</v>
      </c>
      <c r="FC848">
        <v>0</v>
      </c>
      <c r="FD848">
        <v>95.6</v>
      </c>
      <c r="FE848">
        <v>1792.1</v>
      </c>
      <c r="FF848">
        <v>1740.1999999999998</v>
      </c>
      <c r="FG848">
        <v>954.9</v>
      </c>
      <c r="FH848">
        <v>1087.8000000000002</v>
      </c>
      <c r="FI848">
        <v>1892.1</v>
      </c>
      <c r="FJ848">
        <v>1222.5</v>
      </c>
      <c r="FK848">
        <v>678.3</v>
      </c>
      <c r="FL848">
        <v>639.1</v>
      </c>
      <c r="FM848">
        <v>520.5</v>
      </c>
      <c r="FN848">
        <v>123.8</v>
      </c>
      <c r="FO848">
        <v>181.6</v>
      </c>
      <c r="FP848">
        <v>1090.5</v>
      </c>
      <c r="FQ848">
        <v>0</v>
      </c>
      <c r="FR848">
        <v>0</v>
      </c>
      <c r="FS848">
        <v>0</v>
      </c>
      <c r="FT848">
        <v>0</v>
      </c>
      <c r="FU848">
        <v>0</v>
      </c>
      <c r="FV848">
        <v>0</v>
      </c>
      <c r="FW848">
        <v>0</v>
      </c>
      <c r="FX848">
        <v>0</v>
      </c>
      <c r="FY848">
        <v>0</v>
      </c>
      <c r="FZ848">
        <v>0</v>
      </c>
      <c r="GA848">
        <v>0</v>
      </c>
      <c r="GB848">
        <v>0</v>
      </c>
      <c r="GC848">
        <v>0</v>
      </c>
      <c r="GD848">
        <v>0</v>
      </c>
      <c r="GE848">
        <v>0</v>
      </c>
      <c r="GF848">
        <v>198.3</v>
      </c>
      <c r="GG848">
        <v>1054.4000000000001</v>
      </c>
      <c r="GH848">
        <v>552.79999999999995</v>
      </c>
      <c r="GI848">
        <v>522</v>
      </c>
      <c r="GJ848">
        <v>0</v>
      </c>
      <c r="GK848">
        <v>0</v>
      </c>
      <c r="GL848">
        <v>0</v>
      </c>
      <c r="GM848">
        <v>0</v>
      </c>
      <c r="GN848">
        <v>791.40000000000009</v>
      </c>
      <c r="GO848">
        <v>1816.5</v>
      </c>
      <c r="GP848">
        <v>0</v>
      </c>
      <c r="GQ848">
        <v>0</v>
      </c>
      <c r="GR848">
        <v>0</v>
      </c>
      <c r="GS848">
        <v>0</v>
      </c>
      <c r="GT848">
        <v>0</v>
      </c>
      <c r="GU848">
        <v>0</v>
      </c>
      <c r="GV848">
        <v>0</v>
      </c>
      <c r="GW848">
        <v>0</v>
      </c>
      <c r="GX848">
        <v>0</v>
      </c>
      <c r="GY848">
        <v>840.3</v>
      </c>
      <c r="GZ848">
        <v>0</v>
      </c>
      <c r="HA848">
        <v>0</v>
      </c>
      <c r="HB848">
        <v>0</v>
      </c>
      <c r="HC848">
        <v>380.4</v>
      </c>
      <c r="HD848">
        <v>2175.5</v>
      </c>
      <c r="HE848">
        <v>0</v>
      </c>
      <c r="HF848">
        <v>0</v>
      </c>
      <c r="HG848">
        <v>0</v>
      </c>
      <c r="HH848">
        <v>0</v>
      </c>
      <c r="HI848">
        <v>0</v>
      </c>
      <c r="HJ848">
        <v>803.40000000000009</v>
      </c>
      <c r="HK848">
        <v>1270.9000000000001</v>
      </c>
      <c r="HL848">
        <v>835.7</v>
      </c>
      <c r="HM848">
        <v>1162.5999999999999</v>
      </c>
      <c r="HN848">
        <v>0</v>
      </c>
      <c r="HO848">
        <v>0</v>
      </c>
      <c r="HP848">
        <v>0</v>
      </c>
      <c r="HQ848">
        <v>0</v>
      </c>
      <c r="HR848">
        <v>161.19999999999999</v>
      </c>
      <c r="HS848">
        <v>0</v>
      </c>
      <c r="HT848">
        <v>2048.5</v>
      </c>
      <c r="HU848">
        <v>2627.5</v>
      </c>
      <c r="HV848">
        <v>1168.5999999999999</v>
      </c>
      <c r="HW848">
        <v>388</v>
      </c>
      <c r="HX848">
        <v>0</v>
      </c>
      <c r="HY848">
        <v>0</v>
      </c>
      <c r="HZ848">
        <v>0</v>
      </c>
      <c r="IA848">
        <v>0</v>
      </c>
      <c r="IB848">
        <v>0</v>
      </c>
      <c r="IC848">
        <v>594.4</v>
      </c>
      <c r="ID848">
        <v>427.4</v>
      </c>
      <c r="IE848">
        <v>713.3</v>
      </c>
      <c r="IF848">
        <v>626.1</v>
      </c>
      <c r="IG848">
        <v>0</v>
      </c>
      <c r="IH848">
        <v>0</v>
      </c>
      <c r="II848">
        <v>995.7</v>
      </c>
      <c r="IJ848">
        <v>1156.5999999999999</v>
      </c>
      <c r="IK848">
        <v>864.6</v>
      </c>
      <c r="IL848">
        <v>316.5</v>
      </c>
      <c r="IM848">
        <v>101.5</v>
      </c>
      <c r="IN848">
        <v>71.8</v>
      </c>
      <c r="IO848">
        <v>0</v>
      </c>
      <c r="IP848">
        <v>0</v>
      </c>
      <c r="IQ848">
        <v>0</v>
      </c>
      <c r="IR848">
        <v>0</v>
      </c>
      <c r="IS848">
        <v>0</v>
      </c>
      <c r="IT848">
        <v>0</v>
      </c>
      <c r="IU848">
        <v>0</v>
      </c>
      <c r="IV848">
        <v>0</v>
      </c>
      <c r="IW848">
        <v>68</v>
      </c>
      <c r="IX848">
        <v>404.7</v>
      </c>
      <c r="IY848">
        <v>126.6</v>
      </c>
      <c r="IZ848">
        <v>126.6</v>
      </c>
      <c r="JA848">
        <v>503.7</v>
      </c>
      <c r="JB848">
        <v>570.1</v>
      </c>
      <c r="JC848">
        <v>328.3</v>
      </c>
      <c r="JD848">
        <v>0</v>
      </c>
      <c r="JE848">
        <v>0</v>
      </c>
      <c r="JF848">
        <v>0</v>
      </c>
      <c r="JG848">
        <v>0</v>
      </c>
      <c r="JH848">
        <v>287.3</v>
      </c>
      <c r="JI848">
        <v>68.2</v>
      </c>
      <c r="JJ848">
        <v>0</v>
      </c>
      <c r="JK848">
        <v>148.6</v>
      </c>
      <c r="JL848">
        <v>0</v>
      </c>
      <c r="JM848">
        <v>0</v>
      </c>
      <c r="JN848">
        <v>204.5</v>
      </c>
      <c r="JO848">
        <v>292.10000000000002</v>
      </c>
      <c r="JP848">
        <v>670.8</v>
      </c>
      <c r="JQ848">
        <v>745.2</v>
      </c>
      <c r="JR848">
        <v>242.9</v>
      </c>
    </row>
    <row r="849" spans="2:278" ht="18" thickBot="1">
      <c r="B849" s="368" t="s">
        <v>1244</v>
      </c>
      <c r="C849" s="411" t="s">
        <v>1531</v>
      </c>
      <c r="D849" s="368" t="s">
        <v>1408</v>
      </c>
      <c r="E849" s="454">
        <v>22829.8</v>
      </c>
      <c r="F849">
        <v>20193.400000000001</v>
      </c>
      <c r="G849" s="427">
        <v>0</v>
      </c>
      <c r="H849" s="155">
        <v>0</v>
      </c>
      <c r="I849">
        <v>0</v>
      </c>
      <c r="J849">
        <v>0</v>
      </c>
      <c r="K849">
        <v>0</v>
      </c>
      <c r="L849" s="4">
        <v>0</v>
      </c>
      <c r="M849" s="4">
        <v>0</v>
      </c>
      <c r="N849" s="4">
        <v>0</v>
      </c>
      <c r="O849" s="4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1476.4</v>
      </c>
      <c r="X849">
        <v>1482</v>
      </c>
      <c r="Y849">
        <v>457.20000000000005</v>
      </c>
      <c r="Z849">
        <v>0</v>
      </c>
      <c r="AA849">
        <v>0</v>
      </c>
      <c r="AB849">
        <v>0</v>
      </c>
      <c r="AC849">
        <v>0</v>
      </c>
      <c r="AD849">
        <v>3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1828.6</v>
      </c>
      <c r="AK849">
        <v>1800.7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560.70000000000005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  <c r="CF849">
        <v>0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  <c r="CN849">
        <v>0</v>
      </c>
      <c r="CO849">
        <v>0</v>
      </c>
      <c r="CP849">
        <v>3.5</v>
      </c>
      <c r="CQ849">
        <v>0</v>
      </c>
      <c r="CR849">
        <v>528</v>
      </c>
      <c r="CS849">
        <v>581.79999999999995</v>
      </c>
      <c r="CT849">
        <v>555.40000000000009</v>
      </c>
      <c r="CU849">
        <v>737.4</v>
      </c>
      <c r="CV849">
        <v>1039.0999999999999</v>
      </c>
      <c r="CW849">
        <v>1667.3</v>
      </c>
      <c r="CX849">
        <v>877.6</v>
      </c>
      <c r="CY849">
        <v>910.40000000000009</v>
      </c>
      <c r="CZ849">
        <v>0</v>
      </c>
      <c r="DA849">
        <v>0</v>
      </c>
      <c r="DB849">
        <v>0</v>
      </c>
      <c r="DC849">
        <v>0</v>
      </c>
      <c r="DD849">
        <v>0</v>
      </c>
      <c r="DE849">
        <v>0</v>
      </c>
      <c r="DF849">
        <v>0</v>
      </c>
      <c r="DG849">
        <v>0</v>
      </c>
      <c r="DH849">
        <v>0</v>
      </c>
      <c r="DI849">
        <v>0</v>
      </c>
      <c r="DJ849">
        <v>0</v>
      </c>
      <c r="DK849">
        <v>0</v>
      </c>
      <c r="DL849">
        <v>995.5</v>
      </c>
      <c r="DM849">
        <v>712.7</v>
      </c>
      <c r="DN849">
        <v>0</v>
      </c>
      <c r="DO849">
        <v>0</v>
      </c>
      <c r="DP849">
        <v>0</v>
      </c>
      <c r="DQ849">
        <v>0</v>
      </c>
      <c r="DR849">
        <v>0</v>
      </c>
      <c r="DS849">
        <v>0</v>
      </c>
      <c r="DT849">
        <v>0</v>
      </c>
      <c r="DU849">
        <v>0</v>
      </c>
      <c r="DV849">
        <v>0</v>
      </c>
      <c r="DW849">
        <v>0</v>
      </c>
      <c r="DX849">
        <v>0</v>
      </c>
      <c r="DY849">
        <v>0</v>
      </c>
      <c r="DZ849">
        <v>0</v>
      </c>
      <c r="EA849">
        <v>0</v>
      </c>
      <c r="EB849">
        <v>0</v>
      </c>
      <c r="EC849">
        <v>0</v>
      </c>
      <c r="ED849">
        <v>0</v>
      </c>
      <c r="EE849">
        <v>0</v>
      </c>
      <c r="EF849">
        <v>0</v>
      </c>
      <c r="EG849">
        <v>0</v>
      </c>
      <c r="EH849">
        <v>0</v>
      </c>
      <c r="EI849">
        <v>0</v>
      </c>
      <c r="EJ849">
        <v>0</v>
      </c>
      <c r="EK849">
        <v>0</v>
      </c>
      <c r="EL849">
        <v>0</v>
      </c>
      <c r="EM849">
        <v>0</v>
      </c>
      <c r="EN849">
        <v>27.4</v>
      </c>
      <c r="EO849">
        <v>0</v>
      </c>
      <c r="EP849">
        <v>1002.5</v>
      </c>
      <c r="EQ849">
        <v>0</v>
      </c>
      <c r="ER849">
        <v>494</v>
      </c>
      <c r="ES849">
        <v>0</v>
      </c>
      <c r="ET849">
        <v>699.3</v>
      </c>
      <c r="EU849">
        <v>435.4</v>
      </c>
      <c r="EV849">
        <v>0</v>
      </c>
      <c r="EW849">
        <v>0</v>
      </c>
      <c r="EX849">
        <v>0</v>
      </c>
      <c r="EY849">
        <v>0</v>
      </c>
      <c r="EZ849">
        <v>0</v>
      </c>
      <c r="FA849">
        <v>0</v>
      </c>
      <c r="FB849">
        <v>0</v>
      </c>
      <c r="FC849">
        <v>0</v>
      </c>
      <c r="FD849">
        <v>95.6</v>
      </c>
      <c r="FE849">
        <v>1792.1</v>
      </c>
      <c r="FF849">
        <v>1740.1999999999998</v>
      </c>
      <c r="FG849">
        <v>954.9</v>
      </c>
      <c r="FH849">
        <v>1087.8000000000002</v>
      </c>
      <c r="FI849">
        <v>1892.1</v>
      </c>
      <c r="FJ849">
        <v>1222.5</v>
      </c>
      <c r="FK849">
        <v>678.3</v>
      </c>
      <c r="FL849">
        <v>639.1</v>
      </c>
      <c r="FM849">
        <v>520.5</v>
      </c>
      <c r="FN849">
        <v>123.8</v>
      </c>
      <c r="FO849">
        <v>181.6</v>
      </c>
      <c r="FP849">
        <v>1090.5</v>
      </c>
      <c r="FQ849">
        <v>0</v>
      </c>
      <c r="FR849">
        <v>0</v>
      </c>
      <c r="FS849">
        <v>0</v>
      </c>
      <c r="FT849">
        <v>0</v>
      </c>
      <c r="FU849">
        <v>0</v>
      </c>
      <c r="FV849">
        <v>0</v>
      </c>
      <c r="FW849">
        <v>0</v>
      </c>
      <c r="FX849">
        <v>0</v>
      </c>
      <c r="FY849">
        <v>0</v>
      </c>
      <c r="FZ849">
        <v>0</v>
      </c>
      <c r="GA849">
        <v>0</v>
      </c>
      <c r="GB849">
        <v>0</v>
      </c>
      <c r="GC849">
        <v>0</v>
      </c>
      <c r="GD849">
        <v>0</v>
      </c>
      <c r="GE849">
        <v>0</v>
      </c>
      <c r="GF849">
        <v>198.3</v>
      </c>
      <c r="GG849">
        <v>1054.4000000000001</v>
      </c>
      <c r="GH849">
        <v>552.79999999999995</v>
      </c>
      <c r="GI849">
        <v>522</v>
      </c>
      <c r="GJ849">
        <v>0</v>
      </c>
      <c r="GK849">
        <v>0</v>
      </c>
      <c r="GL849">
        <v>0</v>
      </c>
      <c r="GM849">
        <v>0</v>
      </c>
      <c r="GN849">
        <v>791.40000000000009</v>
      </c>
      <c r="GO849">
        <v>1816.5</v>
      </c>
      <c r="GP849">
        <v>0</v>
      </c>
      <c r="GQ849">
        <v>0</v>
      </c>
      <c r="GR849">
        <v>0</v>
      </c>
      <c r="GS849">
        <v>0</v>
      </c>
      <c r="GT849">
        <v>0</v>
      </c>
      <c r="GU849">
        <v>0</v>
      </c>
      <c r="GV849">
        <v>0</v>
      </c>
      <c r="GW849">
        <v>0</v>
      </c>
      <c r="GX849">
        <v>0</v>
      </c>
      <c r="GY849">
        <v>840.3</v>
      </c>
      <c r="GZ849">
        <v>0</v>
      </c>
      <c r="HA849">
        <v>0</v>
      </c>
      <c r="HB849">
        <v>0</v>
      </c>
      <c r="HC849">
        <v>380.4</v>
      </c>
      <c r="HD849">
        <v>2175.5</v>
      </c>
      <c r="HE849">
        <v>0</v>
      </c>
      <c r="HF849">
        <v>0</v>
      </c>
      <c r="HG849">
        <v>0</v>
      </c>
      <c r="HH849">
        <v>0</v>
      </c>
      <c r="HI849">
        <v>0</v>
      </c>
      <c r="HJ849">
        <v>803.40000000000009</v>
      </c>
      <c r="HK849">
        <v>1270.9000000000001</v>
      </c>
      <c r="HL849">
        <v>835.7</v>
      </c>
      <c r="HM849">
        <v>1162.5999999999999</v>
      </c>
      <c r="HN849">
        <v>0</v>
      </c>
      <c r="HO849">
        <v>0</v>
      </c>
      <c r="HP849">
        <v>0</v>
      </c>
      <c r="HQ849">
        <v>0</v>
      </c>
      <c r="HR849">
        <v>161.19999999999999</v>
      </c>
      <c r="HS849">
        <v>0</v>
      </c>
      <c r="HT849">
        <v>2048.5</v>
      </c>
      <c r="HU849">
        <v>2627.5</v>
      </c>
      <c r="HV849">
        <v>1168.5999999999999</v>
      </c>
      <c r="HW849">
        <v>388</v>
      </c>
      <c r="HX849">
        <v>0</v>
      </c>
      <c r="HY849">
        <v>0</v>
      </c>
      <c r="HZ849">
        <v>0</v>
      </c>
      <c r="IA849">
        <v>0</v>
      </c>
      <c r="IB849">
        <v>0</v>
      </c>
      <c r="IC849">
        <v>594.4</v>
      </c>
      <c r="ID849">
        <v>427.4</v>
      </c>
      <c r="IE849">
        <v>713.3</v>
      </c>
      <c r="IF849">
        <v>626.1</v>
      </c>
      <c r="IG849">
        <v>0</v>
      </c>
      <c r="IH849">
        <v>0</v>
      </c>
      <c r="II849">
        <v>995.7</v>
      </c>
      <c r="IJ849">
        <v>1156.5999999999999</v>
      </c>
      <c r="IK849">
        <v>864.6</v>
      </c>
      <c r="IL849">
        <v>316.5</v>
      </c>
      <c r="IM849">
        <v>101.5</v>
      </c>
      <c r="IN849">
        <v>71.8</v>
      </c>
      <c r="IO849">
        <v>0</v>
      </c>
      <c r="IP849">
        <v>0</v>
      </c>
      <c r="IQ849">
        <v>0</v>
      </c>
      <c r="IR849">
        <v>0</v>
      </c>
      <c r="IS849">
        <v>0</v>
      </c>
      <c r="IT849">
        <v>0</v>
      </c>
      <c r="IU849">
        <v>0</v>
      </c>
      <c r="IV849">
        <v>0</v>
      </c>
      <c r="IW849">
        <v>68</v>
      </c>
      <c r="IX849">
        <v>404.7</v>
      </c>
      <c r="IY849">
        <v>126.6</v>
      </c>
      <c r="IZ849">
        <v>126.6</v>
      </c>
      <c r="JA849">
        <v>503.7</v>
      </c>
      <c r="JB849">
        <v>570.1</v>
      </c>
      <c r="JC849">
        <v>328.3</v>
      </c>
      <c r="JD849">
        <v>0</v>
      </c>
      <c r="JE849">
        <v>0</v>
      </c>
      <c r="JF849">
        <v>0</v>
      </c>
      <c r="JG849">
        <v>0</v>
      </c>
      <c r="JH849">
        <v>287.3</v>
      </c>
      <c r="JI849">
        <v>68.2</v>
      </c>
      <c r="JJ849">
        <v>0</v>
      </c>
      <c r="JK849">
        <v>148.6</v>
      </c>
      <c r="JL849">
        <v>0</v>
      </c>
      <c r="JM849">
        <v>0</v>
      </c>
      <c r="JN849">
        <v>204.5</v>
      </c>
      <c r="JO849">
        <v>292.10000000000002</v>
      </c>
      <c r="JP849">
        <v>670.8</v>
      </c>
      <c r="JQ849">
        <v>745.2</v>
      </c>
      <c r="JR849">
        <v>242.9</v>
      </c>
    </row>
    <row r="850" spans="2:278" ht="18" thickBot="1">
      <c r="B850" s="368" t="s">
        <v>1245</v>
      </c>
      <c r="C850" s="411" t="s">
        <v>1532</v>
      </c>
      <c r="D850" s="368" t="s">
        <v>1409</v>
      </c>
      <c r="E850" s="454">
        <v>22829.8</v>
      </c>
      <c r="F850">
        <v>20193.400000000001</v>
      </c>
      <c r="G850" s="427">
        <v>0</v>
      </c>
      <c r="H850" s="155">
        <v>0</v>
      </c>
      <c r="I850">
        <v>0</v>
      </c>
      <c r="J850">
        <v>0</v>
      </c>
      <c r="K850">
        <v>0</v>
      </c>
      <c r="L850" s="4">
        <v>0</v>
      </c>
      <c r="M850" s="4">
        <v>0</v>
      </c>
      <c r="N850" s="4">
        <v>0</v>
      </c>
      <c r="O850" s="4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1476.4</v>
      </c>
      <c r="X850">
        <v>1482</v>
      </c>
      <c r="Y850">
        <v>457.20000000000005</v>
      </c>
      <c r="Z850">
        <v>0</v>
      </c>
      <c r="AA850">
        <v>0</v>
      </c>
      <c r="AB850">
        <v>0</v>
      </c>
      <c r="AC850">
        <v>0</v>
      </c>
      <c r="AD850">
        <v>3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1828.6</v>
      </c>
      <c r="AK850">
        <v>1800.7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560.70000000000005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>
        <v>0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  <c r="CF850">
        <v>0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  <c r="CN850">
        <v>0</v>
      </c>
      <c r="CO850">
        <v>0</v>
      </c>
      <c r="CP850">
        <v>3.5</v>
      </c>
      <c r="CQ850">
        <v>0</v>
      </c>
      <c r="CR850">
        <v>528</v>
      </c>
      <c r="CS850">
        <v>581.79999999999995</v>
      </c>
      <c r="CT850">
        <v>555.40000000000009</v>
      </c>
      <c r="CU850">
        <v>737.4</v>
      </c>
      <c r="CV850">
        <v>1039.0999999999999</v>
      </c>
      <c r="CW850">
        <v>1667.3</v>
      </c>
      <c r="CX850">
        <v>877.6</v>
      </c>
      <c r="CY850">
        <v>910.40000000000009</v>
      </c>
      <c r="CZ850">
        <v>0</v>
      </c>
      <c r="DA850">
        <v>0</v>
      </c>
      <c r="DB850">
        <v>0</v>
      </c>
      <c r="DC850">
        <v>0</v>
      </c>
      <c r="DD850">
        <v>0</v>
      </c>
      <c r="DE850">
        <v>0</v>
      </c>
      <c r="DF850">
        <v>0</v>
      </c>
      <c r="DG850">
        <v>0</v>
      </c>
      <c r="DH850">
        <v>0</v>
      </c>
      <c r="DI850">
        <v>0</v>
      </c>
      <c r="DJ850">
        <v>0</v>
      </c>
      <c r="DK850">
        <v>0</v>
      </c>
      <c r="DL850">
        <v>995.5</v>
      </c>
      <c r="DM850">
        <v>712.7</v>
      </c>
      <c r="DN850">
        <v>0</v>
      </c>
      <c r="DO850">
        <v>0</v>
      </c>
      <c r="DP850">
        <v>0</v>
      </c>
      <c r="DQ850">
        <v>0</v>
      </c>
      <c r="DR850">
        <v>0</v>
      </c>
      <c r="DS850">
        <v>0</v>
      </c>
      <c r="DT850">
        <v>0</v>
      </c>
      <c r="DU850">
        <v>0</v>
      </c>
      <c r="DV850">
        <v>0</v>
      </c>
      <c r="DW850">
        <v>0</v>
      </c>
      <c r="DX850">
        <v>0</v>
      </c>
      <c r="DY850">
        <v>0</v>
      </c>
      <c r="DZ850">
        <v>0</v>
      </c>
      <c r="EA850">
        <v>0</v>
      </c>
      <c r="EB850">
        <v>0</v>
      </c>
      <c r="EC850">
        <v>0</v>
      </c>
      <c r="ED850">
        <v>0</v>
      </c>
      <c r="EE850">
        <v>0</v>
      </c>
      <c r="EF850">
        <v>0</v>
      </c>
      <c r="EG850">
        <v>0</v>
      </c>
      <c r="EH850">
        <v>0</v>
      </c>
      <c r="EI850">
        <v>0</v>
      </c>
      <c r="EJ850">
        <v>0</v>
      </c>
      <c r="EK850">
        <v>0</v>
      </c>
      <c r="EL850">
        <v>0</v>
      </c>
      <c r="EM850">
        <v>0</v>
      </c>
      <c r="EN850">
        <v>27.4</v>
      </c>
      <c r="EO850">
        <v>0</v>
      </c>
      <c r="EP850">
        <v>1002.5</v>
      </c>
      <c r="EQ850">
        <v>0</v>
      </c>
      <c r="ER850">
        <v>494</v>
      </c>
      <c r="ES850">
        <v>0</v>
      </c>
      <c r="ET850">
        <v>699.3</v>
      </c>
      <c r="EU850">
        <v>435.4</v>
      </c>
      <c r="EV850">
        <v>0</v>
      </c>
      <c r="EW850">
        <v>0</v>
      </c>
      <c r="EX850">
        <v>0</v>
      </c>
      <c r="EY850">
        <v>0</v>
      </c>
      <c r="EZ850">
        <v>0</v>
      </c>
      <c r="FA850">
        <v>0</v>
      </c>
      <c r="FB850">
        <v>0</v>
      </c>
      <c r="FC850">
        <v>0</v>
      </c>
      <c r="FD850">
        <v>95.6</v>
      </c>
      <c r="FE850">
        <v>1792.1</v>
      </c>
      <c r="FF850">
        <v>1740.1999999999998</v>
      </c>
      <c r="FG850">
        <v>954.9</v>
      </c>
      <c r="FH850">
        <v>1087.8000000000002</v>
      </c>
      <c r="FI850">
        <v>1892.1</v>
      </c>
      <c r="FJ850">
        <v>1222.5</v>
      </c>
      <c r="FK850">
        <v>678.3</v>
      </c>
      <c r="FL850">
        <v>639.1</v>
      </c>
      <c r="FM850">
        <v>520.5</v>
      </c>
      <c r="FN850">
        <v>123.8</v>
      </c>
      <c r="FO850">
        <v>181.6</v>
      </c>
      <c r="FP850">
        <v>1090.5</v>
      </c>
      <c r="FQ850">
        <v>0</v>
      </c>
      <c r="FR850">
        <v>0</v>
      </c>
      <c r="FS850">
        <v>0</v>
      </c>
      <c r="FT850">
        <v>0</v>
      </c>
      <c r="FU850">
        <v>0</v>
      </c>
      <c r="FV850">
        <v>0</v>
      </c>
      <c r="FW850">
        <v>0</v>
      </c>
      <c r="FX850">
        <v>0</v>
      </c>
      <c r="FY850">
        <v>0</v>
      </c>
      <c r="FZ850">
        <v>0</v>
      </c>
      <c r="GA850">
        <v>0</v>
      </c>
      <c r="GB850">
        <v>0</v>
      </c>
      <c r="GC850">
        <v>0</v>
      </c>
      <c r="GD850">
        <v>0</v>
      </c>
      <c r="GE850">
        <v>0</v>
      </c>
      <c r="GF850">
        <v>198.3</v>
      </c>
      <c r="GG850">
        <v>1054.4000000000001</v>
      </c>
      <c r="GH850">
        <v>552.79999999999995</v>
      </c>
      <c r="GI850">
        <v>522</v>
      </c>
      <c r="GJ850">
        <v>0</v>
      </c>
      <c r="GK850">
        <v>0</v>
      </c>
      <c r="GL850">
        <v>0</v>
      </c>
      <c r="GM850">
        <v>0</v>
      </c>
      <c r="GN850">
        <v>791.40000000000009</v>
      </c>
      <c r="GO850">
        <v>1816.5</v>
      </c>
      <c r="GP850">
        <v>0</v>
      </c>
      <c r="GQ850">
        <v>0</v>
      </c>
      <c r="GR850">
        <v>0</v>
      </c>
      <c r="GS850">
        <v>0</v>
      </c>
      <c r="GT850">
        <v>0</v>
      </c>
      <c r="GU850">
        <v>0</v>
      </c>
      <c r="GV850">
        <v>0</v>
      </c>
      <c r="GW850">
        <v>0</v>
      </c>
      <c r="GX850">
        <v>0</v>
      </c>
      <c r="GY850">
        <v>840.3</v>
      </c>
      <c r="GZ850">
        <v>0</v>
      </c>
      <c r="HA850">
        <v>0</v>
      </c>
      <c r="HB850">
        <v>0</v>
      </c>
      <c r="HC850">
        <v>380.4</v>
      </c>
      <c r="HD850">
        <v>2175.5</v>
      </c>
      <c r="HE850">
        <v>0</v>
      </c>
      <c r="HF850">
        <v>0</v>
      </c>
      <c r="HG850">
        <v>0</v>
      </c>
      <c r="HH850">
        <v>0</v>
      </c>
      <c r="HI850">
        <v>0</v>
      </c>
      <c r="HJ850">
        <v>803.40000000000009</v>
      </c>
      <c r="HK850">
        <v>1270.9000000000001</v>
      </c>
      <c r="HL850">
        <v>835.7</v>
      </c>
      <c r="HM850">
        <v>1162.5999999999999</v>
      </c>
      <c r="HN850">
        <v>0</v>
      </c>
      <c r="HO850">
        <v>0</v>
      </c>
      <c r="HP850">
        <v>0</v>
      </c>
      <c r="HQ850">
        <v>0</v>
      </c>
      <c r="HR850">
        <v>161.19999999999999</v>
      </c>
      <c r="HS850">
        <v>0</v>
      </c>
      <c r="HT850">
        <v>2048.5</v>
      </c>
      <c r="HU850">
        <v>2627.5</v>
      </c>
      <c r="HV850">
        <v>1168.5999999999999</v>
      </c>
      <c r="HW850">
        <v>388</v>
      </c>
      <c r="HX850">
        <v>0</v>
      </c>
      <c r="HY850">
        <v>0</v>
      </c>
      <c r="HZ850">
        <v>0</v>
      </c>
      <c r="IA850">
        <v>0</v>
      </c>
      <c r="IB850">
        <v>0</v>
      </c>
      <c r="IC850">
        <v>594.4</v>
      </c>
      <c r="ID850">
        <v>427.4</v>
      </c>
      <c r="IE850">
        <v>713.3</v>
      </c>
      <c r="IF850">
        <v>626.1</v>
      </c>
      <c r="IG850">
        <v>0</v>
      </c>
      <c r="IH850">
        <v>0</v>
      </c>
      <c r="II850">
        <v>995.7</v>
      </c>
      <c r="IJ850">
        <v>1156.5999999999999</v>
      </c>
      <c r="IK850">
        <v>864.6</v>
      </c>
      <c r="IL850">
        <v>316.5</v>
      </c>
      <c r="IM850">
        <v>101.5</v>
      </c>
      <c r="IN850">
        <v>71.8</v>
      </c>
      <c r="IO850">
        <v>0</v>
      </c>
      <c r="IP850">
        <v>0</v>
      </c>
      <c r="IQ850">
        <v>0</v>
      </c>
      <c r="IR850">
        <v>0</v>
      </c>
      <c r="IS850">
        <v>0</v>
      </c>
      <c r="IT850">
        <v>0</v>
      </c>
      <c r="IU850">
        <v>0</v>
      </c>
      <c r="IV850">
        <v>0</v>
      </c>
      <c r="IW850">
        <v>68</v>
      </c>
      <c r="IX850">
        <v>404.7</v>
      </c>
      <c r="IY850">
        <v>126.6</v>
      </c>
      <c r="IZ850">
        <v>126.6</v>
      </c>
      <c r="JA850">
        <v>503.7</v>
      </c>
      <c r="JB850">
        <v>570.1</v>
      </c>
      <c r="JC850">
        <v>328.3</v>
      </c>
      <c r="JD850">
        <v>0</v>
      </c>
      <c r="JE850">
        <v>0</v>
      </c>
      <c r="JF850">
        <v>0</v>
      </c>
      <c r="JG850">
        <v>0</v>
      </c>
      <c r="JH850">
        <v>287.3</v>
      </c>
      <c r="JI850">
        <v>68.2</v>
      </c>
      <c r="JJ850">
        <v>0</v>
      </c>
      <c r="JK850">
        <v>148.6</v>
      </c>
      <c r="JL850">
        <v>0</v>
      </c>
      <c r="JM850">
        <v>0</v>
      </c>
      <c r="JN850">
        <v>204.5</v>
      </c>
      <c r="JO850">
        <v>292.10000000000002</v>
      </c>
      <c r="JP850">
        <v>670.8</v>
      </c>
      <c r="JQ850">
        <v>745.2</v>
      </c>
      <c r="JR850">
        <v>242.9</v>
      </c>
    </row>
    <row r="851" spans="2:278" ht="18" thickBot="1">
      <c r="B851" s="368" t="s">
        <v>1246</v>
      </c>
      <c r="C851" s="411" t="s">
        <v>1533</v>
      </c>
      <c r="D851" s="380" t="s">
        <v>1410</v>
      </c>
      <c r="E851" s="454">
        <v>22829.8</v>
      </c>
      <c r="F851">
        <v>20193.400000000001</v>
      </c>
      <c r="G851" s="427">
        <v>0</v>
      </c>
      <c r="H851" s="155">
        <v>0</v>
      </c>
      <c r="I851">
        <v>0</v>
      </c>
      <c r="J851">
        <v>0</v>
      </c>
      <c r="K851">
        <v>0</v>
      </c>
      <c r="L851" s="4">
        <v>0</v>
      </c>
      <c r="M851" s="4">
        <v>0</v>
      </c>
      <c r="N851" s="4">
        <v>0</v>
      </c>
      <c r="O851" s="4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1476.4</v>
      </c>
      <c r="X851">
        <v>1482</v>
      </c>
      <c r="Y851">
        <v>457.20000000000005</v>
      </c>
      <c r="Z851">
        <v>0</v>
      </c>
      <c r="AA851">
        <v>0</v>
      </c>
      <c r="AB851">
        <v>0</v>
      </c>
      <c r="AC851">
        <v>0</v>
      </c>
      <c r="AD851">
        <v>3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1828.6</v>
      </c>
      <c r="AK851">
        <v>1800.7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560.70000000000005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>
        <v>0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  <c r="CN851">
        <v>0</v>
      </c>
      <c r="CO851">
        <v>0</v>
      </c>
      <c r="CP851">
        <v>3.5</v>
      </c>
      <c r="CQ851">
        <v>0</v>
      </c>
      <c r="CR851">
        <v>528</v>
      </c>
      <c r="CS851">
        <v>581.79999999999995</v>
      </c>
      <c r="CT851">
        <v>555.40000000000009</v>
      </c>
      <c r="CU851">
        <v>737.4</v>
      </c>
      <c r="CV851">
        <v>1039.0999999999999</v>
      </c>
      <c r="CW851">
        <v>1667.3</v>
      </c>
      <c r="CX851">
        <v>877.6</v>
      </c>
      <c r="CY851">
        <v>910.40000000000009</v>
      </c>
      <c r="CZ851">
        <v>0</v>
      </c>
      <c r="DA851">
        <v>0</v>
      </c>
      <c r="DB851">
        <v>0</v>
      </c>
      <c r="DC851">
        <v>0</v>
      </c>
      <c r="DD851">
        <v>0</v>
      </c>
      <c r="DE851">
        <v>0</v>
      </c>
      <c r="DF851">
        <v>0</v>
      </c>
      <c r="DG851">
        <v>0</v>
      </c>
      <c r="DH851">
        <v>0</v>
      </c>
      <c r="DI851">
        <v>0</v>
      </c>
      <c r="DJ851">
        <v>0</v>
      </c>
      <c r="DK851">
        <v>0</v>
      </c>
      <c r="DL851">
        <v>995.5</v>
      </c>
      <c r="DM851">
        <v>712.7</v>
      </c>
      <c r="DN851">
        <v>0</v>
      </c>
      <c r="DO851">
        <v>0</v>
      </c>
      <c r="DP851">
        <v>0</v>
      </c>
      <c r="DQ851">
        <v>0</v>
      </c>
      <c r="DR851">
        <v>0</v>
      </c>
      <c r="DS851">
        <v>0</v>
      </c>
      <c r="DT851">
        <v>0</v>
      </c>
      <c r="DU851">
        <v>0</v>
      </c>
      <c r="DV851">
        <v>0</v>
      </c>
      <c r="DW851">
        <v>0</v>
      </c>
      <c r="DX851">
        <v>0</v>
      </c>
      <c r="DY851">
        <v>0</v>
      </c>
      <c r="DZ851">
        <v>0</v>
      </c>
      <c r="EA851">
        <v>0</v>
      </c>
      <c r="EB851">
        <v>0</v>
      </c>
      <c r="EC851">
        <v>0</v>
      </c>
      <c r="ED851">
        <v>0</v>
      </c>
      <c r="EE851">
        <v>0</v>
      </c>
      <c r="EF851">
        <v>0</v>
      </c>
      <c r="EG851">
        <v>0</v>
      </c>
      <c r="EH851">
        <v>0</v>
      </c>
      <c r="EI851">
        <v>0</v>
      </c>
      <c r="EJ851">
        <v>0</v>
      </c>
      <c r="EK851">
        <v>0</v>
      </c>
      <c r="EL851">
        <v>0</v>
      </c>
      <c r="EM851">
        <v>0</v>
      </c>
      <c r="EN851">
        <v>27.4</v>
      </c>
      <c r="EO851">
        <v>0</v>
      </c>
      <c r="EP851">
        <v>1002.5</v>
      </c>
      <c r="EQ851">
        <v>0</v>
      </c>
      <c r="ER851">
        <v>494</v>
      </c>
      <c r="ES851">
        <v>0</v>
      </c>
      <c r="ET851">
        <v>699.3</v>
      </c>
      <c r="EU851">
        <v>435.4</v>
      </c>
      <c r="EV851">
        <v>0</v>
      </c>
      <c r="EW851">
        <v>0</v>
      </c>
      <c r="EX851">
        <v>0</v>
      </c>
      <c r="EY851">
        <v>0</v>
      </c>
      <c r="EZ851">
        <v>0</v>
      </c>
      <c r="FA851">
        <v>0</v>
      </c>
      <c r="FB851">
        <v>0</v>
      </c>
      <c r="FC851">
        <v>0</v>
      </c>
      <c r="FD851">
        <v>95.6</v>
      </c>
      <c r="FE851">
        <v>1792.1</v>
      </c>
      <c r="FF851">
        <v>1740.1999999999998</v>
      </c>
      <c r="FG851">
        <v>954.9</v>
      </c>
      <c r="FH851">
        <v>1087.8000000000002</v>
      </c>
      <c r="FI851">
        <v>1892.1</v>
      </c>
      <c r="FJ851">
        <v>1222.5</v>
      </c>
      <c r="FK851">
        <v>678.3</v>
      </c>
      <c r="FL851">
        <v>639.1</v>
      </c>
      <c r="FM851">
        <v>520.5</v>
      </c>
      <c r="FN851">
        <v>123.8</v>
      </c>
      <c r="FO851">
        <v>181.6</v>
      </c>
      <c r="FP851">
        <v>1090.5</v>
      </c>
      <c r="FQ851">
        <v>0</v>
      </c>
      <c r="FR851">
        <v>0</v>
      </c>
      <c r="FS851">
        <v>0</v>
      </c>
      <c r="FT851">
        <v>0</v>
      </c>
      <c r="FU851">
        <v>0</v>
      </c>
      <c r="FV851">
        <v>0</v>
      </c>
      <c r="FW851">
        <v>0</v>
      </c>
      <c r="FX851">
        <v>0</v>
      </c>
      <c r="FY851">
        <v>0</v>
      </c>
      <c r="FZ851">
        <v>0</v>
      </c>
      <c r="GA851">
        <v>0</v>
      </c>
      <c r="GB851">
        <v>0</v>
      </c>
      <c r="GC851">
        <v>0</v>
      </c>
      <c r="GD851">
        <v>0</v>
      </c>
      <c r="GE851">
        <v>0</v>
      </c>
      <c r="GF851">
        <v>198.3</v>
      </c>
      <c r="GG851">
        <v>1054.4000000000001</v>
      </c>
      <c r="GH851">
        <v>552.79999999999995</v>
      </c>
      <c r="GI851">
        <v>522</v>
      </c>
      <c r="GJ851">
        <v>0</v>
      </c>
      <c r="GK851">
        <v>0</v>
      </c>
      <c r="GL851">
        <v>0</v>
      </c>
      <c r="GM851">
        <v>0</v>
      </c>
      <c r="GN851">
        <v>791.40000000000009</v>
      </c>
      <c r="GO851">
        <v>1816.5</v>
      </c>
      <c r="GP851">
        <v>0</v>
      </c>
      <c r="GQ851">
        <v>0</v>
      </c>
      <c r="GR851">
        <v>0</v>
      </c>
      <c r="GS851">
        <v>0</v>
      </c>
      <c r="GT851">
        <v>0</v>
      </c>
      <c r="GU851">
        <v>0</v>
      </c>
      <c r="GV851">
        <v>0</v>
      </c>
      <c r="GW851">
        <v>0</v>
      </c>
      <c r="GX851">
        <v>0</v>
      </c>
      <c r="GY851">
        <v>840.3</v>
      </c>
      <c r="GZ851">
        <v>0</v>
      </c>
      <c r="HA851">
        <v>0</v>
      </c>
      <c r="HB851">
        <v>0</v>
      </c>
      <c r="HC851">
        <v>380.4</v>
      </c>
      <c r="HD851">
        <v>2175.5</v>
      </c>
      <c r="HE851">
        <v>0</v>
      </c>
      <c r="HF851">
        <v>0</v>
      </c>
      <c r="HG851">
        <v>0</v>
      </c>
      <c r="HH851">
        <v>0</v>
      </c>
      <c r="HI851">
        <v>0</v>
      </c>
      <c r="HJ851">
        <v>803.40000000000009</v>
      </c>
      <c r="HK851">
        <v>1270.9000000000001</v>
      </c>
      <c r="HL851">
        <v>835.7</v>
      </c>
      <c r="HM851">
        <v>1162.5999999999999</v>
      </c>
      <c r="HN851">
        <v>0</v>
      </c>
      <c r="HO851">
        <v>0</v>
      </c>
      <c r="HP851">
        <v>0</v>
      </c>
      <c r="HQ851">
        <v>0</v>
      </c>
      <c r="HR851">
        <v>161.19999999999999</v>
      </c>
      <c r="HS851">
        <v>0</v>
      </c>
      <c r="HT851">
        <v>2048.5</v>
      </c>
      <c r="HU851">
        <v>2627.5</v>
      </c>
      <c r="HV851">
        <v>1168.5999999999999</v>
      </c>
      <c r="HW851">
        <v>388</v>
      </c>
      <c r="HX851">
        <v>0</v>
      </c>
      <c r="HY851">
        <v>0</v>
      </c>
      <c r="HZ851">
        <v>0</v>
      </c>
      <c r="IA851">
        <v>0</v>
      </c>
      <c r="IB851">
        <v>0</v>
      </c>
      <c r="IC851">
        <v>594.4</v>
      </c>
      <c r="ID851">
        <v>427.4</v>
      </c>
      <c r="IE851">
        <v>713.3</v>
      </c>
      <c r="IF851">
        <v>626.1</v>
      </c>
      <c r="IG851">
        <v>0</v>
      </c>
      <c r="IH851">
        <v>0</v>
      </c>
      <c r="II851">
        <v>995.7</v>
      </c>
      <c r="IJ851">
        <v>1156.5999999999999</v>
      </c>
      <c r="IK851">
        <v>864.6</v>
      </c>
      <c r="IL851">
        <v>316.5</v>
      </c>
      <c r="IM851">
        <v>101.5</v>
      </c>
      <c r="IN851">
        <v>71.8</v>
      </c>
      <c r="IO851">
        <v>0</v>
      </c>
      <c r="IP851">
        <v>0</v>
      </c>
      <c r="IQ851">
        <v>0</v>
      </c>
      <c r="IR851">
        <v>0</v>
      </c>
      <c r="IS851">
        <v>0</v>
      </c>
      <c r="IT851">
        <v>0</v>
      </c>
      <c r="IU851">
        <v>0</v>
      </c>
      <c r="IV851">
        <v>0</v>
      </c>
      <c r="IW851">
        <v>68</v>
      </c>
      <c r="IX851">
        <v>404.7</v>
      </c>
      <c r="IY851">
        <v>126.6</v>
      </c>
      <c r="IZ851">
        <v>126.6</v>
      </c>
      <c r="JA851">
        <v>503.7</v>
      </c>
      <c r="JB851">
        <v>570.1</v>
      </c>
      <c r="JC851">
        <v>328.3</v>
      </c>
      <c r="JD851">
        <v>0</v>
      </c>
      <c r="JE851">
        <v>0</v>
      </c>
      <c r="JF851">
        <v>0</v>
      </c>
      <c r="JG851">
        <v>0</v>
      </c>
      <c r="JH851">
        <v>287.3</v>
      </c>
      <c r="JI851">
        <v>68.2</v>
      </c>
      <c r="JJ851">
        <v>0</v>
      </c>
      <c r="JK851">
        <v>148.6</v>
      </c>
      <c r="JL851">
        <v>0</v>
      </c>
      <c r="JM851">
        <v>0</v>
      </c>
      <c r="JN851">
        <v>204.5</v>
      </c>
      <c r="JO851">
        <v>292.10000000000002</v>
      </c>
      <c r="JP851">
        <v>670.8</v>
      </c>
      <c r="JQ851">
        <v>745.2</v>
      </c>
      <c r="JR851">
        <v>242.9</v>
      </c>
    </row>
    <row r="852" spans="2:278" ht="18" thickBot="1">
      <c r="B852" s="522" t="s">
        <v>1247</v>
      </c>
      <c r="C852" s="517" t="s">
        <v>1534</v>
      </c>
      <c r="D852" s="522" t="s">
        <v>1411</v>
      </c>
      <c r="E852" s="454">
        <v>22829.8</v>
      </c>
      <c r="F852">
        <v>20193.400000000001</v>
      </c>
      <c r="G852" s="427">
        <v>0</v>
      </c>
      <c r="H852" s="155">
        <v>0</v>
      </c>
      <c r="I852">
        <v>0</v>
      </c>
      <c r="J852">
        <v>0</v>
      </c>
      <c r="K852">
        <v>0</v>
      </c>
      <c r="L852" s="4">
        <v>0</v>
      </c>
      <c r="M852" s="4">
        <v>0</v>
      </c>
      <c r="N852" s="4">
        <v>0</v>
      </c>
      <c r="O852" s="4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1476.4</v>
      </c>
      <c r="X852">
        <v>1482</v>
      </c>
      <c r="Y852">
        <v>457.20000000000005</v>
      </c>
      <c r="Z852">
        <v>0</v>
      </c>
      <c r="AA852">
        <v>0</v>
      </c>
      <c r="AB852">
        <v>0</v>
      </c>
      <c r="AC852">
        <v>0</v>
      </c>
      <c r="AD852">
        <v>3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1828.6</v>
      </c>
      <c r="AK852">
        <v>1800.7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560.70000000000005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>
        <v>0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  <c r="CF852">
        <v>0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  <c r="CN852">
        <v>0</v>
      </c>
      <c r="CO852">
        <v>0</v>
      </c>
      <c r="CP852">
        <v>3.5</v>
      </c>
      <c r="CQ852">
        <v>0</v>
      </c>
      <c r="CR852">
        <v>528</v>
      </c>
      <c r="CS852">
        <v>581.79999999999995</v>
      </c>
      <c r="CT852">
        <v>555.40000000000009</v>
      </c>
      <c r="CU852">
        <v>737.4</v>
      </c>
      <c r="CV852">
        <v>1039.0999999999999</v>
      </c>
      <c r="CW852">
        <v>1667.3</v>
      </c>
      <c r="CX852">
        <v>877.6</v>
      </c>
      <c r="CY852">
        <v>910.40000000000009</v>
      </c>
      <c r="CZ852">
        <v>0</v>
      </c>
      <c r="DA852">
        <v>0</v>
      </c>
      <c r="DB852">
        <v>0</v>
      </c>
      <c r="DC852">
        <v>0</v>
      </c>
      <c r="DD852">
        <v>0</v>
      </c>
      <c r="DE852">
        <v>0</v>
      </c>
      <c r="DF852">
        <v>0</v>
      </c>
      <c r="DG852">
        <v>0</v>
      </c>
      <c r="DH852">
        <v>0</v>
      </c>
      <c r="DI852">
        <v>0</v>
      </c>
      <c r="DJ852">
        <v>0</v>
      </c>
      <c r="DK852">
        <v>0</v>
      </c>
      <c r="DL852">
        <v>995.5</v>
      </c>
      <c r="DM852">
        <v>712.7</v>
      </c>
      <c r="DN852">
        <v>0</v>
      </c>
      <c r="DO852">
        <v>0</v>
      </c>
      <c r="DP852">
        <v>0</v>
      </c>
      <c r="DQ852">
        <v>0</v>
      </c>
      <c r="DR852">
        <v>0</v>
      </c>
      <c r="DS852">
        <v>0</v>
      </c>
      <c r="DT852">
        <v>0</v>
      </c>
      <c r="DU852">
        <v>0</v>
      </c>
      <c r="DV852">
        <v>0</v>
      </c>
      <c r="DW852">
        <v>0</v>
      </c>
      <c r="DX852">
        <v>0</v>
      </c>
      <c r="DY852">
        <v>0</v>
      </c>
      <c r="DZ852">
        <v>0</v>
      </c>
      <c r="EA852">
        <v>0</v>
      </c>
      <c r="EB852">
        <v>0</v>
      </c>
      <c r="EC852">
        <v>0</v>
      </c>
      <c r="ED852">
        <v>0</v>
      </c>
      <c r="EE852">
        <v>0</v>
      </c>
      <c r="EF852">
        <v>0</v>
      </c>
      <c r="EG852">
        <v>0</v>
      </c>
      <c r="EH852">
        <v>0</v>
      </c>
      <c r="EI852">
        <v>0</v>
      </c>
      <c r="EJ852">
        <v>0</v>
      </c>
      <c r="EK852">
        <v>0</v>
      </c>
      <c r="EL852">
        <v>0</v>
      </c>
      <c r="EM852">
        <v>0</v>
      </c>
      <c r="EN852">
        <v>27.4</v>
      </c>
      <c r="EO852">
        <v>0</v>
      </c>
      <c r="EP852">
        <v>1002.5</v>
      </c>
      <c r="EQ852">
        <v>0</v>
      </c>
      <c r="ER852">
        <v>494</v>
      </c>
      <c r="ES852">
        <v>0</v>
      </c>
      <c r="ET852">
        <v>699.3</v>
      </c>
      <c r="EU852">
        <v>435.4</v>
      </c>
      <c r="EV852">
        <v>0</v>
      </c>
      <c r="EW852">
        <v>0</v>
      </c>
      <c r="EX852">
        <v>0</v>
      </c>
      <c r="EY852">
        <v>0</v>
      </c>
      <c r="EZ852">
        <v>0</v>
      </c>
      <c r="FA852">
        <v>0</v>
      </c>
      <c r="FB852">
        <v>0</v>
      </c>
      <c r="FC852">
        <v>0</v>
      </c>
      <c r="FD852">
        <v>95.6</v>
      </c>
      <c r="FE852">
        <v>1792.1</v>
      </c>
      <c r="FF852">
        <v>1740.1999999999998</v>
      </c>
      <c r="FG852">
        <v>954.9</v>
      </c>
      <c r="FH852">
        <v>1087.8000000000002</v>
      </c>
      <c r="FI852">
        <v>1892.1</v>
      </c>
      <c r="FJ852">
        <v>1222.5</v>
      </c>
      <c r="FK852">
        <v>678.3</v>
      </c>
      <c r="FL852">
        <v>639.1</v>
      </c>
      <c r="FM852">
        <v>520.5</v>
      </c>
      <c r="FN852">
        <v>123.8</v>
      </c>
      <c r="FO852">
        <v>181.6</v>
      </c>
      <c r="FP852">
        <v>1090.5</v>
      </c>
      <c r="FQ852">
        <v>0</v>
      </c>
      <c r="FR852">
        <v>0</v>
      </c>
      <c r="FS852">
        <v>0</v>
      </c>
      <c r="FT852">
        <v>0</v>
      </c>
      <c r="FU852">
        <v>0</v>
      </c>
      <c r="FV852">
        <v>0</v>
      </c>
      <c r="FW852">
        <v>0</v>
      </c>
      <c r="FX852">
        <v>0</v>
      </c>
      <c r="FY852">
        <v>0</v>
      </c>
      <c r="FZ852">
        <v>0</v>
      </c>
      <c r="GA852">
        <v>0</v>
      </c>
      <c r="GB852">
        <v>0</v>
      </c>
      <c r="GC852">
        <v>0</v>
      </c>
      <c r="GD852">
        <v>0</v>
      </c>
      <c r="GE852">
        <v>0</v>
      </c>
      <c r="GF852">
        <v>198.3</v>
      </c>
      <c r="GG852">
        <v>1054.4000000000001</v>
      </c>
      <c r="GH852">
        <v>552.79999999999995</v>
      </c>
      <c r="GI852">
        <v>522</v>
      </c>
      <c r="GJ852">
        <v>0</v>
      </c>
      <c r="GK852">
        <v>0</v>
      </c>
      <c r="GL852">
        <v>0</v>
      </c>
      <c r="GM852">
        <v>0</v>
      </c>
      <c r="GN852">
        <v>791.40000000000009</v>
      </c>
      <c r="GO852">
        <v>1816.5</v>
      </c>
      <c r="GP852">
        <v>0</v>
      </c>
      <c r="GQ852">
        <v>0</v>
      </c>
      <c r="GR852">
        <v>0</v>
      </c>
      <c r="GS852">
        <v>0</v>
      </c>
      <c r="GT852">
        <v>0</v>
      </c>
      <c r="GU852">
        <v>0</v>
      </c>
      <c r="GV852">
        <v>0</v>
      </c>
      <c r="GW852">
        <v>0</v>
      </c>
      <c r="GX852">
        <v>0</v>
      </c>
      <c r="GY852">
        <v>840.3</v>
      </c>
      <c r="GZ852">
        <v>0</v>
      </c>
      <c r="HA852">
        <v>0</v>
      </c>
      <c r="HB852">
        <v>0</v>
      </c>
      <c r="HC852">
        <v>380.4</v>
      </c>
      <c r="HD852">
        <v>2175.5</v>
      </c>
      <c r="HE852">
        <v>0</v>
      </c>
      <c r="HF852">
        <v>0</v>
      </c>
      <c r="HG852">
        <v>0</v>
      </c>
      <c r="HH852">
        <v>0</v>
      </c>
      <c r="HI852">
        <v>0</v>
      </c>
      <c r="HJ852">
        <v>803.40000000000009</v>
      </c>
      <c r="HK852">
        <v>1270.9000000000001</v>
      </c>
      <c r="HL852">
        <v>835.7</v>
      </c>
      <c r="HM852">
        <v>1162.5999999999999</v>
      </c>
      <c r="HN852">
        <v>0</v>
      </c>
      <c r="HO852">
        <v>0</v>
      </c>
      <c r="HP852">
        <v>0</v>
      </c>
      <c r="HQ852">
        <v>0</v>
      </c>
      <c r="HR852">
        <v>161.19999999999999</v>
      </c>
      <c r="HS852">
        <v>0</v>
      </c>
      <c r="HT852">
        <v>2048.5</v>
      </c>
      <c r="HU852">
        <v>2627.5</v>
      </c>
      <c r="HV852">
        <v>1168.5999999999999</v>
      </c>
      <c r="HW852">
        <v>388</v>
      </c>
      <c r="HX852">
        <v>0</v>
      </c>
      <c r="HY852">
        <v>0</v>
      </c>
      <c r="HZ852">
        <v>0</v>
      </c>
      <c r="IA852">
        <v>0</v>
      </c>
      <c r="IB852">
        <v>0</v>
      </c>
      <c r="IC852">
        <v>594.4</v>
      </c>
      <c r="ID852">
        <v>427.4</v>
      </c>
      <c r="IE852">
        <v>713.3</v>
      </c>
      <c r="IF852">
        <v>626.1</v>
      </c>
      <c r="IG852">
        <v>0</v>
      </c>
      <c r="IH852">
        <v>0</v>
      </c>
      <c r="II852">
        <v>995.7</v>
      </c>
      <c r="IJ852">
        <v>1156.5999999999999</v>
      </c>
      <c r="IK852">
        <v>864.6</v>
      </c>
      <c r="IL852">
        <v>316.5</v>
      </c>
      <c r="IM852">
        <v>101.5</v>
      </c>
      <c r="IN852">
        <v>71.8</v>
      </c>
      <c r="IO852">
        <v>0</v>
      </c>
      <c r="IP852">
        <v>0</v>
      </c>
      <c r="IQ852">
        <v>0</v>
      </c>
      <c r="IR852">
        <v>0</v>
      </c>
      <c r="IS852">
        <v>0</v>
      </c>
      <c r="IT852">
        <v>0</v>
      </c>
      <c r="IU852">
        <v>0</v>
      </c>
      <c r="IV852">
        <v>0</v>
      </c>
      <c r="IW852">
        <v>68</v>
      </c>
      <c r="IX852">
        <v>404.7</v>
      </c>
      <c r="IY852">
        <v>126.6</v>
      </c>
      <c r="IZ852">
        <v>126.6</v>
      </c>
      <c r="JA852">
        <v>503.7</v>
      </c>
      <c r="JB852">
        <v>570.1</v>
      </c>
      <c r="JC852">
        <v>328.3</v>
      </c>
      <c r="JD852">
        <v>0</v>
      </c>
      <c r="JE852">
        <v>0</v>
      </c>
      <c r="JF852">
        <v>0</v>
      </c>
      <c r="JG852">
        <v>0</v>
      </c>
      <c r="JH852">
        <v>287.3</v>
      </c>
      <c r="JI852">
        <v>68.2</v>
      </c>
      <c r="JJ852">
        <v>0</v>
      </c>
      <c r="JK852">
        <v>148.6</v>
      </c>
      <c r="JL852">
        <v>0</v>
      </c>
      <c r="JM852">
        <v>0</v>
      </c>
      <c r="JN852">
        <v>204.5</v>
      </c>
      <c r="JO852">
        <v>292.10000000000002</v>
      </c>
      <c r="JP852">
        <v>670.8</v>
      </c>
      <c r="JQ852">
        <v>745.2</v>
      </c>
      <c r="JR852">
        <v>242.9</v>
      </c>
    </row>
    <row r="853" spans="2:278" ht="18" thickBot="1">
      <c r="B853" s="523"/>
      <c r="C853" s="518"/>
      <c r="D853" s="523"/>
      <c r="E853" s="454">
        <v>22829.8</v>
      </c>
      <c r="F853">
        <v>20193.400000000001</v>
      </c>
      <c r="G853" s="427">
        <v>0</v>
      </c>
      <c r="H853" s="155">
        <v>0</v>
      </c>
      <c r="I853">
        <v>0</v>
      </c>
      <c r="J853">
        <v>0</v>
      </c>
      <c r="K853">
        <v>0</v>
      </c>
      <c r="L853" s="4">
        <v>0</v>
      </c>
      <c r="M853" s="4">
        <v>0</v>
      </c>
      <c r="N853" s="4">
        <v>0</v>
      </c>
      <c r="O853" s="4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1476.4</v>
      </c>
      <c r="X853">
        <v>1482</v>
      </c>
      <c r="Y853">
        <v>457.20000000000005</v>
      </c>
      <c r="Z853">
        <v>0</v>
      </c>
      <c r="AA853">
        <v>0</v>
      </c>
      <c r="AB853">
        <v>0</v>
      </c>
      <c r="AC853">
        <v>0</v>
      </c>
      <c r="AD853">
        <v>3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1828.6</v>
      </c>
      <c r="AK853">
        <v>1800.7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560.70000000000005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  <c r="CF853">
        <v>0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  <c r="CN853">
        <v>0</v>
      </c>
      <c r="CO853">
        <v>0</v>
      </c>
      <c r="CP853">
        <v>3.5</v>
      </c>
      <c r="CQ853">
        <v>0</v>
      </c>
      <c r="CR853">
        <v>528</v>
      </c>
      <c r="CS853">
        <v>581.79999999999995</v>
      </c>
      <c r="CT853">
        <v>555.40000000000009</v>
      </c>
      <c r="CU853">
        <v>737.4</v>
      </c>
      <c r="CV853">
        <v>1039.0999999999999</v>
      </c>
      <c r="CW853">
        <v>1667.3</v>
      </c>
      <c r="CX853">
        <v>877.6</v>
      </c>
      <c r="CY853">
        <v>910.40000000000009</v>
      </c>
      <c r="CZ853">
        <v>0</v>
      </c>
      <c r="DA853">
        <v>0</v>
      </c>
      <c r="DB853">
        <v>0</v>
      </c>
      <c r="DC853">
        <v>0</v>
      </c>
      <c r="DD853">
        <v>0</v>
      </c>
      <c r="DE853">
        <v>0</v>
      </c>
      <c r="DF853">
        <v>0</v>
      </c>
      <c r="DG853">
        <v>0</v>
      </c>
      <c r="DH853">
        <v>0</v>
      </c>
      <c r="DI853">
        <v>0</v>
      </c>
      <c r="DJ853">
        <v>0</v>
      </c>
      <c r="DK853">
        <v>0</v>
      </c>
      <c r="DL853">
        <v>995.5</v>
      </c>
      <c r="DM853">
        <v>712.7</v>
      </c>
      <c r="DN853">
        <v>0</v>
      </c>
      <c r="DO853">
        <v>0</v>
      </c>
      <c r="DP853">
        <v>0</v>
      </c>
      <c r="DQ853">
        <v>0</v>
      </c>
      <c r="DR853">
        <v>0</v>
      </c>
      <c r="DS853">
        <v>0</v>
      </c>
      <c r="DT853">
        <v>0</v>
      </c>
      <c r="DU853">
        <v>0</v>
      </c>
      <c r="DV853">
        <v>0</v>
      </c>
      <c r="DW853">
        <v>0</v>
      </c>
      <c r="DX853">
        <v>0</v>
      </c>
      <c r="DY853">
        <v>0</v>
      </c>
      <c r="DZ853">
        <v>0</v>
      </c>
      <c r="EA853">
        <v>0</v>
      </c>
      <c r="EB853">
        <v>0</v>
      </c>
      <c r="EC853">
        <v>0</v>
      </c>
      <c r="ED853">
        <v>0</v>
      </c>
      <c r="EE853">
        <v>0</v>
      </c>
      <c r="EF853">
        <v>0</v>
      </c>
      <c r="EG853">
        <v>0</v>
      </c>
      <c r="EH853">
        <v>0</v>
      </c>
      <c r="EI853">
        <v>0</v>
      </c>
      <c r="EJ853">
        <v>0</v>
      </c>
      <c r="EK853">
        <v>0</v>
      </c>
      <c r="EL853">
        <v>0</v>
      </c>
      <c r="EM853">
        <v>0</v>
      </c>
      <c r="EN853">
        <v>27.4</v>
      </c>
      <c r="EO853">
        <v>0</v>
      </c>
      <c r="EP853">
        <v>1002.5</v>
      </c>
      <c r="EQ853">
        <v>0</v>
      </c>
      <c r="ER853">
        <v>494</v>
      </c>
      <c r="ES853">
        <v>0</v>
      </c>
      <c r="ET853">
        <v>699.3</v>
      </c>
      <c r="EU853">
        <v>435.4</v>
      </c>
      <c r="EV853">
        <v>0</v>
      </c>
      <c r="EW853">
        <v>0</v>
      </c>
      <c r="EX853">
        <v>0</v>
      </c>
      <c r="EY853">
        <v>0</v>
      </c>
      <c r="EZ853">
        <v>0</v>
      </c>
      <c r="FA853">
        <v>0</v>
      </c>
      <c r="FB853">
        <v>0</v>
      </c>
      <c r="FC853">
        <v>0</v>
      </c>
      <c r="FD853">
        <v>95.6</v>
      </c>
      <c r="FE853">
        <v>1792.1</v>
      </c>
      <c r="FF853">
        <v>1740.1999999999998</v>
      </c>
      <c r="FG853">
        <v>954.9</v>
      </c>
      <c r="FH853">
        <v>1087.8000000000002</v>
      </c>
      <c r="FI853">
        <v>1892.1</v>
      </c>
      <c r="FJ853">
        <v>1222.5</v>
      </c>
      <c r="FK853">
        <v>678.3</v>
      </c>
      <c r="FL853">
        <v>639.1</v>
      </c>
      <c r="FM853">
        <v>520.5</v>
      </c>
      <c r="FN853">
        <v>123.8</v>
      </c>
      <c r="FO853">
        <v>181.6</v>
      </c>
      <c r="FP853">
        <v>1090.5</v>
      </c>
      <c r="FQ853">
        <v>0</v>
      </c>
      <c r="FR853">
        <v>0</v>
      </c>
      <c r="FS853">
        <v>0</v>
      </c>
      <c r="FT853">
        <v>0</v>
      </c>
      <c r="FU853">
        <v>0</v>
      </c>
      <c r="FV853">
        <v>0</v>
      </c>
      <c r="FW853">
        <v>0</v>
      </c>
      <c r="FX853">
        <v>0</v>
      </c>
      <c r="FY853">
        <v>0</v>
      </c>
      <c r="FZ853">
        <v>0</v>
      </c>
      <c r="GA853">
        <v>0</v>
      </c>
      <c r="GB853">
        <v>0</v>
      </c>
      <c r="GC853">
        <v>0</v>
      </c>
      <c r="GD853">
        <v>0</v>
      </c>
      <c r="GE853">
        <v>0</v>
      </c>
      <c r="GF853">
        <v>198.3</v>
      </c>
      <c r="GG853">
        <v>1054.4000000000001</v>
      </c>
      <c r="GH853">
        <v>552.79999999999995</v>
      </c>
      <c r="GI853">
        <v>522</v>
      </c>
      <c r="GJ853">
        <v>0</v>
      </c>
      <c r="GK853">
        <v>0</v>
      </c>
      <c r="GL853">
        <v>0</v>
      </c>
      <c r="GM853">
        <v>0</v>
      </c>
      <c r="GN853">
        <v>791.40000000000009</v>
      </c>
      <c r="GO853">
        <v>1816.5</v>
      </c>
      <c r="GP853">
        <v>0</v>
      </c>
      <c r="GQ853">
        <v>0</v>
      </c>
      <c r="GR853">
        <v>0</v>
      </c>
      <c r="GS853">
        <v>0</v>
      </c>
      <c r="GT853">
        <v>0</v>
      </c>
      <c r="GU853">
        <v>0</v>
      </c>
      <c r="GV853">
        <v>0</v>
      </c>
      <c r="GW853">
        <v>0</v>
      </c>
      <c r="GX853">
        <v>0</v>
      </c>
      <c r="GY853">
        <v>840.3</v>
      </c>
      <c r="GZ853">
        <v>0</v>
      </c>
      <c r="HA853">
        <v>0</v>
      </c>
      <c r="HB853">
        <v>0</v>
      </c>
      <c r="HC853">
        <v>380.4</v>
      </c>
      <c r="HD853">
        <v>2175.5</v>
      </c>
      <c r="HE853">
        <v>0</v>
      </c>
      <c r="HF853">
        <v>0</v>
      </c>
      <c r="HG853">
        <v>0</v>
      </c>
      <c r="HH853">
        <v>0</v>
      </c>
      <c r="HI853">
        <v>0</v>
      </c>
      <c r="HJ853">
        <v>803.40000000000009</v>
      </c>
      <c r="HK853">
        <v>1270.9000000000001</v>
      </c>
      <c r="HL853">
        <v>835.7</v>
      </c>
      <c r="HM853">
        <v>1162.5999999999999</v>
      </c>
      <c r="HN853">
        <v>0</v>
      </c>
      <c r="HO853">
        <v>0</v>
      </c>
      <c r="HP853">
        <v>0</v>
      </c>
      <c r="HQ853">
        <v>0</v>
      </c>
      <c r="HR853">
        <v>161.19999999999999</v>
      </c>
      <c r="HS853">
        <v>0</v>
      </c>
      <c r="HT853">
        <v>2048.5</v>
      </c>
      <c r="HU853">
        <v>2627.5</v>
      </c>
      <c r="HV853">
        <v>1168.5999999999999</v>
      </c>
      <c r="HW853">
        <v>388</v>
      </c>
      <c r="HX853">
        <v>0</v>
      </c>
      <c r="HY853">
        <v>0</v>
      </c>
      <c r="HZ853">
        <v>0</v>
      </c>
      <c r="IA853">
        <v>0</v>
      </c>
      <c r="IB853">
        <v>0</v>
      </c>
      <c r="IC853">
        <v>594.4</v>
      </c>
      <c r="ID853">
        <v>427.4</v>
      </c>
      <c r="IE853">
        <v>713.3</v>
      </c>
      <c r="IF853">
        <v>626.1</v>
      </c>
      <c r="IG853">
        <v>0</v>
      </c>
      <c r="IH853">
        <v>0</v>
      </c>
      <c r="II853">
        <v>995.7</v>
      </c>
      <c r="IJ853">
        <v>1156.5999999999999</v>
      </c>
      <c r="IK853">
        <v>864.6</v>
      </c>
      <c r="IL853">
        <v>316.5</v>
      </c>
      <c r="IM853">
        <v>101.5</v>
      </c>
      <c r="IN853">
        <v>71.8</v>
      </c>
      <c r="IO853">
        <v>0</v>
      </c>
      <c r="IP853">
        <v>0</v>
      </c>
      <c r="IQ853">
        <v>0</v>
      </c>
      <c r="IR853">
        <v>0</v>
      </c>
      <c r="IS853">
        <v>0</v>
      </c>
      <c r="IT853">
        <v>0</v>
      </c>
      <c r="IU853">
        <v>0</v>
      </c>
      <c r="IV853">
        <v>0</v>
      </c>
      <c r="IW853">
        <v>68</v>
      </c>
      <c r="IX853">
        <v>404.7</v>
      </c>
      <c r="IY853">
        <v>126.6</v>
      </c>
      <c r="IZ853">
        <v>126.6</v>
      </c>
      <c r="JA853">
        <v>503.7</v>
      </c>
      <c r="JB853">
        <v>570.1</v>
      </c>
      <c r="JC853">
        <v>328.3</v>
      </c>
      <c r="JD853">
        <v>0</v>
      </c>
      <c r="JE853">
        <v>0</v>
      </c>
      <c r="JF853">
        <v>0</v>
      </c>
      <c r="JG853">
        <v>0</v>
      </c>
      <c r="JH853">
        <v>287.3</v>
      </c>
      <c r="JI853">
        <v>68.2</v>
      </c>
      <c r="JJ853">
        <v>0</v>
      </c>
      <c r="JK853">
        <v>148.6</v>
      </c>
      <c r="JL853">
        <v>0</v>
      </c>
      <c r="JM853">
        <v>0</v>
      </c>
      <c r="JN853">
        <v>204.5</v>
      </c>
      <c r="JO853">
        <v>292.10000000000002</v>
      </c>
      <c r="JP853">
        <v>670.8</v>
      </c>
      <c r="JQ853">
        <v>745.2</v>
      </c>
      <c r="JR853">
        <v>242.9</v>
      </c>
    </row>
    <row r="854" spans="2:278" ht="18" thickBot="1">
      <c r="B854" s="522" t="s">
        <v>1248</v>
      </c>
      <c r="C854" s="517" t="s">
        <v>1535</v>
      </c>
      <c r="D854" s="522" t="s">
        <v>1412</v>
      </c>
      <c r="E854" s="454">
        <v>22829.8</v>
      </c>
      <c r="F854">
        <v>20193.400000000001</v>
      </c>
      <c r="G854" s="427">
        <v>0</v>
      </c>
      <c r="H854" s="155">
        <v>0</v>
      </c>
      <c r="I854">
        <v>0</v>
      </c>
      <c r="J854">
        <v>0</v>
      </c>
      <c r="K854">
        <v>0</v>
      </c>
      <c r="L854" s="4">
        <v>0</v>
      </c>
      <c r="M854" s="4">
        <v>0</v>
      </c>
      <c r="N854" s="4">
        <v>0</v>
      </c>
      <c r="O854" s="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1476.4</v>
      </c>
      <c r="X854">
        <v>1482</v>
      </c>
      <c r="Y854">
        <v>457.20000000000005</v>
      </c>
      <c r="Z854">
        <v>0</v>
      </c>
      <c r="AA854">
        <v>0</v>
      </c>
      <c r="AB854">
        <v>0</v>
      </c>
      <c r="AC854">
        <v>0</v>
      </c>
      <c r="AD854">
        <v>3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1828.6</v>
      </c>
      <c r="AK854">
        <v>1800.7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560.70000000000005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  <c r="CN854">
        <v>0</v>
      </c>
      <c r="CO854">
        <v>0</v>
      </c>
      <c r="CP854">
        <v>3.5</v>
      </c>
      <c r="CQ854">
        <v>0</v>
      </c>
      <c r="CR854">
        <v>528</v>
      </c>
      <c r="CS854">
        <v>581.79999999999995</v>
      </c>
      <c r="CT854">
        <v>555.40000000000009</v>
      </c>
      <c r="CU854">
        <v>737.4</v>
      </c>
      <c r="CV854">
        <v>1039.0999999999999</v>
      </c>
      <c r="CW854">
        <v>1667.3</v>
      </c>
      <c r="CX854">
        <v>877.6</v>
      </c>
      <c r="CY854">
        <v>910.40000000000009</v>
      </c>
      <c r="CZ854">
        <v>0</v>
      </c>
      <c r="DA854">
        <v>0</v>
      </c>
      <c r="DB854">
        <v>0</v>
      </c>
      <c r="DC854">
        <v>0</v>
      </c>
      <c r="DD854">
        <v>0</v>
      </c>
      <c r="DE854">
        <v>0</v>
      </c>
      <c r="DF854">
        <v>0</v>
      </c>
      <c r="DG854">
        <v>0</v>
      </c>
      <c r="DH854">
        <v>0</v>
      </c>
      <c r="DI854">
        <v>0</v>
      </c>
      <c r="DJ854">
        <v>0</v>
      </c>
      <c r="DK854">
        <v>0</v>
      </c>
      <c r="DL854">
        <v>995.5</v>
      </c>
      <c r="DM854">
        <v>712.7</v>
      </c>
      <c r="DN854">
        <v>0</v>
      </c>
      <c r="DO854">
        <v>0</v>
      </c>
      <c r="DP854">
        <v>0</v>
      </c>
      <c r="DQ854">
        <v>0</v>
      </c>
      <c r="DR854">
        <v>0</v>
      </c>
      <c r="DS854">
        <v>0</v>
      </c>
      <c r="DT854">
        <v>0</v>
      </c>
      <c r="DU854">
        <v>0</v>
      </c>
      <c r="DV854">
        <v>0</v>
      </c>
      <c r="DW854">
        <v>0</v>
      </c>
      <c r="DX854">
        <v>0</v>
      </c>
      <c r="DY854">
        <v>0</v>
      </c>
      <c r="DZ854">
        <v>0</v>
      </c>
      <c r="EA854">
        <v>0</v>
      </c>
      <c r="EB854">
        <v>0</v>
      </c>
      <c r="EC854">
        <v>0</v>
      </c>
      <c r="ED854">
        <v>0</v>
      </c>
      <c r="EE854">
        <v>0</v>
      </c>
      <c r="EF854">
        <v>0</v>
      </c>
      <c r="EG854">
        <v>0</v>
      </c>
      <c r="EH854">
        <v>0</v>
      </c>
      <c r="EI854">
        <v>0</v>
      </c>
      <c r="EJ854">
        <v>0</v>
      </c>
      <c r="EK854">
        <v>0</v>
      </c>
      <c r="EL854">
        <v>0</v>
      </c>
      <c r="EM854">
        <v>0</v>
      </c>
      <c r="EN854">
        <v>27.4</v>
      </c>
      <c r="EO854">
        <v>0</v>
      </c>
      <c r="EP854">
        <v>1002.5</v>
      </c>
      <c r="EQ854">
        <v>0</v>
      </c>
      <c r="ER854">
        <v>494</v>
      </c>
      <c r="ES854">
        <v>0</v>
      </c>
      <c r="ET854">
        <v>699.3</v>
      </c>
      <c r="EU854">
        <v>435.4</v>
      </c>
      <c r="EV854">
        <v>0</v>
      </c>
      <c r="EW854">
        <v>0</v>
      </c>
      <c r="EX854">
        <v>0</v>
      </c>
      <c r="EY854">
        <v>0</v>
      </c>
      <c r="EZ854">
        <v>0</v>
      </c>
      <c r="FA854">
        <v>0</v>
      </c>
      <c r="FB854">
        <v>0</v>
      </c>
      <c r="FC854">
        <v>0</v>
      </c>
      <c r="FD854">
        <v>95.6</v>
      </c>
      <c r="FE854">
        <v>1792.1</v>
      </c>
      <c r="FF854">
        <v>1740.1999999999998</v>
      </c>
      <c r="FG854">
        <v>954.9</v>
      </c>
      <c r="FH854">
        <v>1087.8000000000002</v>
      </c>
      <c r="FI854">
        <v>1892.1</v>
      </c>
      <c r="FJ854">
        <v>1222.5</v>
      </c>
      <c r="FK854">
        <v>678.3</v>
      </c>
      <c r="FL854">
        <v>639.1</v>
      </c>
      <c r="FM854">
        <v>520.5</v>
      </c>
      <c r="FN854">
        <v>123.8</v>
      </c>
      <c r="FO854">
        <v>181.6</v>
      </c>
      <c r="FP854">
        <v>1090.5</v>
      </c>
      <c r="FQ854">
        <v>0</v>
      </c>
      <c r="FR854">
        <v>0</v>
      </c>
      <c r="FS854">
        <v>0</v>
      </c>
      <c r="FT854">
        <v>0</v>
      </c>
      <c r="FU854">
        <v>0</v>
      </c>
      <c r="FV854">
        <v>0</v>
      </c>
      <c r="FW854">
        <v>0</v>
      </c>
      <c r="FX854">
        <v>0</v>
      </c>
      <c r="FY854">
        <v>0</v>
      </c>
      <c r="FZ854">
        <v>0</v>
      </c>
      <c r="GA854">
        <v>0</v>
      </c>
      <c r="GB854">
        <v>0</v>
      </c>
      <c r="GC854">
        <v>0</v>
      </c>
      <c r="GD854">
        <v>0</v>
      </c>
      <c r="GE854">
        <v>0</v>
      </c>
      <c r="GF854">
        <v>198.3</v>
      </c>
      <c r="GG854">
        <v>1054.4000000000001</v>
      </c>
      <c r="GH854">
        <v>552.79999999999995</v>
      </c>
      <c r="GI854">
        <v>522</v>
      </c>
      <c r="GJ854">
        <v>0</v>
      </c>
      <c r="GK854">
        <v>0</v>
      </c>
      <c r="GL854">
        <v>0</v>
      </c>
      <c r="GM854">
        <v>0</v>
      </c>
      <c r="GN854">
        <v>791.40000000000009</v>
      </c>
      <c r="GO854">
        <v>1816.5</v>
      </c>
      <c r="GP854">
        <v>0</v>
      </c>
      <c r="GQ854">
        <v>0</v>
      </c>
      <c r="GR854">
        <v>0</v>
      </c>
      <c r="GS854">
        <v>0</v>
      </c>
      <c r="GT854">
        <v>0</v>
      </c>
      <c r="GU854">
        <v>0</v>
      </c>
      <c r="GV854">
        <v>0</v>
      </c>
      <c r="GW854">
        <v>0</v>
      </c>
      <c r="GX854">
        <v>0</v>
      </c>
      <c r="GY854">
        <v>840.3</v>
      </c>
      <c r="GZ854">
        <v>0</v>
      </c>
      <c r="HA854">
        <v>0</v>
      </c>
      <c r="HB854">
        <v>0</v>
      </c>
      <c r="HC854">
        <v>380.4</v>
      </c>
      <c r="HD854">
        <v>2175.5</v>
      </c>
      <c r="HE854">
        <v>0</v>
      </c>
      <c r="HF854">
        <v>0</v>
      </c>
      <c r="HG854">
        <v>0</v>
      </c>
      <c r="HH854">
        <v>0</v>
      </c>
      <c r="HI854">
        <v>0</v>
      </c>
      <c r="HJ854">
        <v>803.40000000000009</v>
      </c>
      <c r="HK854">
        <v>1270.9000000000001</v>
      </c>
      <c r="HL854">
        <v>835.7</v>
      </c>
      <c r="HM854">
        <v>1162.5999999999999</v>
      </c>
      <c r="HN854">
        <v>0</v>
      </c>
      <c r="HO854">
        <v>0</v>
      </c>
      <c r="HP854">
        <v>0</v>
      </c>
      <c r="HQ854">
        <v>0</v>
      </c>
      <c r="HR854">
        <v>161.19999999999999</v>
      </c>
      <c r="HS854">
        <v>0</v>
      </c>
      <c r="HT854">
        <v>2048.5</v>
      </c>
      <c r="HU854">
        <v>2627.5</v>
      </c>
      <c r="HV854">
        <v>1168.5999999999999</v>
      </c>
      <c r="HW854">
        <v>388</v>
      </c>
      <c r="HX854">
        <v>0</v>
      </c>
      <c r="HY854">
        <v>0</v>
      </c>
      <c r="HZ854">
        <v>0</v>
      </c>
      <c r="IA854">
        <v>0</v>
      </c>
      <c r="IB854">
        <v>0</v>
      </c>
      <c r="IC854">
        <v>594.4</v>
      </c>
      <c r="ID854">
        <v>427.4</v>
      </c>
      <c r="IE854">
        <v>713.3</v>
      </c>
      <c r="IF854">
        <v>626.1</v>
      </c>
      <c r="IG854">
        <v>0</v>
      </c>
      <c r="IH854">
        <v>0</v>
      </c>
      <c r="II854">
        <v>995.7</v>
      </c>
      <c r="IJ854">
        <v>1156.5999999999999</v>
      </c>
      <c r="IK854">
        <v>864.6</v>
      </c>
      <c r="IL854">
        <v>316.5</v>
      </c>
      <c r="IM854">
        <v>101.5</v>
      </c>
      <c r="IN854">
        <v>71.8</v>
      </c>
      <c r="IO854">
        <v>0</v>
      </c>
      <c r="IP854">
        <v>0</v>
      </c>
      <c r="IQ854">
        <v>0</v>
      </c>
      <c r="IR854">
        <v>0</v>
      </c>
      <c r="IS854">
        <v>0</v>
      </c>
      <c r="IT854">
        <v>0</v>
      </c>
      <c r="IU854">
        <v>0</v>
      </c>
      <c r="IV854">
        <v>0</v>
      </c>
      <c r="IW854">
        <v>68</v>
      </c>
      <c r="IX854">
        <v>404.7</v>
      </c>
      <c r="IY854">
        <v>126.6</v>
      </c>
      <c r="IZ854">
        <v>126.6</v>
      </c>
      <c r="JA854">
        <v>503.7</v>
      </c>
      <c r="JB854">
        <v>570.1</v>
      </c>
      <c r="JC854">
        <v>328.3</v>
      </c>
      <c r="JD854">
        <v>0</v>
      </c>
      <c r="JE854">
        <v>0</v>
      </c>
      <c r="JF854">
        <v>0</v>
      </c>
      <c r="JG854">
        <v>0</v>
      </c>
      <c r="JH854">
        <v>287.3</v>
      </c>
      <c r="JI854">
        <v>68.2</v>
      </c>
      <c r="JJ854">
        <v>0</v>
      </c>
      <c r="JK854">
        <v>148.6</v>
      </c>
      <c r="JL854">
        <v>0</v>
      </c>
      <c r="JM854">
        <v>0</v>
      </c>
      <c r="JN854">
        <v>204.5</v>
      </c>
      <c r="JO854">
        <v>292.10000000000002</v>
      </c>
      <c r="JP854">
        <v>670.8</v>
      </c>
      <c r="JQ854">
        <v>745.2</v>
      </c>
      <c r="JR854">
        <v>242.9</v>
      </c>
    </row>
    <row r="855" spans="2:278" ht="18" thickBot="1">
      <c r="B855" s="523"/>
      <c r="C855" s="518"/>
      <c r="D855" s="523"/>
      <c r="E855" s="454">
        <v>22829.8</v>
      </c>
      <c r="F855">
        <v>20193.400000000001</v>
      </c>
      <c r="G855" s="427">
        <v>0</v>
      </c>
      <c r="H855" s="155">
        <v>0</v>
      </c>
      <c r="I855">
        <v>0</v>
      </c>
      <c r="J855">
        <v>0</v>
      </c>
      <c r="K855">
        <v>0</v>
      </c>
      <c r="L855" s="4">
        <v>0</v>
      </c>
      <c r="M855" s="4">
        <v>0</v>
      </c>
      <c r="N855" s="4">
        <v>0</v>
      </c>
      <c r="O855" s="4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1476.4</v>
      </c>
      <c r="X855">
        <v>1482</v>
      </c>
      <c r="Y855">
        <v>457.20000000000005</v>
      </c>
      <c r="Z855">
        <v>0</v>
      </c>
      <c r="AA855">
        <v>0</v>
      </c>
      <c r="AB855">
        <v>0</v>
      </c>
      <c r="AC855">
        <v>0</v>
      </c>
      <c r="AD855">
        <v>3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1828.6</v>
      </c>
      <c r="AK855">
        <v>1800.7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560.70000000000005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  <c r="CF855">
        <v>0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  <c r="CN855">
        <v>0</v>
      </c>
      <c r="CO855">
        <v>0</v>
      </c>
      <c r="CP855">
        <v>3.5</v>
      </c>
      <c r="CQ855">
        <v>0</v>
      </c>
      <c r="CR855">
        <v>528</v>
      </c>
      <c r="CS855">
        <v>581.79999999999995</v>
      </c>
      <c r="CT855">
        <v>555.40000000000009</v>
      </c>
      <c r="CU855">
        <v>737.4</v>
      </c>
      <c r="CV855">
        <v>1039.0999999999999</v>
      </c>
      <c r="CW855">
        <v>1667.3</v>
      </c>
      <c r="CX855">
        <v>877.6</v>
      </c>
      <c r="CY855">
        <v>910.40000000000009</v>
      </c>
      <c r="CZ855">
        <v>0</v>
      </c>
      <c r="DA855">
        <v>0</v>
      </c>
      <c r="DB855">
        <v>0</v>
      </c>
      <c r="DC855">
        <v>0</v>
      </c>
      <c r="DD855">
        <v>0</v>
      </c>
      <c r="DE855">
        <v>0</v>
      </c>
      <c r="DF855">
        <v>0</v>
      </c>
      <c r="DG855">
        <v>0</v>
      </c>
      <c r="DH855">
        <v>0</v>
      </c>
      <c r="DI855">
        <v>0</v>
      </c>
      <c r="DJ855">
        <v>0</v>
      </c>
      <c r="DK855">
        <v>0</v>
      </c>
      <c r="DL855">
        <v>995.5</v>
      </c>
      <c r="DM855">
        <v>712.7</v>
      </c>
      <c r="DN855">
        <v>0</v>
      </c>
      <c r="DO855">
        <v>0</v>
      </c>
      <c r="DP855">
        <v>0</v>
      </c>
      <c r="DQ855">
        <v>0</v>
      </c>
      <c r="DR855">
        <v>0</v>
      </c>
      <c r="DS855">
        <v>0</v>
      </c>
      <c r="DT855">
        <v>0</v>
      </c>
      <c r="DU855">
        <v>0</v>
      </c>
      <c r="DV855">
        <v>0</v>
      </c>
      <c r="DW855">
        <v>0</v>
      </c>
      <c r="DX855">
        <v>0</v>
      </c>
      <c r="DY855">
        <v>0</v>
      </c>
      <c r="DZ855">
        <v>0</v>
      </c>
      <c r="EA855">
        <v>0</v>
      </c>
      <c r="EB855">
        <v>0</v>
      </c>
      <c r="EC855">
        <v>0</v>
      </c>
      <c r="ED855">
        <v>0</v>
      </c>
      <c r="EE855">
        <v>0</v>
      </c>
      <c r="EF855">
        <v>0</v>
      </c>
      <c r="EG855">
        <v>0</v>
      </c>
      <c r="EH855">
        <v>0</v>
      </c>
      <c r="EI855">
        <v>0</v>
      </c>
      <c r="EJ855">
        <v>0</v>
      </c>
      <c r="EK855">
        <v>0</v>
      </c>
      <c r="EL855">
        <v>0</v>
      </c>
      <c r="EM855">
        <v>0</v>
      </c>
      <c r="EN855">
        <v>27.4</v>
      </c>
      <c r="EO855">
        <v>0</v>
      </c>
      <c r="EP855">
        <v>1002.5</v>
      </c>
      <c r="EQ855">
        <v>0</v>
      </c>
      <c r="ER855">
        <v>494</v>
      </c>
      <c r="ES855">
        <v>0</v>
      </c>
      <c r="ET855">
        <v>699.3</v>
      </c>
      <c r="EU855">
        <v>435.4</v>
      </c>
      <c r="EV855">
        <v>0</v>
      </c>
      <c r="EW855">
        <v>0</v>
      </c>
      <c r="EX855">
        <v>0</v>
      </c>
      <c r="EY855">
        <v>0</v>
      </c>
      <c r="EZ855">
        <v>0</v>
      </c>
      <c r="FA855">
        <v>0</v>
      </c>
      <c r="FB855">
        <v>0</v>
      </c>
      <c r="FC855">
        <v>0</v>
      </c>
      <c r="FD855">
        <v>95.6</v>
      </c>
      <c r="FE855">
        <v>1792.1</v>
      </c>
      <c r="FF855">
        <v>1740.1999999999998</v>
      </c>
      <c r="FG855">
        <v>954.9</v>
      </c>
      <c r="FH855">
        <v>1087.8000000000002</v>
      </c>
      <c r="FI855">
        <v>1892.1</v>
      </c>
      <c r="FJ855">
        <v>1222.5</v>
      </c>
      <c r="FK855">
        <v>678.3</v>
      </c>
      <c r="FL855">
        <v>639.1</v>
      </c>
      <c r="FM855">
        <v>520.5</v>
      </c>
      <c r="FN855">
        <v>123.8</v>
      </c>
      <c r="FO855">
        <v>181.6</v>
      </c>
      <c r="FP855">
        <v>1090.5</v>
      </c>
      <c r="FQ855">
        <v>0</v>
      </c>
      <c r="FR855">
        <v>0</v>
      </c>
      <c r="FS855">
        <v>0</v>
      </c>
      <c r="FT855">
        <v>0</v>
      </c>
      <c r="FU855">
        <v>0</v>
      </c>
      <c r="FV855">
        <v>0</v>
      </c>
      <c r="FW855">
        <v>0</v>
      </c>
      <c r="FX855">
        <v>0</v>
      </c>
      <c r="FY855">
        <v>0</v>
      </c>
      <c r="FZ855">
        <v>0</v>
      </c>
      <c r="GA855">
        <v>0</v>
      </c>
      <c r="GB855">
        <v>0</v>
      </c>
      <c r="GC855">
        <v>0</v>
      </c>
      <c r="GD855">
        <v>0</v>
      </c>
      <c r="GE855">
        <v>0</v>
      </c>
      <c r="GF855">
        <v>198.3</v>
      </c>
      <c r="GG855">
        <v>1054.4000000000001</v>
      </c>
      <c r="GH855">
        <v>552.79999999999995</v>
      </c>
      <c r="GI855">
        <v>522</v>
      </c>
      <c r="GJ855">
        <v>0</v>
      </c>
      <c r="GK855">
        <v>0</v>
      </c>
      <c r="GL855">
        <v>0</v>
      </c>
      <c r="GM855">
        <v>0</v>
      </c>
      <c r="GN855">
        <v>791.40000000000009</v>
      </c>
      <c r="GO855">
        <v>1816.5</v>
      </c>
      <c r="GP855">
        <v>0</v>
      </c>
      <c r="GQ855">
        <v>0</v>
      </c>
      <c r="GR855">
        <v>0</v>
      </c>
      <c r="GS855">
        <v>0</v>
      </c>
      <c r="GT855">
        <v>0</v>
      </c>
      <c r="GU855">
        <v>0</v>
      </c>
      <c r="GV855">
        <v>0</v>
      </c>
      <c r="GW855">
        <v>0</v>
      </c>
      <c r="GX855">
        <v>0</v>
      </c>
      <c r="GY855">
        <v>840.3</v>
      </c>
      <c r="GZ855">
        <v>0</v>
      </c>
      <c r="HA855">
        <v>0</v>
      </c>
      <c r="HB855">
        <v>0</v>
      </c>
      <c r="HC855">
        <v>380.4</v>
      </c>
      <c r="HD855">
        <v>2175.5</v>
      </c>
      <c r="HE855">
        <v>0</v>
      </c>
      <c r="HF855">
        <v>0</v>
      </c>
      <c r="HG855">
        <v>0</v>
      </c>
      <c r="HH855">
        <v>0</v>
      </c>
      <c r="HI855">
        <v>0</v>
      </c>
      <c r="HJ855">
        <v>803.40000000000009</v>
      </c>
      <c r="HK855">
        <v>1270.9000000000001</v>
      </c>
      <c r="HL855">
        <v>835.7</v>
      </c>
      <c r="HM855">
        <v>1162.5999999999999</v>
      </c>
      <c r="HN855">
        <v>0</v>
      </c>
      <c r="HO855">
        <v>0</v>
      </c>
      <c r="HP855">
        <v>0</v>
      </c>
      <c r="HQ855">
        <v>0</v>
      </c>
      <c r="HR855">
        <v>161.19999999999999</v>
      </c>
      <c r="HS855">
        <v>0</v>
      </c>
      <c r="HT855">
        <v>2048.5</v>
      </c>
      <c r="HU855">
        <v>2627.5</v>
      </c>
      <c r="HV855">
        <v>1168.5999999999999</v>
      </c>
      <c r="HW855">
        <v>388</v>
      </c>
      <c r="HX855">
        <v>0</v>
      </c>
      <c r="HY855">
        <v>0</v>
      </c>
      <c r="HZ855">
        <v>0</v>
      </c>
      <c r="IA855">
        <v>0</v>
      </c>
      <c r="IB855">
        <v>0</v>
      </c>
      <c r="IC855">
        <v>594.4</v>
      </c>
      <c r="ID855">
        <v>427.4</v>
      </c>
      <c r="IE855">
        <v>713.3</v>
      </c>
      <c r="IF855">
        <v>626.1</v>
      </c>
      <c r="IG855">
        <v>0</v>
      </c>
      <c r="IH855">
        <v>0</v>
      </c>
      <c r="II855">
        <v>995.7</v>
      </c>
      <c r="IJ855">
        <v>1156.5999999999999</v>
      </c>
      <c r="IK855">
        <v>864.6</v>
      </c>
      <c r="IL855">
        <v>316.5</v>
      </c>
      <c r="IM855">
        <v>101.5</v>
      </c>
      <c r="IN855">
        <v>71.8</v>
      </c>
      <c r="IO855">
        <v>0</v>
      </c>
      <c r="IP855">
        <v>0</v>
      </c>
      <c r="IQ855">
        <v>0</v>
      </c>
      <c r="IR855">
        <v>0</v>
      </c>
      <c r="IS855">
        <v>0</v>
      </c>
      <c r="IT855">
        <v>0</v>
      </c>
      <c r="IU855">
        <v>0</v>
      </c>
      <c r="IV855">
        <v>0</v>
      </c>
      <c r="IW855">
        <v>68</v>
      </c>
      <c r="IX855">
        <v>404.7</v>
      </c>
      <c r="IY855">
        <v>126.6</v>
      </c>
      <c r="IZ855">
        <v>126.6</v>
      </c>
      <c r="JA855">
        <v>503.7</v>
      </c>
      <c r="JB855">
        <v>570.1</v>
      </c>
      <c r="JC855">
        <v>328.3</v>
      </c>
      <c r="JD855">
        <v>0</v>
      </c>
      <c r="JE855">
        <v>0</v>
      </c>
      <c r="JF855">
        <v>0</v>
      </c>
      <c r="JG855">
        <v>0</v>
      </c>
      <c r="JH855">
        <v>287.3</v>
      </c>
      <c r="JI855">
        <v>68.2</v>
      </c>
      <c r="JJ855">
        <v>0</v>
      </c>
      <c r="JK855">
        <v>148.6</v>
      </c>
      <c r="JL855">
        <v>0</v>
      </c>
      <c r="JM855">
        <v>0</v>
      </c>
      <c r="JN855">
        <v>204.5</v>
      </c>
      <c r="JO855">
        <v>292.10000000000002</v>
      </c>
      <c r="JP855">
        <v>670.8</v>
      </c>
      <c r="JQ855">
        <v>745.2</v>
      </c>
      <c r="JR855">
        <v>242.9</v>
      </c>
    </row>
    <row r="856" spans="2:278" ht="18" thickBot="1">
      <c r="B856" s="522" t="s">
        <v>1249</v>
      </c>
      <c r="C856" s="517" t="s">
        <v>1536</v>
      </c>
      <c r="D856" s="522" t="s">
        <v>1413</v>
      </c>
      <c r="E856" s="454">
        <v>22829.8</v>
      </c>
      <c r="F856">
        <v>20193.400000000001</v>
      </c>
      <c r="G856" s="427">
        <v>0</v>
      </c>
      <c r="H856" s="155">
        <v>0</v>
      </c>
      <c r="I856">
        <v>0</v>
      </c>
      <c r="J856">
        <v>0</v>
      </c>
      <c r="K856">
        <v>0</v>
      </c>
      <c r="L856" s="4">
        <v>0</v>
      </c>
      <c r="M856" s="4">
        <v>0</v>
      </c>
      <c r="N856" s="4">
        <v>0</v>
      </c>
      <c r="O856" s="4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1476.4</v>
      </c>
      <c r="X856">
        <v>1482</v>
      </c>
      <c r="Y856">
        <v>457.20000000000005</v>
      </c>
      <c r="Z856">
        <v>0</v>
      </c>
      <c r="AA856">
        <v>0</v>
      </c>
      <c r="AB856">
        <v>0</v>
      </c>
      <c r="AC856">
        <v>0</v>
      </c>
      <c r="AD856">
        <v>3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1828.6</v>
      </c>
      <c r="AK856">
        <v>1800.7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560.70000000000005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  <c r="CF856">
        <v>0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  <c r="CN856">
        <v>0</v>
      </c>
      <c r="CO856">
        <v>0</v>
      </c>
      <c r="CP856">
        <v>3.5</v>
      </c>
      <c r="CQ856">
        <v>0</v>
      </c>
      <c r="CR856">
        <v>528</v>
      </c>
      <c r="CS856">
        <v>581.79999999999995</v>
      </c>
      <c r="CT856">
        <v>555.40000000000009</v>
      </c>
      <c r="CU856">
        <v>737.4</v>
      </c>
      <c r="CV856">
        <v>1039.0999999999999</v>
      </c>
      <c r="CW856">
        <v>1667.3</v>
      </c>
      <c r="CX856">
        <v>877.6</v>
      </c>
      <c r="CY856">
        <v>910.40000000000009</v>
      </c>
      <c r="CZ856">
        <v>0</v>
      </c>
      <c r="DA856">
        <v>0</v>
      </c>
      <c r="DB856">
        <v>0</v>
      </c>
      <c r="DC856">
        <v>0</v>
      </c>
      <c r="DD856">
        <v>0</v>
      </c>
      <c r="DE856">
        <v>0</v>
      </c>
      <c r="DF856">
        <v>0</v>
      </c>
      <c r="DG856">
        <v>0</v>
      </c>
      <c r="DH856">
        <v>0</v>
      </c>
      <c r="DI856">
        <v>0</v>
      </c>
      <c r="DJ856">
        <v>0</v>
      </c>
      <c r="DK856">
        <v>0</v>
      </c>
      <c r="DL856">
        <v>995.5</v>
      </c>
      <c r="DM856">
        <v>712.7</v>
      </c>
      <c r="DN856">
        <v>0</v>
      </c>
      <c r="DO856">
        <v>0</v>
      </c>
      <c r="DP856">
        <v>0</v>
      </c>
      <c r="DQ856">
        <v>0</v>
      </c>
      <c r="DR856">
        <v>0</v>
      </c>
      <c r="DS856">
        <v>0</v>
      </c>
      <c r="DT856">
        <v>0</v>
      </c>
      <c r="DU856">
        <v>0</v>
      </c>
      <c r="DV856">
        <v>0</v>
      </c>
      <c r="DW856">
        <v>0</v>
      </c>
      <c r="DX856">
        <v>0</v>
      </c>
      <c r="DY856">
        <v>0</v>
      </c>
      <c r="DZ856">
        <v>0</v>
      </c>
      <c r="EA856">
        <v>0</v>
      </c>
      <c r="EB856">
        <v>0</v>
      </c>
      <c r="EC856">
        <v>0</v>
      </c>
      <c r="ED856">
        <v>0</v>
      </c>
      <c r="EE856">
        <v>0</v>
      </c>
      <c r="EF856">
        <v>0</v>
      </c>
      <c r="EG856">
        <v>0</v>
      </c>
      <c r="EH856">
        <v>0</v>
      </c>
      <c r="EI856">
        <v>0</v>
      </c>
      <c r="EJ856">
        <v>0</v>
      </c>
      <c r="EK856">
        <v>0</v>
      </c>
      <c r="EL856">
        <v>0</v>
      </c>
      <c r="EM856">
        <v>0</v>
      </c>
      <c r="EN856">
        <v>27.4</v>
      </c>
      <c r="EO856">
        <v>0</v>
      </c>
      <c r="EP856">
        <v>1002.5</v>
      </c>
      <c r="EQ856">
        <v>0</v>
      </c>
      <c r="ER856">
        <v>494</v>
      </c>
      <c r="ES856">
        <v>0</v>
      </c>
      <c r="ET856">
        <v>699.3</v>
      </c>
      <c r="EU856">
        <v>435.4</v>
      </c>
      <c r="EV856">
        <v>0</v>
      </c>
      <c r="EW856">
        <v>0</v>
      </c>
      <c r="EX856">
        <v>0</v>
      </c>
      <c r="EY856">
        <v>0</v>
      </c>
      <c r="EZ856">
        <v>0</v>
      </c>
      <c r="FA856">
        <v>0</v>
      </c>
      <c r="FB856">
        <v>0</v>
      </c>
      <c r="FC856">
        <v>0</v>
      </c>
      <c r="FD856">
        <v>95.6</v>
      </c>
      <c r="FE856">
        <v>1792.1</v>
      </c>
      <c r="FF856">
        <v>1740.1999999999998</v>
      </c>
      <c r="FG856">
        <v>954.9</v>
      </c>
      <c r="FH856">
        <v>1087.8000000000002</v>
      </c>
      <c r="FI856">
        <v>1892.1</v>
      </c>
      <c r="FJ856">
        <v>1222.5</v>
      </c>
      <c r="FK856">
        <v>678.3</v>
      </c>
      <c r="FL856">
        <v>639.1</v>
      </c>
      <c r="FM856">
        <v>520.5</v>
      </c>
      <c r="FN856">
        <v>123.8</v>
      </c>
      <c r="FO856">
        <v>181.6</v>
      </c>
      <c r="FP856">
        <v>1090.5</v>
      </c>
      <c r="FQ856">
        <v>0</v>
      </c>
      <c r="FR856">
        <v>0</v>
      </c>
      <c r="FS856">
        <v>0</v>
      </c>
      <c r="FT856">
        <v>0</v>
      </c>
      <c r="FU856">
        <v>0</v>
      </c>
      <c r="FV856">
        <v>0</v>
      </c>
      <c r="FW856">
        <v>0</v>
      </c>
      <c r="FX856">
        <v>0</v>
      </c>
      <c r="FY856">
        <v>0</v>
      </c>
      <c r="FZ856">
        <v>0</v>
      </c>
      <c r="GA856">
        <v>0</v>
      </c>
      <c r="GB856">
        <v>0</v>
      </c>
      <c r="GC856">
        <v>0</v>
      </c>
      <c r="GD856">
        <v>0</v>
      </c>
      <c r="GE856">
        <v>0</v>
      </c>
      <c r="GF856">
        <v>198.3</v>
      </c>
      <c r="GG856">
        <v>1054.4000000000001</v>
      </c>
      <c r="GH856">
        <v>552.79999999999995</v>
      </c>
      <c r="GI856">
        <v>522</v>
      </c>
      <c r="GJ856">
        <v>0</v>
      </c>
      <c r="GK856">
        <v>0</v>
      </c>
      <c r="GL856">
        <v>0</v>
      </c>
      <c r="GM856">
        <v>0</v>
      </c>
      <c r="GN856">
        <v>791.40000000000009</v>
      </c>
      <c r="GO856">
        <v>1816.5</v>
      </c>
      <c r="GP856">
        <v>0</v>
      </c>
      <c r="GQ856">
        <v>0</v>
      </c>
      <c r="GR856">
        <v>0</v>
      </c>
      <c r="GS856">
        <v>0</v>
      </c>
      <c r="GT856">
        <v>0</v>
      </c>
      <c r="GU856">
        <v>0</v>
      </c>
      <c r="GV856">
        <v>0</v>
      </c>
      <c r="GW856">
        <v>0</v>
      </c>
      <c r="GX856">
        <v>0</v>
      </c>
      <c r="GY856">
        <v>840.3</v>
      </c>
      <c r="GZ856">
        <v>0</v>
      </c>
      <c r="HA856">
        <v>0</v>
      </c>
      <c r="HB856">
        <v>0</v>
      </c>
      <c r="HC856">
        <v>380.4</v>
      </c>
      <c r="HD856">
        <v>2175.5</v>
      </c>
      <c r="HE856">
        <v>0</v>
      </c>
      <c r="HF856">
        <v>0</v>
      </c>
      <c r="HG856">
        <v>0</v>
      </c>
      <c r="HH856">
        <v>0</v>
      </c>
      <c r="HI856">
        <v>0</v>
      </c>
      <c r="HJ856">
        <v>803.40000000000009</v>
      </c>
      <c r="HK856">
        <v>1270.9000000000001</v>
      </c>
      <c r="HL856">
        <v>835.7</v>
      </c>
      <c r="HM856">
        <v>1162.5999999999999</v>
      </c>
      <c r="HN856">
        <v>0</v>
      </c>
      <c r="HO856">
        <v>0</v>
      </c>
      <c r="HP856">
        <v>0</v>
      </c>
      <c r="HQ856">
        <v>0</v>
      </c>
      <c r="HR856">
        <v>161.19999999999999</v>
      </c>
      <c r="HS856">
        <v>0</v>
      </c>
      <c r="HT856">
        <v>2048.5</v>
      </c>
      <c r="HU856">
        <v>2627.5</v>
      </c>
      <c r="HV856">
        <v>1168.5999999999999</v>
      </c>
      <c r="HW856">
        <v>388</v>
      </c>
      <c r="HX856">
        <v>0</v>
      </c>
      <c r="HY856">
        <v>0</v>
      </c>
      <c r="HZ856">
        <v>0</v>
      </c>
      <c r="IA856">
        <v>0</v>
      </c>
      <c r="IB856">
        <v>0</v>
      </c>
      <c r="IC856">
        <v>594.4</v>
      </c>
      <c r="ID856">
        <v>427.4</v>
      </c>
      <c r="IE856">
        <v>713.3</v>
      </c>
      <c r="IF856">
        <v>626.1</v>
      </c>
      <c r="IG856">
        <v>0</v>
      </c>
      <c r="IH856">
        <v>0</v>
      </c>
      <c r="II856">
        <v>995.7</v>
      </c>
      <c r="IJ856">
        <v>1156.5999999999999</v>
      </c>
      <c r="IK856">
        <v>864.6</v>
      </c>
      <c r="IL856">
        <v>316.5</v>
      </c>
      <c r="IM856">
        <v>101.5</v>
      </c>
      <c r="IN856">
        <v>71.8</v>
      </c>
      <c r="IO856">
        <v>0</v>
      </c>
      <c r="IP856">
        <v>0</v>
      </c>
      <c r="IQ856">
        <v>0</v>
      </c>
      <c r="IR856">
        <v>0</v>
      </c>
      <c r="IS856">
        <v>0</v>
      </c>
      <c r="IT856">
        <v>0</v>
      </c>
      <c r="IU856">
        <v>0</v>
      </c>
      <c r="IV856">
        <v>0</v>
      </c>
      <c r="IW856">
        <v>68</v>
      </c>
      <c r="IX856">
        <v>404.7</v>
      </c>
      <c r="IY856">
        <v>126.6</v>
      </c>
      <c r="IZ856">
        <v>126.6</v>
      </c>
      <c r="JA856">
        <v>503.7</v>
      </c>
      <c r="JB856">
        <v>570.1</v>
      </c>
      <c r="JC856">
        <v>328.3</v>
      </c>
      <c r="JD856">
        <v>0</v>
      </c>
      <c r="JE856">
        <v>0</v>
      </c>
      <c r="JF856">
        <v>0</v>
      </c>
      <c r="JG856">
        <v>0</v>
      </c>
      <c r="JH856">
        <v>287.3</v>
      </c>
      <c r="JI856">
        <v>68.2</v>
      </c>
      <c r="JJ856">
        <v>0</v>
      </c>
      <c r="JK856">
        <v>148.6</v>
      </c>
      <c r="JL856">
        <v>0</v>
      </c>
      <c r="JM856">
        <v>0</v>
      </c>
      <c r="JN856">
        <v>204.5</v>
      </c>
      <c r="JO856">
        <v>292.10000000000002</v>
      </c>
      <c r="JP856">
        <v>670.8</v>
      </c>
      <c r="JQ856">
        <v>745.2</v>
      </c>
      <c r="JR856">
        <v>242.9</v>
      </c>
    </row>
    <row r="857" spans="2:278" ht="18" thickBot="1">
      <c r="B857" s="524"/>
      <c r="C857" s="539"/>
      <c r="D857" s="524"/>
      <c r="E857" s="454">
        <v>22829.8</v>
      </c>
      <c r="F857">
        <v>20193.400000000001</v>
      </c>
      <c r="G857" s="427">
        <v>0</v>
      </c>
      <c r="H857" s="155">
        <v>0</v>
      </c>
      <c r="I857">
        <v>0</v>
      </c>
      <c r="J857">
        <v>0</v>
      </c>
      <c r="K857">
        <v>0</v>
      </c>
      <c r="L857" s="4">
        <v>0</v>
      </c>
      <c r="M857" s="4">
        <v>0</v>
      </c>
      <c r="N857" s="4">
        <v>0</v>
      </c>
      <c r="O857" s="4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1476.4</v>
      </c>
      <c r="X857">
        <v>1482</v>
      </c>
      <c r="Y857">
        <v>457.20000000000005</v>
      </c>
      <c r="Z857">
        <v>0</v>
      </c>
      <c r="AA857">
        <v>0</v>
      </c>
      <c r="AB857">
        <v>0</v>
      </c>
      <c r="AC857">
        <v>0</v>
      </c>
      <c r="AD857">
        <v>3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1828.6</v>
      </c>
      <c r="AK857">
        <v>1800.7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560.70000000000005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0</v>
      </c>
      <c r="BQ857">
        <v>0</v>
      </c>
      <c r="BR857">
        <v>0</v>
      </c>
      <c r="BS857">
        <v>0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  <c r="CF857">
        <v>0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  <c r="CN857">
        <v>0</v>
      </c>
      <c r="CO857">
        <v>0</v>
      </c>
      <c r="CP857">
        <v>3.5</v>
      </c>
      <c r="CQ857">
        <v>0</v>
      </c>
      <c r="CR857">
        <v>528</v>
      </c>
      <c r="CS857">
        <v>581.79999999999995</v>
      </c>
      <c r="CT857">
        <v>555.40000000000009</v>
      </c>
      <c r="CU857">
        <v>737.4</v>
      </c>
      <c r="CV857">
        <v>1039.0999999999999</v>
      </c>
      <c r="CW857">
        <v>1667.3</v>
      </c>
      <c r="CX857">
        <v>877.6</v>
      </c>
      <c r="CY857">
        <v>910.40000000000009</v>
      </c>
      <c r="CZ857">
        <v>0</v>
      </c>
      <c r="DA857">
        <v>0</v>
      </c>
      <c r="DB857">
        <v>0</v>
      </c>
      <c r="DC857">
        <v>0</v>
      </c>
      <c r="DD857">
        <v>0</v>
      </c>
      <c r="DE857">
        <v>0</v>
      </c>
      <c r="DF857">
        <v>0</v>
      </c>
      <c r="DG857">
        <v>0</v>
      </c>
      <c r="DH857">
        <v>0</v>
      </c>
      <c r="DI857">
        <v>0</v>
      </c>
      <c r="DJ857">
        <v>0</v>
      </c>
      <c r="DK857">
        <v>0</v>
      </c>
      <c r="DL857">
        <v>995.5</v>
      </c>
      <c r="DM857">
        <v>712.7</v>
      </c>
      <c r="DN857">
        <v>0</v>
      </c>
      <c r="DO857">
        <v>0</v>
      </c>
      <c r="DP857">
        <v>0</v>
      </c>
      <c r="DQ857">
        <v>0</v>
      </c>
      <c r="DR857">
        <v>0</v>
      </c>
      <c r="DS857">
        <v>0</v>
      </c>
      <c r="DT857">
        <v>0</v>
      </c>
      <c r="DU857">
        <v>0</v>
      </c>
      <c r="DV857">
        <v>0</v>
      </c>
      <c r="DW857">
        <v>0</v>
      </c>
      <c r="DX857">
        <v>0</v>
      </c>
      <c r="DY857">
        <v>0</v>
      </c>
      <c r="DZ857">
        <v>0</v>
      </c>
      <c r="EA857">
        <v>0</v>
      </c>
      <c r="EB857">
        <v>0</v>
      </c>
      <c r="EC857">
        <v>0</v>
      </c>
      <c r="ED857">
        <v>0</v>
      </c>
      <c r="EE857">
        <v>0</v>
      </c>
      <c r="EF857">
        <v>0</v>
      </c>
      <c r="EG857">
        <v>0</v>
      </c>
      <c r="EH857">
        <v>0</v>
      </c>
      <c r="EI857">
        <v>0</v>
      </c>
      <c r="EJ857">
        <v>0</v>
      </c>
      <c r="EK857">
        <v>0</v>
      </c>
      <c r="EL857">
        <v>0</v>
      </c>
      <c r="EM857">
        <v>0</v>
      </c>
      <c r="EN857">
        <v>27.4</v>
      </c>
      <c r="EO857">
        <v>0</v>
      </c>
      <c r="EP857">
        <v>1002.5</v>
      </c>
      <c r="EQ857">
        <v>0</v>
      </c>
      <c r="ER857">
        <v>494</v>
      </c>
      <c r="ES857">
        <v>0</v>
      </c>
      <c r="ET857">
        <v>699.3</v>
      </c>
      <c r="EU857">
        <v>435.4</v>
      </c>
      <c r="EV857">
        <v>0</v>
      </c>
      <c r="EW857">
        <v>0</v>
      </c>
      <c r="EX857">
        <v>0</v>
      </c>
      <c r="EY857">
        <v>0</v>
      </c>
      <c r="EZ857">
        <v>0</v>
      </c>
      <c r="FA857">
        <v>0</v>
      </c>
      <c r="FB857">
        <v>0</v>
      </c>
      <c r="FC857">
        <v>0</v>
      </c>
      <c r="FD857">
        <v>95.6</v>
      </c>
      <c r="FE857">
        <v>1792.1</v>
      </c>
      <c r="FF857">
        <v>1740.1999999999998</v>
      </c>
      <c r="FG857">
        <v>954.9</v>
      </c>
      <c r="FH857">
        <v>1087.8000000000002</v>
      </c>
      <c r="FI857">
        <v>1892.1</v>
      </c>
      <c r="FJ857">
        <v>1222.5</v>
      </c>
      <c r="FK857">
        <v>678.3</v>
      </c>
      <c r="FL857">
        <v>639.1</v>
      </c>
      <c r="FM857">
        <v>520.5</v>
      </c>
      <c r="FN857">
        <v>123.8</v>
      </c>
      <c r="FO857">
        <v>181.6</v>
      </c>
      <c r="FP857">
        <v>1090.5</v>
      </c>
      <c r="FQ857">
        <v>0</v>
      </c>
      <c r="FR857">
        <v>0</v>
      </c>
      <c r="FS857">
        <v>0</v>
      </c>
      <c r="FT857">
        <v>0</v>
      </c>
      <c r="FU857">
        <v>0</v>
      </c>
      <c r="FV857">
        <v>0</v>
      </c>
      <c r="FW857">
        <v>0</v>
      </c>
      <c r="FX857">
        <v>0</v>
      </c>
      <c r="FY857">
        <v>0</v>
      </c>
      <c r="FZ857">
        <v>0</v>
      </c>
      <c r="GA857">
        <v>0</v>
      </c>
      <c r="GB857">
        <v>0</v>
      </c>
      <c r="GC857">
        <v>0</v>
      </c>
      <c r="GD857">
        <v>0</v>
      </c>
      <c r="GE857">
        <v>0</v>
      </c>
      <c r="GF857">
        <v>198.3</v>
      </c>
      <c r="GG857">
        <v>1054.4000000000001</v>
      </c>
      <c r="GH857">
        <v>552.79999999999995</v>
      </c>
      <c r="GI857">
        <v>522</v>
      </c>
      <c r="GJ857">
        <v>0</v>
      </c>
      <c r="GK857">
        <v>0</v>
      </c>
      <c r="GL857">
        <v>0</v>
      </c>
      <c r="GM857">
        <v>0</v>
      </c>
      <c r="GN857">
        <v>791.40000000000009</v>
      </c>
      <c r="GO857">
        <v>1816.5</v>
      </c>
      <c r="GP857">
        <v>0</v>
      </c>
      <c r="GQ857">
        <v>0</v>
      </c>
      <c r="GR857">
        <v>0</v>
      </c>
      <c r="GS857">
        <v>0</v>
      </c>
      <c r="GT857">
        <v>0</v>
      </c>
      <c r="GU857">
        <v>0</v>
      </c>
      <c r="GV857">
        <v>0</v>
      </c>
      <c r="GW857">
        <v>0</v>
      </c>
      <c r="GX857">
        <v>0</v>
      </c>
      <c r="GY857">
        <v>840.3</v>
      </c>
      <c r="GZ857">
        <v>0</v>
      </c>
      <c r="HA857">
        <v>0</v>
      </c>
      <c r="HB857">
        <v>0</v>
      </c>
      <c r="HC857">
        <v>380.4</v>
      </c>
      <c r="HD857">
        <v>2175.5</v>
      </c>
      <c r="HE857">
        <v>0</v>
      </c>
      <c r="HF857">
        <v>0</v>
      </c>
      <c r="HG857">
        <v>0</v>
      </c>
      <c r="HH857">
        <v>0</v>
      </c>
      <c r="HI857">
        <v>0</v>
      </c>
      <c r="HJ857">
        <v>803.40000000000009</v>
      </c>
      <c r="HK857">
        <v>1270.9000000000001</v>
      </c>
      <c r="HL857">
        <v>835.7</v>
      </c>
      <c r="HM857">
        <v>1162.5999999999999</v>
      </c>
      <c r="HN857">
        <v>0</v>
      </c>
      <c r="HO857">
        <v>0</v>
      </c>
      <c r="HP857">
        <v>0</v>
      </c>
      <c r="HQ857">
        <v>0</v>
      </c>
      <c r="HR857">
        <v>161.19999999999999</v>
      </c>
      <c r="HS857">
        <v>0</v>
      </c>
      <c r="HT857">
        <v>2048.5</v>
      </c>
      <c r="HU857">
        <v>2627.5</v>
      </c>
      <c r="HV857">
        <v>1168.5999999999999</v>
      </c>
      <c r="HW857">
        <v>388</v>
      </c>
      <c r="HX857">
        <v>0</v>
      </c>
      <c r="HY857">
        <v>0</v>
      </c>
      <c r="HZ857">
        <v>0</v>
      </c>
      <c r="IA857">
        <v>0</v>
      </c>
      <c r="IB857">
        <v>0</v>
      </c>
      <c r="IC857">
        <v>594.4</v>
      </c>
      <c r="ID857">
        <v>427.4</v>
      </c>
      <c r="IE857">
        <v>713.3</v>
      </c>
      <c r="IF857">
        <v>626.1</v>
      </c>
      <c r="IG857">
        <v>0</v>
      </c>
      <c r="IH857">
        <v>0</v>
      </c>
      <c r="II857">
        <v>995.7</v>
      </c>
      <c r="IJ857">
        <v>1156.5999999999999</v>
      </c>
      <c r="IK857">
        <v>864.6</v>
      </c>
      <c r="IL857">
        <v>316.5</v>
      </c>
      <c r="IM857">
        <v>101.5</v>
      </c>
      <c r="IN857">
        <v>71.8</v>
      </c>
      <c r="IO857">
        <v>0</v>
      </c>
      <c r="IP857">
        <v>0</v>
      </c>
      <c r="IQ857">
        <v>0</v>
      </c>
      <c r="IR857">
        <v>0</v>
      </c>
      <c r="IS857">
        <v>0</v>
      </c>
      <c r="IT857">
        <v>0</v>
      </c>
      <c r="IU857">
        <v>0</v>
      </c>
      <c r="IV857">
        <v>0</v>
      </c>
      <c r="IW857">
        <v>68</v>
      </c>
      <c r="IX857">
        <v>404.7</v>
      </c>
      <c r="IY857">
        <v>126.6</v>
      </c>
      <c r="IZ857">
        <v>126.6</v>
      </c>
      <c r="JA857">
        <v>503.7</v>
      </c>
      <c r="JB857">
        <v>570.1</v>
      </c>
      <c r="JC857">
        <v>328.3</v>
      </c>
      <c r="JD857">
        <v>0</v>
      </c>
      <c r="JE857">
        <v>0</v>
      </c>
      <c r="JF857">
        <v>0</v>
      </c>
      <c r="JG857">
        <v>0</v>
      </c>
      <c r="JH857">
        <v>287.3</v>
      </c>
      <c r="JI857">
        <v>68.2</v>
      </c>
      <c r="JJ857">
        <v>0</v>
      </c>
      <c r="JK857">
        <v>148.6</v>
      </c>
      <c r="JL857">
        <v>0</v>
      </c>
      <c r="JM857">
        <v>0</v>
      </c>
      <c r="JN857">
        <v>204.5</v>
      </c>
      <c r="JO857">
        <v>292.10000000000002</v>
      </c>
      <c r="JP857">
        <v>670.8</v>
      </c>
      <c r="JQ857">
        <v>745.2</v>
      </c>
      <c r="JR857">
        <v>242.9</v>
      </c>
    </row>
    <row r="858" spans="2:278" ht="18" thickBot="1">
      <c r="B858" s="523"/>
      <c r="C858" s="518"/>
      <c r="D858" s="523"/>
      <c r="E858" s="454">
        <v>22829.8</v>
      </c>
      <c r="F858">
        <v>20193.400000000001</v>
      </c>
      <c r="G858" s="427">
        <v>0</v>
      </c>
      <c r="H858" s="155">
        <v>0</v>
      </c>
      <c r="I858">
        <v>0</v>
      </c>
      <c r="J858">
        <v>0</v>
      </c>
      <c r="K858">
        <v>0</v>
      </c>
      <c r="L858" s="4">
        <v>0</v>
      </c>
      <c r="M858" s="4">
        <v>0</v>
      </c>
      <c r="N858" s="4">
        <v>0</v>
      </c>
      <c r="O858" s="4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1476.4</v>
      </c>
      <c r="X858">
        <v>1482</v>
      </c>
      <c r="Y858">
        <v>457.20000000000005</v>
      </c>
      <c r="Z858">
        <v>0</v>
      </c>
      <c r="AA858">
        <v>0</v>
      </c>
      <c r="AB858">
        <v>0</v>
      </c>
      <c r="AC858">
        <v>0</v>
      </c>
      <c r="AD858">
        <v>3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1828.6</v>
      </c>
      <c r="AK858">
        <v>1800.7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560.70000000000005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  <c r="CF858">
        <v>0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  <c r="CN858">
        <v>0</v>
      </c>
      <c r="CO858">
        <v>0</v>
      </c>
      <c r="CP858">
        <v>3.5</v>
      </c>
      <c r="CQ858">
        <v>0</v>
      </c>
      <c r="CR858">
        <v>528</v>
      </c>
      <c r="CS858">
        <v>581.79999999999995</v>
      </c>
      <c r="CT858">
        <v>555.40000000000009</v>
      </c>
      <c r="CU858">
        <v>737.4</v>
      </c>
      <c r="CV858">
        <v>1039.0999999999999</v>
      </c>
      <c r="CW858">
        <v>1667.3</v>
      </c>
      <c r="CX858">
        <v>877.6</v>
      </c>
      <c r="CY858">
        <v>910.40000000000009</v>
      </c>
      <c r="CZ858">
        <v>0</v>
      </c>
      <c r="DA858">
        <v>0</v>
      </c>
      <c r="DB858">
        <v>0</v>
      </c>
      <c r="DC858">
        <v>0</v>
      </c>
      <c r="DD858">
        <v>0</v>
      </c>
      <c r="DE858">
        <v>0</v>
      </c>
      <c r="DF858">
        <v>0</v>
      </c>
      <c r="DG858">
        <v>0</v>
      </c>
      <c r="DH858">
        <v>0</v>
      </c>
      <c r="DI858">
        <v>0</v>
      </c>
      <c r="DJ858">
        <v>0</v>
      </c>
      <c r="DK858">
        <v>0</v>
      </c>
      <c r="DL858">
        <v>995.5</v>
      </c>
      <c r="DM858">
        <v>712.7</v>
      </c>
      <c r="DN858">
        <v>0</v>
      </c>
      <c r="DO858">
        <v>0</v>
      </c>
      <c r="DP858">
        <v>0</v>
      </c>
      <c r="DQ858">
        <v>0</v>
      </c>
      <c r="DR858">
        <v>0</v>
      </c>
      <c r="DS858">
        <v>0</v>
      </c>
      <c r="DT858">
        <v>0</v>
      </c>
      <c r="DU858">
        <v>0</v>
      </c>
      <c r="DV858">
        <v>0</v>
      </c>
      <c r="DW858">
        <v>0</v>
      </c>
      <c r="DX858">
        <v>0</v>
      </c>
      <c r="DY858">
        <v>0</v>
      </c>
      <c r="DZ858">
        <v>0</v>
      </c>
      <c r="EA858">
        <v>0</v>
      </c>
      <c r="EB858">
        <v>0</v>
      </c>
      <c r="EC858">
        <v>0</v>
      </c>
      <c r="ED858">
        <v>0</v>
      </c>
      <c r="EE858">
        <v>0</v>
      </c>
      <c r="EF858">
        <v>0</v>
      </c>
      <c r="EG858">
        <v>0</v>
      </c>
      <c r="EH858">
        <v>0</v>
      </c>
      <c r="EI858">
        <v>0</v>
      </c>
      <c r="EJ858">
        <v>0</v>
      </c>
      <c r="EK858">
        <v>0</v>
      </c>
      <c r="EL858">
        <v>0</v>
      </c>
      <c r="EM858">
        <v>0</v>
      </c>
      <c r="EN858">
        <v>27.4</v>
      </c>
      <c r="EO858">
        <v>0</v>
      </c>
      <c r="EP858">
        <v>1002.5</v>
      </c>
      <c r="EQ858">
        <v>0</v>
      </c>
      <c r="ER858">
        <v>494</v>
      </c>
      <c r="ES858">
        <v>0</v>
      </c>
      <c r="ET858">
        <v>699.3</v>
      </c>
      <c r="EU858">
        <v>435.4</v>
      </c>
      <c r="EV858">
        <v>0</v>
      </c>
      <c r="EW858">
        <v>0</v>
      </c>
      <c r="EX858">
        <v>0</v>
      </c>
      <c r="EY858">
        <v>0</v>
      </c>
      <c r="EZ858">
        <v>0</v>
      </c>
      <c r="FA858">
        <v>0</v>
      </c>
      <c r="FB858">
        <v>0</v>
      </c>
      <c r="FC858">
        <v>0</v>
      </c>
      <c r="FD858">
        <v>95.6</v>
      </c>
      <c r="FE858">
        <v>1792.1</v>
      </c>
      <c r="FF858">
        <v>1740.1999999999998</v>
      </c>
      <c r="FG858">
        <v>954.9</v>
      </c>
      <c r="FH858">
        <v>1087.8000000000002</v>
      </c>
      <c r="FI858">
        <v>1892.1</v>
      </c>
      <c r="FJ858">
        <v>1222.5</v>
      </c>
      <c r="FK858">
        <v>678.3</v>
      </c>
      <c r="FL858">
        <v>639.1</v>
      </c>
      <c r="FM858">
        <v>520.5</v>
      </c>
      <c r="FN858">
        <v>123.8</v>
      </c>
      <c r="FO858">
        <v>181.6</v>
      </c>
      <c r="FP858">
        <v>1090.5</v>
      </c>
      <c r="FQ858">
        <v>0</v>
      </c>
      <c r="FR858">
        <v>0</v>
      </c>
      <c r="FS858">
        <v>0</v>
      </c>
      <c r="FT858">
        <v>0</v>
      </c>
      <c r="FU858">
        <v>0</v>
      </c>
      <c r="FV858">
        <v>0</v>
      </c>
      <c r="FW858">
        <v>0</v>
      </c>
      <c r="FX858">
        <v>0</v>
      </c>
      <c r="FY858">
        <v>0</v>
      </c>
      <c r="FZ858">
        <v>0</v>
      </c>
      <c r="GA858">
        <v>0</v>
      </c>
      <c r="GB858">
        <v>0</v>
      </c>
      <c r="GC858">
        <v>0</v>
      </c>
      <c r="GD858">
        <v>0</v>
      </c>
      <c r="GE858">
        <v>0</v>
      </c>
      <c r="GF858">
        <v>198.3</v>
      </c>
      <c r="GG858">
        <v>1054.4000000000001</v>
      </c>
      <c r="GH858">
        <v>552.79999999999995</v>
      </c>
      <c r="GI858">
        <v>522</v>
      </c>
      <c r="GJ858">
        <v>0</v>
      </c>
      <c r="GK858">
        <v>0</v>
      </c>
      <c r="GL858">
        <v>0</v>
      </c>
      <c r="GM858">
        <v>0</v>
      </c>
      <c r="GN858">
        <v>791.40000000000009</v>
      </c>
      <c r="GO858">
        <v>1816.5</v>
      </c>
      <c r="GP858">
        <v>0</v>
      </c>
      <c r="GQ858">
        <v>0</v>
      </c>
      <c r="GR858">
        <v>0</v>
      </c>
      <c r="GS858">
        <v>0</v>
      </c>
      <c r="GT858">
        <v>0</v>
      </c>
      <c r="GU858">
        <v>0</v>
      </c>
      <c r="GV858">
        <v>0</v>
      </c>
      <c r="GW858">
        <v>0</v>
      </c>
      <c r="GX858">
        <v>0</v>
      </c>
      <c r="GY858">
        <v>840.3</v>
      </c>
      <c r="GZ858">
        <v>0</v>
      </c>
      <c r="HA858">
        <v>0</v>
      </c>
      <c r="HB858">
        <v>0</v>
      </c>
      <c r="HC858">
        <v>380.4</v>
      </c>
      <c r="HD858">
        <v>2175.5</v>
      </c>
      <c r="HE858">
        <v>0</v>
      </c>
      <c r="HF858">
        <v>0</v>
      </c>
      <c r="HG858">
        <v>0</v>
      </c>
      <c r="HH858">
        <v>0</v>
      </c>
      <c r="HI858">
        <v>0</v>
      </c>
      <c r="HJ858">
        <v>803.40000000000009</v>
      </c>
      <c r="HK858">
        <v>1270.9000000000001</v>
      </c>
      <c r="HL858">
        <v>835.7</v>
      </c>
      <c r="HM858">
        <v>1162.5999999999999</v>
      </c>
      <c r="HN858">
        <v>0</v>
      </c>
      <c r="HO858">
        <v>0</v>
      </c>
      <c r="HP858">
        <v>0</v>
      </c>
      <c r="HQ858">
        <v>0</v>
      </c>
      <c r="HR858">
        <v>161.19999999999999</v>
      </c>
      <c r="HS858">
        <v>0</v>
      </c>
      <c r="HT858">
        <v>2048.5</v>
      </c>
      <c r="HU858">
        <v>2627.5</v>
      </c>
      <c r="HV858">
        <v>1168.5999999999999</v>
      </c>
      <c r="HW858">
        <v>388</v>
      </c>
      <c r="HX858">
        <v>0</v>
      </c>
      <c r="HY858">
        <v>0</v>
      </c>
      <c r="HZ858">
        <v>0</v>
      </c>
      <c r="IA858">
        <v>0</v>
      </c>
      <c r="IB858">
        <v>0</v>
      </c>
      <c r="IC858">
        <v>594.4</v>
      </c>
      <c r="ID858">
        <v>427.4</v>
      </c>
      <c r="IE858">
        <v>713.3</v>
      </c>
      <c r="IF858">
        <v>626.1</v>
      </c>
      <c r="IG858">
        <v>0</v>
      </c>
      <c r="IH858">
        <v>0</v>
      </c>
      <c r="II858">
        <v>995.7</v>
      </c>
      <c r="IJ858">
        <v>1156.5999999999999</v>
      </c>
      <c r="IK858">
        <v>864.6</v>
      </c>
      <c r="IL858">
        <v>316.5</v>
      </c>
      <c r="IM858">
        <v>101.5</v>
      </c>
      <c r="IN858">
        <v>71.8</v>
      </c>
      <c r="IO858">
        <v>0</v>
      </c>
      <c r="IP858">
        <v>0</v>
      </c>
      <c r="IQ858">
        <v>0</v>
      </c>
      <c r="IR858">
        <v>0</v>
      </c>
      <c r="IS858">
        <v>0</v>
      </c>
      <c r="IT858">
        <v>0</v>
      </c>
      <c r="IU858">
        <v>0</v>
      </c>
      <c r="IV858">
        <v>0</v>
      </c>
      <c r="IW858">
        <v>68</v>
      </c>
      <c r="IX858">
        <v>404.7</v>
      </c>
      <c r="IY858">
        <v>126.6</v>
      </c>
      <c r="IZ858">
        <v>126.6</v>
      </c>
      <c r="JA858">
        <v>503.7</v>
      </c>
      <c r="JB858">
        <v>570.1</v>
      </c>
      <c r="JC858">
        <v>328.3</v>
      </c>
      <c r="JD858">
        <v>0</v>
      </c>
      <c r="JE858">
        <v>0</v>
      </c>
      <c r="JF858">
        <v>0</v>
      </c>
      <c r="JG858">
        <v>0</v>
      </c>
      <c r="JH858">
        <v>287.3</v>
      </c>
      <c r="JI858">
        <v>68.2</v>
      </c>
      <c r="JJ858">
        <v>0</v>
      </c>
      <c r="JK858">
        <v>148.6</v>
      </c>
      <c r="JL858">
        <v>0</v>
      </c>
      <c r="JM858">
        <v>0</v>
      </c>
      <c r="JN858">
        <v>204.5</v>
      </c>
      <c r="JO858">
        <v>292.10000000000002</v>
      </c>
      <c r="JP858">
        <v>670.8</v>
      </c>
      <c r="JQ858">
        <v>745.2</v>
      </c>
      <c r="JR858">
        <v>242.9</v>
      </c>
    </row>
    <row r="859" spans="2:278" ht="18" thickBot="1">
      <c r="B859" s="522" t="s">
        <v>1250</v>
      </c>
      <c r="C859" s="517" t="s">
        <v>1537</v>
      </c>
      <c r="D859" s="522" t="s">
        <v>1414</v>
      </c>
      <c r="E859" s="454">
        <v>22829.8</v>
      </c>
      <c r="F859">
        <v>20193.400000000001</v>
      </c>
      <c r="G859" s="427">
        <v>0</v>
      </c>
      <c r="H859" s="155">
        <v>0</v>
      </c>
      <c r="I859">
        <v>0</v>
      </c>
      <c r="J859">
        <v>0</v>
      </c>
      <c r="K859">
        <v>0</v>
      </c>
      <c r="L859" s="4">
        <v>0</v>
      </c>
      <c r="M859" s="4">
        <v>0</v>
      </c>
      <c r="N859" s="4">
        <v>0</v>
      </c>
      <c r="O859" s="4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1476.4</v>
      </c>
      <c r="X859">
        <v>1482</v>
      </c>
      <c r="Y859">
        <v>457.20000000000005</v>
      </c>
      <c r="Z859">
        <v>0</v>
      </c>
      <c r="AA859">
        <v>0</v>
      </c>
      <c r="AB859">
        <v>0</v>
      </c>
      <c r="AC859">
        <v>0</v>
      </c>
      <c r="AD859">
        <v>3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1828.6</v>
      </c>
      <c r="AK859">
        <v>1800.7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560.70000000000005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  <c r="CF859">
        <v>0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  <c r="CN859">
        <v>0</v>
      </c>
      <c r="CO859">
        <v>0</v>
      </c>
      <c r="CP859">
        <v>3.5</v>
      </c>
      <c r="CQ859">
        <v>0</v>
      </c>
      <c r="CR859">
        <v>528</v>
      </c>
      <c r="CS859">
        <v>581.79999999999995</v>
      </c>
      <c r="CT859">
        <v>555.40000000000009</v>
      </c>
      <c r="CU859">
        <v>737.4</v>
      </c>
      <c r="CV859">
        <v>1039.0999999999999</v>
      </c>
      <c r="CW859">
        <v>1667.3</v>
      </c>
      <c r="CX859">
        <v>877.6</v>
      </c>
      <c r="CY859">
        <v>910.40000000000009</v>
      </c>
      <c r="CZ859">
        <v>0</v>
      </c>
      <c r="DA859">
        <v>0</v>
      </c>
      <c r="DB859">
        <v>0</v>
      </c>
      <c r="DC859">
        <v>0</v>
      </c>
      <c r="DD859">
        <v>0</v>
      </c>
      <c r="DE859">
        <v>0</v>
      </c>
      <c r="DF859">
        <v>0</v>
      </c>
      <c r="DG859">
        <v>0</v>
      </c>
      <c r="DH859">
        <v>0</v>
      </c>
      <c r="DI859">
        <v>0</v>
      </c>
      <c r="DJ859">
        <v>0</v>
      </c>
      <c r="DK859">
        <v>0</v>
      </c>
      <c r="DL859">
        <v>995.5</v>
      </c>
      <c r="DM859">
        <v>712.7</v>
      </c>
      <c r="DN859">
        <v>0</v>
      </c>
      <c r="DO859">
        <v>0</v>
      </c>
      <c r="DP859">
        <v>0</v>
      </c>
      <c r="DQ859">
        <v>0</v>
      </c>
      <c r="DR859">
        <v>0</v>
      </c>
      <c r="DS859">
        <v>0</v>
      </c>
      <c r="DT859">
        <v>0</v>
      </c>
      <c r="DU859">
        <v>0</v>
      </c>
      <c r="DV859">
        <v>0</v>
      </c>
      <c r="DW859">
        <v>0</v>
      </c>
      <c r="DX859">
        <v>0</v>
      </c>
      <c r="DY859">
        <v>0</v>
      </c>
      <c r="DZ859">
        <v>0</v>
      </c>
      <c r="EA859">
        <v>0</v>
      </c>
      <c r="EB859">
        <v>0</v>
      </c>
      <c r="EC859">
        <v>0</v>
      </c>
      <c r="ED859">
        <v>0</v>
      </c>
      <c r="EE859">
        <v>0</v>
      </c>
      <c r="EF859">
        <v>0</v>
      </c>
      <c r="EG859">
        <v>0</v>
      </c>
      <c r="EH859">
        <v>0</v>
      </c>
      <c r="EI859">
        <v>0</v>
      </c>
      <c r="EJ859">
        <v>0</v>
      </c>
      <c r="EK859">
        <v>0</v>
      </c>
      <c r="EL859">
        <v>0</v>
      </c>
      <c r="EM859">
        <v>0</v>
      </c>
      <c r="EN859">
        <v>27.4</v>
      </c>
      <c r="EO859">
        <v>0</v>
      </c>
      <c r="EP859">
        <v>1002.5</v>
      </c>
      <c r="EQ859">
        <v>0</v>
      </c>
      <c r="ER859">
        <v>494</v>
      </c>
      <c r="ES859">
        <v>0</v>
      </c>
      <c r="ET859">
        <v>699.3</v>
      </c>
      <c r="EU859">
        <v>435.4</v>
      </c>
      <c r="EV859">
        <v>0</v>
      </c>
      <c r="EW859">
        <v>0</v>
      </c>
      <c r="EX859">
        <v>0</v>
      </c>
      <c r="EY859">
        <v>0</v>
      </c>
      <c r="EZ859">
        <v>0</v>
      </c>
      <c r="FA859">
        <v>0</v>
      </c>
      <c r="FB859">
        <v>0</v>
      </c>
      <c r="FC859">
        <v>0</v>
      </c>
      <c r="FD859">
        <v>95.6</v>
      </c>
      <c r="FE859">
        <v>1792.1</v>
      </c>
      <c r="FF859">
        <v>1740.1999999999998</v>
      </c>
      <c r="FG859">
        <v>954.9</v>
      </c>
      <c r="FH859">
        <v>1087.8000000000002</v>
      </c>
      <c r="FI859">
        <v>1892.1</v>
      </c>
      <c r="FJ859">
        <v>1222.5</v>
      </c>
      <c r="FK859">
        <v>678.3</v>
      </c>
      <c r="FL859">
        <v>639.1</v>
      </c>
      <c r="FM859">
        <v>520.5</v>
      </c>
      <c r="FN859">
        <v>123.8</v>
      </c>
      <c r="FO859">
        <v>181.6</v>
      </c>
      <c r="FP859">
        <v>1090.5</v>
      </c>
      <c r="FQ859">
        <v>0</v>
      </c>
      <c r="FR859">
        <v>0</v>
      </c>
      <c r="FS859">
        <v>0</v>
      </c>
      <c r="FT859">
        <v>0</v>
      </c>
      <c r="FU859">
        <v>0</v>
      </c>
      <c r="FV859">
        <v>0</v>
      </c>
      <c r="FW859">
        <v>0</v>
      </c>
      <c r="FX859">
        <v>0</v>
      </c>
      <c r="FY859">
        <v>0</v>
      </c>
      <c r="FZ859">
        <v>0</v>
      </c>
      <c r="GA859">
        <v>0</v>
      </c>
      <c r="GB859">
        <v>0</v>
      </c>
      <c r="GC859">
        <v>0</v>
      </c>
      <c r="GD859">
        <v>0</v>
      </c>
      <c r="GE859">
        <v>0</v>
      </c>
      <c r="GF859">
        <v>198.3</v>
      </c>
      <c r="GG859">
        <v>1054.4000000000001</v>
      </c>
      <c r="GH859">
        <v>552.79999999999995</v>
      </c>
      <c r="GI859">
        <v>522</v>
      </c>
      <c r="GJ859">
        <v>0</v>
      </c>
      <c r="GK859">
        <v>0</v>
      </c>
      <c r="GL859">
        <v>0</v>
      </c>
      <c r="GM859">
        <v>0</v>
      </c>
      <c r="GN859">
        <v>791.40000000000009</v>
      </c>
      <c r="GO859">
        <v>1816.5</v>
      </c>
      <c r="GP859">
        <v>0</v>
      </c>
      <c r="GQ859">
        <v>0</v>
      </c>
      <c r="GR859">
        <v>0</v>
      </c>
      <c r="GS859">
        <v>0</v>
      </c>
      <c r="GT859">
        <v>0</v>
      </c>
      <c r="GU859">
        <v>0</v>
      </c>
      <c r="GV859">
        <v>0</v>
      </c>
      <c r="GW859">
        <v>0</v>
      </c>
      <c r="GX859">
        <v>0</v>
      </c>
      <c r="GY859">
        <v>840.3</v>
      </c>
      <c r="GZ859">
        <v>0</v>
      </c>
      <c r="HA859">
        <v>0</v>
      </c>
      <c r="HB859">
        <v>0</v>
      </c>
      <c r="HC859">
        <v>380.4</v>
      </c>
      <c r="HD859">
        <v>2175.5</v>
      </c>
      <c r="HE859">
        <v>0</v>
      </c>
      <c r="HF859">
        <v>0</v>
      </c>
      <c r="HG859">
        <v>0</v>
      </c>
      <c r="HH859">
        <v>0</v>
      </c>
      <c r="HI859">
        <v>0</v>
      </c>
      <c r="HJ859">
        <v>803.40000000000009</v>
      </c>
      <c r="HK859">
        <v>1270.9000000000001</v>
      </c>
      <c r="HL859">
        <v>835.7</v>
      </c>
      <c r="HM859">
        <v>1162.5999999999999</v>
      </c>
      <c r="HN859">
        <v>0</v>
      </c>
      <c r="HO859">
        <v>0</v>
      </c>
      <c r="HP859">
        <v>0</v>
      </c>
      <c r="HQ859">
        <v>0</v>
      </c>
      <c r="HR859">
        <v>161.19999999999999</v>
      </c>
      <c r="HS859">
        <v>0</v>
      </c>
      <c r="HT859">
        <v>2048.5</v>
      </c>
      <c r="HU859">
        <v>2627.5</v>
      </c>
      <c r="HV859">
        <v>1168.5999999999999</v>
      </c>
      <c r="HW859">
        <v>388</v>
      </c>
      <c r="HX859">
        <v>0</v>
      </c>
      <c r="HY859">
        <v>0</v>
      </c>
      <c r="HZ859">
        <v>0</v>
      </c>
      <c r="IA859">
        <v>0</v>
      </c>
      <c r="IB859">
        <v>0</v>
      </c>
      <c r="IC859">
        <v>594.4</v>
      </c>
      <c r="ID859">
        <v>427.4</v>
      </c>
      <c r="IE859">
        <v>713.3</v>
      </c>
      <c r="IF859">
        <v>626.1</v>
      </c>
      <c r="IG859">
        <v>0</v>
      </c>
      <c r="IH859">
        <v>0</v>
      </c>
      <c r="II859">
        <v>995.7</v>
      </c>
      <c r="IJ859">
        <v>1156.5999999999999</v>
      </c>
      <c r="IK859">
        <v>864.6</v>
      </c>
      <c r="IL859">
        <v>316.5</v>
      </c>
      <c r="IM859">
        <v>101.5</v>
      </c>
      <c r="IN859">
        <v>71.8</v>
      </c>
      <c r="IO859">
        <v>0</v>
      </c>
      <c r="IP859">
        <v>0</v>
      </c>
      <c r="IQ859">
        <v>0</v>
      </c>
      <c r="IR859">
        <v>0</v>
      </c>
      <c r="IS859">
        <v>0</v>
      </c>
      <c r="IT859">
        <v>0</v>
      </c>
      <c r="IU859">
        <v>0</v>
      </c>
      <c r="IV859">
        <v>0</v>
      </c>
      <c r="IW859">
        <v>68</v>
      </c>
      <c r="IX859">
        <v>404.7</v>
      </c>
      <c r="IY859">
        <v>126.6</v>
      </c>
      <c r="IZ859">
        <v>126.6</v>
      </c>
      <c r="JA859">
        <v>503.7</v>
      </c>
      <c r="JB859">
        <v>570.1</v>
      </c>
      <c r="JC859">
        <v>328.3</v>
      </c>
      <c r="JD859">
        <v>0</v>
      </c>
      <c r="JE859">
        <v>0</v>
      </c>
      <c r="JF859">
        <v>0</v>
      </c>
      <c r="JG859">
        <v>0</v>
      </c>
      <c r="JH859">
        <v>287.3</v>
      </c>
      <c r="JI859">
        <v>68.2</v>
      </c>
      <c r="JJ859">
        <v>0</v>
      </c>
      <c r="JK859">
        <v>148.6</v>
      </c>
      <c r="JL859">
        <v>0</v>
      </c>
      <c r="JM859">
        <v>0</v>
      </c>
      <c r="JN859">
        <v>204.5</v>
      </c>
      <c r="JO859">
        <v>292.10000000000002</v>
      </c>
      <c r="JP859">
        <v>670.8</v>
      </c>
      <c r="JQ859">
        <v>745.2</v>
      </c>
      <c r="JR859">
        <v>242.9</v>
      </c>
    </row>
    <row r="860" spans="2:278" ht="18" thickBot="1">
      <c r="B860" s="523"/>
      <c r="C860" s="518"/>
      <c r="D860" s="523"/>
      <c r="E860" s="454">
        <v>22829.8</v>
      </c>
      <c r="F860">
        <v>20193.400000000001</v>
      </c>
      <c r="G860" s="427">
        <v>0</v>
      </c>
      <c r="H860" s="155">
        <v>0</v>
      </c>
      <c r="I860">
        <v>0</v>
      </c>
      <c r="J860">
        <v>0</v>
      </c>
      <c r="K860">
        <v>0</v>
      </c>
      <c r="L860" s="4">
        <v>0</v>
      </c>
      <c r="M860" s="4">
        <v>0</v>
      </c>
      <c r="N860" s="4">
        <v>0</v>
      </c>
      <c r="O860" s="4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1476.4</v>
      </c>
      <c r="X860">
        <v>1482</v>
      </c>
      <c r="Y860">
        <v>457.20000000000005</v>
      </c>
      <c r="Z860">
        <v>0</v>
      </c>
      <c r="AA860">
        <v>0</v>
      </c>
      <c r="AB860">
        <v>0</v>
      </c>
      <c r="AC860">
        <v>0</v>
      </c>
      <c r="AD860">
        <v>3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1828.6</v>
      </c>
      <c r="AK860">
        <v>1800.7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560.70000000000005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  <c r="CF860">
        <v>0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  <c r="CN860">
        <v>0</v>
      </c>
      <c r="CO860">
        <v>0</v>
      </c>
      <c r="CP860">
        <v>3.5</v>
      </c>
      <c r="CQ860">
        <v>0</v>
      </c>
      <c r="CR860">
        <v>528</v>
      </c>
      <c r="CS860">
        <v>581.79999999999995</v>
      </c>
      <c r="CT860">
        <v>555.40000000000009</v>
      </c>
      <c r="CU860">
        <v>737.4</v>
      </c>
      <c r="CV860">
        <v>1039.0999999999999</v>
      </c>
      <c r="CW860">
        <v>1667.3</v>
      </c>
      <c r="CX860">
        <v>877.6</v>
      </c>
      <c r="CY860">
        <v>910.40000000000009</v>
      </c>
      <c r="CZ860">
        <v>0</v>
      </c>
      <c r="DA860">
        <v>0</v>
      </c>
      <c r="DB860">
        <v>0</v>
      </c>
      <c r="DC860">
        <v>0</v>
      </c>
      <c r="DD860">
        <v>0</v>
      </c>
      <c r="DE860">
        <v>0</v>
      </c>
      <c r="DF860">
        <v>0</v>
      </c>
      <c r="DG860">
        <v>0</v>
      </c>
      <c r="DH860">
        <v>0</v>
      </c>
      <c r="DI860">
        <v>0</v>
      </c>
      <c r="DJ860">
        <v>0</v>
      </c>
      <c r="DK860">
        <v>0</v>
      </c>
      <c r="DL860">
        <v>995.5</v>
      </c>
      <c r="DM860">
        <v>712.7</v>
      </c>
      <c r="DN860">
        <v>0</v>
      </c>
      <c r="DO860">
        <v>0</v>
      </c>
      <c r="DP860">
        <v>0</v>
      </c>
      <c r="DQ860">
        <v>0</v>
      </c>
      <c r="DR860">
        <v>0</v>
      </c>
      <c r="DS860">
        <v>0</v>
      </c>
      <c r="DT860">
        <v>0</v>
      </c>
      <c r="DU860">
        <v>0</v>
      </c>
      <c r="DV860">
        <v>0</v>
      </c>
      <c r="DW860">
        <v>0</v>
      </c>
      <c r="DX860">
        <v>0</v>
      </c>
      <c r="DY860">
        <v>0</v>
      </c>
      <c r="DZ860">
        <v>0</v>
      </c>
      <c r="EA860">
        <v>0</v>
      </c>
      <c r="EB860">
        <v>0</v>
      </c>
      <c r="EC860">
        <v>0</v>
      </c>
      <c r="ED860">
        <v>0</v>
      </c>
      <c r="EE860">
        <v>0</v>
      </c>
      <c r="EF860">
        <v>0</v>
      </c>
      <c r="EG860">
        <v>0</v>
      </c>
      <c r="EH860">
        <v>0</v>
      </c>
      <c r="EI860">
        <v>0</v>
      </c>
      <c r="EJ860">
        <v>0</v>
      </c>
      <c r="EK860">
        <v>0</v>
      </c>
      <c r="EL860">
        <v>0</v>
      </c>
      <c r="EM860">
        <v>0</v>
      </c>
      <c r="EN860">
        <v>27.4</v>
      </c>
      <c r="EO860">
        <v>0</v>
      </c>
      <c r="EP860">
        <v>1002.5</v>
      </c>
      <c r="EQ860">
        <v>0</v>
      </c>
      <c r="ER860">
        <v>494</v>
      </c>
      <c r="ES860">
        <v>0</v>
      </c>
      <c r="ET860">
        <v>699.3</v>
      </c>
      <c r="EU860">
        <v>435.4</v>
      </c>
      <c r="EV860">
        <v>0</v>
      </c>
      <c r="EW860">
        <v>0</v>
      </c>
      <c r="EX860">
        <v>0</v>
      </c>
      <c r="EY860">
        <v>0</v>
      </c>
      <c r="EZ860">
        <v>0</v>
      </c>
      <c r="FA860">
        <v>0</v>
      </c>
      <c r="FB860">
        <v>0</v>
      </c>
      <c r="FC860">
        <v>0</v>
      </c>
      <c r="FD860">
        <v>95.6</v>
      </c>
      <c r="FE860">
        <v>1792.1</v>
      </c>
      <c r="FF860">
        <v>1740.1999999999998</v>
      </c>
      <c r="FG860">
        <v>954.9</v>
      </c>
      <c r="FH860">
        <v>1087.8000000000002</v>
      </c>
      <c r="FI860">
        <v>1892.1</v>
      </c>
      <c r="FJ860">
        <v>1222.5</v>
      </c>
      <c r="FK860">
        <v>678.3</v>
      </c>
      <c r="FL860">
        <v>639.1</v>
      </c>
      <c r="FM860">
        <v>520.5</v>
      </c>
      <c r="FN860">
        <v>123.8</v>
      </c>
      <c r="FO860">
        <v>181.6</v>
      </c>
      <c r="FP860">
        <v>1090.5</v>
      </c>
      <c r="FQ860">
        <v>0</v>
      </c>
      <c r="FR860">
        <v>0</v>
      </c>
      <c r="FS860">
        <v>0</v>
      </c>
      <c r="FT860">
        <v>0</v>
      </c>
      <c r="FU860">
        <v>0</v>
      </c>
      <c r="FV860">
        <v>0</v>
      </c>
      <c r="FW860">
        <v>0</v>
      </c>
      <c r="FX860">
        <v>0</v>
      </c>
      <c r="FY860">
        <v>0</v>
      </c>
      <c r="FZ860">
        <v>0</v>
      </c>
      <c r="GA860">
        <v>0</v>
      </c>
      <c r="GB860">
        <v>0</v>
      </c>
      <c r="GC860">
        <v>0</v>
      </c>
      <c r="GD860">
        <v>0</v>
      </c>
      <c r="GE860">
        <v>0</v>
      </c>
      <c r="GF860">
        <v>198.3</v>
      </c>
      <c r="GG860">
        <v>1054.4000000000001</v>
      </c>
      <c r="GH860">
        <v>552.79999999999995</v>
      </c>
      <c r="GI860">
        <v>522</v>
      </c>
      <c r="GJ860">
        <v>0</v>
      </c>
      <c r="GK860">
        <v>0</v>
      </c>
      <c r="GL860">
        <v>0</v>
      </c>
      <c r="GM860">
        <v>0</v>
      </c>
      <c r="GN860">
        <v>791.40000000000009</v>
      </c>
      <c r="GO860">
        <v>1816.5</v>
      </c>
      <c r="GP860">
        <v>0</v>
      </c>
      <c r="GQ860">
        <v>0</v>
      </c>
      <c r="GR860">
        <v>0</v>
      </c>
      <c r="GS860">
        <v>0</v>
      </c>
      <c r="GT860">
        <v>0</v>
      </c>
      <c r="GU860">
        <v>0</v>
      </c>
      <c r="GV860">
        <v>0</v>
      </c>
      <c r="GW860">
        <v>0</v>
      </c>
      <c r="GX860">
        <v>0</v>
      </c>
      <c r="GY860">
        <v>840.3</v>
      </c>
      <c r="GZ860">
        <v>0</v>
      </c>
      <c r="HA860">
        <v>0</v>
      </c>
      <c r="HB860">
        <v>0</v>
      </c>
      <c r="HC860">
        <v>380.4</v>
      </c>
      <c r="HD860">
        <v>2175.5</v>
      </c>
      <c r="HE860">
        <v>0</v>
      </c>
      <c r="HF860">
        <v>0</v>
      </c>
      <c r="HG860">
        <v>0</v>
      </c>
      <c r="HH860">
        <v>0</v>
      </c>
      <c r="HI860">
        <v>0</v>
      </c>
      <c r="HJ860">
        <v>803.40000000000009</v>
      </c>
      <c r="HK860">
        <v>1270.9000000000001</v>
      </c>
      <c r="HL860">
        <v>835.7</v>
      </c>
      <c r="HM860">
        <v>1162.5999999999999</v>
      </c>
      <c r="HN860">
        <v>0</v>
      </c>
      <c r="HO860">
        <v>0</v>
      </c>
      <c r="HP860">
        <v>0</v>
      </c>
      <c r="HQ860">
        <v>0</v>
      </c>
      <c r="HR860">
        <v>161.19999999999999</v>
      </c>
      <c r="HS860">
        <v>0</v>
      </c>
      <c r="HT860">
        <v>2048.5</v>
      </c>
      <c r="HU860">
        <v>2627.5</v>
      </c>
      <c r="HV860">
        <v>1168.5999999999999</v>
      </c>
      <c r="HW860">
        <v>388</v>
      </c>
      <c r="HX860">
        <v>0</v>
      </c>
      <c r="HY860">
        <v>0</v>
      </c>
      <c r="HZ860">
        <v>0</v>
      </c>
      <c r="IA860">
        <v>0</v>
      </c>
      <c r="IB860">
        <v>0</v>
      </c>
      <c r="IC860">
        <v>594.4</v>
      </c>
      <c r="ID860">
        <v>427.4</v>
      </c>
      <c r="IE860">
        <v>713.3</v>
      </c>
      <c r="IF860">
        <v>626.1</v>
      </c>
      <c r="IG860">
        <v>0</v>
      </c>
      <c r="IH860">
        <v>0</v>
      </c>
      <c r="II860">
        <v>995.7</v>
      </c>
      <c r="IJ860">
        <v>1156.5999999999999</v>
      </c>
      <c r="IK860">
        <v>864.6</v>
      </c>
      <c r="IL860">
        <v>316.5</v>
      </c>
      <c r="IM860">
        <v>101.5</v>
      </c>
      <c r="IN860">
        <v>71.8</v>
      </c>
      <c r="IO860">
        <v>0</v>
      </c>
      <c r="IP860">
        <v>0</v>
      </c>
      <c r="IQ860">
        <v>0</v>
      </c>
      <c r="IR860">
        <v>0</v>
      </c>
      <c r="IS860">
        <v>0</v>
      </c>
      <c r="IT860">
        <v>0</v>
      </c>
      <c r="IU860">
        <v>0</v>
      </c>
      <c r="IV860">
        <v>0</v>
      </c>
      <c r="IW860">
        <v>68</v>
      </c>
      <c r="IX860">
        <v>404.7</v>
      </c>
      <c r="IY860">
        <v>126.6</v>
      </c>
      <c r="IZ860">
        <v>126.6</v>
      </c>
      <c r="JA860">
        <v>503.7</v>
      </c>
      <c r="JB860">
        <v>570.1</v>
      </c>
      <c r="JC860">
        <v>328.3</v>
      </c>
      <c r="JD860">
        <v>0</v>
      </c>
      <c r="JE860">
        <v>0</v>
      </c>
      <c r="JF860">
        <v>0</v>
      </c>
      <c r="JG860">
        <v>0</v>
      </c>
      <c r="JH860">
        <v>287.3</v>
      </c>
      <c r="JI860">
        <v>68.2</v>
      </c>
      <c r="JJ860">
        <v>0</v>
      </c>
      <c r="JK860">
        <v>148.6</v>
      </c>
      <c r="JL860">
        <v>0</v>
      </c>
      <c r="JM860">
        <v>0</v>
      </c>
      <c r="JN860">
        <v>204.5</v>
      </c>
      <c r="JO860">
        <v>292.10000000000002</v>
      </c>
      <c r="JP860">
        <v>670.8</v>
      </c>
      <c r="JQ860">
        <v>745.2</v>
      </c>
      <c r="JR860">
        <v>242.9</v>
      </c>
    </row>
    <row r="861" spans="2:278" ht="18" thickBot="1">
      <c r="B861" s="368" t="s">
        <v>1251</v>
      </c>
      <c r="C861" s="411" t="s">
        <v>1538</v>
      </c>
      <c r="D861" s="368" t="s">
        <v>1415</v>
      </c>
      <c r="E861" s="454">
        <v>22829.8</v>
      </c>
      <c r="F861">
        <v>20193.400000000001</v>
      </c>
      <c r="G861" s="427">
        <v>0</v>
      </c>
      <c r="H861" s="155">
        <v>0</v>
      </c>
      <c r="I861">
        <v>0</v>
      </c>
      <c r="J861">
        <v>0</v>
      </c>
      <c r="K861">
        <v>0</v>
      </c>
      <c r="L861" s="4">
        <v>0</v>
      </c>
      <c r="M861" s="4">
        <v>0</v>
      </c>
      <c r="N861" s="4">
        <v>0</v>
      </c>
      <c r="O861" s="4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1476.4</v>
      </c>
      <c r="X861">
        <v>1482</v>
      </c>
      <c r="Y861">
        <v>457.20000000000005</v>
      </c>
      <c r="Z861">
        <v>0</v>
      </c>
      <c r="AA861">
        <v>0</v>
      </c>
      <c r="AB861">
        <v>0</v>
      </c>
      <c r="AC861">
        <v>0</v>
      </c>
      <c r="AD861">
        <v>3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1828.6</v>
      </c>
      <c r="AK861">
        <v>1800.7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560.70000000000005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0</v>
      </c>
      <c r="BU861">
        <v>0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  <c r="CF861">
        <v>0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  <c r="CN861">
        <v>0</v>
      </c>
      <c r="CO861">
        <v>0</v>
      </c>
      <c r="CP861">
        <v>3.5</v>
      </c>
      <c r="CQ861">
        <v>0</v>
      </c>
      <c r="CR861">
        <v>528</v>
      </c>
      <c r="CS861">
        <v>581.79999999999995</v>
      </c>
      <c r="CT861">
        <v>555.40000000000009</v>
      </c>
      <c r="CU861">
        <v>737.4</v>
      </c>
      <c r="CV861">
        <v>1039.0999999999999</v>
      </c>
      <c r="CW861">
        <v>1667.3</v>
      </c>
      <c r="CX861">
        <v>877.6</v>
      </c>
      <c r="CY861">
        <v>910.40000000000009</v>
      </c>
      <c r="CZ861">
        <v>0</v>
      </c>
      <c r="DA861">
        <v>0</v>
      </c>
      <c r="DB861">
        <v>0</v>
      </c>
      <c r="DC861">
        <v>0</v>
      </c>
      <c r="DD861">
        <v>0</v>
      </c>
      <c r="DE861">
        <v>0</v>
      </c>
      <c r="DF861">
        <v>0</v>
      </c>
      <c r="DG861">
        <v>0</v>
      </c>
      <c r="DH861">
        <v>0</v>
      </c>
      <c r="DI861">
        <v>0</v>
      </c>
      <c r="DJ861">
        <v>0</v>
      </c>
      <c r="DK861">
        <v>0</v>
      </c>
      <c r="DL861">
        <v>995.5</v>
      </c>
      <c r="DM861">
        <v>712.7</v>
      </c>
      <c r="DN861">
        <v>0</v>
      </c>
      <c r="DO861">
        <v>0</v>
      </c>
      <c r="DP861">
        <v>0</v>
      </c>
      <c r="DQ861">
        <v>0</v>
      </c>
      <c r="DR861">
        <v>0</v>
      </c>
      <c r="DS861">
        <v>0</v>
      </c>
      <c r="DT861">
        <v>0</v>
      </c>
      <c r="DU861">
        <v>0</v>
      </c>
      <c r="DV861">
        <v>0</v>
      </c>
      <c r="DW861">
        <v>0</v>
      </c>
      <c r="DX861">
        <v>0</v>
      </c>
      <c r="DY861">
        <v>0</v>
      </c>
      <c r="DZ861">
        <v>0</v>
      </c>
      <c r="EA861">
        <v>0</v>
      </c>
      <c r="EB861">
        <v>0</v>
      </c>
      <c r="EC861">
        <v>0</v>
      </c>
      <c r="ED861">
        <v>0</v>
      </c>
      <c r="EE861">
        <v>0</v>
      </c>
      <c r="EF861">
        <v>0</v>
      </c>
      <c r="EG861">
        <v>0</v>
      </c>
      <c r="EH861">
        <v>0</v>
      </c>
      <c r="EI861">
        <v>0</v>
      </c>
      <c r="EJ861">
        <v>0</v>
      </c>
      <c r="EK861">
        <v>0</v>
      </c>
      <c r="EL861">
        <v>0</v>
      </c>
      <c r="EM861">
        <v>0</v>
      </c>
      <c r="EN861">
        <v>27.4</v>
      </c>
      <c r="EO861">
        <v>0</v>
      </c>
      <c r="EP861">
        <v>1002.5</v>
      </c>
      <c r="EQ861">
        <v>0</v>
      </c>
      <c r="ER861">
        <v>494</v>
      </c>
      <c r="ES861">
        <v>0</v>
      </c>
      <c r="ET861">
        <v>699.3</v>
      </c>
      <c r="EU861">
        <v>435.4</v>
      </c>
      <c r="EV861">
        <v>0</v>
      </c>
      <c r="EW861">
        <v>0</v>
      </c>
      <c r="EX861">
        <v>0</v>
      </c>
      <c r="EY861">
        <v>0</v>
      </c>
      <c r="EZ861">
        <v>0</v>
      </c>
      <c r="FA861">
        <v>0</v>
      </c>
      <c r="FB861">
        <v>0</v>
      </c>
      <c r="FC861">
        <v>0</v>
      </c>
      <c r="FD861">
        <v>95.6</v>
      </c>
      <c r="FE861">
        <v>1792.1</v>
      </c>
      <c r="FF861">
        <v>1740.1999999999998</v>
      </c>
      <c r="FG861">
        <v>954.9</v>
      </c>
      <c r="FH861">
        <v>1087.8000000000002</v>
      </c>
      <c r="FI861">
        <v>1892.1</v>
      </c>
      <c r="FJ861">
        <v>1222.5</v>
      </c>
      <c r="FK861">
        <v>678.3</v>
      </c>
      <c r="FL861">
        <v>639.1</v>
      </c>
      <c r="FM861">
        <v>520.5</v>
      </c>
      <c r="FN861">
        <v>123.8</v>
      </c>
      <c r="FO861">
        <v>181.6</v>
      </c>
      <c r="FP861">
        <v>1090.5</v>
      </c>
      <c r="FQ861">
        <v>0</v>
      </c>
      <c r="FR861">
        <v>0</v>
      </c>
      <c r="FS861">
        <v>0</v>
      </c>
      <c r="FT861">
        <v>0</v>
      </c>
      <c r="FU861">
        <v>0</v>
      </c>
      <c r="FV861">
        <v>0</v>
      </c>
      <c r="FW861">
        <v>0</v>
      </c>
      <c r="FX861">
        <v>0</v>
      </c>
      <c r="FY861">
        <v>0</v>
      </c>
      <c r="FZ861">
        <v>0</v>
      </c>
      <c r="GA861">
        <v>0</v>
      </c>
      <c r="GB861">
        <v>0</v>
      </c>
      <c r="GC861">
        <v>0</v>
      </c>
      <c r="GD861">
        <v>0</v>
      </c>
      <c r="GE861">
        <v>0</v>
      </c>
      <c r="GF861">
        <v>198.3</v>
      </c>
      <c r="GG861">
        <v>1054.4000000000001</v>
      </c>
      <c r="GH861">
        <v>552.79999999999995</v>
      </c>
      <c r="GI861">
        <v>522</v>
      </c>
      <c r="GJ861">
        <v>0</v>
      </c>
      <c r="GK861">
        <v>0</v>
      </c>
      <c r="GL861">
        <v>0</v>
      </c>
      <c r="GM861">
        <v>0</v>
      </c>
      <c r="GN861">
        <v>791.40000000000009</v>
      </c>
      <c r="GO861">
        <v>1816.5</v>
      </c>
      <c r="GP861">
        <v>0</v>
      </c>
      <c r="GQ861">
        <v>0</v>
      </c>
      <c r="GR861">
        <v>0</v>
      </c>
      <c r="GS861">
        <v>0</v>
      </c>
      <c r="GT861">
        <v>0</v>
      </c>
      <c r="GU861">
        <v>0</v>
      </c>
      <c r="GV861">
        <v>0</v>
      </c>
      <c r="GW861">
        <v>0</v>
      </c>
      <c r="GX861">
        <v>0</v>
      </c>
      <c r="GY861">
        <v>840.3</v>
      </c>
      <c r="GZ861">
        <v>0</v>
      </c>
      <c r="HA861">
        <v>0</v>
      </c>
      <c r="HB861">
        <v>0</v>
      </c>
      <c r="HC861">
        <v>380.4</v>
      </c>
      <c r="HD861">
        <v>2175.5</v>
      </c>
      <c r="HE861">
        <v>0</v>
      </c>
      <c r="HF861">
        <v>0</v>
      </c>
      <c r="HG861">
        <v>0</v>
      </c>
      <c r="HH861">
        <v>0</v>
      </c>
      <c r="HI861">
        <v>0</v>
      </c>
      <c r="HJ861">
        <v>803.40000000000009</v>
      </c>
      <c r="HK861">
        <v>1270.9000000000001</v>
      </c>
      <c r="HL861">
        <v>835.7</v>
      </c>
      <c r="HM861">
        <v>1162.5999999999999</v>
      </c>
      <c r="HN861">
        <v>0</v>
      </c>
      <c r="HO861">
        <v>0</v>
      </c>
      <c r="HP861">
        <v>0</v>
      </c>
      <c r="HQ861">
        <v>0</v>
      </c>
      <c r="HR861">
        <v>161.19999999999999</v>
      </c>
      <c r="HS861">
        <v>0</v>
      </c>
      <c r="HT861">
        <v>2048.5</v>
      </c>
      <c r="HU861">
        <v>2627.5</v>
      </c>
      <c r="HV861">
        <v>1168.5999999999999</v>
      </c>
      <c r="HW861">
        <v>388</v>
      </c>
      <c r="HX861">
        <v>0</v>
      </c>
      <c r="HY861">
        <v>0</v>
      </c>
      <c r="HZ861">
        <v>0</v>
      </c>
      <c r="IA861">
        <v>0</v>
      </c>
      <c r="IB861">
        <v>0</v>
      </c>
      <c r="IC861">
        <v>594.4</v>
      </c>
      <c r="ID861">
        <v>427.4</v>
      </c>
      <c r="IE861">
        <v>713.3</v>
      </c>
      <c r="IF861">
        <v>626.1</v>
      </c>
      <c r="IG861">
        <v>0</v>
      </c>
      <c r="IH861">
        <v>0</v>
      </c>
      <c r="II861">
        <v>995.7</v>
      </c>
      <c r="IJ861">
        <v>1156.5999999999999</v>
      </c>
      <c r="IK861">
        <v>864.6</v>
      </c>
      <c r="IL861">
        <v>316.5</v>
      </c>
      <c r="IM861">
        <v>101.5</v>
      </c>
      <c r="IN861">
        <v>71.8</v>
      </c>
      <c r="IO861">
        <v>0</v>
      </c>
      <c r="IP861">
        <v>0</v>
      </c>
      <c r="IQ861">
        <v>0</v>
      </c>
      <c r="IR861">
        <v>0</v>
      </c>
      <c r="IS861">
        <v>0</v>
      </c>
      <c r="IT861">
        <v>0</v>
      </c>
      <c r="IU861">
        <v>0</v>
      </c>
      <c r="IV861">
        <v>0</v>
      </c>
      <c r="IW861">
        <v>68</v>
      </c>
      <c r="IX861">
        <v>404.7</v>
      </c>
      <c r="IY861">
        <v>126.6</v>
      </c>
      <c r="IZ861">
        <v>126.6</v>
      </c>
      <c r="JA861">
        <v>503.7</v>
      </c>
      <c r="JB861">
        <v>570.1</v>
      </c>
      <c r="JC861">
        <v>328.3</v>
      </c>
      <c r="JD861">
        <v>0</v>
      </c>
      <c r="JE861">
        <v>0</v>
      </c>
      <c r="JF861">
        <v>0</v>
      </c>
      <c r="JG861">
        <v>0</v>
      </c>
      <c r="JH861">
        <v>287.3</v>
      </c>
      <c r="JI861">
        <v>68.2</v>
      </c>
      <c r="JJ861">
        <v>0</v>
      </c>
      <c r="JK861">
        <v>148.6</v>
      </c>
      <c r="JL861">
        <v>0</v>
      </c>
      <c r="JM861">
        <v>0</v>
      </c>
      <c r="JN861">
        <v>204.5</v>
      </c>
      <c r="JO861">
        <v>292.10000000000002</v>
      </c>
      <c r="JP861">
        <v>670.8</v>
      </c>
      <c r="JQ861">
        <v>745.2</v>
      </c>
      <c r="JR861">
        <v>242.9</v>
      </c>
    </row>
    <row r="862" spans="2:278" ht="18" thickBot="1">
      <c r="B862" s="368" t="s">
        <v>1252</v>
      </c>
      <c r="C862" s="411" t="s">
        <v>1539</v>
      </c>
      <c r="D862" s="368" t="s">
        <v>1416</v>
      </c>
      <c r="E862" s="454">
        <v>22829.8</v>
      </c>
      <c r="F862">
        <v>20193.400000000001</v>
      </c>
      <c r="G862" s="427">
        <v>0</v>
      </c>
      <c r="H862" s="155">
        <v>0</v>
      </c>
      <c r="I862">
        <v>0</v>
      </c>
      <c r="J862">
        <v>0</v>
      </c>
      <c r="K862">
        <v>0</v>
      </c>
      <c r="L862" s="4">
        <v>0</v>
      </c>
      <c r="M862" s="4">
        <v>0</v>
      </c>
      <c r="N862" s="4">
        <v>0</v>
      </c>
      <c r="O862" s="4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1476.4</v>
      </c>
      <c r="X862">
        <v>1482</v>
      </c>
      <c r="Y862">
        <v>457.20000000000005</v>
      </c>
      <c r="Z862">
        <v>0</v>
      </c>
      <c r="AA862">
        <v>0</v>
      </c>
      <c r="AB862">
        <v>0</v>
      </c>
      <c r="AC862">
        <v>0</v>
      </c>
      <c r="AD862">
        <v>3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1828.6</v>
      </c>
      <c r="AK862">
        <v>1800.7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560.70000000000005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0</v>
      </c>
      <c r="BQ862">
        <v>0</v>
      </c>
      <c r="BR862">
        <v>0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  <c r="CF862">
        <v>0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  <c r="CN862">
        <v>0</v>
      </c>
      <c r="CO862">
        <v>0</v>
      </c>
      <c r="CP862">
        <v>3.5</v>
      </c>
      <c r="CQ862">
        <v>0</v>
      </c>
      <c r="CR862">
        <v>528</v>
      </c>
      <c r="CS862">
        <v>581.79999999999995</v>
      </c>
      <c r="CT862">
        <v>555.40000000000009</v>
      </c>
      <c r="CU862">
        <v>737.4</v>
      </c>
      <c r="CV862">
        <v>1039.0999999999999</v>
      </c>
      <c r="CW862">
        <v>1667.3</v>
      </c>
      <c r="CX862">
        <v>877.6</v>
      </c>
      <c r="CY862">
        <v>910.40000000000009</v>
      </c>
      <c r="CZ862">
        <v>0</v>
      </c>
      <c r="DA862">
        <v>0</v>
      </c>
      <c r="DB862">
        <v>0</v>
      </c>
      <c r="DC862">
        <v>0</v>
      </c>
      <c r="DD862">
        <v>0</v>
      </c>
      <c r="DE862">
        <v>0</v>
      </c>
      <c r="DF862">
        <v>0</v>
      </c>
      <c r="DG862">
        <v>0</v>
      </c>
      <c r="DH862">
        <v>0</v>
      </c>
      <c r="DI862">
        <v>0</v>
      </c>
      <c r="DJ862">
        <v>0</v>
      </c>
      <c r="DK862">
        <v>0</v>
      </c>
      <c r="DL862">
        <v>995.5</v>
      </c>
      <c r="DM862">
        <v>712.7</v>
      </c>
      <c r="DN862">
        <v>0</v>
      </c>
      <c r="DO862">
        <v>0</v>
      </c>
      <c r="DP862">
        <v>0</v>
      </c>
      <c r="DQ862">
        <v>0</v>
      </c>
      <c r="DR862">
        <v>0</v>
      </c>
      <c r="DS862">
        <v>0</v>
      </c>
      <c r="DT862">
        <v>0</v>
      </c>
      <c r="DU862">
        <v>0</v>
      </c>
      <c r="DV862">
        <v>0</v>
      </c>
      <c r="DW862">
        <v>0</v>
      </c>
      <c r="DX862">
        <v>0</v>
      </c>
      <c r="DY862">
        <v>0</v>
      </c>
      <c r="DZ862">
        <v>0</v>
      </c>
      <c r="EA862">
        <v>0</v>
      </c>
      <c r="EB862">
        <v>0</v>
      </c>
      <c r="EC862">
        <v>0</v>
      </c>
      <c r="ED862">
        <v>0</v>
      </c>
      <c r="EE862">
        <v>0</v>
      </c>
      <c r="EF862">
        <v>0</v>
      </c>
      <c r="EG862">
        <v>0</v>
      </c>
      <c r="EH862">
        <v>0</v>
      </c>
      <c r="EI862">
        <v>0</v>
      </c>
      <c r="EJ862">
        <v>0</v>
      </c>
      <c r="EK862">
        <v>0</v>
      </c>
      <c r="EL862">
        <v>0</v>
      </c>
      <c r="EM862">
        <v>0</v>
      </c>
      <c r="EN862">
        <v>27.4</v>
      </c>
      <c r="EO862">
        <v>0</v>
      </c>
      <c r="EP862">
        <v>1002.5</v>
      </c>
      <c r="EQ862">
        <v>0</v>
      </c>
      <c r="ER862">
        <v>494</v>
      </c>
      <c r="ES862">
        <v>0</v>
      </c>
      <c r="ET862">
        <v>699.3</v>
      </c>
      <c r="EU862">
        <v>435.4</v>
      </c>
      <c r="EV862">
        <v>0</v>
      </c>
      <c r="EW862">
        <v>0</v>
      </c>
      <c r="EX862">
        <v>0</v>
      </c>
      <c r="EY862">
        <v>0</v>
      </c>
      <c r="EZ862">
        <v>0</v>
      </c>
      <c r="FA862">
        <v>0</v>
      </c>
      <c r="FB862">
        <v>0</v>
      </c>
      <c r="FC862">
        <v>0</v>
      </c>
      <c r="FD862">
        <v>95.6</v>
      </c>
      <c r="FE862">
        <v>1792.1</v>
      </c>
      <c r="FF862">
        <v>1740.1999999999998</v>
      </c>
      <c r="FG862">
        <v>954.9</v>
      </c>
      <c r="FH862">
        <v>1087.8000000000002</v>
      </c>
      <c r="FI862">
        <v>1892.1</v>
      </c>
      <c r="FJ862">
        <v>1222.5</v>
      </c>
      <c r="FK862">
        <v>678.3</v>
      </c>
      <c r="FL862">
        <v>639.1</v>
      </c>
      <c r="FM862">
        <v>520.5</v>
      </c>
      <c r="FN862">
        <v>123.8</v>
      </c>
      <c r="FO862">
        <v>181.6</v>
      </c>
      <c r="FP862">
        <v>1090.5</v>
      </c>
      <c r="FQ862">
        <v>0</v>
      </c>
      <c r="FR862">
        <v>0</v>
      </c>
      <c r="FS862">
        <v>0</v>
      </c>
      <c r="FT862">
        <v>0</v>
      </c>
      <c r="FU862">
        <v>0</v>
      </c>
      <c r="FV862">
        <v>0</v>
      </c>
      <c r="FW862">
        <v>0</v>
      </c>
      <c r="FX862">
        <v>0</v>
      </c>
      <c r="FY862">
        <v>0</v>
      </c>
      <c r="FZ862">
        <v>0</v>
      </c>
      <c r="GA862">
        <v>0</v>
      </c>
      <c r="GB862">
        <v>0</v>
      </c>
      <c r="GC862">
        <v>0</v>
      </c>
      <c r="GD862">
        <v>0</v>
      </c>
      <c r="GE862">
        <v>0</v>
      </c>
      <c r="GF862">
        <v>198.3</v>
      </c>
      <c r="GG862">
        <v>1054.4000000000001</v>
      </c>
      <c r="GH862">
        <v>552.79999999999995</v>
      </c>
      <c r="GI862">
        <v>522</v>
      </c>
      <c r="GJ862">
        <v>0</v>
      </c>
      <c r="GK862">
        <v>0</v>
      </c>
      <c r="GL862">
        <v>0</v>
      </c>
      <c r="GM862">
        <v>0</v>
      </c>
      <c r="GN862">
        <v>791.40000000000009</v>
      </c>
      <c r="GO862">
        <v>1816.5</v>
      </c>
      <c r="GP862">
        <v>0</v>
      </c>
      <c r="GQ862">
        <v>0</v>
      </c>
      <c r="GR862">
        <v>0</v>
      </c>
      <c r="GS862">
        <v>0</v>
      </c>
      <c r="GT862">
        <v>0</v>
      </c>
      <c r="GU862">
        <v>0</v>
      </c>
      <c r="GV862">
        <v>0</v>
      </c>
      <c r="GW862">
        <v>0</v>
      </c>
      <c r="GX862">
        <v>0</v>
      </c>
      <c r="GY862">
        <v>840.3</v>
      </c>
      <c r="GZ862">
        <v>0</v>
      </c>
      <c r="HA862">
        <v>0</v>
      </c>
      <c r="HB862">
        <v>0</v>
      </c>
      <c r="HC862">
        <v>380.4</v>
      </c>
      <c r="HD862">
        <v>2175.5</v>
      </c>
      <c r="HE862">
        <v>0</v>
      </c>
      <c r="HF862">
        <v>0</v>
      </c>
      <c r="HG862">
        <v>0</v>
      </c>
      <c r="HH862">
        <v>0</v>
      </c>
      <c r="HI862">
        <v>0</v>
      </c>
      <c r="HJ862">
        <v>803.40000000000009</v>
      </c>
      <c r="HK862">
        <v>1270.9000000000001</v>
      </c>
      <c r="HL862">
        <v>835.7</v>
      </c>
      <c r="HM862">
        <v>1162.5999999999999</v>
      </c>
      <c r="HN862">
        <v>0</v>
      </c>
      <c r="HO862">
        <v>0</v>
      </c>
      <c r="HP862">
        <v>0</v>
      </c>
      <c r="HQ862">
        <v>0</v>
      </c>
      <c r="HR862">
        <v>161.19999999999999</v>
      </c>
      <c r="HS862">
        <v>0</v>
      </c>
      <c r="HT862">
        <v>2048.5</v>
      </c>
      <c r="HU862">
        <v>2627.5</v>
      </c>
      <c r="HV862">
        <v>1168.5999999999999</v>
      </c>
      <c r="HW862">
        <v>388</v>
      </c>
      <c r="HX862">
        <v>0</v>
      </c>
      <c r="HY862">
        <v>0</v>
      </c>
      <c r="HZ862">
        <v>0</v>
      </c>
      <c r="IA862">
        <v>0</v>
      </c>
      <c r="IB862">
        <v>0</v>
      </c>
      <c r="IC862">
        <v>594.4</v>
      </c>
      <c r="ID862">
        <v>427.4</v>
      </c>
      <c r="IE862">
        <v>713.3</v>
      </c>
      <c r="IF862">
        <v>626.1</v>
      </c>
      <c r="IG862">
        <v>0</v>
      </c>
      <c r="IH862">
        <v>0</v>
      </c>
      <c r="II862">
        <v>995.7</v>
      </c>
      <c r="IJ862">
        <v>1156.5999999999999</v>
      </c>
      <c r="IK862">
        <v>864.6</v>
      </c>
      <c r="IL862">
        <v>316.5</v>
      </c>
      <c r="IM862">
        <v>101.5</v>
      </c>
      <c r="IN862">
        <v>71.8</v>
      </c>
      <c r="IO862">
        <v>0</v>
      </c>
      <c r="IP862">
        <v>0</v>
      </c>
      <c r="IQ862">
        <v>0</v>
      </c>
      <c r="IR862">
        <v>0</v>
      </c>
      <c r="IS862">
        <v>0</v>
      </c>
      <c r="IT862">
        <v>0</v>
      </c>
      <c r="IU862">
        <v>0</v>
      </c>
      <c r="IV862">
        <v>0</v>
      </c>
      <c r="IW862">
        <v>68</v>
      </c>
      <c r="IX862">
        <v>404.7</v>
      </c>
      <c r="IY862">
        <v>126.6</v>
      </c>
      <c r="IZ862">
        <v>126.6</v>
      </c>
      <c r="JA862">
        <v>503.7</v>
      </c>
      <c r="JB862">
        <v>570.1</v>
      </c>
      <c r="JC862">
        <v>328.3</v>
      </c>
      <c r="JD862">
        <v>0</v>
      </c>
      <c r="JE862">
        <v>0</v>
      </c>
      <c r="JF862">
        <v>0</v>
      </c>
      <c r="JG862">
        <v>0</v>
      </c>
      <c r="JH862">
        <v>287.3</v>
      </c>
      <c r="JI862">
        <v>68.2</v>
      </c>
      <c r="JJ862">
        <v>0</v>
      </c>
      <c r="JK862">
        <v>148.6</v>
      </c>
      <c r="JL862">
        <v>0</v>
      </c>
      <c r="JM862">
        <v>0</v>
      </c>
      <c r="JN862">
        <v>204.5</v>
      </c>
      <c r="JO862">
        <v>292.10000000000002</v>
      </c>
      <c r="JP862">
        <v>670.8</v>
      </c>
      <c r="JQ862">
        <v>745.2</v>
      </c>
      <c r="JR862">
        <v>242.9</v>
      </c>
    </row>
    <row r="863" spans="2:278" ht="18" thickBot="1">
      <c r="B863" s="368" t="s">
        <v>473</v>
      </c>
      <c r="C863" s="411" t="s">
        <v>1540</v>
      </c>
      <c r="D863" s="368" t="s">
        <v>1417</v>
      </c>
      <c r="E863" s="454">
        <v>22829.8</v>
      </c>
      <c r="F863">
        <v>20193.400000000001</v>
      </c>
      <c r="G863" s="427">
        <v>0</v>
      </c>
      <c r="H863" s="155">
        <v>0</v>
      </c>
      <c r="I863">
        <v>0</v>
      </c>
      <c r="J863">
        <v>0</v>
      </c>
      <c r="K863">
        <v>0</v>
      </c>
      <c r="L863" s="4">
        <v>0</v>
      </c>
      <c r="M863" s="4">
        <v>0</v>
      </c>
      <c r="N863" s="4">
        <v>0</v>
      </c>
      <c r="O863" s="4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1476.4</v>
      </c>
      <c r="X863">
        <v>1482</v>
      </c>
      <c r="Y863">
        <v>457.20000000000005</v>
      </c>
      <c r="Z863">
        <v>0</v>
      </c>
      <c r="AA863">
        <v>0</v>
      </c>
      <c r="AB863">
        <v>0</v>
      </c>
      <c r="AC863">
        <v>0</v>
      </c>
      <c r="AD863">
        <v>3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1828.6</v>
      </c>
      <c r="AK863">
        <v>1800.7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560.70000000000005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  <c r="CF863">
        <v>0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  <c r="CN863">
        <v>0</v>
      </c>
      <c r="CO863">
        <v>0</v>
      </c>
      <c r="CP863">
        <v>3.5</v>
      </c>
      <c r="CQ863">
        <v>0</v>
      </c>
      <c r="CR863">
        <v>528</v>
      </c>
      <c r="CS863">
        <v>581.79999999999995</v>
      </c>
      <c r="CT863">
        <v>555.40000000000009</v>
      </c>
      <c r="CU863">
        <v>737.4</v>
      </c>
      <c r="CV863">
        <v>1039.0999999999999</v>
      </c>
      <c r="CW863">
        <v>1667.3</v>
      </c>
      <c r="CX863">
        <v>877.6</v>
      </c>
      <c r="CY863">
        <v>910.40000000000009</v>
      </c>
      <c r="CZ863">
        <v>0</v>
      </c>
      <c r="DA863">
        <v>0</v>
      </c>
      <c r="DB863">
        <v>0</v>
      </c>
      <c r="DC863">
        <v>0</v>
      </c>
      <c r="DD863">
        <v>0</v>
      </c>
      <c r="DE863">
        <v>0</v>
      </c>
      <c r="DF863">
        <v>0</v>
      </c>
      <c r="DG863">
        <v>0</v>
      </c>
      <c r="DH863">
        <v>0</v>
      </c>
      <c r="DI863">
        <v>0</v>
      </c>
      <c r="DJ863">
        <v>0</v>
      </c>
      <c r="DK863">
        <v>0</v>
      </c>
      <c r="DL863">
        <v>995.5</v>
      </c>
      <c r="DM863">
        <v>712.7</v>
      </c>
      <c r="DN863">
        <v>0</v>
      </c>
      <c r="DO863">
        <v>0</v>
      </c>
      <c r="DP863">
        <v>0</v>
      </c>
      <c r="DQ863">
        <v>0</v>
      </c>
      <c r="DR863">
        <v>0</v>
      </c>
      <c r="DS863">
        <v>0</v>
      </c>
      <c r="DT863">
        <v>0</v>
      </c>
      <c r="DU863">
        <v>0</v>
      </c>
      <c r="DV863">
        <v>0</v>
      </c>
      <c r="DW863">
        <v>0</v>
      </c>
      <c r="DX863">
        <v>0</v>
      </c>
      <c r="DY863">
        <v>0</v>
      </c>
      <c r="DZ863">
        <v>0</v>
      </c>
      <c r="EA863">
        <v>0</v>
      </c>
      <c r="EB863">
        <v>0</v>
      </c>
      <c r="EC863">
        <v>0</v>
      </c>
      <c r="ED863">
        <v>0</v>
      </c>
      <c r="EE863">
        <v>0</v>
      </c>
      <c r="EF863">
        <v>0</v>
      </c>
      <c r="EG863">
        <v>0</v>
      </c>
      <c r="EH863">
        <v>0</v>
      </c>
      <c r="EI863">
        <v>0</v>
      </c>
      <c r="EJ863">
        <v>0</v>
      </c>
      <c r="EK863">
        <v>0</v>
      </c>
      <c r="EL863">
        <v>0</v>
      </c>
      <c r="EM863">
        <v>0</v>
      </c>
      <c r="EN863">
        <v>27.4</v>
      </c>
      <c r="EO863">
        <v>0</v>
      </c>
      <c r="EP863">
        <v>1002.5</v>
      </c>
      <c r="EQ863">
        <v>0</v>
      </c>
      <c r="ER863">
        <v>494</v>
      </c>
      <c r="ES863">
        <v>0</v>
      </c>
      <c r="ET863">
        <v>699.3</v>
      </c>
      <c r="EU863">
        <v>435.4</v>
      </c>
      <c r="EV863">
        <v>0</v>
      </c>
      <c r="EW863">
        <v>0</v>
      </c>
      <c r="EX863">
        <v>0</v>
      </c>
      <c r="EY863">
        <v>0</v>
      </c>
      <c r="EZ863">
        <v>0</v>
      </c>
      <c r="FA863">
        <v>0</v>
      </c>
      <c r="FB863">
        <v>0</v>
      </c>
      <c r="FC863">
        <v>0</v>
      </c>
      <c r="FD863">
        <v>95.6</v>
      </c>
      <c r="FE863">
        <v>1792.1</v>
      </c>
      <c r="FF863">
        <v>1740.1999999999998</v>
      </c>
      <c r="FG863">
        <v>954.9</v>
      </c>
      <c r="FH863">
        <v>1087.8000000000002</v>
      </c>
      <c r="FI863">
        <v>1892.1</v>
      </c>
      <c r="FJ863">
        <v>1222.5</v>
      </c>
      <c r="FK863">
        <v>678.3</v>
      </c>
      <c r="FL863">
        <v>639.1</v>
      </c>
      <c r="FM863">
        <v>520.5</v>
      </c>
      <c r="FN863">
        <v>123.8</v>
      </c>
      <c r="FO863">
        <v>181.6</v>
      </c>
      <c r="FP863">
        <v>1090.5</v>
      </c>
      <c r="FQ863">
        <v>0</v>
      </c>
      <c r="FR863">
        <v>0</v>
      </c>
      <c r="FS863">
        <v>0</v>
      </c>
      <c r="FT863">
        <v>0</v>
      </c>
      <c r="FU863">
        <v>0</v>
      </c>
      <c r="FV863">
        <v>0</v>
      </c>
      <c r="FW863">
        <v>0</v>
      </c>
      <c r="FX863">
        <v>0</v>
      </c>
      <c r="FY863">
        <v>0</v>
      </c>
      <c r="FZ863">
        <v>0</v>
      </c>
      <c r="GA863">
        <v>0</v>
      </c>
      <c r="GB863">
        <v>0</v>
      </c>
      <c r="GC863">
        <v>0</v>
      </c>
      <c r="GD863">
        <v>0</v>
      </c>
      <c r="GE863">
        <v>0</v>
      </c>
      <c r="GF863">
        <v>198.3</v>
      </c>
      <c r="GG863">
        <v>1054.4000000000001</v>
      </c>
      <c r="GH863">
        <v>552.79999999999995</v>
      </c>
      <c r="GI863">
        <v>522</v>
      </c>
      <c r="GJ863">
        <v>0</v>
      </c>
      <c r="GK863">
        <v>0</v>
      </c>
      <c r="GL863">
        <v>0</v>
      </c>
      <c r="GM863">
        <v>0</v>
      </c>
      <c r="GN863">
        <v>791.40000000000009</v>
      </c>
      <c r="GO863">
        <v>1816.5</v>
      </c>
      <c r="GP863">
        <v>0</v>
      </c>
      <c r="GQ863">
        <v>0</v>
      </c>
      <c r="GR863">
        <v>0</v>
      </c>
      <c r="GS863">
        <v>0</v>
      </c>
      <c r="GT863">
        <v>0</v>
      </c>
      <c r="GU863">
        <v>0</v>
      </c>
      <c r="GV863">
        <v>0</v>
      </c>
      <c r="GW863">
        <v>0</v>
      </c>
      <c r="GX863">
        <v>0</v>
      </c>
      <c r="GY863">
        <v>840.3</v>
      </c>
      <c r="GZ863">
        <v>0</v>
      </c>
      <c r="HA863">
        <v>0</v>
      </c>
      <c r="HB863">
        <v>0</v>
      </c>
      <c r="HC863">
        <v>380.4</v>
      </c>
      <c r="HD863">
        <v>2175.5</v>
      </c>
      <c r="HE863">
        <v>0</v>
      </c>
      <c r="HF863">
        <v>0</v>
      </c>
      <c r="HG863">
        <v>0</v>
      </c>
      <c r="HH863">
        <v>0</v>
      </c>
      <c r="HI863">
        <v>0</v>
      </c>
      <c r="HJ863">
        <v>803.40000000000009</v>
      </c>
      <c r="HK863">
        <v>1270.9000000000001</v>
      </c>
      <c r="HL863">
        <v>835.7</v>
      </c>
      <c r="HM863">
        <v>1162.5999999999999</v>
      </c>
      <c r="HN863">
        <v>0</v>
      </c>
      <c r="HO863">
        <v>0</v>
      </c>
      <c r="HP863">
        <v>0</v>
      </c>
      <c r="HQ863">
        <v>0</v>
      </c>
      <c r="HR863">
        <v>161.19999999999999</v>
      </c>
      <c r="HS863">
        <v>0</v>
      </c>
      <c r="HT863">
        <v>2048.5</v>
      </c>
      <c r="HU863">
        <v>2627.5</v>
      </c>
      <c r="HV863">
        <v>1168.5999999999999</v>
      </c>
      <c r="HW863">
        <v>388</v>
      </c>
      <c r="HX863">
        <v>0</v>
      </c>
      <c r="HY863">
        <v>0</v>
      </c>
      <c r="HZ863">
        <v>0</v>
      </c>
      <c r="IA863">
        <v>0</v>
      </c>
      <c r="IB863">
        <v>0</v>
      </c>
      <c r="IC863">
        <v>594.4</v>
      </c>
      <c r="ID863">
        <v>427.4</v>
      </c>
      <c r="IE863">
        <v>713.3</v>
      </c>
      <c r="IF863">
        <v>626.1</v>
      </c>
      <c r="IG863">
        <v>0</v>
      </c>
      <c r="IH863">
        <v>0</v>
      </c>
      <c r="II863">
        <v>995.7</v>
      </c>
      <c r="IJ863">
        <v>1156.5999999999999</v>
      </c>
      <c r="IK863">
        <v>864.6</v>
      </c>
      <c r="IL863">
        <v>316.5</v>
      </c>
      <c r="IM863">
        <v>101.5</v>
      </c>
      <c r="IN863">
        <v>71.8</v>
      </c>
      <c r="IO863">
        <v>0</v>
      </c>
      <c r="IP863">
        <v>0</v>
      </c>
      <c r="IQ863">
        <v>0</v>
      </c>
      <c r="IR863">
        <v>0</v>
      </c>
      <c r="IS863">
        <v>0</v>
      </c>
      <c r="IT863">
        <v>0</v>
      </c>
      <c r="IU863">
        <v>0</v>
      </c>
      <c r="IV863">
        <v>0</v>
      </c>
      <c r="IW863">
        <v>68</v>
      </c>
      <c r="IX863">
        <v>404.7</v>
      </c>
      <c r="IY863">
        <v>126.6</v>
      </c>
      <c r="IZ863">
        <v>126.6</v>
      </c>
      <c r="JA863">
        <v>503.7</v>
      </c>
      <c r="JB863">
        <v>570.1</v>
      </c>
      <c r="JC863">
        <v>328.3</v>
      </c>
      <c r="JD863">
        <v>0</v>
      </c>
      <c r="JE863">
        <v>0</v>
      </c>
      <c r="JF863">
        <v>0</v>
      </c>
      <c r="JG863">
        <v>0</v>
      </c>
      <c r="JH863">
        <v>287.3</v>
      </c>
      <c r="JI863">
        <v>68.2</v>
      </c>
      <c r="JJ863">
        <v>0</v>
      </c>
      <c r="JK863">
        <v>148.6</v>
      </c>
      <c r="JL863">
        <v>0</v>
      </c>
      <c r="JM863">
        <v>0</v>
      </c>
      <c r="JN863">
        <v>204.5</v>
      </c>
      <c r="JO863">
        <v>292.10000000000002</v>
      </c>
      <c r="JP863">
        <v>670.8</v>
      </c>
      <c r="JQ863">
        <v>745.2</v>
      </c>
      <c r="JR863">
        <v>242.9</v>
      </c>
    </row>
    <row r="864" spans="2:278" ht="18" thickBot="1">
      <c r="B864" s="522" t="s">
        <v>593</v>
      </c>
      <c r="C864" s="541" t="s">
        <v>1541</v>
      </c>
      <c r="D864" s="525" t="s">
        <v>1387</v>
      </c>
      <c r="E864" s="454">
        <v>22829.8</v>
      </c>
      <c r="F864">
        <v>20193.400000000001</v>
      </c>
      <c r="G864" s="427">
        <v>0</v>
      </c>
      <c r="H864" s="155">
        <v>0</v>
      </c>
      <c r="I864">
        <v>0</v>
      </c>
      <c r="J864">
        <v>0</v>
      </c>
      <c r="K864">
        <v>0</v>
      </c>
      <c r="L864" s="4">
        <v>0</v>
      </c>
      <c r="M864" s="4">
        <v>0</v>
      </c>
      <c r="N864" s="4">
        <v>0</v>
      </c>
      <c r="O864" s="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1476.4</v>
      </c>
      <c r="X864">
        <v>1482</v>
      </c>
      <c r="Y864">
        <v>457.20000000000005</v>
      </c>
      <c r="Z864">
        <v>0</v>
      </c>
      <c r="AA864">
        <v>0</v>
      </c>
      <c r="AB864">
        <v>0</v>
      </c>
      <c r="AC864">
        <v>0</v>
      </c>
      <c r="AD864">
        <v>3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1828.6</v>
      </c>
      <c r="AK864">
        <v>1800.7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560.70000000000005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0</v>
      </c>
      <c r="BN864">
        <v>0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  <c r="CF864">
        <v>0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  <c r="CN864">
        <v>0</v>
      </c>
      <c r="CO864">
        <v>0</v>
      </c>
      <c r="CP864">
        <v>3.5</v>
      </c>
      <c r="CQ864">
        <v>0</v>
      </c>
      <c r="CR864">
        <v>528</v>
      </c>
      <c r="CS864">
        <v>581.79999999999995</v>
      </c>
      <c r="CT864">
        <v>555.40000000000009</v>
      </c>
      <c r="CU864">
        <v>737.4</v>
      </c>
      <c r="CV864">
        <v>1039.0999999999999</v>
      </c>
      <c r="CW864">
        <v>1667.3</v>
      </c>
      <c r="CX864">
        <v>877.6</v>
      </c>
      <c r="CY864">
        <v>910.40000000000009</v>
      </c>
      <c r="CZ864">
        <v>0</v>
      </c>
      <c r="DA864">
        <v>0</v>
      </c>
      <c r="DB864">
        <v>0</v>
      </c>
      <c r="DC864">
        <v>0</v>
      </c>
      <c r="DD864">
        <v>0</v>
      </c>
      <c r="DE864">
        <v>0</v>
      </c>
      <c r="DF864">
        <v>0</v>
      </c>
      <c r="DG864">
        <v>0</v>
      </c>
      <c r="DH864">
        <v>0</v>
      </c>
      <c r="DI864">
        <v>0</v>
      </c>
      <c r="DJ864">
        <v>0</v>
      </c>
      <c r="DK864">
        <v>0</v>
      </c>
      <c r="DL864">
        <v>995.5</v>
      </c>
      <c r="DM864">
        <v>712.7</v>
      </c>
      <c r="DN864">
        <v>0</v>
      </c>
      <c r="DO864">
        <v>0</v>
      </c>
      <c r="DP864">
        <v>0</v>
      </c>
      <c r="DQ864">
        <v>0</v>
      </c>
      <c r="DR864">
        <v>0</v>
      </c>
      <c r="DS864">
        <v>0</v>
      </c>
      <c r="DT864">
        <v>0</v>
      </c>
      <c r="DU864">
        <v>0</v>
      </c>
      <c r="DV864">
        <v>0</v>
      </c>
      <c r="DW864">
        <v>0</v>
      </c>
      <c r="DX864">
        <v>0</v>
      </c>
      <c r="DY864">
        <v>0</v>
      </c>
      <c r="DZ864">
        <v>0</v>
      </c>
      <c r="EA864">
        <v>0</v>
      </c>
      <c r="EB864">
        <v>0</v>
      </c>
      <c r="EC864">
        <v>0</v>
      </c>
      <c r="ED864">
        <v>0</v>
      </c>
      <c r="EE864">
        <v>0</v>
      </c>
      <c r="EF864">
        <v>0</v>
      </c>
      <c r="EG864">
        <v>0</v>
      </c>
      <c r="EH864">
        <v>0</v>
      </c>
      <c r="EI864">
        <v>0</v>
      </c>
      <c r="EJ864">
        <v>0</v>
      </c>
      <c r="EK864">
        <v>0</v>
      </c>
      <c r="EL864">
        <v>0</v>
      </c>
      <c r="EM864">
        <v>0</v>
      </c>
      <c r="EN864">
        <v>27.4</v>
      </c>
      <c r="EO864">
        <v>0</v>
      </c>
      <c r="EP864">
        <v>1002.5</v>
      </c>
      <c r="EQ864">
        <v>0</v>
      </c>
      <c r="ER864">
        <v>494</v>
      </c>
      <c r="ES864">
        <v>0</v>
      </c>
      <c r="ET864">
        <v>699.3</v>
      </c>
      <c r="EU864">
        <v>435.4</v>
      </c>
      <c r="EV864">
        <v>0</v>
      </c>
      <c r="EW864">
        <v>0</v>
      </c>
      <c r="EX864">
        <v>0</v>
      </c>
      <c r="EY864">
        <v>0</v>
      </c>
      <c r="EZ864">
        <v>0</v>
      </c>
      <c r="FA864">
        <v>0</v>
      </c>
      <c r="FB864">
        <v>0</v>
      </c>
      <c r="FC864">
        <v>0</v>
      </c>
      <c r="FD864">
        <v>95.6</v>
      </c>
      <c r="FE864">
        <v>1792.1</v>
      </c>
      <c r="FF864">
        <v>1740.1999999999998</v>
      </c>
      <c r="FG864">
        <v>954.9</v>
      </c>
      <c r="FH864">
        <v>1087.8000000000002</v>
      </c>
      <c r="FI864">
        <v>1892.1</v>
      </c>
      <c r="FJ864">
        <v>1222.5</v>
      </c>
      <c r="FK864">
        <v>678.3</v>
      </c>
      <c r="FL864">
        <v>639.1</v>
      </c>
      <c r="FM864">
        <v>520.5</v>
      </c>
      <c r="FN864">
        <v>123.8</v>
      </c>
      <c r="FO864">
        <v>181.6</v>
      </c>
      <c r="FP864">
        <v>1090.5</v>
      </c>
      <c r="FQ864">
        <v>0</v>
      </c>
      <c r="FR864">
        <v>0</v>
      </c>
      <c r="FS864">
        <v>0</v>
      </c>
      <c r="FT864">
        <v>0</v>
      </c>
      <c r="FU864">
        <v>0</v>
      </c>
      <c r="FV864">
        <v>0</v>
      </c>
      <c r="FW864">
        <v>0</v>
      </c>
      <c r="FX864">
        <v>0</v>
      </c>
      <c r="FY864">
        <v>0</v>
      </c>
      <c r="FZ864">
        <v>0</v>
      </c>
      <c r="GA864">
        <v>0</v>
      </c>
      <c r="GB864">
        <v>0</v>
      </c>
      <c r="GC864">
        <v>0</v>
      </c>
      <c r="GD864">
        <v>0</v>
      </c>
      <c r="GE864">
        <v>0</v>
      </c>
      <c r="GF864">
        <v>198.3</v>
      </c>
      <c r="GG864">
        <v>1054.4000000000001</v>
      </c>
      <c r="GH864">
        <v>552.79999999999995</v>
      </c>
      <c r="GI864">
        <v>522</v>
      </c>
      <c r="GJ864">
        <v>0</v>
      </c>
      <c r="GK864">
        <v>0</v>
      </c>
      <c r="GL864">
        <v>0</v>
      </c>
      <c r="GM864">
        <v>0</v>
      </c>
      <c r="GN864">
        <v>791.40000000000009</v>
      </c>
      <c r="GO864">
        <v>1816.5</v>
      </c>
      <c r="GP864">
        <v>0</v>
      </c>
      <c r="GQ864">
        <v>0</v>
      </c>
      <c r="GR864">
        <v>0</v>
      </c>
      <c r="GS864">
        <v>0</v>
      </c>
      <c r="GT864">
        <v>0</v>
      </c>
      <c r="GU864">
        <v>0</v>
      </c>
      <c r="GV864">
        <v>0</v>
      </c>
      <c r="GW864">
        <v>0</v>
      </c>
      <c r="GX864">
        <v>0</v>
      </c>
      <c r="GY864">
        <v>840.3</v>
      </c>
      <c r="GZ864">
        <v>0</v>
      </c>
      <c r="HA864">
        <v>0</v>
      </c>
      <c r="HB864">
        <v>0</v>
      </c>
      <c r="HC864">
        <v>380.4</v>
      </c>
      <c r="HD864">
        <v>2175.5</v>
      </c>
      <c r="HE864">
        <v>0</v>
      </c>
      <c r="HF864">
        <v>0</v>
      </c>
      <c r="HG864">
        <v>0</v>
      </c>
      <c r="HH864">
        <v>0</v>
      </c>
      <c r="HI864">
        <v>0</v>
      </c>
      <c r="HJ864">
        <v>803.40000000000009</v>
      </c>
      <c r="HK864">
        <v>1270.9000000000001</v>
      </c>
      <c r="HL864">
        <v>835.7</v>
      </c>
      <c r="HM864">
        <v>1162.5999999999999</v>
      </c>
      <c r="HN864">
        <v>0</v>
      </c>
      <c r="HO864">
        <v>0</v>
      </c>
      <c r="HP864">
        <v>0</v>
      </c>
      <c r="HQ864">
        <v>0</v>
      </c>
      <c r="HR864">
        <v>161.19999999999999</v>
      </c>
      <c r="HS864">
        <v>0</v>
      </c>
      <c r="HT864">
        <v>2048.5</v>
      </c>
      <c r="HU864">
        <v>2627.5</v>
      </c>
      <c r="HV864">
        <v>1168.5999999999999</v>
      </c>
      <c r="HW864">
        <v>388</v>
      </c>
      <c r="HX864">
        <v>0</v>
      </c>
      <c r="HY864">
        <v>0</v>
      </c>
      <c r="HZ864">
        <v>0</v>
      </c>
      <c r="IA864">
        <v>0</v>
      </c>
      <c r="IB864">
        <v>0</v>
      </c>
      <c r="IC864">
        <v>594.4</v>
      </c>
      <c r="ID864">
        <v>427.4</v>
      </c>
      <c r="IE864">
        <v>713.3</v>
      </c>
      <c r="IF864">
        <v>626.1</v>
      </c>
      <c r="IG864">
        <v>0</v>
      </c>
      <c r="IH864">
        <v>0</v>
      </c>
      <c r="II864">
        <v>995.7</v>
      </c>
      <c r="IJ864">
        <v>1156.5999999999999</v>
      </c>
      <c r="IK864">
        <v>864.6</v>
      </c>
      <c r="IL864">
        <v>316.5</v>
      </c>
      <c r="IM864">
        <v>101.5</v>
      </c>
      <c r="IN864">
        <v>71.8</v>
      </c>
      <c r="IO864">
        <v>0</v>
      </c>
      <c r="IP864">
        <v>0</v>
      </c>
      <c r="IQ864">
        <v>0</v>
      </c>
      <c r="IR864">
        <v>0</v>
      </c>
      <c r="IS864">
        <v>0</v>
      </c>
      <c r="IT864">
        <v>0</v>
      </c>
      <c r="IU864">
        <v>0</v>
      </c>
      <c r="IV864">
        <v>0</v>
      </c>
      <c r="IW864">
        <v>68</v>
      </c>
      <c r="IX864">
        <v>404.7</v>
      </c>
      <c r="IY864">
        <v>126.6</v>
      </c>
      <c r="IZ864">
        <v>126.6</v>
      </c>
      <c r="JA864">
        <v>503.7</v>
      </c>
      <c r="JB864">
        <v>570.1</v>
      </c>
      <c r="JC864">
        <v>328.3</v>
      </c>
      <c r="JD864">
        <v>0</v>
      </c>
      <c r="JE864">
        <v>0</v>
      </c>
      <c r="JF864">
        <v>0</v>
      </c>
      <c r="JG864">
        <v>0</v>
      </c>
      <c r="JH864">
        <v>287.3</v>
      </c>
      <c r="JI864">
        <v>68.2</v>
      </c>
      <c r="JJ864">
        <v>0</v>
      </c>
      <c r="JK864">
        <v>148.6</v>
      </c>
      <c r="JL864">
        <v>0</v>
      </c>
      <c r="JM864">
        <v>0</v>
      </c>
      <c r="JN864">
        <v>204.5</v>
      </c>
      <c r="JO864">
        <v>292.10000000000002</v>
      </c>
      <c r="JP864">
        <v>670.8</v>
      </c>
      <c r="JQ864">
        <v>745.2</v>
      </c>
      <c r="JR864">
        <v>242.9</v>
      </c>
    </row>
    <row r="865" spans="2:278" ht="18" thickBot="1">
      <c r="B865" s="523"/>
      <c r="C865" s="542"/>
      <c r="D865" s="526"/>
      <c r="E865" s="454">
        <v>22829.8</v>
      </c>
      <c r="F865">
        <v>20193.400000000001</v>
      </c>
      <c r="G865" s="427">
        <v>0</v>
      </c>
      <c r="H865" s="155">
        <v>0</v>
      </c>
      <c r="I865">
        <v>0</v>
      </c>
      <c r="J865">
        <v>0</v>
      </c>
      <c r="K865">
        <v>0</v>
      </c>
      <c r="L865" s="4">
        <v>0</v>
      </c>
      <c r="M865" s="4">
        <v>0</v>
      </c>
      <c r="N865" s="4">
        <v>0</v>
      </c>
      <c r="O865" s="4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1476.4</v>
      </c>
      <c r="X865">
        <v>1482</v>
      </c>
      <c r="Y865">
        <v>457.20000000000005</v>
      </c>
      <c r="Z865">
        <v>0</v>
      </c>
      <c r="AA865">
        <v>0</v>
      </c>
      <c r="AB865">
        <v>0</v>
      </c>
      <c r="AC865">
        <v>0</v>
      </c>
      <c r="AD865">
        <v>3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1828.6</v>
      </c>
      <c r="AK865">
        <v>1800.7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560.70000000000005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0</v>
      </c>
      <c r="BN865">
        <v>0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  <c r="CF865">
        <v>0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  <c r="CN865">
        <v>0</v>
      </c>
      <c r="CO865">
        <v>0</v>
      </c>
      <c r="CP865">
        <v>3.5</v>
      </c>
      <c r="CQ865">
        <v>0</v>
      </c>
      <c r="CR865">
        <v>528</v>
      </c>
      <c r="CS865">
        <v>581.79999999999995</v>
      </c>
      <c r="CT865">
        <v>555.40000000000009</v>
      </c>
      <c r="CU865">
        <v>737.4</v>
      </c>
      <c r="CV865">
        <v>1039.0999999999999</v>
      </c>
      <c r="CW865">
        <v>1667.3</v>
      </c>
      <c r="CX865">
        <v>877.6</v>
      </c>
      <c r="CY865">
        <v>910.40000000000009</v>
      </c>
      <c r="CZ865">
        <v>0</v>
      </c>
      <c r="DA865">
        <v>0</v>
      </c>
      <c r="DB865">
        <v>0</v>
      </c>
      <c r="DC865">
        <v>0</v>
      </c>
      <c r="DD865">
        <v>0</v>
      </c>
      <c r="DE865">
        <v>0</v>
      </c>
      <c r="DF865">
        <v>0</v>
      </c>
      <c r="DG865">
        <v>0</v>
      </c>
      <c r="DH865">
        <v>0</v>
      </c>
      <c r="DI865">
        <v>0</v>
      </c>
      <c r="DJ865">
        <v>0</v>
      </c>
      <c r="DK865">
        <v>0</v>
      </c>
      <c r="DL865">
        <v>995.5</v>
      </c>
      <c r="DM865">
        <v>712.7</v>
      </c>
      <c r="DN865">
        <v>0</v>
      </c>
      <c r="DO865">
        <v>0</v>
      </c>
      <c r="DP865">
        <v>0</v>
      </c>
      <c r="DQ865">
        <v>0</v>
      </c>
      <c r="DR865">
        <v>0</v>
      </c>
      <c r="DS865">
        <v>0</v>
      </c>
      <c r="DT865">
        <v>0</v>
      </c>
      <c r="DU865">
        <v>0</v>
      </c>
      <c r="DV865">
        <v>0</v>
      </c>
      <c r="DW865">
        <v>0</v>
      </c>
      <c r="DX865">
        <v>0</v>
      </c>
      <c r="DY865">
        <v>0</v>
      </c>
      <c r="DZ865">
        <v>0</v>
      </c>
      <c r="EA865">
        <v>0</v>
      </c>
      <c r="EB865">
        <v>0</v>
      </c>
      <c r="EC865">
        <v>0</v>
      </c>
      <c r="ED865">
        <v>0</v>
      </c>
      <c r="EE865">
        <v>0</v>
      </c>
      <c r="EF865">
        <v>0</v>
      </c>
      <c r="EG865">
        <v>0</v>
      </c>
      <c r="EH865">
        <v>0</v>
      </c>
      <c r="EI865">
        <v>0</v>
      </c>
      <c r="EJ865">
        <v>0</v>
      </c>
      <c r="EK865">
        <v>0</v>
      </c>
      <c r="EL865">
        <v>0</v>
      </c>
      <c r="EM865">
        <v>0</v>
      </c>
      <c r="EN865">
        <v>27.4</v>
      </c>
      <c r="EO865">
        <v>0</v>
      </c>
      <c r="EP865">
        <v>1002.5</v>
      </c>
      <c r="EQ865">
        <v>0</v>
      </c>
      <c r="ER865">
        <v>494</v>
      </c>
      <c r="ES865">
        <v>0</v>
      </c>
      <c r="ET865">
        <v>699.3</v>
      </c>
      <c r="EU865">
        <v>435.4</v>
      </c>
      <c r="EV865">
        <v>0</v>
      </c>
      <c r="EW865">
        <v>0</v>
      </c>
      <c r="EX865">
        <v>0</v>
      </c>
      <c r="EY865">
        <v>0</v>
      </c>
      <c r="EZ865">
        <v>0</v>
      </c>
      <c r="FA865">
        <v>0</v>
      </c>
      <c r="FB865">
        <v>0</v>
      </c>
      <c r="FC865">
        <v>0</v>
      </c>
      <c r="FD865">
        <v>95.6</v>
      </c>
      <c r="FE865">
        <v>1792.1</v>
      </c>
      <c r="FF865">
        <v>1740.1999999999998</v>
      </c>
      <c r="FG865">
        <v>954.9</v>
      </c>
      <c r="FH865">
        <v>1087.8000000000002</v>
      </c>
      <c r="FI865">
        <v>1892.1</v>
      </c>
      <c r="FJ865">
        <v>1222.5</v>
      </c>
      <c r="FK865">
        <v>678.3</v>
      </c>
      <c r="FL865">
        <v>639.1</v>
      </c>
      <c r="FM865">
        <v>520.5</v>
      </c>
      <c r="FN865">
        <v>123.8</v>
      </c>
      <c r="FO865">
        <v>181.6</v>
      </c>
      <c r="FP865">
        <v>1090.5</v>
      </c>
      <c r="FQ865">
        <v>0</v>
      </c>
      <c r="FR865">
        <v>0</v>
      </c>
      <c r="FS865">
        <v>0</v>
      </c>
      <c r="FT865">
        <v>0</v>
      </c>
      <c r="FU865">
        <v>0</v>
      </c>
      <c r="FV865">
        <v>0</v>
      </c>
      <c r="FW865">
        <v>0</v>
      </c>
      <c r="FX865">
        <v>0</v>
      </c>
      <c r="FY865">
        <v>0</v>
      </c>
      <c r="FZ865">
        <v>0</v>
      </c>
      <c r="GA865">
        <v>0</v>
      </c>
      <c r="GB865">
        <v>0</v>
      </c>
      <c r="GC865">
        <v>0</v>
      </c>
      <c r="GD865">
        <v>0</v>
      </c>
      <c r="GE865">
        <v>0</v>
      </c>
      <c r="GF865">
        <v>198.3</v>
      </c>
      <c r="GG865">
        <v>1054.4000000000001</v>
      </c>
      <c r="GH865">
        <v>552.79999999999995</v>
      </c>
      <c r="GI865">
        <v>522</v>
      </c>
      <c r="GJ865">
        <v>0</v>
      </c>
      <c r="GK865">
        <v>0</v>
      </c>
      <c r="GL865">
        <v>0</v>
      </c>
      <c r="GM865">
        <v>0</v>
      </c>
      <c r="GN865">
        <v>791.40000000000009</v>
      </c>
      <c r="GO865">
        <v>1816.5</v>
      </c>
      <c r="GP865">
        <v>0</v>
      </c>
      <c r="GQ865">
        <v>0</v>
      </c>
      <c r="GR865">
        <v>0</v>
      </c>
      <c r="GS865">
        <v>0</v>
      </c>
      <c r="GT865">
        <v>0</v>
      </c>
      <c r="GU865">
        <v>0</v>
      </c>
      <c r="GV865">
        <v>0</v>
      </c>
      <c r="GW865">
        <v>0</v>
      </c>
      <c r="GX865">
        <v>0</v>
      </c>
      <c r="GY865">
        <v>840.3</v>
      </c>
      <c r="GZ865">
        <v>0</v>
      </c>
      <c r="HA865">
        <v>0</v>
      </c>
      <c r="HB865">
        <v>0</v>
      </c>
      <c r="HC865">
        <v>380.4</v>
      </c>
      <c r="HD865">
        <v>2175.5</v>
      </c>
      <c r="HE865">
        <v>0</v>
      </c>
      <c r="HF865">
        <v>0</v>
      </c>
      <c r="HG865">
        <v>0</v>
      </c>
      <c r="HH865">
        <v>0</v>
      </c>
      <c r="HI865">
        <v>0</v>
      </c>
      <c r="HJ865">
        <v>803.40000000000009</v>
      </c>
      <c r="HK865">
        <v>1270.9000000000001</v>
      </c>
      <c r="HL865">
        <v>835.7</v>
      </c>
      <c r="HM865">
        <v>1162.5999999999999</v>
      </c>
      <c r="HN865">
        <v>0</v>
      </c>
      <c r="HO865">
        <v>0</v>
      </c>
      <c r="HP865">
        <v>0</v>
      </c>
      <c r="HQ865">
        <v>0</v>
      </c>
      <c r="HR865">
        <v>161.19999999999999</v>
      </c>
      <c r="HS865">
        <v>0</v>
      </c>
      <c r="HT865">
        <v>2048.5</v>
      </c>
      <c r="HU865">
        <v>2627.5</v>
      </c>
      <c r="HV865">
        <v>1168.5999999999999</v>
      </c>
      <c r="HW865">
        <v>388</v>
      </c>
      <c r="HX865">
        <v>0</v>
      </c>
      <c r="HY865">
        <v>0</v>
      </c>
      <c r="HZ865">
        <v>0</v>
      </c>
      <c r="IA865">
        <v>0</v>
      </c>
      <c r="IB865">
        <v>0</v>
      </c>
      <c r="IC865">
        <v>594.4</v>
      </c>
      <c r="ID865">
        <v>427.4</v>
      </c>
      <c r="IE865">
        <v>713.3</v>
      </c>
      <c r="IF865">
        <v>626.1</v>
      </c>
      <c r="IG865">
        <v>0</v>
      </c>
      <c r="IH865">
        <v>0</v>
      </c>
      <c r="II865">
        <v>995.7</v>
      </c>
      <c r="IJ865">
        <v>1156.5999999999999</v>
      </c>
      <c r="IK865">
        <v>864.6</v>
      </c>
      <c r="IL865">
        <v>316.5</v>
      </c>
      <c r="IM865">
        <v>101.5</v>
      </c>
      <c r="IN865">
        <v>71.8</v>
      </c>
      <c r="IO865">
        <v>0</v>
      </c>
      <c r="IP865">
        <v>0</v>
      </c>
      <c r="IQ865">
        <v>0</v>
      </c>
      <c r="IR865">
        <v>0</v>
      </c>
      <c r="IS865">
        <v>0</v>
      </c>
      <c r="IT865">
        <v>0</v>
      </c>
      <c r="IU865">
        <v>0</v>
      </c>
      <c r="IV865">
        <v>0</v>
      </c>
      <c r="IW865">
        <v>68</v>
      </c>
      <c r="IX865">
        <v>404.7</v>
      </c>
      <c r="IY865">
        <v>126.6</v>
      </c>
      <c r="IZ865">
        <v>126.6</v>
      </c>
      <c r="JA865">
        <v>503.7</v>
      </c>
      <c r="JB865">
        <v>570.1</v>
      </c>
      <c r="JC865">
        <v>328.3</v>
      </c>
      <c r="JD865">
        <v>0</v>
      </c>
      <c r="JE865">
        <v>0</v>
      </c>
      <c r="JF865">
        <v>0</v>
      </c>
      <c r="JG865">
        <v>0</v>
      </c>
      <c r="JH865">
        <v>287.3</v>
      </c>
      <c r="JI865">
        <v>68.2</v>
      </c>
      <c r="JJ865">
        <v>0</v>
      </c>
      <c r="JK865">
        <v>148.6</v>
      </c>
      <c r="JL865">
        <v>0</v>
      </c>
      <c r="JM865">
        <v>0</v>
      </c>
      <c r="JN865">
        <v>204.5</v>
      </c>
      <c r="JO865">
        <v>292.10000000000002</v>
      </c>
      <c r="JP865">
        <v>670.8</v>
      </c>
      <c r="JQ865">
        <v>745.2</v>
      </c>
      <c r="JR865">
        <v>242.9</v>
      </c>
    </row>
    <row r="866" spans="2:278" ht="18" thickBot="1">
      <c r="B866" s="368" t="s">
        <v>594</v>
      </c>
      <c r="C866" s="411" t="s">
        <v>1542</v>
      </c>
      <c r="D866" s="368" t="s">
        <v>1418</v>
      </c>
      <c r="E866" s="454">
        <v>22829.8</v>
      </c>
      <c r="F866">
        <v>20193.400000000001</v>
      </c>
      <c r="G866" s="427">
        <v>0</v>
      </c>
      <c r="H866" s="155">
        <v>0</v>
      </c>
      <c r="I866">
        <v>0</v>
      </c>
      <c r="J866">
        <v>0</v>
      </c>
      <c r="K866">
        <v>0</v>
      </c>
      <c r="L866" s="4">
        <v>0</v>
      </c>
      <c r="M866" s="4">
        <v>0</v>
      </c>
      <c r="N866" s="4">
        <v>0</v>
      </c>
      <c r="O866" s="4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1476.4</v>
      </c>
      <c r="X866">
        <v>1482</v>
      </c>
      <c r="Y866">
        <v>457.20000000000005</v>
      </c>
      <c r="Z866">
        <v>0</v>
      </c>
      <c r="AA866">
        <v>0</v>
      </c>
      <c r="AB866">
        <v>0</v>
      </c>
      <c r="AC866">
        <v>0</v>
      </c>
      <c r="AD866">
        <v>3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1828.6</v>
      </c>
      <c r="AK866">
        <v>1800.7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560.70000000000005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  <c r="CF866">
        <v>0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  <c r="CN866">
        <v>0</v>
      </c>
      <c r="CO866">
        <v>0</v>
      </c>
      <c r="CP866">
        <v>3.5</v>
      </c>
      <c r="CQ866">
        <v>0</v>
      </c>
      <c r="CR866">
        <v>528</v>
      </c>
      <c r="CS866">
        <v>581.79999999999995</v>
      </c>
      <c r="CT866">
        <v>555.40000000000009</v>
      </c>
      <c r="CU866">
        <v>737.4</v>
      </c>
      <c r="CV866">
        <v>1039.0999999999999</v>
      </c>
      <c r="CW866">
        <v>1667.3</v>
      </c>
      <c r="CX866">
        <v>877.6</v>
      </c>
      <c r="CY866">
        <v>910.40000000000009</v>
      </c>
      <c r="CZ866">
        <v>0</v>
      </c>
      <c r="DA866">
        <v>0</v>
      </c>
      <c r="DB866">
        <v>0</v>
      </c>
      <c r="DC866">
        <v>0</v>
      </c>
      <c r="DD866">
        <v>0</v>
      </c>
      <c r="DE866">
        <v>0</v>
      </c>
      <c r="DF866">
        <v>0</v>
      </c>
      <c r="DG866">
        <v>0</v>
      </c>
      <c r="DH866">
        <v>0</v>
      </c>
      <c r="DI866">
        <v>0</v>
      </c>
      <c r="DJ866">
        <v>0</v>
      </c>
      <c r="DK866">
        <v>0</v>
      </c>
      <c r="DL866">
        <v>995.5</v>
      </c>
      <c r="DM866">
        <v>712.7</v>
      </c>
      <c r="DN866">
        <v>0</v>
      </c>
      <c r="DO866">
        <v>0</v>
      </c>
      <c r="DP866">
        <v>0</v>
      </c>
      <c r="DQ866">
        <v>0</v>
      </c>
      <c r="DR866">
        <v>0</v>
      </c>
      <c r="DS866">
        <v>0</v>
      </c>
      <c r="DT866">
        <v>0</v>
      </c>
      <c r="DU866">
        <v>0</v>
      </c>
      <c r="DV866">
        <v>0</v>
      </c>
      <c r="DW866">
        <v>0</v>
      </c>
      <c r="DX866">
        <v>0</v>
      </c>
      <c r="DY866">
        <v>0</v>
      </c>
      <c r="DZ866">
        <v>0</v>
      </c>
      <c r="EA866">
        <v>0</v>
      </c>
      <c r="EB866">
        <v>0</v>
      </c>
      <c r="EC866">
        <v>0</v>
      </c>
      <c r="ED866">
        <v>0</v>
      </c>
      <c r="EE866">
        <v>0</v>
      </c>
      <c r="EF866">
        <v>0</v>
      </c>
      <c r="EG866">
        <v>0</v>
      </c>
      <c r="EH866">
        <v>0</v>
      </c>
      <c r="EI866">
        <v>0</v>
      </c>
      <c r="EJ866">
        <v>0</v>
      </c>
      <c r="EK866">
        <v>0</v>
      </c>
      <c r="EL866">
        <v>0</v>
      </c>
      <c r="EM866">
        <v>0</v>
      </c>
      <c r="EN866">
        <v>27.4</v>
      </c>
      <c r="EO866">
        <v>0</v>
      </c>
      <c r="EP866">
        <v>1002.5</v>
      </c>
      <c r="EQ866">
        <v>0</v>
      </c>
      <c r="ER866">
        <v>494</v>
      </c>
      <c r="ES866">
        <v>0</v>
      </c>
      <c r="ET866">
        <v>699.3</v>
      </c>
      <c r="EU866">
        <v>435.4</v>
      </c>
      <c r="EV866">
        <v>0</v>
      </c>
      <c r="EW866">
        <v>0</v>
      </c>
      <c r="EX866">
        <v>0</v>
      </c>
      <c r="EY866">
        <v>0</v>
      </c>
      <c r="EZ866">
        <v>0</v>
      </c>
      <c r="FA866">
        <v>0</v>
      </c>
      <c r="FB866">
        <v>0</v>
      </c>
      <c r="FC866">
        <v>0</v>
      </c>
      <c r="FD866">
        <v>95.6</v>
      </c>
      <c r="FE866">
        <v>1792.1</v>
      </c>
      <c r="FF866">
        <v>1740.1999999999998</v>
      </c>
      <c r="FG866">
        <v>954.9</v>
      </c>
      <c r="FH866">
        <v>1087.8000000000002</v>
      </c>
      <c r="FI866">
        <v>1892.1</v>
      </c>
      <c r="FJ866">
        <v>1222.5</v>
      </c>
      <c r="FK866">
        <v>678.3</v>
      </c>
      <c r="FL866">
        <v>639.1</v>
      </c>
      <c r="FM866">
        <v>520.5</v>
      </c>
      <c r="FN866">
        <v>123.8</v>
      </c>
      <c r="FO866">
        <v>181.6</v>
      </c>
      <c r="FP866">
        <v>1090.5</v>
      </c>
      <c r="FQ866">
        <v>0</v>
      </c>
      <c r="FR866">
        <v>0</v>
      </c>
      <c r="FS866">
        <v>0</v>
      </c>
      <c r="FT866">
        <v>0</v>
      </c>
      <c r="FU866">
        <v>0</v>
      </c>
      <c r="FV866">
        <v>0</v>
      </c>
      <c r="FW866">
        <v>0</v>
      </c>
      <c r="FX866">
        <v>0</v>
      </c>
      <c r="FY866">
        <v>0</v>
      </c>
      <c r="FZ866">
        <v>0</v>
      </c>
      <c r="GA866">
        <v>0</v>
      </c>
      <c r="GB866">
        <v>0</v>
      </c>
      <c r="GC866">
        <v>0</v>
      </c>
      <c r="GD866">
        <v>0</v>
      </c>
      <c r="GE866">
        <v>0</v>
      </c>
      <c r="GF866">
        <v>198.3</v>
      </c>
      <c r="GG866">
        <v>1054.4000000000001</v>
      </c>
      <c r="GH866">
        <v>552.79999999999995</v>
      </c>
      <c r="GI866">
        <v>522</v>
      </c>
      <c r="GJ866">
        <v>0</v>
      </c>
      <c r="GK866">
        <v>0</v>
      </c>
      <c r="GL866">
        <v>0</v>
      </c>
      <c r="GM866">
        <v>0</v>
      </c>
      <c r="GN866">
        <v>791.40000000000009</v>
      </c>
      <c r="GO866">
        <v>1816.5</v>
      </c>
      <c r="GP866">
        <v>0</v>
      </c>
      <c r="GQ866">
        <v>0</v>
      </c>
      <c r="GR866">
        <v>0</v>
      </c>
      <c r="GS866">
        <v>0</v>
      </c>
      <c r="GT866">
        <v>0</v>
      </c>
      <c r="GU866">
        <v>0</v>
      </c>
      <c r="GV866">
        <v>0</v>
      </c>
      <c r="GW866">
        <v>0</v>
      </c>
      <c r="GX866">
        <v>0</v>
      </c>
      <c r="GY866">
        <v>840.3</v>
      </c>
      <c r="GZ866">
        <v>0</v>
      </c>
      <c r="HA866">
        <v>0</v>
      </c>
      <c r="HB866">
        <v>0</v>
      </c>
      <c r="HC866">
        <v>380.4</v>
      </c>
      <c r="HD866">
        <v>2175.5</v>
      </c>
      <c r="HE866">
        <v>0</v>
      </c>
      <c r="HF866">
        <v>0</v>
      </c>
      <c r="HG866">
        <v>0</v>
      </c>
      <c r="HH866">
        <v>0</v>
      </c>
      <c r="HI866">
        <v>0</v>
      </c>
      <c r="HJ866">
        <v>803.40000000000009</v>
      </c>
      <c r="HK866">
        <v>1270.9000000000001</v>
      </c>
      <c r="HL866">
        <v>835.7</v>
      </c>
      <c r="HM866">
        <v>1162.5999999999999</v>
      </c>
      <c r="HN866">
        <v>0</v>
      </c>
      <c r="HO866">
        <v>0</v>
      </c>
      <c r="HP866">
        <v>0</v>
      </c>
      <c r="HQ866">
        <v>0</v>
      </c>
      <c r="HR866">
        <v>161.19999999999999</v>
      </c>
      <c r="HS866">
        <v>0</v>
      </c>
      <c r="HT866">
        <v>2048.5</v>
      </c>
      <c r="HU866">
        <v>2627.5</v>
      </c>
      <c r="HV866">
        <v>1168.5999999999999</v>
      </c>
      <c r="HW866">
        <v>388</v>
      </c>
      <c r="HX866">
        <v>0</v>
      </c>
      <c r="HY866">
        <v>0</v>
      </c>
      <c r="HZ866">
        <v>0</v>
      </c>
      <c r="IA866">
        <v>0</v>
      </c>
      <c r="IB866">
        <v>0</v>
      </c>
      <c r="IC866">
        <v>594.4</v>
      </c>
      <c r="ID866">
        <v>427.4</v>
      </c>
      <c r="IE866">
        <v>713.3</v>
      </c>
      <c r="IF866">
        <v>626.1</v>
      </c>
      <c r="IG866">
        <v>0</v>
      </c>
      <c r="IH866">
        <v>0</v>
      </c>
      <c r="II866">
        <v>995.7</v>
      </c>
      <c r="IJ866">
        <v>1156.5999999999999</v>
      </c>
      <c r="IK866">
        <v>864.6</v>
      </c>
      <c r="IL866">
        <v>316.5</v>
      </c>
      <c r="IM866">
        <v>101.5</v>
      </c>
      <c r="IN866">
        <v>71.8</v>
      </c>
      <c r="IO866">
        <v>0</v>
      </c>
      <c r="IP866">
        <v>0</v>
      </c>
      <c r="IQ866">
        <v>0</v>
      </c>
      <c r="IR866">
        <v>0</v>
      </c>
      <c r="IS866">
        <v>0</v>
      </c>
      <c r="IT866">
        <v>0</v>
      </c>
      <c r="IU866">
        <v>0</v>
      </c>
      <c r="IV866">
        <v>0</v>
      </c>
      <c r="IW866">
        <v>68</v>
      </c>
      <c r="IX866">
        <v>404.7</v>
      </c>
      <c r="IY866">
        <v>126.6</v>
      </c>
      <c r="IZ866">
        <v>126.6</v>
      </c>
      <c r="JA866">
        <v>503.7</v>
      </c>
      <c r="JB866">
        <v>570.1</v>
      </c>
      <c r="JC866">
        <v>328.3</v>
      </c>
      <c r="JD866">
        <v>0</v>
      </c>
      <c r="JE866">
        <v>0</v>
      </c>
      <c r="JF866">
        <v>0</v>
      </c>
      <c r="JG866">
        <v>0</v>
      </c>
      <c r="JH866">
        <v>287.3</v>
      </c>
      <c r="JI866">
        <v>68.2</v>
      </c>
      <c r="JJ866">
        <v>0</v>
      </c>
      <c r="JK866">
        <v>148.6</v>
      </c>
      <c r="JL866">
        <v>0</v>
      </c>
      <c r="JM866">
        <v>0</v>
      </c>
      <c r="JN866">
        <v>204.5</v>
      </c>
      <c r="JO866">
        <v>292.10000000000002</v>
      </c>
      <c r="JP866">
        <v>670.8</v>
      </c>
      <c r="JQ866">
        <v>745.2</v>
      </c>
      <c r="JR866">
        <v>242.9</v>
      </c>
    </row>
    <row r="867" spans="2:278" ht="18" thickBot="1">
      <c r="B867" s="368" t="s">
        <v>1253</v>
      </c>
      <c r="C867" s="382" t="s">
        <v>1543</v>
      </c>
      <c r="D867" s="368" t="s">
        <v>1419</v>
      </c>
      <c r="E867" s="454">
        <v>22829.8</v>
      </c>
      <c r="F867">
        <v>20193.400000000001</v>
      </c>
      <c r="G867" s="427">
        <v>0</v>
      </c>
      <c r="H867" s="155">
        <v>0</v>
      </c>
      <c r="I867">
        <v>0</v>
      </c>
      <c r="J867">
        <v>0</v>
      </c>
      <c r="K867">
        <v>0</v>
      </c>
      <c r="L867" s="4">
        <v>0</v>
      </c>
      <c r="M867" s="4">
        <v>0</v>
      </c>
      <c r="N867" s="4">
        <v>0</v>
      </c>
      <c r="O867" s="4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1476.4</v>
      </c>
      <c r="X867">
        <v>1482</v>
      </c>
      <c r="Y867">
        <v>457.20000000000005</v>
      </c>
      <c r="Z867">
        <v>0</v>
      </c>
      <c r="AA867">
        <v>0</v>
      </c>
      <c r="AB867">
        <v>0</v>
      </c>
      <c r="AC867">
        <v>0</v>
      </c>
      <c r="AD867">
        <v>3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1828.6</v>
      </c>
      <c r="AK867">
        <v>1800.7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560.70000000000005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  <c r="CF867">
        <v>0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  <c r="CN867">
        <v>0</v>
      </c>
      <c r="CO867">
        <v>0</v>
      </c>
      <c r="CP867">
        <v>3.5</v>
      </c>
      <c r="CQ867">
        <v>0</v>
      </c>
      <c r="CR867">
        <v>528</v>
      </c>
      <c r="CS867">
        <v>581.79999999999995</v>
      </c>
      <c r="CT867">
        <v>555.40000000000009</v>
      </c>
      <c r="CU867">
        <v>737.4</v>
      </c>
      <c r="CV867">
        <v>1039.0999999999999</v>
      </c>
      <c r="CW867">
        <v>1667.3</v>
      </c>
      <c r="CX867">
        <v>877.6</v>
      </c>
      <c r="CY867">
        <v>910.40000000000009</v>
      </c>
      <c r="CZ867">
        <v>0</v>
      </c>
      <c r="DA867">
        <v>0</v>
      </c>
      <c r="DB867">
        <v>0</v>
      </c>
      <c r="DC867">
        <v>0</v>
      </c>
      <c r="DD867">
        <v>0</v>
      </c>
      <c r="DE867">
        <v>0</v>
      </c>
      <c r="DF867">
        <v>0</v>
      </c>
      <c r="DG867">
        <v>0</v>
      </c>
      <c r="DH867">
        <v>0</v>
      </c>
      <c r="DI867">
        <v>0</v>
      </c>
      <c r="DJ867">
        <v>0</v>
      </c>
      <c r="DK867">
        <v>0</v>
      </c>
      <c r="DL867">
        <v>995.5</v>
      </c>
      <c r="DM867">
        <v>712.7</v>
      </c>
      <c r="DN867">
        <v>0</v>
      </c>
      <c r="DO867">
        <v>0</v>
      </c>
      <c r="DP867">
        <v>0</v>
      </c>
      <c r="DQ867">
        <v>0</v>
      </c>
      <c r="DR867">
        <v>0</v>
      </c>
      <c r="DS867">
        <v>0</v>
      </c>
      <c r="DT867">
        <v>0</v>
      </c>
      <c r="DU867">
        <v>0</v>
      </c>
      <c r="DV867">
        <v>0</v>
      </c>
      <c r="DW867">
        <v>0</v>
      </c>
      <c r="DX867">
        <v>0</v>
      </c>
      <c r="DY867">
        <v>0</v>
      </c>
      <c r="DZ867">
        <v>0</v>
      </c>
      <c r="EA867">
        <v>0</v>
      </c>
      <c r="EB867">
        <v>0</v>
      </c>
      <c r="EC867">
        <v>0</v>
      </c>
      <c r="ED867">
        <v>0</v>
      </c>
      <c r="EE867">
        <v>0</v>
      </c>
      <c r="EF867">
        <v>0</v>
      </c>
      <c r="EG867">
        <v>0</v>
      </c>
      <c r="EH867">
        <v>0</v>
      </c>
      <c r="EI867">
        <v>0</v>
      </c>
      <c r="EJ867">
        <v>0</v>
      </c>
      <c r="EK867">
        <v>0</v>
      </c>
      <c r="EL867">
        <v>0</v>
      </c>
      <c r="EM867">
        <v>0</v>
      </c>
      <c r="EN867">
        <v>27.4</v>
      </c>
      <c r="EO867">
        <v>0</v>
      </c>
      <c r="EP867">
        <v>1002.5</v>
      </c>
      <c r="EQ867">
        <v>0</v>
      </c>
      <c r="ER867">
        <v>494</v>
      </c>
      <c r="ES867">
        <v>0</v>
      </c>
      <c r="ET867">
        <v>699.3</v>
      </c>
      <c r="EU867">
        <v>435.4</v>
      </c>
      <c r="EV867">
        <v>0</v>
      </c>
      <c r="EW867">
        <v>0</v>
      </c>
      <c r="EX867">
        <v>0</v>
      </c>
      <c r="EY867">
        <v>0</v>
      </c>
      <c r="EZ867">
        <v>0</v>
      </c>
      <c r="FA867">
        <v>0</v>
      </c>
      <c r="FB867">
        <v>0</v>
      </c>
      <c r="FC867">
        <v>0</v>
      </c>
      <c r="FD867">
        <v>95.6</v>
      </c>
      <c r="FE867">
        <v>1792.1</v>
      </c>
      <c r="FF867">
        <v>1740.1999999999998</v>
      </c>
      <c r="FG867">
        <v>954.9</v>
      </c>
      <c r="FH867">
        <v>1087.8000000000002</v>
      </c>
      <c r="FI867">
        <v>1892.1</v>
      </c>
      <c r="FJ867">
        <v>1222.5</v>
      </c>
      <c r="FK867">
        <v>678.3</v>
      </c>
      <c r="FL867">
        <v>639.1</v>
      </c>
      <c r="FM867">
        <v>520.5</v>
      </c>
      <c r="FN867">
        <v>123.8</v>
      </c>
      <c r="FO867">
        <v>181.6</v>
      </c>
      <c r="FP867">
        <v>1090.5</v>
      </c>
      <c r="FQ867">
        <v>0</v>
      </c>
      <c r="FR867">
        <v>0</v>
      </c>
      <c r="FS867">
        <v>0</v>
      </c>
      <c r="FT867">
        <v>0</v>
      </c>
      <c r="FU867">
        <v>0</v>
      </c>
      <c r="FV867">
        <v>0</v>
      </c>
      <c r="FW867">
        <v>0</v>
      </c>
      <c r="FX867">
        <v>0</v>
      </c>
      <c r="FY867">
        <v>0</v>
      </c>
      <c r="FZ867">
        <v>0</v>
      </c>
      <c r="GA867">
        <v>0</v>
      </c>
      <c r="GB867">
        <v>0</v>
      </c>
      <c r="GC867">
        <v>0</v>
      </c>
      <c r="GD867">
        <v>0</v>
      </c>
      <c r="GE867">
        <v>0</v>
      </c>
      <c r="GF867">
        <v>198.3</v>
      </c>
      <c r="GG867">
        <v>1054.4000000000001</v>
      </c>
      <c r="GH867">
        <v>552.79999999999995</v>
      </c>
      <c r="GI867">
        <v>522</v>
      </c>
      <c r="GJ867">
        <v>0</v>
      </c>
      <c r="GK867">
        <v>0</v>
      </c>
      <c r="GL867">
        <v>0</v>
      </c>
      <c r="GM867">
        <v>0</v>
      </c>
      <c r="GN867">
        <v>791.40000000000009</v>
      </c>
      <c r="GO867">
        <v>1816.5</v>
      </c>
      <c r="GP867">
        <v>0</v>
      </c>
      <c r="GQ867">
        <v>0</v>
      </c>
      <c r="GR867">
        <v>0</v>
      </c>
      <c r="GS867">
        <v>0</v>
      </c>
      <c r="GT867">
        <v>0</v>
      </c>
      <c r="GU867">
        <v>0</v>
      </c>
      <c r="GV867">
        <v>0</v>
      </c>
      <c r="GW867">
        <v>0</v>
      </c>
      <c r="GX867">
        <v>0</v>
      </c>
      <c r="GY867">
        <v>840.3</v>
      </c>
      <c r="GZ867">
        <v>0</v>
      </c>
      <c r="HA867">
        <v>0</v>
      </c>
      <c r="HB867">
        <v>0</v>
      </c>
      <c r="HC867">
        <v>380.4</v>
      </c>
      <c r="HD867">
        <v>2175.5</v>
      </c>
      <c r="HE867">
        <v>0</v>
      </c>
      <c r="HF867">
        <v>0</v>
      </c>
      <c r="HG867">
        <v>0</v>
      </c>
      <c r="HH867">
        <v>0</v>
      </c>
      <c r="HI867">
        <v>0</v>
      </c>
      <c r="HJ867">
        <v>803.40000000000009</v>
      </c>
      <c r="HK867">
        <v>1270.9000000000001</v>
      </c>
      <c r="HL867">
        <v>835.7</v>
      </c>
      <c r="HM867">
        <v>1162.5999999999999</v>
      </c>
      <c r="HN867">
        <v>0</v>
      </c>
      <c r="HO867">
        <v>0</v>
      </c>
      <c r="HP867">
        <v>0</v>
      </c>
      <c r="HQ867">
        <v>0</v>
      </c>
      <c r="HR867">
        <v>161.19999999999999</v>
      </c>
      <c r="HS867">
        <v>0</v>
      </c>
      <c r="HT867">
        <v>2048.5</v>
      </c>
      <c r="HU867">
        <v>2627.5</v>
      </c>
      <c r="HV867">
        <v>1168.5999999999999</v>
      </c>
      <c r="HW867">
        <v>388</v>
      </c>
      <c r="HX867">
        <v>0</v>
      </c>
      <c r="HY867">
        <v>0</v>
      </c>
      <c r="HZ867">
        <v>0</v>
      </c>
      <c r="IA867">
        <v>0</v>
      </c>
      <c r="IB867">
        <v>0</v>
      </c>
      <c r="IC867">
        <v>594.4</v>
      </c>
      <c r="ID867">
        <v>427.4</v>
      </c>
      <c r="IE867">
        <v>713.3</v>
      </c>
      <c r="IF867">
        <v>626.1</v>
      </c>
      <c r="IG867">
        <v>0</v>
      </c>
      <c r="IH867">
        <v>0</v>
      </c>
      <c r="II867">
        <v>995.7</v>
      </c>
      <c r="IJ867">
        <v>1156.5999999999999</v>
      </c>
      <c r="IK867">
        <v>864.6</v>
      </c>
      <c r="IL867">
        <v>316.5</v>
      </c>
      <c r="IM867">
        <v>101.5</v>
      </c>
      <c r="IN867">
        <v>71.8</v>
      </c>
      <c r="IO867">
        <v>0</v>
      </c>
      <c r="IP867">
        <v>0</v>
      </c>
      <c r="IQ867">
        <v>0</v>
      </c>
      <c r="IR867">
        <v>0</v>
      </c>
      <c r="IS867">
        <v>0</v>
      </c>
      <c r="IT867">
        <v>0</v>
      </c>
      <c r="IU867">
        <v>0</v>
      </c>
      <c r="IV867">
        <v>0</v>
      </c>
      <c r="IW867">
        <v>68</v>
      </c>
      <c r="IX867">
        <v>404.7</v>
      </c>
      <c r="IY867">
        <v>126.6</v>
      </c>
      <c r="IZ867">
        <v>126.6</v>
      </c>
      <c r="JA867">
        <v>503.7</v>
      </c>
      <c r="JB867">
        <v>570.1</v>
      </c>
      <c r="JC867">
        <v>328.3</v>
      </c>
      <c r="JD867">
        <v>0</v>
      </c>
      <c r="JE867">
        <v>0</v>
      </c>
      <c r="JF867">
        <v>0</v>
      </c>
      <c r="JG867">
        <v>0</v>
      </c>
      <c r="JH867">
        <v>287.3</v>
      </c>
      <c r="JI867">
        <v>68.2</v>
      </c>
      <c r="JJ867">
        <v>0</v>
      </c>
      <c r="JK867">
        <v>148.6</v>
      </c>
      <c r="JL867">
        <v>0</v>
      </c>
      <c r="JM867">
        <v>0</v>
      </c>
      <c r="JN867">
        <v>204.5</v>
      </c>
      <c r="JO867">
        <v>292.10000000000002</v>
      </c>
      <c r="JP867">
        <v>670.8</v>
      </c>
      <c r="JQ867">
        <v>745.2</v>
      </c>
      <c r="JR867">
        <v>242.9</v>
      </c>
    </row>
    <row r="868" spans="2:278" ht="18" thickBot="1">
      <c r="B868" s="368" t="s">
        <v>1254</v>
      </c>
      <c r="C868" s="382" t="s">
        <v>1544</v>
      </c>
      <c r="D868" s="368" t="s">
        <v>1420</v>
      </c>
      <c r="E868" s="454">
        <v>22829.8</v>
      </c>
      <c r="F868">
        <v>20193.400000000001</v>
      </c>
      <c r="G868" s="427">
        <v>0</v>
      </c>
      <c r="H868" s="155">
        <v>0</v>
      </c>
      <c r="I868">
        <v>0</v>
      </c>
      <c r="J868">
        <v>0</v>
      </c>
      <c r="K868">
        <v>0</v>
      </c>
      <c r="L868" s="4">
        <v>0</v>
      </c>
      <c r="M868" s="4">
        <v>0</v>
      </c>
      <c r="N868" s="4">
        <v>0</v>
      </c>
      <c r="O868" s="4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1476.4</v>
      </c>
      <c r="X868">
        <v>1482</v>
      </c>
      <c r="Y868">
        <v>457.20000000000005</v>
      </c>
      <c r="Z868">
        <v>0</v>
      </c>
      <c r="AA868">
        <v>0</v>
      </c>
      <c r="AB868">
        <v>0</v>
      </c>
      <c r="AC868">
        <v>0</v>
      </c>
      <c r="AD868">
        <v>3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1828.6</v>
      </c>
      <c r="AK868">
        <v>1800.7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560.70000000000005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  <c r="CF868">
        <v>0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  <c r="CN868">
        <v>0</v>
      </c>
      <c r="CO868">
        <v>0</v>
      </c>
      <c r="CP868">
        <v>3.5</v>
      </c>
      <c r="CQ868">
        <v>0</v>
      </c>
      <c r="CR868">
        <v>528</v>
      </c>
      <c r="CS868">
        <v>581.79999999999995</v>
      </c>
      <c r="CT868">
        <v>555.40000000000009</v>
      </c>
      <c r="CU868">
        <v>737.4</v>
      </c>
      <c r="CV868">
        <v>1039.0999999999999</v>
      </c>
      <c r="CW868">
        <v>1667.3</v>
      </c>
      <c r="CX868">
        <v>877.6</v>
      </c>
      <c r="CY868">
        <v>910.40000000000009</v>
      </c>
      <c r="CZ868">
        <v>0</v>
      </c>
      <c r="DA868">
        <v>0</v>
      </c>
      <c r="DB868">
        <v>0</v>
      </c>
      <c r="DC868">
        <v>0</v>
      </c>
      <c r="DD868">
        <v>0</v>
      </c>
      <c r="DE868">
        <v>0</v>
      </c>
      <c r="DF868">
        <v>0</v>
      </c>
      <c r="DG868">
        <v>0</v>
      </c>
      <c r="DH868">
        <v>0</v>
      </c>
      <c r="DI868">
        <v>0</v>
      </c>
      <c r="DJ868">
        <v>0</v>
      </c>
      <c r="DK868">
        <v>0</v>
      </c>
      <c r="DL868">
        <v>995.5</v>
      </c>
      <c r="DM868">
        <v>712.7</v>
      </c>
      <c r="DN868">
        <v>0</v>
      </c>
      <c r="DO868">
        <v>0</v>
      </c>
      <c r="DP868">
        <v>0</v>
      </c>
      <c r="DQ868">
        <v>0</v>
      </c>
      <c r="DR868">
        <v>0</v>
      </c>
      <c r="DS868">
        <v>0</v>
      </c>
      <c r="DT868">
        <v>0</v>
      </c>
      <c r="DU868">
        <v>0</v>
      </c>
      <c r="DV868">
        <v>0</v>
      </c>
      <c r="DW868">
        <v>0</v>
      </c>
      <c r="DX868">
        <v>0</v>
      </c>
      <c r="DY868">
        <v>0</v>
      </c>
      <c r="DZ868">
        <v>0</v>
      </c>
      <c r="EA868">
        <v>0</v>
      </c>
      <c r="EB868">
        <v>0</v>
      </c>
      <c r="EC868">
        <v>0</v>
      </c>
      <c r="ED868">
        <v>0</v>
      </c>
      <c r="EE868">
        <v>0</v>
      </c>
      <c r="EF868">
        <v>0</v>
      </c>
      <c r="EG868">
        <v>0</v>
      </c>
      <c r="EH868">
        <v>0</v>
      </c>
      <c r="EI868">
        <v>0</v>
      </c>
      <c r="EJ868">
        <v>0</v>
      </c>
      <c r="EK868">
        <v>0</v>
      </c>
      <c r="EL868">
        <v>0</v>
      </c>
      <c r="EM868">
        <v>0</v>
      </c>
      <c r="EN868">
        <v>27.4</v>
      </c>
      <c r="EO868">
        <v>0</v>
      </c>
      <c r="EP868">
        <v>1002.5</v>
      </c>
      <c r="EQ868">
        <v>0</v>
      </c>
      <c r="ER868">
        <v>494</v>
      </c>
      <c r="ES868">
        <v>0</v>
      </c>
      <c r="ET868">
        <v>699.3</v>
      </c>
      <c r="EU868">
        <v>435.4</v>
      </c>
      <c r="EV868">
        <v>0</v>
      </c>
      <c r="EW868">
        <v>0</v>
      </c>
      <c r="EX868">
        <v>0</v>
      </c>
      <c r="EY868">
        <v>0</v>
      </c>
      <c r="EZ868">
        <v>0</v>
      </c>
      <c r="FA868">
        <v>0</v>
      </c>
      <c r="FB868">
        <v>0</v>
      </c>
      <c r="FC868">
        <v>0</v>
      </c>
      <c r="FD868">
        <v>95.6</v>
      </c>
      <c r="FE868">
        <v>1792.1</v>
      </c>
      <c r="FF868">
        <v>1740.1999999999998</v>
      </c>
      <c r="FG868">
        <v>954.9</v>
      </c>
      <c r="FH868">
        <v>1087.8000000000002</v>
      </c>
      <c r="FI868">
        <v>1892.1</v>
      </c>
      <c r="FJ868">
        <v>1222.5</v>
      </c>
      <c r="FK868">
        <v>678.3</v>
      </c>
      <c r="FL868">
        <v>639.1</v>
      </c>
      <c r="FM868">
        <v>520.5</v>
      </c>
      <c r="FN868">
        <v>123.8</v>
      </c>
      <c r="FO868">
        <v>181.6</v>
      </c>
      <c r="FP868">
        <v>1090.5</v>
      </c>
      <c r="FQ868">
        <v>0</v>
      </c>
      <c r="FR868">
        <v>0</v>
      </c>
      <c r="FS868">
        <v>0</v>
      </c>
      <c r="FT868">
        <v>0</v>
      </c>
      <c r="FU868">
        <v>0</v>
      </c>
      <c r="FV868">
        <v>0</v>
      </c>
      <c r="FW868">
        <v>0</v>
      </c>
      <c r="FX868">
        <v>0</v>
      </c>
      <c r="FY868">
        <v>0</v>
      </c>
      <c r="FZ868">
        <v>0</v>
      </c>
      <c r="GA868">
        <v>0</v>
      </c>
      <c r="GB868">
        <v>0</v>
      </c>
      <c r="GC868">
        <v>0</v>
      </c>
      <c r="GD868">
        <v>0</v>
      </c>
      <c r="GE868">
        <v>0</v>
      </c>
      <c r="GF868">
        <v>198.3</v>
      </c>
      <c r="GG868">
        <v>1054.4000000000001</v>
      </c>
      <c r="GH868">
        <v>552.79999999999995</v>
      </c>
      <c r="GI868">
        <v>522</v>
      </c>
      <c r="GJ868">
        <v>0</v>
      </c>
      <c r="GK868">
        <v>0</v>
      </c>
      <c r="GL868">
        <v>0</v>
      </c>
      <c r="GM868">
        <v>0</v>
      </c>
      <c r="GN868">
        <v>791.40000000000009</v>
      </c>
      <c r="GO868">
        <v>1816.5</v>
      </c>
      <c r="GP868">
        <v>0</v>
      </c>
      <c r="GQ868">
        <v>0</v>
      </c>
      <c r="GR868">
        <v>0</v>
      </c>
      <c r="GS868">
        <v>0</v>
      </c>
      <c r="GT868">
        <v>0</v>
      </c>
      <c r="GU868">
        <v>0</v>
      </c>
      <c r="GV868">
        <v>0</v>
      </c>
      <c r="GW868">
        <v>0</v>
      </c>
      <c r="GX868">
        <v>0</v>
      </c>
      <c r="GY868">
        <v>840.3</v>
      </c>
      <c r="GZ868">
        <v>0</v>
      </c>
      <c r="HA868">
        <v>0</v>
      </c>
      <c r="HB868">
        <v>0</v>
      </c>
      <c r="HC868">
        <v>380.4</v>
      </c>
      <c r="HD868">
        <v>2175.5</v>
      </c>
      <c r="HE868">
        <v>0</v>
      </c>
      <c r="HF868">
        <v>0</v>
      </c>
      <c r="HG868">
        <v>0</v>
      </c>
      <c r="HH868">
        <v>0</v>
      </c>
      <c r="HI868">
        <v>0</v>
      </c>
      <c r="HJ868">
        <v>803.40000000000009</v>
      </c>
      <c r="HK868">
        <v>1270.9000000000001</v>
      </c>
      <c r="HL868">
        <v>835.7</v>
      </c>
      <c r="HM868">
        <v>1162.5999999999999</v>
      </c>
      <c r="HN868">
        <v>0</v>
      </c>
      <c r="HO868">
        <v>0</v>
      </c>
      <c r="HP868">
        <v>0</v>
      </c>
      <c r="HQ868">
        <v>0</v>
      </c>
      <c r="HR868">
        <v>161.19999999999999</v>
      </c>
      <c r="HS868">
        <v>0</v>
      </c>
      <c r="HT868">
        <v>2048.5</v>
      </c>
      <c r="HU868">
        <v>2627.5</v>
      </c>
      <c r="HV868">
        <v>1168.5999999999999</v>
      </c>
      <c r="HW868">
        <v>388</v>
      </c>
      <c r="HX868">
        <v>0</v>
      </c>
      <c r="HY868">
        <v>0</v>
      </c>
      <c r="HZ868">
        <v>0</v>
      </c>
      <c r="IA868">
        <v>0</v>
      </c>
      <c r="IB868">
        <v>0</v>
      </c>
      <c r="IC868">
        <v>594.4</v>
      </c>
      <c r="ID868">
        <v>427.4</v>
      </c>
      <c r="IE868">
        <v>713.3</v>
      </c>
      <c r="IF868">
        <v>626.1</v>
      </c>
      <c r="IG868">
        <v>0</v>
      </c>
      <c r="IH868">
        <v>0</v>
      </c>
      <c r="II868">
        <v>995.7</v>
      </c>
      <c r="IJ868">
        <v>1156.5999999999999</v>
      </c>
      <c r="IK868">
        <v>864.6</v>
      </c>
      <c r="IL868">
        <v>316.5</v>
      </c>
      <c r="IM868">
        <v>101.5</v>
      </c>
      <c r="IN868">
        <v>71.8</v>
      </c>
      <c r="IO868">
        <v>0</v>
      </c>
      <c r="IP868">
        <v>0</v>
      </c>
      <c r="IQ868">
        <v>0</v>
      </c>
      <c r="IR868">
        <v>0</v>
      </c>
      <c r="IS868">
        <v>0</v>
      </c>
      <c r="IT868">
        <v>0</v>
      </c>
      <c r="IU868">
        <v>0</v>
      </c>
      <c r="IV868">
        <v>0</v>
      </c>
      <c r="IW868">
        <v>68</v>
      </c>
      <c r="IX868">
        <v>404.7</v>
      </c>
      <c r="IY868">
        <v>126.6</v>
      </c>
      <c r="IZ868">
        <v>126.6</v>
      </c>
      <c r="JA868">
        <v>503.7</v>
      </c>
      <c r="JB868">
        <v>570.1</v>
      </c>
      <c r="JC868">
        <v>328.3</v>
      </c>
      <c r="JD868">
        <v>0</v>
      </c>
      <c r="JE868">
        <v>0</v>
      </c>
      <c r="JF868">
        <v>0</v>
      </c>
      <c r="JG868">
        <v>0</v>
      </c>
      <c r="JH868">
        <v>287.3</v>
      </c>
      <c r="JI868">
        <v>68.2</v>
      </c>
      <c r="JJ868">
        <v>0</v>
      </c>
      <c r="JK868">
        <v>148.6</v>
      </c>
      <c r="JL868">
        <v>0</v>
      </c>
      <c r="JM868">
        <v>0</v>
      </c>
      <c r="JN868">
        <v>204.5</v>
      </c>
      <c r="JO868">
        <v>292.10000000000002</v>
      </c>
      <c r="JP868">
        <v>670.8</v>
      </c>
      <c r="JQ868">
        <v>745.2</v>
      </c>
      <c r="JR868">
        <v>242.9</v>
      </c>
    </row>
    <row r="869" spans="2:278" ht="18" thickBot="1">
      <c r="B869" s="368" t="s">
        <v>1255</v>
      </c>
      <c r="C869" s="411" t="s">
        <v>1545</v>
      </c>
      <c r="D869" s="368" t="s">
        <v>1421</v>
      </c>
      <c r="E869" s="454">
        <v>22829.8</v>
      </c>
      <c r="F869">
        <v>20193.400000000001</v>
      </c>
      <c r="G869" s="427">
        <v>0</v>
      </c>
      <c r="H869" s="155">
        <v>0</v>
      </c>
      <c r="I869">
        <v>0</v>
      </c>
      <c r="J869">
        <v>0</v>
      </c>
      <c r="K869">
        <v>0</v>
      </c>
      <c r="L869" s="4">
        <v>0</v>
      </c>
      <c r="M869" s="4">
        <v>0</v>
      </c>
      <c r="N869" s="4">
        <v>0</v>
      </c>
      <c r="O869" s="4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1476.4</v>
      </c>
      <c r="X869">
        <v>1482</v>
      </c>
      <c r="Y869">
        <v>457.20000000000005</v>
      </c>
      <c r="Z869">
        <v>0</v>
      </c>
      <c r="AA869">
        <v>0</v>
      </c>
      <c r="AB869">
        <v>0</v>
      </c>
      <c r="AC869">
        <v>0</v>
      </c>
      <c r="AD869">
        <v>3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1828.6</v>
      </c>
      <c r="AK869">
        <v>1800.7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560.70000000000005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  <c r="CF869">
        <v>0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  <c r="CN869">
        <v>0</v>
      </c>
      <c r="CO869">
        <v>0</v>
      </c>
      <c r="CP869">
        <v>3.5</v>
      </c>
      <c r="CQ869">
        <v>0</v>
      </c>
      <c r="CR869">
        <v>528</v>
      </c>
      <c r="CS869">
        <v>581.79999999999995</v>
      </c>
      <c r="CT869">
        <v>555.40000000000009</v>
      </c>
      <c r="CU869">
        <v>737.4</v>
      </c>
      <c r="CV869">
        <v>1039.0999999999999</v>
      </c>
      <c r="CW869">
        <v>1667.3</v>
      </c>
      <c r="CX869">
        <v>877.6</v>
      </c>
      <c r="CY869">
        <v>910.40000000000009</v>
      </c>
      <c r="CZ869">
        <v>0</v>
      </c>
      <c r="DA869">
        <v>0</v>
      </c>
      <c r="DB869">
        <v>0</v>
      </c>
      <c r="DC869">
        <v>0</v>
      </c>
      <c r="DD869">
        <v>0</v>
      </c>
      <c r="DE869">
        <v>0</v>
      </c>
      <c r="DF869">
        <v>0</v>
      </c>
      <c r="DG869">
        <v>0</v>
      </c>
      <c r="DH869">
        <v>0</v>
      </c>
      <c r="DI869">
        <v>0</v>
      </c>
      <c r="DJ869">
        <v>0</v>
      </c>
      <c r="DK869">
        <v>0</v>
      </c>
      <c r="DL869">
        <v>995.5</v>
      </c>
      <c r="DM869">
        <v>712.7</v>
      </c>
      <c r="DN869">
        <v>0</v>
      </c>
      <c r="DO869">
        <v>0</v>
      </c>
      <c r="DP869">
        <v>0</v>
      </c>
      <c r="DQ869">
        <v>0</v>
      </c>
      <c r="DR869">
        <v>0</v>
      </c>
      <c r="DS869">
        <v>0</v>
      </c>
      <c r="DT869">
        <v>0</v>
      </c>
      <c r="DU869">
        <v>0</v>
      </c>
      <c r="DV869">
        <v>0</v>
      </c>
      <c r="DW869">
        <v>0</v>
      </c>
      <c r="DX869">
        <v>0</v>
      </c>
      <c r="DY869">
        <v>0</v>
      </c>
      <c r="DZ869">
        <v>0</v>
      </c>
      <c r="EA869">
        <v>0</v>
      </c>
      <c r="EB869">
        <v>0</v>
      </c>
      <c r="EC869">
        <v>0</v>
      </c>
      <c r="ED869">
        <v>0</v>
      </c>
      <c r="EE869">
        <v>0</v>
      </c>
      <c r="EF869">
        <v>0</v>
      </c>
      <c r="EG869">
        <v>0</v>
      </c>
      <c r="EH869">
        <v>0</v>
      </c>
      <c r="EI869">
        <v>0</v>
      </c>
      <c r="EJ869">
        <v>0</v>
      </c>
      <c r="EK869">
        <v>0</v>
      </c>
      <c r="EL869">
        <v>0</v>
      </c>
      <c r="EM869">
        <v>0</v>
      </c>
      <c r="EN869">
        <v>27.4</v>
      </c>
      <c r="EO869">
        <v>0</v>
      </c>
      <c r="EP869">
        <v>1002.5</v>
      </c>
      <c r="EQ869">
        <v>0</v>
      </c>
      <c r="ER869">
        <v>494</v>
      </c>
      <c r="ES869">
        <v>0</v>
      </c>
      <c r="ET869">
        <v>699.3</v>
      </c>
      <c r="EU869">
        <v>435.4</v>
      </c>
      <c r="EV869">
        <v>0</v>
      </c>
      <c r="EW869">
        <v>0</v>
      </c>
      <c r="EX869">
        <v>0</v>
      </c>
      <c r="EY869">
        <v>0</v>
      </c>
      <c r="EZ869">
        <v>0</v>
      </c>
      <c r="FA869">
        <v>0</v>
      </c>
      <c r="FB869">
        <v>0</v>
      </c>
      <c r="FC869">
        <v>0</v>
      </c>
      <c r="FD869">
        <v>95.6</v>
      </c>
      <c r="FE869">
        <v>1792.1</v>
      </c>
      <c r="FF869">
        <v>1740.1999999999998</v>
      </c>
      <c r="FG869">
        <v>954.9</v>
      </c>
      <c r="FH869">
        <v>1087.8000000000002</v>
      </c>
      <c r="FI869">
        <v>1892.1</v>
      </c>
      <c r="FJ869">
        <v>1222.5</v>
      </c>
      <c r="FK869">
        <v>678.3</v>
      </c>
      <c r="FL869">
        <v>639.1</v>
      </c>
      <c r="FM869">
        <v>520.5</v>
      </c>
      <c r="FN869">
        <v>123.8</v>
      </c>
      <c r="FO869">
        <v>181.6</v>
      </c>
      <c r="FP869">
        <v>1090.5</v>
      </c>
      <c r="FQ869">
        <v>0</v>
      </c>
      <c r="FR869">
        <v>0</v>
      </c>
      <c r="FS869">
        <v>0</v>
      </c>
      <c r="FT869">
        <v>0</v>
      </c>
      <c r="FU869">
        <v>0</v>
      </c>
      <c r="FV869">
        <v>0</v>
      </c>
      <c r="FW869">
        <v>0</v>
      </c>
      <c r="FX869">
        <v>0</v>
      </c>
      <c r="FY869">
        <v>0</v>
      </c>
      <c r="FZ869">
        <v>0</v>
      </c>
      <c r="GA869">
        <v>0</v>
      </c>
      <c r="GB869">
        <v>0</v>
      </c>
      <c r="GC869">
        <v>0</v>
      </c>
      <c r="GD869">
        <v>0</v>
      </c>
      <c r="GE869">
        <v>0</v>
      </c>
      <c r="GF869">
        <v>198.3</v>
      </c>
      <c r="GG869">
        <v>1054.4000000000001</v>
      </c>
      <c r="GH869">
        <v>552.79999999999995</v>
      </c>
      <c r="GI869">
        <v>522</v>
      </c>
      <c r="GJ869">
        <v>0</v>
      </c>
      <c r="GK869">
        <v>0</v>
      </c>
      <c r="GL869">
        <v>0</v>
      </c>
      <c r="GM869">
        <v>0</v>
      </c>
      <c r="GN869">
        <v>791.40000000000009</v>
      </c>
      <c r="GO869">
        <v>1816.5</v>
      </c>
      <c r="GP869">
        <v>0</v>
      </c>
      <c r="GQ869">
        <v>0</v>
      </c>
      <c r="GR869">
        <v>0</v>
      </c>
      <c r="GS869">
        <v>0</v>
      </c>
      <c r="GT869">
        <v>0</v>
      </c>
      <c r="GU869">
        <v>0</v>
      </c>
      <c r="GV869">
        <v>0</v>
      </c>
      <c r="GW869">
        <v>0</v>
      </c>
      <c r="GX869">
        <v>0</v>
      </c>
      <c r="GY869">
        <v>840.3</v>
      </c>
      <c r="GZ869">
        <v>0</v>
      </c>
      <c r="HA869">
        <v>0</v>
      </c>
      <c r="HB869">
        <v>0</v>
      </c>
      <c r="HC869">
        <v>380.4</v>
      </c>
      <c r="HD869">
        <v>2175.5</v>
      </c>
      <c r="HE869">
        <v>0</v>
      </c>
      <c r="HF869">
        <v>0</v>
      </c>
      <c r="HG869">
        <v>0</v>
      </c>
      <c r="HH869">
        <v>0</v>
      </c>
      <c r="HI869">
        <v>0</v>
      </c>
      <c r="HJ869">
        <v>803.40000000000009</v>
      </c>
      <c r="HK869">
        <v>1270.9000000000001</v>
      </c>
      <c r="HL869">
        <v>835.7</v>
      </c>
      <c r="HM869">
        <v>1162.5999999999999</v>
      </c>
      <c r="HN869">
        <v>0</v>
      </c>
      <c r="HO869">
        <v>0</v>
      </c>
      <c r="HP869">
        <v>0</v>
      </c>
      <c r="HQ869">
        <v>0</v>
      </c>
      <c r="HR869">
        <v>161.19999999999999</v>
      </c>
      <c r="HS869">
        <v>0</v>
      </c>
      <c r="HT869">
        <v>2048.5</v>
      </c>
      <c r="HU869">
        <v>2627.5</v>
      </c>
      <c r="HV869">
        <v>1168.5999999999999</v>
      </c>
      <c r="HW869">
        <v>388</v>
      </c>
      <c r="HX869">
        <v>0</v>
      </c>
      <c r="HY869">
        <v>0</v>
      </c>
      <c r="HZ869">
        <v>0</v>
      </c>
      <c r="IA869">
        <v>0</v>
      </c>
      <c r="IB869">
        <v>0</v>
      </c>
      <c r="IC869">
        <v>594.4</v>
      </c>
      <c r="ID869">
        <v>427.4</v>
      </c>
      <c r="IE869">
        <v>713.3</v>
      </c>
      <c r="IF869">
        <v>626.1</v>
      </c>
      <c r="IG869">
        <v>0</v>
      </c>
      <c r="IH869">
        <v>0</v>
      </c>
      <c r="II869">
        <v>995.7</v>
      </c>
      <c r="IJ869">
        <v>1156.5999999999999</v>
      </c>
      <c r="IK869">
        <v>864.6</v>
      </c>
      <c r="IL869">
        <v>316.5</v>
      </c>
      <c r="IM869">
        <v>101.5</v>
      </c>
      <c r="IN869">
        <v>71.8</v>
      </c>
      <c r="IO869">
        <v>0</v>
      </c>
      <c r="IP869">
        <v>0</v>
      </c>
      <c r="IQ869">
        <v>0</v>
      </c>
      <c r="IR869">
        <v>0</v>
      </c>
      <c r="IS869">
        <v>0</v>
      </c>
      <c r="IT869">
        <v>0</v>
      </c>
      <c r="IU869">
        <v>0</v>
      </c>
      <c r="IV869">
        <v>0</v>
      </c>
      <c r="IW869">
        <v>68</v>
      </c>
      <c r="IX869">
        <v>404.7</v>
      </c>
      <c r="IY869">
        <v>126.6</v>
      </c>
      <c r="IZ869">
        <v>126.6</v>
      </c>
      <c r="JA869">
        <v>503.7</v>
      </c>
      <c r="JB869">
        <v>570.1</v>
      </c>
      <c r="JC869">
        <v>328.3</v>
      </c>
      <c r="JD869">
        <v>0</v>
      </c>
      <c r="JE869">
        <v>0</v>
      </c>
      <c r="JF869">
        <v>0</v>
      </c>
      <c r="JG869">
        <v>0</v>
      </c>
      <c r="JH869">
        <v>287.3</v>
      </c>
      <c r="JI869">
        <v>68.2</v>
      </c>
      <c r="JJ869">
        <v>0</v>
      </c>
      <c r="JK869">
        <v>148.6</v>
      </c>
      <c r="JL869">
        <v>0</v>
      </c>
      <c r="JM869">
        <v>0</v>
      </c>
      <c r="JN869">
        <v>204.5</v>
      </c>
      <c r="JO869">
        <v>292.10000000000002</v>
      </c>
      <c r="JP869">
        <v>670.8</v>
      </c>
      <c r="JQ869">
        <v>745.2</v>
      </c>
      <c r="JR869">
        <v>242.9</v>
      </c>
    </row>
    <row r="870" spans="2:278" ht="18" thickBot="1">
      <c r="B870" s="368" t="s">
        <v>1256</v>
      </c>
      <c r="C870" s="413" t="s">
        <v>1546</v>
      </c>
      <c r="D870" s="368" t="s">
        <v>1387</v>
      </c>
      <c r="E870" s="454">
        <v>22829.8</v>
      </c>
      <c r="F870">
        <v>20193.400000000001</v>
      </c>
      <c r="G870" s="427">
        <v>0</v>
      </c>
      <c r="H870" s="155">
        <v>0</v>
      </c>
      <c r="I870">
        <v>0</v>
      </c>
      <c r="J870">
        <v>0</v>
      </c>
      <c r="K870">
        <v>0</v>
      </c>
      <c r="L870" s="4">
        <v>0</v>
      </c>
      <c r="M870" s="4">
        <v>0</v>
      </c>
      <c r="N870" s="4">
        <v>0</v>
      </c>
      <c r="O870" s="4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1476.4</v>
      </c>
      <c r="X870">
        <v>1482</v>
      </c>
      <c r="Y870">
        <v>457.20000000000005</v>
      </c>
      <c r="Z870">
        <v>0</v>
      </c>
      <c r="AA870">
        <v>0</v>
      </c>
      <c r="AB870">
        <v>0</v>
      </c>
      <c r="AC870">
        <v>0</v>
      </c>
      <c r="AD870">
        <v>3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1828.6</v>
      </c>
      <c r="AK870">
        <v>1800.7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560.70000000000005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  <c r="CF870">
        <v>0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  <c r="CN870">
        <v>0</v>
      </c>
      <c r="CO870">
        <v>0</v>
      </c>
      <c r="CP870">
        <v>3.5</v>
      </c>
      <c r="CQ870">
        <v>0</v>
      </c>
      <c r="CR870">
        <v>528</v>
      </c>
      <c r="CS870">
        <v>581.79999999999995</v>
      </c>
      <c r="CT870">
        <v>555.40000000000009</v>
      </c>
      <c r="CU870">
        <v>737.4</v>
      </c>
      <c r="CV870">
        <v>1039.0999999999999</v>
      </c>
      <c r="CW870">
        <v>1667.3</v>
      </c>
      <c r="CX870">
        <v>877.6</v>
      </c>
      <c r="CY870">
        <v>910.40000000000009</v>
      </c>
      <c r="CZ870">
        <v>0</v>
      </c>
      <c r="DA870">
        <v>0</v>
      </c>
      <c r="DB870">
        <v>0</v>
      </c>
      <c r="DC870">
        <v>0</v>
      </c>
      <c r="DD870">
        <v>0</v>
      </c>
      <c r="DE870">
        <v>0</v>
      </c>
      <c r="DF870">
        <v>0</v>
      </c>
      <c r="DG870">
        <v>0</v>
      </c>
      <c r="DH870">
        <v>0</v>
      </c>
      <c r="DI870">
        <v>0</v>
      </c>
      <c r="DJ870">
        <v>0</v>
      </c>
      <c r="DK870">
        <v>0</v>
      </c>
      <c r="DL870">
        <v>995.5</v>
      </c>
      <c r="DM870">
        <v>712.7</v>
      </c>
      <c r="DN870">
        <v>0</v>
      </c>
      <c r="DO870">
        <v>0</v>
      </c>
      <c r="DP870">
        <v>0</v>
      </c>
      <c r="DQ870">
        <v>0</v>
      </c>
      <c r="DR870">
        <v>0</v>
      </c>
      <c r="DS870">
        <v>0</v>
      </c>
      <c r="DT870">
        <v>0</v>
      </c>
      <c r="DU870">
        <v>0</v>
      </c>
      <c r="DV870">
        <v>0</v>
      </c>
      <c r="DW870">
        <v>0</v>
      </c>
      <c r="DX870">
        <v>0</v>
      </c>
      <c r="DY870">
        <v>0</v>
      </c>
      <c r="DZ870">
        <v>0</v>
      </c>
      <c r="EA870">
        <v>0</v>
      </c>
      <c r="EB870">
        <v>0</v>
      </c>
      <c r="EC870">
        <v>0</v>
      </c>
      <c r="ED870">
        <v>0</v>
      </c>
      <c r="EE870">
        <v>0</v>
      </c>
      <c r="EF870">
        <v>0</v>
      </c>
      <c r="EG870">
        <v>0</v>
      </c>
      <c r="EH870">
        <v>0</v>
      </c>
      <c r="EI870">
        <v>0</v>
      </c>
      <c r="EJ870">
        <v>0</v>
      </c>
      <c r="EK870">
        <v>0</v>
      </c>
      <c r="EL870">
        <v>0</v>
      </c>
      <c r="EM870">
        <v>0</v>
      </c>
      <c r="EN870">
        <v>27.4</v>
      </c>
      <c r="EO870">
        <v>0</v>
      </c>
      <c r="EP870">
        <v>1002.5</v>
      </c>
      <c r="EQ870">
        <v>0</v>
      </c>
      <c r="ER870">
        <v>494</v>
      </c>
      <c r="ES870">
        <v>0</v>
      </c>
      <c r="ET870">
        <v>699.3</v>
      </c>
      <c r="EU870">
        <v>435.4</v>
      </c>
      <c r="EV870">
        <v>0</v>
      </c>
      <c r="EW870">
        <v>0</v>
      </c>
      <c r="EX870">
        <v>0</v>
      </c>
      <c r="EY870">
        <v>0</v>
      </c>
      <c r="EZ870">
        <v>0</v>
      </c>
      <c r="FA870">
        <v>0</v>
      </c>
      <c r="FB870">
        <v>0</v>
      </c>
      <c r="FC870">
        <v>0</v>
      </c>
      <c r="FD870">
        <v>95.6</v>
      </c>
      <c r="FE870">
        <v>1792.1</v>
      </c>
      <c r="FF870">
        <v>1740.1999999999998</v>
      </c>
      <c r="FG870">
        <v>954.9</v>
      </c>
      <c r="FH870">
        <v>1087.8000000000002</v>
      </c>
      <c r="FI870">
        <v>1892.1</v>
      </c>
      <c r="FJ870">
        <v>1222.5</v>
      </c>
      <c r="FK870">
        <v>678.3</v>
      </c>
      <c r="FL870">
        <v>639.1</v>
      </c>
      <c r="FM870">
        <v>520.5</v>
      </c>
      <c r="FN870">
        <v>123.8</v>
      </c>
      <c r="FO870">
        <v>181.6</v>
      </c>
      <c r="FP870">
        <v>1090.5</v>
      </c>
      <c r="FQ870">
        <v>0</v>
      </c>
      <c r="FR870">
        <v>0</v>
      </c>
      <c r="FS870">
        <v>0</v>
      </c>
      <c r="FT870">
        <v>0</v>
      </c>
      <c r="FU870">
        <v>0</v>
      </c>
      <c r="FV870">
        <v>0</v>
      </c>
      <c r="FW870">
        <v>0</v>
      </c>
      <c r="FX870">
        <v>0</v>
      </c>
      <c r="FY870">
        <v>0</v>
      </c>
      <c r="FZ870">
        <v>0</v>
      </c>
      <c r="GA870">
        <v>0</v>
      </c>
      <c r="GB870">
        <v>0</v>
      </c>
      <c r="GC870">
        <v>0</v>
      </c>
      <c r="GD870">
        <v>0</v>
      </c>
      <c r="GE870">
        <v>0</v>
      </c>
      <c r="GF870">
        <v>198.3</v>
      </c>
      <c r="GG870">
        <v>1054.4000000000001</v>
      </c>
      <c r="GH870">
        <v>552.79999999999995</v>
      </c>
      <c r="GI870">
        <v>522</v>
      </c>
      <c r="GJ870">
        <v>0</v>
      </c>
      <c r="GK870">
        <v>0</v>
      </c>
      <c r="GL870">
        <v>0</v>
      </c>
      <c r="GM870">
        <v>0</v>
      </c>
      <c r="GN870">
        <v>791.40000000000009</v>
      </c>
      <c r="GO870">
        <v>1816.5</v>
      </c>
      <c r="GP870">
        <v>0</v>
      </c>
      <c r="GQ870">
        <v>0</v>
      </c>
      <c r="GR870">
        <v>0</v>
      </c>
      <c r="GS870">
        <v>0</v>
      </c>
      <c r="GT870">
        <v>0</v>
      </c>
      <c r="GU870">
        <v>0</v>
      </c>
      <c r="GV870">
        <v>0</v>
      </c>
      <c r="GW870">
        <v>0</v>
      </c>
      <c r="GX870">
        <v>0</v>
      </c>
      <c r="GY870">
        <v>840.3</v>
      </c>
      <c r="GZ870">
        <v>0</v>
      </c>
      <c r="HA870">
        <v>0</v>
      </c>
      <c r="HB870">
        <v>0</v>
      </c>
      <c r="HC870">
        <v>380.4</v>
      </c>
      <c r="HD870">
        <v>2175.5</v>
      </c>
      <c r="HE870">
        <v>0</v>
      </c>
      <c r="HF870">
        <v>0</v>
      </c>
      <c r="HG870">
        <v>0</v>
      </c>
      <c r="HH870">
        <v>0</v>
      </c>
      <c r="HI870">
        <v>0</v>
      </c>
      <c r="HJ870">
        <v>803.40000000000009</v>
      </c>
      <c r="HK870">
        <v>1270.9000000000001</v>
      </c>
      <c r="HL870">
        <v>835.7</v>
      </c>
      <c r="HM870">
        <v>1162.5999999999999</v>
      </c>
      <c r="HN870">
        <v>0</v>
      </c>
      <c r="HO870">
        <v>0</v>
      </c>
      <c r="HP870">
        <v>0</v>
      </c>
      <c r="HQ870">
        <v>0</v>
      </c>
      <c r="HR870">
        <v>161.19999999999999</v>
      </c>
      <c r="HS870">
        <v>0</v>
      </c>
      <c r="HT870">
        <v>2048.5</v>
      </c>
      <c r="HU870">
        <v>2627.5</v>
      </c>
      <c r="HV870">
        <v>1168.5999999999999</v>
      </c>
      <c r="HW870">
        <v>388</v>
      </c>
      <c r="HX870">
        <v>0</v>
      </c>
      <c r="HY870">
        <v>0</v>
      </c>
      <c r="HZ870">
        <v>0</v>
      </c>
      <c r="IA870">
        <v>0</v>
      </c>
      <c r="IB870">
        <v>0</v>
      </c>
      <c r="IC870">
        <v>594.4</v>
      </c>
      <c r="ID870">
        <v>427.4</v>
      </c>
      <c r="IE870">
        <v>713.3</v>
      </c>
      <c r="IF870">
        <v>626.1</v>
      </c>
      <c r="IG870">
        <v>0</v>
      </c>
      <c r="IH870">
        <v>0</v>
      </c>
      <c r="II870">
        <v>995.7</v>
      </c>
      <c r="IJ870">
        <v>1156.5999999999999</v>
      </c>
      <c r="IK870">
        <v>864.6</v>
      </c>
      <c r="IL870">
        <v>316.5</v>
      </c>
      <c r="IM870">
        <v>101.5</v>
      </c>
      <c r="IN870">
        <v>71.8</v>
      </c>
      <c r="IO870">
        <v>0</v>
      </c>
      <c r="IP870">
        <v>0</v>
      </c>
      <c r="IQ870">
        <v>0</v>
      </c>
      <c r="IR870">
        <v>0</v>
      </c>
      <c r="IS870">
        <v>0</v>
      </c>
      <c r="IT870">
        <v>0</v>
      </c>
      <c r="IU870">
        <v>0</v>
      </c>
      <c r="IV870">
        <v>0</v>
      </c>
      <c r="IW870">
        <v>68</v>
      </c>
      <c r="IX870">
        <v>404.7</v>
      </c>
      <c r="IY870">
        <v>126.6</v>
      </c>
      <c r="IZ870">
        <v>126.6</v>
      </c>
      <c r="JA870">
        <v>503.7</v>
      </c>
      <c r="JB870">
        <v>570.1</v>
      </c>
      <c r="JC870">
        <v>328.3</v>
      </c>
      <c r="JD870">
        <v>0</v>
      </c>
      <c r="JE870">
        <v>0</v>
      </c>
      <c r="JF870">
        <v>0</v>
      </c>
      <c r="JG870">
        <v>0</v>
      </c>
      <c r="JH870">
        <v>287.3</v>
      </c>
      <c r="JI870">
        <v>68.2</v>
      </c>
      <c r="JJ870">
        <v>0</v>
      </c>
      <c r="JK870">
        <v>148.6</v>
      </c>
      <c r="JL870">
        <v>0</v>
      </c>
      <c r="JM870">
        <v>0</v>
      </c>
      <c r="JN870">
        <v>204.5</v>
      </c>
      <c r="JO870">
        <v>292.10000000000002</v>
      </c>
      <c r="JP870">
        <v>670.8</v>
      </c>
      <c r="JQ870">
        <v>745.2</v>
      </c>
      <c r="JR870">
        <v>242.9</v>
      </c>
    </row>
    <row r="871" spans="2:278" ht="18" thickBot="1">
      <c r="B871" s="368" t="s">
        <v>1257</v>
      </c>
      <c r="C871" s="411" t="s">
        <v>1547</v>
      </c>
      <c r="D871" s="368" t="s">
        <v>1422</v>
      </c>
      <c r="E871" s="454">
        <v>22829.8</v>
      </c>
      <c r="F871">
        <v>20193.400000000001</v>
      </c>
      <c r="G871" s="427">
        <v>0</v>
      </c>
      <c r="H871" s="155">
        <v>0</v>
      </c>
      <c r="I871">
        <v>0</v>
      </c>
      <c r="J871">
        <v>0</v>
      </c>
      <c r="K871">
        <v>0</v>
      </c>
      <c r="L871" s="4">
        <v>0</v>
      </c>
      <c r="M871" s="4">
        <v>0</v>
      </c>
      <c r="N871" s="4">
        <v>0</v>
      </c>
      <c r="O871" s="4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1476.4</v>
      </c>
      <c r="X871">
        <v>1482</v>
      </c>
      <c r="Y871">
        <v>457.20000000000005</v>
      </c>
      <c r="Z871">
        <v>0</v>
      </c>
      <c r="AA871">
        <v>0</v>
      </c>
      <c r="AB871">
        <v>0</v>
      </c>
      <c r="AC871">
        <v>0</v>
      </c>
      <c r="AD871">
        <v>3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1828.6</v>
      </c>
      <c r="AK871">
        <v>1800.7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560.70000000000005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0</v>
      </c>
      <c r="BN871">
        <v>0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  <c r="CF871">
        <v>0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  <c r="CN871">
        <v>0</v>
      </c>
      <c r="CO871">
        <v>0</v>
      </c>
      <c r="CP871">
        <v>3.5</v>
      </c>
      <c r="CQ871">
        <v>0</v>
      </c>
      <c r="CR871">
        <v>528</v>
      </c>
      <c r="CS871">
        <v>581.79999999999995</v>
      </c>
      <c r="CT871">
        <v>555.40000000000009</v>
      </c>
      <c r="CU871">
        <v>737.4</v>
      </c>
      <c r="CV871">
        <v>1039.0999999999999</v>
      </c>
      <c r="CW871">
        <v>1667.3</v>
      </c>
      <c r="CX871">
        <v>877.6</v>
      </c>
      <c r="CY871">
        <v>910.40000000000009</v>
      </c>
      <c r="CZ871">
        <v>0</v>
      </c>
      <c r="DA871">
        <v>0</v>
      </c>
      <c r="DB871">
        <v>0</v>
      </c>
      <c r="DC871">
        <v>0</v>
      </c>
      <c r="DD871">
        <v>0</v>
      </c>
      <c r="DE871">
        <v>0</v>
      </c>
      <c r="DF871">
        <v>0</v>
      </c>
      <c r="DG871">
        <v>0</v>
      </c>
      <c r="DH871">
        <v>0</v>
      </c>
      <c r="DI871">
        <v>0</v>
      </c>
      <c r="DJ871">
        <v>0</v>
      </c>
      <c r="DK871">
        <v>0</v>
      </c>
      <c r="DL871">
        <v>995.5</v>
      </c>
      <c r="DM871">
        <v>712.7</v>
      </c>
      <c r="DN871">
        <v>0</v>
      </c>
      <c r="DO871">
        <v>0</v>
      </c>
      <c r="DP871">
        <v>0</v>
      </c>
      <c r="DQ871">
        <v>0</v>
      </c>
      <c r="DR871">
        <v>0</v>
      </c>
      <c r="DS871">
        <v>0</v>
      </c>
      <c r="DT871">
        <v>0</v>
      </c>
      <c r="DU871">
        <v>0</v>
      </c>
      <c r="DV871">
        <v>0</v>
      </c>
      <c r="DW871">
        <v>0</v>
      </c>
      <c r="DX871">
        <v>0</v>
      </c>
      <c r="DY871">
        <v>0</v>
      </c>
      <c r="DZ871">
        <v>0</v>
      </c>
      <c r="EA871">
        <v>0</v>
      </c>
      <c r="EB871">
        <v>0</v>
      </c>
      <c r="EC871">
        <v>0</v>
      </c>
      <c r="ED871">
        <v>0</v>
      </c>
      <c r="EE871">
        <v>0</v>
      </c>
      <c r="EF871">
        <v>0</v>
      </c>
      <c r="EG871">
        <v>0</v>
      </c>
      <c r="EH871">
        <v>0</v>
      </c>
      <c r="EI871">
        <v>0</v>
      </c>
      <c r="EJ871">
        <v>0</v>
      </c>
      <c r="EK871">
        <v>0</v>
      </c>
      <c r="EL871">
        <v>0</v>
      </c>
      <c r="EM871">
        <v>0</v>
      </c>
      <c r="EN871">
        <v>27.4</v>
      </c>
      <c r="EO871">
        <v>0</v>
      </c>
      <c r="EP871">
        <v>1002.5</v>
      </c>
      <c r="EQ871">
        <v>0</v>
      </c>
      <c r="ER871">
        <v>494</v>
      </c>
      <c r="ES871">
        <v>0</v>
      </c>
      <c r="ET871">
        <v>699.3</v>
      </c>
      <c r="EU871">
        <v>435.4</v>
      </c>
      <c r="EV871">
        <v>0</v>
      </c>
      <c r="EW871">
        <v>0</v>
      </c>
      <c r="EX871">
        <v>0</v>
      </c>
      <c r="EY871">
        <v>0</v>
      </c>
      <c r="EZ871">
        <v>0</v>
      </c>
      <c r="FA871">
        <v>0</v>
      </c>
      <c r="FB871">
        <v>0</v>
      </c>
      <c r="FC871">
        <v>0</v>
      </c>
      <c r="FD871">
        <v>95.6</v>
      </c>
      <c r="FE871">
        <v>1792.1</v>
      </c>
      <c r="FF871">
        <v>1740.1999999999998</v>
      </c>
      <c r="FG871">
        <v>954.9</v>
      </c>
      <c r="FH871">
        <v>1087.8000000000002</v>
      </c>
      <c r="FI871">
        <v>1892.1</v>
      </c>
      <c r="FJ871">
        <v>1222.5</v>
      </c>
      <c r="FK871">
        <v>678.3</v>
      </c>
      <c r="FL871">
        <v>639.1</v>
      </c>
      <c r="FM871">
        <v>520.5</v>
      </c>
      <c r="FN871">
        <v>123.8</v>
      </c>
      <c r="FO871">
        <v>181.6</v>
      </c>
      <c r="FP871">
        <v>1090.5</v>
      </c>
      <c r="FQ871">
        <v>0</v>
      </c>
      <c r="FR871">
        <v>0</v>
      </c>
      <c r="FS871">
        <v>0</v>
      </c>
      <c r="FT871">
        <v>0</v>
      </c>
      <c r="FU871">
        <v>0</v>
      </c>
      <c r="FV871">
        <v>0</v>
      </c>
      <c r="FW871">
        <v>0</v>
      </c>
      <c r="FX871">
        <v>0</v>
      </c>
      <c r="FY871">
        <v>0</v>
      </c>
      <c r="FZ871">
        <v>0</v>
      </c>
      <c r="GA871">
        <v>0</v>
      </c>
      <c r="GB871">
        <v>0</v>
      </c>
      <c r="GC871">
        <v>0</v>
      </c>
      <c r="GD871">
        <v>0</v>
      </c>
      <c r="GE871">
        <v>0</v>
      </c>
      <c r="GF871">
        <v>198.3</v>
      </c>
      <c r="GG871">
        <v>1054.4000000000001</v>
      </c>
      <c r="GH871">
        <v>552.79999999999995</v>
      </c>
      <c r="GI871">
        <v>522</v>
      </c>
      <c r="GJ871">
        <v>0</v>
      </c>
      <c r="GK871">
        <v>0</v>
      </c>
      <c r="GL871">
        <v>0</v>
      </c>
      <c r="GM871">
        <v>0</v>
      </c>
      <c r="GN871">
        <v>791.40000000000009</v>
      </c>
      <c r="GO871">
        <v>1816.5</v>
      </c>
      <c r="GP871">
        <v>0</v>
      </c>
      <c r="GQ871">
        <v>0</v>
      </c>
      <c r="GR871">
        <v>0</v>
      </c>
      <c r="GS871">
        <v>0</v>
      </c>
      <c r="GT871">
        <v>0</v>
      </c>
      <c r="GU871">
        <v>0</v>
      </c>
      <c r="GV871">
        <v>0</v>
      </c>
      <c r="GW871">
        <v>0</v>
      </c>
      <c r="GX871">
        <v>0</v>
      </c>
      <c r="GY871">
        <v>840.3</v>
      </c>
      <c r="GZ871">
        <v>0</v>
      </c>
      <c r="HA871">
        <v>0</v>
      </c>
      <c r="HB871">
        <v>0</v>
      </c>
      <c r="HC871">
        <v>380.4</v>
      </c>
      <c r="HD871">
        <v>2175.5</v>
      </c>
      <c r="HE871">
        <v>0</v>
      </c>
      <c r="HF871">
        <v>0</v>
      </c>
      <c r="HG871">
        <v>0</v>
      </c>
      <c r="HH871">
        <v>0</v>
      </c>
      <c r="HI871">
        <v>0</v>
      </c>
      <c r="HJ871">
        <v>803.40000000000009</v>
      </c>
      <c r="HK871">
        <v>1270.9000000000001</v>
      </c>
      <c r="HL871">
        <v>835.7</v>
      </c>
      <c r="HM871">
        <v>1162.5999999999999</v>
      </c>
      <c r="HN871">
        <v>0</v>
      </c>
      <c r="HO871">
        <v>0</v>
      </c>
      <c r="HP871">
        <v>0</v>
      </c>
      <c r="HQ871">
        <v>0</v>
      </c>
      <c r="HR871">
        <v>161.19999999999999</v>
      </c>
      <c r="HS871">
        <v>0</v>
      </c>
      <c r="HT871">
        <v>2048.5</v>
      </c>
      <c r="HU871">
        <v>2627.5</v>
      </c>
      <c r="HV871">
        <v>1168.5999999999999</v>
      </c>
      <c r="HW871">
        <v>388</v>
      </c>
      <c r="HX871">
        <v>0</v>
      </c>
      <c r="HY871">
        <v>0</v>
      </c>
      <c r="HZ871">
        <v>0</v>
      </c>
      <c r="IA871">
        <v>0</v>
      </c>
      <c r="IB871">
        <v>0</v>
      </c>
      <c r="IC871">
        <v>594.4</v>
      </c>
      <c r="ID871">
        <v>427.4</v>
      </c>
      <c r="IE871">
        <v>713.3</v>
      </c>
      <c r="IF871">
        <v>626.1</v>
      </c>
      <c r="IG871">
        <v>0</v>
      </c>
      <c r="IH871">
        <v>0</v>
      </c>
      <c r="II871">
        <v>995.7</v>
      </c>
      <c r="IJ871">
        <v>1156.5999999999999</v>
      </c>
      <c r="IK871">
        <v>864.6</v>
      </c>
      <c r="IL871">
        <v>316.5</v>
      </c>
      <c r="IM871">
        <v>101.5</v>
      </c>
      <c r="IN871">
        <v>71.8</v>
      </c>
      <c r="IO871">
        <v>0</v>
      </c>
      <c r="IP871">
        <v>0</v>
      </c>
      <c r="IQ871">
        <v>0</v>
      </c>
      <c r="IR871">
        <v>0</v>
      </c>
      <c r="IS871">
        <v>0</v>
      </c>
      <c r="IT871">
        <v>0</v>
      </c>
      <c r="IU871">
        <v>0</v>
      </c>
      <c r="IV871">
        <v>0</v>
      </c>
      <c r="IW871">
        <v>68</v>
      </c>
      <c r="IX871">
        <v>404.7</v>
      </c>
      <c r="IY871">
        <v>126.6</v>
      </c>
      <c r="IZ871">
        <v>126.6</v>
      </c>
      <c r="JA871">
        <v>503.7</v>
      </c>
      <c r="JB871">
        <v>570.1</v>
      </c>
      <c r="JC871">
        <v>328.3</v>
      </c>
      <c r="JD871">
        <v>0</v>
      </c>
      <c r="JE871">
        <v>0</v>
      </c>
      <c r="JF871">
        <v>0</v>
      </c>
      <c r="JG871">
        <v>0</v>
      </c>
      <c r="JH871">
        <v>287.3</v>
      </c>
      <c r="JI871">
        <v>68.2</v>
      </c>
      <c r="JJ871">
        <v>0</v>
      </c>
      <c r="JK871">
        <v>148.6</v>
      </c>
      <c r="JL871">
        <v>0</v>
      </c>
      <c r="JM871">
        <v>0</v>
      </c>
      <c r="JN871">
        <v>204.5</v>
      </c>
      <c r="JO871">
        <v>292.10000000000002</v>
      </c>
      <c r="JP871">
        <v>670.8</v>
      </c>
      <c r="JQ871">
        <v>745.2</v>
      </c>
      <c r="JR871">
        <v>242.9</v>
      </c>
    </row>
    <row r="872" spans="2:278" ht="18" thickBot="1">
      <c r="B872" s="368" t="s">
        <v>1258</v>
      </c>
      <c r="C872" s="411" t="s">
        <v>1548</v>
      </c>
      <c r="D872" s="368" t="s">
        <v>1422</v>
      </c>
      <c r="E872" s="454">
        <v>22829.8</v>
      </c>
      <c r="F872">
        <v>20193.400000000001</v>
      </c>
      <c r="G872" s="427">
        <v>0</v>
      </c>
      <c r="H872" s="155">
        <v>0</v>
      </c>
      <c r="I872">
        <v>0</v>
      </c>
      <c r="J872">
        <v>0</v>
      </c>
      <c r="K872">
        <v>0</v>
      </c>
      <c r="L872" s="4">
        <v>0</v>
      </c>
      <c r="M872" s="4">
        <v>0</v>
      </c>
      <c r="N872" s="4">
        <v>0</v>
      </c>
      <c r="O872" s="4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1476.4</v>
      </c>
      <c r="X872">
        <v>1482</v>
      </c>
      <c r="Y872">
        <v>457.20000000000005</v>
      </c>
      <c r="Z872">
        <v>0</v>
      </c>
      <c r="AA872">
        <v>0</v>
      </c>
      <c r="AB872">
        <v>0</v>
      </c>
      <c r="AC872">
        <v>0</v>
      </c>
      <c r="AD872">
        <v>3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1828.6</v>
      </c>
      <c r="AK872">
        <v>1800.7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560.70000000000005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0</v>
      </c>
      <c r="BN872">
        <v>0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  <c r="CF872">
        <v>0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  <c r="CN872">
        <v>0</v>
      </c>
      <c r="CO872">
        <v>0</v>
      </c>
      <c r="CP872">
        <v>3.5</v>
      </c>
      <c r="CQ872">
        <v>0</v>
      </c>
      <c r="CR872">
        <v>528</v>
      </c>
      <c r="CS872">
        <v>581.79999999999995</v>
      </c>
      <c r="CT872">
        <v>555.40000000000009</v>
      </c>
      <c r="CU872">
        <v>737.4</v>
      </c>
      <c r="CV872">
        <v>1039.0999999999999</v>
      </c>
      <c r="CW872">
        <v>1667.3</v>
      </c>
      <c r="CX872">
        <v>877.6</v>
      </c>
      <c r="CY872">
        <v>910.40000000000009</v>
      </c>
      <c r="CZ872">
        <v>0</v>
      </c>
      <c r="DA872">
        <v>0</v>
      </c>
      <c r="DB872">
        <v>0</v>
      </c>
      <c r="DC872">
        <v>0</v>
      </c>
      <c r="DD872">
        <v>0</v>
      </c>
      <c r="DE872">
        <v>0</v>
      </c>
      <c r="DF872">
        <v>0</v>
      </c>
      <c r="DG872">
        <v>0</v>
      </c>
      <c r="DH872">
        <v>0</v>
      </c>
      <c r="DI872">
        <v>0</v>
      </c>
      <c r="DJ872">
        <v>0</v>
      </c>
      <c r="DK872">
        <v>0</v>
      </c>
      <c r="DL872">
        <v>995.5</v>
      </c>
      <c r="DM872">
        <v>712.7</v>
      </c>
      <c r="DN872">
        <v>0</v>
      </c>
      <c r="DO872">
        <v>0</v>
      </c>
      <c r="DP872">
        <v>0</v>
      </c>
      <c r="DQ872">
        <v>0</v>
      </c>
      <c r="DR872">
        <v>0</v>
      </c>
      <c r="DS872">
        <v>0</v>
      </c>
      <c r="DT872">
        <v>0</v>
      </c>
      <c r="DU872">
        <v>0</v>
      </c>
      <c r="DV872">
        <v>0</v>
      </c>
      <c r="DW872">
        <v>0</v>
      </c>
      <c r="DX872">
        <v>0</v>
      </c>
      <c r="DY872">
        <v>0</v>
      </c>
      <c r="DZ872">
        <v>0</v>
      </c>
      <c r="EA872">
        <v>0</v>
      </c>
      <c r="EB872">
        <v>0</v>
      </c>
      <c r="EC872">
        <v>0</v>
      </c>
      <c r="ED872">
        <v>0</v>
      </c>
      <c r="EE872">
        <v>0</v>
      </c>
      <c r="EF872">
        <v>0</v>
      </c>
      <c r="EG872">
        <v>0</v>
      </c>
      <c r="EH872">
        <v>0</v>
      </c>
      <c r="EI872">
        <v>0</v>
      </c>
      <c r="EJ872">
        <v>0</v>
      </c>
      <c r="EK872">
        <v>0</v>
      </c>
      <c r="EL872">
        <v>0</v>
      </c>
      <c r="EM872">
        <v>0</v>
      </c>
      <c r="EN872">
        <v>27.4</v>
      </c>
      <c r="EO872">
        <v>0</v>
      </c>
      <c r="EP872">
        <v>1002.5</v>
      </c>
      <c r="EQ872">
        <v>0</v>
      </c>
      <c r="ER872">
        <v>494</v>
      </c>
      <c r="ES872">
        <v>0</v>
      </c>
      <c r="ET872">
        <v>699.3</v>
      </c>
      <c r="EU872">
        <v>435.4</v>
      </c>
      <c r="EV872">
        <v>0</v>
      </c>
      <c r="EW872">
        <v>0</v>
      </c>
      <c r="EX872">
        <v>0</v>
      </c>
      <c r="EY872">
        <v>0</v>
      </c>
      <c r="EZ872">
        <v>0</v>
      </c>
      <c r="FA872">
        <v>0</v>
      </c>
      <c r="FB872">
        <v>0</v>
      </c>
      <c r="FC872">
        <v>0</v>
      </c>
      <c r="FD872">
        <v>95.6</v>
      </c>
      <c r="FE872">
        <v>1792.1</v>
      </c>
      <c r="FF872">
        <v>1740.1999999999998</v>
      </c>
      <c r="FG872">
        <v>954.9</v>
      </c>
      <c r="FH872">
        <v>1087.8000000000002</v>
      </c>
      <c r="FI872">
        <v>1892.1</v>
      </c>
      <c r="FJ872">
        <v>1222.5</v>
      </c>
      <c r="FK872">
        <v>678.3</v>
      </c>
      <c r="FL872">
        <v>639.1</v>
      </c>
      <c r="FM872">
        <v>520.5</v>
      </c>
      <c r="FN872">
        <v>123.8</v>
      </c>
      <c r="FO872">
        <v>181.6</v>
      </c>
      <c r="FP872">
        <v>1090.5</v>
      </c>
      <c r="FQ872">
        <v>0</v>
      </c>
      <c r="FR872">
        <v>0</v>
      </c>
      <c r="FS872">
        <v>0</v>
      </c>
      <c r="FT872">
        <v>0</v>
      </c>
      <c r="FU872">
        <v>0</v>
      </c>
      <c r="FV872">
        <v>0</v>
      </c>
      <c r="FW872">
        <v>0</v>
      </c>
      <c r="FX872">
        <v>0</v>
      </c>
      <c r="FY872">
        <v>0</v>
      </c>
      <c r="FZ872">
        <v>0</v>
      </c>
      <c r="GA872">
        <v>0</v>
      </c>
      <c r="GB872">
        <v>0</v>
      </c>
      <c r="GC872">
        <v>0</v>
      </c>
      <c r="GD872">
        <v>0</v>
      </c>
      <c r="GE872">
        <v>0</v>
      </c>
      <c r="GF872">
        <v>198.3</v>
      </c>
      <c r="GG872">
        <v>1054.4000000000001</v>
      </c>
      <c r="GH872">
        <v>552.79999999999995</v>
      </c>
      <c r="GI872">
        <v>522</v>
      </c>
      <c r="GJ872">
        <v>0</v>
      </c>
      <c r="GK872">
        <v>0</v>
      </c>
      <c r="GL872">
        <v>0</v>
      </c>
      <c r="GM872">
        <v>0</v>
      </c>
      <c r="GN872">
        <v>791.40000000000009</v>
      </c>
      <c r="GO872">
        <v>1816.5</v>
      </c>
      <c r="GP872">
        <v>0</v>
      </c>
      <c r="GQ872">
        <v>0</v>
      </c>
      <c r="GR872">
        <v>0</v>
      </c>
      <c r="GS872">
        <v>0</v>
      </c>
      <c r="GT872">
        <v>0</v>
      </c>
      <c r="GU872">
        <v>0</v>
      </c>
      <c r="GV872">
        <v>0</v>
      </c>
      <c r="GW872">
        <v>0</v>
      </c>
      <c r="GX872">
        <v>0</v>
      </c>
      <c r="GY872">
        <v>840.3</v>
      </c>
      <c r="GZ872">
        <v>0</v>
      </c>
      <c r="HA872">
        <v>0</v>
      </c>
      <c r="HB872">
        <v>0</v>
      </c>
      <c r="HC872">
        <v>380.4</v>
      </c>
      <c r="HD872">
        <v>2175.5</v>
      </c>
      <c r="HE872">
        <v>0</v>
      </c>
      <c r="HF872">
        <v>0</v>
      </c>
      <c r="HG872">
        <v>0</v>
      </c>
      <c r="HH872">
        <v>0</v>
      </c>
      <c r="HI872">
        <v>0</v>
      </c>
      <c r="HJ872">
        <v>803.40000000000009</v>
      </c>
      <c r="HK872">
        <v>1270.9000000000001</v>
      </c>
      <c r="HL872">
        <v>835.7</v>
      </c>
      <c r="HM872">
        <v>1162.5999999999999</v>
      </c>
      <c r="HN872">
        <v>0</v>
      </c>
      <c r="HO872">
        <v>0</v>
      </c>
      <c r="HP872">
        <v>0</v>
      </c>
      <c r="HQ872">
        <v>0</v>
      </c>
      <c r="HR872">
        <v>161.19999999999999</v>
      </c>
      <c r="HS872">
        <v>0</v>
      </c>
      <c r="HT872">
        <v>2048.5</v>
      </c>
      <c r="HU872">
        <v>2627.5</v>
      </c>
      <c r="HV872">
        <v>1168.5999999999999</v>
      </c>
      <c r="HW872">
        <v>388</v>
      </c>
      <c r="HX872">
        <v>0</v>
      </c>
      <c r="HY872">
        <v>0</v>
      </c>
      <c r="HZ872">
        <v>0</v>
      </c>
      <c r="IA872">
        <v>0</v>
      </c>
      <c r="IB872">
        <v>0</v>
      </c>
      <c r="IC872">
        <v>594.4</v>
      </c>
      <c r="ID872">
        <v>427.4</v>
      </c>
      <c r="IE872">
        <v>713.3</v>
      </c>
      <c r="IF872">
        <v>626.1</v>
      </c>
      <c r="IG872">
        <v>0</v>
      </c>
      <c r="IH872">
        <v>0</v>
      </c>
      <c r="II872">
        <v>995.7</v>
      </c>
      <c r="IJ872">
        <v>1156.5999999999999</v>
      </c>
      <c r="IK872">
        <v>864.6</v>
      </c>
      <c r="IL872">
        <v>316.5</v>
      </c>
      <c r="IM872">
        <v>101.5</v>
      </c>
      <c r="IN872">
        <v>71.8</v>
      </c>
      <c r="IO872">
        <v>0</v>
      </c>
      <c r="IP872">
        <v>0</v>
      </c>
      <c r="IQ872">
        <v>0</v>
      </c>
      <c r="IR872">
        <v>0</v>
      </c>
      <c r="IS872">
        <v>0</v>
      </c>
      <c r="IT872">
        <v>0</v>
      </c>
      <c r="IU872">
        <v>0</v>
      </c>
      <c r="IV872">
        <v>0</v>
      </c>
      <c r="IW872">
        <v>68</v>
      </c>
      <c r="IX872">
        <v>404.7</v>
      </c>
      <c r="IY872">
        <v>126.6</v>
      </c>
      <c r="IZ872">
        <v>126.6</v>
      </c>
      <c r="JA872">
        <v>503.7</v>
      </c>
      <c r="JB872">
        <v>570.1</v>
      </c>
      <c r="JC872">
        <v>328.3</v>
      </c>
      <c r="JD872">
        <v>0</v>
      </c>
      <c r="JE872">
        <v>0</v>
      </c>
      <c r="JF872">
        <v>0</v>
      </c>
      <c r="JG872">
        <v>0</v>
      </c>
      <c r="JH872">
        <v>287.3</v>
      </c>
      <c r="JI872">
        <v>68.2</v>
      </c>
      <c r="JJ872">
        <v>0</v>
      </c>
      <c r="JK872">
        <v>148.6</v>
      </c>
      <c r="JL872">
        <v>0</v>
      </c>
      <c r="JM872">
        <v>0</v>
      </c>
      <c r="JN872">
        <v>204.5</v>
      </c>
      <c r="JO872">
        <v>292.10000000000002</v>
      </c>
      <c r="JP872">
        <v>670.8</v>
      </c>
      <c r="JQ872">
        <v>745.2</v>
      </c>
      <c r="JR872">
        <v>242.9</v>
      </c>
    </row>
    <row r="873" spans="2:278" ht="18" thickBot="1">
      <c r="B873" s="368" t="s">
        <v>1259</v>
      </c>
      <c r="C873" s="411" t="s">
        <v>1549</v>
      </c>
      <c r="D873" s="368" t="s">
        <v>1423</v>
      </c>
      <c r="E873" s="454">
        <v>22829.8</v>
      </c>
      <c r="F873">
        <v>20193.400000000001</v>
      </c>
      <c r="G873" s="427">
        <v>0</v>
      </c>
      <c r="H873" s="155">
        <v>0</v>
      </c>
      <c r="I873">
        <v>0</v>
      </c>
      <c r="J873">
        <v>0</v>
      </c>
      <c r="K873">
        <v>0</v>
      </c>
      <c r="L873" s="4">
        <v>0</v>
      </c>
      <c r="M873" s="4">
        <v>0</v>
      </c>
      <c r="N873" s="4">
        <v>0</v>
      </c>
      <c r="O873" s="4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1476.4</v>
      </c>
      <c r="X873">
        <v>1482</v>
      </c>
      <c r="Y873">
        <v>457.20000000000005</v>
      </c>
      <c r="Z873">
        <v>0</v>
      </c>
      <c r="AA873">
        <v>0</v>
      </c>
      <c r="AB873">
        <v>0</v>
      </c>
      <c r="AC873">
        <v>0</v>
      </c>
      <c r="AD873">
        <v>3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1828.6</v>
      </c>
      <c r="AK873">
        <v>1800.7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560.70000000000005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0</v>
      </c>
      <c r="BN873">
        <v>0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  <c r="CF873">
        <v>0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  <c r="CN873">
        <v>0</v>
      </c>
      <c r="CO873">
        <v>0</v>
      </c>
      <c r="CP873">
        <v>3.5</v>
      </c>
      <c r="CQ873">
        <v>0</v>
      </c>
      <c r="CR873">
        <v>528</v>
      </c>
      <c r="CS873">
        <v>581.79999999999995</v>
      </c>
      <c r="CT873">
        <v>555.40000000000009</v>
      </c>
      <c r="CU873">
        <v>737.4</v>
      </c>
      <c r="CV873">
        <v>1039.0999999999999</v>
      </c>
      <c r="CW873">
        <v>1667.3</v>
      </c>
      <c r="CX873">
        <v>877.6</v>
      </c>
      <c r="CY873">
        <v>910.40000000000009</v>
      </c>
      <c r="CZ873">
        <v>0</v>
      </c>
      <c r="DA873">
        <v>0</v>
      </c>
      <c r="DB873">
        <v>0</v>
      </c>
      <c r="DC873">
        <v>0</v>
      </c>
      <c r="DD873">
        <v>0</v>
      </c>
      <c r="DE873">
        <v>0</v>
      </c>
      <c r="DF873">
        <v>0</v>
      </c>
      <c r="DG873">
        <v>0</v>
      </c>
      <c r="DH873">
        <v>0</v>
      </c>
      <c r="DI873">
        <v>0</v>
      </c>
      <c r="DJ873">
        <v>0</v>
      </c>
      <c r="DK873">
        <v>0</v>
      </c>
      <c r="DL873">
        <v>995.5</v>
      </c>
      <c r="DM873">
        <v>712.7</v>
      </c>
      <c r="DN873">
        <v>0</v>
      </c>
      <c r="DO873">
        <v>0</v>
      </c>
      <c r="DP873">
        <v>0</v>
      </c>
      <c r="DQ873">
        <v>0</v>
      </c>
      <c r="DR873">
        <v>0</v>
      </c>
      <c r="DS873">
        <v>0</v>
      </c>
      <c r="DT873">
        <v>0</v>
      </c>
      <c r="DU873">
        <v>0</v>
      </c>
      <c r="DV873">
        <v>0</v>
      </c>
      <c r="DW873">
        <v>0</v>
      </c>
      <c r="DX873">
        <v>0</v>
      </c>
      <c r="DY873">
        <v>0</v>
      </c>
      <c r="DZ873">
        <v>0</v>
      </c>
      <c r="EA873">
        <v>0</v>
      </c>
      <c r="EB873">
        <v>0</v>
      </c>
      <c r="EC873">
        <v>0</v>
      </c>
      <c r="ED873">
        <v>0</v>
      </c>
      <c r="EE873">
        <v>0</v>
      </c>
      <c r="EF873">
        <v>0</v>
      </c>
      <c r="EG873">
        <v>0</v>
      </c>
      <c r="EH873">
        <v>0</v>
      </c>
      <c r="EI873">
        <v>0</v>
      </c>
      <c r="EJ873">
        <v>0</v>
      </c>
      <c r="EK873">
        <v>0</v>
      </c>
      <c r="EL873">
        <v>0</v>
      </c>
      <c r="EM873">
        <v>0</v>
      </c>
      <c r="EN873">
        <v>27.4</v>
      </c>
      <c r="EO873">
        <v>0</v>
      </c>
      <c r="EP873">
        <v>1002.5</v>
      </c>
      <c r="EQ873">
        <v>0</v>
      </c>
      <c r="ER873">
        <v>494</v>
      </c>
      <c r="ES873">
        <v>0</v>
      </c>
      <c r="ET873">
        <v>699.3</v>
      </c>
      <c r="EU873">
        <v>435.4</v>
      </c>
      <c r="EV873">
        <v>0</v>
      </c>
      <c r="EW873">
        <v>0</v>
      </c>
      <c r="EX873">
        <v>0</v>
      </c>
      <c r="EY873">
        <v>0</v>
      </c>
      <c r="EZ873">
        <v>0</v>
      </c>
      <c r="FA873">
        <v>0</v>
      </c>
      <c r="FB873">
        <v>0</v>
      </c>
      <c r="FC873">
        <v>0</v>
      </c>
      <c r="FD873">
        <v>95.6</v>
      </c>
      <c r="FE873">
        <v>1792.1</v>
      </c>
      <c r="FF873">
        <v>1740.1999999999998</v>
      </c>
      <c r="FG873">
        <v>954.9</v>
      </c>
      <c r="FH873">
        <v>1087.8000000000002</v>
      </c>
      <c r="FI873">
        <v>1892.1</v>
      </c>
      <c r="FJ873">
        <v>1222.5</v>
      </c>
      <c r="FK873">
        <v>678.3</v>
      </c>
      <c r="FL873">
        <v>639.1</v>
      </c>
      <c r="FM873">
        <v>520.5</v>
      </c>
      <c r="FN873">
        <v>123.8</v>
      </c>
      <c r="FO873">
        <v>181.6</v>
      </c>
      <c r="FP873">
        <v>1090.5</v>
      </c>
      <c r="FQ873">
        <v>0</v>
      </c>
      <c r="FR873">
        <v>0</v>
      </c>
      <c r="FS873">
        <v>0</v>
      </c>
      <c r="FT873">
        <v>0</v>
      </c>
      <c r="FU873">
        <v>0</v>
      </c>
      <c r="FV873">
        <v>0</v>
      </c>
      <c r="FW873">
        <v>0</v>
      </c>
      <c r="FX873">
        <v>0</v>
      </c>
      <c r="FY873">
        <v>0</v>
      </c>
      <c r="FZ873">
        <v>0</v>
      </c>
      <c r="GA873">
        <v>0</v>
      </c>
      <c r="GB873">
        <v>0</v>
      </c>
      <c r="GC873">
        <v>0</v>
      </c>
      <c r="GD873">
        <v>0</v>
      </c>
      <c r="GE873">
        <v>0</v>
      </c>
      <c r="GF873">
        <v>198.3</v>
      </c>
      <c r="GG873">
        <v>1054.4000000000001</v>
      </c>
      <c r="GH873">
        <v>552.79999999999995</v>
      </c>
      <c r="GI873">
        <v>522</v>
      </c>
      <c r="GJ873">
        <v>0</v>
      </c>
      <c r="GK873">
        <v>0</v>
      </c>
      <c r="GL873">
        <v>0</v>
      </c>
      <c r="GM873">
        <v>0</v>
      </c>
      <c r="GN873">
        <v>791.40000000000009</v>
      </c>
      <c r="GO873">
        <v>1816.5</v>
      </c>
      <c r="GP873">
        <v>0</v>
      </c>
      <c r="GQ873">
        <v>0</v>
      </c>
      <c r="GR873">
        <v>0</v>
      </c>
      <c r="GS873">
        <v>0</v>
      </c>
      <c r="GT873">
        <v>0</v>
      </c>
      <c r="GU873">
        <v>0</v>
      </c>
      <c r="GV873">
        <v>0</v>
      </c>
      <c r="GW873">
        <v>0</v>
      </c>
      <c r="GX873">
        <v>0</v>
      </c>
      <c r="GY873">
        <v>840.3</v>
      </c>
      <c r="GZ873">
        <v>0</v>
      </c>
      <c r="HA873">
        <v>0</v>
      </c>
      <c r="HB873">
        <v>0</v>
      </c>
      <c r="HC873">
        <v>380.4</v>
      </c>
      <c r="HD873">
        <v>2175.5</v>
      </c>
      <c r="HE873">
        <v>0</v>
      </c>
      <c r="HF873">
        <v>0</v>
      </c>
      <c r="HG873">
        <v>0</v>
      </c>
      <c r="HH873">
        <v>0</v>
      </c>
      <c r="HI873">
        <v>0</v>
      </c>
      <c r="HJ873">
        <v>803.40000000000009</v>
      </c>
      <c r="HK873">
        <v>1270.9000000000001</v>
      </c>
      <c r="HL873">
        <v>835.7</v>
      </c>
      <c r="HM873">
        <v>1162.5999999999999</v>
      </c>
      <c r="HN873">
        <v>0</v>
      </c>
      <c r="HO873">
        <v>0</v>
      </c>
      <c r="HP873">
        <v>0</v>
      </c>
      <c r="HQ873">
        <v>0</v>
      </c>
      <c r="HR873">
        <v>161.19999999999999</v>
      </c>
      <c r="HS873">
        <v>0</v>
      </c>
      <c r="HT873">
        <v>2048.5</v>
      </c>
      <c r="HU873">
        <v>2627.5</v>
      </c>
      <c r="HV873">
        <v>1168.5999999999999</v>
      </c>
      <c r="HW873">
        <v>388</v>
      </c>
      <c r="HX873">
        <v>0</v>
      </c>
      <c r="HY873">
        <v>0</v>
      </c>
      <c r="HZ873">
        <v>0</v>
      </c>
      <c r="IA873">
        <v>0</v>
      </c>
      <c r="IB873">
        <v>0</v>
      </c>
      <c r="IC873">
        <v>594.4</v>
      </c>
      <c r="ID873">
        <v>427.4</v>
      </c>
      <c r="IE873">
        <v>713.3</v>
      </c>
      <c r="IF873">
        <v>626.1</v>
      </c>
      <c r="IG873">
        <v>0</v>
      </c>
      <c r="IH873">
        <v>0</v>
      </c>
      <c r="II873">
        <v>995.7</v>
      </c>
      <c r="IJ873">
        <v>1156.5999999999999</v>
      </c>
      <c r="IK873">
        <v>864.6</v>
      </c>
      <c r="IL873">
        <v>316.5</v>
      </c>
      <c r="IM873">
        <v>101.5</v>
      </c>
      <c r="IN873">
        <v>71.8</v>
      </c>
      <c r="IO873">
        <v>0</v>
      </c>
      <c r="IP873">
        <v>0</v>
      </c>
      <c r="IQ873">
        <v>0</v>
      </c>
      <c r="IR873">
        <v>0</v>
      </c>
      <c r="IS873">
        <v>0</v>
      </c>
      <c r="IT873">
        <v>0</v>
      </c>
      <c r="IU873">
        <v>0</v>
      </c>
      <c r="IV873">
        <v>0</v>
      </c>
      <c r="IW873">
        <v>68</v>
      </c>
      <c r="IX873">
        <v>404.7</v>
      </c>
      <c r="IY873">
        <v>126.6</v>
      </c>
      <c r="IZ873">
        <v>126.6</v>
      </c>
      <c r="JA873">
        <v>503.7</v>
      </c>
      <c r="JB873">
        <v>570.1</v>
      </c>
      <c r="JC873">
        <v>328.3</v>
      </c>
      <c r="JD873">
        <v>0</v>
      </c>
      <c r="JE873">
        <v>0</v>
      </c>
      <c r="JF873">
        <v>0</v>
      </c>
      <c r="JG873">
        <v>0</v>
      </c>
      <c r="JH873">
        <v>287.3</v>
      </c>
      <c r="JI873">
        <v>68.2</v>
      </c>
      <c r="JJ873">
        <v>0</v>
      </c>
      <c r="JK873">
        <v>148.6</v>
      </c>
      <c r="JL873">
        <v>0</v>
      </c>
      <c r="JM873">
        <v>0</v>
      </c>
      <c r="JN873">
        <v>204.5</v>
      </c>
      <c r="JO873">
        <v>292.10000000000002</v>
      </c>
      <c r="JP873">
        <v>670.8</v>
      </c>
      <c r="JQ873">
        <v>745.2</v>
      </c>
      <c r="JR873">
        <v>242.9</v>
      </c>
    </row>
    <row r="874" spans="2:278" ht="18" thickBot="1">
      <c r="B874" s="368" t="s">
        <v>1260</v>
      </c>
      <c r="C874" s="411" t="s">
        <v>1550</v>
      </c>
      <c r="D874" s="368" t="s">
        <v>1424</v>
      </c>
      <c r="E874" s="454">
        <v>22829.8</v>
      </c>
      <c r="F874">
        <v>20193.400000000001</v>
      </c>
      <c r="G874" s="427">
        <v>0</v>
      </c>
      <c r="H874" s="155">
        <v>0</v>
      </c>
      <c r="I874">
        <v>0</v>
      </c>
      <c r="J874">
        <v>0</v>
      </c>
      <c r="K874">
        <v>0</v>
      </c>
      <c r="L874" s="4">
        <v>0</v>
      </c>
      <c r="M874" s="4">
        <v>0</v>
      </c>
      <c r="N874" s="4">
        <v>0</v>
      </c>
      <c r="O874" s="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1476.4</v>
      </c>
      <c r="X874">
        <v>1482</v>
      </c>
      <c r="Y874">
        <v>457.20000000000005</v>
      </c>
      <c r="Z874">
        <v>0</v>
      </c>
      <c r="AA874">
        <v>0</v>
      </c>
      <c r="AB874">
        <v>0</v>
      </c>
      <c r="AC874">
        <v>0</v>
      </c>
      <c r="AD874">
        <v>3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1828.6</v>
      </c>
      <c r="AK874">
        <v>1800.7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560.70000000000005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0</v>
      </c>
      <c r="BN874">
        <v>0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  <c r="CF874">
        <v>0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  <c r="CN874">
        <v>0</v>
      </c>
      <c r="CO874">
        <v>0</v>
      </c>
      <c r="CP874">
        <v>3.5</v>
      </c>
      <c r="CQ874">
        <v>0</v>
      </c>
      <c r="CR874">
        <v>528</v>
      </c>
      <c r="CS874">
        <v>581.79999999999995</v>
      </c>
      <c r="CT874">
        <v>555.40000000000009</v>
      </c>
      <c r="CU874">
        <v>737.4</v>
      </c>
      <c r="CV874">
        <v>1039.0999999999999</v>
      </c>
      <c r="CW874">
        <v>1667.3</v>
      </c>
      <c r="CX874">
        <v>877.6</v>
      </c>
      <c r="CY874">
        <v>910.40000000000009</v>
      </c>
      <c r="CZ874">
        <v>0</v>
      </c>
      <c r="DA874">
        <v>0</v>
      </c>
      <c r="DB874">
        <v>0</v>
      </c>
      <c r="DC874">
        <v>0</v>
      </c>
      <c r="DD874">
        <v>0</v>
      </c>
      <c r="DE874">
        <v>0</v>
      </c>
      <c r="DF874">
        <v>0</v>
      </c>
      <c r="DG874">
        <v>0</v>
      </c>
      <c r="DH874">
        <v>0</v>
      </c>
      <c r="DI874">
        <v>0</v>
      </c>
      <c r="DJ874">
        <v>0</v>
      </c>
      <c r="DK874">
        <v>0</v>
      </c>
      <c r="DL874">
        <v>995.5</v>
      </c>
      <c r="DM874">
        <v>712.7</v>
      </c>
      <c r="DN874">
        <v>0</v>
      </c>
      <c r="DO874">
        <v>0</v>
      </c>
      <c r="DP874">
        <v>0</v>
      </c>
      <c r="DQ874">
        <v>0</v>
      </c>
      <c r="DR874">
        <v>0</v>
      </c>
      <c r="DS874">
        <v>0</v>
      </c>
      <c r="DT874">
        <v>0</v>
      </c>
      <c r="DU874">
        <v>0</v>
      </c>
      <c r="DV874">
        <v>0</v>
      </c>
      <c r="DW874">
        <v>0</v>
      </c>
      <c r="DX874">
        <v>0</v>
      </c>
      <c r="DY874">
        <v>0</v>
      </c>
      <c r="DZ874">
        <v>0</v>
      </c>
      <c r="EA874">
        <v>0</v>
      </c>
      <c r="EB874">
        <v>0</v>
      </c>
      <c r="EC874">
        <v>0</v>
      </c>
      <c r="ED874">
        <v>0</v>
      </c>
      <c r="EE874">
        <v>0</v>
      </c>
      <c r="EF874">
        <v>0</v>
      </c>
      <c r="EG874">
        <v>0</v>
      </c>
      <c r="EH874">
        <v>0</v>
      </c>
      <c r="EI874">
        <v>0</v>
      </c>
      <c r="EJ874">
        <v>0</v>
      </c>
      <c r="EK874">
        <v>0</v>
      </c>
      <c r="EL874">
        <v>0</v>
      </c>
      <c r="EM874">
        <v>0</v>
      </c>
      <c r="EN874">
        <v>27.4</v>
      </c>
      <c r="EO874">
        <v>0</v>
      </c>
      <c r="EP874">
        <v>1002.5</v>
      </c>
      <c r="EQ874">
        <v>0</v>
      </c>
      <c r="ER874">
        <v>494</v>
      </c>
      <c r="ES874">
        <v>0</v>
      </c>
      <c r="ET874">
        <v>699.3</v>
      </c>
      <c r="EU874">
        <v>435.4</v>
      </c>
      <c r="EV874">
        <v>0</v>
      </c>
      <c r="EW874">
        <v>0</v>
      </c>
      <c r="EX874">
        <v>0</v>
      </c>
      <c r="EY874">
        <v>0</v>
      </c>
      <c r="EZ874">
        <v>0</v>
      </c>
      <c r="FA874">
        <v>0</v>
      </c>
      <c r="FB874">
        <v>0</v>
      </c>
      <c r="FC874">
        <v>0</v>
      </c>
      <c r="FD874">
        <v>95.6</v>
      </c>
      <c r="FE874">
        <v>1792.1</v>
      </c>
      <c r="FF874">
        <v>1740.1999999999998</v>
      </c>
      <c r="FG874">
        <v>954.9</v>
      </c>
      <c r="FH874">
        <v>1087.8000000000002</v>
      </c>
      <c r="FI874">
        <v>1892.1</v>
      </c>
      <c r="FJ874">
        <v>1222.5</v>
      </c>
      <c r="FK874">
        <v>678.3</v>
      </c>
      <c r="FL874">
        <v>639.1</v>
      </c>
      <c r="FM874">
        <v>520.5</v>
      </c>
      <c r="FN874">
        <v>123.8</v>
      </c>
      <c r="FO874">
        <v>181.6</v>
      </c>
      <c r="FP874">
        <v>1090.5</v>
      </c>
      <c r="FQ874">
        <v>0</v>
      </c>
      <c r="FR874">
        <v>0</v>
      </c>
      <c r="FS874">
        <v>0</v>
      </c>
      <c r="FT874">
        <v>0</v>
      </c>
      <c r="FU874">
        <v>0</v>
      </c>
      <c r="FV874">
        <v>0</v>
      </c>
      <c r="FW874">
        <v>0</v>
      </c>
      <c r="FX874">
        <v>0</v>
      </c>
      <c r="FY874">
        <v>0</v>
      </c>
      <c r="FZ874">
        <v>0</v>
      </c>
      <c r="GA874">
        <v>0</v>
      </c>
      <c r="GB874">
        <v>0</v>
      </c>
      <c r="GC874">
        <v>0</v>
      </c>
      <c r="GD874">
        <v>0</v>
      </c>
      <c r="GE874">
        <v>0</v>
      </c>
      <c r="GF874">
        <v>198.3</v>
      </c>
      <c r="GG874">
        <v>1054.4000000000001</v>
      </c>
      <c r="GH874">
        <v>552.79999999999995</v>
      </c>
      <c r="GI874">
        <v>522</v>
      </c>
      <c r="GJ874">
        <v>0</v>
      </c>
      <c r="GK874">
        <v>0</v>
      </c>
      <c r="GL874">
        <v>0</v>
      </c>
      <c r="GM874">
        <v>0</v>
      </c>
      <c r="GN874">
        <v>791.40000000000009</v>
      </c>
      <c r="GO874">
        <v>1816.5</v>
      </c>
      <c r="GP874">
        <v>0</v>
      </c>
      <c r="GQ874">
        <v>0</v>
      </c>
      <c r="GR874">
        <v>0</v>
      </c>
      <c r="GS874">
        <v>0</v>
      </c>
      <c r="GT874">
        <v>0</v>
      </c>
      <c r="GU874">
        <v>0</v>
      </c>
      <c r="GV874">
        <v>0</v>
      </c>
      <c r="GW874">
        <v>0</v>
      </c>
      <c r="GX874">
        <v>0</v>
      </c>
      <c r="GY874">
        <v>840.3</v>
      </c>
      <c r="GZ874">
        <v>0</v>
      </c>
      <c r="HA874">
        <v>0</v>
      </c>
      <c r="HB874">
        <v>0</v>
      </c>
      <c r="HC874">
        <v>380.4</v>
      </c>
      <c r="HD874">
        <v>2175.5</v>
      </c>
      <c r="HE874">
        <v>0</v>
      </c>
      <c r="HF874">
        <v>0</v>
      </c>
      <c r="HG874">
        <v>0</v>
      </c>
      <c r="HH874">
        <v>0</v>
      </c>
      <c r="HI874">
        <v>0</v>
      </c>
      <c r="HJ874">
        <v>803.40000000000009</v>
      </c>
      <c r="HK874">
        <v>1270.9000000000001</v>
      </c>
      <c r="HL874">
        <v>835.7</v>
      </c>
      <c r="HM874">
        <v>1162.5999999999999</v>
      </c>
      <c r="HN874">
        <v>0</v>
      </c>
      <c r="HO874">
        <v>0</v>
      </c>
      <c r="HP874">
        <v>0</v>
      </c>
      <c r="HQ874">
        <v>0</v>
      </c>
      <c r="HR874">
        <v>161.19999999999999</v>
      </c>
      <c r="HS874">
        <v>0</v>
      </c>
      <c r="HT874">
        <v>2048.5</v>
      </c>
      <c r="HU874">
        <v>2627.5</v>
      </c>
      <c r="HV874">
        <v>1168.5999999999999</v>
      </c>
      <c r="HW874">
        <v>388</v>
      </c>
      <c r="HX874">
        <v>0</v>
      </c>
      <c r="HY874">
        <v>0</v>
      </c>
      <c r="HZ874">
        <v>0</v>
      </c>
      <c r="IA874">
        <v>0</v>
      </c>
      <c r="IB874">
        <v>0</v>
      </c>
      <c r="IC874">
        <v>594.4</v>
      </c>
      <c r="ID874">
        <v>427.4</v>
      </c>
      <c r="IE874">
        <v>713.3</v>
      </c>
      <c r="IF874">
        <v>626.1</v>
      </c>
      <c r="IG874">
        <v>0</v>
      </c>
      <c r="IH874">
        <v>0</v>
      </c>
      <c r="II874">
        <v>995.7</v>
      </c>
      <c r="IJ874">
        <v>1156.5999999999999</v>
      </c>
      <c r="IK874">
        <v>864.6</v>
      </c>
      <c r="IL874">
        <v>316.5</v>
      </c>
      <c r="IM874">
        <v>101.5</v>
      </c>
      <c r="IN874">
        <v>71.8</v>
      </c>
      <c r="IO874">
        <v>0</v>
      </c>
      <c r="IP874">
        <v>0</v>
      </c>
      <c r="IQ874">
        <v>0</v>
      </c>
      <c r="IR874">
        <v>0</v>
      </c>
      <c r="IS874">
        <v>0</v>
      </c>
      <c r="IT874">
        <v>0</v>
      </c>
      <c r="IU874">
        <v>0</v>
      </c>
      <c r="IV874">
        <v>0</v>
      </c>
      <c r="IW874">
        <v>68</v>
      </c>
      <c r="IX874">
        <v>404.7</v>
      </c>
      <c r="IY874">
        <v>126.6</v>
      </c>
      <c r="IZ874">
        <v>126.6</v>
      </c>
      <c r="JA874">
        <v>503.7</v>
      </c>
      <c r="JB874">
        <v>570.1</v>
      </c>
      <c r="JC874">
        <v>328.3</v>
      </c>
      <c r="JD874">
        <v>0</v>
      </c>
      <c r="JE874">
        <v>0</v>
      </c>
      <c r="JF874">
        <v>0</v>
      </c>
      <c r="JG874">
        <v>0</v>
      </c>
      <c r="JH874">
        <v>287.3</v>
      </c>
      <c r="JI874">
        <v>68.2</v>
      </c>
      <c r="JJ874">
        <v>0</v>
      </c>
      <c r="JK874">
        <v>148.6</v>
      </c>
      <c r="JL874">
        <v>0</v>
      </c>
      <c r="JM874">
        <v>0</v>
      </c>
      <c r="JN874">
        <v>204.5</v>
      </c>
      <c r="JO874">
        <v>292.10000000000002</v>
      </c>
      <c r="JP874">
        <v>670.8</v>
      </c>
      <c r="JQ874">
        <v>745.2</v>
      </c>
      <c r="JR874">
        <v>242.9</v>
      </c>
    </row>
    <row r="875" spans="2:278" ht="18" thickBot="1">
      <c r="B875" s="368" t="s">
        <v>1261</v>
      </c>
      <c r="C875" s="411" t="s">
        <v>1551</v>
      </c>
      <c r="D875" s="368" t="s">
        <v>1425</v>
      </c>
      <c r="E875" s="454">
        <v>22829.8</v>
      </c>
      <c r="F875">
        <v>20193.400000000001</v>
      </c>
      <c r="G875" s="427">
        <v>0</v>
      </c>
      <c r="H875" s="155">
        <v>0</v>
      </c>
      <c r="I875">
        <v>0</v>
      </c>
      <c r="J875">
        <v>0</v>
      </c>
      <c r="K875">
        <v>0</v>
      </c>
      <c r="L875" s="4">
        <v>0</v>
      </c>
      <c r="M875" s="4">
        <v>0</v>
      </c>
      <c r="N875" s="4">
        <v>0</v>
      </c>
      <c r="O875" s="4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1476.4</v>
      </c>
      <c r="X875">
        <v>1482</v>
      </c>
      <c r="Y875">
        <v>457.20000000000005</v>
      </c>
      <c r="Z875">
        <v>0</v>
      </c>
      <c r="AA875">
        <v>0</v>
      </c>
      <c r="AB875">
        <v>0</v>
      </c>
      <c r="AC875">
        <v>0</v>
      </c>
      <c r="AD875">
        <v>3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1828.6</v>
      </c>
      <c r="AK875">
        <v>1800.7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560.70000000000005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  <c r="CF875">
        <v>0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  <c r="CN875">
        <v>0</v>
      </c>
      <c r="CO875">
        <v>0</v>
      </c>
      <c r="CP875">
        <v>3.5</v>
      </c>
      <c r="CQ875">
        <v>0</v>
      </c>
      <c r="CR875">
        <v>528</v>
      </c>
      <c r="CS875">
        <v>581.79999999999995</v>
      </c>
      <c r="CT875">
        <v>555.40000000000009</v>
      </c>
      <c r="CU875">
        <v>737.4</v>
      </c>
      <c r="CV875">
        <v>1039.0999999999999</v>
      </c>
      <c r="CW875">
        <v>1667.3</v>
      </c>
      <c r="CX875">
        <v>877.6</v>
      </c>
      <c r="CY875">
        <v>910.40000000000009</v>
      </c>
      <c r="CZ875">
        <v>0</v>
      </c>
      <c r="DA875">
        <v>0</v>
      </c>
      <c r="DB875">
        <v>0</v>
      </c>
      <c r="DC875">
        <v>0</v>
      </c>
      <c r="DD875">
        <v>0</v>
      </c>
      <c r="DE875">
        <v>0</v>
      </c>
      <c r="DF875">
        <v>0</v>
      </c>
      <c r="DG875">
        <v>0</v>
      </c>
      <c r="DH875">
        <v>0</v>
      </c>
      <c r="DI875">
        <v>0</v>
      </c>
      <c r="DJ875">
        <v>0</v>
      </c>
      <c r="DK875">
        <v>0</v>
      </c>
      <c r="DL875">
        <v>995.5</v>
      </c>
      <c r="DM875">
        <v>712.7</v>
      </c>
      <c r="DN875">
        <v>0</v>
      </c>
      <c r="DO875">
        <v>0</v>
      </c>
      <c r="DP875">
        <v>0</v>
      </c>
      <c r="DQ875">
        <v>0</v>
      </c>
      <c r="DR875">
        <v>0</v>
      </c>
      <c r="DS875">
        <v>0</v>
      </c>
      <c r="DT875">
        <v>0</v>
      </c>
      <c r="DU875">
        <v>0</v>
      </c>
      <c r="DV875">
        <v>0</v>
      </c>
      <c r="DW875">
        <v>0</v>
      </c>
      <c r="DX875">
        <v>0</v>
      </c>
      <c r="DY875">
        <v>0</v>
      </c>
      <c r="DZ875">
        <v>0</v>
      </c>
      <c r="EA875">
        <v>0</v>
      </c>
      <c r="EB875">
        <v>0</v>
      </c>
      <c r="EC875">
        <v>0</v>
      </c>
      <c r="ED875">
        <v>0</v>
      </c>
      <c r="EE875">
        <v>0</v>
      </c>
      <c r="EF875">
        <v>0</v>
      </c>
      <c r="EG875">
        <v>0</v>
      </c>
      <c r="EH875">
        <v>0</v>
      </c>
      <c r="EI875">
        <v>0</v>
      </c>
      <c r="EJ875">
        <v>0</v>
      </c>
      <c r="EK875">
        <v>0</v>
      </c>
      <c r="EL875">
        <v>0</v>
      </c>
      <c r="EM875">
        <v>0</v>
      </c>
      <c r="EN875">
        <v>27.4</v>
      </c>
      <c r="EO875">
        <v>0</v>
      </c>
      <c r="EP875">
        <v>1002.5</v>
      </c>
      <c r="EQ875">
        <v>0</v>
      </c>
      <c r="ER875">
        <v>494</v>
      </c>
      <c r="ES875">
        <v>0</v>
      </c>
      <c r="ET875">
        <v>699.3</v>
      </c>
      <c r="EU875">
        <v>435.4</v>
      </c>
      <c r="EV875">
        <v>0</v>
      </c>
      <c r="EW875">
        <v>0</v>
      </c>
      <c r="EX875">
        <v>0</v>
      </c>
      <c r="EY875">
        <v>0</v>
      </c>
      <c r="EZ875">
        <v>0</v>
      </c>
      <c r="FA875">
        <v>0</v>
      </c>
      <c r="FB875">
        <v>0</v>
      </c>
      <c r="FC875">
        <v>0</v>
      </c>
      <c r="FD875">
        <v>95.6</v>
      </c>
      <c r="FE875">
        <v>1792.1</v>
      </c>
      <c r="FF875">
        <v>1740.1999999999998</v>
      </c>
      <c r="FG875">
        <v>954.9</v>
      </c>
      <c r="FH875">
        <v>1087.8000000000002</v>
      </c>
      <c r="FI875">
        <v>1892.1</v>
      </c>
      <c r="FJ875">
        <v>1222.5</v>
      </c>
      <c r="FK875">
        <v>678.3</v>
      </c>
      <c r="FL875">
        <v>639.1</v>
      </c>
      <c r="FM875">
        <v>520.5</v>
      </c>
      <c r="FN875">
        <v>123.8</v>
      </c>
      <c r="FO875">
        <v>181.6</v>
      </c>
      <c r="FP875">
        <v>1090.5</v>
      </c>
      <c r="FQ875">
        <v>0</v>
      </c>
      <c r="FR875">
        <v>0</v>
      </c>
      <c r="FS875">
        <v>0</v>
      </c>
      <c r="FT875">
        <v>0</v>
      </c>
      <c r="FU875">
        <v>0</v>
      </c>
      <c r="FV875">
        <v>0</v>
      </c>
      <c r="FW875">
        <v>0</v>
      </c>
      <c r="FX875">
        <v>0</v>
      </c>
      <c r="FY875">
        <v>0</v>
      </c>
      <c r="FZ875">
        <v>0</v>
      </c>
      <c r="GA875">
        <v>0</v>
      </c>
      <c r="GB875">
        <v>0</v>
      </c>
      <c r="GC875">
        <v>0</v>
      </c>
      <c r="GD875">
        <v>0</v>
      </c>
      <c r="GE875">
        <v>0</v>
      </c>
      <c r="GF875">
        <v>198.3</v>
      </c>
      <c r="GG875">
        <v>1054.4000000000001</v>
      </c>
      <c r="GH875">
        <v>552.79999999999995</v>
      </c>
      <c r="GI875">
        <v>522</v>
      </c>
      <c r="GJ875">
        <v>0</v>
      </c>
      <c r="GK875">
        <v>0</v>
      </c>
      <c r="GL875">
        <v>0</v>
      </c>
      <c r="GM875">
        <v>0</v>
      </c>
      <c r="GN875">
        <v>791.40000000000009</v>
      </c>
      <c r="GO875">
        <v>1816.5</v>
      </c>
      <c r="GP875">
        <v>0</v>
      </c>
      <c r="GQ875">
        <v>0</v>
      </c>
      <c r="GR875">
        <v>0</v>
      </c>
      <c r="GS875">
        <v>0</v>
      </c>
      <c r="GT875">
        <v>0</v>
      </c>
      <c r="GU875">
        <v>0</v>
      </c>
      <c r="GV875">
        <v>0</v>
      </c>
      <c r="GW875">
        <v>0</v>
      </c>
      <c r="GX875">
        <v>0</v>
      </c>
      <c r="GY875">
        <v>840.3</v>
      </c>
      <c r="GZ875">
        <v>0</v>
      </c>
      <c r="HA875">
        <v>0</v>
      </c>
      <c r="HB875">
        <v>0</v>
      </c>
      <c r="HC875">
        <v>380.4</v>
      </c>
      <c r="HD875">
        <v>2175.5</v>
      </c>
      <c r="HE875">
        <v>0</v>
      </c>
      <c r="HF875">
        <v>0</v>
      </c>
      <c r="HG875">
        <v>0</v>
      </c>
      <c r="HH875">
        <v>0</v>
      </c>
      <c r="HI875">
        <v>0</v>
      </c>
      <c r="HJ875">
        <v>803.40000000000009</v>
      </c>
      <c r="HK875">
        <v>1270.9000000000001</v>
      </c>
      <c r="HL875">
        <v>835.7</v>
      </c>
      <c r="HM875">
        <v>1162.5999999999999</v>
      </c>
      <c r="HN875">
        <v>0</v>
      </c>
      <c r="HO875">
        <v>0</v>
      </c>
      <c r="HP875">
        <v>0</v>
      </c>
      <c r="HQ875">
        <v>0</v>
      </c>
      <c r="HR875">
        <v>161.19999999999999</v>
      </c>
      <c r="HS875">
        <v>0</v>
      </c>
      <c r="HT875">
        <v>2048.5</v>
      </c>
      <c r="HU875">
        <v>2627.5</v>
      </c>
      <c r="HV875">
        <v>1168.5999999999999</v>
      </c>
      <c r="HW875">
        <v>388</v>
      </c>
      <c r="HX875">
        <v>0</v>
      </c>
      <c r="HY875">
        <v>0</v>
      </c>
      <c r="HZ875">
        <v>0</v>
      </c>
      <c r="IA875">
        <v>0</v>
      </c>
      <c r="IB875">
        <v>0</v>
      </c>
      <c r="IC875">
        <v>594.4</v>
      </c>
      <c r="ID875">
        <v>427.4</v>
      </c>
      <c r="IE875">
        <v>713.3</v>
      </c>
      <c r="IF875">
        <v>626.1</v>
      </c>
      <c r="IG875">
        <v>0</v>
      </c>
      <c r="IH875">
        <v>0</v>
      </c>
      <c r="II875">
        <v>995.7</v>
      </c>
      <c r="IJ875">
        <v>1156.5999999999999</v>
      </c>
      <c r="IK875">
        <v>864.6</v>
      </c>
      <c r="IL875">
        <v>316.5</v>
      </c>
      <c r="IM875">
        <v>101.5</v>
      </c>
      <c r="IN875">
        <v>71.8</v>
      </c>
      <c r="IO875">
        <v>0</v>
      </c>
      <c r="IP875">
        <v>0</v>
      </c>
      <c r="IQ875">
        <v>0</v>
      </c>
      <c r="IR875">
        <v>0</v>
      </c>
      <c r="IS875">
        <v>0</v>
      </c>
      <c r="IT875">
        <v>0</v>
      </c>
      <c r="IU875">
        <v>0</v>
      </c>
      <c r="IV875">
        <v>0</v>
      </c>
      <c r="IW875">
        <v>68</v>
      </c>
      <c r="IX875">
        <v>404.7</v>
      </c>
      <c r="IY875">
        <v>126.6</v>
      </c>
      <c r="IZ875">
        <v>126.6</v>
      </c>
      <c r="JA875">
        <v>503.7</v>
      </c>
      <c r="JB875">
        <v>570.1</v>
      </c>
      <c r="JC875">
        <v>328.3</v>
      </c>
      <c r="JD875">
        <v>0</v>
      </c>
      <c r="JE875">
        <v>0</v>
      </c>
      <c r="JF875">
        <v>0</v>
      </c>
      <c r="JG875">
        <v>0</v>
      </c>
      <c r="JH875">
        <v>287.3</v>
      </c>
      <c r="JI875">
        <v>68.2</v>
      </c>
      <c r="JJ875">
        <v>0</v>
      </c>
      <c r="JK875">
        <v>148.6</v>
      </c>
      <c r="JL875">
        <v>0</v>
      </c>
      <c r="JM875">
        <v>0</v>
      </c>
      <c r="JN875">
        <v>204.5</v>
      </c>
      <c r="JO875">
        <v>292.10000000000002</v>
      </c>
      <c r="JP875">
        <v>670.8</v>
      </c>
      <c r="JQ875">
        <v>745.2</v>
      </c>
      <c r="JR875">
        <v>242.9</v>
      </c>
    </row>
    <row r="876" spans="2:278" ht="18" thickBot="1">
      <c r="B876" s="368" t="s">
        <v>994</v>
      </c>
      <c r="C876" s="411" t="s">
        <v>1552</v>
      </c>
      <c r="D876" s="368" t="s">
        <v>1426</v>
      </c>
      <c r="E876" s="454">
        <v>22829.8</v>
      </c>
      <c r="F876">
        <v>20193.400000000001</v>
      </c>
      <c r="G876" s="427">
        <v>0</v>
      </c>
      <c r="H876" s="155">
        <v>0</v>
      </c>
      <c r="I876">
        <v>0</v>
      </c>
      <c r="J876">
        <v>0</v>
      </c>
      <c r="K876">
        <v>0</v>
      </c>
      <c r="L876" s="4">
        <v>0</v>
      </c>
      <c r="M876" s="4">
        <v>0</v>
      </c>
      <c r="N876" s="4">
        <v>0</v>
      </c>
      <c r="O876" s="4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1476.4</v>
      </c>
      <c r="X876">
        <v>1482</v>
      </c>
      <c r="Y876">
        <v>457.20000000000005</v>
      </c>
      <c r="Z876">
        <v>0</v>
      </c>
      <c r="AA876">
        <v>0</v>
      </c>
      <c r="AB876">
        <v>0</v>
      </c>
      <c r="AC876">
        <v>0</v>
      </c>
      <c r="AD876">
        <v>3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1828.6</v>
      </c>
      <c r="AK876">
        <v>1800.7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560.70000000000005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0</v>
      </c>
      <c r="BN876">
        <v>0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  <c r="CF876">
        <v>0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  <c r="CN876">
        <v>0</v>
      </c>
      <c r="CO876">
        <v>0</v>
      </c>
      <c r="CP876">
        <v>3.5</v>
      </c>
      <c r="CQ876">
        <v>0</v>
      </c>
      <c r="CR876">
        <v>528</v>
      </c>
      <c r="CS876">
        <v>581.79999999999995</v>
      </c>
      <c r="CT876">
        <v>555.40000000000009</v>
      </c>
      <c r="CU876">
        <v>737.4</v>
      </c>
      <c r="CV876">
        <v>1039.0999999999999</v>
      </c>
      <c r="CW876">
        <v>1667.3</v>
      </c>
      <c r="CX876">
        <v>877.6</v>
      </c>
      <c r="CY876">
        <v>910.40000000000009</v>
      </c>
      <c r="CZ876">
        <v>0</v>
      </c>
      <c r="DA876">
        <v>0</v>
      </c>
      <c r="DB876">
        <v>0</v>
      </c>
      <c r="DC876">
        <v>0</v>
      </c>
      <c r="DD876">
        <v>0</v>
      </c>
      <c r="DE876">
        <v>0</v>
      </c>
      <c r="DF876">
        <v>0</v>
      </c>
      <c r="DG876">
        <v>0</v>
      </c>
      <c r="DH876">
        <v>0</v>
      </c>
      <c r="DI876">
        <v>0</v>
      </c>
      <c r="DJ876">
        <v>0</v>
      </c>
      <c r="DK876">
        <v>0</v>
      </c>
      <c r="DL876">
        <v>995.5</v>
      </c>
      <c r="DM876">
        <v>712.7</v>
      </c>
      <c r="DN876">
        <v>0</v>
      </c>
      <c r="DO876">
        <v>0</v>
      </c>
      <c r="DP876">
        <v>0</v>
      </c>
      <c r="DQ876">
        <v>0</v>
      </c>
      <c r="DR876">
        <v>0</v>
      </c>
      <c r="DS876">
        <v>0</v>
      </c>
      <c r="DT876">
        <v>0</v>
      </c>
      <c r="DU876">
        <v>0</v>
      </c>
      <c r="DV876">
        <v>0</v>
      </c>
      <c r="DW876">
        <v>0</v>
      </c>
      <c r="DX876">
        <v>0</v>
      </c>
      <c r="DY876">
        <v>0</v>
      </c>
      <c r="DZ876">
        <v>0</v>
      </c>
      <c r="EA876">
        <v>0</v>
      </c>
      <c r="EB876">
        <v>0</v>
      </c>
      <c r="EC876">
        <v>0</v>
      </c>
      <c r="ED876">
        <v>0</v>
      </c>
      <c r="EE876">
        <v>0</v>
      </c>
      <c r="EF876">
        <v>0</v>
      </c>
      <c r="EG876">
        <v>0</v>
      </c>
      <c r="EH876">
        <v>0</v>
      </c>
      <c r="EI876">
        <v>0</v>
      </c>
      <c r="EJ876">
        <v>0</v>
      </c>
      <c r="EK876">
        <v>0</v>
      </c>
      <c r="EL876">
        <v>0</v>
      </c>
      <c r="EM876">
        <v>0</v>
      </c>
      <c r="EN876">
        <v>27.4</v>
      </c>
      <c r="EO876">
        <v>0</v>
      </c>
      <c r="EP876">
        <v>1002.5</v>
      </c>
      <c r="EQ876">
        <v>0</v>
      </c>
      <c r="ER876">
        <v>494</v>
      </c>
      <c r="ES876">
        <v>0</v>
      </c>
      <c r="ET876">
        <v>699.3</v>
      </c>
      <c r="EU876">
        <v>435.4</v>
      </c>
      <c r="EV876">
        <v>0</v>
      </c>
      <c r="EW876">
        <v>0</v>
      </c>
      <c r="EX876">
        <v>0</v>
      </c>
      <c r="EY876">
        <v>0</v>
      </c>
      <c r="EZ876">
        <v>0</v>
      </c>
      <c r="FA876">
        <v>0</v>
      </c>
      <c r="FB876">
        <v>0</v>
      </c>
      <c r="FC876">
        <v>0</v>
      </c>
      <c r="FD876">
        <v>95.6</v>
      </c>
      <c r="FE876">
        <v>1792.1</v>
      </c>
      <c r="FF876">
        <v>1740.1999999999998</v>
      </c>
      <c r="FG876">
        <v>954.9</v>
      </c>
      <c r="FH876">
        <v>1087.8000000000002</v>
      </c>
      <c r="FI876">
        <v>1892.1</v>
      </c>
      <c r="FJ876">
        <v>1222.5</v>
      </c>
      <c r="FK876">
        <v>678.3</v>
      </c>
      <c r="FL876">
        <v>639.1</v>
      </c>
      <c r="FM876">
        <v>520.5</v>
      </c>
      <c r="FN876">
        <v>123.8</v>
      </c>
      <c r="FO876">
        <v>181.6</v>
      </c>
      <c r="FP876">
        <v>1090.5</v>
      </c>
      <c r="FQ876">
        <v>0</v>
      </c>
      <c r="FR876">
        <v>0</v>
      </c>
      <c r="FS876">
        <v>0</v>
      </c>
      <c r="FT876">
        <v>0</v>
      </c>
      <c r="FU876">
        <v>0</v>
      </c>
      <c r="FV876">
        <v>0</v>
      </c>
      <c r="FW876">
        <v>0</v>
      </c>
      <c r="FX876">
        <v>0</v>
      </c>
      <c r="FY876">
        <v>0</v>
      </c>
      <c r="FZ876">
        <v>0</v>
      </c>
      <c r="GA876">
        <v>0</v>
      </c>
      <c r="GB876">
        <v>0</v>
      </c>
      <c r="GC876">
        <v>0</v>
      </c>
      <c r="GD876">
        <v>0</v>
      </c>
      <c r="GE876">
        <v>0</v>
      </c>
      <c r="GF876">
        <v>198.3</v>
      </c>
      <c r="GG876">
        <v>1054.4000000000001</v>
      </c>
      <c r="GH876">
        <v>552.79999999999995</v>
      </c>
      <c r="GI876">
        <v>522</v>
      </c>
      <c r="GJ876">
        <v>0</v>
      </c>
      <c r="GK876">
        <v>0</v>
      </c>
      <c r="GL876">
        <v>0</v>
      </c>
      <c r="GM876">
        <v>0</v>
      </c>
      <c r="GN876">
        <v>791.40000000000009</v>
      </c>
      <c r="GO876">
        <v>1816.5</v>
      </c>
      <c r="GP876">
        <v>0</v>
      </c>
      <c r="GQ876">
        <v>0</v>
      </c>
      <c r="GR876">
        <v>0</v>
      </c>
      <c r="GS876">
        <v>0</v>
      </c>
      <c r="GT876">
        <v>0</v>
      </c>
      <c r="GU876">
        <v>0</v>
      </c>
      <c r="GV876">
        <v>0</v>
      </c>
      <c r="GW876">
        <v>0</v>
      </c>
      <c r="GX876">
        <v>0</v>
      </c>
      <c r="GY876">
        <v>840.3</v>
      </c>
      <c r="GZ876">
        <v>0</v>
      </c>
      <c r="HA876">
        <v>0</v>
      </c>
      <c r="HB876">
        <v>0</v>
      </c>
      <c r="HC876">
        <v>380.4</v>
      </c>
      <c r="HD876">
        <v>2175.5</v>
      </c>
      <c r="HE876">
        <v>0</v>
      </c>
      <c r="HF876">
        <v>0</v>
      </c>
      <c r="HG876">
        <v>0</v>
      </c>
      <c r="HH876">
        <v>0</v>
      </c>
      <c r="HI876">
        <v>0</v>
      </c>
      <c r="HJ876">
        <v>803.40000000000009</v>
      </c>
      <c r="HK876">
        <v>1270.9000000000001</v>
      </c>
      <c r="HL876">
        <v>835.7</v>
      </c>
      <c r="HM876">
        <v>1162.5999999999999</v>
      </c>
      <c r="HN876">
        <v>0</v>
      </c>
      <c r="HO876">
        <v>0</v>
      </c>
      <c r="HP876">
        <v>0</v>
      </c>
      <c r="HQ876">
        <v>0</v>
      </c>
      <c r="HR876">
        <v>161.19999999999999</v>
      </c>
      <c r="HS876">
        <v>0</v>
      </c>
      <c r="HT876">
        <v>2048.5</v>
      </c>
      <c r="HU876">
        <v>2627.5</v>
      </c>
      <c r="HV876">
        <v>1168.5999999999999</v>
      </c>
      <c r="HW876">
        <v>388</v>
      </c>
      <c r="HX876">
        <v>0</v>
      </c>
      <c r="HY876">
        <v>0</v>
      </c>
      <c r="HZ876">
        <v>0</v>
      </c>
      <c r="IA876">
        <v>0</v>
      </c>
      <c r="IB876">
        <v>0</v>
      </c>
      <c r="IC876">
        <v>594.4</v>
      </c>
      <c r="ID876">
        <v>427.4</v>
      </c>
      <c r="IE876">
        <v>713.3</v>
      </c>
      <c r="IF876">
        <v>626.1</v>
      </c>
      <c r="IG876">
        <v>0</v>
      </c>
      <c r="IH876">
        <v>0</v>
      </c>
      <c r="II876">
        <v>995.7</v>
      </c>
      <c r="IJ876">
        <v>1156.5999999999999</v>
      </c>
      <c r="IK876">
        <v>864.6</v>
      </c>
      <c r="IL876">
        <v>316.5</v>
      </c>
      <c r="IM876">
        <v>101.5</v>
      </c>
      <c r="IN876">
        <v>71.8</v>
      </c>
      <c r="IO876">
        <v>0</v>
      </c>
      <c r="IP876">
        <v>0</v>
      </c>
      <c r="IQ876">
        <v>0</v>
      </c>
      <c r="IR876">
        <v>0</v>
      </c>
      <c r="IS876">
        <v>0</v>
      </c>
      <c r="IT876">
        <v>0</v>
      </c>
      <c r="IU876">
        <v>0</v>
      </c>
      <c r="IV876">
        <v>0</v>
      </c>
      <c r="IW876">
        <v>68</v>
      </c>
      <c r="IX876">
        <v>404.7</v>
      </c>
      <c r="IY876">
        <v>126.6</v>
      </c>
      <c r="IZ876">
        <v>126.6</v>
      </c>
      <c r="JA876">
        <v>503.7</v>
      </c>
      <c r="JB876">
        <v>570.1</v>
      </c>
      <c r="JC876">
        <v>328.3</v>
      </c>
      <c r="JD876">
        <v>0</v>
      </c>
      <c r="JE876">
        <v>0</v>
      </c>
      <c r="JF876">
        <v>0</v>
      </c>
      <c r="JG876">
        <v>0</v>
      </c>
      <c r="JH876">
        <v>287.3</v>
      </c>
      <c r="JI876">
        <v>68.2</v>
      </c>
      <c r="JJ876">
        <v>0</v>
      </c>
      <c r="JK876">
        <v>148.6</v>
      </c>
      <c r="JL876">
        <v>0</v>
      </c>
      <c r="JM876">
        <v>0</v>
      </c>
      <c r="JN876">
        <v>204.5</v>
      </c>
      <c r="JO876">
        <v>292.10000000000002</v>
      </c>
      <c r="JP876">
        <v>670.8</v>
      </c>
      <c r="JQ876">
        <v>745.2</v>
      </c>
      <c r="JR876">
        <v>242.9</v>
      </c>
    </row>
    <row r="877" spans="2:278" ht="18" thickBot="1">
      <c r="B877" s="368" t="s">
        <v>1262</v>
      </c>
      <c r="C877" s="411" t="s">
        <v>1553</v>
      </c>
      <c r="D877" s="368" t="s">
        <v>1427</v>
      </c>
      <c r="E877" s="454">
        <v>22829.8</v>
      </c>
      <c r="F877">
        <v>20193.400000000001</v>
      </c>
      <c r="G877" s="427">
        <v>0</v>
      </c>
      <c r="H877" s="155">
        <v>0</v>
      </c>
      <c r="I877">
        <v>0</v>
      </c>
      <c r="J877">
        <v>0</v>
      </c>
      <c r="K877">
        <v>0</v>
      </c>
      <c r="L877" s="4">
        <v>0</v>
      </c>
      <c r="M877" s="4">
        <v>0</v>
      </c>
      <c r="N877" s="4">
        <v>0</v>
      </c>
      <c r="O877" s="4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1476.4</v>
      </c>
      <c r="X877">
        <v>1482</v>
      </c>
      <c r="Y877">
        <v>457.20000000000005</v>
      </c>
      <c r="Z877">
        <v>0</v>
      </c>
      <c r="AA877">
        <v>0</v>
      </c>
      <c r="AB877">
        <v>0</v>
      </c>
      <c r="AC877">
        <v>0</v>
      </c>
      <c r="AD877">
        <v>3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1828.6</v>
      </c>
      <c r="AK877">
        <v>1800.7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560.70000000000005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0</v>
      </c>
      <c r="BN877">
        <v>0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  <c r="CF877">
        <v>0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  <c r="CN877">
        <v>0</v>
      </c>
      <c r="CO877">
        <v>0</v>
      </c>
      <c r="CP877">
        <v>3.5</v>
      </c>
      <c r="CQ877">
        <v>0</v>
      </c>
      <c r="CR877">
        <v>528</v>
      </c>
      <c r="CS877">
        <v>581.79999999999995</v>
      </c>
      <c r="CT877">
        <v>555.40000000000009</v>
      </c>
      <c r="CU877">
        <v>737.4</v>
      </c>
      <c r="CV877">
        <v>1039.0999999999999</v>
      </c>
      <c r="CW877">
        <v>1667.3</v>
      </c>
      <c r="CX877">
        <v>877.6</v>
      </c>
      <c r="CY877">
        <v>910.40000000000009</v>
      </c>
      <c r="CZ877">
        <v>0</v>
      </c>
      <c r="DA877">
        <v>0</v>
      </c>
      <c r="DB877">
        <v>0</v>
      </c>
      <c r="DC877">
        <v>0</v>
      </c>
      <c r="DD877">
        <v>0</v>
      </c>
      <c r="DE877">
        <v>0</v>
      </c>
      <c r="DF877">
        <v>0</v>
      </c>
      <c r="DG877">
        <v>0</v>
      </c>
      <c r="DH877">
        <v>0</v>
      </c>
      <c r="DI877">
        <v>0</v>
      </c>
      <c r="DJ877">
        <v>0</v>
      </c>
      <c r="DK877">
        <v>0</v>
      </c>
      <c r="DL877">
        <v>995.5</v>
      </c>
      <c r="DM877">
        <v>712.7</v>
      </c>
      <c r="DN877">
        <v>0</v>
      </c>
      <c r="DO877">
        <v>0</v>
      </c>
      <c r="DP877">
        <v>0</v>
      </c>
      <c r="DQ877">
        <v>0</v>
      </c>
      <c r="DR877">
        <v>0</v>
      </c>
      <c r="DS877">
        <v>0</v>
      </c>
      <c r="DT877">
        <v>0</v>
      </c>
      <c r="DU877">
        <v>0</v>
      </c>
      <c r="DV877">
        <v>0</v>
      </c>
      <c r="DW877">
        <v>0</v>
      </c>
      <c r="DX877">
        <v>0</v>
      </c>
      <c r="DY877">
        <v>0</v>
      </c>
      <c r="DZ877">
        <v>0</v>
      </c>
      <c r="EA877">
        <v>0</v>
      </c>
      <c r="EB877">
        <v>0</v>
      </c>
      <c r="EC877">
        <v>0</v>
      </c>
      <c r="ED877">
        <v>0</v>
      </c>
      <c r="EE877">
        <v>0</v>
      </c>
      <c r="EF877">
        <v>0</v>
      </c>
      <c r="EG877">
        <v>0</v>
      </c>
      <c r="EH877">
        <v>0</v>
      </c>
      <c r="EI877">
        <v>0</v>
      </c>
      <c r="EJ877">
        <v>0</v>
      </c>
      <c r="EK877">
        <v>0</v>
      </c>
      <c r="EL877">
        <v>0</v>
      </c>
      <c r="EM877">
        <v>0</v>
      </c>
      <c r="EN877">
        <v>27.4</v>
      </c>
      <c r="EO877">
        <v>0</v>
      </c>
      <c r="EP877">
        <v>1002.5</v>
      </c>
      <c r="EQ877">
        <v>0</v>
      </c>
      <c r="ER877">
        <v>494</v>
      </c>
      <c r="ES877">
        <v>0</v>
      </c>
      <c r="ET877">
        <v>699.3</v>
      </c>
      <c r="EU877">
        <v>435.4</v>
      </c>
      <c r="EV877">
        <v>0</v>
      </c>
      <c r="EW877">
        <v>0</v>
      </c>
      <c r="EX877">
        <v>0</v>
      </c>
      <c r="EY877">
        <v>0</v>
      </c>
      <c r="EZ877">
        <v>0</v>
      </c>
      <c r="FA877">
        <v>0</v>
      </c>
      <c r="FB877">
        <v>0</v>
      </c>
      <c r="FC877">
        <v>0</v>
      </c>
      <c r="FD877">
        <v>95.6</v>
      </c>
      <c r="FE877">
        <v>1792.1</v>
      </c>
      <c r="FF877">
        <v>1740.1999999999998</v>
      </c>
      <c r="FG877">
        <v>954.9</v>
      </c>
      <c r="FH877">
        <v>1087.8000000000002</v>
      </c>
      <c r="FI877">
        <v>1892.1</v>
      </c>
      <c r="FJ877">
        <v>1222.5</v>
      </c>
      <c r="FK877">
        <v>678.3</v>
      </c>
      <c r="FL877">
        <v>639.1</v>
      </c>
      <c r="FM877">
        <v>520.5</v>
      </c>
      <c r="FN877">
        <v>123.8</v>
      </c>
      <c r="FO877">
        <v>181.6</v>
      </c>
      <c r="FP877">
        <v>1090.5</v>
      </c>
      <c r="FQ877">
        <v>0</v>
      </c>
      <c r="FR877">
        <v>0</v>
      </c>
      <c r="FS877">
        <v>0</v>
      </c>
      <c r="FT877">
        <v>0</v>
      </c>
      <c r="FU877">
        <v>0</v>
      </c>
      <c r="FV877">
        <v>0</v>
      </c>
      <c r="FW877">
        <v>0</v>
      </c>
      <c r="FX877">
        <v>0</v>
      </c>
      <c r="FY877">
        <v>0</v>
      </c>
      <c r="FZ877">
        <v>0</v>
      </c>
      <c r="GA877">
        <v>0</v>
      </c>
      <c r="GB877">
        <v>0</v>
      </c>
      <c r="GC877">
        <v>0</v>
      </c>
      <c r="GD877">
        <v>0</v>
      </c>
      <c r="GE877">
        <v>0</v>
      </c>
      <c r="GF877">
        <v>198.3</v>
      </c>
      <c r="GG877">
        <v>1054.4000000000001</v>
      </c>
      <c r="GH877">
        <v>552.79999999999995</v>
      </c>
      <c r="GI877">
        <v>522</v>
      </c>
      <c r="GJ877">
        <v>0</v>
      </c>
      <c r="GK877">
        <v>0</v>
      </c>
      <c r="GL877">
        <v>0</v>
      </c>
      <c r="GM877">
        <v>0</v>
      </c>
      <c r="GN877">
        <v>791.40000000000009</v>
      </c>
      <c r="GO877">
        <v>1816.5</v>
      </c>
      <c r="GP877">
        <v>0</v>
      </c>
      <c r="GQ877">
        <v>0</v>
      </c>
      <c r="GR877">
        <v>0</v>
      </c>
      <c r="GS877">
        <v>0</v>
      </c>
      <c r="GT877">
        <v>0</v>
      </c>
      <c r="GU877">
        <v>0</v>
      </c>
      <c r="GV877">
        <v>0</v>
      </c>
      <c r="GW877">
        <v>0</v>
      </c>
      <c r="GX877">
        <v>0</v>
      </c>
      <c r="GY877">
        <v>840.3</v>
      </c>
      <c r="GZ877">
        <v>0</v>
      </c>
      <c r="HA877">
        <v>0</v>
      </c>
      <c r="HB877">
        <v>0</v>
      </c>
      <c r="HC877">
        <v>380.4</v>
      </c>
      <c r="HD877">
        <v>2175.5</v>
      </c>
      <c r="HE877">
        <v>0</v>
      </c>
      <c r="HF877">
        <v>0</v>
      </c>
      <c r="HG877">
        <v>0</v>
      </c>
      <c r="HH877">
        <v>0</v>
      </c>
      <c r="HI877">
        <v>0</v>
      </c>
      <c r="HJ877">
        <v>803.40000000000009</v>
      </c>
      <c r="HK877">
        <v>1270.9000000000001</v>
      </c>
      <c r="HL877">
        <v>835.7</v>
      </c>
      <c r="HM877">
        <v>1162.5999999999999</v>
      </c>
      <c r="HN877">
        <v>0</v>
      </c>
      <c r="HO877">
        <v>0</v>
      </c>
      <c r="HP877">
        <v>0</v>
      </c>
      <c r="HQ877">
        <v>0</v>
      </c>
      <c r="HR877">
        <v>161.19999999999999</v>
      </c>
      <c r="HS877">
        <v>0</v>
      </c>
      <c r="HT877">
        <v>2048.5</v>
      </c>
      <c r="HU877">
        <v>2627.5</v>
      </c>
      <c r="HV877">
        <v>1168.5999999999999</v>
      </c>
      <c r="HW877">
        <v>388</v>
      </c>
      <c r="HX877">
        <v>0</v>
      </c>
      <c r="HY877">
        <v>0</v>
      </c>
      <c r="HZ877">
        <v>0</v>
      </c>
      <c r="IA877">
        <v>0</v>
      </c>
      <c r="IB877">
        <v>0</v>
      </c>
      <c r="IC877">
        <v>594.4</v>
      </c>
      <c r="ID877">
        <v>427.4</v>
      </c>
      <c r="IE877">
        <v>713.3</v>
      </c>
      <c r="IF877">
        <v>626.1</v>
      </c>
      <c r="IG877">
        <v>0</v>
      </c>
      <c r="IH877">
        <v>0</v>
      </c>
      <c r="II877">
        <v>995.7</v>
      </c>
      <c r="IJ877">
        <v>1156.5999999999999</v>
      </c>
      <c r="IK877">
        <v>864.6</v>
      </c>
      <c r="IL877">
        <v>316.5</v>
      </c>
      <c r="IM877">
        <v>101.5</v>
      </c>
      <c r="IN877">
        <v>71.8</v>
      </c>
      <c r="IO877">
        <v>0</v>
      </c>
      <c r="IP877">
        <v>0</v>
      </c>
      <c r="IQ877">
        <v>0</v>
      </c>
      <c r="IR877">
        <v>0</v>
      </c>
      <c r="IS877">
        <v>0</v>
      </c>
      <c r="IT877">
        <v>0</v>
      </c>
      <c r="IU877">
        <v>0</v>
      </c>
      <c r="IV877">
        <v>0</v>
      </c>
      <c r="IW877">
        <v>68</v>
      </c>
      <c r="IX877">
        <v>404.7</v>
      </c>
      <c r="IY877">
        <v>126.6</v>
      </c>
      <c r="IZ877">
        <v>126.6</v>
      </c>
      <c r="JA877">
        <v>503.7</v>
      </c>
      <c r="JB877">
        <v>570.1</v>
      </c>
      <c r="JC877">
        <v>328.3</v>
      </c>
      <c r="JD877">
        <v>0</v>
      </c>
      <c r="JE877">
        <v>0</v>
      </c>
      <c r="JF877">
        <v>0</v>
      </c>
      <c r="JG877">
        <v>0</v>
      </c>
      <c r="JH877">
        <v>287.3</v>
      </c>
      <c r="JI877">
        <v>68.2</v>
      </c>
      <c r="JJ877">
        <v>0</v>
      </c>
      <c r="JK877">
        <v>148.6</v>
      </c>
      <c r="JL877">
        <v>0</v>
      </c>
      <c r="JM877">
        <v>0</v>
      </c>
      <c r="JN877">
        <v>204.5</v>
      </c>
      <c r="JO877">
        <v>292.10000000000002</v>
      </c>
      <c r="JP877">
        <v>670.8</v>
      </c>
      <c r="JQ877">
        <v>745.2</v>
      </c>
      <c r="JR877">
        <v>242.9</v>
      </c>
    </row>
    <row r="878" spans="2:278" ht="18" thickBot="1">
      <c r="B878" s="368" t="s">
        <v>1263</v>
      </c>
      <c r="C878" s="368" t="s">
        <v>1554</v>
      </c>
      <c r="D878" s="368"/>
      <c r="E878" s="454">
        <v>22829.8</v>
      </c>
      <c r="F878">
        <v>20193.400000000001</v>
      </c>
      <c r="G878" s="427">
        <v>0</v>
      </c>
      <c r="H878" s="155">
        <v>0</v>
      </c>
      <c r="I878">
        <v>0</v>
      </c>
      <c r="J878">
        <v>0</v>
      </c>
      <c r="K878">
        <v>0</v>
      </c>
      <c r="L878" s="4">
        <v>0</v>
      </c>
      <c r="M878" s="4">
        <v>0</v>
      </c>
      <c r="N878" s="4">
        <v>0</v>
      </c>
      <c r="O878" s="4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1476.4</v>
      </c>
      <c r="X878">
        <v>1482</v>
      </c>
      <c r="Y878">
        <v>457.20000000000005</v>
      </c>
      <c r="Z878">
        <v>0</v>
      </c>
      <c r="AA878">
        <v>0</v>
      </c>
      <c r="AB878">
        <v>0</v>
      </c>
      <c r="AC878">
        <v>0</v>
      </c>
      <c r="AD878">
        <v>3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1828.6</v>
      </c>
      <c r="AK878">
        <v>1800.7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560.70000000000005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  <c r="CF878">
        <v>0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  <c r="CN878">
        <v>0</v>
      </c>
      <c r="CO878">
        <v>0</v>
      </c>
      <c r="CP878">
        <v>3.5</v>
      </c>
      <c r="CQ878">
        <v>0</v>
      </c>
      <c r="CR878">
        <v>528</v>
      </c>
      <c r="CS878">
        <v>581.79999999999995</v>
      </c>
      <c r="CT878">
        <v>555.40000000000009</v>
      </c>
      <c r="CU878">
        <v>737.4</v>
      </c>
      <c r="CV878">
        <v>1039.0999999999999</v>
      </c>
      <c r="CW878">
        <v>1667.3</v>
      </c>
      <c r="CX878">
        <v>877.6</v>
      </c>
      <c r="CY878">
        <v>910.40000000000009</v>
      </c>
      <c r="CZ878">
        <v>0</v>
      </c>
      <c r="DA878">
        <v>0</v>
      </c>
      <c r="DB878">
        <v>0</v>
      </c>
      <c r="DC878">
        <v>0</v>
      </c>
      <c r="DD878">
        <v>0</v>
      </c>
      <c r="DE878">
        <v>0</v>
      </c>
      <c r="DF878">
        <v>0</v>
      </c>
      <c r="DG878">
        <v>0</v>
      </c>
      <c r="DH878">
        <v>0</v>
      </c>
      <c r="DI878">
        <v>0</v>
      </c>
      <c r="DJ878">
        <v>0</v>
      </c>
      <c r="DK878">
        <v>0</v>
      </c>
      <c r="DL878">
        <v>995.5</v>
      </c>
      <c r="DM878">
        <v>712.7</v>
      </c>
      <c r="DN878">
        <v>0</v>
      </c>
      <c r="DO878">
        <v>0</v>
      </c>
      <c r="DP878">
        <v>0</v>
      </c>
      <c r="DQ878">
        <v>0</v>
      </c>
      <c r="DR878">
        <v>0</v>
      </c>
      <c r="DS878">
        <v>0</v>
      </c>
      <c r="DT878">
        <v>0</v>
      </c>
      <c r="DU878">
        <v>0</v>
      </c>
      <c r="DV878">
        <v>0</v>
      </c>
      <c r="DW878">
        <v>0</v>
      </c>
      <c r="DX878">
        <v>0</v>
      </c>
      <c r="DY878">
        <v>0</v>
      </c>
      <c r="DZ878">
        <v>0</v>
      </c>
      <c r="EA878">
        <v>0</v>
      </c>
      <c r="EB878">
        <v>0</v>
      </c>
      <c r="EC878">
        <v>0</v>
      </c>
      <c r="ED878">
        <v>0</v>
      </c>
      <c r="EE878">
        <v>0</v>
      </c>
      <c r="EF878">
        <v>0</v>
      </c>
      <c r="EG878">
        <v>0</v>
      </c>
      <c r="EH878">
        <v>0</v>
      </c>
      <c r="EI878">
        <v>0</v>
      </c>
      <c r="EJ878">
        <v>0</v>
      </c>
      <c r="EK878">
        <v>0</v>
      </c>
      <c r="EL878">
        <v>0</v>
      </c>
      <c r="EM878">
        <v>0</v>
      </c>
      <c r="EN878">
        <v>27.4</v>
      </c>
      <c r="EO878">
        <v>0</v>
      </c>
      <c r="EP878">
        <v>1002.5</v>
      </c>
      <c r="EQ878">
        <v>0</v>
      </c>
      <c r="ER878">
        <v>494</v>
      </c>
      <c r="ES878">
        <v>0</v>
      </c>
      <c r="ET878">
        <v>699.3</v>
      </c>
      <c r="EU878">
        <v>435.4</v>
      </c>
      <c r="EV878">
        <v>0</v>
      </c>
      <c r="EW878">
        <v>0</v>
      </c>
      <c r="EX878">
        <v>0</v>
      </c>
      <c r="EY878">
        <v>0</v>
      </c>
      <c r="EZ878">
        <v>0</v>
      </c>
      <c r="FA878">
        <v>0</v>
      </c>
      <c r="FB878">
        <v>0</v>
      </c>
      <c r="FC878">
        <v>0</v>
      </c>
      <c r="FD878">
        <v>95.6</v>
      </c>
      <c r="FE878">
        <v>1792.1</v>
      </c>
      <c r="FF878">
        <v>1740.1999999999998</v>
      </c>
      <c r="FG878">
        <v>954.9</v>
      </c>
      <c r="FH878">
        <v>1087.8000000000002</v>
      </c>
      <c r="FI878">
        <v>1892.1</v>
      </c>
      <c r="FJ878">
        <v>1222.5</v>
      </c>
      <c r="FK878">
        <v>678.3</v>
      </c>
      <c r="FL878">
        <v>639.1</v>
      </c>
      <c r="FM878">
        <v>520.5</v>
      </c>
      <c r="FN878">
        <v>123.8</v>
      </c>
      <c r="FO878">
        <v>181.6</v>
      </c>
      <c r="FP878">
        <v>1090.5</v>
      </c>
      <c r="FQ878">
        <v>0</v>
      </c>
      <c r="FR878">
        <v>0</v>
      </c>
      <c r="FS878">
        <v>0</v>
      </c>
      <c r="FT878">
        <v>0</v>
      </c>
      <c r="FU878">
        <v>0</v>
      </c>
      <c r="FV878">
        <v>0</v>
      </c>
      <c r="FW878">
        <v>0</v>
      </c>
      <c r="FX878">
        <v>0</v>
      </c>
      <c r="FY878">
        <v>0</v>
      </c>
      <c r="FZ878">
        <v>0</v>
      </c>
      <c r="GA878">
        <v>0</v>
      </c>
      <c r="GB878">
        <v>0</v>
      </c>
      <c r="GC878">
        <v>0</v>
      </c>
      <c r="GD878">
        <v>0</v>
      </c>
      <c r="GE878">
        <v>0</v>
      </c>
      <c r="GF878">
        <v>198.3</v>
      </c>
      <c r="GG878">
        <v>1054.4000000000001</v>
      </c>
      <c r="GH878">
        <v>552.79999999999995</v>
      </c>
      <c r="GI878">
        <v>522</v>
      </c>
      <c r="GJ878">
        <v>0</v>
      </c>
      <c r="GK878">
        <v>0</v>
      </c>
      <c r="GL878">
        <v>0</v>
      </c>
      <c r="GM878">
        <v>0</v>
      </c>
      <c r="GN878">
        <v>791.40000000000009</v>
      </c>
      <c r="GO878">
        <v>1816.5</v>
      </c>
      <c r="GP878">
        <v>0</v>
      </c>
      <c r="GQ878">
        <v>0</v>
      </c>
      <c r="GR878">
        <v>0</v>
      </c>
      <c r="GS878">
        <v>0</v>
      </c>
      <c r="GT878">
        <v>0</v>
      </c>
      <c r="GU878">
        <v>0</v>
      </c>
      <c r="GV878">
        <v>0</v>
      </c>
      <c r="GW878">
        <v>0</v>
      </c>
      <c r="GX878">
        <v>0</v>
      </c>
      <c r="GY878">
        <v>840.3</v>
      </c>
      <c r="GZ878">
        <v>0</v>
      </c>
      <c r="HA878">
        <v>0</v>
      </c>
      <c r="HB878">
        <v>0</v>
      </c>
      <c r="HC878">
        <v>380.4</v>
      </c>
      <c r="HD878">
        <v>2175.5</v>
      </c>
      <c r="HE878">
        <v>0</v>
      </c>
      <c r="HF878">
        <v>0</v>
      </c>
      <c r="HG878">
        <v>0</v>
      </c>
      <c r="HH878">
        <v>0</v>
      </c>
      <c r="HI878">
        <v>0</v>
      </c>
      <c r="HJ878">
        <v>803.40000000000009</v>
      </c>
      <c r="HK878">
        <v>1270.9000000000001</v>
      </c>
      <c r="HL878">
        <v>835.7</v>
      </c>
      <c r="HM878">
        <v>1162.5999999999999</v>
      </c>
      <c r="HN878">
        <v>0</v>
      </c>
      <c r="HO878">
        <v>0</v>
      </c>
      <c r="HP878">
        <v>0</v>
      </c>
      <c r="HQ878">
        <v>0</v>
      </c>
      <c r="HR878">
        <v>161.19999999999999</v>
      </c>
      <c r="HS878">
        <v>0</v>
      </c>
      <c r="HT878">
        <v>2048.5</v>
      </c>
      <c r="HU878">
        <v>2627.5</v>
      </c>
      <c r="HV878">
        <v>1168.5999999999999</v>
      </c>
      <c r="HW878">
        <v>388</v>
      </c>
      <c r="HX878">
        <v>0</v>
      </c>
      <c r="HY878">
        <v>0</v>
      </c>
      <c r="HZ878">
        <v>0</v>
      </c>
      <c r="IA878">
        <v>0</v>
      </c>
      <c r="IB878">
        <v>0</v>
      </c>
      <c r="IC878">
        <v>594.4</v>
      </c>
      <c r="ID878">
        <v>427.4</v>
      </c>
      <c r="IE878">
        <v>713.3</v>
      </c>
      <c r="IF878">
        <v>626.1</v>
      </c>
      <c r="IG878">
        <v>0</v>
      </c>
      <c r="IH878">
        <v>0</v>
      </c>
      <c r="II878">
        <v>995.7</v>
      </c>
      <c r="IJ878">
        <v>1156.5999999999999</v>
      </c>
      <c r="IK878">
        <v>864.6</v>
      </c>
      <c r="IL878">
        <v>316.5</v>
      </c>
      <c r="IM878">
        <v>101.5</v>
      </c>
      <c r="IN878">
        <v>71.8</v>
      </c>
      <c r="IO878">
        <v>0</v>
      </c>
      <c r="IP878">
        <v>0</v>
      </c>
      <c r="IQ878">
        <v>0</v>
      </c>
      <c r="IR878">
        <v>0</v>
      </c>
      <c r="IS878">
        <v>0</v>
      </c>
      <c r="IT878">
        <v>0</v>
      </c>
      <c r="IU878">
        <v>0</v>
      </c>
      <c r="IV878">
        <v>0</v>
      </c>
      <c r="IW878">
        <v>68</v>
      </c>
      <c r="IX878">
        <v>404.7</v>
      </c>
      <c r="IY878">
        <v>126.6</v>
      </c>
      <c r="IZ878">
        <v>126.6</v>
      </c>
      <c r="JA878">
        <v>503.7</v>
      </c>
      <c r="JB878">
        <v>570.1</v>
      </c>
      <c r="JC878">
        <v>328.3</v>
      </c>
      <c r="JD878">
        <v>0</v>
      </c>
      <c r="JE878">
        <v>0</v>
      </c>
      <c r="JF878">
        <v>0</v>
      </c>
      <c r="JG878">
        <v>0</v>
      </c>
      <c r="JH878">
        <v>287.3</v>
      </c>
      <c r="JI878">
        <v>68.2</v>
      </c>
      <c r="JJ878">
        <v>0</v>
      </c>
      <c r="JK878">
        <v>148.6</v>
      </c>
      <c r="JL878">
        <v>0</v>
      </c>
      <c r="JM878">
        <v>0</v>
      </c>
      <c r="JN878">
        <v>204.5</v>
      </c>
      <c r="JO878">
        <v>292.10000000000002</v>
      </c>
      <c r="JP878">
        <v>670.8</v>
      </c>
      <c r="JQ878">
        <v>745.2</v>
      </c>
      <c r="JR878">
        <v>242.9</v>
      </c>
    </row>
    <row r="879" spans="2:278" ht="18" thickBot="1">
      <c r="B879" s="368" t="s">
        <v>1264</v>
      </c>
      <c r="C879" s="411" t="s">
        <v>1555</v>
      </c>
      <c r="D879" s="368"/>
      <c r="E879" s="454">
        <v>22829.8</v>
      </c>
      <c r="F879">
        <v>20193.400000000001</v>
      </c>
      <c r="G879" s="427">
        <v>0</v>
      </c>
      <c r="H879" s="155">
        <v>0</v>
      </c>
      <c r="I879">
        <v>0</v>
      </c>
      <c r="J879">
        <v>0</v>
      </c>
      <c r="K879">
        <v>0</v>
      </c>
      <c r="L879" s="4">
        <v>0</v>
      </c>
      <c r="M879" s="4">
        <v>0</v>
      </c>
      <c r="N879" s="4">
        <v>0</v>
      </c>
      <c r="O879" s="4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1476.4</v>
      </c>
      <c r="X879">
        <v>1482</v>
      </c>
      <c r="Y879">
        <v>457.20000000000005</v>
      </c>
      <c r="Z879">
        <v>0</v>
      </c>
      <c r="AA879">
        <v>0</v>
      </c>
      <c r="AB879">
        <v>0</v>
      </c>
      <c r="AC879">
        <v>0</v>
      </c>
      <c r="AD879">
        <v>3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1828.6</v>
      </c>
      <c r="AK879">
        <v>1800.7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560.70000000000005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0</v>
      </c>
      <c r="BN879">
        <v>0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  <c r="CF879">
        <v>0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  <c r="CN879">
        <v>0</v>
      </c>
      <c r="CO879">
        <v>0</v>
      </c>
      <c r="CP879">
        <v>3.5</v>
      </c>
      <c r="CQ879">
        <v>0</v>
      </c>
      <c r="CR879">
        <v>528</v>
      </c>
      <c r="CS879">
        <v>581.79999999999995</v>
      </c>
      <c r="CT879">
        <v>555.40000000000009</v>
      </c>
      <c r="CU879">
        <v>737.4</v>
      </c>
      <c r="CV879">
        <v>1039.0999999999999</v>
      </c>
      <c r="CW879">
        <v>1667.3</v>
      </c>
      <c r="CX879">
        <v>877.6</v>
      </c>
      <c r="CY879">
        <v>910.40000000000009</v>
      </c>
      <c r="CZ879">
        <v>0</v>
      </c>
      <c r="DA879">
        <v>0</v>
      </c>
      <c r="DB879">
        <v>0</v>
      </c>
      <c r="DC879">
        <v>0</v>
      </c>
      <c r="DD879">
        <v>0</v>
      </c>
      <c r="DE879">
        <v>0</v>
      </c>
      <c r="DF879">
        <v>0</v>
      </c>
      <c r="DG879">
        <v>0</v>
      </c>
      <c r="DH879">
        <v>0</v>
      </c>
      <c r="DI879">
        <v>0</v>
      </c>
      <c r="DJ879">
        <v>0</v>
      </c>
      <c r="DK879">
        <v>0</v>
      </c>
      <c r="DL879">
        <v>995.5</v>
      </c>
      <c r="DM879">
        <v>712.7</v>
      </c>
      <c r="DN879">
        <v>0</v>
      </c>
      <c r="DO879">
        <v>0</v>
      </c>
      <c r="DP879">
        <v>0</v>
      </c>
      <c r="DQ879">
        <v>0</v>
      </c>
      <c r="DR879">
        <v>0</v>
      </c>
      <c r="DS879">
        <v>0</v>
      </c>
      <c r="DT879">
        <v>0</v>
      </c>
      <c r="DU879">
        <v>0</v>
      </c>
      <c r="DV879">
        <v>0</v>
      </c>
      <c r="DW879">
        <v>0</v>
      </c>
      <c r="DX879">
        <v>0</v>
      </c>
      <c r="DY879">
        <v>0</v>
      </c>
      <c r="DZ879">
        <v>0</v>
      </c>
      <c r="EA879">
        <v>0</v>
      </c>
      <c r="EB879">
        <v>0</v>
      </c>
      <c r="EC879">
        <v>0</v>
      </c>
      <c r="ED879">
        <v>0</v>
      </c>
      <c r="EE879">
        <v>0</v>
      </c>
      <c r="EF879">
        <v>0</v>
      </c>
      <c r="EG879">
        <v>0</v>
      </c>
      <c r="EH879">
        <v>0</v>
      </c>
      <c r="EI879">
        <v>0</v>
      </c>
      <c r="EJ879">
        <v>0</v>
      </c>
      <c r="EK879">
        <v>0</v>
      </c>
      <c r="EL879">
        <v>0</v>
      </c>
      <c r="EM879">
        <v>0</v>
      </c>
      <c r="EN879">
        <v>27.4</v>
      </c>
      <c r="EO879">
        <v>0</v>
      </c>
      <c r="EP879">
        <v>1002.5</v>
      </c>
      <c r="EQ879">
        <v>0</v>
      </c>
      <c r="ER879">
        <v>494</v>
      </c>
      <c r="ES879">
        <v>0</v>
      </c>
      <c r="ET879">
        <v>699.3</v>
      </c>
      <c r="EU879">
        <v>435.4</v>
      </c>
      <c r="EV879">
        <v>0</v>
      </c>
      <c r="EW879">
        <v>0</v>
      </c>
      <c r="EX879">
        <v>0</v>
      </c>
      <c r="EY879">
        <v>0</v>
      </c>
      <c r="EZ879">
        <v>0</v>
      </c>
      <c r="FA879">
        <v>0</v>
      </c>
      <c r="FB879">
        <v>0</v>
      </c>
      <c r="FC879">
        <v>0</v>
      </c>
      <c r="FD879">
        <v>95.6</v>
      </c>
      <c r="FE879">
        <v>1792.1</v>
      </c>
      <c r="FF879">
        <v>1740.1999999999998</v>
      </c>
      <c r="FG879">
        <v>954.9</v>
      </c>
      <c r="FH879">
        <v>1087.8000000000002</v>
      </c>
      <c r="FI879">
        <v>1892.1</v>
      </c>
      <c r="FJ879">
        <v>1222.5</v>
      </c>
      <c r="FK879">
        <v>678.3</v>
      </c>
      <c r="FL879">
        <v>639.1</v>
      </c>
      <c r="FM879">
        <v>520.5</v>
      </c>
      <c r="FN879">
        <v>123.8</v>
      </c>
      <c r="FO879">
        <v>181.6</v>
      </c>
      <c r="FP879">
        <v>1090.5</v>
      </c>
      <c r="FQ879">
        <v>0</v>
      </c>
      <c r="FR879">
        <v>0</v>
      </c>
      <c r="FS879">
        <v>0</v>
      </c>
      <c r="FT879">
        <v>0</v>
      </c>
      <c r="FU879">
        <v>0</v>
      </c>
      <c r="FV879">
        <v>0</v>
      </c>
      <c r="FW879">
        <v>0</v>
      </c>
      <c r="FX879">
        <v>0</v>
      </c>
      <c r="FY879">
        <v>0</v>
      </c>
      <c r="FZ879">
        <v>0</v>
      </c>
      <c r="GA879">
        <v>0</v>
      </c>
      <c r="GB879">
        <v>0</v>
      </c>
      <c r="GC879">
        <v>0</v>
      </c>
      <c r="GD879">
        <v>0</v>
      </c>
      <c r="GE879">
        <v>0</v>
      </c>
      <c r="GF879">
        <v>198.3</v>
      </c>
      <c r="GG879">
        <v>1054.4000000000001</v>
      </c>
      <c r="GH879">
        <v>552.79999999999995</v>
      </c>
      <c r="GI879">
        <v>522</v>
      </c>
      <c r="GJ879">
        <v>0</v>
      </c>
      <c r="GK879">
        <v>0</v>
      </c>
      <c r="GL879">
        <v>0</v>
      </c>
      <c r="GM879">
        <v>0</v>
      </c>
      <c r="GN879">
        <v>791.40000000000009</v>
      </c>
      <c r="GO879">
        <v>1816.5</v>
      </c>
      <c r="GP879">
        <v>0</v>
      </c>
      <c r="GQ879">
        <v>0</v>
      </c>
      <c r="GR879">
        <v>0</v>
      </c>
      <c r="GS879">
        <v>0</v>
      </c>
      <c r="GT879">
        <v>0</v>
      </c>
      <c r="GU879">
        <v>0</v>
      </c>
      <c r="GV879">
        <v>0</v>
      </c>
      <c r="GW879">
        <v>0</v>
      </c>
      <c r="GX879">
        <v>0</v>
      </c>
      <c r="GY879">
        <v>840.3</v>
      </c>
      <c r="GZ879">
        <v>0</v>
      </c>
      <c r="HA879">
        <v>0</v>
      </c>
      <c r="HB879">
        <v>0</v>
      </c>
      <c r="HC879">
        <v>380.4</v>
      </c>
      <c r="HD879">
        <v>2175.5</v>
      </c>
      <c r="HE879">
        <v>0</v>
      </c>
      <c r="HF879">
        <v>0</v>
      </c>
      <c r="HG879">
        <v>0</v>
      </c>
      <c r="HH879">
        <v>0</v>
      </c>
      <c r="HI879">
        <v>0</v>
      </c>
      <c r="HJ879">
        <v>803.40000000000009</v>
      </c>
      <c r="HK879">
        <v>1270.9000000000001</v>
      </c>
      <c r="HL879">
        <v>835.7</v>
      </c>
      <c r="HM879">
        <v>1162.5999999999999</v>
      </c>
      <c r="HN879">
        <v>0</v>
      </c>
      <c r="HO879">
        <v>0</v>
      </c>
      <c r="HP879">
        <v>0</v>
      </c>
      <c r="HQ879">
        <v>0</v>
      </c>
      <c r="HR879">
        <v>161.19999999999999</v>
      </c>
      <c r="HS879">
        <v>0</v>
      </c>
      <c r="HT879">
        <v>2048.5</v>
      </c>
      <c r="HU879">
        <v>2627.5</v>
      </c>
      <c r="HV879">
        <v>1168.5999999999999</v>
      </c>
      <c r="HW879">
        <v>388</v>
      </c>
      <c r="HX879">
        <v>0</v>
      </c>
      <c r="HY879">
        <v>0</v>
      </c>
      <c r="HZ879">
        <v>0</v>
      </c>
      <c r="IA879">
        <v>0</v>
      </c>
      <c r="IB879">
        <v>0</v>
      </c>
      <c r="IC879">
        <v>594.4</v>
      </c>
      <c r="ID879">
        <v>427.4</v>
      </c>
      <c r="IE879">
        <v>713.3</v>
      </c>
      <c r="IF879">
        <v>626.1</v>
      </c>
      <c r="IG879">
        <v>0</v>
      </c>
      <c r="IH879">
        <v>0</v>
      </c>
      <c r="II879">
        <v>995.7</v>
      </c>
      <c r="IJ879">
        <v>1156.5999999999999</v>
      </c>
      <c r="IK879">
        <v>864.6</v>
      </c>
      <c r="IL879">
        <v>316.5</v>
      </c>
      <c r="IM879">
        <v>101.5</v>
      </c>
      <c r="IN879">
        <v>71.8</v>
      </c>
      <c r="IO879">
        <v>0</v>
      </c>
      <c r="IP879">
        <v>0</v>
      </c>
      <c r="IQ879">
        <v>0</v>
      </c>
      <c r="IR879">
        <v>0</v>
      </c>
      <c r="IS879">
        <v>0</v>
      </c>
      <c r="IT879">
        <v>0</v>
      </c>
      <c r="IU879">
        <v>0</v>
      </c>
      <c r="IV879">
        <v>0</v>
      </c>
      <c r="IW879">
        <v>68</v>
      </c>
      <c r="IX879">
        <v>404.7</v>
      </c>
      <c r="IY879">
        <v>126.6</v>
      </c>
      <c r="IZ879">
        <v>126.6</v>
      </c>
      <c r="JA879">
        <v>503.7</v>
      </c>
      <c r="JB879">
        <v>570.1</v>
      </c>
      <c r="JC879">
        <v>328.3</v>
      </c>
      <c r="JD879">
        <v>0</v>
      </c>
      <c r="JE879">
        <v>0</v>
      </c>
      <c r="JF879">
        <v>0</v>
      </c>
      <c r="JG879">
        <v>0</v>
      </c>
      <c r="JH879">
        <v>287.3</v>
      </c>
      <c r="JI879">
        <v>68.2</v>
      </c>
      <c r="JJ879">
        <v>0</v>
      </c>
      <c r="JK879">
        <v>148.6</v>
      </c>
      <c r="JL879">
        <v>0</v>
      </c>
      <c r="JM879">
        <v>0</v>
      </c>
      <c r="JN879">
        <v>204.5</v>
      </c>
      <c r="JO879">
        <v>292.10000000000002</v>
      </c>
      <c r="JP879">
        <v>670.8</v>
      </c>
      <c r="JQ879">
        <v>745.2</v>
      </c>
      <c r="JR879">
        <v>242.9</v>
      </c>
    </row>
    <row r="880" spans="2:278" ht="18" thickBot="1">
      <c r="B880" s="368" t="s">
        <v>1265</v>
      </c>
      <c r="C880" s="413" t="s">
        <v>1556</v>
      </c>
      <c r="D880" s="368" t="s">
        <v>1387</v>
      </c>
      <c r="E880" s="454">
        <v>22829.8</v>
      </c>
      <c r="F880">
        <v>20193.400000000001</v>
      </c>
      <c r="G880" s="427">
        <v>0</v>
      </c>
      <c r="H880" s="155">
        <v>0</v>
      </c>
      <c r="I880">
        <v>0</v>
      </c>
      <c r="J880">
        <v>0</v>
      </c>
      <c r="K880">
        <v>0</v>
      </c>
      <c r="L880" s="4">
        <v>0</v>
      </c>
      <c r="M880" s="4">
        <v>0</v>
      </c>
      <c r="N880" s="4">
        <v>0</v>
      </c>
      <c r="O880" s="4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1476.4</v>
      </c>
      <c r="X880">
        <v>1482</v>
      </c>
      <c r="Y880">
        <v>457.20000000000005</v>
      </c>
      <c r="Z880">
        <v>0</v>
      </c>
      <c r="AA880">
        <v>0</v>
      </c>
      <c r="AB880">
        <v>0</v>
      </c>
      <c r="AC880">
        <v>0</v>
      </c>
      <c r="AD880">
        <v>3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1828.6</v>
      </c>
      <c r="AK880">
        <v>1800.7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560.70000000000005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>
        <v>0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  <c r="CF880">
        <v>0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  <c r="CN880">
        <v>0</v>
      </c>
      <c r="CO880">
        <v>0</v>
      </c>
      <c r="CP880">
        <v>3.5</v>
      </c>
      <c r="CQ880">
        <v>0</v>
      </c>
      <c r="CR880">
        <v>528</v>
      </c>
      <c r="CS880">
        <v>581.79999999999995</v>
      </c>
      <c r="CT880">
        <v>555.40000000000009</v>
      </c>
      <c r="CU880">
        <v>737.4</v>
      </c>
      <c r="CV880">
        <v>1039.0999999999999</v>
      </c>
      <c r="CW880">
        <v>1667.3</v>
      </c>
      <c r="CX880">
        <v>877.6</v>
      </c>
      <c r="CY880">
        <v>910.40000000000009</v>
      </c>
      <c r="CZ880">
        <v>0</v>
      </c>
      <c r="DA880">
        <v>0</v>
      </c>
      <c r="DB880">
        <v>0</v>
      </c>
      <c r="DC880">
        <v>0</v>
      </c>
      <c r="DD880">
        <v>0</v>
      </c>
      <c r="DE880">
        <v>0</v>
      </c>
      <c r="DF880">
        <v>0</v>
      </c>
      <c r="DG880">
        <v>0</v>
      </c>
      <c r="DH880">
        <v>0</v>
      </c>
      <c r="DI880">
        <v>0</v>
      </c>
      <c r="DJ880">
        <v>0</v>
      </c>
      <c r="DK880">
        <v>0</v>
      </c>
      <c r="DL880">
        <v>995.5</v>
      </c>
      <c r="DM880">
        <v>712.7</v>
      </c>
      <c r="DN880">
        <v>0</v>
      </c>
      <c r="DO880">
        <v>0</v>
      </c>
      <c r="DP880">
        <v>0</v>
      </c>
      <c r="DQ880">
        <v>0</v>
      </c>
      <c r="DR880">
        <v>0</v>
      </c>
      <c r="DS880">
        <v>0</v>
      </c>
      <c r="DT880">
        <v>0</v>
      </c>
      <c r="DU880">
        <v>0</v>
      </c>
      <c r="DV880">
        <v>0</v>
      </c>
      <c r="DW880">
        <v>0</v>
      </c>
      <c r="DX880">
        <v>0</v>
      </c>
      <c r="DY880">
        <v>0</v>
      </c>
      <c r="DZ880">
        <v>0</v>
      </c>
      <c r="EA880">
        <v>0</v>
      </c>
      <c r="EB880">
        <v>0</v>
      </c>
      <c r="EC880">
        <v>0</v>
      </c>
      <c r="ED880">
        <v>0</v>
      </c>
      <c r="EE880">
        <v>0</v>
      </c>
      <c r="EF880">
        <v>0</v>
      </c>
      <c r="EG880">
        <v>0</v>
      </c>
      <c r="EH880">
        <v>0</v>
      </c>
      <c r="EI880">
        <v>0</v>
      </c>
      <c r="EJ880">
        <v>0</v>
      </c>
      <c r="EK880">
        <v>0</v>
      </c>
      <c r="EL880">
        <v>0</v>
      </c>
      <c r="EM880">
        <v>0</v>
      </c>
      <c r="EN880">
        <v>27.4</v>
      </c>
      <c r="EO880">
        <v>0</v>
      </c>
      <c r="EP880">
        <v>1002.5</v>
      </c>
      <c r="EQ880">
        <v>0</v>
      </c>
      <c r="ER880">
        <v>494</v>
      </c>
      <c r="ES880">
        <v>0</v>
      </c>
      <c r="ET880">
        <v>699.3</v>
      </c>
      <c r="EU880">
        <v>435.4</v>
      </c>
      <c r="EV880">
        <v>0</v>
      </c>
      <c r="EW880">
        <v>0</v>
      </c>
      <c r="EX880">
        <v>0</v>
      </c>
      <c r="EY880">
        <v>0</v>
      </c>
      <c r="EZ880">
        <v>0</v>
      </c>
      <c r="FA880">
        <v>0</v>
      </c>
      <c r="FB880">
        <v>0</v>
      </c>
      <c r="FC880">
        <v>0</v>
      </c>
      <c r="FD880">
        <v>95.6</v>
      </c>
      <c r="FE880">
        <v>1792.1</v>
      </c>
      <c r="FF880">
        <v>1740.1999999999998</v>
      </c>
      <c r="FG880">
        <v>954.9</v>
      </c>
      <c r="FH880">
        <v>1087.8000000000002</v>
      </c>
      <c r="FI880">
        <v>1892.1</v>
      </c>
      <c r="FJ880">
        <v>1222.5</v>
      </c>
      <c r="FK880">
        <v>678.3</v>
      </c>
      <c r="FL880">
        <v>639.1</v>
      </c>
      <c r="FM880">
        <v>520.5</v>
      </c>
      <c r="FN880">
        <v>123.8</v>
      </c>
      <c r="FO880">
        <v>181.6</v>
      </c>
      <c r="FP880">
        <v>1090.5</v>
      </c>
      <c r="FQ880">
        <v>0</v>
      </c>
      <c r="FR880">
        <v>0</v>
      </c>
      <c r="FS880">
        <v>0</v>
      </c>
      <c r="FT880">
        <v>0</v>
      </c>
      <c r="FU880">
        <v>0</v>
      </c>
      <c r="FV880">
        <v>0</v>
      </c>
      <c r="FW880">
        <v>0</v>
      </c>
      <c r="FX880">
        <v>0</v>
      </c>
      <c r="FY880">
        <v>0</v>
      </c>
      <c r="FZ880">
        <v>0</v>
      </c>
      <c r="GA880">
        <v>0</v>
      </c>
      <c r="GB880">
        <v>0</v>
      </c>
      <c r="GC880">
        <v>0</v>
      </c>
      <c r="GD880">
        <v>0</v>
      </c>
      <c r="GE880">
        <v>0</v>
      </c>
      <c r="GF880">
        <v>198.3</v>
      </c>
      <c r="GG880">
        <v>1054.4000000000001</v>
      </c>
      <c r="GH880">
        <v>552.79999999999995</v>
      </c>
      <c r="GI880">
        <v>522</v>
      </c>
      <c r="GJ880">
        <v>0</v>
      </c>
      <c r="GK880">
        <v>0</v>
      </c>
      <c r="GL880">
        <v>0</v>
      </c>
      <c r="GM880">
        <v>0</v>
      </c>
      <c r="GN880">
        <v>791.40000000000009</v>
      </c>
      <c r="GO880">
        <v>1816.5</v>
      </c>
      <c r="GP880">
        <v>0</v>
      </c>
      <c r="GQ880">
        <v>0</v>
      </c>
      <c r="GR880">
        <v>0</v>
      </c>
      <c r="GS880">
        <v>0</v>
      </c>
      <c r="GT880">
        <v>0</v>
      </c>
      <c r="GU880">
        <v>0</v>
      </c>
      <c r="GV880">
        <v>0</v>
      </c>
      <c r="GW880">
        <v>0</v>
      </c>
      <c r="GX880">
        <v>0</v>
      </c>
      <c r="GY880">
        <v>840.3</v>
      </c>
      <c r="GZ880">
        <v>0</v>
      </c>
      <c r="HA880">
        <v>0</v>
      </c>
      <c r="HB880">
        <v>0</v>
      </c>
      <c r="HC880">
        <v>380.4</v>
      </c>
      <c r="HD880">
        <v>2175.5</v>
      </c>
      <c r="HE880">
        <v>0</v>
      </c>
      <c r="HF880">
        <v>0</v>
      </c>
      <c r="HG880">
        <v>0</v>
      </c>
      <c r="HH880">
        <v>0</v>
      </c>
      <c r="HI880">
        <v>0</v>
      </c>
      <c r="HJ880">
        <v>803.40000000000009</v>
      </c>
      <c r="HK880">
        <v>1270.9000000000001</v>
      </c>
      <c r="HL880">
        <v>835.7</v>
      </c>
      <c r="HM880">
        <v>1162.5999999999999</v>
      </c>
      <c r="HN880">
        <v>0</v>
      </c>
      <c r="HO880">
        <v>0</v>
      </c>
      <c r="HP880">
        <v>0</v>
      </c>
      <c r="HQ880">
        <v>0</v>
      </c>
      <c r="HR880">
        <v>161.19999999999999</v>
      </c>
      <c r="HS880">
        <v>0</v>
      </c>
      <c r="HT880">
        <v>2048.5</v>
      </c>
      <c r="HU880">
        <v>2627.5</v>
      </c>
      <c r="HV880">
        <v>1168.5999999999999</v>
      </c>
      <c r="HW880">
        <v>388</v>
      </c>
      <c r="HX880">
        <v>0</v>
      </c>
      <c r="HY880">
        <v>0</v>
      </c>
      <c r="HZ880">
        <v>0</v>
      </c>
      <c r="IA880">
        <v>0</v>
      </c>
      <c r="IB880">
        <v>0</v>
      </c>
      <c r="IC880">
        <v>594.4</v>
      </c>
      <c r="ID880">
        <v>427.4</v>
      </c>
      <c r="IE880">
        <v>713.3</v>
      </c>
      <c r="IF880">
        <v>626.1</v>
      </c>
      <c r="IG880">
        <v>0</v>
      </c>
      <c r="IH880">
        <v>0</v>
      </c>
      <c r="II880">
        <v>995.7</v>
      </c>
      <c r="IJ880">
        <v>1156.5999999999999</v>
      </c>
      <c r="IK880">
        <v>864.6</v>
      </c>
      <c r="IL880">
        <v>316.5</v>
      </c>
      <c r="IM880">
        <v>101.5</v>
      </c>
      <c r="IN880">
        <v>71.8</v>
      </c>
      <c r="IO880">
        <v>0</v>
      </c>
      <c r="IP880">
        <v>0</v>
      </c>
      <c r="IQ880">
        <v>0</v>
      </c>
      <c r="IR880">
        <v>0</v>
      </c>
      <c r="IS880">
        <v>0</v>
      </c>
      <c r="IT880">
        <v>0</v>
      </c>
      <c r="IU880">
        <v>0</v>
      </c>
      <c r="IV880">
        <v>0</v>
      </c>
      <c r="IW880">
        <v>68</v>
      </c>
      <c r="IX880">
        <v>404.7</v>
      </c>
      <c r="IY880">
        <v>126.6</v>
      </c>
      <c r="IZ880">
        <v>126.6</v>
      </c>
      <c r="JA880">
        <v>503.7</v>
      </c>
      <c r="JB880">
        <v>570.1</v>
      </c>
      <c r="JC880">
        <v>328.3</v>
      </c>
      <c r="JD880">
        <v>0</v>
      </c>
      <c r="JE880">
        <v>0</v>
      </c>
      <c r="JF880">
        <v>0</v>
      </c>
      <c r="JG880">
        <v>0</v>
      </c>
      <c r="JH880">
        <v>287.3</v>
      </c>
      <c r="JI880">
        <v>68.2</v>
      </c>
      <c r="JJ880">
        <v>0</v>
      </c>
      <c r="JK880">
        <v>148.6</v>
      </c>
      <c r="JL880">
        <v>0</v>
      </c>
      <c r="JM880">
        <v>0</v>
      </c>
      <c r="JN880">
        <v>204.5</v>
      </c>
      <c r="JO880">
        <v>292.10000000000002</v>
      </c>
      <c r="JP880">
        <v>670.8</v>
      </c>
      <c r="JQ880">
        <v>745.2</v>
      </c>
      <c r="JR880">
        <v>242.9</v>
      </c>
    </row>
    <row r="881" spans="2:278" ht="18" thickBot="1">
      <c r="B881" s="368" t="s">
        <v>463</v>
      </c>
      <c r="C881" s="368"/>
      <c r="D881" s="368"/>
      <c r="E881" s="454">
        <v>22829.8</v>
      </c>
      <c r="F881">
        <v>20193.400000000001</v>
      </c>
      <c r="G881" s="427">
        <v>0</v>
      </c>
      <c r="H881" s="155">
        <v>0</v>
      </c>
      <c r="I881">
        <v>0</v>
      </c>
      <c r="J881">
        <v>0</v>
      </c>
      <c r="K881">
        <v>0</v>
      </c>
      <c r="L881" s="4">
        <v>0</v>
      </c>
      <c r="M881" s="4">
        <v>0</v>
      </c>
      <c r="N881" s="4">
        <v>0</v>
      </c>
      <c r="O881" s="4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1476.4</v>
      </c>
      <c r="X881">
        <v>1482</v>
      </c>
      <c r="Y881">
        <v>457.20000000000005</v>
      </c>
      <c r="Z881">
        <v>0</v>
      </c>
      <c r="AA881">
        <v>0</v>
      </c>
      <c r="AB881">
        <v>0</v>
      </c>
      <c r="AC881">
        <v>0</v>
      </c>
      <c r="AD881">
        <v>3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1828.6</v>
      </c>
      <c r="AK881">
        <v>1800.7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560.70000000000005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0</v>
      </c>
      <c r="BN881">
        <v>0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  <c r="CF881">
        <v>0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  <c r="CN881">
        <v>0</v>
      </c>
      <c r="CO881">
        <v>0</v>
      </c>
      <c r="CP881">
        <v>3.5</v>
      </c>
      <c r="CQ881">
        <v>0</v>
      </c>
      <c r="CR881">
        <v>528</v>
      </c>
      <c r="CS881">
        <v>581.79999999999995</v>
      </c>
      <c r="CT881">
        <v>555.40000000000009</v>
      </c>
      <c r="CU881">
        <v>737.4</v>
      </c>
      <c r="CV881">
        <v>1039.0999999999999</v>
      </c>
      <c r="CW881">
        <v>1667.3</v>
      </c>
      <c r="CX881">
        <v>877.6</v>
      </c>
      <c r="CY881">
        <v>910.40000000000009</v>
      </c>
      <c r="CZ881">
        <v>0</v>
      </c>
      <c r="DA881">
        <v>0</v>
      </c>
      <c r="DB881">
        <v>0</v>
      </c>
      <c r="DC881">
        <v>0</v>
      </c>
      <c r="DD881">
        <v>0</v>
      </c>
      <c r="DE881">
        <v>0</v>
      </c>
      <c r="DF881">
        <v>0</v>
      </c>
      <c r="DG881">
        <v>0</v>
      </c>
      <c r="DH881">
        <v>0</v>
      </c>
      <c r="DI881">
        <v>0</v>
      </c>
      <c r="DJ881">
        <v>0</v>
      </c>
      <c r="DK881">
        <v>0</v>
      </c>
      <c r="DL881">
        <v>995.5</v>
      </c>
      <c r="DM881">
        <v>712.7</v>
      </c>
      <c r="DN881">
        <v>0</v>
      </c>
      <c r="DO881">
        <v>0</v>
      </c>
      <c r="DP881">
        <v>0</v>
      </c>
      <c r="DQ881">
        <v>0</v>
      </c>
      <c r="DR881">
        <v>0</v>
      </c>
      <c r="DS881">
        <v>0</v>
      </c>
      <c r="DT881">
        <v>0</v>
      </c>
      <c r="DU881">
        <v>0</v>
      </c>
      <c r="DV881">
        <v>0</v>
      </c>
      <c r="DW881">
        <v>0</v>
      </c>
      <c r="DX881">
        <v>0</v>
      </c>
      <c r="DY881">
        <v>0</v>
      </c>
      <c r="DZ881">
        <v>0</v>
      </c>
      <c r="EA881">
        <v>0</v>
      </c>
      <c r="EB881">
        <v>0</v>
      </c>
      <c r="EC881">
        <v>0</v>
      </c>
      <c r="ED881">
        <v>0</v>
      </c>
      <c r="EE881">
        <v>0</v>
      </c>
      <c r="EF881">
        <v>0</v>
      </c>
      <c r="EG881">
        <v>0</v>
      </c>
      <c r="EH881">
        <v>0</v>
      </c>
      <c r="EI881">
        <v>0</v>
      </c>
      <c r="EJ881">
        <v>0</v>
      </c>
      <c r="EK881">
        <v>0</v>
      </c>
      <c r="EL881">
        <v>0</v>
      </c>
      <c r="EM881">
        <v>0</v>
      </c>
      <c r="EN881">
        <v>27.4</v>
      </c>
      <c r="EO881">
        <v>0</v>
      </c>
      <c r="EP881">
        <v>1002.5</v>
      </c>
      <c r="EQ881">
        <v>0</v>
      </c>
      <c r="ER881">
        <v>494</v>
      </c>
      <c r="ES881">
        <v>0</v>
      </c>
      <c r="ET881">
        <v>699.3</v>
      </c>
      <c r="EU881">
        <v>435.4</v>
      </c>
      <c r="EV881">
        <v>0</v>
      </c>
      <c r="EW881">
        <v>0</v>
      </c>
      <c r="EX881">
        <v>0</v>
      </c>
      <c r="EY881">
        <v>0</v>
      </c>
      <c r="EZ881">
        <v>0</v>
      </c>
      <c r="FA881">
        <v>0</v>
      </c>
      <c r="FB881">
        <v>0</v>
      </c>
      <c r="FC881">
        <v>0</v>
      </c>
      <c r="FD881">
        <v>95.6</v>
      </c>
      <c r="FE881">
        <v>1792.1</v>
      </c>
      <c r="FF881">
        <v>1740.1999999999998</v>
      </c>
      <c r="FG881">
        <v>954.9</v>
      </c>
      <c r="FH881">
        <v>1087.8000000000002</v>
      </c>
      <c r="FI881">
        <v>1892.1</v>
      </c>
      <c r="FJ881">
        <v>1222.5</v>
      </c>
      <c r="FK881">
        <v>678.3</v>
      </c>
      <c r="FL881">
        <v>639.1</v>
      </c>
      <c r="FM881">
        <v>520.5</v>
      </c>
      <c r="FN881">
        <v>123.8</v>
      </c>
      <c r="FO881">
        <v>181.6</v>
      </c>
      <c r="FP881">
        <v>1090.5</v>
      </c>
      <c r="FQ881">
        <v>0</v>
      </c>
      <c r="FR881">
        <v>0</v>
      </c>
      <c r="FS881">
        <v>0</v>
      </c>
      <c r="FT881">
        <v>0</v>
      </c>
      <c r="FU881">
        <v>0</v>
      </c>
      <c r="FV881">
        <v>0</v>
      </c>
      <c r="FW881">
        <v>0</v>
      </c>
      <c r="FX881">
        <v>0</v>
      </c>
      <c r="FY881">
        <v>0</v>
      </c>
      <c r="FZ881">
        <v>0</v>
      </c>
      <c r="GA881">
        <v>0</v>
      </c>
      <c r="GB881">
        <v>0</v>
      </c>
      <c r="GC881">
        <v>0</v>
      </c>
      <c r="GD881">
        <v>0</v>
      </c>
      <c r="GE881">
        <v>0</v>
      </c>
      <c r="GF881">
        <v>198.3</v>
      </c>
      <c r="GG881">
        <v>1054.4000000000001</v>
      </c>
      <c r="GH881">
        <v>552.79999999999995</v>
      </c>
      <c r="GI881">
        <v>522</v>
      </c>
      <c r="GJ881">
        <v>0</v>
      </c>
      <c r="GK881">
        <v>0</v>
      </c>
      <c r="GL881">
        <v>0</v>
      </c>
      <c r="GM881">
        <v>0</v>
      </c>
      <c r="GN881">
        <v>791.40000000000009</v>
      </c>
      <c r="GO881">
        <v>1816.5</v>
      </c>
      <c r="GP881">
        <v>0</v>
      </c>
      <c r="GQ881">
        <v>0</v>
      </c>
      <c r="GR881">
        <v>0</v>
      </c>
      <c r="GS881">
        <v>0</v>
      </c>
      <c r="GT881">
        <v>0</v>
      </c>
      <c r="GU881">
        <v>0</v>
      </c>
      <c r="GV881">
        <v>0</v>
      </c>
      <c r="GW881">
        <v>0</v>
      </c>
      <c r="GX881">
        <v>0</v>
      </c>
      <c r="GY881">
        <v>840.3</v>
      </c>
      <c r="GZ881">
        <v>0</v>
      </c>
      <c r="HA881">
        <v>0</v>
      </c>
      <c r="HB881">
        <v>0</v>
      </c>
      <c r="HC881">
        <v>380.4</v>
      </c>
      <c r="HD881">
        <v>2175.5</v>
      </c>
      <c r="HE881">
        <v>0</v>
      </c>
      <c r="HF881">
        <v>0</v>
      </c>
      <c r="HG881">
        <v>0</v>
      </c>
      <c r="HH881">
        <v>0</v>
      </c>
      <c r="HI881">
        <v>0</v>
      </c>
      <c r="HJ881">
        <v>803.40000000000009</v>
      </c>
      <c r="HK881">
        <v>1270.9000000000001</v>
      </c>
      <c r="HL881">
        <v>835.7</v>
      </c>
      <c r="HM881">
        <v>1162.5999999999999</v>
      </c>
      <c r="HN881">
        <v>0</v>
      </c>
      <c r="HO881">
        <v>0</v>
      </c>
      <c r="HP881">
        <v>0</v>
      </c>
      <c r="HQ881">
        <v>0</v>
      </c>
      <c r="HR881">
        <v>161.19999999999999</v>
      </c>
      <c r="HS881">
        <v>0</v>
      </c>
      <c r="HT881">
        <v>2048.5</v>
      </c>
      <c r="HU881">
        <v>2627.5</v>
      </c>
      <c r="HV881">
        <v>1168.5999999999999</v>
      </c>
      <c r="HW881">
        <v>388</v>
      </c>
      <c r="HX881">
        <v>0</v>
      </c>
      <c r="HY881">
        <v>0</v>
      </c>
      <c r="HZ881">
        <v>0</v>
      </c>
      <c r="IA881">
        <v>0</v>
      </c>
      <c r="IB881">
        <v>0</v>
      </c>
      <c r="IC881">
        <v>594.4</v>
      </c>
      <c r="ID881">
        <v>427.4</v>
      </c>
      <c r="IE881">
        <v>713.3</v>
      </c>
      <c r="IF881">
        <v>626.1</v>
      </c>
      <c r="IG881">
        <v>0</v>
      </c>
      <c r="IH881">
        <v>0</v>
      </c>
      <c r="II881">
        <v>995.7</v>
      </c>
      <c r="IJ881">
        <v>1156.5999999999999</v>
      </c>
      <c r="IK881">
        <v>864.6</v>
      </c>
      <c r="IL881">
        <v>316.5</v>
      </c>
      <c r="IM881">
        <v>101.5</v>
      </c>
      <c r="IN881">
        <v>71.8</v>
      </c>
      <c r="IO881">
        <v>0</v>
      </c>
      <c r="IP881">
        <v>0</v>
      </c>
      <c r="IQ881">
        <v>0</v>
      </c>
      <c r="IR881">
        <v>0</v>
      </c>
      <c r="IS881">
        <v>0</v>
      </c>
      <c r="IT881">
        <v>0</v>
      </c>
      <c r="IU881">
        <v>0</v>
      </c>
      <c r="IV881">
        <v>0</v>
      </c>
      <c r="IW881">
        <v>68</v>
      </c>
      <c r="IX881">
        <v>404.7</v>
      </c>
      <c r="IY881">
        <v>126.6</v>
      </c>
      <c r="IZ881">
        <v>126.6</v>
      </c>
      <c r="JA881">
        <v>503.7</v>
      </c>
      <c r="JB881">
        <v>570.1</v>
      </c>
      <c r="JC881">
        <v>328.3</v>
      </c>
      <c r="JD881">
        <v>0</v>
      </c>
      <c r="JE881">
        <v>0</v>
      </c>
      <c r="JF881">
        <v>0</v>
      </c>
      <c r="JG881">
        <v>0</v>
      </c>
      <c r="JH881">
        <v>287.3</v>
      </c>
      <c r="JI881">
        <v>68.2</v>
      </c>
      <c r="JJ881">
        <v>0</v>
      </c>
      <c r="JK881">
        <v>148.6</v>
      </c>
      <c r="JL881">
        <v>0</v>
      </c>
      <c r="JM881">
        <v>0</v>
      </c>
      <c r="JN881">
        <v>204.5</v>
      </c>
      <c r="JO881">
        <v>292.10000000000002</v>
      </c>
      <c r="JP881">
        <v>670.8</v>
      </c>
      <c r="JQ881">
        <v>745.2</v>
      </c>
      <c r="JR881">
        <v>242.9</v>
      </c>
    </row>
    <row r="882" spans="2:278" ht="18" thickBot="1">
      <c r="B882" s="368" t="s">
        <v>595</v>
      </c>
      <c r="C882" s="369" t="s">
        <v>1557</v>
      </c>
      <c r="D882" s="368" t="s">
        <v>1410</v>
      </c>
      <c r="E882" s="454">
        <v>22829.8</v>
      </c>
      <c r="F882">
        <v>20193.400000000001</v>
      </c>
      <c r="G882" s="427">
        <v>0</v>
      </c>
      <c r="H882" s="155">
        <v>0</v>
      </c>
      <c r="I882">
        <v>0</v>
      </c>
      <c r="J882">
        <v>0</v>
      </c>
      <c r="K882">
        <v>0</v>
      </c>
      <c r="L882" s="4">
        <v>0</v>
      </c>
      <c r="M882" s="4">
        <v>0</v>
      </c>
      <c r="N882" s="4">
        <v>0</v>
      </c>
      <c r="O882" s="4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1476.4</v>
      </c>
      <c r="X882">
        <v>1482</v>
      </c>
      <c r="Y882">
        <v>457.20000000000005</v>
      </c>
      <c r="Z882">
        <v>0</v>
      </c>
      <c r="AA882">
        <v>0</v>
      </c>
      <c r="AB882">
        <v>0</v>
      </c>
      <c r="AC882">
        <v>0</v>
      </c>
      <c r="AD882">
        <v>3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1828.6</v>
      </c>
      <c r="AK882">
        <v>1800.7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560.70000000000005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0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  <c r="CF882">
        <v>0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  <c r="CN882">
        <v>0</v>
      </c>
      <c r="CO882">
        <v>0</v>
      </c>
      <c r="CP882">
        <v>3.5</v>
      </c>
      <c r="CQ882">
        <v>0</v>
      </c>
      <c r="CR882">
        <v>528</v>
      </c>
      <c r="CS882">
        <v>581.79999999999995</v>
      </c>
      <c r="CT882">
        <v>555.40000000000009</v>
      </c>
      <c r="CU882">
        <v>737.4</v>
      </c>
      <c r="CV882">
        <v>1039.0999999999999</v>
      </c>
      <c r="CW882">
        <v>1667.3</v>
      </c>
      <c r="CX882">
        <v>877.6</v>
      </c>
      <c r="CY882">
        <v>910.40000000000009</v>
      </c>
      <c r="CZ882">
        <v>0</v>
      </c>
      <c r="DA882">
        <v>0</v>
      </c>
      <c r="DB882">
        <v>0</v>
      </c>
      <c r="DC882">
        <v>0</v>
      </c>
      <c r="DD882">
        <v>0</v>
      </c>
      <c r="DE882">
        <v>0</v>
      </c>
      <c r="DF882">
        <v>0</v>
      </c>
      <c r="DG882">
        <v>0</v>
      </c>
      <c r="DH882">
        <v>0</v>
      </c>
      <c r="DI882">
        <v>0</v>
      </c>
      <c r="DJ882">
        <v>0</v>
      </c>
      <c r="DK882">
        <v>0</v>
      </c>
      <c r="DL882">
        <v>995.5</v>
      </c>
      <c r="DM882">
        <v>712.7</v>
      </c>
      <c r="DN882">
        <v>0</v>
      </c>
      <c r="DO882">
        <v>0</v>
      </c>
      <c r="DP882">
        <v>0</v>
      </c>
      <c r="DQ882">
        <v>0</v>
      </c>
      <c r="DR882">
        <v>0</v>
      </c>
      <c r="DS882">
        <v>0</v>
      </c>
      <c r="DT882">
        <v>0</v>
      </c>
      <c r="DU882">
        <v>0</v>
      </c>
      <c r="DV882">
        <v>0</v>
      </c>
      <c r="DW882">
        <v>0</v>
      </c>
      <c r="DX882">
        <v>0</v>
      </c>
      <c r="DY882">
        <v>0</v>
      </c>
      <c r="DZ882">
        <v>0</v>
      </c>
      <c r="EA882">
        <v>0</v>
      </c>
      <c r="EB882">
        <v>0</v>
      </c>
      <c r="EC882">
        <v>0</v>
      </c>
      <c r="ED882">
        <v>0</v>
      </c>
      <c r="EE882">
        <v>0</v>
      </c>
      <c r="EF882">
        <v>0</v>
      </c>
      <c r="EG882">
        <v>0</v>
      </c>
      <c r="EH882">
        <v>0</v>
      </c>
      <c r="EI882">
        <v>0</v>
      </c>
      <c r="EJ882">
        <v>0</v>
      </c>
      <c r="EK882">
        <v>0</v>
      </c>
      <c r="EL882">
        <v>0</v>
      </c>
      <c r="EM882">
        <v>0</v>
      </c>
      <c r="EN882">
        <v>27.4</v>
      </c>
      <c r="EO882">
        <v>0</v>
      </c>
      <c r="EP882">
        <v>1002.5</v>
      </c>
      <c r="EQ882">
        <v>0</v>
      </c>
      <c r="ER882">
        <v>494</v>
      </c>
      <c r="ES882">
        <v>0</v>
      </c>
      <c r="ET882">
        <v>699.3</v>
      </c>
      <c r="EU882">
        <v>435.4</v>
      </c>
      <c r="EV882">
        <v>0</v>
      </c>
      <c r="EW882">
        <v>0</v>
      </c>
      <c r="EX882">
        <v>0</v>
      </c>
      <c r="EY882">
        <v>0</v>
      </c>
      <c r="EZ882">
        <v>0</v>
      </c>
      <c r="FA882">
        <v>0</v>
      </c>
      <c r="FB882">
        <v>0</v>
      </c>
      <c r="FC882">
        <v>0</v>
      </c>
      <c r="FD882">
        <v>95.6</v>
      </c>
      <c r="FE882">
        <v>1792.1</v>
      </c>
      <c r="FF882">
        <v>1740.1999999999998</v>
      </c>
      <c r="FG882">
        <v>954.9</v>
      </c>
      <c r="FH882">
        <v>1087.8000000000002</v>
      </c>
      <c r="FI882">
        <v>1892.1</v>
      </c>
      <c r="FJ882">
        <v>1222.5</v>
      </c>
      <c r="FK882">
        <v>678.3</v>
      </c>
      <c r="FL882">
        <v>639.1</v>
      </c>
      <c r="FM882">
        <v>520.5</v>
      </c>
      <c r="FN882">
        <v>123.8</v>
      </c>
      <c r="FO882">
        <v>181.6</v>
      </c>
      <c r="FP882">
        <v>1090.5</v>
      </c>
      <c r="FQ882">
        <v>0</v>
      </c>
      <c r="FR882">
        <v>0</v>
      </c>
      <c r="FS882">
        <v>0</v>
      </c>
      <c r="FT882">
        <v>0</v>
      </c>
      <c r="FU882">
        <v>0</v>
      </c>
      <c r="FV882">
        <v>0</v>
      </c>
      <c r="FW882">
        <v>0</v>
      </c>
      <c r="FX882">
        <v>0</v>
      </c>
      <c r="FY882">
        <v>0</v>
      </c>
      <c r="FZ882">
        <v>0</v>
      </c>
      <c r="GA882">
        <v>0</v>
      </c>
      <c r="GB882">
        <v>0</v>
      </c>
      <c r="GC882">
        <v>0</v>
      </c>
      <c r="GD882">
        <v>0</v>
      </c>
      <c r="GE882">
        <v>0</v>
      </c>
      <c r="GF882">
        <v>198.3</v>
      </c>
      <c r="GG882">
        <v>1054.4000000000001</v>
      </c>
      <c r="GH882">
        <v>552.79999999999995</v>
      </c>
      <c r="GI882">
        <v>522</v>
      </c>
      <c r="GJ882">
        <v>0</v>
      </c>
      <c r="GK882">
        <v>0</v>
      </c>
      <c r="GL882">
        <v>0</v>
      </c>
      <c r="GM882">
        <v>0</v>
      </c>
      <c r="GN882">
        <v>791.40000000000009</v>
      </c>
      <c r="GO882">
        <v>1816.5</v>
      </c>
      <c r="GP882">
        <v>0</v>
      </c>
      <c r="GQ882">
        <v>0</v>
      </c>
      <c r="GR882">
        <v>0</v>
      </c>
      <c r="GS882">
        <v>0</v>
      </c>
      <c r="GT882">
        <v>0</v>
      </c>
      <c r="GU882">
        <v>0</v>
      </c>
      <c r="GV882">
        <v>0</v>
      </c>
      <c r="GW882">
        <v>0</v>
      </c>
      <c r="GX882">
        <v>0</v>
      </c>
      <c r="GY882">
        <v>840.3</v>
      </c>
      <c r="GZ882">
        <v>0</v>
      </c>
      <c r="HA882">
        <v>0</v>
      </c>
      <c r="HB882">
        <v>0</v>
      </c>
      <c r="HC882">
        <v>380.4</v>
      </c>
      <c r="HD882">
        <v>2175.5</v>
      </c>
      <c r="HE882">
        <v>0</v>
      </c>
      <c r="HF882">
        <v>0</v>
      </c>
      <c r="HG882">
        <v>0</v>
      </c>
      <c r="HH882">
        <v>0</v>
      </c>
      <c r="HI882">
        <v>0</v>
      </c>
      <c r="HJ882">
        <v>803.40000000000009</v>
      </c>
      <c r="HK882">
        <v>1270.9000000000001</v>
      </c>
      <c r="HL882">
        <v>835.7</v>
      </c>
      <c r="HM882">
        <v>1162.5999999999999</v>
      </c>
      <c r="HN882">
        <v>0</v>
      </c>
      <c r="HO882">
        <v>0</v>
      </c>
      <c r="HP882">
        <v>0</v>
      </c>
      <c r="HQ882">
        <v>0</v>
      </c>
      <c r="HR882">
        <v>161.19999999999999</v>
      </c>
      <c r="HS882">
        <v>0</v>
      </c>
      <c r="HT882">
        <v>2048.5</v>
      </c>
      <c r="HU882">
        <v>2627.5</v>
      </c>
      <c r="HV882">
        <v>1168.5999999999999</v>
      </c>
      <c r="HW882">
        <v>388</v>
      </c>
      <c r="HX882">
        <v>0</v>
      </c>
      <c r="HY882">
        <v>0</v>
      </c>
      <c r="HZ882">
        <v>0</v>
      </c>
      <c r="IA882">
        <v>0</v>
      </c>
      <c r="IB882">
        <v>0</v>
      </c>
      <c r="IC882">
        <v>594.4</v>
      </c>
      <c r="ID882">
        <v>427.4</v>
      </c>
      <c r="IE882">
        <v>713.3</v>
      </c>
      <c r="IF882">
        <v>626.1</v>
      </c>
      <c r="IG882">
        <v>0</v>
      </c>
      <c r="IH882">
        <v>0</v>
      </c>
      <c r="II882">
        <v>995.7</v>
      </c>
      <c r="IJ882">
        <v>1156.5999999999999</v>
      </c>
      <c r="IK882">
        <v>864.6</v>
      </c>
      <c r="IL882">
        <v>316.5</v>
      </c>
      <c r="IM882">
        <v>101.5</v>
      </c>
      <c r="IN882">
        <v>71.8</v>
      </c>
      <c r="IO882">
        <v>0</v>
      </c>
      <c r="IP882">
        <v>0</v>
      </c>
      <c r="IQ882">
        <v>0</v>
      </c>
      <c r="IR882">
        <v>0</v>
      </c>
      <c r="IS882">
        <v>0</v>
      </c>
      <c r="IT882">
        <v>0</v>
      </c>
      <c r="IU882">
        <v>0</v>
      </c>
      <c r="IV882">
        <v>0</v>
      </c>
      <c r="IW882">
        <v>68</v>
      </c>
      <c r="IX882">
        <v>404.7</v>
      </c>
      <c r="IY882">
        <v>126.6</v>
      </c>
      <c r="IZ882">
        <v>126.6</v>
      </c>
      <c r="JA882">
        <v>503.7</v>
      </c>
      <c r="JB882">
        <v>570.1</v>
      </c>
      <c r="JC882">
        <v>328.3</v>
      </c>
      <c r="JD882">
        <v>0</v>
      </c>
      <c r="JE882">
        <v>0</v>
      </c>
      <c r="JF882">
        <v>0</v>
      </c>
      <c r="JG882">
        <v>0</v>
      </c>
      <c r="JH882">
        <v>287.3</v>
      </c>
      <c r="JI882">
        <v>68.2</v>
      </c>
      <c r="JJ882">
        <v>0</v>
      </c>
      <c r="JK882">
        <v>148.6</v>
      </c>
      <c r="JL882">
        <v>0</v>
      </c>
      <c r="JM882">
        <v>0</v>
      </c>
      <c r="JN882">
        <v>204.5</v>
      </c>
      <c r="JO882">
        <v>292.10000000000002</v>
      </c>
      <c r="JP882">
        <v>670.8</v>
      </c>
      <c r="JQ882">
        <v>745.2</v>
      </c>
      <c r="JR882">
        <v>242.9</v>
      </c>
    </row>
    <row r="883" spans="2:278" ht="18" thickBot="1">
      <c r="B883" s="368" t="s">
        <v>596</v>
      </c>
      <c r="C883" s="369" t="s">
        <v>1558</v>
      </c>
      <c r="D883" s="368" t="s">
        <v>1410</v>
      </c>
      <c r="E883" s="454">
        <v>22829.8</v>
      </c>
      <c r="F883">
        <v>20193.400000000001</v>
      </c>
      <c r="G883" s="427">
        <v>0</v>
      </c>
      <c r="H883" s="155">
        <v>0</v>
      </c>
      <c r="I883">
        <v>0</v>
      </c>
      <c r="J883">
        <v>0</v>
      </c>
      <c r="K883">
        <v>0</v>
      </c>
      <c r="L883" s="4">
        <v>0</v>
      </c>
      <c r="M883" s="4">
        <v>0</v>
      </c>
      <c r="N883" s="4">
        <v>0</v>
      </c>
      <c r="O883" s="4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1476.4</v>
      </c>
      <c r="X883">
        <v>1482</v>
      </c>
      <c r="Y883">
        <v>457.20000000000005</v>
      </c>
      <c r="Z883">
        <v>0</v>
      </c>
      <c r="AA883">
        <v>0</v>
      </c>
      <c r="AB883">
        <v>0</v>
      </c>
      <c r="AC883">
        <v>0</v>
      </c>
      <c r="AD883">
        <v>3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1828.6</v>
      </c>
      <c r="AK883">
        <v>1800.7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560.70000000000005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  <c r="CF883">
        <v>0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  <c r="CN883">
        <v>0</v>
      </c>
      <c r="CO883">
        <v>0</v>
      </c>
      <c r="CP883">
        <v>3.5</v>
      </c>
      <c r="CQ883">
        <v>0</v>
      </c>
      <c r="CR883">
        <v>528</v>
      </c>
      <c r="CS883">
        <v>581.79999999999995</v>
      </c>
      <c r="CT883">
        <v>555.40000000000009</v>
      </c>
      <c r="CU883">
        <v>737.4</v>
      </c>
      <c r="CV883">
        <v>1039.0999999999999</v>
      </c>
      <c r="CW883">
        <v>1667.3</v>
      </c>
      <c r="CX883">
        <v>877.6</v>
      </c>
      <c r="CY883">
        <v>910.40000000000009</v>
      </c>
      <c r="CZ883">
        <v>0</v>
      </c>
      <c r="DA883">
        <v>0</v>
      </c>
      <c r="DB883">
        <v>0</v>
      </c>
      <c r="DC883">
        <v>0</v>
      </c>
      <c r="DD883">
        <v>0</v>
      </c>
      <c r="DE883">
        <v>0</v>
      </c>
      <c r="DF883">
        <v>0</v>
      </c>
      <c r="DG883">
        <v>0</v>
      </c>
      <c r="DH883">
        <v>0</v>
      </c>
      <c r="DI883">
        <v>0</v>
      </c>
      <c r="DJ883">
        <v>0</v>
      </c>
      <c r="DK883">
        <v>0</v>
      </c>
      <c r="DL883">
        <v>995.5</v>
      </c>
      <c r="DM883">
        <v>712.7</v>
      </c>
      <c r="DN883">
        <v>0</v>
      </c>
      <c r="DO883">
        <v>0</v>
      </c>
      <c r="DP883">
        <v>0</v>
      </c>
      <c r="DQ883">
        <v>0</v>
      </c>
      <c r="DR883">
        <v>0</v>
      </c>
      <c r="DS883">
        <v>0</v>
      </c>
      <c r="DT883">
        <v>0</v>
      </c>
      <c r="DU883">
        <v>0</v>
      </c>
      <c r="DV883">
        <v>0</v>
      </c>
      <c r="DW883">
        <v>0</v>
      </c>
      <c r="DX883">
        <v>0</v>
      </c>
      <c r="DY883">
        <v>0</v>
      </c>
      <c r="DZ883">
        <v>0</v>
      </c>
      <c r="EA883">
        <v>0</v>
      </c>
      <c r="EB883">
        <v>0</v>
      </c>
      <c r="EC883">
        <v>0</v>
      </c>
      <c r="ED883">
        <v>0</v>
      </c>
      <c r="EE883">
        <v>0</v>
      </c>
      <c r="EF883">
        <v>0</v>
      </c>
      <c r="EG883">
        <v>0</v>
      </c>
      <c r="EH883">
        <v>0</v>
      </c>
      <c r="EI883">
        <v>0</v>
      </c>
      <c r="EJ883">
        <v>0</v>
      </c>
      <c r="EK883">
        <v>0</v>
      </c>
      <c r="EL883">
        <v>0</v>
      </c>
      <c r="EM883">
        <v>0</v>
      </c>
      <c r="EN883">
        <v>27.4</v>
      </c>
      <c r="EO883">
        <v>0</v>
      </c>
      <c r="EP883">
        <v>1002.5</v>
      </c>
      <c r="EQ883">
        <v>0</v>
      </c>
      <c r="ER883">
        <v>494</v>
      </c>
      <c r="ES883">
        <v>0</v>
      </c>
      <c r="ET883">
        <v>699.3</v>
      </c>
      <c r="EU883">
        <v>435.4</v>
      </c>
      <c r="EV883">
        <v>0</v>
      </c>
      <c r="EW883">
        <v>0</v>
      </c>
      <c r="EX883">
        <v>0</v>
      </c>
      <c r="EY883">
        <v>0</v>
      </c>
      <c r="EZ883">
        <v>0</v>
      </c>
      <c r="FA883">
        <v>0</v>
      </c>
      <c r="FB883">
        <v>0</v>
      </c>
      <c r="FC883">
        <v>0</v>
      </c>
      <c r="FD883">
        <v>95.6</v>
      </c>
      <c r="FE883">
        <v>1792.1</v>
      </c>
      <c r="FF883">
        <v>1740.1999999999998</v>
      </c>
      <c r="FG883">
        <v>954.9</v>
      </c>
      <c r="FH883">
        <v>1087.8000000000002</v>
      </c>
      <c r="FI883">
        <v>1892.1</v>
      </c>
      <c r="FJ883">
        <v>1222.5</v>
      </c>
      <c r="FK883">
        <v>678.3</v>
      </c>
      <c r="FL883">
        <v>639.1</v>
      </c>
      <c r="FM883">
        <v>520.5</v>
      </c>
      <c r="FN883">
        <v>123.8</v>
      </c>
      <c r="FO883">
        <v>181.6</v>
      </c>
      <c r="FP883">
        <v>1090.5</v>
      </c>
      <c r="FQ883">
        <v>0</v>
      </c>
      <c r="FR883">
        <v>0</v>
      </c>
      <c r="FS883">
        <v>0</v>
      </c>
      <c r="FT883">
        <v>0</v>
      </c>
      <c r="FU883">
        <v>0</v>
      </c>
      <c r="FV883">
        <v>0</v>
      </c>
      <c r="FW883">
        <v>0</v>
      </c>
      <c r="FX883">
        <v>0</v>
      </c>
      <c r="FY883">
        <v>0</v>
      </c>
      <c r="FZ883">
        <v>0</v>
      </c>
      <c r="GA883">
        <v>0</v>
      </c>
      <c r="GB883">
        <v>0</v>
      </c>
      <c r="GC883">
        <v>0</v>
      </c>
      <c r="GD883">
        <v>0</v>
      </c>
      <c r="GE883">
        <v>0</v>
      </c>
      <c r="GF883">
        <v>198.3</v>
      </c>
      <c r="GG883">
        <v>1054.4000000000001</v>
      </c>
      <c r="GH883">
        <v>552.79999999999995</v>
      </c>
      <c r="GI883">
        <v>522</v>
      </c>
      <c r="GJ883">
        <v>0</v>
      </c>
      <c r="GK883">
        <v>0</v>
      </c>
      <c r="GL883">
        <v>0</v>
      </c>
      <c r="GM883">
        <v>0</v>
      </c>
      <c r="GN883">
        <v>791.40000000000009</v>
      </c>
      <c r="GO883">
        <v>1816.5</v>
      </c>
      <c r="GP883">
        <v>0</v>
      </c>
      <c r="GQ883">
        <v>0</v>
      </c>
      <c r="GR883">
        <v>0</v>
      </c>
      <c r="GS883">
        <v>0</v>
      </c>
      <c r="GT883">
        <v>0</v>
      </c>
      <c r="GU883">
        <v>0</v>
      </c>
      <c r="GV883">
        <v>0</v>
      </c>
      <c r="GW883">
        <v>0</v>
      </c>
      <c r="GX883">
        <v>0</v>
      </c>
      <c r="GY883">
        <v>840.3</v>
      </c>
      <c r="GZ883">
        <v>0</v>
      </c>
      <c r="HA883">
        <v>0</v>
      </c>
      <c r="HB883">
        <v>0</v>
      </c>
      <c r="HC883">
        <v>380.4</v>
      </c>
      <c r="HD883">
        <v>2175.5</v>
      </c>
      <c r="HE883">
        <v>0</v>
      </c>
      <c r="HF883">
        <v>0</v>
      </c>
      <c r="HG883">
        <v>0</v>
      </c>
      <c r="HH883">
        <v>0</v>
      </c>
      <c r="HI883">
        <v>0</v>
      </c>
      <c r="HJ883">
        <v>803.40000000000009</v>
      </c>
      <c r="HK883">
        <v>1270.9000000000001</v>
      </c>
      <c r="HL883">
        <v>835.7</v>
      </c>
      <c r="HM883">
        <v>1162.5999999999999</v>
      </c>
      <c r="HN883">
        <v>0</v>
      </c>
      <c r="HO883">
        <v>0</v>
      </c>
      <c r="HP883">
        <v>0</v>
      </c>
      <c r="HQ883">
        <v>0</v>
      </c>
      <c r="HR883">
        <v>161.19999999999999</v>
      </c>
      <c r="HS883">
        <v>0</v>
      </c>
      <c r="HT883">
        <v>2048.5</v>
      </c>
      <c r="HU883">
        <v>2627.5</v>
      </c>
      <c r="HV883">
        <v>1168.5999999999999</v>
      </c>
      <c r="HW883">
        <v>388</v>
      </c>
      <c r="HX883">
        <v>0</v>
      </c>
      <c r="HY883">
        <v>0</v>
      </c>
      <c r="HZ883">
        <v>0</v>
      </c>
      <c r="IA883">
        <v>0</v>
      </c>
      <c r="IB883">
        <v>0</v>
      </c>
      <c r="IC883">
        <v>594.4</v>
      </c>
      <c r="ID883">
        <v>427.4</v>
      </c>
      <c r="IE883">
        <v>713.3</v>
      </c>
      <c r="IF883">
        <v>626.1</v>
      </c>
      <c r="IG883">
        <v>0</v>
      </c>
      <c r="IH883">
        <v>0</v>
      </c>
      <c r="II883">
        <v>995.7</v>
      </c>
      <c r="IJ883">
        <v>1156.5999999999999</v>
      </c>
      <c r="IK883">
        <v>864.6</v>
      </c>
      <c r="IL883">
        <v>316.5</v>
      </c>
      <c r="IM883">
        <v>101.5</v>
      </c>
      <c r="IN883">
        <v>71.8</v>
      </c>
      <c r="IO883">
        <v>0</v>
      </c>
      <c r="IP883">
        <v>0</v>
      </c>
      <c r="IQ883">
        <v>0</v>
      </c>
      <c r="IR883">
        <v>0</v>
      </c>
      <c r="IS883">
        <v>0</v>
      </c>
      <c r="IT883">
        <v>0</v>
      </c>
      <c r="IU883">
        <v>0</v>
      </c>
      <c r="IV883">
        <v>0</v>
      </c>
      <c r="IW883">
        <v>68</v>
      </c>
      <c r="IX883">
        <v>404.7</v>
      </c>
      <c r="IY883">
        <v>126.6</v>
      </c>
      <c r="IZ883">
        <v>126.6</v>
      </c>
      <c r="JA883">
        <v>503.7</v>
      </c>
      <c r="JB883">
        <v>570.1</v>
      </c>
      <c r="JC883">
        <v>328.3</v>
      </c>
      <c r="JD883">
        <v>0</v>
      </c>
      <c r="JE883">
        <v>0</v>
      </c>
      <c r="JF883">
        <v>0</v>
      </c>
      <c r="JG883">
        <v>0</v>
      </c>
      <c r="JH883">
        <v>287.3</v>
      </c>
      <c r="JI883">
        <v>68.2</v>
      </c>
      <c r="JJ883">
        <v>0</v>
      </c>
      <c r="JK883">
        <v>148.6</v>
      </c>
      <c r="JL883">
        <v>0</v>
      </c>
      <c r="JM883">
        <v>0</v>
      </c>
      <c r="JN883">
        <v>204.5</v>
      </c>
      <c r="JO883">
        <v>292.10000000000002</v>
      </c>
      <c r="JP883">
        <v>670.8</v>
      </c>
      <c r="JQ883">
        <v>745.2</v>
      </c>
      <c r="JR883">
        <v>242.9</v>
      </c>
    </row>
    <row r="884" spans="2:278" ht="18" thickBot="1">
      <c r="B884" s="368" t="s">
        <v>597</v>
      </c>
      <c r="C884" s="369" t="s">
        <v>1559</v>
      </c>
      <c r="D884" s="368" t="s">
        <v>1410</v>
      </c>
      <c r="E884" s="454">
        <v>22829.8</v>
      </c>
      <c r="F884">
        <v>20193.400000000001</v>
      </c>
      <c r="G884" s="427">
        <v>0</v>
      </c>
      <c r="H884" s="155">
        <v>0</v>
      </c>
      <c r="I884">
        <v>0</v>
      </c>
      <c r="J884">
        <v>0</v>
      </c>
      <c r="K884">
        <v>0</v>
      </c>
      <c r="L884" s="4">
        <v>0</v>
      </c>
      <c r="M884" s="4">
        <v>0</v>
      </c>
      <c r="N884" s="4">
        <v>0</v>
      </c>
      <c r="O884" s="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1476.4</v>
      </c>
      <c r="X884">
        <v>1482</v>
      </c>
      <c r="Y884">
        <v>457.20000000000005</v>
      </c>
      <c r="Z884">
        <v>0</v>
      </c>
      <c r="AA884">
        <v>0</v>
      </c>
      <c r="AB884">
        <v>0</v>
      </c>
      <c r="AC884">
        <v>0</v>
      </c>
      <c r="AD884">
        <v>3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1828.6</v>
      </c>
      <c r="AK884">
        <v>1800.7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560.70000000000005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  <c r="CF884">
        <v>0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  <c r="CN884">
        <v>0</v>
      </c>
      <c r="CO884">
        <v>0</v>
      </c>
      <c r="CP884">
        <v>3.5</v>
      </c>
      <c r="CQ884">
        <v>0</v>
      </c>
      <c r="CR884">
        <v>528</v>
      </c>
      <c r="CS884">
        <v>581.79999999999995</v>
      </c>
      <c r="CT884">
        <v>555.40000000000009</v>
      </c>
      <c r="CU884">
        <v>737.4</v>
      </c>
      <c r="CV884">
        <v>1039.0999999999999</v>
      </c>
      <c r="CW884">
        <v>1667.3</v>
      </c>
      <c r="CX884">
        <v>877.6</v>
      </c>
      <c r="CY884">
        <v>910.40000000000009</v>
      </c>
      <c r="CZ884">
        <v>0</v>
      </c>
      <c r="DA884">
        <v>0</v>
      </c>
      <c r="DB884">
        <v>0</v>
      </c>
      <c r="DC884">
        <v>0</v>
      </c>
      <c r="DD884">
        <v>0</v>
      </c>
      <c r="DE884">
        <v>0</v>
      </c>
      <c r="DF884">
        <v>0</v>
      </c>
      <c r="DG884">
        <v>0</v>
      </c>
      <c r="DH884">
        <v>0</v>
      </c>
      <c r="DI884">
        <v>0</v>
      </c>
      <c r="DJ884">
        <v>0</v>
      </c>
      <c r="DK884">
        <v>0</v>
      </c>
      <c r="DL884">
        <v>995.5</v>
      </c>
      <c r="DM884">
        <v>712.7</v>
      </c>
      <c r="DN884">
        <v>0</v>
      </c>
      <c r="DO884">
        <v>0</v>
      </c>
      <c r="DP884">
        <v>0</v>
      </c>
      <c r="DQ884">
        <v>0</v>
      </c>
      <c r="DR884">
        <v>0</v>
      </c>
      <c r="DS884">
        <v>0</v>
      </c>
      <c r="DT884">
        <v>0</v>
      </c>
      <c r="DU884">
        <v>0</v>
      </c>
      <c r="DV884">
        <v>0</v>
      </c>
      <c r="DW884">
        <v>0</v>
      </c>
      <c r="DX884">
        <v>0</v>
      </c>
      <c r="DY884">
        <v>0</v>
      </c>
      <c r="DZ884">
        <v>0</v>
      </c>
      <c r="EA884">
        <v>0</v>
      </c>
      <c r="EB884">
        <v>0</v>
      </c>
      <c r="EC884">
        <v>0</v>
      </c>
      <c r="ED884">
        <v>0</v>
      </c>
      <c r="EE884">
        <v>0</v>
      </c>
      <c r="EF884">
        <v>0</v>
      </c>
      <c r="EG884">
        <v>0</v>
      </c>
      <c r="EH884">
        <v>0</v>
      </c>
      <c r="EI884">
        <v>0</v>
      </c>
      <c r="EJ884">
        <v>0</v>
      </c>
      <c r="EK884">
        <v>0</v>
      </c>
      <c r="EL884">
        <v>0</v>
      </c>
      <c r="EM884">
        <v>0</v>
      </c>
      <c r="EN884">
        <v>27.4</v>
      </c>
      <c r="EO884">
        <v>0</v>
      </c>
      <c r="EP884">
        <v>1002.5</v>
      </c>
      <c r="EQ884">
        <v>0</v>
      </c>
      <c r="ER884">
        <v>494</v>
      </c>
      <c r="ES884">
        <v>0</v>
      </c>
      <c r="ET884">
        <v>699.3</v>
      </c>
      <c r="EU884">
        <v>435.4</v>
      </c>
      <c r="EV884">
        <v>0</v>
      </c>
      <c r="EW884">
        <v>0</v>
      </c>
      <c r="EX884">
        <v>0</v>
      </c>
      <c r="EY884">
        <v>0</v>
      </c>
      <c r="EZ884">
        <v>0</v>
      </c>
      <c r="FA884">
        <v>0</v>
      </c>
      <c r="FB884">
        <v>0</v>
      </c>
      <c r="FC884">
        <v>0</v>
      </c>
      <c r="FD884">
        <v>95.6</v>
      </c>
      <c r="FE884">
        <v>1792.1</v>
      </c>
      <c r="FF884">
        <v>1740.1999999999998</v>
      </c>
      <c r="FG884">
        <v>954.9</v>
      </c>
      <c r="FH884">
        <v>1087.8000000000002</v>
      </c>
      <c r="FI884">
        <v>1892.1</v>
      </c>
      <c r="FJ884">
        <v>1222.5</v>
      </c>
      <c r="FK884">
        <v>678.3</v>
      </c>
      <c r="FL884">
        <v>639.1</v>
      </c>
      <c r="FM884">
        <v>520.5</v>
      </c>
      <c r="FN884">
        <v>123.8</v>
      </c>
      <c r="FO884">
        <v>181.6</v>
      </c>
      <c r="FP884">
        <v>1090.5</v>
      </c>
      <c r="FQ884">
        <v>0</v>
      </c>
      <c r="FR884">
        <v>0</v>
      </c>
      <c r="FS884">
        <v>0</v>
      </c>
      <c r="FT884">
        <v>0</v>
      </c>
      <c r="FU884">
        <v>0</v>
      </c>
      <c r="FV884">
        <v>0</v>
      </c>
      <c r="FW884">
        <v>0</v>
      </c>
      <c r="FX884">
        <v>0</v>
      </c>
      <c r="FY884">
        <v>0</v>
      </c>
      <c r="FZ884">
        <v>0</v>
      </c>
      <c r="GA884">
        <v>0</v>
      </c>
      <c r="GB884">
        <v>0</v>
      </c>
      <c r="GC884">
        <v>0</v>
      </c>
      <c r="GD884">
        <v>0</v>
      </c>
      <c r="GE884">
        <v>0</v>
      </c>
      <c r="GF884">
        <v>198.3</v>
      </c>
      <c r="GG884">
        <v>1054.4000000000001</v>
      </c>
      <c r="GH884">
        <v>552.79999999999995</v>
      </c>
      <c r="GI884">
        <v>522</v>
      </c>
      <c r="GJ884">
        <v>0</v>
      </c>
      <c r="GK884">
        <v>0</v>
      </c>
      <c r="GL884">
        <v>0</v>
      </c>
      <c r="GM884">
        <v>0</v>
      </c>
      <c r="GN884">
        <v>791.40000000000009</v>
      </c>
      <c r="GO884">
        <v>1816.5</v>
      </c>
      <c r="GP884">
        <v>0</v>
      </c>
      <c r="GQ884">
        <v>0</v>
      </c>
      <c r="GR884">
        <v>0</v>
      </c>
      <c r="GS884">
        <v>0</v>
      </c>
      <c r="GT884">
        <v>0</v>
      </c>
      <c r="GU884">
        <v>0</v>
      </c>
      <c r="GV884">
        <v>0</v>
      </c>
      <c r="GW884">
        <v>0</v>
      </c>
      <c r="GX884">
        <v>0</v>
      </c>
      <c r="GY884">
        <v>840.3</v>
      </c>
      <c r="GZ884">
        <v>0</v>
      </c>
      <c r="HA884">
        <v>0</v>
      </c>
      <c r="HB884">
        <v>0</v>
      </c>
      <c r="HC884">
        <v>380.4</v>
      </c>
      <c r="HD884">
        <v>2175.5</v>
      </c>
      <c r="HE884">
        <v>0</v>
      </c>
      <c r="HF884">
        <v>0</v>
      </c>
      <c r="HG884">
        <v>0</v>
      </c>
      <c r="HH884">
        <v>0</v>
      </c>
      <c r="HI884">
        <v>0</v>
      </c>
      <c r="HJ884">
        <v>803.40000000000009</v>
      </c>
      <c r="HK884">
        <v>1270.9000000000001</v>
      </c>
      <c r="HL884">
        <v>835.7</v>
      </c>
      <c r="HM884">
        <v>1162.5999999999999</v>
      </c>
      <c r="HN884">
        <v>0</v>
      </c>
      <c r="HO884">
        <v>0</v>
      </c>
      <c r="HP884">
        <v>0</v>
      </c>
      <c r="HQ884">
        <v>0</v>
      </c>
      <c r="HR884">
        <v>161.19999999999999</v>
      </c>
      <c r="HS884">
        <v>0</v>
      </c>
      <c r="HT884">
        <v>2048.5</v>
      </c>
      <c r="HU884">
        <v>2627.5</v>
      </c>
      <c r="HV884">
        <v>1168.5999999999999</v>
      </c>
      <c r="HW884">
        <v>388</v>
      </c>
      <c r="HX884">
        <v>0</v>
      </c>
      <c r="HY884">
        <v>0</v>
      </c>
      <c r="HZ884">
        <v>0</v>
      </c>
      <c r="IA884">
        <v>0</v>
      </c>
      <c r="IB884">
        <v>0</v>
      </c>
      <c r="IC884">
        <v>594.4</v>
      </c>
      <c r="ID884">
        <v>427.4</v>
      </c>
      <c r="IE884">
        <v>713.3</v>
      </c>
      <c r="IF884">
        <v>626.1</v>
      </c>
      <c r="IG884">
        <v>0</v>
      </c>
      <c r="IH884">
        <v>0</v>
      </c>
      <c r="II884">
        <v>995.7</v>
      </c>
      <c r="IJ884">
        <v>1156.5999999999999</v>
      </c>
      <c r="IK884">
        <v>864.6</v>
      </c>
      <c r="IL884">
        <v>316.5</v>
      </c>
      <c r="IM884">
        <v>101.5</v>
      </c>
      <c r="IN884">
        <v>71.8</v>
      </c>
      <c r="IO884">
        <v>0</v>
      </c>
      <c r="IP884">
        <v>0</v>
      </c>
      <c r="IQ884">
        <v>0</v>
      </c>
      <c r="IR884">
        <v>0</v>
      </c>
      <c r="IS884">
        <v>0</v>
      </c>
      <c r="IT884">
        <v>0</v>
      </c>
      <c r="IU884">
        <v>0</v>
      </c>
      <c r="IV884">
        <v>0</v>
      </c>
      <c r="IW884">
        <v>68</v>
      </c>
      <c r="IX884">
        <v>404.7</v>
      </c>
      <c r="IY884">
        <v>126.6</v>
      </c>
      <c r="IZ884">
        <v>126.6</v>
      </c>
      <c r="JA884">
        <v>503.7</v>
      </c>
      <c r="JB884">
        <v>570.1</v>
      </c>
      <c r="JC884">
        <v>328.3</v>
      </c>
      <c r="JD884">
        <v>0</v>
      </c>
      <c r="JE884">
        <v>0</v>
      </c>
      <c r="JF884">
        <v>0</v>
      </c>
      <c r="JG884">
        <v>0</v>
      </c>
      <c r="JH884">
        <v>287.3</v>
      </c>
      <c r="JI884">
        <v>68.2</v>
      </c>
      <c r="JJ884">
        <v>0</v>
      </c>
      <c r="JK884">
        <v>148.6</v>
      </c>
      <c r="JL884">
        <v>0</v>
      </c>
      <c r="JM884">
        <v>0</v>
      </c>
      <c r="JN884">
        <v>204.5</v>
      </c>
      <c r="JO884">
        <v>292.10000000000002</v>
      </c>
      <c r="JP884">
        <v>670.8</v>
      </c>
      <c r="JQ884">
        <v>745.2</v>
      </c>
      <c r="JR884">
        <v>242.9</v>
      </c>
    </row>
    <row r="885" spans="2:278" ht="18" thickBot="1">
      <c r="B885" s="368" t="s">
        <v>1266</v>
      </c>
      <c r="C885" s="369" t="s">
        <v>1560</v>
      </c>
      <c r="D885" s="368" t="s">
        <v>1410</v>
      </c>
      <c r="E885" s="454">
        <v>22829.8</v>
      </c>
      <c r="F885">
        <v>20193.400000000001</v>
      </c>
      <c r="G885" s="427">
        <v>0</v>
      </c>
      <c r="H885" s="155">
        <v>0</v>
      </c>
      <c r="I885">
        <v>0</v>
      </c>
      <c r="J885">
        <v>0</v>
      </c>
      <c r="K885">
        <v>0</v>
      </c>
      <c r="L885" s="4">
        <v>0</v>
      </c>
      <c r="M885" s="4">
        <v>0</v>
      </c>
      <c r="N885" s="4">
        <v>0</v>
      </c>
      <c r="O885" s="4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1476.4</v>
      </c>
      <c r="X885">
        <v>1482</v>
      </c>
      <c r="Y885">
        <v>457.20000000000005</v>
      </c>
      <c r="Z885">
        <v>0</v>
      </c>
      <c r="AA885">
        <v>0</v>
      </c>
      <c r="AB885">
        <v>0</v>
      </c>
      <c r="AC885">
        <v>0</v>
      </c>
      <c r="AD885">
        <v>3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1828.6</v>
      </c>
      <c r="AK885">
        <v>1800.7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560.70000000000005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0</v>
      </c>
      <c r="BN885">
        <v>0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  <c r="CF885">
        <v>0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  <c r="CN885">
        <v>0</v>
      </c>
      <c r="CO885">
        <v>0</v>
      </c>
      <c r="CP885">
        <v>3.5</v>
      </c>
      <c r="CQ885">
        <v>0</v>
      </c>
      <c r="CR885">
        <v>528</v>
      </c>
      <c r="CS885">
        <v>581.79999999999995</v>
      </c>
      <c r="CT885">
        <v>555.40000000000009</v>
      </c>
      <c r="CU885">
        <v>737.4</v>
      </c>
      <c r="CV885">
        <v>1039.0999999999999</v>
      </c>
      <c r="CW885">
        <v>1667.3</v>
      </c>
      <c r="CX885">
        <v>877.6</v>
      </c>
      <c r="CY885">
        <v>910.40000000000009</v>
      </c>
      <c r="CZ885">
        <v>0</v>
      </c>
      <c r="DA885">
        <v>0</v>
      </c>
      <c r="DB885">
        <v>0</v>
      </c>
      <c r="DC885">
        <v>0</v>
      </c>
      <c r="DD885">
        <v>0</v>
      </c>
      <c r="DE885">
        <v>0</v>
      </c>
      <c r="DF885">
        <v>0</v>
      </c>
      <c r="DG885">
        <v>0</v>
      </c>
      <c r="DH885">
        <v>0</v>
      </c>
      <c r="DI885">
        <v>0</v>
      </c>
      <c r="DJ885">
        <v>0</v>
      </c>
      <c r="DK885">
        <v>0</v>
      </c>
      <c r="DL885">
        <v>995.5</v>
      </c>
      <c r="DM885">
        <v>712.7</v>
      </c>
      <c r="DN885">
        <v>0</v>
      </c>
      <c r="DO885">
        <v>0</v>
      </c>
      <c r="DP885">
        <v>0</v>
      </c>
      <c r="DQ885">
        <v>0</v>
      </c>
      <c r="DR885">
        <v>0</v>
      </c>
      <c r="DS885">
        <v>0</v>
      </c>
      <c r="DT885">
        <v>0</v>
      </c>
      <c r="DU885">
        <v>0</v>
      </c>
      <c r="DV885">
        <v>0</v>
      </c>
      <c r="DW885">
        <v>0</v>
      </c>
      <c r="DX885">
        <v>0</v>
      </c>
      <c r="DY885">
        <v>0</v>
      </c>
      <c r="DZ885">
        <v>0</v>
      </c>
      <c r="EA885">
        <v>0</v>
      </c>
      <c r="EB885">
        <v>0</v>
      </c>
      <c r="EC885">
        <v>0</v>
      </c>
      <c r="ED885">
        <v>0</v>
      </c>
      <c r="EE885">
        <v>0</v>
      </c>
      <c r="EF885">
        <v>0</v>
      </c>
      <c r="EG885">
        <v>0</v>
      </c>
      <c r="EH885">
        <v>0</v>
      </c>
      <c r="EI885">
        <v>0</v>
      </c>
      <c r="EJ885">
        <v>0</v>
      </c>
      <c r="EK885">
        <v>0</v>
      </c>
      <c r="EL885">
        <v>0</v>
      </c>
      <c r="EM885">
        <v>0</v>
      </c>
      <c r="EN885">
        <v>27.4</v>
      </c>
      <c r="EO885">
        <v>0</v>
      </c>
      <c r="EP885">
        <v>1002.5</v>
      </c>
      <c r="EQ885">
        <v>0</v>
      </c>
      <c r="ER885">
        <v>494</v>
      </c>
      <c r="ES885">
        <v>0</v>
      </c>
      <c r="ET885">
        <v>699.3</v>
      </c>
      <c r="EU885">
        <v>435.4</v>
      </c>
      <c r="EV885">
        <v>0</v>
      </c>
      <c r="EW885">
        <v>0</v>
      </c>
      <c r="EX885">
        <v>0</v>
      </c>
      <c r="EY885">
        <v>0</v>
      </c>
      <c r="EZ885">
        <v>0</v>
      </c>
      <c r="FA885">
        <v>0</v>
      </c>
      <c r="FB885">
        <v>0</v>
      </c>
      <c r="FC885">
        <v>0</v>
      </c>
      <c r="FD885">
        <v>95.6</v>
      </c>
      <c r="FE885">
        <v>1792.1</v>
      </c>
      <c r="FF885">
        <v>1740.1999999999998</v>
      </c>
      <c r="FG885">
        <v>954.9</v>
      </c>
      <c r="FH885">
        <v>1087.8000000000002</v>
      </c>
      <c r="FI885">
        <v>1892.1</v>
      </c>
      <c r="FJ885">
        <v>1222.5</v>
      </c>
      <c r="FK885">
        <v>678.3</v>
      </c>
      <c r="FL885">
        <v>639.1</v>
      </c>
      <c r="FM885">
        <v>520.5</v>
      </c>
      <c r="FN885">
        <v>123.8</v>
      </c>
      <c r="FO885">
        <v>181.6</v>
      </c>
      <c r="FP885">
        <v>1090.5</v>
      </c>
      <c r="FQ885">
        <v>0</v>
      </c>
      <c r="FR885">
        <v>0</v>
      </c>
      <c r="FS885">
        <v>0</v>
      </c>
      <c r="FT885">
        <v>0</v>
      </c>
      <c r="FU885">
        <v>0</v>
      </c>
      <c r="FV885">
        <v>0</v>
      </c>
      <c r="FW885">
        <v>0</v>
      </c>
      <c r="FX885">
        <v>0</v>
      </c>
      <c r="FY885">
        <v>0</v>
      </c>
      <c r="FZ885">
        <v>0</v>
      </c>
      <c r="GA885">
        <v>0</v>
      </c>
      <c r="GB885">
        <v>0</v>
      </c>
      <c r="GC885">
        <v>0</v>
      </c>
      <c r="GD885">
        <v>0</v>
      </c>
      <c r="GE885">
        <v>0</v>
      </c>
      <c r="GF885">
        <v>198.3</v>
      </c>
      <c r="GG885">
        <v>1054.4000000000001</v>
      </c>
      <c r="GH885">
        <v>552.79999999999995</v>
      </c>
      <c r="GI885">
        <v>522</v>
      </c>
      <c r="GJ885">
        <v>0</v>
      </c>
      <c r="GK885">
        <v>0</v>
      </c>
      <c r="GL885">
        <v>0</v>
      </c>
      <c r="GM885">
        <v>0</v>
      </c>
      <c r="GN885">
        <v>791.40000000000009</v>
      </c>
      <c r="GO885">
        <v>1816.5</v>
      </c>
      <c r="GP885">
        <v>0</v>
      </c>
      <c r="GQ885">
        <v>0</v>
      </c>
      <c r="GR885">
        <v>0</v>
      </c>
      <c r="GS885">
        <v>0</v>
      </c>
      <c r="GT885">
        <v>0</v>
      </c>
      <c r="GU885">
        <v>0</v>
      </c>
      <c r="GV885">
        <v>0</v>
      </c>
      <c r="GW885">
        <v>0</v>
      </c>
      <c r="GX885">
        <v>0</v>
      </c>
      <c r="GY885">
        <v>840.3</v>
      </c>
      <c r="GZ885">
        <v>0</v>
      </c>
      <c r="HA885">
        <v>0</v>
      </c>
      <c r="HB885">
        <v>0</v>
      </c>
      <c r="HC885">
        <v>380.4</v>
      </c>
      <c r="HD885">
        <v>2175.5</v>
      </c>
      <c r="HE885">
        <v>0</v>
      </c>
      <c r="HF885">
        <v>0</v>
      </c>
      <c r="HG885">
        <v>0</v>
      </c>
      <c r="HH885">
        <v>0</v>
      </c>
      <c r="HI885">
        <v>0</v>
      </c>
      <c r="HJ885">
        <v>803.40000000000009</v>
      </c>
      <c r="HK885">
        <v>1270.9000000000001</v>
      </c>
      <c r="HL885">
        <v>835.7</v>
      </c>
      <c r="HM885">
        <v>1162.5999999999999</v>
      </c>
      <c r="HN885">
        <v>0</v>
      </c>
      <c r="HO885">
        <v>0</v>
      </c>
      <c r="HP885">
        <v>0</v>
      </c>
      <c r="HQ885">
        <v>0</v>
      </c>
      <c r="HR885">
        <v>161.19999999999999</v>
      </c>
      <c r="HS885">
        <v>0</v>
      </c>
      <c r="HT885">
        <v>2048.5</v>
      </c>
      <c r="HU885">
        <v>2627.5</v>
      </c>
      <c r="HV885">
        <v>1168.5999999999999</v>
      </c>
      <c r="HW885">
        <v>388</v>
      </c>
      <c r="HX885">
        <v>0</v>
      </c>
      <c r="HY885">
        <v>0</v>
      </c>
      <c r="HZ885">
        <v>0</v>
      </c>
      <c r="IA885">
        <v>0</v>
      </c>
      <c r="IB885">
        <v>0</v>
      </c>
      <c r="IC885">
        <v>594.4</v>
      </c>
      <c r="ID885">
        <v>427.4</v>
      </c>
      <c r="IE885">
        <v>713.3</v>
      </c>
      <c r="IF885">
        <v>626.1</v>
      </c>
      <c r="IG885">
        <v>0</v>
      </c>
      <c r="IH885">
        <v>0</v>
      </c>
      <c r="II885">
        <v>995.7</v>
      </c>
      <c r="IJ885">
        <v>1156.5999999999999</v>
      </c>
      <c r="IK885">
        <v>864.6</v>
      </c>
      <c r="IL885">
        <v>316.5</v>
      </c>
      <c r="IM885">
        <v>101.5</v>
      </c>
      <c r="IN885">
        <v>71.8</v>
      </c>
      <c r="IO885">
        <v>0</v>
      </c>
      <c r="IP885">
        <v>0</v>
      </c>
      <c r="IQ885">
        <v>0</v>
      </c>
      <c r="IR885">
        <v>0</v>
      </c>
      <c r="IS885">
        <v>0</v>
      </c>
      <c r="IT885">
        <v>0</v>
      </c>
      <c r="IU885">
        <v>0</v>
      </c>
      <c r="IV885">
        <v>0</v>
      </c>
      <c r="IW885">
        <v>68</v>
      </c>
      <c r="IX885">
        <v>404.7</v>
      </c>
      <c r="IY885">
        <v>126.6</v>
      </c>
      <c r="IZ885">
        <v>126.6</v>
      </c>
      <c r="JA885">
        <v>503.7</v>
      </c>
      <c r="JB885">
        <v>570.1</v>
      </c>
      <c r="JC885">
        <v>328.3</v>
      </c>
      <c r="JD885">
        <v>0</v>
      </c>
      <c r="JE885">
        <v>0</v>
      </c>
      <c r="JF885">
        <v>0</v>
      </c>
      <c r="JG885">
        <v>0</v>
      </c>
      <c r="JH885">
        <v>287.3</v>
      </c>
      <c r="JI885">
        <v>68.2</v>
      </c>
      <c r="JJ885">
        <v>0</v>
      </c>
      <c r="JK885">
        <v>148.6</v>
      </c>
      <c r="JL885">
        <v>0</v>
      </c>
      <c r="JM885">
        <v>0</v>
      </c>
      <c r="JN885">
        <v>204.5</v>
      </c>
      <c r="JO885">
        <v>292.10000000000002</v>
      </c>
      <c r="JP885">
        <v>670.8</v>
      </c>
      <c r="JQ885">
        <v>745.2</v>
      </c>
      <c r="JR885">
        <v>242.9</v>
      </c>
    </row>
    <row r="886" spans="2:278" ht="18" thickBot="1">
      <c r="B886" s="368" t="s">
        <v>1267</v>
      </c>
      <c r="C886" s="369" t="s">
        <v>1561</v>
      </c>
      <c r="D886" s="368" t="s">
        <v>1410</v>
      </c>
      <c r="E886" s="454">
        <v>22829.8</v>
      </c>
      <c r="F886">
        <v>20193.400000000001</v>
      </c>
      <c r="G886" s="427">
        <v>0</v>
      </c>
      <c r="H886" s="155">
        <v>0</v>
      </c>
      <c r="I886">
        <v>0</v>
      </c>
      <c r="J886">
        <v>0</v>
      </c>
      <c r="K886">
        <v>0</v>
      </c>
      <c r="L886" s="4">
        <v>0</v>
      </c>
      <c r="M886" s="4">
        <v>0</v>
      </c>
      <c r="N886" s="4">
        <v>0</v>
      </c>
      <c r="O886" s="4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1476.4</v>
      </c>
      <c r="X886">
        <v>1482</v>
      </c>
      <c r="Y886">
        <v>457.20000000000005</v>
      </c>
      <c r="Z886">
        <v>0</v>
      </c>
      <c r="AA886">
        <v>0</v>
      </c>
      <c r="AB886">
        <v>0</v>
      </c>
      <c r="AC886">
        <v>0</v>
      </c>
      <c r="AD886">
        <v>3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1828.6</v>
      </c>
      <c r="AK886">
        <v>1800.7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560.70000000000005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0</v>
      </c>
      <c r="BN886">
        <v>0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  <c r="CF886">
        <v>0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  <c r="CN886">
        <v>0</v>
      </c>
      <c r="CO886">
        <v>0</v>
      </c>
      <c r="CP886">
        <v>3.5</v>
      </c>
      <c r="CQ886">
        <v>0</v>
      </c>
      <c r="CR886">
        <v>528</v>
      </c>
      <c r="CS886">
        <v>581.79999999999995</v>
      </c>
      <c r="CT886">
        <v>555.40000000000009</v>
      </c>
      <c r="CU886">
        <v>737.4</v>
      </c>
      <c r="CV886">
        <v>1039.0999999999999</v>
      </c>
      <c r="CW886">
        <v>1667.3</v>
      </c>
      <c r="CX886">
        <v>877.6</v>
      </c>
      <c r="CY886">
        <v>910.40000000000009</v>
      </c>
      <c r="CZ886">
        <v>0</v>
      </c>
      <c r="DA886">
        <v>0</v>
      </c>
      <c r="DB886">
        <v>0</v>
      </c>
      <c r="DC886">
        <v>0</v>
      </c>
      <c r="DD886">
        <v>0</v>
      </c>
      <c r="DE886">
        <v>0</v>
      </c>
      <c r="DF886">
        <v>0</v>
      </c>
      <c r="DG886">
        <v>0</v>
      </c>
      <c r="DH886">
        <v>0</v>
      </c>
      <c r="DI886">
        <v>0</v>
      </c>
      <c r="DJ886">
        <v>0</v>
      </c>
      <c r="DK886">
        <v>0</v>
      </c>
      <c r="DL886">
        <v>995.5</v>
      </c>
      <c r="DM886">
        <v>712.7</v>
      </c>
      <c r="DN886">
        <v>0</v>
      </c>
      <c r="DO886">
        <v>0</v>
      </c>
      <c r="DP886">
        <v>0</v>
      </c>
      <c r="DQ886">
        <v>0</v>
      </c>
      <c r="DR886">
        <v>0</v>
      </c>
      <c r="DS886">
        <v>0</v>
      </c>
      <c r="DT886">
        <v>0</v>
      </c>
      <c r="DU886">
        <v>0</v>
      </c>
      <c r="DV886">
        <v>0</v>
      </c>
      <c r="DW886">
        <v>0</v>
      </c>
      <c r="DX886">
        <v>0</v>
      </c>
      <c r="DY886">
        <v>0</v>
      </c>
      <c r="DZ886">
        <v>0</v>
      </c>
      <c r="EA886">
        <v>0</v>
      </c>
      <c r="EB886">
        <v>0</v>
      </c>
      <c r="EC886">
        <v>0</v>
      </c>
      <c r="ED886">
        <v>0</v>
      </c>
      <c r="EE886">
        <v>0</v>
      </c>
      <c r="EF886">
        <v>0</v>
      </c>
      <c r="EG886">
        <v>0</v>
      </c>
      <c r="EH886">
        <v>0</v>
      </c>
      <c r="EI886">
        <v>0</v>
      </c>
      <c r="EJ886">
        <v>0</v>
      </c>
      <c r="EK886">
        <v>0</v>
      </c>
      <c r="EL886">
        <v>0</v>
      </c>
      <c r="EM886">
        <v>0</v>
      </c>
      <c r="EN886">
        <v>27.4</v>
      </c>
      <c r="EO886">
        <v>0</v>
      </c>
      <c r="EP886">
        <v>1002.5</v>
      </c>
      <c r="EQ886">
        <v>0</v>
      </c>
      <c r="ER886">
        <v>494</v>
      </c>
      <c r="ES886">
        <v>0</v>
      </c>
      <c r="ET886">
        <v>699.3</v>
      </c>
      <c r="EU886">
        <v>435.4</v>
      </c>
      <c r="EV886">
        <v>0</v>
      </c>
      <c r="EW886">
        <v>0</v>
      </c>
      <c r="EX886">
        <v>0</v>
      </c>
      <c r="EY886">
        <v>0</v>
      </c>
      <c r="EZ886">
        <v>0</v>
      </c>
      <c r="FA886">
        <v>0</v>
      </c>
      <c r="FB886">
        <v>0</v>
      </c>
      <c r="FC886">
        <v>0</v>
      </c>
      <c r="FD886">
        <v>95.6</v>
      </c>
      <c r="FE886">
        <v>1792.1</v>
      </c>
      <c r="FF886">
        <v>1740.1999999999998</v>
      </c>
      <c r="FG886">
        <v>954.9</v>
      </c>
      <c r="FH886">
        <v>1087.8000000000002</v>
      </c>
      <c r="FI886">
        <v>1892.1</v>
      </c>
      <c r="FJ886">
        <v>1222.5</v>
      </c>
      <c r="FK886">
        <v>678.3</v>
      </c>
      <c r="FL886">
        <v>639.1</v>
      </c>
      <c r="FM886">
        <v>520.5</v>
      </c>
      <c r="FN886">
        <v>123.8</v>
      </c>
      <c r="FO886">
        <v>181.6</v>
      </c>
      <c r="FP886">
        <v>1090.5</v>
      </c>
      <c r="FQ886">
        <v>0</v>
      </c>
      <c r="FR886">
        <v>0</v>
      </c>
      <c r="FS886">
        <v>0</v>
      </c>
      <c r="FT886">
        <v>0</v>
      </c>
      <c r="FU886">
        <v>0</v>
      </c>
      <c r="FV886">
        <v>0</v>
      </c>
      <c r="FW886">
        <v>0</v>
      </c>
      <c r="FX886">
        <v>0</v>
      </c>
      <c r="FY886">
        <v>0</v>
      </c>
      <c r="FZ886">
        <v>0</v>
      </c>
      <c r="GA886">
        <v>0</v>
      </c>
      <c r="GB886">
        <v>0</v>
      </c>
      <c r="GC886">
        <v>0</v>
      </c>
      <c r="GD886">
        <v>0</v>
      </c>
      <c r="GE886">
        <v>0</v>
      </c>
      <c r="GF886">
        <v>198.3</v>
      </c>
      <c r="GG886">
        <v>1054.4000000000001</v>
      </c>
      <c r="GH886">
        <v>552.79999999999995</v>
      </c>
      <c r="GI886">
        <v>522</v>
      </c>
      <c r="GJ886">
        <v>0</v>
      </c>
      <c r="GK886">
        <v>0</v>
      </c>
      <c r="GL886">
        <v>0</v>
      </c>
      <c r="GM886">
        <v>0</v>
      </c>
      <c r="GN886">
        <v>791.40000000000009</v>
      </c>
      <c r="GO886">
        <v>1816.5</v>
      </c>
      <c r="GP886">
        <v>0</v>
      </c>
      <c r="GQ886">
        <v>0</v>
      </c>
      <c r="GR886">
        <v>0</v>
      </c>
      <c r="GS886">
        <v>0</v>
      </c>
      <c r="GT886">
        <v>0</v>
      </c>
      <c r="GU886">
        <v>0</v>
      </c>
      <c r="GV886">
        <v>0</v>
      </c>
      <c r="GW886">
        <v>0</v>
      </c>
      <c r="GX886">
        <v>0</v>
      </c>
      <c r="GY886">
        <v>840.3</v>
      </c>
      <c r="GZ886">
        <v>0</v>
      </c>
      <c r="HA886">
        <v>0</v>
      </c>
      <c r="HB886">
        <v>0</v>
      </c>
      <c r="HC886">
        <v>380.4</v>
      </c>
      <c r="HD886">
        <v>2175.5</v>
      </c>
      <c r="HE886">
        <v>0</v>
      </c>
      <c r="HF886">
        <v>0</v>
      </c>
      <c r="HG886">
        <v>0</v>
      </c>
      <c r="HH886">
        <v>0</v>
      </c>
      <c r="HI886">
        <v>0</v>
      </c>
      <c r="HJ886">
        <v>803.40000000000009</v>
      </c>
      <c r="HK886">
        <v>1270.9000000000001</v>
      </c>
      <c r="HL886">
        <v>835.7</v>
      </c>
      <c r="HM886">
        <v>1162.5999999999999</v>
      </c>
      <c r="HN886">
        <v>0</v>
      </c>
      <c r="HO886">
        <v>0</v>
      </c>
      <c r="HP886">
        <v>0</v>
      </c>
      <c r="HQ886">
        <v>0</v>
      </c>
      <c r="HR886">
        <v>161.19999999999999</v>
      </c>
      <c r="HS886">
        <v>0</v>
      </c>
      <c r="HT886">
        <v>2048.5</v>
      </c>
      <c r="HU886">
        <v>2627.5</v>
      </c>
      <c r="HV886">
        <v>1168.5999999999999</v>
      </c>
      <c r="HW886">
        <v>388</v>
      </c>
      <c r="HX886">
        <v>0</v>
      </c>
      <c r="HY886">
        <v>0</v>
      </c>
      <c r="HZ886">
        <v>0</v>
      </c>
      <c r="IA886">
        <v>0</v>
      </c>
      <c r="IB886">
        <v>0</v>
      </c>
      <c r="IC886">
        <v>594.4</v>
      </c>
      <c r="ID886">
        <v>427.4</v>
      </c>
      <c r="IE886">
        <v>713.3</v>
      </c>
      <c r="IF886">
        <v>626.1</v>
      </c>
      <c r="IG886">
        <v>0</v>
      </c>
      <c r="IH886">
        <v>0</v>
      </c>
      <c r="II886">
        <v>995.7</v>
      </c>
      <c r="IJ886">
        <v>1156.5999999999999</v>
      </c>
      <c r="IK886">
        <v>864.6</v>
      </c>
      <c r="IL886">
        <v>316.5</v>
      </c>
      <c r="IM886">
        <v>101.5</v>
      </c>
      <c r="IN886">
        <v>71.8</v>
      </c>
      <c r="IO886">
        <v>0</v>
      </c>
      <c r="IP886">
        <v>0</v>
      </c>
      <c r="IQ886">
        <v>0</v>
      </c>
      <c r="IR886">
        <v>0</v>
      </c>
      <c r="IS886">
        <v>0</v>
      </c>
      <c r="IT886">
        <v>0</v>
      </c>
      <c r="IU886">
        <v>0</v>
      </c>
      <c r="IV886">
        <v>0</v>
      </c>
      <c r="IW886">
        <v>68</v>
      </c>
      <c r="IX886">
        <v>404.7</v>
      </c>
      <c r="IY886">
        <v>126.6</v>
      </c>
      <c r="IZ886">
        <v>126.6</v>
      </c>
      <c r="JA886">
        <v>503.7</v>
      </c>
      <c r="JB886">
        <v>570.1</v>
      </c>
      <c r="JC886">
        <v>328.3</v>
      </c>
      <c r="JD886">
        <v>0</v>
      </c>
      <c r="JE886">
        <v>0</v>
      </c>
      <c r="JF886">
        <v>0</v>
      </c>
      <c r="JG886">
        <v>0</v>
      </c>
      <c r="JH886">
        <v>287.3</v>
      </c>
      <c r="JI886">
        <v>68.2</v>
      </c>
      <c r="JJ886">
        <v>0</v>
      </c>
      <c r="JK886">
        <v>148.6</v>
      </c>
      <c r="JL886">
        <v>0</v>
      </c>
      <c r="JM886">
        <v>0</v>
      </c>
      <c r="JN886">
        <v>204.5</v>
      </c>
      <c r="JO886">
        <v>292.10000000000002</v>
      </c>
      <c r="JP886">
        <v>670.8</v>
      </c>
      <c r="JQ886">
        <v>745.2</v>
      </c>
      <c r="JR886">
        <v>242.9</v>
      </c>
    </row>
    <row r="887" spans="2:278" ht="18" thickBot="1">
      <c r="B887" s="368" t="s">
        <v>1268</v>
      </c>
      <c r="C887" s="369" t="s">
        <v>1562</v>
      </c>
      <c r="D887" s="368" t="s">
        <v>1410</v>
      </c>
      <c r="E887" s="454">
        <v>22829.8</v>
      </c>
      <c r="F887">
        <v>20193.400000000001</v>
      </c>
      <c r="G887" s="427">
        <v>0</v>
      </c>
      <c r="H887" s="155">
        <v>0</v>
      </c>
      <c r="I887">
        <v>0</v>
      </c>
      <c r="J887">
        <v>0</v>
      </c>
      <c r="K887">
        <v>0</v>
      </c>
      <c r="L887" s="4">
        <v>0</v>
      </c>
      <c r="M887" s="4">
        <v>0</v>
      </c>
      <c r="N887" s="4">
        <v>0</v>
      </c>
      <c r="O887" s="4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1476.4</v>
      </c>
      <c r="X887">
        <v>1482</v>
      </c>
      <c r="Y887">
        <v>457.20000000000005</v>
      </c>
      <c r="Z887">
        <v>0</v>
      </c>
      <c r="AA887">
        <v>0</v>
      </c>
      <c r="AB887">
        <v>0</v>
      </c>
      <c r="AC887">
        <v>0</v>
      </c>
      <c r="AD887">
        <v>3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1828.6</v>
      </c>
      <c r="AK887">
        <v>1800.7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560.70000000000005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  <c r="CF887">
        <v>0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  <c r="CN887">
        <v>0</v>
      </c>
      <c r="CO887">
        <v>0</v>
      </c>
      <c r="CP887">
        <v>3.5</v>
      </c>
      <c r="CQ887">
        <v>0</v>
      </c>
      <c r="CR887">
        <v>528</v>
      </c>
      <c r="CS887">
        <v>581.79999999999995</v>
      </c>
      <c r="CT887">
        <v>555.40000000000009</v>
      </c>
      <c r="CU887">
        <v>737.4</v>
      </c>
      <c r="CV887">
        <v>1039.0999999999999</v>
      </c>
      <c r="CW887">
        <v>1667.3</v>
      </c>
      <c r="CX887">
        <v>877.6</v>
      </c>
      <c r="CY887">
        <v>910.40000000000009</v>
      </c>
      <c r="CZ887">
        <v>0</v>
      </c>
      <c r="DA887">
        <v>0</v>
      </c>
      <c r="DB887">
        <v>0</v>
      </c>
      <c r="DC887">
        <v>0</v>
      </c>
      <c r="DD887">
        <v>0</v>
      </c>
      <c r="DE887">
        <v>0</v>
      </c>
      <c r="DF887">
        <v>0</v>
      </c>
      <c r="DG887">
        <v>0</v>
      </c>
      <c r="DH887">
        <v>0</v>
      </c>
      <c r="DI887">
        <v>0</v>
      </c>
      <c r="DJ887">
        <v>0</v>
      </c>
      <c r="DK887">
        <v>0</v>
      </c>
      <c r="DL887">
        <v>995.5</v>
      </c>
      <c r="DM887">
        <v>712.7</v>
      </c>
      <c r="DN887">
        <v>0</v>
      </c>
      <c r="DO887">
        <v>0</v>
      </c>
      <c r="DP887">
        <v>0</v>
      </c>
      <c r="DQ887">
        <v>0</v>
      </c>
      <c r="DR887">
        <v>0</v>
      </c>
      <c r="DS887">
        <v>0</v>
      </c>
      <c r="DT887">
        <v>0</v>
      </c>
      <c r="DU887">
        <v>0</v>
      </c>
      <c r="DV887">
        <v>0</v>
      </c>
      <c r="DW887">
        <v>0</v>
      </c>
      <c r="DX887">
        <v>0</v>
      </c>
      <c r="DY887">
        <v>0</v>
      </c>
      <c r="DZ887">
        <v>0</v>
      </c>
      <c r="EA887">
        <v>0</v>
      </c>
      <c r="EB887">
        <v>0</v>
      </c>
      <c r="EC887">
        <v>0</v>
      </c>
      <c r="ED887">
        <v>0</v>
      </c>
      <c r="EE887">
        <v>0</v>
      </c>
      <c r="EF887">
        <v>0</v>
      </c>
      <c r="EG887">
        <v>0</v>
      </c>
      <c r="EH887">
        <v>0</v>
      </c>
      <c r="EI887">
        <v>0</v>
      </c>
      <c r="EJ887">
        <v>0</v>
      </c>
      <c r="EK887">
        <v>0</v>
      </c>
      <c r="EL887">
        <v>0</v>
      </c>
      <c r="EM887">
        <v>0</v>
      </c>
      <c r="EN887">
        <v>27.4</v>
      </c>
      <c r="EO887">
        <v>0</v>
      </c>
      <c r="EP887">
        <v>1002.5</v>
      </c>
      <c r="EQ887">
        <v>0</v>
      </c>
      <c r="ER887">
        <v>494</v>
      </c>
      <c r="ES887">
        <v>0</v>
      </c>
      <c r="ET887">
        <v>699.3</v>
      </c>
      <c r="EU887">
        <v>435.4</v>
      </c>
      <c r="EV887">
        <v>0</v>
      </c>
      <c r="EW887">
        <v>0</v>
      </c>
      <c r="EX887">
        <v>0</v>
      </c>
      <c r="EY887">
        <v>0</v>
      </c>
      <c r="EZ887">
        <v>0</v>
      </c>
      <c r="FA887">
        <v>0</v>
      </c>
      <c r="FB887">
        <v>0</v>
      </c>
      <c r="FC887">
        <v>0</v>
      </c>
      <c r="FD887">
        <v>95.6</v>
      </c>
      <c r="FE887">
        <v>1792.1</v>
      </c>
      <c r="FF887">
        <v>1740.1999999999998</v>
      </c>
      <c r="FG887">
        <v>954.9</v>
      </c>
      <c r="FH887">
        <v>1087.8000000000002</v>
      </c>
      <c r="FI887">
        <v>1892.1</v>
      </c>
      <c r="FJ887">
        <v>1222.5</v>
      </c>
      <c r="FK887">
        <v>678.3</v>
      </c>
      <c r="FL887">
        <v>639.1</v>
      </c>
      <c r="FM887">
        <v>520.5</v>
      </c>
      <c r="FN887">
        <v>123.8</v>
      </c>
      <c r="FO887">
        <v>181.6</v>
      </c>
      <c r="FP887">
        <v>1090.5</v>
      </c>
      <c r="FQ887">
        <v>0</v>
      </c>
      <c r="FR887">
        <v>0</v>
      </c>
      <c r="FS887">
        <v>0</v>
      </c>
      <c r="FT887">
        <v>0</v>
      </c>
      <c r="FU887">
        <v>0</v>
      </c>
      <c r="FV887">
        <v>0</v>
      </c>
      <c r="FW887">
        <v>0</v>
      </c>
      <c r="FX887">
        <v>0</v>
      </c>
      <c r="FY887">
        <v>0</v>
      </c>
      <c r="FZ887">
        <v>0</v>
      </c>
      <c r="GA887">
        <v>0</v>
      </c>
      <c r="GB887">
        <v>0</v>
      </c>
      <c r="GC887">
        <v>0</v>
      </c>
      <c r="GD887">
        <v>0</v>
      </c>
      <c r="GE887">
        <v>0</v>
      </c>
      <c r="GF887">
        <v>198.3</v>
      </c>
      <c r="GG887">
        <v>1054.4000000000001</v>
      </c>
      <c r="GH887">
        <v>552.79999999999995</v>
      </c>
      <c r="GI887">
        <v>522</v>
      </c>
      <c r="GJ887">
        <v>0</v>
      </c>
      <c r="GK887">
        <v>0</v>
      </c>
      <c r="GL887">
        <v>0</v>
      </c>
      <c r="GM887">
        <v>0</v>
      </c>
      <c r="GN887">
        <v>791.40000000000009</v>
      </c>
      <c r="GO887">
        <v>1816.5</v>
      </c>
      <c r="GP887">
        <v>0</v>
      </c>
      <c r="GQ887">
        <v>0</v>
      </c>
      <c r="GR887">
        <v>0</v>
      </c>
      <c r="GS887">
        <v>0</v>
      </c>
      <c r="GT887">
        <v>0</v>
      </c>
      <c r="GU887">
        <v>0</v>
      </c>
      <c r="GV887">
        <v>0</v>
      </c>
      <c r="GW887">
        <v>0</v>
      </c>
      <c r="GX887">
        <v>0</v>
      </c>
      <c r="GY887">
        <v>840.3</v>
      </c>
      <c r="GZ887">
        <v>0</v>
      </c>
      <c r="HA887">
        <v>0</v>
      </c>
      <c r="HB887">
        <v>0</v>
      </c>
      <c r="HC887">
        <v>380.4</v>
      </c>
      <c r="HD887">
        <v>2175.5</v>
      </c>
      <c r="HE887">
        <v>0</v>
      </c>
      <c r="HF887">
        <v>0</v>
      </c>
      <c r="HG887">
        <v>0</v>
      </c>
      <c r="HH887">
        <v>0</v>
      </c>
      <c r="HI887">
        <v>0</v>
      </c>
      <c r="HJ887">
        <v>803.40000000000009</v>
      </c>
      <c r="HK887">
        <v>1270.9000000000001</v>
      </c>
      <c r="HL887">
        <v>835.7</v>
      </c>
      <c r="HM887">
        <v>1162.5999999999999</v>
      </c>
      <c r="HN887">
        <v>0</v>
      </c>
      <c r="HO887">
        <v>0</v>
      </c>
      <c r="HP887">
        <v>0</v>
      </c>
      <c r="HQ887">
        <v>0</v>
      </c>
      <c r="HR887">
        <v>161.19999999999999</v>
      </c>
      <c r="HS887">
        <v>0</v>
      </c>
      <c r="HT887">
        <v>2048.5</v>
      </c>
      <c r="HU887">
        <v>2627.5</v>
      </c>
      <c r="HV887">
        <v>1168.5999999999999</v>
      </c>
      <c r="HW887">
        <v>388</v>
      </c>
      <c r="HX887">
        <v>0</v>
      </c>
      <c r="HY887">
        <v>0</v>
      </c>
      <c r="HZ887">
        <v>0</v>
      </c>
      <c r="IA887">
        <v>0</v>
      </c>
      <c r="IB887">
        <v>0</v>
      </c>
      <c r="IC887">
        <v>594.4</v>
      </c>
      <c r="ID887">
        <v>427.4</v>
      </c>
      <c r="IE887">
        <v>713.3</v>
      </c>
      <c r="IF887">
        <v>626.1</v>
      </c>
      <c r="IG887">
        <v>0</v>
      </c>
      <c r="IH887">
        <v>0</v>
      </c>
      <c r="II887">
        <v>995.7</v>
      </c>
      <c r="IJ887">
        <v>1156.5999999999999</v>
      </c>
      <c r="IK887">
        <v>864.6</v>
      </c>
      <c r="IL887">
        <v>316.5</v>
      </c>
      <c r="IM887">
        <v>101.5</v>
      </c>
      <c r="IN887">
        <v>71.8</v>
      </c>
      <c r="IO887">
        <v>0</v>
      </c>
      <c r="IP887">
        <v>0</v>
      </c>
      <c r="IQ887">
        <v>0</v>
      </c>
      <c r="IR887">
        <v>0</v>
      </c>
      <c r="IS887">
        <v>0</v>
      </c>
      <c r="IT887">
        <v>0</v>
      </c>
      <c r="IU887">
        <v>0</v>
      </c>
      <c r="IV887">
        <v>0</v>
      </c>
      <c r="IW887">
        <v>68</v>
      </c>
      <c r="IX887">
        <v>404.7</v>
      </c>
      <c r="IY887">
        <v>126.6</v>
      </c>
      <c r="IZ887">
        <v>126.6</v>
      </c>
      <c r="JA887">
        <v>503.7</v>
      </c>
      <c r="JB887">
        <v>570.1</v>
      </c>
      <c r="JC887">
        <v>328.3</v>
      </c>
      <c r="JD887">
        <v>0</v>
      </c>
      <c r="JE887">
        <v>0</v>
      </c>
      <c r="JF887">
        <v>0</v>
      </c>
      <c r="JG887">
        <v>0</v>
      </c>
      <c r="JH887">
        <v>287.3</v>
      </c>
      <c r="JI887">
        <v>68.2</v>
      </c>
      <c r="JJ887">
        <v>0</v>
      </c>
      <c r="JK887">
        <v>148.6</v>
      </c>
      <c r="JL887">
        <v>0</v>
      </c>
      <c r="JM887">
        <v>0</v>
      </c>
      <c r="JN887">
        <v>204.5</v>
      </c>
      <c r="JO887">
        <v>292.10000000000002</v>
      </c>
      <c r="JP887">
        <v>670.8</v>
      </c>
      <c r="JQ887">
        <v>745.2</v>
      </c>
      <c r="JR887">
        <v>242.9</v>
      </c>
    </row>
    <row r="888" spans="2:278" ht="18" thickBot="1">
      <c r="B888" s="370" t="s">
        <v>470</v>
      </c>
      <c r="C888" s="414" t="s">
        <v>1563</v>
      </c>
      <c r="D888" s="368" t="s">
        <v>1410</v>
      </c>
      <c r="E888" s="454">
        <v>22829.8</v>
      </c>
      <c r="F888">
        <v>20193.400000000001</v>
      </c>
      <c r="G888" s="427">
        <v>0</v>
      </c>
      <c r="H888" s="155">
        <v>0</v>
      </c>
      <c r="I888">
        <v>0</v>
      </c>
      <c r="J888">
        <v>0</v>
      </c>
      <c r="K888">
        <v>0</v>
      </c>
      <c r="L888" s="4">
        <v>0</v>
      </c>
      <c r="M888" s="4">
        <v>0</v>
      </c>
      <c r="N888" s="4">
        <v>0</v>
      </c>
      <c r="O888" s="4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1476.4</v>
      </c>
      <c r="X888">
        <v>1482</v>
      </c>
      <c r="Y888">
        <v>457.20000000000005</v>
      </c>
      <c r="Z888">
        <v>0</v>
      </c>
      <c r="AA888">
        <v>0</v>
      </c>
      <c r="AB888">
        <v>0</v>
      </c>
      <c r="AC888">
        <v>0</v>
      </c>
      <c r="AD888">
        <v>3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1828.6</v>
      </c>
      <c r="AK888">
        <v>1800.7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560.70000000000005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  <c r="CF888">
        <v>0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  <c r="CN888">
        <v>0</v>
      </c>
      <c r="CO888">
        <v>0</v>
      </c>
      <c r="CP888">
        <v>3.5</v>
      </c>
      <c r="CQ888">
        <v>0</v>
      </c>
      <c r="CR888">
        <v>528</v>
      </c>
      <c r="CS888">
        <v>581.79999999999995</v>
      </c>
      <c r="CT888">
        <v>555.40000000000009</v>
      </c>
      <c r="CU888">
        <v>737.4</v>
      </c>
      <c r="CV888">
        <v>1039.0999999999999</v>
      </c>
      <c r="CW888">
        <v>1667.3</v>
      </c>
      <c r="CX888">
        <v>877.6</v>
      </c>
      <c r="CY888">
        <v>910.40000000000009</v>
      </c>
      <c r="CZ888">
        <v>0</v>
      </c>
      <c r="DA888">
        <v>0</v>
      </c>
      <c r="DB888">
        <v>0</v>
      </c>
      <c r="DC888">
        <v>0</v>
      </c>
      <c r="DD888">
        <v>0</v>
      </c>
      <c r="DE888">
        <v>0</v>
      </c>
      <c r="DF888">
        <v>0</v>
      </c>
      <c r="DG888">
        <v>0</v>
      </c>
      <c r="DH888">
        <v>0</v>
      </c>
      <c r="DI888">
        <v>0</v>
      </c>
      <c r="DJ888">
        <v>0</v>
      </c>
      <c r="DK888">
        <v>0</v>
      </c>
      <c r="DL888">
        <v>995.5</v>
      </c>
      <c r="DM888">
        <v>712.7</v>
      </c>
      <c r="DN888">
        <v>0</v>
      </c>
      <c r="DO888">
        <v>0</v>
      </c>
      <c r="DP888">
        <v>0</v>
      </c>
      <c r="DQ888">
        <v>0</v>
      </c>
      <c r="DR888">
        <v>0</v>
      </c>
      <c r="DS888">
        <v>0</v>
      </c>
      <c r="DT888">
        <v>0</v>
      </c>
      <c r="DU888">
        <v>0</v>
      </c>
      <c r="DV888">
        <v>0</v>
      </c>
      <c r="DW888">
        <v>0</v>
      </c>
      <c r="DX888">
        <v>0</v>
      </c>
      <c r="DY888">
        <v>0</v>
      </c>
      <c r="DZ888">
        <v>0</v>
      </c>
      <c r="EA888">
        <v>0</v>
      </c>
      <c r="EB888">
        <v>0</v>
      </c>
      <c r="EC888">
        <v>0</v>
      </c>
      <c r="ED888">
        <v>0</v>
      </c>
      <c r="EE888">
        <v>0</v>
      </c>
      <c r="EF888">
        <v>0</v>
      </c>
      <c r="EG888">
        <v>0</v>
      </c>
      <c r="EH888">
        <v>0</v>
      </c>
      <c r="EI888">
        <v>0</v>
      </c>
      <c r="EJ888">
        <v>0</v>
      </c>
      <c r="EK888">
        <v>0</v>
      </c>
      <c r="EL888">
        <v>0</v>
      </c>
      <c r="EM888">
        <v>0</v>
      </c>
      <c r="EN888">
        <v>27.4</v>
      </c>
      <c r="EO888">
        <v>0</v>
      </c>
      <c r="EP888">
        <v>1002.5</v>
      </c>
      <c r="EQ888">
        <v>0</v>
      </c>
      <c r="ER888">
        <v>494</v>
      </c>
      <c r="ES888">
        <v>0</v>
      </c>
      <c r="ET888">
        <v>699.3</v>
      </c>
      <c r="EU888">
        <v>435.4</v>
      </c>
      <c r="EV888">
        <v>0</v>
      </c>
      <c r="EW888">
        <v>0</v>
      </c>
      <c r="EX888">
        <v>0</v>
      </c>
      <c r="EY888">
        <v>0</v>
      </c>
      <c r="EZ888">
        <v>0</v>
      </c>
      <c r="FA888">
        <v>0</v>
      </c>
      <c r="FB888">
        <v>0</v>
      </c>
      <c r="FC888">
        <v>0</v>
      </c>
      <c r="FD888">
        <v>95.6</v>
      </c>
      <c r="FE888">
        <v>1792.1</v>
      </c>
      <c r="FF888">
        <v>1740.1999999999998</v>
      </c>
      <c r="FG888">
        <v>954.9</v>
      </c>
      <c r="FH888">
        <v>1087.8000000000002</v>
      </c>
      <c r="FI888">
        <v>1892.1</v>
      </c>
      <c r="FJ888">
        <v>1222.5</v>
      </c>
      <c r="FK888">
        <v>678.3</v>
      </c>
      <c r="FL888">
        <v>639.1</v>
      </c>
      <c r="FM888">
        <v>520.5</v>
      </c>
      <c r="FN888">
        <v>123.8</v>
      </c>
      <c r="FO888">
        <v>181.6</v>
      </c>
      <c r="FP888">
        <v>1090.5</v>
      </c>
      <c r="FQ888">
        <v>0</v>
      </c>
      <c r="FR888">
        <v>0</v>
      </c>
      <c r="FS888">
        <v>0</v>
      </c>
      <c r="FT888">
        <v>0</v>
      </c>
      <c r="FU888">
        <v>0</v>
      </c>
      <c r="FV888">
        <v>0</v>
      </c>
      <c r="FW888">
        <v>0</v>
      </c>
      <c r="FX888">
        <v>0</v>
      </c>
      <c r="FY888">
        <v>0</v>
      </c>
      <c r="FZ888">
        <v>0</v>
      </c>
      <c r="GA888">
        <v>0</v>
      </c>
      <c r="GB888">
        <v>0</v>
      </c>
      <c r="GC888">
        <v>0</v>
      </c>
      <c r="GD888">
        <v>0</v>
      </c>
      <c r="GE888">
        <v>0</v>
      </c>
      <c r="GF888">
        <v>198.3</v>
      </c>
      <c r="GG888">
        <v>1054.4000000000001</v>
      </c>
      <c r="GH888">
        <v>552.79999999999995</v>
      </c>
      <c r="GI888">
        <v>522</v>
      </c>
      <c r="GJ888">
        <v>0</v>
      </c>
      <c r="GK888">
        <v>0</v>
      </c>
      <c r="GL888">
        <v>0</v>
      </c>
      <c r="GM888">
        <v>0</v>
      </c>
      <c r="GN888">
        <v>791.40000000000009</v>
      </c>
      <c r="GO888">
        <v>1816.5</v>
      </c>
      <c r="GP888">
        <v>0</v>
      </c>
      <c r="GQ888">
        <v>0</v>
      </c>
      <c r="GR888">
        <v>0</v>
      </c>
      <c r="GS888">
        <v>0</v>
      </c>
      <c r="GT888">
        <v>0</v>
      </c>
      <c r="GU888">
        <v>0</v>
      </c>
      <c r="GV888">
        <v>0</v>
      </c>
      <c r="GW888">
        <v>0</v>
      </c>
      <c r="GX888">
        <v>0</v>
      </c>
      <c r="GY888">
        <v>840.3</v>
      </c>
      <c r="GZ888">
        <v>0</v>
      </c>
      <c r="HA888">
        <v>0</v>
      </c>
      <c r="HB888">
        <v>0</v>
      </c>
      <c r="HC888">
        <v>380.4</v>
      </c>
      <c r="HD888">
        <v>2175.5</v>
      </c>
      <c r="HE888">
        <v>0</v>
      </c>
      <c r="HF888">
        <v>0</v>
      </c>
      <c r="HG888">
        <v>0</v>
      </c>
      <c r="HH888">
        <v>0</v>
      </c>
      <c r="HI888">
        <v>0</v>
      </c>
      <c r="HJ888">
        <v>803.40000000000009</v>
      </c>
      <c r="HK888">
        <v>1270.9000000000001</v>
      </c>
      <c r="HL888">
        <v>835.7</v>
      </c>
      <c r="HM888">
        <v>1162.5999999999999</v>
      </c>
      <c r="HN888">
        <v>0</v>
      </c>
      <c r="HO888">
        <v>0</v>
      </c>
      <c r="HP888">
        <v>0</v>
      </c>
      <c r="HQ888">
        <v>0</v>
      </c>
      <c r="HR888">
        <v>161.19999999999999</v>
      </c>
      <c r="HS888">
        <v>0</v>
      </c>
      <c r="HT888">
        <v>2048.5</v>
      </c>
      <c r="HU888">
        <v>2627.5</v>
      </c>
      <c r="HV888">
        <v>1168.5999999999999</v>
      </c>
      <c r="HW888">
        <v>388</v>
      </c>
      <c r="HX888">
        <v>0</v>
      </c>
      <c r="HY888">
        <v>0</v>
      </c>
      <c r="HZ888">
        <v>0</v>
      </c>
      <c r="IA888">
        <v>0</v>
      </c>
      <c r="IB888">
        <v>0</v>
      </c>
      <c r="IC888">
        <v>594.4</v>
      </c>
      <c r="ID888">
        <v>427.4</v>
      </c>
      <c r="IE888">
        <v>713.3</v>
      </c>
      <c r="IF888">
        <v>626.1</v>
      </c>
      <c r="IG888">
        <v>0</v>
      </c>
      <c r="IH888">
        <v>0</v>
      </c>
      <c r="II888">
        <v>995.7</v>
      </c>
      <c r="IJ888">
        <v>1156.5999999999999</v>
      </c>
      <c r="IK888">
        <v>864.6</v>
      </c>
      <c r="IL888">
        <v>316.5</v>
      </c>
      <c r="IM888">
        <v>101.5</v>
      </c>
      <c r="IN888">
        <v>71.8</v>
      </c>
      <c r="IO888">
        <v>0</v>
      </c>
      <c r="IP888">
        <v>0</v>
      </c>
      <c r="IQ888">
        <v>0</v>
      </c>
      <c r="IR888">
        <v>0</v>
      </c>
      <c r="IS888">
        <v>0</v>
      </c>
      <c r="IT888">
        <v>0</v>
      </c>
      <c r="IU888">
        <v>0</v>
      </c>
      <c r="IV888">
        <v>0</v>
      </c>
      <c r="IW888">
        <v>68</v>
      </c>
      <c r="IX888">
        <v>404.7</v>
      </c>
      <c r="IY888">
        <v>126.6</v>
      </c>
      <c r="IZ888">
        <v>126.6</v>
      </c>
      <c r="JA888">
        <v>503.7</v>
      </c>
      <c r="JB888">
        <v>570.1</v>
      </c>
      <c r="JC888">
        <v>328.3</v>
      </c>
      <c r="JD888">
        <v>0</v>
      </c>
      <c r="JE888">
        <v>0</v>
      </c>
      <c r="JF888">
        <v>0</v>
      </c>
      <c r="JG888">
        <v>0</v>
      </c>
      <c r="JH888">
        <v>287.3</v>
      </c>
      <c r="JI888">
        <v>68.2</v>
      </c>
      <c r="JJ888">
        <v>0</v>
      </c>
      <c r="JK888">
        <v>148.6</v>
      </c>
      <c r="JL888">
        <v>0</v>
      </c>
      <c r="JM888">
        <v>0</v>
      </c>
      <c r="JN888">
        <v>204.5</v>
      </c>
      <c r="JO888">
        <v>292.10000000000002</v>
      </c>
      <c r="JP888">
        <v>670.8</v>
      </c>
      <c r="JQ888">
        <v>745.2</v>
      </c>
      <c r="JR888">
        <v>242.9</v>
      </c>
    </row>
    <row r="889" spans="2:278" ht="18" thickBot="1">
      <c r="B889" s="370" t="s">
        <v>471</v>
      </c>
      <c r="C889" s="414" t="s">
        <v>1564</v>
      </c>
      <c r="D889" s="368" t="s">
        <v>1410</v>
      </c>
      <c r="E889" s="454">
        <v>22829.8</v>
      </c>
      <c r="F889">
        <v>20193.400000000001</v>
      </c>
      <c r="G889" s="427">
        <v>0</v>
      </c>
      <c r="H889" s="155">
        <v>0</v>
      </c>
      <c r="I889">
        <v>0</v>
      </c>
      <c r="J889">
        <v>0</v>
      </c>
      <c r="K889">
        <v>0</v>
      </c>
      <c r="L889" s="4">
        <v>0</v>
      </c>
      <c r="M889" s="4">
        <v>0</v>
      </c>
      <c r="N889" s="4">
        <v>0</v>
      </c>
      <c r="O889" s="4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1476.4</v>
      </c>
      <c r="X889">
        <v>1482</v>
      </c>
      <c r="Y889">
        <v>457.20000000000005</v>
      </c>
      <c r="Z889">
        <v>0</v>
      </c>
      <c r="AA889">
        <v>0</v>
      </c>
      <c r="AB889">
        <v>0</v>
      </c>
      <c r="AC889">
        <v>0</v>
      </c>
      <c r="AD889">
        <v>3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1828.6</v>
      </c>
      <c r="AK889">
        <v>1800.7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560.70000000000005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  <c r="CF889">
        <v>0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  <c r="CN889">
        <v>0</v>
      </c>
      <c r="CO889">
        <v>0</v>
      </c>
      <c r="CP889">
        <v>3.5</v>
      </c>
      <c r="CQ889">
        <v>0</v>
      </c>
      <c r="CR889">
        <v>528</v>
      </c>
      <c r="CS889">
        <v>581.79999999999995</v>
      </c>
      <c r="CT889">
        <v>555.40000000000009</v>
      </c>
      <c r="CU889">
        <v>737.4</v>
      </c>
      <c r="CV889">
        <v>1039.0999999999999</v>
      </c>
      <c r="CW889">
        <v>1667.3</v>
      </c>
      <c r="CX889">
        <v>877.6</v>
      </c>
      <c r="CY889">
        <v>910.40000000000009</v>
      </c>
      <c r="CZ889">
        <v>0</v>
      </c>
      <c r="DA889">
        <v>0</v>
      </c>
      <c r="DB889">
        <v>0</v>
      </c>
      <c r="DC889">
        <v>0</v>
      </c>
      <c r="DD889">
        <v>0</v>
      </c>
      <c r="DE889">
        <v>0</v>
      </c>
      <c r="DF889">
        <v>0</v>
      </c>
      <c r="DG889">
        <v>0</v>
      </c>
      <c r="DH889">
        <v>0</v>
      </c>
      <c r="DI889">
        <v>0</v>
      </c>
      <c r="DJ889">
        <v>0</v>
      </c>
      <c r="DK889">
        <v>0</v>
      </c>
      <c r="DL889">
        <v>995.5</v>
      </c>
      <c r="DM889">
        <v>712.7</v>
      </c>
      <c r="DN889">
        <v>0</v>
      </c>
      <c r="DO889">
        <v>0</v>
      </c>
      <c r="DP889">
        <v>0</v>
      </c>
      <c r="DQ889">
        <v>0</v>
      </c>
      <c r="DR889">
        <v>0</v>
      </c>
      <c r="DS889">
        <v>0</v>
      </c>
      <c r="DT889">
        <v>0</v>
      </c>
      <c r="DU889">
        <v>0</v>
      </c>
      <c r="DV889">
        <v>0</v>
      </c>
      <c r="DW889">
        <v>0</v>
      </c>
      <c r="DX889">
        <v>0</v>
      </c>
      <c r="DY889">
        <v>0</v>
      </c>
      <c r="DZ889">
        <v>0</v>
      </c>
      <c r="EA889">
        <v>0</v>
      </c>
      <c r="EB889">
        <v>0</v>
      </c>
      <c r="EC889">
        <v>0</v>
      </c>
      <c r="ED889">
        <v>0</v>
      </c>
      <c r="EE889">
        <v>0</v>
      </c>
      <c r="EF889">
        <v>0</v>
      </c>
      <c r="EG889">
        <v>0</v>
      </c>
      <c r="EH889">
        <v>0</v>
      </c>
      <c r="EI889">
        <v>0</v>
      </c>
      <c r="EJ889">
        <v>0</v>
      </c>
      <c r="EK889">
        <v>0</v>
      </c>
      <c r="EL889">
        <v>0</v>
      </c>
      <c r="EM889">
        <v>0</v>
      </c>
      <c r="EN889">
        <v>27.4</v>
      </c>
      <c r="EO889">
        <v>0</v>
      </c>
      <c r="EP889">
        <v>1002.5</v>
      </c>
      <c r="EQ889">
        <v>0</v>
      </c>
      <c r="ER889">
        <v>494</v>
      </c>
      <c r="ES889">
        <v>0</v>
      </c>
      <c r="ET889">
        <v>699.3</v>
      </c>
      <c r="EU889">
        <v>435.4</v>
      </c>
      <c r="EV889">
        <v>0</v>
      </c>
      <c r="EW889">
        <v>0</v>
      </c>
      <c r="EX889">
        <v>0</v>
      </c>
      <c r="EY889">
        <v>0</v>
      </c>
      <c r="EZ889">
        <v>0</v>
      </c>
      <c r="FA889">
        <v>0</v>
      </c>
      <c r="FB889">
        <v>0</v>
      </c>
      <c r="FC889">
        <v>0</v>
      </c>
      <c r="FD889">
        <v>95.6</v>
      </c>
      <c r="FE889">
        <v>1792.1</v>
      </c>
      <c r="FF889">
        <v>1740.1999999999998</v>
      </c>
      <c r="FG889">
        <v>954.9</v>
      </c>
      <c r="FH889">
        <v>1087.8000000000002</v>
      </c>
      <c r="FI889">
        <v>1892.1</v>
      </c>
      <c r="FJ889">
        <v>1222.5</v>
      </c>
      <c r="FK889">
        <v>678.3</v>
      </c>
      <c r="FL889">
        <v>639.1</v>
      </c>
      <c r="FM889">
        <v>520.5</v>
      </c>
      <c r="FN889">
        <v>123.8</v>
      </c>
      <c r="FO889">
        <v>181.6</v>
      </c>
      <c r="FP889">
        <v>1090.5</v>
      </c>
      <c r="FQ889">
        <v>0</v>
      </c>
      <c r="FR889">
        <v>0</v>
      </c>
      <c r="FS889">
        <v>0</v>
      </c>
      <c r="FT889">
        <v>0</v>
      </c>
      <c r="FU889">
        <v>0</v>
      </c>
      <c r="FV889">
        <v>0</v>
      </c>
      <c r="FW889">
        <v>0</v>
      </c>
      <c r="FX889">
        <v>0</v>
      </c>
      <c r="FY889">
        <v>0</v>
      </c>
      <c r="FZ889">
        <v>0</v>
      </c>
      <c r="GA889">
        <v>0</v>
      </c>
      <c r="GB889">
        <v>0</v>
      </c>
      <c r="GC889">
        <v>0</v>
      </c>
      <c r="GD889">
        <v>0</v>
      </c>
      <c r="GE889">
        <v>0</v>
      </c>
      <c r="GF889">
        <v>198.3</v>
      </c>
      <c r="GG889">
        <v>1054.4000000000001</v>
      </c>
      <c r="GH889">
        <v>552.79999999999995</v>
      </c>
      <c r="GI889">
        <v>522</v>
      </c>
      <c r="GJ889">
        <v>0</v>
      </c>
      <c r="GK889">
        <v>0</v>
      </c>
      <c r="GL889">
        <v>0</v>
      </c>
      <c r="GM889">
        <v>0</v>
      </c>
      <c r="GN889">
        <v>791.40000000000009</v>
      </c>
      <c r="GO889">
        <v>1816.5</v>
      </c>
      <c r="GP889">
        <v>0</v>
      </c>
      <c r="GQ889">
        <v>0</v>
      </c>
      <c r="GR889">
        <v>0</v>
      </c>
      <c r="GS889">
        <v>0</v>
      </c>
      <c r="GT889">
        <v>0</v>
      </c>
      <c r="GU889">
        <v>0</v>
      </c>
      <c r="GV889">
        <v>0</v>
      </c>
      <c r="GW889">
        <v>0</v>
      </c>
      <c r="GX889">
        <v>0</v>
      </c>
      <c r="GY889">
        <v>840.3</v>
      </c>
      <c r="GZ889">
        <v>0</v>
      </c>
      <c r="HA889">
        <v>0</v>
      </c>
      <c r="HB889">
        <v>0</v>
      </c>
      <c r="HC889">
        <v>380.4</v>
      </c>
      <c r="HD889">
        <v>2175.5</v>
      </c>
      <c r="HE889">
        <v>0</v>
      </c>
      <c r="HF889">
        <v>0</v>
      </c>
      <c r="HG889">
        <v>0</v>
      </c>
      <c r="HH889">
        <v>0</v>
      </c>
      <c r="HI889">
        <v>0</v>
      </c>
      <c r="HJ889">
        <v>803.40000000000009</v>
      </c>
      <c r="HK889">
        <v>1270.9000000000001</v>
      </c>
      <c r="HL889">
        <v>835.7</v>
      </c>
      <c r="HM889">
        <v>1162.5999999999999</v>
      </c>
      <c r="HN889">
        <v>0</v>
      </c>
      <c r="HO889">
        <v>0</v>
      </c>
      <c r="HP889">
        <v>0</v>
      </c>
      <c r="HQ889">
        <v>0</v>
      </c>
      <c r="HR889">
        <v>161.19999999999999</v>
      </c>
      <c r="HS889">
        <v>0</v>
      </c>
      <c r="HT889">
        <v>2048.5</v>
      </c>
      <c r="HU889">
        <v>2627.5</v>
      </c>
      <c r="HV889">
        <v>1168.5999999999999</v>
      </c>
      <c r="HW889">
        <v>388</v>
      </c>
      <c r="HX889">
        <v>0</v>
      </c>
      <c r="HY889">
        <v>0</v>
      </c>
      <c r="HZ889">
        <v>0</v>
      </c>
      <c r="IA889">
        <v>0</v>
      </c>
      <c r="IB889">
        <v>0</v>
      </c>
      <c r="IC889">
        <v>594.4</v>
      </c>
      <c r="ID889">
        <v>427.4</v>
      </c>
      <c r="IE889">
        <v>713.3</v>
      </c>
      <c r="IF889">
        <v>626.1</v>
      </c>
      <c r="IG889">
        <v>0</v>
      </c>
      <c r="IH889">
        <v>0</v>
      </c>
      <c r="II889">
        <v>995.7</v>
      </c>
      <c r="IJ889">
        <v>1156.5999999999999</v>
      </c>
      <c r="IK889">
        <v>864.6</v>
      </c>
      <c r="IL889">
        <v>316.5</v>
      </c>
      <c r="IM889">
        <v>101.5</v>
      </c>
      <c r="IN889">
        <v>71.8</v>
      </c>
      <c r="IO889">
        <v>0</v>
      </c>
      <c r="IP889">
        <v>0</v>
      </c>
      <c r="IQ889">
        <v>0</v>
      </c>
      <c r="IR889">
        <v>0</v>
      </c>
      <c r="IS889">
        <v>0</v>
      </c>
      <c r="IT889">
        <v>0</v>
      </c>
      <c r="IU889">
        <v>0</v>
      </c>
      <c r="IV889">
        <v>0</v>
      </c>
      <c r="IW889">
        <v>68</v>
      </c>
      <c r="IX889">
        <v>404.7</v>
      </c>
      <c r="IY889">
        <v>126.6</v>
      </c>
      <c r="IZ889">
        <v>126.6</v>
      </c>
      <c r="JA889">
        <v>503.7</v>
      </c>
      <c r="JB889">
        <v>570.1</v>
      </c>
      <c r="JC889">
        <v>328.3</v>
      </c>
      <c r="JD889">
        <v>0</v>
      </c>
      <c r="JE889">
        <v>0</v>
      </c>
      <c r="JF889">
        <v>0</v>
      </c>
      <c r="JG889">
        <v>0</v>
      </c>
      <c r="JH889">
        <v>287.3</v>
      </c>
      <c r="JI889">
        <v>68.2</v>
      </c>
      <c r="JJ889">
        <v>0</v>
      </c>
      <c r="JK889">
        <v>148.6</v>
      </c>
      <c r="JL889">
        <v>0</v>
      </c>
      <c r="JM889">
        <v>0</v>
      </c>
      <c r="JN889">
        <v>204.5</v>
      </c>
      <c r="JO889">
        <v>292.10000000000002</v>
      </c>
      <c r="JP889">
        <v>670.8</v>
      </c>
      <c r="JQ889">
        <v>745.2</v>
      </c>
      <c r="JR889">
        <v>242.9</v>
      </c>
    </row>
    <row r="890" spans="2:278" ht="18" thickBot="1">
      <c r="B890" s="368" t="s">
        <v>472</v>
      </c>
      <c r="C890" s="415" t="s">
        <v>1428</v>
      </c>
      <c r="D890" s="368" t="s">
        <v>1428</v>
      </c>
      <c r="E890" s="454">
        <v>22829.8</v>
      </c>
      <c r="F890">
        <v>20193.400000000001</v>
      </c>
      <c r="G890" s="427">
        <v>0</v>
      </c>
      <c r="H890" s="155">
        <v>0</v>
      </c>
      <c r="I890">
        <v>0</v>
      </c>
      <c r="J890">
        <v>0</v>
      </c>
      <c r="K890">
        <v>0</v>
      </c>
      <c r="L890" s="4">
        <v>0</v>
      </c>
      <c r="M890" s="4">
        <v>0</v>
      </c>
      <c r="N890" s="4">
        <v>0</v>
      </c>
      <c r="O890" s="4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1476.4</v>
      </c>
      <c r="X890">
        <v>1482</v>
      </c>
      <c r="Y890">
        <v>457.20000000000005</v>
      </c>
      <c r="Z890">
        <v>0</v>
      </c>
      <c r="AA890">
        <v>0</v>
      </c>
      <c r="AB890">
        <v>0</v>
      </c>
      <c r="AC890">
        <v>0</v>
      </c>
      <c r="AD890">
        <v>3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1828.6</v>
      </c>
      <c r="AK890">
        <v>1800.7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560.70000000000005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0</v>
      </c>
      <c r="BP890">
        <v>0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  <c r="CF890">
        <v>0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  <c r="CN890">
        <v>0</v>
      </c>
      <c r="CO890">
        <v>0</v>
      </c>
      <c r="CP890">
        <v>3.5</v>
      </c>
      <c r="CQ890">
        <v>0</v>
      </c>
      <c r="CR890">
        <v>528</v>
      </c>
      <c r="CS890">
        <v>581.79999999999995</v>
      </c>
      <c r="CT890">
        <v>555.40000000000009</v>
      </c>
      <c r="CU890">
        <v>737.4</v>
      </c>
      <c r="CV890">
        <v>1039.0999999999999</v>
      </c>
      <c r="CW890">
        <v>1667.3</v>
      </c>
      <c r="CX890">
        <v>877.6</v>
      </c>
      <c r="CY890">
        <v>910.40000000000009</v>
      </c>
      <c r="CZ890">
        <v>0</v>
      </c>
      <c r="DA890">
        <v>0</v>
      </c>
      <c r="DB890">
        <v>0</v>
      </c>
      <c r="DC890">
        <v>0</v>
      </c>
      <c r="DD890">
        <v>0</v>
      </c>
      <c r="DE890">
        <v>0</v>
      </c>
      <c r="DF890">
        <v>0</v>
      </c>
      <c r="DG890">
        <v>0</v>
      </c>
      <c r="DH890">
        <v>0</v>
      </c>
      <c r="DI890">
        <v>0</v>
      </c>
      <c r="DJ890">
        <v>0</v>
      </c>
      <c r="DK890">
        <v>0</v>
      </c>
      <c r="DL890">
        <v>995.5</v>
      </c>
      <c r="DM890">
        <v>712.7</v>
      </c>
      <c r="DN890">
        <v>0</v>
      </c>
      <c r="DO890">
        <v>0</v>
      </c>
      <c r="DP890">
        <v>0</v>
      </c>
      <c r="DQ890">
        <v>0</v>
      </c>
      <c r="DR890">
        <v>0</v>
      </c>
      <c r="DS890">
        <v>0</v>
      </c>
      <c r="DT890">
        <v>0</v>
      </c>
      <c r="DU890">
        <v>0</v>
      </c>
      <c r="DV890">
        <v>0</v>
      </c>
      <c r="DW890">
        <v>0</v>
      </c>
      <c r="DX890">
        <v>0</v>
      </c>
      <c r="DY890">
        <v>0</v>
      </c>
      <c r="DZ890">
        <v>0</v>
      </c>
      <c r="EA890">
        <v>0</v>
      </c>
      <c r="EB890">
        <v>0</v>
      </c>
      <c r="EC890">
        <v>0</v>
      </c>
      <c r="ED890">
        <v>0</v>
      </c>
      <c r="EE890">
        <v>0</v>
      </c>
      <c r="EF890">
        <v>0</v>
      </c>
      <c r="EG890">
        <v>0</v>
      </c>
      <c r="EH890">
        <v>0</v>
      </c>
      <c r="EI890">
        <v>0</v>
      </c>
      <c r="EJ890">
        <v>0</v>
      </c>
      <c r="EK890">
        <v>0</v>
      </c>
      <c r="EL890">
        <v>0</v>
      </c>
      <c r="EM890">
        <v>0</v>
      </c>
      <c r="EN890">
        <v>27.4</v>
      </c>
      <c r="EO890">
        <v>0</v>
      </c>
      <c r="EP890">
        <v>1002.5</v>
      </c>
      <c r="EQ890">
        <v>0</v>
      </c>
      <c r="ER890">
        <v>494</v>
      </c>
      <c r="ES890">
        <v>0</v>
      </c>
      <c r="ET890">
        <v>699.3</v>
      </c>
      <c r="EU890">
        <v>435.4</v>
      </c>
      <c r="EV890">
        <v>0</v>
      </c>
      <c r="EW890">
        <v>0</v>
      </c>
      <c r="EX890">
        <v>0</v>
      </c>
      <c r="EY890">
        <v>0</v>
      </c>
      <c r="EZ890">
        <v>0</v>
      </c>
      <c r="FA890">
        <v>0</v>
      </c>
      <c r="FB890">
        <v>0</v>
      </c>
      <c r="FC890">
        <v>0</v>
      </c>
      <c r="FD890">
        <v>95.6</v>
      </c>
      <c r="FE890">
        <v>1792.1</v>
      </c>
      <c r="FF890">
        <v>1740.1999999999998</v>
      </c>
      <c r="FG890">
        <v>954.9</v>
      </c>
      <c r="FH890">
        <v>1087.8000000000002</v>
      </c>
      <c r="FI890">
        <v>1892.1</v>
      </c>
      <c r="FJ890">
        <v>1222.5</v>
      </c>
      <c r="FK890">
        <v>678.3</v>
      </c>
      <c r="FL890">
        <v>639.1</v>
      </c>
      <c r="FM890">
        <v>520.5</v>
      </c>
      <c r="FN890">
        <v>123.8</v>
      </c>
      <c r="FO890">
        <v>181.6</v>
      </c>
      <c r="FP890">
        <v>1090.5</v>
      </c>
      <c r="FQ890">
        <v>0</v>
      </c>
      <c r="FR890">
        <v>0</v>
      </c>
      <c r="FS890">
        <v>0</v>
      </c>
      <c r="FT890">
        <v>0</v>
      </c>
      <c r="FU890">
        <v>0</v>
      </c>
      <c r="FV890">
        <v>0</v>
      </c>
      <c r="FW890">
        <v>0</v>
      </c>
      <c r="FX890">
        <v>0</v>
      </c>
      <c r="FY890">
        <v>0</v>
      </c>
      <c r="FZ890">
        <v>0</v>
      </c>
      <c r="GA890">
        <v>0</v>
      </c>
      <c r="GB890">
        <v>0</v>
      </c>
      <c r="GC890">
        <v>0</v>
      </c>
      <c r="GD890">
        <v>0</v>
      </c>
      <c r="GE890">
        <v>0</v>
      </c>
      <c r="GF890">
        <v>198.3</v>
      </c>
      <c r="GG890">
        <v>1054.4000000000001</v>
      </c>
      <c r="GH890">
        <v>552.79999999999995</v>
      </c>
      <c r="GI890">
        <v>522</v>
      </c>
      <c r="GJ890">
        <v>0</v>
      </c>
      <c r="GK890">
        <v>0</v>
      </c>
      <c r="GL890">
        <v>0</v>
      </c>
      <c r="GM890">
        <v>0</v>
      </c>
      <c r="GN890">
        <v>791.40000000000009</v>
      </c>
      <c r="GO890">
        <v>1816.5</v>
      </c>
      <c r="GP890">
        <v>0</v>
      </c>
      <c r="GQ890">
        <v>0</v>
      </c>
      <c r="GR890">
        <v>0</v>
      </c>
      <c r="GS890">
        <v>0</v>
      </c>
      <c r="GT890">
        <v>0</v>
      </c>
      <c r="GU890">
        <v>0</v>
      </c>
      <c r="GV890">
        <v>0</v>
      </c>
      <c r="GW890">
        <v>0</v>
      </c>
      <c r="GX890">
        <v>0</v>
      </c>
      <c r="GY890">
        <v>840.3</v>
      </c>
      <c r="GZ890">
        <v>0</v>
      </c>
      <c r="HA890">
        <v>0</v>
      </c>
      <c r="HB890">
        <v>0</v>
      </c>
      <c r="HC890">
        <v>380.4</v>
      </c>
      <c r="HD890">
        <v>2175.5</v>
      </c>
      <c r="HE890">
        <v>0</v>
      </c>
      <c r="HF890">
        <v>0</v>
      </c>
      <c r="HG890">
        <v>0</v>
      </c>
      <c r="HH890">
        <v>0</v>
      </c>
      <c r="HI890">
        <v>0</v>
      </c>
      <c r="HJ890">
        <v>803.40000000000009</v>
      </c>
      <c r="HK890">
        <v>1270.9000000000001</v>
      </c>
      <c r="HL890">
        <v>835.7</v>
      </c>
      <c r="HM890">
        <v>1162.5999999999999</v>
      </c>
      <c r="HN890">
        <v>0</v>
      </c>
      <c r="HO890">
        <v>0</v>
      </c>
      <c r="HP890">
        <v>0</v>
      </c>
      <c r="HQ890">
        <v>0</v>
      </c>
      <c r="HR890">
        <v>161.19999999999999</v>
      </c>
      <c r="HS890">
        <v>0</v>
      </c>
      <c r="HT890">
        <v>2048.5</v>
      </c>
      <c r="HU890">
        <v>2627.5</v>
      </c>
      <c r="HV890">
        <v>1168.5999999999999</v>
      </c>
      <c r="HW890">
        <v>388</v>
      </c>
      <c r="HX890">
        <v>0</v>
      </c>
      <c r="HY890">
        <v>0</v>
      </c>
      <c r="HZ890">
        <v>0</v>
      </c>
      <c r="IA890">
        <v>0</v>
      </c>
      <c r="IB890">
        <v>0</v>
      </c>
      <c r="IC890">
        <v>594.4</v>
      </c>
      <c r="ID890">
        <v>427.4</v>
      </c>
      <c r="IE890">
        <v>713.3</v>
      </c>
      <c r="IF890">
        <v>626.1</v>
      </c>
      <c r="IG890">
        <v>0</v>
      </c>
      <c r="IH890">
        <v>0</v>
      </c>
      <c r="II890">
        <v>995.7</v>
      </c>
      <c r="IJ890">
        <v>1156.5999999999999</v>
      </c>
      <c r="IK890">
        <v>864.6</v>
      </c>
      <c r="IL890">
        <v>316.5</v>
      </c>
      <c r="IM890">
        <v>101.5</v>
      </c>
      <c r="IN890">
        <v>71.8</v>
      </c>
      <c r="IO890">
        <v>0</v>
      </c>
      <c r="IP890">
        <v>0</v>
      </c>
      <c r="IQ890">
        <v>0</v>
      </c>
      <c r="IR890">
        <v>0</v>
      </c>
      <c r="IS890">
        <v>0</v>
      </c>
      <c r="IT890">
        <v>0</v>
      </c>
      <c r="IU890">
        <v>0</v>
      </c>
      <c r="IV890">
        <v>0</v>
      </c>
      <c r="IW890">
        <v>68</v>
      </c>
      <c r="IX890">
        <v>404.7</v>
      </c>
      <c r="IY890">
        <v>126.6</v>
      </c>
      <c r="IZ890">
        <v>126.6</v>
      </c>
      <c r="JA890">
        <v>503.7</v>
      </c>
      <c r="JB890">
        <v>570.1</v>
      </c>
      <c r="JC890">
        <v>328.3</v>
      </c>
      <c r="JD890">
        <v>0</v>
      </c>
      <c r="JE890">
        <v>0</v>
      </c>
      <c r="JF890">
        <v>0</v>
      </c>
      <c r="JG890">
        <v>0</v>
      </c>
      <c r="JH890">
        <v>287.3</v>
      </c>
      <c r="JI890">
        <v>68.2</v>
      </c>
      <c r="JJ890">
        <v>0</v>
      </c>
      <c r="JK890">
        <v>148.6</v>
      </c>
      <c r="JL890">
        <v>0</v>
      </c>
      <c r="JM890">
        <v>0</v>
      </c>
      <c r="JN890">
        <v>204.5</v>
      </c>
      <c r="JO890">
        <v>292.10000000000002</v>
      </c>
      <c r="JP890">
        <v>670.8</v>
      </c>
      <c r="JQ890">
        <v>745.2</v>
      </c>
      <c r="JR890">
        <v>242.9</v>
      </c>
    </row>
    <row r="891" spans="2:278" ht="18" thickBot="1">
      <c r="B891" s="368" t="s">
        <v>1269</v>
      </c>
      <c r="C891" s="411" t="s">
        <v>1565</v>
      </c>
      <c r="D891" s="368" t="s">
        <v>1429</v>
      </c>
      <c r="E891" s="454">
        <v>22829.8</v>
      </c>
      <c r="F891">
        <v>20193.400000000001</v>
      </c>
      <c r="G891" s="427">
        <v>0</v>
      </c>
      <c r="H891" s="155">
        <v>0</v>
      </c>
      <c r="I891">
        <v>0</v>
      </c>
      <c r="J891">
        <v>0</v>
      </c>
      <c r="K891">
        <v>0</v>
      </c>
      <c r="L891" s="4">
        <v>0</v>
      </c>
      <c r="M891" s="4">
        <v>0</v>
      </c>
      <c r="N891" s="4">
        <v>0</v>
      </c>
      <c r="O891" s="4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1476.4</v>
      </c>
      <c r="X891">
        <v>1482</v>
      </c>
      <c r="Y891">
        <v>457.20000000000005</v>
      </c>
      <c r="Z891">
        <v>0</v>
      </c>
      <c r="AA891">
        <v>0</v>
      </c>
      <c r="AB891">
        <v>0</v>
      </c>
      <c r="AC891">
        <v>0</v>
      </c>
      <c r="AD891">
        <v>3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1828.6</v>
      </c>
      <c r="AK891">
        <v>1800.7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560.70000000000005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  <c r="CF891">
        <v>0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  <c r="CN891">
        <v>0</v>
      </c>
      <c r="CO891">
        <v>0</v>
      </c>
      <c r="CP891">
        <v>3.5</v>
      </c>
      <c r="CQ891">
        <v>0</v>
      </c>
      <c r="CR891">
        <v>528</v>
      </c>
      <c r="CS891">
        <v>581.79999999999995</v>
      </c>
      <c r="CT891">
        <v>555.40000000000009</v>
      </c>
      <c r="CU891">
        <v>737.4</v>
      </c>
      <c r="CV891">
        <v>1039.0999999999999</v>
      </c>
      <c r="CW891">
        <v>1667.3</v>
      </c>
      <c r="CX891">
        <v>877.6</v>
      </c>
      <c r="CY891">
        <v>910.40000000000009</v>
      </c>
      <c r="CZ891">
        <v>0</v>
      </c>
      <c r="DA891">
        <v>0</v>
      </c>
      <c r="DB891">
        <v>0</v>
      </c>
      <c r="DC891">
        <v>0</v>
      </c>
      <c r="DD891">
        <v>0</v>
      </c>
      <c r="DE891">
        <v>0</v>
      </c>
      <c r="DF891">
        <v>0</v>
      </c>
      <c r="DG891">
        <v>0</v>
      </c>
      <c r="DH891">
        <v>0</v>
      </c>
      <c r="DI891">
        <v>0</v>
      </c>
      <c r="DJ891">
        <v>0</v>
      </c>
      <c r="DK891">
        <v>0</v>
      </c>
      <c r="DL891">
        <v>995.5</v>
      </c>
      <c r="DM891">
        <v>712.7</v>
      </c>
      <c r="DN891">
        <v>0</v>
      </c>
      <c r="DO891">
        <v>0</v>
      </c>
      <c r="DP891">
        <v>0</v>
      </c>
      <c r="DQ891">
        <v>0</v>
      </c>
      <c r="DR891">
        <v>0</v>
      </c>
      <c r="DS891">
        <v>0</v>
      </c>
      <c r="DT891">
        <v>0</v>
      </c>
      <c r="DU891">
        <v>0</v>
      </c>
      <c r="DV891">
        <v>0</v>
      </c>
      <c r="DW891">
        <v>0</v>
      </c>
      <c r="DX891">
        <v>0</v>
      </c>
      <c r="DY891">
        <v>0</v>
      </c>
      <c r="DZ891">
        <v>0</v>
      </c>
      <c r="EA891">
        <v>0</v>
      </c>
      <c r="EB891">
        <v>0</v>
      </c>
      <c r="EC891">
        <v>0</v>
      </c>
      <c r="ED891">
        <v>0</v>
      </c>
      <c r="EE891">
        <v>0</v>
      </c>
      <c r="EF891">
        <v>0</v>
      </c>
      <c r="EG891">
        <v>0</v>
      </c>
      <c r="EH891">
        <v>0</v>
      </c>
      <c r="EI891">
        <v>0</v>
      </c>
      <c r="EJ891">
        <v>0</v>
      </c>
      <c r="EK891">
        <v>0</v>
      </c>
      <c r="EL891">
        <v>0</v>
      </c>
      <c r="EM891">
        <v>0</v>
      </c>
      <c r="EN891">
        <v>27.4</v>
      </c>
      <c r="EO891">
        <v>0</v>
      </c>
      <c r="EP891">
        <v>1002.5</v>
      </c>
      <c r="EQ891">
        <v>0</v>
      </c>
      <c r="ER891">
        <v>494</v>
      </c>
      <c r="ES891">
        <v>0</v>
      </c>
      <c r="ET891">
        <v>699.3</v>
      </c>
      <c r="EU891">
        <v>435.4</v>
      </c>
      <c r="EV891">
        <v>0</v>
      </c>
      <c r="EW891">
        <v>0</v>
      </c>
      <c r="EX891">
        <v>0</v>
      </c>
      <c r="EY891">
        <v>0</v>
      </c>
      <c r="EZ891">
        <v>0</v>
      </c>
      <c r="FA891">
        <v>0</v>
      </c>
      <c r="FB891">
        <v>0</v>
      </c>
      <c r="FC891">
        <v>0</v>
      </c>
      <c r="FD891">
        <v>95.6</v>
      </c>
      <c r="FE891">
        <v>1792.1</v>
      </c>
      <c r="FF891">
        <v>1740.1999999999998</v>
      </c>
      <c r="FG891">
        <v>954.9</v>
      </c>
      <c r="FH891">
        <v>1087.8000000000002</v>
      </c>
      <c r="FI891">
        <v>1892.1</v>
      </c>
      <c r="FJ891">
        <v>1222.5</v>
      </c>
      <c r="FK891">
        <v>678.3</v>
      </c>
      <c r="FL891">
        <v>639.1</v>
      </c>
      <c r="FM891">
        <v>520.5</v>
      </c>
      <c r="FN891">
        <v>123.8</v>
      </c>
      <c r="FO891">
        <v>181.6</v>
      </c>
      <c r="FP891">
        <v>1090.5</v>
      </c>
      <c r="FQ891">
        <v>0</v>
      </c>
      <c r="FR891">
        <v>0</v>
      </c>
      <c r="FS891">
        <v>0</v>
      </c>
      <c r="FT891">
        <v>0</v>
      </c>
      <c r="FU891">
        <v>0</v>
      </c>
      <c r="FV891">
        <v>0</v>
      </c>
      <c r="FW891">
        <v>0</v>
      </c>
      <c r="FX891">
        <v>0</v>
      </c>
      <c r="FY891">
        <v>0</v>
      </c>
      <c r="FZ891">
        <v>0</v>
      </c>
      <c r="GA891">
        <v>0</v>
      </c>
      <c r="GB891">
        <v>0</v>
      </c>
      <c r="GC891">
        <v>0</v>
      </c>
      <c r="GD891">
        <v>0</v>
      </c>
      <c r="GE891">
        <v>0</v>
      </c>
      <c r="GF891">
        <v>198.3</v>
      </c>
      <c r="GG891">
        <v>1054.4000000000001</v>
      </c>
      <c r="GH891">
        <v>552.79999999999995</v>
      </c>
      <c r="GI891">
        <v>522</v>
      </c>
      <c r="GJ891">
        <v>0</v>
      </c>
      <c r="GK891">
        <v>0</v>
      </c>
      <c r="GL891">
        <v>0</v>
      </c>
      <c r="GM891">
        <v>0</v>
      </c>
      <c r="GN891">
        <v>791.40000000000009</v>
      </c>
      <c r="GO891">
        <v>1816.5</v>
      </c>
      <c r="GP891">
        <v>0</v>
      </c>
      <c r="GQ891">
        <v>0</v>
      </c>
      <c r="GR891">
        <v>0</v>
      </c>
      <c r="GS891">
        <v>0</v>
      </c>
      <c r="GT891">
        <v>0</v>
      </c>
      <c r="GU891">
        <v>0</v>
      </c>
      <c r="GV891">
        <v>0</v>
      </c>
      <c r="GW891">
        <v>0</v>
      </c>
      <c r="GX891">
        <v>0</v>
      </c>
      <c r="GY891">
        <v>840.3</v>
      </c>
      <c r="GZ891">
        <v>0</v>
      </c>
      <c r="HA891">
        <v>0</v>
      </c>
      <c r="HB891">
        <v>0</v>
      </c>
      <c r="HC891">
        <v>380.4</v>
      </c>
      <c r="HD891">
        <v>2175.5</v>
      </c>
      <c r="HE891">
        <v>0</v>
      </c>
      <c r="HF891">
        <v>0</v>
      </c>
      <c r="HG891">
        <v>0</v>
      </c>
      <c r="HH891">
        <v>0</v>
      </c>
      <c r="HI891">
        <v>0</v>
      </c>
      <c r="HJ891">
        <v>803.40000000000009</v>
      </c>
      <c r="HK891">
        <v>1270.9000000000001</v>
      </c>
      <c r="HL891">
        <v>835.7</v>
      </c>
      <c r="HM891">
        <v>1162.5999999999999</v>
      </c>
      <c r="HN891">
        <v>0</v>
      </c>
      <c r="HO891">
        <v>0</v>
      </c>
      <c r="HP891">
        <v>0</v>
      </c>
      <c r="HQ891">
        <v>0</v>
      </c>
      <c r="HR891">
        <v>161.19999999999999</v>
      </c>
      <c r="HS891">
        <v>0</v>
      </c>
      <c r="HT891">
        <v>2048.5</v>
      </c>
      <c r="HU891">
        <v>2627.5</v>
      </c>
      <c r="HV891">
        <v>1168.5999999999999</v>
      </c>
      <c r="HW891">
        <v>388</v>
      </c>
      <c r="HX891">
        <v>0</v>
      </c>
      <c r="HY891">
        <v>0</v>
      </c>
      <c r="HZ891">
        <v>0</v>
      </c>
      <c r="IA891">
        <v>0</v>
      </c>
      <c r="IB891">
        <v>0</v>
      </c>
      <c r="IC891">
        <v>594.4</v>
      </c>
      <c r="ID891">
        <v>427.4</v>
      </c>
      <c r="IE891">
        <v>713.3</v>
      </c>
      <c r="IF891">
        <v>626.1</v>
      </c>
      <c r="IG891">
        <v>0</v>
      </c>
      <c r="IH891">
        <v>0</v>
      </c>
      <c r="II891">
        <v>995.7</v>
      </c>
      <c r="IJ891">
        <v>1156.5999999999999</v>
      </c>
      <c r="IK891">
        <v>864.6</v>
      </c>
      <c r="IL891">
        <v>316.5</v>
      </c>
      <c r="IM891">
        <v>101.5</v>
      </c>
      <c r="IN891">
        <v>71.8</v>
      </c>
      <c r="IO891">
        <v>0</v>
      </c>
      <c r="IP891">
        <v>0</v>
      </c>
      <c r="IQ891">
        <v>0</v>
      </c>
      <c r="IR891">
        <v>0</v>
      </c>
      <c r="IS891">
        <v>0</v>
      </c>
      <c r="IT891">
        <v>0</v>
      </c>
      <c r="IU891">
        <v>0</v>
      </c>
      <c r="IV891">
        <v>0</v>
      </c>
      <c r="IW891">
        <v>68</v>
      </c>
      <c r="IX891">
        <v>404.7</v>
      </c>
      <c r="IY891">
        <v>126.6</v>
      </c>
      <c r="IZ891">
        <v>126.6</v>
      </c>
      <c r="JA891">
        <v>503.7</v>
      </c>
      <c r="JB891">
        <v>570.1</v>
      </c>
      <c r="JC891">
        <v>328.3</v>
      </c>
      <c r="JD891">
        <v>0</v>
      </c>
      <c r="JE891">
        <v>0</v>
      </c>
      <c r="JF891">
        <v>0</v>
      </c>
      <c r="JG891">
        <v>0</v>
      </c>
      <c r="JH891">
        <v>287.3</v>
      </c>
      <c r="JI891">
        <v>68.2</v>
      </c>
      <c r="JJ891">
        <v>0</v>
      </c>
      <c r="JK891">
        <v>148.6</v>
      </c>
      <c r="JL891">
        <v>0</v>
      </c>
      <c r="JM891">
        <v>0</v>
      </c>
      <c r="JN891">
        <v>204.5</v>
      </c>
      <c r="JO891">
        <v>292.10000000000002</v>
      </c>
      <c r="JP891">
        <v>670.8</v>
      </c>
      <c r="JQ891">
        <v>745.2</v>
      </c>
      <c r="JR891">
        <v>242.9</v>
      </c>
    </row>
    <row r="892" spans="2:278" ht="18" thickBot="1">
      <c r="B892" s="368" t="s">
        <v>1270</v>
      </c>
      <c r="C892" s="411" t="s">
        <v>1566</v>
      </c>
      <c r="D892" s="368" t="s">
        <v>1430</v>
      </c>
      <c r="E892" s="454">
        <v>22829.8</v>
      </c>
      <c r="F892">
        <v>20193.400000000001</v>
      </c>
      <c r="G892" s="427">
        <v>0</v>
      </c>
      <c r="H892" s="155">
        <v>0</v>
      </c>
      <c r="I892">
        <v>0</v>
      </c>
      <c r="J892">
        <v>0</v>
      </c>
      <c r="K892">
        <v>0</v>
      </c>
      <c r="L892" s="4">
        <v>0</v>
      </c>
      <c r="M892" s="4">
        <v>0</v>
      </c>
      <c r="N892" s="4">
        <v>0</v>
      </c>
      <c r="O892" s="4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1476.4</v>
      </c>
      <c r="X892">
        <v>1482</v>
      </c>
      <c r="Y892">
        <v>457.20000000000005</v>
      </c>
      <c r="Z892">
        <v>0</v>
      </c>
      <c r="AA892">
        <v>0</v>
      </c>
      <c r="AB892">
        <v>0</v>
      </c>
      <c r="AC892">
        <v>0</v>
      </c>
      <c r="AD892">
        <v>3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1828.6</v>
      </c>
      <c r="AK892">
        <v>1800.7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560.70000000000005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  <c r="CF892">
        <v>0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  <c r="CN892">
        <v>0</v>
      </c>
      <c r="CO892">
        <v>0</v>
      </c>
      <c r="CP892">
        <v>3.5</v>
      </c>
      <c r="CQ892">
        <v>0</v>
      </c>
      <c r="CR892">
        <v>528</v>
      </c>
      <c r="CS892">
        <v>581.79999999999995</v>
      </c>
      <c r="CT892">
        <v>555.40000000000009</v>
      </c>
      <c r="CU892">
        <v>737.4</v>
      </c>
      <c r="CV892">
        <v>1039.0999999999999</v>
      </c>
      <c r="CW892">
        <v>1667.3</v>
      </c>
      <c r="CX892">
        <v>877.6</v>
      </c>
      <c r="CY892">
        <v>910.40000000000009</v>
      </c>
      <c r="CZ892">
        <v>0</v>
      </c>
      <c r="DA892">
        <v>0</v>
      </c>
      <c r="DB892">
        <v>0</v>
      </c>
      <c r="DC892">
        <v>0</v>
      </c>
      <c r="DD892">
        <v>0</v>
      </c>
      <c r="DE892">
        <v>0</v>
      </c>
      <c r="DF892">
        <v>0</v>
      </c>
      <c r="DG892">
        <v>0</v>
      </c>
      <c r="DH892">
        <v>0</v>
      </c>
      <c r="DI892">
        <v>0</v>
      </c>
      <c r="DJ892">
        <v>0</v>
      </c>
      <c r="DK892">
        <v>0</v>
      </c>
      <c r="DL892">
        <v>995.5</v>
      </c>
      <c r="DM892">
        <v>712.7</v>
      </c>
      <c r="DN892">
        <v>0</v>
      </c>
      <c r="DO892">
        <v>0</v>
      </c>
      <c r="DP892">
        <v>0</v>
      </c>
      <c r="DQ892">
        <v>0</v>
      </c>
      <c r="DR892">
        <v>0</v>
      </c>
      <c r="DS892">
        <v>0</v>
      </c>
      <c r="DT892">
        <v>0</v>
      </c>
      <c r="DU892">
        <v>0</v>
      </c>
      <c r="DV892">
        <v>0</v>
      </c>
      <c r="DW892">
        <v>0</v>
      </c>
      <c r="DX892">
        <v>0</v>
      </c>
      <c r="DY892">
        <v>0</v>
      </c>
      <c r="DZ892">
        <v>0</v>
      </c>
      <c r="EA892">
        <v>0</v>
      </c>
      <c r="EB892">
        <v>0</v>
      </c>
      <c r="EC892">
        <v>0</v>
      </c>
      <c r="ED892">
        <v>0</v>
      </c>
      <c r="EE892">
        <v>0</v>
      </c>
      <c r="EF892">
        <v>0</v>
      </c>
      <c r="EG892">
        <v>0</v>
      </c>
      <c r="EH892">
        <v>0</v>
      </c>
      <c r="EI892">
        <v>0</v>
      </c>
      <c r="EJ892">
        <v>0</v>
      </c>
      <c r="EK892">
        <v>0</v>
      </c>
      <c r="EL892">
        <v>0</v>
      </c>
      <c r="EM892">
        <v>0</v>
      </c>
      <c r="EN892">
        <v>27.4</v>
      </c>
      <c r="EO892">
        <v>0</v>
      </c>
      <c r="EP892">
        <v>1002.5</v>
      </c>
      <c r="EQ892">
        <v>0</v>
      </c>
      <c r="ER892">
        <v>494</v>
      </c>
      <c r="ES892">
        <v>0</v>
      </c>
      <c r="ET892">
        <v>699.3</v>
      </c>
      <c r="EU892">
        <v>435.4</v>
      </c>
      <c r="EV892">
        <v>0</v>
      </c>
      <c r="EW892">
        <v>0</v>
      </c>
      <c r="EX892">
        <v>0</v>
      </c>
      <c r="EY892">
        <v>0</v>
      </c>
      <c r="EZ892">
        <v>0</v>
      </c>
      <c r="FA892">
        <v>0</v>
      </c>
      <c r="FB892">
        <v>0</v>
      </c>
      <c r="FC892">
        <v>0</v>
      </c>
      <c r="FD892">
        <v>95.6</v>
      </c>
      <c r="FE892">
        <v>1792.1</v>
      </c>
      <c r="FF892">
        <v>1740.1999999999998</v>
      </c>
      <c r="FG892">
        <v>954.9</v>
      </c>
      <c r="FH892">
        <v>1087.8000000000002</v>
      </c>
      <c r="FI892">
        <v>1892.1</v>
      </c>
      <c r="FJ892">
        <v>1222.5</v>
      </c>
      <c r="FK892">
        <v>678.3</v>
      </c>
      <c r="FL892">
        <v>639.1</v>
      </c>
      <c r="FM892">
        <v>520.5</v>
      </c>
      <c r="FN892">
        <v>123.8</v>
      </c>
      <c r="FO892">
        <v>181.6</v>
      </c>
      <c r="FP892">
        <v>1090.5</v>
      </c>
      <c r="FQ892">
        <v>0</v>
      </c>
      <c r="FR892">
        <v>0</v>
      </c>
      <c r="FS892">
        <v>0</v>
      </c>
      <c r="FT892">
        <v>0</v>
      </c>
      <c r="FU892">
        <v>0</v>
      </c>
      <c r="FV892">
        <v>0</v>
      </c>
      <c r="FW892">
        <v>0</v>
      </c>
      <c r="FX892">
        <v>0</v>
      </c>
      <c r="FY892">
        <v>0</v>
      </c>
      <c r="FZ892">
        <v>0</v>
      </c>
      <c r="GA892">
        <v>0</v>
      </c>
      <c r="GB892">
        <v>0</v>
      </c>
      <c r="GC892">
        <v>0</v>
      </c>
      <c r="GD892">
        <v>0</v>
      </c>
      <c r="GE892">
        <v>0</v>
      </c>
      <c r="GF892">
        <v>198.3</v>
      </c>
      <c r="GG892">
        <v>1054.4000000000001</v>
      </c>
      <c r="GH892">
        <v>552.79999999999995</v>
      </c>
      <c r="GI892">
        <v>522</v>
      </c>
      <c r="GJ892">
        <v>0</v>
      </c>
      <c r="GK892">
        <v>0</v>
      </c>
      <c r="GL892">
        <v>0</v>
      </c>
      <c r="GM892">
        <v>0</v>
      </c>
      <c r="GN892">
        <v>791.40000000000009</v>
      </c>
      <c r="GO892">
        <v>1816.5</v>
      </c>
      <c r="GP892">
        <v>0</v>
      </c>
      <c r="GQ892">
        <v>0</v>
      </c>
      <c r="GR892">
        <v>0</v>
      </c>
      <c r="GS892">
        <v>0</v>
      </c>
      <c r="GT892">
        <v>0</v>
      </c>
      <c r="GU892">
        <v>0</v>
      </c>
      <c r="GV892">
        <v>0</v>
      </c>
      <c r="GW892">
        <v>0</v>
      </c>
      <c r="GX892">
        <v>0</v>
      </c>
      <c r="GY892">
        <v>840.3</v>
      </c>
      <c r="GZ892">
        <v>0</v>
      </c>
      <c r="HA892">
        <v>0</v>
      </c>
      <c r="HB892">
        <v>0</v>
      </c>
      <c r="HC892">
        <v>380.4</v>
      </c>
      <c r="HD892">
        <v>2175.5</v>
      </c>
      <c r="HE892">
        <v>0</v>
      </c>
      <c r="HF892">
        <v>0</v>
      </c>
      <c r="HG892">
        <v>0</v>
      </c>
      <c r="HH892">
        <v>0</v>
      </c>
      <c r="HI892">
        <v>0</v>
      </c>
      <c r="HJ892">
        <v>803.40000000000009</v>
      </c>
      <c r="HK892">
        <v>1270.9000000000001</v>
      </c>
      <c r="HL892">
        <v>835.7</v>
      </c>
      <c r="HM892">
        <v>1162.5999999999999</v>
      </c>
      <c r="HN892">
        <v>0</v>
      </c>
      <c r="HO892">
        <v>0</v>
      </c>
      <c r="HP892">
        <v>0</v>
      </c>
      <c r="HQ892">
        <v>0</v>
      </c>
      <c r="HR892">
        <v>161.19999999999999</v>
      </c>
      <c r="HS892">
        <v>0</v>
      </c>
      <c r="HT892">
        <v>2048.5</v>
      </c>
      <c r="HU892">
        <v>2627.5</v>
      </c>
      <c r="HV892">
        <v>1168.5999999999999</v>
      </c>
      <c r="HW892">
        <v>388</v>
      </c>
      <c r="HX892">
        <v>0</v>
      </c>
      <c r="HY892">
        <v>0</v>
      </c>
      <c r="HZ892">
        <v>0</v>
      </c>
      <c r="IA892">
        <v>0</v>
      </c>
      <c r="IB892">
        <v>0</v>
      </c>
      <c r="IC892">
        <v>594.4</v>
      </c>
      <c r="ID892">
        <v>427.4</v>
      </c>
      <c r="IE892">
        <v>713.3</v>
      </c>
      <c r="IF892">
        <v>626.1</v>
      </c>
      <c r="IG892">
        <v>0</v>
      </c>
      <c r="IH892">
        <v>0</v>
      </c>
      <c r="II892">
        <v>995.7</v>
      </c>
      <c r="IJ892">
        <v>1156.5999999999999</v>
      </c>
      <c r="IK892">
        <v>864.6</v>
      </c>
      <c r="IL892">
        <v>316.5</v>
      </c>
      <c r="IM892">
        <v>101.5</v>
      </c>
      <c r="IN892">
        <v>71.8</v>
      </c>
      <c r="IO892">
        <v>0</v>
      </c>
      <c r="IP892">
        <v>0</v>
      </c>
      <c r="IQ892">
        <v>0</v>
      </c>
      <c r="IR892">
        <v>0</v>
      </c>
      <c r="IS892">
        <v>0</v>
      </c>
      <c r="IT892">
        <v>0</v>
      </c>
      <c r="IU892">
        <v>0</v>
      </c>
      <c r="IV892">
        <v>0</v>
      </c>
      <c r="IW892">
        <v>68</v>
      </c>
      <c r="IX892">
        <v>404.7</v>
      </c>
      <c r="IY892">
        <v>126.6</v>
      </c>
      <c r="IZ892">
        <v>126.6</v>
      </c>
      <c r="JA892">
        <v>503.7</v>
      </c>
      <c r="JB892">
        <v>570.1</v>
      </c>
      <c r="JC892">
        <v>328.3</v>
      </c>
      <c r="JD892">
        <v>0</v>
      </c>
      <c r="JE892">
        <v>0</v>
      </c>
      <c r="JF892">
        <v>0</v>
      </c>
      <c r="JG892">
        <v>0</v>
      </c>
      <c r="JH892">
        <v>287.3</v>
      </c>
      <c r="JI892">
        <v>68.2</v>
      </c>
      <c r="JJ892">
        <v>0</v>
      </c>
      <c r="JK892">
        <v>148.6</v>
      </c>
      <c r="JL892">
        <v>0</v>
      </c>
      <c r="JM892">
        <v>0</v>
      </c>
      <c r="JN892">
        <v>204.5</v>
      </c>
      <c r="JO892">
        <v>292.10000000000002</v>
      </c>
      <c r="JP892">
        <v>670.8</v>
      </c>
      <c r="JQ892">
        <v>745.2</v>
      </c>
      <c r="JR892">
        <v>242.9</v>
      </c>
    </row>
    <row r="893" spans="2:278" ht="18" thickBot="1">
      <c r="B893" s="368" t="s">
        <v>1271</v>
      </c>
      <c r="C893" s="411" t="s">
        <v>1567</v>
      </c>
      <c r="D893" s="368" t="s">
        <v>1431</v>
      </c>
      <c r="E893" s="454">
        <v>22829.8</v>
      </c>
      <c r="F893">
        <v>20193.400000000001</v>
      </c>
      <c r="G893" s="427">
        <v>0</v>
      </c>
      <c r="H893" s="155">
        <v>0</v>
      </c>
      <c r="I893">
        <v>0</v>
      </c>
      <c r="J893">
        <v>0</v>
      </c>
      <c r="K893">
        <v>0</v>
      </c>
      <c r="L893" s="4">
        <v>0</v>
      </c>
      <c r="M893" s="4">
        <v>0</v>
      </c>
      <c r="N893" s="4">
        <v>0</v>
      </c>
      <c r="O893" s="4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1476.4</v>
      </c>
      <c r="X893">
        <v>1482</v>
      </c>
      <c r="Y893">
        <v>457.20000000000005</v>
      </c>
      <c r="Z893">
        <v>0</v>
      </c>
      <c r="AA893">
        <v>0</v>
      </c>
      <c r="AB893">
        <v>0</v>
      </c>
      <c r="AC893">
        <v>0</v>
      </c>
      <c r="AD893">
        <v>3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1828.6</v>
      </c>
      <c r="AK893">
        <v>1800.7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560.70000000000005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0</v>
      </c>
      <c r="BN893">
        <v>0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  <c r="CF893">
        <v>0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  <c r="CN893">
        <v>0</v>
      </c>
      <c r="CO893">
        <v>0</v>
      </c>
      <c r="CP893">
        <v>3.5</v>
      </c>
      <c r="CQ893">
        <v>0</v>
      </c>
      <c r="CR893">
        <v>528</v>
      </c>
      <c r="CS893">
        <v>581.79999999999995</v>
      </c>
      <c r="CT893">
        <v>555.40000000000009</v>
      </c>
      <c r="CU893">
        <v>737.4</v>
      </c>
      <c r="CV893">
        <v>1039.0999999999999</v>
      </c>
      <c r="CW893">
        <v>1667.3</v>
      </c>
      <c r="CX893">
        <v>877.6</v>
      </c>
      <c r="CY893">
        <v>910.40000000000009</v>
      </c>
      <c r="CZ893">
        <v>0</v>
      </c>
      <c r="DA893">
        <v>0</v>
      </c>
      <c r="DB893">
        <v>0</v>
      </c>
      <c r="DC893">
        <v>0</v>
      </c>
      <c r="DD893">
        <v>0</v>
      </c>
      <c r="DE893">
        <v>0</v>
      </c>
      <c r="DF893">
        <v>0</v>
      </c>
      <c r="DG893">
        <v>0</v>
      </c>
      <c r="DH893">
        <v>0</v>
      </c>
      <c r="DI893">
        <v>0</v>
      </c>
      <c r="DJ893">
        <v>0</v>
      </c>
      <c r="DK893">
        <v>0</v>
      </c>
      <c r="DL893">
        <v>995.5</v>
      </c>
      <c r="DM893">
        <v>712.7</v>
      </c>
      <c r="DN893">
        <v>0</v>
      </c>
      <c r="DO893">
        <v>0</v>
      </c>
      <c r="DP893">
        <v>0</v>
      </c>
      <c r="DQ893">
        <v>0</v>
      </c>
      <c r="DR893">
        <v>0</v>
      </c>
      <c r="DS893">
        <v>0</v>
      </c>
      <c r="DT893">
        <v>0</v>
      </c>
      <c r="DU893">
        <v>0</v>
      </c>
      <c r="DV893">
        <v>0</v>
      </c>
      <c r="DW893">
        <v>0</v>
      </c>
      <c r="DX893">
        <v>0</v>
      </c>
      <c r="DY893">
        <v>0</v>
      </c>
      <c r="DZ893">
        <v>0</v>
      </c>
      <c r="EA893">
        <v>0</v>
      </c>
      <c r="EB893">
        <v>0</v>
      </c>
      <c r="EC893">
        <v>0</v>
      </c>
      <c r="ED893">
        <v>0</v>
      </c>
      <c r="EE893">
        <v>0</v>
      </c>
      <c r="EF893">
        <v>0</v>
      </c>
      <c r="EG893">
        <v>0</v>
      </c>
      <c r="EH893">
        <v>0</v>
      </c>
      <c r="EI893">
        <v>0</v>
      </c>
      <c r="EJ893">
        <v>0</v>
      </c>
      <c r="EK893">
        <v>0</v>
      </c>
      <c r="EL893">
        <v>0</v>
      </c>
      <c r="EM893">
        <v>0</v>
      </c>
      <c r="EN893">
        <v>27.4</v>
      </c>
      <c r="EO893">
        <v>0</v>
      </c>
      <c r="EP893">
        <v>1002.5</v>
      </c>
      <c r="EQ893">
        <v>0</v>
      </c>
      <c r="ER893">
        <v>494</v>
      </c>
      <c r="ES893">
        <v>0</v>
      </c>
      <c r="ET893">
        <v>699.3</v>
      </c>
      <c r="EU893">
        <v>435.4</v>
      </c>
      <c r="EV893">
        <v>0</v>
      </c>
      <c r="EW893">
        <v>0</v>
      </c>
      <c r="EX893">
        <v>0</v>
      </c>
      <c r="EY893">
        <v>0</v>
      </c>
      <c r="EZ893">
        <v>0</v>
      </c>
      <c r="FA893">
        <v>0</v>
      </c>
      <c r="FB893">
        <v>0</v>
      </c>
      <c r="FC893">
        <v>0</v>
      </c>
      <c r="FD893">
        <v>95.6</v>
      </c>
      <c r="FE893">
        <v>1792.1</v>
      </c>
      <c r="FF893">
        <v>1740.1999999999998</v>
      </c>
      <c r="FG893">
        <v>954.9</v>
      </c>
      <c r="FH893">
        <v>1087.8000000000002</v>
      </c>
      <c r="FI893">
        <v>1892.1</v>
      </c>
      <c r="FJ893">
        <v>1222.5</v>
      </c>
      <c r="FK893">
        <v>678.3</v>
      </c>
      <c r="FL893">
        <v>639.1</v>
      </c>
      <c r="FM893">
        <v>520.5</v>
      </c>
      <c r="FN893">
        <v>123.8</v>
      </c>
      <c r="FO893">
        <v>181.6</v>
      </c>
      <c r="FP893">
        <v>1090.5</v>
      </c>
      <c r="FQ893">
        <v>0</v>
      </c>
      <c r="FR893">
        <v>0</v>
      </c>
      <c r="FS893">
        <v>0</v>
      </c>
      <c r="FT893">
        <v>0</v>
      </c>
      <c r="FU893">
        <v>0</v>
      </c>
      <c r="FV893">
        <v>0</v>
      </c>
      <c r="FW893">
        <v>0</v>
      </c>
      <c r="FX893">
        <v>0</v>
      </c>
      <c r="FY893">
        <v>0</v>
      </c>
      <c r="FZ893">
        <v>0</v>
      </c>
      <c r="GA893">
        <v>0</v>
      </c>
      <c r="GB893">
        <v>0</v>
      </c>
      <c r="GC893">
        <v>0</v>
      </c>
      <c r="GD893">
        <v>0</v>
      </c>
      <c r="GE893">
        <v>0</v>
      </c>
      <c r="GF893">
        <v>198.3</v>
      </c>
      <c r="GG893">
        <v>1054.4000000000001</v>
      </c>
      <c r="GH893">
        <v>552.79999999999995</v>
      </c>
      <c r="GI893">
        <v>522</v>
      </c>
      <c r="GJ893">
        <v>0</v>
      </c>
      <c r="GK893">
        <v>0</v>
      </c>
      <c r="GL893">
        <v>0</v>
      </c>
      <c r="GM893">
        <v>0</v>
      </c>
      <c r="GN893">
        <v>791.40000000000009</v>
      </c>
      <c r="GO893">
        <v>1816.5</v>
      </c>
      <c r="GP893">
        <v>0</v>
      </c>
      <c r="GQ893">
        <v>0</v>
      </c>
      <c r="GR893">
        <v>0</v>
      </c>
      <c r="GS893">
        <v>0</v>
      </c>
      <c r="GT893">
        <v>0</v>
      </c>
      <c r="GU893">
        <v>0</v>
      </c>
      <c r="GV893">
        <v>0</v>
      </c>
      <c r="GW893">
        <v>0</v>
      </c>
      <c r="GX893">
        <v>0</v>
      </c>
      <c r="GY893">
        <v>840.3</v>
      </c>
      <c r="GZ893">
        <v>0</v>
      </c>
      <c r="HA893">
        <v>0</v>
      </c>
      <c r="HB893">
        <v>0</v>
      </c>
      <c r="HC893">
        <v>380.4</v>
      </c>
      <c r="HD893">
        <v>2175.5</v>
      </c>
      <c r="HE893">
        <v>0</v>
      </c>
      <c r="HF893">
        <v>0</v>
      </c>
      <c r="HG893">
        <v>0</v>
      </c>
      <c r="HH893">
        <v>0</v>
      </c>
      <c r="HI893">
        <v>0</v>
      </c>
      <c r="HJ893">
        <v>803.40000000000009</v>
      </c>
      <c r="HK893">
        <v>1270.9000000000001</v>
      </c>
      <c r="HL893">
        <v>835.7</v>
      </c>
      <c r="HM893">
        <v>1162.5999999999999</v>
      </c>
      <c r="HN893">
        <v>0</v>
      </c>
      <c r="HO893">
        <v>0</v>
      </c>
      <c r="HP893">
        <v>0</v>
      </c>
      <c r="HQ893">
        <v>0</v>
      </c>
      <c r="HR893">
        <v>161.19999999999999</v>
      </c>
      <c r="HS893">
        <v>0</v>
      </c>
      <c r="HT893">
        <v>2048.5</v>
      </c>
      <c r="HU893">
        <v>2627.5</v>
      </c>
      <c r="HV893">
        <v>1168.5999999999999</v>
      </c>
      <c r="HW893">
        <v>388</v>
      </c>
      <c r="HX893">
        <v>0</v>
      </c>
      <c r="HY893">
        <v>0</v>
      </c>
      <c r="HZ893">
        <v>0</v>
      </c>
      <c r="IA893">
        <v>0</v>
      </c>
      <c r="IB893">
        <v>0</v>
      </c>
      <c r="IC893">
        <v>594.4</v>
      </c>
      <c r="ID893">
        <v>427.4</v>
      </c>
      <c r="IE893">
        <v>713.3</v>
      </c>
      <c r="IF893">
        <v>626.1</v>
      </c>
      <c r="IG893">
        <v>0</v>
      </c>
      <c r="IH893">
        <v>0</v>
      </c>
      <c r="II893">
        <v>995.7</v>
      </c>
      <c r="IJ893">
        <v>1156.5999999999999</v>
      </c>
      <c r="IK893">
        <v>864.6</v>
      </c>
      <c r="IL893">
        <v>316.5</v>
      </c>
      <c r="IM893">
        <v>101.5</v>
      </c>
      <c r="IN893">
        <v>71.8</v>
      </c>
      <c r="IO893">
        <v>0</v>
      </c>
      <c r="IP893">
        <v>0</v>
      </c>
      <c r="IQ893">
        <v>0</v>
      </c>
      <c r="IR893">
        <v>0</v>
      </c>
      <c r="IS893">
        <v>0</v>
      </c>
      <c r="IT893">
        <v>0</v>
      </c>
      <c r="IU893">
        <v>0</v>
      </c>
      <c r="IV893">
        <v>0</v>
      </c>
      <c r="IW893">
        <v>68</v>
      </c>
      <c r="IX893">
        <v>404.7</v>
      </c>
      <c r="IY893">
        <v>126.6</v>
      </c>
      <c r="IZ893">
        <v>126.6</v>
      </c>
      <c r="JA893">
        <v>503.7</v>
      </c>
      <c r="JB893">
        <v>570.1</v>
      </c>
      <c r="JC893">
        <v>328.3</v>
      </c>
      <c r="JD893">
        <v>0</v>
      </c>
      <c r="JE893">
        <v>0</v>
      </c>
      <c r="JF893">
        <v>0</v>
      </c>
      <c r="JG893">
        <v>0</v>
      </c>
      <c r="JH893">
        <v>287.3</v>
      </c>
      <c r="JI893">
        <v>68.2</v>
      </c>
      <c r="JJ893">
        <v>0</v>
      </c>
      <c r="JK893">
        <v>148.6</v>
      </c>
      <c r="JL893">
        <v>0</v>
      </c>
      <c r="JM893">
        <v>0</v>
      </c>
      <c r="JN893">
        <v>204.5</v>
      </c>
      <c r="JO893">
        <v>292.10000000000002</v>
      </c>
      <c r="JP893">
        <v>670.8</v>
      </c>
      <c r="JQ893">
        <v>745.2</v>
      </c>
      <c r="JR893">
        <v>242.9</v>
      </c>
    </row>
    <row r="894" spans="2:278" ht="18" thickBot="1">
      <c r="B894" s="368" t="s">
        <v>1272</v>
      </c>
      <c r="C894" s="411" t="s">
        <v>1568</v>
      </c>
      <c r="D894" s="368" t="s">
        <v>1432</v>
      </c>
      <c r="E894" s="454">
        <v>22829.8</v>
      </c>
      <c r="F894">
        <v>20193.400000000001</v>
      </c>
      <c r="G894" s="427">
        <v>0</v>
      </c>
      <c r="H894" s="155">
        <v>0</v>
      </c>
      <c r="I894">
        <v>0</v>
      </c>
      <c r="J894">
        <v>0</v>
      </c>
      <c r="K894">
        <v>0</v>
      </c>
      <c r="L894" s="4">
        <v>0</v>
      </c>
      <c r="M894" s="4">
        <v>0</v>
      </c>
      <c r="N894" s="4">
        <v>0</v>
      </c>
      <c r="O894" s="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1476.4</v>
      </c>
      <c r="X894">
        <v>1482</v>
      </c>
      <c r="Y894">
        <v>457.20000000000005</v>
      </c>
      <c r="Z894">
        <v>0</v>
      </c>
      <c r="AA894">
        <v>0</v>
      </c>
      <c r="AB894">
        <v>0</v>
      </c>
      <c r="AC894">
        <v>0</v>
      </c>
      <c r="AD894">
        <v>3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1828.6</v>
      </c>
      <c r="AK894">
        <v>1800.7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560.70000000000005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0</v>
      </c>
      <c r="BN894">
        <v>0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  <c r="CF894">
        <v>0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  <c r="CN894">
        <v>0</v>
      </c>
      <c r="CO894">
        <v>0</v>
      </c>
      <c r="CP894">
        <v>3.5</v>
      </c>
      <c r="CQ894">
        <v>0</v>
      </c>
      <c r="CR894">
        <v>528</v>
      </c>
      <c r="CS894">
        <v>581.79999999999995</v>
      </c>
      <c r="CT894">
        <v>555.40000000000009</v>
      </c>
      <c r="CU894">
        <v>737.4</v>
      </c>
      <c r="CV894">
        <v>1039.0999999999999</v>
      </c>
      <c r="CW894">
        <v>1667.3</v>
      </c>
      <c r="CX894">
        <v>877.6</v>
      </c>
      <c r="CY894">
        <v>910.40000000000009</v>
      </c>
      <c r="CZ894">
        <v>0</v>
      </c>
      <c r="DA894">
        <v>0</v>
      </c>
      <c r="DB894">
        <v>0</v>
      </c>
      <c r="DC894">
        <v>0</v>
      </c>
      <c r="DD894">
        <v>0</v>
      </c>
      <c r="DE894">
        <v>0</v>
      </c>
      <c r="DF894">
        <v>0</v>
      </c>
      <c r="DG894">
        <v>0</v>
      </c>
      <c r="DH894">
        <v>0</v>
      </c>
      <c r="DI894">
        <v>0</v>
      </c>
      <c r="DJ894">
        <v>0</v>
      </c>
      <c r="DK894">
        <v>0</v>
      </c>
      <c r="DL894">
        <v>995.5</v>
      </c>
      <c r="DM894">
        <v>712.7</v>
      </c>
      <c r="DN894">
        <v>0</v>
      </c>
      <c r="DO894">
        <v>0</v>
      </c>
      <c r="DP894">
        <v>0</v>
      </c>
      <c r="DQ894">
        <v>0</v>
      </c>
      <c r="DR894">
        <v>0</v>
      </c>
      <c r="DS894">
        <v>0</v>
      </c>
      <c r="DT894">
        <v>0</v>
      </c>
      <c r="DU894">
        <v>0</v>
      </c>
      <c r="DV894">
        <v>0</v>
      </c>
      <c r="DW894">
        <v>0</v>
      </c>
      <c r="DX894">
        <v>0</v>
      </c>
      <c r="DY894">
        <v>0</v>
      </c>
      <c r="DZ894">
        <v>0</v>
      </c>
      <c r="EA894">
        <v>0</v>
      </c>
      <c r="EB894">
        <v>0</v>
      </c>
      <c r="EC894">
        <v>0</v>
      </c>
      <c r="ED894">
        <v>0</v>
      </c>
      <c r="EE894">
        <v>0</v>
      </c>
      <c r="EF894">
        <v>0</v>
      </c>
      <c r="EG894">
        <v>0</v>
      </c>
      <c r="EH894">
        <v>0</v>
      </c>
      <c r="EI894">
        <v>0</v>
      </c>
      <c r="EJ894">
        <v>0</v>
      </c>
      <c r="EK894">
        <v>0</v>
      </c>
      <c r="EL894">
        <v>0</v>
      </c>
      <c r="EM894">
        <v>0</v>
      </c>
      <c r="EN894">
        <v>27.4</v>
      </c>
      <c r="EO894">
        <v>0</v>
      </c>
      <c r="EP894">
        <v>1002.5</v>
      </c>
      <c r="EQ894">
        <v>0</v>
      </c>
      <c r="ER894">
        <v>494</v>
      </c>
      <c r="ES894">
        <v>0</v>
      </c>
      <c r="ET894">
        <v>699.3</v>
      </c>
      <c r="EU894">
        <v>435.4</v>
      </c>
      <c r="EV894">
        <v>0</v>
      </c>
      <c r="EW894">
        <v>0</v>
      </c>
      <c r="EX894">
        <v>0</v>
      </c>
      <c r="EY894">
        <v>0</v>
      </c>
      <c r="EZ894">
        <v>0</v>
      </c>
      <c r="FA894">
        <v>0</v>
      </c>
      <c r="FB894">
        <v>0</v>
      </c>
      <c r="FC894">
        <v>0</v>
      </c>
      <c r="FD894">
        <v>95.6</v>
      </c>
      <c r="FE894">
        <v>1792.1</v>
      </c>
      <c r="FF894">
        <v>1740.1999999999998</v>
      </c>
      <c r="FG894">
        <v>954.9</v>
      </c>
      <c r="FH894">
        <v>1087.8000000000002</v>
      </c>
      <c r="FI894">
        <v>1892.1</v>
      </c>
      <c r="FJ894">
        <v>1222.5</v>
      </c>
      <c r="FK894">
        <v>678.3</v>
      </c>
      <c r="FL894">
        <v>639.1</v>
      </c>
      <c r="FM894">
        <v>520.5</v>
      </c>
      <c r="FN894">
        <v>123.8</v>
      </c>
      <c r="FO894">
        <v>181.6</v>
      </c>
      <c r="FP894">
        <v>1090.5</v>
      </c>
      <c r="FQ894">
        <v>0</v>
      </c>
      <c r="FR894">
        <v>0</v>
      </c>
      <c r="FS894">
        <v>0</v>
      </c>
      <c r="FT894">
        <v>0</v>
      </c>
      <c r="FU894">
        <v>0</v>
      </c>
      <c r="FV894">
        <v>0</v>
      </c>
      <c r="FW894">
        <v>0</v>
      </c>
      <c r="FX894">
        <v>0</v>
      </c>
      <c r="FY894">
        <v>0</v>
      </c>
      <c r="FZ894">
        <v>0</v>
      </c>
      <c r="GA894">
        <v>0</v>
      </c>
      <c r="GB894">
        <v>0</v>
      </c>
      <c r="GC894">
        <v>0</v>
      </c>
      <c r="GD894">
        <v>0</v>
      </c>
      <c r="GE894">
        <v>0</v>
      </c>
      <c r="GF894">
        <v>198.3</v>
      </c>
      <c r="GG894">
        <v>1054.4000000000001</v>
      </c>
      <c r="GH894">
        <v>552.79999999999995</v>
      </c>
      <c r="GI894">
        <v>522</v>
      </c>
      <c r="GJ894">
        <v>0</v>
      </c>
      <c r="GK894">
        <v>0</v>
      </c>
      <c r="GL894">
        <v>0</v>
      </c>
      <c r="GM894">
        <v>0</v>
      </c>
      <c r="GN894">
        <v>791.40000000000009</v>
      </c>
      <c r="GO894">
        <v>1816.5</v>
      </c>
      <c r="GP894">
        <v>0</v>
      </c>
      <c r="GQ894">
        <v>0</v>
      </c>
      <c r="GR894">
        <v>0</v>
      </c>
      <c r="GS894">
        <v>0</v>
      </c>
      <c r="GT894">
        <v>0</v>
      </c>
      <c r="GU894">
        <v>0</v>
      </c>
      <c r="GV894">
        <v>0</v>
      </c>
      <c r="GW894">
        <v>0</v>
      </c>
      <c r="GX894">
        <v>0</v>
      </c>
      <c r="GY894">
        <v>840.3</v>
      </c>
      <c r="GZ894">
        <v>0</v>
      </c>
      <c r="HA894">
        <v>0</v>
      </c>
      <c r="HB894">
        <v>0</v>
      </c>
      <c r="HC894">
        <v>380.4</v>
      </c>
      <c r="HD894">
        <v>2175.5</v>
      </c>
      <c r="HE894">
        <v>0</v>
      </c>
      <c r="HF894">
        <v>0</v>
      </c>
      <c r="HG894">
        <v>0</v>
      </c>
      <c r="HH894">
        <v>0</v>
      </c>
      <c r="HI894">
        <v>0</v>
      </c>
      <c r="HJ894">
        <v>803.40000000000009</v>
      </c>
      <c r="HK894">
        <v>1270.9000000000001</v>
      </c>
      <c r="HL894">
        <v>835.7</v>
      </c>
      <c r="HM894">
        <v>1162.5999999999999</v>
      </c>
      <c r="HN894">
        <v>0</v>
      </c>
      <c r="HO894">
        <v>0</v>
      </c>
      <c r="HP894">
        <v>0</v>
      </c>
      <c r="HQ894">
        <v>0</v>
      </c>
      <c r="HR894">
        <v>161.19999999999999</v>
      </c>
      <c r="HS894">
        <v>0</v>
      </c>
      <c r="HT894">
        <v>2048.5</v>
      </c>
      <c r="HU894">
        <v>2627.5</v>
      </c>
      <c r="HV894">
        <v>1168.5999999999999</v>
      </c>
      <c r="HW894">
        <v>388</v>
      </c>
      <c r="HX894">
        <v>0</v>
      </c>
      <c r="HY894">
        <v>0</v>
      </c>
      <c r="HZ894">
        <v>0</v>
      </c>
      <c r="IA894">
        <v>0</v>
      </c>
      <c r="IB894">
        <v>0</v>
      </c>
      <c r="IC894">
        <v>594.4</v>
      </c>
      <c r="ID894">
        <v>427.4</v>
      </c>
      <c r="IE894">
        <v>713.3</v>
      </c>
      <c r="IF894">
        <v>626.1</v>
      </c>
      <c r="IG894">
        <v>0</v>
      </c>
      <c r="IH894">
        <v>0</v>
      </c>
      <c r="II894">
        <v>995.7</v>
      </c>
      <c r="IJ894">
        <v>1156.5999999999999</v>
      </c>
      <c r="IK894">
        <v>864.6</v>
      </c>
      <c r="IL894">
        <v>316.5</v>
      </c>
      <c r="IM894">
        <v>101.5</v>
      </c>
      <c r="IN894">
        <v>71.8</v>
      </c>
      <c r="IO894">
        <v>0</v>
      </c>
      <c r="IP894">
        <v>0</v>
      </c>
      <c r="IQ894">
        <v>0</v>
      </c>
      <c r="IR894">
        <v>0</v>
      </c>
      <c r="IS894">
        <v>0</v>
      </c>
      <c r="IT894">
        <v>0</v>
      </c>
      <c r="IU894">
        <v>0</v>
      </c>
      <c r="IV894">
        <v>0</v>
      </c>
      <c r="IW894">
        <v>68</v>
      </c>
      <c r="IX894">
        <v>404.7</v>
      </c>
      <c r="IY894">
        <v>126.6</v>
      </c>
      <c r="IZ894">
        <v>126.6</v>
      </c>
      <c r="JA894">
        <v>503.7</v>
      </c>
      <c r="JB894">
        <v>570.1</v>
      </c>
      <c r="JC894">
        <v>328.3</v>
      </c>
      <c r="JD894">
        <v>0</v>
      </c>
      <c r="JE894">
        <v>0</v>
      </c>
      <c r="JF894">
        <v>0</v>
      </c>
      <c r="JG894">
        <v>0</v>
      </c>
      <c r="JH894">
        <v>287.3</v>
      </c>
      <c r="JI894">
        <v>68.2</v>
      </c>
      <c r="JJ894">
        <v>0</v>
      </c>
      <c r="JK894">
        <v>148.6</v>
      </c>
      <c r="JL894">
        <v>0</v>
      </c>
      <c r="JM894">
        <v>0</v>
      </c>
      <c r="JN894">
        <v>204.5</v>
      </c>
      <c r="JO894">
        <v>292.10000000000002</v>
      </c>
      <c r="JP894">
        <v>670.8</v>
      </c>
      <c r="JQ894">
        <v>745.2</v>
      </c>
      <c r="JR894">
        <v>242.9</v>
      </c>
    </row>
    <row r="895" spans="2:278" ht="18" thickBot="1">
      <c r="B895" s="368" t="s">
        <v>1273</v>
      </c>
      <c r="C895" s="411" t="s">
        <v>1569</v>
      </c>
      <c r="D895" s="368" t="s">
        <v>1433</v>
      </c>
      <c r="E895" s="454">
        <v>22829.8</v>
      </c>
      <c r="F895">
        <v>20193.400000000001</v>
      </c>
      <c r="G895" s="427">
        <v>0</v>
      </c>
      <c r="H895" s="155">
        <v>0</v>
      </c>
      <c r="I895">
        <v>0</v>
      </c>
      <c r="J895">
        <v>0</v>
      </c>
      <c r="K895">
        <v>0</v>
      </c>
      <c r="L895" s="4">
        <v>0</v>
      </c>
      <c r="M895" s="4">
        <v>0</v>
      </c>
      <c r="N895" s="4">
        <v>0</v>
      </c>
      <c r="O895" s="4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1476.4</v>
      </c>
      <c r="X895">
        <v>1482</v>
      </c>
      <c r="Y895">
        <v>457.20000000000005</v>
      </c>
      <c r="Z895">
        <v>0</v>
      </c>
      <c r="AA895">
        <v>0</v>
      </c>
      <c r="AB895">
        <v>0</v>
      </c>
      <c r="AC895">
        <v>0</v>
      </c>
      <c r="AD895">
        <v>3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1828.6</v>
      </c>
      <c r="AK895">
        <v>1800.7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560.70000000000005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  <c r="CF895">
        <v>0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  <c r="CN895">
        <v>0</v>
      </c>
      <c r="CO895">
        <v>0</v>
      </c>
      <c r="CP895">
        <v>3.5</v>
      </c>
      <c r="CQ895">
        <v>0</v>
      </c>
      <c r="CR895">
        <v>528</v>
      </c>
      <c r="CS895">
        <v>581.79999999999995</v>
      </c>
      <c r="CT895">
        <v>555.40000000000009</v>
      </c>
      <c r="CU895">
        <v>737.4</v>
      </c>
      <c r="CV895">
        <v>1039.0999999999999</v>
      </c>
      <c r="CW895">
        <v>1667.3</v>
      </c>
      <c r="CX895">
        <v>877.6</v>
      </c>
      <c r="CY895">
        <v>910.40000000000009</v>
      </c>
      <c r="CZ895">
        <v>0</v>
      </c>
      <c r="DA895">
        <v>0</v>
      </c>
      <c r="DB895">
        <v>0</v>
      </c>
      <c r="DC895">
        <v>0</v>
      </c>
      <c r="DD895">
        <v>0</v>
      </c>
      <c r="DE895">
        <v>0</v>
      </c>
      <c r="DF895">
        <v>0</v>
      </c>
      <c r="DG895">
        <v>0</v>
      </c>
      <c r="DH895">
        <v>0</v>
      </c>
      <c r="DI895">
        <v>0</v>
      </c>
      <c r="DJ895">
        <v>0</v>
      </c>
      <c r="DK895">
        <v>0</v>
      </c>
      <c r="DL895">
        <v>995.5</v>
      </c>
      <c r="DM895">
        <v>712.7</v>
      </c>
      <c r="DN895">
        <v>0</v>
      </c>
      <c r="DO895">
        <v>0</v>
      </c>
      <c r="DP895">
        <v>0</v>
      </c>
      <c r="DQ895">
        <v>0</v>
      </c>
      <c r="DR895">
        <v>0</v>
      </c>
      <c r="DS895">
        <v>0</v>
      </c>
      <c r="DT895">
        <v>0</v>
      </c>
      <c r="DU895">
        <v>0</v>
      </c>
      <c r="DV895">
        <v>0</v>
      </c>
      <c r="DW895">
        <v>0</v>
      </c>
      <c r="DX895">
        <v>0</v>
      </c>
      <c r="DY895">
        <v>0</v>
      </c>
      <c r="DZ895">
        <v>0</v>
      </c>
      <c r="EA895">
        <v>0</v>
      </c>
      <c r="EB895">
        <v>0</v>
      </c>
      <c r="EC895">
        <v>0</v>
      </c>
      <c r="ED895">
        <v>0</v>
      </c>
      <c r="EE895">
        <v>0</v>
      </c>
      <c r="EF895">
        <v>0</v>
      </c>
      <c r="EG895">
        <v>0</v>
      </c>
      <c r="EH895">
        <v>0</v>
      </c>
      <c r="EI895">
        <v>0</v>
      </c>
      <c r="EJ895">
        <v>0</v>
      </c>
      <c r="EK895">
        <v>0</v>
      </c>
      <c r="EL895">
        <v>0</v>
      </c>
      <c r="EM895">
        <v>0</v>
      </c>
      <c r="EN895">
        <v>27.4</v>
      </c>
      <c r="EO895">
        <v>0</v>
      </c>
      <c r="EP895">
        <v>1002.5</v>
      </c>
      <c r="EQ895">
        <v>0</v>
      </c>
      <c r="ER895">
        <v>494</v>
      </c>
      <c r="ES895">
        <v>0</v>
      </c>
      <c r="ET895">
        <v>699.3</v>
      </c>
      <c r="EU895">
        <v>435.4</v>
      </c>
      <c r="EV895">
        <v>0</v>
      </c>
      <c r="EW895">
        <v>0</v>
      </c>
      <c r="EX895">
        <v>0</v>
      </c>
      <c r="EY895">
        <v>0</v>
      </c>
      <c r="EZ895">
        <v>0</v>
      </c>
      <c r="FA895">
        <v>0</v>
      </c>
      <c r="FB895">
        <v>0</v>
      </c>
      <c r="FC895">
        <v>0</v>
      </c>
      <c r="FD895">
        <v>95.6</v>
      </c>
      <c r="FE895">
        <v>1792.1</v>
      </c>
      <c r="FF895">
        <v>1740.1999999999998</v>
      </c>
      <c r="FG895">
        <v>954.9</v>
      </c>
      <c r="FH895">
        <v>1087.8000000000002</v>
      </c>
      <c r="FI895">
        <v>1892.1</v>
      </c>
      <c r="FJ895">
        <v>1222.5</v>
      </c>
      <c r="FK895">
        <v>678.3</v>
      </c>
      <c r="FL895">
        <v>639.1</v>
      </c>
      <c r="FM895">
        <v>520.5</v>
      </c>
      <c r="FN895">
        <v>123.8</v>
      </c>
      <c r="FO895">
        <v>181.6</v>
      </c>
      <c r="FP895">
        <v>1090.5</v>
      </c>
      <c r="FQ895">
        <v>0</v>
      </c>
      <c r="FR895">
        <v>0</v>
      </c>
      <c r="FS895">
        <v>0</v>
      </c>
      <c r="FT895">
        <v>0</v>
      </c>
      <c r="FU895">
        <v>0</v>
      </c>
      <c r="FV895">
        <v>0</v>
      </c>
      <c r="FW895">
        <v>0</v>
      </c>
      <c r="FX895">
        <v>0</v>
      </c>
      <c r="FY895">
        <v>0</v>
      </c>
      <c r="FZ895">
        <v>0</v>
      </c>
      <c r="GA895">
        <v>0</v>
      </c>
      <c r="GB895">
        <v>0</v>
      </c>
      <c r="GC895">
        <v>0</v>
      </c>
      <c r="GD895">
        <v>0</v>
      </c>
      <c r="GE895">
        <v>0</v>
      </c>
      <c r="GF895">
        <v>198.3</v>
      </c>
      <c r="GG895">
        <v>1054.4000000000001</v>
      </c>
      <c r="GH895">
        <v>552.79999999999995</v>
      </c>
      <c r="GI895">
        <v>522</v>
      </c>
      <c r="GJ895">
        <v>0</v>
      </c>
      <c r="GK895">
        <v>0</v>
      </c>
      <c r="GL895">
        <v>0</v>
      </c>
      <c r="GM895">
        <v>0</v>
      </c>
      <c r="GN895">
        <v>791.40000000000009</v>
      </c>
      <c r="GO895">
        <v>1816.5</v>
      </c>
      <c r="GP895">
        <v>0</v>
      </c>
      <c r="GQ895">
        <v>0</v>
      </c>
      <c r="GR895">
        <v>0</v>
      </c>
      <c r="GS895">
        <v>0</v>
      </c>
      <c r="GT895">
        <v>0</v>
      </c>
      <c r="GU895">
        <v>0</v>
      </c>
      <c r="GV895">
        <v>0</v>
      </c>
      <c r="GW895">
        <v>0</v>
      </c>
      <c r="GX895">
        <v>0</v>
      </c>
      <c r="GY895">
        <v>840.3</v>
      </c>
      <c r="GZ895">
        <v>0</v>
      </c>
      <c r="HA895">
        <v>0</v>
      </c>
      <c r="HB895">
        <v>0</v>
      </c>
      <c r="HC895">
        <v>380.4</v>
      </c>
      <c r="HD895">
        <v>2175.5</v>
      </c>
      <c r="HE895">
        <v>0</v>
      </c>
      <c r="HF895">
        <v>0</v>
      </c>
      <c r="HG895">
        <v>0</v>
      </c>
      <c r="HH895">
        <v>0</v>
      </c>
      <c r="HI895">
        <v>0</v>
      </c>
      <c r="HJ895">
        <v>803.40000000000009</v>
      </c>
      <c r="HK895">
        <v>1270.9000000000001</v>
      </c>
      <c r="HL895">
        <v>835.7</v>
      </c>
      <c r="HM895">
        <v>1162.5999999999999</v>
      </c>
      <c r="HN895">
        <v>0</v>
      </c>
      <c r="HO895">
        <v>0</v>
      </c>
      <c r="HP895">
        <v>0</v>
      </c>
      <c r="HQ895">
        <v>0</v>
      </c>
      <c r="HR895">
        <v>161.19999999999999</v>
      </c>
      <c r="HS895">
        <v>0</v>
      </c>
      <c r="HT895">
        <v>2048.5</v>
      </c>
      <c r="HU895">
        <v>2627.5</v>
      </c>
      <c r="HV895">
        <v>1168.5999999999999</v>
      </c>
      <c r="HW895">
        <v>388</v>
      </c>
      <c r="HX895">
        <v>0</v>
      </c>
      <c r="HY895">
        <v>0</v>
      </c>
      <c r="HZ895">
        <v>0</v>
      </c>
      <c r="IA895">
        <v>0</v>
      </c>
      <c r="IB895">
        <v>0</v>
      </c>
      <c r="IC895">
        <v>594.4</v>
      </c>
      <c r="ID895">
        <v>427.4</v>
      </c>
      <c r="IE895">
        <v>713.3</v>
      </c>
      <c r="IF895">
        <v>626.1</v>
      </c>
      <c r="IG895">
        <v>0</v>
      </c>
      <c r="IH895">
        <v>0</v>
      </c>
      <c r="II895">
        <v>995.7</v>
      </c>
      <c r="IJ895">
        <v>1156.5999999999999</v>
      </c>
      <c r="IK895">
        <v>864.6</v>
      </c>
      <c r="IL895">
        <v>316.5</v>
      </c>
      <c r="IM895">
        <v>101.5</v>
      </c>
      <c r="IN895">
        <v>71.8</v>
      </c>
      <c r="IO895">
        <v>0</v>
      </c>
      <c r="IP895">
        <v>0</v>
      </c>
      <c r="IQ895">
        <v>0</v>
      </c>
      <c r="IR895">
        <v>0</v>
      </c>
      <c r="IS895">
        <v>0</v>
      </c>
      <c r="IT895">
        <v>0</v>
      </c>
      <c r="IU895">
        <v>0</v>
      </c>
      <c r="IV895">
        <v>0</v>
      </c>
      <c r="IW895">
        <v>68</v>
      </c>
      <c r="IX895">
        <v>404.7</v>
      </c>
      <c r="IY895">
        <v>126.6</v>
      </c>
      <c r="IZ895">
        <v>126.6</v>
      </c>
      <c r="JA895">
        <v>503.7</v>
      </c>
      <c r="JB895">
        <v>570.1</v>
      </c>
      <c r="JC895">
        <v>328.3</v>
      </c>
      <c r="JD895">
        <v>0</v>
      </c>
      <c r="JE895">
        <v>0</v>
      </c>
      <c r="JF895">
        <v>0</v>
      </c>
      <c r="JG895">
        <v>0</v>
      </c>
      <c r="JH895">
        <v>287.3</v>
      </c>
      <c r="JI895">
        <v>68.2</v>
      </c>
      <c r="JJ895">
        <v>0</v>
      </c>
      <c r="JK895">
        <v>148.6</v>
      </c>
      <c r="JL895">
        <v>0</v>
      </c>
      <c r="JM895">
        <v>0</v>
      </c>
      <c r="JN895">
        <v>204.5</v>
      </c>
      <c r="JO895">
        <v>292.10000000000002</v>
      </c>
      <c r="JP895">
        <v>670.8</v>
      </c>
      <c r="JQ895">
        <v>745.2</v>
      </c>
      <c r="JR895">
        <v>242.9</v>
      </c>
    </row>
    <row r="896" spans="2:278" ht="18" thickBot="1">
      <c r="B896" s="368" t="s">
        <v>1274</v>
      </c>
      <c r="C896" s="411" t="s">
        <v>1570</v>
      </c>
      <c r="D896" s="368" t="s">
        <v>1434</v>
      </c>
      <c r="E896" s="454">
        <v>22829.8</v>
      </c>
      <c r="F896">
        <v>20193.400000000001</v>
      </c>
      <c r="G896" s="427">
        <v>0</v>
      </c>
      <c r="H896" s="155">
        <v>0</v>
      </c>
      <c r="I896">
        <v>0</v>
      </c>
      <c r="J896">
        <v>0</v>
      </c>
      <c r="K896">
        <v>0</v>
      </c>
      <c r="L896" s="4">
        <v>0</v>
      </c>
      <c r="M896" s="4">
        <v>0</v>
      </c>
      <c r="N896" s="4">
        <v>0</v>
      </c>
      <c r="O896" s="4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1476.4</v>
      </c>
      <c r="X896">
        <v>1482</v>
      </c>
      <c r="Y896">
        <v>457.20000000000005</v>
      </c>
      <c r="Z896">
        <v>0</v>
      </c>
      <c r="AA896">
        <v>0</v>
      </c>
      <c r="AB896">
        <v>0</v>
      </c>
      <c r="AC896">
        <v>0</v>
      </c>
      <c r="AD896">
        <v>3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1828.6</v>
      </c>
      <c r="AK896">
        <v>1800.7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560.70000000000005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0</v>
      </c>
      <c r="BU896">
        <v>0</v>
      </c>
      <c r="BV896">
        <v>0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  <c r="CF896">
        <v>0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  <c r="CN896">
        <v>0</v>
      </c>
      <c r="CO896">
        <v>0</v>
      </c>
      <c r="CP896">
        <v>3.5</v>
      </c>
      <c r="CQ896">
        <v>0</v>
      </c>
      <c r="CR896">
        <v>528</v>
      </c>
      <c r="CS896">
        <v>581.79999999999995</v>
      </c>
      <c r="CT896">
        <v>555.40000000000009</v>
      </c>
      <c r="CU896">
        <v>737.4</v>
      </c>
      <c r="CV896">
        <v>1039.0999999999999</v>
      </c>
      <c r="CW896">
        <v>1667.3</v>
      </c>
      <c r="CX896">
        <v>877.6</v>
      </c>
      <c r="CY896">
        <v>910.40000000000009</v>
      </c>
      <c r="CZ896">
        <v>0</v>
      </c>
      <c r="DA896">
        <v>0</v>
      </c>
      <c r="DB896">
        <v>0</v>
      </c>
      <c r="DC896">
        <v>0</v>
      </c>
      <c r="DD896">
        <v>0</v>
      </c>
      <c r="DE896">
        <v>0</v>
      </c>
      <c r="DF896">
        <v>0</v>
      </c>
      <c r="DG896">
        <v>0</v>
      </c>
      <c r="DH896">
        <v>0</v>
      </c>
      <c r="DI896">
        <v>0</v>
      </c>
      <c r="DJ896">
        <v>0</v>
      </c>
      <c r="DK896">
        <v>0</v>
      </c>
      <c r="DL896">
        <v>995.5</v>
      </c>
      <c r="DM896">
        <v>712.7</v>
      </c>
      <c r="DN896">
        <v>0</v>
      </c>
      <c r="DO896">
        <v>0</v>
      </c>
      <c r="DP896">
        <v>0</v>
      </c>
      <c r="DQ896">
        <v>0</v>
      </c>
      <c r="DR896">
        <v>0</v>
      </c>
      <c r="DS896">
        <v>0</v>
      </c>
      <c r="DT896">
        <v>0</v>
      </c>
      <c r="DU896">
        <v>0</v>
      </c>
      <c r="DV896">
        <v>0</v>
      </c>
      <c r="DW896">
        <v>0</v>
      </c>
      <c r="DX896">
        <v>0</v>
      </c>
      <c r="DY896">
        <v>0</v>
      </c>
      <c r="DZ896">
        <v>0</v>
      </c>
      <c r="EA896">
        <v>0</v>
      </c>
      <c r="EB896">
        <v>0</v>
      </c>
      <c r="EC896">
        <v>0</v>
      </c>
      <c r="ED896">
        <v>0</v>
      </c>
      <c r="EE896">
        <v>0</v>
      </c>
      <c r="EF896">
        <v>0</v>
      </c>
      <c r="EG896">
        <v>0</v>
      </c>
      <c r="EH896">
        <v>0</v>
      </c>
      <c r="EI896">
        <v>0</v>
      </c>
      <c r="EJ896">
        <v>0</v>
      </c>
      <c r="EK896">
        <v>0</v>
      </c>
      <c r="EL896">
        <v>0</v>
      </c>
      <c r="EM896">
        <v>0</v>
      </c>
      <c r="EN896">
        <v>27.4</v>
      </c>
      <c r="EO896">
        <v>0</v>
      </c>
      <c r="EP896">
        <v>1002.5</v>
      </c>
      <c r="EQ896">
        <v>0</v>
      </c>
      <c r="ER896">
        <v>494</v>
      </c>
      <c r="ES896">
        <v>0</v>
      </c>
      <c r="ET896">
        <v>699.3</v>
      </c>
      <c r="EU896">
        <v>435.4</v>
      </c>
      <c r="EV896">
        <v>0</v>
      </c>
      <c r="EW896">
        <v>0</v>
      </c>
      <c r="EX896">
        <v>0</v>
      </c>
      <c r="EY896">
        <v>0</v>
      </c>
      <c r="EZ896">
        <v>0</v>
      </c>
      <c r="FA896">
        <v>0</v>
      </c>
      <c r="FB896">
        <v>0</v>
      </c>
      <c r="FC896">
        <v>0</v>
      </c>
      <c r="FD896">
        <v>95.6</v>
      </c>
      <c r="FE896">
        <v>1792.1</v>
      </c>
      <c r="FF896">
        <v>1740.1999999999998</v>
      </c>
      <c r="FG896">
        <v>954.9</v>
      </c>
      <c r="FH896">
        <v>1087.8000000000002</v>
      </c>
      <c r="FI896">
        <v>1892.1</v>
      </c>
      <c r="FJ896">
        <v>1222.5</v>
      </c>
      <c r="FK896">
        <v>678.3</v>
      </c>
      <c r="FL896">
        <v>639.1</v>
      </c>
      <c r="FM896">
        <v>520.5</v>
      </c>
      <c r="FN896">
        <v>123.8</v>
      </c>
      <c r="FO896">
        <v>181.6</v>
      </c>
      <c r="FP896">
        <v>1090.5</v>
      </c>
      <c r="FQ896">
        <v>0</v>
      </c>
      <c r="FR896">
        <v>0</v>
      </c>
      <c r="FS896">
        <v>0</v>
      </c>
      <c r="FT896">
        <v>0</v>
      </c>
      <c r="FU896">
        <v>0</v>
      </c>
      <c r="FV896">
        <v>0</v>
      </c>
      <c r="FW896">
        <v>0</v>
      </c>
      <c r="FX896">
        <v>0</v>
      </c>
      <c r="FY896">
        <v>0</v>
      </c>
      <c r="FZ896">
        <v>0</v>
      </c>
      <c r="GA896">
        <v>0</v>
      </c>
      <c r="GB896">
        <v>0</v>
      </c>
      <c r="GC896">
        <v>0</v>
      </c>
      <c r="GD896">
        <v>0</v>
      </c>
      <c r="GE896">
        <v>0</v>
      </c>
      <c r="GF896">
        <v>198.3</v>
      </c>
      <c r="GG896">
        <v>1054.4000000000001</v>
      </c>
      <c r="GH896">
        <v>552.79999999999995</v>
      </c>
      <c r="GI896">
        <v>522</v>
      </c>
      <c r="GJ896">
        <v>0</v>
      </c>
      <c r="GK896">
        <v>0</v>
      </c>
      <c r="GL896">
        <v>0</v>
      </c>
      <c r="GM896">
        <v>0</v>
      </c>
      <c r="GN896">
        <v>791.40000000000009</v>
      </c>
      <c r="GO896">
        <v>1816.5</v>
      </c>
      <c r="GP896">
        <v>0</v>
      </c>
      <c r="GQ896">
        <v>0</v>
      </c>
      <c r="GR896">
        <v>0</v>
      </c>
      <c r="GS896">
        <v>0</v>
      </c>
      <c r="GT896">
        <v>0</v>
      </c>
      <c r="GU896">
        <v>0</v>
      </c>
      <c r="GV896">
        <v>0</v>
      </c>
      <c r="GW896">
        <v>0</v>
      </c>
      <c r="GX896">
        <v>0</v>
      </c>
      <c r="GY896">
        <v>840.3</v>
      </c>
      <c r="GZ896">
        <v>0</v>
      </c>
      <c r="HA896">
        <v>0</v>
      </c>
      <c r="HB896">
        <v>0</v>
      </c>
      <c r="HC896">
        <v>380.4</v>
      </c>
      <c r="HD896">
        <v>2175.5</v>
      </c>
      <c r="HE896">
        <v>0</v>
      </c>
      <c r="HF896">
        <v>0</v>
      </c>
      <c r="HG896">
        <v>0</v>
      </c>
      <c r="HH896">
        <v>0</v>
      </c>
      <c r="HI896">
        <v>0</v>
      </c>
      <c r="HJ896">
        <v>803.40000000000009</v>
      </c>
      <c r="HK896">
        <v>1270.9000000000001</v>
      </c>
      <c r="HL896">
        <v>835.7</v>
      </c>
      <c r="HM896">
        <v>1162.5999999999999</v>
      </c>
      <c r="HN896">
        <v>0</v>
      </c>
      <c r="HO896">
        <v>0</v>
      </c>
      <c r="HP896">
        <v>0</v>
      </c>
      <c r="HQ896">
        <v>0</v>
      </c>
      <c r="HR896">
        <v>161.19999999999999</v>
      </c>
      <c r="HS896">
        <v>0</v>
      </c>
      <c r="HT896">
        <v>2048.5</v>
      </c>
      <c r="HU896">
        <v>2627.5</v>
      </c>
      <c r="HV896">
        <v>1168.5999999999999</v>
      </c>
      <c r="HW896">
        <v>388</v>
      </c>
      <c r="HX896">
        <v>0</v>
      </c>
      <c r="HY896">
        <v>0</v>
      </c>
      <c r="HZ896">
        <v>0</v>
      </c>
      <c r="IA896">
        <v>0</v>
      </c>
      <c r="IB896">
        <v>0</v>
      </c>
      <c r="IC896">
        <v>594.4</v>
      </c>
      <c r="ID896">
        <v>427.4</v>
      </c>
      <c r="IE896">
        <v>713.3</v>
      </c>
      <c r="IF896">
        <v>626.1</v>
      </c>
      <c r="IG896">
        <v>0</v>
      </c>
      <c r="IH896">
        <v>0</v>
      </c>
      <c r="II896">
        <v>995.7</v>
      </c>
      <c r="IJ896">
        <v>1156.5999999999999</v>
      </c>
      <c r="IK896">
        <v>864.6</v>
      </c>
      <c r="IL896">
        <v>316.5</v>
      </c>
      <c r="IM896">
        <v>101.5</v>
      </c>
      <c r="IN896">
        <v>71.8</v>
      </c>
      <c r="IO896">
        <v>0</v>
      </c>
      <c r="IP896">
        <v>0</v>
      </c>
      <c r="IQ896">
        <v>0</v>
      </c>
      <c r="IR896">
        <v>0</v>
      </c>
      <c r="IS896">
        <v>0</v>
      </c>
      <c r="IT896">
        <v>0</v>
      </c>
      <c r="IU896">
        <v>0</v>
      </c>
      <c r="IV896">
        <v>0</v>
      </c>
      <c r="IW896">
        <v>68</v>
      </c>
      <c r="IX896">
        <v>404.7</v>
      </c>
      <c r="IY896">
        <v>126.6</v>
      </c>
      <c r="IZ896">
        <v>126.6</v>
      </c>
      <c r="JA896">
        <v>503.7</v>
      </c>
      <c r="JB896">
        <v>570.1</v>
      </c>
      <c r="JC896">
        <v>328.3</v>
      </c>
      <c r="JD896">
        <v>0</v>
      </c>
      <c r="JE896">
        <v>0</v>
      </c>
      <c r="JF896">
        <v>0</v>
      </c>
      <c r="JG896">
        <v>0</v>
      </c>
      <c r="JH896">
        <v>287.3</v>
      </c>
      <c r="JI896">
        <v>68.2</v>
      </c>
      <c r="JJ896">
        <v>0</v>
      </c>
      <c r="JK896">
        <v>148.6</v>
      </c>
      <c r="JL896">
        <v>0</v>
      </c>
      <c r="JM896">
        <v>0</v>
      </c>
      <c r="JN896">
        <v>204.5</v>
      </c>
      <c r="JO896">
        <v>292.10000000000002</v>
      </c>
      <c r="JP896">
        <v>670.8</v>
      </c>
      <c r="JQ896">
        <v>745.2</v>
      </c>
      <c r="JR896">
        <v>242.9</v>
      </c>
    </row>
    <row r="897" spans="2:278" ht="18" thickBot="1">
      <c r="B897" s="522" t="s">
        <v>1275</v>
      </c>
      <c r="C897" s="517" t="s">
        <v>1571</v>
      </c>
      <c r="D897" s="522" t="s">
        <v>1435</v>
      </c>
      <c r="E897" s="454">
        <v>22829.8</v>
      </c>
      <c r="F897">
        <v>20193.400000000001</v>
      </c>
      <c r="G897" s="427">
        <v>0</v>
      </c>
      <c r="H897" s="155">
        <v>0</v>
      </c>
      <c r="I897">
        <v>0</v>
      </c>
      <c r="J897">
        <v>0</v>
      </c>
      <c r="K897">
        <v>0</v>
      </c>
      <c r="L897" s="4">
        <v>0</v>
      </c>
      <c r="M897" s="4">
        <v>0</v>
      </c>
      <c r="N897" s="4">
        <v>0</v>
      </c>
      <c r="O897" s="4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1476.4</v>
      </c>
      <c r="X897">
        <v>1482</v>
      </c>
      <c r="Y897">
        <v>457.20000000000005</v>
      </c>
      <c r="Z897">
        <v>0</v>
      </c>
      <c r="AA897">
        <v>0</v>
      </c>
      <c r="AB897">
        <v>0</v>
      </c>
      <c r="AC897">
        <v>0</v>
      </c>
      <c r="AD897">
        <v>3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1828.6</v>
      </c>
      <c r="AK897">
        <v>1800.7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560.70000000000005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  <c r="CF897">
        <v>0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  <c r="CN897">
        <v>0</v>
      </c>
      <c r="CO897">
        <v>0</v>
      </c>
      <c r="CP897">
        <v>3.5</v>
      </c>
      <c r="CQ897">
        <v>0</v>
      </c>
      <c r="CR897">
        <v>528</v>
      </c>
      <c r="CS897">
        <v>581.79999999999995</v>
      </c>
      <c r="CT897">
        <v>555.40000000000009</v>
      </c>
      <c r="CU897">
        <v>737.4</v>
      </c>
      <c r="CV897">
        <v>1039.0999999999999</v>
      </c>
      <c r="CW897">
        <v>1667.3</v>
      </c>
      <c r="CX897">
        <v>877.6</v>
      </c>
      <c r="CY897">
        <v>910.40000000000009</v>
      </c>
      <c r="CZ897">
        <v>0</v>
      </c>
      <c r="DA897">
        <v>0</v>
      </c>
      <c r="DB897">
        <v>0</v>
      </c>
      <c r="DC897">
        <v>0</v>
      </c>
      <c r="DD897">
        <v>0</v>
      </c>
      <c r="DE897">
        <v>0</v>
      </c>
      <c r="DF897">
        <v>0</v>
      </c>
      <c r="DG897">
        <v>0</v>
      </c>
      <c r="DH897">
        <v>0</v>
      </c>
      <c r="DI897">
        <v>0</v>
      </c>
      <c r="DJ897">
        <v>0</v>
      </c>
      <c r="DK897">
        <v>0</v>
      </c>
      <c r="DL897">
        <v>995.5</v>
      </c>
      <c r="DM897">
        <v>712.7</v>
      </c>
      <c r="DN897">
        <v>0</v>
      </c>
      <c r="DO897">
        <v>0</v>
      </c>
      <c r="DP897">
        <v>0</v>
      </c>
      <c r="DQ897">
        <v>0</v>
      </c>
      <c r="DR897">
        <v>0</v>
      </c>
      <c r="DS897">
        <v>0</v>
      </c>
      <c r="DT897">
        <v>0</v>
      </c>
      <c r="DU897">
        <v>0</v>
      </c>
      <c r="DV897">
        <v>0</v>
      </c>
      <c r="DW897">
        <v>0</v>
      </c>
      <c r="DX897">
        <v>0</v>
      </c>
      <c r="DY897">
        <v>0</v>
      </c>
      <c r="DZ897">
        <v>0</v>
      </c>
      <c r="EA897">
        <v>0</v>
      </c>
      <c r="EB897">
        <v>0</v>
      </c>
      <c r="EC897">
        <v>0</v>
      </c>
      <c r="ED897">
        <v>0</v>
      </c>
      <c r="EE897">
        <v>0</v>
      </c>
      <c r="EF897">
        <v>0</v>
      </c>
      <c r="EG897">
        <v>0</v>
      </c>
      <c r="EH897">
        <v>0</v>
      </c>
      <c r="EI897">
        <v>0</v>
      </c>
      <c r="EJ897">
        <v>0</v>
      </c>
      <c r="EK897">
        <v>0</v>
      </c>
      <c r="EL897">
        <v>0</v>
      </c>
      <c r="EM897">
        <v>0</v>
      </c>
      <c r="EN897">
        <v>27.4</v>
      </c>
      <c r="EO897">
        <v>0</v>
      </c>
      <c r="EP897">
        <v>1002.5</v>
      </c>
      <c r="EQ897">
        <v>0</v>
      </c>
      <c r="ER897">
        <v>494</v>
      </c>
      <c r="ES897">
        <v>0</v>
      </c>
      <c r="ET897">
        <v>699.3</v>
      </c>
      <c r="EU897">
        <v>435.4</v>
      </c>
      <c r="EV897">
        <v>0</v>
      </c>
      <c r="EW897">
        <v>0</v>
      </c>
      <c r="EX897">
        <v>0</v>
      </c>
      <c r="EY897">
        <v>0</v>
      </c>
      <c r="EZ897">
        <v>0</v>
      </c>
      <c r="FA897">
        <v>0</v>
      </c>
      <c r="FB897">
        <v>0</v>
      </c>
      <c r="FC897">
        <v>0</v>
      </c>
      <c r="FD897">
        <v>95.6</v>
      </c>
      <c r="FE897">
        <v>1792.1</v>
      </c>
      <c r="FF897">
        <v>1740.1999999999998</v>
      </c>
      <c r="FG897">
        <v>954.9</v>
      </c>
      <c r="FH897">
        <v>1087.8000000000002</v>
      </c>
      <c r="FI897">
        <v>1892.1</v>
      </c>
      <c r="FJ897">
        <v>1222.5</v>
      </c>
      <c r="FK897">
        <v>678.3</v>
      </c>
      <c r="FL897">
        <v>639.1</v>
      </c>
      <c r="FM897">
        <v>520.5</v>
      </c>
      <c r="FN897">
        <v>123.8</v>
      </c>
      <c r="FO897">
        <v>181.6</v>
      </c>
      <c r="FP897">
        <v>1090.5</v>
      </c>
      <c r="FQ897">
        <v>0</v>
      </c>
      <c r="FR897">
        <v>0</v>
      </c>
      <c r="FS897">
        <v>0</v>
      </c>
      <c r="FT897">
        <v>0</v>
      </c>
      <c r="FU897">
        <v>0</v>
      </c>
      <c r="FV897">
        <v>0</v>
      </c>
      <c r="FW897">
        <v>0</v>
      </c>
      <c r="FX897">
        <v>0</v>
      </c>
      <c r="FY897">
        <v>0</v>
      </c>
      <c r="FZ897">
        <v>0</v>
      </c>
      <c r="GA897">
        <v>0</v>
      </c>
      <c r="GB897">
        <v>0</v>
      </c>
      <c r="GC897">
        <v>0</v>
      </c>
      <c r="GD897">
        <v>0</v>
      </c>
      <c r="GE897">
        <v>0</v>
      </c>
      <c r="GF897">
        <v>198.3</v>
      </c>
      <c r="GG897">
        <v>1054.4000000000001</v>
      </c>
      <c r="GH897">
        <v>552.79999999999995</v>
      </c>
      <c r="GI897">
        <v>522</v>
      </c>
      <c r="GJ897">
        <v>0</v>
      </c>
      <c r="GK897">
        <v>0</v>
      </c>
      <c r="GL897">
        <v>0</v>
      </c>
      <c r="GM897">
        <v>0</v>
      </c>
      <c r="GN897">
        <v>791.40000000000009</v>
      </c>
      <c r="GO897">
        <v>1816.5</v>
      </c>
      <c r="GP897">
        <v>0</v>
      </c>
      <c r="GQ897">
        <v>0</v>
      </c>
      <c r="GR897">
        <v>0</v>
      </c>
      <c r="GS897">
        <v>0</v>
      </c>
      <c r="GT897">
        <v>0</v>
      </c>
      <c r="GU897">
        <v>0</v>
      </c>
      <c r="GV897">
        <v>0</v>
      </c>
      <c r="GW897">
        <v>0</v>
      </c>
      <c r="GX897">
        <v>0</v>
      </c>
      <c r="GY897">
        <v>840.3</v>
      </c>
      <c r="GZ897">
        <v>0</v>
      </c>
      <c r="HA897">
        <v>0</v>
      </c>
      <c r="HB897">
        <v>0</v>
      </c>
      <c r="HC897">
        <v>380.4</v>
      </c>
      <c r="HD897">
        <v>2175.5</v>
      </c>
      <c r="HE897">
        <v>0</v>
      </c>
      <c r="HF897">
        <v>0</v>
      </c>
      <c r="HG897">
        <v>0</v>
      </c>
      <c r="HH897">
        <v>0</v>
      </c>
      <c r="HI897">
        <v>0</v>
      </c>
      <c r="HJ897">
        <v>803.40000000000009</v>
      </c>
      <c r="HK897">
        <v>1270.9000000000001</v>
      </c>
      <c r="HL897">
        <v>835.7</v>
      </c>
      <c r="HM897">
        <v>1162.5999999999999</v>
      </c>
      <c r="HN897">
        <v>0</v>
      </c>
      <c r="HO897">
        <v>0</v>
      </c>
      <c r="HP897">
        <v>0</v>
      </c>
      <c r="HQ897">
        <v>0</v>
      </c>
      <c r="HR897">
        <v>161.19999999999999</v>
      </c>
      <c r="HS897">
        <v>0</v>
      </c>
      <c r="HT897">
        <v>2048.5</v>
      </c>
      <c r="HU897">
        <v>2627.5</v>
      </c>
      <c r="HV897">
        <v>1168.5999999999999</v>
      </c>
      <c r="HW897">
        <v>388</v>
      </c>
      <c r="HX897">
        <v>0</v>
      </c>
      <c r="HY897">
        <v>0</v>
      </c>
      <c r="HZ897">
        <v>0</v>
      </c>
      <c r="IA897">
        <v>0</v>
      </c>
      <c r="IB897">
        <v>0</v>
      </c>
      <c r="IC897">
        <v>594.4</v>
      </c>
      <c r="ID897">
        <v>427.4</v>
      </c>
      <c r="IE897">
        <v>713.3</v>
      </c>
      <c r="IF897">
        <v>626.1</v>
      </c>
      <c r="IG897">
        <v>0</v>
      </c>
      <c r="IH897">
        <v>0</v>
      </c>
      <c r="II897">
        <v>995.7</v>
      </c>
      <c r="IJ897">
        <v>1156.5999999999999</v>
      </c>
      <c r="IK897">
        <v>864.6</v>
      </c>
      <c r="IL897">
        <v>316.5</v>
      </c>
      <c r="IM897">
        <v>101.5</v>
      </c>
      <c r="IN897">
        <v>71.8</v>
      </c>
      <c r="IO897">
        <v>0</v>
      </c>
      <c r="IP897">
        <v>0</v>
      </c>
      <c r="IQ897">
        <v>0</v>
      </c>
      <c r="IR897">
        <v>0</v>
      </c>
      <c r="IS897">
        <v>0</v>
      </c>
      <c r="IT897">
        <v>0</v>
      </c>
      <c r="IU897">
        <v>0</v>
      </c>
      <c r="IV897">
        <v>0</v>
      </c>
      <c r="IW897">
        <v>68</v>
      </c>
      <c r="IX897">
        <v>404.7</v>
      </c>
      <c r="IY897">
        <v>126.6</v>
      </c>
      <c r="IZ897">
        <v>126.6</v>
      </c>
      <c r="JA897">
        <v>503.7</v>
      </c>
      <c r="JB897">
        <v>570.1</v>
      </c>
      <c r="JC897">
        <v>328.3</v>
      </c>
      <c r="JD897">
        <v>0</v>
      </c>
      <c r="JE897">
        <v>0</v>
      </c>
      <c r="JF897">
        <v>0</v>
      </c>
      <c r="JG897">
        <v>0</v>
      </c>
      <c r="JH897">
        <v>287.3</v>
      </c>
      <c r="JI897">
        <v>68.2</v>
      </c>
      <c r="JJ897">
        <v>0</v>
      </c>
      <c r="JK897">
        <v>148.6</v>
      </c>
      <c r="JL897">
        <v>0</v>
      </c>
      <c r="JM897">
        <v>0</v>
      </c>
      <c r="JN897">
        <v>204.5</v>
      </c>
      <c r="JO897">
        <v>292.10000000000002</v>
      </c>
      <c r="JP897">
        <v>670.8</v>
      </c>
      <c r="JQ897">
        <v>745.2</v>
      </c>
      <c r="JR897">
        <v>242.9</v>
      </c>
    </row>
    <row r="898" spans="2:278" ht="18" thickBot="1">
      <c r="B898" s="523"/>
      <c r="C898" s="518"/>
      <c r="D898" s="523"/>
      <c r="E898" s="454">
        <v>22829.8</v>
      </c>
      <c r="F898">
        <v>20193.400000000001</v>
      </c>
      <c r="G898" s="427">
        <v>0</v>
      </c>
      <c r="H898" s="155">
        <v>0</v>
      </c>
      <c r="I898">
        <v>0</v>
      </c>
      <c r="J898">
        <v>0</v>
      </c>
      <c r="K898">
        <v>0</v>
      </c>
      <c r="L898" s="4">
        <v>0</v>
      </c>
      <c r="M898" s="4">
        <v>0</v>
      </c>
      <c r="N898" s="4">
        <v>0</v>
      </c>
      <c r="O898" s="4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1476.4</v>
      </c>
      <c r="X898">
        <v>1482</v>
      </c>
      <c r="Y898">
        <v>457.20000000000005</v>
      </c>
      <c r="Z898">
        <v>0</v>
      </c>
      <c r="AA898">
        <v>0</v>
      </c>
      <c r="AB898">
        <v>0</v>
      </c>
      <c r="AC898">
        <v>0</v>
      </c>
      <c r="AD898">
        <v>3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1828.6</v>
      </c>
      <c r="AK898">
        <v>1800.7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560.70000000000005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0</v>
      </c>
      <c r="BN898">
        <v>0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0</v>
      </c>
      <c r="BU898">
        <v>0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  <c r="CF898">
        <v>0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  <c r="CN898">
        <v>0</v>
      </c>
      <c r="CO898">
        <v>0</v>
      </c>
      <c r="CP898">
        <v>3.5</v>
      </c>
      <c r="CQ898">
        <v>0</v>
      </c>
      <c r="CR898">
        <v>528</v>
      </c>
      <c r="CS898">
        <v>581.79999999999995</v>
      </c>
      <c r="CT898">
        <v>555.40000000000009</v>
      </c>
      <c r="CU898">
        <v>737.4</v>
      </c>
      <c r="CV898">
        <v>1039.0999999999999</v>
      </c>
      <c r="CW898">
        <v>1667.3</v>
      </c>
      <c r="CX898">
        <v>877.6</v>
      </c>
      <c r="CY898">
        <v>910.40000000000009</v>
      </c>
      <c r="CZ898">
        <v>0</v>
      </c>
      <c r="DA898">
        <v>0</v>
      </c>
      <c r="DB898">
        <v>0</v>
      </c>
      <c r="DC898">
        <v>0</v>
      </c>
      <c r="DD898">
        <v>0</v>
      </c>
      <c r="DE898">
        <v>0</v>
      </c>
      <c r="DF898">
        <v>0</v>
      </c>
      <c r="DG898">
        <v>0</v>
      </c>
      <c r="DH898">
        <v>0</v>
      </c>
      <c r="DI898">
        <v>0</v>
      </c>
      <c r="DJ898">
        <v>0</v>
      </c>
      <c r="DK898">
        <v>0</v>
      </c>
      <c r="DL898">
        <v>995.5</v>
      </c>
      <c r="DM898">
        <v>712.7</v>
      </c>
      <c r="DN898">
        <v>0</v>
      </c>
      <c r="DO898">
        <v>0</v>
      </c>
      <c r="DP898">
        <v>0</v>
      </c>
      <c r="DQ898">
        <v>0</v>
      </c>
      <c r="DR898">
        <v>0</v>
      </c>
      <c r="DS898">
        <v>0</v>
      </c>
      <c r="DT898">
        <v>0</v>
      </c>
      <c r="DU898">
        <v>0</v>
      </c>
      <c r="DV898">
        <v>0</v>
      </c>
      <c r="DW898">
        <v>0</v>
      </c>
      <c r="DX898">
        <v>0</v>
      </c>
      <c r="DY898">
        <v>0</v>
      </c>
      <c r="DZ898">
        <v>0</v>
      </c>
      <c r="EA898">
        <v>0</v>
      </c>
      <c r="EB898">
        <v>0</v>
      </c>
      <c r="EC898">
        <v>0</v>
      </c>
      <c r="ED898">
        <v>0</v>
      </c>
      <c r="EE898">
        <v>0</v>
      </c>
      <c r="EF898">
        <v>0</v>
      </c>
      <c r="EG898">
        <v>0</v>
      </c>
      <c r="EH898">
        <v>0</v>
      </c>
      <c r="EI898">
        <v>0</v>
      </c>
      <c r="EJ898">
        <v>0</v>
      </c>
      <c r="EK898">
        <v>0</v>
      </c>
      <c r="EL898">
        <v>0</v>
      </c>
      <c r="EM898">
        <v>0</v>
      </c>
      <c r="EN898">
        <v>27.4</v>
      </c>
      <c r="EO898">
        <v>0</v>
      </c>
      <c r="EP898">
        <v>1002.5</v>
      </c>
      <c r="EQ898">
        <v>0</v>
      </c>
      <c r="ER898">
        <v>494</v>
      </c>
      <c r="ES898">
        <v>0</v>
      </c>
      <c r="ET898">
        <v>699.3</v>
      </c>
      <c r="EU898">
        <v>435.4</v>
      </c>
      <c r="EV898">
        <v>0</v>
      </c>
      <c r="EW898">
        <v>0</v>
      </c>
      <c r="EX898">
        <v>0</v>
      </c>
      <c r="EY898">
        <v>0</v>
      </c>
      <c r="EZ898">
        <v>0</v>
      </c>
      <c r="FA898">
        <v>0</v>
      </c>
      <c r="FB898">
        <v>0</v>
      </c>
      <c r="FC898">
        <v>0</v>
      </c>
      <c r="FD898">
        <v>95.6</v>
      </c>
      <c r="FE898">
        <v>1792.1</v>
      </c>
      <c r="FF898">
        <v>1740.1999999999998</v>
      </c>
      <c r="FG898">
        <v>954.9</v>
      </c>
      <c r="FH898">
        <v>1087.8000000000002</v>
      </c>
      <c r="FI898">
        <v>1892.1</v>
      </c>
      <c r="FJ898">
        <v>1222.5</v>
      </c>
      <c r="FK898">
        <v>678.3</v>
      </c>
      <c r="FL898">
        <v>639.1</v>
      </c>
      <c r="FM898">
        <v>520.5</v>
      </c>
      <c r="FN898">
        <v>123.8</v>
      </c>
      <c r="FO898">
        <v>181.6</v>
      </c>
      <c r="FP898">
        <v>1090.5</v>
      </c>
      <c r="FQ898">
        <v>0</v>
      </c>
      <c r="FR898">
        <v>0</v>
      </c>
      <c r="FS898">
        <v>0</v>
      </c>
      <c r="FT898">
        <v>0</v>
      </c>
      <c r="FU898">
        <v>0</v>
      </c>
      <c r="FV898">
        <v>0</v>
      </c>
      <c r="FW898">
        <v>0</v>
      </c>
      <c r="FX898">
        <v>0</v>
      </c>
      <c r="FY898">
        <v>0</v>
      </c>
      <c r="FZ898">
        <v>0</v>
      </c>
      <c r="GA898">
        <v>0</v>
      </c>
      <c r="GB898">
        <v>0</v>
      </c>
      <c r="GC898">
        <v>0</v>
      </c>
      <c r="GD898">
        <v>0</v>
      </c>
      <c r="GE898">
        <v>0</v>
      </c>
      <c r="GF898">
        <v>198.3</v>
      </c>
      <c r="GG898">
        <v>1054.4000000000001</v>
      </c>
      <c r="GH898">
        <v>552.79999999999995</v>
      </c>
      <c r="GI898">
        <v>522</v>
      </c>
      <c r="GJ898">
        <v>0</v>
      </c>
      <c r="GK898">
        <v>0</v>
      </c>
      <c r="GL898">
        <v>0</v>
      </c>
      <c r="GM898">
        <v>0</v>
      </c>
      <c r="GN898">
        <v>791.40000000000009</v>
      </c>
      <c r="GO898">
        <v>1816.5</v>
      </c>
      <c r="GP898">
        <v>0</v>
      </c>
      <c r="GQ898">
        <v>0</v>
      </c>
      <c r="GR898">
        <v>0</v>
      </c>
      <c r="GS898">
        <v>0</v>
      </c>
      <c r="GT898">
        <v>0</v>
      </c>
      <c r="GU898">
        <v>0</v>
      </c>
      <c r="GV898">
        <v>0</v>
      </c>
      <c r="GW898">
        <v>0</v>
      </c>
      <c r="GX898">
        <v>0</v>
      </c>
      <c r="GY898">
        <v>840.3</v>
      </c>
      <c r="GZ898">
        <v>0</v>
      </c>
      <c r="HA898">
        <v>0</v>
      </c>
      <c r="HB898">
        <v>0</v>
      </c>
      <c r="HC898">
        <v>380.4</v>
      </c>
      <c r="HD898">
        <v>2175.5</v>
      </c>
      <c r="HE898">
        <v>0</v>
      </c>
      <c r="HF898">
        <v>0</v>
      </c>
      <c r="HG898">
        <v>0</v>
      </c>
      <c r="HH898">
        <v>0</v>
      </c>
      <c r="HI898">
        <v>0</v>
      </c>
      <c r="HJ898">
        <v>803.40000000000009</v>
      </c>
      <c r="HK898">
        <v>1270.9000000000001</v>
      </c>
      <c r="HL898">
        <v>835.7</v>
      </c>
      <c r="HM898">
        <v>1162.5999999999999</v>
      </c>
      <c r="HN898">
        <v>0</v>
      </c>
      <c r="HO898">
        <v>0</v>
      </c>
      <c r="HP898">
        <v>0</v>
      </c>
      <c r="HQ898">
        <v>0</v>
      </c>
      <c r="HR898">
        <v>161.19999999999999</v>
      </c>
      <c r="HS898">
        <v>0</v>
      </c>
      <c r="HT898">
        <v>2048.5</v>
      </c>
      <c r="HU898">
        <v>2627.5</v>
      </c>
      <c r="HV898">
        <v>1168.5999999999999</v>
      </c>
      <c r="HW898">
        <v>388</v>
      </c>
      <c r="HX898">
        <v>0</v>
      </c>
      <c r="HY898">
        <v>0</v>
      </c>
      <c r="HZ898">
        <v>0</v>
      </c>
      <c r="IA898">
        <v>0</v>
      </c>
      <c r="IB898">
        <v>0</v>
      </c>
      <c r="IC898">
        <v>594.4</v>
      </c>
      <c r="ID898">
        <v>427.4</v>
      </c>
      <c r="IE898">
        <v>713.3</v>
      </c>
      <c r="IF898">
        <v>626.1</v>
      </c>
      <c r="IG898">
        <v>0</v>
      </c>
      <c r="IH898">
        <v>0</v>
      </c>
      <c r="II898">
        <v>995.7</v>
      </c>
      <c r="IJ898">
        <v>1156.5999999999999</v>
      </c>
      <c r="IK898">
        <v>864.6</v>
      </c>
      <c r="IL898">
        <v>316.5</v>
      </c>
      <c r="IM898">
        <v>101.5</v>
      </c>
      <c r="IN898">
        <v>71.8</v>
      </c>
      <c r="IO898">
        <v>0</v>
      </c>
      <c r="IP898">
        <v>0</v>
      </c>
      <c r="IQ898">
        <v>0</v>
      </c>
      <c r="IR898">
        <v>0</v>
      </c>
      <c r="IS898">
        <v>0</v>
      </c>
      <c r="IT898">
        <v>0</v>
      </c>
      <c r="IU898">
        <v>0</v>
      </c>
      <c r="IV898">
        <v>0</v>
      </c>
      <c r="IW898">
        <v>68</v>
      </c>
      <c r="IX898">
        <v>404.7</v>
      </c>
      <c r="IY898">
        <v>126.6</v>
      </c>
      <c r="IZ898">
        <v>126.6</v>
      </c>
      <c r="JA898">
        <v>503.7</v>
      </c>
      <c r="JB898">
        <v>570.1</v>
      </c>
      <c r="JC898">
        <v>328.3</v>
      </c>
      <c r="JD898">
        <v>0</v>
      </c>
      <c r="JE898">
        <v>0</v>
      </c>
      <c r="JF898">
        <v>0</v>
      </c>
      <c r="JG898">
        <v>0</v>
      </c>
      <c r="JH898">
        <v>287.3</v>
      </c>
      <c r="JI898">
        <v>68.2</v>
      </c>
      <c r="JJ898">
        <v>0</v>
      </c>
      <c r="JK898">
        <v>148.6</v>
      </c>
      <c r="JL898">
        <v>0</v>
      </c>
      <c r="JM898">
        <v>0</v>
      </c>
      <c r="JN898">
        <v>204.5</v>
      </c>
      <c r="JO898">
        <v>292.10000000000002</v>
      </c>
      <c r="JP898">
        <v>670.8</v>
      </c>
      <c r="JQ898">
        <v>745.2</v>
      </c>
      <c r="JR898">
        <v>242.9</v>
      </c>
    </row>
    <row r="899" spans="2:278" ht="18" thickBot="1">
      <c r="B899" s="368" t="s">
        <v>1276</v>
      </c>
      <c r="C899" s="411" t="s">
        <v>1572</v>
      </c>
      <c r="D899" s="368" t="s">
        <v>1436</v>
      </c>
      <c r="E899" s="454">
        <v>22829.8</v>
      </c>
      <c r="F899">
        <v>20193.400000000001</v>
      </c>
      <c r="G899" s="427">
        <v>0</v>
      </c>
      <c r="H899" s="155">
        <v>0</v>
      </c>
      <c r="I899">
        <v>0</v>
      </c>
      <c r="J899">
        <v>0</v>
      </c>
      <c r="K899">
        <v>0</v>
      </c>
      <c r="L899" s="4">
        <v>0</v>
      </c>
      <c r="M899" s="4">
        <v>0</v>
      </c>
      <c r="N899" s="4">
        <v>0</v>
      </c>
      <c r="O899" s="4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1476.4</v>
      </c>
      <c r="X899">
        <v>1482</v>
      </c>
      <c r="Y899">
        <v>457.20000000000005</v>
      </c>
      <c r="Z899">
        <v>0</v>
      </c>
      <c r="AA899">
        <v>0</v>
      </c>
      <c r="AB899">
        <v>0</v>
      </c>
      <c r="AC899">
        <v>0</v>
      </c>
      <c r="AD899">
        <v>3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1828.6</v>
      </c>
      <c r="AK899">
        <v>1800.7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560.70000000000005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  <c r="CF899">
        <v>0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  <c r="CN899">
        <v>0</v>
      </c>
      <c r="CO899">
        <v>0</v>
      </c>
      <c r="CP899">
        <v>3.5</v>
      </c>
      <c r="CQ899">
        <v>0</v>
      </c>
      <c r="CR899">
        <v>528</v>
      </c>
      <c r="CS899">
        <v>581.79999999999995</v>
      </c>
      <c r="CT899">
        <v>555.40000000000009</v>
      </c>
      <c r="CU899">
        <v>737.4</v>
      </c>
      <c r="CV899">
        <v>1039.0999999999999</v>
      </c>
      <c r="CW899">
        <v>1667.3</v>
      </c>
      <c r="CX899">
        <v>877.6</v>
      </c>
      <c r="CY899">
        <v>910.40000000000009</v>
      </c>
      <c r="CZ899">
        <v>0</v>
      </c>
      <c r="DA899">
        <v>0</v>
      </c>
      <c r="DB899">
        <v>0</v>
      </c>
      <c r="DC899">
        <v>0</v>
      </c>
      <c r="DD899">
        <v>0</v>
      </c>
      <c r="DE899">
        <v>0</v>
      </c>
      <c r="DF899">
        <v>0</v>
      </c>
      <c r="DG899">
        <v>0</v>
      </c>
      <c r="DH899">
        <v>0</v>
      </c>
      <c r="DI899">
        <v>0</v>
      </c>
      <c r="DJ899">
        <v>0</v>
      </c>
      <c r="DK899">
        <v>0</v>
      </c>
      <c r="DL899">
        <v>995.5</v>
      </c>
      <c r="DM899">
        <v>712.7</v>
      </c>
      <c r="DN899">
        <v>0</v>
      </c>
      <c r="DO899">
        <v>0</v>
      </c>
      <c r="DP899">
        <v>0</v>
      </c>
      <c r="DQ899">
        <v>0</v>
      </c>
      <c r="DR899">
        <v>0</v>
      </c>
      <c r="DS899">
        <v>0</v>
      </c>
      <c r="DT899">
        <v>0</v>
      </c>
      <c r="DU899">
        <v>0</v>
      </c>
      <c r="DV899">
        <v>0</v>
      </c>
      <c r="DW899">
        <v>0</v>
      </c>
      <c r="DX899">
        <v>0</v>
      </c>
      <c r="DY899">
        <v>0</v>
      </c>
      <c r="DZ899">
        <v>0</v>
      </c>
      <c r="EA899">
        <v>0</v>
      </c>
      <c r="EB899">
        <v>0</v>
      </c>
      <c r="EC899">
        <v>0</v>
      </c>
      <c r="ED899">
        <v>0</v>
      </c>
      <c r="EE899">
        <v>0</v>
      </c>
      <c r="EF899">
        <v>0</v>
      </c>
      <c r="EG899">
        <v>0</v>
      </c>
      <c r="EH899">
        <v>0</v>
      </c>
      <c r="EI899">
        <v>0</v>
      </c>
      <c r="EJ899">
        <v>0</v>
      </c>
      <c r="EK899">
        <v>0</v>
      </c>
      <c r="EL899">
        <v>0</v>
      </c>
      <c r="EM899">
        <v>0</v>
      </c>
      <c r="EN899">
        <v>27.4</v>
      </c>
      <c r="EO899">
        <v>0</v>
      </c>
      <c r="EP899">
        <v>1002.5</v>
      </c>
      <c r="EQ899">
        <v>0</v>
      </c>
      <c r="ER899">
        <v>494</v>
      </c>
      <c r="ES899">
        <v>0</v>
      </c>
      <c r="ET899">
        <v>699.3</v>
      </c>
      <c r="EU899">
        <v>435.4</v>
      </c>
      <c r="EV899">
        <v>0</v>
      </c>
      <c r="EW899">
        <v>0</v>
      </c>
      <c r="EX899">
        <v>0</v>
      </c>
      <c r="EY899">
        <v>0</v>
      </c>
      <c r="EZ899">
        <v>0</v>
      </c>
      <c r="FA899">
        <v>0</v>
      </c>
      <c r="FB899">
        <v>0</v>
      </c>
      <c r="FC899">
        <v>0</v>
      </c>
      <c r="FD899">
        <v>95.6</v>
      </c>
      <c r="FE899">
        <v>1792.1</v>
      </c>
      <c r="FF899">
        <v>1740.1999999999998</v>
      </c>
      <c r="FG899">
        <v>954.9</v>
      </c>
      <c r="FH899">
        <v>1087.8000000000002</v>
      </c>
      <c r="FI899">
        <v>1892.1</v>
      </c>
      <c r="FJ899">
        <v>1222.5</v>
      </c>
      <c r="FK899">
        <v>678.3</v>
      </c>
      <c r="FL899">
        <v>639.1</v>
      </c>
      <c r="FM899">
        <v>520.5</v>
      </c>
      <c r="FN899">
        <v>123.8</v>
      </c>
      <c r="FO899">
        <v>181.6</v>
      </c>
      <c r="FP899">
        <v>1090.5</v>
      </c>
      <c r="FQ899">
        <v>0</v>
      </c>
      <c r="FR899">
        <v>0</v>
      </c>
      <c r="FS899">
        <v>0</v>
      </c>
      <c r="FT899">
        <v>0</v>
      </c>
      <c r="FU899">
        <v>0</v>
      </c>
      <c r="FV899">
        <v>0</v>
      </c>
      <c r="FW899">
        <v>0</v>
      </c>
      <c r="FX899">
        <v>0</v>
      </c>
      <c r="FY899">
        <v>0</v>
      </c>
      <c r="FZ899">
        <v>0</v>
      </c>
      <c r="GA899">
        <v>0</v>
      </c>
      <c r="GB899">
        <v>0</v>
      </c>
      <c r="GC899">
        <v>0</v>
      </c>
      <c r="GD899">
        <v>0</v>
      </c>
      <c r="GE899">
        <v>0</v>
      </c>
      <c r="GF899">
        <v>198.3</v>
      </c>
      <c r="GG899">
        <v>1054.4000000000001</v>
      </c>
      <c r="GH899">
        <v>552.79999999999995</v>
      </c>
      <c r="GI899">
        <v>522</v>
      </c>
      <c r="GJ899">
        <v>0</v>
      </c>
      <c r="GK899">
        <v>0</v>
      </c>
      <c r="GL899">
        <v>0</v>
      </c>
      <c r="GM899">
        <v>0</v>
      </c>
      <c r="GN899">
        <v>791.40000000000009</v>
      </c>
      <c r="GO899">
        <v>1816.5</v>
      </c>
      <c r="GP899">
        <v>0</v>
      </c>
      <c r="GQ899">
        <v>0</v>
      </c>
      <c r="GR899">
        <v>0</v>
      </c>
      <c r="GS899">
        <v>0</v>
      </c>
      <c r="GT899">
        <v>0</v>
      </c>
      <c r="GU899">
        <v>0</v>
      </c>
      <c r="GV899">
        <v>0</v>
      </c>
      <c r="GW899">
        <v>0</v>
      </c>
      <c r="GX899">
        <v>0</v>
      </c>
      <c r="GY899">
        <v>840.3</v>
      </c>
      <c r="GZ899">
        <v>0</v>
      </c>
      <c r="HA899">
        <v>0</v>
      </c>
      <c r="HB899">
        <v>0</v>
      </c>
      <c r="HC899">
        <v>380.4</v>
      </c>
      <c r="HD899">
        <v>2175.5</v>
      </c>
      <c r="HE899">
        <v>0</v>
      </c>
      <c r="HF899">
        <v>0</v>
      </c>
      <c r="HG899">
        <v>0</v>
      </c>
      <c r="HH899">
        <v>0</v>
      </c>
      <c r="HI899">
        <v>0</v>
      </c>
      <c r="HJ899">
        <v>803.40000000000009</v>
      </c>
      <c r="HK899">
        <v>1270.9000000000001</v>
      </c>
      <c r="HL899">
        <v>835.7</v>
      </c>
      <c r="HM899">
        <v>1162.5999999999999</v>
      </c>
      <c r="HN899">
        <v>0</v>
      </c>
      <c r="HO899">
        <v>0</v>
      </c>
      <c r="HP899">
        <v>0</v>
      </c>
      <c r="HQ899">
        <v>0</v>
      </c>
      <c r="HR899">
        <v>161.19999999999999</v>
      </c>
      <c r="HS899">
        <v>0</v>
      </c>
      <c r="HT899">
        <v>2048.5</v>
      </c>
      <c r="HU899">
        <v>2627.5</v>
      </c>
      <c r="HV899">
        <v>1168.5999999999999</v>
      </c>
      <c r="HW899">
        <v>388</v>
      </c>
      <c r="HX899">
        <v>0</v>
      </c>
      <c r="HY899">
        <v>0</v>
      </c>
      <c r="HZ899">
        <v>0</v>
      </c>
      <c r="IA899">
        <v>0</v>
      </c>
      <c r="IB899">
        <v>0</v>
      </c>
      <c r="IC899">
        <v>594.4</v>
      </c>
      <c r="ID899">
        <v>427.4</v>
      </c>
      <c r="IE899">
        <v>713.3</v>
      </c>
      <c r="IF899">
        <v>626.1</v>
      </c>
      <c r="IG899">
        <v>0</v>
      </c>
      <c r="IH899">
        <v>0</v>
      </c>
      <c r="II899">
        <v>995.7</v>
      </c>
      <c r="IJ899">
        <v>1156.5999999999999</v>
      </c>
      <c r="IK899">
        <v>864.6</v>
      </c>
      <c r="IL899">
        <v>316.5</v>
      </c>
      <c r="IM899">
        <v>101.5</v>
      </c>
      <c r="IN899">
        <v>71.8</v>
      </c>
      <c r="IO899">
        <v>0</v>
      </c>
      <c r="IP899">
        <v>0</v>
      </c>
      <c r="IQ899">
        <v>0</v>
      </c>
      <c r="IR899">
        <v>0</v>
      </c>
      <c r="IS899">
        <v>0</v>
      </c>
      <c r="IT899">
        <v>0</v>
      </c>
      <c r="IU899">
        <v>0</v>
      </c>
      <c r="IV899">
        <v>0</v>
      </c>
      <c r="IW899">
        <v>68</v>
      </c>
      <c r="IX899">
        <v>404.7</v>
      </c>
      <c r="IY899">
        <v>126.6</v>
      </c>
      <c r="IZ899">
        <v>126.6</v>
      </c>
      <c r="JA899">
        <v>503.7</v>
      </c>
      <c r="JB899">
        <v>570.1</v>
      </c>
      <c r="JC899">
        <v>328.3</v>
      </c>
      <c r="JD899">
        <v>0</v>
      </c>
      <c r="JE899">
        <v>0</v>
      </c>
      <c r="JF899">
        <v>0</v>
      </c>
      <c r="JG899">
        <v>0</v>
      </c>
      <c r="JH899">
        <v>287.3</v>
      </c>
      <c r="JI899">
        <v>68.2</v>
      </c>
      <c r="JJ899">
        <v>0</v>
      </c>
      <c r="JK899">
        <v>148.6</v>
      </c>
      <c r="JL899">
        <v>0</v>
      </c>
      <c r="JM899">
        <v>0</v>
      </c>
      <c r="JN899">
        <v>204.5</v>
      </c>
      <c r="JO899">
        <v>292.10000000000002</v>
      </c>
      <c r="JP899">
        <v>670.8</v>
      </c>
      <c r="JQ899">
        <v>745.2</v>
      </c>
      <c r="JR899">
        <v>242.9</v>
      </c>
    </row>
    <row r="900" spans="2:278" ht="18" thickBot="1">
      <c r="B900" s="368" t="s">
        <v>1277</v>
      </c>
      <c r="C900" s="411" t="s">
        <v>1573</v>
      </c>
      <c r="D900" s="368" t="s">
        <v>1437</v>
      </c>
      <c r="E900" s="454">
        <v>22829.8</v>
      </c>
      <c r="F900">
        <v>20193.400000000001</v>
      </c>
      <c r="G900" s="427">
        <v>0</v>
      </c>
      <c r="H900" s="155">
        <v>0</v>
      </c>
      <c r="I900">
        <v>0</v>
      </c>
      <c r="J900">
        <v>0</v>
      </c>
      <c r="K900">
        <v>0</v>
      </c>
      <c r="L900" s="4">
        <v>0</v>
      </c>
      <c r="M900" s="4">
        <v>0</v>
      </c>
      <c r="N900" s="4">
        <v>0</v>
      </c>
      <c r="O900" s="4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1476.4</v>
      </c>
      <c r="X900">
        <v>1482</v>
      </c>
      <c r="Y900">
        <v>457.20000000000005</v>
      </c>
      <c r="Z900">
        <v>0</v>
      </c>
      <c r="AA900">
        <v>0</v>
      </c>
      <c r="AB900">
        <v>0</v>
      </c>
      <c r="AC900">
        <v>0</v>
      </c>
      <c r="AD900">
        <v>3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1828.6</v>
      </c>
      <c r="AK900">
        <v>1800.7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560.70000000000005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0</v>
      </c>
      <c r="BN900">
        <v>0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  <c r="CF900">
        <v>0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  <c r="CN900">
        <v>0</v>
      </c>
      <c r="CO900">
        <v>0</v>
      </c>
      <c r="CP900">
        <v>3.5</v>
      </c>
      <c r="CQ900">
        <v>0</v>
      </c>
      <c r="CR900">
        <v>528</v>
      </c>
      <c r="CS900">
        <v>581.79999999999995</v>
      </c>
      <c r="CT900">
        <v>555.40000000000009</v>
      </c>
      <c r="CU900">
        <v>737.4</v>
      </c>
      <c r="CV900">
        <v>1039.0999999999999</v>
      </c>
      <c r="CW900">
        <v>1667.3</v>
      </c>
      <c r="CX900">
        <v>877.6</v>
      </c>
      <c r="CY900">
        <v>910.40000000000009</v>
      </c>
      <c r="CZ900">
        <v>0</v>
      </c>
      <c r="DA900">
        <v>0</v>
      </c>
      <c r="DB900">
        <v>0</v>
      </c>
      <c r="DC900">
        <v>0</v>
      </c>
      <c r="DD900">
        <v>0</v>
      </c>
      <c r="DE900">
        <v>0</v>
      </c>
      <c r="DF900">
        <v>0</v>
      </c>
      <c r="DG900">
        <v>0</v>
      </c>
      <c r="DH900">
        <v>0</v>
      </c>
      <c r="DI900">
        <v>0</v>
      </c>
      <c r="DJ900">
        <v>0</v>
      </c>
      <c r="DK900">
        <v>0</v>
      </c>
      <c r="DL900">
        <v>995.5</v>
      </c>
      <c r="DM900">
        <v>712.7</v>
      </c>
      <c r="DN900">
        <v>0</v>
      </c>
      <c r="DO900">
        <v>0</v>
      </c>
      <c r="DP900">
        <v>0</v>
      </c>
      <c r="DQ900">
        <v>0</v>
      </c>
      <c r="DR900">
        <v>0</v>
      </c>
      <c r="DS900">
        <v>0</v>
      </c>
      <c r="DT900">
        <v>0</v>
      </c>
      <c r="DU900">
        <v>0</v>
      </c>
      <c r="DV900">
        <v>0</v>
      </c>
      <c r="DW900">
        <v>0</v>
      </c>
      <c r="DX900">
        <v>0</v>
      </c>
      <c r="DY900">
        <v>0</v>
      </c>
      <c r="DZ900">
        <v>0</v>
      </c>
      <c r="EA900">
        <v>0</v>
      </c>
      <c r="EB900">
        <v>0</v>
      </c>
      <c r="EC900">
        <v>0</v>
      </c>
      <c r="ED900">
        <v>0</v>
      </c>
      <c r="EE900">
        <v>0</v>
      </c>
      <c r="EF900">
        <v>0</v>
      </c>
      <c r="EG900">
        <v>0</v>
      </c>
      <c r="EH900">
        <v>0</v>
      </c>
      <c r="EI900">
        <v>0</v>
      </c>
      <c r="EJ900">
        <v>0</v>
      </c>
      <c r="EK900">
        <v>0</v>
      </c>
      <c r="EL900">
        <v>0</v>
      </c>
      <c r="EM900">
        <v>0</v>
      </c>
      <c r="EN900">
        <v>27.4</v>
      </c>
      <c r="EO900">
        <v>0</v>
      </c>
      <c r="EP900">
        <v>1002.5</v>
      </c>
      <c r="EQ900">
        <v>0</v>
      </c>
      <c r="ER900">
        <v>494</v>
      </c>
      <c r="ES900">
        <v>0</v>
      </c>
      <c r="ET900">
        <v>699.3</v>
      </c>
      <c r="EU900">
        <v>435.4</v>
      </c>
      <c r="EV900">
        <v>0</v>
      </c>
      <c r="EW900">
        <v>0</v>
      </c>
      <c r="EX900">
        <v>0</v>
      </c>
      <c r="EY900">
        <v>0</v>
      </c>
      <c r="EZ900">
        <v>0</v>
      </c>
      <c r="FA900">
        <v>0</v>
      </c>
      <c r="FB900">
        <v>0</v>
      </c>
      <c r="FC900">
        <v>0</v>
      </c>
      <c r="FD900">
        <v>95.6</v>
      </c>
      <c r="FE900">
        <v>1792.1</v>
      </c>
      <c r="FF900">
        <v>1740.1999999999998</v>
      </c>
      <c r="FG900">
        <v>954.9</v>
      </c>
      <c r="FH900">
        <v>1087.8000000000002</v>
      </c>
      <c r="FI900">
        <v>1892.1</v>
      </c>
      <c r="FJ900">
        <v>1222.5</v>
      </c>
      <c r="FK900">
        <v>678.3</v>
      </c>
      <c r="FL900">
        <v>639.1</v>
      </c>
      <c r="FM900">
        <v>520.5</v>
      </c>
      <c r="FN900">
        <v>123.8</v>
      </c>
      <c r="FO900">
        <v>181.6</v>
      </c>
      <c r="FP900">
        <v>1090.5</v>
      </c>
      <c r="FQ900">
        <v>0</v>
      </c>
      <c r="FR900">
        <v>0</v>
      </c>
      <c r="FS900">
        <v>0</v>
      </c>
      <c r="FT900">
        <v>0</v>
      </c>
      <c r="FU900">
        <v>0</v>
      </c>
      <c r="FV900">
        <v>0</v>
      </c>
      <c r="FW900">
        <v>0</v>
      </c>
      <c r="FX900">
        <v>0</v>
      </c>
      <c r="FY900">
        <v>0</v>
      </c>
      <c r="FZ900">
        <v>0</v>
      </c>
      <c r="GA900">
        <v>0</v>
      </c>
      <c r="GB900">
        <v>0</v>
      </c>
      <c r="GC900">
        <v>0</v>
      </c>
      <c r="GD900">
        <v>0</v>
      </c>
      <c r="GE900">
        <v>0</v>
      </c>
      <c r="GF900">
        <v>198.3</v>
      </c>
      <c r="GG900">
        <v>1054.4000000000001</v>
      </c>
      <c r="GH900">
        <v>552.79999999999995</v>
      </c>
      <c r="GI900">
        <v>522</v>
      </c>
      <c r="GJ900">
        <v>0</v>
      </c>
      <c r="GK900">
        <v>0</v>
      </c>
      <c r="GL900">
        <v>0</v>
      </c>
      <c r="GM900">
        <v>0</v>
      </c>
      <c r="GN900">
        <v>791.40000000000009</v>
      </c>
      <c r="GO900">
        <v>1816.5</v>
      </c>
      <c r="GP900">
        <v>0</v>
      </c>
      <c r="GQ900">
        <v>0</v>
      </c>
      <c r="GR900">
        <v>0</v>
      </c>
      <c r="GS900">
        <v>0</v>
      </c>
      <c r="GT900">
        <v>0</v>
      </c>
      <c r="GU900">
        <v>0</v>
      </c>
      <c r="GV900">
        <v>0</v>
      </c>
      <c r="GW900">
        <v>0</v>
      </c>
      <c r="GX900">
        <v>0</v>
      </c>
      <c r="GY900">
        <v>840.3</v>
      </c>
      <c r="GZ900">
        <v>0</v>
      </c>
      <c r="HA900">
        <v>0</v>
      </c>
      <c r="HB900">
        <v>0</v>
      </c>
      <c r="HC900">
        <v>380.4</v>
      </c>
      <c r="HD900">
        <v>2175.5</v>
      </c>
      <c r="HE900">
        <v>0</v>
      </c>
      <c r="HF900">
        <v>0</v>
      </c>
      <c r="HG900">
        <v>0</v>
      </c>
      <c r="HH900">
        <v>0</v>
      </c>
      <c r="HI900">
        <v>0</v>
      </c>
      <c r="HJ900">
        <v>803.40000000000009</v>
      </c>
      <c r="HK900">
        <v>1270.9000000000001</v>
      </c>
      <c r="HL900">
        <v>835.7</v>
      </c>
      <c r="HM900">
        <v>1162.5999999999999</v>
      </c>
      <c r="HN900">
        <v>0</v>
      </c>
      <c r="HO900">
        <v>0</v>
      </c>
      <c r="HP900">
        <v>0</v>
      </c>
      <c r="HQ900">
        <v>0</v>
      </c>
      <c r="HR900">
        <v>161.19999999999999</v>
      </c>
      <c r="HS900">
        <v>0</v>
      </c>
      <c r="HT900">
        <v>2048.5</v>
      </c>
      <c r="HU900">
        <v>2627.5</v>
      </c>
      <c r="HV900">
        <v>1168.5999999999999</v>
      </c>
      <c r="HW900">
        <v>388</v>
      </c>
      <c r="HX900">
        <v>0</v>
      </c>
      <c r="HY900">
        <v>0</v>
      </c>
      <c r="HZ900">
        <v>0</v>
      </c>
      <c r="IA900">
        <v>0</v>
      </c>
      <c r="IB900">
        <v>0</v>
      </c>
      <c r="IC900">
        <v>594.4</v>
      </c>
      <c r="ID900">
        <v>427.4</v>
      </c>
      <c r="IE900">
        <v>713.3</v>
      </c>
      <c r="IF900">
        <v>626.1</v>
      </c>
      <c r="IG900">
        <v>0</v>
      </c>
      <c r="IH900">
        <v>0</v>
      </c>
      <c r="II900">
        <v>995.7</v>
      </c>
      <c r="IJ900">
        <v>1156.5999999999999</v>
      </c>
      <c r="IK900">
        <v>864.6</v>
      </c>
      <c r="IL900">
        <v>316.5</v>
      </c>
      <c r="IM900">
        <v>101.5</v>
      </c>
      <c r="IN900">
        <v>71.8</v>
      </c>
      <c r="IO900">
        <v>0</v>
      </c>
      <c r="IP900">
        <v>0</v>
      </c>
      <c r="IQ900">
        <v>0</v>
      </c>
      <c r="IR900">
        <v>0</v>
      </c>
      <c r="IS900">
        <v>0</v>
      </c>
      <c r="IT900">
        <v>0</v>
      </c>
      <c r="IU900">
        <v>0</v>
      </c>
      <c r="IV900">
        <v>0</v>
      </c>
      <c r="IW900">
        <v>68</v>
      </c>
      <c r="IX900">
        <v>404.7</v>
      </c>
      <c r="IY900">
        <v>126.6</v>
      </c>
      <c r="IZ900">
        <v>126.6</v>
      </c>
      <c r="JA900">
        <v>503.7</v>
      </c>
      <c r="JB900">
        <v>570.1</v>
      </c>
      <c r="JC900">
        <v>328.3</v>
      </c>
      <c r="JD900">
        <v>0</v>
      </c>
      <c r="JE900">
        <v>0</v>
      </c>
      <c r="JF900">
        <v>0</v>
      </c>
      <c r="JG900">
        <v>0</v>
      </c>
      <c r="JH900">
        <v>287.3</v>
      </c>
      <c r="JI900">
        <v>68.2</v>
      </c>
      <c r="JJ900">
        <v>0</v>
      </c>
      <c r="JK900">
        <v>148.6</v>
      </c>
      <c r="JL900">
        <v>0</v>
      </c>
      <c r="JM900">
        <v>0</v>
      </c>
      <c r="JN900">
        <v>204.5</v>
      </c>
      <c r="JO900">
        <v>292.10000000000002</v>
      </c>
      <c r="JP900">
        <v>670.8</v>
      </c>
      <c r="JQ900">
        <v>745.2</v>
      </c>
      <c r="JR900">
        <v>242.9</v>
      </c>
    </row>
    <row r="901" spans="2:278" ht="18" thickBot="1">
      <c r="B901" s="368" t="s">
        <v>453</v>
      </c>
      <c r="C901" s="411" t="s">
        <v>1574</v>
      </c>
      <c r="D901" s="368" t="s">
        <v>1438</v>
      </c>
      <c r="E901" s="454">
        <v>22829.8</v>
      </c>
      <c r="F901">
        <v>20193.400000000001</v>
      </c>
      <c r="G901" s="427">
        <v>0</v>
      </c>
      <c r="H901" s="155">
        <v>0</v>
      </c>
      <c r="I901">
        <v>0</v>
      </c>
      <c r="J901">
        <v>0</v>
      </c>
      <c r="K901">
        <v>0</v>
      </c>
      <c r="L901" s="4">
        <v>0</v>
      </c>
      <c r="M901" s="4">
        <v>0</v>
      </c>
      <c r="N901" s="4">
        <v>0</v>
      </c>
      <c r="O901" s="4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1476.4</v>
      </c>
      <c r="X901">
        <v>1482</v>
      </c>
      <c r="Y901">
        <v>457.20000000000005</v>
      </c>
      <c r="Z901">
        <v>0</v>
      </c>
      <c r="AA901">
        <v>0</v>
      </c>
      <c r="AB901">
        <v>0</v>
      </c>
      <c r="AC901">
        <v>0</v>
      </c>
      <c r="AD901">
        <v>3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1828.6</v>
      </c>
      <c r="AK901">
        <v>1800.7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560.70000000000005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  <c r="CF901">
        <v>0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  <c r="CN901">
        <v>0</v>
      </c>
      <c r="CO901">
        <v>0</v>
      </c>
      <c r="CP901">
        <v>3.5</v>
      </c>
      <c r="CQ901">
        <v>0</v>
      </c>
      <c r="CR901">
        <v>528</v>
      </c>
      <c r="CS901">
        <v>581.79999999999995</v>
      </c>
      <c r="CT901">
        <v>555.40000000000009</v>
      </c>
      <c r="CU901">
        <v>737.4</v>
      </c>
      <c r="CV901">
        <v>1039.0999999999999</v>
      </c>
      <c r="CW901">
        <v>1667.3</v>
      </c>
      <c r="CX901">
        <v>877.6</v>
      </c>
      <c r="CY901">
        <v>910.40000000000009</v>
      </c>
      <c r="CZ901">
        <v>0</v>
      </c>
      <c r="DA901">
        <v>0</v>
      </c>
      <c r="DB901">
        <v>0</v>
      </c>
      <c r="DC901">
        <v>0</v>
      </c>
      <c r="DD901">
        <v>0</v>
      </c>
      <c r="DE901">
        <v>0</v>
      </c>
      <c r="DF901">
        <v>0</v>
      </c>
      <c r="DG901">
        <v>0</v>
      </c>
      <c r="DH901">
        <v>0</v>
      </c>
      <c r="DI901">
        <v>0</v>
      </c>
      <c r="DJ901">
        <v>0</v>
      </c>
      <c r="DK901">
        <v>0</v>
      </c>
      <c r="DL901">
        <v>995.5</v>
      </c>
      <c r="DM901">
        <v>712.7</v>
      </c>
      <c r="DN901">
        <v>0</v>
      </c>
      <c r="DO901">
        <v>0</v>
      </c>
      <c r="DP901">
        <v>0</v>
      </c>
      <c r="DQ901">
        <v>0</v>
      </c>
      <c r="DR901">
        <v>0</v>
      </c>
      <c r="DS901">
        <v>0</v>
      </c>
      <c r="DT901">
        <v>0</v>
      </c>
      <c r="DU901">
        <v>0</v>
      </c>
      <c r="DV901">
        <v>0</v>
      </c>
      <c r="DW901">
        <v>0</v>
      </c>
      <c r="DX901">
        <v>0</v>
      </c>
      <c r="DY901">
        <v>0</v>
      </c>
      <c r="DZ901">
        <v>0</v>
      </c>
      <c r="EA901">
        <v>0</v>
      </c>
      <c r="EB901">
        <v>0</v>
      </c>
      <c r="EC901">
        <v>0</v>
      </c>
      <c r="ED901">
        <v>0</v>
      </c>
      <c r="EE901">
        <v>0</v>
      </c>
      <c r="EF901">
        <v>0</v>
      </c>
      <c r="EG901">
        <v>0</v>
      </c>
      <c r="EH901">
        <v>0</v>
      </c>
      <c r="EI901">
        <v>0</v>
      </c>
      <c r="EJ901">
        <v>0</v>
      </c>
      <c r="EK901">
        <v>0</v>
      </c>
      <c r="EL901">
        <v>0</v>
      </c>
      <c r="EM901">
        <v>0</v>
      </c>
      <c r="EN901">
        <v>27.4</v>
      </c>
      <c r="EO901">
        <v>0</v>
      </c>
      <c r="EP901">
        <v>1002.5</v>
      </c>
      <c r="EQ901">
        <v>0</v>
      </c>
      <c r="ER901">
        <v>494</v>
      </c>
      <c r="ES901">
        <v>0</v>
      </c>
      <c r="ET901">
        <v>699.3</v>
      </c>
      <c r="EU901">
        <v>435.4</v>
      </c>
      <c r="EV901">
        <v>0</v>
      </c>
      <c r="EW901">
        <v>0</v>
      </c>
      <c r="EX901">
        <v>0</v>
      </c>
      <c r="EY901">
        <v>0</v>
      </c>
      <c r="EZ901">
        <v>0</v>
      </c>
      <c r="FA901">
        <v>0</v>
      </c>
      <c r="FB901">
        <v>0</v>
      </c>
      <c r="FC901">
        <v>0</v>
      </c>
      <c r="FD901">
        <v>95.6</v>
      </c>
      <c r="FE901">
        <v>1792.1</v>
      </c>
      <c r="FF901">
        <v>1740.1999999999998</v>
      </c>
      <c r="FG901">
        <v>954.9</v>
      </c>
      <c r="FH901">
        <v>1087.8000000000002</v>
      </c>
      <c r="FI901">
        <v>1892.1</v>
      </c>
      <c r="FJ901">
        <v>1222.5</v>
      </c>
      <c r="FK901">
        <v>678.3</v>
      </c>
      <c r="FL901">
        <v>639.1</v>
      </c>
      <c r="FM901">
        <v>520.5</v>
      </c>
      <c r="FN901">
        <v>123.8</v>
      </c>
      <c r="FO901">
        <v>181.6</v>
      </c>
      <c r="FP901">
        <v>1090.5</v>
      </c>
      <c r="FQ901">
        <v>0</v>
      </c>
      <c r="FR901">
        <v>0</v>
      </c>
      <c r="FS901">
        <v>0</v>
      </c>
      <c r="FT901">
        <v>0</v>
      </c>
      <c r="FU901">
        <v>0</v>
      </c>
      <c r="FV901">
        <v>0</v>
      </c>
      <c r="FW901">
        <v>0</v>
      </c>
      <c r="FX901">
        <v>0</v>
      </c>
      <c r="FY901">
        <v>0</v>
      </c>
      <c r="FZ901">
        <v>0</v>
      </c>
      <c r="GA901">
        <v>0</v>
      </c>
      <c r="GB901">
        <v>0</v>
      </c>
      <c r="GC901">
        <v>0</v>
      </c>
      <c r="GD901">
        <v>0</v>
      </c>
      <c r="GE901">
        <v>0</v>
      </c>
      <c r="GF901">
        <v>198.3</v>
      </c>
      <c r="GG901">
        <v>1054.4000000000001</v>
      </c>
      <c r="GH901">
        <v>552.79999999999995</v>
      </c>
      <c r="GI901">
        <v>522</v>
      </c>
      <c r="GJ901">
        <v>0</v>
      </c>
      <c r="GK901">
        <v>0</v>
      </c>
      <c r="GL901">
        <v>0</v>
      </c>
      <c r="GM901">
        <v>0</v>
      </c>
      <c r="GN901">
        <v>791.40000000000009</v>
      </c>
      <c r="GO901">
        <v>1816.5</v>
      </c>
      <c r="GP901">
        <v>0</v>
      </c>
      <c r="GQ901">
        <v>0</v>
      </c>
      <c r="GR901">
        <v>0</v>
      </c>
      <c r="GS901">
        <v>0</v>
      </c>
      <c r="GT901">
        <v>0</v>
      </c>
      <c r="GU901">
        <v>0</v>
      </c>
      <c r="GV901">
        <v>0</v>
      </c>
      <c r="GW901">
        <v>0</v>
      </c>
      <c r="GX901">
        <v>0</v>
      </c>
      <c r="GY901">
        <v>840.3</v>
      </c>
      <c r="GZ901">
        <v>0</v>
      </c>
      <c r="HA901">
        <v>0</v>
      </c>
      <c r="HB901">
        <v>0</v>
      </c>
      <c r="HC901">
        <v>380.4</v>
      </c>
      <c r="HD901">
        <v>2175.5</v>
      </c>
      <c r="HE901">
        <v>0</v>
      </c>
      <c r="HF901">
        <v>0</v>
      </c>
      <c r="HG901">
        <v>0</v>
      </c>
      <c r="HH901">
        <v>0</v>
      </c>
      <c r="HI901">
        <v>0</v>
      </c>
      <c r="HJ901">
        <v>803.40000000000009</v>
      </c>
      <c r="HK901">
        <v>1270.9000000000001</v>
      </c>
      <c r="HL901">
        <v>835.7</v>
      </c>
      <c r="HM901">
        <v>1162.5999999999999</v>
      </c>
      <c r="HN901">
        <v>0</v>
      </c>
      <c r="HO901">
        <v>0</v>
      </c>
      <c r="HP901">
        <v>0</v>
      </c>
      <c r="HQ901">
        <v>0</v>
      </c>
      <c r="HR901">
        <v>161.19999999999999</v>
      </c>
      <c r="HS901">
        <v>0</v>
      </c>
      <c r="HT901">
        <v>2048.5</v>
      </c>
      <c r="HU901">
        <v>2627.5</v>
      </c>
      <c r="HV901">
        <v>1168.5999999999999</v>
      </c>
      <c r="HW901">
        <v>388</v>
      </c>
      <c r="HX901">
        <v>0</v>
      </c>
      <c r="HY901">
        <v>0</v>
      </c>
      <c r="HZ901">
        <v>0</v>
      </c>
      <c r="IA901">
        <v>0</v>
      </c>
      <c r="IB901">
        <v>0</v>
      </c>
      <c r="IC901">
        <v>594.4</v>
      </c>
      <c r="ID901">
        <v>427.4</v>
      </c>
      <c r="IE901">
        <v>713.3</v>
      </c>
      <c r="IF901">
        <v>626.1</v>
      </c>
      <c r="IG901">
        <v>0</v>
      </c>
      <c r="IH901">
        <v>0</v>
      </c>
      <c r="II901">
        <v>995.7</v>
      </c>
      <c r="IJ901">
        <v>1156.5999999999999</v>
      </c>
      <c r="IK901">
        <v>864.6</v>
      </c>
      <c r="IL901">
        <v>316.5</v>
      </c>
      <c r="IM901">
        <v>101.5</v>
      </c>
      <c r="IN901">
        <v>71.8</v>
      </c>
      <c r="IO901">
        <v>0</v>
      </c>
      <c r="IP901">
        <v>0</v>
      </c>
      <c r="IQ901">
        <v>0</v>
      </c>
      <c r="IR901">
        <v>0</v>
      </c>
      <c r="IS901">
        <v>0</v>
      </c>
      <c r="IT901">
        <v>0</v>
      </c>
      <c r="IU901">
        <v>0</v>
      </c>
      <c r="IV901">
        <v>0</v>
      </c>
      <c r="IW901">
        <v>68</v>
      </c>
      <c r="IX901">
        <v>404.7</v>
      </c>
      <c r="IY901">
        <v>126.6</v>
      </c>
      <c r="IZ901">
        <v>126.6</v>
      </c>
      <c r="JA901">
        <v>503.7</v>
      </c>
      <c r="JB901">
        <v>570.1</v>
      </c>
      <c r="JC901">
        <v>328.3</v>
      </c>
      <c r="JD901">
        <v>0</v>
      </c>
      <c r="JE901">
        <v>0</v>
      </c>
      <c r="JF901">
        <v>0</v>
      </c>
      <c r="JG901">
        <v>0</v>
      </c>
      <c r="JH901">
        <v>287.3</v>
      </c>
      <c r="JI901">
        <v>68.2</v>
      </c>
      <c r="JJ901">
        <v>0</v>
      </c>
      <c r="JK901">
        <v>148.6</v>
      </c>
      <c r="JL901">
        <v>0</v>
      </c>
      <c r="JM901">
        <v>0</v>
      </c>
      <c r="JN901">
        <v>204.5</v>
      </c>
      <c r="JO901">
        <v>292.10000000000002</v>
      </c>
      <c r="JP901">
        <v>670.8</v>
      </c>
      <c r="JQ901">
        <v>745.2</v>
      </c>
      <c r="JR901">
        <v>242.9</v>
      </c>
    </row>
    <row r="902" spans="2:278" ht="18" thickBot="1">
      <c r="B902" s="368" t="s">
        <v>1278</v>
      </c>
      <c r="C902" s="413" t="s">
        <v>1575</v>
      </c>
      <c r="D902" s="368" t="s">
        <v>1439</v>
      </c>
      <c r="E902" s="454">
        <v>22829.8</v>
      </c>
      <c r="F902">
        <v>20193.400000000001</v>
      </c>
      <c r="G902" s="427">
        <v>0</v>
      </c>
      <c r="H902" s="155">
        <v>0</v>
      </c>
      <c r="I902">
        <v>0</v>
      </c>
      <c r="J902">
        <v>0</v>
      </c>
      <c r="K902">
        <v>0</v>
      </c>
      <c r="L902" s="4">
        <v>0</v>
      </c>
      <c r="M902" s="4">
        <v>0</v>
      </c>
      <c r="N902" s="4">
        <v>0</v>
      </c>
      <c r="O902" s="4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1476.4</v>
      </c>
      <c r="X902">
        <v>1482</v>
      </c>
      <c r="Y902">
        <v>457.20000000000005</v>
      </c>
      <c r="Z902">
        <v>0</v>
      </c>
      <c r="AA902">
        <v>0</v>
      </c>
      <c r="AB902">
        <v>0</v>
      </c>
      <c r="AC902">
        <v>0</v>
      </c>
      <c r="AD902">
        <v>3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1828.6</v>
      </c>
      <c r="AK902">
        <v>1800.7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560.70000000000005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0</v>
      </c>
      <c r="BP902">
        <v>0</v>
      </c>
      <c r="BQ902">
        <v>0</v>
      </c>
      <c r="BR902">
        <v>0</v>
      </c>
      <c r="BS902">
        <v>0</v>
      </c>
      <c r="BT902">
        <v>0</v>
      </c>
      <c r="BU902">
        <v>0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  <c r="CF902">
        <v>0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  <c r="CN902">
        <v>0</v>
      </c>
      <c r="CO902">
        <v>0</v>
      </c>
      <c r="CP902">
        <v>3.5</v>
      </c>
      <c r="CQ902">
        <v>0</v>
      </c>
      <c r="CR902">
        <v>528</v>
      </c>
      <c r="CS902">
        <v>581.79999999999995</v>
      </c>
      <c r="CT902">
        <v>555.40000000000009</v>
      </c>
      <c r="CU902">
        <v>737.4</v>
      </c>
      <c r="CV902">
        <v>1039.0999999999999</v>
      </c>
      <c r="CW902">
        <v>1667.3</v>
      </c>
      <c r="CX902">
        <v>877.6</v>
      </c>
      <c r="CY902">
        <v>910.40000000000009</v>
      </c>
      <c r="CZ902">
        <v>0</v>
      </c>
      <c r="DA902">
        <v>0</v>
      </c>
      <c r="DB902">
        <v>0</v>
      </c>
      <c r="DC902">
        <v>0</v>
      </c>
      <c r="DD902">
        <v>0</v>
      </c>
      <c r="DE902">
        <v>0</v>
      </c>
      <c r="DF902">
        <v>0</v>
      </c>
      <c r="DG902">
        <v>0</v>
      </c>
      <c r="DH902">
        <v>0</v>
      </c>
      <c r="DI902">
        <v>0</v>
      </c>
      <c r="DJ902">
        <v>0</v>
      </c>
      <c r="DK902">
        <v>0</v>
      </c>
      <c r="DL902">
        <v>995.5</v>
      </c>
      <c r="DM902">
        <v>712.7</v>
      </c>
      <c r="DN902">
        <v>0</v>
      </c>
      <c r="DO902">
        <v>0</v>
      </c>
      <c r="DP902">
        <v>0</v>
      </c>
      <c r="DQ902">
        <v>0</v>
      </c>
      <c r="DR902">
        <v>0</v>
      </c>
      <c r="DS902">
        <v>0</v>
      </c>
      <c r="DT902">
        <v>0</v>
      </c>
      <c r="DU902">
        <v>0</v>
      </c>
      <c r="DV902">
        <v>0</v>
      </c>
      <c r="DW902">
        <v>0</v>
      </c>
      <c r="DX902">
        <v>0</v>
      </c>
      <c r="DY902">
        <v>0</v>
      </c>
      <c r="DZ902">
        <v>0</v>
      </c>
      <c r="EA902">
        <v>0</v>
      </c>
      <c r="EB902">
        <v>0</v>
      </c>
      <c r="EC902">
        <v>0</v>
      </c>
      <c r="ED902">
        <v>0</v>
      </c>
      <c r="EE902">
        <v>0</v>
      </c>
      <c r="EF902">
        <v>0</v>
      </c>
      <c r="EG902">
        <v>0</v>
      </c>
      <c r="EH902">
        <v>0</v>
      </c>
      <c r="EI902">
        <v>0</v>
      </c>
      <c r="EJ902">
        <v>0</v>
      </c>
      <c r="EK902">
        <v>0</v>
      </c>
      <c r="EL902">
        <v>0</v>
      </c>
      <c r="EM902">
        <v>0</v>
      </c>
      <c r="EN902">
        <v>27.4</v>
      </c>
      <c r="EO902">
        <v>0</v>
      </c>
      <c r="EP902">
        <v>1002.5</v>
      </c>
      <c r="EQ902">
        <v>0</v>
      </c>
      <c r="ER902">
        <v>494</v>
      </c>
      <c r="ES902">
        <v>0</v>
      </c>
      <c r="ET902">
        <v>699.3</v>
      </c>
      <c r="EU902">
        <v>435.4</v>
      </c>
      <c r="EV902">
        <v>0</v>
      </c>
      <c r="EW902">
        <v>0</v>
      </c>
      <c r="EX902">
        <v>0</v>
      </c>
      <c r="EY902">
        <v>0</v>
      </c>
      <c r="EZ902">
        <v>0</v>
      </c>
      <c r="FA902">
        <v>0</v>
      </c>
      <c r="FB902">
        <v>0</v>
      </c>
      <c r="FC902">
        <v>0</v>
      </c>
      <c r="FD902">
        <v>95.6</v>
      </c>
      <c r="FE902">
        <v>1792.1</v>
      </c>
      <c r="FF902">
        <v>1740.1999999999998</v>
      </c>
      <c r="FG902">
        <v>954.9</v>
      </c>
      <c r="FH902">
        <v>1087.8000000000002</v>
      </c>
      <c r="FI902">
        <v>1892.1</v>
      </c>
      <c r="FJ902">
        <v>1222.5</v>
      </c>
      <c r="FK902">
        <v>678.3</v>
      </c>
      <c r="FL902">
        <v>639.1</v>
      </c>
      <c r="FM902">
        <v>520.5</v>
      </c>
      <c r="FN902">
        <v>123.8</v>
      </c>
      <c r="FO902">
        <v>181.6</v>
      </c>
      <c r="FP902">
        <v>1090.5</v>
      </c>
      <c r="FQ902">
        <v>0</v>
      </c>
      <c r="FR902">
        <v>0</v>
      </c>
      <c r="FS902">
        <v>0</v>
      </c>
      <c r="FT902">
        <v>0</v>
      </c>
      <c r="FU902">
        <v>0</v>
      </c>
      <c r="FV902">
        <v>0</v>
      </c>
      <c r="FW902">
        <v>0</v>
      </c>
      <c r="FX902">
        <v>0</v>
      </c>
      <c r="FY902">
        <v>0</v>
      </c>
      <c r="FZ902">
        <v>0</v>
      </c>
      <c r="GA902">
        <v>0</v>
      </c>
      <c r="GB902">
        <v>0</v>
      </c>
      <c r="GC902">
        <v>0</v>
      </c>
      <c r="GD902">
        <v>0</v>
      </c>
      <c r="GE902">
        <v>0</v>
      </c>
      <c r="GF902">
        <v>198.3</v>
      </c>
      <c r="GG902">
        <v>1054.4000000000001</v>
      </c>
      <c r="GH902">
        <v>552.79999999999995</v>
      </c>
      <c r="GI902">
        <v>522</v>
      </c>
      <c r="GJ902">
        <v>0</v>
      </c>
      <c r="GK902">
        <v>0</v>
      </c>
      <c r="GL902">
        <v>0</v>
      </c>
      <c r="GM902">
        <v>0</v>
      </c>
      <c r="GN902">
        <v>791.40000000000009</v>
      </c>
      <c r="GO902">
        <v>1816.5</v>
      </c>
      <c r="GP902">
        <v>0</v>
      </c>
      <c r="GQ902">
        <v>0</v>
      </c>
      <c r="GR902">
        <v>0</v>
      </c>
      <c r="GS902">
        <v>0</v>
      </c>
      <c r="GT902">
        <v>0</v>
      </c>
      <c r="GU902">
        <v>0</v>
      </c>
      <c r="GV902">
        <v>0</v>
      </c>
      <c r="GW902">
        <v>0</v>
      </c>
      <c r="GX902">
        <v>0</v>
      </c>
      <c r="GY902">
        <v>840.3</v>
      </c>
      <c r="GZ902">
        <v>0</v>
      </c>
      <c r="HA902">
        <v>0</v>
      </c>
      <c r="HB902">
        <v>0</v>
      </c>
      <c r="HC902">
        <v>380.4</v>
      </c>
      <c r="HD902">
        <v>2175.5</v>
      </c>
      <c r="HE902">
        <v>0</v>
      </c>
      <c r="HF902">
        <v>0</v>
      </c>
      <c r="HG902">
        <v>0</v>
      </c>
      <c r="HH902">
        <v>0</v>
      </c>
      <c r="HI902">
        <v>0</v>
      </c>
      <c r="HJ902">
        <v>803.40000000000009</v>
      </c>
      <c r="HK902">
        <v>1270.9000000000001</v>
      </c>
      <c r="HL902">
        <v>835.7</v>
      </c>
      <c r="HM902">
        <v>1162.5999999999999</v>
      </c>
      <c r="HN902">
        <v>0</v>
      </c>
      <c r="HO902">
        <v>0</v>
      </c>
      <c r="HP902">
        <v>0</v>
      </c>
      <c r="HQ902">
        <v>0</v>
      </c>
      <c r="HR902">
        <v>161.19999999999999</v>
      </c>
      <c r="HS902">
        <v>0</v>
      </c>
      <c r="HT902">
        <v>2048.5</v>
      </c>
      <c r="HU902">
        <v>2627.5</v>
      </c>
      <c r="HV902">
        <v>1168.5999999999999</v>
      </c>
      <c r="HW902">
        <v>388</v>
      </c>
      <c r="HX902">
        <v>0</v>
      </c>
      <c r="HY902">
        <v>0</v>
      </c>
      <c r="HZ902">
        <v>0</v>
      </c>
      <c r="IA902">
        <v>0</v>
      </c>
      <c r="IB902">
        <v>0</v>
      </c>
      <c r="IC902">
        <v>594.4</v>
      </c>
      <c r="ID902">
        <v>427.4</v>
      </c>
      <c r="IE902">
        <v>713.3</v>
      </c>
      <c r="IF902">
        <v>626.1</v>
      </c>
      <c r="IG902">
        <v>0</v>
      </c>
      <c r="IH902">
        <v>0</v>
      </c>
      <c r="II902">
        <v>995.7</v>
      </c>
      <c r="IJ902">
        <v>1156.5999999999999</v>
      </c>
      <c r="IK902">
        <v>864.6</v>
      </c>
      <c r="IL902">
        <v>316.5</v>
      </c>
      <c r="IM902">
        <v>101.5</v>
      </c>
      <c r="IN902">
        <v>71.8</v>
      </c>
      <c r="IO902">
        <v>0</v>
      </c>
      <c r="IP902">
        <v>0</v>
      </c>
      <c r="IQ902">
        <v>0</v>
      </c>
      <c r="IR902">
        <v>0</v>
      </c>
      <c r="IS902">
        <v>0</v>
      </c>
      <c r="IT902">
        <v>0</v>
      </c>
      <c r="IU902">
        <v>0</v>
      </c>
      <c r="IV902">
        <v>0</v>
      </c>
      <c r="IW902">
        <v>68</v>
      </c>
      <c r="IX902">
        <v>404.7</v>
      </c>
      <c r="IY902">
        <v>126.6</v>
      </c>
      <c r="IZ902">
        <v>126.6</v>
      </c>
      <c r="JA902">
        <v>503.7</v>
      </c>
      <c r="JB902">
        <v>570.1</v>
      </c>
      <c r="JC902">
        <v>328.3</v>
      </c>
      <c r="JD902">
        <v>0</v>
      </c>
      <c r="JE902">
        <v>0</v>
      </c>
      <c r="JF902">
        <v>0</v>
      </c>
      <c r="JG902">
        <v>0</v>
      </c>
      <c r="JH902">
        <v>287.3</v>
      </c>
      <c r="JI902">
        <v>68.2</v>
      </c>
      <c r="JJ902">
        <v>0</v>
      </c>
      <c r="JK902">
        <v>148.6</v>
      </c>
      <c r="JL902">
        <v>0</v>
      </c>
      <c r="JM902">
        <v>0</v>
      </c>
      <c r="JN902">
        <v>204.5</v>
      </c>
      <c r="JO902">
        <v>292.10000000000002</v>
      </c>
      <c r="JP902">
        <v>670.8</v>
      </c>
      <c r="JQ902">
        <v>745.2</v>
      </c>
      <c r="JR902">
        <v>242.9</v>
      </c>
    </row>
    <row r="903" spans="2:278" ht="18" thickBot="1">
      <c r="B903" s="368" t="s">
        <v>1279</v>
      </c>
      <c r="C903" s="413" t="s">
        <v>1576</v>
      </c>
      <c r="D903" s="368" t="s">
        <v>1440</v>
      </c>
      <c r="E903" s="454">
        <v>22829.8</v>
      </c>
      <c r="F903">
        <v>20193.400000000001</v>
      </c>
      <c r="G903" s="427">
        <v>0</v>
      </c>
      <c r="H903" s="155">
        <v>0</v>
      </c>
      <c r="I903">
        <v>0</v>
      </c>
      <c r="J903">
        <v>0</v>
      </c>
      <c r="K903">
        <v>0</v>
      </c>
      <c r="L903" s="4">
        <v>0</v>
      </c>
      <c r="M903" s="4">
        <v>0</v>
      </c>
      <c r="N903" s="4">
        <v>0</v>
      </c>
      <c r="O903" s="4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1476.4</v>
      </c>
      <c r="X903">
        <v>1482</v>
      </c>
      <c r="Y903">
        <v>457.20000000000005</v>
      </c>
      <c r="Z903">
        <v>0</v>
      </c>
      <c r="AA903">
        <v>0</v>
      </c>
      <c r="AB903">
        <v>0</v>
      </c>
      <c r="AC903">
        <v>0</v>
      </c>
      <c r="AD903">
        <v>3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1828.6</v>
      </c>
      <c r="AK903">
        <v>1800.7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560.70000000000005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  <c r="CF903">
        <v>0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  <c r="CN903">
        <v>0</v>
      </c>
      <c r="CO903">
        <v>0</v>
      </c>
      <c r="CP903">
        <v>3.5</v>
      </c>
      <c r="CQ903">
        <v>0</v>
      </c>
      <c r="CR903">
        <v>528</v>
      </c>
      <c r="CS903">
        <v>581.79999999999995</v>
      </c>
      <c r="CT903">
        <v>555.40000000000009</v>
      </c>
      <c r="CU903">
        <v>737.4</v>
      </c>
      <c r="CV903">
        <v>1039.0999999999999</v>
      </c>
      <c r="CW903">
        <v>1667.3</v>
      </c>
      <c r="CX903">
        <v>877.6</v>
      </c>
      <c r="CY903">
        <v>910.40000000000009</v>
      </c>
      <c r="CZ903">
        <v>0</v>
      </c>
      <c r="DA903">
        <v>0</v>
      </c>
      <c r="DB903">
        <v>0</v>
      </c>
      <c r="DC903">
        <v>0</v>
      </c>
      <c r="DD903">
        <v>0</v>
      </c>
      <c r="DE903">
        <v>0</v>
      </c>
      <c r="DF903">
        <v>0</v>
      </c>
      <c r="DG903">
        <v>0</v>
      </c>
      <c r="DH903">
        <v>0</v>
      </c>
      <c r="DI903">
        <v>0</v>
      </c>
      <c r="DJ903">
        <v>0</v>
      </c>
      <c r="DK903">
        <v>0</v>
      </c>
      <c r="DL903">
        <v>995.5</v>
      </c>
      <c r="DM903">
        <v>712.7</v>
      </c>
      <c r="DN903">
        <v>0</v>
      </c>
      <c r="DO903">
        <v>0</v>
      </c>
      <c r="DP903">
        <v>0</v>
      </c>
      <c r="DQ903">
        <v>0</v>
      </c>
      <c r="DR903">
        <v>0</v>
      </c>
      <c r="DS903">
        <v>0</v>
      </c>
      <c r="DT903">
        <v>0</v>
      </c>
      <c r="DU903">
        <v>0</v>
      </c>
      <c r="DV903">
        <v>0</v>
      </c>
      <c r="DW903">
        <v>0</v>
      </c>
      <c r="DX903">
        <v>0</v>
      </c>
      <c r="DY903">
        <v>0</v>
      </c>
      <c r="DZ903">
        <v>0</v>
      </c>
      <c r="EA903">
        <v>0</v>
      </c>
      <c r="EB903">
        <v>0</v>
      </c>
      <c r="EC903">
        <v>0</v>
      </c>
      <c r="ED903">
        <v>0</v>
      </c>
      <c r="EE903">
        <v>0</v>
      </c>
      <c r="EF903">
        <v>0</v>
      </c>
      <c r="EG903">
        <v>0</v>
      </c>
      <c r="EH903">
        <v>0</v>
      </c>
      <c r="EI903">
        <v>0</v>
      </c>
      <c r="EJ903">
        <v>0</v>
      </c>
      <c r="EK903">
        <v>0</v>
      </c>
      <c r="EL903">
        <v>0</v>
      </c>
      <c r="EM903">
        <v>0</v>
      </c>
      <c r="EN903">
        <v>27.4</v>
      </c>
      <c r="EO903">
        <v>0</v>
      </c>
      <c r="EP903">
        <v>1002.5</v>
      </c>
      <c r="EQ903">
        <v>0</v>
      </c>
      <c r="ER903">
        <v>494</v>
      </c>
      <c r="ES903">
        <v>0</v>
      </c>
      <c r="ET903">
        <v>699.3</v>
      </c>
      <c r="EU903">
        <v>435.4</v>
      </c>
      <c r="EV903">
        <v>0</v>
      </c>
      <c r="EW903">
        <v>0</v>
      </c>
      <c r="EX903">
        <v>0</v>
      </c>
      <c r="EY903">
        <v>0</v>
      </c>
      <c r="EZ903">
        <v>0</v>
      </c>
      <c r="FA903">
        <v>0</v>
      </c>
      <c r="FB903">
        <v>0</v>
      </c>
      <c r="FC903">
        <v>0</v>
      </c>
      <c r="FD903">
        <v>95.6</v>
      </c>
      <c r="FE903">
        <v>1792.1</v>
      </c>
      <c r="FF903">
        <v>1740.1999999999998</v>
      </c>
      <c r="FG903">
        <v>954.9</v>
      </c>
      <c r="FH903">
        <v>1087.8000000000002</v>
      </c>
      <c r="FI903">
        <v>1892.1</v>
      </c>
      <c r="FJ903">
        <v>1222.5</v>
      </c>
      <c r="FK903">
        <v>678.3</v>
      </c>
      <c r="FL903">
        <v>639.1</v>
      </c>
      <c r="FM903">
        <v>520.5</v>
      </c>
      <c r="FN903">
        <v>123.8</v>
      </c>
      <c r="FO903">
        <v>181.6</v>
      </c>
      <c r="FP903">
        <v>1090.5</v>
      </c>
      <c r="FQ903">
        <v>0</v>
      </c>
      <c r="FR903">
        <v>0</v>
      </c>
      <c r="FS903">
        <v>0</v>
      </c>
      <c r="FT903">
        <v>0</v>
      </c>
      <c r="FU903">
        <v>0</v>
      </c>
      <c r="FV903">
        <v>0</v>
      </c>
      <c r="FW903">
        <v>0</v>
      </c>
      <c r="FX903">
        <v>0</v>
      </c>
      <c r="FY903">
        <v>0</v>
      </c>
      <c r="FZ903">
        <v>0</v>
      </c>
      <c r="GA903">
        <v>0</v>
      </c>
      <c r="GB903">
        <v>0</v>
      </c>
      <c r="GC903">
        <v>0</v>
      </c>
      <c r="GD903">
        <v>0</v>
      </c>
      <c r="GE903">
        <v>0</v>
      </c>
      <c r="GF903">
        <v>198.3</v>
      </c>
      <c r="GG903">
        <v>1054.4000000000001</v>
      </c>
      <c r="GH903">
        <v>552.79999999999995</v>
      </c>
      <c r="GI903">
        <v>522</v>
      </c>
      <c r="GJ903">
        <v>0</v>
      </c>
      <c r="GK903">
        <v>0</v>
      </c>
      <c r="GL903">
        <v>0</v>
      </c>
      <c r="GM903">
        <v>0</v>
      </c>
      <c r="GN903">
        <v>791.40000000000009</v>
      </c>
      <c r="GO903">
        <v>1816.5</v>
      </c>
      <c r="GP903">
        <v>0</v>
      </c>
      <c r="GQ903">
        <v>0</v>
      </c>
      <c r="GR903">
        <v>0</v>
      </c>
      <c r="GS903">
        <v>0</v>
      </c>
      <c r="GT903">
        <v>0</v>
      </c>
      <c r="GU903">
        <v>0</v>
      </c>
      <c r="GV903">
        <v>0</v>
      </c>
      <c r="GW903">
        <v>0</v>
      </c>
      <c r="GX903">
        <v>0</v>
      </c>
      <c r="GY903">
        <v>840.3</v>
      </c>
      <c r="GZ903">
        <v>0</v>
      </c>
      <c r="HA903">
        <v>0</v>
      </c>
      <c r="HB903">
        <v>0</v>
      </c>
      <c r="HC903">
        <v>380.4</v>
      </c>
      <c r="HD903">
        <v>2175.5</v>
      </c>
      <c r="HE903">
        <v>0</v>
      </c>
      <c r="HF903">
        <v>0</v>
      </c>
      <c r="HG903">
        <v>0</v>
      </c>
      <c r="HH903">
        <v>0</v>
      </c>
      <c r="HI903">
        <v>0</v>
      </c>
      <c r="HJ903">
        <v>803.40000000000009</v>
      </c>
      <c r="HK903">
        <v>1270.9000000000001</v>
      </c>
      <c r="HL903">
        <v>835.7</v>
      </c>
      <c r="HM903">
        <v>1162.5999999999999</v>
      </c>
      <c r="HN903">
        <v>0</v>
      </c>
      <c r="HO903">
        <v>0</v>
      </c>
      <c r="HP903">
        <v>0</v>
      </c>
      <c r="HQ903">
        <v>0</v>
      </c>
      <c r="HR903">
        <v>161.19999999999999</v>
      </c>
      <c r="HS903">
        <v>0</v>
      </c>
      <c r="HT903">
        <v>2048.5</v>
      </c>
      <c r="HU903">
        <v>2627.5</v>
      </c>
      <c r="HV903">
        <v>1168.5999999999999</v>
      </c>
      <c r="HW903">
        <v>388</v>
      </c>
      <c r="HX903">
        <v>0</v>
      </c>
      <c r="HY903">
        <v>0</v>
      </c>
      <c r="HZ903">
        <v>0</v>
      </c>
      <c r="IA903">
        <v>0</v>
      </c>
      <c r="IB903">
        <v>0</v>
      </c>
      <c r="IC903">
        <v>594.4</v>
      </c>
      <c r="ID903">
        <v>427.4</v>
      </c>
      <c r="IE903">
        <v>713.3</v>
      </c>
      <c r="IF903">
        <v>626.1</v>
      </c>
      <c r="IG903">
        <v>0</v>
      </c>
      <c r="IH903">
        <v>0</v>
      </c>
      <c r="II903">
        <v>995.7</v>
      </c>
      <c r="IJ903">
        <v>1156.5999999999999</v>
      </c>
      <c r="IK903">
        <v>864.6</v>
      </c>
      <c r="IL903">
        <v>316.5</v>
      </c>
      <c r="IM903">
        <v>101.5</v>
      </c>
      <c r="IN903">
        <v>71.8</v>
      </c>
      <c r="IO903">
        <v>0</v>
      </c>
      <c r="IP903">
        <v>0</v>
      </c>
      <c r="IQ903">
        <v>0</v>
      </c>
      <c r="IR903">
        <v>0</v>
      </c>
      <c r="IS903">
        <v>0</v>
      </c>
      <c r="IT903">
        <v>0</v>
      </c>
      <c r="IU903">
        <v>0</v>
      </c>
      <c r="IV903">
        <v>0</v>
      </c>
      <c r="IW903">
        <v>68</v>
      </c>
      <c r="IX903">
        <v>404.7</v>
      </c>
      <c r="IY903">
        <v>126.6</v>
      </c>
      <c r="IZ903">
        <v>126.6</v>
      </c>
      <c r="JA903">
        <v>503.7</v>
      </c>
      <c r="JB903">
        <v>570.1</v>
      </c>
      <c r="JC903">
        <v>328.3</v>
      </c>
      <c r="JD903">
        <v>0</v>
      </c>
      <c r="JE903">
        <v>0</v>
      </c>
      <c r="JF903">
        <v>0</v>
      </c>
      <c r="JG903">
        <v>0</v>
      </c>
      <c r="JH903">
        <v>287.3</v>
      </c>
      <c r="JI903">
        <v>68.2</v>
      </c>
      <c r="JJ903">
        <v>0</v>
      </c>
      <c r="JK903">
        <v>148.6</v>
      </c>
      <c r="JL903">
        <v>0</v>
      </c>
      <c r="JM903">
        <v>0</v>
      </c>
      <c r="JN903">
        <v>204.5</v>
      </c>
      <c r="JO903">
        <v>292.10000000000002</v>
      </c>
      <c r="JP903">
        <v>670.8</v>
      </c>
      <c r="JQ903">
        <v>745.2</v>
      </c>
      <c r="JR903">
        <v>242.9</v>
      </c>
    </row>
    <row r="904" spans="2:278" ht="18" thickBot="1">
      <c r="B904" s="368"/>
      <c r="C904" s="381" t="s">
        <v>1577</v>
      </c>
      <c r="D904" s="381"/>
      <c r="E904" s="454">
        <v>22829.8</v>
      </c>
      <c r="F904">
        <v>20193.400000000001</v>
      </c>
      <c r="G904" s="427">
        <v>0</v>
      </c>
      <c r="H904" s="155">
        <v>0</v>
      </c>
      <c r="I904">
        <v>0</v>
      </c>
      <c r="J904">
        <v>0</v>
      </c>
      <c r="K904">
        <v>0</v>
      </c>
      <c r="L904" s="4">
        <v>0</v>
      </c>
      <c r="M904" s="4">
        <v>0</v>
      </c>
      <c r="N904" s="4">
        <v>0</v>
      </c>
      <c r="O904" s="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1476.4</v>
      </c>
      <c r="X904">
        <v>1482</v>
      </c>
      <c r="Y904">
        <v>457.20000000000005</v>
      </c>
      <c r="Z904">
        <v>0</v>
      </c>
      <c r="AA904">
        <v>0</v>
      </c>
      <c r="AB904">
        <v>0</v>
      </c>
      <c r="AC904">
        <v>0</v>
      </c>
      <c r="AD904">
        <v>3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1828.6</v>
      </c>
      <c r="AK904">
        <v>1800.7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560.70000000000005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0</v>
      </c>
      <c r="BN904">
        <v>0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  <c r="CF904">
        <v>0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  <c r="CN904">
        <v>0</v>
      </c>
      <c r="CO904">
        <v>0</v>
      </c>
      <c r="CP904">
        <v>3.5</v>
      </c>
      <c r="CQ904">
        <v>0</v>
      </c>
      <c r="CR904">
        <v>528</v>
      </c>
      <c r="CS904">
        <v>581.79999999999995</v>
      </c>
      <c r="CT904">
        <v>555.40000000000009</v>
      </c>
      <c r="CU904">
        <v>737.4</v>
      </c>
      <c r="CV904">
        <v>1039.0999999999999</v>
      </c>
      <c r="CW904">
        <v>1667.3</v>
      </c>
      <c r="CX904">
        <v>877.6</v>
      </c>
      <c r="CY904">
        <v>910.40000000000009</v>
      </c>
      <c r="CZ904">
        <v>0</v>
      </c>
      <c r="DA904">
        <v>0</v>
      </c>
      <c r="DB904">
        <v>0</v>
      </c>
      <c r="DC904">
        <v>0</v>
      </c>
      <c r="DD904">
        <v>0</v>
      </c>
      <c r="DE904">
        <v>0</v>
      </c>
      <c r="DF904">
        <v>0</v>
      </c>
      <c r="DG904">
        <v>0</v>
      </c>
      <c r="DH904">
        <v>0</v>
      </c>
      <c r="DI904">
        <v>0</v>
      </c>
      <c r="DJ904">
        <v>0</v>
      </c>
      <c r="DK904">
        <v>0</v>
      </c>
      <c r="DL904">
        <v>995.5</v>
      </c>
      <c r="DM904">
        <v>712.7</v>
      </c>
      <c r="DN904">
        <v>0</v>
      </c>
      <c r="DO904">
        <v>0</v>
      </c>
      <c r="DP904">
        <v>0</v>
      </c>
      <c r="DQ904">
        <v>0</v>
      </c>
      <c r="DR904">
        <v>0</v>
      </c>
      <c r="DS904">
        <v>0</v>
      </c>
      <c r="DT904">
        <v>0</v>
      </c>
      <c r="DU904">
        <v>0</v>
      </c>
      <c r="DV904">
        <v>0</v>
      </c>
      <c r="DW904">
        <v>0</v>
      </c>
      <c r="DX904">
        <v>0</v>
      </c>
      <c r="DY904">
        <v>0</v>
      </c>
      <c r="DZ904">
        <v>0</v>
      </c>
      <c r="EA904">
        <v>0</v>
      </c>
      <c r="EB904">
        <v>0</v>
      </c>
      <c r="EC904">
        <v>0</v>
      </c>
      <c r="ED904">
        <v>0</v>
      </c>
      <c r="EE904">
        <v>0</v>
      </c>
      <c r="EF904">
        <v>0</v>
      </c>
      <c r="EG904">
        <v>0</v>
      </c>
      <c r="EH904">
        <v>0</v>
      </c>
      <c r="EI904">
        <v>0</v>
      </c>
      <c r="EJ904">
        <v>0</v>
      </c>
      <c r="EK904">
        <v>0</v>
      </c>
      <c r="EL904">
        <v>0</v>
      </c>
      <c r="EM904">
        <v>0</v>
      </c>
      <c r="EN904">
        <v>27.4</v>
      </c>
      <c r="EO904">
        <v>0</v>
      </c>
      <c r="EP904">
        <v>1002.5</v>
      </c>
      <c r="EQ904">
        <v>0</v>
      </c>
      <c r="ER904">
        <v>494</v>
      </c>
      <c r="ES904">
        <v>0</v>
      </c>
      <c r="ET904">
        <v>699.3</v>
      </c>
      <c r="EU904">
        <v>435.4</v>
      </c>
      <c r="EV904">
        <v>0</v>
      </c>
      <c r="EW904">
        <v>0</v>
      </c>
      <c r="EX904">
        <v>0</v>
      </c>
      <c r="EY904">
        <v>0</v>
      </c>
      <c r="EZ904">
        <v>0</v>
      </c>
      <c r="FA904">
        <v>0</v>
      </c>
      <c r="FB904">
        <v>0</v>
      </c>
      <c r="FC904">
        <v>0</v>
      </c>
      <c r="FD904">
        <v>95.6</v>
      </c>
      <c r="FE904">
        <v>1792.1</v>
      </c>
      <c r="FF904">
        <v>1740.1999999999998</v>
      </c>
      <c r="FG904">
        <v>954.9</v>
      </c>
      <c r="FH904">
        <v>1087.8000000000002</v>
      </c>
      <c r="FI904">
        <v>1892.1</v>
      </c>
      <c r="FJ904">
        <v>1222.5</v>
      </c>
      <c r="FK904">
        <v>678.3</v>
      </c>
      <c r="FL904">
        <v>639.1</v>
      </c>
      <c r="FM904">
        <v>520.5</v>
      </c>
      <c r="FN904">
        <v>123.8</v>
      </c>
      <c r="FO904">
        <v>181.6</v>
      </c>
      <c r="FP904">
        <v>1090.5</v>
      </c>
      <c r="FQ904">
        <v>0</v>
      </c>
      <c r="FR904">
        <v>0</v>
      </c>
      <c r="FS904">
        <v>0</v>
      </c>
      <c r="FT904">
        <v>0</v>
      </c>
      <c r="FU904">
        <v>0</v>
      </c>
      <c r="FV904">
        <v>0</v>
      </c>
      <c r="FW904">
        <v>0</v>
      </c>
      <c r="FX904">
        <v>0</v>
      </c>
      <c r="FY904">
        <v>0</v>
      </c>
      <c r="FZ904">
        <v>0</v>
      </c>
      <c r="GA904">
        <v>0</v>
      </c>
      <c r="GB904">
        <v>0</v>
      </c>
      <c r="GC904">
        <v>0</v>
      </c>
      <c r="GD904">
        <v>0</v>
      </c>
      <c r="GE904">
        <v>0</v>
      </c>
      <c r="GF904">
        <v>198.3</v>
      </c>
      <c r="GG904">
        <v>1054.4000000000001</v>
      </c>
      <c r="GH904">
        <v>552.79999999999995</v>
      </c>
      <c r="GI904">
        <v>522</v>
      </c>
      <c r="GJ904">
        <v>0</v>
      </c>
      <c r="GK904">
        <v>0</v>
      </c>
      <c r="GL904">
        <v>0</v>
      </c>
      <c r="GM904">
        <v>0</v>
      </c>
      <c r="GN904">
        <v>791.40000000000009</v>
      </c>
      <c r="GO904">
        <v>1816.5</v>
      </c>
      <c r="GP904">
        <v>0</v>
      </c>
      <c r="GQ904">
        <v>0</v>
      </c>
      <c r="GR904">
        <v>0</v>
      </c>
      <c r="GS904">
        <v>0</v>
      </c>
      <c r="GT904">
        <v>0</v>
      </c>
      <c r="GU904">
        <v>0</v>
      </c>
      <c r="GV904">
        <v>0</v>
      </c>
      <c r="GW904">
        <v>0</v>
      </c>
      <c r="GX904">
        <v>0</v>
      </c>
      <c r="GY904">
        <v>840.3</v>
      </c>
      <c r="GZ904">
        <v>0</v>
      </c>
      <c r="HA904">
        <v>0</v>
      </c>
      <c r="HB904">
        <v>0</v>
      </c>
      <c r="HC904">
        <v>380.4</v>
      </c>
      <c r="HD904">
        <v>2175.5</v>
      </c>
      <c r="HE904">
        <v>0</v>
      </c>
      <c r="HF904">
        <v>0</v>
      </c>
      <c r="HG904">
        <v>0</v>
      </c>
      <c r="HH904">
        <v>0</v>
      </c>
      <c r="HI904">
        <v>0</v>
      </c>
      <c r="HJ904">
        <v>803.40000000000009</v>
      </c>
      <c r="HK904">
        <v>1270.9000000000001</v>
      </c>
      <c r="HL904">
        <v>835.7</v>
      </c>
      <c r="HM904">
        <v>1162.5999999999999</v>
      </c>
      <c r="HN904">
        <v>0</v>
      </c>
      <c r="HO904">
        <v>0</v>
      </c>
      <c r="HP904">
        <v>0</v>
      </c>
      <c r="HQ904">
        <v>0</v>
      </c>
      <c r="HR904">
        <v>161.19999999999999</v>
      </c>
      <c r="HS904">
        <v>0</v>
      </c>
      <c r="HT904">
        <v>2048.5</v>
      </c>
      <c r="HU904">
        <v>2627.5</v>
      </c>
      <c r="HV904">
        <v>1168.5999999999999</v>
      </c>
      <c r="HW904">
        <v>388</v>
      </c>
      <c r="HX904">
        <v>0</v>
      </c>
      <c r="HY904">
        <v>0</v>
      </c>
      <c r="HZ904">
        <v>0</v>
      </c>
      <c r="IA904">
        <v>0</v>
      </c>
      <c r="IB904">
        <v>0</v>
      </c>
      <c r="IC904">
        <v>594.4</v>
      </c>
      <c r="ID904">
        <v>427.4</v>
      </c>
      <c r="IE904">
        <v>713.3</v>
      </c>
      <c r="IF904">
        <v>626.1</v>
      </c>
      <c r="IG904">
        <v>0</v>
      </c>
      <c r="IH904">
        <v>0</v>
      </c>
      <c r="II904">
        <v>995.7</v>
      </c>
      <c r="IJ904">
        <v>1156.5999999999999</v>
      </c>
      <c r="IK904">
        <v>864.6</v>
      </c>
      <c r="IL904">
        <v>316.5</v>
      </c>
      <c r="IM904">
        <v>101.5</v>
      </c>
      <c r="IN904">
        <v>71.8</v>
      </c>
      <c r="IO904">
        <v>0</v>
      </c>
      <c r="IP904">
        <v>0</v>
      </c>
      <c r="IQ904">
        <v>0</v>
      </c>
      <c r="IR904">
        <v>0</v>
      </c>
      <c r="IS904">
        <v>0</v>
      </c>
      <c r="IT904">
        <v>0</v>
      </c>
      <c r="IU904">
        <v>0</v>
      </c>
      <c r="IV904">
        <v>0</v>
      </c>
      <c r="IW904">
        <v>68</v>
      </c>
      <c r="IX904">
        <v>404.7</v>
      </c>
      <c r="IY904">
        <v>126.6</v>
      </c>
      <c r="IZ904">
        <v>126.6</v>
      </c>
      <c r="JA904">
        <v>503.7</v>
      </c>
      <c r="JB904">
        <v>570.1</v>
      </c>
      <c r="JC904">
        <v>328.3</v>
      </c>
      <c r="JD904">
        <v>0</v>
      </c>
      <c r="JE904">
        <v>0</v>
      </c>
      <c r="JF904">
        <v>0</v>
      </c>
      <c r="JG904">
        <v>0</v>
      </c>
      <c r="JH904">
        <v>287.3</v>
      </c>
      <c r="JI904">
        <v>68.2</v>
      </c>
      <c r="JJ904">
        <v>0</v>
      </c>
      <c r="JK904">
        <v>148.6</v>
      </c>
      <c r="JL904">
        <v>0</v>
      </c>
      <c r="JM904">
        <v>0</v>
      </c>
      <c r="JN904">
        <v>204.5</v>
      </c>
      <c r="JO904">
        <v>292.10000000000002</v>
      </c>
      <c r="JP904">
        <v>670.8</v>
      </c>
      <c r="JQ904">
        <v>745.2</v>
      </c>
      <c r="JR904">
        <v>242.9</v>
      </c>
    </row>
    <row r="905" spans="2:278" ht="18" thickBot="1">
      <c r="B905" s="368"/>
      <c r="C905" s="381" t="s">
        <v>1578</v>
      </c>
      <c r="D905" s="381"/>
      <c r="E905" s="454">
        <v>22829.8</v>
      </c>
      <c r="F905">
        <v>20193.400000000001</v>
      </c>
      <c r="G905" s="427">
        <v>0</v>
      </c>
      <c r="H905" s="155">
        <v>0</v>
      </c>
      <c r="I905">
        <v>0</v>
      </c>
      <c r="J905">
        <v>0</v>
      </c>
      <c r="K905">
        <v>0</v>
      </c>
      <c r="L905" s="4">
        <v>0</v>
      </c>
      <c r="M905" s="4">
        <v>0</v>
      </c>
      <c r="N905" s="4">
        <v>0</v>
      </c>
      <c r="O905" s="4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1476.4</v>
      </c>
      <c r="X905">
        <v>1482</v>
      </c>
      <c r="Y905">
        <v>457.20000000000005</v>
      </c>
      <c r="Z905">
        <v>0</v>
      </c>
      <c r="AA905">
        <v>0</v>
      </c>
      <c r="AB905">
        <v>0</v>
      </c>
      <c r="AC905">
        <v>0</v>
      </c>
      <c r="AD905">
        <v>3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1828.6</v>
      </c>
      <c r="AK905">
        <v>1800.7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560.70000000000005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0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0</v>
      </c>
      <c r="CC905">
        <v>0</v>
      </c>
      <c r="CD905">
        <v>0</v>
      </c>
      <c r="CE905">
        <v>0</v>
      </c>
      <c r="CF905">
        <v>0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  <c r="CN905">
        <v>0</v>
      </c>
      <c r="CO905">
        <v>0</v>
      </c>
      <c r="CP905">
        <v>3.5</v>
      </c>
      <c r="CQ905">
        <v>0</v>
      </c>
      <c r="CR905">
        <v>528</v>
      </c>
      <c r="CS905">
        <v>581.79999999999995</v>
      </c>
      <c r="CT905">
        <v>555.40000000000009</v>
      </c>
      <c r="CU905">
        <v>737.4</v>
      </c>
      <c r="CV905">
        <v>1039.0999999999999</v>
      </c>
      <c r="CW905">
        <v>1667.3</v>
      </c>
      <c r="CX905">
        <v>877.6</v>
      </c>
      <c r="CY905">
        <v>910.40000000000009</v>
      </c>
      <c r="CZ905">
        <v>0</v>
      </c>
      <c r="DA905">
        <v>0</v>
      </c>
      <c r="DB905">
        <v>0</v>
      </c>
      <c r="DC905">
        <v>0</v>
      </c>
      <c r="DD905">
        <v>0</v>
      </c>
      <c r="DE905">
        <v>0</v>
      </c>
      <c r="DF905">
        <v>0</v>
      </c>
      <c r="DG905">
        <v>0</v>
      </c>
      <c r="DH905">
        <v>0</v>
      </c>
      <c r="DI905">
        <v>0</v>
      </c>
      <c r="DJ905">
        <v>0</v>
      </c>
      <c r="DK905">
        <v>0</v>
      </c>
      <c r="DL905">
        <v>995.5</v>
      </c>
      <c r="DM905">
        <v>712.7</v>
      </c>
      <c r="DN905">
        <v>0</v>
      </c>
      <c r="DO905">
        <v>0</v>
      </c>
      <c r="DP905">
        <v>0</v>
      </c>
      <c r="DQ905">
        <v>0</v>
      </c>
      <c r="DR905">
        <v>0</v>
      </c>
      <c r="DS905">
        <v>0</v>
      </c>
      <c r="DT905">
        <v>0</v>
      </c>
      <c r="DU905">
        <v>0</v>
      </c>
      <c r="DV905">
        <v>0</v>
      </c>
      <c r="DW905">
        <v>0</v>
      </c>
      <c r="DX905">
        <v>0</v>
      </c>
      <c r="DY905">
        <v>0</v>
      </c>
      <c r="DZ905">
        <v>0</v>
      </c>
      <c r="EA905">
        <v>0</v>
      </c>
      <c r="EB905">
        <v>0</v>
      </c>
      <c r="EC905">
        <v>0</v>
      </c>
      <c r="ED905">
        <v>0</v>
      </c>
      <c r="EE905">
        <v>0</v>
      </c>
      <c r="EF905">
        <v>0</v>
      </c>
      <c r="EG905">
        <v>0</v>
      </c>
      <c r="EH905">
        <v>0</v>
      </c>
      <c r="EI905">
        <v>0</v>
      </c>
      <c r="EJ905">
        <v>0</v>
      </c>
      <c r="EK905">
        <v>0</v>
      </c>
      <c r="EL905">
        <v>0</v>
      </c>
      <c r="EM905">
        <v>0</v>
      </c>
      <c r="EN905">
        <v>27.4</v>
      </c>
      <c r="EO905">
        <v>0</v>
      </c>
      <c r="EP905">
        <v>1002.5</v>
      </c>
      <c r="EQ905">
        <v>0</v>
      </c>
      <c r="ER905">
        <v>494</v>
      </c>
      <c r="ES905">
        <v>0</v>
      </c>
      <c r="ET905">
        <v>699.3</v>
      </c>
      <c r="EU905">
        <v>435.4</v>
      </c>
      <c r="EV905">
        <v>0</v>
      </c>
      <c r="EW905">
        <v>0</v>
      </c>
      <c r="EX905">
        <v>0</v>
      </c>
      <c r="EY905">
        <v>0</v>
      </c>
      <c r="EZ905">
        <v>0</v>
      </c>
      <c r="FA905">
        <v>0</v>
      </c>
      <c r="FB905">
        <v>0</v>
      </c>
      <c r="FC905">
        <v>0</v>
      </c>
      <c r="FD905">
        <v>95.6</v>
      </c>
      <c r="FE905">
        <v>1792.1</v>
      </c>
      <c r="FF905">
        <v>1740.1999999999998</v>
      </c>
      <c r="FG905">
        <v>954.9</v>
      </c>
      <c r="FH905">
        <v>1087.8000000000002</v>
      </c>
      <c r="FI905">
        <v>1892.1</v>
      </c>
      <c r="FJ905">
        <v>1222.5</v>
      </c>
      <c r="FK905">
        <v>678.3</v>
      </c>
      <c r="FL905">
        <v>639.1</v>
      </c>
      <c r="FM905">
        <v>520.5</v>
      </c>
      <c r="FN905">
        <v>123.8</v>
      </c>
      <c r="FO905">
        <v>181.6</v>
      </c>
      <c r="FP905">
        <v>1090.5</v>
      </c>
      <c r="FQ905">
        <v>0</v>
      </c>
      <c r="FR905">
        <v>0</v>
      </c>
      <c r="FS905">
        <v>0</v>
      </c>
      <c r="FT905">
        <v>0</v>
      </c>
      <c r="FU905">
        <v>0</v>
      </c>
      <c r="FV905">
        <v>0</v>
      </c>
      <c r="FW905">
        <v>0</v>
      </c>
      <c r="FX905">
        <v>0</v>
      </c>
      <c r="FY905">
        <v>0</v>
      </c>
      <c r="FZ905">
        <v>0</v>
      </c>
      <c r="GA905">
        <v>0</v>
      </c>
      <c r="GB905">
        <v>0</v>
      </c>
      <c r="GC905">
        <v>0</v>
      </c>
      <c r="GD905">
        <v>0</v>
      </c>
      <c r="GE905">
        <v>0</v>
      </c>
      <c r="GF905">
        <v>198.3</v>
      </c>
      <c r="GG905">
        <v>1054.4000000000001</v>
      </c>
      <c r="GH905">
        <v>552.79999999999995</v>
      </c>
      <c r="GI905">
        <v>522</v>
      </c>
      <c r="GJ905">
        <v>0</v>
      </c>
      <c r="GK905">
        <v>0</v>
      </c>
      <c r="GL905">
        <v>0</v>
      </c>
      <c r="GM905">
        <v>0</v>
      </c>
      <c r="GN905">
        <v>791.40000000000009</v>
      </c>
      <c r="GO905">
        <v>1816.5</v>
      </c>
      <c r="GP905">
        <v>0</v>
      </c>
      <c r="GQ905">
        <v>0</v>
      </c>
      <c r="GR905">
        <v>0</v>
      </c>
      <c r="GS905">
        <v>0</v>
      </c>
      <c r="GT905">
        <v>0</v>
      </c>
      <c r="GU905">
        <v>0</v>
      </c>
      <c r="GV905">
        <v>0</v>
      </c>
      <c r="GW905">
        <v>0</v>
      </c>
      <c r="GX905">
        <v>0</v>
      </c>
      <c r="GY905">
        <v>840.3</v>
      </c>
      <c r="GZ905">
        <v>0</v>
      </c>
      <c r="HA905">
        <v>0</v>
      </c>
      <c r="HB905">
        <v>0</v>
      </c>
      <c r="HC905">
        <v>380.4</v>
      </c>
      <c r="HD905">
        <v>2175.5</v>
      </c>
      <c r="HE905">
        <v>0</v>
      </c>
      <c r="HF905">
        <v>0</v>
      </c>
      <c r="HG905">
        <v>0</v>
      </c>
      <c r="HH905">
        <v>0</v>
      </c>
      <c r="HI905">
        <v>0</v>
      </c>
      <c r="HJ905">
        <v>803.40000000000009</v>
      </c>
      <c r="HK905">
        <v>1270.9000000000001</v>
      </c>
      <c r="HL905">
        <v>835.7</v>
      </c>
      <c r="HM905">
        <v>1162.5999999999999</v>
      </c>
      <c r="HN905">
        <v>0</v>
      </c>
      <c r="HO905">
        <v>0</v>
      </c>
      <c r="HP905">
        <v>0</v>
      </c>
      <c r="HQ905">
        <v>0</v>
      </c>
      <c r="HR905">
        <v>161.19999999999999</v>
      </c>
      <c r="HS905">
        <v>0</v>
      </c>
      <c r="HT905">
        <v>2048.5</v>
      </c>
      <c r="HU905">
        <v>2627.5</v>
      </c>
      <c r="HV905">
        <v>1168.5999999999999</v>
      </c>
      <c r="HW905">
        <v>388</v>
      </c>
      <c r="HX905">
        <v>0</v>
      </c>
      <c r="HY905">
        <v>0</v>
      </c>
      <c r="HZ905">
        <v>0</v>
      </c>
      <c r="IA905">
        <v>0</v>
      </c>
      <c r="IB905">
        <v>0</v>
      </c>
      <c r="IC905">
        <v>594.4</v>
      </c>
      <c r="ID905">
        <v>427.4</v>
      </c>
      <c r="IE905">
        <v>713.3</v>
      </c>
      <c r="IF905">
        <v>626.1</v>
      </c>
      <c r="IG905">
        <v>0</v>
      </c>
      <c r="IH905">
        <v>0</v>
      </c>
      <c r="II905">
        <v>995.7</v>
      </c>
      <c r="IJ905">
        <v>1156.5999999999999</v>
      </c>
      <c r="IK905">
        <v>864.6</v>
      </c>
      <c r="IL905">
        <v>316.5</v>
      </c>
      <c r="IM905">
        <v>101.5</v>
      </c>
      <c r="IN905">
        <v>71.8</v>
      </c>
      <c r="IO905">
        <v>0</v>
      </c>
      <c r="IP905">
        <v>0</v>
      </c>
      <c r="IQ905">
        <v>0</v>
      </c>
      <c r="IR905">
        <v>0</v>
      </c>
      <c r="IS905">
        <v>0</v>
      </c>
      <c r="IT905">
        <v>0</v>
      </c>
      <c r="IU905">
        <v>0</v>
      </c>
      <c r="IV905">
        <v>0</v>
      </c>
      <c r="IW905">
        <v>68</v>
      </c>
      <c r="IX905">
        <v>404.7</v>
      </c>
      <c r="IY905">
        <v>126.6</v>
      </c>
      <c r="IZ905">
        <v>126.6</v>
      </c>
      <c r="JA905">
        <v>503.7</v>
      </c>
      <c r="JB905">
        <v>570.1</v>
      </c>
      <c r="JC905">
        <v>328.3</v>
      </c>
      <c r="JD905">
        <v>0</v>
      </c>
      <c r="JE905">
        <v>0</v>
      </c>
      <c r="JF905">
        <v>0</v>
      </c>
      <c r="JG905">
        <v>0</v>
      </c>
      <c r="JH905">
        <v>287.3</v>
      </c>
      <c r="JI905">
        <v>68.2</v>
      </c>
      <c r="JJ905">
        <v>0</v>
      </c>
      <c r="JK905">
        <v>148.6</v>
      </c>
      <c r="JL905">
        <v>0</v>
      </c>
      <c r="JM905">
        <v>0</v>
      </c>
      <c r="JN905">
        <v>204.5</v>
      </c>
      <c r="JO905">
        <v>292.10000000000002</v>
      </c>
      <c r="JP905">
        <v>670.8</v>
      </c>
      <c r="JQ905">
        <v>745.2</v>
      </c>
      <c r="JR905">
        <v>242.9</v>
      </c>
    </row>
    <row r="906" spans="2:278" ht="18" thickBot="1">
      <c r="B906" s="368"/>
      <c r="C906" s="381" t="s">
        <v>1579</v>
      </c>
      <c r="D906" s="381"/>
      <c r="E906" s="454">
        <v>22829.8</v>
      </c>
      <c r="F906">
        <v>20193.400000000001</v>
      </c>
      <c r="G906" s="427">
        <v>0</v>
      </c>
      <c r="H906" s="155">
        <v>0</v>
      </c>
      <c r="I906">
        <v>0</v>
      </c>
      <c r="J906">
        <v>0</v>
      </c>
      <c r="K906">
        <v>0</v>
      </c>
      <c r="L906" s="4">
        <v>0</v>
      </c>
      <c r="M906" s="4">
        <v>0</v>
      </c>
      <c r="N906" s="4">
        <v>0</v>
      </c>
      <c r="O906" s="4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1476.4</v>
      </c>
      <c r="X906">
        <v>1482</v>
      </c>
      <c r="Y906">
        <v>457.20000000000005</v>
      </c>
      <c r="Z906">
        <v>0</v>
      </c>
      <c r="AA906">
        <v>0</v>
      </c>
      <c r="AB906">
        <v>0</v>
      </c>
      <c r="AC906">
        <v>0</v>
      </c>
      <c r="AD906">
        <v>3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1828.6</v>
      </c>
      <c r="AK906">
        <v>1800.7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560.70000000000005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  <c r="CF906">
        <v>0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  <c r="CN906">
        <v>0</v>
      </c>
      <c r="CO906">
        <v>0</v>
      </c>
      <c r="CP906">
        <v>3.5</v>
      </c>
      <c r="CQ906">
        <v>0</v>
      </c>
      <c r="CR906">
        <v>528</v>
      </c>
      <c r="CS906">
        <v>581.79999999999995</v>
      </c>
      <c r="CT906">
        <v>555.40000000000009</v>
      </c>
      <c r="CU906">
        <v>737.4</v>
      </c>
      <c r="CV906">
        <v>1039.0999999999999</v>
      </c>
      <c r="CW906">
        <v>1667.3</v>
      </c>
      <c r="CX906">
        <v>877.6</v>
      </c>
      <c r="CY906">
        <v>910.40000000000009</v>
      </c>
      <c r="CZ906">
        <v>0</v>
      </c>
      <c r="DA906">
        <v>0</v>
      </c>
      <c r="DB906">
        <v>0</v>
      </c>
      <c r="DC906">
        <v>0</v>
      </c>
      <c r="DD906">
        <v>0</v>
      </c>
      <c r="DE906">
        <v>0</v>
      </c>
      <c r="DF906">
        <v>0</v>
      </c>
      <c r="DG906">
        <v>0</v>
      </c>
      <c r="DH906">
        <v>0</v>
      </c>
      <c r="DI906">
        <v>0</v>
      </c>
      <c r="DJ906">
        <v>0</v>
      </c>
      <c r="DK906">
        <v>0</v>
      </c>
      <c r="DL906">
        <v>995.5</v>
      </c>
      <c r="DM906">
        <v>712.7</v>
      </c>
      <c r="DN906">
        <v>0</v>
      </c>
      <c r="DO906">
        <v>0</v>
      </c>
      <c r="DP906">
        <v>0</v>
      </c>
      <c r="DQ906">
        <v>0</v>
      </c>
      <c r="DR906">
        <v>0</v>
      </c>
      <c r="DS906">
        <v>0</v>
      </c>
      <c r="DT906">
        <v>0</v>
      </c>
      <c r="DU906">
        <v>0</v>
      </c>
      <c r="DV906">
        <v>0</v>
      </c>
      <c r="DW906">
        <v>0</v>
      </c>
      <c r="DX906">
        <v>0</v>
      </c>
      <c r="DY906">
        <v>0</v>
      </c>
      <c r="DZ906">
        <v>0</v>
      </c>
      <c r="EA906">
        <v>0</v>
      </c>
      <c r="EB906">
        <v>0</v>
      </c>
      <c r="EC906">
        <v>0</v>
      </c>
      <c r="ED906">
        <v>0</v>
      </c>
      <c r="EE906">
        <v>0</v>
      </c>
      <c r="EF906">
        <v>0</v>
      </c>
      <c r="EG906">
        <v>0</v>
      </c>
      <c r="EH906">
        <v>0</v>
      </c>
      <c r="EI906">
        <v>0</v>
      </c>
      <c r="EJ906">
        <v>0</v>
      </c>
      <c r="EK906">
        <v>0</v>
      </c>
      <c r="EL906">
        <v>0</v>
      </c>
      <c r="EM906">
        <v>0</v>
      </c>
      <c r="EN906">
        <v>27.4</v>
      </c>
      <c r="EO906">
        <v>0</v>
      </c>
      <c r="EP906">
        <v>1002.5</v>
      </c>
      <c r="EQ906">
        <v>0</v>
      </c>
      <c r="ER906">
        <v>494</v>
      </c>
      <c r="ES906">
        <v>0</v>
      </c>
      <c r="ET906">
        <v>699.3</v>
      </c>
      <c r="EU906">
        <v>435.4</v>
      </c>
      <c r="EV906">
        <v>0</v>
      </c>
      <c r="EW906">
        <v>0</v>
      </c>
      <c r="EX906">
        <v>0</v>
      </c>
      <c r="EY906">
        <v>0</v>
      </c>
      <c r="EZ906">
        <v>0</v>
      </c>
      <c r="FA906">
        <v>0</v>
      </c>
      <c r="FB906">
        <v>0</v>
      </c>
      <c r="FC906">
        <v>0</v>
      </c>
      <c r="FD906">
        <v>95.6</v>
      </c>
      <c r="FE906">
        <v>1792.1</v>
      </c>
      <c r="FF906">
        <v>1740.1999999999998</v>
      </c>
      <c r="FG906">
        <v>954.9</v>
      </c>
      <c r="FH906">
        <v>1087.8000000000002</v>
      </c>
      <c r="FI906">
        <v>1892.1</v>
      </c>
      <c r="FJ906">
        <v>1222.5</v>
      </c>
      <c r="FK906">
        <v>678.3</v>
      </c>
      <c r="FL906">
        <v>639.1</v>
      </c>
      <c r="FM906">
        <v>520.5</v>
      </c>
      <c r="FN906">
        <v>123.8</v>
      </c>
      <c r="FO906">
        <v>181.6</v>
      </c>
      <c r="FP906">
        <v>1090.5</v>
      </c>
      <c r="FQ906">
        <v>0</v>
      </c>
      <c r="FR906">
        <v>0</v>
      </c>
      <c r="FS906">
        <v>0</v>
      </c>
      <c r="FT906">
        <v>0</v>
      </c>
      <c r="FU906">
        <v>0</v>
      </c>
      <c r="FV906">
        <v>0</v>
      </c>
      <c r="FW906">
        <v>0</v>
      </c>
      <c r="FX906">
        <v>0</v>
      </c>
      <c r="FY906">
        <v>0</v>
      </c>
      <c r="FZ906">
        <v>0</v>
      </c>
      <c r="GA906">
        <v>0</v>
      </c>
      <c r="GB906">
        <v>0</v>
      </c>
      <c r="GC906">
        <v>0</v>
      </c>
      <c r="GD906">
        <v>0</v>
      </c>
      <c r="GE906">
        <v>0</v>
      </c>
      <c r="GF906">
        <v>198.3</v>
      </c>
      <c r="GG906">
        <v>1054.4000000000001</v>
      </c>
      <c r="GH906">
        <v>552.79999999999995</v>
      </c>
      <c r="GI906">
        <v>522</v>
      </c>
      <c r="GJ906">
        <v>0</v>
      </c>
      <c r="GK906">
        <v>0</v>
      </c>
      <c r="GL906">
        <v>0</v>
      </c>
      <c r="GM906">
        <v>0</v>
      </c>
      <c r="GN906">
        <v>791.40000000000009</v>
      </c>
      <c r="GO906">
        <v>1816.5</v>
      </c>
      <c r="GP906">
        <v>0</v>
      </c>
      <c r="GQ906">
        <v>0</v>
      </c>
      <c r="GR906">
        <v>0</v>
      </c>
      <c r="GS906">
        <v>0</v>
      </c>
      <c r="GT906">
        <v>0</v>
      </c>
      <c r="GU906">
        <v>0</v>
      </c>
      <c r="GV906">
        <v>0</v>
      </c>
      <c r="GW906">
        <v>0</v>
      </c>
      <c r="GX906">
        <v>0</v>
      </c>
      <c r="GY906">
        <v>840.3</v>
      </c>
      <c r="GZ906">
        <v>0</v>
      </c>
      <c r="HA906">
        <v>0</v>
      </c>
      <c r="HB906">
        <v>0</v>
      </c>
      <c r="HC906">
        <v>380.4</v>
      </c>
      <c r="HD906">
        <v>2175.5</v>
      </c>
      <c r="HE906">
        <v>0</v>
      </c>
      <c r="HF906">
        <v>0</v>
      </c>
      <c r="HG906">
        <v>0</v>
      </c>
      <c r="HH906">
        <v>0</v>
      </c>
      <c r="HI906">
        <v>0</v>
      </c>
      <c r="HJ906">
        <v>803.40000000000009</v>
      </c>
      <c r="HK906">
        <v>1270.9000000000001</v>
      </c>
      <c r="HL906">
        <v>835.7</v>
      </c>
      <c r="HM906">
        <v>1162.5999999999999</v>
      </c>
      <c r="HN906">
        <v>0</v>
      </c>
      <c r="HO906">
        <v>0</v>
      </c>
      <c r="HP906">
        <v>0</v>
      </c>
      <c r="HQ906">
        <v>0</v>
      </c>
      <c r="HR906">
        <v>161.19999999999999</v>
      </c>
      <c r="HS906">
        <v>0</v>
      </c>
      <c r="HT906">
        <v>2048.5</v>
      </c>
      <c r="HU906">
        <v>2627.5</v>
      </c>
      <c r="HV906">
        <v>1168.5999999999999</v>
      </c>
      <c r="HW906">
        <v>388</v>
      </c>
      <c r="HX906">
        <v>0</v>
      </c>
      <c r="HY906">
        <v>0</v>
      </c>
      <c r="HZ906">
        <v>0</v>
      </c>
      <c r="IA906">
        <v>0</v>
      </c>
      <c r="IB906">
        <v>0</v>
      </c>
      <c r="IC906">
        <v>594.4</v>
      </c>
      <c r="ID906">
        <v>427.4</v>
      </c>
      <c r="IE906">
        <v>713.3</v>
      </c>
      <c r="IF906">
        <v>626.1</v>
      </c>
      <c r="IG906">
        <v>0</v>
      </c>
      <c r="IH906">
        <v>0</v>
      </c>
      <c r="II906">
        <v>995.7</v>
      </c>
      <c r="IJ906">
        <v>1156.5999999999999</v>
      </c>
      <c r="IK906">
        <v>864.6</v>
      </c>
      <c r="IL906">
        <v>316.5</v>
      </c>
      <c r="IM906">
        <v>101.5</v>
      </c>
      <c r="IN906">
        <v>71.8</v>
      </c>
      <c r="IO906">
        <v>0</v>
      </c>
      <c r="IP906">
        <v>0</v>
      </c>
      <c r="IQ906">
        <v>0</v>
      </c>
      <c r="IR906">
        <v>0</v>
      </c>
      <c r="IS906">
        <v>0</v>
      </c>
      <c r="IT906">
        <v>0</v>
      </c>
      <c r="IU906">
        <v>0</v>
      </c>
      <c r="IV906">
        <v>0</v>
      </c>
      <c r="IW906">
        <v>68</v>
      </c>
      <c r="IX906">
        <v>404.7</v>
      </c>
      <c r="IY906">
        <v>126.6</v>
      </c>
      <c r="IZ906">
        <v>126.6</v>
      </c>
      <c r="JA906">
        <v>503.7</v>
      </c>
      <c r="JB906">
        <v>570.1</v>
      </c>
      <c r="JC906">
        <v>328.3</v>
      </c>
      <c r="JD906">
        <v>0</v>
      </c>
      <c r="JE906">
        <v>0</v>
      </c>
      <c r="JF906">
        <v>0</v>
      </c>
      <c r="JG906">
        <v>0</v>
      </c>
      <c r="JH906">
        <v>287.3</v>
      </c>
      <c r="JI906">
        <v>68.2</v>
      </c>
      <c r="JJ906">
        <v>0</v>
      </c>
      <c r="JK906">
        <v>148.6</v>
      </c>
      <c r="JL906">
        <v>0</v>
      </c>
      <c r="JM906">
        <v>0</v>
      </c>
      <c r="JN906">
        <v>204.5</v>
      </c>
      <c r="JO906">
        <v>292.10000000000002</v>
      </c>
      <c r="JP906">
        <v>670.8</v>
      </c>
      <c r="JQ906">
        <v>745.2</v>
      </c>
      <c r="JR906">
        <v>242.9</v>
      </c>
    </row>
    <row r="907" spans="2:278" ht="18" thickBot="1">
      <c r="B907" s="368"/>
      <c r="C907" s="382" t="s">
        <v>1580</v>
      </c>
      <c r="D907" s="382"/>
      <c r="E907" s="454">
        <v>22829.8</v>
      </c>
      <c r="F907">
        <v>20193.400000000001</v>
      </c>
      <c r="G907" s="427">
        <v>0</v>
      </c>
      <c r="H907" s="155">
        <v>0</v>
      </c>
      <c r="I907">
        <v>0</v>
      </c>
      <c r="J907">
        <v>0</v>
      </c>
      <c r="K907">
        <v>0</v>
      </c>
      <c r="L907" s="4">
        <v>0</v>
      </c>
      <c r="M907" s="4">
        <v>0</v>
      </c>
      <c r="N907" s="4">
        <v>0</v>
      </c>
      <c r="O907" s="4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1476.4</v>
      </c>
      <c r="X907">
        <v>1482</v>
      </c>
      <c r="Y907">
        <v>457.20000000000005</v>
      </c>
      <c r="Z907">
        <v>0</v>
      </c>
      <c r="AA907">
        <v>0</v>
      </c>
      <c r="AB907">
        <v>0</v>
      </c>
      <c r="AC907">
        <v>0</v>
      </c>
      <c r="AD907">
        <v>3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1828.6</v>
      </c>
      <c r="AK907">
        <v>1800.7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560.70000000000005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0</v>
      </c>
      <c r="BU907">
        <v>0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  <c r="CF907">
        <v>0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  <c r="CN907">
        <v>0</v>
      </c>
      <c r="CO907">
        <v>0</v>
      </c>
      <c r="CP907">
        <v>3.5</v>
      </c>
      <c r="CQ907">
        <v>0</v>
      </c>
      <c r="CR907">
        <v>528</v>
      </c>
      <c r="CS907">
        <v>581.79999999999995</v>
      </c>
      <c r="CT907">
        <v>555.40000000000009</v>
      </c>
      <c r="CU907">
        <v>737.4</v>
      </c>
      <c r="CV907">
        <v>1039.0999999999999</v>
      </c>
      <c r="CW907">
        <v>1667.3</v>
      </c>
      <c r="CX907">
        <v>877.6</v>
      </c>
      <c r="CY907">
        <v>910.40000000000009</v>
      </c>
      <c r="CZ907">
        <v>0</v>
      </c>
      <c r="DA907">
        <v>0</v>
      </c>
      <c r="DB907">
        <v>0</v>
      </c>
      <c r="DC907">
        <v>0</v>
      </c>
      <c r="DD907">
        <v>0</v>
      </c>
      <c r="DE907">
        <v>0</v>
      </c>
      <c r="DF907">
        <v>0</v>
      </c>
      <c r="DG907">
        <v>0</v>
      </c>
      <c r="DH907">
        <v>0</v>
      </c>
      <c r="DI907">
        <v>0</v>
      </c>
      <c r="DJ907">
        <v>0</v>
      </c>
      <c r="DK907">
        <v>0</v>
      </c>
      <c r="DL907">
        <v>995.5</v>
      </c>
      <c r="DM907">
        <v>712.7</v>
      </c>
      <c r="DN907">
        <v>0</v>
      </c>
      <c r="DO907">
        <v>0</v>
      </c>
      <c r="DP907">
        <v>0</v>
      </c>
      <c r="DQ907">
        <v>0</v>
      </c>
      <c r="DR907">
        <v>0</v>
      </c>
      <c r="DS907">
        <v>0</v>
      </c>
      <c r="DT907">
        <v>0</v>
      </c>
      <c r="DU907">
        <v>0</v>
      </c>
      <c r="DV907">
        <v>0</v>
      </c>
      <c r="DW907">
        <v>0</v>
      </c>
      <c r="DX907">
        <v>0</v>
      </c>
      <c r="DY907">
        <v>0</v>
      </c>
      <c r="DZ907">
        <v>0</v>
      </c>
      <c r="EA907">
        <v>0</v>
      </c>
      <c r="EB907">
        <v>0</v>
      </c>
      <c r="EC907">
        <v>0</v>
      </c>
      <c r="ED907">
        <v>0</v>
      </c>
      <c r="EE907">
        <v>0</v>
      </c>
      <c r="EF907">
        <v>0</v>
      </c>
      <c r="EG907">
        <v>0</v>
      </c>
      <c r="EH907">
        <v>0</v>
      </c>
      <c r="EI907">
        <v>0</v>
      </c>
      <c r="EJ907">
        <v>0</v>
      </c>
      <c r="EK907">
        <v>0</v>
      </c>
      <c r="EL907">
        <v>0</v>
      </c>
      <c r="EM907">
        <v>0</v>
      </c>
      <c r="EN907">
        <v>27.4</v>
      </c>
      <c r="EO907">
        <v>0</v>
      </c>
      <c r="EP907">
        <v>1002.5</v>
      </c>
      <c r="EQ907">
        <v>0</v>
      </c>
      <c r="ER907">
        <v>494</v>
      </c>
      <c r="ES907">
        <v>0</v>
      </c>
      <c r="ET907">
        <v>699.3</v>
      </c>
      <c r="EU907">
        <v>435.4</v>
      </c>
      <c r="EV907">
        <v>0</v>
      </c>
      <c r="EW907">
        <v>0</v>
      </c>
      <c r="EX907">
        <v>0</v>
      </c>
      <c r="EY907">
        <v>0</v>
      </c>
      <c r="EZ907">
        <v>0</v>
      </c>
      <c r="FA907">
        <v>0</v>
      </c>
      <c r="FB907">
        <v>0</v>
      </c>
      <c r="FC907">
        <v>0</v>
      </c>
      <c r="FD907">
        <v>95.6</v>
      </c>
      <c r="FE907">
        <v>1792.1</v>
      </c>
      <c r="FF907">
        <v>1740.1999999999998</v>
      </c>
      <c r="FG907">
        <v>954.9</v>
      </c>
      <c r="FH907">
        <v>1087.8000000000002</v>
      </c>
      <c r="FI907">
        <v>1892.1</v>
      </c>
      <c r="FJ907">
        <v>1222.5</v>
      </c>
      <c r="FK907">
        <v>678.3</v>
      </c>
      <c r="FL907">
        <v>639.1</v>
      </c>
      <c r="FM907">
        <v>520.5</v>
      </c>
      <c r="FN907">
        <v>123.8</v>
      </c>
      <c r="FO907">
        <v>181.6</v>
      </c>
      <c r="FP907">
        <v>1090.5</v>
      </c>
      <c r="FQ907">
        <v>0</v>
      </c>
      <c r="FR907">
        <v>0</v>
      </c>
      <c r="FS907">
        <v>0</v>
      </c>
      <c r="FT907">
        <v>0</v>
      </c>
      <c r="FU907">
        <v>0</v>
      </c>
      <c r="FV907">
        <v>0</v>
      </c>
      <c r="FW907">
        <v>0</v>
      </c>
      <c r="FX907">
        <v>0</v>
      </c>
      <c r="FY907">
        <v>0</v>
      </c>
      <c r="FZ907">
        <v>0</v>
      </c>
      <c r="GA907">
        <v>0</v>
      </c>
      <c r="GB907">
        <v>0</v>
      </c>
      <c r="GC907">
        <v>0</v>
      </c>
      <c r="GD907">
        <v>0</v>
      </c>
      <c r="GE907">
        <v>0</v>
      </c>
      <c r="GF907">
        <v>198.3</v>
      </c>
      <c r="GG907">
        <v>1054.4000000000001</v>
      </c>
      <c r="GH907">
        <v>552.79999999999995</v>
      </c>
      <c r="GI907">
        <v>522</v>
      </c>
      <c r="GJ907">
        <v>0</v>
      </c>
      <c r="GK907">
        <v>0</v>
      </c>
      <c r="GL907">
        <v>0</v>
      </c>
      <c r="GM907">
        <v>0</v>
      </c>
      <c r="GN907">
        <v>791.40000000000009</v>
      </c>
      <c r="GO907">
        <v>1816.5</v>
      </c>
      <c r="GP907">
        <v>0</v>
      </c>
      <c r="GQ907">
        <v>0</v>
      </c>
      <c r="GR907">
        <v>0</v>
      </c>
      <c r="GS907">
        <v>0</v>
      </c>
      <c r="GT907">
        <v>0</v>
      </c>
      <c r="GU907">
        <v>0</v>
      </c>
      <c r="GV907">
        <v>0</v>
      </c>
      <c r="GW907">
        <v>0</v>
      </c>
      <c r="GX907">
        <v>0</v>
      </c>
      <c r="GY907">
        <v>840.3</v>
      </c>
      <c r="GZ907">
        <v>0</v>
      </c>
      <c r="HA907">
        <v>0</v>
      </c>
      <c r="HB907">
        <v>0</v>
      </c>
      <c r="HC907">
        <v>380.4</v>
      </c>
      <c r="HD907">
        <v>2175.5</v>
      </c>
      <c r="HE907">
        <v>0</v>
      </c>
      <c r="HF907">
        <v>0</v>
      </c>
      <c r="HG907">
        <v>0</v>
      </c>
      <c r="HH907">
        <v>0</v>
      </c>
      <c r="HI907">
        <v>0</v>
      </c>
      <c r="HJ907">
        <v>803.40000000000009</v>
      </c>
      <c r="HK907">
        <v>1270.9000000000001</v>
      </c>
      <c r="HL907">
        <v>835.7</v>
      </c>
      <c r="HM907">
        <v>1162.5999999999999</v>
      </c>
      <c r="HN907">
        <v>0</v>
      </c>
      <c r="HO907">
        <v>0</v>
      </c>
      <c r="HP907">
        <v>0</v>
      </c>
      <c r="HQ907">
        <v>0</v>
      </c>
      <c r="HR907">
        <v>161.19999999999999</v>
      </c>
      <c r="HS907">
        <v>0</v>
      </c>
      <c r="HT907">
        <v>2048.5</v>
      </c>
      <c r="HU907">
        <v>2627.5</v>
      </c>
      <c r="HV907">
        <v>1168.5999999999999</v>
      </c>
      <c r="HW907">
        <v>388</v>
      </c>
      <c r="HX907">
        <v>0</v>
      </c>
      <c r="HY907">
        <v>0</v>
      </c>
      <c r="HZ907">
        <v>0</v>
      </c>
      <c r="IA907">
        <v>0</v>
      </c>
      <c r="IB907">
        <v>0</v>
      </c>
      <c r="IC907">
        <v>594.4</v>
      </c>
      <c r="ID907">
        <v>427.4</v>
      </c>
      <c r="IE907">
        <v>713.3</v>
      </c>
      <c r="IF907">
        <v>626.1</v>
      </c>
      <c r="IG907">
        <v>0</v>
      </c>
      <c r="IH907">
        <v>0</v>
      </c>
      <c r="II907">
        <v>995.7</v>
      </c>
      <c r="IJ907">
        <v>1156.5999999999999</v>
      </c>
      <c r="IK907">
        <v>864.6</v>
      </c>
      <c r="IL907">
        <v>316.5</v>
      </c>
      <c r="IM907">
        <v>101.5</v>
      </c>
      <c r="IN907">
        <v>71.8</v>
      </c>
      <c r="IO907">
        <v>0</v>
      </c>
      <c r="IP907">
        <v>0</v>
      </c>
      <c r="IQ907">
        <v>0</v>
      </c>
      <c r="IR907">
        <v>0</v>
      </c>
      <c r="IS907">
        <v>0</v>
      </c>
      <c r="IT907">
        <v>0</v>
      </c>
      <c r="IU907">
        <v>0</v>
      </c>
      <c r="IV907">
        <v>0</v>
      </c>
      <c r="IW907">
        <v>68</v>
      </c>
      <c r="IX907">
        <v>404.7</v>
      </c>
      <c r="IY907">
        <v>126.6</v>
      </c>
      <c r="IZ907">
        <v>126.6</v>
      </c>
      <c r="JA907">
        <v>503.7</v>
      </c>
      <c r="JB907">
        <v>570.1</v>
      </c>
      <c r="JC907">
        <v>328.3</v>
      </c>
      <c r="JD907">
        <v>0</v>
      </c>
      <c r="JE907">
        <v>0</v>
      </c>
      <c r="JF907">
        <v>0</v>
      </c>
      <c r="JG907">
        <v>0</v>
      </c>
      <c r="JH907">
        <v>287.3</v>
      </c>
      <c r="JI907">
        <v>68.2</v>
      </c>
      <c r="JJ907">
        <v>0</v>
      </c>
      <c r="JK907">
        <v>148.6</v>
      </c>
      <c r="JL907">
        <v>0</v>
      </c>
      <c r="JM907">
        <v>0</v>
      </c>
      <c r="JN907">
        <v>204.5</v>
      </c>
      <c r="JO907">
        <v>292.10000000000002</v>
      </c>
      <c r="JP907">
        <v>670.8</v>
      </c>
      <c r="JQ907">
        <v>745.2</v>
      </c>
      <c r="JR907">
        <v>242.9</v>
      </c>
    </row>
    <row r="908" spans="2:278" ht="18" thickBot="1">
      <c r="B908" s="368" t="s">
        <v>1280</v>
      </c>
      <c r="C908" s="368" t="s">
        <v>1581</v>
      </c>
      <c r="D908" s="368" t="s">
        <v>1441</v>
      </c>
      <c r="E908" s="454">
        <v>22829.8</v>
      </c>
      <c r="F908">
        <v>20193.400000000001</v>
      </c>
      <c r="G908" s="427">
        <v>0</v>
      </c>
      <c r="H908" s="155">
        <v>0</v>
      </c>
      <c r="I908">
        <v>0</v>
      </c>
      <c r="J908">
        <v>0</v>
      </c>
      <c r="K908">
        <v>0</v>
      </c>
      <c r="L908" s="4">
        <v>0</v>
      </c>
      <c r="M908" s="4">
        <v>0</v>
      </c>
      <c r="N908" s="4">
        <v>0</v>
      </c>
      <c r="O908" s="4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1476.4</v>
      </c>
      <c r="X908">
        <v>1482</v>
      </c>
      <c r="Y908">
        <v>457.20000000000005</v>
      </c>
      <c r="Z908">
        <v>0</v>
      </c>
      <c r="AA908">
        <v>0</v>
      </c>
      <c r="AB908">
        <v>0</v>
      </c>
      <c r="AC908">
        <v>0</v>
      </c>
      <c r="AD908">
        <v>3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1828.6</v>
      </c>
      <c r="AK908">
        <v>1800.7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560.70000000000005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  <c r="CF908">
        <v>0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  <c r="CN908">
        <v>0</v>
      </c>
      <c r="CO908">
        <v>0</v>
      </c>
      <c r="CP908">
        <v>3.5</v>
      </c>
      <c r="CQ908">
        <v>0</v>
      </c>
      <c r="CR908">
        <v>528</v>
      </c>
      <c r="CS908">
        <v>581.79999999999995</v>
      </c>
      <c r="CT908">
        <v>555.40000000000009</v>
      </c>
      <c r="CU908">
        <v>737.4</v>
      </c>
      <c r="CV908">
        <v>1039.0999999999999</v>
      </c>
      <c r="CW908">
        <v>1667.3</v>
      </c>
      <c r="CX908">
        <v>877.6</v>
      </c>
      <c r="CY908">
        <v>910.40000000000009</v>
      </c>
      <c r="CZ908">
        <v>0</v>
      </c>
      <c r="DA908">
        <v>0</v>
      </c>
      <c r="DB908">
        <v>0</v>
      </c>
      <c r="DC908">
        <v>0</v>
      </c>
      <c r="DD908">
        <v>0</v>
      </c>
      <c r="DE908">
        <v>0</v>
      </c>
      <c r="DF908">
        <v>0</v>
      </c>
      <c r="DG908">
        <v>0</v>
      </c>
      <c r="DH908">
        <v>0</v>
      </c>
      <c r="DI908">
        <v>0</v>
      </c>
      <c r="DJ908">
        <v>0</v>
      </c>
      <c r="DK908">
        <v>0</v>
      </c>
      <c r="DL908">
        <v>995.5</v>
      </c>
      <c r="DM908">
        <v>712.7</v>
      </c>
      <c r="DN908">
        <v>0</v>
      </c>
      <c r="DO908">
        <v>0</v>
      </c>
      <c r="DP908">
        <v>0</v>
      </c>
      <c r="DQ908">
        <v>0</v>
      </c>
      <c r="DR908">
        <v>0</v>
      </c>
      <c r="DS908">
        <v>0</v>
      </c>
      <c r="DT908">
        <v>0</v>
      </c>
      <c r="DU908">
        <v>0</v>
      </c>
      <c r="DV908">
        <v>0</v>
      </c>
      <c r="DW908">
        <v>0</v>
      </c>
      <c r="DX908">
        <v>0</v>
      </c>
      <c r="DY908">
        <v>0</v>
      </c>
      <c r="DZ908">
        <v>0</v>
      </c>
      <c r="EA908">
        <v>0</v>
      </c>
      <c r="EB908">
        <v>0</v>
      </c>
      <c r="EC908">
        <v>0</v>
      </c>
      <c r="ED908">
        <v>0</v>
      </c>
      <c r="EE908">
        <v>0</v>
      </c>
      <c r="EF908">
        <v>0</v>
      </c>
      <c r="EG908">
        <v>0</v>
      </c>
      <c r="EH908">
        <v>0</v>
      </c>
      <c r="EI908">
        <v>0</v>
      </c>
      <c r="EJ908">
        <v>0</v>
      </c>
      <c r="EK908">
        <v>0</v>
      </c>
      <c r="EL908">
        <v>0</v>
      </c>
      <c r="EM908">
        <v>0</v>
      </c>
      <c r="EN908">
        <v>27.4</v>
      </c>
      <c r="EO908">
        <v>0</v>
      </c>
      <c r="EP908">
        <v>1002.5</v>
      </c>
      <c r="EQ908">
        <v>0</v>
      </c>
      <c r="ER908">
        <v>494</v>
      </c>
      <c r="ES908">
        <v>0</v>
      </c>
      <c r="ET908">
        <v>699.3</v>
      </c>
      <c r="EU908">
        <v>435.4</v>
      </c>
      <c r="EV908">
        <v>0</v>
      </c>
      <c r="EW908">
        <v>0</v>
      </c>
      <c r="EX908">
        <v>0</v>
      </c>
      <c r="EY908">
        <v>0</v>
      </c>
      <c r="EZ908">
        <v>0</v>
      </c>
      <c r="FA908">
        <v>0</v>
      </c>
      <c r="FB908">
        <v>0</v>
      </c>
      <c r="FC908">
        <v>0</v>
      </c>
      <c r="FD908">
        <v>95.6</v>
      </c>
      <c r="FE908">
        <v>1792.1</v>
      </c>
      <c r="FF908">
        <v>1740.1999999999998</v>
      </c>
      <c r="FG908">
        <v>954.9</v>
      </c>
      <c r="FH908">
        <v>1087.8000000000002</v>
      </c>
      <c r="FI908">
        <v>1892.1</v>
      </c>
      <c r="FJ908">
        <v>1222.5</v>
      </c>
      <c r="FK908">
        <v>678.3</v>
      </c>
      <c r="FL908">
        <v>639.1</v>
      </c>
      <c r="FM908">
        <v>520.5</v>
      </c>
      <c r="FN908">
        <v>123.8</v>
      </c>
      <c r="FO908">
        <v>181.6</v>
      </c>
      <c r="FP908">
        <v>1090.5</v>
      </c>
      <c r="FQ908">
        <v>0</v>
      </c>
      <c r="FR908">
        <v>0</v>
      </c>
      <c r="FS908">
        <v>0</v>
      </c>
      <c r="FT908">
        <v>0</v>
      </c>
      <c r="FU908">
        <v>0</v>
      </c>
      <c r="FV908">
        <v>0</v>
      </c>
      <c r="FW908">
        <v>0</v>
      </c>
      <c r="FX908">
        <v>0</v>
      </c>
      <c r="FY908">
        <v>0</v>
      </c>
      <c r="FZ908">
        <v>0</v>
      </c>
      <c r="GA908">
        <v>0</v>
      </c>
      <c r="GB908">
        <v>0</v>
      </c>
      <c r="GC908">
        <v>0</v>
      </c>
      <c r="GD908">
        <v>0</v>
      </c>
      <c r="GE908">
        <v>0</v>
      </c>
      <c r="GF908">
        <v>198.3</v>
      </c>
      <c r="GG908">
        <v>1054.4000000000001</v>
      </c>
      <c r="GH908">
        <v>552.79999999999995</v>
      </c>
      <c r="GI908">
        <v>522</v>
      </c>
      <c r="GJ908">
        <v>0</v>
      </c>
      <c r="GK908">
        <v>0</v>
      </c>
      <c r="GL908">
        <v>0</v>
      </c>
      <c r="GM908">
        <v>0</v>
      </c>
      <c r="GN908">
        <v>791.40000000000009</v>
      </c>
      <c r="GO908">
        <v>1816.5</v>
      </c>
      <c r="GP908">
        <v>0</v>
      </c>
      <c r="GQ908">
        <v>0</v>
      </c>
      <c r="GR908">
        <v>0</v>
      </c>
      <c r="GS908">
        <v>0</v>
      </c>
      <c r="GT908">
        <v>0</v>
      </c>
      <c r="GU908">
        <v>0</v>
      </c>
      <c r="GV908">
        <v>0</v>
      </c>
      <c r="GW908">
        <v>0</v>
      </c>
      <c r="GX908">
        <v>0</v>
      </c>
      <c r="GY908">
        <v>840.3</v>
      </c>
      <c r="GZ908">
        <v>0</v>
      </c>
      <c r="HA908">
        <v>0</v>
      </c>
      <c r="HB908">
        <v>0</v>
      </c>
      <c r="HC908">
        <v>380.4</v>
      </c>
      <c r="HD908">
        <v>2175.5</v>
      </c>
      <c r="HE908">
        <v>0</v>
      </c>
      <c r="HF908">
        <v>0</v>
      </c>
      <c r="HG908">
        <v>0</v>
      </c>
      <c r="HH908">
        <v>0</v>
      </c>
      <c r="HI908">
        <v>0</v>
      </c>
      <c r="HJ908">
        <v>803.40000000000009</v>
      </c>
      <c r="HK908">
        <v>1270.9000000000001</v>
      </c>
      <c r="HL908">
        <v>835.7</v>
      </c>
      <c r="HM908">
        <v>1162.5999999999999</v>
      </c>
      <c r="HN908">
        <v>0</v>
      </c>
      <c r="HO908">
        <v>0</v>
      </c>
      <c r="HP908">
        <v>0</v>
      </c>
      <c r="HQ908">
        <v>0</v>
      </c>
      <c r="HR908">
        <v>161.19999999999999</v>
      </c>
      <c r="HS908">
        <v>0</v>
      </c>
      <c r="HT908">
        <v>2048.5</v>
      </c>
      <c r="HU908">
        <v>2627.5</v>
      </c>
      <c r="HV908">
        <v>1168.5999999999999</v>
      </c>
      <c r="HW908">
        <v>388</v>
      </c>
      <c r="HX908">
        <v>0</v>
      </c>
      <c r="HY908">
        <v>0</v>
      </c>
      <c r="HZ908">
        <v>0</v>
      </c>
      <c r="IA908">
        <v>0</v>
      </c>
      <c r="IB908">
        <v>0</v>
      </c>
      <c r="IC908">
        <v>594.4</v>
      </c>
      <c r="ID908">
        <v>427.4</v>
      </c>
      <c r="IE908">
        <v>713.3</v>
      </c>
      <c r="IF908">
        <v>626.1</v>
      </c>
      <c r="IG908">
        <v>0</v>
      </c>
      <c r="IH908">
        <v>0</v>
      </c>
      <c r="II908">
        <v>995.7</v>
      </c>
      <c r="IJ908">
        <v>1156.5999999999999</v>
      </c>
      <c r="IK908">
        <v>864.6</v>
      </c>
      <c r="IL908">
        <v>316.5</v>
      </c>
      <c r="IM908">
        <v>101.5</v>
      </c>
      <c r="IN908">
        <v>71.8</v>
      </c>
      <c r="IO908">
        <v>0</v>
      </c>
      <c r="IP908">
        <v>0</v>
      </c>
      <c r="IQ908">
        <v>0</v>
      </c>
      <c r="IR908">
        <v>0</v>
      </c>
      <c r="IS908">
        <v>0</v>
      </c>
      <c r="IT908">
        <v>0</v>
      </c>
      <c r="IU908">
        <v>0</v>
      </c>
      <c r="IV908">
        <v>0</v>
      </c>
      <c r="IW908">
        <v>68</v>
      </c>
      <c r="IX908">
        <v>404.7</v>
      </c>
      <c r="IY908">
        <v>126.6</v>
      </c>
      <c r="IZ908">
        <v>126.6</v>
      </c>
      <c r="JA908">
        <v>503.7</v>
      </c>
      <c r="JB908">
        <v>570.1</v>
      </c>
      <c r="JC908">
        <v>328.3</v>
      </c>
      <c r="JD908">
        <v>0</v>
      </c>
      <c r="JE908">
        <v>0</v>
      </c>
      <c r="JF908">
        <v>0</v>
      </c>
      <c r="JG908">
        <v>0</v>
      </c>
      <c r="JH908">
        <v>287.3</v>
      </c>
      <c r="JI908">
        <v>68.2</v>
      </c>
      <c r="JJ908">
        <v>0</v>
      </c>
      <c r="JK908">
        <v>148.6</v>
      </c>
      <c r="JL908">
        <v>0</v>
      </c>
      <c r="JM908">
        <v>0</v>
      </c>
      <c r="JN908">
        <v>204.5</v>
      </c>
      <c r="JO908">
        <v>292.10000000000002</v>
      </c>
      <c r="JP908">
        <v>670.8</v>
      </c>
      <c r="JQ908">
        <v>745.2</v>
      </c>
      <c r="JR908">
        <v>242.9</v>
      </c>
    </row>
    <row r="909" spans="2:278" ht="18" thickBot="1">
      <c r="B909" s="367" t="s">
        <v>1281</v>
      </c>
      <c r="C909" s="410" t="s">
        <v>1582</v>
      </c>
      <c r="D909" s="367" t="s">
        <v>1442</v>
      </c>
      <c r="E909" s="454">
        <v>22829.8</v>
      </c>
      <c r="F909">
        <v>20193.400000000001</v>
      </c>
      <c r="G909" s="427">
        <v>0</v>
      </c>
      <c r="H909" s="155">
        <v>0</v>
      </c>
      <c r="I909">
        <v>0</v>
      </c>
      <c r="J909">
        <v>0</v>
      </c>
      <c r="K909">
        <v>0</v>
      </c>
      <c r="L909" s="4">
        <v>0</v>
      </c>
      <c r="M909" s="4">
        <v>0</v>
      </c>
      <c r="N909" s="4">
        <v>0</v>
      </c>
      <c r="O909" s="4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1476.4</v>
      </c>
      <c r="X909">
        <v>1482</v>
      </c>
      <c r="Y909">
        <v>457.20000000000005</v>
      </c>
      <c r="Z909">
        <v>0</v>
      </c>
      <c r="AA909">
        <v>0</v>
      </c>
      <c r="AB909">
        <v>0</v>
      </c>
      <c r="AC909">
        <v>0</v>
      </c>
      <c r="AD909">
        <v>3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1828.6</v>
      </c>
      <c r="AK909">
        <v>1800.7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560.70000000000005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  <c r="CF909">
        <v>0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  <c r="CN909">
        <v>0</v>
      </c>
      <c r="CO909">
        <v>0</v>
      </c>
      <c r="CP909">
        <v>3.5</v>
      </c>
      <c r="CQ909">
        <v>0</v>
      </c>
      <c r="CR909">
        <v>528</v>
      </c>
      <c r="CS909">
        <v>581.79999999999995</v>
      </c>
      <c r="CT909">
        <v>555.40000000000009</v>
      </c>
      <c r="CU909">
        <v>737.4</v>
      </c>
      <c r="CV909">
        <v>1039.0999999999999</v>
      </c>
      <c r="CW909">
        <v>1667.3</v>
      </c>
      <c r="CX909">
        <v>877.6</v>
      </c>
      <c r="CY909">
        <v>910.40000000000009</v>
      </c>
      <c r="CZ909">
        <v>0</v>
      </c>
      <c r="DA909">
        <v>0</v>
      </c>
      <c r="DB909">
        <v>0</v>
      </c>
      <c r="DC909">
        <v>0</v>
      </c>
      <c r="DD909">
        <v>0</v>
      </c>
      <c r="DE909">
        <v>0</v>
      </c>
      <c r="DF909">
        <v>0</v>
      </c>
      <c r="DG909">
        <v>0</v>
      </c>
      <c r="DH909">
        <v>0</v>
      </c>
      <c r="DI909">
        <v>0</v>
      </c>
      <c r="DJ909">
        <v>0</v>
      </c>
      <c r="DK909">
        <v>0</v>
      </c>
      <c r="DL909">
        <v>995.5</v>
      </c>
      <c r="DM909">
        <v>712.7</v>
      </c>
      <c r="DN909">
        <v>0</v>
      </c>
      <c r="DO909">
        <v>0</v>
      </c>
      <c r="DP909">
        <v>0</v>
      </c>
      <c r="DQ909">
        <v>0</v>
      </c>
      <c r="DR909">
        <v>0</v>
      </c>
      <c r="DS909">
        <v>0</v>
      </c>
      <c r="DT909">
        <v>0</v>
      </c>
      <c r="DU909">
        <v>0</v>
      </c>
      <c r="DV909">
        <v>0</v>
      </c>
      <c r="DW909">
        <v>0</v>
      </c>
      <c r="DX909">
        <v>0</v>
      </c>
      <c r="DY909">
        <v>0</v>
      </c>
      <c r="DZ909">
        <v>0</v>
      </c>
      <c r="EA909">
        <v>0</v>
      </c>
      <c r="EB909">
        <v>0</v>
      </c>
      <c r="EC909">
        <v>0</v>
      </c>
      <c r="ED909">
        <v>0</v>
      </c>
      <c r="EE909">
        <v>0</v>
      </c>
      <c r="EF909">
        <v>0</v>
      </c>
      <c r="EG909">
        <v>0</v>
      </c>
      <c r="EH909">
        <v>0</v>
      </c>
      <c r="EI909">
        <v>0</v>
      </c>
      <c r="EJ909">
        <v>0</v>
      </c>
      <c r="EK909">
        <v>0</v>
      </c>
      <c r="EL909">
        <v>0</v>
      </c>
      <c r="EM909">
        <v>0</v>
      </c>
      <c r="EN909">
        <v>27.4</v>
      </c>
      <c r="EO909">
        <v>0</v>
      </c>
      <c r="EP909">
        <v>1002.5</v>
      </c>
      <c r="EQ909">
        <v>0</v>
      </c>
      <c r="ER909">
        <v>494</v>
      </c>
      <c r="ES909">
        <v>0</v>
      </c>
      <c r="ET909">
        <v>699.3</v>
      </c>
      <c r="EU909">
        <v>435.4</v>
      </c>
      <c r="EV909">
        <v>0</v>
      </c>
      <c r="EW909">
        <v>0</v>
      </c>
      <c r="EX909">
        <v>0</v>
      </c>
      <c r="EY909">
        <v>0</v>
      </c>
      <c r="EZ909">
        <v>0</v>
      </c>
      <c r="FA909">
        <v>0</v>
      </c>
      <c r="FB909">
        <v>0</v>
      </c>
      <c r="FC909">
        <v>0</v>
      </c>
      <c r="FD909">
        <v>95.6</v>
      </c>
      <c r="FE909">
        <v>1792.1</v>
      </c>
      <c r="FF909">
        <v>1740.1999999999998</v>
      </c>
      <c r="FG909">
        <v>954.9</v>
      </c>
      <c r="FH909">
        <v>1087.8000000000002</v>
      </c>
      <c r="FI909">
        <v>1892.1</v>
      </c>
      <c r="FJ909">
        <v>1222.5</v>
      </c>
      <c r="FK909">
        <v>678.3</v>
      </c>
      <c r="FL909">
        <v>639.1</v>
      </c>
      <c r="FM909">
        <v>520.5</v>
      </c>
      <c r="FN909">
        <v>123.8</v>
      </c>
      <c r="FO909">
        <v>181.6</v>
      </c>
      <c r="FP909">
        <v>1090.5</v>
      </c>
      <c r="FQ909">
        <v>0</v>
      </c>
      <c r="FR909">
        <v>0</v>
      </c>
      <c r="FS909">
        <v>0</v>
      </c>
      <c r="FT909">
        <v>0</v>
      </c>
      <c r="FU909">
        <v>0</v>
      </c>
      <c r="FV909">
        <v>0</v>
      </c>
      <c r="FW909">
        <v>0</v>
      </c>
      <c r="FX909">
        <v>0</v>
      </c>
      <c r="FY909">
        <v>0</v>
      </c>
      <c r="FZ909">
        <v>0</v>
      </c>
      <c r="GA909">
        <v>0</v>
      </c>
      <c r="GB909">
        <v>0</v>
      </c>
      <c r="GC909">
        <v>0</v>
      </c>
      <c r="GD909">
        <v>0</v>
      </c>
      <c r="GE909">
        <v>0</v>
      </c>
      <c r="GF909">
        <v>198.3</v>
      </c>
      <c r="GG909">
        <v>1054.4000000000001</v>
      </c>
      <c r="GH909">
        <v>552.79999999999995</v>
      </c>
      <c r="GI909">
        <v>522</v>
      </c>
      <c r="GJ909">
        <v>0</v>
      </c>
      <c r="GK909">
        <v>0</v>
      </c>
      <c r="GL909">
        <v>0</v>
      </c>
      <c r="GM909">
        <v>0</v>
      </c>
      <c r="GN909">
        <v>791.40000000000009</v>
      </c>
      <c r="GO909">
        <v>1816.5</v>
      </c>
      <c r="GP909">
        <v>0</v>
      </c>
      <c r="GQ909">
        <v>0</v>
      </c>
      <c r="GR909">
        <v>0</v>
      </c>
      <c r="GS909">
        <v>0</v>
      </c>
      <c r="GT909">
        <v>0</v>
      </c>
      <c r="GU909">
        <v>0</v>
      </c>
      <c r="GV909">
        <v>0</v>
      </c>
      <c r="GW909">
        <v>0</v>
      </c>
      <c r="GX909">
        <v>0</v>
      </c>
      <c r="GY909">
        <v>840.3</v>
      </c>
      <c r="GZ909">
        <v>0</v>
      </c>
      <c r="HA909">
        <v>0</v>
      </c>
      <c r="HB909">
        <v>0</v>
      </c>
      <c r="HC909">
        <v>380.4</v>
      </c>
      <c r="HD909">
        <v>2175.5</v>
      </c>
      <c r="HE909">
        <v>0</v>
      </c>
      <c r="HF909">
        <v>0</v>
      </c>
      <c r="HG909">
        <v>0</v>
      </c>
      <c r="HH909">
        <v>0</v>
      </c>
      <c r="HI909">
        <v>0</v>
      </c>
      <c r="HJ909">
        <v>803.40000000000009</v>
      </c>
      <c r="HK909">
        <v>1270.9000000000001</v>
      </c>
      <c r="HL909">
        <v>835.7</v>
      </c>
      <c r="HM909">
        <v>1162.5999999999999</v>
      </c>
      <c r="HN909">
        <v>0</v>
      </c>
      <c r="HO909">
        <v>0</v>
      </c>
      <c r="HP909">
        <v>0</v>
      </c>
      <c r="HQ909">
        <v>0</v>
      </c>
      <c r="HR909">
        <v>161.19999999999999</v>
      </c>
      <c r="HS909">
        <v>0</v>
      </c>
      <c r="HT909">
        <v>2048.5</v>
      </c>
      <c r="HU909">
        <v>2627.5</v>
      </c>
      <c r="HV909">
        <v>1168.5999999999999</v>
      </c>
      <c r="HW909">
        <v>388</v>
      </c>
      <c r="HX909">
        <v>0</v>
      </c>
      <c r="HY909">
        <v>0</v>
      </c>
      <c r="HZ909">
        <v>0</v>
      </c>
      <c r="IA909">
        <v>0</v>
      </c>
      <c r="IB909">
        <v>0</v>
      </c>
      <c r="IC909">
        <v>594.4</v>
      </c>
      <c r="ID909">
        <v>427.4</v>
      </c>
      <c r="IE909">
        <v>713.3</v>
      </c>
      <c r="IF909">
        <v>626.1</v>
      </c>
      <c r="IG909">
        <v>0</v>
      </c>
      <c r="IH909">
        <v>0</v>
      </c>
      <c r="II909">
        <v>995.7</v>
      </c>
      <c r="IJ909">
        <v>1156.5999999999999</v>
      </c>
      <c r="IK909">
        <v>864.6</v>
      </c>
      <c r="IL909">
        <v>316.5</v>
      </c>
      <c r="IM909">
        <v>101.5</v>
      </c>
      <c r="IN909">
        <v>71.8</v>
      </c>
      <c r="IO909">
        <v>0</v>
      </c>
      <c r="IP909">
        <v>0</v>
      </c>
      <c r="IQ909">
        <v>0</v>
      </c>
      <c r="IR909">
        <v>0</v>
      </c>
      <c r="IS909">
        <v>0</v>
      </c>
      <c r="IT909">
        <v>0</v>
      </c>
      <c r="IU909">
        <v>0</v>
      </c>
      <c r="IV909">
        <v>0</v>
      </c>
      <c r="IW909">
        <v>68</v>
      </c>
      <c r="IX909">
        <v>404.7</v>
      </c>
      <c r="IY909">
        <v>126.6</v>
      </c>
      <c r="IZ909">
        <v>126.6</v>
      </c>
      <c r="JA909">
        <v>503.7</v>
      </c>
      <c r="JB909">
        <v>570.1</v>
      </c>
      <c r="JC909">
        <v>328.3</v>
      </c>
      <c r="JD909">
        <v>0</v>
      </c>
      <c r="JE909">
        <v>0</v>
      </c>
      <c r="JF909">
        <v>0</v>
      </c>
      <c r="JG909">
        <v>0</v>
      </c>
      <c r="JH909">
        <v>287.3</v>
      </c>
      <c r="JI909">
        <v>68.2</v>
      </c>
      <c r="JJ909">
        <v>0</v>
      </c>
      <c r="JK909">
        <v>148.6</v>
      </c>
      <c r="JL909">
        <v>0</v>
      </c>
      <c r="JM909">
        <v>0</v>
      </c>
      <c r="JN909">
        <v>204.5</v>
      </c>
      <c r="JO909">
        <v>292.10000000000002</v>
      </c>
      <c r="JP909">
        <v>670.8</v>
      </c>
      <c r="JQ909">
        <v>745.2</v>
      </c>
      <c r="JR909">
        <v>242.9</v>
      </c>
    </row>
    <row r="910" spans="2:278" ht="18" thickBot="1">
      <c r="B910" s="368" t="s">
        <v>1282</v>
      </c>
      <c r="C910" s="411" t="s">
        <v>1583</v>
      </c>
      <c r="D910" s="368" t="s">
        <v>1443</v>
      </c>
      <c r="E910" s="454">
        <v>22829.8</v>
      </c>
      <c r="F910">
        <v>20193.400000000001</v>
      </c>
      <c r="G910" s="427">
        <v>0</v>
      </c>
      <c r="H910" s="155">
        <v>0</v>
      </c>
      <c r="I910">
        <v>0</v>
      </c>
      <c r="J910">
        <v>0</v>
      </c>
      <c r="K910">
        <v>0</v>
      </c>
      <c r="L910" s="4">
        <v>0</v>
      </c>
      <c r="M910" s="4">
        <v>0</v>
      </c>
      <c r="N910" s="4">
        <v>0</v>
      </c>
      <c r="O910" s="4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1476.4</v>
      </c>
      <c r="X910">
        <v>1482</v>
      </c>
      <c r="Y910">
        <v>457.20000000000005</v>
      </c>
      <c r="Z910">
        <v>0</v>
      </c>
      <c r="AA910">
        <v>0</v>
      </c>
      <c r="AB910">
        <v>0</v>
      </c>
      <c r="AC910">
        <v>0</v>
      </c>
      <c r="AD910">
        <v>3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1828.6</v>
      </c>
      <c r="AK910">
        <v>1800.7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560.70000000000005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  <c r="CF910">
        <v>0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  <c r="CN910">
        <v>0</v>
      </c>
      <c r="CO910">
        <v>0</v>
      </c>
      <c r="CP910">
        <v>3.5</v>
      </c>
      <c r="CQ910">
        <v>0</v>
      </c>
      <c r="CR910">
        <v>528</v>
      </c>
      <c r="CS910">
        <v>581.79999999999995</v>
      </c>
      <c r="CT910">
        <v>555.40000000000009</v>
      </c>
      <c r="CU910">
        <v>737.4</v>
      </c>
      <c r="CV910">
        <v>1039.0999999999999</v>
      </c>
      <c r="CW910">
        <v>1667.3</v>
      </c>
      <c r="CX910">
        <v>877.6</v>
      </c>
      <c r="CY910">
        <v>910.40000000000009</v>
      </c>
      <c r="CZ910">
        <v>0</v>
      </c>
      <c r="DA910">
        <v>0</v>
      </c>
      <c r="DB910">
        <v>0</v>
      </c>
      <c r="DC910">
        <v>0</v>
      </c>
      <c r="DD910">
        <v>0</v>
      </c>
      <c r="DE910">
        <v>0</v>
      </c>
      <c r="DF910">
        <v>0</v>
      </c>
      <c r="DG910">
        <v>0</v>
      </c>
      <c r="DH910">
        <v>0</v>
      </c>
      <c r="DI910">
        <v>0</v>
      </c>
      <c r="DJ910">
        <v>0</v>
      </c>
      <c r="DK910">
        <v>0</v>
      </c>
      <c r="DL910">
        <v>995.5</v>
      </c>
      <c r="DM910">
        <v>712.7</v>
      </c>
      <c r="DN910">
        <v>0</v>
      </c>
      <c r="DO910">
        <v>0</v>
      </c>
      <c r="DP910">
        <v>0</v>
      </c>
      <c r="DQ910">
        <v>0</v>
      </c>
      <c r="DR910">
        <v>0</v>
      </c>
      <c r="DS910">
        <v>0</v>
      </c>
      <c r="DT910">
        <v>0</v>
      </c>
      <c r="DU910">
        <v>0</v>
      </c>
      <c r="DV910">
        <v>0</v>
      </c>
      <c r="DW910">
        <v>0</v>
      </c>
      <c r="DX910">
        <v>0</v>
      </c>
      <c r="DY910">
        <v>0</v>
      </c>
      <c r="DZ910">
        <v>0</v>
      </c>
      <c r="EA910">
        <v>0</v>
      </c>
      <c r="EB910">
        <v>0</v>
      </c>
      <c r="EC910">
        <v>0</v>
      </c>
      <c r="ED910">
        <v>0</v>
      </c>
      <c r="EE910">
        <v>0</v>
      </c>
      <c r="EF910">
        <v>0</v>
      </c>
      <c r="EG910">
        <v>0</v>
      </c>
      <c r="EH910">
        <v>0</v>
      </c>
      <c r="EI910">
        <v>0</v>
      </c>
      <c r="EJ910">
        <v>0</v>
      </c>
      <c r="EK910">
        <v>0</v>
      </c>
      <c r="EL910">
        <v>0</v>
      </c>
      <c r="EM910">
        <v>0</v>
      </c>
      <c r="EN910">
        <v>27.4</v>
      </c>
      <c r="EO910">
        <v>0</v>
      </c>
      <c r="EP910">
        <v>1002.5</v>
      </c>
      <c r="EQ910">
        <v>0</v>
      </c>
      <c r="ER910">
        <v>494</v>
      </c>
      <c r="ES910">
        <v>0</v>
      </c>
      <c r="ET910">
        <v>699.3</v>
      </c>
      <c r="EU910">
        <v>435.4</v>
      </c>
      <c r="EV910">
        <v>0</v>
      </c>
      <c r="EW910">
        <v>0</v>
      </c>
      <c r="EX910">
        <v>0</v>
      </c>
      <c r="EY910">
        <v>0</v>
      </c>
      <c r="EZ910">
        <v>0</v>
      </c>
      <c r="FA910">
        <v>0</v>
      </c>
      <c r="FB910">
        <v>0</v>
      </c>
      <c r="FC910">
        <v>0</v>
      </c>
      <c r="FD910">
        <v>95.6</v>
      </c>
      <c r="FE910">
        <v>1792.1</v>
      </c>
      <c r="FF910">
        <v>1740.1999999999998</v>
      </c>
      <c r="FG910">
        <v>954.9</v>
      </c>
      <c r="FH910">
        <v>1087.8000000000002</v>
      </c>
      <c r="FI910">
        <v>1892.1</v>
      </c>
      <c r="FJ910">
        <v>1222.5</v>
      </c>
      <c r="FK910">
        <v>678.3</v>
      </c>
      <c r="FL910">
        <v>639.1</v>
      </c>
      <c r="FM910">
        <v>520.5</v>
      </c>
      <c r="FN910">
        <v>123.8</v>
      </c>
      <c r="FO910">
        <v>181.6</v>
      </c>
      <c r="FP910">
        <v>1090.5</v>
      </c>
      <c r="FQ910">
        <v>0</v>
      </c>
      <c r="FR910">
        <v>0</v>
      </c>
      <c r="FS910">
        <v>0</v>
      </c>
      <c r="FT910">
        <v>0</v>
      </c>
      <c r="FU910">
        <v>0</v>
      </c>
      <c r="FV910">
        <v>0</v>
      </c>
      <c r="FW910">
        <v>0</v>
      </c>
      <c r="FX910">
        <v>0</v>
      </c>
      <c r="FY910">
        <v>0</v>
      </c>
      <c r="FZ910">
        <v>0</v>
      </c>
      <c r="GA910">
        <v>0</v>
      </c>
      <c r="GB910">
        <v>0</v>
      </c>
      <c r="GC910">
        <v>0</v>
      </c>
      <c r="GD910">
        <v>0</v>
      </c>
      <c r="GE910">
        <v>0</v>
      </c>
      <c r="GF910">
        <v>198.3</v>
      </c>
      <c r="GG910">
        <v>1054.4000000000001</v>
      </c>
      <c r="GH910">
        <v>552.79999999999995</v>
      </c>
      <c r="GI910">
        <v>522</v>
      </c>
      <c r="GJ910">
        <v>0</v>
      </c>
      <c r="GK910">
        <v>0</v>
      </c>
      <c r="GL910">
        <v>0</v>
      </c>
      <c r="GM910">
        <v>0</v>
      </c>
      <c r="GN910">
        <v>791.40000000000009</v>
      </c>
      <c r="GO910">
        <v>1816.5</v>
      </c>
      <c r="GP910">
        <v>0</v>
      </c>
      <c r="GQ910">
        <v>0</v>
      </c>
      <c r="GR910">
        <v>0</v>
      </c>
      <c r="GS910">
        <v>0</v>
      </c>
      <c r="GT910">
        <v>0</v>
      </c>
      <c r="GU910">
        <v>0</v>
      </c>
      <c r="GV910">
        <v>0</v>
      </c>
      <c r="GW910">
        <v>0</v>
      </c>
      <c r="GX910">
        <v>0</v>
      </c>
      <c r="GY910">
        <v>840.3</v>
      </c>
      <c r="GZ910">
        <v>0</v>
      </c>
      <c r="HA910">
        <v>0</v>
      </c>
      <c r="HB910">
        <v>0</v>
      </c>
      <c r="HC910">
        <v>380.4</v>
      </c>
      <c r="HD910">
        <v>2175.5</v>
      </c>
      <c r="HE910">
        <v>0</v>
      </c>
      <c r="HF910">
        <v>0</v>
      </c>
      <c r="HG910">
        <v>0</v>
      </c>
      <c r="HH910">
        <v>0</v>
      </c>
      <c r="HI910">
        <v>0</v>
      </c>
      <c r="HJ910">
        <v>803.40000000000009</v>
      </c>
      <c r="HK910">
        <v>1270.9000000000001</v>
      </c>
      <c r="HL910">
        <v>835.7</v>
      </c>
      <c r="HM910">
        <v>1162.5999999999999</v>
      </c>
      <c r="HN910">
        <v>0</v>
      </c>
      <c r="HO910">
        <v>0</v>
      </c>
      <c r="HP910">
        <v>0</v>
      </c>
      <c r="HQ910">
        <v>0</v>
      </c>
      <c r="HR910">
        <v>161.19999999999999</v>
      </c>
      <c r="HS910">
        <v>0</v>
      </c>
      <c r="HT910">
        <v>2048.5</v>
      </c>
      <c r="HU910">
        <v>2627.5</v>
      </c>
      <c r="HV910">
        <v>1168.5999999999999</v>
      </c>
      <c r="HW910">
        <v>388</v>
      </c>
      <c r="HX910">
        <v>0</v>
      </c>
      <c r="HY910">
        <v>0</v>
      </c>
      <c r="HZ910">
        <v>0</v>
      </c>
      <c r="IA910">
        <v>0</v>
      </c>
      <c r="IB910">
        <v>0</v>
      </c>
      <c r="IC910">
        <v>594.4</v>
      </c>
      <c r="ID910">
        <v>427.4</v>
      </c>
      <c r="IE910">
        <v>713.3</v>
      </c>
      <c r="IF910">
        <v>626.1</v>
      </c>
      <c r="IG910">
        <v>0</v>
      </c>
      <c r="IH910">
        <v>0</v>
      </c>
      <c r="II910">
        <v>995.7</v>
      </c>
      <c r="IJ910">
        <v>1156.5999999999999</v>
      </c>
      <c r="IK910">
        <v>864.6</v>
      </c>
      <c r="IL910">
        <v>316.5</v>
      </c>
      <c r="IM910">
        <v>101.5</v>
      </c>
      <c r="IN910">
        <v>71.8</v>
      </c>
      <c r="IO910">
        <v>0</v>
      </c>
      <c r="IP910">
        <v>0</v>
      </c>
      <c r="IQ910">
        <v>0</v>
      </c>
      <c r="IR910">
        <v>0</v>
      </c>
      <c r="IS910">
        <v>0</v>
      </c>
      <c r="IT910">
        <v>0</v>
      </c>
      <c r="IU910">
        <v>0</v>
      </c>
      <c r="IV910">
        <v>0</v>
      </c>
      <c r="IW910">
        <v>68</v>
      </c>
      <c r="IX910">
        <v>404.7</v>
      </c>
      <c r="IY910">
        <v>126.6</v>
      </c>
      <c r="IZ910">
        <v>126.6</v>
      </c>
      <c r="JA910">
        <v>503.7</v>
      </c>
      <c r="JB910">
        <v>570.1</v>
      </c>
      <c r="JC910">
        <v>328.3</v>
      </c>
      <c r="JD910">
        <v>0</v>
      </c>
      <c r="JE910">
        <v>0</v>
      </c>
      <c r="JF910">
        <v>0</v>
      </c>
      <c r="JG910">
        <v>0</v>
      </c>
      <c r="JH910">
        <v>287.3</v>
      </c>
      <c r="JI910">
        <v>68.2</v>
      </c>
      <c r="JJ910">
        <v>0</v>
      </c>
      <c r="JK910">
        <v>148.6</v>
      </c>
      <c r="JL910">
        <v>0</v>
      </c>
      <c r="JM910">
        <v>0</v>
      </c>
      <c r="JN910">
        <v>204.5</v>
      </c>
      <c r="JO910">
        <v>292.10000000000002</v>
      </c>
      <c r="JP910">
        <v>670.8</v>
      </c>
      <c r="JQ910">
        <v>745.2</v>
      </c>
      <c r="JR910">
        <v>242.9</v>
      </c>
    </row>
    <row r="911" spans="2:278" ht="18" thickBot="1">
      <c r="B911" s="368" t="s">
        <v>1283</v>
      </c>
      <c r="C911" s="411" t="s">
        <v>1584</v>
      </c>
      <c r="D911" s="368" t="s">
        <v>1444</v>
      </c>
      <c r="E911" s="454">
        <v>22829.8</v>
      </c>
      <c r="F911">
        <v>20193.400000000001</v>
      </c>
      <c r="G911" s="427">
        <v>0</v>
      </c>
      <c r="H911" s="155">
        <v>0</v>
      </c>
      <c r="I911">
        <v>0</v>
      </c>
      <c r="J911">
        <v>0</v>
      </c>
      <c r="K911">
        <v>0</v>
      </c>
      <c r="L911" s="4">
        <v>0</v>
      </c>
      <c r="M911" s="4">
        <v>0</v>
      </c>
      <c r="N911" s="4">
        <v>0</v>
      </c>
      <c r="O911" s="4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1476.4</v>
      </c>
      <c r="X911">
        <v>1482</v>
      </c>
      <c r="Y911">
        <v>457.20000000000005</v>
      </c>
      <c r="Z911">
        <v>0</v>
      </c>
      <c r="AA911">
        <v>0</v>
      </c>
      <c r="AB911">
        <v>0</v>
      </c>
      <c r="AC911">
        <v>0</v>
      </c>
      <c r="AD911">
        <v>3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1828.6</v>
      </c>
      <c r="AK911">
        <v>1800.7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560.70000000000005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  <c r="CF911">
        <v>0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  <c r="CN911">
        <v>0</v>
      </c>
      <c r="CO911">
        <v>0</v>
      </c>
      <c r="CP911">
        <v>3.5</v>
      </c>
      <c r="CQ911">
        <v>0</v>
      </c>
      <c r="CR911">
        <v>528</v>
      </c>
      <c r="CS911">
        <v>581.79999999999995</v>
      </c>
      <c r="CT911">
        <v>555.40000000000009</v>
      </c>
      <c r="CU911">
        <v>737.4</v>
      </c>
      <c r="CV911">
        <v>1039.0999999999999</v>
      </c>
      <c r="CW911">
        <v>1667.3</v>
      </c>
      <c r="CX911">
        <v>877.6</v>
      </c>
      <c r="CY911">
        <v>910.40000000000009</v>
      </c>
      <c r="CZ911">
        <v>0</v>
      </c>
      <c r="DA911">
        <v>0</v>
      </c>
      <c r="DB911">
        <v>0</v>
      </c>
      <c r="DC911">
        <v>0</v>
      </c>
      <c r="DD911">
        <v>0</v>
      </c>
      <c r="DE911">
        <v>0</v>
      </c>
      <c r="DF911">
        <v>0</v>
      </c>
      <c r="DG911">
        <v>0</v>
      </c>
      <c r="DH911">
        <v>0</v>
      </c>
      <c r="DI911">
        <v>0</v>
      </c>
      <c r="DJ911">
        <v>0</v>
      </c>
      <c r="DK911">
        <v>0</v>
      </c>
      <c r="DL911">
        <v>995.5</v>
      </c>
      <c r="DM911">
        <v>712.7</v>
      </c>
      <c r="DN911">
        <v>0</v>
      </c>
      <c r="DO911">
        <v>0</v>
      </c>
      <c r="DP911">
        <v>0</v>
      </c>
      <c r="DQ911">
        <v>0</v>
      </c>
      <c r="DR911">
        <v>0</v>
      </c>
      <c r="DS911">
        <v>0</v>
      </c>
      <c r="DT911">
        <v>0</v>
      </c>
      <c r="DU911">
        <v>0</v>
      </c>
      <c r="DV911">
        <v>0</v>
      </c>
      <c r="DW911">
        <v>0</v>
      </c>
      <c r="DX911">
        <v>0</v>
      </c>
      <c r="DY911">
        <v>0</v>
      </c>
      <c r="DZ911">
        <v>0</v>
      </c>
      <c r="EA911">
        <v>0</v>
      </c>
      <c r="EB911">
        <v>0</v>
      </c>
      <c r="EC911">
        <v>0</v>
      </c>
      <c r="ED911">
        <v>0</v>
      </c>
      <c r="EE911">
        <v>0</v>
      </c>
      <c r="EF911">
        <v>0</v>
      </c>
      <c r="EG911">
        <v>0</v>
      </c>
      <c r="EH911">
        <v>0</v>
      </c>
      <c r="EI911">
        <v>0</v>
      </c>
      <c r="EJ911">
        <v>0</v>
      </c>
      <c r="EK911">
        <v>0</v>
      </c>
      <c r="EL911">
        <v>0</v>
      </c>
      <c r="EM911">
        <v>0</v>
      </c>
      <c r="EN911">
        <v>27.4</v>
      </c>
      <c r="EO911">
        <v>0</v>
      </c>
      <c r="EP911">
        <v>1002.5</v>
      </c>
      <c r="EQ911">
        <v>0</v>
      </c>
      <c r="ER911">
        <v>494</v>
      </c>
      <c r="ES911">
        <v>0</v>
      </c>
      <c r="ET911">
        <v>699.3</v>
      </c>
      <c r="EU911">
        <v>435.4</v>
      </c>
      <c r="EV911">
        <v>0</v>
      </c>
      <c r="EW911">
        <v>0</v>
      </c>
      <c r="EX911">
        <v>0</v>
      </c>
      <c r="EY911">
        <v>0</v>
      </c>
      <c r="EZ911">
        <v>0</v>
      </c>
      <c r="FA911">
        <v>0</v>
      </c>
      <c r="FB911">
        <v>0</v>
      </c>
      <c r="FC911">
        <v>0</v>
      </c>
      <c r="FD911">
        <v>95.6</v>
      </c>
      <c r="FE911">
        <v>1792.1</v>
      </c>
      <c r="FF911">
        <v>1740.1999999999998</v>
      </c>
      <c r="FG911">
        <v>954.9</v>
      </c>
      <c r="FH911">
        <v>1087.8000000000002</v>
      </c>
      <c r="FI911">
        <v>1892.1</v>
      </c>
      <c r="FJ911">
        <v>1222.5</v>
      </c>
      <c r="FK911">
        <v>678.3</v>
      </c>
      <c r="FL911">
        <v>639.1</v>
      </c>
      <c r="FM911">
        <v>520.5</v>
      </c>
      <c r="FN911">
        <v>123.8</v>
      </c>
      <c r="FO911">
        <v>181.6</v>
      </c>
      <c r="FP911">
        <v>1090.5</v>
      </c>
      <c r="FQ911">
        <v>0</v>
      </c>
      <c r="FR911">
        <v>0</v>
      </c>
      <c r="FS911">
        <v>0</v>
      </c>
      <c r="FT911">
        <v>0</v>
      </c>
      <c r="FU911">
        <v>0</v>
      </c>
      <c r="FV911">
        <v>0</v>
      </c>
      <c r="FW911">
        <v>0</v>
      </c>
      <c r="FX911">
        <v>0</v>
      </c>
      <c r="FY911">
        <v>0</v>
      </c>
      <c r="FZ911">
        <v>0</v>
      </c>
      <c r="GA911">
        <v>0</v>
      </c>
      <c r="GB911">
        <v>0</v>
      </c>
      <c r="GC911">
        <v>0</v>
      </c>
      <c r="GD911">
        <v>0</v>
      </c>
      <c r="GE911">
        <v>0</v>
      </c>
      <c r="GF911">
        <v>198.3</v>
      </c>
      <c r="GG911">
        <v>1054.4000000000001</v>
      </c>
      <c r="GH911">
        <v>552.79999999999995</v>
      </c>
      <c r="GI911">
        <v>522</v>
      </c>
      <c r="GJ911">
        <v>0</v>
      </c>
      <c r="GK911">
        <v>0</v>
      </c>
      <c r="GL911">
        <v>0</v>
      </c>
      <c r="GM911">
        <v>0</v>
      </c>
      <c r="GN911">
        <v>791.40000000000009</v>
      </c>
      <c r="GO911">
        <v>1816.5</v>
      </c>
      <c r="GP911">
        <v>0</v>
      </c>
      <c r="GQ911">
        <v>0</v>
      </c>
      <c r="GR911">
        <v>0</v>
      </c>
      <c r="GS911">
        <v>0</v>
      </c>
      <c r="GT911">
        <v>0</v>
      </c>
      <c r="GU911">
        <v>0</v>
      </c>
      <c r="GV911">
        <v>0</v>
      </c>
      <c r="GW911">
        <v>0</v>
      </c>
      <c r="GX911">
        <v>0</v>
      </c>
      <c r="GY911">
        <v>840.3</v>
      </c>
      <c r="GZ911">
        <v>0</v>
      </c>
      <c r="HA911">
        <v>0</v>
      </c>
      <c r="HB911">
        <v>0</v>
      </c>
      <c r="HC911">
        <v>380.4</v>
      </c>
      <c r="HD911">
        <v>2175.5</v>
      </c>
      <c r="HE911">
        <v>0</v>
      </c>
      <c r="HF911">
        <v>0</v>
      </c>
      <c r="HG911">
        <v>0</v>
      </c>
      <c r="HH911">
        <v>0</v>
      </c>
      <c r="HI911">
        <v>0</v>
      </c>
      <c r="HJ911">
        <v>803.40000000000009</v>
      </c>
      <c r="HK911">
        <v>1270.9000000000001</v>
      </c>
      <c r="HL911">
        <v>835.7</v>
      </c>
      <c r="HM911">
        <v>1162.5999999999999</v>
      </c>
      <c r="HN911">
        <v>0</v>
      </c>
      <c r="HO911">
        <v>0</v>
      </c>
      <c r="HP911">
        <v>0</v>
      </c>
      <c r="HQ911">
        <v>0</v>
      </c>
      <c r="HR911">
        <v>161.19999999999999</v>
      </c>
      <c r="HS911">
        <v>0</v>
      </c>
      <c r="HT911">
        <v>2048.5</v>
      </c>
      <c r="HU911">
        <v>2627.5</v>
      </c>
      <c r="HV911">
        <v>1168.5999999999999</v>
      </c>
      <c r="HW911">
        <v>388</v>
      </c>
      <c r="HX911">
        <v>0</v>
      </c>
      <c r="HY911">
        <v>0</v>
      </c>
      <c r="HZ911">
        <v>0</v>
      </c>
      <c r="IA911">
        <v>0</v>
      </c>
      <c r="IB911">
        <v>0</v>
      </c>
      <c r="IC911">
        <v>594.4</v>
      </c>
      <c r="ID911">
        <v>427.4</v>
      </c>
      <c r="IE911">
        <v>713.3</v>
      </c>
      <c r="IF911">
        <v>626.1</v>
      </c>
      <c r="IG911">
        <v>0</v>
      </c>
      <c r="IH911">
        <v>0</v>
      </c>
      <c r="II911">
        <v>995.7</v>
      </c>
      <c r="IJ911">
        <v>1156.5999999999999</v>
      </c>
      <c r="IK911">
        <v>864.6</v>
      </c>
      <c r="IL911">
        <v>316.5</v>
      </c>
      <c r="IM911">
        <v>101.5</v>
      </c>
      <c r="IN911">
        <v>71.8</v>
      </c>
      <c r="IO911">
        <v>0</v>
      </c>
      <c r="IP911">
        <v>0</v>
      </c>
      <c r="IQ911">
        <v>0</v>
      </c>
      <c r="IR911">
        <v>0</v>
      </c>
      <c r="IS911">
        <v>0</v>
      </c>
      <c r="IT911">
        <v>0</v>
      </c>
      <c r="IU911">
        <v>0</v>
      </c>
      <c r="IV911">
        <v>0</v>
      </c>
      <c r="IW911">
        <v>68</v>
      </c>
      <c r="IX911">
        <v>404.7</v>
      </c>
      <c r="IY911">
        <v>126.6</v>
      </c>
      <c r="IZ911">
        <v>126.6</v>
      </c>
      <c r="JA911">
        <v>503.7</v>
      </c>
      <c r="JB911">
        <v>570.1</v>
      </c>
      <c r="JC911">
        <v>328.3</v>
      </c>
      <c r="JD911">
        <v>0</v>
      </c>
      <c r="JE911">
        <v>0</v>
      </c>
      <c r="JF911">
        <v>0</v>
      </c>
      <c r="JG911">
        <v>0</v>
      </c>
      <c r="JH911">
        <v>287.3</v>
      </c>
      <c r="JI911">
        <v>68.2</v>
      </c>
      <c r="JJ911">
        <v>0</v>
      </c>
      <c r="JK911">
        <v>148.6</v>
      </c>
      <c r="JL911">
        <v>0</v>
      </c>
      <c r="JM911">
        <v>0</v>
      </c>
      <c r="JN911">
        <v>204.5</v>
      </c>
      <c r="JO911">
        <v>292.10000000000002</v>
      </c>
      <c r="JP911">
        <v>670.8</v>
      </c>
      <c r="JQ911">
        <v>745.2</v>
      </c>
      <c r="JR911">
        <v>242.9</v>
      </c>
    </row>
    <row r="912" spans="2:278" ht="18" thickBot="1">
      <c r="B912" s="368" t="s">
        <v>1284</v>
      </c>
      <c r="C912" s="411" t="s">
        <v>1585</v>
      </c>
      <c r="D912" s="368" t="s">
        <v>1445</v>
      </c>
      <c r="E912" s="454">
        <v>22829.8</v>
      </c>
      <c r="F912">
        <v>20193.400000000001</v>
      </c>
      <c r="G912" s="427">
        <v>0</v>
      </c>
      <c r="H912" s="155">
        <v>0</v>
      </c>
      <c r="I912">
        <v>0</v>
      </c>
      <c r="J912">
        <v>0</v>
      </c>
      <c r="K912">
        <v>0</v>
      </c>
      <c r="L912" s="4">
        <v>0</v>
      </c>
      <c r="M912" s="4">
        <v>0</v>
      </c>
      <c r="N912" s="4">
        <v>0</v>
      </c>
      <c r="O912" s="4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1476.4</v>
      </c>
      <c r="X912">
        <v>1482</v>
      </c>
      <c r="Y912">
        <v>457.20000000000005</v>
      </c>
      <c r="Z912">
        <v>0</v>
      </c>
      <c r="AA912">
        <v>0</v>
      </c>
      <c r="AB912">
        <v>0</v>
      </c>
      <c r="AC912">
        <v>0</v>
      </c>
      <c r="AD912">
        <v>3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1828.6</v>
      </c>
      <c r="AK912">
        <v>1800.7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560.70000000000005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0</v>
      </c>
      <c r="BU912">
        <v>0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  <c r="CF912">
        <v>0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  <c r="CN912">
        <v>0</v>
      </c>
      <c r="CO912">
        <v>0</v>
      </c>
      <c r="CP912">
        <v>3.5</v>
      </c>
      <c r="CQ912">
        <v>0</v>
      </c>
      <c r="CR912">
        <v>528</v>
      </c>
      <c r="CS912">
        <v>581.79999999999995</v>
      </c>
      <c r="CT912">
        <v>555.40000000000009</v>
      </c>
      <c r="CU912">
        <v>737.4</v>
      </c>
      <c r="CV912">
        <v>1039.0999999999999</v>
      </c>
      <c r="CW912">
        <v>1667.3</v>
      </c>
      <c r="CX912">
        <v>877.6</v>
      </c>
      <c r="CY912">
        <v>910.40000000000009</v>
      </c>
      <c r="CZ912">
        <v>0</v>
      </c>
      <c r="DA912">
        <v>0</v>
      </c>
      <c r="DB912">
        <v>0</v>
      </c>
      <c r="DC912">
        <v>0</v>
      </c>
      <c r="DD912">
        <v>0</v>
      </c>
      <c r="DE912">
        <v>0</v>
      </c>
      <c r="DF912">
        <v>0</v>
      </c>
      <c r="DG912">
        <v>0</v>
      </c>
      <c r="DH912">
        <v>0</v>
      </c>
      <c r="DI912">
        <v>0</v>
      </c>
      <c r="DJ912">
        <v>0</v>
      </c>
      <c r="DK912">
        <v>0</v>
      </c>
      <c r="DL912">
        <v>995.5</v>
      </c>
      <c r="DM912">
        <v>712.7</v>
      </c>
      <c r="DN912">
        <v>0</v>
      </c>
      <c r="DO912">
        <v>0</v>
      </c>
      <c r="DP912">
        <v>0</v>
      </c>
      <c r="DQ912">
        <v>0</v>
      </c>
      <c r="DR912">
        <v>0</v>
      </c>
      <c r="DS912">
        <v>0</v>
      </c>
      <c r="DT912">
        <v>0</v>
      </c>
      <c r="DU912">
        <v>0</v>
      </c>
      <c r="DV912">
        <v>0</v>
      </c>
      <c r="DW912">
        <v>0</v>
      </c>
      <c r="DX912">
        <v>0</v>
      </c>
      <c r="DY912">
        <v>0</v>
      </c>
      <c r="DZ912">
        <v>0</v>
      </c>
      <c r="EA912">
        <v>0</v>
      </c>
      <c r="EB912">
        <v>0</v>
      </c>
      <c r="EC912">
        <v>0</v>
      </c>
      <c r="ED912">
        <v>0</v>
      </c>
      <c r="EE912">
        <v>0</v>
      </c>
      <c r="EF912">
        <v>0</v>
      </c>
      <c r="EG912">
        <v>0</v>
      </c>
      <c r="EH912">
        <v>0</v>
      </c>
      <c r="EI912">
        <v>0</v>
      </c>
      <c r="EJ912">
        <v>0</v>
      </c>
      <c r="EK912">
        <v>0</v>
      </c>
      <c r="EL912">
        <v>0</v>
      </c>
      <c r="EM912">
        <v>0</v>
      </c>
      <c r="EN912">
        <v>27.4</v>
      </c>
      <c r="EO912">
        <v>0</v>
      </c>
      <c r="EP912">
        <v>1002.5</v>
      </c>
      <c r="EQ912">
        <v>0</v>
      </c>
      <c r="ER912">
        <v>494</v>
      </c>
      <c r="ES912">
        <v>0</v>
      </c>
      <c r="ET912">
        <v>699.3</v>
      </c>
      <c r="EU912">
        <v>435.4</v>
      </c>
      <c r="EV912">
        <v>0</v>
      </c>
      <c r="EW912">
        <v>0</v>
      </c>
      <c r="EX912">
        <v>0</v>
      </c>
      <c r="EY912">
        <v>0</v>
      </c>
      <c r="EZ912">
        <v>0</v>
      </c>
      <c r="FA912">
        <v>0</v>
      </c>
      <c r="FB912">
        <v>0</v>
      </c>
      <c r="FC912">
        <v>0</v>
      </c>
      <c r="FD912">
        <v>95.6</v>
      </c>
      <c r="FE912">
        <v>1792.1</v>
      </c>
      <c r="FF912">
        <v>1740.1999999999998</v>
      </c>
      <c r="FG912">
        <v>954.9</v>
      </c>
      <c r="FH912">
        <v>1087.8000000000002</v>
      </c>
      <c r="FI912">
        <v>1892.1</v>
      </c>
      <c r="FJ912">
        <v>1222.5</v>
      </c>
      <c r="FK912">
        <v>678.3</v>
      </c>
      <c r="FL912">
        <v>639.1</v>
      </c>
      <c r="FM912">
        <v>520.5</v>
      </c>
      <c r="FN912">
        <v>123.8</v>
      </c>
      <c r="FO912">
        <v>181.6</v>
      </c>
      <c r="FP912">
        <v>1090.5</v>
      </c>
      <c r="FQ912">
        <v>0</v>
      </c>
      <c r="FR912">
        <v>0</v>
      </c>
      <c r="FS912">
        <v>0</v>
      </c>
      <c r="FT912">
        <v>0</v>
      </c>
      <c r="FU912">
        <v>0</v>
      </c>
      <c r="FV912">
        <v>0</v>
      </c>
      <c r="FW912">
        <v>0</v>
      </c>
      <c r="FX912">
        <v>0</v>
      </c>
      <c r="FY912">
        <v>0</v>
      </c>
      <c r="FZ912">
        <v>0</v>
      </c>
      <c r="GA912">
        <v>0</v>
      </c>
      <c r="GB912">
        <v>0</v>
      </c>
      <c r="GC912">
        <v>0</v>
      </c>
      <c r="GD912">
        <v>0</v>
      </c>
      <c r="GE912">
        <v>0</v>
      </c>
      <c r="GF912">
        <v>198.3</v>
      </c>
      <c r="GG912">
        <v>1054.4000000000001</v>
      </c>
      <c r="GH912">
        <v>552.79999999999995</v>
      </c>
      <c r="GI912">
        <v>522</v>
      </c>
      <c r="GJ912">
        <v>0</v>
      </c>
      <c r="GK912">
        <v>0</v>
      </c>
      <c r="GL912">
        <v>0</v>
      </c>
      <c r="GM912">
        <v>0</v>
      </c>
      <c r="GN912">
        <v>791.40000000000009</v>
      </c>
      <c r="GO912">
        <v>1816.5</v>
      </c>
      <c r="GP912">
        <v>0</v>
      </c>
      <c r="GQ912">
        <v>0</v>
      </c>
      <c r="GR912">
        <v>0</v>
      </c>
      <c r="GS912">
        <v>0</v>
      </c>
      <c r="GT912">
        <v>0</v>
      </c>
      <c r="GU912">
        <v>0</v>
      </c>
      <c r="GV912">
        <v>0</v>
      </c>
      <c r="GW912">
        <v>0</v>
      </c>
      <c r="GX912">
        <v>0</v>
      </c>
      <c r="GY912">
        <v>840.3</v>
      </c>
      <c r="GZ912">
        <v>0</v>
      </c>
      <c r="HA912">
        <v>0</v>
      </c>
      <c r="HB912">
        <v>0</v>
      </c>
      <c r="HC912">
        <v>380.4</v>
      </c>
      <c r="HD912">
        <v>2175.5</v>
      </c>
      <c r="HE912">
        <v>0</v>
      </c>
      <c r="HF912">
        <v>0</v>
      </c>
      <c r="HG912">
        <v>0</v>
      </c>
      <c r="HH912">
        <v>0</v>
      </c>
      <c r="HI912">
        <v>0</v>
      </c>
      <c r="HJ912">
        <v>803.40000000000009</v>
      </c>
      <c r="HK912">
        <v>1270.9000000000001</v>
      </c>
      <c r="HL912">
        <v>835.7</v>
      </c>
      <c r="HM912">
        <v>1162.5999999999999</v>
      </c>
      <c r="HN912">
        <v>0</v>
      </c>
      <c r="HO912">
        <v>0</v>
      </c>
      <c r="HP912">
        <v>0</v>
      </c>
      <c r="HQ912">
        <v>0</v>
      </c>
      <c r="HR912">
        <v>161.19999999999999</v>
      </c>
      <c r="HS912">
        <v>0</v>
      </c>
      <c r="HT912">
        <v>2048.5</v>
      </c>
      <c r="HU912">
        <v>2627.5</v>
      </c>
      <c r="HV912">
        <v>1168.5999999999999</v>
      </c>
      <c r="HW912">
        <v>388</v>
      </c>
      <c r="HX912">
        <v>0</v>
      </c>
      <c r="HY912">
        <v>0</v>
      </c>
      <c r="HZ912">
        <v>0</v>
      </c>
      <c r="IA912">
        <v>0</v>
      </c>
      <c r="IB912">
        <v>0</v>
      </c>
      <c r="IC912">
        <v>594.4</v>
      </c>
      <c r="ID912">
        <v>427.4</v>
      </c>
      <c r="IE912">
        <v>713.3</v>
      </c>
      <c r="IF912">
        <v>626.1</v>
      </c>
      <c r="IG912">
        <v>0</v>
      </c>
      <c r="IH912">
        <v>0</v>
      </c>
      <c r="II912">
        <v>995.7</v>
      </c>
      <c r="IJ912">
        <v>1156.5999999999999</v>
      </c>
      <c r="IK912">
        <v>864.6</v>
      </c>
      <c r="IL912">
        <v>316.5</v>
      </c>
      <c r="IM912">
        <v>101.5</v>
      </c>
      <c r="IN912">
        <v>71.8</v>
      </c>
      <c r="IO912">
        <v>0</v>
      </c>
      <c r="IP912">
        <v>0</v>
      </c>
      <c r="IQ912">
        <v>0</v>
      </c>
      <c r="IR912">
        <v>0</v>
      </c>
      <c r="IS912">
        <v>0</v>
      </c>
      <c r="IT912">
        <v>0</v>
      </c>
      <c r="IU912">
        <v>0</v>
      </c>
      <c r="IV912">
        <v>0</v>
      </c>
      <c r="IW912">
        <v>68</v>
      </c>
      <c r="IX912">
        <v>404.7</v>
      </c>
      <c r="IY912">
        <v>126.6</v>
      </c>
      <c r="IZ912">
        <v>126.6</v>
      </c>
      <c r="JA912">
        <v>503.7</v>
      </c>
      <c r="JB912">
        <v>570.1</v>
      </c>
      <c r="JC912">
        <v>328.3</v>
      </c>
      <c r="JD912">
        <v>0</v>
      </c>
      <c r="JE912">
        <v>0</v>
      </c>
      <c r="JF912">
        <v>0</v>
      </c>
      <c r="JG912">
        <v>0</v>
      </c>
      <c r="JH912">
        <v>287.3</v>
      </c>
      <c r="JI912">
        <v>68.2</v>
      </c>
      <c r="JJ912">
        <v>0</v>
      </c>
      <c r="JK912">
        <v>148.6</v>
      </c>
      <c r="JL912">
        <v>0</v>
      </c>
      <c r="JM912">
        <v>0</v>
      </c>
      <c r="JN912">
        <v>204.5</v>
      </c>
      <c r="JO912">
        <v>292.10000000000002</v>
      </c>
      <c r="JP912">
        <v>670.8</v>
      </c>
      <c r="JQ912">
        <v>745.2</v>
      </c>
      <c r="JR912">
        <v>242.9</v>
      </c>
    </row>
    <row r="913" spans="2:278" ht="18" thickBot="1">
      <c r="B913" s="368" t="s">
        <v>1285</v>
      </c>
      <c r="C913" s="411" t="s">
        <v>1586</v>
      </c>
      <c r="D913" s="368" t="s">
        <v>1446</v>
      </c>
      <c r="E913" s="454">
        <v>22829.8</v>
      </c>
      <c r="F913">
        <v>20193.400000000001</v>
      </c>
      <c r="G913" s="427">
        <v>0</v>
      </c>
      <c r="H913" s="155">
        <v>0</v>
      </c>
      <c r="I913">
        <v>0</v>
      </c>
      <c r="J913">
        <v>0</v>
      </c>
      <c r="K913">
        <v>0</v>
      </c>
      <c r="L913" s="4">
        <v>0</v>
      </c>
      <c r="M913" s="4">
        <v>0</v>
      </c>
      <c r="N913" s="4">
        <v>0</v>
      </c>
      <c r="O913" s="4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1476.4</v>
      </c>
      <c r="X913">
        <v>1482</v>
      </c>
      <c r="Y913">
        <v>457.20000000000005</v>
      </c>
      <c r="Z913">
        <v>0</v>
      </c>
      <c r="AA913">
        <v>0</v>
      </c>
      <c r="AB913">
        <v>0</v>
      </c>
      <c r="AC913">
        <v>0</v>
      </c>
      <c r="AD913">
        <v>3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1828.6</v>
      </c>
      <c r="AK913">
        <v>1800.7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560.70000000000005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0</v>
      </c>
      <c r="BU913">
        <v>0</v>
      </c>
      <c r="BV913">
        <v>0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  <c r="CF913">
        <v>0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  <c r="CN913">
        <v>0</v>
      </c>
      <c r="CO913">
        <v>0</v>
      </c>
      <c r="CP913">
        <v>3.5</v>
      </c>
      <c r="CQ913">
        <v>0</v>
      </c>
      <c r="CR913">
        <v>528</v>
      </c>
      <c r="CS913">
        <v>581.79999999999995</v>
      </c>
      <c r="CT913">
        <v>555.40000000000009</v>
      </c>
      <c r="CU913">
        <v>737.4</v>
      </c>
      <c r="CV913">
        <v>1039.0999999999999</v>
      </c>
      <c r="CW913">
        <v>1667.3</v>
      </c>
      <c r="CX913">
        <v>877.6</v>
      </c>
      <c r="CY913">
        <v>910.40000000000009</v>
      </c>
      <c r="CZ913">
        <v>0</v>
      </c>
      <c r="DA913">
        <v>0</v>
      </c>
      <c r="DB913">
        <v>0</v>
      </c>
      <c r="DC913">
        <v>0</v>
      </c>
      <c r="DD913">
        <v>0</v>
      </c>
      <c r="DE913">
        <v>0</v>
      </c>
      <c r="DF913">
        <v>0</v>
      </c>
      <c r="DG913">
        <v>0</v>
      </c>
      <c r="DH913">
        <v>0</v>
      </c>
      <c r="DI913">
        <v>0</v>
      </c>
      <c r="DJ913">
        <v>0</v>
      </c>
      <c r="DK913">
        <v>0</v>
      </c>
      <c r="DL913">
        <v>995.5</v>
      </c>
      <c r="DM913">
        <v>712.7</v>
      </c>
      <c r="DN913">
        <v>0</v>
      </c>
      <c r="DO913">
        <v>0</v>
      </c>
      <c r="DP913">
        <v>0</v>
      </c>
      <c r="DQ913">
        <v>0</v>
      </c>
      <c r="DR913">
        <v>0</v>
      </c>
      <c r="DS913">
        <v>0</v>
      </c>
      <c r="DT913">
        <v>0</v>
      </c>
      <c r="DU913">
        <v>0</v>
      </c>
      <c r="DV913">
        <v>0</v>
      </c>
      <c r="DW913">
        <v>0</v>
      </c>
      <c r="DX913">
        <v>0</v>
      </c>
      <c r="DY913">
        <v>0</v>
      </c>
      <c r="DZ913">
        <v>0</v>
      </c>
      <c r="EA913">
        <v>0</v>
      </c>
      <c r="EB913">
        <v>0</v>
      </c>
      <c r="EC913">
        <v>0</v>
      </c>
      <c r="ED913">
        <v>0</v>
      </c>
      <c r="EE913">
        <v>0</v>
      </c>
      <c r="EF913">
        <v>0</v>
      </c>
      <c r="EG913">
        <v>0</v>
      </c>
      <c r="EH913">
        <v>0</v>
      </c>
      <c r="EI913">
        <v>0</v>
      </c>
      <c r="EJ913">
        <v>0</v>
      </c>
      <c r="EK913">
        <v>0</v>
      </c>
      <c r="EL913">
        <v>0</v>
      </c>
      <c r="EM913">
        <v>0</v>
      </c>
      <c r="EN913">
        <v>27.4</v>
      </c>
      <c r="EO913">
        <v>0</v>
      </c>
      <c r="EP913">
        <v>1002.5</v>
      </c>
      <c r="EQ913">
        <v>0</v>
      </c>
      <c r="ER913">
        <v>494</v>
      </c>
      <c r="ES913">
        <v>0</v>
      </c>
      <c r="ET913">
        <v>699.3</v>
      </c>
      <c r="EU913">
        <v>435.4</v>
      </c>
      <c r="EV913">
        <v>0</v>
      </c>
      <c r="EW913">
        <v>0</v>
      </c>
      <c r="EX913">
        <v>0</v>
      </c>
      <c r="EY913">
        <v>0</v>
      </c>
      <c r="EZ913">
        <v>0</v>
      </c>
      <c r="FA913">
        <v>0</v>
      </c>
      <c r="FB913">
        <v>0</v>
      </c>
      <c r="FC913">
        <v>0</v>
      </c>
      <c r="FD913">
        <v>95.6</v>
      </c>
      <c r="FE913">
        <v>1792.1</v>
      </c>
      <c r="FF913">
        <v>1740.1999999999998</v>
      </c>
      <c r="FG913">
        <v>954.9</v>
      </c>
      <c r="FH913">
        <v>1087.8000000000002</v>
      </c>
      <c r="FI913">
        <v>1892.1</v>
      </c>
      <c r="FJ913">
        <v>1222.5</v>
      </c>
      <c r="FK913">
        <v>678.3</v>
      </c>
      <c r="FL913">
        <v>639.1</v>
      </c>
      <c r="FM913">
        <v>520.5</v>
      </c>
      <c r="FN913">
        <v>123.8</v>
      </c>
      <c r="FO913">
        <v>181.6</v>
      </c>
      <c r="FP913">
        <v>1090.5</v>
      </c>
      <c r="FQ913">
        <v>0</v>
      </c>
      <c r="FR913">
        <v>0</v>
      </c>
      <c r="FS913">
        <v>0</v>
      </c>
      <c r="FT913">
        <v>0</v>
      </c>
      <c r="FU913">
        <v>0</v>
      </c>
      <c r="FV913">
        <v>0</v>
      </c>
      <c r="FW913">
        <v>0</v>
      </c>
      <c r="FX913">
        <v>0</v>
      </c>
      <c r="FY913">
        <v>0</v>
      </c>
      <c r="FZ913">
        <v>0</v>
      </c>
      <c r="GA913">
        <v>0</v>
      </c>
      <c r="GB913">
        <v>0</v>
      </c>
      <c r="GC913">
        <v>0</v>
      </c>
      <c r="GD913">
        <v>0</v>
      </c>
      <c r="GE913">
        <v>0</v>
      </c>
      <c r="GF913">
        <v>198.3</v>
      </c>
      <c r="GG913">
        <v>1054.4000000000001</v>
      </c>
      <c r="GH913">
        <v>552.79999999999995</v>
      </c>
      <c r="GI913">
        <v>522</v>
      </c>
      <c r="GJ913">
        <v>0</v>
      </c>
      <c r="GK913">
        <v>0</v>
      </c>
      <c r="GL913">
        <v>0</v>
      </c>
      <c r="GM913">
        <v>0</v>
      </c>
      <c r="GN913">
        <v>791.40000000000009</v>
      </c>
      <c r="GO913">
        <v>1816.5</v>
      </c>
      <c r="GP913">
        <v>0</v>
      </c>
      <c r="GQ913">
        <v>0</v>
      </c>
      <c r="GR913">
        <v>0</v>
      </c>
      <c r="GS913">
        <v>0</v>
      </c>
      <c r="GT913">
        <v>0</v>
      </c>
      <c r="GU913">
        <v>0</v>
      </c>
      <c r="GV913">
        <v>0</v>
      </c>
      <c r="GW913">
        <v>0</v>
      </c>
      <c r="GX913">
        <v>0</v>
      </c>
      <c r="GY913">
        <v>840.3</v>
      </c>
      <c r="GZ913">
        <v>0</v>
      </c>
      <c r="HA913">
        <v>0</v>
      </c>
      <c r="HB913">
        <v>0</v>
      </c>
      <c r="HC913">
        <v>380.4</v>
      </c>
      <c r="HD913">
        <v>2175.5</v>
      </c>
      <c r="HE913">
        <v>0</v>
      </c>
      <c r="HF913">
        <v>0</v>
      </c>
      <c r="HG913">
        <v>0</v>
      </c>
      <c r="HH913">
        <v>0</v>
      </c>
      <c r="HI913">
        <v>0</v>
      </c>
      <c r="HJ913">
        <v>803.40000000000009</v>
      </c>
      <c r="HK913">
        <v>1270.9000000000001</v>
      </c>
      <c r="HL913">
        <v>835.7</v>
      </c>
      <c r="HM913">
        <v>1162.5999999999999</v>
      </c>
      <c r="HN913">
        <v>0</v>
      </c>
      <c r="HO913">
        <v>0</v>
      </c>
      <c r="HP913">
        <v>0</v>
      </c>
      <c r="HQ913">
        <v>0</v>
      </c>
      <c r="HR913">
        <v>161.19999999999999</v>
      </c>
      <c r="HS913">
        <v>0</v>
      </c>
      <c r="HT913">
        <v>2048.5</v>
      </c>
      <c r="HU913">
        <v>2627.5</v>
      </c>
      <c r="HV913">
        <v>1168.5999999999999</v>
      </c>
      <c r="HW913">
        <v>388</v>
      </c>
      <c r="HX913">
        <v>0</v>
      </c>
      <c r="HY913">
        <v>0</v>
      </c>
      <c r="HZ913">
        <v>0</v>
      </c>
      <c r="IA913">
        <v>0</v>
      </c>
      <c r="IB913">
        <v>0</v>
      </c>
      <c r="IC913">
        <v>594.4</v>
      </c>
      <c r="ID913">
        <v>427.4</v>
      </c>
      <c r="IE913">
        <v>713.3</v>
      </c>
      <c r="IF913">
        <v>626.1</v>
      </c>
      <c r="IG913">
        <v>0</v>
      </c>
      <c r="IH913">
        <v>0</v>
      </c>
      <c r="II913">
        <v>995.7</v>
      </c>
      <c r="IJ913">
        <v>1156.5999999999999</v>
      </c>
      <c r="IK913">
        <v>864.6</v>
      </c>
      <c r="IL913">
        <v>316.5</v>
      </c>
      <c r="IM913">
        <v>101.5</v>
      </c>
      <c r="IN913">
        <v>71.8</v>
      </c>
      <c r="IO913">
        <v>0</v>
      </c>
      <c r="IP913">
        <v>0</v>
      </c>
      <c r="IQ913">
        <v>0</v>
      </c>
      <c r="IR913">
        <v>0</v>
      </c>
      <c r="IS913">
        <v>0</v>
      </c>
      <c r="IT913">
        <v>0</v>
      </c>
      <c r="IU913">
        <v>0</v>
      </c>
      <c r="IV913">
        <v>0</v>
      </c>
      <c r="IW913">
        <v>68</v>
      </c>
      <c r="IX913">
        <v>404.7</v>
      </c>
      <c r="IY913">
        <v>126.6</v>
      </c>
      <c r="IZ913">
        <v>126.6</v>
      </c>
      <c r="JA913">
        <v>503.7</v>
      </c>
      <c r="JB913">
        <v>570.1</v>
      </c>
      <c r="JC913">
        <v>328.3</v>
      </c>
      <c r="JD913">
        <v>0</v>
      </c>
      <c r="JE913">
        <v>0</v>
      </c>
      <c r="JF913">
        <v>0</v>
      </c>
      <c r="JG913">
        <v>0</v>
      </c>
      <c r="JH913">
        <v>287.3</v>
      </c>
      <c r="JI913">
        <v>68.2</v>
      </c>
      <c r="JJ913">
        <v>0</v>
      </c>
      <c r="JK913">
        <v>148.6</v>
      </c>
      <c r="JL913">
        <v>0</v>
      </c>
      <c r="JM913">
        <v>0</v>
      </c>
      <c r="JN913">
        <v>204.5</v>
      </c>
      <c r="JO913">
        <v>292.10000000000002</v>
      </c>
      <c r="JP913">
        <v>670.8</v>
      </c>
      <c r="JQ913">
        <v>745.2</v>
      </c>
      <c r="JR913">
        <v>242.9</v>
      </c>
    </row>
    <row r="914" spans="2:278" ht="18" thickBot="1">
      <c r="B914" s="368" t="s">
        <v>1286</v>
      </c>
      <c r="C914" s="411" t="s">
        <v>1587</v>
      </c>
      <c r="D914" s="368" t="s">
        <v>1447</v>
      </c>
      <c r="E914" s="454">
        <v>22829.8</v>
      </c>
      <c r="F914">
        <v>20193.400000000001</v>
      </c>
      <c r="G914" s="427">
        <v>0</v>
      </c>
      <c r="H914" s="155">
        <v>0</v>
      </c>
      <c r="I914">
        <v>0</v>
      </c>
      <c r="J914">
        <v>0</v>
      </c>
      <c r="K914">
        <v>0</v>
      </c>
      <c r="L914" s="4">
        <v>0</v>
      </c>
      <c r="M914" s="4">
        <v>0</v>
      </c>
      <c r="N914" s="4">
        <v>0</v>
      </c>
      <c r="O914" s="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1476.4</v>
      </c>
      <c r="X914">
        <v>1482</v>
      </c>
      <c r="Y914">
        <v>457.20000000000005</v>
      </c>
      <c r="Z914">
        <v>0</v>
      </c>
      <c r="AA914">
        <v>0</v>
      </c>
      <c r="AB914">
        <v>0</v>
      </c>
      <c r="AC914">
        <v>0</v>
      </c>
      <c r="AD914">
        <v>3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1828.6</v>
      </c>
      <c r="AK914">
        <v>1800.7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560.70000000000005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  <c r="CF914">
        <v>0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  <c r="CN914">
        <v>0</v>
      </c>
      <c r="CO914">
        <v>0</v>
      </c>
      <c r="CP914">
        <v>3.5</v>
      </c>
      <c r="CQ914">
        <v>0</v>
      </c>
      <c r="CR914">
        <v>528</v>
      </c>
      <c r="CS914">
        <v>581.79999999999995</v>
      </c>
      <c r="CT914">
        <v>555.40000000000009</v>
      </c>
      <c r="CU914">
        <v>737.4</v>
      </c>
      <c r="CV914">
        <v>1039.0999999999999</v>
      </c>
      <c r="CW914">
        <v>1667.3</v>
      </c>
      <c r="CX914">
        <v>877.6</v>
      </c>
      <c r="CY914">
        <v>910.40000000000009</v>
      </c>
      <c r="CZ914">
        <v>0</v>
      </c>
      <c r="DA914">
        <v>0</v>
      </c>
      <c r="DB914">
        <v>0</v>
      </c>
      <c r="DC914">
        <v>0</v>
      </c>
      <c r="DD914">
        <v>0</v>
      </c>
      <c r="DE914">
        <v>0</v>
      </c>
      <c r="DF914">
        <v>0</v>
      </c>
      <c r="DG914">
        <v>0</v>
      </c>
      <c r="DH914">
        <v>0</v>
      </c>
      <c r="DI914">
        <v>0</v>
      </c>
      <c r="DJ914">
        <v>0</v>
      </c>
      <c r="DK914">
        <v>0</v>
      </c>
      <c r="DL914">
        <v>995.5</v>
      </c>
      <c r="DM914">
        <v>712.7</v>
      </c>
      <c r="DN914">
        <v>0</v>
      </c>
      <c r="DO914">
        <v>0</v>
      </c>
      <c r="DP914">
        <v>0</v>
      </c>
      <c r="DQ914">
        <v>0</v>
      </c>
      <c r="DR914">
        <v>0</v>
      </c>
      <c r="DS914">
        <v>0</v>
      </c>
      <c r="DT914">
        <v>0</v>
      </c>
      <c r="DU914">
        <v>0</v>
      </c>
      <c r="DV914">
        <v>0</v>
      </c>
      <c r="DW914">
        <v>0</v>
      </c>
      <c r="DX914">
        <v>0</v>
      </c>
      <c r="DY914">
        <v>0</v>
      </c>
      <c r="DZ914">
        <v>0</v>
      </c>
      <c r="EA914">
        <v>0</v>
      </c>
      <c r="EB914">
        <v>0</v>
      </c>
      <c r="EC914">
        <v>0</v>
      </c>
      <c r="ED914">
        <v>0</v>
      </c>
      <c r="EE914">
        <v>0</v>
      </c>
      <c r="EF914">
        <v>0</v>
      </c>
      <c r="EG914">
        <v>0</v>
      </c>
      <c r="EH914">
        <v>0</v>
      </c>
      <c r="EI914">
        <v>0</v>
      </c>
      <c r="EJ914">
        <v>0</v>
      </c>
      <c r="EK914">
        <v>0</v>
      </c>
      <c r="EL914">
        <v>0</v>
      </c>
      <c r="EM914">
        <v>0</v>
      </c>
      <c r="EN914">
        <v>27.4</v>
      </c>
      <c r="EO914">
        <v>0</v>
      </c>
      <c r="EP914">
        <v>1002.5</v>
      </c>
      <c r="EQ914">
        <v>0</v>
      </c>
      <c r="ER914">
        <v>494</v>
      </c>
      <c r="ES914">
        <v>0</v>
      </c>
      <c r="ET914">
        <v>699.3</v>
      </c>
      <c r="EU914">
        <v>435.4</v>
      </c>
      <c r="EV914">
        <v>0</v>
      </c>
      <c r="EW914">
        <v>0</v>
      </c>
      <c r="EX914">
        <v>0</v>
      </c>
      <c r="EY914">
        <v>0</v>
      </c>
      <c r="EZ914">
        <v>0</v>
      </c>
      <c r="FA914">
        <v>0</v>
      </c>
      <c r="FB914">
        <v>0</v>
      </c>
      <c r="FC914">
        <v>0</v>
      </c>
      <c r="FD914">
        <v>95.6</v>
      </c>
      <c r="FE914">
        <v>1792.1</v>
      </c>
      <c r="FF914">
        <v>1740.1999999999998</v>
      </c>
      <c r="FG914">
        <v>954.9</v>
      </c>
      <c r="FH914">
        <v>1087.8000000000002</v>
      </c>
      <c r="FI914">
        <v>1892.1</v>
      </c>
      <c r="FJ914">
        <v>1222.5</v>
      </c>
      <c r="FK914">
        <v>678.3</v>
      </c>
      <c r="FL914">
        <v>639.1</v>
      </c>
      <c r="FM914">
        <v>520.5</v>
      </c>
      <c r="FN914">
        <v>123.8</v>
      </c>
      <c r="FO914">
        <v>181.6</v>
      </c>
      <c r="FP914">
        <v>1090.5</v>
      </c>
      <c r="FQ914">
        <v>0</v>
      </c>
      <c r="FR914">
        <v>0</v>
      </c>
      <c r="FS914">
        <v>0</v>
      </c>
      <c r="FT914">
        <v>0</v>
      </c>
      <c r="FU914">
        <v>0</v>
      </c>
      <c r="FV914">
        <v>0</v>
      </c>
      <c r="FW914">
        <v>0</v>
      </c>
      <c r="FX914">
        <v>0</v>
      </c>
      <c r="FY914">
        <v>0</v>
      </c>
      <c r="FZ914">
        <v>0</v>
      </c>
      <c r="GA914">
        <v>0</v>
      </c>
      <c r="GB914">
        <v>0</v>
      </c>
      <c r="GC914">
        <v>0</v>
      </c>
      <c r="GD914">
        <v>0</v>
      </c>
      <c r="GE914">
        <v>0</v>
      </c>
      <c r="GF914">
        <v>198.3</v>
      </c>
      <c r="GG914">
        <v>1054.4000000000001</v>
      </c>
      <c r="GH914">
        <v>552.79999999999995</v>
      </c>
      <c r="GI914">
        <v>522</v>
      </c>
      <c r="GJ914">
        <v>0</v>
      </c>
      <c r="GK914">
        <v>0</v>
      </c>
      <c r="GL914">
        <v>0</v>
      </c>
      <c r="GM914">
        <v>0</v>
      </c>
      <c r="GN914">
        <v>791.40000000000009</v>
      </c>
      <c r="GO914">
        <v>1816.5</v>
      </c>
      <c r="GP914">
        <v>0</v>
      </c>
      <c r="GQ914">
        <v>0</v>
      </c>
      <c r="GR914">
        <v>0</v>
      </c>
      <c r="GS914">
        <v>0</v>
      </c>
      <c r="GT914">
        <v>0</v>
      </c>
      <c r="GU914">
        <v>0</v>
      </c>
      <c r="GV914">
        <v>0</v>
      </c>
      <c r="GW914">
        <v>0</v>
      </c>
      <c r="GX914">
        <v>0</v>
      </c>
      <c r="GY914">
        <v>840.3</v>
      </c>
      <c r="GZ914">
        <v>0</v>
      </c>
      <c r="HA914">
        <v>0</v>
      </c>
      <c r="HB914">
        <v>0</v>
      </c>
      <c r="HC914">
        <v>380.4</v>
      </c>
      <c r="HD914">
        <v>2175.5</v>
      </c>
      <c r="HE914">
        <v>0</v>
      </c>
      <c r="HF914">
        <v>0</v>
      </c>
      <c r="HG914">
        <v>0</v>
      </c>
      <c r="HH914">
        <v>0</v>
      </c>
      <c r="HI914">
        <v>0</v>
      </c>
      <c r="HJ914">
        <v>803.40000000000009</v>
      </c>
      <c r="HK914">
        <v>1270.9000000000001</v>
      </c>
      <c r="HL914">
        <v>835.7</v>
      </c>
      <c r="HM914">
        <v>1162.5999999999999</v>
      </c>
      <c r="HN914">
        <v>0</v>
      </c>
      <c r="HO914">
        <v>0</v>
      </c>
      <c r="HP914">
        <v>0</v>
      </c>
      <c r="HQ914">
        <v>0</v>
      </c>
      <c r="HR914">
        <v>161.19999999999999</v>
      </c>
      <c r="HS914">
        <v>0</v>
      </c>
      <c r="HT914">
        <v>2048.5</v>
      </c>
      <c r="HU914">
        <v>2627.5</v>
      </c>
      <c r="HV914">
        <v>1168.5999999999999</v>
      </c>
      <c r="HW914">
        <v>388</v>
      </c>
      <c r="HX914">
        <v>0</v>
      </c>
      <c r="HY914">
        <v>0</v>
      </c>
      <c r="HZ914">
        <v>0</v>
      </c>
      <c r="IA914">
        <v>0</v>
      </c>
      <c r="IB914">
        <v>0</v>
      </c>
      <c r="IC914">
        <v>594.4</v>
      </c>
      <c r="ID914">
        <v>427.4</v>
      </c>
      <c r="IE914">
        <v>713.3</v>
      </c>
      <c r="IF914">
        <v>626.1</v>
      </c>
      <c r="IG914">
        <v>0</v>
      </c>
      <c r="IH914">
        <v>0</v>
      </c>
      <c r="II914">
        <v>995.7</v>
      </c>
      <c r="IJ914">
        <v>1156.5999999999999</v>
      </c>
      <c r="IK914">
        <v>864.6</v>
      </c>
      <c r="IL914">
        <v>316.5</v>
      </c>
      <c r="IM914">
        <v>101.5</v>
      </c>
      <c r="IN914">
        <v>71.8</v>
      </c>
      <c r="IO914">
        <v>0</v>
      </c>
      <c r="IP914">
        <v>0</v>
      </c>
      <c r="IQ914">
        <v>0</v>
      </c>
      <c r="IR914">
        <v>0</v>
      </c>
      <c r="IS914">
        <v>0</v>
      </c>
      <c r="IT914">
        <v>0</v>
      </c>
      <c r="IU914">
        <v>0</v>
      </c>
      <c r="IV914">
        <v>0</v>
      </c>
      <c r="IW914">
        <v>68</v>
      </c>
      <c r="IX914">
        <v>404.7</v>
      </c>
      <c r="IY914">
        <v>126.6</v>
      </c>
      <c r="IZ914">
        <v>126.6</v>
      </c>
      <c r="JA914">
        <v>503.7</v>
      </c>
      <c r="JB914">
        <v>570.1</v>
      </c>
      <c r="JC914">
        <v>328.3</v>
      </c>
      <c r="JD914">
        <v>0</v>
      </c>
      <c r="JE914">
        <v>0</v>
      </c>
      <c r="JF914">
        <v>0</v>
      </c>
      <c r="JG914">
        <v>0</v>
      </c>
      <c r="JH914">
        <v>287.3</v>
      </c>
      <c r="JI914">
        <v>68.2</v>
      </c>
      <c r="JJ914">
        <v>0</v>
      </c>
      <c r="JK914">
        <v>148.6</v>
      </c>
      <c r="JL914">
        <v>0</v>
      </c>
      <c r="JM914">
        <v>0</v>
      </c>
      <c r="JN914">
        <v>204.5</v>
      </c>
      <c r="JO914">
        <v>292.10000000000002</v>
      </c>
      <c r="JP914">
        <v>670.8</v>
      </c>
      <c r="JQ914">
        <v>745.2</v>
      </c>
      <c r="JR914">
        <v>242.9</v>
      </c>
    </row>
    <row r="915" spans="2:278" ht="18" thickBot="1">
      <c r="B915" s="368" t="s">
        <v>1287</v>
      </c>
      <c r="C915" s="411" t="s">
        <v>1588</v>
      </c>
      <c r="D915" s="368" t="s">
        <v>1448</v>
      </c>
      <c r="E915" s="454">
        <v>22829.8</v>
      </c>
      <c r="F915">
        <v>20193.400000000001</v>
      </c>
      <c r="G915" s="427">
        <v>0</v>
      </c>
      <c r="H915" s="155">
        <v>0</v>
      </c>
      <c r="I915">
        <v>0</v>
      </c>
      <c r="J915">
        <v>0</v>
      </c>
      <c r="K915">
        <v>0</v>
      </c>
      <c r="L915" s="4">
        <v>0</v>
      </c>
      <c r="M915" s="4">
        <v>0</v>
      </c>
      <c r="N915" s="4">
        <v>0</v>
      </c>
      <c r="O915" s="4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1476.4</v>
      </c>
      <c r="X915">
        <v>1482</v>
      </c>
      <c r="Y915">
        <v>457.20000000000005</v>
      </c>
      <c r="Z915">
        <v>0</v>
      </c>
      <c r="AA915">
        <v>0</v>
      </c>
      <c r="AB915">
        <v>0</v>
      </c>
      <c r="AC915">
        <v>0</v>
      </c>
      <c r="AD915">
        <v>3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1828.6</v>
      </c>
      <c r="AK915">
        <v>1800.7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560.70000000000005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  <c r="CF915">
        <v>0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  <c r="CN915">
        <v>0</v>
      </c>
      <c r="CO915">
        <v>0</v>
      </c>
      <c r="CP915">
        <v>3.5</v>
      </c>
      <c r="CQ915">
        <v>0</v>
      </c>
      <c r="CR915">
        <v>528</v>
      </c>
      <c r="CS915">
        <v>581.79999999999995</v>
      </c>
      <c r="CT915">
        <v>555.40000000000009</v>
      </c>
      <c r="CU915">
        <v>737.4</v>
      </c>
      <c r="CV915">
        <v>1039.0999999999999</v>
      </c>
      <c r="CW915">
        <v>1667.3</v>
      </c>
      <c r="CX915">
        <v>877.6</v>
      </c>
      <c r="CY915">
        <v>910.40000000000009</v>
      </c>
      <c r="CZ915">
        <v>0</v>
      </c>
      <c r="DA915">
        <v>0</v>
      </c>
      <c r="DB915">
        <v>0</v>
      </c>
      <c r="DC915">
        <v>0</v>
      </c>
      <c r="DD915">
        <v>0</v>
      </c>
      <c r="DE915">
        <v>0</v>
      </c>
      <c r="DF915">
        <v>0</v>
      </c>
      <c r="DG915">
        <v>0</v>
      </c>
      <c r="DH915">
        <v>0</v>
      </c>
      <c r="DI915">
        <v>0</v>
      </c>
      <c r="DJ915">
        <v>0</v>
      </c>
      <c r="DK915">
        <v>0</v>
      </c>
      <c r="DL915">
        <v>995.5</v>
      </c>
      <c r="DM915">
        <v>712.7</v>
      </c>
      <c r="DN915">
        <v>0</v>
      </c>
      <c r="DO915">
        <v>0</v>
      </c>
      <c r="DP915">
        <v>0</v>
      </c>
      <c r="DQ915">
        <v>0</v>
      </c>
      <c r="DR915">
        <v>0</v>
      </c>
      <c r="DS915">
        <v>0</v>
      </c>
      <c r="DT915">
        <v>0</v>
      </c>
      <c r="DU915">
        <v>0</v>
      </c>
      <c r="DV915">
        <v>0</v>
      </c>
      <c r="DW915">
        <v>0</v>
      </c>
      <c r="DX915">
        <v>0</v>
      </c>
      <c r="DY915">
        <v>0</v>
      </c>
      <c r="DZ915">
        <v>0</v>
      </c>
      <c r="EA915">
        <v>0</v>
      </c>
      <c r="EB915">
        <v>0</v>
      </c>
      <c r="EC915">
        <v>0</v>
      </c>
      <c r="ED915">
        <v>0</v>
      </c>
      <c r="EE915">
        <v>0</v>
      </c>
      <c r="EF915">
        <v>0</v>
      </c>
      <c r="EG915">
        <v>0</v>
      </c>
      <c r="EH915">
        <v>0</v>
      </c>
      <c r="EI915">
        <v>0</v>
      </c>
      <c r="EJ915">
        <v>0</v>
      </c>
      <c r="EK915">
        <v>0</v>
      </c>
      <c r="EL915">
        <v>0</v>
      </c>
      <c r="EM915">
        <v>0</v>
      </c>
      <c r="EN915">
        <v>27.4</v>
      </c>
      <c r="EO915">
        <v>0</v>
      </c>
      <c r="EP915">
        <v>1002.5</v>
      </c>
      <c r="EQ915">
        <v>0</v>
      </c>
      <c r="ER915">
        <v>494</v>
      </c>
      <c r="ES915">
        <v>0</v>
      </c>
      <c r="ET915">
        <v>699.3</v>
      </c>
      <c r="EU915">
        <v>435.4</v>
      </c>
      <c r="EV915">
        <v>0</v>
      </c>
      <c r="EW915">
        <v>0</v>
      </c>
      <c r="EX915">
        <v>0</v>
      </c>
      <c r="EY915">
        <v>0</v>
      </c>
      <c r="EZ915">
        <v>0</v>
      </c>
      <c r="FA915">
        <v>0</v>
      </c>
      <c r="FB915">
        <v>0</v>
      </c>
      <c r="FC915">
        <v>0</v>
      </c>
      <c r="FD915">
        <v>95.6</v>
      </c>
      <c r="FE915">
        <v>1792.1</v>
      </c>
      <c r="FF915">
        <v>1740.1999999999998</v>
      </c>
      <c r="FG915">
        <v>954.9</v>
      </c>
      <c r="FH915">
        <v>1087.8000000000002</v>
      </c>
      <c r="FI915">
        <v>1892.1</v>
      </c>
      <c r="FJ915">
        <v>1222.5</v>
      </c>
      <c r="FK915">
        <v>678.3</v>
      </c>
      <c r="FL915">
        <v>639.1</v>
      </c>
      <c r="FM915">
        <v>520.5</v>
      </c>
      <c r="FN915">
        <v>123.8</v>
      </c>
      <c r="FO915">
        <v>181.6</v>
      </c>
      <c r="FP915">
        <v>1090.5</v>
      </c>
      <c r="FQ915">
        <v>0</v>
      </c>
      <c r="FR915">
        <v>0</v>
      </c>
      <c r="FS915">
        <v>0</v>
      </c>
      <c r="FT915">
        <v>0</v>
      </c>
      <c r="FU915">
        <v>0</v>
      </c>
      <c r="FV915">
        <v>0</v>
      </c>
      <c r="FW915">
        <v>0</v>
      </c>
      <c r="FX915">
        <v>0</v>
      </c>
      <c r="FY915">
        <v>0</v>
      </c>
      <c r="FZ915">
        <v>0</v>
      </c>
      <c r="GA915">
        <v>0</v>
      </c>
      <c r="GB915">
        <v>0</v>
      </c>
      <c r="GC915">
        <v>0</v>
      </c>
      <c r="GD915">
        <v>0</v>
      </c>
      <c r="GE915">
        <v>0</v>
      </c>
      <c r="GF915">
        <v>198.3</v>
      </c>
      <c r="GG915">
        <v>1054.4000000000001</v>
      </c>
      <c r="GH915">
        <v>552.79999999999995</v>
      </c>
      <c r="GI915">
        <v>522</v>
      </c>
      <c r="GJ915">
        <v>0</v>
      </c>
      <c r="GK915">
        <v>0</v>
      </c>
      <c r="GL915">
        <v>0</v>
      </c>
      <c r="GM915">
        <v>0</v>
      </c>
      <c r="GN915">
        <v>791.40000000000009</v>
      </c>
      <c r="GO915">
        <v>1816.5</v>
      </c>
      <c r="GP915">
        <v>0</v>
      </c>
      <c r="GQ915">
        <v>0</v>
      </c>
      <c r="GR915">
        <v>0</v>
      </c>
      <c r="GS915">
        <v>0</v>
      </c>
      <c r="GT915">
        <v>0</v>
      </c>
      <c r="GU915">
        <v>0</v>
      </c>
      <c r="GV915">
        <v>0</v>
      </c>
      <c r="GW915">
        <v>0</v>
      </c>
      <c r="GX915">
        <v>0</v>
      </c>
      <c r="GY915">
        <v>840.3</v>
      </c>
      <c r="GZ915">
        <v>0</v>
      </c>
      <c r="HA915">
        <v>0</v>
      </c>
      <c r="HB915">
        <v>0</v>
      </c>
      <c r="HC915">
        <v>380.4</v>
      </c>
      <c r="HD915">
        <v>2175.5</v>
      </c>
      <c r="HE915">
        <v>0</v>
      </c>
      <c r="HF915">
        <v>0</v>
      </c>
      <c r="HG915">
        <v>0</v>
      </c>
      <c r="HH915">
        <v>0</v>
      </c>
      <c r="HI915">
        <v>0</v>
      </c>
      <c r="HJ915">
        <v>803.40000000000009</v>
      </c>
      <c r="HK915">
        <v>1270.9000000000001</v>
      </c>
      <c r="HL915">
        <v>835.7</v>
      </c>
      <c r="HM915">
        <v>1162.5999999999999</v>
      </c>
      <c r="HN915">
        <v>0</v>
      </c>
      <c r="HO915">
        <v>0</v>
      </c>
      <c r="HP915">
        <v>0</v>
      </c>
      <c r="HQ915">
        <v>0</v>
      </c>
      <c r="HR915">
        <v>161.19999999999999</v>
      </c>
      <c r="HS915">
        <v>0</v>
      </c>
      <c r="HT915">
        <v>2048.5</v>
      </c>
      <c r="HU915">
        <v>2627.5</v>
      </c>
      <c r="HV915">
        <v>1168.5999999999999</v>
      </c>
      <c r="HW915">
        <v>388</v>
      </c>
      <c r="HX915">
        <v>0</v>
      </c>
      <c r="HY915">
        <v>0</v>
      </c>
      <c r="HZ915">
        <v>0</v>
      </c>
      <c r="IA915">
        <v>0</v>
      </c>
      <c r="IB915">
        <v>0</v>
      </c>
      <c r="IC915">
        <v>594.4</v>
      </c>
      <c r="ID915">
        <v>427.4</v>
      </c>
      <c r="IE915">
        <v>713.3</v>
      </c>
      <c r="IF915">
        <v>626.1</v>
      </c>
      <c r="IG915">
        <v>0</v>
      </c>
      <c r="IH915">
        <v>0</v>
      </c>
      <c r="II915">
        <v>995.7</v>
      </c>
      <c r="IJ915">
        <v>1156.5999999999999</v>
      </c>
      <c r="IK915">
        <v>864.6</v>
      </c>
      <c r="IL915">
        <v>316.5</v>
      </c>
      <c r="IM915">
        <v>101.5</v>
      </c>
      <c r="IN915">
        <v>71.8</v>
      </c>
      <c r="IO915">
        <v>0</v>
      </c>
      <c r="IP915">
        <v>0</v>
      </c>
      <c r="IQ915">
        <v>0</v>
      </c>
      <c r="IR915">
        <v>0</v>
      </c>
      <c r="IS915">
        <v>0</v>
      </c>
      <c r="IT915">
        <v>0</v>
      </c>
      <c r="IU915">
        <v>0</v>
      </c>
      <c r="IV915">
        <v>0</v>
      </c>
      <c r="IW915">
        <v>68</v>
      </c>
      <c r="IX915">
        <v>404.7</v>
      </c>
      <c r="IY915">
        <v>126.6</v>
      </c>
      <c r="IZ915">
        <v>126.6</v>
      </c>
      <c r="JA915">
        <v>503.7</v>
      </c>
      <c r="JB915">
        <v>570.1</v>
      </c>
      <c r="JC915">
        <v>328.3</v>
      </c>
      <c r="JD915">
        <v>0</v>
      </c>
      <c r="JE915">
        <v>0</v>
      </c>
      <c r="JF915">
        <v>0</v>
      </c>
      <c r="JG915">
        <v>0</v>
      </c>
      <c r="JH915">
        <v>287.3</v>
      </c>
      <c r="JI915">
        <v>68.2</v>
      </c>
      <c r="JJ915">
        <v>0</v>
      </c>
      <c r="JK915">
        <v>148.6</v>
      </c>
      <c r="JL915">
        <v>0</v>
      </c>
      <c r="JM915">
        <v>0</v>
      </c>
      <c r="JN915">
        <v>204.5</v>
      </c>
      <c r="JO915">
        <v>292.10000000000002</v>
      </c>
      <c r="JP915">
        <v>670.8</v>
      </c>
      <c r="JQ915">
        <v>745.2</v>
      </c>
      <c r="JR915">
        <v>242.9</v>
      </c>
    </row>
    <row r="916" spans="2:278" ht="18" thickBot="1">
      <c r="B916" s="368" t="s">
        <v>1288</v>
      </c>
      <c r="C916" s="411" t="s">
        <v>1589</v>
      </c>
      <c r="D916" s="368" t="s">
        <v>1449</v>
      </c>
      <c r="E916" s="454">
        <v>22829.8</v>
      </c>
      <c r="F916">
        <v>20193.400000000001</v>
      </c>
      <c r="G916" s="427">
        <v>0</v>
      </c>
      <c r="H916" s="155">
        <v>0</v>
      </c>
      <c r="I916">
        <v>0</v>
      </c>
      <c r="J916">
        <v>0</v>
      </c>
      <c r="K916">
        <v>0</v>
      </c>
      <c r="L916" s="4">
        <v>0</v>
      </c>
      <c r="M916" s="4">
        <v>0</v>
      </c>
      <c r="N916" s="4">
        <v>0</v>
      </c>
      <c r="O916" s="4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1476.4</v>
      </c>
      <c r="X916">
        <v>1482</v>
      </c>
      <c r="Y916">
        <v>457.20000000000005</v>
      </c>
      <c r="Z916">
        <v>0</v>
      </c>
      <c r="AA916">
        <v>0</v>
      </c>
      <c r="AB916">
        <v>0</v>
      </c>
      <c r="AC916">
        <v>0</v>
      </c>
      <c r="AD916">
        <v>3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1828.6</v>
      </c>
      <c r="AK916">
        <v>1800.7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560.70000000000005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  <c r="CF916">
        <v>0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  <c r="CN916">
        <v>0</v>
      </c>
      <c r="CO916">
        <v>0</v>
      </c>
      <c r="CP916">
        <v>3.5</v>
      </c>
      <c r="CQ916">
        <v>0</v>
      </c>
      <c r="CR916">
        <v>528</v>
      </c>
      <c r="CS916">
        <v>581.79999999999995</v>
      </c>
      <c r="CT916">
        <v>555.40000000000009</v>
      </c>
      <c r="CU916">
        <v>737.4</v>
      </c>
      <c r="CV916">
        <v>1039.0999999999999</v>
      </c>
      <c r="CW916">
        <v>1667.3</v>
      </c>
      <c r="CX916">
        <v>877.6</v>
      </c>
      <c r="CY916">
        <v>910.40000000000009</v>
      </c>
      <c r="CZ916">
        <v>0</v>
      </c>
      <c r="DA916">
        <v>0</v>
      </c>
      <c r="DB916">
        <v>0</v>
      </c>
      <c r="DC916">
        <v>0</v>
      </c>
      <c r="DD916">
        <v>0</v>
      </c>
      <c r="DE916">
        <v>0</v>
      </c>
      <c r="DF916">
        <v>0</v>
      </c>
      <c r="DG916">
        <v>0</v>
      </c>
      <c r="DH916">
        <v>0</v>
      </c>
      <c r="DI916">
        <v>0</v>
      </c>
      <c r="DJ916">
        <v>0</v>
      </c>
      <c r="DK916">
        <v>0</v>
      </c>
      <c r="DL916">
        <v>995.5</v>
      </c>
      <c r="DM916">
        <v>712.7</v>
      </c>
      <c r="DN916">
        <v>0</v>
      </c>
      <c r="DO916">
        <v>0</v>
      </c>
      <c r="DP916">
        <v>0</v>
      </c>
      <c r="DQ916">
        <v>0</v>
      </c>
      <c r="DR916">
        <v>0</v>
      </c>
      <c r="DS916">
        <v>0</v>
      </c>
      <c r="DT916">
        <v>0</v>
      </c>
      <c r="DU916">
        <v>0</v>
      </c>
      <c r="DV916">
        <v>0</v>
      </c>
      <c r="DW916">
        <v>0</v>
      </c>
      <c r="DX916">
        <v>0</v>
      </c>
      <c r="DY916">
        <v>0</v>
      </c>
      <c r="DZ916">
        <v>0</v>
      </c>
      <c r="EA916">
        <v>0</v>
      </c>
      <c r="EB916">
        <v>0</v>
      </c>
      <c r="EC916">
        <v>0</v>
      </c>
      <c r="ED916">
        <v>0</v>
      </c>
      <c r="EE916">
        <v>0</v>
      </c>
      <c r="EF916">
        <v>0</v>
      </c>
      <c r="EG916">
        <v>0</v>
      </c>
      <c r="EH916">
        <v>0</v>
      </c>
      <c r="EI916">
        <v>0</v>
      </c>
      <c r="EJ916">
        <v>0</v>
      </c>
      <c r="EK916">
        <v>0</v>
      </c>
      <c r="EL916">
        <v>0</v>
      </c>
      <c r="EM916">
        <v>0</v>
      </c>
      <c r="EN916">
        <v>27.4</v>
      </c>
      <c r="EO916">
        <v>0</v>
      </c>
      <c r="EP916">
        <v>1002.5</v>
      </c>
      <c r="EQ916">
        <v>0</v>
      </c>
      <c r="ER916">
        <v>494</v>
      </c>
      <c r="ES916">
        <v>0</v>
      </c>
      <c r="ET916">
        <v>699.3</v>
      </c>
      <c r="EU916">
        <v>435.4</v>
      </c>
      <c r="EV916">
        <v>0</v>
      </c>
      <c r="EW916">
        <v>0</v>
      </c>
      <c r="EX916">
        <v>0</v>
      </c>
      <c r="EY916">
        <v>0</v>
      </c>
      <c r="EZ916">
        <v>0</v>
      </c>
      <c r="FA916">
        <v>0</v>
      </c>
      <c r="FB916">
        <v>0</v>
      </c>
      <c r="FC916">
        <v>0</v>
      </c>
      <c r="FD916">
        <v>95.6</v>
      </c>
      <c r="FE916">
        <v>1792.1</v>
      </c>
      <c r="FF916">
        <v>1740.1999999999998</v>
      </c>
      <c r="FG916">
        <v>954.9</v>
      </c>
      <c r="FH916">
        <v>1087.8000000000002</v>
      </c>
      <c r="FI916">
        <v>1892.1</v>
      </c>
      <c r="FJ916">
        <v>1222.5</v>
      </c>
      <c r="FK916">
        <v>678.3</v>
      </c>
      <c r="FL916">
        <v>639.1</v>
      </c>
      <c r="FM916">
        <v>520.5</v>
      </c>
      <c r="FN916">
        <v>123.8</v>
      </c>
      <c r="FO916">
        <v>181.6</v>
      </c>
      <c r="FP916">
        <v>1090.5</v>
      </c>
      <c r="FQ916">
        <v>0</v>
      </c>
      <c r="FR916">
        <v>0</v>
      </c>
      <c r="FS916">
        <v>0</v>
      </c>
      <c r="FT916">
        <v>0</v>
      </c>
      <c r="FU916">
        <v>0</v>
      </c>
      <c r="FV916">
        <v>0</v>
      </c>
      <c r="FW916">
        <v>0</v>
      </c>
      <c r="FX916">
        <v>0</v>
      </c>
      <c r="FY916">
        <v>0</v>
      </c>
      <c r="FZ916">
        <v>0</v>
      </c>
      <c r="GA916">
        <v>0</v>
      </c>
      <c r="GB916">
        <v>0</v>
      </c>
      <c r="GC916">
        <v>0</v>
      </c>
      <c r="GD916">
        <v>0</v>
      </c>
      <c r="GE916">
        <v>0</v>
      </c>
      <c r="GF916">
        <v>198.3</v>
      </c>
      <c r="GG916">
        <v>1054.4000000000001</v>
      </c>
      <c r="GH916">
        <v>552.79999999999995</v>
      </c>
      <c r="GI916">
        <v>522</v>
      </c>
      <c r="GJ916">
        <v>0</v>
      </c>
      <c r="GK916">
        <v>0</v>
      </c>
      <c r="GL916">
        <v>0</v>
      </c>
      <c r="GM916">
        <v>0</v>
      </c>
      <c r="GN916">
        <v>791.40000000000009</v>
      </c>
      <c r="GO916">
        <v>1816.5</v>
      </c>
      <c r="GP916">
        <v>0</v>
      </c>
      <c r="GQ916">
        <v>0</v>
      </c>
      <c r="GR916">
        <v>0</v>
      </c>
      <c r="GS916">
        <v>0</v>
      </c>
      <c r="GT916">
        <v>0</v>
      </c>
      <c r="GU916">
        <v>0</v>
      </c>
      <c r="GV916">
        <v>0</v>
      </c>
      <c r="GW916">
        <v>0</v>
      </c>
      <c r="GX916">
        <v>0</v>
      </c>
      <c r="GY916">
        <v>840.3</v>
      </c>
      <c r="GZ916">
        <v>0</v>
      </c>
      <c r="HA916">
        <v>0</v>
      </c>
      <c r="HB916">
        <v>0</v>
      </c>
      <c r="HC916">
        <v>380.4</v>
      </c>
      <c r="HD916">
        <v>2175.5</v>
      </c>
      <c r="HE916">
        <v>0</v>
      </c>
      <c r="HF916">
        <v>0</v>
      </c>
      <c r="HG916">
        <v>0</v>
      </c>
      <c r="HH916">
        <v>0</v>
      </c>
      <c r="HI916">
        <v>0</v>
      </c>
      <c r="HJ916">
        <v>803.40000000000009</v>
      </c>
      <c r="HK916">
        <v>1270.9000000000001</v>
      </c>
      <c r="HL916">
        <v>835.7</v>
      </c>
      <c r="HM916">
        <v>1162.5999999999999</v>
      </c>
      <c r="HN916">
        <v>0</v>
      </c>
      <c r="HO916">
        <v>0</v>
      </c>
      <c r="HP916">
        <v>0</v>
      </c>
      <c r="HQ916">
        <v>0</v>
      </c>
      <c r="HR916">
        <v>161.19999999999999</v>
      </c>
      <c r="HS916">
        <v>0</v>
      </c>
      <c r="HT916">
        <v>2048.5</v>
      </c>
      <c r="HU916">
        <v>2627.5</v>
      </c>
      <c r="HV916">
        <v>1168.5999999999999</v>
      </c>
      <c r="HW916">
        <v>388</v>
      </c>
      <c r="HX916">
        <v>0</v>
      </c>
      <c r="HY916">
        <v>0</v>
      </c>
      <c r="HZ916">
        <v>0</v>
      </c>
      <c r="IA916">
        <v>0</v>
      </c>
      <c r="IB916">
        <v>0</v>
      </c>
      <c r="IC916">
        <v>594.4</v>
      </c>
      <c r="ID916">
        <v>427.4</v>
      </c>
      <c r="IE916">
        <v>713.3</v>
      </c>
      <c r="IF916">
        <v>626.1</v>
      </c>
      <c r="IG916">
        <v>0</v>
      </c>
      <c r="IH916">
        <v>0</v>
      </c>
      <c r="II916">
        <v>995.7</v>
      </c>
      <c r="IJ916">
        <v>1156.5999999999999</v>
      </c>
      <c r="IK916">
        <v>864.6</v>
      </c>
      <c r="IL916">
        <v>316.5</v>
      </c>
      <c r="IM916">
        <v>101.5</v>
      </c>
      <c r="IN916">
        <v>71.8</v>
      </c>
      <c r="IO916">
        <v>0</v>
      </c>
      <c r="IP916">
        <v>0</v>
      </c>
      <c r="IQ916">
        <v>0</v>
      </c>
      <c r="IR916">
        <v>0</v>
      </c>
      <c r="IS916">
        <v>0</v>
      </c>
      <c r="IT916">
        <v>0</v>
      </c>
      <c r="IU916">
        <v>0</v>
      </c>
      <c r="IV916">
        <v>0</v>
      </c>
      <c r="IW916">
        <v>68</v>
      </c>
      <c r="IX916">
        <v>404.7</v>
      </c>
      <c r="IY916">
        <v>126.6</v>
      </c>
      <c r="IZ916">
        <v>126.6</v>
      </c>
      <c r="JA916">
        <v>503.7</v>
      </c>
      <c r="JB916">
        <v>570.1</v>
      </c>
      <c r="JC916">
        <v>328.3</v>
      </c>
      <c r="JD916">
        <v>0</v>
      </c>
      <c r="JE916">
        <v>0</v>
      </c>
      <c r="JF916">
        <v>0</v>
      </c>
      <c r="JG916">
        <v>0</v>
      </c>
      <c r="JH916">
        <v>287.3</v>
      </c>
      <c r="JI916">
        <v>68.2</v>
      </c>
      <c r="JJ916">
        <v>0</v>
      </c>
      <c r="JK916">
        <v>148.6</v>
      </c>
      <c r="JL916">
        <v>0</v>
      </c>
      <c r="JM916">
        <v>0</v>
      </c>
      <c r="JN916">
        <v>204.5</v>
      </c>
      <c r="JO916">
        <v>292.10000000000002</v>
      </c>
      <c r="JP916">
        <v>670.8</v>
      </c>
      <c r="JQ916">
        <v>745.2</v>
      </c>
      <c r="JR916">
        <v>242.9</v>
      </c>
    </row>
    <row r="917" spans="2:278" ht="18" thickBot="1">
      <c r="B917" s="368" t="s">
        <v>1289</v>
      </c>
      <c r="C917" s="411" t="s">
        <v>1590</v>
      </c>
      <c r="D917" s="368" t="s">
        <v>1450</v>
      </c>
      <c r="E917" s="454">
        <v>22829.8</v>
      </c>
      <c r="F917">
        <v>20193.400000000001</v>
      </c>
      <c r="G917" s="427">
        <v>0</v>
      </c>
      <c r="H917" s="155">
        <v>0</v>
      </c>
      <c r="I917">
        <v>0</v>
      </c>
      <c r="J917">
        <v>0</v>
      </c>
      <c r="K917">
        <v>0</v>
      </c>
      <c r="L917" s="4">
        <v>0</v>
      </c>
      <c r="M917" s="4">
        <v>0</v>
      </c>
      <c r="N917" s="4">
        <v>0</v>
      </c>
      <c r="O917" s="4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1476.4</v>
      </c>
      <c r="X917">
        <v>1482</v>
      </c>
      <c r="Y917">
        <v>457.20000000000005</v>
      </c>
      <c r="Z917">
        <v>0</v>
      </c>
      <c r="AA917">
        <v>0</v>
      </c>
      <c r="AB917">
        <v>0</v>
      </c>
      <c r="AC917">
        <v>0</v>
      </c>
      <c r="AD917">
        <v>3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1828.6</v>
      </c>
      <c r="AK917">
        <v>1800.7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560.70000000000005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  <c r="CF917">
        <v>0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  <c r="CN917">
        <v>0</v>
      </c>
      <c r="CO917">
        <v>0</v>
      </c>
      <c r="CP917">
        <v>3.5</v>
      </c>
      <c r="CQ917">
        <v>0</v>
      </c>
      <c r="CR917">
        <v>528</v>
      </c>
      <c r="CS917">
        <v>581.79999999999995</v>
      </c>
      <c r="CT917">
        <v>555.40000000000009</v>
      </c>
      <c r="CU917">
        <v>737.4</v>
      </c>
      <c r="CV917">
        <v>1039.0999999999999</v>
      </c>
      <c r="CW917">
        <v>1667.3</v>
      </c>
      <c r="CX917">
        <v>877.6</v>
      </c>
      <c r="CY917">
        <v>910.40000000000009</v>
      </c>
      <c r="CZ917">
        <v>0</v>
      </c>
      <c r="DA917">
        <v>0</v>
      </c>
      <c r="DB917">
        <v>0</v>
      </c>
      <c r="DC917">
        <v>0</v>
      </c>
      <c r="DD917">
        <v>0</v>
      </c>
      <c r="DE917">
        <v>0</v>
      </c>
      <c r="DF917">
        <v>0</v>
      </c>
      <c r="DG917">
        <v>0</v>
      </c>
      <c r="DH917">
        <v>0</v>
      </c>
      <c r="DI917">
        <v>0</v>
      </c>
      <c r="DJ917">
        <v>0</v>
      </c>
      <c r="DK917">
        <v>0</v>
      </c>
      <c r="DL917">
        <v>995.5</v>
      </c>
      <c r="DM917">
        <v>712.7</v>
      </c>
      <c r="DN917">
        <v>0</v>
      </c>
      <c r="DO917">
        <v>0</v>
      </c>
      <c r="DP917">
        <v>0</v>
      </c>
      <c r="DQ917">
        <v>0</v>
      </c>
      <c r="DR917">
        <v>0</v>
      </c>
      <c r="DS917">
        <v>0</v>
      </c>
      <c r="DT917">
        <v>0</v>
      </c>
      <c r="DU917">
        <v>0</v>
      </c>
      <c r="DV917">
        <v>0</v>
      </c>
      <c r="DW917">
        <v>0</v>
      </c>
      <c r="DX917">
        <v>0</v>
      </c>
      <c r="DY917">
        <v>0</v>
      </c>
      <c r="DZ917">
        <v>0</v>
      </c>
      <c r="EA917">
        <v>0</v>
      </c>
      <c r="EB917">
        <v>0</v>
      </c>
      <c r="EC917">
        <v>0</v>
      </c>
      <c r="ED917">
        <v>0</v>
      </c>
      <c r="EE917">
        <v>0</v>
      </c>
      <c r="EF917">
        <v>0</v>
      </c>
      <c r="EG917">
        <v>0</v>
      </c>
      <c r="EH917">
        <v>0</v>
      </c>
      <c r="EI917">
        <v>0</v>
      </c>
      <c r="EJ917">
        <v>0</v>
      </c>
      <c r="EK917">
        <v>0</v>
      </c>
      <c r="EL917">
        <v>0</v>
      </c>
      <c r="EM917">
        <v>0</v>
      </c>
      <c r="EN917">
        <v>27.4</v>
      </c>
      <c r="EO917">
        <v>0</v>
      </c>
      <c r="EP917">
        <v>1002.5</v>
      </c>
      <c r="EQ917">
        <v>0</v>
      </c>
      <c r="ER917">
        <v>494</v>
      </c>
      <c r="ES917">
        <v>0</v>
      </c>
      <c r="ET917">
        <v>699.3</v>
      </c>
      <c r="EU917">
        <v>435.4</v>
      </c>
      <c r="EV917">
        <v>0</v>
      </c>
      <c r="EW917">
        <v>0</v>
      </c>
      <c r="EX917">
        <v>0</v>
      </c>
      <c r="EY917">
        <v>0</v>
      </c>
      <c r="EZ917">
        <v>0</v>
      </c>
      <c r="FA917">
        <v>0</v>
      </c>
      <c r="FB917">
        <v>0</v>
      </c>
      <c r="FC917">
        <v>0</v>
      </c>
      <c r="FD917">
        <v>95.6</v>
      </c>
      <c r="FE917">
        <v>1792.1</v>
      </c>
      <c r="FF917">
        <v>1740.1999999999998</v>
      </c>
      <c r="FG917">
        <v>954.9</v>
      </c>
      <c r="FH917">
        <v>1087.8000000000002</v>
      </c>
      <c r="FI917">
        <v>1892.1</v>
      </c>
      <c r="FJ917">
        <v>1222.5</v>
      </c>
      <c r="FK917">
        <v>678.3</v>
      </c>
      <c r="FL917">
        <v>639.1</v>
      </c>
      <c r="FM917">
        <v>520.5</v>
      </c>
      <c r="FN917">
        <v>123.8</v>
      </c>
      <c r="FO917">
        <v>181.6</v>
      </c>
      <c r="FP917">
        <v>1090.5</v>
      </c>
      <c r="FQ917">
        <v>0</v>
      </c>
      <c r="FR917">
        <v>0</v>
      </c>
      <c r="FS917">
        <v>0</v>
      </c>
      <c r="FT917">
        <v>0</v>
      </c>
      <c r="FU917">
        <v>0</v>
      </c>
      <c r="FV917">
        <v>0</v>
      </c>
      <c r="FW917">
        <v>0</v>
      </c>
      <c r="FX917">
        <v>0</v>
      </c>
      <c r="FY917">
        <v>0</v>
      </c>
      <c r="FZ917">
        <v>0</v>
      </c>
      <c r="GA917">
        <v>0</v>
      </c>
      <c r="GB917">
        <v>0</v>
      </c>
      <c r="GC917">
        <v>0</v>
      </c>
      <c r="GD917">
        <v>0</v>
      </c>
      <c r="GE917">
        <v>0</v>
      </c>
      <c r="GF917">
        <v>198.3</v>
      </c>
      <c r="GG917">
        <v>1054.4000000000001</v>
      </c>
      <c r="GH917">
        <v>552.79999999999995</v>
      </c>
      <c r="GI917">
        <v>522</v>
      </c>
      <c r="GJ917">
        <v>0</v>
      </c>
      <c r="GK917">
        <v>0</v>
      </c>
      <c r="GL917">
        <v>0</v>
      </c>
      <c r="GM917">
        <v>0</v>
      </c>
      <c r="GN917">
        <v>791.40000000000009</v>
      </c>
      <c r="GO917">
        <v>1816.5</v>
      </c>
      <c r="GP917">
        <v>0</v>
      </c>
      <c r="GQ917">
        <v>0</v>
      </c>
      <c r="GR917">
        <v>0</v>
      </c>
      <c r="GS917">
        <v>0</v>
      </c>
      <c r="GT917">
        <v>0</v>
      </c>
      <c r="GU917">
        <v>0</v>
      </c>
      <c r="GV917">
        <v>0</v>
      </c>
      <c r="GW917">
        <v>0</v>
      </c>
      <c r="GX917">
        <v>0</v>
      </c>
      <c r="GY917">
        <v>840.3</v>
      </c>
      <c r="GZ917">
        <v>0</v>
      </c>
      <c r="HA917">
        <v>0</v>
      </c>
      <c r="HB917">
        <v>0</v>
      </c>
      <c r="HC917">
        <v>380.4</v>
      </c>
      <c r="HD917">
        <v>2175.5</v>
      </c>
      <c r="HE917">
        <v>0</v>
      </c>
      <c r="HF917">
        <v>0</v>
      </c>
      <c r="HG917">
        <v>0</v>
      </c>
      <c r="HH917">
        <v>0</v>
      </c>
      <c r="HI917">
        <v>0</v>
      </c>
      <c r="HJ917">
        <v>803.40000000000009</v>
      </c>
      <c r="HK917">
        <v>1270.9000000000001</v>
      </c>
      <c r="HL917">
        <v>835.7</v>
      </c>
      <c r="HM917">
        <v>1162.5999999999999</v>
      </c>
      <c r="HN917">
        <v>0</v>
      </c>
      <c r="HO917">
        <v>0</v>
      </c>
      <c r="HP917">
        <v>0</v>
      </c>
      <c r="HQ917">
        <v>0</v>
      </c>
      <c r="HR917">
        <v>161.19999999999999</v>
      </c>
      <c r="HS917">
        <v>0</v>
      </c>
      <c r="HT917">
        <v>2048.5</v>
      </c>
      <c r="HU917">
        <v>2627.5</v>
      </c>
      <c r="HV917">
        <v>1168.5999999999999</v>
      </c>
      <c r="HW917">
        <v>388</v>
      </c>
      <c r="HX917">
        <v>0</v>
      </c>
      <c r="HY917">
        <v>0</v>
      </c>
      <c r="HZ917">
        <v>0</v>
      </c>
      <c r="IA917">
        <v>0</v>
      </c>
      <c r="IB917">
        <v>0</v>
      </c>
      <c r="IC917">
        <v>594.4</v>
      </c>
      <c r="ID917">
        <v>427.4</v>
      </c>
      <c r="IE917">
        <v>713.3</v>
      </c>
      <c r="IF917">
        <v>626.1</v>
      </c>
      <c r="IG917">
        <v>0</v>
      </c>
      <c r="IH917">
        <v>0</v>
      </c>
      <c r="II917">
        <v>995.7</v>
      </c>
      <c r="IJ917">
        <v>1156.5999999999999</v>
      </c>
      <c r="IK917">
        <v>864.6</v>
      </c>
      <c r="IL917">
        <v>316.5</v>
      </c>
      <c r="IM917">
        <v>101.5</v>
      </c>
      <c r="IN917">
        <v>71.8</v>
      </c>
      <c r="IO917">
        <v>0</v>
      </c>
      <c r="IP917">
        <v>0</v>
      </c>
      <c r="IQ917">
        <v>0</v>
      </c>
      <c r="IR917">
        <v>0</v>
      </c>
      <c r="IS917">
        <v>0</v>
      </c>
      <c r="IT917">
        <v>0</v>
      </c>
      <c r="IU917">
        <v>0</v>
      </c>
      <c r="IV917">
        <v>0</v>
      </c>
      <c r="IW917">
        <v>68</v>
      </c>
      <c r="IX917">
        <v>404.7</v>
      </c>
      <c r="IY917">
        <v>126.6</v>
      </c>
      <c r="IZ917">
        <v>126.6</v>
      </c>
      <c r="JA917">
        <v>503.7</v>
      </c>
      <c r="JB917">
        <v>570.1</v>
      </c>
      <c r="JC917">
        <v>328.3</v>
      </c>
      <c r="JD917">
        <v>0</v>
      </c>
      <c r="JE917">
        <v>0</v>
      </c>
      <c r="JF917">
        <v>0</v>
      </c>
      <c r="JG917">
        <v>0</v>
      </c>
      <c r="JH917">
        <v>287.3</v>
      </c>
      <c r="JI917">
        <v>68.2</v>
      </c>
      <c r="JJ917">
        <v>0</v>
      </c>
      <c r="JK917">
        <v>148.6</v>
      </c>
      <c r="JL917">
        <v>0</v>
      </c>
      <c r="JM917">
        <v>0</v>
      </c>
      <c r="JN917">
        <v>204.5</v>
      </c>
      <c r="JO917">
        <v>292.10000000000002</v>
      </c>
      <c r="JP917">
        <v>670.8</v>
      </c>
      <c r="JQ917">
        <v>745.2</v>
      </c>
      <c r="JR917">
        <v>242.9</v>
      </c>
    </row>
    <row r="918" spans="2:278" ht="18" thickBot="1">
      <c r="B918" s="368" t="s">
        <v>1290</v>
      </c>
      <c r="C918" s="411" t="s">
        <v>1591</v>
      </c>
      <c r="D918" s="368" t="s">
        <v>1451</v>
      </c>
      <c r="E918" s="454">
        <v>22829.8</v>
      </c>
      <c r="F918">
        <v>20193.400000000001</v>
      </c>
      <c r="G918" s="427">
        <v>0</v>
      </c>
      <c r="H918" s="155">
        <v>0</v>
      </c>
      <c r="I918">
        <v>0</v>
      </c>
      <c r="J918">
        <v>0</v>
      </c>
      <c r="K918">
        <v>0</v>
      </c>
      <c r="L918" s="4">
        <v>0</v>
      </c>
      <c r="M918" s="4">
        <v>0</v>
      </c>
      <c r="N918" s="4">
        <v>0</v>
      </c>
      <c r="O918" s="4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1476.4</v>
      </c>
      <c r="X918">
        <v>1482</v>
      </c>
      <c r="Y918">
        <v>457.20000000000005</v>
      </c>
      <c r="Z918">
        <v>0</v>
      </c>
      <c r="AA918">
        <v>0</v>
      </c>
      <c r="AB918">
        <v>0</v>
      </c>
      <c r="AC918">
        <v>0</v>
      </c>
      <c r="AD918">
        <v>3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1828.6</v>
      </c>
      <c r="AK918">
        <v>1800.7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560.70000000000005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0</v>
      </c>
      <c r="BK918">
        <v>0</v>
      </c>
      <c r="BL918">
        <v>0</v>
      </c>
      <c r="BM918">
        <v>0</v>
      </c>
      <c r="BN918">
        <v>0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  <c r="CF918">
        <v>0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  <c r="CN918">
        <v>0</v>
      </c>
      <c r="CO918">
        <v>0</v>
      </c>
      <c r="CP918">
        <v>3.5</v>
      </c>
      <c r="CQ918">
        <v>0</v>
      </c>
      <c r="CR918">
        <v>528</v>
      </c>
      <c r="CS918">
        <v>581.79999999999995</v>
      </c>
      <c r="CT918">
        <v>555.40000000000009</v>
      </c>
      <c r="CU918">
        <v>737.4</v>
      </c>
      <c r="CV918">
        <v>1039.0999999999999</v>
      </c>
      <c r="CW918">
        <v>1667.3</v>
      </c>
      <c r="CX918">
        <v>877.6</v>
      </c>
      <c r="CY918">
        <v>910.40000000000009</v>
      </c>
      <c r="CZ918">
        <v>0</v>
      </c>
      <c r="DA918">
        <v>0</v>
      </c>
      <c r="DB918">
        <v>0</v>
      </c>
      <c r="DC918">
        <v>0</v>
      </c>
      <c r="DD918">
        <v>0</v>
      </c>
      <c r="DE918">
        <v>0</v>
      </c>
      <c r="DF918">
        <v>0</v>
      </c>
      <c r="DG918">
        <v>0</v>
      </c>
      <c r="DH918">
        <v>0</v>
      </c>
      <c r="DI918">
        <v>0</v>
      </c>
      <c r="DJ918">
        <v>0</v>
      </c>
      <c r="DK918">
        <v>0</v>
      </c>
      <c r="DL918">
        <v>995.5</v>
      </c>
      <c r="DM918">
        <v>712.7</v>
      </c>
      <c r="DN918">
        <v>0</v>
      </c>
      <c r="DO918">
        <v>0</v>
      </c>
      <c r="DP918">
        <v>0</v>
      </c>
      <c r="DQ918">
        <v>0</v>
      </c>
      <c r="DR918">
        <v>0</v>
      </c>
      <c r="DS918">
        <v>0</v>
      </c>
      <c r="DT918">
        <v>0</v>
      </c>
      <c r="DU918">
        <v>0</v>
      </c>
      <c r="DV918">
        <v>0</v>
      </c>
      <c r="DW918">
        <v>0</v>
      </c>
      <c r="DX918">
        <v>0</v>
      </c>
      <c r="DY918">
        <v>0</v>
      </c>
      <c r="DZ918">
        <v>0</v>
      </c>
      <c r="EA918">
        <v>0</v>
      </c>
      <c r="EB918">
        <v>0</v>
      </c>
      <c r="EC918">
        <v>0</v>
      </c>
      <c r="ED918">
        <v>0</v>
      </c>
      <c r="EE918">
        <v>0</v>
      </c>
      <c r="EF918">
        <v>0</v>
      </c>
      <c r="EG918">
        <v>0</v>
      </c>
      <c r="EH918">
        <v>0</v>
      </c>
      <c r="EI918">
        <v>0</v>
      </c>
      <c r="EJ918">
        <v>0</v>
      </c>
      <c r="EK918">
        <v>0</v>
      </c>
      <c r="EL918">
        <v>0</v>
      </c>
      <c r="EM918">
        <v>0</v>
      </c>
      <c r="EN918">
        <v>27.4</v>
      </c>
      <c r="EO918">
        <v>0</v>
      </c>
      <c r="EP918">
        <v>1002.5</v>
      </c>
      <c r="EQ918">
        <v>0</v>
      </c>
      <c r="ER918">
        <v>494</v>
      </c>
      <c r="ES918">
        <v>0</v>
      </c>
      <c r="ET918">
        <v>699.3</v>
      </c>
      <c r="EU918">
        <v>435.4</v>
      </c>
      <c r="EV918">
        <v>0</v>
      </c>
      <c r="EW918">
        <v>0</v>
      </c>
      <c r="EX918">
        <v>0</v>
      </c>
      <c r="EY918">
        <v>0</v>
      </c>
      <c r="EZ918">
        <v>0</v>
      </c>
      <c r="FA918">
        <v>0</v>
      </c>
      <c r="FB918">
        <v>0</v>
      </c>
      <c r="FC918">
        <v>0</v>
      </c>
      <c r="FD918">
        <v>95.6</v>
      </c>
      <c r="FE918">
        <v>1792.1</v>
      </c>
      <c r="FF918">
        <v>1740.1999999999998</v>
      </c>
      <c r="FG918">
        <v>954.9</v>
      </c>
      <c r="FH918">
        <v>1087.8000000000002</v>
      </c>
      <c r="FI918">
        <v>1892.1</v>
      </c>
      <c r="FJ918">
        <v>1222.5</v>
      </c>
      <c r="FK918">
        <v>678.3</v>
      </c>
      <c r="FL918">
        <v>639.1</v>
      </c>
      <c r="FM918">
        <v>520.5</v>
      </c>
      <c r="FN918">
        <v>123.8</v>
      </c>
      <c r="FO918">
        <v>181.6</v>
      </c>
      <c r="FP918">
        <v>1090.5</v>
      </c>
      <c r="FQ918">
        <v>0</v>
      </c>
      <c r="FR918">
        <v>0</v>
      </c>
      <c r="FS918">
        <v>0</v>
      </c>
      <c r="FT918">
        <v>0</v>
      </c>
      <c r="FU918">
        <v>0</v>
      </c>
      <c r="FV918">
        <v>0</v>
      </c>
      <c r="FW918">
        <v>0</v>
      </c>
      <c r="FX918">
        <v>0</v>
      </c>
      <c r="FY918">
        <v>0</v>
      </c>
      <c r="FZ918">
        <v>0</v>
      </c>
      <c r="GA918">
        <v>0</v>
      </c>
      <c r="GB918">
        <v>0</v>
      </c>
      <c r="GC918">
        <v>0</v>
      </c>
      <c r="GD918">
        <v>0</v>
      </c>
      <c r="GE918">
        <v>0</v>
      </c>
      <c r="GF918">
        <v>198.3</v>
      </c>
      <c r="GG918">
        <v>1054.4000000000001</v>
      </c>
      <c r="GH918">
        <v>552.79999999999995</v>
      </c>
      <c r="GI918">
        <v>522</v>
      </c>
      <c r="GJ918">
        <v>0</v>
      </c>
      <c r="GK918">
        <v>0</v>
      </c>
      <c r="GL918">
        <v>0</v>
      </c>
      <c r="GM918">
        <v>0</v>
      </c>
      <c r="GN918">
        <v>791.40000000000009</v>
      </c>
      <c r="GO918">
        <v>1816.5</v>
      </c>
      <c r="GP918">
        <v>0</v>
      </c>
      <c r="GQ918">
        <v>0</v>
      </c>
      <c r="GR918">
        <v>0</v>
      </c>
      <c r="GS918">
        <v>0</v>
      </c>
      <c r="GT918">
        <v>0</v>
      </c>
      <c r="GU918">
        <v>0</v>
      </c>
      <c r="GV918">
        <v>0</v>
      </c>
      <c r="GW918">
        <v>0</v>
      </c>
      <c r="GX918">
        <v>0</v>
      </c>
      <c r="GY918">
        <v>840.3</v>
      </c>
      <c r="GZ918">
        <v>0</v>
      </c>
      <c r="HA918">
        <v>0</v>
      </c>
      <c r="HB918">
        <v>0</v>
      </c>
      <c r="HC918">
        <v>380.4</v>
      </c>
      <c r="HD918">
        <v>2175.5</v>
      </c>
      <c r="HE918">
        <v>0</v>
      </c>
      <c r="HF918">
        <v>0</v>
      </c>
      <c r="HG918">
        <v>0</v>
      </c>
      <c r="HH918">
        <v>0</v>
      </c>
      <c r="HI918">
        <v>0</v>
      </c>
      <c r="HJ918">
        <v>803.40000000000009</v>
      </c>
      <c r="HK918">
        <v>1270.9000000000001</v>
      </c>
      <c r="HL918">
        <v>835.7</v>
      </c>
      <c r="HM918">
        <v>1162.5999999999999</v>
      </c>
      <c r="HN918">
        <v>0</v>
      </c>
      <c r="HO918">
        <v>0</v>
      </c>
      <c r="HP918">
        <v>0</v>
      </c>
      <c r="HQ918">
        <v>0</v>
      </c>
      <c r="HR918">
        <v>161.19999999999999</v>
      </c>
      <c r="HS918">
        <v>0</v>
      </c>
      <c r="HT918">
        <v>2048.5</v>
      </c>
      <c r="HU918">
        <v>2627.5</v>
      </c>
      <c r="HV918">
        <v>1168.5999999999999</v>
      </c>
      <c r="HW918">
        <v>388</v>
      </c>
      <c r="HX918">
        <v>0</v>
      </c>
      <c r="HY918">
        <v>0</v>
      </c>
      <c r="HZ918">
        <v>0</v>
      </c>
      <c r="IA918">
        <v>0</v>
      </c>
      <c r="IB918">
        <v>0</v>
      </c>
      <c r="IC918">
        <v>594.4</v>
      </c>
      <c r="ID918">
        <v>427.4</v>
      </c>
      <c r="IE918">
        <v>713.3</v>
      </c>
      <c r="IF918">
        <v>626.1</v>
      </c>
      <c r="IG918">
        <v>0</v>
      </c>
      <c r="IH918">
        <v>0</v>
      </c>
      <c r="II918">
        <v>995.7</v>
      </c>
      <c r="IJ918">
        <v>1156.5999999999999</v>
      </c>
      <c r="IK918">
        <v>864.6</v>
      </c>
      <c r="IL918">
        <v>316.5</v>
      </c>
      <c r="IM918">
        <v>101.5</v>
      </c>
      <c r="IN918">
        <v>71.8</v>
      </c>
      <c r="IO918">
        <v>0</v>
      </c>
      <c r="IP918">
        <v>0</v>
      </c>
      <c r="IQ918">
        <v>0</v>
      </c>
      <c r="IR918">
        <v>0</v>
      </c>
      <c r="IS918">
        <v>0</v>
      </c>
      <c r="IT918">
        <v>0</v>
      </c>
      <c r="IU918">
        <v>0</v>
      </c>
      <c r="IV918">
        <v>0</v>
      </c>
      <c r="IW918">
        <v>68</v>
      </c>
      <c r="IX918">
        <v>404.7</v>
      </c>
      <c r="IY918">
        <v>126.6</v>
      </c>
      <c r="IZ918">
        <v>126.6</v>
      </c>
      <c r="JA918">
        <v>503.7</v>
      </c>
      <c r="JB918">
        <v>570.1</v>
      </c>
      <c r="JC918">
        <v>328.3</v>
      </c>
      <c r="JD918">
        <v>0</v>
      </c>
      <c r="JE918">
        <v>0</v>
      </c>
      <c r="JF918">
        <v>0</v>
      </c>
      <c r="JG918">
        <v>0</v>
      </c>
      <c r="JH918">
        <v>287.3</v>
      </c>
      <c r="JI918">
        <v>68.2</v>
      </c>
      <c r="JJ918">
        <v>0</v>
      </c>
      <c r="JK918">
        <v>148.6</v>
      </c>
      <c r="JL918">
        <v>0</v>
      </c>
      <c r="JM918">
        <v>0</v>
      </c>
      <c r="JN918">
        <v>204.5</v>
      </c>
      <c r="JO918">
        <v>292.10000000000002</v>
      </c>
      <c r="JP918">
        <v>670.8</v>
      </c>
      <c r="JQ918">
        <v>745.2</v>
      </c>
      <c r="JR918">
        <v>242.9</v>
      </c>
    </row>
    <row r="919" spans="2:278" ht="18" thickBot="1">
      <c r="B919" s="370" t="s">
        <v>1291</v>
      </c>
      <c r="C919" s="416" t="s">
        <v>1592</v>
      </c>
      <c r="D919" s="370" t="s">
        <v>1452</v>
      </c>
      <c r="E919" s="454">
        <v>22829.8</v>
      </c>
      <c r="F919">
        <v>20193.400000000001</v>
      </c>
      <c r="G919" s="427">
        <v>0</v>
      </c>
      <c r="H919" s="155">
        <v>0</v>
      </c>
      <c r="I919">
        <v>0</v>
      </c>
      <c r="J919">
        <v>0</v>
      </c>
      <c r="K919">
        <v>0</v>
      </c>
      <c r="L919" s="4">
        <v>0</v>
      </c>
      <c r="M919" s="4">
        <v>0</v>
      </c>
      <c r="N919" s="4">
        <v>0</v>
      </c>
      <c r="O919" s="4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1476.4</v>
      </c>
      <c r="X919">
        <v>1482</v>
      </c>
      <c r="Y919">
        <v>457.20000000000005</v>
      </c>
      <c r="Z919">
        <v>0</v>
      </c>
      <c r="AA919">
        <v>0</v>
      </c>
      <c r="AB919">
        <v>0</v>
      </c>
      <c r="AC919">
        <v>0</v>
      </c>
      <c r="AD919">
        <v>3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1828.6</v>
      </c>
      <c r="AK919">
        <v>1800.7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560.70000000000005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0</v>
      </c>
      <c r="BU919">
        <v>0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  <c r="CF919">
        <v>0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  <c r="CN919">
        <v>0</v>
      </c>
      <c r="CO919">
        <v>0</v>
      </c>
      <c r="CP919">
        <v>3.5</v>
      </c>
      <c r="CQ919">
        <v>0</v>
      </c>
      <c r="CR919">
        <v>528</v>
      </c>
      <c r="CS919">
        <v>581.79999999999995</v>
      </c>
      <c r="CT919">
        <v>555.40000000000009</v>
      </c>
      <c r="CU919">
        <v>737.4</v>
      </c>
      <c r="CV919">
        <v>1039.0999999999999</v>
      </c>
      <c r="CW919">
        <v>1667.3</v>
      </c>
      <c r="CX919">
        <v>877.6</v>
      </c>
      <c r="CY919">
        <v>910.40000000000009</v>
      </c>
      <c r="CZ919">
        <v>0</v>
      </c>
      <c r="DA919">
        <v>0</v>
      </c>
      <c r="DB919">
        <v>0</v>
      </c>
      <c r="DC919">
        <v>0</v>
      </c>
      <c r="DD919">
        <v>0</v>
      </c>
      <c r="DE919">
        <v>0</v>
      </c>
      <c r="DF919">
        <v>0</v>
      </c>
      <c r="DG919">
        <v>0</v>
      </c>
      <c r="DH919">
        <v>0</v>
      </c>
      <c r="DI919">
        <v>0</v>
      </c>
      <c r="DJ919">
        <v>0</v>
      </c>
      <c r="DK919">
        <v>0</v>
      </c>
      <c r="DL919">
        <v>995.5</v>
      </c>
      <c r="DM919">
        <v>712.7</v>
      </c>
      <c r="DN919">
        <v>0</v>
      </c>
      <c r="DO919">
        <v>0</v>
      </c>
      <c r="DP919">
        <v>0</v>
      </c>
      <c r="DQ919">
        <v>0</v>
      </c>
      <c r="DR919">
        <v>0</v>
      </c>
      <c r="DS919">
        <v>0</v>
      </c>
      <c r="DT919">
        <v>0</v>
      </c>
      <c r="DU919">
        <v>0</v>
      </c>
      <c r="DV919">
        <v>0</v>
      </c>
      <c r="DW919">
        <v>0</v>
      </c>
      <c r="DX919">
        <v>0</v>
      </c>
      <c r="DY919">
        <v>0</v>
      </c>
      <c r="DZ919">
        <v>0</v>
      </c>
      <c r="EA919">
        <v>0</v>
      </c>
      <c r="EB919">
        <v>0</v>
      </c>
      <c r="EC919">
        <v>0</v>
      </c>
      <c r="ED919">
        <v>0</v>
      </c>
      <c r="EE919">
        <v>0</v>
      </c>
      <c r="EF919">
        <v>0</v>
      </c>
      <c r="EG919">
        <v>0</v>
      </c>
      <c r="EH919">
        <v>0</v>
      </c>
      <c r="EI919">
        <v>0</v>
      </c>
      <c r="EJ919">
        <v>0</v>
      </c>
      <c r="EK919">
        <v>0</v>
      </c>
      <c r="EL919">
        <v>0</v>
      </c>
      <c r="EM919">
        <v>0</v>
      </c>
      <c r="EN919">
        <v>27.4</v>
      </c>
      <c r="EO919">
        <v>0</v>
      </c>
      <c r="EP919">
        <v>1002.5</v>
      </c>
      <c r="EQ919">
        <v>0</v>
      </c>
      <c r="ER919">
        <v>494</v>
      </c>
      <c r="ES919">
        <v>0</v>
      </c>
      <c r="ET919">
        <v>699.3</v>
      </c>
      <c r="EU919">
        <v>435.4</v>
      </c>
      <c r="EV919">
        <v>0</v>
      </c>
      <c r="EW919">
        <v>0</v>
      </c>
      <c r="EX919">
        <v>0</v>
      </c>
      <c r="EY919">
        <v>0</v>
      </c>
      <c r="EZ919">
        <v>0</v>
      </c>
      <c r="FA919">
        <v>0</v>
      </c>
      <c r="FB919">
        <v>0</v>
      </c>
      <c r="FC919">
        <v>0</v>
      </c>
      <c r="FD919">
        <v>95.6</v>
      </c>
      <c r="FE919">
        <v>1792.1</v>
      </c>
      <c r="FF919">
        <v>1740.1999999999998</v>
      </c>
      <c r="FG919">
        <v>954.9</v>
      </c>
      <c r="FH919">
        <v>1087.8000000000002</v>
      </c>
      <c r="FI919">
        <v>1892.1</v>
      </c>
      <c r="FJ919">
        <v>1222.5</v>
      </c>
      <c r="FK919">
        <v>678.3</v>
      </c>
      <c r="FL919">
        <v>639.1</v>
      </c>
      <c r="FM919">
        <v>520.5</v>
      </c>
      <c r="FN919">
        <v>123.8</v>
      </c>
      <c r="FO919">
        <v>181.6</v>
      </c>
      <c r="FP919">
        <v>1090.5</v>
      </c>
      <c r="FQ919">
        <v>0</v>
      </c>
      <c r="FR919">
        <v>0</v>
      </c>
      <c r="FS919">
        <v>0</v>
      </c>
      <c r="FT919">
        <v>0</v>
      </c>
      <c r="FU919">
        <v>0</v>
      </c>
      <c r="FV919">
        <v>0</v>
      </c>
      <c r="FW919">
        <v>0</v>
      </c>
      <c r="FX919">
        <v>0</v>
      </c>
      <c r="FY919">
        <v>0</v>
      </c>
      <c r="FZ919">
        <v>0</v>
      </c>
      <c r="GA919">
        <v>0</v>
      </c>
      <c r="GB919">
        <v>0</v>
      </c>
      <c r="GC919">
        <v>0</v>
      </c>
      <c r="GD919">
        <v>0</v>
      </c>
      <c r="GE919">
        <v>0</v>
      </c>
      <c r="GF919">
        <v>198.3</v>
      </c>
      <c r="GG919">
        <v>1054.4000000000001</v>
      </c>
      <c r="GH919">
        <v>552.79999999999995</v>
      </c>
      <c r="GI919">
        <v>522</v>
      </c>
      <c r="GJ919">
        <v>0</v>
      </c>
      <c r="GK919">
        <v>0</v>
      </c>
      <c r="GL919">
        <v>0</v>
      </c>
      <c r="GM919">
        <v>0</v>
      </c>
      <c r="GN919">
        <v>791.40000000000009</v>
      </c>
      <c r="GO919">
        <v>1816.5</v>
      </c>
      <c r="GP919">
        <v>0</v>
      </c>
      <c r="GQ919">
        <v>0</v>
      </c>
      <c r="GR919">
        <v>0</v>
      </c>
      <c r="GS919">
        <v>0</v>
      </c>
      <c r="GT919">
        <v>0</v>
      </c>
      <c r="GU919">
        <v>0</v>
      </c>
      <c r="GV919">
        <v>0</v>
      </c>
      <c r="GW919">
        <v>0</v>
      </c>
      <c r="GX919">
        <v>0</v>
      </c>
      <c r="GY919">
        <v>840.3</v>
      </c>
      <c r="GZ919">
        <v>0</v>
      </c>
      <c r="HA919">
        <v>0</v>
      </c>
      <c r="HB919">
        <v>0</v>
      </c>
      <c r="HC919">
        <v>380.4</v>
      </c>
      <c r="HD919">
        <v>2175.5</v>
      </c>
      <c r="HE919">
        <v>0</v>
      </c>
      <c r="HF919">
        <v>0</v>
      </c>
      <c r="HG919">
        <v>0</v>
      </c>
      <c r="HH919">
        <v>0</v>
      </c>
      <c r="HI919">
        <v>0</v>
      </c>
      <c r="HJ919">
        <v>803.40000000000009</v>
      </c>
      <c r="HK919">
        <v>1270.9000000000001</v>
      </c>
      <c r="HL919">
        <v>835.7</v>
      </c>
      <c r="HM919">
        <v>1162.5999999999999</v>
      </c>
      <c r="HN919">
        <v>0</v>
      </c>
      <c r="HO919">
        <v>0</v>
      </c>
      <c r="HP919">
        <v>0</v>
      </c>
      <c r="HQ919">
        <v>0</v>
      </c>
      <c r="HR919">
        <v>161.19999999999999</v>
      </c>
      <c r="HS919">
        <v>0</v>
      </c>
      <c r="HT919">
        <v>2048.5</v>
      </c>
      <c r="HU919">
        <v>2627.5</v>
      </c>
      <c r="HV919">
        <v>1168.5999999999999</v>
      </c>
      <c r="HW919">
        <v>388</v>
      </c>
      <c r="HX919">
        <v>0</v>
      </c>
      <c r="HY919">
        <v>0</v>
      </c>
      <c r="HZ919">
        <v>0</v>
      </c>
      <c r="IA919">
        <v>0</v>
      </c>
      <c r="IB919">
        <v>0</v>
      </c>
      <c r="IC919">
        <v>594.4</v>
      </c>
      <c r="ID919">
        <v>427.4</v>
      </c>
      <c r="IE919">
        <v>713.3</v>
      </c>
      <c r="IF919">
        <v>626.1</v>
      </c>
      <c r="IG919">
        <v>0</v>
      </c>
      <c r="IH919">
        <v>0</v>
      </c>
      <c r="II919">
        <v>995.7</v>
      </c>
      <c r="IJ919">
        <v>1156.5999999999999</v>
      </c>
      <c r="IK919">
        <v>864.6</v>
      </c>
      <c r="IL919">
        <v>316.5</v>
      </c>
      <c r="IM919">
        <v>101.5</v>
      </c>
      <c r="IN919">
        <v>71.8</v>
      </c>
      <c r="IO919">
        <v>0</v>
      </c>
      <c r="IP919">
        <v>0</v>
      </c>
      <c r="IQ919">
        <v>0</v>
      </c>
      <c r="IR919">
        <v>0</v>
      </c>
      <c r="IS919">
        <v>0</v>
      </c>
      <c r="IT919">
        <v>0</v>
      </c>
      <c r="IU919">
        <v>0</v>
      </c>
      <c r="IV919">
        <v>0</v>
      </c>
      <c r="IW919">
        <v>68</v>
      </c>
      <c r="IX919">
        <v>404.7</v>
      </c>
      <c r="IY919">
        <v>126.6</v>
      </c>
      <c r="IZ919">
        <v>126.6</v>
      </c>
      <c r="JA919">
        <v>503.7</v>
      </c>
      <c r="JB919">
        <v>570.1</v>
      </c>
      <c r="JC919">
        <v>328.3</v>
      </c>
      <c r="JD919">
        <v>0</v>
      </c>
      <c r="JE919">
        <v>0</v>
      </c>
      <c r="JF919">
        <v>0</v>
      </c>
      <c r="JG919">
        <v>0</v>
      </c>
      <c r="JH919">
        <v>287.3</v>
      </c>
      <c r="JI919">
        <v>68.2</v>
      </c>
      <c r="JJ919">
        <v>0</v>
      </c>
      <c r="JK919">
        <v>148.6</v>
      </c>
      <c r="JL919">
        <v>0</v>
      </c>
      <c r="JM919">
        <v>0</v>
      </c>
      <c r="JN919">
        <v>204.5</v>
      </c>
      <c r="JO919">
        <v>292.10000000000002</v>
      </c>
      <c r="JP919">
        <v>670.8</v>
      </c>
      <c r="JQ919">
        <v>745.2</v>
      </c>
      <c r="JR919">
        <v>242.9</v>
      </c>
    </row>
    <row r="920" spans="2:278" ht="18" thickBot="1">
      <c r="B920" s="368"/>
      <c r="C920" s="373" t="s">
        <v>1593</v>
      </c>
      <c r="D920" s="373"/>
      <c r="E920" s="454">
        <v>22829.8</v>
      </c>
      <c r="F920">
        <v>20193.400000000001</v>
      </c>
      <c r="G920" s="427">
        <v>0</v>
      </c>
      <c r="H920" s="155">
        <v>0</v>
      </c>
      <c r="I920">
        <v>0</v>
      </c>
      <c r="J920">
        <v>0</v>
      </c>
      <c r="K920">
        <v>0</v>
      </c>
      <c r="L920" s="4">
        <v>0</v>
      </c>
      <c r="M920" s="4">
        <v>0</v>
      </c>
      <c r="N920" s="4">
        <v>0</v>
      </c>
      <c r="O920" s="4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1476.4</v>
      </c>
      <c r="X920">
        <v>1482</v>
      </c>
      <c r="Y920">
        <v>457.20000000000005</v>
      </c>
      <c r="Z920">
        <v>0</v>
      </c>
      <c r="AA920">
        <v>0</v>
      </c>
      <c r="AB920">
        <v>0</v>
      </c>
      <c r="AC920">
        <v>0</v>
      </c>
      <c r="AD920">
        <v>3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1828.6</v>
      </c>
      <c r="AK920">
        <v>1800.7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560.70000000000005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  <c r="CF920">
        <v>0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  <c r="CN920">
        <v>0</v>
      </c>
      <c r="CO920">
        <v>0</v>
      </c>
      <c r="CP920">
        <v>3.5</v>
      </c>
      <c r="CQ920">
        <v>0</v>
      </c>
      <c r="CR920">
        <v>528</v>
      </c>
      <c r="CS920">
        <v>581.79999999999995</v>
      </c>
      <c r="CT920">
        <v>555.40000000000009</v>
      </c>
      <c r="CU920">
        <v>737.4</v>
      </c>
      <c r="CV920">
        <v>1039.0999999999999</v>
      </c>
      <c r="CW920">
        <v>1667.3</v>
      </c>
      <c r="CX920">
        <v>877.6</v>
      </c>
      <c r="CY920">
        <v>910.40000000000009</v>
      </c>
      <c r="CZ920">
        <v>0</v>
      </c>
      <c r="DA920">
        <v>0</v>
      </c>
      <c r="DB920">
        <v>0</v>
      </c>
      <c r="DC920">
        <v>0</v>
      </c>
      <c r="DD920">
        <v>0</v>
      </c>
      <c r="DE920">
        <v>0</v>
      </c>
      <c r="DF920">
        <v>0</v>
      </c>
      <c r="DG920">
        <v>0</v>
      </c>
      <c r="DH920">
        <v>0</v>
      </c>
      <c r="DI920">
        <v>0</v>
      </c>
      <c r="DJ920">
        <v>0</v>
      </c>
      <c r="DK920">
        <v>0</v>
      </c>
      <c r="DL920">
        <v>995.5</v>
      </c>
      <c r="DM920">
        <v>712.7</v>
      </c>
      <c r="DN920">
        <v>0</v>
      </c>
      <c r="DO920">
        <v>0</v>
      </c>
      <c r="DP920">
        <v>0</v>
      </c>
      <c r="DQ920">
        <v>0</v>
      </c>
      <c r="DR920">
        <v>0</v>
      </c>
      <c r="DS920">
        <v>0</v>
      </c>
      <c r="DT920">
        <v>0</v>
      </c>
      <c r="DU920">
        <v>0</v>
      </c>
      <c r="DV920">
        <v>0</v>
      </c>
      <c r="DW920">
        <v>0</v>
      </c>
      <c r="DX920">
        <v>0</v>
      </c>
      <c r="DY920">
        <v>0</v>
      </c>
      <c r="DZ920">
        <v>0</v>
      </c>
      <c r="EA920">
        <v>0</v>
      </c>
      <c r="EB920">
        <v>0</v>
      </c>
      <c r="EC920">
        <v>0</v>
      </c>
      <c r="ED920">
        <v>0</v>
      </c>
      <c r="EE920">
        <v>0</v>
      </c>
      <c r="EF920">
        <v>0</v>
      </c>
      <c r="EG920">
        <v>0</v>
      </c>
      <c r="EH920">
        <v>0</v>
      </c>
      <c r="EI920">
        <v>0</v>
      </c>
      <c r="EJ920">
        <v>0</v>
      </c>
      <c r="EK920">
        <v>0</v>
      </c>
      <c r="EL920">
        <v>0</v>
      </c>
      <c r="EM920">
        <v>0</v>
      </c>
      <c r="EN920">
        <v>27.4</v>
      </c>
      <c r="EO920">
        <v>0</v>
      </c>
      <c r="EP920">
        <v>1002.5</v>
      </c>
      <c r="EQ920">
        <v>0</v>
      </c>
      <c r="ER920">
        <v>494</v>
      </c>
      <c r="ES920">
        <v>0</v>
      </c>
      <c r="ET920">
        <v>699.3</v>
      </c>
      <c r="EU920">
        <v>435.4</v>
      </c>
      <c r="EV920">
        <v>0</v>
      </c>
      <c r="EW920">
        <v>0</v>
      </c>
      <c r="EX920">
        <v>0</v>
      </c>
      <c r="EY920">
        <v>0</v>
      </c>
      <c r="EZ920">
        <v>0</v>
      </c>
      <c r="FA920">
        <v>0</v>
      </c>
      <c r="FB920">
        <v>0</v>
      </c>
      <c r="FC920">
        <v>0</v>
      </c>
      <c r="FD920">
        <v>95.6</v>
      </c>
      <c r="FE920">
        <v>1792.1</v>
      </c>
      <c r="FF920">
        <v>1740.1999999999998</v>
      </c>
      <c r="FG920">
        <v>954.9</v>
      </c>
      <c r="FH920">
        <v>1087.8000000000002</v>
      </c>
      <c r="FI920">
        <v>1892.1</v>
      </c>
      <c r="FJ920">
        <v>1222.5</v>
      </c>
      <c r="FK920">
        <v>678.3</v>
      </c>
      <c r="FL920">
        <v>639.1</v>
      </c>
      <c r="FM920">
        <v>520.5</v>
      </c>
      <c r="FN920">
        <v>123.8</v>
      </c>
      <c r="FO920">
        <v>181.6</v>
      </c>
      <c r="FP920">
        <v>1090.5</v>
      </c>
      <c r="FQ920">
        <v>0</v>
      </c>
      <c r="FR920">
        <v>0</v>
      </c>
      <c r="FS920">
        <v>0</v>
      </c>
      <c r="FT920">
        <v>0</v>
      </c>
      <c r="FU920">
        <v>0</v>
      </c>
      <c r="FV920">
        <v>0</v>
      </c>
      <c r="FW920">
        <v>0</v>
      </c>
      <c r="FX920">
        <v>0</v>
      </c>
      <c r="FY920">
        <v>0</v>
      </c>
      <c r="FZ920">
        <v>0</v>
      </c>
      <c r="GA920">
        <v>0</v>
      </c>
      <c r="GB920">
        <v>0</v>
      </c>
      <c r="GC920">
        <v>0</v>
      </c>
      <c r="GD920">
        <v>0</v>
      </c>
      <c r="GE920">
        <v>0</v>
      </c>
      <c r="GF920">
        <v>198.3</v>
      </c>
      <c r="GG920">
        <v>1054.4000000000001</v>
      </c>
      <c r="GH920">
        <v>552.79999999999995</v>
      </c>
      <c r="GI920">
        <v>522</v>
      </c>
      <c r="GJ920">
        <v>0</v>
      </c>
      <c r="GK920">
        <v>0</v>
      </c>
      <c r="GL920">
        <v>0</v>
      </c>
      <c r="GM920">
        <v>0</v>
      </c>
      <c r="GN920">
        <v>791.40000000000009</v>
      </c>
      <c r="GO920">
        <v>1816.5</v>
      </c>
      <c r="GP920">
        <v>0</v>
      </c>
      <c r="GQ920">
        <v>0</v>
      </c>
      <c r="GR920">
        <v>0</v>
      </c>
      <c r="GS920">
        <v>0</v>
      </c>
      <c r="GT920">
        <v>0</v>
      </c>
      <c r="GU920">
        <v>0</v>
      </c>
      <c r="GV920">
        <v>0</v>
      </c>
      <c r="GW920">
        <v>0</v>
      </c>
      <c r="GX920">
        <v>0</v>
      </c>
      <c r="GY920">
        <v>840.3</v>
      </c>
      <c r="GZ920">
        <v>0</v>
      </c>
      <c r="HA920">
        <v>0</v>
      </c>
      <c r="HB920">
        <v>0</v>
      </c>
      <c r="HC920">
        <v>380.4</v>
      </c>
      <c r="HD920">
        <v>2175.5</v>
      </c>
      <c r="HE920">
        <v>0</v>
      </c>
      <c r="HF920">
        <v>0</v>
      </c>
      <c r="HG920">
        <v>0</v>
      </c>
      <c r="HH920">
        <v>0</v>
      </c>
      <c r="HI920">
        <v>0</v>
      </c>
      <c r="HJ920">
        <v>803.40000000000009</v>
      </c>
      <c r="HK920">
        <v>1270.9000000000001</v>
      </c>
      <c r="HL920">
        <v>835.7</v>
      </c>
      <c r="HM920">
        <v>1162.5999999999999</v>
      </c>
      <c r="HN920">
        <v>0</v>
      </c>
      <c r="HO920">
        <v>0</v>
      </c>
      <c r="HP920">
        <v>0</v>
      </c>
      <c r="HQ920">
        <v>0</v>
      </c>
      <c r="HR920">
        <v>161.19999999999999</v>
      </c>
      <c r="HS920">
        <v>0</v>
      </c>
      <c r="HT920">
        <v>2048.5</v>
      </c>
      <c r="HU920">
        <v>2627.5</v>
      </c>
      <c r="HV920">
        <v>1168.5999999999999</v>
      </c>
      <c r="HW920">
        <v>388</v>
      </c>
      <c r="HX920">
        <v>0</v>
      </c>
      <c r="HY920">
        <v>0</v>
      </c>
      <c r="HZ920">
        <v>0</v>
      </c>
      <c r="IA920">
        <v>0</v>
      </c>
      <c r="IB920">
        <v>0</v>
      </c>
      <c r="IC920">
        <v>594.4</v>
      </c>
      <c r="ID920">
        <v>427.4</v>
      </c>
      <c r="IE920">
        <v>713.3</v>
      </c>
      <c r="IF920">
        <v>626.1</v>
      </c>
      <c r="IG920">
        <v>0</v>
      </c>
      <c r="IH920">
        <v>0</v>
      </c>
      <c r="II920">
        <v>995.7</v>
      </c>
      <c r="IJ920">
        <v>1156.5999999999999</v>
      </c>
      <c r="IK920">
        <v>864.6</v>
      </c>
      <c r="IL920">
        <v>316.5</v>
      </c>
      <c r="IM920">
        <v>101.5</v>
      </c>
      <c r="IN920">
        <v>71.8</v>
      </c>
      <c r="IO920">
        <v>0</v>
      </c>
      <c r="IP920">
        <v>0</v>
      </c>
      <c r="IQ920">
        <v>0</v>
      </c>
      <c r="IR920">
        <v>0</v>
      </c>
      <c r="IS920">
        <v>0</v>
      </c>
      <c r="IT920">
        <v>0</v>
      </c>
      <c r="IU920">
        <v>0</v>
      </c>
      <c r="IV920">
        <v>0</v>
      </c>
      <c r="IW920">
        <v>68</v>
      </c>
      <c r="IX920">
        <v>404.7</v>
      </c>
      <c r="IY920">
        <v>126.6</v>
      </c>
      <c r="IZ920">
        <v>126.6</v>
      </c>
      <c r="JA920">
        <v>503.7</v>
      </c>
      <c r="JB920">
        <v>570.1</v>
      </c>
      <c r="JC920">
        <v>328.3</v>
      </c>
      <c r="JD920">
        <v>0</v>
      </c>
      <c r="JE920">
        <v>0</v>
      </c>
      <c r="JF920">
        <v>0</v>
      </c>
      <c r="JG920">
        <v>0</v>
      </c>
      <c r="JH920">
        <v>287.3</v>
      </c>
      <c r="JI920">
        <v>68.2</v>
      </c>
      <c r="JJ920">
        <v>0</v>
      </c>
      <c r="JK920">
        <v>148.6</v>
      </c>
      <c r="JL920">
        <v>0</v>
      </c>
      <c r="JM920">
        <v>0</v>
      </c>
      <c r="JN920">
        <v>204.5</v>
      </c>
      <c r="JO920">
        <v>292.10000000000002</v>
      </c>
      <c r="JP920">
        <v>670.8</v>
      </c>
      <c r="JQ920">
        <v>745.2</v>
      </c>
      <c r="JR920">
        <v>242.9</v>
      </c>
    </row>
    <row r="921" spans="2:278" ht="18" thickBot="1">
      <c r="B921" s="522" t="s">
        <v>1292</v>
      </c>
      <c r="C921" s="517" t="s">
        <v>1594</v>
      </c>
      <c r="D921" s="527" t="s">
        <v>1387</v>
      </c>
      <c r="E921" s="454">
        <v>22829.8</v>
      </c>
      <c r="F921">
        <v>20193.400000000001</v>
      </c>
      <c r="G921" s="427">
        <v>0</v>
      </c>
      <c r="H921" s="155">
        <v>0</v>
      </c>
      <c r="I921">
        <v>0</v>
      </c>
      <c r="J921">
        <v>0</v>
      </c>
      <c r="K921">
        <v>0</v>
      </c>
      <c r="L921" s="4">
        <v>0</v>
      </c>
      <c r="M921" s="4">
        <v>0</v>
      </c>
      <c r="N921" s="4">
        <v>0</v>
      </c>
      <c r="O921" s="4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1476.4</v>
      </c>
      <c r="X921">
        <v>1482</v>
      </c>
      <c r="Y921">
        <v>457.20000000000005</v>
      </c>
      <c r="Z921">
        <v>0</v>
      </c>
      <c r="AA921">
        <v>0</v>
      </c>
      <c r="AB921">
        <v>0</v>
      </c>
      <c r="AC921">
        <v>0</v>
      </c>
      <c r="AD921">
        <v>3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1828.6</v>
      </c>
      <c r="AK921">
        <v>1800.7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560.70000000000005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0</v>
      </c>
      <c r="BU921">
        <v>0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  <c r="CF921">
        <v>0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  <c r="CN921">
        <v>0</v>
      </c>
      <c r="CO921">
        <v>0</v>
      </c>
      <c r="CP921">
        <v>3.5</v>
      </c>
      <c r="CQ921">
        <v>0</v>
      </c>
      <c r="CR921">
        <v>528</v>
      </c>
      <c r="CS921">
        <v>581.79999999999995</v>
      </c>
      <c r="CT921">
        <v>555.40000000000009</v>
      </c>
      <c r="CU921">
        <v>737.4</v>
      </c>
      <c r="CV921">
        <v>1039.0999999999999</v>
      </c>
      <c r="CW921">
        <v>1667.3</v>
      </c>
      <c r="CX921">
        <v>877.6</v>
      </c>
      <c r="CY921">
        <v>910.40000000000009</v>
      </c>
      <c r="CZ921">
        <v>0</v>
      </c>
      <c r="DA921">
        <v>0</v>
      </c>
      <c r="DB921">
        <v>0</v>
      </c>
      <c r="DC921">
        <v>0</v>
      </c>
      <c r="DD921">
        <v>0</v>
      </c>
      <c r="DE921">
        <v>0</v>
      </c>
      <c r="DF921">
        <v>0</v>
      </c>
      <c r="DG921">
        <v>0</v>
      </c>
      <c r="DH921">
        <v>0</v>
      </c>
      <c r="DI921">
        <v>0</v>
      </c>
      <c r="DJ921">
        <v>0</v>
      </c>
      <c r="DK921">
        <v>0</v>
      </c>
      <c r="DL921">
        <v>995.5</v>
      </c>
      <c r="DM921">
        <v>712.7</v>
      </c>
      <c r="DN921">
        <v>0</v>
      </c>
      <c r="DO921">
        <v>0</v>
      </c>
      <c r="DP921">
        <v>0</v>
      </c>
      <c r="DQ921">
        <v>0</v>
      </c>
      <c r="DR921">
        <v>0</v>
      </c>
      <c r="DS921">
        <v>0</v>
      </c>
      <c r="DT921">
        <v>0</v>
      </c>
      <c r="DU921">
        <v>0</v>
      </c>
      <c r="DV921">
        <v>0</v>
      </c>
      <c r="DW921">
        <v>0</v>
      </c>
      <c r="DX921">
        <v>0</v>
      </c>
      <c r="DY921">
        <v>0</v>
      </c>
      <c r="DZ921">
        <v>0</v>
      </c>
      <c r="EA921">
        <v>0</v>
      </c>
      <c r="EB921">
        <v>0</v>
      </c>
      <c r="EC921">
        <v>0</v>
      </c>
      <c r="ED921">
        <v>0</v>
      </c>
      <c r="EE921">
        <v>0</v>
      </c>
      <c r="EF921">
        <v>0</v>
      </c>
      <c r="EG921">
        <v>0</v>
      </c>
      <c r="EH921">
        <v>0</v>
      </c>
      <c r="EI921">
        <v>0</v>
      </c>
      <c r="EJ921">
        <v>0</v>
      </c>
      <c r="EK921">
        <v>0</v>
      </c>
      <c r="EL921">
        <v>0</v>
      </c>
      <c r="EM921">
        <v>0</v>
      </c>
      <c r="EN921">
        <v>27.4</v>
      </c>
      <c r="EO921">
        <v>0</v>
      </c>
      <c r="EP921">
        <v>1002.5</v>
      </c>
      <c r="EQ921">
        <v>0</v>
      </c>
      <c r="ER921">
        <v>494</v>
      </c>
      <c r="ES921">
        <v>0</v>
      </c>
      <c r="ET921">
        <v>699.3</v>
      </c>
      <c r="EU921">
        <v>435.4</v>
      </c>
      <c r="EV921">
        <v>0</v>
      </c>
      <c r="EW921">
        <v>0</v>
      </c>
      <c r="EX921">
        <v>0</v>
      </c>
      <c r="EY921">
        <v>0</v>
      </c>
      <c r="EZ921">
        <v>0</v>
      </c>
      <c r="FA921">
        <v>0</v>
      </c>
      <c r="FB921">
        <v>0</v>
      </c>
      <c r="FC921">
        <v>0</v>
      </c>
      <c r="FD921">
        <v>95.6</v>
      </c>
      <c r="FE921">
        <v>1792.1</v>
      </c>
      <c r="FF921">
        <v>1740.1999999999998</v>
      </c>
      <c r="FG921">
        <v>954.9</v>
      </c>
      <c r="FH921">
        <v>1087.8000000000002</v>
      </c>
      <c r="FI921">
        <v>1892.1</v>
      </c>
      <c r="FJ921">
        <v>1222.5</v>
      </c>
      <c r="FK921">
        <v>678.3</v>
      </c>
      <c r="FL921">
        <v>639.1</v>
      </c>
      <c r="FM921">
        <v>520.5</v>
      </c>
      <c r="FN921">
        <v>123.8</v>
      </c>
      <c r="FO921">
        <v>181.6</v>
      </c>
      <c r="FP921">
        <v>1090.5</v>
      </c>
      <c r="FQ921">
        <v>0</v>
      </c>
      <c r="FR921">
        <v>0</v>
      </c>
      <c r="FS921">
        <v>0</v>
      </c>
      <c r="FT921">
        <v>0</v>
      </c>
      <c r="FU921">
        <v>0</v>
      </c>
      <c r="FV921">
        <v>0</v>
      </c>
      <c r="FW921">
        <v>0</v>
      </c>
      <c r="FX921">
        <v>0</v>
      </c>
      <c r="FY921">
        <v>0</v>
      </c>
      <c r="FZ921">
        <v>0</v>
      </c>
      <c r="GA921">
        <v>0</v>
      </c>
      <c r="GB921">
        <v>0</v>
      </c>
      <c r="GC921">
        <v>0</v>
      </c>
      <c r="GD921">
        <v>0</v>
      </c>
      <c r="GE921">
        <v>0</v>
      </c>
      <c r="GF921">
        <v>198.3</v>
      </c>
      <c r="GG921">
        <v>1054.4000000000001</v>
      </c>
      <c r="GH921">
        <v>552.79999999999995</v>
      </c>
      <c r="GI921">
        <v>522</v>
      </c>
      <c r="GJ921">
        <v>0</v>
      </c>
      <c r="GK921">
        <v>0</v>
      </c>
      <c r="GL921">
        <v>0</v>
      </c>
      <c r="GM921">
        <v>0</v>
      </c>
      <c r="GN921">
        <v>791.40000000000009</v>
      </c>
      <c r="GO921">
        <v>1816.5</v>
      </c>
      <c r="GP921">
        <v>0</v>
      </c>
      <c r="GQ921">
        <v>0</v>
      </c>
      <c r="GR921">
        <v>0</v>
      </c>
      <c r="GS921">
        <v>0</v>
      </c>
      <c r="GT921">
        <v>0</v>
      </c>
      <c r="GU921">
        <v>0</v>
      </c>
      <c r="GV921">
        <v>0</v>
      </c>
      <c r="GW921">
        <v>0</v>
      </c>
      <c r="GX921">
        <v>0</v>
      </c>
      <c r="GY921">
        <v>840.3</v>
      </c>
      <c r="GZ921">
        <v>0</v>
      </c>
      <c r="HA921">
        <v>0</v>
      </c>
      <c r="HB921">
        <v>0</v>
      </c>
      <c r="HC921">
        <v>380.4</v>
      </c>
      <c r="HD921">
        <v>2175.5</v>
      </c>
      <c r="HE921">
        <v>0</v>
      </c>
      <c r="HF921">
        <v>0</v>
      </c>
      <c r="HG921">
        <v>0</v>
      </c>
      <c r="HH921">
        <v>0</v>
      </c>
      <c r="HI921">
        <v>0</v>
      </c>
      <c r="HJ921">
        <v>803.40000000000009</v>
      </c>
      <c r="HK921">
        <v>1270.9000000000001</v>
      </c>
      <c r="HL921">
        <v>835.7</v>
      </c>
      <c r="HM921">
        <v>1162.5999999999999</v>
      </c>
      <c r="HN921">
        <v>0</v>
      </c>
      <c r="HO921">
        <v>0</v>
      </c>
      <c r="HP921">
        <v>0</v>
      </c>
      <c r="HQ921">
        <v>0</v>
      </c>
      <c r="HR921">
        <v>161.19999999999999</v>
      </c>
      <c r="HS921">
        <v>0</v>
      </c>
      <c r="HT921">
        <v>2048.5</v>
      </c>
      <c r="HU921">
        <v>2627.5</v>
      </c>
      <c r="HV921">
        <v>1168.5999999999999</v>
      </c>
      <c r="HW921">
        <v>388</v>
      </c>
      <c r="HX921">
        <v>0</v>
      </c>
      <c r="HY921">
        <v>0</v>
      </c>
      <c r="HZ921">
        <v>0</v>
      </c>
      <c r="IA921">
        <v>0</v>
      </c>
      <c r="IB921">
        <v>0</v>
      </c>
      <c r="IC921">
        <v>594.4</v>
      </c>
      <c r="ID921">
        <v>427.4</v>
      </c>
      <c r="IE921">
        <v>713.3</v>
      </c>
      <c r="IF921">
        <v>626.1</v>
      </c>
      <c r="IG921">
        <v>0</v>
      </c>
      <c r="IH921">
        <v>0</v>
      </c>
      <c r="II921">
        <v>995.7</v>
      </c>
      <c r="IJ921">
        <v>1156.5999999999999</v>
      </c>
      <c r="IK921">
        <v>864.6</v>
      </c>
      <c r="IL921">
        <v>316.5</v>
      </c>
      <c r="IM921">
        <v>101.5</v>
      </c>
      <c r="IN921">
        <v>71.8</v>
      </c>
      <c r="IO921">
        <v>0</v>
      </c>
      <c r="IP921">
        <v>0</v>
      </c>
      <c r="IQ921">
        <v>0</v>
      </c>
      <c r="IR921">
        <v>0</v>
      </c>
      <c r="IS921">
        <v>0</v>
      </c>
      <c r="IT921">
        <v>0</v>
      </c>
      <c r="IU921">
        <v>0</v>
      </c>
      <c r="IV921">
        <v>0</v>
      </c>
      <c r="IW921">
        <v>68</v>
      </c>
      <c r="IX921">
        <v>404.7</v>
      </c>
      <c r="IY921">
        <v>126.6</v>
      </c>
      <c r="IZ921">
        <v>126.6</v>
      </c>
      <c r="JA921">
        <v>503.7</v>
      </c>
      <c r="JB921">
        <v>570.1</v>
      </c>
      <c r="JC921">
        <v>328.3</v>
      </c>
      <c r="JD921">
        <v>0</v>
      </c>
      <c r="JE921">
        <v>0</v>
      </c>
      <c r="JF921">
        <v>0</v>
      </c>
      <c r="JG921">
        <v>0</v>
      </c>
      <c r="JH921">
        <v>287.3</v>
      </c>
      <c r="JI921">
        <v>68.2</v>
      </c>
      <c r="JJ921">
        <v>0</v>
      </c>
      <c r="JK921">
        <v>148.6</v>
      </c>
      <c r="JL921">
        <v>0</v>
      </c>
      <c r="JM921">
        <v>0</v>
      </c>
      <c r="JN921">
        <v>204.5</v>
      </c>
      <c r="JO921">
        <v>292.10000000000002</v>
      </c>
      <c r="JP921">
        <v>670.8</v>
      </c>
      <c r="JQ921">
        <v>745.2</v>
      </c>
      <c r="JR921">
        <v>242.9</v>
      </c>
    </row>
    <row r="922" spans="2:278" ht="18" thickBot="1">
      <c r="B922" s="523"/>
      <c r="C922" s="518"/>
      <c r="D922" s="528"/>
      <c r="E922" s="454">
        <v>22829.8</v>
      </c>
      <c r="F922">
        <v>20193.400000000001</v>
      </c>
      <c r="G922" s="427">
        <v>0</v>
      </c>
      <c r="H922" s="155">
        <v>0</v>
      </c>
      <c r="I922">
        <v>0</v>
      </c>
      <c r="J922">
        <v>0</v>
      </c>
      <c r="K922">
        <v>0</v>
      </c>
      <c r="L922" s="4">
        <v>0</v>
      </c>
      <c r="M922" s="4">
        <v>0</v>
      </c>
      <c r="N922" s="4">
        <v>0</v>
      </c>
      <c r="O922" s="4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1476.4</v>
      </c>
      <c r="X922">
        <v>1482</v>
      </c>
      <c r="Y922">
        <v>457.20000000000005</v>
      </c>
      <c r="Z922">
        <v>0</v>
      </c>
      <c r="AA922">
        <v>0</v>
      </c>
      <c r="AB922">
        <v>0</v>
      </c>
      <c r="AC922">
        <v>0</v>
      </c>
      <c r="AD922">
        <v>3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1828.6</v>
      </c>
      <c r="AK922">
        <v>1800.7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560.70000000000005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  <c r="CF922">
        <v>0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  <c r="CN922">
        <v>0</v>
      </c>
      <c r="CO922">
        <v>0</v>
      </c>
      <c r="CP922">
        <v>3.5</v>
      </c>
      <c r="CQ922">
        <v>0</v>
      </c>
      <c r="CR922">
        <v>528</v>
      </c>
      <c r="CS922">
        <v>581.79999999999995</v>
      </c>
      <c r="CT922">
        <v>555.40000000000009</v>
      </c>
      <c r="CU922">
        <v>737.4</v>
      </c>
      <c r="CV922">
        <v>1039.0999999999999</v>
      </c>
      <c r="CW922">
        <v>1667.3</v>
      </c>
      <c r="CX922">
        <v>877.6</v>
      </c>
      <c r="CY922">
        <v>910.40000000000009</v>
      </c>
      <c r="CZ922">
        <v>0</v>
      </c>
      <c r="DA922">
        <v>0</v>
      </c>
      <c r="DB922">
        <v>0</v>
      </c>
      <c r="DC922">
        <v>0</v>
      </c>
      <c r="DD922">
        <v>0</v>
      </c>
      <c r="DE922">
        <v>0</v>
      </c>
      <c r="DF922">
        <v>0</v>
      </c>
      <c r="DG922">
        <v>0</v>
      </c>
      <c r="DH922">
        <v>0</v>
      </c>
      <c r="DI922">
        <v>0</v>
      </c>
      <c r="DJ922">
        <v>0</v>
      </c>
      <c r="DK922">
        <v>0</v>
      </c>
      <c r="DL922">
        <v>995.5</v>
      </c>
      <c r="DM922">
        <v>712.7</v>
      </c>
      <c r="DN922">
        <v>0</v>
      </c>
      <c r="DO922">
        <v>0</v>
      </c>
      <c r="DP922">
        <v>0</v>
      </c>
      <c r="DQ922">
        <v>0</v>
      </c>
      <c r="DR922">
        <v>0</v>
      </c>
      <c r="DS922">
        <v>0</v>
      </c>
      <c r="DT922">
        <v>0</v>
      </c>
      <c r="DU922">
        <v>0</v>
      </c>
      <c r="DV922">
        <v>0</v>
      </c>
      <c r="DW922">
        <v>0</v>
      </c>
      <c r="DX922">
        <v>0</v>
      </c>
      <c r="DY922">
        <v>0</v>
      </c>
      <c r="DZ922">
        <v>0</v>
      </c>
      <c r="EA922">
        <v>0</v>
      </c>
      <c r="EB922">
        <v>0</v>
      </c>
      <c r="EC922">
        <v>0</v>
      </c>
      <c r="ED922">
        <v>0</v>
      </c>
      <c r="EE922">
        <v>0</v>
      </c>
      <c r="EF922">
        <v>0</v>
      </c>
      <c r="EG922">
        <v>0</v>
      </c>
      <c r="EH922">
        <v>0</v>
      </c>
      <c r="EI922">
        <v>0</v>
      </c>
      <c r="EJ922">
        <v>0</v>
      </c>
      <c r="EK922">
        <v>0</v>
      </c>
      <c r="EL922">
        <v>0</v>
      </c>
      <c r="EM922">
        <v>0</v>
      </c>
      <c r="EN922">
        <v>27.4</v>
      </c>
      <c r="EO922">
        <v>0</v>
      </c>
      <c r="EP922">
        <v>1002.5</v>
      </c>
      <c r="EQ922">
        <v>0</v>
      </c>
      <c r="ER922">
        <v>494</v>
      </c>
      <c r="ES922">
        <v>0</v>
      </c>
      <c r="ET922">
        <v>699.3</v>
      </c>
      <c r="EU922">
        <v>435.4</v>
      </c>
      <c r="EV922">
        <v>0</v>
      </c>
      <c r="EW922">
        <v>0</v>
      </c>
      <c r="EX922">
        <v>0</v>
      </c>
      <c r="EY922">
        <v>0</v>
      </c>
      <c r="EZ922">
        <v>0</v>
      </c>
      <c r="FA922">
        <v>0</v>
      </c>
      <c r="FB922">
        <v>0</v>
      </c>
      <c r="FC922">
        <v>0</v>
      </c>
      <c r="FD922">
        <v>95.6</v>
      </c>
      <c r="FE922">
        <v>1792.1</v>
      </c>
      <c r="FF922">
        <v>1740.1999999999998</v>
      </c>
      <c r="FG922">
        <v>954.9</v>
      </c>
      <c r="FH922">
        <v>1087.8000000000002</v>
      </c>
      <c r="FI922">
        <v>1892.1</v>
      </c>
      <c r="FJ922">
        <v>1222.5</v>
      </c>
      <c r="FK922">
        <v>678.3</v>
      </c>
      <c r="FL922">
        <v>639.1</v>
      </c>
      <c r="FM922">
        <v>520.5</v>
      </c>
      <c r="FN922">
        <v>123.8</v>
      </c>
      <c r="FO922">
        <v>181.6</v>
      </c>
      <c r="FP922">
        <v>1090.5</v>
      </c>
      <c r="FQ922">
        <v>0</v>
      </c>
      <c r="FR922">
        <v>0</v>
      </c>
      <c r="FS922">
        <v>0</v>
      </c>
      <c r="FT922">
        <v>0</v>
      </c>
      <c r="FU922">
        <v>0</v>
      </c>
      <c r="FV922">
        <v>0</v>
      </c>
      <c r="FW922">
        <v>0</v>
      </c>
      <c r="FX922">
        <v>0</v>
      </c>
      <c r="FY922">
        <v>0</v>
      </c>
      <c r="FZ922">
        <v>0</v>
      </c>
      <c r="GA922">
        <v>0</v>
      </c>
      <c r="GB922">
        <v>0</v>
      </c>
      <c r="GC922">
        <v>0</v>
      </c>
      <c r="GD922">
        <v>0</v>
      </c>
      <c r="GE922">
        <v>0</v>
      </c>
      <c r="GF922">
        <v>198.3</v>
      </c>
      <c r="GG922">
        <v>1054.4000000000001</v>
      </c>
      <c r="GH922">
        <v>552.79999999999995</v>
      </c>
      <c r="GI922">
        <v>522</v>
      </c>
      <c r="GJ922">
        <v>0</v>
      </c>
      <c r="GK922">
        <v>0</v>
      </c>
      <c r="GL922">
        <v>0</v>
      </c>
      <c r="GM922">
        <v>0</v>
      </c>
      <c r="GN922">
        <v>791.40000000000009</v>
      </c>
      <c r="GO922">
        <v>1816.5</v>
      </c>
      <c r="GP922">
        <v>0</v>
      </c>
      <c r="GQ922">
        <v>0</v>
      </c>
      <c r="GR922">
        <v>0</v>
      </c>
      <c r="GS922">
        <v>0</v>
      </c>
      <c r="GT922">
        <v>0</v>
      </c>
      <c r="GU922">
        <v>0</v>
      </c>
      <c r="GV922">
        <v>0</v>
      </c>
      <c r="GW922">
        <v>0</v>
      </c>
      <c r="GX922">
        <v>0</v>
      </c>
      <c r="GY922">
        <v>840.3</v>
      </c>
      <c r="GZ922">
        <v>0</v>
      </c>
      <c r="HA922">
        <v>0</v>
      </c>
      <c r="HB922">
        <v>0</v>
      </c>
      <c r="HC922">
        <v>380.4</v>
      </c>
      <c r="HD922">
        <v>2175.5</v>
      </c>
      <c r="HE922">
        <v>0</v>
      </c>
      <c r="HF922">
        <v>0</v>
      </c>
      <c r="HG922">
        <v>0</v>
      </c>
      <c r="HH922">
        <v>0</v>
      </c>
      <c r="HI922">
        <v>0</v>
      </c>
      <c r="HJ922">
        <v>803.40000000000009</v>
      </c>
      <c r="HK922">
        <v>1270.9000000000001</v>
      </c>
      <c r="HL922">
        <v>835.7</v>
      </c>
      <c r="HM922">
        <v>1162.5999999999999</v>
      </c>
      <c r="HN922">
        <v>0</v>
      </c>
      <c r="HO922">
        <v>0</v>
      </c>
      <c r="HP922">
        <v>0</v>
      </c>
      <c r="HQ922">
        <v>0</v>
      </c>
      <c r="HR922">
        <v>161.19999999999999</v>
      </c>
      <c r="HS922">
        <v>0</v>
      </c>
      <c r="HT922">
        <v>2048.5</v>
      </c>
      <c r="HU922">
        <v>2627.5</v>
      </c>
      <c r="HV922">
        <v>1168.5999999999999</v>
      </c>
      <c r="HW922">
        <v>388</v>
      </c>
      <c r="HX922">
        <v>0</v>
      </c>
      <c r="HY922">
        <v>0</v>
      </c>
      <c r="HZ922">
        <v>0</v>
      </c>
      <c r="IA922">
        <v>0</v>
      </c>
      <c r="IB922">
        <v>0</v>
      </c>
      <c r="IC922">
        <v>594.4</v>
      </c>
      <c r="ID922">
        <v>427.4</v>
      </c>
      <c r="IE922">
        <v>713.3</v>
      </c>
      <c r="IF922">
        <v>626.1</v>
      </c>
      <c r="IG922">
        <v>0</v>
      </c>
      <c r="IH922">
        <v>0</v>
      </c>
      <c r="II922">
        <v>995.7</v>
      </c>
      <c r="IJ922">
        <v>1156.5999999999999</v>
      </c>
      <c r="IK922">
        <v>864.6</v>
      </c>
      <c r="IL922">
        <v>316.5</v>
      </c>
      <c r="IM922">
        <v>101.5</v>
      </c>
      <c r="IN922">
        <v>71.8</v>
      </c>
      <c r="IO922">
        <v>0</v>
      </c>
      <c r="IP922">
        <v>0</v>
      </c>
      <c r="IQ922">
        <v>0</v>
      </c>
      <c r="IR922">
        <v>0</v>
      </c>
      <c r="IS922">
        <v>0</v>
      </c>
      <c r="IT922">
        <v>0</v>
      </c>
      <c r="IU922">
        <v>0</v>
      </c>
      <c r="IV922">
        <v>0</v>
      </c>
      <c r="IW922">
        <v>68</v>
      </c>
      <c r="IX922">
        <v>404.7</v>
      </c>
      <c r="IY922">
        <v>126.6</v>
      </c>
      <c r="IZ922">
        <v>126.6</v>
      </c>
      <c r="JA922">
        <v>503.7</v>
      </c>
      <c r="JB922">
        <v>570.1</v>
      </c>
      <c r="JC922">
        <v>328.3</v>
      </c>
      <c r="JD922">
        <v>0</v>
      </c>
      <c r="JE922">
        <v>0</v>
      </c>
      <c r="JF922">
        <v>0</v>
      </c>
      <c r="JG922">
        <v>0</v>
      </c>
      <c r="JH922">
        <v>287.3</v>
      </c>
      <c r="JI922">
        <v>68.2</v>
      </c>
      <c r="JJ922">
        <v>0</v>
      </c>
      <c r="JK922">
        <v>148.6</v>
      </c>
      <c r="JL922">
        <v>0</v>
      </c>
      <c r="JM922">
        <v>0</v>
      </c>
      <c r="JN922">
        <v>204.5</v>
      </c>
      <c r="JO922">
        <v>292.10000000000002</v>
      </c>
      <c r="JP922">
        <v>670.8</v>
      </c>
      <c r="JQ922">
        <v>745.2</v>
      </c>
      <c r="JR922">
        <v>242.9</v>
      </c>
    </row>
    <row r="923" spans="2:278" ht="18" thickBot="1">
      <c r="B923" s="522" t="s">
        <v>1293</v>
      </c>
      <c r="C923" s="541" t="s">
        <v>1595</v>
      </c>
      <c r="D923" s="529" t="s">
        <v>1453</v>
      </c>
      <c r="E923" s="454">
        <v>22829.8</v>
      </c>
      <c r="F923">
        <v>20193.400000000001</v>
      </c>
      <c r="G923" s="427">
        <v>0</v>
      </c>
      <c r="H923" s="155">
        <v>0</v>
      </c>
      <c r="I923">
        <v>0</v>
      </c>
      <c r="J923">
        <v>0</v>
      </c>
      <c r="K923">
        <v>0</v>
      </c>
      <c r="L923" s="4">
        <v>0</v>
      </c>
      <c r="M923" s="4">
        <v>0</v>
      </c>
      <c r="N923" s="4">
        <v>0</v>
      </c>
      <c r="O923" s="4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1476.4</v>
      </c>
      <c r="X923">
        <v>1482</v>
      </c>
      <c r="Y923">
        <v>457.20000000000005</v>
      </c>
      <c r="Z923">
        <v>0</v>
      </c>
      <c r="AA923">
        <v>0</v>
      </c>
      <c r="AB923">
        <v>0</v>
      </c>
      <c r="AC923">
        <v>0</v>
      </c>
      <c r="AD923">
        <v>3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1828.6</v>
      </c>
      <c r="AK923">
        <v>1800.7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560.70000000000005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  <c r="CF923">
        <v>0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  <c r="CN923">
        <v>0</v>
      </c>
      <c r="CO923">
        <v>0</v>
      </c>
      <c r="CP923">
        <v>3.5</v>
      </c>
      <c r="CQ923">
        <v>0</v>
      </c>
      <c r="CR923">
        <v>528</v>
      </c>
      <c r="CS923">
        <v>581.79999999999995</v>
      </c>
      <c r="CT923">
        <v>555.40000000000009</v>
      </c>
      <c r="CU923">
        <v>737.4</v>
      </c>
      <c r="CV923">
        <v>1039.0999999999999</v>
      </c>
      <c r="CW923">
        <v>1667.3</v>
      </c>
      <c r="CX923">
        <v>877.6</v>
      </c>
      <c r="CY923">
        <v>910.40000000000009</v>
      </c>
      <c r="CZ923">
        <v>0</v>
      </c>
      <c r="DA923">
        <v>0</v>
      </c>
      <c r="DB923">
        <v>0</v>
      </c>
      <c r="DC923">
        <v>0</v>
      </c>
      <c r="DD923">
        <v>0</v>
      </c>
      <c r="DE923">
        <v>0</v>
      </c>
      <c r="DF923">
        <v>0</v>
      </c>
      <c r="DG923">
        <v>0</v>
      </c>
      <c r="DH923">
        <v>0</v>
      </c>
      <c r="DI923">
        <v>0</v>
      </c>
      <c r="DJ923">
        <v>0</v>
      </c>
      <c r="DK923">
        <v>0</v>
      </c>
      <c r="DL923">
        <v>995.5</v>
      </c>
      <c r="DM923">
        <v>712.7</v>
      </c>
      <c r="DN923">
        <v>0</v>
      </c>
      <c r="DO923">
        <v>0</v>
      </c>
      <c r="DP923">
        <v>0</v>
      </c>
      <c r="DQ923">
        <v>0</v>
      </c>
      <c r="DR923">
        <v>0</v>
      </c>
      <c r="DS923">
        <v>0</v>
      </c>
      <c r="DT923">
        <v>0</v>
      </c>
      <c r="DU923">
        <v>0</v>
      </c>
      <c r="DV923">
        <v>0</v>
      </c>
      <c r="DW923">
        <v>0</v>
      </c>
      <c r="DX923">
        <v>0</v>
      </c>
      <c r="DY923">
        <v>0</v>
      </c>
      <c r="DZ923">
        <v>0</v>
      </c>
      <c r="EA923">
        <v>0</v>
      </c>
      <c r="EB923">
        <v>0</v>
      </c>
      <c r="EC923">
        <v>0</v>
      </c>
      <c r="ED923">
        <v>0</v>
      </c>
      <c r="EE923">
        <v>0</v>
      </c>
      <c r="EF923">
        <v>0</v>
      </c>
      <c r="EG923">
        <v>0</v>
      </c>
      <c r="EH923">
        <v>0</v>
      </c>
      <c r="EI923">
        <v>0</v>
      </c>
      <c r="EJ923">
        <v>0</v>
      </c>
      <c r="EK923">
        <v>0</v>
      </c>
      <c r="EL923">
        <v>0</v>
      </c>
      <c r="EM923">
        <v>0</v>
      </c>
      <c r="EN923">
        <v>27.4</v>
      </c>
      <c r="EO923">
        <v>0</v>
      </c>
      <c r="EP923">
        <v>1002.5</v>
      </c>
      <c r="EQ923">
        <v>0</v>
      </c>
      <c r="ER923">
        <v>494</v>
      </c>
      <c r="ES923">
        <v>0</v>
      </c>
      <c r="ET923">
        <v>699.3</v>
      </c>
      <c r="EU923">
        <v>435.4</v>
      </c>
      <c r="EV923">
        <v>0</v>
      </c>
      <c r="EW923">
        <v>0</v>
      </c>
      <c r="EX923">
        <v>0</v>
      </c>
      <c r="EY923">
        <v>0</v>
      </c>
      <c r="EZ923">
        <v>0</v>
      </c>
      <c r="FA923">
        <v>0</v>
      </c>
      <c r="FB923">
        <v>0</v>
      </c>
      <c r="FC923">
        <v>0</v>
      </c>
      <c r="FD923">
        <v>95.6</v>
      </c>
      <c r="FE923">
        <v>1792.1</v>
      </c>
      <c r="FF923">
        <v>1740.1999999999998</v>
      </c>
      <c r="FG923">
        <v>954.9</v>
      </c>
      <c r="FH923">
        <v>1087.8000000000002</v>
      </c>
      <c r="FI923">
        <v>1892.1</v>
      </c>
      <c r="FJ923">
        <v>1222.5</v>
      </c>
      <c r="FK923">
        <v>678.3</v>
      </c>
      <c r="FL923">
        <v>639.1</v>
      </c>
      <c r="FM923">
        <v>520.5</v>
      </c>
      <c r="FN923">
        <v>123.8</v>
      </c>
      <c r="FO923">
        <v>181.6</v>
      </c>
      <c r="FP923">
        <v>1090.5</v>
      </c>
      <c r="FQ923">
        <v>0</v>
      </c>
      <c r="FR923">
        <v>0</v>
      </c>
      <c r="FS923">
        <v>0</v>
      </c>
      <c r="FT923">
        <v>0</v>
      </c>
      <c r="FU923">
        <v>0</v>
      </c>
      <c r="FV923">
        <v>0</v>
      </c>
      <c r="FW923">
        <v>0</v>
      </c>
      <c r="FX923">
        <v>0</v>
      </c>
      <c r="FY923">
        <v>0</v>
      </c>
      <c r="FZ923">
        <v>0</v>
      </c>
      <c r="GA923">
        <v>0</v>
      </c>
      <c r="GB923">
        <v>0</v>
      </c>
      <c r="GC923">
        <v>0</v>
      </c>
      <c r="GD923">
        <v>0</v>
      </c>
      <c r="GE923">
        <v>0</v>
      </c>
      <c r="GF923">
        <v>198.3</v>
      </c>
      <c r="GG923">
        <v>1054.4000000000001</v>
      </c>
      <c r="GH923">
        <v>552.79999999999995</v>
      </c>
      <c r="GI923">
        <v>522</v>
      </c>
      <c r="GJ923">
        <v>0</v>
      </c>
      <c r="GK923">
        <v>0</v>
      </c>
      <c r="GL923">
        <v>0</v>
      </c>
      <c r="GM923">
        <v>0</v>
      </c>
      <c r="GN923">
        <v>791.40000000000009</v>
      </c>
      <c r="GO923">
        <v>1816.5</v>
      </c>
      <c r="GP923">
        <v>0</v>
      </c>
      <c r="GQ923">
        <v>0</v>
      </c>
      <c r="GR923">
        <v>0</v>
      </c>
      <c r="GS923">
        <v>0</v>
      </c>
      <c r="GT923">
        <v>0</v>
      </c>
      <c r="GU923">
        <v>0</v>
      </c>
      <c r="GV923">
        <v>0</v>
      </c>
      <c r="GW923">
        <v>0</v>
      </c>
      <c r="GX923">
        <v>0</v>
      </c>
      <c r="GY923">
        <v>840.3</v>
      </c>
      <c r="GZ923">
        <v>0</v>
      </c>
      <c r="HA923">
        <v>0</v>
      </c>
      <c r="HB923">
        <v>0</v>
      </c>
      <c r="HC923">
        <v>380.4</v>
      </c>
      <c r="HD923">
        <v>2175.5</v>
      </c>
      <c r="HE923">
        <v>0</v>
      </c>
      <c r="HF923">
        <v>0</v>
      </c>
      <c r="HG923">
        <v>0</v>
      </c>
      <c r="HH923">
        <v>0</v>
      </c>
      <c r="HI923">
        <v>0</v>
      </c>
      <c r="HJ923">
        <v>803.40000000000009</v>
      </c>
      <c r="HK923">
        <v>1270.9000000000001</v>
      </c>
      <c r="HL923">
        <v>835.7</v>
      </c>
      <c r="HM923">
        <v>1162.5999999999999</v>
      </c>
      <c r="HN923">
        <v>0</v>
      </c>
      <c r="HO923">
        <v>0</v>
      </c>
      <c r="HP923">
        <v>0</v>
      </c>
      <c r="HQ923">
        <v>0</v>
      </c>
      <c r="HR923">
        <v>161.19999999999999</v>
      </c>
      <c r="HS923">
        <v>0</v>
      </c>
      <c r="HT923">
        <v>2048.5</v>
      </c>
      <c r="HU923">
        <v>2627.5</v>
      </c>
      <c r="HV923">
        <v>1168.5999999999999</v>
      </c>
      <c r="HW923">
        <v>388</v>
      </c>
      <c r="HX923">
        <v>0</v>
      </c>
      <c r="HY923">
        <v>0</v>
      </c>
      <c r="HZ923">
        <v>0</v>
      </c>
      <c r="IA923">
        <v>0</v>
      </c>
      <c r="IB923">
        <v>0</v>
      </c>
      <c r="IC923">
        <v>594.4</v>
      </c>
      <c r="ID923">
        <v>427.4</v>
      </c>
      <c r="IE923">
        <v>713.3</v>
      </c>
      <c r="IF923">
        <v>626.1</v>
      </c>
      <c r="IG923">
        <v>0</v>
      </c>
      <c r="IH923">
        <v>0</v>
      </c>
      <c r="II923">
        <v>995.7</v>
      </c>
      <c r="IJ923">
        <v>1156.5999999999999</v>
      </c>
      <c r="IK923">
        <v>864.6</v>
      </c>
      <c r="IL923">
        <v>316.5</v>
      </c>
      <c r="IM923">
        <v>101.5</v>
      </c>
      <c r="IN923">
        <v>71.8</v>
      </c>
      <c r="IO923">
        <v>0</v>
      </c>
      <c r="IP923">
        <v>0</v>
      </c>
      <c r="IQ923">
        <v>0</v>
      </c>
      <c r="IR923">
        <v>0</v>
      </c>
      <c r="IS923">
        <v>0</v>
      </c>
      <c r="IT923">
        <v>0</v>
      </c>
      <c r="IU923">
        <v>0</v>
      </c>
      <c r="IV923">
        <v>0</v>
      </c>
      <c r="IW923">
        <v>68</v>
      </c>
      <c r="IX923">
        <v>404.7</v>
      </c>
      <c r="IY923">
        <v>126.6</v>
      </c>
      <c r="IZ923">
        <v>126.6</v>
      </c>
      <c r="JA923">
        <v>503.7</v>
      </c>
      <c r="JB923">
        <v>570.1</v>
      </c>
      <c r="JC923">
        <v>328.3</v>
      </c>
      <c r="JD923">
        <v>0</v>
      </c>
      <c r="JE923">
        <v>0</v>
      </c>
      <c r="JF923">
        <v>0</v>
      </c>
      <c r="JG923">
        <v>0</v>
      </c>
      <c r="JH923">
        <v>287.3</v>
      </c>
      <c r="JI923">
        <v>68.2</v>
      </c>
      <c r="JJ923">
        <v>0</v>
      </c>
      <c r="JK923">
        <v>148.6</v>
      </c>
      <c r="JL923">
        <v>0</v>
      </c>
      <c r="JM923">
        <v>0</v>
      </c>
      <c r="JN923">
        <v>204.5</v>
      </c>
      <c r="JO923">
        <v>292.10000000000002</v>
      </c>
      <c r="JP923">
        <v>670.8</v>
      </c>
      <c r="JQ923">
        <v>745.2</v>
      </c>
      <c r="JR923">
        <v>242.9</v>
      </c>
    </row>
    <row r="924" spans="2:278" ht="18" thickBot="1">
      <c r="B924" s="523"/>
      <c r="C924" s="542"/>
      <c r="D924" s="530"/>
      <c r="E924" s="454">
        <v>22829.8</v>
      </c>
      <c r="F924">
        <v>20193.400000000001</v>
      </c>
      <c r="G924" s="427">
        <v>0</v>
      </c>
      <c r="H924" s="155">
        <v>0</v>
      </c>
      <c r="I924">
        <v>0</v>
      </c>
      <c r="J924">
        <v>0</v>
      </c>
      <c r="K924">
        <v>0</v>
      </c>
      <c r="L924" s="4">
        <v>0</v>
      </c>
      <c r="M924" s="4">
        <v>0</v>
      </c>
      <c r="N924" s="4">
        <v>0</v>
      </c>
      <c r="O924" s="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1476.4</v>
      </c>
      <c r="X924">
        <v>1482</v>
      </c>
      <c r="Y924">
        <v>457.20000000000005</v>
      </c>
      <c r="Z924">
        <v>0</v>
      </c>
      <c r="AA924">
        <v>0</v>
      </c>
      <c r="AB924">
        <v>0</v>
      </c>
      <c r="AC924">
        <v>0</v>
      </c>
      <c r="AD924">
        <v>3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1828.6</v>
      </c>
      <c r="AK924">
        <v>1800.7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560.70000000000005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  <c r="CF924">
        <v>0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  <c r="CN924">
        <v>0</v>
      </c>
      <c r="CO924">
        <v>0</v>
      </c>
      <c r="CP924">
        <v>3.5</v>
      </c>
      <c r="CQ924">
        <v>0</v>
      </c>
      <c r="CR924">
        <v>528</v>
      </c>
      <c r="CS924">
        <v>581.79999999999995</v>
      </c>
      <c r="CT924">
        <v>555.40000000000009</v>
      </c>
      <c r="CU924">
        <v>737.4</v>
      </c>
      <c r="CV924">
        <v>1039.0999999999999</v>
      </c>
      <c r="CW924">
        <v>1667.3</v>
      </c>
      <c r="CX924">
        <v>877.6</v>
      </c>
      <c r="CY924">
        <v>910.40000000000009</v>
      </c>
      <c r="CZ924">
        <v>0</v>
      </c>
      <c r="DA924">
        <v>0</v>
      </c>
      <c r="DB924">
        <v>0</v>
      </c>
      <c r="DC924">
        <v>0</v>
      </c>
      <c r="DD924">
        <v>0</v>
      </c>
      <c r="DE924">
        <v>0</v>
      </c>
      <c r="DF924">
        <v>0</v>
      </c>
      <c r="DG924">
        <v>0</v>
      </c>
      <c r="DH924">
        <v>0</v>
      </c>
      <c r="DI924">
        <v>0</v>
      </c>
      <c r="DJ924">
        <v>0</v>
      </c>
      <c r="DK924">
        <v>0</v>
      </c>
      <c r="DL924">
        <v>995.5</v>
      </c>
      <c r="DM924">
        <v>712.7</v>
      </c>
      <c r="DN924">
        <v>0</v>
      </c>
      <c r="DO924">
        <v>0</v>
      </c>
      <c r="DP924">
        <v>0</v>
      </c>
      <c r="DQ924">
        <v>0</v>
      </c>
      <c r="DR924">
        <v>0</v>
      </c>
      <c r="DS924">
        <v>0</v>
      </c>
      <c r="DT924">
        <v>0</v>
      </c>
      <c r="DU924">
        <v>0</v>
      </c>
      <c r="DV924">
        <v>0</v>
      </c>
      <c r="DW924">
        <v>0</v>
      </c>
      <c r="DX924">
        <v>0</v>
      </c>
      <c r="DY924">
        <v>0</v>
      </c>
      <c r="DZ924">
        <v>0</v>
      </c>
      <c r="EA924">
        <v>0</v>
      </c>
      <c r="EB924">
        <v>0</v>
      </c>
      <c r="EC924">
        <v>0</v>
      </c>
      <c r="ED924">
        <v>0</v>
      </c>
      <c r="EE924">
        <v>0</v>
      </c>
      <c r="EF924">
        <v>0</v>
      </c>
      <c r="EG924">
        <v>0</v>
      </c>
      <c r="EH924">
        <v>0</v>
      </c>
      <c r="EI924">
        <v>0</v>
      </c>
      <c r="EJ924">
        <v>0</v>
      </c>
      <c r="EK924">
        <v>0</v>
      </c>
      <c r="EL924">
        <v>0</v>
      </c>
      <c r="EM924">
        <v>0</v>
      </c>
      <c r="EN924">
        <v>27.4</v>
      </c>
      <c r="EO924">
        <v>0</v>
      </c>
      <c r="EP924">
        <v>1002.5</v>
      </c>
      <c r="EQ924">
        <v>0</v>
      </c>
      <c r="ER924">
        <v>494</v>
      </c>
      <c r="ES924">
        <v>0</v>
      </c>
      <c r="ET924">
        <v>699.3</v>
      </c>
      <c r="EU924">
        <v>435.4</v>
      </c>
      <c r="EV924">
        <v>0</v>
      </c>
      <c r="EW924">
        <v>0</v>
      </c>
      <c r="EX924">
        <v>0</v>
      </c>
      <c r="EY924">
        <v>0</v>
      </c>
      <c r="EZ924">
        <v>0</v>
      </c>
      <c r="FA924">
        <v>0</v>
      </c>
      <c r="FB924">
        <v>0</v>
      </c>
      <c r="FC924">
        <v>0</v>
      </c>
      <c r="FD924">
        <v>95.6</v>
      </c>
      <c r="FE924">
        <v>1792.1</v>
      </c>
      <c r="FF924">
        <v>1740.1999999999998</v>
      </c>
      <c r="FG924">
        <v>954.9</v>
      </c>
      <c r="FH924">
        <v>1087.8000000000002</v>
      </c>
      <c r="FI924">
        <v>1892.1</v>
      </c>
      <c r="FJ924">
        <v>1222.5</v>
      </c>
      <c r="FK924">
        <v>678.3</v>
      </c>
      <c r="FL924">
        <v>639.1</v>
      </c>
      <c r="FM924">
        <v>520.5</v>
      </c>
      <c r="FN924">
        <v>123.8</v>
      </c>
      <c r="FO924">
        <v>181.6</v>
      </c>
      <c r="FP924">
        <v>1090.5</v>
      </c>
      <c r="FQ924">
        <v>0</v>
      </c>
      <c r="FR924">
        <v>0</v>
      </c>
      <c r="FS924">
        <v>0</v>
      </c>
      <c r="FT924">
        <v>0</v>
      </c>
      <c r="FU924">
        <v>0</v>
      </c>
      <c r="FV924">
        <v>0</v>
      </c>
      <c r="FW924">
        <v>0</v>
      </c>
      <c r="FX924">
        <v>0</v>
      </c>
      <c r="FY924">
        <v>0</v>
      </c>
      <c r="FZ924">
        <v>0</v>
      </c>
      <c r="GA924">
        <v>0</v>
      </c>
      <c r="GB924">
        <v>0</v>
      </c>
      <c r="GC924">
        <v>0</v>
      </c>
      <c r="GD924">
        <v>0</v>
      </c>
      <c r="GE924">
        <v>0</v>
      </c>
      <c r="GF924">
        <v>198.3</v>
      </c>
      <c r="GG924">
        <v>1054.4000000000001</v>
      </c>
      <c r="GH924">
        <v>552.79999999999995</v>
      </c>
      <c r="GI924">
        <v>522</v>
      </c>
      <c r="GJ924">
        <v>0</v>
      </c>
      <c r="GK924">
        <v>0</v>
      </c>
      <c r="GL924">
        <v>0</v>
      </c>
      <c r="GM924">
        <v>0</v>
      </c>
      <c r="GN924">
        <v>791.40000000000009</v>
      </c>
      <c r="GO924">
        <v>1816.5</v>
      </c>
      <c r="GP924">
        <v>0</v>
      </c>
      <c r="GQ924">
        <v>0</v>
      </c>
      <c r="GR924">
        <v>0</v>
      </c>
      <c r="GS924">
        <v>0</v>
      </c>
      <c r="GT924">
        <v>0</v>
      </c>
      <c r="GU924">
        <v>0</v>
      </c>
      <c r="GV924">
        <v>0</v>
      </c>
      <c r="GW924">
        <v>0</v>
      </c>
      <c r="GX924">
        <v>0</v>
      </c>
      <c r="GY924">
        <v>840.3</v>
      </c>
      <c r="GZ924">
        <v>0</v>
      </c>
      <c r="HA924">
        <v>0</v>
      </c>
      <c r="HB924">
        <v>0</v>
      </c>
      <c r="HC924">
        <v>380.4</v>
      </c>
      <c r="HD924">
        <v>2175.5</v>
      </c>
      <c r="HE924">
        <v>0</v>
      </c>
      <c r="HF924">
        <v>0</v>
      </c>
      <c r="HG924">
        <v>0</v>
      </c>
      <c r="HH924">
        <v>0</v>
      </c>
      <c r="HI924">
        <v>0</v>
      </c>
      <c r="HJ924">
        <v>803.40000000000009</v>
      </c>
      <c r="HK924">
        <v>1270.9000000000001</v>
      </c>
      <c r="HL924">
        <v>835.7</v>
      </c>
      <c r="HM924">
        <v>1162.5999999999999</v>
      </c>
      <c r="HN924">
        <v>0</v>
      </c>
      <c r="HO924">
        <v>0</v>
      </c>
      <c r="HP924">
        <v>0</v>
      </c>
      <c r="HQ924">
        <v>0</v>
      </c>
      <c r="HR924">
        <v>161.19999999999999</v>
      </c>
      <c r="HS924">
        <v>0</v>
      </c>
      <c r="HT924">
        <v>2048.5</v>
      </c>
      <c r="HU924">
        <v>2627.5</v>
      </c>
      <c r="HV924">
        <v>1168.5999999999999</v>
      </c>
      <c r="HW924">
        <v>388</v>
      </c>
      <c r="HX924">
        <v>0</v>
      </c>
      <c r="HY924">
        <v>0</v>
      </c>
      <c r="HZ924">
        <v>0</v>
      </c>
      <c r="IA924">
        <v>0</v>
      </c>
      <c r="IB924">
        <v>0</v>
      </c>
      <c r="IC924">
        <v>594.4</v>
      </c>
      <c r="ID924">
        <v>427.4</v>
      </c>
      <c r="IE924">
        <v>713.3</v>
      </c>
      <c r="IF924">
        <v>626.1</v>
      </c>
      <c r="IG924">
        <v>0</v>
      </c>
      <c r="IH924">
        <v>0</v>
      </c>
      <c r="II924">
        <v>995.7</v>
      </c>
      <c r="IJ924">
        <v>1156.5999999999999</v>
      </c>
      <c r="IK924">
        <v>864.6</v>
      </c>
      <c r="IL924">
        <v>316.5</v>
      </c>
      <c r="IM924">
        <v>101.5</v>
      </c>
      <c r="IN924">
        <v>71.8</v>
      </c>
      <c r="IO924">
        <v>0</v>
      </c>
      <c r="IP924">
        <v>0</v>
      </c>
      <c r="IQ924">
        <v>0</v>
      </c>
      <c r="IR924">
        <v>0</v>
      </c>
      <c r="IS924">
        <v>0</v>
      </c>
      <c r="IT924">
        <v>0</v>
      </c>
      <c r="IU924">
        <v>0</v>
      </c>
      <c r="IV924">
        <v>0</v>
      </c>
      <c r="IW924">
        <v>68</v>
      </c>
      <c r="IX924">
        <v>404.7</v>
      </c>
      <c r="IY924">
        <v>126.6</v>
      </c>
      <c r="IZ924">
        <v>126.6</v>
      </c>
      <c r="JA924">
        <v>503.7</v>
      </c>
      <c r="JB924">
        <v>570.1</v>
      </c>
      <c r="JC924">
        <v>328.3</v>
      </c>
      <c r="JD924">
        <v>0</v>
      </c>
      <c r="JE924">
        <v>0</v>
      </c>
      <c r="JF924">
        <v>0</v>
      </c>
      <c r="JG924">
        <v>0</v>
      </c>
      <c r="JH924">
        <v>287.3</v>
      </c>
      <c r="JI924">
        <v>68.2</v>
      </c>
      <c r="JJ924">
        <v>0</v>
      </c>
      <c r="JK924">
        <v>148.6</v>
      </c>
      <c r="JL924">
        <v>0</v>
      </c>
      <c r="JM924">
        <v>0</v>
      </c>
      <c r="JN924">
        <v>204.5</v>
      </c>
      <c r="JO924">
        <v>292.10000000000002</v>
      </c>
      <c r="JP924">
        <v>670.8</v>
      </c>
      <c r="JQ924">
        <v>745.2</v>
      </c>
      <c r="JR924">
        <v>242.9</v>
      </c>
    </row>
    <row r="925" spans="2:278" ht="18" thickBot="1">
      <c r="B925" s="368"/>
      <c r="C925" s="373" t="s">
        <v>1596</v>
      </c>
      <c r="D925" s="373"/>
      <c r="E925" s="454">
        <v>22829.8</v>
      </c>
      <c r="F925">
        <v>20193.400000000001</v>
      </c>
      <c r="G925" s="427">
        <v>0</v>
      </c>
      <c r="H925" s="155">
        <v>0</v>
      </c>
      <c r="I925">
        <v>0</v>
      </c>
      <c r="J925">
        <v>0</v>
      </c>
      <c r="K925">
        <v>0</v>
      </c>
      <c r="L925" s="4">
        <v>0</v>
      </c>
      <c r="M925" s="4">
        <v>0</v>
      </c>
      <c r="N925" s="4">
        <v>0</v>
      </c>
      <c r="O925" s="4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1476.4</v>
      </c>
      <c r="X925">
        <v>1482</v>
      </c>
      <c r="Y925">
        <v>457.20000000000005</v>
      </c>
      <c r="Z925">
        <v>0</v>
      </c>
      <c r="AA925">
        <v>0</v>
      </c>
      <c r="AB925">
        <v>0</v>
      </c>
      <c r="AC925">
        <v>0</v>
      </c>
      <c r="AD925">
        <v>3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1828.6</v>
      </c>
      <c r="AK925">
        <v>1800.7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560.70000000000005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  <c r="CF925">
        <v>0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  <c r="CN925">
        <v>0</v>
      </c>
      <c r="CO925">
        <v>0</v>
      </c>
      <c r="CP925">
        <v>3.5</v>
      </c>
      <c r="CQ925">
        <v>0</v>
      </c>
      <c r="CR925">
        <v>528</v>
      </c>
      <c r="CS925">
        <v>581.79999999999995</v>
      </c>
      <c r="CT925">
        <v>555.40000000000009</v>
      </c>
      <c r="CU925">
        <v>737.4</v>
      </c>
      <c r="CV925">
        <v>1039.0999999999999</v>
      </c>
      <c r="CW925">
        <v>1667.3</v>
      </c>
      <c r="CX925">
        <v>877.6</v>
      </c>
      <c r="CY925">
        <v>910.40000000000009</v>
      </c>
      <c r="CZ925">
        <v>0</v>
      </c>
      <c r="DA925">
        <v>0</v>
      </c>
      <c r="DB925">
        <v>0</v>
      </c>
      <c r="DC925">
        <v>0</v>
      </c>
      <c r="DD925">
        <v>0</v>
      </c>
      <c r="DE925">
        <v>0</v>
      </c>
      <c r="DF925">
        <v>0</v>
      </c>
      <c r="DG925">
        <v>0</v>
      </c>
      <c r="DH925">
        <v>0</v>
      </c>
      <c r="DI925">
        <v>0</v>
      </c>
      <c r="DJ925">
        <v>0</v>
      </c>
      <c r="DK925">
        <v>0</v>
      </c>
      <c r="DL925">
        <v>995.5</v>
      </c>
      <c r="DM925">
        <v>712.7</v>
      </c>
      <c r="DN925">
        <v>0</v>
      </c>
      <c r="DO925">
        <v>0</v>
      </c>
      <c r="DP925">
        <v>0</v>
      </c>
      <c r="DQ925">
        <v>0</v>
      </c>
      <c r="DR925">
        <v>0</v>
      </c>
      <c r="DS925">
        <v>0</v>
      </c>
      <c r="DT925">
        <v>0</v>
      </c>
      <c r="DU925">
        <v>0</v>
      </c>
      <c r="DV925">
        <v>0</v>
      </c>
      <c r="DW925">
        <v>0</v>
      </c>
      <c r="DX925">
        <v>0</v>
      </c>
      <c r="DY925">
        <v>0</v>
      </c>
      <c r="DZ925">
        <v>0</v>
      </c>
      <c r="EA925">
        <v>0</v>
      </c>
      <c r="EB925">
        <v>0</v>
      </c>
      <c r="EC925">
        <v>0</v>
      </c>
      <c r="ED925">
        <v>0</v>
      </c>
      <c r="EE925">
        <v>0</v>
      </c>
      <c r="EF925">
        <v>0</v>
      </c>
      <c r="EG925">
        <v>0</v>
      </c>
      <c r="EH925">
        <v>0</v>
      </c>
      <c r="EI925">
        <v>0</v>
      </c>
      <c r="EJ925">
        <v>0</v>
      </c>
      <c r="EK925">
        <v>0</v>
      </c>
      <c r="EL925">
        <v>0</v>
      </c>
      <c r="EM925">
        <v>0</v>
      </c>
      <c r="EN925">
        <v>27.4</v>
      </c>
      <c r="EO925">
        <v>0</v>
      </c>
      <c r="EP925">
        <v>1002.5</v>
      </c>
      <c r="EQ925">
        <v>0</v>
      </c>
      <c r="ER925">
        <v>494</v>
      </c>
      <c r="ES925">
        <v>0</v>
      </c>
      <c r="ET925">
        <v>699.3</v>
      </c>
      <c r="EU925">
        <v>435.4</v>
      </c>
      <c r="EV925">
        <v>0</v>
      </c>
      <c r="EW925">
        <v>0</v>
      </c>
      <c r="EX925">
        <v>0</v>
      </c>
      <c r="EY925">
        <v>0</v>
      </c>
      <c r="EZ925">
        <v>0</v>
      </c>
      <c r="FA925">
        <v>0</v>
      </c>
      <c r="FB925">
        <v>0</v>
      </c>
      <c r="FC925">
        <v>0</v>
      </c>
      <c r="FD925">
        <v>95.6</v>
      </c>
      <c r="FE925">
        <v>1792.1</v>
      </c>
      <c r="FF925">
        <v>1740.1999999999998</v>
      </c>
      <c r="FG925">
        <v>954.9</v>
      </c>
      <c r="FH925">
        <v>1087.8000000000002</v>
      </c>
      <c r="FI925">
        <v>1892.1</v>
      </c>
      <c r="FJ925">
        <v>1222.5</v>
      </c>
      <c r="FK925">
        <v>678.3</v>
      </c>
      <c r="FL925">
        <v>639.1</v>
      </c>
      <c r="FM925">
        <v>520.5</v>
      </c>
      <c r="FN925">
        <v>123.8</v>
      </c>
      <c r="FO925">
        <v>181.6</v>
      </c>
      <c r="FP925">
        <v>1090.5</v>
      </c>
      <c r="FQ925">
        <v>0</v>
      </c>
      <c r="FR925">
        <v>0</v>
      </c>
      <c r="FS925">
        <v>0</v>
      </c>
      <c r="FT925">
        <v>0</v>
      </c>
      <c r="FU925">
        <v>0</v>
      </c>
      <c r="FV925">
        <v>0</v>
      </c>
      <c r="FW925">
        <v>0</v>
      </c>
      <c r="FX925">
        <v>0</v>
      </c>
      <c r="FY925">
        <v>0</v>
      </c>
      <c r="FZ925">
        <v>0</v>
      </c>
      <c r="GA925">
        <v>0</v>
      </c>
      <c r="GB925">
        <v>0</v>
      </c>
      <c r="GC925">
        <v>0</v>
      </c>
      <c r="GD925">
        <v>0</v>
      </c>
      <c r="GE925">
        <v>0</v>
      </c>
      <c r="GF925">
        <v>198.3</v>
      </c>
      <c r="GG925">
        <v>1054.4000000000001</v>
      </c>
      <c r="GH925">
        <v>552.79999999999995</v>
      </c>
      <c r="GI925">
        <v>522</v>
      </c>
      <c r="GJ925">
        <v>0</v>
      </c>
      <c r="GK925">
        <v>0</v>
      </c>
      <c r="GL925">
        <v>0</v>
      </c>
      <c r="GM925">
        <v>0</v>
      </c>
      <c r="GN925">
        <v>791.40000000000009</v>
      </c>
      <c r="GO925">
        <v>1816.5</v>
      </c>
      <c r="GP925">
        <v>0</v>
      </c>
      <c r="GQ925">
        <v>0</v>
      </c>
      <c r="GR925">
        <v>0</v>
      </c>
      <c r="GS925">
        <v>0</v>
      </c>
      <c r="GT925">
        <v>0</v>
      </c>
      <c r="GU925">
        <v>0</v>
      </c>
      <c r="GV925">
        <v>0</v>
      </c>
      <c r="GW925">
        <v>0</v>
      </c>
      <c r="GX925">
        <v>0</v>
      </c>
      <c r="GY925">
        <v>840.3</v>
      </c>
      <c r="GZ925">
        <v>0</v>
      </c>
      <c r="HA925">
        <v>0</v>
      </c>
      <c r="HB925">
        <v>0</v>
      </c>
      <c r="HC925">
        <v>380.4</v>
      </c>
      <c r="HD925">
        <v>2175.5</v>
      </c>
      <c r="HE925">
        <v>0</v>
      </c>
      <c r="HF925">
        <v>0</v>
      </c>
      <c r="HG925">
        <v>0</v>
      </c>
      <c r="HH925">
        <v>0</v>
      </c>
      <c r="HI925">
        <v>0</v>
      </c>
      <c r="HJ925">
        <v>803.40000000000009</v>
      </c>
      <c r="HK925">
        <v>1270.9000000000001</v>
      </c>
      <c r="HL925">
        <v>835.7</v>
      </c>
      <c r="HM925">
        <v>1162.5999999999999</v>
      </c>
      <c r="HN925">
        <v>0</v>
      </c>
      <c r="HO925">
        <v>0</v>
      </c>
      <c r="HP925">
        <v>0</v>
      </c>
      <c r="HQ925">
        <v>0</v>
      </c>
      <c r="HR925">
        <v>161.19999999999999</v>
      </c>
      <c r="HS925">
        <v>0</v>
      </c>
      <c r="HT925">
        <v>2048.5</v>
      </c>
      <c r="HU925">
        <v>2627.5</v>
      </c>
      <c r="HV925">
        <v>1168.5999999999999</v>
      </c>
      <c r="HW925">
        <v>388</v>
      </c>
      <c r="HX925">
        <v>0</v>
      </c>
      <c r="HY925">
        <v>0</v>
      </c>
      <c r="HZ925">
        <v>0</v>
      </c>
      <c r="IA925">
        <v>0</v>
      </c>
      <c r="IB925">
        <v>0</v>
      </c>
      <c r="IC925">
        <v>594.4</v>
      </c>
      <c r="ID925">
        <v>427.4</v>
      </c>
      <c r="IE925">
        <v>713.3</v>
      </c>
      <c r="IF925">
        <v>626.1</v>
      </c>
      <c r="IG925">
        <v>0</v>
      </c>
      <c r="IH925">
        <v>0</v>
      </c>
      <c r="II925">
        <v>995.7</v>
      </c>
      <c r="IJ925">
        <v>1156.5999999999999</v>
      </c>
      <c r="IK925">
        <v>864.6</v>
      </c>
      <c r="IL925">
        <v>316.5</v>
      </c>
      <c r="IM925">
        <v>101.5</v>
      </c>
      <c r="IN925">
        <v>71.8</v>
      </c>
      <c r="IO925">
        <v>0</v>
      </c>
      <c r="IP925">
        <v>0</v>
      </c>
      <c r="IQ925">
        <v>0</v>
      </c>
      <c r="IR925">
        <v>0</v>
      </c>
      <c r="IS925">
        <v>0</v>
      </c>
      <c r="IT925">
        <v>0</v>
      </c>
      <c r="IU925">
        <v>0</v>
      </c>
      <c r="IV925">
        <v>0</v>
      </c>
      <c r="IW925">
        <v>68</v>
      </c>
      <c r="IX925">
        <v>404.7</v>
      </c>
      <c r="IY925">
        <v>126.6</v>
      </c>
      <c r="IZ925">
        <v>126.6</v>
      </c>
      <c r="JA925">
        <v>503.7</v>
      </c>
      <c r="JB925">
        <v>570.1</v>
      </c>
      <c r="JC925">
        <v>328.3</v>
      </c>
      <c r="JD925">
        <v>0</v>
      </c>
      <c r="JE925">
        <v>0</v>
      </c>
      <c r="JF925">
        <v>0</v>
      </c>
      <c r="JG925">
        <v>0</v>
      </c>
      <c r="JH925">
        <v>287.3</v>
      </c>
      <c r="JI925">
        <v>68.2</v>
      </c>
      <c r="JJ925">
        <v>0</v>
      </c>
      <c r="JK925">
        <v>148.6</v>
      </c>
      <c r="JL925">
        <v>0</v>
      </c>
      <c r="JM925">
        <v>0</v>
      </c>
      <c r="JN925">
        <v>204.5</v>
      </c>
      <c r="JO925">
        <v>292.10000000000002</v>
      </c>
      <c r="JP925">
        <v>670.8</v>
      </c>
      <c r="JQ925">
        <v>745.2</v>
      </c>
      <c r="JR925">
        <v>242.9</v>
      </c>
    </row>
    <row r="926" spans="2:278" ht="18" thickBot="1">
      <c r="B926" s="368" t="s">
        <v>1294</v>
      </c>
      <c r="C926" s="411" t="s">
        <v>1597</v>
      </c>
      <c r="D926" s="368" t="s">
        <v>1454</v>
      </c>
      <c r="E926" s="454">
        <v>22829.8</v>
      </c>
      <c r="F926">
        <v>20193.400000000001</v>
      </c>
      <c r="G926" s="427">
        <v>0</v>
      </c>
      <c r="H926" s="155">
        <v>0</v>
      </c>
      <c r="I926">
        <v>0</v>
      </c>
      <c r="J926">
        <v>0</v>
      </c>
      <c r="K926">
        <v>0</v>
      </c>
      <c r="L926" s="4">
        <v>0</v>
      </c>
      <c r="M926" s="4">
        <v>0</v>
      </c>
      <c r="N926" s="4">
        <v>0</v>
      </c>
      <c r="O926" s="4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1476.4</v>
      </c>
      <c r="X926">
        <v>1482</v>
      </c>
      <c r="Y926">
        <v>457.20000000000005</v>
      </c>
      <c r="Z926">
        <v>0</v>
      </c>
      <c r="AA926">
        <v>0</v>
      </c>
      <c r="AB926">
        <v>0</v>
      </c>
      <c r="AC926">
        <v>0</v>
      </c>
      <c r="AD926">
        <v>3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1828.6</v>
      </c>
      <c r="AK926">
        <v>1800.7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560.70000000000005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  <c r="CF926">
        <v>0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  <c r="CN926">
        <v>0</v>
      </c>
      <c r="CO926">
        <v>0</v>
      </c>
      <c r="CP926">
        <v>3.5</v>
      </c>
      <c r="CQ926">
        <v>0</v>
      </c>
      <c r="CR926">
        <v>528</v>
      </c>
      <c r="CS926">
        <v>581.79999999999995</v>
      </c>
      <c r="CT926">
        <v>555.40000000000009</v>
      </c>
      <c r="CU926">
        <v>737.4</v>
      </c>
      <c r="CV926">
        <v>1039.0999999999999</v>
      </c>
      <c r="CW926">
        <v>1667.3</v>
      </c>
      <c r="CX926">
        <v>877.6</v>
      </c>
      <c r="CY926">
        <v>910.40000000000009</v>
      </c>
      <c r="CZ926">
        <v>0</v>
      </c>
      <c r="DA926">
        <v>0</v>
      </c>
      <c r="DB926">
        <v>0</v>
      </c>
      <c r="DC926">
        <v>0</v>
      </c>
      <c r="DD926">
        <v>0</v>
      </c>
      <c r="DE926">
        <v>0</v>
      </c>
      <c r="DF926">
        <v>0</v>
      </c>
      <c r="DG926">
        <v>0</v>
      </c>
      <c r="DH926">
        <v>0</v>
      </c>
      <c r="DI926">
        <v>0</v>
      </c>
      <c r="DJ926">
        <v>0</v>
      </c>
      <c r="DK926">
        <v>0</v>
      </c>
      <c r="DL926">
        <v>995.5</v>
      </c>
      <c r="DM926">
        <v>712.7</v>
      </c>
      <c r="DN926">
        <v>0</v>
      </c>
      <c r="DO926">
        <v>0</v>
      </c>
      <c r="DP926">
        <v>0</v>
      </c>
      <c r="DQ926">
        <v>0</v>
      </c>
      <c r="DR926">
        <v>0</v>
      </c>
      <c r="DS926">
        <v>0</v>
      </c>
      <c r="DT926">
        <v>0</v>
      </c>
      <c r="DU926">
        <v>0</v>
      </c>
      <c r="DV926">
        <v>0</v>
      </c>
      <c r="DW926">
        <v>0</v>
      </c>
      <c r="DX926">
        <v>0</v>
      </c>
      <c r="DY926">
        <v>0</v>
      </c>
      <c r="DZ926">
        <v>0</v>
      </c>
      <c r="EA926">
        <v>0</v>
      </c>
      <c r="EB926">
        <v>0</v>
      </c>
      <c r="EC926">
        <v>0</v>
      </c>
      <c r="ED926">
        <v>0</v>
      </c>
      <c r="EE926">
        <v>0</v>
      </c>
      <c r="EF926">
        <v>0</v>
      </c>
      <c r="EG926">
        <v>0</v>
      </c>
      <c r="EH926">
        <v>0</v>
      </c>
      <c r="EI926">
        <v>0</v>
      </c>
      <c r="EJ926">
        <v>0</v>
      </c>
      <c r="EK926">
        <v>0</v>
      </c>
      <c r="EL926">
        <v>0</v>
      </c>
      <c r="EM926">
        <v>0</v>
      </c>
      <c r="EN926">
        <v>27.4</v>
      </c>
      <c r="EO926">
        <v>0</v>
      </c>
      <c r="EP926">
        <v>1002.5</v>
      </c>
      <c r="EQ926">
        <v>0</v>
      </c>
      <c r="ER926">
        <v>494</v>
      </c>
      <c r="ES926">
        <v>0</v>
      </c>
      <c r="ET926">
        <v>699.3</v>
      </c>
      <c r="EU926">
        <v>435.4</v>
      </c>
      <c r="EV926">
        <v>0</v>
      </c>
      <c r="EW926">
        <v>0</v>
      </c>
      <c r="EX926">
        <v>0</v>
      </c>
      <c r="EY926">
        <v>0</v>
      </c>
      <c r="EZ926">
        <v>0</v>
      </c>
      <c r="FA926">
        <v>0</v>
      </c>
      <c r="FB926">
        <v>0</v>
      </c>
      <c r="FC926">
        <v>0</v>
      </c>
      <c r="FD926">
        <v>95.6</v>
      </c>
      <c r="FE926">
        <v>1792.1</v>
      </c>
      <c r="FF926">
        <v>1740.1999999999998</v>
      </c>
      <c r="FG926">
        <v>954.9</v>
      </c>
      <c r="FH926">
        <v>1087.8000000000002</v>
      </c>
      <c r="FI926">
        <v>1892.1</v>
      </c>
      <c r="FJ926">
        <v>1222.5</v>
      </c>
      <c r="FK926">
        <v>678.3</v>
      </c>
      <c r="FL926">
        <v>639.1</v>
      </c>
      <c r="FM926">
        <v>520.5</v>
      </c>
      <c r="FN926">
        <v>123.8</v>
      </c>
      <c r="FO926">
        <v>181.6</v>
      </c>
      <c r="FP926">
        <v>1090.5</v>
      </c>
      <c r="FQ926">
        <v>0</v>
      </c>
      <c r="FR926">
        <v>0</v>
      </c>
      <c r="FS926">
        <v>0</v>
      </c>
      <c r="FT926">
        <v>0</v>
      </c>
      <c r="FU926">
        <v>0</v>
      </c>
      <c r="FV926">
        <v>0</v>
      </c>
      <c r="FW926">
        <v>0</v>
      </c>
      <c r="FX926">
        <v>0</v>
      </c>
      <c r="FY926">
        <v>0</v>
      </c>
      <c r="FZ926">
        <v>0</v>
      </c>
      <c r="GA926">
        <v>0</v>
      </c>
      <c r="GB926">
        <v>0</v>
      </c>
      <c r="GC926">
        <v>0</v>
      </c>
      <c r="GD926">
        <v>0</v>
      </c>
      <c r="GE926">
        <v>0</v>
      </c>
      <c r="GF926">
        <v>198.3</v>
      </c>
      <c r="GG926">
        <v>1054.4000000000001</v>
      </c>
      <c r="GH926">
        <v>552.79999999999995</v>
      </c>
      <c r="GI926">
        <v>522</v>
      </c>
      <c r="GJ926">
        <v>0</v>
      </c>
      <c r="GK926">
        <v>0</v>
      </c>
      <c r="GL926">
        <v>0</v>
      </c>
      <c r="GM926">
        <v>0</v>
      </c>
      <c r="GN926">
        <v>791.40000000000009</v>
      </c>
      <c r="GO926">
        <v>1816.5</v>
      </c>
      <c r="GP926">
        <v>0</v>
      </c>
      <c r="GQ926">
        <v>0</v>
      </c>
      <c r="GR926">
        <v>0</v>
      </c>
      <c r="GS926">
        <v>0</v>
      </c>
      <c r="GT926">
        <v>0</v>
      </c>
      <c r="GU926">
        <v>0</v>
      </c>
      <c r="GV926">
        <v>0</v>
      </c>
      <c r="GW926">
        <v>0</v>
      </c>
      <c r="GX926">
        <v>0</v>
      </c>
      <c r="GY926">
        <v>840.3</v>
      </c>
      <c r="GZ926">
        <v>0</v>
      </c>
      <c r="HA926">
        <v>0</v>
      </c>
      <c r="HB926">
        <v>0</v>
      </c>
      <c r="HC926">
        <v>380.4</v>
      </c>
      <c r="HD926">
        <v>2175.5</v>
      </c>
      <c r="HE926">
        <v>0</v>
      </c>
      <c r="HF926">
        <v>0</v>
      </c>
      <c r="HG926">
        <v>0</v>
      </c>
      <c r="HH926">
        <v>0</v>
      </c>
      <c r="HI926">
        <v>0</v>
      </c>
      <c r="HJ926">
        <v>803.40000000000009</v>
      </c>
      <c r="HK926">
        <v>1270.9000000000001</v>
      </c>
      <c r="HL926">
        <v>835.7</v>
      </c>
      <c r="HM926">
        <v>1162.5999999999999</v>
      </c>
      <c r="HN926">
        <v>0</v>
      </c>
      <c r="HO926">
        <v>0</v>
      </c>
      <c r="HP926">
        <v>0</v>
      </c>
      <c r="HQ926">
        <v>0</v>
      </c>
      <c r="HR926">
        <v>161.19999999999999</v>
      </c>
      <c r="HS926">
        <v>0</v>
      </c>
      <c r="HT926">
        <v>2048.5</v>
      </c>
      <c r="HU926">
        <v>2627.5</v>
      </c>
      <c r="HV926">
        <v>1168.5999999999999</v>
      </c>
      <c r="HW926">
        <v>388</v>
      </c>
      <c r="HX926">
        <v>0</v>
      </c>
      <c r="HY926">
        <v>0</v>
      </c>
      <c r="HZ926">
        <v>0</v>
      </c>
      <c r="IA926">
        <v>0</v>
      </c>
      <c r="IB926">
        <v>0</v>
      </c>
      <c r="IC926">
        <v>594.4</v>
      </c>
      <c r="ID926">
        <v>427.4</v>
      </c>
      <c r="IE926">
        <v>713.3</v>
      </c>
      <c r="IF926">
        <v>626.1</v>
      </c>
      <c r="IG926">
        <v>0</v>
      </c>
      <c r="IH926">
        <v>0</v>
      </c>
      <c r="II926">
        <v>995.7</v>
      </c>
      <c r="IJ926">
        <v>1156.5999999999999</v>
      </c>
      <c r="IK926">
        <v>864.6</v>
      </c>
      <c r="IL926">
        <v>316.5</v>
      </c>
      <c r="IM926">
        <v>101.5</v>
      </c>
      <c r="IN926">
        <v>71.8</v>
      </c>
      <c r="IO926">
        <v>0</v>
      </c>
      <c r="IP926">
        <v>0</v>
      </c>
      <c r="IQ926">
        <v>0</v>
      </c>
      <c r="IR926">
        <v>0</v>
      </c>
      <c r="IS926">
        <v>0</v>
      </c>
      <c r="IT926">
        <v>0</v>
      </c>
      <c r="IU926">
        <v>0</v>
      </c>
      <c r="IV926">
        <v>0</v>
      </c>
      <c r="IW926">
        <v>68</v>
      </c>
      <c r="IX926">
        <v>404.7</v>
      </c>
      <c r="IY926">
        <v>126.6</v>
      </c>
      <c r="IZ926">
        <v>126.6</v>
      </c>
      <c r="JA926">
        <v>503.7</v>
      </c>
      <c r="JB926">
        <v>570.1</v>
      </c>
      <c r="JC926">
        <v>328.3</v>
      </c>
      <c r="JD926">
        <v>0</v>
      </c>
      <c r="JE926">
        <v>0</v>
      </c>
      <c r="JF926">
        <v>0</v>
      </c>
      <c r="JG926">
        <v>0</v>
      </c>
      <c r="JH926">
        <v>287.3</v>
      </c>
      <c r="JI926">
        <v>68.2</v>
      </c>
      <c r="JJ926">
        <v>0</v>
      </c>
      <c r="JK926">
        <v>148.6</v>
      </c>
      <c r="JL926">
        <v>0</v>
      </c>
      <c r="JM926">
        <v>0</v>
      </c>
      <c r="JN926">
        <v>204.5</v>
      </c>
      <c r="JO926">
        <v>292.10000000000002</v>
      </c>
      <c r="JP926">
        <v>670.8</v>
      </c>
      <c r="JQ926">
        <v>745.2</v>
      </c>
      <c r="JR926">
        <v>242.9</v>
      </c>
    </row>
    <row r="927" spans="2:278" ht="18" thickBot="1">
      <c r="B927" s="368" t="s">
        <v>1295</v>
      </c>
      <c r="C927" s="411" t="s">
        <v>1598</v>
      </c>
      <c r="D927" s="368" t="s">
        <v>1455</v>
      </c>
      <c r="E927" s="454">
        <v>22829.8</v>
      </c>
      <c r="F927">
        <v>20193.400000000001</v>
      </c>
      <c r="G927" s="427">
        <v>0</v>
      </c>
      <c r="H927" s="155">
        <v>0</v>
      </c>
      <c r="I927">
        <v>0</v>
      </c>
      <c r="J927">
        <v>0</v>
      </c>
      <c r="K927">
        <v>0</v>
      </c>
      <c r="L927" s="4">
        <v>0</v>
      </c>
      <c r="M927" s="4">
        <v>0</v>
      </c>
      <c r="N927" s="4">
        <v>0</v>
      </c>
      <c r="O927" s="4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1476.4</v>
      </c>
      <c r="X927">
        <v>1482</v>
      </c>
      <c r="Y927">
        <v>457.20000000000005</v>
      </c>
      <c r="Z927">
        <v>0</v>
      </c>
      <c r="AA927">
        <v>0</v>
      </c>
      <c r="AB927">
        <v>0</v>
      </c>
      <c r="AC927">
        <v>0</v>
      </c>
      <c r="AD927">
        <v>3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1828.6</v>
      </c>
      <c r="AK927">
        <v>1800.7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560.70000000000005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  <c r="CF927">
        <v>0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  <c r="CN927">
        <v>0</v>
      </c>
      <c r="CO927">
        <v>0</v>
      </c>
      <c r="CP927">
        <v>3.5</v>
      </c>
      <c r="CQ927">
        <v>0</v>
      </c>
      <c r="CR927">
        <v>528</v>
      </c>
      <c r="CS927">
        <v>581.79999999999995</v>
      </c>
      <c r="CT927">
        <v>555.40000000000009</v>
      </c>
      <c r="CU927">
        <v>737.4</v>
      </c>
      <c r="CV927">
        <v>1039.0999999999999</v>
      </c>
      <c r="CW927">
        <v>1667.3</v>
      </c>
      <c r="CX927">
        <v>877.6</v>
      </c>
      <c r="CY927">
        <v>910.40000000000009</v>
      </c>
      <c r="CZ927">
        <v>0</v>
      </c>
      <c r="DA927">
        <v>0</v>
      </c>
      <c r="DB927">
        <v>0</v>
      </c>
      <c r="DC927">
        <v>0</v>
      </c>
      <c r="DD927">
        <v>0</v>
      </c>
      <c r="DE927">
        <v>0</v>
      </c>
      <c r="DF927">
        <v>0</v>
      </c>
      <c r="DG927">
        <v>0</v>
      </c>
      <c r="DH927">
        <v>0</v>
      </c>
      <c r="DI927">
        <v>0</v>
      </c>
      <c r="DJ927">
        <v>0</v>
      </c>
      <c r="DK927">
        <v>0</v>
      </c>
      <c r="DL927">
        <v>995.5</v>
      </c>
      <c r="DM927">
        <v>712.7</v>
      </c>
      <c r="DN927">
        <v>0</v>
      </c>
      <c r="DO927">
        <v>0</v>
      </c>
      <c r="DP927">
        <v>0</v>
      </c>
      <c r="DQ927">
        <v>0</v>
      </c>
      <c r="DR927">
        <v>0</v>
      </c>
      <c r="DS927">
        <v>0</v>
      </c>
      <c r="DT927">
        <v>0</v>
      </c>
      <c r="DU927">
        <v>0</v>
      </c>
      <c r="DV927">
        <v>0</v>
      </c>
      <c r="DW927">
        <v>0</v>
      </c>
      <c r="DX927">
        <v>0</v>
      </c>
      <c r="DY927">
        <v>0</v>
      </c>
      <c r="DZ927">
        <v>0</v>
      </c>
      <c r="EA927">
        <v>0</v>
      </c>
      <c r="EB927">
        <v>0</v>
      </c>
      <c r="EC927">
        <v>0</v>
      </c>
      <c r="ED927">
        <v>0</v>
      </c>
      <c r="EE927">
        <v>0</v>
      </c>
      <c r="EF927">
        <v>0</v>
      </c>
      <c r="EG927">
        <v>0</v>
      </c>
      <c r="EH927">
        <v>0</v>
      </c>
      <c r="EI927">
        <v>0</v>
      </c>
      <c r="EJ927">
        <v>0</v>
      </c>
      <c r="EK927">
        <v>0</v>
      </c>
      <c r="EL927">
        <v>0</v>
      </c>
      <c r="EM927">
        <v>0</v>
      </c>
      <c r="EN927">
        <v>27.4</v>
      </c>
      <c r="EO927">
        <v>0</v>
      </c>
      <c r="EP927">
        <v>1002.5</v>
      </c>
      <c r="EQ927">
        <v>0</v>
      </c>
      <c r="ER927">
        <v>494</v>
      </c>
      <c r="ES927">
        <v>0</v>
      </c>
      <c r="ET927">
        <v>699.3</v>
      </c>
      <c r="EU927">
        <v>435.4</v>
      </c>
      <c r="EV927">
        <v>0</v>
      </c>
      <c r="EW927">
        <v>0</v>
      </c>
      <c r="EX927">
        <v>0</v>
      </c>
      <c r="EY927">
        <v>0</v>
      </c>
      <c r="EZ927">
        <v>0</v>
      </c>
      <c r="FA927">
        <v>0</v>
      </c>
      <c r="FB927">
        <v>0</v>
      </c>
      <c r="FC927">
        <v>0</v>
      </c>
      <c r="FD927">
        <v>95.6</v>
      </c>
      <c r="FE927">
        <v>1792.1</v>
      </c>
      <c r="FF927">
        <v>1740.1999999999998</v>
      </c>
      <c r="FG927">
        <v>954.9</v>
      </c>
      <c r="FH927">
        <v>1087.8000000000002</v>
      </c>
      <c r="FI927">
        <v>1892.1</v>
      </c>
      <c r="FJ927">
        <v>1222.5</v>
      </c>
      <c r="FK927">
        <v>678.3</v>
      </c>
      <c r="FL927">
        <v>639.1</v>
      </c>
      <c r="FM927">
        <v>520.5</v>
      </c>
      <c r="FN927">
        <v>123.8</v>
      </c>
      <c r="FO927">
        <v>181.6</v>
      </c>
      <c r="FP927">
        <v>1090.5</v>
      </c>
      <c r="FQ927">
        <v>0</v>
      </c>
      <c r="FR927">
        <v>0</v>
      </c>
      <c r="FS927">
        <v>0</v>
      </c>
      <c r="FT927">
        <v>0</v>
      </c>
      <c r="FU927">
        <v>0</v>
      </c>
      <c r="FV927">
        <v>0</v>
      </c>
      <c r="FW927">
        <v>0</v>
      </c>
      <c r="FX927">
        <v>0</v>
      </c>
      <c r="FY927">
        <v>0</v>
      </c>
      <c r="FZ927">
        <v>0</v>
      </c>
      <c r="GA927">
        <v>0</v>
      </c>
      <c r="GB927">
        <v>0</v>
      </c>
      <c r="GC927">
        <v>0</v>
      </c>
      <c r="GD927">
        <v>0</v>
      </c>
      <c r="GE927">
        <v>0</v>
      </c>
      <c r="GF927">
        <v>198.3</v>
      </c>
      <c r="GG927">
        <v>1054.4000000000001</v>
      </c>
      <c r="GH927">
        <v>552.79999999999995</v>
      </c>
      <c r="GI927">
        <v>522</v>
      </c>
      <c r="GJ927">
        <v>0</v>
      </c>
      <c r="GK927">
        <v>0</v>
      </c>
      <c r="GL927">
        <v>0</v>
      </c>
      <c r="GM927">
        <v>0</v>
      </c>
      <c r="GN927">
        <v>791.40000000000009</v>
      </c>
      <c r="GO927">
        <v>1816.5</v>
      </c>
      <c r="GP927">
        <v>0</v>
      </c>
      <c r="GQ927">
        <v>0</v>
      </c>
      <c r="GR927">
        <v>0</v>
      </c>
      <c r="GS927">
        <v>0</v>
      </c>
      <c r="GT927">
        <v>0</v>
      </c>
      <c r="GU927">
        <v>0</v>
      </c>
      <c r="GV927">
        <v>0</v>
      </c>
      <c r="GW927">
        <v>0</v>
      </c>
      <c r="GX927">
        <v>0</v>
      </c>
      <c r="GY927">
        <v>840.3</v>
      </c>
      <c r="GZ927">
        <v>0</v>
      </c>
      <c r="HA927">
        <v>0</v>
      </c>
      <c r="HB927">
        <v>0</v>
      </c>
      <c r="HC927">
        <v>380.4</v>
      </c>
      <c r="HD927">
        <v>2175.5</v>
      </c>
      <c r="HE927">
        <v>0</v>
      </c>
      <c r="HF927">
        <v>0</v>
      </c>
      <c r="HG927">
        <v>0</v>
      </c>
      <c r="HH927">
        <v>0</v>
      </c>
      <c r="HI927">
        <v>0</v>
      </c>
      <c r="HJ927">
        <v>803.40000000000009</v>
      </c>
      <c r="HK927">
        <v>1270.9000000000001</v>
      </c>
      <c r="HL927">
        <v>835.7</v>
      </c>
      <c r="HM927">
        <v>1162.5999999999999</v>
      </c>
      <c r="HN927">
        <v>0</v>
      </c>
      <c r="HO927">
        <v>0</v>
      </c>
      <c r="HP927">
        <v>0</v>
      </c>
      <c r="HQ927">
        <v>0</v>
      </c>
      <c r="HR927">
        <v>161.19999999999999</v>
      </c>
      <c r="HS927">
        <v>0</v>
      </c>
      <c r="HT927">
        <v>2048.5</v>
      </c>
      <c r="HU927">
        <v>2627.5</v>
      </c>
      <c r="HV927">
        <v>1168.5999999999999</v>
      </c>
      <c r="HW927">
        <v>388</v>
      </c>
      <c r="HX927">
        <v>0</v>
      </c>
      <c r="HY927">
        <v>0</v>
      </c>
      <c r="HZ927">
        <v>0</v>
      </c>
      <c r="IA927">
        <v>0</v>
      </c>
      <c r="IB927">
        <v>0</v>
      </c>
      <c r="IC927">
        <v>594.4</v>
      </c>
      <c r="ID927">
        <v>427.4</v>
      </c>
      <c r="IE927">
        <v>713.3</v>
      </c>
      <c r="IF927">
        <v>626.1</v>
      </c>
      <c r="IG927">
        <v>0</v>
      </c>
      <c r="IH927">
        <v>0</v>
      </c>
      <c r="II927">
        <v>995.7</v>
      </c>
      <c r="IJ927">
        <v>1156.5999999999999</v>
      </c>
      <c r="IK927">
        <v>864.6</v>
      </c>
      <c r="IL927">
        <v>316.5</v>
      </c>
      <c r="IM927">
        <v>101.5</v>
      </c>
      <c r="IN927">
        <v>71.8</v>
      </c>
      <c r="IO927">
        <v>0</v>
      </c>
      <c r="IP927">
        <v>0</v>
      </c>
      <c r="IQ927">
        <v>0</v>
      </c>
      <c r="IR927">
        <v>0</v>
      </c>
      <c r="IS927">
        <v>0</v>
      </c>
      <c r="IT927">
        <v>0</v>
      </c>
      <c r="IU927">
        <v>0</v>
      </c>
      <c r="IV927">
        <v>0</v>
      </c>
      <c r="IW927">
        <v>68</v>
      </c>
      <c r="IX927">
        <v>404.7</v>
      </c>
      <c r="IY927">
        <v>126.6</v>
      </c>
      <c r="IZ927">
        <v>126.6</v>
      </c>
      <c r="JA927">
        <v>503.7</v>
      </c>
      <c r="JB927">
        <v>570.1</v>
      </c>
      <c r="JC927">
        <v>328.3</v>
      </c>
      <c r="JD927">
        <v>0</v>
      </c>
      <c r="JE927">
        <v>0</v>
      </c>
      <c r="JF927">
        <v>0</v>
      </c>
      <c r="JG927">
        <v>0</v>
      </c>
      <c r="JH927">
        <v>287.3</v>
      </c>
      <c r="JI927">
        <v>68.2</v>
      </c>
      <c r="JJ927">
        <v>0</v>
      </c>
      <c r="JK927">
        <v>148.6</v>
      </c>
      <c r="JL927">
        <v>0</v>
      </c>
      <c r="JM927">
        <v>0</v>
      </c>
      <c r="JN927">
        <v>204.5</v>
      </c>
      <c r="JO927">
        <v>292.10000000000002</v>
      </c>
      <c r="JP927">
        <v>670.8</v>
      </c>
      <c r="JQ927">
        <v>745.2</v>
      </c>
      <c r="JR927">
        <v>242.9</v>
      </c>
    </row>
    <row r="928" spans="2:278" ht="18" thickBot="1">
      <c r="B928" s="368" t="s">
        <v>1296</v>
      </c>
      <c r="C928" s="411" t="s">
        <v>1599</v>
      </c>
      <c r="D928" s="368" t="s">
        <v>1456</v>
      </c>
      <c r="E928" s="454">
        <v>22829.8</v>
      </c>
      <c r="F928">
        <v>20193.400000000001</v>
      </c>
      <c r="G928" s="427">
        <v>0</v>
      </c>
      <c r="H928" s="155">
        <v>0</v>
      </c>
      <c r="I928">
        <v>0</v>
      </c>
      <c r="J928">
        <v>0</v>
      </c>
      <c r="K928">
        <v>0</v>
      </c>
      <c r="L928" s="4">
        <v>0</v>
      </c>
      <c r="M928" s="4">
        <v>0</v>
      </c>
      <c r="N928" s="4">
        <v>0</v>
      </c>
      <c r="O928" s="4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1476.4</v>
      </c>
      <c r="X928">
        <v>1482</v>
      </c>
      <c r="Y928">
        <v>457.20000000000005</v>
      </c>
      <c r="Z928">
        <v>0</v>
      </c>
      <c r="AA928">
        <v>0</v>
      </c>
      <c r="AB928">
        <v>0</v>
      </c>
      <c r="AC928">
        <v>0</v>
      </c>
      <c r="AD928">
        <v>3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1828.6</v>
      </c>
      <c r="AK928">
        <v>1800.7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560.70000000000005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0</v>
      </c>
      <c r="BP928">
        <v>0</v>
      </c>
      <c r="BQ928">
        <v>0</v>
      </c>
      <c r="BR928">
        <v>0</v>
      </c>
      <c r="BS928">
        <v>0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  <c r="CF928">
        <v>0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  <c r="CN928">
        <v>0</v>
      </c>
      <c r="CO928">
        <v>0</v>
      </c>
      <c r="CP928">
        <v>3.5</v>
      </c>
      <c r="CQ928">
        <v>0</v>
      </c>
      <c r="CR928">
        <v>528</v>
      </c>
      <c r="CS928">
        <v>581.79999999999995</v>
      </c>
      <c r="CT928">
        <v>555.40000000000009</v>
      </c>
      <c r="CU928">
        <v>737.4</v>
      </c>
      <c r="CV928">
        <v>1039.0999999999999</v>
      </c>
      <c r="CW928">
        <v>1667.3</v>
      </c>
      <c r="CX928">
        <v>877.6</v>
      </c>
      <c r="CY928">
        <v>910.40000000000009</v>
      </c>
      <c r="CZ928">
        <v>0</v>
      </c>
      <c r="DA928">
        <v>0</v>
      </c>
      <c r="DB928">
        <v>0</v>
      </c>
      <c r="DC928">
        <v>0</v>
      </c>
      <c r="DD928">
        <v>0</v>
      </c>
      <c r="DE928">
        <v>0</v>
      </c>
      <c r="DF928">
        <v>0</v>
      </c>
      <c r="DG928">
        <v>0</v>
      </c>
      <c r="DH928">
        <v>0</v>
      </c>
      <c r="DI928">
        <v>0</v>
      </c>
      <c r="DJ928">
        <v>0</v>
      </c>
      <c r="DK928">
        <v>0</v>
      </c>
      <c r="DL928">
        <v>995.5</v>
      </c>
      <c r="DM928">
        <v>712.7</v>
      </c>
      <c r="DN928">
        <v>0</v>
      </c>
      <c r="DO928">
        <v>0</v>
      </c>
      <c r="DP928">
        <v>0</v>
      </c>
      <c r="DQ928">
        <v>0</v>
      </c>
      <c r="DR928">
        <v>0</v>
      </c>
      <c r="DS928">
        <v>0</v>
      </c>
      <c r="DT928">
        <v>0</v>
      </c>
      <c r="DU928">
        <v>0</v>
      </c>
      <c r="DV928">
        <v>0</v>
      </c>
      <c r="DW928">
        <v>0</v>
      </c>
      <c r="DX928">
        <v>0</v>
      </c>
      <c r="DY928">
        <v>0</v>
      </c>
      <c r="DZ928">
        <v>0</v>
      </c>
      <c r="EA928">
        <v>0</v>
      </c>
      <c r="EB928">
        <v>0</v>
      </c>
      <c r="EC928">
        <v>0</v>
      </c>
      <c r="ED928">
        <v>0</v>
      </c>
      <c r="EE928">
        <v>0</v>
      </c>
      <c r="EF928">
        <v>0</v>
      </c>
      <c r="EG928">
        <v>0</v>
      </c>
      <c r="EH928">
        <v>0</v>
      </c>
      <c r="EI928">
        <v>0</v>
      </c>
      <c r="EJ928">
        <v>0</v>
      </c>
      <c r="EK928">
        <v>0</v>
      </c>
      <c r="EL928">
        <v>0</v>
      </c>
      <c r="EM928">
        <v>0</v>
      </c>
      <c r="EN928">
        <v>27.4</v>
      </c>
      <c r="EO928">
        <v>0</v>
      </c>
      <c r="EP928">
        <v>1002.5</v>
      </c>
      <c r="EQ928">
        <v>0</v>
      </c>
      <c r="ER928">
        <v>494</v>
      </c>
      <c r="ES928">
        <v>0</v>
      </c>
      <c r="ET928">
        <v>699.3</v>
      </c>
      <c r="EU928">
        <v>435.4</v>
      </c>
      <c r="EV928">
        <v>0</v>
      </c>
      <c r="EW928">
        <v>0</v>
      </c>
      <c r="EX928">
        <v>0</v>
      </c>
      <c r="EY928">
        <v>0</v>
      </c>
      <c r="EZ928">
        <v>0</v>
      </c>
      <c r="FA928">
        <v>0</v>
      </c>
      <c r="FB928">
        <v>0</v>
      </c>
      <c r="FC928">
        <v>0</v>
      </c>
      <c r="FD928">
        <v>95.6</v>
      </c>
      <c r="FE928">
        <v>1792.1</v>
      </c>
      <c r="FF928">
        <v>1740.1999999999998</v>
      </c>
      <c r="FG928">
        <v>954.9</v>
      </c>
      <c r="FH928">
        <v>1087.8000000000002</v>
      </c>
      <c r="FI928">
        <v>1892.1</v>
      </c>
      <c r="FJ928">
        <v>1222.5</v>
      </c>
      <c r="FK928">
        <v>678.3</v>
      </c>
      <c r="FL928">
        <v>639.1</v>
      </c>
      <c r="FM928">
        <v>520.5</v>
      </c>
      <c r="FN928">
        <v>123.8</v>
      </c>
      <c r="FO928">
        <v>181.6</v>
      </c>
      <c r="FP928">
        <v>1090.5</v>
      </c>
      <c r="FQ928">
        <v>0</v>
      </c>
      <c r="FR928">
        <v>0</v>
      </c>
      <c r="FS928">
        <v>0</v>
      </c>
      <c r="FT928">
        <v>0</v>
      </c>
      <c r="FU928">
        <v>0</v>
      </c>
      <c r="FV928">
        <v>0</v>
      </c>
      <c r="FW928">
        <v>0</v>
      </c>
      <c r="FX928">
        <v>0</v>
      </c>
      <c r="FY928">
        <v>0</v>
      </c>
      <c r="FZ928">
        <v>0</v>
      </c>
      <c r="GA928">
        <v>0</v>
      </c>
      <c r="GB928">
        <v>0</v>
      </c>
      <c r="GC928">
        <v>0</v>
      </c>
      <c r="GD928">
        <v>0</v>
      </c>
      <c r="GE928">
        <v>0</v>
      </c>
      <c r="GF928">
        <v>198.3</v>
      </c>
      <c r="GG928">
        <v>1054.4000000000001</v>
      </c>
      <c r="GH928">
        <v>552.79999999999995</v>
      </c>
      <c r="GI928">
        <v>522</v>
      </c>
      <c r="GJ928">
        <v>0</v>
      </c>
      <c r="GK928">
        <v>0</v>
      </c>
      <c r="GL928">
        <v>0</v>
      </c>
      <c r="GM928">
        <v>0</v>
      </c>
      <c r="GN928">
        <v>791.40000000000009</v>
      </c>
      <c r="GO928">
        <v>1816.5</v>
      </c>
      <c r="GP928">
        <v>0</v>
      </c>
      <c r="GQ928">
        <v>0</v>
      </c>
      <c r="GR928">
        <v>0</v>
      </c>
      <c r="GS928">
        <v>0</v>
      </c>
      <c r="GT928">
        <v>0</v>
      </c>
      <c r="GU928">
        <v>0</v>
      </c>
      <c r="GV928">
        <v>0</v>
      </c>
      <c r="GW928">
        <v>0</v>
      </c>
      <c r="GX928">
        <v>0</v>
      </c>
      <c r="GY928">
        <v>840.3</v>
      </c>
      <c r="GZ928">
        <v>0</v>
      </c>
      <c r="HA928">
        <v>0</v>
      </c>
      <c r="HB928">
        <v>0</v>
      </c>
      <c r="HC928">
        <v>380.4</v>
      </c>
      <c r="HD928">
        <v>2175.5</v>
      </c>
      <c r="HE928">
        <v>0</v>
      </c>
      <c r="HF928">
        <v>0</v>
      </c>
      <c r="HG928">
        <v>0</v>
      </c>
      <c r="HH928">
        <v>0</v>
      </c>
      <c r="HI928">
        <v>0</v>
      </c>
      <c r="HJ928">
        <v>803.40000000000009</v>
      </c>
      <c r="HK928">
        <v>1270.9000000000001</v>
      </c>
      <c r="HL928">
        <v>835.7</v>
      </c>
      <c r="HM928">
        <v>1162.5999999999999</v>
      </c>
      <c r="HN928">
        <v>0</v>
      </c>
      <c r="HO928">
        <v>0</v>
      </c>
      <c r="HP928">
        <v>0</v>
      </c>
      <c r="HQ928">
        <v>0</v>
      </c>
      <c r="HR928">
        <v>161.19999999999999</v>
      </c>
      <c r="HS928">
        <v>0</v>
      </c>
      <c r="HT928">
        <v>2048.5</v>
      </c>
      <c r="HU928">
        <v>2627.5</v>
      </c>
      <c r="HV928">
        <v>1168.5999999999999</v>
      </c>
      <c r="HW928">
        <v>388</v>
      </c>
      <c r="HX928">
        <v>0</v>
      </c>
      <c r="HY928">
        <v>0</v>
      </c>
      <c r="HZ928">
        <v>0</v>
      </c>
      <c r="IA928">
        <v>0</v>
      </c>
      <c r="IB928">
        <v>0</v>
      </c>
      <c r="IC928">
        <v>594.4</v>
      </c>
      <c r="ID928">
        <v>427.4</v>
      </c>
      <c r="IE928">
        <v>713.3</v>
      </c>
      <c r="IF928">
        <v>626.1</v>
      </c>
      <c r="IG928">
        <v>0</v>
      </c>
      <c r="IH928">
        <v>0</v>
      </c>
      <c r="II928">
        <v>995.7</v>
      </c>
      <c r="IJ928">
        <v>1156.5999999999999</v>
      </c>
      <c r="IK928">
        <v>864.6</v>
      </c>
      <c r="IL928">
        <v>316.5</v>
      </c>
      <c r="IM928">
        <v>101.5</v>
      </c>
      <c r="IN928">
        <v>71.8</v>
      </c>
      <c r="IO928">
        <v>0</v>
      </c>
      <c r="IP928">
        <v>0</v>
      </c>
      <c r="IQ928">
        <v>0</v>
      </c>
      <c r="IR928">
        <v>0</v>
      </c>
      <c r="IS928">
        <v>0</v>
      </c>
      <c r="IT928">
        <v>0</v>
      </c>
      <c r="IU928">
        <v>0</v>
      </c>
      <c r="IV928">
        <v>0</v>
      </c>
      <c r="IW928">
        <v>68</v>
      </c>
      <c r="IX928">
        <v>404.7</v>
      </c>
      <c r="IY928">
        <v>126.6</v>
      </c>
      <c r="IZ928">
        <v>126.6</v>
      </c>
      <c r="JA928">
        <v>503.7</v>
      </c>
      <c r="JB928">
        <v>570.1</v>
      </c>
      <c r="JC928">
        <v>328.3</v>
      </c>
      <c r="JD928">
        <v>0</v>
      </c>
      <c r="JE928">
        <v>0</v>
      </c>
      <c r="JF928">
        <v>0</v>
      </c>
      <c r="JG928">
        <v>0</v>
      </c>
      <c r="JH928">
        <v>287.3</v>
      </c>
      <c r="JI928">
        <v>68.2</v>
      </c>
      <c r="JJ928">
        <v>0</v>
      </c>
      <c r="JK928">
        <v>148.6</v>
      </c>
      <c r="JL928">
        <v>0</v>
      </c>
      <c r="JM928">
        <v>0</v>
      </c>
      <c r="JN928">
        <v>204.5</v>
      </c>
      <c r="JO928">
        <v>292.10000000000002</v>
      </c>
      <c r="JP928">
        <v>670.8</v>
      </c>
      <c r="JQ928">
        <v>745.2</v>
      </c>
      <c r="JR928">
        <v>242.9</v>
      </c>
    </row>
    <row r="929" spans="2:278" ht="18" thickBot="1">
      <c r="B929" s="371" t="s">
        <v>1297</v>
      </c>
      <c r="C929" s="417" t="s">
        <v>1600</v>
      </c>
      <c r="D929" s="371" t="s">
        <v>1457</v>
      </c>
      <c r="E929" s="454">
        <v>22829.8</v>
      </c>
      <c r="F929">
        <v>20193.400000000001</v>
      </c>
      <c r="G929" s="427">
        <v>0</v>
      </c>
      <c r="H929" s="155">
        <v>0</v>
      </c>
      <c r="I929">
        <v>0</v>
      </c>
      <c r="J929">
        <v>0</v>
      </c>
      <c r="K929">
        <v>0</v>
      </c>
      <c r="L929" s="4">
        <v>0</v>
      </c>
      <c r="M929" s="4">
        <v>0</v>
      </c>
      <c r="N929" s="4">
        <v>0</v>
      </c>
      <c r="O929" s="4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1476.4</v>
      </c>
      <c r="X929">
        <v>1482</v>
      </c>
      <c r="Y929">
        <v>457.20000000000005</v>
      </c>
      <c r="Z929">
        <v>0</v>
      </c>
      <c r="AA929">
        <v>0</v>
      </c>
      <c r="AB929">
        <v>0</v>
      </c>
      <c r="AC929">
        <v>0</v>
      </c>
      <c r="AD929">
        <v>3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1828.6</v>
      </c>
      <c r="AK929">
        <v>1800.7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560.70000000000005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  <c r="CF929">
        <v>0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  <c r="CN929">
        <v>0</v>
      </c>
      <c r="CO929">
        <v>0</v>
      </c>
      <c r="CP929">
        <v>3.5</v>
      </c>
      <c r="CQ929">
        <v>0</v>
      </c>
      <c r="CR929">
        <v>528</v>
      </c>
      <c r="CS929">
        <v>581.79999999999995</v>
      </c>
      <c r="CT929">
        <v>555.40000000000009</v>
      </c>
      <c r="CU929">
        <v>737.4</v>
      </c>
      <c r="CV929">
        <v>1039.0999999999999</v>
      </c>
      <c r="CW929">
        <v>1667.3</v>
      </c>
      <c r="CX929">
        <v>877.6</v>
      </c>
      <c r="CY929">
        <v>910.40000000000009</v>
      </c>
      <c r="CZ929">
        <v>0</v>
      </c>
      <c r="DA929">
        <v>0</v>
      </c>
      <c r="DB929">
        <v>0</v>
      </c>
      <c r="DC929">
        <v>0</v>
      </c>
      <c r="DD929">
        <v>0</v>
      </c>
      <c r="DE929">
        <v>0</v>
      </c>
      <c r="DF929">
        <v>0</v>
      </c>
      <c r="DG929">
        <v>0</v>
      </c>
      <c r="DH929">
        <v>0</v>
      </c>
      <c r="DI929">
        <v>0</v>
      </c>
      <c r="DJ929">
        <v>0</v>
      </c>
      <c r="DK929">
        <v>0</v>
      </c>
      <c r="DL929">
        <v>995.5</v>
      </c>
      <c r="DM929">
        <v>712.7</v>
      </c>
      <c r="DN929">
        <v>0</v>
      </c>
      <c r="DO929">
        <v>0</v>
      </c>
      <c r="DP929">
        <v>0</v>
      </c>
      <c r="DQ929">
        <v>0</v>
      </c>
      <c r="DR929">
        <v>0</v>
      </c>
      <c r="DS929">
        <v>0</v>
      </c>
      <c r="DT929">
        <v>0</v>
      </c>
      <c r="DU929">
        <v>0</v>
      </c>
      <c r="DV929">
        <v>0</v>
      </c>
      <c r="DW929">
        <v>0</v>
      </c>
      <c r="DX929">
        <v>0</v>
      </c>
      <c r="DY929">
        <v>0</v>
      </c>
      <c r="DZ929">
        <v>0</v>
      </c>
      <c r="EA929">
        <v>0</v>
      </c>
      <c r="EB929">
        <v>0</v>
      </c>
      <c r="EC929">
        <v>0</v>
      </c>
      <c r="ED929">
        <v>0</v>
      </c>
      <c r="EE929">
        <v>0</v>
      </c>
      <c r="EF929">
        <v>0</v>
      </c>
      <c r="EG929">
        <v>0</v>
      </c>
      <c r="EH929">
        <v>0</v>
      </c>
      <c r="EI929">
        <v>0</v>
      </c>
      <c r="EJ929">
        <v>0</v>
      </c>
      <c r="EK929">
        <v>0</v>
      </c>
      <c r="EL929">
        <v>0</v>
      </c>
      <c r="EM929">
        <v>0</v>
      </c>
      <c r="EN929">
        <v>27.4</v>
      </c>
      <c r="EO929">
        <v>0</v>
      </c>
      <c r="EP929">
        <v>1002.5</v>
      </c>
      <c r="EQ929">
        <v>0</v>
      </c>
      <c r="ER929">
        <v>494</v>
      </c>
      <c r="ES929">
        <v>0</v>
      </c>
      <c r="ET929">
        <v>699.3</v>
      </c>
      <c r="EU929">
        <v>435.4</v>
      </c>
      <c r="EV929">
        <v>0</v>
      </c>
      <c r="EW929">
        <v>0</v>
      </c>
      <c r="EX929">
        <v>0</v>
      </c>
      <c r="EY929">
        <v>0</v>
      </c>
      <c r="EZ929">
        <v>0</v>
      </c>
      <c r="FA929">
        <v>0</v>
      </c>
      <c r="FB929">
        <v>0</v>
      </c>
      <c r="FC929">
        <v>0</v>
      </c>
      <c r="FD929">
        <v>95.6</v>
      </c>
      <c r="FE929">
        <v>1792.1</v>
      </c>
      <c r="FF929">
        <v>1740.1999999999998</v>
      </c>
      <c r="FG929">
        <v>954.9</v>
      </c>
      <c r="FH929">
        <v>1087.8000000000002</v>
      </c>
      <c r="FI929">
        <v>1892.1</v>
      </c>
      <c r="FJ929">
        <v>1222.5</v>
      </c>
      <c r="FK929">
        <v>678.3</v>
      </c>
      <c r="FL929">
        <v>639.1</v>
      </c>
      <c r="FM929">
        <v>520.5</v>
      </c>
      <c r="FN929">
        <v>123.8</v>
      </c>
      <c r="FO929">
        <v>181.6</v>
      </c>
      <c r="FP929">
        <v>1090.5</v>
      </c>
      <c r="FQ929">
        <v>0</v>
      </c>
      <c r="FR929">
        <v>0</v>
      </c>
      <c r="FS929">
        <v>0</v>
      </c>
      <c r="FT929">
        <v>0</v>
      </c>
      <c r="FU929">
        <v>0</v>
      </c>
      <c r="FV929">
        <v>0</v>
      </c>
      <c r="FW929">
        <v>0</v>
      </c>
      <c r="FX929">
        <v>0</v>
      </c>
      <c r="FY929">
        <v>0</v>
      </c>
      <c r="FZ929">
        <v>0</v>
      </c>
      <c r="GA929">
        <v>0</v>
      </c>
      <c r="GB929">
        <v>0</v>
      </c>
      <c r="GC929">
        <v>0</v>
      </c>
      <c r="GD929">
        <v>0</v>
      </c>
      <c r="GE929">
        <v>0</v>
      </c>
      <c r="GF929">
        <v>198.3</v>
      </c>
      <c r="GG929">
        <v>1054.4000000000001</v>
      </c>
      <c r="GH929">
        <v>552.79999999999995</v>
      </c>
      <c r="GI929">
        <v>522</v>
      </c>
      <c r="GJ929">
        <v>0</v>
      </c>
      <c r="GK929">
        <v>0</v>
      </c>
      <c r="GL929">
        <v>0</v>
      </c>
      <c r="GM929">
        <v>0</v>
      </c>
      <c r="GN929">
        <v>791.40000000000009</v>
      </c>
      <c r="GO929">
        <v>1816.5</v>
      </c>
      <c r="GP929">
        <v>0</v>
      </c>
      <c r="GQ929">
        <v>0</v>
      </c>
      <c r="GR929">
        <v>0</v>
      </c>
      <c r="GS929">
        <v>0</v>
      </c>
      <c r="GT929">
        <v>0</v>
      </c>
      <c r="GU929">
        <v>0</v>
      </c>
      <c r="GV929">
        <v>0</v>
      </c>
      <c r="GW929">
        <v>0</v>
      </c>
      <c r="GX929">
        <v>0</v>
      </c>
      <c r="GY929">
        <v>840.3</v>
      </c>
      <c r="GZ929">
        <v>0</v>
      </c>
      <c r="HA929">
        <v>0</v>
      </c>
      <c r="HB929">
        <v>0</v>
      </c>
      <c r="HC929">
        <v>380.4</v>
      </c>
      <c r="HD929">
        <v>2175.5</v>
      </c>
      <c r="HE929">
        <v>0</v>
      </c>
      <c r="HF929">
        <v>0</v>
      </c>
      <c r="HG929">
        <v>0</v>
      </c>
      <c r="HH929">
        <v>0</v>
      </c>
      <c r="HI929">
        <v>0</v>
      </c>
      <c r="HJ929">
        <v>803.40000000000009</v>
      </c>
      <c r="HK929">
        <v>1270.9000000000001</v>
      </c>
      <c r="HL929">
        <v>835.7</v>
      </c>
      <c r="HM929">
        <v>1162.5999999999999</v>
      </c>
      <c r="HN929">
        <v>0</v>
      </c>
      <c r="HO929">
        <v>0</v>
      </c>
      <c r="HP929">
        <v>0</v>
      </c>
      <c r="HQ929">
        <v>0</v>
      </c>
      <c r="HR929">
        <v>161.19999999999999</v>
      </c>
      <c r="HS929">
        <v>0</v>
      </c>
      <c r="HT929">
        <v>2048.5</v>
      </c>
      <c r="HU929">
        <v>2627.5</v>
      </c>
      <c r="HV929">
        <v>1168.5999999999999</v>
      </c>
      <c r="HW929">
        <v>388</v>
      </c>
      <c r="HX929">
        <v>0</v>
      </c>
      <c r="HY929">
        <v>0</v>
      </c>
      <c r="HZ929">
        <v>0</v>
      </c>
      <c r="IA929">
        <v>0</v>
      </c>
      <c r="IB929">
        <v>0</v>
      </c>
      <c r="IC929">
        <v>594.4</v>
      </c>
      <c r="ID929">
        <v>427.4</v>
      </c>
      <c r="IE929">
        <v>713.3</v>
      </c>
      <c r="IF929">
        <v>626.1</v>
      </c>
      <c r="IG929">
        <v>0</v>
      </c>
      <c r="IH929">
        <v>0</v>
      </c>
      <c r="II929">
        <v>995.7</v>
      </c>
      <c r="IJ929">
        <v>1156.5999999999999</v>
      </c>
      <c r="IK929">
        <v>864.6</v>
      </c>
      <c r="IL929">
        <v>316.5</v>
      </c>
      <c r="IM929">
        <v>101.5</v>
      </c>
      <c r="IN929">
        <v>71.8</v>
      </c>
      <c r="IO929">
        <v>0</v>
      </c>
      <c r="IP929">
        <v>0</v>
      </c>
      <c r="IQ929">
        <v>0</v>
      </c>
      <c r="IR929">
        <v>0</v>
      </c>
      <c r="IS929">
        <v>0</v>
      </c>
      <c r="IT929">
        <v>0</v>
      </c>
      <c r="IU929">
        <v>0</v>
      </c>
      <c r="IV929">
        <v>0</v>
      </c>
      <c r="IW929">
        <v>68</v>
      </c>
      <c r="IX929">
        <v>404.7</v>
      </c>
      <c r="IY929">
        <v>126.6</v>
      </c>
      <c r="IZ929">
        <v>126.6</v>
      </c>
      <c r="JA929">
        <v>503.7</v>
      </c>
      <c r="JB929">
        <v>570.1</v>
      </c>
      <c r="JC929">
        <v>328.3</v>
      </c>
      <c r="JD929">
        <v>0</v>
      </c>
      <c r="JE929">
        <v>0</v>
      </c>
      <c r="JF929">
        <v>0</v>
      </c>
      <c r="JG929">
        <v>0</v>
      </c>
      <c r="JH929">
        <v>287.3</v>
      </c>
      <c r="JI929">
        <v>68.2</v>
      </c>
      <c r="JJ929">
        <v>0</v>
      </c>
      <c r="JK929">
        <v>148.6</v>
      </c>
      <c r="JL929">
        <v>0</v>
      </c>
      <c r="JM929">
        <v>0</v>
      </c>
      <c r="JN929">
        <v>204.5</v>
      </c>
      <c r="JO929">
        <v>292.10000000000002</v>
      </c>
      <c r="JP929">
        <v>670.8</v>
      </c>
      <c r="JQ929">
        <v>745.2</v>
      </c>
      <c r="JR929">
        <v>242.9</v>
      </c>
    </row>
    <row r="930" spans="2:278" ht="18" thickBot="1">
      <c r="B930" s="368" t="s">
        <v>428</v>
      </c>
      <c r="C930" s="418" t="s">
        <v>1601</v>
      </c>
      <c r="D930" s="377" t="s">
        <v>1387</v>
      </c>
      <c r="E930" s="454">
        <v>22829.8</v>
      </c>
      <c r="F930">
        <v>20193.400000000001</v>
      </c>
      <c r="G930" s="427">
        <v>0</v>
      </c>
      <c r="H930" s="155">
        <v>0</v>
      </c>
      <c r="I930">
        <v>0</v>
      </c>
      <c r="J930">
        <v>0</v>
      </c>
      <c r="K930">
        <v>0</v>
      </c>
      <c r="L930" s="4">
        <v>0</v>
      </c>
      <c r="M930" s="4">
        <v>0</v>
      </c>
      <c r="N930" s="4">
        <v>0</v>
      </c>
      <c r="O930" s="4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1476.4</v>
      </c>
      <c r="X930">
        <v>1482</v>
      </c>
      <c r="Y930">
        <v>457.20000000000005</v>
      </c>
      <c r="Z930">
        <v>0</v>
      </c>
      <c r="AA930">
        <v>0</v>
      </c>
      <c r="AB930">
        <v>0</v>
      </c>
      <c r="AC930">
        <v>0</v>
      </c>
      <c r="AD930">
        <v>3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1828.6</v>
      </c>
      <c r="AK930">
        <v>1800.7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560.70000000000005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  <c r="CF930">
        <v>0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  <c r="CN930">
        <v>0</v>
      </c>
      <c r="CO930">
        <v>0</v>
      </c>
      <c r="CP930">
        <v>3.5</v>
      </c>
      <c r="CQ930">
        <v>0</v>
      </c>
      <c r="CR930">
        <v>528</v>
      </c>
      <c r="CS930">
        <v>581.79999999999995</v>
      </c>
      <c r="CT930">
        <v>555.40000000000009</v>
      </c>
      <c r="CU930">
        <v>737.4</v>
      </c>
      <c r="CV930">
        <v>1039.0999999999999</v>
      </c>
      <c r="CW930">
        <v>1667.3</v>
      </c>
      <c r="CX930">
        <v>877.6</v>
      </c>
      <c r="CY930">
        <v>910.40000000000009</v>
      </c>
      <c r="CZ930">
        <v>0</v>
      </c>
      <c r="DA930">
        <v>0</v>
      </c>
      <c r="DB930">
        <v>0</v>
      </c>
      <c r="DC930">
        <v>0</v>
      </c>
      <c r="DD930">
        <v>0</v>
      </c>
      <c r="DE930">
        <v>0</v>
      </c>
      <c r="DF930">
        <v>0</v>
      </c>
      <c r="DG930">
        <v>0</v>
      </c>
      <c r="DH930">
        <v>0</v>
      </c>
      <c r="DI930">
        <v>0</v>
      </c>
      <c r="DJ930">
        <v>0</v>
      </c>
      <c r="DK930">
        <v>0</v>
      </c>
      <c r="DL930">
        <v>995.5</v>
      </c>
      <c r="DM930">
        <v>712.7</v>
      </c>
      <c r="DN930">
        <v>0</v>
      </c>
      <c r="DO930">
        <v>0</v>
      </c>
      <c r="DP930">
        <v>0</v>
      </c>
      <c r="DQ930">
        <v>0</v>
      </c>
      <c r="DR930">
        <v>0</v>
      </c>
      <c r="DS930">
        <v>0</v>
      </c>
      <c r="DT930">
        <v>0</v>
      </c>
      <c r="DU930">
        <v>0</v>
      </c>
      <c r="DV930">
        <v>0</v>
      </c>
      <c r="DW930">
        <v>0</v>
      </c>
      <c r="DX930">
        <v>0</v>
      </c>
      <c r="DY930">
        <v>0</v>
      </c>
      <c r="DZ930">
        <v>0</v>
      </c>
      <c r="EA930">
        <v>0</v>
      </c>
      <c r="EB930">
        <v>0</v>
      </c>
      <c r="EC930">
        <v>0</v>
      </c>
      <c r="ED930">
        <v>0</v>
      </c>
      <c r="EE930">
        <v>0</v>
      </c>
      <c r="EF930">
        <v>0</v>
      </c>
      <c r="EG930">
        <v>0</v>
      </c>
      <c r="EH930">
        <v>0</v>
      </c>
      <c r="EI930">
        <v>0</v>
      </c>
      <c r="EJ930">
        <v>0</v>
      </c>
      <c r="EK930">
        <v>0</v>
      </c>
      <c r="EL930">
        <v>0</v>
      </c>
      <c r="EM930">
        <v>0</v>
      </c>
      <c r="EN930">
        <v>27.4</v>
      </c>
      <c r="EO930">
        <v>0</v>
      </c>
      <c r="EP930">
        <v>1002.5</v>
      </c>
      <c r="EQ930">
        <v>0</v>
      </c>
      <c r="ER930">
        <v>494</v>
      </c>
      <c r="ES930">
        <v>0</v>
      </c>
      <c r="ET930">
        <v>699.3</v>
      </c>
      <c r="EU930">
        <v>435.4</v>
      </c>
      <c r="EV930">
        <v>0</v>
      </c>
      <c r="EW930">
        <v>0</v>
      </c>
      <c r="EX930">
        <v>0</v>
      </c>
      <c r="EY930">
        <v>0</v>
      </c>
      <c r="EZ930">
        <v>0</v>
      </c>
      <c r="FA930">
        <v>0</v>
      </c>
      <c r="FB930">
        <v>0</v>
      </c>
      <c r="FC930">
        <v>0</v>
      </c>
      <c r="FD930">
        <v>95.6</v>
      </c>
      <c r="FE930">
        <v>1792.1</v>
      </c>
      <c r="FF930">
        <v>1740.1999999999998</v>
      </c>
      <c r="FG930">
        <v>954.9</v>
      </c>
      <c r="FH930">
        <v>1087.8000000000002</v>
      </c>
      <c r="FI930">
        <v>1892.1</v>
      </c>
      <c r="FJ930">
        <v>1222.5</v>
      </c>
      <c r="FK930">
        <v>678.3</v>
      </c>
      <c r="FL930">
        <v>639.1</v>
      </c>
      <c r="FM930">
        <v>520.5</v>
      </c>
      <c r="FN930">
        <v>123.8</v>
      </c>
      <c r="FO930">
        <v>181.6</v>
      </c>
      <c r="FP930">
        <v>1090.5</v>
      </c>
      <c r="FQ930">
        <v>0</v>
      </c>
      <c r="FR930">
        <v>0</v>
      </c>
      <c r="FS930">
        <v>0</v>
      </c>
      <c r="FT930">
        <v>0</v>
      </c>
      <c r="FU930">
        <v>0</v>
      </c>
      <c r="FV930">
        <v>0</v>
      </c>
      <c r="FW930">
        <v>0</v>
      </c>
      <c r="FX930">
        <v>0</v>
      </c>
      <c r="FY930">
        <v>0</v>
      </c>
      <c r="FZ930">
        <v>0</v>
      </c>
      <c r="GA930">
        <v>0</v>
      </c>
      <c r="GB930">
        <v>0</v>
      </c>
      <c r="GC930">
        <v>0</v>
      </c>
      <c r="GD930">
        <v>0</v>
      </c>
      <c r="GE930">
        <v>0</v>
      </c>
      <c r="GF930">
        <v>198.3</v>
      </c>
      <c r="GG930">
        <v>1054.4000000000001</v>
      </c>
      <c r="GH930">
        <v>552.79999999999995</v>
      </c>
      <c r="GI930">
        <v>522</v>
      </c>
      <c r="GJ930">
        <v>0</v>
      </c>
      <c r="GK930">
        <v>0</v>
      </c>
      <c r="GL930">
        <v>0</v>
      </c>
      <c r="GM930">
        <v>0</v>
      </c>
      <c r="GN930">
        <v>791.40000000000009</v>
      </c>
      <c r="GO930">
        <v>1816.5</v>
      </c>
      <c r="GP930">
        <v>0</v>
      </c>
      <c r="GQ930">
        <v>0</v>
      </c>
      <c r="GR930">
        <v>0</v>
      </c>
      <c r="GS930">
        <v>0</v>
      </c>
      <c r="GT930">
        <v>0</v>
      </c>
      <c r="GU930">
        <v>0</v>
      </c>
      <c r="GV930">
        <v>0</v>
      </c>
      <c r="GW930">
        <v>0</v>
      </c>
      <c r="GX930">
        <v>0</v>
      </c>
      <c r="GY930">
        <v>840.3</v>
      </c>
      <c r="GZ930">
        <v>0</v>
      </c>
      <c r="HA930">
        <v>0</v>
      </c>
      <c r="HB930">
        <v>0</v>
      </c>
      <c r="HC930">
        <v>380.4</v>
      </c>
      <c r="HD930">
        <v>2175.5</v>
      </c>
      <c r="HE930">
        <v>0</v>
      </c>
      <c r="HF930">
        <v>0</v>
      </c>
      <c r="HG930">
        <v>0</v>
      </c>
      <c r="HH930">
        <v>0</v>
      </c>
      <c r="HI930">
        <v>0</v>
      </c>
      <c r="HJ930">
        <v>803.40000000000009</v>
      </c>
      <c r="HK930">
        <v>1270.9000000000001</v>
      </c>
      <c r="HL930">
        <v>835.7</v>
      </c>
      <c r="HM930">
        <v>1162.5999999999999</v>
      </c>
      <c r="HN930">
        <v>0</v>
      </c>
      <c r="HO930">
        <v>0</v>
      </c>
      <c r="HP930">
        <v>0</v>
      </c>
      <c r="HQ930">
        <v>0</v>
      </c>
      <c r="HR930">
        <v>161.19999999999999</v>
      </c>
      <c r="HS930">
        <v>0</v>
      </c>
      <c r="HT930">
        <v>2048.5</v>
      </c>
      <c r="HU930">
        <v>2627.5</v>
      </c>
      <c r="HV930">
        <v>1168.5999999999999</v>
      </c>
      <c r="HW930">
        <v>388</v>
      </c>
      <c r="HX930">
        <v>0</v>
      </c>
      <c r="HY930">
        <v>0</v>
      </c>
      <c r="HZ930">
        <v>0</v>
      </c>
      <c r="IA930">
        <v>0</v>
      </c>
      <c r="IB930">
        <v>0</v>
      </c>
      <c r="IC930">
        <v>594.4</v>
      </c>
      <c r="ID930">
        <v>427.4</v>
      </c>
      <c r="IE930">
        <v>713.3</v>
      </c>
      <c r="IF930">
        <v>626.1</v>
      </c>
      <c r="IG930">
        <v>0</v>
      </c>
      <c r="IH930">
        <v>0</v>
      </c>
      <c r="II930">
        <v>995.7</v>
      </c>
      <c r="IJ930">
        <v>1156.5999999999999</v>
      </c>
      <c r="IK930">
        <v>864.6</v>
      </c>
      <c r="IL930">
        <v>316.5</v>
      </c>
      <c r="IM930">
        <v>101.5</v>
      </c>
      <c r="IN930">
        <v>71.8</v>
      </c>
      <c r="IO930">
        <v>0</v>
      </c>
      <c r="IP930">
        <v>0</v>
      </c>
      <c r="IQ930">
        <v>0</v>
      </c>
      <c r="IR930">
        <v>0</v>
      </c>
      <c r="IS930">
        <v>0</v>
      </c>
      <c r="IT930">
        <v>0</v>
      </c>
      <c r="IU930">
        <v>0</v>
      </c>
      <c r="IV930">
        <v>0</v>
      </c>
      <c r="IW930">
        <v>68</v>
      </c>
      <c r="IX930">
        <v>404.7</v>
      </c>
      <c r="IY930">
        <v>126.6</v>
      </c>
      <c r="IZ930">
        <v>126.6</v>
      </c>
      <c r="JA930">
        <v>503.7</v>
      </c>
      <c r="JB930">
        <v>570.1</v>
      </c>
      <c r="JC930">
        <v>328.3</v>
      </c>
      <c r="JD930">
        <v>0</v>
      </c>
      <c r="JE930">
        <v>0</v>
      </c>
      <c r="JF930">
        <v>0</v>
      </c>
      <c r="JG930">
        <v>0</v>
      </c>
      <c r="JH930">
        <v>287.3</v>
      </c>
      <c r="JI930">
        <v>68.2</v>
      </c>
      <c r="JJ930">
        <v>0</v>
      </c>
      <c r="JK930">
        <v>148.6</v>
      </c>
      <c r="JL930">
        <v>0</v>
      </c>
      <c r="JM930">
        <v>0</v>
      </c>
      <c r="JN930">
        <v>204.5</v>
      </c>
      <c r="JO930">
        <v>292.10000000000002</v>
      </c>
      <c r="JP930">
        <v>670.8</v>
      </c>
      <c r="JQ930">
        <v>745.2</v>
      </c>
      <c r="JR930">
        <v>242.9</v>
      </c>
    </row>
    <row r="931" spans="2:278" ht="18" thickBot="1">
      <c r="B931" s="368" t="s">
        <v>1298</v>
      </c>
      <c r="C931" s="413" t="s">
        <v>1602</v>
      </c>
      <c r="D931" s="368" t="s">
        <v>1387</v>
      </c>
      <c r="E931" s="454">
        <v>22829.8</v>
      </c>
      <c r="F931">
        <v>20193.400000000001</v>
      </c>
      <c r="G931" s="427">
        <v>0</v>
      </c>
      <c r="H931" s="155">
        <v>0</v>
      </c>
      <c r="I931">
        <v>0</v>
      </c>
      <c r="J931">
        <v>0</v>
      </c>
      <c r="K931">
        <v>0</v>
      </c>
      <c r="L931" s="4">
        <v>0</v>
      </c>
      <c r="M931" s="4">
        <v>0</v>
      </c>
      <c r="N931" s="4">
        <v>0</v>
      </c>
      <c r="O931" s="4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1476.4</v>
      </c>
      <c r="X931">
        <v>1482</v>
      </c>
      <c r="Y931">
        <v>457.20000000000005</v>
      </c>
      <c r="Z931">
        <v>0</v>
      </c>
      <c r="AA931">
        <v>0</v>
      </c>
      <c r="AB931">
        <v>0</v>
      </c>
      <c r="AC931">
        <v>0</v>
      </c>
      <c r="AD931">
        <v>3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1828.6</v>
      </c>
      <c r="AK931">
        <v>1800.7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560.70000000000005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0</v>
      </c>
      <c r="BU931">
        <v>0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  <c r="CF931">
        <v>0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  <c r="CN931">
        <v>0</v>
      </c>
      <c r="CO931">
        <v>0</v>
      </c>
      <c r="CP931">
        <v>3.5</v>
      </c>
      <c r="CQ931">
        <v>0</v>
      </c>
      <c r="CR931">
        <v>528</v>
      </c>
      <c r="CS931">
        <v>581.79999999999995</v>
      </c>
      <c r="CT931">
        <v>555.40000000000009</v>
      </c>
      <c r="CU931">
        <v>737.4</v>
      </c>
      <c r="CV931">
        <v>1039.0999999999999</v>
      </c>
      <c r="CW931">
        <v>1667.3</v>
      </c>
      <c r="CX931">
        <v>877.6</v>
      </c>
      <c r="CY931">
        <v>910.40000000000009</v>
      </c>
      <c r="CZ931">
        <v>0</v>
      </c>
      <c r="DA931">
        <v>0</v>
      </c>
      <c r="DB931">
        <v>0</v>
      </c>
      <c r="DC931">
        <v>0</v>
      </c>
      <c r="DD931">
        <v>0</v>
      </c>
      <c r="DE931">
        <v>0</v>
      </c>
      <c r="DF931">
        <v>0</v>
      </c>
      <c r="DG931">
        <v>0</v>
      </c>
      <c r="DH931">
        <v>0</v>
      </c>
      <c r="DI931">
        <v>0</v>
      </c>
      <c r="DJ931">
        <v>0</v>
      </c>
      <c r="DK931">
        <v>0</v>
      </c>
      <c r="DL931">
        <v>995.5</v>
      </c>
      <c r="DM931">
        <v>712.7</v>
      </c>
      <c r="DN931">
        <v>0</v>
      </c>
      <c r="DO931">
        <v>0</v>
      </c>
      <c r="DP931">
        <v>0</v>
      </c>
      <c r="DQ931">
        <v>0</v>
      </c>
      <c r="DR931">
        <v>0</v>
      </c>
      <c r="DS931">
        <v>0</v>
      </c>
      <c r="DT931">
        <v>0</v>
      </c>
      <c r="DU931">
        <v>0</v>
      </c>
      <c r="DV931">
        <v>0</v>
      </c>
      <c r="DW931">
        <v>0</v>
      </c>
      <c r="DX931">
        <v>0</v>
      </c>
      <c r="DY931">
        <v>0</v>
      </c>
      <c r="DZ931">
        <v>0</v>
      </c>
      <c r="EA931">
        <v>0</v>
      </c>
      <c r="EB931">
        <v>0</v>
      </c>
      <c r="EC931">
        <v>0</v>
      </c>
      <c r="ED931">
        <v>0</v>
      </c>
      <c r="EE931">
        <v>0</v>
      </c>
      <c r="EF931">
        <v>0</v>
      </c>
      <c r="EG931">
        <v>0</v>
      </c>
      <c r="EH931">
        <v>0</v>
      </c>
      <c r="EI931">
        <v>0</v>
      </c>
      <c r="EJ931">
        <v>0</v>
      </c>
      <c r="EK931">
        <v>0</v>
      </c>
      <c r="EL931">
        <v>0</v>
      </c>
      <c r="EM931">
        <v>0</v>
      </c>
      <c r="EN931">
        <v>27.4</v>
      </c>
      <c r="EO931">
        <v>0</v>
      </c>
      <c r="EP931">
        <v>1002.5</v>
      </c>
      <c r="EQ931">
        <v>0</v>
      </c>
      <c r="ER931">
        <v>494</v>
      </c>
      <c r="ES931">
        <v>0</v>
      </c>
      <c r="ET931">
        <v>699.3</v>
      </c>
      <c r="EU931">
        <v>435.4</v>
      </c>
      <c r="EV931">
        <v>0</v>
      </c>
      <c r="EW931">
        <v>0</v>
      </c>
      <c r="EX931">
        <v>0</v>
      </c>
      <c r="EY931">
        <v>0</v>
      </c>
      <c r="EZ931">
        <v>0</v>
      </c>
      <c r="FA931">
        <v>0</v>
      </c>
      <c r="FB931">
        <v>0</v>
      </c>
      <c r="FC931">
        <v>0</v>
      </c>
      <c r="FD931">
        <v>95.6</v>
      </c>
      <c r="FE931">
        <v>1792.1</v>
      </c>
      <c r="FF931">
        <v>1740.1999999999998</v>
      </c>
      <c r="FG931">
        <v>954.9</v>
      </c>
      <c r="FH931">
        <v>1087.8000000000002</v>
      </c>
      <c r="FI931">
        <v>1892.1</v>
      </c>
      <c r="FJ931">
        <v>1222.5</v>
      </c>
      <c r="FK931">
        <v>678.3</v>
      </c>
      <c r="FL931">
        <v>639.1</v>
      </c>
      <c r="FM931">
        <v>520.5</v>
      </c>
      <c r="FN931">
        <v>123.8</v>
      </c>
      <c r="FO931">
        <v>181.6</v>
      </c>
      <c r="FP931">
        <v>1090.5</v>
      </c>
      <c r="FQ931">
        <v>0</v>
      </c>
      <c r="FR931">
        <v>0</v>
      </c>
      <c r="FS931">
        <v>0</v>
      </c>
      <c r="FT931">
        <v>0</v>
      </c>
      <c r="FU931">
        <v>0</v>
      </c>
      <c r="FV931">
        <v>0</v>
      </c>
      <c r="FW931">
        <v>0</v>
      </c>
      <c r="FX931">
        <v>0</v>
      </c>
      <c r="FY931">
        <v>0</v>
      </c>
      <c r="FZ931">
        <v>0</v>
      </c>
      <c r="GA931">
        <v>0</v>
      </c>
      <c r="GB931">
        <v>0</v>
      </c>
      <c r="GC931">
        <v>0</v>
      </c>
      <c r="GD931">
        <v>0</v>
      </c>
      <c r="GE931">
        <v>0</v>
      </c>
      <c r="GF931">
        <v>198.3</v>
      </c>
      <c r="GG931">
        <v>1054.4000000000001</v>
      </c>
      <c r="GH931">
        <v>552.79999999999995</v>
      </c>
      <c r="GI931">
        <v>522</v>
      </c>
      <c r="GJ931">
        <v>0</v>
      </c>
      <c r="GK931">
        <v>0</v>
      </c>
      <c r="GL931">
        <v>0</v>
      </c>
      <c r="GM931">
        <v>0</v>
      </c>
      <c r="GN931">
        <v>791.40000000000009</v>
      </c>
      <c r="GO931">
        <v>1816.5</v>
      </c>
      <c r="GP931">
        <v>0</v>
      </c>
      <c r="GQ931">
        <v>0</v>
      </c>
      <c r="GR931">
        <v>0</v>
      </c>
      <c r="GS931">
        <v>0</v>
      </c>
      <c r="GT931">
        <v>0</v>
      </c>
      <c r="GU931">
        <v>0</v>
      </c>
      <c r="GV931">
        <v>0</v>
      </c>
      <c r="GW931">
        <v>0</v>
      </c>
      <c r="GX931">
        <v>0</v>
      </c>
      <c r="GY931">
        <v>840.3</v>
      </c>
      <c r="GZ931">
        <v>0</v>
      </c>
      <c r="HA931">
        <v>0</v>
      </c>
      <c r="HB931">
        <v>0</v>
      </c>
      <c r="HC931">
        <v>380.4</v>
      </c>
      <c r="HD931">
        <v>2175.5</v>
      </c>
      <c r="HE931">
        <v>0</v>
      </c>
      <c r="HF931">
        <v>0</v>
      </c>
      <c r="HG931">
        <v>0</v>
      </c>
      <c r="HH931">
        <v>0</v>
      </c>
      <c r="HI931">
        <v>0</v>
      </c>
      <c r="HJ931">
        <v>803.40000000000009</v>
      </c>
      <c r="HK931">
        <v>1270.9000000000001</v>
      </c>
      <c r="HL931">
        <v>835.7</v>
      </c>
      <c r="HM931">
        <v>1162.5999999999999</v>
      </c>
      <c r="HN931">
        <v>0</v>
      </c>
      <c r="HO931">
        <v>0</v>
      </c>
      <c r="HP931">
        <v>0</v>
      </c>
      <c r="HQ931">
        <v>0</v>
      </c>
      <c r="HR931">
        <v>161.19999999999999</v>
      </c>
      <c r="HS931">
        <v>0</v>
      </c>
      <c r="HT931">
        <v>2048.5</v>
      </c>
      <c r="HU931">
        <v>2627.5</v>
      </c>
      <c r="HV931">
        <v>1168.5999999999999</v>
      </c>
      <c r="HW931">
        <v>388</v>
      </c>
      <c r="HX931">
        <v>0</v>
      </c>
      <c r="HY931">
        <v>0</v>
      </c>
      <c r="HZ931">
        <v>0</v>
      </c>
      <c r="IA931">
        <v>0</v>
      </c>
      <c r="IB931">
        <v>0</v>
      </c>
      <c r="IC931">
        <v>594.4</v>
      </c>
      <c r="ID931">
        <v>427.4</v>
      </c>
      <c r="IE931">
        <v>713.3</v>
      </c>
      <c r="IF931">
        <v>626.1</v>
      </c>
      <c r="IG931">
        <v>0</v>
      </c>
      <c r="IH931">
        <v>0</v>
      </c>
      <c r="II931">
        <v>995.7</v>
      </c>
      <c r="IJ931">
        <v>1156.5999999999999</v>
      </c>
      <c r="IK931">
        <v>864.6</v>
      </c>
      <c r="IL931">
        <v>316.5</v>
      </c>
      <c r="IM931">
        <v>101.5</v>
      </c>
      <c r="IN931">
        <v>71.8</v>
      </c>
      <c r="IO931">
        <v>0</v>
      </c>
      <c r="IP931">
        <v>0</v>
      </c>
      <c r="IQ931">
        <v>0</v>
      </c>
      <c r="IR931">
        <v>0</v>
      </c>
      <c r="IS931">
        <v>0</v>
      </c>
      <c r="IT931">
        <v>0</v>
      </c>
      <c r="IU931">
        <v>0</v>
      </c>
      <c r="IV931">
        <v>0</v>
      </c>
      <c r="IW931">
        <v>68</v>
      </c>
      <c r="IX931">
        <v>404.7</v>
      </c>
      <c r="IY931">
        <v>126.6</v>
      </c>
      <c r="IZ931">
        <v>126.6</v>
      </c>
      <c r="JA931">
        <v>503.7</v>
      </c>
      <c r="JB931">
        <v>570.1</v>
      </c>
      <c r="JC931">
        <v>328.3</v>
      </c>
      <c r="JD931">
        <v>0</v>
      </c>
      <c r="JE931">
        <v>0</v>
      </c>
      <c r="JF931">
        <v>0</v>
      </c>
      <c r="JG931">
        <v>0</v>
      </c>
      <c r="JH931">
        <v>287.3</v>
      </c>
      <c r="JI931">
        <v>68.2</v>
      </c>
      <c r="JJ931">
        <v>0</v>
      </c>
      <c r="JK931">
        <v>148.6</v>
      </c>
      <c r="JL931">
        <v>0</v>
      </c>
      <c r="JM931">
        <v>0</v>
      </c>
      <c r="JN931">
        <v>204.5</v>
      </c>
      <c r="JO931">
        <v>292.10000000000002</v>
      </c>
      <c r="JP931">
        <v>670.8</v>
      </c>
      <c r="JQ931">
        <v>745.2</v>
      </c>
      <c r="JR931">
        <v>242.9</v>
      </c>
    </row>
    <row r="932" spans="2:278" ht="18" thickBot="1">
      <c r="B932" s="368" t="s">
        <v>1299</v>
      </c>
      <c r="C932" s="413" t="s">
        <v>1603</v>
      </c>
      <c r="D932" s="368" t="s">
        <v>1387</v>
      </c>
      <c r="E932" s="454">
        <v>22829.8</v>
      </c>
      <c r="F932">
        <v>20193.400000000001</v>
      </c>
      <c r="G932" s="427">
        <v>0</v>
      </c>
      <c r="H932" s="155">
        <v>0</v>
      </c>
      <c r="I932">
        <v>0</v>
      </c>
      <c r="J932">
        <v>0</v>
      </c>
      <c r="K932">
        <v>0</v>
      </c>
      <c r="L932" s="4">
        <v>0</v>
      </c>
      <c r="M932" s="4">
        <v>0</v>
      </c>
      <c r="N932" s="4">
        <v>0</v>
      </c>
      <c r="O932" s="4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1476.4</v>
      </c>
      <c r="X932">
        <v>1482</v>
      </c>
      <c r="Y932">
        <v>457.20000000000005</v>
      </c>
      <c r="Z932">
        <v>0</v>
      </c>
      <c r="AA932">
        <v>0</v>
      </c>
      <c r="AB932">
        <v>0</v>
      </c>
      <c r="AC932">
        <v>0</v>
      </c>
      <c r="AD932">
        <v>3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1828.6</v>
      </c>
      <c r="AK932">
        <v>1800.7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560.70000000000005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  <c r="CF932">
        <v>0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  <c r="CN932">
        <v>0</v>
      </c>
      <c r="CO932">
        <v>0</v>
      </c>
      <c r="CP932">
        <v>3.5</v>
      </c>
      <c r="CQ932">
        <v>0</v>
      </c>
      <c r="CR932">
        <v>528</v>
      </c>
      <c r="CS932">
        <v>581.79999999999995</v>
      </c>
      <c r="CT932">
        <v>555.40000000000009</v>
      </c>
      <c r="CU932">
        <v>737.4</v>
      </c>
      <c r="CV932">
        <v>1039.0999999999999</v>
      </c>
      <c r="CW932">
        <v>1667.3</v>
      </c>
      <c r="CX932">
        <v>877.6</v>
      </c>
      <c r="CY932">
        <v>910.40000000000009</v>
      </c>
      <c r="CZ932">
        <v>0</v>
      </c>
      <c r="DA932">
        <v>0</v>
      </c>
      <c r="DB932">
        <v>0</v>
      </c>
      <c r="DC932">
        <v>0</v>
      </c>
      <c r="DD932">
        <v>0</v>
      </c>
      <c r="DE932">
        <v>0</v>
      </c>
      <c r="DF932">
        <v>0</v>
      </c>
      <c r="DG932">
        <v>0</v>
      </c>
      <c r="DH932">
        <v>0</v>
      </c>
      <c r="DI932">
        <v>0</v>
      </c>
      <c r="DJ932">
        <v>0</v>
      </c>
      <c r="DK932">
        <v>0</v>
      </c>
      <c r="DL932">
        <v>995.5</v>
      </c>
      <c r="DM932">
        <v>712.7</v>
      </c>
      <c r="DN932">
        <v>0</v>
      </c>
      <c r="DO932">
        <v>0</v>
      </c>
      <c r="DP932">
        <v>0</v>
      </c>
      <c r="DQ932">
        <v>0</v>
      </c>
      <c r="DR932">
        <v>0</v>
      </c>
      <c r="DS932">
        <v>0</v>
      </c>
      <c r="DT932">
        <v>0</v>
      </c>
      <c r="DU932">
        <v>0</v>
      </c>
      <c r="DV932">
        <v>0</v>
      </c>
      <c r="DW932">
        <v>0</v>
      </c>
      <c r="DX932">
        <v>0</v>
      </c>
      <c r="DY932">
        <v>0</v>
      </c>
      <c r="DZ932">
        <v>0</v>
      </c>
      <c r="EA932">
        <v>0</v>
      </c>
      <c r="EB932">
        <v>0</v>
      </c>
      <c r="EC932">
        <v>0</v>
      </c>
      <c r="ED932">
        <v>0</v>
      </c>
      <c r="EE932">
        <v>0</v>
      </c>
      <c r="EF932">
        <v>0</v>
      </c>
      <c r="EG932">
        <v>0</v>
      </c>
      <c r="EH932">
        <v>0</v>
      </c>
      <c r="EI932">
        <v>0</v>
      </c>
      <c r="EJ932">
        <v>0</v>
      </c>
      <c r="EK932">
        <v>0</v>
      </c>
      <c r="EL932">
        <v>0</v>
      </c>
      <c r="EM932">
        <v>0</v>
      </c>
      <c r="EN932">
        <v>27.4</v>
      </c>
      <c r="EO932">
        <v>0</v>
      </c>
      <c r="EP932">
        <v>1002.5</v>
      </c>
      <c r="EQ932">
        <v>0</v>
      </c>
      <c r="ER932">
        <v>494</v>
      </c>
      <c r="ES932">
        <v>0</v>
      </c>
      <c r="ET932">
        <v>699.3</v>
      </c>
      <c r="EU932">
        <v>435.4</v>
      </c>
      <c r="EV932">
        <v>0</v>
      </c>
      <c r="EW932">
        <v>0</v>
      </c>
      <c r="EX932">
        <v>0</v>
      </c>
      <c r="EY932">
        <v>0</v>
      </c>
      <c r="EZ932">
        <v>0</v>
      </c>
      <c r="FA932">
        <v>0</v>
      </c>
      <c r="FB932">
        <v>0</v>
      </c>
      <c r="FC932">
        <v>0</v>
      </c>
      <c r="FD932">
        <v>95.6</v>
      </c>
      <c r="FE932">
        <v>1792.1</v>
      </c>
      <c r="FF932">
        <v>1740.1999999999998</v>
      </c>
      <c r="FG932">
        <v>954.9</v>
      </c>
      <c r="FH932">
        <v>1087.8000000000002</v>
      </c>
      <c r="FI932">
        <v>1892.1</v>
      </c>
      <c r="FJ932">
        <v>1222.5</v>
      </c>
      <c r="FK932">
        <v>678.3</v>
      </c>
      <c r="FL932">
        <v>639.1</v>
      </c>
      <c r="FM932">
        <v>520.5</v>
      </c>
      <c r="FN932">
        <v>123.8</v>
      </c>
      <c r="FO932">
        <v>181.6</v>
      </c>
      <c r="FP932">
        <v>1090.5</v>
      </c>
      <c r="FQ932">
        <v>0</v>
      </c>
      <c r="FR932">
        <v>0</v>
      </c>
      <c r="FS932">
        <v>0</v>
      </c>
      <c r="FT932">
        <v>0</v>
      </c>
      <c r="FU932">
        <v>0</v>
      </c>
      <c r="FV932">
        <v>0</v>
      </c>
      <c r="FW932">
        <v>0</v>
      </c>
      <c r="FX932">
        <v>0</v>
      </c>
      <c r="FY932">
        <v>0</v>
      </c>
      <c r="FZ932">
        <v>0</v>
      </c>
      <c r="GA932">
        <v>0</v>
      </c>
      <c r="GB932">
        <v>0</v>
      </c>
      <c r="GC932">
        <v>0</v>
      </c>
      <c r="GD932">
        <v>0</v>
      </c>
      <c r="GE932">
        <v>0</v>
      </c>
      <c r="GF932">
        <v>198.3</v>
      </c>
      <c r="GG932">
        <v>1054.4000000000001</v>
      </c>
      <c r="GH932">
        <v>552.79999999999995</v>
      </c>
      <c r="GI932">
        <v>522</v>
      </c>
      <c r="GJ932">
        <v>0</v>
      </c>
      <c r="GK932">
        <v>0</v>
      </c>
      <c r="GL932">
        <v>0</v>
      </c>
      <c r="GM932">
        <v>0</v>
      </c>
      <c r="GN932">
        <v>791.40000000000009</v>
      </c>
      <c r="GO932">
        <v>1816.5</v>
      </c>
      <c r="GP932">
        <v>0</v>
      </c>
      <c r="GQ932">
        <v>0</v>
      </c>
      <c r="GR932">
        <v>0</v>
      </c>
      <c r="GS932">
        <v>0</v>
      </c>
      <c r="GT932">
        <v>0</v>
      </c>
      <c r="GU932">
        <v>0</v>
      </c>
      <c r="GV932">
        <v>0</v>
      </c>
      <c r="GW932">
        <v>0</v>
      </c>
      <c r="GX932">
        <v>0</v>
      </c>
      <c r="GY932">
        <v>840.3</v>
      </c>
      <c r="GZ932">
        <v>0</v>
      </c>
      <c r="HA932">
        <v>0</v>
      </c>
      <c r="HB932">
        <v>0</v>
      </c>
      <c r="HC932">
        <v>380.4</v>
      </c>
      <c r="HD932">
        <v>2175.5</v>
      </c>
      <c r="HE932">
        <v>0</v>
      </c>
      <c r="HF932">
        <v>0</v>
      </c>
      <c r="HG932">
        <v>0</v>
      </c>
      <c r="HH932">
        <v>0</v>
      </c>
      <c r="HI932">
        <v>0</v>
      </c>
      <c r="HJ932">
        <v>803.40000000000009</v>
      </c>
      <c r="HK932">
        <v>1270.9000000000001</v>
      </c>
      <c r="HL932">
        <v>835.7</v>
      </c>
      <c r="HM932">
        <v>1162.5999999999999</v>
      </c>
      <c r="HN932">
        <v>0</v>
      </c>
      <c r="HO932">
        <v>0</v>
      </c>
      <c r="HP932">
        <v>0</v>
      </c>
      <c r="HQ932">
        <v>0</v>
      </c>
      <c r="HR932">
        <v>161.19999999999999</v>
      </c>
      <c r="HS932">
        <v>0</v>
      </c>
      <c r="HT932">
        <v>2048.5</v>
      </c>
      <c r="HU932">
        <v>2627.5</v>
      </c>
      <c r="HV932">
        <v>1168.5999999999999</v>
      </c>
      <c r="HW932">
        <v>388</v>
      </c>
      <c r="HX932">
        <v>0</v>
      </c>
      <c r="HY932">
        <v>0</v>
      </c>
      <c r="HZ932">
        <v>0</v>
      </c>
      <c r="IA932">
        <v>0</v>
      </c>
      <c r="IB932">
        <v>0</v>
      </c>
      <c r="IC932">
        <v>594.4</v>
      </c>
      <c r="ID932">
        <v>427.4</v>
      </c>
      <c r="IE932">
        <v>713.3</v>
      </c>
      <c r="IF932">
        <v>626.1</v>
      </c>
      <c r="IG932">
        <v>0</v>
      </c>
      <c r="IH932">
        <v>0</v>
      </c>
      <c r="II932">
        <v>995.7</v>
      </c>
      <c r="IJ932">
        <v>1156.5999999999999</v>
      </c>
      <c r="IK932">
        <v>864.6</v>
      </c>
      <c r="IL932">
        <v>316.5</v>
      </c>
      <c r="IM932">
        <v>101.5</v>
      </c>
      <c r="IN932">
        <v>71.8</v>
      </c>
      <c r="IO932">
        <v>0</v>
      </c>
      <c r="IP932">
        <v>0</v>
      </c>
      <c r="IQ932">
        <v>0</v>
      </c>
      <c r="IR932">
        <v>0</v>
      </c>
      <c r="IS932">
        <v>0</v>
      </c>
      <c r="IT932">
        <v>0</v>
      </c>
      <c r="IU932">
        <v>0</v>
      </c>
      <c r="IV932">
        <v>0</v>
      </c>
      <c r="IW932">
        <v>68</v>
      </c>
      <c r="IX932">
        <v>404.7</v>
      </c>
      <c r="IY932">
        <v>126.6</v>
      </c>
      <c r="IZ932">
        <v>126.6</v>
      </c>
      <c r="JA932">
        <v>503.7</v>
      </c>
      <c r="JB932">
        <v>570.1</v>
      </c>
      <c r="JC932">
        <v>328.3</v>
      </c>
      <c r="JD932">
        <v>0</v>
      </c>
      <c r="JE932">
        <v>0</v>
      </c>
      <c r="JF932">
        <v>0</v>
      </c>
      <c r="JG932">
        <v>0</v>
      </c>
      <c r="JH932">
        <v>287.3</v>
      </c>
      <c r="JI932">
        <v>68.2</v>
      </c>
      <c r="JJ932">
        <v>0</v>
      </c>
      <c r="JK932">
        <v>148.6</v>
      </c>
      <c r="JL932">
        <v>0</v>
      </c>
      <c r="JM932">
        <v>0</v>
      </c>
      <c r="JN932">
        <v>204.5</v>
      </c>
      <c r="JO932">
        <v>292.10000000000002</v>
      </c>
      <c r="JP932">
        <v>670.8</v>
      </c>
      <c r="JQ932">
        <v>745.2</v>
      </c>
      <c r="JR932">
        <v>242.9</v>
      </c>
    </row>
    <row r="933" spans="2:278" ht="18" thickBot="1">
      <c r="B933" s="522" t="s">
        <v>1300</v>
      </c>
      <c r="C933" s="535" t="s">
        <v>1604</v>
      </c>
      <c r="D933" s="529" t="s">
        <v>1387</v>
      </c>
      <c r="E933" s="454">
        <v>22829.8</v>
      </c>
      <c r="F933">
        <v>20193.400000000001</v>
      </c>
      <c r="G933" s="427">
        <v>0</v>
      </c>
      <c r="H933" s="155">
        <v>0</v>
      </c>
      <c r="I933">
        <v>0</v>
      </c>
      <c r="J933">
        <v>0</v>
      </c>
      <c r="K933">
        <v>0</v>
      </c>
      <c r="L933" s="4">
        <v>0</v>
      </c>
      <c r="M933" s="4">
        <v>0</v>
      </c>
      <c r="N933" s="4">
        <v>0</v>
      </c>
      <c r="O933" s="4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1476.4</v>
      </c>
      <c r="X933">
        <v>1482</v>
      </c>
      <c r="Y933">
        <v>457.20000000000005</v>
      </c>
      <c r="Z933">
        <v>0</v>
      </c>
      <c r="AA933">
        <v>0</v>
      </c>
      <c r="AB933">
        <v>0</v>
      </c>
      <c r="AC933">
        <v>0</v>
      </c>
      <c r="AD933">
        <v>3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1828.6</v>
      </c>
      <c r="AK933">
        <v>1800.7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560.70000000000005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  <c r="CF933">
        <v>0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  <c r="CN933">
        <v>0</v>
      </c>
      <c r="CO933">
        <v>0</v>
      </c>
      <c r="CP933">
        <v>3.5</v>
      </c>
      <c r="CQ933">
        <v>0</v>
      </c>
      <c r="CR933">
        <v>528</v>
      </c>
      <c r="CS933">
        <v>581.79999999999995</v>
      </c>
      <c r="CT933">
        <v>555.40000000000009</v>
      </c>
      <c r="CU933">
        <v>737.4</v>
      </c>
      <c r="CV933">
        <v>1039.0999999999999</v>
      </c>
      <c r="CW933">
        <v>1667.3</v>
      </c>
      <c r="CX933">
        <v>877.6</v>
      </c>
      <c r="CY933">
        <v>910.40000000000009</v>
      </c>
      <c r="CZ933">
        <v>0</v>
      </c>
      <c r="DA933">
        <v>0</v>
      </c>
      <c r="DB933">
        <v>0</v>
      </c>
      <c r="DC933">
        <v>0</v>
      </c>
      <c r="DD933">
        <v>0</v>
      </c>
      <c r="DE933">
        <v>0</v>
      </c>
      <c r="DF933">
        <v>0</v>
      </c>
      <c r="DG933">
        <v>0</v>
      </c>
      <c r="DH933">
        <v>0</v>
      </c>
      <c r="DI933">
        <v>0</v>
      </c>
      <c r="DJ933">
        <v>0</v>
      </c>
      <c r="DK933">
        <v>0</v>
      </c>
      <c r="DL933">
        <v>995.5</v>
      </c>
      <c r="DM933">
        <v>712.7</v>
      </c>
      <c r="DN933">
        <v>0</v>
      </c>
      <c r="DO933">
        <v>0</v>
      </c>
      <c r="DP933">
        <v>0</v>
      </c>
      <c r="DQ933">
        <v>0</v>
      </c>
      <c r="DR933">
        <v>0</v>
      </c>
      <c r="DS933">
        <v>0</v>
      </c>
      <c r="DT933">
        <v>0</v>
      </c>
      <c r="DU933">
        <v>0</v>
      </c>
      <c r="DV933">
        <v>0</v>
      </c>
      <c r="DW933">
        <v>0</v>
      </c>
      <c r="DX933">
        <v>0</v>
      </c>
      <c r="DY933">
        <v>0</v>
      </c>
      <c r="DZ933">
        <v>0</v>
      </c>
      <c r="EA933">
        <v>0</v>
      </c>
      <c r="EB933">
        <v>0</v>
      </c>
      <c r="EC933">
        <v>0</v>
      </c>
      <c r="ED933">
        <v>0</v>
      </c>
      <c r="EE933">
        <v>0</v>
      </c>
      <c r="EF933">
        <v>0</v>
      </c>
      <c r="EG933">
        <v>0</v>
      </c>
      <c r="EH933">
        <v>0</v>
      </c>
      <c r="EI933">
        <v>0</v>
      </c>
      <c r="EJ933">
        <v>0</v>
      </c>
      <c r="EK933">
        <v>0</v>
      </c>
      <c r="EL933">
        <v>0</v>
      </c>
      <c r="EM933">
        <v>0</v>
      </c>
      <c r="EN933">
        <v>27.4</v>
      </c>
      <c r="EO933">
        <v>0</v>
      </c>
      <c r="EP933">
        <v>1002.5</v>
      </c>
      <c r="EQ933">
        <v>0</v>
      </c>
      <c r="ER933">
        <v>494</v>
      </c>
      <c r="ES933">
        <v>0</v>
      </c>
      <c r="ET933">
        <v>699.3</v>
      </c>
      <c r="EU933">
        <v>435.4</v>
      </c>
      <c r="EV933">
        <v>0</v>
      </c>
      <c r="EW933">
        <v>0</v>
      </c>
      <c r="EX933">
        <v>0</v>
      </c>
      <c r="EY933">
        <v>0</v>
      </c>
      <c r="EZ933">
        <v>0</v>
      </c>
      <c r="FA933">
        <v>0</v>
      </c>
      <c r="FB933">
        <v>0</v>
      </c>
      <c r="FC933">
        <v>0</v>
      </c>
      <c r="FD933">
        <v>95.6</v>
      </c>
      <c r="FE933">
        <v>1792.1</v>
      </c>
      <c r="FF933">
        <v>1740.1999999999998</v>
      </c>
      <c r="FG933">
        <v>954.9</v>
      </c>
      <c r="FH933">
        <v>1087.8000000000002</v>
      </c>
      <c r="FI933">
        <v>1892.1</v>
      </c>
      <c r="FJ933">
        <v>1222.5</v>
      </c>
      <c r="FK933">
        <v>678.3</v>
      </c>
      <c r="FL933">
        <v>639.1</v>
      </c>
      <c r="FM933">
        <v>520.5</v>
      </c>
      <c r="FN933">
        <v>123.8</v>
      </c>
      <c r="FO933">
        <v>181.6</v>
      </c>
      <c r="FP933">
        <v>1090.5</v>
      </c>
      <c r="FQ933">
        <v>0</v>
      </c>
      <c r="FR933">
        <v>0</v>
      </c>
      <c r="FS933">
        <v>0</v>
      </c>
      <c r="FT933">
        <v>0</v>
      </c>
      <c r="FU933">
        <v>0</v>
      </c>
      <c r="FV933">
        <v>0</v>
      </c>
      <c r="FW933">
        <v>0</v>
      </c>
      <c r="FX933">
        <v>0</v>
      </c>
      <c r="FY933">
        <v>0</v>
      </c>
      <c r="FZ933">
        <v>0</v>
      </c>
      <c r="GA933">
        <v>0</v>
      </c>
      <c r="GB933">
        <v>0</v>
      </c>
      <c r="GC933">
        <v>0</v>
      </c>
      <c r="GD933">
        <v>0</v>
      </c>
      <c r="GE933">
        <v>0</v>
      </c>
      <c r="GF933">
        <v>198.3</v>
      </c>
      <c r="GG933">
        <v>1054.4000000000001</v>
      </c>
      <c r="GH933">
        <v>552.79999999999995</v>
      </c>
      <c r="GI933">
        <v>522</v>
      </c>
      <c r="GJ933">
        <v>0</v>
      </c>
      <c r="GK933">
        <v>0</v>
      </c>
      <c r="GL933">
        <v>0</v>
      </c>
      <c r="GM933">
        <v>0</v>
      </c>
      <c r="GN933">
        <v>791.40000000000009</v>
      </c>
      <c r="GO933">
        <v>1816.5</v>
      </c>
      <c r="GP933">
        <v>0</v>
      </c>
      <c r="GQ933">
        <v>0</v>
      </c>
      <c r="GR933">
        <v>0</v>
      </c>
      <c r="GS933">
        <v>0</v>
      </c>
      <c r="GT933">
        <v>0</v>
      </c>
      <c r="GU933">
        <v>0</v>
      </c>
      <c r="GV933">
        <v>0</v>
      </c>
      <c r="GW933">
        <v>0</v>
      </c>
      <c r="GX933">
        <v>0</v>
      </c>
      <c r="GY933">
        <v>840.3</v>
      </c>
      <c r="GZ933">
        <v>0</v>
      </c>
      <c r="HA933">
        <v>0</v>
      </c>
      <c r="HB933">
        <v>0</v>
      </c>
      <c r="HC933">
        <v>380.4</v>
      </c>
      <c r="HD933">
        <v>2175.5</v>
      </c>
      <c r="HE933">
        <v>0</v>
      </c>
      <c r="HF933">
        <v>0</v>
      </c>
      <c r="HG933">
        <v>0</v>
      </c>
      <c r="HH933">
        <v>0</v>
      </c>
      <c r="HI933">
        <v>0</v>
      </c>
      <c r="HJ933">
        <v>803.40000000000009</v>
      </c>
      <c r="HK933">
        <v>1270.9000000000001</v>
      </c>
      <c r="HL933">
        <v>835.7</v>
      </c>
      <c r="HM933">
        <v>1162.5999999999999</v>
      </c>
      <c r="HN933">
        <v>0</v>
      </c>
      <c r="HO933">
        <v>0</v>
      </c>
      <c r="HP933">
        <v>0</v>
      </c>
      <c r="HQ933">
        <v>0</v>
      </c>
      <c r="HR933">
        <v>161.19999999999999</v>
      </c>
      <c r="HS933">
        <v>0</v>
      </c>
      <c r="HT933">
        <v>2048.5</v>
      </c>
      <c r="HU933">
        <v>2627.5</v>
      </c>
      <c r="HV933">
        <v>1168.5999999999999</v>
      </c>
      <c r="HW933">
        <v>388</v>
      </c>
      <c r="HX933">
        <v>0</v>
      </c>
      <c r="HY933">
        <v>0</v>
      </c>
      <c r="HZ933">
        <v>0</v>
      </c>
      <c r="IA933">
        <v>0</v>
      </c>
      <c r="IB933">
        <v>0</v>
      </c>
      <c r="IC933">
        <v>594.4</v>
      </c>
      <c r="ID933">
        <v>427.4</v>
      </c>
      <c r="IE933">
        <v>713.3</v>
      </c>
      <c r="IF933">
        <v>626.1</v>
      </c>
      <c r="IG933">
        <v>0</v>
      </c>
      <c r="IH933">
        <v>0</v>
      </c>
      <c r="II933">
        <v>995.7</v>
      </c>
      <c r="IJ933">
        <v>1156.5999999999999</v>
      </c>
      <c r="IK933">
        <v>864.6</v>
      </c>
      <c r="IL933">
        <v>316.5</v>
      </c>
      <c r="IM933">
        <v>101.5</v>
      </c>
      <c r="IN933">
        <v>71.8</v>
      </c>
      <c r="IO933">
        <v>0</v>
      </c>
      <c r="IP933">
        <v>0</v>
      </c>
      <c r="IQ933">
        <v>0</v>
      </c>
      <c r="IR933">
        <v>0</v>
      </c>
      <c r="IS933">
        <v>0</v>
      </c>
      <c r="IT933">
        <v>0</v>
      </c>
      <c r="IU933">
        <v>0</v>
      </c>
      <c r="IV933">
        <v>0</v>
      </c>
      <c r="IW933">
        <v>68</v>
      </c>
      <c r="IX933">
        <v>404.7</v>
      </c>
      <c r="IY933">
        <v>126.6</v>
      </c>
      <c r="IZ933">
        <v>126.6</v>
      </c>
      <c r="JA933">
        <v>503.7</v>
      </c>
      <c r="JB933">
        <v>570.1</v>
      </c>
      <c r="JC933">
        <v>328.3</v>
      </c>
      <c r="JD933">
        <v>0</v>
      </c>
      <c r="JE933">
        <v>0</v>
      </c>
      <c r="JF933">
        <v>0</v>
      </c>
      <c r="JG933">
        <v>0</v>
      </c>
      <c r="JH933">
        <v>287.3</v>
      </c>
      <c r="JI933">
        <v>68.2</v>
      </c>
      <c r="JJ933">
        <v>0</v>
      </c>
      <c r="JK933">
        <v>148.6</v>
      </c>
      <c r="JL933">
        <v>0</v>
      </c>
      <c r="JM933">
        <v>0</v>
      </c>
      <c r="JN933">
        <v>204.5</v>
      </c>
      <c r="JO933">
        <v>292.10000000000002</v>
      </c>
      <c r="JP933">
        <v>670.8</v>
      </c>
      <c r="JQ933">
        <v>745.2</v>
      </c>
      <c r="JR933">
        <v>242.9</v>
      </c>
    </row>
    <row r="934" spans="2:278" ht="18" thickBot="1">
      <c r="B934" s="523"/>
      <c r="C934" s="543"/>
      <c r="D934" s="530"/>
      <c r="E934" s="454">
        <v>22829.8</v>
      </c>
      <c r="F934">
        <v>20193.400000000001</v>
      </c>
      <c r="G934" s="427">
        <v>0</v>
      </c>
      <c r="H934" s="155">
        <v>0</v>
      </c>
      <c r="I934">
        <v>0</v>
      </c>
      <c r="J934">
        <v>0</v>
      </c>
      <c r="K934">
        <v>0</v>
      </c>
      <c r="L934" s="4">
        <v>0</v>
      </c>
      <c r="M934" s="4">
        <v>0</v>
      </c>
      <c r="N934" s="4">
        <v>0</v>
      </c>
      <c r="O934" s="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1476.4</v>
      </c>
      <c r="X934">
        <v>1482</v>
      </c>
      <c r="Y934">
        <v>457.20000000000005</v>
      </c>
      <c r="Z934">
        <v>0</v>
      </c>
      <c r="AA934">
        <v>0</v>
      </c>
      <c r="AB934">
        <v>0</v>
      </c>
      <c r="AC934">
        <v>0</v>
      </c>
      <c r="AD934">
        <v>3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1828.6</v>
      </c>
      <c r="AK934">
        <v>1800.7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560.70000000000005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  <c r="CF934">
        <v>0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  <c r="CN934">
        <v>0</v>
      </c>
      <c r="CO934">
        <v>0</v>
      </c>
      <c r="CP934">
        <v>3.5</v>
      </c>
      <c r="CQ934">
        <v>0</v>
      </c>
      <c r="CR934">
        <v>528</v>
      </c>
      <c r="CS934">
        <v>581.79999999999995</v>
      </c>
      <c r="CT934">
        <v>555.40000000000009</v>
      </c>
      <c r="CU934">
        <v>737.4</v>
      </c>
      <c r="CV934">
        <v>1039.0999999999999</v>
      </c>
      <c r="CW934">
        <v>1667.3</v>
      </c>
      <c r="CX934">
        <v>877.6</v>
      </c>
      <c r="CY934">
        <v>910.40000000000009</v>
      </c>
      <c r="CZ934">
        <v>0</v>
      </c>
      <c r="DA934">
        <v>0</v>
      </c>
      <c r="DB934">
        <v>0</v>
      </c>
      <c r="DC934">
        <v>0</v>
      </c>
      <c r="DD934">
        <v>0</v>
      </c>
      <c r="DE934">
        <v>0</v>
      </c>
      <c r="DF934">
        <v>0</v>
      </c>
      <c r="DG934">
        <v>0</v>
      </c>
      <c r="DH934">
        <v>0</v>
      </c>
      <c r="DI934">
        <v>0</v>
      </c>
      <c r="DJ934">
        <v>0</v>
      </c>
      <c r="DK934">
        <v>0</v>
      </c>
      <c r="DL934">
        <v>995.5</v>
      </c>
      <c r="DM934">
        <v>712.7</v>
      </c>
      <c r="DN934">
        <v>0</v>
      </c>
      <c r="DO934">
        <v>0</v>
      </c>
      <c r="DP934">
        <v>0</v>
      </c>
      <c r="DQ934">
        <v>0</v>
      </c>
      <c r="DR934">
        <v>0</v>
      </c>
      <c r="DS934">
        <v>0</v>
      </c>
      <c r="DT934">
        <v>0</v>
      </c>
      <c r="DU934">
        <v>0</v>
      </c>
      <c r="DV934">
        <v>0</v>
      </c>
      <c r="DW934">
        <v>0</v>
      </c>
      <c r="DX934">
        <v>0</v>
      </c>
      <c r="DY934">
        <v>0</v>
      </c>
      <c r="DZ934">
        <v>0</v>
      </c>
      <c r="EA934">
        <v>0</v>
      </c>
      <c r="EB934">
        <v>0</v>
      </c>
      <c r="EC934">
        <v>0</v>
      </c>
      <c r="ED934">
        <v>0</v>
      </c>
      <c r="EE934">
        <v>0</v>
      </c>
      <c r="EF934">
        <v>0</v>
      </c>
      <c r="EG934">
        <v>0</v>
      </c>
      <c r="EH934">
        <v>0</v>
      </c>
      <c r="EI934">
        <v>0</v>
      </c>
      <c r="EJ934">
        <v>0</v>
      </c>
      <c r="EK934">
        <v>0</v>
      </c>
      <c r="EL934">
        <v>0</v>
      </c>
      <c r="EM934">
        <v>0</v>
      </c>
      <c r="EN934">
        <v>27.4</v>
      </c>
      <c r="EO934">
        <v>0</v>
      </c>
      <c r="EP934">
        <v>1002.5</v>
      </c>
      <c r="EQ934">
        <v>0</v>
      </c>
      <c r="ER934">
        <v>494</v>
      </c>
      <c r="ES934">
        <v>0</v>
      </c>
      <c r="ET934">
        <v>699.3</v>
      </c>
      <c r="EU934">
        <v>435.4</v>
      </c>
      <c r="EV934">
        <v>0</v>
      </c>
      <c r="EW934">
        <v>0</v>
      </c>
      <c r="EX934">
        <v>0</v>
      </c>
      <c r="EY934">
        <v>0</v>
      </c>
      <c r="EZ934">
        <v>0</v>
      </c>
      <c r="FA934">
        <v>0</v>
      </c>
      <c r="FB934">
        <v>0</v>
      </c>
      <c r="FC934">
        <v>0</v>
      </c>
      <c r="FD934">
        <v>95.6</v>
      </c>
      <c r="FE934">
        <v>1792.1</v>
      </c>
      <c r="FF934">
        <v>1740.1999999999998</v>
      </c>
      <c r="FG934">
        <v>954.9</v>
      </c>
      <c r="FH934">
        <v>1087.8000000000002</v>
      </c>
      <c r="FI934">
        <v>1892.1</v>
      </c>
      <c r="FJ934">
        <v>1222.5</v>
      </c>
      <c r="FK934">
        <v>678.3</v>
      </c>
      <c r="FL934">
        <v>639.1</v>
      </c>
      <c r="FM934">
        <v>520.5</v>
      </c>
      <c r="FN934">
        <v>123.8</v>
      </c>
      <c r="FO934">
        <v>181.6</v>
      </c>
      <c r="FP934">
        <v>1090.5</v>
      </c>
      <c r="FQ934">
        <v>0</v>
      </c>
      <c r="FR934">
        <v>0</v>
      </c>
      <c r="FS934">
        <v>0</v>
      </c>
      <c r="FT934">
        <v>0</v>
      </c>
      <c r="FU934">
        <v>0</v>
      </c>
      <c r="FV934">
        <v>0</v>
      </c>
      <c r="FW934">
        <v>0</v>
      </c>
      <c r="FX934">
        <v>0</v>
      </c>
      <c r="FY934">
        <v>0</v>
      </c>
      <c r="FZ934">
        <v>0</v>
      </c>
      <c r="GA934">
        <v>0</v>
      </c>
      <c r="GB934">
        <v>0</v>
      </c>
      <c r="GC934">
        <v>0</v>
      </c>
      <c r="GD934">
        <v>0</v>
      </c>
      <c r="GE934">
        <v>0</v>
      </c>
      <c r="GF934">
        <v>198.3</v>
      </c>
      <c r="GG934">
        <v>1054.4000000000001</v>
      </c>
      <c r="GH934">
        <v>552.79999999999995</v>
      </c>
      <c r="GI934">
        <v>522</v>
      </c>
      <c r="GJ934">
        <v>0</v>
      </c>
      <c r="GK934">
        <v>0</v>
      </c>
      <c r="GL934">
        <v>0</v>
      </c>
      <c r="GM934">
        <v>0</v>
      </c>
      <c r="GN934">
        <v>791.40000000000009</v>
      </c>
      <c r="GO934">
        <v>1816.5</v>
      </c>
      <c r="GP934">
        <v>0</v>
      </c>
      <c r="GQ934">
        <v>0</v>
      </c>
      <c r="GR934">
        <v>0</v>
      </c>
      <c r="GS934">
        <v>0</v>
      </c>
      <c r="GT934">
        <v>0</v>
      </c>
      <c r="GU934">
        <v>0</v>
      </c>
      <c r="GV934">
        <v>0</v>
      </c>
      <c r="GW934">
        <v>0</v>
      </c>
      <c r="GX934">
        <v>0</v>
      </c>
      <c r="GY934">
        <v>840.3</v>
      </c>
      <c r="GZ934">
        <v>0</v>
      </c>
      <c r="HA934">
        <v>0</v>
      </c>
      <c r="HB934">
        <v>0</v>
      </c>
      <c r="HC934">
        <v>380.4</v>
      </c>
      <c r="HD934">
        <v>2175.5</v>
      </c>
      <c r="HE934">
        <v>0</v>
      </c>
      <c r="HF934">
        <v>0</v>
      </c>
      <c r="HG934">
        <v>0</v>
      </c>
      <c r="HH934">
        <v>0</v>
      </c>
      <c r="HI934">
        <v>0</v>
      </c>
      <c r="HJ934">
        <v>803.40000000000009</v>
      </c>
      <c r="HK934">
        <v>1270.9000000000001</v>
      </c>
      <c r="HL934">
        <v>835.7</v>
      </c>
      <c r="HM934">
        <v>1162.5999999999999</v>
      </c>
      <c r="HN934">
        <v>0</v>
      </c>
      <c r="HO934">
        <v>0</v>
      </c>
      <c r="HP934">
        <v>0</v>
      </c>
      <c r="HQ934">
        <v>0</v>
      </c>
      <c r="HR934">
        <v>161.19999999999999</v>
      </c>
      <c r="HS934">
        <v>0</v>
      </c>
      <c r="HT934">
        <v>2048.5</v>
      </c>
      <c r="HU934">
        <v>2627.5</v>
      </c>
      <c r="HV934">
        <v>1168.5999999999999</v>
      </c>
      <c r="HW934">
        <v>388</v>
      </c>
      <c r="HX934">
        <v>0</v>
      </c>
      <c r="HY934">
        <v>0</v>
      </c>
      <c r="HZ934">
        <v>0</v>
      </c>
      <c r="IA934">
        <v>0</v>
      </c>
      <c r="IB934">
        <v>0</v>
      </c>
      <c r="IC934">
        <v>594.4</v>
      </c>
      <c r="ID934">
        <v>427.4</v>
      </c>
      <c r="IE934">
        <v>713.3</v>
      </c>
      <c r="IF934">
        <v>626.1</v>
      </c>
      <c r="IG934">
        <v>0</v>
      </c>
      <c r="IH934">
        <v>0</v>
      </c>
      <c r="II934">
        <v>995.7</v>
      </c>
      <c r="IJ934">
        <v>1156.5999999999999</v>
      </c>
      <c r="IK934">
        <v>864.6</v>
      </c>
      <c r="IL934">
        <v>316.5</v>
      </c>
      <c r="IM934">
        <v>101.5</v>
      </c>
      <c r="IN934">
        <v>71.8</v>
      </c>
      <c r="IO934">
        <v>0</v>
      </c>
      <c r="IP934">
        <v>0</v>
      </c>
      <c r="IQ934">
        <v>0</v>
      </c>
      <c r="IR934">
        <v>0</v>
      </c>
      <c r="IS934">
        <v>0</v>
      </c>
      <c r="IT934">
        <v>0</v>
      </c>
      <c r="IU934">
        <v>0</v>
      </c>
      <c r="IV934">
        <v>0</v>
      </c>
      <c r="IW934">
        <v>68</v>
      </c>
      <c r="IX934">
        <v>404.7</v>
      </c>
      <c r="IY934">
        <v>126.6</v>
      </c>
      <c r="IZ934">
        <v>126.6</v>
      </c>
      <c r="JA934">
        <v>503.7</v>
      </c>
      <c r="JB934">
        <v>570.1</v>
      </c>
      <c r="JC934">
        <v>328.3</v>
      </c>
      <c r="JD934">
        <v>0</v>
      </c>
      <c r="JE934">
        <v>0</v>
      </c>
      <c r="JF934">
        <v>0</v>
      </c>
      <c r="JG934">
        <v>0</v>
      </c>
      <c r="JH934">
        <v>287.3</v>
      </c>
      <c r="JI934">
        <v>68.2</v>
      </c>
      <c r="JJ934">
        <v>0</v>
      </c>
      <c r="JK934">
        <v>148.6</v>
      </c>
      <c r="JL934">
        <v>0</v>
      </c>
      <c r="JM934">
        <v>0</v>
      </c>
      <c r="JN934">
        <v>204.5</v>
      </c>
      <c r="JO934">
        <v>292.10000000000002</v>
      </c>
      <c r="JP934">
        <v>670.8</v>
      </c>
      <c r="JQ934">
        <v>745.2</v>
      </c>
      <c r="JR934">
        <v>242.9</v>
      </c>
    </row>
    <row r="935" spans="2:278" ht="18" thickBot="1">
      <c r="B935" s="522" t="s">
        <v>1301</v>
      </c>
      <c r="C935" s="535" t="s">
        <v>1605</v>
      </c>
      <c r="D935" s="529" t="s">
        <v>1387</v>
      </c>
      <c r="E935" s="454">
        <v>22829.8</v>
      </c>
      <c r="F935">
        <v>20193.400000000001</v>
      </c>
      <c r="G935" s="427">
        <v>0</v>
      </c>
      <c r="H935" s="155">
        <v>0</v>
      </c>
      <c r="I935">
        <v>0</v>
      </c>
      <c r="J935">
        <v>0</v>
      </c>
      <c r="K935">
        <v>0</v>
      </c>
      <c r="L935" s="4">
        <v>0</v>
      </c>
      <c r="M935" s="4">
        <v>0</v>
      </c>
      <c r="N935" s="4">
        <v>0</v>
      </c>
      <c r="O935" s="4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1476.4</v>
      </c>
      <c r="X935">
        <v>1482</v>
      </c>
      <c r="Y935">
        <v>457.20000000000005</v>
      </c>
      <c r="Z935">
        <v>0</v>
      </c>
      <c r="AA935">
        <v>0</v>
      </c>
      <c r="AB935">
        <v>0</v>
      </c>
      <c r="AC935">
        <v>0</v>
      </c>
      <c r="AD935">
        <v>3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1828.6</v>
      </c>
      <c r="AK935">
        <v>1800.7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560.70000000000005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  <c r="CF935">
        <v>0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  <c r="CN935">
        <v>0</v>
      </c>
      <c r="CO935">
        <v>0</v>
      </c>
      <c r="CP935">
        <v>3.5</v>
      </c>
      <c r="CQ935">
        <v>0</v>
      </c>
      <c r="CR935">
        <v>528</v>
      </c>
      <c r="CS935">
        <v>581.79999999999995</v>
      </c>
      <c r="CT935">
        <v>555.40000000000009</v>
      </c>
      <c r="CU935">
        <v>737.4</v>
      </c>
      <c r="CV935">
        <v>1039.0999999999999</v>
      </c>
      <c r="CW935">
        <v>1667.3</v>
      </c>
      <c r="CX935">
        <v>877.6</v>
      </c>
      <c r="CY935">
        <v>910.40000000000009</v>
      </c>
      <c r="CZ935">
        <v>0</v>
      </c>
      <c r="DA935">
        <v>0</v>
      </c>
      <c r="DB935">
        <v>0</v>
      </c>
      <c r="DC935">
        <v>0</v>
      </c>
      <c r="DD935">
        <v>0</v>
      </c>
      <c r="DE935">
        <v>0</v>
      </c>
      <c r="DF935">
        <v>0</v>
      </c>
      <c r="DG935">
        <v>0</v>
      </c>
      <c r="DH935">
        <v>0</v>
      </c>
      <c r="DI935">
        <v>0</v>
      </c>
      <c r="DJ935">
        <v>0</v>
      </c>
      <c r="DK935">
        <v>0</v>
      </c>
      <c r="DL935">
        <v>995.5</v>
      </c>
      <c r="DM935">
        <v>712.7</v>
      </c>
      <c r="DN935">
        <v>0</v>
      </c>
      <c r="DO935">
        <v>0</v>
      </c>
      <c r="DP935">
        <v>0</v>
      </c>
      <c r="DQ935">
        <v>0</v>
      </c>
      <c r="DR935">
        <v>0</v>
      </c>
      <c r="DS935">
        <v>0</v>
      </c>
      <c r="DT935">
        <v>0</v>
      </c>
      <c r="DU935">
        <v>0</v>
      </c>
      <c r="DV935">
        <v>0</v>
      </c>
      <c r="DW935">
        <v>0</v>
      </c>
      <c r="DX935">
        <v>0</v>
      </c>
      <c r="DY935">
        <v>0</v>
      </c>
      <c r="DZ935">
        <v>0</v>
      </c>
      <c r="EA935">
        <v>0</v>
      </c>
      <c r="EB935">
        <v>0</v>
      </c>
      <c r="EC935">
        <v>0</v>
      </c>
      <c r="ED935">
        <v>0</v>
      </c>
      <c r="EE935">
        <v>0</v>
      </c>
      <c r="EF935">
        <v>0</v>
      </c>
      <c r="EG935">
        <v>0</v>
      </c>
      <c r="EH935">
        <v>0</v>
      </c>
      <c r="EI935">
        <v>0</v>
      </c>
      <c r="EJ935">
        <v>0</v>
      </c>
      <c r="EK935">
        <v>0</v>
      </c>
      <c r="EL935">
        <v>0</v>
      </c>
      <c r="EM935">
        <v>0</v>
      </c>
      <c r="EN935">
        <v>27.4</v>
      </c>
      <c r="EO935">
        <v>0</v>
      </c>
      <c r="EP935">
        <v>1002.5</v>
      </c>
      <c r="EQ935">
        <v>0</v>
      </c>
      <c r="ER935">
        <v>494</v>
      </c>
      <c r="ES935">
        <v>0</v>
      </c>
      <c r="ET935">
        <v>699.3</v>
      </c>
      <c r="EU935">
        <v>435.4</v>
      </c>
      <c r="EV935">
        <v>0</v>
      </c>
      <c r="EW935">
        <v>0</v>
      </c>
      <c r="EX935">
        <v>0</v>
      </c>
      <c r="EY935">
        <v>0</v>
      </c>
      <c r="EZ935">
        <v>0</v>
      </c>
      <c r="FA935">
        <v>0</v>
      </c>
      <c r="FB935">
        <v>0</v>
      </c>
      <c r="FC935">
        <v>0</v>
      </c>
      <c r="FD935">
        <v>95.6</v>
      </c>
      <c r="FE935">
        <v>1792.1</v>
      </c>
      <c r="FF935">
        <v>1740.1999999999998</v>
      </c>
      <c r="FG935">
        <v>954.9</v>
      </c>
      <c r="FH935">
        <v>1087.8000000000002</v>
      </c>
      <c r="FI935">
        <v>1892.1</v>
      </c>
      <c r="FJ935">
        <v>1222.5</v>
      </c>
      <c r="FK935">
        <v>678.3</v>
      </c>
      <c r="FL935">
        <v>639.1</v>
      </c>
      <c r="FM935">
        <v>520.5</v>
      </c>
      <c r="FN935">
        <v>123.8</v>
      </c>
      <c r="FO935">
        <v>181.6</v>
      </c>
      <c r="FP935">
        <v>1090.5</v>
      </c>
      <c r="FQ935">
        <v>0</v>
      </c>
      <c r="FR935">
        <v>0</v>
      </c>
      <c r="FS935">
        <v>0</v>
      </c>
      <c r="FT935">
        <v>0</v>
      </c>
      <c r="FU935">
        <v>0</v>
      </c>
      <c r="FV935">
        <v>0</v>
      </c>
      <c r="FW935">
        <v>0</v>
      </c>
      <c r="FX935">
        <v>0</v>
      </c>
      <c r="FY935">
        <v>0</v>
      </c>
      <c r="FZ935">
        <v>0</v>
      </c>
      <c r="GA935">
        <v>0</v>
      </c>
      <c r="GB935">
        <v>0</v>
      </c>
      <c r="GC935">
        <v>0</v>
      </c>
      <c r="GD935">
        <v>0</v>
      </c>
      <c r="GE935">
        <v>0</v>
      </c>
      <c r="GF935">
        <v>198.3</v>
      </c>
      <c r="GG935">
        <v>1054.4000000000001</v>
      </c>
      <c r="GH935">
        <v>552.79999999999995</v>
      </c>
      <c r="GI935">
        <v>522</v>
      </c>
      <c r="GJ935">
        <v>0</v>
      </c>
      <c r="GK935">
        <v>0</v>
      </c>
      <c r="GL935">
        <v>0</v>
      </c>
      <c r="GM935">
        <v>0</v>
      </c>
      <c r="GN935">
        <v>791.40000000000009</v>
      </c>
      <c r="GO935">
        <v>1816.5</v>
      </c>
      <c r="GP935">
        <v>0</v>
      </c>
      <c r="GQ935">
        <v>0</v>
      </c>
      <c r="GR935">
        <v>0</v>
      </c>
      <c r="GS935">
        <v>0</v>
      </c>
      <c r="GT935">
        <v>0</v>
      </c>
      <c r="GU935">
        <v>0</v>
      </c>
      <c r="GV935">
        <v>0</v>
      </c>
      <c r="GW935">
        <v>0</v>
      </c>
      <c r="GX935">
        <v>0</v>
      </c>
      <c r="GY935">
        <v>840.3</v>
      </c>
      <c r="GZ935">
        <v>0</v>
      </c>
      <c r="HA935">
        <v>0</v>
      </c>
      <c r="HB935">
        <v>0</v>
      </c>
      <c r="HC935">
        <v>380.4</v>
      </c>
      <c r="HD935">
        <v>2175.5</v>
      </c>
      <c r="HE935">
        <v>0</v>
      </c>
      <c r="HF935">
        <v>0</v>
      </c>
      <c r="HG935">
        <v>0</v>
      </c>
      <c r="HH935">
        <v>0</v>
      </c>
      <c r="HI935">
        <v>0</v>
      </c>
      <c r="HJ935">
        <v>803.40000000000009</v>
      </c>
      <c r="HK935">
        <v>1270.9000000000001</v>
      </c>
      <c r="HL935">
        <v>835.7</v>
      </c>
      <c r="HM935">
        <v>1162.5999999999999</v>
      </c>
      <c r="HN935">
        <v>0</v>
      </c>
      <c r="HO935">
        <v>0</v>
      </c>
      <c r="HP935">
        <v>0</v>
      </c>
      <c r="HQ935">
        <v>0</v>
      </c>
      <c r="HR935">
        <v>161.19999999999999</v>
      </c>
      <c r="HS935">
        <v>0</v>
      </c>
      <c r="HT935">
        <v>2048.5</v>
      </c>
      <c r="HU935">
        <v>2627.5</v>
      </c>
      <c r="HV935">
        <v>1168.5999999999999</v>
      </c>
      <c r="HW935">
        <v>388</v>
      </c>
      <c r="HX935">
        <v>0</v>
      </c>
      <c r="HY935">
        <v>0</v>
      </c>
      <c r="HZ935">
        <v>0</v>
      </c>
      <c r="IA935">
        <v>0</v>
      </c>
      <c r="IB935">
        <v>0</v>
      </c>
      <c r="IC935">
        <v>594.4</v>
      </c>
      <c r="ID935">
        <v>427.4</v>
      </c>
      <c r="IE935">
        <v>713.3</v>
      </c>
      <c r="IF935">
        <v>626.1</v>
      </c>
      <c r="IG935">
        <v>0</v>
      </c>
      <c r="IH935">
        <v>0</v>
      </c>
      <c r="II935">
        <v>995.7</v>
      </c>
      <c r="IJ935">
        <v>1156.5999999999999</v>
      </c>
      <c r="IK935">
        <v>864.6</v>
      </c>
      <c r="IL935">
        <v>316.5</v>
      </c>
      <c r="IM935">
        <v>101.5</v>
      </c>
      <c r="IN935">
        <v>71.8</v>
      </c>
      <c r="IO935">
        <v>0</v>
      </c>
      <c r="IP935">
        <v>0</v>
      </c>
      <c r="IQ935">
        <v>0</v>
      </c>
      <c r="IR935">
        <v>0</v>
      </c>
      <c r="IS935">
        <v>0</v>
      </c>
      <c r="IT935">
        <v>0</v>
      </c>
      <c r="IU935">
        <v>0</v>
      </c>
      <c r="IV935">
        <v>0</v>
      </c>
      <c r="IW935">
        <v>68</v>
      </c>
      <c r="IX935">
        <v>404.7</v>
      </c>
      <c r="IY935">
        <v>126.6</v>
      </c>
      <c r="IZ935">
        <v>126.6</v>
      </c>
      <c r="JA935">
        <v>503.7</v>
      </c>
      <c r="JB935">
        <v>570.1</v>
      </c>
      <c r="JC935">
        <v>328.3</v>
      </c>
      <c r="JD935">
        <v>0</v>
      </c>
      <c r="JE935">
        <v>0</v>
      </c>
      <c r="JF935">
        <v>0</v>
      </c>
      <c r="JG935">
        <v>0</v>
      </c>
      <c r="JH935">
        <v>287.3</v>
      </c>
      <c r="JI935">
        <v>68.2</v>
      </c>
      <c r="JJ935">
        <v>0</v>
      </c>
      <c r="JK935">
        <v>148.6</v>
      </c>
      <c r="JL935">
        <v>0</v>
      </c>
      <c r="JM935">
        <v>0</v>
      </c>
      <c r="JN935">
        <v>204.5</v>
      </c>
      <c r="JO935">
        <v>292.10000000000002</v>
      </c>
      <c r="JP935">
        <v>670.8</v>
      </c>
      <c r="JQ935">
        <v>745.2</v>
      </c>
      <c r="JR935">
        <v>242.9</v>
      </c>
    </row>
    <row r="936" spans="2:278" ht="18" thickBot="1">
      <c r="B936" s="523"/>
      <c r="C936" s="543"/>
      <c r="D936" s="530"/>
      <c r="E936" s="454">
        <v>22829.8</v>
      </c>
      <c r="F936">
        <v>20193.400000000001</v>
      </c>
      <c r="G936" s="427">
        <v>0</v>
      </c>
      <c r="H936" s="155">
        <v>0</v>
      </c>
      <c r="I936">
        <v>0</v>
      </c>
      <c r="J936">
        <v>0</v>
      </c>
      <c r="K936">
        <v>0</v>
      </c>
      <c r="L936" s="4">
        <v>0</v>
      </c>
      <c r="M936" s="4">
        <v>0</v>
      </c>
      <c r="N936" s="4">
        <v>0</v>
      </c>
      <c r="O936" s="4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1476.4</v>
      </c>
      <c r="X936">
        <v>1482</v>
      </c>
      <c r="Y936">
        <v>457.20000000000005</v>
      </c>
      <c r="Z936">
        <v>0</v>
      </c>
      <c r="AA936">
        <v>0</v>
      </c>
      <c r="AB936">
        <v>0</v>
      </c>
      <c r="AC936">
        <v>0</v>
      </c>
      <c r="AD936">
        <v>3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1828.6</v>
      </c>
      <c r="AK936">
        <v>1800.7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560.70000000000005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0</v>
      </c>
      <c r="BQ936">
        <v>0</v>
      </c>
      <c r="BR936">
        <v>0</v>
      </c>
      <c r="BS936">
        <v>0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  <c r="CF936">
        <v>0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  <c r="CN936">
        <v>0</v>
      </c>
      <c r="CO936">
        <v>0</v>
      </c>
      <c r="CP936">
        <v>3.5</v>
      </c>
      <c r="CQ936">
        <v>0</v>
      </c>
      <c r="CR936">
        <v>528</v>
      </c>
      <c r="CS936">
        <v>581.79999999999995</v>
      </c>
      <c r="CT936">
        <v>555.40000000000009</v>
      </c>
      <c r="CU936">
        <v>737.4</v>
      </c>
      <c r="CV936">
        <v>1039.0999999999999</v>
      </c>
      <c r="CW936">
        <v>1667.3</v>
      </c>
      <c r="CX936">
        <v>877.6</v>
      </c>
      <c r="CY936">
        <v>910.40000000000009</v>
      </c>
      <c r="CZ936">
        <v>0</v>
      </c>
      <c r="DA936">
        <v>0</v>
      </c>
      <c r="DB936">
        <v>0</v>
      </c>
      <c r="DC936">
        <v>0</v>
      </c>
      <c r="DD936">
        <v>0</v>
      </c>
      <c r="DE936">
        <v>0</v>
      </c>
      <c r="DF936">
        <v>0</v>
      </c>
      <c r="DG936">
        <v>0</v>
      </c>
      <c r="DH936">
        <v>0</v>
      </c>
      <c r="DI936">
        <v>0</v>
      </c>
      <c r="DJ936">
        <v>0</v>
      </c>
      <c r="DK936">
        <v>0</v>
      </c>
      <c r="DL936">
        <v>995.5</v>
      </c>
      <c r="DM936">
        <v>712.7</v>
      </c>
      <c r="DN936">
        <v>0</v>
      </c>
      <c r="DO936">
        <v>0</v>
      </c>
      <c r="DP936">
        <v>0</v>
      </c>
      <c r="DQ936">
        <v>0</v>
      </c>
      <c r="DR936">
        <v>0</v>
      </c>
      <c r="DS936">
        <v>0</v>
      </c>
      <c r="DT936">
        <v>0</v>
      </c>
      <c r="DU936">
        <v>0</v>
      </c>
      <c r="DV936">
        <v>0</v>
      </c>
      <c r="DW936">
        <v>0</v>
      </c>
      <c r="DX936">
        <v>0</v>
      </c>
      <c r="DY936">
        <v>0</v>
      </c>
      <c r="DZ936">
        <v>0</v>
      </c>
      <c r="EA936">
        <v>0</v>
      </c>
      <c r="EB936">
        <v>0</v>
      </c>
      <c r="EC936">
        <v>0</v>
      </c>
      <c r="ED936">
        <v>0</v>
      </c>
      <c r="EE936">
        <v>0</v>
      </c>
      <c r="EF936">
        <v>0</v>
      </c>
      <c r="EG936">
        <v>0</v>
      </c>
      <c r="EH936">
        <v>0</v>
      </c>
      <c r="EI936">
        <v>0</v>
      </c>
      <c r="EJ936">
        <v>0</v>
      </c>
      <c r="EK936">
        <v>0</v>
      </c>
      <c r="EL936">
        <v>0</v>
      </c>
      <c r="EM936">
        <v>0</v>
      </c>
      <c r="EN936">
        <v>27.4</v>
      </c>
      <c r="EO936">
        <v>0</v>
      </c>
      <c r="EP936">
        <v>1002.5</v>
      </c>
      <c r="EQ936">
        <v>0</v>
      </c>
      <c r="ER936">
        <v>494</v>
      </c>
      <c r="ES936">
        <v>0</v>
      </c>
      <c r="ET936">
        <v>699.3</v>
      </c>
      <c r="EU936">
        <v>435.4</v>
      </c>
      <c r="EV936">
        <v>0</v>
      </c>
      <c r="EW936">
        <v>0</v>
      </c>
      <c r="EX936">
        <v>0</v>
      </c>
      <c r="EY936">
        <v>0</v>
      </c>
      <c r="EZ936">
        <v>0</v>
      </c>
      <c r="FA936">
        <v>0</v>
      </c>
      <c r="FB936">
        <v>0</v>
      </c>
      <c r="FC936">
        <v>0</v>
      </c>
      <c r="FD936">
        <v>95.6</v>
      </c>
      <c r="FE936">
        <v>1792.1</v>
      </c>
      <c r="FF936">
        <v>1740.1999999999998</v>
      </c>
      <c r="FG936">
        <v>954.9</v>
      </c>
      <c r="FH936">
        <v>1087.8000000000002</v>
      </c>
      <c r="FI936">
        <v>1892.1</v>
      </c>
      <c r="FJ936">
        <v>1222.5</v>
      </c>
      <c r="FK936">
        <v>678.3</v>
      </c>
      <c r="FL936">
        <v>639.1</v>
      </c>
      <c r="FM936">
        <v>520.5</v>
      </c>
      <c r="FN936">
        <v>123.8</v>
      </c>
      <c r="FO936">
        <v>181.6</v>
      </c>
      <c r="FP936">
        <v>1090.5</v>
      </c>
      <c r="FQ936">
        <v>0</v>
      </c>
      <c r="FR936">
        <v>0</v>
      </c>
      <c r="FS936">
        <v>0</v>
      </c>
      <c r="FT936">
        <v>0</v>
      </c>
      <c r="FU936">
        <v>0</v>
      </c>
      <c r="FV936">
        <v>0</v>
      </c>
      <c r="FW936">
        <v>0</v>
      </c>
      <c r="FX936">
        <v>0</v>
      </c>
      <c r="FY936">
        <v>0</v>
      </c>
      <c r="FZ936">
        <v>0</v>
      </c>
      <c r="GA936">
        <v>0</v>
      </c>
      <c r="GB936">
        <v>0</v>
      </c>
      <c r="GC936">
        <v>0</v>
      </c>
      <c r="GD936">
        <v>0</v>
      </c>
      <c r="GE936">
        <v>0</v>
      </c>
      <c r="GF936">
        <v>198.3</v>
      </c>
      <c r="GG936">
        <v>1054.4000000000001</v>
      </c>
      <c r="GH936">
        <v>552.79999999999995</v>
      </c>
      <c r="GI936">
        <v>522</v>
      </c>
      <c r="GJ936">
        <v>0</v>
      </c>
      <c r="GK936">
        <v>0</v>
      </c>
      <c r="GL936">
        <v>0</v>
      </c>
      <c r="GM936">
        <v>0</v>
      </c>
      <c r="GN936">
        <v>791.40000000000009</v>
      </c>
      <c r="GO936">
        <v>1816.5</v>
      </c>
      <c r="GP936">
        <v>0</v>
      </c>
      <c r="GQ936">
        <v>0</v>
      </c>
      <c r="GR936">
        <v>0</v>
      </c>
      <c r="GS936">
        <v>0</v>
      </c>
      <c r="GT936">
        <v>0</v>
      </c>
      <c r="GU936">
        <v>0</v>
      </c>
      <c r="GV936">
        <v>0</v>
      </c>
      <c r="GW936">
        <v>0</v>
      </c>
      <c r="GX936">
        <v>0</v>
      </c>
      <c r="GY936">
        <v>840.3</v>
      </c>
      <c r="GZ936">
        <v>0</v>
      </c>
      <c r="HA936">
        <v>0</v>
      </c>
      <c r="HB936">
        <v>0</v>
      </c>
      <c r="HC936">
        <v>380.4</v>
      </c>
      <c r="HD936">
        <v>2175.5</v>
      </c>
      <c r="HE936">
        <v>0</v>
      </c>
      <c r="HF936">
        <v>0</v>
      </c>
      <c r="HG936">
        <v>0</v>
      </c>
      <c r="HH936">
        <v>0</v>
      </c>
      <c r="HI936">
        <v>0</v>
      </c>
      <c r="HJ936">
        <v>803.40000000000009</v>
      </c>
      <c r="HK936">
        <v>1270.9000000000001</v>
      </c>
      <c r="HL936">
        <v>835.7</v>
      </c>
      <c r="HM936">
        <v>1162.5999999999999</v>
      </c>
      <c r="HN936">
        <v>0</v>
      </c>
      <c r="HO936">
        <v>0</v>
      </c>
      <c r="HP936">
        <v>0</v>
      </c>
      <c r="HQ936">
        <v>0</v>
      </c>
      <c r="HR936">
        <v>161.19999999999999</v>
      </c>
      <c r="HS936">
        <v>0</v>
      </c>
      <c r="HT936">
        <v>2048.5</v>
      </c>
      <c r="HU936">
        <v>2627.5</v>
      </c>
      <c r="HV936">
        <v>1168.5999999999999</v>
      </c>
      <c r="HW936">
        <v>388</v>
      </c>
      <c r="HX936">
        <v>0</v>
      </c>
      <c r="HY936">
        <v>0</v>
      </c>
      <c r="HZ936">
        <v>0</v>
      </c>
      <c r="IA936">
        <v>0</v>
      </c>
      <c r="IB936">
        <v>0</v>
      </c>
      <c r="IC936">
        <v>594.4</v>
      </c>
      <c r="ID936">
        <v>427.4</v>
      </c>
      <c r="IE936">
        <v>713.3</v>
      </c>
      <c r="IF936">
        <v>626.1</v>
      </c>
      <c r="IG936">
        <v>0</v>
      </c>
      <c r="IH936">
        <v>0</v>
      </c>
      <c r="II936">
        <v>995.7</v>
      </c>
      <c r="IJ936">
        <v>1156.5999999999999</v>
      </c>
      <c r="IK936">
        <v>864.6</v>
      </c>
      <c r="IL936">
        <v>316.5</v>
      </c>
      <c r="IM936">
        <v>101.5</v>
      </c>
      <c r="IN936">
        <v>71.8</v>
      </c>
      <c r="IO936">
        <v>0</v>
      </c>
      <c r="IP936">
        <v>0</v>
      </c>
      <c r="IQ936">
        <v>0</v>
      </c>
      <c r="IR936">
        <v>0</v>
      </c>
      <c r="IS936">
        <v>0</v>
      </c>
      <c r="IT936">
        <v>0</v>
      </c>
      <c r="IU936">
        <v>0</v>
      </c>
      <c r="IV936">
        <v>0</v>
      </c>
      <c r="IW936">
        <v>68</v>
      </c>
      <c r="IX936">
        <v>404.7</v>
      </c>
      <c r="IY936">
        <v>126.6</v>
      </c>
      <c r="IZ936">
        <v>126.6</v>
      </c>
      <c r="JA936">
        <v>503.7</v>
      </c>
      <c r="JB936">
        <v>570.1</v>
      </c>
      <c r="JC936">
        <v>328.3</v>
      </c>
      <c r="JD936">
        <v>0</v>
      </c>
      <c r="JE936">
        <v>0</v>
      </c>
      <c r="JF936">
        <v>0</v>
      </c>
      <c r="JG936">
        <v>0</v>
      </c>
      <c r="JH936">
        <v>287.3</v>
      </c>
      <c r="JI936">
        <v>68.2</v>
      </c>
      <c r="JJ936">
        <v>0</v>
      </c>
      <c r="JK936">
        <v>148.6</v>
      </c>
      <c r="JL936">
        <v>0</v>
      </c>
      <c r="JM936">
        <v>0</v>
      </c>
      <c r="JN936">
        <v>204.5</v>
      </c>
      <c r="JO936">
        <v>292.10000000000002</v>
      </c>
      <c r="JP936">
        <v>670.8</v>
      </c>
      <c r="JQ936">
        <v>745.2</v>
      </c>
      <c r="JR936">
        <v>242.9</v>
      </c>
    </row>
    <row r="937" spans="2:278" ht="18" thickBot="1">
      <c r="B937" s="368" t="s">
        <v>1302</v>
      </c>
      <c r="C937" s="419" t="s">
        <v>1606</v>
      </c>
      <c r="D937" s="377" t="s">
        <v>1387</v>
      </c>
      <c r="E937" s="454">
        <v>22829.8</v>
      </c>
      <c r="F937">
        <v>20193.400000000001</v>
      </c>
      <c r="G937" s="427">
        <v>0</v>
      </c>
      <c r="H937" s="155">
        <v>0</v>
      </c>
      <c r="I937">
        <v>0</v>
      </c>
      <c r="J937">
        <v>0</v>
      </c>
      <c r="K937">
        <v>0</v>
      </c>
      <c r="L937" s="4">
        <v>0</v>
      </c>
      <c r="M937" s="4">
        <v>0</v>
      </c>
      <c r="N937" s="4">
        <v>0</v>
      </c>
      <c r="O937" s="4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1476.4</v>
      </c>
      <c r="X937">
        <v>1482</v>
      </c>
      <c r="Y937">
        <v>457.20000000000005</v>
      </c>
      <c r="Z937">
        <v>0</v>
      </c>
      <c r="AA937">
        <v>0</v>
      </c>
      <c r="AB937">
        <v>0</v>
      </c>
      <c r="AC937">
        <v>0</v>
      </c>
      <c r="AD937">
        <v>3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1828.6</v>
      </c>
      <c r="AK937">
        <v>1800.7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560.70000000000005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  <c r="CF937">
        <v>0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  <c r="CN937">
        <v>0</v>
      </c>
      <c r="CO937">
        <v>0</v>
      </c>
      <c r="CP937">
        <v>3.5</v>
      </c>
      <c r="CQ937">
        <v>0</v>
      </c>
      <c r="CR937">
        <v>528</v>
      </c>
      <c r="CS937">
        <v>581.79999999999995</v>
      </c>
      <c r="CT937">
        <v>555.40000000000009</v>
      </c>
      <c r="CU937">
        <v>737.4</v>
      </c>
      <c r="CV937">
        <v>1039.0999999999999</v>
      </c>
      <c r="CW937">
        <v>1667.3</v>
      </c>
      <c r="CX937">
        <v>877.6</v>
      </c>
      <c r="CY937">
        <v>910.40000000000009</v>
      </c>
      <c r="CZ937">
        <v>0</v>
      </c>
      <c r="DA937">
        <v>0</v>
      </c>
      <c r="DB937">
        <v>0</v>
      </c>
      <c r="DC937">
        <v>0</v>
      </c>
      <c r="DD937">
        <v>0</v>
      </c>
      <c r="DE937">
        <v>0</v>
      </c>
      <c r="DF937">
        <v>0</v>
      </c>
      <c r="DG937">
        <v>0</v>
      </c>
      <c r="DH937">
        <v>0</v>
      </c>
      <c r="DI937">
        <v>0</v>
      </c>
      <c r="DJ937">
        <v>0</v>
      </c>
      <c r="DK937">
        <v>0</v>
      </c>
      <c r="DL937">
        <v>995.5</v>
      </c>
      <c r="DM937">
        <v>712.7</v>
      </c>
      <c r="DN937">
        <v>0</v>
      </c>
      <c r="DO937">
        <v>0</v>
      </c>
      <c r="DP937">
        <v>0</v>
      </c>
      <c r="DQ937">
        <v>0</v>
      </c>
      <c r="DR937">
        <v>0</v>
      </c>
      <c r="DS937">
        <v>0</v>
      </c>
      <c r="DT937">
        <v>0</v>
      </c>
      <c r="DU937">
        <v>0</v>
      </c>
      <c r="DV937">
        <v>0</v>
      </c>
      <c r="DW937">
        <v>0</v>
      </c>
      <c r="DX937">
        <v>0</v>
      </c>
      <c r="DY937">
        <v>0</v>
      </c>
      <c r="DZ937">
        <v>0</v>
      </c>
      <c r="EA937">
        <v>0</v>
      </c>
      <c r="EB937">
        <v>0</v>
      </c>
      <c r="EC937">
        <v>0</v>
      </c>
      <c r="ED937">
        <v>0</v>
      </c>
      <c r="EE937">
        <v>0</v>
      </c>
      <c r="EF937">
        <v>0</v>
      </c>
      <c r="EG937">
        <v>0</v>
      </c>
      <c r="EH937">
        <v>0</v>
      </c>
      <c r="EI937">
        <v>0</v>
      </c>
      <c r="EJ937">
        <v>0</v>
      </c>
      <c r="EK937">
        <v>0</v>
      </c>
      <c r="EL937">
        <v>0</v>
      </c>
      <c r="EM937">
        <v>0</v>
      </c>
      <c r="EN937">
        <v>27.4</v>
      </c>
      <c r="EO937">
        <v>0</v>
      </c>
      <c r="EP937">
        <v>1002.5</v>
      </c>
      <c r="EQ937">
        <v>0</v>
      </c>
      <c r="ER937">
        <v>494</v>
      </c>
      <c r="ES937">
        <v>0</v>
      </c>
      <c r="ET937">
        <v>699.3</v>
      </c>
      <c r="EU937">
        <v>435.4</v>
      </c>
      <c r="EV937">
        <v>0</v>
      </c>
      <c r="EW937">
        <v>0</v>
      </c>
      <c r="EX937">
        <v>0</v>
      </c>
      <c r="EY937">
        <v>0</v>
      </c>
      <c r="EZ937">
        <v>0</v>
      </c>
      <c r="FA937">
        <v>0</v>
      </c>
      <c r="FB937">
        <v>0</v>
      </c>
      <c r="FC937">
        <v>0</v>
      </c>
      <c r="FD937">
        <v>95.6</v>
      </c>
      <c r="FE937">
        <v>1792.1</v>
      </c>
      <c r="FF937">
        <v>1740.1999999999998</v>
      </c>
      <c r="FG937">
        <v>954.9</v>
      </c>
      <c r="FH937">
        <v>1087.8000000000002</v>
      </c>
      <c r="FI937">
        <v>1892.1</v>
      </c>
      <c r="FJ937">
        <v>1222.5</v>
      </c>
      <c r="FK937">
        <v>678.3</v>
      </c>
      <c r="FL937">
        <v>639.1</v>
      </c>
      <c r="FM937">
        <v>520.5</v>
      </c>
      <c r="FN937">
        <v>123.8</v>
      </c>
      <c r="FO937">
        <v>181.6</v>
      </c>
      <c r="FP937">
        <v>1090.5</v>
      </c>
      <c r="FQ937">
        <v>0</v>
      </c>
      <c r="FR937">
        <v>0</v>
      </c>
      <c r="FS937">
        <v>0</v>
      </c>
      <c r="FT937">
        <v>0</v>
      </c>
      <c r="FU937">
        <v>0</v>
      </c>
      <c r="FV937">
        <v>0</v>
      </c>
      <c r="FW937">
        <v>0</v>
      </c>
      <c r="FX937">
        <v>0</v>
      </c>
      <c r="FY937">
        <v>0</v>
      </c>
      <c r="FZ937">
        <v>0</v>
      </c>
      <c r="GA937">
        <v>0</v>
      </c>
      <c r="GB937">
        <v>0</v>
      </c>
      <c r="GC937">
        <v>0</v>
      </c>
      <c r="GD937">
        <v>0</v>
      </c>
      <c r="GE937">
        <v>0</v>
      </c>
      <c r="GF937">
        <v>198.3</v>
      </c>
      <c r="GG937">
        <v>1054.4000000000001</v>
      </c>
      <c r="GH937">
        <v>552.79999999999995</v>
      </c>
      <c r="GI937">
        <v>522</v>
      </c>
      <c r="GJ937">
        <v>0</v>
      </c>
      <c r="GK937">
        <v>0</v>
      </c>
      <c r="GL937">
        <v>0</v>
      </c>
      <c r="GM937">
        <v>0</v>
      </c>
      <c r="GN937">
        <v>791.40000000000009</v>
      </c>
      <c r="GO937">
        <v>1816.5</v>
      </c>
      <c r="GP937">
        <v>0</v>
      </c>
      <c r="GQ937">
        <v>0</v>
      </c>
      <c r="GR937">
        <v>0</v>
      </c>
      <c r="GS937">
        <v>0</v>
      </c>
      <c r="GT937">
        <v>0</v>
      </c>
      <c r="GU937">
        <v>0</v>
      </c>
      <c r="GV937">
        <v>0</v>
      </c>
      <c r="GW937">
        <v>0</v>
      </c>
      <c r="GX937">
        <v>0</v>
      </c>
      <c r="GY937">
        <v>840.3</v>
      </c>
      <c r="GZ937">
        <v>0</v>
      </c>
      <c r="HA937">
        <v>0</v>
      </c>
      <c r="HB937">
        <v>0</v>
      </c>
      <c r="HC937">
        <v>380.4</v>
      </c>
      <c r="HD937">
        <v>2175.5</v>
      </c>
      <c r="HE937">
        <v>0</v>
      </c>
      <c r="HF937">
        <v>0</v>
      </c>
      <c r="HG937">
        <v>0</v>
      </c>
      <c r="HH937">
        <v>0</v>
      </c>
      <c r="HI937">
        <v>0</v>
      </c>
      <c r="HJ937">
        <v>803.40000000000009</v>
      </c>
      <c r="HK937">
        <v>1270.9000000000001</v>
      </c>
      <c r="HL937">
        <v>835.7</v>
      </c>
      <c r="HM937">
        <v>1162.5999999999999</v>
      </c>
      <c r="HN937">
        <v>0</v>
      </c>
      <c r="HO937">
        <v>0</v>
      </c>
      <c r="HP937">
        <v>0</v>
      </c>
      <c r="HQ937">
        <v>0</v>
      </c>
      <c r="HR937">
        <v>161.19999999999999</v>
      </c>
      <c r="HS937">
        <v>0</v>
      </c>
      <c r="HT937">
        <v>2048.5</v>
      </c>
      <c r="HU937">
        <v>2627.5</v>
      </c>
      <c r="HV937">
        <v>1168.5999999999999</v>
      </c>
      <c r="HW937">
        <v>388</v>
      </c>
      <c r="HX937">
        <v>0</v>
      </c>
      <c r="HY937">
        <v>0</v>
      </c>
      <c r="HZ937">
        <v>0</v>
      </c>
      <c r="IA937">
        <v>0</v>
      </c>
      <c r="IB937">
        <v>0</v>
      </c>
      <c r="IC937">
        <v>594.4</v>
      </c>
      <c r="ID937">
        <v>427.4</v>
      </c>
      <c r="IE937">
        <v>713.3</v>
      </c>
      <c r="IF937">
        <v>626.1</v>
      </c>
      <c r="IG937">
        <v>0</v>
      </c>
      <c r="IH937">
        <v>0</v>
      </c>
      <c r="II937">
        <v>995.7</v>
      </c>
      <c r="IJ937">
        <v>1156.5999999999999</v>
      </c>
      <c r="IK937">
        <v>864.6</v>
      </c>
      <c r="IL937">
        <v>316.5</v>
      </c>
      <c r="IM937">
        <v>101.5</v>
      </c>
      <c r="IN937">
        <v>71.8</v>
      </c>
      <c r="IO937">
        <v>0</v>
      </c>
      <c r="IP937">
        <v>0</v>
      </c>
      <c r="IQ937">
        <v>0</v>
      </c>
      <c r="IR937">
        <v>0</v>
      </c>
      <c r="IS937">
        <v>0</v>
      </c>
      <c r="IT937">
        <v>0</v>
      </c>
      <c r="IU937">
        <v>0</v>
      </c>
      <c r="IV937">
        <v>0</v>
      </c>
      <c r="IW937">
        <v>68</v>
      </c>
      <c r="IX937">
        <v>404.7</v>
      </c>
      <c r="IY937">
        <v>126.6</v>
      </c>
      <c r="IZ937">
        <v>126.6</v>
      </c>
      <c r="JA937">
        <v>503.7</v>
      </c>
      <c r="JB937">
        <v>570.1</v>
      </c>
      <c r="JC937">
        <v>328.3</v>
      </c>
      <c r="JD937">
        <v>0</v>
      </c>
      <c r="JE937">
        <v>0</v>
      </c>
      <c r="JF937">
        <v>0</v>
      </c>
      <c r="JG937">
        <v>0</v>
      </c>
      <c r="JH937">
        <v>287.3</v>
      </c>
      <c r="JI937">
        <v>68.2</v>
      </c>
      <c r="JJ937">
        <v>0</v>
      </c>
      <c r="JK937">
        <v>148.6</v>
      </c>
      <c r="JL937">
        <v>0</v>
      </c>
      <c r="JM937">
        <v>0</v>
      </c>
      <c r="JN937">
        <v>204.5</v>
      </c>
      <c r="JO937">
        <v>292.10000000000002</v>
      </c>
      <c r="JP937">
        <v>670.8</v>
      </c>
      <c r="JQ937">
        <v>745.2</v>
      </c>
      <c r="JR937">
        <v>242.9</v>
      </c>
    </row>
    <row r="938" spans="2:278" ht="18" thickBot="1">
      <c r="B938" s="368" t="s">
        <v>1303</v>
      </c>
      <c r="C938" s="413" t="s">
        <v>1607</v>
      </c>
      <c r="D938" s="368" t="s">
        <v>1387</v>
      </c>
      <c r="E938" s="454">
        <v>22829.8</v>
      </c>
      <c r="F938">
        <v>20193.400000000001</v>
      </c>
      <c r="G938" s="427">
        <v>0</v>
      </c>
      <c r="H938" s="155">
        <v>0</v>
      </c>
      <c r="I938">
        <v>0</v>
      </c>
      <c r="J938">
        <v>0</v>
      </c>
      <c r="K938">
        <v>0</v>
      </c>
      <c r="L938" s="4">
        <v>0</v>
      </c>
      <c r="M938" s="4">
        <v>0</v>
      </c>
      <c r="N938" s="4">
        <v>0</v>
      </c>
      <c r="O938" s="4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1476.4</v>
      </c>
      <c r="X938">
        <v>1482</v>
      </c>
      <c r="Y938">
        <v>457.20000000000005</v>
      </c>
      <c r="Z938">
        <v>0</v>
      </c>
      <c r="AA938">
        <v>0</v>
      </c>
      <c r="AB938">
        <v>0</v>
      </c>
      <c r="AC938">
        <v>0</v>
      </c>
      <c r="AD938">
        <v>3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1828.6</v>
      </c>
      <c r="AK938">
        <v>1800.7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560.70000000000005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  <c r="CF938">
        <v>0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  <c r="CN938">
        <v>0</v>
      </c>
      <c r="CO938">
        <v>0</v>
      </c>
      <c r="CP938">
        <v>3.5</v>
      </c>
      <c r="CQ938">
        <v>0</v>
      </c>
      <c r="CR938">
        <v>528</v>
      </c>
      <c r="CS938">
        <v>581.79999999999995</v>
      </c>
      <c r="CT938">
        <v>555.40000000000009</v>
      </c>
      <c r="CU938">
        <v>737.4</v>
      </c>
      <c r="CV938">
        <v>1039.0999999999999</v>
      </c>
      <c r="CW938">
        <v>1667.3</v>
      </c>
      <c r="CX938">
        <v>877.6</v>
      </c>
      <c r="CY938">
        <v>910.40000000000009</v>
      </c>
      <c r="CZ938">
        <v>0</v>
      </c>
      <c r="DA938">
        <v>0</v>
      </c>
      <c r="DB938">
        <v>0</v>
      </c>
      <c r="DC938">
        <v>0</v>
      </c>
      <c r="DD938">
        <v>0</v>
      </c>
      <c r="DE938">
        <v>0</v>
      </c>
      <c r="DF938">
        <v>0</v>
      </c>
      <c r="DG938">
        <v>0</v>
      </c>
      <c r="DH938">
        <v>0</v>
      </c>
      <c r="DI938">
        <v>0</v>
      </c>
      <c r="DJ938">
        <v>0</v>
      </c>
      <c r="DK938">
        <v>0</v>
      </c>
      <c r="DL938">
        <v>995.5</v>
      </c>
      <c r="DM938">
        <v>712.7</v>
      </c>
      <c r="DN938">
        <v>0</v>
      </c>
      <c r="DO938">
        <v>0</v>
      </c>
      <c r="DP938">
        <v>0</v>
      </c>
      <c r="DQ938">
        <v>0</v>
      </c>
      <c r="DR938">
        <v>0</v>
      </c>
      <c r="DS938">
        <v>0</v>
      </c>
      <c r="DT938">
        <v>0</v>
      </c>
      <c r="DU938">
        <v>0</v>
      </c>
      <c r="DV938">
        <v>0</v>
      </c>
      <c r="DW938">
        <v>0</v>
      </c>
      <c r="DX938">
        <v>0</v>
      </c>
      <c r="DY938">
        <v>0</v>
      </c>
      <c r="DZ938">
        <v>0</v>
      </c>
      <c r="EA938">
        <v>0</v>
      </c>
      <c r="EB938">
        <v>0</v>
      </c>
      <c r="EC938">
        <v>0</v>
      </c>
      <c r="ED938">
        <v>0</v>
      </c>
      <c r="EE938">
        <v>0</v>
      </c>
      <c r="EF938">
        <v>0</v>
      </c>
      <c r="EG938">
        <v>0</v>
      </c>
      <c r="EH938">
        <v>0</v>
      </c>
      <c r="EI938">
        <v>0</v>
      </c>
      <c r="EJ938">
        <v>0</v>
      </c>
      <c r="EK938">
        <v>0</v>
      </c>
      <c r="EL938">
        <v>0</v>
      </c>
      <c r="EM938">
        <v>0</v>
      </c>
      <c r="EN938">
        <v>27.4</v>
      </c>
      <c r="EO938">
        <v>0</v>
      </c>
      <c r="EP938">
        <v>1002.5</v>
      </c>
      <c r="EQ938">
        <v>0</v>
      </c>
      <c r="ER938">
        <v>494</v>
      </c>
      <c r="ES938">
        <v>0</v>
      </c>
      <c r="ET938">
        <v>699.3</v>
      </c>
      <c r="EU938">
        <v>435.4</v>
      </c>
      <c r="EV938">
        <v>0</v>
      </c>
      <c r="EW938">
        <v>0</v>
      </c>
      <c r="EX938">
        <v>0</v>
      </c>
      <c r="EY938">
        <v>0</v>
      </c>
      <c r="EZ938">
        <v>0</v>
      </c>
      <c r="FA938">
        <v>0</v>
      </c>
      <c r="FB938">
        <v>0</v>
      </c>
      <c r="FC938">
        <v>0</v>
      </c>
      <c r="FD938">
        <v>95.6</v>
      </c>
      <c r="FE938">
        <v>1792.1</v>
      </c>
      <c r="FF938">
        <v>1740.1999999999998</v>
      </c>
      <c r="FG938">
        <v>954.9</v>
      </c>
      <c r="FH938">
        <v>1087.8000000000002</v>
      </c>
      <c r="FI938">
        <v>1892.1</v>
      </c>
      <c r="FJ938">
        <v>1222.5</v>
      </c>
      <c r="FK938">
        <v>678.3</v>
      </c>
      <c r="FL938">
        <v>639.1</v>
      </c>
      <c r="FM938">
        <v>520.5</v>
      </c>
      <c r="FN938">
        <v>123.8</v>
      </c>
      <c r="FO938">
        <v>181.6</v>
      </c>
      <c r="FP938">
        <v>1090.5</v>
      </c>
      <c r="FQ938">
        <v>0</v>
      </c>
      <c r="FR938">
        <v>0</v>
      </c>
      <c r="FS938">
        <v>0</v>
      </c>
      <c r="FT938">
        <v>0</v>
      </c>
      <c r="FU938">
        <v>0</v>
      </c>
      <c r="FV938">
        <v>0</v>
      </c>
      <c r="FW938">
        <v>0</v>
      </c>
      <c r="FX938">
        <v>0</v>
      </c>
      <c r="FY938">
        <v>0</v>
      </c>
      <c r="FZ938">
        <v>0</v>
      </c>
      <c r="GA938">
        <v>0</v>
      </c>
      <c r="GB938">
        <v>0</v>
      </c>
      <c r="GC938">
        <v>0</v>
      </c>
      <c r="GD938">
        <v>0</v>
      </c>
      <c r="GE938">
        <v>0</v>
      </c>
      <c r="GF938">
        <v>198.3</v>
      </c>
      <c r="GG938">
        <v>1054.4000000000001</v>
      </c>
      <c r="GH938">
        <v>552.79999999999995</v>
      </c>
      <c r="GI938">
        <v>522</v>
      </c>
      <c r="GJ938">
        <v>0</v>
      </c>
      <c r="GK938">
        <v>0</v>
      </c>
      <c r="GL938">
        <v>0</v>
      </c>
      <c r="GM938">
        <v>0</v>
      </c>
      <c r="GN938">
        <v>791.40000000000009</v>
      </c>
      <c r="GO938">
        <v>1816.5</v>
      </c>
      <c r="GP938">
        <v>0</v>
      </c>
      <c r="GQ938">
        <v>0</v>
      </c>
      <c r="GR938">
        <v>0</v>
      </c>
      <c r="GS938">
        <v>0</v>
      </c>
      <c r="GT938">
        <v>0</v>
      </c>
      <c r="GU938">
        <v>0</v>
      </c>
      <c r="GV938">
        <v>0</v>
      </c>
      <c r="GW938">
        <v>0</v>
      </c>
      <c r="GX938">
        <v>0</v>
      </c>
      <c r="GY938">
        <v>840.3</v>
      </c>
      <c r="GZ938">
        <v>0</v>
      </c>
      <c r="HA938">
        <v>0</v>
      </c>
      <c r="HB938">
        <v>0</v>
      </c>
      <c r="HC938">
        <v>380.4</v>
      </c>
      <c r="HD938">
        <v>2175.5</v>
      </c>
      <c r="HE938">
        <v>0</v>
      </c>
      <c r="HF938">
        <v>0</v>
      </c>
      <c r="HG938">
        <v>0</v>
      </c>
      <c r="HH938">
        <v>0</v>
      </c>
      <c r="HI938">
        <v>0</v>
      </c>
      <c r="HJ938">
        <v>803.40000000000009</v>
      </c>
      <c r="HK938">
        <v>1270.9000000000001</v>
      </c>
      <c r="HL938">
        <v>835.7</v>
      </c>
      <c r="HM938">
        <v>1162.5999999999999</v>
      </c>
      <c r="HN938">
        <v>0</v>
      </c>
      <c r="HO938">
        <v>0</v>
      </c>
      <c r="HP938">
        <v>0</v>
      </c>
      <c r="HQ938">
        <v>0</v>
      </c>
      <c r="HR938">
        <v>161.19999999999999</v>
      </c>
      <c r="HS938">
        <v>0</v>
      </c>
      <c r="HT938">
        <v>2048.5</v>
      </c>
      <c r="HU938">
        <v>2627.5</v>
      </c>
      <c r="HV938">
        <v>1168.5999999999999</v>
      </c>
      <c r="HW938">
        <v>388</v>
      </c>
      <c r="HX938">
        <v>0</v>
      </c>
      <c r="HY938">
        <v>0</v>
      </c>
      <c r="HZ938">
        <v>0</v>
      </c>
      <c r="IA938">
        <v>0</v>
      </c>
      <c r="IB938">
        <v>0</v>
      </c>
      <c r="IC938">
        <v>594.4</v>
      </c>
      <c r="ID938">
        <v>427.4</v>
      </c>
      <c r="IE938">
        <v>713.3</v>
      </c>
      <c r="IF938">
        <v>626.1</v>
      </c>
      <c r="IG938">
        <v>0</v>
      </c>
      <c r="IH938">
        <v>0</v>
      </c>
      <c r="II938">
        <v>995.7</v>
      </c>
      <c r="IJ938">
        <v>1156.5999999999999</v>
      </c>
      <c r="IK938">
        <v>864.6</v>
      </c>
      <c r="IL938">
        <v>316.5</v>
      </c>
      <c r="IM938">
        <v>101.5</v>
      </c>
      <c r="IN938">
        <v>71.8</v>
      </c>
      <c r="IO938">
        <v>0</v>
      </c>
      <c r="IP938">
        <v>0</v>
      </c>
      <c r="IQ938">
        <v>0</v>
      </c>
      <c r="IR938">
        <v>0</v>
      </c>
      <c r="IS938">
        <v>0</v>
      </c>
      <c r="IT938">
        <v>0</v>
      </c>
      <c r="IU938">
        <v>0</v>
      </c>
      <c r="IV938">
        <v>0</v>
      </c>
      <c r="IW938">
        <v>68</v>
      </c>
      <c r="IX938">
        <v>404.7</v>
      </c>
      <c r="IY938">
        <v>126.6</v>
      </c>
      <c r="IZ938">
        <v>126.6</v>
      </c>
      <c r="JA938">
        <v>503.7</v>
      </c>
      <c r="JB938">
        <v>570.1</v>
      </c>
      <c r="JC938">
        <v>328.3</v>
      </c>
      <c r="JD938">
        <v>0</v>
      </c>
      <c r="JE938">
        <v>0</v>
      </c>
      <c r="JF938">
        <v>0</v>
      </c>
      <c r="JG938">
        <v>0</v>
      </c>
      <c r="JH938">
        <v>287.3</v>
      </c>
      <c r="JI938">
        <v>68.2</v>
      </c>
      <c r="JJ938">
        <v>0</v>
      </c>
      <c r="JK938">
        <v>148.6</v>
      </c>
      <c r="JL938">
        <v>0</v>
      </c>
      <c r="JM938">
        <v>0</v>
      </c>
      <c r="JN938">
        <v>204.5</v>
      </c>
      <c r="JO938">
        <v>292.10000000000002</v>
      </c>
      <c r="JP938">
        <v>670.8</v>
      </c>
      <c r="JQ938">
        <v>745.2</v>
      </c>
      <c r="JR938">
        <v>242.9</v>
      </c>
    </row>
    <row r="939" spans="2:278" ht="18" thickBot="1">
      <c r="B939" s="371" t="s">
        <v>1304</v>
      </c>
      <c r="C939" s="420" t="s">
        <v>1608</v>
      </c>
      <c r="D939" s="371" t="s">
        <v>1387</v>
      </c>
      <c r="E939" s="454">
        <v>22829.8</v>
      </c>
      <c r="F939">
        <v>20193.400000000001</v>
      </c>
      <c r="G939" s="427">
        <v>0</v>
      </c>
      <c r="H939" s="155">
        <v>0</v>
      </c>
      <c r="I939">
        <v>0</v>
      </c>
      <c r="J939">
        <v>0</v>
      </c>
      <c r="K939">
        <v>0</v>
      </c>
      <c r="L939" s="4">
        <v>0</v>
      </c>
      <c r="M939" s="4">
        <v>0</v>
      </c>
      <c r="N939" s="4">
        <v>0</v>
      </c>
      <c r="O939" s="4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1476.4</v>
      </c>
      <c r="X939">
        <v>1482</v>
      </c>
      <c r="Y939">
        <v>457.20000000000005</v>
      </c>
      <c r="Z939">
        <v>0</v>
      </c>
      <c r="AA939">
        <v>0</v>
      </c>
      <c r="AB939">
        <v>0</v>
      </c>
      <c r="AC939">
        <v>0</v>
      </c>
      <c r="AD939">
        <v>3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1828.6</v>
      </c>
      <c r="AK939">
        <v>1800.7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560.70000000000005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0</v>
      </c>
      <c r="BU939">
        <v>0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  <c r="CF939">
        <v>0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  <c r="CN939">
        <v>0</v>
      </c>
      <c r="CO939">
        <v>0</v>
      </c>
      <c r="CP939">
        <v>3.5</v>
      </c>
      <c r="CQ939">
        <v>0</v>
      </c>
      <c r="CR939">
        <v>528</v>
      </c>
      <c r="CS939">
        <v>581.79999999999995</v>
      </c>
      <c r="CT939">
        <v>555.40000000000009</v>
      </c>
      <c r="CU939">
        <v>737.4</v>
      </c>
      <c r="CV939">
        <v>1039.0999999999999</v>
      </c>
      <c r="CW939">
        <v>1667.3</v>
      </c>
      <c r="CX939">
        <v>877.6</v>
      </c>
      <c r="CY939">
        <v>910.40000000000009</v>
      </c>
      <c r="CZ939">
        <v>0</v>
      </c>
      <c r="DA939">
        <v>0</v>
      </c>
      <c r="DB939">
        <v>0</v>
      </c>
      <c r="DC939">
        <v>0</v>
      </c>
      <c r="DD939">
        <v>0</v>
      </c>
      <c r="DE939">
        <v>0</v>
      </c>
      <c r="DF939">
        <v>0</v>
      </c>
      <c r="DG939">
        <v>0</v>
      </c>
      <c r="DH939">
        <v>0</v>
      </c>
      <c r="DI939">
        <v>0</v>
      </c>
      <c r="DJ939">
        <v>0</v>
      </c>
      <c r="DK939">
        <v>0</v>
      </c>
      <c r="DL939">
        <v>995.5</v>
      </c>
      <c r="DM939">
        <v>712.7</v>
      </c>
      <c r="DN939">
        <v>0</v>
      </c>
      <c r="DO939">
        <v>0</v>
      </c>
      <c r="DP939">
        <v>0</v>
      </c>
      <c r="DQ939">
        <v>0</v>
      </c>
      <c r="DR939">
        <v>0</v>
      </c>
      <c r="DS939">
        <v>0</v>
      </c>
      <c r="DT939">
        <v>0</v>
      </c>
      <c r="DU939">
        <v>0</v>
      </c>
      <c r="DV939">
        <v>0</v>
      </c>
      <c r="DW939">
        <v>0</v>
      </c>
      <c r="DX939">
        <v>0</v>
      </c>
      <c r="DY939">
        <v>0</v>
      </c>
      <c r="DZ939">
        <v>0</v>
      </c>
      <c r="EA939">
        <v>0</v>
      </c>
      <c r="EB939">
        <v>0</v>
      </c>
      <c r="EC939">
        <v>0</v>
      </c>
      <c r="ED939">
        <v>0</v>
      </c>
      <c r="EE939">
        <v>0</v>
      </c>
      <c r="EF939">
        <v>0</v>
      </c>
      <c r="EG939">
        <v>0</v>
      </c>
      <c r="EH939">
        <v>0</v>
      </c>
      <c r="EI939">
        <v>0</v>
      </c>
      <c r="EJ939">
        <v>0</v>
      </c>
      <c r="EK939">
        <v>0</v>
      </c>
      <c r="EL939">
        <v>0</v>
      </c>
      <c r="EM939">
        <v>0</v>
      </c>
      <c r="EN939">
        <v>27.4</v>
      </c>
      <c r="EO939">
        <v>0</v>
      </c>
      <c r="EP939">
        <v>1002.5</v>
      </c>
      <c r="EQ939">
        <v>0</v>
      </c>
      <c r="ER939">
        <v>494</v>
      </c>
      <c r="ES939">
        <v>0</v>
      </c>
      <c r="ET939">
        <v>699.3</v>
      </c>
      <c r="EU939">
        <v>435.4</v>
      </c>
      <c r="EV939">
        <v>0</v>
      </c>
      <c r="EW939">
        <v>0</v>
      </c>
      <c r="EX939">
        <v>0</v>
      </c>
      <c r="EY939">
        <v>0</v>
      </c>
      <c r="EZ939">
        <v>0</v>
      </c>
      <c r="FA939">
        <v>0</v>
      </c>
      <c r="FB939">
        <v>0</v>
      </c>
      <c r="FC939">
        <v>0</v>
      </c>
      <c r="FD939">
        <v>95.6</v>
      </c>
      <c r="FE939">
        <v>1792.1</v>
      </c>
      <c r="FF939">
        <v>1740.1999999999998</v>
      </c>
      <c r="FG939">
        <v>954.9</v>
      </c>
      <c r="FH939">
        <v>1087.8000000000002</v>
      </c>
      <c r="FI939">
        <v>1892.1</v>
      </c>
      <c r="FJ939">
        <v>1222.5</v>
      </c>
      <c r="FK939">
        <v>678.3</v>
      </c>
      <c r="FL939">
        <v>639.1</v>
      </c>
      <c r="FM939">
        <v>520.5</v>
      </c>
      <c r="FN939">
        <v>123.8</v>
      </c>
      <c r="FO939">
        <v>181.6</v>
      </c>
      <c r="FP939">
        <v>1090.5</v>
      </c>
      <c r="FQ939">
        <v>0</v>
      </c>
      <c r="FR939">
        <v>0</v>
      </c>
      <c r="FS939">
        <v>0</v>
      </c>
      <c r="FT939">
        <v>0</v>
      </c>
      <c r="FU939">
        <v>0</v>
      </c>
      <c r="FV939">
        <v>0</v>
      </c>
      <c r="FW939">
        <v>0</v>
      </c>
      <c r="FX939">
        <v>0</v>
      </c>
      <c r="FY939">
        <v>0</v>
      </c>
      <c r="FZ939">
        <v>0</v>
      </c>
      <c r="GA939">
        <v>0</v>
      </c>
      <c r="GB939">
        <v>0</v>
      </c>
      <c r="GC939">
        <v>0</v>
      </c>
      <c r="GD939">
        <v>0</v>
      </c>
      <c r="GE939">
        <v>0</v>
      </c>
      <c r="GF939">
        <v>198.3</v>
      </c>
      <c r="GG939">
        <v>1054.4000000000001</v>
      </c>
      <c r="GH939">
        <v>552.79999999999995</v>
      </c>
      <c r="GI939">
        <v>522</v>
      </c>
      <c r="GJ939">
        <v>0</v>
      </c>
      <c r="GK939">
        <v>0</v>
      </c>
      <c r="GL939">
        <v>0</v>
      </c>
      <c r="GM939">
        <v>0</v>
      </c>
      <c r="GN939">
        <v>791.40000000000009</v>
      </c>
      <c r="GO939">
        <v>1816.5</v>
      </c>
      <c r="GP939">
        <v>0</v>
      </c>
      <c r="GQ939">
        <v>0</v>
      </c>
      <c r="GR939">
        <v>0</v>
      </c>
      <c r="GS939">
        <v>0</v>
      </c>
      <c r="GT939">
        <v>0</v>
      </c>
      <c r="GU939">
        <v>0</v>
      </c>
      <c r="GV939">
        <v>0</v>
      </c>
      <c r="GW939">
        <v>0</v>
      </c>
      <c r="GX939">
        <v>0</v>
      </c>
      <c r="GY939">
        <v>840.3</v>
      </c>
      <c r="GZ939">
        <v>0</v>
      </c>
      <c r="HA939">
        <v>0</v>
      </c>
      <c r="HB939">
        <v>0</v>
      </c>
      <c r="HC939">
        <v>380.4</v>
      </c>
      <c r="HD939">
        <v>2175.5</v>
      </c>
      <c r="HE939">
        <v>0</v>
      </c>
      <c r="HF939">
        <v>0</v>
      </c>
      <c r="HG939">
        <v>0</v>
      </c>
      <c r="HH939">
        <v>0</v>
      </c>
      <c r="HI939">
        <v>0</v>
      </c>
      <c r="HJ939">
        <v>803.40000000000009</v>
      </c>
      <c r="HK939">
        <v>1270.9000000000001</v>
      </c>
      <c r="HL939">
        <v>835.7</v>
      </c>
      <c r="HM939">
        <v>1162.5999999999999</v>
      </c>
      <c r="HN939">
        <v>0</v>
      </c>
      <c r="HO939">
        <v>0</v>
      </c>
      <c r="HP939">
        <v>0</v>
      </c>
      <c r="HQ939">
        <v>0</v>
      </c>
      <c r="HR939">
        <v>161.19999999999999</v>
      </c>
      <c r="HS939">
        <v>0</v>
      </c>
      <c r="HT939">
        <v>2048.5</v>
      </c>
      <c r="HU939">
        <v>2627.5</v>
      </c>
      <c r="HV939">
        <v>1168.5999999999999</v>
      </c>
      <c r="HW939">
        <v>388</v>
      </c>
      <c r="HX939">
        <v>0</v>
      </c>
      <c r="HY939">
        <v>0</v>
      </c>
      <c r="HZ939">
        <v>0</v>
      </c>
      <c r="IA939">
        <v>0</v>
      </c>
      <c r="IB939">
        <v>0</v>
      </c>
      <c r="IC939">
        <v>594.4</v>
      </c>
      <c r="ID939">
        <v>427.4</v>
      </c>
      <c r="IE939">
        <v>713.3</v>
      </c>
      <c r="IF939">
        <v>626.1</v>
      </c>
      <c r="IG939">
        <v>0</v>
      </c>
      <c r="IH939">
        <v>0</v>
      </c>
      <c r="II939">
        <v>995.7</v>
      </c>
      <c r="IJ939">
        <v>1156.5999999999999</v>
      </c>
      <c r="IK939">
        <v>864.6</v>
      </c>
      <c r="IL939">
        <v>316.5</v>
      </c>
      <c r="IM939">
        <v>101.5</v>
      </c>
      <c r="IN939">
        <v>71.8</v>
      </c>
      <c r="IO939">
        <v>0</v>
      </c>
      <c r="IP939">
        <v>0</v>
      </c>
      <c r="IQ939">
        <v>0</v>
      </c>
      <c r="IR939">
        <v>0</v>
      </c>
      <c r="IS939">
        <v>0</v>
      </c>
      <c r="IT939">
        <v>0</v>
      </c>
      <c r="IU939">
        <v>0</v>
      </c>
      <c r="IV939">
        <v>0</v>
      </c>
      <c r="IW939">
        <v>68</v>
      </c>
      <c r="IX939">
        <v>404.7</v>
      </c>
      <c r="IY939">
        <v>126.6</v>
      </c>
      <c r="IZ939">
        <v>126.6</v>
      </c>
      <c r="JA939">
        <v>503.7</v>
      </c>
      <c r="JB939">
        <v>570.1</v>
      </c>
      <c r="JC939">
        <v>328.3</v>
      </c>
      <c r="JD939">
        <v>0</v>
      </c>
      <c r="JE939">
        <v>0</v>
      </c>
      <c r="JF939">
        <v>0</v>
      </c>
      <c r="JG939">
        <v>0</v>
      </c>
      <c r="JH939">
        <v>287.3</v>
      </c>
      <c r="JI939">
        <v>68.2</v>
      </c>
      <c r="JJ939">
        <v>0</v>
      </c>
      <c r="JK939">
        <v>148.6</v>
      </c>
      <c r="JL939">
        <v>0</v>
      </c>
      <c r="JM939">
        <v>0</v>
      </c>
      <c r="JN939">
        <v>204.5</v>
      </c>
      <c r="JO939">
        <v>292.10000000000002</v>
      </c>
      <c r="JP939">
        <v>670.8</v>
      </c>
      <c r="JQ939">
        <v>745.2</v>
      </c>
      <c r="JR939">
        <v>242.9</v>
      </c>
    </row>
    <row r="940" spans="2:278" ht="18" thickBot="1">
      <c r="B940" s="368" t="s">
        <v>1305</v>
      </c>
      <c r="C940" s="411" t="s">
        <v>1609</v>
      </c>
      <c r="D940" s="368" t="s">
        <v>1458</v>
      </c>
      <c r="E940" s="454">
        <v>22829.8</v>
      </c>
      <c r="F940">
        <v>20193.400000000001</v>
      </c>
      <c r="G940" s="427">
        <v>0</v>
      </c>
      <c r="H940" s="155">
        <v>0</v>
      </c>
      <c r="I940">
        <v>0</v>
      </c>
      <c r="J940">
        <v>0</v>
      </c>
      <c r="K940">
        <v>0</v>
      </c>
      <c r="L940" s="4">
        <v>0</v>
      </c>
      <c r="M940" s="4">
        <v>0</v>
      </c>
      <c r="N940" s="4">
        <v>0</v>
      </c>
      <c r="O940" s="4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1476.4</v>
      </c>
      <c r="X940">
        <v>1482</v>
      </c>
      <c r="Y940">
        <v>457.20000000000005</v>
      </c>
      <c r="Z940">
        <v>0</v>
      </c>
      <c r="AA940">
        <v>0</v>
      </c>
      <c r="AB940">
        <v>0</v>
      </c>
      <c r="AC940">
        <v>0</v>
      </c>
      <c r="AD940">
        <v>3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1828.6</v>
      </c>
      <c r="AK940">
        <v>1800.7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560.70000000000005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  <c r="CF940">
        <v>0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  <c r="CN940">
        <v>0</v>
      </c>
      <c r="CO940">
        <v>0</v>
      </c>
      <c r="CP940">
        <v>3.5</v>
      </c>
      <c r="CQ940">
        <v>0</v>
      </c>
      <c r="CR940">
        <v>528</v>
      </c>
      <c r="CS940">
        <v>581.79999999999995</v>
      </c>
      <c r="CT940">
        <v>555.40000000000009</v>
      </c>
      <c r="CU940">
        <v>737.4</v>
      </c>
      <c r="CV940">
        <v>1039.0999999999999</v>
      </c>
      <c r="CW940">
        <v>1667.3</v>
      </c>
      <c r="CX940">
        <v>877.6</v>
      </c>
      <c r="CY940">
        <v>910.40000000000009</v>
      </c>
      <c r="CZ940">
        <v>0</v>
      </c>
      <c r="DA940">
        <v>0</v>
      </c>
      <c r="DB940">
        <v>0</v>
      </c>
      <c r="DC940">
        <v>0</v>
      </c>
      <c r="DD940">
        <v>0</v>
      </c>
      <c r="DE940">
        <v>0</v>
      </c>
      <c r="DF940">
        <v>0</v>
      </c>
      <c r="DG940">
        <v>0</v>
      </c>
      <c r="DH940">
        <v>0</v>
      </c>
      <c r="DI940">
        <v>0</v>
      </c>
      <c r="DJ940">
        <v>0</v>
      </c>
      <c r="DK940">
        <v>0</v>
      </c>
      <c r="DL940">
        <v>995.5</v>
      </c>
      <c r="DM940">
        <v>712.7</v>
      </c>
      <c r="DN940">
        <v>0</v>
      </c>
      <c r="DO940">
        <v>0</v>
      </c>
      <c r="DP940">
        <v>0</v>
      </c>
      <c r="DQ940">
        <v>0</v>
      </c>
      <c r="DR940">
        <v>0</v>
      </c>
      <c r="DS940">
        <v>0</v>
      </c>
      <c r="DT940">
        <v>0</v>
      </c>
      <c r="DU940">
        <v>0</v>
      </c>
      <c r="DV940">
        <v>0</v>
      </c>
      <c r="DW940">
        <v>0</v>
      </c>
      <c r="DX940">
        <v>0</v>
      </c>
      <c r="DY940">
        <v>0</v>
      </c>
      <c r="DZ940">
        <v>0</v>
      </c>
      <c r="EA940">
        <v>0</v>
      </c>
      <c r="EB940">
        <v>0</v>
      </c>
      <c r="EC940">
        <v>0</v>
      </c>
      <c r="ED940">
        <v>0</v>
      </c>
      <c r="EE940">
        <v>0</v>
      </c>
      <c r="EF940">
        <v>0</v>
      </c>
      <c r="EG940">
        <v>0</v>
      </c>
      <c r="EH940">
        <v>0</v>
      </c>
      <c r="EI940">
        <v>0</v>
      </c>
      <c r="EJ940">
        <v>0</v>
      </c>
      <c r="EK940">
        <v>0</v>
      </c>
      <c r="EL940">
        <v>0</v>
      </c>
      <c r="EM940">
        <v>0</v>
      </c>
      <c r="EN940">
        <v>27.4</v>
      </c>
      <c r="EO940">
        <v>0</v>
      </c>
      <c r="EP940">
        <v>1002.5</v>
      </c>
      <c r="EQ940">
        <v>0</v>
      </c>
      <c r="ER940">
        <v>494</v>
      </c>
      <c r="ES940">
        <v>0</v>
      </c>
      <c r="ET940">
        <v>699.3</v>
      </c>
      <c r="EU940">
        <v>435.4</v>
      </c>
      <c r="EV940">
        <v>0</v>
      </c>
      <c r="EW940">
        <v>0</v>
      </c>
      <c r="EX940">
        <v>0</v>
      </c>
      <c r="EY940">
        <v>0</v>
      </c>
      <c r="EZ940">
        <v>0</v>
      </c>
      <c r="FA940">
        <v>0</v>
      </c>
      <c r="FB940">
        <v>0</v>
      </c>
      <c r="FC940">
        <v>0</v>
      </c>
      <c r="FD940">
        <v>95.6</v>
      </c>
      <c r="FE940">
        <v>1792.1</v>
      </c>
      <c r="FF940">
        <v>1740.1999999999998</v>
      </c>
      <c r="FG940">
        <v>954.9</v>
      </c>
      <c r="FH940">
        <v>1087.8000000000002</v>
      </c>
      <c r="FI940">
        <v>1892.1</v>
      </c>
      <c r="FJ940">
        <v>1222.5</v>
      </c>
      <c r="FK940">
        <v>678.3</v>
      </c>
      <c r="FL940">
        <v>639.1</v>
      </c>
      <c r="FM940">
        <v>520.5</v>
      </c>
      <c r="FN940">
        <v>123.8</v>
      </c>
      <c r="FO940">
        <v>181.6</v>
      </c>
      <c r="FP940">
        <v>1090.5</v>
      </c>
      <c r="FQ940">
        <v>0</v>
      </c>
      <c r="FR940">
        <v>0</v>
      </c>
      <c r="FS940">
        <v>0</v>
      </c>
      <c r="FT940">
        <v>0</v>
      </c>
      <c r="FU940">
        <v>0</v>
      </c>
      <c r="FV940">
        <v>0</v>
      </c>
      <c r="FW940">
        <v>0</v>
      </c>
      <c r="FX940">
        <v>0</v>
      </c>
      <c r="FY940">
        <v>0</v>
      </c>
      <c r="FZ940">
        <v>0</v>
      </c>
      <c r="GA940">
        <v>0</v>
      </c>
      <c r="GB940">
        <v>0</v>
      </c>
      <c r="GC940">
        <v>0</v>
      </c>
      <c r="GD940">
        <v>0</v>
      </c>
      <c r="GE940">
        <v>0</v>
      </c>
      <c r="GF940">
        <v>198.3</v>
      </c>
      <c r="GG940">
        <v>1054.4000000000001</v>
      </c>
      <c r="GH940">
        <v>552.79999999999995</v>
      </c>
      <c r="GI940">
        <v>522</v>
      </c>
      <c r="GJ940">
        <v>0</v>
      </c>
      <c r="GK940">
        <v>0</v>
      </c>
      <c r="GL940">
        <v>0</v>
      </c>
      <c r="GM940">
        <v>0</v>
      </c>
      <c r="GN940">
        <v>791.40000000000009</v>
      </c>
      <c r="GO940">
        <v>1816.5</v>
      </c>
      <c r="GP940">
        <v>0</v>
      </c>
      <c r="GQ940">
        <v>0</v>
      </c>
      <c r="GR940">
        <v>0</v>
      </c>
      <c r="GS940">
        <v>0</v>
      </c>
      <c r="GT940">
        <v>0</v>
      </c>
      <c r="GU940">
        <v>0</v>
      </c>
      <c r="GV940">
        <v>0</v>
      </c>
      <c r="GW940">
        <v>0</v>
      </c>
      <c r="GX940">
        <v>0</v>
      </c>
      <c r="GY940">
        <v>840.3</v>
      </c>
      <c r="GZ940">
        <v>0</v>
      </c>
      <c r="HA940">
        <v>0</v>
      </c>
      <c r="HB940">
        <v>0</v>
      </c>
      <c r="HC940">
        <v>380.4</v>
      </c>
      <c r="HD940">
        <v>2175.5</v>
      </c>
      <c r="HE940">
        <v>0</v>
      </c>
      <c r="HF940">
        <v>0</v>
      </c>
      <c r="HG940">
        <v>0</v>
      </c>
      <c r="HH940">
        <v>0</v>
      </c>
      <c r="HI940">
        <v>0</v>
      </c>
      <c r="HJ940">
        <v>803.40000000000009</v>
      </c>
      <c r="HK940">
        <v>1270.9000000000001</v>
      </c>
      <c r="HL940">
        <v>835.7</v>
      </c>
      <c r="HM940">
        <v>1162.5999999999999</v>
      </c>
      <c r="HN940">
        <v>0</v>
      </c>
      <c r="HO940">
        <v>0</v>
      </c>
      <c r="HP940">
        <v>0</v>
      </c>
      <c r="HQ940">
        <v>0</v>
      </c>
      <c r="HR940">
        <v>161.19999999999999</v>
      </c>
      <c r="HS940">
        <v>0</v>
      </c>
      <c r="HT940">
        <v>2048.5</v>
      </c>
      <c r="HU940">
        <v>2627.5</v>
      </c>
      <c r="HV940">
        <v>1168.5999999999999</v>
      </c>
      <c r="HW940">
        <v>388</v>
      </c>
      <c r="HX940">
        <v>0</v>
      </c>
      <c r="HY940">
        <v>0</v>
      </c>
      <c r="HZ940">
        <v>0</v>
      </c>
      <c r="IA940">
        <v>0</v>
      </c>
      <c r="IB940">
        <v>0</v>
      </c>
      <c r="IC940">
        <v>594.4</v>
      </c>
      <c r="ID940">
        <v>427.4</v>
      </c>
      <c r="IE940">
        <v>713.3</v>
      </c>
      <c r="IF940">
        <v>626.1</v>
      </c>
      <c r="IG940">
        <v>0</v>
      </c>
      <c r="IH940">
        <v>0</v>
      </c>
      <c r="II940">
        <v>995.7</v>
      </c>
      <c r="IJ940">
        <v>1156.5999999999999</v>
      </c>
      <c r="IK940">
        <v>864.6</v>
      </c>
      <c r="IL940">
        <v>316.5</v>
      </c>
      <c r="IM940">
        <v>101.5</v>
      </c>
      <c r="IN940">
        <v>71.8</v>
      </c>
      <c r="IO940">
        <v>0</v>
      </c>
      <c r="IP940">
        <v>0</v>
      </c>
      <c r="IQ940">
        <v>0</v>
      </c>
      <c r="IR940">
        <v>0</v>
      </c>
      <c r="IS940">
        <v>0</v>
      </c>
      <c r="IT940">
        <v>0</v>
      </c>
      <c r="IU940">
        <v>0</v>
      </c>
      <c r="IV940">
        <v>0</v>
      </c>
      <c r="IW940">
        <v>68</v>
      </c>
      <c r="IX940">
        <v>404.7</v>
      </c>
      <c r="IY940">
        <v>126.6</v>
      </c>
      <c r="IZ940">
        <v>126.6</v>
      </c>
      <c r="JA940">
        <v>503.7</v>
      </c>
      <c r="JB940">
        <v>570.1</v>
      </c>
      <c r="JC940">
        <v>328.3</v>
      </c>
      <c r="JD940">
        <v>0</v>
      </c>
      <c r="JE940">
        <v>0</v>
      </c>
      <c r="JF940">
        <v>0</v>
      </c>
      <c r="JG940">
        <v>0</v>
      </c>
      <c r="JH940">
        <v>287.3</v>
      </c>
      <c r="JI940">
        <v>68.2</v>
      </c>
      <c r="JJ940">
        <v>0</v>
      </c>
      <c r="JK940">
        <v>148.6</v>
      </c>
      <c r="JL940">
        <v>0</v>
      </c>
      <c r="JM940">
        <v>0</v>
      </c>
      <c r="JN940">
        <v>204.5</v>
      </c>
      <c r="JO940">
        <v>292.10000000000002</v>
      </c>
      <c r="JP940">
        <v>670.8</v>
      </c>
      <c r="JQ940">
        <v>745.2</v>
      </c>
      <c r="JR940">
        <v>242.9</v>
      </c>
    </row>
    <row r="941" spans="2:278" ht="18" thickBot="1">
      <c r="B941" s="368" t="s">
        <v>1000</v>
      </c>
      <c r="C941" s="411" t="s">
        <v>1610</v>
      </c>
      <c r="D941" s="368" t="s">
        <v>1459</v>
      </c>
      <c r="E941" s="454">
        <v>22829.8</v>
      </c>
      <c r="F941">
        <v>20193.400000000001</v>
      </c>
      <c r="G941" s="427">
        <v>0</v>
      </c>
      <c r="H941" s="155">
        <v>0</v>
      </c>
      <c r="I941">
        <v>0</v>
      </c>
      <c r="J941">
        <v>0</v>
      </c>
      <c r="K941">
        <v>0</v>
      </c>
      <c r="L941" s="4">
        <v>0</v>
      </c>
      <c r="M941" s="4">
        <v>0</v>
      </c>
      <c r="N941" s="4">
        <v>0</v>
      </c>
      <c r="O941" s="4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1476.4</v>
      </c>
      <c r="X941">
        <v>1482</v>
      </c>
      <c r="Y941">
        <v>457.20000000000005</v>
      </c>
      <c r="Z941">
        <v>0</v>
      </c>
      <c r="AA941">
        <v>0</v>
      </c>
      <c r="AB941">
        <v>0</v>
      </c>
      <c r="AC941">
        <v>0</v>
      </c>
      <c r="AD941">
        <v>3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1828.6</v>
      </c>
      <c r="AK941">
        <v>1800.7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560.70000000000005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  <c r="CF941">
        <v>0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  <c r="CN941">
        <v>0</v>
      </c>
      <c r="CO941">
        <v>0</v>
      </c>
      <c r="CP941">
        <v>3.5</v>
      </c>
      <c r="CQ941">
        <v>0</v>
      </c>
      <c r="CR941">
        <v>528</v>
      </c>
      <c r="CS941">
        <v>581.79999999999995</v>
      </c>
      <c r="CT941">
        <v>555.40000000000009</v>
      </c>
      <c r="CU941">
        <v>737.4</v>
      </c>
      <c r="CV941">
        <v>1039.0999999999999</v>
      </c>
      <c r="CW941">
        <v>1667.3</v>
      </c>
      <c r="CX941">
        <v>877.6</v>
      </c>
      <c r="CY941">
        <v>910.40000000000009</v>
      </c>
      <c r="CZ941">
        <v>0</v>
      </c>
      <c r="DA941">
        <v>0</v>
      </c>
      <c r="DB941">
        <v>0</v>
      </c>
      <c r="DC941">
        <v>0</v>
      </c>
      <c r="DD941">
        <v>0</v>
      </c>
      <c r="DE941">
        <v>0</v>
      </c>
      <c r="DF941">
        <v>0</v>
      </c>
      <c r="DG941">
        <v>0</v>
      </c>
      <c r="DH941">
        <v>0</v>
      </c>
      <c r="DI941">
        <v>0</v>
      </c>
      <c r="DJ941">
        <v>0</v>
      </c>
      <c r="DK941">
        <v>0</v>
      </c>
      <c r="DL941">
        <v>995.5</v>
      </c>
      <c r="DM941">
        <v>712.7</v>
      </c>
      <c r="DN941">
        <v>0</v>
      </c>
      <c r="DO941">
        <v>0</v>
      </c>
      <c r="DP941">
        <v>0</v>
      </c>
      <c r="DQ941">
        <v>0</v>
      </c>
      <c r="DR941">
        <v>0</v>
      </c>
      <c r="DS941">
        <v>0</v>
      </c>
      <c r="DT941">
        <v>0</v>
      </c>
      <c r="DU941">
        <v>0</v>
      </c>
      <c r="DV941">
        <v>0</v>
      </c>
      <c r="DW941">
        <v>0</v>
      </c>
      <c r="DX941">
        <v>0</v>
      </c>
      <c r="DY941">
        <v>0</v>
      </c>
      <c r="DZ941">
        <v>0</v>
      </c>
      <c r="EA941">
        <v>0</v>
      </c>
      <c r="EB941">
        <v>0</v>
      </c>
      <c r="EC941">
        <v>0</v>
      </c>
      <c r="ED941">
        <v>0</v>
      </c>
      <c r="EE941">
        <v>0</v>
      </c>
      <c r="EF941">
        <v>0</v>
      </c>
      <c r="EG941">
        <v>0</v>
      </c>
      <c r="EH941">
        <v>0</v>
      </c>
      <c r="EI941">
        <v>0</v>
      </c>
      <c r="EJ941">
        <v>0</v>
      </c>
      <c r="EK941">
        <v>0</v>
      </c>
      <c r="EL941">
        <v>0</v>
      </c>
      <c r="EM941">
        <v>0</v>
      </c>
      <c r="EN941">
        <v>27.4</v>
      </c>
      <c r="EO941">
        <v>0</v>
      </c>
      <c r="EP941">
        <v>1002.5</v>
      </c>
      <c r="EQ941">
        <v>0</v>
      </c>
      <c r="ER941">
        <v>494</v>
      </c>
      <c r="ES941">
        <v>0</v>
      </c>
      <c r="ET941">
        <v>699.3</v>
      </c>
      <c r="EU941">
        <v>435.4</v>
      </c>
      <c r="EV941">
        <v>0</v>
      </c>
      <c r="EW941">
        <v>0</v>
      </c>
      <c r="EX941">
        <v>0</v>
      </c>
      <c r="EY941">
        <v>0</v>
      </c>
      <c r="EZ941">
        <v>0</v>
      </c>
      <c r="FA941">
        <v>0</v>
      </c>
      <c r="FB941">
        <v>0</v>
      </c>
      <c r="FC941">
        <v>0</v>
      </c>
      <c r="FD941">
        <v>95.6</v>
      </c>
      <c r="FE941">
        <v>1792.1</v>
      </c>
      <c r="FF941">
        <v>1740.1999999999998</v>
      </c>
      <c r="FG941">
        <v>954.9</v>
      </c>
      <c r="FH941">
        <v>1087.8000000000002</v>
      </c>
      <c r="FI941">
        <v>1892.1</v>
      </c>
      <c r="FJ941">
        <v>1222.5</v>
      </c>
      <c r="FK941">
        <v>678.3</v>
      </c>
      <c r="FL941">
        <v>639.1</v>
      </c>
      <c r="FM941">
        <v>520.5</v>
      </c>
      <c r="FN941">
        <v>123.8</v>
      </c>
      <c r="FO941">
        <v>181.6</v>
      </c>
      <c r="FP941">
        <v>1090.5</v>
      </c>
      <c r="FQ941">
        <v>0</v>
      </c>
      <c r="FR941">
        <v>0</v>
      </c>
      <c r="FS941">
        <v>0</v>
      </c>
      <c r="FT941">
        <v>0</v>
      </c>
      <c r="FU941">
        <v>0</v>
      </c>
      <c r="FV941">
        <v>0</v>
      </c>
      <c r="FW941">
        <v>0</v>
      </c>
      <c r="FX941">
        <v>0</v>
      </c>
      <c r="FY941">
        <v>0</v>
      </c>
      <c r="FZ941">
        <v>0</v>
      </c>
      <c r="GA941">
        <v>0</v>
      </c>
      <c r="GB941">
        <v>0</v>
      </c>
      <c r="GC941">
        <v>0</v>
      </c>
      <c r="GD941">
        <v>0</v>
      </c>
      <c r="GE941">
        <v>0</v>
      </c>
      <c r="GF941">
        <v>198.3</v>
      </c>
      <c r="GG941">
        <v>1054.4000000000001</v>
      </c>
      <c r="GH941">
        <v>552.79999999999995</v>
      </c>
      <c r="GI941">
        <v>522</v>
      </c>
      <c r="GJ941">
        <v>0</v>
      </c>
      <c r="GK941">
        <v>0</v>
      </c>
      <c r="GL941">
        <v>0</v>
      </c>
      <c r="GM941">
        <v>0</v>
      </c>
      <c r="GN941">
        <v>791.40000000000009</v>
      </c>
      <c r="GO941">
        <v>1816.5</v>
      </c>
      <c r="GP941">
        <v>0</v>
      </c>
      <c r="GQ941">
        <v>0</v>
      </c>
      <c r="GR941">
        <v>0</v>
      </c>
      <c r="GS941">
        <v>0</v>
      </c>
      <c r="GT941">
        <v>0</v>
      </c>
      <c r="GU941">
        <v>0</v>
      </c>
      <c r="GV941">
        <v>0</v>
      </c>
      <c r="GW941">
        <v>0</v>
      </c>
      <c r="GX941">
        <v>0</v>
      </c>
      <c r="GY941">
        <v>840.3</v>
      </c>
      <c r="GZ941">
        <v>0</v>
      </c>
      <c r="HA941">
        <v>0</v>
      </c>
      <c r="HB941">
        <v>0</v>
      </c>
      <c r="HC941">
        <v>380.4</v>
      </c>
      <c r="HD941">
        <v>2175.5</v>
      </c>
      <c r="HE941">
        <v>0</v>
      </c>
      <c r="HF941">
        <v>0</v>
      </c>
      <c r="HG941">
        <v>0</v>
      </c>
      <c r="HH941">
        <v>0</v>
      </c>
      <c r="HI941">
        <v>0</v>
      </c>
      <c r="HJ941">
        <v>803.40000000000009</v>
      </c>
      <c r="HK941">
        <v>1270.9000000000001</v>
      </c>
      <c r="HL941">
        <v>835.7</v>
      </c>
      <c r="HM941">
        <v>1162.5999999999999</v>
      </c>
      <c r="HN941">
        <v>0</v>
      </c>
      <c r="HO941">
        <v>0</v>
      </c>
      <c r="HP941">
        <v>0</v>
      </c>
      <c r="HQ941">
        <v>0</v>
      </c>
      <c r="HR941">
        <v>161.19999999999999</v>
      </c>
      <c r="HS941">
        <v>0</v>
      </c>
      <c r="HT941">
        <v>2048.5</v>
      </c>
      <c r="HU941">
        <v>2627.5</v>
      </c>
      <c r="HV941">
        <v>1168.5999999999999</v>
      </c>
      <c r="HW941">
        <v>388</v>
      </c>
      <c r="HX941">
        <v>0</v>
      </c>
      <c r="HY941">
        <v>0</v>
      </c>
      <c r="HZ941">
        <v>0</v>
      </c>
      <c r="IA941">
        <v>0</v>
      </c>
      <c r="IB941">
        <v>0</v>
      </c>
      <c r="IC941">
        <v>594.4</v>
      </c>
      <c r="ID941">
        <v>427.4</v>
      </c>
      <c r="IE941">
        <v>713.3</v>
      </c>
      <c r="IF941">
        <v>626.1</v>
      </c>
      <c r="IG941">
        <v>0</v>
      </c>
      <c r="IH941">
        <v>0</v>
      </c>
      <c r="II941">
        <v>995.7</v>
      </c>
      <c r="IJ941">
        <v>1156.5999999999999</v>
      </c>
      <c r="IK941">
        <v>864.6</v>
      </c>
      <c r="IL941">
        <v>316.5</v>
      </c>
      <c r="IM941">
        <v>101.5</v>
      </c>
      <c r="IN941">
        <v>71.8</v>
      </c>
      <c r="IO941">
        <v>0</v>
      </c>
      <c r="IP941">
        <v>0</v>
      </c>
      <c r="IQ941">
        <v>0</v>
      </c>
      <c r="IR941">
        <v>0</v>
      </c>
      <c r="IS941">
        <v>0</v>
      </c>
      <c r="IT941">
        <v>0</v>
      </c>
      <c r="IU941">
        <v>0</v>
      </c>
      <c r="IV941">
        <v>0</v>
      </c>
      <c r="IW941">
        <v>68</v>
      </c>
      <c r="IX941">
        <v>404.7</v>
      </c>
      <c r="IY941">
        <v>126.6</v>
      </c>
      <c r="IZ941">
        <v>126.6</v>
      </c>
      <c r="JA941">
        <v>503.7</v>
      </c>
      <c r="JB941">
        <v>570.1</v>
      </c>
      <c r="JC941">
        <v>328.3</v>
      </c>
      <c r="JD941">
        <v>0</v>
      </c>
      <c r="JE941">
        <v>0</v>
      </c>
      <c r="JF941">
        <v>0</v>
      </c>
      <c r="JG941">
        <v>0</v>
      </c>
      <c r="JH941">
        <v>287.3</v>
      </c>
      <c r="JI941">
        <v>68.2</v>
      </c>
      <c r="JJ941">
        <v>0</v>
      </c>
      <c r="JK941">
        <v>148.6</v>
      </c>
      <c r="JL941">
        <v>0</v>
      </c>
      <c r="JM941">
        <v>0</v>
      </c>
      <c r="JN941">
        <v>204.5</v>
      </c>
      <c r="JO941">
        <v>292.10000000000002</v>
      </c>
      <c r="JP941">
        <v>670.8</v>
      </c>
      <c r="JQ941">
        <v>745.2</v>
      </c>
      <c r="JR941">
        <v>242.9</v>
      </c>
    </row>
    <row r="942" spans="2:278" ht="18" thickBot="1">
      <c r="B942" s="368" t="s">
        <v>1001</v>
      </c>
      <c r="C942" s="411" t="s">
        <v>1611</v>
      </c>
      <c r="D942" s="368" t="s">
        <v>1460</v>
      </c>
      <c r="E942" s="454">
        <v>22829.8</v>
      </c>
      <c r="F942">
        <v>20193.400000000001</v>
      </c>
      <c r="G942" s="427">
        <v>0</v>
      </c>
      <c r="H942" s="155">
        <v>0</v>
      </c>
      <c r="I942">
        <v>0</v>
      </c>
      <c r="J942">
        <v>0</v>
      </c>
      <c r="K942">
        <v>0</v>
      </c>
      <c r="L942" s="4">
        <v>0</v>
      </c>
      <c r="M942" s="4">
        <v>0</v>
      </c>
      <c r="N942" s="4">
        <v>0</v>
      </c>
      <c r="O942" s="4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1476.4</v>
      </c>
      <c r="X942">
        <v>1482</v>
      </c>
      <c r="Y942">
        <v>457.20000000000005</v>
      </c>
      <c r="Z942">
        <v>0</v>
      </c>
      <c r="AA942">
        <v>0</v>
      </c>
      <c r="AB942">
        <v>0</v>
      </c>
      <c r="AC942">
        <v>0</v>
      </c>
      <c r="AD942">
        <v>3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1828.6</v>
      </c>
      <c r="AK942">
        <v>1800.7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560.70000000000005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  <c r="CF942">
        <v>0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  <c r="CN942">
        <v>0</v>
      </c>
      <c r="CO942">
        <v>0</v>
      </c>
      <c r="CP942">
        <v>3.5</v>
      </c>
      <c r="CQ942">
        <v>0</v>
      </c>
      <c r="CR942">
        <v>528</v>
      </c>
      <c r="CS942">
        <v>581.79999999999995</v>
      </c>
      <c r="CT942">
        <v>555.40000000000009</v>
      </c>
      <c r="CU942">
        <v>737.4</v>
      </c>
      <c r="CV942">
        <v>1039.0999999999999</v>
      </c>
      <c r="CW942">
        <v>1667.3</v>
      </c>
      <c r="CX942">
        <v>877.6</v>
      </c>
      <c r="CY942">
        <v>910.40000000000009</v>
      </c>
      <c r="CZ942">
        <v>0</v>
      </c>
      <c r="DA942">
        <v>0</v>
      </c>
      <c r="DB942">
        <v>0</v>
      </c>
      <c r="DC942">
        <v>0</v>
      </c>
      <c r="DD942">
        <v>0</v>
      </c>
      <c r="DE942">
        <v>0</v>
      </c>
      <c r="DF942">
        <v>0</v>
      </c>
      <c r="DG942">
        <v>0</v>
      </c>
      <c r="DH942">
        <v>0</v>
      </c>
      <c r="DI942">
        <v>0</v>
      </c>
      <c r="DJ942">
        <v>0</v>
      </c>
      <c r="DK942">
        <v>0</v>
      </c>
      <c r="DL942">
        <v>995.5</v>
      </c>
      <c r="DM942">
        <v>712.7</v>
      </c>
      <c r="DN942">
        <v>0</v>
      </c>
      <c r="DO942">
        <v>0</v>
      </c>
      <c r="DP942">
        <v>0</v>
      </c>
      <c r="DQ942">
        <v>0</v>
      </c>
      <c r="DR942">
        <v>0</v>
      </c>
      <c r="DS942">
        <v>0</v>
      </c>
      <c r="DT942">
        <v>0</v>
      </c>
      <c r="DU942">
        <v>0</v>
      </c>
      <c r="DV942">
        <v>0</v>
      </c>
      <c r="DW942">
        <v>0</v>
      </c>
      <c r="DX942">
        <v>0</v>
      </c>
      <c r="DY942">
        <v>0</v>
      </c>
      <c r="DZ942">
        <v>0</v>
      </c>
      <c r="EA942">
        <v>0</v>
      </c>
      <c r="EB942">
        <v>0</v>
      </c>
      <c r="EC942">
        <v>0</v>
      </c>
      <c r="ED942">
        <v>0</v>
      </c>
      <c r="EE942">
        <v>0</v>
      </c>
      <c r="EF942">
        <v>0</v>
      </c>
      <c r="EG942">
        <v>0</v>
      </c>
      <c r="EH942">
        <v>0</v>
      </c>
      <c r="EI942">
        <v>0</v>
      </c>
      <c r="EJ942">
        <v>0</v>
      </c>
      <c r="EK942">
        <v>0</v>
      </c>
      <c r="EL942">
        <v>0</v>
      </c>
      <c r="EM942">
        <v>0</v>
      </c>
      <c r="EN942">
        <v>27.4</v>
      </c>
      <c r="EO942">
        <v>0</v>
      </c>
      <c r="EP942">
        <v>1002.5</v>
      </c>
      <c r="EQ942">
        <v>0</v>
      </c>
      <c r="ER942">
        <v>494</v>
      </c>
      <c r="ES942">
        <v>0</v>
      </c>
      <c r="ET942">
        <v>699.3</v>
      </c>
      <c r="EU942">
        <v>435.4</v>
      </c>
      <c r="EV942">
        <v>0</v>
      </c>
      <c r="EW942">
        <v>0</v>
      </c>
      <c r="EX942">
        <v>0</v>
      </c>
      <c r="EY942">
        <v>0</v>
      </c>
      <c r="EZ942">
        <v>0</v>
      </c>
      <c r="FA942">
        <v>0</v>
      </c>
      <c r="FB942">
        <v>0</v>
      </c>
      <c r="FC942">
        <v>0</v>
      </c>
      <c r="FD942">
        <v>95.6</v>
      </c>
      <c r="FE942">
        <v>1792.1</v>
      </c>
      <c r="FF942">
        <v>1740.1999999999998</v>
      </c>
      <c r="FG942">
        <v>954.9</v>
      </c>
      <c r="FH942">
        <v>1087.8000000000002</v>
      </c>
      <c r="FI942">
        <v>1892.1</v>
      </c>
      <c r="FJ942">
        <v>1222.5</v>
      </c>
      <c r="FK942">
        <v>678.3</v>
      </c>
      <c r="FL942">
        <v>639.1</v>
      </c>
      <c r="FM942">
        <v>520.5</v>
      </c>
      <c r="FN942">
        <v>123.8</v>
      </c>
      <c r="FO942">
        <v>181.6</v>
      </c>
      <c r="FP942">
        <v>1090.5</v>
      </c>
      <c r="FQ942">
        <v>0</v>
      </c>
      <c r="FR942">
        <v>0</v>
      </c>
      <c r="FS942">
        <v>0</v>
      </c>
      <c r="FT942">
        <v>0</v>
      </c>
      <c r="FU942">
        <v>0</v>
      </c>
      <c r="FV942">
        <v>0</v>
      </c>
      <c r="FW942">
        <v>0</v>
      </c>
      <c r="FX942">
        <v>0</v>
      </c>
      <c r="FY942">
        <v>0</v>
      </c>
      <c r="FZ942">
        <v>0</v>
      </c>
      <c r="GA942">
        <v>0</v>
      </c>
      <c r="GB942">
        <v>0</v>
      </c>
      <c r="GC942">
        <v>0</v>
      </c>
      <c r="GD942">
        <v>0</v>
      </c>
      <c r="GE942">
        <v>0</v>
      </c>
      <c r="GF942">
        <v>198.3</v>
      </c>
      <c r="GG942">
        <v>1054.4000000000001</v>
      </c>
      <c r="GH942">
        <v>552.79999999999995</v>
      </c>
      <c r="GI942">
        <v>522</v>
      </c>
      <c r="GJ942">
        <v>0</v>
      </c>
      <c r="GK942">
        <v>0</v>
      </c>
      <c r="GL942">
        <v>0</v>
      </c>
      <c r="GM942">
        <v>0</v>
      </c>
      <c r="GN942">
        <v>791.40000000000009</v>
      </c>
      <c r="GO942">
        <v>1816.5</v>
      </c>
      <c r="GP942">
        <v>0</v>
      </c>
      <c r="GQ942">
        <v>0</v>
      </c>
      <c r="GR942">
        <v>0</v>
      </c>
      <c r="GS942">
        <v>0</v>
      </c>
      <c r="GT942">
        <v>0</v>
      </c>
      <c r="GU942">
        <v>0</v>
      </c>
      <c r="GV942">
        <v>0</v>
      </c>
      <c r="GW942">
        <v>0</v>
      </c>
      <c r="GX942">
        <v>0</v>
      </c>
      <c r="GY942">
        <v>840.3</v>
      </c>
      <c r="GZ942">
        <v>0</v>
      </c>
      <c r="HA942">
        <v>0</v>
      </c>
      <c r="HB942">
        <v>0</v>
      </c>
      <c r="HC942">
        <v>380.4</v>
      </c>
      <c r="HD942">
        <v>2175.5</v>
      </c>
      <c r="HE942">
        <v>0</v>
      </c>
      <c r="HF942">
        <v>0</v>
      </c>
      <c r="HG942">
        <v>0</v>
      </c>
      <c r="HH942">
        <v>0</v>
      </c>
      <c r="HI942">
        <v>0</v>
      </c>
      <c r="HJ942">
        <v>803.40000000000009</v>
      </c>
      <c r="HK942">
        <v>1270.9000000000001</v>
      </c>
      <c r="HL942">
        <v>835.7</v>
      </c>
      <c r="HM942">
        <v>1162.5999999999999</v>
      </c>
      <c r="HN942">
        <v>0</v>
      </c>
      <c r="HO942">
        <v>0</v>
      </c>
      <c r="HP942">
        <v>0</v>
      </c>
      <c r="HQ942">
        <v>0</v>
      </c>
      <c r="HR942">
        <v>161.19999999999999</v>
      </c>
      <c r="HS942">
        <v>0</v>
      </c>
      <c r="HT942">
        <v>2048.5</v>
      </c>
      <c r="HU942">
        <v>2627.5</v>
      </c>
      <c r="HV942">
        <v>1168.5999999999999</v>
      </c>
      <c r="HW942">
        <v>388</v>
      </c>
      <c r="HX942">
        <v>0</v>
      </c>
      <c r="HY942">
        <v>0</v>
      </c>
      <c r="HZ942">
        <v>0</v>
      </c>
      <c r="IA942">
        <v>0</v>
      </c>
      <c r="IB942">
        <v>0</v>
      </c>
      <c r="IC942">
        <v>594.4</v>
      </c>
      <c r="ID942">
        <v>427.4</v>
      </c>
      <c r="IE942">
        <v>713.3</v>
      </c>
      <c r="IF942">
        <v>626.1</v>
      </c>
      <c r="IG942">
        <v>0</v>
      </c>
      <c r="IH942">
        <v>0</v>
      </c>
      <c r="II942">
        <v>995.7</v>
      </c>
      <c r="IJ942">
        <v>1156.5999999999999</v>
      </c>
      <c r="IK942">
        <v>864.6</v>
      </c>
      <c r="IL942">
        <v>316.5</v>
      </c>
      <c r="IM942">
        <v>101.5</v>
      </c>
      <c r="IN942">
        <v>71.8</v>
      </c>
      <c r="IO942">
        <v>0</v>
      </c>
      <c r="IP942">
        <v>0</v>
      </c>
      <c r="IQ942">
        <v>0</v>
      </c>
      <c r="IR942">
        <v>0</v>
      </c>
      <c r="IS942">
        <v>0</v>
      </c>
      <c r="IT942">
        <v>0</v>
      </c>
      <c r="IU942">
        <v>0</v>
      </c>
      <c r="IV942">
        <v>0</v>
      </c>
      <c r="IW942">
        <v>68</v>
      </c>
      <c r="IX942">
        <v>404.7</v>
      </c>
      <c r="IY942">
        <v>126.6</v>
      </c>
      <c r="IZ942">
        <v>126.6</v>
      </c>
      <c r="JA942">
        <v>503.7</v>
      </c>
      <c r="JB942">
        <v>570.1</v>
      </c>
      <c r="JC942">
        <v>328.3</v>
      </c>
      <c r="JD942">
        <v>0</v>
      </c>
      <c r="JE942">
        <v>0</v>
      </c>
      <c r="JF942">
        <v>0</v>
      </c>
      <c r="JG942">
        <v>0</v>
      </c>
      <c r="JH942">
        <v>287.3</v>
      </c>
      <c r="JI942">
        <v>68.2</v>
      </c>
      <c r="JJ942">
        <v>0</v>
      </c>
      <c r="JK942">
        <v>148.6</v>
      </c>
      <c r="JL942">
        <v>0</v>
      </c>
      <c r="JM942">
        <v>0</v>
      </c>
      <c r="JN942">
        <v>204.5</v>
      </c>
      <c r="JO942">
        <v>292.10000000000002</v>
      </c>
      <c r="JP942">
        <v>670.8</v>
      </c>
      <c r="JQ942">
        <v>745.2</v>
      </c>
      <c r="JR942">
        <v>242.9</v>
      </c>
    </row>
    <row r="943" spans="2:278" ht="18" thickBot="1">
      <c r="B943" s="368" t="s">
        <v>1306</v>
      </c>
      <c r="C943" s="411" t="s">
        <v>1612</v>
      </c>
      <c r="D943" s="368" t="s">
        <v>1461</v>
      </c>
      <c r="E943" s="454">
        <v>22829.8</v>
      </c>
      <c r="F943">
        <v>20193.400000000001</v>
      </c>
      <c r="G943" s="427">
        <v>0</v>
      </c>
      <c r="H943" s="155">
        <v>0</v>
      </c>
      <c r="I943">
        <v>0</v>
      </c>
      <c r="J943">
        <v>0</v>
      </c>
      <c r="K943">
        <v>0</v>
      </c>
      <c r="L943" s="4">
        <v>0</v>
      </c>
      <c r="M943" s="4">
        <v>0</v>
      </c>
      <c r="N943" s="4">
        <v>0</v>
      </c>
      <c r="O943" s="4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1476.4</v>
      </c>
      <c r="X943">
        <v>1482</v>
      </c>
      <c r="Y943">
        <v>457.20000000000005</v>
      </c>
      <c r="Z943">
        <v>0</v>
      </c>
      <c r="AA943">
        <v>0</v>
      </c>
      <c r="AB943">
        <v>0</v>
      </c>
      <c r="AC943">
        <v>0</v>
      </c>
      <c r="AD943">
        <v>3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1828.6</v>
      </c>
      <c r="AK943">
        <v>1800.7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560.70000000000005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  <c r="CF943">
        <v>0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  <c r="CN943">
        <v>0</v>
      </c>
      <c r="CO943">
        <v>0</v>
      </c>
      <c r="CP943">
        <v>3.5</v>
      </c>
      <c r="CQ943">
        <v>0</v>
      </c>
      <c r="CR943">
        <v>528</v>
      </c>
      <c r="CS943">
        <v>581.79999999999995</v>
      </c>
      <c r="CT943">
        <v>555.40000000000009</v>
      </c>
      <c r="CU943">
        <v>737.4</v>
      </c>
      <c r="CV943">
        <v>1039.0999999999999</v>
      </c>
      <c r="CW943">
        <v>1667.3</v>
      </c>
      <c r="CX943">
        <v>877.6</v>
      </c>
      <c r="CY943">
        <v>910.40000000000009</v>
      </c>
      <c r="CZ943">
        <v>0</v>
      </c>
      <c r="DA943">
        <v>0</v>
      </c>
      <c r="DB943">
        <v>0</v>
      </c>
      <c r="DC943">
        <v>0</v>
      </c>
      <c r="DD943">
        <v>0</v>
      </c>
      <c r="DE943">
        <v>0</v>
      </c>
      <c r="DF943">
        <v>0</v>
      </c>
      <c r="DG943">
        <v>0</v>
      </c>
      <c r="DH943">
        <v>0</v>
      </c>
      <c r="DI943">
        <v>0</v>
      </c>
      <c r="DJ943">
        <v>0</v>
      </c>
      <c r="DK943">
        <v>0</v>
      </c>
      <c r="DL943">
        <v>995.5</v>
      </c>
      <c r="DM943">
        <v>712.7</v>
      </c>
      <c r="DN943">
        <v>0</v>
      </c>
      <c r="DO943">
        <v>0</v>
      </c>
      <c r="DP943">
        <v>0</v>
      </c>
      <c r="DQ943">
        <v>0</v>
      </c>
      <c r="DR943">
        <v>0</v>
      </c>
      <c r="DS943">
        <v>0</v>
      </c>
      <c r="DT943">
        <v>0</v>
      </c>
      <c r="DU943">
        <v>0</v>
      </c>
      <c r="DV943">
        <v>0</v>
      </c>
      <c r="DW943">
        <v>0</v>
      </c>
      <c r="DX943">
        <v>0</v>
      </c>
      <c r="DY943">
        <v>0</v>
      </c>
      <c r="DZ943">
        <v>0</v>
      </c>
      <c r="EA943">
        <v>0</v>
      </c>
      <c r="EB943">
        <v>0</v>
      </c>
      <c r="EC943">
        <v>0</v>
      </c>
      <c r="ED943">
        <v>0</v>
      </c>
      <c r="EE943">
        <v>0</v>
      </c>
      <c r="EF943">
        <v>0</v>
      </c>
      <c r="EG943">
        <v>0</v>
      </c>
      <c r="EH943">
        <v>0</v>
      </c>
      <c r="EI943">
        <v>0</v>
      </c>
      <c r="EJ943">
        <v>0</v>
      </c>
      <c r="EK943">
        <v>0</v>
      </c>
      <c r="EL943">
        <v>0</v>
      </c>
      <c r="EM943">
        <v>0</v>
      </c>
      <c r="EN943">
        <v>27.4</v>
      </c>
      <c r="EO943">
        <v>0</v>
      </c>
      <c r="EP943">
        <v>1002.5</v>
      </c>
      <c r="EQ943">
        <v>0</v>
      </c>
      <c r="ER943">
        <v>494</v>
      </c>
      <c r="ES943">
        <v>0</v>
      </c>
      <c r="ET943">
        <v>699.3</v>
      </c>
      <c r="EU943">
        <v>435.4</v>
      </c>
      <c r="EV943">
        <v>0</v>
      </c>
      <c r="EW943">
        <v>0</v>
      </c>
      <c r="EX943">
        <v>0</v>
      </c>
      <c r="EY943">
        <v>0</v>
      </c>
      <c r="EZ943">
        <v>0</v>
      </c>
      <c r="FA943">
        <v>0</v>
      </c>
      <c r="FB943">
        <v>0</v>
      </c>
      <c r="FC943">
        <v>0</v>
      </c>
      <c r="FD943">
        <v>95.6</v>
      </c>
      <c r="FE943">
        <v>1792.1</v>
      </c>
      <c r="FF943">
        <v>1740.1999999999998</v>
      </c>
      <c r="FG943">
        <v>954.9</v>
      </c>
      <c r="FH943">
        <v>1087.8000000000002</v>
      </c>
      <c r="FI943">
        <v>1892.1</v>
      </c>
      <c r="FJ943">
        <v>1222.5</v>
      </c>
      <c r="FK943">
        <v>678.3</v>
      </c>
      <c r="FL943">
        <v>639.1</v>
      </c>
      <c r="FM943">
        <v>520.5</v>
      </c>
      <c r="FN943">
        <v>123.8</v>
      </c>
      <c r="FO943">
        <v>181.6</v>
      </c>
      <c r="FP943">
        <v>1090.5</v>
      </c>
      <c r="FQ943">
        <v>0</v>
      </c>
      <c r="FR943">
        <v>0</v>
      </c>
      <c r="FS943">
        <v>0</v>
      </c>
      <c r="FT943">
        <v>0</v>
      </c>
      <c r="FU943">
        <v>0</v>
      </c>
      <c r="FV943">
        <v>0</v>
      </c>
      <c r="FW943">
        <v>0</v>
      </c>
      <c r="FX943">
        <v>0</v>
      </c>
      <c r="FY943">
        <v>0</v>
      </c>
      <c r="FZ943">
        <v>0</v>
      </c>
      <c r="GA943">
        <v>0</v>
      </c>
      <c r="GB943">
        <v>0</v>
      </c>
      <c r="GC943">
        <v>0</v>
      </c>
      <c r="GD943">
        <v>0</v>
      </c>
      <c r="GE943">
        <v>0</v>
      </c>
      <c r="GF943">
        <v>198.3</v>
      </c>
      <c r="GG943">
        <v>1054.4000000000001</v>
      </c>
      <c r="GH943">
        <v>552.79999999999995</v>
      </c>
      <c r="GI943">
        <v>522</v>
      </c>
      <c r="GJ943">
        <v>0</v>
      </c>
      <c r="GK943">
        <v>0</v>
      </c>
      <c r="GL943">
        <v>0</v>
      </c>
      <c r="GM943">
        <v>0</v>
      </c>
      <c r="GN943">
        <v>791.40000000000009</v>
      </c>
      <c r="GO943">
        <v>1816.5</v>
      </c>
      <c r="GP943">
        <v>0</v>
      </c>
      <c r="GQ943">
        <v>0</v>
      </c>
      <c r="GR943">
        <v>0</v>
      </c>
      <c r="GS943">
        <v>0</v>
      </c>
      <c r="GT943">
        <v>0</v>
      </c>
      <c r="GU943">
        <v>0</v>
      </c>
      <c r="GV943">
        <v>0</v>
      </c>
      <c r="GW943">
        <v>0</v>
      </c>
      <c r="GX943">
        <v>0</v>
      </c>
      <c r="GY943">
        <v>840.3</v>
      </c>
      <c r="GZ943">
        <v>0</v>
      </c>
      <c r="HA943">
        <v>0</v>
      </c>
      <c r="HB943">
        <v>0</v>
      </c>
      <c r="HC943">
        <v>380.4</v>
      </c>
      <c r="HD943">
        <v>2175.5</v>
      </c>
      <c r="HE943">
        <v>0</v>
      </c>
      <c r="HF943">
        <v>0</v>
      </c>
      <c r="HG943">
        <v>0</v>
      </c>
      <c r="HH943">
        <v>0</v>
      </c>
      <c r="HI943">
        <v>0</v>
      </c>
      <c r="HJ943">
        <v>803.40000000000009</v>
      </c>
      <c r="HK943">
        <v>1270.9000000000001</v>
      </c>
      <c r="HL943">
        <v>835.7</v>
      </c>
      <c r="HM943">
        <v>1162.5999999999999</v>
      </c>
      <c r="HN943">
        <v>0</v>
      </c>
      <c r="HO943">
        <v>0</v>
      </c>
      <c r="HP943">
        <v>0</v>
      </c>
      <c r="HQ943">
        <v>0</v>
      </c>
      <c r="HR943">
        <v>161.19999999999999</v>
      </c>
      <c r="HS943">
        <v>0</v>
      </c>
      <c r="HT943">
        <v>2048.5</v>
      </c>
      <c r="HU943">
        <v>2627.5</v>
      </c>
      <c r="HV943">
        <v>1168.5999999999999</v>
      </c>
      <c r="HW943">
        <v>388</v>
      </c>
      <c r="HX943">
        <v>0</v>
      </c>
      <c r="HY943">
        <v>0</v>
      </c>
      <c r="HZ943">
        <v>0</v>
      </c>
      <c r="IA943">
        <v>0</v>
      </c>
      <c r="IB943">
        <v>0</v>
      </c>
      <c r="IC943">
        <v>594.4</v>
      </c>
      <c r="ID943">
        <v>427.4</v>
      </c>
      <c r="IE943">
        <v>713.3</v>
      </c>
      <c r="IF943">
        <v>626.1</v>
      </c>
      <c r="IG943">
        <v>0</v>
      </c>
      <c r="IH943">
        <v>0</v>
      </c>
      <c r="II943">
        <v>995.7</v>
      </c>
      <c r="IJ943">
        <v>1156.5999999999999</v>
      </c>
      <c r="IK943">
        <v>864.6</v>
      </c>
      <c r="IL943">
        <v>316.5</v>
      </c>
      <c r="IM943">
        <v>101.5</v>
      </c>
      <c r="IN943">
        <v>71.8</v>
      </c>
      <c r="IO943">
        <v>0</v>
      </c>
      <c r="IP943">
        <v>0</v>
      </c>
      <c r="IQ943">
        <v>0</v>
      </c>
      <c r="IR943">
        <v>0</v>
      </c>
      <c r="IS943">
        <v>0</v>
      </c>
      <c r="IT943">
        <v>0</v>
      </c>
      <c r="IU943">
        <v>0</v>
      </c>
      <c r="IV943">
        <v>0</v>
      </c>
      <c r="IW943">
        <v>68</v>
      </c>
      <c r="IX943">
        <v>404.7</v>
      </c>
      <c r="IY943">
        <v>126.6</v>
      </c>
      <c r="IZ943">
        <v>126.6</v>
      </c>
      <c r="JA943">
        <v>503.7</v>
      </c>
      <c r="JB943">
        <v>570.1</v>
      </c>
      <c r="JC943">
        <v>328.3</v>
      </c>
      <c r="JD943">
        <v>0</v>
      </c>
      <c r="JE943">
        <v>0</v>
      </c>
      <c r="JF943">
        <v>0</v>
      </c>
      <c r="JG943">
        <v>0</v>
      </c>
      <c r="JH943">
        <v>287.3</v>
      </c>
      <c r="JI943">
        <v>68.2</v>
      </c>
      <c r="JJ943">
        <v>0</v>
      </c>
      <c r="JK943">
        <v>148.6</v>
      </c>
      <c r="JL943">
        <v>0</v>
      </c>
      <c r="JM943">
        <v>0</v>
      </c>
      <c r="JN943">
        <v>204.5</v>
      </c>
      <c r="JO943">
        <v>292.10000000000002</v>
      </c>
      <c r="JP943">
        <v>670.8</v>
      </c>
      <c r="JQ943">
        <v>745.2</v>
      </c>
      <c r="JR943">
        <v>242.9</v>
      </c>
    </row>
    <row r="944" spans="2:278" ht="18" thickBot="1">
      <c r="B944" s="368" t="s">
        <v>1307</v>
      </c>
      <c r="C944" s="411" t="s">
        <v>1613</v>
      </c>
      <c r="D944" s="368" t="s">
        <v>1462</v>
      </c>
      <c r="E944" s="454">
        <v>22829.8</v>
      </c>
      <c r="F944">
        <v>20193.400000000001</v>
      </c>
      <c r="G944" s="427">
        <v>0</v>
      </c>
      <c r="H944" s="155">
        <v>0</v>
      </c>
      <c r="I944">
        <v>0</v>
      </c>
      <c r="J944">
        <v>0</v>
      </c>
      <c r="K944">
        <v>0</v>
      </c>
      <c r="L944" s="4">
        <v>0</v>
      </c>
      <c r="M944" s="4">
        <v>0</v>
      </c>
      <c r="N944" s="4">
        <v>0</v>
      </c>
      <c r="O944" s="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1476.4</v>
      </c>
      <c r="X944">
        <v>1482</v>
      </c>
      <c r="Y944">
        <v>457.20000000000005</v>
      </c>
      <c r="Z944">
        <v>0</v>
      </c>
      <c r="AA944">
        <v>0</v>
      </c>
      <c r="AB944">
        <v>0</v>
      </c>
      <c r="AC944">
        <v>0</v>
      </c>
      <c r="AD944">
        <v>3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1828.6</v>
      </c>
      <c r="AK944">
        <v>1800.7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560.70000000000005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  <c r="CF944">
        <v>0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  <c r="CN944">
        <v>0</v>
      </c>
      <c r="CO944">
        <v>0</v>
      </c>
      <c r="CP944">
        <v>3.5</v>
      </c>
      <c r="CQ944">
        <v>0</v>
      </c>
      <c r="CR944">
        <v>528</v>
      </c>
      <c r="CS944">
        <v>581.79999999999995</v>
      </c>
      <c r="CT944">
        <v>555.40000000000009</v>
      </c>
      <c r="CU944">
        <v>737.4</v>
      </c>
      <c r="CV944">
        <v>1039.0999999999999</v>
      </c>
      <c r="CW944">
        <v>1667.3</v>
      </c>
      <c r="CX944">
        <v>877.6</v>
      </c>
      <c r="CY944">
        <v>910.40000000000009</v>
      </c>
      <c r="CZ944">
        <v>0</v>
      </c>
      <c r="DA944">
        <v>0</v>
      </c>
      <c r="DB944">
        <v>0</v>
      </c>
      <c r="DC944">
        <v>0</v>
      </c>
      <c r="DD944">
        <v>0</v>
      </c>
      <c r="DE944">
        <v>0</v>
      </c>
      <c r="DF944">
        <v>0</v>
      </c>
      <c r="DG944">
        <v>0</v>
      </c>
      <c r="DH944">
        <v>0</v>
      </c>
      <c r="DI944">
        <v>0</v>
      </c>
      <c r="DJ944">
        <v>0</v>
      </c>
      <c r="DK944">
        <v>0</v>
      </c>
      <c r="DL944">
        <v>995.5</v>
      </c>
      <c r="DM944">
        <v>712.7</v>
      </c>
      <c r="DN944">
        <v>0</v>
      </c>
      <c r="DO944">
        <v>0</v>
      </c>
      <c r="DP944">
        <v>0</v>
      </c>
      <c r="DQ944">
        <v>0</v>
      </c>
      <c r="DR944">
        <v>0</v>
      </c>
      <c r="DS944">
        <v>0</v>
      </c>
      <c r="DT944">
        <v>0</v>
      </c>
      <c r="DU944">
        <v>0</v>
      </c>
      <c r="DV944">
        <v>0</v>
      </c>
      <c r="DW944">
        <v>0</v>
      </c>
      <c r="DX944">
        <v>0</v>
      </c>
      <c r="DY944">
        <v>0</v>
      </c>
      <c r="DZ944">
        <v>0</v>
      </c>
      <c r="EA944">
        <v>0</v>
      </c>
      <c r="EB944">
        <v>0</v>
      </c>
      <c r="EC944">
        <v>0</v>
      </c>
      <c r="ED944">
        <v>0</v>
      </c>
      <c r="EE944">
        <v>0</v>
      </c>
      <c r="EF944">
        <v>0</v>
      </c>
      <c r="EG944">
        <v>0</v>
      </c>
      <c r="EH944">
        <v>0</v>
      </c>
      <c r="EI944">
        <v>0</v>
      </c>
      <c r="EJ944">
        <v>0</v>
      </c>
      <c r="EK944">
        <v>0</v>
      </c>
      <c r="EL944">
        <v>0</v>
      </c>
      <c r="EM944">
        <v>0</v>
      </c>
      <c r="EN944">
        <v>27.4</v>
      </c>
      <c r="EO944">
        <v>0</v>
      </c>
      <c r="EP944">
        <v>1002.5</v>
      </c>
      <c r="EQ944">
        <v>0</v>
      </c>
      <c r="ER944">
        <v>494</v>
      </c>
      <c r="ES944">
        <v>0</v>
      </c>
      <c r="ET944">
        <v>699.3</v>
      </c>
      <c r="EU944">
        <v>435.4</v>
      </c>
      <c r="EV944">
        <v>0</v>
      </c>
      <c r="EW944">
        <v>0</v>
      </c>
      <c r="EX944">
        <v>0</v>
      </c>
      <c r="EY944">
        <v>0</v>
      </c>
      <c r="EZ944">
        <v>0</v>
      </c>
      <c r="FA944">
        <v>0</v>
      </c>
      <c r="FB944">
        <v>0</v>
      </c>
      <c r="FC944">
        <v>0</v>
      </c>
      <c r="FD944">
        <v>95.6</v>
      </c>
      <c r="FE944">
        <v>1792.1</v>
      </c>
      <c r="FF944">
        <v>1740.1999999999998</v>
      </c>
      <c r="FG944">
        <v>954.9</v>
      </c>
      <c r="FH944">
        <v>1087.8000000000002</v>
      </c>
      <c r="FI944">
        <v>1892.1</v>
      </c>
      <c r="FJ944">
        <v>1222.5</v>
      </c>
      <c r="FK944">
        <v>678.3</v>
      </c>
      <c r="FL944">
        <v>639.1</v>
      </c>
      <c r="FM944">
        <v>520.5</v>
      </c>
      <c r="FN944">
        <v>123.8</v>
      </c>
      <c r="FO944">
        <v>181.6</v>
      </c>
      <c r="FP944">
        <v>1090.5</v>
      </c>
      <c r="FQ944">
        <v>0</v>
      </c>
      <c r="FR944">
        <v>0</v>
      </c>
      <c r="FS944">
        <v>0</v>
      </c>
      <c r="FT944">
        <v>0</v>
      </c>
      <c r="FU944">
        <v>0</v>
      </c>
      <c r="FV944">
        <v>0</v>
      </c>
      <c r="FW944">
        <v>0</v>
      </c>
      <c r="FX944">
        <v>0</v>
      </c>
      <c r="FY944">
        <v>0</v>
      </c>
      <c r="FZ944">
        <v>0</v>
      </c>
      <c r="GA944">
        <v>0</v>
      </c>
      <c r="GB944">
        <v>0</v>
      </c>
      <c r="GC944">
        <v>0</v>
      </c>
      <c r="GD944">
        <v>0</v>
      </c>
      <c r="GE944">
        <v>0</v>
      </c>
      <c r="GF944">
        <v>198.3</v>
      </c>
      <c r="GG944">
        <v>1054.4000000000001</v>
      </c>
      <c r="GH944">
        <v>552.79999999999995</v>
      </c>
      <c r="GI944">
        <v>522</v>
      </c>
      <c r="GJ944">
        <v>0</v>
      </c>
      <c r="GK944">
        <v>0</v>
      </c>
      <c r="GL944">
        <v>0</v>
      </c>
      <c r="GM944">
        <v>0</v>
      </c>
      <c r="GN944">
        <v>791.40000000000009</v>
      </c>
      <c r="GO944">
        <v>1816.5</v>
      </c>
      <c r="GP944">
        <v>0</v>
      </c>
      <c r="GQ944">
        <v>0</v>
      </c>
      <c r="GR944">
        <v>0</v>
      </c>
      <c r="GS944">
        <v>0</v>
      </c>
      <c r="GT944">
        <v>0</v>
      </c>
      <c r="GU944">
        <v>0</v>
      </c>
      <c r="GV944">
        <v>0</v>
      </c>
      <c r="GW944">
        <v>0</v>
      </c>
      <c r="GX944">
        <v>0</v>
      </c>
      <c r="GY944">
        <v>840.3</v>
      </c>
      <c r="GZ944">
        <v>0</v>
      </c>
      <c r="HA944">
        <v>0</v>
      </c>
      <c r="HB944">
        <v>0</v>
      </c>
      <c r="HC944">
        <v>380.4</v>
      </c>
      <c r="HD944">
        <v>2175.5</v>
      </c>
      <c r="HE944">
        <v>0</v>
      </c>
      <c r="HF944">
        <v>0</v>
      </c>
      <c r="HG944">
        <v>0</v>
      </c>
      <c r="HH944">
        <v>0</v>
      </c>
      <c r="HI944">
        <v>0</v>
      </c>
      <c r="HJ944">
        <v>803.40000000000009</v>
      </c>
      <c r="HK944">
        <v>1270.9000000000001</v>
      </c>
      <c r="HL944">
        <v>835.7</v>
      </c>
      <c r="HM944">
        <v>1162.5999999999999</v>
      </c>
      <c r="HN944">
        <v>0</v>
      </c>
      <c r="HO944">
        <v>0</v>
      </c>
      <c r="HP944">
        <v>0</v>
      </c>
      <c r="HQ944">
        <v>0</v>
      </c>
      <c r="HR944">
        <v>161.19999999999999</v>
      </c>
      <c r="HS944">
        <v>0</v>
      </c>
      <c r="HT944">
        <v>2048.5</v>
      </c>
      <c r="HU944">
        <v>2627.5</v>
      </c>
      <c r="HV944">
        <v>1168.5999999999999</v>
      </c>
      <c r="HW944">
        <v>388</v>
      </c>
      <c r="HX944">
        <v>0</v>
      </c>
      <c r="HY944">
        <v>0</v>
      </c>
      <c r="HZ944">
        <v>0</v>
      </c>
      <c r="IA944">
        <v>0</v>
      </c>
      <c r="IB944">
        <v>0</v>
      </c>
      <c r="IC944">
        <v>594.4</v>
      </c>
      <c r="ID944">
        <v>427.4</v>
      </c>
      <c r="IE944">
        <v>713.3</v>
      </c>
      <c r="IF944">
        <v>626.1</v>
      </c>
      <c r="IG944">
        <v>0</v>
      </c>
      <c r="IH944">
        <v>0</v>
      </c>
      <c r="II944">
        <v>995.7</v>
      </c>
      <c r="IJ944">
        <v>1156.5999999999999</v>
      </c>
      <c r="IK944">
        <v>864.6</v>
      </c>
      <c r="IL944">
        <v>316.5</v>
      </c>
      <c r="IM944">
        <v>101.5</v>
      </c>
      <c r="IN944">
        <v>71.8</v>
      </c>
      <c r="IO944">
        <v>0</v>
      </c>
      <c r="IP944">
        <v>0</v>
      </c>
      <c r="IQ944">
        <v>0</v>
      </c>
      <c r="IR944">
        <v>0</v>
      </c>
      <c r="IS944">
        <v>0</v>
      </c>
      <c r="IT944">
        <v>0</v>
      </c>
      <c r="IU944">
        <v>0</v>
      </c>
      <c r="IV944">
        <v>0</v>
      </c>
      <c r="IW944">
        <v>68</v>
      </c>
      <c r="IX944">
        <v>404.7</v>
      </c>
      <c r="IY944">
        <v>126.6</v>
      </c>
      <c r="IZ944">
        <v>126.6</v>
      </c>
      <c r="JA944">
        <v>503.7</v>
      </c>
      <c r="JB944">
        <v>570.1</v>
      </c>
      <c r="JC944">
        <v>328.3</v>
      </c>
      <c r="JD944">
        <v>0</v>
      </c>
      <c r="JE944">
        <v>0</v>
      </c>
      <c r="JF944">
        <v>0</v>
      </c>
      <c r="JG944">
        <v>0</v>
      </c>
      <c r="JH944">
        <v>287.3</v>
      </c>
      <c r="JI944">
        <v>68.2</v>
      </c>
      <c r="JJ944">
        <v>0</v>
      </c>
      <c r="JK944">
        <v>148.6</v>
      </c>
      <c r="JL944">
        <v>0</v>
      </c>
      <c r="JM944">
        <v>0</v>
      </c>
      <c r="JN944">
        <v>204.5</v>
      </c>
      <c r="JO944">
        <v>292.10000000000002</v>
      </c>
      <c r="JP944">
        <v>670.8</v>
      </c>
      <c r="JQ944">
        <v>745.2</v>
      </c>
      <c r="JR944">
        <v>242.9</v>
      </c>
    </row>
    <row r="945" spans="2:278" ht="18" thickBot="1">
      <c r="B945" s="368" t="s">
        <v>1308</v>
      </c>
      <c r="C945" s="411" t="s">
        <v>1614</v>
      </c>
      <c r="D945" s="368" t="s">
        <v>1463</v>
      </c>
      <c r="E945" s="454">
        <v>22829.8</v>
      </c>
      <c r="F945">
        <v>20193.400000000001</v>
      </c>
      <c r="G945" s="427">
        <v>0</v>
      </c>
      <c r="H945" s="155">
        <v>0</v>
      </c>
      <c r="I945">
        <v>0</v>
      </c>
      <c r="J945">
        <v>0</v>
      </c>
      <c r="K945">
        <v>0</v>
      </c>
      <c r="L945" s="4">
        <v>0</v>
      </c>
      <c r="M945" s="4">
        <v>0</v>
      </c>
      <c r="N945" s="4">
        <v>0</v>
      </c>
      <c r="O945" s="4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1476.4</v>
      </c>
      <c r="X945">
        <v>1482</v>
      </c>
      <c r="Y945">
        <v>457.20000000000005</v>
      </c>
      <c r="Z945">
        <v>0</v>
      </c>
      <c r="AA945">
        <v>0</v>
      </c>
      <c r="AB945">
        <v>0</v>
      </c>
      <c r="AC945">
        <v>0</v>
      </c>
      <c r="AD945">
        <v>3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1828.6</v>
      </c>
      <c r="AK945">
        <v>1800.7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560.70000000000005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0</v>
      </c>
      <c r="BU945">
        <v>0</v>
      </c>
      <c r="BV945">
        <v>0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  <c r="CF945">
        <v>0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  <c r="CN945">
        <v>0</v>
      </c>
      <c r="CO945">
        <v>0</v>
      </c>
      <c r="CP945">
        <v>3.5</v>
      </c>
      <c r="CQ945">
        <v>0</v>
      </c>
      <c r="CR945">
        <v>528</v>
      </c>
      <c r="CS945">
        <v>581.79999999999995</v>
      </c>
      <c r="CT945">
        <v>555.40000000000009</v>
      </c>
      <c r="CU945">
        <v>737.4</v>
      </c>
      <c r="CV945">
        <v>1039.0999999999999</v>
      </c>
      <c r="CW945">
        <v>1667.3</v>
      </c>
      <c r="CX945">
        <v>877.6</v>
      </c>
      <c r="CY945">
        <v>910.40000000000009</v>
      </c>
      <c r="CZ945">
        <v>0</v>
      </c>
      <c r="DA945">
        <v>0</v>
      </c>
      <c r="DB945">
        <v>0</v>
      </c>
      <c r="DC945">
        <v>0</v>
      </c>
      <c r="DD945">
        <v>0</v>
      </c>
      <c r="DE945">
        <v>0</v>
      </c>
      <c r="DF945">
        <v>0</v>
      </c>
      <c r="DG945">
        <v>0</v>
      </c>
      <c r="DH945">
        <v>0</v>
      </c>
      <c r="DI945">
        <v>0</v>
      </c>
      <c r="DJ945">
        <v>0</v>
      </c>
      <c r="DK945">
        <v>0</v>
      </c>
      <c r="DL945">
        <v>995.5</v>
      </c>
      <c r="DM945">
        <v>712.7</v>
      </c>
      <c r="DN945">
        <v>0</v>
      </c>
      <c r="DO945">
        <v>0</v>
      </c>
      <c r="DP945">
        <v>0</v>
      </c>
      <c r="DQ945">
        <v>0</v>
      </c>
      <c r="DR945">
        <v>0</v>
      </c>
      <c r="DS945">
        <v>0</v>
      </c>
      <c r="DT945">
        <v>0</v>
      </c>
      <c r="DU945">
        <v>0</v>
      </c>
      <c r="DV945">
        <v>0</v>
      </c>
      <c r="DW945">
        <v>0</v>
      </c>
      <c r="DX945">
        <v>0</v>
      </c>
      <c r="DY945">
        <v>0</v>
      </c>
      <c r="DZ945">
        <v>0</v>
      </c>
      <c r="EA945">
        <v>0</v>
      </c>
      <c r="EB945">
        <v>0</v>
      </c>
      <c r="EC945">
        <v>0</v>
      </c>
      <c r="ED945">
        <v>0</v>
      </c>
      <c r="EE945">
        <v>0</v>
      </c>
      <c r="EF945">
        <v>0</v>
      </c>
      <c r="EG945">
        <v>0</v>
      </c>
      <c r="EH945">
        <v>0</v>
      </c>
      <c r="EI945">
        <v>0</v>
      </c>
      <c r="EJ945">
        <v>0</v>
      </c>
      <c r="EK945">
        <v>0</v>
      </c>
      <c r="EL945">
        <v>0</v>
      </c>
      <c r="EM945">
        <v>0</v>
      </c>
      <c r="EN945">
        <v>27.4</v>
      </c>
      <c r="EO945">
        <v>0</v>
      </c>
      <c r="EP945">
        <v>1002.5</v>
      </c>
      <c r="EQ945">
        <v>0</v>
      </c>
      <c r="ER945">
        <v>494</v>
      </c>
      <c r="ES945">
        <v>0</v>
      </c>
      <c r="ET945">
        <v>699.3</v>
      </c>
      <c r="EU945">
        <v>435.4</v>
      </c>
      <c r="EV945">
        <v>0</v>
      </c>
      <c r="EW945">
        <v>0</v>
      </c>
      <c r="EX945">
        <v>0</v>
      </c>
      <c r="EY945">
        <v>0</v>
      </c>
      <c r="EZ945">
        <v>0</v>
      </c>
      <c r="FA945">
        <v>0</v>
      </c>
      <c r="FB945">
        <v>0</v>
      </c>
      <c r="FC945">
        <v>0</v>
      </c>
      <c r="FD945">
        <v>95.6</v>
      </c>
      <c r="FE945">
        <v>1792.1</v>
      </c>
      <c r="FF945">
        <v>1740.1999999999998</v>
      </c>
      <c r="FG945">
        <v>954.9</v>
      </c>
      <c r="FH945">
        <v>1087.8000000000002</v>
      </c>
      <c r="FI945">
        <v>1892.1</v>
      </c>
      <c r="FJ945">
        <v>1222.5</v>
      </c>
      <c r="FK945">
        <v>678.3</v>
      </c>
      <c r="FL945">
        <v>639.1</v>
      </c>
      <c r="FM945">
        <v>520.5</v>
      </c>
      <c r="FN945">
        <v>123.8</v>
      </c>
      <c r="FO945">
        <v>181.6</v>
      </c>
      <c r="FP945">
        <v>1090.5</v>
      </c>
      <c r="FQ945">
        <v>0</v>
      </c>
      <c r="FR945">
        <v>0</v>
      </c>
      <c r="FS945">
        <v>0</v>
      </c>
      <c r="FT945">
        <v>0</v>
      </c>
      <c r="FU945">
        <v>0</v>
      </c>
      <c r="FV945">
        <v>0</v>
      </c>
      <c r="FW945">
        <v>0</v>
      </c>
      <c r="FX945">
        <v>0</v>
      </c>
      <c r="FY945">
        <v>0</v>
      </c>
      <c r="FZ945">
        <v>0</v>
      </c>
      <c r="GA945">
        <v>0</v>
      </c>
      <c r="GB945">
        <v>0</v>
      </c>
      <c r="GC945">
        <v>0</v>
      </c>
      <c r="GD945">
        <v>0</v>
      </c>
      <c r="GE945">
        <v>0</v>
      </c>
      <c r="GF945">
        <v>198.3</v>
      </c>
      <c r="GG945">
        <v>1054.4000000000001</v>
      </c>
      <c r="GH945">
        <v>552.79999999999995</v>
      </c>
      <c r="GI945">
        <v>522</v>
      </c>
      <c r="GJ945">
        <v>0</v>
      </c>
      <c r="GK945">
        <v>0</v>
      </c>
      <c r="GL945">
        <v>0</v>
      </c>
      <c r="GM945">
        <v>0</v>
      </c>
      <c r="GN945">
        <v>791.40000000000009</v>
      </c>
      <c r="GO945">
        <v>1816.5</v>
      </c>
      <c r="GP945">
        <v>0</v>
      </c>
      <c r="GQ945">
        <v>0</v>
      </c>
      <c r="GR945">
        <v>0</v>
      </c>
      <c r="GS945">
        <v>0</v>
      </c>
      <c r="GT945">
        <v>0</v>
      </c>
      <c r="GU945">
        <v>0</v>
      </c>
      <c r="GV945">
        <v>0</v>
      </c>
      <c r="GW945">
        <v>0</v>
      </c>
      <c r="GX945">
        <v>0</v>
      </c>
      <c r="GY945">
        <v>840.3</v>
      </c>
      <c r="GZ945">
        <v>0</v>
      </c>
      <c r="HA945">
        <v>0</v>
      </c>
      <c r="HB945">
        <v>0</v>
      </c>
      <c r="HC945">
        <v>380.4</v>
      </c>
      <c r="HD945">
        <v>2175.5</v>
      </c>
      <c r="HE945">
        <v>0</v>
      </c>
      <c r="HF945">
        <v>0</v>
      </c>
      <c r="HG945">
        <v>0</v>
      </c>
      <c r="HH945">
        <v>0</v>
      </c>
      <c r="HI945">
        <v>0</v>
      </c>
      <c r="HJ945">
        <v>803.40000000000009</v>
      </c>
      <c r="HK945">
        <v>1270.9000000000001</v>
      </c>
      <c r="HL945">
        <v>835.7</v>
      </c>
      <c r="HM945">
        <v>1162.5999999999999</v>
      </c>
      <c r="HN945">
        <v>0</v>
      </c>
      <c r="HO945">
        <v>0</v>
      </c>
      <c r="HP945">
        <v>0</v>
      </c>
      <c r="HQ945">
        <v>0</v>
      </c>
      <c r="HR945">
        <v>161.19999999999999</v>
      </c>
      <c r="HS945">
        <v>0</v>
      </c>
      <c r="HT945">
        <v>2048.5</v>
      </c>
      <c r="HU945">
        <v>2627.5</v>
      </c>
      <c r="HV945">
        <v>1168.5999999999999</v>
      </c>
      <c r="HW945">
        <v>388</v>
      </c>
      <c r="HX945">
        <v>0</v>
      </c>
      <c r="HY945">
        <v>0</v>
      </c>
      <c r="HZ945">
        <v>0</v>
      </c>
      <c r="IA945">
        <v>0</v>
      </c>
      <c r="IB945">
        <v>0</v>
      </c>
      <c r="IC945">
        <v>594.4</v>
      </c>
      <c r="ID945">
        <v>427.4</v>
      </c>
      <c r="IE945">
        <v>713.3</v>
      </c>
      <c r="IF945">
        <v>626.1</v>
      </c>
      <c r="IG945">
        <v>0</v>
      </c>
      <c r="IH945">
        <v>0</v>
      </c>
      <c r="II945">
        <v>995.7</v>
      </c>
      <c r="IJ945">
        <v>1156.5999999999999</v>
      </c>
      <c r="IK945">
        <v>864.6</v>
      </c>
      <c r="IL945">
        <v>316.5</v>
      </c>
      <c r="IM945">
        <v>101.5</v>
      </c>
      <c r="IN945">
        <v>71.8</v>
      </c>
      <c r="IO945">
        <v>0</v>
      </c>
      <c r="IP945">
        <v>0</v>
      </c>
      <c r="IQ945">
        <v>0</v>
      </c>
      <c r="IR945">
        <v>0</v>
      </c>
      <c r="IS945">
        <v>0</v>
      </c>
      <c r="IT945">
        <v>0</v>
      </c>
      <c r="IU945">
        <v>0</v>
      </c>
      <c r="IV945">
        <v>0</v>
      </c>
      <c r="IW945">
        <v>68</v>
      </c>
      <c r="IX945">
        <v>404.7</v>
      </c>
      <c r="IY945">
        <v>126.6</v>
      </c>
      <c r="IZ945">
        <v>126.6</v>
      </c>
      <c r="JA945">
        <v>503.7</v>
      </c>
      <c r="JB945">
        <v>570.1</v>
      </c>
      <c r="JC945">
        <v>328.3</v>
      </c>
      <c r="JD945">
        <v>0</v>
      </c>
      <c r="JE945">
        <v>0</v>
      </c>
      <c r="JF945">
        <v>0</v>
      </c>
      <c r="JG945">
        <v>0</v>
      </c>
      <c r="JH945">
        <v>287.3</v>
      </c>
      <c r="JI945">
        <v>68.2</v>
      </c>
      <c r="JJ945">
        <v>0</v>
      </c>
      <c r="JK945">
        <v>148.6</v>
      </c>
      <c r="JL945">
        <v>0</v>
      </c>
      <c r="JM945">
        <v>0</v>
      </c>
      <c r="JN945">
        <v>204.5</v>
      </c>
      <c r="JO945">
        <v>292.10000000000002</v>
      </c>
      <c r="JP945">
        <v>670.8</v>
      </c>
      <c r="JQ945">
        <v>745.2</v>
      </c>
      <c r="JR945">
        <v>242.9</v>
      </c>
    </row>
    <row r="946" spans="2:278" ht="18" thickBot="1">
      <c r="B946" s="371" t="s">
        <v>1309</v>
      </c>
      <c r="C946" s="421" t="s">
        <v>1615</v>
      </c>
      <c r="D946" s="371" t="s">
        <v>1387</v>
      </c>
      <c r="E946" s="454">
        <v>22829.8</v>
      </c>
      <c r="F946">
        <v>20193.400000000001</v>
      </c>
      <c r="G946" s="427">
        <v>0</v>
      </c>
      <c r="H946" s="155">
        <v>0</v>
      </c>
      <c r="I946">
        <v>0</v>
      </c>
      <c r="J946">
        <v>0</v>
      </c>
      <c r="K946">
        <v>0</v>
      </c>
      <c r="L946" s="4">
        <v>0</v>
      </c>
      <c r="M946" s="4">
        <v>0</v>
      </c>
      <c r="N946" s="4">
        <v>0</v>
      </c>
      <c r="O946" s="4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1476.4</v>
      </c>
      <c r="X946">
        <v>1482</v>
      </c>
      <c r="Y946">
        <v>457.20000000000005</v>
      </c>
      <c r="Z946">
        <v>0</v>
      </c>
      <c r="AA946">
        <v>0</v>
      </c>
      <c r="AB946">
        <v>0</v>
      </c>
      <c r="AC946">
        <v>0</v>
      </c>
      <c r="AD946">
        <v>3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1828.6</v>
      </c>
      <c r="AK946">
        <v>1800.7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560.70000000000005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0</v>
      </c>
      <c r="BU946">
        <v>0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  <c r="CF946">
        <v>0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  <c r="CN946">
        <v>0</v>
      </c>
      <c r="CO946">
        <v>0</v>
      </c>
      <c r="CP946">
        <v>3.5</v>
      </c>
      <c r="CQ946">
        <v>0</v>
      </c>
      <c r="CR946">
        <v>528</v>
      </c>
      <c r="CS946">
        <v>581.79999999999995</v>
      </c>
      <c r="CT946">
        <v>555.40000000000009</v>
      </c>
      <c r="CU946">
        <v>737.4</v>
      </c>
      <c r="CV946">
        <v>1039.0999999999999</v>
      </c>
      <c r="CW946">
        <v>1667.3</v>
      </c>
      <c r="CX946">
        <v>877.6</v>
      </c>
      <c r="CY946">
        <v>910.40000000000009</v>
      </c>
      <c r="CZ946">
        <v>0</v>
      </c>
      <c r="DA946">
        <v>0</v>
      </c>
      <c r="DB946">
        <v>0</v>
      </c>
      <c r="DC946">
        <v>0</v>
      </c>
      <c r="DD946">
        <v>0</v>
      </c>
      <c r="DE946">
        <v>0</v>
      </c>
      <c r="DF946">
        <v>0</v>
      </c>
      <c r="DG946">
        <v>0</v>
      </c>
      <c r="DH946">
        <v>0</v>
      </c>
      <c r="DI946">
        <v>0</v>
      </c>
      <c r="DJ946">
        <v>0</v>
      </c>
      <c r="DK946">
        <v>0</v>
      </c>
      <c r="DL946">
        <v>995.5</v>
      </c>
      <c r="DM946">
        <v>712.7</v>
      </c>
      <c r="DN946">
        <v>0</v>
      </c>
      <c r="DO946">
        <v>0</v>
      </c>
      <c r="DP946">
        <v>0</v>
      </c>
      <c r="DQ946">
        <v>0</v>
      </c>
      <c r="DR946">
        <v>0</v>
      </c>
      <c r="DS946">
        <v>0</v>
      </c>
      <c r="DT946">
        <v>0</v>
      </c>
      <c r="DU946">
        <v>0</v>
      </c>
      <c r="DV946">
        <v>0</v>
      </c>
      <c r="DW946">
        <v>0</v>
      </c>
      <c r="DX946">
        <v>0</v>
      </c>
      <c r="DY946">
        <v>0</v>
      </c>
      <c r="DZ946">
        <v>0</v>
      </c>
      <c r="EA946">
        <v>0</v>
      </c>
      <c r="EB946">
        <v>0</v>
      </c>
      <c r="EC946">
        <v>0</v>
      </c>
      <c r="ED946">
        <v>0</v>
      </c>
      <c r="EE946">
        <v>0</v>
      </c>
      <c r="EF946">
        <v>0</v>
      </c>
      <c r="EG946">
        <v>0</v>
      </c>
      <c r="EH946">
        <v>0</v>
      </c>
      <c r="EI946">
        <v>0</v>
      </c>
      <c r="EJ946">
        <v>0</v>
      </c>
      <c r="EK946">
        <v>0</v>
      </c>
      <c r="EL946">
        <v>0</v>
      </c>
      <c r="EM946">
        <v>0</v>
      </c>
      <c r="EN946">
        <v>27.4</v>
      </c>
      <c r="EO946">
        <v>0</v>
      </c>
      <c r="EP946">
        <v>1002.5</v>
      </c>
      <c r="EQ946">
        <v>0</v>
      </c>
      <c r="ER946">
        <v>494</v>
      </c>
      <c r="ES946">
        <v>0</v>
      </c>
      <c r="ET946">
        <v>699.3</v>
      </c>
      <c r="EU946">
        <v>435.4</v>
      </c>
      <c r="EV946">
        <v>0</v>
      </c>
      <c r="EW946">
        <v>0</v>
      </c>
      <c r="EX946">
        <v>0</v>
      </c>
      <c r="EY946">
        <v>0</v>
      </c>
      <c r="EZ946">
        <v>0</v>
      </c>
      <c r="FA946">
        <v>0</v>
      </c>
      <c r="FB946">
        <v>0</v>
      </c>
      <c r="FC946">
        <v>0</v>
      </c>
      <c r="FD946">
        <v>95.6</v>
      </c>
      <c r="FE946">
        <v>1792.1</v>
      </c>
      <c r="FF946">
        <v>1740.1999999999998</v>
      </c>
      <c r="FG946">
        <v>954.9</v>
      </c>
      <c r="FH946">
        <v>1087.8000000000002</v>
      </c>
      <c r="FI946">
        <v>1892.1</v>
      </c>
      <c r="FJ946">
        <v>1222.5</v>
      </c>
      <c r="FK946">
        <v>678.3</v>
      </c>
      <c r="FL946">
        <v>639.1</v>
      </c>
      <c r="FM946">
        <v>520.5</v>
      </c>
      <c r="FN946">
        <v>123.8</v>
      </c>
      <c r="FO946">
        <v>181.6</v>
      </c>
      <c r="FP946">
        <v>1090.5</v>
      </c>
      <c r="FQ946">
        <v>0</v>
      </c>
      <c r="FR946">
        <v>0</v>
      </c>
      <c r="FS946">
        <v>0</v>
      </c>
      <c r="FT946">
        <v>0</v>
      </c>
      <c r="FU946">
        <v>0</v>
      </c>
      <c r="FV946">
        <v>0</v>
      </c>
      <c r="FW946">
        <v>0</v>
      </c>
      <c r="FX946">
        <v>0</v>
      </c>
      <c r="FY946">
        <v>0</v>
      </c>
      <c r="FZ946">
        <v>0</v>
      </c>
      <c r="GA946">
        <v>0</v>
      </c>
      <c r="GB946">
        <v>0</v>
      </c>
      <c r="GC946">
        <v>0</v>
      </c>
      <c r="GD946">
        <v>0</v>
      </c>
      <c r="GE946">
        <v>0</v>
      </c>
      <c r="GF946">
        <v>198.3</v>
      </c>
      <c r="GG946">
        <v>1054.4000000000001</v>
      </c>
      <c r="GH946">
        <v>552.79999999999995</v>
      </c>
      <c r="GI946">
        <v>522</v>
      </c>
      <c r="GJ946">
        <v>0</v>
      </c>
      <c r="GK946">
        <v>0</v>
      </c>
      <c r="GL946">
        <v>0</v>
      </c>
      <c r="GM946">
        <v>0</v>
      </c>
      <c r="GN946">
        <v>791.40000000000009</v>
      </c>
      <c r="GO946">
        <v>1816.5</v>
      </c>
      <c r="GP946">
        <v>0</v>
      </c>
      <c r="GQ946">
        <v>0</v>
      </c>
      <c r="GR946">
        <v>0</v>
      </c>
      <c r="GS946">
        <v>0</v>
      </c>
      <c r="GT946">
        <v>0</v>
      </c>
      <c r="GU946">
        <v>0</v>
      </c>
      <c r="GV946">
        <v>0</v>
      </c>
      <c r="GW946">
        <v>0</v>
      </c>
      <c r="GX946">
        <v>0</v>
      </c>
      <c r="GY946">
        <v>840.3</v>
      </c>
      <c r="GZ946">
        <v>0</v>
      </c>
      <c r="HA946">
        <v>0</v>
      </c>
      <c r="HB946">
        <v>0</v>
      </c>
      <c r="HC946">
        <v>380.4</v>
      </c>
      <c r="HD946">
        <v>2175.5</v>
      </c>
      <c r="HE946">
        <v>0</v>
      </c>
      <c r="HF946">
        <v>0</v>
      </c>
      <c r="HG946">
        <v>0</v>
      </c>
      <c r="HH946">
        <v>0</v>
      </c>
      <c r="HI946">
        <v>0</v>
      </c>
      <c r="HJ946">
        <v>803.40000000000009</v>
      </c>
      <c r="HK946">
        <v>1270.9000000000001</v>
      </c>
      <c r="HL946">
        <v>835.7</v>
      </c>
      <c r="HM946">
        <v>1162.5999999999999</v>
      </c>
      <c r="HN946">
        <v>0</v>
      </c>
      <c r="HO946">
        <v>0</v>
      </c>
      <c r="HP946">
        <v>0</v>
      </c>
      <c r="HQ946">
        <v>0</v>
      </c>
      <c r="HR946">
        <v>161.19999999999999</v>
      </c>
      <c r="HS946">
        <v>0</v>
      </c>
      <c r="HT946">
        <v>2048.5</v>
      </c>
      <c r="HU946">
        <v>2627.5</v>
      </c>
      <c r="HV946">
        <v>1168.5999999999999</v>
      </c>
      <c r="HW946">
        <v>388</v>
      </c>
      <c r="HX946">
        <v>0</v>
      </c>
      <c r="HY946">
        <v>0</v>
      </c>
      <c r="HZ946">
        <v>0</v>
      </c>
      <c r="IA946">
        <v>0</v>
      </c>
      <c r="IB946">
        <v>0</v>
      </c>
      <c r="IC946">
        <v>594.4</v>
      </c>
      <c r="ID946">
        <v>427.4</v>
      </c>
      <c r="IE946">
        <v>713.3</v>
      </c>
      <c r="IF946">
        <v>626.1</v>
      </c>
      <c r="IG946">
        <v>0</v>
      </c>
      <c r="IH946">
        <v>0</v>
      </c>
      <c r="II946">
        <v>995.7</v>
      </c>
      <c r="IJ946">
        <v>1156.5999999999999</v>
      </c>
      <c r="IK946">
        <v>864.6</v>
      </c>
      <c r="IL946">
        <v>316.5</v>
      </c>
      <c r="IM946">
        <v>101.5</v>
      </c>
      <c r="IN946">
        <v>71.8</v>
      </c>
      <c r="IO946">
        <v>0</v>
      </c>
      <c r="IP946">
        <v>0</v>
      </c>
      <c r="IQ946">
        <v>0</v>
      </c>
      <c r="IR946">
        <v>0</v>
      </c>
      <c r="IS946">
        <v>0</v>
      </c>
      <c r="IT946">
        <v>0</v>
      </c>
      <c r="IU946">
        <v>0</v>
      </c>
      <c r="IV946">
        <v>0</v>
      </c>
      <c r="IW946">
        <v>68</v>
      </c>
      <c r="IX946">
        <v>404.7</v>
      </c>
      <c r="IY946">
        <v>126.6</v>
      </c>
      <c r="IZ946">
        <v>126.6</v>
      </c>
      <c r="JA946">
        <v>503.7</v>
      </c>
      <c r="JB946">
        <v>570.1</v>
      </c>
      <c r="JC946">
        <v>328.3</v>
      </c>
      <c r="JD946">
        <v>0</v>
      </c>
      <c r="JE946">
        <v>0</v>
      </c>
      <c r="JF946">
        <v>0</v>
      </c>
      <c r="JG946">
        <v>0</v>
      </c>
      <c r="JH946">
        <v>287.3</v>
      </c>
      <c r="JI946">
        <v>68.2</v>
      </c>
      <c r="JJ946">
        <v>0</v>
      </c>
      <c r="JK946">
        <v>148.6</v>
      </c>
      <c r="JL946">
        <v>0</v>
      </c>
      <c r="JM946">
        <v>0</v>
      </c>
      <c r="JN946">
        <v>204.5</v>
      </c>
      <c r="JO946">
        <v>292.10000000000002</v>
      </c>
      <c r="JP946">
        <v>670.8</v>
      </c>
      <c r="JQ946">
        <v>745.2</v>
      </c>
      <c r="JR946">
        <v>242.9</v>
      </c>
    </row>
    <row r="947" spans="2:278" ht="18" thickBot="1">
      <c r="B947" s="368" t="s">
        <v>408</v>
      </c>
      <c r="C947" s="369" t="s">
        <v>1616</v>
      </c>
      <c r="D947" s="368" t="s">
        <v>1387</v>
      </c>
      <c r="E947" s="454">
        <v>22829.8</v>
      </c>
      <c r="F947">
        <v>20193.400000000001</v>
      </c>
      <c r="G947" s="427">
        <v>0</v>
      </c>
      <c r="H947" s="155">
        <v>0</v>
      </c>
      <c r="I947">
        <v>0</v>
      </c>
      <c r="J947">
        <v>0</v>
      </c>
      <c r="K947">
        <v>0</v>
      </c>
      <c r="L947" s="4">
        <v>0</v>
      </c>
      <c r="M947" s="4">
        <v>0</v>
      </c>
      <c r="N947" s="4">
        <v>0</v>
      </c>
      <c r="O947" s="4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1476.4</v>
      </c>
      <c r="X947">
        <v>1482</v>
      </c>
      <c r="Y947">
        <v>457.20000000000005</v>
      </c>
      <c r="Z947">
        <v>0</v>
      </c>
      <c r="AA947">
        <v>0</v>
      </c>
      <c r="AB947">
        <v>0</v>
      </c>
      <c r="AC947">
        <v>0</v>
      </c>
      <c r="AD947">
        <v>3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1828.6</v>
      </c>
      <c r="AK947">
        <v>1800.7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560.70000000000005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0</v>
      </c>
      <c r="BN947">
        <v>0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  <c r="CF947">
        <v>0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  <c r="CN947">
        <v>0</v>
      </c>
      <c r="CO947">
        <v>0</v>
      </c>
      <c r="CP947">
        <v>3.5</v>
      </c>
      <c r="CQ947">
        <v>0</v>
      </c>
      <c r="CR947">
        <v>528</v>
      </c>
      <c r="CS947">
        <v>581.79999999999995</v>
      </c>
      <c r="CT947">
        <v>555.40000000000009</v>
      </c>
      <c r="CU947">
        <v>737.4</v>
      </c>
      <c r="CV947">
        <v>1039.0999999999999</v>
      </c>
      <c r="CW947">
        <v>1667.3</v>
      </c>
      <c r="CX947">
        <v>877.6</v>
      </c>
      <c r="CY947">
        <v>910.40000000000009</v>
      </c>
      <c r="CZ947">
        <v>0</v>
      </c>
      <c r="DA947">
        <v>0</v>
      </c>
      <c r="DB947">
        <v>0</v>
      </c>
      <c r="DC947">
        <v>0</v>
      </c>
      <c r="DD947">
        <v>0</v>
      </c>
      <c r="DE947">
        <v>0</v>
      </c>
      <c r="DF947">
        <v>0</v>
      </c>
      <c r="DG947">
        <v>0</v>
      </c>
      <c r="DH947">
        <v>0</v>
      </c>
      <c r="DI947">
        <v>0</v>
      </c>
      <c r="DJ947">
        <v>0</v>
      </c>
      <c r="DK947">
        <v>0</v>
      </c>
      <c r="DL947">
        <v>995.5</v>
      </c>
      <c r="DM947">
        <v>712.7</v>
      </c>
      <c r="DN947">
        <v>0</v>
      </c>
      <c r="DO947">
        <v>0</v>
      </c>
      <c r="DP947">
        <v>0</v>
      </c>
      <c r="DQ947">
        <v>0</v>
      </c>
      <c r="DR947">
        <v>0</v>
      </c>
      <c r="DS947">
        <v>0</v>
      </c>
      <c r="DT947">
        <v>0</v>
      </c>
      <c r="DU947">
        <v>0</v>
      </c>
      <c r="DV947">
        <v>0</v>
      </c>
      <c r="DW947">
        <v>0</v>
      </c>
      <c r="DX947">
        <v>0</v>
      </c>
      <c r="DY947">
        <v>0</v>
      </c>
      <c r="DZ947">
        <v>0</v>
      </c>
      <c r="EA947">
        <v>0</v>
      </c>
      <c r="EB947">
        <v>0</v>
      </c>
      <c r="EC947">
        <v>0</v>
      </c>
      <c r="ED947">
        <v>0</v>
      </c>
      <c r="EE947">
        <v>0</v>
      </c>
      <c r="EF947">
        <v>0</v>
      </c>
      <c r="EG947">
        <v>0</v>
      </c>
      <c r="EH947">
        <v>0</v>
      </c>
      <c r="EI947">
        <v>0</v>
      </c>
      <c r="EJ947">
        <v>0</v>
      </c>
      <c r="EK947">
        <v>0</v>
      </c>
      <c r="EL947">
        <v>0</v>
      </c>
      <c r="EM947">
        <v>0</v>
      </c>
      <c r="EN947">
        <v>27.4</v>
      </c>
      <c r="EO947">
        <v>0</v>
      </c>
      <c r="EP947">
        <v>1002.5</v>
      </c>
      <c r="EQ947">
        <v>0</v>
      </c>
      <c r="ER947">
        <v>494</v>
      </c>
      <c r="ES947">
        <v>0</v>
      </c>
      <c r="ET947">
        <v>699.3</v>
      </c>
      <c r="EU947">
        <v>435.4</v>
      </c>
      <c r="EV947">
        <v>0</v>
      </c>
      <c r="EW947">
        <v>0</v>
      </c>
      <c r="EX947">
        <v>0</v>
      </c>
      <c r="EY947">
        <v>0</v>
      </c>
      <c r="EZ947">
        <v>0</v>
      </c>
      <c r="FA947">
        <v>0</v>
      </c>
      <c r="FB947">
        <v>0</v>
      </c>
      <c r="FC947">
        <v>0</v>
      </c>
      <c r="FD947">
        <v>95.6</v>
      </c>
      <c r="FE947">
        <v>1792.1</v>
      </c>
      <c r="FF947">
        <v>1740.1999999999998</v>
      </c>
      <c r="FG947">
        <v>954.9</v>
      </c>
      <c r="FH947">
        <v>1087.8000000000002</v>
      </c>
      <c r="FI947">
        <v>1892.1</v>
      </c>
      <c r="FJ947">
        <v>1222.5</v>
      </c>
      <c r="FK947">
        <v>678.3</v>
      </c>
      <c r="FL947">
        <v>639.1</v>
      </c>
      <c r="FM947">
        <v>520.5</v>
      </c>
      <c r="FN947">
        <v>123.8</v>
      </c>
      <c r="FO947">
        <v>181.6</v>
      </c>
      <c r="FP947">
        <v>1090.5</v>
      </c>
      <c r="FQ947">
        <v>0</v>
      </c>
      <c r="FR947">
        <v>0</v>
      </c>
      <c r="FS947">
        <v>0</v>
      </c>
      <c r="FT947">
        <v>0</v>
      </c>
      <c r="FU947">
        <v>0</v>
      </c>
      <c r="FV947">
        <v>0</v>
      </c>
      <c r="FW947">
        <v>0</v>
      </c>
      <c r="FX947">
        <v>0</v>
      </c>
      <c r="FY947">
        <v>0</v>
      </c>
      <c r="FZ947">
        <v>0</v>
      </c>
      <c r="GA947">
        <v>0</v>
      </c>
      <c r="GB947">
        <v>0</v>
      </c>
      <c r="GC947">
        <v>0</v>
      </c>
      <c r="GD947">
        <v>0</v>
      </c>
      <c r="GE947">
        <v>0</v>
      </c>
      <c r="GF947">
        <v>198.3</v>
      </c>
      <c r="GG947">
        <v>1054.4000000000001</v>
      </c>
      <c r="GH947">
        <v>552.79999999999995</v>
      </c>
      <c r="GI947">
        <v>522</v>
      </c>
      <c r="GJ947">
        <v>0</v>
      </c>
      <c r="GK947">
        <v>0</v>
      </c>
      <c r="GL947">
        <v>0</v>
      </c>
      <c r="GM947">
        <v>0</v>
      </c>
      <c r="GN947">
        <v>791.40000000000009</v>
      </c>
      <c r="GO947">
        <v>1816.5</v>
      </c>
      <c r="GP947">
        <v>0</v>
      </c>
      <c r="GQ947">
        <v>0</v>
      </c>
      <c r="GR947">
        <v>0</v>
      </c>
      <c r="GS947">
        <v>0</v>
      </c>
      <c r="GT947">
        <v>0</v>
      </c>
      <c r="GU947">
        <v>0</v>
      </c>
      <c r="GV947">
        <v>0</v>
      </c>
      <c r="GW947">
        <v>0</v>
      </c>
      <c r="GX947">
        <v>0</v>
      </c>
      <c r="GY947">
        <v>840.3</v>
      </c>
      <c r="GZ947">
        <v>0</v>
      </c>
      <c r="HA947">
        <v>0</v>
      </c>
      <c r="HB947">
        <v>0</v>
      </c>
      <c r="HC947">
        <v>380.4</v>
      </c>
      <c r="HD947">
        <v>2175.5</v>
      </c>
      <c r="HE947">
        <v>0</v>
      </c>
      <c r="HF947">
        <v>0</v>
      </c>
      <c r="HG947">
        <v>0</v>
      </c>
      <c r="HH947">
        <v>0</v>
      </c>
      <c r="HI947">
        <v>0</v>
      </c>
      <c r="HJ947">
        <v>803.40000000000009</v>
      </c>
      <c r="HK947">
        <v>1270.9000000000001</v>
      </c>
      <c r="HL947">
        <v>835.7</v>
      </c>
      <c r="HM947">
        <v>1162.5999999999999</v>
      </c>
      <c r="HN947">
        <v>0</v>
      </c>
      <c r="HO947">
        <v>0</v>
      </c>
      <c r="HP947">
        <v>0</v>
      </c>
      <c r="HQ947">
        <v>0</v>
      </c>
      <c r="HR947">
        <v>161.19999999999999</v>
      </c>
      <c r="HS947">
        <v>0</v>
      </c>
      <c r="HT947">
        <v>2048.5</v>
      </c>
      <c r="HU947">
        <v>2627.5</v>
      </c>
      <c r="HV947">
        <v>1168.5999999999999</v>
      </c>
      <c r="HW947">
        <v>388</v>
      </c>
      <c r="HX947">
        <v>0</v>
      </c>
      <c r="HY947">
        <v>0</v>
      </c>
      <c r="HZ947">
        <v>0</v>
      </c>
      <c r="IA947">
        <v>0</v>
      </c>
      <c r="IB947">
        <v>0</v>
      </c>
      <c r="IC947">
        <v>594.4</v>
      </c>
      <c r="ID947">
        <v>427.4</v>
      </c>
      <c r="IE947">
        <v>713.3</v>
      </c>
      <c r="IF947">
        <v>626.1</v>
      </c>
      <c r="IG947">
        <v>0</v>
      </c>
      <c r="IH947">
        <v>0</v>
      </c>
      <c r="II947">
        <v>995.7</v>
      </c>
      <c r="IJ947">
        <v>1156.5999999999999</v>
      </c>
      <c r="IK947">
        <v>864.6</v>
      </c>
      <c r="IL947">
        <v>316.5</v>
      </c>
      <c r="IM947">
        <v>101.5</v>
      </c>
      <c r="IN947">
        <v>71.8</v>
      </c>
      <c r="IO947">
        <v>0</v>
      </c>
      <c r="IP947">
        <v>0</v>
      </c>
      <c r="IQ947">
        <v>0</v>
      </c>
      <c r="IR947">
        <v>0</v>
      </c>
      <c r="IS947">
        <v>0</v>
      </c>
      <c r="IT947">
        <v>0</v>
      </c>
      <c r="IU947">
        <v>0</v>
      </c>
      <c r="IV947">
        <v>0</v>
      </c>
      <c r="IW947">
        <v>68</v>
      </c>
      <c r="IX947">
        <v>404.7</v>
      </c>
      <c r="IY947">
        <v>126.6</v>
      </c>
      <c r="IZ947">
        <v>126.6</v>
      </c>
      <c r="JA947">
        <v>503.7</v>
      </c>
      <c r="JB947">
        <v>570.1</v>
      </c>
      <c r="JC947">
        <v>328.3</v>
      </c>
      <c r="JD947">
        <v>0</v>
      </c>
      <c r="JE947">
        <v>0</v>
      </c>
      <c r="JF947">
        <v>0</v>
      </c>
      <c r="JG947">
        <v>0</v>
      </c>
      <c r="JH947">
        <v>287.3</v>
      </c>
      <c r="JI947">
        <v>68.2</v>
      </c>
      <c r="JJ947">
        <v>0</v>
      </c>
      <c r="JK947">
        <v>148.6</v>
      </c>
      <c r="JL947">
        <v>0</v>
      </c>
      <c r="JM947">
        <v>0</v>
      </c>
      <c r="JN947">
        <v>204.5</v>
      </c>
      <c r="JO947">
        <v>292.10000000000002</v>
      </c>
      <c r="JP947">
        <v>670.8</v>
      </c>
      <c r="JQ947">
        <v>745.2</v>
      </c>
      <c r="JR947">
        <v>242.9</v>
      </c>
    </row>
    <row r="948" spans="2:278" ht="18" thickBot="1">
      <c r="B948" s="368" t="s">
        <v>1310</v>
      </c>
      <c r="C948" s="369" t="s">
        <v>1617</v>
      </c>
      <c r="D948" s="368" t="s">
        <v>1387</v>
      </c>
      <c r="E948" s="454">
        <v>22829.8</v>
      </c>
      <c r="F948">
        <v>20193.400000000001</v>
      </c>
      <c r="G948" s="427">
        <v>0</v>
      </c>
      <c r="H948" s="155">
        <v>0</v>
      </c>
      <c r="I948">
        <v>0</v>
      </c>
      <c r="J948">
        <v>0</v>
      </c>
      <c r="K948">
        <v>0</v>
      </c>
      <c r="L948" s="4">
        <v>0</v>
      </c>
      <c r="M948" s="4">
        <v>0</v>
      </c>
      <c r="N948" s="4">
        <v>0</v>
      </c>
      <c r="O948" s="4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1476.4</v>
      </c>
      <c r="X948">
        <v>1482</v>
      </c>
      <c r="Y948">
        <v>457.20000000000005</v>
      </c>
      <c r="Z948">
        <v>0</v>
      </c>
      <c r="AA948">
        <v>0</v>
      </c>
      <c r="AB948">
        <v>0</v>
      </c>
      <c r="AC948">
        <v>0</v>
      </c>
      <c r="AD948">
        <v>3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1828.6</v>
      </c>
      <c r="AK948">
        <v>1800.7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560.70000000000005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0</v>
      </c>
      <c r="BN948">
        <v>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0</v>
      </c>
      <c r="BU948">
        <v>0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  <c r="CF948">
        <v>0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  <c r="CN948">
        <v>0</v>
      </c>
      <c r="CO948">
        <v>0</v>
      </c>
      <c r="CP948">
        <v>3.5</v>
      </c>
      <c r="CQ948">
        <v>0</v>
      </c>
      <c r="CR948">
        <v>528</v>
      </c>
      <c r="CS948">
        <v>581.79999999999995</v>
      </c>
      <c r="CT948">
        <v>555.40000000000009</v>
      </c>
      <c r="CU948">
        <v>737.4</v>
      </c>
      <c r="CV948">
        <v>1039.0999999999999</v>
      </c>
      <c r="CW948">
        <v>1667.3</v>
      </c>
      <c r="CX948">
        <v>877.6</v>
      </c>
      <c r="CY948">
        <v>910.40000000000009</v>
      </c>
      <c r="CZ948">
        <v>0</v>
      </c>
      <c r="DA948">
        <v>0</v>
      </c>
      <c r="DB948">
        <v>0</v>
      </c>
      <c r="DC948">
        <v>0</v>
      </c>
      <c r="DD948">
        <v>0</v>
      </c>
      <c r="DE948">
        <v>0</v>
      </c>
      <c r="DF948">
        <v>0</v>
      </c>
      <c r="DG948">
        <v>0</v>
      </c>
      <c r="DH948">
        <v>0</v>
      </c>
      <c r="DI948">
        <v>0</v>
      </c>
      <c r="DJ948">
        <v>0</v>
      </c>
      <c r="DK948">
        <v>0</v>
      </c>
      <c r="DL948">
        <v>995.5</v>
      </c>
      <c r="DM948">
        <v>712.7</v>
      </c>
      <c r="DN948">
        <v>0</v>
      </c>
      <c r="DO948">
        <v>0</v>
      </c>
      <c r="DP948">
        <v>0</v>
      </c>
      <c r="DQ948">
        <v>0</v>
      </c>
      <c r="DR948">
        <v>0</v>
      </c>
      <c r="DS948">
        <v>0</v>
      </c>
      <c r="DT948">
        <v>0</v>
      </c>
      <c r="DU948">
        <v>0</v>
      </c>
      <c r="DV948">
        <v>0</v>
      </c>
      <c r="DW948">
        <v>0</v>
      </c>
      <c r="DX948">
        <v>0</v>
      </c>
      <c r="DY948">
        <v>0</v>
      </c>
      <c r="DZ948">
        <v>0</v>
      </c>
      <c r="EA948">
        <v>0</v>
      </c>
      <c r="EB948">
        <v>0</v>
      </c>
      <c r="EC948">
        <v>0</v>
      </c>
      <c r="ED948">
        <v>0</v>
      </c>
      <c r="EE948">
        <v>0</v>
      </c>
      <c r="EF948">
        <v>0</v>
      </c>
      <c r="EG948">
        <v>0</v>
      </c>
      <c r="EH948">
        <v>0</v>
      </c>
      <c r="EI948">
        <v>0</v>
      </c>
      <c r="EJ948">
        <v>0</v>
      </c>
      <c r="EK948">
        <v>0</v>
      </c>
      <c r="EL948">
        <v>0</v>
      </c>
      <c r="EM948">
        <v>0</v>
      </c>
      <c r="EN948">
        <v>27.4</v>
      </c>
      <c r="EO948">
        <v>0</v>
      </c>
      <c r="EP948">
        <v>1002.5</v>
      </c>
      <c r="EQ948">
        <v>0</v>
      </c>
      <c r="ER948">
        <v>494</v>
      </c>
      <c r="ES948">
        <v>0</v>
      </c>
      <c r="ET948">
        <v>699.3</v>
      </c>
      <c r="EU948">
        <v>435.4</v>
      </c>
      <c r="EV948">
        <v>0</v>
      </c>
      <c r="EW948">
        <v>0</v>
      </c>
      <c r="EX948">
        <v>0</v>
      </c>
      <c r="EY948">
        <v>0</v>
      </c>
      <c r="EZ948">
        <v>0</v>
      </c>
      <c r="FA948">
        <v>0</v>
      </c>
      <c r="FB948">
        <v>0</v>
      </c>
      <c r="FC948">
        <v>0</v>
      </c>
      <c r="FD948">
        <v>95.6</v>
      </c>
      <c r="FE948">
        <v>1792.1</v>
      </c>
      <c r="FF948">
        <v>1740.1999999999998</v>
      </c>
      <c r="FG948">
        <v>954.9</v>
      </c>
      <c r="FH948">
        <v>1087.8000000000002</v>
      </c>
      <c r="FI948">
        <v>1892.1</v>
      </c>
      <c r="FJ948">
        <v>1222.5</v>
      </c>
      <c r="FK948">
        <v>678.3</v>
      </c>
      <c r="FL948">
        <v>639.1</v>
      </c>
      <c r="FM948">
        <v>520.5</v>
      </c>
      <c r="FN948">
        <v>123.8</v>
      </c>
      <c r="FO948">
        <v>181.6</v>
      </c>
      <c r="FP948">
        <v>1090.5</v>
      </c>
      <c r="FQ948">
        <v>0</v>
      </c>
      <c r="FR948">
        <v>0</v>
      </c>
      <c r="FS948">
        <v>0</v>
      </c>
      <c r="FT948">
        <v>0</v>
      </c>
      <c r="FU948">
        <v>0</v>
      </c>
      <c r="FV948">
        <v>0</v>
      </c>
      <c r="FW948">
        <v>0</v>
      </c>
      <c r="FX948">
        <v>0</v>
      </c>
      <c r="FY948">
        <v>0</v>
      </c>
      <c r="FZ948">
        <v>0</v>
      </c>
      <c r="GA948">
        <v>0</v>
      </c>
      <c r="GB948">
        <v>0</v>
      </c>
      <c r="GC948">
        <v>0</v>
      </c>
      <c r="GD948">
        <v>0</v>
      </c>
      <c r="GE948">
        <v>0</v>
      </c>
      <c r="GF948">
        <v>198.3</v>
      </c>
      <c r="GG948">
        <v>1054.4000000000001</v>
      </c>
      <c r="GH948">
        <v>552.79999999999995</v>
      </c>
      <c r="GI948">
        <v>522</v>
      </c>
      <c r="GJ948">
        <v>0</v>
      </c>
      <c r="GK948">
        <v>0</v>
      </c>
      <c r="GL948">
        <v>0</v>
      </c>
      <c r="GM948">
        <v>0</v>
      </c>
      <c r="GN948">
        <v>791.40000000000009</v>
      </c>
      <c r="GO948">
        <v>1816.5</v>
      </c>
      <c r="GP948">
        <v>0</v>
      </c>
      <c r="GQ948">
        <v>0</v>
      </c>
      <c r="GR948">
        <v>0</v>
      </c>
      <c r="GS948">
        <v>0</v>
      </c>
      <c r="GT948">
        <v>0</v>
      </c>
      <c r="GU948">
        <v>0</v>
      </c>
      <c r="GV948">
        <v>0</v>
      </c>
      <c r="GW948">
        <v>0</v>
      </c>
      <c r="GX948">
        <v>0</v>
      </c>
      <c r="GY948">
        <v>840.3</v>
      </c>
      <c r="GZ948">
        <v>0</v>
      </c>
      <c r="HA948">
        <v>0</v>
      </c>
      <c r="HB948">
        <v>0</v>
      </c>
      <c r="HC948">
        <v>380.4</v>
      </c>
      <c r="HD948">
        <v>2175.5</v>
      </c>
      <c r="HE948">
        <v>0</v>
      </c>
      <c r="HF948">
        <v>0</v>
      </c>
      <c r="HG948">
        <v>0</v>
      </c>
      <c r="HH948">
        <v>0</v>
      </c>
      <c r="HI948">
        <v>0</v>
      </c>
      <c r="HJ948">
        <v>803.40000000000009</v>
      </c>
      <c r="HK948">
        <v>1270.9000000000001</v>
      </c>
      <c r="HL948">
        <v>835.7</v>
      </c>
      <c r="HM948">
        <v>1162.5999999999999</v>
      </c>
      <c r="HN948">
        <v>0</v>
      </c>
      <c r="HO948">
        <v>0</v>
      </c>
      <c r="HP948">
        <v>0</v>
      </c>
      <c r="HQ948">
        <v>0</v>
      </c>
      <c r="HR948">
        <v>161.19999999999999</v>
      </c>
      <c r="HS948">
        <v>0</v>
      </c>
      <c r="HT948">
        <v>2048.5</v>
      </c>
      <c r="HU948">
        <v>2627.5</v>
      </c>
      <c r="HV948">
        <v>1168.5999999999999</v>
      </c>
      <c r="HW948">
        <v>388</v>
      </c>
      <c r="HX948">
        <v>0</v>
      </c>
      <c r="HY948">
        <v>0</v>
      </c>
      <c r="HZ948">
        <v>0</v>
      </c>
      <c r="IA948">
        <v>0</v>
      </c>
      <c r="IB948">
        <v>0</v>
      </c>
      <c r="IC948">
        <v>594.4</v>
      </c>
      <c r="ID948">
        <v>427.4</v>
      </c>
      <c r="IE948">
        <v>713.3</v>
      </c>
      <c r="IF948">
        <v>626.1</v>
      </c>
      <c r="IG948">
        <v>0</v>
      </c>
      <c r="IH948">
        <v>0</v>
      </c>
      <c r="II948">
        <v>995.7</v>
      </c>
      <c r="IJ948">
        <v>1156.5999999999999</v>
      </c>
      <c r="IK948">
        <v>864.6</v>
      </c>
      <c r="IL948">
        <v>316.5</v>
      </c>
      <c r="IM948">
        <v>101.5</v>
      </c>
      <c r="IN948">
        <v>71.8</v>
      </c>
      <c r="IO948">
        <v>0</v>
      </c>
      <c r="IP948">
        <v>0</v>
      </c>
      <c r="IQ948">
        <v>0</v>
      </c>
      <c r="IR948">
        <v>0</v>
      </c>
      <c r="IS948">
        <v>0</v>
      </c>
      <c r="IT948">
        <v>0</v>
      </c>
      <c r="IU948">
        <v>0</v>
      </c>
      <c r="IV948">
        <v>0</v>
      </c>
      <c r="IW948">
        <v>68</v>
      </c>
      <c r="IX948">
        <v>404.7</v>
      </c>
      <c r="IY948">
        <v>126.6</v>
      </c>
      <c r="IZ948">
        <v>126.6</v>
      </c>
      <c r="JA948">
        <v>503.7</v>
      </c>
      <c r="JB948">
        <v>570.1</v>
      </c>
      <c r="JC948">
        <v>328.3</v>
      </c>
      <c r="JD948">
        <v>0</v>
      </c>
      <c r="JE948">
        <v>0</v>
      </c>
      <c r="JF948">
        <v>0</v>
      </c>
      <c r="JG948">
        <v>0</v>
      </c>
      <c r="JH948">
        <v>287.3</v>
      </c>
      <c r="JI948">
        <v>68.2</v>
      </c>
      <c r="JJ948">
        <v>0</v>
      </c>
      <c r="JK948">
        <v>148.6</v>
      </c>
      <c r="JL948">
        <v>0</v>
      </c>
      <c r="JM948">
        <v>0</v>
      </c>
      <c r="JN948">
        <v>204.5</v>
      </c>
      <c r="JO948">
        <v>292.10000000000002</v>
      </c>
      <c r="JP948">
        <v>670.8</v>
      </c>
      <c r="JQ948">
        <v>745.2</v>
      </c>
      <c r="JR948">
        <v>242.9</v>
      </c>
    </row>
    <row r="949" spans="2:278" ht="18" thickBot="1">
      <c r="B949" s="522" t="s">
        <v>1311</v>
      </c>
      <c r="C949" s="544" t="s">
        <v>1618</v>
      </c>
      <c r="D949" s="522" t="s">
        <v>1387</v>
      </c>
      <c r="E949" s="454">
        <v>22829.8</v>
      </c>
      <c r="F949">
        <v>20193.400000000001</v>
      </c>
      <c r="G949" s="427">
        <v>0</v>
      </c>
      <c r="H949" s="155">
        <v>0</v>
      </c>
      <c r="I949">
        <v>0</v>
      </c>
      <c r="J949">
        <v>0</v>
      </c>
      <c r="K949">
        <v>0</v>
      </c>
      <c r="L949" s="4">
        <v>0</v>
      </c>
      <c r="M949" s="4">
        <v>0</v>
      </c>
      <c r="N949" s="4">
        <v>0</v>
      </c>
      <c r="O949" s="4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1476.4</v>
      </c>
      <c r="X949">
        <v>1482</v>
      </c>
      <c r="Y949">
        <v>457.20000000000005</v>
      </c>
      <c r="Z949">
        <v>0</v>
      </c>
      <c r="AA949">
        <v>0</v>
      </c>
      <c r="AB949">
        <v>0</v>
      </c>
      <c r="AC949">
        <v>0</v>
      </c>
      <c r="AD949">
        <v>3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1828.6</v>
      </c>
      <c r="AK949">
        <v>1800.7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560.70000000000005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0</v>
      </c>
      <c r="BN949">
        <v>0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0</v>
      </c>
      <c r="BU949">
        <v>0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  <c r="CF949">
        <v>0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  <c r="CN949">
        <v>0</v>
      </c>
      <c r="CO949">
        <v>0</v>
      </c>
      <c r="CP949">
        <v>3.5</v>
      </c>
      <c r="CQ949">
        <v>0</v>
      </c>
      <c r="CR949">
        <v>528</v>
      </c>
      <c r="CS949">
        <v>581.79999999999995</v>
      </c>
      <c r="CT949">
        <v>555.40000000000009</v>
      </c>
      <c r="CU949">
        <v>737.4</v>
      </c>
      <c r="CV949">
        <v>1039.0999999999999</v>
      </c>
      <c r="CW949">
        <v>1667.3</v>
      </c>
      <c r="CX949">
        <v>877.6</v>
      </c>
      <c r="CY949">
        <v>910.40000000000009</v>
      </c>
      <c r="CZ949">
        <v>0</v>
      </c>
      <c r="DA949">
        <v>0</v>
      </c>
      <c r="DB949">
        <v>0</v>
      </c>
      <c r="DC949">
        <v>0</v>
      </c>
      <c r="DD949">
        <v>0</v>
      </c>
      <c r="DE949">
        <v>0</v>
      </c>
      <c r="DF949">
        <v>0</v>
      </c>
      <c r="DG949">
        <v>0</v>
      </c>
      <c r="DH949">
        <v>0</v>
      </c>
      <c r="DI949">
        <v>0</v>
      </c>
      <c r="DJ949">
        <v>0</v>
      </c>
      <c r="DK949">
        <v>0</v>
      </c>
      <c r="DL949">
        <v>995.5</v>
      </c>
      <c r="DM949">
        <v>712.7</v>
      </c>
      <c r="DN949">
        <v>0</v>
      </c>
      <c r="DO949">
        <v>0</v>
      </c>
      <c r="DP949">
        <v>0</v>
      </c>
      <c r="DQ949">
        <v>0</v>
      </c>
      <c r="DR949">
        <v>0</v>
      </c>
      <c r="DS949">
        <v>0</v>
      </c>
      <c r="DT949">
        <v>0</v>
      </c>
      <c r="DU949">
        <v>0</v>
      </c>
      <c r="DV949">
        <v>0</v>
      </c>
      <c r="DW949">
        <v>0</v>
      </c>
      <c r="DX949">
        <v>0</v>
      </c>
      <c r="DY949">
        <v>0</v>
      </c>
      <c r="DZ949">
        <v>0</v>
      </c>
      <c r="EA949">
        <v>0</v>
      </c>
      <c r="EB949">
        <v>0</v>
      </c>
      <c r="EC949">
        <v>0</v>
      </c>
      <c r="ED949">
        <v>0</v>
      </c>
      <c r="EE949">
        <v>0</v>
      </c>
      <c r="EF949">
        <v>0</v>
      </c>
      <c r="EG949">
        <v>0</v>
      </c>
      <c r="EH949">
        <v>0</v>
      </c>
      <c r="EI949">
        <v>0</v>
      </c>
      <c r="EJ949">
        <v>0</v>
      </c>
      <c r="EK949">
        <v>0</v>
      </c>
      <c r="EL949">
        <v>0</v>
      </c>
      <c r="EM949">
        <v>0</v>
      </c>
      <c r="EN949">
        <v>27.4</v>
      </c>
      <c r="EO949">
        <v>0</v>
      </c>
      <c r="EP949">
        <v>1002.5</v>
      </c>
      <c r="EQ949">
        <v>0</v>
      </c>
      <c r="ER949">
        <v>494</v>
      </c>
      <c r="ES949">
        <v>0</v>
      </c>
      <c r="ET949">
        <v>699.3</v>
      </c>
      <c r="EU949">
        <v>435.4</v>
      </c>
      <c r="EV949">
        <v>0</v>
      </c>
      <c r="EW949">
        <v>0</v>
      </c>
      <c r="EX949">
        <v>0</v>
      </c>
      <c r="EY949">
        <v>0</v>
      </c>
      <c r="EZ949">
        <v>0</v>
      </c>
      <c r="FA949">
        <v>0</v>
      </c>
      <c r="FB949">
        <v>0</v>
      </c>
      <c r="FC949">
        <v>0</v>
      </c>
      <c r="FD949">
        <v>95.6</v>
      </c>
      <c r="FE949">
        <v>1792.1</v>
      </c>
      <c r="FF949">
        <v>1740.1999999999998</v>
      </c>
      <c r="FG949">
        <v>954.9</v>
      </c>
      <c r="FH949">
        <v>1087.8000000000002</v>
      </c>
      <c r="FI949">
        <v>1892.1</v>
      </c>
      <c r="FJ949">
        <v>1222.5</v>
      </c>
      <c r="FK949">
        <v>678.3</v>
      </c>
      <c r="FL949">
        <v>639.1</v>
      </c>
      <c r="FM949">
        <v>520.5</v>
      </c>
      <c r="FN949">
        <v>123.8</v>
      </c>
      <c r="FO949">
        <v>181.6</v>
      </c>
      <c r="FP949">
        <v>1090.5</v>
      </c>
      <c r="FQ949">
        <v>0</v>
      </c>
      <c r="FR949">
        <v>0</v>
      </c>
      <c r="FS949">
        <v>0</v>
      </c>
      <c r="FT949">
        <v>0</v>
      </c>
      <c r="FU949">
        <v>0</v>
      </c>
      <c r="FV949">
        <v>0</v>
      </c>
      <c r="FW949">
        <v>0</v>
      </c>
      <c r="FX949">
        <v>0</v>
      </c>
      <c r="FY949">
        <v>0</v>
      </c>
      <c r="FZ949">
        <v>0</v>
      </c>
      <c r="GA949">
        <v>0</v>
      </c>
      <c r="GB949">
        <v>0</v>
      </c>
      <c r="GC949">
        <v>0</v>
      </c>
      <c r="GD949">
        <v>0</v>
      </c>
      <c r="GE949">
        <v>0</v>
      </c>
      <c r="GF949">
        <v>198.3</v>
      </c>
      <c r="GG949">
        <v>1054.4000000000001</v>
      </c>
      <c r="GH949">
        <v>552.79999999999995</v>
      </c>
      <c r="GI949">
        <v>522</v>
      </c>
      <c r="GJ949">
        <v>0</v>
      </c>
      <c r="GK949">
        <v>0</v>
      </c>
      <c r="GL949">
        <v>0</v>
      </c>
      <c r="GM949">
        <v>0</v>
      </c>
      <c r="GN949">
        <v>791.40000000000009</v>
      </c>
      <c r="GO949">
        <v>1816.5</v>
      </c>
      <c r="GP949">
        <v>0</v>
      </c>
      <c r="GQ949">
        <v>0</v>
      </c>
      <c r="GR949">
        <v>0</v>
      </c>
      <c r="GS949">
        <v>0</v>
      </c>
      <c r="GT949">
        <v>0</v>
      </c>
      <c r="GU949">
        <v>0</v>
      </c>
      <c r="GV949">
        <v>0</v>
      </c>
      <c r="GW949">
        <v>0</v>
      </c>
      <c r="GX949">
        <v>0</v>
      </c>
      <c r="GY949">
        <v>840.3</v>
      </c>
      <c r="GZ949">
        <v>0</v>
      </c>
      <c r="HA949">
        <v>0</v>
      </c>
      <c r="HB949">
        <v>0</v>
      </c>
      <c r="HC949">
        <v>380.4</v>
      </c>
      <c r="HD949">
        <v>2175.5</v>
      </c>
      <c r="HE949">
        <v>0</v>
      </c>
      <c r="HF949">
        <v>0</v>
      </c>
      <c r="HG949">
        <v>0</v>
      </c>
      <c r="HH949">
        <v>0</v>
      </c>
      <c r="HI949">
        <v>0</v>
      </c>
      <c r="HJ949">
        <v>803.40000000000009</v>
      </c>
      <c r="HK949">
        <v>1270.9000000000001</v>
      </c>
      <c r="HL949">
        <v>835.7</v>
      </c>
      <c r="HM949">
        <v>1162.5999999999999</v>
      </c>
      <c r="HN949">
        <v>0</v>
      </c>
      <c r="HO949">
        <v>0</v>
      </c>
      <c r="HP949">
        <v>0</v>
      </c>
      <c r="HQ949">
        <v>0</v>
      </c>
      <c r="HR949">
        <v>161.19999999999999</v>
      </c>
      <c r="HS949">
        <v>0</v>
      </c>
      <c r="HT949">
        <v>2048.5</v>
      </c>
      <c r="HU949">
        <v>2627.5</v>
      </c>
      <c r="HV949">
        <v>1168.5999999999999</v>
      </c>
      <c r="HW949">
        <v>388</v>
      </c>
      <c r="HX949">
        <v>0</v>
      </c>
      <c r="HY949">
        <v>0</v>
      </c>
      <c r="HZ949">
        <v>0</v>
      </c>
      <c r="IA949">
        <v>0</v>
      </c>
      <c r="IB949">
        <v>0</v>
      </c>
      <c r="IC949">
        <v>594.4</v>
      </c>
      <c r="ID949">
        <v>427.4</v>
      </c>
      <c r="IE949">
        <v>713.3</v>
      </c>
      <c r="IF949">
        <v>626.1</v>
      </c>
      <c r="IG949">
        <v>0</v>
      </c>
      <c r="IH949">
        <v>0</v>
      </c>
      <c r="II949">
        <v>995.7</v>
      </c>
      <c r="IJ949">
        <v>1156.5999999999999</v>
      </c>
      <c r="IK949">
        <v>864.6</v>
      </c>
      <c r="IL949">
        <v>316.5</v>
      </c>
      <c r="IM949">
        <v>101.5</v>
      </c>
      <c r="IN949">
        <v>71.8</v>
      </c>
      <c r="IO949">
        <v>0</v>
      </c>
      <c r="IP949">
        <v>0</v>
      </c>
      <c r="IQ949">
        <v>0</v>
      </c>
      <c r="IR949">
        <v>0</v>
      </c>
      <c r="IS949">
        <v>0</v>
      </c>
      <c r="IT949">
        <v>0</v>
      </c>
      <c r="IU949">
        <v>0</v>
      </c>
      <c r="IV949">
        <v>0</v>
      </c>
      <c r="IW949">
        <v>68</v>
      </c>
      <c r="IX949">
        <v>404.7</v>
      </c>
      <c r="IY949">
        <v>126.6</v>
      </c>
      <c r="IZ949">
        <v>126.6</v>
      </c>
      <c r="JA949">
        <v>503.7</v>
      </c>
      <c r="JB949">
        <v>570.1</v>
      </c>
      <c r="JC949">
        <v>328.3</v>
      </c>
      <c r="JD949">
        <v>0</v>
      </c>
      <c r="JE949">
        <v>0</v>
      </c>
      <c r="JF949">
        <v>0</v>
      </c>
      <c r="JG949">
        <v>0</v>
      </c>
      <c r="JH949">
        <v>287.3</v>
      </c>
      <c r="JI949">
        <v>68.2</v>
      </c>
      <c r="JJ949">
        <v>0</v>
      </c>
      <c r="JK949">
        <v>148.6</v>
      </c>
      <c r="JL949">
        <v>0</v>
      </c>
      <c r="JM949">
        <v>0</v>
      </c>
      <c r="JN949">
        <v>204.5</v>
      </c>
      <c r="JO949">
        <v>292.10000000000002</v>
      </c>
      <c r="JP949">
        <v>670.8</v>
      </c>
      <c r="JQ949">
        <v>745.2</v>
      </c>
      <c r="JR949">
        <v>242.9</v>
      </c>
    </row>
    <row r="950" spans="2:278" ht="18" thickBot="1">
      <c r="B950" s="523"/>
      <c r="C950" s="545"/>
      <c r="D950" s="523"/>
      <c r="E950" s="454">
        <v>22829.8</v>
      </c>
      <c r="F950">
        <v>20193.400000000001</v>
      </c>
      <c r="G950" s="427">
        <v>0</v>
      </c>
      <c r="H950" s="155">
        <v>0</v>
      </c>
      <c r="I950">
        <v>0</v>
      </c>
      <c r="J950">
        <v>0</v>
      </c>
      <c r="K950">
        <v>0</v>
      </c>
      <c r="L950" s="4">
        <v>0</v>
      </c>
      <c r="M950" s="4">
        <v>0</v>
      </c>
      <c r="N950" s="4">
        <v>0</v>
      </c>
      <c r="O950" s="4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1476.4</v>
      </c>
      <c r="X950">
        <v>1482</v>
      </c>
      <c r="Y950">
        <v>457.20000000000005</v>
      </c>
      <c r="Z950">
        <v>0</v>
      </c>
      <c r="AA950">
        <v>0</v>
      </c>
      <c r="AB950">
        <v>0</v>
      </c>
      <c r="AC950">
        <v>0</v>
      </c>
      <c r="AD950">
        <v>3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1828.6</v>
      </c>
      <c r="AK950">
        <v>1800.7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560.70000000000005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  <c r="CF950">
        <v>0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  <c r="CN950">
        <v>0</v>
      </c>
      <c r="CO950">
        <v>0</v>
      </c>
      <c r="CP950">
        <v>3.5</v>
      </c>
      <c r="CQ950">
        <v>0</v>
      </c>
      <c r="CR950">
        <v>528</v>
      </c>
      <c r="CS950">
        <v>581.79999999999995</v>
      </c>
      <c r="CT950">
        <v>555.40000000000009</v>
      </c>
      <c r="CU950">
        <v>737.4</v>
      </c>
      <c r="CV950">
        <v>1039.0999999999999</v>
      </c>
      <c r="CW950">
        <v>1667.3</v>
      </c>
      <c r="CX950">
        <v>877.6</v>
      </c>
      <c r="CY950">
        <v>910.40000000000009</v>
      </c>
      <c r="CZ950">
        <v>0</v>
      </c>
      <c r="DA950">
        <v>0</v>
      </c>
      <c r="DB950">
        <v>0</v>
      </c>
      <c r="DC950">
        <v>0</v>
      </c>
      <c r="DD950">
        <v>0</v>
      </c>
      <c r="DE950">
        <v>0</v>
      </c>
      <c r="DF950">
        <v>0</v>
      </c>
      <c r="DG950">
        <v>0</v>
      </c>
      <c r="DH950">
        <v>0</v>
      </c>
      <c r="DI950">
        <v>0</v>
      </c>
      <c r="DJ950">
        <v>0</v>
      </c>
      <c r="DK950">
        <v>0</v>
      </c>
      <c r="DL950">
        <v>995.5</v>
      </c>
      <c r="DM950">
        <v>712.7</v>
      </c>
      <c r="DN950">
        <v>0</v>
      </c>
      <c r="DO950">
        <v>0</v>
      </c>
      <c r="DP950">
        <v>0</v>
      </c>
      <c r="DQ950">
        <v>0</v>
      </c>
      <c r="DR950">
        <v>0</v>
      </c>
      <c r="DS950">
        <v>0</v>
      </c>
      <c r="DT950">
        <v>0</v>
      </c>
      <c r="DU950">
        <v>0</v>
      </c>
      <c r="DV950">
        <v>0</v>
      </c>
      <c r="DW950">
        <v>0</v>
      </c>
      <c r="DX950">
        <v>0</v>
      </c>
      <c r="DY950">
        <v>0</v>
      </c>
      <c r="DZ950">
        <v>0</v>
      </c>
      <c r="EA950">
        <v>0</v>
      </c>
      <c r="EB950">
        <v>0</v>
      </c>
      <c r="EC950">
        <v>0</v>
      </c>
      <c r="ED950">
        <v>0</v>
      </c>
      <c r="EE950">
        <v>0</v>
      </c>
      <c r="EF950">
        <v>0</v>
      </c>
      <c r="EG950">
        <v>0</v>
      </c>
      <c r="EH950">
        <v>0</v>
      </c>
      <c r="EI950">
        <v>0</v>
      </c>
      <c r="EJ950">
        <v>0</v>
      </c>
      <c r="EK950">
        <v>0</v>
      </c>
      <c r="EL950">
        <v>0</v>
      </c>
      <c r="EM950">
        <v>0</v>
      </c>
      <c r="EN950">
        <v>27.4</v>
      </c>
      <c r="EO950">
        <v>0</v>
      </c>
      <c r="EP950">
        <v>1002.5</v>
      </c>
      <c r="EQ950">
        <v>0</v>
      </c>
      <c r="ER950">
        <v>494</v>
      </c>
      <c r="ES950">
        <v>0</v>
      </c>
      <c r="ET950">
        <v>699.3</v>
      </c>
      <c r="EU950">
        <v>435.4</v>
      </c>
      <c r="EV950">
        <v>0</v>
      </c>
      <c r="EW950">
        <v>0</v>
      </c>
      <c r="EX950">
        <v>0</v>
      </c>
      <c r="EY950">
        <v>0</v>
      </c>
      <c r="EZ950">
        <v>0</v>
      </c>
      <c r="FA950">
        <v>0</v>
      </c>
      <c r="FB950">
        <v>0</v>
      </c>
      <c r="FC950">
        <v>0</v>
      </c>
      <c r="FD950">
        <v>95.6</v>
      </c>
      <c r="FE950">
        <v>1792.1</v>
      </c>
      <c r="FF950">
        <v>1740.1999999999998</v>
      </c>
      <c r="FG950">
        <v>954.9</v>
      </c>
      <c r="FH950">
        <v>1087.8000000000002</v>
      </c>
      <c r="FI950">
        <v>1892.1</v>
      </c>
      <c r="FJ950">
        <v>1222.5</v>
      </c>
      <c r="FK950">
        <v>678.3</v>
      </c>
      <c r="FL950">
        <v>639.1</v>
      </c>
      <c r="FM950">
        <v>520.5</v>
      </c>
      <c r="FN950">
        <v>123.8</v>
      </c>
      <c r="FO950">
        <v>181.6</v>
      </c>
      <c r="FP950">
        <v>1090.5</v>
      </c>
      <c r="FQ950">
        <v>0</v>
      </c>
      <c r="FR950">
        <v>0</v>
      </c>
      <c r="FS950">
        <v>0</v>
      </c>
      <c r="FT950">
        <v>0</v>
      </c>
      <c r="FU950">
        <v>0</v>
      </c>
      <c r="FV950">
        <v>0</v>
      </c>
      <c r="FW950">
        <v>0</v>
      </c>
      <c r="FX950">
        <v>0</v>
      </c>
      <c r="FY950">
        <v>0</v>
      </c>
      <c r="FZ950">
        <v>0</v>
      </c>
      <c r="GA950">
        <v>0</v>
      </c>
      <c r="GB950">
        <v>0</v>
      </c>
      <c r="GC950">
        <v>0</v>
      </c>
      <c r="GD950">
        <v>0</v>
      </c>
      <c r="GE950">
        <v>0</v>
      </c>
      <c r="GF950">
        <v>198.3</v>
      </c>
      <c r="GG950">
        <v>1054.4000000000001</v>
      </c>
      <c r="GH950">
        <v>552.79999999999995</v>
      </c>
      <c r="GI950">
        <v>522</v>
      </c>
      <c r="GJ950">
        <v>0</v>
      </c>
      <c r="GK950">
        <v>0</v>
      </c>
      <c r="GL950">
        <v>0</v>
      </c>
      <c r="GM950">
        <v>0</v>
      </c>
      <c r="GN950">
        <v>791.40000000000009</v>
      </c>
      <c r="GO950">
        <v>1816.5</v>
      </c>
      <c r="GP950">
        <v>0</v>
      </c>
      <c r="GQ950">
        <v>0</v>
      </c>
      <c r="GR950">
        <v>0</v>
      </c>
      <c r="GS950">
        <v>0</v>
      </c>
      <c r="GT950">
        <v>0</v>
      </c>
      <c r="GU950">
        <v>0</v>
      </c>
      <c r="GV950">
        <v>0</v>
      </c>
      <c r="GW950">
        <v>0</v>
      </c>
      <c r="GX950">
        <v>0</v>
      </c>
      <c r="GY950">
        <v>840.3</v>
      </c>
      <c r="GZ950">
        <v>0</v>
      </c>
      <c r="HA950">
        <v>0</v>
      </c>
      <c r="HB950">
        <v>0</v>
      </c>
      <c r="HC950">
        <v>380.4</v>
      </c>
      <c r="HD950">
        <v>2175.5</v>
      </c>
      <c r="HE950">
        <v>0</v>
      </c>
      <c r="HF950">
        <v>0</v>
      </c>
      <c r="HG950">
        <v>0</v>
      </c>
      <c r="HH950">
        <v>0</v>
      </c>
      <c r="HI950">
        <v>0</v>
      </c>
      <c r="HJ950">
        <v>803.40000000000009</v>
      </c>
      <c r="HK950">
        <v>1270.9000000000001</v>
      </c>
      <c r="HL950">
        <v>835.7</v>
      </c>
      <c r="HM950">
        <v>1162.5999999999999</v>
      </c>
      <c r="HN950">
        <v>0</v>
      </c>
      <c r="HO950">
        <v>0</v>
      </c>
      <c r="HP950">
        <v>0</v>
      </c>
      <c r="HQ950">
        <v>0</v>
      </c>
      <c r="HR950">
        <v>161.19999999999999</v>
      </c>
      <c r="HS950">
        <v>0</v>
      </c>
      <c r="HT950">
        <v>2048.5</v>
      </c>
      <c r="HU950">
        <v>2627.5</v>
      </c>
      <c r="HV950">
        <v>1168.5999999999999</v>
      </c>
      <c r="HW950">
        <v>388</v>
      </c>
      <c r="HX950">
        <v>0</v>
      </c>
      <c r="HY950">
        <v>0</v>
      </c>
      <c r="HZ950">
        <v>0</v>
      </c>
      <c r="IA950">
        <v>0</v>
      </c>
      <c r="IB950">
        <v>0</v>
      </c>
      <c r="IC950">
        <v>594.4</v>
      </c>
      <c r="ID950">
        <v>427.4</v>
      </c>
      <c r="IE950">
        <v>713.3</v>
      </c>
      <c r="IF950">
        <v>626.1</v>
      </c>
      <c r="IG950">
        <v>0</v>
      </c>
      <c r="IH950">
        <v>0</v>
      </c>
      <c r="II950">
        <v>995.7</v>
      </c>
      <c r="IJ950">
        <v>1156.5999999999999</v>
      </c>
      <c r="IK950">
        <v>864.6</v>
      </c>
      <c r="IL950">
        <v>316.5</v>
      </c>
      <c r="IM950">
        <v>101.5</v>
      </c>
      <c r="IN950">
        <v>71.8</v>
      </c>
      <c r="IO950">
        <v>0</v>
      </c>
      <c r="IP950">
        <v>0</v>
      </c>
      <c r="IQ950">
        <v>0</v>
      </c>
      <c r="IR950">
        <v>0</v>
      </c>
      <c r="IS950">
        <v>0</v>
      </c>
      <c r="IT950">
        <v>0</v>
      </c>
      <c r="IU950">
        <v>0</v>
      </c>
      <c r="IV950">
        <v>0</v>
      </c>
      <c r="IW950">
        <v>68</v>
      </c>
      <c r="IX950">
        <v>404.7</v>
      </c>
      <c r="IY950">
        <v>126.6</v>
      </c>
      <c r="IZ950">
        <v>126.6</v>
      </c>
      <c r="JA950">
        <v>503.7</v>
      </c>
      <c r="JB950">
        <v>570.1</v>
      </c>
      <c r="JC950">
        <v>328.3</v>
      </c>
      <c r="JD950">
        <v>0</v>
      </c>
      <c r="JE950">
        <v>0</v>
      </c>
      <c r="JF950">
        <v>0</v>
      </c>
      <c r="JG950">
        <v>0</v>
      </c>
      <c r="JH950">
        <v>287.3</v>
      </c>
      <c r="JI950">
        <v>68.2</v>
      </c>
      <c r="JJ950">
        <v>0</v>
      </c>
      <c r="JK950">
        <v>148.6</v>
      </c>
      <c r="JL950">
        <v>0</v>
      </c>
      <c r="JM950">
        <v>0</v>
      </c>
      <c r="JN950">
        <v>204.5</v>
      </c>
      <c r="JO950">
        <v>292.10000000000002</v>
      </c>
      <c r="JP950">
        <v>670.8</v>
      </c>
      <c r="JQ950">
        <v>745.2</v>
      </c>
      <c r="JR950">
        <v>242.9</v>
      </c>
    </row>
    <row r="951" spans="2:278" ht="18" thickBot="1">
      <c r="B951" s="368" t="s">
        <v>1312</v>
      </c>
      <c r="C951" s="422" t="s">
        <v>1619</v>
      </c>
      <c r="D951" s="377" t="s">
        <v>1387</v>
      </c>
      <c r="E951" s="454">
        <v>22829.8</v>
      </c>
      <c r="F951">
        <v>20193.400000000001</v>
      </c>
      <c r="G951" s="427">
        <v>0</v>
      </c>
      <c r="H951" s="155">
        <v>0</v>
      </c>
      <c r="I951">
        <v>0</v>
      </c>
      <c r="J951">
        <v>0</v>
      </c>
      <c r="K951">
        <v>0</v>
      </c>
      <c r="L951" s="4">
        <v>0</v>
      </c>
      <c r="M951" s="4">
        <v>0</v>
      </c>
      <c r="N951" s="4">
        <v>0</v>
      </c>
      <c r="O951" s="4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1476.4</v>
      </c>
      <c r="X951">
        <v>1482</v>
      </c>
      <c r="Y951">
        <v>457.20000000000005</v>
      </c>
      <c r="Z951">
        <v>0</v>
      </c>
      <c r="AA951">
        <v>0</v>
      </c>
      <c r="AB951">
        <v>0</v>
      </c>
      <c r="AC951">
        <v>0</v>
      </c>
      <c r="AD951">
        <v>3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1828.6</v>
      </c>
      <c r="AK951">
        <v>1800.7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560.70000000000005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  <c r="CF951">
        <v>0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  <c r="CN951">
        <v>0</v>
      </c>
      <c r="CO951">
        <v>0</v>
      </c>
      <c r="CP951">
        <v>3.5</v>
      </c>
      <c r="CQ951">
        <v>0</v>
      </c>
      <c r="CR951">
        <v>528</v>
      </c>
      <c r="CS951">
        <v>581.79999999999995</v>
      </c>
      <c r="CT951">
        <v>555.40000000000009</v>
      </c>
      <c r="CU951">
        <v>737.4</v>
      </c>
      <c r="CV951">
        <v>1039.0999999999999</v>
      </c>
      <c r="CW951">
        <v>1667.3</v>
      </c>
      <c r="CX951">
        <v>877.6</v>
      </c>
      <c r="CY951">
        <v>910.40000000000009</v>
      </c>
      <c r="CZ951">
        <v>0</v>
      </c>
      <c r="DA951">
        <v>0</v>
      </c>
      <c r="DB951">
        <v>0</v>
      </c>
      <c r="DC951">
        <v>0</v>
      </c>
      <c r="DD951">
        <v>0</v>
      </c>
      <c r="DE951">
        <v>0</v>
      </c>
      <c r="DF951">
        <v>0</v>
      </c>
      <c r="DG951">
        <v>0</v>
      </c>
      <c r="DH951">
        <v>0</v>
      </c>
      <c r="DI951">
        <v>0</v>
      </c>
      <c r="DJ951">
        <v>0</v>
      </c>
      <c r="DK951">
        <v>0</v>
      </c>
      <c r="DL951">
        <v>995.5</v>
      </c>
      <c r="DM951">
        <v>712.7</v>
      </c>
      <c r="DN951">
        <v>0</v>
      </c>
      <c r="DO951">
        <v>0</v>
      </c>
      <c r="DP951">
        <v>0</v>
      </c>
      <c r="DQ951">
        <v>0</v>
      </c>
      <c r="DR951">
        <v>0</v>
      </c>
      <c r="DS951">
        <v>0</v>
      </c>
      <c r="DT951">
        <v>0</v>
      </c>
      <c r="DU951">
        <v>0</v>
      </c>
      <c r="DV951">
        <v>0</v>
      </c>
      <c r="DW951">
        <v>0</v>
      </c>
      <c r="DX951">
        <v>0</v>
      </c>
      <c r="DY951">
        <v>0</v>
      </c>
      <c r="DZ951">
        <v>0</v>
      </c>
      <c r="EA951">
        <v>0</v>
      </c>
      <c r="EB951">
        <v>0</v>
      </c>
      <c r="EC951">
        <v>0</v>
      </c>
      <c r="ED951">
        <v>0</v>
      </c>
      <c r="EE951">
        <v>0</v>
      </c>
      <c r="EF951">
        <v>0</v>
      </c>
      <c r="EG951">
        <v>0</v>
      </c>
      <c r="EH951">
        <v>0</v>
      </c>
      <c r="EI951">
        <v>0</v>
      </c>
      <c r="EJ951">
        <v>0</v>
      </c>
      <c r="EK951">
        <v>0</v>
      </c>
      <c r="EL951">
        <v>0</v>
      </c>
      <c r="EM951">
        <v>0</v>
      </c>
      <c r="EN951">
        <v>27.4</v>
      </c>
      <c r="EO951">
        <v>0</v>
      </c>
      <c r="EP951">
        <v>1002.5</v>
      </c>
      <c r="EQ951">
        <v>0</v>
      </c>
      <c r="ER951">
        <v>494</v>
      </c>
      <c r="ES951">
        <v>0</v>
      </c>
      <c r="ET951">
        <v>699.3</v>
      </c>
      <c r="EU951">
        <v>435.4</v>
      </c>
      <c r="EV951">
        <v>0</v>
      </c>
      <c r="EW951">
        <v>0</v>
      </c>
      <c r="EX951">
        <v>0</v>
      </c>
      <c r="EY951">
        <v>0</v>
      </c>
      <c r="EZ951">
        <v>0</v>
      </c>
      <c r="FA951">
        <v>0</v>
      </c>
      <c r="FB951">
        <v>0</v>
      </c>
      <c r="FC951">
        <v>0</v>
      </c>
      <c r="FD951">
        <v>95.6</v>
      </c>
      <c r="FE951">
        <v>1792.1</v>
      </c>
      <c r="FF951">
        <v>1740.1999999999998</v>
      </c>
      <c r="FG951">
        <v>954.9</v>
      </c>
      <c r="FH951">
        <v>1087.8000000000002</v>
      </c>
      <c r="FI951">
        <v>1892.1</v>
      </c>
      <c r="FJ951">
        <v>1222.5</v>
      </c>
      <c r="FK951">
        <v>678.3</v>
      </c>
      <c r="FL951">
        <v>639.1</v>
      </c>
      <c r="FM951">
        <v>520.5</v>
      </c>
      <c r="FN951">
        <v>123.8</v>
      </c>
      <c r="FO951">
        <v>181.6</v>
      </c>
      <c r="FP951">
        <v>1090.5</v>
      </c>
      <c r="FQ951">
        <v>0</v>
      </c>
      <c r="FR951">
        <v>0</v>
      </c>
      <c r="FS951">
        <v>0</v>
      </c>
      <c r="FT951">
        <v>0</v>
      </c>
      <c r="FU951">
        <v>0</v>
      </c>
      <c r="FV951">
        <v>0</v>
      </c>
      <c r="FW951">
        <v>0</v>
      </c>
      <c r="FX951">
        <v>0</v>
      </c>
      <c r="FY951">
        <v>0</v>
      </c>
      <c r="FZ951">
        <v>0</v>
      </c>
      <c r="GA951">
        <v>0</v>
      </c>
      <c r="GB951">
        <v>0</v>
      </c>
      <c r="GC951">
        <v>0</v>
      </c>
      <c r="GD951">
        <v>0</v>
      </c>
      <c r="GE951">
        <v>0</v>
      </c>
      <c r="GF951">
        <v>198.3</v>
      </c>
      <c r="GG951">
        <v>1054.4000000000001</v>
      </c>
      <c r="GH951">
        <v>552.79999999999995</v>
      </c>
      <c r="GI951">
        <v>522</v>
      </c>
      <c r="GJ951">
        <v>0</v>
      </c>
      <c r="GK951">
        <v>0</v>
      </c>
      <c r="GL951">
        <v>0</v>
      </c>
      <c r="GM951">
        <v>0</v>
      </c>
      <c r="GN951">
        <v>791.40000000000009</v>
      </c>
      <c r="GO951">
        <v>1816.5</v>
      </c>
      <c r="GP951">
        <v>0</v>
      </c>
      <c r="GQ951">
        <v>0</v>
      </c>
      <c r="GR951">
        <v>0</v>
      </c>
      <c r="GS951">
        <v>0</v>
      </c>
      <c r="GT951">
        <v>0</v>
      </c>
      <c r="GU951">
        <v>0</v>
      </c>
      <c r="GV951">
        <v>0</v>
      </c>
      <c r="GW951">
        <v>0</v>
      </c>
      <c r="GX951">
        <v>0</v>
      </c>
      <c r="GY951">
        <v>840.3</v>
      </c>
      <c r="GZ951">
        <v>0</v>
      </c>
      <c r="HA951">
        <v>0</v>
      </c>
      <c r="HB951">
        <v>0</v>
      </c>
      <c r="HC951">
        <v>380.4</v>
      </c>
      <c r="HD951">
        <v>2175.5</v>
      </c>
      <c r="HE951">
        <v>0</v>
      </c>
      <c r="HF951">
        <v>0</v>
      </c>
      <c r="HG951">
        <v>0</v>
      </c>
      <c r="HH951">
        <v>0</v>
      </c>
      <c r="HI951">
        <v>0</v>
      </c>
      <c r="HJ951">
        <v>803.40000000000009</v>
      </c>
      <c r="HK951">
        <v>1270.9000000000001</v>
      </c>
      <c r="HL951">
        <v>835.7</v>
      </c>
      <c r="HM951">
        <v>1162.5999999999999</v>
      </c>
      <c r="HN951">
        <v>0</v>
      </c>
      <c r="HO951">
        <v>0</v>
      </c>
      <c r="HP951">
        <v>0</v>
      </c>
      <c r="HQ951">
        <v>0</v>
      </c>
      <c r="HR951">
        <v>161.19999999999999</v>
      </c>
      <c r="HS951">
        <v>0</v>
      </c>
      <c r="HT951">
        <v>2048.5</v>
      </c>
      <c r="HU951">
        <v>2627.5</v>
      </c>
      <c r="HV951">
        <v>1168.5999999999999</v>
      </c>
      <c r="HW951">
        <v>388</v>
      </c>
      <c r="HX951">
        <v>0</v>
      </c>
      <c r="HY951">
        <v>0</v>
      </c>
      <c r="HZ951">
        <v>0</v>
      </c>
      <c r="IA951">
        <v>0</v>
      </c>
      <c r="IB951">
        <v>0</v>
      </c>
      <c r="IC951">
        <v>594.4</v>
      </c>
      <c r="ID951">
        <v>427.4</v>
      </c>
      <c r="IE951">
        <v>713.3</v>
      </c>
      <c r="IF951">
        <v>626.1</v>
      </c>
      <c r="IG951">
        <v>0</v>
      </c>
      <c r="IH951">
        <v>0</v>
      </c>
      <c r="II951">
        <v>995.7</v>
      </c>
      <c r="IJ951">
        <v>1156.5999999999999</v>
      </c>
      <c r="IK951">
        <v>864.6</v>
      </c>
      <c r="IL951">
        <v>316.5</v>
      </c>
      <c r="IM951">
        <v>101.5</v>
      </c>
      <c r="IN951">
        <v>71.8</v>
      </c>
      <c r="IO951">
        <v>0</v>
      </c>
      <c r="IP951">
        <v>0</v>
      </c>
      <c r="IQ951">
        <v>0</v>
      </c>
      <c r="IR951">
        <v>0</v>
      </c>
      <c r="IS951">
        <v>0</v>
      </c>
      <c r="IT951">
        <v>0</v>
      </c>
      <c r="IU951">
        <v>0</v>
      </c>
      <c r="IV951">
        <v>0</v>
      </c>
      <c r="IW951">
        <v>68</v>
      </c>
      <c r="IX951">
        <v>404.7</v>
      </c>
      <c r="IY951">
        <v>126.6</v>
      </c>
      <c r="IZ951">
        <v>126.6</v>
      </c>
      <c r="JA951">
        <v>503.7</v>
      </c>
      <c r="JB951">
        <v>570.1</v>
      </c>
      <c r="JC951">
        <v>328.3</v>
      </c>
      <c r="JD951">
        <v>0</v>
      </c>
      <c r="JE951">
        <v>0</v>
      </c>
      <c r="JF951">
        <v>0</v>
      </c>
      <c r="JG951">
        <v>0</v>
      </c>
      <c r="JH951">
        <v>287.3</v>
      </c>
      <c r="JI951">
        <v>68.2</v>
      </c>
      <c r="JJ951">
        <v>0</v>
      </c>
      <c r="JK951">
        <v>148.6</v>
      </c>
      <c r="JL951">
        <v>0</v>
      </c>
      <c r="JM951">
        <v>0</v>
      </c>
      <c r="JN951">
        <v>204.5</v>
      </c>
      <c r="JO951">
        <v>292.10000000000002</v>
      </c>
      <c r="JP951">
        <v>670.8</v>
      </c>
      <c r="JQ951">
        <v>745.2</v>
      </c>
      <c r="JR951">
        <v>242.9</v>
      </c>
    </row>
    <row r="952" spans="2:278" ht="18" thickBot="1">
      <c r="B952" s="368" t="s">
        <v>1313</v>
      </c>
      <c r="C952" s="369" t="s">
        <v>1620</v>
      </c>
      <c r="D952" s="377" t="s">
        <v>1387</v>
      </c>
      <c r="E952" s="454">
        <v>22829.8</v>
      </c>
      <c r="F952">
        <v>20193.400000000001</v>
      </c>
      <c r="G952" s="427">
        <v>0</v>
      </c>
      <c r="H952" s="155">
        <v>0</v>
      </c>
      <c r="I952">
        <v>0</v>
      </c>
      <c r="J952">
        <v>0</v>
      </c>
      <c r="K952">
        <v>0</v>
      </c>
      <c r="L952" s="4">
        <v>0</v>
      </c>
      <c r="M952" s="4">
        <v>0</v>
      </c>
      <c r="N952" s="4">
        <v>0</v>
      </c>
      <c r="O952" s="4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1476.4</v>
      </c>
      <c r="X952">
        <v>1482</v>
      </c>
      <c r="Y952">
        <v>457.20000000000005</v>
      </c>
      <c r="Z952">
        <v>0</v>
      </c>
      <c r="AA952">
        <v>0</v>
      </c>
      <c r="AB952">
        <v>0</v>
      </c>
      <c r="AC952">
        <v>0</v>
      </c>
      <c r="AD952">
        <v>3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1828.6</v>
      </c>
      <c r="AK952">
        <v>1800.7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560.70000000000005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  <c r="CF952">
        <v>0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  <c r="CN952">
        <v>0</v>
      </c>
      <c r="CO952">
        <v>0</v>
      </c>
      <c r="CP952">
        <v>3.5</v>
      </c>
      <c r="CQ952">
        <v>0</v>
      </c>
      <c r="CR952">
        <v>528</v>
      </c>
      <c r="CS952">
        <v>581.79999999999995</v>
      </c>
      <c r="CT952">
        <v>555.40000000000009</v>
      </c>
      <c r="CU952">
        <v>737.4</v>
      </c>
      <c r="CV952">
        <v>1039.0999999999999</v>
      </c>
      <c r="CW952">
        <v>1667.3</v>
      </c>
      <c r="CX952">
        <v>877.6</v>
      </c>
      <c r="CY952">
        <v>910.40000000000009</v>
      </c>
      <c r="CZ952">
        <v>0</v>
      </c>
      <c r="DA952">
        <v>0</v>
      </c>
      <c r="DB952">
        <v>0</v>
      </c>
      <c r="DC952">
        <v>0</v>
      </c>
      <c r="DD952">
        <v>0</v>
      </c>
      <c r="DE952">
        <v>0</v>
      </c>
      <c r="DF952">
        <v>0</v>
      </c>
      <c r="DG952">
        <v>0</v>
      </c>
      <c r="DH952">
        <v>0</v>
      </c>
      <c r="DI952">
        <v>0</v>
      </c>
      <c r="DJ952">
        <v>0</v>
      </c>
      <c r="DK952">
        <v>0</v>
      </c>
      <c r="DL952">
        <v>995.5</v>
      </c>
      <c r="DM952">
        <v>712.7</v>
      </c>
      <c r="DN952">
        <v>0</v>
      </c>
      <c r="DO952">
        <v>0</v>
      </c>
      <c r="DP952">
        <v>0</v>
      </c>
      <c r="DQ952">
        <v>0</v>
      </c>
      <c r="DR952">
        <v>0</v>
      </c>
      <c r="DS952">
        <v>0</v>
      </c>
      <c r="DT952">
        <v>0</v>
      </c>
      <c r="DU952">
        <v>0</v>
      </c>
      <c r="DV952">
        <v>0</v>
      </c>
      <c r="DW952">
        <v>0</v>
      </c>
      <c r="DX952">
        <v>0</v>
      </c>
      <c r="DY952">
        <v>0</v>
      </c>
      <c r="DZ952">
        <v>0</v>
      </c>
      <c r="EA952">
        <v>0</v>
      </c>
      <c r="EB952">
        <v>0</v>
      </c>
      <c r="EC952">
        <v>0</v>
      </c>
      <c r="ED952">
        <v>0</v>
      </c>
      <c r="EE952">
        <v>0</v>
      </c>
      <c r="EF952">
        <v>0</v>
      </c>
      <c r="EG952">
        <v>0</v>
      </c>
      <c r="EH952">
        <v>0</v>
      </c>
      <c r="EI952">
        <v>0</v>
      </c>
      <c r="EJ952">
        <v>0</v>
      </c>
      <c r="EK952">
        <v>0</v>
      </c>
      <c r="EL952">
        <v>0</v>
      </c>
      <c r="EM952">
        <v>0</v>
      </c>
      <c r="EN952">
        <v>27.4</v>
      </c>
      <c r="EO952">
        <v>0</v>
      </c>
      <c r="EP952">
        <v>1002.5</v>
      </c>
      <c r="EQ952">
        <v>0</v>
      </c>
      <c r="ER952">
        <v>494</v>
      </c>
      <c r="ES952">
        <v>0</v>
      </c>
      <c r="ET952">
        <v>699.3</v>
      </c>
      <c r="EU952">
        <v>435.4</v>
      </c>
      <c r="EV952">
        <v>0</v>
      </c>
      <c r="EW952">
        <v>0</v>
      </c>
      <c r="EX952">
        <v>0</v>
      </c>
      <c r="EY952">
        <v>0</v>
      </c>
      <c r="EZ952">
        <v>0</v>
      </c>
      <c r="FA952">
        <v>0</v>
      </c>
      <c r="FB952">
        <v>0</v>
      </c>
      <c r="FC952">
        <v>0</v>
      </c>
      <c r="FD952">
        <v>95.6</v>
      </c>
      <c r="FE952">
        <v>1792.1</v>
      </c>
      <c r="FF952">
        <v>1740.1999999999998</v>
      </c>
      <c r="FG952">
        <v>954.9</v>
      </c>
      <c r="FH952">
        <v>1087.8000000000002</v>
      </c>
      <c r="FI952">
        <v>1892.1</v>
      </c>
      <c r="FJ952">
        <v>1222.5</v>
      </c>
      <c r="FK952">
        <v>678.3</v>
      </c>
      <c r="FL952">
        <v>639.1</v>
      </c>
      <c r="FM952">
        <v>520.5</v>
      </c>
      <c r="FN952">
        <v>123.8</v>
      </c>
      <c r="FO952">
        <v>181.6</v>
      </c>
      <c r="FP952">
        <v>1090.5</v>
      </c>
      <c r="FQ952">
        <v>0</v>
      </c>
      <c r="FR952">
        <v>0</v>
      </c>
      <c r="FS952">
        <v>0</v>
      </c>
      <c r="FT952">
        <v>0</v>
      </c>
      <c r="FU952">
        <v>0</v>
      </c>
      <c r="FV952">
        <v>0</v>
      </c>
      <c r="FW952">
        <v>0</v>
      </c>
      <c r="FX952">
        <v>0</v>
      </c>
      <c r="FY952">
        <v>0</v>
      </c>
      <c r="FZ952">
        <v>0</v>
      </c>
      <c r="GA952">
        <v>0</v>
      </c>
      <c r="GB952">
        <v>0</v>
      </c>
      <c r="GC952">
        <v>0</v>
      </c>
      <c r="GD952">
        <v>0</v>
      </c>
      <c r="GE952">
        <v>0</v>
      </c>
      <c r="GF952">
        <v>198.3</v>
      </c>
      <c r="GG952">
        <v>1054.4000000000001</v>
      </c>
      <c r="GH952">
        <v>552.79999999999995</v>
      </c>
      <c r="GI952">
        <v>522</v>
      </c>
      <c r="GJ952">
        <v>0</v>
      </c>
      <c r="GK952">
        <v>0</v>
      </c>
      <c r="GL952">
        <v>0</v>
      </c>
      <c r="GM952">
        <v>0</v>
      </c>
      <c r="GN952">
        <v>791.40000000000009</v>
      </c>
      <c r="GO952">
        <v>1816.5</v>
      </c>
      <c r="GP952">
        <v>0</v>
      </c>
      <c r="GQ952">
        <v>0</v>
      </c>
      <c r="GR952">
        <v>0</v>
      </c>
      <c r="GS952">
        <v>0</v>
      </c>
      <c r="GT952">
        <v>0</v>
      </c>
      <c r="GU952">
        <v>0</v>
      </c>
      <c r="GV952">
        <v>0</v>
      </c>
      <c r="GW952">
        <v>0</v>
      </c>
      <c r="GX952">
        <v>0</v>
      </c>
      <c r="GY952">
        <v>840.3</v>
      </c>
      <c r="GZ952">
        <v>0</v>
      </c>
      <c r="HA952">
        <v>0</v>
      </c>
      <c r="HB952">
        <v>0</v>
      </c>
      <c r="HC952">
        <v>380.4</v>
      </c>
      <c r="HD952">
        <v>2175.5</v>
      </c>
      <c r="HE952">
        <v>0</v>
      </c>
      <c r="HF952">
        <v>0</v>
      </c>
      <c r="HG952">
        <v>0</v>
      </c>
      <c r="HH952">
        <v>0</v>
      </c>
      <c r="HI952">
        <v>0</v>
      </c>
      <c r="HJ952">
        <v>803.40000000000009</v>
      </c>
      <c r="HK952">
        <v>1270.9000000000001</v>
      </c>
      <c r="HL952">
        <v>835.7</v>
      </c>
      <c r="HM952">
        <v>1162.5999999999999</v>
      </c>
      <c r="HN952">
        <v>0</v>
      </c>
      <c r="HO952">
        <v>0</v>
      </c>
      <c r="HP952">
        <v>0</v>
      </c>
      <c r="HQ952">
        <v>0</v>
      </c>
      <c r="HR952">
        <v>161.19999999999999</v>
      </c>
      <c r="HS952">
        <v>0</v>
      </c>
      <c r="HT952">
        <v>2048.5</v>
      </c>
      <c r="HU952">
        <v>2627.5</v>
      </c>
      <c r="HV952">
        <v>1168.5999999999999</v>
      </c>
      <c r="HW952">
        <v>388</v>
      </c>
      <c r="HX952">
        <v>0</v>
      </c>
      <c r="HY952">
        <v>0</v>
      </c>
      <c r="HZ952">
        <v>0</v>
      </c>
      <c r="IA952">
        <v>0</v>
      </c>
      <c r="IB952">
        <v>0</v>
      </c>
      <c r="IC952">
        <v>594.4</v>
      </c>
      <c r="ID952">
        <v>427.4</v>
      </c>
      <c r="IE952">
        <v>713.3</v>
      </c>
      <c r="IF952">
        <v>626.1</v>
      </c>
      <c r="IG952">
        <v>0</v>
      </c>
      <c r="IH952">
        <v>0</v>
      </c>
      <c r="II952">
        <v>995.7</v>
      </c>
      <c r="IJ952">
        <v>1156.5999999999999</v>
      </c>
      <c r="IK952">
        <v>864.6</v>
      </c>
      <c r="IL952">
        <v>316.5</v>
      </c>
      <c r="IM952">
        <v>101.5</v>
      </c>
      <c r="IN952">
        <v>71.8</v>
      </c>
      <c r="IO952">
        <v>0</v>
      </c>
      <c r="IP952">
        <v>0</v>
      </c>
      <c r="IQ952">
        <v>0</v>
      </c>
      <c r="IR952">
        <v>0</v>
      </c>
      <c r="IS952">
        <v>0</v>
      </c>
      <c r="IT952">
        <v>0</v>
      </c>
      <c r="IU952">
        <v>0</v>
      </c>
      <c r="IV952">
        <v>0</v>
      </c>
      <c r="IW952">
        <v>68</v>
      </c>
      <c r="IX952">
        <v>404.7</v>
      </c>
      <c r="IY952">
        <v>126.6</v>
      </c>
      <c r="IZ952">
        <v>126.6</v>
      </c>
      <c r="JA952">
        <v>503.7</v>
      </c>
      <c r="JB952">
        <v>570.1</v>
      </c>
      <c r="JC952">
        <v>328.3</v>
      </c>
      <c r="JD952">
        <v>0</v>
      </c>
      <c r="JE952">
        <v>0</v>
      </c>
      <c r="JF952">
        <v>0</v>
      </c>
      <c r="JG952">
        <v>0</v>
      </c>
      <c r="JH952">
        <v>287.3</v>
      </c>
      <c r="JI952">
        <v>68.2</v>
      </c>
      <c r="JJ952">
        <v>0</v>
      </c>
      <c r="JK952">
        <v>148.6</v>
      </c>
      <c r="JL952">
        <v>0</v>
      </c>
      <c r="JM952">
        <v>0</v>
      </c>
      <c r="JN952">
        <v>204.5</v>
      </c>
      <c r="JO952">
        <v>292.10000000000002</v>
      </c>
      <c r="JP952">
        <v>670.8</v>
      </c>
      <c r="JQ952">
        <v>745.2</v>
      </c>
      <c r="JR952">
        <v>242.9</v>
      </c>
    </row>
    <row r="953" spans="2:278" ht="18" thickBot="1">
      <c r="B953" s="368" t="s">
        <v>1314</v>
      </c>
      <c r="C953" s="369" t="s">
        <v>1621</v>
      </c>
      <c r="D953" s="377" t="s">
        <v>1387</v>
      </c>
      <c r="E953" s="454">
        <v>22829.8</v>
      </c>
      <c r="F953">
        <v>20193.400000000001</v>
      </c>
      <c r="G953" s="427">
        <v>0</v>
      </c>
      <c r="H953" s="155">
        <v>0</v>
      </c>
      <c r="I953">
        <v>0</v>
      </c>
      <c r="J953">
        <v>0</v>
      </c>
      <c r="K953">
        <v>0</v>
      </c>
      <c r="L953" s="4">
        <v>0</v>
      </c>
      <c r="M953" s="4">
        <v>0</v>
      </c>
      <c r="N953" s="4">
        <v>0</v>
      </c>
      <c r="O953" s="4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1476.4</v>
      </c>
      <c r="X953">
        <v>1482</v>
      </c>
      <c r="Y953">
        <v>457.20000000000005</v>
      </c>
      <c r="Z953">
        <v>0</v>
      </c>
      <c r="AA953">
        <v>0</v>
      </c>
      <c r="AB953">
        <v>0</v>
      </c>
      <c r="AC953">
        <v>0</v>
      </c>
      <c r="AD953">
        <v>3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1828.6</v>
      </c>
      <c r="AK953">
        <v>1800.7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560.70000000000005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  <c r="CF953">
        <v>0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  <c r="CN953">
        <v>0</v>
      </c>
      <c r="CO953">
        <v>0</v>
      </c>
      <c r="CP953">
        <v>3.5</v>
      </c>
      <c r="CQ953">
        <v>0</v>
      </c>
      <c r="CR953">
        <v>528</v>
      </c>
      <c r="CS953">
        <v>581.79999999999995</v>
      </c>
      <c r="CT953">
        <v>555.40000000000009</v>
      </c>
      <c r="CU953">
        <v>737.4</v>
      </c>
      <c r="CV953">
        <v>1039.0999999999999</v>
      </c>
      <c r="CW953">
        <v>1667.3</v>
      </c>
      <c r="CX953">
        <v>877.6</v>
      </c>
      <c r="CY953">
        <v>910.40000000000009</v>
      </c>
      <c r="CZ953">
        <v>0</v>
      </c>
      <c r="DA953">
        <v>0</v>
      </c>
      <c r="DB953">
        <v>0</v>
      </c>
      <c r="DC953">
        <v>0</v>
      </c>
      <c r="DD953">
        <v>0</v>
      </c>
      <c r="DE953">
        <v>0</v>
      </c>
      <c r="DF953">
        <v>0</v>
      </c>
      <c r="DG953">
        <v>0</v>
      </c>
      <c r="DH953">
        <v>0</v>
      </c>
      <c r="DI953">
        <v>0</v>
      </c>
      <c r="DJ953">
        <v>0</v>
      </c>
      <c r="DK953">
        <v>0</v>
      </c>
      <c r="DL953">
        <v>995.5</v>
      </c>
      <c r="DM953">
        <v>712.7</v>
      </c>
      <c r="DN953">
        <v>0</v>
      </c>
      <c r="DO953">
        <v>0</v>
      </c>
      <c r="DP953">
        <v>0</v>
      </c>
      <c r="DQ953">
        <v>0</v>
      </c>
      <c r="DR953">
        <v>0</v>
      </c>
      <c r="DS953">
        <v>0</v>
      </c>
      <c r="DT953">
        <v>0</v>
      </c>
      <c r="DU953">
        <v>0</v>
      </c>
      <c r="DV953">
        <v>0</v>
      </c>
      <c r="DW953">
        <v>0</v>
      </c>
      <c r="DX953">
        <v>0</v>
      </c>
      <c r="DY953">
        <v>0</v>
      </c>
      <c r="DZ953">
        <v>0</v>
      </c>
      <c r="EA953">
        <v>0</v>
      </c>
      <c r="EB953">
        <v>0</v>
      </c>
      <c r="EC953">
        <v>0</v>
      </c>
      <c r="ED953">
        <v>0</v>
      </c>
      <c r="EE953">
        <v>0</v>
      </c>
      <c r="EF953">
        <v>0</v>
      </c>
      <c r="EG953">
        <v>0</v>
      </c>
      <c r="EH953">
        <v>0</v>
      </c>
      <c r="EI953">
        <v>0</v>
      </c>
      <c r="EJ953">
        <v>0</v>
      </c>
      <c r="EK953">
        <v>0</v>
      </c>
      <c r="EL953">
        <v>0</v>
      </c>
      <c r="EM953">
        <v>0</v>
      </c>
      <c r="EN953">
        <v>27.4</v>
      </c>
      <c r="EO953">
        <v>0</v>
      </c>
      <c r="EP953">
        <v>1002.5</v>
      </c>
      <c r="EQ953">
        <v>0</v>
      </c>
      <c r="ER953">
        <v>494</v>
      </c>
      <c r="ES953">
        <v>0</v>
      </c>
      <c r="ET953">
        <v>699.3</v>
      </c>
      <c r="EU953">
        <v>435.4</v>
      </c>
      <c r="EV953">
        <v>0</v>
      </c>
      <c r="EW953">
        <v>0</v>
      </c>
      <c r="EX953">
        <v>0</v>
      </c>
      <c r="EY953">
        <v>0</v>
      </c>
      <c r="EZ953">
        <v>0</v>
      </c>
      <c r="FA953">
        <v>0</v>
      </c>
      <c r="FB953">
        <v>0</v>
      </c>
      <c r="FC953">
        <v>0</v>
      </c>
      <c r="FD953">
        <v>95.6</v>
      </c>
      <c r="FE953">
        <v>1792.1</v>
      </c>
      <c r="FF953">
        <v>1740.1999999999998</v>
      </c>
      <c r="FG953">
        <v>954.9</v>
      </c>
      <c r="FH953">
        <v>1087.8000000000002</v>
      </c>
      <c r="FI953">
        <v>1892.1</v>
      </c>
      <c r="FJ953">
        <v>1222.5</v>
      </c>
      <c r="FK953">
        <v>678.3</v>
      </c>
      <c r="FL953">
        <v>639.1</v>
      </c>
      <c r="FM953">
        <v>520.5</v>
      </c>
      <c r="FN953">
        <v>123.8</v>
      </c>
      <c r="FO953">
        <v>181.6</v>
      </c>
      <c r="FP953">
        <v>1090.5</v>
      </c>
      <c r="FQ953">
        <v>0</v>
      </c>
      <c r="FR953">
        <v>0</v>
      </c>
      <c r="FS953">
        <v>0</v>
      </c>
      <c r="FT953">
        <v>0</v>
      </c>
      <c r="FU953">
        <v>0</v>
      </c>
      <c r="FV953">
        <v>0</v>
      </c>
      <c r="FW953">
        <v>0</v>
      </c>
      <c r="FX953">
        <v>0</v>
      </c>
      <c r="FY953">
        <v>0</v>
      </c>
      <c r="FZ953">
        <v>0</v>
      </c>
      <c r="GA953">
        <v>0</v>
      </c>
      <c r="GB953">
        <v>0</v>
      </c>
      <c r="GC953">
        <v>0</v>
      </c>
      <c r="GD953">
        <v>0</v>
      </c>
      <c r="GE953">
        <v>0</v>
      </c>
      <c r="GF953">
        <v>198.3</v>
      </c>
      <c r="GG953">
        <v>1054.4000000000001</v>
      </c>
      <c r="GH953">
        <v>552.79999999999995</v>
      </c>
      <c r="GI953">
        <v>522</v>
      </c>
      <c r="GJ953">
        <v>0</v>
      </c>
      <c r="GK953">
        <v>0</v>
      </c>
      <c r="GL953">
        <v>0</v>
      </c>
      <c r="GM953">
        <v>0</v>
      </c>
      <c r="GN953">
        <v>791.40000000000009</v>
      </c>
      <c r="GO953">
        <v>1816.5</v>
      </c>
      <c r="GP953">
        <v>0</v>
      </c>
      <c r="GQ953">
        <v>0</v>
      </c>
      <c r="GR953">
        <v>0</v>
      </c>
      <c r="GS953">
        <v>0</v>
      </c>
      <c r="GT953">
        <v>0</v>
      </c>
      <c r="GU953">
        <v>0</v>
      </c>
      <c r="GV953">
        <v>0</v>
      </c>
      <c r="GW953">
        <v>0</v>
      </c>
      <c r="GX953">
        <v>0</v>
      </c>
      <c r="GY953">
        <v>840.3</v>
      </c>
      <c r="GZ953">
        <v>0</v>
      </c>
      <c r="HA953">
        <v>0</v>
      </c>
      <c r="HB953">
        <v>0</v>
      </c>
      <c r="HC953">
        <v>380.4</v>
      </c>
      <c r="HD953">
        <v>2175.5</v>
      </c>
      <c r="HE953">
        <v>0</v>
      </c>
      <c r="HF953">
        <v>0</v>
      </c>
      <c r="HG953">
        <v>0</v>
      </c>
      <c r="HH953">
        <v>0</v>
      </c>
      <c r="HI953">
        <v>0</v>
      </c>
      <c r="HJ953">
        <v>803.40000000000009</v>
      </c>
      <c r="HK953">
        <v>1270.9000000000001</v>
      </c>
      <c r="HL953">
        <v>835.7</v>
      </c>
      <c r="HM953">
        <v>1162.5999999999999</v>
      </c>
      <c r="HN953">
        <v>0</v>
      </c>
      <c r="HO953">
        <v>0</v>
      </c>
      <c r="HP953">
        <v>0</v>
      </c>
      <c r="HQ953">
        <v>0</v>
      </c>
      <c r="HR953">
        <v>161.19999999999999</v>
      </c>
      <c r="HS953">
        <v>0</v>
      </c>
      <c r="HT953">
        <v>2048.5</v>
      </c>
      <c r="HU953">
        <v>2627.5</v>
      </c>
      <c r="HV953">
        <v>1168.5999999999999</v>
      </c>
      <c r="HW953">
        <v>388</v>
      </c>
      <c r="HX953">
        <v>0</v>
      </c>
      <c r="HY953">
        <v>0</v>
      </c>
      <c r="HZ953">
        <v>0</v>
      </c>
      <c r="IA953">
        <v>0</v>
      </c>
      <c r="IB953">
        <v>0</v>
      </c>
      <c r="IC953">
        <v>594.4</v>
      </c>
      <c r="ID953">
        <v>427.4</v>
      </c>
      <c r="IE953">
        <v>713.3</v>
      </c>
      <c r="IF953">
        <v>626.1</v>
      </c>
      <c r="IG953">
        <v>0</v>
      </c>
      <c r="IH953">
        <v>0</v>
      </c>
      <c r="II953">
        <v>995.7</v>
      </c>
      <c r="IJ953">
        <v>1156.5999999999999</v>
      </c>
      <c r="IK953">
        <v>864.6</v>
      </c>
      <c r="IL953">
        <v>316.5</v>
      </c>
      <c r="IM953">
        <v>101.5</v>
      </c>
      <c r="IN953">
        <v>71.8</v>
      </c>
      <c r="IO953">
        <v>0</v>
      </c>
      <c r="IP953">
        <v>0</v>
      </c>
      <c r="IQ953">
        <v>0</v>
      </c>
      <c r="IR953">
        <v>0</v>
      </c>
      <c r="IS953">
        <v>0</v>
      </c>
      <c r="IT953">
        <v>0</v>
      </c>
      <c r="IU953">
        <v>0</v>
      </c>
      <c r="IV953">
        <v>0</v>
      </c>
      <c r="IW953">
        <v>68</v>
      </c>
      <c r="IX953">
        <v>404.7</v>
      </c>
      <c r="IY953">
        <v>126.6</v>
      </c>
      <c r="IZ953">
        <v>126.6</v>
      </c>
      <c r="JA953">
        <v>503.7</v>
      </c>
      <c r="JB953">
        <v>570.1</v>
      </c>
      <c r="JC953">
        <v>328.3</v>
      </c>
      <c r="JD953">
        <v>0</v>
      </c>
      <c r="JE953">
        <v>0</v>
      </c>
      <c r="JF953">
        <v>0</v>
      </c>
      <c r="JG953">
        <v>0</v>
      </c>
      <c r="JH953">
        <v>287.3</v>
      </c>
      <c r="JI953">
        <v>68.2</v>
      </c>
      <c r="JJ953">
        <v>0</v>
      </c>
      <c r="JK953">
        <v>148.6</v>
      </c>
      <c r="JL953">
        <v>0</v>
      </c>
      <c r="JM953">
        <v>0</v>
      </c>
      <c r="JN953">
        <v>204.5</v>
      </c>
      <c r="JO953">
        <v>292.10000000000002</v>
      </c>
      <c r="JP953">
        <v>670.8</v>
      </c>
      <c r="JQ953">
        <v>745.2</v>
      </c>
      <c r="JR953">
        <v>242.9</v>
      </c>
    </row>
    <row r="954" spans="2:278" ht="18" thickBot="1">
      <c r="B954" s="368" t="s">
        <v>1315</v>
      </c>
      <c r="C954" s="369" t="s">
        <v>1622</v>
      </c>
      <c r="D954" s="377" t="s">
        <v>1387</v>
      </c>
      <c r="E954" s="454">
        <v>22829.8</v>
      </c>
      <c r="F954">
        <v>20193.400000000001</v>
      </c>
      <c r="G954" s="427">
        <v>0</v>
      </c>
      <c r="H954" s="155">
        <v>0</v>
      </c>
      <c r="I954">
        <v>0</v>
      </c>
      <c r="J954">
        <v>0</v>
      </c>
      <c r="K954">
        <v>0</v>
      </c>
      <c r="L954" s="4">
        <v>0</v>
      </c>
      <c r="M954" s="4">
        <v>0</v>
      </c>
      <c r="N954" s="4">
        <v>0</v>
      </c>
      <c r="O954" s="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1476.4</v>
      </c>
      <c r="X954">
        <v>1482</v>
      </c>
      <c r="Y954">
        <v>457.20000000000005</v>
      </c>
      <c r="Z954">
        <v>0</v>
      </c>
      <c r="AA954">
        <v>0</v>
      </c>
      <c r="AB954">
        <v>0</v>
      </c>
      <c r="AC954">
        <v>0</v>
      </c>
      <c r="AD954">
        <v>3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1828.6</v>
      </c>
      <c r="AK954">
        <v>1800.7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560.70000000000005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  <c r="CF954">
        <v>0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  <c r="CN954">
        <v>0</v>
      </c>
      <c r="CO954">
        <v>0</v>
      </c>
      <c r="CP954">
        <v>3.5</v>
      </c>
      <c r="CQ954">
        <v>0</v>
      </c>
      <c r="CR954">
        <v>528</v>
      </c>
      <c r="CS954">
        <v>581.79999999999995</v>
      </c>
      <c r="CT954">
        <v>555.40000000000009</v>
      </c>
      <c r="CU954">
        <v>737.4</v>
      </c>
      <c r="CV954">
        <v>1039.0999999999999</v>
      </c>
      <c r="CW954">
        <v>1667.3</v>
      </c>
      <c r="CX954">
        <v>877.6</v>
      </c>
      <c r="CY954">
        <v>910.40000000000009</v>
      </c>
      <c r="CZ954">
        <v>0</v>
      </c>
      <c r="DA954">
        <v>0</v>
      </c>
      <c r="DB954">
        <v>0</v>
      </c>
      <c r="DC954">
        <v>0</v>
      </c>
      <c r="DD954">
        <v>0</v>
      </c>
      <c r="DE954">
        <v>0</v>
      </c>
      <c r="DF954">
        <v>0</v>
      </c>
      <c r="DG954">
        <v>0</v>
      </c>
      <c r="DH954">
        <v>0</v>
      </c>
      <c r="DI954">
        <v>0</v>
      </c>
      <c r="DJ954">
        <v>0</v>
      </c>
      <c r="DK954">
        <v>0</v>
      </c>
      <c r="DL954">
        <v>995.5</v>
      </c>
      <c r="DM954">
        <v>712.7</v>
      </c>
      <c r="DN954">
        <v>0</v>
      </c>
      <c r="DO954">
        <v>0</v>
      </c>
      <c r="DP954">
        <v>0</v>
      </c>
      <c r="DQ954">
        <v>0</v>
      </c>
      <c r="DR954">
        <v>0</v>
      </c>
      <c r="DS954">
        <v>0</v>
      </c>
      <c r="DT954">
        <v>0</v>
      </c>
      <c r="DU954">
        <v>0</v>
      </c>
      <c r="DV954">
        <v>0</v>
      </c>
      <c r="DW954">
        <v>0</v>
      </c>
      <c r="DX954">
        <v>0</v>
      </c>
      <c r="DY954">
        <v>0</v>
      </c>
      <c r="DZ954">
        <v>0</v>
      </c>
      <c r="EA954">
        <v>0</v>
      </c>
      <c r="EB954">
        <v>0</v>
      </c>
      <c r="EC954">
        <v>0</v>
      </c>
      <c r="ED954">
        <v>0</v>
      </c>
      <c r="EE954">
        <v>0</v>
      </c>
      <c r="EF954">
        <v>0</v>
      </c>
      <c r="EG954">
        <v>0</v>
      </c>
      <c r="EH954">
        <v>0</v>
      </c>
      <c r="EI954">
        <v>0</v>
      </c>
      <c r="EJ954">
        <v>0</v>
      </c>
      <c r="EK954">
        <v>0</v>
      </c>
      <c r="EL954">
        <v>0</v>
      </c>
      <c r="EM954">
        <v>0</v>
      </c>
      <c r="EN954">
        <v>27.4</v>
      </c>
      <c r="EO954">
        <v>0</v>
      </c>
      <c r="EP954">
        <v>1002.5</v>
      </c>
      <c r="EQ954">
        <v>0</v>
      </c>
      <c r="ER954">
        <v>494</v>
      </c>
      <c r="ES954">
        <v>0</v>
      </c>
      <c r="ET954">
        <v>699.3</v>
      </c>
      <c r="EU954">
        <v>435.4</v>
      </c>
      <c r="EV954">
        <v>0</v>
      </c>
      <c r="EW954">
        <v>0</v>
      </c>
      <c r="EX954">
        <v>0</v>
      </c>
      <c r="EY954">
        <v>0</v>
      </c>
      <c r="EZ954">
        <v>0</v>
      </c>
      <c r="FA954">
        <v>0</v>
      </c>
      <c r="FB954">
        <v>0</v>
      </c>
      <c r="FC954">
        <v>0</v>
      </c>
      <c r="FD954">
        <v>95.6</v>
      </c>
      <c r="FE954">
        <v>1792.1</v>
      </c>
      <c r="FF954">
        <v>1740.1999999999998</v>
      </c>
      <c r="FG954">
        <v>954.9</v>
      </c>
      <c r="FH954">
        <v>1087.8000000000002</v>
      </c>
      <c r="FI954">
        <v>1892.1</v>
      </c>
      <c r="FJ954">
        <v>1222.5</v>
      </c>
      <c r="FK954">
        <v>678.3</v>
      </c>
      <c r="FL954">
        <v>639.1</v>
      </c>
      <c r="FM954">
        <v>520.5</v>
      </c>
      <c r="FN954">
        <v>123.8</v>
      </c>
      <c r="FO954">
        <v>181.6</v>
      </c>
      <c r="FP954">
        <v>1090.5</v>
      </c>
      <c r="FQ954">
        <v>0</v>
      </c>
      <c r="FR954">
        <v>0</v>
      </c>
      <c r="FS954">
        <v>0</v>
      </c>
      <c r="FT954">
        <v>0</v>
      </c>
      <c r="FU954">
        <v>0</v>
      </c>
      <c r="FV954">
        <v>0</v>
      </c>
      <c r="FW954">
        <v>0</v>
      </c>
      <c r="FX954">
        <v>0</v>
      </c>
      <c r="FY954">
        <v>0</v>
      </c>
      <c r="FZ954">
        <v>0</v>
      </c>
      <c r="GA954">
        <v>0</v>
      </c>
      <c r="GB954">
        <v>0</v>
      </c>
      <c r="GC954">
        <v>0</v>
      </c>
      <c r="GD954">
        <v>0</v>
      </c>
      <c r="GE954">
        <v>0</v>
      </c>
      <c r="GF954">
        <v>198.3</v>
      </c>
      <c r="GG954">
        <v>1054.4000000000001</v>
      </c>
      <c r="GH954">
        <v>552.79999999999995</v>
      </c>
      <c r="GI954">
        <v>522</v>
      </c>
      <c r="GJ954">
        <v>0</v>
      </c>
      <c r="GK954">
        <v>0</v>
      </c>
      <c r="GL954">
        <v>0</v>
      </c>
      <c r="GM954">
        <v>0</v>
      </c>
      <c r="GN954">
        <v>791.40000000000009</v>
      </c>
      <c r="GO954">
        <v>1816.5</v>
      </c>
      <c r="GP954">
        <v>0</v>
      </c>
      <c r="GQ954">
        <v>0</v>
      </c>
      <c r="GR954">
        <v>0</v>
      </c>
      <c r="GS954">
        <v>0</v>
      </c>
      <c r="GT954">
        <v>0</v>
      </c>
      <c r="GU954">
        <v>0</v>
      </c>
      <c r="GV954">
        <v>0</v>
      </c>
      <c r="GW954">
        <v>0</v>
      </c>
      <c r="GX954">
        <v>0</v>
      </c>
      <c r="GY954">
        <v>840.3</v>
      </c>
      <c r="GZ954">
        <v>0</v>
      </c>
      <c r="HA954">
        <v>0</v>
      </c>
      <c r="HB954">
        <v>0</v>
      </c>
      <c r="HC954">
        <v>380.4</v>
      </c>
      <c r="HD954">
        <v>2175.5</v>
      </c>
      <c r="HE954">
        <v>0</v>
      </c>
      <c r="HF954">
        <v>0</v>
      </c>
      <c r="HG954">
        <v>0</v>
      </c>
      <c r="HH954">
        <v>0</v>
      </c>
      <c r="HI954">
        <v>0</v>
      </c>
      <c r="HJ954">
        <v>803.40000000000009</v>
      </c>
      <c r="HK954">
        <v>1270.9000000000001</v>
      </c>
      <c r="HL954">
        <v>835.7</v>
      </c>
      <c r="HM954">
        <v>1162.5999999999999</v>
      </c>
      <c r="HN954">
        <v>0</v>
      </c>
      <c r="HO954">
        <v>0</v>
      </c>
      <c r="HP954">
        <v>0</v>
      </c>
      <c r="HQ954">
        <v>0</v>
      </c>
      <c r="HR954">
        <v>161.19999999999999</v>
      </c>
      <c r="HS954">
        <v>0</v>
      </c>
      <c r="HT954">
        <v>2048.5</v>
      </c>
      <c r="HU954">
        <v>2627.5</v>
      </c>
      <c r="HV954">
        <v>1168.5999999999999</v>
      </c>
      <c r="HW954">
        <v>388</v>
      </c>
      <c r="HX954">
        <v>0</v>
      </c>
      <c r="HY954">
        <v>0</v>
      </c>
      <c r="HZ954">
        <v>0</v>
      </c>
      <c r="IA954">
        <v>0</v>
      </c>
      <c r="IB954">
        <v>0</v>
      </c>
      <c r="IC954">
        <v>594.4</v>
      </c>
      <c r="ID954">
        <v>427.4</v>
      </c>
      <c r="IE954">
        <v>713.3</v>
      </c>
      <c r="IF954">
        <v>626.1</v>
      </c>
      <c r="IG954">
        <v>0</v>
      </c>
      <c r="IH954">
        <v>0</v>
      </c>
      <c r="II954">
        <v>995.7</v>
      </c>
      <c r="IJ954">
        <v>1156.5999999999999</v>
      </c>
      <c r="IK954">
        <v>864.6</v>
      </c>
      <c r="IL954">
        <v>316.5</v>
      </c>
      <c r="IM954">
        <v>101.5</v>
      </c>
      <c r="IN954">
        <v>71.8</v>
      </c>
      <c r="IO954">
        <v>0</v>
      </c>
      <c r="IP954">
        <v>0</v>
      </c>
      <c r="IQ954">
        <v>0</v>
      </c>
      <c r="IR954">
        <v>0</v>
      </c>
      <c r="IS954">
        <v>0</v>
      </c>
      <c r="IT954">
        <v>0</v>
      </c>
      <c r="IU954">
        <v>0</v>
      </c>
      <c r="IV954">
        <v>0</v>
      </c>
      <c r="IW954">
        <v>68</v>
      </c>
      <c r="IX954">
        <v>404.7</v>
      </c>
      <c r="IY954">
        <v>126.6</v>
      </c>
      <c r="IZ954">
        <v>126.6</v>
      </c>
      <c r="JA954">
        <v>503.7</v>
      </c>
      <c r="JB954">
        <v>570.1</v>
      </c>
      <c r="JC954">
        <v>328.3</v>
      </c>
      <c r="JD954">
        <v>0</v>
      </c>
      <c r="JE954">
        <v>0</v>
      </c>
      <c r="JF954">
        <v>0</v>
      </c>
      <c r="JG954">
        <v>0</v>
      </c>
      <c r="JH954">
        <v>287.3</v>
      </c>
      <c r="JI954">
        <v>68.2</v>
      </c>
      <c r="JJ954">
        <v>0</v>
      </c>
      <c r="JK954">
        <v>148.6</v>
      </c>
      <c r="JL954">
        <v>0</v>
      </c>
      <c r="JM954">
        <v>0</v>
      </c>
      <c r="JN954">
        <v>204.5</v>
      </c>
      <c r="JO954">
        <v>292.10000000000002</v>
      </c>
      <c r="JP954">
        <v>670.8</v>
      </c>
      <c r="JQ954">
        <v>745.2</v>
      </c>
      <c r="JR954">
        <v>242.9</v>
      </c>
    </row>
    <row r="955" spans="2:278" ht="18" thickBot="1">
      <c r="B955" s="368" t="s">
        <v>1316</v>
      </c>
      <c r="C955" s="369" t="s">
        <v>1623</v>
      </c>
      <c r="D955" s="368" t="s">
        <v>1387</v>
      </c>
      <c r="E955" s="454">
        <v>22829.8</v>
      </c>
      <c r="F955">
        <v>20193.400000000001</v>
      </c>
      <c r="G955" s="427">
        <v>0</v>
      </c>
      <c r="H955" s="155">
        <v>0</v>
      </c>
      <c r="I955">
        <v>0</v>
      </c>
      <c r="J955">
        <v>0</v>
      </c>
      <c r="K955">
        <v>0</v>
      </c>
      <c r="L955" s="4">
        <v>0</v>
      </c>
      <c r="M955" s="4">
        <v>0</v>
      </c>
      <c r="N955" s="4">
        <v>0</v>
      </c>
      <c r="O955" s="4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1476.4</v>
      </c>
      <c r="X955">
        <v>1482</v>
      </c>
      <c r="Y955">
        <v>457.20000000000005</v>
      </c>
      <c r="Z955">
        <v>0</v>
      </c>
      <c r="AA955">
        <v>0</v>
      </c>
      <c r="AB955">
        <v>0</v>
      </c>
      <c r="AC955">
        <v>0</v>
      </c>
      <c r="AD955">
        <v>3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1828.6</v>
      </c>
      <c r="AK955">
        <v>1800.7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560.70000000000005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  <c r="CF955">
        <v>0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  <c r="CN955">
        <v>0</v>
      </c>
      <c r="CO955">
        <v>0</v>
      </c>
      <c r="CP955">
        <v>3.5</v>
      </c>
      <c r="CQ955">
        <v>0</v>
      </c>
      <c r="CR955">
        <v>528</v>
      </c>
      <c r="CS955">
        <v>581.79999999999995</v>
      </c>
      <c r="CT955">
        <v>555.40000000000009</v>
      </c>
      <c r="CU955">
        <v>737.4</v>
      </c>
      <c r="CV955">
        <v>1039.0999999999999</v>
      </c>
      <c r="CW955">
        <v>1667.3</v>
      </c>
      <c r="CX955">
        <v>877.6</v>
      </c>
      <c r="CY955">
        <v>910.40000000000009</v>
      </c>
      <c r="CZ955">
        <v>0</v>
      </c>
      <c r="DA955">
        <v>0</v>
      </c>
      <c r="DB955">
        <v>0</v>
      </c>
      <c r="DC955">
        <v>0</v>
      </c>
      <c r="DD955">
        <v>0</v>
      </c>
      <c r="DE955">
        <v>0</v>
      </c>
      <c r="DF955">
        <v>0</v>
      </c>
      <c r="DG955">
        <v>0</v>
      </c>
      <c r="DH955">
        <v>0</v>
      </c>
      <c r="DI955">
        <v>0</v>
      </c>
      <c r="DJ955">
        <v>0</v>
      </c>
      <c r="DK955">
        <v>0</v>
      </c>
      <c r="DL955">
        <v>995.5</v>
      </c>
      <c r="DM955">
        <v>712.7</v>
      </c>
      <c r="DN955">
        <v>0</v>
      </c>
      <c r="DO955">
        <v>0</v>
      </c>
      <c r="DP955">
        <v>0</v>
      </c>
      <c r="DQ955">
        <v>0</v>
      </c>
      <c r="DR955">
        <v>0</v>
      </c>
      <c r="DS955">
        <v>0</v>
      </c>
      <c r="DT955">
        <v>0</v>
      </c>
      <c r="DU955">
        <v>0</v>
      </c>
      <c r="DV955">
        <v>0</v>
      </c>
      <c r="DW955">
        <v>0</v>
      </c>
      <c r="DX955">
        <v>0</v>
      </c>
      <c r="DY955">
        <v>0</v>
      </c>
      <c r="DZ955">
        <v>0</v>
      </c>
      <c r="EA955">
        <v>0</v>
      </c>
      <c r="EB955">
        <v>0</v>
      </c>
      <c r="EC955">
        <v>0</v>
      </c>
      <c r="ED955">
        <v>0</v>
      </c>
      <c r="EE955">
        <v>0</v>
      </c>
      <c r="EF955">
        <v>0</v>
      </c>
      <c r="EG955">
        <v>0</v>
      </c>
      <c r="EH955">
        <v>0</v>
      </c>
      <c r="EI955">
        <v>0</v>
      </c>
      <c r="EJ955">
        <v>0</v>
      </c>
      <c r="EK955">
        <v>0</v>
      </c>
      <c r="EL955">
        <v>0</v>
      </c>
      <c r="EM955">
        <v>0</v>
      </c>
      <c r="EN955">
        <v>27.4</v>
      </c>
      <c r="EO955">
        <v>0</v>
      </c>
      <c r="EP955">
        <v>1002.5</v>
      </c>
      <c r="EQ955">
        <v>0</v>
      </c>
      <c r="ER955">
        <v>494</v>
      </c>
      <c r="ES955">
        <v>0</v>
      </c>
      <c r="ET955">
        <v>699.3</v>
      </c>
      <c r="EU955">
        <v>435.4</v>
      </c>
      <c r="EV955">
        <v>0</v>
      </c>
      <c r="EW955">
        <v>0</v>
      </c>
      <c r="EX955">
        <v>0</v>
      </c>
      <c r="EY955">
        <v>0</v>
      </c>
      <c r="EZ955">
        <v>0</v>
      </c>
      <c r="FA955">
        <v>0</v>
      </c>
      <c r="FB955">
        <v>0</v>
      </c>
      <c r="FC955">
        <v>0</v>
      </c>
      <c r="FD955">
        <v>95.6</v>
      </c>
      <c r="FE955">
        <v>1792.1</v>
      </c>
      <c r="FF955">
        <v>1740.1999999999998</v>
      </c>
      <c r="FG955">
        <v>954.9</v>
      </c>
      <c r="FH955">
        <v>1087.8000000000002</v>
      </c>
      <c r="FI955">
        <v>1892.1</v>
      </c>
      <c r="FJ955">
        <v>1222.5</v>
      </c>
      <c r="FK955">
        <v>678.3</v>
      </c>
      <c r="FL955">
        <v>639.1</v>
      </c>
      <c r="FM955">
        <v>520.5</v>
      </c>
      <c r="FN955">
        <v>123.8</v>
      </c>
      <c r="FO955">
        <v>181.6</v>
      </c>
      <c r="FP955">
        <v>1090.5</v>
      </c>
      <c r="FQ955">
        <v>0</v>
      </c>
      <c r="FR955">
        <v>0</v>
      </c>
      <c r="FS955">
        <v>0</v>
      </c>
      <c r="FT955">
        <v>0</v>
      </c>
      <c r="FU955">
        <v>0</v>
      </c>
      <c r="FV955">
        <v>0</v>
      </c>
      <c r="FW955">
        <v>0</v>
      </c>
      <c r="FX955">
        <v>0</v>
      </c>
      <c r="FY955">
        <v>0</v>
      </c>
      <c r="FZ955">
        <v>0</v>
      </c>
      <c r="GA955">
        <v>0</v>
      </c>
      <c r="GB955">
        <v>0</v>
      </c>
      <c r="GC955">
        <v>0</v>
      </c>
      <c r="GD955">
        <v>0</v>
      </c>
      <c r="GE955">
        <v>0</v>
      </c>
      <c r="GF955">
        <v>198.3</v>
      </c>
      <c r="GG955">
        <v>1054.4000000000001</v>
      </c>
      <c r="GH955">
        <v>552.79999999999995</v>
      </c>
      <c r="GI955">
        <v>522</v>
      </c>
      <c r="GJ955">
        <v>0</v>
      </c>
      <c r="GK955">
        <v>0</v>
      </c>
      <c r="GL955">
        <v>0</v>
      </c>
      <c r="GM955">
        <v>0</v>
      </c>
      <c r="GN955">
        <v>791.40000000000009</v>
      </c>
      <c r="GO955">
        <v>1816.5</v>
      </c>
      <c r="GP955">
        <v>0</v>
      </c>
      <c r="GQ955">
        <v>0</v>
      </c>
      <c r="GR955">
        <v>0</v>
      </c>
      <c r="GS955">
        <v>0</v>
      </c>
      <c r="GT955">
        <v>0</v>
      </c>
      <c r="GU955">
        <v>0</v>
      </c>
      <c r="GV955">
        <v>0</v>
      </c>
      <c r="GW955">
        <v>0</v>
      </c>
      <c r="GX955">
        <v>0</v>
      </c>
      <c r="GY955">
        <v>840.3</v>
      </c>
      <c r="GZ955">
        <v>0</v>
      </c>
      <c r="HA955">
        <v>0</v>
      </c>
      <c r="HB955">
        <v>0</v>
      </c>
      <c r="HC955">
        <v>380.4</v>
      </c>
      <c r="HD955">
        <v>2175.5</v>
      </c>
      <c r="HE955">
        <v>0</v>
      </c>
      <c r="HF955">
        <v>0</v>
      </c>
      <c r="HG955">
        <v>0</v>
      </c>
      <c r="HH955">
        <v>0</v>
      </c>
      <c r="HI955">
        <v>0</v>
      </c>
      <c r="HJ955">
        <v>803.40000000000009</v>
      </c>
      <c r="HK955">
        <v>1270.9000000000001</v>
      </c>
      <c r="HL955">
        <v>835.7</v>
      </c>
      <c r="HM955">
        <v>1162.5999999999999</v>
      </c>
      <c r="HN955">
        <v>0</v>
      </c>
      <c r="HO955">
        <v>0</v>
      </c>
      <c r="HP955">
        <v>0</v>
      </c>
      <c r="HQ955">
        <v>0</v>
      </c>
      <c r="HR955">
        <v>161.19999999999999</v>
      </c>
      <c r="HS955">
        <v>0</v>
      </c>
      <c r="HT955">
        <v>2048.5</v>
      </c>
      <c r="HU955">
        <v>2627.5</v>
      </c>
      <c r="HV955">
        <v>1168.5999999999999</v>
      </c>
      <c r="HW955">
        <v>388</v>
      </c>
      <c r="HX955">
        <v>0</v>
      </c>
      <c r="HY955">
        <v>0</v>
      </c>
      <c r="HZ955">
        <v>0</v>
      </c>
      <c r="IA955">
        <v>0</v>
      </c>
      <c r="IB955">
        <v>0</v>
      </c>
      <c r="IC955">
        <v>594.4</v>
      </c>
      <c r="ID955">
        <v>427.4</v>
      </c>
      <c r="IE955">
        <v>713.3</v>
      </c>
      <c r="IF955">
        <v>626.1</v>
      </c>
      <c r="IG955">
        <v>0</v>
      </c>
      <c r="IH955">
        <v>0</v>
      </c>
      <c r="II955">
        <v>995.7</v>
      </c>
      <c r="IJ955">
        <v>1156.5999999999999</v>
      </c>
      <c r="IK955">
        <v>864.6</v>
      </c>
      <c r="IL955">
        <v>316.5</v>
      </c>
      <c r="IM955">
        <v>101.5</v>
      </c>
      <c r="IN955">
        <v>71.8</v>
      </c>
      <c r="IO955">
        <v>0</v>
      </c>
      <c r="IP955">
        <v>0</v>
      </c>
      <c r="IQ955">
        <v>0</v>
      </c>
      <c r="IR955">
        <v>0</v>
      </c>
      <c r="IS955">
        <v>0</v>
      </c>
      <c r="IT955">
        <v>0</v>
      </c>
      <c r="IU955">
        <v>0</v>
      </c>
      <c r="IV955">
        <v>0</v>
      </c>
      <c r="IW955">
        <v>68</v>
      </c>
      <c r="IX955">
        <v>404.7</v>
      </c>
      <c r="IY955">
        <v>126.6</v>
      </c>
      <c r="IZ955">
        <v>126.6</v>
      </c>
      <c r="JA955">
        <v>503.7</v>
      </c>
      <c r="JB955">
        <v>570.1</v>
      </c>
      <c r="JC955">
        <v>328.3</v>
      </c>
      <c r="JD955">
        <v>0</v>
      </c>
      <c r="JE955">
        <v>0</v>
      </c>
      <c r="JF955">
        <v>0</v>
      </c>
      <c r="JG955">
        <v>0</v>
      </c>
      <c r="JH955">
        <v>287.3</v>
      </c>
      <c r="JI955">
        <v>68.2</v>
      </c>
      <c r="JJ955">
        <v>0</v>
      </c>
      <c r="JK955">
        <v>148.6</v>
      </c>
      <c r="JL955">
        <v>0</v>
      </c>
      <c r="JM955">
        <v>0</v>
      </c>
      <c r="JN955">
        <v>204.5</v>
      </c>
      <c r="JO955">
        <v>292.10000000000002</v>
      </c>
      <c r="JP955">
        <v>670.8</v>
      </c>
      <c r="JQ955">
        <v>745.2</v>
      </c>
      <c r="JR955">
        <v>242.9</v>
      </c>
    </row>
    <row r="956" spans="2:278" ht="18" thickBot="1">
      <c r="B956" s="372" t="s">
        <v>1317</v>
      </c>
      <c r="C956" s="372" t="s">
        <v>1624</v>
      </c>
      <c r="D956" s="371" t="s">
        <v>1387</v>
      </c>
      <c r="E956" s="454">
        <v>22829.8</v>
      </c>
      <c r="F956">
        <v>20193.400000000001</v>
      </c>
      <c r="G956" s="427">
        <v>0</v>
      </c>
      <c r="H956" s="155">
        <v>0</v>
      </c>
      <c r="I956">
        <v>0</v>
      </c>
      <c r="J956">
        <v>0</v>
      </c>
      <c r="K956">
        <v>0</v>
      </c>
      <c r="L956" s="4">
        <v>0</v>
      </c>
      <c r="M956" s="4">
        <v>0</v>
      </c>
      <c r="N956" s="4">
        <v>0</v>
      </c>
      <c r="O956" s="4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1476.4</v>
      </c>
      <c r="X956">
        <v>1482</v>
      </c>
      <c r="Y956">
        <v>457.20000000000005</v>
      </c>
      <c r="Z956">
        <v>0</v>
      </c>
      <c r="AA956">
        <v>0</v>
      </c>
      <c r="AB956">
        <v>0</v>
      </c>
      <c r="AC956">
        <v>0</v>
      </c>
      <c r="AD956">
        <v>3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1828.6</v>
      </c>
      <c r="AK956">
        <v>1800.7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560.70000000000005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  <c r="CF956">
        <v>0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  <c r="CN956">
        <v>0</v>
      </c>
      <c r="CO956">
        <v>0</v>
      </c>
      <c r="CP956">
        <v>3.5</v>
      </c>
      <c r="CQ956">
        <v>0</v>
      </c>
      <c r="CR956">
        <v>528</v>
      </c>
      <c r="CS956">
        <v>581.79999999999995</v>
      </c>
      <c r="CT956">
        <v>555.40000000000009</v>
      </c>
      <c r="CU956">
        <v>737.4</v>
      </c>
      <c r="CV956">
        <v>1039.0999999999999</v>
      </c>
      <c r="CW956">
        <v>1667.3</v>
      </c>
      <c r="CX956">
        <v>877.6</v>
      </c>
      <c r="CY956">
        <v>910.40000000000009</v>
      </c>
      <c r="CZ956">
        <v>0</v>
      </c>
      <c r="DA956">
        <v>0</v>
      </c>
      <c r="DB956">
        <v>0</v>
      </c>
      <c r="DC956">
        <v>0</v>
      </c>
      <c r="DD956">
        <v>0</v>
      </c>
      <c r="DE956">
        <v>0</v>
      </c>
      <c r="DF956">
        <v>0</v>
      </c>
      <c r="DG956">
        <v>0</v>
      </c>
      <c r="DH956">
        <v>0</v>
      </c>
      <c r="DI956">
        <v>0</v>
      </c>
      <c r="DJ956">
        <v>0</v>
      </c>
      <c r="DK956">
        <v>0</v>
      </c>
      <c r="DL956">
        <v>995.5</v>
      </c>
      <c r="DM956">
        <v>712.7</v>
      </c>
      <c r="DN956">
        <v>0</v>
      </c>
      <c r="DO956">
        <v>0</v>
      </c>
      <c r="DP956">
        <v>0</v>
      </c>
      <c r="DQ956">
        <v>0</v>
      </c>
      <c r="DR956">
        <v>0</v>
      </c>
      <c r="DS956">
        <v>0</v>
      </c>
      <c r="DT956">
        <v>0</v>
      </c>
      <c r="DU956">
        <v>0</v>
      </c>
      <c r="DV956">
        <v>0</v>
      </c>
      <c r="DW956">
        <v>0</v>
      </c>
      <c r="DX956">
        <v>0</v>
      </c>
      <c r="DY956">
        <v>0</v>
      </c>
      <c r="DZ956">
        <v>0</v>
      </c>
      <c r="EA956">
        <v>0</v>
      </c>
      <c r="EB956">
        <v>0</v>
      </c>
      <c r="EC956">
        <v>0</v>
      </c>
      <c r="ED956">
        <v>0</v>
      </c>
      <c r="EE956">
        <v>0</v>
      </c>
      <c r="EF956">
        <v>0</v>
      </c>
      <c r="EG956">
        <v>0</v>
      </c>
      <c r="EH956">
        <v>0</v>
      </c>
      <c r="EI956">
        <v>0</v>
      </c>
      <c r="EJ956">
        <v>0</v>
      </c>
      <c r="EK956">
        <v>0</v>
      </c>
      <c r="EL956">
        <v>0</v>
      </c>
      <c r="EM956">
        <v>0</v>
      </c>
      <c r="EN956">
        <v>27.4</v>
      </c>
      <c r="EO956">
        <v>0</v>
      </c>
      <c r="EP956">
        <v>1002.5</v>
      </c>
      <c r="EQ956">
        <v>0</v>
      </c>
      <c r="ER956">
        <v>494</v>
      </c>
      <c r="ES956">
        <v>0</v>
      </c>
      <c r="ET956">
        <v>699.3</v>
      </c>
      <c r="EU956">
        <v>435.4</v>
      </c>
      <c r="EV956">
        <v>0</v>
      </c>
      <c r="EW956">
        <v>0</v>
      </c>
      <c r="EX956">
        <v>0</v>
      </c>
      <c r="EY956">
        <v>0</v>
      </c>
      <c r="EZ956">
        <v>0</v>
      </c>
      <c r="FA956">
        <v>0</v>
      </c>
      <c r="FB956">
        <v>0</v>
      </c>
      <c r="FC956">
        <v>0</v>
      </c>
      <c r="FD956">
        <v>95.6</v>
      </c>
      <c r="FE956">
        <v>1792.1</v>
      </c>
      <c r="FF956">
        <v>1740.1999999999998</v>
      </c>
      <c r="FG956">
        <v>954.9</v>
      </c>
      <c r="FH956">
        <v>1087.8000000000002</v>
      </c>
      <c r="FI956">
        <v>1892.1</v>
      </c>
      <c r="FJ956">
        <v>1222.5</v>
      </c>
      <c r="FK956">
        <v>678.3</v>
      </c>
      <c r="FL956">
        <v>639.1</v>
      </c>
      <c r="FM956">
        <v>520.5</v>
      </c>
      <c r="FN956">
        <v>123.8</v>
      </c>
      <c r="FO956">
        <v>181.6</v>
      </c>
      <c r="FP956">
        <v>1090.5</v>
      </c>
      <c r="FQ956">
        <v>0</v>
      </c>
      <c r="FR956">
        <v>0</v>
      </c>
      <c r="FS956">
        <v>0</v>
      </c>
      <c r="FT956">
        <v>0</v>
      </c>
      <c r="FU956">
        <v>0</v>
      </c>
      <c r="FV956">
        <v>0</v>
      </c>
      <c r="FW956">
        <v>0</v>
      </c>
      <c r="FX956">
        <v>0</v>
      </c>
      <c r="FY956">
        <v>0</v>
      </c>
      <c r="FZ956">
        <v>0</v>
      </c>
      <c r="GA956">
        <v>0</v>
      </c>
      <c r="GB956">
        <v>0</v>
      </c>
      <c r="GC956">
        <v>0</v>
      </c>
      <c r="GD956">
        <v>0</v>
      </c>
      <c r="GE956">
        <v>0</v>
      </c>
      <c r="GF956">
        <v>198.3</v>
      </c>
      <c r="GG956">
        <v>1054.4000000000001</v>
      </c>
      <c r="GH956">
        <v>552.79999999999995</v>
      </c>
      <c r="GI956">
        <v>522</v>
      </c>
      <c r="GJ956">
        <v>0</v>
      </c>
      <c r="GK956">
        <v>0</v>
      </c>
      <c r="GL956">
        <v>0</v>
      </c>
      <c r="GM956">
        <v>0</v>
      </c>
      <c r="GN956">
        <v>791.40000000000009</v>
      </c>
      <c r="GO956">
        <v>1816.5</v>
      </c>
      <c r="GP956">
        <v>0</v>
      </c>
      <c r="GQ956">
        <v>0</v>
      </c>
      <c r="GR956">
        <v>0</v>
      </c>
      <c r="GS956">
        <v>0</v>
      </c>
      <c r="GT956">
        <v>0</v>
      </c>
      <c r="GU956">
        <v>0</v>
      </c>
      <c r="GV956">
        <v>0</v>
      </c>
      <c r="GW956">
        <v>0</v>
      </c>
      <c r="GX956">
        <v>0</v>
      </c>
      <c r="GY956">
        <v>840.3</v>
      </c>
      <c r="GZ956">
        <v>0</v>
      </c>
      <c r="HA956">
        <v>0</v>
      </c>
      <c r="HB956">
        <v>0</v>
      </c>
      <c r="HC956">
        <v>380.4</v>
      </c>
      <c r="HD956">
        <v>2175.5</v>
      </c>
      <c r="HE956">
        <v>0</v>
      </c>
      <c r="HF956">
        <v>0</v>
      </c>
      <c r="HG956">
        <v>0</v>
      </c>
      <c r="HH956">
        <v>0</v>
      </c>
      <c r="HI956">
        <v>0</v>
      </c>
      <c r="HJ956">
        <v>803.40000000000009</v>
      </c>
      <c r="HK956">
        <v>1270.9000000000001</v>
      </c>
      <c r="HL956">
        <v>835.7</v>
      </c>
      <c r="HM956">
        <v>1162.5999999999999</v>
      </c>
      <c r="HN956">
        <v>0</v>
      </c>
      <c r="HO956">
        <v>0</v>
      </c>
      <c r="HP956">
        <v>0</v>
      </c>
      <c r="HQ956">
        <v>0</v>
      </c>
      <c r="HR956">
        <v>161.19999999999999</v>
      </c>
      <c r="HS956">
        <v>0</v>
      </c>
      <c r="HT956">
        <v>2048.5</v>
      </c>
      <c r="HU956">
        <v>2627.5</v>
      </c>
      <c r="HV956">
        <v>1168.5999999999999</v>
      </c>
      <c r="HW956">
        <v>388</v>
      </c>
      <c r="HX956">
        <v>0</v>
      </c>
      <c r="HY956">
        <v>0</v>
      </c>
      <c r="HZ956">
        <v>0</v>
      </c>
      <c r="IA956">
        <v>0</v>
      </c>
      <c r="IB956">
        <v>0</v>
      </c>
      <c r="IC956">
        <v>594.4</v>
      </c>
      <c r="ID956">
        <v>427.4</v>
      </c>
      <c r="IE956">
        <v>713.3</v>
      </c>
      <c r="IF956">
        <v>626.1</v>
      </c>
      <c r="IG956">
        <v>0</v>
      </c>
      <c r="IH956">
        <v>0</v>
      </c>
      <c r="II956">
        <v>995.7</v>
      </c>
      <c r="IJ956">
        <v>1156.5999999999999</v>
      </c>
      <c r="IK956">
        <v>864.6</v>
      </c>
      <c r="IL956">
        <v>316.5</v>
      </c>
      <c r="IM956">
        <v>101.5</v>
      </c>
      <c r="IN956">
        <v>71.8</v>
      </c>
      <c r="IO956">
        <v>0</v>
      </c>
      <c r="IP956">
        <v>0</v>
      </c>
      <c r="IQ956">
        <v>0</v>
      </c>
      <c r="IR956">
        <v>0</v>
      </c>
      <c r="IS956">
        <v>0</v>
      </c>
      <c r="IT956">
        <v>0</v>
      </c>
      <c r="IU956">
        <v>0</v>
      </c>
      <c r="IV956">
        <v>0</v>
      </c>
      <c r="IW956">
        <v>68</v>
      </c>
      <c r="IX956">
        <v>404.7</v>
      </c>
      <c r="IY956">
        <v>126.6</v>
      </c>
      <c r="IZ956">
        <v>126.6</v>
      </c>
      <c r="JA956">
        <v>503.7</v>
      </c>
      <c r="JB956">
        <v>570.1</v>
      </c>
      <c r="JC956">
        <v>328.3</v>
      </c>
      <c r="JD956">
        <v>0</v>
      </c>
      <c r="JE956">
        <v>0</v>
      </c>
      <c r="JF956">
        <v>0</v>
      </c>
      <c r="JG956">
        <v>0</v>
      </c>
      <c r="JH956">
        <v>287.3</v>
      </c>
      <c r="JI956">
        <v>68.2</v>
      </c>
      <c r="JJ956">
        <v>0</v>
      </c>
      <c r="JK956">
        <v>148.6</v>
      </c>
      <c r="JL956">
        <v>0</v>
      </c>
      <c r="JM956">
        <v>0</v>
      </c>
      <c r="JN956">
        <v>204.5</v>
      </c>
      <c r="JO956">
        <v>292.10000000000002</v>
      </c>
      <c r="JP956">
        <v>670.8</v>
      </c>
      <c r="JQ956">
        <v>745.2</v>
      </c>
      <c r="JR956">
        <v>242.9</v>
      </c>
    </row>
    <row r="957" spans="2:278" ht="18" thickBot="1">
      <c r="B957" s="371" t="s">
        <v>398</v>
      </c>
      <c r="C957" s="420" t="s">
        <v>1625</v>
      </c>
      <c r="D957" s="371" t="s">
        <v>1464</v>
      </c>
      <c r="E957" s="454">
        <v>22829.8</v>
      </c>
      <c r="F957">
        <v>20193.400000000001</v>
      </c>
      <c r="G957" s="427">
        <v>0</v>
      </c>
      <c r="H957" s="155">
        <v>0</v>
      </c>
      <c r="I957">
        <v>0</v>
      </c>
      <c r="J957">
        <v>0</v>
      </c>
      <c r="K957">
        <v>0</v>
      </c>
      <c r="L957" s="4">
        <v>0</v>
      </c>
      <c r="M957" s="4">
        <v>0</v>
      </c>
      <c r="N957" s="4">
        <v>0</v>
      </c>
      <c r="O957" s="4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1476.4</v>
      </c>
      <c r="X957">
        <v>1482</v>
      </c>
      <c r="Y957">
        <v>457.20000000000005</v>
      </c>
      <c r="Z957">
        <v>0</v>
      </c>
      <c r="AA957">
        <v>0</v>
      </c>
      <c r="AB957">
        <v>0</v>
      </c>
      <c r="AC957">
        <v>0</v>
      </c>
      <c r="AD957">
        <v>3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1828.6</v>
      </c>
      <c r="AK957">
        <v>1800.7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560.70000000000005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0</v>
      </c>
      <c r="BU957">
        <v>0</v>
      </c>
      <c r="BV957">
        <v>0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  <c r="CF957">
        <v>0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  <c r="CN957">
        <v>0</v>
      </c>
      <c r="CO957">
        <v>0</v>
      </c>
      <c r="CP957">
        <v>3.5</v>
      </c>
      <c r="CQ957">
        <v>0</v>
      </c>
      <c r="CR957">
        <v>528</v>
      </c>
      <c r="CS957">
        <v>581.79999999999995</v>
      </c>
      <c r="CT957">
        <v>555.40000000000009</v>
      </c>
      <c r="CU957">
        <v>737.4</v>
      </c>
      <c r="CV957">
        <v>1039.0999999999999</v>
      </c>
      <c r="CW957">
        <v>1667.3</v>
      </c>
      <c r="CX957">
        <v>877.6</v>
      </c>
      <c r="CY957">
        <v>910.40000000000009</v>
      </c>
      <c r="CZ957">
        <v>0</v>
      </c>
      <c r="DA957">
        <v>0</v>
      </c>
      <c r="DB957">
        <v>0</v>
      </c>
      <c r="DC957">
        <v>0</v>
      </c>
      <c r="DD957">
        <v>0</v>
      </c>
      <c r="DE957">
        <v>0</v>
      </c>
      <c r="DF957">
        <v>0</v>
      </c>
      <c r="DG957">
        <v>0</v>
      </c>
      <c r="DH957">
        <v>0</v>
      </c>
      <c r="DI957">
        <v>0</v>
      </c>
      <c r="DJ957">
        <v>0</v>
      </c>
      <c r="DK957">
        <v>0</v>
      </c>
      <c r="DL957">
        <v>995.5</v>
      </c>
      <c r="DM957">
        <v>712.7</v>
      </c>
      <c r="DN957">
        <v>0</v>
      </c>
      <c r="DO957">
        <v>0</v>
      </c>
      <c r="DP957">
        <v>0</v>
      </c>
      <c r="DQ957">
        <v>0</v>
      </c>
      <c r="DR957">
        <v>0</v>
      </c>
      <c r="DS957">
        <v>0</v>
      </c>
      <c r="DT957">
        <v>0</v>
      </c>
      <c r="DU957">
        <v>0</v>
      </c>
      <c r="DV957">
        <v>0</v>
      </c>
      <c r="DW957">
        <v>0</v>
      </c>
      <c r="DX957">
        <v>0</v>
      </c>
      <c r="DY957">
        <v>0</v>
      </c>
      <c r="DZ957">
        <v>0</v>
      </c>
      <c r="EA957">
        <v>0</v>
      </c>
      <c r="EB957">
        <v>0</v>
      </c>
      <c r="EC957">
        <v>0</v>
      </c>
      <c r="ED957">
        <v>0</v>
      </c>
      <c r="EE957">
        <v>0</v>
      </c>
      <c r="EF957">
        <v>0</v>
      </c>
      <c r="EG957">
        <v>0</v>
      </c>
      <c r="EH957">
        <v>0</v>
      </c>
      <c r="EI957">
        <v>0</v>
      </c>
      <c r="EJ957">
        <v>0</v>
      </c>
      <c r="EK957">
        <v>0</v>
      </c>
      <c r="EL957">
        <v>0</v>
      </c>
      <c r="EM957">
        <v>0</v>
      </c>
      <c r="EN957">
        <v>27.4</v>
      </c>
      <c r="EO957">
        <v>0</v>
      </c>
      <c r="EP957">
        <v>1002.5</v>
      </c>
      <c r="EQ957">
        <v>0</v>
      </c>
      <c r="ER957">
        <v>494</v>
      </c>
      <c r="ES957">
        <v>0</v>
      </c>
      <c r="ET957">
        <v>699.3</v>
      </c>
      <c r="EU957">
        <v>435.4</v>
      </c>
      <c r="EV957">
        <v>0</v>
      </c>
      <c r="EW957">
        <v>0</v>
      </c>
      <c r="EX957">
        <v>0</v>
      </c>
      <c r="EY957">
        <v>0</v>
      </c>
      <c r="EZ957">
        <v>0</v>
      </c>
      <c r="FA957">
        <v>0</v>
      </c>
      <c r="FB957">
        <v>0</v>
      </c>
      <c r="FC957">
        <v>0</v>
      </c>
      <c r="FD957">
        <v>95.6</v>
      </c>
      <c r="FE957">
        <v>1792.1</v>
      </c>
      <c r="FF957">
        <v>1740.1999999999998</v>
      </c>
      <c r="FG957">
        <v>954.9</v>
      </c>
      <c r="FH957">
        <v>1087.8000000000002</v>
      </c>
      <c r="FI957">
        <v>1892.1</v>
      </c>
      <c r="FJ957">
        <v>1222.5</v>
      </c>
      <c r="FK957">
        <v>678.3</v>
      </c>
      <c r="FL957">
        <v>639.1</v>
      </c>
      <c r="FM957">
        <v>520.5</v>
      </c>
      <c r="FN957">
        <v>123.8</v>
      </c>
      <c r="FO957">
        <v>181.6</v>
      </c>
      <c r="FP957">
        <v>1090.5</v>
      </c>
      <c r="FQ957">
        <v>0</v>
      </c>
      <c r="FR957">
        <v>0</v>
      </c>
      <c r="FS957">
        <v>0</v>
      </c>
      <c r="FT957">
        <v>0</v>
      </c>
      <c r="FU957">
        <v>0</v>
      </c>
      <c r="FV957">
        <v>0</v>
      </c>
      <c r="FW957">
        <v>0</v>
      </c>
      <c r="FX957">
        <v>0</v>
      </c>
      <c r="FY957">
        <v>0</v>
      </c>
      <c r="FZ957">
        <v>0</v>
      </c>
      <c r="GA957">
        <v>0</v>
      </c>
      <c r="GB957">
        <v>0</v>
      </c>
      <c r="GC957">
        <v>0</v>
      </c>
      <c r="GD957">
        <v>0</v>
      </c>
      <c r="GE957">
        <v>0</v>
      </c>
      <c r="GF957">
        <v>198.3</v>
      </c>
      <c r="GG957">
        <v>1054.4000000000001</v>
      </c>
      <c r="GH957">
        <v>552.79999999999995</v>
      </c>
      <c r="GI957">
        <v>522</v>
      </c>
      <c r="GJ957">
        <v>0</v>
      </c>
      <c r="GK957">
        <v>0</v>
      </c>
      <c r="GL957">
        <v>0</v>
      </c>
      <c r="GM957">
        <v>0</v>
      </c>
      <c r="GN957">
        <v>791.40000000000009</v>
      </c>
      <c r="GO957">
        <v>1816.5</v>
      </c>
      <c r="GP957">
        <v>0</v>
      </c>
      <c r="GQ957">
        <v>0</v>
      </c>
      <c r="GR957">
        <v>0</v>
      </c>
      <c r="GS957">
        <v>0</v>
      </c>
      <c r="GT957">
        <v>0</v>
      </c>
      <c r="GU957">
        <v>0</v>
      </c>
      <c r="GV957">
        <v>0</v>
      </c>
      <c r="GW957">
        <v>0</v>
      </c>
      <c r="GX957">
        <v>0</v>
      </c>
      <c r="GY957">
        <v>840.3</v>
      </c>
      <c r="GZ957">
        <v>0</v>
      </c>
      <c r="HA957">
        <v>0</v>
      </c>
      <c r="HB957">
        <v>0</v>
      </c>
      <c r="HC957">
        <v>380.4</v>
      </c>
      <c r="HD957">
        <v>2175.5</v>
      </c>
      <c r="HE957">
        <v>0</v>
      </c>
      <c r="HF957">
        <v>0</v>
      </c>
      <c r="HG957">
        <v>0</v>
      </c>
      <c r="HH957">
        <v>0</v>
      </c>
      <c r="HI957">
        <v>0</v>
      </c>
      <c r="HJ957">
        <v>803.40000000000009</v>
      </c>
      <c r="HK957">
        <v>1270.9000000000001</v>
      </c>
      <c r="HL957">
        <v>835.7</v>
      </c>
      <c r="HM957">
        <v>1162.5999999999999</v>
      </c>
      <c r="HN957">
        <v>0</v>
      </c>
      <c r="HO957">
        <v>0</v>
      </c>
      <c r="HP957">
        <v>0</v>
      </c>
      <c r="HQ957">
        <v>0</v>
      </c>
      <c r="HR957">
        <v>161.19999999999999</v>
      </c>
      <c r="HS957">
        <v>0</v>
      </c>
      <c r="HT957">
        <v>2048.5</v>
      </c>
      <c r="HU957">
        <v>2627.5</v>
      </c>
      <c r="HV957">
        <v>1168.5999999999999</v>
      </c>
      <c r="HW957">
        <v>388</v>
      </c>
      <c r="HX957">
        <v>0</v>
      </c>
      <c r="HY957">
        <v>0</v>
      </c>
      <c r="HZ957">
        <v>0</v>
      </c>
      <c r="IA957">
        <v>0</v>
      </c>
      <c r="IB957">
        <v>0</v>
      </c>
      <c r="IC957">
        <v>594.4</v>
      </c>
      <c r="ID957">
        <v>427.4</v>
      </c>
      <c r="IE957">
        <v>713.3</v>
      </c>
      <c r="IF957">
        <v>626.1</v>
      </c>
      <c r="IG957">
        <v>0</v>
      </c>
      <c r="IH957">
        <v>0</v>
      </c>
      <c r="II957">
        <v>995.7</v>
      </c>
      <c r="IJ957">
        <v>1156.5999999999999</v>
      </c>
      <c r="IK957">
        <v>864.6</v>
      </c>
      <c r="IL957">
        <v>316.5</v>
      </c>
      <c r="IM957">
        <v>101.5</v>
      </c>
      <c r="IN957">
        <v>71.8</v>
      </c>
      <c r="IO957">
        <v>0</v>
      </c>
      <c r="IP957">
        <v>0</v>
      </c>
      <c r="IQ957">
        <v>0</v>
      </c>
      <c r="IR957">
        <v>0</v>
      </c>
      <c r="IS957">
        <v>0</v>
      </c>
      <c r="IT957">
        <v>0</v>
      </c>
      <c r="IU957">
        <v>0</v>
      </c>
      <c r="IV957">
        <v>0</v>
      </c>
      <c r="IW957">
        <v>68</v>
      </c>
      <c r="IX957">
        <v>404.7</v>
      </c>
      <c r="IY957">
        <v>126.6</v>
      </c>
      <c r="IZ957">
        <v>126.6</v>
      </c>
      <c r="JA957">
        <v>503.7</v>
      </c>
      <c r="JB957">
        <v>570.1</v>
      </c>
      <c r="JC957">
        <v>328.3</v>
      </c>
      <c r="JD957">
        <v>0</v>
      </c>
      <c r="JE957">
        <v>0</v>
      </c>
      <c r="JF957">
        <v>0</v>
      </c>
      <c r="JG957">
        <v>0</v>
      </c>
      <c r="JH957">
        <v>287.3</v>
      </c>
      <c r="JI957">
        <v>68.2</v>
      </c>
      <c r="JJ957">
        <v>0</v>
      </c>
      <c r="JK957">
        <v>148.6</v>
      </c>
      <c r="JL957">
        <v>0</v>
      </c>
      <c r="JM957">
        <v>0</v>
      </c>
      <c r="JN957">
        <v>204.5</v>
      </c>
      <c r="JO957">
        <v>292.10000000000002</v>
      </c>
      <c r="JP957">
        <v>670.8</v>
      </c>
      <c r="JQ957">
        <v>745.2</v>
      </c>
      <c r="JR957">
        <v>242.9</v>
      </c>
    </row>
    <row r="958" spans="2:278" ht="18" thickBot="1">
      <c r="B958" s="368" t="s">
        <v>1318</v>
      </c>
      <c r="C958" s="368" t="s">
        <v>1626</v>
      </c>
      <c r="D958" s="368" t="s">
        <v>1465</v>
      </c>
      <c r="E958" s="454">
        <v>22829.8</v>
      </c>
      <c r="F958">
        <v>20193.400000000001</v>
      </c>
      <c r="G958" s="427">
        <v>0</v>
      </c>
      <c r="H958" s="155">
        <v>0</v>
      </c>
      <c r="I958">
        <v>0</v>
      </c>
      <c r="J958">
        <v>0</v>
      </c>
      <c r="K958">
        <v>0</v>
      </c>
      <c r="L958" s="4">
        <v>0</v>
      </c>
      <c r="M958" s="4">
        <v>0</v>
      </c>
      <c r="N958" s="4">
        <v>0</v>
      </c>
      <c r="O958" s="4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1476.4</v>
      </c>
      <c r="X958">
        <v>1482</v>
      </c>
      <c r="Y958">
        <v>457.20000000000005</v>
      </c>
      <c r="Z958">
        <v>0</v>
      </c>
      <c r="AA958">
        <v>0</v>
      </c>
      <c r="AB958">
        <v>0</v>
      </c>
      <c r="AC958">
        <v>0</v>
      </c>
      <c r="AD958">
        <v>3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1828.6</v>
      </c>
      <c r="AK958">
        <v>1800.7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560.70000000000005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  <c r="CF958">
        <v>0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  <c r="CN958">
        <v>0</v>
      </c>
      <c r="CO958">
        <v>0</v>
      </c>
      <c r="CP958">
        <v>3.5</v>
      </c>
      <c r="CQ958">
        <v>0</v>
      </c>
      <c r="CR958">
        <v>528</v>
      </c>
      <c r="CS958">
        <v>581.79999999999995</v>
      </c>
      <c r="CT958">
        <v>555.40000000000009</v>
      </c>
      <c r="CU958">
        <v>737.4</v>
      </c>
      <c r="CV958">
        <v>1039.0999999999999</v>
      </c>
      <c r="CW958">
        <v>1667.3</v>
      </c>
      <c r="CX958">
        <v>877.6</v>
      </c>
      <c r="CY958">
        <v>910.40000000000009</v>
      </c>
      <c r="CZ958">
        <v>0</v>
      </c>
      <c r="DA958">
        <v>0</v>
      </c>
      <c r="DB958">
        <v>0</v>
      </c>
      <c r="DC958">
        <v>0</v>
      </c>
      <c r="DD958">
        <v>0</v>
      </c>
      <c r="DE958">
        <v>0</v>
      </c>
      <c r="DF958">
        <v>0</v>
      </c>
      <c r="DG958">
        <v>0</v>
      </c>
      <c r="DH958">
        <v>0</v>
      </c>
      <c r="DI958">
        <v>0</v>
      </c>
      <c r="DJ958">
        <v>0</v>
      </c>
      <c r="DK958">
        <v>0</v>
      </c>
      <c r="DL958">
        <v>995.5</v>
      </c>
      <c r="DM958">
        <v>712.7</v>
      </c>
      <c r="DN958">
        <v>0</v>
      </c>
      <c r="DO958">
        <v>0</v>
      </c>
      <c r="DP958">
        <v>0</v>
      </c>
      <c r="DQ958">
        <v>0</v>
      </c>
      <c r="DR958">
        <v>0</v>
      </c>
      <c r="DS958">
        <v>0</v>
      </c>
      <c r="DT958">
        <v>0</v>
      </c>
      <c r="DU958">
        <v>0</v>
      </c>
      <c r="DV958">
        <v>0</v>
      </c>
      <c r="DW958">
        <v>0</v>
      </c>
      <c r="DX958">
        <v>0</v>
      </c>
      <c r="DY958">
        <v>0</v>
      </c>
      <c r="DZ958">
        <v>0</v>
      </c>
      <c r="EA958">
        <v>0</v>
      </c>
      <c r="EB958">
        <v>0</v>
      </c>
      <c r="EC958">
        <v>0</v>
      </c>
      <c r="ED958">
        <v>0</v>
      </c>
      <c r="EE958">
        <v>0</v>
      </c>
      <c r="EF958">
        <v>0</v>
      </c>
      <c r="EG958">
        <v>0</v>
      </c>
      <c r="EH958">
        <v>0</v>
      </c>
      <c r="EI958">
        <v>0</v>
      </c>
      <c r="EJ958">
        <v>0</v>
      </c>
      <c r="EK958">
        <v>0</v>
      </c>
      <c r="EL958">
        <v>0</v>
      </c>
      <c r="EM958">
        <v>0</v>
      </c>
      <c r="EN958">
        <v>27.4</v>
      </c>
      <c r="EO958">
        <v>0</v>
      </c>
      <c r="EP958">
        <v>1002.5</v>
      </c>
      <c r="EQ958">
        <v>0</v>
      </c>
      <c r="ER958">
        <v>494</v>
      </c>
      <c r="ES958">
        <v>0</v>
      </c>
      <c r="ET958">
        <v>699.3</v>
      </c>
      <c r="EU958">
        <v>435.4</v>
      </c>
      <c r="EV958">
        <v>0</v>
      </c>
      <c r="EW958">
        <v>0</v>
      </c>
      <c r="EX958">
        <v>0</v>
      </c>
      <c r="EY958">
        <v>0</v>
      </c>
      <c r="EZ958">
        <v>0</v>
      </c>
      <c r="FA958">
        <v>0</v>
      </c>
      <c r="FB958">
        <v>0</v>
      </c>
      <c r="FC958">
        <v>0</v>
      </c>
      <c r="FD958">
        <v>95.6</v>
      </c>
      <c r="FE958">
        <v>1792.1</v>
      </c>
      <c r="FF958">
        <v>1740.1999999999998</v>
      </c>
      <c r="FG958">
        <v>954.9</v>
      </c>
      <c r="FH958">
        <v>1087.8000000000002</v>
      </c>
      <c r="FI958">
        <v>1892.1</v>
      </c>
      <c r="FJ958">
        <v>1222.5</v>
      </c>
      <c r="FK958">
        <v>678.3</v>
      </c>
      <c r="FL958">
        <v>639.1</v>
      </c>
      <c r="FM958">
        <v>520.5</v>
      </c>
      <c r="FN958">
        <v>123.8</v>
      </c>
      <c r="FO958">
        <v>181.6</v>
      </c>
      <c r="FP958">
        <v>1090.5</v>
      </c>
      <c r="FQ958">
        <v>0</v>
      </c>
      <c r="FR958">
        <v>0</v>
      </c>
      <c r="FS958">
        <v>0</v>
      </c>
      <c r="FT958">
        <v>0</v>
      </c>
      <c r="FU958">
        <v>0</v>
      </c>
      <c r="FV958">
        <v>0</v>
      </c>
      <c r="FW958">
        <v>0</v>
      </c>
      <c r="FX958">
        <v>0</v>
      </c>
      <c r="FY958">
        <v>0</v>
      </c>
      <c r="FZ958">
        <v>0</v>
      </c>
      <c r="GA958">
        <v>0</v>
      </c>
      <c r="GB958">
        <v>0</v>
      </c>
      <c r="GC958">
        <v>0</v>
      </c>
      <c r="GD958">
        <v>0</v>
      </c>
      <c r="GE958">
        <v>0</v>
      </c>
      <c r="GF958">
        <v>198.3</v>
      </c>
      <c r="GG958">
        <v>1054.4000000000001</v>
      </c>
      <c r="GH958">
        <v>552.79999999999995</v>
      </c>
      <c r="GI958">
        <v>522</v>
      </c>
      <c r="GJ958">
        <v>0</v>
      </c>
      <c r="GK958">
        <v>0</v>
      </c>
      <c r="GL958">
        <v>0</v>
      </c>
      <c r="GM958">
        <v>0</v>
      </c>
      <c r="GN958">
        <v>791.40000000000009</v>
      </c>
      <c r="GO958">
        <v>1816.5</v>
      </c>
      <c r="GP958">
        <v>0</v>
      </c>
      <c r="GQ958">
        <v>0</v>
      </c>
      <c r="GR958">
        <v>0</v>
      </c>
      <c r="GS958">
        <v>0</v>
      </c>
      <c r="GT958">
        <v>0</v>
      </c>
      <c r="GU958">
        <v>0</v>
      </c>
      <c r="GV958">
        <v>0</v>
      </c>
      <c r="GW958">
        <v>0</v>
      </c>
      <c r="GX958">
        <v>0</v>
      </c>
      <c r="GY958">
        <v>840.3</v>
      </c>
      <c r="GZ958">
        <v>0</v>
      </c>
      <c r="HA958">
        <v>0</v>
      </c>
      <c r="HB958">
        <v>0</v>
      </c>
      <c r="HC958">
        <v>380.4</v>
      </c>
      <c r="HD958">
        <v>2175.5</v>
      </c>
      <c r="HE958">
        <v>0</v>
      </c>
      <c r="HF958">
        <v>0</v>
      </c>
      <c r="HG958">
        <v>0</v>
      </c>
      <c r="HH958">
        <v>0</v>
      </c>
      <c r="HI958">
        <v>0</v>
      </c>
      <c r="HJ958">
        <v>803.40000000000009</v>
      </c>
      <c r="HK958">
        <v>1270.9000000000001</v>
      </c>
      <c r="HL958">
        <v>835.7</v>
      </c>
      <c r="HM958">
        <v>1162.5999999999999</v>
      </c>
      <c r="HN958">
        <v>0</v>
      </c>
      <c r="HO958">
        <v>0</v>
      </c>
      <c r="HP958">
        <v>0</v>
      </c>
      <c r="HQ958">
        <v>0</v>
      </c>
      <c r="HR958">
        <v>161.19999999999999</v>
      </c>
      <c r="HS958">
        <v>0</v>
      </c>
      <c r="HT958">
        <v>2048.5</v>
      </c>
      <c r="HU958">
        <v>2627.5</v>
      </c>
      <c r="HV958">
        <v>1168.5999999999999</v>
      </c>
      <c r="HW958">
        <v>388</v>
      </c>
      <c r="HX958">
        <v>0</v>
      </c>
      <c r="HY958">
        <v>0</v>
      </c>
      <c r="HZ958">
        <v>0</v>
      </c>
      <c r="IA958">
        <v>0</v>
      </c>
      <c r="IB958">
        <v>0</v>
      </c>
      <c r="IC958">
        <v>594.4</v>
      </c>
      <c r="ID958">
        <v>427.4</v>
      </c>
      <c r="IE958">
        <v>713.3</v>
      </c>
      <c r="IF958">
        <v>626.1</v>
      </c>
      <c r="IG958">
        <v>0</v>
      </c>
      <c r="IH958">
        <v>0</v>
      </c>
      <c r="II958">
        <v>995.7</v>
      </c>
      <c r="IJ958">
        <v>1156.5999999999999</v>
      </c>
      <c r="IK958">
        <v>864.6</v>
      </c>
      <c r="IL958">
        <v>316.5</v>
      </c>
      <c r="IM958">
        <v>101.5</v>
      </c>
      <c r="IN958">
        <v>71.8</v>
      </c>
      <c r="IO958">
        <v>0</v>
      </c>
      <c r="IP958">
        <v>0</v>
      </c>
      <c r="IQ958">
        <v>0</v>
      </c>
      <c r="IR958">
        <v>0</v>
      </c>
      <c r="IS958">
        <v>0</v>
      </c>
      <c r="IT958">
        <v>0</v>
      </c>
      <c r="IU958">
        <v>0</v>
      </c>
      <c r="IV958">
        <v>0</v>
      </c>
      <c r="IW958">
        <v>68</v>
      </c>
      <c r="IX958">
        <v>404.7</v>
      </c>
      <c r="IY958">
        <v>126.6</v>
      </c>
      <c r="IZ958">
        <v>126.6</v>
      </c>
      <c r="JA958">
        <v>503.7</v>
      </c>
      <c r="JB958">
        <v>570.1</v>
      </c>
      <c r="JC958">
        <v>328.3</v>
      </c>
      <c r="JD958">
        <v>0</v>
      </c>
      <c r="JE958">
        <v>0</v>
      </c>
      <c r="JF958">
        <v>0</v>
      </c>
      <c r="JG958">
        <v>0</v>
      </c>
      <c r="JH958">
        <v>287.3</v>
      </c>
      <c r="JI958">
        <v>68.2</v>
      </c>
      <c r="JJ958">
        <v>0</v>
      </c>
      <c r="JK958">
        <v>148.6</v>
      </c>
      <c r="JL958">
        <v>0</v>
      </c>
      <c r="JM958">
        <v>0</v>
      </c>
      <c r="JN958">
        <v>204.5</v>
      </c>
      <c r="JO958">
        <v>292.10000000000002</v>
      </c>
      <c r="JP958">
        <v>670.8</v>
      </c>
      <c r="JQ958">
        <v>745.2</v>
      </c>
      <c r="JR958">
        <v>242.9</v>
      </c>
    </row>
    <row r="959" spans="2:278" ht="18" thickBot="1">
      <c r="B959" s="368" t="s">
        <v>1319</v>
      </c>
      <c r="C959" s="368" t="s">
        <v>1627</v>
      </c>
      <c r="D959" s="368"/>
      <c r="E959" s="454">
        <v>22829.8</v>
      </c>
      <c r="F959">
        <v>20193.400000000001</v>
      </c>
      <c r="G959" s="427">
        <v>0</v>
      </c>
      <c r="H959" s="155">
        <v>0</v>
      </c>
      <c r="I959">
        <v>0</v>
      </c>
      <c r="J959">
        <v>0</v>
      </c>
      <c r="K959">
        <v>0</v>
      </c>
      <c r="L959" s="4">
        <v>0</v>
      </c>
      <c r="M959" s="4">
        <v>0</v>
      </c>
      <c r="N959" s="4">
        <v>0</v>
      </c>
      <c r="O959" s="4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1476.4</v>
      </c>
      <c r="X959">
        <v>1482</v>
      </c>
      <c r="Y959">
        <v>457.20000000000005</v>
      </c>
      <c r="Z959">
        <v>0</v>
      </c>
      <c r="AA959">
        <v>0</v>
      </c>
      <c r="AB959">
        <v>0</v>
      </c>
      <c r="AC959">
        <v>0</v>
      </c>
      <c r="AD959">
        <v>3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1828.6</v>
      </c>
      <c r="AK959">
        <v>1800.7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560.70000000000005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0</v>
      </c>
      <c r="BK959">
        <v>0</v>
      </c>
      <c r="BL959">
        <v>0</v>
      </c>
      <c r="BM959">
        <v>0</v>
      </c>
      <c r="BN959">
        <v>0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0</v>
      </c>
      <c r="BU959">
        <v>0</v>
      </c>
      <c r="BV959">
        <v>0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  <c r="CF959">
        <v>0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  <c r="CN959">
        <v>0</v>
      </c>
      <c r="CO959">
        <v>0</v>
      </c>
      <c r="CP959">
        <v>3.5</v>
      </c>
      <c r="CQ959">
        <v>0</v>
      </c>
      <c r="CR959">
        <v>528</v>
      </c>
      <c r="CS959">
        <v>581.79999999999995</v>
      </c>
      <c r="CT959">
        <v>555.40000000000009</v>
      </c>
      <c r="CU959">
        <v>737.4</v>
      </c>
      <c r="CV959">
        <v>1039.0999999999999</v>
      </c>
      <c r="CW959">
        <v>1667.3</v>
      </c>
      <c r="CX959">
        <v>877.6</v>
      </c>
      <c r="CY959">
        <v>910.40000000000009</v>
      </c>
      <c r="CZ959">
        <v>0</v>
      </c>
      <c r="DA959">
        <v>0</v>
      </c>
      <c r="DB959">
        <v>0</v>
      </c>
      <c r="DC959">
        <v>0</v>
      </c>
      <c r="DD959">
        <v>0</v>
      </c>
      <c r="DE959">
        <v>0</v>
      </c>
      <c r="DF959">
        <v>0</v>
      </c>
      <c r="DG959">
        <v>0</v>
      </c>
      <c r="DH959">
        <v>0</v>
      </c>
      <c r="DI959">
        <v>0</v>
      </c>
      <c r="DJ959">
        <v>0</v>
      </c>
      <c r="DK959">
        <v>0</v>
      </c>
      <c r="DL959">
        <v>995.5</v>
      </c>
      <c r="DM959">
        <v>712.7</v>
      </c>
      <c r="DN959">
        <v>0</v>
      </c>
      <c r="DO959">
        <v>0</v>
      </c>
      <c r="DP959">
        <v>0</v>
      </c>
      <c r="DQ959">
        <v>0</v>
      </c>
      <c r="DR959">
        <v>0</v>
      </c>
      <c r="DS959">
        <v>0</v>
      </c>
      <c r="DT959">
        <v>0</v>
      </c>
      <c r="DU959">
        <v>0</v>
      </c>
      <c r="DV959">
        <v>0</v>
      </c>
      <c r="DW959">
        <v>0</v>
      </c>
      <c r="DX959">
        <v>0</v>
      </c>
      <c r="DY959">
        <v>0</v>
      </c>
      <c r="DZ959">
        <v>0</v>
      </c>
      <c r="EA959">
        <v>0</v>
      </c>
      <c r="EB959">
        <v>0</v>
      </c>
      <c r="EC959">
        <v>0</v>
      </c>
      <c r="ED959">
        <v>0</v>
      </c>
      <c r="EE959">
        <v>0</v>
      </c>
      <c r="EF959">
        <v>0</v>
      </c>
      <c r="EG959">
        <v>0</v>
      </c>
      <c r="EH959">
        <v>0</v>
      </c>
      <c r="EI959">
        <v>0</v>
      </c>
      <c r="EJ959">
        <v>0</v>
      </c>
      <c r="EK959">
        <v>0</v>
      </c>
      <c r="EL959">
        <v>0</v>
      </c>
      <c r="EM959">
        <v>0</v>
      </c>
      <c r="EN959">
        <v>27.4</v>
      </c>
      <c r="EO959">
        <v>0</v>
      </c>
      <c r="EP959">
        <v>1002.5</v>
      </c>
      <c r="EQ959">
        <v>0</v>
      </c>
      <c r="ER959">
        <v>494</v>
      </c>
      <c r="ES959">
        <v>0</v>
      </c>
      <c r="ET959">
        <v>699.3</v>
      </c>
      <c r="EU959">
        <v>435.4</v>
      </c>
      <c r="EV959">
        <v>0</v>
      </c>
      <c r="EW959">
        <v>0</v>
      </c>
      <c r="EX959">
        <v>0</v>
      </c>
      <c r="EY959">
        <v>0</v>
      </c>
      <c r="EZ959">
        <v>0</v>
      </c>
      <c r="FA959">
        <v>0</v>
      </c>
      <c r="FB959">
        <v>0</v>
      </c>
      <c r="FC959">
        <v>0</v>
      </c>
      <c r="FD959">
        <v>95.6</v>
      </c>
      <c r="FE959">
        <v>1792.1</v>
      </c>
      <c r="FF959">
        <v>1740.1999999999998</v>
      </c>
      <c r="FG959">
        <v>954.9</v>
      </c>
      <c r="FH959">
        <v>1087.8000000000002</v>
      </c>
      <c r="FI959">
        <v>1892.1</v>
      </c>
      <c r="FJ959">
        <v>1222.5</v>
      </c>
      <c r="FK959">
        <v>678.3</v>
      </c>
      <c r="FL959">
        <v>639.1</v>
      </c>
      <c r="FM959">
        <v>520.5</v>
      </c>
      <c r="FN959">
        <v>123.8</v>
      </c>
      <c r="FO959">
        <v>181.6</v>
      </c>
      <c r="FP959">
        <v>1090.5</v>
      </c>
      <c r="FQ959">
        <v>0</v>
      </c>
      <c r="FR959">
        <v>0</v>
      </c>
      <c r="FS959">
        <v>0</v>
      </c>
      <c r="FT959">
        <v>0</v>
      </c>
      <c r="FU959">
        <v>0</v>
      </c>
      <c r="FV959">
        <v>0</v>
      </c>
      <c r="FW959">
        <v>0</v>
      </c>
      <c r="FX959">
        <v>0</v>
      </c>
      <c r="FY959">
        <v>0</v>
      </c>
      <c r="FZ959">
        <v>0</v>
      </c>
      <c r="GA959">
        <v>0</v>
      </c>
      <c r="GB959">
        <v>0</v>
      </c>
      <c r="GC959">
        <v>0</v>
      </c>
      <c r="GD959">
        <v>0</v>
      </c>
      <c r="GE959">
        <v>0</v>
      </c>
      <c r="GF959">
        <v>198.3</v>
      </c>
      <c r="GG959">
        <v>1054.4000000000001</v>
      </c>
      <c r="GH959">
        <v>552.79999999999995</v>
      </c>
      <c r="GI959">
        <v>522</v>
      </c>
      <c r="GJ959">
        <v>0</v>
      </c>
      <c r="GK959">
        <v>0</v>
      </c>
      <c r="GL959">
        <v>0</v>
      </c>
      <c r="GM959">
        <v>0</v>
      </c>
      <c r="GN959">
        <v>791.40000000000009</v>
      </c>
      <c r="GO959">
        <v>1816.5</v>
      </c>
      <c r="GP959">
        <v>0</v>
      </c>
      <c r="GQ959">
        <v>0</v>
      </c>
      <c r="GR959">
        <v>0</v>
      </c>
      <c r="GS959">
        <v>0</v>
      </c>
      <c r="GT959">
        <v>0</v>
      </c>
      <c r="GU959">
        <v>0</v>
      </c>
      <c r="GV959">
        <v>0</v>
      </c>
      <c r="GW959">
        <v>0</v>
      </c>
      <c r="GX959">
        <v>0</v>
      </c>
      <c r="GY959">
        <v>840.3</v>
      </c>
      <c r="GZ959">
        <v>0</v>
      </c>
      <c r="HA959">
        <v>0</v>
      </c>
      <c r="HB959">
        <v>0</v>
      </c>
      <c r="HC959">
        <v>380.4</v>
      </c>
      <c r="HD959">
        <v>2175.5</v>
      </c>
      <c r="HE959">
        <v>0</v>
      </c>
      <c r="HF959">
        <v>0</v>
      </c>
      <c r="HG959">
        <v>0</v>
      </c>
      <c r="HH959">
        <v>0</v>
      </c>
      <c r="HI959">
        <v>0</v>
      </c>
      <c r="HJ959">
        <v>803.40000000000009</v>
      </c>
      <c r="HK959">
        <v>1270.9000000000001</v>
      </c>
      <c r="HL959">
        <v>835.7</v>
      </c>
      <c r="HM959">
        <v>1162.5999999999999</v>
      </c>
      <c r="HN959">
        <v>0</v>
      </c>
      <c r="HO959">
        <v>0</v>
      </c>
      <c r="HP959">
        <v>0</v>
      </c>
      <c r="HQ959">
        <v>0</v>
      </c>
      <c r="HR959">
        <v>161.19999999999999</v>
      </c>
      <c r="HS959">
        <v>0</v>
      </c>
      <c r="HT959">
        <v>2048.5</v>
      </c>
      <c r="HU959">
        <v>2627.5</v>
      </c>
      <c r="HV959">
        <v>1168.5999999999999</v>
      </c>
      <c r="HW959">
        <v>388</v>
      </c>
      <c r="HX959">
        <v>0</v>
      </c>
      <c r="HY959">
        <v>0</v>
      </c>
      <c r="HZ959">
        <v>0</v>
      </c>
      <c r="IA959">
        <v>0</v>
      </c>
      <c r="IB959">
        <v>0</v>
      </c>
      <c r="IC959">
        <v>594.4</v>
      </c>
      <c r="ID959">
        <v>427.4</v>
      </c>
      <c r="IE959">
        <v>713.3</v>
      </c>
      <c r="IF959">
        <v>626.1</v>
      </c>
      <c r="IG959">
        <v>0</v>
      </c>
      <c r="IH959">
        <v>0</v>
      </c>
      <c r="II959">
        <v>995.7</v>
      </c>
      <c r="IJ959">
        <v>1156.5999999999999</v>
      </c>
      <c r="IK959">
        <v>864.6</v>
      </c>
      <c r="IL959">
        <v>316.5</v>
      </c>
      <c r="IM959">
        <v>101.5</v>
      </c>
      <c r="IN959">
        <v>71.8</v>
      </c>
      <c r="IO959">
        <v>0</v>
      </c>
      <c r="IP959">
        <v>0</v>
      </c>
      <c r="IQ959">
        <v>0</v>
      </c>
      <c r="IR959">
        <v>0</v>
      </c>
      <c r="IS959">
        <v>0</v>
      </c>
      <c r="IT959">
        <v>0</v>
      </c>
      <c r="IU959">
        <v>0</v>
      </c>
      <c r="IV959">
        <v>0</v>
      </c>
      <c r="IW959">
        <v>68</v>
      </c>
      <c r="IX959">
        <v>404.7</v>
      </c>
      <c r="IY959">
        <v>126.6</v>
      </c>
      <c r="IZ959">
        <v>126.6</v>
      </c>
      <c r="JA959">
        <v>503.7</v>
      </c>
      <c r="JB959">
        <v>570.1</v>
      </c>
      <c r="JC959">
        <v>328.3</v>
      </c>
      <c r="JD959">
        <v>0</v>
      </c>
      <c r="JE959">
        <v>0</v>
      </c>
      <c r="JF959">
        <v>0</v>
      </c>
      <c r="JG959">
        <v>0</v>
      </c>
      <c r="JH959">
        <v>287.3</v>
      </c>
      <c r="JI959">
        <v>68.2</v>
      </c>
      <c r="JJ959">
        <v>0</v>
      </c>
      <c r="JK959">
        <v>148.6</v>
      </c>
      <c r="JL959">
        <v>0</v>
      </c>
      <c r="JM959">
        <v>0</v>
      </c>
      <c r="JN959">
        <v>204.5</v>
      </c>
      <c r="JO959">
        <v>292.10000000000002</v>
      </c>
      <c r="JP959">
        <v>670.8</v>
      </c>
      <c r="JQ959">
        <v>745.2</v>
      </c>
      <c r="JR959">
        <v>242.9</v>
      </c>
    </row>
    <row r="960" spans="2:278" ht="18" thickBot="1">
      <c r="B960" s="516" t="s">
        <v>1320</v>
      </c>
      <c r="C960" s="519" t="s">
        <v>1628</v>
      </c>
      <c r="D960" s="519" t="s">
        <v>1466</v>
      </c>
      <c r="E960" s="454">
        <v>22829.8</v>
      </c>
      <c r="F960">
        <v>20193.400000000001</v>
      </c>
      <c r="G960" s="427">
        <v>0</v>
      </c>
      <c r="H960" s="155">
        <v>0</v>
      </c>
      <c r="I960">
        <v>0</v>
      </c>
      <c r="J960">
        <v>0</v>
      </c>
      <c r="K960">
        <v>0</v>
      </c>
      <c r="L960" s="4">
        <v>0</v>
      </c>
      <c r="M960" s="4">
        <v>0</v>
      </c>
      <c r="N960" s="4">
        <v>0</v>
      </c>
      <c r="O960" s="4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1476.4</v>
      </c>
      <c r="X960">
        <v>1482</v>
      </c>
      <c r="Y960">
        <v>457.20000000000005</v>
      </c>
      <c r="Z960">
        <v>0</v>
      </c>
      <c r="AA960">
        <v>0</v>
      </c>
      <c r="AB960">
        <v>0</v>
      </c>
      <c r="AC960">
        <v>0</v>
      </c>
      <c r="AD960">
        <v>3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1828.6</v>
      </c>
      <c r="AK960">
        <v>1800.7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560.70000000000005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  <c r="CF960">
        <v>0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  <c r="CN960">
        <v>0</v>
      </c>
      <c r="CO960">
        <v>0</v>
      </c>
      <c r="CP960">
        <v>3.5</v>
      </c>
      <c r="CQ960">
        <v>0</v>
      </c>
      <c r="CR960">
        <v>528</v>
      </c>
      <c r="CS960">
        <v>581.79999999999995</v>
      </c>
      <c r="CT960">
        <v>555.40000000000009</v>
      </c>
      <c r="CU960">
        <v>737.4</v>
      </c>
      <c r="CV960">
        <v>1039.0999999999999</v>
      </c>
      <c r="CW960">
        <v>1667.3</v>
      </c>
      <c r="CX960">
        <v>877.6</v>
      </c>
      <c r="CY960">
        <v>910.40000000000009</v>
      </c>
      <c r="CZ960">
        <v>0</v>
      </c>
      <c r="DA960">
        <v>0</v>
      </c>
      <c r="DB960">
        <v>0</v>
      </c>
      <c r="DC960">
        <v>0</v>
      </c>
      <c r="DD960">
        <v>0</v>
      </c>
      <c r="DE960">
        <v>0</v>
      </c>
      <c r="DF960">
        <v>0</v>
      </c>
      <c r="DG960">
        <v>0</v>
      </c>
      <c r="DH960">
        <v>0</v>
      </c>
      <c r="DI960">
        <v>0</v>
      </c>
      <c r="DJ960">
        <v>0</v>
      </c>
      <c r="DK960">
        <v>0</v>
      </c>
      <c r="DL960">
        <v>995.5</v>
      </c>
      <c r="DM960">
        <v>712.7</v>
      </c>
      <c r="DN960">
        <v>0</v>
      </c>
      <c r="DO960">
        <v>0</v>
      </c>
      <c r="DP960">
        <v>0</v>
      </c>
      <c r="DQ960">
        <v>0</v>
      </c>
      <c r="DR960">
        <v>0</v>
      </c>
      <c r="DS960">
        <v>0</v>
      </c>
      <c r="DT960">
        <v>0</v>
      </c>
      <c r="DU960">
        <v>0</v>
      </c>
      <c r="DV960">
        <v>0</v>
      </c>
      <c r="DW960">
        <v>0</v>
      </c>
      <c r="DX960">
        <v>0</v>
      </c>
      <c r="DY960">
        <v>0</v>
      </c>
      <c r="DZ960">
        <v>0</v>
      </c>
      <c r="EA960">
        <v>0</v>
      </c>
      <c r="EB960">
        <v>0</v>
      </c>
      <c r="EC960">
        <v>0</v>
      </c>
      <c r="ED960">
        <v>0</v>
      </c>
      <c r="EE960">
        <v>0</v>
      </c>
      <c r="EF960">
        <v>0</v>
      </c>
      <c r="EG960">
        <v>0</v>
      </c>
      <c r="EH960">
        <v>0</v>
      </c>
      <c r="EI960">
        <v>0</v>
      </c>
      <c r="EJ960">
        <v>0</v>
      </c>
      <c r="EK960">
        <v>0</v>
      </c>
      <c r="EL960">
        <v>0</v>
      </c>
      <c r="EM960">
        <v>0</v>
      </c>
      <c r="EN960">
        <v>27.4</v>
      </c>
      <c r="EO960">
        <v>0</v>
      </c>
      <c r="EP960">
        <v>1002.5</v>
      </c>
      <c r="EQ960">
        <v>0</v>
      </c>
      <c r="ER960">
        <v>494</v>
      </c>
      <c r="ES960">
        <v>0</v>
      </c>
      <c r="ET960">
        <v>699.3</v>
      </c>
      <c r="EU960">
        <v>435.4</v>
      </c>
      <c r="EV960">
        <v>0</v>
      </c>
      <c r="EW960">
        <v>0</v>
      </c>
      <c r="EX960">
        <v>0</v>
      </c>
      <c r="EY960">
        <v>0</v>
      </c>
      <c r="EZ960">
        <v>0</v>
      </c>
      <c r="FA960">
        <v>0</v>
      </c>
      <c r="FB960">
        <v>0</v>
      </c>
      <c r="FC960">
        <v>0</v>
      </c>
      <c r="FD960">
        <v>95.6</v>
      </c>
      <c r="FE960">
        <v>1792.1</v>
      </c>
      <c r="FF960">
        <v>1740.1999999999998</v>
      </c>
      <c r="FG960">
        <v>954.9</v>
      </c>
      <c r="FH960">
        <v>1087.8000000000002</v>
      </c>
      <c r="FI960">
        <v>1892.1</v>
      </c>
      <c r="FJ960">
        <v>1222.5</v>
      </c>
      <c r="FK960">
        <v>678.3</v>
      </c>
      <c r="FL960">
        <v>639.1</v>
      </c>
      <c r="FM960">
        <v>520.5</v>
      </c>
      <c r="FN960">
        <v>123.8</v>
      </c>
      <c r="FO960">
        <v>181.6</v>
      </c>
      <c r="FP960">
        <v>1090.5</v>
      </c>
      <c r="FQ960">
        <v>0</v>
      </c>
      <c r="FR960">
        <v>0</v>
      </c>
      <c r="FS960">
        <v>0</v>
      </c>
      <c r="FT960">
        <v>0</v>
      </c>
      <c r="FU960">
        <v>0</v>
      </c>
      <c r="FV960">
        <v>0</v>
      </c>
      <c r="FW960">
        <v>0</v>
      </c>
      <c r="FX960">
        <v>0</v>
      </c>
      <c r="FY960">
        <v>0</v>
      </c>
      <c r="FZ960">
        <v>0</v>
      </c>
      <c r="GA960">
        <v>0</v>
      </c>
      <c r="GB960">
        <v>0</v>
      </c>
      <c r="GC960">
        <v>0</v>
      </c>
      <c r="GD960">
        <v>0</v>
      </c>
      <c r="GE960">
        <v>0</v>
      </c>
      <c r="GF960">
        <v>198.3</v>
      </c>
      <c r="GG960">
        <v>1054.4000000000001</v>
      </c>
      <c r="GH960">
        <v>552.79999999999995</v>
      </c>
      <c r="GI960">
        <v>522</v>
      </c>
      <c r="GJ960">
        <v>0</v>
      </c>
      <c r="GK960">
        <v>0</v>
      </c>
      <c r="GL960">
        <v>0</v>
      </c>
      <c r="GM960">
        <v>0</v>
      </c>
      <c r="GN960">
        <v>791.40000000000009</v>
      </c>
      <c r="GO960">
        <v>1816.5</v>
      </c>
      <c r="GP960">
        <v>0</v>
      </c>
      <c r="GQ960">
        <v>0</v>
      </c>
      <c r="GR960">
        <v>0</v>
      </c>
      <c r="GS960">
        <v>0</v>
      </c>
      <c r="GT960">
        <v>0</v>
      </c>
      <c r="GU960">
        <v>0</v>
      </c>
      <c r="GV960">
        <v>0</v>
      </c>
      <c r="GW960">
        <v>0</v>
      </c>
      <c r="GX960">
        <v>0</v>
      </c>
      <c r="GY960">
        <v>840.3</v>
      </c>
      <c r="GZ960">
        <v>0</v>
      </c>
      <c r="HA960">
        <v>0</v>
      </c>
      <c r="HB960">
        <v>0</v>
      </c>
      <c r="HC960">
        <v>380.4</v>
      </c>
      <c r="HD960">
        <v>2175.5</v>
      </c>
      <c r="HE960">
        <v>0</v>
      </c>
      <c r="HF960">
        <v>0</v>
      </c>
      <c r="HG960">
        <v>0</v>
      </c>
      <c r="HH960">
        <v>0</v>
      </c>
      <c r="HI960">
        <v>0</v>
      </c>
      <c r="HJ960">
        <v>803.40000000000009</v>
      </c>
      <c r="HK960">
        <v>1270.9000000000001</v>
      </c>
      <c r="HL960">
        <v>835.7</v>
      </c>
      <c r="HM960">
        <v>1162.5999999999999</v>
      </c>
      <c r="HN960">
        <v>0</v>
      </c>
      <c r="HO960">
        <v>0</v>
      </c>
      <c r="HP960">
        <v>0</v>
      </c>
      <c r="HQ960">
        <v>0</v>
      </c>
      <c r="HR960">
        <v>161.19999999999999</v>
      </c>
      <c r="HS960">
        <v>0</v>
      </c>
      <c r="HT960">
        <v>2048.5</v>
      </c>
      <c r="HU960">
        <v>2627.5</v>
      </c>
      <c r="HV960">
        <v>1168.5999999999999</v>
      </c>
      <c r="HW960">
        <v>388</v>
      </c>
      <c r="HX960">
        <v>0</v>
      </c>
      <c r="HY960">
        <v>0</v>
      </c>
      <c r="HZ960">
        <v>0</v>
      </c>
      <c r="IA960">
        <v>0</v>
      </c>
      <c r="IB960">
        <v>0</v>
      </c>
      <c r="IC960">
        <v>594.4</v>
      </c>
      <c r="ID960">
        <v>427.4</v>
      </c>
      <c r="IE960">
        <v>713.3</v>
      </c>
      <c r="IF960">
        <v>626.1</v>
      </c>
      <c r="IG960">
        <v>0</v>
      </c>
      <c r="IH960">
        <v>0</v>
      </c>
      <c r="II960">
        <v>995.7</v>
      </c>
      <c r="IJ960">
        <v>1156.5999999999999</v>
      </c>
      <c r="IK960">
        <v>864.6</v>
      </c>
      <c r="IL960">
        <v>316.5</v>
      </c>
      <c r="IM960">
        <v>101.5</v>
      </c>
      <c r="IN960">
        <v>71.8</v>
      </c>
      <c r="IO960">
        <v>0</v>
      </c>
      <c r="IP960">
        <v>0</v>
      </c>
      <c r="IQ960">
        <v>0</v>
      </c>
      <c r="IR960">
        <v>0</v>
      </c>
      <c r="IS960">
        <v>0</v>
      </c>
      <c r="IT960">
        <v>0</v>
      </c>
      <c r="IU960">
        <v>0</v>
      </c>
      <c r="IV960">
        <v>0</v>
      </c>
      <c r="IW960">
        <v>68</v>
      </c>
      <c r="IX960">
        <v>404.7</v>
      </c>
      <c r="IY960">
        <v>126.6</v>
      </c>
      <c r="IZ960">
        <v>126.6</v>
      </c>
      <c r="JA960">
        <v>503.7</v>
      </c>
      <c r="JB960">
        <v>570.1</v>
      </c>
      <c r="JC960">
        <v>328.3</v>
      </c>
      <c r="JD960">
        <v>0</v>
      </c>
      <c r="JE960">
        <v>0</v>
      </c>
      <c r="JF960">
        <v>0</v>
      </c>
      <c r="JG960">
        <v>0</v>
      </c>
      <c r="JH960">
        <v>287.3</v>
      </c>
      <c r="JI960">
        <v>68.2</v>
      </c>
      <c r="JJ960">
        <v>0</v>
      </c>
      <c r="JK960">
        <v>148.6</v>
      </c>
      <c r="JL960">
        <v>0</v>
      </c>
      <c r="JM960">
        <v>0</v>
      </c>
      <c r="JN960">
        <v>204.5</v>
      </c>
      <c r="JO960">
        <v>292.10000000000002</v>
      </c>
      <c r="JP960">
        <v>670.8</v>
      </c>
      <c r="JQ960">
        <v>745.2</v>
      </c>
      <c r="JR960">
        <v>242.9</v>
      </c>
    </row>
    <row r="961" spans="2:278" ht="18" thickBot="1">
      <c r="B961" s="516"/>
      <c r="C961" s="519"/>
      <c r="D961" s="519"/>
      <c r="E961" s="454">
        <v>22829.8</v>
      </c>
      <c r="F961">
        <v>20193.400000000001</v>
      </c>
      <c r="G961" s="427">
        <v>0</v>
      </c>
      <c r="H961" s="155">
        <v>0</v>
      </c>
      <c r="I961">
        <v>0</v>
      </c>
      <c r="J961">
        <v>0</v>
      </c>
      <c r="K961">
        <v>0</v>
      </c>
      <c r="L961" s="4">
        <v>0</v>
      </c>
      <c r="M961" s="4">
        <v>0</v>
      </c>
      <c r="N961" s="4">
        <v>0</v>
      </c>
      <c r="O961" s="4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1476.4</v>
      </c>
      <c r="X961">
        <v>1482</v>
      </c>
      <c r="Y961">
        <v>457.20000000000005</v>
      </c>
      <c r="Z961">
        <v>0</v>
      </c>
      <c r="AA961">
        <v>0</v>
      </c>
      <c r="AB961">
        <v>0</v>
      </c>
      <c r="AC961">
        <v>0</v>
      </c>
      <c r="AD961">
        <v>3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1828.6</v>
      </c>
      <c r="AK961">
        <v>1800.7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560.70000000000005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0</v>
      </c>
      <c r="BU961">
        <v>0</v>
      </c>
      <c r="BV961">
        <v>0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  <c r="CF961">
        <v>0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  <c r="CN961">
        <v>0</v>
      </c>
      <c r="CO961">
        <v>0</v>
      </c>
      <c r="CP961">
        <v>3.5</v>
      </c>
      <c r="CQ961">
        <v>0</v>
      </c>
      <c r="CR961">
        <v>528</v>
      </c>
      <c r="CS961">
        <v>581.79999999999995</v>
      </c>
      <c r="CT961">
        <v>555.40000000000009</v>
      </c>
      <c r="CU961">
        <v>737.4</v>
      </c>
      <c r="CV961">
        <v>1039.0999999999999</v>
      </c>
      <c r="CW961">
        <v>1667.3</v>
      </c>
      <c r="CX961">
        <v>877.6</v>
      </c>
      <c r="CY961">
        <v>910.40000000000009</v>
      </c>
      <c r="CZ961">
        <v>0</v>
      </c>
      <c r="DA961">
        <v>0</v>
      </c>
      <c r="DB961">
        <v>0</v>
      </c>
      <c r="DC961">
        <v>0</v>
      </c>
      <c r="DD961">
        <v>0</v>
      </c>
      <c r="DE961">
        <v>0</v>
      </c>
      <c r="DF961">
        <v>0</v>
      </c>
      <c r="DG961">
        <v>0</v>
      </c>
      <c r="DH961">
        <v>0</v>
      </c>
      <c r="DI961">
        <v>0</v>
      </c>
      <c r="DJ961">
        <v>0</v>
      </c>
      <c r="DK961">
        <v>0</v>
      </c>
      <c r="DL961">
        <v>995.5</v>
      </c>
      <c r="DM961">
        <v>712.7</v>
      </c>
      <c r="DN961">
        <v>0</v>
      </c>
      <c r="DO961">
        <v>0</v>
      </c>
      <c r="DP961">
        <v>0</v>
      </c>
      <c r="DQ961">
        <v>0</v>
      </c>
      <c r="DR961">
        <v>0</v>
      </c>
      <c r="DS961">
        <v>0</v>
      </c>
      <c r="DT961">
        <v>0</v>
      </c>
      <c r="DU961">
        <v>0</v>
      </c>
      <c r="DV961">
        <v>0</v>
      </c>
      <c r="DW961">
        <v>0</v>
      </c>
      <c r="DX961">
        <v>0</v>
      </c>
      <c r="DY961">
        <v>0</v>
      </c>
      <c r="DZ961">
        <v>0</v>
      </c>
      <c r="EA961">
        <v>0</v>
      </c>
      <c r="EB961">
        <v>0</v>
      </c>
      <c r="EC961">
        <v>0</v>
      </c>
      <c r="ED961">
        <v>0</v>
      </c>
      <c r="EE961">
        <v>0</v>
      </c>
      <c r="EF961">
        <v>0</v>
      </c>
      <c r="EG961">
        <v>0</v>
      </c>
      <c r="EH961">
        <v>0</v>
      </c>
      <c r="EI961">
        <v>0</v>
      </c>
      <c r="EJ961">
        <v>0</v>
      </c>
      <c r="EK961">
        <v>0</v>
      </c>
      <c r="EL961">
        <v>0</v>
      </c>
      <c r="EM961">
        <v>0</v>
      </c>
      <c r="EN961">
        <v>27.4</v>
      </c>
      <c r="EO961">
        <v>0</v>
      </c>
      <c r="EP961">
        <v>1002.5</v>
      </c>
      <c r="EQ961">
        <v>0</v>
      </c>
      <c r="ER961">
        <v>494</v>
      </c>
      <c r="ES961">
        <v>0</v>
      </c>
      <c r="ET961">
        <v>699.3</v>
      </c>
      <c r="EU961">
        <v>435.4</v>
      </c>
      <c r="EV961">
        <v>0</v>
      </c>
      <c r="EW961">
        <v>0</v>
      </c>
      <c r="EX961">
        <v>0</v>
      </c>
      <c r="EY961">
        <v>0</v>
      </c>
      <c r="EZ961">
        <v>0</v>
      </c>
      <c r="FA961">
        <v>0</v>
      </c>
      <c r="FB961">
        <v>0</v>
      </c>
      <c r="FC961">
        <v>0</v>
      </c>
      <c r="FD961">
        <v>95.6</v>
      </c>
      <c r="FE961">
        <v>1792.1</v>
      </c>
      <c r="FF961">
        <v>1740.1999999999998</v>
      </c>
      <c r="FG961">
        <v>954.9</v>
      </c>
      <c r="FH961">
        <v>1087.8000000000002</v>
      </c>
      <c r="FI961">
        <v>1892.1</v>
      </c>
      <c r="FJ961">
        <v>1222.5</v>
      </c>
      <c r="FK961">
        <v>678.3</v>
      </c>
      <c r="FL961">
        <v>639.1</v>
      </c>
      <c r="FM961">
        <v>520.5</v>
      </c>
      <c r="FN961">
        <v>123.8</v>
      </c>
      <c r="FO961">
        <v>181.6</v>
      </c>
      <c r="FP961">
        <v>1090.5</v>
      </c>
      <c r="FQ961">
        <v>0</v>
      </c>
      <c r="FR961">
        <v>0</v>
      </c>
      <c r="FS961">
        <v>0</v>
      </c>
      <c r="FT961">
        <v>0</v>
      </c>
      <c r="FU961">
        <v>0</v>
      </c>
      <c r="FV961">
        <v>0</v>
      </c>
      <c r="FW961">
        <v>0</v>
      </c>
      <c r="FX961">
        <v>0</v>
      </c>
      <c r="FY961">
        <v>0</v>
      </c>
      <c r="FZ961">
        <v>0</v>
      </c>
      <c r="GA961">
        <v>0</v>
      </c>
      <c r="GB961">
        <v>0</v>
      </c>
      <c r="GC961">
        <v>0</v>
      </c>
      <c r="GD961">
        <v>0</v>
      </c>
      <c r="GE961">
        <v>0</v>
      </c>
      <c r="GF961">
        <v>198.3</v>
      </c>
      <c r="GG961">
        <v>1054.4000000000001</v>
      </c>
      <c r="GH961">
        <v>552.79999999999995</v>
      </c>
      <c r="GI961">
        <v>522</v>
      </c>
      <c r="GJ961">
        <v>0</v>
      </c>
      <c r="GK961">
        <v>0</v>
      </c>
      <c r="GL961">
        <v>0</v>
      </c>
      <c r="GM961">
        <v>0</v>
      </c>
      <c r="GN961">
        <v>791.40000000000009</v>
      </c>
      <c r="GO961">
        <v>1816.5</v>
      </c>
      <c r="GP961">
        <v>0</v>
      </c>
      <c r="GQ961">
        <v>0</v>
      </c>
      <c r="GR961">
        <v>0</v>
      </c>
      <c r="GS961">
        <v>0</v>
      </c>
      <c r="GT961">
        <v>0</v>
      </c>
      <c r="GU961">
        <v>0</v>
      </c>
      <c r="GV961">
        <v>0</v>
      </c>
      <c r="GW961">
        <v>0</v>
      </c>
      <c r="GX961">
        <v>0</v>
      </c>
      <c r="GY961">
        <v>840.3</v>
      </c>
      <c r="GZ961">
        <v>0</v>
      </c>
      <c r="HA961">
        <v>0</v>
      </c>
      <c r="HB961">
        <v>0</v>
      </c>
      <c r="HC961">
        <v>380.4</v>
      </c>
      <c r="HD961">
        <v>2175.5</v>
      </c>
      <c r="HE961">
        <v>0</v>
      </c>
      <c r="HF961">
        <v>0</v>
      </c>
      <c r="HG961">
        <v>0</v>
      </c>
      <c r="HH961">
        <v>0</v>
      </c>
      <c r="HI961">
        <v>0</v>
      </c>
      <c r="HJ961">
        <v>803.40000000000009</v>
      </c>
      <c r="HK961">
        <v>1270.9000000000001</v>
      </c>
      <c r="HL961">
        <v>835.7</v>
      </c>
      <c r="HM961">
        <v>1162.5999999999999</v>
      </c>
      <c r="HN961">
        <v>0</v>
      </c>
      <c r="HO961">
        <v>0</v>
      </c>
      <c r="HP961">
        <v>0</v>
      </c>
      <c r="HQ961">
        <v>0</v>
      </c>
      <c r="HR961">
        <v>161.19999999999999</v>
      </c>
      <c r="HS961">
        <v>0</v>
      </c>
      <c r="HT961">
        <v>2048.5</v>
      </c>
      <c r="HU961">
        <v>2627.5</v>
      </c>
      <c r="HV961">
        <v>1168.5999999999999</v>
      </c>
      <c r="HW961">
        <v>388</v>
      </c>
      <c r="HX961">
        <v>0</v>
      </c>
      <c r="HY961">
        <v>0</v>
      </c>
      <c r="HZ961">
        <v>0</v>
      </c>
      <c r="IA961">
        <v>0</v>
      </c>
      <c r="IB961">
        <v>0</v>
      </c>
      <c r="IC961">
        <v>594.4</v>
      </c>
      <c r="ID961">
        <v>427.4</v>
      </c>
      <c r="IE961">
        <v>713.3</v>
      </c>
      <c r="IF961">
        <v>626.1</v>
      </c>
      <c r="IG961">
        <v>0</v>
      </c>
      <c r="IH961">
        <v>0</v>
      </c>
      <c r="II961">
        <v>995.7</v>
      </c>
      <c r="IJ961">
        <v>1156.5999999999999</v>
      </c>
      <c r="IK961">
        <v>864.6</v>
      </c>
      <c r="IL961">
        <v>316.5</v>
      </c>
      <c r="IM961">
        <v>101.5</v>
      </c>
      <c r="IN961">
        <v>71.8</v>
      </c>
      <c r="IO961">
        <v>0</v>
      </c>
      <c r="IP961">
        <v>0</v>
      </c>
      <c r="IQ961">
        <v>0</v>
      </c>
      <c r="IR961">
        <v>0</v>
      </c>
      <c r="IS961">
        <v>0</v>
      </c>
      <c r="IT961">
        <v>0</v>
      </c>
      <c r="IU961">
        <v>0</v>
      </c>
      <c r="IV961">
        <v>0</v>
      </c>
      <c r="IW961">
        <v>68</v>
      </c>
      <c r="IX961">
        <v>404.7</v>
      </c>
      <c r="IY961">
        <v>126.6</v>
      </c>
      <c r="IZ961">
        <v>126.6</v>
      </c>
      <c r="JA961">
        <v>503.7</v>
      </c>
      <c r="JB961">
        <v>570.1</v>
      </c>
      <c r="JC961">
        <v>328.3</v>
      </c>
      <c r="JD961">
        <v>0</v>
      </c>
      <c r="JE961">
        <v>0</v>
      </c>
      <c r="JF961">
        <v>0</v>
      </c>
      <c r="JG961">
        <v>0</v>
      </c>
      <c r="JH961">
        <v>287.3</v>
      </c>
      <c r="JI961">
        <v>68.2</v>
      </c>
      <c r="JJ961">
        <v>0</v>
      </c>
      <c r="JK961">
        <v>148.6</v>
      </c>
      <c r="JL961">
        <v>0</v>
      </c>
      <c r="JM961">
        <v>0</v>
      </c>
      <c r="JN961">
        <v>204.5</v>
      </c>
      <c r="JO961">
        <v>292.10000000000002</v>
      </c>
      <c r="JP961">
        <v>670.8</v>
      </c>
      <c r="JQ961">
        <v>745.2</v>
      </c>
      <c r="JR961">
        <v>242.9</v>
      </c>
    </row>
    <row r="962" spans="2:278" ht="18" thickBot="1">
      <c r="B962" s="368" t="s">
        <v>1321</v>
      </c>
      <c r="C962" s="368" t="s">
        <v>1629</v>
      </c>
      <c r="D962" s="368"/>
      <c r="E962" s="454">
        <v>22829.8</v>
      </c>
      <c r="F962">
        <v>20193.400000000001</v>
      </c>
      <c r="G962" s="427">
        <v>0</v>
      </c>
      <c r="H962" s="155">
        <v>0</v>
      </c>
      <c r="I962">
        <v>0</v>
      </c>
      <c r="J962">
        <v>0</v>
      </c>
      <c r="K962">
        <v>0</v>
      </c>
      <c r="L962" s="4">
        <v>0</v>
      </c>
      <c r="M962" s="4">
        <v>0</v>
      </c>
      <c r="N962" s="4">
        <v>0</v>
      </c>
      <c r="O962" s="4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1476.4</v>
      </c>
      <c r="X962">
        <v>1482</v>
      </c>
      <c r="Y962">
        <v>457.20000000000005</v>
      </c>
      <c r="Z962">
        <v>0</v>
      </c>
      <c r="AA962">
        <v>0</v>
      </c>
      <c r="AB962">
        <v>0</v>
      </c>
      <c r="AC962">
        <v>0</v>
      </c>
      <c r="AD962">
        <v>3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1828.6</v>
      </c>
      <c r="AK962">
        <v>1800.7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560.70000000000005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  <c r="CF962">
        <v>0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  <c r="CN962">
        <v>0</v>
      </c>
      <c r="CO962">
        <v>0</v>
      </c>
      <c r="CP962">
        <v>3.5</v>
      </c>
      <c r="CQ962">
        <v>0</v>
      </c>
      <c r="CR962">
        <v>528</v>
      </c>
      <c r="CS962">
        <v>581.79999999999995</v>
      </c>
      <c r="CT962">
        <v>555.40000000000009</v>
      </c>
      <c r="CU962">
        <v>737.4</v>
      </c>
      <c r="CV962">
        <v>1039.0999999999999</v>
      </c>
      <c r="CW962">
        <v>1667.3</v>
      </c>
      <c r="CX962">
        <v>877.6</v>
      </c>
      <c r="CY962">
        <v>910.40000000000009</v>
      </c>
      <c r="CZ962">
        <v>0</v>
      </c>
      <c r="DA962">
        <v>0</v>
      </c>
      <c r="DB962">
        <v>0</v>
      </c>
      <c r="DC962">
        <v>0</v>
      </c>
      <c r="DD962">
        <v>0</v>
      </c>
      <c r="DE962">
        <v>0</v>
      </c>
      <c r="DF962">
        <v>0</v>
      </c>
      <c r="DG962">
        <v>0</v>
      </c>
      <c r="DH962">
        <v>0</v>
      </c>
      <c r="DI962">
        <v>0</v>
      </c>
      <c r="DJ962">
        <v>0</v>
      </c>
      <c r="DK962">
        <v>0</v>
      </c>
      <c r="DL962">
        <v>995.5</v>
      </c>
      <c r="DM962">
        <v>712.7</v>
      </c>
      <c r="DN962">
        <v>0</v>
      </c>
      <c r="DO962">
        <v>0</v>
      </c>
      <c r="DP962">
        <v>0</v>
      </c>
      <c r="DQ962">
        <v>0</v>
      </c>
      <c r="DR962">
        <v>0</v>
      </c>
      <c r="DS962">
        <v>0</v>
      </c>
      <c r="DT962">
        <v>0</v>
      </c>
      <c r="DU962">
        <v>0</v>
      </c>
      <c r="DV962">
        <v>0</v>
      </c>
      <c r="DW962">
        <v>0</v>
      </c>
      <c r="DX962">
        <v>0</v>
      </c>
      <c r="DY962">
        <v>0</v>
      </c>
      <c r="DZ962">
        <v>0</v>
      </c>
      <c r="EA962">
        <v>0</v>
      </c>
      <c r="EB962">
        <v>0</v>
      </c>
      <c r="EC962">
        <v>0</v>
      </c>
      <c r="ED962">
        <v>0</v>
      </c>
      <c r="EE962">
        <v>0</v>
      </c>
      <c r="EF962">
        <v>0</v>
      </c>
      <c r="EG962">
        <v>0</v>
      </c>
      <c r="EH962">
        <v>0</v>
      </c>
      <c r="EI962">
        <v>0</v>
      </c>
      <c r="EJ962">
        <v>0</v>
      </c>
      <c r="EK962">
        <v>0</v>
      </c>
      <c r="EL962">
        <v>0</v>
      </c>
      <c r="EM962">
        <v>0</v>
      </c>
      <c r="EN962">
        <v>27.4</v>
      </c>
      <c r="EO962">
        <v>0</v>
      </c>
      <c r="EP962">
        <v>1002.5</v>
      </c>
      <c r="EQ962">
        <v>0</v>
      </c>
      <c r="ER962">
        <v>494</v>
      </c>
      <c r="ES962">
        <v>0</v>
      </c>
      <c r="ET962">
        <v>699.3</v>
      </c>
      <c r="EU962">
        <v>435.4</v>
      </c>
      <c r="EV962">
        <v>0</v>
      </c>
      <c r="EW962">
        <v>0</v>
      </c>
      <c r="EX962">
        <v>0</v>
      </c>
      <c r="EY962">
        <v>0</v>
      </c>
      <c r="EZ962">
        <v>0</v>
      </c>
      <c r="FA962">
        <v>0</v>
      </c>
      <c r="FB962">
        <v>0</v>
      </c>
      <c r="FC962">
        <v>0</v>
      </c>
      <c r="FD962">
        <v>95.6</v>
      </c>
      <c r="FE962">
        <v>1792.1</v>
      </c>
      <c r="FF962">
        <v>1740.1999999999998</v>
      </c>
      <c r="FG962">
        <v>954.9</v>
      </c>
      <c r="FH962">
        <v>1087.8000000000002</v>
      </c>
      <c r="FI962">
        <v>1892.1</v>
      </c>
      <c r="FJ962">
        <v>1222.5</v>
      </c>
      <c r="FK962">
        <v>678.3</v>
      </c>
      <c r="FL962">
        <v>639.1</v>
      </c>
      <c r="FM962">
        <v>520.5</v>
      </c>
      <c r="FN962">
        <v>123.8</v>
      </c>
      <c r="FO962">
        <v>181.6</v>
      </c>
      <c r="FP962">
        <v>1090.5</v>
      </c>
      <c r="FQ962">
        <v>0</v>
      </c>
      <c r="FR962">
        <v>0</v>
      </c>
      <c r="FS962">
        <v>0</v>
      </c>
      <c r="FT962">
        <v>0</v>
      </c>
      <c r="FU962">
        <v>0</v>
      </c>
      <c r="FV962">
        <v>0</v>
      </c>
      <c r="FW962">
        <v>0</v>
      </c>
      <c r="FX962">
        <v>0</v>
      </c>
      <c r="FY962">
        <v>0</v>
      </c>
      <c r="FZ962">
        <v>0</v>
      </c>
      <c r="GA962">
        <v>0</v>
      </c>
      <c r="GB962">
        <v>0</v>
      </c>
      <c r="GC962">
        <v>0</v>
      </c>
      <c r="GD962">
        <v>0</v>
      </c>
      <c r="GE962">
        <v>0</v>
      </c>
      <c r="GF962">
        <v>198.3</v>
      </c>
      <c r="GG962">
        <v>1054.4000000000001</v>
      </c>
      <c r="GH962">
        <v>552.79999999999995</v>
      </c>
      <c r="GI962">
        <v>522</v>
      </c>
      <c r="GJ962">
        <v>0</v>
      </c>
      <c r="GK962">
        <v>0</v>
      </c>
      <c r="GL962">
        <v>0</v>
      </c>
      <c r="GM962">
        <v>0</v>
      </c>
      <c r="GN962">
        <v>791.40000000000009</v>
      </c>
      <c r="GO962">
        <v>1816.5</v>
      </c>
      <c r="GP962">
        <v>0</v>
      </c>
      <c r="GQ962">
        <v>0</v>
      </c>
      <c r="GR962">
        <v>0</v>
      </c>
      <c r="GS962">
        <v>0</v>
      </c>
      <c r="GT962">
        <v>0</v>
      </c>
      <c r="GU962">
        <v>0</v>
      </c>
      <c r="GV962">
        <v>0</v>
      </c>
      <c r="GW962">
        <v>0</v>
      </c>
      <c r="GX962">
        <v>0</v>
      </c>
      <c r="GY962">
        <v>840.3</v>
      </c>
      <c r="GZ962">
        <v>0</v>
      </c>
      <c r="HA962">
        <v>0</v>
      </c>
      <c r="HB962">
        <v>0</v>
      </c>
      <c r="HC962">
        <v>380.4</v>
      </c>
      <c r="HD962">
        <v>2175.5</v>
      </c>
      <c r="HE962">
        <v>0</v>
      </c>
      <c r="HF962">
        <v>0</v>
      </c>
      <c r="HG962">
        <v>0</v>
      </c>
      <c r="HH962">
        <v>0</v>
      </c>
      <c r="HI962">
        <v>0</v>
      </c>
      <c r="HJ962">
        <v>803.40000000000009</v>
      </c>
      <c r="HK962">
        <v>1270.9000000000001</v>
      </c>
      <c r="HL962">
        <v>835.7</v>
      </c>
      <c r="HM962">
        <v>1162.5999999999999</v>
      </c>
      <c r="HN962">
        <v>0</v>
      </c>
      <c r="HO962">
        <v>0</v>
      </c>
      <c r="HP962">
        <v>0</v>
      </c>
      <c r="HQ962">
        <v>0</v>
      </c>
      <c r="HR962">
        <v>161.19999999999999</v>
      </c>
      <c r="HS962">
        <v>0</v>
      </c>
      <c r="HT962">
        <v>2048.5</v>
      </c>
      <c r="HU962">
        <v>2627.5</v>
      </c>
      <c r="HV962">
        <v>1168.5999999999999</v>
      </c>
      <c r="HW962">
        <v>388</v>
      </c>
      <c r="HX962">
        <v>0</v>
      </c>
      <c r="HY962">
        <v>0</v>
      </c>
      <c r="HZ962">
        <v>0</v>
      </c>
      <c r="IA962">
        <v>0</v>
      </c>
      <c r="IB962">
        <v>0</v>
      </c>
      <c r="IC962">
        <v>594.4</v>
      </c>
      <c r="ID962">
        <v>427.4</v>
      </c>
      <c r="IE962">
        <v>713.3</v>
      </c>
      <c r="IF962">
        <v>626.1</v>
      </c>
      <c r="IG962">
        <v>0</v>
      </c>
      <c r="IH962">
        <v>0</v>
      </c>
      <c r="II962">
        <v>995.7</v>
      </c>
      <c r="IJ962">
        <v>1156.5999999999999</v>
      </c>
      <c r="IK962">
        <v>864.6</v>
      </c>
      <c r="IL962">
        <v>316.5</v>
      </c>
      <c r="IM962">
        <v>101.5</v>
      </c>
      <c r="IN962">
        <v>71.8</v>
      </c>
      <c r="IO962">
        <v>0</v>
      </c>
      <c r="IP962">
        <v>0</v>
      </c>
      <c r="IQ962">
        <v>0</v>
      </c>
      <c r="IR962">
        <v>0</v>
      </c>
      <c r="IS962">
        <v>0</v>
      </c>
      <c r="IT962">
        <v>0</v>
      </c>
      <c r="IU962">
        <v>0</v>
      </c>
      <c r="IV962">
        <v>0</v>
      </c>
      <c r="IW962">
        <v>68</v>
      </c>
      <c r="IX962">
        <v>404.7</v>
      </c>
      <c r="IY962">
        <v>126.6</v>
      </c>
      <c r="IZ962">
        <v>126.6</v>
      </c>
      <c r="JA962">
        <v>503.7</v>
      </c>
      <c r="JB962">
        <v>570.1</v>
      </c>
      <c r="JC962">
        <v>328.3</v>
      </c>
      <c r="JD962">
        <v>0</v>
      </c>
      <c r="JE962">
        <v>0</v>
      </c>
      <c r="JF962">
        <v>0</v>
      </c>
      <c r="JG962">
        <v>0</v>
      </c>
      <c r="JH962">
        <v>287.3</v>
      </c>
      <c r="JI962">
        <v>68.2</v>
      </c>
      <c r="JJ962">
        <v>0</v>
      </c>
      <c r="JK962">
        <v>148.6</v>
      </c>
      <c r="JL962">
        <v>0</v>
      </c>
      <c r="JM962">
        <v>0</v>
      </c>
      <c r="JN962">
        <v>204.5</v>
      </c>
      <c r="JO962">
        <v>292.10000000000002</v>
      </c>
      <c r="JP962">
        <v>670.8</v>
      </c>
      <c r="JQ962">
        <v>745.2</v>
      </c>
      <c r="JR962">
        <v>242.9</v>
      </c>
    </row>
    <row r="963" spans="2:278" ht="18" thickBot="1">
      <c r="B963" s="368" t="s">
        <v>1322</v>
      </c>
      <c r="C963" s="368" t="s">
        <v>1630</v>
      </c>
      <c r="D963" s="373"/>
      <c r="E963" s="454">
        <v>22829.8</v>
      </c>
      <c r="F963">
        <v>20193.400000000001</v>
      </c>
      <c r="G963" s="427">
        <v>0</v>
      </c>
      <c r="H963" s="155">
        <v>0</v>
      </c>
      <c r="I963">
        <v>0</v>
      </c>
      <c r="J963">
        <v>0</v>
      </c>
      <c r="K963">
        <v>0</v>
      </c>
      <c r="L963" s="4">
        <v>0</v>
      </c>
      <c r="M963" s="4">
        <v>0</v>
      </c>
      <c r="N963" s="4">
        <v>0</v>
      </c>
      <c r="O963" s="4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1476.4</v>
      </c>
      <c r="X963">
        <v>1482</v>
      </c>
      <c r="Y963">
        <v>457.20000000000005</v>
      </c>
      <c r="Z963">
        <v>0</v>
      </c>
      <c r="AA963">
        <v>0</v>
      </c>
      <c r="AB963">
        <v>0</v>
      </c>
      <c r="AC963">
        <v>0</v>
      </c>
      <c r="AD963">
        <v>3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1828.6</v>
      </c>
      <c r="AK963">
        <v>1800.7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560.70000000000005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0</v>
      </c>
      <c r="BU963">
        <v>0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  <c r="CF963">
        <v>0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  <c r="CN963">
        <v>0</v>
      </c>
      <c r="CO963">
        <v>0</v>
      </c>
      <c r="CP963">
        <v>3.5</v>
      </c>
      <c r="CQ963">
        <v>0</v>
      </c>
      <c r="CR963">
        <v>528</v>
      </c>
      <c r="CS963">
        <v>581.79999999999995</v>
      </c>
      <c r="CT963">
        <v>555.40000000000009</v>
      </c>
      <c r="CU963">
        <v>737.4</v>
      </c>
      <c r="CV963">
        <v>1039.0999999999999</v>
      </c>
      <c r="CW963">
        <v>1667.3</v>
      </c>
      <c r="CX963">
        <v>877.6</v>
      </c>
      <c r="CY963">
        <v>910.40000000000009</v>
      </c>
      <c r="CZ963">
        <v>0</v>
      </c>
      <c r="DA963">
        <v>0</v>
      </c>
      <c r="DB963">
        <v>0</v>
      </c>
      <c r="DC963">
        <v>0</v>
      </c>
      <c r="DD963">
        <v>0</v>
      </c>
      <c r="DE963">
        <v>0</v>
      </c>
      <c r="DF963">
        <v>0</v>
      </c>
      <c r="DG963">
        <v>0</v>
      </c>
      <c r="DH963">
        <v>0</v>
      </c>
      <c r="DI963">
        <v>0</v>
      </c>
      <c r="DJ963">
        <v>0</v>
      </c>
      <c r="DK963">
        <v>0</v>
      </c>
      <c r="DL963">
        <v>995.5</v>
      </c>
      <c r="DM963">
        <v>712.7</v>
      </c>
      <c r="DN963">
        <v>0</v>
      </c>
      <c r="DO963">
        <v>0</v>
      </c>
      <c r="DP963">
        <v>0</v>
      </c>
      <c r="DQ963">
        <v>0</v>
      </c>
      <c r="DR963">
        <v>0</v>
      </c>
      <c r="DS963">
        <v>0</v>
      </c>
      <c r="DT963">
        <v>0</v>
      </c>
      <c r="DU963">
        <v>0</v>
      </c>
      <c r="DV963">
        <v>0</v>
      </c>
      <c r="DW963">
        <v>0</v>
      </c>
      <c r="DX963">
        <v>0</v>
      </c>
      <c r="DY963">
        <v>0</v>
      </c>
      <c r="DZ963">
        <v>0</v>
      </c>
      <c r="EA963">
        <v>0</v>
      </c>
      <c r="EB963">
        <v>0</v>
      </c>
      <c r="EC963">
        <v>0</v>
      </c>
      <c r="ED963">
        <v>0</v>
      </c>
      <c r="EE963">
        <v>0</v>
      </c>
      <c r="EF963">
        <v>0</v>
      </c>
      <c r="EG963">
        <v>0</v>
      </c>
      <c r="EH963">
        <v>0</v>
      </c>
      <c r="EI963">
        <v>0</v>
      </c>
      <c r="EJ963">
        <v>0</v>
      </c>
      <c r="EK963">
        <v>0</v>
      </c>
      <c r="EL963">
        <v>0</v>
      </c>
      <c r="EM963">
        <v>0</v>
      </c>
      <c r="EN963">
        <v>27.4</v>
      </c>
      <c r="EO963">
        <v>0</v>
      </c>
      <c r="EP963">
        <v>1002.5</v>
      </c>
      <c r="EQ963">
        <v>0</v>
      </c>
      <c r="ER963">
        <v>494</v>
      </c>
      <c r="ES963">
        <v>0</v>
      </c>
      <c r="ET963">
        <v>699.3</v>
      </c>
      <c r="EU963">
        <v>435.4</v>
      </c>
      <c r="EV963">
        <v>0</v>
      </c>
      <c r="EW963">
        <v>0</v>
      </c>
      <c r="EX963">
        <v>0</v>
      </c>
      <c r="EY963">
        <v>0</v>
      </c>
      <c r="EZ963">
        <v>0</v>
      </c>
      <c r="FA963">
        <v>0</v>
      </c>
      <c r="FB963">
        <v>0</v>
      </c>
      <c r="FC963">
        <v>0</v>
      </c>
      <c r="FD963">
        <v>95.6</v>
      </c>
      <c r="FE963">
        <v>1792.1</v>
      </c>
      <c r="FF963">
        <v>1740.1999999999998</v>
      </c>
      <c r="FG963">
        <v>954.9</v>
      </c>
      <c r="FH963">
        <v>1087.8000000000002</v>
      </c>
      <c r="FI963">
        <v>1892.1</v>
      </c>
      <c r="FJ963">
        <v>1222.5</v>
      </c>
      <c r="FK963">
        <v>678.3</v>
      </c>
      <c r="FL963">
        <v>639.1</v>
      </c>
      <c r="FM963">
        <v>520.5</v>
      </c>
      <c r="FN963">
        <v>123.8</v>
      </c>
      <c r="FO963">
        <v>181.6</v>
      </c>
      <c r="FP963">
        <v>1090.5</v>
      </c>
      <c r="FQ963">
        <v>0</v>
      </c>
      <c r="FR963">
        <v>0</v>
      </c>
      <c r="FS963">
        <v>0</v>
      </c>
      <c r="FT963">
        <v>0</v>
      </c>
      <c r="FU963">
        <v>0</v>
      </c>
      <c r="FV963">
        <v>0</v>
      </c>
      <c r="FW963">
        <v>0</v>
      </c>
      <c r="FX963">
        <v>0</v>
      </c>
      <c r="FY963">
        <v>0</v>
      </c>
      <c r="FZ963">
        <v>0</v>
      </c>
      <c r="GA963">
        <v>0</v>
      </c>
      <c r="GB963">
        <v>0</v>
      </c>
      <c r="GC963">
        <v>0</v>
      </c>
      <c r="GD963">
        <v>0</v>
      </c>
      <c r="GE963">
        <v>0</v>
      </c>
      <c r="GF963">
        <v>198.3</v>
      </c>
      <c r="GG963">
        <v>1054.4000000000001</v>
      </c>
      <c r="GH963">
        <v>552.79999999999995</v>
      </c>
      <c r="GI963">
        <v>522</v>
      </c>
      <c r="GJ963">
        <v>0</v>
      </c>
      <c r="GK963">
        <v>0</v>
      </c>
      <c r="GL963">
        <v>0</v>
      </c>
      <c r="GM963">
        <v>0</v>
      </c>
      <c r="GN963">
        <v>791.40000000000009</v>
      </c>
      <c r="GO963">
        <v>1816.5</v>
      </c>
      <c r="GP963">
        <v>0</v>
      </c>
      <c r="GQ963">
        <v>0</v>
      </c>
      <c r="GR963">
        <v>0</v>
      </c>
      <c r="GS963">
        <v>0</v>
      </c>
      <c r="GT963">
        <v>0</v>
      </c>
      <c r="GU963">
        <v>0</v>
      </c>
      <c r="GV963">
        <v>0</v>
      </c>
      <c r="GW963">
        <v>0</v>
      </c>
      <c r="GX963">
        <v>0</v>
      </c>
      <c r="GY963">
        <v>840.3</v>
      </c>
      <c r="GZ963">
        <v>0</v>
      </c>
      <c r="HA963">
        <v>0</v>
      </c>
      <c r="HB963">
        <v>0</v>
      </c>
      <c r="HC963">
        <v>380.4</v>
      </c>
      <c r="HD963">
        <v>2175.5</v>
      </c>
      <c r="HE963">
        <v>0</v>
      </c>
      <c r="HF963">
        <v>0</v>
      </c>
      <c r="HG963">
        <v>0</v>
      </c>
      <c r="HH963">
        <v>0</v>
      </c>
      <c r="HI963">
        <v>0</v>
      </c>
      <c r="HJ963">
        <v>803.40000000000009</v>
      </c>
      <c r="HK963">
        <v>1270.9000000000001</v>
      </c>
      <c r="HL963">
        <v>835.7</v>
      </c>
      <c r="HM963">
        <v>1162.5999999999999</v>
      </c>
      <c r="HN963">
        <v>0</v>
      </c>
      <c r="HO963">
        <v>0</v>
      </c>
      <c r="HP963">
        <v>0</v>
      </c>
      <c r="HQ963">
        <v>0</v>
      </c>
      <c r="HR963">
        <v>161.19999999999999</v>
      </c>
      <c r="HS963">
        <v>0</v>
      </c>
      <c r="HT963">
        <v>2048.5</v>
      </c>
      <c r="HU963">
        <v>2627.5</v>
      </c>
      <c r="HV963">
        <v>1168.5999999999999</v>
      </c>
      <c r="HW963">
        <v>388</v>
      </c>
      <c r="HX963">
        <v>0</v>
      </c>
      <c r="HY963">
        <v>0</v>
      </c>
      <c r="HZ963">
        <v>0</v>
      </c>
      <c r="IA963">
        <v>0</v>
      </c>
      <c r="IB963">
        <v>0</v>
      </c>
      <c r="IC963">
        <v>594.4</v>
      </c>
      <c r="ID963">
        <v>427.4</v>
      </c>
      <c r="IE963">
        <v>713.3</v>
      </c>
      <c r="IF963">
        <v>626.1</v>
      </c>
      <c r="IG963">
        <v>0</v>
      </c>
      <c r="IH963">
        <v>0</v>
      </c>
      <c r="II963">
        <v>995.7</v>
      </c>
      <c r="IJ963">
        <v>1156.5999999999999</v>
      </c>
      <c r="IK963">
        <v>864.6</v>
      </c>
      <c r="IL963">
        <v>316.5</v>
      </c>
      <c r="IM963">
        <v>101.5</v>
      </c>
      <c r="IN963">
        <v>71.8</v>
      </c>
      <c r="IO963">
        <v>0</v>
      </c>
      <c r="IP963">
        <v>0</v>
      </c>
      <c r="IQ963">
        <v>0</v>
      </c>
      <c r="IR963">
        <v>0</v>
      </c>
      <c r="IS963">
        <v>0</v>
      </c>
      <c r="IT963">
        <v>0</v>
      </c>
      <c r="IU963">
        <v>0</v>
      </c>
      <c r="IV963">
        <v>0</v>
      </c>
      <c r="IW963">
        <v>68</v>
      </c>
      <c r="IX963">
        <v>404.7</v>
      </c>
      <c r="IY963">
        <v>126.6</v>
      </c>
      <c r="IZ963">
        <v>126.6</v>
      </c>
      <c r="JA963">
        <v>503.7</v>
      </c>
      <c r="JB963">
        <v>570.1</v>
      </c>
      <c r="JC963">
        <v>328.3</v>
      </c>
      <c r="JD963">
        <v>0</v>
      </c>
      <c r="JE963">
        <v>0</v>
      </c>
      <c r="JF963">
        <v>0</v>
      </c>
      <c r="JG963">
        <v>0</v>
      </c>
      <c r="JH963">
        <v>287.3</v>
      </c>
      <c r="JI963">
        <v>68.2</v>
      </c>
      <c r="JJ963">
        <v>0</v>
      </c>
      <c r="JK963">
        <v>148.6</v>
      </c>
      <c r="JL963">
        <v>0</v>
      </c>
      <c r="JM963">
        <v>0</v>
      </c>
      <c r="JN963">
        <v>204.5</v>
      </c>
      <c r="JO963">
        <v>292.10000000000002</v>
      </c>
      <c r="JP963">
        <v>670.8</v>
      </c>
      <c r="JQ963">
        <v>745.2</v>
      </c>
      <c r="JR963">
        <v>242.9</v>
      </c>
    </row>
    <row r="964" spans="2:278" ht="18" thickBot="1">
      <c r="B964" s="368" t="s">
        <v>1323</v>
      </c>
      <c r="C964" s="368" t="s">
        <v>1631</v>
      </c>
      <c r="D964" s="373"/>
      <c r="E964" s="454">
        <v>22829.8</v>
      </c>
      <c r="F964">
        <v>20193.400000000001</v>
      </c>
      <c r="G964" s="427">
        <v>0</v>
      </c>
      <c r="H964" s="155">
        <v>0</v>
      </c>
      <c r="I964">
        <v>0</v>
      </c>
      <c r="J964">
        <v>0</v>
      </c>
      <c r="K964">
        <v>0</v>
      </c>
      <c r="L964" s="4">
        <v>0</v>
      </c>
      <c r="M964" s="4">
        <v>0</v>
      </c>
      <c r="N964" s="4">
        <v>0</v>
      </c>
      <c r="O964" s="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1476.4</v>
      </c>
      <c r="X964">
        <v>1482</v>
      </c>
      <c r="Y964">
        <v>457.20000000000005</v>
      </c>
      <c r="Z964">
        <v>0</v>
      </c>
      <c r="AA964">
        <v>0</v>
      </c>
      <c r="AB964">
        <v>0</v>
      </c>
      <c r="AC964">
        <v>0</v>
      </c>
      <c r="AD964">
        <v>3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1828.6</v>
      </c>
      <c r="AK964">
        <v>1800.7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560.70000000000005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  <c r="CF964">
        <v>0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  <c r="CN964">
        <v>0</v>
      </c>
      <c r="CO964">
        <v>0</v>
      </c>
      <c r="CP964">
        <v>3.5</v>
      </c>
      <c r="CQ964">
        <v>0</v>
      </c>
      <c r="CR964">
        <v>528</v>
      </c>
      <c r="CS964">
        <v>581.79999999999995</v>
      </c>
      <c r="CT964">
        <v>555.40000000000009</v>
      </c>
      <c r="CU964">
        <v>737.4</v>
      </c>
      <c r="CV964">
        <v>1039.0999999999999</v>
      </c>
      <c r="CW964">
        <v>1667.3</v>
      </c>
      <c r="CX964">
        <v>877.6</v>
      </c>
      <c r="CY964">
        <v>910.40000000000009</v>
      </c>
      <c r="CZ964">
        <v>0</v>
      </c>
      <c r="DA964">
        <v>0</v>
      </c>
      <c r="DB964">
        <v>0</v>
      </c>
      <c r="DC964">
        <v>0</v>
      </c>
      <c r="DD964">
        <v>0</v>
      </c>
      <c r="DE964">
        <v>0</v>
      </c>
      <c r="DF964">
        <v>0</v>
      </c>
      <c r="DG964">
        <v>0</v>
      </c>
      <c r="DH964">
        <v>0</v>
      </c>
      <c r="DI964">
        <v>0</v>
      </c>
      <c r="DJ964">
        <v>0</v>
      </c>
      <c r="DK964">
        <v>0</v>
      </c>
      <c r="DL964">
        <v>995.5</v>
      </c>
      <c r="DM964">
        <v>712.7</v>
      </c>
      <c r="DN964">
        <v>0</v>
      </c>
      <c r="DO964">
        <v>0</v>
      </c>
      <c r="DP964">
        <v>0</v>
      </c>
      <c r="DQ964">
        <v>0</v>
      </c>
      <c r="DR964">
        <v>0</v>
      </c>
      <c r="DS964">
        <v>0</v>
      </c>
      <c r="DT964">
        <v>0</v>
      </c>
      <c r="DU964">
        <v>0</v>
      </c>
      <c r="DV964">
        <v>0</v>
      </c>
      <c r="DW964">
        <v>0</v>
      </c>
      <c r="DX964">
        <v>0</v>
      </c>
      <c r="DY964">
        <v>0</v>
      </c>
      <c r="DZ964">
        <v>0</v>
      </c>
      <c r="EA964">
        <v>0</v>
      </c>
      <c r="EB964">
        <v>0</v>
      </c>
      <c r="EC964">
        <v>0</v>
      </c>
      <c r="ED964">
        <v>0</v>
      </c>
      <c r="EE964">
        <v>0</v>
      </c>
      <c r="EF964">
        <v>0</v>
      </c>
      <c r="EG964">
        <v>0</v>
      </c>
      <c r="EH964">
        <v>0</v>
      </c>
      <c r="EI964">
        <v>0</v>
      </c>
      <c r="EJ964">
        <v>0</v>
      </c>
      <c r="EK964">
        <v>0</v>
      </c>
      <c r="EL964">
        <v>0</v>
      </c>
      <c r="EM964">
        <v>0</v>
      </c>
      <c r="EN964">
        <v>27.4</v>
      </c>
      <c r="EO964">
        <v>0</v>
      </c>
      <c r="EP964">
        <v>1002.5</v>
      </c>
      <c r="EQ964">
        <v>0</v>
      </c>
      <c r="ER964">
        <v>494</v>
      </c>
      <c r="ES964">
        <v>0</v>
      </c>
      <c r="ET964">
        <v>699.3</v>
      </c>
      <c r="EU964">
        <v>435.4</v>
      </c>
      <c r="EV964">
        <v>0</v>
      </c>
      <c r="EW964">
        <v>0</v>
      </c>
      <c r="EX964">
        <v>0</v>
      </c>
      <c r="EY964">
        <v>0</v>
      </c>
      <c r="EZ964">
        <v>0</v>
      </c>
      <c r="FA964">
        <v>0</v>
      </c>
      <c r="FB964">
        <v>0</v>
      </c>
      <c r="FC964">
        <v>0</v>
      </c>
      <c r="FD964">
        <v>95.6</v>
      </c>
      <c r="FE964">
        <v>1792.1</v>
      </c>
      <c r="FF964">
        <v>1740.1999999999998</v>
      </c>
      <c r="FG964">
        <v>954.9</v>
      </c>
      <c r="FH964">
        <v>1087.8000000000002</v>
      </c>
      <c r="FI964">
        <v>1892.1</v>
      </c>
      <c r="FJ964">
        <v>1222.5</v>
      </c>
      <c r="FK964">
        <v>678.3</v>
      </c>
      <c r="FL964">
        <v>639.1</v>
      </c>
      <c r="FM964">
        <v>520.5</v>
      </c>
      <c r="FN964">
        <v>123.8</v>
      </c>
      <c r="FO964">
        <v>181.6</v>
      </c>
      <c r="FP964">
        <v>1090.5</v>
      </c>
      <c r="FQ964">
        <v>0</v>
      </c>
      <c r="FR964">
        <v>0</v>
      </c>
      <c r="FS964">
        <v>0</v>
      </c>
      <c r="FT964">
        <v>0</v>
      </c>
      <c r="FU964">
        <v>0</v>
      </c>
      <c r="FV964">
        <v>0</v>
      </c>
      <c r="FW964">
        <v>0</v>
      </c>
      <c r="FX964">
        <v>0</v>
      </c>
      <c r="FY964">
        <v>0</v>
      </c>
      <c r="FZ964">
        <v>0</v>
      </c>
      <c r="GA964">
        <v>0</v>
      </c>
      <c r="GB964">
        <v>0</v>
      </c>
      <c r="GC964">
        <v>0</v>
      </c>
      <c r="GD964">
        <v>0</v>
      </c>
      <c r="GE964">
        <v>0</v>
      </c>
      <c r="GF964">
        <v>198.3</v>
      </c>
      <c r="GG964">
        <v>1054.4000000000001</v>
      </c>
      <c r="GH964">
        <v>552.79999999999995</v>
      </c>
      <c r="GI964">
        <v>522</v>
      </c>
      <c r="GJ964">
        <v>0</v>
      </c>
      <c r="GK964">
        <v>0</v>
      </c>
      <c r="GL964">
        <v>0</v>
      </c>
      <c r="GM964">
        <v>0</v>
      </c>
      <c r="GN964">
        <v>791.40000000000009</v>
      </c>
      <c r="GO964">
        <v>1816.5</v>
      </c>
      <c r="GP964">
        <v>0</v>
      </c>
      <c r="GQ964">
        <v>0</v>
      </c>
      <c r="GR964">
        <v>0</v>
      </c>
      <c r="GS964">
        <v>0</v>
      </c>
      <c r="GT964">
        <v>0</v>
      </c>
      <c r="GU964">
        <v>0</v>
      </c>
      <c r="GV964">
        <v>0</v>
      </c>
      <c r="GW964">
        <v>0</v>
      </c>
      <c r="GX964">
        <v>0</v>
      </c>
      <c r="GY964">
        <v>840.3</v>
      </c>
      <c r="GZ964">
        <v>0</v>
      </c>
      <c r="HA964">
        <v>0</v>
      </c>
      <c r="HB964">
        <v>0</v>
      </c>
      <c r="HC964">
        <v>380.4</v>
      </c>
      <c r="HD964">
        <v>2175.5</v>
      </c>
      <c r="HE964">
        <v>0</v>
      </c>
      <c r="HF964">
        <v>0</v>
      </c>
      <c r="HG964">
        <v>0</v>
      </c>
      <c r="HH964">
        <v>0</v>
      </c>
      <c r="HI964">
        <v>0</v>
      </c>
      <c r="HJ964">
        <v>803.40000000000009</v>
      </c>
      <c r="HK964">
        <v>1270.9000000000001</v>
      </c>
      <c r="HL964">
        <v>835.7</v>
      </c>
      <c r="HM964">
        <v>1162.5999999999999</v>
      </c>
      <c r="HN964">
        <v>0</v>
      </c>
      <c r="HO964">
        <v>0</v>
      </c>
      <c r="HP964">
        <v>0</v>
      </c>
      <c r="HQ964">
        <v>0</v>
      </c>
      <c r="HR964">
        <v>161.19999999999999</v>
      </c>
      <c r="HS964">
        <v>0</v>
      </c>
      <c r="HT964">
        <v>2048.5</v>
      </c>
      <c r="HU964">
        <v>2627.5</v>
      </c>
      <c r="HV964">
        <v>1168.5999999999999</v>
      </c>
      <c r="HW964">
        <v>388</v>
      </c>
      <c r="HX964">
        <v>0</v>
      </c>
      <c r="HY964">
        <v>0</v>
      </c>
      <c r="HZ964">
        <v>0</v>
      </c>
      <c r="IA964">
        <v>0</v>
      </c>
      <c r="IB964">
        <v>0</v>
      </c>
      <c r="IC964">
        <v>594.4</v>
      </c>
      <c r="ID964">
        <v>427.4</v>
      </c>
      <c r="IE964">
        <v>713.3</v>
      </c>
      <c r="IF964">
        <v>626.1</v>
      </c>
      <c r="IG964">
        <v>0</v>
      </c>
      <c r="IH964">
        <v>0</v>
      </c>
      <c r="II964">
        <v>995.7</v>
      </c>
      <c r="IJ964">
        <v>1156.5999999999999</v>
      </c>
      <c r="IK964">
        <v>864.6</v>
      </c>
      <c r="IL964">
        <v>316.5</v>
      </c>
      <c r="IM964">
        <v>101.5</v>
      </c>
      <c r="IN964">
        <v>71.8</v>
      </c>
      <c r="IO964">
        <v>0</v>
      </c>
      <c r="IP964">
        <v>0</v>
      </c>
      <c r="IQ964">
        <v>0</v>
      </c>
      <c r="IR964">
        <v>0</v>
      </c>
      <c r="IS964">
        <v>0</v>
      </c>
      <c r="IT964">
        <v>0</v>
      </c>
      <c r="IU964">
        <v>0</v>
      </c>
      <c r="IV964">
        <v>0</v>
      </c>
      <c r="IW964">
        <v>68</v>
      </c>
      <c r="IX964">
        <v>404.7</v>
      </c>
      <c r="IY964">
        <v>126.6</v>
      </c>
      <c r="IZ964">
        <v>126.6</v>
      </c>
      <c r="JA964">
        <v>503.7</v>
      </c>
      <c r="JB964">
        <v>570.1</v>
      </c>
      <c r="JC964">
        <v>328.3</v>
      </c>
      <c r="JD964">
        <v>0</v>
      </c>
      <c r="JE964">
        <v>0</v>
      </c>
      <c r="JF964">
        <v>0</v>
      </c>
      <c r="JG964">
        <v>0</v>
      </c>
      <c r="JH964">
        <v>287.3</v>
      </c>
      <c r="JI964">
        <v>68.2</v>
      </c>
      <c r="JJ964">
        <v>0</v>
      </c>
      <c r="JK964">
        <v>148.6</v>
      </c>
      <c r="JL964">
        <v>0</v>
      </c>
      <c r="JM964">
        <v>0</v>
      </c>
      <c r="JN964">
        <v>204.5</v>
      </c>
      <c r="JO964">
        <v>292.10000000000002</v>
      </c>
      <c r="JP964">
        <v>670.8</v>
      </c>
      <c r="JQ964">
        <v>745.2</v>
      </c>
      <c r="JR964">
        <v>242.9</v>
      </c>
    </row>
    <row r="965" spans="2:278" ht="18" thickBot="1">
      <c r="B965" s="516" t="s">
        <v>1324</v>
      </c>
      <c r="C965" s="516" t="s">
        <v>1632</v>
      </c>
      <c r="D965" s="516"/>
      <c r="E965" s="454">
        <v>22829.8</v>
      </c>
      <c r="F965">
        <v>20193.400000000001</v>
      </c>
      <c r="G965" s="427">
        <v>0</v>
      </c>
      <c r="H965" s="155">
        <v>0</v>
      </c>
      <c r="I965">
        <v>0</v>
      </c>
      <c r="J965">
        <v>0</v>
      </c>
      <c r="K965">
        <v>0</v>
      </c>
      <c r="L965" s="4">
        <v>0</v>
      </c>
      <c r="M965" s="4">
        <v>0</v>
      </c>
      <c r="N965" s="4">
        <v>0</v>
      </c>
      <c r="O965" s="4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1476.4</v>
      </c>
      <c r="X965">
        <v>1482</v>
      </c>
      <c r="Y965">
        <v>457.20000000000005</v>
      </c>
      <c r="Z965">
        <v>0</v>
      </c>
      <c r="AA965">
        <v>0</v>
      </c>
      <c r="AB965">
        <v>0</v>
      </c>
      <c r="AC965">
        <v>0</v>
      </c>
      <c r="AD965">
        <v>3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1828.6</v>
      </c>
      <c r="AK965">
        <v>1800.7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560.70000000000005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0</v>
      </c>
      <c r="BU965">
        <v>0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  <c r="CF965">
        <v>0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  <c r="CN965">
        <v>0</v>
      </c>
      <c r="CO965">
        <v>0</v>
      </c>
      <c r="CP965">
        <v>3.5</v>
      </c>
      <c r="CQ965">
        <v>0</v>
      </c>
      <c r="CR965">
        <v>528</v>
      </c>
      <c r="CS965">
        <v>581.79999999999995</v>
      </c>
      <c r="CT965">
        <v>555.40000000000009</v>
      </c>
      <c r="CU965">
        <v>737.4</v>
      </c>
      <c r="CV965">
        <v>1039.0999999999999</v>
      </c>
      <c r="CW965">
        <v>1667.3</v>
      </c>
      <c r="CX965">
        <v>877.6</v>
      </c>
      <c r="CY965">
        <v>910.40000000000009</v>
      </c>
      <c r="CZ965">
        <v>0</v>
      </c>
      <c r="DA965">
        <v>0</v>
      </c>
      <c r="DB965">
        <v>0</v>
      </c>
      <c r="DC965">
        <v>0</v>
      </c>
      <c r="DD965">
        <v>0</v>
      </c>
      <c r="DE965">
        <v>0</v>
      </c>
      <c r="DF965">
        <v>0</v>
      </c>
      <c r="DG965">
        <v>0</v>
      </c>
      <c r="DH965">
        <v>0</v>
      </c>
      <c r="DI965">
        <v>0</v>
      </c>
      <c r="DJ965">
        <v>0</v>
      </c>
      <c r="DK965">
        <v>0</v>
      </c>
      <c r="DL965">
        <v>995.5</v>
      </c>
      <c r="DM965">
        <v>712.7</v>
      </c>
      <c r="DN965">
        <v>0</v>
      </c>
      <c r="DO965">
        <v>0</v>
      </c>
      <c r="DP965">
        <v>0</v>
      </c>
      <c r="DQ965">
        <v>0</v>
      </c>
      <c r="DR965">
        <v>0</v>
      </c>
      <c r="DS965">
        <v>0</v>
      </c>
      <c r="DT965">
        <v>0</v>
      </c>
      <c r="DU965">
        <v>0</v>
      </c>
      <c r="DV965">
        <v>0</v>
      </c>
      <c r="DW965">
        <v>0</v>
      </c>
      <c r="DX965">
        <v>0</v>
      </c>
      <c r="DY965">
        <v>0</v>
      </c>
      <c r="DZ965">
        <v>0</v>
      </c>
      <c r="EA965">
        <v>0</v>
      </c>
      <c r="EB965">
        <v>0</v>
      </c>
      <c r="EC965">
        <v>0</v>
      </c>
      <c r="ED965">
        <v>0</v>
      </c>
      <c r="EE965">
        <v>0</v>
      </c>
      <c r="EF965">
        <v>0</v>
      </c>
      <c r="EG965">
        <v>0</v>
      </c>
      <c r="EH965">
        <v>0</v>
      </c>
      <c r="EI965">
        <v>0</v>
      </c>
      <c r="EJ965">
        <v>0</v>
      </c>
      <c r="EK965">
        <v>0</v>
      </c>
      <c r="EL965">
        <v>0</v>
      </c>
      <c r="EM965">
        <v>0</v>
      </c>
      <c r="EN965">
        <v>27.4</v>
      </c>
      <c r="EO965">
        <v>0</v>
      </c>
      <c r="EP965">
        <v>1002.5</v>
      </c>
      <c r="EQ965">
        <v>0</v>
      </c>
      <c r="ER965">
        <v>494</v>
      </c>
      <c r="ES965">
        <v>0</v>
      </c>
      <c r="ET965">
        <v>699.3</v>
      </c>
      <c r="EU965">
        <v>435.4</v>
      </c>
      <c r="EV965">
        <v>0</v>
      </c>
      <c r="EW965">
        <v>0</v>
      </c>
      <c r="EX965">
        <v>0</v>
      </c>
      <c r="EY965">
        <v>0</v>
      </c>
      <c r="EZ965">
        <v>0</v>
      </c>
      <c r="FA965">
        <v>0</v>
      </c>
      <c r="FB965">
        <v>0</v>
      </c>
      <c r="FC965">
        <v>0</v>
      </c>
      <c r="FD965">
        <v>95.6</v>
      </c>
      <c r="FE965">
        <v>1792.1</v>
      </c>
      <c r="FF965">
        <v>1740.1999999999998</v>
      </c>
      <c r="FG965">
        <v>954.9</v>
      </c>
      <c r="FH965">
        <v>1087.8000000000002</v>
      </c>
      <c r="FI965">
        <v>1892.1</v>
      </c>
      <c r="FJ965">
        <v>1222.5</v>
      </c>
      <c r="FK965">
        <v>678.3</v>
      </c>
      <c r="FL965">
        <v>639.1</v>
      </c>
      <c r="FM965">
        <v>520.5</v>
      </c>
      <c r="FN965">
        <v>123.8</v>
      </c>
      <c r="FO965">
        <v>181.6</v>
      </c>
      <c r="FP965">
        <v>1090.5</v>
      </c>
      <c r="FQ965">
        <v>0</v>
      </c>
      <c r="FR965">
        <v>0</v>
      </c>
      <c r="FS965">
        <v>0</v>
      </c>
      <c r="FT965">
        <v>0</v>
      </c>
      <c r="FU965">
        <v>0</v>
      </c>
      <c r="FV965">
        <v>0</v>
      </c>
      <c r="FW965">
        <v>0</v>
      </c>
      <c r="FX965">
        <v>0</v>
      </c>
      <c r="FY965">
        <v>0</v>
      </c>
      <c r="FZ965">
        <v>0</v>
      </c>
      <c r="GA965">
        <v>0</v>
      </c>
      <c r="GB965">
        <v>0</v>
      </c>
      <c r="GC965">
        <v>0</v>
      </c>
      <c r="GD965">
        <v>0</v>
      </c>
      <c r="GE965">
        <v>0</v>
      </c>
      <c r="GF965">
        <v>198.3</v>
      </c>
      <c r="GG965">
        <v>1054.4000000000001</v>
      </c>
      <c r="GH965">
        <v>552.79999999999995</v>
      </c>
      <c r="GI965">
        <v>522</v>
      </c>
      <c r="GJ965">
        <v>0</v>
      </c>
      <c r="GK965">
        <v>0</v>
      </c>
      <c r="GL965">
        <v>0</v>
      </c>
      <c r="GM965">
        <v>0</v>
      </c>
      <c r="GN965">
        <v>791.40000000000009</v>
      </c>
      <c r="GO965">
        <v>1816.5</v>
      </c>
      <c r="GP965">
        <v>0</v>
      </c>
      <c r="GQ965">
        <v>0</v>
      </c>
      <c r="GR965">
        <v>0</v>
      </c>
      <c r="GS965">
        <v>0</v>
      </c>
      <c r="GT965">
        <v>0</v>
      </c>
      <c r="GU965">
        <v>0</v>
      </c>
      <c r="GV965">
        <v>0</v>
      </c>
      <c r="GW965">
        <v>0</v>
      </c>
      <c r="GX965">
        <v>0</v>
      </c>
      <c r="GY965">
        <v>840.3</v>
      </c>
      <c r="GZ965">
        <v>0</v>
      </c>
      <c r="HA965">
        <v>0</v>
      </c>
      <c r="HB965">
        <v>0</v>
      </c>
      <c r="HC965">
        <v>380.4</v>
      </c>
      <c r="HD965">
        <v>2175.5</v>
      </c>
      <c r="HE965">
        <v>0</v>
      </c>
      <c r="HF965">
        <v>0</v>
      </c>
      <c r="HG965">
        <v>0</v>
      </c>
      <c r="HH965">
        <v>0</v>
      </c>
      <c r="HI965">
        <v>0</v>
      </c>
      <c r="HJ965">
        <v>803.40000000000009</v>
      </c>
      <c r="HK965">
        <v>1270.9000000000001</v>
      </c>
      <c r="HL965">
        <v>835.7</v>
      </c>
      <c r="HM965">
        <v>1162.5999999999999</v>
      </c>
      <c r="HN965">
        <v>0</v>
      </c>
      <c r="HO965">
        <v>0</v>
      </c>
      <c r="HP965">
        <v>0</v>
      </c>
      <c r="HQ965">
        <v>0</v>
      </c>
      <c r="HR965">
        <v>161.19999999999999</v>
      </c>
      <c r="HS965">
        <v>0</v>
      </c>
      <c r="HT965">
        <v>2048.5</v>
      </c>
      <c r="HU965">
        <v>2627.5</v>
      </c>
      <c r="HV965">
        <v>1168.5999999999999</v>
      </c>
      <c r="HW965">
        <v>388</v>
      </c>
      <c r="HX965">
        <v>0</v>
      </c>
      <c r="HY965">
        <v>0</v>
      </c>
      <c r="HZ965">
        <v>0</v>
      </c>
      <c r="IA965">
        <v>0</v>
      </c>
      <c r="IB965">
        <v>0</v>
      </c>
      <c r="IC965">
        <v>594.4</v>
      </c>
      <c r="ID965">
        <v>427.4</v>
      </c>
      <c r="IE965">
        <v>713.3</v>
      </c>
      <c r="IF965">
        <v>626.1</v>
      </c>
      <c r="IG965">
        <v>0</v>
      </c>
      <c r="IH965">
        <v>0</v>
      </c>
      <c r="II965">
        <v>995.7</v>
      </c>
      <c r="IJ965">
        <v>1156.5999999999999</v>
      </c>
      <c r="IK965">
        <v>864.6</v>
      </c>
      <c r="IL965">
        <v>316.5</v>
      </c>
      <c r="IM965">
        <v>101.5</v>
      </c>
      <c r="IN965">
        <v>71.8</v>
      </c>
      <c r="IO965">
        <v>0</v>
      </c>
      <c r="IP965">
        <v>0</v>
      </c>
      <c r="IQ965">
        <v>0</v>
      </c>
      <c r="IR965">
        <v>0</v>
      </c>
      <c r="IS965">
        <v>0</v>
      </c>
      <c r="IT965">
        <v>0</v>
      </c>
      <c r="IU965">
        <v>0</v>
      </c>
      <c r="IV965">
        <v>0</v>
      </c>
      <c r="IW965">
        <v>68</v>
      </c>
      <c r="IX965">
        <v>404.7</v>
      </c>
      <c r="IY965">
        <v>126.6</v>
      </c>
      <c r="IZ965">
        <v>126.6</v>
      </c>
      <c r="JA965">
        <v>503.7</v>
      </c>
      <c r="JB965">
        <v>570.1</v>
      </c>
      <c r="JC965">
        <v>328.3</v>
      </c>
      <c r="JD965">
        <v>0</v>
      </c>
      <c r="JE965">
        <v>0</v>
      </c>
      <c r="JF965">
        <v>0</v>
      </c>
      <c r="JG965">
        <v>0</v>
      </c>
      <c r="JH965">
        <v>287.3</v>
      </c>
      <c r="JI965">
        <v>68.2</v>
      </c>
      <c r="JJ965">
        <v>0</v>
      </c>
      <c r="JK965">
        <v>148.6</v>
      </c>
      <c r="JL965">
        <v>0</v>
      </c>
      <c r="JM965">
        <v>0</v>
      </c>
      <c r="JN965">
        <v>204.5</v>
      </c>
      <c r="JO965">
        <v>292.10000000000002</v>
      </c>
      <c r="JP965">
        <v>670.8</v>
      </c>
      <c r="JQ965">
        <v>745.2</v>
      </c>
      <c r="JR965">
        <v>242.9</v>
      </c>
    </row>
    <row r="966" spans="2:278" ht="18" thickBot="1">
      <c r="B966" s="516"/>
      <c r="C966" s="516"/>
      <c r="D966" s="516"/>
      <c r="E966" s="454">
        <v>22829.8</v>
      </c>
      <c r="F966">
        <v>20193.400000000001</v>
      </c>
      <c r="G966" s="427">
        <v>0</v>
      </c>
      <c r="H966" s="155">
        <v>0</v>
      </c>
      <c r="I966">
        <v>0</v>
      </c>
      <c r="J966">
        <v>0</v>
      </c>
      <c r="K966">
        <v>0</v>
      </c>
      <c r="L966" s="4">
        <v>0</v>
      </c>
      <c r="M966" s="4">
        <v>0</v>
      </c>
      <c r="N966" s="4">
        <v>0</v>
      </c>
      <c r="O966" s="4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1476.4</v>
      </c>
      <c r="X966">
        <v>1482</v>
      </c>
      <c r="Y966">
        <v>457.20000000000005</v>
      </c>
      <c r="Z966">
        <v>0</v>
      </c>
      <c r="AA966">
        <v>0</v>
      </c>
      <c r="AB966">
        <v>0</v>
      </c>
      <c r="AC966">
        <v>0</v>
      </c>
      <c r="AD966">
        <v>3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1828.6</v>
      </c>
      <c r="AK966">
        <v>1800.7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560.70000000000005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  <c r="CF966">
        <v>0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  <c r="CN966">
        <v>0</v>
      </c>
      <c r="CO966">
        <v>0</v>
      </c>
      <c r="CP966">
        <v>3.5</v>
      </c>
      <c r="CQ966">
        <v>0</v>
      </c>
      <c r="CR966">
        <v>528</v>
      </c>
      <c r="CS966">
        <v>581.79999999999995</v>
      </c>
      <c r="CT966">
        <v>555.40000000000009</v>
      </c>
      <c r="CU966">
        <v>737.4</v>
      </c>
      <c r="CV966">
        <v>1039.0999999999999</v>
      </c>
      <c r="CW966">
        <v>1667.3</v>
      </c>
      <c r="CX966">
        <v>877.6</v>
      </c>
      <c r="CY966">
        <v>910.40000000000009</v>
      </c>
      <c r="CZ966">
        <v>0</v>
      </c>
      <c r="DA966">
        <v>0</v>
      </c>
      <c r="DB966">
        <v>0</v>
      </c>
      <c r="DC966">
        <v>0</v>
      </c>
      <c r="DD966">
        <v>0</v>
      </c>
      <c r="DE966">
        <v>0</v>
      </c>
      <c r="DF966">
        <v>0</v>
      </c>
      <c r="DG966">
        <v>0</v>
      </c>
      <c r="DH966">
        <v>0</v>
      </c>
      <c r="DI966">
        <v>0</v>
      </c>
      <c r="DJ966">
        <v>0</v>
      </c>
      <c r="DK966">
        <v>0</v>
      </c>
      <c r="DL966">
        <v>995.5</v>
      </c>
      <c r="DM966">
        <v>712.7</v>
      </c>
      <c r="DN966">
        <v>0</v>
      </c>
      <c r="DO966">
        <v>0</v>
      </c>
      <c r="DP966">
        <v>0</v>
      </c>
      <c r="DQ966">
        <v>0</v>
      </c>
      <c r="DR966">
        <v>0</v>
      </c>
      <c r="DS966">
        <v>0</v>
      </c>
      <c r="DT966">
        <v>0</v>
      </c>
      <c r="DU966">
        <v>0</v>
      </c>
      <c r="DV966">
        <v>0</v>
      </c>
      <c r="DW966">
        <v>0</v>
      </c>
      <c r="DX966">
        <v>0</v>
      </c>
      <c r="DY966">
        <v>0</v>
      </c>
      <c r="DZ966">
        <v>0</v>
      </c>
      <c r="EA966">
        <v>0</v>
      </c>
      <c r="EB966">
        <v>0</v>
      </c>
      <c r="EC966">
        <v>0</v>
      </c>
      <c r="ED966">
        <v>0</v>
      </c>
      <c r="EE966">
        <v>0</v>
      </c>
      <c r="EF966">
        <v>0</v>
      </c>
      <c r="EG966">
        <v>0</v>
      </c>
      <c r="EH966">
        <v>0</v>
      </c>
      <c r="EI966">
        <v>0</v>
      </c>
      <c r="EJ966">
        <v>0</v>
      </c>
      <c r="EK966">
        <v>0</v>
      </c>
      <c r="EL966">
        <v>0</v>
      </c>
      <c r="EM966">
        <v>0</v>
      </c>
      <c r="EN966">
        <v>27.4</v>
      </c>
      <c r="EO966">
        <v>0</v>
      </c>
      <c r="EP966">
        <v>1002.5</v>
      </c>
      <c r="EQ966">
        <v>0</v>
      </c>
      <c r="ER966">
        <v>494</v>
      </c>
      <c r="ES966">
        <v>0</v>
      </c>
      <c r="ET966">
        <v>699.3</v>
      </c>
      <c r="EU966">
        <v>435.4</v>
      </c>
      <c r="EV966">
        <v>0</v>
      </c>
      <c r="EW966">
        <v>0</v>
      </c>
      <c r="EX966">
        <v>0</v>
      </c>
      <c r="EY966">
        <v>0</v>
      </c>
      <c r="EZ966">
        <v>0</v>
      </c>
      <c r="FA966">
        <v>0</v>
      </c>
      <c r="FB966">
        <v>0</v>
      </c>
      <c r="FC966">
        <v>0</v>
      </c>
      <c r="FD966">
        <v>95.6</v>
      </c>
      <c r="FE966">
        <v>1792.1</v>
      </c>
      <c r="FF966">
        <v>1740.1999999999998</v>
      </c>
      <c r="FG966">
        <v>954.9</v>
      </c>
      <c r="FH966">
        <v>1087.8000000000002</v>
      </c>
      <c r="FI966">
        <v>1892.1</v>
      </c>
      <c r="FJ966">
        <v>1222.5</v>
      </c>
      <c r="FK966">
        <v>678.3</v>
      </c>
      <c r="FL966">
        <v>639.1</v>
      </c>
      <c r="FM966">
        <v>520.5</v>
      </c>
      <c r="FN966">
        <v>123.8</v>
      </c>
      <c r="FO966">
        <v>181.6</v>
      </c>
      <c r="FP966">
        <v>1090.5</v>
      </c>
      <c r="FQ966">
        <v>0</v>
      </c>
      <c r="FR966">
        <v>0</v>
      </c>
      <c r="FS966">
        <v>0</v>
      </c>
      <c r="FT966">
        <v>0</v>
      </c>
      <c r="FU966">
        <v>0</v>
      </c>
      <c r="FV966">
        <v>0</v>
      </c>
      <c r="FW966">
        <v>0</v>
      </c>
      <c r="FX966">
        <v>0</v>
      </c>
      <c r="FY966">
        <v>0</v>
      </c>
      <c r="FZ966">
        <v>0</v>
      </c>
      <c r="GA966">
        <v>0</v>
      </c>
      <c r="GB966">
        <v>0</v>
      </c>
      <c r="GC966">
        <v>0</v>
      </c>
      <c r="GD966">
        <v>0</v>
      </c>
      <c r="GE966">
        <v>0</v>
      </c>
      <c r="GF966">
        <v>198.3</v>
      </c>
      <c r="GG966">
        <v>1054.4000000000001</v>
      </c>
      <c r="GH966">
        <v>552.79999999999995</v>
      </c>
      <c r="GI966">
        <v>522</v>
      </c>
      <c r="GJ966">
        <v>0</v>
      </c>
      <c r="GK966">
        <v>0</v>
      </c>
      <c r="GL966">
        <v>0</v>
      </c>
      <c r="GM966">
        <v>0</v>
      </c>
      <c r="GN966">
        <v>791.40000000000009</v>
      </c>
      <c r="GO966">
        <v>1816.5</v>
      </c>
      <c r="GP966">
        <v>0</v>
      </c>
      <c r="GQ966">
        <v>0</v>
      </c>
      <c r="GR966">
        <v>0</v>
      </c>
      <c r="GS966">
        <v>0</v>
      </c>
      <c r="GT966">
        <v>0</v>
      </c>
      <c r="GU966">
        <v>0</v>
      </c>
      <c r="GV966">
        <v>0</v>
      </c>
      <c r="GW966">
        <v>0</v>
      </c>
      <c r="GX966">
        <v>0</v>
      </c>
      <c r="GY966">
        <v>840.3</v>
      </c>
      <c r="GZ966">
        <v>0</v>
      </c>
      <c r="HA966">
        <v>0</v>
      </c>
      <c r="HB966">
        <v>0</v>
      </c>
      <c r="HC966">
        <v>380.4</v>
      </c>
      <c r="HD966">
        <v>2175.5</v>
      </c>
      <c r="HE966">
        <v>0</v>
      </c>
      <c r="HF966">
        <v>0</v>
      </c>
      <c r="HG966">
        <v>0</v>
      </c>
      <c r="HH966">
        <v>0</v>
      </c>
      <c r="HI966">
        <v>0</v>
      </c>
      <c r="HJ966">
        <v>803.40000000000009</v>
      </c>
      <c r="HK966">
        <v>1270.9000000000001</v>
      </c>
      <c r="HL966">
        <v>835.7</v>
      </c>
      <c r="HM966">
        <v>1162.5999999999999</v>
      </c>
      <c r="HN966">
        <v>0</v>
      </c>
      <c r="HO966">
        <v>0</v>
      </c>
      <c r="HP966">
        <v>0</v>
      </c>
      <c r="HQ966">
        <v>0</v>
      </c>
      <c r="HR966">
        <v>161.19999999999999</v>
      </c>
      <c r="HS966">
        <v>0</v>
      </c>
      <c r="HT966">
        <v>2048.5</v>
      </c>
      <c r="HU966">
        <v>2627.5</v>
      </c>
      <c r="HV966">
        <v>1168.5999999999999</v>
      </c>
      <c r="HW966">
        <v>388</v>
      </c>
      <c r="HX966">
        <v>0</v>
      </c>
      <c r="HY966">
        <v>0</v>
      </c>
      <c r="HZ966">
        <v>0</v>
      </c>
      <c r="IA966">
        <v>0</v>
      </c>
      <c r="IB966">
        <v>0</v>
      </c>
      <c r="IC966">
        <v>594.4</v>
      </c>
      <c r="ID966">
        <v>427.4</v>
      </c>
      <c r="IE966">
        <v>713.3</v>
      </c>
      <c r="IF966">
        <v>626.1</v>
      </c>
      <c r="IG966">
        <v>0</v>
      </c>
      <c r="IH966">
        <v>0</v>
      </c>
      <c r="II966">
        <v>995.7</v>
      </c>
      <c r="IJ966">
        <v>1156.5999999999999</v>
      </c>
      <c r="IK966">
        <v>864.6</v>
      </c>
      <c r="IL966">
        <v>316.5</v>
      </c>
      <c r="IM966">
        <v>101.5</v>
      </c>
      <c r="IN966">
        <v>71.8</v>
      </c>
      <c r="IO966">
        <v>0</v>
      </c>
      <c r="IP966">
        <v>0</v>
      </c>
      <c r="IQ966">
        <v>0</v>
      </c>
      <c r="IR966">
        <v>0</v>
      </c>
      <c r="IS966">
        <v>0</v>
      </c>
      <c r="IT966">
        <v>0</v>
      </c>
      <c r="IU966">
        <v>0</v>
      </c>
      <c r="IV966">
        <v>0</v>
      </c>
      <c r="IW966">
        <v>68</v>
      </c>
      <c r="IX966">
        <v>404.7</v>
      </c>
      <c r="IY966">
        <v>126.6</v>
      </c>
      <c r="IZ966">
        <v>126.6</v>
      </c>
      <c r="JA966">
        <v>503.7</v>
      </c>
      <c r="JB966">
        <v>570.1</v>
      </c>
      <c r="JC966">
        <v>328.3</v>
      </c>
      <c r="JD966">
        <v>0</v>
      </c>
      <c r="JE966">
        <v>0</v>
      </c>
      <c r="JF966">
        <v>0</v>
      </c>
      <c r="JG966">
        <v>0</v>
      </c>
      <c r="JH966">
        <v>287.3</v>
      </c>
      <c r="JI966">
        <v>68.2</v>
      </c>
      <c r="JJ966">
        <v>0</v>
      </c>
      <c r="JK966">
        <v>148.6</v>
      </c>
      <c r="JL966">
        <v>0</v>
      </c>
      <c r="JM966">
        <v>0</v>
      </c>
      <c r="JN966">
        <v>204.5</v>
      </c>
      <c r="JO966">
        <v>292.10000000000002</v>
      </c>
      <c r="JP966">
        <v>670.8</v>
      </c>
      <c r="JQ966">
        <v>745.2</v>
      </c>
      <c r="JR966">
        <v>242.9</v>
      </c>
    </row>
    <row r="967" spans="2:278" ht="18" thickBot="1">
      <c r="B967" s="368" t="s">
        <v>1325</v>
      </c>
      <c r="C967" s="368" t="s">
        <v>1633</v>
      </c>
      <c r="D967" s="373" t="s">
        <v>1467</v>
      </c>
      <c r="E967" s="454">
        <v>22829.8</v>
      </c>
      <c r="F967">
        <v>20193.400000000001</v>
      </c>
      <c r="G967" s="427">
        <v>0</v>
      </c>
      <c r="H967" s="155">
        <v>0</v>
      </c>
      <c r="I967">
        <v>0</v>
      </c>
      <c r="J967">
        <v>0</v>
      </c>
      <c r="K967">
        <v>0</v>
      </c>
      <c r="L967" s="4">
        <v>0</v>
      </c>
      <c r="M967" s="4">
        <v>0</v>
      </c>
      <c r="N967" s="4">
        <v>0</v>
      </c>
      <c r="O967" s="4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1476.4</v>
      </c>
      <c r="X967">
        <v>1482</v>
      </c>
      <c r="Y967">
        <v>457.20000000000005</v>
      </c>
      <c r="Z967">
        <v>0</v>
      </c>
      <c r="AA967">
        <v>0</v>
      </c>
      <c r="AB967">
        <v>0</v>
      </c>
      <c r="AC967">
        <v>0</v>
      </c>
      <c r="AD967">
        <v>3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1828.6</v>
      </c>
      <c r="AK967">
        <v>1800.7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560.70000000000005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0</v>
      </c>
      <c r="BU967">
        <v>0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  <c r="CF967">
        <v>0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  <c r="CN967">
        <v>0</v>
      </c>
      <c r="CO967">
        <v>0</v>
      </c>
      <c r="CP967">
        <v>3.5</v>
      </c>
      <c r="CQ967">
        <v>0</v>
      </c>
      <c r="CR967">
        <v>528</v>
      </c>
      <c r="CS967">
        <v>581.79999999999995</v>
      </c>
      <c r="CT967">
        <v>555.40000000000009</v>
      </c>
      <c r="CU967">
        <v>737.4</v>
      </c>
      <c r="CV967">
        <v>1039.0999999999999</v>
      </c>
      <c r="CW967">
        <v>1667.3</v>
      </c>
      <c r="CX967">
        <v>877.6</v>
      </c>
      <c r="CY967">
        <v>910.40000000000009</v>
      </c>
      <c r="CZ967">
        <v>0</v>
      </c>
      <c r="DA967">
        <v>0</v>
      </c>
      <c r="DB967">
        <v>0</v>
      </c>
      <c r="DC967">
        <v>0</v>
      </c>
      <c r="DD967">
        <v>0</v>
      </c>
      <c r="DE967">
        <v>0</v>
      </c>
      <c r="DF967">
        <v>0</v>
      </c>
      <c r="DG967">
        <v>0</v>
      </c>
      <c r="DH967">
        <v>0</v>
      </c>
      <c r="DI967">
        <v>0</v>
      </c>
      <c r="DJ967">
        <v>0</v>
      </c>
      <c r="DK967">
        <v>0</v>
      </c>
      <c r="DL967">
        <v>995.5</v>
      </c>
      <c r="DM967">
        <v>712.7</v>
      </c>
      <c r="DN967">
        <v>0</v>
      </c>
      <c r="DO967">
        <v>0</v>
      </c>
      <c r="DP967">
        <v>0</v>
      </c>
      <c r="DQ967">
        <v>0</v>
      </c>
      <c r="DR967">
        <v>0</v>
      </c>
      <c r="DS967">
        <v>0</v>
      </c>
      <c r="DT967">
        <v>0</v>
      </c>
      <c r="DU967">
        <v>0</v>
      </c>
      <c r="DV967">
        <v>0</v>
      </c>
      <c r="DW967">
        <v>0</v>
      </c>
      <c r="DX967">
        <v>0</v>
      </c>
      <c r="DY967">
        <v>0</v>
      </c>
      <c r="DZ967">
        <v>0</v>
      </c>
      <c r="EA967">
        <v>0</v>
      </c>
      <c r="EB967">
        <v>0</v>
      </c>
      <c r="EC967">
        <v>0</v>
      </c>
      <c r="ED967">
        <v>0</v>
      </c>
      <c r="EE967">
        <v>0</v>
      </c>
      <c r="EF967">
        <v>0</v>
      </c>
      <c r="EG967">
        <v>0</v>
      </c>
      <c r="EH967">
        <v>0</v>
      </c>
      <c r="EI967">
        <v>0</v>
      </c>
      <c r="EJ967">
        <v>0</v>
      </c>
      <c r="EK967">
        <v>0</v>
      </c>
      <c r="EL967">
        <v>0</v>
      </c>
      <c r="EM967">
        <v>0</v>
      </c>
      <c r="EN967">
        <v>27.4</v>
      </c>
      <c r="EO967">
        <v>0</v>
      </c>
      <c r="EP967">
        <v>1002.5</v>
      </c>
      <c r="EQ967">
        <v>0</v>
      </c>
      <c r="ER967">
        <v>494</v>
      </c>
      <c r="ES967">
        <v>0</v>
      </c>
      <c r="ET967">
        <v>699.3</v>
      </c>
      <c r="EU967">
        <v>435.4</v>
      </c>
      <c r="EV967">
        <v>0</v>
      </c>
      <c r="EW967">
        <v>0</v>
      </c>
      <c r="EX967">
        <v>0</v>
      </c>
      <c r="EY967">
        <v>0</v>
      </c>
      <c r="EZ967">
        <v>0</v>
      </c>
      <c r="FA967">
        <v>0</v>
      </c>
      <c r="FB967">
        <v>0</v>
      </c>
      <c r="FC967">
        <v>0</v>
      </c>
      <c r="FD967">
        <v>95.6</v>
      </c>
      <c r="FE967">
        <v>1792.1</v>
      </c>
      <c r="FF967">
        <v>1740.1999999999998</v>
      </c>
      <c r="FG967">
        <v>954.9</v>
      </c>
      <c r="FH967">
        <v>1087.8000000000002</v>
      </c>
      <c r="FI967">
        <v>1892.1</v>
      </c>
      <c r="FJ967">
        <v>1222.5</v>
      </c>
      <c r="FK967">
        <v>678.3</v>
      </c>
      <c r="FL967">
        <v>639.1</v>
      </c>
      <c r="FM967">
        <v>520.5</v>
      </c>
      <c r="FN967">
        <v>123.8</v>
      </c>
      <c r="FO967">
        <v>181.6</v>
      </c>
      <c r="FP967">
        <v>1090.5</v>
      </c>
      <c r="FQ967">
        <v>0</v>
      </c>
      <c r="FR967">
        <v>0</v>
      </c>
      <c r="FS967">
        <v>0</v>
      </c>
      <c r="FT967">
        <v>0</v>
      </c>
      <c r="FU967">
        <v>0</v>
      </c>
      <c r="FV967">
        <v>0</v>
      </c>
      <c r="FW967">
        <v>0</v>
      </c>
      <c r="FX967">
        <v>0</v>
      </c>
      <c r="FY967">
        <v>0</v>
      </c>
      <c r="FZ967">
        <v>0</v>
      </c>
      <c r="GA967">
        <v>0</v>
      </c>
      <c r="GB967">
        <v>0</v>
      </c>
      <c r="GC967">
        <v>0</v>
      </c>
      <c r="GD967">
        <v>0</v>
      </c>
      <c r="GE967">
        <v>0</v>
      </c>
      <c r="GF967">
        <v>198.3</v>
      </c>
      <c r="GG967">
        <v>1054.4000000000001</v>
      </c>
      <c r="GH967">
        <v>552.79999999999995</v>
      </c>
      <c r="GI967">
        <v>522</v>
      </c>
      <c r="GJ967">
        <v>0</v>
      </c>
      <c r="GK967">
        <v>0</v>
      </c>
      <c r="GL967">
        <v>0</v>
      </c>
      <c r="GM967">
        <v>0</v>
      </c>
      <c r="GN967">
        <v>791.40000000000009</v>
      </c>
      <c r="GO967">
        <v>1816.5</v>
      </c>
      <c r="GP967">
        <v>0</v>
      </c>
      <c r="GQ967">
        <v>0</v>
      </c>
      <c r="GR967">
        <v>0</v>
      </c>
      <c r="GS967">
        <v>0</v>
      </c>
      <c r="GT967">
        <v>0</v>
      </c>
      <c r="GU967">
        <v>0</v>
      </c>
      <c r="GV967">
        <v>0</v>
      </c>
      <c r="GW967">
        <v>0</v>
      </c>
      <c r="GX967">
        <v>0</v>
      </c>
      <c r="GY967">
        <v>840.3</v>
      </c>
      <c r="GZ967">
        <v>0</v>
      </c>
      <c r="HA967">
        <v>0</v>
      </c>
      <c r="HB967">
        <v>0</v>
      </c>
      <c r="HC967">
        <v>380.4</v>
      </c>
      <c r="HD967">
        <v>2175.5</v>
      </c>
      <c r="HE967">
        <v>0</v>
      </c>
      <c r="HF967">
        <v>0</v>
      </c>
      <c r="HG967">
        <v>0</v>
      </c>
      <c r="HH967">
        <v>0</v>
      </c>
      <c r="HI967">
        <v>0</v>
      </c>
      <c r="HJ967">
        <v>803.40000000000009</v>
      </c>
      <c r="HK967">
        <v>1270.9000000000001</v>
      </c>
      <c r="HL967">
        <v>835.7</v>
      </c>
      <c r="HM967">
        <v>1162.5999999999999</v>
      </c>
      <c r="HN967">
        <v>0</v>
      </c>
      <c r="HO967">
        <v>0</v>
      </c>
      <c r="HP967">
        <v>0</v>
      </c>
      <c r="HQ967">
        <v>0</v>
      </c>
      <c r="HR967">
        <v>161.19999999999999</v>
      </c>
      <c r="HS967">
        <v>0</v>
      </c>
      <c r="HT967">
        <v>2048.5</v>
      </c>
      <c r="HU967">
        <v>2627.5</v>
      </c>
      <c r="HV967">
        <v>1168.5999999999999</v>
      </c>
      <c r="HW967">
        <v>388</v>
      </c>
      <c r="HX967">
        <v>0</v>
      </c>
      <c r="HY967">
        <v>0</v>
      </c>
      <c r="HZ967">
        <v>0</v>
      </c>
      <c r="IA967">
        <v>0</v>
      </c>
      <c r="IB967">
        <v>0</v>
      </c>
      <c r="IC967">
        <v>594.4</v>
      </c>
      <c r="ID967">
        <v>427.4</v>
      </c>
      <c r="IE967">
        <v>713.3</v>
      </c>
      <c r="IF967">
        <v>626.1</v>
      </c>
      <c r="IG967">
        <v>0</v>
      </c>
      <c r="IH967">
        <v>0</v>
      </c>
      <c r="II967">
        <v>995.7</v>
      </c>
      <c r="IJ967">
        <v>1156.5999999999999</v>
      </c>
      <c r="IK967">
        <v>864.6</v>
      </c>
      <c r="IL967">
        <v>316.5</v>
      </c>
      <c r="IM967">
        <v>101.5</v>
      </c>
      <c r="IN967">
        <v>71.8</v>
      </c>
      <c r="IO967">
        <v>0</v>
      </c>
      <c r="IP967">
        <v>0</v>
      </c>
      <c r="IQ967">
        <v>0</v>
      </c>
      <c r="IR967">
        <v>0</v>
      </c>
      <c r="IS967">
        <v>0</v>
      </c>
      <c r="IT967">
        <v>0</v>
      </c>
      <c r="IU967">
        <v>0</v>
      </c>
      <c r="IV967">
        <v>0</v>
      </c>
      <c r="IW967">
        <v>68</v>
      </c>
      <c r="IX967">
        <v>404.7</v>
      </c>
      <c r="IY967">
        <v>126.6</v>
      </c>
      <c r="IZ967">
        <v>126.6</v>
      </c>
      <c r="JA967">
        <v>503.7</v>
      </c>
      <c r="JB967">
        <v>570.1</v>
      </c>
      <c r="JC967">
        <v>328.3</v>
      </c>
      <c r="JD967">
        <v>0</v>
      </c>
      <c r="JE967">
        <v>0</v>
      </c>
      <c r="JF967">
        <v>0</v>
      </c>
      <c r="JG967">
        <v>0</v>
      </c>
      <c r="JH967">
        <v>287.3</v>
      </c>
      <c r="JI967">
        <v>68.2</v>
      </c>
      <c r="JJ967">
        <v>0</v>
      </c>
      <c r="JK967">
        <v>148.6</v>
      </c>
      <c r="JL967">
        <v>0</v>
      </c>
      <c r="JM967">
        <v>0</v>
      </c>
      <c r="JN967">
        <v>204.5</v>
      </c>
      <c r="JO967">
        <v>292.10000000000002</v>
      </c>
      <c r="JP967">
        <v>670.8</v>
      </c>
      <c r="JQ967">
        <v>745.2</v>
      </c>
      <c r="JR967">
        <v>242.9</v>
      </c>
    </row>
    <row r="968" spans="2:278" ht="18" thickBot="1">
      <c r="B968" s="368"/>
      <c r="C968" s="368"/>
      <c r="D968" s="373"/>
      <c r="E968" s="454">
        <v>22829.8</v>
      </c>
      <c r="F968">
        <v>20193.400000000001</v>
      </c>
      <c r="G968" s="427">
        <v>0</v>
      </c>
      <c r="H968" s="155">
        <v>0</v>
      </c>
      <c r="I968">
        <v>0</v>
      </c>
      <c r="J968">
        <v>0</v>
      </c>
      <c r="K968">
        <v>0</v>
      </c>
      <c r="L968" s="4">
        <v>0</v>
      </c>
      <c r="M968" s="4">
        <v>0</v>
      </c>
      <c r="N968" s="4">
        <v>0</v>
      </c>
      <c r="O968" s="4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1476.4</v>
      </c>
      <c r="X968">
        <v>1482</v>
      </c>
      <c r="Y968">
        <v>457.20000000000005</v>
      </c>
      <c r="Z968">
        <v>0</v>
      </c>
      <c r="AA968">
        <v>0</v>
      </c>
      <c r="AB968">
        <v>0</v>
      </c>
      <c r="AC968">
        <v>0</v>
      </c>
      <c r="AD968">
        <v>3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1828.6</v>
      </c>
      <c r="AK968">
        <v>1800.7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560.70000000000005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  <c r="CF968">
        <v>0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  <c r="CN968">
        <v>0</v>
      </c>
      <c r="CO968">
        <v>0</v>
      </c>
      <c r="CP968">
        <v>3.5</v>
      </c>
      <c r="CQ968">
        <v>0</v>
      </c>
      <c r="CR968">
        <v>528</v>
      </c>
      <c r="CS968">
        <v>581.79999999999995</v>
      </c>
      <c r="CT968">
        <v>555.40000000000009</v>
      </c>
      <c r="CU968">
        <v>737.4</v>
      </c>
      <c r="CV968">
        <v>1039.0999999999999</v>
      </c>
      <c r="CW968">
        <v>1667.3</v>
      </c>
      <c r="CX968">
        <v>877.6</v>
      </c>
      <c r="CY968">
        <v>910.40000000000009</v>
      </c>
      <c r="CZ968">
        <v>0</v>
      </c>
      <c r="DA968">
        <v>0</v>
      </c>
      <c r="DB968">
        <v>0</v>
      </c>
      <c r="DC968">
        <v>0</v>
      </c>
      <c r="DD968">
        <v>0</v>
      </c>
      <c r="DE968">
        <v>0</v>
      </c>
      <c r="DF968">
        <v>0</v>
      </c>
      <c r="DG968">
        <v>0</v>
      </c>
      <c r="DH968">
        <v>0</v>
      </c>
      <c r="DI968">
        <v>0</v>
      </c>
      <c r="DJ968">
        <v>0</v>
      </c>
      <c r="DK968">
        <v>0</v>
      </c>
      <c r="DL968">
        <v>995.5</v>
      </c>
      <c r="DM968">
        <v>712.7</v>
      </c>
      <c r="DN968">
        <v>0</v>
      </c>
      <c r="DO968">
        <v>0</v>
      </c>
      <c r="DP968">
        <v>0</v>
      </c>
      <c r="DQ968">
        <v>0</v>
      </c>
      <c r="DR968">
        <v>0</v>
      </c>
      <c r="DS968">
        <v>0</v>
      </c>
      <c r="DT968">
        <v>0</v>
      </c>
      <c r="DU968">
        <v>0</v>
      </c>
      <c r="DV968">
        <v>0</v>
      </c>
      <c r="DW968">
        <v>0</v>
      </c>
      <c r="DX968">
        <v>0</v>
      </c>
      <c r="DY968">
        <v>0</v>
      </c>
      <c r="DZ968">
        <v>0</v>
      </c>
      <c r="EA968">
        <v>0</v>
      </c>
      <c r="EB968">
        <v>0</v>
      </c>
      <c r="EC968">
        <v>0</v>
      </c>
      <c r="ED968">
        <v>0</v>
      </c>
      <c r="EE968">
        <v>0</v>
      </c>
      <c r="EF968">
        <v>0</v>
      </c>
      <c r="EG968">
        <v>0</v>
      </c>
      <c r="EH968">
        <v>0</v>
      </c>
      <c r="EI968">
        <v>0</v>
      </c>
      <c r="EJ968">
        <v>0</v>
      </c>
      <c r="EK968">
        <v>0</v>
      </c>
      <c r="EL968">
        <v>0</v>
      </c>
      <c r="EM968">
        <v>0</v>
      </c>
      <c r="EN968">
        <v>27.4</v>
      </c>
      <c r="EO968">
        <v>0</v>
      </c>
      <c r="EP968">
        <v>1002.5</v>
      </c>
      <c r="EQ968">
        <v>0</v>
      </c>
      <c r="ER968">
        <v>494</v>
      </c>
      <c r="ES968">
        <v>0</v>
      </c>
      <c r="ET968">
        <v>699.3</v>
      </c>
      <c r="EU968">
        <v>435.4</v>
      </c>
      <c r="EV968">
        <v>0</v>
      </c>
      <c r="EW968">
        <v>0</v>
      </c>
      <c r="EX968">
        <v>0</v>
      </c>
      <c r="EY968">
        <v>0</v>
      </c>
      <c r="EZ968">
        <v>0</v>
      </c>
      <c r="FA968">
        <v>0</v>
      </c>
      <c r="FB968">
        <v>0</v>
      </c>
      <c r="FC968">
        <v>0</v>
      </c>
      <c r="FD968">
        <v>95.6</v>
      </c>
      <c r="FE968">
        <v>1792.1</v>
      </c>
      <c r="FF968">
        <v>1740.1999999999998</v>
      </c>
      <c r="FG968">
        <v>954.9</v>
      </c>
      <c r="FH968">
        <v>1087.8000000000002</v>
      </c>
      <c r="FI968">
        <v>1892.1</v>
      </c>
      <c r="FJ968">
        <v>1222.5</v>
      </c>
      <c r="FK968">
        <v>678.3</v>
      </c>
      <c r="FL968">
        <v>639.1</v>
      </c>
      <c r="FM968">
        <v>520.5</v>
      </c>
      <c r="FN968">
        <v>123.8</v>
      </c>
      <c r="FO968">
        <v>181.6</v>
      </c>
      <c r="FP968">
        <v>1090.5</v>
      </c>
      <c r="FQ968">
        <v>0</v>
      </c>
      <c r="FR968">
        <v>0</v>
      </c>
      <c r="FS968">
        <v>0</v>
      </c>
      <c r="FT968">
        <v>0</v>
      </c>
      <c r="FU968">
        <v>0</v>
      </c>
      <c r="FV968">
        <v>0</v>
      </c>
      <c r="FW968">
        <v>0</v>
      </c>
      <c r="FX968">
        <v>0</v>
      </c>
      <c r="FY968">
        <v>0</v>
      </c>
      <c r="FZ968">
        <v>0</v>
      </c>
      <c r="GA968">
        <v>0</v>
      </c>
      <c r="GB968">
        <v>0</v>
      </c>
      <c r="GC968">
        <v>0</v>
      </c>
      <c r="GD968">
        <v>0</v>
      </c>
      <c r="GE968">
        <v>0</v>
      </c>
      <c r="GF968">
        <v>198.3</v>
      </c>
      <c r="GG968">
        <v>1054.4000000000001</v>
      </c>
      <c r="GH968">
        <v>552.79999999999995</v>
      </c>
      <c r="GI968">
        <v>522</v>
      </c>
      <c r="GJ968">
        <v>0</v>
      </c>
      <c r="GK968">
        <v>0</v>
      </c>
      <c r="GL968">
        <v>0</v>
      </c>
      <c r="GM968">
        <v>0</v>
      </c>
      <c r="GN968">
        <v>791.40000000000009</v>
      </c>
      <c r="GO968">
        <v>1816.5</v>
      </c>
      <c r="GP968">
        <v>0</v>
      </c>
      <c r="GQ968">
        <v>0</v>
      </c>
      <c r="GR968">
        <v>0</v>
      </c>
      <c r="GS968">
        <v>0</v>
      </c>
      <c r="GT968">
        <v>0</v>
      </c>
      <c r="GU968">
        <v>0</v>
      </c>
      <c r="GV968">
        <v>0</v>
      </c>
      <c r="GW968">
        <v>0</v>
      </c>
      <c r="GX968">
        <v>0</v>
      </c>
      <c r="GY968">
        <v>840.3</v>
      </c>
      <c r="GZ968">
        <v>0</v>
      </c>
      <c r="HA968">
        <v>0</v>
      </c>
      <c r="HB968">
        <v>0</v>
      </c>
      <c r="HC968">
        <v>380.4</v>
      </c>
      <c r="HD968">
        <v>2175.5</v>
      </c>
      <c r="HE968">
        <v>0</v>
      </c>
      <c r="HF968">
        <v>0</v>
      </c>
      <c r="HG968">
        <v>0</v>
      </c>
      <c r="HH968">
        <v>0</v>
      </c>
      <c r="HI968">
        <v>0</v>
      </c>
      <c r="HJ968">
        <v>803.40000000000009</v>
      </c>
      <c r="HK968">
        <v>1270.9000000000001</v>
      </c>
      <c r="HL968">
        <v>835.7</v>
      </c>
      <c r="HM968">
        <v>1162.5999999999999</v>
      </c>
      <c r="HN968">
        <v>0</v>
      </c>
      <c r="HO968">
        <v>0</v>
      </c>
      <c r="HP968">
        <v>0</v>
      </c>
      <c r="HQ968">
        <v>0</v>
      </c>
      <c r="HR968">
        <v>161.19999999999999</v>
      </c>
      <c r="HS968">
        <v>0</v>
      </c>
      <c r="HT968">
        <v>2048.5</v>
      </c>
      <c r="HU968">
        <v>2627.5</v>
      </c>
      <c r="HV968">
        <v>1168.5999999999999</v>
      </c>
      <c r="HW968">
        <v>388</v>
      </c>
      <c r="HX968">
        <v>0</v>
      </c>
      <c r="HY968">
        <v>0</v>
      </c>
      <c r="HZ968">
        <v>0</v>
      </c>
      <c r="IA968">
        <v>0</v>
      </c>
      <c r="IB968">
        <v>0</v>
      </c>
      <c r="IC968">
        <v>594.4</v>
      </c>
      <c r="ID968">
        <v>427.4</v>
      </c>
      <c r="IE968">
        <v>713.3</v>
      </c>
      <c r="IF968">
        <v>626.1</v>
      </c>
      <c r="IG968">
        <v>0</v>
      </c>
      <c r="IH968">
        <v>0</v>
      </c>
      <c r="II968">
        <v>995.7</v>
      </c>
      <c r="IJ968">
        <v>1156.5999999999999</v>
      </c>
      <c r="IK968">
        <v>864.6</v>
      </c>
      <c r="IL968">
        <v>316.5</v>
      </c>
      <c r="IM968">
        <v>101.5</v>
      </c>
      <c r="IN968">
        <v>71.8</v>
      </c>
      <c r="IO968">
        <v>0</v>
      </c>
      <c r="IP968">
        <v>0</v>
      </c>
      <c r="IQ968">
        <v>0</v>
      </c>
      <c r="IR968">
        <v>0</v>
      </c>
      <c r="IS968">
        <v>0</v>
      </c>
      <c r="IT968">
        <v>0</v>
      </c>
      <c r="IU968">
        <v>0</v>
      </c>
      <c r="IV968">
        <v>0</v>
      </c>
      <c r="IW968">
        <v>68</v>
      </c>
      <c r="IX968">
        <v>404.7</v>
      </c>
      <c r="IY968">
        <v>126.6</v>
      </c>
      <c r="IZ968">
        <v>126.6</v>
      </c>
      <c r="JA968">
        <v>503.7</v>
      </c>
      <c r="JB968">
        <v>570.1</v>
      </c>
      <c r="JC968">
        <v>328.3</v>
      </c>
      <c r="JD968">
        <v>0</v>
      </c>
      <c r="JE968">
        <v>0</v>
      </c>
      <c r="JF968">
        <v>0</v>
      </c>
      <c r="JG968">
        <v>0</v>
      </c>
      <c r="JH968">
        <v>287.3</v>
      </c>
      <c r="JI968">
        <v>68.2</v>
      </c>
      <c r="JJ968">
        <v>0</v>
      </c>
      <c r="JK968">
        <v>148.6</v>
      </c>
      <c r="JL968">
        <v>0</v>
      </c>
      <c r="JM968">
        <v>0</v>
      </c>
      <c r="JN968">
        <v>204.5</v>
      </c>
      <c r="JO968">
        <v>292.10000000000002</v>
      </c>
      <c r="JP968">
        <v>670.8</v>
      </c>
      <c r="JQ968">
        <v>745.2</v>
      </c>
      <c r="JR968">
        <v>242.9</v>
      </c>
    </row>
    <row r="969" spans="2:278" ht="18" thickBot="1">
      <c r="B969" s="367" t="s">
        <v>1326</v>
      </c>
      <c r="C969" s="367" t="s">
        <v>1634</v>
      </c>
      <c r="D969" s="375" t="s">
        <v>1468</v>
      </c>
      <c r="E969" s="454">
        <v>22829.8</v>
      </c>
      <c r="F969">
        <v>20193.400000000001</v>
      </c>
      <c r="G969" s="427">
        <v>0</v>
      </c>
      <c r="H969" s="155">
        <v>0</v>
      </c>
      <c r="I969">
        <v>0</v>
      </c>
      <c r="J969">
        <v>0</v>
      </c>
      <c r="K969">
        <v>0</v>
      </c>
      <c r="L969" s="4">
        <v>0</v>
      </c>
      <c r="M969" s="4">
        <v>0</v>
      </c>
      <c r="N969" s="4">
        <v>0</v>
      </c>
      <c r="O969" s="4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1476.4</v>
      </c>
      <c r="X969">
        <v>1482</v>
      </c>
      <c r="Y969">
        <v>457.20000000000005</v>
      </c>
      <c r="Z969">
        <v>0</v>
      </c>
      <c r="AA969">
        <v>0</v>
      </c>
      <c r="AB969">
        <v>0</v>
      </c>
      <c r="AC969">
        <v>0</v>
      </c>
      <c r="AD969">
        <v>3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1828.6</v>
      </c>
      <c r="AK969">
        <v>1800.7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560.70000000000005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  <c r="CF969">
        <v>0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  <c r="CN969">
        <v>0</v>
      </c>
      <c r="CO969">
        <v>0</v>
      </c>
      <c r="CP969">
        <v>3.5</v>
      </c>
      <c r="CQ969">
        <v>0</v>
      </c>
      <c r="CR969">
        <v>528</v>
      </c>
      <c r="CS969">
        <v>581.79999999999995</v>
      </c>
      <c r="CT969">
        <v>555.40000000000009</v>
      </c>
      <c r="CU969">
        <v>737.4</v>
      </c>
      <c r="CV969">
        <v>1039.0999999999999</v>
      </c>
      <c r="CW969">
        <v>1667.3</v>
      </c>
      <c r="CX969">
        <v>877.6</v>
      </c>
      <c r="CY969">
        <v>910.40000000000009</v>
      </c>
      <c r="CZ969">
        <v>0</v>
      </c>
      <c r="DA969">
        <v>0</v>
      </c>
      <c r="DB969">
        <v>0</v>
      </c>
      <c r="DC969">
        <v>0</v>
      </c>
      <c r="DD969">
        <v>0</v>
      </c>
      <c r="DE969">
        <v>0</v>
      </c>
      <c r="DF969">
        <v>0</v>
      </c>
      <c r="DG969">
        <v>0</v>
      </c>
      <c r="DH969">
        <v>0</v>
      </c>
      <c r="DI969">
        <v>0</v>
      </c>
      <c r="DJ969">
        <v>0</v>
      </c>
      <c r="DK969">
        <v>0</v>
      </c>
      <c r="DL969">
        <v>995.5</v>
      </c>
      <c r="DM969">
        <v>712.7</v>
      </c>
      <c r="DN969">
        <v>0</v>
      </c>
      <c r="DO969">
        <v>0</v>
      </c>
      <c r="DP969">
        <v>0</v>
      </c>
      <c r="DQ969">
        <v>0</v>
      </c>
      <c r="DR969">
        <v>0</v>
      </c>
      <c r="DS969">
        <v>0</v>
      </c>
      <c r="DT969">
        <v>0</v>
      </c>
      <c r="DU969">
        <v>0</v>
      </c>
      <c r="DV969">
        <v>0</v>
      </c>
      <c r="DW969">
        <v>0</v>
      </c>
      <c r="DX969">
        <v>0</v>
      </c>
      <c r="DY969">
        <v>0</v>
      </c>
      <c r="DZ969">
        <v>0</v>
      </c>
      <c r="EA969">
        <v>0</v>
      </c>
      <c r="EB969">
        <v>0</v>
      </c>
      <c r="EC969">
        <v>0</v>
      </c>
      <c r="ED969">
        <v>0</v>
      </c>
      <c r="EE969">
        <v>0</v>
      </c>
      <c r="EF969">
        <v>0</v>
      </c>
      <c r="EG969">
        <v>0</v>
      </c>
      <c r="EH969">
        <v>0</v>
      </c>
      <c r="EI969">
        <v>0</v>
      </c>
      <c r="EJ969">
        <v>0</v>
      </c>
      <c r="EK969">
        <v>0</v>
      </c>
      <c r="EL969">
        <v>0</v>
      </c>
      <c r="EM969">
        <v>0</v>
      </c>
      <c r="EN969">
        <v>27.4</v>
      </c>
      <c r="EO969">
        <v>0</v>
      </c>
      <c r="EP969">
        <v>1002.5</v>
      </c>
      <c r="EQ969">
        <v>0</v>
      </c>
      <c r="ER969">
        <v>494</v>
      </c>
      <c r="ES969">
        <v>0</v>
      </c>
      <c r="ET969">
        <v>699.3</v>
      </c>
      <c r="EU969">
        <v>435.4</v>
      </c>
      <c r="EV969">
        <v>0</v>
      </c>
      <c r="EW969">
        <v>0</v>
      </c>
      <c r="EX969">
        <v>0</v>
      </c>
      <c r="EY969">
        <v>0</v>
      </c>
      <c r="EZ969">
        <v>0</v>
      </c>
      <c r="FA969">
        <v>0</v>
      </c>
      <c r="FB969">
        <v>0</v>
      </c>
      <c r="FC969">
        <v>0</v>
      </c>
      <c r="FD969">
        <v>95.6</v>
      </c>
      <c r="FE969">
        <v>1792.1</v>
      </c>
      <c r="FF969">
        <v>1740.1999999999998</v>
      </c>
      <c r="FG969">
        <v>954.9</v>
      </c>
      <c r="FH969">
        <v>1087.8000000000002</v>
      </c>
      <c r="FI969">
        <v>1892.1</v>
      </c>
      <c r="FJ969">
        <v>1222.5</v>
      </c>
      <c r="FK969">
        <v>678.3</v>
      </c>
      <c r="FL969">
        <v>639.1</v>
      </c>
      <c r="FM969">
        <v>520.5</v>
      </c>
      <c r="FN969">
        <v>123.8</v>
      </c>
      <c r="FO969">
        <v>181.6</v>
      </c>
      <c r="FP969">
        <v>1090.5</v>
      </c>
      <c r="FQ969">
        <v>0</v>
      </c>
      <c r="FR969">
        <v>0</v>
      </c>
      <c r="FS969">
        <v>0</v>
      </c>
      <c r="FT969">
        <v>0</v>
      </c>
      <c r="FU969">
        <v>0</v>
      </c>
      <c r="FV969">
        <v>0</v>
      </c>
      <c r="FW969">
        <v>0</v>
      </c>
      <c r="FX969">
        <v>0</v>
      </c>
      <c r="FY969">
        <v>0</v>
      </c>
      <c r="FZ969">
        <v>0</v>
      </c>
      <c r="GA969">
        <v>0</v>
      </c>
      <c r="GB969">
        <v>0</v>
      </c>
      <c r="GC969">
        <v>0</v>
      </c>
      <c r="GD969">
        <v>0</v>
      </c>
      <c r="GE969">
        <v>0</v>
      </c>
      <c r="GF969">
        <v>198.3</v>
      </c>
      <c r="GG969">
        <v>1054.4000000000001</v>
      </c>
      <c r="GH969">
        <v>552.79999999999995</v>
      </c>
      <c r="GI969">
        <v>522</v>
      </c>
      <c r="GJ969">
        <v>0</v>
      </c>
      <c r="GK969">
        <v>0</v>
      </c>
      <c r="GL969">
        <v>0</v>
      </c>
      <c r="GM969">
        <v>0</v>
      </c>
      <c r="GN969">
        <v>791.40000000000009</v>
      </c>
      <c r="GO969">
        <v>1816.5</v>
      </c>
      <c r="GP969">
        <v>0</v>
      </c>
      <c r="GQ969">
        <v>0</v>
      </c>
      <c r="GR969">
        <v>0</v>
      </c>
      <c r="GS969">
        <v>0</v>
      </c>
      <c r="GT969">
        <v>0</v>
      </c>
      <c r="GU969">
        <v>0</v>
      </c>
      <c r="GV969">
        <v>0</v>
      </c>
      <c r="GW969">
        <v>0</v>
      </c>
      <c r="GX969">
        <v>0</v>
      </c>
      <c r="GY969">
        <v>840.3</v>
      </c>
      <c r="GZ969">
        <v>0</v>
      </c>
      <c r="HA969">
        <v>0</v>
      </c>
      <c r="HB969">
        <v>0</v>
      </c>
      <c r="HC969">
        <v>380.4</v>
      </c>
      <c r="HD969">
        <v>2175.5</v>
      </c>
      <c r="HE969">
        <v>0</v>
      </c>
      <c r="HF969">
        <v>0</v>
      </c>
      <c r="HG969">
        <v>0</v>
      </c>
      <c r="HH969">
        <v>0</v>
      </c>
      <c r="HI969">
        <v>0</v>
      </c>
      <c r="HJ969">
        <v>803.40000000000009</v>
      </c>
      <c r="HK969">
        <v>1270.9000000000001</v>
      </c>
      <c r="HL969">
        <v>835.7</v>
      </c>
      <c r="HM969">
        <v>1162.5999999999999</v>
      </c>
      <c r="HN969">
        <v>0</v>
      </c>
      <c r="HO969">
        <v>0</v>
      </c>
      <c r="HP969">
        <v>0</v>
      </c>
      <c r="HQ969">
        <v>0</v>
      </c>
      <c r="HR969">
        <v>161.19999999999999</v>
      </c>
      <c r="HS969">
        <v>0</v>
      </c>
      <c r="HT969">
        <v>2048.5</v>
      </c>
      <c r="HU969">
        <v>2627.5</v>
      </c>
      <c r="HV969">
        <v>1168.5999999999999</v>
      </c>
      <c r="HW969">
        <v>388</v>
      </c>
      <c r="HX969">
        <v>0</v>
      </c>
      <c r="HY969">
        <v>0</v>
      </c>
      <c r="HZ969">
        <v>0</v>
      </c>
      <c r="IA969">
        <v>0</v>
      </c>
      <c r="IB969">
        <v>0</v>
      </c>
      <c r="IC969">
        <v>594.4</v>
      </c>
      <c r="ID969">
        <v>427.4</v>
      </c>
      <c r="IE969">
        <v>713.3</v>
      </c>
      <c r="IF969">
        <v>626.1</v>
      </c>
      <c r="IG969">
        <v>0</v>
      </c>
      <c r="IH969">
        <v>0</v>
      </c>
      <c r="II969">
        <v>995.7</v>
      </c>
      <c r="IJ969">
        <v>1156.5999999999999</v>
      </c>
      <c r="IK969">
        <v>864.6</v>
      </c>
      <c r="IL969">
        <v>316.5</v>
      </c>
      <c r="IM969">
        <v>101.5</v>
      </c>
      <c r="IN969">
        <v>71.8</v>
      </c>
      <c r="IO969">
        <v>0</v>
      </c>
      <c r="IP969">
        <v>0</v>
      </c>
      <c r="IQ969">
        <v>0</v>
      </c>
      <c r="IR969">
        <v>0</v>
      </c>
      <c r="IS969">
        <v>0</v>
      </c>
      <c r="IT969">
        <v>0</v>
      </c>
      <c r="IU969">
        <v>0</v>
      </c>
      <c r="IV969">
        <v>0</v>
      </c>
      <c r="IW969">
        <v>68</v>
      </c>
      <c r="IX969">
        <v>404.7</v>
      </c>
      <c r="IY969">
        <v>126.6</v>
      </c>
      <c r="IZ969">
        <v>126.6</v>
      </c>
      <c r="JA969">
        <v>503.7</v>
      </c>
      <c r="JB969">
        <v>570.1</v>
      </c>
      <c r="JC969">
        <v>328.3</v>
      </c>
      <c r="JD969">
        <v>0</v>
      </c>
      <c r="JE969">
        <v>0</v>
      </c>
      <c r="JF969">
        <v>0</v>
      </c>
      <c r="JG969">
        <v>0</v>
      </c>
      <c r="JH969">
        <v>287.3</v>
      </c>
      <c r="JI969">
        <v>68.2</v>
      </c>
      <c r="JJ969">
        <v>0</v>
      </c>
      <c r="JK969">
        <v>148.6</v>
      </c>
      <c r="JL969">
        <v>0</v>
      </c>
      <c r="JM969">
        <v>0</v>
      </c>
      <c r="JN969">
        <v>204.5</v>
      </c>
      <c r="JO969">
        <v>292.10000000000002</v>
      </c>
      <c r="JP969">
        <v>670.8</v>
      </c>
      <c r="JQ969">
        <v>745.2</v>
      </c>
      <c r="JR969">
        <v>242.9</v>
      </c>
    </row>
    <row r="970" spans="2:278" ht="18" thickBot="1">
      <c r="B970" s="370" t="s">
        <v>387</v>
      </c>
      <c r="C970" s="383"/>
      <c r="D970" s="383"/>
      <c r="E970" s="454">
        <v>22829.8</v>
      </c>
      <c r="F970">
        <v>20193.400000000001</v>
      </c>
      <c r="G970" s="427">
        <v>0</v>
      </c>
      <c r="H970" s="155">
        <v>0</v>
      </c>
      <c r="I970">
        <v>0</v>
      </c>
      <c r="J970">
        <v>0</v>
      </c>
      <c r="K970">
        <v>0</v>
      </c>
      <c r="L970" s="4">
        <v>0</v>
      </c>
      <c r="M970" s="4">
        <v>0</v>
      </c>
      <c r="N970" s="4">
        <v>0</v>
      </c>
      <c r="O970" s="4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1476.4</v>
      </c>
      <c r="X970">
        <v>1482</v>
      </c>
      <c r="Y970">
        <v>457.20000000000005</v>
      </c>
      <c r="Z970">
        <v>0</v>
      </c>
      <c r="AA970">
        <v>0</v>
      </c>
      <c r="AB970">
        <v>0</v>
      </c>
      <c r="AC970">
        <v>0</v>
      </c>
      <c r="AD970">
        <v>3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1828.6</v>
      </c>
      <c r="AK970">
        <v>1800.7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560.70000000000005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  <c r="CF970">
        <v>0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  <c r="CN970">
        <v>0</v>
      </c>
      <c r="CO970">
        <v>0</v>
      </c>
      <c r="CP970">
        <v>3.5</v>
      </c>
      <c r="CQ970">
        <v>0</v>
      </c>
      <c r="CR970">
        <v>528</v>
      </c>
      <c r="CS970">
        <v>581.79999999999995</v>
      </c>
      <c r="CT970">
        <v>555.40000000000009</v>
      </c>
      <c r="CU970">
        <v>737.4</v>
      </c>
      <c r="CV970">
        <v>1039.0999999999999</v>
      </c>
      <c r="CW970">
        <v>1667.3</v>
      </c>
      <c r="CX970">
        <v>877.6</v>
      </c>
      <c r="CY970">
        <v>910.40000000000009</v>
      </c>
      <c r="CZ970">
        <v>0</v>
      </c>
      <c r="DA970">
        <v>0</v>
      </c>
      <c r="DB970">
        <v>0</v>
      </c>
      <c r="DC970">
        <v>0</v>
      </c>
      <c r="DD970">
        <v>0</v>
      </c>
      <c r="DE970">
        <v>0</v>
      </c>
      <c r="DF970">
        <v>0</v>
      </c>
      <c r="DG970">
        <v>0</v>
      </c>
      <c r="DH970">
        <v>0</v>
      </c>
      <c r="DI970">
        <v>0</v>
      </c>
      <c r="DJ970">
        <v>0</v>
      </c>
      <c r="DK970">
        <v>0</v>
      </c>
      <c r="DL970">
        <v>995.5</v>
      </c>
      <c r="DM970">
        <v>712.7</v>
      </c>
      <c r="DN970">
        <v>0</v>
      </c>
      <c r="DO970">
        <v>0</v>
      </c>
      <c r="DP970">
        <v>0</v>
      </c>
      <c r="DQ970">
        <v>0</v>
      </c>
      <c r="DR970">
        <v>0</v>
      </c>
      <c r="DS970">
        <v>0</v>
      </c>
      <c r="DT970">
        <v>0</v>
      </c>
      <c r="DU970">
        <v>0</v>
      </c>
      <c r="DV970">
        <v>0</v>
      </c>
      <c r="DW970">
        <v>0</v>
      </c>
      <c r="DX970">
        <v>0</v>
      </c>
      <c r="DY970">
        <v>0</v>
      </c>
      <c r="DZ970">
        <v>0</v>
      </c>
      <c r="EA970">
        <v>0</v>
      </c>
      <c r="EB970">
        <v>0</v>
      </c>
      <c r="EC970">
        <v>0</v>
      </c>
      <c r="ED970">
        <v>0</v>
      </c>
      <c r="EE970">
        <v>0</v>
      </c>
      <c r="EF970">
        <v>0</v>
      </c>
      <c r="EG970">
        <v>0</v>
      </c>
      <c r="EH970">
        <v>0</v>
      </c>
      <c r="EI970">
        <v>0</v>
      </c>
      <c r="EJ970">
        <v>0</v>
      </c>
      <c r="EK970">
        <v>0</v>
      </c>
      <c r="EL970">
        <v>0</v>
      </c>
      <c r="EM970">
        <v>0</v>
      </c>
      <c r="EN970">
        <v>27.4</v>
      </c>
      <c r="EO970">
        <v>0</v>
      </c>
      <c r="EP970">
        <v>1002.5</v>
      </c>
      <c r="EQ970">
        <v>0</v>
      </c>
      <c r="ER970">
        <v>494</v>
      </c>
      <c r="ES970">
        <v>0</v>
      </c>
      <c r="ET970">
        <v>699.3</v>
      </c>
      <c r="EU970">
        <v>435.4</v>
      </c>
      <c r="EV970">
        <v>0</v>
      </c>
      <c r="EW970">
        <v>0</v>
      </c>
      <c r="EX970">
        <v>0</v>
      </c>
      <c r="EY970">
        <v>0</v>
      </c>
      <c r="EZ970">
        <v>0</v>
      </c>
      <c r="FA970">
        <v>0</v>
      </c>
      <c r="FB970">
        <v>0</v>
      </c>
      <c r="FC970">
        <v>0</v>
      </c>
      <c r="FD970">
        <v>95.6</v>
      </c>
      <c r="FE970">
        <v>1792.1</v>
      </c>
      <c r="FF970">
        <v>1740.1999999999998</v>
      </c>
      <c r="FG970">
        <v>954.9</v>
      </c>
      <c r="FH970">
        <v>1087.8000000000002</v>
      </c>
      <c r="FI970">
        <v>1892.1</v>
      </c>
      <c r="FJ970">
        <v>1222.5</v>
      </c>
      <c r="FK970">
        <v>678.3</v>
      </c>
      <c r="FL970">
        <v>639.1</v>
      </c>
      <c r="FM970">
        <v>520.5</v>
      </c>
      <c r="FN970">
        <v>123.8</v>
      </c>
      <c r="FO970">
        <v>181.6</v>
      </c>
      <c r="FP970">
        <v>1090.5</v>
      </c>
      <c r="FQ970">
        <v>0</v>
      </c>
      <c r="FR970">
        <v>0</v>
      </c>
      <c r="FS970">
        <v>0</v>
      </c>
      <c r="FT970">
        <v>0</v>
      </c>
      <c r="FU970">
        <v>0</v>
      </c>
      <c r="FV970">
        <v>0</v>
      </c>
      <c r="FW970">
        <v>0</v>
      </c>
      <c r="FX970">
        <v>0</v>
      </c>
      <c r="FY970">
        <v>0</v>
      </c>
      <c r="FZ970">
        <v>0</v>
      </c>
      <c r="GA970">
        <v>0</v>
      </c>
      <c r="GB970">
        <v>0</v>
      </c>
      <c r="GC970">
        <v>0</v>
      </c>
      <c r="GD970">
        <v>0</v>
      </c>
      <c r="GE970">
        <v>0</v>
      </c>
      <c r="GF970">
        <v>198.3</v>
      </c>
      <c r="GG970">
        <v>1054.4000000000001</v>
      </c>
      <c r="GH970">
        <v>552.79999999999995</v>
      </c>
      <c r="GI970">
        <v>522</v>
      </c>
      <c r="GJ970">
        <v>0</v>
      </c>
      <c r="GK970">
        <v>0</v>
      </c>
      <c r="GL970">
        <v>0</v>
      </c>
      <c r="GM970">
        <v>0</v>
      </c>
      <c r="GN970">
        <v>791.40000000000009</v>
      </c>
      <c r="GO970">
        <v>1816.5</v>
      </c>
      <c r="GP970">
        <v>0</v>
      </c>
      <c r="GQ970">
        <v>0</v>
      </c>
      <c r="GR970">
        <v>0</v>
      </c>
      <c r="GS970">
        <v>0</v>
      </c>
      <c r="GT970">
        <v>0</v>
      </c>
      <c r="GU970">
        <v>0</v>
      </c>
      <c r="GV970">
        <v>0</v>
      </c>
      <c r="GW970">
        <v>0</v>
      </c>
      <c r="GX970">
        <v>0</v>
      </c>
      <c r="GY970">
        <v>840.3</v>
      </c>
      <c r="GZ970">
        <v>0</v>
      </c>
      <c r="HA970">
        <v>0</v>
      </c>
      <c r="HB970">
        <v>0</v>
      </c>
      <c r="HC970">
        <v>380.4</v>
      </c>
      <c r="HD970">
        <v>2175.5</v>
      </c>
      <c r="HE970">
        <v>0</v>
      </c>
      <c r="HF970">
        <v>0</v>
      </c>
      <c r="HG970">
        <v>0</v>
      </c>
      <c r="HH970">
        <v>0</v>
      </c>
      <c r="HI970">
        <v>0</v>
      </c>
      <c r="HJ970">
        <v>803.40000000000009</v>
      </c>
      <c r="HK970">
        <v>1270.9000000000001</v>
      </c>
      <c r="HL970">
        <v>835.7</v>
      </c>
      <c r="HM970">
        <v>1162.5999999999999</v>
      </c>
      <c r="HN970">
        <v>0</v>
      </c>
      <c r="HO970">
        <v>0</v>
      </c>
      <c r="HP970">
        <v>0</v>
      </c>
      <c r="HQ970">
        <v>0</v>
      </c>
      <c r="HR970">
        <v>161.19999999999999</v>
      </c>
      <c r="HS970">
        <v>0</v>
      </c>
      <c r="HT970">
        <v>2048.5</v>
      </c>
      <c r="HU970">
        <v>2627.5</v>
      </c>
      <c r="HV970">
        <v>1168.5999999999999</v>
      </c>
      <c r="HW970">
        <v>388</v>
      </c>
      <c r="HX970">
        <v>0</v>
      </c>
      <c r="HY970">
        <v>0</v>
      </c>
      <c r="HZ970">
        <v>0</v>
      </c>
      <c r="IA970">
        <v>0</v>
      </c>
      <c r="IB970">
        <v>0</v>
      </c>
      <c r="IC970">
        <v>594.4</v>
      </c>
      <c r="ID970">
        <v>427.4</v>
      </c>
      <c r="IE970">
        <v>713.3</v>
      </c>
      <c r="IF970">
        <v>626.1</v>
      </c>
      <c r="IG970">
        <v>0</v>
      </c>
      <c r="IH970">
        <v>0</v>
      </c>
      <c r="II970">
        <v>995.7</v>
      </c>
      <c r="IJ970">
        <v>1156.5999999999999</v>
      </c>
      <c r="IK970">
        <v>864.6</v>
      </c>
      <c r="IL970">
        <v>316.5</v>
      </c>
      <c r="IM970">
        <v>101.5</v>
      </c>
      <c r="IN970">
        <v>71.8</v>
      </c>
      <c r="IO970">
        <v>0</v>
      </c>
      <c r="IP970">
        <v>0</v>
      </c>
      <c r="IQ970">
        <v>0</v>
      </c>
      <c r="IR970">
        <v>0</v>
      </c>
      <c r="IS970">
        <v>0</v>
      </c>
      <c r="IT970">
        <v>0</v>
      </c>
      <c r="IU970">
        <v>0</v>
      </c>
      <c r="IV970">
        <v>0</v>
      </c>
      <c r="IW970">
        <v>68</v>
      </c>
      <c r="IX970">
        <v>404.7</v>
      </c>
      <c r="IY970">
        <v>126.6</v>
      </c>
      <c r="IZ970">
        <v>126.6</v>
      </c>
      <c r="JA970">
        <v>503.7</v>
      </c>
      <c r="JB970">
        <v>570.1</v>
      </c>
      <c r="JC970">
        <v>328.3</v>
      </c>
      <c r="JD970">
        <v>0</v>
      </c>
      <c r="JE970">
        <v>0</v>
      </c>
      <c r="JF970">
        <v>0</v>
      </c>
      <c r="JG970">
        <v>0</v>
      </c>
      <c r="JH970">
        <v>287.3</v>
      </c>
      <c r="JI970">
        <v>68.2</v>
      </c>
      <c r="JJ970">
        <v>0</v>
      </c>
      <c r="JK970">
        <v>148.6</v>
      </c>
      <c r="JL970">
        <v>0</v>
      </c>
      <c r="JM970">
        <v>0</v>
      </c>
      <c r="JN970">
        <v>204.5</v>
      </c>
      <c r="JO970">
        <v>292.10000000000002</v>
      </c>
      <c r="JP970">
        <v>670.8</v>
      </c>
      <c r="JQ970">
        <v>745.2</v>
      </c>
      <c r="JR970">
        <v>242.9</v>
      </c>
    </row>
    <row r="971" spans="2:278" ht="18" thickBot="1">
      <c r="B971" s="368" t="s">
        <v>1327</v>
      </c>
      <c r="C971" s="368" t="s">
        <v>1635</v>
      </c>
      <c r="D971" s="384"/>
      <c r="E971" s="454">
        <v>22829.8</v>
      </c>
      <c r="F971">
        <v>20193.400000000001</v>
      </c>
      <c r="G971" s="427">
        <v>0</v>
      </c>
      <c r="H971" s="155">
        <v>0</v>
      </c>
      <c r="I971">
        <v>0</v>
      </c>
      <c r="J971">
        <v>0</v>
      </c>
      <c r="K971">
        <v>0</v>
      </c>
      <c r="L971" s="4">
        <v>0</v>
      </c>
      <c r="M971" s="4">
        <v>0</v>
      </c>
      <c r="N971" s="4">
        <v>0</v>
      </c>
      <c r="O971" s="4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1476.4</v>
      </c>
      <c r="X971">
        <v>1482</v>
      </c>
      <c r="Y971">
        <v>457.20000000000005</v>
      </c>
      <c r="Z971">
        <v>0</v>
      </c>
      <c r="AA971">
        <v>0</v>
      </c>
      <c r="AB971">
        <v>0</v>
      </c>
      <c r="AC971">
        <v>0</v>
      </c>
      <c r="AD971">
        <v>3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1828.6</v>
      </c>
      <c r="AK971">
        <v>1800.7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560.70000000000005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  <c r="CF971">
        <v>0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  <c r="CN971">
        <v>0</v>
      </c>
      <c r="CO971">
        <v>0</v>
      </c>
      <c r="CP971">
        <v>3.5</v>
      </c>
      <c r="CQ971">
        <v>0</v>
      </c>
      <c r="CR971">
        <v>528</v>
      </c>
      <c r="CS971">
        <v>581.79999999999995</v>
      </c>
      <c r="CT971">
        <v>555.40000000000009</v>
      </c>
      <c r="CU971">
        <v>737.4</v>
      </c>
      <c r="CV971">
        <v>1039.0999999999999</v>
      </c>
      <c r="CW971">
        <v>1667.3</v>
      </c>
      <c r="CX971">
        <v>877.6</v>
      </c>
      <c r="CY971">
        <v>910.40000000000009</v>
      </c>
      <c r="CZ971">
        <v>0</v>
      </c>
      <c r="DA971">
        <v>0</v>
      </c>
      <c r="DB971">
        <v>0</v>
      </c>
      <c r="DC971">
        <v>0</v>
      </c>
      <c r="DD971">
        <v>0</v>
      </c>
      <c r="DE971">
        <v>0</v>
      </c>
      <c r="DF971">
        <v>0</v>
      </c>
      <c r="DG971">
        <v>0</v>
      </c>
      <c r="DH971">
        <v>0</v>
      </c>
      <c r="DI971">
        <v>0</v>
      </c>
      <c r="DJ971">
        <v>0</v>
      </c>
      <c r="DK971">
        <v>0</v>
      </c>
      <c r="DL971">
        <v>995.5</v>
      </c>
      <c r="DM971">
        <v>712.7</v>
      </c>
      <c r="DN971">
        <v>0</v>
      </c>
      <c r="DO971">
        <v>0</v>
      </c>
      <c r="DP971">
        <v>0</v>
      </c>
      <c r="DQ971">
        <v>0</v>
      </c>
      <c r="DR971">
        <v>0</v>
      </c>
      <c r="DS971">
        <v>0</v>
      </c>
      <c r="DT971">
        <v>0</v>
      </c>
      <c r="DU971">
        <v>0</v>
      </c>
      <c r="DV971">
        <v>0</v>
      </c>
      <c r="DW971">
        <v>0</v>
      </c>
      <c r="DX971">
        <v>0</v>
      </c>
      <c r="DY971">
        <v>0</v>
      </c>
      <c r="DZ971">
        <v>0</v>
      </c>
      <c r="EA971">
        <v>0</v>
      </c>
      <c r="EB971">
        <v>0</v>
      </c>
      <c r="EC971">
        <v>0</v>
      </c>
      <c r="ED971">
        <v>0</v>
      </c>
      <c r="EE971">
        <v>0</v>
      </c>
      <c r="EF971">
        <v>0</v>
      </c>
      <c r="EG971">
        <v>0</v>
      </c>
      <c r="EH971">
        <v>0</v>
      </c>
      <c r="EI971">
        <v>0</v>
      </c>
      <c r="EJ971">
        <v>0</v>
      </c>
      <c r="EK971">
        <v>0</v>
      </c>
      <c r="EL971">
        <v>0</v>
      </c>
      <c r="EM971">
        <v>0</v>
      </c>
      <c r="EN971">
        <v>27.4</v>
      </c>
      <c r="EO971">
        <v>0</v>
      </c>
      <c r="EP971">
        <v>1002.5</v>
      </c>
      <c r="EQ971">
        <v>0</v>
      </c>
      <c r="ER971">
        <v>494</v>
      </c>
      <c r="ES971">
        <v>0</v>
      </c>
      <c r="ET971">
        <v>699.3</v>
      </c>
      <c r="EU971">
        <v>435.4</v>
      </c>
      <c r="EV971">
        <v>0</v>
      </c>
      <c r="EW971">
        <v>0</v>
      </c>
      <c r="EX971">
        <v>0</v>
      </c>
      <c r="EY971">
        <v>0</v>
      </c>
      <c r="EZ971">
        <v>0</v>
      </c>
      <c r="FA971">
        <v>0</v>
      </c>
      <c r="FB971">
        <v>0</v>
      </c>
      <c r="FC971">
        <v>0</v>
      </c>
      <c r="FD971">
        <v>95.6</v>
      </c>
      <c r="FE971">
        <v>1792.1</v>
      </c>
      <c r="FF971">
        <v>1740.1999999999998</v>
      </c>
      <c r="FG971">
        <v>954.9</v>
      </c>
      <c r="FH971">
        <v>1087.8000000000002</v>
      </c>
      <c r="FI971">
        <v>1892.1</v>
      </c>
      <c r="FJ971">
        <v>1222.5</v>
      </c>
      <c r="FK971">
        <v>678.3</v>
      </c>
      <c r="FL971">
        <v>639.1</v>
      </c>
      <c r="FM971">
        <v>520.5</v>
      </c>
      <c r="FN971">
        <v>123.8</v>
      </c>
      <c r="FO971">
        <v>181.6</v>
      </c>
      <c r="FP971">
        <v>1090.5</v>
      </c>
      <c r="FQ971">
        <v>0</v>
      </c>
      <c r="FR971">
        <v>0</v>
      </c>
      <c r="FS971">
        <v>0</v>
      </c>
      <c r="FT971">
        <v>0</v>
      </c>
      <c r="FU971">
        <v>0</v>
      </c>
      <c r="FV971">
        <v>0</v>
      </c>
      <c r="FW971">
        <v>0</v>
      </c>
      <c r="FX971">
        <v>0</v>
      </c>
      <c r="FY971">
        <v>0</v>
      </c>
      <c r="FZ971">
        <v>0</v>
      </c>
      <c r="GA971">
        <v>0</v>
      </c>
      <c r="GB971">
        <v>0</v>
      </c>
      <c r="GC971">
        <v>0</v>
      </c>
      <c r="GD971">
        <v>0</v>
      </c>
      <c r="GE971">
        <v>0</v>
      </c>
      <c r="GF971">
        <v>198.3</v>
      </c>
      <c r="GG971">
        <v>1054.4000000000001</v>
      </c>
      <c r="GH971">
        <v>552.79999999999995</v>
      </c>
      <c r="GI971">
        <v>522</v>
      </c>
      <c r="GJ971">
        <v>0</v>
      </c>
      <c r="GK971">
        <v>0</v>
      </c>
      <c r="GL971">
        <v>0</v>
      </c>
      <c r="GM971">
        <v>0</v>
      </c>
      <c r="GN971">
        <v>791.40000000000009</v>
      </c>
      <c r="GO971">
        <v>1816.5</v>
      </c>
      <c r="GP971">
        <v>0</v>
      </c>
      <c r="GQ971">
        <v>0</v>
      </c>
      <c r="GR971">
        <v>0</v>
      </c>
      <c r="GS971">
        <v>0</v>
      </c>
      <c r="GT971">
        <v>0</v>
      </c>
      <c r="GU971">
        <v>0</v>
      </c>
      <c r="GV971">
        <v>0</v>
      </c>
      <c r="GW971">
        <v>0</v>
      </c>
      <c r="GX971">
        <v>0</v>
      </c>
      <c r="GY971">
        <v>840.3</v>
      </c>
      <c r="GZ971">
        <v>0</v>
      </c>
      <c r="HA971">
        <v>0</v>
      </c>
      <c r="HB971">
        <v>0</v>
      </c>
      <c r="HC971">
        <v>380.4</v>
      </c>
      <c r="HD971">
        <v>2175.5</v>
      </c>
      <c r="HE971">
        <v>0</v>
      </c>
      <c r="HF971">
        <v>0</v>
      </c>
      <c r="HG971">
        <v>0</v>
      </c>
      <c r="HH971">
        <v>0</v>
      </c>
      <c r="HI971">
        <v>0</v>
      </c>
      <c r="HJ971">
        <v>803.40000000000009</v>
      </c>
      <c r="HK971">
        <v>1270.9000000000001</v>
      </c>
      <c r="HL971">
        <v>835.7</v>
      </c>
      <c r="HM971">
        <v>1162.5999999999999</v>
      </c>
      <c r="HN971">
        <v>0</v>
      </c>
      <c r="HO971">
        <v>0</v>
      </c>
      <c r="HP971">
        <v>0</v>
      </c>
      <c r="HQ971">
        <v>0</v>
      </c>
      <c r="HR971">
        <v>161.19999999999999</v>
      </c>
      <c r="HS971">
        <v>0</v>
      </c>
      <c r="HT971">
        <v>2048.5</v>
      </c>
      <c r="HU971">
        <v>2627.5</v>
      </c>
      <c r="HV971">
        <v>1168.5999999999999</v>
      </c>
      <c r="HW971">
        <v>388</v>
      </c>
      <c r="HX971">
        <v>0</v>
      </c>
      <c r="HY971">
        <v>0</v>
      </c>
      <c r="HZ971">
        <v>0</v>
      </c>
      <c r="IA971">
        <v>0</v>
      </c>
      <c r="IB971">
        <v>0</v>
      </c>
      <c r="IC971">
        <v>594.4</v>
      </c>
      <c r="ID971">
        <v>427.4</v>
      </c>
      <c r="IE971">
        <v>713.3</v>
      </c>
      <c r="IF971">
        <v>626.1</v>
      </c>
      <c r="IG971">
        <v>0</v>
      </c>
      <c r="IH971">
        <v>0</v>
      </c>
      <c r="II971">
        <v>995.7</v>
      </c>
      <c r="IJ971">
        <v>1156.5999999999999</v>
      </c>
      <c r="IK971">
        <v>864.6</v>
      </c>
      <c r="IL971">
        <v>316.5</v>
      </c>
      <c r="IM971">
        <v>101.5</v>
      </c>
      <c r="IN971">
        <v>71.8</v>
      </c>
      <c r="IO971">
        <v>0</v>
      </c>
      <c r="IP971">
        <v>0</v>
      </c>
      <c r="IQ971">
        <v>0</v>
      </c>
      <c r="IR971">
        <v>0</v>
      </c>
      <c r="IS971">
        <v>0</v>
      </c>
      <c r="IT971">
        <v>0</v>
      </c>
      <c r="IU971">
        <v>0</v>
      </c>
      <c r="IV971">
        <v>0</v>
      </c>
      <c r="IW971">
        <v>68</v>
      </c>
      <c r="IX971">
        <v>404.7</v>
      </c>
      <c r="IY971">
        <v>126.6</v>
      </c>
      <c r="IZ971">
        <v>126.6</v>
      </c>
      <c r="JA971">
        <v>503.7</v>
      </c>
      <c r="JB971">
        <v>570.1</v>
      </c>
      <c r="JC971">
        <v>328.3</v>
      </c>
      <c r="JD971">
        <v>0</v>
      </c>
      <c r="JE971">
        <v>0</v>
      </c>
      <c r="JF971">
        <v>0</v>
      </c>
      <c r="JG971">
        <v>0</v>
      </c>
      <c r="JH971">
        <v>287.3</v>
      </c>
      <c r="JI971">
        <v>68.2</v>
      </c>
      <c r="JJ971">
        <v>0</v>
      </c>
      <c r="JK971">
        <v>148.6</v>
      </c>
      <c r="JL971">
        <v>0</v>
      </c>
      <c r="JM971">
        <v>0</v>
      </c>
      <c r="JN971">
        <v>204.5</v>
      </c>
      <c r="JO971">
        <v>292.10000000000002</v>
      </c>
      <c r="JP971">
        <v>670.8</v>
      </c>
      <c r="JQ971">
        <v>745.2</v>
      </c>
      <c r="JR971">
        <v>242.9</v>
      </c>
    </row>
    <row r="972" spans="2:278" ht="18" thickBot="1">
      <c r="B972" s="516" t="s">
        <v>1328</v>
      </c>
      <c r="C972" s="519" t="s">
        <v>1636</v>
      </c>
      <c r="D972" s="532"/>
      <c r="E972" s="454">
        <v>22829.8</v>
      </c>
      <c r="F972">
        <v>20193.400000000001</v>
      </c>
      <c r="G972" s="427">
        <v>0</v>
      </c>
      <c r="H972" s="155">
        <v>0</v>
      </c>
      <c r="I972">
        <v>0</v>
      </c>
      <c r="J972">
        <v>0</v>
      </c>
      <c r="K972">
        <v>0</v>
      </c>
      <c r="L972" s="4">
        <v>0</v>
      </c>
      <c r="M972" s="4">
        <v>0</v>
      </c>
      <c r="N972" s="4">
        <v>0</v>
      </c>
      <c r="O972" s="4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1476.4</v>
      </c>
      <c r="X972">
        <v>1482</v>
      </c>
      <c r="Y972">
        <v>457.20000000000005</v>
      </c>
      <c r="Z972">
        <v>0</v>
      </c>
      <c r="AA972">
        <v>0</v>
      </c>
      <c r="AB972">
        <v>0</v>
      </c>
      <c r="AC972">
        <v>0</v>
      </c>
      <c r="AD972">
        <v>3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1828.6</v>
      </c>
      <c r="AK972">
        <v>1800.7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560.70000000000005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  <c r="CF972">
        <v>0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  <c r="CN972">
        <v>0</v>
      </c>
      <c r="CO972">
        <v>0</v>
      </c>
      <c r="CP972">
        <v>3.5</v>
      </c>
      <c r="CQ972">
        <v>0</v>
      </c>
      <c r="CR972">
        <v>528</v>
      </c>
      <c r="CS972">
        <v>581.79999999999995</v>
      </c>
      <c r="CT972">
        <v>555.40000000000009</v>
      </c>
      <c r="CU972">
        <v>737.4</v>
      </c>
      <c r="CV972">
        <v>1039.0999999999999</v>
      </c>
      <c r="CW972">
        <v>1667.3</v>
      </c>
      <c r="CX972">
        <v>877.6</v>
      </c>
      <c r="CY972">
        <v>910.40000000000009</v>
      </c>
      <c r="CZ972">
        <v>0</v>
      </c>
      <c r="DA972">
        <v>0</v>
      </c>
      <c r="DB972">
        <v>0</v>
      </c>
      <c r="DC972">
        <v>0</v>
      </c>
      <c r="DD972">
        <v>0</v>
      </c>
      <c r="DE972">
        <v>0</v>
      </c>
      <c r="DF972">
        <v>0</v>
      </c>
      <c r="DG972">
        <v>0</v>
      </c>
      <c r="DH972">
        <v>0</v>
      </c>
      <c r="DI972">
        <v>0</v>
      </c>
      <c r="DJ972">
        <v>0</v>
      </c>
      <c r="DK972">
        <v>0</v>
      </c>
      <c r="DL972">
        <v>995.5</v>
      </c>
      <c r="DM972">
        <v>712.7</v>
      </c>
      <c r="DN972">
        <v>0</v>
      </c>
      <c r="DO972">
        <v>0</v>
      </c>
      <c r="DP972">
        <v>0</v>
      </c>
      <c r="DQ972">
        <v>0</v>
      </c>
      <c r="DR972">
        <v>0</v>
      </c>
      <c r="DS972">
        <v>0</v>
      </c>
      <c r="DT972">
        <v>0</v>
      </c>
      <c r="DU972">
        <v>0</v>
      </c>
      <c r="DV972">
        <v>0</v>
      </c>
      <c r="DW972">
        <v>0</v>
      </c>
      <c r="DX972">
        <v>0</v>
      </c>
      <c r="DY972">
        <v>0</v>
      </c>
      <c r="DZ972">
        <v>0</v>
      </c>
      <c r="EA972">
        <v>0</v>
      </c>
      <c r="EB972">
        <v>0</v>
      </c>
      <c r="EC972">
        <v>0</v>
      </c>
      <c r="ED972">
        <v>0</v>
      </c>
      <c r="EE972">
        <v>0</v>
      </c>
      <c r="EF972">
        <v>0</v>
      </c>
      <c r="EG972">
        <v>0</v>
      </c>
      <c r="EH972">
        <v>0</v>
      </c>
      <c r="EI972">
        <v>0</v>
      </c>
      <c r="EJ972">
        <v>0</v>
      </c>
      <c r="EK972">
        <v>0</v>
      </c>
      <c r="EL972">
        <v>0</v>
      </c>
      <c r="EM972">
        <v>0</v>
      </c>
      <c r="EN972">
        <v>27.4</v>
      </c>
      <c r="EO972">
        <v>0</v>
      </c>
      <c r="EP972">
        <v>1002.5</v>
      </c>
      <c r="EQ972">
        <v>0</v>
      </c>
      <c r="ER972">
        <v>494</v>
      </c>
      <c r="ES972">
        <v>0</v>
      </c>
      <c r="ET972">
        <v>699.3</v>
      </c>
      <c r="EU972">
        <v>435.4</v>
      </c>
      <c r="EV972">
        <v>0</v>
      </c>
      <c r="EW972">
        <v>0</v>
      </c>
      <c r="EX972">
        <v>0</v>
      </c>
      <c r="EY972">
        <v>0</v>
      </c>
      <c r="EZ972">
        <v>0</v>
      </c>
      <c r="FA972">
        <v>0</v>
      </c>
      <c r="FB972">
        <v>0</v>
      </c>
      <c r="FC972">
        <v>0</v>
      </c>
      <c r="FD972">
        <v>95.6</v>
      </c>
      <c r="FE972">
        <v>1792.1</v>
      </c>
      <c r="FF972">
        <v>1740.1999999999998</v>
      </c>
      <c r="FG972">
        <v>954.9</v>
      </c>
      <c r="FH972">
        <v>1087.8000000000002</v>
      </c>
      <c r="FI972">
        <v>1892.1</v>
      </c>
      <c r="FJ972">
        <v>1222.5</v>
      </c>
      <c r="FK972">
        <v>678.3</v>
      </c>
      <c r="FL972">
        <v>639.1</v>
      </c>
      <c r="FM972">
        <v>520.5</v>
      </c>
      <c r="FN972">
        <v>123.8</v>
      </c>
      <c r="FO972">
        <v>181.6</v>
      </c>
      <c r="FP972">
        <v>1090.5</v>
      </c>
      <c r="FQ972">
        <v>0</v>
      </c>
      <c r="FR972">
        <v>0</v>
      </c>
      <c r="FS972">
        <v>0</v>
      </c>
      <c r="FT972">
        <v>0</v>
      </c>
      <c r="FU972">
        <v>0</v>
      </c>
      <c r="FV972">
        <v>0</v>
      </c>
      <c r="FW972">
        <v>0</v>
      </c>
      <c r="FX972">
        <v>0</v>
      </c>
      <c r="FY972">
        <v>0</v>
      </c>
      <c r="FZ972">
        <v>0</v>
      </c>
      <c r="GA972">
        <v>0</v>
      </c>
      <c r="GB972">
        <v>0</v>
      </c>
      <c r="GC972">
        <v>0</v>
      </c>
      <c r="GD972">
        <v>0</v>
      </c>
      <c r="GE972">
        <v>0</v>
      </c>
      <c r="GF972">
        <v>198.3</v>
      </c>
      <c r="GG972">
        <v>1054.4000000000001</v>
      </c>
      <c r="GH972">
        <v>552.79999999999995</v>
      </c>
      <c r="GI972">
        <v>522</v>
      </c>
      <c r="GJ972">
        <v>0</v>
      </c>
      <c r="GK972">
        <v>0</v>
      </c>
      <c r="GL972">
        <v>0</v>
      </c>
      <c r="GM972">
        <v>0</v>
      </c>
      <c r="GN972">
        <v>791.40000000000009</v>
      </c>
      <c r="GO972">
        <v>1816.5</v>
      </c>
      <c r="GP972">
        <v>0</v>
      </c>
      <c r="GQ972">
        <v>0</v>
      </c>
      <c r="GR972">
        <v>0</v>
      </c>
      <c r="GS972">
        <v>0</v>
      </c>
      <c r="GT972">
        <v>0</v>
      </c>
      <c r="GU972">
        <v>0</v>
      </c>
      <c r="GV972">
        <v>0</v>
      </c>
      <c r="GW972">
        <v>0</v>
      </c>
      <c r="GX972">
        <v>0</v>
      </c>
      <c r="GY972">
        <v>840.3</v>
      </c>
      <c r="GZ972">
        <v>0</v>
      </c>
      <c r="HA972">
        <v>0</v>
      </c>
      <c r="HB972">
        <v>0</v>
      </c>
      <c r="HC972">
        <v>380.4</v>
      </c>
      <c r="HD972">
        <v>2175.5</v>
      </c>
      <c r="HE972">
        <v>0</v>
      </c>
      <c r="HF972">
        <v>0</v>
      </c>
      <c r="HG972">
        <v>0</v>
      </c>
      <c r="HH972">
        <v>0</v>
      </c>
      <c r="HI972">
        <v>0</v>
      </c>
      <c r="HJ972">
        <v>803.40000000000009</v>
      </c>
      <c r="HK972">
        <v>1270.9000000000001</v>
      </c>
      <c r="HL972">
        <v>835.7</v>
      </c>
      <c r="HM972">
        <v>1162.5999999999999</v>
      </c>
      <c r="HN972">
        <v>0</v>
      </c>
      <c r="HO972">
        <v>0</v>
      </c>
      <c r="HP972">
        <v>0</v>
      </c>
      <c r="HQ972">
        <v>0</v>
      </c>
      <c r="HR972">
        <v>161.19999999999999</v>
      </c>
      <c r="HS972">
        <v>0</v>
      </c>
      <c r="HT972">
        <v>2048.5</v>
      </c>
      <c r="HU972">
        <v>2627.5</v>
      </c>
      <c r="HV972">
        <v>1168.5999999999999</v>
      </c>
      <c r="HW972">
        <v>388</v>
      </c>
      <c r="HX972">
        <v>0</v>
      </c>
      <c r="HY972">
        <v>0</v>
      </c>
      <c r="HZ972">
        <v>0</v>
      </c>
      <c r="IA972">
        <v>0</v>
      </c>
      <c r="IB972">
        <v>0</v>
      </c>
      <c r="IC972">
        <v>594.4</v>
      </c>
      <c r="ID972">
        <v>427.4</v>
      </c>
      <c r="IE972">
        <v>713.3</v>
      </c>
      <c r="IF972">
        <v>626.1</v>
      </c>
      <c r="IG972">
        <v>0</v>
      </c>
      <c r="IH972">
        <v>0</v>
      </c>
      <c r="II972">
        <v>995.7</v>
      </c>
      <c r="IJ972">
        <v>1156.5999999999999</v>
      </c>
      <c r="IK972">
        <v>864.6</v>
      </c>
      <c r="IL972">
        <v>316.5</v>
      </c>
      <c r="IM972">
        <v>101.5</v>
      </c>
      <c r="IN972">
        <v>71.8</v>
      </c>
      <c r="IO972">
        <v>0</v>
      </c>
      <c r="IP972">
        <v>0</v>
      </c>
      <c r="IQ972">
        <v>0</v>
      </c>
      <c r="IR972">
        <v>0</v>
      </c>
      <c r="IS972">
        <v>0</v>
      </c>
      <c r="IT972">
        <v>0</v>
      </c>
      <c r="IU972">
        <v>0</v>
      </c>
      <c r="IV972">
        <v>0</v>
      </c>
      <c r="IW972">
        <v>68</v>
      </c>
      <c r="IX972">
        <v>404.7</v>
      </c>
      <c r="IY972">
        <v>126.6</v>
      </c>
      <c r="IZ972">
        <v>126.6</v>
      </c>
      <c r="JA972">
        <v>503.7</v>
      </c>
      <c r="JB972">
        <v>570.1</v>
      </c>
      <c r="JC972">
        <v>328.3</v>
      </c>
      <c r="JD972">
        <v>0</v>
      </c>
      <c r="JE972">
        <v>0</v>
      </c>
      <c r="JF972">
        <v>0</v>
      </c>
      <c r="JG972">
        <v>0</v>
      </c>
      <c r="JH972">
        <v>287.3</v>
      </c>
      <c r="JI972">
        <v>68.2</v>
      </c>
      <c r="JJ972">
        <v>0</v>
      </c>
      <c r="JK972">
        <v>148.6</v>
      </c>
      <c r="JL972">
        <v>0</v>
      </c>
      <c r="JM972">
        <v>0</v>
      </c>
      <c r="JN972">
        <v>204.5</v>
      </c>
      <c r="JO972">
        <v>292.10000000000002</v>
      </c>
      <c r="JP972">
        <v>670.8</v>
      </c>
      <c r="JQ972">
        <v>745.2</v>
      </c>
      <c r="JR972">
        <v>242.9</v>
      </c>
    </row>
    <row r="973" spans="2:278" ht="18" thickBot="1">
      <c r="B973" s="516"/>
      <c r="C973" s="519"/>
      <c r="D973" s="532"/>
      <c r="E973" s="454">
        <v>22829.8</v>
      </c>
      <c r="F973">
        <v>20193.400000000001</v>
      </c>
      <c r="G973" s="427">
        <v>0</v>
      </c>
      <c r="H973" s="155">
        <v>0</v>
      </c>
      <c r="I973">
        <v>0</v>
      </c>
      <c r="J973">
        <v>0</v>
      </c>
      <c r="K973">
        <v>0</v>
      </c>
      <c r="L973" s="4">
        <v>0</v>
      </c>
      <c r="M973" s="4">
        <v>0</v>
      </c>
      <c r="N973" s="4">
        <v>0</v>
      </c>
      <c r="O973" s="4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1476.4</v>
      </c>
      <c r="X973">
        <v>1482</v>
      </c>
      <c r="Y973">
        <v>457.20000000000005</v>
      </c>
      <c r="Z973">
        <v>0</v>
      </c>
      <c r="AA973">
        <v>0</v>
      </c>
      <c r="AB973">
        <v>0</v>
      </c>
      <c r="AC973">
        <v>0</v>
      </c>
      <c r="AD973">
        <v>3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1828.6</v>
      </c>
      <c r="AK973">
        <v>1800.7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560.70000000000005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  <c r="CF973">
        <v>0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  <c r="CN973">
        <v>0</v>
      </c>
      <c r="CO973">
        <v>0</v>
      </c>
      <c r="CP973">
        <v>3.5</v>
      </c>
      <c r="CQ973">
        <v>0</v>
      </c>
      <c r="CR973">
        <v>528</v>
      </c>
      <c r="CS973">
        <v>581.79999999999995</v>
      </c>
      <c r="CT973">
        <v>555.40000000000009</v>
      </c>
      <c r="CU973">
        <v>737.4</v>
      </c>
      <c r="CV973">
        <v>1039.0999999999999</v>
      </c>
      <c r="CW973">
        <v>1667.3</v>
      </c>
      <c r="CX973">
        <v>877.6</v>
      </c>
      <c r="CY973">
        <v>910.40000000000009</v>
      </c>
      <c r="CZ973">
        <v>0</v>
      </c>
      <c r="DA973">
        <v>0</v>
      </c>
      <c r="DB973">
        <v>0</v>
      </c>
      <c r="DC973">
        <v>0</v>
      </c>
      <c r="DD973">
        <v>0</v>
      </c>
      <c r="DE973">
        <v>0</v>
      </c>
      <c r="DF973">
        <v>0</v>
      </c>
      <c r="DG973">
        <v>0</v>
      </c>
      <c r="DH973">
        <v>0</v>
      </c>
      <c r="DI973">
        <v>0</v>
      </c>
      <c r="DJ973">
        <v>0</v>
      </c>
      <c r="DK973">
        <v>0</v>
      </c>
      <c r="DL973">
        <v>995.5</v>
      </c>
      <c r="DM973">
        <v>712.7</v>
      </c>
      <c r="DN973">
        <v>0</v>
      </c>
      <c r="DO973">
        <v>0</v>
      </c>
      <c r="DP973">
        <v>0</v>
      </c>
      <c r="DQ973">
        <v>0</v>
      </c>
      <c r="DR973">
        <v>0</v>
      </c>
      <c r="DS973">
        <v>0</v>
      </c>
      <c r="DT973">
        <v>0</v>
      </c>
      <c r="DU973">
        <v>0</v>
      </c>
      <c r="DV973">
        <v>0</v>
      </c>
      <c r="DW973">
        <v>0</v>
      </c>
      <c r="DX973">
        <v>0</v>
      </c>
      <c r="DY973">
        <v>0</v>
      </c>
      <c r="DZ973">
        <v>0</v>
      </c>
      <c r="EA973">
        <v>0</v>
      </c>
      <c r="EB973">
        <v>0</v>
      </c>
      <c r="EC973">
        <v>0</v>
      </c>
      <c r="ED973">
        <v>0</v>
      </c>
      <c r="EE973">
        <v>0</v>
      </c>
      <c r="EF973">
        <v>0</v>
      </c>
      <c r="EG973">
        <v>0</v>
      </c>
      <c r="EH973">
        <v>0</v>
      </c>
      <c r="EI973">
        <v>0</v>
      </c>
      <c r="EJ973">
        <v>0</v>
      </c>
      <c r="EK973">
        <v>0</v>
      </c>
      <c r="EL973">
        <v>0</v>
      </c>
      <c r="EM973">
        <v>0</v>
      </c>
      <c r="EN973">
        <v>27.4</v>
      </c>
      <c r="EO973">
        <v>0</v>
      </c>
      <c r="EP973">
        <v>1002.5</v>
      </c>
      <c r="EQ973">
        <v>0</v>
      </c>
      <c r="ER973">
        <v>494</v>
      </c>
      <c r="ES973">
        <v>0</v>
      </c>
      <c r="ET973">
        <v>699.3</v>
      </c>
      <c r="EU973">
        <v>435.4</v>
      </c>
      <c r="EV973">
        <v>0</v>
      </c>
      <c r="EW973">
        <v>0</v>
      </c>
      <c r="EX973">
        <v>0</v>
      </c>
      <c r="EY973">
        <v>0</v>
      </c>
      <c r="EZ973">
        <v>0</v>
      </c>
      <c r="FA973">
        <v>0</v>
      </c>
      <c r="FB973">
        <v>0</v>
      </c>
      <c r="FC973">
        <v>0</v>
      </c>
      <c r="FD973">
        <v>95.6</v>
      </c>
      <c r="FE973">
        <v>1792.1</v>
      </c>
      <c r="FF973">
        <v>1740.1999999999998</v>
      </c>
      <c r="FG973">
        <v>954.9</v>
      </c>
      <c r="FH973">
        <v>1087.8000000000002</v>
      </c>
      <c r="FI973">
        <v>1892.1</v>
      </c>
      <c r="FJ973">
        <v>1222.5</v>
      </c>
      <c r="FK973">
        <v>678.3</v>
      </c>
      <c r="FL973">
        <v>639.1</v>
      </c>
      <c r="FM973">
        <v>520.5</v>
      </c>
      <c r="FN973">
        <v>123.8</v>
      </c>
      <c r="FO973">
        <v>181.6</v>
      </c>
      <c r="FP973">
        <v>1090.5</v>
      </c>
      <c r="FQ973">
        <v>0</v>
      </c>
      <c r="FR973">
        <v>0</v>
      </c>
      <c r="FS973">
        <v>0</v>
      </c>
      <c r="FT973">
        <v>0</v>
      </c>
      <c r="FU973">
        <v>0</v>
      </c>
      <c r="FV973">
        <v>0</v>
      </c>
      <c r="FW973">
        <v>0</v>
      </c>
      <c r="FX973">
        <v>0</v>
      </c>
      <c r="FY973">
        <v>0</v>
      </c>
      <c r="FZ973">
        <v>0</v>
      </c>
      <c r="GA973">
        <v>0</v>
      </c>
      <c r="GB973">
        <v>0</v>
      </c>
      <c r="GC973">
        <v>0</v>
      </c>
      <c r="GD973">
        <v>0</v>
      </c>
      <c r="GE973">
        <v>0</v>
      </c>
      <c r="GF973">
        <v>198.3</v>
      </c>
      <c r="GG973">
        <v>1054.4000000000001</v>
      </c>
      <c r="GH973">
        <v>552.79999999999995</v>
      </c>
      <c r="GI973">
        <v>522</v>
      </c>
      <c r="GJ973">
        <v>0</v>
      </c>
      <c r="GK973">
        <v>0</v>
      </c>
      <c r="GL973">
        <v>0</v>
      </c>
      <c r="GM973">
        <v>0</v>
      </c>
      <c r="GN973">
        <v>791.40000000000009</v>
      </c>
      <c r="GO973">
        <v>1816.5</v>
      </c>
      <c r="GP973">
        <v>0</v>
      </c>
      <c r="GQ973">
        <v>0</v>
      </c>
      <c r="GR973">
        <v>0</v>
      </c>
      <c r="GS973">
        <v>0</v>
      </c>
      <c r="GT973">
        <v>0</v>
      </c>
      <c r="GU973">
        <v>0</v>
      </c>
      <c r="GV973">
        <v>0</v>
      </c>
      <c r="GW973">
        <v>0</v>
      </c>
      <c r="GX973">
        <v>0</v>
      </c>
      <c r="GY973">
        <v>840.3</v>
      </c>
      <c r="GZ973">
        <v>0</v>
      </c>
      <c r="HA973">
        <v>0</v>
      </c>
      <c r="HB973">
        <v>0</v>
      </c>
      <c r="HC973">
        <v>380.4</v>
      </c>
      <c r="HD973">
        <v>2175.5</v>
      </c>
      <c r="HE973">
        <v>0</v>
      </c>
      <c r="HF973">
        <v>0</v>
      </c>
      <c r="HG973">
        <v>0</v>
      </c>
      <c r="HH973">
        <v>0</v>
      </c>
      <c r="HI973">
        <v>0</v>
      </c>
      <c r="HJ973">
        <v>803.40000000000009</v>
      </c>
      <c r="HK973">
        <v>1270.9000000000001</v>
      </c>
      <c r="HL973">
        <v>835.7</v>
      </c>
      <c r="HM973">
        <v>1162.5999999999999</v>
      </c>
      <c r="HN973">
        <v>0</v>
      </c>
      <c r="HO973">
        <v>0</v>
      </c>
      <c r="HP973">
        <v>0</v>
      </c>
      <c r="HQ973">
        <v>0</v>
      </c>
      <c r="HR973">
        <v>161.19999999999999</v>
      </c>
      <c r="HS973">
        <v>0</v>
      </c>
      <c r="HT973">
        <v>2048.5</v>
      </c>
      <c r="HU973">
        <v>2627.5</v>
      </c>
      <c r="HV973">
        <v>1168.5999999999999</v>
      </c>
      <c r="HW973">
        <v>388</v>
      </c>
      <c r="HX973">
        <v>0</v>
      </c>
      <c r="HY973">
        <v>0</v>
      </c>
      <c r="HZ973">
        <v>0</v>
      </c>
      <c r="IA973">
        <v>0</v>
      </c>
      <c r="IB973">
        <v>0</v>
      </c>
      <c r="IC973">
        <v>594.4</v>
      </c>
      <c r="ID973">
        <v>427.4</v>
      </c>
      <c r="IE973">
        <v>713.3</v>
      </c>
      <c r="IF973">
        <v>626.1</v>
      </c>
      <c r="IG973">
        <v>0</v>
      </c>
      <c r="IH973">
        <v>0</v>
      </c>
      <c r="II973">
        <v>995.7</v>
      </c>
      <c r="IJ973">
        <v>1156.5999999999999</v>
      </c>
      <c r="IK973">
        <v>864.6</v>
      </c>
      <c r="IL973">
        <v>316.5</v>
      </c>
      <c r="IM973">
        <v>101.5</v>
      </c>
      <c r="IN973">
        <v>71.8</v>
      </c>
      <c r="IO973">
        <v>0</v>
      </c>
      <c r="IP973">
        <v>0</v>
      </c>
      <c r="IQ973">
        <v>0</v>
      </c>
      <c r="IR973">
        <v>0</v>
      </c>
      <c r="IS973">
        <v>0</v>
      </c>
      <c r="IT973">
        <v>0</v>
      </c>
      <c r="IU973">
        <v>0</v>
      </c>
      <c r="IV973">
        <v>0</v>
      </c>
      <c r="IW973">
        <v>68</v>
      </c>
      <c r="IX973">
        <v>404.7</v>
      </c>
      <c r="IY973">
        <v>126.6</v>
      </c>
      <c r="IZ973">
        <v>126.6</v>
      </c>
      <c r="JA973">
        <v>503.7</v>
      </c>
      <c r="JB973">
        <v>570.1</v>
      </c>
      <c r="JC973">
        <v>328.3</v>
      </c>
      <c r="JD973">
        <v>0</v>
      </c>
      <c r="JE973">
        <v>0</v>
      </c>
      <c r="JF973">
        <v>0</v>
      </c>
      <c r="JG973">
        <v>0</v>
      </c>
      <c r="JH973">
        <v>287.3</v>
      </c>
      <c r="JI973">
        <v>68.2</v>
      </c>
      <c r="JJ973">
        <v>0</v>
      </c>
      <c r="JK973">
        <v>148.6</v>
      </c>
      <c r="JL973">
        <v>0</v>
      </c>
      <c r="JM973">
        <v>0</v>
      </c>
      <c r="JN973">
        <v>204.5</v>
      </c>
      <c r="JO973">
        <v>292.10000000000002</v>
      </c>
      <c r="JP973">
        <v>670.8</v>
      </c>
      <c r="JQ973">
        <v>745.2</v>
      </c>
      <c r="JR973">
        <v>242.9</v>
      </c>
    </row>
    <row r="974" spans="2:278" ht="18" thickBot="1">
      <c r="B974" s="368" t="s">
        <v>1329</v>
      </c>
      <c r="C974" s="413" t="s">
        <v>1637</v>
      </c>
      <c r="D974" s="368" t="s">
        <v>1469</v>
      </c>
      <c r="E974" s="454">
        <v>22829.8</v>
      </c>
      <c r="F974">
        <v>20193.400000000001</v>
      </c>
      <c r="G974" s="427">
        <v>0</v>
      </c>
      <c r="H974" s="155">
        <v>0</v>
      </c>
      <c r="I974">
        <v>0</v>
      </c>
      <c r="J974">
        <v>0</v>
      </c>
      <c r="K974">
        <v>0</v>
      </c>
      <c r="L974" s="4">
        <v>0</v>
      </c>
      <c r="M974" s="4">
        <v>0</v>
      </c>
      <c r="N974" s="4">
        <v>0</v>
      </c>
      <c r="O974" s="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1476.4</v>
      </c>
      <c r="X974">
        <v>1482</v>
      </c>
      <c r="Y974">
        <v>457.20000000000005</v>
      </c>
      <c r="Z974">
        <v>0</v>
      </c>
      <c r="AA974">
        <v>0</v>
      </c>
      <c r="AB974">
        <v>0</v>
      </c>
      <c r="AC974">
        <v>0</v>
      </c>
      <c r="AD974">
        <v>3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1828.6</v>
      </c>
      <c r="AK974">
        <v>1800.7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560.70000000000005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0</v>
      </c>
      <c r="BU974">
        <v>0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  <c r="CF974">
        <v>0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  <c r="CN974">
        <v>0</v>
      </c>
      <c r="CO974">
        <v>0</v>
      </c>
      <c r="CP974">
        <v>3.5</v>
      </c>
      <c r="CQ974">
        <v>0</v>
      </c>
      <c r="CR974">
        <v>528</v>
      </c>
      <c r="CS974">
        <v>581.79999999999995</v>
      </c>
      <c r="CT974">
        <v>555.40000000000009</v>
      </c>
      <c r="CU974">
        <v>737.4</v>
      </c>
      <c r="CV974">
        <v>1039.0999999999999</v>
      </c>
      <c r="CW974">
        <v>1667.3</v>
      </c>
      <c r="CX974">
        <v>877.6</v>
      </c>
      <c r="CY974">
        <v>910.40000000000009</v>
      </c>
      <c r="CZ974">
        <v>0</v>
      </c>
      <c r="DA974">
        <v>0</v>
      </c>
      <c r="DB974">
        <v>0</v>
      </c>
      <c r="DC974">
        <v>0</v>
      </c>
      <c r="DD974">
        <v>0</v>
      </c>
      <c r="DE974">
        <v>0</v>
      </c>
      <c r="DF974">
        <v>0</v>
      </c>
      <c r="DG974">
        <v>0</v>
      </c>
      <c r="DH974">
        <v>0</v>
      </c>
      <c r="DI974">
        <v>0</v>
      </c>
      <c r="DJ974">
        <v>0</v>
      </c>
      <c r="DK974">
        <v>0</v>
      </c>
      <c r="DL974">
        <v>995.5</v>
      </c>
      <c r="DM974">
        <v>712.7</v>
      </c>
      <c r="DN974">
        <v>0</v>
      </c>
      <c r="DO974">
        <v>0</v>
      </c>
      <c r="DP974">
        <v>0</v>
      </c>
      <c r="DQ974">
        <v>0</v>
      </c>
      <c r="DR974">
        <v>0</v>
      </c>
      <c r="DS974">
        <v>0</v>
      </c>
      <c r="DT974">
        <v>0</v>
      </c>
      <c r="DU974">
        <v>0</v>
      </c>
      <c r="DV974">
        <v>0</v>
      </c>
      <c r="DW974">
        <v>0</v>
      </c>
      <c r="DX974">
        <v>0</v>
      </c>
      <c r="DY974">
        <v>0</v>
      </c>
      <c r="DZ974">
        <v>0</v>
      </c>
      <c r="EA974">
        <v>0</v>
      </c>
      <c r="EB974">
        <v>0</v>
      </c>
      <c r="EC974">
        <v>0</v>
      </c>
      <c r="ED974">
        <v>0</v>
      </c>
      <c r="EE974">
        <v>0</v>
      </c>
      <c r="EF974">
        <v>0</v>
      </c>
      <c r="EG974">
        <v>0</v>
      </c>
      <c r="EH974">
        <v>0</v>
      </c>
      <c r="EI974">
        <v>0</v>
      </c>
      <c r="EJ974">
        <v>0</v>
      </c>
      <c r="EK974">
        <v>0</v>
      </c>
      <c r="EL974">
        <v>0</v>
      </c>
      <c r="EM974">
        <v>0</v>
      </c>
      <c r="EN974">
        <v>27.4</v>
      </c>
      <c r="EO974">
        <v>0</v>
      </c>
      <c r="EP974">
        <v>1002.5</v>
      </c>
      <c r="EQ974">
        <v>0</v>
      </c>
      <c r="ER974">
        <v>494</v>
      </c>
      <c r="ES974">
        <v>0</v>
      </c>
      <c r="ET974">
        <v>699.3</v>
      </c>
      <c r="EU974">
        <v>435.4</v>
      </c>
      <c r="EV974">
        <v>0</v>
      </c>
      <c r="EW974">
        <v>0</v>
      </c>
      <c r="EX974">
        <v>0</v>
      </c>
      <c r="EY974">
        <v>0</v>
      </c>
      <c r="EZ974">
        <v>0</v>
      </c>
      <c r="FA974">
        <v>0</v>
      </c>
      <c r="FB974">
        <v>0</v>
      </c>
      <c r="FC974">
        <v>0</v>
      </c>
      <c r="FD974">
        <v>95.6</v>
      </c>
      <c r="FE974">
        <v>1792.1</v>
      </c>
      <c r="FF974">
        <v>1740.1999999999998</v>
      </c>
      <c r="FG974">
        <v>954.9</v>
      </c>
      <c r="FH974">
        <v>1087.8000000000002</v>
      </c>
      <c r="FI974">
        <v>1892.1</v>
      </c>
      <c r="FJ974">
        <v>1222.5</v>
      </c>
      <c r="FK974">
        <v>678.3</v>
      </c>
      <c r="FL974">
        <v>639.1</v>
      </c>
      <c r="FM974">
        <v>520.5</v>
      </c>
      <c r="FN974">
        <v>123.8</v>
      </c>
      <c r="FO974">
        <v>181.6</v>
      </c>
      <c r="FP974">
        <v>1090.5</v>
      </c>
      <c r="FQ974">
        <v>0</v>
      </c>
      <c r="FR974">
        <v>0</v>
      </c>
      <c r="FS974">
        <v>0</v>
      </c>
      <c r="FT974">
        <v>0</v>
      </c>
      <c r="FU974">
        <v>0</v>
      </c>
      <c r="FV974">
        <v>0</v>
      </c>
      <c r="FW974">
        <v>0</v>
      </c>
      <c r="FX974">
        <v>0</v>
      </c>
      <c r="FY974">
        <v>0</v>
      </c>
      <c r="FZ974">
        <v>0</v>
      </c>
      <c r="GA974">
        <v>0</v>
      </c>
      <c r="GB974">
        <v>0</v>
      </c>
      <c r="GC974">
        <v>0</v>
      </c>
      <c r="GD974">
        <v>0</v>
      </c>
      <c r="GE974">
        <v>0</v>
      </c>
      <c r="GF974">
        <v>198.3</v>
      </c>
      <c r="GG974">
        <v>1054.4000000000001</v>
      </c>
      <c r="GH974">
        <v>552.79999999999995</v>
      </c>
      <c r="GI974">
        <v>522</v>
      </c>
      <c r="GJ974">
        <v>0</v>
      </c>
      <c r="GK974">
        <v>0</v>
      </c>
      <c r="GL974">
        <v>0</v>
      </c>
      <c r="GM974">
        <v>0</v>
      </c>
      <c r="GN974">
        <v>791.40000000000009</v>
      </c>
      <c r="GO974">
        <v>1816.5</v>
      </c>
      <c r="GP974">
        <v>0</v>
      </c>
      <c r="GQ974">
        <v>0</v>
      </c>
      <c r="GR974">
        <v>0</v>
      </c>
      <c r="GS974">
        <v>0</v>
      </c>
      <c r="GT974">
        <v>0</v>
      </c>
      <c r="GU974">
        <v>0</v>
      </c>
      <c r="GV974">
        <v>0</v>
      </c>
      <c r="GW974">
        <v>0</v>
      </c>
      <c r="GX974">
        <v>0</v>
      </c>
      <c r="GY974">
        <v>840.3</v>
      </c>
      <c r="GZ974">
        <v>0</v>
      </c>
      <c r="HA974">
        <v>0</v>
      </c>
      <c r="HB974">
        <v>0</v>
      </c>
      <c r="HC974">
        <v>380.4</v>
      </c>
      <c r="HD974">
        <v>2175.5</v>
      </c>
      <c r="HE974">
        <v>0</v>
      </c>
      <c r="HF974">
        <v>0</v>
      </c>
      <c r="HG974">
        <v>0</v>
      </c>
      <c r="HH974">
        <v>0</v>
      </c>
      <c r="HI974">
        <v>0</v>
      </c>
      <c r="HJ974">
        <v>803.40000000000009</v>
      </c>
      <c r="HK974">
        <v>1270.9000000000001</v>
      </c>
      <c r="HL974">
        <v>835.7</v>
      </c>
      <c r="HM974">
        <v>1162.5999999999999</v>
      </c>
      <c r="HN974">
        <v>0</v>
      </c>
      <c r="HO974">
        <v>0</v>
      </c>
      <c r="HP974">
        <v>0</v>
      </c>
      <c r="HQ974">
        <v>0</v>
      </c>
      <c r="HR974">
        <v>161.19999999999999</v>
      </c>
      <c r="HS974">
        <v>0</v>
      </c>
      <c r="HT974">
        <v>2048.5</v>
      </c>
      <c r="HU974">
        <v>2627.5</v>
      </c>
      <c r="HV974">
        <v>1168.5999999999999</v>
      </c>
      <c r="HW974">
        <v>388</v>
      </c>
      <c r="HX974">
        <v>0</v>
      </c>
      <c r="HY974">
        <v>0</v>
      </c>
      <c r="HZ974">
        <v>0</v>
      </c>
      <c r="IA974">
        <v>0</v>
      </c>
      <c r="IB974">
        <v>0</v>
      </c>
      <c r="IC974">
        <v>594.4</v>
      </c>
      <c r="ID974">
        <v>427.4</v>
      </c>
      <c r="IE974">
        <v>713.3</v>
      </c>
      <c r="IF974">
        <v>626.1</v>
      </c>
      <c r="IG974">
        <v>0</v>
      </c>
      <c r="IH974">
        <v>0</v>
      </c>
      <c r="II974">
        <v>995.7</v>
      </c>
      <c r="IJ974">
        <v>1156.5999999999999</v>
      </c>
      <c r="IK974">
        <v>864.6</v>
      </c>
      <c r="IL974">
        <v>316.5</v>
      </c>
      <c r="IM974">
        <v>101.5</v>
      </c>
      <c r="IN974">
        <v>71.8</v>
      </c>
      <c r="IO974">
        <v>0</v>
      </c>
      <c r="IP974">
        <v>0</v>
      </c>
      <c r="IQ974">
        <v>0</v>
      </c>
      <c r="IR974">
        <v>0</v>
      </c>
      <c r="IS974">
        <v>0</v>
      </c>
      <c r="IT974">
        <v>0</v>
      </c>
      <c r="IU974">
        <v>0</v>
      </c>
      <c r="IV974">
        <v>0</v>
      </c>
      <c r="IW974">
        <v>68</v>
      </c>
      <c r="IX974">
        <v>404.7</v>
      </c>
      <c r="IY974">
        <v>126.6</v>
      </c>
      <c r="IZ974">
        <v>126.6</v>
      </c>
      <c r="JA974">
        <v>503.7</v>
      </c>
      <c r="JB974">
        <v>570.1</v>
      </c>
      <c r="JC974">
        <v>328.3</v>
      </c>
      <c r="JD974">
        <v>0</v>
      </c>
      <c r="JE974">
        <v>0</v>
      </c>
      <c r="JF974">
        <v>0</v>
      </c>
      <c r="JG974">
        <v>0</v>
      </c>
      <c r="JH974">
        <v>287.3</v>
      </c>
      <c r="JI974">
        <v>68.2</v>
      </c>
      <c r="JJ974">
        <v>0</v>
      </c>
      <c r="JK974">
        <v>148.6</v>
      </c>
      <c r="JL974">
        <v>0</v>
      </c>
      <c r="JM974">
        <v>0</v>
      </c>
      <c r="JN974">
        <v>204.5</v>
      </c>
      <c r="JO974">
        <v>292.10000000000002</v>
      </c>
      <c r="JP974">
        <v>670.8</v>
      </c>
      <c r="JQ974">
        <v>745.2</v>
      </c>
      <c r="JR974">
        <v>242.9</v>
      </c>
    </row>
    <row r="975" spans="2:278" ht="18" thickBot="1">
      <c r="B975" s="368" t="s">
        <v>1330</v>
      </c>
      <c r="C975" s="413" t="s">
        <v>1638</v>
      </c>
      <c r="D975" s="368" t="s">
        <v>1470</v>
      </c>
      <c r="E975" s="454">
        <v>22829.8</v>
      </c>
      <c r="F975">
        <v>20193.400000000001</v>
      </c>
      <c r="G975" s="427">
        <v>0</v>
      </c>
      <c r="H975" s="155">
        <v>0</v>
      </c>
      <c r="I975">
        <v>0</v>
      </c>
      <c r="J975">
        <v>0</v>
      </c>
      <c r="K975">
        <v>0</v>
      </c>
      <c r="L975" s="4">
        <v>0</v>
      </c>
      <c r="M975" s="4">
        <v>0</v>
      </c>
      <c r="N975" s="4">
        <v>0</v>
      </c>
      <c r="O975" s="4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1476.4</v>
      </c>
      <c r="X975">
        <v>1482</v>
      </c>
      <c r="Y975">
        <v>457.20000000000005</v>
      </c>
      <c r="Z975">
        <v>0</v>
      </c>
      <c r="AA975">
        <v>0</v>
      </c>
      <c r="AB975">
        <v>0</v>
      </c>
      <c r="AC975">
        <v>0</v>
      </c>
      <c r="AD975">
        <v>3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1828.6</v>
      </c>
      <c r="AK975">
        <v>1800.7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560.70000000000005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0</v>
      </c>
      <c r="BN975">
        <v>0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  <c r="CF975">
        <v>0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  <c r="CN975">
        <v>0</v>
      </c>
      <c r="CO975">
        <v>0</v>
      </c>
      <c r="CP975">
        <v>3.5</v>
      </c>
      <c r="CQ975">
        <v>0</v>
      </c>
      <c r="CR975">
        <v>528</v>
      </c>
      <c r="CS975">
        <v>581.79999999999995</v>
      </c>
      <c r="CT975">
        <v>555.40000000000009</v>
      </c>
      <c r="CU975">
        <v>737.4</v>
      </c>
      <c r="CV975">
        <v>1039.0999999999999</v>
      </c>
      <c r="CW975">
        <v>1667.3</v>
      </c>
      <c r="CX975">
        <v>877.6</v>
      </c>
      <c r="CY975">
        <v>910.40000000000009</v>
      </c>
      <c r="CZ975">
        <v>0</v>
      </c>
      <c r="DA975">
        <v>0</v>
      </c>
      <c r="DB975">
        <v>0</v>
      </c>
      <c r="DC975">
        <v>0</v>
      </c>
      <c r="DD975">
        <v>0</v>
      </c>
      <c r="DE975">
        <v>0</v>
      </c>
      <c r="DF975">
        <v>0</v>
      </c>
      <c r="DG975">
        <v>0</v>
      </c>
      <c r="DH975">
        <v>0</v>
      </c>
      <c r="DI975">
        <v>0</v>
      </c>
      <c r="DJ975">
        <v>0</v>
      </c>
      <c r="DK975">
        <v>0</v>
      </c>
      <c r="DL975">
        <v>995.5</v>
      </c>
      <c r="DM975">
        <v>712.7</v>
      </c>
      <c r="DN975">
        <v>0</v>
      </c>
      <c r="DO975">
        <v>0</v>
      </c>
      <c r="DP975">
        <v>0</v>
      </c>
      <c r="DQ975">
        <v>0</v>
      </c>
      <c r="DR975">
        <v>0</v>
      </c>
      <c r="DS975">
        <v>0</v>
      </c>
      <c r="DT975">
        <v>0</v>
      </c>
      <c r="DU975">
        <v>0</v>
      </c>
      <c r="DV975">
        <v>0</v>
      </c>
      <c r="DW975">
        <v>0</v>
      </c>
      <c r="DX975">
        <v>0</v>
      </c>
      <c r="DY975">
        <v>0</v>
      </c>
      <c r="DZ975">
        <v>0</v>
      </c>
      <c r="EA975">
        <v>0</v>
      </c>
      <c r="EB975">
        <v>0</v>
      </c>
      <c r="EC975">
        <v>0</v>
      </c>
      <c r="ED975">
        <v>0</v>
      </c>
      <c r="EE975">
        <v>0</v>
      </c>
      <c r="EF975">
        <v>0</v>
      </c>
      <c r="EG975">
        <v>0</v>
      </c>
      <c r="EH975">
        <v>0</v>
      </c>
      <c r="EI975">
        <v>0</v>
      </c>
      <c r="EJ975">
        <v>0</v>
      </c>
      <c r="EK975">
        <v>0</v>
      </c>
      <c r="EL975">
        <v>0</v>
      </c>
      <c r="EM975">
        <v>0</v>
      </c>
      <c r="EN975">
        <v>27.4</v>
      </c>
      <c r="EO975">
        <v>0</v>
      </c>
      <c r="EP975">
        <v>1002.5</v>
      </c>
      <c r="EQ975">
        <v>0</v>
      </c>
      <c r="ER975">
        <v>494</v>
      </c>
      <c r="ES975">
        <v>0</v>
      </c>
      <c r="ET975">
        <v>699.3</v>
      </c>
      <c r="EU975">
        <v>435.4</v>
      </c>
      <c r="EV975">
        <v>0</v>
      </c>
      <c r="EW975">
        <v>0</v>
      </c>
      <c r="EX975">
        <v>0</v>
      </c>
      <c r="EY975">
        <v>0</v>
      </c>
      <c r="EZ975">
        <v>0</v>
      </c>
      <c r="FA975">
        <v>0</v>
      </c>
      <c r="FB975">
        <v>0</v>
      </c>
      <c r="FC975">
        <v>0</v>
      </c>
      <c r="FD975">
        <v>95.6</v>
      </c>
      <c r="FE975">
        <v>1792.1</v>
      </c>
      <c r="FF975">
        <v>1740.1999999999998</v>
      </c>
      <c r="FG975">
        <v>954.9</v>
      </c>
      <c r="FH975">
        <v>1087.8000000000002</v>
      </c>
      <c r="FI975">
        <v>1892.1</v>
      </c>
      <c r="FJ975">
        <v>1222.5</v>
      </c>
      <c r="FK975">
        <v>678.3</v>
      </c>
      <c r="FL975">
        <v>639.1</v>
      </c>
      <c r="FM975">
        <v>520.5</v>
      </c>
      <c r="FN975">
        <v>123.8</v>
      </c>
      <c r="FO975">
        <v>181.6</v>
      </c>
      <c r="FP975">
        <v>1090.5</v>
      </c>
      <c r="FQ975">
        <v>0</v>
      </c>
      <c r="FR975">
        <v>0</v>
      </c>
      <c r="FS975">
        <v>0</v>
      </c>
      <c r="FT975">
        <v>0</v>
      </c>
      <c r="FU975">
        <v>0</v>
      </c>
      <c r="FV975">
        <v>0</v>
      </c>
      <c r="FW975">
        <v>0</v>
      </c>
      <c r="FX975">
        <v>0</v>
      </c>
      <c r="FY975">
        <v>0</v>
      </c>
      <c r="FZ975">
        <v>0</v>
      </c>
      <c r="GA975">
        <v>0</v>
      </c>
      <c r="GB975">
        <v>0</v>
      </c>
      <c r="GC975">
        <v>0</v>
      </c>
      <c r="GD975">
        <v>0</v>
      </c>
      <c r="GE975">
        <v>0</v>
      </c>
      <c r="GF975">
        <v>198.3</v>
      </c>
      <c r="GG975">
        <v>1054.4000000000001</v>
      </c>
      <c r="GH975">
        <v>552.79999999999995</v>
      </c>
      <c r="GI975">
        <v>522</v>
      </c>
      <c r="GJ975">
        <v>0</v>
      </c>
      <c r="GK975">
        <v>0</v>
      </c>
      <c r="GL975">
        <v>0</v>
      </c>
      <c r="GM975">
        <v>0</v>
      </c>
      <c r="GN975">
        <v>791.40000000000009</v>
      </c>
      <c r="GO975">
        <v>1816.5</v>
      </c>
      <c r="GP975">
        <v>0</v>
      </c>
      <c r="GQ975">
        <v>0</v>
      </c>
      <c r="GR975">
        <v>0</v>
      </c>
      <c r="GS975">
        <v>0</v>
      </c>
      <c r="GT975">
        <v>0</v>
      </c>
      <c r="GU975">
        <v>0</v>
      </c>
      <c r="GV975">
        <v>0</v>
      </c>
      <c r="GW975">
        <v>0</v>
      </c>
      <c r="GX975">
        <v>0</v>
      </c>
      <c r="GY975">
        <v>840.3</v>
      </c>
      <c r="GZ975">
        <v>0</v>
      </c>
      <c r="HA975">
        <v>0</v>
      </c>
      <c r="HB975">
        <v>0</v>
      </c>
      <c r="HC975">
        <v>380.4</v>
      </c>
      <c r="HD975">
        <v>2175.5</v>
      </c>
      <c r="HE975">
        <v>0</v>
      </c>
      <c r="HF975">
        <v>0</v>
      </c>
      <c r="HG975">
        <v>0</v>
      </c>
      <c r="HH975">
        <v>0</v>
      </c>
      <c r="HI975">
        <v>0</v>
      </c>
      <c r="HJ975">
        <v>803.40000000000009</v>
      </c>
      <c r="HK975">
        <v>1270.9000000000001</v>
      </c>
      <c r="HL975">
        <v>835.7</v>
      </c>
      <c r="HM975">
        <v>1162.5999999999999</v>
      </c>
      <c r="HN975">
        <v>0</v>
      </c>
      <c r="HO975">
        <v>0</v>
      </c>
      <c r="HP975">
        <v>0</v>
      </c>
      <c r="HQ975">
        <v>0</v>
      </c>
      <c r="HR975">
        <v>161.19999999999999</v>
      </c>
      <c r="HS975">
        <v>0</v>
      </c>
      <c r="HT975">
        <v>2048.5</v>
      </c>
      <c r="HU975">
        <v>2627.5</v>
      </c>
      <c r="HV975">
        <v>1168.5999999999999</v>
      </c>
      <c r="HW975">
        <v>388</v>
      </c>
      <c r="HX975">
        <v>0</v>
      </c>
      <c r="HY975">
        <v>0</v>
      </c>
      <c r="HZ975">
        <v>0</v>
      </c>
      <c r="IA975">
        <v>0</v>
      </c>
      <c r="IB975">
        <v>0</v>
      </c>
      <c r="IC975">
        <v>594.4</v>
      </c>
      <c r="ID975">
        <v>427.4</v>
      </c>
      <c r="IE975">
        <v>713.3</v>
      </c>
      <c r="IF975">
        <v>626.1</v>
      </c>
      <c r="IG975">
        <v>0</v>
      </c>
      <c r="IH975">
        <v>0</v>
      </c>
      <c r="II975">
        <v>995.7</v>
      </c>
      <c r="IJ975">
        <v>1156.5999999999999</v>
      </c>
      <c r="IK975">
        <v>864.6</v>
      </c>
      <c r="IL975">
        <v>316.5</v>
      </c>
      <c r="IM975">
        <v>101.5</v>
      </c>
      <c r="IN975">
        <v>71.8</v>
      </c>
      <c r="IO975">
        <v>0</v>
      </c>
      <c r="IP975">
        <v>0</v>
      </c>
      <c r="IQ975">
        <v>0</v>
      </c>
      <c r="IR975">
        <v>0</v>
      </c>
      <c r="IS975">
        <v>0</v>
      </c>
      <c r="IT975">
        <v>0</v>
      </c>
      <c r="IU975">
        <v>0</v>
      </c>
      <c r="IV975">
        <v>0</v>
      </c>
      <c r="IW975">
        <v>68</v>
      </c>
      <c r="IX975">
        <v>404.7</v>
      </c>
      <c r="IY975">
        <v>126.6</v>
      </c>
      <c r="IZ975">
        <v>126.6</v>
      </c>
      <c r="JA975">
        <v>503.7</v>
      </c>
      <c r="JB975">
        <v>570.1</v>
      </c>
      <c r="JC975">
        <v>328.3</v>
      </c>
      <c r="JD975">
        <v>0</v>
      </c>
      <c r="JE975">
        <v>0</v>
      </c>
      <c r="JF975">
        <v>0</v>
      </c>
      <c r="JG975">
        <v>0</v>
      </c>
      <c r="JH975">
        <v>287.3</v>
      </c>
      <c r="JI975">
        <v>68.2</v>
      </c>
      <c r="JJ975">
        <v>0</v>
      </c>
      <c r="JK975">
        <v>148.6</v>
      </c>
      <c r="JL975">
        <v>0</v>
      </c>
      <c r="JM975">
        <v>0</v>
      </c>
      <c r="JN975">
        <v>204.5</v>
      </c>
      <c r="JO975">
        <v>292.10000000000002</v>
      </c>
      <c r="JP975">
        <v>670.8</v>
      </c>
      <c r="JQ975">
        <v>745.2</v>
      </c>
      <c r="JR975">
        <v>242.9</v>
      </c>
    </row>
    <row r="976" spans="2:278" ht="18" thickBot="1">
      <c r="B976" s="368" t="s">
        <v>1331</v>
      </c>
      <c r="C976" s="413" t="s">
        <v>1639</v>
      </c>
      <c r="D976" s="377" t="s">
        <v>1470</v>
      </c>
      <c r="E976" s="454">
        <v>22829.8</v>
      </c>
      <c r="F976">
        <v>20193.400000000001</v>
      </c>
      <c r="G976" s="427">
        <v>0</v>
      </c>
      <c r="H976" s="155">
        <v>0</v>
      </c>
      <c r="I976">
        <v>0</v>
      </c>
      <c r="J976">
        <v>0</v>
      </c>
      <c r="K976">
        <v>0</v>
      </c>
      <c r="L976" s="4">
        <v>0</v>
      </c>
      <c r="M976" s="4">
        <v>0</v>
      </c>
      <c r="N976" s="4">
        <v>0</v>
      </c>
      <c r="O976" s="4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1476.4</v>
      </c>
      <c r="X976">
        <v>1482</v>
      </c>
      <c r="Y976">
        <v>457.20000000000005</v>
      </c>
      <c r="Z976">
        <v>0</v>
      </c>
      <c r="AA976">
        <v>0</v>
      </c>
      <c r="AB976">
        <v>0</v>
      </c>
      <c r="AC976">
        <v>0</v>
      </c>
      <c r="AD976">
        <v>3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1828.6</v>
      </c>
      <c r="AK976">
        <v>1800.7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560.70000000000005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0</v>
      </c>
      <c r="BU976">
        <v>0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  <c r="CF976">
        <v>0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  <c r="CN976">
        <v>0</v>
      </c>
      <c r="CO976">
        <v>0</v>
      </c>
      <c r="CP976">
        <v>3.5</v>
      </c>
      <c r="CQ976">
        <v>0</v>
      </c>
      <c r="CR976">
        <v>528</v>
      </c>
      <c r="CS976">
        <v>581.79999999999995</v>
      </c>
      <c r="CT976">
        <v>555.40000000000009</v>
      </c>
      <c r="CU976">
        <v>737.4</v>
      </c>
      <c r="CV976">
        <v>1039.0999999999999</v>
      </c>
      <c r="CW976">
        <v>1667.3</v>
      </c>
      <c r="CX976">
        <v>877.6</v>
      </c>
      <c r="CY976">
        <v>910.40000000000009</v>
      </c>
      <c r="CZ976">
        <v>0</v>
      </c>
      <c r="DA976">
        <v>0</v>
      </c>
      <c r="DB976">
        <v>0</v>
      </c>
      <c r="DC976">
        <v>0</v>
      </c>
      <c r="DD976">
        <v>0</v>
      </c>
      <c r="DE976">
        <v>0</v>
      </c>
      <c r="DF976">
        <v>0</v>
      </c>
      <c r="DG976">
        <v>0</v>
      </c>
      <c r="DH976">
        <v>0</v>
      </c>
      <c r="DI976">
        <v>0</v>
      </c>
      <c r="DJ976">
        <v>0</v>
      </c>
      <c r="DK976">
        <v>0</v>
      </c>
      <c r="DL976">
        <v>995.5</v>
      </c>
      <c r="DM976">
        <v>712.7</v>
      </c>
      <c r="DN976">
        <v>0</v>
      </c>
      <c r="DO976">
        <v>0</v>
      </c>
      <c r="DP976">
        <v>0</v>
      </c>
      <c r="DQ976">
        <v>0</v>
      </c>
      <c r="DR976">
        <v>0</v>
      </c>
      <c r="DS976">
        <v>0</v>
      </c>
      <c r="DT976">
        <v>0</v>
      </c>
      <c r="DU976">
        <v>0</v>
      </c>
      <c r="DV976">
        <v>0</v>
      </c>
      <c r="DW976">
        <v>0</v>
      </c>
      <c r="DX976">
        <v>0</v>
      </c>
      <c r="DY976">
        <v>0</v>
      </c>
      <c r="DZ976">
        <v>0</v>
      </c>
      <c r="EA976">
        <v>0</v>
      </c>
      <c r="EB976">
        <v>0</v>
      </c>
      <c r="EC976">
        <v>0</v>
      </c>
      <c r="ED976">
        <v>0</v>
      </c>
      <c r="EE976">
        <v>0</v>
      </c>
      <c r="EF976">
        <v>0</v>
      </c>
      <c r="EG976">
        <v>0</v>
      </c>
      <c r="EH976">
        <v>0</v>
      </c>
      <c r="EI976">
        <v>0</v>
      </c>
      <c r="EJ976">
        <v>0</v>
      </c>
      <c r="EK976">
        <v>0</v>
      </c>
      <c r="EL976">
        <v>0</v>
      </c>
      <c r="EM976">
        <v>0</v>
      </c>
      <c r="EN976">
        <v>27.4</v>
      </c>
      <c r="EO976">
        <v>0</v>
      </c>
      <c r="EP976">
        <v>1002.5</v>
      </c>
      <c r="EQ976">
        <v>0</v>
      </c>
      <c r="ER976">
        <v>494</v>
      </c>
      <c r="ES976">
        <v>0</v>
      </c>
      <c r="ET976">
        <v>699.3</v>
      </c>
      <c r="EU976">
        <v>435.4</v>
      </c>
      <c r="EV976">
        <v>0</v>
      </c>
      <c r="EW976">
        <v>0</v>
      </c>
      <c r="EX976">
        <v>0</v>
      </c>
      <c r="EY976">
        <v>0</v>
      </c>
      <c r="EZ976">
        <v>0</v>
      </c>
      <c r="FA976">
        <v>0</v>
      </c>
      <c r="FB976">
        <v>0</v>
      </c>
      <c r="FC976">
        <v>0</v>
      </c>
      <c r="FD976">
        <v>95.6</v>
      </c>
      <c r="FE976">
        <v>1792.1</v>
      </c>
      <c r="FF976">
        <v>1740.1999999999998</v>
      </c>
      <c r="FG976">
        <v>954.9</v>
      </c>
      <c r="FH976">
        <v>1087.8000000000002</v>
      </c>
      <c r="FI976">
        <v>1892.1</v>
      </c>
      <c r="FJ976">
        <v>1222.5</v>
      </c>
      <c r="FK976">
        <v>678.3</v>
      </c>
      <c r="FL976">
        <v>639.1</v>
      </c>
      <c r="FM976">
        <v>520.5</v>
      </c>
      <c r="FN976">
        <v>123.8</v>
      </c>
      <c r="FO976">
        <v>181.6</v>
      </c>
      <c r="FP976">
        <v>1090.5</v>
      </c>
      <c r="FQ976">
        <v>0</v>
      </c>
      <c r="FR976">
        <v>0</v>
      </c>
      <c r="FS976">
        <v>0</v>
      </c>
      <c r="FT976">
        <v>0</v>
      </c>
      <c r="FU976">
        <v>0</v>
      </c>
      <c r="FV976">
        <v>0</v>
      </c>
      <c r="FW976">
        <v>0</v>
      </c>
      <c r="FX976">
        <v>0</v>
      </c>
      <c r="FY976">
        <v>0</v>
      </c>
      <c r="FZ976">
        <v>0</v>
      </c>
      <c r="GA976">
        <v>0</v>
      </c>
      <c r="GB976">
        <v>0</v>
      </c>
      <c r="GC976">
        <v>0</v>
      </c>
      <c r="GD976">
        <v>0</v>
      </c>
      <c r="GE976">
        <v>0</v>
      </c>
      <c r="GF976">
        <v>198.3</v>
      </c>
      <c r="GG976">
        <v>1054.4000000000001</v>
      </c>
      <c r="GH976">
        <v>552.79999999999995</v>
      </c>
      <c r="GI976">
        <v>522</v>
      </c>
      <c r="GJ976">
        <v>0</v>
      </c>
      <c r="GK976">
        <v>0</v>
      </c>
      <c r="GL976">
        <v>0</v>
      </c>
      <c r="GM976">
        <v>0</v>
      </c>
      <c r="GN976">
        <v>791.40000000000009</v>
      </c>
      <c r="GO976">
        <v>1816.5</v>
      </c>
      <c r="GP976">
        <v>0</v>
      </c>
      <c r="GQ976">
        <v>0</v>
      </c>
      <c r="GR976">
        <v>0</v>
      </c>
      <c r="GS976">
        <v>0</v>
      </c>
      <c r="GT976">
        <v>0</v>
      </c>
      <c r="GU976">
        <v>0</v>
      </c>
      <c r="GV976">
        <v>0</v>
      </c>
      <c r="GW976">
        <v>0</v>
      </c>
      <c r="GX976">
        <v>0</v>
      </c>
      <c r="GY976">
        <v>840.3</v>
      </c>
      <c r="GZ976">
        <v>0</v>
      </c>
      <c r="HA976">
        <v>0</v>
      </c>
      <c r="HB976">
        <v>0</v>
      </c>
      <c r="HC976">
        <v>380.4</v>
      </c>
      <c r="HD976">
        <v>2175.5</v>
      </c>
      <c r="HE976">
        <v>0</v>
      </c>
      <c r="HF976">
        <v>0</v>
      </c>
      <c r="HG976">
        <v>0</v>
      </c>
      <c r="HH976">
        <v>0</v>
      </c>
      <c r="HI976">
        <v>0</v>
      </c>
      <c r="HJ976">
        <v>803.40000000000009</v>
      </c>
      <c r="HK976">
        <v>1270.9000000000001</v>
      </c>
      <c r="HL976">
        <v>835.7</v>
      </c>
      <c r="HM976">
        <v>1162.5999999999999</v>
      </c>
      <c r="HN976">
        <v>0</v>
      </c>
      <c r="HO976">
        <v>0</v>
      </c>
      <c r="HP976">
        <v>0</v>
      </c>
      <c r="HQ976">
        <v>0</v>
      </c>
      <c r="HR976">
        <v>161.19999999999999</v>
      </c>
      <c r="HS976">
        <v>0</v>
      </c>
      <c r="HT976">
        <v>2048.5</v>
      </c>
      <c r="HU976">
        <v>2627.5</v>
      </c>
      <c r="HV976">
        <v>1168.5999999999999</v>
      </c>
      <c r="HW976">
        <v>388</v>
      </c>
      <c r="HX976">
        <v>0</v>
      </c>
      <c r="HY976">
        <v>0</v>
      </c>
      <c r="HZ976">
        <v>0</v>
      </c>
      <c r="IA976">
        <v>0</v>
      </c>
      <c r="IB976">
        <v>0</v>
      </c>
      <c r="IC976">
        <v>594.4</v>
      </c>
      <c r="ID976">
        <v>427.4</v>
      </c>
      <c r="IE976">
        <v>713.3</v>
      </c>
      <c r="IF976">
        <v>626.1</v>
      </c>
      <c r="IG976">
        <v>0</v>
      </c>
      <c r="IH976">
        <v>0</v>
      </c>
      <c r="II976">
        <v>995.7</v>
      </c>
      <c r="IJ976">
        <v>1156.5999999999999</v>
      </c>
      <c r="IK976">
        <v>864.6</v>
      </c>
      <c r="IL976">
        <v>316.5</v>
      </c>
      <c r="IM976">
        <v>101.5</v>
      </c>
      <c r="IN976">
        <v>71.8</v>
      </c>
      <c r="IO976">
        <v>0</v>
      </c>
      <c r="IP976">
        <v>0</v>
      </c>
      <c r="IQ976">
        <v>0</v>
      </c>
      <c r="IR976">
        <v>0</v>
      </c>
      <c r="IS976">
        <v>0</v>
      </c>
      <c r="IT976">
        <v>0</v>
      </c>
      <c r="IU976">
        <v>0</v>
      </c>
      <c r="IV976">
        <v>0</v>
      </c>
      <c r="IW976">
        <v>68</v>
      </c>
      <c r="IX976">
        <v>404.7</v>
      </c>
      <c r="IY976">
        <v>126.6</v>
      </c>
      <c r="IZ976">
        <v>126.6</v>
      </c>
      <c r="JA976">
        <v>503.7</v>
      </c>
      <c r="JB976">
        <v>570.1</v>
      </c>
      <c r="JC976">
        <v>328.3</v>
      </c>
      <c r="JD976">
        <v>0</v>
      </c>
      <c r="JE976">
        <v>0</v>
      </c>
      <c r="JF976">
        <v>0</v>
      </c>
      <c r="JG976">
        <v>0</v>
      </c>
      <c r="JH976">
        <v>287.3</v>
      </c>
      <c r="JI976">
        <v>68.2</v>
      </c>
      <c r="JJ976">
        <v>0</v>
      </c>
      <c r="JK976">
        <v>148.6</v>
      </c>
      <c r="JL976">
        <v>0</v>
      </c>
      <c r="JM976">
        <v>0</v>
      </c>
      <c r="JN976">
        <v>204.5</v>
      </c>
      <c r="JO976">
        <v>292.10000000000002</v>
      </c>
      <c r="JP976">
        <v>670.8</v>
      </c>
      <c r="JQ976">
        <v>745.2</v>
      </c>
      <c r="JR976">
        <v>242.9</v>
      </c>
    </row>
    <row r="977" spans="2:278" ht="18" thickBot="1">
      <c r="B977" s="368" t="s">
        <v>1332</v>
      </c>
      <c r="C977" s="368" t="s">
        <v>1640</v>
      </c>
      <c r="D977" s="368" t="s">
        <v>1471</v>
      </c>
      <c r="E977" s="454">
        <v>22829.8</v>
      </c>
      <c r="F977">
        <v>20193.400000000001</v>
      </c>
      <c r="G977" s="427">
        <v>0</v>
      </c>
      <c r="H977" s="155">
        <v>0</v>
      </c>
      <c r="I977">
        <v>0</v>
      </c>
      <c r="J977">
        <v>0</v>
      </c>
      <c r="K977">
        <v>0</v>
      </c>
      <c r="L977" s="4">
        <v>0</v>
      </c>
      <c r="M977" s="4">
        <v>0</v>
      </c>
      <c r="N977" s="4">
        <v>0</v>
      </c>
      <c r="O977" s="4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1476.4</v>
      </c>
      <c r="X977">
        <v>1482</v>
      </c>
      <c r="Y977">
        <v>457.20000000000005</v>
      </c>
      <c r="Z977">
        <v>0</v>
      </c>
      <c r="AA977">
        <v>0</v>
      </c>
      <c r="AB977">
        <v>0</v>
      </c>
      <c r="AC977">
        <v>0</v>
      </c>
      <c r="AD977">
        <v>3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1828.6</v>
      </c>
      <c r="AK977">
        <v>1800.7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560.70000000000005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  <c r="CF977">
        <v>0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  <c r="CN977">
        <v>0</v>
      </c>
      <c r="CO977">
        <v>0</v>
      </c>
      <c r="CP977">
        <v>3.5</v>
      </c>
      <c r="CQ977">
        <v>0</v>
      </c>
      <c r="CR977">
        <v>528</v>
      </c>
      <c r="CS977">
        <v>581.79999999999995</v>
      </c>
      <c r="CT977">
        <v>555.40000000000009</v>
      </c>
      <c r="CU977">
        <v>737.4</v>
      </c>
      <c r="CV977">
        <v>1039.0999999999999</v>
      </c>
      <c r="CW977">
        <v>1667.3</v>
      </c>
      <c r="CX977">
        <v>877.6</v>
      </c>
      <c r="CY977">
        <v>910.40000000000009</v>
      </c>
      <c r="CZ977">
        <v>0</v>
      </c>
      <c r="DA977">
        <v>0</v>
      </c>
      <c r="DB977">
        <v>0</v>
      </c>
      <c r="DC977">
        <v>0</v>
      </c>
      <c r="DD977">
        <v>0</v>
      </c>
      <c r="DE977">
        <v>0</v>
      </c>
      <c r="DF977">
        <v>0</v>
      </c>
      <c r="DG977">
        <v>0</v>
      </c>
      <c r="DH977">
        <v>0</v>
      </c>
      <c r="DI977">
        <v>0</v>
      </c>
      <c r="DJ977">
        <v>0</v>
      </c>
      <c r="DK977">
        <v>0</v>
      </c>
      <c r="DL977">
        <v>995.5</v>
      </c>
      <c r="DM977">
        <v>712.7</v>
      </c>
      <c r="DN977">
        <v>0</v>
      </c>
      <c r="DO977">
        <v>0</v>
      </c>
      <c r="DP977">
        <v>0</v>
      </c>
      <c r="DQ977">
        <v>0</v>
      </c>
      <c r="DR977">
        <v>0</v>
      </c>
      <c r="DS977">
        <v>0</v>
      </c>
      <c r="DT977">
        <v>0</v>
      </c>
      <c r="DU977">
        <v>0</v>
      </c>
      <c r="DV977">
        <v>0</v>
      </c>
      <c r="DW977">
        <v>0</v>
      </c>
      <c r="DX977">
        <v>0</v>
      </c>
      <c r="DY977">
        <v>0</v>
      </c>
      <c r="DZ977">
        <v>0</v>
      </c>
      <c r="EA977">
        <v>0</v>
      </c>
      <c r="EB977">
        <v>0</v>
      </c>
      <c r="EC977">
        <v>0</v>
      </c>
      <c r="ED977">
        <v>0</v>
      </c>
      <c r="EE977">
        <v>0</v>
      </c>
      <c r="EF977">
        <v>0</v>
      </c>
      <c r="EG977">
        <v>0</v>
      </c>
      <c r="EH977">
        <v>0</v>
      </c>
      <c r="EI977">
        <v>0</v>
      </c>
      <c r="EJ977">
        <v>0</v>
      </c>
      <c r="EK977">
        <v>0</v>
      </c>
      <c r="EL977">
        <v>0</v>
      </c>
      <c r="EM977">
        <v>0</v>
      </c>
      <c r="EN977">
        <v>27.4</v>
      </c>
      <c r="EO977">
        <v>0</v>
      </c>
      <c r="EP977">
        <v>1002.5</v>
      </c>
      <c r="EQ977">
        <v>0</v>
      </c>
      <c r="ER977">
        <v>494</v>
      </c>
      <c r="ES977">
        <v>0</v>
      </c>
      <c r="ET977">
        <v>699.3</v>
      </c>
      <c r="EU977">
        <v>435.4</v>
      </c>
      <c r="EV977">
        <v>0</v>
      </c>
      <c r="EW977">
        <v>0</v>
      </c>
      <c r="EX977">
        <v>0</v>
      </c>
      <c r="EY977">
        <v>0</v>
      </c>
      <c r="EZ977">
        <v>0</v>
      </c>
      <c r="FA977">
        <v>0</v>
      </c>
      <c r="FB977">
        <v>0</v>
      </c>
      <c r="FC977">
        <v>0</v>
      </c>
      <c r="FD977">
        <v>95.6</v>
      </c>
      <c r="FE977">
        <v>1792.1</v>
      </c>
      <c r="FF977">
        <v>1740.1999999999998</v>
      </c>
      <c r="FG977">
        <v>954.9</v>
      </c>
      <c r="FH977">
        <v>1087.8000000000002</v>
      </c>
      <c r="FI977">
        <v>1892.1</v>
      </c>
      <c r="FJ977">
        <v>1222.5</v>
      </c>
      <c r="FK977">
        <v>678.3</v>
      </c>
      <c r="FL977">
        <v>639.1</v>
      </c>
      <c r="FM977">
        <v>520.5</v>
      </c>
      <c r="FN977">
        <v>123.8</v>
      </c>
      <c r="FO977">
        <v>181.6</v>
      </c>
      <c r="FP977">
        <v>1090.5</v>
      </c>
      <c r="FQ977">
        <v>0</v>
      </c>
      <c r="FR977">
        <v>0</v>
      </c>
      <c r="FS977">
        <v>0</v>
      </c>
      <c r="FT977">
        <v>0</v>
      </c>
      <c r="FU977">
        <v>0</v>
      </c>
      <c r="FV977">
        <v>0</v>
      </c>
      <c r="FW977">
        <v>0</v>
      </c>
      <c r="FX977">
        <v>0</v>
      </c>
      <c r="FY977">
        <v>0</v>
      </c>
      <c r="FZ977">
        <v>0</v>
      </c>
      <c r="GA977">
        <v>0</v>
      </c>
      <c r="GB977">
        <v>0</v>
      </c>
      <c r="GC977">
        <v>0</v>
      </c>
      <c r="GD977">
        <v>0</v>
      </c>
      <c r="GE977">
        <v>0</v>
      </c>
      <c r="GF977">
        <v>198.3</v>
      </c>
      <c r="GG977">
        <v>1054.4000000000001</v>
      </c>
      <c r="GH977">
        <v>552.79999999999995</v>
      </c>
      <c r="GI977">
        <v>522</v>
      </c>
      <c r="GJ977">
        <v>0</v>
      </c>
      <c r="GK977">
        <v>0</v>
      </c>
      <c r="GL977">
        <v>0</v>
      </c>
      <c r="GM977">
        <v>0</v>
      </c>
      <c r="GN977">
        <v>791.40000000000009</v>
      </c>
      <c r="GO977">
        <v>1816.5</v>
      </c>
      <c r="GP977">
        <v>0</v>
      </c>
      <c r="GQ977">
        <v>0</v>
      </c>
      <c r="GR977">
        <v>0</v>
      </c>
      <c r="GS977">
        <v>0</v>
      </c>
      <c r="GT977">
        <v>0</v>
      </c>
      <c r="GU977">
        <v>0</v>
      </c>
      <c r="GV977">
        <v>0</v>
      </c>
      <c r="GW977">
        <v>0</v>
      </c>
      <c r="GX977">
        <v>0</v>
      </c>
      <c r="GY977">
        <v>840.3</v>
      </c>
      <c r="GZ977">
        <v>0</v>
      </c>
      <c r="HA977">
        <v>0</v>
      </c>
      <c r="HB977">
        <v>0</v>
      </c>
      <c r="HC977">
        <v>380.4</v>
      </c>
      <c r="HD977">
        <v>2175.5</v>
      </c>
      <c r="HE977">
        <v>0</v>
      </c>
      <c r="HF977">
        <v>0</v>
      </c>
      <c r="HG977">
        <v>0</v>
      </c>
      <c r="HH977">
        <v>0</v>
      </c>
      <c r="HI977">
        <v>0</v>
      </c>
      <c r="HJ977">
        <v>803.40000000000009</v>
      </c>
      <c r="HK977">
        <v>1270.9000000000001</v>
      </c>
      <c r="HL977">
        <v>835.7</v>
      </c>
      <c r="HM977">
        <v>1162.5999999999999</v>
      </c>
      <c r="HN977">
        <v>0</v>
      </c>
      <c r="HO977">
        <v>0</v>
      </c>
      <c r="HP977">
        <v>0</v>
      </c>
      <c r="HQ977">
        <v>0</v>
      </c>
      <c r="HR977">
        <v>161.19999999999999</v>
      </c>
      <c r="HS977">
        <v>0</v>
      </c>
      <c r="HT977">
        <v>2048.5</v>
      </c>
      <c r="HU977">
        <v>2627.5</v>
      </c>
      <c r="HV977">
        <v>1168.5999999999999</v>
      </c>
      <c r="HW977">
        <v>388</v>
      </c>
      <c r="HX977">
        <v>0</v>
      </c>
      <c r="HY977">
        <v>0</v>
      </c>
      <c r="HZ977">
        <v>0</v>
      </c>
      <c r="IA977">
        <v>0</v>
      </c>
      <c r="IB977">
        <v>0</v>
      </c>
      <c r="IC977">
        <v>594.4</v>
      </c>
      <c r="ID977">
        <v>427.4</v>
      </c>
      <c r="IE977">
        <v>713.3</v>
      </c>
      <c r="IF977">
        <v>626.1</v>
      </c>
      <c r="IG977">
        <v>0</v>
      </c>
      <c r="IH977">
        <v>0</v>
      </c>
      <c r="II977">
        <v>995.7</v>
      </c>
      <c r="IJ977">
        <v>1156.5999999999999</v>
      </c>
      <c r="IK977">
        <v>864.6</v>
      </c>
      <c r="IL977">
        <v>316.5</v>
      </c>
      <c r="IM977">
        <v>101.5</v>
      </c>
      <c r="IN977">
        <v>71.8</v>
      </c>
      <c r="IO977">
        <v>0</v>
      </c>
      <c r="IP977">
        <v>0</v>
      </c>
      <c r="IQ977">
        <v>0</v>
      </c>
      <c r="IR977">
        <v>0</v>
      </c>
      <c r="IS977">
        <v>0</v>
      </c>
      <c r="IT977">
        <v>0</v>
      </c>
      <c r="IU977">
        <v>0</v>
      </c>
      <c r="IV977">
        <v>0</v>
      </c>
      <c r="IW977">
        <v>68</v>
      </c>
      <c r="IX977">
        <v>404.7</v>
      </c>
      <c r="IY977">
        <v>126.6</v>
      </c>
      <c r="IZ977">
        <v>126.6</v>
      </c>
      <c r="JA977">
        <v>503.7</v>
      </c>
      <c r="JB977">
        <v>570.1</v>
      </c>
      <c r="JC977">
        <v>328.3</v>
      </c>
      <c r="JD977">
        <v>0</v>
      </c>
      <c r="JE977">
        <v>0</v>
      </c>
      <c r="JF977">
        <v>0</v>
      </c>
      <c r="JG977">
        <v>0</v>
      </c>
      <c r="JH977">
        <v>287.3</v>
      </c>
      <c r="JI977">
        <v>68.2</v>
      </c>
      <c r="JJ977">
        <v>0</v>
      </c>
      <c r="JK977">
        <v>148.6</v>
      </c>
      <c r="JL977">
        <v>0</v>
      </c>
      <c r="JM977">
        <v>0</v>
      </c>
      <c r="JN977">
        <v>204.5</v>
      </c>
      <c r="JO977">
        <v>292.10000000000002</v>
      </c>
      <c r="JP977">
        <v>670.8</v>
      </c>
      <c r="JQ977">
        <v>745.2</v>
      </c>
      <c r="JR977">
        <v>242.9</v>
      </c>
    </row>
    <row r="978" spans="2:278" ht="18" thickBot="1">
      <c r="B978" s="373" t="s">
        <v>1333</v>
      </c>
      <c r="C978" s="373" t="s">
        <v>1641</v>
      </c>
      <c r="D978" s="384" t="s">
        <v>1472</v>
      </c>
      <c r="E978" s="454">
        <v>22829.8</v>
      </c>
      <c r="F978">
        <v>20193.400000000001</v>
      </c>
      <c r="G978" s="427">
        <v>0</v>
      </c>
      <c r="H978" s="155">
        <v>0</v>
      </c>
      <c r="I978">
        <v>0</v>
      </c>
      <c r="J978">
        <v>0</v>
      </c>
      <c r="K978">
        <v>0</v>
      </c>
      <c r="L978" s="4">
        <v>0</v>
      </c>
      <c r="M978" s="4">
        <v>0</v>
      </c>
      <c r="N978" s="4">
        <v>0</v>
      </c>
      <c r="O978" s="4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1476.4</v>
      </c>
      <c r="X978">
        <v>1482</v>
      </c>
      <c r="Y978">
        <v>457.20000000000005</v>
      </c>
      <c r="Z978">
        <v>0</v>
      </c>
      <c r="AA978">
        <v>0</v>
      </c>
      <c r="AB978">
        <v>0</v>
      </c>
      <c r="AC978">
        <v>0</v>
      </c>
      <c r="AD978">
        <v>3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1828.6</v>
      </c>
      <c r="AK978">
        <v>1800.7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560.70000000000005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  <c r="CF978">
        <v>0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  <c r="CN978">
        <v>0</v>
      </c>
      <c r="CO978">
        <v>0</v>
      </c>
      <c r="CP978">
        <v>3.5</v>
      </c>
      <c r="CQ978">
        <v>0</v>
      </c>
      <c r="CR978">
        <v>528</v>
      </c>
      <c r="CS978">
        <v>581.79999999999995</v>
      </c>
      <c r="CT978">
        <v>555.40000000000009</v>
      </c>
      <c r="CU978">
        <v>737.4</v>
      </c>
      <c r="CV978">
        <v>1039.0999999999999</v>
      </c>
      <c r="CW978">
        <v>1667.3</v>
      </c>
      <c r="CX978">
        <v>877.6</v>
      </c>
      <c r="CY978">
        <v>910.40000000000009</v>
      </c>
      <c r="CZ978">
        <v>0</v>
      </c>
      <c r="DA978">
        <v>0</v>
      </c>
      <c r="DB978">
        <v>0</v>
      </c>
      <c r="DC978">
        <v>0</v>
      </c>
      <c r="DD978">
        <v>0</v>
      </c>
      <c r="DE978">
        <v>0</v>
      </c>
      <c r="DF978">
        <v>0</v>
      </c>
      <c r="DG978">
        <v>0</v>
      </c>
      <c r="DH978">
        <v>0</v>
      </c>
      <c r="DI978">
        <v>0</v>
      </c>
      <c r="DJ978">
        <v>0</v>
      </c>
      <c r="DK978">
        <v>0</v>
      </c>
      <c r="DL978">
        <v>995.5</v>
      </c>
      <c r="DM978">
        <v>712.7</v>
      </c>
      <c r="DN978">
        <v>0</v>
      </c>
      <c r="DO978">
        <v>0</v>
      </c>
      <c r="DP978">
        <v>0</v>
      </c>
      <c r="DQ978">
        <v>0</v>
      </c>
      <c r="DR978">
        <v>0</v>
      </c>
      <c r="DS978">
        <v>0</v>
      </c>
      <c r="DT978">
        <v>0</v>
      </c>
      <c r="DU978">
        <v>0</v>
      </c>
      <c r="DV978">
        <v>0</v>
      </c>
      <c r="DW978">
        <v>0</v>
      </c>
      <c r="DX978">
        <v>0</v>
      </c>
      <c r="DY978">
        <v>0</v>
      </c>
      <c r="DZ978">
        <v>0</v>
      </c>
      <c r="EA978">
        <v>0</v>
      </c>
      <c r="EB978">
        <v>0</v>
      </c>
      <c r="EC978">
        <v>0</v>
      </c>
      <c r="ED978">
        <v>0</v>
      </c>
      <c r="EE978">
        <v>0</v>
      </c>
      <c r="EF978">
        <v>0</v>
      </c>
      <c r="EG978">
        <v>0</v>
      </c>
      <c r="EH978">
        <v>0</v>
      </c>
      <c r="EI978">
        <v>0</v>
      </c>
      <c r="EJ978">
        <v>0</v>
      </c>
      <c r="EK978">
        <v>0</v>
      </c>
      <c r="EL978">
        <v>0</v>
      </c>
      <c r="EM978">
        <v>0</v>
      </c>
      <c r="EN978">
        <v>27.4</v>
      </c>
      <c r="EO978">
        <v>0</v>
      </c>
      <c r="EP978">
        <v>1002.5</v>
      </c>
      <c r="EQ978">
        <v>0</v>
      </c>
      <c r="ER978">
        <v>494</v>
      </c>
      <c r="ES978">
        <v>0</v>
      </c>
      <c r="ET978">
        <v>699.3</v>
      </c>
      <c r="EU978">
        <v>435.4</v>
      </c>
      <c r="EV978">
        <v>0</v>
      </c>
      <c r="EW978">
        <v>0</v>
      </c>
      <c r="EX978">
        <v>0</v>
      </c>
      <c r="EY978">
        <v>0</v>
      </c>
      <c r="EZ978">
        <v>0</v>
      </c>
      <c r="FA978">
        <v>0</v>
      </c>
      <c r="FB978">
        <v>0</v>
      </c>
      <c r="FC978">
        <v>0</v>
      </c>
      <c r="FD978">
        <v>95.6</v>
      </c>
      <c r="FE978">
        <v>1792.1</v>
      </c>
      <c r="FF978">
        <v>1740.1999999999998</v>
      </c>
      <c r="FG978">
        <v>954.9</v>
      </c>
      <c r="FH978">
        <v>1087.8000000000002</v>
      </c>
      <c r="FI978">
        <v>1892.1</v>
      </c>
      <c r="FJ978">
        <v>1222.5</v>
      </c>
      <c r="FK978">
        <v>678.3</v>
      </c>
      <c r="FL978">
        <v>639.1</v>
      </c>
      <c r="FM978">
        <v>520.5</v>
      </c>
      <c r="FN978">
        <v>123.8</v>
      </c>
      <c r="FO978">
        <v>181.6</v>
      </c>
      <c r="FP978">
        <v>1090.5</v>
      </c>
      <c r="FQ978">
        <v>0</v>
      </c>
      <c r="FR978">
        <v>0</v>
      </c>
      <c r="FS978">
        <v>0</v>
      </c>
      <c r="FT978">
        <v>0</v>
      </c>
      <c r="FU978">
        <v>0</v>
      </c>
      <c r="FV978">
        <v>0</v>
      </c>
      <c r="FW978">
        <v>0</v>
      </c>
      <c r="FX978">
        <v>0</v>
      </c>
      <c r="FY978">
        <v>0</v>
      </c>
      <c r="FZ978">
        <v>0</v>
      </c>
      <c r="GA978">
        <v>0</v>
      </c>
      <c r="GB978">
        <v>0</v>
      </c>
      <c r="GC978">
        <v>0</v>
      </c>
      <c r="GD978">
        <v>0</v>
      </c>
      <c r="GE978">
        <v>0</v>
      </c>
      <c r="GF978">
        <v>198.3</v>
      </c>
      <c r="GG978">
        <v>1054.4000000000001</v>
      </c>
      <c r="GH978">
        <v>552.79999999999995</v>
      </c>
      <c r="GI978">
        <v>522</v>
      </c>
      <c r="GJ978">
        <v>0</v>
      </c>
      <c r="GK978">
        <v>0</v>
      </c>
      <c r="GL978">
        <v>0</v>
      </c>
      <c r="GM978">
        <v>0</v>
      </c>
      <c r="GN978">
        <v>791.40000000000009</v>
      </c>
      <c r="GO978">
        <v>1816.5</v>
      </c>
      <c r="GP978">
        <v>0</v>
      </c>
      <c r="GQ978">
        <v>0</v>
      </c>
      <c r="GR978">
        <v>0</v>
      </c>
      <c r="GS978">
        <v>0</v>
      </c>
      <c r="GT978">
        <v>0</v>
      </c>
      <c r="GU978">
        <v>0</v>
      </c>
      <c r="GV978">
        <v>0</v>
      </c>
      <c r="GW978">
        <v>0</v>
      </c>
      <c r="GX978">
        <v>0</v>
      </c>
      <c r="GY978">
        <v>840.3</v>
      </c>
      <c r="GZ978">
        <v>0</v>
      </c>
      <c r="HA978">
        <v>0</v>
      </c>
      <c r="HB978">
        <v>0</v>
      </c>
      <c r="HC978">
        <v>380.4</v>
      </c>
      <c r="HD978">
        <v>2175.5</v>
      </c>
      <c r="HE978">
        <v>0</v>
      </c>
      <c r="HF978">
        <v>0</v>
      </c>
      <c r="HG978">
        <v>0</v>
      </c>
      <c r="HH978">
        <v>0</v>
      </c>
      <c r="HI978">
        <v>0</v>
      </c>
      <c r="HJ978">
        <v>803.40000000000009</v>
      </c>
      <c r="HK978">
        <v>1270.9000000000001</v>
      </c>
      <c r="HL978">
        <v>835.7</v>
      </c>
      <c r="HM978">
        <v>1162.5999999999999</v>
      </c>
      <c r="HN978">
        <v>0</v>
      </c>
      <c r="HO978">
        <v>0</v>
      </c>
      <c r="HP978">
        <v>0</v>
      </c>
      <c r="HQ978">
        <v>0</v>
      </c>
      <c r="HR978">
        <v>161.19999999999999</v>
      </c>
      <c r="HS978">
        <v>0</v>
      </c>
      <c r="HT978">
        <v>2048.5</v>
      </c>
      <c r="HU978">
        <v>2627.5</v>
      </c>
      <c r="HV978">
        <v>1168.5999999999999</v>
      </c>
      <c r="HW978">
        <v>388</v>
      </c>
      <c r="HX978">
        <v>0</v>
      </c>
      <c r="HY978">
        <v>0</v>
      </c>
      <c r="HZ978">
        <v>0</v>
      </c>
      <c r="IA978">
        <v>0</v>
      </c>
      <c r="IB978">
        <v>0</v>
      </c>
      <c r="IC978">
        <v>594.4</v>
      </c>
      <c r="ID978">
        <v>427.4</v>
      </c>
      <c r="IE978">
        <v>713.3</v>
      </c>
      <c r="IF978">
        <v>626.1</v>
      </c>
      <c r="IG978">
        <v>0</v>
      </c>
      <c r="IH978">
        <v>0</v>
      </c>
      <c r="II978">
        <v>995.7</v>
      </c>
      <c r="IJ978">
        <v>1156.5999999999999</v>
      </c>
      <c r="IK978">
        <v>864.6</v>
      </c>
      <c r="IL978">
        <v>316.5</v>
      </c>
      <c r="IM978">
        <v>101.5</v>
      </c>
      <c r="IN978">
        <v>71.8</v>
      </c>
      <c r="IO978">
        <v>0</v>
      </c>
      <c r="IP978">
        <v>0</v>
      </c>
      <c r="IQ978">
        <v>0</v>
      </c>
      <c r="IR978">
        <v>0</v>
      </c>
      <c r="IS978">
        <v>0</v>
      </c>
      <c r="IT978">
        <v>0</v>
      </c>
      <c r="IU978">
        <v>0</v>
      </c>
      <c r="IV978">
        <v>0</v>
      </c>
      <c r="IW978">
        <v>68</v>
      </c>
      <c r="IX978">
        <v>404.7</v>
      </c>
      <c r="IY978">
        <v>126.6</v>
      </c>
      <c r="IZ978">
        <v>126.6</v>
      </c>
      <c r="JA978">
        <v>503.7</v>
      </c>
      <c r="JB978">
        <v>570.1</v>
      </c>
      <c r="JC978">
        <v>328.3</v>
      </c>
      <c r="JD978">
        <v>0</v>
      </c>
      <c r="JE978">
        <v>0</v>
      </c>
      <c r="JF978">
        <v>0</v>
      </c>
      <c r="JG978">
        <v>0</v>
      </c>
      <c r="JH978">
        <v>287.3</v>
      </c>
      <c r="JI978">
        <v>68.2</v>
      </c>
      <c r="JJ978">
        <v>0</v>
      </c>
      <c r="JK978">
        <v>148.6</v>
      </c>
      <c r="JL978">
        <v>0</v>
      </c>
      <c r="JM978">
        <v>0</v>
      </c>
      <c r="JN978">
        <v>204.5</v>
      </c>
      <c r="JO978">
        <v>292.10000000000002</v>
      </c>
      <c r="JP978">
        <v>670.8</v>
      </c>
      <c r="JQ978">
        <v>745.2</v>
      </c>
      <c r="JR978">
        <v>242.9</v>
      </c>
    </row>
    <row r="979" spans="2:278" ht="18" thickBot="1">
      <c r="B979" s="368" t="s">
        <v>1334</v>
      </c>
      <c r="C979" s="409" t="s">
        <v>1642</v>
      </c>
      <c r="D979" s="384" t="s">
        <v>1473</v>
      </c>
      <c r="E979" s="454">
        <v>22829.8</v>
      </c>
      <c r="F979">
        <v>20193.400000000001</v>
      </c>
      <c r="G979" s="427">
        <v>0</v>
      </c>
      <c r="H979" s="155">
        <v>0</v>
      </c>
      <c r="I979">
        <v>0</v>
      </c>
      <c r="J979">
        <v>0</v>
      </c>
      <c r="K979">
        <v>0</v>
      </c>
      <c r="L979" s="4">
        <v>0</v>
      </c>
      <c r="M979" s="4">
        <v>0</v>
      </c>
      <c r="N979" s="4">
        <v>0</v>
      </c>
      <c r="O979" s="4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1476.4</v>
      </c>
      <c r="X979">
        <v>1482</v>
      </c>
      <c r="Y979">
        <v>457.20000000000005</v>
      </c>
      <c r="Z979">
        <v>0</v>
      </c>
      <c r="AA979">
        <v>0</v>
      </c>
      <c r="AB979">
        <v>0</v>
      </c>
      <c r="AC979">
        <v>0</v>
      </c>
      <c r="AD979">
        <v>3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1828.6</v>
      </c>
      <c r="AK979">
        <v>1800.7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560.70000000000005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0</v>
      </c>
      <c r="BU979">
        <v>0</v>
      </c>
      <c r="BV979">
        <v>0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  <c r="CF979">
        <v>0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  <c r="CN979">
        <v>0</v>
      </c>
      <c r="CO979">
        <v>0</v>
      </c>
      <c r="CP979">
        <v>3.5</v>
      </c>
      <c r="CQ979">
        <v>0</v>
      </c>
      <c r="CR979">
        <v>528</v>
      </c>
      <c r="CS979">
        <v>581.79999999999995</v>
      </c>
      <c r="CT979">
        <v>555.40000000000009</v>
      </c>
      <c r="CU979">
        <v>737.4</v>
      </c>
      <c r="CV979">
        <v>1039.0999999999999</v>
      </c>
      <c r="CW979">
        <v>1667.3</v>
      </c>
      <c r="CX979">
        <v>877.6</v>
      </c>
      <c r="CY979">
        <v>910.40000000000009</v>
      </c>
      <c r="CZ979">
        <v>0</v>
      </c>
      <c r="DA979">
        <v>0</v>
      </c>
      <c r="DB979">
        <v>0</v>
      </c>
      <c r="DC979">
        <v>0</v>
      </c>
      <c r="DD979">
        <v>0</v>
      </c>
      <c r="DE979">
        <v>0</v>
      </c>
      <c r="DF979">
        <v>0</v>
      </c>
      <c r="DG979">
        <v>0</v>
      </c>
      <c r="DH979">
        <v>0</v>
      </c>
      <c r="DI979">
        <v>0</v>
      </c>
      <c r="DJ979">
        <v>0</v>
      </c>
      <c r="DK979">
        <v>0</v>
      </c>
      <c r="DL979">
        <v>995.5</v>
      </c>
      <c r="DM979">
        <v>712.7</v>
      </c>
      <c r="DN979">
        <v>0</v>
      </c>
      <c r="DO979">
        <v>0</v>
      </c>
      <c r="DP979">
        <v>0</v>
      </c>
      <c r="DQ979">
        <v>0</v>
      </c>
      <c r="DR979">
        <v>0</v>
      </c>
      <c r="DS979">
        <v>0</v>
      </c>
      <c r="DT979">
        <v>0</v>
      </c>
      <c r="DU979">
        <v>0</v>
      </c>
      <c r="DV979">
        <v>0</v>
      </c>
      <c r="DW979">
        <v>0</v>
      </c>
      <c r="DX979">
        <v>0</v>
      </c>
      <c r="DY979">
        <v>0</v>
      </c>
      <c r="DZ979">
        <v>0</v>
      </c>
      <c r="EA979">
        <v>0</v>
      </c>
      <c r="EB979">
        <v>0</v>
      </c>
      <c r="EC979">
        <v>0</v>
      </c>
      <c r="ED979">
        <v>0</v>
      </c>
      <c r="EE979">
        <v>0</v>
      </c>
      <c r="EF979">
        <v>0</v>
      </c>
      <c r="EG979">
        <v>0</v>
      </c>
      <c r="EH979">
        <v>0</v>
      </c>
      <c r="EI979">
        <v>0</v>
      </c>
      <c r="EJ979">
        <v>0</v>
      </c>
      <c r="EK979">
        <v>0</v>
      </c>
      <c r="EL979">
        <v>0</v>
      </c>
      <c r="EM979">
        <v>0</v>
      </c>
      <c r="EN979">
        <v>27.4</v>
      </c>
      <c r="EO979">
        <v>0</v>
      </c>
      <c r="EP979">
        <v>1002.5</v>
      </c>
      <c r="EQ979">
        <v>0</v>
      </c>
      <c r="ER979">
        <v>494</v>
      </c>
      <c r="ES979">
        <v>0</v>
      </c>
      <c r="ET979">
        <v>699.3</v>
      </c>
      <c r="EU979">
        <v>435.4</v>
      </c>
      <c r="EV979">
        <v>0</v>
      </c>
      <c r="EW979">
        <v>0</v>
      </c>
      <c r="EX979">
        <v>0</v>
      </c>
      <c r="EY979">
        <v>0</v>
      </c>
      <c r="EZ979">
        <v>0</v>
      </c>
      <c r="FA979">
        <v>0</v>
      </c>
      <c r="FB979">
        <v>0</v>
      </c>
      <c r="FC979">
        <v>0</v>
      </c>
      <c r="FD979">
        <v>95.6</v>
      </c>
      <c r="FE979">
        <v>1792.1</v>
      </c>
      <c r="FF979">
        <v>1740.1999999999998</v>
      </c>
      <c r="FG979">
        <v>954.9</v>
      </c>
      <c r="FH979">
        <v>1087.8000000000002</v>
      </c>
      <c r="FI979">
        <v>1892.1</v>
      </c>
      <c r="FJ979">
        <v>1222.5</v>
      </c>
      <c r="FK979">
        <v>678.3</v>
      </c>
      <c r="FL979">
        <v>639.1</v>
      </c>
      <c r="FM979">
        <v>520.5</v>
      </c>
      <c r="FN979">
        <v>123.8</v>
      </c>
      <c r="FO979">
        <v>181.6</v>
      </c>
      <c r="FP979">
        <v>1090.5</v>
      </c>
      <c r="FQ979">
        <v>0</v>
      </c>
      <c r="FR979">
        <v>0</v>
      </c>
      <c r="FS979">
        <v>0</v>
      </c>
      <c r="FT979">
        <v>0</v>
      </c>
      <c r="FU979">
        <v>0</v>
      </c>
      <c r="FV979">
        <v>0</v>
      </c>
      <c r="FW979">
        <v>0</v>
      </c>
      <c r="FX979">
        <v>0</v>
      </c>
      <c r="FY979">
        <v>0</v>
      </c>
      <c r="FZ979">
        <v>0</v>
      </c>
      <c r="GA979">
        <v>0</v>
      </c>
      <c r="GB979">
        <v>0</v>
      </c>
      <c r="GC979">
        <v>0</v>
      </c>
      <c r="GD979">
        <v>0</v>
      </c>
      <c r="GE979">
        <v>0</v>
      </c>
      <c r="GF979">
        <v>198.3</v>
      </c>
      <c r="GG979">
        <v>1054.4000000000001</v>
      </c>
      <c r="GH979">
        <v>552.79999999999995</v>
      </c>
      <c r="GI979">
        <v>522</v>
      </c>
      <c r="GJ979">
        <v>0</v>
      </c>
      <c r="GK979">
        <v>0</v>
      </c>
      <c r="GL979">
        <v>0</v>
      </c>
      <c r="GM979">
        <v>0</v>
      </c>
      <c r="GN979">
        <v>791.40000000000009</v>
      </c>
      <c r="GO979">
        <v>1816.5</v>
      </c>
      <c r="GP979">
        <v>0</v>
      </c>
      <c r="GQ979">
        <v>0</v>
      </c>
      <c r="GR979">
        <v>0</v>
      </c>
      <c r="GS979">
        <v>0</v>
      </c>
      <c r="GT979">
        <v>0</v>
      </c>
      <c r="GU979">
        <v>0</v>
      </c>
      <c r="GV979">
        <v>0</v>
      </c>
      <c r="GW979">
        <v>0</v>
      </c>
      <c r="GX979">
        <v>0</v>
      </c>
      <c r="GY979">
        <v>840.3</v>
      </c>
      <c r="GZ979">
        <v>0</v>
      </c>
      <c r="HA979">
        <v>0</v>
      </c>
      <c r="HB979">
        <v>0</v>
      </c>
      <c r="HC979">
        <v>380.4</v>
      </c>
      <c r="HD979">
        <v>2175.5</v>
      </c>
      <c r="HE979">
        <v>0</v>
      </c>
      <c r="HF979">
        <v>0</v>
      </c>
      <c r="HG979">
        <v>0</v>
      </c>
      <c r="HH979">
        <v>0</v>
      </c>
      <c r="HI979">
        <v>0</v>
      </c>
      <c r="HJ979">
        <v>803.40000000000009</v>
      </c>
      <c r="HK979">
        <v>1270.9000000000001</v>
      </c>
      <c r="HL979">
        <v>835.7</v>
      </c>
      <c r="HM979">
        <v>1162.5999999999999</v>
      </c>
      <c r="HN979">
        <v>0</v>
      </c>
      <c r="HO979">
        <v>0</v>
      </c>
      <c r="HP979">
        <v>0</v>
      </c>
      <c r="HQ979">
        <v>0</v>
      </c>
      <c r="HR979">
        <v>161.19999999999999</v>
      </c>
      <c r="HS979">
        <v>0</v>
      </c>
      <c r="HT979">
        <v>2048.5</v>
      </c>
      <c r="HU979">
        <v>2627.5</v>
      </c>
      <c r="HV979">
        <v>1168.5999999999999</v>
      </c>
      <c r="HW979">
        <v>388</v>
      </c>
      <c r="HX979">
        <v>0</v>
      </c>
      <c r="HY979">
        <v>0</v>
      </c>
      <c r="HZ979">
        <v>0</v>
      </c>
      <c r="IA979">
        <v>0</v>
      </c>
      <c r="IB979">
        <v>0</v>
      </c>
      <c r="IC979">
        <v>594.4</v>
      </c>
      <c r="ID979">
        <v>427.4</v>
      </c>
      <c r="IE979">
        <v>713.3</v>
      </c>
      <c r="IF979">
        <v>626.1</v>
      </c>
      <c r="IG979">
        <v>0</v>
      </c>
      <c r="IH979">
        <v>0</v>
      </c>
      <c r="II979">
        <v>995.7</v>
      </c>
      <c r="IJ979">
        <v>1156.5999999999999</v>
      </c>
      <c r="IK979">
        <v>864.6</v>
      </c>
      <c r="IL979">
        <v>316.5</v>
      </c>
      <c r="IM979">
        <v>101.5</v>
      </c>
      <c r="IN979">
        <v>71.8</v>
      </c>
      <c r="IO979">
        <v>0</v>
      </c>
      <c r="IP979">
        <v>0</v>
      </c>
      <c r="IQ979">
        <v>0</v>
      </c>
      <c r="IR979">
        <v>0</v>
      </c>
      <c r="IS979">
        <v>0</v>
      </c>
      <c r="IT979">
        <v>0</v>
      </c>
      <c r="IU979">
        <v>0</v>
      </c>
      <c r="IV979">
        <v>0</v>
      </c>
      <c r="IW979">
        <v>68</v>
      </c>
      <c r="IX979">
        <v>404.7</v>
      </c>
      <c r="IY979">
        <v>126.6</v>
      </c>
      <c r="IZ979">
        <v>126.6</v>
      </c>
      <c r="JA979">
        <v>503.7</v>
      </c>
      <c r="JB979">
        <v>570.1</v>
      </c>
      <c r="JC979">
        <v>328.3</v>
      </c>
      <c r="JD979">
        <v>0</v>
      </c>
      <c r="JE979">
        <v>0</v>
      </c>
      <c r="JF979">
        <v>0</v>
      </c>
      <c r="JG979">
        <v>0</v>
      </c>
      <c r="JH979">
        <v>287.3</v>
      </c>
      <c r="JI979">
        <v>68.2</v>
      </c>
      <c r="JJ979">
        <v>0</v>
      </c>
      <c r="JK979">
        <v>148.6</v>
      </c>
      <c r="JL979">
        <v>0</v>
      </c>
      <c r="JM979">
        <v>0</v>
      </c>
      <c r="JN979">
        <v>204.5</v>
      </c>
      <c r="JO979">
        <v>292.10000000000002</v>
      </c>
      <c r="JP979">
        <v>670.8</v>
      </c>
      <c r="JQ979">
        <v>745.2</v>
      </c>
      <c r="JR979">
        <v>242.9</v>
      </c>
    </row>
    <row r="980" spans="2:278" ht="18" thickBot="1">
      <c r="B980" s="367" t="s">
        <v>1335</v>
      </c>
      <c r="C980" s="367" t="s">
        <v>1643</v>
      </c>
      <c r="D980" s="385" t="s">
        <v>1474</v>
      </c>
      <c r="E980" s="454">
        <v>22829.8</v>
      </c>
      <c r="F980">
        <v>20193.400000000001</v>
      </c>
      <c r="G980" s="427">
        <v>0</v>
      </c>
      <c r="H980" s="155">
        <v>0</v>
      </c>
      <c r="I980">
        <v>0</v>
      </c>
      <c r="J980">
        <v>0</v>
      </c>
      <c r="K980">
        <v>0</v>
      </c>
      <c r="L980" s="4">
        <v>0</v>
      </c>
      <c r="M980" s="4">
        <v>0</v>
      </c>
      <c r="N980" s="4">
        <v>0</v>
      </c>
      <c r="O980" s="4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1476.4</v>
      </c>
      <c r="X980">
        <v>1482</v>
      </c>
      <c r="Y980">
        <v>457.20000000000005</v>
      </c>
      <c r="Z980">
        <v>0</v>
      </c>
      <c r="AA980">
        <v>0</v>
      </c>
      <c r="AB980">
        <v>0</v>
      </c>
      <c r="AC980">
        <v>0</v>
      </c>
      <c r="AD980">
        <v>3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1828.6</v>
      </c>
      <c r="AK980">
        <v>1800.7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560.70000000000005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  <c r="CF980">
        <v>0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  <c r="CN980">
        <v>0</v>
      </c>
      <c r="CO980">
        <v>0</v>
      </c>
      <c r="CP980">
        <v>3.5</v>
      </c>
      <c r="CQ980">
        <v>0</v>
      </c>
      <c r="CR980">
        <v>528</v>
      </c>
      <c r="CS980">
        <v>581.79999999999995</v>
      </c>
      <c r="CT980">
        <v>555.40000000000009</v>
      </c>
      <c r="CU980">
        <v>737.4</v>
      </c>
      <c r="CV980">
        <v>1039.0999999999999</v>
      </c>
      <c r="CW980">
        <v>1667.3</v>
      </c>
      <c r="CX980">
        <v>877.6</v>
      </c>
      <c r="CY980">
        <v>910.40000000000009</v>
      </c>
      <c r="CZ980">
        <v>0</v>
      </c>
      <c r="DA980">
        <v>0</v>
      </c>
      <c r="DB980">
        <v>0</v>
      </c>
      <c r="DC980">
        <v>0</v>
      </c>
      <c r="DD980">
        <v>0</v>
      </c>
      <c r="DE980">
        <v>0</v>
      </c>
      <c r="DF980">
        <v>0</v>
      </c>
      <c r="DG980">
        <v>0</v>
      </c>
      <c r="DH980">
        <v>0</v>
      </c>
      <c r="DI980">
        <v>0</v>
      </c>
      <c r="DJ980">
        <v>0</v>
      </c>
      <c r="DK980">
        <v>0</v>
      </c>
      <c r="DL980">
        <v>995.5</v>
      </c>
      <c r="DM980">
        <v>712.7</v>
      </c>
      <c r="DN980">
        <v>0</v>
      </c>
      <c r="DO980">
        <v>0</v>
      </c>
      <c r="DP980">
        <v>0</v>
      </c>
      <c r="DQ980">
        <v>0</v>
      </c>
      <c r="DR980">
        <v>0</v>
      </c>
      <c r="DS980">
        <v>0</v>
      </c>
      <c r="DT980">
        <v>0</v>
      </c>
      <c r="DU980">
        <v>0</v>
      </c>
      <c r="DV980">
        <v>0</v>
      </c>
      <c r="DW980">
        <v>0</v>
      </c>
      <c r="DX980">
        <v>0</v>
      </c>
      <c r="DY980">
        <v>0</v>
      </c>
      <c r="DZ980">
        <v>0</v>
      </c>
      <c r="EA980">
        <v>0</v>
      </c>
      <c r="EB980">
        <v>0</v>
      </c>
      <c r="EC980">
        <v>0</v>
      </c>
      <c r="ED980">
        <v>0</v>
      </c>
      <c r="EE980">
        <v>0</v>
      </c>
      <c r="EF980">
        <v>0</v>
      </c>
      <c r="EG980">
        <v>0</v>
      </c>
      <c r="EH980">
        <v>0</v>
      </c>
      <c r="EI980">
        <v>0</v>
      </c>
      <c r="EJ980">
        <v>0</v>
      </c>
      <c r="EK980">
        <v>0</v>
      </c>
      <c r="EL980">
        <v>0</v>
      </c>
      <c r="EM980">
        <v>0</v>
      </c>
      <c r="EN980">
        <v>27.4</v>
      </c>
      <c r="EO980">
        <v>0</v>
      </c>
      <c r="EP980">
        <v>1002.5</v>
      </c>
      <c r="EQ980">
        <v>0</v>
      </c>
      <c r="ER980">
        <v>494</v>
      </c>
      <c r="ES980">
        <v>0</v>
      </c>
      <c r="ET980">
        <v>699.3</v>
      </c>
      <c r="EU980">
        <v>435.4</v>
      </c>
      <c r="EV980">
        <v>0</v>
      </c>
      <c r="EW980">
        <v>0</v>
      </c>
      <c r="EX980">
        <v>0</v>
      </c>
      <c r="EY980">
        <v>0</v>
      </c>
      <c r="EZ980">
        <v>0</v>
      </c>
      <c r="FA980">
        <v>0</v>
      </c>
      <c r="FB980">
        <v>0</v>
      </c>
      <c r="FC980">
        <v>0</v>
      </c>
      <c r="FD980">
        <v>95.6</v>
      </c>
      <c r="FE980">
        <v>1792.1</v>
      </c>
      <c r="FF980">
        <v>1740.1999999999998</v>
      </c>
      <c r="FG980">
        <v>954.9</v>
      </c>
      <c r="FH980">
        <v>1087.8000000000002</v>
      </c>
      <c r="FI980">
        <v>1892.1</v>
      </c>
      <c r="FJ980">
        <v>1222.5</v>
      </c>
      <c r="FK980">
        <v>678.3</v>
      </c>
      <c r="FL980">
        <v>639.1</v>
      </c>
      <c r="FM980">
        <v>520.5</v>
      </c>
      <c r="FN980">
        <v>123.8</v>
      </c>
      <c r="FO980">
        <v>181.6</v>
      </c>
      <c r="FP980">
        <v>1090.5</v>
      </c>
      <c r="FQ980">
        <v>0</v>
      </c>
      <c r="FR980">
        <v>0</v>
      </c>
      <c r="FS980">
        <v>0</v>
      </c>
      <c r="FT980">
        <v>0</v>
      </c>
      <c r="FU980">
        <v>0</v>
      </c>
      <c r="FV980">
        <v>0</v>
      </c>
      <c r="FW980">
        <v>0</v>
      </c>
      <c r="FX980">
        <v>0</v>
      </c>
      <c r="FY980">
        <v>0</v>
      </c>
      <c r="FZ980">
        <v>0</v>
      </c>
      <c r="GA980">
        <v>0</v>
      </c>
      <c r="GB980">
        <v>0</v>
      </c>
      <c r="GC980">
        <v>0</v>
      </c>
      <c r="GD980">
        <v>0</v>
      </c>
      <c r="GE980">
        <v>0</v>
      </c>
      <c r="GF980">
        <v>198.3</v>
      </c>
      <c r="GG980">
        <v>1054.4000000000001</v>
      </c>
      <c r="GH980">
        <v>552.79999999999995</v>
      </c>
      <c r="GI980">
        <v>522</v>
      </c>
      <c r="GJ980">
        <v>0</v>
      </c>
      <c r="GK980">
        <v>0</v>
      </c>
      <c r="GL980">
        <v>0</v>
      </c>
      <c r="GM980">
        <v>0</v>
      </c>
      <c r="GN980">
        <v>791.40000000000009</v>
      </c>
      <c r="GO980">
        <v>1816.5</v>
      </c>
      <c r="GP980">
        <v>0</v>
      </c>
      <c r="GQ980">
        <v>0</v>
      </c>
      <c r="GR980">
        <v>0</v>
      </c>
      <c r="GS980">
        <v>0</v>
      </c>
      <c r="GT980">
        <v>0</v>
      </c>
      <c r="GU980">
        <v>0</v>
      </c>
      <c r="GV980">
        <v>0</v>
      </c>
      <c r="GW980">
        <v>0</v>
      </c>
      <c r="GX980">
        <v>0</v>
      </c>
      <c r="GY980">
        <v>840.3</v>
      </c>
      <c r="GZ980">
        <v>0</v>
      </c>
      <c r="HA980">
        <v>0</v>
      </c>
      <c r="HB980">
        <v>0</v>
      </c>
      <c r="HC980">
        <v>380.4</v>
      </c>
      <c r="HD980">
        <v>2175.5</v>
      </c>
      <c r="HE980">
        <v>0</v>
      </c>
      <c r="HF980">
        <v>0</v>
      </c>
      <c r="HG980">
        <v>0</v>
      </c>
      <c r="HH980">
        <v>0</v>
      </c>
      <c r="HI980">
        <v>0</v>
      </c>
      <c r="HJ980">
        <v>803.40000000000009</v>
      </c>
      <c r="HK980">
        <v>1270.9000000000001</v>
      </c>
      <c r="HL980">
        <v>835.7</v>
      </c>
      <c r="HM980">
        <v>1162.5999999999999</v>
      </c>
      <c r="HN980">
        <v>0</v>
      </c>
      <c r="HO980">
        <v>0</v>
      </c>
      <c r="HP980">
        <v>0</v>
      </c>
      <c r="HQ980">
        <v>0</v>
      </c>
      <c r="HR980">
        <v>161.19999999999999</v>
      </c>
      <c r="HS980">
        <v>0</v>
      </c>
      <c r="HT980">
        <v>2048.5</v>
      </c>
      <c r="HU980">
        <v>2627.5</v>
      </c>
      <c r="HV980">
        <v>1168.5999999999999</v>
      </c>
      <c r="HW980">
        <v>388</v>
      </c>
      <c r="HX980">
        <v>0</v>
      </c>
      <c r="HY980">
        <v>0</v>
      </c>
      <c r="HZ980">
        <v>0</v>
      </c>
      <c r="IA980">
        <v>0</v>
      </c>
      <c r="IB980">
        <v>0</v>
      </c>
      <c r="IC980">
        <v>594.4</v>
      </c>
      <c r="ID980">
        <v>427.4</v>
      </c>
      <c r="IE980">
        <v>713.3</v>
      </c>
      <c r="IF980">
        <v>626.1</v>
      </c>
      <c r="IG980">
        <v>0</v>
      </c>
      <c r="IH980">
        <v>0</v>
      </c>
      <c r="II980">
        <v>995.7</v>
      </c>
      <c r="IJ980">
        <v>1156.5999999999999</v>
      </c>
      <c r="IK980">
        <v>864.6</v>
      </c>
      <c r="IL980">
        <v>316.5</v>
      </c>
      <c r="IM980">
        <v>101.5</v>
      </c>
      <c r="IN980">
        <v>71.8</v>
      </c>
      <c r="IO980">
        <v>0</v>
      </c>
      <c r="IP980">
        <v>0</v>
      </c>
      <c r="IQ980">
        <v>0</v>
      </c>
      <c r="IR980">
        <v>0</v>
      </c>
      <c r="IS980">
        <v>0</v>
      </c>
      <c r="IT980">
        <v>0</v>
      </c>
      <c r="IU980">
        <v>0</v>
      </c>
      <c r="IV980">
        <v>0</v>
      </c>
      <c r="IW980">
        <v>68</v>
      </c>
      <c r="IX980">
        <v>404.7</v>
      </c>
      <c r="IY980">
        <v>126.6</v>
      </c>
      <c r="IZ980">
        <v>126.6</v>
      </c>
      <c r="JA980">
        <v>503.7</v>
      </c>
      <c r="JB980">
        <v>570.1</v>
      </c>
      <c r="JC980">
        <v>328.3</v>
      </c>
      <c r="JD980">
        <v>0</v>
      </c>
      <c r="JE980">
        <v>0</v>
      </c>
      <c r="JF980">
        <v>0</v>
      </c>
      <c r="JG980">
        <v>0</v>
      </c>
      <c r="JH980">
        <v>287.3</v>
      </c>
      <c r="JI980">
        <v>68.2</v>
      </c>
      <c r="JJ980">
        <v>0</v>
      </c>
      <c r="JK980">
        <v>148.6</v>
      </c>
      <c r="JL980">
        <v>0</v>
      </c>
      <c r="JM980">
        <v>0</v>
      </c>
      <c r="JN980">
        <v>204.5</v>
      </c>
      <c r="JO980">
        <v>292.10000000000002</v>
      </c>
      <c r="JP980">
        <v>670.8</v>
      </c>
      <c r="JQ980">
        <v>745.2</v>
      </c>
      <c r="JR980">
        <v>242.9</v>
      </c>
    </row>
    <row r="981" spans="2:278" ht="18" thickBot="1">
      <c r="B981" s="371" t="s">
        <v>375</v>
      </c>
      <c r="C981" s="391"/>
      <c r="D981" s="386"/>
      <c r="E981" s="454">
        <v>22829.8</v>
      </c>
      <c r="F981">
        <v>20193.400000000001</v>
      </c>
      <c r="G981" s="427">
        <v>0</v>
      </c>
      <c r="H981" s="155">
        <v>0</v>
      </c>
      <c r="I981">
        <v>0</v>
      </c>
      <c r="J981">
        <v>0</v>
      </c>
      <c r="K981">
        <v>0</v>
      </c>
      <c r="L981" s="4">
        <v>0</v>
      </c>
      <c r="M981" s="4">
        <v>0</v>
      </c>
      <c r="N981" s="4">
        <v>0</v>
      </c>
      <c r="O981" s="4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1476.4</v>
      </c>
      <c r="X981">
        <v>1482</v>
      </c>
      <c r="Y981">
        <v>457.20000000000005</v>
      </c>
      <c r="Z981">
        <v>0</v>
      </c>
      <c r="AA981">
        <v>0</v>
      </c>
      <c r="AB981">
        <v>0</v>
      </c>
      <c r="AC981">
        <v>0</v>
      </c>
      <c r="AD981">
        <v>3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1828.6</v>
      </c>
      <c r="AK981">
        <v>1800.7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560.70000000000005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0</v>
      </c>
      <c r="BU981">
        <v>0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  <c r="CF981">
        <v>0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  <c r="CN981">
        <v>0</v>
      </c>
      <c r="CO981">
        <v>0</v>
      </c>
      <c r="CP981">
        <v>3.5</v>
      </c>
      <c r="CQ981">
        <v>0</v>
      </c>
      <c r="CR981">
        <v>528</v>
      </c>
      <c r="CS981">
        <v>581.79999999999995</v>
      </c>
      <c r="CT981">
        <v>555.40000000000009</v>
      </c>
      <c r="CU981">
        <v>737.4</v>
      </c>
      <c r="CV981">
        <v>1039.0999999999999</v>
      </c>
      <c r="CW981">
        <v>1667.3</v>
      </c>
      <c r="CX981">
        <v>877.6</v>
      </c>
      <c r="CY981">
        <v>910.40000000000009</v>
      </c>
      <c r="CZ981">
        <v>0</v>
      </c>
      <c r="DA981">
        <v>0</v>
      </c>
      <c r="DB981">
        <v>0</v>
      </c>
      <c r="DC981">
        <v>0</v>
      </c>
      <c r="DD981">
        <v>0</v>
      </c>
      <c r="DE981">
        <v>0</v>
      </c>
      <c r="DF981">
        <v>0</v>
      </c>
      <c r="DG981">
        <v>0</v>
      </c>
      <c r="DH981">
        <v>0</v>
      </c>
      <c r="DI981">
        <v>0</v>
      </c>
      <c r="DJ981">
        <v>0</v>
      </c>
      <c r="DK981">
        <v>0</v>
      </c>
      <c r="DL981">
        <v>995.5</v>
      </c>
      <c r="DM981">
        <v>712.7</v>
      </c>
      <c r="DN981">
        <v>0</v>
      </c>
      <c r="DO981">
        <v>0</v>
      </c>
      <c r="DP981">
        <v>0</v>
      </c>
      <c r="DQ981">
        <v>0</v>
      </c>
      <c r="DR981">
        <v>0</v>
      </c>
      <c r="DS981">
        <v>0</v>
      </c>
      <c r="DT981">
        <v>0</v>
      </c>
      <c r="DU981">
        <v>0</v>
      </c>
      <c r="DV981">
        <v>0</v>
      </c>
      <c r="DW981">
        <v>0</v>
      </c>
      <c r="DX981">
        <v>0</v>
      </c>
      <c r="DY981">
        <v>0</v>
      </c>
      <c r="DZ981">
        <v>0</v>
      </c>
      <c r="EA981">
        <v>0</v>
      </c>
      <c r="EB981">
        <v>0</v>
      </c>
      <c r="EC981">
        <v>0</v>
      </c>
      <c r="ED981">
        <v>0</v>
      </c>
      <c r="EE981">
        <v>0</v>
      </c>
      <c r="EF981">
        <v>0</v>
      </c>
      <c r="EG981">
        <v>0</v>
      </c>
      <c r="EH981">
        <v>0</v>
      </c>
      <c r="EI981">
        <v>0</v>
      </c>
      <c r="EJ981">
        <v>0</v>
      </c>
      <c r="EK981">
        <v>0</v>
      </c>
      <c r="EL981">
        <v>0</v>
      </c>
      <c r="EM981">
        <v>0</v>
      </c>
      <c r="EN981">
        <v>27.4</v>
      </c>
      <c r="EO981">
        <v>0</v>
      </c>
      <c r="EP981">
        <v>1002.5</v>
      </c>
      <c r="EQ981">
        <v>0</v>
      </c>
      <c r="ER981">
        <v>494</v>
      </c>
      <c r="ES981">
        <v>0</v>
      </c>
      <c r="ET981">
        <v>699.3</v>
      </c>
      <c r="EU981">
        <v>435.4</v>
      </c>
      <c r="EV981">
        <v>0</v>
      </c>
      <c r="EW981">
        <v>0</v>
      </c>
      <c r="EX981">
        <v>0</v>
      </c>
      <c r="EY981">
        <v>0</v>
      </c>
      <c r="EZ981">
        <v>0</v>
      </c>
      <c r="FA981">
        <v>0</v>
      </c>
      <c r="FB981">
        <v>0</v>
      </c>
      <c r="FC981">
        <v>0</v>
      </c>
      <c r="FD981">
        <v>95.6</v>
      </c>
      <c r="FE981">
        <v>1792.1</v>
      </c>
      <c r="FF981">
        <v>1740.1999999999998</v>
      </c>
      <c r="FG981">
        <v>954.9</v>
      </c>
      <c r="FH981">
        <v>1087.8000000000002</v>
      </c>
      <c r="FI981">
        <v>1892.1</v>
      </c>
      <c r="FJ981">
        <v>1222.5</v>
      </c>
      <c r="FK981">
        <v>678.3</v>
      </c>
      <c r="FL981">
        <v>639.1</v>
      </c>
      <c r="FM981">
        <v>520.5</v>
      </c>
      <c r="FN981">
        <v>123.8</v>
      </c>
      <c r="FO981">
        <v>181.6</v>
      </c>
      <c r="FP981">
        <v>1090.5</v>
      </c>
      <c r="FQ981">
        <v>0</v>
      </c>
      <c r="FR981">
        <v>0</v>
      </c>
      <c r="FS981">
        <v>0</v>
      </c>
      <c r="FT981">
        <v>0</v>
      </c>
      <c r="FU981">
        <v>0</v>
      </c>
      <c r="FV981">
        <v>0</v>
      </c>
      <c r="FW981">
        <v>0</v>
      </c>
      <c r="FX981">
        <v>0</v>
      </c>
      <c r="FY981">
        <v>0</v>
      </c>
      <c r="FZ981">
        <v>0</v>
      </c>
      <c r="GA981">
        <v>0</v>
      </c>
      <c r="GB981">
        <v>0</v>
      </c>
      <c r="GC981">
        <v>0</v>
      </c>
      <c r="GD981">
        <v>0</v>
      </c>
      <c r="GE981">
        <v>0</v>
      </c>
      <c r="GF981">
        <v>198.3</v>
      </c>
      <c r="GG981">
        <v>1054.4000000000001</v>
      </c>
      <c r="GH981">
        <v>552.79999999999995</v>
      </c>
      <c r="GI981">
        <v>522</v>
      </c>
      <c r="GJ981">
        <v>0</v>
      </c>
      <c r="GK981">
        <v>0</v>
      </c>
      <c r="GL981">
        <v>0</v>
      </c>
      <c r="GM981">
        <v>0</v>
      </c>
      <c r="GN981">
        <v>791.40000000000009</v>
      </c>
      <c r="GO981">
        <v>1816.5</v>
      </c>
      <c r="GP981">
        <v>0</v>
      </c>
      <c r="GQ981">
        <v>0</v>
      </c>
      <c r="GR981">
        <v>0</v>
      </c>
      <c r="GS981">
        <v>0</v>
      </c>
      <c r="GT981">
        <v>0</v>
      </c>
      <c r="GU981">
        <v>0</v>
      </c>
      <c r="GV981">
        <v>0</v>
      </c>
      <c r="GW981">
        <v>0</v>
      </c>
      <c r="GX981">
        <v>0</v>
      </c>
      <c r="GY981">
        <v>840.3</v>
      </c>
      <c r="GZ981">
        <v>0</v>
      </c>
      <c r="HA981">
        <v>0</v>
      </c>
      <c r="HB981">
        <v>0</v>
      </c>
      <c r="HC981">
        <v>380.4</v>
      </c>
      <c r="HD981">
        <v>2175.5</v>
      </c>
      <c r="HE981">
        <v>0</v>
      </c>
      <c r="HF981">
        <v>0</v>
      </c>
      <c r="HG981">
        <v>0</v>
      </c>
      <c r="HH981">
        <v>0</v>
      </c>
      <c r="HI981">
        <v>0</v>
      </c>
      <c r="HJ981">
        <v>803.40000000000009</v>
      </c>
      <c r="HK981">
        <v>1270.9000000000001</v>
      </c>
      <c r="HL981">
        <v>835.7</v>
      </c>
      <c r="HM981">
        <v>1162.5999999999999</v>
      </c>
      <c r="HN981">
        <v>0</v>
      </c>
      <c r="HO981">
        <v>0</v>
      </c>
      <c r="HP981">
        <v>0</v>
      </c>
      <c r="HQ981">
        <v>0</v>
      </c>
      <c r="HR981">
        <v>161.19999999999999</v>
      </c>
      <c r="HS981">
        <v>0</v>
      </c>
      <c r="HT981">
        <v>2048.5</v>
      </c>
      <c r="HU981">
        <v>2627.5</v>
      </c>
      <c r="HV981">
        <v>1168.5999999999999</v>
      </c>
      <c r="HW981">
        <v>388</v>
      </c>
      <c r="HX981">
        <v>0</v>
      </c>
      <c r="HY981">
        <v>0</v>
      </c>
      <c r="HZ981">
        <v>0</v>
      </c>
      <c r="IA981">
        <v>0</v>
      </c>
      <c r="IB981">
        <v>0</v>
      </c>
      <c r="IC981">
        <v>594.4</v>
      </c>
      <c r="ID981">
        <v>427.4</v>
      </c>
      <c r="IE981">
        <v>713.3</v>
      </c>
      <c r="IF981">
        <v>626.1</v>
      </c>
      <c r="IG981">
        <v>0</v>
      </c>
      <c r="IH981">
        <v>0</v>
      </c>
      <c r="II981">
        <v>995.7</v>
      </c>
      <c r="IJ981">
        <v>1156.5999999999999</v>
      </c>
      <c r="IK981">
        <v>864.6</v>
      </c>
      <c r="IL981">
        <v>316.5</v>
      </c>
      <c r="IM981">
        <v>101.5</v>
      </c>
      <c r="IN981">
        <v>71.8</v>
      </c>
      <c r="IO981">
        <v>0</v>
      </c>
      <c r="IP981">
        <v>0</v>
      </c>
      <c r="IQ981">
        <v>0</v>
      </c>
      <c r="IR981">
        <v>0</v>
      </c>
      <c r="IS981">
        <v>0</v>
      </c>
      <c r="IT981">
        <v>0</v>
      </c>
      <c r="IU981">
        <v>0</v>
      </c>
      <c r="IV981">
        <v>0</v>
      </c>
      <c r="IW981">
        <v>68</v>
      </c>
      <c r="IX981">
        <v>404.7</v>
      </c>
      <c r="IY981">
        <v>126.6</v>
      </c>
      <c r="IZ981">
        <v>126.6</v>
      </c>
      <c r="JA981">
        <v>503.7</v>
      </c>
      <c r="JB981">
        <v>570.1</v>
      </c>
      <c r="JC981">
        <v>328.3</v>
      </c>
      <c r="JD981">
        <v>0</v>
      </c>
      <c r="JE981">
        <v>0</v>
      </c>
      <c r="JF981">
        <v>0</v>
      </c>
      <c r="JG981">
        <v>0</v>
      </c>
      <c r="JH981">
        <v>287.3</v>
      </c>
      <c r="JI981">
        <v>68.2</v>
      </c>
      <c r="JJ981">
        <v>0</v>
      </c>
      <c r="JK981">
        <v>148.6</v>
      </c>
      <c r="JL981">
        <v>0</v>
      </c>
      <c r="JM981">
        <v>0</v>
      </c>
      <c r="JN981">
        <v>204.5</v>
      </c>
      <c r="JO981">
        <v>292.10000000000002</v>
      </c>
      <c r="JP981">
        <v>670.8</v>
      </c>
      <c r="JQ981">
        <v>745.2</v>
      </c>
      <c r="JR981">
        <v>242.9</v>
      </c>
    </row>
    <row r="982" spans="2:278" ht="18" thickBot="1">
      <c r="B982" s="368" t="s">
        <v>1336</v>
      </c>
      <c r="C982" s="368" t="s">
        <v>1644</v>
      </c>
      <c r="D982" s="368" t="s">
        <v>1475</v>
      </c>
      <c r="E982" s="454">
        <v>22829.8</v>
      </c>
      <c r="F982">
        <v>20193.400000000001</v>
      </c>
      <c r="G982" s="427">
        <v>0</v>
      </c>
      <c r="H982" s="155">
        <v>0</v>
      </c>
      <c r="I982">
        <v>0</v>
      </c>
      <c r="J982">
        <v>0</v>
      </c>
      <c r="K982">
        <v>0</v>
      </c>
      <c r="L982" s="4">
        <v>0</v>
      </c>
      <c r="M982" s="4">
        <v>0</v>
      </c>
      <c r="N982" s="4">
        <v>0</v>
      </c>
      <c r="O982" s="4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1476.4</v>
      </c>
      <c r="X982">
        <v>1482</v>
      </c>
      <c r="Y982">
        <v>457.20000000000005</v>
      </c>
      <c r="Z982">
        <v>0</v>
      </c>
      <c r="AA982">
        <v>0</v>
      </c>
      <c r="AB982">
        <v>0</v>
      </c>
      <c r="AC982">
        <v>0</v>
      </c>
      <c r="AD982">
        <v>3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1828.6</v>
      </c>
      <c r="AK982">
        <v>1800.7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560.70000000000005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  <c r="CF982">
        <v>0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  <c r="CN982">
        <v>0</v>
      </c>
      <c r="CO982">
        <v>0</v>
      </c>
      <c r="CP982">
        <v>3.5</v>
      </c>
      <c r="CQ982">
        <v>0</v>
      </c>
      <c r="CR982">
        <v>528</v>
      </c>
      <c r="CS982">
        <v>581.79999999999995</v>
      </c>
      <c r="CT982">
        <v>555.40000000000009</v>
      </c>
      <c r="CU982">
        <v>737.4</v>
      </c>
      <c r="CV982">
        <v>1039.0999999999999</v>
      </c>
      <c r="CW982">
        <v>1667.3</v>
      </c>
      <c r="CX982">
        <v>877.6</v>
      </c>
      <c r="CY982">
        <v>910.40000000000009</v>
      </c>
      <c r="CZ982">
        <v>0</v>
      </c>
      <c r="DA982">
        <v>0</v>
      </c>
      <c r="DB982">
        <v>0</v>
      </c>
      <c r="DC982">
        <v>0</v>
      </c>
      <c r="DD982">
        <v>0</v>
      </c>
      <c r="DE982">
        <v>0</v>
      </c>
      <c r="DF982">
        <v>0</v>
      </c>
      <c r="DG982">
        <v>0</v>
      </c>
      <c r="DH982">
        <v>0</v>
      </c>
      <c r="DI982">
        <v>0</v>
      </c>
      <c r="DJ982">
        <v>0</v>
      </c>
      <c r="DK982">
        <v>0</v>
      </c>
      <c r="DL982">
        <v>995.5</v>
      </c>
      <c r="DM982">
        <v>712.7</v>
      </c>
      <c r="DN982">
        <v>0</v>
      </c>
      <c r="DO982">
        <v>0</v>
      </c>
      <c r="DP982">
        <v>0</v>
      </c>
      <c r="DQ982">
        <v>0</v>
      </c>
      <c r="DR982">
        <v>0</v>
      </c>
      <c r="DS982">
        <v>0</v>
      </c>
      <c r="DT982">
        <v>0</v>
      </c>
      <c r="DU982">
        <v>0</v>
      </c>
      <c r="DV982">
        <v>0</v>
      </c>
      <c r="DW982">
        <v>0</v>
      </c>
      <c r="DX982">
        <v>0</v>
      </c>
      <c r="DY982">
        <v>0</v>
      </c>
      <c r="DZ982">
        <v>0</v>
      </c>
      <c r="EA982">
        <v>0</v>
      </c>
      <c r="EB982">
        <v>0</v>
      </c>
      <c r="EC982">
        <v>0</v>
      </c>
      <c r="ED982">
        <v>0</v>
      </c>
      <c r="EE982">
        <v>0</v>
      </c>
      <c r="EF982">
        <v>0</v>
      </c>
      <c r="EG982">
        <v>0</v>
      </c>
      <c r="EH982">
        <v>0</v>
      </c>
      <c r="EI982">
        <v>0</v>
      </c>
      <c r="EJ982">
        <v>0</v>
      </c>
      <c r="EK982">
        <v>0</v>
      </c>
      <c r="EL982">
        <v>0</v>
      </c>
      <c r="EM982">
        <v>0</v>
      </c>
      <c r="EN982">
        <v>27.4</v>
      </c>
      <c r="EO982">
        <v>0</v>
      </c>
      <c r="EP982">
        <v>1002.5</v>
      </c>
      <c r="EQ982">
        <v>0</v>
      </c>
      <c r="ER982">
        <v>494</v>
      </c>
      <c r="ES982">
        <v>0</v>
      </c>
      <c r="ET982">
        <v>699.3</v>
      </c>
      <c r="EU982">
        <v>435.4</v>
      </c>
      <c r="EV982">
        <v>0</v>
      </c>
      <c r="EW982">
        <v>0</v>
      </c>
      <c r="EX982">
        <v>0</v>
      </c>
      <c r="EY982">
        <v>0</v>
      </c>
      <c r="EZ982">
        <v>0</v>
      </c>
      <c r="FA982">
        <v>0</v>
      </c>
      <c r="FB982">
        <v>0</v>
      </c>
      <c r="FC982">
        <v>0</v>
      </c>
      <c r="FD982">
        <v>95.6</v>
      </c>
      <c r="FE982">
        <v>1792.1</v>
      </c>
      <c r="FF982">
        <v>1740.1999999999998</v>
      </c>
      <c r="FG982">
        <v>954.9</v>
      </c>
      <c r="FH982">
        <v>1087.8000000000002</v>
      </c>
      <c r="FI982">
        <v>1892.1</v>
      </c>
      <c r="FJ982">
        <v>1222.5</v>
      </c>
      <c r="FK982">
        <v>678.3</v>
      </c>
      <c r="FL982">
        <v>639.1</v>
      </c>
      <c r="FM982">
        <v>520.5</v>
      </c>
      <c r="FN982">
        <v>123.8</v>
      </c>
      <c r="FO982">
        <v>181.6</v>
      </c>
      <c r="FP982">
        <v>1090.5</v>
      </c>
      <c r="FQ982">
        <v>0</v>
      </c>
      <c r="FR982">
        <v>0</v>
      </c>
      <c r="FS982">
        <v>0</v>
      </c>
      <c r="FT982">
        <v>0</v>
      </c>
      <c r="FU982">
        <v>0</v>
      </c>
      <c r="FV982">
        <v>0</v>
      </c>
      <c r="FW982">
        <v>0</v>
      </c>
      <c r="FX982">
        <v>0</v>
      </c>
      <c r="FY982">
        <v>0</v>
      </c>
      <c r="FZ982">
        <v>0</v>
      </c>
      <c r="GA982">
        <v>0</v>
      </c>
      <c r="GB982">
        <v>0</v>
      </c>
      <c r="GC982">
        <v>0</v>
      </c>
      <c r="GD982">
        <v>0</v>
      </c>
      <c r="GE982">
        <v>0</v>
      </c>
      <c r="GF982">
        <v>198.3</v>
      </c>
      <c r="GG982">
        <v>1054.4000000000001</v>
      </c>
      <c r="GH982">
        <v>552.79999999999995</v>
      </c>
      <c r="GI982">
        <v>522</v>
      </c>
      <c r="GJ982">
        <v>0</v>
      </c>
      <c r="GK982">
        <v>0</v>
      </c>
      <c r="GL982">
        <v>0</v>
      </c>
      <c r="GM982">
        <v>0</v>
      </c>
      <c r="GN982">
        <v>791.40000000000009</v>
      </c>
      <c r="GO982">
        <v>1816.5</v>
      </c>
      <c r="GP982">
        <v>0</v>
      </c>
      <c r="GQ982">
        <v>0</v>
      </c>
      <c r="GR982">
        <v>0</v>
      </c>
      <c r="GS982">
        <v>0</v>
      </c>
      <c r="GT982">
        <v>0</v>
      </c>
      <c r="GU982">
        <v>0</v>
      </c>
      <c r="GV982">
        <v>0</v>
      </c>
      <c r="GW982">
        <v>0</v>
      </c>
      <c r="GX982">
        <v>0</v>
      </c>
      <c r="GY982">
        <v>840.3</v>
      </c>
      <c r="GZ982">
        <v>0</v>
      </c>
      <c r="HA982">
        <v>0</v>
      </c>
      <c r="HB982">
        <v>0</v>
      </c>
      <c r="HC982">
        <v>380.4</v>
      </c>
      <c r="HD982">
        <v>2175.5</v>
      </c>
      <c r="HE982">
        <v>0</v>
      </c>
      <c r="HF982">
        <v>0</v>
      </c>
      <c r="HG982">
        <v>0</v>
      </c>
      <c r="HH982">
        <v>0</v>
      </c>
      <c r="HI982">
        <v>0</v>
      </c>
      <c r="HJ982">
        <v>803.40000000000009</v>
      </c>
      <c r="HK982">
        <v>1270.9000000000001</v>
      </c>
      <c r="HL982">
        <v>835.7</v>
      </c>
      <c r="HM982">
        <v>1162.5999999999999</v>
      </c>
      <c r="HN982">
        <v>0</v>
      </c>
      <c r="HO982">
        <v>0</v>
      </c>
      <c r="HP982">
        <v>0</v>
      </c>
      <c r="HQ982">
        <v>0</v>
      </c>
      <c r="HR982">
        <v>161.19999999999999</v>
      </c>
      <c r="HS982">
        <v>0</v>
      </c>
      <c r="HT982">
        <v>2048.5</v>
      </c>
      <c r="HU982">
        <v>2627.5</v>
      </c>
      <c r="HV982">
        <v>1168.5999999999999</v>
      </c>
      <c r="HW982">
        <v>388</v>
      </c>
      <c r="HX982">
        <v>0</v>
      </c>
      <c r="HY982">
        <v>0</v>
      </c>
      <c r="HZ982">
        <v>0</v>
      </c>
      <c r="IA982">
        <v>0</v>
      </c>
      <c r="IB982">
        <v>0</v>
      </c>
      <c r="IC982">
        <v>594.4</v>
      </c>
      <c r="ID982">
        <v>427.4</v>
      </c>
      <c r="IE982">
        <v>713.3</v>
      </c>
      <c r="IF982">
        <v>626.1</v>
      </c>
      <c r="IG982">
        <v>0</v>
      </c>
      <c r="IH982">
        <v>0</v>
      </c>
      <c r="II982">
        <v>995.7</v>
      </c>
      <c r="IJ982">
        <v>1156.5999999999999</v>
      </c>
      <c r="IK982">
        <v>864.6</v>
      </c>
      <c r="IL982">
        <v>316.5</v>
      </c>
      <c r="IM982">
        <v>101.5</v>
      </c>
      <c r="IN982">
        <v>71.8</v>
      </c>
      <c r="IO982">
        <v>0</v>
      </c>
      <c r="IP982">
        <v>0</v>
      </c>
      <c r="IQ982">
        <v>0</v>
      </c>
      <c r="IR982">
        <v>0</v>
      </c>
      <c r="IS982">
        <v>0</v>
      </c>
      <c r="IT982">
        <v>0</v>
      </c>
      <c r="IU982">
        <v>0</v>
      </c>
      <c r="IV982">
        <v>0</v>
      </c>
      <c r="IW982">
        <v>68</v>
      </c>
      <c r="IX982">
        <v>404.7</v>
      </c>
      <c r="IY982">
        <v>126.6</v>
      </c>
      <c r="IZ982">
        <v>126.6</v>
      </c>
      <c r="JA982">
        <v>503.7</v>
      </c>
      <c r="JB982">
        <v>570.1</v>
      </c>
      <c r="JC982">
        <v>328.3</v>
      </c>
      <c r="JD982">
        <v>0</v>
      </c>
      <c r="JE982">
        <v>0</v>
      </c>
      <c r="JF982">
        <v>0</v>
      </c>
      <c r="JG982">
        <v>0</v>
      </c>
      <c r="JH982">
        <v>287.3</v>
      </c>
      <c r="JI982">
        <v>68.2</v>
      </c>
      <c r="JJ982">
        <v>0</v>
      </c>
      <c r="JK982">
        <v>148.6</v>
      </c>
      <c r="JL982">
        <v>0</v>
      </c>
      <c r="JM982">
        <v>0</v>
      </c>
      <c r="JN982">
        <v>204.5</v>
      </c>
      <c r="JO982">
        <v>292.10000000000002</v>
      </c>
      <c r="JP982">
        <v>670.8</v>
      </c>
      <c r="JQ982">
        <v>745.2</v>
      </c>
      <c r="JR982">
        <v>242.9</v>
      </c>
    </row>
    <row r="983" spans="2:278" ht="18" thickBot="1">
      <c r="B983" s="368" t="s">
        <v>1337</v>
      </c>
      <c r="C983" s="413" t="s">
        <v>1645</v>
      </c>
      <c r="D983" s="368" t="s">
        <v>1476</v>
      </c>
      <c r="E983" s="454">
        <v>22829.8</v>
      </c>
      <c r="F983">
        <v>20193.400000000001</v>
      </c>
      <c r="G983" s="427">
        <v>0</v>
      </c>
      <c r="H983" s="155">
        <v>0</v>
      </c>
      <c r="I983">
        <v>0</v>
      </c>
      <c r="J983">
        <v>0</v>
      </c>
      <c r="K983">
        <v>0</v>
      </c>
      <c r="L983" s="4">
        <v>0</v>
      </c>
      <c r="M983" s="4">
        <v>0</v>
      </c>
      <c r="N983" s="4">
        <v>0</v>
      </c>
      <c r="O983" s="4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1476.4</v>
      </c>
      <c r="X983">
        <v>1482</v>
      </c>
      <c r="Y983">
        <v>457.20000000000005</v>
      </c>
      <c r="Z983">
        <v>0</v>
      </c>
      <c r="AA983">
        <v>0</v>
      </c>
      <c r="AB983">
        <v>0</v>
      </c>
      <c r="AC983">
        <v>0</v>
      </c>
      <c r="AD983">
        <v>3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1828.6</v>
      </c>
      <c r="AK983">
        <v>1800.7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560.70000000000005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  <c r="CF983">
        <v>0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  <c r="CN983">
        <v>0</v>
      </c>
      <c r="CO983">
        <v>0</v>
      </c>
      <c r="CP983">
        <v>3.5</v>
      </c>
      <c r="CQ983">
        <v>0</v>
      </c>
      <c r="CR983">
        <v>528</v>
      </c>
      <c r="CS983">
        <v>581.79999999999995</v>
      </c>
      <c r="CT983">
        <v>555.40000000000009</v>
      </c>
      <c r="CU983">
        <v>737.4</v>
      </c>
      <c r="CV983">
        <v>1039.0999999999999</v>
      </c>
      <c r="CW983">
        <v>1667.3</v>
      </c>
      <c r="CX983">
        <v>877.6</v>
      </c>
      <c r="CY983">
        <v>910.40000000000009</v>
      </c>
      <c r="CZ983">
        <v>0</v>
      </c>
      <c r="DA983">
        <v>0</v>
      </c>
      <c r="DB983">
        <v>0</v>
      </c>
      <c r="DC983">
        <v>0</v>
      </c>
      <c r="DD983">
        <v>0</v>
      </c>
      <c r="DE983">
        <v>0</v>
      </c>
      <c r="DF983">
        <v>0</v>
      </c>
      <c r="DG983">
        <v>0</v>
      </c>
      <c r="DH983">
        <v>0</v>
      </c>
      <c r="DI983">
        <v>0</v>
      </c>
      <c r="DJ983">
        <v>0</v>
      </c>
      <c r="DK983">
        <v>0</v>
      </c>
      <c r="DL983">
        <v>995.5</v>
      </c>
      <c r="DM983">
        <v>712.7</v>
      </c>
      <c r="DN983">
        <v>0</v>
      </c>
      <c r="DO983">
        <v>0</v>
      </c>
      <c r="DP983">
        <v>0</v>
      </c>
      <c r="DQ983">
        <v>0</v>
      </c>
      <c r="DR983">
        <v>0</v>
      </c>
      <c r="DS983">
        <v>0</v>
      </c>
      <c r="DT983">
        <v>0</v>
      </c>
      <c r="DU983">
        <v>0</v>
      </c>
      <c r="DV983">
        <v>0</v>
      </c>
      <c r="DW983">
        <v>0</v>
      </c>
      <c r="DX983">
        <v>0</v>
      </c>
      <c r="DY983">
        <v>0</v>
      </c>
      <c r="DZ983">
        <v>0</v>
      </c>
      <c r="EA983">
        <v>0</v>
      </c>
      <c r="EB983">
        <v>0</v>
      </c>
      <c r="EC983">
        <v>0</v>
      </c>
      <c r="ED983">
        <v>0</v>
      </c>
      <c r="EE983">
        <v>0</v>
      </c>
      <c r="EF983">
        <v>0</v>
      </c>
      <c r="EG983">
        <v>0</v>
      </c>
      <c r="EH983">
        <v>0</v>
      </c>
      <c r="EI983">
        <v>0</v>
      </c>
      <c r="EJ983">
        <v>0</v>
      </c>
      <c r="EK983">
        <v>0</v>
      </c>
      <c r="EL983">
        <v>0</v>
      </c>
      <c r="EM983">
        <v>0</v>
      </c>
      <c r="EN983">
        <v>27.4</v>
      </c>
      <c r="EO983">
        <v>0</v>
      </c>
      <c r="EP983">
        <v>1002.5</v>
      </c>
      <c r="EQ983">
        <v>0</v>
      </c>
      <c r="ER983">
        <v>494</v>
      </c>
      <c r="ES983">
        <v>0</v>
      </c>
      <c r="ET983">
        <v>699.3</v>
      </c>
      <c r="EU983">
        <v>435.4</v>
      </c>
      <c r="EV983">
        <v>0</v>
      </c>
      <c r="EW983">
        <v>0</v>
      </c>
      <c r="EX983">
        <v>0</v>
      </c>
      <c r="EY983">
        <v>0</v>
      </c>
      <c r="EZ983">
        <v>0</v>
      </c>
      <c r="FA983">
        <v>0</v>
      </c>
      <c r="FB983">
        <v>0</v>
      </c>
      <c r="FC983">
        <v>0</v>
      </c>
      <c r="FD983">
        <v>95.6</v>
      </c>
      <c r="FE983">
        <v>1792.1</v>
      </c>
      <c r="FF983">
        <v>1740.1999999999998</v>
      </c>
      <c r="FG983">
        <v>954.9</v>
      </c>
      <c r="FH983">
        <v>1087.8000000000002</v>
      </c>
      <c r="FI983">
        <v>1892.1</v>
      </c>
      <c r="FJ983">
        <v>1222.5</v>
      </c>
      <c r="FK983">
        <v>678.3</v>
      </c>
      <c r="FL983">
        <v>639.1</v>
      </c>
      <c r="FM983">
        <v>520.5</v>
      </c>
      <c r="FN983">
        <v>123.8</v>
      </c>
      <c r="FO983">
        <v>181.6</v>
      </c>
      <c r="FP983">
        <v>1090.5</v>
      </c>
      <c r="FQ983">
        <v>0</v>
      </c>
      <c r="FR983">
        <v>0</v>
      </c>
      <c r="FS983">
        <v>0</v>
      </c>
      <c r="FT983">
        <v>0</v>
      </c>
      <c r="FU983">
        <v>0</v>
      </c>
      <c r="FV983">
        <v>0</v>
      </c>
      <c r="FW983">
        <v>0</v>
      </c>
      <c r="FX983">
        <v>0</v>
      </c>
      <c r="FY983">
        <v>0</v>
      </c>
      <c r="FZ983">
        <v>0</v>
      </c>
      <c r="GA983">
        <v>0</v>
      </c>
      <c r="GB983">
        <v>0</v>
      </c>
      <c r="GC983">
        <v>0</v>
      </c>
      <c r="GD983">
        <v>0</v>
      </c>
      <c r="GE983">
        <v>0</v>
      </c>
      <c r="GF983">
        <v>198.3</v>
      </c>
      <c r="GG983">
        <v>1054.4000000000001</v>
      </c>
      <c r="GH983">
        <v>552.79999999999995</v>
      </c>
      <c r="GI983">
        <v>522</v>
      </c>
      <c r="GJ983">
        <v>0</v>
      </c>
      <c r="GK983">
        <v>0</v>
      </c>
      <c r="GL983">
        <v>0</v>
      </c>
      <c r="GM983">
        <v>0</v>
      </c>
      <c r="GN983">
        <v>791.40000000000009</v>
      </c>
      <c r="GO983">
        <v>1816.5</v>
      </c>
      <c r="GP983">
        <v>0</v>
      </c>
      <c r="GQ983">
        <v>0</v>
      </c>
      <c r="GR983">
        <v>0</v>
      </c>
      <c r="GS983">
        <v>0</v>
      </c>
      <c r="GT983">
        <v>0</v>
      </c>
      <c r="GU983">
        <v>0</v>
      </c>
      <c r="GV983">
        <v>0</v>
      </c>
      <c r="GW983">
        <v>0</v>
      </c>
      <c r="GX983">
        <v>0</v>
      </c>
      <c r="GY983">
        <v>840.3</v>
      </c>
      <c r="GZ983">
        <v>0</v>
      </c>
      <c r="HA983">
        <v>0</v>
      </c>
      <c r="HB983">
        <v>0</v>
      </c>
      <c r="HC983">
        <v>380.4</v>
      </c>
      <c r="HD983">
        <v>2175.5</v>
      </c>
      <c r="HE983">
        <v>0</v>
      </c>
      <c r="HF983">
        <v>0</v>
      </c>
      <c r="HG983">
        <v>0</v>
      </c>
      <c r="HH983">
        <v>0</v>
      </c>
      <c r="HI983">
        <v>0</v>
      </c>
      <c r="HJ983">
        <v>803.40000000000009</v>
      </c>
      <c r="HK983">
        <v>1270.9000000000001</v>
      </c>
      <c r="HL983">
        <v>835.7</v>
      </c>
      <c r="HM983">
        <v>1162.5999999999999</v>
      </c>
      <c r="HN983">
        <v>0</v>
      </c>
      <c r="HO983">
        <v>0</v>
      </c>
      <c r="HP983">
        <v>0</v>
      </c>
      <c r="HQ983">
        <v>0</v>
      </c>
      <c r="HR983">
        <v>161.19999999999999</v>
      </c>
      <c r="HS983">
        <v>0</v>
      </c>
      <c r="HT983">
        <v>2048.5</v>
      </c>
      <c r="HU983">
        <v>2627.5</v>
      </c>
      <c r="HV983">
        <v>1168.5999999999999</v>
      </c>
      <c r="HW983">
        <v>388</v>
      </c>
      <c r="HX983">
        <v>0</v>
      </c>
      <c r="HY983">
        <v>0</v>
      </c>
      <c r="HZ983">
        <v>0</v>
      </c>
      <c r="IA983">
        <v>0</v>
      </c>
      <c r="IB983">
        <v>0</v>
      </c>
      <c r="IC983">
        <v>594.4</v>
      </c>
      <c r="ID983">
        <v>427.4</v>
      </c>
      <c r="IE983">
        <v>713.3</v>
      </c>
      <c r="IF983">
        <v>626.1</v>
      </c>
      <c r="IG983">
        <v>0</v>
      </c>
      <c r="IH983">
        <v>0</v>
      </c>
      <c r="II983">
        <v>995.7</v>
      </c>
      <c r="IJ983">
        <v>1156.5999999999999</v>
      </c>
      <c r="IK983">
        <v>864.6</v>
      </c>
      <c r="IL983">
        <v>316.5</v>
      </c>
      <c r="IM983">
        <v>101.5</v>
      </c>
      <c r="IN983">
        <v>71.8</v>
      </c>
      <c r="IO983">
        <v>0</v>
      </c>
      <c r="IP983">
        <v>0</v>
      </c>
      <c r="IQ983">
        <v>0</v>
      </c>
      <c r="IR983">
        <v>0</v>
      </c>
      <c r="IS983">
        <v>0</v>
      </c>
      <c r="IT983">
        <v>0</v>
      </c>
      <c r="IU983">
        <v>0</v>
      </c>
      <c r="IV983">
        <v>0</v>
      </c>
      <c r="IW983">
        <v>68</v>
      </c>
      <c r="IX983">
        <v>404.7</v>
      </c>
      <c r="IY983">
        <v>126.6</v>
      </c>
      <c r="IZ983">
        <v>126.6</v>
      </c>
      <c r="JA983">
        <v>503.7</v>
      </c>
      <c r="JB983">
        <v>570.1</v>
      </c>
      <c r="JC983">
        <v>328.3</v>
      </c>
      <c r="JD983">
        <v>0</v>
      </c>
      <c r="JE983">
        <v>0</v>
      </c>
      <c r="JF983">
        <v>0</v>
      </c>
      <c r="JG983">
        <v>0</v>
      </c>
      <c r="JH983">
        <v>287.3</v>
      </c>
      <c r="JI983">
        <v>68.2</v>
      </c>
      <c r="JJ983">
        <v>0</v>
      </c>
      <c r="JK983">
        <v>148.6</v>
      </c>
      <c r="JL983">
        <v>0</v>
      </c>
      <c r="JM983">
        <v>0</v>
      </c>
      <c r="JN983">
        <v>204.5</v>
      </c>
      <c r="JO983">
        <v>292.10000000000002</v>
      </c>
      <c r="JP983">
        <v>670.8</v>
      </c>
      <c r="JQ983">
        <v>745.2</v>
      </c>
      <c r="JR983">
        <v>242.9</v>
      </c>
    </row>
    <row r="984" spans="2:278" ht="18" thickBot="1">
      <c r="B984" s="368" t="s">
        <v>1338</v>
      </c>
      <c r="C984" s="368" t="s">
        <v>1646</v>
      </c>
      <c r="D984" s="387"/>
      <c r="E984" s="454">
        <v>22829.8</v>
      </c>
      <c r="F984">
        <v>20193.400000000001</v>
      </c>
      <c r="G984" s="427">
        <v>0</v>
      </c>
      <c r="H984" s="155">
        <v>0</v>
      </c>
      <c r="I984">
        <v>0</v>
      </c>
      <c r="J984">
        <v>0</v>
      </c>
      <c r="K984">
        <v>0</v>
      </c>
      <c r="L984" s="4">
        <v>0</v>
      </c>
      <c r="M984" s="4">
        <v>0</v>
      </c>
      <c r="N984" s="4">
        <v>0</v>
      </c>
      <c r="O984" s="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1476.4</v>
      </c>
      <c r="X984">
        <v>1482</v>
      </c>
      <c r="Y984">
        <v>457.20000000000005</v>
      </c>
      <c r="Z984">
        <v>0</v>
      </c>
      <c r="AA984">
        <v>0</v>
      </c>
      <c r="AB984">
        <v>0</v>
      </c>
      <c r="AC984">
        <v>0</v>
      </c>
      <c r="AD984">
        <v>3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1828.6</v>
      </c>
      <c r="AK984">
        <v>1800.7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560.70000000000005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  <c r="CF984">
        <v>0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  <c r="CN984">
        <v>0</v>
      </c>
      <c r="CO984">
        <v>0</v>
      </c>
      <c r="CP984">
        <v>3.5</v>
      </c>
      <c r="CQ984">
        <v>0</v>
      </c>
      <c r="CR984">
        <v>528</v>
      </c>
      <c r="CS984">
        <v>581.79999999999995</v>
      </c>
      <c r="CT984">
        <v>555.40000000000009</v>
      </c>
      <c r="CU984">
        <v>737.4</v>
      </c>
      <c r="CV984">
        <v>1039.0999999999999</v>
      </c>
      <c r="CW984">
        <v>1667.3</v>
      </c>
      <c r="CX984">
        <v>877.6</v>
      </c>
      <c r="CY984">
        <v>910.40000000000009</v>
      </c>
      <c r="CZ984">
        <v>0</v>
      </c>
      <c r="DA984">
        <v>0</v>
      </c>
      <c r="DB984">
        <v>0</v>
      </c>
      <c r="DC984">
        <v>0</v>
      </c>
      <c r="DD984">
        <v>0</v>
      </c>
      <c r="DE984">
        <v>0</v>
      </c>
      <c r="DF984">
        <v>0</v>
      </c>
      <c r="DG984">
        <v>0</v>
      </c>
      <c r="DH984">
        <v>0</v>
      </c>
      <c r="DI984">
        <v>0</v>
      </c>
      <c r="DJ984">
        <v>0</v>
      </c>
      <c r="DK984">
        <v>0</v>
      </c>
      <c r="DL984">
        <v>995.5</v>
      </c>
      <c r="DM984">
        <v>712.7</v>
      </c>
      <c r="DN984">
        <v>0</v>
      </c>
      <c r="DO984">
        <v>0</v>
      </c>
      <c r="DP984">
        <v>0</v>
      </c>
      <c r="DQ984">
        <v>0</v>
      </c>
      <c r="DR984">
        <v>0</v>
      </c>
      <c r="DS984">
        <v>0</v>
      </c>
      <c r="DT984">
        <v>0</v>
      </c>
      <c r="DU984">
        <v>0</v>
      </c>
      <c r="DV984">
        <v>0</v>
      </c>
      <c r="DW984">
        <v>0</v>
      </c>
      <c r="DX984">
        <v>0</v>
      </c>
      <c r="DY984">
        <v>0</v>
      </c>
      <c r="DZ984">
        <v>0</v>
      </c>
      <c r="EA984">
        <v>0</v>
      </c>
      <c r="EB984">
        <v>0</v>
      </c>
      <c r="EC984">
        <v>0</v>
      </c>
      <c r="ED984">
        <v>0</v>
      </c>
      <c r="EE984">
        <v>0</v>
      </c>
      <c r="EF984">
        <v>0</v>
      </c>
      <c r="EG984">
        <v>0</v>
      </c>
      <c r="EH984">
        <v>0</v>
      </c>
      <c r="EI984">
        <v>0</v>
      </c>
      <c r="EJ984">
        <v>0</v>
      </c>
      <c r="EK984">
        <v>0</v>
      </c>
      <c r="EL984">
        <v>0</v>
      </c>
      <c r="EM984">
        <v>0</v>
      </c>
      <c r="EN984">
        <v>27.4</v>
      </c>
      <c r="EO984">
        <v>0</v>
      </c>
      <c r="EP984">
        <v>1002.5</v>
      </c>
      <c r="EQ984">
        <v>0</v>
      </c>
      <c r="ER984">
        <v>494</v>
      </c>
      <c r="ES984">
        <v>0</v>
      </c>
      <c r="ET984">
        <v>699.3</v>
      </c>
      <c r="EU984">
        <v>435.4</v>
      </c>
      <c r="EV984">
        <v>0</v>
      </c>
      <c r="EW984">
        <v>0</v>
      </c>
      <c r="EX984">
        <v>0</v>
      </c>
      <c r="EY984">
        <v>0</v>
      </c>
      <c r="EZ984">
        <v>0</v>
      </c>
      <c r="FA984">
        <v>0</v>
      </c>
      <c r="FB984">
        <v>0</v>
      </c>
      <c r="FC984">
        <v>0</v>
      </c>
      <c r="FD984">
        <v>95.6</v>
      </c>
      <c r="FE984">
        <v>1792.1</v>
      </c>
      <c r="FF984">
        <v>1740.1999999999998</v>
      </c>
      <c r="FG984">
        <v>954.9</v>
      </c>
      <c r="FH984">
        <v>1087.8000000000002</v>
      </c>
      <c r="FI984">
        <v>1892.1</v>
      </c>
      <c r="FJ984">
        <v>1222.5</v>
      </c>
      <c r="FK984">
        <v>678.3</v>
      </c>
      <c r="FL984">
        <v>639.1</v>
      </c>
      <c r="FM984">
        <v>520.5</v>
      </c>
      <c r="FN984">
        <v>123.8</v>
      </c>
      <c r="FO984">
        <v>181.6</v>
      </c>
      <c r="FP984">
        <v>1090.5</v>
      </c>
      <c r="FQ984">
        <v>0</v>
      </c>
      <c r="FR984">
        <v>0</v>
      </c>
      <c r="FS984">
        <v>0</v>
      </c>
      <c r="FT984">
        <v>0</v>
      </c>
      <c r="FU984">
        <v>0</v>
      </c>
      <c r="FV984">
        <v>0</v>
      </c>
      <c r="FW984">
        <v>0</v>
      </c>
      <c r="FX984">
        <v>0</v>
      </c>
      <c r="FY984">
        <v>0</v>
      </c>
      <c r="FZ984">
        <v>0</v>
      </c>
      <c r="GA984">
        <v>0</v>
      </c>
      <c r="GB984">
        <v>0</v>
      </c>
      <c r="GC984">
        <v>0</v>
      </c>
      <c r="GD984">
        <v>0</v>
      </c>
      <c r="GE984">
        <v>0</v>
      </c>
      <c r="GF984">
        <v>198.3</v>
      </c>
      <c r="GG984">
        <v>1054.4000000000001</v>
      </c>
      <c r="GH984">
        <v>552.79999999999995</v>
      </c>
      <c r="GI984">
        <v>522</v>
      </c>
      <c r="GJ984">
        <v>0</v>
      </c>
      <c r="GK984">
        <v>0</v>
      </c>
      <c r="GL984">
        <v>0</v>
      </c>
      <c r="GM984">
        <v>0</v>
      </c>
      <c r="GN984">
        <v>791.40000000000009</v>
      </c>
      <c r="GO984">
        <v>1816.5</v>
      </c>
      <c r="GP984">
        <v>0</v>
      </c>
      <c r="GQ984">
        <v>0</v>
      </c>
      <c r="GR984">
        <v>0</v>
      </c>
      <c r="GS984">
        <v>0</v>
      </c>
      <c r="GT984">
        <v>0</v>
      </c>
      <c r="GU984">
        <v>0</v>
      </c>
      <c r="GV984">
        <v>0</v>
      </c>
      <c r="GW984">
        <v>0</v>
      </c>
      <c r="GX984">
        <v>0</v>
      </c>
      <c r="GY984">
        <v>840.3</v>
      </c>
      <c r="GZ984">
        <v>0</v>
      </c>
      <c r="HA984">
        <v>0</v>
      </c>
      <c r="HB984">
        <v>0</v>
      </c>
      <c r="HC984">
        <v>380.4</v>
      </c>
      <c r="HD984">
        <v>2175.5</v>
      </c>
      <c r="HE984">
        <v>0</v>
      </c>
      <c r="HF984">
        <v>0</v>
      </c>
      <c r="HG984">
        <v>0</v>
      </c>
      <c r="HH984">
        <v>0</v>
      </c>
      <c r="HI984">
        <v>0</v>
      </c>
      <c r="HJ984">
        <v>803.40000000000009</v>
      </c>
      <c r="HK984">
        <v>1270.9000000000001</v>
      </c>
      <c r="HL984">
        <v>835.7</v>
      </c>
      <c r="HM984">
        <v>1162.5999999999999</v>
      </c>
      <c r="HN984">
        <v>0</v>
      </c>
      <c r="HO984">
        <v>0</v>
      </c>
      <c r="HP984">
        <v>0</v>
      </c>
      <c r="HQ984">
        <v>0</v>
      </c>
      <c r="HR984">
        <v>161.19999999999999</v>
      </c>
      <c r="HS984">
        <v>0</v>
      </c>
      <c r="HT984">
        <v>2048.5</v>
      </c>
      <c r="HU984">
        <v>2627.5</v>
      </c>
      <c r="HV984">
        <v>1168.5999999999999</v>
      </c>
      <c r="HW984">
        <v>388</v>
      </c>
      <c r="HX984">
        <v>0</v>
      </c>
      <c r="HY984">
        <v>0</v>
      </c>
      <c r="HZ984">
        <v>0</v>
      </c>
      <c r="IA984">
        <v>0</v>
      </c>
      <c r="IB984">
        <v>0</v>
      </c>
      <c r="IC984">
        <v>594.4</v>
      </c>
      <c r="ID984">
        <v>427.4</v>
      </c>
      <c r="IE984">
        <v>713.3</v>
      </c>
      <c r="IF984">
        <v>626.1</v>
      </c>
      <c r="IG984">
        <v>0</v>
      </c>
      <c r="IH984">
        <v>0</v>
      </c>
      <c r="II984">
        <v>995.7</v>
      </c>
      <c r="IJ984">
        <v>1156.5999999999999</v>
      </c>
      <c r="IK984">
        <v>864.6</v>
      </c>
      <c r="IL984">
        <v>316.5</v>
      </c>
      <c r="IM984">
        <v>101.5</v>
      </c>
      <c r="IN984">
        <v>71.8</v>
      </c>
      <c r="IO984">
        <v>0</v>
      </c>
      <c r="IP984">
        <v>0</v>
      </c>
      <c r="IQ984">
        <v>0</v>
      </c>
      <c r="IR984">
        <v>0</v>
      </c>
      <c r="IS984">
        <v>0</v>
      </c>
      <c r="IT984">
        <v>0</v>
      </c>
      <c r="IU984">
        <v>0</v>
      </c>
      <c r="IV984">
        <v>0</v>
      </c>
      <c r="IW984">
        <v>68</v>
      </c>
      <c r="IX984">
        <v>404.7</v>
      </c>
      <c r="IY984">
        <v>126.6</v>
      </c>
      <c r="IZ984">
        <v>126.6</v>
      </c>
      <c r="JA984">
        <v>503.7</v>
      </c>
      <c r="JB984">
        <v>570.1</v>
      </c>
      <c r="JC984">
        <v>328.3</v>
      </c>
      <c r="JD984">
        <v>0</v>
      </c>
      <c r="JE984">
        <v>0</v>
      </c>
      <c r="JF984">
        <v>0</v>
      </c>
      <c r="JG984">
        <v>0</v>
      </c>
      <c r="JH984">
        <v>287.3</v>
      </c>
      <c r="JI984">
        <v>68.2</v>
      </c>
      <c r="JJ984">
        <v>0</v>
      </c>
      <c r="JK984">
        <v>148.6</v>
      </c>
      <c r="JL984">
        <v>0</v>
      </c>
      <c r="JM984">
        <v>0</v>
      </c>
      <c r="JN984">
        <v>204.5</v>
      </c>
      <c r="JO984">
        <v>292.10000000000002</v>
      </c>
      <c r="JP984">
        <v>670.8</v>
      </c>
      <c r="JQ984">
        <v>745.2</v>
      </c>
      <c r="JR984">
        <v>242.9</v>
      </c>
    </row>
    <row r="985" spans="2:278" ht="18" thickBot="1">
      <c r="B985" s="368" t="s">
        <v>1339</v>
      </c>
      <c r="C985" s="368" t="s">
        <v>1647</v>
      </c>
      <c r="D985" s="387"/>
      <c r="E985" s="454">
        <v>22829.8</v>
      </c>
      <c r="F985">
        <v>20193.400000000001</v>
      </c>
      <c r="G985" s="427">
        <v>0</v>
      </c>
      <c r="H985" s="155">
        <v>0</v>
      </c>
      <c r="I985">
        <v>0</v>
      </c>
      <c r="J985">
        <v>0</v>
      </c>
      <c r="K985">
        <v>0</v>
      </c>
      <c r="L985" s="4">
        <v>0</v>
      </c>
      <c r="M985" s="4">
        <v>0</v>
      </c>
      <c r="N985" s="4">
        <v>0</v>
      </c>
      <c r="O985" s="4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1476.4</v>
      </c>
      <c r="X985">
        <v>1482</v>
      </c>
      <c r="Y985">
        <v>457.20000000000005</v>
      </c>
      <c r="Z985">
        <v>0</v>
      </c>
      <c r="AA985">
        <v>0</v>
      </c>
      <c r="AB985">
        <v>0</v>
      </c>
      <c r="AC985">
        <v>0</v>
      </c>
      <c r="AD985">
        <v>3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1828.6</v>
      </c>
      <c r="AK985">
        <v>1800.7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560.70000000000005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  <c r="CF985">
        <v>0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  <c r="CN985">
        <v>0</v>
      </c>
      <c r="CO985">
        <v>0</v>
      </c>
      <c r="CP985">
        <v>3.5</v>
      </c>
      <c r="CQ985">
        <v>0</v>
      </c>
      <c r="CR985">
        <v>528</v>
      </c>
      <c r="CS985">
        <v>581.79999999999995</v>
      </c>
      <c r="CT985">
        <v>555.40000000000009</v>
      </c>
      <c r="CU985">
        <v>737.4</v>
      </c>
      <c r="CV985">
        <v>1039.0999999999999</v>
      </c>
      <c r="CW985">
        <v>1667.3</v>
      </c>
      <c r="CX985">
        <v>877.6</v>
      </c>
      <c r="CY985">
        <v>910.40000000000009</v>
      </c>
      <c r="CZ985">
        <v>0</v>
      </c>
      <c r="DA985">
        <v>0</v>
      </c>
      <c r="DB985">
        <v>0</v>
      </c>
      <c r="DC985">
        <v>0</v>
      </c>
      <c r="DD985">
        <v>0</v>
      </c>
      <c r="DE985">
        <v>0</v>
      </c>
      <c r="DF985">
        <v>0</v>
      </c>
      <c r="DG985">
        <v>0</v>
      </c>
      <c r="DH985">
        <v>0</v>
      </c>
      <c r="DI985">
        <v>0</v>
      </c>
      <c r="DJ985">
        <v>0</v>
      </c>
      <c r="DK985">
        <v>0</v>
      </c>
      <c r="DL985">
        <v>995.5</v>
      </c>
      <c r="DM985">
        <v>712.7</v>
      </c>
      <c r="DN985">
        <v>0</v>
      </c>
      <c r="DO985">
        <v>0</v>
      </c>
      <c r="DP985">
        <v>0</v>
      </c>
      <c r="DQ985">
        <v>0</v>
      </c>
      <c r="DR985">
        <v>0</v>
      </c>
      <c r="DS985">
        <v>0</v>
      </c>
      <c r="DT985">
        <v>0</v>
      </c>
      <c r="DU985">
        <v>0</v>
      </c>
      <c r="DV985">
        <v>0</v>
      </c>
      <c r="DW985">
        <v>0</v>
      </c>
      <c r="DX985">
        <v>0</v>
      </c>
      <c r="DY985">
        <v>0</v>
      </c>
      <c r="DZ985">
        <v>0</v>
      </c>
      <c r="EA985">
        <v>0</v>
      </c>
      <c r="EB985">
        <v>0</v>
      </c>
      <c r="EC985">
        <v>0</v>
      </c>
      <c r="ED985">
        <v>0</v>
      </c>
      <c r="EE985">
        <v>0</v>
      </c>
      <c r="EF985">
        <v>0</v>
      </c>
      <c r="EG985">
        <v>0</v>
      </c>
      <c r="EH985">
        <v>0</v>
      </c>
      <c r="EI985">
        <v>0</v>
      </c>
      <c r="EJ985">
        <v>0</v>
      </c>
      <c r="EK985">
        <v>0</v>
      </c>
      <c r="EL985">
        <v>0</v>
      </c>
      <c r="EM985">
        <v>0</v>
      </c>
      <c r="EN985">
        <v>27.4</v>
      </c>
      <c r="EO985">
        <v>0</v>
      </c>
      <c r="EP985">
        <v>1002.5</v>
      </c>
      <c r="EQ985">
        <v>0</v>
      </c>
      <c r="ER985">
        <v>494</v>
      </c>
      <c r="ES985">
        <v>0</v>
      </c>
      <c r="ET985">
        <v>699.3</v>
      </c>
      <c r="EU985">
        <v>435.4</v>
      </c>
      <c r="EV985">
        <v>0</v>
      </c>
      <c r="EW985">
        <v>0</v>
      </c>
      <c r="EX985">
        <v>0</v>
      </c>
      <c r="EY985">
        <v>0</v>
      </c>
      <c r="EZ985">
        <v>0</v>
      </c>
      <c r="FA985">
        <v>0</v>
      </c>
      <c r="FB985">
        <v>0</v>
      </c>
      <c r="FC985">
        <v>0</v>
      </c>
      <c r="FD985">
        <v>95.6</v>
      </c>
      <c r="FE985">
        <v>1792.1</v>
      </c>
      <c r="FF985">
        <v>1740.1999999999998</v>
      </c>
      <c r="FG985">
        <v>954.9</v>
      </c>
      <c r="FH985">
        <v>1087.8000000000002</v>
      </c>
      <c r="FI985">
        <v>1892.1</v>
      </c>
      <c r="FJ985">
        <v>1222.5</v>
      </c>
      <c r="FK985">
        <v>678.3</v>
      </c>
      <c r="FL985">
        <v>639.1</v>
      </c>
      <c r="FM985">
        <v>520.5</v>
      </c>
      <c r="FN985">
        <v>123.8</v>
      </c>
      <c r="FO985">
        <v>181.6</v>
      </c>
      <c r="FP985">
        <v>1090.5</v>
      </c>
      <c r="FQ985">
        <v>0</v>
      </c>
      <c r="FR985">
        <v>0</v>
      </c>
      <c r="FS985">
        <v>0</v>
      </c>
      <c r="FT985">
        <v>0</v>
      </c>
      <c r="FU985">
        <v>0</v>
      </c>
      <c r="FV985">
        <v>0</v>
      </c>
      <c r="FW985">
        <v>0</v>
      </c>
      <c r="FX985">
        <v>0</v>
      </c>
      <c r="FY985">
        <v>0</v>
      </c>
      <c r="FZ985">
        <v>0</v>
      </c>
      <c r="GA985">
        <v>0</v>
      </c>
      <c r="GB985">
        <v>0</v>
      </c>
      <c r="GC985">
        <v>0</v>
      </c>
      <c r="GD985">
        <v>0</v>
      </c>
      <c r="GE985">
        <v>0</v>
      </c>
      <c r="GF985">
        <v>198.3</v>
      </c>
      <c r="GG985">
        <v>1054.4000000000001</v>
      </c>
      <c r="GH985">
        <v>552.79999999999995</v>
      </c>
      <c r="GI985">
        <v>522</v>
      </c>
      <c r="GJ985">
        <v>0</v>
      </c>
      <c r="GK985">
        <v>0</v>
      </c>
      <c r="GL985">
        <v>0</v>
      </c>
      <c r="GM985">
        <v>0</v>
      </c>
      <c r="GN985">
        <v>791.40000000000009</v>
      </c>
      <c r="GO985">
        <v>1816.5</v>
      </c>
      <c r="GP985">
        <v>0</v>
      </c>
      <c r="GQ985">
        <v>0</v>
      </c>
      <c r="GR985">
        <v>0</v>
      </c>
      <c r="GS985">
        <v>0</v>
      </c>
      <c r="GT985">
        <v>0</v>
      </c>
      <c r="GU985">
        <v>0</v>
      </c>
      <c r="GV985">
        <v>0</v>
      </c>
      <c r="GW985">
        <v>0</v>
      </c>
      <c r="GX985">
        <v>0</v>
      </c>
      <c r="GY985">
        <v>840.3</v>
      </c>
      <c r="GZ985">
        <v>0</v>
      </c>
      <c r="HA985">
        <v>0</v>
      </c>
      <c r="HB985">
        <v>0</v>
      </c>
      <c r="HC985">
        <v>380.4</v>
      </c>
      <c r="HD985">
        <v>2175.5</v>
      </c>
      <c r="HE985">
        <v>0</v>
      </c>
      <c r="HF985">
        <v>0</v>
      </c>
      <c r="HG985">
        <v>0</v>
      </c>
      <c r="HH985">
        <v>0</v>
      </c>
      <c r="HI985">
        <v>0</v>
      </c>
      <c r="HJ985">
        <v>803.40000000000009</v>
      </c>
      <c r="HK985">
        <v>1270.9000000000001</v>
      </c>
      <c r="HL985">
        <v>835.7</v>
      </c>
      <c r="HM985">
        <v>1162.5999999999999</v>
      </c>
      <c r="HN985">
        <v>0</v>
      </c>
      <c r="HO985">
        <v>0</v>
      </c>
      <c r="HP985">
        <v>0</v>
      </c>
      <c r="HQ985">
        <v>0</v>
      </c>
      <c r="HR985">
        <v>161.19999999999999</v>
      </c>
      <c r="HS985">
        <v>0</v>
      </c>
      <c r="HT985">
        <v>2048.5</v>
      </c>
      <c r="HU985">
        <v>2627.5</v>
      </c>
      <c r="HV985">
        <v>1168.5999999999999</v>
      </c>
      <c r="HW985">
        <v>388</v>
      </c>
      <c r="HX985">
        <v>0</v>
      </c>
      <c r="HY985">
        <v>0</v>
      </c>
      <c r="HZ985">
        <v>0</v>
      </c>
      <c r="IA985">
        <v>0</v>
      </c>
      <c r="IB985">
        <v>0</v>
      </c>
      <c r="IC985">
        <v>594.4</v>
      </c>
      <c r="ID985">
        <v>427.4</v>
      </c>
      <c r="IE985">
        <v>713.3</v>
      </c>
      <c r="IF985">
        <v>626.1</v>
      </c>
      <c r="IG985">
        <v>0</v>
      </c>
      <c r="IH985">
        <v>0</v>
      </c>
      <c r="II985">
        <v>995.7</v>
      </c>
      <c r="IJ985">
        <v>1156.5999999999999</v>
      </c>
      <c r="IK985">
        <v>864.6</v>
      </c>
      <c r="IL985">
        <v>316.5</v>
      </c>
      <c r="IM985">
        <v>101.5</v>
      </c>
      <c r="IN985">
        <v>71.8</v>
      </c>
      <c r="IO985">
        <v>0</v>
      </c>
      <c r="IP985">
        <v>0</v>
      </c>
      <c r="IQ985">
        <v>0</v>
      </c>
      <c r="IR985">
        <v>0</v>
      </c>
      <c r="IS985">
        <v>0</v>
      </c>
      <c r="IT985">
        <v>0</v>
      </c>
      <c r="IU985">
        <v>0</v>
      </c>
      <c r="IV985">
        <v>0</v>
      </c>
      <c r="IW985">
        <v>68</v>
      </c>
      <c r="IX985">
        <v>404.7</v>
      </c>
      <c r="IY985">
        <v>126.6</v>
      </c>
      <c r="IZ985">
        <v>126.6</v>
      </c>
      <c r="JA985">
        <v>503.7</v>
      </c>
      <c r="JB985">
        <v>570.1</v>
      </c>
      <c r="JC985">
        <v>328.3</v>
      </c>
      <c r="JD985">
        <v>0</v>
      </c>
      <c r="JE985">
        <v>0</v>
      </c>
      <c r="JF985">
        <v>0</v>
      </c>
      <c r="JG985">
        <v>0</v>
      </c>
      <c r="JH985">
        <v>287.3</v>
      </c>
      <c r="JI985">
        <v>68.2</v>
      </c>
      <c r="JJ985">
        <v>0</v>
      </c>
      <c r="JK985">
        <v>148.6</v>
      </c>
      <c r="JL985">
        <v>0</v>
      </c>
      <c r="JM985">
        <v>0</v>
      </c>
      <c r="JN985">
        <v>204.5</v>
      </c>
      <c r="JO985">
        <v>292.10000000000002</v>
      </c>
      <c r="JP985">
        <v>670.8</v>
      </c>
      <c r="JQ985">
        <v>745.2</v>
      </c>
      <c r="JR985">
        <v>242.9</v>
      </c>
    </row>
    <row r="986" spans="2:278" ht="18" thickBot="1">
      <c r="B986" s="368" t="s">
        <v>1340</v>
      </c>
      <c r="C986" s="368" t="s">
        <v>1648</v>
      </c>
      <c r="D986" s="387"/>
      <c r="E986" s="454">
        <v>22829.8</v>
      </c>
      <c r="F986">
        <v>20193.400000000001</v>
      </c>
      <c r="G986" s="427">
        <v>0</v>
      </c>
      <c r="H986" s="155">
        <v>0</v>
      </c>
      <c r="I986">
        <v>0</v>
      </c>
      <c r="J986">
        <v>0</v>
      </c>
      <c r="K986">
        <v>0</v>
      </c>
      <c r="L986" s="4">
        <v>0</v>
      </c>
      <c r="M986" s="4">
        <v>0</v>
      </c>
      <c r="N986" s="4">
        <v>0</v>
      </c>
      <c r="O986" s="4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1476.4</v>
      </c>
      <c r="X986">
        <v>1482</v>
      </c>
      <c r="Y986">
        <v>457.20000000000005</v>
      </c>
      <c r="Z986">
        <v>0</v>
      </c>
      <c r="AA986">
        <v>0</v>
      </c>
      <c r="AB986">
        <v>0</v>
      </c>
      <c r="AC986">
        <v>0</v>
      </c>
      <c r="AD986">
        <v>3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1828.6</v>
      </c>
      <c r="AK986">
        <v>1800.7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560.70000000000005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0</v>
      </c>
      <c r="BU986">
        <v>0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  <c r="CF986">
        <v>0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  <c r="CN986">
        <v>0</v>
      </c>
      <c r="CO986">
        <v>0</v>
      </c>
      <c r="CP986">
        <v>3.5</v>
      </c>
      <c r="CQ986">
        <v>0</v>
      </c>
      <c r="CR986">
        <v>528</v>
      </c>
      <c r="CS986">
        <v>581.79999999999995</v>
      </c>
      <c r="CT986">
        <v>555.40000000000009</v>
      </c>
      <c r="CU986">
        <v>737.4</v>
      </c>
      <c r="CV986">
        <v>1039.0999999999999</v>
      </c>
      <c r="CW986">
        <v>1667.3</v>
      </c>
      <c r="CX986">
        <v>877.6</v>
      </c>
      <c r="CY986">
        <v>910.40000000000009</v>
      </c>
      <c r="CZ986">
        <v>0</v>
      </c>
      <c r="DA986">
        <v>0</v>
      </c>
      <c r="DB986">
        <v>0</v>
      </c>
      <c r="DC986">
        <v>0</v>
      </c>
      <c r="DD986">
        <v>0</v>
      </c>
      <c r="DE986">
        <v>0</v>
      </c>
      <c r="DF986">
        <v>0</v>
      </c>
      <c r="DG986">
        <v>0</v>
      </c>
      <c r="DH986">
        <v>0</v>
      </c>
      <c r="DI986">
        <v>0</v>
      </c>
      <c r="DJ986">
        <v>0</v>
      </c>
      <c r="DK986">
        <v>0</v>
      </c>
      <c r="DL986">
        <v>995.5</v>
      </c>
      <c r="DM986">
        <v>712.7</v>
      </c>
      <c r="DN986">
        <v>0</v>
      </c>
      <c r="DO986">
        <v>0</v>
      </c>
      <c r="DP986">
        <v>0</v>
      </c>
      <c r="DQ986">
        <v>0</v>
      </c>
      <c r="DR986">
        <v>0</v>
      </c>
      <c r="DS986">
        <v>0</v>
      </c>
      <c r="DT986">
        <v>0</v>
      </c>
      <c r="DU986">
        <v>0</v>
      </c>
      <c r="DV986">
        <v>0</v>
      </c>
      <c r="DW986">
        <v>0</v>
      </c>
      <c r="DX986">
        <v>0</v>
      </c>
      <c r="DY986">
        <v>0</v>
      </c>
      <c r="DZ986">
        <v>0</v>
      </c>
      <c r="EA986">
        <v>0</v>
      </c>
      <c r="EB986">
        <v>0</v>
      </c>
      <c r="EC986">
        <v>0</v>
      </c>
      <c r="ED986">
        <v>0</v>
      </c>
      <c r="EE986">
        <v>0</v>
      </c>
      <c r="EF986">
        <v>0</v>
      </c>
      <c r="EG986">
        <v>0</v>
      </c>
      <c r="EH986">
        <v>0</v>
      </c>
      <c r="EI986">
        <v>0</v>
      </c>
      <c r="EJ986">
        <v>0</v>
      </c>
      <c r="EK986">
        <v>0</v>
      </c>
      <c r="EL986">
        <v>0</v>
      </c>
      <c r="EM986">
        <v>0</v>
      </c>
      <c r="EN986">
        <v>27.4</v>
      </c>
      <c r="EO986">
        <v>0</v>
      </c>
      <c r="EP986">
        <v>1002.5</v>
      </c>
      <c r="EQ986">
        <v>0</v>
      </c>
      <c r="ER986">
        <v>494</v>
      </c>
      <c r="ES986">
        <v>0</v>
      </c>
      <c r="ET986">
        <v>699.3</v>
      </c>
      <c r="EU986">
        <v>435.4</v>
      </c>
      <c r="EV986">
        <v>0</v>
      </c>
      <c r="EW986">
        <v>0</v>
      </c>
      <c r="EX986">
        <v>0</v>
      </c>
      <c r="EY986">
        <v>0</v>
      </c>
      <c r="EZ986">
        <v>0</v>
      </c>
      <c r="FA986">
        <v>0</v>
      </c>
      <c r="FB986">
        <v>0</v>
      </c>
      <c r="FC986">
        <v>0</v>
      </c>
      <c r="FD986">
        <v>95.6</v>
      </c>
      <c r="FE986">
        <v>1792.1</v>
      </c>
      <c r="FF986">
        <v>1740.1999999999998</v>
      </c>
      <c r="FG986">
        <v>954.9</v>
      </c>
      <c r="FH986">
        <v>1087.8000000000002</v>
      </c>
      <c r="FI986">
        <v>1892.1</v>
      </c>
      <c r="FJ986">
        <v>1222.5</v>
      </c>
      <c r="FK986">
        <v>678.3</v>
      </c>
      <c r="FL986">
        <v>639.1</v>
      </c>
      <c r="FM986">
        <v>520.5</v>
      </c>
      <c r="FN986">
        <v>123.8</v>
      </c>
      <c r="FO986">
        <v>181.6</v>
      </c>
      <c r="FP986">
        <v>1090.5</v>
      </c>
      <c r="FQ986">
        <v>0</v>
      </c>
      <c r="FR986">
        <v>0</v>
      </c>
      <c r="FS986">
        <v>0</v>
      </c>
      <c r="FT986">
        <v>0</v>
      </c>
      <c r="FU986">
        <v>0</v>
      </c>
      <c r="FV986">
        <v>0</v>
      </c>
      <c r="FW986">
        <v>0</v>
      </c>
      <c r="FX986">
        <v>0</v>
      </c>
      <c r="FY986">
        <v>0</v>
      </c>
      <c r="FZ986">
        <v>0</v>
      </c>
      <c r="GA986">
        <v>0</v>
      </c>
      <c r="GB986">
        <v>0</v>
      </c>
      <c r="GC986">
        <v>0</v>
      </c>
      <c r="GD986">
        <v>0</v>
      </c>
      <c r="GE986">
        <v>0</v>
      </c>
      <c r="GF986">
        <v>198.3</v>
      </c>
      <c r="GG986">
        <v>1054.4000000000001</v>
      </c>
      <c r="GH986">
        <v>552.79999999999995</v>
      </c>
      <c r="GI986">
        <v>522</v>
      </c>
      <c r="GJ986">
        <v>0</v>
      </c>
      <c r="GK986">
        <v>0</v>
      </c>
      <c r="GL986">
        <v>0</v>
      </c>
      <c r="GM986">
        <v>0</v>
      </c>
      <c r="GN986">
        <v>791.40000000000009</v>
      </c>
      <c r="GO986">
        <v>1816.5</v>
      </c>
      <c r="GP986">
        <v>0</v>
      </c>
      <c r="GQ986">
        <v>0</v>
      </c>
      <c r="GR986">
        <v>0</v>
      </c>
      <c r="GS986">
        <v>0</v>
      </c>
      <c r="GT986">
        <v>0</v>
      </c>
      <c r="GU986">
        <v>0</v>
      </c>
      <c r="GV986">
        <v>0</v>
      </c>
      <c r="GW986">
        <v>0</v>
      </c>
      <c r="GX986">
        <v>0</v>
      </c>
      <c r="GY986">
        <v>840.3</v>
      </c>
      <c r="GZ986">
        <v>0</v>
      </c>
      <c r="HA986">
        <v>0</v>
      </c>
      <c r="HB986">
        <v>0</v>
      </c>
      <c r="HC986">
        <v>380.4</v>
      </c>
      <c r="HD986">
        <v>2175.5</v>
      </c>
      <c r="HE986">
        <v>0</v>
      </c>
      <c r="HF986">
        <v>0</v>
      </c>
      <c r="HG986">
        <v>0</v>
      </c>
      <c r="HH986">
        <v>0</v>
      </c>
      <c r="HI986">
        <v>0</v>
      </c>
      <c r="HJ986">
        <v>803.40000000000009</v>
      </c>
      <c r="HK986">
        <v>1270.9000000000001</v>
      </c>
      <c r="HL986">
        <v>835.7</v>
      </c>
      <c r="HM986">
        <v>1162.5999999999999</v>
      </c>
      <c r="HN986">
        <v>0</v>
      </c>
      <c r="HO986">
        <v>0</v>
      </c>
      <c r="HP986">
        <v>0</v>
      </c>
      <c r="HQ986">
        <v>0</v>
      </c>
      <c r="HR986">
        <v>161.19999999999999</v>
      </c>
      <c r="HS986">
        <v>0</v>
      </c>
      <c r="HT986">
        <v>2048.5</v>
      </c>
      <c r="HU986">
        <v>2627.5</v>
      </c>
      <c r="HV986">
        <v>1168.5999999999999</v>
      </c>
      <c r="HW986">
        <v>388</v>
      </c>
      <c r="HX986">
        <v>0</v>
      </c>
      <c r="HY986">
        <v>0</v>
      </c>
      <c r="HZ986">
        <v>0</v>
      </c>
      <c r="IA986">
        <v>0</v>
      </c>
      <c r="IB986">
        <v>0</v>
      </c>
      <c r="IC986">
        <v>594.4</v>
      </c>
      <c r="ID986">
        <v>427.4</v>
      </c>
      <c r="IE986">
        <v>713.3</v>
      </c>
      <c r="IF986">
        <v>626.1</v>
      </c>
      <c r="IG986">
        <v>0</v>
      </c>
      <c r="IH986">
        <v>0</v>
      </c>
      <c r="II986">
        <v>995.7</v>
      </c>
      <c r="IJ986">
        <v>1156.5999999999999</v>
      </c>
      <c r="IK986">
        <v>864.6</v>
      </c>
      <c r="IL986">
        <v>316.5</v>
      </c>
      <c r="IM986">
        <v>101.5</v>
      </c>
      <c r="IN986">
        <v>71.8</v>
      </c>
      <c r="IO986">
        <v>0</v>
      </c>
      <c r="IP986">
        <v>0</v>
      </c>
      <c r="IQ986">
        <v>0</v>
      </c>
      <c r="IR986">
        <v>0</v>
      </c>
      <c r="IS986">
        <v>0</v>
      </c>
      <c r="IT986">
        <v>0</v>
      </c>
      <c r="IU986">
        <v>0</v>
      </c>
      <c r="IV986">
        <v>0</v>
      </c>
      <c r="IW986">
        <v>68</v>
      </c>
      <c r="IX986">
        <v>404.7</v>
      </c>
      <c r="IY986">
        <v>126.6</v>
      </c>
      <c r="IZ986">
        <v>126.6</v>
      </c>
      <c r="JA986">
        <v>503.7</v>
      </c>
      <c r="JB986">
        <v>570.1</v>
      </c>
      <c r="JC986">
        <v>328.3</v>
      </c>
      <c r="JD986">
        <v>0</v>
      </c>
      <c r="JE986">
        <v>0</v>
      </c>
      <c r="JF986">
        <v>0</v>
      </c>
      <c r="JG986">
        <v>0</v>
      </c>
      <c r="JH986">
        <v>287.3</v>
      </c>
      <c r="JI986">
        <v>68.2</v>
      </c>
      <c r="JJ986">
        <v>0</v>
      </c>
      <c r="JK986">
        <v>148.6</v>
      </c>
      <c r="JL986">
        <v>0</v>
      </c>
      <c r="JM986">
        <v>0</v>
      </c>
      <c r="JN986">
        <v>204.5</v>
      </c>
      <c r="JO986">
        <v>292.10000000000002</v>
      </c>
      <c r="JP986">
        <v>670.8</v>
      </c>
      <c r="JQ986">
        <v>745.2</v>
      </c>
      <c r="JR986">
        <v>242.9</v>
      </c>
    </row>
    <row r="987" spans="2:278" ht="18" thickBot="1">
      <c r="B987" s="368" t="s">
        <v>1341</v>
      </c>
      <c r="C987" s="413" t="s">
        <v>1649</v>
      </c>
      <c r="D987" s="368" t="s">
        <v>1477</v>
      </c>
      <c r="E987" s="454">
        <v>22829.8</v>
      </c>
      <c r="F987">
        <v>20193.400000000001</v>
      </c>
      <c r="G987" s="427">
        <v>0</v>
      </c>
      <c r="H987" s="155">
        <v>0</v>
      </c>
      <c r="I987">
        <v>0</v>
      </c>
      <c r="J987">
        <v>0</v>
      </c>
      <c r="K987">
        <v>0</v>
      </c>
      <c r="L987" s="4">
        <v>0</v>
      </c>
      <c r="M987" s="4">
        <v>0</v>
      </c>
      <c r="N987" s="4">
        <v>0</v>
      </c>
      <c r="O987" s="4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1476.4</v>
      </c>
      <c r="X987">
        <v>1482</v>
      </c>
      <c r="Y987">
        <v>457.20000000000005</v>
      </c>
      <c r="Z987">
        <v>0</v>
      </c>
      <c r="AA987">
        <v>0</v>
      </c>
      <c r="AB987">
        <v>0</v>
      </c>
      <c r="AC987">
        <v>0</v>
      </c>
      <c r="AD987">
        <v>3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1828.6</v>
      </c>
      <c r="AK987">
        <v>1800.7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560.70000000000005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0</v>
      </c>
      <c r="BN987">
        <v>0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  <c r="CF987">
        <v>0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  <c r="CN987">
        <v>0</v>
      </c>
      <c r="CO987">
        <v>0</v>
      </c>
      <c r="CP987">
        <v>3.5</v>
      </c>
      <c r="CQ987">
        <v>0</v>
      </c>
      <c r="CR987">
        <v>528</v>
      </c>
      <c r="CS987">
        <v>581.79999999999995</v>
      </c>
      <c r="CT987">
        <v>555.40000000000009</v>
      </c>
      <c r="CU987">
        <v>737.4</v>
      </c>
      <c r="CV987">
        <v>1039.0999999999999</v>
      </c>
      <c r="CW987">
        <v>1667.3</v>
      </c>
      <c r="CX987">
        <v>877.6</v>
      </c>
      <c r="CY987">
        <v>910.40000000000009</v>
      </c>
      <c r="CZ987">
        <v>0</v>
      </c>
      <c r="DA987">
        <v>0</v>
      </c>
      <c r="DB987">
        <v>0</v>
      </c>
      <c r="DC987">
        <v>0</v>
      </c>
      <c r="DD987">
        <v>0</v>
      </c>
      <c r="DE987">
        <v>0</v>
      </c>
      <c r="DF987">
        <v>0</v>
      </c>
      <c r="DG987">
        <v>0</v>
      </c>
      <c r="DH987">
        <v>0</v>
      </c>
      <c r="DI987">
        <v>0</v>
      </c>
      <c r="DJ987">
        <v>0</v>
      </c>
      <c r="DK987">
        <v>0</v>
      </c>
      <c r="DL987">
        <v>995.5</v>
      </c>
      <c r="DM987">
        <v>712.7</v>
      </c>
      <c r="DN987">
        <v>0</v>
      </c>
      <c r="DO987">
        <v>0</v>
      </c>
      <c r="DP987">
        <v>0</v>
      </c>
      <c r="DQ987">
        <v>0</v>
      </c>
      <c r="DR987">
        <v>0</v>
      </c>
      <c r="DS987">
        <v>0</v>
      </c>
      <c r="DT987">
        <v>0</v>
      </c>
      <c r="DU987">
        <v>0</v>
      </c>
      <c r="DV987">
        <v>0</v>
      </c>
      <c r="DW987">
        <v>0</v>
      </c>
      <c r="DX987">
        <v>0</v>
      </c>
      <c r="DY987">
        <v>0</v>
      </c>
      <c r="DZ987">
        <v>0</v>
      </c>
      <c r="EA987">
        <v>0</v>
      </c>
      <c r="EB987">
        <v>0</v>
      </c>
      <c r="EC987">
        <v>0</v>
      </c>
      <c r="ED987">
        <v>0</v>
      </c>
      <c r="EE987">
        <v>0</v>
      </c>
      <c r="EF987">
        <v>0</v>
      </c>
      <c r="EG987">
        <v>0</v>
      </c>
      <c r="EH987">
        <v>0</v>
      </c>
      <c r="EI987">
        <v>0</v>
      </c>
      <c r="EJ987">
        <v>0</v>
      </c>
      <c r="EK987">
        <v>0</v>
      </c>
      <c r="EL987">
        <v>0</v>
      </c>
      <c r="EM987">
        <v>0</v>
      </c>
      <c r="EN987">
        <v>27.4</v>
      </c>
      <c r="EO987">
        <v>0</v>
      </c>
      <c r="EP987">
        <v>1002.5</v>
      </c>
      <c r="EQ987">
        <v>0</v>
      </c>
      <c r="ER987">
        <v>494</v>
      </c>
      <c r="ES987">
        <v>0</v>
      </c>
      <c r="ET987">
        <v>699.3</v>
      </c>
      <c r="EU987">
        <v>435.4</v>
      </c>
      <c r="EV987">
        <v>0</v>
      </c>
      <c r="EW987">
        <v>0</v>
      </c>
      <c r="EX987">
        <v>0</v>
      </c>
      <c r="EY987">
        <v>0</v>
      </c>
      <c r="EZ987">
        <v>0</v>
      </c>
      <c r="FA987">
        <v>0</v>
      </c>
      <c r="FB987">
        <v>0</v>
      </c>
      <c r="FC987">
        <v>0</v>
      </c>
      <c r="FD987">
        <v>95.6</v>
      </c>
      <c r="FE987">
        <v>1792.1</v>
      </c>
      <c r="FF987">
        <v>1740.1999999999998</v>
      </c>
      <c r="FG987">
        <v>954.9</v>
      </c>
      <c r="FH987">
        <v>1087.8000000000002</v>
      </c>
      <c r="FI987">
        <v>1892.1</v>
      </c>
      <c r="FJ987">
        <v>1222.5</v>
      </c>
      <c r="FK987">
        <v>678.3</v>
      </c>
      <c r="FL987">
        <v>639.1</v>
      </c>
      <c r="FM987">
        <v>520.5</v>
      </c>
      <c r="FN987">
        <v>123.8</v>
      </c>
      <c r="FO987">
        <v>181.6</v>
      </c>
      <c r="FP987">
        <v>1090.5</v>
      </c>
      <c r="FQ987">
        <v>0</v>
      </c>
      <c r="FR987">
        <v>0</v>
      </c>
      <c r="FS987">
        <v>0</v>
      </c>
      <c r="FT987">
        <v>0</v>
      </c>
      <c r="FU987">
        <v>0</v>
      </c>
      <c r="FV987">
        <v>0</v>
      </c>
      <c r="FW987">
        <v>0</v>
      </c>
      <c r="FX987">
        <v>0</v>
      </c>
      <c r="FY987">
        <v>0</v>
      </c>
      <c r="FZ987">
        <v>0</v>
      </c>
      <c r="GA987">
        <v>0</v>
      </c>
      <c r="GB987">
        <v>0</v>
      </c>
      <c r="GC987">
        <v>0</v>
      </c>
      <c r="GD987">
        <v>0</v>
      </c>
      <c r="GE987">
        <v>0</v>
      </c>
      <c r="GF987">
        <v>198.3</v>
      </c>
      <c r="GG987">
        <v>1054.4000000000001</v>
      </c>
      <c r="GH987">
        <v>552.79999999999995</v>
      </c>
      <c r="GI987">
        <v>522</v>
      </c>
      <c r="GJ987">
        <v>0</v>
      </c>
      <c r="GK987">
        <v>0</v>
      </c>
      <c r="GL987">
        <v>0</v>
      </c>
      <c r="GM987">
        <v>0</v>
      </c>
      <c r="GN987">
        <v>791.40000000000009</v>
      </c>
      <c r="GO987">
        <v>1816.5</v>
      </c>
      <c r="GP987">
        <v>0</v>
      </c>
      <c r="GQ987">
        <v>0</v>
      </c>
      <c r="GR987">
        <v>0</v>
      </c>
      <c r="GS987">
        <v>0</v>
      </c>
      <c r="GT987">
        <v>0</v>
      </c>
      <c r="GU987">
        <v>0</v>
      </c>
      <c r="GV987">
        <v>0</v>
      </c>
      <c r="GW987">
        <v>0</v>
      </c>
      <c r="GX987">
        <v>0</v>
      </c>
      <c r="GY987">
        <v>840.3</v>
      </c>
      <c r="GZ987">
        <v>0</v>
      </c>
      <c r="HA987">
        <v>0</v>
      </c>
      <c r="HB987">
        <v>0</v>
      </c>
      <c r="HC987">
        <v>380.4</v>
      </c>
      <c r="HD987">
        <v>2175.5</v>
      </c>
      <c r="HE987">
        <v>0</v>
      </c>
      <c r="HF987">
        <v>0</v>
      </c>
      <c r="HG987">
        <v>0</v>
      </c>
      <c r="HH987">
        <v>0</v>
      </c>
      <c r="HI987">
        <v>0</v>
      </c>
      <c r="HJ987">
        <v>803.40000000000009</v>
      </c>
      <c r="HK987">
        <v>1270.9000000000001</v>
      </c>
      <c r="HL987">
        <v>835.7</v>
      </c>
      <c r="HM987">
        <v>1162.5999999999999</v>
      </c>
      <c r="HN987">
        <v>0</v>
      </c>
      <c r="HO987">
        <v>0</v>
      </c>
      <c r="HP987">
        <v>0</v>
      </c>
      <c r="HQ987">
        <v>0</v>
      </c>
      <c r="HR987">
        <v>161.19999999999999</v>
      </c>
      <c r="HS987">
        <v>0</v>
      </c>
      <c r="HT987">
        <v>2048.5</v>
      </c>
      <c r="HU987">
        <v>2627.5</v>
      </c>
      <c r="HV987">
        <v>1168.5999999999999</v>
      </c>
      <c r="HW987">
        <v>388</v>
      </c>
      <c r="HX987">
        <v>0</v>
      </c>
      <c r="HY987">
        <v>0</v>
      </c>
      <c r="HZ987">
        <v>0</v>
      </c>
      <c r="IA987">
        <v>0</v>
      </c>
      <c r="IB987">
        <v>0</v>
      </c>
      <c r="IC987">
        <v>594.4</v>
      </c>
      <c r="ID987">
        <v>427.4</v>
      </c>
      <c r="IE987">
        <v>713.3</v>
      </c>
      <c r="IF987">
        <v>626.1</v>
      </c>
      <c r="IG987">
        <v>0</v>
      </c>
      <c r="IH987">
        <v>0</v>
      </c>
      <c r="II987">
        <v>995.7</v>
      </c>
      <c r="IJ987">
        <v>1156.5999999999999</v>
      </c>
      <c r="IK987">
        <v>864.6</v>
      </c>
      <c r="IL987">
        <v>316.5</v>
      </c>
      <c r="IM987">
        <v>101.5</v>
      </c>
      <c r="IN987">
        <v>71.8</v>
      </c>
      <c r="IO987">
        <v>0</v>
      </c>
      <c r="IP987">
        <v>0</v>
      </c>
      <c r="IQ987">
        <v>0</v>
      </c>
      <c r="IR987">
        <v>0</v>
      </c>
      <c r="IS987">
        <v>0</v>
      </c>
      <c r="IT987">
        <v>0</v>
      </c>
      <c r="IU987">
        <v>0</v>
      </c>
      <c r="IV987">
        <v>0</v>
      </c>
      <c r="IW987">
        <v>68</v>
      </c>
      <c r="IX987">
        <v>404.7</v>
      </c>
      <c r="IY987">
        <v>126.6</v>
      </c>
      <c r="IZ987">
        <v>126.6</v>
      </c>
      <c r="JA987">
        <v>503.7</v>
      </c>
      <c r="JB987">
        <v>570.1</v>
      </c>
      <c r="JC987">
        <v>328.3</v>
      </c>
      <c r="JD987">
        <v>0</v>
      </c>
      <c r="JE987">
        <v>0</v>
      </c>
      <c r="JF987">
        <v>0</v>
      </c>
      <c r="JG987">
        <v>0</v>
      </c>
      <c r="JH987">
        <v>287.3</v>
      </c>
      <c r="JI987">
        <v>68.2</v>
      </c>
      <c r="JJ987">
        <v>0</v>
      </c>
      <c r="JK987">
        <v>148.6</v>
      </c>
      <c r="JL987">
        <v>0</v>
      </c>
      <c r="JM987">
        <v>0</v>
      </c>
      <c r="JN987">
        <v>204.5</v>
      </c>
      <c r="JO987">
        <v>292.10000000000002</v>
      </c>
      <c r="JP987">
        <v>670.8</v>
      </c>
      <c r="JQ987">
        <v>745.2</v>
      </c>
      <c r="JR987">
        <v>242.9</v>
      </c>
    </row>
    <row r="988" spans="2:278" ht="18" thickBot="1">
      <c r="B988" s="368" t="s">
        <v>1342</v>
      </c>
      <c r="C988" s="368" t="s">
        <v>1650</v>
      </c>
      <c r="D988" s="387"/>
      <c r="E988" s="454">
        <v>22829.8</v>
      </c>
      <c r="F988">
        <v>20193.400000000001</v>
      </c>
      <c r="G988" s="427">
        <v>0</v>
      </c>
      <c r="H988" s="155">
        <v>0</v>
      </c>
      <c r="I988">
        <v>0</v>
      </c>
      <c r="J988">
        <v>0</v>
      </c>
      <c r="K988">
        <v>0</v>
      </c>
      <c r="L988" s="4">
        <v>0</v>
      </c>
      <c r="M988" s="4">
        <v>0</v>
      </c>
      <c r="N988" s="4">
        <v>0</v>
      </c>
      <c r="O988" s="4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1476.4</v>
      </c>
      <c r="X988">
        <v>1482</v>
      </c>
      <c r="Y988">
        <v>457.20000000000005</v>
      </c>
      <c r="Z988">
        <v>0</v>
      </c>
      <c r="AA988">
        <v>0</v>
      </c>
      <c r="AB988">
        <v>0</v>
      </c>
      <c r="AC988">
        <v>0</v>
      </c>
      <c r="AD988">
        <v>3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1828.6</v>
      </c>
      <c r="AK988">
        <v>1800.7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560.70000000000005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  <c r="CF988">
        <v>0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  <c r="CN988">
        <v>0</v>
      </c>
      <c r="CO988">
        <v>0</v>
      </c>
      <c r="CP988">
        <v>3.5</v>
      </c>
      <c r="CQ988">
        <v>0</v>
      </c>
      <c r="CR988">
        <v>528</v>
      </c>
      <c r="CS988">
        <v>581.79999999999995</v>
      </c>
      <c r="CT988">
        <v>555.40000000000009</v>
      </c>
      <c r="CU988">
        <v>737.4</v>
      </c>
      <c r="CV988">
        <v>1039.0999999999999</v>
      </c>
      <c r="CW988">
        <v>1667.3</v>
      </c>
      <c r="CX988">
        <v>877.6</v>
      </c>
      <c r="CY988">
        <v>910.40000000000009</v>
      </c>
      <c r="CZ988">
        <v>0</v>
      </c>
      <c r="DA988">
        <v>0</v>
      </c>
      <c r="DB988">
        <v>0</v>
      </c>
      <c r="DC988">
        <v>0</v>
      </c>
      <c r="DD988">
        <v>0</v>
      </c>
      <c r="DE988">
        <v>0</v>
      </c>
      <c r="DF988">
        <v>0</v>
      </c>
      <c r="DG988">
        <v>0</v>
      </c>
      <c r="DH988">
        <v>0</v>
      </c>
      <c r="DI988">
        <v>0</v>
      </c>
      <c r="DJ988">
        <v>0</v>
      </c>
      <c r="DK988">
        <v>0</v>
      </c>
      <c r="DL988">
        <v>995.5</v>
      </c>
      <c r="DM988">
        <v>712.7</v>
      </c>
      <c r="DN988">
        <v>0</v>
      </c>
      <c r="DO988">
        <v>0</v>
      </c>
      <c r="DP988">
        <v>0</v>
      </c>
      <c r="DQ988">
        <v>0</v>
      </c>
      <c r="DR988">
        <v>0</v>
      </c>
      <c r="DS988">
        <v>0</v>
      </c>
      <c r="DT988">
        <v>0</v>
      </c>
      <c r="DU988">
        <v>0</v>
      </c>
      <c r="DV988">
        <v>0</v>
      </c>
      <c r="DW988">
        <v>0</v>
      </c>
      <c r="DX988">
        <v>0</v>
      </c>
      <c r="DY988">
        <v>0</v>
      </c>
      <c r="DZ988">
        <v>0</v>
      </c>
      <c r="EA988">
        <v>0</v>
      </c>
      <c r="EB988">
        <v>0</v>
      </c>
      <c r="EC988">
        <v>0</v>
      </c>
      <c r="ED988">
        <v>0</v>
      </c>
      <c r="EE988">
        <v>0</v>
      </c>
      <c r="EF988">
        <v>0</v>
      </c>
      <c r="EG988">
        <v>0</v>
      </c>
      <c r="EH988">
        <v>0</v>
      </c>
      <c r="EI988">
        <v>0</v>
      </c>
      <c r="EJ988">
        <v>0</v>
      </c>
      <c r="EK988">
        <v>0</v>
      </c>
      <c r="EL988">
        <v>0</v>
      </c>
      <c r="EM988">
        <v>0</v>
      </c>
      <c r="EN988">
        <v>27.4</v>
      </c>
      <c r="EO988">
        <v>0</v>
      </c>
      <c r="EP988">
        <v>1002.5</v>
      </c>
      <c r="EQ988">
        <v>0</v>
      </c>
      <c r="ER988">
        <v>494</v>
      </c>
      <c r="ES988">
        <v>0</v>
      </c>
      <c r="ET988">
        <v>699.3</v>
      </c>
      <c r="EU988">
        <v>435.4</v>
      </c>
      <c r="EV988">
        <v>0</v>
      </c>
      <c r="EW988">
        <v>0</v>
      </c>
      <c r="EX988">
        <v>0</v>
      </c>
      <c r="EY988">
        <v>0</v>
      </c>
      <c r="EZ988">
        <v>0</v>
      </c>
      <c r="FA988">
        <v>0</v>
      </c>
      <c r="FB988">
        <v>0</v>
      </c>
      <c r="FC988">
        <v>0</v>
      </c>
      <c r="FD988">
        <v>95.6</v>
      </c>
      <c r="FE988">
        <v>1792.1</v>
      </c>
      <c r="FF988">
        <v>1740.1999999999998</v>
      </c>
      <c r="FG988">
        <v>954.9</v>
      </c>
      <c r="FH988">
        <v>1087.8000000000002</v>
      </c>
      <c r="FI988">
        <v>1892.1</v>
      </c>
      <c r="FJ988">
        <v>1222.5</v>
      </c>
      <c r="FK988">
        <v>678.3</v>
      </c>
      <c r="FL988">
        <v>639.1</v>
      </c>
      <c r="FM988">
        <v>520.5</v>
      </c>
      <c r="FN988">
        <v>123.8</v>
      </c>
      <c r="FO988">
        <v>181.6</v>
      </c>
      <c r="FP988">
        <v>1090.5</v>
      </c>
      <c r="FQ988">
        <v>0</v>
      </c>
      <c r="FR988">
        <v>0</v>
      </c>
      <c r="FS988">
        <v>0</v>
      </c>
      <c r="FT988">
        <v>0</v>
      </c>
      <c r="FU988">
        <v>0</v>
      </c>
      <c r="FV988">
        <v>0</v>
      </c>
      <c r="FW988">
        <v>0</v>
      </c>
      <c r="FX988">
        <v>0</v>
      </c>
      <c r="FY988">
        <v>0</v>
      </c>
      <c r="FZ988">
        <v>0</v>
      </c>
      <c r="GA988">
        <v>0</v>
      </c>
      <c r="GB988">
        <v>0</v>
      </c>
      <c r="GC988">
        <v>0</v>
      </c>
      <c r="GD988">
        <v>0</v>
      </c>
      <c r="GE988">
        <v>0</v>
      </c>
      <c r="GF988">
        <v>198.3</v>
      </c>
      <c r="GG988">
        <v>1054.4000000000001</v>
      </c>
      <c r="GH988">
        <v>552.79999999999995</v>
      </c>
      <c r="GI988">
        <v>522</v>
      </c>
      <c r="GJ988">
        <v>0</v>
      </c>
      <c r="GK988">
        <v>0</v>
      </c>
      <c r="GL988">
        <v>0</v>
      </c>
      <c r="GM988">
        <v>0</v>
      </c>
      <c r="GN988">
        <v>791.40000000000009</v>
      </c>
      <c r="GO988">
        <v>1816.5</v>
      </c>
      <c r="GP988">
        <v>0</v>
      </c>
      <c r="GQ988">
        <v>0</v>
      </c>
      <c r="GR988">
        <v>0</v>
      </c>
      <c r="GS988">
        <v>0</v>
      </c>
      <c r="GT988">
        <v>0</v>
      </c>
      <c r="GU988">
        <v>0</v>
      </c>
      <c r="GV988">
        <v>0</v>
      </c>
      <c r="GW988">
        <v>0</v>
      </c>
      <c r="GX988">
        <v>0</v>
      </c>
      <c r="GY988">
        <v>840.3</v>
      </c>
      <c r="GZ988">
        <v>0</v>
      </c>
      <c r="HA988">
        <v>0</v>
      </c>
      <c r="HB988">
        <v>0</v>
      </c>
      <c r="HC988">
        <v>380.4</v>
      </c>
      <c r="HD988">
        <v>2175.5</v>
      </c>
      <c r="HE988">
        <v>0</v>
      </c>
      <c r="HF988">
        <v>0</v>
      </c>
      <c r="HG988">
        <v>0</v>
      </c>
      <c r="HH988">
        <v>0</v>
      </c>
      <c r="HI988">
        <v>0</v>
      </c>
      <c r="HJ988">
        <v>803.40000000000009</v>
      </c>
      <c r="HK988">
        <v>1270.9000000000001</v>
      </c>
      <c r="HL988">
        <v>835.7</v>
      </c>
      <c r="HM988">
        <v>1162.5999999999999</v>
      </c>
      <c r="HN988">
        <v>0</v>
      </c>
      <c r="HO988">
        <v>0</v>
      </c>
      <c r="HP988">
        <v>0</v>
      </c>
      <c r="HQ988">
        <v>0</v>
      </c>
      <c r="HR988">
        <v>161.19999999999999</v>
      </c>
      <c r="HS988">
        <v>0</v>
      </c>
      <c r="HT988">
        <v>2048.5</v>
      </c>
      <c r="HU988">
        <v>2627.5</v>
      </c>
      <c r="HV988">
        <v>1168.5999999999999</v>
      </c>
      <c r="HW988">
        <v>388</v>
      </c>
      <c r="HX988">
        <v>0</v>
      </c>
      <c r="HY988">
        <v>0</v>
      </c>
      <c r="HZ988">
        <v>0</v>
      </c>
      <c r="IA988">
        <v>0</v>
      </c>
      <c r="IB988">
        <v>0</v>
      </c>
      <c r="IC988">
        <v>594.4</v>
      </c>
      <c r="ID988">
        <v>427.4</v>
      </c>
      <c r="IE988">
        <v>713.3</v>
      </c>
      <c r="IF988">
        <v>626.1</v>
      </c>
      <c r="IG988">
        <v>0</v>
      </c>
      <c r="IH988">
        <v>0</v>
      </c>
      <c r="II988">
        <v>995.7</v>
      </c>
      <c r="IJ988">
        <v>1156.5999999999999</v>
      </c>
      <c r="IK988">
        <v>864.6</v>
      </c>
      <c r="IL988">
        <v>316.5</v>
      </c>
      <c r="IM988">
        <v>101.5</v>
      </c>
      <c r="IN988">
        <v>71.8</v>
      </c>
      <c r="IO988">
        <v>0</v>
      </c>
      <c r="IP988">
        <v>0</v>
      </c>
      <c r="IQ988">
        <v>0</v>
      </c>
      <c r="IR988">
        <v>0</v>
      </c>
      <c r="IS988">
        <v>0</v>
      </c>
      <c r="IT988">
        <v>0</v>
      </c>
      <c r="IU988">
        <v>0</v>
      </c>
      <c r="IV988">
        <v>0</v>
      </c>
      <c r="IW988">
        <v>68</v>
      </c>
      <c r="IX988">
        <v>404.7</v>
      </c>
      <c r="IY988">
        <v>126.6</v>
      </c>
      <c r="IZ988">
        <v>126.6</v>
      </c>
      <c r="JA988">
        <v>503.7</v>
      </c>
      <c r="JB988">
        <v>570.1</v>
      </c>
      <c r="JC988">
        <v>328.3</v>
      </c>
      <c r="JD988">
        <v>0</v>
      </c>
      <c r="JE988">
        <v>0</v>
      </c>
      <c r="JF988">
        <v>0</v>
      </c>
      <c r="JG988">
        <v>0</v>
      </c>
      <c r="JH988">
        <v>287.3</v>
      </c>
      <c r="JI988">
        <v>68.2</v>
      </c>
      <c r="JJ988">
        <v>0</v>
      </c>
      <c r="JK988">
        <v>148.6</v>
      </c>
      <c r="JL988">
        <v>0</v>
      </c>
      <c r="JM988">
        <v>0</v>
      </c>
      <c r="JN988">
        <v>204.5</v>
      </c>
      <c r="JO988">
        <v>292.10000000000002</v>
      </c>
      <c r="JP988">
        <v>670.8</v>
      </c>
      <c r="JQ988">
        <v>745.2</v>
      </c>
      <c r="JR988">
        <v>242.9</v>
      </c>
    </row>
    <row r="989" spans="2:278" ht="18" thickBot="1">
      <c r="B989" s="368" t="s">
        <v>1343</v>
      </c>
      <c r="C989" s="368" t="s">
        <v>1651</v>
      </c>
      <c r="D989" s="387"/>
      <c r="E989" s="454">
        <v>22829.8</v>
      </c>
      <c r="F989">
        <v>20193.400000000001</v>
      </c>
      <c r="G989" s="427">
        <v>0</v>
      </c>
      <c r="H989" s="155">
        <v>0</v>
      </c>
      <c r="I989">
        <v>0</v>
      </c>
      <c r="J989">
        <v>0</v>
      </c>
      <c r="K989">
        <v>0</v>
      </c>
      <c r="L989" s="4">
        <v>0</v>
      </c>
      <c r="M989" s="4">
        <v>0</v>
      </c>
      <c r="N989" s="4">
        <v>0</v>
      </c>
      <c r="O989" s="4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1476.4</v>
      </c>
      <c r="X989">
        <v>1482</v>
      </c>
      <c r="Y989">
        <v>457.20000000000005</v>
      </c>
      <c r="Z989">
        <v>0</v>
      </c>
      <c r="AA989">
        <v>0</v>
      </c>
      <c r="AB989">
        <v>0</v>
      </c>
      <c r="AC989">
        <v>0</v>
      </c>
      <c r="AD989">
        <v>3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1828.6</v>
      </c>
      <c r="AK989">
        <v>1800.7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560.70000000000005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0</v>
      </c>
      <c r="BU989">
        <v>0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  <c r="CF989">
        <v>0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  <c r="CN989">
        <v>0</v>
      </c>
      <c r="CO989">
        <v>0</v>
      </c>
      <c r="CP989">
        <v>3.5</v>
      </c>
      <c r="CQ989">
        <v>0</v>
      </c>
      <c r="CR989">
        <v>528</v>
      </c>
      <c r="CS989">
        <v>581.79999999999995</v>
      </c>
      <c r="CT989">
        <v>555.40000000000009</v>
      </c>
      <c r="CU989">
        <v>737.4</v>
      </c>
      <c r="CV989">
        <v>1039.0999999999999</v>
      </c>
      <c r="CW989">
        <v>1667.3</v>
      </c>
      <c r="CX989">
        <v>877.6</v>
      </c>
      <c r="CY989">
        <v>910.40000000000009</v>
      </c>
      <c r="CZ989">
        <v>0</v>
      </c>
      <c r="DA989">
        <v>0</v>
      </c>
      <c r="DB989">
        <v>0</v>
      </c>
      <c r="DC989">
        <v>0</v>
      </c>
      <c r="DD989">
        <v>0</v>
      </c>
      <c r="DE989">
        <v>0</v>
      </c>
      <c r="DF989">
        <v>0</v>
      </c>
      <c r="DG989">
        <v>0</v>
      </c>
      <c r="DH989">
        <v>0</v>
      </c>
      <c r="DI989">
        <v>0</v>
      </c>
      <c r="DJ989">
        <v>0</v>
      </c>
      <c r="DK989">
        <v>0</v>
      </c>
      <c r="DL989">
        <v>995.5</v>
      </c>
      <c r="DM989">
        <v>712.7</v>
      </c>
      <c r="DN989">
        <v>0</v>
      </c>
      <c r="DO989">
        <v>0</v>
      </c>
      <c r="DP989">
        <v>0</v>
      </c>
      <c r="DQ989">
        <v>0</v>
      </c>
      <c r="DR989">
        <v>0</v>
      </c>
      <c r="DS989">
        <v>0</v>
      </c>
      <c r="DT989">
        <v>0</v>
      </c>
      <c r="DU989">
        <v>0</v>
      </c>
      <c r="DV989">
        <v>0</v>
      </c>
      <c r="DW989">
        <v>0</v>
      </c>
      <c r="DX989">
        <v>0</v>
      </c>
      <c r="DY989">
        <v>0</v>
      </c>
      <c r="DZ989">
        <v>0</v>
      </c>
      <c r="EA989">
        <v>0</v>
      </c>
      <c r="EB989">
        <v>0</v>
      </c>
      <c r="EC989">
        <v>0</v>
      </c>
      <c r="ED989">
        <v>0</v>
      </c>
      <c r="EE989">
        <v>0</v>
      </c>
      <c r="EF989">
        <v>0</v>
      </c>
      <c r="EG989">
        <v>0</v>
      </c>
      <c r="EH989">
        <v>0</v>
      </c>
      <c r="EI989">
        <v>0</v>
      </c>
      <c r="EJ989">
        <v>0</v>
      </c>
      <c r="EK989">
        <v>0</v>
      </c>
      <c r="EL989">
        <v>0</v>
      </c>
      <c r="EM989">
        <v>0</v>
      </c>
      <c r="EN989">
        <v>27.4</v>
      </c>
      <c r="EO989">
        <v>0</v>
      </c>
      <c r="EP989">
        <v>1002.5</v>
      </c>
      <c r="EQ989">
        <v>0</v>
      </c>
      <c r="ER989">
        <v>494</v>
      </c>
      <c r="ES989">
        <v>0</v>
      </c>
      <c r="ET989">
        <v>699.3</v>
      </c>
      <c r="EU989">
        <v>435.4</v>
      </c>
      <c r="EV989">
        <v>0</v>
      </c>
      <c r="EW989">
        <v>0</v>
      </c>
      <c r="EX989">
        <v>0</v>
      </c>
      <c r="EY989">
        <v>0</v>
      </c>
      <c r="EZ989">
        <v>0</v>
      </c>
      <c r="FA989">
        <v>0</v>
      </c>
      <c r="FB989">
        <v>0</v>
      </c>
      <c r="FC989">
        <v>0</v>
      </c>
      <c r="FD989">
        <v>95.6</v>
      </c>
      <c r="FE989">
        <v>1792.1</v>
      </c>
      <c r="FF989">
        <v>1740.1999999999998</v>
      </c>
      <c r="FG989">
        <v>954.9</v>
      </c>
      <c r="FH989">
        <v>1087.8000000000002</v>
      </c>
      <c r="FI989">
        <v>1892.1</v>
      </c>
      <c r="FJ989">
        <v>1222.5</v>
      </c>
      <c r="FK989">
        <v>678.3</v>
      </c>
      <c r="FL989">
        <v>639.1</v>
      </c>
      <c r="FM989">
        <v>520.5</v>
      </c>
      <c r="FN989">
        <v>123.8</v>
      </c>
      <c r="FO989">
        <v>181.6</v>
      </c>
      <c r="FP989">
        <v>1090.5</v>
      </c>
      <c r="FQ989">
        <v>0</v>
      </c>
      <c r="FR989">
        <v>0</v>
      </c>
      <c r="FS989">
        <v>0</v>
      </c>
      <c r="FT989">
        <v>0</v>
      </c>
      <c r="FU989">
        <v>0</v>
      </c>
      <c r="FV989">
        <v>0</v>
      </c>
      <c r="FW989">
        <v>0</v>
      </c>
      <c r="FX989">
        <v>0</v>
      </c>
      <c r="FY989">
        <v>0</v>
      </c>
      <c r="FZ989">
        <v>0</v>
      </c>
      <c r="GA989">
        <v>0</v>
      </c>
      <c r="GB989">
        <v>0</v>
      </c>
      <c r="GC989">
        <v>0</v>
      </c>
      <c r="GD989">
        <v>0</v>
      </c>
      <c r="GE989">
        <v>0</v>
      </c>
      <c r="GF989">
        <v>198.3</v>
      </c>
      <c r="GG989">
        <v>1054.4000000000001</v>
      </c>
      <c r="GH989">
        <v>552.79999999999995</v>
      </c>
      <c r="GI989">
        <v>522</v>
      </c>
      <c r="GJ989">
        <v>0</v>
      </c>
      <c r="GK989">
        <v>0</v>
      </c>
      <c r="GL989">
        <v>0</v>
      </c>
      <c r="GM989">
        <v>0</v>
      </c>
      <c r="GN989">
        <v>791.40000000000009</v>
      </c>
      <c r="GO989">
        <v>1816.5</v>
      </c>
      <c r="GP989">
        <v>0</v>
      </c>
      <c r="GQ989">
        <v>0</v>
      </c>
      <c r="GR989">
        <v>0</v>
      </c>
      <c r="GS989">
        <v>0</v>
      </c>
      <c r="GT989">
        <v>0</v>
      </c>
      <c r="GU989">
        <v>0</v>
      </c>
      <c r="GV989">
        <v>0</v>
      </c>
      <c r="GW989">
        <v>0</v>
      </c>
      <c r="GX989">
        <v>0</v>
      </c>
      <c r="GY989">
        <v>840.3</v>
      </c>
      <c r="GZ989">
        <v>0</v>
      </c>
      <c r="HA989">
        <v>0</v>
      </c>
      <c r="HB989">
        <v>0</v>
      </c>
      <c r="HC989">
        <v>380.4</v>
      </c>
      <c r="HD989">
        <v>2175.5</v>
      </c>
      <c r="HE989">
        <v>0</v>
      </c>
      <c r="HF989">
        <v>0</v>
      </c>
      <c r="HG989">
        <v>0</v>
      </c>
      <c r="HH989">
        <v>0</v>
      </c>
      <c r="HI989">
        <v>0</v>
      </c>
      <c r="HJ989">
        <v>803.40000000000009</v>
      </c>
      <c r="HK989">
        <v>1270.9000000000001</v>
      </c>
      <c r="HL989">
        <v>835.7</v>
      </c>
      <c r="HM989">
        <v>1162.5999999999999</v>
      </c>
      <c r="HN989">
        <v>0</v>
      </c>
      <c r="HO989">
        <v>0</v>
      </c>
      <c r="HP989">
        <v>0</v>
      </c>
      <c r="HQ989">
        <v>0</v>
      </c>
      <c r="HR989">
        <v>161.19999999999999</v>
      </c>
      <c r="HS989">
        <v>0</v>
      </c>
      <c r="HT989">
        <v>2048.5</v>
      </c>
      <c r="HU989">
        <v>2627.5</v>
      </c>
      <c r="HV989">
        <v>1168.5999999999999</v>
      </c>
      <c r="HW989">
        <v>388</v>
      </c>
      <c r="HX989">
        <v>0</v>
      </c>
      <c r="HY989">
        <v>0</v>
      </c>
      <c r="HZ989">
        <v>0</v>
      </c>
      <c r="IA989">
        <v>0</v>
      </c>
      <c r="IB989">
        <v>0</v>
      </c>
      <c r="IC989">
        <v>594.4</v>
      </c>
      <c r="ID989">
        <v>427.4</v>
      </c>
      <c r="IE989">
        <v>713.3</v>
      </c>
      <c r="IF989">
        <v>626.1</v>
      </c>
      <c r="IG989">
        <v>0</v>
      </c>
      <c r="IH989">
        <v>0</v>
      </c>
      <c r="II989">
        <v>995.7</v>
      </c>
      <c r="IJ989">
        <v>1156.5999999999999</v>
      </c>
      <c r="IK989">
        <v>864.6</v>
      </c>
      <c r="IL989">
        <v>316.5</v>
      </c>
      <c r="IM989">
        <v>101.5</v>
      </c>
      <c r="IN989">
        <v>71.8</v>
      </c>
      <c r="IO989">
        <v>0</v>
      </c>
      <c r="IP989">
        <v>0</v>
      </c>
      <c r="IQ989">
        <v>0</v>
      </c>
      <c r="IR989">
        <v>0</v>
      </c>
      <c r="IS989">
        <v>0</v>
      </c>
      <c r="IT989">
        <v>0</v>
      </c>
      <c r="IU989">
        <v>0</v>
      </c>
      <c r="IV989">
        <v>0</v>
      </c>
      <c r="IW989">
        <v>68</v>
      </c>
      <c r="IX989">
        <v>404.7</v>
      </c>
      <c r="IY989">
        <v>126.6</v>
      </c>
      <c r="IZ989">
        <v>126.6</v>
      </c>
      <c r="JA989">
        <v>503.7</v>
      </c>
      <c r="JB989">
        <v>570.1</v>
      </c>
      <c r="JC989">
        <v>328.3</v>
      </c>
      <c r="JD989">
        <v>0</v>
      </c>
      <c r="JE989">
        <v>0</v>
      </c>
      <c r="JF989">
        <v>0</v>
      </c>
      <c r="JG989">
        <v>0</v>
      </c>
      <c r="JH989">
        <v>287.3</v>
      </c>
      <c r="JI989">
        <v>68.2</v>
      </c>
      <c r="JJ989">
        <v>0</v>
      </c>
      <c r="JK989">
        <v>148.6</v>
      </c>
      <c r="JL989">
        <v>0</v>
      </c>
      <c r="JM989">
        <v>0</v>
      </c>
      <c r="JN989">
        <v>204.5</v>
      </c>
      <c r="JO989">
        <v>292.10000000000002</v>
      </c>
      <c r="JP989">
        <v>670.8</v>
      </c>
      <c r="JQ989">
        <v>745.2</v>
      </c>
      <c r="JR989">
        <v>242.9</v>
      </c>
    </row>
    <row r="990" spans="2:278" ht="18" thickBot="1">
      <c r="B990" s="367" t="s">
        <v>1344</v>
      </c>
      <c r="C990" s="367" t="s">
        <v>1652</v>
      </c>
      <c r="D990" s="388" t="s">
        <v>1478</v>
      </c>
      <c r="E990" s="454">
        <v>22829.8</v>
      </c>
      <c r="F990">
        <v>20193.400000000001</v>
      </c>
      <c r="G990" s="427">
        <v>0</v>
      </c>
      <c r="H990" s="155">
        <v>0</v>
      </c>
      <c r="I990">
        <v>0</v>
      </c>
      <c r="J990">
        <v>0</v>
      </c>
      <c r="K990">
        <v>0</v>
      </c>
      <c r="L990" s="4">
        <v>0</v>
      </c>
      <c r="M990" s="4">
        <v>0</v>
      </c>
      <c r="N990" s="4">
        <v>0</v>
      </c>
      <c r="O990" s="4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1476.4</v>
      </c>
      <c r="X990">
        <v>1482</v>
      </c>
      <c r="Y990">
        <v>457.20000000000005</v>
      </c>
      <c r="Z990">
        <v>0</v>
      </c>
      <c r="AA990">
        <v>0</v>
      </c>
      <c r="AB990">
        <v>0</v>
      </c>
      <c r="AC990">
        <v>0</v>
      </c>
      <c r="AD990">
        <v>3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1828.6</v>
      </c>
      <c r="AK990">
        <v>1800.7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560.70000000000005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0</v>
      </c>
      <c r="BU990">
        <v>0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  <c r="CF990">
        <v>0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  <c r="CN990">
        <v>0</v>
      </c>
      <c r="CO990">
        <v>0</v>
      </c>
      <c r="CP990">
        <v>3.5</v>
      </c>
      <c r="CQ990">
        <v>0</v>
      </c>
      <c r="CR990">
        <v>528</v>
      </c>
      <c r="CS990">
        <v>581.79999999999995</v>
      </c>
      <c r="CT990">
        <v>555.40000000000009</v>
      </c>
      <c r="CU990">
        <v>737.4</v>
      </c>
      <c r="CV990">
        <v>1039.0999999999999</v>
      </c>
      <c r="CW990">
        <v>1667.3</v>
      </c>
      <c r="CX990">
        <v>877.6</v>
      </c>
      <c r="CY990">
        <v>910.40000000000009</v>
      </c>
      <c r="CZ990">
        <v>0</v>
      </c>
      <c r="DA990">
        <v>0</v>
      </c>
      <c r="DB990">
        <v>0</v>
      </c>
      <c r="DC990">
        <v>0</v>
      </c>
      <c r="DD990">
        <v>0</v>
      </c>
      <c r="DE990">
        <v>0</v>
      </c>
      <c r="DF990">
        <v>0</v>
      </c>
      <c r="DG990">
        <v>0</v>
      </c>
      <c r="DH990">
        <v>0</v>
      </c>
      <c r="DI990">
        <v>0</v>
      </c>
      <c r="DJ990">
        <v>0</v>
      </c>
      <c r="DK990">
        <v>0</v>
      </c>
      <c r="DL990">
        <v>995.5</v>
      </c>
      <c r="DM990">
        <v>712.7</v>
      </c>
      <c r="DN990">
        <v>0</v>
      </c>
      <c r="DO990">
        <v>0</v>
      </c>
      <c r="DP990">
        <v>0</v>
      </c>
      <c r="DQ990">
        <v>0</v>
      </c>
      <c r="DR990">
        <v>0</v>
      </c>
      <c r="DS990">
        <v>0</v>
      </c>
      <c r="DT990">
        <v>0</v>
      </c>
      <c r="DU990">
        <v>0</v>
      </c>
      <c r="DV990">
        <v>0</v>
      </c>
      <c r="DW990">
        <v>0</v>
      </c>
      <c r="DX990">
        <v>0</v>
      </c>
      <c r="DY990">
        <v>0</v>
      </c>
      <c r="DZ990">
        <v>0</v>
      </c>
      <c r="EA990">
        <v>0</v>
      </c>
      <c r="EB990">
        <v>0</v>
      </c>
      <c r="EC990">
        <v>0</v>
      </c>
      <c r="ED990">
        <v>0</v>
      </c>
      <c r="EE990">
        <v>0</v>
      </c>
      <c r="EF990">
        <v>0</v>
      </c>
      <c r="EG990">
        <v>0</v>
      </c>
      <c r="EH990">
        <v>0</v>
      </c>
      <c r="EI990">
        <v>0</v>
      </c>
      <c r="EJ990">
        <v>0</v>
      </c>
      <c r="EK990">
        <v>0</v>
      </c>
      <c r="EL990">
        <v>0</v>
      </c>
      <c r="EM990">
        <v>0</v>
      </c>
      <c r="EN990">
        <v>27.4</v>
      </c>
      <c r="EO990">
        <v>0</v>
      </c>
      <c r="EP990">
        <v>1002.5</v>
      </c>
      <c r="EQ990">
        <v>0</v>
      </c>
      <c r="ER990">
        <v>494</v>
      </c>
      <c r="ES990">
        <v>0</v>
      </c>
      <c r="ET990">
        <v>699.3</v>
      </c>
      <c r="EU990">
        <v>435.4</v>
      </c>
      <c r="EV990">
        <v>0</v>
      </c>
      <c r="EW990">
        <v>0</v>
      </c>
      <c r="EX990">
        <v>0</v>
      </c>
      <c r="EY990">
        <v>0</v>
      </c>
      <c r="EZ990">
        <v>0</v>
      </c>
      <c r="FA990">
        <v>0</v>
      </c>
      <c r="FB990">
        <v>0</v>
      </c>
      <c r="FC990">
        <v>0</v>
      </c>
      <c r="FD990">
        <v>95.6</v>
      </c>
      <c r="FE990">
        <v>1792.1</v>
      </c>
      <c r="FF990">
        <v>1740.1999999999998</v>
      </c>
      <c r="FG990">
        <v>954.9</v>
      </c>
      <c r="FH990">
        <v>1087.8000000000002</v>
      </c>
      <c r="FI990">
        <v>1892.1</v>
      </c>
      <c r="FJ990">
        <v>1222.5</v>
      </c>
      <c r="FK990">
        <v>678.3</v>
      </c>
      <c r="FL990">
        <v>639.1</v>
      </c>
      <c r="FM990">
        <v>520.5</v>
      </c>
      <c r="FN990">
        <v>123.8</v>
      </c>
      <c r="FO990">
        <v>181.6</v>
      </c>
      <c r="FP990">
        <v>1090.5</v>
      </c>
      <c r="FQ990">
        <v>0</v>
      </c>
      <c r="FR990">
        <v>0</v>
      </c>
      <c r="FS990">
        <v>0</v>
      </c>
      <c r="FT990">
        <v>0</v>
      </c>
      <c r="FU990">
        <v>0</v>
      </c>
      <c r="FV990">
        <v>0</v>
      </c>
      <c r="FW990">
        <v>0</v>
      </c>
      <c r="FX990">
        <v>0</v>
      </c>
      <c r="FY990">
        <v>0</v>
      </c>
      <c r="FZ990">
        <v>0</v>
      </c>
      <c r="GA990">
        <v>0</v>
      </c>
      <c r="GB990">
        <v>0</v>
      </c>
      <c r="GC990">
        <v>0</v>
      </c>
      <c r="GD990">
        <v>0</v>
      </c>
      <c r="GE990">
        <v>0</v>
      </c>
      <c r="GF990">
        <v>198.3</v>
      </c>
      <c r="GG990">
        <v>1054.4000000000001</v>
      </c>
      <c r="GH990">
        <v>552.79999999999995</v>
      </c>
      <c r="GI990">
        <v>522</v>
      </c>
      <c r="GJ990">
        <v>0</v>
      </c>
      <c r="GK990">
        <v>0</v>
      </c>
      <c r="GL990">
        <v>0</v>
      </c>
      <c r="GM990">
        <v>0</v>
      </c>
      <c r="GN990">
        <v>791.40000000000009</v>
      </c>
      <c r="GO990">
        <v>1816.5</v>
      </c>
      <c r="GP990">
        <v>0</v>
      </c>
      <c r="GQ990">
        <v>0</v>
      </c>
      <c r="GR990">
        <v>0</v>
      </c>
      <c r="GS990">
        <v>0</v>
      </c>
      <c r="GT990">
        <v>0</v>
      </c>
      <c r="GU990">
        <v>0</v>
      </c>
      <c r="GV990">
        <v>0</v>
      </c>
      <c r="GW990">
        <v>0</v>
      </c>
      <c r="GX990">
        <v>0</v>
      </c>
      <c r="GY990">
        <v>840.3</v>
      </c>
      <c r="GZ990">
        <v>0</v>
      </c>
      <c r="HA990">
        <v>0</v>
      </c>
      <c r="HB990">
        <v>0</v>
      </c>
      <c r="HC990">
        <v>380.4</v>
      </c>
      <c r="HD990">
        <v>2175.5</v>
      </c>
      <c r="HE990">
        <v>0</v>
      </c>
      <c r="HF990">
        <v>0</v>
      </c>
      <c r="HG990">
        <v>0</v>
      </c>
      <c r="HH990">
        <v>0</v>
      </c>
      <c r="HI990">
        <v>0</v>
      </c>
      <c r="HJ990">
        <v>803.40000000000009</v>
      </c>
      <c r="HK990">
        <v>1270.9000000000001</v>
      </c>
      <c r="HL990">
        <v>835.7</v>
      </c>
      <c r="HM990">
        <v>1162.5999999999999</v>
      </c>
      <c r="HN990">
        <v>0</v>
      </c>
      <c r="HO990">
        <v>0</v>
      </c>
      <c r="HP990">
        <v>0</v>
      </c>
      <c r="HQ990">
        <v>0</v>
      </c>
      <c r="HR990">
        <v>161.19999999999999</v>
      </c>
      <c r="HS990">
        <v>0</v>
      </c>
      <c r="HT990">
        <v>2048.5</v>
      </c>
      <c r="HU990">
        <v>2627.5</v>
      </c>
      <c r="HV990">
        <v>1168.5999999999999</v>
      </c>
      <c r="HW990">
        <v>388</v>
      </c>
      <c r="HX990">
        <v>0</v>
      </c>
      <c r="HY990">
        <v>0</v>
      </c>
      <c r="HZ990">
        <v>0</v>
      </c>
      <c r="IA990">
        <v>0</v>
      </c>
      <c r="IB990">
        <v>0</v>
      </c>
      <c r="IC990">
        <v>594.4</v>
      </c>
      <c r="ID990">
        <v>427.4</v>
      </c>
      <c r="IE990">
        <v>713.3</v>
      </c>
      <c r="IF990">
        <v>626.1</v>
      </c>
      <c r="IG990">
        <v>0</v>
      </c>
      <c r="IH990">
        <v>0</v>
      </c>
      <c r="II990">
        <v>995.7</v>
      </c>
      <c r="IJ990">
        <v>1156.5999999999999</v>
      </c>
      <c r="IK990">
        <v>864.6</v>
      </c>
      <c r="IL990">
        <v>316.5</v>
      </c>
      <c r="IM990">
        <v>101.5</v>
      </c>
      <c r="IN990">
        <v>71.8</v>
      </c>
      <c r="IO990">
        <v>0</v>
      </c>
      <c r="IP990">
        <v>0</v>
      </c>
      <c r="IQ990">
        <v>0</v>
      </c>
      <c r="IR990">
        <v>0</v>
      </c>
      <c r="IS990">
        <v>0</v>
      </c>
      <c r="IT990">
        <v>0</v>
      </c>
      <c r="IU990">
        <v>0</v>
      </c>
      <c r="IV990">
        <v>0</v>
      </c>
      <c r="IW990">
        <v>68</v>
      </c>
      <c r="IX990">
        <v>404.7</v>
      </c>
      <c r="IY990">
        <v>126.6</v>
      </c>
      <c r="IZ990">
        <v>126.6</v>
      </c>
      <c r="JA990">
        <v>503.7</v>
      </c>
      <c r="JB990">
        <v>570.1</v>
      </c>
      <c r="JC990">
        <v>328.3</v>
      </c>
      <c r="JD990">
        <v>0</v>
      </c>
      <c r="JE990">
        <v>0</v>
      </c>
      <c r="JF990">
        <v>0</v>
      </c>
      <c r="JG990">
        <v>0</v>
      </c>
      <c r="JH990">
        <v>287.3</v>
      </c>
      <c r="JI990">
        <v>68.2</v>
      </c>
      <c r="JJ990">
        <v>0</v>
      </c>
      <c r="JK990">
        <v>148.6</v>
      </c>
      <c r="JL990">
        <v>0</v>
      </c>
      <c r="JM990">
        <v>0</v>
      </c>
      <c r="JN990">
        <v>204.5</v>
      </c>
      <c r="JO990">
        <v>292.10000000000002</v>
      </c>
      <c r="JP990">
        <v>670.8</v>
      </c>
      <c r="JQ990">
        <v>745.2</v>
      </c>
      <c r="JR990">
        <v>242.9</v>
      </c>
    </row>
    <row r="991" spans="2:278" ht="18" thickBot="1">
      <c r="B991" s="370" t="s">
        <v>363</v>
      </c>
      <c r="C991" s="383"/>
      <c r="D991" s="389"/>
      <c r="E991" s="454">
        <v>22829.8</v>
      </c>
      <c r="F991">
        <v>20193.400000000001</v>
      </c>
      <c r="G991" s="427">
        <v>0</v>
      </c>
      <c r="H991" s="155">
        <v>0</v>
      </c>
      <c r="I991">
        <v>0</v>
      </c>
      <c r="J991">
        <v>0</v>
      </c>
      <c r="K991">
        <v>0</v>
      </c>
      <c r="L991" s="4">
        <v>0</v>
      </c>
      <c r="M991" s="4">
        <v>0</v>
      </c>
      <c r="N991" s="4">
        <v>0</v>
      </c>
      <c r="O991" s="4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1476.4</v>
      </c>
      <c r="X991">
        <v>1482</v>
      </c>
      <c r="Y991">
        <v>457.20000000000005</v>
      </c>
      <c r="Z991">
        <v>0</v>
      </c>
      <c r="AA991">
        <v>0</v>
      </c>
      <c r="AB991">
        <v>0</v>
      </c>
      <c r="AC991">
        <v>0</v>
      </c>
      <c r="AD991">
        <v>3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1828.6</v>
      </c>
      <c r="AK991">
        <v>1800.7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560.70000000000005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0</v>
      </c>
      <c r="BU991">
        <v>0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  <c r="CF991">
        <v>0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  <c r="CN991">
        <v>0</v>
      </c>
      <c r="CO991">
        <v>0</v>
      </c>
      <c r="CP991">
        <v>3.5</v>
      </c>
      <c r="CQ991">
        <v>0</v>
      </c>
      <c r="CR991">
        <v>528</v>
      </c>
      <c r="CS991">
        <v>581.79999999999995</v>
      </c>
      <c r="CT991">
        <v>555.40000000000009</v>
      </c>
      <c r="CU991">
        <v>737.4</v>
      </c>
      <c r="CV991">
        <v>1039.0999999999999</v>
      </c>
      <c r="CW991">
        <v>1667.3</v>
      </c>
      <c r="CX991">
        <v>877.6</v>
      </c>
      <c r="CY991">
        <v>910.40000000000009</v>
      </c>
      <c r="CZ991">
        <v>0</v>
      </c>
      <c r="DA991">
        <v>0</v>
      </c>
      <c r="DB991">
        <v>0</v>
      </c>
      <c r="DC991">
        <v>0</v>
      </c>
      <c r="DD991">
        <v>0</v>
      </c>
      <c r="DE991">
        <v>0</v>
      </c>
      <c r="DF991">
        <v>0</v>
      </c>
      <c r="DG991">
        <v>0</v>
      </c>
      <c r="DH991">
        <v>0</v>
      </c>
      <c r="DI991">
        <v>0</v>
      </c>
      <c r="DJ991">
        <v>0</v>
      </c>
      <c r="DK991">
        <v>0</v>
      </c>
      <c r="DL991">
        <v>995.5</v>
      </c>
      <c r="DM991">
        <v>712.7</v>
      </c>
      <c r="DN991">
        <v>0</v>
      </c>
      <c r="DO991">
        <v>0</v>
      </c>
      <c r="DP991">
        <v>0</v>
      </c>
      <c r="DQ991">
        <v>0</v>
      </c>
      <c r="DR991">
        <v>0</v>
      </c>
      <c r="DS991">
        <v>0</v>
      </c>
      <c r="DT991">
        <v>0</v>
      </c>
      <c r="DU991">
        <v>0</v>
      </c>
      <c r="DV991">
        <v>0</v>
      </c>
      <c r="DW991">
        <v>0</v>
      </c>
      <c r="DX991">
        <v>0</v>
      </c>
      <c r="DY991">
        <v>0</v>
      </c>
      <c r="DZ991">
        <v>0</v>
      </c>
      <c r="EA991">
        <v>0</v>
      </c>
      <c r="EB991">
        <v>0</v>
      </c>
      <c r="EC991">
        <v>0</v>
      </c>
      <c r="ED991">
        <v>0</v>
      </c>
      <c r="EE991">
        <v>0</v>
      </c>
      <c r="EF991">
        <v>0</v>
      </c>
      <c r="EG991">
        <v>0</v>
      </c>
      <c r="EH991">
        <v>0</v>
      </c>
      <c r="EI991">
        <v>0</v>
      </c>
      <c r="EJ991">
        <v>0</v>
      </c>
      <c r="EK991">
        <v>0</v>
      </c>
      <c r="EL991">
        <v>0</v>
      </c>
      <c r="EM991">
        <v>0</v>
      </c>
      <c r="EN991">
        <v>27.4</v>
      </c>
      <c r="EO991">
        <v>0</v>
      </c>
      <c r="EP991">
        <v>1002.5</v>
      </c>
      <c r="EQ991">
        <v>0</v>
      </c>
      <c r="ER991">
        <v>494</v>
      </c>
      <c r="ES991">
        <v>0</v>
      </c>
      <c r="ET991">
        <v>699.3</v>
      </c>
      <c r="EU991">
        <v>435.4</v>
      </c>
      <c r="EV991">
        <v>0</v>
      </c>
      <c r="EW991">
        <v>0</v>
      </c>
      <c r="EX991">
        <v>0</v>
      </c>
      <c r="EY991">
        <v>0</v>
      </c>
      <c r="EZ991">
        <v>0</v>
      </c>
      <c r="FA991">
        <v>0</v>
      </c>
      <c r="FB991">
        <v>0</v>
      </c>
      <c r="FC991">
        <v>0</v>
      </c>
      <c r="FD991">
        <v>95.6</v>
      </c>
      <c r="FE991">
        <v>1792.1</v>
      </c>
      <c r="FF991">
        <v>1740.1999999999998</v>
      </c>
      <c r="FG991">
        <v>954.9</v>
      </c>
      <c r="FH991">
        <v>1087.8000000000002</v>
      </c>
      <c r="FI991">
        <v>1892.1</v>
      </c>
      <c r="FJ991">
        <v>1222.5</v>
      </c>
      <c r="FK991">
        <v>678.3</v>
      </c>
      <c r="FL991">
        <v>639.1</v>
      </c>
      <c r="FM991">
        <v>520.5</v>
      </c>
      <c r="FN991">
        <v>123.8</v>
      </c>
      <c r="FO991">
        <v>181.6</v>
      </c>
      <c r="FP991">
        <v>1090.5</v>
      </c>
      <c r="FQ991">
        <v>0</v>
      </c>
      <c r="FR991">
        <v>0</v>
      </c>
      <c r="FS991">
        <v>0</v>
      </c>
      <c r="FT991">
        <v>0</v>
      </c>
      <c r="FU991">
        <v>0</v>
      </c>
      <c r="FV991">
        <v>0</v>
      </c>
      <c r="FW991">
        <v>0</v>
      </c>
      <c r="FX991">
        <v>0</v>
      </c>
      <c r="FY991">
        <v>0</v>
      </c>
      <c r="FZ991">
        <v>0</v>
      </c>
      <c r="GA991">
        <v>0</v>
      </c>
      <c r="GB991">
        <v>0</v>
      </c>
      <c r="GC991">
        <v>0</v>
      </c>
      <c r="GD991">
        <v>0</v>
      </c>
      <c r="GE991">
        <v>0</v>
      </c>
      <c r="GF991">
        <v>198.3</v>
      </c>
      <c r="GG991">
        <v>1054.4000000000001</v>
      </c>
      <c r="GH991">
        <v>552.79999999999995</v>
      </c>
      <c r="GI991">
        <v>522</v>
      </c>
      <c r="GJ991">
        <v>0</v>
      </c>
      <c r="GK991">
        <v>0</v>
      </c>
      <c r="GL991">
        <v>0</v>
      </c>
      <c r="GM991">
        <v>0</v>
      </c>
      <c r="GN991">
        <v>791.40000000000009</v>
      </c>
      <c r="GO991">
        <v>1816.5</v>
      </c>
      <c r="GP991">
        <v>0</v>
      </c>
      <c r="GQ991">
        <v>0</v>
      </c>
      <c r="GR991">
        <v>0</v>
      </c>
      <c r="GS991">
        <v>0</v>
      </c>
      <c r="GT991">
        <v>0</v>
      </c>
      <c r="GU991">
        <v>0</v>
      </c>
      <c r="GV991">
        <v>0</v>
      </c>
      <c r="GW991">
        <v>0</v>
      </c>
      <c r="GX991">
        <v>0</v>
      </c>
      <c r="GY991">
        <v>840.3</v>
      </c>
      <c r="GZ991">
        <v>0</v>
      </c>
      <c r="HA991">
        <v>0</v>
      </c>
      <c r="HB991">
        <v>0</v>
      </c>
      <c r="HC991">
        <v>380.4</v>
      </c>
      <c r="HD991">
        <v>2175.5</v>
      </c>
      <c r="HE991">
        <v>0</v>
      </c>
      <c r="HF991">
        <v>0</v>
      </c>
      <c r="HG991">
        <v>0</v>
      </c>
      <c r="HH991">
        <v>0</v>
      </c>
      <c r="HI991">
        <v>0</v>
      </c>
      <c r="HJ991">
        <v>803.40000000000009</v>
      </c>
      <c r="HK991">
        <v>1270.9000000000001</v>
      </c>
      <c r="HL991">
        <v>835.7</v>
      </c>
      <c r="HM991">
        <v>1162.5999999999999</v>
      </c>
      <c r="HN991">
        <v>0</v>
      </c>
      <c r="HO991">
        <v>0</v>
      </c>
      <c r="HP991">
        <v>0</v>
      </c>
      <c r="HQ991">
        <v>0</v>
      </c>
      <c r="HR991">
        <v>161.19999999999999</v>
      </c>
      <c r="HS991">
        <v>0</v>
      </c>
      <c r="HT991">
        <v>2048.5</v>
      </c>
      <c r="HU991">
        <v>2627.5</v>
      </c>
      <c r="HV991">
        <v>1168.5999999999999</v>
      </c>
      <c r="HW991">
        <v>388</v>
      </c>
      <c r="HX991">
        <v>0</v>
      </c>
      <c r="HY991">
        <v>0</v>
      </c>
      <c r="HZ991">
        <v>0</v>
      </c>
      <c r="IA991">
        <v>0</v>
      </c>
      <c r="IB991">
        <v>0</v>
      </c>
      <c r="IC991">
        <v>594.4</v>
      </c>
      <c r="ID991">
        <v>427.4</v>
      </c>
      <c r="IE991">
        <v>713.3</v>
      </c>
      <c r="IF991">
        <v>626.1</v>
      </c>
      <c r="IG991">
        <v>0</v>
      </c>
      <c r="IH991">
        <v>0</v>
      </c>
      <c r="II991">
        <v>995.7</v>
      </c>
      <c r="IJ991">
        <v>1156.5999999999999</v>
      </c>
      <c r="IK991">
        <v>864.6</v>
      </c>
      <c r="IL991">
        <v>316.5</v>
      </c>
      <c r="IM991">
        <v>101.5</v>
      </c>
      <c r="IN991">
        <v>71.8</v>
      </c>
      <c r="IO991">
        <v>0</v>
      </c>
      <c r="IP991">
        <v>0</v>
      </c>
      <c r="IQ991">
        <v>0</v>
      </c>
      <c r="IR991">
        <v>0</v>
      </c>
      <c r="IS991">
        <v>0</v>
      </c>
      <c r="IT991">
        <v>0</v>
      </c>
      <c r="IU991">
        <v>0</v>
      </c>
      <c r="IV991">
        <v>0</v>
      </c>
      <c r="IW991">
        <v>68</v>
      </c>
      <c r="IX991">
        <v>404.7</v>
      </c>
      <c r="IY991">
        <v>126.6</v>
      </c>
      <c r="IZ991">
        <v>126.6</v>
      </c>
      <c r="JA991">
        <v>503.7</v>
      </c>
      <c r="JB991">
        <v>570.1</v>
      </c>
      <c r="JC991">
        <v>328.3</v>
      </c>
      <c r="JD991">
        <v>0</v>
      </c>
      <c r="JE991">
        <v>0</v>
      </c>
      <c r="JF991">
        <v>0</v>
      </c>
      <c r="JG991">
        <v>0</v>
      </c>
      <c r="JH991">
        <v>287.3</v>
      </c>
      <c r="JI991">
        <v>68.2</v>
      </c>
      <c r="JJ991">
        <v>0</v>
      </c>
      <c r="JK991">
        <v>148.6</v>
      </c>
      <c r="JL991">
        <v>0</v>
      </c>
      <c r="JM991">
        <v>0</v>
      </c>
      <c r="JN991">
        <v>204.5</v>
      </c>
      <c r="JO991">
        <v>292.10000000000002</v>
      </c>
      <c r="JP991">
        <v>670.8</v>
      </c>
      <c r="JQ991">
        <v>745.2</v>
      </c>
      <c r="JR991">
        <v>242.9</v>
      </c>
    </row>
    <row r="992" spans="2:278" ht="18" thickBot="1">
      <c r="B992" s="516" t="s">
        <v>1345</v>
      </c>
      <c r="C992" s="520" t="s">
        <v>1653</v>
      </c>
      <c r="D992" s="516" t="s">
        <v>1479</v>
      </c>
      <c r="E992" s="454">
        <v>22829.8</v>
      </c>
      <c r="F992">
        <v>20193.400000000001</v>
      </c>
      <c r="G992" s="427">
        <v>0</v>
      </c>
      <c r="H992" s="155">
        <v>0</v>
      </c>
      <c r="I992">
        <v>0</v>
      </c>
      <c r="J992">
        <v>0</v>
      </c>
      <c r="K992">
        <v>0</v>
      </c>
      <c r="L992" s="4">
        <v>0</v>
      </c>
      <c r="M992" s="4">
        <v>0</v>
      </c>
      <c r="N992" s="4">
        <v>0</v>
      </c>
      <c r="O992" s="4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1476.4</v>
      </c>
      <c r="X992">
        <v>1482</v>
      </c>
      <c r="Y992">
        <v>457.20000000000005</v>
      </c>
      <c r="Z992">
        <v>0</v>
      </c>
      <c r="AA992">
        <v>0</v>
      </c>
      <c r="AB992">
        <v>0</v>
      </c>
      <c r="AC992">
        <v>0</v>
      </c>
      <c r="AD992">
        <v>3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1828.6</v>
      </c>
      <c r="AK992">
        <v>1800.7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560.70000000000005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0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  <c r="CF992">
        <v>0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  <c r="CN992">
        <v>0</v>
      </c>
      <c r="CO992">
        <v>0</v>
      </c>
      <c r="CP992">
        <v>3.5</v>
      </c>
      <c r="CQ992">
        <v>0</v>
      </c>
      <c r="CR992">
        <v>528</v>
      </c>
      <c r="CS992">
        <v>581.79999999999995</v>
      </c>
      <c r="CT992">
        <v>555.40000000000009</v>
      </c>
      <c r="CU992">
        <v>737.4</v>
      </c>
      <c r="CV992">
        <v>1039.0999999999999</v>
      </c>
      <c r="CW992">
        <v>1667.3</v>
      </c>
      <c r="CX992">
        <v>877.6</v>
      </c>
      <c r="CY992">
        <v>910.40000000000009</v>
      </c>
      <c r="CZ992">
        <v>0</v>
      </c>
      <c r="DA992">
        <v>0</v>
      </c>
      <c r="DB992">
        <v>0</v>
      </c>
      <c r="DC992">
        <v>0</v>
      </c>
      <c r="DD992">
        <v>0</v>
      </c>
      <c r="DE992">
        <v>0</v>
      </c>
      <c r="DF992">
        <v>0</v>
      </c>
      <c r="DG992">
        <v>0</v>
      </c>
      <c r="DH992">
        <v>0</v>
      </c>
      <c r="DI992">
        <v>0</v>
      </c>
      <c r="DJ992">
        <v>0</v>
      </c>
      <c r="DK992">
        <v>0</v>
      </c>
      <c r="DL992">
        <v>995.5</v>
      </c>
      <c r="DM992">
        <v>712.7</v>
      </c>
      <c r="DN992">
        <v>0</v>
      </c>
      <c r="DO992">
        <v>0</v>
      </c>
      <c r="DP992">
        <v>0</v>
      </c>
      <c r="DQ992">
        <v>0</v>
      </c>
      <c r="DR992">
        <v>0</v>
      </c>
      <c r="DS992">
        <v>0</v>
      </c>
      <c r="DT992">
        <v>0</v>
      </c>
      <c r="DU992">
        <v>0</v>
      </c>
      <c r="DV992">
        <v>0</v>
      </c>
      <c r="DW992">
        <v>0</v>
      </c>
      <c r="DX992">
        <v>0</v>
      </c>
      <c r="DY992">
        <v>0</v>
      </c>
      <c r="DZ992">
        <v>0</v>
      </c>
      <c r="EA992">
        <v>0</v>
      </c>
      <c r="EB992">
        <v>0</v>
      </c>
      <c r="EC992">
        <v>0</v>
      </c>
      <c r="ED992">
        <v>0</v>
      </c>
      <c r="EE992">
        <v>0</v>
      </c>
      <c r="EF992">
        <v>0</v>
      </c>
      <c r="EG992">
        <v>0</v>
      </c>
      <c r="EH992">
        <v>0</v>
      </c>
      <c r="EI992">
        <v>0</v>
      </c>
      <c r="EJ992">
        <v>0</v>
      </c>
      <c r="EK992">
        <v>0</v>
      </c>
      <c r="EL992">
        <v>0</v>
      </c>
      <c r="EM992">
        <v>0</v>
      </c>
      <c r="EN992">
        <v>27.4</v>
      </c>
      <c r="EO992">
        <v>0</v>
      </c>
      <c r="EP992">
        <v>1002.5</v>
      </c>
      <c r="EQ992">
        <v>0</v>
      </c>
      <c r="ER992">
        <v>494</v>
      </c>
      <c r="ES992">
        <v>0</v>
      </c>
      <c r="ET992">
        <v>699.3</v>
      </c>
      <c r="EU992">
        <v>435.4</v>
      </c>
      <c r="EV992">
        <v>0</v>
      </c>
      <c r="EW992">
        <v>0</v>
      </c>
      <c r="EX992">
        <v>0</v>
      </c>
      <c r="EY992">
        <v>0</v>
      </c>
      <c r="EZ992">
        <v>0</v>
      </c>
      <c r="FA992">
        <v>0</v>
      </c>
      <c r="FB992">
        <v>0</v>
      </c>
      <c r="FC992">
        <v>0</v>
      </c>
      <c r="FD992">
        <v>95.6</v>
      </c>
      <c r="FE992">
        <v>1792.1</v>
      </c>
      <c r="FF992">
        <v>1740.1999999999998</v>
      </c>
      <c r="FG992">
        <v>954.9</v>
      </c>
      <c r="FH992">
        <v>1087.8000000000002</v>
      </c>
      <c r="FI992">
        <v>1892.1</v>
      </c>
      <c r="FJ992">
        <v>1222.5</v>
      </c>
      <c r="FK992">
        <v>678.3</v>
      </c>
      <c r="FL992">
        <v>639.1</v>
      </c>
      <c r="FM992">
        <v>520.5</v>
      </c>
      <c r="FN992">
        <v>123.8</v>
      </c>
      <c r="FO992">
        <v>181.6</v>
      </c>
      <c r="FP992">
        <v>1090.5</v>
      </c>
      <c r="FQ992">
        <v>0</v>
      </c>
      <c r="FR992">
        <v>0</v>
      </c>
      <c r="FS992">
        <v>0</v>
      </c>
      <c r="FT992">
        <v>0</v>
      </c>
      <c r="FU992">
        <v>0</v>
      </c>
      <c r="FV992">
        <v>0</v>
      </c>
      <c r="FW992">
        <v>0</v>
      </c>
      <c r="FX992">
        <v>0</v>
      </c>
      <c r="FY992">
        <v>0</v>
      </c>
      <c r="FZ992">
        <v>0</v>
      </c>
      <c r="GA992">
        <v>0</v>
      </c>
      <c r="GB992">
        <v>0</v>
      </c>
      <c r="GC992">
        <v>0</v>
      </c>
      <c r="GD992">
        <v>0</v>
      </c>
      <c r="GE992">
        <v>0</v>
      </c>
      <c r="GF992">
        <v>198.3</v>
      </c>
      <c r="GG992">
        <v>1054.4000000000001</v>
      </c>
      <c r="GH992">
        <v>552.79999999999995</v>
      </c>
      <c r="GI992">
        <v>522</v>
      </c>
      <c r="GJ992">
        <v>0</v>
      </c>
      <c r="GK992">
        <v>0</v>
      </c>
      <c r="GL992">
        <v>0</v>
      </c>
      <c r="GM992">
        <v>0</v>
      </c>
      <c r="GN992">
        <v>791.40000000000009</v>
      </c>
      <c r="GO992">
        <v>1816.5</v>
      </c>
      <c r="GP992">
        <v>0</v>
      </c>
      <c r="GQ992">
        <v>0</v>
      </c>
      <c r="GR992">
        <v>0</v>
      </c>
      <c r="GS992">
        <v>0</v>
      </c>
      <c r="GT992">
        <v>0</v>
      </c>
      <c r="GU992">
        <v>0</v>
      </c>
      <c r="GV992">
        <v>0</v>
      </c>
      <c r="GW992">
        <v>0</v>
      </c>
      <c r="GX992">
        <v>0</v>
      </c>
      <c r="GY992">
        <v>840.3</v>
      </c>
      <c r="GZ992">
        <v>0</v>
      </c>
      <c r="HA992">
        <v>0</v>
      </c>
      <c r="HB992">
        <v>0</v>
      </c>
      <c r="HC992">
        <v>380.4</v>
      </c>
      <c r="HD992">
        <v>2175.5</v>
      </c>
      <c r="HE992">
        <v>0</v>
      </c>
      <c r="HF992">
        <v>0</v>
      </c>
      <c r="HG992">
        <v>0</v>
      </c>
      <c r="HH992">
        <v>0</v>
      </c>
      <c r="HI992">
        <v>0</v>
      </c>
      <c r="HJ992">
        <v>803.40000000000009</v>
      </c>
      <c r="HK992">
        <v>1270.9000000000001</v>
      </c>
      <c r="HL992">
        <v>835.7</v>
      </c>
      <c r="HM992">
        <v>1162.5999999999999</v>
      </c>
      <c r="HN992">
        <v>0</v>
      </c>
      <c r="HO992">
        <v>0</v>
      </c>
      <c r="HP992">
        <v>0</v>
      </c>
      <c r="HQ992">
        <v>0</v>
      </c>
      <c r="HR992">
        <v>161.19999999999999</v>
      </c>
      <c r="HS992">
        <v>0</v>
      </c>
      <c r="HT992">
        <v>2048.5</v>
      </c>
      <c r="HU992">
        <v>2627.5</v>
      </c>
      <c r="HV992">
        <v>1168.5999999999999</v>
      </c>
      <c r="HW992">
        <v>388</v>
      </c>
      <c r="HX992">
        <v>0</v>
      </c>
      <c r="HY992">
        <v>0</v>
      </c>
      <c r="HZ992">
        <v>0</v>
      </c>
      <c r="IA992">
        <v>0</v>
      </c>
      <c r="IB992">
        <v>0</v>
      </c>
      <c r="IC992">
        <v>594.4</v>
      </c>
      <c r="ID992">
        <v>427.4</v>
      </c>
      <c r="IE992">
        <v>713.3</v>
      </c>
      <c r="IF992">
        <v>626.1</v>
      </c>
      <c r="IG992">
        <v>0</v>
      </c>
      <c r="IH992">
        <v>0</v>
      </c>
      <c r="II992">
        <v>995.7</v>
      </c>
      <c r="IJ992">
        <v>1156.5999999999999</v>
      </c>
      <c r="IK992">
        <v>864.6</v>
      </c>
      <c r="IL992">
        <v>316.5</v>
      </c>
      <c r="IM992">
        <v>101.5</v>
      </c>
      <c r="IN992">
        <v>71.8</v>
      </c>
      <c r="IO992">
        <v>0</v>
      </c>
      <c r="IP992">
        <v>0</v>
      </c>
      <c r="IQ992">
        <v>0</v>
      </c>
      <c r="IR992">
        <v>0</v>
      </c>
      <c r="IS992">
        <v>0</v>
      </c>
      <c r="IT992">
        <v>0</v>
      </c>
      <c r="IU992">
        <v>0</v>
      </c>
      <c r="IV992">
        <v>0</v>
      </c>
      <c r="IW992">
        <v>68</v>
      </c>
      <c r="IX992">
        <v>404.7</v>
      </c>
      <c r="IY992">
        <v>126.6</v>
      </c>
      <c r="IZ992">
        <v>126.6</v>
      </c>
      <c r="JA992">
        <v>503.7</v>
      </c>
      <c r="JB992">
        <v>570.1</v>
      </c>
      <c r="JC992">
        <v>328.3</v>
      </c>
      <c r="JD992">
        <v>0</v>
      </c>
      <c r="JE992">
        <v>0</v>
      </c>
      <c r="JF992">
        <v>0</v>
      </c>
      <c r="JG992">
        <v>0</v>
      </c>
      <c r="JH992">
        <v>287.3</v>
      </c>
      <c r="JI992">
        <v>68.2</v>
      </c>
      <c r="JJ992">
        <v>0</v>
      </c>
      <c r="JK992">
        <v>148.6</v>
      </c>
      <c r="JL992">
        <v>0</v>
      </c>
      <c r="JM992">
        <v>0</v>
      </c>
      <c r="JN992">
        <v>204.5</v>
      </c>
      <c r="JO992">
        <v>292.10000000000002</v>
      </c>
      <c r="JP992">
        <v>670.8</v>
      </c>
      <c r="JQ992">
        <v>745.2</v>
      </c>
      <c r="JR992">
        <v>242.9</v>
      </c>
    </row>
    <row r="993" spans="2:278" ht="18" thickBot="1">
      <c r="B993" s="516"/>
      <c r="C993" s="520"/>
      <c r="D993" s="516"/>
      <c r="E993" s="454">
        <v>22829.8</v>
      </c>
      <c r="F993">
        <v>20193.400000000001</v>
      </c>
      <c r="G993" s="427">
        <v>0</v>
      </c>
      <c r="H993" s="155">
        <v>0</v>
      </c>
      <c r="I993">
        <v>0</v>
      </c>
      <c r="J993">
        <v>0</v>
      </c>
      <c r="K993">
        <v>0</v>
      </c>
      <c r="L993" s="4">
        <v>0</v>
      </c>
      <c r="M993" s="4">
        <v>0</v>
      </c>
      <c r="N993" s="4">
        <v>0</v>
      </c>
      <c r="O993" s="4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1476.4</v>
      </c>
      <c r="X993">
        <v>1482</v>
      </c>
      <c r="Y993">
        <v>457.20000000000005</v>
      </c>
      <c r="Z993">
        <v>0</v>
      </c>
      <c r="AA993">
        <v>0</v>
      </c>
      <c r="AB993">
        <v>0</v>
      </c>
      <c r="AC993">
        <v>0</v>
      </c>
      <c r="AD993">
        <v>3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1828.6</v>
      </c>
      <c r="AK993">
        <v>1800.7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560.70000000000005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0</v>
      </c>
      <c r="BU993">
        <v>0</v>
      </c>
      <c r="BV993">
        <v>0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  <c r="CF993">
        <v>0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  <c r="CN993">
        <v>0</v>
      </c>
      <c r="CO993">
        <v>0</v>
      </c>
      <c r="CP993">
        <v>3.5</v>
      </c>
      <c r="CQ993">
        <v>0</v>
      </c>
      <c r="CR993">
        <v>528</v>
      </c>
      <c r="CS993">
        <v>581.79999999999995</v>
      </c>
      <c r="CT993">
        <v>555.40000000000009</v>
      </c>
      <c r="CU993">
        <v>737.4</v>
      </c>
      <c r="CV993">
        <v>1039.0999999999999</v>
      </c>
      <c r="CW993">
        <v>1667.3</v>
      </c>
      <c r="CX993">
        <v>877.6</v>
      </c>
      <c r="CY993">
        <v>910.40000000000009</v>
      </c>
      <c r="CZ993">
        <v>0</v>
      </c>
      <c r="DA993">
        <v>0</v>
      </c>
      <c r="DB993">
        <v>0</v>
      </c>
      <c r="DC993">
        <v>0</v>
      </c>
      <c r="DD993">
        <v>0</v>
      </c>
      <c r="DE993">
        <v>0</v>
      </c>
      <c r="DF993">
        <v>0</v>
      </c>
      <c r="DG993">
        <v>0</v>
      </c>
      <c r="DH993">
        <v>0</v>
      </c>
      <c r="DI993">
        <v>0</v>
      </c>
      <c r="DJ993">
        <v>0</v>
      </c>
      <c r="DK993">
        <v>0</v>
      </c>
      <c r="DL993">
        <v>995.5</v>
      </c>
      <c r="DM993">
        <v>712.7</v>
      </c>
      <c r="DN993">
        <v>0</v>
      </c>
      <c r="DO993">
        <v>0</v>
      </c>
      <c r="DP993">
        <v>0</v>
      </c>
      <c r="DQ993">
        <v>0</v>
      </c>
      <c r="DR993">
        <v>0</v>
      </c>
      <c r="DS993">
        <v>0</v>
      </c>
      <c r="DT993">
        <v>0</v>
      </c>
      <c r="DU993">
        <v>0</v>
      </c>
      <c r="DV993">
        <v>0</v>
      </c>
      <c r="DW993">
        <v>0</v>
      </c>
      <c r="DX993">
        <v>0</v>
      </c>
      <c r="DY993">
        <v>0</v>
      </c>
      <c r="DZ993">
        <v>0</v>
      </c>
      <c r="EA993">
        <v>0</v>
      </c>
      <c r="EB993">
        <v>0</v>
      </c>
      <c r="EC993">
        <v>0</v>
      </c>
      <c r="ED993">
        <v>0</v>
      </c>
      <c r="EE993">
        <v>0</v>
      </c>
      <c r="EF993">
        <v>0</v>
      </c>
      <c r="EG993">
        <v>0</v>
      </c>
      <c r="EH993">
        <v>0</v>
      </c>
      <c r="EI993">
        <v>0</v>
      </c>
      <c r="EJ993">
        <v>0</v>
      </c>
      <c r="EK993">
        <v>0</v>
      </c>
      <c r="EL993">
        <v>0</v>
      </c>
      <c r="EM993">
        <v>0</v>
      </c>
      <c r="EN993">
        <v>27.4</v>
      </c>
      <c r="EO993">
        <v>0</v>
      </c>
      <c r="EP993">
        <v>1002.5</v>
      </c>
      <c r="EQ993">
        <v>0</v>
      </c>
      <c r="ER993">
        <v>494</v>
      </c>
      <c r="ES993">
        <v>0</v>
      </c>
      <c r="ET993">
        <v>699.3</v>
      </c>
      <c r="EU993">
        <v>435.4</v>
      </c>
      <c r="EV993">
        <v>0</v>
      </c>
      <c r="EW993">
        <v>0</v>
      </c>
      <c r="EX993">
        <v>0</v>
      </c>
      <c r="EY993">
        <v>0</v>
      </c>
      <c r="EZ993">
        <v>0</v>
      </c>
      <c r="FA993">
        <v>0</v>
      </c>
      <c r="FB993">
        <v>0</v>
      </c>
      <c r="FC993">
        <v>0</v>
      </c>
      <c r="FD993">
        <v>95.6</v>
      </c>
      <c r="FE993">
        <v>1792.1</v>
      </c>
      <c r="FF993">
        <v>1740.1999999999998</v>
      </c>
      <c r="FG993">
        <v>954.9</v>
      </c>
      <c r="FH993">
        <v>1087.8000000000002</v>
      </c>
      <c r="FI993">
        <v>1892.1</v>
      </c>
      <c r="FJ993">
        <v>1222.5</v>
      </c>
      <c r="FK993">
        <v>678.3</v>
      </c>
      <c r="FL993">
        <v>639.1</v>
      </c>
      <c r="FM993">
        <v>520.5</v>
      </c>
      <c r="FN993">
        <v>123.8</v>
      </c>
      <c r="FO993">
        <v>181.6</v>
      </c>
      <c r="FP993">
        <v>1090.5</v>
      </c>
      <c r="FQ993">
        <v>0</v>
      </c>
      <c r="FR993">
        <v>0</v>
      </c>
      <c r="FS993">
        <v>0</v>
      </c>
      <c r="FT993">
        <v>0</v>
      </c>
      <c r="FU993">
        <v>0</v>
      </c>
      <c r="FV993">
        <v>0</v>
      </c>
      <c r="FW993">
        <v>0</v>
      </c>
      <c r="FX993">
        <v>0</v>
      </c>
      <c r="FY993">
        <v>0</v>
      </c>
      <c r="FZ993">
        <v>0</v>
      </c>
      <c r="GA993">
        <v>0</v>
      </c>
      <c r="GB993">
        <v>0</v>
      </c>
      <c r="GC993">
        <v>0</v>
      </c>
      <c r="GD993">
        <v>0</v>
      </c>
      <c r="GE993">
        <v>0</v>
      </c>
      <c r="GF993">
        <v>198.3</v>
      </c>
      <c r="GG993">
        <v>1054.4000000000001</v>
      </c>
      <c r="GH993">
        <v>552.79999999999995</v>
      </c>
      <c r="GI993">
        <v>522</v>
      </c>
      <c r="GJ993">
        <v>0</v>
      </c>
      <c r="GK993">
        <v>0</v>
      </c>
      <c r="GL993">
        <v>0</v>
      </c>
      <c r="GM993">
        <v>0</v>
      </c>
      <c r="GN993">
        <v>791.40000000000009</v>
      </c>
      <c r="GO993">
        <v>1816.5</v>
      </c>
      <c r="GP993">
        <v>0</v>
      </c>
      <c r="GQ993">
        <v>0</v>
      </c>
      <c r="GR993">
        <v>0</v>
      </c>
      <c r="GS993">
        <v>0</v>
      </c>
      <c r="GT993">
        <v>0</v>
      </c>
      <c r="GU993">
        <v>0</v>
      </c>
      <c r="GV993">
        <v>0</v>
      </c>
      <c r="GW993">
        <v>0</v>
      </c>
      <c r="GX993">
        <v>0</v>
      </c>
      <c r="GY993">
        <v>840.3</v>
      </c>
      <c r="GZ993">
        <v>0</v>
      </c>
      <c r="HA993">
        <v>0</v>
      </c>
      <c r="HB993">
        <v>0</v>
      </c>
      <c r="HC993">
        <v>380.4</v>
      </c>
      <c r="HD993">
        <v>2175.5</v>
      </c>
      <c r="HE993">
        <v>0</v>
      </c>
      <c r="HF993">
        <v>0</v>
      </c>
      <c r="HG993">
        <v>0</v>
      </c>
      <c r="HH993">
        <v>0</v>
      </c>
      <c r="HI993">
        <v>0</v>
      </c>
      <c r="HJ993">
        <v>803.40000000000009</v>
      </c>
      <c r="HK993">
        <v>1270.9000000000001</v>
      </c>
      <c r="HL993">
        <v>835.7</v>
      </c>
      <c r="HM993">
        <v>1162.5999999999999</v>
      </c>
      <c r="HN993">
        <v>0</v>
      </c>
      <c r="HO993">
        <v>0</v>
      </c>
      <c r="HP993">
        <v>0</v>
      </c>
      <c r="HQ993">
        <v>0</v>
      </c>
      <c r="HR993">
        <v>161.19999999999999</v>
      </c>
      <c r="HS993">
        <v>0</v>
      </c>
      <c r="HT993">
        <v>2048.5</v>
      </c>
      <c r="HU993">
        <v>2627.5</v>
      </c>
      <c r="HV993">
        <v>1168.5999999999999</v>
      </c>
      <c r="HW993">
        <v>388</v>
      </c>
      <c r="HX993">
        <v>0</v>
      </c>
      <c r="HY993">
        <v>0</v>
      </c>
      <c r="HZ993">
        <v>0</v>
      </c>
      <c r="IA993">
        <v>0</v>
      </c>
      <c r="IB993">
        <v>0</v>
      </c>
      <c r="IC993">
        <v>594.4</v>
      </c>
      <c r="ID993">
        <v>427.4</v>
      </c>
      <c r="IE993">
        <v>713.3</v>
      </c>
      <c r="IF993">
        <v>626.1</v>
      </c>
      <c r="IG993">
        <v>0</v>
      </c>
      <c r="IH993">
        <v>0</v>
      </c>
      <c r="II993">
        <v>995.7</v>
      </c>
      <c r="IJ993">
        <v>1156.5999999999999</v>
      </c>
      <c r="IK993">
        <v>864.6</v>
      </c>
      <c r="IL993">
        <v>316.5</v>
      </c>
      <c r="IM993">
        <v>101.5</v>
      </c>
      <c r="IN993">
        <v>71.8</v>
      </c>
      <c r="IO993">
        <v>0</v>
      </c>
      <c r="IP993">
        <v>0</v>
      </c>
      <c r="IQ993">
        <v>0</v>
      </c>
      <c r="IR993">
        <v>0</v>
      </c>
      <c r="IS993">
        <v>0</v>
      </c>
      <c r="IT993">
        <v>0</v>
      </c>
      <c r="IU993">
        <v>0</v>
      </c>
      <c r="IV993">
        <v>0</v>
      </c>
      <c r="IW993">
        <v>68</v>
      </c>
      <c r="IX993">
        <v>404.7</v>
      </c>
      <c r="IY993">
        <v>126.6</v>
      </c>
      <c r="IZ993">
        <v>126.6</v>
      </c>
      <c r="JA993">
        <v>503.7</v>
      </c>
      <c r="JB993">
        <v>570.1</v>
      </c>
      <c r="JC993">
        <v>328.3</v>
      </c>
      <c r="JD993">
        <v>0</v>
      </c>
      <c r="JE993">
        <v>0</v>
      </c>
      <c r="JF993">
        <v>0</v>
      </c>
      <c r="JG993">
        <v>0</v>
      </c>
      <c r="JH993">
        <v>287.3</v>
      </c>
      <c r="JI993">
        <v>68.2</v>
      </c>
      <c r="JJ993">
        <v>0</v>
      </c>
      <c r="JK993">
        <v>148.6</v>
      </c>
      <c r="JL993">
        <v>0</v>
      </c>
      <c r="JM993">
        <v>0</v>
      </c>
      <c r="JN993">
        <v>204.5</v>
      </c>
      <c r="JO993">
        <v>292.10000000000002</v>
      </c>
      <c r="JP993">
        <v>670.8</v>
      </c>
      <c r="JQ993">
        <v>745.2</v>
      </c>
      <c r="JR993">
        <v>242.9</v>
      </c>
    </row>
    <row r="994" spans="2:278" ht="18" thickBot="1">
      <c r="B994" s="368" t="s">
        <v>1346</v>
      </c>
      <c r="C994" s="387" t="s">
        <v>1654</v>
      </c>
      <c r="D994" s="387"/>
      <c r="E994" s="454">
        <v>22829.8</v>
      </c>
      <c r="F994">
        <v>20193.400000000001</v>
      </c>
      <c r="G994" s="427">
        <v>0</v>
      </c>
      <c r="H994" s="155">
        <v>0</v>
      </c>
      <c r="I994">
        <v>0</v>
      </c>
      <c r="J994">
        <v>0</v>
      </c>
      <c r="K994">
        <v>0</v>
      </c>
      <c r="L994" s="4">
        <v>0</v>
      </c>
      <c r="M994" s="4">
        <v>0</v>
      </c>
      <c r="N994" s="4">
        <v>0</v>
      </c>
      <c r="O994" s="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1476.4</v>
      </c>
      <c r="X994">
        <v>1482</v>
      </c>
      <c r="Y994">
        <v>457.20000000000005</v>
      </c>
      <c r="Z994">
        <v>0</v>
      </c>
      <c r="AA994">
        <v>0</v>
      </c>
      <c r="AB994">
        <v>0</v>
      </c>
      <c r="AC994">
        <v>0</v>
      </c>
      <c r="AD994">
        <v>3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1828.6</v>
      </c>
      <c r="AK994">
        <v>1800.7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560.70000000000005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0</v>
      </c>
      <c r="BN994">
        <v>0</v>
      </c>
      <c r="BO994">
        <v>0</v>
      </c>
      <c r="BP994">
        <v>0</v>
      </c>
      <c r="BQ994">
        <v>0</v>
      </c>
      <c r="BR994">
        <v>0</v>
      </c>
      <c r="BS994">
        <v>0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  <c r="CF994">
        <v>0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  <c r="CN994">
        <v>0</v>
      </c>
      <c r="CO994">
        <v>0</v>
      </c>
      <c r="CP994">
        <v>3.5</v>
      </c>
      <c r="CQ994">
        <v>0</v>
      </c>
      <c r="CR994">
        <v>528</v>
      </c>
      <c r="CS994">
        <v>581.79999999999995</v>
      </c>
      <c r="CT994">
        <v>555.40000000000009</v>
      </c>
      <c r="CU994">
        <v>737.4</v>
      </c>
      <c r="CV994">
        <v>1039.0999999999999</v>
      </c>
      <c r="CW994">
        <v>1667.3</v>
      </c>
      <c r="CX994">
        <v>877.6</v>
      </c>
      <c r="CY994">
        <v>910.40000000000009</v>
      </c>
      <c r="CZ994">
        <v>0</v>
      </c>
      <c r="DA994">
        <v>0</v>
      </c>
      <c r="DB994">
        <v>0</v>
      </c>
      <c r="DC994">
        <v>0</v>
      </c>
      <c r="DD994">
        <v>0</v>
      </c>
      <c r="DE994">
        <v>0</v>
      </c>
      <c r="DF994">
        <v>0</v>
      </c>
      <c r="DG994">
        <v>0</v>
      </c>
      <c r="DH994">
        <v>0</v>
      </c>
      <c r="DI994">
        <v>0</v>
      </c>
      <c r="DJ994">
        <v>0</v>
      </c>
      <c r="DK994">
        <v>0</v>
      </c>
      <c r="DL994">
        <v>995.5</v>
      </c>
      <c r="DM994">
        <v>712.7</v>
      </c>
      <c r="DN994">
        <v>0</v>
      </c>
      <c r="DO994">
        <v>0</v>
      </c>
      <c r="DP994">
        <v>0</v>
      </c>
      <c r="DQ994">
        <v>0</v>
      </c>
      <c r="DR994">
        <v>0</v>
      </c>
      <c r="DS994">
        <v>0</v>
      </c>
      <c r="DT994">
        <v>0</v>
      </c>
      <c r="DU994">
        <v>0</v>
      </c>
      <c r="DV994">
        <v>0</v>
      </c>
      <c r="DW994">
        <v>0</v>
      </c>
      <c r="DX994">
        <v>0</v>
      </c>
      <c r="DY994">
        <v>0</v>
      </c>
      <c r="DZ994">
        <v>0</v>
      </c>
      <c r="EA994">
        <v>0</v>
      </c>
      <c r="EB994">
        <v>0</v>
      </c>
      <c r="EC994">
        <v>0</v>
      </c>
      <c r="ED994">
        <v>0</v>
      </c>
      <c r="EE994">
        <v>0</v>
      </c>
      <c r="EF994">
        <v>0</v>
      </c>
      <c r="EG994">
        <v>0</v>
      </c>
      <c r="EH994">
        <v>0</v>
      </c>
      <c r="EI994">
        <v>0</v>
      </c>
      <c r="EJ994">
        <v>0</v>
      </c>
      <c r="EK994">
        <v>0</v>
      </c>
      <c r="EL994">
        <v>0</v>
      </c>
      <c r="EM994">
        <v>0</v>
      </c>
      <c r="EN994">
        <v>27.4</v>
      </c>
      <c r="EO994">
        <v>0</v>
      </c>
      <c r="EP994">
        <v>1002.5</v>
      </c>
      <c r="EQ994">
        <v>0</v>
      </c>
      <c r="ER994">
        <v>494</v>
      </c>
      <c r="ES994">
        <v>0</v>
      </c>
      <c r="ET994">
        <v>699.3</v>
      </c>
      <c r="EU994">
        <v>435.4</v>
      </c>
      <c r="EV994">
        <v>0</v>
      </c>
      <c r="EW994">
        <v>0</v>
      </c>
      <c r="EX994">
        <v>0</v>
      </c>
      <c r="EY994">
        <v>0</v>
      </c>
      <c r="EZ994">
        <v>0</v>
      </c>
      <c r="FA994">
        <v>0</v>
      </c>
      <c r="FB994">
        <v>0</v>
      </c>
      <c r="FC994">
        <v>0</v>
      </c>
      <c r="FD994">
        <v>95.6</v>
      </c>
      <c r="FE994">
        <v>1792.1</v>
      </c>
      <c r="FF994">
        <v>1740.1999999999998</v>
      </c>
      <c r="FG994">
        <v>954.9</v>
      </c>
      <c r="FH994">
        <v>1087.8000000000002</v>
      </c>
      <c r="FI994">
        <v>1892.1</v>
      </c>
      <c r="FJ994">
        <v>1222.5</v>
      </c>
      <c r="FK994">
        <v>678.3</v>
      </c>
      <c r="FL994">
        <v>639.1</v>
      </c>
      <c r="FM994">
        <v>520.5</v>
      </c>
      <c r="FN994">
        <v>123.8</v>
      </c>
      <c r="FO994">
        <v>181.6</v>
      </c>
      <c r="FP994">
        <v>1090.5</v>
      </c>
      <c r="FQ994">
        <v>0</v>
      </c>
      <c r="FR994">
        <v>0</v>
      </c>
      <c r="FS994">
        <v>0</v>
      </c>
      <c r="FT994">
        <v>0</v>
      </c>
      <c r="FU994">
        <v>0</v>
      </c>
      <c r="FV994">
        <v>0</v>
      </c>
      <c r="FW994">
        <v>0</v>
      </c>
      <c r="FX994">
        <v>0</v>
      </c>
      <c r="FY994">
        <v>0</v>
      </c>
      <c r="FZ994">
        <v>0</v>
      </c>
      <c r="GA994">
        <v>0</v>
      </c>
      <c r="GB994">
        <v>0</v>
      </c>
      <c r="GC994">
        <v>0</v>
      </c>
      <c r="GD994">
        <v>0</v>
      </c>
      <c r="GE994">
        <v>0</v>
      </c>
      <c r="GF994">
        <v>198.3</v>
      </c>
      <c r="GG994">
        <v>1054.4000000000001</v>
      </c>
      <c r="GH994">
        <v>552.79999999999995</v>
      </c>
      <c r="GI994">
        <v>522</v>
      </c>
      <c r="GJ994">
        <v>0</v>
      </c>
      <c r="GK994">
        <v>0</v>
      </c>
      <c r="GL994">
        <v>0</v>
      </c>
      <c r="GM994">
        <v>0</v>
      </c>
      <c r="GN994">
        <v>791.40000000000009</v>
      </c>
      <c r="GO994">
        <v>1816.5</v>
      </c>
      <c r="GP994">
        <v>0</v>
      </c>
      <c r="GQ994">
        <v>0</v>
      </c>
      <c r="GR994">
        <v>0</v>
      </c>
      <c r="GS994">
        <v>0</v>
      </c>
      <c r="GT994">
        <v>0</v>
      </c>
      <c r="GU994">
        <v>0</v>
      </c>
      <c r="GV994">
        <v>0</v>
      </c>
      <c r="GW994">
        <v>0</v>
      </c>
      <c r="GX994">
        <v>0</v>
      </c>
      <c r="GY994">
        <v>840.3</v>
      </c>
      <c r="GZ994">
        <v>0</v>
      </c>
      <c r="HA994">
        <v>0</v>
      </c>
      <c r="HB994">
        <v>0</v>
      </c>
      <c r="HC994">
        <v>380.4</v>
      </c>
      <c r="HD994">
        <v>2175.5</v>
      </c>
      <c r="HE994">
        <v>0</v>
      </c>
      <c r="HF994">
        <v>0</v>
      </c>
      <c r="HG994">
        <v>0</v>
      </c>
      <c r="HH994">
        <v>0</v>
      </c>
      <c r="HI994">
        <v>0</v>
      </c>
      <c r="HJ994">
        <v>803.40000000000009</v>
      </c>
      <c r="HK994">
        <v>1270.9000000000001</v>
      </c>
      <c r="HL994">
        <v>835.7</v>
      </c>
      <c r="HM994">
        <v>1162.5999999999999</v>
      </c>
      <c r="HN994">
        <v>0</v>
      </c>
      <c r="HO994">
        <v>0</v>
      </c>
      <c r="HP994">
        <v>0</v>
      </c>
      <c r="HQ994">
        <v>0</v>
      </c>
      <c r="HR994">
        <v>161.19999999999999</v>
      </c>
      <c r="HS994">
        <v>0</v>
      </c>
      <c r="HT994">
        <v>2048.5</v>
      </c>
      <c r="HU994">
        <v>2627.5</v>
      </c>
      <c r="HV994">
        <v>1168.5999999999999</v>
      </c>
      <c r="HW994">
        <v>388</v>
      </c>
      <c r="HX994">
        <v>0</v>
      </c>
      <c r="HY994">
        <v>0</v>
      </c>
      <c r="HZ994">
        <v>0</v>
      </c>
      <c r="IA994">
        <v>0</v>
      </c>
      <c r="IB994">
        <v>0</v>
      </c>
      <c r="IC994">
        <v>594.4</v>
      </c>
      <c r="ID994">
        <v>427.4</v>
      </c>
      <c r="IE994">
        <v>713.3</v>
      </c>
      <c r="IF994">
        <v>626.1</v>
      </c>
      <c r="IG994">
        <v>0</v>
      </c>
      <c r="IH994">
        <v>0</v>
      </c>
      <c r="II994">
        <v>995.7</v>
      </c>
      <c r="IJ994">
        <v>1156.5999999999999</v>
      </c>
      <c r="IK994">
        <v>864.6</v>
      </c>
      <c r="IL994">
        <v>316.5</v>
      </c>
      <c r="IM994">
        <v>101.5</v>
      </c>
      <c r="IN994">
        <v>71.8</v>
      </c>
      <c r="IO994">
        <v>0</v>
      </c>
      <c r="IP994">
        <v>0</v>
      </c>
      <c r="IQ994">
        <v>0</v>
      </c>
      <c r="IR994">
        <v>0</v>
      </c>
      <c r="IS994">
        <v>0</v>
      </c>
      <c r="IT994">
        <v>0</v>
      </c>
      <c r="IU994">
        <v>0</v>
      </c>
      <c r="IV994">
        <v>0</v>
      </c>
      <c r="IW994">
        <v>68</v>
      </c>
      <c r="IX994">
        <v>404.7</v>
      </c>
      <c r="IY994">
        <v>126.6</v>
      </c>
      <c r="IZ994">
        <v>126.6</v>
      </c>
      <c r="JA994">
        <v>503.7</v>
      </c>
      <c r="JB994">
        <v>570.1</v>
      </c>
      <c r="JC994">
        <v>328.3</v>
      </c>
      <c r="JD994">
        <v>0</v>
      </c>
      <c r="JE994">
        <v>0</v>
      </c>
      <c r="JF994">
        <v>0</v>
      </c>
      <c r="JG994">
        <v>0</v>
      </c>
      <c r="JH994">
        <v>287.3</v>
      </c>
      <c r="JI994">
        <v>68.2</v>
      </c>
      <c r="JJ994">
        <v>0</v>
      </c>
      <c r="JK994">
        <v>148.6</v>
      </c>
      <c r="JL994">
        <v>0</v>
      </c>
      <c r="JM994">
        <v>0</v>
      </c>
      <c r="JN994">
        <v>204.5</v>
      </c>
      <c r="JO994">
        <v>292.10000000000002</v>
      </c>
      <c r="JP994">
        <v>670.8</v>
      </c>
      <c r="JQ994">
        <v>745.2</v>
      </c>
      <c r="JR994">
        <v>242.9</v>
      </c>
    </row>
    <row r="995" spans="2:278" ht="18" thickBot="1">
      <c r="B995" s="516" t="s">
        <v>1347</v>
      </c>
      <c r="C995" s="520" t="s">
        <v>1655</v>
      </c>
      <c r="D995" s="516" t="s">
        <v>1480</v>
      </c>
      <c r="E995" s="454">
        <v>22829.8</v>
      </c>
      <c r="F995">
        <v>20193.400000000001</v>
      </c>
      <c r="G995" s="427">
        <v>0</v>
      </c>
      <c r="H995" s="155">
        <v>0</v>
      </c>
      <c r="I995">
        <v>0</v>
      </c>
      <c r="J995">
        <v>0</v>
      </c>
      <c r="K995">
        <v>0</v>
      </c>
      <c r="L995" s="4">
        <v>0</v>
      </c>
      <c r="M995" s="4">
        <v>0</v>
      </c>
      <c r="N995" s="4">
        <v>0</v>
      </c>
      <c r="O995" s="4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1476.4</v>
      </c>
      <c r="X995">
        <v>1482</v>
      </c>
      <c r="Y995">
        <v>457.20000000000005</v>
      </c>
      <c r="Z995">
        <v>0</v>
      </c>
      <c r="AA995">
        <v>0</v>
      </c>
      <c r="AB995">
        <v>0</v>
      </c>
      <c r="AC995">
        <v>0</v>
      </c>
      <c r="AD995">
        <v>3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1828.6</v>
      </c>
      <c r="AK995">
        <v>1800.7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560.70000000000005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0</v>
      </c>
      <c r="BN995">
        <v>0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  <c r="CF995">
        <v>0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  <c r="CN995">
        <v>0</v>
      </c>
      <c r="CO995">
        <v>0</v>
      </c>
      <c r="CP995">
        <v>3.5</v>
      </c>
      <c r="CQ995">
        <v>0</v>
      </c>
      <c r="CR995">
        <v>528</v>
      </c>
      <c r="CS995">
        <v>581.79999999999995</v>
      </c>
      <c r="CT995">
        <v>555.40000000000009</v>
      </c>
      <c r="CU995">
        <v>737.4</v>
      </c>
      <c r="CV995">
        <v>1039.0999999999999</v>
      </c>
      <c r="CW995">
        <v>1667.3</v>
      </c>
      <c r="CX995">
        <v>877.6</v>
      </c>
      <c r="CY995">
        <v>910.40000000000009</v>
      </c>
      <c r="CZ995">
        <v>0</v>
      </c>
      <c r="DA995">
        <v>0</v>
      </c>
      <c r="DB995">
        <v>0</v>
      </c>
      <c r="DC995">
        <v>0</v>
      </c>
      <c r="DD995">
        <v>0</v>
      </c>
      <c r="DE995">
        <v>0</v>
      </c>
      <c r="DF995">
        <v>0</v>
      </c>
      <c r="DG995">
        <v>0</v>
      </c>
      <c r="DH995">
        <v>0</v>
      </c>
      <c r="DI995">
        <v>0</v>
      </c>
      <c r="DJ995">
        <v>0</v>
      </c>
      <c r="DK995">
        <v>0</v>
      </c>
      <c r="DL995">
        <v>995.5</v>
      </c>
      <c r="DM995">
        <v>712.7</v>
      </c>
      <c r="DN995">
        <v>0</v>
      </c>
      <c r="DO995">
        <v>0</v>
      </c>
      <c r="DP995">
        <v>0</v>
      </c>
      <c r="DQ995">
        <v>0</v>
      </c>
      <c r="DR995">
        <v>0</v>
      </c>
      <c r="DS995">
        <v>0</v>
      </c>
      <c r="DT995">
        <v>0</v>
      </c>
      <c r="DU995">
        <v>0</v>
      </c>
      <c r="DV995">
        <v>0</v>
      </c>
      <c r="DW995">
        <v>0</v>
      </c>
      <c r="DX995">
        <v>0</v>
      </c>
      <c r="DY995">
        <v>0</v>
      </c>
      <c r="DZ995">
        <v>0</v>
      </c>
      <c r="EA995">
        <v>0</v>
      </c>
      <c r="EB995">
        <v>0</v>
      </c>
      <c r="EC995">
        <v>0</v>
      </c>
      <c r="ED995">
        <v>0</v>
      </c>
      <c r="EE995">
        <v>0</v>
      </c>
      <c r="EF995">
        <v>0</v>
      </c>
      <c r="EG995">
        <v>0</v>
      </c>
      <c r="EH995">
        <v>0</v>
      </c>
      <c r="EI995">
        <v>0</v>
      </c>
      <c r="EJ995">
        <v>0</v>
      </c>
      <c r="EK995">
        <v>0</v>
      </c>
      <c r="EL995">
        <v>0</v>
      </c>
      <c r="EM995">
        <v>0</v>
      </c>
      <c r="EN995">
        <v>27.4</v>
      </c>
      <c r="EO995">
        <v>0</v>
      </c>
      <c r="EP995">
        <v>1002.5</v>
      </c>
      <c r="EQ995">
        <v>0</v>
      </c>
      <c r="ER995">
        <v>494</v>
      </c>
      <c r="ES995">
        <v>0</v>
      </c>
      <c r="ET995">
        <v>699.3</v>
      </c>
      <c r="EU995">
        <v>435.4</v>
      </c>
      <c r="EV995">
        <v>0</v>
      </c>
      <c r="EW995">
        <v>0</v>
      </c>
      <c r="EX995">
        <v>0</v>
      </c>
      <c r="EY995">
        <v>0</v>
      </c>
      <c r="EZ995">
        <v>0</v>
      </c>
      <c r="FA995">
        <v>0</v>
      </c>
      <c r="FB995">
        <v>0</v>
      </c>
      <c r="FC995">
        <v>0</v>
      </c>
      <c r="FD995">
        <v>95.6</v>
      </c>
      <c r="FE995">
        <v>1792.1</v>
      </c>
      <c r="FF995">
        <v>1740.1999999999998</v>
      </c>
      <c r="FG995">
        <v>954.9</v>
      </c>
      <c r="FH995">
        <v>1087.8000000000002</v>
      </c>
      <c r="FI995">
        <v>1892.1</v>
      </c>
      <c r="FJ995">
        <v>1222.5</v>
      </c>
      <c r="FK995">
        <v>678.3</v>
      </c>
      <c r="FL995">
        <v>639.1</v>
      </c>
      <c r="FM995">
        <v>520.5</v>
      </c>
      <c r="FN995">
        <v>123.8</v>
      </c>
      <c r="FO995">
        <v>181.6</v>
      </c>
      <c r="FP995">
        <v>1090.5</v>
      </c>
      <c r="FQ995">
        <v>0</v>
      </c>
      <c r="FR995">
        <v>0</v>
      </c>
      <c r="FS995">
        <v>0</v>
      </c>
      <c r="FT995">
        <v>0</v>
      </c>
      <c r="FU995">
        <v>0</v>
      </c>
      <c r="FV995">
        <v>0</v>
      </c>
      <c r="FW995">
        <v>0</v>
      </c>
      <c r="FX995">
        <v>0</v>
      </c>
      <c r="FY995">
        <v>0</v>
      </c>
      <c r="FZ995">
        <v>0</v>
      </c>
      <c r="GA995">
        <v>0</v>
      </c>
      <c r="GB995">
        <v>0</v>
      </c>
      <c r="GC995">
        <v>0</v>
      </c>
      <c r="GD995">
        <v>0</v>
      </c>
      <c r="GE995">
        <v>0</v>
      </c>
      <c r="GF995">
        <v>198.3</v>
      </c>
      <c r="GG995">
        <v>1054.4000000000001</v>
      </c>
      <c r="GH995">
        <v>552.79999999999995</v>
      </c>
      <c r="GI995">
        <v>522</v>
      </c>
      <c r="GJ995">
        <v>0</v>
      </c>
      <c r="GK995">
        <v>0</v>
      </c>
      <c r="GL995">
        <v>0</v>
      </c>
      <c r="GM995">
        <v>0</v>
      </c>
      <c r="GN995">
        <v>791.40000000000009</v>
      </c>
      <c r="GO995">
        <v>1816.5</v>
      </c>
      <c r="GP995">
        <v>0</v>
      </c>
      <c r="GQ995">
        <v>0</v>
      </c>
      <c r="GR995">
        <v>0</v>
      </c>
      <c r="GS995">
        <v>0</v>
      </c>
      <c r="GT995">
        <v>0</v>
      </c>
      <c r="GU995">
        <v>0</v>
      </c>
      <c r="GV995">
        <v>0</v>
      </c>
      <c r="GW995">
        <v>0</v>
      </c>
      <c r="GX995">
        <v>0</v>
      </c>
      <c r="GY995">
        <v>840.3</v>
      </c>
      <c r="GZ995">
        <v>0</v>
      </c>
      <c r="HA995">
        <v>0</v>
      </c>
      <c r="HB995">
        <v>0</v>
      </c>
      <c r="HC995">
        <v>380.4</v>
      </c>
      <c r="HD995">
        <v>2175.5</v>
      </c>
      <c r="HE995">
        <v>0</v>
      </c>
      <c r="HF995">
        <v>0</v>
      </c>
      <c r="HG995">
        <v>0</v>
      </c>
      <c r="HH995">
        <v>0</v>
      </c>
      <c r="HI995">
        <v>0</v>
      </c>
      <c r="HJ995">
        <v>803.40000000000009</v>
      </c>
      <c r="HK995">
        <v>1270.9000000000001</v>
      </c>
      <c r="HL995">
        <v>835.7</v>
      </c>
      <c r="HM995">
        <v>1162.5999999999999</v>
      </c>
      <c r="HN995">
        <v>0</v>
      </c>
      <c r="HO995">
        <v>0</v>
      </c>
      <c r="HP995">
        <v>0</v>
      </c>
      <c r="HQ995">
        <v>0</v>
      </c>
      <c r="HR995">
        <v>161.19999999999999</v>
      </c>
      <c r="HS995">
        <v>0</v>
      </c>
      <c r="HT995">
        <v>2048.5</v>
      </c>
      <c r="HU995">
        <v>2627.5</v>
      </c>
      <c r="HV995">
        <v>1168.5999999999999</v>
      </c>
      <c r="HW995">
        <v>388</v>
      </c>
      <c r="HX995">
        <v>0</v>
      </c>
      <c r="HY995">
        <v>0</v>
      </c>
      <c r="HZ995">
        <v>0</v>
      </c>
      <c r="IA995">
        <v>0</v>
      </c>
      <c r="IB995">
        <v>0</v>
      </c>
      <c r="IC995">
        <v>594.4</v>
      </c>
      <c r="ID995">
        <v>427.4</v>
      </c>
      <c r="IE995">
        <v>713.3</v>
      </c>
      <c r="IF995">
        <v>626.1</v>
      </c>
      <c r="IG995">
        <v>0</v>
      </c>
      <c r="IH995">
        <v>0</v>
      </c>
      <c r="II995">
        <v>995.7</v>
      </c>
      <c r="IJ995">
        <v>1156.5999999999999</v>
      </c>
      <c r="IK995">
        <v>864.6</v>
      </c>
      <c r="IL995">
        <v>316.5</v>
      </c>
      <c r="IM995">
        <v>101.5</v>
      </c>
      <c r="IN995">
        <v>71.8</v>
      </c>
      <c r="IO995">
        <v>0</v>
      </c>
      <c r="IP995">
        <v>0</v>
      </c>
      <c r="IQ995">
        <v>0</v>
      </c>
      <c r="IR995">
        <v>0</v>
      </c>
      <c r="IS995">
        <v>0</v>
      </c>
      <c r="IT995">
        <v>0</v>
      </c>
      <c r="IU995">
        <v>0</v>
      </c>
      <c r="IV995">
        <v>0</v>
      </c>
      <c r="IW995">
        <v>68</v>
      </c>
      <c r="IX995">
        <v>404.7</v>
      </c>
      <c r="IY995">
        <v>126.6</v>
      </c>
      <c r="IZ995">
        <v>126.6</v>
      </c>
      <c r="JA995">
        <v>503.7</v>
      </c>
      <c r="JB995">
        <v>570.1</v>
      </c>
      <c r="JC995">
        <v>328.3</v>
      </c>
      <c r="JD995">
        <v>0</v>
      </c>
      <c r="JE995">
        <v>0</v>
      </c>
      <c r="JF995">
        <v>0</v>
      </c>
      <c r="JG995">
        <v>0</v>
      </c>
      <c r="JH995">
        <v>287.3</v>
      </c>
      <c r="JI995">
        <v>68.2</v>
      </c>
      <c r="JJ995">
        <v>0</v>
      </c>
      <c r="JK995">
        <v>148.6</v>
      </c>
      <c r="JL995">
        <v>0</v>
      </c>
      <c r="JM995">
        <v>0</v>
      </c>
      <c r="JN995">
        <v>204.5</v>
      </c>
      <c r="JO995">
        <v>292.10000000000002</v>
      </c>
      <c r="JP995">
        <v>670.8</v>
      </c>
      <c r="JQ995">
        <v>745.2</v>
      </c>
      <c r="JR995">
        <v>242.9</v>
      </c>
    </row>
    <row r="996" spans="2:278" ht="18" thickBot="1">
      <c r="B996" s="516"/>
      <c r="C996" s="520"/>
      <c r="D996" s="515"/>
      <c r="E996" s="454">
        <v>22829.8</v>
      </c>
      <c r="F996">
        <v>20193.400000000001</v>
      </c>
      <c r="G996" s="427">
        <v>0</v>
      </c>
      <c r="H996" s="155">
        <v>0</v>
      </c>
      <c r="I996">
        <v>0</v>
      </c>
      <c r="J996">
        <v>0</v>
      </c>
      <c r="K996">
        <v>0</v>
      </c>
      <c r="L996" s="4">
        <v>0</v>
      </c>
      <c r="M996" s="4">
        <v>0</v>
      </c>
      <c r="N996" s="4">
        <v>0</v>
      </c>
      <c r="O996" s="4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1476.4</v>
      </c>
      <c r="X996">
        <v>1482</v>
      </c>
      <c r="Y996">
        <v>457.20000000000005</v>
      </c>
      <c r="Z996">
        <v>0</v>
      </c>
      <c r="AA996">
        <v>0</v>
      </c>
      <c r="AB996">
        <v>0</v>
      </c>
      <c r="AC996">
        <v>0</v>
      </c>
      <c r="AD996">
        <v>3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1828.6</v>
      </c>
      <c r="AK996">
        <v>1800.7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560.70000000000005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0</v>
      </c>
      <c r="BU996">
        <v>0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  <c r="CF996">
        <v>0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  <c r="CN996">
        <v>0</v>
      </c>
      <c r="CO996">
        <v>0</v>
      </c>
      <c r="CP996">
        <v>3.5</v>
      </c>
      <c r="CQ996">
        <v>0</v>
      </c>
      <c r="CR996">
        <v>528</v>
      </c>
      <c r="CS996">
        <v>581.79999999999995</v>
      </c>
      <c r="CT996">
        <v>555.40000000000009</v>
      </c>
      <c r="CU996">
        <v>737.4</v>
      </c>
      <c r="CV996">
        <v>1039.0999999999999</v>
      </c>
      <c r="CW996">
        <v>1667.3</v>
      </c>
      <c r="CX996">
        <v>877.6</v>
      </c>
      <c r="CY996">
        <v>910.40000000000009</v>
      </c>
      <c r="CZ996">
        <v>0</v>
      </c>
      <c r="DA996">
        <v>0</v>
      </c>
      <c r="DB996">
        <v>0</v>
      </c>
      <c r="DC996">
        <v>0</v>
      </c>
      <c r="DD996">
        <v>0</v>
      </c>
      <c r="DE996">
        <v>0</v>
      </c>
      <c r="DF996">
        <v>0</v>
      </c>
      <c r="DG996">
        <v>0</v>
      </c>
      <c r="DH996">
        <v>0</v>
      </c>
      <c r="DI996">
        <v>0</v>
      </c>
      <c r="DJ996">
        <v>0</v>
      </c>
      <c r="DK996">
        <v>0</v>
      </c>
      <c r="DL996">
        <v>995.5</v>
      </c>
      <c r="DM996">
        <v>712.7</v>
      </c>
      <c r="DN996">
        <v>0</v>
      </c>
      <c r="DO996">
        <v>0</v>
      </c>
      <c r="DP996">
        <v>0</v>
      </c>
      <c r="DQ996">
        <v>0</v>
      </c>
      <c r="DR996">
        <v>0</v>
      </c>
      <c r="DS996">
        <v>0</v>
      </c>
      <c r="DT996">
        <v>0</v>
      </c>
      <c r="DU996">
        <v>0</v>
      </c>
      <c r="DV996">
        <v>0</v>
      </c>
      <c r="DW996">
        <v>0</v>
      </c>
      <c r="DX996">
        <v>0</v>
      </c>
      <c r="DY996">
        <v>0</v>
      </c>
      <c r="DZ996">
        <v>0</v>
      </c>
      <c r="EA996">
        <v>0</v>
      </c>
      <c r="EB996">
        <v>0</v>
      </c>
      <c r="EC996">
        <v>0</v>
      </c>
      <c r="ED996">
        <v>0</v>
      </c>
      <c r="EE996">
        <v>0</v>
      </c>
      <c r="EF996">
        <v>0</v>
      </c>
      <c r="EG996">
        <v>0</v>
      </c>
      <c r="EH996">
        <v>0</v>
      </c>
      <c r="EI996">
        <v>0</v>
      </c>
      <c r="EJ996">
        <v>0</v>
      </c>
      <c r="EK996">
        <v>0</v>
      </c>
      <c r="EL996">
        <v>0</v>
      </c>
      <c r="EM996">
        <v>0</v>
      </c>
      <c r="EN996">
        <v>27.4</v>
      </c>
      <c r="EO996">
        <v>0</v>
      </c>
      <c r="EP996">
        <v>1002.5</v>
      </c>
      <c r="EQ996">
        <v>0</v>
      </c>
      <c r="ER996">
        <v>494</v>
      </c>
      <c r="ES996">
        <v>0</v>
      </c>
      <c r="ET996">
        <v>699.3</v>
      </c>
      <c r="EU996">
        <v>435.4</v>
      </c>
      <c r="EV996">
        <v>0</v>
      </c>
      <c r="EW996">
        <v>0</v>
      </c>
      <c r="EX996">
        <v>0</v>
      </c>
      <c r="EY996">
        <v>0</v>
      </c>
      <c r="EZ996">
        <v>0</v>
      </c>
      <c r="FA996">
        <v>0</v>
      </c>
      <c r="FB996">
        <v>0</v>
      </c>
      <c r="FC996">
        <v>0</v>
      </c>
      <c r="FD996">
        <v>95.6</v>
      </c>
      <c r="FE996">
        <v>1792.1</v>
      </c>
      <c r="FF996">
        <v>1740.1999999999998</v>
      </c>
      <c r="FG996">
        <v>954.9</v>
      </c>
      <c r="FH996">
        <v>1087.8000000000002</v>
      </c>
      <c r="FI996">
        <v>1892.1</v>
      </c>
      <c r="FJ996">
        <v>1222.5</v>
      </c>
      <c r="FK996">
        <v>678.3</v>
      </c>
      <c r="FL996">
        <v>639.1</v>
      </c>
      <c r="FM996">
        <v>520.5</v>
      </c>
      <c r="FN996">
        <v>123.8</v>
      </c>
      <c r="FO996">
        <v>181.6</v>
      </c>
      <c r="FP996">
        <v>1090.5</v>
      </c>
      <c r="FQ996">
        <v>0</v>
      </c>
      <c r="FR996">
        <v>0</v>
      </c>
      <c r="FS996">
        <v>0</v>
      </c>
      <c r="FT996">
        <v>0</v>
      </c>
      <c r="FU996">
        <v>0</v>
      </c>
      <c r="FV996">
        <v>0</v>
      </c>
      <c r="FW996">
        <v>0</v>
      </c>
      <c r="FX996">
        <v>0</v>
      </c>
      <c r="FY996">
        <v>0</v>
      </c>
      <c r="FZ996">
        <v>0</v>
      </c>
      <c r="GA996">
        <v>0</v>
      </c>
      <c r="GB996">
        <v>0</v>
      </c>
      <c r="GC996">
        <v>0</v>
      </c>
      <c r="GD996">
        <v>0</v>
      </c>
      <c r="GE996">
        <v>0</v>
      </c>
      <c r="GF996">
        <v>198.3</v>
      </c>
      <c r="GG996">
        <v>1054.4000000000001</v>
      </c>
      <c r="GH996">
        <v>552.79999999999995</v>
      </c>
      <c r="GI996">
        <v>522</v>
      </c>
      <c r="GJ996">
        <v>0</v>
      </c>
      <c r="GK996">
        <v>0</v>
      </c>
      <c r="GL996">
        <v>0</v>
      </c>
      <c r="GM996">
        <v>0</v>
      </c>
      <c r="GN996">
        <v>791.40000000000009</v>
      </c>
      <c r="GO996">
        <v>1816.5</v>
      </c>
      <c r="GP996">
        <v>0</v>
      </c>
      <c r="GQ996">
        <v>0</v>
      </c>
      <c r="GR996">
        <v>0</v>
      </c>
      <c r="GS996">
        <v>0</v>
      </c>
      <c r="GT996">
        <v>0</v>
      </c>
      <c r="GU996">
        <v>0</v>
      </c>
      <c r="GV996">
        <v>0</v>
      </c>
      <c r="GW996">
        <v>0</v>
      </c>
      <c r="GX996">
        <v>0</v>
      </c>
      <c r="GY996">
        <v>840.3</v>
      </c>
      <c r="GZ996">
        <v>0</v>
      </c>
      <c r="HA996">
        <v>0</v>
      </c>
      <c r="HB996">
        <v>0</v>
      </c>
      <c r="HC996">
        <v>380.4</v>
      </c>
      <c r="HD996">
        <v>2175.5</v>
      </c>
      <c r="HE996">
        <v>0</v>
      </c>
      <c r="HF996">
        <v>0</v>
      </c>
      <c r="HG996">
        <v>0</v>
      </c>
      <c r="HH996">
        <v>0</v>
      </c>
      <c r="HI996">
        <v>0</v>
      </c>
      <c r="HJ996">
        <v>803.40000000000009</v>
      </c>
      <c r="HK996">
        <v>1270.9000000000001</v>
      </c>
      <c r="HL996">
        <v>835.7</v>
      </c>
      <c r="HM996">
        <v>1162.5999999999999</v>
      </c>
      <c r="HN996">
        <v>0</v>
      </c>
      <c r="HO996">
        <v>0</v>
      </c>
      <c r="HP996">
        <v>0</v>
      </c>
      <c r="HQ996">
        <v>0</v>
      </c>
      <c r="HR996">
        <v>161.19999999999999</v>
      </c>
      <c r="HS996">
        <v>0</v>
      </c>
      <c r="HT996">
        <v>2048.5</v>
      </c>
      <c r="HU996">
        <v>2627.5</v>
      </c>
      <c r="HV996">
        <v>1168.5999999999999</v>
      </c>
      <c r="HW996">
        <v>388</v>
      </c>
      <c r="HX996">
        <v>0</v>
      </c>
      <c r="HY996">
        <v>0</v>
      </c>
      <c r="HZ996">
        <v>0</v>
      </c>
      <c r="IA996">
        <v>0</v>
      </c>
      <c r="IB996">
        <v>0</v>
      </c>
      <c r="IC996">
        <v>594.4</v>
      </c>
      <c r="ID996">
        <v>427.4</v>
      </c>
      <c r="IE996">
        <v>713.3</v>
      </c>
      <c r="IF996">
        <v>626.1</v>
      </c>
      <c r="IG996">
        <v>0</v>
      </c>
      <c r="IH996">
        <v>0</v>
      </c>
      <c r="II996">
        <v>995.7</v>
      </c>
      <c r="IJ996">
        <v>1156.5999999999999</v>
      </c>
      <c r="IK996">
        <v>864.6</v>
      </c>
      <c r="IL996">
        <v>316.5</v>
      </c>
      <c r="IM996">
        <v>101.5</v>
      </c>
      <c r="IN996">
        <v>71.8</v>
      </c>
      <c r="IO996">
        <v>0</v>
      </c>
      <c r="IP996">
        <v>0</v>
      </c>
      <c r="IQ996">
        <v>0</v>
      </c>
      <c r="IR996">
        <v>0</v>
      </c>
      <c r="IS996">
        <v>0</v>
      </c>
      <c r="IT996">
        <v>0</v>
      </c>
      <c r="IU996">
        <v>0</v>
      </c>
      <c r="IV996">
        <v>0</v>
      </c>
      <c r="IW996">
        <v>68</v>
      </c>
      <c r="IX996">
        <v>404.7</v>
      </c>
      <c r="IY996">
        <v>126.6</v>
      </c>
      <c r="IZ996">
        <v>126.6</v>
      </c>
      <c r="JA996">
        <v>503.7</v>
      </c>
      <c r="JB996">
        <v>570.1</v>
      </c>
      <c r="JC996">
        <v>328.3</v>
      </c>
      <c r="JD996">
        <v>0</v>
      </c>
      <c r="JE996">
        <v>0</v>
      </c>
      <c r="JF996">
        <v>0</v>
      </c>
      <c r="JG996">
        <v>0</v>
      </c>
      <c r="JH996">
        <v>287.3</v>
      </c>
      <c r="JI996">
        <v>68.2</v>
      </c>
      <c r="JJ996">
        <v>0</v>
      </c>
      <c r="JK996">
        <v>148.6</v>
      </c>
      <c r="JL996">
        <v>0</v>
      </c>
      <c r="JM996">
        <v>0</v>
      </c>
      <c r="JN996">
        <v>204.5</v>
      </c>
      <c r="JO996">
        <v>292.10000000000002</v>
      </c>
      <c r="JP996">
        <v>670.8</v>
      </c>
      <c r="JQ996">
        <v>745.2</v>
      </c>
      <c r="JR996">
        <v>242.9</v>
      </c>
    </row>
    <row r="997" spans="2:278" ht="18" thickBot="1">
      <c r="B997" s="368" t="s">
        <v>1348</v>
      </c>
      <c r="C997" s="423" t="s">
        <v>1656</v>
      </c>
      <c r="D997" s="368" t="s">
        <v>1480</v>
      </c>
      <c r="E997" s="454">
        <v>22829.8</v>
      </c>
      <c r="F997">
        <v>20193.400000000001</v>
      </c>
      <c r="G997" s="427">
        <v>0</v>
      </c>
      <c r="H997" s="155">
        <v>0</v>
      </c>
      <c r="I997">
        <v>0</v>
      </c>
      <c r="J997">
        <v>0</v>
      </c>
      <c r="K997">
        <v>0</v>
      </c>
      <c r="L997" s="4">
        <v>0</v>
      </c>
      <c r="M997" s="4">
        <v>0</v>
      </c>
      <c r="N997" s="4">
        <v>0</v>
      </c>
      <c r="O997" s="4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1476.4</v>
      </c>
      <c r="X997">
        <v>1482</v>
      </c>
      <c r="Y997">
        <v>457.20000000000005</v>
      </c>
      <c r="Z997">
        <v>0</v>
      </c>
      <c r="AA997">
        <v>0</v>
      </c>
      <c r="AB997">
        <v>0</v>
      </c>
      <c r="AC997">
        <v>0</v>
      </c>
      <c r="AD997">
        <v>3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1828.6</v>
      </c>
      <c r="AK997">
        <v>1800.7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560.70000000000005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  <c r="CF997">
        <v>0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  <c r="CN997">
        <v>0</v>
      </c>
      <c r="CO997">
        <v>0</v>
      </c>
      <c r="CP997">
        <v>3.5</v>
      </c>
      <c r="CQ997">
        <v>0</v>
      </c>
      <c r="CR997">
        <v>528</v>
      </c>
      <c r="CS997">
        <v>581.79999999999995</v>
      </c>
      <c r="CT997">
        <v>555.40000000000009</v>
      </c>
      <c r="CU997">
        <v>737.4</v>
      </c>
      <c r="CV997">
        <v>1039.0999999999999</v>
      </c>
      <c r="CW997">
        <v>1667.3</v>
      </c>
      <c r="CX997">
        <v>877.6</v>
      </c>
      <c r="CY997">
        <v>910.40000000000009</v>
      </c>
      <c r="CZ997">
        <v>0</v>
      </c>
      <c r="DA997">
        <v>0</v>
      </c>
      <c r="DB997">
        <v>0</v>
      </c>
      <c r="DC997">
        <v>0</v>
      </c>
      <c r="DD997">
        <v>0</v>
      </c>
      <c r="DE997">
        <v>0</v>
      </c>
      <c r="DF997">
        <v>0</v>
      </c>
      <c r="DG997">
        <v>0</v>
      </c>
      <c r="DH997">
        <v>0</v>
      </c>
      <c r="DI997">
        <v>0</v>
      </c>
      <c r="DJ997">
        <v>0</v>
      </c>
      <c r="DK997">
        <v>0</v>
      </c>
      <c r="DL997">
        <v>995.5</v>
      </c>
      <c r="DM997">
        <v>712.7</v>
      </c>
      <c r="DN997">
        <v>0</v>
      </c>
      <c r="DO997">
        <v>0</v>
      </c>
      <c r="DP997">
        <v>0</v>
      </c>
      <c r="DQ997">
        <v>0</v>
      </c>
      <c r="DR997">
        <v>0</v>
      </c>
      <c r="DS997">
        <v>0</v>
      </c>
      <c r="DT997">
        <v>0</v>
      </c>
      <c r="DU997">
        <v>0</v>
      </c>
      <c r="DV997">
        <v>0</v>
      </c>
      <c r="DW997">
        <v>0</v>
      </c>
      <c r="DX997">
        <v>0</v>
      </c>
      <c r="DY997">
        <v>0</v>
      </c>
      <c r="DZ997">
        <v>0</v>
      </c>
      <c r="EA997">
        <v>0</v>
      </c>
      <c r="EB997">
        <v>0</v>
      </c>
      <c r="EC997">
        <v>0</v>
      </c>
      <c r="ED997">
        <v>0</v>
      </c>
      <c r="EE997">
        <v>0</v>
      </c>
      <c r="EF997">
        <v>0</v>
      </c>
      <c r="EG997">
        <v>0</v>
      </c>
      <c r="EH997">
        <v>0</v>
      </c>
      <c r="EI997">
        <v>0</v>
      </c>
      <c r="EJ997">
        <v>0</v>
      </c>
      <c r="EK997">
        <v>0</v>
      </c>
      <c r="EL997">
        <v>0</v>
      </c>
      <c r="EM997">
        <v>0</v>
      </c>
      <c r="EN997">
        <v>27.4</v>
      </c>
      <c r="EO997">
        <v>0</v>
      </c>
      <c r="EP997">
        <v>1002.5</v>
      </c>
      <c r="EQ997">
        <v>0</v>
      </c>
      <c r="ER997">
        <v>494</v>
      </c>
      <c r="ES997">
        <v>0</v>
      </c>
      <c r="ET997">
        <v>699.3</v>
      </c>
      <c r="EU997">
        <v>435.4</v>
      </c>
      <c r="EV997">
        <v>0</v>
      </c>
      <c r="EW997">
        <v>0</v>
      </c>
      <c r="EX997">
        <v>0</v>
      </c>
      <c r="EY997">
        <v>0</v>
      </c>
      <c r="EZ997">
        <v>0</v>
      </c>
      <c r="FA997">
        <v>0</v>
      </c>
      <c r="FB997">
        <v>0</v>
      </c>
      <c r="FC997">
        <v>0</v>
      </c>
      <c r="FD997">
        <v>95.6</v>
      </c>
      <c r="FE997">
        <v>1792.1</v>
      </c>
      <c r="FF997">
        <v>1740.1999999999998</v>
      </c>
      <c r="FG997">
        <v>954.9</v>
      </c>
      <c r="FH997">
        <v>1087.8000000000002</v>
      </c>
      <c r="FI997">
        <v>1892.1</v>
      </c>
      <c r="FJ997">
        <v>1222.5</v>
      </c>
      <c r="FK997">
        <v>678.3</v>
      </c>
      <c r="FL997">
        <v>639.1</v>
      </c>
      <c r="FM997">
        <v>520.5</v>
      </c>
      <c r="FN997">
        <v>123.8</v>
      </c>
      <c r="FO997">
        <v>181.6</v>
      </c>
      <c r="FP997">
        <v>1090.5</v>
      </c>
      <c r="FQ997">
        <v>0</v>
      </c>
      <c r="FR997">
        <v>0</v>
      </c>
      <c r="FS997">
        <v>0</v>
      </c>
      <c r="FT997">
        <v>0</v>
      </c>
      <c r="FU997">
        <v>0</v>
      </c>
      <c r="FV997">
        <v>0</v>
      </c>
      <c r="FW997">
        <v>0</v>
      </c>
      <c r="FX997">
        <v>0</v>
      </c>
      <c r="FY997">
        <v>0</v>
      </c>
      <c r="FZ997">
        <v>0</v>
      </c>
      <c r="GA997">
        <v>0</v>
      </c>
      <c r="GB997">
        <v>0</v>
      </c>
      <c r="GC997">
        <v>0</v>
      </c>
      <c r="GD997">
        <v>0</v>
      </c>
      <c r="GE997">
        <v>0</v>
      </c>
      <c r="GF997">
        <v>198.3</v>
      </c>
      <c r="GG997">
        <v>1054.4000000000001</v>
      </c>
      <c r="GH997">
        <v>552.79999999999995</v>
      </c>
      <c r="GI997">
        <v>522</v>
      </c>
      <c r="GJ997">
        <v>0</v>
      </c>
      <c r="GK997">
        <v>0</v>
      </c>
      <c r="GL997">
        <v>0</v>
      </c>
      <c r="GM997">
        <v>0</v>
      </c>
      <c r="GN997">
        <v>791.40000000000009</v>
      </c>
      <c r="GO997">
        <v>1816.5</v>
      </c>
      <c r="GP997">
        <v>0</v>
      </c>
      <c r="GQ997">
        <v>0</v>
      </c>
      <c r="GR997">
        <v>0</v>
      </c>
      <c r="GS997">
        <v>0</v>
      </c>
      <c r="GT997">
        <v>0</v>
      </c>
      <c r="GU997">
        <v>0</v>
      </c>
      <c r="GV997">
        <v>0</v>
      </c>
      <c r="GW997">
        <v>0</v>
      </c>
      <c r="GX997">
        <v>0</v>
      </c>
      <c r="GY997">
        <v>840.3</v>
      </c>
      <c r="GZ997">
        <v>0</v>
      </c>
      <c r="HA997">
        <v>0</v>
      </c>
      <c r="HB997">
        <v>0</v>
      </c>
      <c r="HC997">
        <v>380.4</v>
      </c>
      <c r="HD997">
        <v>2175.5</v>
      </c>
      <c r="HE997">
        <v>0</v>
      </c>
      <c r="HF997">
        <v>0</v>
      </c>
      <c r="HG997">
        <v>0</v>
      </c>
      <c r="HH997">
        <v>0</v>
      </c>
      <c r="HI997">
        <v>0</v>
      </c>
      <c r="HJ997">
        <v>803.40000000000009</v>
      </c>
      <c r="HK997">
        <v>1270.9000000000001</v>
      </c>
      <c r="HL997">
        <v>835.7</v>
      </c>
      <c r="HM997">
        <v>1162.5999999999999</v>
      </c>
      <c r="HN997">
        <v>0</v>
      </c>
      <c r="HO997">
        <v>0</v>
      </c>
      <c r="HP997">
        <v>0</v>
      </c>
      <c r="HQ997">
        <v>0</v>
      </c>
      <c r="HR997">
        <v>161.19999999999999</v>
      </c>
      <c r="HS997">
        <v>0</v>
      </c>
      <c r="HT997">
        <v>2048.5</v>
      </c>
      <c r="HU997">
        <v>2627.5</v>
      </c>
      <c r="HV997">
        <v>1168.5999999999999</v>
      </c>
      <c r="HW997">
        <v>388</v>
      </c>
      <c r="HX997">
        <v>0</v>
      </c>
      <c r="HY997">
        <v>0</v>
      </c>
      <c r="HZ997">
        <v>0</v>
      </c>
      <c r="IA997">
        <v>0</v>
      </c>
      <c r="IB997">
        <v>0</v>
      </c>
      <c r="IC997">
        <v>594.4</v>
      </c>
      <c r="ID997">
        <v>427.4</v>
      </c>
      <c r="IE997">
        <v>713.3</v>
      </c>
      <c r="IF997">
        <v>626.1</v>
      </c>
      <c r="IG997">
        <v>0</v>
      </c>
      <c r="IH997">
        <v>0</v>
      </c>
      <c r="II997">
        <v>995.7</v>
      </c>
      <c r="IJ997">
        <v>1156.5999999999999</v>
      </c>
      <c r="IK997">
        <v>864.6</v>
      </c>
      <c r="IL997">
        <v>316.5</v>
      </c>
      <c r="IM997">
        <v>101.5</v>
      </c>
      <c r="IN997">
        <v>71.8</v>
      </c>
      <c r="IO997">
        <v>0</v>
      </c>
      <c r="IP997">
        <v>0</v>
      </c>
      <c r="IQ997">
        <v>0</v>
      </c>
      <c r="IR997">
        <v>0</v>
      </c>
      <c r="IS997">
        <v>0</v>
      </c>
      <c r="IT997">
        <v>0</v>
      </c>
      <c r="IU997">
        <v>0</v>
      </c>
      <c r="IV997">
        <v>0</v>
      </c>
      <c r="IW997">
        <v>68</v>
      </c>
      <c r="IX997">
        <v>404.7</v>
      </c>
      <c r="IY997">
        <v>126.6</v>
      </c>
      <c r="IZ997">
        <v>126.6</v>
      </c>
      <c r="JA997">
        <v>503.7</v>
      </c>
      <c r="JB997">
        <v>570.1</v>
      </c>
      <c r="JC997">
        <v>328.3</v>
      </c>
      <c r="JD997">
        <v>0</v>
      </c>
      <c r="JE997">
        <v>0</v>
      </c>
      <c r="JF997">
        <v>0</v>
      </c>
      <c r="JG997">
        <v>0</v>
      </c>
      <c r="JH997">
        <v>287.3</v>
      </c>
      <c r="JI997">
        <v>68.2</v>
      </c>
      <c r="JJ997">
        <v>0</v>
      </c>
      <c r="JK997">
        <v>148.6</v>
      </c>
      <c r="JL997">
        <v>0</v>
      </c>
      <c r="JM997">
        <v>0</v>
      </c>
      <c r="JN997">
        <v>204.5</v>
      </c>
      <c r="JO997">
        <v>292.10000000000002</v>
      </c>
      <c r="JP997">
        <v>670.8</v>
      </c>
      <c r="JQ997">
        <v>745.2</v>
      </c>
      <c r="JR997">
        <v>242.9</v>
      </c>
    </row>
    <row r="998" spans="2:278" ht="18" thickBot="1">
      <c r="B998" s="368" t="s">
        <v>1349</v>
      </c>
      <c r="C998" s="423" t="s">
        <v>1657</v>
      </c>
      <c r="D998" s="368" t="s">
        <v>1481</v>
      </c>
      <c r="E998" s="454">
        <v>22829.8</v>
      </c>
      <c r="F998">
        <v>20193.400000000001</v>
      </c>
      <c r="G998" s="427">
        <v>0</v>
      </c>
      <c r="H998" s="155">
        <v>0</v>
      </c>
      <c r="I998">
        <v>0</v>
      </c>
      <c r="J998">
        <v>0</v>
      </c>
      <c r="K998">
        <v>0</v>
      </c>
      <c r="L998" s="4">
        <v>0</v>
      </c>
      <c r="M998" s="4">
        <v>0</v>
      </c>
      <c r="N998" s="4">
        <v>0</v>
      </c>
      <c r="O998" s="4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1476.4</v>
      </c>
      <c r="X998">
        <v>1482</v>
      </c>
      <c r="Y998">
        <v>457.20000000000005</v>
      </c>
      <c r="Z998">
        <v>0</v>
      </c>
      <c r="AA998">
        <v>0</v>
      </c>
      <c r="AB998">
        <v>0</v>
      </c>
      <c r="AC998">
        <v>0</v>
      </c>
      <c r="AD998">
        <v>3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1828.6</v>
      </c>
      <c r="AK998">
        <v>1800.7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560.70000000000005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0</v>
      </c>
      <c r="BN998">
        <v>0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  <c r="CF998">
        <v>0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  <c r="CN998">
        <v>0</v>
      </c>
      <c r="CO998">
        <v>0</v>
      </c>
      <c r="CP998">
        <v>3.5</v>
      </c>
      <c r="CQ998">
        <v>0</v>
      </c>
      <c r="CR998">
        <v>528</v>
      </c>
      <c r="CS998">
        <v>581.79999999999995</v>
      </c>
      <c r="CT998">
        <v>555.40000000000009</v>
      </c>
      <c r="CU998">
        <v>737.4</v>
      </c>
      <c r="CV998">
        <v>1039.0999999999999</v>
      </c>
      <c r="CW998">
        <v>1667.3</v>
      </c>
      <c r="CX998">
        <v>877.6</v>
      </c>
      <c r="CY998">
        <v>910.40000000000009</v>
      </c>
      <c r="CZ998">
        <v>0</v>
      </c>
      <c r="DA998">
        <v>0</v>
      </c>
      <c r="DB998">
        <v>0</v>
      </c>
      <c r="DC998">
        <v>0</v>
      </c>
      <c r="DD998">
        <v>0</v>
      </c>
      <c r="DE998">
        <v>0</v>
      </c>
      <c r="DF998">
        <v>0</v>
      </c>
      <c r="DG998">
        <v>0</v>
      </c>
      <c r="DH998">
        <v>0</v>
      </c>
      <c r="DI998">
        <v>0</v>
      </c>
      <c r="DJ998">
        <v>0</v>
      </c>
      <c r="DK998">
        <v>0</v>
      </c>
      <c r="DL998">
        <v>995.5</v>
      </c>
      <c r="DM998">
        <v>712.7</v>
      </c>
      <c r="DN998">
        <v>0</v>
      </c>
      <c r="DO998">
        <v>0</v>
      </c>
      <c r="DP998">
        <v>0</v>
      </c>
      <c r="DQ998">
        <v>0</v>
      </c>
      <c r="DR998">
        <v>0</v>
      </c>
      <c r="DS998">
        <v>0</v>
      </c>
      <c r="DT998">
        <v>0</v>
      </c>
      <c r="DU998">
        <v>0</v>
      </c>
      <c r="DV998">
        <v>0</v>
      </c>
      <c r="DW998">
        <v>0</v>
      </c>
      <c r="DX998">
        <v>0</v>
      </c>
      <c r="DY998">
        <v>0</v>
      </c>
      <c r="DZ998">
        <v>0</v>
      </c>
      <c r="EA998">
        <v>0</v>
      </c>
      <c r="EB998">
        <v>0</v>
      </c>
      <c r="EC998">
        <v>0</v>
      </c>
      <c r="ED998">
        <v>0</v>
      </c>
      <c r="EE998">
        <v>0</v>
      </c>
      <c r="EF998">
        <v>0</v>
      </c>
      <c r="EG998">
        <v>0</v>
      </c>
      <c r="EH998">
        <v>0</v>
      </c>
      <c r="EI998">
        <v>0</v>
      </c>
      <c r="EJ998">
        <v>0</v>
      </c>
      <c r="EK998">
        <v>0</v>
      </c>
      <c r="EL998">
        <v>0</v>
      </c>
      <c r="EM998">
        <v>0</v>
      </c>
      <c r="EN998">
        <v>27.4</v>
      </c>
      <c r="EO998">
        <v>0</v>
      </c>
      <c r="EP998">
        <v>1002.5</v>
      </c>
      <c r="EQ998">
        <v>0</v>
      </c>
      <c r="ER998">
        <v>494</v>
      </c>
      <c r="ES998">
        <v>0</v>
      </c>
      <c r="ET998">
        <v>699.3</v>
      </c>
      <c r="EU998">
        <v>435.4</v>
      </c>
      <c r="EV998">
        <v>0</v>
      </c>
      <c r="EW998">
        <v>0</v>
      </c>
      <c r="EX998">
        <v>0</v>
      </c>
      <c r="EY998">
        <v>0</v>
      </c>
      <c r="EZ998">
        <v>0</v>
      </c>
      <c r="FA998">
        <v>0</v>
      </c>
      <c r="FB998">
        <v>0</v>
      </c>
      <c r="FC998">
        <v>0</v>
      </c>
      <c r="FD998">
        <v>95.6</v>
      </c>
      <c r="FE998">
        <v>1792.1</v>
      </c>
      <c r="FF998">
        <v>1740.1999999999998</v>
      </c>
      <c r="FG998">
        <v>954.9</v>
      </c>
      <c r="FH998">
        <v>1087.8000000000002</v>
      </c>
      <c r="FI998">
        <v>1892.1</v>
      </c>
      <c r="FJ998">
        <v>1222.5</v>
      </c>
      <c r="FK998">
        <v>678.3</v>
      </c>
      <c r="FL998">
        <v>639.1</v>
      </c>
      <c r="FM998">
        <v>520.5</v>
      </c>
      <c r="FN998">
        <v>123.8</v>
      </c>
      <c r="FO998">
        <v>181.6</v>
      </c>
      <c r="FP998">
        <v>1090.5</v>
      </c>
      <c r="FQ998">
        <v>0</v>
      </c>
      <c r="FR998">
        <v>0</v>
      </c>
      <c r="FS998">
        <v>0</v>
      </c>
      <c r="FT998">
        <v>0</v>
      </c>
      <c r="FU998">
        <v>0</v>
      </c>
      <c r="FV998">
        <v>0</v>
      </c>
      <c r="FW998">
        <v>0</v>
      </c>
      <c r="FX998">
        <v>0</v>
      </c>
      <c r="FY998">
        <v>0</v>
      </c>
      <c r="FZ998">
        <v>0</v>
      </c>
      <c r="GA998">
        <v>0</v>
      </c>
      <c r="GB998">
        <v>0</v>
      </c>
      <c r="GC998">
        <v>0</v>
      </c>
      <c r="GD998">
        <v>0</v>
      </c>
      <c r="GE998">
        <v>0</v>
      </c>
      <c r="GF998">
        <v>198.3</v>
      </c>
      <c r="GG998">
        <v>1054.4000000000001</v>
      </c>
      <c r="GH998">
        <v>552.79999999999995</v>
      </c>
      <c r="GI998">
        <v>522</v>
      </c>
      <c r="GJ998">
        <v>0</v>
      </c>
      <c r="GK998">
        <v>0</v>
      </c>
      <c r="GL998">
        <v>0</v>
      </c>
      <c r="GM998">
        <v>0</v>
      </c>
      <c r="GN998">
        <v>791.40000000000009</v>
      </c>
      <c r="GO998">
        <v>1816.5</v>
      </c>
      <c r="GP998">
        <v>0</v>
      </c>
      <c r="GQ998">
        <v>0</v>
      </c>
      <c r="GR998">
        <v>0</v>
      </c>
      <c r="GS998">
        <v>0</v>
      </c>
      <c r="GT998">
        <v>0</v>
      </c>
      <c r="GU998">
        <v>0</v>
      </c>
      <c r="GV998">
        <v>0</v>
      </c>
      <c r="GW998">
        <v>0</v>
      </c>
      <c r="GX998">
        <v>0</v>
      </c>
      <c r="GY998">
        <v>840.3</v>
      </c>
      <c r="GZ998">
        <v>0</v>
      </c>
      <c r="HA998">
        <v>0</v>
      </c>
      <c r="HB998">
        <v>0</v>
      </c>
      <c r="HC998">
        <v>380.4</v>
      </c>
      <c r="HD998">
        <v>2175.5</v>
      </c>
      <c r="HE998">
        <v>0</v>
      </c>
      <c r="HF998">
        <v>0</v>
      </c>
      <c r="HG998">
        <v>0</v>
      </c>
      <c r="HH998">
        <v>0</v>
      </c>
      <c r="HI998">
        <v>0</v>
      </c>
      <c r="HJ998">
        <v>803.40000000000009</v>
      </c>
      <c r="HK998">
        <v>1270.9000000000001</v>
      </c>
      <c r="HL998">
        <v>835.7</v>
      </c>
      <c r="HM998">
        <v>1162.5999999999999</v>
      </c>
      <c r="HN998">
        <v>0</v>
      </c>
      <c r="HO998">
        <v>0</v>
      </c>
      <c r="HP998">
        <v>0</v>
      </c>
      <c r="HQ998">
        <v>0</v>
      </c>
      <c r="HR998">
        <v>161.19999999999999</v>
      </c>
      <c r="HS998">
        <v>0</v>
      </c>
      <c r="HT998">
        <v>2048.5</v>
      </c>
      <c r="HU998">
        <v>2627.5</v>
      </c>
      <c r="HV998">
        <v>1168.5999999999999</v>
      </c>
      <c r="HW998">
        <v>388</v>
      </c>
      <c r="HX998">
        <v>0</v>
      </c>
      <c r="HY998">
        <v>0</v>
      </c>
      <c r="HZ998">
        <v>0</v>
      </c>
      <c r="IA998">
        <v>0</v>
      </c>
      <c r="IB998">
        <v>0</v>
      </c>
      <c r="IC998">
        <v>594.4</v>
      </c>
      <c r="ID998">
        <v>427.4</v>
      </c>
      <c r="IE998">
        <v>713.3</v>
      </c>
      <c r="IF998">
        <v>626.1</v>
      </c>
      <c r="IG998">
        <v>0</v>
      </c>
      <c r="IH998">
        <v>0</v>
      </c>
      <c r="II998">
        <v>995.7</v>
      </c>
      <c r="IJ998">
        <v>1156.5999999999999</v>
      </c>
      <c r="IK998">
        <v>864.6</v>
      </c>
      <c r="IL998">
        <v>316.5</v>
      </c>
      <c r="IM998">
        <v>101.5</v>
      </c>
      <c r="IN998">
        <v>71.8</v>
      </c>
      <c r="IO998">
        <v>0</v>
      </c>
      <c r="IP998">
        <v>0</v>
      </c>
      <c r="IQ998">
        <v>0</v>
      </c>
      <c r="IR998">
        <v>0</v>
      </c>
      <c r="IS998">
        <v>0</v>
      </c>
      <c r="IT998">
        <v>0</v>
      </c>
      <c r="IU998">
        <v>0</v>
      </c>
      <c r="IV998">
        <v>0</v>
      </c>
      <c r="IW998">
        <v>68</v>
      </c>
      <c r="IX998">
        <v>404.7</v>
      </c>
      <c r="IY998">
        <v>126.6</v>
      </c>
      <c r="IZ998">
        <v>126.6</v>
      </c>
      <c r="JA998">
        <v>503.7</v>
      </c>
      <c r="JB998">
        <v>570.1</v>
      </c>
      <c r="JC998">
        <v>328.3</v>
      </c>
      <c r="JD998">
        <v>0</v>
      </c>
      <c r="JE998">
        <v>0</v>
      </c>
      <c r="JF998">
        <v>0</v>
      </c>
      <c r="JG998">
        <v>0</v>
      </c>
      <c r="JH998">
        <v>287.3</v>
      </c>
      <c r="JI998">
        <v>68.2</v>
      </c>
      <c r="JJ998">
        <v>0</v>
      </c>
      <c r="JK998">
        <v>148.6</v>
      </c>
      <c r="JL998">
        <v>0</v>
      </c>
      <c r="JM998">
        <v>0</v>
      </c>
      <c r="JN998">
        <v>204.5</v>
      </c>
      <c r="JO998">
        <v>292.10000000000002</v>
      </c>
      <c r="JP998">
        <v>670.8</v>
      </c>
      <c r="JQ998">
        <v>745.2</v>
      </c>
      <c r="JR998">
        <v>242.9</v>
      </c>
    </row>
    <row r="999" spans="2:278" ht="18" thickBot="1">
      <c r="B999" s="368" t="s">
        <v>1350</v>
      </c>
      <c r="C999" s="387" t="s">
        <v>1658</v>
      </c>
      <c r="D999" s="390"/>
      <c r="E999" s="454">
        <v>22829.8</v>
      </c>
      <c r="F999">
        <v>20193.400000000001</v>
      </c>
      <c r="G999" s="427">
        <v>0</v>
      </c>
      <c r="H999" s="155">
        <v>0</v>
      </c>
      <c r="I999">
        <v>0</v>
      </c>
      <c r="J999">
        <v>0</v>
      </c>
      <c r="K999">
        <v>0</v>
      </c>
      <c r="L999" s="4">
        <v>0</v>
      </c>
      <c r="M999" s="4">
        <v>0</v>
      </c>
      <c r="N999" s="4">
        <v>0</v>
      </c>
      <c r="O999" s="4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1476.4</v>
      </c>
      <c r="X999">
        <v>1482</v>
      </c>
      <c r="Y999">
        <v>457.20000000000005</v>
      </c>
      <c r="Z999">
        <v>0</v>
      </c>
      <c r="AA999">
        <v>0</v>
      </c>
      <c r="AB999">
        <v>0</v>
      </c>
      <c r="AC999">
        <v>0</v>
      </c>
      <c r="AD999">
        <v>3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1828.6</v>
      </c>
      <c r="AK999">
        <v>1800.7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560.70000000000005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0</v>
      </c>
      <c r="BN999">
        <v>0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  <c r="CF999">
        <v>0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  <c r="CN999">
        <v>0</v>
      </c>
      <c r="CO999">
        <v>0</v>
      </c>
      <c r="CP999">
        <v>3.5</v>
      </c>
      <c r="CQ999">
        <v>0</v>
      </c>
      <c r="CR999">
        <v>528</v>
      </c>
      <c r="CS999">
        <v>581.79999999999995</v>
      </c>
      <c r="CT999">
        <v>555.40000000000009</v>
      </c>
      <c r="CU999">
        <v>737.4</v>
      </c>
      <c r="CV999">
        <v>1039.0999999999999</v>
      </c>
      <c r="CW999">
        <v>1667.3</v>
      </c>
      <c r="CX999">
        <v>877.6</v>
      </c>
      <c r="CY999">
        <v>910.40000000000009</v>
      </c>
      <c r="CZ999">
        <v>0</v>
      </c>
      <c r="DA999">
        <v>0</v>
      </c>
      <c r="DB999">
        <v>0</v>
      </c>
      <c r="DC999">
        <v>0</v>
      </c>
      <c r="DD999">
        <v>0</v>
      </c>
      <c r="DE999">
        <v>0</v>
      </c>
      <c r="DF999">
        <v>0</v>
      </c>
      <c r="DG999">
        <v>0</v>
      </c>
      <c r="DH999">
        <v>0</v>
      </c>
      <c r="DI999">
        <v>0</v>
      </c>
      <c r="DJ999">
        <v>0</v>
      </c>
      <c r="DK999">
        <v>0</v>
      </c>
      <c r="DL999">
        <v>995.5</v>
      </c>
      <c r="DM999">
        <v>712.7</v>
      </c>
      <c r="DN999">
        <v>0</v>
      </c>
      <c r="DO999">
        <v>0</v>
      </c>
      <c r="DP999">
        <v>0</v>
      </c>
      <c r="DQ999">
        <v>0</v>
      </c>
      <c r="DR999">
        <v>0</v>
      </c>
      <c r="DS999">
        <v>0</v>
      </c>
      <c r="DT999">
        <v>0</v>
      </c>
      <c r="DU999">
        <v>0</v>
      </c>
      <c r="DV999">
        <v>0</v>
      </c>
      <c r="DW999">
        <v>0</v>
      </c>
      <c r="DX999">
        <v>0</v>
      </c>
      <c r="DY999">
        <v>0</v>
      </c>
      <c r="DZ999">
        <v>0</v>
      </c>
      <c r="EA999">
        <v>0</v>
      </c>
      <c r="EB999">
        <v>0</v>
      </c>
      <c r="EC999">
        <v>0</v>
      </c>
      <c r="ED999">
        <v>0</v>
      </c>
      <c r="EE999">
        <v>0</v>
      </c>
      <c r="EF999">
        <v>0</v>
      </c>
      <c r="EG999">
        <v>0</v>
      </c>
      <c r="EH999">
        <v>0</v>
      </c>
      <c r="EI999">
        <v>0</v>
      </c>
      <c r="EJ999">
        <v>0</v>
      </c>
      <c r="EK999">
        <v>0</v>
      </c>
      <c r="EL999">
        <v>0</v>
      </c>
      <c r="EM999">
        <v>0</v>
      </c>
      <c r="EN999">
        <v>27.4</v>
      </c>
      <c r="EO999">
        <v>0</v>
      </c>
      <c r="EP999">
        <v>1002.5</v>
      </c>
      <c r="EQ999">
        <v>0</v>
      </c>
      <c r="ER999">
        <v>494</v>
      </c>
      <c r="ES999">
        <v>0</v>
      </c>
      <c r="ET999">
        <v>699.3</v>
      </c>
      <c r="EU999">
        <v>435.4</v>
      </c>
      <c r="EV999">
        <v>0</v>
      </c>
      <c r="EW999">
        <v>0</v>
      </c>
      <c r="EX999">
        <v>0</v>
      </c>
      <c r="EY999">
        <v>0</v>
      </c>
      <c r="EZ999">
        <v>0</v>
      </c>
      <c r="FA999">
        <v>0</v>
      </c>
      <c r="FB999">
        <v>0</v>
      </c>
      <c r="FC999">
        <v>0</v>
      </c>
      <c r="FD999">
        <v>95.6</v>
      </c>
      <c r="FE999">
        <v>1792.1</v>
      </c>
      <c r="FF999">
        <v>1740.1999999999998</v>
      </c>
      <c r="FG999">
        <v>954.9</v>
      </c>
      <c r="FH999">
        <v>1087.8000000000002</v>
      </c>
      <c r="FI999">
        <v>1892.1</v>
      </c>
      <c r="FJ999">
        <v>1222.5</v>
      </c>
      <c r="FK999">
        <v>678.3</v>
      </c>
      <c r="FL999">
        <v>639.1</v>
      </c>
      <c r="FM999">
        <v>520.5</v>
      </c>
      <c r="FN999">
        <v>123.8</v>
      </c>
      <c r="FO999">
        <v>181.6</v>
      </c>
      <c r="FP999">
        <v>1090.5</v>
      </c>
      <c r="FQ999">
        <v>0</v>
      </c>
      <c r="FR999">
        <v>0</v>
      </c>
      <c r="FS999">
        <v>0</v>
      </c>
      <c r="FT999">
        <v>0</v>
      </c>
      <c r="FU999">
        <v>0</v>
      </c>
      <c r="FV999">
        <v>0</v>
      </c>
      <c r="FW999">
        <v>0</v>
      </c>
      <c r="FX999">
        <v>0</v>
      </c>
      <c r="FY999">
        <v>0</v>
      </c>
      <c r="FZ999">
        <v>0</v>
      </c>
      <c r="GA999">
        <v>0</v>
      </c>
      <c r="GB999">
        <v>0</v>
      </c>
      <c r="GC999">
        <v>0</v>
      </c>
      <c r="GD999">
        <v>0</v>
      </c>
      <c r="GE999">
        <v>0</v>
      </c>
      <c r="GF999">
        <v>198.3</v>
      </c>
      <c r="GG999">
        <v>1054.4000000000001</v>
      </c>
      <c r="GH999">
        <v>552.79999999999995</v>
      </c>
      <c r="GI999">
        <v>522</v>
      </c>
      <c r="GJ999">
        <v>0</v>
      </c>
      <c r="GK999">
        <v>0</v>
      </c>
      <c r="GL999">
        <v>0</v>
      </c>
      <c r="GM999">
        <v>0</v>
      </c>
      <c r="GN999">
        <v>791.40000000000009</v>
      </c>
      <c r="GO999">
        <v>1816.5</v>
      </c>
      <c r="GP999">
        <v>0</v>
      </c>
      <c r="GQ999">
        <v>0</v>
      </c>
      <c r="GR999">
        <v>0</v>
      </c>
      <c r="GS999">
        <v>0</v>
      </c>
      <c r="GT999">
        <v>0</v>
      </c>
      <c r="GU999">
        <v>0</v>
      </c>
      <c r="GV999">
        <v>0</v>
      </c>
      <c r="GW999">
        <v>0</v>
      </c>
      <c r="GX999">
        <v>0</v>
      </c>
      <c r="GY999">
        <v>840.3</v>
      </c>
      <c r="GZ999">
        <v>0</v>
      </c>
      <c r="HA999">
        <v>0</v>
      </c>
      <c r="HB999">
        <v>0</v>
      </c>
      <c r="HC999">
        <v>380.4</v>
      </c>
      <c r="HD999">
        <v>2175.5</v>
      </c>
      <c r="HE999">
        <v>0</v>
      </c>
      <c r="HF999">
        <v>0</v>
      </c>
      <c r="HG999">
        <v>0</v>
      </c>
      <c r="HH999">
        <v>0</v>
      </c>
      <c r="HI999">
        <v>0</v>
      </c>
      <c r="HJ999">
        <v>803.40000000000009</v>
      </c>
      <c r="HK999">
        <v>1270.9000000000001</v>
      </c>
      <c r="HL999">
        <v>835.7</v>
      </c>
      <c r="HM999">
        <v>1162.5999999999999</v>
      </c>
      <c r="HN999">
        <v>0</v>
      </c>
      <c r="HO999">
        <v>0</v>
      </c>
      <c r="HP999">
        <v>0</v>
      </c>
      <c r="HQ999">
        <v>0</v>
      </c>
      <c r="HR999">
        <v>161.19999999999999</v>
      </c>
      <c r="HS999">
        <v>0</v>
      </c>
      <c r="HT999">
        <v>2048.5</v>
      </c>
      <c r="HU999">
        <v>2627.5</v>
      </c>
      <c r="HV999">
        <v>1168.5999999999999</v>
      </c>
      <c r="HW999">
        <v>388</v>
      </c>
      <c r="HX999">
        <v>0</v>
      </c>
      <c r="HY999">
        <v>0</v>
      </c>
      <c r="HZ999">
        <v>0</v>
      </c>
      <c r="IA999">
        <v>0</v>
      </c>
      <c r="IB999">
        <v>0</v>
      </c>
      <c r="IC999">
        <v>594.4</v>
      </c>
      <c r="ID999">
        <v>427.4</v>
      </c>
      <c r="IE999">
        <v>713.3</v>
      </c>
      <c r="IF999">
        <v>626.1</v>
      </c>
      <c r="IG999">
        <v>0</v>
      </c>
      <c r="IH999">
        <v>0</v>
      </c>
      <c r="II999">
        <v>995.7</v>
      </c>
      <c r="IJ999">
        <v>1156.5999999999999</v>
      </c>
      <c r="IK999">
        <v>864.6</v>
      </c>
      <c r="IL999">
        <v>316.5</v>
      </c>
      <c r="IM999">
        <v>101.5</v>
      </c>
      <c r="IN999">
        <v>71.8</v>
      </c>
      <c r="IO999">
        <v>0</v>
      </c>
      <c r="IP999">
        <v>0</v>
      </c>
      <c r="IQ999">
        <v>0</v>
      </c>
      <c r="IR999">
        <v>0</v>
      </c>
      <c r="IS999">
        <v>0</v>
      </c>
      <c r="IT999">
        <v>0</v>
      </c>
      <c r="IU999">
        <v>0</v>
      </c>
      <c r="IV999">
        <v>0</v>
      </c>
      <c r="IW999">
        <v>68</v>
      </c>
      <c r="IX999">
        <v>404.7</v>
      </c>
      <c r="IY999">
        <v>126.6</v>
      </c>
      <c r="IZ999">
        <v>126.6</v>
      </c>
      <c r="JA999">
        <v>503.7</v>
      </c>
      <c r="JB999">
        <v>570.1</v>
      </c>
      <c r="JC999">
        <v>328.3</v>
      </c>
      <c r="JD999">
        <v>0</v>
      </c>
      <c r="JE999">
        <v>0</v>
      </c>
      <c r="JF999">
        <v>0</v>
      </c>
      <c r="JG999">
        <v>0</v>
      </c>
      <c r="JH999">
        <v>287.3</v>
      </c>
      <c r="JI999">
        <v>68.2</v>
      </c>
      <c r="JJ999">
        <v>0</v>
      </c>
      <c r="JK999">
        <v>148.6</v>
      </c>
      <c r="JL999">
        <v>0</v>
      </c>
      <c r="JM999">
        <v>0</v>
      </c>
      <c r="JN999">
        <v>204.5</v>
      </c>
      <c r="JO999">
        <v>292.10000000000002</v>
      </c>
      <c r="JP999">
        <v>670.8</v>
      </c>
      <c r="JQ999">
        <v>745.2</v>
      </c>
      <c r="JR999">
        <v>242.9</v>
      </c>
    </row>
    <row r="1000" spans="2:278" ht="18" thickBot="1">
      <c r="B1000" s="368" t="s">
        <v>1351</v>
      </c>
      <c r="C1000" s="387" t="s">
        <v>1659</v>
      </c>
      <c r="D1000" s="387"/>
      <c r="E1000" s="454">
        <v>22829.8</v>
      </c>
      <c r="F1000">
        <v>20193.400000000001</v>
      </c>
      <c r="G1000" s="427">
        <v>0</v>
      </c>
      <c r="H1000" s="155">
        <v>0</v>
      </c>
      <c r="I1000">
        <v>0</v>
      </c>
      <c r="J1000">
        <v>0</v>
      </c>
      <c r="K1000">
        <v>0</v>
      </c>
      <c r="L1000" s="4">
        <v>0</v>
      </c>
      <c r="M1000" s="4">
        <v>0</v>
      </c>
      <c r="N1000" s="4">
        <v>0</v>
      </c>
      <c r="O1000" s="4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1476.4</v>
      </c>
      <c r="X1000">
        <v>1482</v>
      </c>
      <c r="Y1000">
        <v>457.20000000000005</v>
      </c>
      <c r="Z1000">
        <v>0</v>
      </c>
      <c r="AA1000">
        <v>0</v>
      </c>
      <c r="AB1000">
        <v>0</v>
      </c>
      <c r="AC1000">
        <v>0</v>
      </c>
      <c r="AD1000">
        <v>3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1828.6</v>
      </c>
      <c r="AK1000">
        <v>1800.7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560.70000000000005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0</v>
      </c>
      <c r="BN1000">
        <v>0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  <c r="CF1000">
        <v>0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  <c r="CN1000">
        <v>0</v>
      </c>
      <c r="CO1000">
        <v>0</v>
      </c>
      <c r="CP1000">
        <v>3.5</v>
      </c>
      <c r="CQ1000">
        <v>0</v>
      </c>
      <c r="CR1000">
        <v>528</v>
      </c>
      <c r="CS1000">
        <v>581.79999999999995</v>
      </c>
      <c r="CT1000">
        <v>555.40000000000009</v>
      </c>
      <c r="CU1000">
        <v>737.4</v>
      </c>
      <c r="CV1000">
        <v>1039.0999999999999</v>
      </c>
      <c r="CW1000">
        <v>1667.3</v>
      </c>
      <c r="CX1000">
        <v>877.6</v>
      </c>
      <c r="CY1000">
        <v>910.40000000000009</v>
      </c>
      <c r="CZ1000">
        <v>0</v>
      </c>
      <c r="DA1000">
        <v>0</v>
      </c>
      <c r="DB1000">
        <v>0</v>
      </c>
      <c r="DC1000">
        <v>0</v>
      </c>
      <c r="DD1000">
        <v>0</v>
      </c>
      <c r="DE1000">
        <v>0</v>
      </c>
      <c r="DF1000">
        <v>0</v>
      </c>
      <c r="DG1000">
        <v>0</v>
      </c>
      <c r="DH1000">
        <v>0</v>
      </c>
      <c r="DI1000">
        <v>0</v>
      </c>
      <c r="DJ1000">
        <v>0</v>
      </c>
      <c r="DK1000">
        <v>0</v>
      </c>
      <c r="DL1000">
        <v>995.5</v>
      </c>
      <c r="DM1000">
        <v>712.7</v>
      </c>
      <c r="DN1000">
        <v>0</v>
      </c>
      <c r="DO1000">
        <v>0</v>
      </c>
      <c r="DP1000">
        <v>0</v>
      </c>
      <c r="DQ1000">
        <v>0</v>
      </c>
      <c r="DR1000">
        <v>0</v>
      </c>
      <c r="DS1000">
        <v>0</v>
      </c>
      <c r="DT1000">
        <v>0</v>
      </c>
      <c r="DU1000">
        <v>0</v>
      </c>
      <c r="DV1000">
        <v>0</v>
      </c>
      <c r="DW1000">
        <v>0</v>
      </c>
      <c r="DX1000">
        <v>0</v>
      </c>
      <c r="DY1000">
        <v>0</v>
      </c>
      <c r="DZ1000">
        <v>0</v>
      </c>
      <c r="EA1000">
        <v>0</v>
      </c>
      <c r="EB1000">
        <v>0</v>
      </c>
      <c r="EC1000">
        <v>0</v>
      </c>
      <c r="ED1000">
        <v>0</v>
      </c>
      <c r="EE1000">
        <v>0</v>
      </c>
      <c r="EF1000">
        <v>0</v>
      </c>
      <c r="EG1000">
        <v>0</v>
      </c>
      <c r="EH1000">
        <v>0</v>
      </c>
      <c r="EI1000">
        <v>0</v>
      </c>
      <c r="EJ1000">
        <v>0</v>
      </c>
      <c r="EK1000">
        <v>0</v>
      </c>
      <c r="EL1000">
        <v>0</v>
      </c>
      <c r="EM1000">
        <v>0</v>
      </c>
      <c r="EN1000">
        <v>27.4</v>
      </c>
      <c r="EO1000">
        <v>0</v>
      </c>
      <c r="EP1000">
        <v>1002.5</v>
      </c>
      <c r="EQ1000">
        <v>0</v>
      </c>
      <c r="ER1000">
        <v>494</v>
      </c>
      <c r="ES1000">
        <v>0</v>
      </c>
      <c r="ET1000">
        <v>699.3</v>
      </c>
      <c r="EU1000">
        <v>435.4</v>
      </c>
      <c r="EV1000">
        <v>0</v>
      </c>
      <c r="EW1000">
        <v>0</v>
      </c>
      <c r="EX1000">
        <v>0</v>
      </c>
      <c r="EY1000">
        <v>0</v>
      </c>
      <c r="EZ1000">
        <v>0</v>
      </c>
      <c r="FA1000">
        <v>0</v>
      </c>
      <c r="FB1000">
        <v>0</v>
      </c>
      <c r="FC1000">
        <v>0</v>
      </c>
      <c r="FD1000">
        <v>95.6</v>
      </c>
      <c r="FE1000">
        <v>1792.1</v>
      </c>
      <c r="FF1000">
        <v>1740.1999999999998</v>
      </c>
      <c r="FG1000">
        <v>954.9</v>
      </c>
      <c r="FH1000">
        <v>1087.8000000000002</v>
      </c>
      <c r="FI1000">
        <v>1892.1</v>
      </c>
      <c r="FJ1000">
        <v>1222.5</v>
      </c>
      <c r="FK1000">
        <v>678.3</v>
      </c>
      <c r="FL1000">
        <v>639.1</v>
      </c>
      <c r="FM1000">
        <v>520.5</v>
      </c>
      <c r="FN1000">
        <v>123.8</v>
      </c>
      <c r="FO1000">
        <v>181.6</v>
      </c>
      <c r="FP1000">
        <v>1090.5</v>
      </c>
      <c r="FQ1000">
        <v>0</v>
      </c>
      <c r="FR1000">
        <v>0</v>
      </c>
      <c r="FS1000">
        <v>0</v>
      </c>
      <c r="FT1000">
        <v>0</v>
      </c>
      <c r="FU1000">
        <v>0</v>
      </c>
      <c r="FV1000">
        <v>0</v>
      </c>
      <c r="FW1000">
        <v>0</v>
      </c>
      <c r="FX1000">
        <v>0</v>
      </c>
      <c r="FY1000">
        <v>0</v>
      </c>
      <c r="FZ1000">
        <v>0</v>
      </c>
      <c r="GA1000">
        <v>0</v>
      </c>
      <c r="GB1000">
        <v>0</v>
      </c>
      <c r="GC1000">
        <v>0</v>
      </c>
      <c r="GD1000">
        <v>0</v>
      </c>
      <c r="GE1000">
        <v>0</v>
      </c>
      <c r="GF1000">
        <v>198.3</v>
      </c>
      <c r="GG1000">
        <v>1054.4000000000001</v>
      </c>
      <c r="GH1000">
        <v>552.79999999999995</v>
      </c>
      <c r="GI1000">
        <v>522</v>
      </c>
      <c r="GJ1000">
        <v>0</v>
      </c>
      <c r="GK1000">
        <v>0</v>
      </c>
      <c r="GL1000">
        <v>0</v>
      </c>
      <c r="GM1000">
        <v>0</v>
      </c>
      <c r="GN1000">
        <v>791.40000000000009</v>
      </c>
      <c r="GO1000">
        <v>1816.5</v>
      </c>
      <c r="GP1000">
        <v>0</v>
      </c>
      <c r="GQ1000">
        <v>0</v>
      </c>
      <c r="GR1000">
        <v>0</v>
      </c>
      <c r="GS1000">
        <v>0</v>
      </c>
      <c r="GT1000">
        <v>0</v>
      </c>
      <c r="GU1000">
        <v>0</v>
      </c>
      <c r="GV1000">
        <v>0</v>
      </c>
      <c r="GW1000">
        <v>0</v>
      </c>
      <c r="GX1000">
        <v>0</v>
      </c>
      <c r="GY1000">
        <v>840.3</v>
      </c>
      <c r="GZ1000">
        <v>0</v>
      </c>
      <c r="HA1000">
        <v>0</v>
      </c>
      <c r="HB1000">
        <v>0</v>
      </c>
      <c r="HC1000">
        <v>380.4</v>
      </c>
      <c r="HD1000">
        <v>2175.5</v>
      </c>
      <c r="HE1000">
        <v>0</v>
      </c>
      <c r="HF1000">
        <v>0</v>
      </c>
      <c r="HG1000">
        <v>0</v>
      </c>
      <c r="HH1000">
        <v>0</v>
      </c>
      <c r="HI1000">
        <v>0</v>
      </c>
      <c r="HJ1000">
        <v>803.40000000000009</v>
      </c>
      <c r="HK1000">
        <v>1270.9000000000001</v>
      </c>
      <c r="HL1000">
        <v>835.7</v>
      </c>
      <c r="HM1000">
        <v>1162.5999999999999</v>
      </c>
      <c r="HN1000">
        <v>0</v>
      </c>
      <c r="HO1000">
        <v>0</v>
      </c>
      <c r="HP1000">
        <v>0</v>
      </c>
      <c r="HQ1000">
        <v>0</v>
      </c>
      <c r="HR1000">
        <v>161.19999999999999</v>
      </c>
      <c r="HS1000">
        <v>0</v>
      </c>
      <c r="HT1000">
        <v>2048.5</v>
      </c>
      <c r="HU1000">
        <v>2627.5</v>
      </c>
      <c r="HV1000">
        <v>1168.5999999999999</v>
      </c>
      <c r="HW1000">
        <v>388</v>
      </c>
      <c r="HX1000">
        <v>0</v>
      </c>
      <c r="HY1000">
        <v>0</v>
      </c>
      <c r="HZ1000">
        <v>0</v>
      </c>
      <c r="IA1000">
        <v>0</v>
      </c>
      <c r="IB1000">
        <v>0</v>
      </c>
      <c r="IC1000">
        <v>594.4</v>
      </c>
      <c r="ID1000">
        <v>427.4</v>
      </c>
      <c r="IE1000">
        <v>713.3</v>
      </c>
      <c r="IF1000">
        <v>626.1</v>
      </c>
      <c r="IG1000">
        <v>0</v>
      </c>
      <c r="IH1000">
        <v>0</v>
      </c>
      <c r="II1000">
        <v>995.7</v>
      </c>
      <c r="IJ1000">
        <v>1156.5999999999999</v>
      </c>
      <c r="IK1000">
        <v>864.6</v>
      </c>
      <c r="IL1000">
        <v>316.5</v>
      </c>
      <c r="IM1000">
        <v>101.5</v>
      </c>
      <c r="IN1000">
        <v>71.8</v>
      </c>
      <c r="IO1000">
        <v>0</v>
      </c>
      <c r="IP1000">
        <v>0</v>
      </c>
      <c r="IQ1000">
        <v>0</v>
      </c>
      <c r="IR1000">
        <v>0</v>
      </c>
      <c r="IS1000">
        <v>0</v>
      </c>
      <c r="IT1000">
        <v>0</v>
      </c>
      <c r="IU1000">
        <v>0</v>
      </c>
      <c r="IV1000">
        <v>0</v>
      </c>
      <c r="IW1000">
        <v>68</v>
      </c>
      <c r="IX1000">
        <v>404.7</v>
      </c>
      <c r="IY1000">
        <v>126.6</v>
      </c>
      <c r="IZ1000">
        <v>126.6</v>
      </c>
      <c r="JA1000">
        <v>503.7</v>
      </c>
      <c r="JB1000">
        <v>570.1</v>
      </c>
      <c r="JC1000">
        <v>328.3</v>
      </c>
      <c r="JD1000">
        <v>0</v>
      </c>
      <c r="JE1000">
        <v>0</v>
      </c>
      <c r="JF1000">
        <v>0</v>
      </c>
      <c r="JG1000">
        <v>0</v>
      </c>
      <c r="JH1000">
        <v>287.3</v>
      </c>
      <c r="JI1000">
        <v>68.2</v>
      </c>
      <c r="JJ1000">
        <v>0</v>
      </c>
      <c r="JK1000">
        <v>148.6</v>
      </c>
      <c r="JL1000">
        <v>0</v>
      </c>
      <c r="JM1000">
        <v>0</v>
      </c>
      <c r="JN1000">
        <v>204.5</v>
      </c>
      <c r="JO1000">
        <v>292.10000000000002</v>
      </c>
      <c r="JP1000">
        <v>670.8</v>
      </c>
      <c r="JQ1000">
        <v>745.2</v>
      </c>
      <c r="JR1000">
        <v>242.9</v>
      </c>
    </row>
    <row r="1001" spans="2:278" ht="18" thickBot="1">
      <c r="B1001" s="368"/>
      <c r="C1001" s="387" t="s">
        <v>1660</v>
      </c>
      <c r="D1001" s="368"/>
      <c r="E1001" s="454">
        <v>22829.8</v>
      </c>
      <c r="F1001">
        <v>20193.400000000001</v>
      </c>
      <c r="G1001" s="427">
        <v>0</v>
      </c>
      <c r="H1001" s="155">
        <v>0</v>
      </c>
      <c r="I1001">
        <v>0</v>
      </c>
      <c r="J1001">
        <v>0</v>
      </c>
      <c r="K1001">
        <v>0</v>
      </c>
      <c r="L1001" s="4">
        <v>0</v>
      </c>
      <c r="M1001" s="4">
        <v>0</v>
      </c>
      <c r="N1001" s="4">
        <v>0</v>
      </c>
      <c r="O1001" s="4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1476.4</v>
      </c>
      <c r="X1001">
        <v>1482</v>
      </c>
      <c r="Y1001">
        <v>457.20000000000005</v>
      </c>
      <c r="Z1001">
        <v>0</v>
      </c>
      <c r="AA1001">
        <v>0</v>
      </c>
      <c r="AB1001">
        <v>0</v>
      </c>
      <c r="AC1001">
        <v>0</v>
      </c>
      <c r="AD1001">
        <v>3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1828.6</v>
      </c>
      <c r="AK1001">
        <v>1800.7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560.70000000000005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0</v>
      </c>
      <c r="BU1001">
        <v>0</v>
      </c>
      <c r="BV1001">
        <v>0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  <c r="CF1001">
        <v>0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  <c r="CN1001">
        <v>0</v>
      </c>
      <c r="CO1001">
        <v>0</v>
      </c>
      <c r="CP1001">
        <v>3.5</v>
      </c>
      <c r="CQ1001">
        <v>0</v>
      </c>
      <c r="CR1001">
        <v>528</v>
      </c>
      <c r="CS1001">
        <v>581.79999999999995</v>
      </c>
      <c r="CT1001">
        <v>555.40000000000009</v>
      </c>
      <c r="CU1001">
        <v>737.4</v>
      </c>
      <c r="CV1001">
        <v>1039.0999999999999</v>
      </c>
      <c r="CW1001">
        <v>1667.3</v>
      </c>
      <c r="CX1001">
        <v>877.6</v>
      </c>
      <c r="CY1001">
        <v>910.40000000000009</v>
      </c>
      <c r="CZ1001">
        <v>0</v>
      </c>
      <c r="DA1001">
        <v>0</v>
      </c>
      <c r="DB1001">
        <v>0</v>
      </c>
      <c r="DC1001">
        <v>0</v>
      </c>
      <c r="DD1001">
        <v>0</v>
      </c>
      <c r="DE1001">
        <v>0</v>
      </c>
      <c r="DF1001">
        <v>0</v>
      </c>
      <c r="DG1001">
        <v>0</v>
      </c>
      <c r="DH1001">
        <v>0</v>
      </c>
      <c r="DI1001">
        <v>0</v>
      </c>
      <c r="DJ1001">
        <v>0</v>
      </c>
      <c r="DK1001">
        <v>0</v>
      </c>
      <c r="DL1001">
        <v>995.5</v>
      </c>
      <c r="DM1001">
        <v>712.7</v>
      </c>
      <c r="DN1001">
        <v>0</v>
      </c>
      <c r="DO1001">
        <v>0</v>
      </c>
      <c r="DP1001">
        <v>0</v>
      </c>
      <c r="DQ1001">
        <v>0</v>
      </c>
      <c r="DR1001">
        <v>0</v>
      </c>
      <c r="DS1001">
        <v>0</v>
      </c>
      <c r="DT1001">
        <v>0</v>
      </c>
      <c r="DU1001">
        <v>0</v>
      </c>
      <c r="DV1001">
        <v>0</v>
      </c>
      <c r="DW1001">
        <v>0</v>
      </c>
      <c r="DX1001">
        <v>0</v>
      </c>
      <c r="DY1001">
        <v>0</v>
      </c>
      <c r="DZ1001">
        <v>0</v>
      </c>
      <c r="EA1001">
        <v>0</v>
      </c>
      <c r="EB1001">
        <v>0</v>
      </c>
      <c r="EC1001">
        <v>0</v>
      </c>
      <c r="ED1001">
        <v>0</v>
      </c>
      <c r="EE1001">
        <v>0</v>
      </c>
      <c r="EF1001">
        <v>0</v>
      </c>
      <c r="EG1001">
        <v>0</v>
      </c>
      <c r="EH1001">
        <v>0</v>
      </c>
      <c r="EI1001">
        <v>0</v>
      </c>
      <c r="EJ1001">
        <v>0</v>
      </c>
      <c r="EK1001">
        <v>0</v>
      </c>
      <c r="EL1001">
        <v>0</v>
      </c>
      <c r="EM1001">
        <v>0</v>
      </c>
      <c r="EN1001">
        <v>27.4</v>
      </c>
      <c r="EO1001">
        <v>0</v>
      </c>
      <c r="EP1001">
        <v>1002.5</v>
      </c>
      <c r="EQ1001">
        <v>0</v>
      </c>
      <c r="ER1001">
        <v>494</v>
      </c>
      <c r="ES1001">
        <v>0</v>
      </c>
      <c r="ET1001">
        <v>699.3</v>
      </c>
      <c r="EU1001">
        <v>435.4</v>
      </c>
      <c r="EV1001">
        <v>0</v>
      </c>
      <c r="EW1001">
        <v>0</v>
      </c>
      <c r="EX1001">
        <v>0</v>
      </c>
      <c r="EY1001">
        <v>0</v>
      </c>
      <c r="EZ1001">
        <v>0</v>
      </c>
      <c r="FA1001">
        <v>0</v>
      </c>
      <c r="FB1001">
        <v>0</v>
      </c>
      <c r="FC1001">
        <v>0</v>
      </c>
      <c r="FD1001">
        <v>95.6</v>
      </c>
      <c r="FE1001">
        <v>1792.1</v>
      </c>
      <c r="FF1001">
        <v>1740.1999999999998</v>
      </c>
      <c r="FG1001">
        <v>954.9</v>
      </c>
      <c r="FH1001">
        <v>1087.8000000000002</v>
      </c>
      <c r="FI1001">
        <v>1892.1</v>
      </c>
      <c r="FJ1001">
        <v>1222.5</v>
      </c>
      <c r="FK1001">
        <v>678.3</v>
      </c>
      <c r="FL1001">
        <v>639.1</v>
      </c>
      <c r="FM1001">
        <v>520.5</v>
      </c>
      <c r="FN1001">
        <v>123.8</v>
      </c>
      <c r="FO1001">
        <v>181.6</v>
      </c>
      <c r="FP1001">
        <v>1090.5</v>
      </c>
      <c r="FQ1001">
        <v>0</v>
      </c>
      <c r="FR1001">
        <v>0</v>
      </c>
      <c r="FS1001">
        <v>0</v>
      </c>
      <c r="FT1001">
        <v>0</v>
      </c>
      <c r="FU1001">
        <v>0</v>
      </c>
      <c r="FV1001">
        <v>0</v>
      </c>
      <c r="FW1001">
        <v>0</v>
      </c>
      <c r="FX1001">
        <v>0</v>
      </c>
      <c r="FY1001">
        <v>0</v>
      </c>
      <c r="FZ1001">
        <v>0</v>
      </c>
      <c r="GA1001">
        <v>0</v>
      </c>
      <c r="GB1001">
        <v>0</v>
      </c>
      <c r="GC1001">
        <v>0</v>
      </c>
      <c r="GD1001">
        <v>0</v>
      </c>
      <c r="GE1001">
        <v>0</v>
      </c>
      <c r="GF1001">
        <v>198.3</v>
      </c>
      <c r="GG1001">
        <v>1054.4000000000001</v>
      </c>
      <c r="GH1001">
        <v>552.79999999999995</v>
      </c>
      <c r="GI1001">
        <v>522</v>
      </c>
      <c r="GJ1001">
        <v>0</v>
      </c>
      <c r="GK1001">
        <v>0</v>
      </c>
      <c r="GL1001">
        <v>0</v>
      </c>
      <c r="GM1001">
        <v>0</v>
      </c>
      <c r="GN1001">
        <v>791.40000000000009</v>
      </c>
      <c r="GO1001">
        <v>1816.5</v>
      </c>
      <c r="GP1001">
        <v>0</v>
      </c>
      <c r="GQ1001">
        <v>0</v>
      </c>
      <c r="GR1001">
        <v>0</v>
      </c>
      <c r="GS1001">
        <v>0</v>
      </c>
      <c r="GT1001">
        <v>0</v>
      </c>
      <c r="GU1001">
        <v>0</v>
      </c>
      <c r="GV1001">
        <v>0</v>
      </c>
      <c r="GW1001">
        <v>0</v>
      </c>
      <c r="GX1001">
        <v>0</v>
      </c>
      <c r="GY1001">
        <v>840.3</v>
      </c>
      <c r="GZ1001">
        <v>0</v>
      </c>
      <c r="HA1001">
        <v>0</v>
      </c>
      <c r="HB1001">
        <v>0</v>
      </c>
      <c r="HC1001">
        <v>380.4</v>
      </c>
      <c r="HD1001">
        <v>2175.5</v>
      </c>
      <c r="HE1001">
        <v>0</v>
      </c>
      <c r="HF1001">
        <v>0</v>
      </c>
      <c r="HG1001">
        <v>0</v>
      </c>
      <c r="HH1001">
        <v>0</v>
      </c>
      <c r="HI1001">
        <v>0</v>
      </c>
      <c r="HJ1001">
        <v>803.40000000000009</v>
      </c>
      <c r="HK1001">
        <v>1270.9000000000001</v>
      </c>
      <c r="HL1001">
        <v>835.7</v>
      </c>
      <c r="HM1001">
        <v>1162.5999999999999</v>
      </c>
      <c r="HN1001">
        <v>0</v>
      </c>
      <c r="HO1001">
        <v>0</v>
      </c>
      <c r="HP1001">
        <v>0</v>
      </c>
      <c r="HQ1001">
        <v>0</v>
      </c>
      <c r="HR1001">
        <v>161.19999999999999</v>
      </c>
      <c r="HS1001">
        <v>0</v>
      </c>
      <c r="HT1001">
        <v>2048.5</v>
      </c>
      <c r="HU1001">
        <v>2627.5</v>
      </c>
      <c r="HV1001">
        <v>1168.5999999999999</v>
      </c>
      <c r="HW1001">
        <v>388</v>
      </c>
      <c r="HX1001">
        <v>0</v>
      </c>
      <c r="HY1001">
        <v>0</v>
      </c>
      <c r="HZ1001">
        <v>0</v>
      </c>
      <c r="IA1001">
        <v>0</v>
      </c>
      <c r="IB1001">
        <v>0</v>
      </c>
      <c r="IC1001">
        <v>594.4</v>
      </c>
      <c r="ID1001">
        <v>427.4</v>
      </c>
      <c r="IE1001">
        <v>713.3</v>
      </c>
      <c r="IF1001">
        <v>626.1</v>
      </c>
      <c r="IG1001">
        <v>0</v>
      </c>
      <c r="IH1001">
        <v>0</v>
      </c>
      <c r="II1001">
        <v>995.7</v>
      </c>
      <c r="IJ1001">
        <v>1156.5999999999999</v>
      </c>
      <c r="IK1001">
        <v>864.6</v>
      </c>
      <c r="IL1001">
        <v>316.5</v>
      </c>
      <c r="IM1001">
        <v>101.5</v>
      </c>
      <c r="IN1001">
        <v>71.8</v>
      </c>
      <c r="IO1001">
        <v>0</v>
      </c>
      <c r="IP1001">
        <v>0</v>
      </c>
      <c r="IQ1001">
        <v>0</v>
      </c>
      <c r="IR1001">
        <v>0</v>
      </c>
      <c r="IS1001">
        <v>0</v>
      </c>
      <c r="IT1001">
        <v>0</v>
      </c>
      <c r="IU1001">
        <v>0</v>
      </c>
      <c r="IV1001">
        <v>0</v>
      </c>
      <c r="IW1001">
        <v>68</v>
      </c>
      <c r="IX1001">
        <v>404.7</v>
      </c>
      <c r="IY1001">
        <v>126.6</v>
      </c>
      <c r="IZ1001">
        <v>126.6</v>
      </c>
      <c r="JA1001">
        <v>503.7</v>
      </c>
      <c r="JB1001">
        <v>570.1</v>
      </c>
      <c r="JC1001">
        <v>328.3</v>
      </c>
      <c r="JD1001">
        <v>0</v>
      </c>
      <c r="JE1001">
        <v>0</v>
      </c>
      <c r="JF1001">
        <v>0</v>
      </c>
      <c r="JG1001">
        <v>0</v>
      </c>
      <c r="JH1001">
        <v>287.3</v>
      </c>
      <c r="JI1001">
        <v>68.2</v>
      </c>
      <c r="JJ1001">
        <v>0</v>
      </c>
      <c r="JK1001">
        <v>148.6</v>
      </c>
      <c r="JL1001">
        <v>0</v>
      </c>
      <c r="JM1001">
        <v>0</v>
      </c>
      <c r="JN1001">
        <v>204.5</v>
      </c>
      <c r="JO1001">
        <v>292.10000000000002</v>
      </c>
      <c r="JP1001">
        <v>670.8</v>
      </c>
      <c r="JQ1001">
        <v>745.2</v>
      </c>
      <c r="JR1001">
        <v>242.9</v>
      </c>
    </row>
    <row r="1002" spans="2:278" ht="18" thickBot="1">
      <c r="B1002" s="367"/>
      <c r="C1002" s="385" t="s">
        <v>1660</v>
      </c>
      <c r="D1002" s="367"/>
      <c r="E1002" s="454">
        <v>22829.8</v>
      </c>
      <c r="F1002">
        <v>20193.400000000001</v>
      </c>
      <c r="G1002" s="427">
        <v>0</v>
      </c>
      <c r="H1002" s="155">
        <v>0</v>
      </c>
      <c r="I1002">
        <v>0</v>
      </c>
      <c r="J1002">
        <v>0</v>
      </c>
      <c r="K1002">
        <v>0</v>
      </c>
      <c r="L1002" s="4">
        <v>0</v>
      </c>
      <c r="M1002" s="4">
        <v>0</v>
      </c>
      <c r="N1002" s="4">
        <v>0</v>
      </c>
      <c r="O1002" s="4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1476.4</v>
      </c>
      <c r="X1002">
        <v>1482</v>
      </c>
      <c r="Y1002">
        <v>457.20000000000005</v>
      </c>
      <c r="Z1002">
        <v>0</v>
      </c>
      <c r="AA1002">
        <v>0</v>
      </c>
      <c r="AB1002">
        <v>0</v>
      </c>
      <c r="AC1002">
        <v>0</v>
      </c>
      <c r="AD1002">
        <v>3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1828.6</v>
      </c>
      <c r="AK1002">
        <v>1800.7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560.70000000000005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0</v>
      </c>
      <c r="BU1002">
        <v>0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  <c r="CF1002">
        <v>0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  <c r="CN1002">
        <v>0</v>
      </c>
      <c r="CO1002">
        <v>0</v>
      </c>
      <c r="CP1002">
        <v>3.5</v>
      </c>
      <c r="CQ1002">
        <v>0</v>
      </c>
      <c r="CR1002">
        <v>528</v>
      </c>
      <c r="CS1002">
        <v>581.79999999999995</v>
      </c>
      <c r="CT1002">
        <v>555.40000000000009</v>
      </c>
      <c r="CU1002">
        <v>737.4</v>
      </c>
      <c r="CV1002">
        <v>1039.0999999999999</v>
      </c>
      <c r="CW1002">
        <v>1667.3</v>
      </c>
      <c r="CX1002">
        <v>877.6</v>
      </c>
      <c r="CY1002">
        <v>910.40000000000009</v>
      </c>
      <c r="CZ1002">
        <v>0</v>
      </c>
      <c r="DA1002">
        <v>0</v>
      </c>
      <c r="DB1002">
        <v>0</v>
      </c>
      <c r="DC1002">
        <v>0</v>
      </c>
      <c r="DD1002">
        <v>0</v>
      </c>
      <c r="DE1002">
        <v>0</v>
      </c>
      <c r="DF1002">
        <v>0</v>
      </c>
      <c r="DG1002">
        <v>0</v>
      </c>
      <c r="DH1002">
        <v>0</v>
      </c>
      <c r="DI1002">
        <v>0</v>
      </c>
      <c r="DJ1002">
        <v>0</v>
      </c>
      <c r="DK1002">
        <v>0</v>
      </c>
      <c r="DL1002">
        <v>995.5</v>
      </c>
      <c r="DM1002">
        <v>712.7</v>
      </c>
      <c r="DN1002">
        <v>0</v>
      </c>
      <c r="DO1002">
        <v>0</v>
      </c>
      <c r="DP1002">
        <v>0</v>
      </c>
      <c r="DQ1002">
        <v>0</v>
      </c>
      <c r="DR1002">
        <v>0</v>
      </c>
      <c r="DS1002">
        <v>0</v>
      </c>
      <c r="DT1002">
        <v>0</v>
      </c>
      <c r="DU1002">
        <v>0</v>
      </c>
      <c r="DV1002">
        <v>0</v>
      </c>
      <c r="DW1002">
        <v>0</v>
      </c>
      <c r="DX1002">
        <v>0</v>
      </c>
      <c r="DY1002">
        <v>0</v>
      </c>
      <c r="DZ1002">
        <v>0</v>
      </c>
      <c r="EA1002">
        <v>0</v>
      </c>
      <c r="EB1002">
        <v>0</v>
      </c>
      <c r="EC1002">
        <v>0</v>
      </c>
      <c r="ED1002">
        <v>0</v>
      </c>
      <c r="EE1002">
        <v>0</v>
      </c>
      <c r="EF1002">
        <v>0</v>
      </c>
      <c r="EG1002">
        <v>0</v>
      </c>
      <c r="EH1002">
        <v>0</v>
      </c>
      <c r="EI1002">
        <v>0</v>
      </c>
      <c r="EJ1002">
        <v>0</v>
      </c>
      <c r="EK1002">
        <v>0</v>
      </c>
      <c r="EL1002">
        <v>0</v>
      </c>
      <c r="EM1002">
        <v>0</v>
      </c>
      <c r="EN1002">
        <v>27.4</v>
      </c>
      <c r="EO1002">
        <v>0</v>
      </c>
      <c r="EP1002">
        <v>1002.5</v>
      </c>
      <c r="EQ1002">
        <v>0</v>
      </c>
      <c r="ER1002">
        <v>494</v>
      </c>
      <c r="ES1002">
        <v>0</v>
      </c>
      <c r="ET1002">
        <v>699.3</v>
      </c>
      <c r="EU1002">
        <v>435.4</v>
      </c>
      <c r="EV1002">
        <v>0</v>
      </c>
      <c r="EW1002">
        <v>0</v>
      </c>
      <c r="EX1002">
        <v>0</v>
      </c>
      <c r="EY1002">
        <v>0</v>
      </c>
      <c r="EZ1002">
        <v>0</v>
      </c>
      <c r="FA1002">
        <v>0</v>
      </c>
      <c r="FB1002">
        <v>0</v>
      </c>
      <c r="FC1002">
        <v>0</v>
      </c>
      <c r="FD1002">
        <v>95.6</v>
      </c>
      <c r="FE1002">
        <v>1792.1</v>
      </c>
      <c r="FF1002">
        <v>1740.1999999999998</v>
      </c>
      <c r="FG1002">
        <v>954.9</v>
      </c>
      <c r="FH1002">
        <v>1087.8000000000002</v>
      </c>
      <c r="FI1002">
        <v>1892.1</v>
      </c>
      <c r="FJ1002">
        <v>1222.5</v>
      </c>
      <c r="FK1002">
        <v>678.3</v>
      </c>
      <c r="FL1002">
        <v>639.1</v>
      </c>
      <c r="FM1002">
        <v>520.5</v>
      </c>
      <c r="FN1002">
        <v>123.8</v>
      </c>
      <c r="FO1002">
        <v>181.6</v>
      </c>
      <c r="FP1002">
        <v>1090.5</v>
      </c>
      <c r="FQ1002">
        <v>0</v>
      </c>
      <c r="FR1002">
        <v>0</v>
      </c>
      <c r="FS1002">
        <v>0</v>
      </c>
      <c r="FT1002">
        <v>0</v>
      </c>
      <c r="FU1002">
        <v>0</v>
      </c>
      <c r="FV1002">
        <v>0</v>
      </c>
      <c r="FW1002">
        <v>0</v>
      </c>
      <c r="FX1002">
        <v>0</v>
      </c>
      <c r="FY1002">
        <v>0</v>
      </c>
      <c r="FZ1002">
        <v>0</v>
      </c>
      <c r="GA1002">
        <v>0</v>
      </c>
      <c r="GB1002">
        <v>0</v>
      </c>
      <c r="GC1002">
        <v>0</v>
      </c>
      <c r="GD1002">
        <v>0</v>
      </c>
      <c r="GE1002">
        <v>0</v>
      </c>
      <c r="GF1002">
        <v>198.3</v>
      </c>
      <c r="GG1002">
        <v>1054.4000000000001</v>
      </c>
      <c r="GH1002">
        <v>552.79999999999995</v>
      </c>
      <c r="GI1002">
        <v>522</v>
      </c>
      <c r="GJ1002">
        <v>0</v>
      </c>
      <c r="GK1002">
        <v>0</v>
      </c>
      <c r="GL1002">
        <v>0</v>
      </c>
      <c r="GM1002">
        <v>0</v>
      </c>
      <c r="GN1002">
        <v>791.40000000000009</v>
      </c>
      <c r="GO1002">
        <v>1816.5</v>
      </c>
      <c r="GP1002">
        <v>0</v>
      </c>
      <c r="GQ1002">
        <v>0</v>
      </c>
      <c r="GR1002">
        <v>0</v>
      </c>
      <c r="GS1002">
        <v>0</v>
      </c>
      <c r="GT1002">
        <v>0</v>
      </c>
      <c r="GU1002">
        <v>0</v>
      </c>
      <c r="GV1002">
        <v>0</v>
      </c>
      <c r="GW1002">
        <v>0</v>
      </c>
      <c r="GX1002">
        <v>0</v>
      </c>
      <c r="GY1002">
        <v>840.3</v>
      </c>
      <c r="GZ1002">
        <v>0</v>
      </c>
      <c r="HA1002">
        <v>0</v>
      </c>
      <c r="HB1002">
        <v>0</v>
      </c>
      <c r="HC1002">
        <v>380.4</v>
      </c>
      <c r="HD1002">
        <v>2175.5</v>
      </c>
      <c r="HE1002">
        <v>0</v>
      </c>
      <c r="HF1002">
        <v>0</v>
      </c>
      <c r="HG1002">
        <v>0</v>
      </c>
      <c r="HH1002">
        <v>0</v>
      </c>
      <c r="HI1002">
        <v>0</v>
      </c>
      <c r="HJ1002">
        <v>803.40000000000009</v>
      </c>
      <c r="HK1002">
        <v>1270.9000000000001</v>
      </c>
      <c r="HL1002">
        <v>835.7</v>
      </c>
      <c r="HM1002">
        <v>1162.5999999999999</v>
      </c>
      <c r="HN1002">
        <v>0</v>
      </c>
      <c r="HO1002">
        <v>0</v>
      </c>
      <c r="HP1002">
        <v>0</v>
      </c>
      <c r="HQ1002">
        <v>0</v>
      </c>
      <c r="HR1002">
        <v>161.19999999999999</v>
      </c>
      <c r="HS1002">
        <v>0</v>
      </c>
      <c r="HT1002">
        <v>2048.5</v>
      </c>
      <c r="HU1002">
        <v>2627.5</v>
      </c>
      <c r="HV1002">
        <v>1168.5999999999999</v>
      </c>
      <c r="HW1002">
        <v>388</v>
      </c>
      <c r="HX1002">
        <v>0</v>
      </c>
      <c r="HY1002">
        <v>0</v>
      </c>
      <c r="HZ1002">
        <v>0</v>
      </c>
      <c r="IA1002">
        <v>0</v>
      </c>
      <c r="IB1002">
        <v>0</v>
      </c>
      <c r="IC1002">
        <v>594.4</v>
      </c>
      <c r="ID1002">
        <v>427.4</v>
      </c>
      <c r="IE1002">
        <v>713.3</v>
      </c>
      <c r="IF1002">
        <v>626.1</v>
      </c>
      <c r="IG1002">
        <v>0</v>
      </c>
      <c r="IH1002">
        <v>0</v>
      </c>
      <c r="II1002">
        <v>995.7</v>
      </c>
      <c r="IJ1002">
        <v>1156.5999999999999</v>
      </c>
      <c r="IK1002">
        <v>864.6</v>
      </c>
      <c r="IL1002">
        <v>316.5</v>
      </c>
      <c r="IM1002">
        <v>101.5</v>
      </c>
      <c r="IN1002">
        <v>71.8</v>
      </c>
      <c r="IO1002">
        <v>0</v>
      </c>
      <c r="IP1002">
        <v>0</v>
      </c>
      <c r="IQ1002">
        <v>0</v>
      </c>
      <c r="IR1002">
        <v>0</v>
      </c>
      <c r="IS1002">
        <v>0</v>
      </c>
      <c r="IT1002">
        <v>0</v>
      </c>
      <c r="IU1002">
        <v>0</v>
      </c>
      <c r="IV1002">
        <v>0</v>
      </c>
      <c r="IW1002">
        <v>68</v>
      </c>
      <c r="IX1002">
        <v>404.7</v>
      </c>
      <c r="IY1002">
        <v>126.6</v>
      </c>
      <c r="IZ1002">
        <v>126.6</v>
      </c>
      <c r="JA1002">
        <v>503.7</v>
      </c>
      <c r="JB1002">
        <v>570.1</v>
      </c>
      <c r="JC1002">
        <v>328.3</v>
      </c>
      <c r="JD1002">
        <v>0</v>
      </c>
      <c r="JE1002">
        <v>0</v>
      </c>
      <c r="JF1002">
        <v>0</v>
      </c>
      <c r="JG1002">
        <v>0</v>
      </c>
      <c r="JH1002">
        <v>287.3</v>
      </c>
      <c r="JI1002">
        <v>68.2</v>
      </c>
      <c r="JJ1002">
        <v>0</v>
      </c>
      <c r="JK1002">
        <v>148.6</v>
      </c>
      <c r="JL1002">
        <v>0</v>
      </c>
      <c r="JM1002">
        <v>0</v>
      </c>
      <c r="JN1002">
        <v>204.5</v>
      </c>
      <c r="JO1002">
        <v>292.10000000000002</v>
      </c>
      <c r="JP1002">
        <v>670.8</v>
      </c>
      <c r="JQ1002">
        <v>745.2</v>
      </c>
      <c r="JR1002">
        <v>242.9</v>
      </c>
    </row>
    <row r="1003" spans="2:278" ht="18" thickBot="1">
      <c r="B1003" s="371" t="s">
        <v>351</v>
      </c>
      <c r="C1003" s="386"/>
      <c r="D1003" s="391"/>
      <c r="E1003" s="454">
        <v>22829.8</v>
      </c>
      <c r="F1003">
        <v>20193.400000000001</v>
      </c>
      <c r="G1003" s="427">
        <v>0</v>
      </c>
      <c r="H1003" s="155">
        <v>0</v>
      </c>
      <c r="I1003">
        <v>0</v>
      </c>
      <c r="J1003">
        <v>0</v>
      </c>
      <c r="K1003">
        <v>0</v>
      </c>
      <c r="L1003" s="4">
        <v>0</v>
      </c>
      <c r="M1003" s="4">
        <v>0</v>
      </c>
      <c r="N1003" s="4">
        <v>0</v>
      </c>
      <c r="O1003" s="4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1476.4</v>
      </c>
      <c r="X1003">
        <v>1482</v>
      </c>
      <c r="Y1003">
        <v>457.20000000000005</v>
      </c>
      <c r="Z1003">
        <v>0</v>
      </c>
      <c r="AA1003">
        <v>0</v>
      </c>
      <c r="AB1003">
        <v>0</v>
      </c>
      <c r="AC1003">
        <v>0</v>
      </c>
      <c r="AD1003">
        <v>3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1828.6</v>
      </c>
      <c r="AK1003">
        <v>1800.7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560.70000000000005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  <c r="CF1003">
        <v>0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  <c r="CN1003">
        <v>0</v>
      </c>
      <c r="CO1003">
        <v>0</v>
      </c>
      <c r="CP1003">
        <v>3.5</v>
      </c>
      <c r="CQ1003">
        <v>0</v>
      </c>
      <c r="CR1003">
        <v>528</v>
      </c>
      <c r="CS1003">
        <v>581.79999999999995</v>
      </c>
      <c r="CT1003">
        <v>555.40000000000009</v>
      </c>
      <c r="CU1003">
        <v>737.4</v>
      </c>
      <c r="CV1003">
        <v>1039.0999999999999</v>
      </c>
      <c r="CW1003">
        <v>1667.3</v>
      </c>
      <c r="CX1003">
        <v>877.6</v>
      </c>
      <c r="CY1003">
        <v>910.40000000000009</v>
      </c>
      <c r="CZ1003">
        <v>0</v>
      </c>
      <c r="DA1003">
        <v>0</v>
      </c>
      <c r="DB1003">
        <v>0</v>
      </c>
      <c r="DC1003">
        <v>0</v>
      </c>
      <c r="DD1003">
        <v>0</v>
      </c>
      <c r="DE1003">
        <v>0</v>
      </c>
      <c r="DF1003">
        <v>0</v>
      </c>
      <c r="DG1003">
        <v>0</v>
      </c>
      <c r="DH1003">
        <v>0</v>
      </c>
      <c r="DI1003">
        <v>0</v>
      </c>
      <c r="DJ1003">
        <v>0</v>
      </c>
      <c r="DK1003">
        <v>0</v>
      </c>
      <c r="DL1003">
        <v>995.5</v>
      </c>
      <c r="DM1003">
        <v>712.7</v>
      </c>
      <c r="DN1003">
        <v>0</v>
      </c>
      <c r="DO1003">
        <v>0</v>
      </c>
      <c r="DP1003">
        <v>0</v>
      </c>
      <c r="DQ1003">
        <v>0</v>
      </c>
      <c r="DR1003">
        <v>0</v>
      </c>
      <c r="DS1003">
        <v>0</v>
      </c>
      <c r="DT1003">
        <v>0</v>
      </c>
      <c r="DU1003">
        <v>0</v>
      </c>
      <c r="DV1003">
        <v>0</v>
      </c>
      <c r="DW1003">
        <v>0</v>
      </c>
      <c r="DX1003">
        <v>0</v>
      </c>
      <c r="DY1003">
        <v>0</v>
      </c>
      <c r="DZ1003">
        <v>0</v>
      </c>
      <c r="EA1003">
        <v>0</v>
      </c>
      <c r="EB1003">
        <v>0</v>
      </c>
      <c r="EC1003">
        <v>0</v>
      </c>
      <c r="ED1003">
        <v>0</v>
      </c>
      <c r="EE1003">
        <v>0</v>
      </c>
      <c r="EF1003">
        <v>0</v>
      </c>
      <c r="EG1003">
        <v>0</v>
      </c>
      <c r="EH1003">
        <v>0</v>
      </c>
      <c r="EI1003">
        <v>0</v>
      </c>
      <c r="EJ1003">
        <v>0</v>
      </c>
      <c r="EK1003">
        <v>0</v>
      </c>
      <c r="EL1003">
        <v>0</v>
      </c>
      <c r="EM1003">
        <v>0</v>
      </c>
      <c r="EN1003">
        <v>27.4</v>
      </c>
      <c r="EO1003">
        <v>0</v>
      </c>
      <c r="EP1003">
        <v>1002.5</v>
      </c>
      <c r="EQ1003">
        <v>0</v>
      </c>
      <c r="ER1003">
        <v>494</v>
      </c>
      <c r="ES1003">
        <v>0</v>
      </c>
      <c r="ET1003">
        <v>699.3</v>
      </c>
      <c r="EU1003">
        <v>435.4</v>
      </c>
      <c r="EV1003">
        <v>0</v>
      </c>
      <c r="EW1003">
        <v>0</v>
      </c>
      <c r="EX1003">
        <v>0</v>
      </c>
      <c r="EY1003">
        <v>0</v>
      </c>
      <c r="EZ1003">
        <v>0</v>
      </c>
      <c r="FA1003">
        <v>0</v>
      </c>
      <c r="FB1003">
        <v>0</v>
      </c>
      <c r="FC1003">
        <v>0</v>
      </c>
      <c r="FD1003">
        <v>95.6</v>
      </c>
      <c r="FE1003">
        <v>1792.1</v>
      </c>
      <c r="FF1003">
        <v>1740.1999999999998</v>
      </c>
      <c r="FG1003">
        <v>954.9</v>
      </c>
      <c r="FH1003">
        <v>1087.8000000000002</v>
      </c>
      <c r="FI1003">
        <v>1892.1</v>
      </c>
      <c r="FJ1003">
        <v>1222.5</v>
      </c>
      <c r="FK1003">
        <v>678.3</v>
      </c>
      <c r="FL1003">
        <v>639.1</v>
      </c>
      <c r="FM1003">
        <v>520.5</v>
      </c>
      <c r="FN1003">
        <v>123.8</v>
      </c>
      <c r="FO1003">
        <v>181.6</v>
      </c>
      <c r="FP1003">
        <v>1090.5</v>
      </c>
      <c r="FQ1003">
        <v>0</v>
      </c>
      <c r="FR1003">
        <v>0</v>
      </c>
      <c r="FS1003">
        <v>0</v>
      </c>
      <c r="FT1003">
        <v>0</v>
      </c>
      <c r="FU1003">
        <v>0</v>
      </c>
      <c r="FV1003">
        <v>0</v>
      </c>
      <c r="FW1003">
        <v>0</v>
      </c>
      <c r="FX1003">
        <v>0</v>
      </c>
      <c r="FY1003">
        <v>0</v>
      </c>
      <c r="FZ1003">
        <v>0</v>
      </c>
      <c r="GA1003">
        <v>0</v>
      </c>
      <c r="GB1003">
        <v>0</v>
      </c>
      <c r="GC1003">
        <v>0</v>
      </c>
      <c r="GD1003">
        <v>0</v>
      </c>
      <c r="GE1003">
        <v>0</v>
      </c>
      <c r="GF1003">
        <v>198.3</v>
      </c>
      <c r="GG1003">
        <v>1054.4000000000001</v>
      </c>
      <c r="GH1003">
        <v>552.79999999999995</v>
      </c>
      <c r="GI1003">
        <v>522</v>
      </c>
      <c r="GJ1003">
        <v>0</v>
      </c>
      <c r="GK1003">
        <v>0</v>
      </c>
      <c r="GL1003">
        <v>0</v>
      </c>
      <c r="GM1003">
        <v>0</v>
      </c>
      <c r="GN1003">
        <v>791.40000000000009</v>
      </c>
      <c r="GO1003">
        <v>1816.5</v>
      </c>
      <c r="GP1003">
        <v>0</v>
      </c>
      <c r="GQ1003">
        <v>0</v>
      </c>
      <c r="GR1003">
        <v>0</v>
      </c>
      <c r="GS1003">
        <v>0</v>
      </c>
      <c r="GT1003">
        <v>0</v>
      </c>
      <c r="GU1003">
        <v>0</v>
      </c>
      <c r="GV1003">
        <v>0</v>
      </c>
      <c r="GW1003">
        <v>0</v>
      </c>
      <c r="GX1003">
        <v>0</v>
      </c>
      <c r="GY1003">
        <v>840.3</v>
      </c>
      <c r="GZ1003">
        <v>0</v>
      </c>
      <c r="HA1003">
        <v>0</v>
      </c>
      <c r="HB1003">
        <v>0</v>
      </c>
      <c r="HC1003">
        <v>380.4</v>
      </c>
      <c r="HD1003">
        <v>2175.5</v>
      </c>
      <c r="HE1003">
        <v>0</v>
      </c>
      <c r="HF1003">
        <v>0</v>
      </c>
      <c r="HG1003">
        <v>0</v>
      </c>
      <c r="HH1003">
        <v>0</v>
      </c>
      <c r="HI1003">
        <v>0</v>
      </c>
      <c r="HJ1003">
        <v>803.40000000000009</v>
      </c>
      <c r="HK1003">
        <v>1270.9000000000001</v>
      </c>
      <c r="HL1003">
        <v>835.7</v>
      </c>
      <c r="HM1003">
        <v>1162.5999999999999</v>
      </c>
      <c r="HN1003">
        <v>0</v>
      </c>
      <c r="HO1003">
        <v>0</v>
      </c>
      <c r="HP1003">
        <v>0</v>
      </c>
      <c r="HQ1003">
        <v>0</v>
      </c>
      <c r="HR1003">
        <v>161.19999999999999</v>
      </c>
      <c r="HS1003">
        <v>0</v>
      </c>
      <c r="HT1003">
        <v>2048.5</v>
      </c>
      <c r="HU1003">
        <v>2627.5</v>
      </c>
      <c r="HV1003">
        <v>1168.5999999999999</v>
      </c>
      <c r="HW1003">
        <v>388</v>
      </c>
      <c r="HX1003">
        <v>0</v>
      </c>
      <c r="HY1003">
        <v>0</v>
      </c>
      <c r="HZ1003">
        <v>0</v>
      </c>
      <c r="IA1003">
        <v>0</v>
      </c>
      <c r="IB1003">
        <v>0</v>
      </c>
      <c r="IC1003">
        <v>594.4</v>
      </c>
      <c r="ID1003">
        <v>427.4</v>
      </c>
      <c r="IE1003">
        <v>713.3</v>
      </c>
      <c r="IF1003">
        <v>626.1</v>
      </c>
      <c r="IG1003">
        <v>0</v>
      </c>
      <c r="IH1003">
        <v>0</v>
      </c>
      <c r="II1003">
        <v>995.7</v>
      </c>
      <c r="IJ1003">
        <v>1156.5999999999999</v>
      </c>
      <c r="IK1003">
        <v>864.6</v>
      </c>
      <c r="IL1003">
        <v>316.5</v>
      </c>
      <c r="IM1003">
        <v>101.5</v>
      </c>
      <c r="IN1003">
        <v>71.8</v>
      </c>
      <c r="IO1003">
        <v>0</v>
      </c>
      <c r="IP1003">
        <v>0</v>
      </c>
      <c r="IQ1003">
        <v>0</v>
      </c>
      <c r="IR1003">
        <v>0</v>
      </c>
      <c r="IS1003">
        <v>0</v>
      </c>
      <c r="IT1003">
        <v>0</v>
      </c>
      <c r="IU1003">
        <v>0</v>
      </c>
      <c r="IV1003">
        <v>0</v>
      </c>
      <c r="IW1003">
        <v>68</v>
      </c>
      <c r="IX1003">
        <v>404.7</v>
      </c>
      <c r="IY1003">
        <v>126.6</v>
      </c>
      <c r="IZ1003">
        <v>126.6</v>
      </c>
      <c r="JA1003">
        <v>503.7</v>
      </c>
      <c r="JB1003">
        <v>570.1</v>
      </c>
      <c r="JC1003">
        <v>328.3</v>
      </c>
      <c r="JD1003">
        <v>0</v>
      </c>
      <c r="JE1003">
        <v>0</v>
      </c>
      <c r="JF1003">
        <v>0</v>
      </c>
      <c r="JG1003">
        <v>0</v>
      </c>
      <c r="JH1003">
        <v>287.3</v>
      </c>
      <c r="JI1003">
        <v>68.2</v>
      </c>
      <c r="JJ1003">
        <v>0</v>
      </c>
      <c r="JK1003">
        <v>148.6</v>
      </c>
      <c r="JL1003">
        <v>0</v>
      </c>
      <c r="JM1003">
        <v>0</v>
      </c>
      <c r="JN1003">
        <v>204.5</v>
      </c>
      <c r="JO1003">
        <v>292.10000000000002</v>
      </c>
      <c r="JP1003">
        <v>670.8</v>
      </c>
      <c r="JQ1003">
        <v>745.2</v>
      </c>
      <c r="JR1003">
        <v>242.9</v>
      </c>
    </row>
    <row r="1004" spans="2:278" ht="18" thickBot="1">
      <c r="B1004" s="368" t="s">
        <v>1352</v>
      </c>
      <c r="C1004" s="423" t="s">
        <v>1661</v>
      </c>
      <c r="D1004" s="368" t="s">
        <v>1482</v>
      </c>
      <c r="E1004" s="454">
        <v>22829.8</v>
      </c>
      <c r="F1004">
        <v>20193.400000000001</v>
      </c>
      <c r="G1004" s="427">
        <v>0</v>
      </c>
      <c r="H1004" s="155">
        <v>0</v>
      </c>
      <c r="I1004">
        <v>0</v>
      </c>
      <c r="J1004">
        <v>0</v>
      </c>
      <c r="K1004">
        <v>0</v>
      </c>
      <c r="L1004" s="4">
        <v>0</v>
      </c>
      <c r="M1004" s="4">
        <v>0</v>
      </c>
      <c r="N1004" s="4">
        <v>0</v>
      </c>
      <c r="O1004" s="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1476.4</v>
      </c>
      <c r="X1004">
        <v>1482</v>
      </c>
      <c r="Y1004">
        <v>457.20000000000005</v>
      </c>
      <c r="Z1004">
        <v>0</v>
      </c>
      <c r="AA1004">
        <v>0</v>
      </c>
      <c r="AB1004">
        <v>0</v>
      </c>
      <c r="AC1004">
        <v>0</v>
      </c>
      <c r="AD1004">
        <v>3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1828.6</v>
      </c>
      <c r="AK1004">
        <v>1800.7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560.70000000000005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0</v>
      </c>
      <c r="BU1004">
        <v>0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  <c r="CF1004">
        <v>0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  <c r="CN1004">
        <v>0</v>
      </c>
      <c r="CO1004">
        <v>0</v>
      </c>
      <c r="CP1004">
        <v>3.5</v>
      </c>
      <c r="CQ1004">
        <v>0</v>
      </c>
      <c r="CR1004">
        <v>528</v>
      </c>
      <c r="CS1004">
        <v>581.79999999999995</v>
      </c>
      <c r="CT1004">
        <v>555.40000000000009</v>
      </c>
      <c r="CU1004">
        <v>737.4</v>
      </c>
      <c r="CV1004">
        <v>1039.0999999999999</v>
      </c>
      <c r="CW1004">
        <v>1667.3</v>
      </c>
      <c r="CX1004">
        <v>877.6</v>
      </c>
      <c r="CY1004">
        <v>910.40000000000009</v>
      </c>
      <c r="CZ1004">
        <v>0</v>
      </c>
      <c r="DA1004">
        <v>0</v>
      </c>
      <c r="DB1004">
        <v>0</v>
      </c>
      <c r="DC1004">
        <v>0</v>
      </c>
      <c r="DD1004">
        <v>0</v>
      </c>
      <c r="DE1004">
        <v>0</v>
      </c>
      <c r="DF1004">
        <v>0</v>
      </c>
      <c r="DG1004">
        <v>0</v>
      </c>
      <c r="DH1004">
        <v>0</v>
      </c>
      <c r="DI1004">
        <v>0</v>
      </c>
      <c r="DJ1004">
        <v>0</v>
      </c>
      <c r="DK1004">
        <v>0</v>
      </c>
      <c r="DL1004">
        <v>995.5</v>
      </c>
      <c r="DM1004">
        <v>712.7</v>
      </c>
      <c r="DN1004">
        <v>0</v>
      </c>
      <c r="DO1004">
        <v>0</v>
      </c>
      <c r="DP1004">
        <v>0</v>
      </c>
      <c r="DQ1004">
        <v>0</v>
      </c>
      <c r="DR1004">
        <v>0</v>
      </c>
      <c r="DS1004">
        <v>0</v>
      </c>
      <c r="DT1004">
        <v>0</v>
      </c>
      <c r="DU1004">
        <v>0</v>
      </c>
      <c r="DV1004">
        <v>0</v>
      </c>
      <c r="DW1004">
        <v>0</v>
      </c>
      <c r="DX1004">
        <v>0</v>
      </c>
      <c r="DY1004">
        <v>0</v>
      </c>
      <c r="DZ1004">
        <v>0</v>
      </c>
      <c r="EA1004">
        <v>0</v>
      </c>
      <c r="EB1004">
        <v>0</v>
      </c>
      <c r="EC1004">
        <v>0</v>
      </c>
      <c r="ED1004">
        <v>0</v>
      </c>
      <c r="EE1004">
        <v>0</v>
      </c>
      <c r="EF1004">
        <v>0</v>
      </c>
      <c r="EG1004">
        <v>0</v>
      </c>
      <c r="EH1004">
        <v>0</v>
      </c>
      <c r="EI1004">
        <v>0</v>
      </c>
      <c r="EJ1004">
        <v>0</v>
      </c>
      <c r="EK1004">
        <v>0</v>
      </c>
      <c r="EL1004">
        <v>0</v>
      </c>
      <c r="EM1004">
        <v>0</v>
      </c>
      <c r="EN1004">
        <v>27.4</v>
      </c>
      <c r="EO1004">
        <v>0</v>
      </c>
      <c r="EP1004">
        <v>1002.5</v>
      </c>
      <c r="EQ1004">
        <v>0</v>
      </c>
      <c r="ER1004">
        <v>494</v>
      </c>
      <c r="ES1004">
        <v>0</v>
      </c>
      <c r="ET1004">
        <v>699.3</v>
      </c>
      <c r="EU1004">
        <v>435.4</v>
      </c>
      <c r="EV1004">
        <v>0</v>
      </c>
      <c r="EW1004">
        <v>0</v>
      </c>
      <c r="EX1004">
        <v>0</v>
      </c>
      <c r="EY1004">
        <v>0</v>
      </c>
      <c r="EZ1004">
        <v>0</v>
      </c>
      <c r="FA1004">
        <v>0</v>
      </c>
      <c r="FB1004">
        <v>0</v>
      </c>
      <c r="FC1004">
        <v>0</v>
      </c>
      <c r="FD1004">
        <v>95.6</v>
      </c>
      <c r="FE1004">
        <v>1792.1</v>
      </c>
      <c r="FF1004">
        <v>1740.1999999999998</v>
      </c>
      <c r="FG1004">
        <v>954.9</v>
      </c>
      <c r="FH1004">
        <v>1087.8000000000002</v>
      </c>
      <c r="FI1004">
        <v>1892.1</v>
      </c>
      <c r="FJ1004">
        <v>1222.5</v>
      </c>
      <c r="FK1004">
        <v>678.3</v>
      </c>
      <c r="FL1004">
        <v>639.1</v>
      </c>
      <c r="FM1004">
        <v>520.5</v>
      </c>
      <c r="FN1004">
        <v>123.8</v>
      </c>
      <c r="FO1004">
        <v>181.6</v>
      </c>
      <c r="FP1004">
        <v>1090.5</v>
      </c>
      <c r="FQ1004">
        <v>0</v>
      </c>
      <c r="FR1004">
        <v>0</v>
      </c>
      <c r="FS1004">
        <v>0</v>
      </c>
      <c r="FT1004">
        <v>0</v>
      </c>
      <c r="FU1004">
        <v>0</v>
      </c>
      <c r="FV1004">
        <v>0</v>
      </c>
      <c r="FW1004">
        <v>0</v>
      </c>
      <c r="FX1004">
        <v>0</v>
      </c>
      <c r="FY1004">
        <v>0</v>
      </c>
      <c r="FZ1004">
        <v>0</v>
      </c>
      <c r="GA1004">
        <v>0</v>
      </c>
      <c r="GB1004">
        <v>0</v>
      </c>
      <c r="GC1004">
        <v>0</v>
      </c>
      <c r="GD1004">
        <v>0</v>
      </c>
      <c r="GE1004">
        <v>0</v>
      </c>
      <c r="GF1004">
        <v>198.3</v>
      </c>
      <c r="GG1004">
        <v>1054.4000000000001</v>
      </c>
      <c r="GH1004">
        <v>552.79999999999995</v>
      </c>
      <c r="GI1004">
        <v>522</v>
      </c>
      <c r="GJ1004">
        <v>0</v>
      </c>
      <c r="GK1004">
        <v>0</v>
      </c>
      <c r="GL1004">
        <v>0</v>
      </c>
      <c r="GM1004">
        <v>0</v>
      </c>
      <c r="GN1004">
        <v>791.40000000000009</v>
      </c>
      <c r="GO1004">
        <v>1816.5</v>
      </c>
      <c r="GP1004">
        <v>0</v>
      </c>
      <c r="GQ1004">
        <v>0</v>
      </c>
      <c r="GR1004">
        <v>0</v>
      </c>
      <c r="GS1004">
        <v>0</v>
      </c>
      <c r="GT1004">
        <v>0</v>
      </c>
      <c r="GU1004">
        <v>0</v>
      </c>
      <c r="GV1004">
        <v>0</v>
      </c>
      <c r="GW1004">
        <v>0</v>
      </c>
      <c r="GX1004">
        <v>0</v>
      </c>
      <c r="GY1004">
        <v>840.3</v>
      </c>
      <c r="GZ1004">
        <v>0</v>
      </c>
      <c r="HA1004">
        <v>0</v>
      </c>
      <c r="HB1004">
        <v>0</v>
      </c>
      <c r="HC1004">
        <v>380.4</v>
      </c>
      <c r="HD1004">
        <v>2175.5</v>
      </c>
      <c r="HE1004">
        <v>0</v>
      </c>
      <c r="HF1004">
        <v>0</v>
      </c>
      <c r="HG1004">
        <v>0</v>
      </c>
      <c r="HH1004">
        <v>0</v>
      </c>
      <c r="HI1004">
        <v>0</v>
      </c>
      <c r="HJ1004">
        <v>803.40000000000009</v>
      </c>
      <c r="HK1004">
        <v>1270.9000000000001</v>
      </c>
      <c r="HL1004">
        <v>835.7</v>
      </c>
      <c r="HM1004">
        <v>1162.5999999999999</v>
      </c>
      <c r="HN1004">
        <v>0</v>
      </c>
      <c r="HO1004">
        <v>0</v>
      </c>
      <c r="HP1004">
        <v>0</v>
      </c>
      <c r="HQ1004">
        <v>0</v>
      </c>
      <c r="HR1004">
        <v>161.19999999999999</v>
      </c>
      <c r="HS1004">
        <v>0</v>
      </c>
      <c r="HT1004">
        <v>2048.5</v>
      </c>
      <c r="HU1004">
        <v>2627.5</v>
      </c>
      <c r="HV1004">
        <v>1168.5999999999999</v>
      </c>
      <c r="HW1004">
        <v>388</v>
      </c>
      <c r="HX1004">
        <v>0</v>
      </c>
      <c r="HY1004">
        <v>0</v>
      </c>
      <c r="HZ1004">
        <v>0</v>
      </c>
      <c r="IA1004">
        <v>0</v>
      </c>
      <c r="IB1004">
        <v>0</v>
      </c>
      <c r="IC1004">
        <v>594.4</v>
      </c>
      <c r="ID1004">
        <v>427.4</v>
      </c>
      <c r="IE1004">
        <v>713.3</v>
      </c>
      <c r="IF1004">
        <v>626.1</v>
      </c>
      <c r="IG1004">
        <v>0</v>
      </c>
      <c r="IH1004">
        <v>0</v>
      </c>
      <c r="II1004">
        <v>995.7</v>
      </c>
      <c r="IJ1004">
        <v>1156.5999999999999</v>
      </c>
      <c r="IK1004">
        <v>864.6</v>
      </c>
      <c r="IL1004">
        <v>316.5</v>
      </c>
      <c r="IM1004">
        <v>101.5</v>
      </c>
      <c r="IN1004">
        <v>71.8</v>
      </c>
      <c r="IO1004">
        <v>0</v>
      </c>
      <c r="IP1004">
        <v>0</v>
      </c>
      <c r="IQ1004">
        <v>0</v>
      </c>
      <c r="IR1004">
        <v>0</v>
      </c>
      <c r="IS1004">
        <v>0</v>
      </c>
      <c r="IT1004">
        <v>0</v>
      </c>
      <c r="IU1004">
        <v>0</v>
      </c>
      <c r="IV1004">
        <v>0</v>
      </c>
      <c r="IW1004">
        <v>68</v>
      </c>
      <c r="IX1004">
        <v>404.7</v>
      </c>
      <c r="IY1004">
        <v>126.6</v>
      </c>
      <c r="IZ1004">
        <v>126.6</v>
      </c>
      <c r="JA1004">
        <v>503.7</v>
      </c>
      <c r="JB1004">
        <v>570.1</v>
      </c>
      <c r="JC1004">
        <v>328.3</v>
      </c>
      <c r="JD1004">
        <v>0</v>
      </c>
      <c r="JE1004">
        <v>0</v>
      </c>
      <c r="JF1004">
        <v>0</v>
      </c>
      <c r="JG1004">
        <v>0</v>
      </c>
      <c r="JH1004">
        <v>287.3</v>
      </c>
      <c r="JI1004">
        <v>68.2</v>
      </c>
      <c r="JJ1004">
        <v>0</v>
      </c>
      <c r="JK1004">
        <v>148.6</v>
      </c>
      <c r="JL1004">
        <v>0</v>
      </c>
      <c r="JM1004">
        <v>0</v>
      </c>
      <c r="JN1004">
        <v>204.5</v>
      </c>
      <c r="JO1004">
        <v>292.10000000000002</v>
      </c>
      <c r="JP1004">
        <v>670.8</v>
      </c>
      <c r="JQ1004">
        <v>745.2</v>
      </c>
      <c r="JR1004">
        <v>242.9</v>
      </c>
    </row>
    <row r="1005" spans="2:278" ht="18" thickBot="1">
      <c r="B1005" s="368" t="s">
        <v>1353</v>
      </c>
      <c r="C1005" s="423" t="s">
        <v>1662</v>
      </c>
      <c r="D1005" s="368" t="s">
        <v>1482</v>
      </c>
      <c r="E1005" s="454">
        <v>22829.8</v>
      </c>
      <c r="F1005">
        <v>20193.400000000001</v>
      </c>
      <c r="G1005" s="427">
        <v>0</v>
      </c>
      <c r="H1005" s="155">
        <v>0</v>
      </c>
      <c r="I1005">
        <v>0</v>
      </c>
      <c r="J1005">
        <v>0</v>
      </c>
      <c r="K1005">
        <v>0</v>
      </c>
      <c r="L1005" s="4">
        <v>0</v>
      </c>
      <c r="M1005" s="4">
        <v>0</v>
      </c>
      <c r="N1005" s="4">
        <v>0</v>
      </c>
      <c r="O1005" s="4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1476.4</v>
      </c>
      <c r="X1005">
        <v>1482</v>
      </c>
      <c r="Y1005">
        <v>457.20000000000005</v>
      </c>
      <c r="Z1005">
        <v>0</v>
      </c>
      <c r="AA1005">
        <v>0</v>
      </c>
      <c r="AB1005">
        <v>0</v>
      </c>
      <c r="AC1005">
        <v>0</v>
      </c>
      <c r="AD1005">
        <v>3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1828.6</v>
      </c>
      <c r="AK1005">
        <v>1800.7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560.70000000000005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  <c r="CF1005">
        <v>0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  <c r="CN1005">
        <v>0</v>
      </c>
      <c r="CO1005">
        <v>0</v>
      </c>
      <c r="CP1005">
        <v>3.5</v>
      </c>
      <c r="CQ1005">
        <v>0</v>
      </c>
      <c r="CR1005">
        <v>528</v>
      </c>
      <c r="CS1005">
        <v>581.79999999999995</v>
      </c>
      <c r="CT1005">
        <v>555.40000000000009</v>
      </c>
      <c r="CU1005">
        <v>737.4</v>
      </c>
      <c r="CV1005">
        <v>1039.0999999999999</v>
      </c>
      <c r="CW1005">
        <v>1667.3</v>
      </c>
      <c r="CX1005">
        <v>877.6</v>
      </c>
      <c r="CY1005">
        <v>910.40000000000009</v>
      </c>
      <c r="CZ1005">
        <v>0</v>
      </c>
      <c r="DA1005">
        <v>0</v>
      </c>
      <c r="DB1005">
        <v>0</v>
      </c>
      <c r="DC1005">
        <v>0</v>
      </c>
      <c r="DD1005">
        <v>0</v>
      </c>
      <c r="DE1005">
        <v>0</v>
      </c>
      <c r="DF1005">
        <v>0</v>
      </c>
      <c r="DG1005">
        <v>0</v>
      </c>
      <c r="DH1005">
        <v>0</v>
      </c>
      <c r="DI1005">
        <v>0</v>
      </c>
      <c r="DJ1005">
        <v>0</v>
      </c>
      <c r="DK1005">
        <v>0</v>
      </c>
      <c r="DL1005">
        <v>995.5</v>
      </c>
      <c r="DM1005">
        <v>712.7</v>
      </c>
      <c r="DN1005">
        <v>0</v>
      </c>
      <c r="DO1005">
        <v>0</v>
      </c>
      <c r="DP1005">
        <v>0</v>
      </c>
      <c r="DQ1005">
        <v>0</v>
      </c>
      <c r="DR1005">
        <v>0</v>
      </c>
      <c r="DS1005">
        <v>0</v>
      </c>
      <c r="DT1005">
        <v>0</v>
      </c>
      <c r="DU1005">
        <v>0</v>
      </c>
      <c r="DV1005">
        <v>0</v>
      </c>
      <c r="DW1005">
        <v>0</v>
      </c>
      <c r="DX1005">
        <v>0</v>
      </c>
      <c r="DY1005">
        <v>0</v>
      </c>
      <c r="DZ1005">
        <v>0</v>
      </c>
      <c r="EA1005">
        <v>0</v>
      </c>
      <c r="EB1005">
        <v>0</v>
      </c>
      <c r="EC1005">
        <v>0</v>
      </c>
      <c r="ED1005">
        <v>0</v>
      </c>
      <c r="EE1005">
        <v>0</v>
      </c>
      <c r="EF1005">
        <v>0</v>
      </c>
      <c r="EG1005">
        <v>0</v>
      </c>
      <c r="EH1005">
        <v>0</v>
      </c>
      <c r="EI1005">
        <v>0</v>
      </c>
      <c r="EJ1005">
        <v>0</v>
      </c>
      <c r="EK1005">
        <v>0</v>
      </c>
      <c r="EL1005">
        <v>0</v>
      </c>
      <c r="EM1005">
        <v>0</v>
      </c>
      <c r="EN1005">
        <v>27.4</v>
      </c>
      <c r="EO1005">
        <v>0</v>
      </c>
      <c r="EP1005">
        <v>1002.5</v>
      </c>
      <c r="EQ1005">
        <v>0</v>
      </c>
      <c r="ER1005">
        <v>494</v>
      </c>
      <c r="ES1005">
        <v>0</v>
      </c>
      <c r="ET1005">
        <v>699.3</v>
      </c>
      <c r="EU1005">
        <v>435.4</v>
      </c>
      <c r="EV1005">
        <v>0</v>
      </c>
      <c r="EW1005">
        <v>0</v>
      </c>
      <c r="EX1005">
        <v>0</v>
      </c>
      <c r="EY1005">
        <v>0</v>
      </c>
      <c r="EZ1005">
        <v>0</v>
      </c>
      <c r="FA1005">
        <v>0</v>
      </c>
      <c r="FB1005">
        <v>0</v>
      </c>
      <c r="FC1005">
        <v>0</v>
      </c>
      <c r="FD1005">
        <v>95.6</v>
      </c>
      <c r="FE1005">
        <v>1792.1</v>
      </c>
      <c r="FF1005">
        <v>1740.1999999999998</v>
      </c>
      <c r="FG1005">
        <v>954.9</v>
      </c>
      <c r="FH1005">
        <v>1087.8000000000002</v>
      </c>
      <c r="FI1005">
        <v>1892.1</v>
      </c>
      <c r="FJ1005">
        <v>1222.5</v>
      </c>
      <c r="FK1005">
        <v>678.3</v>
      </c>
      <c r="FL1005">
        <v>639.1</v>
      </c>
      <c r="FM1005">
        <v>520.5</v>
      </c>
      <c r="FN1005">
        <v>123.8</v>
      </c>
      <c r="FO1005">
        <v>181.6</v>
      </c>
      <c r="FP1005">
        <v>1090.5</v>
      </c>
      <c r="FQ1005">
        <v>0</v>
      </c>
      <c r="FR1005">
        <v>0</v>
      </c>
      <c r="FS1005">
        <v>0</v>
      </c>
      <c r="FT1005">
        <v>0</v>
      </c>
      <c r="FU1005">
        <v>0</v>
      </c>
      <c r="FV1005">
        <v>0</v>
      </c>
      <c r="FW1005">
        <v>0</v>
      </c>
      <c r="FX1005">
        <v>0</v>
      </c>
      <c r="FY1005">
        <v>0</v>
      </c>
      <c r="FZ1005">
        <v>0</v>
      </c>
      <c r="GA1005">
        <v>0</v>
      </c>
      <c r="GB1005">
        <v>0</v>
      </c>
      <c r="GC1005">
        <v>0</v>
      </c>
      <c r="GD1005">
        <v>0</v>
      </c>
      <c r="GE1005">
        <v>0</v>
      </c>
      <c r="GF1005">
        <v>198.3</v>
      </c>
      <c r="GG1005">
        <v>1054.4000000000001</v>
      </c>
      <c r="GH1005">
        <v>552.79999999999995</v>
      </c>
      <c r="GI1005">
        <v>522</v>
      </c>
      <c r="GJ1005">
        <v>0</v>
      </c>
      <c r="GK1005">
        <v>0</v>
      </c>
      <c r="GL1005">
        <v>0</v>
      </c>
      <c r="GM1005">
        <v>0</v>
      </c>
      <c r="GN1005">
        <v>791.40000000000009</v>
      </c>
      <c r="GO1005">
        <v>1816.5</v>
      </c>
      <c r="GP1005">
        <v>0</v>
      </c>
      <c r="GQ1005">
        <v>0</v>
      </c>
      <c r="GR1005">
        <v>0</v>
      </c>
      <c r="GS1005">
        <v>0</v>
      </c>
      <c r="GT1005">
        <v>0</v>
      </c>
      <c r="GU1005">
        <v>0</v>
      </c>
      <c r="GV1005">
        <v>0</v>
      </c>
      <c r="GW1005">
        <v>0</v>
      </c>
      <c r="GX1005">
        <v>0</v>
      </c>
      <c r="GY1005">
        <v>840.3</v>
      </c>
      <c r="GZ1005">
        <v>0</v>
      </c>
      <c r="HA1005">
        <v>0</v>
      </c>
      <c r="HB1005">
        <v>0</v>
      </c>
      <c r="HC1005">
        <v>380.4</v>
      </c>
      <c r="HD1005">
        <v>2175.5</v>
      </c>
      <c r="HE1005">
        <v>0</v>
      </c>
      <c r="HF1005">
        <v>0</v>
      </c>
      <c r="HG1005">
        <v>0</v>
      </c>
      <c r="HH1005">
        <v>0</v>
      </c>
      <c r="HI1005">
        <v>0</v>
      </c>
      <c r="HJ1005">
        <v>803.40000000000009</v>
      </c>
      <c r="HK1005">
        <v>1270.9000000000001</v>
      </c>
      <c r="HL1005">
        <v>835.7</v>
      </c>
      <c r="HM1005">
        <v>1162.5999999999999</v>
      </c>
      <c r="HN1005">
        <v>0</v>
      </c>
      <c r="HO1005">
        <v>0</v>
      </c>
      <c r="HP1005">
        <v>0</v>
      </c>
      <c r="HQ1005">
        <v>0</v>
      </c>
      <c r="HR1005">
        <v>161.19999999999999</v>
      </c>
      <c r="HS1005">
        <v>0</v>
      </c>
      <c r="HT1005">
        <v>2048.5</v>
      </c>
      <c r="HU1005">
        <v>2627.5</v>
      </c>
      <c r="HV1005">
        <v>1168.5999999999999</v>
      </c>
      <c r="HW1005">
        <v>388</v>
      </c>
      <c r="HX1005">
        <v>0</v>
      </c>
      <c r="HY1005">
        <v>0</v>
      </c>
      <c r="HZ1005">
        <v>0</v>
      </c>
      <c r="IA1005">
        <v>0</v>
      </c>
      <c r="IB1005">
        <v>0</v>
      </c>
      <c r="IC1005">
        <v>594.4</v>
      </c>
      <c r="ID1005">
        <v>427.4</v>
      </c>
      <c r="IE1005">
        <v>713.3</v>
      </c>
      <c r="IF1005">
        <v>626.1</v>
      </c>
      <c r="IG1005">
        <v>0</v>
      </c>
      <c r="IH1005">
        <v>0</v>
      </c>
      <c r="II1005">
        <v>995.7</v>
      </c>
      <c r="IJ1005">
        <v>1156.5999999999999</v>
      </c>
      <c r="IK1005">
        <v>864.6</v>
      </c>
      <c r="IL1005">
        <v>316.5</v>
      </c>
      <c r="IM1005">
        <v>101.5</v>
      </c>
      <c r="IN1005">
        <v>71.8</v>
      </c>
      <c r="IO1005">
        <v>0</v>
      </c>
      <c r="IP1005">
        <v>0</v>
      </c>
      <c r="IQ1005">
        <v>0</v>
      </c>
      <c r="IR1005">
        <v>0</v>
      </c>
      <c r="IS1005">
        <v>0</v>
      </c>
      <c r="IT1005">
        <v>0</v>
      </c>
      <c r="IU1005">
        <v>0</v>
      </c>
      <c r="IV1005">
        <v>0</v>
      </c>
      <c r="IW1005">
        <v>68</v>
      </c>
      <c r="IX1005">
        <v>404.7</v>
      </c>
      <c r="IY1005">
        <v>126.6</v>
      </c>
      <c r="IZ1005">
        <v>126.6</v>
      </c>
      <c r="JA1005">
        <v>503.7</v>
      </c>
      <c r="JB1005">
        <v>570.1</v>
      </c>
      <c r="JC1005">
        <v>328.3</v>
      </c>
      <c r="JD1005">
        <v>0</v>
      </c>
      <c r="JE1005">
        <v>0</v>
      </c>
      <c r="JF1005">
        <v>0</v>
      </c>
      <c r="JG1005">
        <v>0</v>
      </c>
      <c r="JH1005">
        <v>287.3</v>
      </c>
      <c r="JI1005">
        <v>68.2</v>
      </c>
      <c r="JJ1005">
        <v>0</v>
      </c>
      <c r="JK1005">
        <v>148.6</v>
      </c>
      <c r="JL1005">
        <v>0</v>
      </c>
      <c r="JM1005">
        <v>0</v>
      </c>
      <c r="JN1005">
        <v>204.5</v>
      </c>
      <c r="JO1005">
        <v>292.10000000000002</v>
      </c>
      <c r="JP1005">
        <v>670.8</v>
      </c>
      <c r="JQ1005">
        <v>745.2</v>
      </c>
      <c r="JR1005">
        <v>242.9</v>
      </c>
    </row>
    <row r="1006" spans="2:278" ht="18" thickBot="1">
      <c r="B1006" s="368" t="s">
        <v>1354</v>
      </c>
      <c r="C1006" s="378" t="s">
        <v>1663</v>
      </c>
      <c r="D1006" s="368" t="s">
        <v>1482</v>
      </c>
      <c r="E1006" s="454">
        <v>22829.8</v>
      </c>
      <c r="F1006">
        <v>20193.400000000001</v>
      </c>
      <c r="G1006" s="427">
        <v>0</v>
      </c>
      <c r="H1006" s="155">
        <v>0</v>
      </c>
      <c r="I1006">
        <v>0</v>
      </c>
      <c r="J1006">
        <v>0</v>
      </c>
      <c r="K1006">
        <v>0</v>
      </c>
      <c r="L1006" s="4">
        <v>0</v>
      </c>
      <c r="M1006" s="4">
        <v>0</v>
      </c>
      <c r="N1006" s="4">
        <v>0</v>
      </c>
      <c r="O1006" s="4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1476.4</v>
      </c>
      <c r="X1006">
        <v>1482</v>
      </c>
      <c r="Y1006">
        <v>457.20000000000005</v>
      </c>
      <c r="Z1006">
        <v>0</v>
      </c>
      <c r="AA1006">
        <v>0</v>
      </c>
      <c r="AB1006">
        <v>0</v>
      </c>
      <c r="AC1006">
        <v>0</v>
      </c>
      <c r="AD1006">
        <v>3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1828.6</v>
      </c>
      <c r="AK1006">
        <v>1800.7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560.70000000000005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  <c r="CF1006">
        <v>0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  <c r="CN1006">
        <v>0</v>
      </c>
      <c r="CO1006">
        <v>0</v>
      </c>
      <c r="CP1006">
        <v>3.5</v>
      </c>
      <c r="CQ1006">
        <v>0</v>
      </c>
      <c r="CR1006">
        <v>528</v>
      </c>
      <c r="CS1006">
        <v>581.79999999999995</v>
      </c>
      <c r="CT1006">
        <v>555.40000000000009</v>
      </c>
      <c r="CU1006">
        <v>737.4</v>
      </c>
      <c r="CV1006">
        <v>1039.0999999999999</v>
      </c>
      <c r="CW1006">
        <v>1667.3</v>
      </c>
      <c r="CX1006">
        <v>877.6</v>
      </c>
      <c r="CY1006">
        <v>910.40000000000009</v>
      </c>
      <c r="CZ1006">
        <v>0</v>
      </c>
      <c r="DA1006">
        <v>0</v>
      </c>
      <c r="DB1006">
        <v>0</v>
      </c>
      <c r="DC1006">
        <v>0</v>
      </c>
      <c r="DD1006">
        <v>0</v>
      </c>
      <c r="DE1006">
        <v>0</v>
      </c>
      <c r="DF1006">
        <v>0</v>
      </c>
      <c r="DG1006">
        <v>0</v>
      </c>
      <c r="DH1006">
        <v>0</v>
      </c>
      <c r="DI1006">
        <v>0</v>
      </c>
      <c r="DJ1006">
        <v>0</v>
      </c>
      <c r="DK1006">
        <v>0</v>
      </c>
      <c r="DL1006">
        <v>995.5</v>
      </c>
      <c r="DM1006">
        <v>712.7</v>
      </c>
      <c r="DN1006">
        <v>0</v>
      </c>
      <c r="DO1006">
        <v>0</v>
      </c>
      <c r="DP1006">
        <v>0</v>
      </c>
      <c r="DQ1006">
        <v>0</v>
      </c>
      <c r="DR1006">
        <v>0</v>
      </c>
      <c r="DS1006">
        <v>0</v>
      </c>
      <c r="DT1006">
        <v>0</v>
      </c>
      <c r="DU1006">
        <v>0</v>
      </c>
      <c r="DV1006">
        <v>0</v>
      </c>
      <c r="DW1006">
        <v>0</v>
      </c>
      <c r="DX1006">
        <v>0</v>
      </c>
      <c r="DY1006">
        <v>0</v>
      </c>
      <c r="DZ1006">
        <v>0</v>
      </c>
      <c r="EA1006">
        <v>0</v>
      </c>
      <c r="EB1006">
        <v>0</v>
      </c>
      <c r="EC1006">
        <v>0</v>
      </c>
      <c r="ED1006">
        <v>0</v>
      </c>
      <c r="EE1006">
        <v>0</v>
      </c>
      <c r="EF1006">
        <v>0</v>
      </c>
      <c r="EG1006">
        <v>0</v>
      </c>
      <c r="EH1006">
        <v>0</v>
      </c>
      <c r="EI1006">
        <v>0</v>
      </c>
      <c r="EJ1006">
        <v>0</v>
      </c>
      <c r="EK1006">
        <v>0</v>
      </c>
      <c r="EL1006">
        <v>0</v>
      </c>
      <c r="EM1006">
        <v>0</v>
      </c>
      <c r="EN1006">
        <v>27.4</v>
      </c>
      <c r="EO1006">
        <v>0</v>
      </c>
      <c r="EP1006">
        <v>1002.5</v>
      </c>
      <c r="EQ1006">
        <v>0</v>
      </c>
      <c r="ER1006">
        <v>494</v>
      </c>
      <c r="ES1006">
        <v>0</v>
      </c>
      <c r="ET1006">
        <v>699.3</v>
      </c>
      <c r="EU1006">
        <v>435.4</v>
      </c>
      <c r="EV1006">
        <v>0</v>
      </c>
      <c r="EW1006">
        <v>0</v>
      </c>
      <c r="EX1006">
        <v>0</v>
      </c>
      <c r="EY1006">
        <v>0</v>
      </c>
      <c r="EZ1006">
        <v>0</v>
      </c>
      <c r="FA1006">
        <v>0</v>
      </c>
      <c r="FB1006">
        <v>0</v>
      </c>
      <c r="FC1006">
        <v>0</v>
      </c>
      <c r="FD1006">
        <v>95.6</v>
      </c>
      <c r="FE1006">
        <v>1792.1</v>
      </c>
      <c r="FF1006">
        <v>1740.1999999999998</v>
      </c>
      <c r="FG1006">
        <v>954.9</v>
      </c>
      <c r="FH1006">
        <v>1087.8000000000002</v>
      </c>
      <c r="FI1006">
        <v>1892.1</v>
      </c>
      <c r="FJ1006">
        <v>1222.5</v>
      </c>
      <c r="FK1006">
        <v>678.3</v>
      </c>
      <c r="FL1006">
        <v>639.1</v>
      </c>
      <c r="FM1006">
        <v>520.5</v>
      </c>
      <c r="FN1006">
        <v>123.8</v>
      </c>
      <c r="FO1006">
        <v>181.6</v>
      </c>
      <c r="FP1006">
        <v>1090.5</v>
      </c>
      <c r="FQ1006">
        <v>0</v>
      </c>
      <c r="FR1006">
        <v>0</v>
      </c>
      <c r="FS1006">
        <v>0</v>
      </c>
      <c r="FT1006">
        <v>0</v>
      </c>
      <c r="FU1006">
        <v>0</v>
      </c>
      <c r="FV1006">
        <v>0</v>
      </c>
      <c r="FW1006">
        <v>0</v>
      </c>
      <c r="FX1006">
        <v>0</v>
      </c>
      <c r="FY1006">
        <v>0</v>
      </c>
      <c r="FZ1006">
        <v>0</v>
      </c>
      <c r="GA1006">
        <v>0</v>
      </c>
      <c r="GB1006">
        <v>0</v>
      </c>
      <c r="GC1006">
        <v>0</v>
      </c>
      <c r="GD1006">
        <v>0</v>
      </c>
      <c r="GE1006">
        <v>0</v>
      </c>
      <c r="GF1006">
        <v>198.3</v>
      </c>
      <c r="GG1006">
        <v>1054.4000000000001</v>
      </c>
      <c r="GH1006">
        <v>552.79999999999995</v>
      </c>
      <c r="GI1006">
        <v>522</v>
      </c>
      <c r="GJ1006">
        <v>0</v>
      </c>
      <c r="GK1006">
        <v>0</v>
      </c>
      <c r="GL1006">
        <v>0</v>
      </c>
      <c r="GM1006">
        <v>0</v>
      </c>
      <c r="GN1006">
        <v>791.40000000000009</v>
      </c>
      <c r="GO1006">
        <v>1816.5</v>
      </c>
      <c r="GP1006">
        <v>0</v>
      </c>
      <c r="GQ1006">
        <v>0</v>
      </c>
      <c r="GR1006">
        <v>0</v>
      </c>
      <c r="GS1006">
        <v>0</v>
      </c>
      <c r="GT1006">
        <v>0</v>
      </c>
      <c r="GU1006">
        <v>0</v>
      </c>
      <c r="GV1006">
        <v>0</v>
      </c>
      <c r="GW1006">
        <v>0</v>
      </c>
      <c r="GX1006">
        <v>0</v>
      </c>
      <c r="GY1006">
        <v>840.3</v>
      </c>
      <c r="GZ1006">
        <v>0</v>
      </c>
      <c r="HA1006">
        <v>0</v>
      </c>
      <c r="HB1006">
        <v>0</v>
      </c>
      <c r="HC1006">
        <v>380.4</v>
      </c>
      <c r="HD1006">
        <v>2175.5</v>
      </c>
      <c r="HE1006">
        <v>0</v>
      </c>
      <c r="HF1006">
        <v>0</v>
      </c>
      <c r="HG1006">
        <v>0</v>
      </c>
      <c r="HH1006">
        <v>0</v>
      </c>
      <c r="HI1006">
        <v>0</v>
      </c>
      <c r="HJ1006">
        <v>803.40000000000009</v>
      </c>
      <c r="HK1006">
        <v>1270.9000000000001</v>
      </c>
      <c r="HL1006">
        <v>835.7</v>
      </c>
      <c r="HM1006">
        <v>1162.5999999999999</v>
      </c>
      <c r="HN1006">
        <v>0</v>
      </c>
      <c r="HO1006">
        <v>0</v>
      </c>
      <c r="HP1006">
        <v>0</v>
      </c>
      <c r="HQ1006">
        <v>0</v>
      </c>
      <c r="HR1006">
        <v>161.19999999999999</v>
      </c>
      <c r="HS1006">
        <v>0</v>
      </c>
      <c r="HT1006">
        <v>2048.5</v>
      </c>
      <c r="HU1006">
        <v>2627.5</v>
      </c>
      <c r="HV1006">
        <v>1168.5999999999999</v>
      </c>
      <c r="HW1006">
        <v>388</v>
      </c>
      <c r="HX1006">
        <v>0</v>
      </c>
      <c r="HY1006">
        <v>0</v>
      </c>
      <c r="HZ1006">
        <v>0</v>
      </c>
      <c r="IA1006">
        <v>0</v>
      </c>
      <c r="IB1006">
        <v>0</v>
      </c>
      <c r="IC1006">
        <v>594.4</v>
      </c>
      <c r="ID1006">
        <v>427.4</v>
      </c>
      <c r="IE1006">
        <v>713.3</v>
      </c>
      <c r="IF1006">
        <v>626.1</v>
      </c>
      <c r="IG1006">
        <v>0</v>
      </c>
      <c r="IH1006">
        <v>0</v>
      </c>
      <c r="II1006">
        <v>995.7</v>
      </c>
      <c r="IJ1006">
        <v>1156.5999999999999</v>
      </c>
      <c r="IK1006">
        <v>864.6</v>
      </c>
      <c r="IL1006">
        <v>316.5</v>
      </c>
      <c r="IM1006">
        <v>101.5</v>
      </c>
      <c r="IN1006">
        <v>71.8</v>
      </c>
      <c r="IO1006">
        <v>0</v>
      </c>
      <c r="IP1006">
        <v>0</v>
      </c>
      <c r="IQ1006">
        <v>0</v>
      </c>
      <c r="IR1006">
        <v>0</v>
      </c>
      <c r="IS1006">
        <v>0</v>
      </c>
      <c r="IT1006">
        <v>0</v>
      </c>
      <c r="IU1006">
        <v>0</v>
      </c>
      <c r="IV1006">
        <v>0</v>
      </c>
      <c r="IW1006">
        <v>68</v>
      </c>
      <c r="IX1006">
        <v>404.7</v>
      </c>
      <c r="IY1006">
        <v>126.6</v>
      </c>
      <c r="IZ1006">
        <v>126.6</v>
      </c>
      <c r="JA1006">
        <v>503.7</v>
      </c>
      <c r="JB1006">
        <v>570.1</v>
      </c>
      <c r="JC1006">
        <v>328.3</v>
      </c>
      <c r="JD1006">
        <v>0</v>
      </c>
      <c r="JE1006">
        <v>0</v>
      </c>
      <c r="JF1006">
        <v>0</v>
      </c>
      <c r="JG1006">
        <v>0</v>
      </c>
      <c r="JH1006">
        <v>287.3</v>
      </c>
      <c r="JI1006">
        <v>68.2</v>
      </c>
      <c r="JJ1006">
        <v>0</v>
      </c>
      <c r="JK1006">
        <v>148.6</v>
      </c>
      <c r="JL1006">
        <v>0</v>
      </c>
      <c r="JM1006">
        <v>0</v>
      </c>
      <c r="JN1006">
        <v>204.5</v>
      </c>
      <c r="JO1006">
        <v>292.10000000000002</v>
      </c>
      <c r="JP1006">
        <v>670.8</v>
      </c>
      <c r="JQ1006">
        <v>745.2</v>
      </c>
      <c r="JR1006">
        <v>242.9</v>
      </c>
    </row>
    <row r="1007" spans="2:278" ht="18" thickBot="1">
      <c r="B1007" s="368" t="s">
        <v>355</v>
      </c>
      <c r="C1007" s="378"/>
      <c r="D1007" s="368" t="s">
        <v>1482</v>
      </c>
      <c r="E1007" s="454">
        <v>22829.8</v>
      </c>
      <c r="F1007">
        <v>20193.400000000001</v>
      </c>
      <c r="G1007" s="427">
        <v>0</v>
      </c>
      <c r="H1007" s="155">
        <v>0</v>
      </c>
      <c r="I1007">
        <v>0</v>
      </c>
      <c r="J1007">
        <v>0</v>
      </c>
      <c r="K1007">
        <v>0</v>
      </c>
      <c r="L1007" s="4">
        <v>0</v>
      </c>
      <c r="M1007" s="4">
        <v>0</v>
      </c>
      <c r="N1007" s="4">
        <v>0</v>
      </c>
      <c r="O1007" s="4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1476.4</v>
      </c>
      <c r="X1007">
        <v>1482</v>
      </c>
      <c r="Y1007">
        <v>457.20000000000005</v>
      </c>
      <c r="Z1007">
        <v>0</v>
      </c>
      <c r="AA1007">
        <v>0</v>
      </c>
      <c r="AB1007">
        <v>0</v>
      </c>
      <c r="AC1007">
        <v>0</v>
      </c>
      <c r="AD1007">
        <v>3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1828.6</v>
      </c>
      <c r="AK1007">
        <v>1800.7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560.70000000000005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0</v>
      </c>
      <c r="BN1007">
        <v>0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  <c r="CF1007">
        <v>0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  <c r="CN1007">
        <v>0</v>
      </c>
      <c r="CO1007">
        <v>0</v>
      </c>
      <c r="CP1007">
        <v>3.5</v>
      </c>
      <c r="CQ1007">
        <v>0</v>
      </c>
      <c r="CR1007">
        <v>528</v>
      </c>
      <c r="CS1007">
        <v>581.79999999999995</v>
      </c>
      <c r="CT1007">
        <v>555.40000000000009</v>
      </c>
      <c r="CU1007">
        <v>737.4</v>
      </c>
      <c r="CV1007">
        <v>1039.0999999999999</v>
      </c>
      <c r="CW1007">
        <v>1667.3</v>
      </c>
      <c r="CX1007">
        <v>877.6</v>
      </c>
      <c r="CY1007">
        <v>910.40000000000009</v>
      </c>
      <c r="CZ1007">
        <v>0</v>
      </c>
      <c r="DA1007">
        <v>0</v>
      </c>
      <c r="DB1007">
        <v>0</v>
      </c>
      <c r="DC1007">
        <v>0</v>
      </c>
      <c r="DD1007">
        <v>0</v>
      </c>
      <c r="DE1007">
        <v>0</v>
      </c>
      <c r="DF1007">
        <v>0</v>
      </c>
      <c r="DG1007">
        <v>0</v>
      </c>
      <c r="DH1007">
        <v>0</v>
      </c>
      <c r="DI1007">
        <v>0</v>
      </c>
      <c r="DJ1007">
        <v>0</v>
      </c>
      <c r="DK1007">
        <v>0</v>
      </c>
      <c r="DL1007">
        <v>995.5</v>
      </c>
      <c r="DM1007">
        <v>712.7</v>
      </c>
      <c r="DN1007">
        <v>0</v>
      </c>
      <c r="DO1007">
        <v>0</v>
      </c>
      <c r="DP1007">
        <v>0</v>
      </c>
      <c r="DQ1007">
        <v>0</v>
      </c>
      <c r="DR1007">
        <v>0</v>
      </c>
      <c r="DS1007">
        <v>0</v>
      </c>
      <c r="DT1007">
        <v>0</v>
      </c>
      <c r="DU1007">
        <v>0</v>
      </c>
      <c r="DV1007">
        <v>0</v>
      </c>
      <c r="DW1007">
        <v>0</v>
      </c>
      <c r="DX1007">
        <v>0</v>
      </c>
      <c r="DY1007">
        <v>0</v>
      </c>
      <c r="DZ1007">
        <v>0</v>
      </c>
      <c r="EA1007">
        <v>0</v>
      </c>
      <c r="EB1007">
        <v>0</v>
      </c>
      <c r="EC1007">
        <v>0</v>
      </c>
      <c r="ED1007">
        <v>0</v>
      </c>
      <c r="EE1007">
        <v>0</v>
      </c>
      <c r="EF1007">
        <v>0</v>
      </c>
      <c r="EG1007">
        <v>0</v>
      </c>
      <c r="EH1007">
        <v>0</v>
      </c>
      <c r="EI1007">
        <v>0</v>
      </c>
      <c r="EJ1007">
        <v>0</v>
      </c>
      <c r="EK1007">
        <v>0</v>
      </c>
      <c r="EL1007">
        <v>0</v>
      </c>
      <c r="EM1007">
        <v>0</v>
      </c>
      <c r="EN1007">
        <v>27.4</v>
      </c>
      <c r="EO1007">
        <v>0</v>
      </c>
      <c r="EP1007">
        <v>1002.5</v>
      </c>
      <c r="EQ1007">
        <v>0</v>
      </c>
      <c r="ER1007">
        <v>494</v>
      </c>
      <c r="ES1007">
        <v>0</v>
      </c>
      <c r="ET1007">
        <v>699.3</v>
      </c>
      <c r="EU1007">
        <v>435.4</v>
      </c>
      <c r="EV1007">
        <v>0</v>
      </c>
      <c r="EW1007">
        <v>0</v>
      </c>
      <c r="EX1007">
        <v>0</v>
      </c>
      <c r="EY1007">
        <v>0</v>
      </c>
      <c r="EZ1007">
        <v>0</v>
      </c>
      <c r="FA1007">
        <v>0</v>
      </c>
      <c r="FB1007">
        <v>0</v>
      </c>
      <c r="FC1007">
        <v>0</v>
      </c>
      <c r="FD1007">
        <v>95.6</v>
      </c>
      <c r="FE1007">
        <v>1792.1</v>
      </c>
      <c r="FF1007">
        <v>1740.1999999999998</v>
      </c>
      <c r="FG1007">
        <v>954.9</v>
      </c>
      <c r="FH1007">
        <v>1087.8000000000002</v>
      </c>
      <c r="FI1007">
        <v>1892.1</v>
      </c>
      <c r="FJ1007">
        <v>1222.5</v>
      </c>
      <c r="FK1007">
        <v>678.3</v>
      </c>
      <c r="FL1007">
        <v>639.1</v>
      </c>
      <c r="FM1007">
        <v>520.5</v>
      </c>
      <c r="FN1007">
        <v>123.8</v>
      </c>
      <c r="FO1007">
        <v>181.6</v>
      </c>
      <c r="FP1007">
        <v>1090.5</v>
      </c>
      <c r="FQ1007">
        <v>0</v>
      </c>
      <c r="FR1007">
        <v>0</v>
      </c>
      <c r="FS1007">
        <v>0</v>
      </c>
      <c r="FT1007">
        <v>0</v>
      </c>
      <c r="FU1007">
        <v>0</v>
      </c>
      <c r="FV1007">
        <v>0</v>
      </c>
      <c r="FW1007">
        <v>0</v>
      </c>
      <c r="FX1007">
        <v>0</v>
      </c>
      <c r="FY1007">
        <v>0</v>
      </c>
      <c r="FZ1007">
        <v>0</v>
      </c>
      <c r="GA1007">
        <v>0</v>
      </c>
      <c r="GB1007">
        <v>0</v>
      </c>
      <c r="GC1007">
        <v>0</v>
      </c>
      <c r="GD1007">
        <v>0</v>
      </c>
      <c r="GE1007">
        <v>0</v>
      </c>
      <c r="GF1007">
        <v>198.3</v>
      </c>
      <c r="GG1007">
        <v>1054.4000000000001</v>
      </c>
      <c r="GH1007">
        <v>552.79999999999995</v>
      </c>
      <c r="GI1007">
        <v>522</v>
      </c>
      <c r="GJ1007">
        <v>0</v>
      </c>
      <c r="GK1007">
        <v>0</v>
      </c>
      <c r="GL1007">
        <v>0</v>
      </c>
      <c r="GM1007">
        <v>0</v>
      </c>
      <c r="GN1007">
        <v>791.40000000000009</v>
      </c>
      <c r="GO1007">
        <v>1816.5</v>
      </c>
      <c r="GP1007">
        <v>0</v>
      </c>
      <c r="GQ1007">
        <v>0</v>
      </c>
      <c r="GR1007">
        <v>0</v>
      </c>
      <c r="GS1007">
        <v>0</v>
      </c>
      <c r="GT1007">
        <v>0</v>
      </c>
      <c r="GU1007">
        <v>0</v>
      </c>
      <c r="GV1007">
        <v>0</v>
      </c>
      <c r="GW1007">
        <v>0</v>
      </c>
      <c r="GX1007">
        <v>0</v>
      </c>
      <c r="GY1007">
        <v>840.3</v>
      </c>
      <c r="GZ1007">
        <v>0</v>
      </c>
      <c r="HA1007">
        <v>0</v>
      </c>
      <c r="HB1007">
        <v>0</v>
      </c>
      <c r="HC1007">
        <v>380.4</v>
      </c>
      <c r="HD1007">
        <v>2175.5</v>
      </c>
      <c r="HE1007">
        <v>0</v>
      </c>
      <c r="HF1007">
        <v>0</v>
      </c>
      <c r="HG1007">
        <v>0</v>
      </c>
      <c r="HH1007">
        <v>0</v>
      </c>
      <c r="HI1007">
        <v>0</v>
      </c>
      <c r="HJ1007">
        <v>803.40000000000009</v>
      </c>
      <c r="HK1007">
        <v>1270.9000000000001</v>
      </c>
      <c r="HL1007">
        <v>835.7</v>
      </c>
      <c r="HM1007">
        <v>1162.5999999999999</v>
      </c>
      <c r="HN1007">
        <v>0</v>
      </c>
      <c r="HO1007">
        <v>0</v>
      </c>
      <c r="HP1007">
        <v>0</v>
      </c>
      <c r="HQ1007">
        <v>0</v>
      </c>
      <c r="HR1007">
        <v>161.19999999999999</v>
      </c>
      <c r="HS1007">
        <v>0</v>
      </c>
      <c r="HT1007">
        <v>2048.5</v>
      </c>
      <c r="HU1007">
        <v>2627.5</v>
      </c>
      <c r="HV1007">
        <v>1168.5999999999999</v>
      </c>
      <c r="HW1007">
        <v>388</v>
      </c>
      <c r="HX1007">
        <v>0</v>
      </c>
      <c r="HY1007">
        <v>0</v>
      </c>
      <c r="HZ1007">
        <v>0</v>
      </c>
      <c r="IA1007">
        <v>0</v>
      </c>
      <c r="IB1007">
        <v>0</v>
      </c>
      <c r="IC1007">
        <v>594.4</v>
      </c>
      <c r="ID1007">
        <v>427.4</v>
      </c>
      <c r="IE1007">
        <v>713.3</v>
      </c>
      <c r="IF1007">
        <v>626.1</v>
      </c>
      <c r="IG1007">
        <v>0</v>
      </c>
      <c r="IH1007">
        <v>0</v>
      </c>
      <c r="II1007">
        <v>995.7</v>
      </c>
      <c r="IJ1007">
        <v>1156.5999999999999</v>
      </c>
      <c r="IK1007">
        <v>864.6</v>
      </c>
      <c r="IL1007">
        <v>316.5</v>
      </c>
      <c r="IM1007">
        <v>101.5</v>
      </c>
      <c r="IN1007">
        <v>71.8</v>
      </c>
      <c r="IO1007">
        <v>0</v>
      </c>
      <c r="IP1007">
        <v>0</v>
      </c>
      <c r="IQ1007">
        <v>0</v>
      </c>
      <c r="IR1007">
        <v>0</v>
      </c>
      <c r="IS1007">
        <v>0</v>
      </c>
      <c r="IT1007">
        <v>0</v>
      </c>
      <c r="IU1007">
        <v>0</v>
      </c>
      <c r="IV1007">
        <v>0</v>
      </c>
      <c r="IW1007">
        <v>68</v>
      </c>
      <c r="IX1007">
        <v>404.7</v>
      </c>
      <c r="IY1007">
        <v>126.6</v>
      </c>
      <c r="IZ1007">
        <v>126.6</v>
      </c>
      <c r="JA1007">
        <v>503.7</v>
      </c>
      <c r="JB1007">
        <v>570.1</v>
      </c>
      <c r="JC1007">
        <v>328.3</v>
      </c>
      <c r="JD1007">
        <v>0</v>
      </c>
      <c r="JE1007">
        <v>0</v>
      </c>
      <c r="JF1007">
        <v>0</v>
      </c>
      <c r="JG1007">
        <v>0</v>
      </c>
      <c r="JH1007">
        <v>287.3</v>
      </c>
      <c r="JI1007">
        <v>68.2</v>
      </c>
      <c r="JJ1007">
        <v>0</v>
      </c>
      <c r="JK1007">
        <v>148.6</v>
      </c>
      <c r="JL1007">
        <v>0</v>
      </c>
      <c r="JM1007">
        <v>0</v>
      </c>
      <c r="JN1007">
        <v>204.5</v>
      </c>
      <c r="JO1007">
        <v>292.10000000000002</v>
      </c>
      <c r="JP1007">
        <v>670.8</v>
      </c>
      <c r="JQ1007">
        <v>745.2</v>
      </c>
      <c r="JR1007">
        <v>242.9</v>
      </c>
    </row>
    <row r="1008" spans="2:278" ht="18" thickBot="1">
      <c r="B1008" s="368" t="s">
        <v>1355</v>
      </c>
      <c r="C1008" s="384" t="s">
        <v>1664</v>
      </c>
      <c r="D1008" s="384" t="s">
        <v>1483</v>
      </c>
      <c r="E1008" s="454">
        <v>22829.8</v>
      </c>
      <c r="F1008">
        <v>20193.400000000001</v>
      </c>
      <c r="G1008" s="427">
        <v>0</v>
      </c>
      <c r="H1008" s="155">
        <v>0</v>
      </c>
      <c r="I1008">
        <v>0</v>
      </c>
      <c r="J1008">
        <v>0</v>
      </c>
      <c r="K1008">
        <v>0</v>
      </c>
      <c r="L1008" s="4">
        <v>0</v>
      </c>
      <c r="M1008" s="4">
        <v>0</v>
      </c>
      <c r="N1008" s="4">
        <v>0</v>
      </c>
      <c r="O1008" s="4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1476.4</v>
      </c>
      <c r="X1008">
        <v>1482</v>
      </c>
      <c r="Y1008">
        <v>457.20000000000005</v>
      </c>
      <c r="Z1008">
        <v>0</v>
      </c>
      <c r="AA1008">
        <v>0</v>
      </c>
      <c r="AB1008">
        <v>0</v>
      </c>
      <c r="AC1008">
        <v>0</v>
      </c>
      <c r="AD1008">
        <v>3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1828.6</v>
      </c>
      <c r="AK1008">
        <v>1800.7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560.70000000000005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0</v>
      </c>
      <c r="BU1008">
        <v>0</v>
      </c>
      <c r="BV1008">
        <v>0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  <c r="CF1008">
        <v>0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  <c r="CN1008">
        <v>0</v>
      </c>
      <c r="CO1008">
        <v>0</v>
      </c>
      <c r="CP1008">
        <v>3.5</v>
      </c>
      <c r="CQ1008">
        <v>0</v>
      </c>
      <c r="CR1008">
        <v>528</v>
      </c>
      <c r="CS1008">
        <v>581.79999999999995</v>
      </c>
      <c r="CT1008">
        <v>555.40000000000009</v>
      </c>
      <c r="CU1008">
        <v>737.4</v>
      </c>
      <c r="CV1008">
        <v>1039.0999999999999</v>
      </c>
      <c r="CW1008">
        <v>1667.3</v>
      </c>
      <c r="CX1008">
        <v>877.6</v>
      </c>
      <c r="CY1008">
        <v>910.40000000000009</v>
      </c>
      <c r="CZ1008">
        <v>0</v>
      </c>
      <c r="DA1008">
        <v>0</v>
      </c>
      <c r="DB1008">
        <v>0</v>
      </c>
      <c r="DC1008">
        <v>0</v>
      </c>
      <c r="DD1008">
        <v>0</v>
      </c>
      <c r="DE1008">
        <v>0</v>
      </c>
      <c r="DF1008">
        <v>0</v>
      </c>
      <c r="DG1008">
        <v>0</v>
      </c>
      <c r="DH1008">
        <v>0</v>
      </c>
      <c r="DI1008">
        <v>0</v>
      </c>
      <c r="DJ1008">
        <v>0</v>
      </c>
      <c r="DK1008">
        <v>0</v>
      </c>
      <c r="DL1008">
        <v>995.5</v>
      </c>
      <c r="DM1008">
        <v>712.7</v>
      </c>
      <c r="DN1008">
        <v>0</v>
      </c>
      <c r="DO1008">
        <v>0</v>
      </c>
      <c r="DP1008">
        <v>0</v>
      </c>
      <c r="DQ1008">
        <v>0</v>
      </c>
      <c r="DR1008">
        <v>0</v>
      </c>
      <c r="DS1008">
        <v>0</v>
      </c>
      <c r="DT1008">
        <v>0</v>
      </c>
      <c r="DU1008">
        <v>0</v>
      </c>
      <c r="DV1008">
        <v>0</v>
      </c>
      <c r="DW1008">
        <v>0</v>
      </c>
      <c r="DX1008">
        <v>0</v>
      </c>
      <c r="DY1008">
        <v>0</v>
      </c>
      <c r="DZ1008">
        <v>0</v>
      </c>
      <c r="EA1008">
        <v>0</v>
      </c>
      <c r="EB1008">
        <v>0</v>
      </c>
      <c r="EC1008">
        <v>0</v>
      </c>
      <c r="ED1008">
        <v>0</v>
      </c>
      <c r="EE1008">
        <v>0</v>
      </c>
      <c r="EF1008">
        <v>0</v>
      </c>
      <c r="EG1008">
        <v>0</v>
      </c>
      <c r="EH1008">
        <v>0</v>
      </c>
      <c r="EI1008">
        <v>0</v>
      </c>
      <c r="EJ1008">
        <v>0</v>
      </c>
      <c r="EK1008">
        <v>0</v>
      </c>
      <c r="EL1008">
        <v>0</v>
      </c>
      <c r="EM1008">
        <v>0</v>
      </c>
      <c r="EN1008">
        <v>27.4</v>
      </c>
      <c r="EO1008">
        <v>0</v>
      </c>
      <c r="EP1008">
        <v>1002.5</v>
      </c>
      <c r="EQ1008">
        <v>0</v>
      </c>
      <c r="ER1008">
        <v>494</v>
      </c>
      <c r="ES1008">
        <v>0</v>
      </c>
      <c r="ET1008">
        <v>699.3</v>
      </c>
      <c r="EU1008">
        <v>435.4</v>
      </c>
      <c r="EV1008">
        <v>0</v>
      </c>
      <c r="EW1008">
        <v>0</v>
      </c>
      <c r="EX1008">
        <v>0</v>
      </c>
      <c r="EY1008">
        <v>0</v>
      </c>
      <c r="EZ1008">
        <v>0</v>
      </c>
      <c r="FA1008">
        <v>0</v>
      </c>
      <c r="FB1008">
        <v>0</v>
      </c>
      <c r="FC1008">
        <v>0</v>
      </c>
      <c r="FD1008">
        <v>95.6</v>
      </c>
      <c r="FE1008">
        <v>1792.1</v>
      </c>
      <c r="FF1008">
        <v>1740.1999999999998</v>
      </c>
      <c r="FG1008">
        <v>954.9</v>
      </c>
      <c r="FH1008">
        <v>1087.8000000000002</v>
      </c>
      <c r="FI1008">
        <v>1892.1</v>
      </c>
      <c r="FJ1008">
        <v>1222.5</v>
      </c>
      <c r="FK1008">
        <v>678.3</v>
      </c>
      <c r="FL1008">
        <v>639.1</v>
      </c>
      <c r="FM1008">
        <v>520.5</v>
      </c>
      <c r="FN1008">
        <v>123.8</v>
      </c>
      <c r="FO1008">
        <v>181.6</v>
      </c>
      <c r="FP1008">
        <v>1090.5</v>
      </c>
      <c r="FQ1008">
        <v>0</v>
      </c>
      <c r="FR1008">
        <v>0</v>
      </c>
      <c r="FS1008">
        <v>0</v>
      </c>
      <c r="FT1008">
        <v>0</v>
      </c>
      <c r="FU1008">
        <v>0</v>
      </c>
      <c r="FV1008">
        <v>0</v>
      </c>
      <c r="FW1008">
        <v>0</v>
      </c>
      <c r="FX1008">
        <v>0</v>
      </c>
      <c r="FY1008">
        <v>0</v>
      </c>
      <c r="FZ1008">
        <v>0</v>
      </c>
      <c r="GA1008">
        <v>0</v>
      </c>
      <c r="GB1008">
        <v>0</v>
      </c>
      <c r="GC1008">
        <v>0</v>
      </c>
      <c r="GD1008">
        <v>0</v>
      </c>
      <c r="GE1008">
        <v>0</v>
      </c>
      <c r="GF1008">
        <v>198.3</v>
      </c>
      <c r="GG1008">
        <v>1054.4000000000001</v>
      </c>
      <c r="GH1008">
        <v>552.79999999999995</v>
      </c>
      <c r="GI1008">
        <v>522</v>
      </c>
      <c r="GJ1008">
        <v>0</v>
      </c>
      <c r="GK1008">
        <v>0</v>
      </c>
      <c r="GL1008">
        <v>0</v>
      </c>
      <c r="GM1008">
        <v>0</v>
      </c>
      <c r="GN1008">
        <v>791.40000000000009</v>
      </c>
      <c r="GO1008">
        <v>1816.5</v>
      </c>
      <c r="GP1008">
        <v>0</v>
      </c>
      <c r="GQ1008">
        <v>0</v>
      </c>
      <c r="GR1008">
        <v>0</v>
      </c>
      <c r="GS1008">
        <v>0</v>
      </c>
      <c r="GT1008">
        <v>0</v>
      </c>
      <c r="GU1008">
        <v>0</v>
      </c>
      <c r="GV1008">
        <v>0</v>
      </c>
      <c r="GW1008">
        <v>0</v>
      </c>
      <c r="GX1008">
        <v>0</v>
      </c>
      <c r="GY1008">
        <v>840.3</v>
      </c>
      <c r="GZ1008">
        <v>0</v>
      </c>
      <c r="HA1008">
        <v>0</v>
      </c>
      <c r="HB1008">
        <v>0</v>
      </c>
      <c r="HC1008">
        <v>380.4</v>
      </c>
      <c r="HD1008">
        <v>2175.5</v>
      </c>
      <c r="HE1008">
        <v>0</v>
      </c>
      <c r="HF1008">
        <v>0</v>
      </c>
      <c r="HG1008">
        <v>0</v>
      </c>
      <c r="HH1008">
        <v>0</v>
      </c>
      <c r="HI1008">
        <v>0</v>
      </c>
      <c r="HJ1008">
        <v>803.40000000000009</v>
      </c>
      <c r="HK1008">
        <v>1270.9000000000001</v>
      </c>
      <c r="HL1008">
        <v>835.7</v>
      </c>
      <c r="HM1008">
        <v>1162.5999999999999</v>
      </c>
      <c r="HN1008">
        <v>0</v>
      </c>
      <c r="HO1008">
        <v>0</v>
      </c>
      <c r="HP1008">
        <v>0</v>
      </c>
      <c r="HQ1008">
        <v>0</v>
      </c>
      <c r="HR1008">
        <v>161.19999999999999</v>
      </c>
      <c r="HS1008">
        <v>0</v>
      </c>
      <c r="HT1008">
        <v>2048.5</v>
      </c>
      <c r="HU1008">
        <v>2627.5</v>
      </c>
      <c r="HV1008">
        <v>1168.5999999999999</v>
      </c>
      <c r="HW1008">
        <v>388</v>
      </c>
      <c r="HX1008">
        <v>0</v>
      </c>
      <c r="HY1008">
        <v>0</v>
      </c>
      <c r="HZ1008">
        <v>0</v>
      </c>
      <c r="IA1008">
        <v>0</v>
      </c>
      <c r="IB1008">
        <v>0</v>
      </c>
      <c r="IC1008">
        <v>594.4</v>
      </c>
      <c r="ID1008">
        <v>427.4</v>
      </c>
      <c r="IE1008">
        <v>713.3</v>
      </c>
      <c r="IF1008">
        <v>626.1</v>
      </c>
      <c r="IG1008">
        <v>0</v>
      </c>
      <c r="IH1008">
        <v>0</v>
      </c>
      <c r="II1008">
        <v>995.7</v>
      </c>
      <c r="IJ1008">
        <v>1156.5999999999999</v>
      </c>
      <c r="IK1008">
        <v>864.6</v>
      </c>
      <c r="IL1008">
        <v>316.5</v>
      </c>
      <c r="IM1008">
        <v>101.5</v>
      </c>
      <c r="IN1008">
        <v>71.8</v>
      </c>
      <c r="IO1008">
        <v>0</v>
      </c>
      <c r="IP1008">
        <v>0</v>
      </c>
      <c r="IQ1008">
        <v>0</v>
      </c>
      <c r="IR1008">
        <v>0</v>
      </c>
      <c r="IS1008">
        <v>0</v>
      </c>
      <c r="IT1008">
        <v>0</v>
      </c>
      <c r="IU1008">
        <v>0</v>
      </c>
      <c r="IV1008">
        <v>0</v>
      </c>
      <c r="IW1008">
        <v>68</v>
      </c>
      <c r="IX1008">
        <v>404.7</v>
      </c>
      <c r="IY1008">
        <v>126.6</v>
      </c>
      <c r="IZ1008">
        <v>126.6</v>
      </c>
      <c r="JA1008">
        <v>503.7</v>
      </c>
      <c r="JB1008">
        <v>570.1</v>
      </c>
      <c r="JC1008">
        <v>328.3</v>
      </c>
      <c r="JD1008">
        <v>0</v>
      </c>
      <c r="JE1008">
        <v>0</v>
      </c>
      <c r="JF1008">
        <v>0</v>
      </c>
      <c r="JG1008">
        <v>0</v>
      </c>
      <c r="JH1008">
        <v>287.3</v>
      </c>
      <c r="JI1008">
        <v>68.2</v>
      </c>
      <c r="JJ1008">
        <v>0</v>
      </c>
      <c r="JK1008">
        <v>148.6</v>
      </c>
      <c r="JL1008">
        <v>0</v>
      </c>
      <c r="JM1008">
        <v>0</v>
      </c>
      <c r="JN1008">
        <v>204.5</v>
      </c>
      <c r="JO1008">
        <v>292.10000000000002</v>
      </c>
      <c r="JP1008">
        <v>670.8</v>
      </c>
      <c r="JQ1008">
        <v>745.2</v>
      </c>
      <c r="JR1008">
        <v>242.9</v>
      </c>
    </row>
    <row r="1009" spans="2:278" ht="18" thickBot="1">
      <c r="B1009" s="368" t="s">
        <v>1356</v>
      </c>
      <c r="C1009" s="384" t="s">
        <v>1665</v>
      </c>
      <c r="D1009" s="384" t="s">
        <v>1484</v>
      </c>
      <c r="E1009" s="454">
        <v>22829.8</v>
      </c>
      <c r="F1009">
        <v>20193.400000000001</v>
      </c>
      <c r="G1009" s="427">
        <v>0</v>
      </c>
      <c r="H1009" s="155">
        <v>0</v>
      </c>
      <c r="I1009">
        <v>0</v>
      </c>
      <c r="J1009">
        <v>0</v>
      </c>
      <c r="K1009">
        <v>0</v>
      </c>
      <c r="L1009" s="4">
        <v>0</v>
      </c>
      <c r="M1009" s="4">
        <v>0</v>
      </c>
      <c r="N1009" s="4">
        <v>0</v>
      </c>
      <c r="O1009" s="4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1476.4</v>
      </c>
      <c r="X1009">
        <v>1482</v>
      </c>
      <c r="Y1009">
        <v>457.20000000000005</v>
      </c>
      <c r="Z1009">
        <v>0</v>
      </c>
      <c r="AA1009">
        <v>0</v>
      </c>
      <c r="AB1009">
        <v>0</v>
      </c>
      <c r="AC1009">
        <v>0</v>
      </c>
      <c r="AD1009">
        <v>3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1828.6</v>
      </c>
      <c r="AK1009">
        <v>1800.7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560.70000000000005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  <c r="CF1009">
        <v>0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  <c r="CN1009">
        <v>0</v>
      </c>
      <c r="CO1009">
        <v>0</v>
      </c>
      <c r="CP1009">
        <v>3.5</v>
      </c>
      <c r="CQ1009">
        <v>0</v>
      </c>
      <c r="CR1009">
        <v>528</v>
      </c>
      <c r="CS1009">
        <v>581.79999999999995</v>
      </c>
      <c r="CT1009">
        <v>555.40000000000009</v>
      </c>
      <c r="CU1009">
        <v>737.4</v>
      </c>
      <c r="CV1009">
        <v>1039.0999999999999</v>
      </c>
      <c r="CW1009">
        <v>1667.3</v>
      </c>
      <c r="CX1009">
        <v>877.6</v>
      </c>
      <c r="CY1009">
        <v>910.40000000000009</v>
      </c>
      <c r="CZ1009">
        <v>0</v>
      </c>
      <c r="DA1009">
        <v>0</v>
      </c>
      <c r="DB1009">
        <v>0</v>
      </c>
      <c r="DC1009">
        <v>0</v>
      </c>
      <c r="DD1009">
        <v>0</v>
      </c>
      <c r="DE1009">
        <v>0</v>
      </c>
      <c r="DF1009">
        <v>0</v>
      </c>
      <c r="DG1009">
        <v>0</v>
      </c>
      <c r="DH1009">
        <v>0</v>
      </c>
      <c r="DI1009">
        <v>0</v>
      </c>
      <c r="DJ1009">
        <v>0</v>
      </c>
      <c r="DK1009">
        <v>0</v>
      </c>
      <c r="DL1009">
        <v>995.5</v>
      </c>
      <c r="DM1009">
        <v>712.7</v>
      </c>
      <c r="DN1009">
        <v>0</v>
      </c>
      <c r="DO1009">
        <v>0</v>
      </c>
      <c r="DP1009">
        <v>0</v>
      </c>
      <c r="DQ1009">
        <v>0</v>
      </c>
      <c r="DR1009">
        <v>0</v>
      </c>
      <c r="DS1009">
        <v>0</v>
      </c>
      <c r="DT1009">
        <v>0</v>
      </c>
      <c r="DU1009">
        <v>0</v>
      </c>
      <c r="DV1009">
        <v>0</v>
      </c>
      <c r="DW1009">
        <v>0</v>
      </c>
      <c r="DX1009">
        <v>0</v>
      </c>
      <c r="DY1009">
        <v>0</v>
      </c>
      <c r="DZ1009">
        <v>0</v>
      </c>
      <c r="EA1009">
        <v>0</v>
      </c>
      <c r="EB1009">
        <v>0</v>
      </c>
      <c r="EC1009">
        <v>0</v>
      </c>
      <c r="ED1009">
        <v>0</v>
      </c>
      <c r="EE1009">
        <v>0</v>
      </c>
      <c r="EF1009">
        <v>0</v>
      </c>
      <c r="EG1009">
        <v>0</v>
      </c>
      <c r="EH1009">
        <v>0</v>
      </c>
      <c r="EI1009">
        <v>0</v>
      </c>
      <c r="EJ1009">
        <v>0</v>
      </c>
      <c r="EK1009">
        <v>0</v>
      </c>
      <c r="EL1009">
        <v>0</v>
      </c>
      <c r="EM1009">
        <v>0</v>
      </c>
      <c r="EN1009">
        <v>27.4</v>
      </c>
      <c r="EO1009">
        <v>0</v>
      </c>
      <c r="EP1009">
        <v>1002.5</v>
      </c>
      <c r="EQ1009">
        <v>0</v>
      </c>
      <c r="ER1009">
        <v>494</v>
      </c>
      <c r="ES1009">
        <v>0</v>
      </c>
      <c r="ET1009">
        <v>699.3</v>
      </c>
      <c r="EU1009">
        <v>435.4</v>
      </c>
      <c r="EV1009">
        <v>0</v>
      </c>
      <c r="EW1009">
        <v>0</v>
      </c>
      <c r="EX1009">
        <v>0</v>
      </c>
      <c r="EY1009">
        <v>0</v>
      </c>
      <c r="EZ1009">
        <v>0</v>
      </c>
      <c r="FA1009">
        <v>0</v>
      </c>
      <c r="FB1009">
        <v>0</v>
      </c>
      <c r="FC1009">
        <v>0</v>
      </c>
      <c r="FD1009">
        <v>95.6</v>
      </c>
      <c r="FE1009">
        <v>1792.1</v>
      </c>
      <c r="FF1009">
        <v>1740.1999999999998</v>
      </c>
      <c r="FG1009">
        <v>954.9</v>
      </c>
      <c r="FH1009">
        <v>1087.8000000000002</v>
      </c>
      <c r="FI1009">
        <v>1892.1</v>
      </c>
      <c r="FJ1009">
        <v>1222.5</v>
      </c>
      <c r="FK1009">
        <v>678.3</v>
      </c>
      <c r="FL1009">
        <v>639.1</v>
      </c>
      <c r="FM1009">
        <v>520.5</v>
      </c>
      <c r="FN1009">
        <v>123.8</v>
      </c>
      <c r="FO1009">
        <v>181.6</v>
      </c>
      <c r="FP1009">
        <v>1090.5</v>
      </c>
      <c r="FQ1009">
        <v>0</v>
      </c>
      <c r="FR1009">
        <v>0</v>
      </c>
      <c r="FS1009">
        <v>0</v>
      </c>
      <c r="FT1009">
        <v>0</v>
      </c>
      <c r="FU1009">
        <v>0</v>
      </c>
      <c r="FV1009">
        <v>0</v>
      </c>
      <c r="FW1009">
        <v>0</v>
      </c>
      <c r="FX1009">
        <v>0</v>
      </c>
      <c r="FY1009">
        <v>0</v>
      </c>
      <c r="FZ1009">
        <v>0</v>
      </c>
      <c r="GA1009">
        <v>0</v>
      </c>
      <c r="GB1009">
        <v>0</v>
      </c>
      <c r="GC1009">
        <v>0</v>
      </c>
      <c r="GD1009">
        <v>0</v>
      </c>
      <c r="GE1009">
        <v>0</v>
      </c>
      <c r="GF1009">
        <v>198.3</v>
      </c>
      <c r="GG1009">
        <v>1054.4000000000001</v>
      </c>
      <c r="GH1009">
        <v>552.79999999999995</v>
      </c>
      <c r="GI1009">
        <v>522</v>
      </c>
      <c r="GJ1009">
        <v>0</v>
      </c>
      <c r="GK1009">
        <v>0</v>
      </c>
      <c r="GL1009">
        <v>0</v>
      </c>
      <c r="GM1009">
        <v>0</v>
      </c>
      <c r="GN1009">
        <v>791.40000000000009</v>
      </c>
      <c r="GO1009">
        <v>1816.5</v>
      </c>
      <c r="GP1009">
        <v>0</v>
      </c>
      <c r="GQ1009">
        <v>0</v>
      </c>
      <c r="GR1009">
        <v>0</v>
      </c>
      <c r="GS1009">
        <v>0</v>
      </c>
      <c r="GT1009">
        <v>0</v>
      </c>
      <c r="GU1009">
        <v>0</v>
      </c>
      <c r="GV1009">
        <v>0</v>
      </c>
      <c r="GW1009">
        <v>0</v>
      </c>
      <c r="GX1009">
        <v>0</v>
      </c>
      <c r="GY1009">
        <v>840.3</v>
      </c>
      <c r="GZ1009">
        <v>0</v>
      </c>
      <c r="HA1009">
        <v>0</v>
      </c>
      <c r="HB1009">
        <v>0</v>
      </c>
      <c r="HC1009">
        <v>380.4</v>
      </c>
      <c r="HD1009">
        <v>2175.5</v>
      </c>
      <c r="HE1009">
        <v>0</v>
      </c>
      <c r="HF1009">
        <v>0</v>
      </c>
      <c r="HG1009">
        <v>0</v>
      </c>
      <c r="HH1009">
        <v>0</v>
      </c>
      <c r="HI1009">
        <v>0</v>
      </c>
      <c r="HJ1009">
        <v>803.40000000000009</v>
      </c>
      <c r="HK1009">
        <v>1270.9000000000001</v>
      </c>
      <c r="HL1009">
        <v>835.7</v>
      </c>
      <c r="HM1009">
        <v>1162.5999999999999</v>
      </c>
      <c r="HN1009">
        <v>0</v>
      </c>
      <c r="HO1009">
        <v>0</v>
      </c>
      <c r="HP1009">
        <v>0</v>
      </c>
      <c r="HQ1009">
        <v>0</v>
      </c>
      <c r="HR1009">
        <v>161.19999999999999</v>
      </c>
      <c r="HS1009">
        <v>0</v>
      </c>
      <c r="HT1009">
        <v>2048.5</v>
      </c>
      <c r="HU1009">
        <v>2627.5</v>
      </c>
      <c r="HV1009">
        <v>1168.5999999999999</v>
      </c>
      <c r="HW1009">
        <v>388</v>
      </c>
      <c r="HX1009">
        <v>0</v>
      </c>
      <c r="HY1009">
        <v>0</v>
      </c>
      <c r="HZ1009">
        <v>0</v>
      </c>
      <c r="IA1009">
        <v>0</v>
      </c>
      <c r="IB1009">
        <v>0</v>
      </c>
      <c r="IC1009">
        <v>594.4</v>
      </c>
      <c r="ID1009">
        <v>427.4</v>
      </c>
      <c r="IE1009">
        <v>713.3</v>
      </c>
      <c r="IF1009">
        <v>626.1</v>
      </c>
      <c r="IG1009">
        <v>0</v>
      </c>
      <c r="IH1009">
        <v>0</v>
      </c>
      <c r="II1009">
        <v>995.7</v>
      </c>
      <c r="IJ1009">
        <v>1156.5999999999999</v>
      </c>
      <c r="IK1009">
        <v>864.6</v>
      </c>
      <c r="IL1009">
        <v>316.5</v>
      </c>
      <c r="IM1009">
        <v>101.5</v>
      </c>
      <c r="IN1009">
        <v>71.8</v>
      </c>
      <c r="IO1009">
        <v>0</v>
      </c>
      <c r="IP1009">
        <v>0</v>
      </c>
      <c r="IQ1009">
        <v>0</v>
      </c>
      <c r="IR1009">
        <v>0</v>
      </c>
      <c r="IS1009">
        <v>0</v>
      </c>
      <c r="IT1009">
        <v>0</v>
      </c>
      <c r="IU1009">
        <v>0</v>
      </c>
      <c r="IV1009">
        <v>0</v>
      </c>
      <c r="IW1009">
        <v>68</v>
      </c>
      <c r="IX1009">
        <v>404.7</v>
      </c>
      <c r="IY1009">
        <v>126.6</v>
      </c>
      <c r="IZ1009">
        <v>126.6</v>
      </c>
      <c r="JA1009">
        <v>503.7</v>
      </c>
      <c r="JB1009">
        <v>570.1</v>
      </c>
      <c r="JC1009">
        <v>328.3</v>
      </c>
      <c r="JD1009">
        <v>0</v>
      </c>
      <c r="JE1009">
        <v>0</v>
      </c>
      <c r="JF1009">
        <v>0</v>
      </c>
      <c r="JG1009">
        <v>0</v>
      </c>
      <c r="JH1009">
        <v>287.3</v>
      </c>
      <c r="JI1009">
        <v>68.2</v>
      </c>
      <c r="JJ1009">
        <v>0</v>
      </c>
      <c r="JK1009">
        <v>148.6</v>
      </c>
      <c r="JL1009">
        <v>0</v>
      </c>
      <c r="JM1009">
        <v>0</v>
      </c>
      <c r="JN1009">
        <v>204.5</v>
      </c>
      <c r="JO1009">
        <v>292.10000000000002</v>
      </c>
      <c r="JP1009">
        <v>670.8</v>
      </c>
      <c r="JQ1009">
        <v>745.2</v>
      </c>
      <c r="JR1009">
        <v>242.9</v>
      </c>
    </row>
    <row r="1010" spans="2:278" ht="18" thickBot="1">
      <c r="B1010" s="368" t="s">
        <v>1357</v>
      </c>
      <c r="C1010" s="387" t="s">
        <v>1666</v>
      </c>
      <c r="D1010" s="368" t="s">
        <v>1387</v>
      </c>
      <c r="E1010" s="454">
        <v>22829.8</v>
      </c>
      <c r="F1010">
        <v>20193.400000000001</v>
      </c>
      <c r="G1010" s="427">
        <v>0</v>
      </c>
      <c r="H1010" s="155">
        <v>0</v>
      </c>
      <c r="I1010">
        <v>0</v>
      </c>
      <c r="J1010">
        <v>0</v>
      </c>
      <c r="K1010">
        <v>0</v>
      </c>
      <c r="L1010" s="4">
        <v>0</v>
      </c>
      <c r="M1010" s="4">
        <v>0</v>
      </c>
      <c r="N1010" s="4">
        <v>0</v>
      </c>
      <c r="O1010" s="4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1476.4</v>
      </c>
      <c r="X1010">
        <v>1482</v>
      </c>
      <c r="Y1010">
        <v>457.20000000000005</v>
      </c>
      <c r="Z1010">
        <v>0</v>
      </c>
      <c r="AA1010">
        <v>0</v>
      </c>
      <c r="AB1010">
        <v>0</v>
      </c>
      <c r="AC1010">
        <v>0</v>
      </c>
      <c r="AD1010">
        <v>3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1828.6</v>
      </c>
      <c r="AK1010">
        <v>1800.7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560.70000000000005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0</v>
      </c>
      <c r="BQ1010">
        <v>0</v>
      </c>
      <c r="BR1010">
        <v>0</v>
      </c>
      <c r="BS1010">
        <v>0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  <c r="CF1010">
        <v>0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  <c r="CN1010">
        <v>0</v>
      </c>
      <c r="CO1010">
        <v>0</v>
      </c>
      <c r="CP1010">
        <v>3.5</v>
      </c>
      <c r="CQ1010">
        <v>0</v>
      </c>
      <c r="CR1010">
        <v>528</v>
      </c>
      <c r="CS1010">
        <v>581.79999999999995</v>
      </c>
      <c r="CT1010">
        <v>555.40000000000009</v>
      </c>
      <c r="CU1010">
        <v>737.4</v>
      </c>
      <c r="CV1010">
        <v>1039.0999999999999</v>
      </c>
      <c r="CW1010">
        <v>1667.3</v>
      </c>
      <c r="CX1010">
        <v>877.6</v>
      </c>
      <c r="CY1010">
        <v>910.40000000000009</v>
      </c>
      <c r="CZ1010">
        <v>0</v>
      </c>
      <c r="DA1010">
        <v>0</v>
      </c>
      <c r="DB1010">
        <v>0</v>
      </c>
      <c r="DC1010">
        <v>0</v>
      </c>
      <c r="DD1010">
        <v>0</v>
      </c>
      <c r="DE1010">
        <v>0</v>
      </c>
      <c r="DF1010">
        <v>0</v>
      </c>
      <c r="DG1010">
        <v>0</v>
      </c>
      <c r="DH1010">
        <v>0</v>
      </c>
      <c r="DI1010">
        <v>0</v>
      </c>
      <c r="DJ1010">
        <v>0</v>
      </c>
      <c r="DK1010">
        <v>0</v>
      </c>
      <c r="DL1010">
        <v>995.5</v>
      </c>
      <c r="DM1010">
        <v>712.7</v>
      </c>
      <c r="DN1010">
        <v>0</v>
      </c>
      <c r="DO1010">
        <v>0</v>
      </c>
      <c r="DP1010">
        <v>0</v>
      </c>
      <c r="DQ1010">
        <v>0</v>
      </c>
      <c r="DR1010">
        <v>0</v>
      </c>
      <c r="DS1010">
        <v>0</v>
      </c>
      <c r="DT1010">
        <v>0</v>
      </c>
      <c r="DU1010">
        <v>0</v>
      </c>
      <c r="DV1010">
        <v>0</v>
      </c>
      <c r="DW1010">
        <v>0</v>
      </c>
      <c r="DX1010">
        <v>0</v>
      </c>
      <c r="DY1010">
        <v>0</v>
      </c>
      <c r="DZ1010">
        <v>0</v>
      </c>
      <c r="EA1010">
        <v>0</v>
      </c>
      <c r="EB1010">
        <v>0</v>
      </c>
      <c r="EC1010">
        <v>0</v>
      </c>
      <c r="ED1010">
        <v>0</v>
      </c>
      <c r="EE1010">
        <v>0</v>
      </c>
      <c r="EF1010">
        <v>0</v>
      </c>
      <c r="EG1010">
        <v>0</v>
      </c>
      <c r="EH1010">
        <v>0</v>
      </c>
      <c r="EI1010">
        <v>0</v>
      </c>
      <c r="EJ1010">
        <v>0</v>
      </c>
      <c r="EK1010">
        <v>0</v>
      </c>
      <c r="EL1010">
        <v>0</v>
      </c>
      <c r="EM1010">
        <v>0</v>
      </c>
      <c r="EN1010">
        <v>27.4</v>
      </c>
      <c r="EO1010">
        <v>0</v>
      </c>
      <c r="EP1010">
        <v>1002.5</v>
      </c>
      <c r="EQ1010">
        <v>0</v>
      </c>
      <c r="ER1010">
        <v>494</v>
      </c>
      <c r="ES1010">
        <v>0</v>
      </c>
      <c r="ET1010">
        <v>699.3</v>
      </c>
      <c r="EU1010">
        <v>435.4</v>
      </c>
      <c r="EV1010">
        <v>0</v>
      </c>
      <c r="EW1010">
        <v>0</v>
      </c>
      <c r="EX1010">
        <v>0</v>
      </c>
      <c r="EY1010">
        <v>0</v>
      </c>
      <c r="EZ1010">
        <v>0</v>
      </c>
      <c r="FA1010">
        <v>0</v>
      </c>
      <c r="FB1010">
        <v>0</v>
      </c>
      <c r="FC1010">
        <v>0</v>
      </c>
      <c r="FD1010">
        <v>95.6</v>
      </c>
      <c r="FE1010">
        <v>1792.1</v>
      </c>
      <c r="FF1010">
        <v>1740.1999999999998</v>
      </c>
      <c r="FG1010">
        <v>954.9</v>
      </c>
      <c r="FH1010">
        <v>1087.8000000000002</v>
      </c>
      <c r="FI1010">
        <v>1892.1</v>
      </c>
      <c r="FJ1010">
        <v>1222.5</v>
      </c>
      <c r="FK1010">
        <v>678.3</v>
      </c>
      <c r="FL1010">
        <v>639.1</v>
      </c>
      <c r="FM1010">
        <v>520.5</v>
      </c>
      <c r="FN1010">
        <v>123.8</v>
      </c>
      <c r="FO1010">
        <v>181.6</v>
      </c>
      <c r="FP1010">
        <v>1090.5</v>
      </c>
      <c r="FQ1010">
        <v>0</v>
      </c>
      <c r="FR1010">
        <v>0</v>
      </c>
      <c r="FS1010">
        <v>0</v>
      </c>
      <c r="FT1010">
        <v>0</v>
      </c>
      <c r="FU1010">
        <v>0</v>
      </c>
      <c r="FV1010">
        <v>0</v>
      </c>
      <c r="FW1010">
        <v>0</v>
      </c>
      <c r="FX1010">
        <v>0</v>
      </c>
      <c r="FY1010">
        <v>0</v>
      </c>
      <c r="FZ1010">
        <v>0</v>
      </c>
      <c r="GA1010">
        <v>0</v>
      </c>
      <c r="GB1010">
        <v>0</v>
      </c>
      <c r="GC1010">
        <v>0</v>
      </c>
      <c r="GD1010">
        <v>0</v>
      </c>
      <c r="GE1010">
        <v>0</v>
      </c>
      <c r="GF1010">
        <v>198.3</v>
      </c>
      <c r="GG1010">
        <v>1054.4000000000001</v>
      </c>
      <c r="GH1010">
        <v>552.79999999999995</v>
      </c>
      <c r="GI1010">
        <v>522</v>
      </c>
      <c r="GJ1010">
        <v>0</v>
      </c>
      <c r="GK1010">
        <v>0</v>
      </c>
      <c r="GL1010">
        <v>0</v>
      </c>
      <c r="GM1010">
        <v>0</v>
      </c>
      <c r="GN1010">
        <v>791.40000000000009</v>
      </c>
      <c r="GO1010">
        <v>1816.5</v>
      </c>
      <c r="GP1010">
        <v>0</v>
      </c>
      <c r="GQ1010">
        <v>0</v>
      </c>
      <c r="GR1010">
        <v>0</v>
      </c>
      <c r="GS1010">
        <v>0</v>
      </c>
      <c r="GT1010">
        <v>0</v>
      </c>
      <c r="GU1010">
        <v>0</v>
      </c>
      <c r="GV1010">
        <v>0</v>
      </c>
      <c r="GW1010">
        <v>0</v>
      </c>
      <c r="GX1010">
        <v>0</v>
      </c>
      <c r="GY1010">
        <v>840.3</v>
      </c>
      <c r="GZ1010">
        <v>0</v>
      </c>
      <c r="HA1010">
        <v>0</v>
      </c>
      <c r="HB1010">
        <v>0</v>
      </c>
      <c r="HC1010">
        <v>380.4</v>
      </c>
      <c r="HD1010">
        <v>2175.5</v>
      </c>
      <c r="HE1010">
        <v>0</v>
      </c>
      <c r="HF1010">
        <v>0</v>
      </c>
      <c r="HG1010">
        <v>0</v>
      </c>
      <c r="HH1010">
        <v>0</v>
      </c>
      <c r="HI1010">
        <v>0</v>
      </c>
      <c r="HJ1010">
        <v>803.40000000000009</v>
      </c>
      <c r="HK1010">
        <v>1270.9000000000001</v>
      </c>
      <c r="HL1010">
        <v>835.7</v>
      </c>
      <c r="HM1010">
        <v>1162.5999999999999</v>
      </c>
      <c r="HN1010">
        <v>0</v>
      </c>
      <c r="HO1010">
        <v>0</v>
      </c>
      <c r="HP1010">
        <v>0</v>
      </c>
      <c r="HQ1010">
        <v>0</v>
      </c>
      <c r="HR1010">
        <v>161.19999999999999</v>
      </c>
      <c r="HS1010">
        <v>0</v>
      </c>
      <c r="HT1010">
        <v>2048.5</v>
      </c>
      <c r="HU1010">
        <v>2627.5</v>
      </c>
      <c r="HV1010">
        <v>1168.5999999999999</v>
      </c>
      <c r="HW1010">
        <v>388</v>
      </c>
      <c r="HX1010">
        <v>0</v>
      </c>
      <c r="HY1010">
        <v>0</v>
      </c>
      <c r="HZ1010">
        <v>0</v>
      </c>
      <c r="IA1010">
        <v>0</v>
      </c>
      <c r="IB1010">
        <v>0</v>
      </c>
      <c r="IC1010">
        <v>594.4</v>
      </c>
      <c r="ID1010">
        <v>427.4</v>
      </c>
      <c r="IE1010">
        <v>713.3</v>
      </c>
      <c r="IF1010">
        <v>626.1</v>
      </c>
      <c r="IG1010">
        <v>0</v>
      </c>
      <c r="IH1010">
        <v>0</v>
      </c>
      <c r="II1010">
        <v>995.7</v>
      </c>
      <c r="IJ1010">
        <v>1156.5999999999999</v>
      </c>
      <c r="IK1010">
        <v>864.6</v>
      </c>
      <c r="IL1010">
        <v>316.5</v>
      </c>
      <c r="IM1010">
        <v>101.5</v>
      </c>
      <c r="IN1010">
        <v>71.8</v>
      </c>
      <c r="IO1010">
        <v>0</v>
      </c>
      <c r="IP1010">
        <v>0</v>
      </c>
      <c r="IQ1010">
        <v>0</v>
      </c>
      <c r="IR1010">
        <v>0</v>
      </c>
      <c r="IS1010">
        <v>0</v>
      </c>
      <c r="IT1010">
        <v>0</v>
      </c>
      <c r="IU1010">
        <v>0</v>
      </c>
      <c r="IV1010">
        <v>0</v>
      </c>
      <c r="IW1010">
        <v>68</v>
      </c>
      <c r="IX1010">
        <v>404.7</v>
      </c>
      <c r="IY1010">
        <v>126.6</v>
      </c>
      <c r="IZ1010">
        <v>126.6</v>
      </c>
      <c r="JA1010">
        <v>503.7</v>
      </c>
      <c r="JB1010">
        <v>570.1</v>
      </c>
      <c r="JC1010">
        <v>328.3</v>
      </c>
      <c r="JD1010">
        <v>0</v>
      </c>
      <c r="JE1010">
        <v>0</v>
      </c>
      <c r="JF1010">
        <v>0</v>
      </c>
      <c r="JG1010">
        <v>0</v>
      </c>
      <c r="JH1010">
        <v>287.3</v>
      </c>
      <c r="JI1010">
        <v>68.2</v>
      </c>
      <c r="JJ1010">
        <v>0</v>
      </c>
      <c r="JK1010">
        <v>148.6</v>
      </c>
      <c r="JL1010">
        <v>0</v>
      </c>
      <c r="JM1010">
        <v>0</v>
      </c>
      <c r="JN1010">
        <v>204.5</v>
      </c>
      <c r="JO1010">
        <v>292.10000000000002</v>
      </c>
      <c r="JP1010">
        <v>670.8</v>
      </c>
      <c r="JQ1010">
        <v>745.2</v>
      </c>
      <c r="JR1010">
        <v>242.9</v>
      </c>
    </row>
    <row r="1011" spans="2:278" ht="18" thickBot="1">
      <c r="B1011" s="516" t="s">
        <v>1358</v>
      </c>
      <c r="C1011" s="520" t="s">
        <v>1667</v>
      </c>
      <c r="D1011" s="515" t="s">
        <v>1387</v>
      </c>
      <c r="E1011" s="454">
        <v>22829.8</v>
      </c>
      <c r="F1011">
        <v>20193.400000000001</v>
      </c>
      <c r="G1011" s="427">
        <v>0</v>
      </c>
      <c r="H1011" s="155">
        <v>0</v>
      </c>
      <c r="I1011">
        <v>0</v>
      </c>
      <c r="J1011">
        <v>0</v>
      </c>
      <c r="K1011">
        <v>0</v>
      </c>
      <c r="L1011" s="4">
        <v>0</v>
      </c>
      <c r="M1011" s="4">
        <v>0</v>
      </c>
      <c r="N1011" s="4">
        <v>0</v>
      </c>
      <c r="O1011" s="4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1476.4</v>
      </c>
      <c r="X1011">
        <v>1482</v>
      </c>
      <c r="Y1011">
        <v>457.20000000000005</v>
      </c>
      <c r="Z1011">
        <v>0</v>
      </c>
      <c r="AA1011">
        <v>0</v>
      </c>
      <c r="AB1011">
        <v>0</v>
      </c>
      <c r="AC1011">
        <v>0</v>
      </c>
      <c r="AD1011">
        <v>3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1828.6</v>
      </c>
      <c r="AK1011">
        <v>1800.7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560.70000000000005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0</v>
      </c>
      <c r="BJ1011">
        <v>0</v>
      </c>
      <c r="BK1011">
        <v>0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0</v>
      </c>
      <c r="CC1011">
        <v>0</v>
      </c>
      <c r="CD1011">
        <v>0</v>
      </c>
      <c r="CE1011">
        <v>0</v>
      </c>
      <c r="CF1011">
        <v>0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  <c r="CN1011">
        <v>0</v>
      </c>
      <c r="CO1011">
        <v>0</v>
      </c>
      <c r="CP1011">
        <v>3.5</v>
      </c>
      <c r="CQ1011">
        <v>0</v>
      </c>
      <c r="CR1011">
        <v>528</v>
      </c>
      <c r="CS1011">
        <v>581.79999999999995</v>
      </c>
      <c r="CT1011">
        <v>555.40000000000009</v>
      </c>
      <c r="CU1011">
        <v>737.4</v>
      </c>
      <c r="CV1011">
        <v>1039.0999999999999</v>
      </c>
      <c r="CW1011">
        <v>1667.3</v>
      </c>
      <c r="CX1011">
        <v>877.6</v>
      </c>
      <c r="CY1011">
        <v>910.40000000000009</v>
      </c>
      <c r="CZ1011">
        <v>0</v>
      </c>
      <c r="DA1011">
        <v>0</v>
      </c>
      <c r="DB1011">
        <v>0</v>
      </c>
      <c r="DC1011">
        <v>0</v>
      </c>
      <c r="DD1011">
        <v>0</v>
      </c>
      <c r="DE1011">
        <v>0</v>
      </c>
      <c r="DF1011">
        <v>0</v>
      </c>
      <c r="DG1011">
        <v>0</v>
      </c>
      <c r="DH1011">
        <v>0</v>
      </c>
      <c r="DI1011">
        <v>0</v>
      </c>
      <c r="DJ1011">
        <v>0</v>
      </c>
      <c r="DK1011">
        <v>0</v>
      </c>
      <c r="DL1011">
        <v>995.5</v>
      </c>
      <c r="DM1011">
        <v>712.7</v>
      </c>
      <c r="DN1011">
        <v>0</v>
      </c>
      <c r="DO1011">
        <v>0</v>
      </c>
      <c r="DP1011">
        <v>0</v>
      </c>
      <c r="DQ1011">
        <v>0</v>
      </c>
      <c r="DR1011">
        <v>0</v>
      </c>
      <c r="DS1011">
        <v>0</v>
      </c>
      <c r="DT1011">
        <v>0</v>
      </c>
      <c r="DU1011">
        <v>0</v>
      </c>
      <c r="DV1011">
        <v>0</v>
      </c>
      <c r="DW1011">
        <v>0</v>
      </c>
      <c r="DX1011">
        <v>0</v>
      </c>
      <c r="DY1011">
        <v>0</v>
      </c>
      <c r="DZ1011">
        <v>0</v>
      </c>
      <c r="EA1011">
        <v>0</v>
      </c>
      <c r="EB1011">
        <v>0</v>
      </c>
      <c r="EC1011">
        <v>0</v>
      </c>
      <c r="ED1011">
        <v>0</v>
      </c>
      <c r="EE1011">
        <v>0</v>
      </c>
      <c r="EF1011">
        <v>0</v>
      </c>
      <c r="EG1011">
        <v>0</v>
      </c>
      <c r="EH1011">
        <v>0</v>
      </c>
      <c r="EI1011">
        <v>0</v>
      </c>
      <c r="EJ1011">
        <v>0</v>
      </c>
      <c r="EK1011">
        <v>0</v>
      </c>
      <c r="EL1011">
        <v>0</v>
      </c>
      <c r="EM1011">
        <v>0</v>
      </c>
      <c r="EN1011">
        <v>27.4</v>
      </c>
      <c r="EO1011">
        <v>0</v>
      </c>
      <c r="EP1011">
        <v>1002.5</v>
      </c>
      <c r="EQ1011">
        <v>0</v>
      </c>
      <c r="ER1011">
        <v>494</v>
      </c>
      <c r="ES1011">
        <v>0</v>
      </c>
      <c r="ET1011">
        <v>699.3</v>
      </c>
      <c r="EU1011">
        <v>435.4</v>
      </c>
      <c r="EV1011">
        <v>0</v>
      </c>
      <c r="EW1011">
        <v>0</v>
      </c>
      <c r="EX1011">
        <v>0</v>
      </c>
      <c r="EY1011">
        <v>0</v>
      </c>
      <c r="EZ1011">
        <v>0</v>
      </c>
      <c r="FA1011">
        <v>0</v>
      </c>
      <c r="FB1011">
        <v>0</v>
      </c>
      <c r="FC1011">
        <v>0</v>
      </c>
      <c r="FD1011">
        <v>95.6</v>
      </c>
      <c r="FE1011">
        <v>1792.1</v>
      </c>
      <c r="FF1011">
        <v>1740.1999999999998</v>
      </c>
      <c r="FG1011">
        <v>954.9</v>
      </c>
      <c r="FH1011">
        <v>1087.8000000000002</v>
      </c>
      <c r="FI1011">
        <v>1892.1</v>
      </c>
      <c r="FJ1011">
        <v>1222.5</v>
      </c>
      <c r="FK1011">
        <v>678.3</v>
      </c>
      <c r="FL1011">
        <v>639.1</v>
      </c>
      <c r="FM1011">
        <v>520.5</v>
      </c>
      <c r="FN1011">
        <v>123.8</v>
      </c>
      <c r="FO1011">
        <v>181.6</v>
      </c>
      <c r="FP1011">
        <v>1090.5</v>
      </c>
      <c r="FQ1011">
        <v>0</v>
      </c>
      <c r="FR1011">
        <v>0</v>
      </c>
      <c r="FS1011">
        <v>0</v>
      </c>
      <c r="FT1011">
        <v>0</v>
      </c>
      <c r="FU1011">
        <v>0</v>
      </c>
      <c r="FV1011">
        <v>0</v>
      </c>
      <c r="FW1011">
        <v>0</v>
      </c>
      <c r="FX1011">
        <v>0</v>
      </c>
      <c r="FY1011">
        <v>0</v>
      </c>
      <c r="FZ1011">
        <v>0</v>
      </c>
      <c r="GA1011">
        <v>0</v>
      </c>
      <c r="GB1011">
        <v>0</v>
      </c>
      <c r="GC1011">
        <v>0</v>
      </c>
      <c r="GD1011">
        <v>0</v>
      </c>
      <c r="GE1011">
        <v>0</v>
      </c>
      <c r="GF1011">
        <v>198.3</v>
      </c>
      <c r="GG1011">
        <v>1054.4000000000001</v>
      </c>
      <c r="GH1011">
        <v>552.79999999999995</v>
      </c>
      <c r="GI1011">
        <v>522</v>
      </c>
      <c r="GJ1011">
        <v>0</v>
      </c>
      <c r="GK1011">
        <v>0</v>
      </c>
      <c r="GL1011">
        <v>0</v>
      </c>
      <c r="GM1011">
        <v>0</v>
      </c>
      <c r="GN1011">
        <v>791.40000000000009</v>
      </c>
      <c r="GO1011">
        <v>1816.5</v>
      </c>
      <c r="GP1011">
        <v>0</v>
      </c>
      <c r="GQ1011">
        <v>0</v>
      </c>
      <c r="GR1011">
        <v>0</v>
      </c>
      <c r="GS1011">
        <v>0</v>
      </c>
      <c r="GT1011">
        <v>0</v>
      </c>
      <c r="GU1011">
        <v>0</v>
      </c>
      <c r="GV1011">
        <v>0</v>
      </c>
      <c r="GW1011">
        <v>0</v>
      </c>
      <c r="GX1011">
        <v>0</v>
      </c>
      <c r="GY1011">
        <v>840.3</v>
      </c>
      <c r="GZ1011">
        <v>0</v>
      </c>
      <c r="HA1011">
        <v>0</v>
      </c>
      <c r="HB1011">
        <v>0</v>
      </c>
      <c r="HC1011">
        <v>380.4</v>
      </c>
      <c r="HD1011">
        <v>2175.5</v>
      </c>
      <c r="HE1011">
        <v>0</v>
      </c>
      <c r="HF1011">
        <v>0</v>
      </c>
      <c r="HG1011">
        <v>0</v>
      </c>
      <c r="HH1011">
        <v>0</v>
      </c>
      <c r="HI1011">
        <v>0</v>
      </c>
      <c r="HJ1011">
        <v>803.40000000000009</v>
      </c>
      <c r="HK1011">
        <v>1270.9000000000001</v>
      </c>
      <c r="HL1011">
        <v>835.7</v>
      </c>
      <c r="HM1011">
        <v>1162.5999999999999</v>
      </c>
      <c r="HN1011">
        <v>0</v>
      </c>
      <c r="HO1011">
        <v>0</v>
      </c>
      <c r="HP1011">
        <v>0</v>
      </c>
      <c r="HQ1011">
        <v>0</v>
      </c>
      <c r="HR1011">
        <v>161.19999999999999</v>
      </c>
      <c r="HS1011">
        <v>0</v>
      </c>
      <c r="HT1011">
        <v>2048.5</v>
      </c>
      <c r="HU1011">
        <v>2627.5</v>
      </c>
      <c r="HV1011">
        <v>1168.5999999999999</v>
      </c>
      <c r="HW1011">
        <v>388</v>
      </c>
      <c r="HX1011">
        <v>0</v>
      </c>
      <c r="HY1011">
        <v>0</v>
      </c>
      <c r="HZ1011">
        <v>0</v>
      </c>
      <c r="IA1011">
        <v>0</v>
      </c>
      <c r="IB1011">
        <v>0</v>
      </c>
      <c r="IC1011">
        <v>594.4</v>
      </c>
      <c r="ID1011">
        <v>427.4</v>
      </c>
      <c r="IE1011">
        <v>713.3</v>
      </c>
      <c r="IF1011">
        <v>626.1</v>
      </c>
      <c r="IG1011">
        <v>0</v>
      </c>
      <c r="IH1011">
        <v>0</v>
      </c>
      <c r="II1011">
        <v>995.7</v>
      </c>
      <c r="IJ1011">
        <v>1156.5999999999999</v>
      </c>
      <c r="IK1011">
        <v>864.6</v>
      </c>
      <c r="IL1011">
        <v>316.5</v>
      </c>
      <c r="IM1011">
        <v>101.5</v>
      </c>
      <c r="IN1011">
        <v>71.8</v>
      </c>
      <c r="IO1011">
        <v>0</v>
      </c>
      <c r="IP1011">
        <v>0</v>
      </c>
      <c r="IQ1011">
        <v>0</v>
      </c>
      <c r="IR1011">
        <v>0</v>
      </c>
      <c r="IS1011">
        <v>0</v>
      </c>
      <c r="IT1011">
        <v>0</v>
      </c>
      <c r="IU1011">
        <v>0</v>
      </c>
      <c r="IV1011">
        <v>0</v>
      </c>
      <c r="IW1011">
        <v>68</v>
      </c>
      <c r="IX1011">
        <v>404.7</v>
      </c>
      <c r="IY1011">
        <v>126.6</v>
      </c>
      <c r="IZ1011">
        <v>126.6</v>
      </c>
      <c r="JA1011">
        <v>503.7</v>
      </c>
      <c r="JB1011">
        <v>570.1</v>
      </c>
      <c r="JC1011">
        <v>328.3</v>
      </c>
      <c r="JD1011">
        <v>0</v>
      </c>
      <c r="JE1011">
        <v>0</v>
      </c>
      <c r="JF1011">
        <v>0</v>
      </c>
      <c r="JG1011">
        <v>0</v>
      </c>
      <c r="JH1011">
        <v>287.3</v>
      </c>
      <c r="JI1011">
        <v>68.2</v>
      </c>
      <c r="JJ1011">
        <v>0</v>
      </c>
      <c r="JK1011">
        <v>148.6</v>
      </c>
      <c r="JL1011">
        <v>0</v>
      </c>
      <c r="JM1011">
        <v>0</v>
      </c>
      <c r="JN1011">
        <v>204.5</v>
      </c>
      <c r="JO1011">
        <v>292.10000000000002</v>
      </c>
      <c r="JP1011">
        <v>670.8</v>
      </c>
      <c r="JQ1011">
        <v>745.2</v>
      </c>
      <c r="JR1011">
        <v>242.9</v>
      </c>
    </row>
    <row r="1012" spans="2:278" ht="18" thickBot="1">
      <c r="B1012" s="533"/>
      <c r="C1012" s="521"/>
      <c r="D1012" s="533"/>
      <c r="E1012" s="454">
        <v>22829.8</v>
      </c>
      <c r="F1012">
        <v>20193.400000000001</v>
      </c>
      <c r="G1012" s="427">
        <v>0</v>
      </c>
      <c r="H1012" s="155">
        <v>0</v>
      </c>
      <c r="I1012">
        <v>0</v>
      </c>
      <c r="J1012">
        <v>0</v>
      </c>
      <c r="K1012">
        <v>0</v>
      </c>
      <c r="L1012" s="4">
        <v>0</v>
      </c>
      <c r="M1012" s="4">
        <v>0</v>
      </c>
      <c r="N1012" s="4">
        <v>0</v>
      </c>
      <c r="O1012" s="4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1476.4</v>
      </c>
      <c r="X1012">
        <v>1482</v>
      </c>
      <c r="Y1012">
        <v>457.20000000000005</v>
      </c>
      <c r="Z1012">
        <v>0</v>
      </c>
      <c r="AA1012">
        <v>0</v>
      </c>
      <c r="AB1012">
        <v>0</v>
      </c>
      <c r="AC1012">
        <v>0</v>
      </c>
      <c r="AD1012">
        <v>3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1828.6</v>
      </c>
      <c r="AK1012">
        <v>1800.7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560.70000000000005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0</v>
      </c>
      <c r="BU1012">
        <v>0</v>
      </c>
      <c r="BV1012">
        <v>0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  <c r="CF1012">
        <v>0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  <c r="CN1012">
        <v>0</v>
      </c>
      <c r="CO1012">
        <v>0</v>
      </c>
      <c r="CP1012">
        <v>3.5</v>
      </c>
      <c r="CQ1012">
        <v>0</v>
      </c>
      <c r="CR1012">
        <v>528</v>
      </c>
      <c r="CS1012">
        <v>581.79999999999995</v>
      </c>
      <c r="CT1012">
        <v>555.40000000000009</v>
      </c>
      <c r="CU1012">
        <v>737.4</v>
      </c>
      <c r="CV1012">
        <v>1039.0999999999999</v>
      </c>
      <c r="CW1012">
        <v>1667.3</v>
      </c>
      <c r="CX1012">
        <v>877.6</v>
      </c>
      <c r="CY1012">
        <v>910.40000000000009</v>
      </c>
      <c r="CZ1012">
        <v>0</v>
      </c>
      <c r="DA1012">
        <v>0</v>
      </c>
      <c r="DB1012">
        <v>0</v>
      </c>
      <c r="DC1012">
        <v>0</v>
      </c>
      <c r="DD1012">
        <v>0</v>
      </c>
      <c r="DE1012">
        <v>0</v>
      </c>
      <c r="DF1012">
        <v>0</v>
      </c>
      <c r="DG1012">
        <v>0</v>
      </c>
      <c r="DH1012">
        <v>0</v>
      </c>
      <c r="DI1012">
        <v>0</v>
      </c>
      <c r="DJ1012">
        <v>0</v>
      </c>
      <c r="DK1012">
        <v>0</v>
      </c>
      <c r="DL1012">
        <v>995.5</v>
      </c>
      <c r="DM1012">
        <v>712.7</v>
      </c>
      <c r="DN1012">
        <v>0</v>
      </c>
      <c r="DO1012">
        <v>0</v>
      </c>
      <c r="DP1012">
        <v>0</v>
      </c>
      <c r="DQ1012">
        <v>0</v>
      </c>
      <c r="DR1012">
        <v>0</v>
      </c>
      <c r="DS1012">
        <v>0</v>
      </c>
      <c r="DT1012">
        <v>0</v>
      </c>
      <c r="DU1012">
        <v>0</v>
      </c>
      <c r="DV1012">
        <v>0</v>
      </c>
      <c r="DW1012">
        <v>0</v>
      </c>
      <c r="DX1012">
        <v>0</v>
      </c>
      <c r="DY1012">
        <v>0</v>
      </c>
      <c r="DZ1012">
        <v>0</v>
      </c>
      <c r="EA1012">
        <v>0</v>
      </c>
      <c r="EB1012">
        <v>0</v>
      </c>
      <c r="EC1012">
        <v>0</v>
      </c>
      <c r="ED1012">
        <v>0</v>
      </c>
      <c r="EE1012">
        <v>0</v>
      </c>
      <c r="EF1012">
        <v>0</v>
      </c>
      <c r="EG1012">
        <v>0</v>
      </c>
      <c r="EH1012">
        <v>0</v>
      </c>
      <c r="EI1012">
        <v>0</v>
      </c>
      <c r="EJ1012">
        <v>0</v>
      </c>
      <c r="EK1012">
        <v>0</v>
      </c>
      <c r="EL1012">
        <v>0</v>
      </c>
      <c r="EM1012">
        <v>0</v>
      </c>
      <c r="EN1012">
        <v>27.4</v>
      </c>
      <c r="EO1012">
        <v>0</v>
      </c>
      <c r="EP1012">
        <v>1002.5</v>
      </c>
      <c r="EQ1012">
        <v>0</v>
      </c>
      <c r="ER1012">
        <v>494</v>
      </c>
      <c r="ES1012">
        <v>0</v>
      </c>
      <c r="ET1012">
        <v>699.3</v>
      </c>
      <c r="EU1012">
        <v>435.4</v>
      </c>
      <c r="EV1012">
        <v>0</v>
      </c>
      <c r="EW1012">
        <v>0</v>
      </c>
      <c r="EX1012">
        <v>0</v>
      </c>
      <c r="EY1012">
        <v>0</v>
      </c>
      <c r="EZ1012">
        <v>0</v>
      </c>
      <c r="FA1012">
        <v>0</v>
      </c>
      <c r="FB1012">
        <v>0</v>
      </c>
      <c r="FC1012">
        <v>0</v>
      </c>
      <c r="FD1012">
        <v>95.6</v>
      </c>
      <c r="FE1012">
        <v>1792.1</v>
      </c>
      <c r="FF1012">
        <v>1740.1999999999998</v>
      </c>
      <c r="FG1012">
        <v>954.9</v>
      </c>
      <c r="FH1012">
        <v>1087.8000000000002</v>
      </c>
      <c r="FI1012">
        <v>1892.1</v>
      </c>
      <c r="FJ1012">
        <v>1222.5</v>
      </c>
      <c r="FK1012">
        <v>678.3</v>
      </c>
      <c r="FL1012">
        <v>639.1</v>
      </c>
      <c r="FM1012">
        <v>520.5</v>
      </c>
      <c r="FN1012">
        <v>123.8</v>
      </c>
      <c r="FO1012">
        <v>181.6</v>
      </c>
      <c r="FP1012">
        <v>1090.5</v>
      </c>
      <c r="FQ1012">
        <v>0</v>
      </c>
      <c r="FR1012">
        <v>0</v>
      </c>
      <c r="FS1012">
        <v>0</v>
      </c>
      <c r="FT1012">
        <v>0</v>
      </c>
      <c r="FU1012">
        <v>0</v>
      </c>
      <c r="FV1012">
        <v>0</v>
      </c>
      <c r="FW1012">
        <v>0</v>
      </c>
      <c r="FX1012">
        <v>0</v>
      </c>
      <c r="FY1012">
        <v>0</v>
      </c>
      <c r="FZ1012">
        <v>0</v>
      </c>
      <c r="GA1012">
        <v>0</v>
      </c>
      <c r="GB1012">
        <v>0</v>
      </c>
      <c r="GC1012">
        <v>0</v>
      </c>
      <c r="GD1012">
        <v>0</v>
      </c>
      <c r="GE1012">
        <v>0</v>
      </c>
      <c r="GF1012">
        <v>198.3</v>
      </c>
      <c r="GG1012">
        <v>1054.4000000000001</v>
      </c>
      <c r="GH1012">
        <v>552.79999999999995</v>
      </c>
      <c r="GI1012">
        <v>522</v>
      </c>
      <c r="GJ1012">
        <v>0</v>
      </c>
      <c r="GK1012">
        <v>0</v>
      </c>
      <c r="GL1012">
        <v>0</v>
      </c>
      <c r="GM1012">
        <v>0</v>
      </c>
      <c r="GN1012">
        <v>791.40000000000009</v>
      </c>
      <c r="GO1012">
        <v>1816.5</v>
      </c>
      <c r="GP1012">
        <v>0</v>
      </c>
      <c r="GQ1012">
        <v>0</v>
      </c>
      <c r="GR1012">
        <v>0</v>
      </c>
      <c r="GS1012">
        <v>0</v>
      </c>
      <c r="GT1012">
        <v>0</v>
      </c>
      <c r="GU1012">
        <v>0</v>
      </c>
      <c r="GV1012">
        <v>0</v>
      </c>
      <c r="GW1012">
        <v>0</v>
      </c>
      <c r="GX1012">
        <v>0</v>
      </c>
      <c r="GY1012">
        <v>840.3</v>
      </c>
      <c r="GZ1012">
        <v>0</v>
      </c>
      <c r="HA1012">
        <v>0</v>
      </c>
      <c r="HB1012">
        <v>0</v>
      </c>
      <c r="HC1012">
        <v>380.4</v>
      </c>
      <c r="HD1012">
        <v>2175.5</v>
      </c>
      <c r="HE1012">
        <v>0</v>
      </c>
      <c r="HF1012">
        <v>0</v>
      </c>
      <c r="HG1012">
        <v>0</v>
      </c>
      <c r="HH1012">
        <v>0</v>
      </c>
      <c r="HI1012">
        <v>0</v>
      </c>
      <c r="HJ1012">
        <v>803.40000000000009</v>
      </c>
      <c r="HK1012">
        <v>1270.9000000000001</v>
      </c>
      <c r="HL1012">
        <v>835.7</v>
      </c>
      <c r="HM1012">
        <v>1162.5999999999999</v>
      </c>
      <c r="HN1012">
        <v>0</v>
      </c>
      <c r="HO1012">
        <v>0</v>
      </c>
      <c r="HP1012">
        <v>0</v>
      </c>
      <c r="HQ1012">
        <v>0</v>
      </c>
      <c r="HR1012">
        <v>161.19999999999999</v>
      </c>
      <c r="HS1012">
        <v>0</v>
      </c>
      <c r="HT1012">
        <v>2048.5</v>
      </c>
      <c r="HU1012">
        <v>2627.5</v>
      </c>
      <c r="HV1012">
        <v>1168.5999999999999</v>
      </c>
      <c r="HW1012">
        <v>388</v>
      </c>
      <c r="HX1012">
        <v>0</v>
      </c>
      <c r="HY1012">
        <v>0</v>
      </c>
      <c r="HZ1012">
        <v>0</v>
      </c>
      <c r="IA1012">
        <v>0</v>
      </c>
      <c r="IB1012">
        <v>0</v>
      </c>
      <c r="IC1012">
        <v>594.4</v>
      </c>
      <c r="ID1012">
        <v>427.4</v>
      </c>
      <c r="IE1012">
        <v>713.3</v>
      </c>
      <c r="IF1012">
        <v>626.1</v>
      </c>
      <c r="IG1012">
        <v>0</v>
      </c>
      <c r="IH1012">
        <v>0</v>
      </c>
      <c r="II1012">
        <v>995.7</v>
      </c>
      <c r="IJ1012">
        <v>1156.5999999999999</v>
      </c>
      <c r="IK1012">
        <v>864.6</v>
      </c>
      <c r="IL1012">
        <v>316.5</v>
      </c>
      <c r="IM1012">
        <v>101.5</v>
      </c>
      <c r="IN1012">
        <v>71.8</v>
      </c>
      <c r="IO1012">
        <v>0</v>
      </c>
      <c r="IP1012">
        <v>0</v>
      </c>
      <c r="IQ1012">
        <v>0</v>
      </c>
      <c r="IR1012">
        <v>0</v>
      </c>
      <c r="IS1012">
        <v>0</v>
      </c>
      <c r="IT1012">
        <v>0</v>
      </c>
      <c r="IU1012">
        <v>0</v>
      </c>
      <c r="IV1012">
        <v>0</v>
      </c>
      <c r="IW1012">
        <v>68</v>
      </c>
      <c r="IX1012">
        <v>404.7</v>
      </c>
      <c r="IY1012">
        <v>126.6</v>
      </c>
      <c r="IZ1012">
        <v>126.6</v>
      </c>
      <c r="JA1012">
        <v>503.7</v>
      </c>
      <c r="JB1012">
        <v>570.1</v>
      </c>
      <c r="JC1012">
        <v>328.3</v>
      </c>
      <c r="JD1012">
        <v>0</v>
      </c>
      <c r="JE1012">
        <v>0</v>
      </c>
      <c r="JF1012">
        <v>0</v>
      </c>
      <c r="JG1012">
        <v>0</v>
      </c>
      <c r="JH1012">
        <v>287.3</v>
      </c>
      <c r="JI1012">
        <v>68.2</v>
      </c>
      <c r="JJ1012">
        <v>0</v>
      </c>
      <c r="JK1012">
        <v>148.6</v>
      </c>
      <c r="JL1012">
        <v>0</v>
      </c>
      <c r="JM1012">
        <v>0</v>
      </c>
      <c r="JN1012">
        <v>204.5</v>
      </c>
      <c r="JO1012">
        <v>292.10000000000002</v>
      </c>
      <c r="JP1012">
        <v>670.8</v>
      </c>
      <c r="JQ1012">
        <v>745.2</v>
      </c>
      <c r="JR1012">
        <v>242.9</v>
      </c>
    </row>
    <row r="1013" spans="2:278" ht="18" thickBot="1">
      <c r="B1013" s="371" t="s">
        <v>339</v>
      </c>
      <c r="C1013" s="386"/>
      <c r="D1013" s="386"/>
      <c r="E1013" s="454">
        <v>22829.8</v>
      </c>
      <c r="F1013">
        <v>20193.400000000001</v>
      </c>
      <c r="G1013" s="427">
        <v>0</v>
      </c>
      <c r="H1013" s="155">
        <v>0</v>
      </c>
      <c r="I1013">
        <v>0</v>
      </c>
      <c r="J1013">
        <v>0</v>
      </c>
      <c r="K1013">
        <v>0</v>
      </c>
      <c r="L1013" s="4">
        <v>0</v>
      </c>
      <c r="M1013" s="4">
        <v>0</v>
      </c>
      <c r="N1013" s="4">
        <v>0</v>
      </c>
      <c r="O1013" s="4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1476.4</v>
      </c>
      <c r="X1013">
        <v>1482</v>
      </c>
      <c r="Y1013">
        <v>457.20000000000005</v>
      </c>
      <c r="Z1013">
        <v>0</v>
      </c>
      <c r="AA1013">
        <v>0</v>
      </c>
      <c r="AB1013">
        <v>0</v>
      </c>
      <c r="AC1013">
        <v>0</v>
      </c>
      <c r="AD1013">
        <v>3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1828.6</v>
      </c>
      <c r="AK1013">
        <v>1800.7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560.70000000000005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  <c r="CF1013">
        <v>0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  <c r="CN1013">
        <v>0</v>
      </c>
      <c r="CO1013">
        <v>0</v>
      </c>
      <c r="CP1013">
        <v>3.5</v>
      </c>
      <c r="CQ1013">
        <v>0</v>
      </c>
      <c r="CR1013">
        <v>528</v>
      </c>
      <c r="CS1013">
        <v>581.79999999999995</v>
      </c>
      <c r="CT1013">
        <v>555.40000000000009</v>
      </c>
      <c r="CU1013">
        <v>737.4</v>
      </c>
      <c r="CV1013">
        <v>1039.0999999999999</v>
      </c>
      <c r="CW1013">
        <v>1667.3</v>
      </c>
      <c r="CX1013">
        <v>877.6</v>
      </c>
      <c r="CY1013">
        <v>910.40000000000009</v>
      </c>
      <c r="CZ1013">
        <v>0</v>
      </c>
      <c r="DA1013">
        <v>0</v>
      </c>
      <c r="DB1013">
        <v>0</v>
      </c>
      <c r="DC1013">
        <v>0</v>
      </c>
      <c r="DD1013">
        <v>0</v>
      </c>
      <c r="DE1013">
        <v>0</v>
      </c>
      <c r="DF1013">
        <v>0</v>
      </c>
      <c r="DG1013">
        <v>0</v>
      </c>
      <c r="DH1013">
        <v>0</v>
      </c>
      <c r="DI1013">
        <v>0</v>
      </c>
      <c r="DJ1013">
        <v>0</v>
      </c>
      <c r="DK1013">
        <v>0</v>
      </c>
      <c r="DL1013">
        <v>995.5</v>
      </c>
      <c r="DM1013">
        <v>712.7</v>
      </c>
      <c r="DN1013">
        <v>0</v>
      </c>
      <c r="DO1013">
        <v>0</v>
      </c>
      <c r="DP1013">
        <v>0</v>
      </c>
      <c r="DQ1013">
        <v>0</v>
      </c>
      <c r="DR1013">
        <v>0</v>
      </c>
      <c r="DS1013">
        <v>0</v>
      </c>
      <c r="DT1013">
        <v>0</v>
      </c>
      <c r="DU1013">
        <v>0</v>
      </c>
      <c r="DV1013">
        <v>0</v>
      </c>
      <c r="DW1013">
        <v>0</v>
      </c>
      <c r="DX1013">
        <v>0</v>
      </c>
      <c r="DY1013">
        <v>0</v>
      </c>
      <c r="DZ1013">
        <v>0</v>
      </c>
      <c r="EA1013">
        <v>0</v>
      </c>
      <c r="EB1013">
        <v>0</v>
      </c>
      <c r="EC1013">
        <v>0</v>
      </c>
      <c r="ED1013">
        <v>0</v>
      </c>
      <c r="EE1013">
        <v>0</v>
      </c>
      <c r="EF1013">
        <v>0</v>
      </c>
      <c r="EG1013">
        <v>0</v>
      </c>
      <c r="EH1013">
        <v>0</v>
      </c>
      <c r="EI1013">
        <v>0</v>
      </c>
      <c r="EJ1013">
        <v>0</v>
      </c>
      <c r="EK1013">
        <v>0</v>
      </c>
      <c r="EL1013">
        <v>0</v>
      </c>
      <c r="EM1013">
        <v>0</v>
      </c>
      <c r="EN1013">
        <v>27.4</v>
      </c>
      <c r="EO1013">
        <v>0</v>
      </c>
      <c r="EP1013">
        <v>1002.5</v>
      </c>
      <c r="EQ1013">
        <v>0</v>
      </c>
      <c r="ER1013">
        <v>494</v>
      </c>
      <c r="ES1013">
        <v>0</v>
      </c>
      <c r="ET1013">
        <v>699.3</v>
      </c>
      <c r="EU1013">
        <v>435.4</v>
      </c>
      <c r="EV1013">
        <v>0</v>
      </c>
      <c r="EW1013">
        <v>0</v>
      </c>
      <c r="EX1013">
        <v>0</v>
      </c>
      <c r="EY1013">
        <v>0</v>
      </c>
      <c r="EZ1013">
        <v>0</v>
      </c>
      <c r="FA1013">
        <v>0</v>
      </c>
      <c r="FB1013">
        <v>0</v>
      </c>
      <c r="FC1013">
        <v>0</v>
      </c>
      <c r="FD1013">
        <v>95.6</v>
      </c>
      <c r="FE1013">
        <v>1792.1</v>
      </c>
      <c r="FF1013">
        <v>1740.1999999999998</v>
      </c>
      <c r="FG1013">
        <v>954.9</v>
      </c>
      <c r="FH1013">
        <v>1087.8000000000002</v>
      </c>
      <c r="FI1013">
        <v>1892.1</v>
      </c>
      <c r="FJ1013">
        <v>1222.5</v>
      </c>
      <c r="FK1013">
        <v>678.3</v>
      </c>
      <c r="FL1013">
        <v>639.1</v>
      </c>
      <c r="FM1013">
        <v>520.5</v>
      </c>
      <c r="FN1013">
        <v>123.8</v>
      </c>
      <c r="FO1013">
        <v>181.6</v>
      </c>
      <c r="FP1013">
        <v>1090.5</v>
      </c>
      <c r="FQ1013">
        <v>0</v>
      </c>
      <c r="FR1013">
        <v>0</v>
      </c>
      <c r="FS1013">
        <v>0</v>
      </c>
      <c r="FT1013">
        <v>0</v>
      </c>
      <c r="FU1013">
        <v>0</v>
      </c>
      <c r="FV1013">
        <v>0</v>
      </c>
      <c r="FW1013">
        <v>0</v>
      </c>
      <c r="FX1013">
        <v>0</v>
      </c>
      <c r="FY1013">
        <v>0</v>
      </c>
      <c r="FZ1013">
        <v>0</v>
      </c>
      <c r="GA1013">
        <v>0</v>
      </c>
      <c r="GB1013">
        <v>0</v>
      </c>
      <c r="GC1013">
        <v>0</v>
      </c>
      <c r="GD1013">
        <v>0</v>
      </c>
      <c r="GE1013">
        <v>0</v>
      </c>
      <c r="GF1013">
        <v>198.3</v>
      </c>
      <c r="GG1013">
        <v>1054.4000000000001</v>
      </c>
      <c r="GH1013">
        <v>552.79999999999995</v>
      </c>
      <c r="GI1013">
        <v>522</v>
      </c>
      <c r="GJ1013">
        <v>0</v>
      </c>
      <c r="GK1013">
        <v>0</v>
      </c>
      <c r="GL1013">
        <v>0</v>
      </c>
      <c r="GM1013">
        <v>0</v>
      </c>
      <c r="GN1013">
        <v>791.40000000000009</v>
      </c>
      <c r="GO1013">
        <v>1816.5</v>
      </c>
      <c r="GP1013">
        <v>0</v>
      </c>
      <c r="GQ1013">
        <v>0</v>
      </c>
      <c r="GR1013">
        <v>0</v>
      </c>
      <c r="GS1013">
        <v>0</v>
      </c>
      <c r="GT1013">
        <v>0</v>
      </c>
      <c r="GU1013">
        <v>0</v>
      </c>
      <c r="GV1013">
        <v>0</v>
      </c>
      <c r="GW1013">
        <v>0</v>
      </c>
      <c r="GX1013">
        <v>0</v>
      </c>
      <c r="GY1013">
        <v>840.3</v>
      </c>
      <c r="GZ1013">
        <v>0</v>
      </c>
      <c r="HA1013">
        <v>0</v>
      </c>
      <c r="HB1013">
        <v>0</v>
      </c>
      <c r="HC1013">
        <v>380.4</v>
      </c>
      <c r="HD1013">
        <v>2175.5</v>
      </c>
      <c r="HE1013">
        <v>0</v>
      </c>
      <c r="HF1013">
        <v>0</v>
      </c>
      <c r="HG1013">
        <v>0</v>
      </c>
      <c r="HH1013">
        <v>0</v>
      </c>
      <c r="HI1013">
        <v>0</v>
      </c>
      <c r="HJ1013">
        <v>803.40000000000009</v>
      </c>
      <c r="HK1013">
        <v>1270.9000000000001</v>
      </c>
      <c r="HL1013">
        <v>835.7</v>
      </c>
      <c r="HM1013">
        <v>1162.5999999999999</v>
      </c>
      <c r="HN1013">
        <v>0</v>
      </c>
      <c r="HO1013">
        <v>0</v>
      </c>
      <c r="HP1013">
        <v>0</v>
      </c>
      <c r="HQ1013">
        <v>0</v>
      </c>
      <c r="HR1013">
        <v>161.19999999999999</v>
      </c>
      <c r="HS1013">
        <v>0</v>
      </c>
      <c r="HT1013">
        <v>2048.5</v>
      </c>
      <c r="HU1013">
        <v>2627.5</v>
      </c>
      <c r="HV1013">
        <v>1168.5999999999999</v>
      </c>
      <c r="HW1013">
        <v>388</v>
      </c>
      <c r="HX1013">
        <v>0</v>
      </c>
      <c r="HY1013">
        <v>0</v>
      </c>
      <c r="HZ1013">
        <v>0</v>
      </c>
      <c r="IA1013">
        <v>0</v>
      </c>
      <c r="IB1013">
        <v>0</v>
      </c>
      <c r="IC1013">
        <v>594.4</v>
      </c>
      <c r="ID1013">
        <v>427.4</v>
      </c>
      <c r="IE1013">
        <v>713.3</v>
      </c>
      <c r="IF1013">
        <v>626.1</v>
      </c>
      <c r="IG1013">
        <v>0</v>
      </c>
      <c r="IH1013">
        <v>0</v>
      </c>
      <c r="II1013">
        <v>995.7</v>
      </c>
      <c r="IJ1013">
        <v>1156.5999999999999</v>
      </c>
      <c r="IK1013">
        <v>864.6</v>
      </c>
      <c r="IL1013">
        <v>316.5</v>
      </c>
      <c r="IM1013">
        <v>101.5</v>
      </c>
      <c r="IN1013">
        <v>71.8</v>
      </c>
      <c r="IO1013">
        <v>0</v>
      </c>
      <c r="IP1013">
        <v>0</v>
      </c>
      <c r="IQ1013">
        <v>0</v>
      </c>
      <c r="IR1013">
        <v>0</v>
      </c>
      <c r="IS1013">
        <v>0</v>
      </c>
      <c r="IT1013">
        <v>0</v>
      </c>
      <c r="IU1013">
        <v>0</v>
      </c>
      <c r="IV1013">
        <v>0</v>
      </c>
      <c r="IW1013">
        <v>68</v>
      </c>
      <c r="IX1013">
        <v>404.7</v>
      </c>
      <c r="IY1013">
        <v>126.6</v>
      </c>
      <c r="IZ1013">
        <v>126.6</v>
      </c>
      <c r="JA1013">
        <v>503.7</v>
      </c>
      <c r="JB1013">
        <v>570.1</v>
      </c>
      <c r="JC1013">
        <v>328.3</v>
      </c>
      <c r="JD1013">
        <v>0</v>
      </c>
      <c r="JE1013">
        <v>0</v>
      </c>
      <c r="JF1013">
        <v>0</v>
      </c>
      <c r="JG1013">
        <v>0</v>
      </c>
      <c r="JH1013">
        <v>287.3</v>
      </c>
      <c r="JI1013">
        <v>68.2</v>
      </c>
      <c r="JJ1013">
        <v>0</v>
      </c>
      <c r="JK1013">
        <v>148.6</v>
      </c>
      <c r="JL1013">
        <v>0</v>
      </c>
      <c r="JM1013">
        <v>0</v>
      </c>
      <c r="JN1013">
        <v>204.5</v>
      </c>
      <c r="JO1013">
        <v>292.10000000000002</v>
      </c>
      <c r="JP1013">
        <v>670.8</v>
      </c>
      <c r="JQ1013">
        <v>745.2</v>
      </c>
      <c r="JR1013">
        <v>242.9</v>
      </c>
    </row>
    <row r="1014" spans="2:278" ht="18" thickBot="1">
      <c r="B1014" s="368" t="s">
        <v>599</v>
      </c>
      <c r="C1014" s="423" t="s">
        <v>1668</v>
      </c>
      <c r="D1014" s="368" t="s">
        <v>1387</v>
      </c>
      <c r="E1014" s="454">
        <v>22829.8</v>
      </c>
      <c r="F1014">
        <v>20193.400000000001</v>
      </c>
      <c r="G1014" s="427">
        <v>0</v>
      </c>
      <c r="H1014" s="155">
        <v>0</v>
      </c>
      <c r="I1014">
        <v>0</v>
      </c>
      <c r="J1014">
        <v>0</v>
      </c>
      <c r="K1014">
        <v>0</v>
      </c>
      <c r="L1014" s="4">
        <v>0</v>
      </c>
      <c r="M1014" s="4">
        <v>0</v>
      </c>
      <c r="N1014" s="4">
        <v>0</v>
      </c>
      <c r="O1014" s="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1476.4</v>
      </c>
      <c r="X1014">
        <v>1482</v>
      </c>
      <c r="Y1014">
        <v>457.20000000000005</v>
      </c>
      <c r="Z1014">
        <v>0</v>
      </c>
      <c r="AA1014">
        <v>0</v>
      </c>
      <c r="AB1014">
        <v>0</v>
      </c>
      <c r="AC1014">
        <v>0</v>
      </c>
      <c r="AD1014">
        <v>3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1828.6</v>
      </c>
      <c r="AK1014">
        <v>1800.7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560.70000000000005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0</v>
      </c>
      <c r="BV1014">
        <v>0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  <c r="CF1014">
        <v>0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  <c r="CN1014">
        <v>0</v>
      </c>
      <c r="CO1014">
        <v>0</v>
      </c>
      <c r="CP1014">
        <v>3.5</v>
      </c>
      <c r="CQ1014">
        <v>0</v>
      </c>
      <c r="CR1014">
        <v>528</v>
      </c>
      <c r="CS1014">
        <v>581.79999999999995</v>
      </c>
      <c r="CT1014">
        <v>555.40000000000009</v>
      </c>
      <c r="CU1014">
        <v>737.4</v>
      </c>
      <c r="CV1014">
        <v>1039.0999999999999</v>
      </c>
      <c r="CW1014">
        <v>1667.3</v>
      </c>
      <c r="CX1014">
        <v>877.6</v>
      </c>
      <c r="CY1014">
        <v>910.40000000000009</v>
      </c>
      <c r="CZ1014">
        <v>0</v>
      </c>
      <c r="DA1014">
        <v>0</v>
      </c>
      <c r="DB1014">
        <v>0</v>
      </c>
      <c r="DC1014">
        <v>0</v>
      </c>
      <c r="DD1014">
        <v>0</v>
      </c>
      <c r="DE1014">
        <v>0</v>
      </c>
      <c r="DF1014">
        <v>0</v>
      </c>
      <c r="DG1014">
        <v>0</v>
      </c>
      <c r="DH1014">
        <v>0</v>
      </c>
      <c r="DI1014">
        <v>0</v>
      </c>
      <c r="DJ1014">
        <v>0</v>
      </c>
      <c r="DK1014">
        <v>0</v>
      </c>
      <c r="DL1014">
        <v>995.5</v>
      </c>
      <c r="DM1014">
        <v>712.7</v>
      </c>
      <c r="DN1014">
        <v>0</v>
      </c>
      <c r="DO1014">
        <v>0</v>
      </c>
      <c r="DP1014">
        <v>0</v>
      </c>
      <c r="DQ1014">
        <v>0</v>
      </c>
      <c r="DR1014">
        <v>0</v>
      </c>
      <c r="DS1014">
        <v>0</v>
      </c>
      <c r="DT1014">
        <v>0</v>
      </c>
      <c r="DU1014">
        <v>0</v>
      </c>
      <c r="DV1014">
        <v>0</v>
      </c>
      <c r="DW1014">
        <v>0</v>
      </c>
      <c r="DX1014">
        <v>0</v>
      </c>
      <c r="DY1014">
        <v>0</v>
      </c>
      <c r="DZ1014">
        <v>0</v>
      </c>
      <c r="EA1014">
        <v>0</v>
      </c>
      <c r="EB1014">
        <v>0</v>
      </c>
      <c r="EC1014">
        <v>0</v>
      </c>
      <c r="ED1014">
        <v>0</v>
      </c>
      <c r="EE1014">
        <v>0</v>
      </c>
      <c r="EF1014">
        <v>0</v>
      </c>
      <c r="EG1014">
        <v>0</v>
      </c>
      <c r="EH1014">
        <v>0</v>
      </c>
      <c r="EI1014">
        <v>0</v>
      </c>
      <c r="EJ1014">
        <v>0</v>
      </c>
      <c r="EK1014">
        <v>0</v>
      </c>
      <c r="EL1014">
        <v>0</v>
      </c>
      <c r="EM1014">
        <v>0</v>
      </c>
      <c r="EN1014">
        <v>27.4</v>
      </c>
      <c r="EO1014">
        <v>0</v>
      </c>
      <c r="EP1014">
        <v>1002.5</v>
      </c>
      <c r="EQ1014">
        <v>0</v>
      </c>
      <c r="ER1014">
        <v>494</v>
      </c>
      <c r="ES1014">
        <v>0</v>
      </c>
      <c r="ET1014">
        <v>699.3</v>
      </c>
      <c r="EU1014">
        <v>435.4</v>
      </c>
      <c r="EV1014">
        <v>0</v>
      </c>
      <c r="EW1014">
        <v>0</v>
      </c>
      <c r="EX1014">
        <v>0</v>
      </c>
      <c r="EY1014">
        <v>0</v>
      </c>
      <c r="EZ1014">
        <v>0</v>
      </c>
      <c r="FA1014">
        <v>0</v>
      </c>
      <c r="FB1014">
        <v>0</v>
      </c>
      <c r="FC1014">
        <v>0</v>
      </c>
      <c r="FD1014">
        <v>95.6</v>
      </c>
      <c r="FE1014">
        <v>1792.1</v>
      </c>
      <c r="FF1014">
        <v>1740.1999999999998</v>
      </c>
      <c r="FG1014">
        <v>954.9</v>
      </c>
      <c r="FH1014">
        <v>1087.8000000000002</v>
      </c>
      <c r="FI1014">
        <v>1892.1</v>
      </c>
      <c r="FJ1014">
        <v>1222.5</v>
      </c>
      <c r="FK1014">
        <v>678.3</v>
      </c>
      <c r="FL1014">
        <v>639.1</v>
      </c>
      <c r="FM1014">
        <v>520.5</v>
      </c>
      <c r="FN1014">
        <v>123.8</v>
      </c>
      <c r="FO1014">
        <v>181.6</v>
      </c>
      <c r="FP1014">
        <v>1090.5</v>
      </c>
      <c r="FQ1014">
        <v>0</v>
      </c>
      <c r="FR1014">
        <v>0</v>
      </c>
      <c r="FS1014">
        <v>0</v>
      </c>
      <c r="FT1014">
        <v>0</v>
      </c>
      <c r="FU1014">
        <v>0</v>
      </c>
      <c r="FV1014">
        <v>0</v>
      </c>
      <c r="FW1014">
        <v>0</v>
      </c>
      <c r="FX1014">
        <v>0</v>
      </c>
      <c r="FY1014">
        <v>0</v>
      </c>
      <c r="FZ1014">
        <v>0</v>
      </c>
      <c r="GA1014">
        <v>0</v>
      </c>
      <c r="GB1014">
        <v>0</v>
      </c>
      <c r="GC1014">
        <v>0</v>
      </c>
      <c r="GD1014">
        <v>0</v>
      </c>
      <c r="GE1014">
        <v>0</v>
      </c>
      <c r="GF1014">
        <v>198.3</v>
      </c>
      <c r="GG1014">
        <v>1054.4000000000001</v>
      </c>
      <c r="GH1014">
        <v>552.79999999999995</v>
      </c>
      <c r="GI1014">
        <v>522</v>
      </c>
      <c r="GJ1014">
        <v>0</v>
      </c>
      <c r="GK1014">
        <v>0</v>
      </c>
      <c r="GL1014">
        <v>0</v>
      </c>
      <c r="GM1014">
        <v>0</v>
      </c>
      <c r="GN1014">
        <v>791.40000000000009</v>
      </c>
      <c r="GO1014">
        <v>1816.5</v>
      </c>
      <c r="GP1014">
        <v>0</v>
      </c>
      <c r="GQ1014">
        <v>0</v>
      </c>
      <c r="GR1014">
        <v>0</v>
      </c>
      <c r="GS1014">
        <v>0</v>
      </c>
      <c r="GT1014">
        <v>0</v>
      </c>
      <c r="GU1014">
        <v>0</v>
      </c>
      <c r="GV1014">
        <v>0</v>
      </c>
      <c r="GW1014">
        <v>0</v>
      </c>
      <c r="GX1014">
        <v>0</v>
      </c>
      <c r="GY1014">
        <v>840.3</v>
      </c>
      <c r="GZ1014">
        <v>0</v>
      </c>
      <c r="HA1014">
        <v>0</v>
      </c>
      <c r="HB1014">
        <v>0</v>
      </c>
      <c r="HC1014">
        <v>380.4</v>
      </c>
      <c r="HD1014">
        <v>2175.5</v>
      </c>
      <c r="HE1014">
        <v>0</v>
      </c>
      <c r="HF1014">
        <v>0</v>
      </c>
      <c r="HG1014">
        <v>0</v>
      </c>
      <c r="HH1014">
        <v>0</v>
      </c>
      <c r="HI1014">
        <v>0</v>
      </c>
      <c r="HJ1014">
        <v>803.40000000000009</v>
      </c>
      <c r="HK1014">
        <v>1270.9000000000001</v>
      </c>
      <c r="HL1014">
        <v>835.7</v>
      </c>
      <c r="HM1014">
        <v>1162.5999999999999</v>
      </c>
      <c r="HN1014">
        <v>0</v>
      </c>
      <c r="HO1014">
        <v>0</v>
      </c>
      <c r="HP1014">
        <v>0</v>
      </c>
      <c r="HQ1014">
        <v>0</v>
      </c>
      <c r="HR1014">
        <v>161.19999999999999</v>
      </c>
      <c r="HS1014">
        <v>0</v>
      </c>
      <c r="HT1014">
        <v>2048.5</v>
      </c>
      <c r="HU1014">
        <v>2627.5</v>
      </c>
      <c r="HV1014">
        <v>1168.5999999999999</v>
      </c>
      <c r="HW1014">
        <v>388</v>
      </c>
      <c r="HX1014">
        <v>0</v>
      </c>
      <c r="HY1014">
        <v>0</v>
      </c>
      <c r="HZ1014">
        <v>0</v>
      </c>
      <c r="IA1014">
        <v>0</v>
      </c>
      <c r="IB1014">
        <v>0</v>
      </c>
      <c r="IC1014">
        <v>594.4</v>
      </c>
      <c r="ID1014">
        <v>427.4</v>
      </c>
      <c r="IE1014">
        <v>713.3</v>
      </c>
      <c r="IF1014">
        <v>626.1</v>
      </c>
      <c r="IG1014">
        <v>0</v>
      </c>
      <c r="IH1014">
        <v>0</v>
      </c>
      <c r="II1014">
        <v>995.7</v>
      </c>
      <c r="IJ1014">
        <v>1156.5999999999999</v>
      </c>
      <c r="IK1014">
        <v>864.6</v>
      </c>
      <c r="IL1014">
        <v>316.5</v>
      </c>
      <c r="IM1014">
        <v>101.5</v>
      </c>
      <c r="IN1014">
        <v>71.8</v>
      </c>
      <c r="IO1014">
        <v>0</v>
      </c>
      <c r="IP1014">
        <v>0</v>
      </c>
      <c r="IQ1014">
        <v>0</v>
      </c>
      <c r="IR1014">
        <v>0</v>
      </c>
      <c r="IS1014">
        <v>0</v>
      </c>
      <c r="IT1014">
        <v>0</v>
      </c>
      <c r="IU1014">
        <v>0</v>
      </c>
      <c r="IV1014">
        <v>0</v>
      </c>
      <c r="IW1014">
        <v>68</v>
      </c>
      <c r="IX1014">
        <v>404.7</v>
      </c>
      <c r="IY1014">
        <v>126.6</v>
      </c>
      <c r="IZ1014">
        <v>126.6</v>
      </c>
      <c r="JA1014">
        <v>503.7</v>
      </c>
      <c r="JB1014">
        <v>570.1</v>
      </c>
      <c r="JC1014">
        <v>328.3</v>
      </c>
      <c r="JD1014">
        <v>0</v>
      </c>
      <c r="JE1014">
        <v>0</v>
      </c>
      <c r="JF1014">
        <v>0</v>
      </c>
      <c r="JG1014">
        <v>0</v>
      </c>
      <c r="JH1014">
        <v>287.3</v>
      </c>
      <c r="JI1014">
        <v>68.2</v>
      </c>
      <c r="JJ1014">
        <v>0</v>
      </c>
      <c r="JK1014">
        <v>148.6</v>
      </c>
      <c r="JL1014">
        <v>0</v>
      </c>
      <c r="JM1014">
        <v>0</v>
      </c>
      <c r="JN1014">
        <v>204.5</v>
      </c>
      <c r="JO1014">
        <v>292.10000000000002</v>
      </c>
      <c r="JP1014">
        <v>670.8</v>
      </c>
      <c r="JQ1014">
        <v>745.2</v>
      </c>
      <c r="JR1014">
        <v>242.9</v>
      </c>
    </row>
    <row r="1015" spans="2:278" ht="18" thickBot="1">
      <c r="B1015" s="368" t="s">
        <v>1359</v>
      </c>
      <c r="C1015" s="423" t="s">
        <v>1669</v>
      </c>
      <c r="D1015" s="368" t="s">
        <v>1387</v>
      </c>
      <c r="E1015" s="454">
        <v>22829.8</v>
      </c>
      <c r="F1015">
        <v>20193.400000000001</v>
      </c>
      <c r="G1015" s="427">
        <v>0</v>
      </c>
      <c r="H1015" s="155">
        <v>0</v>
      </c>
      <c r="I1015">
        <v>0</v>
      </c>
      <c r="J1015">
        <v>0</v>
      </c>
      <c r="K1015">
        <v>0</v>
      </c>
      <c r="L1015" s="4">
        <v>0</v>
      </c>
      <c r="M1015" s="4">
        <v>0</v>
      </c>
      <c r="N1015" s="4">
        <v>0</v>
      </c>
      <c r="O1015" s="4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1476.4</v>
      </c>
      <c r="X1015">
        <v>1482</v>
      </c>
      <c r="Y1015">
        <v>457.20000000000005</v>
      </c>
      <c r="Z1015">
        <v>0</v>
      </c>
      <c r="AA1015">
        <v>0</v>
      </c>
      <c r="AB1015">
        <v>0</v>
      </c>
      <c r="AC1015">
        <v>0</v>
      </c>
      <c r="AD1015">
        <v>3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1828.6</v>
      </c>
      <c r="AK1015">
        <v>1800.7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560.70000000000005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  <c r="CF1015">
        <v>0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  <c r="CN1015">
        <v>0</v>
      </c>
      <c r="CO1015">
        <v>0</v>
      </c>
      <c r="CP1015">
        <v>3.5</v>
      </c>
      <c r="CQ1015">
        <v>0</v>
      </c>
      <c r="CR1015">
        <v>528</v>
      </c>
      <c r="CS1015">
        <v>581.79999999999995</v>
      </c>
      <c r="CT1015">
        <v>555.40000000000009</v>
      </c>
      <c r="CU1015">
        <v>737.4</v>
      </c>
      <c r="CV1015">
        <v>1039.0999999999999</v>
      </c>
      <c r="CW1015">
        <v>1667.3</v>
      </c>
      <c r="CX1015">
        <v>877.6</v>
      </c>
      <c r="CY1015">
        <v>910.40000000000009</v>
      </c>
      <c r="CZ1015">
        <v>0</v>
      </c>
      <c r="DA1015">
        <v>0</v>
      </c>
      <c r="DB1015">
        <v>0</v>
      </c>
      <c r="DC1015">
        <v>0</v>
      </c>
      <c r="DD1015">
        <v>0</v>
      </c>
      <c r="DE1015">
        <v>0</v>
      </c>
      <c r="DF1015">
        <v>0</v>
      </c>
      <c r="DG1015">
        <v>0</v>
      </c>
      <c r="DH1015">
        <v>0</v>
      </c>
      <c r="DI1015">
        <v>0</v>
      </c>
      <c r="DJ1015">
        <v>0</v>
      </c>
      <c r="DK1015">
        <v>0</v>
      </c>
      <c r="DL1015">
        <v>995.5</v>
      </c>
      <c r="DM1015">
        <v>712.7</v>
      </c>
      <c r="DN1015">
        <v>0</v>
      </c>
      <c r="DO1015">
        <v>0</v>
      </c>
      <c r="DP1015">
        <v>0</v>
      </c>
      <c r="DQ1015">
        <v>0</v>
      </c>
      <c r="DR1015">
        <v>0</v>
      </c>
      <c r="DS1015">
        <v>0</v>
      </c>
      <c r="DT1015">
        <v>0</v>
      </c>
      <c r="DU1015">
        <v>0</v>
      </c>
      <c r="DV1015">
        <v>0</v>
      </c>
      <c r="DW1015">
        <v>0</v>
      </c>
      <c r="DX1015">
        <v>0</v>
      </c>
      <c r="DY1015">
        <v>0</v>
      </c>
      <c r="DZ1015">
        <v>0</v>
      </c>
      <c r="EA1015">
        <v>0</v>
      </c>
      <c r="EB1015">
        <v>0</v>
      </c>
      <c r="EC1015">
        <v>0</v>
      </c>
      <c r="ED1015">
        <v>0</v>
      </c>
      <c r="EE1015">
        <v>0</v>
      </c>
      <c r="EF1015">
        <v>0</v>
      </c>
      <c r="EG1015">
        <v>0</v>
      </c>
      <c r="EH1015">
        <v>0</v>
      </c>
      <c r="EI1015">
        <v>0</v>
      </c>
      <c r="EJ1015">
        <v>0</v>
      </c>
      <c r="EK1015">
        <v>0</v>
      </c>
      <c r="EL1015">
        <v>0</v>
      </c>
      <c r="EM1015">
        <v>0</v>
      </c>
      <c r="EN1015">
        <v>27.4</v>
      </c>
      <c r="EO1015">
        <v>0</v>
      </c>
      <c r="EP1015">
        <v>1002.5</v>
      </c>
      <c r="EQ1015">
        <v>0</v>
      </c>
      <c r="ER1015">
        <v>494</v>
      </c>
      <c r="ES1015">
        <v>0</v>
      </c>
      <c r="ET1015">
        <v>699.3</v>
      </c>
      <c r="EU1015">
        <v>435.4</v>
      </c>
      <c r="EV1015">
        <v>0</v>
      </c>
      <c r="EW1015">
        <v>0</v>
      </c>
      <c r="EX1015">
        <v>0</v>
      </c>
      <c r="EY1015">
        <v>0</v>
      </c>
      <c r="EZ1015">
        <v>0</v>
      </c>
      <c r="FA1015">
        <v>0</v>
      </c>
      <c r="FB1015">
        <v>0</v>
      </c>
      <c r="FC1015">
        <v>0</v>
      </c>
      <c r="FD1015">
        <v>95.6</v>
      </c>
      <c r="FE1015">
        <v>1792.1</v>
      </c>
      <c r="FF1015">
        <v>1740.1999999999998</v>
      </c>
      <c r="FG1015">
        <v>954.9</v>
      </c>
      <c r="FH1015">
        <v>1087.8000000000002</v>
      </c>
      <c r="FI1015">
        <v>1892.1</v>
      </c>
      <c r="FJ1015">
        <v>1222.5</v>
      </c>
      <c r="FK1015">
        <v>678.3</v>
      </c>
      <c r="FL1015">
        <v>639.1</v>
      </c>
      <c r="FM1015">
        <v>520.5</v>
      </c>
      <c r="FN1015">
        <v>123.8</v>
      </c>
      <c r="FO1015">
        <v>181.6</v>
      </c>
      <c r="FP1015">
        <v>1090.5</v>
      </c>
      <c r="FQ1015">
        <v>0</v>
      </c>
      <c r="FR1015">
        <v>0</v>
      </c>
      <c r="FS1015">
        <v>0</v>
      </c>
      <c r="FT1015">
        <v>0</v>
      </c>
      <c r="FU1015">
        <v>0</v>
      </c>
      <c r="FV1015">
        <v>0</v>
      </c>
      <c r="FW1015">
        <v>0</v>
      </c>
      <c r="FX1015">
        <v>0</v>
      </c>
      <c r="FY1015">
        <v>0</v>
      </c>
      <c r="FZ1015">
        <v>0</v>
      </c>
      <c r="GA1015">
        <v>0</v>
      </c>
      <c r="GB1015">
        <v>0</v>
      </c>
      <c r="GC1015">
        <v>0</v>
      </c>
      <c r="GD1015">
        <v>0</v>
      </c>
      <c r="GE1015">
        <v>0</v>
      </c>
      <c r="GF1015">
        <v>198.3</v>
      </c>
      <c r="GG1015">
        <v>1054.4000000000001</v>
      </c>
      <c r="GH1015">
        <v>552.79999999999995</v>
      </c>
      <c r="GI1015">
        <v>522</v>
      </c>
      <c r="GJ1015">
        <v>0</v>
      </c>
      <c r="GK1015">
        <v>0</v>
      </c>
      <c r="GL1015">
        <v>0</v>
      </c>
      <c r="GM1015">
        <v>0</v>
      </c>
      <c r="GN1015">
        <v>791.40000000000009</v>
      </c>
      <c r="GO1015">
        <v>1816.5</v>
      </c>
      <c r="GP1015">
        <v>0</v>
      </c>
      <c r="GQ1015">
        <v>0</v>
      </c>
      <c r="GR1015">
        <v>0</v>
      </c>
      <c r="GS1015">
        <v>0</v>
      </c>
      <c r="GT1015">
        <v>0</v>
      </c>
      <c r="GU1015">
        <v>0</v>
      </c>
      <c r="GV1015">
        <v>0</v>
      </c>
      <c r="GW1015">
        <v>0</v>
      </c>
      <c r="GX1015">
        <v>0</v>
      </c>
      <c r="GY1015">
        <v>840.3</v>
      </c>
      <c r="GZ1015">
        <v>0</v>
      </c>
      <c r="HA1015">
        <v>0</v>
      </c>
      <c r="HB1015">
        <v>0</v>
      </c>
      <c r="HC1015">
        <v>380.4</v>
      </c>
      <c r="HD1015">
        <v>2175.5</v>
      </c>
      <c r="HE1015">
        <v>0</v>
      </c>
      <c r="HF1015">
        <v>0</v>
      </c>
      <c r="HG1015">
        <v>0</v>
      </c>
      <c r="HH1015">
        <v>0</v>
      </c>
      <c r="HI1015">
        <v>0</v>
      </c>
      <c r="HJ1015">
        <v>803.40000000000009</v>
      </c>
      <c r="HK1015">
        <v>1270.9000000000001</v>
      </c>
      <c r="HL1015">
        <v>835.7</v>
      </c>
      <c r="HM1015">
        <v>1162.5999999999999</v>
      </c>
      <c r="HN1015">
        <v>0</v>
      </c>
      <c r="HO1015">
        <v>0</v>
      </c>
      <c r="HP1015">
        <v>0</v>
      </c>
      <c r="HQ1015">
        <v>0</v>
      </c>
      <c r="HR1015">
        <v>161.19999999999999</v>
      </c>
      <c r="HS1015">
        <v>0</v>
      </c>
      <c r="HT1015">
        <v>2048.5</v>
      </c>
      <c r="HU1015">
        <v>2627.5</v>
      </c>
      <c r="HV1015">
        <v>1168.5999999999999</v>
      </c>
      <c r="HW1015">
        <v>388</v>
      </c>
      <c r="HX1015">
        <v>0</v>
      </c>
      <c r="HY1015">
        <v>0</v>
      </c>
      <c r="HZ1015">
        <v>0</v>
      </c>
      <c r="IA1015">
        <v>0</v>
      </c>
      <c r="IB1015">
        <v>0</v>
      </c>
      <c r="IC1015">
        <v>594.4</v>
      </c>
      <c r="ID1015">
        <v>427.4</v>
      </c>
      <c r="IE1015">
        <v>713.3</v>
      </c>
      <c r="IF1015">
        <v>626.1</v>
      </c>
      <c r="IG1015">
        <v>0</v>
      </c>
      <c r="IH1015">
        <v>0</v>
      </c>
      <c r="II1015">
        <v>995.7</v>
      </c>
      <c r="IJ1015">
        <v>1156.5999999999999</v>
      </c>
      <c r="IK1015">
        <v>864.6</v>
      </c>
      <c r="IL1015">
        <v>316.5</v>
      </c>
      <c r="IM1015">
        <v>101.5</v>
      </c>
      <c r="IN1015">
        <v>71.8</v>
      </c>
      <c r="IO1015">
        <v>0</v>
      </c>
      <c r="IP1015">
        <v>0</v>
      </c>
      <c r="IQ1015">
        <v>0</v>
      </c>
      <c r="IR1015">
        <v>0</v>
      </c>
      <c r="IS1015">
        <v>0</v>
      </c>
      <c r="IT1015">
        <v>0</v>
      </c>
      <c r="IU1015">
        <v>0</v>
      </c>
      <c r="IV1015">
        <v>0</v>
      </c>
      <c r="IW1015">
        <v>68</v>
      </c>
      <c r="IX1015">
        <v>404.7</v>
      </c>
      <c r="IY1015">
        <v>126.6</v>
      </c>
      <c r="IZ1015">
        <v>126.6</v>
      </c>
      <c r="JA1015">
        <v>503.7</v>
      </c>
      <c r="JB1015">
        <v>570.1</v>
      </c>
      <c r="JC1015">
        <v>328.3</v>
      </c>
      <c r="JD1015">
        <v>0</v>
      </c>
      <c r="JE1015">
        <v>0</v>
      </c>
      <c r="JF1015">
        <v>0</v>
      </c>
      <c r="JG1015">
        <v>0</v>
      </c>
      <c r="JH1015">
        <v>287.3</v>
      </c>
      <c r="JI1015">
        <v>68.2</v>
      </c>
      <c r="JJ1015">
        <v>0</v>
      </c>
      <c r="JK1015">
        <v>148.6</v>
      </c>
      <c r="JL1015">
        <v>0</v>
      </c>
      <c r="JM1015">
        <v>0</v>
      </c>
      <c r="JN1015">
        <v>204.5</v>
      </c>
      <c r="JO1015">
        <v>292.10000000000002</v>
      </c>
      <c r="JP1015">
        <v>670.8</v>
      </c>
      <c r="JQ1015">
        <v>745.2</v>
      </c>
      <c r="JR1015">
        <v>242.9</v>
      </c>
    </row>
    <row r="1016" spans="2:278" ht="18" thickBot="1">
      <c r="B1016" s="368" t="s">
        <v>1360</v>
      </c>
      <c r="C1016" s="423" t="s">
        <v>1670</v>
      </c>
      <c r="D1016" s="368" t="s">
        <v>1387</v>
      </c>
      <c r="E1016" s="454">
        <v>22829.8</v>
      </c>
      <c r="F1016">
        <v>20193.400000000001</v>
      </c>
      <c r="G1016" s="427">
        <v>0</v>
      </c>
      <c r="H1016" s="155">
        <v>0</v>
      </c>
      <c r="I1016">
        <v>0</v>
      </c>
      <c r="J1016">
        <v>0</v>
      </c>
      <c r="K1016">
        <v>0</v>
      </c>
      <c r="L1016" s="4">
        <v>0</v>
      </c>
      <c r="M1016" s="4">
        <v>0</v>
      </c>
      <c r="N1016" s="4">
        <v>0</v>
      </c>
      <c r="O1016" s="4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1476.4</v>
      </c>
      <c r="X1016">
        <v>1482</v>
      </c>
      <c r="Y1016">
        <v>457.20000000000005</v>
      </c>
      <c r="Z1016">
        <v>0</v>
      </c>
      <c r="AA1016">
        <v>0</v>
      </c>
      <c r="AB1016">
        <v>0</v>
      </c>
      <c r="AC1016">
        <v>0</v>
      </c>
      <c r="AD1016">
        <v>3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1828.6</v>
      </c>
      <c r="AK1016">
        <v>1800.7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560.70000000000005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  <c r="CF1016">
        <v>0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  <c r="CN1016">
        <v>0</v>
      </c>
      <c r="CO1016">
        <v>0</v>
      </c>
      <c r="CP1016">
        <v>3.5</v>
      </c>
      <c r="CQ1016">
        <v>0</v>
      </c>
      <c r="CR1016">
        <v>528</v>
      </c>
      <c r="CS1016">
        <v>581.79999999999995</v>
      </c>
      <c r="CT1016">
        <v>555.40000000000009</v>
      </c>
      <c r="CU1016">
        <v>737.4</v>
      </c>
      <c r="CV1016">
        <v>1039.0999999999999</v>
      </c>
      <c r="CW1016">
        <v>1667.3</v>
      </c>
      <c r="CX1016">
        <v>877.6</v>
      </c>
      <c r="CY1016">
        <v>910.40000000000009</v>
      </c>
      <c r="CZ1016">
        <v>0</v>
      </c>
      <c r="DA1016">
        <v>0</v>
      </c>
      <c r="DB1016">
        <v>0</v>
      </c>
      <c r="DC1016">
        <v>0</v>
      </c>
      <c r="DD1016">
        <v>0</v>
      </c>
      <c r="DE1016">
        <v>0</v>
      </c>
      <c r="DF1016">
        <v>0</v>
      </c>
      <c r="DG1016">
        <v>0</v>
      </c>
      <c r="DH1016">
        <v>0</v>
      </c>
      <c r="DI1016">
        <v>0</v>
      </c>
      <c r="DJ1016">
        <v>0</v>
      </c>
      <c r="DK1016">
        <v>0</v>
      </c>
      <c r="DL1016">
        <v>995.5</v>
      </c>
      <c r="DM1016">
        <v>712.7</v>
      </c>
      <c r="DN1016">
        <v>0</v>
      </c>
      <c r="DO1016">
        <v>0</v>
      </c>
      <c r="DP1016">
        <v>0</v>
      </c>
      <c r="DQ1016">
        <v>0</v>
      </c>
      <c r="DR1016">
        <v>0</v>
      </c>
      <c r="DS1016">
        <v>0</v>
      </c>
      <c r="DT1016">
        <v>0</v>
      </c>
      <c r="DU1016">
        <v>0</v>
      </c>
      <c r="DV1016">
        <v>0</v>
      </c>
      <c r="DW1016">
        <v>0</v>
      </c>
      <c r="DX1016">
        <v>0</v>
      </c>
      <c r="DY1016">
        <v>0</v>
      </c>
      <c r="DZ1016">
        <v>0</v>
      </c>
      <c r="EA1016">
        <v>0</v>
      </c>
      <c r="EB1016">
        <v>0</v>
      </c>
      <c r="EC1016">
        <v>0</v>
      </c>
      <c r="ED1016">
        <v>0</v>
      </c>
      <c r="EE1016">
        <v>0</v>
      </c>
      <c r="EF1016">
        <v>0</v>
      </c>
      <c r="EG1016">
        <v>0</v>
      </c>
      <c r="EH1016">
        <v>0</v>
      </c>
      <c r="EI1016">
        <v>0</v>
      </c>
      <c r="EJ1016">
        <v>0</v>
      </c>
      <c r="EK1016">
        <v>0</v>
      </c>
      <c r="EL1016">
        <v>0</v>
      </c>
      <c r="EM1016">
        <v>0</v>
      </c>
      <c r="EN1016">
        <v>27.4</v>
      </c>
      <c r="EO1016">
        <v>0</v>
      </c>
      <c r="EP1016">
        <v>1002.5</v>
      </c>
      <c r="EQ1016">
        <v>0</v>
      </c>
      <c r="ER1016">
        <v>494</v>
      </c>
      <c r="ES1016">
        <v>0</v>
      </c>
      <c r="ET1016">
        <v>699.3</v>
      </c>
      <c r="EU1016">
        <v>435.4</v>
      </c>
      <c r="EV1016">
        <v>0</v>
      </c>
      <c r="EW1016">
        <v>0</v>
      </c>
      <c r="EX1016">
        <v>0</v>
      </c>
      <c r="EY1016">
        <v>0</v>
      </c>
      <c r="EZ1016">
        <v>0</v>
      </c>
      <c r="FA1016">
        <v>0</v>
      </c>
      <c r="FB1016">
        <v>0</v>
      </c>
      <c r="FC1016">
        <v>0</v>
      </c>
      <c r="FD1016">
        <v>95.6</v>
      </c>
      <c r="FE1016">
        <v>1792.1</v>
      </c>
      <c r="FF1016">
        <v>1740.1999999999998</v>
      </c>
      <c r="FG1016">
        <v>954.9</v>
      </c>
      <c r="FH1016">
        <v>1087.8000000000002</v>
      </c>
      <c r="FI1016">
        <v>1892.1</v>
      </c>
      <c r="FJ1016">
        <v>1222.5</v>
      </c>
      <c r="FK1016">
        <v>678.3</v>
      </c>
      <c r="FL1016">
        <v>639.1</v>
      </c>
      <c r="FM1016">
        <v>520.5</v>
      </c>
      <c r="FN1016">
        <v>123.8</v>
      </c>
      <c r="FO1016">
        <v>181.6</v>
      </c>
      <c r="FP1016">
        <v>1090.5</v>
      </c>
      <c r="FQ1016">
        <v>0</v>
      </c>
      <c r="FR1016">
        <v>0</v>
      </c>
      <c r="FS1016">
        <v>0</v>
      </c>
      <c r="FT1016">
        <v>0</v>
      </c>
      <c r="FU1016">
        <v>0</v>
      </c>
      <c r="FV1016">
        <v>0</v>
      </c>
      <c r="FW1016">
        <v>0</v>
      </c>
      <c r="FX1016">
        <v>0</v>
      </c>
      <c r="FY1016">
        <v>0</v>
      </c>
      <c r="FZ1016">
        <v>0</v>
      </c>
      <c r="GA1016">
        <v>0</v>
      </c>
      <c r="GB1016">
        <v>0</v>
      </c>
      <c r="GC1016">
        <v>0</v>
      </c>
      <c r="GD1016">
        <v>0</v>
      </c>
      <c r="GE1016">
        <v>0</v>
      </c>
      <c r="GF1016">
        <v>198.3</v>
      </c>
      <c r="GG1016">
        <v>1054.4000000000001</v>
      </c>
      <c r="GH1016">
        <v>552.79999999999995</v>
      </c>
      <c r="GI1016">
        <v>522</v>
      </c>
      <c r="GJ1016">
        <v>0</v>
      </c>
      <c r="GK1016">
        <v>0</v>
      </c>
      <c r="GL1016">
        <v>0</v>
      </c>
      <c r="GM1016">
        <v>0</v>
      </c>
      <c r="GN1016">
        <v>791.40000000000009</v>
      </c>
      <c r="GO1016">
        <v>1816.5</v>
      </c>
      <c r="GP1016">
        <v>0</v>
      </c>
      <c r="GQ1016">
        <v>0</v>
      </c>
      <c r="GR1016">
        <v>0</v>
      </c>
      <c r="GS1016">
        <v>0</v>
      </c>
      <c r="GT1016">
        <v>0</v>
      </c>
      <c r="GU1016">
        <v>0</v>
      </c>
      <c r="GV1016">
        <v>0</v>
      </c>
      <c r="GW1016">
        <v>0</v>
      </c>
      <c r="GX1016">
        <v>0</v>
      </c>
      <c r="GY1016">
        <v>840.3</v>
      </c>
      <c r="GZ1016">
        <v>0</v>
      </c>
      <c r="HA1016">
        <v>0</v>
      </c>
      <c r="HB1016">
        <v>0</v>
      </c>
      <c r="HC1016">
        <v>380.4</v>
      </c>
      <c r="HD1016">
        <v>2175.5</v>
      </c>
      <c r="HE1016">
        <v>0</v>
      </c>
      <c r="HF1016">
        <v>0</v>
      </c>
      <c r="HG1016">
        <v>0</v>
      </c>
      <c r="HH1016">
        <v>0</v>
      </c>
      <c r="HI1016">
        <v>0</v>
      </c>
      <c r="HJ1016">
        <v>803.40000000000009</v>
      </c>
      <c r="HK1016">
        <v>1270.9000000000001</v>
      </c>
      <c r="HL1016">
        <v>835.7</v>
      </c>
      <c r="HM1016">
        <v>1162.5999999999999</v>
      </c>
      <c r="HN1016">
        <v>0</v>
      </c>
      <c r="HO1016">
        <v>0</v>
      </c>
      <c r="HP1016">
        <v>0</v>
      </c>
      <c r="HQ1016">
        <v>0</v>
      </c>
      <c r="HR1016">
        <v>161.19999999999999</v>
      </c>
      <c r="HS1016">
        <v>0</v>
      </c>
      <c r="HT1016">
        <v>2048.5</v>
      </c>
      <c r="HU1016">
        <v>2627.5</v>
      </c>
      <c r="HV1016">
        <v>1168.5999999999999</v>
      </c>
      <c r="HW1016">
        <v>388</v>
      </c>
      <c r="HX1016">
        <v>0</v>
      </c>
      <c r="HY1016">
        <v>0</v>
      </c>
      <c r="HZ1016">
        <v>0</v>
      </c>
      <c r="IA1016">
        <v>0</v>
      </c>
      <c r="IB1016">
        <v>0</v>
      </c>
      <c r="IC1016">
        <v>594.4</v>
      </c>
      <c r="ID1016">
        <v>427.4</v>
      </c>
      <c r="IE1016">
        <v>713.3</v>
      </c>
      <c r="IF1016">
        <v>626.1</v>
      </c>
      <c r="IG1016">
        <v>0</v>
      </c>
      <c r="IH1016">
        <v>0</v>
      </c>
      <c r="II1016">
        <v>995.7</v>
      </c>
      <c r="IJ1016">
        <v>1156.5999999999999</v>
      </c>
      <c r="IK1016">
        <v>864.6</v>
      </c>
      <c r="IL1016">
        <v>316.5</v>
      </c>
      <c r="IM1016">
        <v>101.5</v>
      </c>
      <c r="IN1016">
        <v>71.8</v>
      </c>
      <c r="IO1016">
        <v>0</v>
      </c>
      <c r="IP1016">
        <v>0</v>
      </c>
      <c r="IQ1016">
        <v>0</v>
      </c>
      <c r="IR1016">
        <v>0</v>
      </c>
      <c r="IS1016">
        <v>0</v>
      </c>
      <c r="IT1016">
        <v>0</v>
      </c>
      <c r="IU1016">
        <v>0</v>
      </c>
      <c r="IV1016">
        <v>0</v>
      </c>
      <c r="IW1016">
        <v>68</v>
      </c>
      <c r="IX1016">
        <v>404.7</v>
      </c>
      <c r="IY1016">
        <v>126.6</v>
      </c>
      <c r="IZ1016">
        <v>126.6</v>
      </c>
      <c r="JA1016">
        <v>503.7</v>
      </c>
      <c r="JB1016">
        <v>570.1</v>
      </c>
      <c r="JC1016">
        <v>328.3</v>
      </c>
      <c r="JD1016">
        <v>0</v>
      </c>
      <c r="JE1016">
        <v>0</v>
      </c>
      <c r="JF1016">
        <v>0</v>
      </c>
      <c r="JG1016">
        <v>0</v>
      </c>
      <c r="JH1016">
        <v>287.3</v>
      </c>
      <c r="JI1016">
        <v>68.2</v>
      </c>
      <c r="JJ1016">
        <v>0</v>
      </c>
      <c r="JK1016">
        <v>148.6</v>
      </c>
      <c r="JL1016">
        <v>0</v>
      </c>
      <c r="JM1016">
        <v>0</v>
      </c>
      <c r="JN1016">
        <v>204.5</v>
      </c>
      <c r="JO1016">
        <v>292.10000000000002</v>
      </c>
      <c r="JP1016">
        <v>670.8</v>
      </c>
      <c r="JQ1016">
        <v>745.2</v>
      </c>
      <c r="JR1016">
        <v>242.9</v>
      </c>
    </row>
    <row r="1017" spans="2:278" ht="18" thickBot="1">
      <c r="B1017" s="368" t="s">
        <v>1361</v>
      </c>
      <c r="C1017" s="387" t="s">
        <v>1671</v>
      </c>
      <c r="D1017" s="368" t="s">
        <v>1387</v>
      </c>
      <c r="E1017" s="454">
        <v>22829.8</v>
      </c>
      <c r="F1017">
        <v>20193.400000000001</v>
      </c>
      <c r="G1017" s="427">
        <v>0</v>
      </c>
      <c r="H1017" s="155">
        <v>0</v>
      </c>
      <c r="I1017">
        <v>0</v>
      </c>
      <c r="J1017">
        <v>0</v>
      </c>
      <c r="K1017">
        <v>0</v>
      </c>
      <c r="L1017" s="4">
        <v>0</v>
      </c>
      <c r="M1017" s="4">
        <v>0</v>
      </c>
      <c r="N1017" s="4">
        <v>0</v>
      </c>
      <c r="O1017" s="4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1476.4</v>
      </c>
      <c r="X1017">
        <v>1482</v>
      </c>
      <c r="Y1017">
        <v>457.20000000000005</v>
      </c>
      <c r="Z1017">
        <v>0</v>
      </c>
      <c r="AA1017">
        <v>0</v>
      </c>
      <c r="AB1017">
        <v>0</v>
      </c>
      <c r="AC1017">
        <v>0</v>
      </c>
      <c r="AD1017">
        <v>3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1828.6</v>
      </c>
      <c r="AK1017">
        <v>1800.7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560.70000000000005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0</v>
      </c>
      <c r="BN1017">
        <v>0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0</v>
      </c>
      <c r="BU1017">
        <v>0</v>
      </c>
      <c r="BV1017">
        <v>0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  <c r="CF1017">
        <v>0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  <c r="CN1017">
        <v>0</v>
      </c>
      <c r="CO1017">
        <v>0</v>
      </c>
      <c r="CP1017">
        <v>3.5</v>
      </c>
      <c r="CQ1017">
        <v>0</v>
      </c>
      <c r="CR1017">
        <v>528</v>
      </c>
      <c r="CS1017">
        <v>581.79999999999995</v>
      </c>
      <c r="CT1017">
        <v>555.40000000000009</v>
      </c>
      <c r="CU1017">
        <v>737.4</v>
      </c>
      <c r="CV1017">
        <v>1039.0999999999999</v>
      </c>
      <c r="CW1017">
        <v>1667.3</v>
      </c>
      <c r="CX1017">
        <v>877.6</v>
      </c>
      <c r="CY1017">
        <v>910.40000000000009</v>
      </c>
      <c r="CZ1017">
        <v>0</v>
      </c>
      <c r="DA1017">
        <v>0</v>
      </c>
      <c r="DB1017">
        <v>0</v>
      </c>
      <c r="DC1017">
        <v>0</v>
      </c>
      <c r="DD1017">
        <v>0</v>
      </c>
      <c r="DE1017">
        <v>0</v>
      </c>
      <c r="DF1017">
        <v>0</v>
      </c>
      <c r="DG1017">
        <v>0</v>
      </c>
      <c r="DH1017">
        <v>0</v>
      </c>
      <c r="DI1017">
        <v>0</v>
      </c>
      <c r="DJ1017">
        <v>0</v>
      </c>
      <c r="DK1017">
        <v>0</v>
      </c>
      <c r="DL1017">
        <v>995.5</v>
      </c>
      <c r="DM1017">
        <v>712.7</v>
      </c>
      <c r="DN1017">
        <v>0</v>
      </c>
      <c r="DO1017">
        <v>0</v>
      </c>
      <c r="DP1017">
        <v>0</v>
      </c>
      <c r="DQ1017">
        <v>0</v>
      </c>
      <c r="DR1017">
        <v>0</v>
      </c>
      <c r="DS1017">
        <v>0</v>
      </c>
      <c r="DT1017">
        <v>0</v>
      </c>
      <c r="DU1017">
        <v>0</v>
      </c>
      <c r="DV1017">
        <v>0</v>
      </c>
      <c r="DW1017">
        <v>0</v>
      </c>
      <c r="DX1017">
        <v>0</v>
      </c>
      <c r="DY1017">
        <v>0</v>
      </c>
      <c r="DZ1017">
        <v>0</v>
      </c>
      <c r="EA1017">
        <v>0</v>
      </c>
      <c r="EB1017">
        <v>0</v>
      </c>
      <c r="EC1017">
        <v>0</v>
      </c>
      <c r="ED1017">
        <v>0</v>
      </c>
      <c r="EE1017">
        <v>0</v>
      </c>
      <c r="EF1017">
        <v>0</v>
      </c>
      <c r="EG1017">
        <v>0</v>
      </c>
      <c r="EH1017">
        <v>0</v>
      </c>
      <c r="EI1017">
        <v>0</v>
      </c>
      <c r="EJ1017">
        <v>0</v>
      </c>
      <c r="EK1017">
        <v>0</v>
      </c>
      <c r="EL1017">
        <v>0</v>
      </c>
      <c r="EM1017">
        <v>0</v>
      </c>
      <c r="EN1017">
        <v>27.4</v>
      </c>
      <c r="EO1017">
        <v>0</v>
      </c>
      <c r="EP1017">
        <v>1002.5</v>
      </c>
      <c r="EQ1017">
        <v>0</v>
      </c>
      <c r="ER1017">
        <v>494</v>
      </c>
      <c r="ES1017">
        <v>0</v>
      </c>
      <c r="ET1017">
        <v>699.3</v>
      </c>
      <c r="EU1017">
        <v>435.4</v>
      </c>
      <c r="EV1017">
        <v>0</v>
      </c>
      <c r="EW1017">
        <v>0</v>
      </c>
      <c r="EX1017">
        <v>0</v>
      </c>
      <c r="EY1017">
        <v>0</v>
      </c>
      <c r="EZ1017">
        <v>0</v>
      </c>
      <c r="FA1017">
        <v>0</v>
      </c>
      <c r="FB1017">
        <v>0</v>
      </c>
      <c r="FC1017">
        <v>0</v>
      </c>
      <c r="FD1017">
        <v>95.6</v>
      </c>
      <c r="FE1017">
        <v>1792.1</v>
      </c>
      <c r="FF1017">
        <v>1740.1999999999998</v>
      </c>
      <c r="FG1017">
        <v>954.9</v>
      </c>
      <c r="FH1017">
        <v>1087.8000000000002</v>
      </c>
      <c r="FI1017">
        <v>1892.1</v>
      </c>
      <c r="FJ1017">
        <v>1222.5</v>
      </c>
      <c r="FK1017">
        <v>678.3</v>
      </c>
      <c r="FL1017">
        <v>639.1</v>
      </c>
      <c r="FM1017">
        <v>520.5</v>
      </c>
      <c r="FN1017">
        <v>123.8</v>
      </c>
      <c r="FO1017">
        <v>181.6</v>
      </c>
      <c r="FP1017">
        <v>1090.5</v>
      </c>
      <c r="FQ1017">
        <v>0</v>
      </c>
      <c r="FR1017">
        <v>0</v>
      </c>
      <c r="FS1017">
        <v>0</v>
      </c>
      <c r="FT1017">
        <v>0</v>
      </c>
      <c r="FU1017">
        <v>0</v>
      </c>
      <c r="FV1017">
        <v>0</v>
      </c>
      <c r="FW1017">
        <v>0</v>
      </c>
      <c r="FX1017">
        <v>0</v>
      </c>
      <c r="FY1017">
        <v>0</v>
      </c>
      <c r="FZ1017">
        <v>0</v>
      </c>
      <c r="GA1017">
        <v>0</v>
      </c>
      <c r="GB1017">
        <v>0</v>
      </c>
      <c r="GC1017">
        <v>0</v>
      </c>
      <c r="GD1017">
        <v>0</v>
      </c>
      <c r="GE1017">
        <v>0</v>
      </c>
      <c r="GF1017">
        <v>198.3</v>
      </c>
      <c r="GG1017">
        <v>1054.4000000000001</v>
      </c>
      <c r="GH1017">
        <v>552.79999999999995</v>
      </c>
      <c r="GI1017">
        <v>522</v>
      </c>
      <c r="GJ1017">
        <v>0</v>
      </c>
      <c r="GK1017">
        <v>0</v>
      </c>
      <c r="GL1017">
        <v>0</v>
      </c>
      <c r="GM1017">
        <v>0</v>
      </c>
      <c r="GN1017">
        <v>791.40000000000009</v>
      </c>
      <c r="GO1017">
        <v>1816.5</v>
      </c>
      <c r="GP1017">
        <v>0</v>
      </c>
      <c r="GQ1017">
        <v>0</v>
      </c>
      <c r="GR1017">
        <v>0</v>
      </c>
      <c r="GS1017">
        <v>0</v>
      </c>
      <c r="GT1017">
        <v>0</v>
      </c>
      <c r="GU1017">
        <v>0</v>
      </c>
      <c r="GV1017">
        <v>0</v>
      </c>
      <c r="GW1017">
        <v>0</v>
      </c>
      <c r="GX1017">
        <v>0</v>
      </c>
      <c r="GY1017">
        <v>840.3</v>
      </c>
      <c r="GZ1017">
        <v>0</v>
      </c>
      <c r="HA1017">
        <v>0</v>
      </c>
      <c r="HB1017">
        <v>0</v>
      </c>
      <c r="HC1017">
        <v>380.4</v>
      </c>
      <c r="HD1017">
        <v>2175.5</v>
      </c>
      <c r="HE1017">
        <v>0</v>
      </c>
      <c r="HF1017">
        <v>0</v>
      </c>
      <c r="HG1017">
        <v>0</v>
      </c>
      <c r="HH1017">
        <v>0</v>
      </c>
      <c r="HI1017">
        <v>0</v>
      </c>
      <c r="HJ1017">
        <v>803.40000000000009</v>
      </c>
      <c r="HK1017">
        <v>1270.9000000000001</v>
      </c>
      <c r="HL1017">
        <v>835.7</v>
      </c>
      <c r="HM1017">
        <v>1162.5999999999999</v>
      </c>
      <c r="HN1017">
        <v>0</v>
      </c>
      <c r="HO1017">
        <v>0</v>
      </c>
      <c r="HP1017">
        <v>0</v>
      </c>
      <c r="HQ1017">
        <v>0</v>
      </c>
      <c r="HR1017">
        <v>161.19999999999999</v>
      </c>
      <c r="HS1017">
        <v>0</v>
      </c>
      <c r="HT1017">
        <v>2048.5</v>
      </c>
      <c r="HU1017">
        <v>2627.5</v>
      </c>
      <c r="HV1017">
        <v>1168.5999999999999</v>
      </c>
      <c r="HW1017">
        <v>388</v>
      </c>
      <c r="HX1017">
        <v>0</v>
      </c>
      <c r="HY1017">
        <v>0</v>
      </c>
      <c r="HZ1017">
        <v>0</v>
      </c>
      <c r="IA1017">
        <v>0</v>
      </c>
      <c r="IB1017">
        <v>0</v>
      </c>
      <c r="IC1017">
        <v>594.4</v>
      </c>
      <c r="ID1017">
        <v>427.4</v>
      </c>
      <c r="IE1017">
        <v>713.3</v>
      </c>
      <c r="IF1017">
        <v>626.1</v>
      </c>
      <c r="IG1017">
        <v>0</v>
      </c>
      <c r="IH1017">
        <v>0</v>
      </c>
      <c r="II1017">
        <v>995.7</v>
      </c>
      <c r="IJ1017">
        <v>1156.5999999999999</v>
      </c>
      <c r="IK1017">
        <v>864.6</v>
      </c>
      <c r="IL1017">
        <v>316.5</v>
      </c>
      <c r="IM1017">
        <v>101.5</v>
      </c>
      <c r="IN1017">
        <v>71.8</v>
      </c>
      <c r="IO1017">
        <v>0</v>
      </c>
      <c r="IP1017">
        <v>0</v>
      </c>
      <c r="IQ1017">
        <v>0</v>
      </c>
      <c r="IR1017">
        <v>0</v>
      </c>
      <c r="IS1017">
        <v>0</v>
      </c>
      <c r="IT1017">
        <v>0</v>
      </c>
      <c r="IU1017">
        <v>0</v>
      </c>
      <c r="IV1017">
        <v>0</v>
      </c>
      <c r="IW1017">
        <v>68</v>
      </c>
      <c r="IX1017">
        <v>404.7</v>
      </c>
      <c r="IY1017">
        <v>126.6</v>
      </c>
      <c r="IZ1017">
        <v>126.6</v>
      </c>
      <c r="JA1017">
        <v>503.7</v>
      </c>
      <c r="JB1017">
        <v>570.1</v>
      </c>
      <c r="JC1017">
        <v>328.3</v>
      </c>
      <c r="JD1017">
        <v>0</v>
      </c>
      <c r="JE1017">
        <v>0</v>
      </c>
      <c r="JF1017">
        <v>0</v>
      </c>
      <c r="JG1017">
        <v>0</v>
      </c>
      <c r="JH1017">
        <v>287.3</v>
      </c>
      <c r="JI1017">
        <v>68.2</v>
      </c>
      <c r="JJ1017">
        <v>0</v>
      </c>
      <c r="JK1017">
        <v>148.6</v>
      </c>
      <c r="JL1017">
        <v>0</v>
      </c>
      <c r="JM1017">
        <v>0</v>
      </c>
      <c r="JN1017">
        <v>204.5</v>
      </c>
      <c r="JO1017">
        <v>292.10000000000002</v>
      </c>
      <c r="JP1017">
        <v>670.8</v>
      </c>
      <c r="JQ1017">
        <v>745.2</v>
      </c>
      <c r="JR1017">
        <v>242.9</v>
      </c>
    </row>
    <row r="1018" spans="2:278" ht="18" thickBot="1">
      <c r="B1018" s="368" t="s">
        <v>1362</v>
      </c>
      <c r="C1018" s="384" t="s">
        <v>1672</v>
      </c>
      <c r="D1018" s="384" t="s">
        <v>1485</v>
      </c>
      <c r="E1018" s="454">
        <v>22829.8</v>
      </c>
      <c r="F1018">
        <v>20193.400000000001</v>
      </c>
      <c r="G1018" s="427">
        <v>0</v>
      </c>
      <c r="H1018" s="155">
        <v>0</v>
      </c>
      <c r="I1018">
        <v>0</v>
      </c>
      <c r="J1018">
        <v>0</v>
      </c>
      <c r="K1018">
        <v>0</v>
      </c>
      <c r="L1018" s="4">
        <v>0</v>
      </c>
      <c r="M1018" s="4">
        <v>0</v>
      </c>
      <c r="N1018" s="4">
        <v>0</v>
      </c>
      <c r="O1018" s="4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1476.4</v>
      </c>
      <c r="X1018">
        <v>1482</v>
      </c>
      <c r="Y1018">
        <v>457.20000000000005</v>
      </c>
      <c r="Z1018">
        <v>0</v>
      </c>
      <c r="AA1018">
        <v>0</v>
      </c>
      <c r="AB1018">
        <v>0</v>
      </c>
      <c r="AC1018">
        <v>0</v>
      </c>
      <c r="AD1018">
        <v>3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1828.6</v>
      </c>
      <c r="AK1018">
        <v>1800.7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560.70000000000005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  <c r="CF1018">
        <v>0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  <c r="CN1018">
        <v>0</v>
      </c>
      <c r="CO1018">
        <v>0</v>
      </c>
      <c r="CP1018">
        <v>3.5</v>
      </c>
      <c r="CQ1018">
        <v>0</v>
      </c>
      <c r="CR1018">
        <v>528</v>
      </c>
      <c r="CS1018">
        <v>581.79999999999995</v>
      </c>
      <c r="CT1018">
        <v>555.40000000000009</v>
      </c>
      <c r="CU1018">
        <v>737.4</v>
      </c>
      <c r="CV1018">
        <v>1039.0999999999999</v>
      </c>
      <c r="CW1018">
        <v>1667.3</v>
      </c>
      <c r="CX1018">
        <v>877.6</v>
      </c>
      <c r="CY1018">
        <v>910.40000000000009</v>
      </c>
      <c r="CZ1018">
        <v>0</v>
      </c>
      <c r="DA1018">
        <v>0</v>
      </c>
      <c r="DB1018">
        <v>0</v>
      </c>
      <c r="DC1018">
        <v>0</v>
      </c>
      <c r="DD1018">
        <v>0</v>
      </c>
      <c r="DE1018">
        <v>0</v>
      </c>
      <c r="DF1018">
        <v>0</v>
      </c>
      <c r="DG1018">
        <v>0</v>
      </c>
      <c r="DH1018">
        <v>0</v>
      </c>
      <c r="DI1018">
        <v>0</v>
      </c>
      <c r="DJ1018">
        <v>0</v>
      </c>
      <c r="DK1018">
        <v>0</v>
      </c>
      <c r="DL1018">
        <v>995.5</v>
      </c>
      <c r="DM1018">
        <v>712.7</v>
      </c>
      <c r="DN1018">
        <v>0</v>
      </c>
      <c r="DO1018">
        <v>0</v>
      </c>
      <c r="DP1018">
        <v>0</v>
      </c>
      <c r="DQ1018">
        <v>0</v>
      </c>
      <c r="DR1018">
        <v>0</v>
      </c>
      <c r="DS1018">
        <v>0</v>
      </c>
      <c r="DT1018">
        <v>0</v>
      </c>
      <c r="DU1018">
        <v>0</v>
      </c>
      <c r="DV1018">
        <v>0</v>
      </c>
      <c r="DW1018">
        <v>0</v>
      </c>
      <c r="DX1018">
        <v>0</v>
      </c>
      <c r="DY1018">
        <v>0</v>
      </c>
      <c r="DZ1018">
        <v>0</v>
      </c>
      <c r="EA1018">
        <v>0</v>
      </c>
      <c r="EB1018">
        <v>0</v>
      </c>
      <c r="EC1018">
        <v>0</v>
      </c>
      <c r="ED1018">
        <v>0</v>
      </c>
      <c r="EE1018">
        <v>0</v>
      </c>
      <c r="EF1018">
        <v>0</v>
      </c>
      <c r="EG1018">
        <v>0</v>
      </c>
      <c r="EH1018">
        <v>0</v>
      </c>
      <c r="EI1018">
        <v>0</v>
      </c>
      <c r="EJ1018">
        <v>0</v>
      </c>
      <c r="EK1018">
        <v>0</v>
      </c>
      <c r="EL1018">
        <v>0</v>
      </c>
      <c r="EM1018">
        <v>0</v>
      </c>
      <c r="EN1018">
        <v>27.4</v>
      </c>
      <c r="EO1018">
        <v>0</v>
      </c>
      <c r="EP1018">
        <v>1002.5</v>
      </c>
      <c r="EQ1018">
        <v>0</v>
      </c>
      <c r="ER1018">
        <v>494</v>
      </c>
      <c r="ES1018">
        <v>0</v>
      </c>
      <c r="ET1018">
        <v>699.3</v>
      </c>
      <c r="EU1018">
        <v>435.4</v>
      </c>
      <c r="EV1018">
        <v>0</v>
      </c>
      <c r="EW1018">
        <v>0</v>
      </c>
      <c r="EX1018">
        <v>0</v>
      </c>
      <c r="EY1018">
        <v>0</v>
      </c>
      <c r="EZ1018">
        <v>0</v>
      </c>
      <c r="FA1018">
        <v>0</v>
      </c>
      <c r="FB1018">
        <v>0</v>
      </c>
      <c r="FC1018">
        <v>0</v>
      </c>
      <c r="FD1018">
        <v>95.6</v>
      </c>
      <c r="FE1018">
        <v>1792.1</v>
      </c>
      <c r="FF1018">
        <v>1740.1999999999998</v>
      </c>
      <c r="FG1018">
        <v>954.9</v>
      </c>
      <c r="FH1018">
        <v>1087.8000000000002</v>
      </c>
      <c r="FI1018">
        <v>1892.1</v>
      </c>
      <c r="FJ1018">
        <v>1222.5</v>
      </c>
      <c r="FK1018">
        <v>678.3</v>
      </c>
      <c r="FL1018">
        <v>639.1</v>
      </c>
      <c r="FM1018">
        <v>520.5</v>
      </c>
      <c r="FN1018">
        <v>123.8</v>
      </c>
      <c r="FO1018">
        <v>181.6</v>
      </c>
      <c r="FP1018">
        <v>1090.5</v>
      </c>
      <c r="FQ1018">
        <v>0</v>
      </c>
      <c r="FR1018">
        <v>0</v>
      </c>
      <c r="FS1018">
        <v>0</v>
      </c>
      <c r="FT1018">
        <v>0</v>
      </c>
      <c r="FU1018">
        <v>0</v>
      </c>
      <c r="FV1018">
        <v>0</v>
      </c>
      <c r="FW1018">
        <v>0</v>
      </c>
      <c r="FX1018">
        <v>0</v>
      </c>
      <c r="FY1018">
        <v>0</v>
      </c>
      <c r="FZ1018">
        <v>0</v>
      </c>
      <c r="GA1018">
        <v>0</v>
      </c>
      <c r="GB1018">
        <v>0</v>
      </c>
      <c r="GC1018">
        <v>0</v>
      </c>
      <c r="GD1018">
        <v>0</v>
      </c>
      <c r="GE1018">
        <v>0</v>
      </c>
      <c r="GF1018">
        <v>198.3</v>
      </c>
      <c r="GG1018">
        <v>1054.4000000000001</v>
      </c>
      <c r="GH1018">
        <v>552.79999999999995</v>
      </c>
      <c r="GI1018">
        <v>522</v>
      </c>
      <c r="GJ1018">
        <v>0</v>
      </c>
      <c r="GK1018">
        <v>0</v>
      </c>
      <c r="GL1018">
        <v>0</v>
      </c>
      <c r="GM1018">
        <v>0</v>
      </c>
      <c r="GN1018">
        <v>791.40000000000009</v>
      </c>
      <c r="GO1018">
        <v>1816.5</v>
      </c>
      <c r="GP1018">
        <v>0</v>
      </c>
      <c r="GQ1018">
        <v>0</v>
      </c>
      <c r="GR1018">
        <v>0</v>
      </c>
      <c r="GS1018">
        <v>0</v>
      </c>
      <c r="GT1018">
        <v>0</v>
      </c>
      <c r="GU1018">
        <v>0</v>
      </c>
      <c r="GV1018">
        <v>0</v>
      </c>
      <c r="GW1018">
        <v>0</v>
      </c>
      <c r="GX1018">
        <v>0</v>
      </c>
      <c r="GY1018">
        <v>840.3</v>
      </c>
      <c r="GZ1018">
        <v>0</v>
      </c>
      <c r="HA1018">
        <v>0</v>
      </c>
      <c r="HB1018">
        <v>0</v>
      </c>
      <c r="HC1018">
        <v>380.4</v>
      </c>
      <c r="HD1018">
        <v>2175.5</v>
      </c>
      <c r="HE1018">
        <v>0</v>
      </c>
      <c r="HF1018">
        <v>0</v>
      </c>
      <c r="HG1018">
        <v>0</v>
      </c>
      <c r="HH1018">
        <v>0</v>
      </c>
      <c r="HI1018">
        <v>0</v>
      </c>
      <c r="HJ1018">
        <v>803.40000000000009</v>
      </c>
      <c r="HK1018">
        <v>1270.9000000000001</v>
      </c>
      <c r="HL1018">
        <v>835.7</v>
      </c>
      <c r="HM1018">
        <v>1162.5999999999999</v>
      </c>
      <c r="HN1018">
        <v>0</v>
      </c>
      <c r="HO1018">
        <v>0</v>
      </c>
      <c r="HP1018">
        <v>0</v>
      </c>
      <c r="HQ1018">
        <v>0</v>
      </c>
      <c r="HR1018">
        <v>161.19999999999999</v>
      </c>
      <c r="HS1018">
        <v>0</v>
      </c>
      <c r="HT1018">
        <v>2048.5</v>
      </c>
      <c r="HU1018">
        <v>2627.5</v>
      </c>
      <c r="HV1018">
        <v>1168.5999999999999</v>
      </c>
      <c r="HW1018">
        <v>388</v>
      </c>
      <c r="HX1018">
        <v>0</v>
      </c>
      <c r="HY1018">
        <v>0</v>
      </c>
      <c r="HZ1018">
        <v>0</v>
      </c>
      <c r="IA1018">
        <v>0</v>
      </c>
      <c r="IB1018">
        <v>0</v>
      </c>
      <c r="IC1018">
        <v>594.4</v>
      </c>
      <c r="ID1018">
        <v>427.4</v>
      </c>
      <c r="IE1018">
        <v>713.3</v>
      </c>
      <c r="IF1018">
        <v>626.1</v>
      </c>
      <c r="IG1018">
        <v>0</v>
      </c>
      <c r="IH1018">
        <v>0</v>
      </c>
      <c r="II1018">
        <v>995.7</v>
      </c>
      <c r="IJ1018">
        <v>1156.5999999999999</v>
      </c>
      <c r="IK1018">
        <v>864.6</v>
      </c>
      <c r="IL1018">
        <v>316.5</v>
      </c>
      <c r="IM1018">
        <v>101.5</v>
      </c>
      <c r="IN1018">
        <v>71.8</v>
      </c>
      <c r="IO1018">
        <v>0</v>
      </c>
      <c r="IP1018">
        <v>0</v>
      </c>
      <c r="IQ1018">
        <v>0</v>
      </c>
      <c r="IR1018">
        <v>0</v>
      </c>
      <c r="IS1018">
        <v>0</v>
      </c>
      <c r="IT1018">
        <v>0</v>
      </c>
      <c r="IU1018">
        <v>0</v>
      </c>
      <c r="IV1018">
        <v>0</v>
      </c>
      <c r="IW1018">
        <v>68</v>
      </c>
      <c r="IX1018">
        <v>404.7</v>
      </c>
      <c r="IY1018">
        <v>126.6</v>
      </c>
      <c r="IZ1018">
        <v>126.6</v>
      </c>
      <c r="JA1018">
        <v>503.7</v>
      </c>
      <c r="JB1018">
        <v>570.1</v>
      </c>
      <c r="JC1018">
        <v>328.3</v>
      </c>
      <c r="JD1018">
        <v>0</v>
      </c>
      <c r="JE1018">
        <v>0</v>
      </c>
      <c r="JF1018">
        <v>0</v>
      </c>
      <c r="JG1018">
        <v>0</v>
      </c>
      <c r="JH1018">
        <v>287.3</v>
      </c>
      <c r="JI1018">
        <v>68.2</v>
      </c>
      <c r="JJ1018">
        <v>0</v>
      </c>
      <c r="JK1018">
        <v>148.6</v>
      </c>
      <c r="JL1018">
        <v>0</v>
      </c>
      <c r="JM1018">
        <v>0</v>
      </c>
      <c r="JN1018">
        <v>204.5</v>
      </c>
      <c r="JO1018">
        <v>292.10000000000002</v>
      </c>
      <c r="JP1018">
        <v>670.8</v>
      </c>
      <c r="JQ1018">
        <v>745.2</v>
      </c>
      <c r="JR1018">
        <v>242.9</v>
      </c>
    </row>
    <row r="1019" spans="2:278" ht="18" thickBot="1">
      <c r="B1019" s="368" t="s">
        <v>1363</v>
      </c>
      <c r="C1019" s="384" t="s">
        <v>1673</v>
      </c>
      <c r="D1019" s="384" t="s">
        <v>1486</v>
      </c>
      <c r="E1019" s="454">
        <v>22829.8</v>
      </c>
      <c r="F1019">
        <v>20193.400000000001</v>
      </c>
      <c r="G1019" s="427">
        <v>0</v>
      </c>
      <c r="H1019" s="155">
        <v>0</v>
      </c>
      <c r="I1019">
        <v>0</v>
      </c>
      <c r="J1019">
        <v>0</v>
      </c>
      <c r="K1019">
        <v>0</v>
      </c>
      <c r="L1019" s="4">
        <v>0</v>
      </c>
      <c r="M1019" s="4">
        <v>0</v>
      </c>
      <c r="N1019" s="4">
        <v>0</v>
      </c>
      <c r="O1019" s="4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1476.4</v>
      </c>
      <c r="X1019">
        <v>1482</v>
      </c>
      <c r="Y1019">
        <v>457.20000000000005</v>
      </c>
      <c r="Z1019">
        <v>0</v>
      </c>
      <c r="AA1019">
        <v>0</v>
      </c>
      <c r="AB1019">
        <v>0</v>
      </c>
      <c r="AC1019">
        <v>0</v>
      </c>
      <c r="AD1019">
        <v>3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1828.6</v>
      </c>
      <c r="AK1019">
        <v>1800.7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560.70000000000005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0</v>
      </c>
      <c r="BP1019">
        <v>0</v>
      </c>
      <c r="BQ1019">
        <v>0</v>
      </c>
      <c r="BR1019">
        <v>0</v>
      </c>
      <c r="BS1019">
        <v>0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  <c r="CF1019">
        <v>0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  <c r="CN1019">
        <v>0</v>
      </c>
      <c r="CO1019">
        <v>0</v>
      </c>
      <c r="CP1019">
        <v>3.5</v>
      </c>
      <c r="CQ1019">
        <v>0</v>
      </c>
      <c r="CR1019">
        <v>528</v>
      </c>
      <c r="CS1019">
        <v>581.79999999999995</v>
      </c>
      <c r="CT1019">
        <v>555.40000000000009</v>
      </c>
      <c r="CU1019">
        <v>737.4</v>
      </c>
      <c r="CV1019">
        <v>1039.0999999999999</v>
      </c>
      <c r="CW1019">
        <v>1667.3</v>
      </c>
      <c r="CX1019">
        <v>877.6</v>
      </c>
      <c r="CY1019">
        <v>910.40000000000009</v>
      </c>
      <c r="CZ1019">
        <v>0</v>
      </c>
      <c r="DA1019">
        <v>0</v>
      </c>
      <c r="DB1019">
        <v>0</v>
      </c>
      <c r="DC1019">
        <v>0</v>
      </c>
      <c r="DD1019">
        <v>0</v>
      </c>
      <c r="DE1019">
        <v>0</v>
      </c>
      <c r="DF1019">
        <v>0</v>
      </c>
      <c r="DG1019">
        <v>0</v>
      </c>
      <c r="DH1019">
        <v>0</v>
      </c>
      <c r="DI1019">
        <v>0</v>
      </c>
      <c r="DJ1019">
        <v>0</v>
      </c>
      <c r="DK1019">
        <v>0</v>
      </c>
      <c r="DL1019">
        <v>995.5</v>
      </c>
      <c r="DM1019">
        <v>712.7</v>
      </c>
      <c r="DN1019">
        <v>0</v>
      </c>
      <c r="DO1019">
        <v>0</v>
      </c>
      <c r="DP1019">
        <v>0</v>
      </c>
      <c r="DQ1019">
        <v>0</v>
      </c>
      <c r="DR1019">
        <v>0</v>
      </c>
      <c r="DS1019">
        <v>0</v>
      </c>
      <c r="DT1019">
        <v>0</v>
      </c>
      <c r="DU1019">
        <v>0</v>
      </c>
      <c r="DV1019">
        <v>0</v>
      </c>
      <c r="DW1019">
        <v>0</v>
      </c>
      <c r="DX1019">
        <v>0</v>
      </c>
      <c r="DY1019">
        <v>0</v>
      </c>
      <c r="DZ1019">
        <v>0</v>
      </c>
      <c r="EA1019">
        <v>0</v>
      </c>
      <c r="EB1019">
        <v>0</v>
      </c>
      <c r="EC1019">
        <v>0</v>
      </c>
      <c r="ED1019">
        <v>0</v>
      </c>
      <c r="EE1019">
        <v>0</v>
      </c>
      <c r="EF1019">
        <v>0</v>
      </c>
      <c r="EG1019">
        <v>0</v>
      </c>
      <c r="EH1019">
        <v>0</v>
      </c>
      <c r="EI1019">
        <v>0</v>
      </c>
      <c r="EJ1019">
        <v>0</v>
      </c>
      <c r="EK1019">
        <v>0</v>
      </c>
      <c r="EL1019">
        <v>0</v>
      </c>
      <c r="EM1019">
        <v>0</v>
      </c>
      <c r="EN1019">
        <v>27.4</v>
      </c>
      <c r="EO1019">
        <v>0</v>
      </c>
      <c r="EP1019">
        <v>1002.5</v>
      </c>
      <c r="EQ1019">
        <v>0</v>
      </c>
      <c r="ER1019">
        <v>494</v>
      </c>
      <c r="ES1019">
        <v>0</v>
      </c>
      <c r="ET1019">
        <v>699.3</v>
      </c>
      <c r="EU1019">
        <v>435.4</v>
      </c>
      <c r="EV1019">
        <v>0</v>
      </c>
      <c r="EW1019">
        <v>0</v>
      </c>
      <c r="EX1019">
        <v>0</v>
      </c>
      <c r="EY1019">
        <v>0</v>
      </c>
      <c r="EZ1019">
        <v>0</v>
      </c>
      <c r="FA1019">
        <v>0</v>
      </c>
      <c r="FB1019">
        <v>0</v>
      </c>
      <c r="FC1019">
        <v>0</v>
      </c>
      <c r="FD1019">
        <v>95.6</v>
      </c>
      <c r="FE1019">
        <v>1792.1</v>
      </c>
      <c r="FF1019">
        <v>1740.1999999999998</v>
      </c>
      <c r="FG1019">
        <v>954.9</v>
      </c>
      <c r="FH1019">
        <v>1087.8000000000002</v>
      </c>
      <c r="FI1019">
        <v>1892.1</v>
      </c>
      <c r="FJ1019">
        <v>1222.5</v>
      </c>
      <c r="FK1019">
        <v>678.3</v>
      </c>
      <c r="FL1019">
        <v>639.1</v>
      </c>
      <c r="FM1019">
        <v>520.5</v>
      </c>
      <c r="FN1019">
        <v>123.8</v>
      </c>
      <c r="FO1019">
        <v>181.6</v>
      </c>
      <c r="FP1019">
        <v>1090.5</v>
      </c>
      <c r="FQ1019">
        <v>0</v>
      </c>
      <c r="FR1019">
        <v>0</v>
      </c>
      <c r="FS1019">
        <v>0</v>
      </c>
      <c r="FT1019">
        <v>0</v>
      </c>
      <c r="FU1019">
        <v>0</v>
      </c>
      <c r="FV1019">
        <v>0</v>
      </c>
      <c r="FW1019">
        <v>0</v>
      </c>
      <c r="FX1019">
        <v>0</v>
      </c>
      <c r="FY1019">
        <v>0</v>
      </c>
      <c r="FZ1019">
        <v>0</v>
      </c>
      <c r="GA1019">
        <v>0</v>
      </c>
      <c r="GB1019">
        <v>0</v>
      </c>
      <c r="GC1019">
        <v>0</v>
      </c>
      <c r="GD1019">
        <v>0</v>
      </c>
      <c r="GE1019">
        <v>0</v>
      </c>
      <c r="GF1019">
        <v>198.3</v>
      </c>
      <c r="GG1019">
        <v>1054.4000000000001</v>
      </c>
      <c r="GH1019">
        <v>552.79999999999995</v>
      </c>
      <c r="GI1019">
        <v>522</v>
      </c>
      <c r="GJ1019">
        <v>0</v>
      </c>
      <c r="GK1019">
        <v>0</v>
      </c>
      <c r="GL1019">
        <v>0</v>
      </c>
      <c r="GM1019">
        <v>0</v>
      </c>
      <c r="GN1019">
        <v>791.40000000000009</v>
      </c>
      <c r="GO1019">
        <v>1816.5</v>
      </c>
      <c r="GP1019">
        <v>0</v>
      </c>
      <c r="GQ1019">
        <v>0</v>
      </c>
      <c r="GR1019">
        <v>0</v>
      </c>
      <c r="GS1019">
        <v>0</v>
      </c>
      <c r="GT1019">
        <v>0</v>
      </c>
      <c r="GU1019">
        <v>0</v>
      </c>
      <c r="GV1019">
        <v>0</v>
      </c>
      <c r="GW1019">
        <v>0</v>
      </c>
      <c r="GX1019">
        <v>0</v>
      </c>
      <c r="GY1019">
        <v>840.3</v>
      </c>
      <c r="GZ1019">
        <v>0</v>
      </c>
      <c r="HA1019">
        <v>0</v>
      </c>
      <c r="HB1019">
        <v>0</v>
      </c>
      <c r="HC1019">
        <v>380.4</v>
      </c>
      <c r="HD1019">
        <v>2175.5</v>
      </c>
      <c r="HE1019">
        <v>0</v>
      </c>
      <c r="HF1019">
        <v>0</v>
      </c>
      <c r="HG1019">
        <v>0</v>
      </c>
      <c r="HH1019">
        <v>0</v>
      </c>
      <c r="HI1019">
        <v>0</v>
      </c>
      <c r="HJ1019">
        <v>803.40000000000009</v>
      </c>
      <c r="HK1019">
        <v>1270.9000000000001</v>
      </c>
      <c r="HL1019">
        <v>835.7</v>
      </c>
      <c r="HM1019">
        <v>1162.5999999999999</v>
      </c>
      <c r="HN1019">
        <v>0</v>
      </c>
      <c r="HO1019">
        <v>0</v>
      </c>
      <c r="HP1019">
        <v>0</v>
      </c>
      <c r="HQ1019">
        <v>0</v>
      </c>
      <c r="HR1019">
        <v>161.19999999999999</v>
      </c>
      <c r="HS1019">
        <v>0</v>
      </c>
      <c r="HT1019">
        <v>2048.5</v>
      </c>
      <c r="HU1019">
        <v>2627.5</v>
      </c>
      <c r="HV1019">
        <v>1168.5999999999999</v>
      </c>
      <c r="HW1019">
        <v>388</v>
      </c>
      <c r="HX1019">
        <v>0</v>
      </c>
      <c r="HY1019">
        <v>0</v>
      </c>
      <c r="HZ1019">
        <v>0</v>
      </c>
      <c r="IA1019">
        <v>0</v>
      </c>
      <c r="IB1019">
        <v>0</v>
      </c>
      <c r="IC1019">
        <v>594.4</v>
      </c>
      <c r="ID1019">
        <v>427.4</v>
      </c>
      <c r="IE1019">
        <v>713.3</v>
      </c>
      <c r="IF1019">
        <v>626.1</v>
      </c>
      <c r="IG1019">
        <v>0</v>
      </c>
      <c r="IH1019">
        <v>0</v>
      </c>
      <c r="II1019">
        <v>995.7</v>
      </c>
      <c r="IJ1019">
        <v>1156.5999999999999</v>
      </c>
      <c r="IK1019">
        <v>864.6</v>
      </c>
      <c r="IL1019">
        <v>316.5</v>
      </c>
      <c r="IM1019">
        <v>101.5</v>
      </c>
      <c r="IN1019">
        <v>71.8</v>
      </c>
      <c r="IO1019">
        <v>0</v>
      </c>
      <c r="IP1019">
        <v>0</v>
      </c>
      <c r="IQ1019">
        <v>0</v>
      </c>
      <c r="IR1019">
        <v>0</v>
      </c>
      <c r="IS1019">
        <v>0</v>
      </c>
      <c r="IT1019">
        <v>0</v>
      </c>
      <c r="IU1019">
        <v>0</v>
      </c>
      <c r="IV1019">
        <v>0</v>
      </c>
      <c r="IW1019">
        <v>68</v>
      </c>
      <c r="IX1019">
        <v>404.7</v>
      </c>
      <c r="IY1019">
        <v>126.6</v>
      </c>
      <c r="IZ1019">
        <v>126.6</v>
      </c>
      <c r="JA1019">
        <v>503.7</v>
      </c>
      <c r="JB1019">
        <v>570.1</v>
      </c>
      <c r="JC1019">
        <v>328.3</v>
      </c>
      <c r="JD1019">
        <v>0</v>
      </c>
      <c r="JE1019">
        <v>0</v>
      </c>
      <c r="JF1019">
        <v>0</v>
      </c>
      <c r="JG1019">
        <v>0</v>
      </c>
      <c r="JH1019">
        <v>287.3</v>
      </c>
      <c r="JI1019">
        <v>68.2</v>
      </c>
      <c r="JJ1019">
        <v>0</v>
      </c>
      <c r="JK1019">
        <v>148.6</v>
      </c>
      <c r="JL1019">
        <v>0</v>
      </c>
      <c r="JM1019">
        <v>0</v>
      </c>
      <c r="JN1019">
        <v>204.5</v>
      </c>
      <c r="JO1019">
        <v>292.10000000000002</v>
      </c>
      <c r="JP1019">
        <v>670.8</v>
      </c>
      <c r="JQ1019">
        <v>745.2</v>
      </c>
      <c r="JR1019">
        <v>242.9</v>
      </c>
    </row>
    <row r="1020" spans="2:278" ht="18" thickBot="1">
      <c r="B1020" s="368" t="s">
        <v>1364</v>
      </c>
      <c r="C1020" s="384" t="s">
        <v>1674</v>
      </c>
      <c r="D1020" s="384" t="s">
        <v>1487</v>
      </c>
      <c r="E1020" s="454">
        <v>22829.8</v>
      </c>
      <c r="F1020">
        <v>20193.400000000001</v>
      </c>
      <c r="G1020" s="427">
        <v>0</v>
      </c>
      <c r="H1020" s="155">
        <v>0</v>
      </c>
      <c r="I1020">
        <v>0</v>
      </c>
      <c r="J1020">
        <v>0</v>
      </c>
      <c r="K1020">
        <v>0</v>
      </c>
      <c r="L1020" s="4">
        <v>0</v>
      </c>
      <c r="M1020" s="4">
        <v>0</v>
      </c>
      <c r="N1020" s="4">
        <v>0</v>
      </c>
      <c r="O1020" s="4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1476.4</v>
      </c>
      <c r="X1020">
        <v>1482</v>
      </c>
      <c r="Y1020">
        <v>457.20000000000005</v>
      </c>
      <c r="Z1020">
        <v>0</v>
      </c>
      <c r="AA1020">
        <v>0</v>
      </c>
      <c r="AB1020">
        <v>0</v>
      </c>
      <c r="AC1020">
        <v>0</v>
      </c>
      <c r="AD1020">
        <v>3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1828.6</v>
      </c>
      <c r="AK1020">
        <v>1800.7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560.70000000000005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0</v>
      </c>
      <c r="BU1020">
        <v>0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  <c r="CF1020">
        <v>0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  <c r="CN1020">
        <v>0</v>
      </c>
      <c r="CO1020">
        <v>0</v>
      </c>
      <c r="CP1020">
        <v>3.5</v>
      </c>
      <c r="CQ1020">
        <v>0</v>
      </c>
      <c r="CR1020">
        <v>528</v>
      </c>
      <c r="CS1020">
        <v>581.79999999999995</v>
      </c>
      <c r="CT1020">
        <v>555.40000000000009</v>
      </c>
      <c r="CU1020">
        <v>737.4</v>
      </c>
      <c r="CV1020">
        <v>1039.0999999999999</v>
      </c>
      <c r="CW1020">
        <v>1667.3</v>
      </c>
      <c r="CX1020">
        <v>877.6</v>
      </c>
      <c r="CY1020">
        <v>910.40000000000009</v>
      </c>
      <c r="CZ1020">
        <v>0</v>
      </c>
      <c r="DA1020">
        <v>0</v>
      </c>
      <c r="DB1020">
        <v>0</v>
      </c>
      <c r="DC1020">
        <v>0</v>
      </c>
      <c r="DD1020">
        <v>0</v>
      </c>
      <c r="DE1020">
        <v>0</v>
      </c>
      <c r="DF1020">
        <v>0</v>
      </c>
      <c r="DG1020">
        <v>0</v>
      </c>
      <c r="DH1020">
        <v>0</v>
      </c>
      <c r="DI1020">
        <v>0</v>
      </c>
      <c r="DJ1020">
        <v>0</v>
      </c>
      <c r="DK1020">
        <v>0</v>
      </c>
      <c r="DL1020">
        <v>995.5</v>
      </c>
      <c r="DM1020">
        <v>712.7</v>
      </c>
      <c r="DN1020">
        <v>0</v>
      </c>
      <c r="DO1020">
        <v>0</v>
      </c>
      <c r="DP1020">
        <v>0</v>
      </c>
      <c r="DQ1020">
        <v>0</v>
      </c>
      <c r="DR1020">
        <v>0</v>
      </c>
      <c r="DS1020">
        <v>0</v>
      </c>
      <c r="DT1020">
        <v>0</v>
      </c>
      <c r="DU1020">
        <v>0</v>
      </c>
      <c r="DV1020">
        <v>0</v>
      </c>
      <c r="DW1020">
        <v>0</v>
      </c>
      <c r="DX1020">
        <v>0</v>
      </c>
      <c r="DY1020">
        <v>0</v>
      </c>
      <c r="DZ1020">
        <v>0</v>
      </c>
      <c r="EA1020">
        <v>0</v>
      </c>
      <c r="EB1020">
        <v>0</v>
      </c>
      <c r="EC1020">
        <v>0</v>
      </c>
      <c r="ED1020">
        <v>0</v>
      </c>
      <c r="EE1020">
        <v>0</v>
      </c>
      <c r="EF1020">
        <v>0</v>
      </c>
      <c r="EG1020">
        <v>0</v>
      </c>
      <c r="EH1020">
        <v>0</v>
      </c>
      <c r="EI1020">
        <v>0</v>
      </c>
      <c r="EJ1020">
        <v>0</v>
      </c>
      <c r="EK1020">
        <v>0</v>
      </c>
      <c r="EL1020">
        <v>0</v>
      </c>
      <c r="EM1020">
        <v>0</v>
      </c>
      <c r="EN1020">
        <v>27.4</v>
      </c>
      <c r="EO1020">
        <v>0</v>
      </c>
      <c r="EP1020">
        <v>1002.5</v>
      </c>
      <c r="EQ1020">
        <v>0</v>
      </c>
      <c r="ER1020">
        <v>494</v>
      </c>
      <c r="ES1020">
        <v>0</v>
      </c>
      <c r="ET1020">
        <v>699.3</v>
      </c>
      <c r="EU1020">
        <v>435.4</v>
      </c>
      <c r="EV1020">
        <v>0</v>
      </c>
      <c r="EW1020">
        <v>0</v>
      </c>
      <c r="EX1020">
        <v>0</v>
      </c>
      <c r="EY1020">
        <v>0</v>
      </c>
      <c r="EZ1020">
        <v>0</v>
      </c>
      <c r="FA1020">
        <v>0</v>
      </c>
      <c r="FB1020">
        <v>0</v>
      </c>
      <c r="FC1020">
        <v>0</v>
      </c>
      <c r="FD1020">
        <v>95.6</v>
      </c>
      <c r="FE1020">
        <v>1792.1</v>
      </c>
      <c r="FF1020">
        <v>1740.1999999999998</v>
      </c>
      <c r="FG1020">
        <v>954.9</v>
      </c>
      <c r="FH1020">
        <v>1087.8000000000002</v>
      </c>
      <c r="FI1020">
        <v>1892.1</v>
      </c>
      <c r="FJ1020">
        <v>1222.5</v>
      </c>
      <c r="FK1020">
        <v>678.3</v>
      </c>
      <c r="FL1020">
        <v>639.1</v>
      </c>
      <c r="FM1020">
        <v>520.5</v>
      </c>
      <c r="FN1020">
        <v>123.8</v>
      </c>
      <c r="FO1020">
        <v>181.6</v>
      </c>
      <c r="FP1020">
        <v>1090.5</v>
      </c>
      <c r="FQ1020">
        <v>0</v>
      </c>
      <c r="FR1020">
        <v>0</v>
      </c>
      <c r="FS1020">
        <v>0</v>
      </c>
      <c r="FT1020">
        <v>0</v>
      </c>
      <c r="FU1020">
        <v>0</v>
      </c>
      <c r="FV1020">
        <v>0</v>
      </c>
      <c r="FW1020">
        <v>0</v>
      </c>
      <c r="FX1020">
        <v>0</v>
      </c>
      <c r="FY1020">
        <v>0</v>
      </c>
      <c r="FZ1020">
        <v>0</v>
      </c>
      <c r="GA1020">
        <v>0</v>
      </c>
      <c r="GB1020">
        <v>0</v>
      </c>
      <c r="GC1020">
        <v>0</v>
      </c>
      <c r="GD1020">
        <v>0</v>
      </c>
      <c r="GE1020">
        <v>0</v>
      </c>
      <c r="GF1020">
        <v>198.3</v>
      </c>
      <c r="GG1020">
        <v>1054.4000000000001</v>
      </c>
      <c r="GH1020">
        <v>552.79999999999995</v>
      </c>
      <c r="GI1020">
        <v>522</v>
      </c>
      <c r="GJ1020">
        <v>0</v>
      </c>
      <c r="GK1020">
        <v>0</v>
      </c>
      <c r="GL1020">
        <v>0</v>
      </c>
      <c r="GM1020">
        <v>0</v>
      </c>
      <c r="GN1020">
        <v>791.40000000000009</v>
      </c>
      <c r="GO1020">
        <v>1816.5</v>
      </c>
      <c r="GP1020">
        <v>0</v>
      </c>
      <c r="GQ1020">
        <v>0</v>
      </c>
      <c r="GR1020">
        <v>0</v>
      </c>
      <c r="GS1020">
        <v>0</v>
      </c>
      <c r="GT1020">
        <v>0</v>
      </c>
      <c r="GU1020">
        <v>0</v>
      </c>
      <c r="GV1020">
        <v>0</v>
      </c>
      <c r="GW1020">
        <v>0</v>
      </c>
      <c r="GX1020">
        <v>0</v>
      </c>
      <c r="GY1020">
        <v>840.3</v>
      </c>
      <c r="GZ1020">
        <v>0</v>
      </c>
      <c r="HA1020">
        <v>0</v>
      </c>
      <c r="HB1020">
        <v>0</v>
      </c>
      <c r="HC1020">
        <v>380.4</v>
      </c>
      <c r="HD1020">
        <v>2175.5</v>
      </c>
      <c r="HE1020">
        <v>0</v>
      </c>
      <c r="HF1020">
        <v>0</v>
      </c>
      <c r="HG1020">
        <v>0</v>
      </c>
      <c r="HH1020">
        <v>0</v>
      </c>
      <c r="HI1020">
        <v>0</v>
      </c>
      <c r="HJ1020">
        <v>803.40000000000009</v>
      </c>
      <c r="HK1020">
        <v>1270.9000000000001</v>
      </c>
      <c r="HL1020">
        <v>835.7</v>
      </c>
      <c r="HM1020">
        <v>1162.5999999999999</v>
      </c>
      <c r="HN1020">
        <v>0</v>
      </c>
      <c r="HO1020">
        <v>0</v>
      </c>
      <c r="HP1020">
        <v>0</v>
      </c>
      <c r="HQ1020">
        <v>0</v>
      </c>
      <c r="HR1020">
        <v>161.19999999999999</v>
      </c>
      <c r="HS1020">
        <v>0</v>
      </c>
      <c r="HT1020">
        <v>2048.5</v>
      </c>
      <c r="HU1020">
        <v>2627.5</v>
      </c>
      <c r="HV1020">
        <v>1168.5999999999999</v>
      </c>
      <c r="HW1020">
        <v>388</v>
      </c>
      <c r="HX1020">
        <v>0</v>
      </c>
      <c r="HY1020">
        <v>0</v>
      </c>
      <c r="HZ1020">
        <v>0</v>
      </c>
      <c r="IA1020">
        <v>0</v>
      </c>
      <c r="IB1020">
        <v>0</v>
      </c>
      <c r="IC1020">
        <v>594.4</v>
      </c>
      <c r="ID1020">
        <v>427.4</v>
      </c>
      <c r="IE1020">
        <v>713.3</v>
      </c>
      <c r="IF1020">
        <v>626.1</v>
      </c>
      <c r="IG1020">
        <v>0</v>
      </c>
      <c r="IH1020">
        <v>0</v>
      </c>
      <c r="II1020">
        <v>995.7</v>
      </c>
      <c r="IJ1020">
        <v>1156.5999999999999</v>
      </c>
      <c r="IK1020">
        <v>864.6</v>
      </c>
      <c r="IL1020">
        <v>316.5</v>
      </c>
      <c r="IM1020">
        <v>101.5</v>
      </c>
      <c r="IN1020">
        <v>71.8</v>
      </c>
      <c r="IO1020">
        <v>0</v>
      </c>
      <c r="IP1020">
        <v>0</v>
      </c>
      <c r="IQ1020">
        <v>0</v>
      </c>
      <c r="IR1020">
        <v>0</v>
      </c>
      <c r="IS1020">
        <v>0</v>
      </c>
      <c r="IT1020">
        <v>0</v>
      </c>
      <c r="IU1020">
        <v>0</v>
      </c>
      <c r="IV1020">
        <v>0</v>
      </c>
      <c r="IW1020">
        <v>68</v>
      </c>
      <c r="IX1020">
        <v>404.7</v>
      </c>
      <c r="IY1020">
        <v>126.6</v>
      </c>
      <c r="IZ1020">
        <v>126.6</v>
      </c>
      <c r="JA1020">
        <v>503.7</v>
      </c>
      <c r="JB1020">
        <v>570.1</v>
      </c>
      <c r="JC1020">
        <v>328.3</v>
      </c>
      <c r="JD1020">
        <v>0</v>
      </c>
      <c r="JE1020">
        <v>0</v>
      </c>
      <c r="JF1020">
        <v>0</v>
      </c>
      <c r="JG1020">
        <v>0</v>
      </c>
      <c r="JH1020">
        <v>287.3</v>
      </c>
      <c r="JI1020">
        <v>68.2</v>
      </c>
      <c r="JJ1020">
        <v>0</v>
      </c>
      <c r="JK1020">
        <v>148.6</v>
      </c>
      <c r="JL1020">
        <v>0</v>
      </c>
      <c r="JM1020">
        <v>0</v>
      </c>
      <c r="JN1020">
        <v>204.5</v>
      </c>
      <c r="JO1020">
        <v>292.10000000000002</v>
      </c>
      <c r="JP1020">
        <v>670.8</v>
      </c>
      <c r="JQ1020">
        <v>745.2</v>
      </c>
      <c r="JR1020">
        <v>242.9</v>
      </c>
    </row>
    <row r="1021" spans="2:278" ht="18" thickBot="1">
      <c r="B1021" s="367" t="s">
        <v>1365</v>
      </c>
      <c r="C1021" s="388" t="s">
        <v>1675</v>
      </c>
      <c r="D1021" s="388" t="s">
        <v>1488</v>
      </c>
      <c r="E1021" s="454">
        <v>22829.8</v>
      </c>
      <c r="F1021">
        <v>20193.400000000001</v>
      </c>
      <c r="G1021" s="427">
        <v>0</v>
      </c>
      <c r="H1021" s="155">
        <v>0</v>
      </c>
      <c r="I1021">
        <v>0</v>
      </c>
      <c r="J1021">
        <v>0</v>
      </c>
      <c r="K1021">
        <v>0</v>
      </c>
      <c r="L1021" s="4">
        <v>0</v>
      </c>
      <c r="M1021" s="4">
        <v>0</v>
      </c>
      <c r="N1021" s="4">
        <v>0</v>
      </c>
      <c r="O1021" s="4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1476.4</v>
      </c>
      <c r="X1021">
        <v>1482</v>
      </c>
      <c r="Y1021">
        <v>457.20000000000005</v>
      </c>
      <c r="Z1021">
        <v>0</v>
      </c>
      <c r="AA1021">
        <v>0</v>
      </c>
      <c r="AB1021">
        <v>0</v>
      </c>
      <c r="AC1021">
        <v>0</v>
      </c>
      <c r="AD1021">
        <v>3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1828.6</v>
      </c>
      <c r="AK1021">
        <v>1800.7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560.70000000000005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  <c r="CF1021">
        <v>0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  <c r="CN1021">
        <v>0</v>
      </c>
      <c r="CO1021">
        <v>0</v>
      </c>
      <c r="CP1021">
        <v>3.5</v>
      </c>
      <c r="CQ1021">
        <v>0</v>
      </c>
      <c r="CR1021">
        <v>528</v>
      </c>
      <c r="CS1021">
        <v>581.79999999999995</v>
      </c>
      <c r="CT1021">
        <v>555.40000000000009</v>
      </c>
      <c r="CU1021">
        <v>737.4</v>
      </c>
      <c r="CV1021">
        <v>1039.0999999999999</v>
      </c>
      <c r="CW1021">
        <v>1667.3</v>
      </c>
      <c r="CX1021">
        <v>877.6</v>
      </c>
      <c r="CY1021">
        <v>910.40000000000009</v>
      </c>
      <c r="CZ1021">
        <v>0</v>
      </c>
      <c r="DA1021">
        <v>0</v>
      </c>
      <c r="DB1021">
        <v>0</v>
      </c>
      <c r="DC1021">
        <v>0</v>
      </c>
      <c r="DD1021">
        <v>0</v>
      </c>
      <c r="DE1021">
        <v>0</v>
      </c>
      <c r="DF1021">
        <v>0</v>
      </c>
      <c r="DG1021">
        <v>0</v>
      </c>
      <c r="DH1021">
        <v>0</v>
      </c>
      <c r="DI1021">
        <v>0</v>
      </c>
      <c r="DJ1021">
        <v>0</v>
      </c>
      <c r="DK1021">
        <v>0</v>
      </c>
      <c r="DL1021">
        <v>995.5</v>
      </c>
      <c r="DM1021">
        <v>712.7</v>
      </c>
      <c r="DN1021">
        <v>0</v>
      </c>
      <c r="DO1021">
        <v>0</v>
      </c>
      <c r="DP1021">
        <v>0</v>
      </c>
      <c r="DQ1021">
        <v>0</v>
      </c>
      <c r="DR1021">
        <v>0</v>
      </c>
      <c r="DS1021">
        <v>0</v>
      </c>
      <c r="DT1021">
        <v>0</v>
      </c>
      <c r="DU1021">
        <v>0</v>
      </c>
      <c r="DV1021">
        <v>0</v>
      </c>
      <c r="DW1021">
        <v>0</v>
      </c>
      <c r="DX1021">
        <v>0</v>
      </c>
      <c r="DY1021">
        <v>0</v>
      </c>
      <c r="DZ1021">
        <v>0</v>
      </c>
      <c r="EA1021">
        <v>0</v>
      </c>
      <c r="EB1021">
        <v>0</v>
      </c>
      <c r="EC1021">
        <v>0</v>
      </c>
      <c r="ED1021">
        <v>0</v>
      </c>
      <c r="EE1021">
        <v>0</v>
      </c>
      <c r="EF1021">
        <v>0</v>
      </c>
      <c r="EG1021">
        <v>0</v>
      </c>
      <c r="EH1021">
        <v>0</v>
      </c>
      <c r="EI1021">
        <v>0</v>
      </c>
      <c r="EJ1021">
        <v>0</v>
      </c>
      <c r="EK1021">
        <v>0</v>
      </c>
      <c r="EL1021">
        <v>0</v>
      </c>
      <c r="EM1021">
        <v>0</v>
      </c>
      <c r="EN1021">
        <v>27.4</v>
      </c>
      <c r="EO1021">
        <v>0</v>
      </c>
      <c r="EP1021">
        <v>1002.5</v>
      </c>
      <c r="EQ1021">
        <v>0</v>
      </c>
      <c r="ER1021">
        <v>494</v>
      </c>
      <c r="ES1021">
        <v>0</v>
      </c>
      <c r="ET1021">
        <v>699.3</v>
      </c>
      <c r="EU1021">
        <v>435.4</v>
      </c>
      <c r="EV1021">
        <v>0</v>
      </c>
      <c r="EW1021">
        <v>0</v>
      </c>
      <c r="EX1021">
        <v>0</v>
      </c>
      <c r="EY1021">
        <v>0</v>
      </c>
      <c r="EZ1021">
        <v>0</v>
      </c>
      <c r="FA1021">
        <v>0</v>
      </c>
      <c r="FB1021">
        <v>0</v>
      </c>
      <c r="FC1021">
        <v>0</v>
      </c>
      <c r="FD1021">
        <v>95.6</v>
      </c>
      <c r="FE1021">
        <v>1792.1</v>
      </c>
      <c r="FF1021">
        <v>1740.1999999999998</v>
      </c>
      <c r="FG1021">
        <v>954.9</v>
      </c>
      <c r="FH1021">
        <v>1087.8000000000002</v>
      </c>
      <c r="FI1021">
        <v>1892.1</v>
      </c>
      <c r="FJ1021">
        <v>1222.5</v>
      </c>
      <c r="FK1021">
        <v>678.3</v>
      </c>
      <c r="FL1021">
        <v>639.1</v>
      </c>
      <c r="FM1021">
        <v>520.5</v>
      </c>
      <c r="FN1021">
        <v>123.8</v>
      </c>
      <c r="FO1021">
        <v>181.6</v>
      </c>
      <c r="FP1021">
        <v>1090.5</v>
      </c>
      <c r="FQ1021">
        <v>0</v>
      </c>
      <c r="FR1021">
        <v>0</v>
      </c>
      <c r="FS1021">
        <v>0</v>
      </c>
      <c r="FT1021">
        <v>0</v>
      </c>
      <c r="FU1021">
        <v>0</v>
      </c>
      <c r="FV1021">
        <v>0</v>
      </c>
      <c r="FW1021">
        <v>0</v>
      </c>
      <c r="FX1021">
        <v>0</v>
      </c>
      <c r="FY1021">
        <v>0</v>
      </c>
      <c r="FZ1021">
        <v>0</v>
      </c>
      <c r="GA1021">
        <v>0</v>
      </c>
      <c r="GB1021">
        <v>0</v>
      </c>
      <c r="GC1021">
        <v>0</v>
      </c>
      <c r="GD1021">
        <v>0</v>
      </c>
      <c r="GE1021">
        <v>0</v>
      </c>
      <c r="GF1021">
        <v>198.3</v>
      </c>
      <c r="GG1021">
        <v>1054.4000000000001</v>
      </c>
      <c r="GH1021">
        <v>552.79999999999995</v>
      </c>
      <c r="GI1021">
        <v>522</v>
      </c>
      <c r="GJ1021">
        <v>0</v>
      </c>
      <c r="GK1021">
        <v>0</v>
      </c>
      <c r="GL1021">
        <v>0</v>
      </c>
      <c r="GM1021">
        <v>0</v>
      </c>
      <c r="GN1021">
        <v>791.40000000000009</v>
      </c>
      <c r="GO1021">
        <v>1816.5</v>
      </c>
      <c r="GP1021">
        <v>0</v>
      </c>
      <c r="GQ1021">
        <v>0</v>
      </c>
      <c r="GR1021">
        <v>0</v>
      </c>
      <c r="GS1021">
        <v>0</v>
      </c>
      <c r="GT1021">
        <v>0</v>
      </c>
      <c r="GU1021">
        <v>0</v>
      </c>
      <c r="GV1021">
        <v>0</v>
      </c>
      <c r="GW1021">
        <v>0</v>
      </c>
      <c r="GX1021">
        <v>0</v>
      </c>
      <c r="GY1021">
        <v>840.3</v>
      </c>
      <c r="GZ1021">
        <v>0</v>
      </c>
      <c r="HA1021">
        <v>0</v>
      </c>
      <c r="HB1021">
        <v>0</v>
      </c>
      <c r="HC1021">
        <v>380.4</v>
      </c>
      <c r="HD1021">
        <v>2175.5</v>
      </c>
      <c r="HE1021">
        <v>0</v>
      </c>
      <c r="HF1021">
        <v>0</v>
      </c>
      <c r="HG1021">
        <v>0</v>
      </c>
      <c r="HH1021">
        <v>0</v>
      </c>
      <c r="HI1021">
        <v>0</v>
      </c>
      <c r="HJ1021">
        <v>803.40000000000009</v>
      </c>
      <c r="HK1021">
        <v>1270.9000000000001</v>
      </c>
      <c r="HL1021">
        <v>835.7</v>
      </c>
      <c r="HM1021">
        <v>1162.5999999999999</v>
      </c>
      <c r="HN1021">
        <v>0</v>
      </c>
      <c r="HO1021">
        <v>0</v>
      </c>
      <c r="HP1021">
        <v>0</v>
      </c>
      <c r="HQ1021">
        <v>0</v>
      </c>
      <c r="HR1021">
        <v>161.19999999999999</v>
      </c>
      <c r="HS1021">
        <v>0</v>
      </c>
      <c r="HT1021">
        <v>2048.5</v>
      </c>
      <c r="HU1021">
        <v>2627.5</v>
      </c>
      <c r="HV1021">
        <v>1168.5999999999999</v>
      </c>
      <c r="HW1021">
        <v>388</v>
      </c>
      <c r="HX1021">
        <v>0</v>
      </c>
      <c r="HY1021">
        <v>0</v>
      </c>
      <c r="HZ1021">
        <v>0</v>
      </c>
      <c r="IA1021">
        <v>0</v>
      </c>
      <c r="IB1021">
        <v>0</v>
      </c>
      <c r="IC1021">
        <v>594.4</v>
      </c>
      <c r="ID1021">
        <v>427.4</v>
      </c>
      <c r="IE1021">
        <v>713.3</v>
      </c>
      <c r="IF1021">
        <v>626.1</v>
      </c>
      <c r="IG1021">
        <v>0</v>
      </c>
      <c r="IH1021">
        <v>0</v>
      </c>
      <c r="II1021">
        <v>995.7</v>
      </c>
      <c r="IJ1021">
        <v>1156.5999999999999</v>
      </c>
      <c r="IK1021">
        <v>864.6</v>
      </c>
      <c r="IL1021">
        <v>316.5</v>
      </c>
      <c r="IM1021">
        <v>101.5</v>
      </c>
      <c r="IN1021">
        <v>71.8</v>
      </c>
      <c r="IO1021">
        <v>0</v>
      </c>
      <c r="IP1021">
        <v>0</v>
      </c>
      <c r="IQ1021">
        <v>0</v>
      </c>
      <c r="IR1021">
        <v>0</v>
      </c>
      <c r="IS1021">
        <v>0</v>
      </c>
      <c r="IT1021">
        <v>0</v>
      </c>
      <c r="IU1021">
        <v>0</v>
      </c>
      <c r="IV1021">
        <v>0</v>
      </c>
      <c r="IW1021">
        <v>68</v>
      </c>
      <c r="IX1021">
        <v>404.7</v>
      </c>
      <c r="IY1021">
        <v>126.6</v>
      </c>
      <c r="IZ1021">
        <v>126.6</v>
      </c>
      <c r="JA1021">
        <v>503.7</v>
      </c>
      <c r="JB1021">
        <v>570.1</v>
      </c>
      <c r="JC1021">
        <v>328.3</v>
      </c>
      <c r="JD1021">
        <v>0</v>
      </c>
      <c r="JE1021">
        <v>0</v>
      </c>
      <c r="JF1021">
        <v>0</v>
      </c>
      <c r="JG1021">
        <v>0</v>
      </c>
      <c r="JH1021">
        <v>287.3</v>
      </c>
      <c r="JI1021">
        <v>68.2</v>
      </c>
      <c r="JJ1021">
        <v>0</v>
      </c>
      <c r="JK1021">
        <v>148.6</v>
      </c>
      <c r="JL1021">
        <v>0</v>
      </c>
      <c r="JM1021">
        <v>0</v>
      </c>
      <c r="JN1021">
        <v>204.5</v>
      </c>
      <c r="JO1021">
        <v>292.10000000000002</v>
      </c>
      <c r="JP1021">
        <v>670.8</v>
      </c>
      <c r="JQ1021">
        <v>745.2</v>
      </c>
      <c r="JR1021">
        <v>242.9</v>
      </c>
    </row>
    <row r="1022" spans="2:278" ht="18" thickBot="1">
      <c r="B1022" s="371" t="s">
        <v>1366</v>
      </c>
      <c r="C1022" s="386"/>
      <c r="D1022" s="386"/>
      <c r="E1022" s="454">
        <v>22829.8</v>
      </c>
      <c r="F1022">
        <v>20193.400000000001</v>
      </c>
      <c r="G1022" s="427">
        <v>0</v>
      </c>
      <c r="H1022" s="155">
        <v>0</v>
      </c>
      <c r="I1022">
        <v>0</v>
      </c>
      <c r="J1022">
        <v>0</v>
      </c>
      <c r="K1022">
        <v>0</v>
      </c>
      <c r="L1022" s="4">
        <v>0</v>
      </c>
      <c r="M1022" s="4">
        <v>0</v>
      </c>
      <c r="N1022" s="4">
        <v>0</v>
      </c>
      <c r="O1022" s="4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1476.4</v>
      </c>
      <c r="X1022">
        <v>1482</v>
      </c>
      <c r="Y1022">
        <v>457.20000000000005</v>
      </c>
      <c r="Z1022">
        <v>0</v>
      </c>
      <c r="AA1022">
        <v>0</v>
      </c>
      <c r="AB1022">
        <v>0</v>
      </c>
      <c r="AC1022">
        <v>0</v>
      </c>
      <c r="AD1022">
        <v>3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1828.6</v>
      </c>
      <c r="AK1022">
        <v>1800.7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560.70000000000005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0</v>
      </c>
      <c r="BU1022">
        <v>0</v>
      </c>
      <c r="BV1022">
        <v>0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  <c r="CF1022">
        <v>0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  <c r="CN1022">
        <v>0</v>
      </c>
      <c r="CO1022">
        <v>0</v>
      </c>
      <c r="CP1022">
        <v>3.5</v>
      </c>
      <c r="CQ1022">
        <v>0</v>
      </c>
      <c r="CR1022">
        <v>528</v>
      </c>
      <c r="CS1022">
        <v>581.79999999999995</v>
      </c>
      <c r="CT1022">
        <v>555.40000000000009</v>
      </c>
      <c r="CU1022">
        <v>737.4</v>
      </c>
      <c r="CV1022">
        <v>1039.0999999999999</v>
      </c>
      <c r="CW1022">
        <v>1667.3</v>
      </c>
      <c r="CX1022">
        <v>877.6</v>
      </c>
      <c r="CY1022">
        <v>910.40000000000009</v>
      </c>
      <c r="CZ1022">
        <v>0</v>
      </c>
      <c r="DA1022">
        <v>0</v>
      </c>
      <c r="DB1022">
        <v>0</v>
      </c>
      <c r="DC1022">
        <v>0</v>
      </c>
      <c r="DD1022">
        <v>0</v>
      </c>
      <c r="DE1022">
        <v>0</v>
      </c>
      <c r="DF1022">
        <v>0</v>
      </c>
      <c r="DG1022">
        <v>0</v>
      </c>
      <c r="DH1022">
        <v>0</v>
      </c>
      <c r="DI1022">
        <v>0</v>
      </c>
      <c r="DJ1022">
        <v>0</v>
      </c>
      <c r="DK1022">
        <v>0</v>
      </c>
      <c r="DL1022">
        <v>995.5</v>
      </c>
      <c r="DM1022">
        <v>712.7</v>
      </c>
      <c r="DN1022">
        <v>0</v>
      </c>
      <c r="DO1022">
        <v>0</v>
      </c>
      <c r="DP1022">
        <v>0</v>
      </c>
      <c r="DQ1022">
        <v>0</v>
      </c>
      <c r="DR1022">
        <v>0</v>
      </c>
      <c r="DS1022">
        <v>0</v>
      </c>
      <c r="DT1022">
        <v>0</v>
      </c>
      <c r="DU1022">
        <v>0</v>
      </c>
      <c r="DV1022">
        <v>0</v>
      </c>
      <c r="DW1022">
        <v>0</v>
      </c>
      <c r="DX1022">
        <v>0</v>
      </c>
      <c r="DY1022">
        <v>0</v>
      </c>
      <c r="DZ1022">
        <v>0</v>
      </c>
      <c r="EA1022">
        <v>0</v>
      </c>
      <c r="EB1022">
        <v>0</v>
      </c>
      <c r="EC1022">
        <v>0</v>
      </c>
      <c r="ED1022">
        <v>0</v>
      </c>
      <c r="EE1022">
        <v>0</v>
      </c>
      <c r="EF1022">
        <v>0</v>
      </c>
      <c r="EG1022">
        <v>0</v>
      </c>
      <c r="EH1022">
        <v>0</v>
      </c>
      <c r="EI1022">
        <v>0</v>
      </c>
      <c r="EJ1022">
        <v>0</v>
      </c>
      <c r="EK1022">
        <v>0</v>
      </c>
      <c r="EL1022">
        <v>0</v>
      </c>
      <c r="EM1022">
        <v>0</v>
      </c>
      <c r="EN1022">
        <v>27.4</v>
      </c>
      <c r="EO1022">
        <v>0</v>
      </c>
      <c r="EP1022">
        <v>1002.5</v>
      </c>
      <c r="EQ1022">
        <v>0</v>
      </c>
      <c r="ER1022">
        <v>494</v>
      </c>
      <c r="ES1022">
        <v>0</v>
      </c>
      <c r="ET1022">
        <v>699.3</v>
      </c>
      <c r="EU1022">
        <v>435.4</v>
      </c>
      <c r="EV1022">
        <v>0</v>
      </c>
      <c r="EW1022">
        <v>0</v>
      </c>
      <c r="EX1022">
        <v>0</v>
      </c>
      <c r="EY1022">
        <v>0</v>
      </c>
      <c r="EZ1022">
        <v>0</v>
      </c>
      <c r="FA1022">
        <v>0</v>
      </c>
      <c r="FB1022">
        <v>0</v>
      </c>
      <c r="FC1022">
        <v>0</v>
      </c>
      <c r="FD1022">
        <v>95.6</v>
      </c>
      <c r="FE1022">
        <v>1792.1</v>
      </c>
      <c r="FF1022">
        <v>1740.1999999999998</v>
      </c>
      <c r="FG1022">
        <v>954.9</v>
      </c>
      <c r="FH1022">
        <v>1087.8000000000002</v>
      </c>
      <c r="FI1022">
        <v>1892.1</v>
      </c>
      <c r="FJ1022">
        <v>1222.5</v>
      </c>
      <c r="FK1022">
        <v>678.3</v>
      </c>
      <c r="FL1022">
        <v>639.1</v>
      </c>
      <c r="FM1022">
        <v>520.5</v>
      </c>
      <c r="FN1022">
        <v>123.8</v>
      </c>
      <c r="FO1022">
        <v>181.6</v>
      </c>
      <c r="FP1022">
        <v>1090.5</v>
      </c>
      <c r="FQ1022">
        <v>0</v>
      </c>
      <c r="FR1022">
        <v>0</v>
      </c>
      <c r="FS1022">
        <v>0</v>
      </c>
      <c r="FT1022">
        <v>0</v>
      </c>
      <c r="FU1022">
        <v>0</v>
      </c>
      <c r="FV1022">
        <v>0</v>
      </c>
      <c r="FW1022">
        <v>0</v>
      </c>
      <c r="FX1022">
        <v>0</v>
      </c>
      <c r="FY1022">
        <v>0</v>
      </c>
      <c r="FZ1022">
        <v>0</v>
      </c>
      <c r="GA1022">
        <v>0</v>
      </c>
      <c r="GB1022">
        <v>0</v>
      </c>
      <c r="GC1022">
        <v>0</v>
      </c>
      <c r="GD1022">
        <v>0</v>
      </c>
      <c r="GE1022">
        <v>0</v>
      </c>
      <c r="GF1022">
        <v>198.3</v>
      </c>
      <c r="GG1022">
        <v>1054.4000000000001</v>
      </c>
      <c r="GH1022">
        <v>552.79999999999995</v>
      </c>
      <c r="GI1022">
        <v>522</v>
      </c>
      <c r="GJ1022">
        <v>0</v>
      </c>
      <c r="GK1022">
        <v>0</v>
      </c>
      <c r="GL1022">
        <v>0</v>
      </c>
      <c r="GM1022">
        <v>0</v>
      </c>
      <c r="GN1022">
        <v>791.40000000000009</v>
      </c>
      <c r="GO1022">
        <v>1816.5</v>
      </c>
      <c r="GP1022">
        <v>0</v>
      </c>
      <c r="GQ1022">
        <v>0</v>
      </c>
      <c r="GR1022">
        <v>0</v>
      </c>
      <c r="GS1022">
        <v>0</v>
      </c>
      <c r="GT1022">
        <v>0</v>
      </c>
      <c r="GU1022">
        <v>0</v>
      </c>
      <c r="GV1022">
        <v>0</v>
      </c>
      <c r="GW1022">
        <v>0</v>
      </c>
      <c r="GX1022">
        <v>0</v>
      </c>
      <c r="GY1022">
        <v>840.3</v>
      </c>
      <c r="GZ1022">
        <v>0</v>
      </c>
      <c r="HA1022">
        <v>0</v>
      </c>
      <c r="HB1022">
        <v>0</v>
      </c>
      <c r="HC1022">
        <v>380.4</v>
      </c>
      <c r="HD1022">
        <v>2175.5</v>
      </c>
      <c r="HE1022">
        <v>0</v>
      </c>
      <c r="HF1022">
        <v>0</v>
      </c>
      <c r="HG1022">
        <v>0</v>
      </c>
      <c r="HH1022">
        <v>0</v>
      </c>
      <c r="HI1022">
        <v>0</v>
      </c>
      <c r="HJ1022">
        <v>803.40000000000009</v>
      </c>
      <c r="HK1022">
        <v>1270.9000000000001</v>
      </c>
      <c r="HL1022">
        <v>835.7</v>
      </c>
      <c r="HM1022">
        <v>1162.5999999999999</v>
      </c>
      <c r="HN1022">
        <v>0</v>
      </c>
      <c r="HO1022">
        <v>0</v>
      </c>
      <c r="HP1022">
        <v>0</v>
      </c>
      <c r="HQ1022">
        <v>0</v>
      </c>
      <c r="HR1022">
        <v>161.19999999999999</v>
      </c>
      <c r="HS1022">
        <v>0</v>
      </c>
      <c r="HT1022">
        <v>2048.5</v>
      </c>
      <c r="HU1022">
        <v>2627.5</v>
      </c>
      <c r="HV1022">
        <v>1168.5999999999999</v>
      </c>
      <c r="HW1022">
        <v>388</v>
      </c>
      <c r="HX1022">
        <v>0</v>
      </c>
      <c r="HY1022">
        <v>0</v>
      </c>
      <c r="HZ1022">
        <v>0</v>
      </c>
      <c r="IA1022">
        <v>0</v>
      </c>
      <c r="IB1022">
        <v>0</v>
      </c>
      <c r="IC1022">
        <v>594.4</v>
      </c>
      <c r="ID1022">
        <v>427.4</v>
      </c>
      <c r="IE1022">
        <v>713.3</v>
      </c>
      <c r="IF1022">
        <v>626.1</v>
      </c>
      <c r="IG1022">
        <v>0</v>
      </c>
      <c r="IH1022">
        <v>0</v>
      </c>
      <c r="II1022">
        <v>995.7</v>
      </c>
      <c r="IJ1022">
        <v>1156.5999999999999</v>
      </c>
      <c r="IK1022">
        <v>864.6</v>
      </c>
      <c r="IL1022">
        <v>316.5</v>
      </c>
      <c r="IM1022">
        <v>101.5</v>
      </c>
      <c r="IN1022">
        <v>71.8</v>
      </c>
      <c r="IO1022">
        <v>0</v>
      </c>
      <c r="IP1022">
        <v>0</v>
      </c>
      <c r="IQ1022">
        <v>0</v>
      </c>
      <c r="IR1022">
        <v>0</v>
      </c>
      <c r="IS1022">
        <v>0</v>
      </c>
      <c r="IT1022">
        <v>0</v>
      </c>
      <c r="IU1022">
        <v>0</v>
      </c>
      <c r="IV1022">
        <v>0</v>
      </c>
      <c r="IW1022">
        <v>68</v>
      </c>
      <c r="IX1022">
        <v>404.7</v>
      </c>
      <c r="IY1022">
        <v>126.6</v>
      </c>
      <c r="IZ1022">
        <v>126.6</v>
      </c>
      <c r="JA1022">
        <v>503.7</v>
      </c>
      <c r="JB1022">
        <v>570.1</v>
      </c>
      <c r="JC1022">
        <v>328.3</v>
      </c>
      <c r="JD1022">
        <v>0</v>
      </c>
      <c r="JE1022">
        <v>0</v>
      </c>
      <c r="JF1022">
        <v>0</v>
      </c>
      <c r="JG1022">
        <v>0</v>
      </c>
      <c r="JH1022">
        <v>287.3</v>
      </c>
      <c r="JI1022">
        <v>68.2</v>
      </c>
      <c r="JJ1022">
        <v>0</v>
      </c>
      <c r="JK1022">
        <v>148.6</v>
      </c>
      <c r="JL1022">
        <v>0</v>
      </c>
      <c r="JM1022">
        <v>0</v>
      </c>
      <c r="JN1022">
        <v>204.5</v>
      </c>
      <c r="JO1022">
        <v>292.10000000000002</v>
      </c>
      <c r="JP1022">
        <v>670.8</v>
      </c>
      <c r="JQ1022">
        <v>745.2</v>
      </c>
      <c r="JR1022">
        <v>242.9</v>
      </c>
    </row>
    <row r="1023" spans="2:278" ht="18" thickBot="1">
      <c r="B1023" s="368" t="s">
        <v>1367</v>
      </c>
      <c r="C1023" s="423" t="s">
        <v>1676</v>
      </c>
      <c r="D1023" s="368" t="s">
        <v>1489</v>
      </c>
      <c r="E1023" s="454">
        <v>22829.8</v>
      </c>
      <c r="F1023">
        <v>20193.400000000001</v>
      </c>
      <c r="G1023" s="427">
        <v>0</v>
      </c>
      <c r="H1023" s="155">
        <v>0</v>
      </c>
      <c r="I1023">
        <v>0</v>
      </c>
      <c r="J1023">
        <v>0</v>
      </c>
      <c r="K1023">
        <v>0</v>
      </c>
      <c r="L1023" s="4">
        <v>0</v>
      </c>
      <c r="M1023" s="4">
        <v>0</v>
      </c>
      <c r="N1023" s="4">
        <v>0</v>
      </c>
      <c r="O1023" s="4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1476.4</v>
      </c>
      <c r="X1023">
        <v>1482</v>
      </c>
      <c r="Y1023">
        <v>457.20000000000005</v>
      </c>
      <c r="Z1023">
        <v>0</v>
      </c>
      <c r="AA1023">
        <v>0</v>
      </c>
      <c r="AB1023">
        <v>0</v>
      </c>
      <c r="AC1023">
        <v>0</v>
      </c>
      <c r="AD1023">
        <v>3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1828.6</v>
      </c>
      <c r="AK1023">
        <v>1800.7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560.70000000000005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0</v>
      </c>
      <c r="BN1023">
        <v>0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  <c r="CF1023">
        <v>0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  <c r="CN1023">
        <v>0</v>
      </c>
      <c r="CO1023">
        <v>0</v>
      </c>
      <c r="CP1023">
        <v>3.5</v>
      </c>
      <c r="CQ1023">
        <v>0</v>
      </c>
      <c r="CR1023">
        <v>528</v>
      </c>
      <c r="CS1023">
        <v>581.79999999999995</v>
      </c>
      <c r="CT1023">
        <v>555.40000000000009</v>
      </c>
      <c r="CU1023">
        <v>737.4</v>
      </c>
      <c r="CV1023">
        <v>1039.0999999999999</v>
      </c>
      <c r="CW1023">
        <v>1667.3</v>
      </c>
      <c r="CX1023">
        <v>877.6</v>
      </c>
      <c r="CY1023">
        <v>910.40000000000009</v>
      </c>
      <c r="CZ1023">
        <v>0</v>
      </c>
      <c r="DA1023">
        <v>0</v>
      </c>
      <c r="DB1023">
        <v>0</v>
      </c>
      <c r="DC1023">
        <v>0</v>
      </c>
      <c r="DD1023">
        <v>0</v>
      </c>
      <c r="DE1023">
        <v>0</v>
      </c>
      <c r="DF1023">
        <v>0</v>
      </c>
      <c r="DG1023">
        <v>0</v>
      </c>
      <c r="DH1023">
        <v>0</v>
      </c>
      <c r="DI1023">
        <v>0</v>
      </c>
      <c r="DJ1023">
        <v>0</v>
      </c>
      <c r="DK1023">
        <v>0</v>
      </c>
      <c r="DL1023">
        <v>995.5</v>
      </c>
      <c r="DM1023">
        <v>712.7</v>
      </c>
      <c r="DN1023">
        <v>0</v>
      </c>
      <c r="DO1023">
        <v>0</v>
      </c>
      <c r="DP1023">
        <v>0</v>
      </c>
      <c r="DQ1023">
        <v>0</v>
      </c>
      <c r="DR1023">
        <v>0</v>
      </c>
      <c r="DS1023">
        <v>0</v>
      </c>
      <c r="DT1023">
        <v>0</v>
      </c>
      <c r="DU1023">
        <v>0</v>
      </c>
      <c r="DV1023">
        <v>0</v>
      </c>
      <c r="DW1023">
        <v>0</v>
      </c>
      <c r="DX1023">
        <v>0</v>
      </c>
      <c r="DY1023">
        <v>0</v>
      </c>
      <c r="DZ1023">
        <v>0</v>
      </c>
      <c r="EA1023">
        <v>0</v>
      </c>
      <c r="EB1023">
        <v>0</v>
      </c>
      <c r="EC1023">
        <v>0</v>
      </c>
      <c r="ED1023">
        <v>0</v>
      </c>
      <c r="EE1023">
        <v>0</v>
      </c>
      <c r="EF1023">
        <v>0</v>
      </c>
      <c r="EG1023">
        <v>0</v>
      </c>
      <c r="EH1023">
        <v>0</v>
      </c>
      <c r="EI1023">
        <v>0</v>
      </c>
      <c r="EJ1023">
        <v>0</v>
      </c>
      <c r="EK1023">
        <v>0</v>
      </c>
      <c r="EL1023">
        <v>0</v>
      </c>
      <c r="EM1023">
        <v>0</v>
      </c>
      <c r="EN1023">
        <v>27.4</v>
      </c>
      <c r="EO1023">
        <v>0</v>
      </c>
      <c r="EP1023">
        <v>1002.5</v>
      </c>
      <c r="EQ1023">
        <v>0</v>
      </c>
      <c r="ER1023">
        <v>494</v>
      </c>
      <c r="ES1023">
        <v>0</v>
      </c>
      <c r="ET1023">
        <v>699.3</v>
      </c>
      <c r="EU1023">
        <v>435.4</v>
      </c>
      <c r="EV1023">
        <v>0</v>
      </c>
      <c r="EW1023">
        <v>0</v>
      </c>
      <c r="EX1023">
        <v>0</v>
      </c>
      <c r="EY1023">
        <v>0</v>
      </c>
      <c r="EZ1023">
        <v>0</v>
      </c>
      <c r="FA1023">
        <v>0</v>
      </c>
      <c r="FB1023">
        <v>0</v>
      </c>
      <c r="FC1023">
        <v>0</v>
      </c>
      <c r="FD1023">
        <v>95.6</v>
      </c>
      <c r="FE1023">
        <v>1792.1</v>
      </c>
      <c r="FF1023">
        <v>1740.1999999999998</v>
      </c>
      <c r="FG1023">
        <v>954.9</v>
      </c>
      <c r="FH1023">
        <v>1087.8000000000002</v>
      </c>
      <c r="FI1023">
        <v>1892.1</v>
      </c>
      <c r="FJ1023">
        <v>1222.5</v>
      </c>
      <c r="FK1023">
        <v>678.3</v>
      </c>
      <c r="FL1023">
        <v>639.1</v>
      </c>
      <c r="FM1023">
        <v>520.5</v>
      </c>
      <c r="FN1023">
        <v>123.8</v>
      </c>
      <c r="FO1023">
        <v>181.6</v>
      </c>
      <c r="FP1023">
        <v>1090.5</v>
      </c>
      <c r="FQ1023">
        <v>0</v>
      </c>
      <c r="FR1023">
        <v>0</v>
      </c>
      <c r="FS1023">
        <v>0</v>
      </c>
      <c r="FT1023">
        <v>0</v>
      </c>
      <c r="FU1023">
        <v>0</v>
      </c>
      <c r="FV1023">
        <v>0</v>
      </c>
      <c r="FW1023">
        <v>0</v>
      </c>
      <c r="FX1023">
        <v>0</v>
      </c>
      <c r="FY1023">
        <v>0</v>
      </c>
      <c r="FZ1023">
        <v>0</v>
      </c>
      <c r="GA1023">
        <v>0</v>
      </c>
      <c r="GB1023">
        <v>0</v>
      </c>
      <c r="GC1023">
        <v>0</v>
      </c>
      <c r="GD1023">
        <v>0</v>
      </c>
      <c r="GE1023">
        <v>0</v>
      </c>
      <c r="GF1023">
        <v>198.3</v>
      </c>
      <c r="GG1023">
        <v>1054.4000000000001</v>
      </c>
      <c r="GH1023">
        <v>552.79999999999995</v>
      </c>
      <c r="GI1023">
        <v>522</v>
      </c>
      <c r="GJ1023">
        <v>0</v>
      </c>
      <c r="GK1023">
        <v>0</v>
      </c>
      <c r="GL1023">
        <v>0</v>
      </c>
      <c r="GM1023">
        <v>0</v>
      </c>
      <c r="GN1023">
        <v>791.40000000000009</v>
      </c>
      <c r="GO1023">
        <v>1816.5</v>
      </c>
      <c r="GP1023">
        <v>0</v>
      </c>
      <c r="GQ1023">
        <v>0</v>
      </c>
      <c r="GR1023">
        <v>0</v>
      </c>
      <c r="GS1023">
        <v>0</v>
      </c>
      <c r="GT1023">
        <v>0</v>
      </c>
      <c r="GU1023">
        <v>0</v>
      </c>
      <c r="GV1023">
        <v>0</v>
      </c>
      <c r="GW1023">
        <v>0</v>
      </c>
      <c r="GX1023">
        <v>0</v>
      </c>
      <c r="GY1023">
        <v>840.3</v>
      </c>
      <c r="GZ1023">
        <v>0</v>
      </c>
      <c r="HA1023">
        <v>0</v>
      </c>
      <c r="HB1023">
        <v>0</v>
      </c>
      <c r="HC1023">
        <v>380.4</v>
      </c>
      <c r="HD1023">
        <v>2175.5</v>
      </c>
      <c r="HE1023">
        <v>0</v>
      </c>
      <c r="HF1023">
        <v>0</v>
      </c>
      <c r="HG1023">
        <v>0</v>
      </c>
      <c r="HH1023">
        <v>0</v>
      </c>
      <c r="HI1023">
        <v>0</v>
      </c>
      <c r="HJ1023">
        <v>803.40000000000009</v>
      </c>
      <c r="HK1023">
        <v>1270.9000000000001</v>
      </c>
      <c r="HL1023">
        <v>835.7</v>
      </c>
      <c r="HM1023">
        <v>1162.5999999999999</v>
      </c>
      <c r="HN1023">
        <v>0</v>
      </c>
      <c r="HO1023">
        <v>0</v>
      </c>
      <c r="HP1023">
        <v>0</v>
      </c>
      <c r="HQ1023">
        <v>0</v>
      </c>
      <c r="HR1023">
        <v>161.19999999999999</v>
      </c>
      <c r="HS1023">
        <v>0</v>
      </c>
      <c r="HT1023">
        <v>2048.5</v>
      </c>
      <c r="HU1023">
        <v>2627.5</v>
      </c>
      <c r="HV1023">
        <v>1168.5999999999999</v>
      </c>
      <c r="HW1023">
        <v>388</v>
      </c>
      <c r="HX1023">
        <v>0</v>
      </c>
      <c r="HY1023">
        <v>0</v>
      </c>
      <c r="HZ1023">
        <v>0</v>
      </c>
      <c r="IA1023">
        <v>0</v>
      </c>
      <c r="IB1023">
        <v>0</v>
      </c>
      <c r="IC1023">
        <v>594.4</v>
      </c>
      <c r="ID1023">
        <v>427.4</v>
      </c>
      <c r="IE1023">
        <v>713.3</v>
      </c>
      <c r="IF1023">
        <v>626.1</v>
      </c>
      <c r="IG1023">
        <v>0</v>
      </c>
      <c r="IH1023">
        <v>0</v>
      </c>
      <c r="II1023">
        <v>995.7</v>
      </c>
      <c r="IJ1023">
        <v>1156.5999999999999</v>
      </c>
      <c r="IK1023">
        <v>864.6</v>
      </c>
      <c r="IL1023">
        <v>316.5</v>
      </c>
      <c r="IM1023">
        <v>101.5</v>
      </c>
      <c r="IN1023">
        <v>71.8</v>
      </c>
      <c r="IO1023">
        <v>0</v>
      </c>
      <c r="IP1023">
        <v>0</v>
      </c>
      <c r="IQ1023">
        <v>0</v>
      </c>
      <c r="IR1023">
        <v>0</v>
      </c>
      <c r="IS1023">
        <v>0</v>
      </c>
      <c r="IT1023">
        <v>0</v>
      </c>
      <c r="IU1023">
        <v>0</v>
      </c>
      <c r="IV1023">
        <v>0</v>
      </c>
      <c r="IW1023">
        <v>68</v>
      </c>
      <c r="IX1023">
        <v>404.7</v>
      </c>
      <c r="IY1023">
        <v>126.6</v>
      </c>
      <c r="IZ1023">
        <v>126.6</v>
      </c>
      <c r="JA1023">
        <v>503.7</v>
      </c>
      <c r="JB1023">
        <v>570.1</v>
      </c>
      <c r="JC1023">
        <v>328.3</v>
      </c>
      <c r="JD1023">
        <v>0</v>
      </c>
      <c r="JE1023">
        <v>0</v>
      </c>
      <c r="JF1023">
        <v>0</v>
      </c>
      <c r="JG1023">
        <v>0</v>
      </c>
      <c r="JH1023">
        <v>287.3</v>
      </c>
      <c r="JI1023">
        <v>68.2</v>
      </c>
      <c r="JJ1023">
        <v>0</v>
      </c>
      <c r="JK1023">
        <v>148.6</v>
      </c>
      <c r="JL1023">
        <v>0</v>
      </c>
      <c r="JM1023">
        <v>0</v>
      </c>
      <c r="JN1023">
        <v>204.5</v>
      </c>
      <c r="JO1023">
        <v>292.10000000000002</v>
      </c>
      <c r="JP1023">
        <v>670.8</v>
      </c>
      <c r="JQ1023">
        <v>745.2</v>
      </c>
      <c r="JR1023">
        <v>242.9</v>
      </c>
    </row>
    <row r="1024" spans="2:278" ht="18" thickBot="1">
      <c r="B1024" s="368" t="s">
        <v>1368</v>
      </c>
      <c r="C1024" s="423" t="s">
        <v>1677</v>
      </c>
      <c r="D1024" s="368" t="s">
        <v>1489</v>
      </c>
      <c r="E1024" s="454">
        <v>22829.8</v>
      </c>
      <c r="F1024">
        <v>20193.400000000001</v>
      </c>
      <c r="G1024" s="427">
        <v>0</v>
      </c>
      <c r="H1024" s="155">
        <v>0</v>
      </c>
      <c r="I1024">
        <v>0</v>
      </c>
      <c r="J1024">
        <v>0</v>
      </c>
      <c r="K1024">
        <v>0</v>
      </c>
      <c r="L1024" s="4">
        <v>0</v>
      </c>
      <c r="M1024" s="4">
        <v>0</v>
      </c>
      <c r="N1024" s="4">
        <v>0</v>
      </c>
      <c r="O1024" s="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1476.4</v>
      </c>
      <c r="X1024">
        <v>1482</v>
      </c>
      <c r="Y1024">
        <v>457.20000000000005</v>
      </c>
      <c r="Z1024">
        <v>0</v>
      </c>
      <c r="AA1024">
        <v>0</v>
      </c>
      <c r="AB1024">
        <v>0</v>
      </c>
      <c r="AC1024">
        <v>0</v>
      </c>
      <c r="AD1024">
        <v>3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1828.6</v>
      </c>
      <c r="AK1024">
        <v>1800.7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560.70000000000005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0</v>
      </c>
      <c r="BU1024">
        <v>0</v>
      </c>
      <c r="BV1024">
        <v>0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  <c r="CF1024">
        <v>0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  <c r="CN1024">
        <v>0</v>
      </c>
      <c r="CO1024">
        <v>0</v>
      </c>
      <c r="CP1024">
        <v>3.5</v>
      </c>
      <c r="CQ1024">
        <v>0</v>
      </c>
      <c r="CR1024">
        <v>528</v>
      </c>
      <c r="CS1024">
        <v>581.79999999999995</v>
      </c>
      <c r="CT1024">
        <v>555.40000000000009</v>
      </c>
      <c r="CU1024">
        <v>737.4</v>
      </c>
      <c r="CV1024">
        <v>1039.0999999999999</v>
      </c>
      <c r="CW1024">
        <v>1667.3</v>
      </c>
      <c r="CX1024">
        <v>877.6</v>
      </c>
      <c r="CY1024">
        <v>910.40000000000009</v>
      </c>
      <c r="CZ1024">
        <v>0</v>
      </c>
      <c r="DA1024">
        <v>0</v>
      </c>
      <c r="DB1024">
        <v>0</v>
      </c>
      <c r="DC1024">
        <v>0</v>
      </c>
      <c r="DD1024">
        <v>0</v>
      </c>
      <c r="DE1024">
        <v>0</v>
      </c>
      <c r="DF1024">
        <v>0</v>
      </c>
      <c r="DG1024">
        <v>0</v>
      </c>
      <c r="DH1024">
        <v>0</v>
      </c>
      <c r="DI1024">
        <v>0</v>
      </c>
      <c r="DJ1024">
        <v>0</v>
      </c>
      <c r="DK1024">
        <v>0</v>
      </c>
      <c r="DL1024">
        <v>995.5</v>
      </c>
      <c r="DM1024">
        <v>712.7</v>
      </c>
      <c r="DN1024">
        <v>0</v>
      </c>
      <c r="DO1024">
        <v>0</v>
      </c>
      <c r="DP1024">
        <v>0</v>
      </c>
      <c r="DQ1024">
        <v>0</v>
      </c>
      <c r="DR1024">
        <v>0</v>
      </c>
      <c r="DS1024">
        <v>0</v>
      </c>
      <c r="DT1024">
        <v>0</v>
      </c>
      <c r="DU1024">
        <v>0</v>
      </c>
      <c r="DV1024">
        <v>0</v>
      </c>
      <c r="DW1024">
        <v>0</v>
      </c>
      <c r="DX1024">
        <v>0</v>
      </c>
      <c r="DY1024">
        <v>0</v>
      </c>
      <c r="DZ1024">
        <v>0</v>
      </c>
      <c r="EA1024">
        <v>0</v>
      </c>
      <c r="EB1024">
        <v>0</v>
      </c>
      <c r="EC1024">
        <v>0</v>
      </c>
      <c r="ED1024">
        <v>0</v>
      </c>
      <c r="EE1024">
        <v>0</v>
      </c>
      <c r="EF1024">
        <v>0</v>
      </c>
      <c r="EG1024">
        <v>0</v>
      </c>
      <c r="EH1024">
        <v>0</v>
      </c>
      <c r="EI1024">
        <v>0</v>
      </c>
      <c r="EJ1024">
        <v>0</v>
      </c>
      <c r="EK1024">
        <v>0</v>
      </c>
      <c r="EL1024">
        <v>0</v>
      </c>
      <c r="EM1024">
        <v>0</v>
      </c>
      <c r="EN1024">
        <v>27.4</v>
      </c>
      <c r="EO1024">
        <v>0</v>
      </c>
      <c r="EP1024">
        <v>1002.5</v>
      </c>
      <c r="EQ1024">
        <v>0</v>
      </c>
      <c r="ER1024">
        <v>494</v>
      </c>
      <c r="ES1024">
        <v>0</v>
      </c>
      <c r="ET1024">
        <v>699.3</v>
      </c>
      <c r="EU1024">
        <v>435.4</v>
      </c>
      <c r="EV1024">
        <v>0</v>
      </c>
      <c r="EW1024">
        <v>0</v>
      </c>
      <c r="EX1024">
        <v>0</v>
      </c>
      <c r="EY1024">
        <v>0</v>
      </c>
      <c r="EZ1024">
        <v>0</v>
      </c>
      <c r="FA1024">
        <v>0</v>
      </c>
      <c r="FB1024">
        <v>0</v>
      </c>
      <c r="FC1024">
        <v>0</v>
      </c>
      <c r="FD1024">
        <v>95.6</v>
      </c>
      <c r="FE1024">
        <v>1792.1</v>
      </c>
      <c r="FF1024">
        <v>1740.1999999999998</v>
      </c>
      <c r="FG1024">
        <v>954.9</v>
      </c>
      <c r="FH1024">
        <v>1087.8000000000002</v>
      </c>
      <c r="FI1024">
        <v>1892.1</v>
      </c>
      <c r="FJ1024">
        <v>1222.5</v>
      </c>
      <c r="FK1024">
        <v>678.3</v>
      </c>
      <c r="FL1024">
        <v>639.1</v>
      </c>
      <c r="FM1024">
        <v>520.5</v>
      </c>
      <c r="FN1024">
        <v>123.8</v>
      </c>
      <c r="FO1024">
        <v>181.6</v>
      </c>
      <c r="FP1024">
        <v>1090.5</v>
      </c>
      <c r="FQ1024">
        <v>0</v>
      </c>
      <c r="FR1024">
        <v>0</v>
      </c>
      <c r="FS1024">
        <v>0</v>
      </c>
      <c r="FT1024">
        <v>0</v>
      </c>
      <c r="FU1024">
        <v>0</v>
      </c>
      <c r="FV1024">
        <v>0</v>
      </c>
      <c r="FW1024">
        <v>0</v>
      </c>
      <c r="FX1024">
        <v>0</v>
      </c>
      <c r="FY1024">
        <v>0</v>
      </c>
      <c r="FZ1024">
        <v>0</v>
      </c>
      <c r="GA1024">
        <v>0</v>
      </c>
      <c r="GB1024">
        <v>0</v>
      </c>
      <c r="GC1024">
        <v>0</v>
      </c>
      <c r="GD1024">
        <v>0</v>
      </c>
      <c r="GE1024">
        <v>0</v>
      </c>
      <c r="GF1024">
        <v>198.3</v>
      </c>
      <c r="GG1024">
        <v>1054.4000000000001</v>
      </c>
      <c r="GH1024">
        <v>552.79999999999995</v>
      </c>
      <c r="GI1024">
        <v>522</v>
      </c>
      <c r="GJ1024">
        <v>0</v>
      </c>
      <c r="GK1024">
        <v>0</v>
      </c>
      <c r="GL1024">
        <v>0</v>
      </c>
      <c r="GM1024">
        <v>0</v>
      </c>
      <c r="GN1024">
        <v>791.40000000000009</v>
      </c>
      <c r="GO1024">
        <v>1816.5</v>
      </c>
      <c r="GP1024">
        <v>0</v>
      </c>
      <c r="GQ1024">
        <v>0</v>
      </c>
      <c r="GR1024">
        <v>0</v>
      </c>
      <c r="GS1024">
        <v>0</v>
      </c>
      <c r="GT1024">
        <v>0</v>
      </c>
      <c r="GU1024">
        <v>0</v>
      </c>
      <c r="GV1024">
        <v>0</v>
      </c>
      <c r="GW1024">
        <v>0</v>
      </c>
      <c r="GX1024">
        <v>0</v>
      </c>
      <c r="GY1024">
        <v>840.3</v>
      </c>
      <c r="GZ1024">
        <v>0</v>
      </c>
      <c r="HA1024">
        <v>0</v>
      </c>
      <c r="HB1024">
        <v>0</v>
      </c>
      <c r="HC1024">
        <v>380.4</v>
      </c>
      <c r="HD1024">
        <v>2175.5</v>
      </c>
      <c r="HE1024">
        <v>0</v>
      </c>
      <c r="HF1024">
        <v>0</v>
      </c>
      <c r="HG1024">
        <v>0</v>
      </c>
      <c r="HH1024">
        <v>0</v>
      </c>
      <c r="HI1024">
        <v>0</v>
      </c>
      <c r="HJ1024">
        <v>803.40000000000009</v>
      </c>
      <c r="HK1024">
        <v>1270.9000000000001</v>
      </c>
      <c r="HL1024">
        <v>835.7</v>
      </c>
      <c r="HM1024">
        <v>1162.5999999999999</v>
      </c>
      <c r="HN1024">
        <v>0</v>
      </c>
      <c r="HO1024">
        <v>0</v>
      </c>
      <c r="HP1024">
        <v>0</v>
      </c>
      <c r="HQ1024">
        <v>0</v>
      </c>
      <c r="HR1024">
        <v>161.19999999999999</v>
      </c>
      <c r="HS1024">
        <v>0</v>
      </c>
      <c r="HT1024">
        <v>2048.5</v>
      </c>
      <c r="HU1024">
        <v>2627.5</v>
      </c>
      <c r="HV1024">
        <v>1168.5999999999999</v>
      </c>
      <c r="HW1024">
        <v>388</v>
      </c>
      <c r="HX1024">
        <v>0</v>
      </c>
      <c r="HY1024">
        <v>0</v>
      </c>
      <c r="HZ1024">
        <v>0</v>
      </c>
      <c r="IA1024">
        <v>0</v>
      </c>
      <c r="IB1024">
        <v>0</v>
      </c>
      <c r="IC1024">
        <v>594.4</v>
      </c>
      <c r="ID1024">
        <v>427.4</v>
      </c>
      <c r="IE1024">
        <v>713.3</v>
      </c>
      <c r="IF1024">
        <v>626.1</v>
      </c>
      <c r="IG1024">
        <v>0</v>
      </c>
      <c r="IH1024">
        <v>0</v>
      </c>
      <c r="II1024">
        <v>995.7</v>
      </c>
      <c r="IJ1024">
        <v>1156.5999999999999</v>
      </c>
      <c r="IK1024">
        <v>864.6</v>
      </c>
      <c r="IL1024">
        <v>316.5</v>
      </c>
      <c r="IM1024">
        <v>101.5</v>
      </c>
      <c r="IN1024">
        <v>71.8</v>
      </c>
      <c r="IO1024">
        <v>0</v>
      </c>
      <c r="IP1024">
        <v>0</v>
      </c>
      <c r="IQ1024">
        <v>0</v>
      </c>
      <c r="IR1024">
        <v>0</v>
      </c>
      <c r="IS1024">
        <v>0</v>
      </c>
      <c r="IT1024">
        <v>0</v>
      </c>
      <c r="IU1024">
        <v>0</v>
      </c>
      <c r="IV1024">
        <v>0</v>
      </c>
      <c r="IW1024">
        <v>68</v>
      </c>
      <c r="IX1024">
        <v>404.7</v>
      </c>
      <c r="IY1024">
        <v>126.6</v>
      </c>
      <c r="IZ1024">
        <v>126.6</v>
      </c>
      <c r="JA1024">
        <v>503.7</v>
      </c>
      <c r="JB1024">
        <v>570.1</v>
      </c>
      <c r="JC1024">
        <v>328.3</v>
      </c>
      <c r="JD1024">
        <v>0</v>
      </c>
      <c r="JE1024">
        <v>0</v>
      </c>
      <c r="JF1024">
        <v>0</v>
      </c>
      <c r="JG1024">
        <v>0</v>
      </c>
      <c r="JH1024">
        <v>287.3</v>
      </c>
      <c r="JI1024">
        <v>68.2</v>
      </c>
      <c r="JJ1024">
        <v>0</v>
      </c>
      <c r="JK1024">
        <v>148.6</v>
      </c>
      <c r="JL1024">
        <v>0</v>
      </c>
      <c r="JM1024">
        <v>0</v>
      </c>
      <c r="JN1024">
        <v>204.5</v>
      </c>
      <c r="JO1024">
        <v>292.10000000000002</v>
      </c>
      <c r="JP1024">
        <v>670.8</v>
      </c>
      <c r="JQ1024">
        <v>745.2</v>
      </c>
      <c r="JR1024">
        <v>242.9</v>
      </c>
    </row>
    <row r="1025" spans="2:278" ht="18" thickBot="1">
      <c r="B1025" s="368" t="s">
        <v>1369</v>
      </c>
      <c r="C1025" s="423" t="s">
        <v>1678</v>
      </c>
      <c r="D1025" s="368" t="s">
        <v>1489</v>
      </c>
      <c r="E1025" s="454">
        <v>22829.8</v>
      </c>
      <c r="F1025">
        <v>20193.400000000001</v>
      </c>
      <c r="G1025" s="427">
        <v>0</v>
      </c>
      <c r="H1025" s="155">
        <v>0</v>
      </c>
      <c r="I1025">
        <v>0</v>
      </c>
      <c r="J1025">
        <v>0</v>
      </c>
      <c r="K1025">
        <v>0</v>
      </c>
      <c r="L1025" s="4">
        <v>0</v>
      </c>
      <c r="M1025" s="4">
        <v>0</v>
      </c>
      <c r="N1025" s="4">
        <v>0</v>
      </c>
      <c r="O1025" s="4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1476.4</v>
      </c>
      <c r="X1025">
        <v>1482</v>
      </c>
      <c r="Y1025">
        <v>457.20000000000005</v>
      </c>
      <c r="Z1025">
        <v>0</v>
      </c>
      <c r="AA1025">
        <v>0</v>
      </c>
      <c r="AB1025">
        <v>0</v>
      </c>
      <c r="AC1025">
        <v>0</v>
      </c>
      <c r="AD1025">
        <v>3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1828.6</v>
      </c>
      <c r="AK1025">
        <v>1800.7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560.70000000000005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  <c r="CF1025">
        <v>0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  <c r="CN1025">
        <v>0</v>
      </c>
      <c r="CO1025">
        <v>0</v>
      </c>
      <c r="CP1025">
        <v>3.5</v>
      </c>
      <c r="CQ1025">
        <v>0</v>
      </c>
      <c r="CR1025">
        <v>528</v>
      </c>
      <c r="CS1025">
        <v>581.79999999999995</v>
      </c>
      <c r="CT1025">
        <v>555.40000000000009</v>
      </c>
      <c r="CU1025">
        <v>737.4</v>
      </c>
      <c r="CV1025">
        <v>1039.0999999999999</v>
      </c>
      <c r="CW1025">
        <v>1667.3</v>
      </c>
      <c r="CX1025">
        <v>877.6</v>
      </c>
      <c r="CY1025">
        <v>910.40000000000009</v>
      </c>
      <c r="CZ1025">
        <v>0</v>
      </c>
      <c r="DA1025">
        <v>0</v>
      </c>
      <c r="DB1025">
        <v>0</v>
      </c>
      <c r="DC1025">
        <v>0</v>
      </c>
      <c r="DD1025">
        <v>0</v>
      </c>
      <c r="DE1025">
        <v>0</v>
      </c>
      <c r="DF1025">
        <v>0</v>
      </c>
      <c r="DG1025">
        <v>0</v>
      </c>
      <c r="DH1025">
        <v>0</v>
      </c>
      <c r="DI1025">
        <v>0</v>
      </c>
      <c r="DJ1025">
        <v>0</v>
      </c>
      <c r="DK1025">
        <v>0</v>
      </c>
      <c r="DL1025">
        <v>995.5</v>
      </c>
      <c r="DM1025">
        <v>712.7</v>
      </c>
      <c r="DN1025">
        <v>0</v>
      </c>
      <c r="DO1025">
        <v>0</v>
      </c>
      <c r="DP1025">
        <v>0</v>
      </c>
      <c r="DQ1025">
        <v>0</v>
      </c>
      <c r="DR1025">
        <v>0</v>
      </c>
      <c r="DS1025">
        <v>0</v>
      </c>
      <c r="DT1025">
        <v>0</v>
      </c>
      <c r="DU1025">
        <v>0</v>
      </c>
      <c r="DV1025">
        <v>0</v>
      </c>
      <c r="DW1025">
        <v>0</v>
      </c>
      <c r="DX1025">
        <v>0</v>
      </c>
      <c r="DY1025">
        <v>0</v>
      </c>
      <c r="DZ1025">
        <v>0</v>
      </c>
      <c r="EA1025">
        <v>0</v>
      </c>
      <c r="EB1025">
        <v>0</v>
      </c>
      <c r="EC1025">
        <v>0</v>
      </c>
      <c r="ED1025">
        <v>0</v>
      </c>
      <c r="EE1025">
        <v>0</v>
      </c>
      <c r="EF1025">
        <v>0</v>
      </c>
      <c r="EG1025">
        <v>0</v>
      </c>
      <c r="EH1025">
        <v>0</v>
      </c>
      <c r="EI1025">
        <v>0</v>
      </c>
      <c r="EJ1025">
        <v>0</v>
      </c>
      <c r="EK1025">
        <v>0</v>
      </c>
      <c r="EL1025">
        <v>0</v>
      </c>
      <c r="EM1025">
        <v>0</v>
      </c>
      <c r="EN1025">
        <v>27.4</v>
      </c>
      <c r="EO1025">
        <v>0</v>
      </c>
      <c r="EP1025">
        <v>1002.5</v>
      </c>
      <c r="EQ1025">
        <v>0</v>
      </c>
      <c r="ER1025">
        <v>494</v>
      </c>
      <c r="ES1025">
        <v>0</v>
      </c>
      <c r="ET1025">
        <v>699.3</v>
      </c>
      <c r="EU1025">
        <v>435.4</v>
      </c>
      <c r="EV1025">
        <v>0</v>
      </c>
      <c r="EW1025">
        <v>0</v>
      </c>
      <c r="EX1025">
        <v>0</v>
      </c>
      <c r="EY1025">
        <v>0</v>
      </c>
      <c r="EZ1025">
        <v>0</v>
      </c>
      <c r="FA1025">
        <v>0</v>
      </c>
      <c r="FB1025">
        <v>0</v>
      </c>
      <c r="FC1025">
        <v>0</v>
      </c>
      <c r="FD1025">
        <v>95.6</v>
      </c>
      <c r="FE1025">
        <v>1792.1</v>
      </c>
      <c r="FF1025">
        <v>1740.1999999999998</v>
      </c>
      <c r="FG1025">
        <v>954.9</v>
      </c>
      <c r="FH1025">
        <v>1087.8000000000002</v>
      </c>
      <c r="FI1025">
        <v>1892.1</v>
      </c>
      <c r="FJ1025">
        <v>1222.5</v>
      </c>
      <c r="FK1025">
        <v>678.3</v>
      </c>
      <c r="FL1025">
        <v>639.1</v>
      </c>
      <c r="FM1025">
        <v>520.5</v>
      </c>
      <c r="FN1025">
        <v>123.8</v>
      </c>
      <c r="FO1025">
        <v>181.6</v>
      </c>
      <c r="FP1025">
        <v>1090.5</v>
      </c>
      <c r="FQ1025">
        <v>0</v>
      </c>
      <c r="FR1025">
        <v>0</v>
      </c>
      <c r="FS1025">
        <v>0</v>
      </c>
      <c r="FT1025">
        <v>0</v>
      </c>
      <c r="FU1025">
        <v>0</v>
      </c>
      <c r="FV1025">
        <v>0</v>
      </c>
      <c r="FW1025">
        <v>0</v>
      </c>
      <c r="FX1025">
        <v>0</v>
      </c>
      <c r="FY1025">
        <v>0</v>
      </c>
      <c r="FZ1025">
        <v>0</v>
      </c>
      <c r="GA1025">
        <v>0</v>
      </c>
      <c r="GB1025">
        <v>0</v>
      </c>
      <c r="GC1025">
        <v>0</v>
      </c>
      <c r="GD1025">
        <v>0</v>
      </c>
      <c r="GE1025">
        <v>0</v>
      </c>
      <c r="GF1025">
        <v>198.3</v>
      </c>
      <c r="GG1025">
        <v>1054.4000000000001</v>
      </c>
      <c r="GH1025">
        <v>552.79999999999995</v>
      </c>
      <c r="GI1025">
        <v>522</v>
      </c>
      <c r="GJ1025">
        <v>0</v>
      </c>
      <c r="GK1025">
        <v>0</v>
      </c>
      <c r="GL1025">
        <v>0</v>
      </c>
      <c r="GM1025">
        <v>0</v>
      </c>
      <c r="GN1025">
        <v>791.40000000000009</v>
      </c>
      <c r="GO1025">
        <v>1816.5</v>
      </c>
      <c r="GP1025">
        <v>0</v>
      </c>
      <c r="GQ1025">
        <v>0</v>
      </c>
      <c r="GR1025">
        <v>0</v>
      </c>
      <c r="GS1025">
        <v>0</v>
      </c>
      <c r="GT1025">
        <v>0</v>
      </c>
      <c r="GU1025">
        <v>0</v>
      </c>
      <c r="GV1025">
        <v>0</v>
      </c>
      <c r="GW1025">
        <v>0</v>
      </c>
      <c r="GX1025">
        <v>0</v>
      </c>
      <c r="GY1025">
        <v>840.3</v>
      </c>
      <c r="GZ1025">
        <v>0</v>
      </c>
      <c r="HA1025">
        <v>0</v>
      </c>
      <c r="HB1025">
        <v>0</v>
      </c>
      <c r="HC1025">
        <v>380.4</v>
      </c>
      <c r="HD1025">
        <v>2175.5</v>
      </c>
      <c r="HE1025">
        <v>0</v>
      </c>
      <c r="HF1025">
        <v>0</v>
      </c>
      <c r="HG1025">
        <v>0</v>
      </c>
      <c r="HH1025">
        <v>0</v>
      </c>
      <c r="HI1025">
        <v>0</v>
      </c>
      <c r="HJ1025">
        <v>803.40000000000009</v>
      </c>
      <c r="HK1025">
        <v>1270.9000000000001</v>
      </c>
      <c r="HL1025">
        <v>835.7</v>
      </c>
      <c r="HM1025">
        <v>1162.5999999999999</v>
      </c>
      <c r="HN1025">
        <v>0</v>
      </c>
      <c r="HO1025">
        <v>0</v>
      </c>
      <c r="HP1025">
        <v>0</v>
      </c>
      <c r="HQ1025">
        <v>0</v>
      </c>
      <c r="HR1025">
        <v>161.19999999999999</v>
      </c>
      <c r="HS1025">
        <v>0</v>
      </c>
      <c r="HT1025">
        <v>2048.5</v>
      </c>
      <c r="HU1025">
        <v>2627.5</v>
      </c>
      <c r="HV1025">
        <v>1168.5999999999999</v>
      </c>
      <c r="HW1025">
        <v>388</v>
      </c>
      <c r="HX1025">
        <v>0</v>
      </c>
      <c r="HY1025">
        <v>0</v>
      </c>
      <c r="HZ1025">
        <v>0</v>
      </c>
      <c r="IA1025">
        <v>0</v>
      </c>
      <c r="IB1025">
        <v>0</v>
      </c>
      <c r="IC1025">
        <v>594.4</v>
      </c>
      <c r="ID1025">
        <v>427.4</v>
      </c>
      <c r="IE1025">
        <v>713.3</v>
      </c>
      <c r="IF1025">
        <v>626.1</v>
      </c>
      <c r="IG1025">
        <v>0</v>
      </c>
      <c r="IH1025">
        <v>0</v>
      </c>
      <c r="II1025">
        <v>995.7</v>
      </c>
      <c r="IJ1025">
        <v>1156.5999999999999</v>
      </c>
      <c r="IK1025">
        <v>864.6</v>
      </c>
      <c r="IL1025">
        <v>316.5</v>
      </c>
      <c r="IM1025">
        <v>101.5</v>
      </c>
      <c r="IN1025">
        <v>71.8</v>
      </c>
      <c r="IO1025">
        <v>0</v>
      </c>
      <c r="IP1025">
        <v>0</v>
      </c>
      <c r="IQ1025">
        <v>0</v>
      </c>
      <c r="IR1025">
        <v>0</v>
      </c>
      <c r="IS1025">
        <v>0</v>
      </c>
      <c r="IT1025">
        <v>0</v>
      </c>
      <c r="IU1025">
        <v>0</v>
      </c>
      <c r="IV1025">
        <v>0</v>
      </c>
      <c r="IW1025">
        <v>68</v>
      </c>
      <c r="IX1025">
        <v>404.7</v>
      </c>
      <c r="IY1025">
        <v>126.6</v>
      </c>
      <c r="IZ1025">
        <v>126.6</v>
      </c>
      <c r="JA1025">
        <v>503.7</v>
      </c>
      <c r="JB1025">
        <v>570.1</v>
      </c>
      <c r="JC1025">
        <v>328.3</v>
      </c>
      <c r="JD1025">
        <v>0</v>
      </c>
      <c r="JE1025">
        <v>0</v>
      </c>
      <c r="JF1025">
        <v>0</v>
      </c>
      <c r="JG1025">
        <v>0</v>
      </c>
      <c r="JH1025">
        <v>287.3</v>
      </c>
      <c r="JI1025">
        <v>68.2</v>
      </c>
      <c r="JJ1025">
        <v>0</v>
      </c>
      <c r="JK1025">
        <v>148.6</v>
      </c>
      <c r="JL1025">
        <v>0</v>
      </c>
      <c r="JM1025">
        <v>0</v>
      </c>
      <c r="JN1025">
        <v>204.5</v>
      </c>
      <c r="JO1025">
        <v>292.10000000000002</v>
      </c>
      <c r="JP1025">
        <v>670.8</v>
      </c>
      <c r="JQ1025">
        <v>745.2</v>
      </c>
      <c r="JR1025">
        <v>242.9</v>
      </c>
    </row>
    <row r="1026" spans="2:278" ht="18" thickBot="1">
      <c r="B1026" s="368" t="s">
        <v>1370</v>
      </c>
      <c r="C1026" s="423" t="s">
        <v>1679</v>
      </c>
      <c r="D1026" s="368" t="s">
        <v>1489</v>
      </c>
      <c r="E1026" s="454">
        <v>22829.8</v>
      </c>
      <c r="F1026">
        <v>20193.400000000001</v>
      </c>
      <c r="G1026" s="427">
        <v>0</v>
      </c>
      <c r="H1026" s="155">
        <v>0</v>
      </c>
      <c r="I1026">
        <v>0</v>
      </c>
      <c r="J1026">
        <v>0</v>
      </c>
      <c r="K1026">
        <v>0</v>
      </c>
      <c r="L1026" s="4">
        <v>0</v>
      </c>
      <c r="M1026" s="4">
        <v>0</v>
      </c>
      <c r="N1026" s="4">
        <v>0</v>
      </c>
      <c r="O1026" s="4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1476.4</v>
      </c>
      <c r="X1026">
        <v>1482</v>
      </c>
      <c r="Y1026">
        <v>457.20000000000005</v>
      </c>
      <c r="Z1026">
        <v>0</v>
      </c>
      <c r="AA1026">
        <v>0</v>
      </c>
      <c r="AB1026">
        <v>0</v>
      </c>
      <c r="AC1026">
        <v>0</v>
      </c>
      <c r="AD1026">
        <v>3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1828.6</v>
      </c>
      <c r="AK1026">
        <v>1800.7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560.70000000000005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  <c r="CF1026">
        <v>0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  <c r="CN1026">
        <v>0</v>
      </c>
      <c r="CO1026">
        <v>0</v>
      </c>
      <c r="CP1026">
        <v>3.5</v>
      </c>
      <c r="CQ1026">
        <v>0</v>
      </c>
      <c r="CR1026">
        <v>528</v>
      </c>
      <c r="CS1026">
        <v>581.79999999999995</v>
      </c>
      <c r="CT1026">
        <v>555.40000000000009</v>
      </c>
      <c r="CU1026">
        <v>737.4</v>
      </c>
      <c r="CV1026">
        <v>1039.0999999999999</v>
      </c>
      <c r="CW1026">
        <v>1667.3</v>
      </c>
      <c r="CX1026">
        <v>877.6</v>
      </c>
      <c r="CY1026">
        <v>910.40000000000009</v>
      </c>
      <c r="CZ1026">
        <v>0</v>
      </c>
      <c r="DA1026">
        <v>0</v>
      </c>
      <c r="DB1026">
        <v>0</v>
      </c>
      <c r="DC1026">
        <v>0</v>
      </c>
      <c r="DD1026">
        <v>0</v>
      </c>
      <c r="DE1026">
        <v>0</v>
      </c>
      <c r="DF1026">
        <v>0</v>
      </c>
      <c r="DG1026">
        <v>0</v>
      </c>
      <c r="DH1026">
        <v>0</v>
      </c>
      <c r="DI1026">
        <v>0</v>
      </c>
      <c r="DJ1026">
        <v>0</v>
      </c>
      <c r="DK1026">
        <v>0</v>
      </c>
      <c r="DL1026">
        <v>995.5</v>
      </c>
      <c r="DM1026">
        <v>712.7</v>
      </c>
      <c r="DN1026">
        <v>0</v>
      </c>
      <c r="DO1026">
        <v>0</v>
      </c>
      <c r="DP1026">
        <v>0</v>
      </c>
      <c r="DQ1026">
        <v>0</v>
      </c>
      <c r="DR1026">
        <v>0</v>
      </c>
      <c r="DS1026">
        <v>0</v>
      </c>
      <c r="DT1026">
        <v>0</v>
      </c>
      <c r="DU1026">
        <v>0</v>
      </c>
      <c r="DV1026">
        <v>0</v>
      </c>
      <c r="DW1026">
        <v>0</v>
      </c>
      <c r="DX1026">
        <v>0</v>
      </c>
      <c r="DY1026">
        <v>0</v>
      </c>
      <c r="DZ1026">
        <v>0</v>
      </c>
      <c r="EA1026">
        <v>0</v>
      </c>
      <c r="EB1026">
        <v>0</v>
      </c>
      <c r="EC1026">
        <v>0</v>
      </c>
      <c r="ED1026">
        <v>0</v>
      </c>
      <c r="EE1026">
        <v>0</v>
      </c>
      <c r="EF1026">
        <v>0</v>
      </c>
      <c r="EG1026">
        <v>0</v>
      </c>
      <c r="EH1026">
        <v>0</v>
      </c>
      <c r="EI1026">
        <v>0</v>
      </c>
      <c r="EJ1026">
        <v>0</v>
      </c>
      <c r="EK1026">
        <v>0</v>
      </c>
      <c r="EL1026">
        <v>0</v>
      </c>
      <c r="EM1026">
        <v>0</v>
      </c>
      <c r="EN1026">
        <v>27.4</v>
      </c>
      <c r="EO1026">
        <v>0</v>
      </c>
      <c r="EP1026">
        <v>1002.5</v>
      </c>
      <c r="EQ1026">
        <v>0</v>
      </c>
      <c r="ER1026">
        <v>494</v>
      </c>
      <c r="ES1026">
        <v>0</v>
      </c>
      <c r="ET1026">
        <v>699.3</v>
      </c>
      <c r="EU1026">
        <v>435.4</v>
      </c>
      <c r="EV1026">
        <v>0</v>
      </c>
      <c r="EW1026">
        <v>0</v>
      </c>
      <c r="EX1026">
        <v>0</v>
      </c>
      <c r="EY1026">
        <v>0</v>
      </c>
      <c r="EZ1026">
        <v>0</v>
      </c>
      <c r="FA1026">
        <v>0</v>
      </c>
      <c r="FB1026">
        <v>0</v>
      </c>
      <c r="FC1026">
        <v>0</v>
      </c>
      <c r="FD1026">
        <v>95.6</v>
      </c>
      <c r="FE1026">
        <v>1792.1</v>
      </c>
      <c r="FF1026">
        <v>1740.1999999999998</v>
      </c>
      <c r="FG1026">
        <v>954.9</v>
      </c>
      <c r="FH1026">
        <v>1087.8000000000002</v>
      </c>
      <c r="FI1026">
        <v>1892.1</v>
      </c>
      <c r="FJ1026">
        <v>1222.5</v>
      </c>
      <c r="FK1026">
        <v>678.3</v>
      </c>
      <c r="FL1026">
        <v>639.1</v>
      </c>
      <c r="FM1026">
        <v>520.5</v>
      </c>
      <c r="FN1026">
        <v>123.8</v>
      </c>
      <c r="FO1026">
        <v>181.6</v>
      </c>
      <c r="FP1026">
        <v>1090.5</v>
      </c>
      <c r="FQ1026">
        <v>0</v>
      </c>
      <c r="FR1026">
        <v>0</v>
      </c>
      <c r="FS1026">
        <v>0</v>
      </c>
      <c r="FT1026">
        <v>0</v>
      </c>
      <c r="FU1026">
        <v>0</v>
      </c>
      <c r="FV1026">
        <v>0</v>
      </c>
      <c r="FW1026">
        <v>0</v>
      </c>
      <c r="FX1026">
        <v>0</v>
      </c>
      <c r="FY1026">
        <v>0</v>
      </c>
      <c r="FZ1026">
        <v>0</v>
      </c>
      <c r="GA1026">
        <v>0</v>
      </c>
      <c r="GB1026">
        <v>0</v>
      </c>
      <c r="GC1026">
        <v>0</v>
      </c>
      <c r="GD1026">
        <v>0</v>
      </c>
      <c r="GE1026">
        <v>0</v>
      </c>
      <c r="GF1026">
        <v>198.3</v>
      </c>
      <c r="GG1026">
        <v>1054.4000000000001</v>
      </c>
      <c r="GH1026">
        <v>552.79999999999995</v>
      </c>
      <c r="GI1026">
        <v>522</v>
      </c>
      <c r="GJ1026">
        <v>0</v>
      </c>
      <c r="GK1026">
        <v>0</v>
      </c>
      <c r="GL1026">
        <v>0</v>
      </c>
      <c r="GM1026">
        <v>0</v>
      </c>
      <c r="GN1026">
        <v>791.40000000000009</v>
      </c>
      <c r="GO1026">
        <v>1816.5</v>
      </c>
      <c r="GP1026">
        <v>0</v>
      </c>
      <c r="GQ1026">
        <v>0</v>
      </c>
      <c r="GR1026">
        <v>0</v>
      </c>
      <c r="GS1026">
        <v>0</v>
      </c>
      <c r="GT1026">
        <v>0</v>
      </c>
      <c r="GU1026">
        <v>0</v>
      </c>
      <c r="GV1026">
        <v>0</v>
      </c>
      <c r="GW1026">
        <v>0</v>
      </c>
      <c r="GX1026">
        <v>0</v>
      </c>
      <c r="GY1026">
        <v>840.3</v>
      </c>
      <c r="GZ1026">
        <v>0</v>
      </c>
      <c r="HA1026">
        <v>0</v>
      </c>
      <c r="HB1026">
        <v>0</v>
      </c>
      <c r="HC1026">
        <v>380.4</v>
      </c>
      <c r="HD1026">
        <v>2175.5</v>
      </c>
      <c r="HE1026">
        <v>0</v>
      </c>
      <c r="HF1026">
        <v>0</v>
      </c>
      <c r="HG1026">
        <v>0</v>
      </c>
      <c r="HH1026">
        <v>0</v>
      </c>
      <c r="HI1026">
        <v>0</v>
      </c>
      <c r="HJ1026">
        <v>803.40000000000009</v>
      </c>
      <c r="HK1026">
        <v>1270.9000000000001</v>
      </c>
      <c r="HL1026">
        <v>835.7</v>
      </c>
      <c r="HM1026">
        <v>1162.5999999999999</v>
      </c>
      <c r="HN1026">
        <v>0</v>
      </c>
      <c r="HO1026">
        <v>0</v>
      </c>
      <c r="HP1026">
        <v>0</v>
      </c>
      <c r="HQ1026">
        <v>0</v>
      </c>
      <c r="HR1026">
        <v>161.19999999999999</v>
      </c>
      <c r="HS1026">
        <v>0</v>
      </c>
      <c r="HT1026">
        <v>2048.5</v>
      </c>
      <c r="HU1026">
        <v>2627.5</v>
      </c>
      <c r="HV1026">
        <v>1168.5999999999999</v>
      </c>
      <c r="HW1026">
        <v>388</v>
      </c>
      <c r="HX1026">
        <v>0</v>
      </c>
      <c r="HY1026">
        <v>0</v>
      </c>
      <c r="HZ1026">
        <v>0</v>
      </c>
      <c r="IA1026">
        <v>0</v>
      </c>
      <c r="IB1026">
        <v>0</v>
      </c>
      <c r="IC1026">
        <v>594.4</v>
      </c>
      <c r="ID1026">
        <v>427.4</v>
      </c>
      <c r="IE1026">
        <v>713.3</v>
      </c>
      <c r="IF1026">
        <v>626.1</v>
      </c>
      <c r="IG1026">
        <v>0</v>
      </c>
      <c r="IH1026">
        <v>0</v>
      </c>
      <c r="II1026">
        <v>995.7</v>
      </c>
      <c r="IJ1026">
        <v>1156.5999999999999</v>
      </c>
      <c r="IK1026">
        <v>864.6</v>
      </c>
      <c r="IL1026">
        <v>316.5</v>
      </c>
      <c r="IM1026">
        <v>101.5</v>
      </c>
      <c r="IN1026">
        <v>71.8</v>
      </c>
      <c r="IO1026">
        <v>0</v>
      </c>
      <c r="IP1026">
        <v>0</v>
      </c>
      <c r="IQ1026">
        <v>0</v>
      </c>
      <c r="IR1026">
        <v>0</v>
      </c>
      <c r="IS1026">
        <v>0</v>
      </c>
      <c r="IT1026">
        <v>0</v>
      </c>
      <c r="IU1026">
        <v>0</v>
      </c>
      <c r="IV1026">
        <v>0</v>
      </c>
      <c r="IW1026">
        <v>68</v>
      </c>
      <c r="IX1026">
        <v>404.7</v>
      </c>
      <c r="IY1026">
        <v>126.6</v>
      </c>
      <c r="IZ1026">
        <v>126.6</v>
      </c>
      <c r="JA1026">
        <v>503.7</v>
      </c>
      <c r="JB1026">
        <v>570.1</v>
      </c>
      <c r="JC1026">
        <v>328.3</v>
      </c>
      <c r="JD1026">
        <v>0</v>
      </c>
      <c r="JE1026">
        <v>0</v>
      </c>
      <c r="JF1026">
        <v>0</v>
      </c>
      <c r="JG1026">
        <v>0</v>
      </c>
      <c r="JH1026">
        <v>287.3</v>
      </c>
      <c r="JI1026">
        <v>68.2</v>
      </c>
      <c r="JJ1026">
        <v>0</v>
      </c>
      <c r="JK1026">
        <v>148.6</v>
      </c>
      <c r="JL1026">
        <v>0</v>
      </c>
      <c r="JM1026">
        <v>0</v>
      </c>
      <c r="JN1026">
        <v>204.5</v>
      </c>
      <c r="JO1026">
        <v>292.10000000000002</v>
      </c>
      <c r="JP1026">
        <v>670.8</v>
      </c>
      <c r="JQ1026">
        <v>745.2</v>
      </c>
      <c r="JR1026">
        <v>242.9</v>
      </c>
    </row>
    <row r="1027" spans="2:278" ht="18" thickBot="1">
      <c r="B1027" s="516" t="s">
        <v>1371</v>
      </c>
      <c r="C1027" s="520" t="s">
        <v>1680</v>
      </c>
      <c r="D1027" s="515" t="s">
        <v>1489</v>
      </c>
      <c r="E1027" s="454">
        <v>22829.8</v>
      </c>
      <c r="F1027">
        <v>20193.400000000001</v>
      </c>
      <c r="G1027" s="427">
        <v>0</v>
      </c>
      <c r="H1027" s="155">
        <v>0</v>
      </c>
      <c r="I1027">
        <v>0</v>
      </c>
      <c r="J1027">
        <v>0</v>
      </c>
      <c r="K1027">
        <v>0</v>
      </c>
      <c r="L1027" s="4">
        <v>0</v>
      </c>
      <c r="M1027" s="4">
        <v>0</v>
      </c>
      <c r="N1027" s="4">
        <v>0</v>
      </c>
      <c r="O1027" s="4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1476.4</v>
      </c>
      <c r="X1027">
        <v>1482</v>
      </c>
      <c r="Y1027">
        <v>457.20000000000005</v>
      </c>
      <c r="Z1027">
        <v>0</v>
      </c>
      <c r="AA1027">
        <v>0</v>
      </c>
      <c r="AB1027">
        <v>0</v>
      </c>
      <c r="AC1027">
        <v>0</v>
      </c>
      <c r="AD1027">
        <v>3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1828.6</v>
      </c>
      <c r="AK1027">
        <v>1800.7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560.70000000000005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  <c r="CF1027">
        <v>0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  <c r="CN1027">
        <v>0</v>
      </c>
      <c r="CO1027">
        <v>0</v>
      </c>
      <c r="CP1027">
        <v>3.5</v>
      </c>
      <c r="CQ1027">
        <v>0</v>
      </c>
      <c r="CR1027">
        <v>528</v>
      </c>
      <c r="CS1027">
        <v>581.79999999999995</v>
      </c>
      <c r="CT1027">
        <v>555.40000000000009</v>
      </c>
      <c r="CU1027">
        <v>737.4</v>
      </c>
      <c r="CV1027">
        <v>1039.0999999999999</v>
      </c>
      <c r="CW1027">
        <v>1667.3</v>
      </c>
      <c r="CX1027">
        <v>877.6</v>
      </c>
      <c r="CY1027">
        <v>910.40000000000009</v>
      </c>
      <c r="CZ1027">
        <v>0</v>
      </c>
      <c r="DA1027">
        <v>0</v>
      </c>
      <c r="DB1027">
        <v>0</v>
      </c>
      <c r="DC1027">
        <v>0</v>
      </c>
      <c r="DD1027">
        <v>0</v>
      </c>
      <c r="DE1027">
        <v>0</v>
      </c>
      <c r="DF1027">
        <v>0</v>
      </c>
      <c r="DG1027">
        <v>0</v>
      </c>
      <c r="DH1027">
        <v>0</v>
      </c>
      <c r="DI1027">
        <v>0</v>
      </c>
      <c r="DJ1027">
        <v>0</v>
      </c>
      <c r="DK1027">
        <v>0</v>
      </c>
      <c r="DL1027">
        <v>995.5</v>
      </c>
      <c r="DM1027">
        <v>712.7</v>
      </c>
      <c r="DN1027">
        <v>0</v>
      </c>
      <c r="DO1027">
        <v>0</v>
      </c>
      <c r="DP1027">
        <v>0</v>
      </c>
      <c r="DQ1027">
        <v>0</v>
      </c>
      <c r="DR1027">
        <v>0</v>
      </c>
      <c r="DS1027">
        <v>0</v>
      </c>
      <c r="DT1027">
        <v>0</v>
      </c>
      <c r="DU1027">
        <v>0</v>
      </c>
      <c r="DV1027">
        <v>0</v>
      </c>
      <c r="DW1027">
        <v>0</v>
      </c>
      <c r="DX1027">
        <v>0</v>
      </c>
      <c r="DY1027">
        <v>0</v>
      </c>
      <c r="DZ1027">
        <v>0</v>
      </c>
      <c r="EA1027">
        <v>0</v>
      </c>
      <c r="EB1027">
        <v>0</v>
      </c>
      <c r="EC1027">
        <v>0</v>
      </c>
      <c r="ED1027">
        <v>0</v>
      </c>
      <c r="EE1027">
        <v>0</v>
      </c>
      <c r="EF1027">
        <v>0</v>
      </c>
      <c r="EG1027">
        <v>0</v>
      </c>
      <c r="EH1027">
        <v>0</v>
      </c>
      <c r="EI1027">
        <v>0</v>
      </c>
      <c r="EJ1027">
        <v>0</v>
      </c>
      <c r="EK1027">
        <v>0</v>
      </c>
      <c r="EL1027">
        <v>0</v>
      </c>
      <c r="EM1027">
        <v>0</v>
      </c>
      <c r="EN1027">
        <v>27.4</v>
      </c>
      <c r="EO1027">
        <v>0</v>
      </c>
      <c r="EP1027">
        <v>1002.5</v>
      </c>
      <c r="EQ1027">
        <v>0</v>
      </c>
      <c r="ER1027">
        <v>494</v>
      </c>
      <c r="ES1027">
        <v>0</v>
      </c>
      <c r="ET1027">
        <v>699.3</v>
      </c>
      <c r="EU1027">
        <v>435.4</v>
      </c>
      <c r="EV1027">
        <v>0</v>
      </c>
      <c r="EW1027">
        <v>0</v>
      </c>
      <c r="EX1027">
        <v>0</v>
      </c>
      <c r="EY1027">
        <v>0</v>
      </c>
      <c r="EZ1027">
        <v>0</v>
      </c>
      <c r="FA1027">
        <v>0</v>
      </c>
      <c r="FB1027">
        <v>0</v>
      </c>
      <c r="FC1027">
        <v>0</v>
      </c>
      <c r="FD1027">
        <v>95.6</v>
      </c>
      <c r="FE1027">
        <v>1792.1</v>
      </c>
      <c r="FF1027">
        <v>1740.1999999999998</v>
      </c>
      <c r="FG1027">
        <v>954.9</v>
      </c>
      <c r="FH1027">
        <v>1087.8000000000002</v>
      </c>
      <c r="FI1027">
        <v>1892.1</v>
      </c>
      <c r="FJ1027">
        <v>1222.5</v>
      </c>
      <c r="FK1027">
        <v>678.3</v>
      </c>
      <c r="FL1027">
        <v>639.1</v>
      </c>
      <c r="FM1027">
        <v>520.5</v>
      </c>
      <c r="FN1027">
        <v>123.8</v>
      </c>
      <c r="FO1027">
        <v>181.6</v>
      </c>
      <c r="FP1027">
        <v>1090.5</v>
      </c>
      <c r="FQ1027">
        <v>0</v>
      </c>
      <c r="FR1027">
        <v>0</v>
      </c>
      <c r="FS1027">
        <v>0</v>
      </c>
      <c r="FT1027">
        <v>0</v>
      </c>
      <c r="FU1027">
        <v>0</v>
      </c>
      <c r="FV1027">
        <v>0</v>
      </c>
      <c r="FW1027">
        <v>0</v>
      </c>
      <c r="FX1027">
        <v>0</v>
      </c>
      <c r="FY1027">
        <v>0</v>
      </c>
      <c r="FZ1027">
        <v>0</v>
      </c>
      <c r="GA1027">
        <v>0</v>
      </c>
      <c r="GB1027">
        <v>0</v>
      </c>
      <c r="GC1027">
        <v>0</v>
      </c>
      <c r="GD1027">
        <v>0</v>
      </c>
      <c r="GE1027">
        <v>0</v>
      </c>
      <c r="GF1027">
        <v>198.3</v>
      </c>
      <c r="GG1027">
        <v>1054.4000000000001</v>
      </c>
      <c r="GH1027">
        <v>552.79999999999995</v>
      </c>
      <c r="GI1027">
        <v>522</v>
      </c>
      <c r="GJ1027">
        <v>0</v>
      </c>
      <c r="GK1027">
        <v>0</v>
      </c>
      <c r="GL1027">
        <v>0</v>
      </c>
      <c r="GM1027">
        <v>0</v>
      </c>
      <c r="GN1027">
        <v>791.40000000000009</v>
      </c>
      <c r="GO1027">
        <v>1816.5</v>
      </c>
      <c r="GP1027">
        <v>0</v>
      </c>
      <c r="GQ1027">
        <v>0</v>
      </c>
      <c r="GR1027">
        <v>0</v>
      </c>
      <c r="GS1027">
        <v>0</v>
      </c>
      <c r="GT1027">
        <v>0</v>
      </c>
      <c r="GU1027">
        <v>0</v>
      </c>
      <c r="GV1027">
        <v>0</v>
      </c>
      <c r="GW1027">
        <v>0</v>
      </c>
      <c r="GX1027">
        <v>0</v>
      </c>
      <c r="GY1027">
        <v>840.3</v>
      </c>
      <c r="GZ1027">
        <v>0</v>
      </c>
      <c r="HA1027">
        <v>0</v>
      </c>
      <c r="HB1027">
        <v>0</v>
      </c>
      <c r="HC1027">
        <v>380.4</v>
      </c>
      <c r="HD1027">
        <v>2175.5</v>
      </c>
      <c r="HE1027">
        <v>0</v>
      </c>
      <c r="HF1027">
        <v>0</v>
      </c>
      <c r="HG1027">
        <v>0</v>
      </c>
      <c r="HH1027">
        <v>0</v>
      </c>
      <c r="HI1027">
        <v>0</v>
      </c>
      <c r="HJ1027">
        <v>803.40000000000009</v>
      </c>
      <c r="HK1027">
        <v>1270.9000000000001</v>
      </c>
      <c r="HL1027">
        <v>835.7</v>
      </c>
      <c r="HM1027">
        <v>1162.5999999999999</v>
      </c>
      <c r="HN1027">
        <v>0</v>
      </c>
      <c r="HO1027">
        <v>0</v>
      </c>
      <c r="HP1027">
        <v>0</v>
      </c>
      <c r="HQ1027">
        <v>0</v>
      </c>
      <c r="HR1027">
        <v>161.19999999999999</v>
      </c>
      <c r="HS1027">
        <v>0</v>
      </c>
      <c r="HT1027">
        <v>2048.5</v>
      </c>
      <c r="HU1027">
        <v>2627.5</v>
      </c>
      <c r="HV1027">
        <v>1168.5999999999999</v>
      </c>
      <c r="HW1027">
        <v>388</v>
      </c>
      <c r="HX1027">
        <v>0</v>
      </c>
      <c r="HY1027">
        <v>0</v>
      </c>
      <c r="HZ1027">
        <v>0</v>
      </c>
      <c r="IA1027">
        <v>0</v>
      </c>
      <c r="IB1027">
        <v>0</v>
      </c>
      <c r="IC1027">
        <v>594.4</v>
      </c>
      <c r="ID1027">
        <v>427.4</v>
      </c>
      <c r="IE1027">
        <v>713.3</v>
      </c>
      <c r="IF1027">
        <v>626.1</v>
      </c>
      <c r="IG1027">
        <v>0</v>
      </c>
      <c r="IH1027">
        <v>0</v>
      </c>
      <c r="II1027">
        <v>995.7</v>
      </c>
      <c r="IJ1027">
        <v>1156.5999999999999</v>
      </c>
      <c r="IK1027">
        <v>864.6</v>
      </c>
      <c r="IL1027">
        <v>316.5</v>
      </c>
      <c r="IM1027">
        <v>101.5</v>
      </c>
      <c r="IN1027">
        <v>71.8</v>
      </c>
      <c r="IO1027">
        <v>0</v>
      </c>
      <c r="IP1027">
        <v>0</v>
      </c>
      <c r="IQ1027">
        <v>0</v>
      </c>
      <c r="IR1027">
        <v>0</v>
      </c>
      <c r="IS1027">
        <v>0</v>
      </c>
      <c r="IT1027">
        <v>0</v>
      </c>
      <c r="IU1027">
        <v>0</v>
      </c>
      <c r="IV1027">
        <v>0</v>
      </c>
      <c r="IW1027">
        <v>68</v>
      </c>
      <c r="IX1027">
        <v>404.7</v>
      </c>
      <c r="IY1027">
        <v>126.6</v>
      </c>
      <c r="IZ1027">
        <v>126.6</v>
      </c>
      <c r="JA1027">
        <v>503.7</v>
      </c>
      <c r="JB1027">
        <v>570.1</v>
      </c>
      <c r="JC1027">
        <v>328.3</v>
      </c>
      <c r="JD1027">
        <v>0</v>
      </c>
      <c r="JE1027">
        <v>0</v>
      </c>
      <c r="JF1027">
        <v>0</v>
      </c>
      <c r="JG1027">
        <v>0</v>
      </c>
      <c r="JH1027">
        <v>287.3</v>
      </c>
      <c r="JI1027">
        <v>68.2</v>
      </c>
      <c r="JJ1027">
        <v>0</v>
      </c>
      <c r="JK1027">
        <v>148.6</v>
      </c>
      <c r="JL1027">
        <v>0</v>
      </c>
      <c r="JM1027">
        <v>0</v>
      </c>
      <c r="JN1027">
        <v>204.5</v>
      </c>
      <c r="JO1027">
        <v>292.10000000000002</v>
      </c>
      <c r="JP1027">
        <v>670.8</v>
      </c>
      <c r="JQ1027">
        <v>745.2</v>
      </c>
      <c r="JR1027">
        <v>242.9</v>
      </c>
    </row>
    <row r="1028" spans="2:278" ht="18" thickBot="1">
      <c r="B1028" s="516"/>
      <c r="C1028" s="520"/>
      <c r="D1028" s="515"/>
      <c r="E1028" s="454">
        <v>22829.8</v>
      </c>
      <c r="F1028">
        <v>20193.400000000001</v>
      </c>
      <c r="G1028" s="427">
        <v>0</v>
      </c>
      <c r="H1028" s="155">
        <v>0</v>
      </c>
      <c r="I1028">
        <v>0</v>
      </c>
      <c r="J1028">
        <v>0</v>
      </c>
      <c r="K1028">
        <v>0</v>
      </c>
      <c r="L1028" s="4">
        <v>0</v>
      </c>
      <c r="M1028" s="4">
        <v>0</v>
      </c>
      <c r="N1028" s="4">
        <v>0</v>
      </c>
      <c r="O1028" s="4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1476.4</v>
      </c>
      <c r="X1028">
        <v>1482</v>
      </c>
      <c r="Y1028">
        <v>457.20000000000005</v>
      </c>
      <c r="Z1028">
        <v>0</v>
      </c>
      <c r="AA1028">
        <v>0</v>
      </c>
      <c r="AB1028">
        <v>0</v>
      </c>
      <c r="AC1028">
        <v>0</v>
      </c>
      <c r="AD1028">
        <v>3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1828.6</v>
      </c>
      <c r="AK1028">
        <v>1800.7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560.70000000000005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  <c r="CF1028">
        <v>0</v>
      </c>
      <c r="CG1028">
        <v>0</v>
      </c>
      <c r="CH1028">
        <v>0</v>
      </c>
      <c r="CI1028">
        <v>0</v>
      </c>
      <c r="CJ1028">
        <v>0</v>
      </c>
      <c r="CK1028">
        <v>0</v>
      </c>
      <c r="CL1028">
        <v>0</v>
      </c>
      <c r="CM1028">
        <v>0</v>
      </c>
      <c r="CN1028">
        <v>0</v>
      </c>
      <c r="CO1028">
        <v>0</v>
      </c>
      <c r="CP1028">
        <v>3.5</v>
      </c>
      <c r="CQ1028">
        <v>0</v>
      </c>
      <c r="CR1028">
        <v>528</v>
      </c>
      <c r="CS1028">
        <v>581.79999999999995</v>
      </c>
      <c r="CT1028">
        <v>555.40000000000009</v>
      </c>
      <c r="CU1028">
        <v>737.4</v>
      </c>
      <c r="CV1028">
        <v>1039.0999999999999</v>
      </c>
      <c r="CW1028">
        <v>1667.3</v>
      </c>
      <c r="CX1028">
        <v>877.6</v>
      </c>
      <c r="CY1028">
        <v>910.40000000000009</v>
      </c>
      <c r="CZ1028">
        <v>0</v>
      </c>
      <c r="DA1028">
        <v>0</v>
      </c>
      <c r="DB1028">
        <v>0</v>
      </c>
      <c r="DC1028">
        <v>0</v>
      </c>
      <c r="DD1028">
        <v>0</v>
      </c>
      <c r="DE1028">
        <v>0</v>
      </c>
      <c r="DF1028">
        <v>0</v>
      </c>
      <c r="DG1028">
        <v>0</v>
      </c>
      <c r="DH1028">
        <v>0</v>
      </c>
      <c r="DI1028">
        <v>0</v>
      </c>
      <c r="DJ1028">
        <v>0</v>
      </c>
      <c r="DK1028">
        <v>0</v>
      </c>
      <c r="DL1028">
        <v>995.5</v>
      </c>
      <c r="DM1028">
        <v>712.7</v>
      </c>
      <c r="DN1028">
        <v>0</v>
      </c>
      <c r="DO1028">
        <v>0</v>
      </c>
      <c r="DP1028">
        <v>0</v>
      </c>
      <c r="DQ1028">
        <v>0</v>
      </c>
      <c r="DR1028">
        <v>0</v>
      </c>
      <c r="DS1028">
        <v>0</v>
      </c>
      <c r="DT1028">
        <v>0</v>
      </c>
      <c r="DU1028">
        <v>0</v>
      </c>
      <c r="DV1028">
        <v>0</v>
      </c>
      <c r="DW1028">
        <v>0</v>
      </c>
      <c r="DX1028">
        <v>0</v>
      </c>
      <c r="DY1028">
        <v>0</v>
      </c>
      <c r="DZ1028">
        <v>0</v>
      </c>
      <c r="EA1028">
        <v>0</v>
      </c>
      <c r="EB1028">
        <v>0</v>
      </c>
      <c r="EC1028">
        <v>0</v>
      </c>
      <c r="ED1028">
        <v>0</v>
      </c>
      <c r="EE1028">
        <v>0</v>
      </c>
      <c r="EF1028">
        <v>0</v>
      </c>
      <c r="EG1028">
        <v>0</v>
      </c>
      <c r="EH1028">
        <v>0</v>
      </c>
      <c r="EI1028">
        <v>0</v>
      </c>
      <c r="EJ1028">
        <v>0</v>
      </c>
      <c r="EK1028">
        <v>0</v>
      </c>
      <c r="EL1028">
        <v>0</v>
      </c>
      <c r="EM1028">
        <v>0</v>
      </c>
      <c r="EN1028">
        <v>27.4</v>
      </c>
      <c r="EO1028">
        <v>0</v>
      </c>
      <c r="EP1028">
        <v>1002.5</v>
      </c>
      <c r="EQ1028">
        <v>0</v>
      </c>
      <c r="ER1028">
        <v>494</v>
      </c>
      <c r="ES1028">
        <v>0</v>
      </c>
      <c r="ET1028">
        <v>699.3</v>
      </c>
      <c r="EU1028">
        <v>435.4</v>
      </c>
      <c r="EV1028">
        <v>0</v>
      </c>
      <c r="EW1028">
        <v>0</v>
      </c>
      <c r="EX1028">
        <v>0</v>
      </c>
      <c r="EY1028">
        <v>0</v>
      </c>
      <c r="EZ1028">
        <v>0</v>
      </c>
      <c r="FA1028">
        <v>0</v>
      </c>
      <c r="FB1028">
        <v>0</v>
      </c>
      <c r="FC1028">
        <v>0</v>
      </c>
      <c r="FD1028">
        <v>95.6</v>
      </c>
      <c r="FE1028">
        <v>1792.1</v>
      </c>
      <c r="FF1028">
        <v>1740.1999999999998</v>
      </c>
      <c r="FG1028">
        <v>954.9</v>
      </c>
      <c r="FH1028">
        <v>1087.8000000000002</v>
      </c>
      <c r="FI1028">
        <v>1892.1</v>
      </c>
      <c r="FJ1028">
        <v>1222.5</v>
      </c>
      <c r="FK1028">
        <v>678.3</v>
      </c>
      <c r="FL1028">
        <v>639.1</v>
      </c>
      <c r="FM1028">
        <v>520.5</v>
      </c>
      <c r="FN1028">
        <v>123.8</v>
      </c>
      <c r="FO1028">
        <v>181.6</v>
      </c>
      <c r="FP1028">
        <v>1090.5</v>
      </c>
      <c r="FQ1028">
        <v>0</v>
      </c>
      <c r="FR1028">
        <v>0</v>
      </c>
      <c r="FS1028">
        <v>0</v>
      </c>
      <c r="FT1028">
        <v>0</v>
      </c>
      <c r="FU1028">
        <v>0</v>
      </c>
      <c r="FV1028">
        <v>0</v>
      </c>
      <c r="FW1028">
        <v>0</v>
      </c>
      <c r="FX1028">
        <v>0</v>
      </c>
      <c r="FY1028">
        <v>0</v>
      </c>
      <c r="FZ1028">
        <v>0</v>
      </c>
      <c r="GA1028">
        <v>0</v>
      </c>
      <c r="GB1028">
        <v>0</v>
      </c>
      <c r="GC1028">
        <v>0</v>
      </c>
      <c r="GD1028">
        <v>0</v>
      </c>
      <c r="GE1028">
        <v>0</v>
      </c>
      <c r="GF1028">
        <v>198.3</v>
      </c>
      <c r="GG1028">
        <v>1054.4000000000001</v>
      </c>
      <c r="GH1028">
        <v>552.79999999999995</v>
      </c>
      <c r="GI1028">
        <v>522</v>
      </c>
      <c r="GJ1028">
        <v>0</v>
      </c>
      <c r="GK1028">
        <v>0</v>
      </c>
      <c r="GL1028">
        <v>0</v>
      </c>
      <c r="GM1028">
        <v>0</v>
      </c>
      <c r="GN1028">
        <v>791.40000000000009</v>
      </c>
      <c r="GO1028">
        <v>1816.5</v>
      </c>
      <c r="GP1028">
        <v>0</v>
      </c>
      <c r="GQ1028">
        <v>0</v>
      </c>
      <c r="GR1028">
        <v>0</v>
      </c>
      <c r="GS1028">
        <v>0</v>
      </c>
      <c r="GT1028">
        <v>0</v>
      </c>
      <c r="GU1028">
        <v>0</v>
      </c>
      <c r="GV1028">
        <v>0</v>
      </c>
      <c r="GW1028">
        <v>0</v>
      </c>
      <c r="GX1028">
        <v>0</v>
      </c>
      <c r="GY1028">
        <v>840.3</v>
      </c>
      <c r="GZ1028">
        <v>0</v>
      </c>
      <c r="HA1028">
        <v>0</v>
      </c>
      <c r="HB1028">
        <v>0</v>
      </c>
      <c r="HC1028">
        <v>380.4</v>
      </c>
      <c r="HD1028">
        <v>2175.5</v>
      </c>
      <c r="HE1028">
        <v>0</v>
      </c>
      <c r="HF1028">
        <v>0</v>
      </c>
      <c r="HG1028">
        <v>0</v>
      </c>
      <c r="HH1028">
        <v>0</v>
      </c>
      <c r="HI1028">
        <v>0</v>
      </c>
      <c r="HJ1028">
        <v>803.40000000000009</v>
      </c>
      <c r="HK1028">
        <v>1270.9000000000001</v>
      </c>
      <c r="HL1028">
        <v>835.7</v>
      </c>
      <c r="HM1028">
        <v>1162.5999999999999</v>
      </c>
      <c r="HN1028">
        <v>0</v>
      </c>
      <c r="HO1028">
        <v>0</v>
      </c>
      <c r="HP1028">
        <v>0</v>
      </c>
      <c r="HQ1028">
        <v>0</v>
      </c>
      <c r="HR1028">
        <v>161.19999999999999</v>
      </c>
      <c r="HS1028">
        <v>0</v>
      </c>
      <c r="HT1028">
        <v>2048.5</v>
      </c>
      <c r="HU1028">
        <v>2627.5</v>
      </c>
      <c r="HV1028">
        <v>1168.5999999999999</v>
      </c>
      <c r="HW1028">
        <v>388</v>
      </c>
      <c r="HX1028">
        <v>0</v>
      </c>
      <c r="HY1028">
        <v>0</v>
      </c>
      <c r="HZ1028">
        <v>0</v>
      </c>
      <c r="IA1028">
        <v>0</v>
      </c>
      <c r="IB1028">
        <v>0</v>
      </c>
      <c r="IC1028">
        <v>594.4</v>
      </c>
      <c r="ID1028">
        <v>427.4</v>
      </c>
      <c r="IE1028">
        <v>713.3</v>
      </c>
      <c r="IF1028">
        <v>626.1</v>
      </c>
      <c r="IG1028">
        <v>0</v>
      </c>
      <c r="IH1028">
        <v>0</v>
      </c>
      <c r="II1028">
        <v>995.7</v>
      </c>
      <c r="IJ1028">
        <v>1156.5999999999999</v>
      </c>
      <c r="IK1028">
        <v>864.6</v>
      </c>
      <c r="IL1028">
        <v>316.5</v>
      </c>
      <c r="IM1028">
        <v>101.5</v>
      </c>
      <c r="IN1028">
        <v>71.8</v>
      </c>
      <c r="IO1028">
        <v>0</v>
      </c>
      <c r="IP1028">
        <v>0</v>
      </c>
      <c r="IQ1028">
        <v>0</v>
      </c>
      <c r="IR1028">
        <v>0</v>
      </c>
      <c r="IS1028">
        <v>0</v>
      </c>
      <c r="IT1028">
        <v>0</v>
      </c>
      <c r="IU1028">
        <v>0</v>
      </c>
      <c r="IV1028">
        <v>0</v>
      </c>
      <c r="IW1028">
        <v>68</v>
      </c>
      <c r="IX1028">
        <v>404.7</v>
      </c>
      <c r="IY1028">
        <v>126.6</v>
      </c>
      <c r="IZ1028">
        <v>126.6</v>
      </c>
      <c r="JA1028">
        <v>503.7</v>
      </c>
      <c r="JB1028">
        <v>570.1</v>
      </c>
      <c r="JC1028">
        <v>328.3</v>
      </c>
      <c r="JD1028">
        <v>0</v>
      </c>
      <c r="JE1028">
        <v>0</v>
      </c>
      <c r="JF1028">
        <v>0</v>
      </c>
      <c r="JG1028">
        <v>0</v>
      </c>
      <c r="JH1028">
        <v>287.3</v>
      </c>
      <c r="JI1028">
        <v>68.2</v>
      </c>
      <c r="JJ1028">
        <v>0</v>
      </c>
      <c r="JK1028">
        <v>148.6</v>
      </c>
      <c r="JL1028">
        <v>0</v>
      </c>
      <c r="JM1028">
        <v>0</v>
      </c>
      <c r="JN1028">
        <v>204.5</v>
      </c>
      <c r="JO1028">
        <v>292.10000000000002</v>
      </c>
      <c r="JP1028">
        <v>670.8</v>
      </c>
      <c r="JQ1028">
        <v>745.2</v>
      </c>
      <c r="JR1028">
        <v>242.9</v>
      </c>
    </row>
    <row r="1029" spans="2:278" ht="18" thickBot="1">
      <c r="B1029" s="516"/>
      <c r="C1029" s="520"/>
      <c r="D1029" s="516"/>
      <c r="E1029" s="454">
        <v>22829.8</v>
      </c>
      <c r="F1029">
        <v>20193.400000000001</v>
      </c>
      <c r="G1029" s="427">
        <v>0</v>
      </c>
      <c r="H1029" s="155">
        <v>0</v>
      </c>
      <c r="I1029">
        <v>0</v>
      </c>
      <c r="J1029">
        <v>0</v>
      </c>
      <c r="K1029">
        <v>0</v>
      </c>
      <c r="L1029" s="4">
        <v>0</v>
      </c>
      <c r="M1029" s="4">
        <v>0</v>
      </c>
      <c r="N1029" s="4">
        <v>0</v>
      </c>
      <c r="O1029" s="4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1476.4</v>
      </c>
      <c r="X1029">
        <v>1482</v>
      </c>
      <c r="Y1029">
        <v>457.20000000000005</v>
      </c>
      <c r="Z1029">
        <v>0</v>
      </c>
      <c r="AA1029">
        <v>0</v>
      </c>
      <c r="AB1029">
        <v>0</v>
      </c>
      <c r="AC1029">
        <v>0</v>
      </c>
      <c r="AD1029">
        <v>3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1828.6</v>
      </c>
      <c r="AK1029">
        <v>1800.7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560.70000000000005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  <c r="CF1029">
        <v>0</v>
      </c>
      <c r="CG1029">
        <v>0</v>
      </c>
      <c r="CH1029">
        <v>0</v>
      </c>
      <c r="CI1029">
        <v>0</v>
      </c>
      <c r="CJ1029">
        <v>0</v>
      </c>
      <c r="CK1029">
        <v>0</v>
      </c>
      <c r="CL1029">
        <v>0</v>
      </c>
      <c r="CM1029">
        <v>0</v>
      </c>
      <c r="CN1029">
        <v>0</v>
      </c>
      <c r="CO1029">
        <v>0</v>
      </c>
      <c r="CP1029">
        <v>3.5</v>
      </c>
      <c r="CQ1029">
        <v>0</v>
      </c>
      <c r="CR1029">
        <v>528</v>
      </c>
      <c r="CS1029">
        <v>581.79999999999995</v>
      </c>
      <c r="CT1029">
        <v>555.40000000000009</v>
      </c>
      <c r="CU1029">
        <v>737.4</v>
      </c>
      <c r="CV1029">
        <v>1039.0999999999999</v>
      </c>
      <c r="CW1029">
        <v>1667.3</v>
      </c>
      <c r="CX1029">
        <v>877.6</v>
      </c>
      <c r="CY1029">
        <v>910.40000000000009</v>
      </c>
      <c r="CZ1029">
        <v>0</v>
      </c>
      <c r="DA1029">
        <v>0</v>
      </c>
      <c r="DB1029">
        <v>0</v>
      </c>
      <c r="DC1029">
        <v>0</v>
      </c>
      <c r="DD1029">
        <v>0</v>
      </c>
      <c r="DE1029">
        <v>0</v>
      </c>
      <c r="DF1029">
        <v>0</v>
      </c>
      <c r="DG1029">
        <v>0</v>
      </c>
      <c r="DH1029">
        <v>0</v>
      </c>
      <c r="DI1029">
        <v>0</v>
      </c>
      <c r="DJ1029">
        <v>0</v>
      </c>
      <c r="DK1029">
        <v>0</v>
      </c>
      <c r="DL1029">
        <v>995.5</v>
      </c>
      <c r="DM1029">
        <v>712.7</v>
      </c>
      <c r="DN1029">
        <v>0</v>
      </c>
      <c r="DO1029">
        <v>0</v>
      </c>
      <c r="DP1029">
        <v>0</v>
      </c>
      <c r="DQ1029">
        <v>0</v>
      </c>
      <c r="DR1029">
        <v>0</v>
      </c>
      <c r="DS1029">
        <v>0</v>
      </c>
      <c r="DT1029">
        <v>0</v>
      </c>
      <c r="DU1029">
        <v>0</v>
      </c>
      <c r="DV1029">
        <v>0</v>
      </c>
      <c r="DW1029">
        <v>0</v>
      </c>
      <c r="DX1029">
        <v>0</v>
      </c>
      <c r="DY1029">
        <v>0</v>
      </c>
      <c r="DZ1029">
        <v>0</v>
      </c>
      <c r="EA1029">
        <v>0</v>
      </c>
      <c r="EB1029">
        <v>0</v>
      </c>
      <c r="EC1029">
        <v>0</v>
      </c>
      <c r="ED1029">
        <v>0</v>
      </c>
      <c r="EE1029">
        <v>0</v>
      </c>
      <c r="EF1029">
        <v>0</v>
      </c>
      <c r="EG1029">
        <v>0</v>
      </c>
      <c r="EH1029">
        <v>0</v>
      </c>
      <c r="EI1029">
        <v>0</v>
      </c>
      <c r="EJ1029">
        <v>0</v>
      </c>
      <c r="EK1029">
        <v>0</v>
      </c>
      <c r="EL1029">
        <v>0</v>
      </c>
      <c r="EM1029">
        <v>0</v>
      </c>
      <c r="EN1029">
        <v>27.4</v>
      </c>
      <c r="EO1029">
        <v>0</v>
      </c>
      <c r="EP1029">
        <v>1002.5</v>
      </c>
      <c r="EQ1029">
        <v>0</v>
      </c>
      <c r="ER1029">
        <v>494</v>
      </c>
      <c r="ES1029">
        <v>0</v>
      </c>
      <c r="ET1029">
        <v>699.3</v>
      </c>
      <c r="EU1029">
        <v>435.4</v>
      </c>
      <c r="EV1029">
        <v>0</v>
      </c>
      <c r="EW1029">
        <v>0</v>
      </c>
      <c r="EX1029">
        <v>0</v>
      </c>
      <c r="EY1029">
        <v>0</v>
      </c>
      <c r="EZ1029">
        <v>0</v>
      </c>
      <c r="FA1029">
        <v>0</v>
      </c>
      <c r="FB1029">
        <v>0</v>
      </c>
      <c r="FC1029">
        <v>0</v>
      </c>
      <c r="FD1029">
        <v>95.6</v>
      </c>
      <c r="FE1029">
        <v>1792.1</v>
      </c>
      <c r="FF1029">
        <v>1740.1999999999998</v>
      </c>
      <c r="FG1029">
        <v>954.9</v>
      </c>
      <c r="FH1029">
        <v>1087.8000000000002</v>
      </c>
      <c r="FI1029">
        <v>1892.1</v>
      </c>
      <c r="FJ1029">
        <v>1222.5</v>
      </c>
      <c r="FK1029">
        <v>678.3</v>
      </c>
      <c r="FL1029">
        <v>639.1</v>
      </c>
      <c r="FM1029">
        <v>520.5</v>
      </c>
      <c r="FN1029">
        <v>123.8</v>
      </c>
      <c r="FO1029">
        <v>181.6</v>
      </c>
      <c r="FP1029">
        <v>1090.5</v>
      </c>
      <c r="FQ1029">
        <v>0</v>
      </c>
      <c r="FR1029">
        <v>0</v>
      </c>
      <c r="FS1029">
        <v>0</v>
      </c>
      <c r="FT1029">
        <v>0</v>
      </c>
      <c r="FU1029">
        <v>0</v>
      </c>
      <c r="FV1029">
        <v>0</v>
      </c>
      <c r="FW1029">
        <v>0</v>
      </c>
      <c r="FX1029">
        <v>0</v>
      </c>
      <c r="FY1029">
        <v>0</v>
      </c>
      <c r="FZ1029">
        <v>0</v>
      </c>
      <c r="GA1029">
        <v>0</v>
      </c>
      <c r="GB1029">
        <v>0</v>
      </c>
      <c r="GC1029">
        <v>0</v>
      </c>
      <c r="GD1029">
        <v>0</v>
      </c>
      <c r="GE1029">
        <v>0</v>
      </c>
      <c r="GF1029">
        <v>198.3</v>
      </c>
      <c r="GG1029">
        <v>1054.4000000000001</v>
      </c>
      <c r="GH1029">
        <v>552.79999999999995</v>
      </c>
      <c r="GI1029">
        <v>522</v>
      </c>
      <c r="GJ1029">
        <v>0</v>
      </c>
      <c r="GK1029">
        <v>0</v>
      </c>
      <c r="GL1029">
        <v>0</v>
      </c>
      <c r="GM1029">
        <v>0</v>
      </c>
      <c r="GN1029">
        <v>791.40000000000009</v>
      </c>
      <c r="GO1029">
        <v>1816.5</v>
      </c>
      <c r="GP1029">
        <v>0</v>
      </c>
      <c r="GQ1029">
        <v>0</v>
      </c>
      <c r="GR1029">
        <v>0</v>
      </c>
      <c r="GS1029">
        <v>0</v>
      </c>
      <c r="GT1029">
        <v>0</v>
      </c>
      <c r="GU1029">
        <v>0</v>
      </c>
      <c r="GV1029">
        <v>0</v>
      </c>
      <c r="GW1029">
        <v>0</v>
      </c>
      <c r="GX1029">
        <v>0</v>
      </c>
      <c r="GY1029">
        <v>840.3</v>
      </c>
      <c r="GZ1029">
        <v>0</v>
      </c>
      <c r="HA1029">
        <v>0</v>
      </c>
      <c r="HB1029">
        <v>0</v>
      </c>
      <c r="HC1029">
        <v>380.4</v>
      </c>
      <c r="HD1029">
        <v>2175.5</v>
      </c>
      <c r="HE1029">
        <v>0</v>
      </c>
      <c r="HF1029">
        <v>0</v>
      </c>
      <c r="HG1029">
        <v>0</v>
      </c>
      <c r="HH1029">
        <v>0</v>
      </c>
      <c r="HI1029">
        <v>0</v>
      </c>
      <c r="HJ1029">
        <v>803.40000000000009</v>
      </c>
      <c r="HK1029">
        <v>1270.9000000000001</v>
      </c>
      <c r="HL1029">
        <v>835.7</v>
      </c>
      <c r="HM1029">
        <v>1162.5999999999999</v>
      </c>
      <c r="HN1029">
        <v>0</v>
      </c>
      <c r="HO1029">
        <v>0</v>
      </c>
      <c r="HP1029">
        <v>0</v>
      </c>
      <c r="HQ1029">
        <v>0</v>
      </c>
      <c r="HR1029">
        <v>161.19999999999999</v>
      </c>
      <c r="HS1029">
        <v>0</v>
      </c>
      <c r="HT1029">
        <v>2048.5</v>
      </c>
      <c r="HU1029">
        <v>2627.5</v>
      </c>
      <c r="HV1029">
        <v>1168.5999999999999</v>
      </c>
      <c r="HW1029">
        <v>388</v>
      </c>
      <c r="HX1029">
        <v>0</v>
      </c>
      <c r="HY1029">
        <v>0</v>
      </c>
      <c r="HZ1029">
        <v>0</v>
      </c>
      <c r="IA1029">
        <v>0</v>
      </c>
      <c r="IB1029">
        <v>0</v>
      </c>
      <c r="IC1029">
        <v>594.4</v>
      </c>
      <c r="ID1029">
        <v>427.4</v>
      </c>
      <c r="IE1029">
        <v>713.3</v>
      </c>
      <c r="IF1029">
        <v>626.1</v>
      </c>
      <c r="IG1029">
        <v>0</v>
      </c>
      <c r="IH1029">
        <v>0</v>
      </c>
      <c r="II1029">
        <v>995.7</v>
      </c>
      <c r="IJ1029">
        <v>1156.5999999999999</v>
      </c>
      <c r="IK1029">
        <v>864.6</v>
      </c>
      <c r="IL1029">
        <v>316.5</v>
      </c>
      <c r="IM1029">
        <v>101.5</v>
      </c>
      <c r="IN1029">
        <v>71.8</v>
      </c>
      <c r="IO1029">
        <v>0</v>
      </c>
      <c r="IP1029">
        <v>0</v>
      </c>
      <c r="IQ1029">
        <v>0</v>
      </c>
      <c r="IR1029">
        <v>0</v>
      </c>
      <c r="IS1029">
        <v>0</v>
      </c>
      <c r="IT1029">
        <v>0</v>
      </c>
      <c r="IU1029">
        <v>0</v>
      </c>
      <c r="IV1029">
        <v>0</v>
      </c>
      <c r="IW1029">
        <v>68</v>
      </c>
      <c r="IX1029">
        <v>404.7</v>
      </c>
      <c r="IY1029">
        <v>126.6</v>
      </c>
      <c r="IZ1029">
        <v>126.6</v>
      </c>
      <c r="JA1029">
        <v>503.7</v>
      </c>
      <c r="JB1029">
        <v>570.1</v>
      </c>
      <c r="JC1029">
        <v>328.3</v>
      </c>
      <c r="JD1029">
        <v>0</v>
      </c>
      <c r="JE1029">
        <v>0</v>
      </c>
      <c r="JF1029">
        <v>0</v>
      </c>
      <c r="JG1029">
        <v>0</v>
      </c>
      <c r="JH1029">
        <v>287.3</v>
      </c>
      <c r="JI1029">
        <v>68.2</v>
      </c>
      <c r="JJ1029">
        <v>0</v>
      </c>
      <c r="JK1029">
        <v>148.6</v>
      </c>
      <c r="JL1029">
        <v>0</v>
      </c>
      <c r="JM1029">
        <v>0</v>
      </c>
      <c r="JN1029">
        <v>204.5</v>
      </c>
      <c r="JO1029">
        <v>292.10000000000002</v>
      </c>
      <c r="JP1029">
        <v>670.8</v>
      </c>
      <c r="JQ1029">
        <v>745.2</v>
      </c>
      <c r="JR1029">
        <v>242.9</v>
      </c>
    </row>
    <row r="1030" spans="2:278" ht="18" thickBot="1">
      <c r="B1030" s="368" t="s">
        <v>1372</v>
      </c>
      <c r="C1030" s="423" t="s">
        <v>1681</v>
      </c>
      <c r="D1030" s="368" t="s">
        <v>1489</v>
      </c>
      <c r="E1030" s="454">
        <v>22829.8</v>
      </c>
      <c r="F1030">
        <v>20193.400000000001</v>
      </c>
      <c r="G1030" s="427">
        <v>0</v>
      </c>
      <c r="H1030" s="155">
        <v>0</v>
      </c>
      <c r="I1030">
        <v>0</v>
      </c>
      <c r="J1030">
        <v>0</v>
      </c>
      <c r="K1030">
        <v>0</v>
      </c>
      <c r="L1030" s="4">
        <v>0</v>
      </c>
      <c r="M1030" s="4">
        <v>0</v>
      </c>
      <c r="N1030" s="4">
        <v>0</v>
      </c>
      <c r="O1030" s="4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1476.4</v>
      </c>
      <c r="X1030">
        <v>1482</v>
      </c>
      <c r="Y1030">
        <v>457.20000000000005</v>
      </c>
      <c r="Z1030">
        <v>0</v>
      </c>
      <c r="AA1030">
        <v>0</v>
      </c>
      <c r="AB1030">
        <v>0</v>
      </c>
      <c r="AC1030">
        <v>0</v>
      </c>
      <c r="AD1030">
        <v>3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1828.6</v>
      </c>
      <c r="AK1030">
        <v>1800.7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560.70000000000005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0</v>
      </c>
      <c r="BN1030">
        <v>0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  <c r="CF1030">
        <v>0</v>
      </c>
      <c r="CG1030">
        <v>0</v>
      </c>
      <c r="CH1030">
        <v>0</v>
      </c>
      <c r="CI1030">
        <v>0</v>
      </c>
      <c r="CJ1030">
        <v>0</v>
      </c>
      <c r="CK1030">
        <v>0</v>
      </c>
      <c r="CL1030">
        <v>0</v>
      </c>
      <c r="CM1030">
        <v>0</v>
      </c>
      <c r="CN1030">
        <v>0</v>
      </c>
      <c r="CO1030">
        <v>0</v>
      </c>
      <c r="CP1030">
        <v>3.5</v>
      </c>
      <c r="CQ1030">
        <v>0</v>
      </c>
      <c r="CR1030">
        <v>528</v>
      </c>
      <c r="CS1030">
        <v>581.79999999999995</v>
      </c>
      <c r="CT1030">
        <v>555.40000000000009</v>
      </c>
      <c r="CU1030">
        <v>737.4</v>
      </c>
      <c r="CV1030">
        <v>1039.0999999999999</v>
      </c>
      <c r="CW1030">
        <v>1667.3</v>
      </c>
      <c r="CX1030">
        <v>877.6</v>
      </c>
      <c r="CY1030">
        <v>910.40000000000009</v>
      </c>
      <c r="CZ1030">
        <v>0</v>
      </c>
      <c r="DA1030">
        <v>0</v>
      </c>
      <c r="DB1030">
        <v>0</v>
      </c>
      <c r="DC1030">
        <v>0</v>
      </c>
      <c r="DD1030">
        <v>0</v>
      </c>
      <c r="DE1030">
        <v>0</v>
      </c>
      <c r="DF1030">
        <v>0</v>
      </c>
      <c r="DG1030">
        <v>0</v>
      </c>
      <c r="DH1030">
        <v>0</v>
      </c>
      <c r="DI1030">
        <v>0</v>
      </c>
      <c r="DJ1030">
        <v>0</v>
      </c>
      <c r="DK1030">
        <v>0</v>
      </c>
      <c r="DL1030">
        <v>995.5</v>
      </c>
      <c r="DM1030">
        <v>712.7</v>
      </c>
      <c r="DN1030">
        <v>0</v>
      </c>
      <c r="DO1030">
        <v>0</v>
      </c>
      <c r="DP1030">
        <v>0</v>
      </c>
      <c r="DQ1030">
        <v>0</v>
      </c>
      <c r="DR1030">
        <v>0</v>
      </c>
      <c r="DS1030">
        <v>0</v>
      </c>
      <c r="DT1030">
        <v>0</v>
      </c>
      <c r="DU1030">
        <v>0</v>
      </c>
      <c r="DV1030">
        <v>0</v>
      </c>
      <c r="DW1030">
        <v>0</v>
      </c>
      <c r="DX1030">
        <v>0</v>
      </c>
      <c r="DY1030">
        <v>0</v>
      </c>
      <c r="DZ1030">
        <v>0</v>
      </c>
      <c r="EA1030">
        <v>0</v>
      </c>
      <c r="EB1030">
        <v>0</v>
      </c>
      <c r="EC1030">
        <v>0</v>
      </c>
      <c r="ED1030">
        <v>0</v>
      </c>
      <c r="EE1030">
        <v>0</v>
      </c>
      <c r="EF1030">
        <v>0</v>
      </c>
      <c r="EG1030">
        <v>0</v>
      </c>
      <c r="EH1030">
        <v>0</v>
      </c>
      <c r="EI1030">
        <v>0</v>
      </c>
      <c r="EJ1030">
        <v>0</v>
      </c>
      <c r="EK1030">
        <v>0</v>
      </c>
      <c r="EL1030">
        <v>0</v>
      </c>
      <c r="EM1030">
        <v>0</v>
      </c>
      <c r="EN1030">
        <v>27.4</v>
      </c>
      <c r="EO1030">
        <v>0</v>
      </c>
      <c r="EP1030">
        <v>1002.5</v>
      </c>
      <c r="EQ1030">
        <v>0</v>
      </c>
      <c r="ER1030">
        <v>494</v>
      </c>
      <c r="ES1030">
        <v>0</v>
      </c>
      <c r="ET1030">
        <v>699.3</v>
      </c>
      <c r="EU1030">
        <v>435.4</v>
      </c>
      <c r="EV1030">
        <v>0</v>
      </c>
      <c r="EW1030">
        <v>0</v>
      </c>
      <c r="EX1030">
        <v>0</v>
      </c>
      <c r="EY1030">
        <v>0</v>
      </c>
      <c r="EZ1030">
        <v>0</v>
      </c>
      <c r="FA1030">
        <v>0</v>
      </c>
      <c r="FB1030">
        <v>0</v>
      </c>
      <c r="FC1030">
        <v>0</v>
      </c>
      <c r="FD1030">
        <v>95.6</v>
      </c>
      <c r="FE1030">
        <v>1792.1</v>
      </c>
      <c r="FF1030">
        <v>1740.1999999999998</v>
      </c>
      <c r="FG1030">
        <v>954.9</v>
      </c>
      <c r="FH1030">
        <v>1087.8000000000002</v>
      </c>
      <c r="FI1030">
        <v>1892.1</v>
      </c>
      <c r="FJ1030">
        <v>1222.5</v>
      </c>
      <c r="FK1030">
        <v>678.3</v>
      </c>
      <c r="FL1030">
        <v>639.1</v>
      </c>
      <c r="FM1030">
        <v>520.5</v>
      </c>
      <c r="FN1030">
        <v>123.8</v>
      </c>
      <c r="FO1030">
        <v>181.6</v>
      </c>
      <c r="FP1030">
        <v>1090.5</v>
      </c>
      <c r="FQ1030">
        <v>0</v>
      </c>
      <c r="FR1030">
        <v>0</v>
      </c>
      <c r="FS1030">
        <v>0</v>
      </c>
      <c r="FT1030">
        <v>0</v>
      </c>
      <c r="FU1030">
        <v>0</v>
      </c>
      <c r="FV1030">
        <v>0</v>
      </c>
      <c r="FW1030">
        <v>0</v>
      </c>
      <c r="FX1030">
        <v>0</v>
      </c>
      <c r="FY1030">
        <v>0</v>
      </c>
      <c r="FZ1030">
        <v>0</v>
      </c>
      <c r="GA1030">
        <v>0</v>
      </c>
      <c r="GB1030">
        <v>0</v>
      </c>
      <c r="GC1030">
        <v>0</v>
      </c>
      <c r="GD1030">
        <v>0</v>
      </c>
      <c r="GE1030">
        <v>0</v>
      </c>
      <c r="GF1030">
        <v>198.3</v>
      </c>
      <c r="GG1030">
        <v>1054.4000000000001</v>
      </c>
      <c r="GH1030">
        <v>552.79999999999995</v>
      </c>
      <c r="GI1030">
        <v>522</v>
      </c>
      <c r="GJ1030">
        <v>0</v>
      </c>
      <c r="GK1030">
        <v>0</v>
      </c>
      <c r="GL1030">
        <v>0</v>
      </c>
      <c r="GM1030">
        <v>0</v>
      </c>
      <c r="GN1030">
        <v>791.40000000000009</v>
      </c>
      <c r="GO1030">
        <v>1816.5</v>
      </c>
      <c r="GP1030">
        <v>0</v>
      </c>
      <c r="GQ1030">
        <v>0</v>
      </c>
      <c r="GR1030">
        <v>0</v>
      </c>
      <c r="GS1030">
        <v>0</v>
      </c>
      <c r="GT1030">
        <v>0</v>
      </c>
      <c r="GU1030">
        <v>0</v>
      </c>
      <c r="GV1030">
        <v>0</v>
      </c>
      <c r="GW1030">
        <v>0</v>
      </c>
      <c r="GX1030">
        <v>0</v>
      </c>
      <c r="GY1030">
        <v>840.3</v>
      </c>
      <c r="GZ1030">
        <v>0</v>
      </c>
      <c r="HA1030">
        <v>0</v>
      </c>
      <c r="HB1030">
        <v>0</v>
      </c>
      <c r="HC1030">
        <v>380.4</v>
      </c>
      <c r="HD1030">
        <v>2175.5</v>
      </c>
      <c r="HE1030">
        <v>0</v>
      </c>
      <c r="HF1030">
        <v>0</v>
      </c>
      <c r="HG1030">
        <v>0</v>
      </c>
      <c r="HH1030">
        <v>0</v>
      </c>
      <c r="HI1030">
        <v>0</v>
      </c>
      <c r="HJ1030">
        <v>803.40000000000009</v>
      </c>
      <c r="HK1030">
        <v>1270.9000000000001</v>
      </c>
      <c r="HL1030">
        <v>835.7</v>
      </c>
      <c r="HM1030">
        <v>1162.5999999999999</v>
      </c>
      <c r="HN1030">
        <v>0</v>
      </c>
      <c r="HO1030">
        <v>0</v>
      </c>
      <c r="HP1030">
        <v>0</v>
      </c>
      <c r="HQ1030">
        <v>0</v>
      </c>
      <c r="HR1030">
        <v>161.19999999999999</v>
      </c>
      <c r="HS1030">
        <v>0</v>
      </c>
      <c r="HT1030">
        <v>2048.5</v>
      </c>
      <c r="HU1030">
        <v>2627.5</v>
      </c>
      <c r="HV1030">
        <v>1168.5999999999999</v>
      </c>
      <c r="HW1030">
        <v>388</v>
      </c>
      <c r="HX1030">
        <v>0</v>
      </c>
      <c r="HY1030">
        <v>0</v>
      </c>
      <c r="HZ1030">
        <v>0</v>
      </c>
      <c r="IA1030">
        <v>0</v>
      </c>
      <c r="IB1030">
        <v>0</v>
      </c>
      <c r="IC1030">
        <v>594.4</v>
      </c>
      <c r="ID1030">
        <v>427.4</v>
      </c>
      <c r="IE1030">
        <v>713.3</v>
      </c>
      <c r="IF1030">
        <v>626.1</v>
      </c>
      <c r="IG1030">
        <v>0</v>
      </c>
      <c r="IH1030">
        <v>0</v>
      </c>
      <c r="II1030">
        <v>995.7</v>
      </c>
      <c r="IJ1030">
        <v>1156.5999999999999</v>
      </c>
      <c r="IK1030">
        <v>864.6</v>
      </c>
      <c r="IL1030">
        <v>316.5</v>
      </c>
      <c r="IM1030">
        <v>101.5</v>
      </c>
      <c r="IN1030">
        <v>71.8</v>
      </c>
      <c r="IO1030">
        <v>0</v>
      </c>
      <c r="IP1030">
        <v>0</v>
      </c>
      <c r="IQ1030">
        <v>0</v>
      </c>
      <c r="IR1030">
        <v>0</v>
      </c>
      <c r="IS1030">
        <v>0</v>
      </c>
      <c r="IT1030">
        <v>0</v>
      </c>
      <c r="IU1030">
        <v>0</v>
      </c>
      <c r="IV1030">
        <v>0</v>
      </c>
      <c r="IW1030">
        <v>68</v>
      </c>
      <c r="IX1030">
        <v>404.7</v>
      </c>
      <c r="IY1030">
        <v>126.6</v>
      </c>
      <c r="IZ1030">
        <v>126.6</v>
      </c>
      <c r="JA1030">
        <v>503.7</v>
      </c>
      <c r="JB1030">
        <v>570.1</v>
      </c>
      <c r="JC1030">
        <v>328.3</v>
      </c>
      <c r="JD1030">
        <v>0</v>
      </c>
      <c r="JE1030">
        <v>0</v>
      </c>
      <c r="JF1030">
        <v>0</v>
      </c>
      <c r="JG1030">
        <v>0</v>
      </c>
      <c r="JH1030">
        <v>287.3</v>
      </c>
      <c r="JI1030">
        <v>68.2</v>
      </c>
      <c r="JJ1030">
        <v>0</v>
      </c>
      <c r="JK1030">
        <v>148.6</v>
      </c>
      <c r="JL1030">
        <v>0</v>
      </c>
      <c r="JM1030">
        <v>0</v>
      </c>
      <c r="JN1030">
        <v>204.5</v>
      </c>
      <c r="JO1030">
        <v>292.10000000000002</v>
      </c>
      <c r="JP1030">
        <v>670.8</v>
      </c>
      <c r="JQ1030">
        <v>745.2</v>
      </c>
      <c r="JR1030">
        <v>242.9</v>
      </c>
    </row>
    <row r="1031" spans="2:278" ht="18" thickBot="1">
      <c r="B1031" s="368" t="s">
        <v>1373</v>
      </c>
      <c r="C1031" s="423" t="s">
        <v>1682</v>
      </c>
      <c r="D1031" s="368" t="s">
        <v>1489</v>
      </c>
      <c r="E1031" s="454">
        <v>22829.8</v>
      </c>
      <c r="F1031">
        <v>20193.400000000001</v>
      </c>
      <c r="G1031" s="427">
        <v>0</v>
      </c>
      <c r="H1031" s="155">
        <v>0</v>
      </c>
      <c r="I1031">
        <v>0</v>
      </c>
      <c r="J1031">
        <v>0</v>
      </c>
      <c r="K1031">
        <v>0</v>
      </c>
      <c r="L1031" s="4">
        <v>0</v>
      </c>
      <c r="M1031" s="4">
        <v>0</v>
      </c>
      <c r="N1031" s="4">
        <v>0</v>
      </c>
      <c r="O1031" s="4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1476.4</v>
      </c>
      <c r="X1031">
        <v>1482</v>
      </c>
      <c r="Y1031">
        <v>457.20000000000005</v>
      </c>
      <c r="Z1031">
        <v>0</v>
      </c>
      <c r="AA1031">
        <v>0</v>
      </c>
      <c r="AB1031">
        <v>0</v>
      </c>
      <c r="AC1031">
        <v>0</v>
      </c>
      <c r="AD1031">
        <v>3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1828.6</v>
      </c>
      <c r="AK1031">
        <v>1800.7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560.70000000000005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  <c r="CF1031">
        <v>0</v>
      </c>
      <c r="CG1031">
        <v>0</v>
      </c>
      <c r="CH1031">
        <v>0</v>
      </c>
      <c r="CI1031">
        <v>0</v>
      </c>
      <c r="CJ1031">
        <v>0</v>
      </c>
      <c r="CK1031">
        <v>0</v>
      </c>
      <c r="CL1031">
        <v>0</v>
      </c>
      <c r="CM1031">
        <v>0</v>
      </c>
      <c r="CN1031">
        <v>0</v>
      </c>
      <c r="CO1031">
        <v>0</v>
      </c>
      <c r="CP1031">
        <v>3.5</v>
      </c>
      <c r="CQ1031">
        <v>0</v>
      </c>
      <c r="CR1031">
        <v>528</v>
      </c>
      <c r="CS1031">
        <v>581.79999999999995</v>
      </c>
      <c r="CT1031">
        <v>555.40000000000009</v>
      </c>
      <c r="CU1031">
        <v>737.4</v>
      </c>
      <c r="CV1031">
        <v>1039.0999999999999</v>
      </c>
      <c r="CW1031">
        <v>1667.3</v>
      </c>
      <c r="CX1031">
        <v>877.6</v>
      </c>
      <c r="CY1031">
        <v>910.40000000000009</v>
      </c>
      <c r="CZ1031">
        <v>0</v>
      </c>
      <c r="DA1031">
        <v>0</v>
      </c>
      <c r="DB1031">
        <v>0</v>
      </c>
      <c r="DC1031">
        <v>0</v>
      </c>
      <c r="DD1031">
        <v>0</v>
      </c>
      <c r="DE1031">
        <v>0</v>
      </c>
      <c r="DF1031">
        <v>0</v>
      </c>
      <c r="DG1031">
        <v>0</v>
      </c>
      <c r="DH1031">
        <v>0</v>
      </c>
      <c r="DI1031">
        <v>0</v>
      </c>
      <c r="DJ1031">
        <v>0</v>
      </c>
      <c r="DK1031">
        <v>0</v>
      </c>
      <c r="DL1031">
        <v>995.5</v>
      </c>
      <c r="DM1031">
        <v>712.7</v>
      </c>
      <c r="DN1031">
        <v>0</v>
      </c>
      <c r="DO1031">
        <v>0</v>
      </c>
      <c r="DP1031">
        <v>0</v>
      </c>
      <c r="DQ1031">
        <v>0</v>
      </c>
      <c r="DR1031">
        <v>0</v>
      </c>
      <c r="DS1031">
        <v>0</v>
      </c>
      <c r="DT1031">
        <v>0</v>
      </c>
      <c r="DU1031">
        <v>0</v>
      </c>
      <c r="DV1031">
        <v>0</v>
      </c>
      <c r="DW1031">
        <v>0</v>
      </c>
      <c r="DX1031">
        <v>0</v>
      </c>
      <c r="DY1031">
        <v>0</v>
      </c>
      <c r="DZ1031">
        <v>0</v>
      </c>
      <c r="EA1031">
        <v>0</v>
      </c>
      <c r="EB1031">
        <v>0</v>
      </c>
      <c r="EC1031">
        <v>0</v>
      </c>
      <c r="ED1031">
        <v>0</v>
      </c>
      <c r="EE1031">
        <v>0</v>
      </c>
      <c r="EF1031">
        <v>0</v>
      </c>
      <c r="EG1031">
        <v>0</v>
      </c>
      <c r="EH1031">
        <v>0</v>
      </c>
      <c r="EI1031">
        <v>0</v>
      </c>
      <c r="EJ1031">
        <v>0</v>
      </c>
      <c r="EK1031">
        <v>0</v>
      </c>
      <c r="EL1031">
        <v>0</v>
      </c>
      <c r="EM1031">
        <v>0</v>
      </c>
      <c r="EN1031">
        <v>27.4</v>
      </c>
      <c r="EO1031">
        <v>0</v>
      </c>
      <c r="EP1031">
        <v>1002.5</v>
      </c>
      <c r="EQ1031">
        <v>0</v>
      </c>
      <c r="ER1031">
        <v>494</v>
      </c>
      <c r="ES1031">
        <v>0</v>
      </c>
      <c r="ET1031">
        <v>699.3</v>
      </c>
      <c r="EU1031">
        <v>435.4</v>
      </c>
      <c r="EV1031">
        <v>0</v>
      </c>
      <c r="EW1031">
        <v>0</v>
      </c>
      <c r="EX1031">
        <v>0</v>
      </c>
      <c r="EY1031">
        <v>0</v>
      </c>
      <c r="EZ1031">
        <v>0</v>
      </c>
      <c r="FA1031">
        <v>0</v>
      </c>
      <c r="FB1031">
        <v>0</v>
      </c>
      <c r="FC1031">
        <v>0</v>
      </c>
      <c r="FD1031">
        <v>95.6</v>
      </c>
      <c r="FE1031">
        <v>1792.1</v>
      </c>
      <c r="FF1031">
        <v>1740.1999999999998</v>
      </c>
      <c r="FG1031">
        <v>954.9</v>
      </c>
      <c r="FH1031">
        <v>1087.8000000000002</v>
      </c>
      <c r="FI1031">
        <v>1892.1</v>
      </c>
      <c r="FJ1031">
        <v>1222.5</v>
      </c>
      <c r="FK1031">
        <v>678.3</v>
      </c>
      <c r="FL1031">
        <v>639.1</v>
      </c>
      <c r="FM1031">
        <v>520.5</v>
      </c>
      <c r="FN1031">
        <v>123.8</v>
      </c>
      <c r="FO1031">
        <v>181.6</v>
      </c>
      <c r="FP1031">
        <v>1090.5</v>
      </c>
      <c r="FQ1031">
        <v>0</v>
      </c>
      <c r="FR1031">
        <v>0</v>
      </c>
      <c r="FS1031">
        <v>0</v>
      </c>
      <c r="FT1031">
        <v>0</v>
      </c>
      <c r="FU1031">
        <v>0</v>
      </c>
      <c r="FV1031">
        <v>0</v>
      </c>
      <c r="FW1031">
        <v>0</v>
      </c>
      <c r="FX1031">
        <v>0</v>
      </c>
      <c r="FY1031">
        <v>0</v>
      </c>
      <c r="FZ1031">
        <v>0</v>
      </c>
      <c r="GA1031">
        <v>0</v>
      </c>
      <c r="GB1031">
        <v>0</v>
      </c>
      <c r="GC1031">
        <v>0</v>
      </c>
      <c r="GD1031">
        <v>0</v>
      </c>
      <c r="GE1031">
        <v>0</v>
      </c>
      <c r="GF1031">
        <v>198.3</v>
      </c>
      <c r="GG1031">
        <v>1054.4000000000001</v>
      </c>
      <c r="GH1031">
        <v>552.79999999999995</v>
      </c>
      <c r="GI1031">
        <v>522</v>
      </c>
      <c r="GJ1031">
        <v>0</v>
      </c>
      <c r="GK1031">
        <v>0</v>
      </c>
      <c r="GL1031">
        <v>0</v>
      </c>
      <c r="GM1031">
        <v>0</v>
      </c>
      <c r="GN1031">
        <v>791.40000000000009</v>
      </c>
      <c r="GO1031">
        <v>1816.5</v>
      </c>
      <c r="GP1031">
        <v>0</v>
      </c>
      <c r="GQ1031">
        <v>0</v>
      </c>
      <c r="GR1031">
        <v>0</v>
      </c>
      <c r="GS1031">
        <v>0</v>
      </c>
      <c r="GT1031">
        <v>0</v>
      </c>
      <c r="GU1031">
        <v>0</v>
      </c>
      <c r="GV1031">
        <v>0</v>
      </c>
      <c r="GW1031">
        <v>0</v>
      </c>
      <c r="GX1031">
        <v>0</v>
      </c>
      <c r="GY1031">
        <v>840.3</v>
      </c>
      <c r="GZ1031">
        <v>0</v>
      </c>
      <c r="HA1031">
        <v>0</v>
      </c>
      <c r="HB1031">
        <v>0</v>
      </c>
      <c r="HC1031">
        <v>380.4</v>
      </c>
      <c r="HD1031">
        <v>2175.5</v>
      </c>
      <c r="HE1031">
        <v>0</v>
      </c>
      <c r="HF1031">
        <v>0</v>
      </c>
      <c r="HG1031">
        <v>0</v>
      </c>
      <c r="HH1031">
        <v>0</v>
      </c>
      <c r="HI1031">
        <v>0</v>
      </c>
      <c r="HJ1031">
        <v>803.40000000000009</v>
      </c>
      <c r="HK1031">
        <v>1270.9000000000001</v>
      </c>
      <c r="HL1031">
        <v>835.7</v>
      </c>
      <c r="HM1031">
        <v>1162.5999999999999</v>
      </c>
      <c r="HN1031">
        <v>0</v>
      </c>
      <c r="HO1031">
        <v>0</v>
      </c>
      <c r="HP1031">
        <v>0</v>
      </c>
      <c r="HQ1031">
        <v>0</v>
      </c>
      <c r="HR1031">
        <v>161.19999999999999</v>
      </c>
      <c r="HS1031">
        <v>0</v>
      </c>
      <c r="HT1031">
        <v>2048.5</v>
      </c>
      <c r="HU1031">
        <v>2627.5</v>
      </c>
      <c r="HV1031">
        <v>1168.5999999999999</v>
      </c>
      <c r="HW1031">
        <v>388</v>
      </c>
      <c r="HX1031">
        <v>0</v>
      </c>
      <c r="HY1031">
        <v>0</v>
      </c>
      <c r="HZ1031">
        <v>0</v>
      </c>
      <c r="IA1031">
        <v>0</v>
      </c>
      <c r="IB1031">
        <v>0</v>
      </c>
      <c r="IC1031">
        <v>594.4</v>
      </c>
      <c r="ID1031">
        <v>427.4</v>
      </c>
      <c r="IE1031">
        <v>713.3</v>
      </c>
      <c r="IF1031">
        <v>626.1</v>
      </c>
      <c r="IG1031">
        <v>0</v>
      </c>
      <c r="IH1031">
        <v>0</v>
      </c>
      <c r="II1031">
        <v>995.7</v>
      </c>
      <c r="IJ1031">
        <v>1156.5999999999999</v>
      </c>
      <c r="IK1031">
        <v>864.6</v>
      </c>
      <c r="IL1031">
        <v>316.5</v>
      </c>
      <c r="IM1031">
        <v>101.5</v>
      </c>
      <c r="IN1031">
        <v>71.8</v>
      </c>
      <c r="IO1031">
        <v>0</v>
      </c>
      <c r="IP1031">
        <v>0</v>
      </c>
      <c r="IQ1031">
        <v>0</v>
      </c>
      <c r="IR1031">
        <v>0</v>
      </c>
      <c r="IS1031">
        <v>0</v>
      </c>
      <c r="IT1031">
        <v>0</v>
      </c>
      <c r="IU1031">
        <v>0</v>
      </c>
      <c r="IV1031">
        <v>0</v>
      </c>
      <c r="IW1031">
        <v>68</v>
      </c>
      <c r="IX1031">
        <v>404.7</v>
      </c>
      <c r="IY1031">
        <v>126.6</v>
      </c>
      <c r="IZ1031">
        <v>126.6</v>
      </c>
      <c r="JA1031">
        <v>503.7</v>
      </c>
      <c r="JB1031">
        <v>570.1</v>
      </c>
      <c r="JC1031">
        <v>328.3</v>
      </c>
      <c r="JD1031">
        <v>0</v>
      </c>
      <c r="JE1031">
        <v>0</v>
      </c>
      <c r="JF1031">
        <v>0</v>
      </c>
      <c r="JG1031">
        <v>0</v>
      </c>
      <c r="JH1031">
        <v>287.3</v>
      </c>
      <c r="JI1031">
        <v>68.2</v>
      </c>
      <c r="JJ1031">
        <v>0</v>
      </c>
      <c r="JK1031">
        <v>148.6</v>
      </c>
      <c r="JL1031">
        <v>0</v>
      </c>
      <c r="JM1031">
        <v>0</v>
      </c>
      <c r="JN1031">
        <v>204.5</v>
      </c>
      <c r="JO1031">
        <v>292.10000000000002</v>
      </c>
      <c r="JP1031">
        <v>670.8</v>
      </c>
      <c r="JQ1031">
        <v>745.2</v>
      </c>
      <c r="JR1031">
        <v>242.9</v>
      </c>
    </row>
    <row r="1032" spans="2:278" ht="18" thickBot="1">
      <c r="B1032" s="367" t="s">
        <v>1374</v>
      </c>
      <c r="C1032" s="424" t="s">
        <v>1683</v>
      </c>
      <c r="D1032" s="368" t="s">
        <v>1489</v>
      </c>
      <c r="E1032" s="454">
        <v>22829.8</v>
      </c>
      <c r="F1032">
        <v>20193.400000000001</v>
      </c>
      <c r="G1032" s="427">
        <v>0</v>
      </c>
      <c r="H1032" s="155">
        <v>0</v>
      </c>
      <c r="I1032">
        <v>0</v>
      </c>
      <c r="J1032">
        <v>0</v>
      </c>
      <c r="K1032">
        <v>0</v>
      </c>
      <c r="L1032" s="4">
        <v>0</v>
      </c>
      <c r="M1032" s="4">
        <v>0</v>
      </c>
      <c r="N1032" s="4">
        <v>0</v>
      </c>
      <c r="O1032" s="4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1476.4</v>
      </c>
      <c r="X1032">
        <v>1482</v>
      </c>
      <c r="Y1032">
        <v>457.20000000000005</v>
      </c>
      <c r="Z1032">
        <v>0</v>
      </c>
      <c r="AA1032">
        <v>0</v>
      </c>
      <c r="AB1032">
        <v>0</v>
      </c>
      <c r="AC1032">
        <v>0</v>
      </c>
      <c r="AD1032">
        <v>3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1828.6</v>
      </c>
      <c r="AK1032">
        <v>1800.7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560.70000000000005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  <c r="CF1032">
        <v>0</v>
      </c>
      <c r="CG1032">
        <v>0</v>
      </c>
      <c r="CH1032">
        <v>0</v>
      </c>
      <c r="CI1032">
        <v>0</v>
      </c>
      <c r="CJ1032">
        <v>0</v>
      </c>
      <c r="CK1032">
        <v>0</v>
      </c>
      <c r="CL1032">
        <v>0</v>
      </c>
      <c r="CM1032">
        <v>0</v>
      </c>
      <c r="CN1032">
        <v>0</v>
      </c>
      <c r="CO1032">
        <v>0</v>
      </c>
      <c r="CP1032">
        <v>3.5</v>
      </c>
      <c r="CQ1032">
        <v>0</v>
      </c>
      <c r="CR1032">
        <v>528</v>
      </c>
      <c r="CS1032">
        <v>581.79999999999995</v>
      </c>
      <c r="CT1032">
        <v>555.40000000000009</v>
      </c>
      <c r="CU1032">
        <v>737.4</v>
      </c>
      <c r="CV1032">
        <v>1039.0999999999999</v>
      </c>
      <c r="CW1032">
        <v>1667.3</v>
      </c>
      <c r="CX1032">
        <v>877.6</v>
      </c>
      <c r="CY1032">
        <v>910.40000000000009</v>
      </c>
      <c r="CZ1032">
        <v>0</v>
      </c>
      <c r="DA1032">
        <v>0</v>
      </c>
      <c r="DB1032">
        <v>0</v>
      </c>
      <c r="DC1032">
        <v>0</v>
      </c>
      <c r="DD1032">
        <v>0</v>
      </c>
      <c r="DE1032">
        <v>0</v>
      </c>
      <c r="DF1032">
        <v>0</v>
      </c>
      <c r="DG1032">
        <v>0</v>
      </c>
      <c r="DH1032">
        <v>0</v>
      </c>
      <c r="DI1032">
        <v>0</v>
      </c>
      <c r="DJ1032">
        <v>0</v>
      </c>
      <c r="DK1032">
        <v>0</v>
      </c>
      <c r="DL1032">
        <v>995.5</v>
      </c>
      <c r="DM1032">
        <v>712.7</v>
      </c>
      <c r="DN1032">
        <v>0</v>
      </c>
      <c r="DO1032">
        <v>0</v>
      </c>
      <c r="DP1032">
        <v>0</v>
      </c>
      <c r="DQ1032">
        <v>0</v>
      </c>
      <c r="DR1032">
        <v>0</v>
      </c>
      <c r="DS1032">
        <v>0</v>
      </c>
      <c r="DT1032">
        <v>0</v>
      </c>
      <c r="DU1032">
        <v>0</v>
      </c>
      <c r="DV1032">
        <v>0</v>
      </c>
      <c r="DW1032">
        <v>0</v>
      </c>
      <c r="DX1032">
        <v>0</v>
      </c>
      <c r="DY1032">
        <v>0</v>
      </c>
      <c r="DZ1032">
        <v>0</v>
      </c>
      <c r="EA1032">
        <v>0</v>
      </c>
      <c r="EB1032">
        <v>0</v>
      </c>
      <c r="EC1032">
        <v>0</v>
      </c>
      <c r="ED1032">
        <v>0</v>
      </c>
      <c r="EE1032">
        <v>0</v>
      </c>
      <c r="EF1032">
        <v>0</v>
      </c>
      <c r="EG1032">
        <v>0</v>
      </c>
      <c r="EH1032">
        <v>0</v>
      </c>
      <c r="EI1032">
        <v>0</v>
      </c>
      <c r="EJ1032">
        <v>0</v>
      </c>
      <c r="EK1032">
        <v>0</v>
      </c>
      <c r="EL1032">
        <v>0</v>
      </c>
      <c r="EM1032">
        <v>0</v>
      </c>
      <c r="EN1032">
        <v>27.4</v>
      </c>
      <c r="EO1032">
        <v>0</v>
      </c>
      <c r="EP1032">
        <v>1002.5</v>
      </c>
      <c r="EQ1032">
        <v>0</v>
      </c>
      <c r="ER1032">
        <v>494</v>
      </c>
      <c r="ES1032">
        <v>0</v>
      </c>
      <c r="ET1032">
        <v>699.3</v>
      </c>
      <c r="EU1032">
        <v>435.4</v>
      </c>
      <c r="EV1032">
        <v>0</v>
      </c>
      <c r="EW1032">
        <v>0</v>
      </c>
      <c r="EX1032">
        <v>0</v>
      </c>
      <c r="EY1032">
        <v>0</v>
      </c>
      <c r="EZ1032">
        <v>0</v>
      </c>
      <c r="FA1032">
        <v>0</v>
      </c>
      <c r="FB1032">
        <v>0</v>
      </c>
      <c r="FC1032">
        <v>0</v>
      </c>
      <c r="FD1032">
        <v>95.6</v>
      </c>
      <c r="FE1032">
        <v>1792.1</v>
      </c>
      <c r="FF1032">
        <v>1740.1999999999998</v>
      </c>
      <c r="FG1032">
        <v>954.9</v>
      </c>
      <c r="FH1032">
        <v>1087.8000000000002</v>
      </c>
      <c r="FI1032">
        <v>1892.1</v>
      </c>
      <c r="FJ1032">
        <v>1222.5</v>
      </c>
      <c r="FK1032">
        <v>678.3</v>
      </c>
      <c r="FL1032">
        <v>639.1</v>
      </c>
      <c r="FM1032">
        <v>520.5</v>
      </c>
      <c r="FN1032">
        <v>123.8</v>
      </c>
      <c r="FO1032">
        <v>181.6</v>
      </c>
      <c r="FP1032">
        <v>1090.5</v>
      </c>
      <c r="FQ1032">
        <v>0</v>
      </c>
      <c r="FR1032">
        <v>0</v>
      </c>
      <c r="FS1032">
        <v>0</v>
      </c>
      <c r="FT1032">
        <v>0</v>
      </c>
      <c r="FU1032">
        <v>0</v>
      </c>
      <c r="FV1032">
        <v>0</v>
      </c>
      <c r="FW1032">
        <v>0</v>
      </c>
      <c r="FX1032">
        <v>0</v>
      </c>
      <c r="FY1032">
        <v>0</v>
      </c>
      <c r="FZ1032">
        <v>0</v>
      </c>
      <c r="GA1032">
        <v>0</v>
      </c>
      <c r="GB1032">
        <v>0</v>
      </c>
      <c r="GC1032">
        <v>0</v>
      </c>
      <c r="GD1032">
        <v>0</v>
      </c>
      <c r="GE1032">
        <v>0</v>
      </c>
      <c r="GF1032">
        <v>198.3</v>
      </c>
      <c r="GG1032">
        <v>1054.4000000000001</v>
      </c>
      <c r="GH1032">
        <v>552.79999999999995</v>
      </c>
      <c r="GI1032">
        <v>522</v>
      </c>
      <c r="GJ1032">
        <v>0</v>
      </c>
      <c r="GK1032">
        <v>0</v>
      </c>
      <c r="GL1032">
        <v>0</v>
      </c>
      <c r="GM1032">
        <v>0</v>
      </c>
      <c r="GN1032">
        <v>791.40000000000009</v>
      </c>
      <c r="GO1032">
        <v>1816.5</v>
      </c>
      <c r="GP1032">
        <v>0</v>
      </c>
      <c r="GQ1032">
        <v>0</v>
      </c>
      <c r="GR1032">
        <v>0</v>
      </c>
      <c r="GS1032">
        <v>0</v>
      </c>
      <c r="GT1032">
        <v>0</v>
      </c>
      <c r="GU1032">
        <v>0</v>
      </c>
      <c r="GV1032">
        <v>0</v>
      </c>
      <c r="GW1032">
        <v>0</v>
      </c>
      <c r="GX1032">
        <v>0</v>
      </c>
      <c r="GY1032">
        <v>840.3</v>
      </c>
      <c r="GZ1032">
        <v>0</v>
      </c>
      <c r="HA1032">
        <v>0</v>
      </c>
      <c r="HB1032">
        <v>0</v>
      </c>
      <c r="HC1032">
        <v>380.4</v>
      </c>
      <c r="HD1032">
        <v>2175.5</v>
      </c>
      <c r="HE1032">
        <v>0</v>
      </c>
      <c r="HF1032">
        <v>0</v>
      </c>
      <c r="HG1032">
        <v>0</v>
      </c>
      <c r="HH1032">
        <v>0</v>
      </c>
      <c r="HI1032">
        <v>0</v>
      </c>
      <c r="HJ1032">
        <v>803.40000000000009</v>
      </c>
      <c r="HK1032">
        <v>1270.9000000000001</v>
      </c>
      <c r="HL1032">
        <v>835.7</v>
      </c>
      <c r="HM1032">
        <v>1162.5999999999999</v>
      </c>
      <c r="HN1032">
        <v>0</v>
      </c>
      <c r="HO1032">
        <v>0</v>
      </c>
      <c r="HP1032">
        <v>0</v>
      </c>
      <c r="HQ1032">
        <v>0</v>
      </c>
      <c r="HR1032">
        <v>161.19999999999999</v>
      </c>
      <c r="HS1032">
        <v>0</v>
      </c>
      <c r="HT1032">
        <v>2048.5</v>
      </c>
      <c r="HU1032">
        <v>2627.5</v>
      </c>
      <c r="HV1032">
        <v>1168.5999999999999</v>
      </c>
      <c r="HW1032">
        <v>388</v>
      </c>
      <c r="HX1032">
        <v>0</v>
      </c>
      <c r="HY1032">
        <v>0</v>
      </c>
      <c r="HZ1032">
        <v>0</v>
      </c>
      <c r="IA1032">
        <v>0</v>
      </c>
      <c r="IB1032">
        <v>0</v>
      </c>
      <c r="IC1032">
        <v>594.4</v>
      </c>
      <c r="ID1032">
        <v>427.4</v>
      </c>
      <c r="IE1032">
        <v>713.3</v>
      </c>
      <c r="IF1032">
        <v>626.1</v>
      </c>
      <c r="IG1032">
        <v>0</v>
      </c>
      <c r="IH1032">
        <v>0</v>
      </c>
      <c r="II1032">
        <v>995.7</v>
      </c>
      <c r="IJ1032">
        <v>1156.5999999999999</v>
      </c>
      <c r="IK1032">
        <v>864.6</v>
      </c>
      <c r="IL1032">
        <v>316.5</v>
      </c>
      <c r="IM1032">
        <v>101.5</v>
      </c>
      <c r="IN1032">
        <v>71.8</v>
      </c>
      <c r="IO1032">
        <v>0</v>
      </c>
      <c r="IP1032">
        <v>0</v>
      </c>
      <c r="IQ1032">
        <v>0</v>
      </c>
      <c r="IR1032">
        <v>0</v>
      </c>
      <c r="IS1032">
        <v>0</v>
      </c>
      <c r="IT1032">
        <v>0</v>
      </c>
      <c r="IU1032">
        <v>0</v>
      </c>
      <c r="IV1032">
        <v>0</v>
      </c>
      <c r="IW1032">
        <v>68</v>
      </c>
      <c r="IX1032">
        <v>404.7</v>
      </c>
      <c r="IY1032">
        <v>126.6</v>
      </c>
      <c r="IZ1032">
        <v>126.6</v>
      </c>
      <c r="JA1032">
        <v>503.7</v>
      </c>
      <c r="JB1032">
        <v>570.1</v>
      </c>
      <c r="JC1032">
        <v>328.3</v>
      </c>
      <c r="JD1032">
        <v>0</v>
      </c>
      <c r="JE1032">
        <v>0</v>
      </c>
      <c r="JF1032">
        <v>0</v>
      </c>
      <c r="JG1032">
        <v>0</v>
      </c>
      <c r="JH1032">
        <v>287.3</v>
      </c>
      <c r="JI1032">
        <v>68.2</v>
      </c>
      <c r="JJ1032">
        <v>0</v>
      </c>
      <c r="JK1032">
        <v>148.6</v>
      </c>
      <c r="JL1032">
        <v>0</v>
      </c>
      <c r="JM1032">
        <v>0</v>
      </c>
      <c r="JN1032">
        <v>204.5</v>
      </c>
      <c r="JO1032">
        <v>292.10000000000002</v>
      </c>
      <c r="JP1032">
        <v>670.8</v>
      </c>
      <c r="JQ1032">
        <v>745.2</v>
      </c>
      <c r="JR1032">
        <v>242.9</v>
      </c>
    </row>
    <row r="1033" spans="2:278" ht="18" thickBot="1">
      <c r="C1033" s="392"/>
      <c r="D1033" s="392" t="s">
        <v>1490</v>
      </c>
      <c r="E1033" s="454">
        <v>22829.8</v>
      </c>
      <c r="F1033">
        <v>20193.400000000001</v>
      </c>
      <c r="G1033" s="427">
        <v>0</v>
      </c>
      <c r="H1033" s="155">
        <v>0</v>
      </c>
      <c r="I1033">
        <v>0</v>
      </c>
      <c r="J1033">
        <v>0</v>
      </c>
      <c r="K1033">
        <v>0</v>
      </c>
      <c r="L1033" s="4">
        <v>0</v>
      </c>
      <c r="M1033" s="4">
        <v>0</v>
      </c>
      <c r="N1033" s="4">
        <v>0</v>
      </c>
      <c r="O1033" s="4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1476.4</v>
      </c>
      <c r="X1033">
        <v>1482</v>
      </c>
      <c r="Y1033">
        <v>457.20000000000005</v>
      </c>
      <c r="Z1033">
        <v>0</v>
      </c>
      <c r="AA1033">
        <v>0</v>
      </c>
      <c r="AB1033">
        <v>0</v>
      </c>
      <c r="AC1033">
        <v>0</v>
      </c>
      <c r="AD1033">
        <v>3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1828.6</v>
      </c>
      <c r="AK1033">
        <v>1800.7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560.70000000000005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0</v>
      </c>
      <c r="BU1033">
        <v>0</v>
      </c>
      <c r="BV1033">
        <v>0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  <c r="CF1033">
        <v>0</v>
      </c>
      <c r="CG1033">
        <v>0</v>
      </c>
      <c r="CH1033">
        <v>0</v>
      </c>
      <c r="CI1033">
        <v>0</v>
      </c>
      <c r="CJ1033">
        <v>0</v>
      </c>
      <c r="CK1033">
        <v>0</v>
      </c>
      <c r="CL1033">
        <v>0</v>
      </c>
      <c r="CM1033">
        <v>0</v>
      </c>
      <c r="CN1033">
        <v>0</v>
      </c>
      <c r="CO1033">
        <v>0</v>
      </c>
      <c r="CP1033">
        <v>3.5</v>
      </c>
      <c r="CQ1033">
        <v>0</v>
      </c>
      <c r="CR1033">
        <v>528</v>
      </c>
      <c r="CS1033">
        <v>581.79999999999995</v>
      </c>
      <c r="CT1033">
        <v>555.40000000000009</v>
      </c>
      <c r="CU1033">
        <v>737.4</v>
      </c>
      <c r="CV1033">
        <v>1039.0999999999999</v>
      </c>
      <c r="CW1033">
        <v>1667.3</v>
      </c>
      <c r="CX1033">
        <v>877.6</v>
      </c>
      <c r="CY1033">
        <v>910.40000000000009</v>
      </c>
      <c r="CZ1033">
        <v>0</v>
      </c>
      <c r="DA1033">
        <v>0</v>
      </c>
      <c r="DB1033">
        <v>0</v>
      </c>
      <c r="DC1033">
        <v>0</v>
      </c>
      <c r="DD1033">
        <v>0</v>
      </c>
      <c r="DE1033">
        <v>0</v>
      </c>
      <c r="DF1033">
        <v>0</v>
      </c>
      <c r="DG1033">
        <v>0</v>
      </c>
      <c r="DH1033">
        <v>0</v>
      </c>
      <c r="DI1033">
        <v>0</v>
      </c>
      <c r="DJ1033">
        <v>0</v>
      </c>
      <c r="DK1033">
        <v>0</v>
      </c>
      <c r="DL1033">
        <v>995.5</v>
      </c>
      <c r="DM1033">
        <v>712.7</v>
      </c>
      <c r="DN1033">
        <v>0</v>
      </c>
      <c r="DO1033">
        <v>0</v>
      </c>
      <c r="DP1033">
        <v>0</v>
      </c>
      <c r="DQ1033">
        <v>0</v>
      </c>
      <c r="DR1033">
        <v>0</v>
      </c>
      <c r="DS1033">
        <v>0</v>
      </c>
      <c r="DT1033">
        <v>0</v>
      </c>
      <c r="DU1033">
        <v>0</v>
      </c>
      <c r="DV1033">
        <v>0</v>
      </c>
      <c r="DW1033">
        <v>0</v>
      </c>
      <c r="DX1033">
        <v>0</v>
      </c>
      <c r="DY1033">
        <v>0</v>
      </c>
      <c r="DZ1033">
        <v>0</v>
      </c>
      <c r="EA1033">
        <v>0</v>
      </c>
      <c r="EB1033">
        <v>0</v>
      </c>
      <c r="EC1033">
        <v>0</v>
      </c>
      <c r="ED1033">
        <v>0</v>
      </c>
      <c r="EE1033">
        <v>0</v>
      </c>
      <c r="EF1033">
        <v>0</v>
      </c>
      <c r="EG1033">
        <v>0</v>
      </c>
      <c r="EH1033">
        <v>0</v>
      </c>
      <c r="EI1033">
        <v>0</v>
      </c>
      <c r="EJ1033">
        <v>0</v>
      </c>
      <c r="EK1033">
        <v>0</v>
      </c>
      <c r="EL1033">
        <v>0</v>
      </c>
      <c r="EM1033">
        <v>0</v>
      </c>
      <c r="EN1033">
        <v>27.4</v>
      </c>
      <c r="EO1033">
        <v>0</v>
      </c>
      <c r="EP1033">
        <v>1002.5</v>
      </c>
      <c r="EQ1033">
        <v>0</v>
      </c>
      <c r="ER1033">
        <v>494</v>
      </c>
      <c r="ES1033">
        <v>0</v>
      </c>
      <c r="ET1033">
        <v>699.3</v>
      </c>
      <c r="EU1033">
        <v>435.4</v>
      </c>
      <c r="EV1033">
        <v>0</v>
      </c>
      <c r="EW1033">
        <v>0</v>
      </c>
      <c r="EX1033">
        <v>0</v>
      </c>
      <c r="EY1033">
        <v>0</v>
      </c>
      <c r="EZ1033">
        <v>0</v>
      </c>
      <c r="FA1033">
        <v>0</v>
      </c>
      <c r="FB1033">
        <v>0</v>
      </c>
      <c r="FC1033">
        <v>0</v>
      </c>
      <c r="FD1033">
        <v>95.6</v>
      </c>
      <c r="FE1033">
        <v>1792.1</v>
      </c>
      <c r="FF1033">
        <v>1740.1999999999998</v>
      </c>
      <c r="FG1033">
        <v>954.9</v>
      </c>
      <c r="FH1033">
        <v>1087.8000000000002</v>
      </c>
      <c r="FI1033">
        <v>1892.1</v>
      </c>
      <c r="FJ1033">
        <v>1222.5</v>
      </c>
      <c r="FK1033">
        <v>678.3</v>
      </c>
      <c r="FL1033">
        <v>639.1</v>
      </c>
      <c r="FM1033">
        <v>520.5</v>
      </c>
      <c r="FN1033">
        <v>123.8</v>
      </c>
      <c r="FO1033">
        <v>181.6</v>
      </c>
      <c r="FP1033">
        <v>1090.5</v>
      </c>
      <c r="FQ1033">
        <v>0</v>
      </c>
      <c r="FR1033">
        <v>0</v>
      </c>
      <c r="FS1033">
        <v>0</v>
      </c>
      <c r="FT1033">
        <v>0</v>
      </c>
      <c r="FU1033">
        <v>0</v>
      </c>
      <c r="FV1033">
        <v>0</v>
      </c>
      <c r="FW1033">
        <v>0</v>
      </c>
      <c r="FX1033">
        <v>0</v>
      </c>
      <c r="FY1033">
        <v>0</v>
      </c>
      <c r="FZ1033">
        <v>0</v>
      </c>
      <c r="GA1033">
        <v>0</v>
      </c>
      <c r="GB1033">
        <v>0</v>
      </c>
      <c r="GC1033">
        <v>0</v>
      </c>
      <c r="GD1033">
        <v>0</v>
      </c>
      <c r="GE1033">
        <v>0</v>
      </c>
      <c r="GF1033">
        <v>198.3</v>
      </c>
      <c r="GG1033">
        <v>1054.4000000000001</v>
      </c>
      <c r="GH1033">
        <v>552.79999999999995</v>
      </c>
      <c r="GI1033">
        <v>522</v>
      </c>
      <c r="GJ1033">
        <v>0</v>
      </c>
      <c r="GK1033">
        <v>0</v>
      </c>
      <c r="GL1033">
        <v>0</v>
      </c>
      <c r="GM1033">
        <v>0</v>
      </c>
      <c r="GN1033">
        <v>791.40000000000009</v>
      </c>
      <c r="GO1033">
        <v>1816.5</v>
      </c>
      <c r="GP1033">
        <v>0</v>
      </c>
      <c r="GQ1033">
        <v>0</v>
      </c>
      <c r="GR1033">
        <v>0</v>
      </c>
      <c r="GS1033">
        <v>0</v>
      </c>
      <c r="GT1033">
        <v>0</v>
      </c>
      <c r="GU1033">
        <v>0</v>
      </c>
      <c r="GV1033">
        <v>0</v>
      </c>
      <c r="GW1033">
        <v>0</v>
      </c>
      <c r="GX1033">
        <v>0</v>
      </c>
      <c r="GY1033">
        <v>840.3</v>
      </c>
      <c r="GZ1033">
        <v>0</v>
      </c>
      <c r="HA1033">
        <v>0</v>
      </c>
      <c r="HB1033">
        <v>0</v>
      </c>
      <c r="HC1033">
        <v>380.4</v>
      </c>
      <c r="HD1033">
        <v>2175.5</v>
      </c>
      <c r="HE1033">
        <v>0</v>
      </c>
      <c r="HF1033">
        <v>0</v>
      </c>
      <c r="HG1033">
        <v>0</v>
      </c>
      <c r="HH1033">
        <v>0</v>
      </c>
      <c r="HI1033">
        <v>0</v>
      </c>
      <c r="HJ1033">
        <v>803.40000000000009</v>
      </c>
      <c r="HK1033">
        <v>1270.9000000000001</v>
      </c>
      <c r="HL1033">
        <v>835.7</v>
      </c>
      <c r="HM1033">
        <v>1162.5999999999999</v>
      </c>
      <c r="HN1033">
        <v>0</v>
      </c>
      <c r="HO1033">
        <v>0</v>
      </c>
      <c r="HP1033">
        <v>0</v>
      </c>
      <c r="HQ1033">
        <v>0</v>
      </c>
      <c r="HR1033">
        <v>161.19999999999999</v>
      </c>
      <c r="HS1033">
        <v>0</v>
      </c>
      <c r="HT1033">
        <v>2048.5</v>
      </c>
      <c r="HU1033">
        <v>2627.5</v>
      </c>
      <c r="HV1033">
        <v>1168.5999999999999</v>
      </c>
      <c r="HW1033">
        <v>388</v>
      </c>
      <c r="HX1033">
        <v>0</v>
      </c>
      <c r="HY1033">
        <v>0</v>
      </c>
      <c r="HZ1033">
        <v>0</v>
      </c>
      <c r="IA1033">
        <v>0</v>
      </c>
      <c r="IB1033">
        <v>0</v>
      </c>
      <c r="IC1033">
        <v>594.4</v>
      </c>
      <c r="ID1033">
        <v>427.4</v>
      </c>
      <c r="IE1033">
        <v>713.3</v>
      </c>
      <c r="IF1033">
        <v>626.1</v>
      </c>
      <c r="IG1033">
        <v>0</v>
      </c>
      <c r="IH1033">
        <v>0</v>
      </c>
      <c r="II1033">
        <v>995.7</v>
      </c>
      <c r="IJ1033">
        <v>1156.5999999999999</v>
      </c>
      <c r="IK1033">
        <v>864.6</v>
      </c>
      <c r="IL1033">
        <v>316.5</v>
      </c>
      <c r="IM1033">
        <v>101.5</v>
      </c>
      <c r="IN1033">
        <v>71.8</v>
      </c>
      <c r="IO1033">
        <v>0</v>
      </c>
      <c r="IP1033">
        <v>0</v>
      </c>
      <c r="IQ1033">
        <v>0</v>
      </c>
      <c r="IR1033">
        <v>0</v>
      </c>
      <c r="IS1033">
        <v>0</v>
      </c>
      <c r="IT1033">
        <v>0</v>
      </c>
      <c r="IU1033">
        <v>0</v>
      </c>
      <c r="IV1033">
        <v>0</v>
      </c>
      <c r="IW1033">
        <v>68</v>
      </c>
      <c r="IX1033">
        <v>404.7</v>
      </c>
      <c r="IY1033">
        <v>126.6</v>
      </c>
      <c r="IZ1033">
        <v>126.6</v>
      </c>
      <c r="JA1033">
        <v>503.7</v>
      </c>
      <c r="JB1033">
        <v>570.1</v>
      </c>
      <c r="JC1033">
        <v>328.3</v>
      </c>
      <c r="JD1033">
        <v>0</v>
      </c>
      <c r="JE1033">
        <v>0</v>
      </c>
      <c r="JF1033">
        <v>0</v>
      </c>
      <c r="JG1033">
        <v>0</v>
      </c>
      <c r="JH1033">
        <v>287.3</v>
      </c>
      <c r="JI1033">
        <v>68.2</v>
      </c>
      <c r="JJ1033">
        <v>0</v>
      </c>
      <c r="JK1033">
        <v>148.6</v>
      </c>
      <c r="JL1033">
        <v>0</v>
      </c>
      <c r="JM1033">
        <v>0</v>
      </c>
      <c r="JN1033">
        <v>204.5</v>
      </c>
      <c r="JO1033">
        <v>292.10000000000002</v>
      </c>
      <c r="JP1033">
        <v>670.8</v>
      </c>
      <c r="JQ1033">
        <v>745.2</v>
      </c>
      <c r="JR1033">
        <v>242.9</v>
      </c>
    </row>
    <row r="1034" spans="2:278" ht="18" thickBot="1">
      <c r="C1034" s="393"/>
      <c r="D1034" s="393" t="s">
        <v>1491</v>
      </c>
      <c r="E1034" s="454">
        <v>22829.8</v>
      </c>
      <c r="F1034">
        <v>20193.400000000001</v>
      </c>
      <c r="G1034" s="427">
        <v>0</v>
      </c>
      <c r="H1034" s="155">
        <v>0</v>
      </c>
      <c r="I1034">
        <v>0</v>
      </c>
      <c r="J1034">
        <v>0</v>
      </c>
      <c r="K1034">
        <v>0</v>
      </c>
      <c r="L1034" s="4">
        <v>0</v>
      </c>
      <c r="M1034" s="4">
        <v>0</v>
      </c>
      <c r="N1034" s="4">
        <v>0</v>
      </c>
      <c r="O1034" s="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1476.4</v>
      </c>
      <c r="X1034">
        <v>1482</v>
      </c>
      <c r="Y1034">
        <v>457.20000000000005</v>
      </c>
      <c r="Z1034">
        <v>0</v>
      </c>
      <c r="AA1034">
        <v>0</v>
      </c>
      <c r="AB1034">
        <v>0</v>
      </c>
      <c r="AC1034">
        <v>0</v>
      </c>
      <c r="AD1034">
        <v>3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1828.6</v>
      </c>
      <c r="AK1034">
        <v>1800.7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560.70000000000005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0</v>
      </c>
      <c r="BU1034">
        <v>0</v>
      </c>
      <c r="BV1034">
        <v>0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  <c r="CF1034">
        <v>0</v>
      </c>
      <c r="CG1034">
        <v>0</v>
      </c>
      <c r="CH1034">
        <v>0</v>
      </c>
      <c r="CI1034">
        <v>0</v>
      </c>
      <c r="CJ1034">
        <v>0</v>
      </c>
      <c r="CK1034">
        <v>0</v>
      </c>
      <c r="CL1034">
        <v>0</v>
      </c>
      <c r="CM1034">
        <v>0</v>
      </c>
      <c r="CN1034">
        <v>0</v>
      </c>
      <c r="CO1034">
        <v>0</v>
      </c>
      <c r="CP1034">
        <v>3.5</v>
      </c>
      <c r="CQ1034">
        <v>0</v>
      </c>
      <c r="CR1034">
        <v>528</v>
      </c>
      <c r="CS1034">
        <v>581.79999999999995</v>
      </c>
      <c r="CT1034">
        <v>555.40000000000009</v>
      </c>
      <c r="CU1034">
        <v>737.4</v>
      </c>
      <c r="CV1034">
        <v>1039.0999999999999</v>
      </c>
      <c r="CW1034">
        <v>1667.3</v>
      </c>
      <c r="CX1034">
        <v>877.6</v>
      </c>
      <c r="CY1034">
        <v>910.40000000000009</v>
      </c>
      <c r="CZ1034">
        <v>0</v>
      </c>
      <c r="DA1034">
        <v>0</v>
      </c>
      <c r="DB1034">
        <v>0</v>
      </c>
      <c r="DC1034">
        <v>0</v>
      </c>
      <c r="DD1034">
        <v>0</v>
      </c>
      <c r="DE1034">
        <v>0</v>
      </c>
      <c r="DF1034">
        <v>0</v>
      </c>
      <c r="DG1034">
        <v>0</v>
      </c>
      <c r="DH1034">
        <v>0</v>
      </c>
      <c r="DI1034">
        <v>0</v>
      </c>
      <c r="DJ1034">
        <v>0</v>
      </c>
      <c r="DK1034">
        <v>0</v>
      </c>
      <c r="DL1034">
        <v>995.5</v>
      </c>
      <c r="DM1034">
        <v>712.7</v>
      </c>
      <c r="DN1034">
        <v>0</v>
      </c>
      <c r="DO1034">
        <v>0</v>
      </c>
      <c r="DP1034">
        <v>0</v>
      </c>
      <c r="DQ1034">
        <v>0</v>
      </c>
      <c r="DR1034">
        <v>0</v>
      </c>
      <c r="DS1034">
        <v>0</v>
      </c>
      <c r="DT1034">
        <v>0</v>
      </c>
      <c r="DU1034">
        <v>0</v>
      </c>
      <c r="DV1034">
        <v>0</v>
      </c>
      <c r="DW1034">
        <v>0</v>
      </c>
      <c r="DX1034">
        <v>0</v>
      </c>
      <c r="DY1034">
        <v>0</v>
      </c>
      <c r="DZ1034">
        <v>0</v>
      </c>
      <c r="EA1034">
        <v>0</v>
      </c>
      <c r="EB1034">
        <v>0</v>
      </c>
      <c r="EC1034">
        <v>0</v>
      </c>
      <c r="ED1034">
        <v>0</v>
      </c>
      <c r="EE1034">
        <v>0</v>
      </c>
      <c r="EF1034">
        <v>0</v>
      </c>
      <c r="EG1034">
        <v>0</v>
      </c>
      <c r="EH1034">
        <v>0</v>
      </c>
      <c r="EI1034">
        <v>0</v>
      </c>
      <c r="EJ1034">
        <v>0</v>
      </c>
      <c r="EK1034">
        <v>0</v>
      </c>
      <c r="EL1034">
        <v>0</v>
      </c>
      <c r="EM1034">
        <v>0</v>
      </c>
      <c r="EN1034">
        <v>27.4</v>
      </c>
      <c r="EO1034">
        <v>0</v>
      </c>
      <c r="EP1034">
        <v>1002.5</v>
      </c>
      <c r="EQ1034">
        <v>0</v>
      </c>
      <c r="ER1034">
        <v>494</v>
      </c>
      <c r="ES1034">
        <v>0</v>
      </c>
      <c r="ET1034">
        <v>699.3</v>
      </c>
      <c r="EU1034">
        <v>435.4</v>
      </c>
      <c r="EV1034">
        <v>0</v>
      </c>
      <c r="EW1034">
        <v>0</v>
      </c>
      <c r="EX1034">
        <v>0</v>
      </c>
      <c r="EY1034">
        <v>0</v>
      </c>
      <c r="EZ1034">
        <v>0</v>
      </c>
      <c r="FA1034">
        <v>0</v>
      </c>
      <c r="FB1034">
        <v>0</v>
      </c>
      <c r="FC1034">
        <v>0</v>
      </c>
      <c r="FD1034">
        <v>95.6</v>
      </c>
      <c r="FE1034">
        <v>1792.1</v>
      </c>
      <c r="FF1034">
        <v>1740.1999999999998</v>
      </c>
      <c r="FG1034">
        <v>954.9</v>
      </c>
      <c r="FH1034">
        <v>1087.8000000000002</v>
      </c>
      <c r="FI1034">
        <v>1892.1</v>
      </c>
      <c r="FJ1034">
        <v>1222.5</v>
      </c>
      <c r="FK1034">
        <v>678.3</v>
      </c>
      <c r="FL1034">
        <v>639.1</v>
      </c>
      <c r="FM1034">
        <v>520.5</v>
      </c>
      <c r="FN1034">
        <v>123.8</v>
      </c>
      <c r="FO1034">
        <v>181.6</v>
      </c>
      <c r="FP1034">
        <v>1090.5</v>
      </c>
      <c r="FQ1034">
        <v>0</v>
      </c>
      <c r="FR1034">
        <v>0</v>
      </c>
      <c r="FS1034">
        <v>0</v>
      </c>
      <c r="FT1034">
        <v>0</v>
      </c>
      <c r="FU1034">
        <v>0</v>
      </c>
      <c r="FV1034">
        <v>0</v>
      </c>
      <c r="FW1034">
        <v>0</v>
      </c>
      <c r="FX1034">
        <v>0</v>
      </c>
      <c r="FY1034">
        <v>0</v>
      </c>
      <c r="FZ1034">
        <v>0</v>
      </c>
      <c r="GA1034">
        <v>0</v>
      </c>
      <c r="GB1034">
        <v>0</v>
      </c>
      <c r="GC1034">
        <v>0</v>
      </c>
      <c r="GD1034">
        <v>0</v>
      </c>
      <c r="GE1034">
        <v>0</v>
      </c>
      <c r="GF1034">
        <v>198.3</v>
      </c>
      <c r="GG1034">
        <v>1054.4000000000001</v>
      </c>
      <c r="GH1034">
        <v>552.79999999999995</v>
      </c>
      <c r="GI1034">
        <v>522</v>
      </c>
      <c r="GJ1034">
        <v>0</v>
      </c>
      <c r="GK1034">
        <v>0</v>
      </c>
      <c r="GL1034">
        <v>0</v>
      </c>
      <c r="GM1034">
        <v>0</v>
      </c>
      <c r="GN1034">
        <v>791.40000000000009</v>
      </c>
      <c r="GO1034">
        <v>1816.5</v>
      </c>
      <c r="GP1034">
        <v>0</v>
      </c>
      <c r="GQ1034">
        <v>0</v>
      </c>
      <c r="GR1034">
        <v>0</v>
      </c>
      <c r="GS1034">
        <v>0</v>
      </c>
      <c r="GT1034">
        <v>0</v>
      </c>
      <c r="GU1034">
        <v>0</v>
      </c>
      <c r="GV1034">
        <v>0</v>
      </c>
      <c r="GW1034">
        <v>0</v>
      </c>
      <c r="GX1034">
        <v>0</v>
      </c>
      <c r="GY1034">
        <v>840.3</v>
      </c>
      <c r="GZ1034">
        <v>0</v>
      </c>
      <c r="HA1034">
        <v>0</v>
      </c>
      <c r="HB1034">
        <v>0</v>
      </c>
      <c r="HC1034">
        <v>380.4</v>
      </c>
      <c r="HD1034">
        <v>2175.5</v>
      </c>
      <c r="HE1034">
        <v>0</v>
      </c>
      <c r="HF1034">
        <v>0</v>
      </c>
      <c r="HG1034">
        <v>0</v>
      </c>
      <c r="HH1034">
        <v>0</v>
      </c>
      <c r="HI1034">
        <v>0</v>
      </c>
      <c r="HJ1034">
        <v>803.40000000000009</v>
      </c>
      <c r="HK1034">
        <v>1270.9000000000001</v>
      </c>
      <c r="HL1034">
        <v>835.7</v>
      </c>
      <c r="HM1034">
        <v>1162.5999999999999</v>
      </c>
      <c r="HN1034">
        <v>0</v>
      </c>
      <c r="HO1034">
        <v>0</v>
      </c>
      <c r="HP1034">
        <v>0</v>
      </c>
      <c r="HQ1034">
        <v>0</v>
      </c>
      <c r="HR1034">
        <v>161.19999999999999</v>
      </c>
      <c r="HS1034">
        <v>0</v>
      </c>
      <c r="HT1034">
        <v>2048.5</v>
      </c>
      <c r="HU1034">
        <v>2627.5</v>
      </c>
      <c r="HV1034">
        <v>1168.5999999999999</v>
      </c>
      <c r="HW1034">
        <v>388</v>
      </c>
      <c r="HX1034">
        <v>0</v>
      </c>
      <c r="HY1034">
        <v>0</v>
      </c>
      <c r="HZ1034">
        <v>0</v>
      </c>
      <c r="IA1034">
        <v>0</v>
      </c>
      <c r="IB1034">
        <v>0</v>
      </c>
      <c r="IC1034">
        <v>594.4</v>
      </c>
      <c r="ID1034">
        <v>427.4</v>
      </c>
      <c r="IE1034">
        <v>713.3</v>
      </c>
      <c r="IF1034">
        <v>626.1</v>
      </c>
      <c r="IG1034">
        <v>0</v>
      </c>
      <c r="IH1034">
        <v>0</v>
      </c>
      <c r="II1034">
        <v>995.7</v>
      </c>
      <c r="IJ1034">
        <v>1156.5999999999999</v>
      </c>
      <c r="IK1034">
        <v>864.6</v>
      </c>
      <c r="IL1034">
        <v>316.5</v>
      </c>
      <c r="IM1034">
        <v>101.5</v>
      </c>
      <c r="IN1034">
        <v>71.8</v>
      </c>
      <c r="IO1034">
        <v>0</v>
      </c>
      <c r="IP1034">
        <v>0</v>
      </c>
      <c r="IQ1034">
        <v>0</v>
      </c>
      <c r="IR1034">
        <v>0</v>
      </c>
      <c r="IS1034">
        <v>0</v>
      </c>
      <c r="IT1034">
        <v>0</v>
      </c>
      <c r="IU1034">
        <v>0</v>
      </c>
      <c r="IV1034">
        <v>0</v>
      </c>
      <c r="IW1034">
        <v>68</v>
      </c>
      <c r="IX1034">
        <v>404.7</v>
      </c>
      <c r="IY1034">
        <v>126.6</v>
      </c>
      <c r="IZ1034">
        <v>126.6</v>
      </c>
      <c r="JA1034">
        <v>503.7</v>
      </c>
      <c r="JB1034">
        <v>570.1</v>
      </c>
      <c r="JC1034">
        <v>328.3</v>
      </c>
      <c r="JD1034">
        <v>0</v>
      </c>
      <c r="JE1034">
        <v>0</v>
      </c>
      <c r="JF1034">
        <v>0</v>
      </c>
      <c r="JG1034">
        <v>0</v>
      </c>
      <c r="JH1034">
        <v>287.3</v>
      </c>
      <c r="JI1034">
        <v>68.2</v>
      </c>
      <c r="JJ1034">
        <v>0</v>
      </c>
      <c r="JK1034">
        <v>148.6</v>
      </c>
      <c r="JL1034">
        <v>0</v>
      </c>
      <c r="JM1034">
        <v>0</v>
      </c>
      <c r="JN1034">
        <v>204.5</v>
      </c>
      <c r="JO1034">
        <v>292.10000000000002</v>
      </c>
      <c r="JP1034">
        <v>670.8</v>
      </c>
      <c r="JQ1034">
        <v>745.2</v>
      </c>
      <c r="JR1034">
        <v>242.9</v>
      </c>
    </row>
    <row r="1035" spans="2:278" ht="18" thickBot="1">
      <c r="C1035" s="394"/>
      <c r="D1035" s="394" t="s">
        <v>1492</v>
      </c>
      <c r="E1035" s="454">
        <v>22829.8</v>
      </c>
      <c r="F1035">
        <v>20193.400000000001</v>
      </c>
      <c r="G1035" s="427">
        <v>0</v>
      </c>
      <c r="H1035" s="155">
        <v>0</v>
      </c>
      <c r="I1035">
        <v>0</v>
      </c>
      <c r="J1035">
        <v>0</v>
      </c>
      <c r="K1035">
        <v>0</v>
      </c>
      <c r="L1035" s="4">
        <v>0</v>
      </c>
      <c r="M1035" s="4">
        <v>0</v>
      </c>
      <c r="N1035" s="4">
        <v>0</v>
      </c>
      <c r="O1035" s="4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1476.4</v>
      </c>
      <c r="X1035">
        <v>1482</v>
      </c>
      <c r="Y1035">
        <v>457.20000000000005</v>
      </c>
      <c r="Z1035">
        <v>0</v>
      </c>
      <c r="AA1035">
        <v>0</v>
      </c>
      <c r="AB1035">
        <v>0</v>
      </c>
      <c r="AC1035">
        <v>0</v>
      </c>
      <c r="AD1035">
        <v>3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1828.6</v>
      </c>
      <c r="AK1035">
        <v>1800.7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560.70000000000005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0</v>
      </c>
      <c r="BQ1035">
        <v>0</v>
      </c>
      <c r="BR1035">
        <v>0</v>
      </c>
      <c r="BS1035">
        <v>0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  <c r="CF1035">
        <v>0</v>
      </c>
      <c r="CG1035">
        <v>0</v>
      </c>
      <c r="CH1035">
        <v>0</v>
      </c>
      <c r="CI1035">
        <v>0</v>
      </c>
      <c r="CJ1035">
        <v>0</v>
      </c>
      <c r="CK1035">
        <v>0</v>
      </c>
      <c r="CL1035">
        <v>0</v>
      </c>
      <c r="CM1035">
        <v>0</v>
      </c>
      <c r="CN1035">
        <v>0</v>
      </c>
      <c r="CO1035">
        <v>0</v>
      </c>
      <c r="CP1035">
        <v>3.5</v>
      </c>
      <c r="CQ1035">
        <v>0</v>
      </c>
      <c r="CR1035">
        <v>528</v>
      </c>
      <c r="CS1035">
        <v>581.79999999999995</v>
      </c>
      <c r="CT1035">
        <v>555.40000000000009</v>
      </c>
      <c r="CU1035">
        <v>737.4</v>
      </c>
      <c r="CV1035">
        <v>1039.0999999999999</v>
      </c>
      <c r="CW1035">
        <v>1667.3</v>
      </c>
      <c r="CX1035">
        <v>877.6</v>
      </c>
      <c r="CY1035">
        <v>910.40000000000009</v>
      </c>
      <c r="CZ1035">
        <v>0</v>
      </c>
      <c r="DA1035">
        <v>0</v>
      </c>
      <c r="DB1035">
        <v>0</v>
      </c>
      <c r="DC1035">
        <v>0</v>
      </c>
      <c r="DD1035">
        <v>0</v>
      </c>
      <c r="DE1035">
        <v>0</v>
      </c>
      <c r="DF1035">
        <v>0</v>
      </c>
      <c r="DG1035">
        <v>0</v>
      </c>
      <c r="DH1035">
        <v>0</v>
      </c>
      <c r="DI1035">
        <v>0</v>
      </c>
      <c r="DJ1035">
        <v>0</v>
      </c>
      <c r="DK1035">
        <v>0</v>
      </c>
      <c r="DL1035">
        <v>995.5</v>
      </c>
      <c r="DM1035">
        <v>712.7</v>
      </c>
      <c r="DN1035">
        <v>0</v>
      </c>
      <c r="DO1035">
        <v>0</v>
      </c>
      <c r="DP1035">
        <v>0</v>
      </c>
      <c r="DQ1035">
        <v>0</v>
      </c>
      <c r="DR1035">
        <v>0</v>
      </c>
      <c r="DS1035">
        <v>0</v>
      </c>
      <c r="DT1035">
        <v>0</v>
      </c>
      <c r="DU1035">
        <v>0</v>
      </c>
      <c r="DV1035">
        <v>0</v>
      </c>
      <c r="DW1035">
        <v>0</v>
      </c>
      <c r="DX1035">
        <v>0</v>
      </c>
      <c r="DY1035">
        <v>0</v>
      </c>
      <c r="DZ1035">
        <v>0</v>
      </c>
      <c r="EA1035">
        <v>0</v>
      </c>
      <c r="EB1035">
        <v>0</v>
      </c>
      <c r="EC1035">
        <v>0</v>
      </c>
      <c r="ED1035">
        <v>0</v>
      </c>
      <c r="EE1035">
        <v>0</v>
      </c>
      <c r="EF1035">
        <v>0</v>
      </c>
      <c r="EG1035">
        <v>0</v>
      </c>
      <c r="EH1035">
        <v>0</v>
      </c>
      <c r="EI1035">
        <v>0</v>
      </c>
      <c r="EJ1035">
        <v>0</v>
      </c>
      <c r="EK1035">
        <v>0</v>
      </c>
      <c r="EL1035">
        <v>0</v>
      </c>
      <c r="EM1035">
        <v>0</v>
      </c>
      <c r="EN1035">
        <v>27.4</v>
      </c>
      <c r="EO1035">
        <v>0</v>
      </c>
      <c r="EP1035">
        <v>1002.5</v>
      </c>
      <c r="EQ1035">
        <v>0</v>
      </c>
      <c r="ER1035">
        <v>494</v>
      </c>
      <c r="ES1035">
        <v>0</v>
      </c>
      <c r="ET1035">
        <v>699.3</v>
      </c>
      <c r="EU1035">
        <v>435.4</v>
      </c>
      <c r="EV1035">
        <v>0</v>
      </c>
      <c r="EW1035">
        <v>0</v>
      </c>
      <c r="EX1035">
        <v>0</v>
      </c>
      <c r="EY1035">
        <v>0</v>
      </c>
      <c r="EZ1035">
        <v>0</v>
      </c>
      <c r="FA1035">
        <v>0</v>
      </c>
      <c r="FB1035">
        <v>0</v>
      </c>
      <c r="FC1035">
        <v>0</v>
      </c>
      <c r="FD1035">
        <v>95.6</v>
      </c>
      <c r="FE1035">
        <v>1792.1</v>
      </c>
      <c r="FF1035">
        <v>1740.1999999999998</v>
      </c>
      <c r="FG1035">
        <v>954.9</v>
      </c>
      <c r="FH1035">
        <v>1087.8000000000002</v>
      </c>
      <c r="FI1035">
        <v>1892.1</v>
      </c>
      <c r="FJ1035">
        <v>1222.5</v>
      </c>
      <c r="FK1035">
        <v>678.3</v>
      </c>
      <c r="FL1035">
        <v>639.1</v>
      </c>
      <c r="FM1035">
        <v>520.5</v>
      </c>
      <c r="FN1035">
        <v>123.8</v>
      </c>
      <c r="FO1035">
        <v>181.6</v>
      </c>
      <c r="FP1035">
        <v>1090.5</v>
      </c>
      <c r="FQ1035">
        <v>0</v>
      </c>
      <c r="FR1035">
        <v>0</v>
      </c>
      <c r="FS1035">
        <v>0</v>
      </c>
      <c r="FT1035">
        <v>0</v>
      </c>
      <c r="FU1035">
        <v>0</v>
      </c>
      <c r="FV1035">
        <v>0</v>
      </c>
      <c r="FW1035">
        <v>0</v>
      </c>
      <c r="FX1035">
        <v>0</v>
      </c>
      <c r="FY1035">
        <v>0</v>
      </c>
      <c r="FZ1035">
        <v>0</v>
      </c>
      <c r="GA1035">
        <v>0</v>
      </c>
      <c r="GB1035">
        <v>0</v>
      </c>
      <c r="GC1035">
        <v>0</v>
      </c>
      <c r="GD1035">
        <v>0</v>
      </c>
      <c r="GE1035">
        <v>0</v>
      </c>
      <c r="GF1035">
        <v>198.3</v>
      </c>
      <c r="GG1035">
        <v>1054.4000000000001</v>
      </c>
      <c r="GH1035">
        <v>552.79999999999995</v>
      </c>
      <c r="GI1035">
        <v>522</v>
      </c>
      <c r="GJ1035">
        <v>0</v>
      </c>
      <c r="GK1035">
        <v>0</v>
      </c>
      <c r="GL1035">
        <v>0</v>
      </c>
      <c r="GM1035">
        <v>0</v>
      </c>
      <c r="GN1035">
        <v>791.40000000000009</v>
      </c>
      <c r="GO1035">
        <v>1816.5</v>
      </c>
      <c r="GP1035">
        <v>0</v>
      </c>
      <c r="GQ1035">
        <v>0</v>
      </c>
      <c r="GR1035">
        <v>0</v>
      </c>
      <c r="GS1035">
        <v>0</v>
      </c>
      <c r="GT1035">
        <v>0</v>
      </c>
      <c r="GU1035">
        <v>0</v>
      </c>
      <c r="GV1035">
        <v>0</v>
      </c>
      <c r="GW1035">
        <v>0</v>
      </c>
      <c r="GX1035">
        <v>0</v>
      </c>
      <c r="GY1035">
        <v>840.3</v>
      </c>
      <c r="GZ1035">
        <v>0</v>
      </c>
      <c r="HA1035">
        <v>0</v>
      </c>
      <c r="HB1035">
        <v>0</v>
      </c>
      <c r="HC1035">
        <v>380.4</v>
      </c>
      <c r="HD1035">
        <v>2175.5</v>
      </c>
      <c r="HE1035">
        <v>0</v>
      </c>
      <c r="HF1035">
        <v>0</v>
      </c>
      <c r="HG1035">
        <v>0</v>
      </c>
      <c r="HH1035">
        <v>0</v>
      </c>
      <c r="HI1035">
        <v>0</v>
      </c>
      <c r="HJ1035">
        <v>803.40000000000009</v>
      </c>
      <c r="HK1035">
        <v>1270.9000000000001</v>
      </c>
      <c r="HL1035">
        <v>835.7</v>
      </c>
      <c r="HM1035">
        <v>1162.5999999999999</v>
      </c>
      <c r="HN1035">
        <v>0</v>
      </c>
      <c r="HO1035">
        <v>0</v>
      </c>
      <c r="HP1035">
        <v>0</v>
      </c>
      <c r="HQ1035">
        <v>0</v>
      </c>
      <c r="HR1035">
        <v>161.19999999999999</v>
      </c>
      <c r="HS1035">
        <v>0</v>
      </c>
      <c r="HT1035">
        <v>2048.5</v>
      </c>
      <c r="HU1035">
        <v>2627.5</v>
      </c>
      <c r="HV1035">
        <v>1168.5999999999999</v>
      </c>
      <c r="HW1035">
        <v>388</v>
      </c>
      <c r="HX1035">
        <v>0</v>
      </c>
      <c r="HY1035">
        <v>0</v>
      </c>
      <c r="HZ1035">
        <v>0</v>
      </c>
      <c r="IA1035">
        <v>0</v>
      </c>
      <c r="IB1035">
        <v>0</v>
      </c>
      <c r="IC1035">
        <v>594.4</v>
      </c>
      <c r="ID1035">
        <v>427.4</v>
      </c>
      <c r="IE1035">
        <v>713.3</v>
      </c>
      <c r="IF1035">
        <v>626.1</v>
      </c>
      <c r="IG1035">
        <v>0</v>
      </c>
      <c r="IH1035">
        <v>0</v>
      </c>
      <c r="II1035">
        <v>995.7</v>
      </c>
      <c r="IJ1035">
        <v>1156.5999999999999</v>
      </c>
      <c r="IK1035">
        <v>864.6</v>
      </c>
      <c r="IL1035">
        <v>316.5</v>
      </c>
      <c r="IM1035">
        <v>101.5</v>
      </c>
      <c r="IN1035">
        <v>71.8</v>
      </c>
      <c r="IO1035">
        <v>0</v>
      </c>
      <c r="IP1035">
        <v>0</v>
      </c>
      <c r="IQ1035">
        <v>0</v>
      </c>
      <c r="IR1035">
        <v>0</v>
      </c>
      <c r="IS1035">
        <v>0</v>
      </c>
      <c r="IT1035">
        <v>0</v>
      </c>
      <c r="IU1035">
        <v>0</v>
      </c>
      <c r="IV1035">
        <v>0</v>
      </c>
      <c r="IW1035">
        <v>68</v>
      </c>
      <c r="IX1035">
        <v>404.7</v>
      </c>
      <c r="IY1035">
        <v>126.6</v>
      </c>
      <c r="IZ1035">
        <v>126.6</v>
      </c>
      <c r="JA1035">
        <v>503.7</v>
      </c>
      <c r="JB1035">
        <v>570.1</v>
      </c>
      <c r="JC1035">
        <v>328.3</v>
      </c>
      <c r="JD1035">
        <v>0</v>
      </c>
      <c r="JE1035">
        <v>0</v>
      </c>
      <c r="JF1035">
        <v>0</v>
      </c>
      <c r="JG1035">
        <v>0</v>
      </c>
      <c r="JH1035">
        <v>287.3</v>
      </c>
      <c r="JI1035">
        <v>68.2</v>
      </c>
      <c r="JJ1035">
        <v>0</v>
      </c>
      <c r="JK1035">
        <v>148.6</v>
      </c>
      <c r="JL1035">
        <v>0</v>
      </c>
      <c r="JM1035">
        <v>0</v>
      </c>
      <c r="JN1035">
        <v>204.5</v>
      </c>
      <c r="JO1035">
        <v>292.10000000000002</v>
      </c>
      <c r="JP1035">
        <v>670.8</v>
      </c>
      <c r="JQ1035">
        <v>745.2</v>
      </c>
      <c r="JR1035">
        <v>242.9</v>
      </c>
    </row>
  </sheetData>
  <mergeCells count="230">
    <mergeCell ref="Q3:Q4"/>
    <mergeCell ref="A25:A29"/>
    <mergeCell ref="A30:A35"/>
    <mergeCell ref="A36:A39"/>
    <mergeCell ref="A40:A42"/>
    <mergeCell ref="A43:A45"/>
    <mergeCell ref="A46:A51"/>
    <mergeCell ref="A52:A54"/>
    <mergeCell ref="A55:A62"/>
    <mergeCell ref="A63:A72"/>
    <mergeCell ref="F3:F4"/>
    <mergeCell ref="A16:A21"/>
    <mergeCell ref="A22:A24"/>
    <mergeCell ref="M3:M4"/>
    <mergeCell ref="N3:N4"/>
    <mergeCell ref="O3:O4"/>
    <mergeCell ref="A3:A4"/>
    <mergeCell ref="A5:A6"/>
    <mergeCell ref="A7:A8"/>
    <mergeCell ref="L3:L4"/>
    <mergeCell ref="D3:D4"/>
    <mergeCell ref="E3:E4"/>
    <mergeCell ref="B420:B421"/>
    <mergeCell ref="B422:B423"/>
    <mergeCell ref="B424:B425"/>
    <mergeCell ref="B426:B427"/>
    <mergeCell ref="B428:B429"/>
    <mergeCell ref="B430:B431"/>
    <mergeCell ref="B432:B433"/>
    <mergeCell ref="B434:B435"/>
    <mergeCell ref="B249:B251"/>
    <mergeCell ref="B254:B255"/>
    <mergeCell ref="B257:B259"/>
    <mergeCell ref="B274:B275"/>
    <mergeCell ref="B276:B277"/>
    <mergeCell ref="B279:B280"/>
    <mergeCell ref="B289:B290"/>
    <mergeCell ref="B294:B295"/>
    <mergeCell ref="B296:B297"/>
    <mergeCell ref="B311:B313"/>
    <mergeCell ref="B320:B321"/>
    <mergeCell ref="B322:B323"/>
    <mergeCell ref="B392:B393"/>
    <mergeCell ref="B394:B395"/>
    <mergeCell ref="B396:B397"/>
    <mergeCell ref="B398:B399"/>
    <mergeCell ref="A73:A82"/>
    <mergeCell ref="A83:A92"/>
    <mergeCell ref="A93:A102"/>
    <mergeCell ref="A103:A114"/>
    <mergeCell ref="A115:A122"/>
    <mergeCell ref="A123:A133"/>
    <mergeCell ref="A134:A144"/>
    <mergeCell ref="A145:A154"/>
    <mergeCell ref="A155:A164"/>
    <mergeCell ref="B400:B401"/>
    <mergeCell ref="A165:A174"/>
    <mergeCell ref="A175:A185"/>
    <mergeCell ref="A186:A197"/>
    <mergeCell ref="A198:A209"/>
    <mergeCell ref="A210:A221"/>
    <mergeCell ref="A222:A233"/>
    <mergeCell ref="B236:B237"/>
    <mergeCell ref="B238:B239"/>
    <mergeCell ref="B243:B244"/>
    <mergeCell ref="B436:B437"/>
    <mergeCell ref="B438:B439"/>
    <mergeCell ref="B490:B491"/>
    <mergeCell ref="B3:B4"/>
    <mergeCell ref="C3:C4"/>
    <mergeCell ref="A582:A583"/>
    <mergeCell ref="A584:A585"/>
    <mergeCell ref="A597:A598"/>
    <mergeCell ref="A599:A600"/>
    <mergeCell ref="C582:C583"/>
    <mergeCell ref="C584:C585"/>
    <mergeCell ref="C597:C598"/>
    <mergeCell ref="C599:C600"/>
    <mergeCell ref="B402:B403"/>
    <mergeCell ref="B404:B405"/>
    <mergeCell ref="B406:B407"/>
    <mergeCell ref="B408:B409"/>
    <mergeCell ref="B410:B411"/>
    <mergeCell ref="B412:B413"/>
    <mergeCell ref="B414:B415"/>
    <mergeCell ref="B416:B417"/>
    <mergeCell ref="B418:B419"/>
    <mergeCell ref="B314:B316"/>
    <mergeCell ref="B317:B319"/>
    <mergeCell ref="A601:A602"/>
    <mergeCell ref="A615:A616"/>
    <mergeCell ref="A617:A618"/>
    <mergeCell ref="A625:A626"/>
    <mergeCell ref="A628:A629"/>
    <mergeCell ref="A662:A664"/>
    <mergeCell ref="A666:A668"/>
    <mergeCell ref="A669:A670"/>
    <mergeCell ref="A671:A672"/>
    <mergeCell ref="C666:C668"/>
    <mergeCell ref="C669:C670"/>
    <mergeCell ref="C671:C672"/>
    <mergeCell ref="C673:C674"/>
    <mergeCell ref="A673:A674"/>
    <mergeCell ref="A731:A733"/>
    <mergeCell ref="A734:A736"/>
    <mergeCell ref="A772:A773"/>
    <mergeCell ref="B582:B583"/>
    <mergeCell ref="B584:B585"/>
    <mergeCell ref="B597:B598"/>
    <mergeCell ref="B599:B600"/>
    <mergeCell ref="B601:B602"/>
    <mergeCell ref="B617:B618"/>
    <mergeCell ref="B625:B626"/>
    <mergeCell ref="B628:B629"/>
    <mergeCell ref="B662:B664"/>
    <mergeCell ref="B666:B668"/>
    <mergeCell ref="B669:B670"/>
    <mergeCell ref="B671:B672"/>
    <mergeCell ref="B673:B674"/>
    <mergeCell ref="B731:B733"/>
    <mergeCell ref="B734:B736"/>
    <mergeCell ref="B772:B773"/>
    <mergeCell ref="C731:C733"/>
    <mergeCell ref="C734:C736"/>
    <mergeCell ref="C772:C773"/>
    <mergeCell ref="B615:B616"/>
    <mergeCell ref="D582:D583"/>
    <mergeCell ref="D584:D585"/>
    <mergeCell ref="D597:D598"/>
    <mergeCell ref="D599:D600"/>
    <mergeCell ref="D601:D602"/>
    <mergeCell ref="D615:D616"/>
    <mergeCell ref="D617:D618"/>
    <mergeCell ref="D662:D664"/>
    <mergeCell ref="D666:D668"/>
    <mergeCell ref="D669:D670"/>
    <mergeCell ref="D671:D672"/>
    <mergeCell ref="D673:D674"/>
    <mergeCell ref="D731:D733"/>
    <mergeCell ref="D734:D736"/>
    <mergeCell ref="D772:D773"/>
    <mergeCell ref="C601:C602"/>
    <mergeCell ref="C617:C618"/>
    <mergeCell ref="C625:C626"/>
    <mergeCell ref="C628:C629"/>
    <mergeCell ref="C662:C664"/>
    <mergeCell ref="D783:D786"/>
    <mergeCell ref="B791:B792"/>
    <mergeCell ref="B804:B805"/>
    <mergeCell ref="B807:B808"/>
    <mergeCell ref="B813:B814"/>
    <mergeCell ref="B815:B816"/>
    <mergeCell ref="B824:B825"/>
    <mergeCell ref="B826:B828"/>
    <mergeCell ref="B842:B844"/>
    <mergeCell ref="D793:D794"/>
    <mergeCell ref="D807:D808"/>
    <mergeCell ref="D813:D814"/>
    <mergeCell ref="D815:D816"/>
    <mergeCell ref="D824:D825"/>
    <mergeCell ref="D826:D828"/>
    <mergeCell ref="D842:D844"/>
    <mergeCell ref="B992:B993"/>
    <mergeCell ref="B995:B996"/>
    <mergeCell ref="B845:B846"/>
    <mergeCell ref="B847:B848"/>
    <mergeCell ref="B852:B853"/>
    <mergeCell ref="B854:B855"/>
    <mergeCell ref="B856:B858"/>
    <mergeCell ref="B859:B860"/>
    <mergeCell ref="B864:B865"/>
    <mergeCell ref="B897:B898"/>
    <mergeCell ref="B921:B922"/>
    <mergeCell ref="C960:C961"/>
    <mergeCell ref="C965:C966"/>
    <mergeCell ref="B923:B924"/>
    <mergeCell ref="B933:B934"/>
    <mergeCell ref="B935:B936"/>
    <mergeCell ref="B949:B950"/>
    <mergeCell ref="B960:B961"/>
    <mergeCell ref="B965:B966"/>
    <mergeCell ref="B972:B973"/>
    <mergeCell ref="D995:D996"/>
    <mergeCell ref="D1011:D1012"/>
    <mergeCell ref="B1011:B1012"/>
    <mergeCell ref="B1027:B1029"/>
    <mergeCell ref="C793:C794"/>
    <mergeCell ref="C807:C808"/>
    <mergeCell ref="C813:C814"/>
    <mergeCell ref="C815:C816"/>
    <mergeCell ref="C824:C825"/>
    <mergeCell ref="C826:C828"/>
    <mergeCell ref="C842:C844"/>
    <mergeCell ref="C845:C846"/>
    <mergeCell ref="C847:C848"/>
    <mergeCell ref="C852:C853"/>
    <mergeCell ref="C854:C855"/>
    <mergeCell ref="C856:C858"/>
    <mergeCell ref="C859:C860"/>
    <mergeCell ref="C864:C865"/>
    <mergeCell ref="C897:C898"/>
    <mergeCell ref="C921:C922"/>
    <mergeCell ref="C923:C924"/>
    <mergeCell ref="C933:C934"/>
    <mergeCell ref="C935:C936"/>
    <mergeCell ref="C949:C950"/>
    <mergeCell ref="D1027:D1029"/>
    <mergeCell ref="C804:C805"/>
    <mergeCell ref="C972:C973"/>
    <mergeCell ref="C992:C993"/>
    <mergeCell ref="C995:C996"/>
    <mergeCell ref="C1011:C1012"/>
    <mergeCell ref="C1027:C1029"/>
    <mergeCell ref="D852:D853"/>
    <mergeCell ref="D854:D855"/>
    <mergeCell ref="D856:D858"/>
    <mergeCell ref="D859:D860"/>
    <mergeCell ref="D864:D865"/>
    <mergeCell ref="D897:D898"/>
    <mergeCell ref="D921:D922"/>
    <mergeCell ref="D923:D924"/>
    <mergeCell ref="D933:D934"/>
    <mergeCell ref="D935:D936"/>
    <mergeCell ref="D845:D846"/>
    <mergeCell ref="D847:D848"/>
    <mergeCell ref="D949:D950"/>
    <mergeCell ref="D960:D961"/>
    <mergeCell ref="D965:D966"/>
    <mergeCell ref="D972:D973"/>
    <mergeCell ref="D992:D993"/>
  </mergeCells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50156-71E0-4BF0-9DEE-32E8E6DAEEB0}">
  <dimension ref="A1:C5"/>
  <sheetViews>
    <sheetView zoomScaleNormal="100" zoomScaleSheetLayoutView="100" workbookViewId="0">
      <selection activeCell="D1" sqref="D1"/>
    </sheetView>
  </sheetViews>
  <sheetFormatPr defaultRowHeight="17.399999999999999"/>
  <cols>
    <col min="1" max="1" width="20.09765625" customWidth="1"/>
    <col min="2" max="2" width="16.5" customWidth="1"/>
    <col min="3" max="3" width="17.5" customWidth="1"/>
  </cols>
  <sheetData>
    <row r="1" spans="1:3" ht="22.95" customHeight="1" thickBot="1">
      <c r="A1" s="2" t="s">
        <v>1692</v>
      </c>
      <c r="B1" s="3" t="s">
        <v>1692</v>
      </c>
      <c r="C1" s="3" t="s">
        <v>260</v>
      </c>
    </row>
    <row r="2" spans="1:3" ht="25.05" customHeight="1" thickBot="1">
      <c r="A2" s="597" t="s">
        <v>1693</v>
      </c>
      <c r="B2" s="470" t="s">
        <v>1694</v>
      </c>
      <c r="C2" s="460">
        <f>Power_Download!R2</f>
        <v>0</v>
      </c>
    </row>
    <row r="3" spans="1:3" ht="25.05" customHeight="1" thickBot="1">
      <c r="A3" s="598"/>
      <c r="B3" s="470" t="s">
        <v>261</v>
      </c>
      <c r="C3" s="460">
        <f>Power_Download!P2</f>
        <v>980150.40000000154</v>
      </c>
    </row>
    <row r="4" spans="1:3" ht="25.05" customHeight="1" thickBot="1">
      <c r="A4" s="599"/>
      <c r="B4" s="470" t="s">
        <v>262</v>
      </c>
      <c r="C4" s="459">
        <f>Power_Download!S2</f>
        <v>0</v>
      </c>
    </row>
    <row r="5" spans="1:3" ht="10.050000000000001" customHeight="1" thickBot="1">
      <c r="A5" s="63" t="s">
        <v>263</v>
      </c>
      <c r="B5" s="600"/>
      <c r="C5" s="601"/>
    </row>
  </sheetData>
  <mergeCells count="2">
    <mergeCell ref="A2:A4"/>
    <mergeCell ref="B5:C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</vt:i4>
      </vt:variant>
    </vt:vector>
  </HeadingPairs>
  <TitlesOfParts>
    <vt:vector size="13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  <vt:lpstr>Temp&amp;Hum_Download</vt:lpstr>
      <vt:lpstr>Temp&amp;Hum_Summary</vt:lpstr>
      <vt:lpstr>Power_Download</vt:lpstr>
      <vt:lpstr>Power_Summary</vt:lpstr>
      <vt:lpstr>Power_Summary!Print_Area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2023-12-29T09:49:18Z</dcterms:modified>
</cp:coreProperties>
</file>